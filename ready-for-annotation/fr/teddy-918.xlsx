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<sst xmlns="http://schemas.openxmlformats.org/spreadsheetml/2006/main" count="12677" uniqueCount="2621">
  <si>
    <t>ID</t>
  </si>
  <si>
    <t>PRED_ID</t>
  </si>
  <si>
    <t>MARKER_AUTO</t>
  </si>
  <si>
    <t>PREDICATE</t>
  </si>
  <si>
    <t>TEXT</t>
  </si>
  <si>
    <t>SENTENCE</t>
  </si>
  <si>
    <t>MARKER</t>
  </si>
  <si>
    <t>TARGET</t>
  </si>
  <si>
    <t>RELATION</t>
  </si>
  <si>
    <t>COMMENT</t>
  </si>
  <si>
    <t>1</t>
  </si>
  <si>
    <t>2</t>
  </si>
  <si>
    <t>_</t>
  </si>
  <si>
    <t>aller</t>
  </si>
  <si>
    <t>Je vais aujourd'hui vous parler d' énergie et de climat .</t>
  </si>
  <si>
    <t>file://conllu/fr/teddy-918.conllu#s1_0</t>
  </si>
  <si>
    <t>3</t>
  </si>
  <si>
    <t>et?</t>
  </si>
  <si>
    <t>pouvoir</t>
  </si>
  <si>
    <t>Et cela peut sembler un peu surprenant parce que mon travail à temps plein à la Fondation concerne plutôt les vaccins et les semences , les choses que nous devons inventer et distribuer pour aider les deux milliards des de les plus pauvres à vivre mieux .</t>
  </si>
  <si>
    <t>file://conllu/fr/teddy-918.conllu#s2_0</t>
  </si>
  <si>
    <t>7</t>
  </si>
  <si>
    <t>en plus?</t>
  </si>
  <si>
    <t>être (être important)</t>
  </si>
  <si>
    <t>Mais l' énergie et le climat sont extrêmement importants pour ces personnes , en fait , plus importants que pour quiconque sur la planète .</t>
  </si>
  <si>
    <t>file://conllu/fr/teddy-918.conllu#s3_0</t>
  </si>
  <si>
    <t>4</t>
  </si>
  <si>
    <t>détériorer</t>
  </si>
  <si>
    <t>Le climat se détériore , ce qui signifie qu' il y aura de nombreuses années où leurs cultures ne pousseront pas .</t>
  </si>
  <si>
    <t>file://conllu/fr/teddy-918.conllu#s4_0</t>
  </si>
  <si>
    <t>5</t>
  </si>
  <si>
    <t>ou?</t>
  </si>
  <si>
    <t>avoir</t>
  </si>
  <si>
    <t>Il y aura trop de pluie , ou pas assez de pluie .</t>
  </si>
  <si>
    <t>file://conllu/fr/teddy-918.conllu#s5_0</t>
  </si>
  <si>
    <t>6</t>
  </si>
  <si>
    <t>Les choses vont évoluer dans des de les directions que leur environnement fragile ne peut tout simplement pas supporter .</t>
  </si>
  <si>
    <t>file://conllu/fr/teddy-918.conllu#s6_0</t>
  </si>
  <si>
    <t>conduire</t>
  </si>
  <si>
    <t>Et cela conduit à la famine .</t>
  </si>
  <si>
    <t>file://conllu/fr/teddy-918.conllu#s7_0</t>
  </si>
  <si>
    <t>8</t>
  </si>
  <si>
    <t>à?</t>
  </si>
  <si>
    <t>Cela conduit à l' incertitude .</t>
  </si>
  <si>
    <t>file://conllu/fr/teddy-918.conllu#s8_0</t>
  </si>
  <si>
    <t>9</t>
  </si>
  <si>
    <t>Cela conduit à des de les troubles .</t>
  </si>
  <si>
    <t>file://conllu/fr/teddy-918.conllu#s9_0</t>
  </si>
  <si>
    <t>10</t>
  </si>
  <si>
    <t>pour?</t>
  </si>
  <si>
    <t>être (être terrible)</t>
  </si>
  <si>
    <t>Les changements climatiques seront terribles pour eux .</t>
  </si>
  <si>
    <t>file://conllu/fr/teddy-918.conllu#s10_0</t>
  </si>
  <si>
    <t>11</t>
  </si>
  <si>
    <t>également?</t>
  </si>
  <si>
    <t>Le prix de l' énergie , également , est très important pour eux .</t>
  </si>
  <si>
    <t>file://conllu/fr/teddy-918.conllu#s11_0</t>
  </si>
  <si>
    <t>12</t>
  </si>
  <si>
    <t>23</t>
  </si>
  <si>
    <t>en fait?</t>
  </si>
  <si>
    <t>être (être celui)</t>
  </si>
  <si>
    <t>En fait , si vous ne pouviez baisser le prix que d' une seule chose , pour réduire la pauvreté , ce serait , de loin , celui de l' énergie .</t>
  </si>
  <si>
    <t>file://conllu/fr/teddy-918.conllu#s12_0</t>
  </si>
  <si>
    <t>13</t>
  </si>
  <si>
    <t>or?</t>
  </si>
  <si>
    <t>baisser</t>
  </si>
  <si>
    <t>Or , le prix de l' énergie a baissé au à le fil du de le temps .</t>
  </si>
  <si>
    <t>file://conllu/fr/teddy-918.conllu#s13_0</t>
  </si>
  <si>
    <t>14</t>
  </si>
  <si>
    <t>fonder</t>
  </si>
  <si>
    <t>Vraiment , les avancées de la civilisation sont fondées sur les avancées de l' énergie .</t>
  </si>
  <si>
    <t>file://conllu/fr/teddy-918.conllu#s14_0</t>
  </si>
  <si>
    <t>15</t>
  </si>
  <si>
    <t>même?</t>
  </si>
  <si>
    <t>alimenter</t>
  </si>
  <si>
    <t>La révolution du de le charbon a alimenté la révolution industrielle , et , même dans les années 1900 , nous avons assisté à une diminution très rapide du de le prix de l' électricité , et c' est grâce à ça que nous avons des de les réfrigérateurs , l' air conditionné , que nous pouvons fabriquer des de les matériaux modernes et faire tant de choses .</t>
  </si>
  <si>
    <t>file://conllu/fr/teddy-918.conllu#s15_0</t>
  </si>
  <si>
    <t>16</t>
  </si>
  <si>
    <t>Dans le monde riche , tout va bien par rapport à l' électricité .</t>
  </si>
  <si>
    <t>file://conllu/fr/teddy-918.conllu#s16_0</t>
  </si>
  <si>
    <t>17</t>
  </si>
  <si>
    <t>24</t>
  </si>
  <si>
    <t>en même temps?</t>
  </si>
  <si>
    <t>devoir</t>
  </si>
  <si>
    <t>Mais , en même temps qu' on abaisse son prix et c' est parti pour le diviser par 2 nous devons répondre à une nouvelle contrainte , et cette contrainte concerne le CO2 .</t>
  </si>
  <si>
    <t>file://conllu/fr/teddy-918.conllu#s17_0</t>
  </si>
  <si>
    <t>18</t>
  </si>
  <si>
    <t>réchauffer</t>
  </si>
  <si>
    <t>Le CO2 réchauffe la planète , et l' équation sur le CO2 est en réalité très simple .</t>
  </si>
  <si>
    <t>file://conllu/fr/teddy-918.conllu#s18_0</t>
  </si>
  <si>
    <t>19</t>
  </si>
  <si>
    <t>total?</t>
  </si>
  <si>
    <t>Si vous prenez le total du de le CO2 rejeté , cela conduit à une augmentation de température , et cette augmentation de température conduit à des de les effets très négatifs .</t>
  </si>
  <si>
    <t>file://conllu/fr/teddy-918.conllu#s19_0</t>
  </si>
  <si>
    <t>21</t>
  </si>
  <si>
    <t>être (être vrai)</t>
  </si>
  <si>
    <t>C' est vrai que sur les chiffres exacts , quelle température on aura , à partir de quelle augmentation de CO2 , et à quel endroit on aura des de les effets secondaires positifs , là , on rencontre une certaine incertitude , mais pas beaucoup .</t>
  </si>
  <si>
    <t>file://conllu/fr/teddy-918.conllu#s21_0</t>
  </si>
  <si>
    <t>22</t>
  </si>
  <si>
    <t>si?</t>
  </si>
  <si>
    <t>connaître (connaître savoir)</t>
  </si>
  <si>
    <t>Et si on ne connait pas exactement le degré de gravité de ces effets , on sait qu' ils seront extrêmement graves .</t>
  </si>
  <si>
    <t>file://conllu/fr/teddy-918.conllu#s22_0</t>
  </si>
  <si>
    <t>s'?</t>
  </si>
  <si>
    <t>demander</t>
  </si>
  <si>
    <t>A plusieurs reprises , j' ai demandé à des de les scientifiques de haut niveau s' il fallait vraiment descendre jusqu' à près de zéro ?</t>
  </si>
  <si>
    <t>file://conllu/fr/teddy-918.conllu#s23_0</t>
  </si>
  <si>
    <t>Ne peut -on pas simplement diminuer de la moitié ou du de le quart ?</t>
  </si>
  <si>
    <t>file://conllu/fr/teddy-918.conllu#s24_0</t>
  </si>
  <si>
    <t>25</t>
  </si>
  <si>
    <t>être</t>
  </si>
  <si>
    <t>Et la réponse est que , jusqu' à ce que nous approchions de zéro , la température continuera à augmenter .</t>
  </si>
  <si>
    <t>file://conllu/fr/teddy-918.conllu#s25_0</t>
  </si>
  <si>
    <t>26</t>
  </si>
  <si>
    <t>donc?</t>
  </si>
  <si>
    <t>être (être défi)</t>
  </si>
  <si>
    <t>Et donc c' est un grand défi .</t>
  </si>
  <si>
    <t>file://conllu/fr/teddy-918.conllu#s26_0</t>
  </si>
  <si>
    <t>27</t>
  </si>
  <si>
    <t>être (être différent)</t>
  </si>
  <si>
    <t>C' est très différent que de dire qu' on est un camion de 3,5 m de haut essayant de passer sous un pont de 3 m , et qu' on va trouver le moyen de s' y glisser .</t>
  </si>
  <si>
    <t>file://conllu/fr/teddy-918.conllu#s27_0</t>
  </si>
  <si>
    <t>28</t>
  </si>
  <si>
    <t>être (être chose)</t>
  </si>
  <si>
    <t>Là , c' est quelque chose qui doit arriver à zéro .</t>
  </si>
  <si>
    <t>file://conllu/fr/teddy-918.conllu#s28_0</t>
  </si>
  <si>
    <t>29</t>
  </si>
  <si>
    <t>rejeter</t>
  </si>
  <si>
    <t>Chaque année , nous rejetons une grande quantité de CO2 , plus de 26 milliards de tonnes .</t>
  </si>
  <si>
    <t>file://conllu/fr/teddy-918.conllu#s29_0</t>
  </si>
  <si>
    <t>30</t>
  </si>
  <si>
    <t>représenter</t>
  </si>
  <si>
    <t>Pour chaque américain , ça représente près de 20 tonnes .</t>
  </si>
  <si>
    <t>file://conllu/fr/teddy-918.conllu#s30_0</t>
  </si>
  <si>
    <t>31</t>
  </si>
  <si>
    <t>être (être moins)</t>
  </si>
  <si>
    <t>Pour un habitant d' un pays pauvre , c' est moins d' une tonne .</t>
  </si>
  <si>
    <t>file://conllu/fr/teddy-918.conllu#s31_0</t>
  </si>
  <si>
    <t>32</t>
  </si>
  <si>
    <t>être (être tonne)</t>
  </si>
  <si>
    <t>La moyenne est d' environ cinq tonnes par personne sur la planète .</t>
  </si>
  <si>
    <t>file://conllu/fr/teddy-918.conllu#s32_0</t>
  </si>
  <si>
    <t>33</t>
  </si>
  <si>
    <t>Et on doit trouver le moyen d' apporter les changements pour descendre à zéro .</t>
  </si>
  <si>
    <t>file://conllu/fr/teddy-918.conllu#s33_0</t>
  </si>
  <si>
    <t>34</t>
  </si>
  <si>
    <t>être (être constant)</t>
  </si>
  <si>
    <t>L' augmentation a été constante .</t>
  </si>
  <si>
    <t>file://conllu/fr/teddy-918.conllu#s34_0</t>
  </si>
  <si>
    <t>35</t>
  </si>
  <si>
    <t>alors?</t>
  </si>
  <si>
    <t>être (être cause)</t>
  </si>
  <si>
    <t>Ce n' est qu' à cause de divers changements économiques que ça s' est ralenti , alors nous devons donc passer d' une hausse rapide à une baisse , jusqu' à descendre à zéro .</t>
  </si>
  <si>
    <t>file://conllu/fr/teddy-918.conllu#s35_0</t>
  </si>
  <si>
    <t>36</t>
  </si>
  <si>
    <t>Cette équation a quatre facteurs .</t>
  </si>
  <si>
    <t>file://conllu/fr/teddy-918.conllu#s36_0</t>
  </si>
  <si>
    <t>37</t>
  </si>
  <si>
    <t>faire</t>
  </si>
  <si>
    <t>Faisons un peu de multiplication .</t>
  </si>
  <si>
    <t>file://conllu/fr/teddy-918.conllu#s37_0</t>
  </si>
  <si>
    <t>38</t>
  </si>
  <si>
    <t>Bon , on a quelque chose à gauche , le CO2 , qu' on veut réduire à zéro , et ça va être basé sur le nombre de personnes , les services que chaque personne utilise , en moyenne , l' énergie utilisée en moyenne pour chaque service , et le CO2 rejeté , par unité d' énergie .</t>
  </si>
  <si>
    <t>file://conllu/fr/teddy-918.conllu#s38_0</t>
  </si>
  <si>
    <t>39</t>
  </si>
  <si>
    <t>pencher</t>
  </si>
  <si>
    <t>Alors , penchons -nous sur chacun de ces membres , et voyons comment on peut réduire le résultat à zéro .</t>
  </si>
  <si>
    <t>file://conllu/fr/teddy-918.conllu#s39_0</t>
  </si>
  <si>
    <t>40</t>
  </si>
  <si>
    <t>soit?</t>
  </si>
  <si>
    <t>falloir</t>
  </si>
  <si>
    <t>Il faudra probablement que l' un de ces chiffres soit tout proche de zéro .</t>
  </si>
  <si>
    <t>file://conllu/fr/teddy-918.conllu#s40_0</t>
  </si>
  <si>
    <t>41</t>
  </si>
  <si>
    <t>mais?</t>
  </si>
  <si>
    <t>être (être niveau)</t>
  </si>
  <si>
    <t>C' est du de le niveau de l' algèbre du de le secondaire , mais jetons un coup d' oeil .</t>
  </si>
  <si>
    <t>file://conllu/fr/teddy-918.conllu#s41_0</t>
  </si>
  <si>
    <t>42</t>
  </si>
  <si>
    <t>avoir (avoir population)</t>
  </si>
  <si>
    <t>D' abord nous avons la population .</t>
  </si>
  <si>
    <t>file://conllu/fr/teddy-918.conllu#s42_0</t>
  </si>
  <si>
    <t>43</t>
  </si>
  <si>
    <t>compter</t>
  </si>
  <si>
    <t>Le monde compte aujourd'hui 6,8 milliards de personnes .</t>
  </si>
  <si>
    <t>file://conllu/fr/teddy-918.conllu#s43_0</t>
  </si>
  <si>
    <t>44</t>
  </si>
  <si>
    <t>On devrait atteindre les 9 milliards .</t>
  </si>
  <si>
    <t>file://conllu/fr/teddy-918.conllu#s44_0</t>
  </si>
  <si>
    <t>45</t>
  </si>
  <si>
    <t>Avec de très bons résultats sur les nouveaux vaccins , les soins de santé , le contrôle des de les naissances , on pourrait le réduire de , peut-être , 10 ou 15 pour cent , mais on gardera un facteur d' augmentation d' environ 1,3 .</t>
  </si>
  <si>
    <t>file://conllu/fr/teddy-918.conllu#s45_0</t>
  </si>
  <si>
    <t>46</t>
  </si>
  <si>
    <t>concerner</t>
  </si>
  <si>
    <t>Le deuxième facteur concerne les services que nous utilisons .</t>
  </si>
  <si>
    <t>file://conllu/fr/teddy-918.conllu#s46_0</t>
  </si>
  <si>
    <t>47</t>
  </si>
  <si>
    <t>englober</t>
  </si>
  <si>
    <t>Cela englobe tout , la nourriture que nous mangeons , les vêtements , la télévision , le chauffage .</t>
  </si>
  <si>
    <t>file://conllu/fr/teddy-918.conllu#s47_0</t>
  </si>
  <si>
    <t>48</t>
  </si>
  <si>
    <t>signifier</t>
  </si>
  <si>
    <t>Ce sont de très bonnes choses , et se débarrasser de la pauvreté signifie pouvoir fournir ces services à presque tout le monde sur la planète .</t>
  </si>
  <si>
    <t>file://conllu/fr/teddy-918.conllu#s48_0</t>
  </si>
  <si>
    <t>49</t>
  </si>
  <si>
    <t>augmenter</t>
  </si>
  <si>
    <t>Et c' est une bonne chose que ce chiffre augmente .</t>
  </si>
  <si>
    <t>file://conllu/fr/teddy-918.conllu#s49_0</t>
  </si>
  <si>
    <t>50</t>
  </si>
  <si>
    <t>pourroir</t>
  </si>
  <si>
    <t>Dans le monde riche , peut-être le milliard du de le haut , nous pourrions probablement les réduire , en utiliser moins , mais chaque année , ce chiffre , en moyenne , va monter , et finira par plus que doubler le nombre de services fournis par personne .</t>
  </si>
  <si>
    <t>file://conllu/fr/teddy-918.conllu#s50_0</t>
  </si>
  <si>
    <t>51</t>
  </si>
  <si>
    <t>avoir (avoir exemple)</t>
  </si>
  <si>
    <t>Ici nous avons un exemple de service très basique .</t>
  </si>
  <si>
    <t>file://conllu/fr/teddy-918.conllu#s51_0</t>
  </si>
  <si>
    <t>52</t>
  </si>
  <si>
    <t>Vous avez à la maison un éclairage suffisant pour lire et faire les devoirs scolaires .</t>
  </si>
  <si>
    <t>file://conllu/fr/teddy-918.conllu#s52_0</t>
  </si>
  <si>
    <t>53</t>
  </si>
  <si>
    <t>enfant</t>
  </si>
  <si>
    <t>Pas ces enfants .</t>
  </si>
  <si>
    <t>file://conllu/fr/teddy-918.conllu#s53_0</t>
  </si>
  <si>
    <t>54</t>
  </si>
  <si>
    <t>sortir</t>
  </si>
  <si>
    <t>Alors ils sortent et font leurs devoirs à la lumière des de les lampadaires de la rue .</t>
  </si>
  <si>
    <t>file://conllu/fr/teddy-918.conllu#s54_0</t>
  </si>
  <si>
    <t>55</t>
  </si>
  <si>
    <t>maintenant?</t>
  </si>
  <si>
    <t>efficacité</t>
  </si>
  <si>
    <t>Maintenant , l' efficacité , &amp;quot; E &amp;quot; , la quantité d' énergie pour chaque service , et ici , nous avons enfin de bonnes nouvelles .</t>
  </si>
  <si>
    <t>file://conllu/fr/teddy-918.conllu#s55_0</t>
  </si>
  <si>
    <t>56</t>
  </si>
  <si>
    <t>avoir (avoir chose)</t>
  </si>
  <si>
    <t>Nous avons quelque chose qui ne grimpe pas .</t>
  </si>
  <si>
    <t>file://conllu/fr/teddy-918.conllu#s56_0</t>
  </si>
  <si>
    <t>57</t>
  </si>
  <si>
    <t>grâce</t>
  </si>
  <si>
    <t>Grâce à diverses inventions et de nouvelles façons de faire de la lumière , grâce à de nouveaux types de voitures , des de les façons différentes de construire les bâtiments .</t>
  </si>
  <si>
    <t>file://conllu/fr/teddy-918.conllu#s57_0</t>
  </si>
  <si>
    <t>58</t>
  </si>
  <si>
    <t>Il y a beaucoup de services pour lesquels on peut réduire l' énergie de façon substantielle , et pour certains services particuliers , la réduire de 90 pour cent .</t>
  </si>
  <si>
    <t>file://conllu/fr/teddy-918.conllu#s58_0</t>
  </si>
  <si>
    <t>59</t>
  </si>
  <si>
    <t>exister</t>
  </si>
  <si>
    <t>Il existe d' autres services comme la façon de fabriquer les l' engrais , ou d' effectuer le transport aérien , où les marges d' amélioration sont beaucoup beaucoup plus réduites .</t>
  </si>
  <si>
    <t>file://conllu/fr/teddy-918.conllu#s59_0</t>
  </si>
  <si>
    <t>60</t>
  </si>
  <si>
    <t>en gros?</t>
  </si>
  <si>
    <t>Et donc , en gros , en étant optimistes , on pourrait obtenir une diminution d' un facteur de trois à , peut-être même , un facteur de six .</t>
  </si>
  <si>
    <t>file://conllu/fr/teddy-918.conllu#s60_0</t>
  </si>
  <si>
    <t>61</t>
  </si>
  <si>
    <t>mieux?</t>
  </si>
  <si>
    <t>Pour l' ensemble de ces trois premiers facteurs , nous sommes au à le mieux passés de 26 milliards à , peut-être 13 milliards de tonnes , et ce n' est pas suffisant .</t>
  </si>
  <si>
    <t>file://conllu/fr/teddy-918.conllu#s61_0</t>
  </si>
  <si>
    <t>62</t>
  </si>
  <si>
    <t>voir</t>
  </si>
  <si>
    <t>Alors , voyons ce quatrième facteur qui va être un facteur clé et c' est la quantité de CO2 dégagée par unité d' énergie .</t>
  </si>
  <si>
    <t>file://conllu/fr/teddy-918.conllu#s62_0</t>
  </si>
  <si>
    <t>63</t>
  </si>
  <si>
    <t>être (être pouvoir)</t>
  </si>
  <si>
    <t>Et donc , la question est : &amp;quot; Peut -on le réduire à zéro ? &amp;quot;</t>
  </si>
  <si>
    <t>file://conllu/fr/teddy-918.conllu#s63_0</t>
  </si>
  <si>
    <t>64</t>
  </si>
  <si>
    <t>en?</t>
  </si>
  <si>
    <t>être (être non)</t>
  </si>
  <si>
    <t>En brûlant du de le charbon , la réponse est non .</t>
  </si>
  <si>
    <t>file://conllu/fr/teddy-918.conllu#s64_0</t>
  </si>
  <si>
    <t>65</t>
  </si>
  <si>
    <t>brûler</t>
  </si>
  <si>
    <t>Si vous brûlez du de le gaz naturel , non plus .</t>
  </si>
  <si>
    <t>file://conllu/fr/teddy-918.conllu#s65_0</t>
  </si>
  <si>
    <t>66</t>
  </si>
  <si>
    <t>rejetter</t>
  </si>
  <si>
    <t>Presque toutes les techniques pour produire aujourd'hui de l' électricité , en dehors des de les énergies renouvelables et du de le nucléaire , rejettent du de le CO2 .</t>
  </si>
  <si>
    <t>file://conllu/fr/teddy-918.conllu#s66_0</t>
  </si>
  <si>
    <t>67</t>
  </si>
  <si>
    <t>Et donc , ce que nous allons devoir faire à une échelle globale , c' est de créer un nouveau système .</t>
  </si>
  <si>
    <t>file://conllu/fr/teddy-918.conllu#s67_0</t>
  </si>
  <si>
    <t>68</t>
  </si>
  <si>
    <t>Alors , il nous faut des de les miracles dans le domaine de l' énergie .</t>
  </si>
  <si>
    <t>file://conllu/fr/teddy-918.conllu#s68_0</t>
  </si>
  <si>
    <t>69</t>
  </si>
  <si>
    <t>quand?</t>
  </si>
  <si>
    <t>utiliser (utiliser vouloir)</t>
  </si>
  <si>
    <t>Mais quand j' utilise le mot miracle , je ne veux pas dire quelque chose d' impossible .</t>
  </si>
  <si>
    <t>file://conllu/fr/teddy-918.conllu#s69_0</t>
  </si>
  <si>
    <t>70</t>
  </si>
  <si>
    <t>être (être miracle)</t>
  </si>
  <si>
    <t>Le microprocesseur est un miracle .</t>
  </si>
  <si>
    <t>file://conllu/fr/teddy-918.conllu#s70_0</t>
  </si>
  <si>
    <t>71</t>
  </si>
  <si>
    <t>L' ordinateur personnel est un miracle .</t>
  </si>
  <si>
    <t>file://conllu/fr/teddy-918.conllu#s71_0</t>
  </si>
  <si>
    <t>72</t>
  </si>
  <si>
    <t>L' Internet et les services web sont un miracle .</t>
  </si>
  <si>
    <t>file://conllu/fr/teddy-918.conllu#s72_0</t>
  </si>
  <si>
    <t>73</t>
  </si>
  <si>
    <t>participer</t>
  </si>
  <si>
    <t>Dans ce sens , les gens présents ici ont participé à la création de nombreux miracles .</t>
  </si>
  <si>
    <t>file://conllu/fr/teddy-918.conllu#s73_0</t>
  </si>
  <si>
    <t>74</t>
  </si>
  <si>
    <t>D' habitude , on n' a pas de date butoir , où il faut réaliser le miracle pour une date donnée .</t>
  </si>
  <si>
    <t>file://conllu/fr/teddy-918.conllu#s74_0</t>
  </si>
  <si>
    <t>75</t>
  </si>
  <si>
    <t>produire (produire tenir)</t>
  </si>
  <si>
    <t>D' habitude , on se tient juste prêts , et alors certains se produisent , d' autres pas .</t>
  </si>
  <si>
    <t>file://conllu/fr/teddy-918.conllu#s75_0</t>
  </si>
  <si>
    <t>76</t>
  </si>
  <si>
    <t>Dans le cas présent , il faut aller à toute vitesse et obtenir un miracle avec un calendrier assez restreint .</t>
  </si>
  <si>
    <t>file://conllu/fr/teddy-918.conllu#s76_0</t>
  </si>
  <si>
    <t>77</t>
  </si>
  <si>
    <t>Je me suis demandé comment je pourrais résumer visuellement cela .</t>
  </si>
  <si>
    <t>file://conllu/fr/teddy-918.conllu#s77_0</t>
  </si>
  <si>
    <t>78</t>
  </si>
  <si>
    <t>Y aurait -il une sorte d' illustration venant de la nature , une démonstration qui saisirait l' imagination des de les gens ici ?</t>
  </si>
  <si>
    <t>file://conllu/fr/teddy-918.conllu#s78_0</t>
  </si>
  <si>
    <t>79</t>
  </si>
  <si>
    <t>repenser</t>
  </si>
  <si>
    <t>J' ai repensé à l' année dernière , quand j' avais apporté des de les moustiques , les gens avaient bien aimé .</t>
  </si>
  <si>
    <t>file://conllu/fr/teddy-918.conllu#s79_0</t>
  </si>
  <si>
    <t>80</t>
  </si>
  <si>
    <t>permettre</t>
  </si>
  <si>
    <t>( Rires ) Ça leur avait permis de vraiment intégrer l' idée qu' il y a des de les gens qui vivent avec les moustiques .</t>
  </si>
  <si>
    <t>file://conllu/fr/teddy-918.conllu#s80_0</t>
  </si>
  <si>
    <t>81</t>
  </si>
  <si>
    <t>être (être ça)</t>
  </si>
  <si>
    <t>Donc , avec l' énergie , tout ce que à quoi j' ai pu arriver , c' est ça .</t>
  </si>
  <si>
    <t>file://conllu/fr/teddy-918.conllu#s81_0</t>
  </si>
  <si>
    <t>82</t>
  </si>
  <si>
    <t>décider</t>
  </si>
  <si>
    <t>J' ai décidé que libérer des de les lucioles serait ma contribution à l' environnement ici , cette année .</t>
  </si>
  <si>
    <t>file://conllu/fr/teddy-918.conllu#s82_0</t>
  </si>
  <si>
    <t>83</t>
  </si>
  <si>
    <t>voici</t>
  </si>
  <si>
    <t>Voici donc ici des de les lucioles naturelles .</t>
  </si>
  <si>
    <t>file://conllu/fr/teddy-918.conllu#s83_0</t>
  </si>
  <si>
    <t>84</t>
  </si>
  <si>
    <t>dire</t>
  </si>
  <si>
    <t>On m' a dit qu' elles ne mordent pas , en fait , elles pourraient bien ne pas quitter ce pot .</t>
  </si>
  <si>
    <t>file://conllu/fr/teddy-918.conllu#s84_0</t>
  </si>
  <si>
    <t>85</t>
  </si>
  <si>
    <t>comme ça?</t>
  </si>
  <si>
    <t>Il y a toutes sortes de solutions astucieuses comme ça , mais elles n' apportent pas grand chose , en fait .</t>
  </si>
  <si>
    <t>file://conllu/fr/teddy-918.conllu#s85_0</t>
  </si>
  <si>
    <t>86</t>
  </si>
  <si>
    <t>avoir (avoir besoin)</t>
  </si>
  <si>
    <t>Nous avons besoin d' une ou de plusieurs solutions , qui fonctionnent à une échelle immense , avec une immense fiabilité , et , bien qu' on cherche dans nombreuses directions , Je n' en vois vraiment que cinq qui tiennent la route .</t>
  </si>
  <si>
    <t>file://conllu/fr/teddy-918.conllu#s86_0</t>
  </si>
  <si>
    <t>87</t>
  </si>
  <si>
    <t>laisser</t>
  </si>
  <si>
    <t>J' ai laissé de côté l' énergie marémotrice , la géothermie , la fusion , les biocarburants .</t>
  </si>
  <si>
    <t>file://conllu/fr/teddy-918.conllu#s87_0</t>
  </si>
  <si>
    <t>88</t>
  </si>
  <si>
    <t>apporter</t>
  </si>
  <si>
    <t>Elles apporteront leur contribution , et si c' est plus que je ne pense , tant mieux , mais mon idée là-dessus , c' est que sur ces cinq-là , il y a encore du de le travail à faire , et nous ne pouvons en laisser tomber aucune , même si ça paraît difficile , même si les défis à relever semblent importants .</t>
  </si>
  <si>
    <t>file://conllu/fr/teddy-918.conllu#s88_0</t>
  </si>
  <si>
    <t>89</t>
  </si>
  <si>
    <t>Regardon</t>
  </si>
  <si>
    <t>Regardons d' abord la combustion des de les combustibles fossiles , qu' il s' agisse du de le charbon ou du de le gaz naturel .</t>
  </si>
  <si>
    <t>file://conllu/fr/teddy-918.conllu#s89_0</t>
  </si>
  <si>
    <t>90</t>
  </si>
  <si>
    <t>Ce qu' il faut faire là paraît simple , mais ça ne l' est pas , c' est de prendre tout le CO2 , après la combustion , le sortir du de le circuit , le mette sous pression , le rendre liquide , le mettre quelque part , et espérer qu' il y reste .</t>
  </si>
  <si>
    <t>file://conllu/fr/teddy-918.conllu#s90_0</t>
  </si>
  <si>
    <t>91</t>
  </si>
  <si>
    <t>Il y a des de les projets avancés permettant de réaliser cela à 60 à 80 % , mais arriver à 100 % , ça sera très délicat , et ce sera difficile de convenir de l' endroit où tout ce CO2 devrait être mis , mais le plus dur est ici la question du de le long terme .</t>
  </si>
  <si>
    <t>file://conllu/fr/teddy-918.conllu#s91_0</t>
  </si>
  <si>
    <t>92</t>
  </si>
  <si>
    <t>Qui pourra avoir cette certitude ?</t>
  </si>
  <si>
    <t>file://conllu/fr/teddy-918.conllu#s92_0</t>
  </si>
  <si>
    <t>93</t>
  </si>
  <si>
    <t>Qui pourra garantir quelque chose qui est des de les milliards de fois plus volumineux que tout autre type de déchets auquel à lequel vous pouvez penser , nucléaires ou autres ?</t>
  </si>
  <si>
    <t>file://conllu/fr/teddy-918.conllu#s93_0</t>
  </si>
  <si>
    <t>94</t>
  </si>
  <si>
    <t>Cela fait beaucoup de volume .</t>
  </si>
  <si>
    <t>file://conllu/fr/teddy-918.conllu#s94_0</t>
  </si>
  <si>
    <t>95</t>
  </si>
  <si>
    <t>être (être difficile)</t>
  </si>
  <si>
    <t>Alors ce sera difficile pour cette solution .</t>
  </si>
  <si>
    <t>file://conllu/fr/teddy-918.conllu#s95_0</t>
  </si>
  <si>
    <t>96</t>
  </si>
  <si>
    <t>ensuite?</t>
  </si>
  <si>
    <t>Ensuite , il y a le nucléaire .</t>
  </si>
  <si>
    <t>file://conllu/fr/teddy-918.conllu#s96_0</t>
  </si>
  <si>
    <t>97</t>
  </si>
  <si>
    <t>aussi?</t>
  </si>
  <si>
    <t>présenter</t>
  </si>
  <si>
    <t>Qui présente aussi trois gros problèmes :</t>
  </si>
  <si>
    <t>file://conllu/fr/teddy-918.conllu#s97_0</t>
  </si>
  <si>
    <t>98</t>
  </si>
  <si>
    <t>être (être élever)</t>
  </si>
  <si>
    <t>Le coût , en particulier dans les pays fortement réglementés , est élevé .</t>
  </si>
  <si>
    <t>file://conllu/fr/teddy-918.conllu#s98_0</t>
  </si>
  <si>
    <t>99</t>
  </si>
  <si>
    <t>La question de la sécurité , d' être vraiment sûrs qu' il n y aura pas de problème , que , même en ayant des de les opérateurs humains , le combustible ne soit pas utilisé pour les armes .</t>
  </si>
  <si>
    <t>file://conllu/fr/teddy-918.conllu#s99_0</t>
  </si>
  <si>
    <t>100</t>
  </si>
  <si>
    <t>et puis?</t>
  </si>
  <si>
    <t>Et puis , que faire avec les déchets ?</t>
  </si>
  <si>
    <t>file://conllu/fr/teddy-918.conllu#s100_0</t>
  </si>
  <si>
    <t>101</t>
  </si>
  <si>
    <t>poser</t>
  </si>
  <si>
    <t>Et , bien que le volume ne soit pas pas très impotant , il pose de nombreux problèmes .</t>
  </si>
  <si>
    <t>file://conllu/fr/teddy-918.conllu#s101_0</t>
  </si>
  <si>
    <t>102</t>
  </si>
  <si>
    <t>Les gens ont besoin de se sentir bien là-dessus .</t>
  </si>
  <si>
    <t>file://conllu/fr/teddy-918.conllu#s102_0</t>
  </si>
  <si>
    <t>103</t>
  </si>
  <si>
    <t>problème</t>
  </si>
  <si>
    <t>Donc , trois problèmes très difficiles qui pourraient être résolus , et donc , sur lesquels il faudrait travailler .</t>
  </si>
  <si>
    <t>file://conllu/fr/teddy-918.conllu#s103_0</t>
  </si>
  <si>
    <t>104</t>
  </si>
  <si>
    <t>regrouper</t>
  </si>
  <si>
    <t>Les trois derniers des de les cinq , je les ai regroupés .</t>
  </si>
  <si>
    <t>file://conllu/fr/teddy-918.conllu#s104_0</t>
  </si>
  <si>
    <t>105</t>
  </si>
  <si>
    <t>Ce sont ceux auxquels à lesquels les gens font souvent référence en tant qu' énergies renouvelables .</t>
  </si>
  <si>
    <t>file://conllu/fr/teddy-918.conllu#s105_0</t>
  </si>
  <si>
    <t>106</t>
  </si>
  <si>
    <t>même si?</t>
  </si>
  <si>
    <t>Mais en fait même si c' est génial qu' elles ne nécessitent aucun carburant elles présentent quelques inconvénients .</t>
  </si>
  <si>
    <t>file://conllu/fr/teddy-918.conllu#s106_0</t>
  </si>
  <si>
    <t>107</t>
  </si>
  <si>
    <t>est</t>
  </si>
  <si>
    <t>Le premier est que la densité d' énergie produite grâce à ces technologies est considérablement inférieure à celle d' une centrale électrique .</t>
  </si>
  <si>
    <t>file://conllu/fr/teddy-918.conllu#s107_0</t>
  </si>
  <si>
    <t>108</t>
  </si>
  <si>
    <t>agir</t>
  </si>
  <si>
    <t>Il s' agit de fermes à énergie , on parle là de nombreux kilomètres carrés , des de les milliers de fois plus d' espace que pour une centrale à énergie normale .</t>
  </si>
  <si>
    <t>file://conllu/fr/teddy-918.conllu#s108_0</t>
  </si>
  <si>
    <t>109</t>
  </si>
  <si>
    <t>de plus?</t>
  </si>
  <si>
    <t>être (être source)</t>
  </si>
  <si>
    <t>De plus ce sont des de les sources fonctionnant par intermittence .</t>
  </si>
  <si>
    <t>file://conllu/fr/teddy-918.conllu#s109_0</t>
  </si>
  <si>
    <t>110</t>
  </si>
  <si>
    <t>briller</t>
  </si>
  <si>
    <t>Le soleil ne brille pas toute la journée , il ne brille pas tous les jours , et , pareillement , le vent ne souffle pas tout le temps .</t>
  </si>
  <si>
    <t>file://conllu/fr/teddy-918.conllu#s110_0</t>
  </si>
  <si>
    <t>111</t>
  </si>
  <si>
    <t>Et donc , si vous dépendez de ces sources , vous devez avoir un moyen d' obtenir de l' énergie pendant ces périodes de temps où elle n' est pas disponible .</t>
  </si>
  <si>
    <t>file://conllu/fr/teddy-918.conllu#s111_0</t>
  </si>
  <si>
    <t>112</t>
  </si>
  <si>
    <t>Nous avons ici de gros problèmes de coûts .</t>
  </si>
  <si>
    <t>file://conllu/fr/teddy-918.conllu#s112_0</t>
  </si>
  <si>
    <t>113</t>
  </si>
  <si>
    <t>Nous avons des de les problèmes de transmission .</t>
  </si>
  <si>
    <t>file://conllu/fr/teddy-918.conllu#s113_0</t>
  </si>
  <si>
    <t>114</t>
  </si>
  <si>
    <t>par exemple?</t>
  </si>
  <si>
    <t>Par exemple , disons que cette source d' énergie est en dehors de votre pays , alors non seulement vous avez besoin de la technologie , mais vous devez faire face au à le risque d' une énergie venue d' ailleurs .</t>
  </si>
  <si>
    <t>file://conllu/fr/teddy-918.conllu#s114_0</t>
  </si>
  <si>
    <t>115</t>
  </si>
  <si>
    <t>finalement?</t>
  </si>
  <si>
    <t>Et , finalement , il y a ce problème de stockage .</t>
  </si>
  <si>
    <t>file://conllu/fr/teddy-918.conllu#s115_0</t>
  </si>
  <si>
    <t>116</t>
  </si>
  <si>
    <t>Alors , pour dimensionner cela , j' ai étudié tous les types de batteries qu' on fabrique , pour les voitures , pour les ordinateurs , les téléphones , les lampes de poche , pour tout , et comparé cela à la quantité d' énergie électrique utilisée dans le monde , et ce que j' ai constaté , c' est que la totalité des de les batteries que nous faisons aujourd'hui pourrait stocker moins de 10 minutes de toute l' énergie .</t>
  </si>
  <si>
    <t>file://conllu/fr/teddy-918.conllu#s116_0</t>
  </si>
  <si>
    <t>117</t>
  </si>
  <si>
    <t>Alors , en fait , nous avons besoin d' une percée importante ici , quelque chose qui puisse améliorer d' un facteur de 100 les approches que nous avons actuellement .</t>
  </si>
  <si>
    <t>file://conllu/fr/teddy-918.conllu#s117_0</t>
  </si>
  <si>
    <t>118</t>
  </si>
  <si>
    <t>être (être impossible)</t>
  </si>
  <si>
    <t>Ce n' est pas impossible , mais ce n' est pas une chose très facile .</t>
  </si>
  <si>
    <t>file://conllu/fr/teddy-918.conllu#s118_0</t>
  </si>
  <si>
    <t>119</t>
  </si>
  <si>
    <t>être (être ce)</t>
  </si>
  <si>
    <t>C' est ce qu' on voit quand on essaie d' obtenir d' une source intermittente plus de , disons , 20 à 30 pour cent de ce qu' on utilise .</t>
  </si>
  <si>
    <t>file://conllu/fr/teddy-918.conllu#s119_0</t>
  </si>
  <si>
    <t>120</t>
  </si>
  <si>
    <t>Si on compte sur cette source pour fournir les 100 % , vous avez besoin d' une incroyable batterie miracle .</t>
  </si>
  <si>
    <t>file://conllu/fr/teddy-918.conllu#s120_0</t>
  </si>
  <si>
    <t>121</t>
  </si>
  <si>
    <t>essair</t>
  </si>
  <si>
    <t>Bon , essayons d' avancer sur la question de la bonne approche à adopter .</t>
  </si>
  <si>
    <t>file://conllu/fr/teddy-918.conllu#s121_0</t>
  </si>
  <si>
    <t>122</t>
  </si>
  <si>
    <t>Est -ce que c' est un nouveau &amp;quot; Projet Manhattan &amp;quot; ?</t>
  </si>
  <si>
    <t>file://conllu/fr/teddy-918.conllu#s122_0</t>
  </si>
  <si>
    <t>123</t>
  </si>
  <si>
    <t>moyen</t>
  </si>
  <si>
    <t>Quels moyens pour y arriver ?</t>
  </si>
  <si>
    <t>file://conllu/fr/teddy-918.conllu#s123_0</t>
  </si>
  <si>
    <t>124</t>
  </si>
  <si>
    <t>Eh bien , il nous faut un grand nombre d' entreprises pour travailler sur le sujet , des de les centaines .</t>
  </si>
  <si>
    <t>file://conllu/fr/teddy-918.conllu#s124_0</t>
  </si>
  <si>
    <t>125</t>
  </si>
  <si>
    <t>Dans chacune de ces cinq voies , nous avons besoin d' au à le moins une centaine de personnes .</t>
  </si>
  <si>
    <t>file://conllu/fr/teddy-918.conllu#s125_0</t>
  </si>
  <si>
    <t>126</t>
  </si>
  <si>
    <t>penser</t>
  </si>
  <si>
    <t>Et pour beaucoup d' entre eux , vous penserez qu' ils sont fous .</t>
  </si>
  <si>
    <t>file://conllu/fr/teddy-918.conllu#s126_0</t>
  </si>
  <si>
    <t>127</t>
  </si>
  <si>
    <t>être (être parfait)</t>
  </si>
  <si>
    <t>C' est parfait .</t>
  </si>
  <si>
    <t>file://conllu/fr/teddy-918.conllu#s127_0</t>
  </si>
  <si>
    <t>128</t>
  </si>
  <si>
    <t>déjà?</t>
  </si>
  <si>
    <t>poursuivre (poursuivre penser)</t>
  </si>
  <si>
    <t>Et , je pense qu' ici , dans le groupe TED , beaucoup de gens poursuivent déjà ces voies .</t>
  </si>
  <si>
    <t>file://conllu/fr/teddy-918.conllu#s128_0</t>
  </si>
  <si>
    <t>129</t>
  </si>
  <si>
    <t>posséder</t>
  </si>
  <si>
    <t>Bill Gross possède plusieurs sociétés , dont une appelé eSolar qui maîtrise quelques importantes technologies thermiques solaires .</t>
  </si>
  <si>
    <t>file://conllu/fr/teddy-918.conllu#s129_0</t>
  </si>
  <si>
    <t>130</t>
  </si>
  <si>
    <t>investir</t>
  </si>
  <si>
    <t>Vinod Khosla investit dans des de les douzaines d' entreprises qui font de grandes choses et ont d' intéressantes possibilités , et j' essaie d' aider à soutenir financièrement ces projets .</t>
  </si>
  <si>
    <t>file://conllu/fr/teddy-918.conllu#s130_0</t>
  </si>
  <si>
    <t>131</t>
  </si>
  <si>
    <t>soutenir</t>
  </si>
  <si>
    <t>En fait , Nathan Myhrvold et moi , nous soutenons financièrement une société qui , cela vous étonnera peut-être , a choisi l' approche nucléaire .</t>
  </si>
  <si>
    <t>file://conllu/fr/teddy-918.conllu#s131_0</t>
  </si>
  <si>
    <t>132</t>
  </si>
  <si>
    <t>yer</t>
  </si>
  <si>
    <t>Il ya quelques innovations dans le nucléaire : modulaire , liquide .</t>
  </si>
  <si>
    <t>file://conllu/fr/teddy-918.conllu#s132_0</t>
  </si>
  <si>
    <t>133</t>
  </si>
  <si>
    <t>depuis?</t>
  </si>
  <si>
    <t>cesser</t>
  </si>
  <si>
    <t>Et l' innovation avait vraiment cessé dans cette industrie depuis un certain temps , Alors , l' idée qu' il y ait quelques bonnes idées qui traînent n' est pas surprenant .</t>
  </si>
  <si>
    <t>file://conllu/fr/teddy-918.conllu#s133_0</t>
  </si>
  <si>
    <t>134</t>
  </si>
  <si>
    <t>être (être lieu)</t>
  </si>
  <si>
    <t>L' idée de Terrapower est , qu' au à le lieu de brûler une partie de l' uranium , ce un pour cent , qui est le U235 , on a décidé de brûler les autres 99 % , le U238 .</t>
  </si>
  <si>
    <t>file://conllu/fr/teddy-918.conllu#s134_0</t>
  </si>
  <si>
    <t>135</t>
  </si>
  <si>
    <t>être (être idée)</t>
  </si>
  <si>
    <t>C' est une idée un peu folle .</t>
  </si>
  <si>
    <t>file://conllu/fr/teddy-918.conllu#s135_0</t>
  </si>
  <si>
    <t>136</t>
  </si>
  <si>
    <t>parler (parler faire)</t>
  </si>
  <si>
    <t>En fait , ça faisait longtemps que des de les gens en parlaient , mais ils n' étaient jamais arrivés à simuler correctement si ça marcherait ou non , alors c' est grâce à l' avènement des de les super-ordinateurs modernes qu' on a pu effectuer la simulation , et voir que , oui , avec la bonne approche sur les matériaux , il semble que ça peut marcher .</t>
  </si>
  <si>
    <t>file://conllu/fr/teddy-918.conllu#s136_0</t>
  </si>
  <si>
    <t>137</t>
  </si>
  <si>
    <t>améliorer</t>
  </si>
  <si>
    <t>Et , parce que vous brûlez ces 99 pour cent , vous avez énormément amélioré le profil des de les coûts .</t>
  </si>
  <si>
    <t>file://conllu/fr/teddy-918.conllu#s137_0</t>
  </si>
  <si>
    <t>138</t>
  </si>
  <si>
    <t>être (être déchet)</t>
  </si>
  <si>
    <t>Ce que vous brûlez , ce sont les déchets , et vous pouvez utiliser comme combustible tous les surplus de déchets produits par les réacteurs d' aujourd'hui .</t>
  </si>
  <si>
    <t>file://conllu/fr/teddy-918.conllu#s138_0</t>
  </si>
  <si>
    <t>139</t>
  </si>
  <si>
    <t>ainsi?</t>
  </si>
  <si>
    <t>utiliser</t>
  </si>
  <si>
    <t>Ainsi , au à le lieu de s' en inquiéter à leur sujet , on les utilise .</t>
  </si>
  <si>
    <t>file://conllu/fr/teddy-918.conllu#s139_0</t>
  </si>
  <si>
    <t>140</t>
  </si>
  <si>
    <t>Ça , c' est quelque chose .</t>
  </si>
  <si>
    <t>file://conllu/fr/teddy-918.conllu#s140_0</t>
  </si>
  <si>
    <t>141</t>
  </si>
  <si>
    <t>aspirer</t>
  </si>
  <si>
    <t>Ça aspire cet uranium en fonctionnant .</t>
  </si>
  <si>
    <t>file://conllu/fr/teddy-918.conllu#s141_0</t>
  </si>
  <si>
    <t>142</t>
  </si>
  <si>
    <t>comme?</t>
  </si>
  <si>
    <t>être (être bougie)</t>
  </si>
  <si>
    <t>C' est un peu comme une bougie .</t>
  </si>
  <si>
    <t>file://conllu/fr/teddy-918.conllu#s142_0</t>
  </si>
  <si>
    <t>143</t>
  </si>
  <si>
    <t>Vous pouvez voir ça comme une bûche , on en a souvent parlé comme du de le &amp;quot; réacteur à vague d' ondes &amp;quot; .</t>
  </si>
  <si>
    <t>file://conllu/fr/teddy-918.conllu#s143_0</t>
  </si>
  <si>
    <t>144</t>
  </si>
  <si>
    <t>résoudre</t>
  </si>
  <si>
    <t>En termes de carburant , ça résout vraiment le problème .</t>
  </si>
  <si>
    <t>file://conllu/fr/teddy-918.conllu#s144_0</t>
  </si>
  <si>
    <t>145</t>
  </si>
  <si>
    <t>J' ai une photo ici d' un lieu dans le Kentucky .</t>
  </si>
  <si>
    <t>file://conllu/fr/teddy-918.conllu#s145_0</t>
  </si>
  <si>
    <t>146</t>
  </si>
  <si>
    <t>être (être reste)</t>
  </si>
  <si>
    <t>Ce sont les &amp;quot; restes &amp;quot; , les 99 pour cent , dont on a enlevé toute la partie qu' on brûle actuellement , alors on appelle ça &amp;quot; uranium appauvri &amp;quot; .</t>
  </si>
  <si>
    <t>file://conllu/fr/teddy-918.conllu#s146_0</t>
  </si>
  <si>
    <t>147</t>
  </si>
  <si>
    <t>Cela permettrait d' alimenter les États-Unis pour des de les centaines d' années .</t>
  </si>
  <si>
    <t>file://conllu/fr/teddy-918.conllu#s147_0</t>
  </si>
  <si>
    <t>148</t>
  </si>
  <si>
    <t>Et , par un processus peu coûteux , simplement en filtrant l' eau de mer on aurait assez de carburant pour toute la vie du de le reste de la planète .</t>
  </si>
  <si>
    <t>file://conllu/fr/teddy-918.conllu#s148_0</t>
  </si>
  <si>
    <t>149</t>
  </si>
  <si>
    <t>encore?</t>
  </si>
  <si>
    <t>rester</t>
  </si>
  <si>
    <t>D' accord , il reste encore beaucoup de chemin à faire , mais c' est un exemple parmi les centaines et les centaines d' idées dont nous avons besoin pour avancer .</t>
  </si>
  <si>
    <t>file://conllu/fr/teddy-918.conllu#s149_0</t>
  </si>
  <si>
    <t>150</t>
  </si>
  <si>
    <t>Réfléchisre</t>
  </si>
  <si>
    <t>Réfléchissons , comment allons -nous établir notre échelle de notation ?</t>
  </si>
  <si>
    <t>file://conllu/fr/teddy-918.conllu#s150_0</t>
  </si>
  <si>
    <t>151</t>
  </si>
  <si>
    <t>De quoi devrait avoir l' air notre feuille de route ?</t>
  </si>
  <si>
    <t>file://conllu/fr/teddy-918.conllu#s151_0</t>
  </si>
  <si>
    <t>152</t>
  </si>
  <si>
    <t>Commençer</t>
  </si>
  <si>
    <t>Commençons par le but que nous devons atteindre , et puis regardons les étapes intermédiaires .</t>
  </si>
  <si>
    <t>file://conllu/fr/teddy-918.conllu#s152_0</t>
  </si>
  <si>
    <t>153</t>
  </si>
  <si>
    <t>entendre</t>
  </si>
  <si>
    <t>Pour 2050 , vous avez entendu beaucoup de gens parler de cette réduction de 80 pour cent .</t>
  </si>
  <si>
    <t>file://conllu/fr/teddy-918.conllu#s153_0</t>
  </si>
  <si>
    <t>154</t>
  </si>
  <si>
    <t>C' est vraiment très important que nous y arrivions .</t>
  </si>
  <si>
    <t>file://conllu/fr/teddy-918.conllu#s154_0</t>
  </si>
  <si>
    <t>155</t>
  </si>
  <si>
    <t>provenir</t>
  </si>
  <si>
    <t>Et que les 20 % proviennent de ce qui se passe dans les pays pauvres , ou encore un peu de l' agriculture .</t>
  </si>
  <si>
    <t>file://conllu/fr/teddy-918.conllu#s155_0</t>
  </si>
  <si>
    <t>156</t>
  </si>
  <si>
    <t>espérer</t>
  </si>
  <si>
    <t>Espérons que d' ici là nous aurons une sylviculture et une industrie du de le ciment propres .</t>
  </si>
  <si>
    <t>file://conllu/fr/teddy-918.conllu#s156_0</t>
  </si>
  <si>
    <t>157</t>
  </si>
  <si>
    <t>Donc , pour arriver à ces 80 % , les pays développés , y compris des de les pays comme la Chine , auront eu à transformer complètement leurs méthodes de production d' électricité .</t>
  </si>
  <si>
    <t>file://conllu/fr/teddy-918.conllu#s157_0</t>
  </si>
  <si>
    <t>158</t>
  </si>
  <si>
    <t>Le niveau suivant , ce sera de mettre en oeuvre cette technologie zéro émission , de l' avoir mise en oeuvre dans tous les pays développés et d' être en passe de le faire dans les autres pays .</t>
  </si>
  <si>
    <t>file://conllu/fr/teddy-918.conllu#s158_0</t>
  </si>
  <si>
    <t>159</t>
  </si>
  <si>
    <t>C' est super important .</t>
  </si>
  <si>
    <t>file://conllu/fr/teddy-918.conllu#s159_0</t>
  </si>
  <si>
    <t>160</t>
  </si>
  <si>
    <t>être (être élément)</t>
  </si>
  <si>
    <t>C' est un élément essentiel pour tenir la feuille de route .</t>
  </si>
  <si>
    <t>file://conllu/fr/teddy-918.conllu#s160_0</t>
  </si>
  <si>
    <t>161</t>
  </si>
  <si>
    <t>revenir</t>
  </si>
  <si>
    <t>Alors , en revenant en arrière à partir de là , à quoi ressemble la feuille de route de 2020 ?</t>
  </si>
  <si>
    <t>file://conllu/fr/teddy-918.conllu#s161_0</t>
  </si>
  <si>
    <t>162</t>
  </si>
  <si>
    <t>Eh bien , là encore , on devrait avoir les deux éléments .</t>
  </si>
  <si>
    <t>file://conllu/fr/teddy-918.conllu#s162_0</t>
  </si>
  <si>
    <t>163</t>
  </si>
  <si>
    <t>Nous devons passer par des de les mesures d' efficacité pour commencer à obtenir des de les réductions .</t>
  </si>
  <si>
    <t>file://conllu/fr/teddy-918.conllu#s163_0</t>
  </si>
  <si>
    <t>164</t>
  </si>
  <si>
    <t>émettre</t>
  </si>
  <si>
    <t>Moins nous émettons , moins grande sera la somme de CO2 , et , par conséquent , moins chaude sera la température .</t>
  </si>
  <si>
    <t>file://conllu/fr/teddy-918.conllu#s164_0</t>
  </si>
  <si>
    <t>165</t>
  </si>
  <si>
    <t>Mais à certains égards , le niveau que nous atteindrons ici , en faisant des de les choses qui ne conduisent pas tout de suite à d' importantes réductions , n' est pas plus important , et peut-être même moins , que cet autre , qui est l' innovation sur laquelle reposent ces percées .</t>
  </si>
  <si>
    <t>file://conllu/fr/teddy-918.conllu#s165_0</t>
  </si>
  <si>
    <t>166</t>
  </si>
  <si>
    <t>Ces progrès , il faut que nous les réalisions à toute vitesse , et nous pouvons quantifier cela en termes de sociétés , de projets pilotes , de modifications des de les dispositions réglementaires .</t>
  </si>
  <si>
    <t>file://conllu/fr/teddy-918.conllu#s166_0</t>
  </si>
  <si>
    <t>167</t>
  </si>
  <si>
    <t>écrire</t>
  </si>
  <si>
    <t>Beaucoup de grands livres ont été écrits à ce sujet .</t>
  </si>
  <si>
    <t>file://conllu/fr/teddy-918.conllu#s167_0</t>
  </si>
  <si>
    <t>168</t>
  </si>
  <si>
    <t>livre</t>
  </si>
  <si>
    <t>Le livre de Al Gore , &amp;quot; Notre Choix &amp;quot; et le livre de David McKay , « L' énergie durable sans air chaud &amp;quot; .</t>
  </si>
  <si>
    <t>file://conllu/fr/teddy-918.conllu#s168_0</t>
  </si>
  <si>
    <t>169</t>
  </si>
  <si>
    <t>éclair</t>
  </si>
  <si>
    <t>Ils éclairent vraiment bien le sujet , et créent un cadre qui ouvre largement à la discussion , parce qu' on a besoin d' un soutien large pour cela .</t>
  </si>
  <si>
    <t>file://conllu/fr/teddy-918.conllu#s169_0</t>
  </si>
  <si>
    <t>170</t>
  </si>
  <si>
    <t>Beaucoup de choses doivent se produire en même temps .</t>
  </si>
  <si>
    <t>file://conllu/fr/teddy-918.conllu#s170_0</t>
  </si>
  <si>
    <t>171</t>
  </si>
  <si>
    <t>Il s' agit donc d' un souhait .</t>
  </si>
  <si>
    <t>file://conllu/fr/teddy-918.conllu#s171_0</t>
  </si>
  <si>
    <t>172</t>
  </si>
  <si>
    <t>être (être vœu)</t>
  </si>
  <si>
    <t>C' est un vœu très concret , que l' on invente cette technologie .</t>
  </si>
  <si>
    <t>file://conllu/fr/teddy-918.conllu#s172_0</t>
  </si>
  <si>
    <t>173</t>
  </si>
  <si>
    <t>être (être dernier)</t>
  </si>
  <si>
    <t>Si on me donnait un seul vœu à faire pour les 50 prochaines années , si je pouvais choisir le prochain Président , ou choisir un vaccin , ce qui est quelque chose que j' aime , ou encore choisir que cette chose soit inventée , un coût divisé par deux sans aucune émission de CO2 , c' est ce dernier que je choisirais .</t>
  </si>
  <si>
    <t>file://conllu/fr/teddy-918.conllu#s173_0</t>
  </si>
  <si>
    <t>174</t>
  </si>
  <si>
    <t>C' est celui qui aurait le plus grand impact .</t>
  </si>
  <si>
    <t>file://conllu/fr/teddy-918.conllu#s174_0</t>
  </si>
  <si>
    <t>175</t>
  </si>
  <si>
    <t>réaliser</t>
  </si>
  <si>
    <t>Si ce souhait ne se réalise pas , la division entre les gens qui pensent à court terme et à long terme sera terrible , entre les Etats-Unis et la Chine , entre pays pauvres et pays riches , et la vie sera bien pire pour la plupart de ces deux milliards de gens .</t>
  </si>
  <si>
    <t>file://conllu/fr/teddy-918.conllu#s175_0</t>
  </si>
  <si>
    <t>176</t>
  </si>
  <si>
    <t>Alors , qu' avons -nous à faire ?</t>
  </si>
  <si>
    <t>file://conllu/fr/teddy-918.conllu#s176_0</t>
  </si>
  <si>
    <t>177</t>
  </si>
  <si>
    <t>avant?</t>
  </si>
  <si>
    <t>En quoi fais -je appel à vous pour aller de l' avant ?</t>
  </si>
  <si>
    <t>file://conllu/fr/teddy-918.conllu#s177_0</t>
  </si>
  <si>
    <t>178</t>
  </si>
  <si>
    <t>Il faut plus de financement pour la recherche .</t>
  </si>
  <si>
    <t>file://conllu/fr/teddy-918.conllu#s178_0</t>
  </si>
  <si>
    <t>179</t>
  </si>
  <si>
    <t>lorsque?</t>
  </si>
  <si>
    <t>Lorsque les pays se réunissent , comme à Copenhague , ils ne devraient pas discuter seulement du de le CO2 .</t>
  </si>
  <si>
    <t>file://conllu/fr/teddy-918.conllu#s179_0</t>
  </si>
  <si>
    <t>180</t>
  </si>
  <si>
    <t>Ils devraient discuter de ce programme d' innovation , et vous seriez étonnés par le niveau de dépenses ridiculement faible nécessité par ces approches innovantes .</t>
  </si>
  <si>
    <t>file://conllu/fr/teddy-918.conllu#s180_0</t>
  </si>
  <si>
    <t>181</t>
  </si>
  <si>
    <t>Nous avons besoin d' incitations pour le marché , une taxe CO2 , avec plafonnement et échanges , quelque chose qui active un signal de prix .</t>
  </si>
  <si>
    <t>file://conllu/fr/teddy-918.conllu#s181_0</t>
  </si>
  <si>
    <t>182</t>
  </si>
  <si>
    <t>Nous devons faire passer le message .</t>
  </si>
  <si>
    <t>file://conllu/fr/teddy-918.conllu#s182_0</t>
  </si>
  <si>
    <t>183</t>
  </si>
  <si>
    <t>Nous avons besoin que ce dialogue devienne plus rationnel , plus compréhensible , y compris les étapes , les mesures que le gouvernement prend .</t>
  </si>
  <si>
    <t>file://conllu/fr/teddy-918.conllu#s183_0</t>
  </si>
  <si>
    <t>184</t>
  </si>
  <si>
    <t>être (être souhait)</t>
  </si>
  <si>
    <t>C' est un souhait important , mais je pense que nous pouvons l' accomplir.</t>
  </si>
  <si>
    <t>file://conllu/fr/teddy-918.conllu#s184_0</t>
  </si>
  <si>
    <t>185</t>
  </si>
  <si>
    <t>merci</t>
  </si>
  <si>
    <t>Merci .</t>
  </si>
  <si>
    <t>file://conllu/fr/teddy-918.conllu#s185_0</t>
  </si>
  <si>
    <t>186</t>
  </si>
  <si>
    <t>Applaudissements</t>
  </si>
  <si>
    <t>( Applaudissements ) Chris Anderson : Je vous remercie.</t>
  </si>
  <si>
    <t>file://conllu/fr/teddy-918.conllu#s186_0</t>
  </si>
  <si>
    <t>187</t>
  </si>
  <si>
    <t>file://conllu/fr/teddy-918.conllu#s187_0</t>
  </si>
  <si>
    <t>188</t>
  </si>
  <si>
    <t>file://conllu/fr/teddy-918.conllu#s188_0</t>
  </si>
  <si>
    <t>189</t>
  </si>
  <si>
    <t>dire (dire vouloir)</t>
  </si>
  <si>
    <t>Juste pour mieux comprendre , à propos de Terrapower , je veux dire , tout d' abord , pouvez -vous donner une idée de l' ampleur des de les investissements que cela représente ?</t>
  </si>
  <si>
    <t>file://conllu/fr/teddy-918.conllu#s189_0</t>
  </si>
  <si>
    <t>190</t>
  </si>
  <si>
    <t>Bill</t>
  </si>
  <si>
    <t>Bill Gates : Pour finaliser le logiciel avec le supercalculateur , embaucher les meilleurs scientifiques , ce que nous avons fait , ça se chiffre seulement en dizaines de millions , et même en ayant testé nos matériels dans un réacteur russe pour s' assurer qu' ils fonctionnent correctement , on arrive seulement dans les centaines de millions</t>
  </si>
  <si>
    <t>file://conllu/fr/teddy-918.conllu#s190_0</t>
  </si>
  <si>
    <t>191</t>
  </si>
  <si>
    <t>être (être construction)</t>
  </si>
  <si>
    <t>Le plus dur est la construction du de le réacteur pilote , trouver les quelques milliards , trouver le régulateur , l' emplacement voilà comment on construira le premier .</t>
  </si>
  <si>
    <t>file://conllu/fr/teddy-918.conllu#s191_0</t>
  </si>
  <si>
    <t>192</t>
  </si>
  <si>
    <t>fonctionner</t>
  </si>
  <si>
    <t>Une fois que le premier sera construit , si tout fonctionne comme annoncé , alors ça deviendra une évidence , avec des de les données économiques et une densité d' énergie , tellement différentes de celles du de le nucléaire que nous connaissons .</t>
  </si>
  <si>
    <t>file://conllu/fr/teddy-918.conllu#s192_0</t>
  </si>
  <si>
    <t>193</t>
  </si>
  <si>
    <t>ça</t>
  </si>
  <si>
    <t>CA : Alors , pour bien comprendre , cela implique de construire , profond dans le sol , quelque chose comme une sorte de colonne verticale de combustible nucléaire , faite de cet uranium appauvri , et puis le processus commence par le haut et continue vers le bas ?</t>
  </si>
  <si>
    <t>file://conllu/fr/teddy-918.conllu#s193_0</t>
  </si>
  <si>
    <t>194</t>
  </si>
  <si>
    <t>BG</t>
  </si>
  <si>
    <t>BG : C' est ça .</t>
  </si>
  <si>
    <t>file://conllu/fr/teddy-918.conllu#s194_0</t>
  </si>
  <si>
    <t>195</t>
  </si>
  <si>
    <t>Aujourd'hui , on doit constamment ravitailler le réacteur en carburant , ça nécessite donc beaucoup de gens et beaucoup de contrôles peuvent mal tourner , comme quand il faut l' ouvrir , et y faire entrer et sortir des de les choses .</t>
  </si>
  <si>
    <t>file://conllu/fr/teddy-918.conllu#s195_0</t>
  </si>
  <si>
    <t>196</t>
  </si>
  <si>
    <t>être (être bon)</t>
  </si>
  <si>
    <t>Ce n' est pas bon .</t>
  </si>
  <si>
    <t>file://conllu/fr/teddy-918.conllu#s196_0</t>
  </si>
  <si>
    <t>197</t>
  </si>
  <si>
    <t>Mais si on a un carburant très bon marché qu' on peut y mettre pour 60 ans pensez -y simplement comme à une bûche le poser là sans avoir tous ces mêmes problèmes complexes .</t>
  </si>
  <si>
    <t>file://conllu/fr/teddy-918.conllu#s197_0</t>
  </si>
  <si>
    <t>198</t>
  </si>
  <si>
    <t>Il est là , il va brûler pendant les 60 ans et puis c' est fini .</t>
  </si>
  <si>
    <t>file://conllu/fr/teddy-918.conllu#s198_0</t>
  </si>
  <si>
    <t>199</t>
  </si>
  <si>
    <t>CA : Il s' agit d' une centrale nucléaire qui est sa propre solution d' élimination des de les déchets .</t>
  </si>
  <si>
    <t>file://conllu/fr/teddy-918.conllu#s199_0</t>
  </si>
  <si>
    <t>200</t>
  </si>
  <si>
    <t>BG : Oui .</t>
  </si>
  <si>
    <t>file://conllu/fr/teddy-918.conllu#s200_0</t>
  </si>
  <si>
    <t>201</t>
  </si>
  <si>
    <t>Eh bien , ce qui se passe avec les déchets , c' est que vous pouvez les laisser sur place il y a beaucoup moins de déchets avec cette approche et puis vous pouvez les récupérer , les mettre dans un autre réacteur et brûler le tout .</t>
  </si>
  <si>
    <t>file://conllu/fr/teddy-918.conllu#s201_0</t>
  </si>
  <si>
    <t>202</t>
  </si>
  <si>
    <t>démarrer</t>
  </si>
  <si>
    <t>En fait , on démarre avec les déchets qui existent aujourd'hui , qui sont dans ces bassins de refroidissement dans des de les tonneaux secs , près du de le réacteur .</t>
  </si>
  <si>
    <t>file://conllu/fr/teddy-918.conllu#s202_0</t>
  </si>
  <si>
    <t>203</t>
  </si>
  <si>
    <t>C' est ça , le carburant avec lequel on commence .</t>
  </si>
  <si>
    <t>file://conllu/fr/teddy-918.conllu#s203_0</t>
  </si>
  <si>
    <t>204</t>
  </si>
  <si>
    <t>Ce qui a été un problème avec les anciens réacteurs , c' est ce qui nourrit le nôtre , et on réduit radicalement le volume des de les déchets avec ce processus .</t>
  </si>
  <si>
    <t>file://conllu/fr/teddy-918.conllu#s204_0</t>
  </si>
  <si>
    <t>205</t>
  </si>
  <si>
    <t>CA : Mais quand vous parlez aux à les gens autour de vous , dans le monde entier , des de les possibilités qu' on a ici , où montre -t -on le plus d' intérêt à en faire réellement quelque chose ?</t>
  </si>
  <si>
    <t>file://conllu/fr/teddy-918.conllu#s205_0</t>
  </si>
  <si>
    <t>206</t>
  </si>
  <si>
    <t>BG : Eh bien , nous n' avons pas choisi de lieu particulier , et il y a toutes ces règles de divulgation concernant tout ce qui se rapporte au à le nucléaire , alors , nous éveillons donc beaucoup d' intérêt , et la société a envoyé des de les gens en Russie , en Inde , en Chine .</t>
  </si>
  <si>
    <t>file://conllu/fr/teddy-918.conllu#s206_0</t>
  </si>
  <si>
    <t>207</t>
  </si>
  <si>
    <t>retourner</t>
  </si>
  <si>
    <t>Je suis retourné voir le Secrétaire à l' Énergie ici , parler de comment cela s' intègre dans l' agenda énergétique .</t>
  </si>
  <si>
    <t>file://conllu/fr/teddy-918.conllu#s207_0</t>
  </si>
  <si>
    <t>208</t>
  </si>
  <si>
    <t>être (être optimiste)</t>
  </si>
  <si>
    <t>Je suis optimiste .</t>
  </si>
  <si>
    <t>file://conllu/fr/teddy-918.conllu#s208_0</t>
  </si>
  <si>
    <t>209</t>
  </si>
  <si>
    <t>faire (faire savoir)</t>
  </si>
  <si>
    <t>Vous savez que les Français et les Japonais ont fait du de le bon travail .</t>
  </si>
  <si>
    <t>file://conllu/fr/teddy-918.conllu#s209_0</t>
  </si>
  <si>
    <t>210</t>
  </si>
  <si>
    <t>Il s' agit là d' une variante de quelque chose qui a déjà été réalisé .</t>
  </si>
  <si>
    <t>file://conllu/fr/teddy-918.conllu#s210_0</t>
  </si>
  <si>
    <t>211</t>
  </si>
  <si>
    <t>être (être candidat)</t>
  </si>
  <si>
    <t>C' est un progrès important , mais c' est comme un réacteur rapide , et de nombreux pays en ont déjà construits , donc chacun de ceux -là est candidat pour être le premier pays où nous construirons le premier .. CA : Quels sont , selon vous , l' échéance et la probabilité de mener cela à bien dans la réalité ?</t>
  </si>
  <si>
    <t>file://conllu/fr/teddy-918.conllu#s211_0</t>
  </si>
  <si>
    <t>212</t>
  </si>
  <si>
    <t>BG : Eh bien , pour une de ces unités de production électrique à grande échelle , et ce n' est qu' une approximation , nous devons compter 20 an pour inventer , et 20 ans pour mettre en œuvre .</t>
  </si>
  <si>
    <t>file://conllu/fr/teddy-918.conllu#s212_0</t>
  </si>
  <si>
    <t>213</t>
  </si>
  <si>
    <t>être (être genre)</t>
  </si>
  <si>
    <t>C' est à ce genre d' échéance que les modèles environnementaux nous ont montré qu' il fallait nous attendre .</t>
  </si>
  <si>
    <t>file://conllu/fr/teddy-918.conllu#s213_0</t>
  </si>
  <si>
    <t>214</t>
  </si>
  <si>
    <t>savoir</t>
  </si>
  <si>
    <t>Et , vous savez , Terrapower , si les choses vont bien , ce qui est beaucoup espérer , pourrait facilement tenir ces délais .</t>
  </si>
  <si>
    <t>file://conllu/fr/teddy-918.conllu#s214_0</t>
  </si>
  <si>
    <t>215</t>
  </si>
  <si>
    <t>Et il y a heureusement , aujourd'hui , des de les dizaines d' entreprises , et il faut qu' il y en ait des de les centaines , qui pourront , si le côté scientifique avance bien , et si le financement de leurs usines pilotes se passe bien , entrer aussi dans la compétition .</t>
  </si>
  <si>
    <t>file://conllu/fr/teddy-918.conllu#s215_0</t>
  </si>
  <si>
    <t>216</t>
  </si>
  <si>
    <t>être (être assister)</t>
  </si>
  <si>
    <t>Et ce sera mieux si on assiste à plusieurs succès , car alors on pourra utiliser un mélange de tout ça .</t>
  </si>
  <si>
    <t>file://conllu/fr/teddy-918.conllu#s216_0</t>
  </si>
  <si>
    <t>217</t>
  </si>
  <si>
    <t>Il faut absolument qu' un de ces projets réussisse .</t>
  </si>
  <si>
    <t>file://conllu/fr/teddy-918.conllu#s217_0</t>
  </si>
  <si>
    <t>218</t>
  </si>
  <si>
    <t>CA : En termes de changements des de les règles du de le jeu à grande échelle , est -ce que c' est le plus important dont vous ayez entendu parler ?</t>
  </si>
  <si>
    <t>file://conllu/fr/teddy-918.conllu#s218_0</t>
  </si>
  <si>
    <t>219</t>
  </si>
  <si>
    <t>BG : Une percée dans le domaine de l' énergie est la chose la plus importante .</t>
  </si>
  <si>
    <t>file://conllu/fr/teddy-918.conllu#s219_0</t>
  </si>
  <si>
    <t>220</t>
  </si>
  <si>
    <t>sans?</t>
  </si>
  <si>
    <t>être (être contrainte)</t>
  </si>
  <si>
    <t>Ça l' aurait été , même sans la contrainte de l' environnement , mais la contrainte environnementale la rend simplement tellement plus importante .</t>
  </si>
  <si>
    <t>file://conllu/fr/teddy-918.conllu#s220_0</t>
  </si>
  <si>
    <t>221</t>
  </si>
  <si>
    <t>Dans le domaine nucléaire , il y a d' autres innovateurs .</t>
  </si>
  <si>
    <t>file://conllu/fr/teddy-918.conllu#s221_0</t>
  </si>
  <si>
    <t>222</t>
  </si>
  <si>
    <t>Vous savez , on ne connait pas aussi bien leur travail que celui-ci , mais il y a ceux qui étudient l' approche par modules , c' est une approche différente .</t>
  </si>
  <si>
    <t>file://conllu/fr/teddy-918.conllu#s222_0</t>
  </si>
  <si>
    <t>223</t>
  </si>
  <si>
    <t>Il y a le réacteur de type liquide , ce qui semble un peu difficile , mais c' est peut-être ce qu' ils pensaient aussi de nous .</t>
  </si>
  <si>
    <t>file://conllu/fr/teddy-918.conllu#s223_0</t>
  </si>
  <si>
    <t>224</t>
  </si>
  <si>
    <t>Donc , il y a différentes voies , mais la beauté de tout ça , c' est qu' une molécule d' uranium renferme un million de fois plus d' énergie qu' une molécule de , disons , de charbon , et qu' ainsi , si l' on sait traiter les aspects négatifs , c' est à dire essentiellement la radiation , alors , l' empreinte et le coût , le potentiel , en termes d' effets sur la terre et sur le reste , le place quasiment dans une catégorie à part .</t>
  </si>
  <si>
    <t>file://conllu/fr/teddy-918.conllu#s224_0</t>
  </si>
  <si>
    <t>225</t>
  </si>
  <si>
    <t>CA : Et si ça ne marche pas , alors que faire ?</t>
  </si>
  <si>
    <t>file://conllu/fr/teddy-918.conllu#s225_0</t>
  </si>
  <si>
    <t>226</t>
  </si>
  <si>
    <t>Devons -nous commencer à prendre des de les mesures d' urgence pour essayer de garder stable la température de la terre ?</t>
  </si>
  <si>
    <t>file://conllu/fr/teddy-918.conllu#s226_0</t>
  </si>
  <si>
    <t>227</t>
  </si>
  <si>
    <t>BG : Si vous arrivait dans cette situation , ce serait comme si vous aviez trop mangé , et que vous étiez prêt à avoir un infarctus .</t>
  </si>
  <si>
    <t>file://conllu/fr/teddy-918.conllu#s227_0</t>
  </si>
  <si>
    <t>228</t>
  </si>
  <si>
    <t>allez-vous</t>
  </si>
  <si>
    <t>Alors , où allez-vous ?</t>
  </si>
  <si>
    <t>file://conllu/fr/teddy-918.conllu#s228_0</t>
  </si>
  <si>
    <t>229</t>
  </si>
  <si>
    <t>Il vous faut une chirurgie cardiaque ou quelque chose comme ça .</t>
  </si>
  <si>
    <t>file://conllu/fr/teddy-918.conllu#s229_0</t>
  </si>
  <si>
    <t>230</t>
  </si>
  <si>
    <t>Il ya une ligne de recherche sur ce qu' on appelle la géo-ingénierie , portant sur différentes techniques , qui retarderaient le réchauffement , pour gagner les 20 ou 30 ans nécessaires pour nous prendre en main .</t>
  </si>
  <si>
    <t>file://conllu/fr/teddy-918.conllu#s230_0</t>
  </si>
  <si>
    <t>231</t>
  </si>
  <si>
    <t>être (être rien)</t>
  </si>
  <si>
    <t>Ce n' est rien de plus qu' une police d' assurance .</t>
  </si>
  <si>
    <t>file://conllu/fr/teddy-918.conllu#s231_0</t>
  </si>
  <si>
    <t>232</t>
  </si>
  <si>
    <t>On espère ne pas en avoir besoin .</t>
  </si>
  <si>
    <t>file://conllu/fr/teddy-918.conllu#s232_0</t>
  </si>
  <si>
    <t>233</t>
  </si>
  <si>
    <t>Certains disent qu' il ne faudrait même pas travailler dans cette direction , car elle pourrait nous rendre paresseux , comme si vous continuiez à manger parce que vous savez que la chirurgie cardiaque sera là pour vous sauver .</t>
  </si>
  <si>
    <t>file://conllu/fr/teddy-918.conllu#s233_0</t>
  </si>
  <si>
    <t>234</t>
  </si>
  <si>
    <t>être (être sûr)</t>
  </si>
  <si>
    <t>Je ne suis pas sûr que ce soit avisé , étant donné l' ampleur du de le problème , mais , bon , il y a cette histoire de géo-ingénierie , à garder au à le fond de la poche , au à le cas où les choses arrivent plus vite que prévu , ou que l' innovation soit beaucoup plus lente .</t>
  </si>
  <si>
    <t>file://conllu/fr/teddy-918.conllu#s234_0</t>
  </si>
  <si>
    <t>235</t>
  </si>
  <si>
    <t>CA : Les climato-sceptiques : si vous aviez une ou deux phrases à leur dire , comment pourriez-vous les persuader qu' ils ont tort ?</t>
  </si>
  <si>
    <t>file://conllu/fr/teddy-918.conllu#s235_0</t>
  </si>
  <si>
    <t>236</t>
  </si>
  <si>
    <t>malheureusement?</t>
  </si>
  <si>
    <t>BG : Eh bien , malheureusement , les sceptiques sont dans des de les camps différents .</t>
  </si>
  <si>
    <t>file://conllu/fr/teddy-918.conllu#s236_0</t>
  </si>
  <si>
    <t>237</t>
  </si>
  <si>
    <t>être (être nombreux)</t>
  </si>
  <si>
    <t>Ceux dont les arguments sont scientifiques sont très peu nombreux .</t>
  </si>
  <si>
    <t>file://conllu/fr/teddy-918.conllu#s237_0</t>
  </si>
  <si>
    <t>238</t>
  </si>
  <si>
    <t>Disent -ils qu' il y a des de les effets de rétroaction négative qui ont à voir avec les nuages qui ont compensé les choses ?</t>
  </si>
  <si>
    <t>file://conllu/fr/teddy-918.conllu#s238_0</t>
  </si>
  <si>
    <t>239</t>
  </si>
  <si>
    <t>Il y a très , très peu de choses qu' ils puissent même dire , il y a une chance sur un million pour cela .</t>
  </si>
  <si>
    <t>file://conllu/fr/teddy-918.conllu#s239_0</t>
  </si>
  <si>
    <t>240</t>
  </si>
  <si>
    <t>être (être sida)</t>
  </si>
  <si>
    <t>Le principal problème que nous ayons ici est un peu comme avec le SIDA .</t>
  </si>
  <si>
    <t>file://conllu/fr/teddy-918.conllu#s240_0</t>
  </si>
  <si>
    <t>241</t>
  </si>
  <si>
    <t>Vous faites une erreur maintenant , et vous en payez le prix beaucoup plus tard .</t>
  </si>
  <si>
    <t>file://conllu/fr/teddy-918.conllu#s241_0</t>
  </si>
  <si>
    <t>242</t>
  </si>
  <si>
    <t>importer</t>
  </si>
  <si>
    <t>Quand vous avez n' importe quel genre de problème urgent , cette idée de souffrir maintenant , avec un gain plus tard par rapport à une douleur dont on n' est pas sûrs .</t>
  </si>
  <si>
    <t>file://conllu/fr/teddy-918.conllu#s242_0</t>
  </si>
  <si>
    <t>243</t>
  </si>
  <si>
    <t>être (être pire)</t>
  </si>
  <si>
    <t>En fait , le rapport du de le Groupe d’ experts Intergouvernemental sur l’ Evolution du de le Climat , ce n' est pas nécessairement le pire des de les cas , et il ya des de les gens dans les pays riches qui regardent le GIEC et se disent &amp;quot; Ok , ce n' est pas si important . &amp;quot;</t>
  </si>
  <si>
    <t>file://conllu/fr/teddy-918.conllu#s243_0</t>
  </si>
  <si>
    <t>244</t>
  </si>
  <si>
    <t>le fait est que?</t>
  </si>
  <si>
    <t>Le fait est que c' est cette part d' incertitude qui devrait nous pousser dans cette direction .</t>
  </si>
  <si>
    <t>file://conllu/fr/teddy-918.conllu#s244_0</t>
  </si>
  <si>
    <t>245</t>
  </si>
  <si>
    <t>Mais mon rêve est que , si vous pouvez faire que ce soit économique , et répondre aux à les contraintes de CO2 , alors les sceptiques diront : &amp;quot; OK , ça m' est égal qu' il ne rejette pas de CO2 , j' aurais préféré qu' il émette du de le CO2 , mais je crois que je vais l' accepter parce que c' est meilleur marché que ceux d' avant .</t>
  </si>
  <si>
    <t>file://conllu/fr/teddy-918.conllu#s245_0</t>
  </si>
  <si>
    <t>246</t>
  </si>
  <si>
    <t>CA : Et alors , ce serait votre réponse à l' argument de Bjorn Lomborg , que , si on dépense toute cette énergie à essayer de résoudre le problème du de le CO2 , ça va l' emporter tous les autres objectifs , comme d' essayer de débarrasser le monde de la pauvreté et du de le paludisme , etc.</t>
  </si>
  <si>
    <t>file://conllu/fr/teddy-918.conllu#s246_0</t>
  </si>
  <si>
    <t>247</t>
  </si>
  <si>
    <t>être (être gaspillage)</t>
  </si>
  <si>
    <t>Que c' est un gaspillage stupide des de les ressources que de dépenser de l' argent pour ça,quand il y a bien mieux à faire .</t>
  </si>
  <si>
    <t>file://conllu/fr/teddy-918.conllu#s247_0</t>
  </si>
  <si>
    <t>248</t>
  </si>
  <si>
    <t>BG : Eh bien , les dépenses réellement consacrées en Recherche &amp;amp;amp ;</t>
  </si>
  <si>
    <t>file://conllu/fr/teddy-918.conllu#s248_0</t>
  </si>
  <si>
    <t>249</t>
  </si>
  <si>
    <t>développement</t>
  </si>
  <si>
    <t>Développement disons , si les États-Unis dépensaient 10 milliards de plus par an qu' actuellement ce ne serait pas si dramatique .</t>
  </si>
  <si>
    <t>file://conllu/fr/teddy-918.conllu#s249_0</t>
  </si>
  <si>
    <t>250</t>
  </si>
  <si>
    <t>remettrer</t>
  </si>
  <si>
    <t>Ça ne remettrait pas les autres postes de dépense en cause .</t>
  </si>
  <si>
    <t>file://conllu/fr/teddy-918.conllu#s250_0</t>
  </si>
  <si>
    <t>251</t>
  </si>
  <si>
    <t>Là où les gens raisonnables peuvent ne pas être d' accord , et on parle ici de grosses sommes , c' est quand vous avez quelque chose de pas économique , et que vous essayez de le financer .</t>
  </si>
  <si>
    <t>file://conllu/fr/teddy-918.conllu#s251_0</t>
  </si>
  <si>
    <t>252</t>
  </si>
  <si>
    <t>surtout?</t>
  </si>
  <si>
    <t>C' est surtout ça , pour moi , qui est du de le gâchis .</t>
  </si>
  <si>
    <t>file://conllu/fr/teddy-918.conllu#s252_0</t>
  </si>
  <si>
    <t>253</t>
  </si>
  <si>
    <t>être (être proche)</t>
  </si>
  <si>
    <t>Sauf si on est très proche de la solution , et que ce qu' on finance c' est la progression du de le savoir , et que ça va être très bon marché .</t>
  </si>
  <si>
    <t>file://conllu/fr/teddy-918.conllu#s253_0</t>
  </si>
  <si>
    <t>254</t>
  </si>
  <si>
    <t>croire</t>
  </si>
  <si>
    <t>Je crois qu' on devrait essayer plus de choses choses qui pourraient , potentiellement , coûter beaucoup moins cher .</t>
  </si>
  <si>
    <t>file://conllu/fr/teddy-918.conllu#s254_0</t>
  </si>
  <si>
    <t>255</t>
  </si>
  <si>
    <t>Si l' arbitrage que vous choississez , c' est &amp;quot; Rendons l' énergie super chère &amp;quot; , alors seuls les riches pourront se le permettre .</t>
  </si>
  <si>
    <t>file://conllu/fr/teddy-918.conllu#s255_0</t>
  </si>
  <si>
    <t>256</t>
  </si>
  <si>
    <t>Ce que je veux dire , c' est que nous tous , ici , nous pourrions nous permettre de payer notre énergie 5 fois plus cher , sans changer notre mode de vie .</t>
  </si>
  <si>
    <t>file://conllu/fr/teddy-918.conllu#s256_0</t>
  </si>
  <si>
    <t>257</t>
  </si>
  <si>
    <t>La catastrophe serait pour ces deux milliards de gens .</t>
  </si>
  <si>
    <t>file://conllu/fr/teddy-918.conllu#s257_0</t>
  </si>
  <si>
    <t>258</t>
  </si>
  <si>
    <t>changer</t>
  </si>
  <si>
    <t>Et même Lomborg a changé .</t>
  </si>
  <si>
    <t>file://conllu/fr/teddy-918.conllu#s258_0</t>
  </si>
  <si>
    <t>259</t>
  </si>
  <si>
    <t>Son truc , maintenant , c' est de répéter &amp;quot; pourquoi ne discute -t -on pas plus de R&amp;amp;amp ;D . &amp;quot;</t>
  </si>
  <si>
    <t>file://conllu/fr/teddy-918.conllu#s259_0</t>
  </si>
  <si>
    <t>260</t>
  </si>
  <si>
    <t>Il est encore , à cause de l' affaire d' avant , toujours associé avec le camp des de les climato-sceptiques , mais il a compris que c' est une position assez solitaire , alors , il ramène son truc de R&amp;amp;amp ;D. Mais là-dedans , il y a quelque chose qui ne me semble pas faux .</t>
  </si>
  <si>
    <t>file://conllu/fr/teddy-918.conllu#s260_0</t>
  </si>
  <si>
    <t>261</t>
  </si>
  <si>
    <t>être (être dingue)</t>
  </si>
  <si>
    <t>C' est dingue de voir à quel point la R&amp;amp;amp;D est peu financée .</t>
  </si>
  <si>
    <t>file://conllu/fr/teddy-918.conllu#s261_0</t>
  </si>
  <si>
    <t>262</t>
  </si>
  <si>
    <t>CA : Et bien Bill , je pense que je parle au à le nom de la plupart des de les gens ici en disant que j' espère vraiment que ton souhait devienne réalité .</t>
  </si>
  <si>
    <t>file://conllu/fr/teddy-918.conllu#s262_0</t>
  </si>
  <si>
    <t>263</t>
  </si>
  <si>
    <t>Merci beaucoup .</t>
  </si>
  <si>
    <t>file://conllu/fr/teddy-918.conllu#s263_0</t>
  </si>
  <si>
    <t>264</t>
  </si>
  <si>
    <t>BG : Je vous remercie .</t>
  </si>
  <si>
    <t>file://conllu/fr/teddy-918.conllu#s264_0</t>
  </si>
  <si>
    <t>WORD</t>
  </si>
  <si>
    <t>GR</t>
  </si>
  <si>
    <t>NP_TYPE</t>
  </si>
  <si>
    <t>REF_AUTO</t>
  </si>
  <si>
    <t>COREF</t>
  </si>
  <si>
    <t>REF</t>
  </si>
  <si>
    <t>IS</t>
  </si>
  <si>
    <t>CB</t>
  </si>
  <si>
    <t>GR_ANTE</t>
  </si>
  <si>
    <t>REF_DIST</t>
  </si>
  <si>
    <t>REF_DIST_ANTE</t>
  </si>
  <si>
    <t># text = Je vais aujourd'hui vous parler d'énergie et de climat.</t>
  </si>
  <si>
    <t>Je</t>
  </si>
  <si>
    <t>SBJ</t>
  </si>
  <si>
    <t>pron.pper</t>
  </si>
  <si>
    <t>?OLD</t>
  </si>
  <si>
    <t>vais</t>
  </si>
  <si>
    <t>aujourd'hui</t>
  </si>
  <si>
    <t>vous</t>
  </si>
  <si>
    <t>OBJ_2</t>
  </si>
  <si>
    <t>parler</t>
  </si>
  <si>
    <t>d'</t>
  </si>
  <si>
    <t>énergie</t>
  </si>
  <si>
    <t>other_2</t>
  </si>
  <si>
    <t>indef-np.bare</t>
  </si>
  <si>
    <t>et</t>
  </si>
  <si>
    <t>de</t>
  </si>
  <si>
    <t>climat</t>
  </si>
  <si>
    <t>other_3</t>
  </si>
  <si>
    <t>.</t>
  </si>
  <si>
    <t># text = Et cela peut sembler un peu surprenant parce que mon travail à temps plein à la Fondation concerne plutôt les vaccins et les semences, les choses que nous devons inventer et distribuer pour aider les deux milliards des plus pauvres à vivre mieux.</t>
  </si>
  <si>
    <t>Et</t>
  </si>
  <si>
    <t>cela</t>
  </si>
  <si>
    <t>pron.pds</t>
  </si>
  <si>
    <t>peut</t>
  </si>
  <si>
    <t>sembler</t>
  </si>
  <si>
    <t>un</t>
  </si>
  <si>
    <t>peu</t>
  </si>
  <si>
    <t>surprenant</t>
  </si>
  <si>
    <t>parce</t>
  </si>
  <si>
    <t>que</t>
  </si>
  <si>
    <t>mon</t>
  </si>
  <si>
    <t>other_4</t>
  </si>
  <si>
    <t>pron.ppos</t>
  </si>
  <si>
    <t>travail</t>
  </si>
  <si>
    <t>SBJ_3</t>
  </si>
  <si>
    <t>def-np.poss</t>
  </si>
  <si>
    <t>à</t>
  </si>
  <si>
    <t>temps</t>
  </si>
  <si>
    <t>plein</t>
  </si>
  <si>
    <t>la</t>
  </si>
  <si>
    <t>Fondation</t>
  </si>
  <si>
    <t>def-np.the</t>
  </si>
  <si>
    <t>concerne</t>
  </si>
  <si>
    <t>plutôt</t>
  </si>
  <si>
    <t>les</t>
  </si>
  <si>
    <t>vaccins</t>
  </si>
  <si>
    <t>OBJ_3</t>
  </si>
  <si>
    <t>semences</t>
  </si>
  <si>
    <t>,</t>
  </si>
  <si>
    <t>choses</t>
  </si>
  <si>
    <t>OBJ_6</t>
  </si>
  <si>
    <t>nous</t>
  </si>
  <si>
    <t>SBJ_5</t>
  </si>
  <si>
    <t>devons</t>
  </si>
  <si>
    <t>inventer</t>
  </si>
  <si>
    <t>distribuer</t>
  </si>
  <si>
    <t>pour</t>
  </si>
  <si>
    <t>aider</t>
  </si>
  <si>
    <t>deux</t>
  </si>
  <si>
    <t>milliards</t>
  </si>
  <si>
    <t>OBJ_7</t>
  </si>
  <si>
    <t>plus</t>
  </si>
  <si>
    <t>pauvres</t>
  </si>
  <si>
    <t>vivre</t>
  </si>
  <si>
    <t>mieux</t>
  </si>
  <si>
    <t># text = Mais l'énergie et le climat sont extrêmement importants pour ces personnes, en fait, plus importants que pour quiconque sur la planète.</t>
  </si>
  <si>
    <t>Mais</t>
  </si>
  <si>
    <t>l'</t>
  </si>
  <si>
    <t>le</t>
  </si>
  <si>
    <t>sont</t>
  </si>
  <si>
    <t>extrêmement</t>
  </si>
  <si>
    <t>importants</t>
  </si>
  <si>
    <t>ces</t>
  </si>
  <si>
    <t>personnes</t>
  </si>
  <si>
    <t>other</t>
  </si>
  <si>
    <t>def-np.dem</t>
  </si>
  <si>
    <t>en</t>
  </si>
  <si>
    <t>fait</t>
  </si>
  <si>
    <t>quiconque</t>
  </si>
  <si>
    <t>pron.pind</t>
  </si>
  <si>
    <t>sur</t>
  </si>
  <si>
    <t>planète</t>
  </si>
  <si>
    <t># text = Le climat se détériore, ce qui signifie qu'il y aura de nombreuses années où leurs cultures ne pousseront pas.</t>
  </si>
  <si>
    <t>Le</t>
  </si>
  <si>
    <t>se</t>
  </si>
  <si>
    <t>détériore</t>
  </si>
  <si>
    <t>ce</t>
  </si>
  <si>
    <t>qui</t>
  </si>
  <si>
    <t>signifie</t>
  </si>
  <si>
    <t>qu'</t>
  </si>
  <si>
    <t>il</t>
  </si>
  <si>
    <t>y</t>
  </si>
  <si>
    <t>aura</t>
  </si>
  <si>
    <t>nombreuses</t>
  </si>
  <si>
    <t>années</t>
  </si>
  <si>
    <t>OBJ_4</t>
  </si>
  <si>
    <t>indef-np.a</t>
  </si>
  <si>
    <t>où</t>
  </si>
  <si>
    <t>leurs</t>
  </si>
  <si>
    <t>other_7</t>
  </si>
  <si>
    <t>cultures</t>
  </si>
  <si>
    <t>SBJ_6</t>
  </si>
  <si>
    <t>ne</t>
  </si>
  <si>
    <t>pousseront</t>
  </si>
  <si>
    <t>pas</t>
  </si>
  <si>
    <t># text = Il y aura trop de pluie, ou pas assez de pluie.</t>
  </si>
  <si>
    <t>Il</t>
  </si>
  <si>
    <t>trop</t>
  </si>
  <si>
    <t>OBJ</t>
  </si>
  <si>
    <t>pluie</t>
  </si>
  <si>
    <t>ou</t>
  </si>
  <si>
    <t>assez</t>
  </si>
  <si>
    <t># text = Les choses vont évoluer dans des directions que leur environnement fragile ne peut tout simplement pas supporter.</t>
  </si>
  <si>
    <t>Les</t>
  </si>
  <si>
    <t>vont</t>
  </si>
  <si>
    <t>évoluer</t>
  </si>
  <si>
    <t>dans</t>
  </si>
  <si>
    <t>directions</t>
  </si>
  <si>
    <t>leur</t>
  </si>
  <si>
    <t>other_5</t>
  </si>
  <si>
    <t>environnement</t>
  </si>
  <si>
    <t>SBJ_4</t>
  </si>
  <si>
    <t>fragile</t>
  </si>
  <si>
    <t>tout</t>
  </si>
  <si>
    <t>simplement</t>
  </si>
  <si>
    <t>supporter</t>
  </si>
  <si>
    <t># text = Et cela conduit à la famine.</t>
  </si>
  <si>
    <t>conduit</t>
  </si>
  <si>
    <t>famine</t>
  </si>
  <si>
    <t># text = Cela conduit à l'incertitude.</t>
  </si>
  <si>
    <t>Cela</t>
  </si>
  <si>
    <t>incertitude</t>
  </si>
  <si>
    <t># text = Cela conduit à des troubles.</t>
  </si>
  <si>
    <t>troubles</t>
  </si>
  <si>
    <t># text = Les changements climatiques seront terribles pour eux.</t>
  </si>
  <si>
    <t>changements</t>
  </si>
  <si>
    <t>climatiques</t>
  </si>
  <si>
    <t>seront</t>
  </si>
  <si>
    <t>terribles</t>
  </si>
  <si>
    <t>eux</t>
  </si>
  <si>
    <t>pron</t>
  </si>
  <si>
    <t># text = Le prix de l'énergie, également, est très important pour eux.</t>
  </si>
  <si>
    <t>prix</t>
  </si>
  <si>
    <t>également</t>
  </si>
  <si>
    <t>très</t>
  </si>
  <si>
    <t>important</t>
  </si>
  <si>
    <t># text = En fait, si vous ne pouviez baisser le prix que d'une seule chose, pour réduire la pauvreté, ce serait, de loin, celui de l'énergie.</t>
  </si>
  <si>
    <t>En</t>
  </si>
  <si>
    <t>si</t>
  </si>
  <si>
    <t>SBJ_2</t>
  </si>
  <si>
    <t>pouviez</t>
  </si>
  <si>
    <t>une</t>
  </si>
  <si>
    <t>seule</t>
  </si>
  <si>
    <t>chose</t>
  </si>
  <si>
    <t>réduire</t>
  </si>
  <si>
    <t>pauvreté</t>
  </si>
  <si>
    <t>serait</t>
  </si>
  <si>
    <t>loin</t>
  </si>
  <si>
    <t>celui</t>
  </si>
  <si>
    <t># text = Or, le prix de l'énergie a baissé au fil du temps.</t>
  </si>
  <si>
    <t>Or</t>
  </si>
  <si>
    <t>a</t>
  </si>
  <si>
    <t>baissé</t>
  </si>
  <si>
    <t>fil</t>
  </si>
  <si>
    <t># text = Vraiment, les avancées de la civilisation sont fondées sur les avancées de l'énergie.</t>
  </si>
  <si>
    <t>Vraiment</t>
  </si>
  <si>
    <t>avancées</t>
  </si>
  <si>
    <t>civilisation</t>
  </si>
  <si>
    <t>fondées</t>
  </si>
  <si>
    <t># text = La révolution du charbon a alimenté la révolution industrielle, et, même dans les années 1900, nous avons assisté à une diminution très rapide du prix de l'électricité, et c'est grâce à ça que nous avons des réfrigérateurs, l'air conditionné, que nous pouvons fabriquer des matériaux modernes et faire tant de choses.</t>
  </si>
  <si>
    <t>La</t>
  </si>
  <si>
    <t>révolution</t>
  </si>
  <si>
    <t>charbon</t>
  </si>
  <si>
    <t>alimenté</t>
  </si>
  <si>
    <t>industrielle</t>
  </si>
  <si>
    <t>même</t>
  </si>
  <si>
    <t>1900</t>
  </si>
  <si>
    <t>avons</t>
  </si>
  <si>
    <t>assisté</t>
  </si>
  <si>
    <t>diminution</t>
  </si>
  <si>
    <t>rapide</t>
  </si>
  <si>
    <t>électricité</t>
  </si>
  <si>
    <t>c'</t>
  </si>
  <si>
    <t>réfrigérateurs</t>
  </si>
  <si>
    <t>air</t>
  </si>
  <si>
    <t>conditionné</t>
  </si>
  <si>
    <t>pouvons</t>
  </si>
  <si>
    <t>fabriquer</t>
  </si>
  <si>
    <t>matériaux</t>
  </si>
  <si>
    <t>other_6</t>
  </si>
  <si>
    <t>modernes</t>
  </si>
  <si>
    <t>tant</t>
  </si>
  <si>
    <t># text = Dans le monde riche, tout va bien par rapport à l'électricité .</t>
  </si>
  <si>
    <t>Dans</t>
  </si>
  <si>
    <t>monde</t>
  </si>
  <si>
    <t>riche</t>
  </si>
  <si>
    <t>va</t>
  </si>
  <si>
    <t>bien</t>
  </si>
  <si>
    <t>par</t>
  </si>
  <si>
    <t>rapport</t>
  </si>
  <si>
    <t># text = Mais, en même temps qu'on abaisse son prix - et c'est parti pour le diviser par 2 -- nous devons répondre à une nouvelle contrainte, et cette contrainte concerne le CO2.</t>
  </si>
  <si>
    <t>on</t>
  </si>
  <si>
    <t>abaisse</t>
  </si>
  <si>
    <t>son</t>
  </si>
  <si>
    <t>parti</t>
  </si>
  <si>
    <t>diviser</t>
  </si>
  <si>
    <t>répondre</t>
  </si>
  <si>
    <t>nouvelle</t>
  </si>
  <si>
    <t>contrainte</t>
  </si>
  <si>
    <t>cette</t>
  </si>
  <si>
    <t>CO2</t>
  </si>
  <si>
    <t># text = Le CO2 réchauffe la planète, et l'équation sur le CO2 est en réalité très simple.</t>
  </si>
  <si>
    <t>réchauffe</t>
  </si>
  <si>
    <t>équation</t>
  </si>
  <si>
    <t>réalité</t>
  </si>
  <si>
    <t>simple</t>
  </si>
  <si>
    <t># text = Si vous prenez le total du CO2 rejeté, cela conduit à une augmentation de température, et cette augmentation de température conduit à des effets très négatifs.</t>
  </si>
  <si>
    <t>Si</t>
  </si>
  <si>
    <t>prenez</t>
  </si>
  <si>
    <t>total</t>
  </si>
  <si>
    <t>rejeté</t>
  </si>
  <si>
    <t>augmentation</t>
  </si>
  <si>
    <t>température</t>
  </si>
  <si>
    <t>effets</t>
  </si>
  <si>
    <t>négatifs</t>
  </si>
  <si>
    <t># text = Des effets sur la météo et, peut-être pire, des effets indirects, parce que les écosystèmes naturels ne peuvent pas s'adapter à ces changements rapides, et alors on voit l'effondrement de ces écosystèmes.</t>
  </si>
  <si>
    <t>De</t>
  </si>
  <si>
    <t>météo</t>
  </si>
  <si>
    <t>peut-être</t>
  </si>
  <si>
    <t>pire</t>
  </si>
  <si>
    <t>indirects</t>
  </si>
  <si>
    <t>écosystèmes</t>
  </si>
  <si>
    <t>naturels</t>
  </si>
  <si>
    <t>peuvent</t>
  </si>
  <si>
    <t>s'</t>
  </si>
  <si>
    <t>adapter</t>
  </si>
  <si>
    <t>rapides</t>
  </si>
  <si>
    <t>alors</t>
  </si>
  <si>
    <t>voit</t>
  </si>
  <si>
    <t>effondrement</t>
  </si>
  <si>
    <t># text = C'est vrai que sur les chiffres exacts, quelle température on aura, à partir de quelle augmentation de CO2, et à quel endroit on aura des effets secondaires positifs, là, on rencontre une certaine incertitude, mais pas beaucoup.</t>
  </si>
  <si>
    <t>C'</t>
  </si>
  <si>
    <t>vrai</t>
  </si>
  <si>
    <t>chiffres</t>
  </si>
  <si>
    <t>exacts</t>
  </si>
  <si>
    <t>quelle</t>
  </si>
  <si>
    <t>indef-np</t>
  </si>
  <si>
    <t>partir</t>
  </si>
  <si>
    <t>quel</t>
  </si>
  <si>
    <t>endroit</t>
  </si>
  <si>
    <t>SBJ_7</t>
  </si>
  <si>
    <t>secondaires</t>
  </si>
  <si>
    <t>positifs</t>
  </si>
  <si>
    <t>là</t>
  </si>
  <si>
    <t>rencontre</t>
  </si>
  <si>
    <t>certaine</t>
  </si>
  <si>
    <t>mais</t>
  </si>
  <si>
    <t>beaucoup</t>
  </si>
  <si>
    <t># text = Et si on ne connait pas exactement le degré de gravité de ces effets, on sait qu'ils seront extrêmement graves.</t>
  </si>
  <si>
    <t>connait</t>
  </si>
  <si>
    <t>exactement</t>
  </si>
  <si>
    <t>degré</t>
  </si>
  <si>
    <t>gravité</t>
  </si>
  <si>
    <t>sait</t>
  </si>
  <si>
    <t>ils</t>
  </si>
  <si>
    <t>graves</t>
  </si>
  <si>
    <t># text = A plusieurs reprises, j'ai demandé à des scientifiques de haut niveau s'il fallait vraiment descendre jusqu'à près de zéro?</t>
  </si>
  <si>
    <t>A</t>
  </si>
  <si>
    <t>plusieurs</t>
  </si>
  <si>
    <t>reprises</t>
  </si>
  <si>
    <t>j'</t>
  </si>
  <si>
    <t>ai</t>
  </si>
  <si>
    <t>demandé</t>
  </si>
  <si>
    <t>scientifiques</t>
  </si>
  <si>
    <t>haut</t>
  </si>
  <si>
    <t>niveau</t>
  </si>
  <si>
    <t>fallait</t>
  </si>
  <si>
    <t>vraiment</t>
  </si>
  <si>
    <t>descendre</t>
  </si>
  <si>
    <t>jusqu'</t>
  </si>
  <si>
    <t>près</t>
  </si>
  <si>
    <t>zéro</t>
  </si>
  <si>
    <t>?</t>
  </si>
  <si>
    <t># text = Ne peut-on pas simplement diminuer de la moitié ou du quart?</t>
  </si>
  <si>
    <t>Ne</t>
  </si>
  <si>
    <t>-on</t>
  </si>
  <si>
    <t>diminuer</t>
  </si>
  <si>
    <t>moitié</t>
  </si>
  <si>
    <t>quart</t>
  </si>
  <si>
    <t># text = Et la réponse est que, jusqu'à ce que nous approchions de zéro, la température continuera à augmenter.</t>
  </si>
  <si>
    <t>réponse</t>
  </si>
  <si>
    <t>approchions</t>
  </si>
  <si>
    <t>continuera</t>
  </si>
  <si>
    <t># text = Et donc c'est un grand défi.</t>
  </si>
  <si>
    <t>donc</t>
  </si>
  <si>
    <t>grand</t>
  </si>
  <si>
    <t>défi</t>
  </si>
  <si>
    <t># text = C'est très différent que de dire qu'on est un camion de 3,5 m de haut essayant de passer sous un pont de 3 m, et qu'on va trouver le moyen de s'y glisser.</t>
  </si>
  <si>
    <t>différent</t>
  </si>
  <si>
    <t>camion</t>
  </si>
  <si>
    <t>3,5</t>
  </si>
  <si>
    <t>m</t>
  </si>
  <si>
    <t>indef-np.quant</t>
  </si>
  <si>
    <t>essayant</t>
  </si>
  <si>
    <t>passer</t>
  </si>
  <si>
    <t>sous</t>
  </si>
  <si>
    <t>pont</t>
  </si>
  <si>
    <t>trouver</t>
  </si>
  <si>
    <t>OBJ_5</t>
  </si>
  <si>
    <t>glisser</t>
  </si>
  <si>
    <t># text = Là, c'est quelque chose qui doit arriver à zéro.</t>
  </si>
  <si>
    <t>Là</t>
  </si>
  <si>
    <t>quelque</t>
  </si>
  <si>
    <t>doit</t>
  </si>
  <si>
    <t>arriver</t>
  </si>
  <si>
    <t># text = Chaque année, nous rejetons une grande quantité de CO2, plus de 26 milliards de tonnes.</t>
  </si>
  <si>
    <t>Chaque</t>
  </si>
  <si>
    <t>année</t>
  </si>
  <si>
    <t>rejetons</t>
  </si>
  <si>
    <t>grande</t>
  </si>
  <si>
    <t>quantité</t>
  </si>
  <si>
    <t>tonnes</t>
  </si>
  <si>
    <t># text = Pour chaque américain, ça représente près de 20 tonnes.</t>
  </si>
  <si>
    <t>Pour</t>
  </si>
  <si>
    <t>chaque</t>
  </si>
  <si>
    <t>américain</t>
  </si>
  <si>
    <t>représente</t>
  </si>
  <si>
    <t>20</t>
  </si>
  <si>
    <t># text = Pour un habitant d'un pays pauvre, c'est moins d'une tonne.</t>
  </si>
  <si>
    <t>habitant</t>
  </si>
  <si>
    <t>pays</t>
  </si>
  <si>
    <t>pauvre</t>
  </si>
  <si>
    <t>moins</t>
  </si>
  <si>
    <t>tonne</t>
  </si>
  <si>
    <t># text = La moyenne est d'environ cinq tonnes par personne sur la planète.</t>
  </si>
  <si>
    <t>moyenne</t>
  </si>
  <si>
    <t>environ</t>
  </si>
  <si>
    <t>cinq</t>
  </si>
  <si>
    <t>personne</t>
  </si>
  <si>
    <t># text = Et on doit trouver le moyen d'apporter les changements pour descendre à zéro.</t>
  </si>
  <si>
    <t># text = L'augmentation a été constante.</t>
  </si>
  <si>
    <t>L'</t>
  </si>
  <si>
    <t>été</t>
  </si>
  <si>
    <t>constante</t>
  </si>
  <si>
    <t># text = Ce n'est qu'à cause de divers changements économiques que ça s'est ralenti, alors nous devons donc passer d'une hausse rapide à une baisse, jusqu'à descendre à zéro.</t>
  </si>
  <si>
    <t>Ce</t>
  </si>
  <si>
    <t>n'</t>
  </si>
  <si>
    <t>cause</t>
  </si>
  <si>
    <t>divers</t>
  </si>
  <si>
    <t>économiques</t>
  </si>
  <si>
    <t>ralenti</t>
  </si>
  <si>
    <t>hausse</t>
  </si>
  <si>
    <t>baisse</t>
  </si>
  <si>
    <t># text = Cette équation a quatre facteurs.</t>
  </si>
  <si>
    <t>Cette</t>
  </si>
  <si>
    <t>quatre</t>
  </si>
  <si>
    <t>facteurs</t>
  </si>
  <si>
    <t># text = Faisons un peu de multiplication.</t>
  </si>
  <si>
    <t>Faisons</t>
  </si>
  <si>
    <t>multiplication</t>
  </si>
  <si>
    <t># text = Bon, on a quelque chose à gauche, le CO2, qu'on veut réduire à zéro, et ça va être basé sur le nombre de personnes, les services que chaque personne utilise, en moyenne, l'énergie utilisée en moyenne pour chaque service, et le CO2 rejeté, par unité d'énergie.</t>
  </si>
  <si>
    <t>Bon</t>
  </si>
  <si>
    <t>gauche</t>
  </si>
  <si>
    <t>veut</t>
  </si>
  <si>
    <t>basé</t>
  </si>
  <si>
    <t>nombre</t>
  </si>
  <si>
    <t>services</t>
  </si>
  <si>
    <t>utilise</t>
  </si>
  <si>
    <t>utilisée</t>
  </si>
  <si>
    <t>service</t>
  </si>
  <si>
    <t>unité</t>
  </si>
  <si>
    <t># text = Alors, penchons-nous sur chacun de ces membres, et voyons comment on peut réduire le résultat à zéro.</t>
  </si>
  <si>
    <t>Alors</t>
  </si>
  <si>
    <t>penchons</t>
  </si>
  <si>
    <t>-nous</t>
  </si>
  <si>
    <t>chacun</t>
  </si>
  <si>
    <t>membres</t>
  </si>
  <si>
    <t>voyons</t>
  </si>
  <si>
    <t>comment</t>
  </si>
  <si>
    <t>résultat</t>
  </si>
  <si>
    <t># text = Il faudra probablement que l'un de ces chiffres soit tout proche de zéro.</t>
  </si>
  <si>
    <t>faudra</t>
  </si>
  <si>
    <t>probablement</t>
  </si>
  <si>
    <t>soit</t>
  </si>
  <si>
    <t>proche</t>
  </si>
  <si>
    <t># text = C'est du niveau de l'algèbre du secondaire, mais jetons un coup d'oeil.</t>
  </si>
  <si>
    <t>algèbre</t>
  </si>
  <si>
    <t>secondaire</t>
  </si>
  <si>
    <t>jetons</t>
  </si>
  <si>
    <t>coup</t>
  </si>
  <si>
    <t>oeil</t>
  </si>
  <si>
    <t># text = D'abord nous avons la population.</t>
  </si>
  <si>
    <t>D'</t>
  </si>
  <si>
    <t>abord</t>
  </si>
  <si>
    <t>population</t>
  </si>
  <si>
    <t># text = Le monde compte aujourd'hui 6,8 milliards de personnes.</t>
  </si>
  <si>
    <t>compte</t>
  </si>
  <si>
    <t>6,8</t>
  </si>
  <si>
    <t># text = On devrait atteindre les 9 milliards.</t>
  </si>
  <si>
    <t>On</t>
  </si>
  <si>
    <t>devrait</t>
  </si>
  <si>
    <t>atteindre</t>
  </si>
  <si>
    <t># text = Avec de très bons résultats sur les nouveaux vaccins, les soins de santé, le contrôle des naissances, on pourrait le réduire de, peut-être, 10 ou 15 pour cent, mais on gardera un facteur d'augmentation d'environ 1,3.</t>
  </si>
  <si>
    <t>Avec</t>
  </si>
  <si>
    <t>bons</t>
  </si>
  <si>
    <t>résultats</t>
  </si>
  <si>
    <t>nouveaux</t>
  </si>
  <si>
    <t>soins</t>
  </si>
  <si>
    <t>santé</t>
  </si>
  <si>
    <t>contrôle</t>
  </si>
  <si>
    <t>naissances</t>
  </si>
  <si>
    <t>pourrait</t>
  </si>
  <si>
    <t>cent</t>
  </si>
  <si>
    <t>gardera</t>
  </si>
  <si>
    <t>facteur</t>
  </si>
  <si>
    <t>1,3</t>
  </si>
  <si>
    <t># text = Le deuxième facteur concerne les services que nous utilisons.</t>
  </si>
  <si>
    <t>deuxième</t>
  </si>
  <si>
    <t>utilisons</t>
  </si>
  <si>
    <t># text = Cela englobe tout, la nourriture que nous mangeons, les vêtements, la télévision, le chauffage.</t>
  </si>
  <si>
    <t>englobe</t>
  </si>
  <si>
    <t>nourriture</t>
  </si>
  <si>
    <t>mangeons</t>
  </si>
  <si>
    <t>vêtements</t>
  </si>
  <si>
    <t>télévision</t>
  </si>
  <si>
    <t>chauffage</t>
  </si>
  <si>
    <t># text = Ce sont de très bonnes choses, et se débarrasser de la pauvreté signifie pouvoir fournir ces services à presque tout le monde sur la planète.</t>
  </si>
  <si>
    <t>bonnes</t>
  </si>
  <si>
    <t>débarrasser</t>
  </si>
  <si>
    <t>fournir</t>
  </si>
  <si>
    <t>presque</t>
  </si>
  <si>
    <t># text = Et c'est une bonne chose que ce chiffre augmente.</t>
  </si>
  <si>
    <t>bonne</t>
  </si>
  <si>
    <t>chiffre</t>
  </si>
  <si>
    <t>augmente</t>
  </si>
  <si>
    <t># text = Dans le monde riche, peut-être le milliard du haut, nous pourrions probablement les réduire, en utiliser moins, mais chaque année, ce chiffre, en moyenne, va monter, et finira par plus que doubler le nombre de services fournis par personne.</t>
  </si>
  <si>
    <t>milliard</t>
  </si>
  <si>
    <t>pourrions</t>
  </si>
  <si>
    <t>monter</t>
  </si>
  <si>
    <t>finira</t>
  </si>
  <si>
    <t>doubler</t>
  </si>
  <si>
    <t>fournis</t>
  </si>
  <si>
    <t># text = Ici nous avons un exemple de service très basique.</t>
  </si>
  <si>
    <t>Ici</t>
  </si>
  <si>
    <t>exemple</t>
  </si>
  <si>
    <t>basique</t>
  </si>
  <si>
    <t># text = Vous avez à la maison un éclairage suffisant pour lire et faire les devoirs scolaires.</t>
  </si>
  <si>
    <t>Vous</t>
  </si>
  <si>
    <t>avez</t>
  </si>
  <si>
    <t>maison</t>
  </si>
  <si>
    <t>éclairage</t>
  </si>
  <si>
    <t>suffisant</t>
  </si>
  <si>
    <t>lire</t>
  </si>
  <si>
    <t>devoirs</t>
  </si>
  <si>
    <t>scolaires</t>
  </si>
  <si>
    <t># text = Pas ces enfants.</t>
  </si>
  <si>
    <t>Pas</t>
  </si>
  <si>
    <t>enfants</t>
  </si>
  <si>
    <t># text = Alors ils sortent et font leurs devoirs à la lumière des lampadaires de la rue.</t>
  </si>
  <si>
    <t>sortent</t>
  </si>
  <si>
    <t>font</t>
  </si>
  <si>
    <t>lumière</t>
  </si>
  <si>
    <t>lampadaires</t>
  </si>
  <si>
    <t>rue</t>
  </si>
  <si>
    <t>--</t>
  </si>
  <si>
    <t># text = Maintenant, l'efficacité, "E", la quantité d'énergie pour chaque service, et ici, nous avons enfin de bonnes nouvelles.</t>
  </si>
  <si>
    <t>Maintenant</t>
  </si>
  <si>
    <t>&amp;quot;</t>
  </si>
  <si>
    <t>E</t>
  </si>
  <si>
    <t>ici</t>
  </si>
  <si>
    <t>enfin</t>
  </si>
  <si>
    <t>nouvelles</t>
  </si>
  <si>
    <t># text = Nous avons quelque chose qui ne grimpe pas.</t>
  </si>
  <si>
    <t>Nous</t>
  </si>
  <si>
    <t>grimpe</t>
  </si>
  <si>
    <t># text = Grâce à diverses inventions et de nouvelles façons de faire de la lumière, grâce à de nouveaux types de voitures, des façons différentes de construire les bâtiments.</t>
  </si>
  <si>
    <t>Grâce</t>
  </si>
  <si>
    <t>diverses</t>
  </si>
  <si>
    <t>inventions</t>
  </si>
  <si>
    <t>façons</t>
  </si>
  <si>
    <t>types</t>
  </si>
  <si>
    <t>voitures</t>
  </si>
  <si>
    <t>différentes</t>
  </si>
  <si>
    <t>construire</t>
  </si>
  <si>
    <t>bâtiments</t>
  </si>
  <si>
    <t># text = Il y a beaucoup de services pour lesquels on peut réduire l'énergie de façon substantielle, et pour certains services particuliers, la réduire de 90 pour cent.</t>
  </si>
  <si>
    <t>lesquels</t>
  </si>
  <si>
    <t>façon</t>
  </si>
  <si>
    <t>substantielle</t>
  </si>
  <si>
    <t>certains</t>
  </si>
  <si>
    <t>particuliers</t>
  </si>
  <si>
    <t># text = Il existe d'autres services comme la façon de fabriquer les l'engrais, ou d'effectuer le transport aérien, où les marges d'amélioration sont beaucoup beaucoup plus réduites.</t>
  </si>
  <si>
    <t>existe</t>
  </si>
  <si>
    <t>autres</t>
  </si>
  <si>
    <t>comme</t>
  </si>
  <si>
    <t>engrais</t>
  </si>
  <si>
    <t>effectuer</t>
  </si>
  <si>
    <t>transport</t>
  </si>
  <si>
    <t>aérien</t>
  </si>
  <si>
    <t>marges</t>
  </si>
  <si>
    <t>amélioration</t>
  </si>
  <si>
    <t>réduites</t>
  </si>
  <si>
    <t># text = Et donc, en gros, en étant optimistes, on pourrait obtenir une diminution d'un facteur de trois à, peut-être même, un facteur de six.</t>
  </si>
  <si>
    <t>gros</t>
  </si>
  <si>
    <t>étant</t>
  </si>
  <si>
    <t>optimistes</t>
  </si>
  <si>
    <t>obtenir</t>
  </si>
  <si>
    <t>trois</t>
  </si>
  <si>
    <t>six</t>
  </si>
  <si>
    <t># text = Pour l'ensemble de ces trois premiers facteurs, nous sommes au mieux passés de 26 milliards à, peut-être 13 milliards de tonnes, et ce n'est pas suffisant.</t>
  </si>
  <si>
    <t>ensemble</t>
  </si>
  <si>
    <t>premiers</t>
  </si>
  <si>
    <t>sommes</t>
  </si>
  <si>
    <t>passés</t>
  </si>
  <si>
    <t># text = Alors, voyons ce quatrième facteur -- qui va être un facteur clé -- et c'est la quantité de CO2 dégagée par unité d'énergie.</t>
  </si>
  <si>
    <t>quatrième</t>
  </si>
  <si>
    <t>clé</t>
  </si>
  <si>
    <t>dégagée</t>
  </si>
  <si>
    <t># text = Et donc, la question est: \"Peut-on le réduire à zéro ?\"</t>
  </si>
  <si>
    <t>question</t>
  </si>
  <si>
    <t>:</t>
  </si>
  <si>
    <t>Peut</t>
  </si>
  <si>
    <t># text = En brûlant du charbon, la réponse est non.</t>
  </si>
  <si>
    <t>brûlant</t>
  </si>
  <si>
    <t>non</t>
  </si>
  <si>
    <t># text = Si vous brûlez du gaz naturel, non plus.</t>
  </si>
  <si>
    <t>brûlez</t>
  </si>
  <si>
    <t>gaz</t>
  </si>
  <si>
    <t>naturel</t>
  </si>
  <si>
    <t># text = Presque toutes les techniques pour produire aujourd'hui de l'électricité, en dehors des énergies renouvelables et du nucléaire, rejettent du CO2.</t>
  </si>
  <si>
    <t>Presque</t>
  </si>
  <si>
    <t>toutes</t>
  </si>
  <si>
    <t>techniques</t>
  </si>
  <si>
    <t>produire</t>
  </si>
  <si>
    <t>dehors</t>
  </si>
  <si>
    <t>énergies</t>
  </si>
  <si>
    <t>renouvelables</t>
  </si>
  <si>
    <t>nucléaire</t>
  </si>
  <si>
    <t>rejettent</t>
  </si>
  <si>
    <t># text = Et donc, ce que nous allons devoir faire à une échelle globale, c'est de créer un nouveau système.</t>
  </si>
  <si>
    <t>allons</t>
  </si>
  <si>
    <t>échelle</t>
  </si>
  <si>
    <t>globale</t>
  </si>
  <si>
    <t>créer</t>
  </si>
  <si>
    <t>nouveau</t>
  </si>
  <si>
    <t>système</t>
  </si>
  <si>
    <t># text = Alors, il nous faut des miracles dans le domaine de l'énergie.</t>
  </si>
  <si>
    <t>faut</t>
  </si>
  <si>
    <t>miracles</t>
  </si>
  <si>
    <t>domaine</t>
  </si>
  <si>
    <t># text = Mais quand j'utilise le mot miracle, je ne veux pas dire quelque chose d'impossible.</t>
  </si>
  <si>
    <t>quand</t>
  </si>
  <si>
    <t>mot</t>
  </si>
  <si>
    <t>miracle</t>
  </si>
  <si>
    <t>je</t>
  </si>
  <si>
    <t>veux</t>
  </si>
  <si>
    <t>impossible</t>
  </si>
  <si>
    <t># text = Le microprocesseur est un miracle.</t>
  </si>
  <si>
    <t>microprocesseur</t>
  </si>
  <si>
    <t># text = L'ordinateur personnel est un miracle.</t>
  </si>
  <si>
    <t>ordinateur</t>
  </si>
  <si>
    <t>personnel</t>
  </si>
  <si>
    <t># text = L'Internet et les services web sont un miracle.</t>
  </si>
  <si>
    <t>Internet</t>
  </si>
  <si>
    <t>web</t>
  </si>
  <si>
    <t># text = Dans ce sens, les gens présents ici ont participé à la création de nombreux miracles.</t>
  </si>
  <si>
    <t>sens</t>
  </si>
  <si>
    <t>gens</t>
  </si>
  <si>
    <t>présents</t>
  </si>
  <si>
    <t>ont</t>
  </si>
  <si>
    <t>participé</t>
  </si>
  <si>
    <t>création</t>
  </si>
  <si>
    <t>nombreux</t>
  </si>
  <si>
    <t># text = D'habitude, on n'a pas de date butoir, où il faut réaliser le miracle pour une date donnée.</t>
  </si>
  <si>
    <t>habitude</t>
  </si>
  <si>
    <t>date</t>
  </si>
  <si>
    <t>butoir</t>
  </si>
  <si>
    <t>donnée</t>
  </si>
  <si>
    <t># text = D'habitude, on se tient juste prêts, et alors certains se produisent, d'autres pas.</t>
  </si>
  <si>
    <t>tient</t>
  </si>
  <si>
    <t>juste</t>
  </si>
  <si>
    <t>prêts</t>
  </si>
  <si>
    <t>produisent</t>
  </si>
  <si>
    <t># text = Dans le cas présent, il faut aller à toute vitesse et obtenir un miracle avec un calendrier assez restreint.</t>
  </si>
  <si>
    <t>cas</t>
  </si>
  <si>
    <t>présent</t>
  </si>
  <si>
    <t>toute</t>
  </si>
  <si>
    <t>vitesse</t>
  </si>
  <si>
    <t>avec</t>
  </si>
  <si>
    <t>calendrier</t>
  </si>
  <si>
    <t>restreint</t>
  </si>
  <si>
    <t># text = Je me suis demandé comment je pourrais résumer visuellement cela.</t>
  </si>
  <si>
    <t>me</t>
  </si>
  <si>
    <t>suis</t>
  </si>
  <si>
    <t>pourrais</t>
  </si>
  <si>
    <t>résumer</t>
  </si>
  <si>
    <t>visuellement</t>
  </si>
  <si>
    <t># text = Y aurait-il une sorte d'illustration venant de la nature, une démonstration qui saisirait l'imagination des gens ici?</t>
  </si>
  <si>
    <t>Y</t>
  </si>
  <si>
    <t>aurait</t>
  </si>
  <si>
    <t>-il</t>
  </si>
  <si>
    <t>sorte</t>
  </si>
  <si>
    <t>illustration</t>
  </si>
  <si>
    <t>venant</t>
  </si>
  <si>
    <t>nature</t>
  </si>
  <si>
    <t>démonstration</t>
  </si>
  <si>
    <t>saisirait</t>
  </si>
  <si>
    <t>imagination</t>
  </si>
  <si>
    <t># text = J'ai repensé à l'année dernière, quand j'avais apporté des moustiques, les gens avaient bien aimé.</t>
  </si>
  <si>
    <t>J'</t>
  </si>
  <si>
    <t>repensé</t>
  </si>
  <si>
    <t>dernière</t>
  </si>
  <si>
    <t>avais</t>
  </si>
  <si>
    <t>apporté</t>
  </si>
  <si>
    <t>moustiques</t>
  </si>
  <si>
    <t>avaient</t>
  </si>
  <si>
    <t>aimé</t>
  </si>
  <si>
    <t># text = (Rires) Ça leur avait permis de vraiment intégrer l'idée qu'il y a des gens qui vivent avec les moustiques.</t>
  </si>
  <si>
    <t>(</t>
  </si>
  <si>
    <t>Rires</t>
  </si>
  <si>
    <t>)</t>
  </si>
  <si>
    <t>Ça</t>
  </si>
  <si>
    <t>avait</t>
  </si>
  <si>
    <t>permis</t>
  </si>
  <si>
    <t>intégrer</t>
  </si>
  <si>
    <t>idée</t>
  </si>
  <si>
    <t>vivent</t>
  </si>
  <si>
    <t># text = Donc, avec l'énergie, tout ce que à quoi j'ai pu arriver, c'est ça.</t>
  </si>
  <si>
    <t>Donc</t>
  </si>
  <si>
    <t>quoi</t>
  </si>
  <si>
    <t>pu</t>
  </si>
  <si>
    <t># text = J'ai décidé que libérer des lucioles serait ma contribution à l'environnement ici, cette année.</t>
  </si>
  <si>
    <t>décidé</t>
  </si>
  <si>
    <t>libérer</t>
  </si>
  <si>
    <t>lucioles</t>
  </si>
  <si>
    <t>ma</t>
  </si>
  <si>
    <t>contribution</t>
  </si>
  <si>
    <t># text = Voici donc ici des lucioles naturelles.</t>
  </si>
  <si>
    <t>Voici</t>
  </si>
  <si>
    <t>naturelles</t>
  </si>
  <si>
    <t># text = On m'a dit qu'elles ne mordent pas, en fait, elles pourraient bien ne pas quitter ce pot.</t>
  </si>
  <si>
    <t>m'</t>
  </si>
  <si>
    <t>dit</t>
  </si>
  <si>
    <t>elles</t>
  </si>
  <si>
    <t>mordent</t>
  </si>
  <si>
    <t>pourraient</t>
  </si>
  <si>
    <t>quitter</t>
  </si>
  <si>
    <t>pot</t>
  </si>
  <si>
    <t># text = Il y a toutes sortes de solutions astucieuses comme ça, mais elles n'apportent pas grand chose, en fait.</t>
  </si>
  <si>
    <t>sortes</t>
  </si>
  <si>
    <t>solutions</t>
  </si>
  <si>
    <t>astucieuses</t>
  </si>
  <si>
    <t>apportent</t>
  </si>
  <si>
    <t># text = Nous avons besoin d'une ou de plusieurs solutions, qui fonctionnent à une échelle immense, avec une immense fiabilité, et, bien qu'on cherche dans nombreuses directions, Je n'en vois vraiment que cinq qui tiennent la route.</t>
  </si>
  <si>
    <t>besoin</t>
  </si>
  <si>
    <t>fonctionnent</t>
  </si>
  <si>
    <t>immense</t>
  </si>
  <si>
    <t>fiabilité</t>
  </si>
  <si>
    <t>cherche</t>
  </si>
  <si>
    <t>vois</t>
  </si>
  <si>
    <t>SBJ_8</t>
  </si>
  <si>
    <t>tiennent</t>
  </si>
  <si>
    <t>route</t>
  </si>
  <si>
    <t>OBJ_8</t>
  </si>
  <si>
    <t># text = J'ai laissé de côté l'énergie marémotrice, la géothermie, la fusion, les biocarburants.</t>
  </si>
  <si>
    <t>laissé</t>
  </si>
  <si>
    <t>côté</t>
  </si>
  <si>
    <t>marémotrice</t>
  </si>
  <si>
    <t>géothermie</t>
  </si>
  <si>
    <t>fusion</t>
  </si>
  <si>
    <t>biocarburants</t>
  </si>
  <si>
    <t># text = Elles apporteront leur contribution, et si c'est plus que je ne pense, tant mieux, mais mon idée là-dessus, c'est que sur ces cinq-là, il y a encore du travail à faire, et nous ne pouvons en laisser tomber aucune, même si ça paraît difficile, même si les défis à relever semblent importants.</t>
  </si>
  <si>
    <t>Elles</t>
  </si>
  <si>
    <t>apporteront</t>
  </si>
  <si>
    <t>pense</t>
  </si>
  <si>
    <t>là-dessus</t>
  </si>
  <si>
    <t>cinq-là</t>
  </si>
  <si>
    <t>encore</t>
  </si>
  <si>
    <t>tomber</t>
  </si>
  <si>
    <t>aucune</t>
  </si>
  <si>
    <t>SBJ_10</t>
  </si>
  <si>
    <t>paraît</t>
  </si>
  <si>
    <t>difficile</t>
  </si>
  <si>
    <t>défis</t>
  </si>
  <si>
    <t>SBJ_11</t>
  </si>
  <si>
    <t>relever</t>
  </si>
  <si>
    <t>semblent</t>
  </si>
  <si>
    <t># text = Regardons d'abord la combustion des combustibles fossiles, qu'il s'agisse du charbon ou du gaz naturel.</t>
  </si>
  <si>
    <t>Regardons</t>
  </si>
  <si>
    <t>combustion</t>
  </si>
  <si>
    <t>combustibles</t>
  </si>
  <si>
    <t>fossiles</t>
  </si>
  <si>
    <t>agisse</t>
  </si>
  <si>
    <t># text = Ce qu'il faut faire là paraît simple, mais ça ne l'est pas, c'est de prendre tout le CO2, après la combustion, le sortir du circuit, le mette sous pression, le rendre liquide, le mettre quelque part, et espérer qu'il y reste.</t>
  </si>
  <si>
    <t>prendre</t>
  </si>
  <si>
    <t>après</t>
  </si>
  <si>
    <t>circuit</t>
  </si>
  <si>
    <t>mette</t>
  </si>
  <si>
    <t>pression</t>
  </si>
  <si>
    <t>rendre</t>
  </si>
  <si>
    <t>liquide</t>
  </si>
  <si>
    <t>mettre</t>
  </si>
  <si>
    <t>part</t>
  </si>
  <si>
    <t>reste</t>
  </si>
  <si>
    <t># text = Il y a des projets avancés permettant de réaliser cela à 60 à 80 %, mais arriver à 100%, ça sera très délicat, et ce sera difficile de convenir de l'endroit où tout ce CO2 devrait être mis, mais le plus dur est ici la question du long terme.</t>
  </si>
  <si>
    <t>projets</t>
  </si>
  <si>
    <t>avancés</t>
  </si>
  <si>
    <t>permettant</t>
  </si>
  <si>
    <t>%</t>
  </si>
  <si>
    <t>sera</t>
  </si>
  <si>
    <t>délicat</t>
  </si>
  <si>
    <t>convenir</t>
  </si>
  <si>
    <t>mis</t>
  </si>
  <si>
    <t>dur</t>
  </si>
  <si>
    <t>long</t>
  </si>
  <si>
    <t>terme</t>
  </si>
  <si>
    <t>other_8</t>
  </si>
  <si>
    <t># text = Qui pourra avoir cette certitude ?</t>
  </si>
  <si>
    <t>Qui</t>
  </si>
  <si>
    <t>pron.pint</t>
  </si>
  <si>
    <t>pourra</t>
  </si>
  <si>
    <t>certitude</t>
  </si>
  <si>
    <t># text = Qui pourra garantir quelque chose qui est des milliards de fois plus volumineux que tout autre type de déchets auquel vous pouvez penser, nucléaires ou autres?</t>
  </si>
  <si>
    <t>garantir</t>
  </si>
  <si>
    <t>fois</t>
  </si>
  <si>
    <t>volumineux</t>
  </si>
  <si>
    <t>autre</t>
  </si>
  <si>
    <t>type</t>
  </si>
  <si>
    <t>déchets</t>
  </si>
  <si>
    <t>lequel</t>
  </si>
  <si>
    <t>pouvez</t>
  </si>
  <si>
    <t>nucléaires</t>
  </si>
  <si>
    <t># text = Cela fait beaucoup de volume.</t>
  </si>
  <si>
    <t>volume</t>
  </si>
  <si>
    <t># text = Alors ce sera difficile pour cette solution.</t>
  </si>
  <si>
    <t>solution</t>
  </si>
  <si>
    <t># text = Ensuite, il y a le nucléaire.</t>
  </si>
  <si>
    <t>Ensuite</t>
  </si>
  <si>
    <t># text = Qui présente aussi trois gros problèmes :</t>
  </si>
  <si>
    <t>présente</t>
  </si>
  <si>
    <t>aussi</t>
  </si>
  <si>
    <t>problèmes</t>
  </si>
  <si>
    <t># text = Le coût, en particulier dans les pays fortement réglementés, est élevé.</t>
  </si>
  <si>
    <t>coût</t>
  </si>
  <si>
    <t>particulier</t>
  </si>
  <si>
    <t>fortement</t>
  </si>
  <si>
    <t>réglementés</t>
  </si>
  <si>
    <t>élevé</t>
  </si>
  <si>
    <t># text = La question de la sécurité, d'être vraiment sûrs qu'il n y aura pas de problème, que, même en ayant des opérateurs humains, le combustible ne soit pas utilisé pour les armes.</t>
  </si>
  <si>
    <t>sécurité</t>
  </si>
  <si>
    <t>sûrs</t>
  </si>
  <si>
    <t>n</t>
  </si>
  <si>
    <t>ayant</t>
  </si>
  <si>
    <t>opérateurs</t>
  </si>
  <si>
    <t>humains</t>
  </si>
  <si>
    <t>combustible</t>
  </si>
  <si>
    <t>utilisé</t>
  </si>
  <si>
    <t>armes</t>
  </si>
  <si>
    <t># text = Et puis, que faire avec les déchets?</t>
  </si>
  <si>
    <t>puis</t>
  </si>
  <si>
    <t># text = Et, bien que le volume ne soit pas pas très impotant, il pose de nombreux problèmes.</t>
  </si>
  <si>
    <t>impotant</t>
  </si>
  <si>
    <t>pose</t>
  </si>
  <si>
    <t># text = Les gens ont besoin de se sentir bien là-dessus.</t>
  </si>
  <si>
    <t>sentir</t>
  </si>
  <si>
    <t># text = Donc, trois problèmes très difficiles qui pourraient être résolus, et donc, sur lesquels il faudrait travailler.</t>
  </si>
  <si>
    <t>difficiles</t>
  </si>
  <si>
    <t>résolus</t>
  </si>
  <si>
    <t>faudrait</t>
  </si>
  <si>
    <t>travailler</t>
  </si>
  <si>
    <t># text = Les trois derniers des cinq, je les ai regroupés.</t>
  </si>
  <si>
    <t>derniers</t>
  </si>
  <si>
    <t>regroupés</t>
  </si>
  <si>
    <t># text = Ce sont ceux auxquels les gens font souvent référence en tant qu'énergies renouvelables.</t>
  </si>
  <si>
    <t>ceux</t>
  </si>
  <si>
    <t>souvent</t>
  </si>
  <si>
    <t>référence</t>
  </si>
  <si>
    <t># text = Mais en fait - même si c'est génial qu'elles ne nécessitent aucun carburant -- elles présentent quelques inconvénients.</t>
  </si>
  <si>
    <t>génial</t>
  </si>
  <si>
    <t>nécessitent</t>
  </si>
  <si>
    <t>aucun</t>
  </si>
  <si>
    <t>carburant</t>
  </si>
  <si>
    <t>présentent</t>
  </si>
  <si>
    <t>quelques</t>
  </si>
  <si>
    <t>inconvénients</t>
  </si>
  <si>
    <t># text = Le premier est que la densité d'énergie produite grâce à ces technologies est considérablement inférieure à celle d'une centrale électrique.</t>
  </si>
  <si>
    <t>premier</t>
  </si>
  <si>
    <t>densité</t>
  </si>
  <si>
    <t>produite</t>
  </si>
  <si>
    <t>technologies</t>
  </si>
  <si>
    <t>considérablement</t>
  </si>
  <si>
    <t>inférieure</t>
  </si>
  <si>
    <t>celle</t>
  </si>
  <si>
    <t>centrale</t>
  </si>
  <si>
    <t>électrique</t>
  </si>
  <si>
    <t># text = Il s'agit de fermes à énergie, on parle là de nombreux kilomètres carrés, des milliers de fois plus d'espace que pour une centrale à énergie normale.</t>
  </si>
  <si>
    <t>agit</t>
  </si>
  <si>
    <t>fermes</t>
  </si>
  <si>
    <t>parle</t>
  </si>
  <si>
    <t>kilomètres</t>
  </si>
  <si>
    <t>carrés</t>
  </si>
  <si>
    <t>milliers</t>
  </si>
  <si>
    <t>espace</t>
  </si>
  <si>
    <t>normale</t>
  </si>
  <si>
    <t># text = De plus ce sont des sources fonctionnant par intermittence.</t>
  </si>
  <si>
    <t>sources</t>
  </si>
  <si>
    <t>fonctionnant</t>
  </si>
  <si>
    <t>intermittence</t>
  </si>
  <si>
    <t># text = Le soleil ne brille pas toute la journée, il ne brille pas tous les jours, et, pareillement, le vent ne souffle pas tout le temps.</t>
  </si>
  <si>
    <t>soleil</t>
  </si>
  <si>
    <t>brille</t>
  </si>
  <si>
    <t>journée</t>
  </si>
  <si>
    <t>tous</t>
  </si>
  <si>
    <t>jours</t>
  </si>
  <si>
    <t>pareillement</t>
  </si>
  <si>
    <t>vent</t>
  </si>
  <si>
    <t>souffle</t>
  </si>
  <si>
    <t># text = Et donc, si vous dépendez de ces sources, vous devez avoir un moyen d'obtenir de l'énergie pendant ces périodes de temps où elle n'est pas disponible.</t>
  </si>
  <si>
    <t>dépendez</t>
  </si>
  <si>
    <t>devez</t>
  </si>
  <si>
    <t>pendant</t>
  </si>
  <si>
    <t>périodes</t>
  </si>
  <si>
    <t>elle</t>
  </si>
  <si>
    <t>disponible</t>
  </si>
  <si>
    <t># text = Nous avons ici de gros problèmes de coûts .</t>
  </si>
  <si>
    <t>coûts</t>
  </si>
  <si>
    <t># text = Nous avons des problèmes de transmission.</t>
  </si>
  <si>
    <t>transmission</t>
  </si>
  <si>
    <t># text = Par exemple, disons que cette source d'énergie est en dehors de votre pays, alors non seulement vous avez besoin de la technologie, mais vous devez faire face au risque d'une énergie venue d'ailleurs.</t>
  </si>
  <si>
    <t>Par</t>
  </si>
  <si>
    <t>disons</t>
  </si>
  <si>
    <t>source</t>
  </si>
  <si>
    <t>votre</t>
  </si>
  <si>
    <t>seulement</t>
  </si>
  <si>
    <t>technologie</t>
  </si>
  <si>
    <t>face</t>
  </si>
  <si>
    <t>risque</t>
  </si>
  <si>
    <t>venue</t>
  </si>
  <si>
    <t>ailleurs</t>
  </si>
  <si>
    <t># text = Et, finalement, il y a ce problème de stockage.</t>
  </si>
  <si>
    <t>finalement</t>
  </si>
  <si>
    <t>stockage</t>
  </si>
  <si>
    <t># text = Alors, pour dimensionner cela, j'ai étudié tous les types de batteries qu'on fabrique, pour les voitures, pour les ordinateurs, les téléphones, les lampes de poche, pour tout, et comparé cela à la quantité d'énergie électrique utilisée dans le monde, et ce que j'ai constaté, c'est que la totalité des batteries que nous faisons aujourd'hui pourrait stocker moins de 10 minutes de toute l'énergie.</t>
  </si>
  <si>
    <t>dimensionner</t>
  </si>
  <si>
    <t>étudié</t>
  </si>
  <si>
    <t>batteries</t>
  </si>
  <si>
    <t>fabrique</t>
  </si>
  <si>
    <t>ordinateurs</t>
  </si>
  <si>
    <t>téléphones</t>
  </si>
  <si>
    <t>lampes</t>
  </si>
  <si>
    <t>poche</t>
  </si>
  <si>
    <t>comparé</t>
  </si>
  <si>
    <t>constaté</t>
  </si>
  <si>
    <t>totalité</t>
  </si>
  <si>
    <t>faisons</t>
  </si>
  <si>
    <t>stocker</t>
  </si>
  <si>
    <t>minutes</t>
  </si>
  <si>
    <t># text = Alors, en fait, nous avons besoin d'une percée importante ici, quelque chose qui puisse améliorer d'un facteur de 100 les approches que nous avons actuellement.</t>
  </si>
  <si>
    <t>percée</t>
  </si>
  <si>
    <t>importante</t>
  </si>
  <si>
    <t>puisse</t>
  </si>
  <si>
    <t>approches</t>
  </si>
  <si>
    <t>actuellement</t>
  </si>
  <si>
    <t># text = Ce n'est pas impossible, mais ce n'est pas une chose très facile.</t>
  </si>
  <si>
    <t>facile</t>
  </si>
  <si>
    <t># text = C'est ce qu'on voit quand on essaie d'obtenir d'une source intermittente plus de, disons, 20 à 30 pour cent de ce qu'on utilise.</t>
  </si>
  <si>
    <t>essaie</t>
  </si>
  <si>
    <t>intermittente</t>
  </si>
  <si>
    <t>OBJ_9</t>
  </si>
  <si>
    <t>SBJ_9</t>
  </si>
  <si>
    <t># text = Si on compte sur cette source pour fournir les 100%, vous avez besoin d'une incroyable batterie miracle.</t>
  </si>
  <si>
    <t>incroyable</t>
  </si>
  <si>
    <t>batterie</t>
  </si>
  <si>
    <t># text = Bon, essayons d'avancer sur la question de la bonne approche à adopter.</t>
  </si>
  <si>
    <t>essayons</t>
  </si>
  <si>
    <t>avancer</t>
  </si>
  <si>
    <t>approche</t>
  </si>
  <si>
    <t>adopter</t>
  </si>
  <si>
    <t># text = Est-ce que c'est un nouveau "Projet Manhattan" ?</t>
  </si>
  <si>
    <t>Est</t>
  </si>
  <si>
    <t>-ce</t>
  </si>
  <si>
    <t>Projet</t>
  </si>
  <si>
    <t>Manhattan</t>
  </si>
  <si>
    <t># text = Quels moyens pour y arriver ?</t>
  </si>
  <si>
    <t>Quels</t>
  </si>
  <si>
    <t>moyens</t>
  </si>
  <si>
    <t># text = Eh bien, il nous faut un grand nombre d'entreprises pour travailler sur le sujet, des centaines.</t>
  </si>
  <si>
    <t>Eh</t>
  </si>
  <si>
    <t>entreprises</t>
  </si>
  <si>
    <t>sujet</t>
  </si>
  <si>
    <t>centaines</t>
  </si>
  <si>
    <t># text = Dans chacune de ces cinq voies, nous avons besoin d'au moins une centaine de personnes.</t>
  </si>
  <si>
    <t>chacune</t>
  </si>
  <si>
    <t>voies</t>
  </si>
  <si>
    <t>centaine</t>
  </si>
  <si>
    <t># text = Et pour beaucoup d'entre eux, vous penserez qu'ils sont fous.</t>
  </si>
  <si>
    <t>entre</t>
  </si>
  <si>
    <t>penserez</t>
  </si>
  <si>
    <t>fous</t>
  </si>
  <si>
    <t># text = C'est parfait.</t>
  </si>
  <si>
    <t>parfait</t>
  </si>
  <si>
    <t># text = Et, je pense qu'ici, dans le groupe TED, beaucoup de gens poursuivent déjà ces voies.</t>
  </si>
  <si>
    <t>groupe</t>
  </si>
  <si>
    <t>TED</t>
  </si>
  <si>
    <t>poursuivent</t>
  </si>
  <si>
    <t>déjà</t>
  </si>
  <si>
    <t># text = Bill Gross possède plusieurs sociétés, dont une appelé eSolar qui maîtrise quelques importantes technologies thermiques solaires.</t>
  </si>
  <si>
    <t>Gross</t>
  </si>
  <si>
    <t>possède</t>
  </si>
  <si>
    <t>sociétés</t>
  </si>
  <si>
    <t>dont</t>
  </si>
  <si>
    <t>appelé</t>
  </si>
  <si>
    <t>eSolar</t>
  </si>
  <si>
    <t>maîtrise</t>
  </si>
  <si>
    <t>importantes</t>
  </si>
  <si>
    <t>thermiques</t>
  </si>
  <si>
    <t>solaires</t>
  </si>
  <si>
    <t># text = Vinod Khosla investit dans des douzaines d'entreprises qui font de grandes choses et ont d'intéressantes possibilités, et j'essaie d'aider à soutenir financièrement ces projets.</t>
  </si>
  <si>
    <t>Vinod</t>
  </si>
  <si>
    <t>Khosla</t>
  </si>
  <si>
    <t>investit</t>
  </si>
  <si>
    <t>douzaines</t>
  </si>
  <si>
    <t>grandes</t>
  </si>
  <si>
    <t>intéressantes</t>
  </si>
  <si>
    <t>possibilités</t>
  </si>
  <si>
    <t>financièrement</t>
  </si>
  <si>
    <t># text = En fait, Nathan Myhrvold et moi, nous soutenons financièrement une société qui, cela vous étonnera peut-être, a choisi l'approche nucléaire.</t>
  </si>
  <si>
    <t>Nathan</t>
  </si>
  <si>
    <t>Myhrvold</t>
  </si>
  <si>
    <t>moi</t>
  </si>
  <si>
    <t>soutenons</t>
  </si>
  <si>
    <t>société</t>
  </si>
  <si>
    <t>étonnera</t>
  </si>
  <si>
    <t>choisi</t>
  </si>
  <si>
    <t># text = Il ya quelques innovations dans le nucléaire: modulaire, liquide.</t>
  </si>
  <si>
    <t>ya</t>
  </si>
  <si>
    <t>innovations</t>
  </si>
  <si>
    <t>modulaire</t>
  </si>
  <si>
    <t># text = Et l'innovation avait vraiment cessé dans cette industrie depuis un certain temps, Alors, l'idée qu'il y ait quelques bonnes idées qui traînent n'est pas surprenant.</t>
  </si>
  <si>
    <t>innovation</t>
  </si>
  <si>
    <t>cessé</t>
  </si>
  <si>
    <t>industrie</t>
  </si>
  <si>
    <t>depuis</t>
  </si>
  <si>
    <t>certain</t>
  </si>
  <si>
    <t>ait</t>
  </si>
  <si>
    <t>idées</t>
  </si>
  <si>
    <t>traînent</t>
  </si>
  <si>
    <t># text = L'idée de Terrapower est, qu'au lieu de brûler une partie de l'uranium, ce un pour cent, qui est le U235, on a décidé de brûler les autres 99 %, le U238.</t>
  </si>
  <si>
    <t>Terrapower</t>
  </si>
  <si>
    <t>lieu</t>
  </si>
  <si>
    <t>partie</t>
  </si>
  <si>
    <t>uranium</t>
  </si>
  <si>
    <t>U235</t>
  </si>
  <si>
    <t>U238</t>
  </si>
  <si>
    <t># text = C'est une idée un peu folle.</t>
  </si>
  <si>
    <t>folle</t>
  </si>
  <si>
    <t># text = En fait, ça faisait longtemps que des gens en parlaient, mais ils n'étaient jamais arrivés à simuler correctement si ça marcherait ou non, alors c'est grâce à l'avènement des super-ordinateurs modernes qu'on a pu effectuer la simulation, et voir que, oui, avec la bonne approche sur les matériaux, il semble que ça peut marcher.</t>
  </si>
  <si>
    <t>faisait</t>
  </si>
  <si>
    <t>longtemps</t>
  </si>
  <si>
    <t>parlaient</t>
  </si>
  <si>
    <t>étaient</t>
  </si>
  <si>
    <t>jamais</t>
  </si>
  <si>
    <t>arrivés</t>
  </si>
  <si>
    <t>simuler</t>
  </si>
  <si>
    <t>correctement</t>
  </si>
  <si>
    <t>marcherait</t>
  </si>
  <si>
    <t>avènement</t>
  </si>
  <si>
    <t>super-ordinateurs</t>
  </si>
  <si>
    <t>simulation</t>
  </si>
  <si>
    <t>OBJ_10</t>
  </si>
  <si>
    <t>oui</t>
  </si>
  <si>
    <t>other_9</t>
  </si>
  <si>
    <t>other_10</t>
  </si>
  <si>
    <t>semble</t>
  </si>
  <si>
    <t>marcher</t>
  </si>
  <si>
    <t># text = Et, parce que vous brûlez ces 99 pour cent, vous avez énormément amélioré le profil des coûts.</t>
  </si>
  <si>
    <t>énormément</t>
  </si>
  <si>
    <t>amélioré</t>
  </si>
  <si>
    <t>profil</t>
  </si>
  <si>
    <t># text = Ce que vous brûlez, ce sont les déchets, et vous pouvez utiliser comme combustible tous les surplus de déchets produits par les réacteurs d'aujourd'hui.</t>
  </si>
  <si>
    <t>surplus</t>
  </si>
  <si>
    <t>produits</t>
  </si>
  <si>
    <t>réacteurs</t>
  </si>
  <si>
    <t># text = Ainsi, au lieu de s'en inquiéter à leur sujet, on les utilise.</t>
  </si>
  <si>
    <t>Ainsi</t>
  </si>
  <si>
    <t>inquiéter</t>
  </si>
  <si>
    <t># text = Ça, c'est quelque chose.</t>
  </si>
  <si>
    <t># text = Ça aspire cet uranium en fonctionnant.</t>
  </si>
  <si>
    <t>aspire</t>
  </si>
  <si>
    <t>cet</t>
  </si>
  <si>
    <t># text = C'est un peu comme une bougie.</t>
  </si>
  <si>
    <t>bougie</t>
  </si>
  <si>
    <t># text = Vous pouvez voir ça comme une bûche, on en a souvent parlé comme du "réacteur à vague d'ondes".</t>
  </si>
  <si>
    <t>bûche</t>
  </si>
  <si>
    <t>parlé</t>
  </si>
  <si>
    <t>réacteur</t>
  </si>
  <si>
    <t>vague</t>
  </si>
  <si>
    <t>ondes</t>
  </si>
  <si>
    <t># text = En termes de carburant, ça résout vraiment le problème.</t>
  </si>
  <si>
    <t>termes</t>
  </si>
  <si>
    <t>résout</t>
  </si>
  <si>
    <t># text = J'ai une photo ici d'un lieu dans le Kentucky.</t>
  </si>
  <si>
    <t>photo</t>
  </si>
  <si>
    <t>Kentucky</t>
  </si>
  <si>
    <t># text = Ce sont les "restes", les 99 pour cent, dont on a enlevé toute la partie qu'on brûle actuellement, alors on appelle ça "uranium appauvri".</t>
  </si>
  <si>
    <t>restes</t>
  </si>
  <si>
    <t>enlevé</t>
  </si>
  <si>
    <t>brûle</t>
  </si>
  <si>
    <t>appelle</t>
  </si>
  <si>
    <t>appauvri</t>
  </si>
  <si>
    <t># text = Cela permettrait d'alimenter les États-Unis pour des centaines d'années.</t>
  </si>
  <si>
    <t>permettrait</t>
  </si>
  <si>
    <t>États-Unis</t>
  </si>
  <si>
    <t># text = Et, par un processus peu coûteux, simplement en filtrant l'eau de mer on aurait assez de carburant pour toute la vie du reste de la planète.</t>
  </si>
  <si>
    <t>processus</t>
  </si>
  <si>
    <t>coûteux</t>
  </si>
  <si>
    <t>filtrant</t>
  </si>
  <si>
    <t>eau</t>
  </si>
  <si>
    <t>mer</t>
  </si>
  <si>
    <t>vie</t>
  </si>
  <si>
    <t># text = D'accord, il reste encore beaucoup de chemin à faire, mais c'est un exemple parmi les centaines et les centaines d'idées dont nous avons besoin pour avancer.</t>
  </si>
  <si>
    <t>accord</t>
  </si>
  <si>
    <t>chemin</t>
  </si>
  <si>
    <t>parmi</t>
  </si>
  <si>
    <t># text = Réfléchissons, comment allons-nous établir notre échelle de notation ?</t>
  </si>
  <si>
    <t>Réfléchissons</t>
  </si>
  <si>
    <t>établir</t>
  </si>
  <si>
    <t>notre</t>
  </si>
  <si>
    <t>notation</t>
  </si>
  <si>
    <t># text = De quoi devrait avoir l'air notre feuille de route ?</t>
  </si>
  <si>
    <t>feuille</t>
  </si>
  <si>
    <t># text = Commençons par le but que nous devons atteindre, et puis regardons les étapes intermédiaires.</t>
  </si>
  <si>
    <t>Commençons</t>
  </si>
  <si>
    <t>but</t>
  </si>
  <si>
    <t>regardons</t>
  </si>
  <si>
    <t>étapes</t>
  </si>
  <si>
    <t>intermédiaires</t>
  </si>
  <si>
    <t># text = Pour 2050, vous avez entendu beaucoup de gens parler de cette réduction de 80 pour cent.</t>
  </si>
  <si>
    <t>2050</t>
  </si>
  <si>
    <t>entendu</t>
  </si>
  <si>
    <t>réduction</t>
  </si>
  <si>
    <t># text = C'est vraiment très important que nous y arrivions.</t>
  </si>
  <si>
    <t>arrivions</t>
  </si>
  <si>
    <t># text = Et que les 20 % proviennent de ce qui se passe dans les pays pauvres, ou encore un peu de l'agriculture.</t>
  </si>
  <si>
    <t>proviennent</t>
  </si>
  <si>
    <t>passe</t>
  </si>
  <si>
    <t>agriculture</t>
  </si>
  <si>
    <t># text = Espérons que d'ici là nous aurons une sylviculture et une industrie du ciment propres.</t>
  </si>
  <si>
    <t>Espérons</t>
  </si>
  <si>
    <t>aurons</t>
  </si>
  <si>
    <t>sylviculture</t>
  </si>
  <si>
    <t>ciment</t>
  </si>
  <si>
    <t>propres</t>
  </si>
  <si>
    <t># text = Donc, pour arriver à ces 80 %, les pays développés, y compris des pays comme la Chine, auront eu à transformer complètement leurs méthodes de production d'électricité.</t>
  </si>
  <si>
    <t>développés</t>
  </si>
  <si>
    <t>compris</t>
  </si>
  <si>
    <t>Chine</t>
  </si>
  <si>
    <t>auront</t>
  </si>
  <si>
    <t>eu</t>
  </si>
  <si>
    <t>transformer</t>
  </si>
  <si>
    <t>complètement</t>
  </si>
  <si>
    <t>méthodes</t>
  </si>
  <si>
    <t>production</t>
  </si>
  <si>
    <t># text = Le niveau suivant, ce sera de mettre en oeuvre cette technologie zéro émission, de l'avoir mise en oeuvre dans tous les pays développés et d'être en passe de le faire dans les autres pays.</t>
  </si>
  <si>
    <t>suivant</t>
  </si>
  <si>
    <t>oeuvre</t>
  </si>
  <si>
    <t>émission</t>
  </si>
  <si>
    <t>mise</t>
  </si>
  <si>
    <t># text = C'est super important.</t>
  </si>
  <si>
    <t>super</t>
  </si>
  <si>
    <t># text = C'est un élément essentiel pour tenir la feuille de route.</t>
  </si>
  <si>
    <t>élément</t>
  </si>
  <si>
    <t>essentiel</t>
  </si>
  <si>
    <t>tenir</t>
  </si>
  <si>
    <t># text = Alors, en revenant en arrière à partir de là, à quoi ressemble la feuille de route de 2020 ?</t>
  </si>
  <si>
    <t>revenant</t>
  </si>
  <si>
    <t>arrière</t>
  </si>
  <si>
    <t>ressemble</t>
  </si>
  <si>
    <t>2020</t>
  </si>
  <si>
    <t># text = Eh bien, là encore, on devrait avoir les deux éléments.</t>
  </si>
  <si>
    <t>éléments</t>
  </si>
  <si>
    <t># text = Nous devons passer par des mesures d'efficacité pour commencer à obtenir des réductions.</t>
  </si>
  <si>
    <t>mesures</t>
  </si>
  <si>
    <t>commencer</t>
  </si>
  <si>
    <t>réductions</t>
  </si>
  <si>
    <t># text = Moins nous émettons, moins grande sera la somme de CO2, et, par conséquent, moins chaude sera la température.</t>
  </si>
  <si>
    <t>Moins</t>
  </si>
  <si>
    <t>émettons</t>
  </si>
  <si>
    <t>somme</t>
  </si>
  <si>
    <t>conséquent</t>
  </si>
  <si>
    <t>chaude</t>
  </si>
  <si>
    <t># text = Mais à certains égards, le niveau que nous atteindrons ici, en faisant des choses qui ne conduisent pas tout de suite à d'importantes réductions, n'est pas plus important, et peut-être même moins, que cet autre, qui est l'innovation sur laquelle reposent ces percées.</t>
  </si>
  <si>
    <t>égards</t>
  </si>
  <si>
    <t>atteindrons</t>
  </si>
  <si>
    <t>faisant</t>
  </si>
  <si>
    <t>conduisent</t>
  </si>
  <si>
    <t>suite</t>
  </si>
  <si>
    <t>laquelle</t>
  </si>
  <si>
    <t>reposent</t>
  </si>
  <si>
    <t>percées</t>
  </si>
  <si>
    <t># text = Ces progrès, il faut que nous les réalisions à toute vitesse, et nous pouvons quantifier cela en termes de sociétés, de projets pilotes, de modifications des dispositions réglementaires.</t>
  </si>
  <si>
    <t>Ces</t>
  </si>
  <si>
    <t>progrès</t>
  </si>
  <si>
    <t>réalisions</t>
  </si>
  <si>
    <t>quantifier</t>
  </si>
  <si>
    <t>pilotes</t>
  </si>
  <si>
    <t>modifications</t>
  </si>
  <si>
    <t>dispositions</t>
  </si>
  <si>
    <t>réglementaires</t>
  </si>
  <si>
    <t># text = Beaucoup de grands livres ont été écrits à ce sujet.</t>
  </si>
  <si>
    <t>Beaucoup</t>
  </si>
  <si>
    <t>grands</t>
  </si>
  <si>
    <t>livres</t>
  </si>
  <si>
    <t>écrits</t>
  </si>
  <si>
    <t># text = Le livre de Al Gore, "Notre Choix" et le livre de David McKay, «L'énergie durable sans air chaud".</t>
  </si>
  <si>
    <t>Al</t>
  </si>
  <si>
    <t>Gore</t>
  </si>
  <si>
    <t>Notre</t>
  </si>
  <si>
    <t>Choix</t>
  </si>
  <si>
    <t>David</t>
  </si>
  <si>
    <t>McKay</t>
  </si>
  <si>
    <t>«</t>
  </si>
  <si>
    <t>durable</t>
  </si>
  <si>
    <t>sans</t>
  </si>
  <si>
    <t>chaud</t>
  </si>
  <si>
    <t># text = Ils éclairent vraiment bien le sujet, et créent un cadre qui ouvre largement à la discussion, parce qu'on a besoin d'un soutien large pour cela.</t>
  </si>
  <si>
    <t>Ils</t>
  </si>
  <si>
    <t>éclairent</t>
  </si>
  <si>
    <t>créent</t>
  </si>
  <si>
    <t>cadre</t>
  </si>
  <si>
    <t>ouvre</t>
  </si>
  <si>
    <t>largement</t>
  </si>
  <si>
    <t>discussion</t>
  </si>
  <si>
    <t>soutien</t>
  </si>
  <si>
    <t>large</t>
  </si>
  <si>
    <t># text = Beaucoup de choses doivent se produire en même temps.</t>
  </si>
  <si>
    <t>doivent</t>
  </si>
  <si>
    <t># text = Il s'agit donc d'un souhait.</t>
  </si>
  <si>
    <t>souhait</t>
  </si>
  <si>
    <t># text = C'est un vœu très concret, que l'on invente cette technologie.</t>
  </si>
  <si>
    <t>vœu</t>
  </si>
  <si>
    <t>concret</t>
  </si>
  <si>
    <t>invente</t>
  </si>
  <si>
    <t># text = Si on me donnait un seul vœu à faire pour les 50 prochaines années, si je pouvais choisir le prochain Président, ou choisir un vaccin, ce qui est quelque chose que j'aime, ou encore choisir que cette chose soit inventée, un coût divisé par deux sans aucune émission de CO2, c'est ce dernier que je choisirais.</t>
  </si>
  <si>
    <t>donnait</t>
  </si>
  <si>
    <t>seul</t>
  </si>
  <si>
    <t>prochaines</t>
  </si>
  <si>
    <t>pouvais</t>
  </si>
  <si>
    <t>choisir</t>
  </si>
  <si>
    <t>prochain</t>
  </si>
  <si>
    <t>Président</t>
  </si>
  <si>
    <t>vaccin</t>
  </si>
  <si>
    <t>aime</t>
  </si>
  <si>
    <t>inventée</t>
  </si>
  <si>
    <t>divisé</t>
  </si>
  <si>
    <t>dernier</t>
  </si>
  <si>
    <t>choisirais</t>
  </si>
  <si>
    <t># text = C'est celui qui aurait le plus grand impact.</t>
  </si>
  <si>
    <t>impact</t>
  </si>
  <si>
    <t># text = Si ce souhait ne se réalise pas, la division entre les gens qui pensent à court terme et à long terme sera terrible, entre les Etats-Unis et la Chine, entre pays pauvres et pays riches, et la vie sera bien pire pour la plupart de ces deux milliards de gens.</t>
  </si>
  <si>
    <t>réalise</t>
  </si>
  <si>
    <t>division</t>
  </si>
  <si>
    <t>pensent</t>
  </si>
  <si>
    <t>court</t>
  </si>
  <si>
    <t>terrible</t>
  </si>
  <si>
    <t>Etats-Unis</t>
  </si>
  <si>
    <t>riches</t>
  </si>
  <si>
    <t>plupart</t>
  </si>
  <si>
    <t># text = Alors, qu'avons-nous à faire?</t>
  </si>
  <si>
    <t># text = En quoi fais-je appel à vous pour aller de l'avant ?</t>
  </si>
  <si>
    <t>fais</t>
  </si>
  <si>
    <t>-je</t>
  </si>
  <si>
    <t>appel</t>
  </si>
  <si>
    <t>avant</t>
  </si>
  <si>
    <t># text = Il faut plus de financement pour la recherche.</t>
  </si>
  <si>
    <t>financement</t>
  </si>
  <si>
    <t>recherche</t>
  </si>
  <si>
    <t># text = Lorsque les pays se réunissent, comme à Copenhague, ils ne devraient pas discuter seulement du CO2.</t>
  </si>
  <si>
    <t>Lorsque</t>
  </si>
  <si>
    <t>réunissent</t>
  </si>
  <si>
    <t>Copenhague</t>
  </si>
  <si>
    <t>devraient</t>
  </si>
  <si>
    <t>discuter</t>
  </si>
  <si>
    <t># text = Ils devraient discuter de ce programme d'innovation, et vous seriez étonnés par le niveau de dépenses ridiculement faible nécessité par ces approches innovantes.</t>
  </si>
  <si>
    <t>programme</t>
  </si>
  <si>
    <t>seriez</t>
  </si>
  <si>
    <t>étonnés</t>
  </si>
  <si>
    <t>dépenses</t>
  </si>
  <si>
    <t>ridiculement</t>
  </si>
  <si>
    <t>faible</t>
  </si>
  <si>
    <t>nécessité</t>
  </si>
  <si>
    <t>innovantes</t>
  </si>
  <si>
    <t># text = Nous avons besoin d'incitations pour le marché, une taxe CO2, avec plafonnement et échanges, quelque chose qui active un signal de prix.</t>
  </si>
  <si>
    <t>incitations</t>
  </si>
  <si>
    <t>marché</t>
  </si>
  <si>
    <t>taxe</t>
  </si>
  <si>
    <t>plafonnement</t>
  </si>
  <si>
    <t>échanges</t>
  </si>
  <si>
    <t>active</t>
  </si>
  <si>
    <t>signal</t>
  </si>
  <si>
    <t># text = Nous devons faire passer le message.</t>
  </si>
  <si>
    <t>message</t>
  </si>
  <si>
    <t># text = Nous avons besoin que ce dialogue devienne plus rationnel, plus compréhensible, y compris les étapes, les mesures que le gouvernement prend.</t>
  </si>
  <si>
    <t>dialogue</t>
  </si>
  <si>
    <t>devienne</t>
  </si>
  <si>
    <t>rationnel</t>
  </si>
  <si>
    <t>compréhensible</t>
  </si>
  <si>
    <t>gouvernement</t>
  </si>
  <si>
    <t>prend</t>
  </si>
  <si>
    <t># text = C'est un souhait important, mais je pense que nous pouvons l'accomplir.</t>
  </si>
  <si>
    <t>accomplir.</t>
  </si>
  <si>
    <t># text = Merci.</t>
  </si>
  <si>
    <t>Merci</t>
  </si>
  <si>
    <t># text = (Applaudissements) Chris Anderson: Je vous remercie.</t>
  </si>
  <si>
    <t>Chris</t>
  </si>
  <si>
    <t>Anderson</t>
  </si>
  <si>
    <t>remercie.</t>
  </si>
  <si>
    <t># text = Juste pour mieux comprendre, à propos de Terrapower, je veux dire, tout d'abord, pouvez-vous donner une idée de l'ampleur des investissements que cela représente?</t>
  </si>
  <si>
    <t>Juste</t>
  </si>
  <si>
    <t>comprendre</t>
  </si>
  <si>
    <t>propos</t>
  </si>
  <si>
    <t>-vous</t>
  </si>
  <si>
    <t>donner</t>
  </si>
  <si>
    <t>ampleur</t>
  </si>
  <si>
    <t>investissements</t>
  </si>
  <si>
    <t># text = Bill Gates: Pour finaliser le logiciel avec le supercalculateur, embaucher les meilleurs scientifiques, ce que nous avons fait, ça se chiffre seulement en dizaines de millions, et même en ayant testé nos matériels dans un réacteur russe pour s'assurer qu'ils fonctionnent correctement, on arrive seulement dans les centaines de millions</t>
  </si>
  <si>
    <t>Gates</t>
  </si>
  <si>
    <t>finaliser</t>
  </si>
  <si>
    <t>logiciel</t>
  </si>
  <si>
    <t>supercalculateur</t>
  </si>
  <si>
    <t>embaucher</t>
  </si>
  <si>
    <t>meilleurs</t>
  </si>
  <si>
    <t>dizaines</t>
  </si>
  <si>
    <t>millions</t>
  </si>
  <si>
    <t>testé</t>
  </si>
  <si>
    <t>nos</t>
  </si>
  <si>
    <t>matériels</t>
  </si>
  <si>
    <t>russe</t>
  </si>
  <si>
    <t>assurer</t>
  </si>
  <si>
    <t>arrive</t>
  </si>
  <si>
    <t># text = Le plus dur est la construction du réacteur pilote, trouver les quelques milliards, trouver le régulateur, l'emplacement voilà comment on construira le premier.</t>
  </si>
  <si>
    <t>construction</t>
  </si>
  <si>
    <t>pilote</t>
  </si>
  <si>
    <t>régulateur</t>
  </si>
  <si>
    <t>emplacement</t>
  </si>
  <si>
    <t>voilà</t>
  </si>
  <si>
    <t>construira</t>
  </si>
  <si>
    <t># text = Une fois que le premier sera construit, si tout fonctionne comme annoncé, alors ça deviendra une évidence, avec des données économiques et une densité d'énergie, tellement différentes de celles du nucléaire que nous connaissons.</t>
  </si>
  <si>
    <t>Une</t>
  </si>
  <si>
    <t>construit</t>
  </si>
  <si>
    <t>fonctionne</t>
  </si>
  <si>
    <t>annoncé</t>
  </si>
  <si>
    <t>deviendra</t>
  </si>
  <si>
    <t>évidence</t>
  </si>
  <si>
    <t>données</t>
  </si>
  <si>
    <t>tellement</t>
  </si>
  <si>
    <t>celles</t>
  </si>
  <si>
    <t>connaissons</t>
  </si>
  <si>
    <t># text = CA: Alors, pour bien comprendre, cela implique de construire, profond dans le sol, quelque chose comme une sorte de colonne verticale de combustible nucléaire, faite de cet uranium appauvri, et puis le processus commence par le haut et continue vers le bas ?</t>
  </si>
  <si>
    <t>CA</t>
  </si>
  <si>
    <t>implique</t>
  </si>
  <si>
    <t>profond</t>
  </si>
  <si>
    <t>sol</t>
  </si>
  <si>
    <t>colonne</t>
  </si>
  <si>
    <t>verticale</t>
  </si>
  <si>
    <t>faite</t>
  </si>
  <si>
    <t>commence</t>
  </si>
  <si>
    <t>continue</t>
  </si>
  <si>
    <t>vers</t>
  </si>
  <si>
    <t>bas</t>
  </si>
  <si>
    <t># text = BG: C'est ça.</t>
  </si>
  <si>
    <t># text = Aujourd'hui, on doit constamment ravitailler le réacteur en carburant, ça nécessite donc beaucoup de gens et beaucoup de contrôles peuvent mal tourner, comme quand il faut l'ouvrir, et y faire entrer et sortir des choses.</t>
  </si>
  <si>
    <t>Aujourd'hui</t>
  </si>
  <si>
    <t>constamment</t>
  </si>
  <si>
    <t>ravitailler</t>
  </si>
  <si>
    <t>nécessite</t>
  </si>
  <si>
    <t>contrôles</t>
  </si>
  <si>
    <t>mal</t>
  </si>
  <si>
    <t>tourner</t>
  </si>
  <si>
    <t>ouvrir</t>
  </si>
  <si>
    <t>entrer</t>
  </si>
  <si>
    <t># text = Ce n'est pas bon.</t>
  </si>
  <si>
    <t>bon</t>
  </si>
  <si>
    <t># text = Mais si on a un carburant très bon marché qu'on peut y mettre pour 60 ans -- pensez-y simplement comme à une bûche -- le poser là sans avoir tous ces mêmes problèmes complexes.</t>
  </si>
  <si>
    <t>ans</t>
  </si>
  <si>
    <t>pensez</t>
  </si>
  <si>
    <t>-y</t>
  </si>
  <si>
    <t>mêmes</t>
  </si>
  <si>
    <t>complexes</t>
  </si>
  <si>
    <t># text = Il est là, il va brûler pendant les 60 ans et puis c'est fini.</t>
  </si>
  <si>
    <t>fini</t>
  </si>
  <si>
    <t># text = CA: Il s'agit d'une centrale nucléaire qui est sa propre solution d'élimination des déchets.</t>
  </si>
  <si>
    <t>sa</t>
  </si>
  <si>
    <t>propre</t>
  </si>
  <si>
    <t>élimination</t>
  </si>
  <si>
    <t># text = BG: Oui.</t>
  </si>
  <si>
    <t>Oui</t>
  </si>
  <si>
    <t># text = Eh bien, ce qui se passe avec les déchets, c'est que vous pouvez les laisser sur place - il y a beaucoup moins de déchets avec cette approche -- et puis vous pouvez les récupérer, les mettre dans un autre réacteur et brûler le tout.</t>
  </si>
  <si>
    <t>place</t>
  </si>
  <si>
    <t>récupérer</t>
  </si>
  <si>
    <t># text = En fait, on démarre avec les déchets qui existent aujourd'hui, qui sont dans ces bassins de refroidissement dans des tonneaux secs, près du réacteur.</t>
  </si>
  <si>
    <t>démarre</t>
  </si>
  <si>
    <t>existent</t>
  </si>
  <si>
    <t>bassins</t>
  </si>
  <si>
    <t>refroidissement</t>
  </si>
  <si>
    <t>tonneaux</t>
  </si>
  <si>
    <t>secs</t>
  </si>
  <si>
    <t># text = C'est ça, le carburant avec lequel on commence.</t>
  </si>
  <si>
    <t># text = Ce qui a été un problème avec les anciens réacteurs, c'est ce qui nourrit le nôtre, et on réduit radicalement le volume des déchets avec ce processus.</t>
  </si>
  <si>
    <t>anciens</t>
  </si>
  <si>
    <t>nourrit</t>
  </si>
  <si>
    <t>nôtre</t>
  </si>
  <si>
    <t>réduit</t>
  </si>
  <si>
    <t>radicalement</t>
  </si>
  <si>
    <t># text = CA: Mais quand vous parlez aux gens autour de vous, dans le monde entier, des possibilités qu'on a ici, où montre-t-on le plus d'intérêt à en faire réellement quelque chose ?</t>
  </si>
  <si>
    <t>parlez</t>
  </si>
  <si>
    <t>autour</t>
  </si>
  <si>
    <t>entier</t>
  </si>
  <si>
    <t>montre</t>
  </si>
  <si>
    <t>-t</t>
  </si>
  <si>
    <t>intérêt</t>
  </si>
  <si>
    <t>réellement</t>
  </si>
  <si>
    <t># text = BG: Eh bien, nous n'avons pas choisi de lieu particulier, et il y a toutes ces règles de divulgation concernant tout ce qui se rapporte au nucléaire, alors, nous éveillons donc beaucoup d'intérêt, et la société a envoyé des gens en Russie, en Inde, en Chine.</t>
  </si>
  <si>
    <t>règles</t>
  </si>
  <si>
    <t>divulgation</t>
  </si>
  <si>
    <t>concernant</t>
  </si>
  <si>
    <t>rapporte</t>
  </si>
  <si>
    <t>éveillons</t>
  </si>
  <si>
    <t>envoyé</t>
  </si>
  <si>
    <t>Russie</t>
  </si>
  <si>
    <t>Inde</t>
  </si>
  <si>
    <t># text = Je suis retourné voir le Secrétaire à l'Énergie ici, parler de comment cela s'intègre dans l'agenda énergétique.</t>
  </si>
  <si>
    <t>retourné</t>
  </si>
  <si>
    <t>Secrétaire</t>
  </si>
  <si>
    <t>Énergie</t>
  </si>
  <si>
    <t>intègre</t>
  </si>
  <si>
    <t>agenda</t>
  </si>
  <si>
    <t>énergétique</t>
  </si>
  <si>
    <t># text = Je suis optimiste.</t>
  </si>
  <si>
    <t>optimiste</t>
  </si>
  <si>
    <t># text = Vous savez que les Français et les Japonais ont fait du bon travail.</t>
  </si>
  <si>
    <t>savez</t>
  </si>
  <si>
    <t>Français</t>
  </si>
  <si>
    <t>Japonais</t>
  </si>
  <si>
    <t># text = Il s'agit là d'une variante de quelque chose qui a déjà été réalisé.</t>
  </si>
  <si>
    <t>variante</t>
  </si>
  <si>
    <t>réalisé</t>
  </si>
  <si>
    <t># text = C'est un progrès important, mais c'est comme un réacteur rapide, et de nombreux pays en ont déjà construits, donc chacun de ceux-là est candidat pour être le premier pays où nous construirons le premier.. CA: Quels sont, selon vous, l'échéance et la probabilité de mener cela à bien dans la réalité ?</t>
  </si>
  <si>
    <t>construits</t>
  </si>
  <si>
    <t>-là</t>
  </si>
  <si>
    <t>candidat</t>
  </si>
  <si>
    <t>construirons</t>
  </si>
  <si>
    <t>..</t>
  </si>
  <si>
    <t>selon</t>
  </si>
  <si>
    <t>échéance</t>
  </si>
  <si>
    <t>probabilité</t>
  </si>
  <si>
    <t>mener</t>
  </si>
  <si>
    <t># text = BG: Eh bien, pour une de ces unités de production électrique à grande échelle, et ce n'est qu'une approximation, nous devons compter 20 an pour inventer, et 20 ans pour mettre en œuvre.</t>
  </si>
  <si>
    <t>unités</t>
  </si>
  <si>
    <t>approximation</t>
  </si>
  <si>
    <t>an</t>
  </si>
  <si>
    <t>œuvre</t>
  </si>
  <si>
    <t># text = C'est à ce genre d'échéance que les modèles environnementaux nous ont montré qu'il fallait nous attendre.</t>
  </si>
  <si>
    <t>genre</t>
  </si>
  <si>
    <t>modèles</t>
  </si>
  <si>
    <t>environnementaux</t>
  </si>
  <si>
    <t>montré</t>
  </si>
  <si>
    <t>attendre</t>
  </si>
  <si>
    <t># text = Et, vous savez, Terrapower, si les choses vont bien, ce qui est beaucoup espérer, pourrait facilement tenir ces délais.</t>
  </si>
  <si>
    <t>facilement</t>
  </si>
  <si>
    <t>délais</t>
  </si>
  <si>
    <t># text = Et il y a heureusement, aujourd'hui, des dizaines d'entreprises, et il faut qu'il y en ait des centaines, qui pourront, si le côté scientifique avance bien, et si le financement de leurs usines pilotes se passe bien, entrer aussi dans la compétition.</t>
  </si>
  <si>
    <t>heureusement</t>
  </si>
  <si>
    <t>pourront</t>
  </si>
  <si>
    <t>scientifique</t>
  </si>
  <si>
    <t>avance</t>
  </si>
  <si>
    <t>usines</t>
  </si>
  <si>
    <t>compétition</t>
  </si>
  <si>
    <t># text = Et ce sera mieux si on assiste à plusieurs succès, car alors on pourra utiliser un mélange de tout ça.</t>
  </si>
  <si>
    <t>assiste</t>
  </si>
  <si>
    <t>succès</t>
  </si>
  <si>
    <t>car</t>
  </si>
  <si>
    <t>mélange</t>
  </si>
  <si>
    <t># text = Il faut absolument qu'un de ces projets réussisse.</t>
  </si>
  <si>
    <t>absolument</t>
  </si>
  <si>
    <t>réussisse</t>
  </si>
  <si>
    <t># text = CA: En termes de changements des règles du jeu à grande échelle, est-ce que c'est le plus important dont vous ayez entendu parler ?</t>
  </si>
  <si>
    <t>jeu</t>
  </si>
  <si>
    <t>ayez</t>
  </si>
  <si>
    <t># text = BG: Une percée dans le domaine de l'énergie est la chose la plus importante.</t>
  </si>
  <si>
    <t># text = Ça l'aurait été, même sans la contrainte de l'environnement, mais la contrainte environnementale la rend simplement tellement plus importante.</t>
  </si>
  <si>
    <t>environnementale</t>
  </si>
  <si>
    <t>rend</t>
  </si>
  <si>
    <t># text = Dans le domaine nucléaire, il y a d'autres innovateurs.</t>
  </si>
  <si>
    <t>innovateurs</t>
  </si>
  <si>
    <t># text = Vous savez, on ne connait pas aussi bien leur travail que celui-ci, mais il y a ceux qui étudient l'approche par modules, c'est une approche différente.</t>
  </si>
  <si>
    <t>celui-ci</t>
  </si>
  <si>
    <t>étudient</t>
  </si>
  <si>
    <t>modules</t>
  </si>
  <si>
    <t>différente</t>
  </si>
  <si>
    <t># text = Il y a le réacteur de type liquide, ce qui semble un peu difficile, mais c'est peut-être ce qu'ils pensaient aussi de nous.</t>
  </si>
  <si>
    <t>pensaient</t>
  </si>
  <si>
    <t># text = Donc, il y a différentes voies, mais la beauté de tout ça, c'est qu'une molécule d'uranium renferme un million de fois plus d'énergie qu'une molécule de, disons, de charbon, et qu'ainsi, si l'on sait traiter les aspects négatifs, c'est à dire essentiellement la radiation, alors, l'empreinte et le coût, le potentiel, en termes d'effets sur la terre et sur le reste, le place quasiment dans une catégorie à part.</t>
  </si>
  <si>
    <t>beauté</t>
  </si>
  <si>
    <t>molécule</t>
  </si>
  <si>
    <t>renferme</t>
  </si>
  <si>
    <t>million</t>
  </si>
  <si>
    <t>ainsi</t>
  </si>
  <si>
    <t>traiter</t>
  </si>
  <si>
    <t>aspects</t>
  </si>
  <si>
    <t>essentiellement</t>
  </si>
  <si>
    <t>radiation</t>
  </si>
  <si>
    <t>empreinte</t>
  </si>
  <si>
    <t>potentiel</t>
  </si>
  <si>
    <t>terre</t>
  </si>
  <si>
    <t>quasiment</t>
  </si>
  <si>
    <t>catégorie</t>
  </si>
  <si>
    <t># text = CA: Et si ça ne marche pas, alors que faire ?</t>
  </si>
  <si>
    <t>marche</t>
  </si>
  <si>
    <t># text = Devons-nous commencer à prendre des mesures d'urgence pour essayer de garder stable la température de la terre?</t>
  </si>
  <si>
    <t>Devons</t>
  </si>
  <si>
    <t>urgence</t>
  </si>
  <si>
    <t>essayer</t>
  </si>
  <si>
    <t>garder</t>
  </si>
  <si>
    <t>stable</t>
  </si>
  <si>
    <t># text = BG: Si vous arrivait dans cette situation, ce serait comme si vous aviez trop mangé, et que vous étiez prêt à avoir un infarctus.</t>
  </si>
  <si>
    <t>arrivait</t>
  </si>
  <si>
    <t>situation</t>
  </si>
  <si>
    <t>aviez</t>
  </si>
  <si>
    <t>mangé</t>
  </si>
  <si>
    <t>étiez</t>
  </si>
  <si>
    <t>prêt</t>
  </si>
  <si>
    <t>infarctus</t>
  </si>
  <si>
    <t># text = Alors, où allez-vous?</t>
  </si>
  <si>
    <t># text = Il vous faut une chirurgie cardiaque ou quelque chose comme ça.</t>
  </si>
  <si>
    <t>chirurgie</t>
  </si>
  <si>
    <t>cardiaque</t>
  </si>
  <si>
    <t># text = Il ya une ligne de recherche sur ce qu'on appelle la géo-ingénierie, portant sur différentes techniques, qui retarderaient le réchauffement, pour gagner les 20 ou 30 ans nécessaires pour nous prendre en main.</t>
  </si>
  <si>
    <t>ligne</t>
  </si>
  <si>
    <t>géo-ingénierie</t>
  </si>
  <si>
    <t>portant</t>
  </si>
  <si>
    <t>retarderaient</t>
  </si>
  <si>
    <t>réchauffement</t>
  </si>
  <si>
    <t>gagner</t>
  </si>
  <si>
    <t>nécessaires</t>
  </si>
  <si>
    <t>main</t>
  </si>
  <si>
    <t># text = Ce n'est rien de plus qu'une police d'assurance.</t>
  </si>
  <si>
    <t>rien</t>
  </si>
  <si>
    <t>police</t>
  </si>
  <si>
    <t>assurance</t>
  </si>
  <si>
    <t># text = On espère ne pas en avoir besoin.</t>
  </si>
  <si>
    <t>espère</t>
  </si>
  <si>
    <t># text = Certains disent qu'il ne faudrait même pas travailler dans cette direction, car elle pourrait nous rendre paresseux, comme si vous continuiez à manger parce que vous savez que la chirurgie cardiaque sera là pour vous sauver.</t>
  </si>
  <si>
    <t>Certains</t>
  </si>
  <si>
    <t>disent</t>
  </si>
  <si>
    <t>direction</t>
  </si>
  <si>
    <t>paresseux</t>
  </si>
  <si>
    <t>continuiez</t>
  </si>
  <si>
    <t>manger</t>
  </si>
  <si>
    <t>sauver</t>
  </si>
  <si>
    <t># text = Je ne suis pas sûr que ce soit avisé, étant donné l'ampleur du problème, mais, bon, il y a cette histoire de géo-ingénierie, à garder au fond de la poche, au cas où les choses arrivent plus vite que prévu, ou que l'innovation soit beaucoup plus lente.</t>
  </si>
  <si>
    <t>sûr</t>
  </si>
  <si>
    <t>avisé</t>
  </si>
  <si>
    <t>donné</t>
  </si>
  <si>
    <t>histoire</t>
  </si>
  <si>
    <t>fond</t>
  </si>
  <si>
    <t>arrivent</t>
  </si>
  <si>
    <t>vite</t>
  </si>
  <si>
    <t>prévu</t>
  </si>
  <si>
    <t>lente</t>
  </si>
  <si>
    <t># text = CA: Les climato-sceptiques : si vous aviez une ou deux phrases à leur dire, comment pourriez-vous les persuader qu'ils ont tort?</t>
  </si>
  <si>
    <t>climato-sceptiques</t>
  </si>
  <si>
    <t>phrases</t>
  </si>
  <si>
    <t>pourriez-vous</t>
  </si>
  <si>
    <t>persuader</t>
  </si>
  <si>
    <t>tort</t>
  </si>
  <si>
    <t># text = BG: Eh bien, malheureusement, les sceptiques sont dans des camps différents.</t>
  </si>
  <si>
    <t>malheureusement</t>
  </si>
  <si>
    <t>sceptiques</t>
  </si>
  <si>
    <t>camps</t>
  </si>
  <si>
    <t>différents</t>
  </si>
  <si>
    <t># text = Ceux dont les arguments sont scientifiques sont très peu nombreux.</t>
  </si>
  <si>
    <t>Ceux</t>
  </si>
  <si>
    <t>arguments</t>
  </si>
  <si>
    <t># text = Disent-ils qu'il y a des effets de rétroaction négative qui ont à voir avec les nuages qui ont compensé les choses?</t>
  </si>
  <si>
    <t>Disent</t>
  </si>
  <si>
    <t>-ils</t>
  </si>
  <si>
    <t>rétroaction</t>
  </si>
  <si>
    <t>négative</t>
  </si>
  <si>
    <t>nuages</t>
  </si>
  <si>
    <t>compensé</t>
  </si>
  <si>
    <t># text = Il y a très, très peu de choses qu'ils puissent même dire, il y a une chance sur un million pour cela.</t>
  </si>
  <si>
    <t>puissent</t>
  </si>
  <si>
    <t>chance</t>
  </si>
  <si>
    <t># text = Le principal problème que nous ayons ici est un peu comme avec le SIDA.</t>
  </si>
  <si>
    <t>principal</t>
  </si>
  <si>
    <t>ayons</t>
  </si>
  <si>
    <t>SIDA</t>
  </si>
  <si>
    <t># text = Vous faites une erreur maintenant, et vous en payez le prix beaucoup plus tard.</t>
  </si>
  <si>
    <t>faites</t>
  </si>
  <si>
    <t>erreur</t>
  </si>
  <si>
    <t>maintenant</t>
  </si>
  <si>
    <t>payez</t>
  </si>
  <si>
    <t>tard</t>
  </si>
  <si>
    <t># text = Quand vous avez n'importe quel genre de problème urgent, cette idée de souffrir maintenant, avec un gain plus tard -- par rapport à une douleur dont on n'est pas sûrs.</t>
  </si>
  <si>
    <t>Quand</t>
  </si>
  <si>
    <t>importe</t>
  </si>
  <si>
    <t>urgent</t>
  </si>
  <si>
    <t>souffrir</t>
  </si>
  <si>
    <t>gain</t>
  </si>
  <si>
    <t>douleur</t>
  </si>
  <si>
    <t># text = En fait, le rapport du Groupe d’experts Intergouvernemental sur l’Evolution du Climat, ce n'est pas nécessairement le pire des cas, et il ya des gens dans les pays riches qui regardent le GIEC et se disent "Ok, ce n'est pas si important."</t>
  </si>
  <si>
    <t>Groupe</t>
  </si>
  <si>
    <t>d’</t>
  </si>
  <si>
    <t>experts</t>
  </si>
  <si>
    <t>Intergouvernemental</t>
  </si>
  <si>
    <t>l’</t>
  </si>
  <si>
    <t>Evolution</t>
  </si>
  <si>
    <t>Climat</t>
  </si>
  <si>
    <t>nécessairement</t>
  </si>
  <si>
    <t>regardent</t>
  </si>
  <si>
    <t>GIEC</t>
  </si>
  <si>
    <t>Ok</t>
  </si>
  <si>
    <t># text = Le fait est que c'est cette part d'incertitude qui devrait nous pousser dans cette direction.</t>
  </si>
  <si>
    <t>pousser</t>
  </si>
  <si>
    <t># text = Mais mon rêve est que, si vous pouvez faire que ce soit économique, et répondre aux contraintes de CO2, alors les sceptiques diront : "OK, ça m'est égal qu'il ne rejette pas de CO2, j'aurais préféré qu'il émette du CO2, mais je crois que je vais l'accepter parce que c'est meilleur marché que ceux d'avant.</t>
  </si>
  <si>
    <t>rêve</t>
  </si>
  <si>
    <t>économique</t>
  </si>
  <si>
    <t>contraintes</t>
  </si>
  <si>
    <t>diront</t>
  </si>
  <si>
    <t>OK</t>
  </si>
  <si>
    <t>égal</t>
  </si>
  <si>
    <t>rejette</t>
  </si>
  <si>
    <t>aurais</t>
  </si>
  <si>
    <t>préféré</t>
  </si>
  <si>
    <t>émette</t>
  </si>
  <si>
    <t>crois</t>
  </si>
  <si>
    <t>accepter</t>
  </si>
  <si>
    <t>meilleur</t>
  </si>
  <si>
    <t># text = CA: Et alors, ce serait votre réponse à l'argument de Bjorn Lomborg, que, si on dépense toute cette énergie à essayer de résoudre le problème du CO2, ça va l'emporter tous les autres objectifs, comme d'essayer de débarrasser le monde de la pauvreté et du paludisme, etc.</t>
  </si>
  <si>
    <t>argument</t>
  </si>
  <si>
    <t>Bjorn</t>
  </si>
  <si>
    <t>Lomborg</t>
  </si>
  <si>
    <t>dépense</t>
  </si>
  <si>
    <t>emporter</t>
  </si>
  <si>
    <t>objectifs</t>
  </si>
  <si>
    <t>paludisme</t>
  </si>
  <si>
    <t>etc.</t>
  </si>
  <si>
    <t># text = Que c'est un gaspillage stupide des ressources que de dépenser de l'argent pour ça,quand il y a bien mieux à faire.</t>
  </si>
  <si>
    <t>Que</t>
  </si>
  <si>
    <t>gaspillage</t>
  </si>
  <si>
    <t>stupide</t>
  </si>
  <si>
    <t>ressources</t>
  </si>
  <si>
    <t>dépenser</t>
  </si>
  <si>
    <t>argent</t>
  </si>
  <si>
    <t>ça,quand</t>
  </si>
  <si>
    <t># text = BG: Eh bien, les dépenses réellement consacrées en Recherche &amp;amp;</t>
  </si>
  <si>
    <t>consacrées</t>
  </si>
  <si>
    <t>Recherche</t>
  </si>
  <si>
    <t>&amp;amp;amp</t>
  </si>
  <si>
    <t>;</t>
  </si>
  <si>
    <t># text = Développement -- disons, si les États-Unis dépensaient 10 milliards de plus par an qu'actuellement -- ce ne serait pas si dramatique.</t>
  </si>
  <si>
    <t>Développement</t>
  </si>
  <si>
    <t>dépensaient</t>
  </si>
  <si>
    <t>dramatique</t>
  </si>
  <si>
    <t># text = Ça ne remettrait pas les autres postes de dépense en cause.</t>
  </si>
  <si>
    <t>remettrait</t>
  </si>
  <si>
    <t>postes</t>
  </si>
  <si>
    <t># text = Là où les gens raisonnables peuvent ne pas être d'accord, et on parle ici de grosses sommes, c'est quand vous avez quelque chose de pas économique, et que vous essayez de le financer.</t>
  </si>
  <si>
    <t>raisonnables</t>
  </si>
  <si>
    <t>grosses</t>
  </si>
  <si>
    <t>essayez</t>
  </si>
  <si>
    <t>financer</t>
  </si>
  <si>
    <t># text = C'est surtout ça, pour moi, qui est du gâchis.</t>
  </si>
  <si>
    <t>surtout</t>
  </si>
  <si>
    <t>gâchis</t>
  </si>
  <si>
    <t># text = Sauf si on est très proche de la solution, et que ce qu'on finance c'est la progression du savoir, et que ça va être très bon marché.</t>
  </si>
  <si>
    <t>Sauf</t>
  </si>
  <si>
    <t>finance</t>
  </si>
  <si>
    <t>progression</t>
  </si>
  <si>
    <t># text = Je crois qu'on devrait essayer plus de choses choses qui pourraient, potentiellement, coûter beaucoup moins cher.</t>
  </si>
  <si>
    <t>potentiellement</t>
  </si>
  <si>
    <t>coûter</t>
  </si>
  <si>
    <t>cher</t>
  </si>
  <si>
    <t># text = Si l'arbitrage que vous choississez, c'est \" Rendons l'énergie super chère\", alors seuls les riches pourront se le permettre.</t>
  </si>
  <si>
    <t>arbitrage</t>
  </si>
  <si>
    <t>choississez</t>
  </si>
  <si>
    <t>Rendons</t>
  </si>
  <si>
    <t>chère</t>
  </si>
  <si>
    <t>seuls</t>
  </si>
  <si>
    <t># text = Ce que je veux dire, c'est que nous tous, ici, nous pourrions nous permettre de payer notre énergie 5 fois plus cher, sans changer notre mode de vie.</t>
  </si>
  <si>
    <t>payer</t>
  </si>
  <si>
    <t>mode</t>
  </si>
  <si>
    <t># text = La catastrophe serait pour ces deux milliards de gens.</t>
  </si>
  <si>
    <t>catastrophe</t>
  </si>
  <si>
    <t># text = Et même Lomborg a changé.</t>
  </si>
  <si>
    <t>changé</t>
  </si>
  <si>
    <t># text = Son truc, maintenant, c'est de répéter "pourquoi ne discute-t-on pas plus de R&amp;amp;D."</t>
  </si>
  <si>
    <t>Son</t>
  </si>
  <si>
    <t>truc</t>
  </si>
  <si>
    <t>répéter</t>
  </si>
  <si>
    <t>pourquoi</t>
  </si>
  <si>
    <t>discute</t>
  </si>
  <si>
    <t>R&amp;amp;amp</t>
  </si>
  <si>
    <t>;D</t>
  </si>
  <si>
    <t># text = Il est encore, à cause de l'affaire d'avant, toujours associé avec le camp des climato-sceptiques, mais il a compris que c'est une position assez solitaire, alors, il ramène son truc de R&amp;amp;D. Mais là-dedans, il y a quelque chose qui ne me semble pas faux.</t>
  </si>
  <si>
    <t>affaire</t>
  </si>
  <si>
    <t>toujours</t>
  </si>
  <si>
    <t>associé</t>
  </si>
  <si>
    <t>camp</t>
  </si>
  <si>
    <t>position</t>
  </si>
  <si>
    <t>solitaire</t>
  </si>
  <si>
    <t>ramène</t>
  </si>
  <si>
    <t>;D.</t>
  </si>
  <si>
    <t>là-dedans</t>
  </si>
  <si>
    <t>faux</t>
  </si>
  <si>
    <t># text = C'est dingue de voir à quel point la R&amp;amp;D est peu financée.</t>
  </si>
  <si>
    <t>dingue</t>
  </si>
  <si>
    <t>point</t>
  </si>
  <si>
    <t>R&amp;amp;amp;D</t>
  </si>
  <si>
    <t>financée</t>
  </si>
  <si>
    <t># text = CA: Et bien Bill, je pense que je parle au nom de la plupart des gens ici en disant que j'espère vraiment que ton souhait devienne réalité.</t>
  </si>
  <si>
    <t>nom</t>
  </si>
  <si>
    <t>disant</t>
  </si>
  <si>
    <t>ton</t>
  </si>
  <si>
    <t># text = Merci beaucoup.</t>
  </si>
  <si>
    <t># text = BG: Je vous remercie.</t>
  </si>
  <si>
    <t>remercie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</si>
</sst>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6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17</v>
      </c>
      <c r="D3" s="7" t="s">
        <v>18</v>
      </c>
      <c r="E3" s="8" t="s">
        <v>19</v>
      </c>
      <c r="F3" s="6" t="s">
        <v>20</v>
      </c>
      <c r="G3" s="9">
        <f>IF(A3=1,"_",IF(C3="_","???",C3))</f>
        <v/>
      </c>
      <c r="H3" s="10" t="s">
        <v>12</v>
      </c>
      <c r="I3" s="11" t="s">
        <v>12</v>
      </c>
      <c r="J3" s="12"/>
    </row>
    <row r="4" spans="1:10" ht="60" customHeight="1">
      <c r="A4" s="6" t="s">
        <v>16</v>
      </c>
      <c r="B4" s="6" t="s">
        <v>21</v>
      </c>
      <c r="C4" s="6" t="s">
        <v>22</v>
      </c>
      <c r="D4" s="7" t="s">
        <v>23</v>
      </c>
      <c r="E4" s="8" t="s">
        <v>24</v>
      </c>
      <c r="F4" s="6" t="s">
        <v>25</v>
      </c>
      <c r="G4" s="9">
        <f>IF(A4=1,"_",IF(C4="_","???",C4))</f>
        <v/>
      </c>
      <c r="H4" s="10" t="s">
        <v>12</v>
      </c>
      <c r="I4" s="11" t="s">
        <v>12</v>
      </c>
      <c r="J4" s="12"/>
    </row>
    <row r="5" spans="1:10" ht="60" customHeight="1">
      <c r="A5" s="6" t="s">
        <v>26</v>
      </c>
      <c r="B5" s="6" t="s">
        <v>26</v>
      </c>
      <c r="C5" s="6" t="s">
        <v>12</v>
      </c>
      <c r="D5" s="7" t="s">
        <v>27</v>
      </c>
      <c r="E5" s="8" t="s">
        <v>28</v>
      </c>
      <c r="F5" s="6" t="s">
        <v>29</v>
      </c>
      <c r="G5" s="9">
        <f>IF(A5=1,"_",IF(C5="_","???",C5))</f>
        <v/>
      </c>
      <c r="H5" s="10" t="s">
        <v>12</v>
      </c>
      <c r="I5" s="11" t="s">
        <v>12</v>
      </c>
      <c r="J5" s="12"/>
    </row>
    <row r="6" spans="1:10" ht="60" customHeight="1">
      <c r="A6" s="6" t="s">
        <v>30</v>
      </c>
      <c r="B6" s="6" t="s">
        <v>16</v>
      </c>
      <c r="C6" s="6" t="s">
        <v>31</v>
      </c>
      <c r="D6" s="7" t="s">
        <v>32</v>
      </c>
      <c r="E6" s="8" t="s">
        <v>33</v>
      </c>
      <c r="F6" s="6" t="s">
        <v>34</v>
      </c>
      <c r="G6" s="9">
        <f>IF(A6=1,"_",IF(C6="_","???",C6))</f>
        <v/>
      </c>
      <c r="H6" s="10" t="s">
        <v>12</v>
      </c>
      <c r="I6" s="11" t="s">
        <v>12</v>
      </c>
      <c r="J6" s="12"/>
    </row>
    <row r="7" spans="1:10" ht="60" customHeight="1">
      <c r="A7" s="6" t="s">
        <v>35</v>
      </c>
      <c r="B7" s="6" t="s">
        <v>16</v>
      </c>
      <c r="C7" s="6" t="s">
        <v>12</v>
      </c>
      <c r="D7" s="7" t="s">
        <v>13</v>
      </c>
      <c r="E7" s="8" t="s">
        <v>36</v>
      </c>
      <c r="F7" s="6" t="s">
        <v>37</v>
      </c>
      <c r="G7" s="9">
        <f>IF(A7=1,"_",IF(C7="_","???",C7))</f>
        <v/>
      </c>
      <c r="H7" s="10" t="s">
        <v>12</v>
      </c>
      <c r="I7" s="11" t="s">
        <v>12</v>
      </c>
      <c r="J7" s="12"/>
    </row>
    <row r="8" spans="1:10" ht="60" customHeight="1">
      <c r="A8" s="6" t="s">
        <v>21</v>
      </c>
      <c r="B8" s="6" t="s">
        <v>16</v>
      </c>
      <c r="C8" s="6" t="s">
        <v>17</v>
      </c>
      <c r="D8" s="7" t="s">
        <v>38</v>
      </c>
      <c r="E8" s="8" t="s">
        <v>39</v>
      </c>
      <c r="F8" s="6" t="s">
        <v>40</v>
      </c>
      <c r="G8" s="9">
        <f>IF(A8=1,"_",IF(C8="_","???",C8))</f>
        <v/>
      </c>
      <c r="H8" s="10" t="s">
        <v>12</v>
      </c>
      <c r="I8" s="11" t="s">
        <v>12</v>
      </c>
      <c r="J8" s="12"/>
    </row>
    <row r="9" spans="1:10" ht="60" customHeight="1">
      <c r="A9" s="6" t="s">
        <v>41</v>
      </c>
      <c r="B9" s="6" t="s">
        <v>11</v>
      </c>
      <c r="C9" s="6" t="s">
        <v>42</v>
      </c>
      <c r="D9" s="7" t="s">
        <v>38</v>
      </c>
      <c r="E9" s="8" t="s">
        <v>43</v>
      </c>
      <c r="F9" s="6" t="s">
        <v>44</v>
      </c>
      <c r="G9" s="9">
        <f>IF(A9=1,"_",IF(C9="_","???",C9))</f>
        <v/>
      </c>
      <c r="H9" s="10" t="s">
        <v>12</v>
      </c>
      <c r="I9" s="11" t="s">
        <v>12</v>
      </c>
      <c r="J9" s="12"/>
    </row>
    <row r="10" spans="1:10" ht="60" customHeight="1">
      <c r="A10" s="6" t="s">
        <v>45</v>
      </c>
      <c r="B10" s="6" t="s">
        <v>11</v>
      </c>
      <c r="C10" s="6" t="s">
        <v>42</v>
      </c>
      <c r="D10" s="7" t="s">
        <v>38</v>
      </c>
      <c r="E10" s="8" t="s">
        <v>46</v>
      </c>
      <c r="F10" s="6" t="s">
        <v>47</v>
      </c>
      <c r="G10" s="9">
        <f>IF(A10=1,"_",IF(C10="_","???",C10))</f>
        <v/>
      </c>
      <c r="H10" s="10" t="s">
        <v>12</v>
      </c>
      <c r="I10" s="11" t="s">
        <v>12</v>
      </c>
      <c r="J10" s="12"/>
    </row>
    <row r="11" spans="1:10" ht="60" customHeight="1">
      <c r="A11" s="6" t="s">
        <v>48</v>
      </c>
      <c r="B11" s="6" t="s">
        <v>26</v>
      </c>
      <c r="C11" s="6" t="s">
        <v>49</v>
      </c>
      <c r="D11" s="7" t="s">
        <v>50</v>
      </c>
      <c r="E11" s="8" t="s">
        <v>51</v>
      </c>
      <c r="F11" s="6" t="s">
        <v>52</v>
      </c>
      <c r="G11" s="9">
        <f>IF(A11=1,"_",IF(C11="_","???",C11))</f>
        <v/>
      </c>
      <c r="H11" s="10" t="s">
        <v>12</v>
      </c>
      <c r="I11" s="11" t="s">
        <v>12</v>
      </c>
      <c r="J11" s="12"/>
    </row>
    <row r="12" spans="1:10" ht="60" customHeight="1">
      <c r="A12" s="6" t="s">
        <v>53</v>
      </c>
      <c r="B12" s="6" t="s">
        <v>45</v>
      </c>
      <c r="C12" s="6" t="s">
        <v>54</v>
      </c>
      <c r="D12" s="7" t="s">
        <v>23</v>
      </c>
      <c r="E12" s="8" t="s">
        <v>55</v>
      </c>
      <c r="F12" s="6" t="s">
        <v>56</v>
      </c>
      <c r="G12" s="9">
        <f>IF(A12=1,"_",IF(C12="_","???",C12))</f>
        <v/>
      </c>
      <c r="H12" s="10" t="s">
        <v>12</v>
      </c>
      <c r="I12" s="11" t="s">
        <v>12</v>
      </c>
      <c r="J12" s="12"/>
    </row>
    <row r="13" spans="1:10" ht="60" customHeight="1">
      <c r="A13" s="6" t="s">
        <v>57</v>
      </c>
      <c r="B13" s="6" t="s">
        <v>58</v>
      </c>
      <c r="C13" s="6" t="s">
        <v>59</v>
      </c>
      <c r="D13" s="7" t="s">
        <v>60</v>
      </c>
      <c r="E13" s="8" t="s">
        <v>61</v>
      </c>
      <c r="F13" s="6" t="s">
        <v>62</v>
      </c>
      <c r="G13" s="9">
        <f>IF(A13=1,"_",IF(C13="_","???",C13))</f>
        <v/>
      </c>
      <c r="H13" s="10" t="s">
        <v>12</v>
      </c>
      <c r="I13" s="11" t="s">
        <v>12</v>
      </c>
      <c r="J13" s="12"/>
    </row>
    <row r="14" spans="1:10" ht="60" customHeight="1">
      <c r="A14" s="6" t="s">
        <v>63</v>
      </c>
      <c r="B14" s="6" t="s">
        <v>45</v>
      </c>
      <c r="C14" s="6" t="s">
        <v>64</v>
      </c>
      <c r="D14" s="7" t="s">
        <v>65</v>
      </c>
      <c r="E14" s="8" t="s">
        <v>66</v>
      </c>
      <c r="F14" s="6" t="s">
        <v>67</v>
      </c>
      <c r="G14" s="9">
        <f>IF(A14=1,"_",IF(C14="_","???",C14))</f>
        <v/>
      </c>
      <c r="H14" s="10" t="s">
        <v>12</v>
      </c>
      <c r="I14" s="11" t="s">
        <v>12</v>
      </c>
      <c r="J14" s="12"/>
    </row>
    <row r="15" spans="1:10" ht="60" customHeight="1">
      <c r="A15" s="6" t="s">
        <v>68</v>
      </c>
      <c r="B15" s="6" t="s">
        <v>45</v>
      </c>
      <c r="C15" s="6" t="s">
        <v>12</v>
      </c>
      <c r="D15" s="7" t="s">
        <v>69</v>
      </c>
      <c r="E15" s="8" t="s">
        <v>70</v>
      </c>
      <c r="F15" s="6" t="s">
        <v>71</v>
      </c>
      <c r="G15" s="9">
        <f>IF(A15=1,"_",IF(C15="_","???",C15))</f>
        <v/>
      </c>
      <c r="H15" s="10" t="s">
        <v>12</v>
      </c>
      <c r="I15" s="11" t="s">
        <v>12</v>
      </c>
      <c r="J15" s="12"/>
    </row>
    <row r="16" spans="1:10" ht="60" customHeight="1">
      <c r="A16" s="6" t="s">
        <v>72</v>
      </c>
      <c r="B16" s="6" t="s">
        <v>21</v>
      </c>
      <c r="C16" s="6" t="s">
        <v>73</v>
      </c>
      <c r="D16" s="7" t="s">
        <v>74</v>
      </c>
      <c r="E16" s="8" t="s">
        <v>75</v>
      </c>
      <c r="F16" s="6" t="s">
        <v>76</v>
      </c>
      <c r="G16" s="9">
        <f>IF(A16=1,"_",IF(C16="_","???",C16))</f>
        <v/>
      </c>
      <c r="H16" s="10" t="s">
        <v>12</v>
      </c>
      <c r="I16" s="11" t="s">
        <v>12</v>
      </c>
      <c r="J16" s="12"/>
    </row>
    <row r="17" spans="1:10" ht="60" customHeight="1">
      <c r="A17" s="6" t="s">
        <v>77</v>
      </c>
      <c r="B17" s="6" t="s">
        <v>21</v>
      </c>
      <c r="C17" s="6" t="s">
        <v>12</v>
      </c>
      <c r="D17" s="7" t="s">
        <v>13</v>
      </c>
      <c r="E17" s="8" t="s">
        <v>78</v>
      </c>
      <c r="F17" s="6" t="s">
        <v>79</v>
      </c>
      <c r="G17" s="9">
        <f>IF(A17=1,"_",IF(C17="_","???",C17))</f>
        <v/>
      </c>
      <c r="H17" s="10" t="s">
        <v>12</v>
      </c>
      <c r="I17" s="11" t="s">
        <v>12</v>
      </c>
      <c r="J17" s="12"/>
    </row>
    <row r="18" spans="1:10" ht="60" customHeight="1">
      <c r="A18" s="6" t="s">
        <v>80</v>
      </c>
      <c r="B18" s="6" t="s">
        <v>81</v>
      </c>
      <c r="C18" s="6" t="s">
        <v>82</v>
      </c>
      <c r="D18" s="7" t="s">
        <v>83</v>
      </c>
      <c r="E18" s="8" t="s">
        <v>84</v>
      </c>
      <c r="F18" s="6" t="s">
        <v>85</v>
      </c>
      <c r="G18" s="9">
        <f>IF(A18=1,"_",IF(C18="_","???",C18))</f>
        <v/>
      </c>
      <c r="H18" s="10" t="s">
        <v>12</v>
      </c>
      <c r="I18" s="11" t="s">
        <v>12</v>
      </c>
      <c r="J18" s="12"/>
    </row>
    <row r="19" spans="1:10" ht="60" customHeight="1">
      <c r="A19" s="6" t="s">
        <v>86</v>
      </c>
      <c r="B19" s="6" t="s">
        <v>16</v>
      </c>
      <c r="C19" s="6" t="s">
        <v>17</v>
      </c>
      <c r="D19" s="7" t="s">
        <v>87</v>
      </c>
      <c r="E19" s="8" t="s">
        <v>88</v>
      </c>
      <c r="F19" s="6" t="s">
        <v>89</v>
      </c>
      <c r="G19" s="9">
        <f>IF(A19=1,"_",IF(C19="_","???",C19))</f>
        <v/>
      </c>
      <c r="H19" s="10" t="s">
        <v>12</v>
      </c>
      <c r="I19" s="11" t="s">
        <v>12</v>
      </c>
      <c r="J19" s="12"/>
    </row>
    <row r="20" spans="1:10" ht="60" customHeight="1">
      <c r="A20" s="6" t="s">
        <v>90</v>
      </c>
      <c r="B20" s="6" t="s">
        <v>57</v>
      </c>
      <c r="C20" s="6" t="s">
        <v>91</v>
      </c>
      <c r="D20" s="7" t="s">
        <v>38</v>
      </c>
      <c r="E20" s="8" t="s">
        <v>92</v>
      </c>
      <c r="F20" s="6" t="s">
        <v>93</v>
      </c>
      <c r="G20" s="9">
        <f>IF(A20=1,"_",IF(C20="_","???",C20))</f>
        <v/>
      </c>
      <c r="H20" s="10" t="s">
        <v>12</v>
      </c>
      <c r="I20" s="11" t="s">
        <v>12</v>
      </c>
      <c r="J20" s="12"/>
    </row>
    <row r="21" spans="1:10" ht="60" customHeight="1">
      <c r="A21" s="6" t="s">
        <v>94</v>
      </c>
      <c r="B21" s="6" t="s">
        <v>11</v>
      </c>
      <c r="C21" s="6" t="s">
        <v>12</v>
      </c>
      <c r="D21" s="7" t="s">
        <v>95</v>
      </c>
      <c r="E21" s="8" t="s">
        <v>96</v>
      </c>
      <c r="F21" s="6" t="s">
        <v>97</v>
      </c>
      <c r="G21" s="9">
        <f>IF(A21=1,"_",IF(C21="_","???",C21))</f>
        <v/>
      </c>
      <c r="H21" s="10" t="s">
        <v>12</v>
      </c>
      <c r="I21" s="11" t="s">
        <v>12</v>
      </c>
      <c r="J21" s="12"/>
    </row>
    <row r="22" spans="1:10" ht="60" customHeight="1">
      <c r="A22" s="6" t="s">
        <v>98</v>
      </c>
      <c r="B22" s="6" t="s">
        <v>30</v>
      </c>
      <c r="C22" s="6" t="s">
        <v>99</v>
      </c>
      <c r="D22" s="7" t="s">
        <v>100</v>
      </c>
      <c r="E22" s="8" t="s">
        <v>101</v>
      </c>
      <c r="F22" s="6" t="s">
        <v>102</v>
      </c>
      <c r="G22" s="9">
        <f>IF(A22=1,"_",IF(C22="_","???",C22))</f>
        <v/>
      </c>
      <c r="H22" s="10" t="s">
        <v>12</v>
      </c>
      <c r="I22" s="11" t="s">
        <v>12</v>
      </c>
      <c r="J22" s="12"/>
    </row>
    <row r="23" spans="1:10" ht="60" customHeight="1">
      <c r="A23" s="6" t="s">
        <v>58</v>
      </c>
      <c r="B23" s="6" t="s">
        <v>21</v>
      </c>
      <c r="C23" s="6" t="s">
        <v>103</v>
      </c>
      <c r="D23" s="7" t="s">
        <v>104</v>
      </c>
      <c r="E23" s="8" t="s">
        <v>105</v>
      </c>
      <c r="F23" s="6" t="s">
        <v>106</v>
      </c>
      <c r="G23" s="9">
        <f>IF(A23=1,"_",IF(C23="_","???",C23))</f>
        <v/>
      </c>
      <c r="H23" s="10" t="s">
        <v>12</v>
      </c>
      <c r="I23" s="11" t="s">
        <v>12</v>
      </c>
      <c r="J23" s="12"/>
    </row>
    <row r="24" spans="1:10" ht="60" customHeight="1">
      <c r="A24" s="6" t="s">
        <v>81</v>
      </c>
      <c r="B24" s="6" t="s">
        <v>11</v>
      </c>
      <c r="C24" s="6" t="s">
        <v>12</v>
      </c>
      <c r="D24" s="7" t="s">
        <v>18</v>
      </c>
      <c r="E24" s="8" t="s">
        <v>107</v>
      </c>
      <c r="F24" s="6" t="s">
        <v>108</v>
      </c>
      <c r="G24" s="9">
        <f>IF(A24=1,"_",IF(C24="_","???",C24))</f>
        <v/>
      </c>
      <c r="H24" s="10" t="s">
        <v>12</v>
      </c>
      <c r="I24" s="11" t="s">
        <v>12</v>
      </c>
      <c r="J24" s="12"/>
    </row>
    <row r="25" spans="1:10" ht="60" customHeight="1">
      <c r="A25" s="6" t="s">
        <v>109</v>
      </c>
      <c r="B25" s="6" t="s">
        <v>26</v>
      </c>
      <c r="C25" s="6" t="s">
        <v>17</v>
      </c>
      <c r="D25" s="7" t="s">
        <v>110</v>
      </c>
      <c r="E25" s="8" t="s">
        <v>111</v>
      </c>
      <c r="F25" s="6" t="s">
        <v>112</v>
      </c>
      <c r="G25" s="9">
        <f>IF(A25=1,"_",IF(C25="_","???",C25))</f>
        <v/>
      </c>
      <c r="H25" s="10" t="s">
        <v>12</v>
      </c>
      <c r="I25" s="11" t="s">
        <v>12</v>
      </c>
      <c r="J25" s="12"/>
    </row>
    <row r="26" spans="1:10" ht="60" customHeight="1">
      <c r="A26" s="6" t="s">
        <v>113</v>
      </c>
      <c r="B26" s="6" t="s">
        <v>26</v>
      </c>
      <c r="C26" s="6" t="s">
        <v>114</v>
      </c>
      <c r="D26" s="7" t="s">
        <v>115</v>
      </c>
      <c r="E26" s="8" t="s">
        <v>116</v>
      </c>
      <c r="F26" s="6" t="s">
        <v>117</v>
      </c>
      <c r="G26" s="9">
        <f>IF(A26=1,"_",IF(C26="_","???",C26))</f>
        <v/>
      </c>
      <c r="H26" s="10" t="s">
        <v>12</v>
      </c>
      <c r="I26" s="11" t="s">
        <v>12</v>
      </c>
      <c r="J26" s="12"/>
    </row>
    <row r="27" spans="1:10" ht="60" customHeight="1">
      <c r="A27" s="6" t="s">
        <v>118</v>
      </c>
      <c r="B27" s="6" t="s">
        <v>11</v>
      </c>
      <c r="C27" s="6" t="s">
        <v>12</v>
      </c>
      <c r="D27" s="7" t="s">
        <v>119</v>
      </c>
      <c r="E27" s="8" t="s">
        <v>120</v>
      </c>
      <c r="F27" s="6" t="s">
        <v>121</v>
      </c>
      <c r="G27" s="9">
        <f>IF(A27=1,"_",IF(C27="_","???",C27))</f>
        <v/>
      </c>
      <c r="H27" s="10" t="s">
        <v>12</v>
      </c>
      <c r="I27" s="11" t="s">
        <v>12</v>
      </c>
      <c r="J27" s="12"/>
    </row>
    <row r="28" spans="1:10" ht="60" customHeight="1">
      <c r="A28" s="6" t="s">
        <v>122</v>
      </c>
      <c r="B28" s="6" t="s">
        <v>26</v>
      </c>
      <c r="C28" s="6" t="s">
        <v>12</v>
      </c>
      <c r="D28" s="7" t="s">
        <v>123</v>
      </c>
      <c r="E28" s="8" t="s">
        <v>124</v>
      </c>
      <c r="F28" s="6" t="s">
        <v>125</v>
      </c>
      <c r="G28" s="9">
        <f>IF(A28=1,"_",IF(C28="_","???",C28))</f>
        <v/>
      </c>
      <c r="H28" s="10" t="s">
        <v>12</v>
      </c>
      <c r="I28" s="11" t="s">
        <v>12</v>
      </c>
      <c r="J28" s="12"/>
    </row>
    <row r="29" spans="1:10" ht="60" customHeight="1">
      <c r="A29" s="6" t="s">
        <v>126</v>
      </c>
      <c r="B29" s="6" t="s">
        <v>30</v>
      </c>
      <c r="C29" s="6" t="s">
        <v>12</v>
      </c>
      <c r="D29" s="7" t="s">
        <v>127</v>
      </c>
      <c r="E29" s="8" t="s">
        <v>128</v>
      </c>
      <c r="F29" s="6" t="s">
        <v>129</v>
      </c>
      <c r="G29" s="9">
        <f>IF(A29=1,"_",IF(C29="_","???",C29))</f>
        <v/>
      </c>
      <c r="H29" s="10" t="s">
        <v>12</v>
      </c>
      <c r="I29" s="11" t="s">
        <v>12</v>
      </c>
      <c r="J29" s="12"/>
    </row>
    <row r="30" spans="1:10" ht="60" customHeight="1">
      <c r="A30" s="6" t="s">
        <v>130</v>
      </c>
      <c r="B30" s="6" t="s">
        <v>35</v>
      </c>
      <c r="C30" s="6" t="s">
        <v>49</v>
      </c>
      <c r="D30" s="7" t="s">
        <v>131</v>
      </c>
      <c r="E30" s="8" t="s">
        <v>132</v>
      </c>
      <c r="F30" s="6" t="s">
        <v>133</v>
      </c>
      <c r="G30" s="9">
        <f>IF(A30=1,"_",IF(C30="_","???",C30))</f>
        <v/>
      </c>
      <c r="H30" s="10" t="s">
        <v>12</v>
      </c>
      <c r="I30" s="11" t="s">
        <v>12</v>
      </c>
      <c r="J30" s="12"/>
    </row>
    <row r="31" spans="1:10" ht="60" customHeight="1">
      <c r="A31" s="6" t="s">
        <v>134</v>
      </c>
      <c r="B31" s="6" t="s">
        <v>48</v>
      </c>
      <c r="C31" s="6" t="s">
        <v>49</v>
      </c>
      <c r="D31" s="7" t="s">
        <v>135</v>
      </c>
      <c r="E31" s="8" t="s">
        <v>136</v>
      </c>
      <c r="F31" s="6" t="s">
        <v>137</v>
      </c>
      <c r="G31" s="9">
        <f>IF(A31=1,"_",IF(C31="_","???",C31))</f>
        <v/>
      </c>
      <c r="H31" s="10" t="s">
        <v>12</v>
      </c>
      <c r="I31" s="11" t="s">
        <v>12</v>
      </c>
      <c r="J31" s="12"/>
    </row>
    <row r="32" spans="1:10" ht="60" customHeight="1">
      <c r="A32" s="6" t="s">
        <v>138</v>
      </c>
      <c r="B32" s="6" t="s">
        <v>16</v>
      </c>
      <c r="C32" s="6" t="s">
        <v>12</v>
      </c>
      <c r="D32" s="7" t="s">
        <v>139</v>
      </c>
      <c r="E32" s="8" t="s">
        <v>140</v>
      </c>
      <c r="F32" s="6" t="s">
        <v>141</v>
      </c>
      <c r="G32" s="9">
        <f>IF(A32=1,"_",IF(C32="_","???",C32))</f>
        <v/>
      </c>
      <c r="H32" s="10" t="s">
        <v>12</v>
      </c>
      <c r="I32" s="11" t="s">
        <v>12</v>
      </c>
      <c r="J32" s="12"/>
    </row>
    <row r="33" spans="1:10" ht="60" customHeight="1">
      <c r="A33" s="6" t="s">
        <v>142</v>
      </c>
      <c r="B33" s="6" t="s">
        <v>16</v>
      </c>
      <c r="C33" s="6" t="s">
        <v>17</v>
      </c>
      <c r="D33" s="7" t="s">
        <v>83</v>
      </c>
      <c r="E33" s="8" t="s">
        <v>143</v>
      </c>
      <c r="F33" s="6" t="s">
        <v>144</v>
      </c>
      <c r="G33" s="9">
        <f>IF(A33=1,"_",IF(C33="_","???",C33))</f>
        <v/>
      </c>
      <c r="H33" s="10" t="s">
        <v>12</v>
      </c>
      <c r="I33" s="11" t="s">
        <v>12</v>
      </c>
      <c r="J33" s="12"/>
    </row>
    <row r="34" spans="1:10" ht="60" customHeight="1">
      <c r="A34" s="6" t="s">
        <v>145</v>
      </c>
      <c r="B34" s="6" t="s">
        <v>26</v>
      </c>
      <c r="C34" s="6" t="s">
        <v>12</v>
      </c>
      <c r="D34" s="7" t="s">
        <v>146</v>
      </c>
      <c r="E34" s="8" t="s">
        <v>147</v>
      </c>
      <c r="F34" s="6" t="s">
        <v>148</v>
      </c>
      <c r="G34" s="9">
        <f>IF(A34=1,"_",IF(C34="_","???",C34))</f>
        <v/>
      </c>
      <c r="H34" s="10" t="s">
        <v>12</v>
      </c>
      <c r="I34" s="11" t="s">
        <v>12</v>
      </c>
      <c r="J34" s="12"/>
    </row>
    <row r="35" spans="1:10" ht="60" customHeight="1">
      <c r="A35" s="6" t="s">
        <v>149</v>
      </c>
      <c r="B35" s="6" t="s">
        <v>16</v>
      </c>
      <c r="C35" s="6" t="s">
        <v>150</v>
      </c>
      <c r="D35" s="7" t="s">
        <v>151</v>
      </c>
      <c r="E35" s="8" t="s">
        <v>152</v>
      </c>
      <c r="F35" s="6" t="s">
        <v>153</v>
      </c>
      <c r="G35" s="9">
        <f>IF(A35=1,"_",IF(C35="_","???",C35))</f>
        <v/>
      </c>
      <c r="H35" s="10" t="s">
        <v>12</v>
      </c>
      <c r="I35" s="11" t="s">
        <v>12</v>
      </c>
      <c r="J35" s="12"/>
    </row>
    <row r="36" spans="1:10" ht="60" customHeight="1">
      <c r="A36" s="6" t="s">
        <v>154</v>
      </c>
      <c r="B36" s="6" t="s">
        <v>16</v>
      </c>
      <c r="C36" s="6" t="s">
        <v>12</v>
      </c>
      <c r="D36" s="7" t="s">
        <v>32</v>
      </c>
      <c r="E36" s="8" t="s">
        <v>155</v>
      </c>
      <c r="F36" s="6" t="s">
        <v>156</v>
      </c>
      <c r="G36" s="9">
        <f>IF(A36=1,"_",IF(C36="_","???",C36))</f>
        <v/>
      </c>
      <c r="H36" s="10" t="s">
        <v>12</v>
      </c>
      <c r="I36" s="11" t="s">
        <v>12</v>
      </c>
      <c r="J36" s="12"/>
    </row>
    <row r="37" spans="1:10" ht="60" customHeight="1">
      <c r="A37" s="6" t="s">
        <v>157</v>
      </c>
      <c r="B37" s="6" t="s">
        <v>10</v>
      </c>
      <c r="C37" s="6" t="s">
        <v>12</v>
      </c>
      <c r="D37" s="7" t="s">
        <v>158</v>
      </c>
      <c r="E37" s="8" t="s">
        <v>159</v>
      </c>
      <c r="F37" s="6" t="s">
        <v>160</v>
      </c>
      <c r="G37" s="9">
        <f>IF(A37=1,"_",IF(C37="_","???",C37))</f>
        <v/>
      </c>
      <c r="H37" s="10" t="s">
        <v>12</v>
      </c>
      <c r="I37" s="11" t="s">
        <v>12</v>
      </c>
      <c r="J37" s="12"/>
    </row>
    <row r="38" spans="1:10" ht="60" customHeight="1">
      <c r="A38" s="6" t="s">
        <v>161</v>
      </c>
      <c r="B38" s="6" t="s">
        <v>26</v>
      </c>
      <c r="C38" s="6" t="s">
        <v>17</v>
      </c>
      <c r="D38" s="7" t="s">
        <v>32</v>
      </c>
      <c r="E38" s="8" t="s">
        <v>162</v>
      </c>
      <c r="F38" s="6" t="s">
        <v>163</v>
      </c>
      <c r="G38" s="9">
        <f>IF(A38=1,"_",IF(C38="_","???",C38))</f>
        <v/>
      </c>
      <c r="H38" s="10" t="s">
        <v>12</v>
      </c>
      <c r="I38" s="11" t="s">
        <v>12</v>
      </c>
      <c r="J38" s="12"/>
    </row>
    <row r="39" spans="1:10" ht="60" customHeight="1">
      <c r="A39" s="6" t="s">
        <v>164</v>
      </c>
      <c r="B39" s="6" t="s">
        <v>16</v>
      </c>
      <c r="C39" s="6" t="s">
        <v>150</v>
      </c>
      <c r="D39" s="7" t="s">
        <v>165</v>
      </c>
      <c r="E39" s="8" t="s">
        <v>166</v>
      </c>
      <c r="F39" s="6" t="s">
        <v>167</v>
      </c>
      <c r="G39" s="9">
        <f>IF(A39=1,"_",IF(C39="_","???",C39))</f>
        <v/>
      </c>
      <c r="H39" s="10" t="s">
        <v>12</v>
      </c>
      <c r="I39" s="11" t="s">
        <v>12</v>
      </c>
      <c r="J39" s="12"/>
    </row>
    <row r="40" spans="1:10" ht="60" customHeight="1">
      <c r="A40" s="6" t="s">
        <v>168</v>
      </c>
      <c r="B40" s="6" t="s">
        <v>11</v>
      </c>
      <c r="C40" s="6" t="s">
        <v>169</v>
      </c>
      <c r="D40" s="7" t="s">
        <v>170</v>
      </c>
      <c r="E40" s="8" t="s">
        <v>171</v>
      </c>
      <c r="F40" s="6" t="s">
        <v>172</v>
      </c>
      <c r="G40" s="9">
        <f>IF(A40=1,"_",IF(C40="_","???",C40))</f>
        <v/>
      </c>
      <c r="H40" s="10" t="s">
        <v>12</v>
      </c>
      <c r="I40" s="11" t="s">
        <v>12</v>
      </c>
      <c r="J40" s="12"/>
    </row>
    <row r="41" spans="1:10" ht="60" customHeight="1">
      <c r="A41" s="6" t="s">
        <v>173</v>
      </c>
      <c r="B41" s="6" t="s">
        <v>11</v>
      </c>
      <c r="C41" s="6" t="s">
        <v>174</v>
      </c>
      <c r="D41" s="7" t="s">
        <v>175</v>
      </c>
      <c r="E41" s="8" t="s">
        <v>176</v>
      </c>
      <c r="F41" s="6" t="s">
        <v>177</v>
      </c>
      <c r="G41" s="9">
        <f>IF(A41=1,"_",IF(C41="_","???",C41))</f>
        <v/>
      </c>
      <c r="H41" s="10" t="s">
        <v>12</v>
      </c>
      <c r="I41" s="11" t="s">
        <v>12</v>
      </c>
      <c r="J41" s="12"/>
    </row>
    <row r="42" spans="1:10" ht="60" customHeight="1">
      <c r="A42" s="6" t="s">
        <v>178</v>
      </c>
      <c r="B42" s="6" t="s">
        <v>26</v>
      </c>
      <c r="C42" s="6" t="s">
        <v>12</v>
      </c>
      <c r="D42" s="7" t="s">
        <v>179</v>
      </c>
      <c r="E42" s="8" t="s">
        <v>180</v>
      </c>
      <c r="F42" s="6" t="s">
        <v>181</v>
      </c>
      <c r="G42" s="9">
        <f>IF(A42=1,"_",IF(C42="_","???",C42))</f>
        <v/>
      </c>
      <c r="H42" s="10" t="s">
        <v>12</v>
      </c>
      <c r="I42" s="11" t="s">
        <v>12</v>
      </c>
      <c r="J42" s="12"/>
    </row>
    <row r="43" spans="1:10" ht="60" customHeight="1">
      <c r="A43" s="6" t="s">
        <v>182</v>
      </c>
      <c r="B43" s="6" t="s">
        <v>16</v>
      </c>
      <c r="C43" s="6" t="s">
        <v>12</v>
      </c>
      <c r="D43" s="7" t="s">
        <v>183</v>
      </c>
      <c r="E43" s="8" t="s">
        <v>184</v>
      </c>
      <c r="F43" s="6" t="s">
        <v>185</v>
      </c>
      <c r="G43" s="9">
        <f>IF(A43=1,"_",IF(C43="_","???",C43))</f>
        <v/>
      </c>
      <c r="H43" s="10" t="s">
        <v>12</v>
      </c>
      <c r="I43" s="11" t="s">
        <v>12</v>
      </c>
      <c r="J43" s="12"/>
    </row>
    <row r="44" spans="1:10" ht="60" customHeight="1">
      <c r="A44" s="6" t="s">
        <v>186</v>
      </c>
      <c r="B44" s="6" t="s">
        <v>11</v>
      </c>
      <c r="C44" s="6" t="s">
        <v>12</v>
      </c>
      <c r="D44" s="7" t="s">
        <v>83</v>
      </c>
      <c r="E44" s="8" t="s">
        <v>187</v>
      </c>
      <c r="F44" s="6" t="s">
        <v>188</v>
      </c>
      <c r="G44" s="9">
        <f>IF(A44=1,"_",IF(C44="_","???",C44))</f>
        <v/>
      </c>
      <c r="H44" s="10" t="s">
        <v>12</v>
      </c>
      <c r="I44" s="11" t="s">
        <v>12</v>
      </c>
      <c r="J44" s="12"/>
    </row>
    <row r="45" spans="1:10" ht="60" customHeight="1">
      <c r="A45" s="6" t="s">
        <v>189</v>
      </c>
      <c r="B45" s="6" t="s">
        <v>58</v>
      </c>
      <c r="C45" s="6" t="s">
        <v>174</v>
      </c>
      <c r="D45" s="7" t="s">
        <v>18</v>
      </c>
      <c r="E45" s="8" t="s">
        <v>190</v>
      </c>
      <c r="F45" s="6" t="s">
        <v>191</v>
      </c>
      <c r="G45" s="9">
        <f>IF(A45=1,"_",IF(C45="_","???",C45))</f>
        <v/>
      </c>
      <c r="H45" s="10" t="s">
        <v>12</v>
      </c>
      <c r="I45" s="11" t="s">
        <v>12</v>
      </c>
      <c r="J45" s="12"/>
    </row>
    <row r="46" spans="1:10" ht="60" customHeight="1">
      <c r="A46" s="6" t="s">
        <v>192</v>
      </c>
      <c r="B46" s="6" t="s">
        <v>26</v>
      </c>
      <c r="C46" s="6" t="s">
        <v>12</v>
      </c>
      <c r="D46" s="7" t="s">
        <v>193</v>
      </c>
      <c r="E46" s="8" t="s">
        <v>194</v>
      </c>
      <c r="F46" s="6" t="s">
        <v>195</v>
      </c>
      <c r="G46" s="9">
        <f>IF(A46=1,"_",IF(C46="_","???",C46))</f>
        <v/>
      </c>
      <c r="H46" s="10" t="s">
        <v>12</v>
      </c>
      <c r="I46" s="11" t="s">
        <v>12</v>
      </c>
      <c r="J46" s="12"/>
    </row>
    <row r="47" spans="1:10" ht="60" customHeight="1">
      <c r="A47" s="6" t="s">
        <v>196</v>
      </c>
      <c r="B47" s="6" t="s">
        <v>11</v>
      </c>
      <c r="C47" s="6" t="s">
        <v>12</v>
      </c>
      <c r="D47" s="7" t="s">
        <v>197</v>
      </c>
      <c r="E47" s="8" t="s">
        <v>198</v>
      </c>
      <c r="F47" s="6" t="s">
        <v>199</v>
      </c>
      <c r="G47" s="9">
        <f>IF(A47=1,"_",IF(C47="_","???",C47))</f>
        <v/>
      </c>
      <c r="H47" s="10" t="s">
        <v>12</v>
      </c>
      <c r="I47" s="11" t="s">
        <v>12</v>
      </c>
      <c r="J47" s="12"/>
    </row>
    <row r="48" spans="1:10" ht="60" customHeight="1">
      <c r="A48" s="6" t="s">
        <v>200</v>
      </c>
      <c r="B48" s="6" t="s">
        <v>68</v>
      </c>
      <c r="C48" s="6" t="s">
        <v>12</v>
      </c>
      <c r="D48" s="7" t="s">
        <v>201</v>
      </c>
      <c r="E48" s="8" t="s">
        <v>202</v>
      </c>
      <c r="F48" s="6" t="s">
        <v>203</v>
      </c>
      <c r="G48" s="9">
        <f>IF(A48=1,"_",IF(C48="_","???",C48))</f>
        <v/>
      </c>
      <c r="H48" s="10" t="s">
        <v>12</v>
      </c>
      <c r="I48" s="11" t="s">
        <v>12</v>
      </c>
      <c r="J48" s="12"/>
    </row>
    <row r="49" spans="1:10" ht="60" customHeight="1">
      <c r="A49" s="6" t="s">
        <v>204</v>
      </c>
      <c r="B49" s="6" t="s">
        <v>48</v>
      </c>
      <c r="C49" s="6" t="s">
        <v>17</v>
      </c>
      <c r="D49" s="7" t="s">
        <v>205</v>
      </c>
      <c r="E49" s="8" t="s">
        <v>206</v>
      </c>
      <c r="F49" s="6" t="s">
        <v>207</v>
      </c>
      <c r="G49" s="9">
        <f>IF(A49=1,"_",IF(C49="_","???",C49))</f>
        <v/>
      </c>
      <c r="H49" s="10" t="s">
        <v>12</v>
      </c>
      <c r="I49" s="11" t="s">
        <v>12</v>
      </c>
      <c r="J49" s="12"/>
    </row>
    <row r="50" spans="1:10" ht="60" customHeight="1">
      <c r="A50" s="6" t="s">
        <v>208</v>
      </c>
      <c r="B50" s="6" t="s">
        <v>68</v>
      </c>
      <c r="C50" s="6" t="s">
        <v>174</v>
      </c>
      <c r="D50" s="7" t="s">
        <v>209</v>
      </c>
      <c r="E50" s="8" t="s">
        <v>210</v>
      </c>
      <c r="F50" s="6" t="s">
        <v>211</v>
      </c>
      <c r="G50" s="9">
        <f>IF(A50=1,"_",IF(C50="_","???",C50))</f>
        <v/>
      </c>
      <c r="H50" s="10" t="s">
        <v>12</v>
      </c>
      <c r="I50" s="11" t="s">
        <v>12</v>
      </c>
      <c r="J50" s="12"/>
    </row>
    <row r="51" spans="1:10" ht="60" customHeight="1">
      <c r="A51" s="6" t="s">
        <v>212</v>
      </c>
      <c r="B51" s="6" t="s">
        <v>16</v>
      </c>
      <c r="C51" s="6" t="s">
        <v>12</v>
      </c>
      <c r="D51" s="7" t="s">
        <v>213</v>
      </c>
      <c r="E51" s="8" t="s">
        <v>214</v>
      </c>
      <c r="F51" s="6" t="s">
        <v>215</v>
      </c>
      <c r="G51" s="9">
        <f>IF(A51=1,"_",IF(C51="_","???",C51))</f>
        <v/>
      </c>
      <c r="H51" s="10" t="s">
        <v>12</v>
      </c>
      <c r="I51" s="11" t="s">
        <v>12</v>
      </c>
      <c r="J51" s="12"/>
    </row>
    <row r="52" spans="1:10" ht="60" customHeight="1">
      <c r="A52" s="6" t="s">
        <v>216</v>
      </c>
      <c r="B52" s="6" t="s">
        <v>11</v>
      </c>
      <c r="C52" s="6" t="s">
        <v>49</v>
      </c>
      <c r="D52" s="7" t="s">
        <v>32</v>
      </c>
      <c r="E52" s="8" t="s">
        <v>217</v>
      </c>
      <c r="F52" s="6" t="s">
        <v>218</v>
      </c>
      <c r="G52" s="9">
        <f>IF(A52=1,"_",IF(C52="_","???",C52))</f>
        <v/>
      </c>
      <c r="H52" s="10" t="s">
        <v>12</v>
      </c>
      <c r="I52" s="11" t="s">
        <v>12</v>
      </c>
      <c r="J52" s="12"/>
    </row>
    <row r="53" spans="1:10" ht="60" customHeight="1">
      <c r="A53" s="6" t="s">
        <v>219</v>
      </c>
      <c r="B53" s="6" t="s">
        <v>16</v>
      </c>
      <c r="C53" s="6" t="s">
        <v>12</v>
      </c>
      <c r="D53" s="7" t="s">
        <v>220</v>
      </c>
      <c r="E53" s="8" t="s">
        <v>221</v>
      </c>
      <c r="F53" s="6" t="s">
        <v>222</v>
      </c>
      <c r="G53" s="9">
        <f>IF(A53=1,"_",IF(C53="_","???",C53))</f>
        <v/>
      </c>
      <c r="H53" s="10" t="s">
        <v>12</v>
      </c>
      <c r="I53" s="11" t="s">
        <v>12</v>
      </c>
      <c r="J53" s="12"/>
    </row>
    <row r="54" spans="1:10" ht="60" customHeight="1">
      <c r="A54" s="6" t="s">
        <v>223</v>
      </c>
      <c r="B54" s="6" t="s">
        <v>16</v>
      </c>
      <c r="C54" s="6" t="s">
        <v>150</v>
      </c>
      <c r="D54" s="7" t="s">
        <v>224</v>
      </c>
      <c r="E54" s="8" t="s">
        <v>225</v>
      </c>
      <c r="F54" s="6" t="s">
        <v>226</v>
      </c>
      <c r="G54" s="9">
        <f>IF(A54=1,"_",IF(C54="_","???",C54))</f>
        <v/>
      </c>
      <c r="H54" s="10" t="s">
        <v>12</v>
      </c>
      <c r="I54" s="11" t="s">
        <v>12</v>
      </c>
      <c r="J54" s="12"/>
    </row>
    <row r="55" spans="1:10" ht="60" customHeight="1">
      <c r="A55" s="6" t="s">
        <v>227</v>
      </c>
      <c r="B55" s="6" t="s">
        <v>26</v>
      </c>
      <c r="C55" s="6" t="s">
        <v>228</v>
      </c>
      <c r="D55" s="7" t="s">
        <v>229</v>
      </c>
      <c r="E55" s="8" t="s">
        <v>230</v>
      </c>
      <c r="F55" s="6" t="s">
        <v>231</v>
      </c>
      <c r="G55" s="9">
        <f>IF(A55=1,"_",IF(C55="_","???",C55))</f>
        <v/>
      </c>
      <c r="H55" s="10" t="s">
        <v>12</v>
      </c>
      <c r="I55" s="11" t="s">
        <v>12</v>
      </c>
      <c r="J55" s="12"/>
    </row>
    <row r="56" spans="1:10" ht="60" customHeight="1">
      <c r="A56" s="6" t="s">
        <v>232</v>
      </c>
      <c r="B56" s="6" t="s">
        <v>11</v>
      </c>
      <c r="C56" s="6" t="s">
        <v>12</v>
      </c>
      <c r="D56" s="7" t="s">
        <v>233</v>
      </c>
      <c r="E56" s="8" t="s">
        <v>234</v>
      </c>
      <c r="F56" s="6" t="s">
        <v>235</v>
      </c>
      <c r="G56" s="9">
        <f>IF(A56=1,"_",IF(C56="_","???",C56))</f>
        <v/>
      </c>
      <c r="H56" s="10" t="s">
        <v>12</v>
      </c>
      <c r="I56" s="11" t="s">
        <v>12</v>
      </c>
      <c r="J56" s="12"/>
    </row>
    <row r="57" spans="1:10" ht="60" customHeight="1">
      <c r="A57" s="6" t="s">
        <v>236</v>
      </c>
      <c r="B57" s="6" t="s">
        <v>72</v>
      </c>
      <c r="C57" s="6" t="s">
        <v>42</v>
      </c>
      <c r="D57" s="7" t="s">
        <v>237</v>
      </c>
      <c r="E57" s="8" t="s">
        <v>238</v>
      </c>
      <c r="F57" s="6" t="s">
        <v>239</v>
      </c>
      <c r="G57" s="9">
        <f>IF(A57=1,"_",IF(C57="_","???",C57))</f>
        <v/>
      </c>
      <c r="H57" s="10" t="s">
        <v>12</v>
      </c>
      <c r="I57" s="11" t="s">
        <v>12</v>
      </c>
      <c r="J57" s="12"/>
    </row>
    <row r="58" spans="1:10" ht="60" customHeight="1">
      <c r="A58" s="6" t="s">
        <v>240</v>
      </c>
      <c r="B58" s="6" t="s">
        <v>16</v>
      </c>
      <c r="C58" s="6" t="s">
        <v>12</v>
      </c>
      <c r="D58" s="7" t="s">
        <v>32</v>
      </c>
      <c r="E58" s="8" t="s">
        <v>241</v>
      </c>
      <c r="F58" s="6" t="s">
        <v>242</v>
      </c>
      <c r="G58" s="9">
        <f>IF(A58=1,"_",IF(C58="_","???",C58))</f>
        <v/>
      </c>
      <c r="H58" s="10" t="s">
        <v>12</v>
      </c>
      <c r="I58" s="11" t="s">
        <v>12</v>
      </c>
      <c r="J58" s="12"/>
    </row>
    <row r="59" spans="1:10" ht="60" customHeight="1">
      <c r="A59" s="6" t="s">
        <v>243</v>
      </c>
      <c r="B59" s="6" t="s">
        <v>11</v>
      </c>
      <c r="C59" s="6" t="s">
        <v>12</v>
      </c>
      <c r="D59" s="7" t="s">
        <v>244</v>
      </c>
      <c r="E59" s="8" t="s">
        <v>245</v>
      </c>
      <c r="F59" s="6" t="s">
        <v>246</v>
      </c>
      <c r="G59" s="9">
        <f>IF(A59=1,"_",IF(C59="_","???",C59))</f>
        <v/>
      </c>
      <c r="H59" s="10" t="s">
        <v>12</v>
      </c>
      <c r="I59" s="11" t="s">
        <v>12</v>
      </c>
      <c r="J59" s="12"/>
    </row>
    <row r="60" spans="1:10" ht="60" customHeight="1">
      <c r="A60" s="6" t="s">
        <v>247</v>
      </c>
      <c r="B60" s="6" t="s">
        <v>57</v>
      </c>
      <c r="C60" s="6" t="s">
        <v>248</v>
      </c>
      <c r="D60" s="7" t="s">
        <v>18</v>
      </c>
      <c r="E60" s="8" t="s">
        <v>249</v>
      </c>
      <c r="F60" s="6" t="s">
        <v>250</v>
      </c>
      <c r="G60" s="9">
        <f>IF(A60=1,"_",IF(C60="_","???",C60))</f>
        <v/>
      </c>
      <c r="H60" s="10" t="s">
        <v>12</v>
      </c>
      <c r="I60" s="11" t="s">
        <v>12</v>
      </c>
      <c r="J60" s="12"/>
    </row>
    <row r="61" spans="1:10" ht="60" customHeight="1">
      <c r="A61" s="6" t="s">
        <v>251</v>
      </c>
      <c r="B61" s="6" t="s">
        <v>53</v>
      </c>
      <c r="C61" s="6" t="s">
        <v>252</v>
      </c>
      <c r="D61" s="7" t="s">
        <v>110</v>
      </c>
      <c r="E61" s="8" t="s">
        <v>253</v>
      </c>
      <c r="F61" s="6" t="s">
        <v>254</v>
      </c>
      <c r="G61" s="9">
        <f>IF(A61=1,"_",IF(C61="_","???",C61))</f>
        <v/>
      </c>
      <c r="H61" s="10" t="s">
        <v>12</v>
      </c>
      <c r="I61" s="11" t="s">
        <v>12</v>
      </c>
      <c r="J61" s="12"/>
    </row>
    <row r="62" spans="1:10" ht="60" customHeight="1">
      <c r="A62" s="6" t="s">
        <v>255</v>
      </c>
      <c r="B62" s="6" t="s">
        <v>16</v>
      </c>
      <c r="C62" s="6" t="s">
        <v>150</v>
      </c>
      <c r="D62" s="7" t="s">
        <v>256</v>
      </c>
      <c r="E62" s="8" t="s">
        <v>257</v>
      </c>
      <c r="F62" s="6" t="s">
        <v>258</v>
      </c>
      <c r="G62" s="9">
        <f>IF(A62=1,"_",IF(C62="_","???",C62))</f>
        <v/>
      </c>
      <c r="H62" s="10" t="s">
        <v>12</v>
      </c>
      <c r="I62" s="11" t="s">
        <v>12</v>
      </c>
      <c r="J62" s="12"/>
    </row>
    <row r="63" spans="1:10" ht="60" customHeight="1">
      <c r="A63" s="6" t="s">
        <v>259</v>
      </c>
      <c r="B63" s="6" t="s">
        <v>35</v>
      </c>
      <c r="C63" s="6" t="s">
        <v>114</v>
      </c>
      <c r="D63" s="7" t="s">
        <v>260</v>
      </c>
      <c r="E63" s="8" t="s">
        <v>261</v>
      </c>
      <c r="F63" s="6" t="s">
        <v>262</v>
      </c>
      <c r="G63" s="9">
        <f>IF(A63=1,"_",IF(C63="_","???",C63))</f>
        <v/>
      </c>
      <c r="H63" s="10" t="s">
        <v>12</v>
      </c>
      <c r="I63" s="11" t="s">
        <v>12</v>
      </c>
      <c r="J63" s="12"/>
    </row>
    <row r="64" spans="1:10" ht="60" customHeight="1">
      <c r="A64" s="6" t="s">
        <v>263</v>
      </c>
      <c r="B64" s="6" t="s">
        <v>45</v>
      </c>
      <c r="C64" s="6" t="s">
        <v>264</v>
      </c>
      <c r="D64" s="7" t="s">
        <v>265</v>
      </c>
      <c r="E64" s="8" t="s">
        <v>266</v>
      </c>
      <c r="F64" s="6" t="s">
        <v>267</v>
      </c>
      <c r="G64" s="9">
        <f>IF(A64=1,"_",IF(C64="_","???",C64))</f>
        <v/>
      </c>
      <c r="H64" s="10" t="s">
        <v>12</v>
      </c>
      <c r="I64" s="11" t="s">
        <v>12</v>
      </c>
      <c r="J64" s="12"/>
    </row>
    <row r="65" spans="1:10" ht="60" customHeight="1">
      <c r="A65" s="6" t="s">
        <v>268</v>
      </c>
      <c r="B65" s="6" t="s">
        <v>16</v>
      </c>
      <c r="C65" s="6" t="s">
        <v>99</v>
      </c>
      <c r="D65" s="7" t="s">
        <v>269</v>
      </c>
      <c r="E65" s="8" t="s">
        <v>270</v>
      </c>
      <c r="F65" s="6" t="s">
        <v>271</v>
      </c>
      <c r="G65" s="9">
        <f>IF(A65=1,"_",IF(C65="_","???",C65))</f>
        <v/>
      </c>
      <c r="H65" s="10" t="s">
        <v>12</v>
      </c>
      <c r="I65" s="11" t="s">
        <v>12</v>
      </c>
      <c r="J65" s="12"/>
    </row>
    <row r="66" spans="1:10" ht="60" customHeight="1">
      <c r="A66" s="6" t="s">
        <v>272</v>
      </c>
      <c r="B66" s="6" t="s">
        <v>58</v>
      </c>
      <c r="C66" s="6" t="s">
        <v>12</v>
      </c>
      <c r="D66" s="7" t="s">
        <v>273</v>
      </c>
      <c r="E66" s="8" t="s">
        <v>274</v>
      </c>
      <c r="F66" s="6" t="s">
        <v>275</v>
      </c>
      <c r="G66" s="9">
        <f>IF(A66=1,"_",IF(C66="_","???",C66))</f>
        <v/>
      </c>
      <c r="H66" s="10" t="s">
        <v>12</v>
      </c>
      <c r="I66" s="11" t="s">
        <v>12</v>
      </c>
      <c r="J66" s="12"/>
    </row>
    <row r="67" spans="1:10" ht="60" customHeight="1">
      <c r="A67" s="6" t="s">
        <v>276</v>
      </c>
      <c r="B67" s="6" t="s">
        <v>77</v>
      </c>
      <c r="C67" s="6" t="s">
        <v>114</v>
      </c>
      <c r="D67" s="7" t="s">
        <v>110</v>
      </c>
      <c r="E67" s="8" t="s">
        <v>277</v>
      </c>
      <c r="F67" s="6" t="s">
        <v>278</v>
      </c>
      <c r="G67" s="9">
        <f>IF(A67=1,"_",IF(C67="_","???",C67))</f>
        <v/>
      </c>
      <c r="H67" s="10" t="s">
        <v>12</v>
      </c>
      <c r="I67" s="11" t="s">
        <v>12</v>
      </c>
      <c r="J67" s="12"/>
    </row>
    <row r="68" spans="1:10" ht="60" customHeight="1">
      <c r="A68" s="6" t="s">
        <v>279</v>
      </c>
      <c r="B68" s="6" t="s">
        <v>30</v>
      </c>
      <c r="C68" s="6" t="s">
        <v>150</v>
      </c>
      <c r="D68" s="7" t="s">
        <v>170</v>
      </c>
      <c r="E68" s="8" t="s">
        <v>280</v>
      </c>
      <c r="F68" s="6" t="s">
        <v>281</v>
      </c>
      <c r="G68" s="9">
        <f>IF(A68=1,"_",IF(C68="_","???",C68))</f>
        <v/>
      </c>
      <c r="H68" s="10" t="s">
        <v>12</v>
      </c>
      <c r="I68" s="11" t="s">
        <v>12</v>
      </c>
      <c r="J68" s="12"/>
    </row>
    <row r="69" spans="1:10" ht="60" customHeight="1">
      <c r="A69" s="6" t="s">
        <v>282</v>
      </c>
      <c r="B69" s="6" t="s">
        <v>26</v>
      </c>
      <c r="C69" s="6" t="s">
        <v>283</v>
      </c>
      <c r="D69" s="7" t="s">
        <v>284</v>
      </c>
      <c r="E69" s="8" t="s">
        <v>285</v>
      </c>
      <c r="F69" s="6" t="s">
        <v>286</v>
      </c>
      <c r="G69" s="9">
        <f>IF(A69=1,"_",IF(C69="_","???",C69))</f>
        <v/>
      </c>
      <c r="H69" s="10" t="s">
        <v>12</v>
      </c>
      <c r="I69" s="11" t="s">
        <v>12</v>
      </c>
      <c r="J69" s="12"/>
    </row>
    <row r="70" spans="1:10" ht="60" customHeight="1">
      <c r="A70" s="6" t="s">
        <v>287</v>
      </c>
      <c r="B70" s="6" t="s">
        <v>16</v>
      </c>
      <c r="C70" s="6" t="s">
        <v>12</v>
      </c>
      <c r="D70" s="7" t="s">
        <v>288</v>
      </c>
      <c r="E70" s="8" t="s">
        <v>289</v>
      </c>
      <c r="F70" s="6" t="s">
        <v>290</v>
      </c>
      <c r="G70" s="9">
        <f>IF(A70=1,"_",IF(C70="_","???",C70))</f>
        <v/>
      </c>
      <c r="H70" s="10" t="s">
        <v>12</v>
      </c>
      <c r="I70" s="11" t="s">
        <v>12</v>
      </c>
      <c r="J70" s="12"/>
    </row>
    <row r="71" spans="1:10" ht="60" customHeight="1">
      <c r="A71" s="6" t="s">
        <v>291</v>
      </c>
      <c r="B71" s="6" t="s">
        <v>26</v>
      </c>
      <c r="C71" s="6" t="s">
        <v>12</v>
      </c>
      <c r="D71" s="7" t="s">
        <v>288</v>
      </c>
      <c r="E71" s="8" t="s">
        <v>292</v>
      </c>
      <c r="F71" s="6" t="s">
        <v>293</v>
      </c>
      <c r="G71" s="9">
        <f>IF(A71=1,"_",IF(C71="_","???",C71))</f>
        <v/>
      </c>
      <c r="H71" s="10" t="s">
        <v>12</v>
      </c>
      <c r="I71" s="11" t="s">
        <v>12</v>
      </c>
      <c r="J71" s="12"/>
    </row>
    <row r="72" spans="1:10" ht="60" customHeight="1">
      <c r="A72" s="6" t="s">
        <v>294</v>
      </c>
      <c r="B72" s="6" t="s">
        <v>21</v>
      </c>
      <c r="C72" s="6" t="s">
        <v>12</v>
      </c>
      <c r="D72" s="7" t="s">
        <v>288</v>
      </c>
      <c r="E72" s="8" t="s">
        <v>295</v>
      </c>
      <c r="F72" s="6" t="s">
        <v>296</v>
      </c>
      <c r="G72" s="9">
        <f>IF(A72=1,"_",IF(C72="_","???",C72))</f>
        <v/>
      </c>
      <c r="H72" s="10" t="s">
        <v>12</v>
      </c>
      <c r="I72" s="11" t="s">
        <v>12</v>
      </c>
      <c r="J72" s="12"/>
    </row>
    <row r="73" spans="1:10" ht="60" customHeight="1">
      <c r="A73" s="6" t="s">
        <v>297</v>
      </c>
      <c r="B73" s="6" t="s">
        <v>48</v>
      </c>
      <c r="C73" s="6" t="s">
        <v>42</v>
      </c>
      <c r="D73" s="7" t="s">
        <v>298</v>
      </c>
      <c r="E73" s="8" t="s">
        <v>299</v>
      </c>
      <c r="F73" s="6" t="s">
        <v>300</v>
      </c>
      <c r="G73" s="9">
        <f>IF(A73=1,"_",IF(C73="_","???",C73))</f>
        <v/>
      </c>
      <c r="H73" s="10" t="s">
        <v>12</v>
      </c>
      <c r="I73" s="11" t="s">
        <v>12</v>
      </c>
      <c r="J73" s="12"/>
    </row>
    <row r="74" spans="1:10" ht="60" customHeight="1">
      <c r="A74" s="6" t="s">
        <v>301</v>
      </c>
      <c r="B74" s="6" t="s">
        <v>35</v>
      </c>
      <c r="C74" s="6" t="s">
        <v>12</v>
      </c>
      <c r="D74" s="7" t="s">
        <v>32</v>
      </c>
      <c r="E74" s="8" t="s">
        <v>302</v>
      </c>
      <c r="F74" s="6" t="s">
        <v>303</v>
      </c>
      <c r="G74" s="9">
        <f>IF(A74=1,"_",IF(C74="_","???",C74))</f>
        <v/>
      </c>
      <c r="H74" s="10" t="s">
        <v>12</v>
      </c>
      <c r="I74" s="11" t="s">
        <v>12</v>
      </c>
      <c r="J74" s="12"/>
    </row>
    <row r="75" spans="1:10" ht="60" customHeight="1">
      <c r="A75" s="6" t="s">
        <v>304</v>
      </c>
      <c r="B75" s="6" t="s">
        <v>68</v>
      </c>
      <c r="C75" s="6" t="s">
        <v>150</v>
      </c>
      <c r="D75" s="7" t="s">
        <v>305</v>
      </c>
      <c r="E75" s="8" t="s">
        <v>306</v>
      </c>
      <c r="F75" s="6" t="s">
        <v>307</v>
      </c>
      <c r="G75" s="9">
        <f>IF(A75=1,"_",IF(C75="_","???",C75))</f>
        <v/>
      </c>
      <c r="H75" s="10" t="s">
        <v>12</v>
      </c>
      <c r="I75" s="11" t="s">
        <v>12</v>
      </c>
      <c r="J75" s="12"/>
    </row>
    <row r="76" spans="1:10" ht="60" customHeight="1">
      <c r="A76" s="6" t="s">
        <v>308</v>
      </c>
      <c r="B76" s="6" t="s">
        <v>21</v>
      </c>
      <c r="C76" s="6" t="s">
        <v>12</v>
      </c>
      <c r="D76" s="7" t="s">
        <v>170</v>
      </c>
      <c r="E76" s="8" t="s">
        <v>309</v>
      </c>
      <c r="F76" s="6" t="s">
        <v>310</v>
      </c>
      <c r="G76" s="9">
        <f>IF(A76=1,"_",IF(C76="_","???",C76))</f>
        <v/>
      </c>
      <c r="H76" s="10" t="s">
        <v>12</v>
      </c>
      <c r="I76" s="11" t="s">
        <v>12</v>
      </c>
      <c r="J76" s="12"/>
    </row>
    <row r="77" spans="1:10" ht="60" customHeight="1">
      <c r="A77" s="6" t="s">
        <v>311</v>
      </c>
      <c r="B77" s="6" t="s">
        <v>26</v>
      </c>
      <c r="C77" s="6" t="s">
        <v>12</v>
      </c>
      <c r="D77" s="7" t="s">
        <v>104</v>
      </c>
      <c r="E77" s="8" t="s">
        <v>312</v>
      </c>
      <c r="F77" s="6" t="s">
        <v>313</v>
      </c>
      <c r="G77" s="9">
        <f>IF(A77=1,"_",IF(C77="_","???",C77))</f>
        <v/>
      </c>
      <c r="H77" s="10" t="s">
        <v>12</v>
      </c>
      <c r="I77" s="11" t="s">
        <v>12</v>
      </c>
      <c r="J77" s="12"/>
    </row>
    <row r="78" spans="1:10" ht="60" customHeight="1">
      <c r="A78" s="6" t="s">
        <v>314</v>
      </c>
      <c r="B78" s="6" t="s">
        <v>11</v>
      </c>
      <c r="C78" s="6" t="s">
        <v>12</v>
      </c>
      <c r="D78" s="7" t="s">
        <v>32</v>
      </c>
      <c r="E78" s="8" t="s">
        <v>315</v>
      </c>
      <c r="F78" s="6" t="s">
        <v>316</v>
      </c>
      <c r="G78" s="9">
        <f>IF(A78=1,"_",IF(C78="_","???",C78))</f>
        <v/>
      </c>
      <c r="H78" s="10" t="s">
        <v>12</v>
      </c>
      <c r="I78" s="11" t="s">
        <v>12</v>
      </c>
      <c r="J78" s="12"/>
    </row>
    <row r="79" spans="1:10" ht="60" customHeight="1">
      <c r="A79" s="6" t="s">
        <v>317</v>
      </c>
      <c r="B79" s="6" t="s">
        <v>16</v>
      </c>
      <c r="C79" s="6" t="s">
        <v>283</v>
      </c>
      <c r="D79" s="7" t="s">
        <v>318</v>
      </c>
      <c r="E79" s="8" t="s">
        <v>319</v>
      </c>
      <c r="F79" s="6" t="s">
        <v>320</v>
      </c>
      <c r="G79" s="9">
        <f>IF(A79=1,"_",IF(C79="_","???",C79))</f>
        <v/>
      </c>
      <c r="H79" s="10" t="s">
        <v>12</v>
      </c>
      <c r="I79" s="11" t="s">
        <v>12</v>
      </c>
      <c r="J79" s="12"/>
    </row>
    <row r="80" spans="1:10" ht="60" customHeight="1">
      <c r="A80" s="6" t="s">
        <v>321</v>
      </c>
      <c r="B80" s="6" t="s">
        <v>21</v>
      </c>
      <c r="C80" s="6" t="s">
        <v>12</v>
      </c>
      <c r="D80" s="7" t="s">
        <v>322</v>
      </c>
      <c r="E80" s="8" t="s">
        <v>323</v>
      </c>
      <c r="F80" s="6" t="s">
        <v>324</v>
      </c>
      <c r="G80" s="9">
        <f>IF(A80=1,"_",IF(C80="_","???",C80))</f>
        <v/>
      </c>
      <c r="H80" s="10" t="s">
        <v>12</v>
      </c>
      <c r="I80" s="11" t="s">
        <v>12</v>
      </c>
      <c r="J80" s="12"/>
    </row>
    <row r="81" spans="1:10" ht="60" customHeight="1">
      <c r="A81" s="6" t="s">
        <v>325</v>
      </c>
      <c r="B81" s="6" t="s">
        <v>86</v>
      </c>
      <c r="C81" s="6" t="s">
        <v>114</v>
      </c>
      <c r="D81" s="7" t="s">
        <v>326</v>
      </c>
      <c r="E81" s="8" t="s">
        <v>327</v>
      </c>
      <c r="F81" s="6" t="s">
        <v>328</v>
      </c>
      <c r="G81" s="9">
        <f>IF(A81=1,"_",IF(C81="_","???",C81))</f>
        <v/>
      </c>
      <c r="H81" s="10" t="s">
        <v>12</v>
      </c>
      <c r="I81" s="11" t="s">
        <v>12</v>
      </c>
      <c r="J81" s="12"/>
    </row>
    <row r="82" spans="1:10" ht="60" customHeight="1">
      <c r="A82" s="6" t="s">
        <v>329</v>
      </c>
      <c r="B82" s="6" t="s">
        <v>16</v>
      </c>
      <c r="C82" s="6" t="s">
        <v>12</v>
      </c>
      <c r="D82" s="7" t="s">
        <v>330</v>
      </c>
      <c r="E82" s="8" t="s">
        <v>331</v>
      </c>
      <c r="F82" s="6" t="s">
        <v>332</v>
      </c>
      <c r="G82" s="9">
        <f>IF(A82=1,"_",IF(C82="_","???",C82))</f>
        <v/>
      </c>
      <c r="H82" s="10" t="s">
        <v>12</v>
      </c>
      <c r="I82" s="11" t="s">
        <v>12</v>
      </c>
      <c r="J82" s="12"/>
    </row>
    <row r="83" spans="1:10" ht="60" customHeight="1">
      <c r="A83" s="6" t="s">
        <v>333</v>
      </c>
      <c r="B83" s="6" t="s">
        <v>10</v>
      </c>
      <c r="C83" s="6" t="s">
        <v>114</v>
      </c>
      <c r="D83" s="7" t="s">
        <v>334</v>
      </c>
      <c r="E83" s="8" t="s">
        <v>335</v>
      </c>
      <c r="F83" s="6" t="s">
        <v>336</v>
      </c>
      <c r="G83" s="9">
        <f>IF(A83=1,"_",IF(C83="_","???",C83))</f>
        <v/>
      </c>
      <c r="H83" s="10" t="s">
        <v>12</v>
      </c>
      <c r="I83" s="11" t="s">
        <v>12</v>
      </c>
      <c r="J83" s="12"/>
    </row>
    <row r="84" spans="1:10" ht="60" customHeight="1">
      <c r="A84" s="6" t="s">
        <v>337</v>
      </c>
      <c r="B84" s="6" t="s">
        <v>26</v>
      </c>
      <c r="C84" s="6" t="s">
        <v>12</v>
      </c>
      <c r="D84" s="7" t="s">
        <v>338</v>
      </c>
      <c r="E84" s="8" t="s">
        <v>339</v>
      </c>
      <c r="F84" s="6" t="s">
        <v>340</v>
      </c>
      <c r="G84" s="9">
        <f>IF(A84=1,"_",IF(C84="_","???",C84))</f>
        <v/>
      </c>
      <c r="H84" s="10" t="s">
        <v>12</v>
      </c>
      <c r="I84" s="11" t="s">
        <v>12</v>
      </c>
      <c r="J84" s="12"/>
    </row>
    <row r="85" spans="1:10" ht="60" customHeight="1">
      <c r="A85" s="6" t="s">
        <v>341</v>
      </c>
      <c r="B85" s="6" t="s">
        <v>16</v>
      </c>
      <c r="C85" s="6" t="s">
        <v>342</v>
      </c>
      <c r="D85" s="7" t="s">
        <v>32</v>
      </c>
      <c r="E85" s="8" t="s">
        <v>343</v>
      </c>
      <c r="F85" s="6" t="s">
        <v>344</v>
      </c>
      <c r="G85" s="9">
        <f>IF(A85=1,"_",IF(C85="_","???",C85))</f>
        <v/>
      </c>
      <c r="H85" s="10" t="s">
        <v>12</v>
      </c>
      <c r="I85" s="11" t="s">
        <v>12</v>
      </c>
      <c r="J85" s="12"/>
    </row>
    <row r="86" spans="1:10" ht="60" customHeight="1">
      <c r="A86" s="6" t="s">
        <v>345</v>
      </c>
      <c r="B86" s="6" t="s">
        <v>11</v>
      </c>
      <c r="C86" s="6" t="s">
        <v>12</v>
      </c>
      <c r="D86" s="7" t="s">
        <v>346</v>
      </c>
      <c r="E86" s="8" t="s">
        <v>347</v>
      </c>
      <c r="F86" s="6" t="s">
        <v>348</v>
      </c>
      <c r="G86" s="9">
        <f>IF(A86=1,"_",IF(C86="_","???",C86))</f>
        <v/>
      </c>
      <c r="H86" s="10" t="s">
        <v>12</v>
      </c>
      <c r="I86" s="11" t="s">
        <v>12</v>
      </c>
      <c r="J86" s="12"/>
    </row>
    <row r="87" spans="1:10" ht="60" customHeight="1">
      <c r="A87" s="6" t="s">
        <v>349</v>
      </c>
      <c r="B87" s="6" t="s">
        <v>16</v>
      </c>
      <c r="C87" s="6" t="s">
        <v>12</v>
      </c>
      <c r="D87" s="7" t="s">
        <v>350</v>
      </c>
      <c r="E87" s="8" t="s">
        <v>351</v>
      </c>
      <c r="F87" s="6" t="s">
        <v>352</v>
      </c>
      <c r="G87" s="9">
        <f>IF(A87=1,"_",IF(C87="_","???",C87))</f>
        <v/>
      </c>
      <c r="H87" s="10" t="s">
        <v>12</v>
      </c>
      <c r="I87" s="11" t="s">
        <v>12</v>
      </c>
      <c r="J87" s="12"/>
    </row>
    <row r="88" spans="1:10" ht="60" customHeight="1">
      <c r="A88" s="6" t="s">
        <v>353</v>
      </c>
      <c r="B88" s="6" t="s">
        <v>11</v>
      </c>
      <c r="C88" s="6" t="s">
        <v>99</v>
      </c>
      <c r="D88" s="7" t="s">
        <v>354</v>
      </c>
      <c r="E88" s="8" t="s">
        <v>355</v>
      </c>
      <c r="F88" s="6" t="s">
        <v>356</v>
      </c>
      <c r="G88" s="9">
        <f>IF(A88=1,"_",IF(C88="_","???",C88))</f>
        <v/>
      </c>
      <c r="H88" s="10" t="s">
        <v>12</v>
      </c>
      <c r="I88" s="11" t="s">
        <v>12</v>
      </c>
      <c r="J88" s="12"/>
    </row>
    <row r="89" spans="1:10" ht="60" customHeight="1">
      <c r="A89" s="6" t="s">
        <v>357</v>
      </c>
      <c r="B89" s="6" t="s">
        <v>10</v>
      </c>
      <c r="C89" s="6" t="s">
        <v>103</v>
      </c>
      <c r="D89" s="7" t="s">
        <v>358</v>
      </c>
      <c r="E89" s="8" t="s">
        <v>359</v>
      </c>
      <c r="F89" s="6" t="s">
        <v>360</v>
      </c>
      <c r="G89" s="9">
        <f>IF(A89=1,"_",IF(C89="_","???",C89))</f>
        <v/>
      </c>
      <c r="H89" s="10" t="s">
        <v>12</v>
      </c>
      <c r="I89" s="11" t="s">
        <v>12</v>
      </c>
      <c r="J89" s="12"/>
    </row>
    <row r="90" spans="1:10" ht="60" customHeight="1">
      <c r="A90" s="6" t="s">
        <v>361</v>
      </c>
      <c r="B90" s="6" t="s">
        <v>26</v>
      </c>
      <c r="C90" s="6" t="s">
        <v>174</v>
      </c>
      <c r="D90" s="7" t="s">
        <v>170</v>
      </c>
      <c r="E90" s="8" t="s">
        <v>362</v>
      </c>
      <c r="F90" s="6" t="s">
        <v>363</v>
      </c>
      <c r="G90" s="9">
        <f>IF(A90=1,"_",IF(C90="_","???",C90))</f>
        <v/>
      </c>
      <c r="H90" s="10" t="s">
        <v>12</v>
      </c>
      <c r="I90" s="11" t="s">
        <v>12</v>
      </c>
      <c r="J90" s="12"/>
    </row>
    <row r="91" spans="1:10" ht="60" customHeight="1">
      <c r="A91" s="6" t="s">
        <v>364</v>
      </c>
      <c r="B91" s="6" t="s">
        <v>16</v>
      </c>
      <c r="C91" s="6" t="s">
        <v>174</v>
      </c>
      <c r="D91" s="7" t="s">
        <v>32</v>
      </c>
      <c r="E91" s="8" t="s">
        <v>365</v>
      </c>
      <c r="F91" s="6" t="s">
        <v>366</v>
      </c>
      <c r="G91" s="9">
        <f>IF(A91=1,"_",IF(C91="_","???",C91))</f>
        <v/>
      </c>
      <c r="H91" s="10" t="s">
        <v>12</v>
      </c>
      <c r="I91" s="11" t="s">
        <v>12</v>
      </c>
      <c r="J91" s="12"/>
    </row>
    <row r="92" spans="1:10" ht="60" customHeight="1">
      <c r="A92" s="6" t="s">
        <v>367</v>
      </c>
      <c r="B92" s="6" t="s">
        <v>11</v>
      </c>
      <c r="C92" s="6" t="s">
        <v>12</v>
      </c>
      <c r="D92" s="7" t="s">
        <v>18</v>
      </c>
      <c r="E92" s="8" t="s">
        <v>368</v>
      </c>
      <c r="F92" s="6" t="s">
        <v>369</v>
      </c>
      <c r="G92" s="9">
        <f>IF(A92=1,"_",IF(C92="_","???",C92))</f>
        <v/>
      </c>
      <c r="H92" s="10" t="s">
        <v>12</v>
      </c>
      <c r="I92" s="11" t="s">
        <v>12</v>
      </c>
      <c r="J92" s="12"/>
    </row>
    <row r="93" spans="1:10" ht="60" customHeight="1">
      <c r="A93" s="6" t="s">
        <v>370</v>
      </c>
      <c r="B93" s="6" t="s">
        <v>11</v>
      </c>
      <c r="C93" s="6" t="s">
        <v>12</v>
      </c>
      <c r="D93" s="7" t="s">
        <v>18</v>
      </c>
      <c r="E93" s="8" t="s">
        <v>371</v>
      </c>
      <c r="F93" s="6" t="s">
        <v>372</v>
      </c>
      <c r="G93" s="9">
        <f>IF(A93=1,"_",IF(C93="_","???",C93))</f>
        <v/>
      </c>
      <c r="H93" s="10" t="s">
        <v>12</v>
      </c>
      <c r="I93" s="11" t="s">
        <v>12</v>
      </c>
      <c r="J93" s="12"/>
    </row>
    <row r="94" spans="1:10" ht="60" customHeight="1">
      <c r="A94" s="6" t="s">
        <v>373</v>
      </c>
      <c r="B94" s="6" t="s">
        <v>11</v>
      </c>
      <c r="C94" s="6" t="s">
        <v>12</v>
      </c>
      <c r="D94" s="7" t="s">
        <v>158</v>
      </c>
      <c r="E94" s="8" t="s">
        <v>374</v>
      </c>
      <c r="F94" s="6" t="s">
        <v>375</v>
      </c>
      <c r="G94" s="9">
        <f>IF(A94=1,"_",IF(C94="_","???",C94))</f>
        <v/>
      </c>
      <c r="H94" s="10" t="s">
        <v>12</v>
      </c>
      <c r="I94" s="11" t="s">
        <v>12</v>
      </c>
      <c r="J94" s="12"/>
    </row>
    <row r="95" spans="1:10" ht="60" customHeight="1">
      <c r="A95" s="6" t="s">
        <v>376</v>
      </c>
      <c r="B95" s="6" t="s">
        <v>16</v>
      </c>
      <c r="C95" s="6" t="s">
        <v>150</v>
      </c>
      <c r="D95" s="7" t="s">
        <v>377</v>
      </c>
      <c r="E95" s="8" t="s">
        <v>378</v>
      </c>
      <c r="F95" s="6" t="s">
        <v>379</v>
      </c>
      <c r="G95" s="9">
        <f>IF(A95=1,"_",IF(C95="_","???",C95))</f>
        <v/>
      </c>
      <c r="H95" s="10" t="s">
        <v>12</v>
      </c>
      <c r="I95" s="11" t="s">
        <v>12</v>
      </c>
      <c r="J95" s="12"/>
    </row>
    <row r="96" spans="1:10" ht="60" customHeight="1">
      <c r="A96" s="6" t="s">
        <v>380</v>
      </c>
      <c r="B96" s="6" t="s">
        <v>30</v>
      </c>
      <c r="C96" s="6" t="s">
        <v>381</v>
      </c>
      <c r="D96" s="7" t="s">
        <v>32</v>
      </c>
      <c r="E96" s="8" t="s">
        <v>382</v>
      </c>
      <c r="F96" s="6" t="s">
        <v>383</v>
      </c>
      <c r="G96" s="9">
        <f>IF(A96=1,"_",IF(C96="_","???",C96))</f>
        <v/>
      </c>
      <c r="H96" s="10" t="s">
        <v>12</v>
      </c>
      <c r="I96" s="11" t="s">
        <v>12</v>
      </c>
      <c r="J96" s="12"/>
    </row>
    <row r="97" spans="1:10" ht="60" customHeight="1">
      <c r="A97" s="6" t="s">
        <v>384</v>
      </c>
      <c r="B97" s="6" t="s">
        <v>11</v>
      </c>
      <c r="C97" s="6" t="s">
        <v>385</v>
      </c>
      <c r="D97" s="7" t="s">
        <v>386</v>
      </c>
      <c r="E97" s="8" t="s">
        <v>387</v>
      </c>
      <c r="F97" s="6" t="s">
        <v>388</v>
      </c>
      <c r="G97" s="9">
        <f>IF(A97=1,"_",IF(C97="_","???",C97))</f>
        <v/>
      </c>
      <c r="H97" s="10" t="s">
        <v>12</v>
      </c>
      <c r="I97" s="11" t="s">
        <v>12</v>
      </c>
      <c r="J97" s="12"/>
    </row>
    <row r="98" spans="1:10" ht="60" customHeight="1">
      <c r="A98" s="6" t="s">
        <v>389</v>
      </c>
      <c r="B98" s="6" t="s">
        <v>57</v>
      </c>
      <c r="C98" s="6" t="s">
        <v>12</v>
      </c>
      <c r="D98" s="7" t="s">
        <v>390</v>
      </c>
      <c r="E98" s="8" t="s">
        <v>391</v>
      </c>
      <c r="F98" s="6" t="s">
        <v>392</v>
      </c>
      <c r="G98" s="9">
        <f>IF(A98=1,"_",IF(C98="_","???",C98))</f>
        <v/>
      </c>
      <c r="H98" s="10" t="s">
        <v>12</v>
      </c>
      <c r="I98" s="11" t="s">
        <v>12</v>
      </c>
      <c r="J98" s="12"/>
    </row>
    <row r="99" spans="1:10" ht="60" customHeight="1">
      <c r="A99" s="6" t="s">
        <v>393</v>
      </c>
      <c r="B99" s="6" t="s">
        <v>72</v>
      </c>
      <c r="C99" s="6" t="s">
        <v>169</v>
      </c>
      <c r="D99" s="7" t="s">
        <v>32</v>
      </c>
      <c r="E99" s="8" t="s">
        <v>394</v>
      </c>
      <c r="F99" s="6" t="s">
        <v>395</v>
      </c>
      <c r="G99" s="9">
        <f>IF(A99=1,"_",IF(C99="_","???",C99))</f>
        <v/>
      </c>
      <c r="H99" s="10" t="s">
        <v>12</v>
      </c>
      <c r="I99" s="11" t="s">
        <v>12</v>
      </c>
      <c r="J99" s="12"/>
    </row>
    <row r="100" spans="1:10" ht="60" customHeight="1">
      <c r="A100" s="6" t="s">
        <v>396</v>
      </c>
      <c r="B100" s="6" t="s">
        <v>30</v>
      </c>
      <c r="C100" s="6" t="s">
        <v>397</v>
      </c>
      <c r="D100" s="7" t="s">
        <v>158</v>
      </c>
      <c r="E100" s="8" t="s">
        <v>398</v>
      </c>
      <c r="F100" s="6" t="s">
        <v>399</v>
      </c>
      <c r="G100" s="9">
        <f>IF(A100=1,"_",IF(C100="_","???",C100))</f>
        <v/>
      </c>
      <c r="H100" s="10" t="s">
        <v>12</v>
      </c>
      <c r="I100" s="11" t="s">
        <v>12</v>
      </c>
      <c r="J100" s="12"/>
    </row>
    <row r="101" spans="1:10" ht="60" customHeight="1">
      <c r="A101" s="6" t="s">
        <v>400</v>
      </c>
      <c r="B101" s="6" t="s">
        <v>72</v>
      </c>
      <c r="C101" s="6" t="s">
        <v>169</v>
      </c>
      <c r="D101" s="7" t="s">
        <v>401</v>
      </c>
      <c r="E101" s="8" t="s">
        <v>402</v>
      </c>
      <c r="F101" s="6" t="s">
        <v>403</v>
      </c>
      <c r="G101" s="9">
        <f>IF(A101=1,"_",IF(C101="_","???",C101))</f>
        <v/>
      </c>
      <c r="H101" s="10" t="s">
        <v>12</v>
      </c>
      <c r="I101" s="11" t="s">
        <v>12</v>
      </c>
      <c r="J101" s="12"/>
    </row>
    <row r="102" spans="1:10" ht="60" customHeight="1">
      <c r="A102" s="6" t="s">
        <v>404</v>
      </c>
      <c r="B102" s="6" t="s">
        <v>16</v>
      </c>
      <c r="C102" s="6" t="s">
        <v>12</v>
      </c>
      <c r="D102" s="7" t="s">
        <v>32</v>
      </c>
      <c r="E102" s="8" t="s">
        <v>405</v>
      </c>
      <c r="F102" s="6" t="s">
        <v>406</v>
      </c>
      <c r="G102" s="9">
        <f>IF(A102=1,"_",IF(C102="_","???",C102))</f>
        <v/>
      </c>
      <c r="H102" s="10" t="s">
        <v>12</v>
      </c>
      <c r="I102" s="11" t="s">
        <v>12</v>
      </c>
      <c r="J102" s="12"/>
    </row>
    <row r="103" spans="1:10" ht="60" customHeight="1">
      <c r="A103" s="6" t="s">
        <v>407</v>
      </c>
      <c r="B103" s="6" t="s">
        <v>26</v>
      </c>
      <c r="C103" s="6" t="s">
        <v>114</v>
      </c>
      <c r="D103" s="7" t="s">
        <v>408</v>
      </c>
      <c r="E103" s="8" t="s">
        <v>409</v>
      </c>
      <c r="F103" s="6" t="s">
        <v>410</v>
      </c>
      <c r="G103" s="9">
        <f>IF(A103=1,"_",IF(C103="_","???",C103))</f>
        <v/>
      </c>
      <c r="H103" s="10" t="s">
        <v>12</v>
      </c>
      <c r="I103" s="11" t="s">
        <v>12</v>
      </c>
      <c r="J103" s="12"/>
    </row>
    <row r="104" spans="1:10" ht="60" customHeight="1">
      <c r="A104" s="6" t="s">
        <v>411</v>
      </c>
      <c r="B104" s="6" t="s">
        <v>53</v>
      </c>
      <c r="C104" s="6" t="s">
        <v>12</v>
      </c>
      <c r="D104" s="7" t="s">
        <v>412</v>
      </c>
      <c r="E104" s="8" t="s">
        <v>413</v>
      </c>
      <c r="F104" s="6" t="s">
        <v>414</v>
      </c>
      <c r="G104" s="9">
        <f>IF(A104=1,"_",IF(C104="_","???",C104))</f>
        <v/>
      </c>
      <c r="H104" s="10" t="s">
        <v>12</v>
      </c>
      <c r="I104" s="11" t="s">
        <v>12</v>
      </c>
      <c r="J104" s="12"/>
    </row>
    <row r="105" spans="1:10" ht="60" customHeight="1">
      <c r="A105" s="6" t="s">
        <v>415</v>
      </c>
      <c r="B105" s="6" t="s">
        <v>41</v>
      </c>
      <c r="C105" s="6" t="s">
        <v>264</v>
      </c>
      <c r="D105" s="7" t="s">
        <v>158</v>
      </c>
      <c r="E105" s="8" t="s">
        <v>416</v>
      </c>
      <c r="F105" s="6" t="s">
        <v>417</v>
      </c>
      <c r="G105" s="9">
        <f>IF(A105=1,"_",IF(C105="_","???",C105))</f>
        <v/>
      </c>
      <c r="H105" s="10" t="s">
        <v>12</v>
      </c>
      <c r="I105" s="11" t="s">
        <v>12</v>
      </c>
      <c r="J105" s="12"/>
    </row>
    <row r="106" spans="1:10" ht="60" customHeight="1">
      <c r="A106" s="6" t="s">
        <v>418</v>
      </c>
      <c r="B106" s="6" t="s">
        <v>86</v>
      </c>
      <c r="C106" s="6" t="s">
        <v>419</v>
      </c>
      <c r="D106" s="7" t="s">
        <v>386</v>
      </c>
      <c r="E106" s="8" t="s">
        <v>420</v>
      </c>
      <c r="F106" s="6" t="s">
        <v>421</v>
      </c>
      <c r="G106" s="9">
        <f>IF(A106=1,"_",IF(C106="_","???",C106))</f>
        <v/>
      </c>
      <c r="H106" s="10" t="s">
        <v>12</v>
      </c>
      <c r="I106" s="11" t="s">
        <v>12</v>
      </c>
      <c r="J106" s="12"/>
    </row>
    <row r="107" spans="1:10" ht="60" customHeight="1">
      <c r="A107" s="6" t="s">
        <v>422</v>
      </c>
      <c r="B107" s="6" t="s">
        <v>16</v>
      </c>
      <c r="C107" s="6" t="s">
        <v>12</v>
      </c>
      <c r="D107" s="7" t="s">
        <v>423</v>
      </c>
      <c r="E107" s="8" t="s">
        <v>424</v>
      </c>
      <c r="F107" s="6" t="s">
        <v>425</v>
      </c>
      <c r="G107" s="9">
        <f>IF(A107=1,"_",IF(C107="_","???",C107))</f>
        <v/>
      </c>
      <c r="H107" s="10" t="s">
        <v>12</v>
      </c>
      <c r="I107" s="11" t="s">
        <v>12</v>
      </c>
      <c r="J107" s="12"/>
    </row>
    <row r="108" spans="1:10" ht="60" customHeight="1">
      <c r="A108" s="6" t="s">
        <v>426</v>
      </c>
      <c r="B108" s="6" t="s">
        <v>16</v>
      </c>
      <c r="C108" s="6" t="s">
        <v>103</v>
      </c>
      <c r="D108" s="7" t="s">
        <v>427</v>
      </c>
      <c r="E108" s="8" t="s">
        <v>428</v>
      </c>
      <c r="F108" s="6" t="s">
        <v>429</v>
      </c>
      <c r="G108" s="9">
        <f>IF(A108=1,"_",IF(C108="_","???",C108))</f>
        <v/>
      </c>
      <c r="H108" s="10" t="s">
        <v>12</v>
      </c>
      <c r="I108" s="11" t="s">
        <v>12</v>
      </c>
      <c r="J108" s="12"/>
    </row>
    <row r="109" spans="1:10" ht="60" customHeight="1">
      <c r="A109" s="6" t="s">
        <v>430</v>
      </c>
      <c r="B109" s="6" t="s">
        <v>26</v>
      </c>
      <c r="C109" s="6" t="s">
        <v>431</v>
      </c>
      <c r="D109" s="7" t="s">
        <v>432</v>
      </c>
      <c r="E109" s="8" t="s">
        <v>433</v>
      </c>
      <c r="F109" s="6" t="s">
        <v>434</v>
      </c>
      <c r="G109" s="9">
        <f>IF(A109=1,"_",IF(C109="_","???",C109))</f>
        <v/>
      </c>
      <c r="H109" s="10" t="s">
        <v>12</v>
      </c>
      <c r="I109" s="11" t="s">
        <v>12</v>
      </c>
      <c r="J109" s="12"/>
    </row>
    <row r="110" spans="1:10" ht="60" customHeight="1">
      <c r="A110" s="6" t="s">
        <v>435</v>
      </c>
      <c r="B110" s="6" t="s">
        <v>26</v>
      </c>
      <c r="C110" s="6" t="s">
        <v>12</v>
      </c>
      <c r="D110" s="7" t="s">
        <v>436</v>
      </c>
      <c r="E110" s="8" t="s">
        <v>437</v>
      </c>
      <c r="F110" s="6" t="s">
        <v>438</v>
      </c>
      <c r="G110" s="9">
        <f>IF(A110=1,"_",IF(C110="_","???",C110))</f>
        <v/>
      </c>
      <c r="H110" s="10" t="s">
        <v>12</v>
      </c>
      <c r="I110" s="11" t="s">
        <v>12</v>
      </c>
      <c r="J110" s="12"/>
    </row>
    <row r="111" spans="1:10" ht="60" customHeight="1">
      <c r="A111" s="6" t="s">
        <v>439</v>
      </c>
      <c r="B111" s="6" t="s">
        <v>57</v>
      </c>
      <c r="C111" s="6" t="s">
        <v>114</v>
      </c>
      <c r="D111" s="7" t="s">
        <v>83</v>
      </c>
      <c r="E111" s="8" t="s">
        <v>440</v>
      </c>
      <c r="F111" s="6" t="s">
        <v>441</v>
      </c>
      <c r="G111" s="9">
        <f>IF(A111=1,"_",IF(C111="_","???",C111))</f>
        <v/>
      </c>
      <c r="H111" s="10" t="s">
        <v>12</v>
      </c>
      <c r="I111" s="11" t="s">
        <v>12</v>
      </c>
      <c r="J111" s="12"/>
    </row>
    <row r="112" spans="1:10" ht="60" customHeight="1">
      <c r="A112" s="6" t="s">
        <v>442</v>
      </c>
      <c r="B112" s="6" t="s">
        <v>11</v>
      </c>
      <c r="C112" s="6" t="s">
        <v>12</v>
      </c>
      <c r="D112" s="7" t="s">
        <v>32</v>
      </c>
      <c r="E112" s="8" t="s">
        <v>443</v>
      </c>
      <c r="F112" s="6" t="s">
        <v>444</v>
      </c>
      <c r="G112" s="9">
        <f>IF(A112=1,"_",IF(C112="_","???",C112))</f>
        <v/>
      </c>
      <c r="H112" s="10" t="s">
        <v>12</v>
      </c>
      <c r="I112" s="11" t="s">
        <v>12</v>
      </c>
      <c r="J112" s="12"/>
    </row>
    <row r="113" spans="1:10" ht="60" customHeight="1">
      <c r="A113" s="6" t="s">
        <v>445</v>
      </c>
      <c r="B113" s="6" t="s">
        <v>11</v>
      </c>
      <c r="C113" s="6" t="s">
        <v>12</v>
      </c>
      <c r="D113" s="7" t="s">
        <v>32</v>
      </c>
      <c r="E113" s="8" t="s">
        <v>446</v>
      </c>
      <c r="F113" s="6" t="s">
        <v>447</v>
      </c>
      <c r="G113" s="9">
        <f>IF(A113=1,"_",IF(C113="_","???",C113))</f>
        <v/>
      </c>
      <c r="H113" s="10" t="s">
        <v>12</v>
      </c>
      <c r="I113" s="11" t="s">
        <v>12</v>
      </c>
      <c r="J113" s="12"/>
    </row>
    <row r="114" spans="1:10" ht="60" customHeight="1">
      <c r="A114" s="6" t="s">
        <v>448</v>
      </c>
      <c r="B114" s="6" t="s">
        <v>26</v>
      </c>
      <c r="C114" s="6" t="s">
        <v>449</v>
      </c>
      <c r="D114" s="7" t="s">
        <v>338</v>
      </c>
      <c r="E114" s="8" t="s">
        <v>450</v>
      </c>
      <c r="F114" s="6" t="s">
        <v>451</v>
      </c>
      <c r="G114" s="9">
        <f>IF(A114=1,"_",IF(C114="_","???",C114))</f>
        <v/>
      </c>
      <c r="H114" s="10" t="s">
        <v>12</v>
      </c>
      <c r="I114" s="11" t="s">
        <v>12</v>
      </c>
      <c r="J114" s="12"/>
    </row>
    <row r="115" spans="1:10" ht="60" customHeight="1">
      <c r="A115" s="6" t="s">
        <v>452</v>
      </c>
      <c r="B115" s="6" t="s">
        <v>21</v>
      </c>
      <c r="C115" s="6" t="s">
        <v>453</v>
      </c>
      <c r="D115" s="7" t="s">
        <v>32</v>
      </c>
      <c r="E115" s="8" t="s">
        <v>454</v>
      </c>
      <c r="F115" s="6" t="s">
        <v>455</v>
      </c>
      <c r="G115" s="9">
        <f>IF(A115=1,"_",IF(C115="_","???",C115))</f>
        <v/>
      </c>
      <c r="H115" s="10" t="s">
        <v>12</v>
      </c>
      <c r="I115" s="11" t="s">
        <v>12</v>
      </c>
      <c r="J115" s="12"/>
    </row>
    <row r="116" spans="1:10" ht="60" customHeight="1">
      <c r="A116" s="6" t="s">
        <v>456</v>
      </c>
      <c r="B116" s="6" t="s">
        <v>247</v>
      </c>
      <c r="C116" s="6" t="s">
        <v>150</v>
      </c>
      <c r="D116" s="7" t="s">
        <v>110</v>
      </c>
      <c r="E116" s="8" t="s">
        <v>457</v>
      </c>
      <c r="F116" s="6" t="s">
        <v>458</v>
      </c>
      <c r="G116" s="9">
        <f>IF(A116=1,"_",IF(C116="_","???",C116))</f>
        <v/>
      </c>
      <c r="H116" s="10" t="s">
        <v>12</v>
      </c>
      <c r="I116" s="11" t="s">
        <v>12</v>
      </c>
      <c r="J116" s="12"/>
    </row>
    <row r="117" spans="1:10" ht="60" customHeight="1">
      <c r="A117" s="6" t="s">
        <v>459</v>
      </c>
      <c r="B117" s="6" t="s">
        <v>21</v>
      </c>
      <c r="C117" s="6" t="s">
        <v>59</v>
      </c>
      <c r="D117" s="7" t="s">
        <v>32</v>
      </c>
      <c r="E117" s="8" t="s">
        <v>460</v>
      </c>
      <c r="F117" s="6" t="s">
        <v>461</v>
      </c>
      <c r="G117" s="9">
        <f>IF(A117=1,"_",IF(C117="_","???",C117))</f>
        <v/>
      </c>
      <c r="H117" s="10" t="s">
        <v>12</v>
      </c>
      <c r="I117" s="11" t="s">
        <v>12</v>
      </c>
      <c r="J117" s="12"/>
    </row>
    <row r="118" spans="1:10" ht="60" customHeight="1">
      <c r="A118" s="6" t="s">
        <v>462</v>
      </c>
      <c r="B118" s="6" t="s">
        <v>16</v>
      </c>
      <c r="C118" s="6" t="s">
        <v>174</v>
      </c>
      <c r="D118" s="7" t="s">
        <v>463</v>
      </c>
      <c r="E118" s="8" t="s">
        <v>464</v>
      </c>
      <c r="F118" s="6" t="s">
        <v>465</v>
      </c>
      <c r="G118" s="9">
        <f>IF(A118=1,"_",IF(C118="_","???",C118))</f>
        <v/>
      </c>
      <c r="H118" s="10" t="s">
        <v>12</v>
      </c>
      <c r="I118" s="11" t="s">
        <v>12</v>
      </c>
      <c r="J118" s="12"/>
    </row>
    <row r="119" spans="1:10" ht="60" customHeight="1">
      <c r="A119" s="6" t="s">
        <v>466</v>
      </c>
      <c r="B119" s="6" t="s">
        <v>11</v>
      </c>
      <c r="C119" s="6" t="s">
        <v>12</v>
      </c>
      <c r="D119" s="7" t="s">
        <v>467</v>
      </c>
      <c r="E119" s="8" t="s">
        <v>468</v>
      </c>
      <c r="F119" s="6" t="s">
        <v>469</v>
      </c>
      <c r="G119" s="9">
        <f>IF(A119=1,"_",IF(C119="_","???",C119))</f>
        <v/>
      </c>
      <c r="H119" s="10" t="s">
        <v>12</v>
      </c>
      <c r="I119" s="11" t="s">
        <v>12</v>
      </c>
      <c r="J119" s="12"/>
    </row>
    <row r="120" spans="1:10" ht="60" customHeight="1">
      <c r="A120" s="6" t="s">
        <v>470</v>
      </c>
      <c r="B120" s="6" t="s">
        <v>68</v>
      </c>
      <c r="C120" s="6" t="s">
        <v>99</v>
      </c>
      <c r="D120" s="7" t="s">
        <v>32</v>
      </c>
      <c r="E120" s="8" t="s">
        <v>471</v>
      </c>
      <c r="F120" s="6" t="s">
        <v>472</v>
      </c>
      <c r="G120" s="9">
        <f>IF(A120=1,"_",IF(C120="_","???",C120))</f>
        <v/>
      </c>
      <c r="H120" s="10" t="s">
        <v>12</v>
      </c>
      <c r="I120" s="11" t="s">
        <v>12</v>
      </c>
      <c r="J120" s="12"/>
    </row>
    <row r="121" spans="1:10" ht="60" customHeight="1">
      <c r="A121" s="6" t="s">
        <v>473</v>
      </c>
      <c r="B121" s="6" t="s">
        <v>16</v>
      </c>
      <c r="C121" s="6" t="s">
        <v>12</v>
      </c>
      <c r="D121" s="7" t="s">
        <v>474</v>
      </c>
      <c r="E121" s="8" t="s">
        <v>475</v>
      </c>
      <c r="F121" s="6" t="s">
        <v>476</v>
      </c>
      <c r="G121" s="9">
        <f>IF(A121=1,"_",IF(C121="_","???",C121))</f>
        <v/>
      </c>
      <c r="H121" s="10" t="s">
        <v>12</v>
      </c>
      <c r="I121" s="11" t="s">
        <v>12</v>
      </c>
      <c r="J121" s="12"/>
    </row>
    <row r="122" spans="1:10" ht="60" customHeight="1">
      <c r="A122" s="6" t="s">
        <v>477</v>
      </c>
      <c r="B122" s="6" t="s">
        <v>10</v>
      </c>
      <c r="C122" s="6" t="s">
        <v>12</v>
      </c>
      <c r="D122" s="7" t="s">
        <v>110</v>
      </c>
      <c r="E122" s="8" t="s">
        <v>478</v>
      </c>
      <c r="F122" s="6" t="s">
        <v>479</v>
      </c>
      <c r="G122" s="9">
        <f>IF(A122=1,"_",IF(C122="_","???",C122))</f>
        <v/>
      </c>
      <c r="H122" s="10" t="s">
        <v>12</v>
      </c>
      <c r="I122" s="11" t="s">
        <v>12</v>
      </c>
      <c r="J122" s="12"/>
    </row>
    <row r="123" spans="1:10" ht="60" customHeight="1">
      <c r="A123" s="6" t="s">
        <v>480</v>
      </c>
      <c r="B123" s="6" t="s">
        <v>11</v>
      </c>
      <c r="C123" s="6" t="s">
        <v>49</v>
      </c>
      <c r="D123" s="7" t="s">
        <v>481</v>
      </c>
      <c r="E123" s="8" t="s">
        <v>482</v>
      </c>
      <c r="F123" s="6" t="s">
        <v>483</v>
      </c>
      <c r="G123" s="9">
        <f>IF(A123=1,"_",IF(C123="_","???",C123))</f>
        <v/>
      </c>
      <c r="H123" s="10" t="s">
        <v>12</v>
      </c>
      <c r="I123" s="11" t="s">
        <v>12</v>
      </c>
      <c r="J123" s="12"/>
    </row>
    <row r="124" spans="1:10" ht="60" customHeight="1">
      <c r="A124" s="6" t="s">
        <v>484</v>
      </c>
      <c r="B124" s="6" t="s">
        <v>35</v>
      </c>
      <c r="C124" s="6" t="s">
        <v>49</v>
      </c>
      <c r="D124" s="7" t="s">
        <v>170</v>
      </c>
      <c r="E124" s="8" t="s">
        <v>485</v>
      </c>
      <c r="F124" s="6" t="s">
        <v>486</v>
      </c>
      <c r="G124" s="9">
        <f>IF(A124=1,"_",IF(C124="_","???",C124))</f>
        <v/>
      </c>
      <c r="H124" s="10" t="s">
        <v>12</v>
      </c>
      <c r="I124" s="11" t="s">
        <v>12</v>
      </c>
      <c r="J124" s="12"/>
    </row>
    <row r="125" spans="1:10" ht="60" customHeight="1">
      <c r="A125" s="6" t="s">
        <v>487</v>
      </c>
      <c r="B125" s="6" t="s">
        <v>45</v>
      </c>
      <c r="C125" s="6" t="s">
        <v>12</v>
      </c>
      <c r="D125" s="7" t="s">
        <v>32</v>
      </c>
      <c r="E125" s="8" t="s">
        <v>488</v>
      </c>
      <c r="F125" s="6" t="s">
        <v>489</v>
      </c>
      <c r="G125" s="9">
        <f>IF(A125=1,"_",IF(C125="_","???",C125))</f>
        <v/>
      </c>
      <c r="H125" s="10" t="s">
        <v>12</v>
      </c>
      <c r="I125" s="11" t="s">
        <v>12</v>
      </c>
      <c r="J125" s="12"/>
    </row>
    <row r="126" spans="1:10" ht="60" customHeight="1">
      <c r="A126" s="6" t="s">
        <v>490</v>
      </c>
      <c r="B126" s="6" t="s">
        <v>45</v>
      </c>
      <c r="C126" s="6" t="s">
        <v>49</v>
      </c>
      <c r="D126" s="7" t="s">
        <v>491</v>
      </c>
      <c r="E126" s="8" t="s">
        <v>492</v>
      </c>
      <c r="F126" s="6" t="s">
        <v>493</v>
      </c>
      <c r="G126" s="9">
        <f>IF(A126=1,"_",IF(C126="_","???",C126))</f>
        <v/>
      </c>
      <c r="H126" s="10" t="s">
        <v>12</v>
      </c>
      <c r="I126" s="11" t="s">
        <v>12</v>
      </c>
      <c r="J126" s="12"/>
    </row>
    <row r="127" spans="1:10" ht="60" customHeight="1">
      <c r="A127" s="6" t="s">
        <v>494</v>
      </c>
      <c r="B127" s="6" t="s">
        <v>11</v>
      </c>
      <c r="C127" s="6" t="s">
        <v>12</v>
      </c>
      <c r="D127" s="7" t="s">
        <v>495</v>
      </c>
      <c r="E127" s="8" t="s">
        <v>496</v>
      </c>
      <c r="F127" s="6" t="s">
        <v>497</v>
      </c>
      <c r="G127" s="9">
        <f>IF(A127=1,"_",IF(C127="_","???",C127))</f>
        <v/>
      </c>
      <c r="H127" s="10" t="s">
        <v>12</v>
      </c>
      <c r="I127" s="11" t="s">
        <v>12</v>
      </c>
      <c r="J127" s="12"/>
    </row>
    <row r="128" spans="1:10" ht="60" customHeight="1">
      <c r="A128" s="6" t="s">
        <v>498</v>
      </c>
      <c r="B128" s="6" t="s">
        <v>77</v>
      </c>
      <c r="C128" s="6" t="s">
        <v>499</v>
      </c>
      <c r="D128" s="7" t="s">
        <v>500</v>
      </c>
      <c r="E128" s="8" t="s">
        <v>501</v>
      </c>
      <c r="F128" s="6" t="s">
        <v>502</v>
      </c>
      <c r="G128" s="9">
        <f>IF(A128=1,"_",IF(C128="_","???",C128))</f>
        <v/>
      </c>
      <c r="H128" s="10" t="s">
        <v>12</v>
      </c>
      <c r="I128" s="11" t="s">
        <v>12</v>
      </c>
      <c r="J128" s="12"/>
    </row>
    <row r="129" spans="1:10" ht="60" customHeight="1">
      <c r="A129" s="6" t="s">
        <v>503</v>
      </c>
      <c r="B129" s="6" t="s">
        <v>16</v>
      </c>
      <c r="C129" s="6" t="s">
        <v>12</v>
      </c>
      <c r="D129" s="7" t="s">
        <v>504</v>
      </c>
      <c r="E129" s="8" t="s">
        <v>505</v>
      </c>
      <c r="F129" s="6" t="s">
        <v>506</v>
      </c>
      <c r="G129" s="9">
        <f>IF(A129=1,"_",IF(C129="_","???",C129))</f>
        <v/>
      </c>
      <c r="H129" s="10" t="s">
        <v>12</v>
      </c>
      <c r="I129" s="11" t="s">
        <v>12</v>
      </c>
      <c r="J129" s="12"/>
    </row>
    <row r="130" spans="1:10" ht="60" customHeight="1">
      <c r="A130" s="6" t="s">
        <v>507</v>
      </c>
      <c r="B130" s="6" t="s">
        <v>16</v>
      </c>
      <c r="C130" s="6" t="s">
        <v>17</v>
      </c>
      <c r="D130" s="7" t="s">
        <v>508</v>
      </c>
      <c r="E130" s="8" t="s">
        <v>509</v>
      </c>
      <c r="F130" s="6" t="s">
        <v>510</v>
      </c>
      <c r="G130" s="9">
        <f>IF(A130=1,"_",IF(C130="_","???",C130))</f>
        <v/>
      </c>
      <c r="H130" s="10" t="s">
        <v>12</v>
      </c>
      <c r="I130" s="11" t="s">
        <v>12</v>
      </c>
      <c r="J130" s="12"/>
    </row>
    <row r="131" spans="1:10" ht="60" customHeight="1">
      <c r="A131" s="6" t="s">
        <v>511</v>
      </c>
      <c r="B131" s="6" t="s">
        <v>48</v>
      </c>
      <c r="C131" s="6" t="s">
        <v>59</v>
      </c>
      <c r="D131" s="7" t="s">
        <v>512</v>
      </c>
      <c r="E131" s="8" t="s">
        <v>513</v>
      </c>
      <c r="F131" s="6" t="s">
        <v>514</v>
      </c>
      <c r="G131" s="9">
        <f>IF(A131=1,"_",IF(C131="_","???",C131))</f>
        <v/>
      </c>
      <c r="H131" s="10" t="s">
        <v>12</v>
      </c>
      <c r="I131" s="11" t="s">
        <v>12</v>
      </c>
      <c r="J131" s="12"/>
    </row>
    <row r="132" spans="1:10" ht="60" customHeight="1">
      <c r="A132" s="6" t="s">
        <v>515</v>
      </c>
      <c r="B132" s="6" t="s">
        <v>11</v>
      </c>
      <c r="C132" s="6" t="s">
        <v>12</v>
      </c>
      <c r="D132" s="7" t="s">
        <v>516</v>
      </c>
      <c r="E132" s="8" t="s">
        <v>517</v>
      </c>
      <c r="F132" s="6" t="s">
        <v>518</v>
      </c>
      <c r="G132" s="9">
        <f>IF(A132=1,"_",IF(C132="_","???",C132))</f>
        <v/>
      </c>
      <c r="H132" s="10" t="s">
        <v>12</v>
      </c>
      <c r="I132" s="11" t="s">
        <v>12</v>
      </c>
      <c r="J132" s="12"/>
    </row>
    <row r="133" spans="1:10" ht="60" customHeight="1">
      <c r="A133" s="6" t="s">
        <v>519</v>
      </c>
      <c r="B133" s="6" t="s">
        <v>35</v>
      </c>
      <c r="C133" s="6" t="s">
        <v>520</v>
      </c>
      <c r="D133" s="7" t="s">
        <v>521</v>
      </c>
      <c r="E133" s="8" t="s">
        <v>522</v>
      </c>
      <c r="F133" s="6" t="s">
        <v>523</v>
      </c>
      <c r="G133" s="9">
        <f>IF(A133=1,"_",IF(C133="_","???",C133))</f>
        <v/>
      </c>
      <c r="H133" s="10" t="s">
        <v>12</v>
      </c>
      <c r="I133" s="11" t="s">
        <v>12</v>
      </c>
      <c r="J133" s="12"/>
    </row>
    <row r="134" spans="1:10" ht="60" customHeight="1">
      <c r="A134" s="6" t="s">
        <v>524</v>
      </c>
      <c r="B134" s="6" t="s">
        <v>30</v>
      </c>
      <c r="C134" s="6" t="s">
        <v>42</v>
      </c>
      <c r="D134" s="7" t="s">
        <v>525</v>
      </c>
      <c r="E134" s="8" t="s">
        <v>526</v>
      </c>
      <c r="F134" s="6" t="s">
        <v>527</v>
      </c>
      <c r="G134" s="9">
        <f>IF(A134=1,"_",IF(C134="_","???",C134))</f>
        <v/>
      </c>
      <c r="H134" s="10" t="s">
        <v>12</v>
      </c>
      <c r="I134" s="11" t="s">
        <v>12</v>
      </c>
      <c r="J134" s="12"/>
    </row>
    <row r="135" spans="1:10" ht="60" customHeight="1">
      <c r="A135" s="6" t="s">
        <v>528</v>
      </c>
      <c r="B135" s="6" t="s">
        <v>11</v>
      </c>
      <c r="C135" s="6" t="s">
        <v>12</v>
      </c>
      <c r="D135" s="7" t="s">
        <v>529</v>
      </c>
      <c r="E135" s="8" t="s">
        <v>530</v>
      </c>
      <c r="F135" s="6" t="s">
        <v>531</v>
      </c>
      <c r="G135" s="9">
        <f>IF(A135=1,"_",IF(C135="_","???",C135))</f>
        <v/>
      </c>
      <c r="H135" s="10" t="s">
        <v>12</v>
      </c>
      <c r="I135" s="11" t="s">
        <v>12</v>
      </c>
      <c r="J135" s="12"/>
    </row>
    <row r="136" spans="1:10" ht="60" customHeight="1">
      <c r="A136" s="6" t="s">
        <v>532</v>
      </c>
      <c r="B136" s="6" t="s">
        <v>57</v>
      </c>
      <c r="C136" s="6" t="s">
        <v>59</v>
      </c>
      <c r="D136" s="7" t="s">
        <v>533</v>
      </c>
      <c r="E136" s="8" t="s">
        <v>534</v>
      </c>
      <c r="F136" s="6" t="s">
        <v>535</v>
      </c>
      <c r="G136" s="9">
        <f>IF(A136=1,"_",IF(C136="_","???",C136))</f>
        <v/>
      </c>
      <c r="H136" s="10" t="s">
        <v>12</v>
      </c>
      <c r="I136" s="11" t="s">
        <v>12</v>
      </c>
      <c r="J136" s="12"/>
    </row>
    <row r="137" spans="1:10" ht="60" customHeight="1">
      <c r="A137" s="6" t="s">
        <v>536</v>
      </c>
      <c r="B137" s="6" t="s">
        <v>72</v>
      </c>
      <c r="C137" s="6" t="s">
        <v>17</v>
      </c>
      <c r="D137" s="7" t="s">
        <v>537</v>
      </c>
      <c r="E137" s="8" t="s">
        <v>538</v>
      </c>
      <c r="F137" s="6" t="s">
        <v>539</v>
      </c>
      <c r="G137" s="9">
        <f>IF(A137=1,"_",IF(C137="_","???",C137))</f>
        <v/>
      </c>
      <c r="H137" s="10" t="s">
        <v>12</v>
      </c>
      <c r="I137" s="11" t="s">
        <v>12</v>
      </c>
      <c r="J137" s="12"/>
    </row>
    <row r="138" spans="1:10" ht="60" customHeight="1">
      <c r="A138" s="6" t="s">
        <v>540</v>
      </c>
      <c r="B138" s="6" t="s">
        <v>21</v>
      </c>
      <c r="C138" s="6" t="s">
        <v>17</v>
      </c>
      <c r="D138" s="7" t="s">
        <v>541</v>
      </c>
      <c r="E138" s="8" t="s">
        <v>542</v>
      </c>
      <c r="F138" s="6" t="s">
        <v>543</v>
      </c>
      <c r="G138" s="9">
        <f>IF(A138=1,"_",IF(C138="_","???",C138))</f>
        <v/>
      </c>
      <c r="H138" s="10" t="s">
        <v>12</v>
      </c>
      <c r="I138" s="11" t="s">
        <v>12</v>
      </c>
      <c r="J138" s="12"/>
    </row>
    <row r="139" spans="1:10" ht="60" customHeight="1">
      <c r="A139" s="6" t="s">
        <v>544</v>
      </c>
      <c r="B139" s="6" t="s">
        <v>77</v>
      </c>
      <c r="C139" s="6" t="s">
        <v>545</v>
      </c>
      <c r="D139" s="7" t="s">
        <v>546</v>
      </c>
      <c r="E139" s="8" t="s">
        <v>547</v>
      </c>
      <c r="F139" s="6" t="s">
        <v>548</v>
      </c>
      <c r="G139" s="9">
        <f>IF(A139=1,"_",IF(C139="_","???",C139))</f>
        <v/>
      </c>
      <c r="H139" s="10" t="s">
        <v>12</v>
      </c>
      <c r="I139" s="11" t="s">
        <v>12</v>
      </c>
      <c r="J139" s="12"/>
    </row>
    <row r="140" spans="1:10" ht="60" customHeight="1">
      <c r="A140" s="6" t="s">
        <v>549</v>
      </c>
      <c r="B140" s="6" t="s">
        <v>26</v>
      </c>
      <c r="C140" s="6" t="s">
        <v>12</v>
      </c>
      <c r="D140" s="7" t="s">
        <v>123</v>
      </c>
      <c r="E140" s="8" t="s">
        <v>550</v>
      </c>
      <c r="F140" s="6" t="s">
        <v>551</v>
      </c>
      <c r="G140" s="9">
        <f>IF(A140=1,"_",IF(C140="_","???",C140))</f>
        <v/>
      </c>
      <c r="H140" s="10" t="s">
        <v>12</v>
      </c>
      <c r="I140" s="11" t="s">
        <v>12</v>
      </c>
      <c r="J140" s="12"/>
    </row>
    <row r="141" spans="1:10" ht="60" customHeight="1">
      <c r="A141" s="6" t="s">
        <v>552</v>
      </c>
      <c r="B141" s="6" t="s">
        <v>11</v>
      </c>
      <c r="C141" s="6" t="s">
        <v>264</v>
      </c>
      <c r="D141" s="7" t="s">
        <v>553</v>
      </c>
      <c r="E141" s="8" t="s">
        <v>554</v>
      </c>
      <c r="F141" s="6" t="s">
        <v>555</v>
      </c>
      <c r="G141" s="9">
        <f>IF(A141=1,"_",IF(C141="_","???",C141))</f>
        <v/>
      </c>
      <c r="H141" s="10" t="s">
        <v>12</v>
      </c>
      <c r="I141" s="11" t="s">
        <v>12</v>
      </c>
      <c r="J141" s="12"/>
    </row>
    <row r="142" spans="1:10" ht="60" customHeight="1">
      <c r="A142" s="6" t="s">
        <v>556</v>
      </c>
      <c r="B142" s="6" t="s">
        <v>11</v>
      </c>
      <c r="C142" s="6" t="s">
        <v>557</v>
      </c>
      <c r="D142" s="7" t="s">
        <v>558</v>
      </c>
      <c r="E142" s="8" t="s">
        <v>559</v>
      </c>
      <c r="F142" s="6" t="s">
        <v>560</v>
      </c>
      <c r="G142" s="9">
        <f>IF(A142=1,"_",IF(C142="_","???",C142))</f>
        <v/>
      </c>
      <c r="H142" s="10" t="s">
        <v>12</v>
      </c>
      <c r="I142" s="11" t="s">
        <v>12</v>
      </c>
      <c r="J142" s="12"/>
    </row>
    <row r="143" spans="1:10" ht="60" customHeight="1">
      <c r="A143" s="6" t="s">
        <v>561</v>
      </c>
      <c r="B143" s="6" t="s">
        <v>11</v>
      </c>
      <c r="C143" s="6" t="s">
        <v>264</v>
      </c>
      <c r="D143" s="7" t="s">
        <v>18</v>
      </c>
      <c r="E143" s="8" t="s">
        <v>562</v>
      </c>
      <c r="F143" s="6" t="s">
        <v>563</v>
      </c>
      <c r="G143" s="9">
        <f>IF(A143=1,"_",IF(C143="_","???",C143))</f>
        <v/>
      </c>
      <c r="H143" s="10" t="s">
        <v>12</v>
      </c>
      <c r="I143" s="11" t="s">
        <v>12</v>
      </c>
      <c r="J143" s="12"/>
    </row>
    <row r="144" spans="1:10" ht="60" customHeight="1">
      <c r="A144" s="6" t="s">
        <v>564</v>
      </c>
      <c r="B144" s="6" t="s">
        <v>21</v>
      </c>
      <c r="C144" s="6" t="s">
        <v>264</v>
      </c>
      <c r="D144" s="7" t="s">
        <v>565</v>
      </c>
      <c r="E144" s="8" t="s">
        <v>566</v>
      </c>
      <c r="F144" s="6" t="s">
        <v>567</v>
      </c>
      <c r="G144" s="9">
        <f>IF(A144=1,"_",IF(C144="_","???",C144))</f>
        <v/>
      </c>
      <c r="H144" s="10" t="s">
        <v>12</v>
      </c>
      <c r="I144" s="11" t="s">
        <v>12</v>
      </c>
      <c r="J144" s="12"/>
    </row>
    <row r="145" spans="1:10" ht="60" customHeight="1">
      <c r="A145" s="6" t="s">
        <v>568</v>
      </c>
      <c r="B145" s="6" t="s">
        <v>11</v>
      </c>
      <c r="C145" s="6" t="s">
        <v>12</v>
      </c>
      <c r="D145" s="7" t="s">
        <v>32</v>
      </c>
      <c r="E145" s="8" t="s">
        <v>569</v>
      </c>
      <c r="F145" s="6" t="s">
        <v>570</v>
      </c>
      <c r="G145" s="9">
        <f>IF(A145=1,"_",IF(C145="_","???",C145))</f>
        <v/>
      </c>
      <c r="H145" s="10" t="s">
        <v>12</v>
      </c>
      <c r="I145" s="11" t="s">
        <v>12</v>
      </c>
      <c r="J145" s="12"/>
    </row>
    <row r="146" spans="1:10" ht="60" customHeight="1">
      <c r="A146" s="6" t="s">
        <v>571</v>
      </c>
      <c r="B146" s="6" t="s">
        <v>11</v>
      </c>
      <c r="C146" s="6" t="s">
        <v>150</v>
      </c>
      <c r="D146" s="7" t="s">
        <v>572</v>
      </c>
      <c r="E146" s="8" t="s">
        <v>573</v>
      </c>
      <c r="F146" s="6" t="s">
        <v>574</v>
      </c>
      <c r="G146" s="9">
        <f>IF(A146=1,"_",IF(C146="_","???",C146))</f>
        <v/>
      </c>
      <c r="H146" s="10" t="s">
        <v>12</v>
      </c>
      <c r="I146" s="11" t="s">
        <v>12</v>
      </c>
      <c r="J146" s="12"/>
    </row>
    <row r="147" spans="1:10" ht="60" customHeight="1">
      <c r="A147" s="6" t="s">
        <v>575</v>
      </c>
      <c r="B147" s="6" t="s">
        <v>11</v>
      </c>
      <c r="C147" s="6" t="s">
        <v>12</v>
      </c>
      <c r="D147" s="7" t="s">
        <v>322</v>
      </c>
      <c r="E147" s="8" t="s">
        <v>576</v>
      </c>
      <c r="F147" s="6" t="s">
        <v>577</v>
      </c>
      <c r="G147" s="9">
        <f>IF(A147=1,"_",IF(C147="_","???",C147))</f>
        <v/>
      </c>
      <c r="H147" s="10" t="s">
        <v>12</v>
      </c>
      <c r="I147" s="11" t="s">
        <v>12</v>
      </c>
      <c r="J147" s="12"/>
    </row>
    <row r="148" spans="1:10" ht="60" customHeight="1">
      <c r="A148" s="6" t="s">
        <v>578</v>
      </c>
      <c r="B148" s="6" t="s">
        <v>80</v>
      </c>
      <c r="C148" s="6" t="s">
        <v>17</v>
      </c>
      <c r="D148" s="7" t="s">
        <v>32</v>
      </c>
      <c r="E148" s="8" t="s">
        <v>579</v>
      </c>
      <c r="F148" s="6" t="s">
        <v>580</v>
      </c>
      <c r="G148" s="9">
        <f>IF(A148=1,"_",IF(C148="_","???",C148))</f>
        <v/>
      </c>
      <c r="H148" s="10" t="s">
        <v>12</v>
      </c>
      <c r="I148" s="11" t="s">
        <v>12</v>
      </c>
      <c r="J148" s="12"/>
    </row>
    <row r="149" spans="1:10" ht="60" customHeight="1">
      <c r="A149" s="6" t="s">
        <v>581</v>
      </c>
      <c r="B149" s="6" t="s">
        <v>30</v>
      </c>
      <c r="C149" s="6" t="s">
        <v>582</v>
      </c>
      <c r="D149" s="7" t="s">
        <v>583</v>
      </c>
      <c r="E149" s="8" t="s">
        <v>584</v>
      </c>
      <c r="F149" s="6" t="s">
        <v>585</v>
      </c>
      <c r="G149" s="9">
        <f>IF(A149=1,"_",IF(C149="_","???",C149))</f>
        <v/>
      </c>
      <c r="H149" s="10" t="s">
        <v>12</v>
      </c>
      <c r="I149" s="11" t="s">
        <v>12</v>
      </c>
      <c r="J149" s="12"/>
    </row>
    <row r="150" spans="1:10" ht="60" customHeight="1">
      <c r="A150" s="6" t="s">
        <v>586</v>
      </c>
      <c r="B150" s="6" t="s">
        <v>10</v>
      </c>
      <c r="C150" s="6" t="s">
        <v>12</v>
      </c>
      <c r="D150" s="7" t="s">
        <v>587</v>
      </c>
      <c r="E150" s="8" t="s">
        <v>588</v>
      </c>
      <c r="F150" s="6" t="s">
        <v>589</v>
      </c>
      <c r="G150" s="9">
        <f>IF(A150=1,"_",IF(C150="_","???",C150))</f>
        <v/>
      </c>
      <c r="H150" s="10" t="s">
        <v>12</v>
      </c>
      <c r="I150" s="11" t="s">
        <v>12</v>
      </c>
      <c r="J150" s="12"/>
    </row>
    <row r="151" spans="1:10" ht="60" customHeight="1">
      <c r="A151" s="6" t="s">
        <v>590</v>
      </c>
      <c r="B151" s="6" t="s">
        <v>16</v>
      </c>
      <c r="C151" s="6" t="s">
        <v>12</v>
      </c>
      <c r="D151" s="7" t="s">
        <v>83</v>
      </c>
      <c r="E151" s="8" t="s">
        <v>591</v>
      </c>
      <c r="F151" s="6" t="s">
        <v>592</v>
      </c>
      <c r="G151" s="9">
        <f>IF(A151=1,"_",IF(C151="_","???",C151))</f>
        <v/>
      </c>
      <c r="H151" s="10" t="s">
        <v>12</v>
      </c>
      <c r="I151" s="11" t="s">
        <v>12</v>
      </c>
      <c r="J151" s="12"/>
    </row>
    <row r="152" spans="1:10" ht="60" customHeight="1">
      <c r="A152" s="6" t="s">
        <v>593</v>
      </c>
      <c r="B152" s="6" t="s">
        <v>10</v>
      </c>
      <c r="C152" s="6" t="s">
        <v>397</v>
      </c>
      <c r="D152" s="7" t="s">
        <v>594</v>
      </c>
      <c r="E152" s="8" t="s">
        <v>595</v>
      </c>
      <c r="F152" s="6" t="s">
        <v>596</v>
      </c>
      <c r="G152" s="9">
        <f>IF(A152=1,"_",IF(C152="_","???",C152))</f>
        <v/>
      </c>
      <c r="H152" s="10" t="s">
        <v>12</v>
      </c>
      <c r="I152" s="11" t="s">
        <v>12</v>
      </c>
      <c r="J152" s="12"/>
    </row>
    <row r="153" spans="1:10" ht="60" customHeight="1">
      <c r="A153" s="6" t="s">
        <v>597</v>
      </c>
      <c r="B153" s="6" t="s">
        <v>35</v>
      </c>
      <c r="C153" s="6" t="s">
        <v>49</v>
      </c>
      <c r="D153" s="7" t="s">
        <v>598</v>
      </c>
      <c r="E153" s="8" t="s">
        <v>599</v>
      </c>
      <c r="F153" s="6" t="s">
        <v>600</v>
      </c>
      <c r="G153" s="9">
        <f>IF(A153=1,"_",IF(C153="_","???",C153))</f>
        <v/>
      </c>
      <c r="H153" s="10" t="s">
        <v>12</v>
      </c>
      <c r="I153" s="11" t="s">
        <v>12</v>
      </c>
      <c r="J153" s="12"/>
    </row>
    <row r="154" spans="1:10" ht="60" customHeight="1">
      <c r="A154" s="6" t="s">
        <v>601</v>
      </c>
      <c r="B154" s="6" t="s">
        <v>11</v>
      </c>
      <c r="C154" s="6" t="s">
        <v>12</v>
      </c>
      <c r="D154" s="7" t="s">
        <v>23</v>
      </c>
      <c r="E154" s="8" t="s">
        <v>602</v>
      </c>
      <c r="F154" s="6" t="s">
        <v>603</v>
      </c>
      <c r="G154" s="9">
        <f>IF(A154=1,"_",IF(C154="_","???",C154))</f>
        <v/>
      </c>
      <c r="H154" s="10" t="s">
        <v>12</v>
      </c>
      <c r="I154" s="11" t="s">
        <v>12</v>
      </c>
      <c r="J154" s="12"/>
    </row>
    <row r="155" spans="1:10" ht="60" customHeight="1">
      <c r="A155" s="6" t="s">
        <v>604</v>
      </c>
      <c r="B155" s="6" t="s">
        <v>35</v>
      </c>
      <c r="C155" s="6" t="s">
        <v>582</v>
      </c>
      <c r="D155" s="7" t="s">
        <v>605</v>
      </c>
      <c r="E155" s="8" t="s">
        <v>606</v>
      </c>
      <c r="F155" s="6" t="s">
        <v>607</v>
      </c>
      <c r="G155" s="9">
        <f>IF(A155=1,"_",IF(C155="_","???",C155))</f>
        <v/>
      </c>
      <c r="H155" s="10" t="s">
        <v>12</v>
      </c>
      <c r="I155" s="11" t="s">
        <v>12</v>
      </c>
      <c r="J155" s="12"/>
    </row>
    <row r="156" spans="1:10" ht="60" customHeight="1">
      <c r="A156" s="6" t="s">
        <v>608</v>
      </c>
      <c r="B156" s="6" t="s">
        <v>10</v>
      </c>
      <c r="C156" s="6" t="s">
        <v>12</v>
      </c>
      <c r="D156" s="7" t="s">
        <v>609</v>
      </c>
      <c r="E156" s="8" t="s">
        <v>610</v>
      </c>
      <c r="F156" s="6" t="s">
        <v>611</v>
      </c>
      <c r="G156" s="9">
        <f>IF(A156=1,"_",IF(C156="_","???",C156))</f>
        <v/>
      </c>
      <c r="H156" s="10" t="s">
        <v>12</v>
      </c>
      <c r="I156" s="11" t="s">
        <v>12</v>
      </c>
      <c r="J156" s="12"/>
    </row>
    <row r="157" spans="1:10" ht="60" customHeight="1">
      <c r="A157" s="6" t="s">
        <v>612</v>
      </c>
      <c r="B157" s="6" t="s">
        <v>81</v>
      </c>
      <c r="C157" s="6" t="s">
        <v>49</v>
      </c>
      <c r="D157" s="7" t="s">
        <v>32</v>
      </c>
      <c r="E157" s="8" t="s">
        <v>613</v>
      </c>
      <c r="F157" s="6" t="s">
        <v>614</v>
      </c>
      <c r="G157" s="9">
        <f>IF(A157=1,"_",IF(C157="_","???",C157))</f>
        <v/>
      </c>
      <c r="H157" s="10" t="s">
        <v>12</v>
      </c>
      <c r="I157" s="11" t="s">
        <v>12</v>
      </c>
      <c r="J157" s="12"/>
    </row>
    <row r="158" spans="1:10" ht="60" customHeight="1">
      <c r="A158" s="6" t="s">
        <v>615</v>
      </c>
      <c r="B158" s="6" t="s">
        <v>35</v>
      </c>
      <c r="C158" s="6" t="s">
        <v>12</v>
      </c>
      <c r="D158" s="7" t="s">
        <v>110</v>
      </c>
      <c r="E158" s="8" t="s">
        <v>616</v>
      </c>
      <c r="F158" s="6" t="s">
        <v>617</v>
      </c>
      <c r="G158" s="9">
        <f>IF(A158=1,"_",IF(C158="_","???",C158))</f>
        <v/>
      </c>
      <c r="H158" s="10" t="s">
        <v>12</v>
      </c>
      <c r="I158" s="11" t="s">
        <v>12</v>
      </c>
      <c r="J158" s="12"/>
    </row>
    <row r="159" spans="1:10" ht="60" customHeight="1">
      <c r="A159" s="6" t="s">
        <v>618</v>
      </c>
      <c r="B159" s="6" t="s">
        <v>11</v>
      </c>
      <c r="C159" s="6" t="s">
        <v>12</v>
      </c>
      <c r="D159" s="7" t="s">
        <v>23</v>
      </c>
      <c r="E159" s="8" t="s">
        <v>619</v>
      </c>
      <c r="F159" s="6" t="s">
        <v>620</v>
      </c>
      <c r="G159" s="9">
        <f>IF(A159=1,"_",IF(C159="_","???",C159))</f>
        <v/>
      </c>
      <c r="H159" s="10" t="s">
        <v>12</v>
      </c>
      <c r="I159" s="11" t="s">
        <v>12</v>
      </c>
      <c r="J159" s="12"/>
    </row>
    <row r="160" spans="1:10" ht="60" customHeight="1">
      <c r="A160" s="6" t="s">
        <v>621</v>
      </c>
      <c r="B160" s="6" t="s">
        <v>11</v>
      </c>
      <c r="C160" s="6" t="s">
        <v>49</v>
      </c>
      <c r="D160" s="7" t="s">
        <v>622</v>
      </c>
      <c r="E160" s="8" t="s">
        <v>623</v>
      </c>
      <c r="F160" s="6" t="s">
        <v>624</v>
      </c>
      <c r="G160" s="9">
        <f>IF(A160=1,"_",IF(C160="_","???",C160))</f>
        <v/>
      </c>
      <c r="H160" s="10" t="s">
        <v>12</v>
      </c>
      <c r="I160" s="11" t="s">
        <v>12</v>
      </c>
      <c r="J160" s="12"/>
    </row>
    <row r="161" spans="1:10" ht="60" customHeight="1">
      <c r="A161" s="6" t="s">
        <v>625</v>
      </c>
      <c r="B161" s="6" t="s">
        <v>26</v>
      </c>
      <c r="C161" s="6" t="s">
        <v>150</v>
      </c>
      <c r="D161" s="7" t="s">
        <v>626</v>
      </c>
      <c r="E161" s="8" t="s">
        <v>627</v>
      </c>
      <c r="F161" s="6" t="s">
        <v>628</v>
      </c>
      <c r="G161" s="9">
        <f>IF(A161=1,"_",IF(C161="_","???",C161))</f>
        <v/>
      </c>
      <c r="H161" s="10" t="s">
        <v>12</v>
      </c>
      <c r="I161" s="11" t="s">
        <v>12</v>
      </c>
      <c r="J161" s="12"/>
    </row>
    <row r="162" spans="1:10" ht="60" customHeight="1">
      <c r="A162" s="6" t="s">
        <v>629</v>
      </c>
      <c r="B162" s="6" t="s">
        <v>41</v>
      </c>
      <c r="C162" s="6" t="s">
        <v>582</v>
      </c>
      <c r="D162" s="7" t="s">
        <v>83</v>
      </c>
      <c r="E162" s="8" t="s">
        <v>630</v>
      </c>
      <c r="F162" s="6" t="s">
        <v>631</v>
      </c>
      <c r="G162" s="9">
        <f>IF(A162=1,"_",IF(C162="_","???",C162))</f>
        <v/>
      </c>
      <c r="H162" s="10" t="s">
        <v>12</v>
      </c>
      <c r="I162" s="11" t="s">
        <v>12</v>
      </c>
      <c r="J162" s="12"/>
    </row>
    <row r="163" spans="1:10" ht="60" customHeight="1">
      <c r="A163" s="6" t="s">
        <v>632</v>
      </c>
      <c r="B163" s="6" t="s">
        <v>11</v>
      </c>
      <c r="C163" s="6" t="s">
        <v>12</v>
      </c>
      <c r="D163" s="7" t="s">
        <v>83</v>
      </c>
      <c r="E163" s="8" t="s">
        <v>633</v>
      </c>
      <c r="F163" s="6" t="s">
        <v>634</v>
      </c>
      <c r="G163" s="9">
        <f>IF(A163=1,"_",IF(C163="_","???",C163))</f>
        <v/>
      </c>
      <c r="H163" s="10" t="s">
        <v>12</v>
      </c>
      <c r="I163" s="11" t="s">
        <v>12</v>
      </c>
      <c r="J163" s="12"/>
    </row>
    <row r="164" spans="1:10" ht="60" customHeight="1">
      <c r="A164" s="6" t="s">
        <v>635</v>
      </c>
      <c r="B164" s="6" t="s">
        <v>16</v>
      </c>
      <c r="C164" s="6" t="s">
        <v>17</v>
      </c>
      <c r="D164" s="7" t="s">
        <v>636</v>
      </c>
      <c r="E164" s="8" t="s">
        <v>637</v>
      </c>
      <c r="F164" s="6" t="s">
        <v>638</v>
      </c>
      <c r="G164" s="9">
        <f>IF(A164=1,"_",IF(C164="_","???",C164))</f>
        <v/>
      </c>
      <c r="H164" s="10" t="s">
        <v>12</v>
      </c>
      <c r="I164" s="11" t="s">
        <v>12</v>
      </c>
      <c r="J164" s="12"/>
    </row>
    <row r="165" spans="1:10" ht="60" customHeight="1">
      <c r="A165" s="6" t="s">
        <v>639</v>
      </c>
      <c r="B165" s="6" t="s">
        <v>134</v>
      </c>
      <c r="C165" s="6" t="s">
        <v>174</v>
      </c>
      <c r="D165" s="7" t="s">
        <v>23</v>
      </c>
      <c r="E165" s="8" t="s">
        <v>640</v>
      </c>
      <c r="F165" s="6" t="s">
        <v>641</v>
      </c>
      <c r="G165" s="9">
        <f>IF(A165=1,"_",IF(C165="_","???",C165))</f>
        <v/>
      </c>
      <c r="H165" s="10" t="s">
        <v>12</v>
      </c>
      <c r="I165" s="11" t="s">
        <v>12</v>
      </c>
      <c r="J165" s="12"/>
    </row>
    <row r="166" spans="1:10" ht="60" customHeight="1">
      <c r="A166" s="6" t="s">
        <v>642</v>
      </c>
      <c r="B166" s="6" t="s">
        <v>30</v>
      </c>
      <c r="C166" s="6" t="s">
        <v>17</v>
      </c>
      <c r="D166" s="7" t="s">
        <v>170</v>
      </c>
      <c r="E166" s="8" t="s">
        <v>643</v>
      </c>
      <c r="F166" s="6" t="s">
        <v>644</v>
      </c>
      <c r="G166" s="9">
        <f>IF(A166=1,"_",IF(C166="_","???",C166))</f>
        <v/>
      </c>
      <c r="H166" s="10" t="s">
        <v>12</v>
      </c>
      <c r="I166" s="11" t="s">
        <v>12</v>
      </c>
      <c r="J166" s="12"/>
    </row>
    <row r="167" spans="1:10" ht="60" customHeight="1">
      <c r="A167" s="6" t="s">
        <v>645</v>
      </c>
      <c r="B167" s="6" t="s">
        <v>21</v>
      </c>
      <c r="C167" s="6" t="s">
        <v>42</v>
      </c>
      <c r="D167" s="7" t="s">
        <v>646</v>
      </c>
      <c r="E167" s="8" t="s">
        <v>647</v>
      </c>
      <c r="F167" s="6" t="s">
        <v>648</v>
      </c>
      <c r="G167" s="9">
        <f>IF(A167=1,"_",IF(C167="_","???",C167))</f>
        <v/>
      </c>
      <c r="H167" s="10" t="s">
        <v>12</v>
      </c>
      <c r="I167" s="11" t="s">
        <v>12</v>
      </c>
      <c r="J167" s="12"/>
    </row>
    <row r="168" spans="1:10" ht="60" customHeight="1">
      <c r="A168" s="6" t="s">
        <v>649</v>
      </c>
      <c r="B168" s="6" t="s">
        <v>11</v>
      </c>
      <c r="C168" s="6" t="s">
        <v>17</v>
      </c>
      <c r="D168" s="7" t="s">
        <v>650</v>
      </c>
      <c r="E168" s="8" t="s">
        <v>651</v>
      </c>
      <c r="F168" s="6" t="s">
        <v>652</v>
      </c>
      <c r="G168" s="9">
        <f>IF(A168=1,"_",IF(C168="_","???",C168))</f>
        <v/>
      </c>
      <c r="H168" s="10" t="s">
        <v>12</v>
      </c>
      <c r="I168" s="11" t="s">
        <v>12</v>
      </c>
      <c r="J168" s="12"/>
    </row>
    <row r="169" spans="1:10" ht="60" customHeight="1">
      <c r="A169" s="6" t="s">
        <v>653</v>
      </c>
      <c r="B169" s="6" t="s">
        <v>11</v>
      </c>
      <c r="C169" s="6" t="s">
        <v>17</v>
      </c>
      <c r="D169" s="7" t="s">
        <v>654</v>
      </c>
      <c r="E169" s="8" t="s">
        <v>655</v>
      </c>
      <c r="F169" s="6" t="s">
        <v>656</v>
      </c>
      <c r="G169" s="9">
        <f>IF(A169=1,"_",IF(C169="_","???",C169))</f>
        <v/>
      </c>
      <c r="H169" s="10" t="s">
        <v>12</v>
      </c>
      <c r="I169" s="11" t="s">
        <v>12</v>
      </c>
      <c r="J169" s="12"/>
    </row>
    <row r="170" spans="1:10" ht="60" customHeight="1">
      <c r="A170" s="6" t="s">
        <v>657</v>
      </c>
      <c r="B170" s="6" t="s">
        <v>26</v>
      </c>
      <c r="C170" s="6" t="s">
        <v>264</v>
      </c>
      <c r="D170" s="7" t="s">
        <v>83</v>
      </c>
      <c r="E170" s="8" t="s">
        <v>658</v>
      </c>
      <c r="F170" s="6" t="s">
        <v>659</v>
      </c>
      <c r="G170" s="9">
        <f>IF(A170=1,"_",IF(C170="_","???",C170))</f>
        <v/>
      </c>
      <c r="H170" s="10" t="s">
        <v>12</v>
      </c>
      <c r="I170" s="11" t="s">
        <v>12</v>
      </c>
      <c r="J170" s="12"/>
    </row>
    <row r="171" spans="1:10" ht="60" customHeight="1">
      <c r="A171" s="6" t="s">
        <v>660</v>
      </c>
      <c r="B171" s="6" t="s">
        <v>16</v>
      </c>
      <c r="C171" s="6" t="s">
        <v>114</v>
      </c>
      <c r="D171" s="7" t="s">
        <v>427</v>
      </c>
      <c r="E171" s="8" t="s">
        <v>661</v>
      </c>
      <c r="F171" s="6" t="s">
        <v>662</v>
      </c>
      <c r="G171" s="9">
        <f>IF(A171=1,"_",IF(C171="_","???",C171))</f>
        <v/>
      </c>
      <c r="H171" s="10" t="s">
        <v>12</v>
      </c>
      <c r="I171" s="11" t="s">
        <v>12</v>
      </c>
      <c r="J171" s="12"/>
    </row>
    <row r="172" spans="1:10" ht="60" customHeight="1">
      <c r="A172" s="6" t="s">
        <v>663</v>
      </c>
      <c r="B172" s="6" t="s">
        <v>11</v>
      </c>
      <c r="C172" s="6" t="s">
        <v>12</v>
      </c>
      <c r="D172" s="7" t="s">
        <v>664</v>
      </c>
      <c r="E172" s="8" t="s">
        <v>665</v>
      </c>
      <c r="F172" s="6" t="s">
        <v>666</v>
      </c>
      <c r="G172" s="9">
        <f>IF(A172=1,"_",IF(C172="_","???",C172))</f>
        <v/>
      </c>
      <c r="H172" s="10" t="s">
        <v>12</v>
      </c>
      <c r="I172" s="11" t="s">
        <v>12</v>
      </c>
      <c r="J172" s="12"/>
    </row>
    <row r="173" spans="1:10" ht="60" customHeight="1">
      <c r="A173" s="6" t="s">
        <v>667</v>
      </c>
      <c r="B173" s="6" t="s">
        <v>243</v>
      </c>
      <c r="C173" s="6" t="s">
        <v>99</v>
      </c>
      <c r="D173" s="7" t="s">
        <v>668</v>
      </c>
      <c r="E173" s="8" t="s">
        <v>669</v>
      </c>
      <c r="F173" s="6" t="s">
        <v>670</v>
      </c>
      <c r="G173" s="9">
        <f>IF(A173=1,"_",IF(C173="_","???",C173))</f>
        <v/>
      </c>
      <c r="H173" s="10" t="s">
        <v>12</v>
      </c>
      <c r="I173" s="11" t="s">
        <v>12</v>
      </c>
      <c r="J173" s="12"/>
    </row>
    <row r="174" spans="1:10" ht="60" customHeight="1">
      <c r="A174" s="6" t="s">
        <v>671</v>
      </c>
      <c r="B174" s="6" t="s">
        <v>11</v>
      </c>
      <c r="C174" s="6" t="s">
        <v>12</v>
      </c>
      <c r="D174" s="7" t="s">
        <v>60</v>
      </c>
      <c r="E174" s="8" t="s">
        <v>672</v>
      </c>
      <c r="F174" s="6" t="s">
        <v>673</v>
      </c>
      <c r="G174" s="9">
        <f>IF(A174=1,"_",IF(C174="_","???",C174))</f>
        <v/>
      </c>
      <c r="H174" s="10" t="s">
        <v>12</v>
      </c>
      <c r="I174" s="11" t="s">
        <v>12</v>
      </c>
      <c r="J174" s="12"/>
    </row>
    <row r="175" spans="1:10" ht="60" customHeight="1">
      <c r="A175" s="6" t="s">
        <v>674</v>
      </c>
      <c r="B175" s="6" t="s">
        <v>35</v>
      </c>
      <c r="C175" s="6" t="s">
        <v>99</v>
      </c>
      <c r="D175" s="7" t="s">
        <v>675</v>
      </c>
      <c r="E175" s="8" t="s">
        <v>676</v>
      </c>
      <c r="F175" s="6" t="s">
        <v>677</v>
      </c>
      <c r="G175" s="9">
        <f>IF(A175=1,"_",IF(C175="_","???",C175))</f>
        <v/>
      </c>
      <c r="H175" s="10" t="s">
        <v>12</v>
      </c>
      <c r="I175" s="11" t="s">
        <v>12</v>
      </c>
      <c r="J175" s="12"/>
    </row>
    <row r="176" spans="1:10" ht="60" customHeight="1">
      <c r="A176" s="6" t="s">
        <v>678</v>
      </c>
      <c r="B176" s="6" t="s">
        <v>21</v>
      </c>
      <c r="C176" s="6" t="s">
        <v>150</v>
      </c>
      <c r="D176" s="7" t="s">
        <v>158</v>
      </c>
      <c r="E176" s="8" t="s">
        <v>679</v>
      </c>
      <c r="F176" s="6" t="s">
        <v>680</v>
      </c>
      <c r="G176" s="9">
        <f>IF(A176=1,"_",IF(C176="_","???",C176))</f>
        <v/>
      </c>
      <c r="H176" s="10" t="s">
        <v>12</v>
      </c>
      <c r="I176" s="11" t="s">
        <v>12</v>
      </c>
      <c r="J176" s="12"/>
    </row>
    <row r="177" spans="1:10" ht="60" customHeight="1">
      <c r="A177" s="6" t="s">
        <v>681</v>
      </c>
      <c r="B177" s="6" t="s">
        <v>16</v>
      </c>
      <c r="C177" s="6" t="s">
        <v>682</v>
      </c>
      <c r="D177" s="7" t="s">
        <v>158</v>
      </c>
      <c r="E177" s="8" t="s">
        <v>683</v>
      </c>
      <c r="F177" s="6" t="s">
        <v>684</v>
      </c>
      <c r="G177" s="9">
        <f>IF(A177=1,"_",IF(C177="_","???",C177))</f>
        <v/>
      </c>
      <c r="H177" s="10" t="s">
        <v>12</v>
      </c>
      <c r="I177" s="11" t="s">
        <v>12</v>
      </c>
      <c r="J177" s="12"/>
    </row>
    <row r="178" spans="1:10" ht="60" customHeight="1">
      <c r="A178" s="6" t="s">
        <v>685</v>
      </c>
      <c r="B178" s="6" t="s">
        <v>11</v>
      </c>
      <c r="C178" s="6" t="s">
        <v>12</v>
      </c>
      <c r="D178" s="7" t="s">
        <v>170</v>
      </c>
      <c r="E178" s="8" t="s">
        <v>686</v>
      </c>
      <c r="F178" s="6" t="s">
        <v>687</v>
      </c>
      <c r="G178" s="9">
        <f>IF(A178=1,"_",IF(C178="_","???",C178))</f>
        <v/>
      </c>
      <c r="H178" s="10" t="s">
        <v>12</v>
      </c>
      <c r="I178" s="11" t="s">
        <v>12</v>
      </c>
      <c r="J178" s="12"/>
    </row>
    <row r="179" spans="1:10" ht="60" customHeight="1">
      <c r="A179" s="6" t="s">
        <v>688</v>
      </c>
      <c r="B179" s="6" t="s">
        <v>63</v>
      </c>
      <c r="C179" s="6" t="s">
        <v>689</v>
      </c>
      <c r="D179" s="7" t="s">
        <v>83</v>
      </c>
      <c r="E179" s="8" t="s">
        <v>690</v>
      </c>
      <c r="F179" s="6" t="s">
        <v>691</v>
      </c>
      <c r="G179" s="9">
        <f>IF(A179=1,"_",IF(C179="_","???",C179))</f>
        <v/>
      </c>
      <c r="H179" s="10" t="s">
        <v>12</v>
      </c>
      <c r="I179" s="11" t="s">
        <v>12</v>
      </c>
      <c r="J179" s="12"/>
    </row>
    <row r="180" spans="1:10" ht="60" customHeight="1">
      <c r="A180" s="6" t="s">
        <v>692</v>
      </c>
      <c r="B180" s="6" t="s">
        <v>11</v>
      </c>
      <c r="C180" s="6" t="s">
        <v>17</v>
      </c>
      <c r="D180" s="7" t="s">
        <v>83</v>
      </c>
      <c r="E180" s="8" t="s">
        <v>693</v>
      </c>
      <c r="F180" s="6" t="s">
        <v>694</v>
      </c>
      <c r="G180" s="9">
        <f>IF(A180=1,"_",IF(C180="_","???",C180))</f>
        <v/>
      </c>
      <c r="H180" s="10" t="s">
        <v>12</v>
      </c>
      <c r="I180" s="11" t="s">
        <v>12</v>
      </c>
      <c r="J180" s="12"/>
    </row>
    <row r="181" spans="1:10" ht="60" customHeight="1">
      <c r="A181" s="6" t="s">
        <v>695</v>
      </c>
      <c r="B181" s="6" t="s">
        <v>11</v>
      </c>
      <c r="C181" s="6" t="s">
        <v>49</v>
      </c>
      <c r="D181" s="7" t="s">
        <v>346</v>
      </c>
      <c r="E181" s="8" t="s">
        <v>696</v>
      </c>
      <c r="F181" s="6" t="s">
        <v>697</v>
      </c>
      <c r="G181" s="9">
        <f>IF(A181=1,"_",IF(C181="_","???",C181))</f>
        <v/>
      </c>
      <c r="H181" s="10" t="s">
        <v>12</v>
      </c>
      <c r="I181" s="11" t="s">
        <v>12</v>
      </c>
      <c r="J181" s="12"/>
    </row>
    <row r="182" spans="1:10" ht="60" customHeight="1">
      <c r="A182" s="6" t="s">
        <v>698</v>
      </c>
      <c r="B182" s="6" t="s">
        <v>11</v>
      </c>
      <c r="C182" s="6" t="s">
        <v>12</v>
      </c>
      <c r="D182" s="7" t="s">
        <v>83</v>
      </c>
      <c r="E182" s="8" t="s">
        <v>699</v>
      </c>
      <c r="F182" s="6" t="s">
        <v>700</v>
      </c>
      <c r="G182" s="9">
        <f>IF(A182=1,"_",IF(C182="_","???",C182))</f>
        <v/>
      </c>
      <c r="H182" s="10" t="s">
        <v>12</v>
      </c>
      <c r="I182" s="11" t="s">
        <v>12</v>
      </c>
      <c r="J182" s="12"/>
    </row>
    <row r="183" spans="1:10" ht="60" customHeight="1">
      <c r="A183" s="6" t="s">
        <v>701</v>
      </c>
      <c r="B183" s="6" t="s">
        <v>11</v>
      </c>
      <c r="C183" s="6" t="s">
        <v>12</v>
      </c>
      <c r="D183" s="7" t="s">
        <v>346</v>
      </c>
      <c r="E183" s="8" t="s">
        <v>702</v>
      </c>
      <c r="F183" s="6" t="s">
        <v>703</v>
      </c>
      <c r="G183" s="9">
        <f>IF(A183=1,"_",IF(C183="_","???",C183))</f>
        <v/>
      </c>
      <c r="H183" s="10" t="s">
        <v>12</v>
      </c>
      <c r="I183" s="11" t="s">
        <v>12</v>
      </c>
      <c r="J183" s="12"/>
    </row>
    <row r="184" spans="1:10" ht="60" customHeight="1">
      <c r="A184" s="6" t="s">
        <v>704</v>
      </c>
      <c r="B184" s="6" t="s">
        <v>11</v>
      </c>
      <c r="C184" s="6" t="s">
        <v>174</v>
      </c>
      <c r="D184" s="7" t="s">
        <v>705</v>
      </c>
      <c r="E184" s="8" t="s">
        <v>706</v>
      </c>
      <c r="F184" s="6" t="s">
        <v>707</v>
      </c>
      <c r="G184" s="9">
        <f>IF(A184=1,"_",IF(C184="_","???",C184))</f>
        <v/>
      </c>
      <c r="H184" s="10" t="s">
        <v>12</v>
      </c>
      <c r="I184" s="11" t="s">
        <v>12</v>
      </c>
      <c r="J184" s="12"/>
    </row>
    <row r="185" spans="1:10" ht="60" customHeight="1">
      <c r="A185" s="6" t="s">
        <v>708</v>
      </c>
      <c r="B185" s="6" t="s">
        <v>10</v>
      </c>
      <c r="C185" s="6" t="s">
        <v>12</v>
      </c>
      <c r="D185" s="7" t="s">
        <v>709</v>
      </c>
      <c r="E185" s="8" t="s">
        <v>710</v>
      </c>
      <c r="F185" s="6" t="s">
        <v>711</v>
      </c>
      <c r="G185" s="9">
        <f>IF(A185=1,"_",IF(C185="_","???",C185))</f>
        <v/>
      </c>
      <c r="H185" s="10" t="s">
        <v>12</v>
      </c>
      <c r="I185" s="11" t="s">
        <v>12</v>
      </c>
      <c r="J185" s="12"/>
    </row>
    <row r="186" spans="1:10" ht="60" customHeight="1">
      <c r="A186" s="6" t="s">
        <v>712</v>
      </c>
      <c r="B186" s="6" t="s">
        <v>11</v>
      </c>
      <c r="C186" s="6" t="s">
        <v>12</v>
      </c>
      <c r="D186" s="7" t="s">
        <v>713</v>
      </c>
      <c r="E186" s="8" t="s">
        <v>714</v>
      </c>
      <c r="F186" s="6" t="s">
        <v>715</v>
      </c>
      <c r="G186" s="9">
        <f>IF(A186=1,"_",IF(C186="_","???",C186))</f>
        <v/>
      </c>
      <c r="H186" s="10" t="s">
        <v>12</v>
      </c>
      <c r="I186" s="11" t="s">
        <v>12</v>
      </c>
      <c r="J186" s="12"/>
    </row>
    <row r="187" spans="1:10" ht="60" customHeight="1">
      <c r="A187" s="6" t="s">
        <v>716</v>
      </c>
      <c r="B187" s="6" t="s">
        <v>10</v>
      </c>
      <c r="C187" s="6" t="s">
        <v>12</v>
      </c>
      <c r="D187" s="7" t="s">
        <v>709</v>
      </c>
      <c r="E187" s="8" t="s">
        <v>710</v>
      </c>
      <c r="F187" s="6" t="s">
        <v>717</v>
      </c>
      <c r="G187" s="9">
        <f>IF(A187=1,"_",IF(C187="_","???",C187))</f>
        <v/>
      </c>
      <c r="H187" s="10" t="s">
        <v>12</v>
      </c>
      <c r="I187" s="11" t="s">
        <v>12</v>
      </c>
      <c r="J187" s="12"/>
    </row>
    <row r="188" spans="1:10" ht="60" customHeight="1">
      <c r="A188" s="6" t="s">
        <v>718</v>
      </c>
      <c r="B188" s="6" t="s">
        <v>10</v>
      </c>
      <c r="C188" s="6" t="s">
        <v>12</v>
      </c>
      <c r="D188" s="7" t="s">
        <v>709</v>
      </c>
      <c r="E188" s="8" t="s">
        <v>710</v>
      </c>
      <c r="F188" s="6" t="s">
        <v>719</v>
      </c>
      <c r="G188" s="9">
        <f>IF(A188=1,"_",IF(C188="_","???",C188))</f>
        <v/>
      </c>
      <c r="H188" s="10" t="s">
        <v>12</v>
      </c>
      <c r="I188" s="11" t="s">
        <v>12</v>
      </c>
      <c r="J188" s="12"/>
    </row>
    <row r="189" spans="1:10" ht="60" customHeight="1">
      <c r="A189" s="6" t="s">
        <v>720</v>
      </c>
      <c r="B189" s="6" t="s">
        <v>63</v>
      </c>
      <c r="C189" s="6" t="s">
        <v>12</v>
      </c>
      <c r="D189" s="7" t="s">
        <v>721</v>
      </c>
      <c r="E189" s="8" t="s">
        <v>722</v>
      </c>
      <c r="F189" s="6" t="s">
        <v>723</v>
      </c>
      <c r="G189" s="9">
        <f>IF(A189=1,"_",IF(C189="_","???",C189))</f>
        <v/>
      </c>
      <c r="H189" s="10" t="s">
        <v>12</v>
      </c>
      <c r="I189" s="11" t="s">
        <v>12</v>
      </c>
      <c r="J189" s="12"/>
    </row>
    <row r="190" spans="1:10" ht="60" customHeight="1">
      <c r="A190" s="6" t="s">
        <v>724</v>
      </c>
      <c r="B190" s="6" t="s">
        <v>10</v>
      </c>
      <c r="C190" s="6" t="s">
        <v>49</v>
      </c>
      <c r="D190" s="7" t="s">
        <v>725</v>
      </c>
      <c r="E190" s="8" t="s">
        <v>726</v>
      </c>
      <c r="F190" s="6" t="s">
        <v>727</v>
      </c>
      <c r="G190" s="9">
        <f>IF(A190=1,"_",IF(C190="_","???",C190))</f>
        <v/>
      </c>
      <c r="H190" s="10" t="s">
        <v>12</v>
      </c>
      <c r="I190" s="11" t="s">
        <v>12</v>
      </c>
      <c r="J190" s="12"/>
    </row>
    <row r="191" spans="1:10" ht="60" customHeight="1">
      <c r="A191" s="6" t="s">
        <v>728</v>
      </c>
      <c r="B191" s="6" t="s">
        <v>26</v>
      </c>
      <c r="C191" s="6" t="s">
        <v>12</v>
      </c>
      <c r="D191" s="7" t="s">
        <v>729</v>
      </c>
      <c r="E191" s="8" t="s">
        <v>730</v>
      </c>
      <c r="F191" s="6" t="s">
        <v>731</v>
      </c>
      <c r="G191" s="9">
        <f>IF(A191=1,"_",IF(C191="_","???",C191))</f>
        <v/>
      </c>
      <c r="H191" s="10" t="s">
        <v>12</v>
      </c>
      <c r="I191" s="11" t="s">
        <v>12</v>
      </c>
      <c r="J191" s="12"/>
    </row>
    <row r="192" spans="1:10" ht="60" customHeight="1">
      <c r="A192" s="6" t="s">
        <v>732</v>
      </c>
      <c r="B192" s="6" t="s">
        <v>53</v>
      </c>
      <c r="C192" s="6" t="s">
        <v>557</v>
      </c>
      <c r="D192" s="7" t="s">
        <v>733</v>
      </c>
      <c r="E192" s="8" t="s">
        <v>734</v>
      </c>
      <c r="F192" s="6" t="s">
        <v>735</v>
      </c>
      <c r="G192" s="9">
        <f>IF(A192=1,"_",IF(C192="_","???",C192))</f>
        <v/>
      </c>
      <c r="H192" s="10" t="s">
        <v>12</v>
      </c>
      <c r="I192" s="11" t="s">
        <v>12</v>
      </c>
      <c r="J192" s="12"/>
    </row>
    <row r="193" spans="1:10" ht="60" customHeight="1">
      <c r="A193" s="6" t="s">
        <v>736</v>
      </c>
      <c r="B193" s="6" t="s">
        <v>10</v>
      </c>
      <c r="C193" s="6" t="s">
        <v>150</v>
      </c>
      <c r="D193" s="7" t="s">
        <v>737</v>
      </c>
      <c r="E193" s="8" t="s">
        <v>738</v>
      </c>
      <c r="F193" s="6" t="s">
        <v>739</v>
      </c>
      <c r="G193" s="9">
        <f>IF(A193=1,"_",IF(C193="_","???",C193))</f>
        <v/>
      </c>
      <c r="H193" s="10" t="s">
        <v>12</v>
      </c>
      <c r="I193" s="11" t="s">
        <v>12</v>
      </c>
      <c r="J193" s="12"/>
    </row>
    <row r="194" spans="1:10" ht="60" customHeight="1">
      <c r="A194" s="6" t="s">
        <v>740</v>
      </c>
      <c r="B194" s="6" t="s">
        <v>10</v>
      </c>
      <c r="C194" s="6" t="s">
        <v>12</v>
      </c>
      <c r="D194" s="7" t="s">
        <v>741</v>
      </c>
      <c r="E194" s="8" t="s">
        <v>742</v>
      </c>
      <c r="F194" s="6" t="s">
        <v>743</v>
      </c>
      <c r="G194" s="9">
        <f>IF(A194=1,"_",IF(C194="_","???",C194))</f>
        <v/>
      </c>
      <c r="H194" s="10" t="s">
        <v>12</v>
      </c>
      <c r="I194" s="11" t="s">
        <v>12</v>
      </c>
      <c r="J194" s="12"/>
    </row>
    <row r="195" spans="1:10" ht="60" customHeight="1">
      <c r="A195" s="6" t="s">
        <v>744</v>
      </c>
      <c r="B195" s="6" t="s">
        <v>26</v>
      </c>
      <c r="C195" s="6" t="s">
        <v>114</v>
      </c>
      <c r="D195" s="7" t="s">
        <v>83</v>
      </c>
      <c r="E195" s="8" t="s">
        <v>745</v>
      </c>
      <c r="F195" s="6" t="s">
        <v>746</v>
      </c>
      <c r="G195" s="9">
        <f>IF(A195=1,"_",IF(C195="_","???",C195))</f>
        <v/>
      </c>
      <c r="H195" s="10" t="s">
        <v>12</v>
      </c>
      <c r="I195" s="11" t="s">
        <v>12</v>
      </c>
      <c r="J195" s="12"/>
    </row>
    <row r="196" spans="1:10" ht="60" customHeight="1">
      <c r="A196" s="6" t="s">
        <v>747</v>
      </c>
      <c r="B196" s="6" t="s">
        <v>16</v>
      </c>
      <c r="C196" s="6" t="s">
        <v>12</v>
      </c>
      <c r="D196" s="7" t="s">
        <v>748</v>
      </c>
      <c r="E196" s="8" t="s">
        <v>749</v>
      </c>
      <c r="F196" s="6" t="s">
        <v>750</v>
      </c>
      <c r="G196" s="9">
        <f>IF(A196=1,"_",IF(C196="_","???",C196))</f>
        <v/>
      </c>
      <c r="H196" s="10" t="s">
        <v>12</v>
      </c>
      <c r="I196" s="11" t="s">
        <v>12</v>
      </c>
      <c r="J196" s="12"/>
    </row>
    <row r="197" spans="1:10" ht="60" customHeight="1">
      <c r="A197" s="6" t="s">
        <v>751</v>
      </c>
      <c r="B197" s="6" t="s">
        <v>90</v>
      </c>
      <c r="C197" s="6" t="s">
        <v>174</v>
      </c>
      <c r="D197" s="7" t="s">
        <v>491</v>
      </c>
      <c r="E197" s="8" t="s">
        <v>752</v>
      </c>
      <c r="F197" s="6" t="s">
        <v>753</v>
      </c>
      <c r="G197" s="9">
        <f>IF(A197=1,"_",IF(C197="_","???",C197))</f>
        <v/>
      </c>
      <c r="H197" s="10" t="s">
        <v>12</v>
      </c>
      <c r="I197" s="11" t="s">
        <v>12</v>
      </c>
      <c r="J197" s="12"/>
    </row>
    <row r="198" spans="1:10" ht="60" customHeight="1">
      <c r="A198" s="6" t="s">
        <v>754</v>
      </c>
      <c r="B198" s="6" t="s">
        <v>35</v>
      </c>
      <c r="C198" s="6" t="s">
        <v>12</v>
      </c>
      <c r="D198" s="7" t="s">
        <v>13</v>
      </c>
      <c r="E198" s="8" t="s">
        <v>755</v>
      </c>
      <c r="F198" s="6" t="s">
        <v>756</v>
      </c>
      <c r="G198" s="9">
        <f>IF(A198=1,"_",IF(C198="_","???",C198))</f>
        <v/>
      </c>
      <c r="H198" s="10" t="s">
        <v>12</v>
      </c>
      <c r="I198" s="11" t="s">
        <v>12</v>
      </c>
      <c r="J198" s="12"/>
    </row>
    <row r="199" spans="1:10" ht="60" customHeight="1">
      <c r="A199" s="6" t="s">
        <v>757</v>
      </c>
      <c r="B199" s="6" t="s">
        <v>10</v>
      </c>
      <c r="C199" s="6" t="s">
        <v>103</v>
      </c>
      <c r="D199" s="7" t="s">
        <v>737</v>
      </c>
      <c r="E199" s="8" t="s">
        <v>758</v>
      </c>
      <c r="F199" s="6" t="s">
        <v>759</v>
      </c>
      <c r="G199" s="9">
        <f>IF(A199=1,"_",IF(C199="_","???",C199))</f>
        <v/>
      </c>
      <c r="H199" s="10" t="s">
        <v>12</v>
      </c>
      <c r="I199" s="11" t="s">
        <v>12</v>
      </c>
      <c r="J199" s="12"/>
    </row>
    <row r="200" spans="1:10" ht="60" customHeight="1">
      <c r="A200" s="6" t="s">
        <v>760</v>
      </c>
      <c r="B200" s="6" t="s">
        <v>10</v>
      </c>
      <c r="C200" s="6" t="s">
        <v>12</v>
      </c>
      <c r="D200" s="7" t="s">
        <v>741</v>
      </c>
      <c r="E200" s="8" t="s">
        <v>761</v>
      </c>
      <c r="F200" s="6" t="s">
        <v>762</v>
      </c>
      <c r="G200" s="9">
        <f>IF(A200=1,"_",IF(C200="_","???",C200))</f>
        <v/>
      </c>
      <c r="H200" s="10" t="s">
        <v>12</v>
      </c>
      <c r="I200" s="11" t="s">
        <v>12</v>
      </c>
      <c r="J200" s="12"/>
    </row>
    <row r="201" spans="1:10" ht="60" customHeight="1">
      <c r="A201" s="6" t="s">
        <v>763</v>
      </c>
      <c r="B201" s="6" t="s">
        <v>81</v>
      </c>
      <c r="C201" s="6" t="s">
        <v>397</v>
      </c>
      <c r="D201" s="7" t="s">
        <v>32</v>
      </c>
      <c r="E201" s="8" t="s">
        <v>764</v>
      </c>
      <c r="F201" s="6" t="s">
        <v>765</v>
      </c>
      <c r="G201" s="9">
        <f>IF(A201=1,"_",IF(C201="_","???",C201))</f>
        <v/>
      </c>
      <c r="H201" s="10" t="s">
        <v>12</v>
      </c>
      <c r="I201" s="11" t="s">
        <v>12</v>
      </c>
      <c r="J201" s="12"/>
    </row>
    <row r="202" spans="1:10" ht="60" customHeight="1">
      <c r="A202" s="6" t="s">
        <v>766</v>
      </c>
      <c r="B202" s="6" t="s">
        <v>30</v>
      </c>
      <c r="C202" s="6" t="s">
        <v>59</v>
      </c>
      <c r="D202" s="7" t="s">
        <v>767</v>
      </c>
      <c r="E202" s="8" t="s">
        <v>768</v>
      </c>
      <c r="F202" s="6" t="s">
        <v>769</v>
      </c>
      <c r="G202" s="9">
        <f>IF(A202=1,"_",IF(C202="_","???",C202))</f>
        <v/>
      </c>
      <c r="H202" s="10" t="s">
        <v>12</v>
      </c>
      <c r="I202" s="11" t="s">
        <v>12</v>
      </c>
      <c r="J202" s="12"/>
    </row>
    <row r="203" spans="1:10" ht="60" customHeight="1">
      <c r="A203" s="6" t="s">
        <v>770</v>
      </c>
      <c r="B203" s="6" t="s">
        <v>11</v>
      </c>
      <c r="C203" s="6" t="s">
        <v>12</v>
      </c>
      <c r="D203" s="7" t="s">
        <v>326</v>
      </c>
      <c r="E203" s="8" t="s">
        <v>771</v>
      </c>
      <c r="F203" s="6" t="s">
        <v>772</v>
      </c>
      <c r="G203" s="9">
        <f>IF(A203=1,"_",IF(C203="_","???",C203))</f>
        <v/>
      </c>
      <c r="H203" s="10" t="s">
        <v>12</v>
      </c>
      <c r="I203" s="11" t="s">
        <v>12</v>
      </c>
      <c r="J203" s="12"/>
    </row>
    <row r="204" spans="1:10" ht="60" customHeight="1">
      <c r="A204" s="6" t="s">
        <v>773</v>
      </c>
      <c r="B204" s="6" t="s">
        <v>63</v>
      </c>
      <c r="C204" s="6" t="s">
        <v>17</v>
      </c>
      <c r="D204" s="7" t="s">
        <v>467</v>
      </c>
      <c r="E204" s="8" t="s">
        <v>774</v>
      </c>
      <c r="F204" s="6" t="s">
        <v>775</v>
      </c>
      <c r="G204" s="9">
        <f>IF(A204=1,"_",IF(C204="_","???",C204))</f>
        <v/>
      </c>
      <c r="H204" s="10" t="s">
        <v>12</v>
      </c>
      <c r="I204" s="11" t="s">
        <v>12</v>
      </c>
      <c r="J204" s="12"/>
    </row>
    <row r="205" spans="1:10" ht="60" customHeight="1">
      <c r="A205" s="6" t="s">
        <v>776</v>
      </c>
      <c r="B205" s="6" t="s">
        <v>10</v>
      </c>
      <c r="C205" s="6" t="s">
        <v>283</v>
      </c>
      <c r="D205" s="7" t="s">
        <v>737</v>
      </c>
      <c r="E205" s="8" t="s">
        <v>777</v>
      </c>
      <c r="F205" s="6" t="s">
        <v>778</v>
      </c>
      <c r="G205" s="9">
        <f>IF(A205=1,"_",IF(C205="_","???",C205))</f>
        <v/>
      </c>
      <c r="H205" s="10" t="s">
        <v>12</v>
      </c>
      <c r="I205" s="11" t="s">
        <v>12</v>
      </c>
      <c r="J205" s="12"/>
    </row>
    <row r="206" spans="1:10" ht="60" customHeight="1">
      <c r="A206" s="6" t="s">
        <v>779</v>
      </c>
      <c r="B206" s="6" t="s">
        <v>10</v>
      </c>
      <c r="C206" s="6" t="s">
        <v>17</v>
      </c>
      <c r="D206" s="7" t="s">
        <v>741</v>
      </c>
      <c r="E206" s="8" t="s">
        <v>780</v>
      </c>
      <c r="F206" s="6" t="s">
        <v>781</v>
      </c>
      <c r="G206" s="9">
        <f>IF(A206=1,"_",IF(C206="_","???",C206))</f>
        <v/>
      </c>
      <c r="H206" s="10" t="s">
        <v>12</v>
      </c>
      <c r="I206" s="11" t="s">
        <v>12</v>
      </c>
      <c r="J206" s="12"/>
    </row>
    <row r="207" spans="1:10" ht="60" customHeight="1">
      <c r="A207" s="6" t="s">
        <v>782</v>
      </c>
      <c r="B207" s="6" t="s">
        <v>16</v>
      </c>
      <c r="C207" s="6" t="s">
        <v>12</v>
      </c>
      <c r="D207" s="7" t="s">
        <v>783</v>
      </c>
      <c r="E207" s="8" t="s">
        <v>784</v>
      </c>
      <c r="F207" s="6" t="s">
        <v>785</v>
      </c>
      <c r="G207" s="9">
        <f>IF(A207=1,"_",IF(C207="_","???",C207))</f>
        <v/>
      </c>
      <c r="H207" s="10" t="s">
        <v>12</v>
      </c>
      <c r="I207" s="11" t="s">
        <v>12</v>
      </c>
      <c r="J207" s="12"/>
    </row>
    <row r="208" spans="1:10" ht="60" customHeight="1">
      <c r="A208" s="6" t="s">
        <v>786</v>
      </c>
      <c r="B208" s="6" t="s">
        <v>11</v>
      </c>
      <c r="C208" s="6" t="s">
        <v>12</v>
      </c>
      <c r="D208" s="7" t="s">
        <v>787</v>
      </c>
      <c r="E208" s="8" t="s">
        <v>788</v>
      </c>
      <c r="F208" s="6" t="s">
        <v>789</v>
      </c>
      <c r="G208" s="9">
        <f>IF(A208=1,"_",IF(C208="_","???",C208))</f>
        <v/>
      </c>
      <c r="H208" s="10" t="s">
        <v>12</v>
      </c>
      <c r="I208" s="11" t="s">
        <v>12</v>
      </c>
      <c r="J208" s="12"/>
    </row>
    <row r="209" spans="1:10" ht="60" customHeight="1">
      <c r="A209" s="6" t="s">
        <v>790</v>
      </c>
      <c r="B209" s="6" t="s">
        <v>48</v>
      </c>
      <c r="C209" s="6" t="s">
        <v>12</v>
      </c>
      <c r="D209" s="7" t="s">
        <v>791</v>
      </c>
      <c r="E209" s="8" t="s">
        <v>792</v>
      </c>
      <c r="F209" s="6" t="s">
        <v>793</v>
      </c>
      <c r="G209" s="9">
        <f>IF(A209=1,"_",IF(C209="_","???",C209))</f>
        <v/>
      </c>
      <c r="H209" s="10" t="s">
        <v>12</v>
      </c>
      <c r="I209" s="11" t="s">
        <v>12</v>
      </c>
      <c r="J209" s="12"/>
    </row>
    <row r="210" spans="1:10" ht="60" customHeight="1">
      <c r="A210" s="6" t="s">
        <v>794</v>
      </c>
      <c r="B210" s="6" t="s">
        <v>16</v>
      </c>
      <c r="C210" s="6" t="s">
        <v>103</v>
      </c>
      <c r="D210" s="7" t="s">
        <v>427</v>
      </c>
      <c r="E210" s="8" t="s">
        <v>795</v>
      </c>
      <c r="F210" s="6" t="s">
        <v>796</v>
      </c>
      <c r="G210" s="9">
        <f>IF(A210=1,"_",IF(C210="_","???",C210))</f>
        <v/>
      </c>
      <c r="H210" s="10" t="s">
        <v>12</v>
      </c>
      <c r="I210" s="11" t="s">
        <v>12</v>
      </c>
      <c r="J210" s="12"/>
    </row>
    <row r="211" spans="1:10" ht="60" customHeight="1">
      <c r="A211" s="6" t="s">
        <v>797</v>
      </c>
      <c r="B211" s="6" t="s">
        <v>126</v>
      </c>
      <c r="C211" s="6" t="s">
        <v>49</v>
      </c>
      <c r="D211" s="7" t="s">
        <v>798</v>
      </c>
      <c r="E211" s="8" t="s">
        <v>799</v>
      </c>
      <c r="F211" s="6" t="s">
        <v>800</v>
      </c>
      <c r="G211" s="9">
        <f>IF(A211=1,"_",IF(C211="_","???",C211))</f>
        <v/>
      </c>
      <c r="H211" s="10" t="s">
        <v>12</v>
      </c>
      <c r="I211" s="11" t="s">
        <v>12</v>
      </c>
      <c r="J211" s="12"/>
    </row>
    <row r="212" spans="1:10" ht="60" customHeight="1">
      <c r="A212" s="6" t="s">
        <v>801</v>
      </c>
      <c r="B212" s="6" t="s">
        <v>10</v>
      </c>
      <c r="C212" s="6" t="s">
        <v>12</v>
      </c>
      <c r="D212" s="7" t="s">
        <v>741</v>
      </c>
      <c r="E212" s="8" t="s">
        <v>802</v>
      </c>
      <c r="F212" s="6" t="s">
        <v>803</v>
      </c>
      <c r="G212" s="9">
        <f>IF(A212=1,"_",IF(C212="_","???",C212))</f>
        <v/>
      </c>
      <c r="H212" s="10" t="s">
        <v>12</v>
      </c>
      <c r="I212" s="11" t="s">
        <v>12</v>
      </c>
      <c r="J212" s="12"/>
    </row>
    <row r="213" spans="1:10" ht="60" customHeight="1">
      <c r="A213" s="6" t="s">
        <v>804</v>
      </c>
      <c r="B213" s="6" t="s">
        <v>11</v>
      </c>
      <c r="C213" s="6" t="s">
        <v>42</v>
      </c>
      <c r="D213" s="7" t="s">
        <v>805</v>
      </c>
      <c r="E213" s="8" t="s">
        <v>806</v>
      </c>
      <c r="F213" s="6" t="s">
        <v>807</v>
      </c>
      <c r="G213" s="9">
        <f>IF(A213=1,"_",IF(C213="_","???",C213))</f>
        <v/>
      </c>
      <c r="H213" s="10" t="s">
        <v>12</v>
      </c>
      <c r="I213" s="11" t="s">
        <v>12</v>
      </c>
      <c r="J213" s="12"/>
    </row>
    <row r="214" spans="1:10" ht="60" customHeight="1">
      <c r="A214" s="6" t="s">
        <v>808</v>
      </c>
      <c r="B214" s="6" t="s">
        <v>26</v>
      </c>
      <c r="C214" s="6" t="s">
        <v>99</v>
      </c>
      <c r="D214" s="7" t="s">
        <v>809</v>
      </c>
      <c r="E214" s="8" t="s">
        <v>810</v>
      </c>
      <c r="F214" s="6" t="s">
        <v>811</v>
      </c>
      <c r="G214" s="9">
        <f>IF(A214=1,"_",IF(C214="_","???",C214))</f>
        <v/>
      </c>
      <c r="H214" s="10" t="s">
        <v>12</v>
      </c>
      <c r="I214" s="11" t="s">
        <v>12</v>
      </c>
      <c r="J214" s="12"/>
    </row>
    <row r="215" spans="1:10" ht="60" customHeight="1">
      <c r="A215" s="6" t="s">
        <v>812</v>
      </c>
      <c r="B215" s="6" t="s">
        <v>26</v>
      </c>
      <c r="C215" s="6" t="s">
        <v>17</v>
      </c>
      <c r="D215" s="7" t="s">
        <v>32</v>
      </c>
      <c r="E215" s="8" t="s">
        <v>813</v>
      </c>
      <c r="F215" s="6" t="s">
        <v>814</v>
      </c>
      <c r="G215" s="9">
        <f>IF(A215=1,"_",IF(C215="_","???",C215))</f>
        <v/>
      </c>
      <c r="H215" s="10" t="s">
        <v>12</v>
      </c>
      <c r="I215" s="11" t="s">
        <v>12</v>
      </c>
      <c r="J215" s="12"/>
    </row>
    <row r="216" spans="1:10" ht="60" customHeight="1">
      <c r="A216" s="6" t="s">
        <v>815</v>
      </c>
      <c r="B216" s="6" t="s">
        <v>16</v>
      </c>
      <c r="C216" s="6" t="s">
        <v>252</v>
      </c>
      <c r="D216" s="7" t="s">
        <v>816</v>
      </c>
      <c r="E216" s="8" t="s">
        <v>817</v>
      </c>
      <c r="F216" s="6" t="s">
        <v>818</v>
      </c>
      <c r="G216" s="9">
        <f>IF(A216=1,"_",IF(C216="_","???",C216))</f>
        <v/>
      </c>
      <c r="H216" s="10" t="s">
        <v>12</v>
      </c>
      <c r="I216" s="11" t="s">
        <v>12</v>
      </c>
      <c r="J216" s="12"/>
    </row>
    <row r="217" spans="1:10" ht="60" customHeight="1">
      <c r="A217" s="6" t="s">
        <v>819</v>
      </c>
      <c r="B217" s="6" t="s">
        <v>11</v>
      </c>
      <c r="C217" s="6" t="s">
        <v>12</v>
      </c>
      <c r="D217" s="7" t="s">
        <v>170</v>
      </c>
      <c r="E217" s="8" t="s">
        <v>820</v>
      </c>
      <c r="F217" s="6" t="s">
        <v>821</v>
      </c>
      <c r="G217" s="9">
        <f>IF(A217=1,"_",IF(C217="_","???",C217))</f>
        <v/>
      </c>
      <c r="H217" s="10" t="s">
        <v>12</v>
      </c>
      <c r="I217" s="11" t="s">
        <v>12</v>
      </c>
      <c r="J217" s="12"/>
    </row>
    <row r="218" spans="1:10" ht="60" customHeight="1">
      <c r="A218" s="6" t="s">
        <v>822</v>
      </c>
      <c r="B218" s="6" t="s">
        <v>80</v>
      </c>
      <c r="C218" s="6" t="s">
        <v>264</v>
      </c>
      <c r="D218" s="7" t="s">
        <v>110</v>
      </c>
      <c r="E218" s="8" t="s">
        <v>823</v>
      </c>
      <c r="F218" s="6" t="s">
        <v>824</v>
      </c>
      <c r="G218" s="9">
        <f>IF(A218=1,"_",IF(C218="_","???",C218))</f>
        <v/>
      </c>
      <c r="H218" s="10" t="s">
        <v>12</v>
      </c>
      <c r="I218" s="11" t="s">
        <v>12</v>
      </c>
      <c r="J218" s="12"/>
    </row>
    <row r="219" spans="1:10" ht="60" customHeight="1">
      <c r="A219" s="6" t="s">
        <v>825</v>
      </c>
      <c r="B219" s="6" t="s">
        <v>53</v>
      </c>
      <c r="C219" s="6" t="s">
        <v>12</v>
      </c>
      <c r="D219" s="7" t="s">
        <v>123</v>
      </c>
      <c r="E219" s="8" t="s">
        <v>826</v>
      </c>
      <c r="F219" s="6" t="s">
        <v>827</v>
      </c>
      <c r="G219" s="9">
        <f>IF(A219=1,"_",IF(C219="_","???",C219))</f>
        <v/>
      </c>
      <c r="H219" s="10" t="s">
        <v>12</v>
      </c>
      <c r="I219" s="11" t="s">
        <v>12</v>
      </c>
      <c r="J219" s="12"/>
    </row>
    <row r="220" spans="1:10" ht="60" customHeight="1">
      <c r="A220" s="6" t="s">
        <v>828</v>
      </c>
      <c r="B220" s="6" t="s">
        <v>26</v>
      </c>
      <c r="C220" s="6" t="s">
        <v>829</v>
      </c>
      <c r="D220" s="7" t="s">
        <v>830</v>
      </c>
      <c r="E220" s="8" t="s">
        <v>831</v>
      </c>
      <c r="F220" s="6" t="s">
        <v>832</v>
      </c>
      <c r="G220" s="9">
        <f>IF(A220=1,"_",IF(C220="_","???",C220))</f>
        <v/>
      </c>
      <c r="H220" s="10" t="s">
        <v>12</v>
      </c>
      <c r="I220" s="11" t="s">
        <v>12</v>
      </c>
      <c r="J220" s="12"/>
    </row>
    <row r="221" spans="1:10" ht="60" customHeight="1">
      <c r="A221" s="6" t="s">
        <v>833</v>
      </c>
      <c r="B221" s="6" t="s">
        <v>41</v>
      </c>
      <c r="C221" s="6" t="s">
        <v>12</v>
      </c>
      <c r="D221" s="7" t="s">
        <v>32</v>
      </c>
      <c r="E221" s="8" t="s">
        <v>834</v>
      </c>
      <c r="F221" s="6" t="s">
        <v>835</v>
      </c>
      <c r="G221" s="9">
        <f>IF(A221=1,"_",IF(C221="_","???",C221))</f>
        <v/>
      </c>
      <c r="H221" s="10" t="s">
        <v>12</v>
      </c>
      <c r="I221" s="11" t="s">
        <v>12</v>
      </c>
      <c r="J221" s="12"/>
    </row>
    <row r="222" spans="1:10" ht="60" customHeight="1">
      <c r="A222" s="6" t="s">
        <v>836</v>
      </c>
      <c r="B222" s="6" t="s">
        <v>35</v>
      </c>
      <c r="C222" s="6" t="s">
        <v>385</v>
      </c>
      <c r="D222" s="7" t="s">
        <v>100</v>
      </c>
      <c r="E222" s="8" t="s">
        <v>837</v>
      </c>
      <c r="F222" s="6" t="s">
        <v>838</v>
      </c>
      <c r="G222" s="9">
        <f>IF(A222=1,"_",IF(C222="_","???",C222))</f>
        <v/>
      </c>
      <c r="H222" s="10" t="s">
        <v>12</v>
      </c>
      <c r="I222" s="11" t="s">
        <v>12</v>
      </c>
      <c r="J222" s="12"/>
    </row>
    <row r="223" spans="1:10" ht="60" customHeight="1">
      <c r="A223" s="6" t="s">
        <v>839</v>
      </c>
      <c r="B223" s="6" t="s">
        <v>16</v>
      </c>
      <c r="C223" s="6" t="s">
        <v>174</v>
      </c>
      <c r="D223" s="7" t="s">
        <v>32</v>
      </c>
      <c r="E223" s="8" t="s">
        <v>840</v>
      </c>
      <c r="F223" s="6" t="s">
        <v>841</v>
      </c>
      <c r="G223" s="9">
        <f>IF(A223=1,"_",IF(C223="_","???",C223))</f>
        <v/>
      </c>
      <c r="H223" s="10" t="s">
        <v>12</v>
      </c>
      <c r="I223" s="11" t="s">
        <v>12</v>
      </c>
      <c r="J223" s="12"/>
    </row>
    <row r="224" spans="1:10" ht="60" customHeight="1">
      <c r="A224" s="6" t="s">
        <v>842</v>
      </c>
      <c r="B224" s="6" t="s">
        <v>30</v>
      </c>
      <c r="C224" s="6" t="s">
        <v>545</v>
      </c>
      <c r="D224" s="7" t="s">
        <v>32</v>
      </c>
      <c r="E224" s="8" t="s">
        <v>843</v>
      </c>
      <c r="F224" s="6" t="s">
        <v>844</v>
      </c>
      <c r="G224" s="9">
        <f>IF(A224=1,"_",IF(C224="_","???",C224))</f>
        <v/>
      </c>
      <c r="H224" s="10" t="s">
        <v>12</v>
      </c>
      <c r="I224" s="11" t="s">
        <v>12</v>
      </c>
      <c r="J224" s="12"/>
    </row>
    <row r="225" spans="1:10" ht="60" customHeight="1">
      <c r="A225" s="6" t="s">
        <v>845</v>
      </c>
      <c r="B225" s="6" t="s">
        <v>10</v>
      </c>
      <c r="C225" s="6" t="s">
        <v>99</v>
      </c>
      <c r="D225" s="7" t="s">
        <v>737</v>
      </c>
      <c r="E225" s="8" t="s">
        <v>846</v>
      </c>
      <c r="F225" s="6" t="s">
        <v>847</v>
      </c>
      <c r="G225" s="9">
        <f>IF(A225=1,"_",IF(C225="_","???",C225))</f>
        <v/>
      </c>
      <c r="H225" s="10" t="s">
        <v>12</v>
      </c>
      <c r="I225" s="11" t="s">
        <v>12</v>
      </c>
      <c r="J225" s="12"/>
    </row>
    <row r="226" spans="1:10" ht="60" customHeight="1">
      <c r="A226" s="6" t="s">
        <v>848</v>
      </c>
      <c r="B226" s="6" t="s">
        <v>10</v>
      </c>
      <c r="C226" s="6" t="s">
        <v>12</v>
      </c>
      <c r="D226" s="7" t="s">
        <v>83</v>
      </c>
      <c r="E226" s="8" t="s">
        <v>849</v>
      </c>
      <c r="F226" s="6" t="s">
        <v>850</v>
      </c>
      <c r="G226" s="9">
        <f>IF(A226=1,"_",IF(C226="_","???",C226))</f>
        <v/>
      </c>
      <c r="H226" s="10" t="s">
        <v>12</v>
      </c>
      <c r="I226" s="11" t="s">
        <v>12</v>
      </c>
      <c r="J226" s="12"/>
    </row>
    <row r="227" spans="1:10" ht="60" customHeight="1">
      <c r="A227" s="6" t="s">
        <v>851</v>
      </c>
      <c r="B227" s="6" t="s">
        <v>10</v>
      </c>
      <c r="C227" s="6" t="s">
        <v>99</v>
      </c>
      <c r="D227" s="7" t="s">
        <v>741</v>
      </c>
      <c r="E227" s="8" t="s">
        <v>852</v>
      </c>
      <c r="F227" s="6" t="s">
        <v>853</v>
      </c>
      <c r="G227" s="9">
        <f>IF(A227=1,"_",IF(C227="_","???",C227))</f>
        <v/>
      </c>
      <c r="H227" s="10" t="s">
        <v>12</v>
      </c>
      <c r="I227" s="11" t="s">
        <v>12</v>
      </c>
      <c r="J227" s="12"/>
    </row>
    <row r="228" spans="1:10" ht="60" customHeight="1">
      <c r="A228" s="6" t="s">
        <v>854</v>
      </c>
      <c r="B228" s="6" t="s">
        <v>26</v>
      </c>
      <c r="C228" s="6" t="s">
        <v>150</v>
      </c>
      <c r="D228" s="7" t="s">
        <v>855</v>
      </c>
      <c r="E228" s="8" t="s">
        <v>856</v>
      </c>
      <c r="F228" s="6" t="s">
        <v>857</v>
      </c>
      <c r="G228" s="9">
        <f>IF(A228=1,"_",IF(C228="_","???",C228))</f>
        <v/>
      </c>
      <c r="H228" s="10" t="s">
        <v>12</v>
      </c>
      <c r="I228" s="11" t="s">
        <v>12</v>
      </c>
      <c r="J228" s="12"/>
    </row>
    <row r="229" spans="1:10" ht="60" customHeight="1">
      <c r="A229" s="6" t="s">
        <v>858</v>
      </c>
      <c r="B229" s="6" t="s">
        <v>16</v>
      </c>
      <c r="C229" s="6" t="s">
        <v>12</v>
      </c>
      <c r="D229" s="7" t="s">
        <v>170</v>
      </c>
      <c r="E229" s="8" t="s">
        <v>859</v>
      </c>
      <c r="F229" s="6" t="s">
        <v>860</v>
      </c>
      <c r="G229" s="9">
        <f>IF(A229=1,"_",IF(C229="_","???",C229))</f>
        <v/>
      </c>
      <c r="H229" s="10" t="s">
        <v>12</v>
      </c>
      <c r="I229" s="11" t="s">
        <v>12</v>
      </c>
      <c r="J229" s="12"/>
    </row>
    <row r="230" spans="1:10" ht="60" customHeight="1">
      <c r="A230" s="6" t="s">
        <v>861</v>
      </c>
      <c r="B230" s="6" t="s">
        <v>11</v>
      </c>
      <c r="C230" s="6" t="s">
        <v>12</v>
      </c>
      <c r="D230" s="7" t="s">
        <v>516</v>
      </c>
      <c r="E230" s="8" t="s">
        <v>862</v>
      </c>
      <c r="F230" s="6" t="s">
        <v>863</v>
      </c>
      <c r="G230" s="9">
        <f>IF(A230=1,"_",IF(C230="_","???",C230))</f>
        <v/>
      </c>
      <c r="H230" s="10" t="s">
        <v>12</v>
      </c>
      <c r="I230" s="11" t="s">
        <v>12</v>
      </c>
      <c r="J230" s="12"/>
    </row>
    <row r="231" spans="1:10" ht="60" customHeight="1">
      <c r="A231" s="6" t="s">
        <v>864</v>
      </c>
      <c r="B231" s="6" t="s">
        <v>16</v>
      </c>
      <c r="C231" s="6" t="s">
        <v>431</v>
      </c>
      <c r="D231" s="7" t="s">
        <v>865</v>
      </c>
      <c r="E231" s="8" t="s">
        <v>866</v>
      </c>
      <c r="F231" s="6" t="s">
        <v>867</v>
      </c>
      <c r="G231" s="9">
        <f>IF(A231=1,"_",IF(C231="_","???",C231))</f>
        <v/>
      </c>
      <c r="H231" s="10" t="s">
        <v>12</v>
      </c>
      <c r="I231" s="11" t="s">
        <v>12</v>
      </c>
      <c r="J231" s="12"/>
    </row>
    <row r="232" spans="1:10" ht="60" customHeight="1">
      <c r="A232" s="6" t="s">
        <v>868</v>
      </c>
      <c r="B232" s="6" t="s">
        <v>11</v>
      </c>
      <c r="C232" s="6" t="s">
        <v>264</v>
      </c>
      <c r="D232" s="7" t="s">
        <v>609</v>
      </c>
      <c r="E232" s="8" t="s">
        <v>869</v>
      </c>
      <c r="F232" s="6" t="s">
        <v>870</v>
      </c>
      <c r="G232" s="9">
        <f>IF(A232=1,"_",IF(C232="_","???",C232))</f>
        <v/>
      </c>
      <c r="H232" s="10" t="s">
        <v>12</v>
      </c>
      <c r="I232" s="11" t="s">
        <v>12</v>
      </c>
      <c r="J232" s="12"/>
    </row>
    <row r="233" spans="1:10" ht="60" customHeight="1">
      <c r="A233" s="6" t="s">
        <v>871</v>
      </c>
      <c r="B233" s="6" t="s">
        <v>11</v>
      </c>
      <c r="C233" s="6" t="s">
        <v>73</v>
      </c>
      <c r="D233" s="7" t="s">
        <v>338</v>
      </c>
      <c r="E233" s="8" t="s">
        <v>872</v>
      </c>
      <c r="F233" s="6" t="s">
        <v>873</v>
      </c>
      <c r="G233" s="9">
        <f>IF(A233=1,"_",IF(C233="_","???",C233))</f>
        <v/>
      </c>
      <c r="H233" s="10" t="s">
        <v>12</v>
      </c>
      <c r="I233" s="11" t="s">
        <v>12</v>
      </c>
      <c r="J233" s="12"/>
    </row>
    <row r="234" spans="1:10" ht="60" customHeight="1">
      <c r="A234" s="6" t="s">
        <v>874</v>
      </c>
      <c r="B234" s="6" t="s">
        <v>16</v>
      </c>
      <c r="C234" s="6" t="s">
        <v>169</v>
      </c>
      <c r="D234" s="7" t="s">
        <v>875</v>
      </c>
      <c r="E234" s="8" t="s">
        <v>876</v>
      </c>
      <c r="F234" s="6" t="s">
        <v>877</v>
      </c>
      <c r="G234" s="9">
        <f>IF(A234=1,"_",IF(C234="_","???",C234))</f>
        <v/>
      </c>
      <c r="H234" s="10" t="s">
        <v>12</v>
      </c>
      <c r="I234" s="11" t="s">
        <v>12</v>
      </c>
      <c r="J234" s="12"/>
    </row>
    <row r="235" spans="1:10" ht="60" customHeight="1">
      <c r="A235" s="6" t="s">
        <v>878</v>
      </c>
      <c r="B235" s="6" t="s">
        <v>10</v>
      </c>
      <c r="C235" s="6" t="s">
        <v>12</v>
      </c>
      <c r="D235" s="7" t="s">
        <v>737</v>
      </c>
      <c r="E235" s="8" t="s">
        <v>879</v>
      </c>
      <c r="F235" s="6" t="s">
        <v>880</v>
      </c>
      <c r="G235" s="9">
        <f>IF(A235=1,"_",IF(C235="_","???",C235))</f>
        <v/>
      </c>
      <c r="H235" s="10" t="s">
        <v>12</v>
      </c>
      <c r="I235" s="11" t="s">
        <v>12</v>
      </c>
      <c r="J235" s="12"/>
    </row>
    <row r="236" spans="1:10" ht="60" customHeight="1">
      <c r="A236" s="6" t="s">
        <v>881</v>
      </c>
      <c r="B236" s="6" t="s">
        <v>10</v>
      </c>
      <c r="C236" s="6" t="s">
        <v>882</v>
      </c>
      <c r="D236" s="7" t="s">
        <v>741</v>
      </c>
      <c r="E236" s="8" t="s">
        <v>883</v>
      </c>
      <c r="F236" s="6" t="s">
        <v>884</v>
      </c>
      <c r="G236" s="9">
        <f>IF(A236=1,"_",IF(C236="_","???",C236))</f>
        <v/>
      </c>
      <c r="H236" s="10" t="s">
        <v>12</v>
      </c>
      <c r="I236" s="11" t="s">
        <v>12</v>
      </c>
      <c r="J236" s="12"/>
    </row>
    <row r="237" spans="1:10" ht="60" customHeight="1">
      <c r="A237" s="6" t="s">
        <v>885</v>
      </c>
      <c r="B237" s="6" t="s">
        <v>21</v>
      </c>
      <c r="C237" s="6" t="s">
        <v>12</v>
      </c>
      <c r="D237" s="7" t="s">
        <v>886</v>
      </c>
      <c r="E237" s="8" t="s">
        <v>887</v>
      </c>
      <c r="F237" s="6" t="s">
        <v>888</v>
      </c>
      <c r="G237" s="9">
        <f>IF(A237=1,"_",IF(C237="_","???",C237))</f>
        <v/>
      </c>
      <c r="H237" s="10" t="s">
        <v>12</v>
      </c>
      <c r="I237" s="11" t="s">
        <v>12</v>
      </c>
      <c r="J237" s="12"/>
    </row>
    <row r="238" spans="1:10" ht="60" customHeight="1">
      <c r="A238" s="6" t="s">
        <v>889</v>
      </c>
      <c r="B238" s="6" t="s">
        <v>10</v>
      </c>
      <c r="C238" s="6" t="s">
        <v>12</v>
      </c>
      <c r="D238" s="7" t="s">
        <v>338</v>
      </c>
      <c r="E238" s="8" t="s">
        <v>890</v>
      </c>
      <c r="F238" s="6" t="s">
        <v>891</v>
      </c>
      <c r="G238" s="9">
        <f>IF(A238=1,"_",IF(C238="_","???",C238))</f>
        <v/>
      </c>
      <c r="H238" s="10" t="s">
        <v>12</v>
      </c>
      <c r="I238" s="11" t="s">
        <v>12</v>
      </c>
      <c r="J238" s="12"/>
    </row>
    <row r="239" spans="1:10" ht="60" customHeight="1">
      <c r="A239" s="6" t="s">
        <v>892</v>
      </c>
      <c r="B239" s="6" t="s">
        <v>16</v>
      </c>
      <c r="C239" s="6" t="s">
        <v>12</v>
      </c>
      <c r="D239" s="7" t="s">
        <v>32</v>
      </c>
      <c r="E239" s="8" t="s">
        <v>893</v>
      </c>
      <c r="F239" s="6" t="s">
        <v>894</v>
      </c>
      <c r="G239" s="9">
        <f>IF(A239=1,"_",IF(C239="_","???",C239))</f>
        <v/>
      </c>
      <c r="H239" s="10" t="s">
        <v>12</v>
      </c>
      <c r="I239" s="11" t="s">
        <v>12</v>
      </c>
      <c r="J239" s="12"/>
    </row>
    <row r="240" spans="1:10" ht="60" customHeight="1">
      <c r="A240" s="6" t="s">
        <v>895</v>
      </c>
      <c r="B240" s="6" t="s">
        <v>41</v>
      </c>
      <c r="C240" s="6" t="s">
        <v>557</v>
      </c>
      <c r="D240" s="7" t="s">
        <v>896</v>
      </c>
      <c r="E240" s="8" t="s">
        <v>897</v>
      </c>
      <c r="F240" s="6" t="s">
        <v>898</v>
      </c>
      <c r="G240" s="9">
        <f>IF(A240=1,"_",IF(C240="_","???",C240))</f>
        <v/>
      </c>
      <c r="H240" s="10" t="s">
        <v>12</v>
      </c>
      <c r="I240" s="11" t="s">
        <v>12</v>
      </c>
      <c r="J240" s="12"/>
    </row>
    <row r="241" spans="1:10" ht="60" customHeight="1">
      <c r="A241" s="6" t="s">
        <v>899</v>
      </c>
      <c r="B241" s="6" t="s">
        <v>11</v>
      </c>
      <c r="C241" s="6" t="s">
        <v>228</v>
      </c>
      <c r="D241" s="7" t="s">
        <v>158</v>
      </c>
      <c r="E241" s="8" t="s">
        <v>900</v>
      </c>
      <c r="F241" s="6" t="s">
        <v>901</v>
      </c>
      <c r="G241" s="9">
        <f>IF(A241=1,"_",IF(C241="_","???",C241))</f>
        <v/>
      </c>
      <c r="H241" s="10" t="s">
        <v>12</v>
      </c>
      <c r="I241" s="11" t="s">
        <v>12</v>
      </c>
      <c r="J241" s="12"/>
    </row>
    <row r="242" spans="1:10" ht="60" customHeight="1">
      <c r="A242" s="6" t="s">
        <v>902</v>
      </c>
      <c r="B242" s="6" t="s">
        <v>30</v>
      </c>
      <c r="C242" s="6" t="s">
        <v>283</v>
      </c>
      <c r="D242" s="7" t="s">
        <v>903</v>
      </c>
      <c r="E242" s="8" t="s">
        <v>904</v>
      </c>
      <c r="F242" s="6" t="s">
        <v>905</v>
      </c>
      <c r="G242" s="9">
        <f>IF(A242=1,"_",IF(C242="_","???",C242))</f>
        <v/>
      </c>
      <c r="H242" s="10" t="s">
        <v>12</v>
      </c>
      <c r="I242" s="11" t="s">
        <v>12</v>
      </c>
      <c r="J242" s="12"/>
    </row>
    <row r="243" spans="1:10" ht="60" customHeight="1">
      <c r="A243" s="6" t="s">
        <v>906</v>
      </c>
      <c r="B243" s="6" t="s">
        <v>94</v>
      </c>
      <c r="C243" s="6" t="s">
        <v>59</v>
      </c>
      <c r="D243" s="7" t="s">
        <v>907</v>
      </c>
      <c r="E243" s="8" t="s">
        <v>908</v>
      </c>
      <c r="F243" s="6" t="s">
        <v>909</v>
      </c>
      <c r="G243" s="9">
        <f>IF(A243=1,"_",IF(C243="_","???",C243))</f>
        <v/>
      </c>
      <c r="H243" s="10" t="s">
        <v>12</v>
      </c>
      <c r="I243" s="11" t="s">
        <v>12</v>
      </c>
      <c r="J243" s="12"/>
    </row>
    <row r="244" spans="1:10" ht="60" customHeight="1">
      <c r="A244" s="6" t="s">
        <v>910</v>
      </c>
      <c r="B244" s="6" t="s">
        <v>16</v>
      </c>
      <c r="C244" s="6" t="s">
        <v>911</v>
      </c>
      <c r="D244" s="7" t="s">
        <v>110</v>
      </c>
      <c r="E244" s="8" t="s">
        <v>912</v>
      </c>
      <c r="F244" s="6" t="s">
        <v>913</v>
      </c>
      <c r="G244" s="9">
        <f>IF(A244=1,"_",IF(C244="_","???",C244))</f>
        <v/>
      </c>
      <c r="H244" s="10" t="s">
        <v>12</v>
      </c>
      <c r="I244" s="11" t="s">
        <v>12</v>
      </c>
      <c r="J244" s="12"/>
    </row>
    <row r="245" spans="1:10" ht="60" customHeight="1">
      <c r="A245" s="6" t="s">
        <v>914</v>
      </c>
      <c r="B245" s="6" t="s">
        <v>26</v>
      </c>
      <c r="C245" s="6" t="s">
        <v>150</v>
      </c>
      <c r="D245" s="7" t="s">
        <v>110</v>
      </c>
      <c r="E245" s="8" t="s">
        <v>915</v>
      </c>
      <c r="F245" s="6" t="s">
        <v>916</v>
      </c>
      <c r="G245" s="9">
        <f>IF(A245=1,"_",IF(C245="_","???",C245))</f>
        <v/>
      </c>
      <c r="H245" s="10" t="s">
        <v>12</v>
      </c>
      <c r="I245" s="11" t="s">
        <v>12</v>
      </c>
      <c r="J245" s="12"/>
    </row>
    <row r="246" spans="1:10" ht="60" customHeight="1">
      <c r="A246" s="6" t="s">
        <v>917</v>
      </c>
      <c r="B246" s="6" t="s">
        <v>10</v>
      </c>
      <c r="C246" s="6" t="s">
        <v>150</v>
      </c>
      <c r="D246" s="7" t="s">
        <v>737</v>
      </c>
      <c r="E246" s="8" t="s">
        <v>918</v>
      </c>
      <c r="F246" s="6" t="s">
        <v>919</v>
      </c>
      <c r="G246" s="9">
        <f>IF(A246=1,"_",IF(C246="_","???",C246))</f>
        <v/>
      </c>
      <c r="H246" s="10" t="s">
        <v>12</v>
      </c>
      <c r="I246" s="11" t="s">
        <v>12</v>
      </c>
      <c r="J246" s="12"/>
    </row>
    <row r="247" spans="1:10" ht="60" customHeight="1">
      <c r="A247" s="6" t="s">
        <v>920</v>
      </c>
      <c r="B247" s="6" t="s">
        <v>16</v>
      </c>
      <c r="C247" s="6" t="s">
        <v>12</v>
      </c>
      <c r="D247" s="7" t="s">
        <v>921</v>
      </c>
      <c r="E247" s="8" t="s">
        <v>922</v>
      </c>
      <c r="F247" s="6" t="s">
        <v>923</v>
      </c>
      <c r="G247" s="9">
        <f>IF(A247=1,"_",IF(C247="_","???",C247))</f>
        <v/>
      </c>
      <c r="H247" s="10" t="s">
        <v>12</v>
      </c>
      <c r="I247" s="11" t="s">
        <v>12</v>
      </c>
      <c r="J247" s="12"/>
    </row>
    <row r="248" spans="1:10" ht="60" customHeight="1">
      <c r="A248" s="6" t="s">
        <v>924</v>
      </c>
      <c r="B248" s="6" t="s">
        <v>10</v>
      </c>
      <c r="C248" s="6" t="s">
        <v>12</v>
      </c>
      <c r="D248" s="7" t="s">
        <v>741</v>
      </c>
      <c r="E248" s="8" t="s">
        <v>925</v>
      </c>
      <c r="F248" s="6" t="s">
        <v>926</v>
      </c>
      <c r="G248" s="9">
        <f>IF(A248=1,"_",IF(C248="_","???",C248))</f>
        <v/>
      </c>
      <c r="H248" s="10" t="s">
        <v>12</v>
      </c>
      <c r="I248" s="11" t="s">
        <v>12</v>
      </c>
      <c r="J248" s="12"/>
    </row>
    <row r="249" spans="1:10" ht="60" customHeight="1">
      <c r="A249" s="6" t="s">
        <v>927</v>
      </c>
      <c r="B249" s="6" t="s">
        <v>10</v>
      </c>
      <c r="C249" s="6" t="s">
        <v>99</v>
      </c>
      <c r="D249" s="7" t="s">
        <v>928</v>
      </c>
      <c r="E249" s="8" t="s">
        <v>929</v>
      </c>
      <c r="F249" s="6" t="s">
        <v>930</v>
      </c>
      <c r="G249" s="9">
        <f>IF(A249=1,"_",IF(C249="_","???",C249))</f>
        <v/>
      </c>
      <c r="H249" s="10" t="s">
        <v>12</v>
      </c>
      <c r="I249" s="11" t="s">
        <v>12</v>
      </c>
      <c r="J249" s="12"/>
    </row>
    <row r="250" spans="1:10" ht="60" customHeight="1">
      <c r="A250" s="6" t="s">
        <v>931</v>
      </c>
      <c r="B250" s="6" t="s">
        <v>16</v>
      </c>
      <c r="C250" s="6" t="s">
        <v>264</v>
      </c>
      <c r="D250" s="7" t="s">
        <v>932</v>
      </c>
      <c r="E250" s="8" t="s">
        <v>933</v>
      </c>
      <c r="F250" s="6" t="s">
        <v>934</v>
      </c>
      <c r="G250" s="9">
        <f>IF(A250=1,"_",IF(C250="_","???",C250))</f>
        <v/>
      </c>
      <c r="H250" s="10" t="s">
        <v>12</v>
      </c>
      <c r="I250" s="11" t="s">
        <v>12</v>
      </c>
      <c r="J250" s="12"/>
    </row>
    <row r="251" spans="1:10" ht="60" customHeight="1">
      <c r="A251" s="6" t="s">
        <v>935</v>
      </c>
      <c r="B251" s="6" t="s">
        <v>35</v>
      </c>
      <c r="C251" s="6" t="s">
        <v>17</v>
      </c>
      <c r="D251" s="7" t="s">
        <v>18</v>
      </c>
      <c r="E251" s="8" t="s">
        <v>936</v>
      </c>
      <c r="F251" s="6" t="s">
        <v>937</v>
      </c>
      <c r="G251" s="9">
        <f>IF(A251=1,"_",IF(C251="_","???",C251))</f>
        <v/>
      </c>
      <c r="H251" s="10" t="s">
        <v>12</v>
      </c>
      <c r="I251" s="11" t="s">
        <v>12</v>
      </c>
      <c r="J251" s="12"/>
    </row>
    <row r="252" spans="1:10" ht="60" customHeight="1">
      <c r="A252" s="6" t="s">
        <v>938</v>
      </c>
      <c r="B252" s="6" t="s">
        <v>11</v>
      </c>
      <c r="C252" s="6" t="s">
        <v>939</v>
      </c>
      <c r="D252" s="7" t="s">
        <v>326</v>
      </c>
      <c r="E252" s="8" t="s">
        <v>940</v>
      </c>
      <c r="F252" s="6" t="s">
        <v>941</v>
      </c>
      <c r="G252" s="9">
        <f>IF(A252=1,"_",IF(C252="_","???",C252))</f>
        <v/>
      </c>
      <c r="H252" s="10" t="s">
        <v>12</v>
      </c>
      <c r="I252" s="11" t="s">
        <v>12</v>
      </c>
      <c r="J252" s="12"/>
    </row>
    <row r="253" spans="1:10" ht="60" customHeight="1">
      <c r="A253" s="6" t="s">
        <v>942</v>
      </c>
      <c r="B253" s="6" t="s">
        <v>26</v>
      </c>
      <c r="C253" s="6" t="s">
        <v>99</v>
      </c>
      <c r="D253" s="7" t="s">
        <v>943</v>
      </c>
      <c r="E253" s="8" t="s">
        <v>944</v>
      </c>
      <c r="F253" s="6" t="s">
        <v>945</v>
      </c>
      <c r="G253" s="9">
        <f>IF(A253=1,"_",IF(C253="_","???",C253))</f>
        <v/>
      </c>
      <c r="H253" s="10" t="s">
        <v>12</v>
      </c>
      <c r="I253" s="11" t="s">
        <v>12</v>
      </c>
      <c r="J253" s="12"/>
    </row>
    <row r="254" spans="1:10" ht="60" customHeight="1">
      <c r="A254" s="6" t="s">
        <v>946</v>
      </c>
      <c r="B254" s="6" t="s">
        <v>11</v>
      </c>
      <c r="C254" s="6" t="s">
        <v>12</v>
      </c>
      <c r="D254" s="7" t="s">
        <v>947</v>
      </c>
      <c r="E254" s="8" t="s">
        <v>948</v>
      </c>
      <c r="F254" s="6" t="s">
        <v>949</v>
      </c>
      <c r="G254" s="9">
        <f>IF(A254=1,"_",IF(C254="_","???",C254))</f>
        <v/>
      </c>
      <c r="H254" s="10" t="s">
        <v>12</v>
      </c>
      <c r="I254" s="11" t="s">
        <v>12</v>
      </c>
      <c r="J254" s="12"/>
    </row>
    <row r="255" spans="1:10" ht="60" customHeight="1">
      <c r="A255" s="6" t="s">
        <v>950</v>
      </c>
      <c r="B255" s="6" t="s">
        <v>98</v>
      </c>
      <c r="C255" s="6" t="s">
        <v>150</v>
      </c>
      <c r="D255" s="7" t="s">
        <v>18</v>
      </c>
      <c r="E255" s="8" t="s">
        <v>951</v>
      </c>
      <c r="F255" s="6" t="s">
        <v>952</v>
      </c>
      <c r="G255" s="9">
        <f>IF(A255=1,"_",IF(C255="_","???",C255))</f>
        <v/>
      </c>
      <c r="H255" s="10" t="s">
        <v>12</v>
      </c>
      <c r="I255" s="11" t="s">
        <v>12</v>
      </c>
      <c r="J255" s="12"/>
    </row>
    <row r="256" spans="1:10" ht="60" customHeight="1">
      <c r="A256" s="6" t="s">
        <v>953</v>
      </c>
      <c r="B256" s="6" t="s">
        <v>41</v>
      </c>
      <c r="C256" s="6" t="s">
        <v>12</v>
      </c>
      <c r="D256" s="7" t="s">
        <v>110</v>
      </c>
      <c r="E256" s="8" t="s">
        <v>954</v>
      </c>
      <c r="F256" s="6" t="s">
        <v>955</v>
      </c>
      <c r="G256" s="9">
        <f>IF(A256=1,"_",IF(C256="_","???",C256))</f>
        <v/>
      </c>
      <c r="H256" s="10" t="s">
        <v>12</v>
      </c>
      <c r="I256" s="11" t="s">
        <v>12</v>
      </c>
      <c r="J256" s="12"/>
    </row>
    <row r="257" spans="1:10" ht="60" customHeight="1">
      <c r="A257" s="6" t="s">
        <v>956</v>
      </c>
      <c r="B257" s="6" t="s">
        <v>16</v>
      </c>
      <c r="C257" s="6" t="s">
        <v>49</v>
      </c>
      <c r="D257" s="7" t="s">
        <v>110</v>
      </c>
      <c r="E257" s="8" t="s">
        <v>957</v>
      </c>
      <c r="F257" s="6" t="s">
        <v>958</v>
      </c>
      <c r="G257" s="9">
        <f>IF(A257=1,"_",IF(C257="_","???",C257))</f>
        <v/>
      </c>
      <c r="H257" s="10" t="s">
        <v>12</v>
      </c>
      <c r="I257" s="11" t="s">
        <v>12</v>
      </c>
      <c r="J257" s="12"/>
    </row>
    <row r="258" spans="1:10" ht="60" customHeight="1">
      <c r="A258" s="6" t="s">
        <v>959</v>
      </c>
      <c r="B258" s="6" t="s">
        <v>30</v>
      </c>
      <c r="C258" s="6" t="s">
        <v>73</v>
      </c>
      <c r="D258" s="7" t="s">
        <v>960</v>
      </c>
      <c r="E258" s="8" t="s">
        <v>961</v>
      </c>
      <c r="F258" s="6" t="s">
        <v>962</v>
      </c>
      <c r="G258" s="9">
        <f>IF(A258=1,"_",IF(C258="_","???",C258))</f>
        <v/>
      </c>
      <c r="H258" s="10" t="s">
        <v>12</v>
      </c>
      <c r="I258" s="11" t="s">
        <v>12</v>
      </c>
      <c r="J258" s="12"/>
    </row>
    <row r="259" spans="1:10" ht="60" customHeight="1">
      <c r="A259" s="6" t="s">
        <v>963</v>
      </c>
      <c r="B259" s="6" t="s">
        <v>21</v>
      </c>
      <c r="C259" s="6" t="s">
        <v>228</v>
      </c>
      <c r="D259" s="7" t="s">
        <v>110</v>
      </c>
      <c r="E259" s="8" t="s">
        <v>964</v>
      </c>
      <c r="F259" s="6" t="s">
        <v>965</v>
      </c>
      <c r="G259" s="9">
        <f>IF(A259=1,"_",IF(C259="_","???",C259))</f>
        <v/>
      </c>
      <c r="H259" s="10" t="s">
        <v>12</v>
      </c>
      <c r="I259" s="11" t="s">
        <v>12</v>
      </c>
      <c r="J259" s="12"/>
    </row>
    <row r="260" spans="1:10" ht="60" customHeight="1">
      <c r="A260" s="6" t="s">
        <v>966</v>
      </c>
      <c r="B260" s="6" t="s">
        <v>11</v>
      </c>
      <c r="C260" s="6" t="s">
        <v>582</v>
      </c>
      <c r="D260" s="7" t="s">
        <v>151</v>
      </c>
      <c r="E260" s="8" t="s">
        <v>967</v>
      </c>
      <c r="F260" s="6" t="s">
        <v>968</v>
      </c>
      <c r="G260" s="9">
        <f>IF(A260=1,"_",IF(C260="_","???",C260))</f>
        <v/>
      </c>
      <c r="H260" s="10" t="s">
        <v>12</v>
      </c>
      <c r="I260" s="11" t="s">
        <v>12</v>
      </c>
      <c r="J260" s="12"/>
    </row>
    <row r="261" spans="1:10" ht="60" customHeight="1">
      <c r="A261" s="6" t="s">
        <v>969</v>
      </c>
      <c r="B261" s="6" t="s">
        <v>11</v>
      </c>
      <c r="C261" s="6" t="s">
        <v>12</v>
      </c>
      <c r="D261" s="7" t="s">
        <v>970</v>
      </c>
      <c r="E261" s="8" t="s">
        <v>971</v>
      </c>
      <c r="F261" s="6" t="s">
        <v>972</v>
      </c>
      <c r="G261" s="9">
        <f>IF(A261=1,"_",IF(C261="_","???",C261))</f>
        <v/>
      </c>
      <c r="H261" s="10" t="s">
        <v>12</v>
      </c>
      <c r="I261" s="11" t="s">
        <v>12</v>
      </c>
      <c r="J261" s="12"/>
    </row>
    <row r="262" spans="1:10" ht="60" customHeight="1">
      <c r="A262" s="6" t="s">
        <v>973</v>
      </c>
      <c r="B262" s="6" t="s">
        <v>10</v>
      </c>
      <c r="C262" s="6" t="s">
        <v>12</v>
      </c>
      <c r="D262" s="7" t="s">
        <v>737</v>
      </c>
      <c r="E262" s="8" t="s">
        <v>974</v>
      </c>
      <c r="F262" s="6" t="s">
        <v>975</v>
      </c>
      <c r="G262" s="9">
        <f>IF(A262=1,"_",IF(C262="_","???",C262))</f>
        <v/>
      </c>
      <c r="H262" s="10" t="s">
        <v>12</v>
      </c>
      <c r="I262" s="11" t="s">
        <v>12</v>
      </c>
      <c r="J262" s="12"/>
    </row>
    <row r="263" spans="1:10" ht="60" customHeight="1">
      <c r="A263" s="6" t="s">
        <v>976</v>
      </c>
      <c r="B263" s="6" t="s">
        <v>10</v>
      </c>
      <c r="C263" s="6" t="s">
        <v>12</v>
      </c>
      <c r="D263" s="7" t="s">
        <v>709</v>
      </c>
      <c r="E263" s="8" t="s">
        <v>977</v>
      </c>
      <c r="F263" s="6" t="s">
        <v>978</v>
      </c>
      <c r="G263" s="9">
        <f>IF(A263=1,"_",IF(C263="_","???",C263))</f>
        <v/>
      </c>
      <c r="H263" s="10" t="s">
        <v>12</v>
      </c>
      <c r="I263" s="11" t="s">
        <v>12</v>
      </c>
      <c r="J263" s="12"/>
    </row>
    <row r="264" spans="1:10" ht="60" customHeight="1">
      <c r="A264" s="6" t="s">
        <v>979</v>
      </c>
      <c r="B264" s="6" t="s">
        <v>10</v>
      </c>
      <c r="C264" s="6" t="s">
        <v>12</v>
      </c>
      <c r="D264" s="7" t="s">
        <v>741</v>
      </c>
      <c r="E264" s="8" t="s">
        <v>980</v>
      </c>
      <c r="F264" s="6" t="s">
        <v>981</v>
      </c>
      <c r="G264" s="9">
        <f>IF(A264=1,"_",IF(C264="_","???",C264))</f>
        <v/>
      </c>
      <c r="H264" s="10" t="s">
        <v>12</v>
      </c>
      <c r="I264" s="11" t="s">
        <v>12</v>
      </c>
      <c r="J26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56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982</v>
      </c>
      <c r="B1" s="13" t="s">
        <v>983</v>
      </c>
      <c r="C1" s="13" t="s">
        <v>984</v>
      </c>
      <c r="D1" s="13" t="s">
        <v>985</v>
      </c>
      <c r="E1" s="14" t="s">
        <v>986</v>
      </c>
      <c r="F1" s="15" t="s">
        <v>987</v>
      </c>
      <c r="G1" s="16" t="s">
        <v>988</v>
      </c>
      <c r="H1" s="17" t="s">
        <v>989</v>
      </c>
      <c r="I1" s="18" t="s">
        <v>990</v>
      </c>
      <c r="J1" s="18" t="s">
        <v>991</v>
      </c>
      <c r="K1" s="18" t="s">
        <v>992</v>
      </c>
      <c r="L1" s="19" t="s">
        <v>9</v>
      </c>
    </row>
    <row r="2" spans="1:12">
      <c r="A2" s="20" t="s">
        <v>993</v>
      </c>
    </row>
    <row r="3" spans="1:12">
      <c r="A3" s="20" t="s">
        <v>994</v>
      </c>
      <c r="B3" s="21" t="s">
        <v>995</v>
      </c>
      <c r="C3" s="21" t="s">
        <v>996</v>
      </c>
      <c r="D3" s="21" t="s">
        <v>997</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998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999</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1000</v>
      </c>
      <c r="B6" s="21" t="s">
        <v>1001</v>
      </c>
      <c r="C6" s="21" t="s">
        <v>996</v>
      </c>
      <c r="D6" s="21" t="s">
        <v>997</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1002</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1003</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1004</v>
      </c>
      <c r="B9" s="21" t="s">
        <v>1005</v>
      </c>
      <c r="C9" s="21" t="s">
        <v>1006</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1007</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1008</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1009</v>
      </c>
      <c r="B12" s="21" t="s">
        <v>1010</v>
      </c>
      <c r="C12" s="21" t="s">
        <v>1006</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1011</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row>
    <row r="15" spans="1:12">
      <c r="A15" s="20" t="s">
        <v>1012</v>
      </c>
    </row>
    <row r="16" spans="1:12">
      <c r="A16" s="20" t="s">
        <v>1013</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1014</v>
      </c>
      <c r="B17" s="21" t="s">
        <v>995</v>
      </c>
      <c r="C17" s="21" t="s">
        <v>1015</v>
      </c>
      <c r="D17" s="21" t="s">
        <v>997</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1016</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1017</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1018</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1019</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1020</v>
      </c>
      <c r="B22" s="21" t="s">
        <v>1001</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1021</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1022</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1023</v>
      </c>
      <c r="B25" s="21" t="s">
        <v>1024</v>
      </c>
      <c r="C25" s="21" t="s">
        <v>1025</v>
      </c>
      <c r="D25" s="21" t="s">
        <v>997</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1026</v>
      </c>
      <c r="B26" s="21" t="s">
        <v>1027</v>
      </c>
      <c r="C26" s="21" t="s">
        <v>1028</v>
      </c>
      <c r="D26" s="21" t="s">
        <v>997</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1029</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1030</v>
      </c>
      <c r="B28" s="21" t="s">
        <v>1024</v>
      </c>
      <c r="C28" s="21" t="s">
        <v>1006</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1031</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1029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1032</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1033</v>
      </c>
      <c r="B32" s="21" t="s">
        <v>1024</v>
      </c>
      <c r="C32" s="21" t="s">
        <v>1034</v>
      </c>
      <c r="D32" s="21" t="s">
        <v>997</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1035</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1036</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1037</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1038</v>
      </c>
      <c r="B36" s="21" t="s">
        <v>1039</v>
      </c>
      <c r="C36" s="21" t="s">
        <v>1034</v>
      </c>
      <c r="D36" s="21" t="s">
        <v>997</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1007</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1037</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1040</v>
      </c>
      <c r="B39" s="21" t="s">
        <v>1024</v>
      </c>
      <c r="C39" s="21" t="s">
        <v>1034</v>
      </c>
      <c r="D39" s="21" t="s">
        <v>997</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1041</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1037</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1042</v>
      </c>
      <c r="B42" s="21" t="s">
        <v>1024</v>
      </c>
      <c r="C42" s="21" t="s">
        <v>1034</v>
      </c>
      <c r="D42" s="21" t="s">
        <v>997</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1022</v>
      </c>
      <c r="B43" s="21" t="s">
        <v>1043</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1044</v>
      </c>
      <c r="B44" s="21" t="s">
        <v>1045</v>
      </c>
      <c r="C44" s="21" t="s">
        <v>996</v>
      </c>
      <c r="D44" s="21" t="s">
        <v>997</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1046</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1047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1007</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1048</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1049</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1050</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1037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1051</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1052</v>
      </c>
      <c r="B53" s="21" t="s">
        <v>1053</v>
      </c>
      <c r="C53" s="21" t="s">
        <v>1034</v>
      </c>
      <c r="D53" s="21" t="s">
        <v>997</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1008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1037</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1054</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1055</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1029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1056</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1057</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1011</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row>
    <row r="63" spans="1:12">
      <c r="A63" s="20" t="s">
        <v>1058</v>
      </c>
    </row>
    <row r="64" spans="1:12">
      <c r="A64" s="20" t="s">
        <v>1059</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1060</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1004</v>
      </c>
      <c r="B66" s="21" t="s">
        <v>995</v>
      </c>
      <c r="C66" s="21" t="s">
        <v>1034</v>
      </c>
      <c r="D66" s="21" t="s">
        <v>997</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1007</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1061</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1009</v>
      </c>
      <c r="B69" s="21" t="s">
        <v>1005</v>
      </c>
      <c r="C69" s="21" t="s">
        <v>1034</v>
      </c>
      <c r="D69" s="21" t="s">
        <v>997</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1062</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1063</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1064</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1049</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1065</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1066</v>
      </c>
      <c r="B75" s="21" t="s">
        <v>1067</v>
      </c>
      <c r="C75" s="21" t="s">
        <v>1068</v>
      </c>
      <c r="D75" s="21" t="s">
        <v>997</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1041</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1069</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1070</v>
      </c>
      <c r="B78" s="21" t="s">
        <v>1010</v>
      </c>
      <c r="C78" s="21" t="s">
        <v>1006</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1041</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1054</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1064</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1022</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1049</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1071</v>
      </c>
      <c r="B84" s="21" t="s">
        <v>1005</v>
      </c>
      <c r="C84" s="21" t="s">
        <v>1072</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1073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1032</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1074</v>
      </c>
      <c r="B87" s="21" t="s">
        <v>1010</v>
      </c>
      <c r="C87" s="21" t="s">
        <v>1034</v>
      </c>
      <c r="D87" s="21" t="s">
        <v>997</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1011</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row>
    <row r="90" spans="1:12">
      <c r="A90" s="20" t="s">
        <v>1075</v>
      </c>
    </row>
    <row r="91" spans="1:12">
      <c r="A91" s="20" t="s">
        <v>1076</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1009</v>
      </c>
      <c r="B92" s="21" t="s">
        <v>995</v>
      </c>
      <c r="C92" s="21" t="s">
        <v>1034</v>
      </c>
      <c r="D92" s="21" t="s">
        <v>997</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1077</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1078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1041</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1079</v>
      </c>
      <c r="B96" s="21" t="s">
        <v>1067</v>
      </c>
      <c r="C96" s="21" t="s">
        <v>1015</v>
      </c>
      <c r="D96" s="21" t="s">
        <v>997</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1080</v>
      </c>
      <c r="B97" s="21" t="s">
        <v>1027</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1081</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1082</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1083</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1084</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1085</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1008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1086</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1087</v>
      </c>
      <c r="B105" s="21" t="s">
        <v>1088</v>
      </c>
      <c r="C105" s="21" t="s">
        <v>1089</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1090</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1091</v>
      </c>
      <c r="B107" s="21" t="s">
        <v>1092</v>
      </c>
      <c r="C107" s="21" t="s">
        <v>1025</v>
      </c>
      <c r="D107" s="21" t="s">
        <v>997</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1093</v>
      </c>
      <c r="B108" s="21" t="s">
        <v>1094</v>
      </c>
      <c r="C108" s="21" t="s">
        <v>1028</v>
      </c>
      <c r="D108" s="21" t="s">
        <v>997</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1095</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1096</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1097</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1011</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row>
    <row r="114" spans="1:12">
      <c r="A114" s="20" t="s">
        <v>1098</v>
      </c>
    </row>
    <row r="115" spans="1:12">
      <c r="A115" s="20" t="s">
        <v>1099</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1084</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1085</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1100</v>
      </c>
      <c r="B118" s="21" t="s">
        <v>1101</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1008</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1102</v>
      </c>
      <c r="B120" s="21" t="s">
        <v>1005</v>
      </c>
      <c r="C120" s="21" t="s">
        <v>1006</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1041</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1103</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1097</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1104</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1008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1102</v>
      </c>
      <c r="B126" s="21" t="s">
        <v>1067</v>
      </c>
      <c r="C126" s="21" t="s">
        <v>1006</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1011</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row>
    <row r="129" spans="1:12">
      <c r="A129" s="20" t="s">
        <v>1105</v>
      </c>
    </row>
    <row r="130" spans="1:12">
      <c r="A130" s="20" t="s">
        <v>1106</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1042</v>
      </c>
      <c r="B131" s="21" t="s">
        <v>995</v>
      </c>
      <c r="C131" s="21" t="s">
        <v>1034</v>
      </c>
      <c r="D131" s="21" t="s">
        <v>997</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1107</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1108</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1109</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1008</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1037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1110</v>
      </c>
      <c r="B137" s="21" t="s">
        <v>1005</v>
      </c>
      <c r="C137" s="21" t="s">
        <v>1034</v>
      </c>
      <c r="D137" s="21" t="s">
        <v>997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1022</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1111</v>
      </c>
      <c r="B139" s="21" t="s">
        <v>1112</v>
      </c>
      <c r="C139" s="21" t="s">
        <v>1025</v>
      </c>
      <c r="D139" s="21" t="s">
        <v>997</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1113</v>
      </c>
      <c r="B140" s="21" t="s">
        <v>1114</v>
      </c>
      <c r="C140" s="21" t="s">
        <v>1028</v>
      </c>
      <c r="D140" s="21" t="s">
        <v>997</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1115</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1095</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1016</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1116</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1117</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1097</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1118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1011</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row>
    <row r="150" spans="1:12">
      <c r="A150" s="20" t="s">
        <v>1119</v>
      </c>
    </row>
    <row r="151" spans="1:12">
      <c r="A151" s="20" t="s">
        <v>1013</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1014</v>
      </c>
      <c r="B152" s="21" t="s">
        <v>995</v>
      </c>
      <c r="C152" s="21" t="s">
        <v>1015</v>
      </c>
      <c r="D152" s="21" t="s">
        <v>997</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1120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1029</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1032</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1121</v>
      </c>
      <c r="B156" s="21" t="s">
        <v>1067</v>
      </c>
      <c r="C156" s="21" t="s">
        <v>1034</v>
      </c>
      <c r="D156" s="21" t="s">
        <v>997</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1011</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row>
    <row r="159" spans="1:12">
      <c r="A159" s="20" t="s">
        <v>1122</v>
      </c>
    </row>
    <row r="160" spans="1:12">
      <c r="A160" s="20" t="s">
        <v>1123</v>
      </c>
      <c r="B160" s="21" t="s">
        <v>995</v>
      </c>
      <c r="C160" s="21" t="s">
        <v>1015</v>
      </c>
      <c r="D160" s="21" t="s">
        <v>997</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1120</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1029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1060</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1124</v>
      </c>
      <c r="B164" s="21" t="s">
        <v>1067</v>
      </c>
      <c r="C164" s="21" t="s">
        <v>1034</v>
      </c>
      <c r="D164" s="21" t="s">
        <v>997</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1011</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row>
    <row r="167" spans="1:12">
      <c r="A167" s="20" t="s">
        <v>1125</v>
      </c>
    </row>
    <row r="168" spans="1:12">
      <c r="A168" s="20" t="s">
        <v>1123</v>
      </c>
      <c r="B168" s="21" t="s">
        <v>995</v>
      </c>
      <c r="C168" s="21" t="s">
        <v>1015</v>
      </c>
      <c r="D168" s="21" t="s">
        <v>997</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1120</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1029</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1008</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1037</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1126</v>
      </c>
      <c r="B173" s="21" t="s">
        <v>1067</v>
      </c>
      <c r="C173" s="21" t="s">
        <v>1034</v>
      </c>
      <c r="D173" s="21" t="s">
        <v>997</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1011</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row>
    <row r="176" spans="1:12">
      <c r="A176" s="20" t="s">
        <v>1127</v>
      </c>
    </row>
    <row r="177" spans="1:12">
      <c r="A177" s="20" t="s">
        <v>1106</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1128</v>
      </c>
      <c r="B178" s="21" t="s">
        <v>995</v>
      </c>
      <c r="C178" s="21" t="s">
        <v>1034</v>
      </c>
      <c r="D178" s="21" t="s">
        <v>997</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1129</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1130</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1131</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1049</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1132</v>
      </c>
      <c r="B183" s="21" t="s">
        <v>1067</v>
      </c>
      <c r="C183" s="21" t="s">
        <v>1133</v>
      </c>
      <c r="D183" s="21" t="s">
        <v>997</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1011</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row>
    <row r="186" spans="1:12">
      <c r="A186" s="20" t="s">
        <v>1134</v>
      </c>
    </row>
    <row r="187" spans="1:12">
      <c r="A187" s="20" t="s">
        <v>1076</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1135</v>
      </c>
      <c r="B188" s="21" t="s">
        <v>995</v>
      </c>
      <c r="C188" s="21" t="s">
        <v>1034</v>
      </c>
      <c r="D188" s="21" t="s">
        <v>997</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1008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1060</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1004</v>
      </c>
      <c r="B191" s="21" t="s">
        <v>1005</v>
      </c>
      <c r="C191" s="21" t="s">
        <v>1034</v>
      </c>
      <c r="D191" s="21" t="s">
        <v>997</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1041</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1136</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1041</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423</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1137</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1138</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1049</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1132</v>
      </c>
      <c r="B199" s="21" t="s">
        <v>1067</v>
      </c>
      <c r="C199" s="21" t="s">
        <v>1133</v>
      </c>
      <c r="D199" s="21" t="s">
        <v>997</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1011</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row>
    <row r="202" spans="1:12">
      <c r="A202" s="20" t="s">
        <v>1139</v>
      </c>
    </row>
    <row r="203" spans="1:12">
      <c r="A203" s="20" t="s">
        <v>1140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1070</v>
      </c>
      <c r="B204" s="21" t="s">
        <v>1005</v>
      </c>
      <c r="C204" s="21" t="s">
        <v>1006</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1041</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1141</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1000</v>
      </c>
      <c r="B207" s="21" t="s">
        <v>1142</v>
      </c>
      <c r="C207" s="21" t="s">
        <v>996</v>
      </c>
      <c r="D207" s="21" t="s">
        <v>997</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1095</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1143</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65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1061</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1135</v>
      </c>
      <c r="B212" s="21" t="s">
        <v>1039</v>
      </c>
      <c r="C212" s="21" t="s">
        <v>1034</v>
      </c>
      <c r="D212" s="21" t="s">
        <v>997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1022</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1003</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1144</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1145</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1146</v>
      </c>
      <c r="B217" s="21" t="s">
        <v>1024</v>
      </c>
      <c r="C217" s="21" t="s">
        <v>1089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1041</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1049</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1147</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1032</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1148</v>
      </c>
      <c r="B222" s="21" t="s">
        <v>1039</v>
      </c>
      <c r="C222" s="21" t="s">
        <v>1034</v>
      </c>
      <c r="D222" s="21" t="s">
        <v>997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1041</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1079</v>
      </c>
      <c r="B224" s="21" t="s">
        <v>995</v>
      </c>
      <c r="C224" s="21" t="s">
        <v>1015</v>
      </c>
      <c r="D224" s="21" t="s">
        <v>997</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1149</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1041</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1008</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1150</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1041</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1151</v>
      </c>
      <c r="B230" s="21" t="s">
        <v>1067</v>
      </c>
      <c r="C230" s="21" t="s">
        <v>1015</v>
      </c>
      <c r="D230" s="21" t="s">
        <v>997</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1008</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1060</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1004</v>
      </c>
      <c r="B233" s="21" t="s">
        <v>1067</v>
      </c>
      <c r="C233" s="21" t="s">
        <v>1034</v>
      </c>
      <c r="D233" s="21" t="s">
        <v>997</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1011</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row>
    <row r="236" spans="1:12">
      <c r="A236" s="20" t="s">
        <v>1152</v>
      </c>
    </row>
    <row r="237" spans="1:12">
      <c r="A237" s="20" t="s">
        <v>1153</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1041</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1061</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1135</v>
      </c>
      <c r="B240" s="21" t="s">
        <v>995</v>
      </c>
      <c r="C240" s="21" t="s">
        <v>1034</v>
      </c>
      <c r="D240" s="21" t="s">
        <v>997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1008</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1060</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1004</v>
      </c>
      <c r="B243" s="21" t="s">
        <v>1005</v>
      </c>
      <c r="C243" s="21" t="s">
        <v>1034</v>
      </c>
      <c r="D243" s="21" t="s">
        <v>997</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1154</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1155</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1029</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1061</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1156</v>
      </c>
      <c r="B248" s="21" t="s">
        <v>1067</v>
      </c>
      <c r="C248" s="21" t="s">
        <v>1034</v>
      </c>
      <c r="D248" s="21" t="s">
        <v>997</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1008</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1061</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1030</v>
      </c>
      <c r="B251" s="21" t="s">
        <v>1005</v>
      </c>
      <c r="C251" s="21" t="s">
        <v>1034</v>
      </c>
      <c r="D251" s="21" t="s">
        <v>997</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1011</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row>
    <row r="254" spans="1:12">
      <c r="A254" s="20" t="s">
        <v>1157</v>
      </c>
    </row>
    <row r="255" spans="1:12">
      <c r="A255" s="20" t="s">
        <v>1158</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1041</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1037</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1159</v>
      </c>
      <c r="B258" s="21" t="s">
        <v>995</v>
      </c>
      <c r="C258" s="21" t="s">
        <v>1034</v>
      </c>
      <c r="D258" s="21" t="s">
        <v>997</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1008</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1032</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1160</v>
      </c>
      <c r="B261" s="21" t="s">
        <v>1005</v>
      </c>
      <c r="C261" s="21" t="s">
        <v>1034</v>
      </c>
      <c r="D261" s="21" t="s">
        <v>997</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1062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1161</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1073</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1037</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1159</v>
      </c>
      <c r="B266" s="21" t="s">
        <v>1067</v>
      </c>
      <c r="C266" s="21" t="s">
        <v>1034</v>
      </c>
      <c r="D266" s="21" t="s">
        <v>997</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1008</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1060</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1004</v>
      </c>
      <c r="B269" s="21" t="s">
        <v>1005</v>
      </c>
      <c r="C269" s="21" t="s">
        <v>1034</v>
      </c>
      <c r="D269" s="21" t="s">
        <v>997</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1011</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row>
    <row r="272" spans="1:12">
      <c r="A272" s="20" t="s">
        <v>1162</v>
      </c>
    </row>
    <row r="273" spans="1:12">
      <c r="A273" s="20" t="s">
        <v>1163</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1164</v>
      </c>
      <c r="B274" s="21" t="s">
        <v>995</v>
      </c>
      <c r="C274" s="21" t="s">
        <v>1034</v>
      </c>
      <c r="D274" s="21" t="s">
        <v>997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1008</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1061</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1165</v>
      </c>
      <c r="B277" s="21" t="s">
        <v>1005</v>
      </c>
      <c r="C277" s="21" t="s">
        <v>1034</v>
      </c>
      <c r="D277" s="21" t="s">
        <v>997</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1154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1166</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1032</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1164</v>
      </c>
      <c r="B281" s="21" t="s">
        <v>1101</v>
      </c>
      <c r="C281" s="21" t="s">
        <v>1034</v>
      </c>
      <c r="D281" s="21" t="s">
        <v>997</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1167</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1041</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1007</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1041</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1168</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1109</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1037</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1087</v>
      </c>
      <c r="B289" s="21" t="s">
        <v>1067</v>
      </c>
      <c r="C289" s="21" t="s">
        <v>1034</v>
      </c>
      <c r="D289" s="21" t="s">
        <v>997</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1169</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1041</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1044</v>
      </c>
      <c r="B292" s="21" t="s">
        <v>1142</v>
      </c>
      <c r="C292" s="21" t="s">
        <v>996</v>
      </c>
      <c r="D292" s="21" t="s">
        <v>997</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1170</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1171</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1029</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1144</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1172</v>
      </c>
      <c r="B297" s="21" t="s">
        <v>1005</v>
      </c>
      <c r="C297" s="21" t="s">
        <v>1089</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1137</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1173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1008</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1061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1135</v>
      </c>
      <c r="B302" s="21" t="s">
        <v>1010</v>
      </c>
      <c r="C302" s="21" t="s">
        <v>1034</v>
      </c>
      <c r="D302" s="21" t="s">
        <v>997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1008</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1060</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1174</v>
      </c>
      <c r="B305" s="21" t="s">
        <v>1024</v>
      </c>
      <c r="C305" s="21" t="s">
        <v>1034</v>
      </c>
      <c r="D305" s="21" t="s">
        <v>997</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1041</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1007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1175</v>
      </c>
      <c r="B308" s="21" t="s">
        <v>1027</v>
      </c>
      <c r="C308" s="21" t="s">
        <v>1015</v>
      </c>
      <c r="D308" s="21" t="s">
        <v>997</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423</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237</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1029</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737</v>
      </c>
      <c r="B312" s="21" t="s">
        <v>1010</v>
      </c>
      <c r="C312" s="21" t="s">
        <v>1015</v>
      </c>
      <c r="D312" s="21" t="s">
        <v>997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1022</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1044</v>
      </c>
      <c r="B314" s="21" t="s">
        <v>1114</v>
      </c>
      <c r="C314" s="21" t="s">
        <v>996</v>
      </c>
      <c r="D314" s="21" t="s">
        <v>997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1170</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1008</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1037</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1176</v>
      </c>
      <c r="B318" s="21" t="s">
        <v>1024</v>
      </c>
      <c r="C318" s="21" t="s">
        <v>1034</v>
      </c>
      <c r="D318" s="21" t="s">
        <v>997</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1041</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1060</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1177</v>
      </c>
      <c r="B321" s="21" t="s">
        <v>1024</v>
      </c>
      <c r="C321" s="21" t="s">
        <v>1034</v>
      </c>
      <c r="D321" s="21" t="s">
        <v>997</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1178</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1041</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1022</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1044</v>
      </c>
      <c r="B325" s="21" t="s">
        <v>1045</v>
      </c>
      <c r="C325" s="21" t="s">
        <v>996</v>
      </c>
      <c r="D325" s="21" t="s">
        <v>997</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1179</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1180</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1008</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1037</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1181</v>
      </c>
      <c r="B330" s="21" t="s">
        <v>1182</v>
      </c>
      <c r="C330" s="21" t="s">
        <v>1034</v>
      </c>
      <c r="D330" s="21" t="s">
        <v>997</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1183</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1007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158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1184</v>
      </c>
      <c r="B334" s="21" t="s">
        <v>1043</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1008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1042</v>
      </c>
      <c r="B336" s="21" t="s">
        <v>1092</v>
      </c>
      <c r="C336" s="21" t="s">
        <v>1006</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1011</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row>
    <row r="339" spans="1:12">
      <c r="A339" s="20" t="s">
        <v>1185</v>
      </c>
    </row>
    <row r="340" spans="1:12">
      <c r="A340" s="20" t="s">
        <v>1186</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1061</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1187</v>
      </c>
      <c r="B342" s="21" t="s">
        <v>1067</v>
      </c>
      <c r="C342" s="21" t="s">
        <v>1034</v>
      </c>
      <c r="D342" s="21" t="s">
        <v>997</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1188</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1041</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1116</v>
      </c>
      <c r="B345" s="21" t="s">
        <v>995</v>
      </c>
      <c r="C345" s="21" t="s">
        <v>1133</v>
      </c>
      <c r="D345" s="21" t="s">
        <v>997</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1189</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1190</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1191</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1192</v>
      </c>
      <c r="B349" s="21" t="s">
        <v>1067</v>
      </c>
      <c r="C349" s="21" t="s">
        <v>1006</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1029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1060</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1174</v>
      </c>
      <c r="B352" s="21" t="s">
        <v>1005</v>
      </c>
      <c r="C352" s="21" t="s">
        <v>1034</v>
      </c>
      <c r="D352" s="21" t="s">
        <v>997</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1011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row>
    <row r="355" spans="1:12">
      <c r="A355" s="20" t="s">
        <v>1193</v>
      </c>
    </row>
    <row r="356" spans="1:12">
      <c r="A356" s="20" t="s">
        <v>1059</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1041</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1069</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1168</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1030</v>
      </c>
      <c r="B360" s="21" t="s">
        <v>1005</v>
      </c>
      <c r="C360" s="21" t="s">
        <v>1006</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1082</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1194</v>
      </c>
      <c r="B362" s="21" t="s">
        <v>1027</v>
      </c>
      <c r="C362" s="21" t="s">
        <v>1133</v>
      </c>
      <c r="D362" s="21" t="s">
        <v>997</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1195</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1196</v>
      </c>
      <c r="B364" s="21" t="s">
        <v>1024</v>
      </c>
      <c r="C364" s="21" t="s">
        <v>1025</v>
      </c>
      <c r="D364" s="21" t="s">
        <v>997</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1135</v>
      </c>
      <c r="B365" s="21" t="s">
        <v>1039</v>
      </c>
      <c r="C365" s="21" t="s">
        <v>1028</v>
      </c>
      <c r="D365" s="21" t="s">
        <v>997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12</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1007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1175</v>
      </c>
      <c r="B368" s="21" t="s">
        <v>1045</v>
      </c>
      <c r="C368" s="21" t="s">
        <v>1015</v>
      </c>
      <c r="D368" s="21" t="s">
        <v>997</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423</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1197</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1049</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1061</v>
      </c>
      <c r="B372" s="21" t="s">
        <v>1043</v>
      </c>
      <c r="C372" s="21" t="s">
        <v>996</v>
      </c>
      <c r="D372" s="21" t="s">
        <v>997</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1198</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1191</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11</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12</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12</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1044</v>
      </c>
      <c r="B378" s="21" t="s">
        <v>995</v>
      </c>
      <c r="C378" s="21" t="s">
        <v>996</v>
      </c>
      <c r="D378" s="21" t="s">
        <v>997</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1046</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1199</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1029</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1144</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1200</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1201</v>
      </c>
      <c r="B384" s="21" t="s">
        <v>1005</v>
      </c>
      <c r="C384" s="21" t="s">
        <v>1089</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1041</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1007</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1202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1201</v>
      </c>
      <c r="B388" s="21" t="s">
        <v>1142</v>
      </c>
      <c r="C388" s="21" t="s">
        <v>1068</v>
      </c>
      <c r="D388" s="21" t="s">
        <v>997</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1035</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1061</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1203</v>
      </c>
      <c r="B391" s="21" t="s">
        <v>1001</v>
      </c>
      <c r="C391" s="21" t="s">
        <v>1034</v>
      </c>
      <c r="D391" s="21" t="s">
        <v>997</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1011</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row>
    <row r="394" spans="1:12">
      <c r="A394" s="20" t="s">
        <v>1204</v>
      </c>
    </row>
    <row r="395" spans="1:12">
      <c r="A395" s="20" t="s">
        <v>1076</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1203</v>
      </c>
      <c r="B396" s="21" t="s">
        <v>995</v>
      </c>
      <c r="C396" s="21" t="s">
        <v>1034</v>
      </c>
      <c r="D396" s="21" t="s">
        <v>997</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1205</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1032</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1074</v>
      </c>
      <c r="B399" s="21" t="s">
        <v>1101</v>
      </c>
      <c r="C399" s="21" t="s">
        <v>1034</v>
      </c>
      <c r="D399" s="21" t="s">
        <v>997</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1041</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1007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1060</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1206</v>
      </c>
      <c r="B403" s="21" t="s">
        <v>1142</v>
      </c>
      <c r="C403" s="21" t="s">
        <v>1034</v>
      </c>
      <c r="D403" s="21" t="s">
        <v>997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1073</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1061</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1203</v>
      </c>
      <c r="B406" s="21" t="s">
        <v>1010</v>
      </c>
      <c r="C406" s="21" t="s">
        <v>1034</v>
      </c>
      <c r="D406" s="21" t="s">
        <v>997</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423</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1069</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1207</v>
      </c>
      <c r="B409" s="21" t="s">
        <v>1005</v>
      </c>
      <c r="C409" s="21" t="s">
        <v>1006</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1137</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1208</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1011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row>
    <row r="414" spans="1:12">
      <c r="A414" s="20" t="s">
        <v>1209</v>
      </c>
    </row>
    <row r="415" spans="1:12">
      <c r="A415" s="20" t="s">
        <v>1210</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1000</v>
      </c>
      <c r="B416" s="21" t="s">
        <v>1142</v>
      </c>
      <c r="C416" s="21" t="s">
        <v>996</v>
      </c>
      <c r="D416" s="21" t="s">
        <v>997</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1211</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1061</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1212</v>
      </c>
      <c r="B419" s="21" t="s">
        <v>1001</v>
      </c>
      <c r="C419" s="21" t="s">
        <v>1034</v>
      </c>
      <c r="D419" s="21" t="s">
        <v>997</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1008</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1061</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1203</v>
      </c>
      <c r="B422" s="21" t="s">
        <v>1010</v>
      </c>
      <c r="C422" s="21" t="s">
        <v>1034</v>
      </c>
      <c r="D422" s="21" t="s">
        <v>997</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1213</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1041</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1014</v>
      </c>
      <c r="B425" s="21" t="s">
        <v>995</v>
      </c>
      <c r="C425" s="21" t="s">
        <v>1015</v>
      </c>
      <c r="D425" s="21" t="s">
        <v>997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1120</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1029</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1144</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1214</v>
      </c>
      <c r="B429" s="21" t="s">
        <v>1067</v>
      </c>
      <c r="C429" s="21" t="s">
        <v>1089</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1008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1215</v>
      </c>
      <c r="B431" s="21" t="s">
        <v>1005</v>
      </c>
      <c r="C431" s="21" t="s">
        <v>1006</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1041</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1007</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1202</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1214</v>
      </c>
      <c r="B435" s="21" t="s">
        <v>1027</v>
      </c>
      <c r="C435" s="21" t="s">
        <v>1068</v>
      </c>
      <c r="D435" s="21" t="s">
        <v>997</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1008</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1215</v>
      </c>
      <c r="B437" s="21" t="s">
        <v>1024</v>
      </c>
      <c r="C437" s="21" t="s">
        <v>1006</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1120</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1029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1008</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1037</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1216</v>
      </c>
      <c r="B442" s="21" t="s">
        <v>1010</v>
      </c>
      <c r="C442" s="21" t="s">
        <v>1034</v>
      </c>
      <c r="D442" s="21" t="s">
        <v>997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1137</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1217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1011</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row>
    <row r="447" spans="1:12">
      <c r="A447" s="20" t="s">
        <v>1218</v>
      </c>
    </row>
    <row r="448" spans="1:12">
      <c r="A448" s="20" t="s">
        <v>1219</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1037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1216</v>
      </c>
      <c r="B450" s="21" t="s">
        <v>1067</v>
      </c>
      <c r="C450" s="21" t="s">
        <v>1034</v>
      </c>
      <c r="D450" s="21" t="s">
        <v>997</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1073</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1032</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1220</v>
      </c>
      <c r="B453" s="21" t="s">
        <v>1005</v>
      </c>
      <c r="C453" s="21" t="s">
        <v>1034</v>
      </c>
      <c r="D453" s="21" t="s">
        <v>997</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1007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1041</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1221</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1222</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1041</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1008</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1037</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1216</v>
      </c>
      <c r="B461" s="21" t="s">
        <v>1005</v>
      </c>
      <c r="C461" s="21" t="s">
        <v>1034</v>
      </c>
      <c r="D461" s="21" t="s">
        <v>997</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1223</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1041</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1021</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1022</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1037</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1224</v>
      </c>
      <c r="B467" s="21" t="s">
        <v>995</v>
      </c>
      <c r="C467" s="21" t="s">
        <v>1034</v>
      </c>
      <c r="D467" s="21" t="s">
        <v>997</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1225</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1095</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1226</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1097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1227</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1228</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1029</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1065</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1128</v>
      </c>
      <c r="B476" s="21" t="s">
        <v>1005</v>
      </c>
      <c r="C476" s="21" t="s">
        <v>1068</v>
      </c>
      <c r="D476" s="21" t="s">
        <v>997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1229</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1041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1007</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1230</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1194</v>
      </c>
      <c r="B481" s="21" t="s">
        <v>1142</v>
      </c>
      <c r="C481" s="21" t="s">
        <v>1133</v>
      </c>
      <c r="D481" s="21" t="s">
        <v>997</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1231</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1060</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1232</v>
      </c>
      <c r="B484" s="21" t="s">
        <v>1001</v>
      </c>
      <c r="C484" s="21" t="s">
        <v>1028</v>
      </c>
      <c r="D484" s="21" t="s">
        <v>997</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1008</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1065</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1224</v>
      </c>
      <c r="B487" s="21" t="s">
        <v>1010</v>
      </c>
      <c r="C487" s="21" t="s">
        <v>1068</v>
      </c>
      <c r="D487" s="21" t="s">
        <v>997</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1011</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row>
    <row r="490" spans="1:12">
      <c r="A490" s="20" t="s">
        <v>1233</v>
      </c>
    </row>
    <row r="491" spans="1:12">
      <c r="A491" s="20" t="s">
        <v>1234</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423</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1235</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1022</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1073</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1037</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1236</v>
      </c>
      <c r="B497" s="21" t="s">
        <v>1067</v>
      </c>
      <c r="C497" s="21" t="s">
        <v>1034</v>
      </c>
      <c r="D497" s="21" t="s">
        <v>997</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1237</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1041</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1238</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1215</v>
      </c>
      <c r="B501" s="21" t="s">
        <v>1005</v>
      </c>
      <c r="C501" s="21" t="s">
        <v>1239</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1194</v>
      </c>
      <c r="B502" s="21" t="s">
        <v>1114</v>
      </c>
      <c r="C502" s="21" t="s">
        <v>1133</v>
      </c>
      <c r="D502" s="21" t="s">
        <v>997</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1085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1041</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1029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1240</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1008</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1238</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1214</v>
      </c>
      <c r="B509" s="21" t="s">
        <v>1112</v>
      </c>
      <c r="C509" s="21" t="s">
        <v>1239</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1008</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1203</v>
      </c>
      <c r="B511" s="21" t="s">
        <v>1182</v>
      </c>
      <c r="C511" s="21" t="s">
        <v>1006</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1041</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1007</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1029</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1241</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1242</v>
      </c>
      <c r="B516" s="21" t="s">
        <v>1092</v>
      </c>
      <c r="C516" s="21" t="s">
        <v>1239</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1194</v>
      </c>
      <c r="B517" s="21" t="s">
        <v>1243</v>
      </c>
      <c r="C517" s="21" t="s">
        <v>1133</v>
      </c>
      <c r="D517" s="21" t="s">
        <v>997</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1085</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1008</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1037</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1216</v>
      </c>
      <c r="B521" s="21" t="s">
        <v>1092</v>
      </c>
      <c r="C521" s="21" t="s">
        <v>1034</v>
      </c>
      <c r="D521" s="21" t="s">
        <v>997</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1244</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1245</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1041</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1246</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1041</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1194</v>
      </c>
      <c r="B527" s="21" t="s">
        <v>1142</v>
      </c>
      <c r="C527" s="21" t="s">
        <v>1133</v>
      </c>
      <c r="D527" s="21" t="s">
        <v>997</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1247</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1144</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1248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1124</v>
      </c>
      <c r="B531" s="21" t="s">
        <v>1001</v>
      </c>
      <c r="C531" s="21" t="s">
        <v>1089</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1041</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1249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1097</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1250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1011</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row>
    <row r="538" spans="1:12">
      <c r="A538" s="20" t="s">
        <v>1251</v>
      </c>
    </row>
    <row r="539" spans="1:12">
      <c r="A539" s="20" t="s">
        <v>1013</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1141</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1194</v>
      </c>
      <c r="B541" s="21" t="s">
        <v>1142</v>
      </c>
      <c r="C541" s="21" t="s">
        <v>1133</v>
      </c>
      <c r="D541" s="21" t="s">
        <v>997</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1095</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1252</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1097</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1253</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1061</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1254</v>
      </c>
      <c r="B547" s="21" t="s">
        <v>1001</v>
      </c>
      <c r="C547" s="21" t="s">
        <v>1028</v>
      </c>
      <c r="D547" s="21" t="s">
        <v>997</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1008</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1255</v>
      </c>
      <c r="B549" s="21" t="s">
        <v>1010</v>
      </c>
      <c r="C549" s="21" t="s">
        <v>1006</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1008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1065</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1216</v>
      </c>
      <c r="B552" s="21" t="s">
        <v>1010</v>
      </c>
      <c r="C552" s="21" t="s">
        <v>1068</v>
      </c>
      <c r="D552" s="21" t="s">
        <v>997</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1041</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1194</v>
      </c>
      <c r="B554" s="21" t="s">
        <v>995</v>
      </c>
      <c r="C554" s="21" t="s">
        <v>1133</v>
      </c>
      <c r="D554" s="21" t="s">
        <v>997</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1256</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1082</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1257</v>
      </c>
      <c r="B557" s="21" t="s">
        <v>1142</v>
      </c>
      <c r="C557" s="21" t="s">
        <v>996</v>
      </c>
      <c r="D557" s="21" t="s">
        <v>997</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1130</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1063</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1258</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1011</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row>
    <row r="563" spans="1:12">
      <c r="A563" s="20" t="s">
        <v>1259</v>
      </c>
    </row>
    <row r="564" spans="1:12">
      <c r="A564" s="20" t="s">
        <v>1260</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1261</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1262</v>
      </c>
      <c r="B566" s="21" t="s">
        <v>1067</v>
      </c>
      <c r="C566" s="21" t="s">
        <v>1239</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1041</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1263</v>
      </c>
      <c r="B568" s="21" t="s">
        <v>995</v>
      </c>
      <c r="C568" s="21" t="s">
        <v>996</v>
      </c>
      <c r="D568" s="21" t="s">
        <v>997</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1264</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1265</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1029</v>
      </c>
      <c r="B571" s="21" t="s">
        <v>1101</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1008</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1037</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1266</v>
      </c>
      <c r="B574" s="21" t="s">
        <v>1005</v>
      </c>
      <c r="C574" s="21" t="s">
        <v>1034</v>
      </c>
      <c r="D574" s="21" t="s">
        <v>997</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1008</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1267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1268</v>
      </c>
      <c r="B577" s="21" t="s">
        <v>1010</v>
      </c>
      <c r="C577" s="21" t="s">
        <v>1006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1227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1083</v>
      </c>
      <c r="B579" s="21" t="s">
        <v>1142</v>
      </c>
      <c r="C579" s="21" t="s">
        <v>996</v>
      </c>
      <c r="D579" s="21" t="s">
        <v>997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1269</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1270</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1271</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1272</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1029</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1273</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1008</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1274</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1275</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row>
    <row r="590" spans="1:12">
      <c r="A590" s="20" t="s">
        <v>1276</v>
      </c>
    </row>
    <row r="591" spans="1:12">
      <c r="A591" s="20" t="s">
        <v>1277</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1016</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1278</v>
      </c>
      <c r="B593" s="21" t="s">
        <v>995</v>
      </c>
      <c r="C593" s="21" t="s">
        <v>1133</v>
      </c>
      <c r="D593" s="21" t="s">
        <v>997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1097</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1117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1279</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1008</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1032</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1280</v>
      </c>
      <c r="B599" s="21" t="s">
        <v>1005</v>
      </c>
      <c r="C599" s="21" t="s">
        <v>1034</v>
      </c>
      <c r="D599" s="21" t="s">
        <v>997</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1103</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1008</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1061</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1281</v>
      </c>
      <c r="B603" s="21" t="s">
        <v>1010</v>
      </c>
      <c r="C603" s="21" t="s">
        <v>1034</v>
      </c>
      <c r="D603" s="21" t="s">
        <v>997</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1275</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row>
    <row r="606" spans="1:12">
      <c r="A606" s="20" t="s">
        <v>1282</v>
      </c>
    </row>
    <row r="607" spans="1:12">
      <c r="A607" s="20" t="s">
        <v>1013</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1032</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1283</v>
      </c>
      <c r="B609" s="21" t="s">
        <v>995</v>
      </c>
      <c r="C609" s="21" t="s">
        <v>1034</v>
      </c>
      <c r="D609" s="21" t="s">
        <v>997</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423</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1022</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1041</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1272</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1029</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1079</v>
      </c>
      <c r="B615" s="21" t="s">
        <v>1067</v>
      </c>
      <c r="C615" s="21" t="s">
        <v>1015</v>
      </c>
      <c r="D615" s="21" t="s">
        <v>997</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1022</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1044</v>
      </c>
      <c r="B617" s="21" t="s">
        <v>1027</v>
      </c>
      <c r="C617" s="21" t="s">
        <v>996</v>
      </c>
      <c r="D617" s="21" t="s">
        <v>997</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1284</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1008</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1274</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1041</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1032</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1215</v>
      </c>
      <c r="B623" s="21" t="s">
        <v>1027</v>
      </c>
      <c r="C623" s="21" t="s">
        <v>1034</v>
      </c>
      <c r="D623" s="21" t="s">
        <v>997</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1285</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1029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205</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1011</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row>
    <row r="629" spans="1:12">
      <c r="A629" s="20" t="s">
        <v>1286</v>
      </c>
    </row>
    <row r="630" spans="1:12">
      <c r="A630" s="20" t="s">
        <v>1013</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1287</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1175</v>
      </c>
      <c r="B632" s="21" t="s">
        <v>995</v>
      </c>
      <c r="C632" s="21" t="s">
        <v>1015</v>
      </c>
      <c r="D632" s="21" t="s">
        <v>997</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423</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1018</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1288</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1289</v>
      </c>
      <c r="B636" s="21" t="s">
        <v>1067</v>
      </c>
      <c r="C636" s="21" t="s">
        <v>1089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1011</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row>
    <row r="639" spans="1:12">
      <c r="A639" s="20" t="s">
        <v>1290</v>
      </c>
    </row>
    <row r="640" spans="1:12">
      <c r="A640" s="20" t="s">
        <v>1234</v>
      </c>
      <c r="B640" s="21" t="s">
        <v>995</v>
      </c>
      <c r="C640" s="21" t="s">
        <v>1015</v>
      </c>
      <c r="D640" s="21" t="s">
        <v>997</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423</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1137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1291</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1022</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1008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338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1082</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1194</v>
      </c>
      <c r="B648" s="21" t="s">
        <v>1027</v>
      </c>
      <c r="C648" s="21" t="s">
        <v>1133</v>
      </c>
      <c r="D648" s="21" t="s">
        <v>997</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423</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1018</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1292</v>
      </c>
      <c r="B651" s="21" t="s">
        <v>1005</v>
      </c>
      <c r="C651" s="21" t="s">
        <v>1089</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1008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1293</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1294</v>
      </c>
      <c r="B654" s="21" t="s">
        <v>1010</v>
      </c>
      <c r="C654" s="21" t="s">
        <v>1295</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1008</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1267</v>
      </c>
      <c r="B656" s="21" t="s">
        <v>1024</v>
      </c>
      <c r="C656" s="21" t="s">
        <v>1006</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1296</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1008</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1297</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1298</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1018</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1299</v>
      </c>
      <c r="B662" s="21" t="s">
        <v>1112</v>
      </c>
      <c r="C662" s="21" t="s">
        <v>1089</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1008</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16</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1294</v>
      </c>
      <c r="B665" s="21" t="s">
        <v>1182</v>
      </c>
      <c r="C665" s="21" t="s">
        <v>1295</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1041</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1007</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1082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1194</v>
      </c>
      <c r="B669" s="21" t="s">
        <v>1114</v>
      </c>
      <c r="C669" s="21" t="s">
        <v>1133</v>
      </c>
      <c r="D669" s="21" t="s">
        <v>997</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1189</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1300</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1061</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481</v>
      </c>
      <c r="B673" s="21" t="s">
        <v>1301</v>
      </c>
      <c r="C673" s="21" t="s">
        <v>1034</v>
      </c>
      <c r="D673" s="21" t="s">
        <v>997</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1008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1227</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1084</v>
      </c>
      <c r="B676" s="21" t="s">
        <v>1053</v>
      </c>
      <c r="C676" s="21" t="s">
        <v>1133</v>
      </c>
      <c r="D676" s="21" t="s">
        <v>997</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1302</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1011</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row>
    <row r="680" spans="1:12">
      <c r="A680" s="20" t="s">
        <v>1303</v>
      </c>
    </row>
    <row r="681" spans="1:12">
      <c r="A681" s="20" t="s">
        <v>1304</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1041</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1175</v>
      </c>
      <c r="B683" s="21" t="s">
        <v>995</v>
      </c>
      <c r="C683" s="21" t="s">
        <v>1015</v>
      </c>
      <c r="D683" s="21" t="s">
        <v>997</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423</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1305</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1146</v>
      </c>
      <c r="B686" s="21" t="s">
        <v>1067</v>
      </c>
      <c r="C686" s="21" t="s">
        <v>1239</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1080</v>
      </c>
      <c r="B687" s="21" t="s">
        <v>1142</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1306</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1307</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1029</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1274</v>
      </c>
      <c r="B691" s="21" t="s">
        <v>1010</v>
      </c>
      <c r="C691" s="21" t="s">
        <v>1006</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1011</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row>
    <row r="694" spans="1:12">
      <c r="A694" s="20" t="s">
        <v>1308</v>
      </c>
    </row>
    <row r="695" spans="1:12">
      <c r="A695" s="20" t="s">
        <v>1309</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1310</v>
      </c>
      <c r="B696" s="21" t="s">
        <v>1067</v>
      </c>
      <c r="C696" s="21" t="s">
        <v>1239</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1041</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1044</v>
      </c>
      <c r="B698" s="21" t="s">
        <v>995</v>
      </c>
      <c r="C698" s="21" t="s">
        <v>996</v>
      </c>
      <c r="D698" s="21" t="s">
        <v>997</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1311</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1144</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1312</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1313</v>
      </c>
      <c r="B702" s="21" t="s">
        <v>1101</v>
      </c>
      <c r="C702" s="21" t="s">
        <v>1089</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1008</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1203</v>
      </c>
      <c r="B704" s="21" t="s">
        <v>1005</v>
      </c>
      <c r="C704" s="21" t="s">
        <v>1006</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1041</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1054</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1008</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113</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1052</v>
      </c>
      <c r="B709" s="21" t="s">
        <v>1005</v>
      </c>
      <c r="C709" s="21" t="s">
        <v>1295</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1008</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1314</v>
      </c>
      <c r="B711" s="21" t="s">
        <v>1010</v>
      </c>
      <c r="C711" s="21" t="s">
        <v>1006</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1011</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row>
    <row r="714" spans="1:12">
      <c r="A714" s="20" t="s">
        <v>1315</v>
      </c>
    </row>
    <row r="715" spans="1:12">
      <c r="A715" s="20" t="s">
        <v>1316</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1317</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1318</v>
      </c>
      <c r="B717" s="21" t="s">
        <v>1067</v>
      </c>
      <c r="C717" s="21" t="s">
        <v>1239</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1041</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737</v>
      </c>
      <c r="B719" s="21" t="s">
        <v>995</v>
      </c>
      <c r="C719" s="21" t="s">
        <v>1015</v>
      </c>
      <c r="D719" s="21" t="s">
        <v>997</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1319</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1273</v>
      </c>
      <c r="B721" s="21" t="s">
        <v>1101</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1008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1320</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1314</v>
      </c>
      <c r="B724" s="21" t="s">
        <v>1005</v>
      </c>
      <c r="C724" s="21" t="s">
        <v>1295</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1011</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row>
    <row r="727" spans="1:12">
      <c r="A727" s="20" t="s">
        <v>1321</v>
      </c>
    </row>
    <row r="728" spans="1:12">
      <c r="A728" s="20" t="s">
        <v>1316</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1018</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1322</v>
      </c>
      <c r="B730" s="21" t="s">
        <v>1067</v>
      </c>
      <c r="C730" s="21" t="s">
        <v>1089</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1003</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1018</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1323</v>
      </c>
      <c r="B733" s="21" t="s">
        <v>1005</v>
      </c>
      <c r="C733" s="21" t="s">
        <v>1089</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1324</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1041</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1175</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423</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1325</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1003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1144</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1326</v>
      </c>
      <c r="B741" s="21" t="s">
        <v>1067</v>
      </c>
      <c r="C741" s="21" t="s">
        <v>1089</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1011</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row>
    <row r="744" spans="1:12">
      <c r="A744" s="20" t="s">
        <v>1327</v>
      </c>
    </row>
    <row r="745" spans="1:12">
      <c r="A745" s="20" t="s">
        <v>1163</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1328</v>
      </c>
      <c r="B746" s="21" t="s">
        <v>995</v>
      </c>
      <c r="C746" s="21" t="s">
        <v>1034</v>
      </c>
      <c r="D746" s="21" t="s">
        <v>997</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423</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1003</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1329</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1330</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1314</v>
      </c>
      <c r="B751" s="21" t="s">
        <v>1067</v>
      </c>
      <c r="C751" s="21" t="s">
        <v>1295</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1191</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1331</v>
      </c>
      <c r="B753" s="21" t="s">
        <v>1067</v>
      </c>
      <c r="C753" s="21" t="s">
        <v>1006</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1073</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1032</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1074</v>
      </c>
      <c r="B756" s="21" t="s">
        <v>1067</v>
      </c>
      <c r="C756" s="21" t="s">
        <v>1034</v>
      </c>
      <c r="D756" s="21" t="s">
        <v>997</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1011</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row>
    <row r="759" spans="1:12">
      <c r="A759" s="20" t="s">
        <v>1332</v>
      </c>
    </row>
    <row r="760" spans="1:12">
      <c r="A760" s="20" t="s">
        <v>1013</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1194</v>
      </c>
      <c r="B761" s="21" t="s">
        <v>995</v>
      </c>
      <c r="C761" s="21" t="s">
        <v>1133</v>
      </c>
      <c r="D761" s="21" t="s">
        <v>997</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1306</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1300</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1061</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481</v>
      </c>
      <c r="B765" s="21" t="s">
        <v>1001</v>
      </c>
      <c r="C765" s="21" t="s">
        <v>1034</v>
      </c>
      <c r="D765" s="21" t="s">
        <v>997</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1003</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354</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1037</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1128</v>
      </c>
      <c r="B769" s="21" t="s">
        <v>1088</v>
      </c>
      <c r="C769" s="21" t="s">
        <v>1034</v>
      </c>
      <c r="D769" s="21" t="s">
        <v>997</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1049</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1271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1029</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1274</v>
      </c>
      <c r="B773" s="21" t="s">
        <v>1112</v>
      </c>
      <c r="C773" s="21" t="s">
        <v>1006</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1011</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row>
    <row r="776" spans="1:12">
      <c r="A776" s="20" t="s">
        <v>1333</v>
      </c>
    </row>
    <row r="777" spans="1:12">
      <c r="A777" s="20" t="s">
        <v>1334</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1214</v>
      </c>
      <c r="B778" s="21" t="s">
        <v>995</v>
      </c>
      <c r="C778" s="21" t="s">
        <v>1034</v>
      </c>
      <c r="D778" s="21" t="s">
        <v>997</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1154</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1335</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1336</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1011</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row>
    <row r="784" spans="1:12">
      <c r="A784" s="20" t="s">
        <v>1337</v>
      </c>
    </row>
    <row r="785" spans="1:12">
      <c r="A785" s="20" t="s">
        <v>1338</v>
      </c>
      <c r="B785" s="21" t="s">
        <v>995</v>
      </c>
      <c r="C785" s="21" t="s">
        <v>1015</v>
      </c>
      <c r="D785" s="21" t="s">
        <v>997</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1339</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423</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1082</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1029</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1340</v>
      </c>
      <c r="B790" s="21" t="s">
        <v>1067</v>
      </c>
      <c r="C790" s="21" t="s">
        <v>1006</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1008</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1341</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1128</v>
      </c>
      <c r="B793" s="21" t="s">
        <v>1067</v>
      </c>
      <c r="C793" s="21" t="s">
        <v>1239</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1342</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1022</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737</v>
      </c>
      <c r="B796" s="21" t="s">
        <v>1027</v>
      </c>
      <c r="C796" s="21" t="s">
        <v>1015</v>
      </c>
      <c r="D796" s="21" t="s">
        <v>997</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1227</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423</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1343</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1041</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1230</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1044</v>
      </c>
      <c r="B802" s="21" t="s">
        <v>1142</v>
      </c>
      <c r="C802" s="21" t="s">
        <v>996</v>
      </c>
      <c r="D802" s="21" t="s">
        <v>997</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1046</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1287</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1297</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1003</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1144</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1344</v>
      </c>
      <c r="B808" s="21" t="s">
        <v>1010</v>
      </c>
      <c r="C808" s="21" t="s">
        <v>1089</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1173</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1029</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1144</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1345</v>
      </c>
      <c r="B812" s="21" t="s">
        <v>1024</v>
      </c>
      <c r="C812" s="21" t="s">
        <v>1089</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1041</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1272</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1029</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1271</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1029</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1274</v>
      </c>
      <c r="B818" s="21" t="s">
        <v>1112</v>
      </c>
      <c r="C818" s="21" t="s">
        <v>1006</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1011</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row>
    <row r="821" spans="1:12">
      <c r="A821" s="20" t="s">
        <v>1346</v>
      </c>
    </row>
    <row r="822" spans="1:12">
      <c r="A822" s="20" t="s">
        <v>1347</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1206</v>
      </c>
      <c r="B823" s="21" t="s">
        <v>995</v>
      </c>
      <c r="C823" s="21" t="s">
        <v>1068</v>
      </c>
      <c r="D823" s="21" t="s">
        <v>997</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1154</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1348</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1349</v>
      </c>
      <c r="B826" s="21" t="s">
        <v>1101</v>
      </c>
      <c r="C826" s="21" t="s">
        <v>1295</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1011</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row>
    <row r="829" spans="1:12">
      <c r="A829" s="20" t="s">
        <v>1350</v>
      </c>
    </row>
    <row r="830" spans="1:12">
      <c r="A830" s="20" t="s">
        <v>1351</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1018</v>
      </c>
      <c r="B831" s="21" t="s">
        <v>1101</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1019</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1008</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1352</v>
      </c>
      <c r="B834" s="21" t="s">
        <v>1005</v>
      </c>
      <c r="C834" s="21" t="s">
        <v>1006</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1011</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row>
    <row r="837" spans="1:12">
      <c r="A837" s="20" t="s">
        <v>1353</v>
      </c>
    </row>
    <row r="838" spans="1:12">
      <c r="A838" s="20" t="s">
        <v>1354</v>
      </c>
      <c r="B838" s="21" t="s">
        <v>995</v>
      </c>
      <c r="C838" s="21" t="s">
        <v>1095</v>
      </c>
      <c r="D838" s="21" t="s">
        <v>997</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1041</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1194</v>
      </c>
      <c r="B840" s="21" t="s">
        <v>1005</v>
      </c>
      <c r="C840" s="21" t="s">
        <v>1133</v>
      </c>
      <c r="D840" s="21" t="s">
        <v>997</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1154</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1305</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1146</v>
      </c>
      <c r="B843" s="21" t="s">
        <v>1101</v>
      </c>
      <c r="C843" s="21" t="s">
        <v>1239</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1029</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1355</v>
      </c>
      <c r="B845" s="21" t="s">
        <v>1005</v>
      </c>
      <c r="C845" s="21" t="s">
        <v>1006</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1041</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1061</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1203</v>
      </c>
      <c r="B848" s="21" t="s">
        <v>1067</v>
      </c>
      <c r="C848" s="21" t="s">
        <v>1034</v>
      </c>
      <c r="D848" s="21" t="s">
        <v>997</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1041</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1082</v>
      </c>
      <c r="B850" s="21" t="s">
        <v>1039</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1194</v>
      </c>
      <c r="B851" s="21" t="s">
        <v>1027</v>
      </c>
      <c r="C851" s="21" t="s">
        <v>1133</v>
      </c>
      <c r="D851" s="21" t="s">
        <v>997</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1356</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1147</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1029</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1274</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1041</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1007</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737</v>
      </c>
      <c r="B858" s="21" t="s">
        <v>1142</v>
      </c>
      <c r="C858" s="21" t="s">
        <v>1015</v>
      </c>
      <c r="D858" s="21" t="s">
        <v>997</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1189</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110</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1357</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1073</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1061</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1358</v>
      </c>
      <c r="B864" s="21" t="s">
        <v>1010</v>
      </c>
      <c r="C864" s="21" t="s">
        <v>1034</v>
      </c>
      <c r="D864" s="21" t="s">
        <v>997</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1008</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1066</v>
      </c>
      <c r="B866" s="21" t="s">
        <v>1024</v>
      </c>
      <c r="C866" s="21" t="s">
        <v>1006</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1041</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1037</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1359</v>
      </c>
      <c r="B869" s="21" t="s">
        <v>1039</v>
      </c>
      <c r="C869" s="21" t="s">
        <v>1034</v>
      </c>
      <c r="D869" s="21" t="s">
        <v>997</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1022</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1317</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1331</v>
      </c>
      <c r="B872" s="21" t="s">
        <v>1024</v>
      </c>
      <c r="C872" s="21" t="s">
        <v>1239</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1360</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1041</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1069</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1328</v>
      </c>
      <c r="B876" s="21" t="s">
        <v>1010</v>
      </c>
      <c r="C876" s="21" t="s">
        <v>1006</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1041</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1060</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1004</v>
      </c>
      <c r="B879" s="21" t="s">
        <v>1039</v>
      </c>
      <c r="C879" s="21" t="s">
        <v>1034</v>
      </c>
      <c r="D879" s="21" t="s">
        <v>997</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1361</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1069</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1328</v>
      </c>
      <c r="B882" s="21" t="s">
        <v>1112</v>
      </c>
      <c r="C882" s="21" t="s">
        <v>1006</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1049</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1317</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1362</v>
      </c>
      <c r="B885" s="21" t="s">
        <v>1112</v>
      </c>
      <c r="C885" s="21" t="s">
        <v>1239</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1041</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1007</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1061</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1203</v>
      </c>
      <c r="B889" s="21" t="s">
        <v>1010</v>
      </c>
      <c r="C889" s="21" t="s">
        <v>1034</v>
      </c>
      <c r="D889" s="21" t="s">
        <v>997</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1213</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1041</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1191</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1363</v>
      </c>
      <c r="B893" s="21" t="s">
        <v>1024</v>
      </c>
      <c r="C893" s="21" t="s">
        <v>1006</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1003</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1004</v>
      </c>
      <c r="B895" s="21" t="s">
        <v>1112</v>
      </c>
      <c r="C895" s="21" t="s">
        <v>1006</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1011</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row>
    <row r="898" spans="1:12">
      <c r="A898" s="20" t="s">
        <v>1364</v>
      </c>
    </row>
    <row r="899" spans="1:12">
      <c r="A899" s="20" t="s">
        <v>1365</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1041</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1366</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1367</v>
      </c>
      <c r="B902" s="21" t="s">
        <v>995</v>
      </c>
      <c r="C902" s="21" t="s">
        <v>996</v>
      </c>
      <c r="D902" s="21" t="s">
        <v>997</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1073</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1368</v>
      </c>
      <c r="B904" s="21" t="s">
        <v>1067</v>
      </c>
      <c r="C904" s="21" t="s">
        <v>1133</v>
      </c>
      <c r="D904" s="21" t="s">
        <v>997</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1008</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1065</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1369</v>
      </c>
      <c r="B907" s="21" t="s">
        <v>1005</v>
      </c>
      <c r="C907" s="21" t="s">
        <v>1068</v>
      </c>
      <c r="D907" s="21" t="s">
        <v>997</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1041</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1007</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1370</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1371</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1194</v>
      </c>
      <c r="B912" s="21" t="s">
        <v>1027</v>
      </c>
      <c r="C912" s="21" t="s">
        <v>1133</v>
      </c>
      <c r="D912" s="21" t="s">
        <v>997</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1016</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1147</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1061</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1372</v>
      </c>
      <c r="B916" s="21" t="s">
        <v>1088</v>
      </c>
      <c r="C916" s="21" t="s">
        <v>1034</v>
      </c>
      <c r="D916" s="21" t="s">
        <v>997</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1029</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1274</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1011</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row>
    <row r="921" spans="1:12">
      <c r="A921" s="20" t="s">
        <v>1373</v>
      </c>
    </row>
    <row r="922" spans="1:12">
      <c r="A922" s="20" t="s">
        <v>1099</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1374</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1375</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1022</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1060</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1018</v>
      </c>
      <c r="B927" s="21" t="s">
        <v>1142</v>
      </c>
      <c r="C927" s="21" t="s">
        <v>1133</v>
      </c>
      <c r="D927" s="21" t="s">
        <v>997</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1008</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1065</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1236</v>
      </c>
      <c r="B930" s="21" t="s">
        <v>1010</v>
      </c>
      <c r="C930" s="21" t="s">
        <v>1068</v>
      </c>
      <c r="D930" s="21" t="s">
        <v>997</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1376</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1116</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1377</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1008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1274</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1011</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row>
    <row r="938" spans="1:12">
      <c r="A938" s="20" t="s">
        <v>1378</v>
      </c>
    </row>
    <row r="939" spans="1:12">
      <c r="A939" s="20" t="s">
        <v>1234</v>
      </c>
      <c r="B939" s="21" t="s">
        <v>995</v>
      </c>
      <c r="C939" s="21" t="s">
        <v>1015</v>
      </c>
      <c r="D939" s="21" t="s">
        <v>997</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423</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1008</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1061</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1268</v>
      </c>
      <c r="B943" s="21" t="s">
        <v>1067</v>
      </c>
      <c r="C943" s="21" t="s">
        <v>1034</v>
      </c>
      <c r="D943" s="21" t="s">
        <v>997</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1008</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1060</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1379</v>
      </c>
      <c r="B946" s="21" t="s">
        <v>1067</v>
      </c>
      <c r="C946" s="21" t="s">
        <v>1034</v>
      </c>
      <c r="D946" s="21" t="s">
        <v>997</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1008</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1061</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1380</v>
      </c>
      <c r="B949" s="21" t="s">
        <v>1005</v>
      </c>
      <c r="C949" s="21" t="s">
        <v>1034</v>
      </c>
      <c r="D949" s="21" t="s">
        <v>997</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1041</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1249</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1381</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1018</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1382</v>
      </c>
      <c r="B954" s="21" t="s">
        <v>1001</v>
      </c>
      <c r="C954" s="21" t="s">
        <v>1089</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1003</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1383</v>
      </c>
      <c r="B956" s="21" t="s">
        <v>1010</v>
      </c>
      <c r="C956" s="21" t="s">
        <v>1006</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1011</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row>
    <row r="959" spans="1:12">
      <c r="A959" s="20" t="s">
        <v>1384</v>
      </c>
    </row>
    <row r="960" spans="1:12">
      <c r="A960" s="20" t="s">
        <v>1385</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1386</v>
      </c>
      <c r="B961" s="21" t="s">
        <v>1005</v>
      </c>
      <c r="C961" s="21" t="s">
        <v>1006</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1044</v>
      </c>
      <c r="B962" s="21" t="s">
        <v>995</v>
      </c>
      <c r="C962" s="21" t="s">
        <v>996</v>
      </c>
      <c r="D962" s="21" t="s">
        <v>997</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1170</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1032</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1387</v>
      </c>
      <c r="B965" s="21" t="s">
        <v>1067</v>
      </c>
      <c r="C965" s="21" t="s">
        <v>1034</v>
      </c>
      <c r="D965" s="21" t="s">
        <v>997</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1011</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row>
    <row r="968" spans="1:12">
      <c r="A968" s="20" t="s">
        <v>1388</v>
      </c>
    </row>
    <row r="969" spans="1:12">
      <c r="A969" s="20" t="s">
        <v>1076</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1187</v>
      </c>
      <c r="B970" s="21" t="s">
        <v>995</v>
      </c>
      <c r="C970" s="21" t="s">
        <v>1034</v>
      </c>
      <c r="D970" s="21" t="s">
        <v>997</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1389</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999</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1390</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1052</v>
      </c>
      <c r="B974" s="21" t="s">
        <v>1101</v>
      </c>
      <c r="C974" s="21" t="s">
        <v>1295</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1008</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1066</v>
      </c>
      <c r="B976" s="21" t="s">
        <v>1005</v>
      </c>
      <c r="C976" s="21" t="s">
        <v>1006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1011</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row>
    <row r="979" spans="1:12">
      <c r="A979" s="20" t="s">
        <v>1391</v>
      </c>
    </row>
    <row r="980" spans="1:12">
      <c r="A980" s="20" t="s">
        <v>1392</v>
      </c>
      <c r="B980" s="21" t="s">
        <v>995</v>
      </c>
      <c r="C980" s="21" t="s">
        <v>1133</v>
      </c>
      <c r="D980" s="21" t="s">
        <v>997</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1393</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1394</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1037</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45</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1052</v>
      </c>
      <c r="B985" s="21" t="s">
        <v>1001</v>
      </c>
      <c r="C985" s="21" t="s">
        <v>1034</v>
      </c>
      <c r="D985" s="21" t="s">
        <v>997</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1011</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row>
    <row r="988" spans="1:12">
      <c r="A988" s="20" t="s">
        <v>1395</v>
      </c>
    </row>
    <row r="989" spans="1:12">
      <c r="A989" s="20" t="s">
        <v>1396</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1008</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1137</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1397</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1398</v>
      </c>
      <c r="B993" s="21" t="s">
        <v>1067</v>
      </c>
      <c r="C993" s="21" t="s">
        <v>1089</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1073</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1037</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1399</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1038</v>
      </c>
      <c r="B997" s="21" t="s">
        <v>1005</v>
      </c>
      <c r="C997" s="21" t="s">
        <v>1034</v>
      </c>
      <c r="D997" s="21" t="s">
        <v>997</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1041</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1037</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1400</v>
      </c>
      <c r="B1000" s="21" t="s">
        <v>1067</v>
      </c>
      <c r="C1000" s="21" t="s">
        <v>1034</v>
      </c>
      <c r="D1000" s="21" t="s">
        <v>997</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1008</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1401</v>
      </c>
      <c r="B1002" s="21" t="s">
        <v>1005</v>
      </c>
      <c r="C1002" s="21" t="s">
        <v>1006</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1041</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1061</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1402</v>
      </c>
      <c r="B1005" s="21" t="s">
        <v>1005</v>
      </c>
      <c r="C1005" s="21" t="s">
        <v>1034</v>
      </c>
      <c r="D1005" s="21" t="s">
        <v>997</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1008</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1037</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1403</v>
      </c>
      <c r="B1008" s="21" t="s">
        <v>1010</v>
      </c>
      <c r="C1008" s="21" t="s">
        <v>1034</v>
      </c>
      <c r="D1008" s="21" t="s">
        <v>997</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1041</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1194</v>
      </c>
      <c r="B1010" s="21" t="s">
        <v>995</v>
      </c>
      <c r="C1010" s="21" t="s">
        <v>1133</v>
      </c>
      <c r="D1010" s="21" t="s">
        <v>997</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1404</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1061</v>
      </c>
      <c r="B1012" s="21" t="s">
        <v>1001</v>
      </c>
      <c r="C1012" s="21" t="s">
        <v>996</v>
      </c>
      <c r="D1012" s="21" t="s">
        <v>997</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1147</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1008</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1041</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1221</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1041</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48</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1103</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72</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1049</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1405</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1041</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1249</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1194</v>
      </c>
      <c r="B1025" s="21" t="s">
        <v>1142</v>
      </c>
      <c r="C1025" s="21" t="s">
        <v>1133</v>
      </c>
      <c r="D1025" s="21" t="s">
        <v>997</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1406</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1018</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1407</v>
      </c>
      <c r="B1028" s="21" t="s">
        <v>1001</v>
      </c>
      <c r="C1028" s="21" t="s">
        <v>1089</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1003</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1214</v>
      </c>
      <c r="B1030" s="21" t="s">
        <v>1010</v>
      </c>
      <c r="C1030" s="21" t="s">
        <v>1006</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1003</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1329</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1408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1011</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row>
    <row r="1036" spans="1:12">
      <c r="A1036" s="20" t="s">
        <v>1409</v>
      </c>
    </row>
    <row r="1037" spans="1:12">
      <c r="A1037" s="20" t="s">
        <v>1076</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1410</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1407</v>
      </c>
      <c r="B1039" s="21" t="s">
        <v>995</v>
      </c>
      <c r="C1039" s="21" t="s">
        <v>1034</v>
      </c>
      <c r="D1039" s="21" t="s">
        <v>997</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1035</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1037</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1359</v>
      </c>
      <c r="B1042" s="21" t="s">
        <v>1101</v>
      </c>
      <c r="C1042" s="21" t="s">
        <v>1034</v>
      </c>
      <c r="D1042" s="21" t="s">
        <v>997</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1022</v>
      </c>
      <c r="B1043" s="21" t="s">
        <v>1039</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1044</v>
      </c>
      <c r="B1044" s="21" t="s">
        <v>1027</v>
      </c>
      <c r="C1044" s="21" t="s">
        <v>996</v>
      </c>
      <c r="D1044" s="21" t="s">
        <v>997</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1411</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1011</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row>
    <row r="1048" spans="1:12">
      <c r="A1048" s="20" t="s">
        <v>1412</v>
      </c>
    </row>
    <row r="1049" spans="1:12">
      <c r="A1049" s="20" t="s">
        <v>1123</v>
      </c>
      <c r="B1049" s="21" t="s">
        <v>995</v>
      </c>
      <c r="C1049" s="21" t="s">
        <v>1015</v>
      </c>
      <c r="D1049" s="21" t="s">
        <v>997</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1413</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1116</v>
      </c>
      <c r="B1051" s="21" t="s">
        <v>1101</v>
      </c>
      <c r="C1051" s="21" t="s">
        <v>1133</v>
      </c>
      <c r="D1051" s="21" t="s">
        <v>997</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1041</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1032</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1414</v>
      </c>
      <c r="B1054" s="21" t="s">
        <v>1005</v>
      </c>
      <c r="C1054" s="21" t="s">
        <v>1034</v>
      </c>
      <c r="D1054" s="21" t="s">
        <v>997</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1022</v>
      </c>
      <c r="B1055" s="21" t="s">
        <v>1088</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1044</v>
      </c>
      <c r="B1056" s="21" t="s">
        <v>1114</v>
      </c>
      <c r="C1056" s="21" t="s">
        <v>996</v>
      </c>
      <c r="D1056" s="21" t="s">
        <v>997</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1415</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1041</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1037</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1416</v>
      </c>
      <c r="B1060" s="21" t="s">
        <v>1067</v>
      </c>
      <c r="C1060" s="21" t="s">
        <v>1034</v>
      </c>
      <c r="D1060" s="21" t="s">
        <v>997</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1041</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1032</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1417</v>
      </c>
      <c r="B1063" s="21" t="s">
        <v>1005</v>
      </c>
      <c r="C1063" s="21" t="s">
        <v>1034</v>
      </c>
      <c r="D1063" s="21" t="s">
        <v>997</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1041</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1061</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1418</v>
      </c>
      <c r="B1066" s="21" t="s">
        <v>1005</v>
      </c>
      <c r="C1066" s="21" t="s">
        <v>1034</v>
      </c>
      <c r="D1066" s="21" t="s">
        <v>997</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1011</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row>
    <row r="1069" spans="1:12">
      <c r="A1069" s="20" t="s">
        <v>1419</v>
      </c>
    </row>
    <row r="1070" spans="1:12">
      <c r="A1070" s="20" t="s">
        <v>1338</v>
      </c>
      <c r="B1070" s="21" t="s">
        <v>1142</v>
      </c>
      <c r="C1070" s="21" t="s">
        <v>1015</v>
      </c>
      <c r="D1070" s="21" t="s">
        <v>997</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1062</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1008</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1137</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1420</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1042</v>
      </c>
      <c r="B1075" s="21" t="s">
        <v>995</v>
      </c>
      <c r="C1075" s="21" t="s">
        <v>1089</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1041</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1007</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1077</v>
      </c>
      <c r="B1078" s="21" t="s">
        <v>1039</v>
      </c>
      <c r="C1078" s="21" t="s">
        <v>996</v>
      </c>
      <c r="D1078" s="21" t="s">
        <v>997</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1421</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1008</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1032</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1148</v>
      </c>
      <c r="B1082" s="21" t="s">
        <v>1010</v>
      </c>
      <c r="C1082" s="21" t="s">
        <v>1034</v>
      </c>
      <c r="D1082" s="21" t="s">
        <v>997</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1081</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18</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1422</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1065</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1359</v>
      </c>
      <c r="B1087" s="21" t="s">
        <v>1039</v>
      </c>
      <c r="C1087" s="21" t="s">
        <v>1068</v>
      </c>
      <c r="D1087" s="21" t="s">
        <v>997</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1029</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1423</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1116</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1061</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1187</v>
      </c>
      <c r="B1092" s="21" t="s">
        <v>1010</v>
      </c>
      <c r="C1092" s="21" t="s">
        <v>1034</v>
      </c>
      <c r="D1092" s="21" t="s">
        <v>997</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1073</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1032</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1074</v>
      </c>
      <c r="B1095" s="21" t="s">
        <v>1024</v>
      </c>
      <c r="C1095" s="21" t="s">
        <v>1034</v>
      </c>
      <c r="D1095" s="21" t="s">
        <v>997</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1011</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row>
    <row r="1098" spans="1:12">
      <c r="A1098" s="20" t="s">
        <v>1424</v>
      </c>
    </row>
    <row r="1099" spans="1:12">
      <c r="A1099" s="20" t="s">
        <v>1013</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1175</v>
      </c>
      <c r="B1100" s="21" t="s">
        <v>1142</v>
      </c>
      <c r="C1100" s="21" t="s">
        <v>1015</v>
      </c>
      <c r="D1100" s="21" t="s">
        <v>997</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423</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1144</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1425</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1146</v>
      </c>
      <c r="B1104" s="21" t="s">
        <v>995</v>
      </c>
      <c r="C1104" s="21" t="s">
        <v>1089</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1022</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1079</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1426</v>
      </c>
      <c r="B1107" s="21" t="s">
        <v>1005</v>
      </c>
      <c r="C1107" s="21" t="s">
        <v>1068</v>
      </c>
      <c r="D1107" s="21" t="s">
        <v>997</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1427</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1011</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row>
    <row r="1111" spans="1:12">
      <c r="A1111" s="20" t="s">
        <v>1428</v>
      </c>
    </row>
    <row r="1112" spans="1:12">
      <c r="A1112" s="20" t="s">
        <v>1186</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1061</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1187</v>
      </c>
      <c r="B1114" s="21" t="s">
        <v>1067</v>
      </c>
      <c r="C1114" s="21" t="s">
        <v>1034</v>
      </c>
      <c r="D1114" s="21" t="s">
        <v>997</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1188</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1041</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1221</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1061</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1429</v>
      </c>
      <c r="B1119" s="21" t="s">
        <v>1010</v>
      </c>
      <c r="C1119" s="21" t="s">
        <v>1034</v>
      </c>
      <c r="D1119" s="21" t="s">
        <v>997</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1008</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1061</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1267</v>
      </c>
      <c r="B1122" s="21" t="s">
        <v>1024</v>
      </c>
      <c r="C1122" s="21" t="s">
        <v>1034</v>
      </c>
      <c r="D1122" s="21" t="s">
        <v>997</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1041</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1044</v>
      </c>
      <c r="B1124" s="21" t="s">
        <v>1101</v>
      </c>
      <c r="C1124" s="21" t="s">
        <v>996</v>
      </c>
      <c r="D1124" s="21" t="s">
        <v>997</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1430</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1375</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1037</v>
      </c>
      <c r="B1127" s="21" t="s">
        <v>1001</v>
      </c>
      <c r="C1127" s="21" t="s">
        <v>996</v>
      </c>
      <c r="D1127" s="21" t="s">
        <v>997</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1147</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1041</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1069</v>
      </c>
      <c r="B1130" s="21" t="s">
        <v>1039</v>
      </c>
      <c r="C1130" s="21" t="s">
        <v>1133</v>
      </c>
      <c r="D1130" s="21" t="s">
        <v>997</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546</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1325</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1041</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1249</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1317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1310</v>
      </c>
      <c r="B1136" s="21" t="s">
        <v>1005</v>
      </c>
      <c r="C1136" s="21" t="s">
        <v>1239</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1041</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1079</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1426</v>
      </c>
      <c r="B1139" s="21" t="s">
        <v>1142</v>
      </c>
      <c r="C1139" s="21" t="s">
        <v>1068</v>
      </c>
      <c r="D1139" s="21" t="s">
        <v>997</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1041</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1069</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1328</v>
      </c>
      <c r="B1142" s="21" t="s">
        <v>1010</v>
      </c>
      <c r="C1142" s="21" t="s">
        <v>1006</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1041</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1189</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1431</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1041</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1007</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1432</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1191</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1054</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1022</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1433</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1061</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1358</v>
      </c>
      <c r="B1154" s="21" t="s">
        <v>1088</v>
      </c>
      <c r="C1154" s="21" t="s">
        <v>1034</v>
      </c>
      <c r="D1154" s="21" t="s">
        <v>997</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1008</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1359</v>
      </c>
      <c r="B1156" s="21" t="s">
        <v>1112</v>
      </c>
      <c r="C1156" s="21" t="s">
        <v>1006</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1434</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1191</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1331</v>
      </c>
      <c r="B1159" s="21" t="s">
        <v>1092</v>
      </c>
      <c r="C1159" s="21" t="s">
        <v>1006</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1011</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row>
    <row r="1162" spans="1:12">
      <c r="A1162" s="20" t="s">
        <v>1435</v>
      </c>
    </row>
    <row r="1163" spans="1:12">
      <c r="A1163" s="20" t="s">
        <v>1436</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1044</v>
      </c>
      <c r="B1164" s="21" t="s">
        <v>995</v>
      </c>
      <c r="C1164" s="21" t="s">
        <v>996</v>
      </c>
      <c r="D1164" s="21" t="s">
        <v>997</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1170</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1018</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1437</v>
      </c>
      <c r="B1167" s="21" t="s">
        <v>1067</v>
      </c>
      <c r="C1167" s="21" t="s">
        <v>1089</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1008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1362</v>
      </c>
      <c r="B1169" s="21" t="s">
        <v>1067</v>
      </c>
      <c r="C1169" s="21" t="s">
        <v>1006</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1137</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1438</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1011</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row>
    <row r="1174" spans="1:12">
      <c r="A1174" s="20" t="s">
        <v>1439</v>
      </c>
    </row>
    <row r="1175" spans="1:12">
      <c r="A1175" s="20" t="s">
        <v>1440</v>
      </c>
      <c r="B1175" s="21" t="s">
        <v>995</v>
      </c>
      <c r="C1175" s="21" t="s">
        <v>996</v>
      </c>
      <c r="D1175" s="21" t="s">
        <v>997</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1441</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1029</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1032</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1442</v>
      </c>
      <c r="B1179" s="21" t="s">
        <v>1067</v>
      </c>
      <c r="C1179" s="21" t="s">
        <v>1034</v>
      </c>
      <c r="D1179" s="21" t="s">
        <v>997</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1018</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1443</v>
      </c>
      <c r="B1181" s="21" t="s">
        <v>1005</v>
      </c>
      <c r="C1181" s="21" t="s">
        <v>1089</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1444</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1049</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1445</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1007</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158</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1037</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1446</v>
      </c>
      <c r="B1188" s="21" t="s">
        <v>1039</v>
      </c>
      <c r="C1188" s="21" t="s">
        <v>1034</v>
      </c>
      <c r="D1188" s="21" t="s">
        <v>997</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1447</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1011</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row>
    <row r="1192" spans="1:12">
      <c r="A1192" s="20" t="s">
        <v>1448</v>
      </c>
    </row>
    <row r="1193" spans="1:12">
      <c r="A1193" s="20" t="s">
        <v>1449</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1065</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1450</v>
      </c>
      <c r="B1195" s="21" t="s">
        <v>1067</v>
      </c>
      <c r="C1195" s="21" t="s">
        <v>1068</v>
      </c>
      <c r="D1195" s="21" t="s">
        <v>997</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1011</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row>
    <row r="1198" spans="1:12">
      <c r="A1198" s="20" t="s">
        <v>1451</v>
      </c>
    </row>
    <row r="1199" spans="1:12">
      <c r="A1199" s="20" t="s">
        <v>1365</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1257</v>
      </c>
      <c r="B1200" s="21" t="s">
        <v>995</v>
      </c>
      <c r="C1200" s="21" t="s">
        <v>996</v>
      </c>
      <c r="D1200" s="21" t="s">
        <v>997</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1452</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1007</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1453</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1091</v>
      </c>
      <c r="B1204" s="21" t="s">
        <v>1010</v>
      </c>
      <c r="C1204" s="21" t="s">
        <v>1025</v>
      </c>
      <c r="D1204" s="21" t="s">
        <v>997</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1446</v>
      </c>
      <c r="B1205" s="21" t="s">
        <v>1001</v>
      </c>
      <c r="C1205" s="21" t="s">
        <v>1028</v>
      </c>
      <c r="D1205" s="21" t="s">
        <v>997</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1029</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1032</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1454</v>
      </c>
      <c r="B1208" s="21" t="s">
        <v>1005</v>
      </c>
      <c r="C1208" s="21" t="s">
        <v>1034</v>
      </c>
      <c r="D1208" s="21" t="s">
        <v>997</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1008</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1037</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1455</v>
      </c>
      <c r="B1211" s="21" t="s">
        <v>1010</v>
      </c>
      <c r="C1211" s="21" t="s">
        <v>1034</v>
      </c>
      <c r="D1211" s="21" t="s">
        <v>997</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1008</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1032</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1456</v>
      </c>
      <c r="B1214" s="21" t="s">
        <v>1024</v>
      </c>
      <c r="C1214" s="21" t="s">
        <v>1034</v>
      </c>
      <c r="D1214" s="21" t="s">
        <v>997</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1011</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row>
    <row r="1217" spans="1:12">
      <c r="A1217" s="20" t="s">
        <v>1457</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1458</v>
      </c>
    </row>
    <row r="1219" spans="1:12">
      <c r="A1219" s="20" t="s">
        <v>1459</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1041</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1060</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229</v>
      </c>
      <c r="B1222" s="21" t="s">
        <v>1067</v>
      </c>
      <c r="C1222" s="21" t="s">
        <v>1034</v>
      </c>
      <c r="D1222" s="21" t="s">
        <v>997</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1041</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1460</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1461</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1460</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1041</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1032</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1313</v>
      </c>
      <c r="B1229" s="21" t="s">
        <v>1067</v>
      </c>
      <c r="C1229" s="21" t="s">
        <v>1034</v>
      </c>
      <c r="D1229" s="21" t="s">
        <v>997</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1003</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1004</v>
      </c>
      <c r="B1231" s="21" t="s">
        <v>1005</v>
      </c>
      <c r="C1231" s="21" t="s">
        <v>1006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1049</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1317</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1362</v>
      </c>
      <c r="B1234" s="21" t="s">
        <v>1005</v>
      </c>
      <c r="C1234" s="21" t="s">
        <v>1239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1041</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1007</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1462</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1041</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1044</v>
      </c>
      <c r="B1239" s="21" t="s">
        <v>1142</v>
      </c>
      <c r="C1239" s="21" t="s">
        <v>996</v>
      </c>
      <c r="D1239" s="21" t="s">
        <v>997</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1170</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1463</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1008</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1420</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1464</v>
      </c>
      <c r="B1244" s="21" t="s">
        <v>1001</v>
      </c>
      <c r="C1244" s="21" t="s">
        <v>1089</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1011</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row>
    <row r="1247" spans="1:12">
      <c r="A1247" s="20" t="s">
        <v>1465</v>
      </c>
    </row>
    <row r="1248" spans="1:12">
      <c r="A1248" s="20" t="s">
        <v>1466</v>
      </c>
      <c r="B1248" s="21" t="s">
        <v>995</v>
      </c>
      <c r="C1248" s="21" t="s">
        <v>996</v>
      </c>
      <c r="D1248" s="21" t="s">
        <v>997</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1170</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1305</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1146</v>
      </c>
      <c r="B1251" s="21" t="s">
        <v>1067</v>
      </c>
      <c r="C1251" s="21" t="s">
        <v>1239</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1080</v>
      </c>
      <c r="B1252" s="21" t="s">
        <v>1142</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1095</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1467</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1097</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1011</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row>
    <row r="1258" spans="1:12">
      <c r="A1258" s="20" t="s">
        <v>1468</v>
      </c>
    </row>
    <row r="1259" spans="1:12">
      <c r="A1259" s="20" t="s">
        <v>1469</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1029</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1470</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1471</v>
      </c>
      <c r="B1262" s="21" t="s">
        <v>1005</v>
      </c>
      <c r="C1262" s="21" t="s">
        <v>1239</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1007</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1008</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1464</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1472</v>
      </c>
      <c r="B1266" s="21" t="s">
        <v>1010</v>
      </c>
      <c r="C1266" s="21" t="s">
        <v>1089</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1008</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158</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1008</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1032</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1454</v>
      </c>
      <c r="B1271" s="21" t="s">
        <v>1112</v>
      </c>
      <c r="C1271" s="21" t="s">
        <v>1034</v>
      </c>
      <c r="D1271" s="21" t="s">
        <v>997</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1041</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237</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1029</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1008</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1399</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1473</v>
      </c>
      <c r="B1277" s="21" t="s">
        <v>1067</v>
      </c>
      <c r="C1277" s="21" t="s">
        <v>1089</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1008</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1474</v>
      </c>
      <c r="B1279" s="21" t="s">
        <v>1005</v>
      </c>
      <c r="C1279" s="21" t="s">
        <v>1006</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1041</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1008</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1037</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1472</v>
      </c>
      <c r="B1283" s="21" t="s">
        <v>1005</v>
      </c>
      <c r="C1283" s="21" t="s">
        <v>1034</v>
      </c>
      <c r="D1283" s="21" t="s">
        <v>997</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1475</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1008</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1476</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1037</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1477</v>
      </c>
      <c r="B1288" s="21" t="s">
        <v>1088</v>
      </c>
      <c r="C1288" s="21" t="s">
        <v>1034</v>
      </c>
      <c r="D1288" s="21" t="s">
        <v>997</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1011</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row>
    <row r="1291" spans="1:12">
      <c r="A1291" s="20" t="s">
        <v>1478</v>
      </c>
    </row>
    <row r="1292" spans="1:12">
      <c r="A1292" s="20" t="s">
        <v>1099</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1084</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1154</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1250</v>
      </c>
      <c r="B1295" s="21" t="s">
        <v>1101</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1008</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1359</v>
      </c>
      <c r="B1297" s="21" t="s">
        <v>1005</v>
      </c>
      <c r="C1297" s="21" t="s">
        <v>1006</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1049</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1479</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1194</v>
      </c>
      <c r="B1300" s="21" t="s">
        <v>1142</v>
      </c>
      <c r="C1300" s="21" t="s">
        <v>1133</v>
      </c>
      <c r="D1300" s="21" t="s">
        <v>997</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1016</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1147</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1060</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1004</v>
      </c>
      <c r="B1304" s="21" t="s">
        <v>1039</v>
      </c>
      <c r="C1304" s="21" t="s">
        <v>1034</v>
      </c>
      <c r="D1304" s="21" t="s">
        <v>997</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1008</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1480</v>
      </c>
      <c r="B1306" s="21" t="s">
        <v>1024</v>
      </c>
      <c r="C1306" s="21" t="s">
        <v>1006</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1481</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1041</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1007</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1049</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1482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1359</v>
      </c>
      <c r="B1312" s="21" t="s">
        <v>1005</v>
      </c>
      <c r="C1312" s="21" t="s">
        <v>1239</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1483</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1041</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1032</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1147</v>
      </c>
      <c r="B1316" s="21" t="s">
        <v>1005</v>
      </c>
      <c r="C1316" s="21" t="s">
        <v>1034</v>
      </c>
      <c r="D1316" s="21" t="s">
        <v>997</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1008</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361</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1049</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1405</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1011</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row>
    <row r="1323" spans="1:12">
      <c r="A1323" s="20" t="s">
        <v>1484</v>
      </c>
    </row>
    <row r="1324" spans="1:12">
      <c r="A1324" s="20" t="s">
        <v>1099</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1485</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1003</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1486</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1359</v>
      </c>
      <c r="B1328" s="21" t="s">
        <v>995</v>
      </c>
      <c r="C1328" s="21" t="s">
        <v>1089</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1487</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1032</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1480</v>
      </c>
      <c r="B1331" s="21" t="s">
        <v>1005</v>
      </c>
      <c r="C1331" s="21" t="s">
        <v>1034</v>
      </c>
      <c r="D1331" s="21" t="s">
        <v>997</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1008</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1180</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1037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1060</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1488</v>
      </c>
      <c r="B1336" s="21" t="s">
        <v>1088</v>
      </c>
      <c r="C1336" s="21" t="s">
        <v>1034</v>
      </c>
      <c r="D1336" s="21" t="s">
        <v>997</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1041</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1103</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1003</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1489</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1061</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1490</v>
      </c>
      <c r="B1342" s="21" t="s">
        <v>1039</v>
      </c>
      <c r="C1342" s="21" t="s">
        <v>1034</v>
      </c>
      <c r="D1342" s="21" t="s">
        <v>997</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1491</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1041</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1090</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1037</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1492</v>
      </c>
      <c r="B1347" s="21" t="s">
        <v>1027</v>
      </c>
      <c r="C1347" s="21" t="s">
        <v>1034</v>
      </c>
      <c r="D1347" s="21" t="s">
        <v>997</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1003</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1493</v>
      </c>
      <c r="B1349" s="21" t="s">
        <v>1024</v>
      </c>
      <c r="C1349" s="21" t="s">
        <v>1006</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1062</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1250</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1250</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1054</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1494</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1011</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row>
    <row r="1357" spans="1:12">
      <c r="A1357" s="20" t="s">
        <v>1495</v>
      </c>
    </row>
    <row r="1358" spans="1:12">
      <c r="A1358" s="20" t="s">
        <v>1013</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1287</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1041</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1069</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1496</v>
      </c>
      <c r="B1362" s="21" t="s">
        <v>1067</v>
      </c>
      <c r="C1362" s="21" t="s">
        <v>1006</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1041</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1069</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1497</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1498</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1041</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1194</v>
      </c>
      <c r="B1368" s="21" t="s">
        <v>995</v>
      </c>
      <c r="C1368" s="21" t="s">
        <v>1133</v>
      </c>
      <c r="D1368" s="21" t="s">
        <v>997</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1404</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1499</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1144</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1172</v>
      </c>
      <c r="B1372" s="21" t="s">
        <v>1001</v>
      </c>
      <c r="C1372" s="21" t="s">
        <v>1089</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1003</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1018</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1407</v>
      </c>
      <c r="B1375" s="21" t="s">
        <v>1010</v>
      </c>
      <c r="C1375" s="21" t="s">
        <v>1089</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1008</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1500</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1029</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1041</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1221</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1168</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1041</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1018</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1407</v>
      </c>
      <c r="B1384" s="21" t="s">
        <v>1024</v>
      </c>
      <c r="C1384" s="21" t="s">
        <v>1089</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1008</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1501</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1011</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row>
    <row r="1389" spans="1:12">
      <c r="A1389" s="20" t="s">
        <v>1502</v>
      </c>
    </row>
    <row r="1390" spans="1:12">
      <c r="A1390" s="20" t="s">
        <v>1316</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1060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1503</v>
      </c>
      <c r="B1392" s="21" t="s">
        <v>1067</v>
      </c>
      <c r="C1392" s="21" t="s">
        <v>1028</v>
      </c>
      <c r="D1392" s="21" t="s">
        <v>997</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1008</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1065</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1500</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1504</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1349</v>
      </c>
      <c r="B1397" s="21" t="s">
        <v>1005</v>
      </c>
      <c r="C1397" s="21" t="s">
        <v>1068</v>
      </c>
      <c r="D1397" s="21" t="s">
        <v>997</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1041</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1044</v>
      </c>
      <c r="B1399" s="21" t="s">
        <v>995</v>
      </c>
      <c r="C1399" s="21" t="s">
        <v>996</v>
      </c>
      <c r="D1399" s="21" t="s">
        <v>997</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1505</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1029</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1061</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1057</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1506</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1008</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113</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1052</v>
      </c>
      <c r="B1407" s="21" t="s">
        <v>1005</v>
      </c>
      <c r="C1407" s="21" t="s">
        <v>1295</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1029</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1041</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1221</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63</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1052</v>
      </c>
      <c r="B1412" s="21" t="s">
        <v>1067</v>
      </c>
      <c r="C1412" s="21" t="s">
        <v>1295</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1008</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1314</v>
      </c>
      <c r="B1414" s="21" t="s">
        <v>1005</v>
      </c>
      <c r="C1414" s="21" t="s">
        <v>1006</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1041</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1007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1079</v>
      </c>
      <c r="B1417" s="21" t="s">
        <v>1142</v>
      </c>
      <c r="C1417" s="21" t="s">
        <v>1015</v>
      </c>
      <c r="D1417" s="21" t="s">
        <v>997</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1339</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423</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1097</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1444</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1011</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row>
    <row r="1424" spans="1:12">
      <c r="A1424" s="20" t="s">
        <v>1507</v>
      </c>
    </row>
    <row r="1425" spans="1:12">
      <c r="A1425" s="20" t="s">
        <v>1365</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1041</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1370</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1079</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1508</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1407</v>
      </c>
      <c r="B1430" s="21" t="s">
        <v>1101</v>
      </c>
      <c r="C1430" s="21" t="s">
        <v>1068</v>
      </c>
      <c r="D1430" s="21" t="s">
        <v>997</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12</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1080</v>
      </c>
      <c r="B1432" s="21" t="s">
        <v>1027</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1189</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110</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1018</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1407</v>
      </c>
      <c r="B1436" s="21" t="s">
        <v>1010</v>
      </c>
      <c r="C1436" s="21" t="s">
        <v>1089</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1509</v>
      </c>
      <c r="B1437" s="21" t="s">
        <v>1024</v>
      </c>
      <c r="C1437" s="21" t="s">
        <v>1006</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12</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1007</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1175</v>
      </c>
      <c r="B1440" s="21" t="s">
        <v>1142</v>
      </c>
      <c r="C1440" s="21" t="s">
        <v>1015</v>
      </c>
      <c r="D1440" s="21" t="s">
        <v>997</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423</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1032</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1313</v>
      </c>
      <c r="B1443" s="21" t="s">
        <v>1067</v>
      </c>
      <c r="C1443" s="21" t="s">
        <v>1034</v>
      </c>
      <c r="D1443" s="21" t="s">
        <v>997</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1008</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1203</v>
      </c>
      <c r="B1445" s="21" t="s">
        <v>1005</v>
      </c>
      <c r="C1445" s="21" t="s">
        <v>1006</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1510</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1191</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1363</v>
      </c>
      <c r="B1448" s="21" t="s">
        <v>1010</v>
      </c>
      <c r="C1448" s="21" t="s">
        <v>1006</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1003</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1004</v>
      </c>
      <c r="B1450" s="21" t="s">
        <v>1024</v>
      </c>
      <c r="C1450" s="21" t="s">
        <v>1006</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1011</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row>
    <row r="1453" spans="1:12">
      <c r="A1453" s="20" t="s">
        <v>1457</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1511</v>
      </c>
    </row>
    <row r="1455" spans="1:12">
      <c r="A1455" s="20" t="s">
        <v>1013</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1287</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1041</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1032</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1512</v>
      </c>
      <c r="B1459" s="21" t="s">
        <v>995</v>
      </c>
      <c r="C1459" s="21" t="s">
        <v>1034</v>
      </c>
      <c r="D1459" s="21" t="s">
        <v>997</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423</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1513</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1460</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1514</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1278</v>
      </c>
      <c r="B1464" s="21" t="s">
        <v>995</v>
      </c>
      <c r="C1464" s="21" t="s">
        <v>1133</v>
      </c>
      <c r="D1464" s="21" t="s">
        <v>997</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1061</v>
      </c>
      <c r="B1465" s="21" t="s">
        <v>1001</v>
      </c>
      <c r="C1465" s="21" t="s">
        <v>996</v>
      </c>
      <c r="D1465" s="21" t="s">
        <v>997</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1147</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1029</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1274</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1275</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1460</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row>
    <row r="1472" spans="1:12">
      <c r="A1472" s="20" t="s">
        <v>1515</v>
      </c>
    </row>
    <row r="1473" spans="1:12">
      <c r="A1473" s="20" t="s">
        <v>1140</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1516</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1008</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1061</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1165</v>
      </c>
      <c r="B1477" s="21" t="s">
        <v>1005</v>
      </c>
      <c r="C1477" s="21" t="s">
        <v>1034</v>
      </c>
      <c r="D1477" s="21" t="s">
        <v>997</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1041</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1032</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1283</v>
      </c>
      <c r="B1480" s="21" t="s">
        <v>995</v>
      </c>
      <c r="C1480" s="21" t="s">
        <v>1034</v>
      </c>
      <c r="D1480" s="21" t="s">
        <v>997</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423</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1517</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1011</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row>
    <row r="1485" spans="1:12">
      <c r="A1485" s="20" t="s">
        <v>1518</v>
      </c>
    </row>
    <row r="1486" spans="1:12">
      <c r="A1486" s="20" t="s">
        <v>1210</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1000</v>
      </c>
      <c r="B1487" s="21" t="s">
        <v>995</v>
      </c>
      <c r="C1487" s="21" t="s">
        <v>996</v>
      </c>
      <c r="D1487" s="21" t="s">
        <v>997</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1519</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1008</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1061</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1520</v>
      </c>
      <c r="B1491" s="21" t="s">
        <v>1067</v>
      </c>
      <c r="C1491" s="21" t="s">
        <v>1034</v>
      </c>
      <c r="D1491" s="21" t="s">
        <v>997</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1521</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1041</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1517</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1054</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1011</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row>
    <row r="1498" spans="1:12">
      <c r="A1498" s="20" t="s">
        <v>1522</v>
      </c>
    </row>
    <row r="1499" spans="1:12">
      <c r="A1499" s="20" t="s">
        <v>1523</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1524</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1037</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1525</v>
      </c>
      <c r="B1502" s="21" t="s">
        <v>995</v>
      </c>
      <c r="C1502" s="21" t="s">
        <v>1034</v>
      </c>
      <c r="D1502" s="21" t="s">
        <v>997</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1049</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1526</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999</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1008</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1060</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1174</v>
      </c>
      <c r="B1508" s="21" t="s">
        <v>1039</v>
      </c>
      <c r="C1508" s="21" t="s">
        <v>1006</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1041</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1069</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1527</v>
      </c>
      <c r="B1511" s="21" t="s">
        <v>1005</v>
      </c>
      <c r="C1511" s="21" t="s">
        <v>1006</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1008</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1037</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1528</v>
      </c>
      <c r="B1514" s="21" t="s">
        <v>1010</v>
      </c>
      <c r="C1514" s="21" t="s">
        <v>1034</v>
      </c>
      <c r="D1514" s="21" t="s">
        <v>997</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1529</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1007</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1008</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1061</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1530</v>
      </c>
      <c r="B1519" s="21" t="s">
        <v>1024</v>
      </c>
      <c r="C1519" s="21" t="s">
        <v>1034</v>
      </c>
      <c r="D1519" s="21" t="s">
        <v>997</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1041</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1531</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1008</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1061</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1203</v>
      </c>
      <c r="B1524" s="21" t="s">
        <v>1067</v>
      </c>
      <c r="C1524" s="21" t="s">
        <v>1034</v>
      </c>
      <c r="D1524" s="21" t="s">
        <v>997</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1011</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row>
    <row r="1527" spans="1:12">
      <c r="A1527" s="20" t="s">
        <v>1532</v>
      </c>
    </row>
    <row r="1528" spans="1:12">
      <c r="A1528" s="20" t="s">
        <v>1013</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1287</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1041</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1079</v>
      </c>
      <c r="B1531" s="21" t="s">
        <v>1067</v>
      </c>
      <c r="C1531" s="21" t="s">
        <v>1015</v>
      </c>
      <c r="D1531" s="21" t="s">
        <v>997</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1022</v>
      </c>
      <c r="B1532" s="21" t="s">
        <v>1088</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1044</v>
      </c>
      <c r="B1533" s="21" t="s">
        <v>1027</v>
      </c>
      <c r="C1533" s="21" t="s">
        <v>996</v>
      </c>
      <c r="D1533" s="21" t="s">
        <v>997</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1533</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83</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158</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1029</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1144</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1534</v>
      </c>
      <c r="B1539" s="21" t="s">
        <v>1112</v>
      </c>
      <c r="C1539" s="21" t="s">
        <v>1089</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1535</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1041</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1175</v>
      </c>
      <c r="B1542" s="21" t="s">
        <v>995</v>
      </c>
      <c r="C1542" s="21" t="s">
        <v>1015</v>
      </c>
      <c r="D1542" s="21" t="s">
        <v>997</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423</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1008</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1536</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1018</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1537</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1538</v>
      </c>
      <c r="B1548" s="21" t="s">
        <v>1001</v>
      </c>
      <c r="C1548" s="21" t="s">
        <v>1089</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1011</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row>
    <row r="1551" spans="1:12">
      <c r="A1551" s="20" t="s">
        <v>1539</v>
      </c>
    </row>
    <row r="1552" spans="1:12">
      <c r="A1552" s="20" t="s">
        <v>1365</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1041</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1083</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1044</v>
      </c>
      <c r="B1555" s="21" t="s">
        <v>1101</v>
      </c>
      <c r="C1555" s="21" t="s">
        <v>996</v>
      </c>
      <c r="D1555" s="21" t="s">
        <v>997</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1540</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1008</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1037</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1541</v>
      </c>
      <c r="B1559" s="21" t="s">
        <v>1067</v>
      </c>
      <c r="C1559" s="21" t="s">
        <v>1034</v>
      </c>
      <c r="D1559" s="21" t="s">
        <v>997</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1109</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1061</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1542</v>
      </c>
      <c r="B1562" s="21" t="s">
        <v>1005</v>
      </c>
      <c r="C1562" s="21" t="s">
        <v>1034</v>
      </c>
      <c r="D1562" s="21" t="s">
        <v>997</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1008</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1060</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1004</v>
      </c>
      <c r="B1565" s="21" t="s">
        <v>1010</v>
      </c>
      <c r="C1565" s="21" t="s">
        <v>1034</v>
      </c>
      <c r="D1565" s="21" t="s">
        <v>997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1011</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row>
    <row r="1568" spans="1:12">
      <c r="A1568" s="20" t="s">
        <v>1543</v>
      </c>
    </row>
    <row r="1569" spans="1:12">
      <c r="A1569" s="20" t="s">
        <v>1059</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1544</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1263</v>
      </c>
      <c r="B1571" s="21" t="s">
        <v>1142</v>
      </c>
      <c r="C1571" s="21" t="s">
        <v>996</v>
      </c>
      <c r="D1571" s="21" t="s">
        <v>997</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1360</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1061</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1545</v>
      </c>
      <c r="B1574" s="21" t="s">
        <v>1001</v>
      </c>
      <c r="C1574" s="21" t="s">
        <v>1034</v>
      </c>
      <c r="D1574" s="21" t="s">
        <v>997</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1546</v>
      </c>
      <c r="B1575" s="21" t="s">
        <v>1010</v>
      </c>
      <c r="C1575" s="21" t="s">
        <v>1006</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1041</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1547</v>
      </c>
      <c r="B1577" s="21" t="s">
        <v>995</v>
      </c>
      <c r="C1577" s="21" t="s">
        <v>996</v>
      </c>
      <c r="D1577" s="21" t="s">
        <v>997</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1095</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1548</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1097</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338</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1305</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1146</v>
      </c>
      <c r="B1583" s="21" t="s">
        <v>1001</v>
      </c>
      <c r="C1583" s="21" t="s">
        <v>1239</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1003</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1549</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1011</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row>
    <row r="1588" spans="1:12">
      <c r="A1588" s="20" t="s">
        <v>1550</v>
      </c>
    </row>
    <row r="1589" spans="1:12">
      <c r="A1589" s="20" t="s">
        <v>1076</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1551</v>
      </c>
      <c r="B1590" s="21" t="s">
        <v>995</v>
      </c>
      <c r="C1590" s="21" t="s">
        <v>1034</v>
      </c>
      <c r="D1590" s="21" t="s">
        <v>997</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423</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1018</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1546</v>
      </c>
      <c r="B1593" s="21" t="s">
        <v>1067</v>
      </c>
      <c r="C1593" s="21" t="s">
        <v>1089</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1011</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row>
    <row r="1596" spans="1:12">
      <c r="A1596" s="20" t="s">
        <v>1552</v>
      </c>
    </row>
    <row r="1597" spans="1:12">
      <c r="A1597" s="20" t="s">
        <v>1334</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1553</v>
      </c>
      <c r="B1598" s="21" t="s">
        <v>995</v>
      </c>
      <c r="C1598" s="21" t="s">
        <v>1034</v>
      </c>
      <c r="D1598" s="21" t="s">
        <v>997</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1554</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423</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1018</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1546</v>
      </c>
      <c r="B1602" s="21" t="s">
        <v>1067</v>
      </c>
      <c r="C1602" s="21" t="s">
        <v>1089</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1011</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row>
    <row r="1605" spans="1:12">
      <c r="A1605" s="20" t="s">
        <v>1555</v>
      </c>
    </row>
    <row r="1606" spans="1:12">
      <c r="A1606" s="20" t="s">
        <v>1334</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1556</v>
      </c>
      <c r="B1607" s="21" t="s">
        <v>995</v>
      </c>
      <c r="C1607" s="21" t="s">
        <v>1095</v>
      </c>
      <c r="D1607" s="21" t="s">
        <v>997</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1007</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1037</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1359</v>
      </c>
      <c r="B1610" s="21" t="s">
        <v>1005</v>
      </c>
      <c r="C1610" s="21" t="s">
        <v>1034</v>
      </c>
      <c r="D1610" s="21" t="s">
        <v>997</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1557</v>
      </c>
      <c r="B1611" s="21" t="s">
        <v>1010</v>
      </c>
      <c r="C1611" s="21" t="s">
        <v>1006</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1062</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1018</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1546</v>
      </c>
      <c r="B1614" s="21" t="s">
        <v>1067</v>
      </c>
      <c r="C1614" s="21" t="s">
        <v>1089</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1011</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row>
    <row r="1617" spans="1:12">
      <c r="A1617" s="20" t="s">
        <v>1558</v>
      </c>
    </row>
    <row r="1618" spans="1:12">
      <c r="A1618" s="20" t="s">
        <v>1186</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1079</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1559</v>
      </c>
      <c r="B1620" s="21" t="s">
        <v>1067</v>
      </c>
      <c r="C1620" s="21" t="s">
        <v>1068</v>
      </c>
      <c r="D1620" s="21" t="s">
        <v>997</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1041</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1037</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1560</v>
      </c>
      <c r="B1623" s="21" t="s">
        <v>995</v>
      </c>
      <c r="C1623" s="21" t="s">
        <v>1034</v>
      </c>
      <c r="D1623" s="21" t="s">
        <v>997</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1561</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1462</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1562</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1563</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1029</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1032</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1564</v>
      </c>
      <c r="B1630" s="21" t="s">
        <v>1067</v>
      </c>
      <c r="C1630" s="21" t="s">
        <v>1034</v>
      </c>
      <c r="D1630" s="21" t="s">
        <v>997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1008</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1565</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1541</v>
      </c>
      <c r="B1633" s="21" t="s">
        <v>1005</v>
      </c>
      <c r="C1633" s="21" t="s">
        <v>1006</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1011</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row>
    <row r="1636" spans="1:12">
      <c r="A1636" s="20" t="s">
        <v>1566</v>
      </c>
    </row>
    <row r="1637" spans="1:12">
      <c r="A1637" s="20" t="s">
        <v>1385</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1567</v>
      </c>
      <c r="B1638" s="21" t="s">
        <v>1067</v>
      </c>
      <c r="C1638" s="21" t="s">
        <v>1006</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1041</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1194</v>
      </c>
      <c r="B1640" s="21" t="s">
        <v>995</v>
      </c>
      <c r="C1640" s="21" t="s">
        <v>1133</v>
      </c>
      <c r="D1640" s="21" t="s">
        <v>997</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1339</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1154</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1097</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1008</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1568</v>
      </c>
      <c r="B1645" s="21" t="s">
        <v>1101</v>
      </c>
      <c r="C1645" s="21" t="s">
        <v>1089</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1569</v>
      </c>
      <c r="B1646" s="21" t="s">
        <v>1005</v>
      </c>
      <c r="C1646" s="21" t="s">
        <v>1006</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1041</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1090</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1083</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1540</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675</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1061</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1546</v>
      </c>
      <c r="B1653" s="21" t="s">
        <v>1088</v>
      </c>
      <c r="C1653" s="21" t="s">
        <v>1034</v>
      </c>
      <c r="D1653" s="21" t="s">
        <v>997</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1049</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1144</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1568</v>
      </c>
      <c r="B1656" s="21" t="s">
        <v>1024</v>
      </c>
      <c r="C1656" s="21" t="s">
        <v>1089</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1570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1011</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row>
    <row r="1660" spans="1:12">
      <c r="A1660" s="20" t="s">
        <v>1571</v>
      </c>
    </row>
    <row r="1661" spans="1:12">
      <c r="A1661" s="20" t="s">
        <v>1385</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1567</v>
      </c>
      <c r="B1662" s="21" t="s">
        <v>1067</v>
      </c>
      <c r="C1662" s="21" t="s">
        <v>1006</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1041</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1194</v>
      </c>
      <c r="B1664" s="21" t="s">
        <v>995</v>
      </c>
      <c r="C1664" s="21" t="s">
        <v>1133</v>
      </c>
      <c r="D1664" s="21" t="s">
        <v>997</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1077</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1572</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1573</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1574</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1041</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1007</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1230</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1482</v>
      </c>
      <c r="B1672" s="21" t="s">
        <v>1142</v>
      </c>
      <c r="C1672" s="21" t="s">
        <v>1133</v>
      </c>
      <c r="D1672" s="21" t="s">
        <v>997</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1077</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1575</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1041</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1003</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1486</v>
      </c>
      <c r="B1677" s="21" t="s">
        <v>1067</v>
      </c>
      <c r="C1677" s="21" t="s">
        <v>1133</v>
      </c>
      <c r="D1677" s="21" t="s">
        <v>997</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1097</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1011</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row>
    <row r="1681" spans="1:12">
      <c r="A1681" s="20" t="s">
        <v>1576</v>
      </c>
    </row>
    <row r="1682" spans="1:12">
      <c r="A1682" s="20" t="s">
        <v>1186</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1061</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1577</v>
      </c>
      <c r="B1684" s="21" t="s">
        <v>1067</v>
      </c>
      <c r="C1684" s="21" t="s">
        <v>1034</v>
      </c>
      <c r="D1684" s="21" t="s">
        <v>997</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1578</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1041</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1083</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1540</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13</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1029</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1579</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1580</v>
      </c>
      <c r="B1692" s="21" t="s">
        <v>1005</v>
      </c>
      <c r="C1692" s="21" t="s">
        <v>1239</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1007</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1499</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1018</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1546</v>
      </c>
      <c r="B1696" s="21" t="s">
        <v>1039</v>
      </c>
      <c r="C1696" s="21" t="s">
        <v>1089</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1581</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1018</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1582</v>
      </c>
      <c r="B1699" s="21" t="s">
        <v>1010</v>
      </c>
      <c r="C1699" s="21" t="s">
        <v>1089</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1104</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1583</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1011</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row>
    <row r="1704" spans="1:12">
      <c r="A1704" s="20" t="s">
        <v>1584</v>
      </c>
    </row>
    <row r="1705" spans="1:12">
      <c r="A1705" s="20" t="s">
        <v>994</v>
      </c>
      <c r="B1705" s="21" t="s">
        <v>995</v>
      </c>
      <c r="C1705" s="21" t="s">
        <v>996</v>
      </c>
      <c r="D1705" s="21" t="s">
        <v>997</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1585</v>
      </c>
      <c r="B1706" s="21" t="s">
        <v>1101</v>
      </c>
      <c r="C1706" s="21" t="s">
        <v>996</v>
      </c>
      <c r="D1706" s="21" t="s">
        <v>997</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1586</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1265</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1371</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1547</v>
      </c>
      <c r="B1710" s="21" t="s">
        <v>1142</v>
      </c>
      <c r="C1710" s="21" t="s">
        <v>996</v>
      </c>
      <c r="D1710" s="21" t="s">
        <v>997</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1587</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1588</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1589</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1014</v>
      </c>
      <c r="B1714" s="21" t="s">
        <v>1039</v>
      </c>
      <c r="C1714" s="21" t="s">
        <v>1015</v>
      </c>
      <c r="D1714" s="21" t="s">
        <v>997</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1011</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row>
    <row r="1717" spans="1:12">
      <c r="A1717" s="20" t="s">
        <v>1590</v>
      </c>
    </row>
    <row r="1718" spans="1:12">
      <c r="A1718" s="20" t="s">
        <v>1591</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1592</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1593</v>
      </c>
      <c r="B1720" s="21" t="s">
        <v>995</v>
      </c>
      <c r="C1720" s="21" t="s">
        <v>996</v>
      </c>
      <c r="D1720" s="21" t="s">
        <v>997</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1144</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1594</v>
      </c>
      <c r="B1722" s="21" t="s">
        <v>1101</v>
      </c>
      <c r="C1722" s="21" t="s">
        <v>1089</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1003</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1595</v>
      </c>
      <c r="B1724" s="21" t="s">
        <v>1005</v>
      </c>
      <c r="C1724" s="21" t="s">
        <v>1006</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1596</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1008</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1032</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1597</v>
      </c>
      <c r="B1728" s="21" t="s">
        <v>1024</v>
      </c>
      <c r="C1728" s="21" t="s">
        <v>1034</v>
      </c>
      <c r="D1728" s="21" t="s">
        <v>997</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1041</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1144</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1598</v>
      </c>
      <c r="B1731" s="21" t="s">
        <v>1005</v>
      </c>
      <c r="C1731" s="21" t="s">
        <v>1089</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1080</v>
      </c>
      <c r="B1732" s="21" t="s">
        <v>1114</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1599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1060</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1600</v>
      </c>
      <c r="B1735" s="21" t="s">
        <v>1088</v>
      </c>
      <c r="C1735" s="21" t="s">
        <v>1034</v>
      </c>
      <c r="D1735" s="21" t="s">
        <v>997</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1008</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1037</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1560</v>
      </c>
      <c r="B1738" s="21" t="s">
        <v>1112</v>
      </c>
      <c r="C1738" s="21" t="s">
        <v>1034</v>
      </c>
      <c r="D1738" s="21" t="s">
        <v>997</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1462</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1275</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row>
    <row r="1742" spans="1:12">
      <c r="A1742" s="20" t="s">
        <v>1601</v>
      </c>
    </row>
    <row r="1743" spans="1:12">
      <c r="A1743" s="20" t="s">
        <v>1602</v>
      </c>
      <c r="B1743" s="21" t="s">
        <v>995</v>
      </c>
      <c r="C1743" s="21" t="s">
        <v>996</v>
      </c>
      <c r="D1743" s="21" t="s">
        <v>997</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1264</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1603</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1029</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1060</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1310</v>
      </c>
      <c r="B1748" s="21" t="s">
        <v>1067</v>
      </c>
      <c r="C1748" s="21" t="s">
        <v>1034</v>
      </c>
      <c r="D1748" s="21" t="s">
        <v>997</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1604</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1041</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1544</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1263</v>
      </c>
      <c r="B1752" s="21" t="s">
        <v>1142</v>
      </c>
      <c r="C1752" s="21" t="s">
        <v>996</v>
      </c>
      <c r="D1752" s="21" t="s">
        <v>997</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1605</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1606</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1008</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1037</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1607</v>
      </c>
      <c r="B1757" s="21" t="s">
        <v>1005</v>
      </c>
      <c r="C1757" s="21" t="s">
        <v>1034</v>
      </c>
      <c r="D1757" s="21" t="s">
        <v>997</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1041</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1037</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1560</v>
      </c>
      <c r="B1760" s="21" t="s">
        <v>1142</v>
      </c>
      <c r="C1760" s="21" t="s">
        <v>1034</v>
      </c>
      <c r="D1760" s="21" t="s">
        <v>997</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1608</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1190</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1609</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1011</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row>
    <row r="1766" spans="1:12">
      <c r="A1766" s="20" t="s">
        <v>1610</v>
      </c>
    </row>
    <row r="1767" spans="1:12">
      <c r="A1767" s="20" t="s">
        <v>1611</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1612</v>
      </c>
      <c r="B1768" s="21" t="s">
        <v>1067</v>
      </c>
      <c r="C1768" s="21" t="s">
        <v>1095</v>
      </c>
      <c r="D1768" s="21" t="s">
        <v>997</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1613</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1614</v>
      </c>
      <c r="B1770" s="21" t="s">
        <v>995</v>
      </c>
      <c r="C1770" s="21" t="s">
        <v>1095</v>
      </c>
      <c r="D1770" s="21" t="s">
        <v>997</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1111</v>
      </c>
      <c r="B1771" s="21" t="s">
        <v>1101</v>
      </c>
      <c r="C1771" s="21" t="s">
        <v>996</v>
      </c>
      <c r="D1771" s="21" t="s">
        <v>997</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1615</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1616</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1008</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1270</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1617</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1060</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1618</v>
      </c>
      <c r="B1778" s="21" t="s">
        <v>1001</v>
      </c>
      <c r="C1778" s="21" t="s">
        <v>1034</v>
      </c>
      <c r="D1778" s="21" t="s">
        <v>997</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1082</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1083</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1084</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1154</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1008</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1037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1560</v>
      </c>
      <c r="B1785" s="21" t="s">
        <v>1024</v>
      </c>
      <c r="C1785" s="21" t="s">
        <v>1034</v>
      </c>
      <c r="D1785" s="21" t="s">
        <v>997</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1080</v>
      </c>
      <c r="B1786" s="21" t="s">
        <v>1094</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1619</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1581</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1037</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1607</v>
      </c>
      <c r="B1790" s="21" t="s">
        <v>1182</v>
      </c>
      <c r="C1790" s="21" t="s">
        <v>1034</v>
      </c>
      <c r="D1790" s="21" t="s">
        <v>997</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1011</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row>
    <row r="1793" spans="1:12">
      <c r="A1793" s="20" t="s">
        <v>1620</v>
      </c>
    </row>
    <row r="1794" spans="1:12">
      <c r="A1794" s="20" t="s">
        <v>1621</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1041</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1581</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1060</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1004</v>
      </c>
      <c r="B1798" s="21" t="s">
        <v>1067</v>
      </c>
      <c r="C1798" s="21" t="s">
        <v>1034</v>
      </c>
      <c r="D1798" s="21" t="s">
        <v>997</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1041</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1116</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1079</v>
      </c>
      <c r="B1801" s="21" t="s">
        <v>1067</v>
      </c>
      <c r="C1801" s="21" t="s">
        <v>1015</v>
      </c>
      <c r="D1801" s="21" t="s">
        <v>997</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1022</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1029</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1622</v>
      </c>
      <c r="B1804" s="21" t="s">
        <v>1010</v>
      </c>
      <c r="C1804" s="21" t="s">
        <v>1133</v>
      </c>
      <c r="D1804" s="21" t="s">
        <v>997</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1263</v>
      </c>
      <c r="B1805" s="21" t="s">
        <v>1027</v>
      </c>
      <c r="C1805" s="21" t="s">
        <v>996</v>
      </c>
      <c r="D1805" s="21" t="s">
        <v>997</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1264</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1623</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1307</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1041</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1175</v>
      </c>
      <c r="B1810" s="21" t="s">
        <v>995</v>
      </c>
      <c r="C1810" s="21" t="s">
        <v>1015</v>
      </c>
      <c r="D1810" s="21" t="s">
        <v>997</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423</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737</v>
      </c>
      <c r="B1812" s="21" t="s">
        <v>1067</v>
      </c>
      <c r="C1812" s="21" t="s">
        <v>1015</v>
      </c>
      <c r="D1812" s="21" t="s">
        <v>997</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1011</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row>
    <row r="1815" spans="1:12">
      <c r="A1815" s="20" t="s">
        <v>1624</v>
      </c>
    </row>
    <row r="1816" spans="1:12">
      <c r="A1816" s="20" t="s">
        <v>1602</v>
      </c>
      <c r="B1816" s="21" t="s">
        <v>995</v>
      </c>
      <c r="C1816" s="21" t="s">
        <v>996</v>
      </c>
      <c r="D1816" s="21" t="s">
        <v>997</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1264</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1625</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1022</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1626</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1008</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1037</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1627</v>
      </c>
      <c r="B1823" s="21" t="s">
        <v>1005</v>
      </c>
      <c r="C1823" s="21" t="s">
        <v>1034</v>
      </c>
      <c r="D1823" s="21" t="s">
        <v>997</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1149</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1628</v>
      </c>
      <c r="B1825" s="21" t="s">
        <v>1010</v>
      </c>
      <c r="C1825" s="21" t="s">
        <v>1025</v>
      </c>
      <c r="D1825" s="21" t="s">
        <v>997</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1629</v>
      </c>
      <c r="B1826" s="21" t="s">
        <v>1001</v>
      </c>
      <c r="C1826" s="21" t="s">
        <v>1028</v>
      </c>
      <c r="D1826" s="21" t="s">
        <v>997</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1029</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1060</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1113</v>
      </c>
      <c r="B1829" s="21" t="s">
        <v>1010</v>
      </c>
      <c r="C1829" s="21" t="s">
        <v>1034</v>
      </c>
      <c r="D1829" s="21" t="s">
        <v>997</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1462</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1041</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1202</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1310</v>
      </c>
      <c r="B1833" s="21" t="s">
        <v>1010</v>
      </c>
      <c r="C1833" s="21" t="s">
        <v>1068</v>
      </c>
      <c r="D1833" s="21" t="s">
        <v>997</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1011</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row>
    <row r="1836" spans="1:12">
      <c r="A1836" s="20" t="s">
        <v>1630</v>
      </c>
    </row>
    <row r="1837" spans="1:12">
      <c r="A1837" s="20" t="s">
        <v>1631</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1287</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1462</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1008</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1037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1627</v>
      </c>
      <c r="B1842" s="21" t="s">
        <v>1067</v>
      </c>
      <c r="C1842" s="21" t="s">
        <v>1034</v>
      </c>
      <c r="D1842" s="21" t="s">
        <v>997</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1632</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1011</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row>
    <row r="1846" spans="1:12">
      <c r="A1846" s="20" t="s">
        <v>1633</v>
      </c>
    </row>
    <row r="1847" spans="1:12">
      <c r="A1847" s="20" t="s">
        <v>1392</v>
      </c>
      <c r="B1847" s="21" t="s">
        <v>995</v>
      </c>
      <c r="C1847" s="21" t="s">
        <v>1133</v>
      </c>
      <c r="D1847" s="21" t="s">
        <v>997</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1634</v>
      </c>
      <c r="B1848" s="21" t="s">
        <v>1101</v>
      </c>
      <c r="C1848" s="21" t="s">
        <v>996</v>
      </c>
      <c r="D1848" s="21" t="s">
        <v>997</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1154</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1635</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1082</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1636</v>
      </c>
      <c r="B1852" s="21" t="s">
        <v>1142</v>
      </c>
      <c r="C1852" s="21" t="s">
        <v>996</v>
      </c>
      <c r="D1852" s="21" t="s">
        <v>997</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1095</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1637</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1097</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1041</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1069</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1070</v>
      </c>
      <c r="B1858" s="21" t="s">
        <v>1024</v>
      </c>
      <c r="C1858" s="21" t="s">
        <v>1006</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1041</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1636</v>
      </c>
      <c r="B1860" s="21" t="s">
        <v>1027</v>
      </c>
      <c r="C1860" s="21" t="s">
        <v>996</v>
      </c>
      <c r="D1860" s="21" t="s">
        <v>997</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1638</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1190</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1095</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1097</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1639</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1079</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1640</v>
      </c>
      <c r="B1867" s="21" t="s">
        <v>1088</v>
      </c>
      <c r="C1867" s="21" t="s">
        <v>1068</v>
      </c>
      <c r="D1867" s="21" t="s">
        <v>997</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1011</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row>
    <row r="1870" spans="1:12">
      <c r="A1870" s="20" t="s">
        <v>1641</v>
      </c>
    </row>
    <row r="1871" spans="1:12">
      <c r="A1871" s="20" t="s">
        <v>1099</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1084</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1154</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1524</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1642</v>
      </c>
      <c r="B1875" s="21" t="s">
        <v>1101</v>
      </c>
      <c r="C1875" s="21" t="s">
        <v>1239</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1008</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1643</v>
      </c>
      <c r="B1877" s="21" t="s">
        <v>1005</v>
      </c>
      <c r="C1877" s="21" t="s">
        <v>1006</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1644</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1487</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737</v>
      </c>
      <c r="B1880" s="21" t="s">
        <v>1067</v>
      </c>
      <c r="C1880" s="21" t="s">
        <v>1015</v>
      </c>
      <c r="D1880" s="21" t="s">
        <v>997</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1041</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1249</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1636</v>
      </c>
      <c r="B1883" s="21" t="s">
        <v>1142</v>
      </c>
      <c r="C1883" s="21" t="s">
        <v>996</v>
      </c>
      <c r="D1883" s="21" t="s">
        <v>997</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1339</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1645</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1097</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1288</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1146</v>
      </c>
      <c r="B1888" s="21" t="s">
        <v>1001</v>
      </c>
      <c r="C1888" s="21" t="s">
        <v>1006</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1041</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1069</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1070</v>
      </c>
      <c r="B1891" s="21" t="s">
        <v>1010</v>
      </c>
      <c r="C1891" s="21" t="s">
        <v>1006</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1011</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row>
    <row r="1894" spans="1:12">
      <c r="A1894" s="20" t="s">
        <v>1646</v>
      </c>
    </row>
    <row r="1895" spans="1:12">
      <c r="A1895" s="20" t="s">
        <v>1466</v>
      </c>
      <c r="B1895" s="21" t="s">
        <v>995</v>
      </c>
      <c r="C1895" s="21" t="s">
        <v>996</v>
      </c>
      <c r="D1895" s="21" t="s">
        <v>997</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1170</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1647</v>
      </c>
      <c r="B1897" s="21" t="s">
        <v>1067</v>
      </c>
      <c r="C1897" s="21" t="s">
        <v>1089</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1003</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1144</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1103</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1008</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1261</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1643</v>
      </c>
      <c r="B1903" s="21" t="s">
        <v>1005</v>
      </c>
      <c r="C1903" s="21" t="s">
        <v>1239</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1041</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1080</v>
      </c>
      <c r="B1905" s="21" t="s">
        <v>1114</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1648</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1029</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1144</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1534</v>
      </c>
      <c r="B1909" s="21" t="s">
        <v>1024</v>
      </c>
      <c r="C1909" s="21" t="s">
        <v>1089</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1649</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1041</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1581</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1144</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1649</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1650</v>
      </c>
      <c r="B1915" s="21" t="s">
        <v>1024</v>
      </c>
      <c r="C1915" s="21" t="s">
        <v>1089</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1041</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1007</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1041</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1190</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1082</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1194</v>
      </c>
      <c r="B1921" s="21" t="s">
        <v>1243</v>
      </c>
      <c r="C1921" s="21" t="s">
        <v>1133</v>
      </c>
      <c r="D1921" s="21" t="s">
        <v>997</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1651</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1109</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1086</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1110</v>
      </c>
      <c r="B1925" s="21" t="s">
        <v>1092</v>
      </c>
      <c r="C1925" s="21" t="s">
        <v>1006</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1041</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994</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1339</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1069</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1652</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1270</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1022</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1330</v>
      </c>
      <c r="B1933" s="21" t="s">
        <v>1182</v>
      </c>
      <c r="C1933" s="21" t="s">
        <v>1133</v>
      </c>
      <c r="D1933" s="21" t="s">
        <v>997</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1080</v>
      </c>
      <c r="B1934" s="21" t="s">
        <v>1653</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1654</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1032</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1655</v>
      </c>
      <c r="B1937" s="21" t="s">
        <v>1656</v>
      </c>
      <c r="C1937" s="21" t="s">
        <v>1034</v>
      </c>
      <c r="D1937" s="21" t="s">
        <v>997</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1011</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row>
    <row r="1940" spans="1:12">
      <c r="A1940" s="20" t="s">
        <v>1657</v>
      </c>
    </row>
    <row r="1941" spans="1:12">
      <c r="A1941" s="20" t="s">
        <v>1602</v>
      </c>
      <c r="B1941" s="21" t="s">
        <v>995</v>
      </c>
      <c r="C1941" s="21" t="s">
        <v>996</v>
      </c>
      <c r="D1941" s="21" t="s">
        <v>997</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1264</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1658</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1008</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1659</v>
      </c>
      <c r="B1945" s="21" t="s">
        <v>1010</v>
      </c>
      <c r="C1945" s="21" t="s">
        <v>1006</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1060</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1004</v>
      </c>
      <c r="B1947" s="21" t="s">
        <v>1067</v>
      </c>
      <c r="C1947" s="21" t="s">
        <v>1034</v>
      </c>
      <c r="D1947" s="21" t="s">
        <v>997</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1660</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1041</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1032</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1661</v>
      </c>
      <c r="B1951" s="21" t="s">
        <v>1101</v>
      </c>
      <c r="C1951" s="21" t="s">
        <v>1034</v>
      </c>
      <c r="D1951" s="21" t="s">
        <v>997</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1041</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1032</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1662</v>
      </c>
      <c r="B1954" s="21" t="s">
        <v>1005</v>
      </c>
      <c r="C1954" s="21" t="s">
        <v>1034</v>
      </c>
      <c r="D1954" s="21" t="s">
        <v>997</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1041</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1037</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1663</v>
      </c>
      <c r="B1957" s="21" t="s">
        <v>1005</v>
      </c>
      <c r="C1957" s="21" t="s">
        <v>1034</v>
      </c>
      <c r="D1957" s="21" t="s">
        <v>997</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1011</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row>
    <row r="1960" spans="1:12">
      <c r="A1960" s="20" t="s">
        <v>1664</v>
      </c>
    </row>
    <row r="1961" spans="1:12">
      <c r="A1961" s="20" t="s">
        <v>1665</v>
      </c>
      <c r="B1961" s="21" t="s">
        <v>995</v>
      </c>
      <c r="C1961" s="21" t="s">
        <v>996</v>
      </c>
      <c r="D1961" s="21" t="s">
        <v>997</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1666</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1111</v>
      </c>
      <c r="B1963" s="21" t="s">
        <v>1005</v>
      </c>
      <c r="C1963" s="21" t="s">
        <v>1025</v>
      </c>
      <c r="D1963" s="21" t="s">
        <v>997</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1629</v>
      </c>
      <c r="B1964" s="21" t="s">
        <v>1101</v>
      </c>
      <c r="C1964" s="21" t="s">
        <v>1028</v>
      </c>
      <c r="D1964" s="21" t="s">
        <v>997</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1041</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1007</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1141</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1175</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423</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1054</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1022</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1547</v>
      </c>
      <c r="B1972" s="21" t="s">
        <v>1027</v>
      </c>
      <c r="C1972" s="21" t="s">
        <v>996</v>
      </c>
      <c r="D1972" s="21" t="s">
        <v>997</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1095</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1667</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1041</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1184</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1057</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1041</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1249</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1023</v>
      </c>
      <c r="B1980" s="21" t="s">
        <v>1112</v>
      </c>
      <c r="C1980" s="21" t="s">
        <v>1025</v>
      </c>
      <c r="D1980" s="21" t="s">
        <v>997</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1618</v>
      </c>
      <c r="B1981" s="21" t="s">
        <v>1024</v>
      </c>
      <c r="C1981" s="21" t="s">
        <v>1028</v>
      </c>
      <c r="D1981" s="21" t="s">
        <v>997</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1668</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1041</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1175</v>
      </c>
      <c r="B1984" s="21" t="s">
        <v>1114</v>
      </c>
      <c r="C1984" s="21" t="s">
        <v>1015</v>
      </c>
      <c r="D1984" s="21" t="s">
        <v>997</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423</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1022</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1073</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1065</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1669</v>
      </c>
      <c r="B1989" s="21" t="s">
        <v>1112</v>
      </c>
      <c r="C1989" s="21" t="s">
        <v>1133</v>
      </c>
      <c r="D1989" s="21" t="s">
        <v>997</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1041</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1083</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1084</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1154</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1670</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1008</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1061</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1026</v>
      </c>
      <c r="B1997" s="21" t="s">
        <v>1112</v>
      </c>
      <c r="C1997" s="21" t="s">
        <v>1034</v>
      </c>
      <c r="D1997" s="21" t="s">
        <v>997</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1029</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158</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1041</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1007</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1044</v>
      </c>
      <c r="B2002" s="21" t="s">
        <v>1243</v>
      </c>
      <c r="C2002" s="21" t="s">
        <v>996</v>
      </c>
      <c r="D2002" s="21" t="s">
        <v>997</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1095</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1179</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1069</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350</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1671</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1672</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1041</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1168</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1141</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737</v>
      </c>
      <c r="B2012" s="21" t="s">
        <v>1673</v>
      </c>
      <c r="C2012" s="21" t="s">
        <v>1015</v>
      </c>
      <c r="D2012" s="21" t="s">
        <v>997</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1674</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1675</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1041</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1168</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1141</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1037</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1676</v>
      </c>
      <c r="B2019" s="21" t="s">
        <v>1677</v>
      </c>
      <c r="C2019" s="21" t="s">
        <v>1034</v>
      </c>
      <c r="D2019" s="21" t="s">
        <v>997</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1029</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1678</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1679</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1064</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1011</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row>
    <row r="2026" spans="1:12">
      <c r="A2026" s="20" t="s">
        <v>1680</v>
      </c>
    </row>
    <row r="2027" spans="1:12">
      <c r="A2027" s="20" t="s">
        <v>1681</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1003</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1386</v>
      </c>
      <c r="B2029" s="21" t="s">
        <v>1005</v>
      </c>
      <c r="C2029" s="21" t="s">
        <v>1006</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1032</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1682</v>
      </c>
      <c r="B2031" s="21" t="s">
        <v>1101</v>
      </c>
      <c r="C2031" s="21" t="s">
        <v>1034</v>
      </c>
      <c r="D2031" s="21" t="s">
        <v>997</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1008</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1037</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1683</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1684</v>
      </c>
      <c r="B2035" s="21" t="s">
        <v>1005</v>
      </c>
      <c r="C2035" s="21" t="s">
        <v>1034</v>
      </c>
      <c r="D2035" s="21" t="s">
        <v>997</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1041</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1082</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1083</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1227</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1685</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1008</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1061</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1165</v>
      </c>
      <c r="B2043" s="21" t="s">
        <v>1005</v>
      </c>
      <c r="C2043" s="21" t="s">
        <v>1034</v>
      </c>
      <c r="D2043" s="21" t="s">
        <v>997</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1103</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1008</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1061</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1520</v>
      </c>
      <c r="B2047" s="21" t="s">
        <v>1010</v>
      </c>
      <c r="C2047" s="21" t="s">
        <v>1034</v>
      </c>
      <c r="D2047" s="21" t="s">
        <v>997</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1521</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1011</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row>
    <row r="2051" spans="1:12">
      <c r="A2051" s="20" t="s">
        <v>1686</v>
      </c>
    </row>
    <row r="2052" spans="1:12">
      <c r="A2052" s="20" t="s">
        <v>1338</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1082</v>
      </c>
      <c r="B2053" s="21" t="s">
        <v>1001</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1083</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1540</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158</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1246</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1674</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1208</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1041</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1249</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737</v>
      </c>
      <c r="B2062" s="21" t="s">
        <v>1142</v>
      </c>
      <c r="C2062" s="21" t="s">
        <v>1015</v>
      </c>
      <c r="D2062" s="21" t="s">
        <v>997</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1095</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1060</v>
      </c>
      <c r="B2064" s="21" t="s">
        <v>1001</v>
      </c>
      <c r="C2064" s="21" t="s">
        <v>996</v>
      </c>
      <c r="D2064" s="21" t="s">
        <v>997</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423</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1097</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1041</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1175</v>
      </c>
      <c r="B2068" s="21" t="s">
        <v>1142</v>
      </c>
      <c r="C2068" s="21" t="s">
        <v>1015</v>
      </c>
      <c r="D2068" s="21" t="s">
        <v>997</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423</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1008</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1687</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1116</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1061</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1203</v>
      </c>
      <c r="B2074" s="21" t="s">
        <v>1039</v>
      </c>
      <c r="C2074" s="21" t="s">
        <v>1034</v>
      </c>
      <c r="D2074" s="21" t="s">
        <v>997</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1041</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1688</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1032</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1682</v>
      </c>
      <c r="B2078" s="21" t="s">
        <v>1010</v>
      </c>
      <c r="C2078" s="21" t="s">
        <v>1034</v>
      </c>
      <c r="D2078" s="21" t="s">
        <v>997</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1041</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1061</v>
      </c>
      <c r="B2080" s="21" t="s">
        <v>1088</v>
      </c>
      <c r="C2080" s="21" t="s">
        <v>996</v>
      </c>
      <c r="D2080" s="21" t="s">
        <v>997</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224</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1008</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1061</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1689</v>
      </c>
      <c r="B2084" s="21" t="s">
        <v>1024</v>
      </c>
      <c r="C2084" s="21" t="s">
        <v>1034</v>
      </c>
      <c r="D2084" s="21" t="s">
        <v>997</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1041</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1061</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1690</v>
      </c>
      <c r="B2087" s="21" t="s">
        <v>1005</v>
      </c>
      <c r="C2087" s="21" t="s">
        <v>1034</v>
      </c>
      <c r="D2087" s="21" t="s">
        <v>997</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1298</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1691</v>
      </c>
      <c r="B2089" s="21" t="s">
        <v>1010</v>
      </c>
      <c r="C2089" s="21" t="s">
        <v>1006</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1041</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1061</v>
      </c>
      <c r="B2091" s="21" t="s">
        <v>1039</v>
      </c>
      <c r="C2091" s="21" t="s">
        <v>996</v>
      </c>
      <c r="D2091" s="21" t="s">
        <v>997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1692</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1693</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1041</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1061</v>
      </c>
      <c r="B2095" s="21" t="s">
        <v>1088</v>
      </c>
      <c r="C2095" s="21" t="s">
        <v>996</v>
      </c>
      <c r="D2095" s="21" t="s">
        <v>997</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1694</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1305</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1695</v>
      </c>
      <c r="B2098" s="21" t="s">
        <v>1024</v>
      </c>
      <c r="C2098" s="21" t="s">
        <v>1239</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1041</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1007</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609</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1082</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1083</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1084</v>
      </c>
      <c r="B2104" s="21" t="s">
        <v>1088</v>
      </c>
      <c r="C2104" s="21" t="s">
        <v>1133</v>
      </c>
      <c r="D2104" s="21" t="s">
        <v>997</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1696</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1011</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row>
    <row r="2108" spans="1:12">
      <c r="A2108" s="20" t="s">
        <v>1697</v>
      </c>
    </row>
    <row r="2109" spans="1:12">
      <c r="A2109" s="20" t="s">
        <v>1099</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1084</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1154</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1008</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1037</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1698</v>
      </c>
      <c r="B2114" s="21" t="s">
        <v>1067</v>
      </c>
      <c r="C2114" s="21" t="s">
        <v>1034</v>
      </c>
      <c r="D2114" s="21" t="s">
        <v>997</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1699</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1700</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1008</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675</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1014</v>
      </c>
      <c r="B2119" s="21" t="s">
        <v>1088</v>
      </c>
      <c r="C2119" s="21" t="s">
        <v>1015</v>
      </c>
      <c r="D2119" s="21" t="s">
        <v>997</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1029</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247</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1029</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321</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1701</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1041</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1249</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1307</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1029</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396</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1701</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1041</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737</v>
      </c>
      <c r="B2132" s="21" t="s">
        <v>1142</v>
      </c>
      <c r="C2132" s="21" t="s">
        <v>1015</v>
      </c>
      <c r="D2132" s="21" t="s">
        <v>997</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1702</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1137</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1703</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1041</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1007</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1079</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1702</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1675</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1008</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1704</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1008</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1060</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1242</v>
      </c>
      <c r="B2145" s="21" t="s">
        <v>1024</v>
      </c>
      <c r="C2145" s="21" t="s">
        <v>1034</v>
      </c>
      <c r="D2145" s="21" t="s">
        <v>997</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1090</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1116</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1079</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1203</v>
      </c>
      <c r="B2149" s="21" t="s">
        <v>1094</v>
      </c>
      <c r="C2149" s="21" t="s">
        <v>1068</v>
      </c>
      <c r="D2149" s="21" t="s">
        <v>997</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1393</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110</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1705</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1041</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1249</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1061</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1054</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1706</v>
      </c>
      <c r="B2157" s="21" t="s">
        <v>1653</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423</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1462</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1032</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1512</v>
      </c>
      <c r="B2161" s="21" t="s">
        <v>1092</v>
      </c>
      <c r="C2161" s="21" t="s">
        <v>1034</v>
      </c>
      <c r="D2161" s="21" t="s">
        <v>997</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1008</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1061</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1707</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1708</v>
      </c>
      <c r="B2165" s="21" t="s">
        <v>1709</v>
      </c>
      <c r="C2165" s="21" t="s">
        <v>1034</v>
      </c>
      <c r="D2165" s="21" t="s">
        <v>997</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1011</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row>
    <row r="2168" spans="1:12">
      <c r="A2168" s="20" t="s">
        <v>1710</v>
      </c>
    </row>
    <row r="2169" spans="1:12">
      <c r="A2169" s="20" t="s">
        <v>1711</v>
      </c>
      <c r="B2169" s="21" t="s">
        <v>995</v>
      </c>
      <c r="C2169" s="21" t="s">
        <v>1712</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1713</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32</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1202</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1714</v>
      </c>
      <c r="B2173" s="21" t="s">
        <v>1001</v>
      </c>
      <c r="C2173" s="21" t="s">
        <v>1068</v>
      </c>
      <c r="D2173" s="21" t="s">
        <v>997</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1275</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row>
    <row r="2176" spans="1:12">
      <c r="A2176" s="20" t="s">
        <v>1715</v>
      </c>
    </row>
    <row r="2177" spans="1:12">
      <c r="A2177" s="20" t="s">
        <v>1711</v>
      </c>
      <c r="B2177" s="21" t="s">
        <v>995</v>
      </c>
      <c r="C2177" s="21" t="s">
        <v>1712</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1713</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1716</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1305</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1146</v>
      </c>
      <c r="B2181" s="21" t="s">
        <v>1001</v>
      </c>
      <c r="C2181" s="21" t="s">
        <v>1239</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1080</v>
      </c>
      <c r="B2182" s="21" t="s">
        <v>1114</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423</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1008</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1037</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1052</v>
      </c>
      <c r="B2186" s="21" t="s">
        <v>1010</v>
      </c>
      <c r="C2186" s="21" t="s">
        <v>1034</v>
      </c>
      <c r="D2186" s="21" t="s">
        <v>997</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1008</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1717</v>
      </c>
      <c r="B2188" s="21" t="s">
        <v>1024</v>
      </c>
      <c r="C2188" s="21" t="s">
        <v>1006</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1054</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1718</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1022</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1116</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1719</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1720</v>
      </c>
      <c r="B2194" s="21" t="s">
        <v>1024</v>
      </c>
      <c r="C2194" s="21" t="s">
        <v>1239</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1008</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1721</v>
      </c>
      <c r="B2196" s="21" t="s">
        <v>1112</v>
      </c>
      <c r="C2196" s="21" t="s">
        <v>1006</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1029</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1722</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1000</v>
      </c>
      <c r="B2199" s="21" t="s">
        <v>1094</v>
      </c>
      <c r="C2199" s="21" t="s">
        <v>996</v>
      </c>
      <c r="D2199" s="21" t="s">
        <v>997</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1723</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491</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1041</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1724</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1103</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1486</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1275</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row>
    <row r="2208" spans="1:12">
      <c r="A2208" s="20" t="s">
        <v>1725</v>
      </c>
    </row>
    <row r="2209" spans="1:12">
      <c r="A2209" s="20" t="s">
        <v>1123</v>
      </c>
      <c r="B2209" s="21" t="s">
        <v>995</v>
      </c>
      <c r="C2209" s="21" t="s">
        <v>1015</v>
      </c>
      <c r="D2209" s="21" t="s">
        <v>997</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1070</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1250</v>
      </c>
      <c r="B2211" s="21" t="s">
        <v>1101</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1008</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1726</v>
      </c>
      <c r="B2213" s="21" t="s">
        <v>1005</v>
      </c>
      <c r="C2213" s="21" t="s">
        <v>1006</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1011</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row>
    <row r="2216" spans="1:12">
      <c r="A2216" s="20" t="s">
        <v>1727</v>
      </c>
    </row>
    <row r="2217" spans="1:12">
      <c r="A2217" s="20" t="s">
        <v>1365</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1079</v>
      </c>
      <c r="B2218" s="21" t="s">
        <v>995</v>
      </c>
      <c r="C2218" s="21" t="s">
        <v>1015</v>
      </c>
      <c r="D2218" s="21" t="s">
        <v>997</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1702</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1675</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1049</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1202</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1728</v>
      </c>
      <c r="B2223" s="21" t="s">
        <v>1067</v>
      </c>
      <c r="C2223" s="21" t="s">
        <v>1068</v>
      </c>
      <c r="D2223" s="21" t="s">
        <v>997</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1011</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row>
    <row r="2226" spans="1:12">
      <c r="A2226" s="20" t="s">
        <v>1729</v>
      </c>
    </row>
    <row r="2227" spans="1:12">
      <c r="A2227" s="20" t="s">
        <v>1730</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1041</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1083</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1084</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1154</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1061</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1530</v>
      </c>
      <c r="B2233" s="21" t="s">
        <v>1101</v>
      </c>
      <c r="C2233" s="21" t="s">
        <v>1034</v>
      </c>
      <c r="D2233" s="21" t="s">
        <v>997</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1011</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row>
    <row r="2236" spans="1:12">
      <c r="A2236" s="20" t="s">
        <v>1731</v>
      </c>
    </row>
    <row r="2237" spans="1:12">
      <c r="A2237" s="20" t="s">
        <v>1711</v>
      </c>
      <c r="B2237" s="21" t="s">
        <v>995</v>
      </c>
      <c r="C2237" s="21" t="s">
        <v>1712</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1732</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1733</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1500</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1496</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1734</v>
      </c>
      <c r="B2242" s="21" t="s">
        <v>1101</v>
      </c>
      <c r="C2242" s="21" t="s">
        <v>1295</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1513</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row>
    <row r="2245" spans="1:12">
      <c r="A2245" s="20" t="s">
        <v>1735</v>
      </c>
    </row>
    <row r="2246" spans="1:12">
      <c r="A2246" s="20" t="s">
        <v>1076</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1736</v>
      </c>
      <c r="B2247" s="21" t="s">
        <v>995</v>
      </c>
      <c r="C2247" s="21" t="s">
        <v>1034</v>
      </c>
      <c r="D2247" s="21" t="s">
        <v>997</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1041</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1069</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1737</v>
      </c>
      <c r="B2250" s="21" t="s">
        <v>1024</v>
      </c>
      <c r="C2250" s="21" t="s">
        <v>1006</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1109</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1037</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1323</v>
      </c>
      <c r="B2253" s="21" t="s">
        <v>1005</v>
      </c>
      <c r="C2253" s="21" t="s">
        <v>1034</v>
      </c>
      <c r="D2253" s="21" t="s">
        <v>997</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1738</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1739</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1041</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423</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1740</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1011</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row>
    <row r="2261" spans="1:12">
      <c r="A2261" s="20" t="s">
        <v>1741</v>
      </c>
    </row>
    <row r="2262" spans="1:12">
      <c r="A2262" s="20" t="s">
        <v>1163</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1512</v>
      </c>
      <c r="B2263" s="21" t="s">
        <v>995</v>
      </c>
      <c r="C2263" s="21" t="s">
        <v>1034</v>
      </c>
      <c r="D2263" s="21" t="s">
        <v>997</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1008</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1032</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1742</v>
      </c>
      <c r="B2266" s="21" t="s">
        <v>1005</v>
      </c>
      <c r="C2266" s="21" t="s">
        <v>1034</v>
      </c>
      <c r="D2266" s="21" t="s">
        <v>997</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1041</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1003</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110</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1270</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1743</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1082</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1083</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1744</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1084</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1085</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1097</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1008</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408</v>
      </c>
      <c r="B2279" s="21" t="s">
        <v>1101</v>
      </c>
      <c r="C2279" s="21" t="s">
        <v>1089</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1041</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1022</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1041</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1168</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1069</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1745</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1008</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1037</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1746</v>
      </c>
      <c r="B2288" s="21" t="s">
        <v>1005</v>
      </c>
      <c r="C2288" s="21" t="s">
        <v>1034</v>
      </c>
      <c r="D2288" s="21" t="s">
        <v>997</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1747</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1041</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1061</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1748</v>
      </c>
      <c r="B2292" s="21" t="s">
        <v>1142</v>
      </c>
      <c r="C2292" s="21" t="s">
        <v>1034</v>
      </c>
      <c r="D2292" s="21" t="s">
        <v>997</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1095</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1376</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1097</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1749</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1049</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1037</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1750</v>
      </c>
      <c r="B2299" s="21" t="s">
        <v>1005</v>
      </c>
      <c r="C2299" s="21" t="s">
        <v>1034</v>
      </c>
      <c r="D2299" s="21" t="s">
        <v>997</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1011</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row>
    <row r="2302" spans="1:12">
      <c r="A2302" s="20" t="s">
        <v>1751</v>
      </c>
    </row>
    <row r="2303" spans="1:12">
      <c r="A2303" s="20" t="s">
        <v>1013</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1752</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1041</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1022</v>
      </c>
      <c r="B2306" s="21" t="s">
        <v>1101</v>
      </c>
      <c r="C2306" s="21" t="s">
        <v>1712</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158</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1581</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1037</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1721</v>
      </c>
      <c r="B2310" s="21" t="s">
        <v>1067</v>
      </c>
      <c r="C2310" s="21" t="s">
        <v>1034</v>
      </c>
      <c r="D2310" s="21" t="s">
        <v>997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1275</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row>
    <row r="2313" spans="1:12">
      <c r="A2313" s="20" t="s">
        <v>1753</v>
      </c>
    </row>
    <row r="2314" spans="1:12">
      <c r="A2314" s="20" t="s">
        <v>1013</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1041</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1190</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1022</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1061</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1726</v>
      </c>
      <c r="B2319" s="21" t="s">
        <v>1142</v>
      </c>
      <c r="C2319" s="21" t="s">
        <v>1034</v>
      </c>
      <c r="D2319" s="21" t="s">
        <v>997</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1095</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1376</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1097</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1097</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1137</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1754</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1041</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1083</v>
      </c>
      <c r="B2327" s="21" t="s">
        <v>995</v>
      </c>
      <c r="C2327" s="21" t="s">
        <v>996</v>
      </c>
      <c r="D2327" s="21" t="s">
        <v>997</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1755</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1008</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1565</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1734</v>
      </c>
      <c r="B2331" s="21" t="s">
        <v>1101</v>
      </c>
      <c r="C2331" s="21" t="s">
        <v>1089</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1011</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row>
    <row r="2334" spans="1:12">
      <c r="A2334" s="20" t="s">
        <v>1756</v>
      </c>
    </row>
    <row r="2335" spans="1:12">
      <c r="A2335" s="20" t="s">
        <v>1106</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1560</v>
      </c>
      <c r="B2336" s="21" t="s">
        <v>995</v>
      </c>
      <c r="C2336" s="21" t="s">
        <v>1034</v>
      </c>
      <c r="D2336" s="21" t="s">
        <v>997</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1562</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1647</v>
      </c>
      <c r="B2338" s="21" t="s">
        <v>1101</v>
      </c>
      <c r="C2338" s="21" t="s">
        <v>1006</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1008</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1077</v>
      </c>
      <c r="B2340" s="21" t="s">
        <v>1039</v>
      </c>
      <c r="C2340" s="21" t="s">
        <v>996</v>
      </c>
      <c r="D2340" s="21" t="s">
        <v>997</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1757</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1190</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1668</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1011</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row>
    <row r="2346" spans="1:12">
      <c r="A2346" s="20" t="s">
        <v>1758</v>
      </c>
    </row>
    <row r="2347" spans="1:12">
      <c r="A2347" s="20" t="s">
        <v>1621</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1041</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1500</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1734</v>
      </c>
      <c r="B2350" s="21" t="s">
        <v>1067</v>
      </c>
      <c r="C2350" s="21" t="s">
        <v>1295</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1137</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1759</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1080</v>
      </c>
      <c r="B2353" s="21" t="s">
        <v>1142</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1638</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110</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1760</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1041</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1007</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1287</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1041</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1073</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1479</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1083</v>
      </c>
      <c r="B2363" s="21" t="s">
        <v>1142</v>
      </c>
      <c r="C2363" s="21" t="s">
        <v>996</v>
      </c>
      <c r="D2363" s="21" t="s">
        <v>997</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1761</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1762</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1011</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row>
    <row r="2368" spans="1:12">
      <c r="A2368" s="20" t="s">
        <v>1763</v>
      </c>
    </row>
    <row r="2369" spans="1:12">
      <c r="A2369" s="20" t="s">
        <v>1106</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1500</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1764</v>
      </c>
      <c r="B2371" s="21" t="s">
        <v>1067</v>
      </c>
      <c r="C2371" s="21" t="s">
        <v>1034</v>
      </c>
      <c r="D2371" s="21" t="s">
        <v>997</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1008</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1037</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1330</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1041</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1547</v>
      </c>
      <c r="B2376" s="21" t="s">
        <v>995</v>
      </c>
      <c r="C2376" s="21" t="s">
        <v>996</v>
      </c>
      <c r="D2376" s="21" t="s">
        <v>997</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1037</v>
      </c>
      <c r="B2377" s="21" t="s">
        <v>1101</v>
      </c>
      <c r="C2377" s="21" t="s">
        <v>996</v>
      </c>
      <c r="D2377" s="21" t="s">
        <v>997</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1264</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1765</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1011</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row>
    <row r="2382" spans="1:12">
      <c r="A2382" s="20" t="s">
        <v>1766</v>
      </c>
    </row>
    <row r="2383" spans="1:12">
      <c r="A2383" s="20" t="s">
        <v>1338</v>
      </c>
      <c r="B2383" s="21" t="s">
        <v>1142</v>
      </c>
      <c r="C2383" s="21" t="s">
        <v>1015</v>
      </c>
      <c r="D2383" s="21" t="s">
        <v>997</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1062</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1767</v>
      </c>
      <c r="B2385" s="21" t="s">
        <v>995</v>
      </c>
      <c r="C2385" s="21" t="s">
        <v>1015</v>
      </c>
      <c r="D2385" s="21" t="s">
        <v>997</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1029</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1479</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1037</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1560</v>
      </c>
      <c r="B2389" s="21" t="s">
        <v>1067</v>
      </c>
      <c r="C2389" s="21" t="s">
        <v>1034</v>
      </c>
      <c r="D2389" s="21" t="s">
        <v>997</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1453</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1768</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1769</v>
      </c>
      <c r="B2392" s="21" t="s">
        <v>1101</v>
      </c>
      <c r="C2392" s="21" t="s">
        <v>1006</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1069</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1184</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1082</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1528</v>
      </c>
      <c r="B2396" s="21" t="s">
        <v>1067</v>
      </c>
      <c r="C2396" s="21" t="s">
        <v>1006</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1529</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1011</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row>
    <row r="2400" spans="1:12">
      <c r="A2400" s="20" t="s">
        <v>1770</v>
      </c>
    </row>
    <row r="2401" spans="1:12">
      <c r="A2401" s="20" t="s">
        <v>1059</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1069</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1070</v>
      </c>
      <c r="B2403" s="21" t="s">
        <v>1005</v>
      </c>
      <c r="C2403" s="21" t="s">
        <v>1006</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12</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1168</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1141</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1175</v>
      </c>
      <c r="B2407" s="21" t="s">
        <v>1142</v>
      </c>
      <c r="C2407" s="21" t="s">
        <v>1015</v>
      </c>
      <c r="D2407" s="21" t="s">
        <v>997</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423</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1771</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1082</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1636</v>
      </c>
      <c r="B2411" s="21" t="s">
        <v>1027</v>
      </c>
      <c r="C2411" s="21" t="s">
        <v>996</v>
      </c>
      <c r="D2411" s="21" t="s">
        <v>997</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1095</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1772</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1773</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1774</v>
      </c>
      <c r="B2415" s="21" t="s">
        <v>1039</v>
      </c>
      <c r="C2415" s="21" t="s">
        <v>1239</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12</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1636</v>
      </c>
      <c r="B2417" s="21" t="s">
        <v>995</v>
      </c>
      <c r="C2417" s="21" t="s">
        <v>996</v>
      </c>
      <c r="D2417" s="21" t="s">
        <v>997</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1775</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1776</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1777</v>
      </c>
      <c r="B2420" s="21" t="s">
        <v>1101</v>
      </c>
      <c r="C2420" s="21" t="s">
        <v>1239</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1011</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row>
    <row r="2423" spans="1:12">
      <c r="A2423" s="20" t="s">
        <v>1778</v>
      </c>
    </row>
    <row r="2424" spans="1:12">
      <c r="A2424" s="20" t="s">
        <v>1076</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1779</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423</v>
      </c>
      <c r="B2426" s="21" t="s">
        <v>1067</v>
      </c>
      <c r="C2426" s="21" t="s">
        <v>1034</v>
      </c>
      <c r="D2426" s="21" t="s">
        <v>997</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1022</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1032</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1780</v>
      </c>
      <c r="B2429" s="21" t="s">
        <v>1142</v>
      </c>
      <c r="C2429" s="21" t="s">
        <v>1034</v>
      </c>
      <c r="D2429" s="21" t="s">
        <v>997</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1003</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1004</v>
      </c>
      <c r="B2431" s="21" t="s">
        <v>1010</v>
      </c>
      <c r="C2431" s="21" t="s">
        <v>1006</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1781</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237</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1029</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1065</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1782</v>
      </c>
      <c r="B2436" s="21" t="s">
        <v>1024</v>
      </c>
      <c r="C2436" s="21" t="s">
        <v>1068</v>
      </c>
      <c r="D2436" s="21" t="s">
        <v>997</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423</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1783</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1784</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1029</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1785</v>
      </c>
      <c r="B2441" s="21" t="s">
        <v>1005</v>
      </c>
      <c r="C2441" s="21" t="s">
        <v>1015</v>
      </c>
      <c r="D2441" s="21" t="s">
        <v>997</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1003</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1144</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1786</v>
      </c>
      <c r="B2444" s="21" t="s">
        <v>1010</v>
      </c>
      <c r="C2444" s="21" t="s">
        <v>1089</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1787</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1011</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row>
    <row r="2448" spans="1:12">
      <c r="A2448" s="20" t="s">
        <v>1788</v>
      </c>
    </row>
    <row r="2449" spans="1:12">
      <c r="A2449" s="20" t="s">
        <v>1099</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1227</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1789</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1008</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1790</v>
      </c>
      <c r="B2453" s="21" t="s">
        <v>1067</v>
      </c>
      <c r="C2453" s="21" t="s">
        <v>1006</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1029</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1004</v>
      </c>
      <c r="B2455" s="21" t="s">
        <v>1005</v>
      </c>
      <c r="C2455" s="21" t="s">
        <v>1006</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1041</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1194</v>
      </c>
      <c r="B2457" s="21" t="s">
        <v>1142</v>
      </c>
      <c r="C2457" s="21" t="s">
        <v>1133</v>
      </c>
      <c r="D2457" s="21" t="s">
        <v>997</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1791</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1246</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1008</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1565</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1792</v>
      </c>
      <c r="B2462" s="21" t="s">
        <v>1001</v>
      </c>
      <c r="C2462" s="21" t="s">
        <v>1089</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1793</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1041</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1008</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1037</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1794</v>
      </c>
      <c r="B2467" s="21" t="s">
        <v>1005</v>
      </c>
      <c r="C2467" s="21" t="s">
        <v>1034</v>
      </c>
      <c r="D2467" s="21" t="s">
        <v>997</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1008</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1717</v>
      </c>
      <c r="B2469" s="21" t="s">
        <v>1024</v>
      </c>
      <c r="C2469" s="21" t="s">
        <v>1006</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1054</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1003</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1795</v>
      </c>
      <c r="B2472" s="21" t="s">
        <v>1024</v>
      </c>
      <c r="C2472" s="21" t="s">
        <v>1006</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1022</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1049</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1144</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1786</v>
      </c>
      <c r="B2476" s="21" t="s">
        <v>1024</v>
      </c>
      <c r="C2476" s="21" t="s">
        <v>1089</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1029</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1004</v>
      </c>
      <c r="B2478" s="21" t="s">
        <v>1112</v>
      </c>
      <c r="C2478" s="21" t="s">
        <v>1006</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1796</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1011</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row>
    <row r="2482" spans="1:12">
      <c r="A2482" s="20" t="s">
        <v>1797</v>
      </c>
    </row>
    <row r="2483" spans="1:12">
      <c r="A2483" s="20" t="s">
        <v>1219</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1054</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1079</v>
      </c>
      <c r="B2485" s="21" t="s">
        <v>995</v>
      </c>
      <c r="C2485" s="21" t="s">
        <v>1015</v>
      </c>
      <c r="D2485" s="21" t="s">
        <v>997</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1062</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1008</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1037</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1798</v>
      </c>
      <c r="B2489" s="21" t="s">
        <v>1067</v>
      </c>
      <c r="C2489" s="21" t="s">
        <v>1034</v>
      </c>
      <c r="D2489" s="21" t="s">
        <v>997</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1799</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1191</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1800</v>
      </c>
      <c r="B2492" s="21" t="s">
        <v>1005</v>
      </c>
      <c r="C2492" s="21" t="s">
        <v>1006</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1011</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row>
    <row r="2495" spans="1:12">
      <c r="A2495" s="20" t="s">
        <v>1801</v>
      </c>
    </row>
    <row r="2496" spans="1:12">
      <c r="A2496" s="20" t="s">
        <v>1076</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1802</v>
      </c>
      <c r="B2497" s="21" t="s">
        <v>995</v>
      </c>
      <c r="C2497" s="21" t="s">
        <v>1034</v>
      </c>
      <c r="D2497" s="21" t="s">
        <v>997</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1095</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1803</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1097</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1579</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1032</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1804</v>
      </c>
      <c r="B2503" s="21" t="s">
        <v>1101</v>
      </c>
      <c r="C2503" s="21" t="s">
        <v>1034</v>
      </c>
      <c r="D2503" s="21" t="s">
        <v>997</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1041</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1083</v>
      </c>
      <c r="B2505" s="21" t="s">
        <v>1142</v>
      </c>
      <c r="C2505" s="21" t="s">
        <v>996</v>
      </c>
      <c r="D2505" s="21" t="s">
        <v>997</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1095</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1803</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1097</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1805</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1037</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1806</v>
      </c>
      <c r="B2511" s="21" t="s">
        <v>1001</v>
      </c>
      <c r="C2511" s="21" t="s">
        <v>1034</v>
      </c>
      <c r="D2511" s="21" t="s">
        <v>997</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1041</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1007</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1041</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1807</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1041</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1061</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1808</v>
      </c>
      <c r="B2518" s="21" t="s">
        <v>1027</v>
      </c>
      <c r="C2518" s="21" t="s">
        <v>1034</v>
      </c>
      <c r="D2518" s="21" t="s">
        <v>997</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1095</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1809</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1097</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1116</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1061</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1030</v>
      </c>
      <c r="B2524" s="21" t="s">
        <v>1039</v>
      </c>
      <c r="C2524" s="21" t="s">
        <v>1034</v>
      </c>
      <c r="D2524" s="21" t="s">
        <v>997</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1011</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row>
    <row r="2527" spans="1:12">
      <c r="A2527" s="20" t="s">
        <v>1810</v>
      </c>
    </row>
    <row r="2528" spans="1:12">
      <c r="A2528" s="20" t="s">
        <v>1013</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1287</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1041</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1141</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1000</v>
      </c>
      <c r="B2532" s="21" t="s">
        <v>1142</v>
      </c>
      <c r="C2532" s="21" t="s">
        <v>996</v>
      </c>
      <c r="D2532" s="21" t="s">
        <v>997</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1811</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1008</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1065</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1798</v>
      </c>
      <c r="B2536" s="21" t="s">
        <v>1005</v>
      </c>
      <c r="C2536" s="21" t="s">
        <v>1068</v>
      </c>
      <c r="D2536" s="21" t="s">
        <v>997</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1041</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1000</v>
      </c>
      <c r="B2538" s="21" t="s">
        <v>995</v>
      </c>
      <c r="C2538" s="21" t="s">
        <v>996</v>
      </c>
      <c r="D2538" s="21" t="s">
        <v>997</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1812</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32</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1018</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481</v>
      </c>
      <c r="B2542" s="21" t="s">
        <v>1001</v>
      </c>
      <c r="C2542" s="21" t="s">
        <v>1089</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1003</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1499</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1008</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1060</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1004</v>
      </c>
      <c r="B2547" s="21" t="s">
        <v>1088</v>
      </c>
      <c r="C2547" s="21" t="s">
        <v>1006</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1813</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1065</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1814</v>
      </c>
      <c r="B2550" s="21" t="s">
        <v>1005</v>
      </c>
      <c r="C2550" s="21" t="s">
        <v>1068</v>
      </c>
      <c r="D2550" s="21" t="s">
        <v>997</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1008</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1030</v>
      </c>
      <c r="B2552" s="21" t="s">
        <v>1010</v>
      </c>
      <c r="C2552" s="21" t="s">
        <v>1006</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1090</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1815</v>
      </c>
      <c r="B2554" s="21" t="s">
        <v>1045</v>
      </c>
      <c r="C2554" s="21" t="s">
        <v>996</v>
      </c>
      <c r="D2554" s="21" t="s">
        <v>997</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1339</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423</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1097</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1816</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1011</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row>
    <row r="2561" spans="1:12">
      <c r="A2561" s="20" t="s">
        <v>1817</v>
      </c>
    </row>
    <row r="2562" spans="1:12">
      <c r="A2562" s="20" t="s">
        <v>1466</v>
      </c>
      <c r="B2562" s="21" t="s">
        <v>995</v>
      </c>
      <c r="C2562" s="21" t="s">
        <v>996</v>
      </c>
      <c r="D2562" s="21" t="s">
        <v>997</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1170</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1462</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1008</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1496</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1734</v>
      </c>
      <c r="B2567" s="21" t="s">
        <v>1067</v>
      </c>
      <c r="C2567" s="21" t="s">
        <v>1006</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1008</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1818</v>
      </c>
      <c r="B2569" s="21" t="s">
        <v>1005</v>
      </c>
      <c r="C2569" s="21" t="s">
        <v>1006</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1011</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row>
    <row r="2572" spans="1:12">
      <c r="A2572" s="20" t="s">
        <v>1819</v>
      </c>
    </row>
    <row r="2573" spans="1:12">
      <c r="A2573" s="20" t="s">
        <v>1466</v>
      </c>
      <c r="B2573" s="21" t="s">
        <v>995</v>
      </c>
      <c r="C2573" s="21" t="s">
        <v>996</v>
      </c>
      <c r="D2573" s="21" t="s">
        <v>997</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1170</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1008</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1037</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1734</v>
      </c>
      <c r="B2577" s="21" t="s">
        <v>1067</v>
      </c>
      <c r="C2577" s="21" t="s">
        <v>1034</v>
      </c>
      <c r="D2577" s="21" t="s">
        <v>997</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1008</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1820</v>
      </c>
      <c r="B2579" s="21" t="s">
        <v>1005</v>
      </c>
      <c r="C2579" s="21" t="s">
        <v>1006</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1011</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row>
    <row r="2582" spans="1:12">
      <c r="A2582" s="20" t="s">
        <v>1821</v>
      </c>
    </row>
    <row r="2583" spans="1:12">
      <c r="A2583" s="20" t="s">
        <v>1822</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1437</v>
      </c>
      <c r="B2584" s="21" t="s">
        <v>1005</v>
      </c>
      <c r="C2584" s="21" t="s">
        <v>1006</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1041</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1823</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1022</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1202</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1824</v>
      </c>
      <c r="B2589" s="21" t="s">
        <v>1142</v>
      </c>
      <c r="C2589" s="21" t="s">
        <v>1068</v>
      </c>
      <c r="D2589" s="21" t="s">
        <v>997</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1003</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1004</v>
      </c>
      <c r="B2591" s="21" t="s">
        <v>1010</v>
      </c>
      <c r="C2591" s="21" t="s">
        <v>1006</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423</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1069</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1527</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1008</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1825</v>
      </c>
      <c r="B2596" s="21" t="s">
        <v>1024</v>
      </c>
      <c r="C2596" s="21" t="s">
        <v>1025</v>
      </c>
      <c r="D2596" s="21" t="s">
        <v>997</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1323</v>
      </c>
      <c r="B2597" s="21" t="s">
        <v>1010</v>
      </c>
      <c r="C2597" s="21" t="s">
        <v>1028</v>
      </c>
      <c r="D2597" s="21" t="s">
        <v>997</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1041</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1230</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1517</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1826</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1000</v>
      </c>
      <c r="B2602" s="21" t="s">
        <v>1142</v>
      </c>
      <c r="C2602" s="21" t="s">
        <v>996</v>
      </c>
      <c r="D2602" s="21" t="s">
        <v>997</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1441</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1647</v>
      </c>
      <c r="B2604" s="21" t="s">
        <v>1001</v>
      </c>
      <c r="C2604" s="21" t="s">
        <v>1006</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1008</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1032</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1827</v>
      </c>
      <c r="B2607" s="21" t="s">
        <v>1010</v>
      </c>
      <c r="C2607" s="21" t="s">
        <v>1034</v>
      </c>
      <c r="D2607" s="21" t="s">
        <v>997</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1041</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1249</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1000</v>
      </c>
      <c r="B2610" s="21" t="s">
        <v>1142</v>
      </c>
      <c r="C2610" s="21" t="s">
        <v>996</v>
      </c>
      <c r="D2610" s="21" t="s">
        <v>997</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1812</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158</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1828</v>
      </c>
      <c r="B2613" s="21" t="s">
        <v>1039</v>
      </c>
      <c r="C2613" s="21" t="s">
        <v>1006</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1029</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1061</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1829</v>
      </c>
      <c r="B2616" s="21" t="s">
        <v>1010</v>
      </c>
      <c r="C2616" s="21" t="s">
        <v>1034</v>
      </c>
      <c r="D2616" s="21" t="s">
        <v>997</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1003</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1144</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1004</v>
      </c>
      <c r="B2619" s="21" t="s">
        <v>1024</v>
      </c>
      <c r="C2619" s="21" t="s">
        <v>1089</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1830</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1003</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1831</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1011</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row>
    <row r="2625" spans="1:12">
      <c r="A2625" s="20" t="s">
        <v>1832</v>
      </c>
    </row>
    <row r="2626" spans="1:12">
      <c r="A2626" s="20" t="s">
        <v>1013</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1041</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1833</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1041</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1083</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1084</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1154</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1079</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408</v>
      </c>
      <c r="B2634" s="21" t="s">
        <v>1101</v>
      </c>
      <c r="C2634" s="21" t="s">
        <v>1068</v>
      </c>
      <c r="D2634" s="21" t="s">
        <v>997</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1008</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1834</v>
      </c>
      <c r="B2636" s="21" t="s">
        <v>1005</v>
      </c>
      <c r="C2636" s="21" t="s">
        <v>1006</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1011</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row>
    <row r="2639" spans="1:12">
      <c r="A2639" s="20" t="s">
        <v>1835</v>
      </c>
    </row>
    <row r="2640" spans="1:12">
      <c r="A2640" s="20" t="s">
        <v>1365</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1041</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1049</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1836</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1014</v>
      </c>
      <c r="B2644" s="21" t="s">
        <v>1039</v>
      </c>
      <c r="C2644" s="21" t="s">
        <v>1015</v>
      </c>
      <c r="D2644" s="21" t="s">
        <v>997</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1041</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1263</v>
      </c>
      <c r="B2646" s="21" t="s">
        <v>1142</v>
      </c>
      <c r="C2646" s="21" t="s">
        <v>996</v>
      </c>
      <c r="D2646" s="21" t="s">
        <v>997</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1264</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1837</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1805</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1037</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1473</v>
      </c>
      <c r="B2651" s="21" t="s">
        <v>1001</v>
      </c>
      <c r="C2651" s="21" t="s">
        <v>1034</v>
      </c>
      <c r="D2651" s="21" t="s">
        <v>997</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1008</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1838</v>
      </c>
      <c r="B2653" s="21" t="s">
        <v>1010</v>
      </c>
      <c r="C2653" s="21" t="s">
        <v>1006</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1082</v>
      </c>
      <c r="B2654" s="21" t="s">
        <v>1088</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1194</v>
      </c>
      <c r="B2655" s="21" t="s">
        <v>1114</v>
      </c>
      <c r="C2655" s="21" t="s">
        <v>1133</v>
      </c>
      <c r="D2655" s="21" t="s">
        <v>997</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1839</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1041</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1049</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1037</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1474</v>
      </c>
      <c r="B2660" s="21" t="s">
        <v>1005</v>
      </c>
      <c r="C2660" s="21" t="s">
        <v>1034</v>
      </c>
      <c r="D2660" s="21" t="s">
        <v>997</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1041</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1049</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1037</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1840</v>
      </c>
      <c r="B2664" s="21" t="s">
        <v>1005</v>
      </c>
      <c r="C2664" s="21" t="s">
        <v>1034</v>
      </c>
      <c r="D2664" s="21" t="s">
        <v>997</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1041</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1037</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1841</v>
      </c>
      <c r="B2667" s="21" t="s">
        <v>1005</v>
      </c>
      <c r="C2667" s="21" t="s">
        <v>1034</v>
      </c>
      <c r="D2667" s="21" t="s">
        <v>997</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1041</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1037</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1842</v>
      </c>
      <c r="B2670" s="21" t="s">
        <v>1005</v>
      </c>
      <c r="C2670" s="21" t="s">
        <v>1034</v>
      </c>
      <c r="D2670" s="21" t="s">
        <v>997</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1008</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1843</v>
      </c>
      <c r="B2672" s="21" t="s">
        <v>1010</v>
      </c>
      <c r="C2672" s="21" t="s">
        <v>1006</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1041</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1049</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1116</v>
      </c>
      <c r="B2675" s="21" t="s">
        <v>1005</v>
      </c>
      <c r="C2675" s="21" t="s">
        <v>1133</v>
      </c>
      <c r="D2675" s="21" t="s">
        <v>997</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1041</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1007</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1844</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1014</v>
      </c>
      <c r="B2679" s="21" t="s">
        <v>1039</v>
      </c>
      <c r="C2679" s="21" t="s">
        <v>1015</v>
      </c>
      <c r="D2679" s="21" t="s">
        <v>997</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1029</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1032</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1313</v>
      </c>
      <c r="B2682" s="21" t="s">
        <v>1010</v>
      </c>
      <c r="C2682" s="21" t="s">
        <v>1034</v>
      </c>
      <c r="D2682" s="21" t="s">
        <v>997</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1003</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1004</v>
      </c>
      <c r="B2684" s="21" t="s">
        <v>1024</v>
      </c>
      <c r="C2684" s="21" t="s">
        <v>1006</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1787</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1361</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1109</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1061</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1187</v>
      </c>
      <c r="B2689" s="21" t="s">
        <v>1182</v>
      </c>
      <c r="C2689" s="21" t="s">
        <v>1034</v>
      </c>
      <c r="D2689" s="21" t="s">
        <v>997</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1041</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1007</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1079</v>
      </c>
      <c r="B2692" s="21" t="s">
        <v>1005</v>
      </c>
      <c r="C2692" s="21" t="s">
        <v>1015</v>
      </c>
      <c r="D2692" s="21" t="s">
        <v>997</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1022</v>
      </c>
      <c r="B2693" s="21" t="s">
        <v>1088</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1263</v>
      </c>
      <c r="B2694" s="21" t="s">
        <v>1114</v>
      </c>
      <c r="C2694" s="21" t="s">
        <v>996</v>
      </c>
      <c r="D2694" s="21" t="s">
        <v>997</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1264</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1845</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1041</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1175</v>
      </c>
      <c r="B2698" s="21" t="s">
        <v>995</v>
      </c>
      <c r="C2698" s="21" t="s">
        <v>1015</v>
      </c>
      <c r="D2698" s="21" t="s">
        <v>997</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423</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1022</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1032</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1846</v>
      </c>
      <c r="B2702" s="21" t="s">
        <v>1142</v>
      </c>
      <c r="C2702" s="21" t="s">
        <v>1034</v>
      </c>
      <c r="D2702" s="21" t="s">
        <v>997</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1008</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1037</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1838</v>
      </c>
      <c r="B2705" s="21" t="s">
        <v>1010</v>
      </c>
      <c r="C2705" s="21" t="s">
        <v>1034</v>
      </c>
      <c r="D2705" s="21" t="s">
        <v>997</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1022</v>
      </c>
      <c r="B2706" s="21" t="s">
        <v>1301</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1044</v>
      </c>
      <c r="B2707" s="21" t="s">
        <v>1045</v>
      </c>
      <c r="C2707" s="21" t="s">
        <v>996</v>
      </c>
      <c r="D2707" s="21" t="s">
        <v>997</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1847</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999</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1404</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1848</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1325</v>
      </c>
      <c r="B2712" s="21" t="s">
        <v>1039</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1008</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48</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1849</v>
      </c>
      <c r="B2715" s="21" t="s">
        <v>1024</v>
      </c>
      <c r="C2715" s="21" t="s">
        <v>1295</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1008</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1579</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1060</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1004</v>
      </c>
      <c r="B2719" s="21" t="s">
        <v>1112</v>
      </c>
      <c r="C2719" s="21" t="s">
        <v>1034</v>
      </c>
      <c r="D2719" s="21" t="s">
        <v>997</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1011</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row>
    <row r="2722" spans="1:12">
      <c r="A2722" s="20" t="s">
        <v>1850</v>
      </c>
    </row>
    <row r="2723" spans="1:12">
      <c r="A2723" s="20" t="s">
        <v>1365</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1041</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1069</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1070</v>
      </c>
      <c r="B2726" s="21" t="s">
        <v>1005</v>
      </c>
      <c r="C2726" s="21" t="s">
        <v>1006</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1041</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1044</v>
      </c>
      <c r="B2728" s="21" t="s">
        <v>995</v>
      </c>
      <c r="C2728" s="21" t="s">
        <v>996</v>
      </c>
      <c r="D2728" s="21" t="s">
        <v>997</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1170</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1647</v>
      </c>
      <c r="B2730" s="21" t="s">
        <v>1101</v>
      </c>
      <c r="C2730" s="21" t="s">
        <v>1006</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1003</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1144</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1851</v>
      </c>
      <c r="B2733" s="21" t="s">
        <v>1067</v>
      </c>
      <c r="C2733" s="21" t="s">
        <v>1089</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1852</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1462</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1041</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1305</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1146</v>
      </c>
      <c r="B2738" s="21" t="s">
        <v>1067</v>
      </c>
      <c r="C2738" s="21" t="s">
        <v>1239</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1080</v>
      </c>
      <c r="B2739" s="21" t="s">
        <v>1027</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1853</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537</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1003</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1018</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1407</v>
      </c>
      <c r="B2744" s="21" t="s">
        <v>1024</v>
      </c>
      <c r="C2744" s="21" t="s">
        <v>1089</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1008</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396</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1037</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1854</v>
      </c>
      <c r="B2748" s="21" t="s">
        <v>1112</v>
      </c>
      <c r="C2748" s="21" t="s">
        <v>1034</v>
      </c>
      <c r="D2748" s="21" t="s">
        <v>997</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1022</v>
      </c>
      <c r="B2749" s="21" t="s">
        <v>1053</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1044</v>
      </c>
      <c r="B2750" s="21" t="s">
        <v>1243</v>
      </c>
      <c r="C2750" s="21" t="s">
        <v>996</v>
      </c>
      <c r="D2750" s="21" t="s">
        <v>997</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1170</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1855</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1011</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row>
    <row r="2755" spans="1:12">
      <c r="A2755" s="20" t="s">
        <v>1856</v>
      </c>
    </row>
    <row r="2756" spans="1:12">
      <c r="A2756" s="20" t="s">
        <v>1338</v>
      </c>
      <c r="B2756" s="21" t="s">
        <v>995</v>
      </c>
      <c r="C2756" s="21" t="s">
        <v>1015</v>
      </c>
      <c r="D2756" s="21" t="s">
        <v>997</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1339</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423</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1097</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1549</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1041</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1249</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1079</v>
      </c>
      <c r="B2763" s="21" t="s">
        <v>1142</v>
      </c>
      <c r="C2763" s="21" t="s">
        <v>1015</v>
      </c>
      <c r="D2763" s="21" t="s">
        <v>997</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1339</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423</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1097</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1144</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1146</v>
      </c>
      <c r="B2768" s="21" t="s">
        <v>1067</v>
      </c>
      <c r="C2768" s="21" t="s">
        <v>1089</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1137</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1857</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1011</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row>
    <row r="2773" spans="1:12">
      <c r="A2773" s="20" t="s">
        <v>1858</v>
      </c>
    </row>
    <row r="2774" spans="1:12">
      <c r="A2774" s="20" t="s">
        <v>1234</v>
      </c>
      <c r="B2774" s="21" t="s">
        <v>995</v>
      </c>
      <c r="C2774" s="21" t="s">
        <v>1015</v>
      </c>
      <c r="D2774" s="21" t="s">
        <v>997</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423</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1079</v>
      </c>
      <c r="B2776" s="21" t="s">
        <v>1067</v>
      </c>
      <c r="C2776" s="21" t="s">
        <v>1015</v>
      </c>
      <c r="D2776" s="21" t="s">
        <v>997</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1082</v>
      </c>
      <c r="B2777" s="21" t="s">
        <v>1001</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1194</v>
      </c>
      <c r="B2778" s="21" t="s">
        <v>1142</v>
      </c>
      <c r="C2778" s="21" t="s">
        <v>1133</v>
      </c>
      <c r="D2778" s="21" t="s">
        <v>997</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1231</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1544</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1194</v>
      </c>
      <c r="B2781" s="21" t="s">
        <v>1027</v>
      </c>
      <c r="C2781" s="21" t="s">
        <v>1133</v>
      </c>
      <c r="D2781" s="21" t="s">
        <v>997</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1859</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1003</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1499</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1003</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1144</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1824</v>
      </c>
      <c r="B2787" s="21" t="s">
        <v>1024</v>
      </c>
      <c r="C2787" s="21" t="s">
        <v>1089</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1860</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1054</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1008</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1041</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1823</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1041</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1320</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1029</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130</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1049</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1405</v>
      </c>
      <c r="B2798" s="21" t="s">
        <v>1182</v>
      </c>
      <c r="C2798" s="21" t="s">
        <v>1028</v>
      </c>
      <c r="D2798" s="21" t="s">
        <v>997</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1008</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1079</v>
      </c>
      <c r="B2800" s="21" t="s">
        <v>1092</v>
      </c>
      <c r="C2800" s="21" t="s">
        <v>1015</v>
      </c>
      <c r="D2800" s="21" t="s">
        <v>997</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1082</v>
      </c>
      <c r="B2801" s="21" t="s">
        <v>1861</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1194</v>
      </c>
      <c r="B2802" s="21" t="s">
        <v>1862</v>
      </c>
      <c r="C2802" s="21" t="s">
        <v>1133</v>
      </c>
      <c r="D2802" s="21" t="s">
        <v>997</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1360</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1011</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row>
    <row r="2806" spans="1:12">
      <c r="A2806" s="20" t="s">
        <v>1863</v>
      </c>
    </row>
    <row r="2807" spans="1:12">
      <c r="A2807" s="20" t="s">
        <v>1210</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1194</v>
      </c>
      <c r="B2808" s="21" t="s">
        <v>1142</v>
      </c>
      <c r="C2808" s="21" t="s">
        <v>1133</v>
      </c>
      <c r="D2808" s="21" t="s">
        <v>997</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1389</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1073</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1202</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1824</v>
      </c>
      <c r="B2812" s="21" t="s">
        <v>1005</v>
      </c>
      <c r="C2812" s="21" t="s">
        <v>1068</v>
      </c>
      <c r="D2812" s="21" t="s">
        <v>997</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1049</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1422</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1037</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396</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1701</v>
      </c>
      <c r="B2817" s="21" t="s">
        <v>1039</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1041</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1000</v>
      </c>
      <c r="B2819" s="21" t="s">
        <v>995</v>
      </c>
      <c r="C2819" s="21" t="s">
        <v>996</v>
      </c>
      <c r="D2819" s="21" t="s">
        <v>997</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1441</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1647</v>
      </c>
      <c r="B2821" s="21" t="s">
        <v>1101</v>
      </c>
      <c r="C2821" s="21" t="s">
        <v>1006</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1003</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1144</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1864</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1865</v>
      </c>
      <c r="B2825" s="21" t="s">
        <v>1005</v>
      </c>
      <c r="C2825" s="21" t="s">
        <v>1089</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1546</v>
      </c>
      <c r="B2826" s="21" t="s">
        <v>1010</v>
      </c>
      <c r="C2826" s="21" t="s">
        <v>1006</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1011</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row>
    <row r="2829" spans="1:12">
      <c r="A2829" s="20" t="s">
        <v>1866</v>
      </c>
    </row>
    <row r="2830" spans="1:12">
      <c r="A2830" s="20" t="s">
        <v>1354</v>
      </c>
      <c r="B2830" s="21" t="s">
        <v>995</v>
      </c>
      <c r="C2830" s="21" t="s">
        <v>1095</v>
      </c>
      <c r="D2830" s="21" t="s">
        <v>997</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1041</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1867</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1003</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1868</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1073</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1032</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1512</v>
      </c>
      <c r="B2837" s="21" t="s">
        <v>1005</v>
      </c>
      <c r="C2837" s="21" t="s">
        <v>1034</v>
      </c>
      <c r="D2837" s="21" t="s">
        <v>997</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1008</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1032</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1425</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1869</v>
      </c>
      <c r="B2841" s="21" t="s">
        <v>1010</v>
      </c>
      <c r="C2841" s="21" t="s">
        <v>1034</v>
      </c>
      <c r="D2841" s="21" t="s">
        <v>997</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1029</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1870</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1011</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row>
    <row r="2846" spans="1:12">
      <c r="A2846" s="20" t="s">
        <v>1457</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1871</v>
      </c>
    </row>
    <row r="2848" spans="1:12">
      <c r="A2848" s="20" t="s">
        <v>1872</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1873</v>
      </c>
      <c r="B2849" s="21" t="s">
        <v>995</v>
      </c>
      <c r="C2849" s="21" t="s">
        <v>1015</v>
      </c>
      <c r="D2849" s="21" t="s">
        <v>997</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1022</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1175</v>
      </c>
      <c r="B2851" s="21" t="s">
        <v>1142</v>
      </c>
      <c r="C2851" s="21" t="s">
        <v>1015</v>
      </c>
      <c r="D2851" s="21" t="s">
        <v>997</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423</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1018</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1537</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1460</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1874</v>
      </c>
      <c r="B2856" s="21" t="s">
        <v>1067</v>
      </c>
      <c r="C2856" s="21" t="s">
        <v>1095</v>
      </c>
      <c r="D2856" s="21" t="s">
        <v>997</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1875</v>
      </c>
      <c r="B2857" s="21" t="s">
        <v>1005</v>
      </c>
      <c r="C2857" s="21" t="s">
        <v>1095</v>
      </c>
      <c r="D2857" s="21" t="s">
        <v>997</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1460</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1275</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row>
    <row r="2861" spans="1:12">
      <c r="A2861" s="20" t="s">
        <v>1876</v>
      </c>
    </row>
    <row r="2862" spans="1:12">
      <c r="A2862" s="20" t="s">
        <v>1877</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1878</v>
      </c>
      <c r="B2863" s="21" t="s">
        <v>1067</v>
      </c>
      <c r="C2863" s="21" t="s">
        <v>1239</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1049</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1084</v>
      </c>
      <c r="B2865" s="21" t="s">
        <v>1001</v>
      </c>
      <c r="C2865" s="21" t="s">
        <v>1133</v>
      </c>
      <c r="D2865" s="21" t="s">
        <v>997</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1307</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1275</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row>
    <row r="2869" spans="1:12">
      <c r="A2869" s="20" t="s">
        <v>1879</v>
      </c>
    </row>
    <row r="2870" spans="1:12">
      <c r="A2870" s="20" t="s">
        <v>1880</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1190</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1041</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1083</v>
      </c>
      <c r="B2873" s="21" t="s">
        <v>995</v>
      </c>
      <c r="C2873" s="21" t="s">
        <v>996</v>
      </c>
      <c r="D2873" s="21" t="s">
        <v>997</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1044</v>
      </c>
      <c r="B2874" s="21" t="s">
        <v>1101</v>
      </c>
      <c r="C2874" s="21" t="s">
        <v>996</v>
      </c>
      <c r="D2874" s="21" t="s">
        <v>997</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1540</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1018</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1288</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1358</v>
      </c>
      <c r="B2878" s="21" t="s">
        <v>1101</v>
      </c>
      <c r="C2878" s="21" t="s">
        <v>1089</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1003</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1881</v>
      </c>
      <c r="B2880" s="21" t="s">
        <v>1005</v>
      </c>
      <c r="C2880" s="21" t="s">
        <v>1006</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1049</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1762</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1073</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1061</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1882</v>
      </c>
      <c r="B2885" s="21" t="s">
        <v>1005</v>
      </c>
      <c r="C2885" s="21" t="s">
        <v>1034</v>
      </c>
      <c r="D2885" s="21" t="s">
        <v>997</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1041</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1008</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1037</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1883</v>
      </c>
      <c r="B2889" s="21" t="s">
        <v>1010</v>
      </c>
      <c r="C2889" s="21" t="s">
        <v>1034</v>
      </c>
      <c r="D2889" s="21" t="s">
        <v>997</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1011</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row>
    <row r="2892" spans="1:12">
      <c r="A2892" s="20" t="s">
        <v>1884</v>
      </c>
    </row>
    <row r="2893" spans="1:12">
      <c r="A2893" s="20" t="s">
        <v>1186</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1885</v>
      </c>
      <c r="B2894" s="21" t="s">
        <v>1067</v>
      </c>
      <c r="C2894" s="21" t="s">
        <v>1133</v>
      </c>
      <c r="D2894" s="21" t="s">
        <v>997</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1008</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1065</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1330</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1886</v>
      </c>
      <c r="B2898" s="21" t="s">
        <v>1005</v>
      </c>
      <c r="C2898" s="21" t="s">
        <v>1068</v>
      </c>
      <c r="D2898" s="21" t="s">
        <v>997</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1041</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1044</v>
      </c>
      <c r="B2900" s="21" t="s">
        <v>995</v>
      </c>
      <c r="C2900" s="21" t="s">
        <v>996</v>
      </c>
      <c r="D2900" s="21" t="s">
        <v>997</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1170</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1647</v>
      </c>
      <c r="B2902" s="21" t="s">
        <v>1101</v>
      </c>
      <c r="C2902" s="21" t="s">
        <v>1006</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1003</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1029</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1061</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1325</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1144</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1887</v>
      </c>
      <c r="B2908" s="21" t="s">
        <v>1067</v>
      </c>
      <c r="C2908" s="21" t="s">
        <v>1295</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1008</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1066</v>
      </c>
      <c r="B2910" s="21" t="s">
        <v>1005</v>
      </c>
      <c r="C2910" s="21" t="s">
        <v>1006</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1011</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row>
    <row r="2913" spans="1:12">
      <c r="A2913" s="20" t="s">
        <v>1888</v>
      </c>
    </row>
    <row r="2914" spans="1:12">
      <c r="A2914" s="20" t="s">
        <v>1013</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1049</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1250</v>
      </c>
      <c r="B2916" s="21" t="s">
        <v>1067</v>
      </c>
      <c r="C2916" s="21" t="s">
        <v>1133</v>
      </c>
      <c r="D2916" s="21" t="s">
        <v>997</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1003</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1889</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1132</v>
      </c>
      <c r="B2919" s="21" t="s">
        <v>1005</v>
      </c>
      <c r="C2919" s="21" t="s">
        <v>1133</v>
      </c>
      <c r="D2919" s="21" t="s">
        <v>997</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1041</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1000</v>
      </c>
      <c r="B2921" s="21" t="s">
        <v>1101</v>
      </c>
      <c r="C2921" s="21" t="s">
        <v>996</v>
      </c>
      <c r="D2921" s="21" t="s">
        <v>997</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1890</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1082</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1257</v>
      </c>
      <c r="B2924" s="21" t="s">
        <v>1142</v>
      </c>
      <c r="C2924" s="21" t="s">
        <v>996</v>
      </c>
      <c r="D2924" s="21" t="s">
        <v>997</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1062</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1891</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1011</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row>
    <row r="2929" spans="1:12">
      <c r="A2929" s="20" t="s">
        <v>1892</v>
      </c>
    </row>
    <row r="2930" spans="1:12">
      <c r="A2930" s="20" t="s">
        <v>1234</v>
      </c>
      <c r="B2930" s="21" t="s">
        <v>995</v>
      </c>
      <c r="C2930" s="21" t="s">
        <v>1015</v>
      </c>
      <c r="D2930" s="21" t="s">
        <v>997</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423</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1893</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1011</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row>
    <row r="2935" spans="1:12">
      <c r="A2935" s="20" t="s">
        <v>1894</v>
      </c>
    </row>
    <row r="2936" spans="1:12">
      <c r="A2936" s="20" t="s">
        <v>1013</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1041</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1547</v>
      </c>
      <c r="B2938" s="21" t="s">
        <v>995</v>
      </c>
      <c r="C2938" s="21" t="s">
        <v>996</v>
      </c>
      <c r="D2938" s="21" t="s">
        <v>997</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1667</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1082</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1462</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1041</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1109</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1061</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1895</v>
      </c>
      <c r="B2945" s="21" t="s">
        <v>1005</v>
      </c>
      <c r="C2945" s="21" t="s">
        <v>1034</v>
      </c>
      <c r="D2945" s="21" t="s">
        <v>997</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1896</v>
      </c>
      <c r="B2946" s="21" t="s">
        <v>1010</v>
      </c>
      <c r="C2946" s="21" t="s">
        <v>1095</v>
      </c>
      <c r="D2946" s="21" t="s">
        <v>997</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1041</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1250</v>
      </c>
      <c r="B2948" s="21" t="s">
        <v>1142</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1008</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1560</v>
      </c>
      <c r="B2950" s="21" t="s">
        <v>1010</v>
      </c>
      <c r="C2950" s="21" t="s">
        <v>1006</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1897</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1898</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1065</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1886</v>
      </c>
      <c r="B2954" s="21" t="s">
        <v>1001</v>
      </c>
      <c r="C2954" s="21" t="s">
        <v>1068</v>
      </c>
      <c r="D2954" s="21" t="s">
        <v>997</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1011</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row>
    <row r="2957" spans="1:12">
      <c r="A2957" s="20" t="s">
        <v>1899</v>
      </c>
    </row>
    <row r="2958" spans="1:12">
      <c r="A2958" s="20" t="s">
        <v>725</v>
      </c>
      <c r="B2958" s="21" t="s">
        <v>995</v>
      </c>
      <c r="C2958" s="21" t="s">
        <v>1095</v>
      </c>
      <c r="D2958" s="21" t="s">
        <v>997</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1900</v>
      </c>
      <c r="B2959" s="21" t="s">
        <v>1005</v>
      </c>
      <c r="C2959" s="21" t="s">
        <v>1095</v>
      </c>
      <c r="D2959" s="21" t="s">
        <v>997</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1901</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1261</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1902</v>
      </c>
      <c r="B2962" s="21" t="s">
        <v>1101</v>
      </c>
      <c r="C2962" s="21" t="s">
        <v>1239</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1041</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1903</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1144</v>
      </c>
      <c r="B2965" s="21" t="s">
        <v>1027</v>
      </c>
      <c r="C2965" s="21" t="s">
        <v>1133</v>
      </c>
      <c r="D2965" s="21" t="s">
        <v>997</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1904</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1905</v>
      </c>
      <c r="B2967" s="21" t="s">
        <v>1039</v>
      </c>
      <c r="C2967" s="21" t="s">
        <v>1095</v>
      </c>
      <c r="D2967" s="21" t="s">
        <v>997</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1080</v>
      </c>
      <c r="B2968" s="21" t="s">
        <v>1045</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1906</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1776</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1907</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1782</v>
      </c>
      <c r="B2972" s="21" t="s">
        <v>1301</v>
      </c>
      <c r="C2972" s="21" t="s">
        <v>1239</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1908</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1909</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1011</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row>
    <row r="2977" spans="1:12">
      <c r="A2977" s="20" t="s">
        <v>1910</v>
      </c>
    </row>
    <row r="2978" spans="1:12">
      <c r="A2978" s="20" t="s">
        <v>1911</v>
      </c>
      <c r="B2978" s="21" t="s">
        <v>995</v>
      </c>
      <c r="C2978" s="21" t="s">
        <v>1095</v>
      </c>
      <c r="D2978" s="21" t="s">
        <v>997</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1912</v>
      </c>
      <c r="B2979" s="21" t="s">
        <v>1005</v>
      </c>
      <c r="C2979" s="21" t="s">
        <v>1095</v>
      </c>
      <c r="D2979" s="21" t="s">
        <v>997</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1913</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1109</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1008</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1037</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1914</v>
      </c>
      <c r="B2984" s="21" t="s">
        <v>1067</v>
      </c>
      <c r="C2984" s="21" t="s">
        <v>1034</v>
      </c>
      <c r="D2984" s="21" t="s">
        <v>997</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1003</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1881</v>
      </c>
      <c r="B2986" s="21" t="s">
        <v>1005</v>
      </c>
      <c r="C2986" s="21" t="s">
        <v>1006</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1080</v>
      </c>
      <c r="B2987" s="21" t="s">
        <v>1027</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1453</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1008</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1915</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1042</v>
      </c>
      <c r="B2991" s="21" t="s">
        <v>1039</v>
      </c>
      <c r="C2991" s="21" t="s">
        <v>1089</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1007</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1562</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1003</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1916</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1917</v>
      </c>
      <c r="B2996" s="21" t="s">
        <v>1088</v>
      </c>
      <c r="C2996" s="21" t="s">
        <v>1089</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1041</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1007</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1263</v>
      </c>
      <c r="B2999" s="21" t="s">
        <v>1142</v>
      </c>
      <c r="C2999" s="21" t="s">
        <v>996</v>
      </c>
      <c r="D2999" s="21" t="s">
        <v>997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1859</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1003</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1050</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1029</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512</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1918</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1065</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1698</v>
      </c>
      <c r="B3007" s="21" t="s">
        <v>1088</v>
      </c>
      <c r="C3007" s="21" t="s">
        <v>1068</v>
      </c>
      <c r="D3007" s="21" t="s">
        <v>997</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1011</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row>
    <row r="3010" spans="1:12">
      <c r="A3010" s="20" t="s">
        <v>1919</v>
      </c>
    </row>
    <row r="3011" spans="1:12">
      <c r="A3011" s="20" t="s">
        <v>1140</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1070</v>
      </c>
      <c r="B3012" s="21" t="s">
        <v>1005</v>
      </c>
      <c r="C3012" s="21" t="s">
        <v>1006</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1041</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1920</v>
      </c>
      <c r="B3014" s="21" t="s">
        <v>995</v>
      </c>
      <c r="C3014" s="21" t="s">
        <v>1095</v>
      </c>
      <c r="D3014" s="21" t="s">
        <v>997</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1921</v>
      </c>
      <c r="B3015" s="21" t="s">
        <v>1005</v>
      </c>
      <c r="C3015" s="21" t="s">
        <v>1095</v>
      </c>
      <c r="D3015" s="21" t="s">
        <v>997</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1007</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1922</v>
      </c>
      <c r="B3017" s="21" t="s">
        <v>1005</v>
      </c>
      <c r="C3017" s="21" t="s">
        <v>1133</v>
      </c>
      <c r="D3017" s="21" t="s">
        <v>997</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1041</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1044</v>
      </c>
      <c r="B3019" s="21" t="s">
        <v>1101</v>
      </c>
      <c r="C3019" s="21" t="s">
        <v>996</v>
      </c>
      <c r="D3019" s="21" t="s">
        <v>997</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1923</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1918</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1144</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1924</v>
      </c>
      <c r="B3023" s="21" t="s">
        <v>1101</v>
      </c>
      <c r="C3023" s="21" t="s">
        <v>1089</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1080</v>
      </c>
      <c r="B3024" s="21" t="s">
        <v>1027</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1041</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1014</v>
      </c>
      <c r="B3026" s="21" t="s">
        <v>1045</v>
      </c>
      <c r="C3026" s="21" t="s">
        <v>1015</v>
      </c>
      <c r="D3026" s="21" t="s">
        <v>997</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1000</v>
      </c>
      <c r="B3027" s="21" t="s">
        <v>1301</v>
      </c>
      <c r="C3027" s="21" t="s">
        <v>996</v>
      </c>
      <c r="D3027" s="21" t="s">
        <v>997</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1925</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1221</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1041</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1154</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1926</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1060</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1869</v>
      </c>
      <c r="B3034" s="21" t="s">
        <v>1039</v>
      </c>
      <c r="C3034" s="21" t="s">
        <v>1034</v>
      </c>
      <c r="D3034" s="21" t="s">
        <v>997</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1530</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1011</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row>
    <row r="3038" spans="1:12">
      <c r="A3038" s="20" t="s">
        <v>1927</v>
      </c>
    </row>
    <row r="3039" spans="1:12">
      <c r="A3039" s="20" t="s">
        <v>1099</v>
      </c>
      <c r="B3039" s="21" t="s">
        <v>995</v>
      </c>
      <c r="C3039" s="21" t="s">
        <v>996</v>
      </c>
      <c r="D3039" s="21" t="s">
        <v>997</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1928</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1776</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1929</v>
      </c>
      <c r="B3042" s="21" t="s">
        <v>1101</v>
      </c>
      <c r="C3042" s="21" t="s">
        <v>1239</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1109</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1061</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1530</v>
      </c>
      <c r="B3045" s="21" t="s">
        <v>1067</v>
      </c>
      <c r="C3045" s="21" t="s">
        <v>1034</v>
      </c>
      <c r="D3045" s="21" t="s">
        <v>997</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1513</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1930</v>
      </c>
      <c r="B3047" s="21" t="s">
        <v>1005</v>
      </c>
      <c r="C3047" s="21" t="s">
        <v>1006</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1041</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1693</v>
      </c>
      <c r="B3049" s="21" t="s">
        <v>1010</v>
      </c>
      <c r="C3049" s="21" t="s">
        <v>1006</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1011</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row>
    <row r="3052" spans="1:12">
      <c r="A3052" s="20" t="s">
        <v>1931</v>
      </c>
    </row>
    <row r="3053" spans="1:12">
      <c r="A3053" s="20" t="s">
        <v>1013</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1060</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1932</v>
      </c>
      <c r="B3055" s="21" t="s">
        <v>995</v>
      </c>
      <c r="C3055" s="21" t="s">
        <v>1034</v>
      </c>
      <c r="D3055" s="21" t="s">
        <v>997</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1615</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1270</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1933</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1109</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1202</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1934</v>
      </c>
      <c r="B3061" s="21" t="s">
        <v>1067</v>
      </c>
      <c r="C3061" s="21" t="s">
        <v>1068</v>
      </c>
      <c r="D3061" s="21" t="s">
        <v>997</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1935</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1018</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1936</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1030</v>
      </c>
      <c r="B3065" s="21" t="s">
        <v>1067</v>
      </c>
      <c r="C3065" s="21" t="s">
        <v>1089</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1041</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1365</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1041</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1060</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1618</v>
      </c>
      <c r="B3070" s="21" t="s">
        <v>1101</v>
      </c>
      <c r="C3070" s="21" t="s">
        <v>1034</v>
      </c>
      <c r="D3070" s="21" t="s">
        <v>997</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1082</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1083</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1084</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1937</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1776</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1420</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1938</v>
      </c>
      <c r="B3077" s="21" t="s">
        <v>1039</v>
      </c>
      <c r="C3077" s="21" t="s">
        <v>1239</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1080</v>
      </c>
      <c r="B3078" s="21" t="s">
        <v>1045</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1939</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1339</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423</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1097</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1020</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1011</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row>
    <row r="3086" spans="1:12">
      <c r="A3086" s="20" t="s">
        <v>1940</v>
      </c>
    </row>
    <row r="3087" spans="1:12">
      <c r="A3087" s="20" t="s">
        <v>1334</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1618</v>
      </c>
      <c r="B3088" s="21" t="s">
        <v>995</v>
      </c>
      <c r="C3088" s="21" t="s">
        <v>1028</v>
      </c>
      <c r="D3088" s="21" t="s">
        <v>997</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1008</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1941</v>
      </c>
      <c r="B3090" s="21" t="s">
        <v>1005</v>
      </c>
      <c r="C3090" s="21" t="s">
        <v>1095</v>
      </c>
      <c r="D3090" s="21" t="s">
        <v>997</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423</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1041</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1082</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1029</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1061</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1942</v>
      </c>
      <c r="B3096" s="21" t="s">
        <v>1067</v>
      </c>
      <c r="C3096" s="21" t="s">
        <v>1034</v>
      </c>
      <c r="D3096" s="21" t="s">
        <v>997</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1008</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269</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1144</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1943</v>
      </c>
      <c r="B3100" s="21" t="s">
        <v>1001</v>
      </c>
      <c r="C3100" s="21" t="s">
        <v>1089</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1008</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1060</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1944</v>
      </c>
      <c r="B3103" s="21" t="s">
        <v>1010</v>
      </c>
      <c r="C3103" s="21" t="s">
        <v>1034</v>
      </c>
      <c r="D3103" s="21" t="s">
        <v>997</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1041</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1079</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1018</v>
      </c>
      <c r="B3106" s="21" t="s">
        <v>1005</v>
      </c>
      <c r="C3106" s="21" t="s">
        <v>1133</v>
      </c>
      <c r="D3106" s="21" t="s">
        <v>997</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1049</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1405</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1041</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1080</v>
      </c>
      <c r="B3110" s="21" t="s">
        <v>1114</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423</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1061</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1945</v>
      </c>
      <c r="B3113" s="21" t="s">
        <v>1010</v>
      </c>
      <c r="C3113" s="21" t="s">
        <v>1095</v>
      </c>
      <c r="D3113" s="21" t="s">
        <v>997</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1041</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1194</v>
      </c>
      <c r="B3115" s="21" t="s">
        <v>1142</v>
      </c>
      <c r="C3115" s="21" t="s">
        <v>1133</v>
      </c>
      <c r="D3115" s="21" t="s">
        <v>997</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1154</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1625</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1008</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269</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1037</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1486</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393</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1701</v>
      </c>
      <c r="B3123" s="21" t="s">
        <v>1039</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1041</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1061</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1946</v>
      </c>
      <c r="B3126" s="21" t="s">
        <v>1024</v>
      </c>
      <c r="C3126" s="21" t="s">
        <v>1095</v>
      </c>
      <c r="D3126" s="21" t="s">
        <v>997</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1011</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row>
    <row r="3129" spans="1:12">
      <c r="A3129" s="20" t="s">
        <v>1947</v>
      </c>
    </row>
    <row r="3130" spans="1:12">
      <c r="A3130" s="20" t="s">
        <v>1234</v>
      </c>
      <c r="B3130" s="21" t="s">
        <v>995</v>
      </c>
      <c r="C3130" s="21" t="s">
        <v>1015</v>
      </c>
      <c r="D3130" s="21" t="s">
        <v>997</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423</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1144</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1618</v>
      </c>
      <c r="B3133" s="21" t="s">
        <v>1067</v>
      </c>
      <c r="C3133" s="21" t="s">
        <v>1089</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1018</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1019</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1948</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1011</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row>
    <row r="3139" spans="1:12">
      <c r="A3139" s="20" t="s">
        <v>1949</v>
      </c>
    </row>
    <row r="3140" spans="1:12">
      <c r="A3140" s="20" t="s">
        <v>1140</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1070</v>
      </c>
      <c r="B3141" s="21" t="s">
        <v>1005</v>
      </c>
      <c r="C3141" s="21" t="s">
        <v>1006</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1041</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737</v>
      </c>
      <c r="B3143" s="21" t="s">
        <v>995</v>
      </c>
      <c r="C3143" s="21" t="s">
        <v>1015</v>
      </c>
      <c r="D3143" s="21" t="s">
        <v>997</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1950</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1951</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1022</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1008</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1037</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1560</v>
      </c>
      <c r="B3149" s="21" t="s">
        <v>1142</v>
      </c>
      <c r="C3149" s="21" t="s">
        <v>1034</v>
      </c>
      <c r="D3149" s="21" t="s">
        <v>997</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1069</v>
      </c>
      <c r="B3150" s="21" t="s">
        <v>1001</v>
      </c>
      <c r="C3150" s="21" t="s">
        <v>1133</v>
      </c>
      <c r="D3150" s="21" t="s">
        <v>997</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1952</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1041</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1249</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1257</v>
      </c>
      <c r="B3154" s="21" t="s">
        <v>1027</v>
      </c>
      <c r="C3154" s="21" t="s">
        <v>996</v>
      </c>
      <c r="D3154" s="21" t="s">
        <v>997</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1339</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1953</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1954</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1955</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1029</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1956</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1957</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1141</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737</v>
      </c>
      <c r="B3163" s="21" t="s">
        <v>1045</v>
      </c>
      <c r="C3163" s="21" t="s">
        <v>1015</v>
      </c>
      <c r="D3163" s="21" t="s">
        <v>997</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1958</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1103</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1517</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1041</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1230</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1175</v>
      </c>
      <c r="B3169" s="21" t="s">
        <v>1094</v>
      </c>
      <c r="C3169" s="21" t="s">
        <v>1015</v>
      </c>
      <c r="D3169" s="21" t="s">
        <v>997</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423</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237</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1029</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1060</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1959</v>
      </c>
      <c r="B3174" s="21" t="s">
        <v>1182</v>
      </c>
      <c r="C3174" s="21" t="s">
        <v>1034</v>
      </c>
      <c r="D3174" s="21" t="s">
        <v>997</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1008</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1037</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1960</v>
      </c>
      <c r="B3177" s="21" t="s">
        <v>1092</v>
      </c>
      <c r="C3177" s="21" t="s">
        <v>1034</v>
      </c>
      <c r="D3177" s="21" t="s">
        <v>997</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1183</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1082</v>
      </c>
      <c r="B3179" s="21" t="s">
        <v>1861</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1194</v>
      </c>
      <c r="B3180" s="21" t="s">
        <v>1862</v>
      </c>
      <c r="C3180" s="21" t="s">
        <v>1133</v>
      </c>
      <c r="D3180" s="21" t="s">
        <v>997</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1154</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1623</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1489</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1032</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1961</v>
      </c>
      <c r="B3185" s="21" t="s">
        <v>1962</v>
      </c>
      <c r="C3185" s="21" t="s">
        <v>1034</v>
      </c>
      <c r="D3185" s="21" t="s">
        <v>997</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1041</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1007</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256</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1022</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1041</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1963</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1041</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1581</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1032</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1425</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1869</v>
      </c>
      <c r="B3196" s="21" t="s">
        <v>1964</v>
      </c>
      <c r="C3196" s="21" t="s">
        <v>1034</v>
      </c>
      <c r="D3196" s="21" t="s">
        <v>997</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1073</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1037</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1181</v>
      </c>
      <c r="B3199" s="21" t="s">
        <v>1965</v>
      </c>
      <c r="C3199" s="21" t="s">
        <v>1034</v>
      </c>
      <c r="D3199" s="21" t="s">
        <v>997</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1041</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1083</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1966</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1022</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737</v>
      </c>
      <c r="B3204" s="21" t="s">
        <v>1673</v>
      </c>
      <c r="C3204" s="21" t="s">
        <v>1015</v>
      </c>
      <c r="D3204" s="21" t="s">
        <v>997</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1016</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1967</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1011</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row>
    <row r="3209" spans="1:12">
      <c r="A3209" s="20" t="s">
        <v>1968</v>
      </c>
    </row>
    <row r="3210" spans="1:12">
      <c r="A3210" s="20" t="s">
        <v>1013</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1041</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1021</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1022</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1000</v>
      </c>
      <c r="B3214" s="21" t="s">
        <v>1142</v>
      </c>
      <c r="C3214" s="21" t="s">
        <v>996</v>
      </c>
      <c r="D3214" s="21" t="s">
        <v>997</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1519</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1065</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393</v>
      </c>
      <c r="B3217" s="21" t="s">
        <v>1001</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1049</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1405</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1041</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1000</v>
      </c>
      <c r="B3221" s="21" t="s">
        <v>995</v>
      </c>
      <c r="C3221" s="21" t="s">
        <v>996</v>
      </c>
      <c r="D3221" s="21" t="s">
        <v>997</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1441</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1969</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1970</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1061</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1971</v>
      </c>
      <c r="B3226" s="21" t="s">
        <v>1101</v>
      </c>
      <c r="C3226" s="21" t="s">
        <v>1034</v>
      </c>
      <c r="D3226" s="21" t="s">
        <v>997</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1008</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1037</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1818</v>
      </c>
      <c r="B3229" s="21" t="s">
        <v>1005</v>
      </c>
      <c r="C3229" s="21" t="s">
        <v>1034</v>
      </c>
      <c r="D3229" s="21" t="s">
        <v>997</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1011</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row>
    <row r="3232" spans="1:12">
      <c r="A3232" s="20" t="s">
        <v>1972</v>
      </c>
    </row>
    <row r="3233" spans="1:12">
      <c r="A3233" s="20" t="s">
        <v>1338</v>
      </c>
      <c r="B3233" s="21" t="s">
        <v>1067</v>
      </c>
      <c r="C3233" s="21" t="s">
        <v>1015</v>
      </c>
      <c r="D3233" s="21" t="s">
        <v>997</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1022</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1000</v>
      </c>
      <c r="B3235" s="21" t="s">
        <v>1027</v>
      </c>
      <c r="C3235" s="21" t="s">
        <v>996</v>
      </c>
      <c r="D3235" s="21" t="s">
        <v>997</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1519</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1041</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1079</v>
      </c>
      <c r="B3238" s="21" t="s">
        <v>995</v>
      </c>
      <c r="C3238" s="21" t="s">
        <v>1015</v>
      </c>
      <c r="D3238" s="21" t="s">
        <v>997</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1062</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1037</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1721</v>
      </c>
      <c r="B3241" s="21" t="s">
        <v>1067</v>
      </c>
      <c r="C3241" s="21" t="s">
        <v>1034</v>
      </c>
      <c r="D3241" s="21" t="s">
        <v>997</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1041</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1007</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1000</v>
      </c>
      <c r="B3244" s="21" t="s">
        <v>1142</v>
      </c>
      <c r="C3244" s="21" t="s">
        <v>996</v>
      </c>
      <c r="D3244" s="21" t="s">
        <v>997</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1723</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546</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1487</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1748</v>
      </c>
      <c r="B3248" s="21" t="s">
        <v>1010</v>
      </c>
      <c r="C3248" s="21" t="s">
        <v>1006</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1805</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1037</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1973</v>
      </c>
      <c r="B3251" s="21" t="s">
        <v>1039</v>
      </c>
      <c r="C3251" s="21" t="s">
        <v>1034</v>
      </c>
      <c r="D3251" s="21" t="s">
        <v>997</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1008</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1721</v>
      </c>
      <c r="B3253" s="21" t="s">
        <v>1024</v>
      </c>
      <c r="C3253" s="21" t="s">
        <v>1006</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1974</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1191</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1037</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1975</v>
      </c>
      <c r="B3257" s="21" t="s">
        <v>1112</v>
      </c>
      <c r="C3257" s="21" t="s">
        <v>1034</v>
      </c>
      <c r="D3257" s="21" t="s">
        <v>997</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1003</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999</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1011</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row>
    <row r="3262" spans="1:12">
      <c r="A3262" s="20" t="s">
        <v>1976</v>
      </c>
    </row>
    <row r="3263" spans="1:12">
      <c r="A3263" s="20" t="s">
        <v>1977</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1041</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1029</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1061</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1942</v>
      </c>
      <c r="B3267" s="21" t="s">
        <v>1067</v>
      </c>
      <c r="C3267" s="21" t="s">
        <v>1034</v>
      </c>
      <c r="D3267" s="21" t="s">
        <v>997</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1008</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1227</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1069</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1978</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1029</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1111</v>
      </c>
      <c r="B3273" s="21" t="s">
        <v>1024</v>
      </c>
      <c r="C3273" s="21" t="s">
        <v>1025</v>
      </c>
      <c r="D3273" s="21" t="s">
        <v>997</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1882</v>
      </c>
      <c r="B3274" s="21" t="s">
        <v>1010</v>
      </c>
      <c r="C3274" s="21" t="s">
        <v>1028</v>
      </c>
      <c r="D3274" s="21" t="s">
        <v>997</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1041</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1194</v>
      </c>
      <c r="B3276" s="21" t="s">
        <v>995</v>
      </c>
      <c r="C3276" s="21" t="s">
        <v>1133</v>
      </c>
      <c r="D3276" s="21" t="s">
        <v>997</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1037</v>
      </c>
      <c r="B3277" s="21" t="s">
        <v>1101</v>
      </c>
      <c r="C3277" s="21" t="s">
        <v>996</v>
      </c>
      <c r="D3277" s="21" t="s">
        <v>997</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1360</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1011</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row>
    <row r="3281" spans="1:12">
      <c r="A3281" s="20" t="s">
        <v>1979</v>
      </c>
    </row>
    <row r="3282" spans="1:12">
      <c r="A3282" s="20" t="s">
        <v>1614</v>
      </c>
      <c r="B3282" s="21" t="s">
        <v>1067</v>
      </c>
      <c r="C3282" s="21" t="s">
        <v>1015</v>
      </c>
      <c r="D3282" s="21" t="s">
        <v>997</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1041</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1175</v>
      </c>
      <c r="B3284" s="21" t="s">
        <v>995</v>
      </c>
      <c r="C3284" s="21" t="s">
        <v>1015</v>
      </c>
      <c r="D3284" s="21" t="s">
        <v>997</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423</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1305</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1146</v>
      </c>
      <c r="B3287" s="21" t="s">
        <v>1067</v>
      </c>
      <c r="C3287" s="21" t="s">
        <v>1239</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1011</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row>
    <row r="3290" spans="1:12">
      <c r="A3290" s="20" t="s">
        <v>1980</v>
      </c>
    </row>
    <row r="3291" spans="1:12">
      <c r="A3291" s="20" t="s">
        <v>1614</v>
      </c>
      <c r="B3291" s="21" t="s">
        <v>995</v>
      </c>
      <c r="C3291" s="21" t="s">
        <v>1015</v>
      </c>
      <c r="D3291" s="21" t="s">
        <v>997</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1981</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1982</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1944</v>
      </c>
      <c r="B3294" s="21" t="s">
        <v>1101</v>
      </c>
      <c r="C3294" s="21" t="s">
        <v>1068</v>
      </c>
      <c r="D3294" s="21" t="s">
        <v>997</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1069</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1799</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1011</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row>
    <row r="3299" spans="1:12">
      <c r="A3299" s="20" t="s">
        <v>1983</v>
      </c>
    </row>
    <row r="3300" spans="1:12">
      <c r="A3300" s="20" t="s">
        <v>1234</v>
      </c>
      <c r="B3300" s="21" t="s">
        <v>995</v>
      </c>
      <c r="C3300" s="21" t="s">
        <v>1015</v>
      </c>
      <c r="D3300" s="21" t="s">
        <v>997</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423</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1018</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1019</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1487</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1144</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1984</v>
      </c>
      <c r="B3306" s="21" t="s">
        <v>1067</v>
      </c>
      <c r="C3306" s="21" t="s">
        <v>1089</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1011</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row>
    <row r="3309" spans="1:12">
      <c r="A3309" s="20" t="s">
        <v>1457</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1985</v>
      </c>
    </row>
    <row r="3311" spans="1:12">
      <c r="A3311" s="20" t="s">
        <v>1440</v>
      </c>
      <c r="B3311" s="21" t="s">
        <v>995</v>
      </c>
      <c r="C3311" s="21" t="s">
        <v>996</v>
      </c>
      <c r="D3311" s="21" t="s">
        <v>997</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1723</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256</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737</v>
      </c>
      <c r="B3314" s="21" t="s">
        <v>1001</v>
      </c>
      <c r="C3314" s="21" t="s">
        <v>1015</v>
      </c>
      <c r="D3314" s="21" t="s">
        <v>997</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1487</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1144</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1986</v>
      </c>
      <c r="B3317" s="21" t="s">
        <v>1005</v>
      </c>
      <c r="C3317" s="21" t="s">
        <v>1089</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1041</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1194</v>
      </c>
      <c r="B3319" s="21" t="s">
        <v>1142</v>
      </c>
      <c r="C3319" s="21" t="s">
        <v>1133</v>
      </c>
      <c r="D3319" s="21" t="s">
        <v>997</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1069</v>
      </c>
      <c r="B3320" s="21" t="s">
        <v>1001</v>
      </c>
      <c r="C3320" s="21" t="s">
        <v>1133</v>
      </c>
      <c r="D3320" s="21" t="s">
        <v>997</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1154</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1768</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1987</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1487</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1008</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1061</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1460</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1988</v>
      </c>
      <c r="B3328" s="21" t="s">
        <v>1005</v>
      </c>
      <c r="C3328" s="21" t="s">
        <v>1034</v>
      </c>
      <c r="D3328" s="21" t="s">
        <v>997</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1029</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1989</v>
      </c>
      <c r="B3330" s="21" t="s">
        <v>1010</v>
      </c>
      <c r="C3330" s="21" t="s">
        <v>1006</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1003</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1990</v>
      </c>
      <c r="B3332" s="21" t="s">
        <v>1024</v>
      </c>
      <c r="C3332" s="21" t="s">
        <v>1006</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1460</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1011</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row>
    <row r="3336" spans="1:12">
      <c r="A3336" s="20" t="s">
        <v>1991</v>
      </c>
    </row>
    <row r="3337" spans="1:12">
      <c r="A3337" s="20" t="s">
        <v>1140</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1992</v>
      </c>
      <c r="B3338" s="21" t="s">
        <v>1067</v>
      </c>
      <c r="C3338" s="21" t="s">
        <v>1006</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1008</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1774</v>
      </c>
      <c r="B3340" s="21" t="s">
        <v>1005</v>
      </c>
      <c r="C3340" s="21" t="s">
        <v>1006</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1041</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737</v>
      </c>
      <c r="B3342" s="21" t="s">
        <v>995</v>
      </c>
      <c r="C3342" s="21" t="s">
        <v>1015</v>
      </c>
      <c r="D3342" s="21" t="s">
        <v>997</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1993</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1270</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1061</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408</v>
      </c>
      <c r="B3346" s="21" t="s">
        <v>1101</v>
      </c>
      <c r="C3346" s="21" t="s">
        <v>1034</v>
      </c>
      <c r="D3346" s="21" t="s">
        <v>997</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1011</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row>
    <row r="3349" spans="1:12">
      <c r="A3349" s="20" t="s">
        <v>1994</v>
      </c>
    </row>
    <row r="3350" spans="1:12">
      <c r="A3350" s="20" t="s">
        <v>1602</v>
      </c>
      <c r="B3350" s="21" t="s">
        <v>995</v>
      </c>
      <c r="C3350" s="21" t="s">
        <v>996</v>
      </c>
      <c r="D3350" s="21" t="s">
        <v>997</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1264</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1144</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1995</v>
      </c>
      <c r="B3353" s="21" t="s">
        <v>1101</v>
      </c>
      <c r="C3353" s="21" t="s">
        <v>1089</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1462</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1003</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1018</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1942</v>
      </c>
      <c r="B3357" s="21" t="s">
        <v>1005</v>
      </c>
      <c r="C3357" s="21" t="s">
        <v>1089</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1109</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1061</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1996</v>
      </c>
      <c r="B3360" s="21" t="s">
        <v>1010</v>
      </c>
      <c r="C3360" s="21" t="s">
        <v>1095</v>
      </c>
      <c r="D3360" s="21" t="s">
        <v>997</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1011</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row>
    <row r="3363" spans="1:12">
      <c r="A3363" s="20" t="s">
        <v>1457</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1997</v>
      </c>
    </row>
    <row r="3365" spans="1:12">
      <c r="A3365" s="20" t="s">
        <v>1338</v>
      </c>
      <c r="B3365" s="21" t="s">
        <v>995</v>
      </c>
      <c r="C3365" s="21" t="s">
        <v>1015</v>
      </c>
      <c r="D3365" s="21" t="s">
        <v>997</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1062</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1037</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1460</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1998</v>
      </c>
      <c r="B3369" s="21" t="s">
        <v>1067</v>
      </c>
      <c r="C3369" s="21" t="s">
        <v>1034</v>
      </c>
      <c r="D3369" s="21" t="s">
        <v>997</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1460</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1041</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1037</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393</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1049</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1405</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1041</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1903</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1194</v>
      </c>
      <c r="B3378" s="21" t="s">
        <v>1142</v>
      </c>
      <c r="C3378" s="21" t="s">
        <v>1133</v>
      </c>
      <c r="D3378" s="21" t="s">
        <v>997</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1154</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1999</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1579</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1032</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1943</v>
      </c>
      <c r="B3383" s="21" t="s">
        <v>1001</v>
      </c>
      <c r="C3383" s="21" t="s">
        <v>1034</v>
      </c>
      <c r="D3383" s="21" t="s">
        <v>997</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1082</v>
      </c>
      <c r="B3384" s="21" t="s">
        <v>1088</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1194</v>
      </c>
      <c r="B3385" s="21" t="s">
        <v>1114</v>
      </c>
      <c r="C3385" s="21" t="s">
        <v>1133</v>
      </c>
      <c r="D3385" s="21" t="s">
        <v>997</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2000</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1855</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1041</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1230</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1194</v>
      </c>
      <c r="B3390" s="21" t="s">
        <v>1142</v>
      </c>
      <c r="C3390" s="21" t="s">
        <v>1133</v>
      </c>
      <c r="D3390" s="21" t="s">
        <v>997</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2001</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737</v>
      </c>
      <c r="B3392" s="21" t="s">
        <v>1001</v>
      </c>
      <c r="C3392" s="21" t="s">
        <v>1015</v>
      </c>
      <c r="D3392" s="21" t="s">
        <v>997</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1460</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1944</v>
      </c>
      <c r="B3394" s="21" t="s">
        <v>1010</v>
      </c>
      <c r="C3394" s="21" t="s">
        <v>1006</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2002</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1460</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1011</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row>
    <row r="3399" spans="1:12">
      <c r="A3399" s="20" t="s">
        <v>2003</v>
      </c>
    </row>
    <row r="3400" spans="1:12">
      <c r="A3400" s="20" t="s">
        <v>1123</v>
      </c>
      <c r="B3400" s="21" t="s">
        <v>995</v>
      </c>
      <c r="C3400" s="21" t="s">
        <v>1015</v>
      </c>
      <c r="D3400" s="21" t="s">
        <v>997</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2004</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1003</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74</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1037</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2005</v>
      </c>
      <c r="B3405" s="21" t="s">
        <v>1001</v>
      </c>
      <c r="C3405" s="21" t="s">
        <v>1095</v>
      </c>
      <c r="D3405" s="21" t="s">
        <v>997</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1049</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1008</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1037</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1883</v>
      </c>
      <c r="B3409" s="21" t="s">
        <v>1005</v>
      </c>
      <c r="C3409" s="21" t="s">
        <v>1034</v>
      </c>
      <c r="D3409" s="21" t="s">
        <v>997</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1003</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1087</v>
      </c>
      <c r="B3411" s="21" t="s">
        <v>1010</v>
      </c>
      <c r="C3411" s="21" t="s">
        <v>1006</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1011</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row>
    <row r="3414" spans="1:12">
      <c r="A3414" s="20" t="s">
        <v>2006</v>
      </c>
    </row>
    <row r="3415" spans="1:12">
      <c r="A3415" s="20" t="s">
        <v>1013</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1041</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1191</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1018</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2007</v>
      </c>
      <c r="B3419" s="21" t="s">
        <v>1067</v>
      </c>
      <c r="C3419" s="21" t="s">
        <v>1089</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1019</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2008</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1041</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1117</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1069</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2009</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1060</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2010</v>
      </c>
      <c r="B3427" s="21" t="s">
        <v>1001</v>
      </c>
      <c r="C3427" s="21" t="s">
        <v>1034</v>
      </c>
      <c r="D3427" s="21" t="s">
        <v>997</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1008</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2011</v>
      </c>
      <c r="B3429" s="21" t="s">
        <v>1010</v>
      </c>
      <c r="C3429" s="21" t="s">
        <v>1006</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1194</v>
      </c>
      <c r="B3430" s="21" t="s">
        <v>995</v>
      </c>
      <c r="C3430" s="21" t="s">
        <v>1133</v>
      </c>
      <c r="D3430" s="21" t="s">
        <v>997</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1592</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1104</v>
      </c>
      <c r="B3432" s="21" t="s">
        <v>1101</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1008</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1774</v>
      </c>
      <c r="B3434" s="21" t="s">
        <v>1005</v>
      </c>
      <c r="C3434" s="21" t="s">
        <v>1006</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1049</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1579</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1032</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2012</v>
      </c>
      <c r="B3438" s="21" t="s">
        <v>1010</v>
      </c>
      <c r="C3438" s="21" t="s">
        <v>1034</v>
      </c>
      <c r="D3438" s="21" t="s">
        <v>997</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1008</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1061</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1696</v>
      </c>
      <c r="B3441" s="21" t="s">
        <v>1024</v>
      </c>
      <c r="C3441" s="21" t="s">
        <v>1034</v>
      </c>
      <c r="D3441" s="21" t="s">
        <v>997</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1008</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1032</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1074</v>
      </c>
      <c r="B3444" s="21" t="s">
        <v>1112</v>
      </c>
      <c r="C3444" s="21" t="s">
        <v>1034</v>
      </c>
      <c r="D3444" s="21" t="s">
        <v>997</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1011</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row>
    <row r="3447" spans="1:12">
      <c r="A3447" s="20" t="s">
        <v>2013</v>
      </c>
    </row>
    <row r="3448" spans="1:12">
      <c r="A3448" s="20" t="s">
        <v>1385</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2014</v>
      </c>
      <c r="B3449" s="21" t="s">
        <v>1067</v>
      </c>
      <c r="C3449" s="21" t="s">
        <v>1006</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1041</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1083</v>
      </c>
      <c r="B3451" s="21" t="s">
        <v>995</v>
      </c>
      <c r="C3451" s="21" t="s">
        <v>996</v>
      </c>
      <c r="D3451" s="21" t="s">
        <v>997</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1696</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1670</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1250</v>
      </c>
      <c r="B3454" s="21" t="s">
        <v>1101</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1008</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2015</v>
      </c>
      <c r="B3456" s="21" t="s">
        <v>1005</v>
      </c>
      <c r="C3456" s="21" t="s">
        <v>1006</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1029</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158</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1041</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1249</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1175</v>
      </c>
      <c r="B3461" s="21" t="s">
        <v>1142</v>
      </c>
      <c r="C3461" s="21" t="s">
        <v>1015</v>
      </c>
      <c r="D3461" s="21" t="s">
        <v>997</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423</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1018</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1437</v>
      </c>
      <c r="B3464" s="21" t="s">
        <v>1067</v>
      </c>
      <c r="C3464" s="21" t="s">
        <v>1089</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2016</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1037</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1883</v>
      </c>
      <c r="B3467" s="21" t="s">
        <v>1005</v>
      </c>
      <c r="C3467" s="21" t="s">
        <v>1034</v>
      </c>
      <c r="D3467" s="21" t="s">
        <v>997</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1007</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1037</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1883</v>
      </c>
      <c r="B3470" s="21" t="s">
        <v>1010</v>
      </c>
      <c r="C3470" s="21" t="s">
        <v>1034</v>
      </c>
      <c r="D3470" s="21" t="s">
        <v>997</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1003</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1938</v>
      </c>
      <c r="B3472" s="21" t="s">
        <v>1024</v>
      </c>
      <c r="C3472" s="21" t="s">
        <v>1006</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1903</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1044</v>
      </c>
      <c r="B3474" s="21" t="s">
        <v>1094</v>
      </c>
      <c r="C3474" s="21" t="s">
        <v>996</v>
      </c>
      <c r="D3474" s="21" t="s">
        <v>997</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1170</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1647</v>
      </c>
      <c r="B3476" s="21" t="s">
        <v>1112</v>
      </c>
      <c r="C3476" s="21" t="s">
        <v>1006</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1049</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1868</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1011</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row>
    <row r="3481" spans="1:12">
      <c r="A3481" s="20" t="s">
        <v>2017</v>
      </c>
    </row>
    <row r="3482" spans="1:12">
      <c r="A3482" s="20" t="s">
        <v>2018</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1041</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1371</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1533</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1367</v>
      </c>
      <c r="B3486" s="21" t="s">
        <v>1039</v>
      </c>
      <c r="C3486" s="21" t="s">
        <v>996</v>
      </c>
      <c r="D3486" s="21" t="s">
        <v>997</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2019</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2020</v>
      </c>
      <c r="B3488" s="21" t="s">
        <v>1024</v>
      </c>
      <c r="C3488" s="21" t="s">
        <v>1025</v>
      </c>
      <c r="D3488" s="21" t="s">
        <v>997</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1534</v>
      </c>
      <c r="B3489" s="21" t="s">
        <v>1039</v>
      </c>
      <c r="C3489" s="21" t="s">
        <v>1028</v>
      </c>
      <c r="D3489" s="21" t="s">
        <v>997</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1008</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2021</v>
      </c>
      <c r="B3491" s="21" t="s">
        <v>1024</v>
      </c>
      <c r="C3491" s="21" t="s">
        <v>1006</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1275</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row>
    <row r="3494" spans="1:12">
      <c r="A3494" s="20" t="s">
        <v>2022</v>
      </c>
    </row>
    <row r="3495" spans="1:12">
      <c r="A3495" s="20" t="s">
        <v>1219</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1622</v>
      </c>
      <c r="B3496" s="21" t="s">
        <v>1067</v>
      </c>
      <c r="C3496" s="21" t="s">
        <v>1133</v>
      </c>
      <c r="D3496" s="21" t="s">
        <v>997</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1393</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32</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1060</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1177</v>
      </c>
      <c r="B3500" s="21" t="s">
        <v>1001</v>
      </c>
      <c r="C3500" s="21" t="s">
        <v>1034</v>
      </c>
      <c r="D3500" s="21" t="s">
        <v>997</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2020</v>
      </c>
      <c r="B3501" s="21" t="s">
        <v>1010</v>
      </c>
      <c r="C3501" s="21" t="s">
        <v>1025</v>
      </c>
      <c r="D3501" s="21" t="s">
        <v>997</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2023</v>
      </c>
      <c r="B3502" s="21" t="s">
        <v>1001</v>
      </c>
      <c r="C3502" s="21" t="s">
        <v>1028</v>
      </c>
      <c r="D3502" s="21" t="s">
        <v>997</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1008</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1655</v>
      </c>
      <c r="B3504" s="21" t="s">
        <v>1010</v>
      </c>
      <c r="C3504" s="21" t="s">
        <v>1006</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1275</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row>
    <row r="3507" spans="1:12">
      <c r="A3507" s="20" t="s">
        <v>2024</v>
      </c>
    </row>
    <row r="3508" spans="1:12">
      <c r="A3508" s="20" t="s">
        <v>2025</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1191</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1061</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2026</v>
      </c>
      <c r="B3511" s="21" t="s">
        <v>1067</v>
      </c>
      <c r="C3511" s="21" t="s">
        <v>1034</v>
      </c>
      <c r="D3511" s="21" t="s">
        <v>997</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1022</v>
      </c>
      <c r="B3512" s="21" t="s">
        <v>1088</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1044</v>
      </c>
      <c r="B3513" s="21" t="s">
        <v>1027</v>
      </c>
      <c r="C3513" s="21" t="s">
        <v>996</v>
      </c>
      <c r="D3513" s="21" t="s">
        <v>997</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1046</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1394</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1041</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1007</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1752</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2027</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1037</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2028</v>
      </c>
      <c r="B3521" s="21" t="s">
        <v>1001</v>
      </c>
      <c r="C3521" s="21" t="s">
        <v>1034</v>
      </c>
      <c r="D3521" s="21" t="s">
        <v>997</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2029</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1011</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row>
    <row r="3525" spans="1:12">
      <c r="A3525" s="20" t="s">
        <v>2030</v>
      </c>
    </row>
    <row r="3526" spans="1:12">
      <c r="A3526" s="20" t="s">
        <v>1316</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2031</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1041</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1000</v>
      </c>
      <c r="B3529" s="21" t="s">
        <v>995</v>
      </c>
      <c r="C3529" s="21" t="s">
        <v>996</v>
      </c>
      <c r="D3529" s="21" t="s">
        <v>997</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1441</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2032</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1250</v>
      </c>
      <c r="B3532" s="21" t="s">
        <v>1101</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1008</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1560</v>
      </c>
      <c r="B3534" s="21" t="s">
        <v>1005</v>
      </c>
      <c r="C3534" s="21" t="s">
        <v>1006</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1002</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1008</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1202</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2033</v>
      </c>
      <c r="B3538" s="21" t="s">
        <v>1024</v>
      </c>
      <c r="C3538" s="21" t="s">
        <v>1068</v>
      </c>
      <c r="D3538" s="21" t="s">
        <v>997</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1008</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321</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1049</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1405</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1011</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row>
    <row r="3545" spans="1:12">
      <c r="A3545" s="20" t="s">
        <v>2034</v>
      </c>
    </row>
    <row r="3546" spans="1:12">
      <c r="A3546" s="20" t="s">
        <v>1234</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423</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1270</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1137</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1138</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1022</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1044</v>
      </c>
      <c r="B3552" s="21" t="s">
        <v>1142</v>
      </c>
      <c r="C3552" s="21" t="s">
        <v>996</v>
      </c>
      <c r="D3552" s="21" t="s">
        <v>997</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1084</v>
      </c>
      <c r="B3553" s="21" t="s">
        <v>1005</v>
      </c>
      <c r="C3553" s="21" t="s">
        <v>1133</v>
      </c>
      <c r="D3553" s="21" t="s">
        <v>997</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2035</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1011</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row>
    <row r="3557" spans="1:12">
      <c r="A3557" s="20" t="s">
        <v>2036</v>
      </c>
    </row>
    <row r="3558" spans="1:12">
      <c r="A3558" s="20" t="s">
        <v>1013</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1022</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1037</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1320</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1701</v>
      </c>
      <c r="B3562" s="21" t="s">
        <v>995</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2037</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1008</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1079</v>
      </c>
      <c r="B3565" s="21" t="s">
        <v>1067</v>
      </c>
      <c r="C3565" s="21" t="s">
        <v>1015</v>
      </c>
      <c r="D3565" s="21" t="s">
        <v>997</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1080</v>
      </c>
      <c r="B3566" s="21" t="s">
        <v>1027</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1077</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2038</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1109</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1037</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1323</v>
      </c>
      <c r="B3571" s="21" t="s">
        <v>1010</v>
      </c>
      <c r="C3571" s="21" t="s">
        <v>1034</v>
      </c>
      <c r="D3571" s="21" t="s">
        <v>997</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1055</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1041</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1103</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1670</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1018</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1019</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1008</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1060</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2039</v>
      </c>
      <c r="B3580" s="21" t="s">
        <v>1067</v>
      </c>
      <c r="C3580" s="21" t="s">
        <v>1034</v>
      </c>
      <c r="D3580" s="21" t="s">
        <v>997</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1011</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row>
    <row r="3583" spans="1:12">
      <c r="A3583" s="20" t="s">
        <v>2040</v>
      </c>
    </row>
    <row r="3584" spans="1:12">
      <c r="A3584" s="20" t="s">
        <v>2041</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1022</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1003</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1462</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1246</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1044</v>
      </c>
      <c r="B3589" s="21" t="s">
        <v>1142</v>
      </c>
      <c r="C3589" s="21" t="s">
        <v>996</v>
      </c>
      <c r="D3589" s="21" t="s">
        <v>997</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2042</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1144</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2043</v>
      </c>
      <c r="B3592" s="21" t="s">
        <v>1001</v>
      </c>
      <c r="C3592" s="21" t="s">
        <v>1089</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1007</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1144</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1934</v>
      </c>
      <c r="B3595" s="21" t="s">
        <v>1010</v>
      </c>
      <c r="C3595" s="21" t="s">
        <v>1089</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1008</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1061</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2044</v>
      </c>
      <c r="B3598" s="21" t="s">
        <v>1010</v>
      </c>
      <c r="C3598" s="21" t="s">
        <v>1034</v>
      </c>
      <c r="D3598" s="21" t="s">
        <v>997</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2045</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1011</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row>
    <row r="3602" spans="1:12">
      <c r="A3602" s="20" t="s">
        <v>2046</v>
      </c>
    </row>
    <row r="3603" spans="1:12">
      <c r="A3603" s="20" t="s">
        <v>1621</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1041</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1049</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1307</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1029</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1065</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321</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1701</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1041</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1037</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1323</v>
      </c>
      <c r="B3613" s="21" t="s">
        <v>995</v>
      </c>
      <c r="C3613" s="21" t="s">
        <v>1034</v>
      </c>
      <c r="D3613" s="21" t="s">
        <v>997</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2047</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1041</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1084</v>
      </c>
      <c r="B3616" s="21" t="s">
        <v>1010</v>
      </c>
      <c r="C3616" s="21" t="s">
        <v>1133</v>
      </c>
      <c r="D3616" s="21" t="s">
        <v>997</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2048</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1008</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1037</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1323</v>
      </c>
      <c r="B3620" s="21" t="s">
        <v>1005</v>
      </c>
      <c r="C3620" s="21" t="s">
        <v>1034</v>
      </c>
      <c r="D3620" s="21" t="s">
        <v>997</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1487</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1032</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2049</v>
      </c>
      <c r="B3623" s="21" t="s">
        <v>1010</v>
      </c>
      <c r="C3623" s="21" t="s">
        <v>1095</v>
      </c>
      <c r="D3623" s="21" t="s">
        <v>997</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1041</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2050</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2051</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1029</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2052</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2053</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1091</v>
      </c>
      <c r="B3630" s="21" t="s">
        <v>1010</v>
      </c>
      <c r="C3630" s="21" t="s">
        <v>1025</v>
      </c>
      <c r="D3630" s="21" t="s">
        <v>997</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2054</v>
      </c>
      <c r="B3631" s="21" t="s">
        <v>1001</v>
      </c>
      <c r="C3631" s="21" t="s">
        <v>1028</v>
      </c>
      <c r="D3631" s="21" t="s">
        <v>997</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1008</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2055</v>
      </c>
      <c r="B3633" s="21" t="s">
        <v>1010</v>
      </c>
      <c r="C3633" s="21" t="s">
        <v>1006</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1003</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1174</v>
      </c>
      <c r="B3635" s="21" t="s">
        <v>1024</v>
      </c>
      <c r="C3635" s="21" t="s">
        <v>1006</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1011</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row>
    <row r="3638" spans="1:12">
      <c r="A3638" s="20" t="s">
        <v>2056</v>
      </c>
    </row>
    <row r="3639" spans="1:12">
      <c r="A3639" s="20" t="s">
        <v>1076</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1268</v>
      </c>
      <c r="B3640" s="21" t="s">
        <v>1067</v>
      </c>
      <c r="C3640" s="21" t="s">
        <v>1034</v>
      </c>
      <c r="D3640" s="21" t="s">
        <v>997</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2057</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1041</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1079</v>
      </c>
      <c r="B3643" s="21" t="s">
        <v>995</v>
      </c>
      <c r="C3643" s="21" t="s">
        <v>1015</v>
      </c>
      <c r="D3643" s="21" t="s">
        <v>997</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1702</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1008</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1694</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1069</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2058</v>
      </c>
      <c r="B3648" s="21" t="s">
        <v>1005</v>
      </c>
      <c r="C3648" s="21" t="s">
        <v>1006</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1202</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1827</v>
      </c>
      <c r="B3650" s="21" t="s">
        <v>1001</v>
      </c>
      <c r="C3650" s="21" t="s">
        <v>1068</v>
      </c>
      <c r="D3650" s="21" t="s">
        <v>997</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1274</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2059</v>
      </c>
      <c r="B3652" s="21" t="s">
        <v>1010</v>
      </c>
      <c r="C3652" s="21" t="s">
        <v>1295</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1041</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1008</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1060</v>
      </c>
      <c r="B3655" s="21" t="s">
        <v>1039</v>
      </c>
      <c r="C3655" s="21" t="s">
        <v>996</v>
      </c>
      <c r="D3655" s="21" t="s">
        <v>997</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32</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2060</v>
      </c>
      <c r="B3657" s="21" t="s">
        <v>1010</v>
      </c>
      <c r="C3657" s="21" t="s">
        <v>1006</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1069</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2058</v>
      </c>
      <c r="B3659" s="21" t="s">
        <v>1024</v>
      </c>
      <c r="C3659" s="21" t="s">
        <v>1006</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1109</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1805</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1037</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1323</v>
      </c>
      <c r="B3663" s="21" t="s">
        <v>1024</v>
      </c>
      <c r="C3663" s="21" t="s">
        <v>1034</v>
      </c>
      <c r="D3663" s="21" t="s">
        <v>997</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2047</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1007</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1003</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110</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1069</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2038</v>
      </c>
      <c r="B3669" s="21" t="s">
        <v>1182</v>
      </c>
      <c r="C3669" s="21" t="s">
        <v>1006</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1008</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1061</v>
      </c>
      <c r="B3671" s="21" t="s">
        <v>1656</v>
      </c>
      <c r="C3671" s="21" t="s">
        <v>996</v>
      </c>
      <c r="D3671" s="21" t="s">
        <v>997</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158</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1109</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1037</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1486</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1323</v>
      </c>
      <c r="B3676" s="21" t="s">
        <v>1709</v>
      </c>
      <c r="C3676" s="21" t="s">
        <v>1034</v>
      </c>
      <c r="D3676" s="21" t="s">
        <v>997</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1011</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row>
    <row r="3679" spans="1:12">
      <c r="A3679" s="20" t="s">
        <v>2061</v>
      </c>
    </row>
    <row r="3680" spans="1:12">
      <c r="A3680" s="20" t="s">
        <v>1234</v>
      </c>
      <c r="B3680" s="21" t="s">
        <v>995</v>
      </c>
      <c r="C3680" s="21" t="s">
        <v>1015</v>
      </c>
      <c r="D3680" s="21" t="s">
        <v>997</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423</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2062</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1138</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1011</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row>
    <row r="3686" spans="1:12">
      <c r="A3686" s="20" t="s">
        <v>2063</v>
      </c>
    </row>
    <row r="3687" spans="1:12">
      <c r="A3687" s="20" t="s">
        <v>1234</v>
      </c>
      <c r="B3687" s="21" t="s">
        <v>995</v>
      </c>
      <c r="C3687" s="21" t="s">
        <v>1015</v>
      </c>
      <c r="D3687" s="21" t="s">
        <v>997</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423</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1018</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2064</v>
      </c>
      <c r="B3690" s="21" t="s">
        <v>1067</v>
      </c>
      <c r="C3690" s="21" t="s">
        <v>1089</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2065</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1049</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2066</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1032</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2023</v>
      </c>
      <c r="B3695" s="21" t="s">
        <v>1001</v>
      </c>
      <c r="C3695" s="21" t="s">
        <v>1034</v>
      </c>
      <c r="D3695" s="21" t="s">
        <v>997</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1008</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1655</v>
      </c>
      <c r="B3697" s="21" t="s">
        <v>1010</v>
      </c>
      <c r="C3697" s="21" t="s">
        <v>1006</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1011</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row>
    <row r="3700" spans="1:12">
      <c r="A3700" s="20" t="s">
        <v>2067</v>
      </c>
    </row>
    <row r="3701" spans="1:12">
      <c r="A3701" s="20" t="s">
        <v>1365</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1041</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1069</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2068</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1069</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2069</v>
      </c>
      <c r="B3706" s="21" t="s">
        <v>1067</v>
      </c>
      <c r="C3706" s="21" t="s">
        <v>1006</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1029</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1240</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1008</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1246</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1041</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1029</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1622</v>
      </c>
      <c r="B3713" s="21" t="s">
        <v>1005</v>
      </c>
      <c r="C3713" s="21" t="s">
        <v>1133</v>
      </c>
      <c r="D3713" s="21" t="s">
        <v>997</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2070</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1032</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2023</v>
      </c>
      <c r="B3716" s="21" t="s">
        <v>1001</v>
      </c>
      <c r="C3716" s="21" t="s">
        <v>1034</v>
      </c>
      <c r="D3716" s="21" t="s">
        <v>997</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1008</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1655</v>
      </c>
      <c r="B3718" s="21" t="s">
        <v>1010</v>
      </c>
      <c r="C3718" s="21" t="s">
        <v>1006</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1008</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2071</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1275</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row>
    <row r="3723" spans="1:12">
      <c r="A3723" s="20" t="s">
        <v>2072</v>
      </c>
    </row>
    <row r="3724" spans="1:12">
      <c r="A3724" s="20" t="s">
        <v>1880</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1190</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1041</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1246</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1670</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1041</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1194</v>
      </c>
      <c r="B3730" s="21" t="s">
        <v>995</v>
      </c>
      <c r="C3730" s="21" t="s">
        <v>1133</v>
      </c>
      <c r="D3730" s="21" t="s">
        <v>997</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1393</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32</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1037</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1051</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2073</v>
      </c>
      <c r="B3735" s="21" t="s">
        <v>1001</v>
      </c>
      <c r="C3735" s="21" t="s">
        <v>1034</v>
      </c>
      <c r="D3735" s="21" t="s">
        <v>997</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1011</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row>
    <row r="3738" spans="1:12">
      <c r="A3738" s="20" t="s">
        <v>2074</v>
      </c>
    </row>
    <row r="3739" spans="1:12">
      <c r="A3739" s="20" t="s">
        <v>1466</v>
      </c>
      <c r="B3739" s="21" t="s">
        <v>995</v>
      </c>
      <c r="C3739" s="21" t="s">
        <v>996</v>
      </c>
      <c r="D3739" s="21" t="s">
        <v>997</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1046</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1297</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1191</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1008</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1037</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2075</v>
      </c>
      <c r="B3745" s="21" t="s">
        <v>1005</v>
      </c>
      <c r="C3745" s="21" t="s">
        <v>1034</v>
      </c>
      <c r="D3745" s="21" t="s">
        <v>997</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1003</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229</v>
      </c>
      <c r="B3747" s="21" t="s">
        <v>1010</v>
      </c>
      <c r="C3747" s="21" t="s">
        <v>1006</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1049</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2076</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1029</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1499</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1008</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1037</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2077</v>
      </c>
      <c r="B3754" s="21" t="s">
        <v>1112</v>
      </c>
      <c r="C3754" s="21" t="s">
        <v>1034</v>
      </c>
      <c r="D3754" s="21" t="s">
        <v>997</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1011</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row>
    <row r="3757" spans="1:12">
      <c r="A3757" s="20" t="s">
        <v>2078</v>
      </c>
    </row>
    <row r="3758" spans="1:12">
      <c r="A3758" s="20" t="s">
        <v>2079</v>
      </c>
      <c r="B3758" s="21" t="s">
        <v>995</v>
      </c>
      <c r="C3758" s="21" t="s">
        <v>1095</v>
      </c>
      <c r="D3758" s="21" t="s">
        <v>997</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1044</v>
      </c>
      <c r="B3759" s="21" t="s">
        <v>995</v>
      </c>
      <c r="C3759" s="21" t="s">
        <v>996</v>
      </c>
      <c r="D3759" s="21" t="s">
        <v>997</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2080</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1041</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1325</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1312</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1702</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1032</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2081</v>
      </c>
      <c r="B3766" s="21" t="s">
        <v>1101</v>
      </c>
      <c r="C3766" s="21" t="s">
        <v>1034</v>
      </c>
      <c r="D3766" s="21" t="s">
        <v>997</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1008</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1203</v>
      </c>
      <c r="B3768" s="21" t="s">
        <v>1005</v>
      </c>
      <c r="C3768" s="21" t="s">
        <v>1006</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1041</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1007</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1041</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1191</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2082</v>
      </c>
      <c r="B3773" s="21" t="s">
        <v>1010</v>
      </c>
      <c r="C3773" s="21" t="s">
        <v>1006</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1041</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1325</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2083</v>
      </c>
      <c r="B3776" s="21" t="s">
        <v>1142</v>
      </c>
      <c r="C3776" s="21" t="s">
        <v>1006</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1702</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1032</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1215</v>
      </c>
      <c r="B3779" s="21" t="s">
        <v>1067</v>
      </c>
      <c r="C3779" s="21" t="s">
        <v>1034</v>
      </c>
      <c r="D3779" s="21" t="s">
        <v>997</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1011</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row>
    <row r="3782" spans="1:12">
      <c r="A3782" s="20" t="s">
        <v>2084</v>
      </c>
    </row>
    <row r="3783" spans="1:12">
      <c r="A3783" s="20" t="s">
        <v>1059</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1029</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1482</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2085</v>
      </c>
      <c r="B3786" s="21" t="s">
        <v>1067</v>
      </c>
      <c r="C3786" s="21" t="s">
        <v>1239</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1041</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1061</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1268</v>
      </c>
      <c r="B3789" s="21" t="s">
        <v>995</v>
      </c>
      <c r="C3789" s="21" t="s">
        <v>1034</v>
      </c>
      <c r="D3789" s="21" t="s">
        <v>997</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1022</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1044</v>
      </c>
      <c r="B3791" s="21" t="s">
        <v>1027</v>
      </c>
      <c r="C3791" s="21" t="s">
        <v>996</v>
      </c>
      <c r="D3791" s="21" t="s">
        <v>997</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2086</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1462</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1041</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1069</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2087</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1008</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1037</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1042</v>
      </c>
      <c r="B3799" s="21" t="s">
        <v>1024</v>
      </c>
      <c r="C3799" s="21" t="s">
        <v>1034</v>
      </c>
      <c r="D3799" s="21" t="s">
        <v>997</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1080</v>
      </c>
      <c r="B3800" s="21" t="s">
        <v>1094</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1095</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2088</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1097</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1116</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1008</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2089</v>
      </c>
      <c r="B3806" s="21" t="s">
        <v>1043</v>
      </c>
      <c r="C3806" s="21" t="s">
        <v>1006</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1029</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1003</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1907</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2077</v>
      </c>
      <c r="B3810" s="21" t="s">
        <v>1092</v>
      </c>
      <c r="C3810" s="21" t="s">
        <v>1089</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1041</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1339</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423</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1097</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1054</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1138</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1041</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1007</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1221</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1168</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1325</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1041</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1022</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1982</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1719</v>
      </c>
      <c r="B3825" s="21" t="s">
        <v>1005</v>
      </c>
      <c r="C3825" s="21" t="s">
        <v>1068</v>
      </c>
      <c r="D3825" s="21" t="s">
        <v>997</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1041</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1080</v>
      </c>
      <c r="B3827" s="21" t="s">
        <v>1114</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423</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1060</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1932</v>
      </c>
      <c r="B3830" s="21" t="s">
        <v>1010</v>
      </c>
      <c r="C3830" s="21" t="s">
        <v>1034</v>
      </c>
      <c r="D3830" s="21" t="s">
        <v>997</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1073</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2090</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2091</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1065</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2092</v>
      </c>
      <c r="B3835" s="21" t="s">
        <v>1045</v>
      </c>
      <c r="C3835" s="21" t="s">
        <v>1068</v>
      </c>
      <c r="D3835" s="21" t="s">
        <v>997</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1011</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row>
    <row r="3838" spans="1:12">
      <c r="A3838" s="20" t="s">
        <v>2093</v>
      </c>
    </row>
    <row r="3839" spans="1:12">
      <c r="A3839" s="20" t="s">
        <v>2094</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2095</v>
      </c>
      <c r="B3840" s="21" t="s">
        <v>1067</v>
      </c>
      <c r="C3840" s="21" t="s">
        <v>1068</v>
      </c>
      <c r="D3840" s="21" t="s">
        <v>997</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1041</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1083</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1540</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1022</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1044</v>
      </c>
      <c r="B3845" s="21" t="s">
        <v>1142</v>
      </c>
      <c r="C3845" s="21" t="s">
        <v>996</v>
      </c>
      <c r="D3845" s="21" t="s">
        <v>997</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1037</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2096</v>
      </c>
      <c r="B3847" s="21" t="s">
        <v>1067</v>
      </c>
      <c r="C3847" s="21" t="s">
        <v>1034</v>
      </c>
      <c r="D3847" s="21" t="s">
        <v>997</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1029</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1579</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1580</v>
      </c>
      <c r="B3850" s="21" t="s">
        <v>1005</v>
      </c>
      <c r="C3850" s="21" t="s">
        <v>1239</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1041</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1007</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1044</v>
      </c>
      <c r="B3853" s="21" t="s">
        <v>1142</v>
      </c>
      <c r="C3853" s="21" t="s">
        <v>996</v>
      </c>
      <c r="D3853" s="21" t="s">
        <v>997</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1179</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2097</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1014</v>
      </c>
      <c r="B3856" s="21" t="s">
        <v>1039</v>
      </c>
      <c r="C3856" s="21" t="s">
        <v>1015</v>
      </c>
      <c r="D3856" s="21" t="s">
        <v>997</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1069</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1992</v>
      </c>
      <c r="B3858" s="21" t="s">
        <v>1010</v>
      </c>
      <c r="C3858" s="21" t="s">
        <v>1006</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1008</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1902</v>
      </c>
      <c r="B3860" s="21" t="s">
        <v>1024</v>
      </c>
      <c r="C3860" s="21" t="s">
        <v>1006</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1041</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1008</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1698</v>
      </c>
      <c r="B3863" s="21" t="s">
        <v>1112</v>
      </c>
      <c r="C3863" s="21" t="s">
        <v>1006</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2098</v>
      </c>
      <c r="B3864" s="21" t="s">
        <v>1182</v>
      </c>
      <c r="C3864" s="21" t="s">
        <v>1006</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1041</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1008</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2099</v>
      </c>
      <c r="B3867" s="21" t="s">
        <v>1112</v>
      </c>
      <c r="C3867" s="21" t="s">
        <v>1006</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1008</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1037</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2100</v>
      </c>
      <c r="B3870" s="21" t="s">
        <v>1182</v>
      </c>
      <c r="C3870" s="21" t="s">
        <v>1034</v>
      </c>
      <c r="D3870" s="21" t="s">
        <v>997</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2101</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1011</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row>
    <row r="3874" spans="1:12">
      <c r="A3874" s="20" t="s">
        <v>2102</v>
      </c>
    </row>
    <row r="3875" spans="1:12">
      <c r="A3875" s="20" t="s">
        <v>2103</v>
      </c>
      <c r="B3875" s="21" t="s">
        <v>995</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1008</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2104</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2105</v>
      </c>
      <c r="B3878" s="21" t="s">
        <v>1005</v>
      </c>
      <c r="C3878" s="21" t="s">
        <v>1006</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1562</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1335</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2106</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1029</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1079</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1882</v>
      </c>
      <c r="B3884" s="21" t="s">
        <v>1067</v>
      </c>
      <c r="C3884" s="21" t="s">
        <v>1068</v>
      </c>
      <c r="D3884" s="21" t="s">
        <v>997</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1011</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row>
    <row r="3887" spans="1:12">
      <c r="A3887" s="20" t="s">
        <v>1457</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2107</v>
      </c>
    </row>
    <row r="3889" spans="1:12">
      <c r="A3889" s="20" t="s">
        <v>1076</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650</v>
      </c>
      <c r="B3890" s="21" t="s">
        <v>1067</v>
      </c>
      <c r="C3890" s="21" t="s">
        <v>1028</v>
      </c>
      <c r="D3890" s="21" t="s">
        <v>997</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1008</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2108</v>
      </c>
      <c r="B3892" s="21" t="s">
        <v>1067</v>
      </c>
      <c r="C3892" s="21" t="s">
        <v>1095</v>
      </c>
      <c r="D3892" s="21" t="s">
        <v>997</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2109</v>
      </c>
      <c r="B3893" s="21" t="s">
        <v>1005</v>
      </c>
      <c r="C3893" s="21" t="s">
        <v>1095</v>
      </c>
      <c r="D3893" s="21" t="s">
        <v>997</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1041</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1460</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2110</v>
      </c>
      <c r="B3896" s="21" t="s">
        <v>1005</v>
      </c>
      <c r="C3896" s="21" t="s">
        <v>1025</v>
      </c>
      <c r="D3896" s="21" t="s">
        <v>997</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2111</v>
      </c>
      <c r="B3897" s="21" t="s">
        <v>1067</v>
      </c>
      <c r="C3897" s="21" t="s">
        <v>1028</v>
      </c>
      <c r="D3897" s="21" t="s">
        <v>997</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1460</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1007</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1061</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650</v>
      </c>
      <c r="B3901" s="21" t="s">
        <v>1067</v>
      </c>
      <c r="C3901" s="21" t="s">
        <v>1028</v>
      </c>
      <c r="D3901" s="21" t="s">
        <v>997</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1008</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2112</v>
      </c>
      <c r="B3903" s="21" t="s">
        <v>1005</v>
      </c>
      <c r="C3903" s="21" t="s">
        <v>1095</v>
      </c>
      <c r="D3903" s="21" t="s">
        <v>997</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2113</v>
      </c>
      <c r="B3904" s="21" t="s">
        <v>1010</v>
      </c>
      <c r="C3904" s="21" t="s">
        <v>1095</v>
      </c>
      <c r="D3904" s="21" t="s">
        <v>997</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1041</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2114</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1334</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1004</v>
      </c>
      <c r="B3908" s="21" t="s">
        <v>1067</v>
      </c>
      <c r="C3908" s="21" t="s">
        <v>1034</v>
      </c>
      <c r="D3908" s="21" t="s">
        <v>997</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2115</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2116</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1177</v>
      </c>
      <c r="B3911" s="21" t="s">
        <v>1005</v>
      </c>
      <c r="C3911" s="21" t="s">
        <v>1006</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2117</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1460</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1011</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row>
    <row r="3916" spans="1:12">
      <c r="A3916" s="20" t="s">
        <v>2118</v>
      </c>
    </row>
    <row r="3917" spans="1:12">
      <c r="A3917" s="20" t="s">
        <v>2119</v>
      </c>
      <c r="B3917" s="21" t="s">
        <v>995</v>
      </c>
      <c r="C3917" s="21" t="s">
        <v>996</v>
      </c>
      <c r="D3917" s="21" t="s">
        <v>997</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2120</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1270</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1190</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1061</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1882</v>
      </c>
      <c r="B3922" s="21" t="s">
        <v>1101</v>
      </c>
      <c r="C3922" s="21" t="s">
        <v>1034</v>
      </c>
      <c r="D3922" s="21" t="s">
        <v>997</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1041</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1007</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2121</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1018</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2122</v>
      </c>
      <c r="B3927" s="21" t="s">
        <v>1001</v>
      </c>
      <c r="C3927" s="21" t="s">
        <v>1089</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1080</v>
      </c>
      <c r="B3928" s="21" t="s">
        <v>1114</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2123</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2124</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1029</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1032</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2125</v>
      </c>
      <c r="B3933" s="21" t="s">
        <v>1024</v>
      </c>
      <c r="C3933" s="21" t="s">
        <v>1034</v>
      </c>
      <c r="D3933" s="21" t="s">
        <v>997</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1041</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1021</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1082</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1194</v>
      </c>
      <c r="B3937" s="21" t="s">
        <v>1142</v>
      </c>
      <c r="C3937" s="21" t="s">
        <v>1133</v>
      </c>
      <c r="D3937" s="21" t="s">
        <v>997</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1154</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1647</v>
      </c>
      <c r="B3939" s="21" t="s">
        <v>1001</v>
      </c>
      <c r="C3939" s="21" t="s">
        <v>1006</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1003</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1018</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2126</v>
      </c>
      <c r="B3942" s="21" t="s">
        <v>1005</v>
      </c>
      <c r="C3942" s="21" t="s">
        <v>1089</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2127</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1049</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1014</v>
      </c>
      <c r="B3945" s="21" t="s">
        <v>1010</v>
      </c>
      <c r="C3945" s="21" t="s">
        <v>1015</v>
      </c>
      <c r="D3945" s="21" t="s">
        <v>997</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1011</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row>
    <row r="3948" spans="1:12">
      <c r="A3948" s="20" t="s">
        <v>2128</v>
      </c>
    </row>
    <row r="3949" spans="1:12">
      <c r="A3949" s="20" t="s">
        <v>2103</v>
      </c>
      <c r="B3949" s="21" t="s">
        <v>995</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1008</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1042</v>
      </c>
      <c r="B3951" s="21" t="s">
        <v>1005</v>
      </c>
      <c r="C3951" s="21" t="s">
        <v>1006</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2129</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1077</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1526</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1069</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1168</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1030</v>
      </c>
      <c r="B3957" s="21" t="s">
        <v>1010</v>
      </c>
      <c r="C3957" s="21" t="s">
        <v>1006</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1011</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row>
    <row r="3960" spans="1:12">
      <c r="A3960" s="20" t="s">
        <v>2130</v>
      </c>
    </row>
    <row r="3961" spans="1:12">
      <c r="A3961" s="20" t="s">
        <v>1099</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1227</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1789</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1287</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1003</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1018</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2131</v>
      </c>
      <c r="B3967" s="21" t="s">
        <v>1067</v>
      </c>
      <c r="C3967" s="21" t="s">
        <v>1089</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1011</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row>
    <row r="3970" spans="1:12">
      <c r="A3970" s="20" t="s">
        <v>2132</v>
      </c>
    </row>
    <row r="3971" spans="1:12">
      <c r="A3971" s="20" t="s">
        <v>1234</v>
      </c>
      <c r="B3971" s="21" t="s">
        <v>995</v>
      </c>
      <c r="C3971" s="21" t="s">
        <v>1015</v>
      </c>
      <c r="D3971" s="21" t="s">
        <v>997</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423</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1018</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2133</v>
      </c>
      <c r="B3974" s="21" t="s">
        <v>1067</v>
      </c>
      <c r="C3974" s="21" t="s">
        <v>1089</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1137</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2134</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1041</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1022</v>
      </c>
      <c r="B3978" s="21" t="s">
        <v>1001</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1060</v>
      </c>
      <c r="B3979" s="21" t="s">
        <v>1142</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1194</v>
      </c>
      <c r="B3980" s="21" t="s">
        <v>1010</v>
      </c>
      <c r="C3980" s="21" t="s">
        <v>1133</v>
      </c>
      <c r="D3980" s="21" t="s">
        <v>997</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2135</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1202</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1827</v>
      </c>
      <c r="B3983" s="21" t="s">
        <v>1142</v>
      </c>
      <c r="C3983" s="21" t="s">
        <v>1068</v>
      </c>
      <c r="D3983" s="21" t="s">
        <v>997</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1011</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row>
    <row r="3986" spans="1:12">
      <c r="A3986" s="20" t="s">
        <v>2136</v>
      </c>
    </row>
    <row r="3987" spans="1:12">
      <c r="A3987" s="20" t="s">
        <v>1210</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1194</v>
      </c>
      <c r="B3988" s="21" t="s">
        <v>1142</v>
      </c>
      <c r="C3988" s="21" t="s">
        <v>1133</v>
      </c>
      <c r="D3988" s="21" t="s">
        <v>997</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1585</v>
      </c>
      <c r="B3989" s="21" t="s">
        <v>1001</v>
      </c>
      <c r="C3989" s="21" t="s">
        <v>996</v>
      </c>
      <c r="D3989" s="21" t="s">
        <v>997</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2137</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1018</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2138</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2133</v>
      </c>
      <c r="B3993" s="21" t="s">
        <v>1001</v>
      </c>
      <c r="C3993" s="21" t="s">
        <v>1089</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1029</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158</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1049</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1037</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208</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2139</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1087</v>
      </c>
      <c r="B4000" s="21" t="s">
        <v>1010</v>
      </c>
      <c r="C4000" s="21" t="s">
        <v>1034</v>
      </c>
      <c r="D4000" s="21" t="s">
        <v>997</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1041</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1141</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1547</v>
      </c>
      <c r="B4003" s="21" t="s">
        <v>1142</v>
      </c>
      <c r="C4003" s="21" t="s">
        <v>996</v>
      </c>
      <c r="D4003" s="21" t="s">
        <v>997</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2140</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2141</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1061</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2142</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2143</v>
      </c>
      <c r="B4008" s="21" t="s">
        <v>1039</v>
      </c>
      <c r="C4008" s="21" t="s">
        <v>1095</v>
      </c>
      <c r="D4008" s="21" t="s">
        <v>997</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1041</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1103</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2141</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1018</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2144</v>
      </c>
      <c r="B4013" s="21" t="s">
        <v>1088</v>
      </c>
      <c r="C4013" s="21" t="s">
        <v>1089</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1041</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1079</v>
      </c>
      <c r="B4015" s="21" t="s">
        <v>1112</v>
      </c>
      <c r="C4015" s="21" t="s">
        <v>1015</v>
      </c>
      <c r="D4015" s="21" t="s">
        <v>997</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1080</v>
      </c>
      <c r="B4016" s="21" t="s">
        <v>1243</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423</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1305</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1146</v>
      </c>
      <c r="B4019" s="21" t="s">
        <v>1182</v>
      </c>
      <c r="C4019" s="21" t="s">
        <v>1239</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1022</v>
      </c>
      <c r="B4020" s="21" t="s">
        <v>1656</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1263</v>
      </c>
      <c r="B4021" s="21" t="s">
        <v>1653</v>
      </c>
      <c r="C4021" s="21" t="s">
        <v>996</v>
      </c>
      <c r="D4021" s="21" t="s">
        <v>997</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2145</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1041</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1103</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1670</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2141</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1022</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1202</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1146</v>
      </c>
      <c r="B4029" s="21" t="s">
        <v>1862</v>
      </c>
      <c r="C4029" s="21" t="s">
        <v>1068</v>
      </c>
      <c r="D4029" s="21" t="s">
        <v>997</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1376</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2146</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1041</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1018</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1736</v>
      </c>
      <c r="B4034" s="21" t="s">
        <v>1092</v>
      </c>
      <c r="C4034" s="21" t="s">
        <v>1089</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2147</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1191</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1051</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2116</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1672</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2059</v>
      </c>
      <c r="B4040" s="21" t="s">
        <v>1964</v>
      </c>
      <c r="C4040" s="21" t="s">
        <v>1239</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1008</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1203</v>
      </c>
      <c r="B4042" s="21" t="s">
        <v>1965</v>
      </c>
      <c r="C4042" s="21" t="s">
        <v>1006</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1041</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1175</v>
      </c>
      <c r="B4044" s="21" t="s">
        <v>995</v>
      </c>
      <c r="C4044" s="21" t="s">
        <v>1015</v>
      </c>
      <c r="D4044" s="21" t="s">
        <v>997</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423</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1079</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2148</v>
      </c>
      <c r="B4047" s="21" t="s">
        <v>1067</v>
      </c>
      <c r="C4047" s="21" t="s">
        <v>1068</v>
      </c>
      <c r="D4047" s="21" t="s">
        <v>997</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1022</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1547</v>
      </c>
      <c r="B4049" s="21" t="s">
        <v>1142</v>
      </c>
      <c r="C4049" s="21" t="s">
        <v>996</v>
      </c>
      <c r="D4049" s="21" t="s">
        <v>997</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2149</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1011</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row>
    <row r="4053" spans="1:12">
      <c r="A4053" s="20" t="s">
        <v>2150</v>
      </c>
    </row>
    <row r="4054" spans="1:12">
      <c r="A4054" s="20" t="s">
        <v>1234</v>
      </c>
      <c r="B4054" s="21" t="s">
        <v>995</v>
      </c>
      <c r="C4054" s="21" t="s">
        <v>1015</v>
      </c>
      <c r="D4054" s="21" t="s">
        <v>997</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423</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1151</v>
      </c>
      <c r="B4056" s="21" t="s">
        <v>1067</v>
      </c>
      <c r="C4056" s="21" t="s">
        <v>1015</v>
      </c>
      <c r="D4056" s="21" t="s">
        <v>997</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1080</v>
      </c>
      <c r="B4057" s="21" t="s">
        <v>1142</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1592</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1061</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1054</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1288</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2151</v>
      </c>
      <c r="B4062" s="21" t="s">
        <v>1067</v>
      </c>
      <c r="C4062" s="21" t="s">
        <v>1034</v>
      </c>
      <c r="D4062" s="21" t="s">
        <v>997</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1011</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row>
    <row r="4065" spans="1:12">
      <c r="A4065" s="20" t="s">
        <v>2152</v>
      </c>
    </row>
    <row r="4066" spans="1:12">
      <c r="A4066" s="20" t="s">
        <v>1210</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1079</v>
      </c>
      <c r="B4067" s="21" t="s">
        <v>1142</v>
      </c>
      <c r="C4067" s="21" t="s">
        <v>1015</v>
      </c>
      <c r="D4067" s="21" t="s">
        <v>997</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2131</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1095</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1077</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2153</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1097</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1041</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1032</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2154</v>
      </c>
      <c r="B4075" s="21" t="s">
        <v>995</v>
      </c>
      <c r="C4075" s="21" t="s">
        <v>1034</v>
      </c>
      <c r="D4075" s="21" t="s">
        <v>997</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1889</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1037</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1560</v>
      </c>
      <c r="B4078" s="21" t="s">
        <v>1005</v>
      </c>
      <c r="C4078" s="21" t="s">
        <v>1034</v>
      </c>
      <c r="D4078" s="21" t="s">
        <v>997</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1080</v>
      </c>
      <c r="B4079" s="21" t="s">
        <v>1114</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2155</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1029</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2156</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1708</v>
      </c>
      <c r="B4083" s="21" t="s">
        <v>1024</v>
      </c>
      <c r="C4083" s="21" t="s">
        <v>1006</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1007</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1029</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1707</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1708</v>
      </c>
      <c r="B4087" s="21" t="s">
        <v>1112</v>
      </c>
      <c r="C4087" s="21" t="s">
        <v>1006</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1702</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2157</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1041</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1889</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1037</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2158</v>
      </c>
      <c r="B4093" s="21" t="s">
        <v>1005</v>
      </c>
      <c r="C4093" s="21" t="s">
        <v>1095</v>
      </c>
      <c r="D4093" s="21" t="s">
        <v>997</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1007</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1032</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2049</v>
      </c>
      <c r="B4096" s="21" t="s">
        <v>1010</v>
      </c>
      <c r="C4096" s="21" t="s">
        <v>1095</v>
      </c>
      <c r="D4096" s="21" t="s">
        <v>997</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1041</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1889</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1323</v>
      </c>
      <c r="B4099" s="21" t="s">
        <v>1005</v>
      </c>
      <c r="C4099" s="21" t="s">
        <v>1034</v>
      </c>
      <c r="D4099" s="21" t="s">
        <v>997</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1055</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1007</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1323</v>
      </c>
      <c r="B4102" s="21" t="s">
        <v>1010</v>
      </c>
      <c r="C4102" s="21" t="s">
        <v>1006</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2159</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1041</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1007</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1032</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2012</v>
      </c>
      <c r="B4107" s="21" t="s">
        <v>1114</v>
      </c>
      <c r="C4107" s="21" t="s">
        <v>1034</v>
      </c>
      <c r="D4107" s="21" t="s">
        <v>997</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1702</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1190</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1222</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1049</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1032</v>
      </c>
      <c r="B4112" s="21" t="s">
        <v>1010</v>
      </c>
      <c r="C4112" s="21" t="s">
        <v>1028</v>
      </c>
      <c r="D4112" s="21" t="s">
        <v>997</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2160</v>
      </c>
      <c r="B4113" s="21" t="s">
        <v>1024</v>
      </c>
      <c r="C4113" s="21" t="s">
        <v>1006</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1008</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1065</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1051</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1052</v>
      </c>
      <c r="B4117" s="21" t="s">
        <v>1024</v>
      </c>
      <c r="C4117" s="21" t="s">
        <v>1068</v>
      </c>
      <c r="D4117" s="21" t="s">
        <v>997</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1008</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1560</v>
      </c>
      <c r="B4119" s="21" t="s">
        <v>1112</v>
      </c>
      <c r="C4119" s="21" t="s">
        <v>1006</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1011</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row>
    <row r="4122" spans="1:12">
      <c r="A4122" s="20" t="s">
        <v>2161</v>
      </c>
    </row>
    <row r="4123" spans="1:12">
      <c r="A4123" s="20" t="s">
        <v>1365</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1041</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1082</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1170</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1367</v>
      </c>
      <c r="B4127" s="21" t="s">
        <v>1101</v>
      </c>
      <c r="C4127" s="21" t="s">
        <v>996</v>
      </c>
      <c r="D4127" s="21" t="s">
        <v>997</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1029</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158</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1275</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row>
    <row r="4132" spans="1:12">
      <c r="A4132" s="20" t="s">
        <v>2162</v>
      </c>
    </row>
    <row r="4133" spans="1:12">
      <c r="A4133" s="20" t="s">
        <v>1140</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1622</v>
      </c>
      <c r="B4134" s="21" t="s">
        <v>1067</v>
      </c>
      <c r="C4134" s="21" t="s">
        <v>1133</v>
      </c>
      <c r="D4134" s="21" t="s">
        <v>997</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2163</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2164</v>
      </c>
      <c r="B4136" s="21" t="s">
        <v>995</v>
      </c>
      <c r="C4136" s="21" t="s">
        <v>996</v>
      </c>
      <c r="D4136" s="21" t="s">
        <v>997</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2165</v>
      </c>
      <c r="B4137" s="21" t="s">
        <v>1101</v>
      </c>
      <c r="C4137" s="21" t="s">
        <v>1006</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1029</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1000</v>
      </c>
      <c r="B4139" s="21" t="s">
        <v>1067</v>
      </c>
      <c r="C4139" s="21" t="s">
        <v>996</v>
      </c>
      <c r="D4139" s="21" t="s">
        <v>997</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1049</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13</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1008</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1060</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2166</v>
      </c>
      <c r="B4144" s="21" t="s">
        <v>1005</v>
      </c>
      <c r="C4144" s="21" t="s">
        <v>1034</v>
      </c>
      <c r="D4144" s="21" t="s">
        <v>997</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1275</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row>
    <row r="4147" spans="1:12">
      <c r="A4147" s="20" t="s">
        <v>2167</v>
      </c>
    </row>
    <row r="4148" spans="1:12">
      <c r="A4148" s="20" t="s">
        <v>1099</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1540</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1054</v>
      </c>
      <c r="B4150" s="21" t="s">
        <v>995</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1008</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2168</v>
      </c>
      <c r="B4152" s="21" t="s">
        <v>1005</v>
      </c>
      <c r="C4152" s="21" t="s">
        <v>1006</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1049</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1032</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2169</v>
      </c>
      <c r="B4155" s="21" t="s">
        <v>1010</v>
      </c>
      <c r="C4155" s="21" t="s">
        <v>1034</v>
      </c>
      <c r="D4155" s="21" t="s">
        <v>997</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1011</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row>
    <row r="4158" spans="1:12">
      <c r="A4158" s="20" t="s">
        <v>2170</v>
      </c>
    </row>
    <row r="4159" spans="1:12">
      <c r="A4159" s="20" t="s">
        <v>2171</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1037</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1323</v>
      </c>
      <c r="B4161" s="21" t="s">
        <v>1142</v>
      </c>
      <c r="C4161" s="21" t="s">
        <v>1034</v>
      </c>
      <c r="D4161" s="21" t="s">
        <v>997</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1077</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2172</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1041</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1487</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1029</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2173</v>
      </c>
      <c r="B4167" s="21" t="s">
        <v>1005</v>
      </c>
      <c r="C4167" s="21" t="s">
        <v>1095</v>
      </c>
      <c r="D4167" s="21" t="s">
        <v>997</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1041</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1257</v>
      </c>
      <c r="B4169" s="21" t="s">
        <v>995</v>
      </c>
      <c r="C4169" s="21" t="s">
        <v>996</v>
      </c>
      <c r="D4169" s="21" t="s">
        <v>997</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1095</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2174</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1097</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2175</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1826</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1008</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1061</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1203</v>
      </c>
      <c r="B4177" s="21" t="s">
        <v>1005</v>
      </c>
      <c r="C4177" s="21" t="s">
        <v>1034</v>
      </c>
      <c r="D4177" s="21" t="s">
        <v>997</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1011</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row>
    <row r="4180" spans="1:12">
      <c r="A4180" s="20" t="s">
        <v>2176</v>
      </c>
    </row>
    <row r="4181" spans="1:12">
      <c r="A4181" s="20" t="s">
        <v>2119</v>
      </c>
      <c r="B4181" s="21" t="s">
        <v>995</v>
      </c>
      <c r="C4181" s="21" t="s">
        <v>996</v>
      </c>
      <c r="D4181" s="21" t="s">
        <v>997</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2174</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2175</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1008</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1079</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2177</v>
      </c>
      <c r="B4186" s="21" t="s">
        <v>1005</v>
      </c>
      <c r="C4186" s="21" t="s">
        <v>1068</v>
      </c>
      <c r="D4186" s="21" t="s">
        <v>997</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1003</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1932</v>
      </c>
      <c r="B4188" s="21" t="s">
        <v>1010</v>
      </c>
      <c r="C4188" s="21" t="s">
        <v>1006</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1041</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1007</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1000</v>
      </c>
      <c r="B4191" s="21" t="s">
        <v>1142</v>
      </c>
      <c r="C4191" s="21" t="s">
        <v>996</v>
      </c>
      <c r="D4191" s="21" t="s">
        <v>997</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2178</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2179</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1191</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1061</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1268</v>
      </c>
      <c r="B4196" s="21" t="s">
        <v>1005</v>
      </c>
      <c r="C4196" s="21" t="s">
        <v>1034</v>
      </c>
      <c r="D4196" s="21" t="s">
        <v>997</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1008</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2180</v>
      </c>
      <c r="B4198" s="21" t="s">
        <v>1010</v>
      </c>
      <c r="C4198" s="21" t="s">
        <v>1006</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2181</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2182</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2183</v>
      </c>
      <c r="B4201" s="21" t="s">
        <v>1010</v>
      </c>
      <c r="C4201" s="21" t="s">
        <v>1006</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1191</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1065</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1854</v>
      </c>
      <c r="B4204" s="21" t="s">
        <v>1024</v>
      </c>
      <c r="C4204" s="21" t="s">
        <v>1068</v>
      </c>
      <c r="D4204" s="21" t="s">
        <v>997</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2184</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1011</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row>
    <row r="4208" spans="1:12">
      <c r="A4208" s="20" t="s">
        <v>2185</v>
      </c>
    </row>
    <row r="4209" spans="1:12">
      <c r="A4209" s="20" t="s">
        <v>1466</v>
      </c>
      <c r="B4209" s="21" t="s">
        <v>995</v>
      </c>
      <c r="C4209" s="21" t="s">
        <v>996</v>
      </c>
      <c r="D4209" s="21" t="s">
        <v>997</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1170</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1647</v>
      </c>
      <c r="B4211" s="21" t="s">
        <v>1067</v>
      </c>
      <c r="C4211" s="21" t="s">
        <v>1006</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1003</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2186</v>
      </c>
      <c r="B4213" s="21" t="s">
        <v>1067</v>
      </c>
      <c r="C4213" s="21" t="s">
        <v>1006</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1049</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1061</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2187</v>
      </c>
      <c r="B4216" s="21" t="s">
        <v>1067</v>
      </c>
      <c r="C4216" s="21" t="s">
        <v>1034</v>
      </c>
      <c r="D4216" s="21" t="s">
        <v>997</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1041</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1144</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2188</v>
      </c>
      <c r="B4219" s="21" t="s">
        <v>1067</v>
      </c>
      <c r="C4219" s="21" t="s">
        <v>1089</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1203</v>
      </c>
      <c r="B4220" s="21" t="s">
        <v>1005</v>
      </c>
      <c r="C4220" s="21" t="s">
        <v>1006</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1041</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1581</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2189</v>
      </c>
      <c r="B4223" s="21" t="s">
        <v>1067</v>
      </c>
      <c r="C4223" s="21" t="s">
        <v>1006</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1007</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2190</v>
      </c>
      <c r="B4225" s="21" t="s">
        <v>1005</v>
      </c>
      <c r="C4225" s="21" t="s">
        <v>1006</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1041</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1305</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1146</v>
      </c>
      <c r="B4228" s="21" t="s">
        <v>1067</v>
      </c>
      <c r="C4228" s="21" t="s">
        <v>1239</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1080</v>
      </c>
      <c r="B4229" s="21" t="s">
        <v>1027</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2191</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1018</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2192</v>
      </c>
      <c r="B4232" s="21" t="s">
        <v>1039</v>
      </c>
      <c r="C4232" s="21" t="s">
        <v>1089</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1008</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1135</v>
      </c>
      <c r="B4234" s="21" t="s">
        <v>1024</v>
      </c>
      <c r="C4234" s="21" t="s">
        <v>1006</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1011</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row>
    <row r="4237" spans="1:12">
      <c r="A4237" s="20" t="s">
        <v>2193</v>
      </c>
    </row>
    <row r="4238" spans="1:12">
      <c r="A4238" s="20" t="s">
        <v>1466</v>
      </c>
      <c r="B4238" s="21" t="s">
        <v>995</v>
      </c>
      <c r="C4238" s="21" t="s">
        <v>996</v>
      </c>
      <c r="D4238" s="21" t="s">
        <v>997</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1046</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158</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1297</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1061</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2194</v>
      </c>
      <c r="B4243" s="21" t="s">
        <v>1001</v>
      </c>
      <c r="C4243" s="21" t="s">
        <v>1034</v>
      </c>
      <c r="D4243" s="21" t="s">
        <v>997</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1011</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row>
    <row r="4246" spans="1:12">
      <c r="A4246" s="20" t="s">
        <v>2195</v>
      </c>
    </row>
    <row r="4247" spans="1:12">
      <c r="A4247" s="20" t="s">
        <v>1466</v>
      </c>
      <c r="B4247" s="21" t="s">
        <v>995</v>
      </c>
      <c r="C4247" s="21" t="s">
        <v>996</v>
      </c>
      <c r="D4247" s="21" t="s">
        <v>997</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1170</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1647</v>
      </c>
      <c r="B4249" s="21" t="s">
        <v>1067</v>
      </c>
      <c r="C4249" s="21" t="s">
        <v>1006</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1022</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1079</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2196</v>
      </c>
      <c r="B4252" s="21" t="s">
        <v>1142</v>
      </c>
      <c r="C4252" s="21" t="s">
        <v>1068</v>
      </c>
      <c r="D4252" s="21" t="s">
        <v>997</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2197</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1054</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2198</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1041</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1054</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2199</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1041</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1084</v>
      </c>
      <c r="B4260" s="21" t="s">
        <v>1010</v>
      </c>
      <c r="C4260" s="21" t="s">
        <v>1133</v>
      </c>
      <c r="D4260" s="21" t="s">
        <v>997</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2048</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1037</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2028</v>
      </c>
      <c r="B4263" s="21" t="s">
        <v>1005</v>
      </c>
      <c r="C4263" s="21" t="s">
        <v>1034</v>
      </c>
      <c r="D4263" s="21" t="s">
        <v>997</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1041</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1037</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2075</v>
      </c>
      <c r="B4266" s="21" t="s">
        <v>1005</v>
      </c>
      <c r="C4266" s="21" t="s">
        <v>1034</v>
      </c>
      <c r="D4266" s="21" t="s">
        <v>997</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1022</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1061</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2200</v>
      </c>
      <c r="B4269" s="21" t="s">
        <v>1114</v>
      </c>
      <c r="C4269" s="21" t="s">
        <v>1034</v>
      </c>
      <c r="D4269" s="21" t="s">
        <v>997</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2201</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1011</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row>
    <row r="4273" spans="1:12">
      <c r="A4273" s="20" t="s">
        <v>2202</v>
      </c>
    </row>
    <row r="4274" spans="1:12">
      <c r="A4274" s="20" t="s">
        <v>1234</v>
      </c>
      <c r="B4274" s="21" t="s">
        <v>995</v>
      </c>
      <c r="C4274" s="21" t="s">
        <v>1015</v>
      </c>
      <c r="D4274" s="21" t="s">
        <v>997</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423</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1018</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2131</v>
      </c>
      <c r="B4277" s="21" t="s">
        <v>1067</v>
      </c>
      <c r="C4277" s="21" t="s">
        <v>1089</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1138</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1041</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1249</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1547</v>
      </c>
      <c r="B4281" s="21" t="s">
        <v>1142</v>
      </c>
      <c r="C4281" s="21" t="s">
        <v>996</v>
      </c>
      <c r="D4281" s="21" t="s">
        <v>997</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1667</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1022</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1044</v>
      </c>
      <c r="B4284" s="21" t="s">
        <v>1027</v>
      </c>
      <c r="C4284" s="21" t="s">
        <v>996</v>
      </c>
      <c r="D4284" s="21" t="s">
        <v>997</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1179</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1060</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2203</v>
      </c>
      <c r="B4287" s="21" t="s">
        <v>1039</v>
      </c>
      <c r="C4287" s="21" t="s">
        <v>1034</v>
      </c>
      <c r="D4287" s="21" t="s">
        <v>997</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row>
    <row r="4289" spans="1:12">
      <c r="A4289" s="20" t="s">
        <v>2204</v>
      </c>
    </row>
    <row r="4290" spans="1:12">
      <c r="A4290" s="20" t="s">
        <v>2205</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1011</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row>
    <row r="4293" spans="1:12">
      <c r="A4293" s="20" t="s">
        <v>2206</v>
      </c>
    </row>
    <row r="4294" spans="1:12">
      <c r="A4294" s="20" t="s">
        <v>1611</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713</v>
      </c>
      <c r="B4295" s="21" t="s">
        <v>1067</v>
      </c>
      <c r="C4295" s="21" t="s">
        <v>1095</v>
      </c>
      <c r="D4295" s="21" t="s">
        <v>997</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1613</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2207</v>
      </c>
      <c r="B4297" s="21" t="s">
        <v>1067</v>
      </c>
      <c r="C4297" s="21" t="s">
        <v>1095</v>
      </c>
      <c r="D4297" s="21" t="s">
        <v>997</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2208</v>
      </c>
      <c r="B4298" s="21" t="s">
        <v>1067</v>
      </c>
      <c r="C4298" s="21" t="s">
        <v>1095</v>
      </c>
      <c r="D4298" s="21" t="s">
        <v>997</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1513</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994</v>
      </c>
      <c r="B4300" s="21" t="s">
        <v>1142</v>
      </c>
      <c r="C4300" s="21" t="s">
        <v>996</v>
      </c>
      <c r="D4300" s="21" t="s">
        <v>997</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1000</v>
      </c>
      <c r="B4301" s="21" t="s">
        <v>1001</v>
      </c>
      <c r="C4301" s="21" t="s">
        <v>996</v>
      </c>
      <c r="D4301" s="21" t="s">
        <v>997</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2209</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row>
    <row r="4304" spans="1:12">
      <c r="A4304" s="20" t="s">
        <v>2204</v>
      </c>
    </row>
    <row r="4305" spans="1:12">
      <c r="A4305" s="20" t="s">
        <v>2205</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1011</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row>
    <row r="4308" spans="1:12">
      <c r="A4308" s="20" t="s">
        <v>2204</v>
      </c>
    </row>
    <row r="4309" spans="1:12">
      <c r="A4309" s="20" t="s">
        <v>2205</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1011</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row>
    <row r="4312" spans="1:12">
      <c r="A4312" s="20" t="s">
        <v>2210</v>
      </c>
    </row>
    <row r="4313" spans="1:12">
      <c r="A4313" s="20" t="s">
        <v>2211</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1049</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1057</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2212</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1041</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1029</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2213</v>
      </c>
      <c r="B4319" s="21" t="s">
        <v>1010</v>
      </c>
      <c r="C4319" s="21" t="s">
        <v>1028</v>
      </c>
      <c r="D4319" s="21" t="s">
        <v>997</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1008</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1941</v>
      </c>
      <c r="B4321" s="21" t="s">
        <v>1024</v>
      </c>
      <c r="C4321" s="21" t="s">
        <v>1095</v>
      </c>
      <c r="D4321" s="21" t="s">
        <v>997</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1041</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1547</v>
      </c>
      <c r="B4323" s="21" t="s">
        <v>995</v>
      </c>
      <c r="C4323" s="21" t="s">
        <v>996</v>
      </c>
      <c r="D4323" s="21" t="s">
        <v>997</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1548</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338</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1041</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1116</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1003</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1386</v>
      </c>
      <c r="B4329" s="21" t="s">
        <v>1024</v>
      </c>
      <c r="C4329" s="21" t="s">
        <v>1006</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1041</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1723</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2214</v>
      </c>
      <c r="B4332" s="21" t="s">
        <v>1027</v>
      </c>
      <c r="C4332" s="21" t="s">
        <v>996</v>
      </c>
      <c r="D4332" s="21" t="s">
        <v>997</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2215</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1144</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1618</v>
      </c>
      <c r="B4335" s="21" t="s">
        <v>1088</v>
      </c>
      <c r="C4335" s="21" t="s">
        <v>1089</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1008</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1060</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2216</v>
      </c>
      <c r="B4338" s="21" t="s">
        <v>1112</v>
      </c>
      <c r="C4338" s="21" t="s">
        <v>1034</v>
      </c>
      <c r="D4338" s="21" t="s">
        <v>997</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1008</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1037</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2217</v>
      </c>
      <c r="B4341" s="21" t="s">
        <v>1182</v>
      </c>
      <c r="C4341" s="21" t="s">
        <v>1034</v>
      </c>
      <c r="D4341" s="21" t="s">
        <v>997</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1022</v>
      </c>
      <c r="B4342" s="21" t="s">
        <v>1656</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1014</v>
      </c>
      <c r="B4343" s="21" t="s">
        <v>1653</v>
      </c>
      <c r="C4343" s="21" t="s">
        <v>1015</v>
      </c>
      <c r="D4343" s="21" t="s">
        <v>997</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1319</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1275</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row>
    <row r="4347" spans="1:12">
      <c r="A4347" s="20" t="s">
        <v>2218</v>
      </c>
    </row>
    <row r="4348" spans="1:12">
      <c r="A4348" s="20" t="s">
        <v>725</v>
      </c>
      <c r="B4348" s="21" t="s">
        <v>1067</v>
      </c>
      <c r="C4348" s="21" t="s">
        <v>1095</v>
      </c>
      <c r="D4348" s="21" t="s">
        <v>997</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2219</v>
      </c>
      <c r="B4349" s="21" t="s">
        <v>1067</v>
      </c>
      <c r="C4349" s="21" t="s">
        <v>1095</v>
      </c>
      <c r="D4349" s="21" t="s">
        <v>997</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1513</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1316</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2220</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1061</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2221</v>
      </c>
      <c r="B4354" s="21" t="s">
        <v>1001</v>
      </c>
      <c r="C4354" s="21" t="s">
        <v>1034</v>
      </c>
      <c r="D4354" s="21" t="s">
        <v>997</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1581</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1061</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2222</v>
      </c>
      <c r="B4357" s="21" t="s">
        <v>1005</v>
      </c>
      <c r="C4357" s="21" t="s">
        <v>1034</v>
      </c>
      <c r="D4357" s="21" t="s">
        <v>997</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1041</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2223</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1037</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2224</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1266</v>
      </c>
      <c r="B4362" s="21" t="s">
        <v>1039</v>
      </c>
      <c r="C4362" s="21" t="s">
        <v>1034</v>
      </c>
      <c r="D4362" s="21" t="s">
        <v>997</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1041</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1079</v>
      </c>
      <c r="B4364" s="21" t="s">
        <v>1005</v>
      </c>
      <c r="C4364" s="21" t="s">
        <v>1015</v>
      </c>
      <c r="D4364" s="21" t="s">
        <v>997</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1022</v>
      </c>
      <c r="B4365" s="21" t="s">
        <v>1088</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1044</v>
      </c>
      <c r="B4366" s="21" t="s">
        <v>1114</v>
      </c>
      <c r="C4366" s="21" t="s">
        <v>996</v>
      </c>
      <c r="D4366" s="21" t="s">
        <v>997</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1170</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1070</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1041</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737</v>
      </c>
      <c r="B4370" s="21" t="s">
        <v>1027</v>
      </c>
      <c r="C4370" s="21" t="s">
        <v>1015</v>
      </c>
      <c r="D4370" s="21" t="s">
        <v>997</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1077</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1426</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1826</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1069</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2225</v>
      </c>
      <c r="B4375" s="21" t="s">
        <v>1010</v>
      </c>
      <c r="C4375" s="21" t="s">
        <v>1006</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1008</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2226</v>
      </c>
      <c r="B4377" s="21" t="s">
        <v>1024</v>
      </c>
      <c r="C4377" s="21" t="s">
        <v>1006</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1041</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1007</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1168</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1069</v>
      </c>
      <c r="B4381" s="21" t="s">
        <v>1112</v>
      </c>
      <c r="C4381" s="21" t="s">
        <v>1133</v>
      </c>
      <c r="D4381" s="21" t="s">
        <v>997</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1745</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2227</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2228</v>
      </c>
      <c r="B4384" s="21" t="s">
        <v>1112</v>
      </c>
      <c r="C4384" s="21" t="s">
        <v>1025</v>
      </c>
      <c r="D4384" s="21" t="s">
        <v>997</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2229</v>
      </c>
      <c r="B4385" s="21" t="s">
        <v>1088</v>
      </c>
      <c r="C4385" s="21" t="s">
        <v>1028</v>
      </c>
      <c r="D4385" s="21" t="s">
        <v>997</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1109</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1018</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1988</v>
      </c>
      <c r="B4388" s="21" t="s">
        <v>1024</v>
      </c>
      <c r="C4388" s="21" t="s">
        <v>1089</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2230</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1049</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1227</v>
      </c>
      <c r="B4391" s="21" t="s">
        <v>1301</v>
      </c>
      <c r="C4391" s="21" t="s">
        <v>996</v>
      </c>
      <c r="D4391" s="21" t="s">
        <v>997</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2231</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1082</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1257</v>
      </c>
      <c r="B4394" s="21" t="s">
        <v>1094</v>
      </c>
      <c r="C4394" s="21" t="s">
        <v>996</v>
      </c>
      <c r="D4394" s="21" t="s">
        <v>997</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1648</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1957</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1041</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1194</v>
      </c>
      <c r="B4398" s="21" t="s">
        <v>1114</v>
      </c>
      <c r="C4398" s="21" t="s">
        <v>1133</v>
      </c>
      <c r="D4398" s="21" t="s">
        <v>997</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2232</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1826</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1109</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1037</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1883</v>
      </c>
      <c r="B4403" s="21" t="s">
        <v>1024</v>
      </c>
      <c r="C4403" s="21" t="s">
        <v>1034</v>
      </c>
      <c r="D4403" s="21" t="s">
        <v>997</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1008</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2226</v>
      </c>
      <c r="B4405" s="21" t="s">
        <v>1112</v>
      </c>
      <c r="C4405" s="21" t="s">
        <v>1006</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row>
    <row r="4407" spans="1:12">
      <c r="A4407" s="20" t="s">
        <v>2233</v>
      </c>
    </row>
    <row r="4408" spans="1:12">
      <c r="A4408" s="20" t="s">
        <v>1076</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1054</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1706</v>
      </c>
      <c r="B4410" s="21" t="s">
        <v>995</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423</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1032</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2234</v>
      </c>
      <c r="B4413" s="21" t="s">
        <v>1067</v>
      </c>
      <c r="C4413" s="21" t="s">
        <v>1034</v>
      </c>
      <c r="D4413" s="21" t="s">
        <v>997</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1008</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1061</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1988</v>
      </c>
      <c r="B4416" s="21" t="s">
        <v>1067</v>
      </c>
      <c r="C4416" s="21" t="s">
        <v>1034</v>
      </c>
      <c r="D4416" s="21" t="s">
        <v>997</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2235</v>
      </c>
      <c r="B4417" s="21" t="s">
        <v>1005</v>
      </c>
      <c r="C4417" s="21" t="s">
        <v>1006</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1041</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1300</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1037</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1776</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1052</v>
      </c>
      <c r="B4422" s="21" t="s">
        <v>1001</v>
      </c>
      <c r="C4422" s="21" t="s">
        <v>1034</v>
      </c>
      <c r="D4422" s="21" t="s">
        <v>997</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1041</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1300</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1061</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2236</v>
      </c>
      <c r="B4426" s="21" t="s">
        <v>1039</v>
      </c>
      <c r="C4426" s="21" t="s">
        <v>1034</v>
      </c>
      <c r="D4426" s="21" t="s">
        <v>997</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1041</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1060</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2237</v>
      </c>
      <c r="B4429" s="21" t="s">
        <v>1142</v>
      </c>
      <c r="C4429" s="21" t="s">
        <v>1034</v>
      </c>
      <c r="D4429" s="21" t="s">
        <v>997</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2238</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1371</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1194</v>
      </c>
      <c r="B4432" s="21" t="s">
        <v>1027</v>
      </c>
      <c r="C4432" s="21" t="s">
        <v>1133</v>
      </c>
      <c r="D4432" s="21" t="s">
        <v>997</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2239</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1061</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1779</v>
      </c>
      <c r="B4435" s="21" t="s">
        <v>1039</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1011</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row>
    <row r="4438" spans="1:12">
      <c r="A4438" s="20" t="s">
        <v>2240</v>
      </c>
    </row>
    <row r="4439" spans="1:12">
      <c r="A4439" s="20" t="s">
        <v>2241</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1717</v>
      </c>
      <c r="B4440" s="21" t="s">
        <v>1005</v>
      </c>
      <c r="C4440" s="21" t="s">
        <v>1006</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1022</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1061</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1779</v>
      </c>
      <c r="B4443" s="21" t="s">
        <v>1027</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1702</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2242</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1041</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1141</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1116</v>
      </c>
      <c r="B4448" s="21" t="s">
        <v>995</v>
      </c>
      <c r="C4448" s="21" t="s">
        <v>1133</v>
      </c>
      <c r="D4448" s="21" t="s">
        <v>997</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2243</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1487</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2244</v>
      </c>
      <c r="B4451" s="21" t="s">
        <v>1067</v>
      </c>
      <c r="C4451" s="21" t="s">
        <v>1006</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1041</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1230</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737</v>
      </c>
      <c r="B4454" s="21" t="s">
        <v>1027</v>
      </c>
      <c r="C4454" s="21" t="s">
        <v>1015</v>
      </c>
      <c r="D4454" s="21" t="s">
        <v>997</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2245</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1144</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2246</v>
      </c>
      <c r="B4457" s="21" t="s">
        <v>1039</v>
      </c>
      <c r="C4457" s="21" t="s">
        <v>1089</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1041</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1581</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1008</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1037</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2247</v>
      </c>
      <c r="B4462" s="21" t="s">
        <v>1010</v>
      </c>
      <c r="C4462" s="21" t="s">
        <v>1034</v>
      </c>
      <c r="D4462" s="21" t="s">
        <v>997</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1342</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1007</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1144</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1780</v>
      </c>
      <c r="B4466" s="21" t="s">
        <v>1024</v>
      </c>
      <c r="C4466" s="21" t="s">
        <v>1089</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1003</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1004</v>
      </c>
      <c r="B4468" s="21" t="s">
        <v>1112</v>
      </c>
      <c r="C4468" s="21" t="s">
        <v>1006</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1041</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2248</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1475</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1008</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2249</v>
      </c>
      <c r="B4473" s="21" t="s">
        <v>1112</v>
      </c>
      <c r="C4473" s="21" t="s">
        <v>1015</v>
      </c>
      <c r="D4473" s="21" t="s">
        <v>997</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1008</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1061</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1530</v>
      </c>
      <c r="B4476" s="21" t="s">
        <v>1182</v>
      </c>
      <c r="C4476" s="21" t="s">
        <v>1034</v>
      </c>
      <c r="D4476" s="21" t="s">
        <v>997</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1022</v>
      </c>
      <c r="B4477" s="21" t="s">
        <v>1656</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1044</v>
      </c>
      <c r="B4478" s="21" t="s">
        <v>1653</v>
      </c>
      <c r="C4478" s="21" t="s">
        <v>996</v>
      </c>
      <c r="D4478" s="21" t="s">
        <v>997</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2250</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1011</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row>
    <row r="4482" spans="1:12">
      <c r="A4482" s="20" t="s">
        <v>2251</v>
      </c>
    </row>
    <row r="4483" spans="1:12">
      <c r="A4483" s="20" t="s">
        <v>2252</v>
      </c>
      <c r="B4483" s="21" t="s">
        <v>1067</v>
      </c>
      <c r="C4483" s="21" t="s">
        <v>1015</v>
      </c>
      <c r="D4483" s="21" t="s">
        <v>997</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1513</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1365</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1041</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1049</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1190</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2212</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1041</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1014</v>
      </c>
      <c r="B4491" s="21" t="s">
        <v>1142</v>
      </c>
      <c r="C4491" s="21" t="s">
        <v>1015</v>
      </c>
      <c r="D4491" s="21" t="s">
        <v>997</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2253</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1008</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1476</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1041</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2254</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1109</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1061</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2255</v>
      </c>
      <c r="B4499" s="21" t="s">
        <v>1024</v>
      </c>
      <c r="C4499" s="21" t="s">
        <v>1034</v>
      </c>
      <c r="D4499" s="21" t="s">
        <v>997</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1041</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1305</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1146</v>
      </c>
      <c r="B4502" s="21" t="s">
        <v>1001</v>
      </c>
      <c r="C4502" s="21" t="s">
        <v>1239</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1487</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1144</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1594</v>
      </c>
      <c r="B4505" s="21" t="s">
        <v>1010</v>
      </c>
      <c r="C4505" s="21" t="s">
        <v>1089</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1008</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2256</v>
      </c>
      <c r="B4507" s="21" t="s">
        <v>1024</v>
      </c>
      <c r="C4507" s="21" t="s">
        <v>1006</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2257</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1008</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1748</v>
      </c>
      <c r="B4510" s="21" t="s">
        <v>1112</v>
      </c>
      <c r="C4510" s="21" t="s">
        <v>1006</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1530</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1041</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2258</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1008</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1982</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1944</v>
      </c>
      <c r="B4516" s="21" t="s">
        <v>1182</v>
      </c>
      <c r="C4516" s="21" t="s">
        <v>1068</v>
      </c>
      <c r="D4516" s="21" t="s">
        <v>997</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2002</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1041</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1007</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1752</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1061</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2007</v>
      </c>
      <c r="B4522" s="21" t="s">
        <v>1094</v>
      </c>
      <c r="C4522" s="21" t="s">
        <v>1034</v>
      </c>
      <c r="D4522" s="21" t="s">
        <v>997</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2259</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1191</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1061</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1267</v>
      </c>
      <c r="B4526" s="21" t="s">
        <v>1182</v>
      </c>
      <c r="C4526" s="21" t="s">
        <v>1034</v>
      </c>
      <c r="D4526" s="21" t="s">
        <v>997</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1007</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2260</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2261</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1061</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2262</v>
      </c>
      <c r="B4531" s="21" t="s">
        <v>1092</v>
      </c>
      <c r="C4531" s="21" t="s">
        <v>1034</v>
      </c>
      <c r="D4531" s="21" t="s">
        <v>997</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1275</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row>
    <row r="4534" spans="1:12">
      <c r="A4534" s="20" t="s">
        <v>2263</v>
      </c>
    </row>
    <row r="4535" spans="1:12">
      <c r="A4535" s="20" t="s">
        <v>741</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1513</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1234</v>
      </c>
      <c r="B4537" s="21" t="s">
        <v>1142</v>
      </c>
      <c r="C4537" s="21" t="s">
        <v>1015</v>
      </c>
      <c r="D4537" s="21" t="s">
        <v>997</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423</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737</v>
      </c>
      <c r="B4539" s="21" t="s">
        <v>1067</v>
      </c>
      <c r="C4539" s="21" t="s">
        <v>1015</v>
      </c>
      <c r="D4539" s="21" t="s">
        <v>997</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1011</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row>
    <row r="4542" spans="1:12">
      <c r="A4542" s="20" t="s">
        <v>2264</v>
      </c>
    </row>
    <row r="4543" spans="1:12">
      <c r="A4543" s="20" t="s">
        <v>2265</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1041</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1194</v>
      </c>
      <c r="B4545" s="21" t="s">
        <v>995</v>
      </c>
      <c r="C4545" s="21" t="s">
        <v>1133</v>
      </c>
      <c r="D4545" s="21" t="s">
        <v>997</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1306</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2266</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2267</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1061</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1988</v>
      </c>
      <c r="B4550" s="21" t="s">
        <v>1001</v>
      </c>
      <c r="C4550" s="21" t="s">
        <v>1034</v>
      </c>
      <c r="D4550" s="21" t="s">
        <v>997</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1069</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1774</v>
      </c>
      <c r="B4552" s="21" t="s">
        <v>1010</v>
      </c>
      <c r="C4552" s="21" t="s">
        <v>1006</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1041</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737</v>
      </c>
      <c r="B4554" s="21" t="s">
        <v>1142</v>
      </c>
      <c r="C4554" s="21" t="s">
        <v>1015</v>
      </c>
      <c r="D4554" s="21" t="s">
        <v>997</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2268</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1287</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1250</v>
      </c>
      <c r="B4557" s="21" t="s">
        <v>1001</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1008</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1560</v>
      </c>
      <c r="B4559" s="21" t="s">
        <v>1010</v>
      </c>
      <c r="C4559" s="21" t="s">
        <v>1006</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1007</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1250</v>
      </c>
      <c r="B4561" s="21" t="s">
        <v>1045</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1008</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2269</v>
      </c>
      <c r="B4563" s="21" t="s">
        <v>1182</v>
      </c>
      <c r="C4563" s="21" t="s">
        <v>1006</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1226</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2270</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2271</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1041</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1487</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1544</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1083</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1540</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1060</v>
      </c>
      <c r="B4572" s="21" t="s">
        <v>1656</v>
      </c>
      <c r="C4572" s="21" t="s">
        <v>996</v>
      </c>
      <c r="D4572" s="21" t="s">
        <v>997</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2272</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1041</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1007</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1084</v>
      </c>
      <c r="B4576" s="21" t="s">
        <v>1053</v>
      </c>
      <c r="C4576" s="21" t="s">
        <v>1133</v>
      </c>
      <c r="D4576" s="21" t="s">
        <v>997</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158</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2273</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1007</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224</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1008</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1037</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1042</v>
      </c>
      <c r="B4583" s="21" t="s">
        <v>1709</v>
      </c>
      <c r="C4583" s="21" t="s">
        <v>1034</v>
      </c>
      <c r="D4583" s="21" t="s">
        <v>997</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1011</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row>
    <row r="4586" spans="1:12">
      <c r="A4586" s="20" t="s">
        <v>2274</v>
      </c>
    </row>
    <row r="4587" spans="1:12">
      <c r="A4587" s="20" t="s">
        <v>1338</v>
      </c>
      <c r="B4587" s="21" t="s">
        <v>995</v>
      </c>
      <c r="C4587" s="21" t="s">
        <v>1015</v>
      </c>
      <c r="D4587" s="21" t="s">
        <v>997</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1339</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423</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1097</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2275</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1011</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row>
    <row r="4594" spans="1:12">
      <c r="A4594" s="20" t="s">
        <v>2276</v>
      </c>
    </row>
    <row r="4595" spans="1:12">
      <c r="A4595" s="20" t="s">
        <v>1059</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1141</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1194</v>
      </c>
      <c r="B4597" s="21" t="s">
        <v>1142</v>
      </c>
      <c r="C4597" s="21" t="s">
        <v>1133</v>
      </c>
      <c r="D4597" s="21" t="s">
        <v>997</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1154</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1018</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1774</v>
      </c>
      <c r="B4600" s="21" t="s">
        <v>1001</v>
      </c>
      <c r="C4600" s="21" t="s">
        <v>1089</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1137</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2275</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2187</v>
      </c>
      <c r="B4603" s="21" t="s">
        <v>1010</v>
      </c>
      <c r="C4603" s="21" t="s">
        <v>1006</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1082</v>
      </c>
      <c r="B4604" s="21" t="s">
        <v>1301</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1194</v>
      </c>
      <c r="B4605" s="21" t="s">
        <v>1114</v>
      </c>
      <c r="C4605" s="21" t="s">
        <v>1133</v>
      </c>
      <c r="D4605" s="21" t="s">
        <v>997</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1016</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1084</v>
      </c>
      <c r="B4607" s="21" t="s">
        <v>1301</v>
      </c>
      <c r="C4607" s="21" t="s">
        <v>1133</v>
      </c>
      <c r="D4607" s="21" t="s">
        <v>997</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1694</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1049</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247</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2277</v>
      </c>
      <c r="B4611" s="21" t="s">
        <v>1112</v>
      </c>
      <c r="C4611" s="21" t="s">
        <v>1295</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12</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2278</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2279</v>
      </c>
      <c r="B4614" s="21" t="s">
        <v>1101</v>
      </c>
      <c r="C4614" s="21" t="s">
        <v>1133</v>
      </c>
      <c r="D4614" s="21" t="s">
        <v>997</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1117</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1487</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1029</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1144</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1986</v>
      </c>
      <c r="B4619" s="21" t="s">
        <v>1005</v>
      </c>
      <c r="C4619" s="21" t="s">
        <v>1089</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12</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1061</v>
      </c>
      <c r="B4621" s="21" t="s">
        <v>1001</v>
      </c>
      <c r="C4621" s="21" t="s">
        <v>996</v>
      </c>
      <c r="D4621" s="21" t="s">
        <v>997</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401</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1246</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2116</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32</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1805</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1065</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2280</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1734</v>
      </c>
      <c r="B4629" s="21" t="s">
        <v>1039</v>
      </c>
      <c r="C4629" s="21" t="s">
        <v>1068</v>
      </c>
      <c r="D4629" s="21" t="s">
        <v>997</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2281</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1011</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row>
    <row r="4633" spans="1:12">
      <c r="A4633" s="20" t="s">
        <v>2282</v>
      </c>
    </row>
    <row r="4634" spans="1:12">
      <c r="A4634" s="20" t="s">
        <v>1099</v>
      </c>
      <c r="B4634" s="21" t="s">
        <v>995</v>
      </c>
      <c r="C4634" s="21" t="s">
        <v>996</v>
      </c>
      <c r="D4634" s="21" t="s">
        <v>997</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423</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1246</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1041</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1083</v>
      </c>
      <c r="B4638" s="21" t="s">
        <v>995</v>
      </c>
      <c r="C4638" s="21" t="s">
        <v>996</v>
      </c>
      <c r="D4638" s="21" t="s">
        <v>997</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1189</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269</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1813</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1037</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247</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2277</v>
      </c>
      <c r="B4644" s="21" t="s">
        <v>1005</v>
      </c>
      <c r="C4644" s="21" t="s">
        <v>1034</v>
      </c>
      <c r="D4644" s="21" t="s">
        <v>997</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1007</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1752</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1175</v>
      </c>
      <c r="B4647" s="21" t="s">
        <v>1027</v>
      </c>
      <c r="C4647" s="21" t="s">
        <v>1015</v>
      </c>
      <c r="D4647" s="21" t="s">
        <v>997</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423</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2283</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1011</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row>
    <row r="4652" spans="1:12">
      <c r="A4652" s="20" t="s">
        <v>2284</v>
      </c>
    </row>
    <row r="4653" spans="1:12">
      <c r="A4653" s="20" t="s">
        <v>2252</v>
      </c>
      <c r="B4653" s="21" t="s">
        <v>1067</v>
      </c>
      <c r="C4653" s="21" t="s">
        <v>1015</v>
      </c>
      <c r="D4653" s="21" t="s">
        <v>997</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1513</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1099</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1227</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1789</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1003</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1144</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1786</v>
      </c>
      <c r="B4660" s="21" t="s">
        <v>1005</v>
      </c>
      <c r="C4660" s="21" t="s">
        <v>1089</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1530</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1080</v>
      </c>
      <c r="B4662" s="21" t="s">
        <v>1114</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423</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2285</v>
      </c>
      <c r="B4664" s="21" t="s">
        <v>1112</v>
      </c>
      <c r="C4664" s="21" t="s">
        <v>1025</v>
      </c>
      <c r="D4664" s="21" t="s">
        <v>997</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2286</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1728</v>
      </c>
      <c r="B4666" s="21" t="s">
        <v>1088</v>
      </c>
      <c r="C4666" s="21" t="s">
        <v>1028</v>
      </c>
      <c r="D4666" s="21" t="s">
        <v>997</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1003</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2287</v>
      </c>
      <c r="B4668" s="21" t="s">
        <v>1112</v>
      </c>
      <c r="C4668" s="21" t="s">
        <v>1006</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1008</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1037</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1721</v>
      </c>
      <c r="B4671" s="21" t="s">
        <v>1182</v>
      </c>
      <c r="C4671" s="21" t="s">
        <v>1034</v>
      </c>
      <c r="D4671" s="21" t="s">
        <v>997</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1011</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row>
    <row r="4674" spans="1:12">
      <c r="A4674" s="20" t="s">
        <v>2288</v>
      </c>
    </row>
    <row r="4675" spans="1:12">
      <c r="A4675" s="20" t="s">
        <v>741</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1513</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2289</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1011</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row>
    <row r="4680" spans="1:12">
      <c r="A4680" s="20" t="s">
        <v>2290</v>
      </c>
    </row>
    <row r="4681" spans="1:12">
      <c r="A4681" s="20" t="s">
        <v>1880</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1190</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1041</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1079</v>
      </c>
      <c r="B4684" s="21" t="s">
        <v>1010</v>
      </c>
      <c r="C4684" s="21" t="s">
        <v>1015</v>
      </c>
      <c r="D4684" s="21" t="s">
        <v>997</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1080</v>
      </c>
      <c r="B4685" s="21" t="s">
        <v>1045</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1077</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2038</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1581</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1037</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1721</v>
      </c>
      <c r="B4690" s="21" t="s">
        <v>1112</v>
      </c>
      <c r="C4690" s="21" t="s">
        <v>1034</v>
      </c>
      <c r="D4690" s="21" t="s">
        <v>997</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1041</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1175</v>
      </c>
      <c r="B4692" s="21" t="s">
        <v>1142</v>
      </c>
      <c r="C4692" s="21" t="s">
        <v>1015</v>
      </c>
      <c r="D4692" s="21" t="s">
        <v>997</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423</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1022</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1000</v>
      </c>
      <c r="B4695" s="21" t="s">
        <v>1027</v>
      </c>
      <c r="C4695" s="21" t="s">
        <v>996</v>
      </c>
      <c r="D4695" s="21" t="s">
        <v>997</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1723</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1037</v>
      </c>
      <c r="B4697" s="21" t="s">
        <v>1088</v>
      </c>
      <c r="C4697" s="21" t="s">
        <v>996</v>
      </c>
      <c r="D4697" s="21" t="s">
        <v>997</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350</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1073</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2291</v>
      </c>
      <c r="B4700" s="21" t="s">
        <v>1024</v>
      </c>
      <c r="C4700" s="21" t="s">
        <v>1006</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12</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1083</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1084</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1154</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1250</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1325</v>
      </c>
      <c r="B4706" s="21" t="s">
        <v>1101</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1008</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1721</v>
      </c>
      <c r="B4708" s="21" t="s">
        <v>1005</v>
      </c>
      <c r="C4708" s="21" t="s">
        <v>1006</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1581</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1202</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1869</v>
      </c>
      <c r="B4711" s="21" t="s">
        <v>1010</v>
      </c>
      <c r="C4711" s="21" t="s">
        <v>1068</v>
      </c>
      <c r="D4711" s="21" t="s">
        <v>997</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12</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1007</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1752</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1000</v>
      </c>
      <c r="B4715" s="21" t="s">
        <v>1142</v>
      </c>
      <c r="C4715" s="21" t="s">
        <v>996</v>
      </c>
      <c r="D4715" s="21" t="s">
        <v>997</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1723</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1037</v>
      </c>
      <c r="B4717" s="21" t="s">
        <v>1039</v>
      </c>
      <c r="C4717" s="21" t="s">
        <v>996</v>
      </c>
      <c r="D4717" s="21" t="s">
        <v>997</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2292</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1041</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1037</v>
      </c>
      <c r="B4720" s="21" t="s">
        <v>1039</v>
      </c>
      <c r="C4720" s="21" t="s">
        <v>996</v>
      </c>
      <c r="D4720" s="21" t="s">
        <v>997</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1694</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1109</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1018</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1719</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1988</v>
      </c>
      <c r="B4725" s="21" t="s">
        <v>1010</v>
      </c>
      <c r="C4725" s="21" t="s">
        <v>1089</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1007</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269</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1061</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1116</v>
      </c>
      <c r="B4729" s="21" t="s">
        <v>1039</v>
      </c>
      <c r="C4729" s="21" t="s">
        <v>1034</v>
      </c>
      <c r="D4729" s="21" t="s">
        <v>997</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1011</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row>
    <row r="4732" spans="1:12">
      <c r="A4732" s="20" t="s">
        <v>2293</v>
      </c>
    </row>
    <row r="4733" spans="1:12">
      <c r="A4733" s="20" t="s">
        <v>1140</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1070</v>
      </c>
      <c r="B4734" s="21" t="s">
        <v>1005</v>
      </c>
      <c r="C4734" s="21" t="s">
        <v>1006</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1041</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1194</v>
      </c>
      <c r="B4736" s="21" t="s">
        <v>995</v>
      </c>
      <c r="C4736" s="21" t="s">
        <v>1133</v>
      </c>
      <c r="D4736" s="21" t="s">
        <v>997</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2294</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1581</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1037</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1721</v>
      </c>
      <c r="B4740" s="21" t="s">
        <v>1067</v>
      </c>
      <c r="C4740" s="21" t="s">
        <v>1034</v>
      </c>
      <c r="D4740" s="21" t="s">
        <v>997</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1080</v>
      </c>
      <c r="B4741" s="21" t="s">
        <v>1027</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2295</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999</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1041</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1080</v>
      </c>
      <c r="B4745" s="21" t="s">
        <v>1027</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1062</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1109</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1065</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2296</v>
      </c>
      <c r="B4749" s="21" t="s">
        <v>1010</v>
      </c>
      <c r="C4749" s="21" t="s">
        <v>1068</v>
      </c>
      <c r="D4749" s="21" t="s">
        <v>997</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1008</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2297</v>
      </c>
      <c r="B4751" s="21" t="s">
        <v>1024</v>
      </c>
      <c r="C4751" s="21" t="s">
        <v>1006</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1109</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1008</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1037</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2298</v>
      </c>
      <c r="B4755" s="21" t="s">
        <v>1112</v>
      </c>
      <c r="C4755" s="21" t="s">
        <v>1034</v>
      </c>
      <c r="D4755" s="21" t="s">
        <v>997</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2299</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1041</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1273</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1008</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1061</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1988</v>
      </c>
      <c r="B4761" s="21" t="s">
        <v>1024</v>
      </c>
      <c r="C4761" s="21" t="s">
        <v>1034</v>
      </c>
      <c r="D4761" s="21" t="s">
        <v>997</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1011</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row>
    <row r="4764" spans="1:12">
      <c r="A4764" s="20" t="s">
        <v>2300</v>
      </c>
    </row>
    <row r="4765" spans="1:12">
      <c r="A4765" s="20" t="s">
        <v>1234</v>
      </c>
      <c r="B4765" s="21" t="s">
        <v>995</v>
      </c>
      <c r="C4765" s="21" t="s">
        <v>1015</v>
      </c>
      <c r="D4765" s="21" t="s">
        <v>997</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423</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737</v>
      </c>
      <c r="B4767" s="21" t="s">
        <v>1067</v>
      </c>
      <c r="C4767" s="21" t="s">
        <v>1015</v>
      </c>
      <c r="D4767" s="21" t="s">
        <v>997</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1041</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1061</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1774</v>
      </c>
      <c r="B4770" s="21" t="s">
        <v>1067</v>
      </c>
      <c r="C4770" s="21" t="s">
        <v>1034</v>
      </c>
      <c r="D4770" s="21" t="s">
        <v>997</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1581</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1722</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1194</v>
      </c>
      <c r="B4773" s="21" t="s">
        <v>1027</v>
      </c>
      <c r="C4773" s="21" t="s">
        <v>1133</v>
      </c>
      <c r="D4773" s="21" t="s">
        <v>997</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2259</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1011</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row>
    <row r="4777" spans="1:12">
      <c r="A4777" s="20" t="s">
        <v>2301</v>
      </c>
    </row>
    <row r="4778" spans="1:12">
      <c r="A4778" s="20" t="s">
        <v>1338</v>
      </c>
      <c r="B4778" s="21" t="s">
        <v>1067</v>
      </c>
      <c r="C4778" s="21" t="s">
        <v>1015</v>
      </c>
      <c r="D4778" s="21" t="s">
        <v>997</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1080</v>
      </c>
      <c r="B4779" s="21" t="s">
        <v>1027</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1154</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1335</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1018</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408</v>
      </c>
      <c r="B4783" s="21" t="s">
        <v>1005</v>
      </c>
      <c r="C4783" s="21" t="s">
        <v>1089</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1581</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1037</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2302</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1975</v>
      </c>
      <c r="B4787" s="21" t="s">
        <v>1010</v>
      </c>
      <c r="C4787" s="21" t="s">
        <v>1034</v>
      </c>
      <c r="D4787" s="21" t="s">
        <v>997</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1041</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1175</v>
      </c>
      <c r="B4789" s="21" t="s">
        <v>995</v>
      </c>
      <c r="C4789" s="21" t="s">
        <v>1015</v>
      </c>
      <c r="D4789" s="21" t="s">
        <v>997</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423</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1079</v>
      </c>
      <c r="B4791" s="21" t="s">
        <v>1067</v>
      </c>
      <c r="C4791" s="21" t="s">
        <v>1015</v>
      </c>
      <c r="D4791" s="21" t="s">
        <v>997</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1080</v>
      </c>
      <c r="B4792" s="21" t="s">
        <v>1142</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2303</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1061</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2304</v>
      </c>
      <c r="B4795" s="21" t="s">
        <v>1001</v>
      </c>
      <c r="C4795" s="21" t="s">
        <v>1034</v>
      </c>
      <c r="D4795" s="21" t="s">
        <v>997</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1041</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1007</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1194</v>
      </c>
      <c r="B4798" s="21" t="s">
        <v>1142</v>
      </c>
      <c r="C4798" s="21" t="s">
        <v>1133</v>
      </c>
      <c r="D4798" s="21" t="s">
        <v>997</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2305</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2306</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1061</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1726</v>
      </c>
      <c r="B4802" s="21" t="s">
        <v>1001</v>
      </c>
      <c r="C4802" s="21" t="s">
        <v>1034</v>
      </c>
      <c r="D4802" s="21" t="s">
        <v>997</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1008</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1037</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1721</v>
      </c>
      <c r="B4805" s="21" t="s">
        <v>1010</v>
      </c>
      <c r="C4805" s="21" t="s">
        <v>1034</v>
      </c>
      <c r="D4805" s="21" t="s">
        <v>997</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1581</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1079</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2007</v>
      </c>
      <c r="B4808" s="21" t="s">
        <v>1005</v>
      </c>
      <c r="C4808" s="21" t="s">
        <v>1068</v>
      </c>
      <c r="D4808" s="21" t="s">
        <v>997</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1011</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row>
    <row r="4811" spans="1:12">
      <c r="A4811" s="20" t="s">
        <v>2307</v>
      </c>
    </row>
    <row r="4812" spans="1:12">
      <c r="A4812" s="20" t="s">
        <v>2252</v>
      </c>
      <c r="B4812" s="21" t="s">
        <v>1067</v>
      </c>
      <c r="C4812" s="21" t="s">
        <v>1015</v>
      </c>
      <c r="D4812" s="21" t="s">
        <v>997</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1513</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1059</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1544</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1000</v>
      </c>
      <c r="B4816" s="21" t="s">
        <v>1142</v>
      </c>
      <c r="C4816" s="21" t="s">
        <v>996</v>
      </c>
      <c r="D4816" s="21" t="s">
        <v>997</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2308</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1029</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1037</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1560</v>
      </c>
      <c r="B4820" s="21" t="s">
        <v>1005</v>
      </c>
      <c r="C4820" s="21" t="s">
        <v>1034</v>
      </c>
      <c r="D4820" s="21" t="s">
        <v>997</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2309</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1008</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1000</v>
      </c>
      <c r="B4823" s="21" t="s">
        <v>1010</v>
      </c>
      <c r="C4823" s="21" t="s">
        <v>996</v>
      </c>
      <c r="D4823" s="21" t="s">
        <v>997</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1041</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1109</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1061</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1187</v>
      </c>
      <c r="B4827" s="21" t="s">
        <v>1005</v>
      </c>
      <c r="C4827" s="21" t="s">
        <v>1034</v>
      </c>
      <c r="D4827" s="21" t="s">
        <v>997</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2310</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t="s">
        <v>1041</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1008</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1037</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1917</v>
      </c>
      <c r="B4832" s="21" t="s">
        <v>1010</v>
      </c>
      <c r="C4832" s="21" t="s">
        <v>1034</v>
      </c>
      <c r="D4832" s="21" t="s">
        <v>997</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1082</v>
      </c>
      <c r="B4833" s="21" t="s">
        <v>1301</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1194</v>
      </c>
      <c r="B4834" s="21" t="s">
        <v>1045</v>
      </c>
      <c r="C4834" s="21" t="s">
        <v>1133</v>
      </c>
      <c r="D4834" s="21" t="s">
        <v>997</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1154</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1462</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1041</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1090</v>
      </c>
      <c r="B4838" s="21" t="s">
        <v>1043</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2311</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2312</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1278</v>
      </c>
      <c r="B4841" s="21" t="s">
        <v>1094</v>
      </c>
      <c r="C4841" s="21" t="s">
        <v>1133</v>
      </c>
      <c r="D4841" s="21" t="s">
        <v>997</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1061</v>
      </c>
      <c r="B4842" s="21" t="s">
        <v>1043</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1054</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1003</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2313</v>
      </c>
      <c r="B4845" s="21" t="s">
        <v>1092</v>
      </c>
      <c r="C4845" s="21" t="s">
        <v>1006</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1029</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1069</v>
      </c>
      <c r="B4847" s="21" t="s">
        <v>1053</v>
      </c>
      <c r="C4847" s="21" t="s">
        <v>1133</v>
      </c>
      <c r="D4847" s="21" t="s">
        <v>997</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158</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2314</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1305</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1146</v>
      </c>
      <c r="B4851" s="21" t="s">
        <v>1053</v>
      </c>
      <c r="C4851" s="21" t="s">
        <v>1239</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1275</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row>
    <row r="4854" spans="1:12">
      <c r="A4854" s="20" t="s">
        <v>2315</v>
      </c>
    </row>
    <row r="4855" spans="1:12">
      <c r="A4855" s="20" t="s">
        <v>741</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1513</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1880</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1190</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1041</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1044</v>
      </c>
      <c r="B4860" s="21" t="s">
        <v>1027</v>
      </c>
      <c r="C4860" s="21" t="s">
        <v>996</v>
      </c>
      <c r="D4860" s="21" t="s">
        <v>997</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1339</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1170</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1097</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1926</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1008</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1942</v>
      </c>
      <c r="B4866" s="21" t="s">
        <v>1039</v>
      </c>
      <c r="C4866" s="21" t="s">
        <v>1089</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1737</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1041</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1007</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1083</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1084</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1154</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1524</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1065</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2316</v>
      </c>
      <c r="B4875" s="21" t="s">
        <v>1001</v>
      </c>
      <c r="C4875" s="21" t="s">
        <v>1068</v>
      </c>
      <c r="D4875" s="21" t="s">
        <v>997</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1008</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2317</v>
      </c>
      <c r="B4877" s="21" t="s">
        <v>1010</v>
      </c>
      <c r="C4877" s="21" t="s">
        <v>1006</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2318</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1116</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1079</v>
      </c>
      <c r="B4880" s="21" t="s">
        <v>1039</v>
      </c>
      <c r="C4880" s="21" t="s">
        <v>1015</v>
      </c>
      <c r="D4880" s="21" t="s">
        <v>997</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1080</v>
      </c>
      <c r="B4881" s="21" t="s">
        <v>1045</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1077</v>
      </c>
      <c r="B4882" s="21" t="s">
        <v>1301</v>
      </c>
      <c r="C4882" s="21" t="s">
        <v>996</v>
      </c>
      <c r="D4882" s="21" t="s">
        <v>997</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2319</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1029</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1061</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1530</v>
      </c>
      <c r="B4886" s="21" t="s">
        <v>1112</v>
      </c>
      <c r="C4886" s="21" t="s">
        <v>1034</v>
      </c>
      <c r="D4886" s="21" t="s">
        <v>997</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1041</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1230</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1041</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1044</v>
      </c>
      <c r="B4890" s="21" t="s">
        <v>1114</v>
      </c>
      <c r="C4890" s="21" t="s">
        <v>996</v>
      </c>
      <c r="D4890" s="21" t="s">
        <v>997</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2320</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1287</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1250</v>
      </c>
      <c r="B4893" s="21" t="s">
        <v>1088</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1003</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t="s">
        <v>2313</v>
      </c>
      <c r="B4895" s="21" t="s">
        <v>1112</v>
      </c>
      <c r="C4895" s="21" t="s">
        <v>1006</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1041</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1007</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1032</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1924</v>
      </c>
      <c r="B4899" s="21" t="s">
        <v>1045</v>
      </c>
      <c r="C4899" s="21" t="s">
        <v>1034</v>
      </c>
      <c r="D4899" s="21" t="s">
        <v>997</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1154</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2321</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1008</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1037</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1560</v>
      </c>
      <c r="B4904" s="21" t="s">
        <v>1112</v>
      </c>
      <c r="C4904" s="21" t="s">
        <v>1034</v>
      </c>
      <c r="D4904" s="21" t="s">
        <v>997</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1069</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2322</v>
      </c>
      <c r="B4906" s="21" t="s">
        <v>1112</v>
      </c>
      <c r="C4906" s="21" t="s">
        <v>1095</v>
      </c>
      <c r="D4906" s="21" t="s">
        <v>997</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1041</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1069</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2323</v>
      </c>
      <c r="B4909" s="21" t="s">
        <v>1182</v>
      </c>
      <c r="C4909" s="21" t="s">
        <v>1095</v>
      </c>
      <c r="D4909" s="21" t="s">
        <v>997</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1041</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1069</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2049</v>
      </c>
      <c r="B4912" s="21" t="s">
        <v>1182</v>
      </c>
      <c r="C4912" s="21" t="s">
        <v>1095</v>
      </c>
      <c r="D4912" s="21" t="s">
        <v>997</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1011</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row>
    <row r="4915" spans="1:12">
      <c r="A4915" s="20" t="s">
        <v>2324</v>
      </c>
    </row>
    <row r="4916" spans="1:12">
      <c r="A4916" s="20" t="s">
        <v>994</v>
      </c>
      <c r="B4916" s="21" t="s">
        <v>995</v>
      </c>
      <c r="C4916" s="21" t="s">
        <v>996</v>
      </c>
      <c r="D4916" s="21" t="s">
        <v>997</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1586</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2325</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256</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1061</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2326</v>
      </c>
      <c r="B4921" s="21" t="s">
        <v>1001</v>
      </c>
      <c r="C4921" s="21" t="s">
        <v>1034</v>
      </c>
      <c r="D4921" s="21" t="s">
        <v>997</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1029</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1060</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2327</v>
      </c>
      <c r="B4924" s="21" t="s">
        <v>1005</v>
      </c>
      <c r="C4924" s="21" t="s">
        <v>1095</v>
      </c>
      <c r="D4924" s="21" t="s">
        <v>997</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1462</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1041</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1002</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1008</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1371</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1014</v>
      </c>
      <c r="B4930" s="21" t="s">
        <v>1027</v>
      </c>
      <c r="C4930" s="21" t="s">
        <v>1015</v>
      </c>
      <c r="D4930" s="21" t="s">
        <v>997</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1227</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2328</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1109</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1060</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2329</v>
      </c>
      <c r="B4935" s="21" t="s">
        <v>1010</v>
      </c>
      <c r="C4935" s="21" t="s">
        <v>1034</v>
      </c>
      <c r="D4935" s="21" t="s">
        <v>997</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2330</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1011</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row>
    <row r="4939" spans="1:12">
      <c r="A4939" s="20" t="s">
        <v>2331</v>
      </c>
    </row>
    <row r="4940" spans="1:12">
      <c r="A4940" s="20" t="s">
        <v>994</v>
      </c>
      <c r="B4940" s="21" t="s">
        <v>995</v>
      </c>
      <c r="C4940" s="21" t="s">
        <v>996</v>
      </c>
      <c r="D4940" s="21" t="s">
        <v>997</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1586</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2332</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1011</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row>
    <row r="4945" spans="1:12">
      <c r="A4945" s="20" t="s">
        <v>2333</v>
      </c>
    </row>
    <row r="4946" spans="1:12">
      <c r="A4946" s="20" t="s">
        <v>1440</v>
      </c>
      <c r="B4946" s="21" t="s">
        <v>995</v>
      </c>
      <c r="C4946" s="21" t="s">
        <v>996</v>
      </c>
      <c r="D4946" s="21" t="s">
        <v>997</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2334</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1022</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1037</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2335</v>
      </c>
      <c r="B4950" s="21" t="s">
        <v>1142</v>
      </c>
      <c r="C4950" s="21" t="s">
        <v>1034</v>
      </c>
      <c r="D4950" s="21" t="s">
        <v>997</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1007</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1037</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2336</v>
      </c>
      <c r="B4953" s="21" t="s">
        <v>1010</v>
      </c>
      <c r="C4953" s="21" t="s">
        <v>1034</v>
      </c>
      <c r="D4953" s="21" t="s">
        <v>997</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1562</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t="s">
        <v>1070</v>
      </c>
      <c r="E4955" s="22">
        <f>IF(D4955="?OLD","!!!","")</f>
        <v/>
      </c>
      <c r="F4955" s="23" t="str">
        <f>IF(OR(E4955="",E4955="!!!"),"",IF(NOT(ISNA(VLOOKUP(E4955,E$1:E4954,1,FALSE()))),"OLD",IF(AND(E4955&lt;&gt;"",E4955&lt;&gt;"!!!"),"NEW","")))</f>
        <v> </v>
      </c>
      <c r="G4955" s="24" t="str">
        <f>IF(OR(E4955="",E4955="!!!"),"",IF(OR(J4955=0,AND(J4955=1,K4955=1),AND(J4955=1,I4955="SBJ"),AND(J4955=1,I4955=0)),"?IN_FOCUS",IF(J4955&lt;=2,"?ACTIVATED",IF(J4955&lt;&gt;"","?FAMILIAR",IF(F4955="NEW",IF(ISNA(VLOOKUP(E4955,#REF!,1,FALSE())),"?TYPE_IDENTIFIABLE","?REFERENTIAL"),"_")))))</f>
        <v> </v>
      </c>
      <c r="H4955" s="25" t="str">
        <f>IF(J4955&lt;&gt;1,"",IF(I4955="SBJ","CB","?"))</f>
        <v> </v>
      </c>
      <c r="I4955" s="26" t="str">
        <f>IF(OR(E4955="",E4955="!!!",F4955="NEW"),"",INDEX(B4954:B$2,-1+SUMPRODUCT(MAX(ROW(E4954:E$2)*(E4955=E4954:E$2)))))</f>
        <v> </v>
      </c>
      <c r="J4955" s="26" t="str">
        <f>IF(OR(E4955="",E4955="!!!",F4955="NEW"),"",COUNTBLANK(OFFSET(A$1,,,SUMPRODUCT(MAX(ROW(E$2:E4955)*(E4955=E$2:E4955)))))-COUNTBLANK(OFFSET(A$1,,,SUMPRODUCT(MAX(ROW(E$1:E4954)*(E2=E$1:E4954))))))</f>
        <v> </v>
      </c>
      <c r="K4955" s="26" t="str">
        <f>IF(OR(E4955="",E4955="!!!",F4955="NEW"),"",INDEX(J$1:J4954,SUMPRODUCT(MAX(ROW(E$1:E4954)*(E4955=E$1:E4954)))))</f>
        <v> </v>
      </c>
      <c r="L4955" s="27"/>
    </row>
    <row r="4956" spans="1:12">
      <c r="A4956" s="20" t="s">
        <v>1008</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1061</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t="s">
        <v>2275</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1026</v>
      </c>
      <c r="B4959" s="21" t="s">
        <v>1005</v>
      </c>
      <c r="C4959" s="21" t="s">
        <v>1034</v>
      </c>
      <c r="D4959" s="21" t="s">
        <v>997</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1011</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row>
    <row r="4962" spans="1:12">
      <c r="A4962" s="20" t="s">
        <v>2337</v>
      </c>
    </row>
    <row r="4963" spans="1:12">
      <c r="A4963" s="20" t="s">
        <v>1099</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1227</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1789</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1246</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1003</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1144</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2338</v>
      </c>
      <c r="B4969" s="21" t="s">
        <v>1067</v>
      </c>
      <c r="C4969" s="21" t="s">
        <v>1089</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1008</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1305</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1146</v>
      </c>
      <c r="B4972" s="21" t="s">
        <v>1005</v>
      </c>
      <c r="C4972" s="21" t="s">
        <v>1239</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1080</v>
      </c>
      <c r="B4973" s="21" t="s">
        <v>1114</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1154</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1898</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1335</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2339</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1011</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row>
    <row r="4980" spans="1:12">
      <c r="A4980" s="20" t="s">
        <v>2340</v>
      </c>
    </row>
    <row r="4981" spans="1:12">
      <c r="A4981" s="20" t="s">
        <v>1234</v>
      </c>
      <c r="B4981" s="21" t="s">
        <v>1142</v>
      </c>
      <c r="C4981" s="21" t="s">
        <v>1015</v>
      </c>
      <c r="D4981" s="21" t="s">
        <v>997</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423</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1018</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2095</v>
      </c>
      <c r="B4984" s="21" t="s">
        <v>995</v>
      </c>
      <c r="C4984" s="21" t="s">
        <v>1089</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1138</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1041</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1249</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1175</v>
      </c>
      <c r="B4988" s="21" t="s">
        <v>1027</v>
      </c>
      <c r="C4988" s="21" t="s">
        <v>1015</v>
      </c>
      <c r="D4988" s="21" t="s">
        <v>997</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423</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1487</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1018</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1988</v>
      </c>
      <c r="B4992" s="21" t="s">
        <v>1005</v>
      </c>
      <c r="C4992" s="21" t="s">
        <v>1089</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1173</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1041</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1007</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1008</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1565</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1323</v>
      </c>
      <c r="B4998" s="21" t="s">
        <v>1027</v>
      </c>
      <c r="C4998" s="21" t="s">
        <v>1089</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1069</v>
      </c>
      <c r="B4999" s="21" t="s">
        <v>1039</v>
      </c>
      <c r="C4999" s="21" t="s">
        <v>1133</v>
      </c>
      <c r="D4999" s="21" t="s">
        <v>997</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t="s">
        <v>1562</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t="s">
        <v>1898</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2341</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1041</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1287</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1368</v>
      </c>
      <c r="B5005" s="21" t="s">
        <v>1010</v>
      </c>
      <c r="C5005" s="21" t="s">
        <v>1133</v>
      </c>
      <c r="D5005" s="21" t="s">
        <v>997</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1008</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1767</v>
      </c>
      <c r="B5007" s="21" t="s">
        <v>1024</v>
      </c>
      <c r="C5007" s="21" t="s">
        <v>1015</v>
      </c>
      <c r="D5007" s="21" t="s">
        <v>997</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2342</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423</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2343</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t="s">
        <v>1049</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110</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1061</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1779</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1323</v>
      </c>
      <c r="B5015" s="21" t="s">
        <v>1067</v>
      </c>
      <c r="C5015" s="21" t="s">
        <v>1034</v>
      </c>
      <c r="D5015" s="21" t="s">
        <v>997</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1090</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1044</v>
      </c>
      <c r="B5017" s="21" t="s">
        <v>1027</v>
      </c>
      <c r="C5017" s="21" t="s">
        <v>996</v>
      </c>
      <c r="D5017" s="21" t="s">
        <v>997</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2344</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1061</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t="s">
        <v>1779</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2345</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2252</v>
      </c>
      <c r="B5022" s="21" t="s">
        <v>1067</v>
      </c>
      <c r="C5022" s="21" t="s">
        <v>1095</v>
      </c>
      <c r="D5022" s="21" t="s">
        <v>997</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1513</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1877</v>
      </c>
      <c r="B5024" s="21" t="s">
        <v>1027</v>
      </c>
      <c r="C5024" s="21" t="s">
        <v>1133</v>
      </c>
      <c r="D5024" s="21" t="s">
        <v>997</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1062</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1041</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2346</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1000</v>
      </c>
      <c r="B5028" s="21" t="s">
        <v>1010</v>
      </c>
      <c r="C5028" s="21" t="s">
        <v>996</v>
      </c>
      <c r="D5028" s="21" t="s">
        <v>997</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1041</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1060</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2347</v>
      </c>
      <c r="B5031" s="21" t="s">
        <v>1005</v>
      </c>
      <c r="C5031" s="21" t="s">
        <v>1034</v>
      </c>
      <c r="D5031" s="21" t="s">
        <v>997</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1007</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1032</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t="s">
        <v>2348</v>
      </c>
      <c r="B5034" s="21" t="s">
        <v>1010</v>
      </c>
      <c r="C5034" s="21" t="s">
        <v>1034</v>
      </c>
      <c r="D5034" s="21" t="s">
        <v>997</v>
      </c>
      <c r="E5034" s="22">
        <f>IF(D5034="?OLD","!!!","")</f>
        <v/>
      </c>
      <c r="F5034" s="23" t="str">
        <f>IF(OR(E5034="",E5034="!!!"),"",IF(NOT(ISNA(VLOOKUP(E5034,E$1:E5033,1,FALSE()))),"OLD",IF(AND(E5034&lt;&gt;"",E5034&lt;&gt;"!!!"),"NEW","")))</f>
        <v> </v>
      </c>
      <c r="G5034" s="24" t="str">
        <f>IF(OR(E5034="",E5034="!!!"),"",IF(OR(J5034=0,AND(J5034=1,K5034=1),AND(J5034=1,I5034="SBJ"),AND(J5034=1,I5034=0)),"?IN_FOCUS",IF(J5034&lt;=2,"?ACTIVATED",IF(J5034&lt;&gt;"","?FAMILIAR",IF(F5034="NEW",IF(ISNA(VLOOKUP(E5034,#REF!,1,FALSE())),"?TYPE_IDENTIFIABLE","?REFERENTIAL"),"_")))))</f>
        <v> </v>
      </c>
      <c r="H5034" s="25" t="str">
        <f>IF(J5034&lt;&gt;1,"",IF(I5034="SBJ","CB","?"))</f>
        <v> </v>
      </c>
      <c r="I5034" s="26" t="str">
        <f>IF(OR(E5034="",E5034="!!!",F5034="NEW"),"",INDEX(B5033:B$2,-1+SUMPRODUCT(MAX(ROW(E5033:E$2)*(E5034=E5033:E$2)))))</f>
        <v> </v>
      </c>
      <c r="J5034" s="26" t="str">
        <f>IF(OR(E5034="",E5034="!!!",F5034="NEW"),"",COUNTBLANK(OFFSET(A$1,,,SUMPRODUCT(MAX(ROW(E$2:E5034)*(E5034=E$2:E5034)))))-COUNTBLANK(OFFSET(A$1,,,SUMPRODUCT(MAX(ROW(E$1:E5033)*(E2=E$1:E5033))))))</f>
        <v> </v>
      </c>
      <c r="K5034" s="26" t="str">
        <f>IF(OR(E5034="",E5034="!!!",F5034="NEW"),"",INDEX(J$1:J5033,SUMPRODUCT(MAX(ROW(E$1:E5033)*(E5034=E$1:E5033)))))</f>
        <v> </v>
      </c>
      <c r="L5034" s="27"/>
    </row>
    <row r="5035" spans="1:12">
      <c r="A5035" s="20" t="s">
        <v>1008</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2349</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1014</v>
      </c>
      <c r="B5037" s="21" t="s">
        <v>1301</v>
      </c>
      <c r="C5037" s="21" t="s">
        <v>1015</v>
      </c>
      <c r="D5037" s="21" t="s">
        <v>997</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1029</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1190</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1109</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1032</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1207</v>
      </c>
      <c r="B5042" s="21" t="s">
        <v>1112</v>
      </c>
      <c r="C5042" s="21" t="s">
        <v>1034</v>
      </c>
      <c r="D5042" s="21" t="s">
        <v>997</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1275</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row>
    <row r="5045" spans="1:12">
      <c r="A5045" s="20" t="s">
        <v>2350</v>
      </c>
    </row>
    <row r="5046" spans="1:12">
      <c r="A5046" s="20" t="s">
        <v>741</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t="s">
        <v>1513</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1880</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1190</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1041</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1049</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1144</v>
      </c>
      <c r="B5052" s="21" t="s">
        <v>1005</v>
      </c>
      <c r="C5052" s="21" t="s">
        <v>1133</v>
      </c>
      <c r="D5052" s="21" t="s">
        <v>997</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1008</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1065</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2351</v>
      </c>
      <c r="B5055" s="21" t="s">
        <v>1010</v>
      </c>
      <c r="C5055" s="21" t="s">
        <v>1068</v>
      </c>
      <c r="D5055" s="21" t="s">
        <v>997</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1008</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2055</v>
      </c>
      <c r="B5057" s="21" t="s">
        <v>1024</v>
      </c>
      <c r="C5057" s="21" t="s">
        <v>1006</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1787</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1029</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1312</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1534</v>
      </c>
      <c r="B5061" s="21" t="s">
        <v>1024</v>
      </c>
      <c r="C5061" s="21" t="s">
        <v>1006</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t="s">
        <v>1041</v>
      </c>
      <c r="E5062" s="22">
        <f>IF(D5062="?OLD","!!!","")</f>
        <v/>
      </c>
      <c r="F5062" s="23" t="str">
        <f>IF(OR(E5062="",E5062="!!!"),"",IF(NOT(ISNA(VLOOKUP(E5062,E$1:E5061,1,FALSE()))),"OLD",IF(AND(E5062&lt;&gt;"",E5062&lt;&gt;"!!!"),"NEW","")))</f>
        <v> </v>
      </c>
      <c r="G5062" s="24" t="str">
        <f>IF(OR(E5062="",E5062="!!!"),"",IF(OR(J5062=0,AND(J5062=1,K5062=1),AND(J5062=1,I5062="SBJ"),AND(J5062=1,I5062=0)),"?IN_FOCUS",IF(J5062&lt;=2,"?ACTIVATED",IF(J5062&lt;&gt;"","?FAMILIAR",IF(F5062="NEW",IF(ISNA(VLOOKUP(E5062,#REF!,1,FALSE())),"?TYPE_IDENTIFIABLE","?REFERENTIAL"),"_")))))</f>
        <v> </v>
      </c>
      <c r="H5062" s="25" t="str">
        <f>IF(J5062&lt;&gt;1,"",IF(I5062="SBJ","CB","?"))</f>
        <v> </v>
      </c>
      <c r="I5062" s="26" t="str">
        <f>IF(OR(E5062="",E5062="!!!",F5062="NEW"),"",INDEX(B5061:B$2,-1+SUMPRODUCT(MAX(ROW(E5061:E$2)*(E5062=E5061:E$2)))))</f>
        <v> </v>
      </c>
      <c r="J5062" s="26" t="str">
        <f>IF(OR(E5062="",E5062="!!!",F5062="NEW"),"",COUNTBLANK(OFFSET(A$1,,,SUMPRODUCT(MAX(ROW(E$2:E5062)*(E5062=E$2:E5062)))))-COUNTBLANK(OFFSET(A$1,,,SUMPRODUCT(MAX(ROW(E$1:E5061)*(E2=E$1:E5061))))))</f>
        <v> </v>
      </c>
      <c r="K5062" s="26" t="str">
        <f>IF(OR(E5062="",E5062="!!!",F5062="NEW"),"",INDEX(J$1:J5061,SUMPRODUCT(MAX(ROW(E$1:E5061)*(E5062=E$1:E5061)))))</f>
        <v> </v>
      </c>
      <c r="L5062" s="27"/>
    </row>
    <row r="5063" spans="1:12">
      <c r="A5063" s="20" t="s">
        <v>1007</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1079</v>
      </c>
      <c r="B5064" s="21" t="s">
        <v>1027</v>
      </c>
      <c r="C5064" s="21" t="s">
        <v>1015</v>
      </c>
      <c r="D5064" s="21" t="s">
        <v>997</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1339</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423</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1082</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1144</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2352</v>
      </c>
      <c r="B5069" s="21" t="s">
        <v>1005</v>
      </c>
      <c r="C5069" s="21" t="s">
        <v>1089</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1041</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1044</v>
      </c>
      <c r="B5071" s="21" t="s">
        <v>1027</v>
      </c>
      <c r="C5071" s="21" t="s">
        <v>996</v>
      </c>
      <c r="D5071" s="21" t="s">
        <v>997</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1046</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t="s">
        <v>183</v>
      </c>
      <c r="E5073" s="22">
        <f>IF(D5073="?OLD","!!!","")</f>
        <v/>
      </c>
      <c r="F5073" s="23" t="str">
        <f>IF(OR(E5073="",E5073="!!!"),"",IF(NOT(ISNA(VLOOKUP(E5073,E$1:E5072,1,FALSE()))),"OLD",IF(AND(E5073&lt;&gt;"",E5073&lt;&gt;"!!!"),"NEW","")))</f>
        <v> </v>
      </c>
      <c r="G5073" s="24" t="str">
        <f>IF(OR(E5073="",E5073="!!!"),"",IF(OR(J5073=0,AND(J5073=1,K5073=1),AND(J5073=1,I5073="SBJ"),AND(J5073=1,I5073=0)),"?IN_FOCUS",IF(J5073&lt;=2,"?ACTIVATED",IF(J5073&lt;&gt;"","?FAMILIAR",IF(F5073="NEW",IF(ISNA(VLOOKUP(E5073,#REF!,1,FALSE())),"?TYPE_IDENTIFIABLE","?REFERENTIAL"),"_")))))</f>
        <v> </v>
      </c>
      <c r="H5073" s="25" t="str">
        <f>IF(J5073&lt;&gt;1,"",IF(I5073="SBJ","CB","?"))</f>
        <v> </v>
      </c>
      <c r="I5073" s="26" t="str">
        <f>IF(OR(E5073="",E5073="!!!",F5073="NEW"),"",INDEX(B5072:B$2,-1+SUMPRODUCT(MAX(ROW(E5072:E$2)*(E5073=E5072:E$2)))))</f>
        <v> </v>
      </c>
      <c r="J5073" s="26" t="str">
        <f>IF(OR(E5073="",E5073="!!!",F5073="NEW"),"",COUNTBLANK(OFFSET(A$1,,,SUMPRODUCT(MAX(ROW(E$2:E5073)*(E5073=E$2:E5073)))))-COUNTBLANK(OFFSET(A$1,,,SUMPRODUCT(MAX(ROW(E$1:E5072)*(E2=E$1:E5072))))))</f>
        <v> </v>
      </c>
      <c r="K5073" s="26" t="str">
        <f>IF(OR(E5073="",E5073="!!!",F5073="NEW"),"",INDEX(J$1:J5072,SUMPRODUCT(MAX(ROW(E$1:E5072)*(E5073=E$1:E5072)))))</f>
        <v> </v>
      </c>
      <c r="L5073" s="27"/>
    </row>
    <row r="5074" spans="1:12">
      <c r="A5074" s="20" t="s">
        <v>1320</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2353</v>
      </c>
      <c r="B5075" s="21" t="s">
        <v>1088</v>
      </c>
      <c r="C5075" s="21" t="s">
        <v>1295</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1049</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1047</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1041</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1007</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1320</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2277</v>
      </c>
      <c r="B5081" s="21" t="s">
        <v>1112</v>
      </c>
      <c r="C5081" s="21" t="s">
        <v>1295</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t="s">
        <v>1049</v>
      </c>
      <c r="E5082" s="22">
        <f>IF(D5082="?OLD","!!!","")</f>
        <v/>
      </c>
      <c r="F5082" s="23" t="str">
        <f>IF(OR(E5082="",E5082="!!!"),"",IF(NOT(ISNA(VLOOKUP(E5082,E$1:E5081,1,FALSE()))),"OLD",IF(AND(E5082&lt;&gt;"",E5082&lt;&gt;"!!!"),"NEW","")))</f>
        <v> </v>
      </c>
      <c r="G5082" s="24" t="str">
        <f>IF(OR(E5082="",E5082="!!!"),"",IF(OR(J5082=0,AND(J5082=1,K5082=1),AND(J5082=1,I5082="SBJ"),AND(J5082=1,I5082=0)),"?IN_FOCUS",IF(J5082&lt;=2,"?ACTIVATED",IF(J5082&lt;&gt;"","?FAMILIAR",IF(F5082="NEW",IF(ISNA(VLOOKUP(E5082,#REF!,1,FALSE())),"?TYPE_IDENTIFIABLE","?REFERENTIAL"),"_")))))</f>
        <v> </v>
      </c>
      <c r="H5082" s="25" t="str">
        <f>IF(J5082&lt;&gt;1,"",IF(I5082="SBJ","CB","?"))</f>
        <v> </v>
      </c>
      <c r="I5082" s="26" t="str">
        <f>IF(OR(E5082="",E5082="!!!",F5082="NEW"),"",INDEX(B5081:B$2,-1+SUMPRODUCT(MAX(ROW(E5081:E$2)*(E5082=E5081:E$2)))))</f>
        <v> </v>
      </c>
      <c r="J5082" s="26" t="str">
        <f>IF(OR(E5082="",E5082="!!!",F5082="NEW"),"",COUNTBLANK(OFFSET(A$1,,,SUMPRODUCT(MAX(ROW(E$2:E5082)*(E5082=E$2:E5082)))))-COUNTBLANK(OFFSET(A$1,,,SUMPRODUCT(MAX(ROW(E$1:E5081)*(E2=E$1:E5081))))))</f>
        <v> </v>
      </c>
      <c r="K5082" s="26" t="str">
        <f>IF(OR(E5082="",E5082="!!!",F5082="NEW"),"",INDEX(J$1:J5081,SUMPRODUCT(MAX(ROW(E$1:E5081)*(E5082=E$1:E5081)))))</f>
        <v> </v>
      </c>
      <c r="L5082" s="27"/>
    </row>
    <row r="5083" spans="1:12">
      <c r="A5083" s="20" t="s">
        <v>1694</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t="s">
        <v>1069</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2354</v>
      </c>
      <c r="B5085" s="21" t="s">
        <v>1182</v>
      </c>
      <c r="C5085" s="21" t="s">
        <v>1006</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1011</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row>
    <row r="5088" spans="1:12">
      <c r="A5088" s="20" t="s">
        <v>2355</v>
      </c>
    </row>
    <row r="5089" spans="1:12">
      <c r="A5089" s="20" t="s">
        <v>1234</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423</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1029</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1079</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2356</v>
      </c>
      <c r="B5093" s="21" t="s">
        <v>1067</v>
      </c>
      <c r="C5093" s="21" t="s">
        <v>1068</v>
      </c>
      <c r="D5093" s="21" t="s">
        <v>997</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1003</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2347</v>
      </c>
      <c r="B5095" s="21" t="s">
        <v>1067</v>
      </c>
      <c r="C5095" s="21" t="s">
        <v>1006</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1022</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1037</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2357</v>
      </c>
      <c r="B5098" s="21" t="s">
        <v>1142</v>
      </c>
      <c r="C5098" s="21" t="s">
        <v>1034</v>
      </c>
      <c r="D5098" s="21" t="s">
        <v>997</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2358</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1044</v>
      </c>
      <c r="B5100" s="21" t="s">
        <v>1001</v>
      </c>
      <c r="C5100" s="21" t="s">
        <v>996</v>
      </c>
      <c r="D5100" s="21" t="s">
        <v>997</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1562</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2359</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1082</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1083</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1269</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1044</v>
      </c>
      <c r="B5106" s="21" t="s">
        <v>1088</v>
      </c>
      <c r="C5106" s="21" t="s">
        <v>996</v>
      </c>
      <c r="D5106" s="21" t="s">
        <v>997</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2360</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1011</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row>
    <row r="5110" spans="1:12">
      <c r="A5110" s="20" t="s">
        <v>2361</v>
      </c>
    </row>
    <row r="5111" spans="1:12">
      <c r="A5111" s="20" t="s">
        <v>1013</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1041</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1000</v>
      </c>
      <c r="B5113" s="21" t="s">
        <v>995</v>
      </c>
      <c r="C5113" s="21" t="s">
        <v>996</v>
      </c>
      <c r="D5113" s="21" t="s">
        <v>997</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2334</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1041</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1941</v>
      </c>
      <c r="B5116" s="21" t="s">
        <v>1101</v>
      </c>
      <c r="C5116" s="21" t="s">
        <v>1095</v>
      </c>
      <c r="D5116" s="21" t="s">
        <v>997</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1041</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t="s">
        <v>1141</v>
      </c>
      <c r="E5118" s="22">
        <f>IF(D5118="?OLD","!!!","")</f>
        <v/>
      </c>
      <c r="F5118" s="23" t="str">
        <f>IF(OR(E5118="",E5118="!!!"),"",IF(NOT(ISNA(VLOOKUP(E5118,E$1:E5117,1,FALSE()))),"OLD",IF(AND(E5118&lt;&gt;"",E5118&lt;&gt;"!!!"),"NEW","")))</f>
        <v> </v>
      </c>
      <c r="G5118" s="24" t="str">
        <f>IF(OR(E5118="",E5118="!!!"),"",IF(OR(J5118=0,AND(J5118=1,K5118=1),AND(J5118=1,I5118="SBJ"),AND(J5118=1,I5118=0)),"?IN_FOCUS",IF(J5118&lt;=2,"?ACTIVATED",IF(J5118&lt;&gt;"","?FAMILIAR",IF(F5118="NEW",IF(ISNA(VLOOKUP(E5118,#REF!,1,FALSE())),"?TYPE_IDENTIFIABLE","?REFERENTIAL"),"_")))))</f>
        <v> </v>
      </c>
      <c r="H5118" s="25" t="str">
        <f>IF(J5118&lt;&gt;1,"",IF(I5118="SBJ","CB","?"))</f>
        <v> </v>
      </c>
      <c r="I5118" s="26" t="str">
        <f>IF(OR(E5118="",E5118="!!!",F5118="NEW"),"",INDEX(B5117:B$2,-1+SUMPRODUCT(MAX(ROW(E5117:E$2)*(E5118=E5117:E$2)))))</f>
        <v> </v>
      </c>
      <c r="J5118" s="26" t="str">
        <f>IF(OR(E5118="",E5118="!!!",F5118="NEW"),"",COUNTBLANK(OFFSET(A$1,,,SUMPRODUCT(MAX(ROW(E$2:E5118)*(E5118=E$2:E5118)))))-COUNTBLANK(OFFSET(A$1,,,SUMPRODUCT(MAX(ROW(E$1:E5117)*(E2=E$1:E5117))))))</f>
        <v> </v>
      </c>
      <c r="K5118" s="26" t="str">
        <f>IF(OR(E5118="",E5118="!!!",F5118="NEW"),"",INDEX(J$1:J5117,SUMPRODUCT(MAX(ROW(E$1:E5117)*(E5118=E$1:E5117)))))</f>
        <v> </v>
      </c>
      <c r="L5118" s="27"/>
    </row>
    <row r="5119" spans="1:12">
      <c r="A5119" s="20" t="s">
        <v>1037</v>
      </c>
      <c r="E5119" s="22">
        <f>IF(D5119="?OLD","!!!","")</f>
        <v/>
      </c>
      <c r="F5119" s="23" t="str">
        <f>IF(OR(E5119="",E5119="!!!"),"",IF(NOT(ISNA(VLOOKUP(E5119,E$1:E5118,1,FALSE()))),"OLD",IF(AND(E5119&lt;&gt;"",E5119&lt;&gt;"!!!"),"NEW","")))</f>
        <v> </v>
      </c>
      <c r="G5119" s="24" t="str">
        <f>IF(OR(E5119="",E5119="!!!"),"",IF(OR(J5119=0,AND(J5119=1,K5119=1),AND(J5119=1,I5119="SBJ"),AND(J5119=1,I5119=0)),"?IN_FOCUS",IF(J5119&lt;=2,"?ACTIVATED",IF(J5119&lt;&gt;"","?FAMILIAR",IF(F5119="NEW",IF(ISNA(VLOOKUP(E5119,#REF!,1,FALSE())),"?TYPE_IDENTIFIABLE","?REFERENTIAL"),"_")))))</f>
        <v> </v>
      </c>
      <c r="H5119" s="25" t="str">
        <f>IF(J5119&lt;&gt;1,"",IF(I5119="SBJ","CB","?"))</f>
        <v> </v>
      </c>
      <c r="I5119" s="26" t="str">
        <f>IF(OR(E5119="",E5119="!!!",F5119="NEW"),"",INDEX(B5118:B$2,-1+SUMPRODUCT(MAX(ROW(E5118:E$2)*(E5119=E5118:E$2)))))</f>
        <v> </v>
      </c>
      <c r="J5119" s="26" t="str">
        <f>IF(OR(E5119="",E5119="!!!",F5119="NEW"),"",COUNTBLANK(OFFSET(A$1,,,SUMPRODUCT(MAX(ROW(E$2:E5119)*(E5119=E$2:E5119)))))-COUNTBLANK(OFFSET(A$1,,,SUMPRODUCT(MAX(ROW(E$1:E5118)*(E2=E$1:E5118))))))</f>
        <v> </v>
      </c>
      <c r="K5119" s="26" t="str">
        <f>IF(OR(E5119="",E5119="!!!",F5119="NEW"),"",INDEX(J$1:J5118,SUMPRODUCT(MAX(ROW(E$1:E5118)*(E5119=E$1:E5118)))))</f>
        <v> </v>
      </c>
      <c r="L5119" s="27"/>
    </row>
    <row r="5120" spans="1:12">
      <c r="A5120" s="20" t="s">
        <v>1042</v>
      </c>
      <c r="B5120" s="21" t="s">
        <v>1142</v>
      </c>
      <c r="C5120" s="21" t="s">
        <v>1034</v>
      </c>
      <c r="D5120" s="21" t="s">
        <v>997</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1107</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1190</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1041</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1079</v>
      </c>
      <c r="B5124" s="21" t="s">
        <v>1067</v>
      </c>
      <c r="C5124" s="21" t="s">
        <v>1015</v>
      </c>
      <c r="D5124" s="21" t="s">
        <v>997</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1080</v>
      </c>
      <c r="B5125" s="21" t="s">
        <v>1027</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423</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1250</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609</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1041</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1404</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2362</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2066</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1065</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2363</v>
      </c>
      <c r="B5134" s="21" t="s">
        <v>1039</v>
      </c>
      <c r="C5134" s="21" t="s">
        <v>1068</v>
      </c>
      <c r="D5134" s="21" t="s">
        <v>997</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1011</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row>
    <row r="5137" spans="1:12">
      <c r="A5137" s="20" t="s">
        <v>2364</v>
      </c>
    </row>
    <row r="5138" spans="1:12">
      <c r="A5138" s="20" t="s">
        <v>1013</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1083</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1084</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1154</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2365</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1041</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999</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1041</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1008</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1037</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2225</v>
      </c>
      <c r="B5148" s="21" t="s">
        <v>1101</v>
      </c>
      <c r="C5148" s="21" t="s">
        <v>1034</v>
      </c>
      <c r="D5148" s="21" t="s">
        <v>997</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1003</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1881</v>
      </c>
      <c r="B5150" s="21" t="s">
        <v>1005</v>
      </c>
      <c r="C5150" s="21" t="s">
        <v>1006</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1041</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1007</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1083</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1540</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1082</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1083</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1084</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1069</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1937</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1008</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1037</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1883</v>
      </c>
      <c r="B5162" s="21" t="s">
        <v>1010</v>
      </c>
      <c r="C5162" s="21" t="s">
        <v>1034</v>
      </c>
      <c r="D5162" s="21" t="s">
        <v>997</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1041</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1080</v>
      </c>
      <c r="B5164" s="21" t="s">
        <v>1045</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2366</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1041</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1141</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1061</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1659</v>
      </c>
      <c r="B5169" s="21" t="s">
        <v>1094</v>
      </c>
      <c r="C5169" s="21" t="s">
        <v>1034</v>
      </c>
      <c r="D5169" s="21" t="s">
        <v>997</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2367</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2368</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1190</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1041</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1007</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1141</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1061</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t="s">
        <v>2168</v>
      </c>
      <c r="B5177" s="21" t="s">
        <v>1243</v>
      </c>
      <c r="C5177" s="21" t="s">
        <v>1028</v>
      </c>
      <c r="D5177" s="21" t="s">
        <v>997</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1008</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1091</v>
      </c>
      <c r="B5179" s="21" t="s">
        <v>1964</v>
      </c>
      <c r="C5179" s="21" t="s">
        <v>1025</v>
      </c>
      <c r="D5179" s="21" t="s">
        <v>997</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2369</v>
      </c>
      <c r="B5180" s="21" t="s">
        <v>1709</v>
      </c>
      <c r="C5180" s="21" t="s">
        <v>1028</v>
      </c>
      <c r="D5180" s="21" t="s">
        <v>997</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2098</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1077</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2038</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1190</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1041</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2273</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1733</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t="s">
        <v>1109</v>
      </c>
      <c r="E5188" s="22">
        <f>IF(D5188="?OLD","!!!","")</f>
        <v/>
      </c>
      <c r="F5188" s="23" t="str">
        <f>IF(OR(E5188="",E5188="!!!"),"",IF(NOT(ISNA(VLOOKUP(E5188,E$1:E5187,1,FALSE()))),"OLD",IF(AND(E5188&lt;&gt;"",E5188&lt;&gt;"!!!"),"NEW","")))</f>
        <v> </v>
      </c>
      <c r="G5188" s="24" t="str">
        <f>IF(OR(E5188="",E5188="!!!"),"",IF(OR(J5188=0,AND(J5188=1,K5188=1),AND(J5188=1,I5188="SBJ"),AND(J5188=1,I5188=0)),"?IN_FOCUS",IF(J5188&lt;=2,"?ACTIVATED",IF(J5188&lt;&gt;"","?FAMILIAR",IF(F5188="NEW",IF(ISNA(VLOOKUP(E5188,#REF!,1,FALSE())),"?TYPE_IDENTIFIABLE","?REFERENTIAL"),"_")))))</f>
        <v> </v>
      </c>
      <c r="H5188" s="25" t="str">
        <f>IF(J5188&lt;&gt;1,"",IF(I5188="SBJ","CB","?"))</f>
        <v> </v>
      </c>
      <c r="I5188" s="26" t="str">
        <f>IF(OR(E5188="",E5188="!!!",F5188="NEW"),"",INDEX(B5187:B$2,-1+SUMPRODUCT(MAX(ROW(E5187:E$2)*(E5188=E5187:E$2)))))</f>
        <v> </v>
      </c>
      <c r="J5188" s="26" t="str">
        <f>IF(OR(E5188="",E5188="!!!",F5188="NEW"),"",COUNTBLANK(OFFSET(A$1,,,SUMPRODUCT(MAX(ROW(E$2:E5188)*(E5188=E$2:E5188)))))-COUNTBLANK(OFFSET(A$1,,,SUMPRODUCT(MAX(ROW(E$1:E5187)*(E2=E$1:E5187))))))</f>
        <v> </v>
      </c>
      <c r="K5188" s="26" t="str">
        <f>IF(OR(E5188="",E5188="!!!",F5188="NEW"),"",INDEX(J$1:J5187,SUMPRODUCT(MAX(ROW(E$1:E5187)*(E5188=E$1:E5187)))))</f>
        <v> </v>
      </c>
      <c r="L5188" s="27"/>
    </row>
    <row r="5189" spans="1:12">
      <c r="A5189" s="20" t="s">
        <v>1032</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2370</v>
      </c>
      <c r="B5190" s="21" t="s">
        <v>1092</v>
      </c>
      <c r="C5190" s="21" t="s">
        <v>1034</v>
      </c>
      <c r="D5190" s="21" t="s">
        <v>997</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1011</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row>
    <row r="5193" spans="1:12">
      <c r="A5193" s="20" t="s">
        <v>2371</v>
      </c>
    </row>
    <row r="5194" spans="1:12">
      <c r="A5194" s="20" t="s">
        <v>1013</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1079</v>
      </c>
      <c r="B5195" s="21" t="s">
        <v>995</v>
      </c>
      <c r="C5195" s="21" t="s">
        <v>1015</v>
      </c>
      <c r="D5195" s="21" t="s">
        <v>997</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1702</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1057</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1141</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1194</v>
      </c>
      <c r="B5199" s="21" t="s">
        <v>995</v>
      </c>
      <c r="C5199" s="21" t="s">
        <v>1133</v>
      </c>
      <c r="D5199" s="21" t="s">
        <v>997</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2372</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1029</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1261</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2373</v>
      </c>
      <c r="B5203" s="21" t="s">
        <v>1067</v>
      </c>
      <c r="C5203" s="21" t="s">
        <v>1239</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1041</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2374</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1230</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1194</v>
      </c>
      <c r="B5207" s="21" t="s">
        <v>1142</v>
      </c>
      <c r="C5207" s="21" t="s">
        <v>1133</v>
      </c>
      <c r="D5207" s="21" t="s">
        <v>997</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1713</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546</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1018</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2375</v>
      </c>
      <c r="B5211" s="21" t="s">
        <v>1039</v>
      </c>
      <c r="C5211" s="21" t="s">
        <v>1028</v>
      </c>
      <c r="D5211" s="21" t="s">
        <v>997</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1008</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1116</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737</v>
      </c>
      <c r="B5214" s="21" t="s">
        <v>1024</v>
      </c>
      <c r="C5214" s="21" t="s">
        <v>1015</v>
      </c>
      <c r="D5214" s="21" t="s">
        <v>997</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1011</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row>
    <row r="5217" spans="1:12">
      <c r="A5217" s="20" t="s">
        <v>2376</v>
      </c>
    </row>
    <row r="5218" spans="1:12">
      <c r="A5218" s="20" t="s">
        <v>1099</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t="s">
        <v>1540</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2377</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1082</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1018</v>
      </c>
      <c r="B5222" s="21" t="s">
        <v>1142</v>
      </c>
      <c r="C5222" s="21" t="s">
        <v>1133</v>
      </c>
      <c r="D5222" s="21" t="s">
        <v>997</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1008</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1065</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t="s">
        <v>1698</v>
      </c>
      <c r="B5225" s="21" t="s">
        <v>1010</v>
      </c>
      <c r="C5225" s="21" t="s">
        <v>1068</v>
      </c>
      <c r="D5225" s="21" t="s">
        <v>997</v>
      </c>
      <c r="E5225" s="22">
        <f>IF(D5225="?OLD","!!!","")</f>
        <v/>
      </c>
      <c r="F5225" s="23" t="str">
        <f>IF(OR(E5225="",E5225="!!!"),"",IF(NOT(ISNA(VLOOKUP(E5225,E$1:E5224,1,FALSE()))),"OLD",IF(AND(E5225&lt;&gt;"",E5225&lt;&gt;"!!!"),"NEW","")))</f>
        <v> </v>
      </c>
      <c r="G5225" s="24" t="str">
        <f>IF(OR(E5225="",E5225="!!!"),"",IF(OR(J5225=0,AND(J5225=1,K5225=1),AND(J5225=1,I5225="SBJ"),AND(J5225=1,I5225=0)),"?IN_FOCUS",IF(J5225&lt;=2,"?ACTIVATED",IF(J5225&lt;&gt;"","?FAMILIAR",IF(F5225="NEW",IF(ISNA(VLOOKUP(E5225,#REF!,1,FALSE())),"?TYPE_IDENTIFIABLE","?REFERENTIAL"),"_")))))</f>
        <v> </v>
      </c>
      <c r="H5225" s="25" t="str">
        <f>IF(J5225&lt;&gt;1,"",IF(I5225="SBJ","CB","?"))</f>
        <v> </v>
      </c>
      <c r="I5225" s="26" t="str">
        <f>IF(OR(E5225="",E5225="!!!",F5225="NEW"),"",INDEX(B5224:B$2,-1+SUMPRODUCT(MAX(ROW(E5224:E$2)*(E5225=E5224:E$2)))))</f>
        <v> </v>
      </c>
      <c r="J5225" s="26" t="str">
        <f>IF(OR(E5225="",E5225="!!!",F5225="NEW"),"",COUNTBLANK(OFFSET(A$1,,,SUMPRODUCT(MAX(ROW(E$2:E5225)*(E5225=E$2:E5225)))))-COUNTBLANK(OFFSET(A$1,,,SUMPRODUCT(MAX(ROW(E$1:E5224)*(E2=E$1:E5224))))))</f>
        <v> </v>
      </c>
      <c r="K5225" s="26" t="str">
        <f>IF(OR(E5225="",E5225="!!!",F5225="NEW"),"",INDEX(J$1:J5224,SUMPRODUCT(MAX(ROW(E$1:E5224)*(E5225=E$1:E5224)))))</f>
        <v> </v>
      </c>
      <c r="L5225" s="27"/>
    </row>
    <row r="5226" spans="1:12">
      <c r="A5226" s="20" t="s">
        <v>2378</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1011</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row>
    <row r="5229" spans="1:12">
      <c r="A5229" s="20" t="s">
        <v>2379</v>
      </c>
    </row>
    <row r="5230" spans="1:12">
      <c r="A5230" s="20" t="s">
        <v>2252</v>
      </c>
      <c r="B5230" s="21" t="s">
        <v>995</v>
      </c>
      <c r="C5230" s="21" t="s">
        <v>1015</v>
      </c>
      <c r="D5230" s="21" t="s">
        <v>997</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1513</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1140</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1992</v>
      </c>
      <c r="B5233" s="21" t="s">
        <v>1067</v>
      </c>
      <c r="C5233" s="21" t="s">
        <v>1006</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1008</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1128</v>
      </c>
      <c r="B5235" s="21" t="s">
        <v>1005</v>
      </c>
      <c r="C5235" s="21" t="s">
        <v>1006</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1008</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t="s">
        <v>1037</v>
      </c>
      <c r="E5237" s="22">
        <f>IF(D5237="?OLD","!!!","")</f>
        <v/>
      </c>
      <c r="F5237" s="23" t="str">
        <f>IF(OR(E5237="",E5237="!!!"),"",IF(NOT(ISNA(VLOOKUP(E5237,E$1:E5236,1,FALSE()))),"OLD",IF(AND(E5237&lt;&gt;"",E5237&lt;&gt;"!!!"),"NEW","")))</f>
        <v> </v>
      </c>
      <c r="G5237" s="24" t="str">
        <f>IF(OR(E5237="",E5237="!!!"),"",IF(OR(J5237=0,AND(J5237=1,K5237=1),AND(J5237=1,I5237="SBJ"),AND(J5237=1,I5237=0)),"?IN_FOCUS",IF(J5237&lt;=2,"?ACTIVATED",IF(J5237&lt;&gt;"","?FAMILIAR",IF(F5237="NEW",IF(ISNA(VLOOKUP(E5237,#REF!,1,FALSE())),"?TYPE_IDENTIFIABLE","?REFERENTIAL"),"_")))))</f>
        <v> </v>
      </c>
      <c r="H5237" s="25" t="str">
        <f>IF(J5237&lt;&gt;1,"",IF(I5237="SBJ","CB","?"))</f>
        <v> </v>
      </c>
      <c r="I5237" s="26" t="str">
        <f>IF(OR(E5237="",E5237="!!!",F5237="NEW"),"",INDEX(B5236:B$2,-1+SUMPRODUCT(MAX(ROW(E5236:E$2)*(E5237=E5236:E$2)))))</f>
        <v> </v>
      </c>
      <c r="J5237" s="26" t="str">
        <f>IF(OR(E5237="",E5237="!!!",F5237="NEW"),"",COUNTBLANK(OFFSET(A$1,,,SUMPRODUCT(MAX(ROW(E$2:E5237)*(E5237=E$2:E5237)))))-COUNTBLANK(OFFSET(A$1,,,SUMPRODUCT(MAX(ROW(E$1:E5236)*(E2=E$1:E5236))))))</f>
        <v> </v>
      </c>
      <c r="K5237" s="26" t="str">
        <f>IF(OR(E5237="",E5237="!!!",F5237="NEW"),"",INDEX(J$1:J5236,SUMPRODUCT(MAX(ROW(E$1:E5236)*(E5237=E$1:E5236)))))</f>
        <v> </v>
      </c>
      <c r="L5237" s="27"/>
    </row>
    <row r="5238" spans="1:12">
      <c r="A5238" s="20" t="s">
        <v>2316</v>
      </c>
      <c r="B5238" s="21" t="s">
        <v>1010</v>
      </c>
      <c r="C5238" s="21" t="s">
        <v>1034</v>
      </c>
      <c r="D5238" s="21" t="s">
        <v>997</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1008</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1061</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2380</v>
      </c>
      <c r="B5241" s="21" t="s">
        <v>1024</v>
      </c>
      <c r="C5241" s="21" t="s">
        <v>1034</v>
      </c>
      <c r="D5241" s="21" t="s">
        <v>997</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1029</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1312</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1534</v>
      </c>
      <c r="B5244" s="21" t="s">
        <v>1024</v>
      </c>
      <c r="C5244" s="21" t="s">
        <v>1006</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1041</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423</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1873</v>
      </c>
      <c r="B5247" s="21" t="s">
        <v>1101</v>
      </c>
      <c r="C5247" s="21" t="s">
        <v>1015</v>
      </c>
      <c r="D5247" s="21" t="s">
        <v>997</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1022</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1175</v>
      </c>
      <c r="B5249" s="21" t="s">
        <v>1027</v>
      </c>
      <c r="C5249" s="21" t="s">
        <v>1015</v>
      </c>
      <c r="D5249" s="21" t="s">
        <v>997</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423</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1061</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1054</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1138</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1903</v>
      </c>
      <c r="B5254" s="21" t="s">
        <v>1301</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1000</v>
      </c>
      <c r="B5255" s="21" t="s">
        <v>1114</v>
      </c>
      <c r="C5255" s="21" t="s">
        <v>996</v>
      </c>
      <c r="D5255" s="21" t="s">
        <v>997</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2381</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2032</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1002</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1275</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row>
    <row r="5261" spans="1:12">
      <c r="A5261" s="20" t="s">
        <v>2382</v>
      </c>
    </row>
    <row r="5262" spans="1:12">
      <c r="A5262" s="20" t="s">
        <v>741</v>
      </c>
      <c r="B5262" s="21" t="s">
        <v>995</v>
      </c>
      <c r="C5262" s="21" t="s">
        <v>1095</v>
      </c>
      <c r="D5262" s="21" t="s">
        <v>997</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1513</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2241</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1851</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1109</v>
      </c>
      <c r="E5266" s="22">
        <f>IF(D5266="?OLD","!!!","")</f>
        <v/>
      </c>
      <c r="F5266" s="23" t="str">
        <f>IF(OR(E5266="",E5266="!!!"),"",IF(NOT(ISNA(VLOOKUP(E5266,E$1:E5265,1,FALSE()))),"OLD",IF(AND(E5266&lt;&gt;"",E5266&lt;&gt;"!!!"),"NEW","")))</f>
        <v> </v>
      </c>
      <c r="G5266" s="24" t="str">
        <f>IF(OR(E5266="",E5266="!!!"),"",IF(OR(J5266=0,AND(J5266=1,K5266=1),AND(J5266=1,I5266="SBJ"),AND(J5266=1,I5266=0)),"?IN_FOCUS",IF(J5266&lt;=2,"?ACTIVATED",IF(J5266&lt;&gt;"","?FAMILIAR",IF(F5266="NEW",IF(ISNA(VLOOKUP(E5266,#REF!,1,FALSE())),"?TYPE_IDENTIFIABLE","?REFERENTIAL"),"_")))))</f>
        <v> </v>
      </c>
      <c r="H5266" s="25" t="str">
        <f>IF(J5266&lt;&gt;1,"",IF(I5266="SBJ","CB","?"))</f>
        <v> </v>
      </c>
      <c r="I5266" s="26" t="str">
        <f>IF(OR(E5266="",E5266="!!!",F5266="NEW"),"",INDEX(B5265:B$2,-1+SUMPRODUCT(MAX(ROW(E5265:E$2)*(E5266=E5265:E$2)))))</f>
        <v> </v>
      </c>
      <c r="J5266" s="26" t="str">
        <f>IF(OR(E5266="",E5266="!!!",F5266="NEW"),"",COUNTBLANK(OFFSET(A$1,,,SUMPRODUCT(MAX(ROW(E$2:E5266)*(E5266=E$2:E5266)))))-COUNTBLANK(OFFSET(A$1,,,SUMPRODUCT(MAX(ROW(E$1:E5265)*(E2=E$1:E5265))))))</f>
        <v> </v>
      </c>
      <c r="K5266" s="26" t="str">
        <f>IF(OR(E5266="",E5266="!!!",F5266="NEW"),"",INDEX(J$1:J5265,SUMPRODUCT(MAX(ROW(E$1:E5265)*(E5266=E$1:E5265)))))</f>
        <v> </v>
      </c>
      <c r="L5266" s="27"/>
    </row>
    <row r="5267" spans="1:12">
      <c r="A5267" s="20" t="s">
        <v>1061</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t="s">
        <v>1542</v>
      </c>
      <c r="B5268" s="21" t="s">
        <v>1024</v>
      </c>
      <c r="C5268" s="21" t="s">
        <v>1034</v>
      </c>
      <c r="D5268" s="21" t="s">
        <v>997</v>
      </c>
      <c r="E5268" s="22">
        <f>IF(D5268="?OLD","!!!","")</f>
        <v/>
      </c>
      <c r="F5268" s="23" t="str">
        <f>IF(OR(E5268="",E5268="!!!"),"",IF(NOT(ISNA(VLOOKUP(E5268,E$1:E5267,1,FALSE()))),"OLD",IF(AND(E5268&lt;&gt;"",E5268&lt;&gt;"!!!"),"NEW","")))</f>
        <v> </v>
      </c>
      <c r="G5268" s="24" t="str">
        <f>IF(OR(E5268="",E5268="!!!"),"",IF(OR(J5268=0,AND(J5268=1,K5268=1),AND(J5268=1,I5268="SBJ"),AND(J5268=1,I5268=0)),"?IN_FOCUS",IF(J5268&lt;=2,"?ACTIVATED",IF(J5268&lt;&gt;"","?FAMILIAR",IF(F5268="NEW",IF(ISNA(VLOOKUP(E5268,#REF!,1,FALSE())),"?TYPE_IDENTIFIABLE","?REFERENTIAL"),"_")))))</f>
        <v> </v>
      </c>
      <c r="H5268" s="25" t="str">
        <f>IF(J5268&lt;&gt;1,"",IF(I5268="SBJ","CB","?"))</f>
        <v> </v>
      </c>
      <c r="I5268" s="26" t="str">
        <f>IF(OR(E5268="",E5268="!!!",F5268="NEW"),"",INDEX(B5267:B$2,-1+SUMPRODUCT(MAX(ROW(E5267:E$2)*(E5268=E5267:E$2)))))</f>
        <v> </v>
      </c>
      <c r="J5268" s="26" t="str">
        <f>IF(OR(E5268="",E5268="!!!",F5268="NEW"),"",COUNTBLANK(OFFSET(A$1,,,SUMPRODUCT(MAX(ROW(E$2:E5268)*(E5268=E$2:E5268)))))-COUNTBLANK(OFFSET(A$1,,,SUMPRODUCT(MAX(ROW(E$1:E5267)*(E2=E$1:E5267))))))</f>
        <v> </v>
      </c>
      <c r="K5268" s="26" t="str">
        <f>IF(OR(E5268="",E5268="!!!",F5268="NEW"),"",INDEX(J$1:J5267,SUMPRODUCT(MAX(ROW(E$1:E5267)*(E5268=E$1:E5267)))))</f>
        <v> </v>
      </c>
      <c r="L5268" s="27"/>
    </row>
    <row r="5269" spans="1:12">
      <c r="A5269" s="20" t="s">
        <v>1008</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1060</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1004</v>
      </c>
      <c r="B5271" s="21" t="s">
        <v>1112</v>
      </c>
      <c r="C5271" s="21" t="s">
        <v>1034</v>
      </c>
      <c r="D5271" s="21" t="s">
        <v>997</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423</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1032</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1146</v>
      </c>
      <c r="B5274" s="21" t="s">
        <v>1067</v>
      </c>
      <c r="C5274" s="21" t="s">
        <v>1034</v>
      </c>
      <c r="D5274" s="21" t="s">
        <v>997</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1032</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1054</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1852</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1011</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row>
    <row r="5280" spans="1:12">
      <c r="A5280" s="20" t="s">
        <v>2383</v>
      </c>
    </row>
    <row r="5281" spans="1:12">
      <c r="A5281" s="20" t="s">
        <v>1614</v>
      </c>
      <c r="B5281" s="21" t="s">
        <v>995</v>
      </c>
      <c r="C5281" s="21" t="s">
        <v>1015</v>
      </c>
      <c r="D5281" s="21" t="s">
        <v>997</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1060</v>
      </c>
      <c r="B5282" s="21" t="s">
        <v>1101</v>
      </c>
      <c r="C5282" s="21" t="s">
        <v>996</v>
      </c>
      <c r="D5282" s="21" t="s">
        <v>997</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1592</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1335</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1041</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1168</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t="s">
        <v>2116</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t="s">
        <v>1032</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t="s">
        <v>1201</v>
      </c>
      <c r="B5289" s="21" t="s">
        <v>1067</v>
      </c>
      <c r="C5289" s="21" t="s">
        <v>1034</v>
      </c>
      <c r="D5289" s="21" t="s">
        <v>997</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1008</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1060</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1113</v>
      </c>
      <c r="B5292" s="21" t="s">
        <v>1067</v>
      </c>
      <c r="C5292" s="21" t="s">
        <v>1034</v>
      </c>
      <c r="D5292" s="21" t="s">
        <v>997</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1041</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1249</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1032</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1201</v>
      </c>
      <c r="B5296" s="21" t="s">
        <v>1142</v>
      </c>
      <c r="C5296" s="21" t="s">
        <v>1034</v>
      </c>
      <c r="D5296" s="21" t="s">
        <v>997</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2384</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1032</v>
      </c>
      <c r="B5298" s="21" t="s">
        <v>1001</v>
      </c>
      <c r="C5298" s="21" t="s">
        <v>996</v>
      </c>
      <c r="D5298" s="21" t="s">
        <v>997</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2385</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1117</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2248</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t="s">
        <v>1054</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1852</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1011</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row>
    <row r="5306" spans="1:12">
      <c r="A5306" s="20" t="s">
        <v>2386</v>
      </c>
    </row>
    <row r="5307" spans="1:12">
      <c r="A5307" s="20" t="s">
        <v>1186</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1061</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1542</v>
      </c>
      <c r="B5309" s="21" t="s">
        <v>1067</v>
      </c>
      <c r="C5309" s="21" t="s">
        <v>1034</v>
      </c>
      <c r="D5309" s="21" t="s">
        <v>997</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1530</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1041</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1083</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1084</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1154</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1003</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1486</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2387</v>
      </c>
      <c r="B5317" s="21" t="s">
        <v>1101</v>
      </c>
      <c r="C5317" s="21" t="s">
        <v>1089</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t="s">
        <v>1011</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row>
    <row r="5320" spans="1:12">
      <c r="A5320" s="20" t="s">
        <v>2388</v>
      </c>
    </row>
    <row r="5321" spans="1:12">
      <c r="A5321" s="20" t="s">
        <v>1440</v>
      </c>
      <c r="B5321" s="21" t="s">
        <v>995</v>
      </c>
      <c r="C5321" s="21" t="s">
        <v>996</v>
      </c>
      <c r="D5321" s="21" t="s">
        <v>997</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2334</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1041</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1194</v>
      </c>
      <c r="B5324" s="21" t="s">
        <v>1142</v>
      </c>
      <c r="C5324" s="21" t="s">
        <v>1133</v>
      </c>
      <c r="D5324" s="21" t="s">
        <v>997</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1095</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1252</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1097</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1733</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1190</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1111</v>
      </c>
      <c r="B5330" s="21" t="s">
        <v>1010</v>
      </c>
      <c r="C5330" s="21" t="s">
        <v>1025</v>
      </c>
      <c r="D5330" s="21" t="s">
        <v>997</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1026</v>
      </c>
      <c r="B5331" s="21" t="s">
        <v>1001</v>
      </c>
      <c r="C5331" s="21" t="s">
        <v>1028</v>
      </c>
      <c r="D5331" s="21" t="s">
        <v>997</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t="s">
        <v>1022</v>
      </c>
      <c r="E5332" s="22">
        <f>IF(D5332="?OLD","!!!","")</f>
        <v/>
      </c>
      <c r="F5332" s="23" t="str">
        <f>IF(OR(E5332="",E5332="!!!"),"",IF(NOT(ISNA(VLOOKUP(E5332,E$1:E5331,1,FALSE()))),"OLD",IF(AND(E5332&lt;&gt;"",E5332&lt;&gt;"!!!"),"NEW","")))</f>
        <v> </v>
      </c>
      <c r="G5332" s="24" t="str">
        <f>IF(OR(E5332="",E5332="!!!"),"",IF(OR(J5332=0,AND(J5332=1,K5332=1),AND(J5332=1,I5332="SBJ"),AND(J5332=1,I5332=0)),"?IN_FOCUS",IF(J5332&lt;=2,"?ACTIVATED",IF(J5332&lt;&gt;"","?FAMILIAR",IF(F5332="NEW",IF(ISNA(VLOOKUP(E5332,#REF!,1,FALSE())),"?TYPE_IDENTIFIABLE","?REFERENTIAL"),"_")))))</f>
        <v> </v>
      </c>
      <c r="H5332" s="25" t="str">
        <f>IF(J5332&lt;&gt;1,"",IF(I5332="SBJ","CB","?"))</f>
        <v> </v>
      </c>
      <c r="I5332" s="26" t="str">
        <f>IF(OR(E5332="",E5332="!!!",F5332="NEW"),"",INDEX(B5331:B$2,-1+SUMPRODUCT(MAX(ROW(E5331:E$2)*(E5332=E5331:E$2)))))</f>
        <v> </v>
      </c>
      <c r="J5332" s="26" t="str">
        <f>IF(OR(E5332="",E5332="!!!",F5332="NEW"),"",COUNTBLANK(OFFSET(A$1,,,SUMPRODUCT(MAX(ROW(E$2:E5332)*(E5332=E$2:E5332)))))-COUNTBLANK(OFFSET(A$1,,,SUMPRODUCT(MAX(ROW(E$1:E5331)*(E2=E$1:E5331))))))</f>
        <v> </v>
      </c>
      <c r="K5332" s="26" t="str">
        <f>IF(OR(E5332="",E5332="!!!",F5332="NEW"),"",INDEX(J$1:J5331,SUMPRODUCT(MAX(ROW(E$1:E5331)*(E5332=E$1:E5331)))))</f>
        <v> </v>
      </c>
      <c r="L5332" s="27"/>
    </row>
    <row r="5333" spans="1:12">
      <c r="A5333" s="20" t="s">
        <v>2389</v>
      </c>
      <c r="B5333" s="21" t="s">
        <v>1010</v>
      </c>
      <c r="C5333" s="21" t="s">
        <v>1015</v>
      </c>
      <c r="D5333" s="21" t="s">
        <v>997</v>
      </c>
      <c r="E5333" s="22">
        <f>IF(D5333="?OLD","!!!","")</f>
        <v/>
      </c>
      <c r="F5333" s="23" t="str">
        <f>IF(OR(E5333="",E5333="!!!"),"",IF(NOT(ISNA(VLOOKUP(E5333,E$1:E5332,1,FALSE()))),"OLD",IF(AND(E5333&lt;&gt;"",E5333&lt;&gt;"!!!"),"NEW","")))</f>
        <v> </v>
      </c>
      <c r="G5333" s="24" t="str">
        <f>IF(OR(E5333="",E5333="!!!"),"",IF(OR(J5333=0,AND(J5333=1,K5333=1),AND(J5333=1,I5333="SBJ"),AND(J5333=1,I5333=0)),"?IN_FOCUS",IF(J5333&lt;=2,"?ACTIVATED",IF(J5333&lt;&gt;"","?FAMILIAR",IF(F5333="NEW",IF(ISNA(VLOOKUP(E5333,#REF!,1,FALSE())),"?TYPE_IDENTIFIABLE","?REFERENTIAL"),"_")))))</f>
        <v> </v>
      </c>
      <c r="H5333" s="25" t="str">
        <f>IF(J5333&lt;&gt;1,"",IF(I5333="SBJ","CB","?"))</f>
        <v> </v>
      </c>
      <c r="I5333" s="26" t="str">
        <f>IF(OR(E5333="",E5333="!!!",F5333="NEW"),"",INDEX(B5332:B$2,-1+SUMPRODUCT(MAX(ROW(E5332:E$2)*(E5333=E5332:E$2)))))</f>
        <v> </v>
      </c>
      <c r="J5333" s="26" t="str">
        <f>IF(OR(E5333="",E5333="!!!",F5333="NEW"),"",COUNTBLANK(OFFSET(A$1,,,SUMPRODUCT(MAX(ROW(E$2:E5333)*(E5333=E$2:E5333)))))-COUNTBLANK(OFFSET(A$1,,,SUMPRODUCT(MAX(ROW(E$1:E5332)*(E2=E$1:E5332))))))</f>
        <v> </v>
      </c>
      <c r="K5333" s="26" t="str">
        <f>IF(OR(E5333="",E5333="!!!",F5333="NEW"),"",INDEX(J$1:J5332,SUMPRODUCT(MAX(ROW(E$1:E5332)*(E5333=E$1:E5332)))))</f>
        <v> </v>
      </c>
      <c r="L5333" s="27"/>
    </row>
    <row r="5334" spans="1:12">
      <c r="A5334" s="20" t="s">
        <v>1041</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1249</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1083</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1084</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t="s">
        <v>1154</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1767</v>
      </c>
      <c r="B5339" s="21" t="s">
        <v>1001</v>
      </c>
      <c r="C5339" s="21" t="s">
        <v>1015</v>
      </c>
      <c r="D5339" s="21" t="s">
        <v>997</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t="s">
        <v>1080</v>
      </c>
      <c r="B5340" s="21" t="s">
        <v>1114</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2390</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1060</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1869</v>
      </c>
      <c r="B5343" s="21" t="s">
        <v>1088</v>
      </c>
      <c r="C5343" s="21" t="s">
        <v>1034</v>
      </c>
      <c r="D5343" s="21" t="s">
        <v>997</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1191</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2391</v>
      </c>
      <c r="B5345" s="21" t="s">
        <v>1112</v>
      </c>
      <c r="C5345" s="21" t="s">
        <v>1006</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t="s">
        <v>1041</v>
      </c>
      <c r="E5346" s="22">
        <f>IF(D5346="?OLD","!!!","")</f>
        <v/>
      </c>
      <c r="F5346" s="23" t="str">
        <f>IF(OR(E5346="",E5346="!!!"),"",IF(NOT(ISNA(VLOOKUP(E5346,E$1:E5345,1,FALSE()))),"OLD",IF(AND(E5346&lt;&gt;"",E5346&lt;&gt;"!!!"),"NEW","")))</f>
        <v> </v>
      </c>
      <c r="G5346" s="24" t="str">
        <f>IF(OR(E5346="",E5346="!!!"),"",IF(OR(J5346=0,AND(J5346=1,K5346=1),AND(J5346=1,I5346="SBJ"),AND(J5346=1,I5346=0)),"?IN_FOCUS",IF(J5346&lt;=2,"?ACTIVATED",IF(J5346&lt;&gt;"","?FAMILIAR",IF(F5346="NEW",IF(ISNA(VLOOKUP(E5346,#REF!,1,FALSE())),"?TYPE_IDENTIFIABLE","?REFERENTIAL"),"_")))))</f>
        <v> </v>
      </c>
      <c r="H5346" s="25" t="str">
        <f>IF(J5346&lt;&gt;1,"",IF(I5346="SBJ","CB","?"))</f>
        <v> </v>
      </c>
      <c r="I5346" s="26" t="str">
        <f>IF(OR(E5346="",E5346="!!!",F5346="NEW"),"",INDEX(B5345:B$2,-1+SUMPRODUCT(MAX(ROW(E5345:E$2)*(E5346=E5345:E$2)))))</f>
        <v> </v>
      </c>
      <c r="J5346" s="26" t="str">
        <f>IF(OR(E5346="",E5346="!!!",F5346="NEW"),"",COUNTBLANK(OFFSET(A$1,,,SUMPRODUCT(MAX(ROW(E$2:E5346)*(E5346=E$2:E5346)))))-COUNTBLANK(OFFSET(A$1,,,SUMPRODUCT(MAX(ROW(E$1:E5345)*(E2=E$1:E5345))))))</f>
        <v> </v>
      </c>
      <c r="K5346" s="26" t="str">
        <f>IF(OR(E5346="",E5346="!!!",F5346="NEW"),"",INDEX(J$1:J5345,SUMPRODUCT(MAX(ROW(E$1:E5345)*(E5346=E$1:E5345)))))</f>
        <v> </v>
      </c>
      <c r="L5346" s="27"/>
    </row>
    <row r="5347" spans="1:12">
      <c r="A5347" s="20" t="s">
        <v>1175</v>
      </c>
      <c r="B5347" s="21" t="s">
        <v>1142</v>
      </c>
      <c r="C5347" s="21" t="s">
        <v>1015</v>
      </c>
      <c r="D5347" s="21" t="s">
        <v>997</v>
      </c>
      <c r="E5347" s="22">
        <f>IF(D5347="?OLD","!!!","")</f>
        <v/>
      </c>
      <c r="F5347" s="23" t="str">
        <f>IF(OR(E5347="",E5347="!!!"),"",IF(NOT(ISNA(VLOOKUP(E5347,E$1:E5346,1,FALSE()))),"OLD",IF(AND(E5347&lt;&gt;"",E5347&lt;&gt;"!!!"),"NEW","")))</f>
        <v> </v>
      </c>
      <c r="G5347" s="24" t="str">
        <f>IF(OR(E5347="",E5347="!!!"),"",IF(OR(J5347=0,AND(J5347=1,K5347=1),AND(J5347=1,I5347="SBJ"),AND(J5347=1,I5347=0)),"?IN_FOCUS",IF(J5347&lt;=2,"?ACTIVATED",IF(J5347&lt;&gt;"","?FAMILIAR",IF(F5347="NEW",IF(ISNA(VLOOKUP(E5347,#REF!,1,FALSE())),"?TYPE_IDENTIFIABLE","?REFERENTIAL"),"_")))))</f>
        <v> </v>
      </c>
      <c r="H5347" s="25" t="str">
        <f>IF(J5347&lt;&gt;1,"",IF(I5347="SBJ","CB","?"))</f>
        <v> </v>
      </c>
      <c r="I5347" s="26" t="str">
        <f>IF(OR(E5347="",E5347="!!!",F5347="NEW"),"",INDEX(B5346:B$2,-1+SUMPRODUCT(MAX(ROW(E5346:E$2)*(E5347=E5346:E$2)))))</f>
        <v> </v>
      </c>
      <c r="J5347" s="26" t="str">
        <f>IF(OR(E5347="",E5347="!!!",F5347="NEW"),"",COUNTBLANK(OFFSET(A$1,,,SUMPRODUCT(MAX(ROW(E$2:E5347)*(E5347=E$2:E5347)))))-COUNTBLANK(OFFSET(A$1,,,SUMPRODUCT(MAX(ROW(E$1:E5346)*(E2=E$1:E5346))))))</f>
        <v> </v>
      </c>
      <c r="K5347" s="26" t="str">
        <f>IF(OR(E5347="",E5347="!!!",F5347="NEW"),"",INDEX(J$1:J5346,SUMPRODUCT(MAX(ROW(E$1:E5346)*(E5347=E$1:E5346)))))</f>
        <v> </v>
      </c>
      <c r="L5347" s="27"/>
    </row>
    <row r="5348" spans="1:12">
      <c r="A5348" s="20" t="s">
        <v>423</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1144</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1869</v>
      </c>
      <c r="B5350" s="21" t="s">
        <v>1067</v>
      </c>
      <c r="C5350" s="21" t="s">
        <v>1089</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2392</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t="s">
        <v>1011</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row>
    <row r="5354" spans="1:12">
      <c r="A5354" s="20" t="s">
        <v>2393</v>
      </c>
    </row>
    <row r="5355" spans="1:12">
      <c r="A5355" s="20" t="s">
        <v>1099</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1084</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1154</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1061</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1988</v>
      </c>
      <c r="B5359" s="21" t="s">
        <v>1101</v>
      </c>
      <c r="C5359" s="21" t="s">
        <v>1034</v>
      </c>
      <c r="D5359" s="21" t="s">
        <v>997</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1008</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1720</v>
      </c>
      <c r="B5361" s="21" t="s">
        <v>1005</v>
      </c>
      <c r="C5361" s="21" t="s">
        <v>1006</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1693</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1041</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1079</v>
      </c>
      <c r="B5364" s="21" t="s">
        <v>1005</v>
      </c>
      <c r="C5364" s="21" t="s">
        <v>1015</v>
      </c>
      <c r="D5364" s="21" t="s">
        <v>997</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1080</v>
      </c>
      <c r="B5365" s="21" t="s">
        <v>1114</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t="s">
        <v>1966</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1018</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1019</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1675</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1041</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1249</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1175</v>
      </c>
      <c r="B5372" s="21" t="s">
        <v>1142</v>
      </c>
      <c r="C5372" s="21" t="s">
        <v>1015</v>
      </c>
      <c r="D5372" s="21" t="s">
        <v>997</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423</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1221</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1079</v>
      </c>
      <c r="B5375" s="21" t="s">
        <v>1067</v>
      </c>
      <c r="C5375" s="21" t="s">
        <v>1015</v>
      </c>
      <c r="D5375" s="21" t="s">
        <v>997</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1082</v>
      </c>
      <c r="B5376" s="21" t="s">
        <v>1039</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1257</v>
      </c>
      <c r="B5377" s="21" t="s">
        <v>1027</v>
      </c>
      <c r="C5377" s="21" t="s">
        <v>996</v>
      </c>
      <c r="D5377" s="21" t="s">
        <v>997</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2394</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1733</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1008</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1044</v>
      </c>
      <c r="B5381" s="21" t="s">
        <v>1010</v>
      </c>
      <c r="C5381" s="21" t="s">
        <v>996</v>
      </c>
      <c r="D5381" s="21" t="s">
        <v>997</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1011</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row>
    <row r="5384" spans="1:12">
      <c r="A5384" s="20" t="s">
        <v>2395</v>
      </c>
    </row>
    <row r="5385" spans="1:12">
      <c r="A5385" s="20" t="s">
        <v>1621</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1041</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1083</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1084</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t="s">
        <v>1154</v>
      </c>
      <c r="E5389" s="22">
        <f>IF(D5389="?OLD","!!!","")</f>
        <v/>
      </c>
      <c r="F5389" s="23" t="str">
        <f>IF(OR(E5389="",E5389="!!!"),"",IF(NOT(ISNA(VLOOKUP(E5389,E$1:E5388,1,FALSE()))),"OLD",IF(AND(E5389&lt;&gt;"",E5389&lt;&gt;"!!!"),"NEW","")))</f>
        <v> </v>
      </c>
      <c r="G5389" s="24" t="str">
        <f>IF(OR(E5389="",E5389="!!!"),"",IF(OR(J5389=0,AND(J5389=1,K5389=1),AND(J5389=1,I5389="SBJ"),AND(J5389=1,I5389=0)),"?IN_FOCUS",IF(J5389&lt;=2,"?ACTIVATED",IF(J5389&lt;&gt;"","?FAMILIAR",IF(F5389="NEW",IF(ISNA(VLOOKUP(E5389,#REF!,1,FALSE())),"?TYPE_IDENTIFIABLE","?REFERENTIAL"),"_")))))</f>
        <v> </v>
      </c>
      <c r="H5389" s="25" t="str">
        <f>IF(J5389&lt;&gt;1,"",IF(I5389="SBJ","CB","?"))</f>
        <v> </v>
      </c>
      <c r="I5389" s="26" t="str">
        <f>IF(OR(E5389="",E5389="!!!",F5389="NEW"),"",INDEX(B5388:B$2,-1+SUMPRODUCT(MAX(ROW(E5388:E$2)*(E5389=E5388:E$2)))))</f>
        <v> </v>
      </c>
      <c r="J5389" s="26" t="str">
        <f>IF(OR(E5389="",E5389="!!!",F5389="NEW"),"",COUNTBLANK(OFFSET(A$1,,,SUMPRODUCT(MAX(ROW(E$2:E5389)*(E5389=E$2:E5389)))))-COUNTBLANK(OFFSET(A$1,,,SUMPRODUCT(MAX(ROW(E$1:E5388)*(E2=E$1:E5388))))))</f>
        <v> </v>
      </c>
      <c r="K5389" s="26" t="str">
        <f>IF(OR(E5389="",E5389="!!!",F5389="NEW"),"",INDEX(J$1:J5388,SUMPRODUCT(MAX(ROW(E$1:E5388)*(E5389=E$1:E5388)))))</f>
        <v> </v>
      </c>
      <c r="L5389" s="27"/>
    </row>
    <row r="5390" spans="1:12">
      <c r="A5390" s="20" t="s">
        <v>1475</v>
      </c>
      <c r="E5390" s="22">
        <f>IF(D5390="?OLD","!!!","")</f>
        <v/>
      </c>
      <c r="F5390" s="23" t="str">
        <f>IF(OR(E5390="",E5390="!!!"),"",IF(NOT(ISNA(VLOOKUP(E5390,E$1:E5389,1,FALSE()))),"OLD",IF(AND(E5390&lt;&gt;"",E5390&lt;&gt;"!!!"),"NEW","")))</f>
        <v> </v>
      </c>
      <c r="G5390" s="24" t="str">
        <f>IF(OR(E5390="",E5390="!!!"),"",IF(OR(J5390=0,AND(J5390=1,K5390=1),AND(J5390=1,I5390="SBJ"),AND(J5390=1,I5390=0)),"?IN_FOCUS",IF(J5390&lt;=2,"?ACTIVATED",IF(J5390&lt;&gt;"","?FAMILIAR",IF(F5390="NEW",IF(ISNA(VLOOKUP(E5390,#REF!,1,FALSE())),"?TYPE_IDENTIFIABLE","?REFERENTIAL"),"_")))))</f>
        <v> </v>
      </c>
      <c r="H5390" s="25" t="str">
        <f>IF(J5390&lt;&gt;1,"",IF(I5390="SBJ","CB","?"))</f>
        <v> </v>
      </c>
      <c r="I5390" s="26" t="str">
        <f>IF(OR(E5390="",E5390="!!!",F5390="NEW"),"",INDEX(B5389:B$2,-1+SUMPRODUCT(MAX(ROW(E5389:E$2)*(E5390=E5389:E$2)))))</f>
        <v> </v>
      </c>
      <c r="J5390" s="26" t="str">
        <f>IF(OR(E5390="",E5390="!!!",F5390="NEW"),"",COUNTBLANK(OFFSET(A$1,,,SUMPRODUCT(MAX(ROW(E$2:E5390)*(E5390=E$2:E5390)))))-COUNTBLANK(OFFSET(A$1,,,SUMPRODUCT(MAX(ROW(E$1:E5389)*(E2=E$1:E5389))))))</f>
        <v> </v>
      </c>
      <c r="K5390" s="26" t="str">
        <f>IF(OR(E5390="",E5390="!!!",F5390="NEW"),"",INDEX(J$1:J5389,SUMPRODUCT(MAX(ROW(E$1:E5389)*(E5390=E$1:E5389)))))</f>
        <v> </v>
      </c>
      <c r="L5390" s="27"/>
    </row>
    <row r="5391" spans="1:12">
      <c r="A5391" s="20" t="s">
        <v>1886</v>
      </c>
      <c r="B5391" s="21" t="s">
        <v>1101</v>
      </c>
      <c r="C5391" s="21" t="s">
        <v>1239</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1041</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1249</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1032</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2396</v>
      </c>
      <c r="B5395" s="21" t="s">
        <v>1005</v>
      </c>
      <c r="C5395" s="21" t="s">
        <v>1028</v>
      </c>
      <c r="D5395" s="21" t="s">
        <v>997</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1008</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1116</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737</v>
      </c>
      <c r="B5398" s="21" t="s">
        <v>1010</v>
      </c>
      <c r="C5398" s="21" t="s">
        <v>1015</v>
      </c>
      <c r="D5398" s="21" t="s">
        <v>997</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1041</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t="s">
        <v>1175</v>
      </c>
      <c r="B5400" s="21" t="s">
        <v>1142</v>
      </c>
      <c r="C5400" s="21" t="s">
        <v>1015</v>
      </c>
      <c r="D5400" s="21" t="s">
        <v>997</v>
      </c>
      <c r="E5400" s="22">
        <f>IF(D5400="?OLD","!!!","")</f>
        <v/>
      </c>
      <c r="F5400" s="23" t="str">
        <f>IF(OR(E5400="",E5400="!!!"),"",IF(NOT(ISNA(VLOOKUP(E5400,E$1:E5399,1,FALSE()))),"OLD",IF(AND(E5400&lt;&gt;"",E5400&lt;&gt;"!!!"),"NEW","")))</f>
        <v> </v>
      </c>
      <c r="G5400" s="24" t="str">
        <f>IF(OR(E5400="",E5400="!!!"),"",IF(OR(J5400=0,AND(J5400=1,K5400=1),AND(J5400=1,I5400="SBJ"),AND(J5400=1,I5400=0)),"?IN_FOCUS",IF(J5400&lt;=2,"?ACTIVATED",IF(J5400&lt;&gt;"","?FAMILIAR",IF(F5400="NEW",IF(ISNA(VLOOKUP(E5400,#REF!,1,FALSE())),"?TYPE_IDENTIFIABLE","?REFERENTIAL"),"_")))))</f>
        <v> </v>
      </c>
      <c r="H5400" s="25" t="str">
        <f>IF(J5400&lt;&gt;1,"",IF(I5400="SBJ","CB","?"))</f>
        <v> </v>
      </c>
      <c r="I5400" s="26" t="str">
        <f>IF(OR(E5400="",E5400="!!!",F5400="NEW"),"",INDEX(B5399:B$2,-1+SUMPRODUCT(MAX(ROW(E5399:E$2)*(E5400=E5399:E$2)))))</f>
        <v> </v>
      </c>
      <c r="J5400" s="26" t="str">
        <f>IF(OR(E5400="",E5400="!!!",F5400="NEW"),"",COUNTBLANK(OFFSET(A$1,,,SUMPRODUCT(MAX(ROW(E$2:E5400)*(E5400=E$2:E5400)))))-COUNTBLANK(OFFSET(A$1,,,SUMPRODUCT(MAX(ROW(E$1:E5399)*(E2=E$1:E5399))))))</f>
        <v> </v>
      </c>
      <c r="K5400" s="26" t="str">
        <f>IF(OR(E5400="",E5400="!!!",F5400="NEW"),"",INDEX(J$1:J5399,SUMPRODUCT(MAX(ROW(E$1:E5399)*(E5400=E$1:E5399)))))</f>
        <v> </v>
      </c>
      <c r="L5400" s="27"/>
    </row>
    <row r="5401" spans="1:12">
      <c r="A5401" s="20" t="s">
        <v>423</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t="s">
        <v>1082</v>
      </c>
      <c r="E5402" s="22">
        <f>IF(D5402="?OLD","!!!","")</f>
        <v/>
      </c>
      <c r="F5402" s="23" t="str">
        <f>IF(OR(E5402="",E5402="!!!"),"",IF(NOT(ISNA(VLOOKUP(E5402,E$1:E5401,1,FALSE()))),"OLD",IF(AND(E5402&lt;&gt;"",E5402&lt;&gt;"!!!"),"NEW","")))</f>
        <v> </v>
      </c>
      <c r="G5402" s="24" t="str">
        <f>IF(OR(E5402="",E5402="!!!"),"",IF(OR(J5402=0,AND(J5402=1,K5402=1),AND(J5402=1,I5402="SBJ"),AND(J5402=1,I5402=0)),"?IN_FOCUS",IF(J5402&lt;=2,"?ACTIVATED",IF(J5402&lt;&gt;"","?FAMILIAR",IF(F5402="NEW",IF(ISNA(VLOOKUP(E5402,#REF!,1,FALSE())),"?TYPE_IDENTIFIABLE","?REFERENTIAL"),"_")))))</f>
        <v> </v>
      </c>
      <c r="H5402" s="25" t="str">
        <f>IF(J5402&lt;&gt;1,"",IF(I5402="SBJ","CB","?"))</f>
        <v> </v>
      </c>
      <c r="I5402" s="26" t="str">
        <f>IF(OR(E5402="",E5402="!!!",F5402="NEW"),"",INDEX(B5401:B$2,-1+SUMPRODUCT(MAX(ROW(E5401:E$2)*(E5402=E5401:E$2)))))</f>
        <v> </v>
      </c>
      <c r="J5402" s="26" t="str">
        <f>IF(OR(E5402="",E5402="!!!",F5402="NEW"),"",COUNTBLANK(OFFSET(A$1,,,SUMPRODUCT(MAX(ROW(E$2:E5402)*(E5402=E$2:E5402)))))-COUNTBLANK(OFFSET(A$1,,,SUMPRODUCT(MAX(ROW(E$1:E5401)*(E2=E$1:E5401))))))</f>
        <v> </v>
      </c>
      <c r="K5402" s="26" t="str">
        <f>IF(OR(E5402="",E5402="!!!",F5402="NEW"),"",INDEX(J$1:J5401,SUMPRODUCT(MAX(ROW(E$1:E5401)*(E5402=E$1:E5401)))))</f>
        <v> </v>
      </c>
      <c r="L5402" s="27"/>
    </row>
    <row r="5403" spans="1:12">
      <c r="A5403" s="20" t="s">
        <v>1144</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t="s">
        <v>2397</v>
      </c>
      <c r="B5404" s="21" t="s">
        <v>1067</v>
      </c>
      <c r="C5404" s="21" t="s">
        <v>1089</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1003</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t="s">
        <v>1944</v>
      </c>
      <c r="B5406" s="21" t="s">
        <v>1005</v>
      </c>
      <c r="C5406" s="21" t="s">
        <v>1006</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2398</v>
      </c>
      <c r="B5407" s="21" t="s">
        <v>1010</v>
      </c>
      <c r="C5407" s="21" t="s">
        <v>1006</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t="s">
        <v>1018</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2399</v>
      </c>
      <c r="B5409" s="21" t="s">
        <v>1005</v>
      </c>
      <c r="C5409" s="21" t="s">
        <v>1295</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1008</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1717</v>
      </c>
      <c r="B5411" s="21" t="s">
        <v>1010</v>
      </c>
      <c r="C5411" s="21" t="s">
        <v>1006</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1054</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1003</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t="s">
        <v>1004</v>
      </c>
      <c r="B5414" s="21" t="s">
        <v>1024</v>
      </c>
      <c r="C5414" s="21" t="s">
        <v>1006</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1082</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t="s">
        <v>1144</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2397</v>
      </c>
      <c r="B5417" s="21" t="s">
        <v>1010</v>
      </c>
      <c r="C5417" s="21" t="s">
        <v>1089</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1008</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1041</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1823</v>
      </c>
      <c r="B5420" s="21" t="s">
        <v>1024</v>
      </c>
      <c r="C5420" s="21" t="s">
        <v>1006</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1041</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t="s">
        <v>1008</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t="s">
        <v>1165</v>
      </c>
      <c r="B5423" s="21" t="s">
        <v>1112</v>
      </c>
      <c r="C5423" s="21" t="s">
        <v>1006</v>
      </c>
      <c r="E5423" s="22">
        <f>IF(D5423="?OLD","!!!","")</f>
        <v/>
      </c>
      <c r="F5423" s="23" t="str">
        <f>IF(OR(E5423="",E5423="!!!"),"",IF(NOT(ISNA(VLOOKUP(E5423,E$1:E5422,1,FALSE()))),"OLD",IF(AND(E5423&lt;&gt;"",E5423&lt;&gt;"!!!"),"NEW","")))</f>
        <v> </v>
      </c>
      <c r="G5423" s="24" t="str">
        <f>IF(OR(E5423="",E5423="!!!"),"",IF(OR(J5423=0,AND(J5423=1,K5423=1),AND(J5423=1,I5423="SBJ"),AND(J5423=1,I5423=0)),"?IN_FOCUS",IF(J5423&lt;=2,"?ACTIVATED",IF(J5423&lt;&gt;"","?FAMILIAR",IF(F5423="NEW",IF(ISNA(VLOOKUP(E5423,#REF!,1,FALSE())),"?TYPE_IDENTIFIABLE","?REFERENTIAL"),"_")))))</f>
        <v> </v>
      </c>
      <c r="H5423" s="25" t="str">
        <f>IF(J5423&lt;&gt;1,"",IF(I5423="SBJ","CB","?"))</f>
        <v> </v>
      </c>
      <c r="I5423" s="26" t="str">
        <f>IF(OR(E5423="",E5423="!!!",F5423="NEW"),"",INDEX(B5422:B$2,-1+SUMPRODUCT(MAX(ROW(E5422:E$2)*(E5423=E5422:E$2)))))</f>
        <v> </v>
      </c>
      <c r="J5423" s="26" t="str">
        <f>IF(OR(E5423="",E5423="!!!",F5423="NEW"),"",COUNTBLANK(OFFSET(A$1,,,SUMPRODUCT(MAX(ROW(E$2:E5423)*(E5423=E$2:E5423)))))-COUNTBLANK(OFFSET(A$1,,,SUMPRODUCT(MAX(ROW(E$1:E5422)*(E2=E$1:E5422))))))</f>
        <v> </v>
      </c>
      <c r="K5423" s="26" t="str">
        <f>IF(OR(E5423="",E5423="!!!",F5423="NEW"),"",INDEX(J$1:J5422,SUMPRODUCT(MAX(ROW(E$1:E5422)*(E5423=E$1:E5422)))))</f>
        <v> </v>
      </c>
      <c r="L5423" s="27"/>
    </row>
    <row r="5424" spans="1:12">
      <c r="A5424" s="20" t="s">
        <v>1041</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1007</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1082</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2400</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1041</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1141</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1060</v>
      </c>
      <c r="B5430" s="21" t="s">
        <v>1027</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1194</v>
      </c>
      <c r="B5431" s="21" t="s">
        <v>1024</v>
      </c>
      <c r="C5431" s="21" t="s">
        <v>1133</v>
      </c>
      <c r="D5431" s="21" t="s">
        <v>997</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1256</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2401</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1037</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2402</v>
      </c>
      <c r="B5435" s="21" t="s">
        <v>1088</v>
      </c>
      <c r="C5435" s="21" t="s">
        <v>1034</v>
      </c>
      <c r="D5435" s="21" t="s">
        <v>997</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1217</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1041</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1175</v>
      </c>
      <c r="B5438" s="21" t="s">
        <v>1142</v>
      </c>
      <c r="C5438" s="21" t="s">
        <v>1015</v>
      </c>
      <c r="D5438" s="21" t="s">
        <v>997</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t="s">
        <v>423</v>
      </c>
      <c r="E5439" s="22">
        <f>IF(D5439="?OLD","!!!","")</f>
        <v/>
      </c>
      <c r="F5439" s="23" t="str">
        <f>IF(OR(E5439="",E5439="!!!"),"",IF(NOT(ISNA(VLOOKUP(E5439,E$1:E5438,1,FALSE()))),"OLD",IF(AND(E5439&lt;&gt;"",E5439&lt;&gt;"!!!"),"NEW","")))</f>
        <v> </v>
      </c>
      <c r="G5439" s="24" t="str">
        <f>IF(OR(E5439="",E5439="!!!"),"",IF(OR(J5439=0,AND(J5439=1,K5439=1),AND(J5439=1,I5439="SBJ"),AND(J5439=1,I5439=0)),"?IN_FOCUS",IF(J5439&lt;=2,"?ACTIVATED",IF(J5439&lt;&gt;"","?FAMILIAR",IF(F5439="NEW",IF(ISNA(VLOOKUP(E5439,#REF!,1,FALSE())),"?TYPE_IDENTIFIABLE","?REFERENTIAL"),"_")))))</f>
        <v> </v>
      </c>
      <c r="H5439" s="25" t="str">
        <f>IF(J5439&lt;&gt;1,"",IF(I5439="SBJ","CB","?"))</f>
        <v> </v>
      </c>
      <c r="I5439" s="26" t="str">
        <f>IF(OR(E5439="",E5439="!!!",F5439="NEW"),"",INDEX(B5438:B$2,-1+SUMPRODUCT(MAX(ROW(E5438:E$2)*(E5439=E5438:E$2)))))</f>
        <v> </v>
      </c>
      <c r="J5439" s="26" t="str">
        <f>IF(OR(E5439="",E5439="!!!",F5439="NEW"),"",COUNTBLANK(OFFSET(A$1,,,SUMPRODUCT(MAX(ROW(E$2:E5439)*(E5439=E$2:E5439)))))-COUNTBLANK(OFFSET(A$1,,,SUMPRODUCT(MAX(ROW(E$1:E5438)*(E2=E$1:E5438))))))</f>
        <v> </v>
      </c>
      <c r="K5439" s="26" t="str">
        <f>IF(OR(E5439="",E5439="!!!",F5439="NEW"),"",INDEX(J$1:J5438,SUMPRODUCT(MAX(ROW(E$1:E5438)*(E5439=E$1:E5438)))))</f>
        <v> </v>
      </c>
      <c r="L5439" s="27"/>
    </row>
    <row r="5440" spans="1:12">
      <c r="A5440" s="20" t="s">
        <v>1029</v>
      </c>
      <c r="E5440" s="22">
        <f>IF(D5440="?OLD","!!!","")</f>
        <v/>
      </c>
      <c r="F5440" s="23" t="str">
        <f>IF(OR(E5440="",E5440="!!!"),"",IF(NOT(ISNA(VLOOKUP(E5440,E$1:E5439,1,FALSE()))),"OLD",IF(AND(E5440&lt;&gt;"",E5440&lt;&gt;"!!!"),"NEW","")))</f>
        <v> </v>
      </c>
      <c r="G5440" s="24" t="str">
        <f>IF(OR(E5440="",E5440="!!!"),"",IF(OR(J5440=0,AND(J5440=1,K5440=1),AND(J5440=1,I5440="SBJ"),AND(J5440=1,I5440=0)),"?IN_FOCUS",IF(J5440&lt;=2,"?ACTIVATED",IF(J5440&lt;&gt;"","?FAMILIAR",IF(F5440="NEW",IF(ISNA(VLOOKUP(E5440,#REF!,1,FALSE())),"?TYPE_IDENTIFIABLE","?REFERENTIAL"),"_")))))</f>
        <v> </v>
      </c>
      <c r="H5440" s="25" t="str">
        <f>IF(J5440&lt;&gt;1,"",IF(I5440="SBJ","CB","?"))</f>
        <v> </v>
      </c>
      <c r="I5440" s="26" t="str">
        <f>IF(OR(E5440="",E5440="!!!",F5440="NEW"),"",INDEX(B5439:B$2,-1+SUMPRODUCT(MAX(ROW(E5439:E$2)*(E5440=E5439:E$2)))))</f>
        <v> </v>
      </c>
      <c r="J5440" s="26" t="str">
        <f>IF(OR(E5440="",E5440="!!!",F5440="NEW"),"",COUNTBLANK(OFFSET(A$1,,,SUMPRODUCT(MAX(ROW(E$2:E5440)*(E5440=E$2:E5440)))))-COUNTBLANK(OFFSET(A$1,,,SUMPRODUCT(MAX(ROW(E$1:E5439)*(E2=E$1:E5439))))))</f>
        <v> </v>
      </c>
      <c r="K5440" s="26" t="str">
        <f>IF(OR(E5440="",E5440="!!!",F5440="NEW"),"",INDEX(J$1:J5439,SUMPRODUCT(MAX(ROW(E$1:E5439)*(E5440=E$1:E5439)))))</f>
        <v> </v>
      </c>
      <c r="L5440" s="27"/>
    </row>
    <row r="5441" spans="1:12">
      <c r="A5441" s="20" t="s">
        <v>338</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2403</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1032</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2404</v>
      </c>
      <c r="B5444" s="21" t="s">
        <v>1039</v>
      </c>
      <c r="C5444" s="21" t="s">
        <v>1034</v>
      </c>
      <c r="D5444" s="21" t="s">
        <v>997</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1041</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t="s">
        <v>1230</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1041</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1060</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2405</v>
      </c>
      <c r="B5449" s="21" t="s">
        <v>1010</v>
      </c>
      <c r="C5449" s="21" t="s">
        <v>1034</v>
      </c>
      <c r="D5449" s="21" t="s">
        <v>997</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1007</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1061</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1736</v>
      </c>
      <c r="B5452" s="21" t="s">
        <v>1024</v>
      </c>
      <c r="C5452" s="21" t="s">
        <v>1034</v>
      </c>
      <c r="D5452" s="21" t="s">
        <v>997</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t="s">
        <v>1041</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t="s">
        <v>1061</v>
      </c>
      <c r="E5454" s="22">
        <f>IF(D5454="?OLD","!!!","")</f>
        <v/>
      </c>
      <c r="F5454" s="23" t="str">
        <f>IF(OR(E5454="",E5454="!!!"),"",IF(NOT(ISNA(VLOOKUP(E5454,E$1:E5453,1,FALSE()))),"OLD",IF(AND(E5454&lt;&gt;"",E5454&lt;&gt;"!!!"),"NEW","")))</f>
        <v> </v>
      </c>
      <c r="G5454" s="24" t="str">
        <f>IF(OR(E5454="",E5454="!!!"),"",IF(OR(J5454=0,AND(J5454=1,K5454=1),AND(J5454=1,I5454="SBJ"),AND(J5454=1,I5454=0)),"?IN_FOCUS",IF(J5454&lt;=2,"?ACTIVATED",IF(J5454&lt;&gt;"","?FAMILIAR",IF(F5454="NEW",IF(ISNA(VLOOKUP(E5454,#REF!,1,FALSE())),"?TYPE_IDENTIFIABLE","?REFERENTIAL"),"_")))))</f>
        <v> </v>
      </c>
      <c r="H5454" s="25" t="str">
        <f>IF(J5454&lt;&gt;1,"",IF(I5454="SBJ","CB","?"))</f>
        <v> </v>
      </c>
      <c r="I5454" s="26" t="str">
        <f>IF(OR(E5454="",E5454="!!!",F5454="NEW"),"",INDEX(B5453:B$2,-1+SUMPRODUCT(MAX(ROW(E5453:E$2)*(E5454=E5453:E$2)))))</f>
        <v> </v>
      </c>
      <c r="J5454" s="26" t="str">
        <f>IF(OR(E5454="",E5454="!!!",F5454="NEW"),"",COUNTBLANK(OFFSET(A$1,,,SUMPRODUCT(MAX(ROW(E$2:E5454)*(E5454=E$2:E5454)))))-COUNTBLANK(OFFSET(A$1,,,SUMPRODUCT(MAX(ROW(E$1:E5453)*(E2=E$1:E5453))))))</f>
        <v> </v>
      </c>
      <c r="K5454" s="26" t="str">
        <f>IF(OR(E5454="",E5454="!!!",F5454="NEW"),"",INDEX(J$1:J5453,SUMPRODUCT(MAX(ROW(E$1:E5453)*(E5454=E$1:E5453)))))</f>
        <v> </v>
      </c>
      <c r="L5454" s="27"/>
    </row>
    <row r="5455" spans="1:12">
      <c r="A5455" s="20" t="s">
        <v>2406</v>
      </c>
      <c r="B5455" s="21" t="s">
        <v>1024</v>
      </c>
      <c r="C5455" s="21" t="s">
        <v>1034</v>
      </c>
      <c r="D5455" s="21" t="s">
        <v>997</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1041</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1069</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1992</v>
      </c>
      <c r="B5458" s="21" t="s">
        <v>1024</v>
      </c>
      <c r="C5458" s="21" t="s">
        <v>1006</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1003</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t="s">
        <v>1216</v>
      </c>
      <c r="B5460" s="21" t="s">
        <v>1112</v>
      </c>
      <c r="C5460" s="21" t="s">
        <v>1006</v>
      </c>
      <c r="E5460" s="22">
        <f>IF(D5460="?OLD","!!!","")</f>
        <v/>
      </c>
      <c r="F5460" s="23" t="str">
        <f>IF(OR(E5460="",E5460="!!!"),"",IF(NOT(ISNA(VLOOKUP(E5460,E$1:E5459,1,FALSE()))),"OLD",IF(AND(E5460&lt;&gt;"",E5460&lt;&gt;"!!!"),"NEW","")))</f>
        <v> </v>
      </c>
      <c r="G5460" s="24" t="str">
        <f>IF(OR(E5460="",E5460="!!!"),"",IF(OR(J5460=0,AND(J5460=1,K5460=1),AND(J5460=1,I5460="SBJ"),AND(J5460=1,I5460=0)),"?IN_FOCUS",IF(J5460&lt;=2,"?ACTIVATED",IF(J5460&lt;&gt;"","?FAMILIAR",IF(F5460="NEW",IF(ISNA(VLOOKUP(E5460,#REF!,1,FALSE())),"?TYPE_IDENTIFIABLE","?REFERENTIAL"),"_")))))</f>
        <v> </v>
      </c>
      <c r="H5460" s="25" t="str">
        <f>IF(J5460&lt;&gt;1,"",IF(I5460="SBJ","CB","?"))</f>
        <v> </v>
      </c>
      <c r="I5460" s="26" t="str">
        <f>IF(OR(E5460="",E5460="!!!",F5460="NEW"),"",INDEX(B5459:B$2,-1+SUMPRODUCT(MAX(ROW(E5459:E$2)*(E5460=E5459:E$2)))))</f>
        <v> </v>
      </c>
      <c r="J5460" s="26" t="str">
        <f>IF(OR(E5460="",E5460="!!!",F5460="NEW"),"",COUNTBLANK(OFFSET(A$1,,,SUMPRODUCT(MAX(ROW(E$2:E5460)*(E5460=E$2:E5460)))))-COUNTBLANK(OFFSET(A$1,,,SUMPRODUCT(MAX(ROW(E$1:E5459)*(E2=E$1:E5459))))))</f>
        <v> </v>
      </c>
      <c r="K5460" s="26" t="str">
        <f>IF(OR(E5460="",E5460="!!!",F5460="NEW"),"",INDEX(J$1:J5459,SUMPRODUCT(MAX(ROW(E$1:E5459)*(E5460=E$1:E5459)))))</f>
        <v> </v>
      </c>
      <c r="L5460" s="27"/>
    </row>
    <row r="5461" spans="1:12">
      <c r="A5461" s="20" t="s">
        <v>1073</v>
      </c>
      <c r="E5461" s="22">
        <f>IF(D5461="?OLD","!!!","")</f>
        <v/>
      </c>
      <c r="F5461" s="23" t="str">
        <f>IF(OR(E5461="",E5461="!!!"),"",IF(NOT(ISNA(VLOOKUP(E5461,E$1:E5460,1,FALSE()))),"OLD",IF(AND(E5461&lt;&gt;"",E5461&lt;&gt;"!!!"),"NEW","")))</f>
        <v> </v>
      </c>
      <c r="G5461" s="24" t="str">
        <f>IF(OR(E5461="",E5461="!!!"),"",IF(OR(J5461=0,AND(J5461=1,K5461=1),AND(J5461=1,I5461="SBJ"),AND(J5461=1,I5461=0)),"?IN_FOCUS",IF(J5461&lt;=2,"?ACTIVATED",IF(J5461&lt;&gt;"","?FAMILIAR",IF(F5461="NEW",IF(ISNA(VLOOKUP(E5461,#REF!,1,FALSE())),"?TYPE_IDENTIFIABLE","?REFERENTIAL"),"_")))))</f>
        <v> </v>
      </c>
      <c r="H5461" s="25" t="str">
        <f>IF(J5461&lt;&gt;1,"",IF(I5461="SBJ","CB","?"))</f>
        <v> </v>
      </c>
      <c r="I5461" s="26" t="str">
        <f>IF(OR(E5461="",E5461="!!!",F5461="NEW"),"",INDEX(B5460:B$2,-1+SUMPRODUCT(MAX(ROW(E5460:E$2)*(E5461=E5460:E$2)))))</f>
        <v> </v>
      </c>
      <c r="J5461" s="26" t="str">
        <f>IF(OR(E5461="",E5461="!!!",F5461="NEW"),"",COUNTBLANK(OFFSET(A$1,,,SUMPRODUCT(MAX(ROW(E$2:E5461)*(E5461=E$2:E5461)))))-COUNTBLANK(OFFSET(A$1,,,SUMPRODUCT(MAX(ROW(E$1:E5460)*(E2=E$1:E5460))))))</f>
        <v> </v>
      </c>
      <c r="K5461" s="26" t="str">
        <f>IF(OR(E5461="",E5461="!!!",F5461="NEW"),"",INDEX(J$1:J5460,SUMPRODUCT(MAX(ROW(E$1:E5460)*(E5461=E$1:E5460)))))</f>
        <v> </v>
      </c>
      <c r="L5461" s="27"/>
    </row>
    <row r="5462" spans="1:12">
      <c r="A5462" s="20" t="s">
        <v>1032</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t="s">
        <v>2407</v>
      </c>
      <c r="B5463" s="21" t="s">
        <v>1182</v>
      </c>
      <c r="C5463" s="21" t="s">
        <v>1034</v>
      </c>
      <c r="D5463" s="21" t="s">
        <v>997</v>
      </c>
      <c r="E5463" s="22">
        <f>IF(D5463="?OLD","!!!","")</f>
        <v/>
      </c>
      <c r="F5463" s="23" t="str">
        <f>IF(OR(E5463="",E5463="!!!"),"",IF(NOT(ISNA(VLOOKUP(E5463,E$1:E5462,1,FALSE()))),"OLD",IF(AND(E5463&lt;&gt;"",E5463&lt;&gt;"!!!"),"NEW","")))</f>
        <v> </v>
      </c>
      <c r="G5463" s="24" t="str">
        <f>IF(OR(E5463="",E5463="!!!"),"",IF(OR(J5463=0,AND(J5463=1,K5463=1),AND(J5463=1,I5463="SBJ"),AND(J5463=1,I5463=0)),"?IN_FOCUS",IF(J5463&lt;=2,"?ACTIVATED",IF(J5463&lt;&gt;"","?FAMILIAR",IF(F5463="NEW",IF(ISNA(VLOOKUP(E5463,#REF!,1,FALSE())),"?TYPE_IDENTIFIABLE","?REFERENTIAL"),"_")))))</f>
        <v> </v>
      </c>
      <c r="H5463" s="25" t="str">
        <f>IF(J5463&lt;&gt;1,"",IF(I5463="SBJ","CB","?"))</f>
        <v> </v>
      </c>
      <c r="I5463" s="26" t="str">
        <f>IF(OR(E5463="",E5463="!!!",F5463="NEW"),"",INDEX(B5462:B$2,-1+SUMPRODUCT(MAX(ROW(E5462:E$2)*(E5463=E5462:E$2)))))</f>
        <v> </v>
      </c>
      <c r="J5463" s="26" t="str">
        <f>IF(OR(E5463="",E5463="!!!",F5463="NEW"),"",COUNTBLANK(OFFSET(A$1,,,SUMPRODUCT(MAX(ROW(E$2:E5463)*(E5463=E$2:E5463)))))-COUNTBLANK(OFFSET(A$1,,,SUMPRODUCT(MAX(ROW(E$1:E5462)*(E2=E$1:E5462))))))</f>
        <v> </v>
      </c>
      <c r="K5463" s="26" t="str">
        <f>IF(OR(E5463="",E5463="!!!",F5463="NEW"),"",INDEX(J$1:J5462,SUMPRODUCT(MAX(ROW(E$1:E5462)*(E5463=E$1:E5462)))))</f>
        <v> </v>
      </c>
      <c r="L5463" s="27"/>
    </row>
    <row r="5464" spans="1:12">
      <c r="A5464" s="20" t="s">
        <v>1007</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t="s">
        <v>1073</v>
      </c>
      <c r="E5465" s="22">
        <f>IF(D5465="?OLD","!!!","")</f>
        <v/>
      </c>
      <c r="F5465" s="23" t="str">
        <f>IF(OR(E5465="",E5465="!!!"),"",IF(NOT(ISNA(VLOOKUP(E5465,E$1:E5464,1,FALSE()))),"OLD",IF(AND(E5465&lt;&gt;"",E5465&lt;&gt;"!!!"),"NEW","")))</f>
        <v> </v>
      </c>
      <c r="G5465" s="24" t="str">
        <f>IF(OR(E5465="",E5465="!!!"),"",IF(OR(J5465=0,AND(J5465=1,K5465=1),AND(J5465=1,I5465="SBJ"),AND(J5465=1,I5465=0)),"?IN_FOCUS",IF(J5465&lt;=2,"?ACTIVATED",IF(J5465&lt;&gt;"","?FAMILIAR",IF(F5465="NEW",IF(ISNA(VLOOKUP(E5465,#REF!,1,FALSE())),"?TYPE_IDENTIFIABLE","?REFERENTIAL"),"_")))))</f>
        <v> </v>
      </c>
      <c r="H5465" s="25" t="str">
        <f>IF(J5465&lt;&gt;1,"",IF(I5465="SBJ","CB","?"))</f>
        <v> </v>
      </c>
      <c r="I5465" s="26" t="str">
        <f>IF(OR(E5465="",E5465="!!!",F5465="NEW"),"",INDEX(B5464:B$2,-1+SUMPRODUCT(MAX(ROW(E5464:E$2)*(E5465=E5464:E$2)))))</f>
        <v> </v>
      </c>
      <c r="J5465" s="26" t="str">
        <f>IF(OR(E5465="",E5465="!!!",F5465="NEW"),"",COUNTBLANK(OFFSET(A$1,,,SUMPRODUCT(MAX(ROW(E$2:E5465)*(E5465=E$2:E5465)))))-COUNTBLANK(OFFSET(A$1,,,SUMPRODUCT(MAX(ROW(E$1:E5464)*(E2=E$1:E5464))))))</f>
        <v> </v>
      </c>
      <c r="K5465" s="26" t="str">
        <f>IF(OR(E5465="",E5465="!!!",F5465="NEW"),"",INDEX(J$1:J5464,SUMPRODUCT(MAX(ROW(E$1:E5464)*(E5465=E$1:E5464)))))</f>
        <v> </v>
      </c>
      <c r="L5465" s="27"/>
    </row>
    <row r="5466" spans="1:12">
      <c r="A5466" s="20" t="s">
        <v>1061</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1696</v>
      </c>
      <c r="B5467" s="21" t="s">
        <v>1092</v>
      </c>
      <c r="C5467" s="21" t="s">
        <v>1034</v>
      </c>
      <c r="D5467" s="21" t="s">
        <v>997</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1041</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1061</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2291</v>
      </c>
      <c r="B5470" s="21" t="s">
        <v>1024</v>
      </c>
      <c r="C5470" s="21" t="s">
        <v>1034</v>
      </c>
      <c r="D5470" s="21" t="s">
        <v>997</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2408</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1109</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1144</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2409</v>
      </c>
      <c r="B5474" s="21" t="s">
        <v>1112</v>
      </c>
      <c r="C5474" s="21" t="s">
        <v>1089</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1029</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1695</v>
      </c>
      <c r="B5476" s="21" t="s">
        <v>1092</v>
      </c>
      <c r="C5476" s="21" t="s">
        <v>1006</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t="s">
        <v>1011</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row>
    <row r="5479" spans="1:12">
      <c r="A5479" s="20" t="s">
        <v>2410</v>
      </c>
    </row>
    <row r="5480" spans="1:12">
      <c r="A5480" s="20" t="s">
        <v>2252</v>
      </c>
      <c r="B5480" s="21" t="s">
        <v>1067</v>
      </c>
      <c r="C5480" s="21" t="s">
        <v>1015</v>
      </c>
      <c r="D5480" s="21" t="s">
        <v>997</v>
      </c>
      <c r="E5480" s="22">
        <f>IF(D5480="?OLD","!!!","")</f>
        <v/>
      </c>
      <c r="F5480" s="23" t="str">
        <f>IF(OR(E5480="",E5480="!!!"),"",IF(NOT(ISNA(VLOOKUP(E5480,E$1:E5479,1,FALSE()))),"OLD",IF(AND(E5480&lt;&gt;"",E5480&lt;&gt;"!!!"),"NEW","")))</f>
        <v> </v>
      </c>
      <c r="G5480" s="24" t="str">
        <f>IF(OR(E5480="",E5480="!!!"),"",IF(OR(J5480=0,AND(J5480=1,K5480=1),AND(J5480=1,I5480="SBJ"),AND(J5480=1,I5480=0)),"?IN_FOCUS",IF(J5480&lt;=2,"?ACTIVATED",IF(J5480&lt;&gt;"","?FAMILIAR",IF(F5480="NEW",IF(ISNA(VLOOKUP(E5480,#REF!,1,FALSE())),"?TYPE_IDENTIFIABLE","?REFERENTIAL"),"_")))))</f>
        <v> </v>
      </c>
      <c r="H5480" s="25" t="str">
        <f>IF(J5480&lt;&gt;1,"",IF(I5480="SBJ","CB","?"))</f>
        <v> </v>
      </c>
      <c r="I5480" s="26" t="str">
        <f>IF(OR(E5480="",E5480="!!!",F5480="NEW"),"",INDEX(B5479:B$2,-1+SUMPRODUCT(MAX(ROW(E5479:E$2)*(E5480=E5479:E$2)))))</f>
        <v> </v>
      </c>
      <c r="J5480" s="26" t="str">
        <f>IF(OR(E5480="",E5480="!!!",F5480="NEW"),"",COUNTBLANK(OFFSET(A$1,,,SUMPRODUCT(MAX(ROW(E$2:E5480)*(E5480=E$2:E5480)))))-COUNTBLANK(OFFSET(A$1,,,SUMPRODUCT(MAX(ROW(E$1:E5479)*(E2=E$1:E5479))))))</f>
        <v> </v>
      </c>
      <c r="K5480" s="26" t="str">
        <f>IF(OR(E5480="",E5480="!!!",F5480="NEW"),"",INDEX(J$1:J5479,SUMPRODUCT(MAX(ROW(E$1:E5479)*(E5480=E$1:E5479)))))</f>
        <v> </v>
      </c>
      <c r="L5480" s="27"/>
    </row>
    <row r="5481" spans="1:12">
      <c r="A5481" s="20" t="s">
        <v>1513</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1013</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1141</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737</v>
      </c>
      <c r="B5484" s="21" t="s">
        <v>1142</v>
      </c>
      <c r="C5484" s="21" t="s">
        <v>1015</v>
      </c>
      <c r="D5484" s="21" t="s">
        <v>997</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t="s">
        <v>1095</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2411</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1097</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1041</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1230</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1022</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158</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1275</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row>
    <row r="5494" spans="1:12">
      <c r="A5494" s="20" t="s">
        <v>2412</v>
      </c>
    </row>
    <row r="5495" spans="1:12">
      <c r="A5495" s="20" t="s">
        <v>2413</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1367</v>
      </c>
      <c r="B5496" s="21" t="s">
        <v>1001</v>
      </c>
      <c r="C5496" s="21" t="s">
        <v>996</v>
      </c>
      <c r="D5496" s="21" t="s">
        <v>997</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2076</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1029</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1687</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1008</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1037</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2075</v>
      </c>
      <c r="B5502" s="21" t="s">
        <v>1010</v>
      </c>
      <c r="C5502" s="21" t="s">
        <v>1034</v>
      </c>
      <c r="D5502" s="21" t="s">
        <v>997</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1003</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2414</v>
      </c>
      <c r="B5504" s="21" t="s">
        <v>1024</v>
      </c>
      <c r="C5504" s="21" t="s">
        <v>1006</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1049</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2415</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t="s">
        <v>1008</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t="s">
        <v>2416</v>
      </c>
      <c r="E5508" s="22">
        <f>IF(D5508="?OLD","!!!","")</f>
        <v/>
      </c>
      <c r="F5508" s="23" t="str">
        <f>IF(OR(E5508="",E5508="!!!"),"",IF(NOT(ISNA(VLOOKUP(E5508,E$1:E5507,1,FALSE()))),"OLD",IF(AND(E5508&lt;&gt;"",E5508&lt;&gt;"!!!"),"NEW","")))</f>
        <v> </v>
      </c>
      <c r="G5508" s="24" t="str">
        <f>IF(OR(E5508="",E5508="!!!"),"",IF(OR(J5508=0,AND(J5508=1,K5508=1),AND(J5508=1,I5508="SBJ"),AND(J5508=1,I5508=0)),"?IN_FOCUS",IF(J5508&lt;=2,"?ACTIVATED",IF(J5508&lt;&gt;"","?FAMILIAR",IF(F5508="NEW",IF(ISNA(VLOOKUP(E5508,#REF!,1,FALSE())),"?TYPE_IDENTIFIABLE","?REFERENTIAL"),"_")))))</f>
        <v> </v>
      </c>
      <c r="H5508" s="25" t="str">
        <f>IF(J5508&lt;&gt;1,"",IF(I5508="SBJ","CB","?"))</f>
        <v> </v>
      </c>
      <c r="I5508" s="26" t="str">
        <f>IF(OR(E5508="",E5508="!!!",F5508="NEW"),"",INDEX(B5507:B$2,-1+SUMPRODUCT(MAX(ROW(E5507:E$2)*(E5508=E5507:E$2)))))</f>
        <v> </v>
      </c>
      <c r="J5508" s="26" t="str">
        <f>IF(OR(E5508="",E5508="!!!",F5508="NEW"),"",COUNTBLANK(OFFSET(A$1,,,SUMPRODUCT(MAX(ROW(E$2:E5508)*(E5508=E$2:E5508)))))-COUNTBLANK(OFFSET(A$1,,,SUMPRODUCT(MAX(ROW(E$1:E5507)*(E2=E$1:E5507))))))</f>
        <v> </v>
      </c>
      <c r="K5508" s="26" t="str">
        <f>IF(OR(E5508="",E5508="!!!",F5508="NEW"),"",INDEX(J$1:J5507,SUMPRODUCT(MAX(ROW(E$1:E5507)*(E5508=E$1:E5507)))))</f>
        <v> </v>
      </c>
      <c r="L5508" s="27"/>
    </row>
    <row r="5509" spans="1:12">
      <c r="A5509" s="20" t="s">
        <v>2417</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1032</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1215</v>
      </c>
      <c r="B5511" s="21" t="s">
        <v>1301</v>
      </c>
      <c r="C5511" s="21" t="s">
        <v>1034</v>
      </c>
      <c r="D5511" s="21" t="s">
        <v>997</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1008</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1032</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t="s">
        <v>2407</v>
      </c>
      <c r="B5514" s="21" t="s">
        <v>1182</v>
      </c>
      <c r="C5514" s="21" t="s">
        <v>1034</v>
      </c>
      <c r="D5514" s="21" t="s">
        <v>997</v>
      </c>
      <c r="E5514" s="22">
        <f>IF(D5514="?OLD","!!!","")</f>
        <v/>
      </c>
      <c r="F5514" s="23" t="str">
        <f>IF(OR(E5514="",E5514="!!!"),"",IF(NOT(ISNA(VLOOKUP(E5514,E$1:E5513,1,FALSE()))),"OLD",IF(AND(E5514&lt;&gt;"",E5514&lt;&gt;"!!!"),"NEW","")))</f>
        <v> </v>
      </c>
      <c r="G5514" s="24" t="str">
        <f>IF(OR(E5514="",E5514="!!!"),"",IF(OR(J5514=0,AND(J5514=1,K5514=1),AND(J5514=1,I5514="SBJ"),AND(J5514=1,I5514=0)),"?IN_FOCUS",IF(J5514&lt;=2,"?ACTIVATED",IF(J5514&lt;&gt;"","?FAMILIAR",IF(F5514="NEW",IF(ISNA(VLOOKUP(E5514,#REF!,1,FALSE())),"?TYPE_IDENTIFIABLE","?REFERENTIAL"),"_")))))</f>
        <v> </v>
      </c>
      <c r="H5514" s="25" t="str">
        <f>IF(J5514&lt;&gt;1,"",IF(I5514="SBJ","CB","?"))</f>
        <v> </v>
      </c>
      <c r="I5514" s="26" t="str">
        <f>IF(OR(E5514="",E5514="!!!",F5514="NEW"),"",INDEX(B5513:B$2,-1+SUMPRODUCT(MAX(ROW(E5513:E$2)*(E5514=E5513:E$2)))))</f>
        <v> </v>
      </c>
      <c r="J5514" s="26" t="str">
        <f>IF(OR(E5514="",E5514="!!!",F5514="NEW"),"",COUNTBLANK(OFFSET(A$1,,,SUMPRODUCT(MAX(ROW(E$2:E5514)*(E5514=E$2:E5514)))))-COUNTBLANK(OFFSET(A$1,,,SUMPRODUCT(MAX(ROW(E$1:E5513)*(E2=E$1:E5513))))))</f>
        <v> </v>
      </c>
      <c r="K5514" s="26" t="str">
        <f>IF(OR(E5514="",E5514="!!!",F5514="NEW"),"",INDEX(J$1:J5513,SUMPRODUCT(MAX(ROW(E$1:E5513)*(E5514=E$1:E5513)))))</f>
        <v> </v>
      </c>
      <c r="L5514" s="27"/>
    </row>
    <row r="5515" spans="1:12">
      <c r="A5515" s="20" t="s">
        <v>1275</v>
      </c>
      <c r="E5515" s="22">
        <f>IF(D5515="?OLD","!!!","")</f>
        <v/>
      </c>
      <c r="F5515" s="23" t="str">
        <f>IF(OR(E5515="",E5515="!!!"),"",IF(NOT(ISNA(VLOOKUP(E5515,E$1:E5514,1,FALSE()))),"OLD",IF(AND(E5515&lt;&gt;"",E5515&lt;&gt;"!!!"),"NEW","")))</f>
        <v> </v>
      </c>
      <c r="G5515" s="24" t="str">
        <f>IF(OR(E5515="",E5515="!!!"),"",IF(OR(J5515=0,AND(J5515=1,K5515=1),AND(J5515=1,I5515="SBJ"),AND(J5515=1,I5515=0)),"?IN_FOCUS",IF(J5515&lt;=2,"?ACTIVATED",IF(J5515&lt;&gt;"","?FAMILIAR",IF(F5515="NEW",IF(ISNA(VLOOKUP(E5515,#REF!,1,FALSE())),"?TYPE_IDENTIFIABLE","?REFERENTIAL"),"_")))))</f>
        <v> </v>
      </c>
      <c r="H5515" s="25" t="str">
        <f>IF(J5515&lt;&gt;1,"",IF(I5515="SBJ","CB","?"))</f>
        <v> </v>
      </c>
      <c r="I5515" s="26" t="str">
        <f>IF(OR(E5515="",E5515="!!!",F5515="NEW"),"",INDEX(B5514:B$2,-1+SUMPRODUCT(MAX(ROW(E5514:E$2)*(E5515=E5514:E$2)))))</f>
        <v> </v>
      </c>
      <c r="J5515" s="26" t="str">
        <f>IF(OR(E5515="",E5515="!!!",F5515="NEW"),"",COUNTBLANK(OFFSET(A$1,,,SUMPRODUCT(MAX(ROW(E$2:E5515)*(E5515=E$2:E5515)))))-COUNTBLANK(OFFSET(A$1,,,SUMPRODUCT(MAX(ROW(E$1:E5514)*(E2=E$1:E5514))))))</f>
        <v> </v>
      </c>
      <c r="K5515" s="26" t="str">
        <f>IF(OR(E5515="",E5515="!!!",F5515="NEW"),"",INDEX(J$1:J5514,SUMPRODUCT(MAX(ROW(E$1:E5514)*(E5515=E$1:E5514)))))</f>
        <v> </v>
      </c>
      <c r="L5515" s="27"/>
    </row>
    <row r="5516" spans="1:12">
      <c r="A5516" s="20"/>
    </row>
    <row r="5517" spans="1:12">
      <c r="A5517" s="20" t="s">
        <v>2418</v>
      </c>
    </row>
    <row r="5518" spans="1:12">
      <c r="A5518" s="20" t="s">
        <v>741</v>
      </c>
      <c r="E5518" s="22">
        <f>IF(D5518="?OLD","!!!","")</f>
        <v/>
      </c>
      <c r="F5518" s="23" t="str">
        <f>IF(OR(E5518="",E5518="!!!"),"",IF(NOT(ISNA(VLOOKUP(E5518,E$1:E5517,1,FALSE()))),"OLD",IF(AND(E5518&lt;&gt;"",E5518&lt;&gt;"!!!"),"NEW","")))</f>
        <v> </v>
      </c>
      <c r="G5518" s="24" t="str">
        <f>IF(OR(E5518="",E5518="!!!"),"",IF(OR(J5518=0,AND(J5518=1,K5518=1),AND(J5518=1,I5518="SBJ"),AND(J5518=1,I5518=0)),"?IN_FOCUS",IF(J5518&lt;=2,"?ACTIVATED",IF(J5518&lt;&gt;"","?FAMILIAR",IF(F5518="NEW",IF(ISNA(VLOOKUP(E5518,#REF!,1,FALSE())),"?TYPE_IDENTIFIABLE","?REFERENTIAL"),"_")))))</f>
        <v> </v>
      </c>
      <c r="H5518" s="25" t="str">
        <f>IF(J5518&lt;&gt;1,"",IF(I5518="SBJ","CB","?"))</f>
        <v> </v>
      </c>
      <c r="I5518" s="26" t="str">
        <f>IF(OR(E5518="",E5518="!!!",F5518="NEW"),"",INDEX(B5517:B$2,-1+SUMPRODUCT(MAX(ROW(E5517:E$2)*(E5518=E5517:E$2)))))</f>
        <v> </v>
      </c>
      <c r="J5518" s="26" t="str">
        <f>IF(OR(E5518="",E5518="!!!",F5518="NEW"),"",COUNTBLANK(OFFSET(A$1,,,SUMPRODUCT(MAX(ROW(E$2:E5518)*(E5518=E$2:E5518)))))-COUNTBLANK(OFFSET(A$1,,,SUMPRODUCT(MAX(ROW(E$1:E5517)*(E2=E$1:E5517))))))</f>
        <v> </v>
      </c>
      <c r="K5518" s="26" t="str">
        <f>IF(OR(E5518="",E5518="!!!",F5518="NEW"),"",INDEX(J$1:J5517,SUMPRODUCT(MAX(ROW(E$1:E5517)*(E5518=E$1:E5517)))))</f>
        <v> </v>
      </c>
      <c r="L5518" s="27"/>
    </row>
    <row r="5519" spans="1:12">
      <c r="A5519" s="20" t="s">
        <v>1513</v>
      </c>
      <c r="E5519" s="22">
        <f>IF(D5519="?OLD","!!!","")</f>
        <v/>
      </c>
      <c r="F5519" s="23" t="str">
        <f>IF(OR(E5519="",E5519="!!!"),"",IF(NOT(ISNA(VLOOKUP(E5519,E$1:E5518,1,FALSE()))),"OLD",IF(AND(E5519&lt;&gt;"",E5519&lt;&gt;"!!!"),"NEW","")))</f>
        <v> </v>
      </c>
      <c r="G5519" s="24" t="str">
        <f>IF(OR(E5519="",E5519="!!!"),"",IF(OR(J5519=0,AND(J5519=1,K5519=1),AND(J5519=1,I5519="SBJ"),AND(J5519=1,I5519=0)),"?IN_FOCUS",IF(J5519&lt;=2,"?ACTIVATED",IF(J5519&lt;&gt;"","?FAMILIAR",IF(F5519="NEW",IF(ISNA(VLOOKUP(E5519,#REF!,1,FALSE())),"?TYPE_IDENTIFIABLE","?REFERENTIAL"),"_")))))</f>
        <v> </v>
      </c>
      <c r="H5519" s="25" t="str">
        <f>IF(J5519&lt;&gt;1,"",IF(I5519="SBJ","CB","?"))</f>
        <v> </v>
      </c>
      <c r="I5519" s="26" t="str">
        <f>IF(OR(E5519="",E5519="!!!",F5519="NEW"),"",INDEX(B5518:B$2,-1+SUMPRODUCT(MAX(ROW(E5518:E$2)*(E5519=E5518:E$2)))))</f>
        <v> </v>
      </c>
      <c r="J5519" s="26" t="str">
        <f>IF(OR(E5519="",E5519="!!!",F5519="NEW"),"",COUNTBLANK(OFFSET(A$1,,,SUMPRODUCT(MAX(ROW(E$2:E5519)*(E5519=E$2:E5519)))))-COUNTBLANK(OFFSET(A$1,,,SUMPRODUCT(MAX(ROW(E$1:E5518)*(E2=E$1:E5518))))))</f>
        <v> </v>
      </c>
      <c r="K5519" s="26" t="str">
        <f>IF(OR(E5519="",E5519="!!!",F5519="NEW"),"",INDEX(J$1:J5518,SUMPRODUCT(MAX(ROW(E$1:E5518)*(E5519=E$1:E5518)))))</f>
        <v> </v>
      </c>
      <c r="L5519" s="27"/>
    </row>
    <row r="5520" spans="1:12">
      <c r="A5520" s="20" t="s">
        <v>1210</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t="s">
        <v>1000</v>
      </c>
      <c r="B5521" s="21" t="s">
        <v>1142</v>
      </c>
      <c r="C5521" s="21" t="s">
        <v>996</v>
      </c>
      <c r="D5521" s="21" t="s">
        <v>997</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2419</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1109</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1202</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2420</v>
      </c>
      <c r="B5525" s="21" t="s">
        <v>1005</v>
      </c>
      <c r="C5525" s="21" t="s">
        <v>1068</v>
      </c>
      <c r="D5525" s="21" t="s">
        <v>997</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1041</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1079</v>
      </c>
      <c r="B5527" s="21" t="s">
        <v>1027</v>
      </c>
      <c r="C5527" s="21" t="s">
        <v>1015</v>
      </c>
      <c r="D5527" s="21" t="s">
        <v>997</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1149</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1487</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t="s">
        <v>1141</v>
      </c>
      <c r="E5530" s="22">
        <f>IF(D5530="?OLD","!!!","")</f>
        <v/>
      </c>
      <c r="F5530" s="23" t="str">
        <f>IF(OR(E5530="",E5530="!!!"),"",IF(NOT(ISNA(VLOOKUP(E5530,E$1:E5529,1,FALSE()))),"OLD",IF(AND(E5530&lt;&gt;"",E5530&lt;&gt;"!!!"),"NEW","")))</f>
        <v> </v>
      </c>
      <c r="G5530" s="24" t="str">
        <f>IF(OR(E5530="",E5530="!!!"),"",IF(OR(J5530=0,AND(J5530=1,K5530=1),AND(J5530=1,I5530="SBJ"),AND(J5530=1,I5530=0)),"?IN_FOCUS",IF(J5530&lt;=2,"?ACTIVATED",IF(J5530&lt;&gt;"","?FAMILIAR",IF(F5530="NEW",IF(ISNA(VLOOKUP(E5530,#REF!,1,FALSE())),"?TYPE_IDENTIFIABLE","?REFERENTIAL"),"_")))))</f>
        <v> </v>
      </c>
      <c r="H5530" s="25" t="str">
        <f>IF(J5530&lt;&gt;1,"",IF(I5530="SBJ","CB","?"))</f>
        <v> </v>
      </c>
      <c r="I5530" s="26" t="str">
        <f>IF(OR(E5530="",E5530="!!!",F5530="NEW"),"",INDEX(B5529:B$2,-1+SUMPRODUCT(MAX(ROW(E5529:E$2)*(E5530=E5529:E$2)))))</f>
        <v> </v>
      </c>
      <c r="J5530" s="26" t="str">
        <f>IF(OR(E5530="",E5530="!!!",F5530="NEW"),"",COUNTBLANK(OFFSET(A$1,,,SUMPRODUCT(MAX(ROW(E$2:E5530)*(E5530=E$2:E5530)))))-COUNTBLANK(OFFSET(A$1,,,SUMPRODUCT(MAX(ROW(E$1:E5529)*(E2=E$1:E5529))))))</f>
        <v> </v>
      </c>
      <c r="K5530" s="26" t="str">
        <f>IF(OR(E5530="",E5530="!!!",F5530="NEW"),"",INDEX(J$1:J5529,SUMPRODUCT(MAX(ROW(E$1:E5529)*(E5530=E$1:E5529)))))</f>
        <v> </v>
      </c>
      <c r="L5530" s="27"/>
    </row>
    <row r="5531" spans="1:12">
      <c r="A5531" s="20" t="s">
        <v>1000</v>
      </c>
      <c r="B5531" s="21" t="s">
        <v>1027</v>
      </c>
      <c r="C5531" s="21" t="s">
        <v>996</v>
      </c>
      <c r="D5531" s="21" t="s">
        <v>997</v>
      </c>
      <c r="E5531" s="22">
        <f>IF(D5531="?OLD","!!!","")</f>
        <v/>
      </c>
      <c r="F5531" s="23" t="str">
        <f>IF(OR(E5531="",E5531="!!!"),"",IF(NOT(ISNA(VLOOKUP(E5531,E$1:E5530,1,FALSE()))),"OLD",IF(AND(E5531&lt;&gt;"",E5531&lt;&gt;"!!!"),"NEW","")))</f>
        <v> </v>
      </c>
      <c r="G5531" s="24" t="str">
        <f>IF(OR(E5531="",E5531="!!!"),"",IF(OR(J5531=0,AND(J5531=1,K5531=1),AND(J5531=1,I5531="SBJ"),AND(J5531=1,I5531=0)),"?IN_FOCUS",IF(J5531&lt;=2,"?ACTIVATED",IF(J5531&lt;&gt;"","?FAMILIAR",IF(F5531="NEW",IF(ISNA(VLOOKUP(E5531,#REF!,1,FALSE())),"?TYPE_IDENTIFIABLE","?REFERENTIAL"),"_")))))</f>
        <v> </v>
      </c>
      <c r="H5531" s="25" t="str">
        <f>IF(J5531&lt;&gt;1,"",IF(I5531="SBJ","CB","?"))</f>
        <v> </v>
      </c>
      <c r="I5531" s="26" t="str">
        <f>IF(OR(E5531="",E5531="!!!",F5531="NEW"),"",INDEX(B5530:B$2,-1+SUMPRODUCT(MAX(ROW(E5530:E$2)*(E5531=E5530:E$2)))))</f>
        <v> </v>
      </c>
      <c r="J5531" s="26" t="str">
        <f>IF(OR(E5531="",E5531="!!!",F5531="NEW"),"",COUNTBLANK(OFFSET(A$1,,,SUMPRODUCT(MAX(ROW(E$2:E5531)*(E5531=E$2:E5531)))))-COUNTBLANK(OFFSET(A$1,,,SUMPRODUCT(MAX(ROW(E$1:E5530)*(E2=E$1:E5530))))))</f>
        <v> </v>
      </c>
      <c r="K5531" s="26" t="str">
        <f>IF(OR(E5531="",E5531="!!!",F5531="NEW"),"",INDEX(J$1:J5530,SUMPRODUCT(MAX(ROW(E$1:E5530)*(E5531=E$1:E5530)))))</f>
        <v> </v>
      </c>
      <c r="L5531" s="27"/>
    </row>
    <row r="5532" spans="1:12">
      <c r="A5532" s="20" t="s">
        <v>2421</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t="s">
        <v>1100</v>
      </c>
      <c r="E5533" s="22">
        <f>IF(D5533="?OLD","!!!","")</f>
        <v/>
      </c>
      <c r="F5533" s="23" t="str">
        <f>IF(OR(E5533="",E5533="!!!"),"",IF(NOT(ISNA(VLOOKUP(E5533,E$1:E5532,1,FALSE()))),"OLD",IF(AND(E5533&lt;&gt;"",E5533&lt;&gt;"!!!"),"NEW","")))</f>
        <v> </v>
      </c>
      <c r="G5533" s="24" t="str">
        <f>IF(OR(E5533="",E5533="!!!"),"",IF(OR(J5533=0,AND(J5533=1,K5533=1),AND(J5533=1,I5533="SBJ"),AND(J5533=1,I5533=0)),"?IN_FOCUS",IF(J5533&lt;=2,"?ACTIVATED",IF(J5533&lt;&gt;"","?FAMILIAR",IF(F5533="NEW",IF(ISNA(VLOOKUP(E5533,#REF!,1,FALSE())),"?TYPE_IDENTIFIABLE","?REFERENTIAL"),"_")))))</f>
        <v> </v>
      </c>
      <c r="H5533" s="25" t="str">
        <f>IF(J5533&lt;&gt;1,"",IF(I5533="SBJ","CB","?"))</f>
        <v> </v>
      </c>
      <c r="I5533" s="26" t="str">
        <f>IF(OR(E5533="",E5533="!!!",F5533="NEW"),"",INDEX(B5532:B$2,-1+SUMPRODUCT(MAX(ROW(E5532:E$2)*(E5533=E5532:E$2)))))</f>
        <v> </v>
      </c>
      <c r="J5533" s="26" t="str">
        <f>IF(OR(E5533="",E5533="!!!",F5533="NEW"),"",COUNTBLANK(OFFSET(A$1,,,SUMPRODUCT(MAX(ROW(E$2:E5533)*(E5533=E$2:E5533)))))-COUNTBLANK(OFFSET(A$1,,,SUMPRODUCT(MAX(ROW(E$1:E5532)*(E2=E$1:E5532))))))</f>
        <v> </v>
      </c>
      <c r="K5533" s="26" t="str">
        <f>IF(OR(E5533="",E5533="!!!",F5533="NEW"),"",INDEX(J$1:J5532,SUMPRODUCT(MAX(ROW(E$1:E5532)*(E5533=E$1:E5532)))))</f>
        <v> </v>
      </c>
      <c r="L5533" s="27"/>
    </row>
    <row r="5534" spans="1:12">
      <c r="A5534" s="20" t="s">
        <v>2422</v>
      </c>
      <c r="E5534" s="22">
        <f>IF(D5534="?OLD","!!!","")</f>
        <v/>
      </c>
      <c r="F5534" s="23" t="str">
        <f>IF(OR(E5534="",E5534="!!!"),"",IF(NOT(ISNA(VLOOKUP(E5534,E$1:E5533,1,FALSE()))),"OLD",IF(AND(E5534&lt;&gt;"",E5534&lt;&gt;"!!!"),"NEW","")))</f>
        <v> </v>
      </c>
      <c r="G5534" s="24" t="str">
        <f>IF(OR(E5534="",E5534="!!!"),"",IF(OR(J5534=0,AND(J5534=1,K5534=1),AND(J5534=1,I5534="SBJ"),AND(J5534=1,I5534=0)),"?IN_FOCUS",IF(J5534&lt;=2,"?ACTIVATED",IF(J5534&lt;&gt;"","?FAMILIAR",IF(F5534="NEW",IF(ISNA(VLOOKUP(E5534,#REF!,1,FALSE())),"?TYPE_IDENTIFIABLE","?REFERENTIAL"),"_")))))</f>
        <v> </v>
      </c>
      <c r="H5534" s="25" t="str">
        <f>IF(J5534&lt;&gt;1,"",IF(I5534="SBJ","CB","?"))</f>
        <v> </v>
      </c>
      <c r="I5534" s="26" t="str">
        <f>IF(OR(E5534="",E5534="!!!",F5534="NEW"),"",INDEX(B5533:B$2,-1+SUMPRODUCT(MAX(ROW(E5533:E$2)*(E5534=E5533:E$2)))))</f>
        <v> </v>
      </c>
      <c r="J5534" s="26" t="str">
        <f>IF(OR(E5534="",E5534="!!!",F5534="NEW"),"",COUNTBLANK(OFFSET(A$1,,,SUMPRODUCT(MAX(ROW(E$2:E5534)*(E5534=E$2:E5534)))))-COUNTBLANK(OFFSET(A$1,,,SUMPRODUCT(MAX(ROW(E$1:E5533)*(E2=E$1:E5533))))))</f>
        <v> </v>
      </c>
      <c r="K5534" s="26" t="str">
        <f>IF(OR(E5534="",E5534="!!!",F5534="NEW"),"",INDEX(J$1:J5533,SUMPRODUCT(MAX(ROW(E$1:E5533)*(E5534=E$1:E5533)))))</f>
        <v> </v>
      </c>
      <c r="L5534" s="27"/>
    </row>
    <row r="5535" spans="1:12">
      <c r="A5535" s="20" t="s">
        <v>1041</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1007</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t="s">
        <v>1022</v>
      </c>
      <c r="E5537" s="22">
        <f>IF(D5537="?OLD","!!!","")</f>
        <v/>
      </c>
      <c r="F5537" s="23" t="str">
        <f>IF(OR(E5537="",E5537="!!!"),"",IF(NOT(ISNA(VLOOKUP(E5537,E$1:E5536,1,FALSE()))),"OLD",IF(AND(E5537&lt;&gt;"",E5537&lt;&gt;"!!!"),"NEW","")))</f>
        <v> </v>
      </c>
      <c r="G5537" s="24" t="str">
        <f>IF(OR(E5537="",E5537="!!!"),"",IF(OR(J5537=0,AND(J5537=1,K5537=1),AND(J5537=1,I5537="SBJ"),AND(J5537=1,I5537=0)),"?IN_FOCUS",IF(J5537&lt;=2,"?ACTIVATED",IF(J5537&lt;&gt;"","?FAMILIAR",IF(F5537="NEW",IF(ISNA(VLOOKUP(E5537,#REF!,1,FALSE())),"?TYPE_IDENTIFIABLE","?REFERENTIAL"),"_")))))</f>
        <v> </v>
      </c>
      <c r="H5537" s="25" t="str">
        <f>IF(J5537&lt;&gt;1,"",IF(I5537="SBJ","CB","?"))</f>
        <v> </v>
      </c>
      <c r="I5537" s="26" t="str">
        <f>IF(OR(E5537="",E5537="!!!",F5537="NEW"),"",INDEX(B5536:B$2,-1+SUMPRODUCT(MAX(ROW(E5536:E$2)*(E5537=E5536:E$2)))))</f>
        <v> </v>
      </c>
      <c r="J5537" s="26" t="str">
        <f>IF(OR(E5537="",E5537="!!!",F5537="NEW"),"",COUNTBLANK(OFFSET(A$1,,,SUMPRODUCT(MAX(ROW(E$2:E5537)*(E5537=E$2:E5537)))))-COUNTBLANK(OFFSET(A$1,,,SUMPRODUCT(MAX(ROW(E$1:E5536)*(E2=E$1:E5536))))))</f>
        <v> </v>
      </c>
      <c r="K5537" s="26" t="str">
        <f>IF(OR(E5537="",E5537="!!!",F5537="NEW"),"",INDEX(J$1:J5536,SUMPRODUCT(MAX(ROW(E$1:E5536)*(E5537=E$1:E5536)))))</f>
        <v> </v>
      </c>
      <c r="L5537" s="27"/>
    </row>
    <row r="5538" spans="1:12">
      <c r="A5538" s="20" t="s">
        <v>1000</v>
      </c>
      <c r="B5538" s="21" t="s">
        <v>1027</v>
      </c>
      <c r="C5538" s="21" t="s">
        <v>996</v>
      </c>
      <c r="D5538" s="21" t="s">
        <v>997</v>
      </c>
      <c r="E5538" s="22">
        <f>IF(D5538="?OLD","!!!","")</f>
        <v/>
      </c>
      <c r="F5538" s="23" t="str">
        <f>IF(OR(E5538="",E5538="!!!"),"",IF(NOT(ISNA(VLOOKUP(E5538,E$1:E5537,1,FALSE()))),"OLD",IF(AND(E5538&lt;&gt;"",E5538&lt;&gt;"!!!"),"NEW","")))</f>
        <v> </v>
      </c>
      <c r="G5538" s="24" t="str">
        <f>IF(OR(E5538="",E5538="!!!"),"",IF(OR(J5538=0,AND(J5538=1,K5538=1),AND(J5538=1,I5538="SBJ"),AND(J5538=1,I5538=0)),"?IN_FOCUS",IF(J5538&lt;=2,"?ACTIVATED",IF(J5538&lt;&gt;"","?FAMILIAR",IF(F5538="NEW",IF(ISNA(VLOOKUP(E5538,#REF!,1,FALSE())),"?TYPE_IDENTIFIABLE","?REFERENTIAL"),"_")))))</f>
        <v> </v>
      </c>
      <c r="H5538" s="25" t="str">
        <f>IF(J5538&lt;&gt;1,"",IF(I5538="SBJ","CB","?"))</f>
        <v> </v>
      </c>
      <c r="I5538" s="26" t="str">
        <f>IF(OR(E5538="",E5538="!!!",F5538="NEW"),"",INDEX(B5537:B$2,-1+SUMPRODUCT(MAX(ROW(E5537:E$2)*(E5538=E5537:E$2)))))</f>
        <v> </v>
      </c>
      <c r="J5538" s="26" t="str">
        <f>IF(OR(E5538="",E5538="!!!",F5538="NEW"),"",COUNTBLANK(OFFSET(A$1,,,SUMPRODUCT(MAX(ROW(E$2:E5538)*(E5538=E$2:E5538)))))-COUNTBLANK(OFFSET(A$1,,,SUMPRODUCT(MAX(ROW(E$1:E5537)*(E2=E$1:E5537))))))</f>
        <v> </v>
      </c>
      <c r="K5538" s="26" t="str">
        <f>IF(OR(E5538="",E5538="!!!",F5538="NEW"),"",INDEX(J$1:J5537,SUMPRODUCT(MAX(ROW(E$1:E5537)*(E5538=E$1:E5537)))))</f>
        <v> </v>
      </c>
      <c r="L5538" s="27"/>
    </row>
    <row r="5539" spans="1:12">
      <c r="A5539" s="20" t="s">
        <v>2423</v>
      </c>
      <c r="E5539" s="22">
        <f>IF(D5539="?OLD","!!!","")</f>
        <v/>
      </c>
      <c r="F5539" s="23" t="str">
        <f>IF(OR(E5539="",E5539="!!!"),"",IF(NOT(ISNA(VLOOKUP(E5539,E$1:E5538,1,FALSE()))),"OLD",IF(AND(E5539&lt;&gt;"",E5539&lt;&gt;"!!!"),"NEW","")))</f>
        <v> </v>
      </c>
      <c r="G5539" s="24" t="str">
        <f>IF(OR(E5539="",E5539="!!!"),"",IF(OR(J5539=0,AND(J5539=1,K5539=1),AND(J5539=1,I5539="SBJ"),AND(J5539=1,I5539=0)),"?IN_FOCUS",IF(J5539&lt;=2,"?ACTIVATED",IF(J5539&lt;&gt;"","?FAMILIAR",IF(F5539="NEW",IF(ISNA(VLOOKUP(E5539,#REF!,1,FALSE())),"?TYPE_IDENTIFIABLE","?REFERENTIAL"),"_")))))</f>
        <v> </v>
      </c>
      <c r="H5539" s="25" t="str">
        <f>IF(J5539&lt;&gt;1,"",IF(I5539="SBJ","CB","?"))</f>
        <v> </v>
      </c>
      <c r="I5539" s="26" t="str">
        <f>IF(OR(E5539="",E5539="!!!",F5539="NEW"),"",INDEX(B5538:B$2,-1+SUMPRODUCT(MAX(ROW(E5538:E$2)*(E5539=E5538:E$2)))))</f>
        <v> </v>
      </c>
      <c r="J5539" s="26" t="str">
        <f>IF(OR(E5539="",E5539="!!!",F5539="NEW"),"",COUNTBLANK(OFFSET(A$1,,,SUMPRODUCT(MAX(ROW(E$2:E5539)*(E5539=E$2:E5539)))))-COUNTBLANK(OFFSET(A$1,,,SUMPRODUCT(MAX(ROW(E$1:E5538)*(E2=E$1:E5538))))))</f>
        <v> </v>
      </c>
      <c r="K5539" s="26" t="str">
        <f>IF(OR(E5539="",E5539="!!!",F5539="NEW"),"",INDEX(J$1:J5538,SUMPRODUCT(MAX(ROW(E$1:E5538)*(E5539=E$1:E5538)))))</f>
        <v> </v>
      </c>
      <c r="L5539" s="27"/>
    </row>
    <row r="5540" spans="1:12">
      <c r="A5540" s="20" t="s">
        <v>2424</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1029</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t="s">
        <v>32</v>
      </c>
      <c r="E5542" s="22">
        <f>IF(D5542="?OLD","!!!","")</f>
        <v/>
      </c>
      <c r="F5542" s="23" t="str">
        <f>IF(OR(E5542="",E5542="!!!"),"",IF(NOT(ISNA(VLOOKUP(E5542,E$1:E5541,1,FALSE()))),"OLD",IF(AND(E5542&lt;&gt;"",E5542&lt;&gt;"!!!"),"NEW","")))</f>
        <v> </v>
      </c>
      <c r="G5542" s="24" t="str">
        <f>IF(OR(E5542="",E5542="!!!"),"",IF(OR(J5542=0,AND(J5542=1,K5542=1),AND(J5542=1,I5542="SBJ"),AND(J5542=1,I5542=0)),"?IN_FOCUS",IF(J5542&lt;=2,"?ACTIVATED",IF(J5542&lt;&gt;"","?FAMILIAR",IF(F5542="NEW",IF(ISNA(VLOOKUP(E5542,#REF!,1,FALSE())),"?TYPE_IDENTIFIABLE","?REFERENTIAL"),"_")))))</f>
        <v> </v>
      </c>
      <c r="H5542" s="25" t="str">
        <f>IF(J5542&lt;&gt;1,"",IF(I5542="SBJ","CB","?"))</f>
        <v> </v>
      </c>
      <c r="I5542" s="26" t="str">
        <f>IF(OR(E5542="",E5542="!!!",F5542="NEW"),"",INDEX(B5541:B$2,-1+SUMPRODUCT(MAX(ROW(E5541:E$2)*(E5542=E5541:E$2)))))</f>
        <v> </v>
      </c>
      <c r="J5542" s="26" t="str">
        <f>IF(OR(E5542="",E5542="!!!",F5542="NEW"),"",COUNTBLANK(OFFSET(A$1,,,SUMPRODUCT(MAX(ROW(E$2:E5542)*(E5542=E$2:E5542)))))-COUNTBLANK(OFFSET(A$1,,,SUMPRODUCT(MAX(ROW(E$1:E5541)*(E2=E$1:E5541))))))</f>
        <v> </v>
      </c>
      <c r="K5542" s="26" t="str">
        <f>IF(OR(E5542="",E5542="!!!",F5542="NEW"),"",INDEX(J$1:J5541,SUMPRODUCT(MAX(ROW(E$1:E5541)*(E5542=E$1:E5541)))))</f>
        <v> </v>
      </c>
      <c r="L5542" s="27"/>
    </row>
    <row r="5543" spans="1:12">
      <c r="A5543" s="20" t="s">
        <v>1018</v>
      </c>
      <c r="E5543" s="22">
        <f>IF(D5543="?OLD","!!!","")</f>
        <v/>
      </c>
      <c r="F5543" s="23" t="str">
        <f>IF(OR(E5543="",E5543="!!!"),"",IF(NOT(ISNA(VLOOKUP(E5543,E$1:E5542,1,FALSE()))),"OLD",IF(AND(E5543&lt;&gt;"",E5543&lt;&gt;"!!!"),"NEW","")))</f>
        <v> </v>
      </c>
      <c r="G5543" s="24" t="str">
        <f>IF(OR(E5543="",E5543="!!!"),"",IF(OR(J5543=0,AND(J5543=1,K5543=1),AND(J5543=1,I5543="SBJ"),AND(J5543=1,I5543=0)),"?IN_FOCUS",IF(J5543&lt;=2,"?ACTIVATED",IF(J5543&lt;&gt;"","?FAMILIAR",IF(F5543="NEW",IF(ISNA(VLOOKUP(E5543,#REF!,1,FALSE())),"?TYPE_IDENTIFIABLE","?REFERENTIAL"),"_")))))</f>
        <v> </v>
      </c>
      <c r="H5543" s="25" t="str">
        <f>IF(J5543&lt;&gt;1,"",IF(I5543="SBJ","CB","?"))</f>
        <v> </v>
      </c>
      <c r="I5543" s="26" t="str">
        <f>IF(OR(E5543="",E5543="!!!",F5543="NEW"),"",INDEX(B5542:B$2,-1+SUMPRODUCT(MAX(ROW(E5542:E$2)*(E5543=E5542:E$2)))))</f>
        <v> </v>
      </c>
      <c r="J5543" s="26" t="str">
        <f>IF(OR(E5543="",E5543="!!!",F5543="NEW"),"",COUNTBLANK(OFFSET(A$1,,,SUMPRODUCT(MAX(ROW(E$2:E5543)*(E5543=E$2:E5543)))))-COUNTBLANK(OFFSET(A$1,,,SUMPRODUCT(MAX(ROW(E$1:E5542)*(E2=E$1:E5542))))))</f>
        <v> </v>
      </c>
      <c r="K5543" s="26" t="str">
        <f>IF(OR(E5543="",E5543="!!!",F5543="NEW"),"",INDEX(J$1:J5542,SUMPRODUCT(MAX(ROW(E$1:E5542)*(E5543=E$1:E5542)))))</f>
        <v> </v>
      </c>
      <c r="L5543" s="27"/>
    </row>
    <row r="5544" spans="1:12">
      <c r="A5544" s="20" t="s">
        <v>2425</v>
      </c>
      <c r="B5544" s="21" t="s">
        <v>1301</v>
      </c>
      <c r="C5544" s="21" t="s">
        <v>1089</v>
      </c>
      <c r="E5544" s="22">
        <f>IF(D5544="?OLD","!!!","")</f>
        <v/>
      </c>
      <c r="F5544" s="23" t="str">
        <f>IF(OR(E5544="",E5544="!!!"),"",IF(NOT(ISNA(VLOOKUP(E5544,E$1:E5543,1,FALSE()))),"OLD",IF(AND(E5544&lt;&gt;"",E5544&lt;&gt;"!!!"),"NEW","")))</f>
        <v> </v>
      </c>
      <c r="G5544" s="24" t="str">
        <f>IF(OR(E5544="",E5544="!!!"),"",IF(OR(J5544=0,AND(J5544=1,K5544=1),AND(J5544=1,I5544="SBJ"),AND(J5544=1,I5544=0)),"?IN_FOCUS",IF(J5544&lt;=2,"?ACTIVATED",IF(J5544&lt;&gt;"","?FAMILIAR",IF(F5544="NEW",IF(ISNA(VLOOKUP(E5544,#REF!,1,FALSE())),"?TYPE_IDENTIFIABLE","?REFERENTIAL"),"_")))))</f>
        <v> </v>
      </c>
      <c r="H5544" s="25" t="str">
        <f>IF(J5544&lt;&gt;1,"",IF(I5544="SBJ","CB","?"))</f>
        <v> </v>
      </c>
      <c r="I5544" s="26" t="str">
        <f>IF(OR(E5544="",E5544="!!!",F5544="NEW"),"",INDEX(B5543:B$2,-1+SUMPRODUCT(MAX(ROW(E5543:E$2)*(E5544=E5543:E$2)))))</f>
        <v> </v>
      </c>
      <c r="J5544" s="26" t="str">
        <f>IF(OR(E5544="",E5544="!!!",F5544="NEW"),"",COUNTBLANK(OFFSET(A$1,,,SUMPRODUCT(MAX(ROW(E$2:E5544)*(E5544=E$2:E5544)))))-COUNTBLANK(OFFSET(A$1,,,SUMPRODUCT(MAX(ROW(E$1:E5543)*(E2=E$1:E5543))))))</f>
        <v> </v>
      </c>
      <c r="K5544" s="26" t="str">
        <f>IF(OR(E5544="",E5544="!!!",F5544="NEW"),"",INDEX(J$1:J5543,SUMPRODUCT(MAX(ROW(E$1:E5543)*(E5544=E$1:E5543)))))</f>
        <v> </v>
      </c>
      <c r="L5544" s="27"/>
    </row>
    <row r="5545" spans="1:12">
      <c r="A5545" s="20" t="s">
        <v>1011</v>
      </c>
      <c r="E5545" s="22">
        <f>IF(D5545="?OLD","!!!","")</f>
        <v/>
      </c>
      <c r="F5545" s="23" t="str">
        <f>IF(OR(E5545="",E5545="!!!"),"",IF(NOT(ISNA(VLOOKUP(E5545,E$1:E5544,1,FALSE()))),"OLD",IF(AND(E5545&lt;&gt;"",E5545&lt;&gt;"!!!"),"NEW","")))</f>
        <v> </v>
      </c>
      <c r="G5545" s="24" t="str">
        <f>IF(OR(E5545="",E5545="!!!"),"",IF(OR(J5545=0,AND(J5545=1,K5545=1),AND(J5545=1,I5545="SBJ"),AND(J5545=1,I5545=0)),"?IN_FOCUS",IF(J5545&lt;=2,"?ACTIVATED",IF(J5545&lt;&gt;"","?FAMILIAR",IF(F5545="NEW",IF(ISNA(VLOOKUP(E5545,#REF!,1,FALSE())),"?TYPE_IDENTIFIABLE","?REFERENTIAL"),"_")))))</f>
        <v> </v>
      </c>
      <c r="H5545" s="25" t="str">
        <f>IF(J5545&lt;&gt;1,"",IF(I5545="SBJ","CB","?"))</f>
        <v> </v>
      </c>
      <c r="I5545" s="26" t="str">
        <f>IF(OR(E5545="",E5545="!!!",F5545="NEW"),"",INDEX(B5544:B$2,-1+SUMPRODUCT(MAX(ROW(E5544:E$2)*(E5545=E5544:E$2)))))</f>
        <v> </v>
      </c>
      <c r="J5545" s="26" t="str">
        <f>IF(OR(E5545="",E5545="!!!",F5545="NEW"),"",COUNTBLANK(OFFSET(A$1,,,SUMPRODUCT(MAX(ROW(E$2:E5545)*(E5545=E$2:E5545)))))-COUNTBLANK(OFFSET(A$1,,,SUMPRODUCT(MAX(ROW(E$1:E5544)*(E2=E$1:E5544))))))</f>
        <v> </v>
      </c>
      <c r="K5545" s="26" t="str">
        <f>IF(OR(E5545="",E5545="!!!",F5545="NEW"),"",INDEX(J$1:J5544,SUMPRODUCT(MAX(ROW(E$1:E5544)*(E5545=E$1:E5544)))))</f>
        <v> </v>
      </c>
      <c r="L5545" s="27"/>
    </row>
    <row r="5546" spans="1:12">
      <c r="A5546" s="20"/>
    </row>
    <row r="5547" spans="1:12">
      <c r="A5547" s="20" t="s">
        <v>2426</v>
      </c>
    </row>
    <row r="5548" spans="1:12">
      <c r="A5548" s="20" t="s">
        <v>1365</v>
      </c>
      <c r="E5548" s="22">
        <f>IF(D5548="?OLD","!!!","")</f>
        <v/>
      </c>
      <c r="F5548" s="23" t="str">
        <f>IF(OR(E5548="",E5548="!!!"),"",IF(NOT(ISNA(VLOOKUP(E5548,E$1:E5547,1,FALSE()))),"OLD",IF(AND(E5548&lt;&gt;"",E5548&lt;&gt;"!!!"),"NEW","")))</f>
        <v> </v>
      </c>
      <c r="G5548" s="24" t="str">
        <f>IF(OR(E5548="",E5548="!!!"),"",IF(OR(J5548=0,AND(J5548=1,K5548=1),AND(J5548=1,I5548="SBJ"),AND(J5548=1,I5548=0)),"?IN_FOCUS",IF(J5548&lt;=2,"?ACTIVATED",IF(J5548&lt;&gt;"","?FAMILIAR",IF(F5548="NEW",IF(ISNA(VLOOKUP(E5548,#REF!,1,FALSE())),"?TYPE_IDENTIFIABLE","?REFERENTIAL"),"_")))))</f>
        <v> </v>
      </c>
      <c r="H5548" s="25" t="str">
        <f>IF(J5548&lt;&gt;1,"",IF(I5548="SBJ","CB","?"))</f>
        <v> </v>
      </c>
      <c r="I5548" s="26" t="str">
        <f>IF(OR(E5548="",E5548="!!!",F5548="NEW"),"",INDEX(B5547:B$2,-1+SUMPRODUCT(MAX(ROW(E5547:E$2)*(E5548=E5547:E$2)))))</f>
        <v> </v>
      </c>
      <c r="J5548" s="26" t="str">
        <f>IF(OR(E5548="",E5548="!!!",F5548="NEW"),"",COUNTBLANK(OFFSET(A$1,,,SUMPRODUCT(MAX(ROW(E$2:E5548)*(E5548=E$2:E5548)))))-COUNTBLANK(OFFSET(A$1,,,SUMPRODUCT(MAX(ROW(E$1:E5547)*(E2=E$1:E5547))))))</f>
        <v> </v>
      </c>
      <c r="K5548" s="26" t="str">
        <f>IF(OR(E5548="",E5548="!!!",F5548="NEW"),"",INDEX(J$1:J5547,SUMPRODUCT(MAX(ROW(E$1:E5547)*(E5548=E$1:E5547)))))</f>
        <v> </v>
      </c>
      <c r="L5548" s="27"/>
    </row>
    <row r="5549" spans="1:12">
      <c r="A5549" s="20" t="s">
        <v>1041</v>
      </c>
      <c r="E5549" s="22">
        <f>IF(D5549="?OLD","!!!","")</f>
        <v/>
      </c>
      <c r="F5549" s="23" t="str">
        <f>IF(OR(E5549="",E5549="!!!"),"",IF(NOT(ISNA(VLOOKUP(E5549,E$1:E5548,1,FALSE()))),"OLD",IF(AND(E5549&lt;&gt;"",E5549&lt;&gt;"!!!"),"NEW","")))</f>
        <v> </v>
      </c>
      <c r="G5549" s="24" t="str">
        <f>IF(OR(E5549="",E5549="!!!"),"",IF(OR(J5549=0,AND(J5549=1,K5549=1),AND(J5549=1,I5549="SBJ"),AND(J5549=1,I5549=0)),"?IN_FOCUS",IF(J5549&lt;=2,"?ACTIVATED",IF(J5549&lt;&gt;"","?FAMILIAR",IF(F5549="NEW",IF(ISNA(VLOOKUP(E5549,#REF!,1,FALSE())),"?TYPE_IDENTIFIABLE","?REFERENTIAL"),"_")))))</f>
        <v> </v>
      </c>
      <c r="H5549" s="25" t="str">
        <f>IF(J5549&lt;&gt;1,"",IF(I5549="SBJ","CB","?"))</f>
        <v> </v>
      </c>
      <c r="I5549" s="26" t="str">
        <f>IF(OR(E5549="",E5549="!!!",F5549="NEW"),"",INDEX(B5548:B$2,-1+SUMPRODUCT(MAX(ROW(E5548:E$2)*(E5549=E5548:E$2)))))</f>
        <v> </v>
      </c>
      <c r="J5549" s="26" t="str">
        <f>IF(OR(E5549="",E5549="!!!",F5549="NEW"),"",COUNTBLANK(OFFSET(A$1,,,SUMPRODUCT(MAX(ROW(E$2:E5549)*(E5549=E$2:E5549)))))-COUNTBLANK(OFFSET(A$1,,,SUMPRODUCT(MAX(ROW(E$1:E5548)*(E2=E$1:E5548))))))</f>
        <v> </v>
      </c>
      <c r="K5549" s="26" t="str">
        <f>IF(OR(E5549="",E5549="!!!",F5549="NEW"),"",INDEX(J$1:J5548,SUMPRODUCT(MAX(ROW(E$1:E5548)*(E5549=E$1:E5548)))))</f>
        <v> </v>
      </c>
      <c r="L5549" s="27"/>
    </row>
    <row r="5550" spans="1:12">
      <c r="A5550" s="20" t="s">
        <v>1090</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855</v>
      </c>
      <c r="B5551" s="21" t="s">
        <v>1067</v>
      </c>
      <c r="C5551" s="21" t="s">
        <v>996</v>
      </c>
      <c r="D5551" s="21" t="s">
        <v>997</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t="s">
        <v>1275</v>
      </c>
      <c r="E5552" s="22">
        <f>IF(D5552="?OLD","!!!","")</f>
        <v/>
      </c>
      <c r="F5552" s="23" t="str">
        <f>IF(OR(E5552="",E5552="!!!"),"",IF(NOT(ISNA(VLOOKUP(E5552,E$1:E5551,1,FALSE()))),"OLD",IF(AND(E5552&lt;&gt;"",E5552&lt;&gt;"!!!"),"NEW","")))</f>
        <v> </v>
      </c>
      <c r="G5552" s="24" t="str">
        <f>IF(OR(E5552="",E5552="!!!"),"",IF(OR(J5552=0,AND(J5552=1,K5552=1),AND(J5552=1,I5552="SBJ"),AND(J5552=1,I5552=0)),"?IN_FOCUS",IF(J5552&lt;=2,"?ACTIVATED",IF(J5552&lt;&gt;"","?FAMILIAR",IF(F5552="NEW",IF(ISNA(VLOOKUP(E5552,#REF!,1,FALSE())),"?TYPE_IDENTIFIABLE","?REFERENTIAL"),"_")))))</f>
        <v> </v>
      </c>
      <c r="H5552" s="25" t="str">
        <f>IF(J5552&lt;&gt;1,"",IF(I5552="SBJ","CB","?"))</f>
        <v> </v>
      </c>
      <c r="I5552" s="26" t="str">
        <f>IF(OR(E5552="",E5552="!!!",F5552="NEW"),"",INDEX(B5551:B$2,-1+SUMPRODUCT(MAX(ROW(E5551:E$2)*(E5552=E5551:E$2)))))</f>
        <v> </v>
      </c>
      <c r="J5552" s="26" t="str">
        <f>IF(OR(E5552="",E5552="!!!",F5552="NEW"),"",COUNTBLANK(OFFSET(A$1,,,SUMPRODUCT(MAX(ROW(E$2:E5552)*(E5552=E$2:E5552)))))-COUNTBLANK(OFFSET(A$1,,,SUMPRODUCT(MAX(ROW(E$1:E5551)*(E2=E$1:E5551))))))</f>
        <v> </v>
      </c>
      <c r="K5552" s="26" t="str">
        <f>IF(OR(E5552="",E5552="!!!",F5552="NEW"),"",INDEX(J$1:J5551,SUMPRODUCT(MAX(ROW(E$1:E5551)*(E5552=E$1:E5551)))))</f>
        <v> </v>
      </c>
      <c r="L5552" s="27"/>
    </row>
    <row r="5553" spans="1:12">
      <c r="A5553" s="20"/>
    </row>
    <row r="5554" spans="1:12">
      <c r="A5554" s="20" t="s">
        <v>2427</v>
      </c>
    </row>
    <row r="5555" spans="1:12">
      <c r="A5555" s="20" t="s">
        <v>1099</v>
      </c>
      <c r="E5555" s="22">
        <f>IF(D5555="?OLD","!!!","")</f>
        <v/>
      </c>
      <c r="F5555" s="23" t="str">
        <f>IF(OR(E5555="",E5555="!!!"),"",IF(NOT(ISNA(VLOOKUP(E5555,E$1:E5554,1,FALSE()))),"OLD",IF(AND(E5555&lt;&gt;"",E5555&lt;&gt;"!!!"),"NEW","")))</f>
        <v> </v>
      </c>
      <c r="G5555" s="24" t="str">
        <f>IF(OR(E5555="",E5555="!!!"),"",IF(OR(J5555=0,AND(J5555=1,K5555=1),AND(J5555=1,I5555="SBJ"),AND(J5555=1,I5555=0)),"?IN_FOCUS",IF(J5555&lt;=2,"?ACTIVATED",IF(J5555&lt;&gt;"","?FAMILIAR",IF(F5555="NEW",IF(ISNA(VLOOKUP(E5555,#REF!,1,FALSE())),"?TYPE_IDENTIFIABLE","?REFERENTIAL"),"_")))))</f>
        <v> </v>
      </c>
      <c r="H5555" s="25" t="str">
        <f>IF(J5555&lt;&gt;1,"",IF(I5555="SBJ","CB","?"))</f>
        <v> </v>
      </c>
      <c r="I5555" s="26" t="str">
        <f>IF(OR(E5555="",E5555="!!!",F5555="NEW"),"",INDEX(B5554:B$2,-1+SUMPRODUCT(MAX(ROW(E5554:E$2)*(E5555=E5554:E$2)))))</f>
        <v> </v>
      </c>
      <c r="J5555" s="26" t="str">
        <f>IF(OR(E5555="",E5555="!!!",F5555="NEW"),"",COUNTBLANK(OFFSET(A$1,,,SUMPRODUCT(MAX(ROW(E$2:E5555)*(E5555=E$2:E5555)))))-COUNTBLANK(OFFSET(A$1,,,SUMPRODUCT(MAX(ROW(E$1:E5554)*(E2=E$1:E5554))))))</f>
        <v> </v>
      </c>
      <c r="K5555" s="26" t="str">
        <f>IF(OR(E5555="",E5555="!!!",F5555="NEW"),"",INDEX(J$1:J5554,SUMPRODUCT(MAX(ROW(E$1:E5554)*(E5555=E$1:E5554)))))</f>
        <v> </v>
      </c>
      <c r="L5555" s="27"/>
    </row>
    <row r="5556" spans="1:12">
      <c r="A5556" s="20" t="s">
        <v>1000</v>
      </c>
      <c r="B5556" s="21" t="s">
        <v>1101</v>
      </c>
      <c r="C5556" s="21" t="s">
        <v>996</v>
      </c>
      <c r="D5556" s="21" t="s">
        <v>997</v>
      </c>
      <c r="E5556" s="22">
        <f>IF(D5556="?OLD","!!!","")</f>
        <v/>
      </c>
      <c r="F5556" s="23" t="str">
        <f>IF(OR(E5556="",E5556="!!!"),"",IF(NOT(ISNA(VLOOKUP(E5556,E$1:E5555,1,FALSE()))),"OLD",IF(AND(E5556&lt;&gt;"",E5556&lt;&gt;"!!!"),"NEW","")))</f>
        <v> </v>
      </c>
      <c r="G5556" s="24" t="str">
        <f>IF(OR(E5556="",E5556="!!!"),"",IF(OR(J5556=0,AND(J5556=1,K5556=1),AND(J5556=1,I5556="SBJ"),AND(J5556=1,I5556=0)),"?IN_FOCUS",IF(J5556&lt;=2,"?ACTIVATED",IF(J5556&lt;&gt;"","?FAMILIAR",IF(F5556="NEW",IF(ISNA(VLOOKUP(E5556,#REF!,1,FALSE())),"?TYPE_IDENTIFIABLE","?REFERENTIAL"),"_")))))</f>
        <v> </v>
      </c>
      <c r="H5556" s="25" t="str">
        <f>IF(J5556&lt;&gt;1,"",IF(I5556="SBJ","CB","?"))</f>
        <v> </v>
      </c>
      <c r="I5556" s="26" t="str">
        <f>IF(OR(E5556="",E5556="!!!",F5556="NEW"),"",INDEX(B5555:B$2,-1+SUMPRODUCT(MAX(ROW(E5555:E$2)*(E5556=E5555:E$2)))))</f>
        <v> </v>
      </c>
      <c r="J5556" s="26" t="str">
        <f>IF(OR(E5556="",E5556="!!!",F5556="NEW"),"",COUNTBLANK(OFFSET(A$1,,,SUMPRODUCT(MAX(ROW(E$2:E5556)*(E5556=E$2:E5556)))))-COUNTBLANK(OFFSET(A$1,,,SUMPRODUCT(MAX(ROW(E$1:E5555)*(E2=E$1:E5555))))))</f>
        <v> </v>
      </c>
      <c r="K5556" s="26" t="str">
        <f>IF(OR(E5556="",E5556="!!!",F5556="NEW"),"",INDEX(J$1:J5555,SUMPRODUCT(MAX(ROW(E$1:E5555)*(E5556=E$1:E5555)))))</f>
        <v> </v>
      </c>
      <c r="L5556" s="27"/>
    </row>
    <row r="5557" spans="1:12">
      <c r="A5557" s="20" t="s">
        <v>1540</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1144</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2428</v>
      </c>
      <c r="B5559" s="21" t="s">
        <v>1101</v>
      </c>
      <c r="C5559" s="21" t="s">
        <v>1089</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t="s">
        <v>2429</v>
      </c>
      <c r="E5560" s="22">
        <f>IF(D5560="?OLD","!!!","")</f>
        <v/>
      </c>
      <c r="F5560" s="23" t="str">
        <f>IF(OR(E5560="",E5560="!!!"),"",IF(NOT(ISNA(VLOOKUP(E5560,E$1:E5559,1,FALSE()))),"OLD",IF(AND(E5560&lt;&gt;"",E5560&lt;&gt;"!!!"),"NEW","")))</f>
        <v> </v>
      </c>
      <c r="G5560" s="24" t="str">
        <f>IF(OR(E5560="",E5560="!!!"),"",IF(OR(J5560=0,AND(J5560=1,K5560=1),AND(J5560=1,I5560="SBJ"),AND(J5560=1,I5560=0)),"?IN_FOCUS",IF(J5560&lt;=2,"?ACTIVATED",IF(J5560&lt;&gt;"","?FAMILIAR",IF(F5560="NEW",IF(ISNA(VLOOKUP(E5560,#REF!,1,FALSE())),"?TYPE_IDENTIFIABLE","?REFERENTIAL"),"_")))))</f>
        <v> </v>
      </c>
      <c r="H5560" s="25" t="str">
        <f>IF(J5560&lt;&gt;1,"",IF(I5560="SBJ","CB","?"))</f>
        <v> </v>
      </c>
      <c r="I5560" s="26" t="str">
        <f>IF(OR(E5560="",E5560="!!!",F5560="NEW"),"",INDEX(B5559:B$2,-1+SUMPRODUCT(MAX(ROW(E5559:E$2)*(E5560=E5559:E$2)))))</f>
        <v> </v>
      </c>
      <c r="J5560" s="26" t="str">
        <f>IF(OR(E5560="",E5560="!!!",F5560="NEW"),"",COUNTBLANK(OFFSET(A$1,,,SUMPRODUCT(MAX(ROW(E$2:E5560)*(E5560=E$2:E5560)))))-COUNTBLANK(OFFSET(A$1,,,SUMPRODUCT(MAX(ROW(E$1:E5559)*(E2=E$1:E5559))))))</f>
        <v> </v>
      </c>
      <c r="K5560" s="26" t="str">
        <f>IF(OR(E5560="",E5560="!!!",F5560="NEW"),"",INDEX(J$1:J5559,SUMPRODUCT(MAX(ROW(E$1:E5559)*(E5560=E$1:E5559)))))</f>
        <v> </v>
      </c>
      <c r="L5560" s="27"/>
    </row>
    <row r="5561" spans="1:12">
      <c r="A5561" s="20" t="s">
        <v>1103</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t="s">
        <v>1305</v>
      </c>
      <c r="E5562" s="22">
        <f>IF(D5562="?OLD","!!!","")</f>
        <v/>
      </c>
      <c r="F5562" s="23" t="str">
        <f>IF(OR(E5562="",E5562="!!!"),"",IF(NOT(ISNA(VLOOKUP(E5562,E$1:E5561,1,FALSE()))),"OLD",IF(AND(E5562&lt;&gt;"",E5562&lt;&gt;"!!!"),"NEW","")))</f>
        <v> </v>
      </c>
      <c r="G5562" s="24" t="str">
        <f>IF(OR(E5562="",E5562="!!!"),"",IF(OR(J5562=0,AND(J5562=1,K5562=1),AND(J5562=1,I5562="SBJ"),AND(J5562=1,I5562=0)),"?IN_FOCUS",IF(J5562&lt;=2,"?ACTIVATED",IF(J5562&lt;&gt;"","?FAMILIAR",IF(F5562="NEW",IF(ISNA(VLOOKUP(E5562,#REF!,1,FALSE())),"?TYPE_IDENTIFIABLE","?REFERENTIAL"),"_")))))</f>
        <v> </v>
      </c>
      <c r="H5562" s="25" t="str">
        <f>IF(J5562&lt;&gt;1,"",IF(I5562="SBJ","CB","?"))</f>
        <v> </v>
      </c>
      <c r="I5562" s="26" t="str">
        <f>IF(OR(E5562="",E5562="!!!",F5562="NEW"),"",INDEX(B5561:B$2,-1+SUMPRODUCT(MAX(ROW(E5561:E$2)*(E5562=E5561:E$2)))))</f>
        <v> </v>
      </c>
      <c r="J5562" s="26" t="str">
        <f>IF(OR(E5562="",E5562="!!!",F5562="NEW"),"",COUNTBLANK(OFFSET(A$1,,,SUMPRODUCT(MAX(ROW(E$2:E5562)*(E5562=E$2:E5562)))))-COUNTBLANK(OFFSET(A$1,,,SUMPRODUCT(MAX(ROW(E$1:E5561)*(E2=E$1:E5561))))))</f>
        <v> </v>
      </c>
      <c r="K5562" s="26" t="str">
        <f>IF(OR(E5562="",E5562="!!!",F5562="NEW"),"",INDEX(J$1:J5561,SUMPRODUCT(MAX(ROW(E$1:E5561)*(E5562=E$1:E5561)))))</f>
        <v> </v>
      </c>
      <c r="L5562" s="27"/>
    </row>
    <row r="5563" spans="1:12">
      <c r="A5563" s="20" t="s">
        <v>1146</v>
      </c>
      <c r="B5563" s="21" t="s">
        <v>1005</v>
      </c>
      <c r="C5563" s="21" t="s">
        <v>1239</v>
      </c>
      <c r="E5563" s="22">
        <f>IF(D5563="?OLD","!!!","")</f>
        <v/>
      </c>
      <c r="F5563" s="23" t="str">
        <f>IF(OR(E5563="",E5563="!!!"),"",IF(NOT(ISNA(VLOOKUP(E5563,E$1:E5562,1,FALSE()))),"OLD",IF(AND(E5563&lt;&gt;"",E5563&lt;&gt;"!!!"),"NEW","")))</f>
        <v> </v>
      </c>
      <c r="G5563" s="24" t="str">
        <f>IF(OR(E5563="",E5563="!!!"),"",IF(OR(J5563=0,AND(J5563=1,K5563=1),AND(J5563=1,I5563="SBJ"),AND(J5563=1,I5563=0)),"?IN_FOCUS",IF(J5563&lt;=2,"?ACTIVATED",IF(J5563&lt;&gt;"","?FAMILIAR",IF(F5563="NEW",IF(ISNA(VLOOKUP(E5563,#REF!,1,FALSE())),"?TYPE_IDENTIFIABLE","?REFERENTIAL"),"_")))))</f>
        <v> </v>
      </c>
      <c r="H5563" s="25" t="str">
        <f>IF(J5563&lt;&gt;1,"",IF(I5563="SBJ","CB","?"))</f>
        <v> </v>
      </c>
      <c r="I5563" s="26" t="str">
        <f>IF(OR(E5563="",E5563="!!!",F5563="NEW"),"",INDEX(B5562:B$2,-1+SUMPRODUCT(MAX(ROW(E5562:E$2)*(E5563=E5562:E$2)))))</f>
        <v> </v>
      </c>
      <c r="J5563" s="26" t="str">
        <f>IF(OR(E5563="",E5563="!!!",F5563="NEW"),"",COUNTBLANK(OFFSET(A$1,,,SUMPRODUCT(MAX(ROW(E$2:E5563)*(E5563=E$2:E5563)))))-COUNTBLANK(OFFSET(A$1,,,SUMPRODUCT(MAX(ROW(E$1:E5562)*(E2=E$1:E5562))))))</f>
        <v> </v>
      </c>
      <c r="K5563" s="26" t="str">
        <f>IF(OR(E5563="",E5563="!!!",F5563="NEW"),"",INDEX(J$1:J5562,SUMPRODUCT(MAX(ROW(E$1:E5562)*(E5563=E$1:E5562)))))</f>
        <v> </v>
      </c>
      <c r="L5563" s="27"/>
    </row>
    <row r="5564" spans="1:12">
      <c r="A5564" s="20" t="s">
        <v>1487</v>
      </c>
      <c r="E5564" s="22">
        <f>IF(D5564="?OLD","!!!","")</f>
        <v/>
      </c>
      <c r="F5564" s="23" t="str">
        <f>IF(OR(E5564="",E5564="!!!"),"",IF(NOT(ISNA(VLOOKUP(E5564,E$1:E5563,1,FALSE()))),"OLD",IF(AND(E5564&lt;&gt;"",E5564&lt;&gt;"!!!"),"NEW","")))</f>
        <v> </v>
      </c>
      <c r="G5564" s="24" t="str">
        <f>IF(OR(E5564="",E5564="!!!"),"",IF(OR(J5564=0,AND(J5564=1,K5564=1),AND(J5564=1,I5564="SBJ"),AND(J5564=1,I5564=0)),"?IN_FOCUS",IF(J5564&lt;=2,"?ACTIVATED",IF(J5564&lt;&gt;"","?FAMILIAR",IF(F5564="NEW",IF(ISNA(VLOOKUP(E5564,#REF!,1,FALSE())),"?TYPE_IDENTIFIABLE","?REFERENTIAL"),"_")))))</f>
        <v> </v>
      </c>
      <c r="H5564" s="25" t="str">
        <f>IF(J5564&lt;&gt;1,"",IF(I5564="SBJ","CB","?"))</f>
        <v> </v>
      </c>
      <c r="I5564" s="26" t="str">
        <f>IF(OR(E5564="",E5564="!!!",F5564="NEW"),"",INDEX(B5563:B$2,-1+SUMPRODUCT(MAX(ROW(E5563:E$2)*(E5564=E5563:E$2)))))</f>
        <v> </v>
      </c>
      <c r="J5564" s="26" t="str">
        <f>IF(OR(E5564="",E5564="!!!",F5564="NEW"),"",COUNTBLANK(OFFSET(A$1,,,SUMPRODUCT(MAX(ROW(E$2:E5564)*(E5564=E$2:E5564)))))-COUNTBLANK(OFFSET(A$1,,,SUMPRODUCT(MAX(ROW(E$1:E5563)*(E2=E$1:E5563))))))</f>
        <v> </v>
      </c>
      <c r="K5564" s="26" t="str">
        <f>IF(OR(E5564="",E5564="!!!",F5564="NEW"),"",INDEX(J$1:J5563,SUMPRODUCT(MAX(ROW(E$1:E5563)*(E5564=E$1:E5563)))))</f>
        <v> </v>
      </c>
      <c r="L5564" s="27"/>
    </row>
    <row r="5565" spans="1:12">
      <c r="A5565" s="20" t="s">
        <v>737</v>
      </c>
      <c r="B5565" s="21" t="s">
        <v>1010</v>
      </c>
      <c r="C5565" s="21" t="s">
        <v>1015</v>
      </c>
      <c r="D5565" s="21" t="s">
        <v>997</v>
      </c>
      <c r="E5565" s="22">
        <f>IF(D5565="?OLD","!!!","")</f>
        <v/>
      </c>
      <c r="F5565" s="23" t="str">
        <f>IF(OR(E5565="",E5565="!!!"),"",IF(NOT(ISNA(VLOOKUP(E5565,E$1:E5564,1,FALSE()))),"OLD",IF(AND(E5565&lt;&gt;"",E5565&lt;&gt;"!!!"),"NEW","")))</f>
        <v> </v>
      </c>
      <c r="G5565" s="24" t="str">
        <f>IF(OR(E5565="",E5565="!!!"),"",IF(OR(J5565=0,AND(J5565=1,K5565=1),AND(J5565=1,I5565="SBJ"),AND(J5565=1,I5565=0)),"?IN_FOCUS",IF(J5565&lt;=2,"?ACTIVATED",IF(J5565&lt;&gt;"","?FAMILIAR",IF(F5565="NEW",IF(ISNA(VLOOKUP(E5565,#REF!,1,FALSE())),"?TYPE_IDENTIFIABLE","?REFERENTIAL"),"_")))))</f>
        <v> </v>
      </c>
      <c r="H5565" s="25" t="str">
        <f>IF(J5565&lt;&gt;1,"",IF(I5565="SBJ","CB","?"))</f>
        <v> </v>
      </c>
      <c r="I5565" s="26" t="str">
        <f>IF(OR(E5565="",E5565="!!!",F5565="NEW"),"",INDEX(B5564:B$2,-1+SUMPRODUCT(MAX(ROW(E5564:E$2)*(E5565=E5564:E$2)))))</f>
        <v> </v>
      </c>
      <c r="J5565" s="26" t="str">
        <f>IF(OR(E5565="",E5565="!!!",F5565="NEW"),"",COUNTBLANK(OFFSET(A$1,,,SUMPRODUCT(MAX(ROW(E$2:E5565)*(E5565=E$2:E5565)))))-COUNTBLANK(OFFSET(A$1,,,SUMPRODUCT(MAX(ROW(E$1:E5564)*(E2=E$1:E5564))))))</f>
        <v> </v>
      </c>
      <c r="K5565" s="26" t="str">
        <f>IF(OR(E5565="",E5565="!!!",F5565="NEW"),"",INDEX(J$1:J5564,SUMPRODUCT(MAX(ROW(E$1:E5564)*(E5565=E$1:E5564)))))</f>
        <v> </v>
      </c>
      <c r="L5565" s="27"/>
    </row>
    <row r="5566" spans="1:12">
      <c r="A5566" s="20" t="s">
        <v>1011</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row>
    <row r="5568" spans="1:12">
      <c r="A5568" s="20" t="s">
        <v>2430</v>
      </c>
    </row>
    <row r="5569" spans="1:12">
      <c r="A5569" s="20" t="s">
        <v>1099</v>
      </c>
      <c r="B5569" s="21" t="s">
        <v>995</v>
      </c>
      <c r="C5569" s="21" t="s">
        <v>996</v>
      </c>
      <c r="D5569" s="21" t="s">
        <v>997</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1928</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1144</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2431</v>
      </c>
      <c r="B5572" s="21" t="s">
        <v>1101</v>
      </c>
      <c r="C5572" s="21" t="s">
        <v>1089</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1008</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t="s">
        <v>2169</v>
      </c>
      <c r="B5574" s="21" t="s">
        <v>1005</v>
      </c>
      <c r="C5574" s="21" t="s">
        <v>1006</v>
      </c>
      <c r="E5574" s="22">
        <f>IF(D5574="?OLD","!!!","")</f>
        <v/>
      </c>
      <c r="F5574" s="23" t="str">
        <f>IF(OR(E5574="",E5574="!!!"),"",IF(NOT(ISNA(VLOOKUP(E5574,E$1:E5573,1,FALSE()))),"OLD",IF(AND(E5574&lt;&gt;"",E5574&lt;&gt;"!!!"),"NEW","")))</f>
        <v> </v>
      </c>
      <c r="G5574" s="24" t="str">
        <f>IF(OR(E5574="",E5574="!!!"),"",IF(OR(J5574=0,AND(J5574=1,K5574=1),AND(J5574=1,I5574="SBJ"),AND(J5574=1,I5574=0)),"?IN_FOCUS",IF(J5574&lt;=2,"?ACTIVATED",IF(J5574&lt;&gt;"","?FAMILIAR",IF(F5574="NEW",IF(ISNA(VLOOKUP(E5574,#REF!,1,FALSE())),"?TYPE_IDENTIFIABLE","?REFERENTIAL"),"_")))))</f>
        <v> </v>
      </c>
      <c r="H5574" s="25" t="str">
        <f>IF(J5574&lt;&gt;1,"",IF(I5574="SBJ","CB","?"))</f>
        <v> </v>
      </c>
      <c r="I5574" s="26" t="str">
        <f>IF(OR(E5574="",E5574="!!!",F5574="NEW"),"",INDEX(B5573:B$2,-1+SUMPRODUCT(MAX(ROW(E5573:E$2)*(E5574=E5573:E$2)))))</f>
        <v> </v>
      </c>
      <c r="J5574" s="26" t="str">
        <f>IF(OR(E5574="",E5574="!!!",F5574="NEW"),"",COUNTBLANK(OFFSET(A$1,,,SUMPRODUCT(MAX(ROW(E$2:E5574)*(E5574=E$2:E5574)))))-COUNTBLANK(OFFSET(A$1,,,SUMPRODUCT(MAX(ROW(E$1:E5573)*(E2=E$1:E5573))))))</f>
        <v> </v>
      </c>
      <c r="K5574" s="26" t="str">
        <f>IF(OR(E5574="",E5574="!!!",F5574="NEW"),"",INDEX(J$1:J5573,SUMPRODUCT(MAX(ROW(E$1:E5573)*(E5574=E$1:E5573)))))</f>
        <v> </v>
      </c>
      <c r="L5574" s="27"/>
    </row>
    <row r="5575" spans="1:12">
      <c r="A5575" s="20" t="s">
        <v>1073</v>
      </c>
      <c r="E5575" s="22">
        <f>IF(D5575="?OLD","!!!","")</f>
        <v/>
      </c>
      <c r="F5575" s="23" t="str">
        <f>IF(OR(E5575="",E5575="!!!"),"",IF(NOT(ISNA(VLOOKUP(E5575,E$1:E5574,1,FALSE()))),"OLD",IF(AND(E5575&lt;&gt;"",E5575&lt;&gt;"!!!"),"NEW","")))</f>
        <v> </v>
      </c>
      <c r="G5575" s="24" t="str">
        <f>IF(OR(E5575="",E5575="!!!"),"",IF(OR(J5575=0,AND(J5575=1,K5575=1),AND(J5575=1,I5575="SBJ"),AND(J5575=1,I5575=0)),"?IN_FOCUS",IF(J5575&lt;=2,"?ACTIVATED",IF(J5575&lt;&gt;"","?FAMILIAR",IF(F5575="NEW",IF(ISNA(VLOOKUP(E5575,#REF!,1,FALSE())),"?TYPE_IDENTIFIABLE","?REFERENTIAL"),"_")))))</f>
        <v> </v>
      </c>
      <c r="H5575" s="25" t="str">
        <f>IF(J5575&lt;&gt;1,"",IF(I5575="SBJ","CB","?"))</f>
        <v> </v>
      </c>
      <c r="I5575" s="26" t="str">
        <f>IF(OR(E5575="",E5575="!!!",F5575="NEW"),"",INDEX(B5574:B$2,-1+SUMPRODUCT(MAX(ROW(E5574:E$2)*(E5575=E5574:E$2)))))</f>
        <v> </v>
      </c>
      <c r="J5575" s="26" t="str">
        <f>IF(OR(E5575="",E5575="!!!",F5575="NEW"),"",COUNTBLANK(OFFSET(A$1,,,SUMPRODUCT(MAX(ROW(E$2:E5575)*(E5575=E$2:E5575)))))-COUNTBLANK(OFFSET(A$1,,,SUMPRODUCT(MAX(ROW(E$1:E5574)*(E2=E$1:E5574))))))</f>
        <v> </v>
      </c>
      <c r="K5575" s="26" t="str">
        <f>IF(OR(E5575="",E5575="!!!",F5575="NEW"),"",INDEX(J$1:J5574,SUMPRODUCT(MAX(ROW(E$1:E5574)*(E5575=E$1:E5574)))))</f>
        <v> </v>
      </c>
      <c r="L5575" s="27"/>
    </row>
    <row r="5576" spans="1:12">
      <c r="A5576" s="20" t="s">
        <v>1079</v>
      </c>
      <c r="B5576" s="21" t="s">
        <v>1005</v>
      </c>
      <c r="C5576" s="21" t="s">
        <v>1015</v>
      </c>
      <c r="D5576" s="21" t="s">
        <v>997</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t="s">
        <v>1082</v>
      </c>
      <c r="B5577" s="21" t="s">
        <v>1088</v>
      </c>
      <c r="E5577" s="22">
        <f>IF(D5577="?OLD","!!!","")</f>
        <v/>
      </c>
      <c r="F5577" s="23" t="str">
        <f>IF(OR(E5577="",E5577="!!!"),"",IF(NOT(ISNA(VLOOKUP(E5577,E$1:E5576,1,FALSE()))),"OLD",IF(AND(E5577&lt;&gt;"",E5577&lt;&gt;"!!!"),"NEW","")))</f>
        <v> </v>
      </c>
      <c r="G5577" s="24" t="str">
        <f>IF(OR(E5577="",E5577="!!!"),"",IF(OR(J5577=0,AND(J5577=1,K5577=1),AND(J5577=1,I5577="SBJ"),AND(J5577=1,I5577=0)),"?IN_FOCUS",IF(J5577&lt;=2,"?ACTIVATED",IF(J5577&lt;&gt;"","?FAMILIAR",IF(F5577="NEW",IF(ISNA(VLOOKUP(E5577,#REF!,1,FALSE())),"?TYPE_IDENTIFIABLE","?REFERENTIAL"),"_")))))</f>
        <v> </v>
      </c>
      <c r="H5577" s="25" t="str">
        <f>IF(J5577&lt;&gt;1,"",IF(I5577="SBJ","CB","?"))</f>
        <v> </v>
      </c>
      <c r="I5577" s="26" t="str">
        <f>IF(OR(E5577="",E5577="!!!",F5577="NEW"),"",INDEX(B5576:B$2,-1+SUMPRODUCT(MAX(ROW(E5576:E$2)*(E5577=E5576:E$2)))))</f>
        <v> </v>
      </c>
      <c r="J5577" s="26" t="str">
        <f>IF(OR(E5577="",E5577="!!!",F5577="NEW"),"",COUNTBLANK(OFFSET(A$1,,,SUMPRODUCT(MAX(ROW(E$2:E5577)*(E5577=E$2:E5577)))))-COUNTBLANK(OFFSET(A$1,,,SUMPRODUCT(MAX(ROW(E$1:E5576)*(E2=E$1:E5576))))))</f>
        <v> </v>
      </c>
      <c r="K5577" s="26" t="str">
        <f>IF(OR(E5577="",E5577="!!!",F5577="NEW"),"",INDEX(J$1:J5576,SUMPRODUCT(MAX(ROW(E$1:E5576)*(E5577=E$1:E5576)))))</f>
        <v> </v>
      </c>
      <c r="L5577" s="27"/>
    </row>
    <row r="5578" spans="1:12">
      <c r="A5578" s="20" t="s">
        <v>1194</v>
      </c>
      <c r="B5578" s="21" t="s">
        <v>1114</v>
      </c>
      <c r="C5578" s="21" t="s">
        <v>1133</v>
      </c>
      <c r="D5578" s="21" t="s">
        <v>997</v>
      </c>
      <c r="E5578" s="22">
        <f>IF(D5578="?OLD","!!!","")</f>
        <v/>
      </c>
      <c r="F5578" s="23" t="str">
        <f>IF(OR(E5578="",E5578="!!!"),"",IF(NOT(ISNA(VLOOKUP(E5578,E$1:E5577,1,FALSE()))),"OLD",IF(AND(E5578&lt;&gt;"",E5578&lt;&gt;"!!!"),"NEW","")))</f>
        <v> </v>
      </c>
      <c r="G5578" s="24" t="str">
        <f>IF(OR(E5578="",E5578="!!!"),"",IF(OR(J5578=0,AND(J5578=1,K5578=1),AND(J5578=1,I5578="SBJ"),AND(J5578=1,I5578=0)),"?IN_FOCUS",IF(J5578&lt;=2,"?ACTIVATED",IF(J5578&lt;&gt;"","?FAMILIAR",IF(F5578="NEW",IF(ISNA(VLOOKUP(E5578,#REF!,1,FALSE())),"?TYPE_IDENTIFIABLE","?REFERENTIAL"),"_")))))</f>
        <v> </v>
      </c>
      <c r="H5578" s="25" t="str">
        <f>IF(J5578&lt;&gt;1,"",IF(I5578="SBJ","CB","?"))</f>
        <v> </v>
      </c>
      <c r="I5578" s="26" t="str">
        <f>IF(OR(E5578="",E5578="!!!",F5578="NEW"),"",INDEX(B5577:B$2,-1+SUMPRODUCT(MAX(ROW(E5577:E$2)*(E5578=E5577:E$2)))))</f>
        <v> </v>
      </c>
      <c r="J5578" s="26" t="str">
        <f>IF(OR(E5578="",E5578="!!!",F5578="NEW"),"",COUNTBLANK(OFFSET(A$1,,,SUMPRODUCT(MAX(ROW(E$2:E5578)*(E5578=E$2:E5578)))))-COUNTBLANK(OFFSET(A$1,,,SUMPRODUCT(MAX(ROW(E$1:E5577)*(E2=E$1:E5577))))))</f>
        <v> </v>
      </c>
      <c r="K5578" s="26" t="str">
        <f>IF(OR(E5578="",E5578="!!!",F5578="NEW"),"",INDEX(J$1:J5577,SUMPRODUCT(MAX(ROW(E$1:E5577)*(E5578=E$1:E5577)))))</f>
        <v> </v>
      </c>
      <c r="L5578" s="27"/>
    </row>
    <row r="5579" spans="1:12">
      <c r="A5579" s="20" t="s">
        <v>2001</v>
      </c>
      <c r="E5579" s="22">
        <f>IF(D5579="?OLD","!!!","")</f>
        <v/>
      </c>
      <c r="F5579" s="23" t="str">
        <f>IF(OR(E5579="",E5579="!!!"),"",IF(NOT(ISNA(VLOOKUP(E5579,E$1:E5578,1,FALSE()))),"OLD",IF(AND(E5579&lt;&gt;"",E5579&lt;&gt;"!!!"),"NEW","")))</f>
        <v> </v>
      </c>
      <c r="G5579" s="24" t="str">
        <f>IF(OR(E5579="",E5579="!!!"),"",IF(OR(J5579=0,AND(J5579=1,K5579=1),AND(J5579=1,I5579="SBJ"),AND(J5579=1,I5579=0)),"?IN_FOCUS",IF(J5579&lt;=2,"?ACTIVATED",IF(J5579&lt;&gt;"","?FAMILIAR",IF(F5579="NEW",IF(ISNA(VLOOKUP(E5579,#REF!,1,FALSE())),"?TYPE_IDENTIFIABLE","?REFERENTIAL"),"_")))))</f>
        <v> </v>
      </c>
      <c r="H5579" s="25" t="str">
        <f>IF(J5579&lt;&gt;1,"",IF(I5579="SBJ","CB","?"))</f>
        <v> </v>
      </c>
      <c r="I5579" s="26" t="str">
        <f>IF(OR(E5579="",E5579="!!!",F5579="NEW"),"",INDEX(B5578:B$2,-1+SUMPRODUCT(MAX(ROW(E5578:E$2)*(E5579=E5578:E$2)))))</f>
        <v> </v>
      </c>
      <c r="J5579" s="26" t="str">
        <f>IF(OR(E5579="",E5579="!!!",F5579="NEW"),"",COUNTBLANK(OFFSET(A$1,,,SUMPRODUCT(MAX(ROW(E$2:E5579)*(E5579=E$2:E5579)))))-COUNTBLANK(OFFSET(A$1,,,SUMPRODUCT(MAX(ROW(E$1:E5578)*(E2=E$1:E5578))))))</f>
        <v> </v>
      </c>
      <c r="K5579" s="26" t="str">
        <f>IF(OR(E5579="",E5579="!!!",F5579="NEW"),"",INDEX(J$1:J5578,SUMPRODUCT(MAX(ROW(E$1:E5578)*(E5579=E$1:E5578)))))</f>
        <v> </v>
      </c>
      <c r="L5579" s="27"/>
    </row>
    <row r="5580" spans="1:12">
      <c r="A5580" s="20" t="s">
        <v>1032</v>
      </c>
      <c r="E5580" s="22">
        <f>IF(D5580="?OLD","!!!","")</f>
        <v/>
      </c>
      <c r="F5580" s="23" t="str">
        <f>IF(OR(E5580="",E5580="!!!"),"",IF(NOT(ISNA(VLOOKUP(E5580,E$1:E5579,1,FALSE()))),"OLD",IF(AND(E5580&lt;&gt;"",E5580&lt;&gt;"!!!"),"NEW","")))</f>
        <v> </v>
      </c>
      <c r="G5580" s="24" t="str">
        <f>IF(OR(E5580="",E5580="!!!"),"",IF(OR(J5580=0,AND(J5580=1,K5580=1),AND(J5580=1,I5580="SBJ"),AND(J5580=1,I5580=0)),"?IN_FOCUS",IF(J5580&lt;=2,"?ACTIVATED",IF(J5580&lt;&gt;"","?FAMILIAR",IF(F5580="NEW",IF(ISNA(VLOOKUP(E5580,#REF!,1,FALSE())),"?TYPE_IDENTIFIABLE","?REFERENTIAL"),"_")))))</f>
        <v> </v>
      </c>
      <c r="H5580" s="25" t="str">
        <f>IF(J5580&lt;&gt;1,"",IF(I5580="SBJ","CB","?"))</f>
        <v> </v>
      </c>
      <c r="I5580" s="26" t="str">
        <f>IF(OR(E5580="",E5580="!!!",F5580="NEW"),"",INDEX(B5579:B$2,-1+SUMPRODUCT(MAX(ROW(E5579:E$2)*(E5580=E5579:E$2)))))</f>
        <v> </v>
      </c>
      <c r="J5580" s="26" t="str">
        <f>IF(OR(E5580="",E5580="!!!",F5580="NEW"),"",COUNTBLANK(OFFSET(A$1,,,SUMPRODUCT(MAX(ROW(E$2:E5580)*(E5580=E$2:E5580)))))-COUNTBLANK(OFFSET(A$1,,,SUMPRODUCT(MAX(ROW(E$1:E5579)*(E2=E$1:E5579))))))</f>
        <v> </v>
      </c>
      <c r="K5580" s="26" t="str">
        <f>IF(OR(E5580="",E5580="!!!",F5580="NEW"),"",INDEX(J$1:J5579,SUMPRODUCT(MAX(ROW(E$1:E5579)*(E5580=E$1:E5579)))))</f>
        <v> </v>
      </c>
      <c r="L5580" s="27"/>
    </row>
    <row r="5581" spans="1:12">
      <c r="A5581" s="20" t="s">
        <v>2432</v>
      </c>
      <c r="B5581" s="21" t="s">
        <v>1024</v>
      </c>
      <c r="C5581" s="21" t="s">
        <v>1034</v>
      </c>
      <c r="D5581" s="21" t="s">
        <v>997</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t="s">
        <v>1041</v>
      </c>
      <c r="E5582" s="22">
        <f>IF(D5582="?OLD","!!!","")</f>
        <v/>
      </c>
      <c r="F5582" s="23" t="str">
        <f>IF(OR(E5582="",E5582="!!!"),"",IF(NOT(ISNA(VLOOKUP(E5582,E$1:E5581,1,FALSE()))),"OLD",IF(AND(E5582&lt;&gt;"",E5582&lt;&gt;"!!!"),"NEW","")))</f>
        <v> </v>
      </c>
      <c r="G5582" s="24" t="str">
        <f>IF(OR(E5582="",E5582="!!!"),"",IF(OR(J5582=0,AND(J5582=1,K5582=1),AND(J5582=1,I5582="SBJ"),AND(J5582=1,I5582=0)),"?IN_FOCUS",IF(J5582&lt;=2,"?ACTIVATED",IF(J5582&lt;&gt;"","?FAMILIAR",IF(F5582="NEW",IF(ISNA(VLOOKUP(E5582,#REF!,1,FALSE())),"?TYPE_IDENTIFIABLE","?REFERENTIAL"),"_")))))</f>
        <v> </v>
      </c>
      <c r="H5582" s="25" t="str">
        <f>IF(J5582&lt;&gt;1,"",IF(I5582="SBJ","CB","?"))</f>
        <v> </v>
      </c>
      <c r="I5582" s="26" t="str">
        <f>IF(OR(E5582="",E5582="!!!",F5582="NEW"),"",INDEX(B5581:B$2,-1+SUMPRODUCT(MAX(ROW(E5581:E$2)*(E5582=E5581:E$2)))))</f>
        <v> </v>
      </c>
      <c r="J5582" s="26" t="str">
        <f>IF(OR(E5582="",E5582="!!!",F5582="NEW"),"",COUNTBLANK(OFFSET(A$1,,,SUMPRODUCT(MAX(ROW(E$2:E5582)*(E5582=E$2:E5582)))))-COUNTBLANK(OFFSET(A$1,,,SUMPRODUCT(MAX(ROW(E$1:E5581)*(E2=E$1:E5581))))))</f>
        <v> </v>
      </c>
      <c r="K5582" s="26" t="str">
        <f>IF(OR(E5582="",E5582="!!!",F5582="NEW"),"",INDEX(J$1:J5581,SUMPRODUCT(MAX(ROW(E$1:E5581)*(E5582=E$1:E5581)))))</f>
        <v> </v>
      </c>
      <c r="L5582" s="27"/>
    </row>
    <row r="5583" spans="1:12">
      <c r="A5583" s="20" t="s">
        <v>2433</v>
      </c>
      <c r="E5583" s="22">
        <f>IF(D5583="?OLD","!!!","")</f>
        <v/>
      </c>
      <c r="F5583" s="23" t="str">
        <f>IF(OR(E5583="",E5583="!!!"),"",IF(NOT(ISNA(VLOOKUP(E5583,E$1:E5582,1,FALSE()))),"OLD",IF(AND(E5583&lt;&gt;"",E5583&lt;&gt;"!!!"),"NEW","")))</f>
        <v> </v>
      </c>
      <c r="G5583" s="24" t="str">
        <f>IF(OR(E5583="",E5583="!!!"),"",IF(OR(J5583=0,AND(J5583=1,K5583=1),AND(J5583=1,I5583="SBJ"),AND(J5583=1,I5583=0)),"?IN_FOCUS",IF(J5583&lt;=2,"?ACTIVATED",IF(J5583&lt;&gt;"","?FAMILIAR",IF(F5583="NEW",IF(ISNA(VLOOKUP(E5583,#REF!,1,FALSE())),"?TYPE_IDENTIFIABLE","?REFERENTIAL"),"_")))))</f>
        <v> </v>
      </c>
      <c r="H5583" s="25" t="str">
        <f>IF(J5583&lt;&gt;1,"",IF(I5583="SBJ","CB","?"))</f>
        <v> </v>
      </c>
      <c r="I5583" s="26" t="str">
        <f>IF(OR(E5583="",E5583="!!!",F5583="NEW"),"",INDEX(B5582:B$2,-1+SUMPRODUCT(MAX(ROW(E5582:E$2)*(E5583=E5582:E$2)))))</f>
        <v> </v>
      </c>
      <c r="J5583" s="26" t="str">
        <f>IF(OR(E5583="",E5583="!!!",F5583="NEW"),"",COUNTBLANK(OFFSET(A$1,,,SUMPRODUCT(MAX(ROW(E$2:E5583)*(E5583=E$2:E5583)))))-COUNTBLANK(OFFSET(A$1,,,SUMPRODUCT(MAX(ROW(E$1:E5582)*(E2=E$1:E5582))))))</f>
        <v> </v>
      </c>
      <c r="K5583" s="26" t="str">
        <f>IF(OR(E5583="",E5583="!!!",F5583="NEW"),"",INDEX(J$1:J5582,SUMPRODUCT(MAX(ROW(E$1:E5582)*(E5583=E$1:E5582)))))</f>
        <v> </v>
      </c>
      <c r="L5583" s="27"/>
    </row>
    <row r="5584" spans="1:12">
      <c r="A5584" s="20" t="s">
        <v>1073</v>
      </c>
      <c r="E5584" s="22">
        <f>IF(D5584="?OLD","!!!","")</f>
        <v/>
      </c>
      <c r="F5584" s="23" t="str">
        <f>IF(OR(E5584="",E5584="!!!"),"",IF(NOT(ISNA(VLOOKUP(E5584,E$1:E5583,1,FALSE()))),"OLD",IF(AND(E5584&lt;&gt;"",E5584&lt;&gt;"!!!"),"NEW","")))</f>
        <v> </v>
      </c>
      <c r="G5584" s="24" t="str">
        <f>IF(OR(E5584="",E5584="!!!"),"",IF(OR(J5584=0,AND(J5584=1,K5584=1),AND(J5584=1,I5584="SBJ"),AND(J5584=1,I5584=0)),"?IN_FOCUS",IF(J5584&lt;=2,"?ACTIVATED",IF(J5584&lt;&gt;"","?FAMILIAR",IF(F5584="NEW",IF(ISNA(VLOOKUP(E5584,#REF!,1,FALSE())),"?TYPE_IDENTIFIABLE","?REFERENTIAL"),"_")))))</f>
        <v> </v>
      </c>
      <c r="H5584" s="25" t="str">
        <f>IF(J5584&lt;&gt;1,"",IF(I5584="SBJ","CB","?"))</f>
        <v> </v>
      </c>
      <c r="I5584" s="26" t="str">
        <f>IF(OR(E5584="",E5584="!!!",F5584="NEW"),"",INDEX(B5583:B$2,-1+SUMPRODUCT(MAX(ROW(E5583:E$2)*(E5584=E5583:E$2)))))</f>
        <v> </v>
      </c>
      <c r="J5584" s="26" t="str">
        <f>IF(OR(E5584="",E5584="!!!",F5584="NEW"),"",COUNTBLANK(OFFSET(A$1,,,SUMPRODUCT(MAX(ROW(E$2:E5584)*(E5584=E$2:E5584)))))-COUNTBLANK(OFFSET(A$1,,,SUMPRODUCT(MAX(ROW(E$1:E5583)*(E2=E$1:E5583))))))</f>
        <v> </v>
      </c>
      <c r="K5584" s="26" t="str">
        <f>IF(OR(E5584="",E5584="!!!",F5584="NEW"),"",INDEX(J$1:J5583,SUMPRODUCT(MAX(ROW(E$1:E5583)*(E5584=E$1:E5583)))))</f>
        <v> </v>
      </c>
      <c r="L5584" s="27"/>
    </row>
    <row r="5585" spans="1:12">
      <c r="A5585" s="20" t="s">
        <v>1475</v>
      </c>
      <c r="E5585" s="22">
        <f>IF(D5585="?OLD","!!!","")</f>
        <v/>
      </c>
      <c r="F5585" s="23" t="str">
        <f>IF(OR(E5585="",E5585="!!!"),"",IF(NOT(ISNA(VLOOKUP(E5585,E$1:E5584,1,FALSE()))),"OLD",IF(AND(E5585&lt;&gt;"",E5585&lt;&gt;"!!!"),"NEW","")))</f>
        <v> </v>
      </c>
      <c r="G5585" s="24" t="str">
        <f>IF(OR(E5585="",E5585="!!!"),"",IF(OR(J5585=0,AND(J5585=1,K5585=1),AND(J5585=1,I5585="SBJ"),AND(J5585=1,I5585=0)),"?IN_FOCUS",IF(J5585&lt;=2,"?ACTIVATED",IF(J5585&lt;&gt;"","?FAMILIAR",IF(F5585="NEW",IF(ISNA(VLOOKUP(E5585,#REF!,1,FALSE())),"?TYPE_IDENTIFIABLE","?REFERENTIAL"),"_")))))</f>
        <v> </v>
      </c>
      <c r="H5585" s="25" t="str">
        <f>IF(J5585&lt;&gt;1,"",IF(I5585="SBJ","CB","?"))</f>
        <v> </v>
      </c>
      <c r="I5585" s="26" t="str">
        <f>IF(OR(E5585="",E5585="!!!",F5585="NEW"),"",INDEX(B5584:B$2,-1+SUMPRODUCT(MAX(ROW(E5584:E$2)*(E5585=E5584:E$2)))))</f>
        <v> </v>
      </c>
      <c r="J5585" s="26" t="str">
        <f>IF(OR(E5585="",E5585="!!!",F5585="NEW"),"",COUNTBLANK(OFFSET(A$1,,,SUMPRODUCT(MAX(ROW(E$2:E5585)*(E5585=E$2:E5585)))))-COUNTBLANK(OFFSET(A$1,,,SUMPRODUCT(MAX(ROW(E$1:E5584)*(E2=E$1:E5584))))))</f>
        <v> </v>
      </c>
      <c r="K5585" s="26" t="str">
        <f>IF(OR(E5585="",E5585="!!!",F5585="NEW"),"",INDEX(J$1:J5584,SUMPRODUCT(MAX(ROW(E$1:E5584)*(E5585=E$1:E5584)))))</f>
        <v> </v>
      </c>
      <c r="L5585" s="27"/>
    </row>
    <row r="5586" spans="1:12">
      <c r="A5586" s="20" t="s">
        <v>1525</v>
      </c>
      <c r="B5586" s="21" t="s">
        <v>1005</v>
      </c>
      <c r="C5586" s="21" t="s">
        <v>1239</v>
      </c>
      <c r="E5586" s="22">
        <f>IF(D5586="?OLD","!!!","")</f>
        <v/>
      </c>
      <c r="F5586" s="23" t="str">
        <f>IF(OR(E5586="",E5586="!!!"),"",IF(NOT(ISNA(VLOOKUP(E5586,E$1:E5585,1,FALSE()))),"OLD",IF(AND(E5586&lt;&gt;"",E5586&lt;&gt;"!!!"),"NEW","")))</f>
        <v> </v>
      </c>
      <c r="G5586" s="24" t="str">
        <f>IF(OR(E5586="",E5586="!!!"),"",IF(OR(J5586=0,AND(J5586=1,K5586=1),AND(J5586=1,I5586="SBJ"),AND(J5586=1,I5586=0)),"?IN_FOCUS",IF(J5586&lt;=2,"?ACTIVATED",IF(J5586&lt;&gt;"","?FAMILIAR",IF(F5586="NEW",IF(ISNA(VLOOKUP(E5586,#REF!,1,FALSE())),"?TYPE_IDENTIFIABLE","?REFERENTIAL"),"_")))))</f>
        <v> </v>
      </c>
      <c r="H5586" s="25" t="str">
        <f>IF(J5586&lt;&gt;1,"",IF(I5586="SBJ","CB","?"))</f>
        <v> </v>
      </c>
      <c r="I5586" s="26" t="str">
        <f>IF(OR(E5586="",E5586="!!!",F5586="NEW"),"",INDEX(B5585:B$2,-1+SUMPRODUCT(MAX(ROW(E5585:E$2)*(E5586=E5585:E$2)))))</f>
        <v> </v>
      </c>
      <c r="J5586" s="26" t="str">
        <f>IF(OR(E5586="",E5586="!!!",F5586="NEW"),"",COUNTBLANK(OFFSET(A$1,,,SUMPRODUCT(MAX(ROW(E$2:E5586)*(E5586=E$2:E5586)))))-COUNTBLANK(OFFSET(A$1,,,SUMPRODUCT(MAX(ROW(E$1:E5585)*(E2=E$1:E5585))))))</f>
        <v> </v>
      </c>
      <c r="K5586" s="26" t="str">
        <f>IF(OR(E5586="",E5586="!!!",F5586="NEW"),"",INDEX(J$1:J5585,SUMPRODUCT(MAX(ROW(E$1:E5585)*(E5586=E$1:E5585)))))</f>
        <v> </v>
      </c>
      <c r="L5586" s="27"/>
    </row>
    <row r="5587" spans="1:12">
      <c r="A5587" s="20" t="s">
        <v>1041</v>
      </c>
      <c r="E5587" s="22">
        <f>IF(D5587="?OLD","!!!","")</f>
        <v/>
      </c>
      <c r="F5587" s="23" t="str">
        <f>IF(OR(E5587="",E5587="!!!"),"",IF(NOT(ISNA(VLOOKUP(E5587,E$1:E5586,1,FALSE()))),"OLD",IF(AND(E5587&lt;&gt;"",E5587&lt;&gt;"!!!"),"NEW","")))</f>
        <v> </v>
      </c>
      <c r="G5587" s="24" t="str">
        <f>IF(OR(E5587="",E5587="!!!"),"",IF(OR(J5587=0,AND(J5587=1,K5587=1),AND(J5587=1,I5587="SBJ"),AND(J5587=1,I5587=0)),"?IN_FOCUS",IF(J5587&lt;=2,"?ACTIVATED",IF(J5587&lt;&gt;"","?FAMILIAR",IF(F5587="NEW",IF(ISNA(VLOOKUP(E5587,#REF!,1,FALSE())),"?TYPE_IDENTIFIABLE","?REFERENTIAL"),"_")))))</f>
        <v> </v>
      </c>
      <c r="H5587" s="25" t="str">
        <f>IF(J5587&lt;&gt;1,"",IF(I5587="SBJ","CB","?"))</f>
        <v> </v>
      </c>
      <c r="I5587" s="26" t="str">
        <f>IF(OR(E5587="",E5587="!!!",F5587="NEW"),"",INDEX(B5586:B$2,-1+SUMPRODUCT(MAX(ROW(E5586:E$2)*(E5587=E5586:E$2)))))</f>
        <v> </v>
      </c>
      <c r="J5587" s="26" t="str">
        <f>IF(OR(E5587="",E5587="!!!",F5587="NEW"),"",COUNTBLANK(OFFSET(A$1,,,SUMPRODUCT(MAX(ROW(E$2:E5587)*(E5587=E$2:E5587)))))-COUNTBLANK(OFFSET(A$1,,,SUMPRODUCT(MAX(ROW(E$1:E5586)*(E2=E$1:E5586))))))</f>
        <v> </v>
      </c>
      <c r="K5587" s="26" t="str">
        <f>IF(OR(E5587="",E5587="!!!",F5587="NEW"),"",INDEX(J$1:J5586,SUMPRODUCT(MAX(ROW(E$1:E5586)*(E5587=E$1:E5586)))))</f>
        <v> </v>
      </c>
      <c r="L5587" s="27"/>
    </row>
    <row r="5588" spans="1:12">
      <c r="A5588" s="20" t="s">
        <v>1080</v>
      </c>
      <c r="B5588" s="21" t="s">
        <v>1114</v>
      </c>
      <c r="E5588" s="22">
        <f>IF(D5588="?OLD","!!!","")</f>
        <v/>
      </c>
      <c r="F5588" s="23" t="str">
        <f>IF(OR(E5588="",E5588="!!!"),"",IF(NOT(ISNA(VLOOKUP(E5588,E$1:E5587,1,FALSE()))),"OLD",IF(AND(E5588&lt;&gt;"",E5588&lt;&gt;"!!!"),"NEW","")))</f>
        <v> </v>
      </c>
      <c r="G5588" s="24" t="str">
        <f>IF(OR(E5588="",E5588="!!!"),"",IF(OR(J5588=0,AND(J5588=1,K5588=1),AND(J5588=1,I5588="SBJ"),AND(J5588=1,I5588=0)),"?IN_FOCUS",IF(J5588&lt;=2,"?ACTIVATED",IF(J5588&lt;&gt;"","?FAMILIAR",IF(F5588="NEW",IF(ISNA(VLOOKUP(E5588,#REF!,1,FALSE())),"?TYPE_IDENTIFIABLE","?REFERENTIAL"),"_")))))</f>
        <v> </v>
      </c>
      <c r="H5588" s="25" t="str">
        <f>IF(J5588&lt;&gt;1,"",IF(I5588="SBJ","CB","?"))</f>
        <v> </v>
      </c>
      <c r="I5588" s="26" t="str">
        <f>IF(OR(E5588="",E5588="!!!",F5588="NEW"),"",INDEX(B5587:B$2,-1+SUMPRODUCT(MAX(ROW(E5587:E$2)*(E5588=E5587:E$2)))))</f>
        <v> </v>
      </c>
      <c r="J5588" s="26" t="str">
        <f>IF(OR(E5588="",E5588="!!!",F5588="NEW"),"",COUNTBLANK(OFFSET(A$1,,,SUMPRODUCT(MAX(ROW(E$2:E5588)*(E5588=E$2:E5588)))))-COUNTBLANK(OFFSET(A$1,,,SUMPRODUCT(MAX(ROW(E$1:E5587)*(E2=E$1:E5587))))))</f>
        <v> </v>
      </c>
      <c r="K5588" s="26" t="str">
        <f>IF(OR(E5588="",E5588="!!!",F5588="NEW"),"",INDEX(J$1:J5587,SUMPRODUCT(MAX(ROW(E$1:E5587)*(E5588=E$1:E5587)))))</f>
        <v> </v>
      </c>
      <c r="L5588" s="27"/>
    </row>
    <row r="5589" spans="1:12">
      <c r="A5589" s="20" t="s">
        <v>2434</v>
      </c>
      <c r="E5589" s="22">
        <f>IF(D5589="?OLD","!!!","")</f>
        <v/>
      </c>
      <c r="F5589" s="23" t="str">
        <f>IF(OR(E5589="",E5589="!!!"),"",IF(NOT(ISNA(VLOOKUP(E5589,E$1:E5588,1,FALSE()))),"OLD",IF(AND(E5589&lt;&gt;"",E5589&lt;&gt;"!!!"),"NEW","")))</f>
        <v> </v>
      </c>
      <c r="G5589" s="24" t="str">
        <f>IF(OR(E5589="",E5589="!!!"),"",IF(OR(J5589=0,AND(J5589=1,K5589=1),AND(J5589=1,I5589="SBJ"),AND(J5589=1,I5589=0)),"?IN_FOCUS",IF(J5589&lt;=2,"?ACTIVATED",IF(J5589&lt;&gt;"","?FAMILIAR",IF(F5589="NEW",IF(ISNA(VLOOKUP(E5589,#REF!,1,FALSE())),"?TYPE_IDENTIFIABLE","?REFERENTIAL"),"_")))))</f>
        <v> </v>
      </c>
      <c r="H5589" s="25" t="str">
        <f>IF(J5589&lt;&gt;1,"",IF(I5589="SBJ","CB","?"))</f>
        <v> </v>
      </c>
      <c r="I5589" s="26" t="str">
        <f>IF(OR(E5589="",E5589="!!!",F5589="NEW"),"",INDEX(B5588:B$2,-1+SUMPRODUCT(MAX(ROW(E5588:E$2)*(E5589=E5588:E$2)))))</f>
        <v> </v>
      </c>
      <c r="J5589" s="26" t="str">
        <f>IF(OR(E5589="",E5589="!!!",F5589="NEW"),"",COUNTBLANK(OFFSET(A$1,,,SUMPRODUCT(MAX(ROW(E$2:E5589)*(E5589=E$2:E5589)))))-COUNTBLANK(OFFSET(A$1,,,SUMPRODUCT(MAX(ROW(E$1:E5588)*(E2=E$1:E5588))))))</f>
        <v> </v>
      </c>
      <c r="K5589" s="26" t="str">
        <f>IF(OR(E5589="",E5589="!!!",F5589="NEW"),"",INDEX(J$1:J5588,SUMPRODUCT(MAX(ROW(E$1:E5588)*(E5589=E$1:E5588)))))</f>
        <v> </v>
      </c>
      <c r="L5589" s="27"/>
    </row>
    <row r="5590" spans="1:12">
      <c r="A5590" s="20" t="s">
        <v>1061</v>
      </c>
      <c r="E5590" s="22">
        <f>IF(D5590="?OLD","!!!","")</f>
        <v/>
      </c>
      <c r="F5590" s="23" t="str">
        <f>IF(OR(E5590="",E5590="!!!"),"",IF(NOT(ISNA(VLOOKUP(E5590,E$1:E5589,1,FALSE()))),"OLD",IF(AND(E5590&lt;&gt;"",E5590&lt;&gt;"!!!"),"NEW","")))</f>
        <v> </v>
      </c>
      <c r="G5590" s="24" t="str">
        <f>IF(OR(E5590="",E5590="!!!"),"",IF(OR(J5590=0,AND(J5590=1,K5590=1),AND(J5590=1,I5590="SBJ"),AND(J5590=1,I5590=0)),"?IN_FOCUS",IF(J5590&lt;=2,"?ACTIVATED",IF(J5590&lt;&gt;"","?FAMILIAR",IF(F5590="NEW",IF(ISNA(VLOOKUP(E5590,#REF!,1,FALSE())),"?TYPE_IDENTIFIABLE","?REFERENTIAL"),"_")))))</f>
        <v> </v>
      </c>
      <c r="H5590" s="25" t="str">
        <f>IF(J5590&lt;&gt;1,"",IF(I5590="SBJ","CB","?"))</f>
        <v> </v>
      </c>
      <c r="I5590" s="26" t="str">
        <f>IF(OR(E5590="",E5590="!!!",F5590="NEW"),"",INDEX(B5589:B$2,-1+SUMPRODUCT(MAX(ROW(E5589:E$2)*(E5590=E5589:E$2)))))</f>
        <v> </v>
      </c>
      <c r="J5590" s="26" t="str">
        <f>IF(OR(E5590="",E5590="!!!",F5590="NEW"),"",COUNTBLANK(OFFSET(A$1,,,SUMPRODUCT(MAX(ROW(E$2:E5590)*(E5590=E$2:E5590)))))-COUNTBLANK(OFFSET(A$1,,,SUMPRODUCT(MAX(ROW(E$1:E5589)*(E2=E$1:E5589))))))</f>
        <v> </v>
      </c>
      <c r="K5590" s="26" t="str">
        <f>IF(OR(E5590="",E5590="!!!",F5590="NEW"),"",INDEX(J$1:J5589,SUMPRODUCT(MAX(ROW(E$1:E5589)*(E5590=E$1:E5589)))))</f>
        <v> </v>
      </c>
      <c r="L5590" s="27"/>
    </row>
    <row r="5591" spans="1:12">
      <c r="A5591" s="20" t="s">
        <v>2435</v>
      </c>
      <c r="B5591" s="21" t="s">
        <v>1088</v>
      </c>
      <c r="C5591" s="21" t="s">
        <v>1034</v>
      </c>
      <c r="D5591" s="21" t="s">
        <v>997</v>
      </c>
      <c r="E5591" s="22">
        <f>IF(D5591="?OLD","!!!","")</f>
        <v/>
      </c>
      <c r="F5591" s="23" t="str">
        <f>IF(OR(E5591="",E5591="!!!"),"",IF(NOT(ISNA(VLOOKUP(E5591,E$1:E5590,1,FALSE()))),"OLD",IF(AND(E5591&lt;&gt;"",E5591&lt;&gt;"!!!"),"NEW","")))</f>
        <v> </v>
      </c>
      <c r="G5591" s="24" t="str">
        <f>IF(OR(E5591="",E5591="!!!"),"",IF(OR(J5591=0,AND(J5591=1,K5591=1),AND(J5591=1,I5591="SBJ"),AND(J5591=1,I5591=0)),"?IN_FOCUS",IF(J5591&lt;=2,"?ACTIVATED",IF(J5591&lt;&gt;"","?FAMILIAR",IF(F5591="NEW",IF(ISNA(VLOOKUP(E5591,#REF!,1,FALSE())),"?TYPE_IDENTIFIABLE","?REFERENTIAL"),"_")))))</f>
        <v> </v>
      </c>
      <c r="H5591" s="25" t="str">
        <f>IF(J5591&lt;&gt;1,"",IF(I5591="SBJ","CB","?"))</f>
        <v> </v>
      </c>
      <c r="I5591" s="26" t="str">
        <f>IF(OR(E5591="",E5591="!!!",F5591="NEW"),"",INDEX(B5590:B$2,-1+SUMPRODUCT(MAX(ROW(E5590:E$2)*(E5591=E5590:E$2)))))</f>
        <v> </v>
      </c>
      <c r="J5591" s="26" t="str">
        <f>IF(OR(E5591="",E5591="!!!",F5591="NEW"),"",COUNTBLANK(OFFSET(A$1,,,SUMPRODUCT(MAX(ROW(E$2:E5591)*(E5591=E$2:E5591)))))-COUNTBLANK(OFFSET(A$1,,,SUMPRODUCT(MAX(ROW(E$1:E5590)*(E2=E$1:E5590))))))</f>
        <v> </v>
      </c>
      <c r="K5591" s="26" t="str">
        <f>IF(OR(E5591="",E5591="!!!",F5591="NEW"),"",INDEX(J$1:J5590,SUMPRODUCT(MAX(ROW(E$1:E5590)*(E5591=E$1:E5590)))))</f>
        <v> </v>
      </c>
      <c r="L5591" s="27"/>
    </row>
    <row r="5592" spans="1:12">
      <c r="A5592" s="20" t="s">
        <v>1041</v>
      </c>
      <c r="E5592" s="22">
        <f>IF(D5592="?OLD","!!!","")</f>
        <v/>
      </c>
      <c r="F5592" s="23" t="str">
        <f>IF(OR(E5592="",E5592="!!!"),"",IF(NOT(ISNA(VLOOKUP(E5592,E$1:E5591,1,FALSE()))),"OLD",IF(AND(E5592&lt;&gt;"",E5592&lt;&gt;"!!!"),"NEW","")))</f>
        <v> </v>
      </c>
      <c r="G5592" s="24" t="str">
        <f>IF(OR(E5592="",E5592="!!!"),"",IF(OR(J5592=0,AND(J5592=1,K5592=1),AND(J5592=1,I5592="SBJ"),AND(J5592=1,I5592=0)),"?IN_FOCUS",IF(J5592&lt;=2,"?ACTIVATED",IF(J5592&lt;&gt;"","?FAMILIAR",IF(F5592="NEW",IF(ISNA(VLOOKUP(E5592,#REF!,1,FALSE())),"?TYPE_IDENTIFIABLE","?REFERENTIAL"),"_")))))</f>
        <v> </v>
      </c>
      <c r="H5592" s="25" t="str">
        <f>IF(J5592&lt;&gt;1,"",IF(I5592="SBJ","CB","?"))</f>
        <v> </v>
      </c>
      <c r="I5592" s="26" t="str">
        <f>IF(OR(E5592="",E5592="!!!",F5592="NEW"),"",INDEX(B5591:B$2,-1+SUMPRODUCT(MAX(ROW(E5591:E$2)*(E5592=E5591:E$2)))))</f>
        <v> </v>
      </c>
      <c r="J5592" s="26" t="str">
        <f>IF(OR(E5592="",E5592="!!!",F5592="NEW"),"",COUNTBLANK(OFFSET(A$1,,,SUMPRODUCT(MAX(ROW(E$2:E5592)*(E5592=E$2:E5592)))))-COUNTBLANK(OFFSET(A$1,,,SUMPRODUCT(MAX(ROW(E$1:E5591)*(E2=E$1:E5591))))))</f>
        <v> </v>
      </c>
      <c r="K5592" s="26" t="str">
        <f>IF(OR(E5592="",E5592="!!!",F5592="NEW"),"",INDEX(J$1:J5591,SUMPRODUCT(MAX(ROW(E$1:E5591)*(E5592=E$1:E5591)))))</f>
        <v> </v>
      </c>
      <c r="L5592" s="27"/>
    </row>
    <row r="5593" spans="1:12">
      <c r="A5593" s="20" t="s">
        <v>1049</v>
      </c>
      <c r="E5593" s="22">
        <f>IF(D5593="?OLD","!!!","")</f>
        <v/>
      </c>
      <c r="F5593" s="23" t="str">
        <f>IF(OR(E5593="",E5593="!!!"),"",IF(NOT(ISNA(VLOOKUP(E5593,E$1:E5592,1,FALSE()))),"OLD",IF(AND(E5593&lt;&gt;"",E5593&lt;&gt;"!!!"),"NEW","")))</f>
        <v> </v>
      </c>
      <c r="G5593" s="24" t="str">
        <f>IF(OR(E5593="",E5593="!!!"),"",IF(OR(J5593=0,AND(J5593=1,K5593=1),AND(J5593=1,I5593="SBJ"),AND(J5593=1,I5593=0)),"?IN_FOCUS",IF(J5593&lt;=2,"?ACTIVATED",IF(J5593&lt;&gt;"","?FAMILIAR",IF(F5593="NEW",IF(ISNA(VLOOKUP(E5593,#REF!,1,FALSE())),"?TYPE_IDENTIFIABLE","?REFERENTIAL"),"_")))))</f>
        <v> </v>
      </c>
      <c r="H5593" s="25" t="str">
        <f>IF(J5593&lt;&gt;1,"",IF(I5593="SBJ","CB","?"))</f>
        <v> </v>
      </c>
      <c r="I5593" s="26" t="str">
        <f>IF(OR(E5593="",E5593="!!!",F5593="NEW"),"",INDEX(B5592:B$2,-1+SUMPRODUCT(MAX(ROW(E5592:E$2)*(E5593=E5592:E$2)))))</f>
        <v> </v>
      </c>
      <c r="J5593" s="26" t="str">
        <f>IF(OR(E5593="",E5593="!!!",F5593="NEW"),"",COUNTBLANK(OFFSET(A$1,,,SUMPRODUCT(MAX(ROW(E$2:E5593)*(E5593=E$2:E5593)))))-COUNTBLANK(OFFSET(A$1,,,SUMPRODUCT(MAX(ROW(E$1:E5592)*(E2=E$1:E5592))))))</f>
        <v> </v>
      </c>
      <c r="K5593" s="26" t="str">
        <f>IF(OR(E5593="",E5593="!!!",F5593="NEW"),"",INDEX(J$1:J5592,SUMPRODUCT(MAX(ROW(E$1:E5592)*(E5593=E$1:E5592)))))</f>
        <v> </v>
      </c>
      <c r="L5593" s="27"/>
    </row>
    <row r="5594" spans="1:12">
      <c r="A5594" s="20" t="s">
        <v>2436</v>
      </c>
      <c r="E5594" s="22">
        <f>IF(D5594="?OLD","!!!","")</f>
        <v/>
      </c>
      <c r="F5594" s="23" t="str">
        <f>IF(OR(E5594="",E5594="!!!"),"",IF(NOT(ISNA(VLOOKUP(E5594,E$1:E5593,1,FALSE()))),"OLD",IF(AND(E5594&lt;&gt;"",E5594&lt;&gt;"!!!"),"NEW","")))</f>
        <v> </v>
      </c>
      <c r="G5594" s="24" t="str">
        <f>IF(OR(E5594="",E5594="!!!"),"",IF(OR(J5594=0,AND(J5594=1,K5594=1),AND(J5594=1,I5594="SBJ"),AND(J5594=1,I5594=0)),"?IN_FOCUS",IF(J5594&lt;=2,"?ACTIVATED",IF(J5594&lt;&gt;"","?FAMILIAR",IF(F5594="NEW",IF(ISNA(VLOOKUP(E5594,#REF!,1,FALSE())),"?TYPE_IDENTIFIABLE","?REFERENTIAL"),"_")))))</f>
        <v> </v>
      </c>
      <c r="H5594" s="25" t="str">
        <f>IF(J5594&lt;&gt;1,"",IF(I5594="SBJ","CB","?"))</f>
        <v> </v>
      </c>
      <c r="I5594" s="26" t="str">
        <f>IF(OR(E5594="",E5594="!!!",F5594="NEW"),"",INDEX(B5593:B$2,-1+SUMPRODUCT(MAX(ROW(E5593:E$2)*(E5594=E5593:E$2)))))</f>
        <v> </v>
      </c>
      <c r="J5594" s="26" t="str">
        <f>IF(OR(E5594="",E5594="!!!",F5594="NEW"),"",COUNTBLANK(OFFSET(A$1,,,SUMPRODUCT(MAX(ROW(E$2:E5594)*(E5594=E$2:E5594)))))-COUNTBLANK(OFFSET(A$1,,,SUMPRODUCT(MAX(ROW(E$1:E5593)*(E2=E$1:E5593))))))</f>
        <v> </v>
      </c>
      <c r="K5594" s="26" t="str">
        <f>IF(OR(E5594="",E5594="!!!",F5594="NEW"),"",INDEX(J$1:J5593,SUMPRODUCT(MAX(ROW(E$1:E5593)*(E5594=E$1:E5593)))))</f>
        <v> </v>
      </c>
      <c r="L5594" s="27"/>
    </row>
    <row r="5595" spans="1:12">
      <c r="A5595" s="20" t="s">
        <v>1037</v>
      </c>
      <c r="E5595" s="22">
        <f>IF(D5595="?OLD","!!!","")</f>
        <v/>
      </c>
      <c r="F5595" s="23" t="str">
        <f>IF(OR(E5595="",E5595="!!!"),"",IF(NOT(ISNA(VLOOKUP(E5595,E$1:E5594,1,FALSE()))),"OLD",IF(AND(E5595&lt;&gt;"",E5595&lt;&gt;"!!!"),"NEW","")))</f>
        <v> </v>
      </c>
      <c r="G5595" s="24" t="str">
        <f>IF(OR(E5595="",E5595="!!!"),"",IF(OR(J5595=0,AND(J5595=1,K5595=1),AND(J5595=1,I5595="SBJ"),AND(J5595=1,I5595=0)),"?IN_FOCUS",IF(J5595&lt;=2,"?ACTIVATED",IF(J5595&lt;&gt;"","?FAMILIAR",IF(F5595="NEW",IF(ISNA(VLOOKUP(E5595,#REF!,1,FALSE())),"?TYPE_IDENTIFIABLE","?REFERENTIAL"),"_")))))</f>
        <v> </v>
      </c>
      <c r="H5595" s="25" t="str">
        <f>IF(J5595&lt;&gt;1,"",IF(I5595="SBJ","CB","?"))</f>
        <v> </v>
      </c>
      <c r="I5595" s="26" t="str">
        <f>IF(OR(E5595="",E5595="!!!",F5595="NEW"),"",INDEX(B5594:B$2,-1+SUMPRODUCT(MAX(ROW(E5594:E$2)*(E5595=E5594:E$2)))))</f>
        <v> </v>
      </c>
      <c r="J5595" s="26" t="str">
        <f>IF(OR(E5595="",E5595="!!!",F5595="NEW"),"",COUNTBLANK(OFFSET(A$1,,,SUMPRODUCT(MAX(ROW(E$2:E5595)*(E5595=E$2:E5595)))))-COUNTBLANK(OFFSET(A$1,,,SUMPRODUCT(MAX(ROW(E$1:E5594)*(E2=E$1:E5594))))))</f>
        <v> </v>
      </c>
      <c r="K5595" s="26" t="str">
        <f>IF(OR(E5595="",E5595="!!!",F5595="NEW"),"",INDEX(J$1:J5594,SUMPRODUCT(MAX(ROW(E$1:E5594)*(E5595=E$1:E5594)))))</f>
        <v> </v>
      </c>
      <c r="L5595" s="27"/>
    </row>
    <row r="5596" spans="1:12">
      <c r="A5596" s="20" t="s">
        <v>1320</v>
      </c>
      <c r="E5596" s="22">
        <f>IF(D5596="?OLD","!!!","")</f>
        <v/>
      </c>
      <c r="F5596" s="23" t="str">
        <f>IF(OR(E5596="",E5596="!!!"),"",IF(NOT(ISNA(VLOOKUP(E5596,E$1:E5595,1,FALSE()))),"OLD",IF(AND(E5596&lt;&gt;"",E5596&lt;&gt;"!!!"),"NEW","")))</f>
        <v> </v>
      </c>
      <c r="G5596" s="24" t="str">
        <f>IF(OR(E5596="",E5596="!!!"),"",IF(OR(J5596=0,AND(J5596=1,K5596=1),AND(J5596=1,I5596="SBJ"),AND(J5596=1,I5596=0)),"?IN_FOCUS",IF(J5596&lt;=2,"?ACTIVATED",IF(J5596&lt;&gt;"","?FAMILIAR",IF(F5596="NEW",IF(ISNA(VLOOKUP(E5596,#REF!,1,FALSE())),"?TYPE_IDENTIFIABLE","?REFERENTIAL"),"_")))))</f>
        <v> </v>
      </c>
      <c r="H5596" s="25" t="str">
        <f>IF(J5596&lt;&gt;1,"",IF(I5596="SBJ","CB","?"))</f>
        <v> </v>
      </c>
      <c r="I5596" s="26" t="str">
        <f>IF(OR(E5596="",E5596="!!!",F5596="NEW"),"",INDEX(B5595:B$2,-1+SUMPRODUCT(MAX(ROW(E5595:E$2)*(E5596=E5595:E$2)))))</f>
        <v> </v>
      </c>
      <c r="J5596" s="26" t="str">
        <f>IF(OR(E5596="",E5596="!!!",F5596="NEW"),"",COUNTBLANK(OFFSET(A$1,,,SUMPRODUCT(MAX(ROW(E$2:E5596)*(E5596=E$2:E5596)))))-COUNTBLANK(OFFSET(A$1,,,SUMPRODUCT(MAX(ROW(E$1:E5595)*(E2=E$1:E5595))))))</f>
        <v> </v>
      </c>
      <c r="K5596" s="26" t="str">
        <f>IF(OR(E5596="",E5596="!!!",F5596="NEW"),"",INDEX(J$1:J5595,SUMPRODUCT(MAX(ROW(E$1:E5595)*(E5596=E$1:E5595)))))</f>
        <v> </v>
      </c>
      <c r="L5596" s="27"/>
    </row>
    <row r="5597" spans="1:12">
      <c r="A5597" s="20" t="s">
        <v>1103</v>
      </c>
      <c r="E5597" s="22">
        <f>IF(D5597="?OLD","!!!","")</f>
        <v/>
      </c>
      <c r="F5597" s="23" t="str">
        <f>IF(OR(E5597="",E5597="!!!"),"",IF(NOT(ISNA(VLOOKUP(E5597,E$1:E5596,1,FALSE()))),"OLD",IF(AND(E5597&lt;&gt;"",E5597&lt;&gt;"!!!"),"NEW","")))</f>
        <v> </v>
      </c>
      <c r="G5597" s="24" t="str">
        <f>IF(OR(E5597="",E5597="!!!"),"",IF(OR(J5597=0,AND(J5597=1,K5597=1),AND(J5597=1,I5597="SBJ"),AND(J5597=1,I5597=0)),"?IN_FOCUS",IF(J5597&lt;=2,"?ACTIVATED",IF(J5597&lt;&gt;"","?FAMILIAR",IF(F5597="NEW",IF(ISNA(VLOOKUP(E5597,#REF!,1,FALSE())),"?TYPE_IDENTIFIABLE","?REFERENTIAL"),"_")))))</f>
        <v> </v>
      </c>
      <c r="H5597" s="25" t="str">
        <f>IF(J5597&lt;&gt;1,"",IF(I5597="SBJ","CB","?"))</f>
        <v> </v>
      </c>
      <c r="I5597" s="26" t="str">
        <f>IF(OR(E5597="",E5597="!!!",F5597="NEW"),"",INDEX(B5596:B$2,-1+SUMPRODUCT(MAX(ROW(E5596:E$2)*(E5597=E5596:E$2)))))</f>
        <v> </v>
      </c>
      <c r="J5597" s="26" t="str">
        <f>IF(OR(E5597="",E5597="!!!",F5597="NEW"),"",COUNTBLANK(OFFSET(A$1,,,SUMPRODUCT(MAX(ROW(E$2:E5597)*(E5597=E$2:E5597)))))-COUNTBLANK(OFFSET(A$1,,,SUMPRODUCT(MAX(ROW(E$1:E5596)*(E2=E$1:E5596))))))</f>
        <v> </v>
      </c>
      <c r="K5597" s="26" t="str">
        <f>IF(OR(E5597="",E5597="!!!",F5597="NEW"),"",INDEX(J$1:J5596,SUMPRODUCT(MAX(ROW(E$1:E5596)*(E5597=E$1:E5596)))))</f>
        <v> </v>
      </c>
      <c r="L5597" s="27"/>
    </row>
    <row r="5598" spans="1:12">
      <c r="A5598" s="20" t="s">
        <v>130</v>
      </c>
      <c r="E5598" s="22">
        <f>IF(D5598="?OLD","!!!","")</f>
        <v/>
      </c>
      <c r="F5598" s="23" t="str">
        <f>IF(OR(E5598="",E5598="!!!"),"",IF(NOT(ISNA(VLOOKUP(E5598,E$1:E5597,1,FALSE()))),"OLD",IF(AND(E5598&lt;&gt;"",E5598&lt;&gt;"!!!"),"NEW","")))</f>
        <v> </v>
      </c>
      <c r="G5598" s="24" t="str">
        <f>IF(OR(E5598="",E5598="!!!"),"",IF(OR(J5598=0,AND(J5598=1,K5598=1),AND(J5598=1,I5598="SBJ"),AND(J5598=1,I5598=0)),"?IN_FOCUS",IF(J5598&lt;=2,"?ACTIVATED",IF(J5598&lt;&gt;"","?FAMILIAR",IF(F5598="NEW",IF(ISNA(VLOOKUP(E5598,#REF!,1,FALSE())),"?TYPE_IDENTIFIABLE","?REFERENTIAL"),"_")))))</f>
        <v> </v>
      </c>
      <c r="H5598" s="25" t="str">
        <f>IF(J5598&lt;&gt;1,"",IF(I5598="SBJ","CB","?"))</f>
        <v> </v>
      </c>
      <c r="I5598" s="26" t="str">
        <f>IF(OR(E5598="",E5598="!!!",F5598="NEW"),"",INDEX(B5597:B$2,-1+SUMPRODUCT(MAX(ROW(E5597:E$2)*(E5598=E5597:E$2)))))</f>
        <v> </v>
      </c>
      <c r="J5598" s="26" t="str">
        <f>IF(OR(E5598="",E5598="!!!",F5598="NEW"),"",COUNTBLANK(OFFSET(A$1,,,SUMPRODUCT(MAX(ROW(E$2:E5598)*(E5598=E$2:E5598)))))-COUNTBLANK(OFFSET(A$1,,,SUMPRODUCT(MAX(ROW(E$1:E5597)*(E2=E$1:E5597))))))</f>
        <v> </v>
      </c>
      <c r="K5598" s="26" t="str">
        <f>IF(OR(E5598="",E5598="!!!",F5598="NEW"),"",INDEX(J$1:J5597,SUMPRODUCT(MAX(ROW(E$1:E5597)*(E5598=E$1:E5597)))))</f>
        <v> </v>
      </c>
      <c r="L5598" s="27"/>
    </row>
    <row r="5599" spans="1:12">
      <c r="A5599" s="20" t="s">
        <v>2277</v>
      </c>
      <c r="B5599" s="21" t="s">
        <v>1301</v>
      </c>
      <c r="C5599" s="21" t="s">
        <v>1034</v>
      </c>
      <c r="D5599" s="21" t="s">
        <v>997</v>
      </c>
      <c r="E5599" s="22">
        <f>IF(D5599="?OLD","!!!","")</f>
        <v/>
      </c>
      <c r="F5599" s="23" t="str">
        <f>IF(OR(E5599="",E5599="!!!"),"",IF(NOT(ISNA(VLOOKUP(E5599,E$1:E5598,1,FALSE()))),"OLD",IF(AND(E5599&lt;&gt;"",E5599&lt;&gt;"!!!"),"NEW","")))</f>
        <v> </v>
      </c>
      <c r="G5599" s="24" t="str">
        <f>IF(OR(E5599="",E5599="!!!"),"",IF(OR(J5599=0,AND(J5599=1,K5599=1),AND(J5599=1,I5599="SBJ"),AND(J5599=1,I5599=0)),"?IN_FOCUS",IF(J5599&lt;=2,"?ACTIVATED",IF(J5599&lt;&gt;"","?FAMILIAR",IF(F5599="NEW",IF(ISNA(VLOOKUP(E5599,#REF!,1,FALSE())),"?TYPE_IDENTIFIABLE","?REFERENTIAL"),"_")))))</f>
        <v> </v>
      </c>
      <c r="H5599" s="25" t="str">
        <f>IF(J5599&lt;&gt;1,"",IF(I5599="SBJ","CB","?"))</f>
        <v> </v>
      </c>
      <c r="I5599" s="26" t="str">
        <f>IF(OR(E5599="",E5599="!!!",F5599="NEW"),"",INDEX(B5598:B$2,-1+SUMPRODUCT(MAX(ROW(E5598:E$2)*(E5599=E5598:E$2)))))</f>
        <v> </v>
      </c>
      <c r="J5599" s="26" t="str">
        <f>IF(OR(E5599="",E5599="!!!",F5599="NEW"),"",COUNTBLANK(OFFSET(A$1,,,SUMPRODUCT(MAX(ROW(E$2:E5599)*(E5599=E$2:E5599)))))-COUNTBLANK(OFFSET(A$1,,,SUMPRODUCT(MAX(ROW(E$1:E5598)*(E2=E$1:E5598))))))</f>
        <v> </v>
      </c>
      <c r="K5599" s="26" t="str">
        <f>IF(OR(E5599="",E5599="!!!",F5599="NEW"),"",INDEX(J$1:J5598,SUMPRODUCT(MAX(ROW(E$1:E5598)*(E5599=E$1:E5598)))))</f>
        <v> </v>
      </c>
      <c r="L5599" s="27"/>
    </row>
    <row r="5600" spans="1:12">
      <c r="A5600" s="20" t="s">
        <v>2437</v>
      </c>
      <c r="E5600" s="22">
        <f>IF(D5600="?OLD","!!!","")</f>
        <v/>
      </c>
      <c r="F5600" s="23" t="str">
        <f>IF(OR(E5600="",E5600="!!!"),"",IF(NOT(ISNA(VLOOKUP(E5600,E$1:E5599,1,FALSE()))),"OLD",IF(AND(E5600&lt;&gt;"",E5600&lt;&gt;"!!!"),"NEW","")))</f>
        <v> </v>
      </c>
      <c r="G5600" s="24" t="str">
        <f>IF(OR(E5600="",E5600="!!!"),"",IF(OR(J5600=0,AND(J5600=1,K5600=1),AND(J5600=1,I5600="SBJ"),AND(J5600=1,I5600=0)),"?IN_FOCUS",IF(J5600&lt;=2,"?ACTIVATED",IF(J5600&lt;&gt;"","?FAMILIAR",IF(F5600="NEW",IF(ISNA(VLOOKUP(E5600,#REF!,1,FALSE())),"?TYPE_IDENTIFIABLE","?REFERENTIAL"),"_")))))</f>
        <v> </v>
      </c>
      <c r="H5600" s="25" t="str">
        <f>IF(J5600&lt;&gt;1,"",IF(I5600="SBJ","CB","?"))</f>
        <v> </v>
      </c>
      <c r="I5600" s="26" t="str">
        <f>IF(OR(E5600="",E5600="!!!",F5600="NEW"),"",INDEX(B5599:B$2,-1+SUMPRODUCT(MAX(ROW(E5599:E$2)*(E5600=E5599:E$2)))))</f>
        <v> </v>
      </c>
      <c r="J5600" s="26" t="str">
        <f>IF(OR(E5600="",E5600="!!!",F5600="NEW"),"",COUNTBLANK(OFFSET(A$1,,,SUMPRODUCT(MAX(ROW(E$2:E5600)*(E5600=E$2:E5600)))))-COUNTBLANK(OFFSET(A$1,,,SUMPRODUCT(MAX(ROW(E$1:E5599)*(E2=E$1:E5599))))))</f>
        <v> </v>
      </c>
      <c r="K5600" s="26" t="str">
        <f>IF(OR(E5600="",E5600="!!!",F5600="NEW"),"",INDEX(J$1:J5599,SUMPRODUCT(MAX(ROW(E$1:E5599)*(E5600=E$1:E5599)))))</f>
        <v> </v>
      </c>
      <c r="L5600" s="27"/>
    </row>
    <row r="5601" spans="1:12">
      <c r="A5601" s="20" t="s">
        <v>1049</v>
      </c>
      <c r="E5601" s="22">
        <f>IF(D5601="?OLD","!!!","")</f>
        <v/>
      </c>
      <c r="F5601" s="23" t="str">
        <f>IF(OR(E5601="",E5601="!!!"),"",IF(NOT(ISNA(VLOOKUP(E5601,E$1:E5600,1,FALSE()))),"OLD",IF(AND(E5601&lt;&gt;"",E5601&lt;&gt;"!!!"),"NEW","")))</f>
        <v> </v>
      </c>
      <c r="G5601" s="24" t="str">
        <f>IF(OR(E5601="",E5601="!!!"),"",IF(OR(J5601=0,AND(J5601=1,K5601=1),AND(J5601=1,I5601="SBJ"),AND(J5601=1,I5601=0)),"?IN_FOCUS",IF(J5601&lt;=2,"?ACTIVATED",IF(J5601&lt;&gt;"","?FAMILIAR",IF(F5601="NEW",IF(ISNA(VLOOKUP(E5601,#REF!,1,FALSE())),"?TYPE_IDENTIFIABLE","?REFERENTIAL"),"_")))))</f>
        <v> </v>
      </c>
      <c r="H5601" s="25" t="str">
        <f>IF(J5601&lt;&gt;1,"",IF(I5601="SBJ","CB","?"))</f>
        <v> </v>
      </c>
      <c r="I5601" s="26" t="str">
        <f>IF(OR(E5601="",E5601="!!!",F5601="NEW"),"",INDEX(B5600:B$2,-1+SUMPRODUCT(MAX(ROW(E5600:E$2)*(E5601=E5600:E$2)))))</f>
        <v> </v>
      </c>
      <c r="J5601" s="26" t="str">
        <f>IF(OR(E5601="",E5601="!!!",F5601="NEW"),"",COUNTBLANK(OFFSET(A$1,,,SUMPRODUCT(MAX(ROW(E$2:E5601)*(E5601=E$2:E5601)))))-COUNTBLANK(OFFSET(A$1,,,SUMPRODUCT(MAX(ROW(E$1:E5600)*(E2=E$1:E5600))))))</f>
        <v> </v>
      </c>
      <c r="K5601" s="26" t="str">
        <f>IF(OR(E5601="",E5601="!!!",F5601="NEW"),"",INDEX(J$1:J5600,SUMPRODUCT(MAX(ROW(E$1:E5600)*(E5601=E$1:E5600)))))</f>
        <v> </v>
      </c>
      <c r="L5601" s="27"/>
    </row>
    <row r="5602" spans="1:12">
      <c r="A5602" s="20" t="s">
        <v>1044</v>
      </c>
      <c r="B5602" s="21" t="s">
        <v>1043</v>
      </c>
      <c r="C5602" s="21" t="s">
        <v>996</v>
      </c>
      <c r="D5602" s="21" t="s">
        <v>997</v>
      </c>
      <c r="E5602" s="22">
        <f>IF(D5602="?OLD","!!!","")</f>
        <v/>
      </c>
      <c r="F5602" s="23" t="str">
        <f>IF(OR(E5602="",E5602="!!!"),"",IF(NOT(ISNA(VLOOKUP(E5602,E$1:E5601,1,FALSE()))),"OLD",IF(AND(E5602&lt;&gt;"",E5602&lt;&gt;"!!!"),"NEW","")))</f>
        <v> </v>
      </c>
      <c r="G5602" s="24" t="str">
        <f>IF(OR(E5602="",E5602="!!!"),"",IF(OR(J5602=0,AND(J5602=1,K5602=1),AND(J5602=1,I5602="SBJ"),AND(J5602=1,I5602=0)),"?IN_FOCUS",IF(J5602&lt;=2,"?ACTIVATED",IF(J5602&lt;&gt;"","?FAMILIAR",IF(F5602="NEW",IF(ISNA(VLOOKUP(E5602,#REF!,1,FALSE())),"?TYPE_IDENTIFIABLE","?REFERENTIAL"),"_")))))</f>
        <v> </v>
      </c>
      <c r="H5602" s="25" t="str">
        <f>IF(J5602&lt;&gt;1,"",IF(I5602="SBJ","CB","?"))</f>
        <v> </v>
      </c>
      <c r="I5602" s="26" t="str">
        <f>IF(OR(E5602="",E5602="!!!",F5602="NEW"),"",INDEX(B5601:B$2,-1+SUMPRODUCT(MAX(ROW(E5601:E$2)*(E5602=E5601:E$2)))))</f>
        <v> </v>
      </c>
      <c r="J5602" s="26" t="str">
        <f>IF(OR(E5602="",E5602="!!!",F5602="NEW"),"",COUNTBLANK(OFFSET(A$1,,,SUMPRODUCT(MAX(ROW(E$2:E5602)*(E5602=E$2:E5602)))))-COUNTBLANK(OFFSET(A$1,,,SUMPRODUCT(MAX(ROW(E$1:E5601)*(E2=E$1:E5601))))))</f>
        <v> </v>
      </c>
      <c r="K5602" s="26" t="str">
        <f>IF(OR(E5602="",E5602="!!!",F5602="NEW"),"",INDEX(J$1:J5601,SUMPRODUCT(MAX(ROW(E$1:E5601)*(E5602=E$1:E5601)))))</f>
        <v> </v>
      </c>
      <c r="L5602" s="27"/>
    </row>
    <row r="5603" spans="1:12">
      <c r="A5603" s="20" t="s">
        <v>1687</v>
      </c>
      <c r="E5603" s="22">
        <f>IF(D5603="?OLD","!!!","")</f>
        <v/>
      </c>
      <c r="F5603" s="23" t="str">
        <f>IF(OR(E5603="",E5603="!!!"),"",IF(NOT(ISNA(VLOOKUP(E5603,E$1:E5602,1,FALSE()))),"OLD",IF(AND(E5603&lt;&gt;"",E5603&lt;&gt;"!!!"),"NEW","")))</f>
        <v> </v>
      </c>
      <c r="G5603" s="24" t="str">
        <f>IF(OR(E5603="",E5603="!!!"),"",IF(OR(J5603=0,AND(J5603=1,K5603=1),AND(J5603=1,I5603="SBJ"),AND(J5603=1,I5603=0)),"?IN_FOCUS",IF(J5603&lt;=2,"?ACTIVATED",IF(J5603&lt;&gt;"","?FAMILIAR",IF(F5603="NEW",IF(ISNA(VLOOKUP(E5603,#REF!,1,FALSE())),"?TYPE_IDENTIFIABLE","?REFERENTIAL"),"_")))))</f>
        <v> </v>
      </c>
      <c r="H5603" s="25" t="str">
        <f>IF(J5603&lt;&gt;1,"",IF(I5603="SBJ","CB","?"))</f>
        <v> </v>
      </c>
      <c r="I5603" s="26" t="str">
        <f>IF(OR(E5603="",E5603="!!!",F5603="NEW"),"",INDEX(B5602:B$2,-1+SUMPRODUCT(MAX(ROW(E5602:E$2)*(E5603=E5602:E$2)))))</f>
        <v> </v>
      </c>
      <c r="J5603" s="26" t="str">
        <f>IF(OR(E5603="",E5603="!!!",F5603="NEW"),"",COUNTBLANK(OFFSET(A$1,,,SUMPRODUCT(MAX(ROW(E$2:E5603)*(E5603=E$2:E5603)))))-COUNTBLANK(OFFSET(A$1,,,SUMPRODUCT(MAX(ROW(E$1:E5602)*(E2=E$1:E5602))))))</f>
        <v> </v>
      </c>
      <c r="K5603" s="26" t="str">
        <f>IF(OR(E5603="",E5603="!!!",F5603="NEW"),"",INDEX(J$1:J5602,SUMPRODUCT(MAX(ROW(E$1:E5602)*(E5603=E$1:E5602)))))</f>
        <v> </v>
      </c>
      <c r="L5603" s="27"/>
    </row>
    <row r="5604" spans="1:12">
      <c r="A5604" s="20" t="s">
        <v>1069</v>
      </c>
      <c r="E5604" s="22">
        <f>IF(D5604="?OLD","!!!","")</f>
        <v/>
      </c>
      <c r="F5604" s="23" t="str">
        <f>IF(OR(E5604="",E5604="!!!"),"",IF(NOT(ISNA(VLOOKUP(E5604,E$1:E5603,1,FALSE()))),"OLD",IF(AND(E5604&lt;&gt;"",E5604&lt;&gt;"!!!"),"NEW","")))</f>
        <v> </v>
      </c>
      <c r="G5604" s="24" t="str">
        <f>IF(OR(E5604="",E5604="!!!"),"",IF(OR(J5604=0,AND(J5604=1,K5604=1),AND(J5604=1,I5604="SBJ"),AND(J5604=1,I5604=0)),"?IN_FOCUS",IF(J5604&lt;=2,"?ACTIVATED",IF(J5604&lt;&gt;"","?FAMILIAR",IF(F5604="NEW",IF(ISNA(VLOOKUP(E5604,#REF!,1,FALSE())),"?TYPE_IDENTIFIABLE","?REFERENTIAL"),"_")))))</f>
        <v> </v>
      </c>
      <c r="H5604" s="25" t="str">
        <f>IF(J5604&lt;&gt;1,"",IF(I5604="SBJ","CB","?"))</f>
        <v> </v>
      </c>
      <c r="I5604" s="26" t="str">
        <f>IF(OR(E5604="",E5604="!!!",F5604="NEW"),"",INDEX(B5603:B$2,-1+SUMPRODUCT(MAX(ROW(E5603:E$2)*(E5604=E5603:E$2)))))</f>
        <v> </v>
      </c>
      <c r="J5604" s="26" t="str">
        <f>IF(OR(E5604="",E5604="!!!",F5604="NEW"),"",COUNTBLANK(OFFSET(A$1,,,SUMPRODUCT(MAX(ROW(E$2:E5604)*(E5604=E$2:E5604)))))-COUNTBLANK(OFFSET(A$1,,,SUMPRODUCT(MAX(ROW(E$1:E5603)*(E2=E$1:E5603))))))</f>
        <v> </v>
      </c>
      <c r="K5604" s="26" t="str">
        <f>IF(OR(E5604="",E5604="!!!",F5604="NEW"),"",INDEX(J$1:J5603,SUMPRODUCT(MAX(ROW(E$1:E5603)*(E5604=E$1:E5603)))))</f>
        <v> </v>
      </c>
      <c r="L5604" s="27"/>
    </row>
    <row r="5605" spans="1:12">
      <c r="A5605" s="20" t="s">
        <v>2438</v>
      </c>
      <c r="B5605" s="21" t="s">
        <v>1182</v>
      </c>
      <c r="C5605" s="21" t="s">
        <v>1006</v>
      </c>
      <c r="E5605" s="22">
        <f>IF(D5605="?OLD","!!!","")</f>
        <v/>
      </c>
      <c r="F5605" s="23" t="str">
        <f>IF(OR(E5605="",E5605="!!!"),"",IF(NOT(ISNA(VLOOKUP(E5605,E$1:E5604,1,FALSE()))),"OLD",IF(AND(E5605&lt;&gt;"",E5605&lt;&gt;"!!!"),"NEW","")))</f>
        <v> </v>
      </c>
      <c r="G5605" s="24" t="str">
        <f>IF(OR(E5605="",E5605="!!!"),"",IF(OR(J5605=0,AND(J5605=1,K5605=1),AND(J5605=1,I5605="SBJ"),AND(J5605=1,I5605=0)),"?IN_FOCUS",IF(J5605&lt;=2,"?ACTIVATED",IF(J5605&lt;&gt;"","?FAMILIAR",IF(F5605="NEW",IF(ISNA(VLOOKUP(E5605,#REF!,1,FALSE())),"?TYPE_IDENTIFIABLE","?REFERENTIAL"),"_")))))</f>
        <v> </v>
      </c>
      <c r="H5605" s="25" t="str">
        <f>IF(J5605&lt;&gt;1,"",IF(I5605="SBJ","CB","?"))</f>
        <v> </v>
      </c>
      <c r="I5605" s="26" t="str">
        <f>IF(OR(E5605="",E5605="!!!",F5605="NEW"),"",INDEX(B5604:B$2,-1+SUMPRODUCT(MAX(ROW(E5604:E$2)*(E5605=E5604:E$2)))))</f>
        <v> </v>
      </c>
      <c r="J5605" s="26" t="str">
        <f>IF(OR(E5605="",E5605="!!!",F5605="NEW"),"",COUNTBLANK(OFFSET(A$1,,,SUMPRODUCT(MAX(ROW(E$2:E5605)*(E5605=E$2:E5605)))))-COUNTBLANK(OFFSET(A$1,,,SUMPRODUCT(MAX(ROW(E$1:E5604)*(E2=E$1:E5604))))))</f>
        <v> </v>
      </c>
      <c r="K5605" s="26" t="str">
        <f>IF(OR(E5605="",E5605="!!!",F5605="NEW"),"",INDEX(J$1:J5604,SUMPRODUCT(MAX(ROW(E$1:E5604)*(E5605=E$1:E5604)))))</f>
        <v> </v>
      </c>
      <c r="L5605" s="27"/>
    </row>
    <row r="5606" spans="1:12">
      <c r="A5606" s="20" t="s">
        <v>1011</v>
      </c>
      <c r="E5606" s="22">
        <f>IF(D5606="?OLD","!!!","")</f>
        <v/>
      </c>
      <c r="F5606" s="23" t="str">
        <f>IF(OR(E5606="",E5606="!!!"),"",IF(NOT(ISNA(VLOOKUP(E5606,E$1:E5605,1,FALSE()))),"OLD",IF(AND(E5606&lt;&gt;"",E5606&lt;&gt;"!!!"),"NEW","")))</f>
        <v> </v>
      </c>
      <c r="G5606" s="24" t="str">
        <f>IF(OR(E5606="",E5606="!!!"),"",IF(OR(J5606=0,AND(J5606=1,K5606=1),AND(J5606=1,I5606="SBJ"),AND(J5606=1,I5606=0)),"?IN_FOCUS",IF(J5606&lt;=2,"?ACTIVATED",IF(J5606&lt;&gt;"","?FAMILIAR",IF(F5606="NEW",IF(ISNA(VLOOKUP(E5606,#REF!,1,FALSE())),"?TYPE_IDENTIFIABLE","?REFERENTIAL"),"_")))))</f>
        <v> </v>
      </c>
      <c r="H5606" s="25" t="str">
        <f>IF(J5606&lt;&gt;1,"",IF(I5606="SBJ","CB","?"))</f>
        <v> </v>
      </c>
      <c r="I5606" s="26" t="str">
        <f>IF(OR(E5606="",E5606="!!!",F5606="NEW"),"",INDEX(B5605:B$2,-1+SUMPRODUCT(MAX(ROW(E5605:E$2)*(E5606=E5605:E$2)))))</f>
        <v> </v>
      </c>
      <c r="J5606" s="26" t="str">
        <f>IF(OR(E5606="",E5606="!!!",F5606="NEW"),"",COUNTBLANK(OFFSET(A$1,,,SUMPRODUCT(MAX(ROW(E$2:E5606)*(E5606=E$2:E5606)))))-COUNTBLANK(OFFSET(A$1,,,SUMPRODUCT(MAX(ROW(E$1:E5605)*(E2=E$1:E5605))))))</f>
        <v> </v>
      </c>
      <c r="K5606" s="26" t="str">
        <f>IF(OR(E5606="",E5606="!!!",F5606="NEW"),"",INDEX(J$1:J5605,SUMPRODUCT(MAX(ROW(E$1:E5605)*(E5606=E$1:E5605)))))</f>
        <v> </v>
      </c>
      <c r="L5606" s="27"/>
    </row>
    <row r="5607" spans="1:12">
      <c r="A5607" s="20"/>
    </row>
    <row r="5608" spans="1:12">
      <c r="A5608" s="20" t="s">
        <v>2439</v>
      </c>
    </row>
    <row r="5609" spans="1:12">
      <c r="A5609" s="20" t="s">
        <v>1338</v>
      </c>
      <c r="B5609" s="21" t="s">
        <v>995</v>
      </c>
      <c r="C5609" s="21" t="s">
        <v>1015</v>
      </c>
      <c r="D5609" s="21" t="s">
        <v>997</v>
      </c>
      <c r="E5609" s="22">
        <f>IF(D5609="?OLD","!!!","")</f>
        <v/>
      </c>
      <c r="F5609" s="23" t="str">
        <f>IF(OR(E5609="",E5609="!!!"),"",IF(NOT(ISNA(VLOOKUP(E5609,E$1:E5608,1,FALSE()))),"OLD",IF(AND(E5609&lt;&gt;"",E5609&lt;&gt;"!!!"),"NEW","")))</f>
        <v> </v>
      </c>
      <c r="G5609" s="24" t="str">
        <f>IF(OR(E5609="",E5609="!!!"),"",IF(OR(J5609=0,AND(J5609=1,K5609=1),AND(J5609=1,I5609="SBJ"),AND(J5609=1,I5609=0)),"?IN_FOCUS",IF(J5609&lt;=2,"?ACTIVATED",IF(J5609&lt;&gt;"","?FAMILIAR",IF(F5609="NEW",IF(ISNA(VLOOKUP(E5609,#REF!,1,FALSE())),"?TYPE_IDENTIFIABLE","?REFERENTIAL"),"_")))))</f>
        <v> </v>
      </c>
      <c r="H5609" s="25" t="str">
        <f>IF(J5609&lt;&gt;1,"",IF(I5609="SBJ","CB","?"))</f>
        <v> </v>
      </c>
      <c r="I5609" s="26" t="str">
        <f>IF(OR(E5609="",E5609="!!!",F5609="NEW"),"",INDEX(B5608:B$2,-1+SUMPRODUCT(MAX(ROW(E5608:E$2)*(E5609=E5608:E$2)))))</f>
        <v> </v>
      </c>
      <c r="J5609" s="26" t="str">
        <f>IF(OR(E5609="",E5609="!!!",F5609="NEW"),"",COUNTBLANK(OFFSET(A$1,,,SUMPRODUCT(MAX(ROW(E$2:E5609)*(E5609=E$2:E5609)))))-COUNTBLANK(OFFSET(A$1,,,SUMPRODUCT(MAX(ROW(E$1:E5608)*(E2=E$1:E5608))))))</f>
        <v> </v>
      </c>
      <c r="K5609" s="26" t="str">
        <f>IF(OR(E5609="",E5609="!!!",F5609="NEW"),"",INDEX(J$1:J5608,SUMPRODUCT(MAX(ROW(E$1:E5608)*(E5609=E$1:E5608)))))</f>
        <v> </v>
      </c>
      <c r="L5609" s="27"/>
    </row>
    <row r="5610" spans="1:12">
      <c r="A5610" s="20" t="s">
        <v>1339</v>
      </c>
      <c r="E5610" s="22">
        <f>IF(D5610="?OLD","!!!","")</f>
        <v/>
      </c>
      <c r="F5610" s="23" t="str">
        <f>IF(OR(E5610="",E5610="!!!"),"",IF(NOT(ISNA(VLOOKUP(E5610,E$1:E5609,1,FALSE()))),"OLD",IF(AND(E5610&lt;&gt;"",E5610&lt;&gt;"!!!"),"NEW","")))</f>
        <v> </v>
      </c>
      <c r="G5610" s="24" t="str">
        <f>IF(OR(E5610="",E5610="!!!"),"",IF(OR(J5610=0,AND(J5610=1,K5610=1),AND(J5610=1,I5610="SBJ"),AND(J5610=1,I5610=0)),"?IN_FOCUS",IF(J5610&lt;=2,"?ACTIVATED",IF(J5610&lt;&gt;"","?FAMILIAR",IF(F5610="NEW",IF(ISNA(VLOOKUP(E5610,#REF!,1,FALSE())),"?TYPE_IDENTIFIABLE","?REFERENTIAL"),"_")))))</f>
        <v> </v>
      </c>
      <c r="H5610" s="25" t="str">
        <f>IF(J5610&lt;&gt;1,"",IF(I5610="SBJ","CB","?"))</f>
        <v> </v>
      </c>
      <c r="I5610" s="26" t="str">
        <f>IF(OR(E5610="",E5610="!!!",F5610="NEW"),"",INDEX(B5609:B$2,-1+SUMPRODUCT(MAX(ROW(E5609:E$2)*(E5610=E5609:E$2)))))</f>
        <v> </v>
      </c>
      <c r="J5610" s="26" t="str">
        <f>IF(OR(E5610="",E5610="!!!",F5610="NEW"),"",COUNTBLANK(OFFSET(A$1,,,SUMPRODUCT(MAX(ROW(E$2:E5610)*(E5610=E$2:E5610)))))-COUNTBLANK(OFFSET(A$1,,,SUMPRODUCT(MAX(ROW(E$1:E5609)*(E2=E$1:E5609))))))</f>
        <v> </v>
      </c>
      <c r="K5610" s="26" t="str">
        <f>IF(OR(E5610="",E5610="!!!",F5610="NEW"),"",INDEX(J$1:J5609,SUMPRODUCT(MAX(ROW(E$1:E5609)*(E5610=E$1:E5609)))))</f>
        <v> </v>
      </c>
      <c r="L5610" s="27"/>
    </row>
    <row r="5611" spans="1:12">
      <c r="A5611" s="20" t="s">
        <v>423</v>
      </c>
      <c r="E5611" s="22">
        <f>IF(D5611="?OLD","!!!","")</f>
        <v/>
      </c>
      <c r="F5611" s="23" t="str">
        <f>IF(OR(E5611="",E5611="!!!"),"",IF(NOT(ISNA(VLOOKUP(E5611,E$1:E5610,1,FALSE()))),"OLD",IF(AND(E5611&lt;&gt;"",E5611&lt;&gt;"!!!"),"NEW","")))</f>
        <v> </v>
      </c>
      <c r="G5611" s="24" t="str">
        <f>IF(OR(E5611="",E5611="!!!"),"",IF(OR(J5611=0,AND(J5611=1,K5611=1),AND(J5611=1,I5611="SBJ"),AND(J5611=1,I5611=0)),"?IN_FOCUS",IF(J5611&lt;=2,"?ACTIVATED",IF(J5611&lt;&gt;"","?FAMILIAR",IF(F5611="NEW",IF(ISNA(VLOOKUP(E5611,#REF!,1,FALSE())),"?TYPE_IDENTIFIABLE","?REFERENTIAL"),"_")))))</f>
        <v> </v>
      </c>
      <c r="H5611" s="25" t="str">
        <f>IF(J5611&lt;&gt;1,"",IF(I5611="SBJ","CB","?"))</f>
        <v> </v>
      </c>
      <c r="I5611" s="26" t="str">
        <f>IF(OR(E5611="",E5611="!!!",F5611="NEW"),"",INDEX(B5610:B$2,-1+SUMPRODUCT(MAX(ROW(E5610:E$2)*(E5611=E5610:E$2)))))</f>
        <v> </v>
      </c>
      <c r="J5611" s="26" t="str">
        <f>IF(OR(E5611="",E5611="!!!",F5611="NEW"),"",COUNTBLANK(OFFSET(A$1,,,SUMPRODUCT(MAX(ROW(E$2:E5611)*(E5611=E$2:E5611)))))-COUNTBLANK(OFFSET(A$1,,,SUMPRODUCT(MAX(ROW(E$1:E5610)*(E2=E$1:E5610))))))</f>
        <v> </v>
      </c>
      <c r="K5611" s="26" t="str">
        <f>IF(OR(E5611="",E5611="!!!",F5611="NEW"),"",INDEX(J$1:J5610,SUMPRODUCT(MAX(ROW(E$1:E5610)*(E5611=E$1:E5610)))))</f>
        <v> </v>
      </c>
      <c r="L5611" s="27"/>
    </row>
    <row r="5612" spans="1:12">
      <c r="A5612" s="20" t="s">
        <v>2440</v>
      </c>
      <c r="B5612" s="21" t="s">
        <v>1067</v>
      </c>
      <c r="C5612" s="21" t="s">
        <v>1133</v>
      </c>
      <c r="D5612" s="21" t="s">
        <v>997</v>
      </c>
      <c r="E5612" s="22">
        <f>IF(D5612="?OLD","!!!","")</f>
        <v/>
      </c>
      <c r="F5612" s="23" t="str">
        <f>IF(OR(E5612="",E5612="!!!"),"",IF(NOT(ISNA(VLOOKUP(E5612,E$1:E5611,1,FALSE()))),"OLD",IF(AND(E5612&lt;&gt;"",E5612&lt;&gt;"!!!"),"NEW","")))</f>
        <v> </v>
      </c>
      <c r="G5612" s="24" t="str">
        <f>IF(OR(E5612="",E5612="!!!"),"",IF(OR(J5612=0,AND(J5612=1,K5612=1),AND(J5612=1,I5612="SBJ"),AND(J5612=1,I5612=0)),"?IN_FOCUS",IF(J5612&lt;=2,"?ACTIVATED",IF(J5612&lt;&gt;"","?FAMILIAR",IF(F5612="NEW",IF(ISNA(VLOOKUP(E5612,#REF!,1,FALSE())),"?TYPE_IDENTIFIABLE","?REFERENTIAL"),"_")))))</f>
        <v> </v>
      </c>
      <c r="H5612" s="25" t="str">
        <f>IF(J5612&lt;&gt;1,"",IF(I5612="SBJ","CB","?"))</f>
        <v> </v>
      </c>
      <c r="I5612" s="26" t="str">
        <f>IF(OR(E5612="",E5612="!!!",F5612="NEW"),"",INDEX(B5611:B$2,-1+SUMPRODUCT(MAX(ROW(E5611:E$2)*(E5612=E5611:E$2)))))</f>
        <v> </v>
      </c>
      <c r="J5612" s="26" t="str">
        <f>IF(OR(E5612="",E5612="!!!",F5612="NEW"),"",COUNTBLANK(OFFSET(A$1,,,SUMPRODUCT(MAX(ROW(E$2:E5612)*(E5612=E$2:E5612)))))-COUNTBLANK(OFFSET(A$1,,,SUMPRODUCT(MAX(ROW(E$1:E5611)*(E2=E$1:E5611))))))</f>
        <v> </v>
      </c>
      <c r="K5612" s="26" t="str">
        <f>IF(OR(E5612="",E5612="!!!",F5612="NEW"),"",INDEX(J$1:J5611,SUMPRODUCT(MAX(ROW(E$1:E5611)*(E5612=E$1:E5611)))))</f>
        <v> </v>
      </c>
      <c r="L5612" s="27"/>
    </row>
    <row r="5613" spans="1:12">
      <c r="A5613" s="20" t="s">
        <v>1008</v>
      </c>
      <c r="E5613" s="22">
        <f>IF(D5613="?OLD","!!!","")</f>
        <v/>
      </c>
      <c r="F5613" s="23" t="str">
        <f>IF(OR(E5613="",E5613="!!!"),"",IF(NOT(ISNA(VLOOKUP(E5613,E$1:E5612,1,FALSE()))),"OLD",IF(AND(E5613&lt;&gt;"",E5613&lt;&gt;"!!!"),"NEW","")))</f>
        <v> </v>
      </c>
      <c r="G5613" s="24" t="str">
        <f>IF(OR(E5613="",E5613="!!!"),"",IF(OR(J5613=0,AND(J5613=1,K5613=1),AND(J5613=1,I5613="SBJ"),AND(J5613=1,I5613=0)),"?IN_FOCUS",IF(J5613&lt;=2,"?ACTIVATED",IF(J5613&lt;&gt;"","?FAMILIAR",IF(F5613="NEW",IF(ISNA(VLOOKUP(E5613,#REF!,1,FALSE())),"?TYPE_IDENTIFIABLE","?REFERENTIAL"),"_")))))</f>
        <v> </v>
      </c>
      <c r="H5613" s="25" t="str">
        <f>IF(J5613&lt;&gt;1,"",IF(I5613="SBJ","CB","?"))</f>
        <v> </v>
      </c>
      <c r="I5613" s="26" t="str">
        <f>IF(OR(E5613="",E5613="!!!",F5613="NEW"),"",INDEX(B5612:B$2,-1+SUMPRODUCT(MAX(ROW(E5612:E$2)*(E5613=E5612:E$2)))))</f>
        <v> </v>
      </c>
      <c r="J5613" s="26" t="str">
        <f>IF(OR(E5613="",E5613="!!!",F5613="NEW"),"",COUNTBLANK(OFFSET(A$1,,,SUMPRODUCT(MAX(ROW(E$2:E5613)*(E5613=E$2:E5613)))))-COUNTBLANK(OFFSET(A$1,,,SUMPRODUCT(MAX(ROW(E$1:E5612)*(E2=E$1:E5612))))))</f>
        <v> </v>
      </c>
      <c r="K5613" s="26" t="str">
        <f>IF(OR(E5613="",E5613="!!!",F5613="NEW"),"",INDEX(J$1:J5612,SUMPRODUCT(MAX(ROW(E$1:E5612)*(E5613=E$1:E5612)))))</f>
        <v> </v>
      </c>
      <c r="L5613" s="27"/>
    </row>
    <row r="5614" spans="1:12">
      <c r="A5614" s="20" t="s">
        <v>1054</v>
      </c>
      <c r="E5614" s="22">
        <f>IF(D5614="?OLD","!!!","")</f>
        <v/>
      </c>
      <c r="F5614" s="23" t="str">
        <f>IF(OR(E5614="",E5614="!!!"),"",IF(NOT(ISNA(VLOOKUP(E5614,E$1:E5613,1,FALSE()))),"OLD",IF(AND(E5614&lt;&gt;"",E5614&lt;&gt;"!!!"),"NEW","")))</f>
        <v> </v>
      </c>
      <c r="G5614" s="24" t="str">
        <f>IF(OR(E5614="",E5614="!!!"),"",IF(OR(J5614=0,AND(J5614=1,K5614=1),AND(J5614=1,I5614="SBJ"),AND(J5614=1,I5614=0)),"?IN_FOCUS",IF(J5614&lt;=2,"?ACTIVATED",IF(J5614&lt;&gt;"","?FAMILIAR",IF(F5614="NEW",IF(ISNA(VLOOKUP(E5614,#REF!,1,FALSE())),"?TYPE_IDENTIFIABLE","?REFERENTIAL"),"_")))))</f>
        <v> </v>
      </c>
      <c r="H5614" s="25" t="str">
        <f>IF(J5614&lt;&gt;1,"",IF(I5614="SBJ","CB","?"))</f>
        <v> </v>
      </c>
      <c r="I5614" s="26" t="str">
        <f>IF(OR(E5614="",E5614="!!!",F5614="NEW"),"",INDEX(B5613:B$2,-1+SUMPRODUCT(MAX(ROW(E5613:E$2)*(E5614=E5613:E$2)))))</f>
        <v> </v>
      </c>
      <c r="J5614" s="26" t="str">
        <f>IF(OR(E5614="",E5614="!!!",F5614="NEW"),"",COUNTBLANK(OFFSET(A$1,,,SUMPRODUCT(MAX(ROW(E$2:E5614)*(E5614=E$2:E5614)))))-COUNTBLANK(OFFSET(A$1,,,SUMPRODUCT(MAX(ROW(E$1:E5613)*(E2=E$1:E5613))))))</f>
        <v> </v>
      </c>
      <c r="K5614" s="26" t="str">
        <f>IF(OR(E5614="",E5614="!!!",F5614="NEW"),"",INDEX(J$1:J5613,SUMPRODUCT(MAX(ROW(E$1:E5613)*(E5614=E$1:E5613)))))</f>
        <v> </v>
      </c>
      <c r="L5614" s="27"/>
    </row>
    <row r="5615" spans="1:12">
      <c r="A5615" s="20" t="s">
        <v>1082</v>
      </c>
      <c r="E5615" s="22">
        <f>IF(D5615="?OLD","!!!","")</f>
        <v/>
      </c>
      <c r="F5615" s="23" t="str">
        <f>IF(OR(E5615="",E5615="!!!"),"",IF(NOT(ISNA(VLOOKUP(E5615,E$1:E5614,1,FALSE()))),"OLD",IF(AND(E5615&lt;&gt;"",E5615&lt;&gt;"!!!"),"NEW","")))</f>
        <v> </v>
      </c>
      <c r="G5615" s="24" t="str">
        <f>IF(OR(E5615="",E5615="!!!"),"",IF(OR(J5615=0,AND(J5615=1,K5615=1),AND(J5615=1,I5615="SBJ"),AND(J5615=1,I5615=0)),"?IN_FOCUS",IF(J5615&lt;=2,"?ACTIVATED",IF(J5615&lt;&gt;"","?FAMILIAR",IF(F5615="NEW",IF(ISNA(VLOOKUP(E5615,#REF!,1,FALSE())),"?TYPE_IDENTIFIABLE","?REFERENTIAL"),"_")))))</f>
        <v> </v>
      </c>
      <c r="H5615" s="25" t="str">
        <f>IF(J5615&lt;&gt;1,"",IF(I5615="SBJ","CB","?"))</f>
        <v> </v>
      </c>
      <c r="I5615" s="26" t="str">
        <f>IF(OR(E5615="",E5615="!!!",F5615="NEW"),"",INDEX(B5614:B$2,-1+SUMPRODUCT(MAX(ROW(E5614:E$2)*(E5615=E5614:E$2)))))</f>
        <v> </v>
      </c>
      <c r="J5615" s="26" t="str">
        <f>IF(OR(E5615="",E5615="!!!",F5615="NEW"),"",COUNTBLANK(OFFSET(A$1,,,SUMPRODUCT(MAX(ROW(E$2:E5615)*(E5615=E$2:E5615)))))-COUNTBLANK(OFFSET(A$1,,,SUMPRODUCT(MAX(ROW(E$1:E5614)*(E2=E$1:E5614))))))</f>
        <v> </v>
      </c>
      <c r="K5615" s="26" t="str">
        <f>IF(OR(E5615="",E5615="!!!",F5615="NEW"),"",INDEX(J$1:J5614,SUMPRODUCT(MAX(ROW(E$1:E5614)*(E5615=E$1:E5614)))))</f>
        <v> </v>
      </c>
      <c r="L5615" s="27"/>
    </row>
    <row r="5616" spans="1:12">
      <c r="A5616" s="20" t="s">
        <v>1144</v>
      </c>
      <c r="E5616" s="22">
        <f>IF(D5616="?OLD","!!!","")</f>
        <v/>
      </c>
      <c r="F5616" s="23" t="str">
        <f>IF(OR(E5616="",E5616="!!!"),"",IF(NOT(ISNA(VLOOKUP(E5616,E$1:E5615,1,FALSE()))),"OLD",IF(AND(E5616&lt;&gt;"",E5616&lt;&gt;"!!!"),"NEW","")))</f>
        <v> </v>
      </c>
      <c r="G5616" s="24" t="str">
        <f>IF(OR(E5616="",E5616="!!!"),"",IF(OR(J5616=0,AND(J5616=1,K5616=1),AND(J5616=1,I5616="SBJ"),AND(J5616=1,I5616=0)),"?IN_FOCUS",IF(J5616&lt;=2,"?ACTIVATED",IF(J5616&lt;&gt;"","?FAMILIAR",IF(F5616="NEW",IF(ISNA(VLOOKUP(E5616,#REF!,1,FALSE())),"?TYPE_IDENTIFIABLE","?REFERENTIAL"),"_")))))</f>
        <v> </v>
      </c>
      <c r="H5616" s="25" t="str">
        <f>IF(J5616&lt;&gt;1,"",IF(I5616="SBJ","CB","?"))</f>
        <v> </v>
      </c>
      <c r="I5616" s="26" t="str">
        <f>IF(OR(E5616="",E5616="!!!",F5616="NEW"),"",INDEX(B5615:B$2,-1+SUMPRODUCT(MAX(ROW(E5615:E$2)*(E5616=E5615:E$2)))))</f>
        <v> </v>
      </c>
      <c r="J5616" s="26" t="str">
        <f>IF(OR(E5616="",E5616="!!!",F5616="NEW"),"",COUNTBLANK(OFFSET(A$1,,,SUMPRODUCT(MAX(ROW(E$2:E5616)*(E5616=E$2:E5616)))))-COUNTBLANK(OFFSET(A$1,,,SUMPRODUCT(MAX(ROW(E$1:E5615)*(E2=E$1:E5615))))))</f>
        <v> </v>
      </c>
      <c r="K5616" s="26" t="str">
        <f>IF(OR(E5616="",E5616="!!!",F5616="NEW"),"",INDEX(J$1:J5615,SUMPRODUCT(MAX(ROW(E$1:E5615)*(E5616=E$1:E5615)))))</f>
        <v> </v>
      </c>
      <c r="L5616" s="27"/>
    </row>
    <row r="5617" spans="1:12">
      <c r="A5617" s="20" t="s">
        <v>2441</v>
      </c>
      <c r="B5617" s="21" t="s">
        <v>1005</v>
      </c>
      <c r="C5617" s="21" t="s">
        <v>1089</v>
      </c>
      <c r="E5617" s="22">
        <f>IF(D5617="?OLD","!!!","")</f>
        <v/>
      </c>
      <c r="F5617" s="23" t="str">
        <f>IF(OR(E5617="",E5617="!!!"),"",IF(NOT(ISNA(VLOOKUP(E5617,E$1:E5616,1,FALSE()))),"OLD",IF(AND(E5617&lt;&gt;"",E5617&lt;&gt;"!!!"),"NEW","")))</f>
        <v> </v>
      </c>
      <c r="G5617" s="24" t="str">
        <f>IF(OR(E5617="",E5617="!!!"),"",IF(OR(J5617=0,AND(J5617=1,K5617=1),AND(J5617=1,I5617="SBJ"),AND(J5617=1,I5617=0)),"?IN_FOCUS",IF(J5617&lt;=2,"?ACTIVATED",IF(J5617&lt;&gt;"","?FAMILIAR",IF(F5617="NEW",IF(ISNA(VLOOKUP(E5617,#REF!,1,FALSE())),"?TYPE_IDENTIFIABLE","?REFERENTIAL"),"_")))))</f>
        <v> </v>
      </c>
      <c r="H5617" s="25" t="str">
        <f>IF(J5617&lt;&gt;1,"",IF(I5617="SBJ","CB","?"))</f>
        <v> </v>
      </c>
      <c r="I5617" s="26" t="str">
        <f>IF(OR(E5617="",E5617="!!!",F5617="NEW"),"",INDEX(B5616:B$2,-1+SUMPRODUCT(MAX(ROW(E5616:E$2)*(E5617=E5616:E$2)))))</f>
        <v> </v>
      </c>
      <c r="J5617" s="26" t="str">
        <f>IF(OR(E5617="",E5617="!!!",F5617="NEW"),"",COUNTBLANK(OFFSET(A$1,,,SUMPRODUCT(MAX(ROW(E$2:E5617)*(E5617=E$2:E5617)))))-COUNTBLANK(OFFSET(A$1,,,SUMPRODUCT(MAX(ROW(E$1:E5616)*(E2=E$1:E5616))))))</f>
        <v> </v>
      </c>
      <c r="K5617" s="26" t="str">
        <f>IF(OR(E5617="",E5617="!!!",F5617="NEW"),"",INDEX(J$1:J5616,SUMPRODUCT(MAX(ROW(E$1:E5616)*(E5617=E$1:E5616)))))</f>
        <v> </v>
      </c>
      <c r="L5617" s="27"/>
    </row>
    <row r="5618" spans="1:12">
      <c r="A5618" s="20" t="s">
        <v>1003</v>
      </c>
      <c r="E5618" s="22">
        <f>IF(D5618="?OLD","!!!","")</f>
        <v/>
      </c>
      <c r="F5618" s="23" t="str">
        <f>IF(OR(E5618="",E5618="!!!"),"",IF(NOT(ISNA(VLOOKUP(E5618,E$1:E5617,1,FALSE()))),"OLD",IF(AND(E5618&lt;&gt;"",E5618&lt;&gt;"!!!"),"NEW","")))</f>
        <v> </v>
      </c>
      <c r="G5618" s="24" t="str">
        <f>IF(OR(E5618="",E5618="!!!"),"",IF(OR(J5618=0,AND(J5618=1,K5618=1),AND(J5618=1,I5618="SBJ"),AND(J5618=1,I5618=0)),"?IN_FOCUS",IF(J5618&lt;=2,"?ACTIVATED",IF(J5618&lt;&gt;"","?FAMILIAR",IF(F5618="NEW",IF(ISNA(VLOOKUP(E5618,#REF!,1,FALSE())),"?TYPE_IDENTIFIABLE","?REFERENTIAL"),"_")))))</f>
        <v> </v>
      </c>
      <c r="H5618" s="25" t="str">
        <f>IF(J5618&lt;&gt;1,"",IF(I5618="SBJ","CB","?"))</f>
        <v> </v>
      </c>
      <c r="I5618" s="26" t="str">
        <f>IF(OR(E5618="",E5618="!!!",F5618="NEW"),"",INDEX(B5617:B$2,-1+SUMPRODUCT(MAX(ROW(E5617:E$2)*(E5618=E5617:E$2)))))</f>
        <v> </v>
      </c>
      <c r="J5618" s="26" t="str">
        <f>IF(OR(E5618="",E5618="!!!",F5618="NEW"),"",COUNTBLANK(OFFSET(A$1,,,SUMPRODUCT(MAX(ROW(E$2:E5618)*(E5618=E$2:E5618)))))-COUNTBLANK(OFFSET(A$1,,,SUMPRODUCT(MAX(ROW(E$1:E5617)*(E2=E$1:E5617))))))</f>
        <v> </v>
      </c>
      <c r="K5618" s="26" t="str">
        <f>IF(OR(E5618="",E5618="!!!",F5618="NEW"),"",INDEX(J$1:J5617,SUMPRODUCT(MAX(ROW(E$1:E5617)*(E5618=E$1:E5617)))))</f>
        <v> </v>
      </c>
      <c r="L5618" s="27"/>
    </row>
    <row r="5619" spans="1:12">
      <c r="A5619" s="20" t="s">
        <v>2442</v>
      </c>
      <c r="B5619" s="21" t="s">
        <v>1010</v>
      </c>
      <c r="C5619" s="21" t="s">
        <v>1006</v>
      </c>
      <c r="E5619" s="22">
        <f>IF(D5619="?OLD","!!!","")</f>
        <v/>
      </c>
      <c r="F5619" s="23" t="str">
        <f>IF(OR(E5619="",E5619="!!!"),"",IF(NOT(ISNA(VLOOKUP(E5619,E$1:E5618,1,FALSE()))),"OLD",IF(AND(E5619&lt;&gt;"",E5619&lt;&gt;"!!!"),"NEW","")))</f>
        <v> </v>
      </c>
      <c r="G5619" s="24" t="str">
        <f>IF(OR(E5619="",E5619="!!!"),"",IF(OR(J5619=0,AND(J5619=1,K5619=1),AND(J5619=1,I5619="SBJ"),AND(J5619=1,I5619=0)),"?IN_FOCUS",IF(J5619&lt;=2,"?ACTIVATED",IF(J5619&lt;&gt;"","?FAMILIAR",IF(F5619="NEW",IF(ISNA(VLOOKUP(E5619,#REF!,1,FALSE())),"?TYPE_IDENTIFIABLE","?REFERENTIAL"),"_")))))</f>
        <v> </v>
      </c>
      <c r="H5619" s="25" t="str">
        <f>IF(J5619&lt;&gt;1,"",IF(I5619="SBJ","CB","?"))</f>
        <v> </v>
      </c>
      <c r="I5619" s="26" t="str">
        <f>IF(OR(E5619="",E5619="!!!",F5619="NEW"),"",INDEX(B5618:B$2,-1+SUMPRODUCT(MAX(ROW(E5618:E$2)*(E5619=E5618:E$2)))))</f>
        <v> </v>
      </c>
      <c r="J5619" s="26" t="str">
        <f>IF(OR(E5619="",E5619="!!!",F5619="NEW"),"",COUNTBLANK(OFFSET(A$1,,,SUMPRODUCT(MAX(ROW(E$2:E5619)*(E5619=E$2:E5619)))))-COUNTBLANK(OFFSET(A$1,,,SUMPRODUCT(MAX(ROW(E$1:E5618)*(E2=E$1:E5618))))))</f>
        <v> </v>
      </c>
      <c r="K5619" s="26" t="str">
        <f>IF(OR(E5619="",E5619="!!!",F5619="NEW"),"",INDEX(J$1:J5618,SUMPRODUCT(MAX(ROW(E$1:E5618)*(E5619=E$1:E5618)))))</f>
        <v> </v>
      </c>
      <c r="L5619" s="27"/>
    </row>
    <row r="5620" spans="1:12">
      <c r="A5620" s="20" t="s">
        <v>1011</v>
      </c>
      <c r="E5620" s="22">
        <f>IF(D5620="?OLD","!!!","")</f>
        <v/>
      </c>
      <c r="F5620" s="23" t="str">
        <f>IF(OR(E5620="",E5620="!!!"),"",IF(NOT(ISNA(VLOOKUP(E5620,E$1:E5619,1,FALSE()))),"OLD",IF(AND(E5620&lt;&gt;"",E5620&lt;&gt;"!!!"),"NEW","")))</f>
        <v> </v>
      </c>
      <c r="G5620" s="24" t="str">
        <f>IF(OR(E5620="",E5620="!!!"),"",IF(OR(J5620=0,AND(J5620=1,K5620=1),AND(J5620=1,I5620="SBJ"),AND(J5620=1,I5620=0)),"?IN_FOCUS",IF(J5620&lt;=2,"?ACTIVATED",IF(J5620&lt;&gt;"","?FAMILIAR",IF(F5620="NEW",IF(ISNA(VLOOKUP(E5620,#REF!,1,FALSE())),"?TYPE_IDENTIFIABLE","?REFERENTIAL"),"_")))))</f>
        <v> </v>
      </c>
      <c r="H5620" s="25" t="str">
        <f>IF(J5620&lt;&gt;1,"",IF(I5620="SBJ","CB","?"))</f>
        <v> </v>
      </c>
      <c r="I5620" s="26" t="str">
        <f>IF(OR(E5620="",E5620="!!!",F5620="NEW"),"",INDEX(B5619:B$2,-1+SUMPRODUCT(MAX(ROW(E5619:E$2)*(E5620=E5619:E$2)))))</f>
        <v> </v>
      </c>
      <c r="J5620" s="26" t="str">
        <f>IF(OR(E5620="",E5620="!!!",F5620="NEW"),"",COUNTBLANK(OFFSET(A$1,,,SUMPRODUCT(MAX(ROW(E$2:E5620)*(E5620=E$2:E5620)))))-COUNTBLANK(OFFSET(A$1,,,SUMPRODUCT(MAX(ROW(E$1:E5619)*(E2=E$1:E5619))))))</f>
        <v> </v>
      </c>
      <c r="K5620" s="26" t="str">
        <f>IF(OR(E5620="",E5620="!!!",F5620="NEW"),"",INDEX(J$1:J5619,SUMPRODUCT(MAX(ROW(E$1:E5619)*(E5620=E$1:E5619)))))</f>
        <v> </v>
      </c>
      <c r="L5620" s="27"/>
    </row>
    <row r="5621" spans="1:12">
      <c r="A5621" s="20"/>
    </row>
    <row r="5622" spans="1:12">
      <c r="A5622" s="20" t="s">
        <v>2443</v>
      </c>
    </row>
    <row r="5623" spans="1:12">
      <c r="A5623" s="20" t="s">
        <v>1392</v>
      </c>
      <c r="B5623" s="21" t="s">
        <v>995</v>
      </c>
      <c r="C5623" s="21" t="s">
        <v>1133</v>
      </c>
      <c r="D5623" s="21" t="s">
        <v>997</v>
      </c>
      <c r="E5623" s="22">
        <f>IF(D5623="?OLD","!!!","")</f>
        <v/>
      </c>
      <c r="F5623" s="23" t="str">
        <f>IF(OR(E5623="",E5623="!!!"),"",IF(NOT(ISNA(VLOOKUP(E5623,E$1:E5622,1,FALSE()))),"OLD",IF(AND(E5623&lt;&gt;"",E5623&lt;&gt;"!!!"),"NEW","")))</f>
        <v> </v>
      </c>
      <c r="G5623" s="24" t="str">
        <f>IF(OR(E5623="",E5623="!!!"),"",IF(OR(J5623=0,AND(J5623=1,K5623=1),AND(J5623=1,I5623="SBJ"),AND(J5623=1,I5623=0)),"?IN_FOCUS",IF(J5623&lt;=2,"?ACTIVATED",IF(J5623&lt;&gt;"","?FAMILIAR",IF(F5623="NEW",IF(ISNA(VLOOKUP(E5623,#REF!,1,FALSE())),"?TYPE_IDENTIFIABLE","?REFERENTIAL"),"_")))))</f>
        <v> </v>
      </c>
      <c r="H5623" s="25" t="str">
        <f>IF(J5623&lt;&gt;1,"",IF(I5623="SBJ","CB","?"))</f>
        <v> </v>
      </c>
      <c r="I5623" s="26" t="str">
        <f>IF(OR(E5623="",E5623="!!!",F5623="NEW"),"",INDEX(B5622:B$2,-1+SUMPRODUCT(MAX(ROW(E5622:E$2)*(E5623=E5622:E$2)))))</f>
        <v> </v>
      </c>
      <c r="J5623" s="26" t="str">
        <f>IF(OR(E5623="",E5623="!!!",F5623="NEW"),"",COUNTBLANK(OFFSET(A$1,,,SUMPRODUCT(MAX(ROW(E$2:E5623)*(E5623=E$2:E5623)))))-COUNTBLANK(OFFSET(A$1,,,SUMPRODUCT(MAX(ROW(E$1:E5622)*(E2=E$1:E5622))))))</f>
        <v> </v>
      </c>
      <c r="K5623" s="26" t="str">
        <f>IF(OR(E5623="",E5623="!!!",F5623="NEW"),"",INDEX(J$1:J5622,SUMPRODUCT(MAX(ROW(E$1:E5622)*(E5623=E$1:E5622)))))</f>
        <v> </v>
      </c>
      <c r="L5623" s="27"/>
    </row>
    <row r="5624" spans="1:12">
      <c r="A5624" s="20" t="s">
        <v>2444</v>
      </c>
      <c r="E5624" s="22">
        <f>IF(D5624="?OLD","!!!","")</f>
        <v/>
      </c>
      <c r="F5624" s="23" t="str">
        <f>IF(OR(E5624="",E5624="!!!"),"",IF(NOT(ISNA(VLOOKUP(E5624,E$1:E5623,1,FALSE()))),"OLD",IF(AND(E5624&lt;&gt;"",E5624&lt;&gt;"!!!"),"NEW","")))</f>
        <v> </v>
      </c>
      <c r="G5624" s="24" t="str">
        <f>IF(OR(E5624="",E5624="!!!"),"",IF(OR(J5624=0,AND(J5624=1,K5624=1),AND(J5624=1,I5624="SBJ"),AND(J5624=1,I5624=0)),"?IN_FOCUS",IF(J5624&lt;=2,"?ACTIVATED",IF(J5624&lt;&gt;"","?FAMILIAR",IF(F5624="NEW",IF(ISNA(VLOOKUP(E5624,#REF!,1,FALSE())),"?TYPE_IDENTIFIABLE","?REFERENTIAL"),"_")))))</f>
        <v> </v>
      </c>
      <c r="H5624" s="25" t="str">
        <f>IF(J5624&lt;&gt;1,"",IF(I5624="SBJ","CB","?"))</f>
        <v> </v>
      </c>
      <c r="I5624" s="26" t="str">
        <f>IF(OR(E5624="",E5624="!!!",F5624="NEW"),"",INDEX(B5623:B$2,-1+SUMPRODUCT(MAX(ROW(E5623:E$2)*(E5624=E5623:E$2)))))</f>
        <v> </v>
      </c>
      <c r="J5624" s="26" t="str">
        <f>IF(OR(E5624="",E5624="!!!",F5624="NEW"),"",COUNTBLANK(OFFSET(A$1,,,SUMPRODUCT(MAX(ROW(E$2:E5624)*(E5624=E$2:E5624)))))-COUNTBLANK(OFFSET(A$1,,,SUMPRODUCT(MAX(ROW(E$1:E5623)*(E2=E$1:E5623))))))</f>
        <v> </v>
      </c>
      <c r="K5624" s="26" t="str">
        <f>IF(OR(E5624="",E5624="!!!",F5624="NEW"),"",INDEX(J$1:J5623,SUMPRODUCT(MAX(ROW(E$1:E5623)*(E5624=E$1:E5623)))))</f>
        <v> </v>
      </c>
      <c r="L5624" s="27"/>
    </row>
    <row r="5625" spans="1:12">
      <c r="A5625" s="20" t="s">
        <v>1095</v>
      </c>
      <c r="E5625" s="22">
        <f>IF(D5625="?OLD","!!!","")</f>
        <v/>
      </c>
      <c r="F5625" s="23" t="str">
        <f>IF(OR(E5625="",E5625="!!!"),"",IF(NOT(ISNA(VLOOKUP(E5625,E$1:E5624,1,FALSE()))),"OLD",IF(AND(E5625&lt;&gt;"",E5625&lt;&gt;"!!!"),"NEW","")))</f>
        <v> </v>
      </c>
      <c r="G5625" s="24" t="str">
        <f>IF(OR(E5625="",E5625="!!!"),"",IF(OR(J5625=0,AND(J5625=1,K5625=1),AND(J5625=1,I5625="SBJ"),AND(J5625=1,I5625=0)),"?IN_FOCUS",IF(J5625&lt;=2,"?ACTIVATED",IF(J5625&lt;&gt;"","?FAMILIAR",IF(F5625="NEW",IF(ISNA(VLOOKUP(E5625,#REF!,1,FALSE())),"?TYPE_IDENTIFIABLE","?REFERENTIAL"),"_")))))</f>
        <v> </v>
      </c>
      <c r="H5625" s="25" t="str">
        <f>IF(J5625&lt;&gt;1,"",IF(I5625="SBJ","CB","?"))</f>
        <v> </v>
      </c>
      <c r="I5625" s="26" t="str">
        <f>IF(OR(E5625="",E5625="!!!",F5625="NEW"),"",INDEX(B5624:B$2,-1+SUMPRODUCT(MAX(ROW(E5624:E$2)*(E5625=E5624:E$2)))))</f>
        <v> </v>
      </c>
      <c r="J5625" s="26" t="str">
        <f>IF(OR(E5625="",E5625="!!!",F5625="NEW"),"",COUNTBLANK(OFFSET(A$1,,,SUMPRODUCT(MAX(ROW(E$2:E5625)*(E5625=E$2:E5625)))))-COUNTBLANK(OFFSET(A$1,,,SUMPRODUCT(MAX(ROW(E$1:E5624)*(E2=E$1:E5624))))))</f>
        <v> </v>
      </c>
      <c r="K5625" s="26" t="str">
        <f>IF(OR(E5625="",E5625="!!!",F5625="NEW"),"",INDEX(J$1:J5624,SUMPRODUCT(MAX(ROW(E$1:E5624)*(E5625=E$1:E5624)))))</f>
        <v> </v>
      </c>
      <c r="L5625" s="27"/>
    </row>
    <row r="5626" spans="1:12">
      <c r="A5626" s="20" t="s">
        <v>1097</v>
      </c>
      <c r="E5626" s="22">
        <f>IF(D5626="?OLD","!!!","")</f>
        <v/>
      </c>
      <c r="F5626" s="23" t="str">
        <f>IF(OR(E5626="",E5626="!!!"),"",IF(NOT(ISNA(VLOOKUP(E5626,E$1:E5625,1,FALSE()))),"OLD",IF(AND(E5626&lt;&gt;"",E5626&lt;&gt;"!!!"),"NEW","")))</f>
        <v> </v>
      </c>
      <c r="G5626" s="24" t="str">
        <f>IF(OR(E5626="",E5626="!!!"),"",IF(OR(J5626=0,AND(J5626=1,K5626=1),AND(J5626=1,I5626="SBJ"),AND(J5626=1,I5626=0)),"?IN_FOCUS",IF(J5626&lt;=2,"?ACTIVATED",IF(J5626&lt;&gt;"","?FAMILIAR",IF(F5626="NEW",IF(ISNA(VLOOKUP(E5626,#REF!,1,FALSE())),"?TYPE_IDENTIFIABLE","?REFERENTIAL"),"_")))))</f>
        <v> </v>
      </c>
      <c r="H5626" s="25" t="str">
        <f>IF(J5626&lt;&gt;1,"",IF(I5626="SBJ","CB","?"))</f>
        <v> </v>
      </c>
      <c r="I5626" s="26" t="str">
        <f>IF(OR(E5626="",E5626="!!!",F5626="NEW"),"",INDEX(B5625:B$2,-1+SUMPRODUCT(MAX(ROW(E5625:E$2)*(E5626=E5625:E$2)))))</f>
        <v> </v>
      </c>
      <c r="J5626" s="26" t="str">
        <f>IF(OR(E5626="",E5626="!!!",F5626="NEW"),"",COUNTBLANK(OFFSET(A$1,,,SUMPRODUCT(MAX(ROW(E$2:E5626)*(E5626=E$2:E5626)))))-COUNTBLANK(OFFSET(A$1,,,SUMPRODUCT(MAX(ROW(E$1:E5625)*(E2=E$1:E5625))))))</f>
        <v> </v>
      </c>
      <c r="K5626" s="26" t="str">
        <f>IF(OR(E5626="",E5626="!!!",F5626="NEW"),"",INDEX(J$1:J5625,SUMPRODUCT(MAX(ROW(E$1:E5625)*(E5626=E$1:E5625)))))</f>
        <v> </v>
      </c>
      <c r="L5626" s="27"/>
    </row>
    <row r="5627" spans="1:12">
      <c r="A5627" s="20" t="s">
        <v>1069</v>
      </c>
      <c r="E5627" s="22">
        <f>IF(D5627="?OLD","!!!","")</f>
        <v/>
      </c>
      <c r="F5627" s="23" t="str">
        <f>IF(OR(E5627="",E5627="!!!"),"",IF(NOT(ISNA(VLOOKUP(E5627,E$1:E5626,1,FALSE()))),"OLD",IF(AND(E5627&lt;&gt;"",E5627&lt;&gt;"!!!"),"NEW","")))</f>
        <v> </v>
      </c>
      <c r="G5627" s="24" t="str">
        <f>IF(OR(E5627="",E5627="!!!"),"",IF(OR(J5627=0,AND(J5627=1,K5627=1),AND(J5627=1,I5627="SBJ"),AND(J5627=1,I5627=0)),"?IN_FOCUS",IF(J5627&lt;=2,"?ACTIVATED",IF(J5627&lt;&gt;"","?FAMILIAR",IF(F5627="NEW",IF(ISNA(VLOOKUP(E5627,#REF!,1,FALSE())),"?TYPE_IDENTIFIABLE","?REFERENTIAL"),"_")))))</f>
        <v> </v>
      </c>
      <c r="H5627" s="25" t="str">
        <f>IF(J5627&lt;&gt;1,"",IF(I5627="SBJ","CB","?"))</f>
        <v> </v>
      </c>
      <c r="I5627" s="26" t="str">
        <f>IF(OR(E5627="",E5627="!!!",F5627="NEW"),"",INDEX(B5626:B$2,-1+SUMPRODUCT(MAX(ROW(E5626:E$2)*(E5627=E5626:E$2)))))</f>
        <v> </v>
      </c>
      <c r="J5627" s="26" t="str">
        <f>IF(OR(E5627="",E5627="!!!",F5627="NEW"),"",COUNTBLANK(OFFSET(A$1,,,SUMPRODUCT(MAX(ROW(E$2:E5627)*(E5627=E$2:E5627)))))-COUNTBLANK(OFFSET(A$1,,,SUMPRODUCT(MAX(ROW(E$1:E5626)*(E2=E$1:E5626))))))</f>
        <v> </v>
      </c>
      <c r="K5627" s="26" t="str">
        <f>IF(OR(E5627="",E5627="!!!",F5627="NEW"),"",INDEX(J$1:J5626,SUMPRODUCT(MAX(ROW(E$1:E5626)*(E5627=E$1:E5626)))))</f>
        <v> </v>
      </c>
      <c r="L5627" s="27"/>
    </row>
    <row r="5628" spans="1:12">
      <c r="A5628" s="20" t="s">
        <v>32</v>
      </c>
      <c r="E5628" s="22">
        <f>IF(D5628="?OLD","!!!","")</f>
        <v/>
      </c>
      <c r="F5628" s="23" t="str">
        <f>IF(OR(E5628="",E5628="!!!"),"",IF(NOT(ISNA(VLOOKUP(E5628,E$1:E5627,1,FALSE()))),"OLD",IF(AND(E5628&lt;&gt;"",E5628&lt;&gt;"!!!"),"NEW","")))</f>
        <v> </v>
      </c>
      <c r="G5628" s="24" t="str">
        <f>IF(OR(E5628="",E5628="!!!"),"",IF(OR(J5628=0,AND(J5628=1,K5628=1),AND(J5628=1,I5628="SBJ"),AND(J5628=1,I5628=0)),"?IN_FOCUS",IF(J5628&lt;=2,"?ACTIVATED",IF(J5628&lt;&gt;"","?FAMILIAR",IF(F5628="NEW",IF(ISNA(VLOOKUP(E5628,#REF!,1,FALSE())),"?TYPE_IDENTIFIABLE","?REFERENTIAL"),"_")))))</f>
        <v> </v>
      </c>
      <c r="H5628" s="25" t="str">
        <f>IF(J5628&lt;&gt;1,"",IF(I5628="SBJ","CB","?"))</f>
        <v> </v>
      </c>
      <c r="I5628" s="26" t="str">
        <f>IF(OR(E5628="",E5628="!!!",F5628="NEW"),"",INDEX(B5627:B$2,-1+SUMPRODUCT(MAX(ROW(E5627:E$2)*(E5628=E5627:E$2)))))</f>
        <v> </v>
      </c>
      <c r="J5628" s="26" t="str">
        <f>IF(OR(E5628="",E5628="!!!",F5628="NEW"),"",COUNTBLANK(OFFSET(A$1,,,SUMPRODUCT(MAX(ROW(E$2:E5628)*(E5628=E$2:E5628)))))-COUNTBLANK(OFFSET(A$1,,,SUMPRODUCT(MAX(ROW(E$1:E5627)*(E2=E$1:E5627))))))</f>
        <v> </v>
      </c>
      <c r="K5628" s="26" t="str">
        <f>IF(OR(E5628="",E5628="!!!",F5628="NEW"),"",INDEX(J$1:J5627,SUMPRODUCT(MAX(ROW(E$1:E5627)*(E5628=E$1:E5627)))))</f>
        <v> </v>
      </c>
      <c r="L5628" s="27"/>
    </row>
    <row r="5629" spans="1:12">
      <c r="A5629" s="20" t="s">
        <v>1647</v>
      </c>
      <c r="B5629" s="21" t="s">
        <v>1001</v>
      </c>
      <c r="C5629" s="21" t="s">
        <v>1006</v>
      </c>
      <c r="E5629" s="22">
        <f>IF(D5629="?OLD","!!!","")</f>
        <v/>
      </c>
      <c r="F5629" s="23" t="str">
        <f>IF(OR(E5629="",E5629="!!!"),"",IF(NOT(ISNA(VLOOKUP(E5629,E$1:E5628,1,FALSE()))),"OLD",IF(AND(E5629&lt;&gt;"",E5629&lt;&gt;"!!!"),"NEW","")))</f>
        <v> </v>
      </c>
      <c r="G5629" s="24" t="str">
        <f>IF(OR(E5629="",E5629="!!!"),"",IF(OR(J5629=0,AND(J5629=1,K5629=1),AND(J5629=1,I5629="SBJ"),AND(J5629=1,I5629=0)),"?IN_FOCUS",IF(J5629&lt;=2,"?ACTIVATED",IF(J5629&lt;&gt;"","?FAMILIAR",IF(F5629="NEW",IF(ISNA(VLOOKUP(E5629,#REF!,1,FALSE())),"?TYPE_IDENTIFIABLE","?REFERENTIAL"),"_")))))</f>
        <v> </v>
      </c>
      <c r="H5629" s="25" t="str">
        <f>IF(J5629&lt;&gt;1,"",IF(I5629="SBJ","CB","?"))</f>
        <v> </v>
      </c>
      <c r="I5629" s="26" t="str">
        <f>IF(OR(E5629="",E5629="!!!",F5629="NEW"),"",INDEX(B5628:B$2,-1+SUMPRODUCT(MAX(ROW(E5628:E$2)*(E5629=E5628:E$2)))))</f>
        <v> </v>
      </c>
      <c r="J5629" s="26" t="str">
        <f>IF(OR(E5629="",E5629="!!!",F5629="NEW"),"",COUNTBLANK(OFFSET(A$1,,,SUMPRODUCT(MAX(ROW(E$2:E5629)*(E5629=E$2:E5629)))))-COUNTBLANK(OFFSET(A$1,,,SUMPRODUCT(MAX(ROW(E$1:E5628)*(E2=E$1:E5628))))))</f>
        <v> </v>
      </c>
      <c r="K5629" s="26" t="str">
        <f>IF(OR(E5629="",E5629="!!!",F5629="NEW"),"",INDEX(J$1:J5628,SUMPRODUCT(MAX(ROW(E$1:E5628)*(E5629=E$1:E5628)))))</f>
        <v> </v>
      </c>
      <c r="L5629" s="27"/>
    </row>
    <row r="5630" spans="1:12">
      <c r="A5630" s="20" t="s">
        <v>1011</v>
      </c>
      <c r="E5630" s="22">
        <f>IF(D5630="?OLD","!!!","")</f>
        <v/>
      </c>
      <c r="F5630" s="23" t="str">
        <f>IF(OR(E5630="",E5630="!!!"),"",IF(NOT(ISNA(VLOOKUP(E5630,E$1:E5629,1,FALSE()))),"OLD",IF(AND(E5630&lt;&gt;"",E5630&lt;&gt;"!!!"),"NEW","")))</f>
        <v> </v>
      </c>
      <c r="G5630" s="24" t="str">
        <f>IF(OR(E5630="",E5630="!!!"),"",IF(OR(J5630=0,AND(J5630=1,K5630=1),AND(J5630=1,I5630="SBJ"),AND(J5630=1,I5630=0)),"?IN_FOCUS",IF(J5630&lt;=2,"?ACTIVATED",IF(J5630&lt;&gt;"","?FAMILIAR",IF(F5630="NEW",IF(ISNA(VLOOKUP(E5630,#REF!,1,FALSE())),"?TYPE_IDENTIFIABLE","?REFERENTIAL"),"_")))))</f>
        <v> </v>
      </c>
      <c r="H5630" s="25" t="str">
        <f>IF(J5630&lt;&gt;1,"",IF(I5630="SBJ","CB","?"))</f>
        <v> </v>
      </c>
      <c r="I5630" s="26" t="str">
        <f>IF(OR(E5630="",E5630="!!!",F5630="NEW"),"",INDEX(B5629:B$2,-1+SUMPRODUCT(MAX(ROW(E5629:E$2)*(E5630=E5629:E$2)))))</f>
        <v> </v>
      </c>
      <c r="J5630" s="26" t="str">
        <f>IF(OR(E5630="",E5630="!!!",F5630="NEW"),"",COUNTBLANK(OFFSET(A$1,,,SUMPRODUCT(MAX(ROW(E$2:E5630)*(E5630=E$2:E5630)))))-COUNTBLANK(OFFSET(A$1,,,SUMPRODUCT(MAX(ROW(E$1:E5629)*(E2=E$1:E5629))))))</f>
        <v> </v>
      </c>
      <c r="K5630" s="26" t="str">
        <f>IF(OR(E5630="",E5630="!!!",F5630="NEW"),"",INDEX(J$1:J5629,SUMPRODUCT(MAX(ROW(E$1:E5629)*(E5630=E$1:E5629)))))</f>
        <v> </v>
      </c>
      <c r="L5630" s="27"/>
    </row>
    <row r="5631" spans="1:12">
      <c r="A5631" s="20"/>
    </row>
    <row r="5632" spans="1:12">
      <c r="A5632" s="20" t="s">
        <v>2445</v>
      </c>
    </row>
    <row r="5633" spans="1:12">
      <c r="A5633" s="20" t="s">
        <v>2446</v>
      </c>
      <c r="B5633" s="21" t="s">
        <v>995</v>
      </c>
      <c r="C5633" s="21" t="s">
        <v>1133</v>
      </c>
      <c r="D5633" s="21" t="s">
        <v>997</v>
      </c>
      <c r="E5633" s="22">
        <f>IF(D5633="?OLD","!!!","")</f>
        <v/>
      </c>
      <c r="F5633" s="23" t="str">
        <f>IF(OR(E5633="",E5633="!!!"),"",IF(NOT(ISNA(VLOOKUP(E5633,E$1:E5632,1,FALSE()))),"OLD",IF(AND(E5633&lt;&gt;"",E5633&lt;&gt;"!!!"),"NEW","")))</f>
        <v> </v>
      </c>
      <c r="G5633" s="24" t="str">
        <f>IF(OR(E5633="",E5633="!!!"),"",IF(OR(J5633=0,AND(J5633=1,K5633=1),AND(J5633=1,I5633="SBJ"),AND(J5633=1,I5633=0)),"?IN_FOCUS",IF(J5633&lt;=2,"?ACTIVATED",IF(J5633&lt;&gt;"","?FAMILIAR",IF(F5633="NEW",IF(ISNA(VLOOKUP(E5633,#REF!,1,FALSE())),"?TYPE_IDENTIFIABLE","?REFERENTIAL"),"_")))))</f>
        <v> </v>
      </c>
      <c r="H5633" s="25" t="str">
        <f>IF(J5633&lt;&gt;1,"",IF(I5633="SBJ","CB","?"))</f>
        <v> </v>
      </c>
      <c r="I5633" s="26" t="str">
        <f>IF(OR(E5633="",E5633="!!!",F5633="NEW"),"",INDEX(B5632:B$2,-1+SUMPRODUCT(MAX(ROW(E5632:E$2)*(E5633=E5632:E$2)))))</f>
        <v> </v>
      </c>
      <c r="J5633" s="26" t="str">
        <f>IF(OR(E5633="",E5633="!!!",F5633="NEW"),"",COUNTBLANK(OFFSET(A$1,,,SUMPRODUCT(MAX(ROW(E$2:E5633)*(E5633=E$2:E5633)))))-COUNTBLANK(OFFSET(A$1,,,SUMPRODUCT(MAX(ROW(E$1:E5632)*(E2=E$1:E5632))))))</f>
        <v> </v>
      </c>
      <c r="K5633" s="26" t="str">
        <f>IF(OR(E5633="",E5633="!!!",F5633="NEW"),"",INDEX(J$1:J5632,SUMPRODUCT(MAX(ROW(E$1:E5632)*(E5633=E$1:E5632)))))</f>
        <v> </v>
      </c>
      <c r="L5633" s="27"/>
    </row>
    <row r="5634" spans="1:12">
      <c r="A5634" s="20" t="s">
        <v>2447</v>
      </c>
      <c r="E5634" s="22">
        <f>IF(D5634="?OLD","!!!","")</f>
        <v/>
      </c>
      <c r="F5634" s="23" t="str">
        <f>IF(OR(E5634="",E5634="!!!"),"",IF(NOT(ISNA(VLOOKUP(E5634,E$1:E5633,1,FALSE()))),"OLD",IF(AND(E5634&lt;&gt;"",E5634&lt;&gt;"!!!"),"NEW","")))</f>
        <v> </v>
      </c>
      <c r="G5634" s="24" t="str">
        <f>IF(OR(E5634="",E5634="!!!"),"",IF(OR(J5634=0,AND(J5634=1,K5634=1),AND(J5634=1,I5634="SBJ"),AND(J5634=1,I5634=0)),"?IN_FOCUS",IF(J5634&lt;=2,"?ACTIVATED",IF(J5634&lt;&gt;"","?FAMILIAR",IF(F5634="NEW",IF(ISNA(VLOOKUP(E5634,#REF!,1,FALSE())),"?TYPE_IDENTIFIABLE","?REFERENTIAL"),"_")))))</f>
        <v> </v>
      </c>
      <c r="H5634" s="25" t="str">
        <f>IF(J5634&lt;&gt;1,"",IF(I5634="SBJ","CB","?"))</f>
        <v> </v>
      </c>
      <c r="I5634" s="26" t="str">
        <f>IF(OR(E5634="",E5634="!!!",F5634="NEW"),"",INDEX(B5633:B$2,-1+SUMPRODUCT(MAX(ROW(E5633:E$2)*(E5634=E5633:E$2)))))</f>
        <v> </v>
      </c>
      <c r="J5634" s="26" t="str">
        <f>IF(OR(E5634="",E5634="!!!",F5634="NEW"),"",COUNTBLANK(OFFSET(A$1,,,SUMPRODUCT(MAX(ROW(E$2:E5634)*(E5634=E$2:E5634)))))-COUNTBLANK(OFFSET(A$1,,,SUMPRODUCT(MAX(ROW(E$1:E5633)*(E2=E$1:E5633))))))</f>
        <v> </v>
      </c>
      <c r="K5634" s="26" t="str">
        <f>IF(OR(E5634="",E5634="!!!",F5634="NEW"),"",INDEX(J$1:J5633,SUMPRODUCT(MAX(ROW(E$1:E5633)*(E5634=E$1:E5633)))))</f>
        <v> </v>
      </c>
      <c r="L5634" s="27"/>
    </row>
    <row r="5635" spans="1:12">
      <c r="A5635" s="20" t="s">
        <v>1082</v>
      </c>
      <c r="E5635" s="22">
        <f>IF(D5635="?OLD","!!!","")</f>
        <v/>
      </c>
      <c r="F5635" s="23" t="str">
        <f>IF(OR(E5635="",E5635="!!!"),"",IF(NOT(ISNA(VLOOKUP(E5635,E$1:E5634,1,FALSE()))),"OLD",IF(AND(E5635&lt;&gt;"",E5635&lt;&gt;"!!!"),"NEW","")))</f>
        <v> </v>
      </c>
      <c r="G5635" s="24" t="str">
        <f>IF(OR(E5635="",E5635="!!!"),"",IF(OR(J5635=0,AND(J5635=1,K5635=1),AND(J5635=1,I5635="SBJ"),AND(J5635=1,I5635=0)),"?IN_FOCUS",IF(J5635&lt;=2,"?ACTIVATED",IF(J5635&lt;&gt;"","?FAMILIAR",IF(F5635="NEW",IF(ISNA(VLOOKUP(E5635,#REF!,1,FALSE())),"?TYPE_IDENTIFIABLE","?REFERENTIAL"),"_")))))</f>
        <v> </v>
      </c>
      <c r="H5635" s="25" t="str">
        <f>IF(J5635&lt;&gt;1,"",IF(I5635="SBJ","CB","?"))</f>
        <v> </v>
      </c>
      <c r="I5635" s="26" t="str">
        <f>IF(OR(E5635="",E5635="!!!",F5635="NEW"),"",INDEX(B5634:B$2,-1+SUMPRODUCT(MAX(ROW(E5634:E$2)*(E5635=E5634:E$2)))))</f>
        <v> </v>
      </c>
      <c r="J5635" s="26" t="str">
        <f>IF(OR(E5635="",E5635="!!!",F5635="NEW"),"",COUNTBLANK(OFFSET(A$1,,,SUMPRODUCT(MAX(ROW(E$2:E5635)*(E5635=E$2:E5635)))))-COUNTBLANK(OFFSET(A$1,,,SUMPRODUCT(MAX(ROW(E$1:E5634)*(E2=E$1:E5634))))))</f>
        <v> </v>
      </c>
      <c r="K5635" s="26" t="str">
        <f>IF(OR(E5635="",E5635="!!!",F5635="NEW"),"",INDEX(J$1:J5634,SUMPRODUCT(MAX(ROW(E$1:E5634)*(E5635=E$1:E5634)))))</f>
        <v> </v>
      </c>
      <c r="L5635" s="27"/>
    </row>
    <row r="5636" spans="1:12">
      <c r="A5636" s="20" t="s">
        <v>1083</v>
      </c>
      <c r="B5636" s="21" t="s">
        <v>1142</v>
      </c>
      <c r="C5636" s="21" t="s">
        <v>996</v>
      </c>
      <c r="D5636" s="21" t="s">
        <v>997</v>
      </c>
      <c r="E5636" s="22">
        <f>IF(D5636="?OLD","!!!","")</f>
        <v/>
      </c>
      <c r="F5636" s="23" t="str">
        <f>IF(OR(E5636="",E5636="!!!"),"",IF(NOT(ISNA(VLOOKUP(E5636,E$1:E5635,1,FALSE()))),"OLD",IF(AND(E5636&lt;&gt;"",E5636&lt;&gt;"!!!"),"NEW","")))</f>
        <v> </v>
      </c>
      <c r="G5636" s="24" t="str">
        <f>IF(OR(E5636="",E5636="!!!"),"",IF(OR(J5636=0,AND(J5636=1,K5636=1),AND(J5636=1,I5636="SBJ"),AND(J5636=1,I5636=0)),"?IN_FOCUS",IF(J5636&lt;=2,"?ACTIVATED",IF(J5636&lt;&gt;"","?FAMILIAR",IF(F5636="NEW",IF(ISNA(VLOOKUP(E5636,#REF!,1,FALSE())),"?TYPE_IDENTIFIABLE","?REFERENTIAL"),"_")))))</f>
        <v> </v>
      </c>
      <c r="H5636" s="25" t="str">
        <f>IF(J5636&lt;&gt;1,"",IF(I5636="SBJ","CB","?"))</f>
        <v> </v>
      </c>
      <c r="I5636" s="26" t="str">
        <f>IF(OR(E5636="",E5636="!!!",F5636="NEW"),"",INDEX(B5635:B$2,-1+SUMPRODUCT(MAX(ROW(E5635:E$2)*(E5636=E5635:E$2)))))</f>
        <v> </v>
      </c>
      <c r="J5636" s="26" t="str">
        <f>IF(OR(E5636="",E5636="!!!",F5636="NEW"),"",COUNTBLANK(OFFSET(A$1,,,SUMPRODUCT(MAX(ROW(E$2:E5636)*(E5636=E$2:E5636)))))-COUNTBLANK(OFFSET(A$1,,,SUMPRODUCT(MAX(ROW(E$1:E5635)*(E2=E$1:E5635))))))</f>
        <v> </v>
      </c>
      <c r="K5636" s="26" t="str">
        <f>IF(OR(E5636="",E5636="!!!",F5636="NEW"),"",INDEX(J$1:J5635,SUMPRODUCT(MAX(ROW(E$1:E5635)*(E5636=E$1:E5635)))))</f>
        <v> </v>
      </c>
      <c r="L5636" s="27"/>
    </row>
    <row r="5637" spans="1:12">
      <c r="A5637" s="20" t="s">
        <v>1095</v>
      </c>
      <c r="E5637" s="22">
        <f>IF(D5637="?OLD","!!!","")</f>
        <v/>
      </c>
      <c r="F5637" s="23" t="str">
        <f>IF(OR(E5637="",E5637="!!!"),"",IF(NOT(ISNA(VLOOKUP(E5637,E$1:E5636,1,FALSE()))),"OLD",IF(AND(E5637&lt;&gt;"",E5637&lt;&gt;"!!!"),"NEW","")))</f>
        <v> </v>
      </c>
      <c r="G5637" s="24" t="str">
        <f>IF(OR(E5637="",E5637="!!!"),"",IF(OR(J5637=0,AND(J5637=1,K5637=1),AND(J5637=1,I5637="SBJ"),AND(J5637=1,I5637=0)),"?IN_FOCUS",IF(J5637&lt;=2,"?ACTIVATED",IF(J5637&lt;&gt;"","?FAMILIAR",IF(F5637="NEW",IF(ISNA(VLOOKUP(E5637,#REF!,1,FALSE())),"?TYPE_IDENTIFIABLE","?REFERENTIAL"),"_")))))</f>
        <v> </v>
      </c>
      <c r="H5637" s="25" t="str">
        <f>IF(J5637&lt;&gt;1,"",IF(I5637="SBJ","CB","?"))</f>
        <v> </v>
      </c>
      <c r="I5637" s="26" t="str">
        <f>IF(OR(E5637="",E5637="!!!",F5637="NEW"),"",INDEX(B5636:B$2,-1+SUMPRODUCT(MAX(ROW(E5636:E$2)*(E5637=E5636:E$2)))))</f>
        <v> </v>
      </c>
      <c r="J5637" s="26" t="str">
        <f>IF(OR(E5637="",E5637="!!!",F5637="NEW"),"",COUNTBLANK(OFFSET(A$1,,,SUMPRODUCT(MAX(ROW(E$2:E5637)*(E5637=E$2:E5637)))))-COUNTBLANK(OFFSET(A$1,,,SUMPRODUCT(MAX(ROW(E$1:E5636)*(E2=E$1:E5636))))))</f>
        <v> </v>
      </c>
      <c r="K5637" s="26" t="str">
        <f>IF(OR(E5637="",E5637="!!!",F5637="NEW"),"",INDEX(J$1:J5636,SUMPRODUCT(MAX(ROW(E$1:E5636)*(E5637=E$1:E5636)))))</f>
        <v> </v>
      </c>
      <c r="L5637" s="27"/>
    </row>
    <row r="5638" spans="1:12">
      <c r="A5638" s="20" t="s">
        <v>1761</v>
      </c>
      <c r="E5638" s="22">
        <f>IF(D5638="?OLD","!!!","")</f>
        <v/>
      </c>
      <c r="F5638" s="23" t="str">
        <f>IF(OR(E5638="",E5638="!!!"),"",IF(NOT(ISNA(VLOOKUP(E5638,E$1:E5637,1,FALSE()))),"OLD",IF(AND(E5638&lt;&gt;"",E5638&lt;&gt;"!!!"),"NEW","")))</f>
        <v> </v>
      </c>
      <c r="G5638" s="24" t="str">
        <f>IF(OR(E5638="",E5638="!!!"),"",IF(OR(J5638=0,AND(J5638=1,K5638=1),AND(J5638=1,I5638="SBJ"),AND(J5638=1,I5638=0)),"?IN_FOCUS",IF(J5638&lt;=2,"?ACTIVATED",IF(J5638&lt;&gt;"","?FAMILIAR",IF(F5638="NEW",IF(ISNA(VLOOKUP(E5638,#REF!,1,FALSE())),"?TYPE_IDENTIFIABLE","?REFERENTIAL"),"_")))))</f>
        <v> </v>
      </c>
      <c r="H5638" s="25" t="str">
        <f>IF(J5638&lt;&gt;1,"",IF(I5638="SBJ","CB","?"))</f>
        <v> </v>
      </c>
      <c r="I5638" s="26" t="str">
        <f>IF(OR(E5638="",E5638="!!!",F5638="NEW"),"",INDEX(B5637:B$2,-1+SUMPRODUCT(MAX(ROW(E5637:E$2)*(E5638=E5637:E$2)))))</f>
        <v> </v>
      </c>
      <c r="J5638" s="26" t="str">
        <f>IF(OR(E5638="",E5638="!!!",F5638="NEW"),"",COUNTBLANK(OFFSET(A$1,,,SUMPRODUCT(MAX(ROW(E$2:E5638)*(E5638=E$2:E5638)))))-COUNTBLANK(OFFSET(A$1,,,SUMPRODUCT(MAX(ROW(E$1:E5637)*(E2=E$1:E5637))))))</f>
        <v> </v>
      </c>
      <c r="K5638" s="26" t="str">
        <f>IF(OR(E5638="",E5638="!!!",F5638="NEW"),"",INDEX(J$1:J5637,SUMPRODUCT(MAX(ROW(E$1:E5637)*(E5638=E$1:E5637)))))</f>
        <v> </v>
      </c>
      <c r="L5638" s="27"/>
    </row>
    <row r="5639" spans="1:12">
      <c r="A5639" s="20" t="s">
        <v>1168</v>
      </c>
      <c r="E5639" s="22">
        <f>IF(D5639="?OLD","!!!","")</f>
        <v/>
      </c>
      <c r="F5639" s="23" t="str">
        <f>IF(OR(E5639="",E5639="!!!"),"",IF(NOT(ISNA(VLOOKUP(E5639,E$1:E5638,1,FALSE()))),"OLD",IF(AND(E5639&lt;&gt;"",E5639&lt;&gt;"!!!"),"NEW","")))</f>
        <v> </v>
      </c>
      <c r="G5639" s="24" t="str">
        <f>IF(OR(E5639="",E5639="!!!"),"",IF(OR(J5639=0,AND(J5639=1,K5639=1),AND(J5639=1,I5639="SBJ"),AND(J5639=1,I5639=0)),"?IN_FOCUS",IF(J5639&lt;=2,"?ACTIVATED",IF(J5639&lt;&gt;"","?FAMILIAR",IF(F5639="NEW",IF(ISNA(VLOOKUP(E5639,#REF!,1,FALSE())),"?TYPE_IDENTIFIABLE","?REFERENTIAL"),"_")))))</f>
        <v> </v>
      </c>
      <c r="H5639" s="25" t="str">
        <f>IF(J5639&lt;&gt;1,"",IF(I5639="SBJ","CB","?"))</f>
        <v> </v>
      </c>
      <c r="I5639" s="26" t="str">
        <f>IF(OR(E5639="",E5639="!!!",F5639="NEW"),"",INDEX(B5638:B$2,-1+SUMPRODUCT(MAX(ROW(E5638:E$2)*(E5639=E5638:E$2)))))</f>
        <v> </v>
      </c>
      <c r="J5639" s="26" t="str">
        <f>IF(OR(E5639="",E5639="!!!",F5639="NEW"),"",COUNTBLANK(OFFSET(A$1,,,SUMPRODUCT(MAX(ROW(E$2:E5639)*(E5639=E$2:E5639)))))-COUNTBLANK(OFFSET(A$1,,,SUMPRODUCT(MAX(ROW(E$1:E5638)*(E2=E$1:E5638))))))</f>
        <v> </v>
      </c>
      <c r="K5639" s="26" t="str">
        <f>IF(OR(E5639="",E5639="!!!",F5639="NEW"),"",INDEX(J$1:J5638,SUMPRODUCT(MAX(ROW(E$1:E5638)*(E5639=E$1:E5638)))))</f>
        <v> </v>
      </c>
      <c r="L5639" s="27"/>
    </row>
    <row r="5640" spans="1:12">
      <c r="A5640" s="20" t="s">
        <v>1097</v>
      </c>
      <c r="E5640" s="22">
        <f>IF(D5640="?OLD","!!!","")</f>
        <v/>
      </c>
      <c r="F5640" s="23" t="str">
        <f>IF(OR(E5640="",E5640="!!!"),"",IF(NOT(ISNA(VLOOKUP(E5640,E$1:E5639,1,FALSE()))),"OLD",IF(AND(E5640&lt;&gt;"",E5640&lt;&gt;"!!!"),"NEW","")))</f>
        <v> </v>
      </c>
      <c r="G5640" s="24" t="str">
        <f>IF(OR(E5640="",E5640="!!!"),"",IF(OR(J5640=0,AND(J5640=1,K5640=1),AND(J5640=1,I5640="SBJ"),AND(J5640=1,I5640=0)),"?IN_FOCUS",IF(J5640&lt;=2,"?ACTIVATED",IF(J5640&lt;&gt;"","?FAMILIAR",IF(F5640="NEW",IF(ISNA(VLOOKUP(E5640,#REF!,1,FALSE())),"?TYPE_IDENTIFIABLE","?REFERENTIAL"),"_")))))</f>
        <v> </v>
      </c>
      <c r="H5640" s="25" t="str">
        <f>IF(J5640&lt;&gt;1,"",IF(I5640="SBJ","CB","?"))</f>
        <v> </v>
      </c>
      <c r="I5640" s="26" t="str">
        <f>IF(OR(E5640="",E5640="!!!",F5640="NEW"),"",INDEX(B5639:B$2,-1+SUMPRODUCT(MAX(ROW(E5639:E$2)*(E5640=E5639:E$2)))))</f>
        <v> </v>
      </c>
      <c r="J5640" s="26" t="str">
        <f>IF(OR(E5640="",E5640="!!!",F5640="NEW"),"",COUNTBLANK(OFFSET(A$1,,,SUMPRODUCT(MAX(ROW(E$2:E5640)*(E5640=E$2:E5640)))))-COUNTBLANK(OFFSET(A$1,,,SUMPRODUCT(MAX(ROW(E$1:E5639)*(E2=E$1:E5639))))))</f>
        <v> </v>
      </c>
      <c r="K5640" s="26" t="str">
        <f>IF(OR(E5640="",E5640="!!!",F5640="NEW"),"",INDEX(J$1:J5639,SUMPRODUCT(MAX(ROW(E$1:E5639)*(E5640=E$1:E5639)))))</f>
        <v> </v>
      </c>
      <c r="L5640" s="27"/>
    </row>
    <row r="5641" spans="1:12">
      <c r="A5641" s="20" t="s">
        <v>1762</v>
      </c>
      <c r="E5641" s="22">
        <f>IF(D5641="?OLD","!!!","")</f>
        <v/>
      </c>
      <c r="F5641" s="23" t="str">
        <f>IF(OR(E5641="",E5641="!!!"),"",IF(NOT(ISNA(VLOOKUP(E5641,E$1:E5640,1,FALSE()))),"OLD",IF(AND(E5641&lt;&gt;"",E5641&lt;&gt;"!!!"),"NEW","")))</f>
        <v> </v>
      </c>
      <c r="G5641" s="24" t="str">
        <f>IF(OR(E5641="",E5641="!!!"),"",IF(OR(J5641=0,AND(J5641=1,K5641=1),AND(J5641=1,I5641="SBJ"),AND(J5641=1,I5641=0)),"?IN_FOCUS",IF(J5641&lt;=2,"?ACTIVATED",IF(J5641&lt;&gt;"","?FAMILIAR",IF(F5641="NEW",IF(ISNA(VLOOKUP(E5641,#REF!,1,FALSE())),"?TYPE_IDENTIFIABLE","?REFERENTIAL"),"_")))))</f>
        <v> </v>
      </c>
      <c r="H5641" s="25" t="str">
        <f>IF(J5641&lt;&gt;1,"",IF(I5641="SBJ","CB","?"))</f>
        <v> </v>
      </c>
      <c r="I5641" s="26" t="str">
        <f>IF(OR(E5641="",E5641="!!!",F5641="NEW"),"",INDEX(B5640:B$2,-1+SUMPRODUCT(MAX(ROW(E5640:E$2)*(E5641=E5640:E$2)))))</f>
        <v> </v>
      </c>
      <c r="J5641" s="26" t="str">
        <f>IF(OR(E5641="",E5641="!!!",F5641="NEW"),"",COUNTBLANK(OFFSET(A$1,,,SUMPRODUCT(MAX(ROW(E$2:E5641)*(E5641=E$2:E5641)))))-COUNTBLANK(OFFSET(A$1,,,SUMPRODUCT(MAX(ROW(E$1:E5640)*(E2=E$1:E5640))))))</f>
        <v> </v>
      </c>
      <c r="K5641" s="26" t="str">
        <f>IF(OR(E5641="",E5641="!!!",F5641="NEW"),"",INDEX(J$1:J5640,SUMPRODUCT(MAX(ROW(E$1:E5640)*(E5641=E$1:E5640)))))</f>
        <v> </v>
      </c>
      <c r="L5641" s="27"/>
    </row>
    <row r="5642" spans="1:12">
      <c r="A5642" s="20" t="s">
        <v>1109</v>
      </c>
      <c r="E5642" s="22">
        <f>IF(D5642="?OLD","!!!","")</f>
        <v/>
      </c>
      <c r="F5642" s="23" t="str">
        <f>IF(OR(E5642="",E5642="!!!"),"",IF(NOT(ISNA(VLOOKUP(E5642,E$1:E5641,1,FALSE()))),"OLD",IF(AND(E5642&lt;&gt;"",E5642&lt;&gt;"!!!"),"NEW","")))</f>
        <v> </v>
      </c>
      <c r="G5642" s="24" t="str">
        <f>IF(OR(E5642="",E5642="!!!"),"",IF(OR(J5642=0,AND(J5642=1,K5642=1),AND(J5642=1,I5642="SBJ"),AND(J5642=1,I5642=0)),"?IN_FOCUS",IF(J5642&lt;=2,"?ACTIVATED",IF(J5642&lt;&gt;"","?FAMILIAR",IF(F5642="NEW",IF(ISNA(VLOOKUP(E5642,#REF!,1,FALSE())),"?TYPE_IDENTIFIABLE","?REFERENTIAL"),"_")))))</f>
        <v> </v>
      </c>
      <c r="H5642" s="25" t="str">
        <f>IF(J5642&lt;&gt;1,"",IF(I5642="SBJ","CB","?"))</f>
        <v> </v>
      </c>
      <c r="I5642" s="26" t="str">
        <f>IF(OR(E5642="",E5642="!!!",F5642="NEW"),"",INDEX(B5641:B$2,-1+SUMPRODUCT(MAX(ROW(E5641:E$2)*(E5642=E5641:E$2)))))</f>
        <v> </v>
      </c>
      <c r="J5642" s="26" t="str">
        <f>IF(OR(E5642="",E5642="!!!",F5642="NEW"),"",COUNTBLANK(OFFSET(A$1,,,SUMPRODUCT(MAX(ROW(E$2:E5642)*(E5642=E$2:E5642)))))-COUNTBLANK(OFFSET(A$1,,,SUMPRODUCT(MAX(ROW(E$1:E5641)*(E2=E$1:E5641))))))</f>
        <v> </v>
      </c>
      <c r="K5642" s="26" t="str">
        <f>IF(OR(E5642="",E5642="!!!",F5642="NEW"),"",INDEX(J$1:J5641,SUMPRODUCT(MAX(ROW(E$1:E5641)*(E5642=E$1:E5641)))))</f>
        <v> </v>
      </c>
      <c r="L5642" s="27"/>
    </row>
    <row r="5643" spans="1:12">
      <c r="A5643" s="20" t="s">
        <v>1202</v>
      </c>
      <c r="E5643" s="22">
        <f>IF(D5643="?OLD","!!!","")</f>
        <v/>
      </c>
      <c r="F5643" s="23" t="str">
        <f>IF(OR(E5643="",E5643="!!!"),"",IF(NOT(ISNA(VLOOKUP(E5643,E$1:E5642,1,FALSE()))),"OLD",IF(AND(E5643&lt;&gt;"",E5643&lt;&gt;"!!!"),"NEW","")))</f>
        <v> </v>
      </c>
      <c r="G5643" s="24" t="str">
        <f>IF(OR(E5643="",E5643="!!!"),"",IF(OR(J5643=0,AND(J5643=1,K5643=1),AND(J5643=1,I5643="SBJ"),AND(J5643=1,I5643=0)),"?IN_FOCUS",IF(J5643&lt;=2,"?ACTIVATED",IF(J5643&lt;&gt;"","?FAMILIAR",IF(F5643="NEW",IF(ISNA(VLOOKUP(E5643,#REF!,1,FALSE())),"?TYPE_IDENTIFIABLE","?REFERENTIAL"),"_")))))</f>
        <v> </v>
      </c>
      <c r="H5643" s="25" t="str">
        <f>IF(J5643&lt;&gt;1,"",IF(I5643="SBJ","CB","?"))</f>
        <v> </v>
      </c>
      <c r="I5643" s="26" t="str">
        <f>IF(OR(E5643="",E5643="!!!",F5643="NEW"),"",INDEX(B5642:B$2,-1+SUMPRODUCT(MAX(ROW(E5642:E$2)*(E5643=E5642:E$2)))))</f>
        <v> </v>
      </c>
      <c r="J5643" s="26" t="str">
        <f>IF(OR(E5643="",E5643="!!!",F5643="NEW"),"",COUNTBLANK(OFFSET(A$1,,,SUMPRODUCT(MAX(ROW(E$2:E5643)*(E5643=E$2:E5643)))))-COUNTBLANK(OFFSET(A$1,,,SUMPRODUCT(MAX(ROW(E$1:E5642)*(E2=E$1:E5642))))))</f>
        <v> </v>
      </c>
      <c r="K5643" s="26" t="str">
        <f>IF(OR(E5643="",E5643="!!!",F5643="NEW"),"",INDEX(J$1:J5642,SUMPRODUCT(MAX(ROW(E$1:E5642)*(E5643=E$1:E5642)))))</f>
        <v> </v>
      </c>
      <c r="L5643" s="27"/>
    </row>
    <row r="5644" spans="1:12">
      <c r="A5644" s="20" t="s">
        <v>2448</v>
      </c>
      <c r="B5644" s="21" t="s">
        <v>1010</v>
      </c>
      <c r="C5644" s="21" t="s">
        <v>1068</v>
      </c>
      <c r="D5644" s="21" t="s">
        <v>997</v>
      </c>
      <c r="E5644" s="22">
        <f>IF(D5644="?OLD","!!!","")</f>
        <v/>
      </c>
      <c r="F5644" s="23" t="str">
        <f>IF(OR(E5644="",E5644="!!!"),"",IF(NOT(ISNA(VLOOKUP(E5644,E$1:E5643,1,FALSE()))),"OLD",IF(AND(E5644&lt;&gt;"",E5644&lt;&gt;"!!!"),"NEW","")))</f>
        <v> </v>
      </c>
      <c r="G5644" s="24" t="str">
        <f>IF(OR(E5644="",E5644="!!!"),"",IF(OR(J5644=0,AND(J5644=1,K5644=1),AND(J5644=1,I5644="SBJ"),AND(J5644=1,I5644=0)),"?IN_FOCUS",IF(J5644&lt;=2,"?ACTIVATED",IF(J5644&lt;&gt;"","?FAMILIAR",IF(F5644="NEW",IF(ISNA(VLOOKUP(E5644,#REF!,1,FALSE())),"?TYPE_IDENTIFIABLE","?REFERENTIAL"),"_")))))</f>
        <v> </v>
      </c>
      <c r="H5644" s="25" t="str">
        <f>IF(J5644&lt;&gt;1,"",IF(I5644="SBJ","CB","?"))</f>
        <v> </v>
      </c>
      <c r="I5644" s="26" t="str">
        <f>IF(OR(E5644="",E5644="!!!",F5644="NEW"),"",INDEX(B5643:B$2,-1+SUMPRODUCT(MAX(ROW(E5643:E$2)*(E5644=E5643:E$2)))))</f>
        <v> </v>
      </c>
      <c r="J5644" s="26" t="str">
        <f>IF(OR(E5644="",E5644="!!!",F5644="NEW"),"",COUNTBLANK(OFFSET(A$1,,,SUMPRODUCT(MAX(ROW(E$2:E5644)*(E5644=E$2:E5644)))))-COUNTBLANK(OFFSET(A$1,,,SUMPRODUCT(MAX(ROW(E$1:E5643)*(E2=E$1:E5643))))))</f>
        <v> </v>
      </c>
      <c r="K5644" s="26" t="str">
        <f>IF(OR(E5644="",E5644="!!!",F5644="NEW"),"",INDEX(J$1:J5643,SUMPRODUCT(MAX(ROW(E$1:E5643)*(E5644=E$1:E5643)))))</f>
        <v> </v>
      </c>
      <c r="L5644" s="27"/>
    </row>
    <row r="5645" spans="1:12">
      <c r="A5645" s="20" t="s">
        <v>1041</v>
      </c>
      <c r="E5645" s="22">
        <f>IF(D5645="?OLD","!!!","")</f>
        <v/>
      </c>
      <c r="F5645" s="23" t="str">
        <f>IF(OR(E5645="",E5645="!!!"),"",IF(NOT(ISNA(VLOOKUP(E5645,E$1:E5644,1,FALSE()))),"OLD",IF(AND(E5645&lt;&gt;"",E5645&lt;&gt;"!!!"),"NEW","")))</f>
        <v> </v>
      </c>
      <c r="G5645" s="24" t="str">
        <f>IF(OR(E5645="",E5645="!!!"),"",IF(OR(J5645=0,AND(J5645=1,K5645=1),AND(J5645=1,I5645="SBJ"),AND(J5645=1,I5645=0)),"?IN_FOCUS",IF(J5645&lt;=2,"?ACTIVATED",IF(J5645&lt;&gt;"","?FAMILIAR",IF(F5645="NEW",IF(ISNA(VLOOKUP(E5645,#REF!,1,FALSE())),"?TYPE_IDENTIFIABLE","?REFERENTIAL"),"_")))))</f>
        <v> </v>
      </c>
      <c r="H5645" s="25" t="str">
        <f>IF(J5645&lt;&gt;1,"",IF(I5645="SBJ","CB","?"))</f>
        <v> </v>
      </c>
      <c r="I5645" s="26" t="str">
        <f>IF(OR(E5645="",E5645="!!!",F5645="NEW"),"",INDEX(B5644:B$2,-1+SUMPRODUCT(MAX(ROW(E5644:E$2)*(E5645=E5644:E$2)))))</f>
        <v> </v>
      </c>
      <c r="J5645" s="26" t="str">
        <f>IF(OR(E5645="",E5645="!!!",F5645="NEW"),"",COUNTBLANK(OFFSET(A$1,,,SUMPRODUCT(MAX(ROW(E$2:E5645)*(E5645=E$2:E5645)))))-COUNTBLANK(OFFSET(A$1,,,SUMPRODUCT(MAX(ROW(E$1:E5644)*(E2=E$1:E5644))))))</f>
        <v> </v>
      </c>
      <c r="K5645" s="26" t="str">
        <f>IF(OR(E5645="",E5645="!!!",F5645="NEW"),"",INDEX(J$1:J5644,SUMPRODUCT(MAX(ROW(E$1:E5644)*(E5645=E$1:E5644)))))</f>
        <v> </v>
      </c>
      <c r="L5645" s="27"/>
    </row>
    <row r="5646" spans="1:12">
      <c r="A5646" s="20" t="s">
        <v>2374</v>
      </c>
      <c r="E5646" s="22">
        <f>IF(D5646="?OLD","!!!","")</f>
        <v/>
      </c>
      <c r="F5646" s="23" t="str">
        <f>IF(OR(E5646="",E5646="!!!"),"",IF(NOT(ISNA(VLOOKUP(E5646,E$1:E5645,1,FALSE()))),"OLD",IF(AND(E5646&lt;&gt;"",E5646&lt;&gt;"!!!"),"NEW","")))</f>
        <v> </v>
      </c>
      <c r="G5646" s="24" t="str">
        <f>IF(OR(E5646="",E5646="!!!"),"",IF(OR(J5646=0,AND(J5646=1,K5646=1),AND(J5646=1,I5646="SBJ"),AND(J5646=1,I5646=0)),"?IN_FOCUS",IF(J5646&lt;=2,"?ACTIVATED",IF(J5646&lt;&gt;"","?FAMILIAR",IF(F5646="NEW",IF(ISNA(VLOOKUP(E5646,#REF!,1,FALSE())),"?TYPE_IDENTIFIABLE","?REFERENTIAL"),"_")))))</f>
        <v> </v>
      </c>
      <c r="H5646" s="25" t="str">
        <f>IF(J5646&lt;&gt;1,"",IF(I5646="SBJ","CB","?"))</f>
        <v> </v>
      </c>
      <c r="I5646" s="26" t="str">
        <f>IF(OR(E5646="",E5646="!!!",F5646="NEW"),"",INDEX(B5645:B$2,-1+SUMPRODUCT(MAX(ROW(E5645:E$2)*(E5646=E5645:E$2)))))</f>
        <v> </v>
      </c>
      <c r="J5646" s="26" t="str">
        <f>IF(OR(E5646="",E5646="!!!",F5646="NEW"),"",COUNTBLANK(OFFSET(A$1,,,SUMPRODUCT(MAX(ROW(E$2:E5646)*(E5646=E$2:E5646)))))-COUNTBLANK(OFFSET(A$1,,,SUMPRODUCT(MAX(ROW(E$1:E5645)*(E2=E$1:E5645))))))</f>
        <v> </v>
      </c>
      <c r="K5646" s="26" t="str">
        <f>IF(OR(E5646="",E5646="!!!",F5646="NEW"),"",INDEX(J$1:J5645,SUMPRODUCT(MAX(ROW(E$1:E5645)*(E5646=E$1:E5645)))))</f>
        <v> </v>
      </c>
      <c r="L5646" s="27"/>
    </row>
    <row r="5647" spans="1:12">
      <c r="A5647" s="20" t="s">
        <v>1815</v>
      </c>
      <c r="B5647" s="21" t="s">
        <v>1142</v>
      </c>
      <c r="C5647" s="21" t="s">
        <v>996</v>
      </c>
      <c r="D5647" s="21" t="s">
        <v>997</v>
      </c>
      <c r="E5647" s="22">
        <f>IF(D5647="?OLD","!!!","")</f>
        <v/>
      </c>
      <c r="F5647" s="23" t="str">
        <f>IF(OR(E5647="",E5647="!!!"),"",IF(NOT(ISNA(VLOOKUP(E5647,E$1:E5646,1,FALSE()))),"OLD",IF(AND(E5647&lt;&gt;"",E5647&lt;&gt;"!!!"),"NEW","")))</f>
        <v> </v>
      </c>
      <c r="G5647" s="24" t="str">
        <f>IF(OR(E5647="",E5647="!!!"),"",IF(OR(J5647=0,AND(J5647=1,K5647=1),AND(J5647=1,I5647="SBJ"),AND(J5647=1,I5647=0)),"?IN_FOCUS",IF(J5647&lt;=2,"?ACTIVATED",IF(J5647&lt;&gt;"","?FAMILIAR",IF(F5647="NEW",IF(ISNA(VLOOKUP(E5647,#REF!,1,FALSE())),"?TYPE_IDENTIFIABLE","?REFERENTIAL"),"_")))))</f>
        <v> </v>
      </c>
      <c r="H5647" s="25" t="str">
        <f>IF(J5647&lt;&gt;1,"",IF(I5647="SBJ","CB","?"))</f>
        <v> </v>
      </c>
      <c r="I5647" s="26" t="str">
        <f>IF(OR(E5647="",E5647="!!!",F5647="NEW"),"",INDEX(B5646:B$2,-1+SUMPRODUCT(MAX(ROW(E5646:E$2)*(E5647=E5646:E$2)))))</f>
        <v> </v>
      </c>
      <c r="J5647" s="26" t="str">
        <f>IF(OR(E5647="",E5647="!!!",F5647="NEW"),"",COUNTBLANK(OFFSET(A$1,,,SUMPRODUCT(MAX(ROW(E$2:E5647)*(E5647=E$2:E5647)))))-COUNTBLANK(OFFSET(A$1,,,SUMPRODUCT(MAX(ROW(E$1:E5646)*(E2=E$1:E5646))))))</f>
        <v> </v>
      </c>
      <c r="K5647" s="26" t="str">
        <f>IF(OR(E5647="",E5647="!!!",F5647="NEW"),"",INDEX(J$1:J5646,SUMPRODUCT(MAX(ROW(E$1:E5646)*(E5647=E$1:E5646)))))</f>
        <v> </v>
      </c>
      <c r="L5647" s="27"/>
    </row>
    <row r="5648" spans="1:12">
      <c r="A5648" s="20" t="s">
        <v>1404</v>
      </c>
      <c r="E5648" s="22">
        <f>IF(D5648="?OLD","!!!","")</f>
        <v/>
      </c>
      <c r="F5648" s="23" t="str">
        <f>IF(OR(E5648="",E5648="!!!"),"",IF(NOT(ISNA(VLOOKUP(E5648,E$1:E5647,1,FALSE()))),"OLD",IF(AND(E5648&lt;&gt;"",E5648&lt;&gt;"!!!"),"NEW","")))</f>
        <v> </v>
      </c>
      <c r="G5648" s="24" t="str">
        <f>IF(OR(E5648="",E5648="!!!"),"",IF(OR(J5648=0,AND(J5648=1,K5648=1),AND(J5648=1,I5648="SBJ"),AND(J5648=1,I5648=0)),"?IN_FOCUS",IF(J5648&lt;=2,"?ACTIVATED",IF(J5648&lt;&gt;"","?FAMILIAR",IF(F5648="NEW",IF(ISNA(VLOOKUP(E5648,#REF!,1,FALSE())),"?TYPE_IDENTIFIABLE","?REFERENTIAL"),"_")))))</f>
        <v> </v>
      </c>
      <c r="H5648" s="25" t="str">
        <f>IF(J5648&lt;&gt;1,"",IF(I5648="SBJ","CB","?"))</f>
        <v> </v>
      </c>
      <c r="I5648" s="26" t="str">
        <f>IF(OR(E5648="",E5648="!!!",F5648="NEW"),"",INDEX(B5647:B$2,-1+SUMPRODUCT(MAX(ROW(E5647:E$2)*(E5648=E5647:E$2)))))</f>
        <v> </v>
      </c>
      <c r="J5648" s="26" t="str">
        <f>IF(OR(E5648="",E5648="!!!",F5648="NEW"),"",COUNTBLANK(OFFSET(A$1,,,SUMPRODUCT(MAX(ROW(E$2:E5648)*(E5648=E$2:E5648)))))-COUNTBLANK(OFFSET(A$1,,,SUMPRODUCT(MAX(ROW(E$1:E5647)*(E2=E$1:E5647))))))</f>
        <v> </v>
      </c>
      <c r="K5648" s="26" t="str">
        <f>IF(OR(E5648="",E5648="!!!",F5648="NEW"),"",INDEX(J$1:J5647,SUMPRODUCT(MAX(ROW(E$1:E5647)*(E5648=E$1:E5647)))))</f>
        <v> </v>
      </c>
      <c r="L5648" s="27"/>
    </row>
    <row r="5649" spans="1:12">
      <c r="A5649" s="20" t="s">
        <v>1044</v>
      </c>
      <c r="B5649" s="21" t="s">
        <v>1039</v>
      </c>
      <c r="C5649" s="21" t="s">
        <v>996</v>
      </c>
      <c r="D5649" s="21" t="s">
        <v>997</v>
      </c>
      <c r="E5649" s="22">
        <f>IF(D5649="?OLD","!!!","")</f>
        <v/>
      </c>
      <c r="F5649" s="23" t="str">
        <f>IF(OR(E5649="",E5649="!!!"),"",IF(NOT(ISNA(VLOOKUP(E5649,E$1:E5648,1,FALSE()))),"OLD",IF(AND(E5649&lt;&gt;"",E5649&lt;&gt;"!!!"),"NEW","")))</f>
        <v> </v>
      </c>
      <c r="G5649" s="24" t="str">
        <f>IF(OR(E5649="",E5649="!!!"),"",IF(OR(J5649=0,AND(J5649=1,K5649=1),AND(J5649=1,I5649="SBJ"),AND(J5649=1,I5649=0)),"?IN_FOCUS",IF(J5649&lt;=2,"?ACTIVATED",IF(J5649&lt;&gt;"","?FAMILIAR",IF(F5649="NEW",IF(ISNA(VLOOKUP(E5649,#REF!,1,FALSE())),"?TYPE_IDENTIFIABLE","?REFERENTIAL"),"_")))))</f>
        <v> </v>
      </c>
      <c r="H5649" s="25" t="str">
        <f>IF(J5649&lt;&gt;1,"",IF(I5649="SBJ","CB","?"))</f>
        <v> </v>
      </c>
      <c r="I5649" s="26" t="str">
        <f>IF(OR(E5649="",E5649="!!!",F5649="NEW"),"",INDEX(B5648:B$2,-1+SUMPRODUCT(MAX(ROW(E5648:E$2)*(E5649=E5648:E$2)))))</f>
        <v> </v>
      </c>
      <c r="J5649" s="26" t="str">
        <f>IF(OR(E5649="",E5649="!!!",F5649="NEW"),"",COUNTBLANK(OFFSET(A$1,,,SUMPRODUCT(MAX(ROW(E$2:E5649)*(E5649=E$2:E5649)))))-COUNTBLANK(OFFSET(A$1,,,SUMPRODUCT(MAX(ROW(E$1:E5648)*(E2=E$1:E5648))))))</f>
        <v> </v>
      </c>
      <c r="K5649" s="26" t="str">
        <f>IF(OR(E5649="",E5649="!!!",F5649="NEW"),"",INDEX(J$1:J5648,SUMPRODUCT(MAX(ROW(E$1:E5648)*(E5649=E$1:E5648)))))</f>
        <v> </v>
      </c>
      <c r="L5649" s="27"/>
    </row>
    <row r="5650" spans="1:12">
      <c r="A5650" s="20" t="s">
        <v>1692</v>
      </c>
      <c r="E5650" s="22">
        <f>IF(D5650="?OLD","!!!","")</f>
        <v/>
      </c>
      <c r="F5650" s="23" t="str">
        <f>IF(OR(E5650="",E5650="!!!"),"",IF(NOT(ISNA(VLOOKUP(E5650,E$1:E5649,1,FALSE()))),"OLD",IF(AND(E5650&lt;&gt;"",E5650&lt;&gt;"!!!"),"NEW","")))</f>
        <v> </v>
      </c>
      <c r="G5650" s="24" t="str">
        <f>IF(OR(E5650="",E5650="!!!"),"",IF(OR(J5650=0,AND(J5650=1,K5650=1),AND(J5650=1,I5650="SBJ"),AND(J5650=1,I5650=0)),"?IN_FOCUS",IF(J5650&lt;=2,"?ACTIVATED",IF(J5650&lt;&gt;"","?FAMILIAR",IF(F5650="NEW",IF(ISNA(VLOOKUP(E5650,#REF!,1,FALSE())),"?TYPE_IDENTIFIABLE","?REFERENTIAL"),"_")))))</f>
        <v> </v>
      </c>
      <c r="H5650" s="25" t="str">
        <f>IF(J5650&lt;&gt;1,"",IF(I5650="SBJ","CB","?"))</f>
        <v> </v>
      </c>
      <c r="I5650" s="26" t="str">
        <f>IF(OR(E5650="",E5650="!!!",F5650="NEW"),"",INDEX(B5649:B$2,-1+SUMPRODUCT(MAX(ROW(E5649:E$2)*(E5650=E5649:E$2)))))</f>
        <v> </v>
      </c>
      <c r="J5650" s="26" t="str">
        <f>IF(OR(E5650="",E5650="!!!",F5650="NEW"),"",COUNTBLANK(OFFSET(A$1,,,SUMPRODUCT(MAX(ROW(E$2:E5650)*(E5650=E$2:E5650)))))-COUNTBLANK(OFFSET(A$1,,,SUMPRODUCT(MAX(ROW(E$1:E5649)*(E2=E$1:E5649))))))</f>
        <v> </v>
      </c>
      <c r="K5650" s="26" t="str">
        <f>IF(OR(E5650="",E5650="!!!",F5650="NEW"),"",INDEX(J$1:J5649,SUMPRODUCT(MAX(ROW(E$1:E5649)*(E5650=E$1:E5649)))))</f>
        <v> </v>
      </c>
      <c r="L5650" s="27"/>
    </row>
    <row r="5651" spans="1:12">
      <c r="A5651" s="20" t="s">
        <v>2449</v>
      </c>
      <c r="E5651" s="22">
        <f>IF(D5651="?OLD","!!!","")</f>
        <v/>
      </c>
      <c r="F5651" s="23" t="str">
        <f>IF(OR(E5651="",E5651="!!!"),"",IF(NOT(ISNA(VLOOKUP(E5651,E$1:E5650,1,FALSE()))),"OLD",IF(AND(E5651&lt;&gt;"",E5651&lt;&gt;"!!!"),"NEW","")))</f>
        <v> </v>
      </c>
      <c r="G5651" s="24" t="str">
        <f>IF(OR(E5651="",E5651="!!!"),"",IF(OR(J5651=0,AND(J5651=1,K5651=1),AND(J5651=1,I5651="SBJ"),AND(J5651=1,I5651=0)),"?IN_FOCUS",IF(J5651&lt;=2,"?ACTIVATED",IF(J5651&lt;&gt;"","?FAMILIAR",IF(F5651="NEW",IF(ISNA(VLOOKUP(E5651,#REF!,1,FALSE())),"?TYPE_IDENTIFIABLE","?REFERENTIAL"),"_")))))</f>
        <v> </v>
      </c>
      <c r="H5651" s="25" t="str">
        <f>IF(J5651&lt;&gt;1,"",IF(I5651="SBJ","CB","?"))</f>
        <v> </v>
      </c>
      <c r="I5651" s="26" t="str">
        <f>IF(OR(E5651="",E5651="!!!",F5651="NEW"),"",INDEX(B5650:B$2,-1+SUMPRODUCT(MAX(ROW(E5650:E$2)*(E5651=E5650:E$2)))))</f>
        <v> </v>
      </c>
      <c r="J5651" s="26" t="str">
        <f>IF(OR(E5651="",E5651="!!!",F5651="NEW"),"",COUNTBLANK(OFFSET(A$1,,,SUMPRODUCT(MAX(ROW(E$2:E5651)*(E5651=E$2:E5651)))))-COUNTBLANK(OFFSET(A$1,,,SUMPRODUCT(MAX(ROW(E$1:E5650)*(E2=E$1:E5650))))))</f>
        <v> </v>
      </c>
      <c r="K5651" s="26" t="str">
        <f>IF(OR(E5651="",E5651="!!!",F5651="NEW"),"",INDEX(J$1:J5650,SUMPRODUCT(MAX(ROW(E$1:E5650)*(E5651=E$1:E5650)))))</f>
        <v> </v>
      </c>
      <c r="L5651" s="27"/>
    </row>
    <row r="5652" spans="1:12">
      <c r="A5652" s="20" t="s">
        <v>1041</v>
      </c>
      <c r="E5652" s="22">
        <f>IF(D5652="?OLD","!!!","")</f>
        <v/>
      </c>
      <c r="F5652" s="23" t="str">
        <f>IF(OR(E5652="",E5652="!!!"),"",IF(NOT(ISNA(VLOOKUP(E5652,E$1:E5651,1,FALSE()))),"OLD",IF(AND(E5652&lt;&gt;"",E5652&lt;&gt;"!!!"),"NEW","")))</f>
        <v> </v>
      </c>
      <c r="G5652" s="24" t="str">
        <f>IF(OR(E5652="",E5652="!!!"),"",IF(OR(J5652=0,AND(J5652=1,K5652=1),AND(J5652=1,I5652="SBJ"),AND(J5652=1,I5652=0)),"?IN_FOCUS",IF(J5652&lt;=2,"?ACTIVATED",IF(J5652&lt;&gt;"","?FAMILIAR",IF(F5652="NEW",IF(ISNA(VLOOKUP(E5652,#REF!,1,FALSE())),"?TYPE_IDENTIFIABLE","?REFERENTIAL"),"_")))))</f>
        <v> </v>
      </c>
      <c r="H5652" s="25" t="str">
        <f>IF(J5652&lt;&gt;1,"",IF(I5652="SBJ","CB","?"))</f>
        <v> </v>
      </c>
      <c r="I5652" s="26" t="str">
        <f>IF(OR(E5652="",E5652="!!!",F5652="NEW"),"",INDEX(B5651:B$2,-1+SUMPRODUCT(MAX(ROW(E5651:E$2)*(E5652=E5651:E$2)))))</f>
        <v> </v>
      </c>
      <c r="J5652" s="26" t="str">
        <f>IF(OR(E5652="",E5652="!!!",F5652="NEW"),"",COUNTBLANK(OFFSET(A$1,,,SUMPRODUCT(MAX(ROW(E$2:E5652)*(E5652=E$2:E5652)))))-COUNTBLANK(OFFSET(A$1,,,SUMPRODUCT(MAX(ROW(E$1:E5651)*(E2=E$1:E5651))))))</f>
        <v> </v>
      </c>
      <c r="K5652" s="26" t="str">
        <f>IF(OR(E5652="",E5652="!!!",F5652="NEW"),"",INDEX(J$1:J5651,SUMPRODUCT(MAX(ROW(E$1:E5651)*(E5652=E$1:E5651)))))</f>
        <v> </v>
      </c>
      <c r="L5652" s="27"/>
    </row>
    <row r="5653" spans="1:12">
      <c r="A5653" s="20" t="s">
        <v>1487</v>
      </c>
      <c r="E5653" s="22">
        <f>IF(D5653="?OLD","!!!","")</f>
        <v/>
      </c>
      <c r="F5653" s="23" t="str">
        <f>IF(OR(E5653="",E5653="!!!"),"",IF(NOT(ISNA(VLOOKUP(E5653,E$1:E5652,1,FALSE()))),"OLD",IF(AND(E5653&lt;&gt;"",E5653&lt;&gt;"!!!"),"NEW","")))</f>
        <v> </v>
      </c>
      <c r="G5653" s="24" t="str">
        <f>IF(OR(E5653="",E5653="!!!"),"",IF(OR(J5653=0,AND(J5653=1,K5653=1),AND(J5653=1,I5653="SBJ"),AND(J5653=1,I5653=0)),"?IN_FOCUS",IF(J5653&lt;=2,"?ACTIVATED",IF(J5653&lt;&gt;"","?FAMILIAR",IF(F5653="NEW",IF(ISNA(VLOOKUP(E5653,#REF!,1,FALSE())),"?TYPE_IDENTIFIABLE","?REFERENTIAL"),"_")))))</f>
        <v> </v>
      </c>
      <c r="H5653" s="25" t="str">
        <f>IF(J5653&lt;&gt;1,"",IF(I5653="SBJ","CB","?"))</f>
        <v> </v>
      </c>
      <c r="I5653" s="26" t="str">
        <f>IF(OR(E5653="",E5653="!!!",F5653="NEW"),"",INDEX(B5652:B$2,-1+SUMPRODUCT(MAX(ROW(E5652:E$2)*(E5653=E5652:E$2)))))</f>
        <v> </v>
      </c>
      <c r="J5653" s="26" t="str">
        <f>IF(OR(E5653="",E5653="!!!",F5653="NEW"),"",COUNTBLANK(OFFSET(A$1,,,SUMPRODUCT(MAX(ROW(E$2:E5653)*(E5653=E$2:E5653)))))-COUNTBLANK(OFFSET(A$1,,,SUMPRODUCT(MAX(ROW(E$1:E5652)*(E2=E$1:E5652))))))</f>
        <v> </v>
      </c>
      <c r="K5653" s="26" t="str">
        <f>IF(OR(E5653="",E5653="!!!",F5653="NEW"),"",INDEX(J$1:J5652,SUMPRODUCT(MAX(ROW(E$1:E5652)*(E5653=E$1:E5652)))))</f>
        <v> </v>
      </c>
      <c r="L5653" s="27"/>
    </row>
    <row r="5654" spans="1:12">
      <c r="A5654" s="20" t="s">
        <v>1141</v>
      </c>
      <c r="E5654" s="22">
        <f>IF(D5654="?OLD","!!!","")</f>
        <v/>
      </c>
      <c r="F5654" s="23" t="str">
        <f>IF(OR(E5654="",E5654="!!!"),"",IF(NOT(ISNA(VLOOKUP(E5654,E$1:E5653,1,FALSE()))),"OLD",IF(AND(E5654&lt;&gt;"",E5654&lt;&gt;"!!!"),"NEW","")))</f>
        <v> </v>
      </c>
      <c r="G5654" s="24" t="str">
        <f>IF(OR(E5654="",E5654="!!!"),"",IF(OR(J5654=0,AND(J5654=1,K5654=1),AND(J5654=1,I5654="SBJ"),AND(J5654=1,I5654=0)),"?IN_FOCUS",IF(J5654&lt;=2,"?ACTIVATED",IF(J5654&lt;&gt;"","?FAMILIAR",IF(F5654="NEW",IF(ISNA(VLOOKUP(E5654,#REF!,1,FALSE())),"?TYPE_IDENTIFIABLE","?REFERENTIAL"),"_")))))</f>
        <v> </v>
      </c>
      <c r="H5654" s="25" t="str">
        <f>IF(J5654&lt;&gt;1,"",IF(I5654="SBJ","CB","?"))</f>
        <v> </v>
      </c>
      <c r="I5654" s="26" t="str">
        <f>IF(OR(E5654="",E5654="!!!",F5654="NEW"),"",INDEX(B5653:B$2,-1+SUMPRODUCT(MAX(ROW(E5653:E$2)*(E5654=E5653:E$2)))))</f>
        <v> </v>
      </c>
      <c r="J5654" s="26" t="str">
        <f>IF(OR(E5654="",E5654="!!!",F5654="NEW"),"",COUNTBLANK(OFFSET(A$1,,,SUMPRODUCT(MAX(ROW(E$2:E5654)*(E5654=E$2:E5654)))))-COUNTBLANK(OFFSET(A$1,,,SUMPRODUCT(MAX(ROW(E$1:E5653)*(E2=E$1:E5653))))))</f>
        <v> </v>
      </c>
      <c r="K5654" s="26" t="str">
        <f>IF(OR(E5654="",E5654="!!!",F5654="NEW"),"",INDEX(J$1:J5653,SUMPRODUCT(MAX(ROW(E$1:E5653)*(E5654=E$1:E5653)))))</f>
        <v> </v>
      </c>
      <c r="L5654" s="27"/>
    </row>
    <row r="5655" spans="1:12">
      <c r="A5655" s="20" t="s">
        <v>1000</v>
      </c>
      <c r="B5655" s="21" t="s">
        <v>1114</v>
      </c>
      <c r="C5655" s="21" t="s">
        <v>996</v>
      </c>
      <c r="D5655" s="21" t="s">
        <v>997</v>
      </c>
      <c r="E5655" s="22">
        <f>IF(D5655="?OLD","!!!","")</f>
        <v/>
      </c>
      <c r="F5655" s="23" t="str">
        <f>IF(OR(E5655="",E5655="!!!"),"",IF(NOT(ISNA(VLOOKUP(E5655,E$1:E5654,1,FALSE()))),"OLD",IF(AND(E5655&lt;&gt;"",E5655&lt;&gt;"!!!"),"NEW","")))</f>
        <v> </v>
      </c>
      <c r="G5655" s="24" t="str">
        <f>IF(OR(E5655="",E5655="!!!"),"",IF(OR(J5655=0,AND(J5655=1,K5655=1),AND(J5655=1,I5655="SBJ"),AND(J5655=1,I5655=0)),"?IN_FOCUS",IF(J5655&lt;=2,"?ACTIVATED",IF(J5655&lt;&gt;"","?FAMILIAR",IF(F5655="NEW",IF(ISNA(VLOOKUP(E5655,#REF!,1,FALSE())),"?TYPE_IDENTIFIABLE","?REFERENTIAL"),"_")))))</f>
        <v> </v>
      </c>
      <c r="H5655" s="25" t="str">
        <f>IF(J5655&lt;&gt;1,"",IF(I5655="SBJ","CB","?"))</f>
        <v> </v>
      </c>
      <c r="I5655" s="26" t="str">
        <f>IF(OR(E5655="",E5655="!!!",F5655="NEW"),"",INDEX(B5654:B$2,-1+SUMPRODUCT(MAX(ROW(E5654:E$2)*(E5655=E5654:E$2)))))</f>
        <v> </v>
      </c>
      <c r="J5655" s="26" t="str">
        <f>IF(OR(E5655="",E5655="!!!",F5655="NEW"),"",COUNTBLANK(OFFSET(A$1,,,SUMPRODUCT(MAX(ROW(E$2:E5655)*(E5655=E$2:E5655)))))-COUNTBLANK(OFFSET(A$1,,,SUMPRODUCT(MAX(ROW(E$1:E5654)*(E2=E$1:E5654))))))</f>
        <v> </v>
      </c>
      <c r="K5655" s="26" t="str">
        <f>IF(OR(E5655="",E5655="!!!",F5655="NEW"),"",INDEX(J$1:J5654,SUMPRODUCT(MAX(ROW(E$1:E5654)*(E5655=E$1:E5654)))))</f>
        <v> </v>
      </c>
      <c r="L5655" s="27"/>
    </row>
    <row r="5656" spans="1:12">
      <c r="A5656" s="20" t="s">
        <v>2450</v>
      </c>
      <c r="E5656" s="22">
        <f>IF(D5656="?OLD","!!!","")</f>
        <v/>
      </c>
      <c r="F5656" s="23" t="str">
        <f>IF(OR(E5656="",E5656="!!!"),"",IF(NOT(ISNA(VLOOKUP(E5656,E$1:E5655,1,FALSE()))),"OLD",IF(AND(E5656&lt;&gt;"",E5656&lt;&gt;"!!!"),"NEW","")))</f>
        <v> </v>
      </c>
      <c r="G5656" s="24" t="str">
        <f>IF(OR(E5656="",E5656="!!!"),"",IF(OR(J5656=0,AND(J5656=1,K5656=1),AND(J5656=1,I5656="SBJ"),AND(J5656=1,I5656=0)),"?IN_FOCUS",IF(J5656&lt;=2,"?ACTIVATED",IF(J5656&lt;&gt;"","?FAMILIAR",IF(F5656="NEW",IF(ISNA(VLOOKUP(E5656,#REF!,1,FALSE())),"?TYPE_IDENTIFIABLE","?REFERENTIAL"),"_")))))</f>
        <v> </v>
      </c>
      <c r="H5656" s="25" t="str">
        <f>IF(J5656&lt;&gt;1,"",IF(I5656="SBJ","CB","?"))</f>
        <v> </v>
      </c>
      <c r="I5656" s="26" t="str">
        <f>IF(OR(E5656="",E5656="!!!",F5656="NEW"),"",INDEX(B5655:B$2,-1+SUMPRODUCT(MAX(ROW(E5655:E$2)*(E5656=E5655:E$2)))))</f>
        <v> </v>
      </c>
      <c r="J5656" s="26" t="str">
        <f>IF(OR(E5656="",E5656="!!!",F5656="NEW"),"",COUNTBLANK(OFFSET(A$1,,,SUMPRODUCT(MAX(ROW(E$2:E5656)*(E5656=E$2:E5656)))))-COUNTBLANK(OFFSET(A$1,,,SUMPRODUCT(MAX(ROW(E$1:E5655)*(E2=E$1:E5655))))))</f>
        <v> </v>
      </c>
      <c r="K5656" s="26" t="str">
        <f>IF(OR(E5656="",E5656="!!!",F5656="NEW"),"",INDEX(J$1:J5655,SUMPRODUCT(MAX(ROW(E$1:E5655)*(E5656=E$1:E5655)))))</f>
        <v> </v>
      </c>
      <c r="L5656" s="27"/>
    </row>
    <row r="5657" spans="1:12">
      <c r="A5657" s="20" t="s">
        <v>1029</v>
      </c>
      <c r="E5657" s="22">
        <f>IF(D5657="?OLD","!!!","")</f>
        <v/>
      </c>
      <c r="F5657" s="23" t="str">
        <f>IF(OR(E5657="",E5657="!!!"),"",IF(NOT(ISNA(VLOOKUP(E5657,E$1:E5656,1,FALSE()))),"OLD",IF(AND(E5657&lt;&gt;"",E5657&lt;&gt;"!!!"),"NEW","")))</f>
        <v> </v>
      </c>
      <c r="G5657" s="24" t="str">
        <f>IF(OR(E5657="",E5657="!!!"),"",IF(OR(J5657=0,AND(J5657=1,K5657=1),AND(J5657=1,I5657="SBJ"),AND(J5657=1,I5657=0)),"?IN_FOCUS",IF(J5657&lt;=2,"?ACTIVATED",IF(J5657&lt;&gt;"","?FAMILIAR",IF(F5657="NEW",IF(ISNA(VLOOKUP(E5657,#REF!,1,FALSE())),"?TYPE_IDENTIFIABLE","?REFERENTIAL"),"_")))))</f>
        <v> </v>
      </c>
      <c r="H5657" s="25" t="str">
        <f>IF(J5657&lt;&gt;1,"",IF(I5657="SBJ","CB","?"))</f>
        <v> </v>
      </c>
      <c r="I5657" s="26" t="str">
        <f>IF(OR(E5657="",E5657="!!!",F5657="NEW"),"",INDEX(B5656:B$2,-1+SUMPRODUCT(MAX(ROW(E5656:E$2)*(E5657=E5656:E$2)))))</f>
        <v> </v>
      </c>
      <c r="J5657" s="26" t="str">
        <f>IF(OR(E5657="",E5657="!!!",F5657="NEW"),"",COUNTBLANK(OFFSET(A$1,,,SUMPRODUCT(MAX(ROW(E$2:E5657)*(E5657=E$2:E5657)))))-COUNTBLANK(OFFSET(A$1,,,SUMPRODUCT(MAX(ROW(E$1:E5656)*(E2=E$1:E5656))))))</f>
        <v> </v>
      </c>
      <c r="K5657" s="26" t="str">
        <f>IF(OR(E5657="",E5657="!!!",F5657="NEW"),"",INDEX(J$1:J5656,SUMPRODUCT(MAX(ROW(E$1:E5656)*(E5657=E$1:E5656)))))</f>
        <v> </v>
      </c>
      <c r="L5657" s="27"/>
    </row>
    <row r="5658" spans="1:12">
      <c r="A5658" s="20" t="s">
        <v>2451</v>
      </c>
      <c r="E5658" s="22">
        <f>IF(D5658="?OLD","!!!","")</f>
        <v/>
      </c>
      <c r="F5658" s="23" t="str">
        <f>IF(OR(E5658="",E5658="!!!"),"",IF(NOT(ISNA(VLOOKUP(E5658,E$1:E5657,1,FALSE()))),"OLD",IF(AND(E5658&lt;&gt;"",E5658&lt;&gt;"!!!"),"NEW","")))</f>
        <v> </v>
      </c>
      <c r="G5658" s="24" t="str">
        <f>IF(OR(E5658="",E5658="!!!"),"",IF(OR(J5658=0,AND(J5658=1,K5658=1),AND(J5658=1,I5658="SBJ"),AND(J5658=1,I5658=0)),"?IN_FOCUS",IF(J5658&lt;=2,"?ACTIVATED",IF(J5658&lt;&gt;"","?FAMILIAR",IF(F5658="NEW",IF(ISNA(VLOOKUP(E5658,#REF!,1,FALSE())),"?TYPE_IDENTIFIABLE","?REFERENTIAL"),"_")))))</f>
        <v> </v>
      </c>
      <c r="H5658" s="25" t="str">
        <f>IF(J5658&lt;&gt;1,"",IF(I5658="SBJ","CB","?"))</f>
        <v> </v>
      </c>
      <c r="I5658" s="26" t="str">
        <f>IF(OR(E5658="",E5658="!!!",F5658="NEW"),"",INDEX(B5657:B$2,-1+SUMPRODUCT(MAX(ROW(E5657:E$2)*(E5658=E5657:E$2)))))</f>
        <v> </v>
      </c>
      <c r="J5658" s="26" t="str">
        <f>IF(OR(E5658="",E5658="!!!",F5658="NEW"),"",COUNTBLANK(OFFSET(A$1,,,SUMPRODUCT(MAX(ROW(E$2:E5658)*(E5658=E$2:E5658)))))-COUNTBLANK(OFFSET(A$1,,,SUMPRODUCT(MAX(ROW(E$1:E5657)*(E2=E$1:E5657))))))</f>
        <v> </v>
      </c>
      <c r="K5658" s="26" t="str">
        <f>IF(OR(E5658="",E5658="!!!",F5658="NEW"),"",INDEX(J$1:J5657,SUMPRODUCT(MAX(ROW(E$1:E5657)*(E5658=E$1:E5657)))))</f>
        <v> </v>
      </c>
      <c r="L5658" s="27"/>
    </row>
    <row r="5659" spans="1:12">
      <c r="A5659" s="20" t="s">
        <v>1021</v>
      </c>
      <c r="E5659" s="22">
        <f>IF(D5659="?OLD","!!!","")</f>
        <v/>
      </c>
      <c r="F5659" s="23" t="str">
        <f>IF(OR(E5659="",E5659="!!!"),"",IF(NOT(ISNA(VLOOKUP(E5659,E$1:E5658,1,FALSE()))),"OLD",IF(AND(E5659&lt;&gt;"",E5659&lt;&gt;"!!!"),"NEW","")))</f>
        <v> </v>
      </c>
      <c r="G5659" s="24" t="str">
        <f>IF(OR(E5659="",E5659="!!!"),"",IF(OR(J5659=0,AND(J5659=1,K5659=1),AND(J5659=1,I5659="SBJ"),AND(J5659=1,I5659=0)),"?IN_FOCUS",IF(J5659&lt;=2,"?ACTIVATED",IF(J5659&lt;&gt;"","?FAMILIAR",IF(F5659="NEW",IF(ISNA(VLOOKUP(E5659,#REF!,1,FALSE())),"?TYPE_IDENTIFIABLE","?REFERENTIAL"),"_")))))</f>
        <v> </v>
      </c>
      <c r="H5659" s="25" t="str">
        <f>IF(J5659&lt;&gt;1,"",IF(I5659="SBJ","CB","?"))</f>
        <v> </v>
      </c>
      <c r="I5659" s="26" t="str">
        <f>IF(OR(E5659="",E5659="!!!",F5659="NEW"),"",INDEX(B5658:B$2,-1+SUMPRODUCT(MAX(ROW(E5658:E$2)*(E5659=E5658:E$2)))))</f>
        <v> </v>
      </c>
      <c r="J5659" s="26" t="str">
        <f>IF(OR(E5659="",E5659="!!!",F5659="NEW"),"",COUNTBLANK(OFFSET(A$1,,,SUMPRODUCT(MAX(ROW(E$2:E5659)*(E5659=E$2:E5659)))))-COUNTBLANK(OFFSET(A$1,,,SUMPRODUCT(MAX(ROW(E$1:E5658)*(E2=E$1:E5658))))))</f>
        <v> </v>
      </c>
      <c r="K5659" s="26" t="str">
        <f>IF(OR(E5659="",E5659="!!!",F5659="NEW"),"",INDEX(J$1:J5658,SUMPRODUCT(MAX(ROW(E$1:E5658)*(E5659=E$1:E5658)))))</f>
        <v> </v>
      </c>
      <c r="L5659" s="27"/>
    </row>
    <row r="5660" spans="1:12">
      <c r="A5660" s="20" t="s">
        <v>1022</v>
      </c>
      <c r="E5660" s="22">
        <f>IF(D5660="?OLD","!!!","")</f>
        <v/>
      </c>
      <c r="F5660" s="23" t="str">
        <f>IF(OR(E5660="",E5660="!!!"),"",IF(NOT(ISNA(VLOOKUP(E5660,E$1:E5659,1,FALSE()))),"OLD",IF(AND(E5660&lt;&gt;"",E5660&lt;&gt;"!!!"),"NEW","")))</f>
        <v> </v>
      </c>
      <c r="G5660" s="24" t="str">
        <f>IF(OR(E5660="",E5660="!!!"),"",IF(OR(J5660=0,AND(J5660=1,K5660=1),AND(J5660=1,I5660="SBJ"),AND(J5660=1,I5660=0)),"?IN_FOCUS",IF(J5660&lt;=2,"?ACTIVATED",IF(J5660&lt;&gt;"","?FAMILIAR",IF(F5660="NEW",IF(ISNA(VLOOKUP(E5660,#REF!,1,FALSE())),"?TYPE_IDENTIFIABLE","?REFERENTIAL"),"_")))))</f>
        <v> </v>
      </c>
      <c r="H5660" s="25" t="str">
        <f>IF(J5660&lt;&gt;1,"",IF(I5660="SBJ","CB","?"))</f>
        <v> </v>
      </c>
      <c r="I5660" s="26" t="str">
        <f>IF(OR(E5660="",E5660="!!!",F5660="NEW"),"",INDEX(B5659:B$2,-1+SUMPRODUCT(MAX(ROW(E5659:E$2)*(E5660=E5659:E$2)))))</f>
        <v> </v>
      </c>
      <c r="J5660" s="26" t="str">
        <f>IF(OR(E5660="",E5660="!!!",F5660="NEW"),"",COUNTBLANK(OFFSET(A$1,,,SUMPRODUCT(MAX(ROW(E$2:E5660)*(E5660=E$2:E5660)))))-COUNTBLANK(OFFSET(A$1,,,SUMPRODUCT(MAX(ROW(E$1:E5659)*(E2=E$1:E5659))))))</f>
        <v> </v>
      </c>
      <c r="K5660" s="26" t="str">
        <f>IF(OR(E5660="",E5660="!!!",F5660="NEW"),"",INDEX(J$1:J5659,SUMPRODUCT(MAX(ROW(E$1:E5659)*(E5660=E$1:E5659)))))</f>
        <v> </v>
      </c>
      <c r="L5660" s="27"/>
    </row>
    <row r="5661" spans="1:12">
      <c r="A5661" s="20" t="s">
        <v>1000</v>
      </c>
      <c r="B5661" s="21" t="s">
        <v>1027</v>
      </c>
      <c r="C5661" s="21" t="s">
        <v>996</v>
      </c>
      <c r="D5661" s="21" t="s">
        <v>997</v>
      </c>
      <c r="E5661" s="22">
        <f>IF(D5661="?OLD","!!!","")</f>
        <v/>
      </c>
      <c r="F5661" s="23" t="str">
        <f>IF(OR(E5661="",E5661="!!!"),"",IF(NOT(ISNA(VLOOKUP(E5661,E$1:E5660,1,FALSE()))),"OLD",IF(AND(E5661&lt;&gt;"",E5661&lt;&gt;"!!!"),"NEW","")))</f>
        <v> </v>
      </c>
      <c r="G5661" s="24" t="str">
        <f>IF(OR(E5661="",E5661="!!!"),"",IF(OR(J5661=0,AND(J5661=1,K5661=1),AND(J5661=1,I5661="SBJ"),AND(J5661=1,I5661=0)),"?IN_FOCUS",IF(J5661&lt;=2,"?ACTIVATED",IF(J5661&lt;&gt;"","?FAMILIAR",IF(F5661="NEW",IF(ISNA(VLOOKUP(E5661,#REF!,1,FALSE())),"?TYPE_IDENTIFIABLE","?REFERENTIAL"),"_")))))</f>
        <v> </v>
      </c>
      <c r="H5661" s="25" t="str">
        <f>IF(J5661&lt;&gt;1,"",IF(I5661="SBJ","CB","?"))</f>
        <v> </v>
      </c>
      <c r="I5661" s="26" t="str">
        <f>IF(OR(E5661="",E5661="!!!",F5661="NEW"),"",INDEX(B5660:B$2,-1+SUMPRODUCT(MAX(ROW(E5660:E$2)*(E5661=E5660:E$2)))))</f>
        <v> </v>
      </c>
      <c r="J5661" s="26" t="str">
        <f>IF(OR(E5661="",E5661="!!!",F5661="NEW"),"",COUNTBLANK(OFFSET(A$1,,,SUMPRODUCT(MAX(ROW(E$2:E5661)*(E5661=E$2:E5661)))))-COUNTBLANK(OFFSET(A$1,,,SUMPRODUCT(MAX(ROW(E$1:E5660)*(E2=E$1:E5660))))))</f>
        <v> </v>
      </c>
      <c r="K5661" s="26" t="str">
        <f>IF(OR(E5661="",E5661="!!!",F5661="NEW"),"",INDEX(J$1:J5660,SUMPRODUCT(MAX(ROW(E$1:E5660)*(E5661=E$1:E5660)))))</f>
        <v> </v>
      </c>
      <c r="L5661" s="27"/>
    </row>
    <row r="5662" spans="1:12">
      <c r="A5662" s="20" t="s">
        <v>2334</v>
      </c>
      <c r="E5662" s="22">
        <f>IF(D5662="?OLD","!!!","")</f>
        <v/>
      </c>
      <c r="F5662" s="23" t="str">
        <f>IF(OR(E5662="",E5662="!!!"),"",IF(NOT(ISNA(VLOOKUP(E5662,E$1:E5661,1,FALSE()))),"OLD",IF(AND(E5662&lt;&gt;"",E5662&lt;&gt;"!!!"),"NEW","")))</f>
        <v> </v>
      </c>
      <c r="G5662" s="24" t="str">
        <f>IF(OR(E5662="",E5662="!!!"),"",IF(OR(J5662=0,AND(J5662=1,K5662=1),AND(J5662=1,I5662="SBJ"),AND(J5662=1,I5662=0)),"?IN_FOCUS",IF(J5662&lt;=2,"?ACTIVATED",IF(J5662&lt;&gt;"","?FAMILIAR",IF(F5662="NEW",IF(ISNA(VLOOKUP(E5662,#REF!,1,FALSE())),"?TYPE_IDENTIFIABLE","?REFERENTIAL"),"_")))))</f>
        <v> </v>
      </c>
      <c r="H5662" s="25" t="str">
        <f>IF(J5662&lt;&gt;1,"",IF(I5662="SBJ","CB","?"))</f>
        <v> </v>
      </c>
      <c r="I5662" s="26" t="str">
        <f>IF(OR(E5662="",E5662="!!!",F5662="NEW"),"",INDEX(B5661:B$2,-1+SUMPRODUCT(MAX(ROW(E5661:E$2)*(E5662=E5661:E$2)))))</f>
        <v> </v>
      </c>
      <c r="J5662" s="26" t="str">
        <f>IF(OR(E5662="",E5662="!!!",F5662="NEW"),"",COUNTBLANK(OFFSET(A$1,,,SUMPRODUCT(MAX(ROW(E$2:E5662)*(E5662=E$2:E5662)))))-COUNTBLANK(OFFSET(A$1,,,SUMPRODUCT(MAX(ROW(E$1:E5661)*(E2=E$1:E5661))))))</f>
        <v> </v>
      </c>
      <c r="K5662" s="26" t="str">
        <f>IF(OR(E5662="",E5662="!!!",F5662="NEW"),"",INDEX(J$1:J5661,SUMPRODUCT(MAX(ROW(E$1:E5661)*(E5662=E$1:E5661)))))</f>
        <v> </v>
      </c>
      <c r="L5662" s="27"/>
    </row>
    <row r="5663" spans="1:12">
      <c r="A5663" s="20" t="s">
        <v>1022</v>
      </c>
      <c r="E5663" s="22">
        <f>IF(D5663="?OLD","!!!","")</f>
        <v/>
      </c>
      <c r="F5663" s="23" t="str">
        <f>IF(OR(E5663="",E5663="!!!"),"",IF(NOT(ISNA(VLOOKUP(E5663,E$1:E5662,1,FALSE()))),"OLD",IF(AND(E5663&lt;&gt;"",E5663&lt;&gt;"!!!"),"NEW","")))</f>
        <v> </v>
      </c>
      <c r="G5663" s="24" t="str">
        <f>IF(OR(E5663="",E5663="!!!"),"",IF(OR(J5663=0,AND(J5663=1,K5663=1),AND(J5663=1,I5663="SBJ"),AND(J5663=1,I5663=0)),"?IN_FOCUS",IF(J5663&lt;=2,"?ACTIVATED",IF(J5663&lt;&gt;"","?FAMILIAR",IF(F5663="NEW",IF(ISNA(VLOOKUP(E5663,#REF!,1,FALSE())),"?TYPE_IDENTIFIABLE","?REFERENTIAL"),"_")))))</f>
        <v> </v>
      </c>
      <c r="H5663" s="25" t="str">
        <f>IF(J5663&lt;&gt;1,"",IF(I5663="SBJ","CB","?"))</f>
        <v> </v>
      </c>
      <c r="I5663" s="26" t="str">
        <f>IF(OR(E5663="",E5663="!!!",F5663="NEW"),"",INDEX(B5662:B$2,-1+SUMPRODUCT(MAX(ROW(E5662:E$2)*(E5663=E5662:E$2)))))</f>
        <v> </v>
      </c>
      <c r="J5663" s="26" t="str">
        <f>IF(OR(E5663="",E5663="!!!",F5663="NEW"),"",COUNTBLANK(OFFSET(A$1,,,SUMPRODUCT(MAX(ROW(E$2:E5663)*(E5663=E$2:E5663)))))-COUNTBLANK(OFFSET(A$1,,,SUMPRODUCT(MAX(ROW(E$1:E5662)*(E2=E$1:E5662))))))</f>
        <v> </v>
      </c>
      <c r="K5663" s="26" t="str">
        <f>IF(OR(E5663="",E5663="!!!",F5663="NEW"),"",INDEX(J$1:J5662,SUMPRODUCT(MAX(ROW(E$1:E5662)*(E5663=E$1:E5662)))))</f>
        <v> </v>
      </c>
      <c r="L5663" s="27"/>
    </row>
    <row r="5664" spans="1:12">
      <c r="A5664" s="20" t="s">
        <v>1032</v>
      </c>
      <c r="E5664" s="22">
        <f>IF(D5664="?OLD","!!!","")</f>
        <v/>
      </c>
      <c r="F5664" s="23" t="str">
        <f>IF(OR(E5664="",E5664="!!!"),"",IF(NOT(ISNA(VLOOKUP(E5664,E$1:E5663,1,FALSE()))),"OLD",IF(AND(E5664&lt;&gt;"",E5664&lt;&gt;"!!!"),"NEW","")))</f>
        <v> </v>
      </c>
      <c r="G5664" s="24" t="str">
        <f>IF(OR(E5664="",E5664="!!!"),"",IF(OR(J5664=0,AND(J5664=1,K5664=1),AND(J5664=1,I5664="SBJ"),AND(J5664=1,I5664=0)),"?IN_FOCUS",IF(J5664&lt;=2,"?ACTIVATED",IF(J5664&lt;&gt;"","?FAMILIAR",IF(F5664="NEW",IF(ISNA(VLOOKUP(E5664,#REF!,1,FALSE())),"?TYPE_IDENTIFIABLE","?REFERENTIAL"),"_")))))</f>
        <v> </v>
      </c>
      <c r="H5664" s="25" t="str">
        <f>IF(J5664&lt;&gt;1,"",IF(I5664="SBJ","CB","?"))</f>
        <v> </v>
      </c>
      <c r="I5664" s="26" t="str">
        <f>IF(OR(E5664="",E5664="!!!",F5664="NEW"),"",INDEX(B5663:B$2,-1+SUMPRODUCT(MAX(ROW(E5663:E$2)*(E5664=E5663:E$2)))))</f>
        <v> </v>
      </c>
      <c r="J5664" s="26" t="str">
        <f>IF(OR(E5664="",E5664="!!!",F5664="NEW"),"",COUNTBLANK(OFFSET(A$1,,,SUMPRODUCT(MAX(ROW(E$2:E5664)*(E5664=E$2:E5664)))))-COUNTBLANK(OFFSET(A$1,,,SUMPRODUCT(MAX(ROW(E$1:E5663)*(E2=E$1:E5663))))))</f>
        <v> </v>
      </c>
      <c r="K5664" s="26" t="str">
        <f>IF(OR(E5664="",E5664="!!!",F5664="NEW"),"",INDEX(J$1:J5663,SUMPRODUCT(MAX(ROW(E$1:E5663)*(E5664=E$1:E5663)))))</f>
        <v> </v>
      </c>
      <c r="L5664" s="27"/>
    </row>
    <row r="5665" spans="1:12">
      <c r="A5665" s="20" t="s">
        <v>2428</v>
      </c>
      <c r="B5665" s="21" t="s">
        <v>1114</v>
      </c>
      <c r="C5665" s="21" t="s">
        <v>1034</v>
      </c>
      <c r="D5665" s="21" t="s">
        <v>997</v>
      </c>
      <c r="E5665" s="22">
        <f>IF(D5665="?OLD","!!!","")</f>
        <v/>
      </c>
      <c r="F5665" s="23" t="str">
        <f>IF(OR(E5665="",E5665="!!!"),"",IF(NOT(ISNA(VLOOKUP(E5665,E$1:E5664,1,FALSE()))),"OLD",IF(AND(E5665&lt;&gt;"",E5665&lt;&gt;"!!!"),"NEW","")))</f>
        <v> </v>
      </c>
      <c r="G5665" s="24" t="str">
        <f>IF(OR(E5665="",E5665="!!!"),"",IF(OR(J5665=0,AND(J5665=1,K5665=1),AND(J5665=1,I5665="SBJ"),AND(J5665=1,I5665=0)),"?IN_FOCUS",IF(J5665&lt;=2,"?ACTIVATED",IF(J5665&lt;&gt;"","?FAMILIAR",IF(F5665="NEW",IF(ISNA(VLOOKUP(E5665,#REF!,1,FALSE())),"?TYPE_IDENTIFIABLE","?REFERENTIAL"),"_")))))</f>
        <v> </v>
      </c>
      <c r="H5665" s="25" t="str">
        <f>IF(J5665&lt;&gt;1,"",IF(I5665="SBJ","CB","?"))</f>
        <v> </v>
      </c>
      <c r="I5665" s="26" t="str">
        <f>IF(OR(E5665="",E5665="!!!",F5665="NEW"),"",INDEX(B5664:B$2,-1+SUMPRODUCT(MAX(ROW(E5664:E$2)*(E5665=E5664:E$2)))))</f>
        <v> </v>
      </c>
      <c r="J5665" s="26" t="str">
        <f>IF(OR(E5665="",E5665="!!!",F5665="NEW"),"",COUNTBLANK(OFFSET(A$1,,,SUMPRODUCT(MAX(ROW(E$2:E5665)*(E5665=E$2:E5665)))))-COUNTBLANK(OFFSET(A$1,,,SUMPRODUCT(MAX(ROW(E$1:E5664)*(E2=E$1:E5664))))))</f>
        <v> </v>
      </c>
      <c r="K5665" s="26" t="str">
        <f>IF(OR(E5665="",E5665="!!!",F5665="NEW"),"",INDEX(J$1:J5664,SUMPRODUCT(MAX(ROW(E$1:E5664)*(E5665=E$1:E5664)))))</f>
        <v> </v>
      </c>
      <c r="L5665" s="27"/>
    </row>
    <row r="5666" spans="1:12">
      <c r="A5666" s="20" t="s">
        <v>2429</v>
      </c>
      <c r="E5666" s="22">
        <f>IF(D5666="?OLD","!!!","")</f>
        <v/>
      </c>
      <c r="F5666" s="23" t="str">
        <f>IF(OR(E5666="",E5666="!!!"),"",IF(NOT(ISNA(VLOOKUP(E5666,E$1:E5665,1,FALSE()))),"OLD",IF(AND(E5666&lt;&gt;"",E5666&lt;&gt;"!!!"),"NEW","")))</f>
        <v> </v>
      </c>
      <c r="G5666" s="24" t="str">
        <f>IF(OR(E5666="",E5666="!!!"),"",IF(OR(J5666=0,AND(J5666=1,K5666=1),AND(J5666=1,I5666="SBJ"),AND(J5666=1,I5666=0)),"?IN_FOCUS",IF(J5666&lt;=2,"?ACTIVATED",IF(J5666&lt;&gt;"","?FAMILIAR",IF(F5666="NEW",IF(ISNA(VLOOKUP(E5666,#REF!,1,FALSE())),"?TYPE_IDENTIFIABLE","?REFERENTIAL"),"_")))))</f>
        <v> </v>
      </c>
      <c r="H5666" s="25" t="str">
        <f>IF(J5666&lt;&gt;1,"",IF(I5666="SBJ","CB","?"))</f>
        <v> </v>
      </c>
      <c r="I5666" s="26" t="str">
        <f>IF(OR(E5666="",E5666="!!!",F5666="NEW"),"",INDEX(B5665:B$2,-1+SUMPRODUCT(MAX(ROW(E5665:E$2)*(E5666=E5665:E$2)))))</f>
        <v> </v>
      </c>
      <c r="J5666" s="26" t="str">
        <f>IF(OR(E5666="",E5666="!!!",F5666="NEW"),"",COUNTBLANK(OFFSET(A$1,,,SUMPRODUCT(MAX(ROW(E$2:E5666)*(E5666=E$2:E5666)))))-COUNTBLANK(OFFSET(A$1,,,SUMPRODUCT(MAX(ROW(E$1:E5665)*(E2=E$1:E5665))))))</f>
        <v> </v>
      </c>
      <c r="K5666" s="26" t="str">
        <f>IF(OR(E5666="",E5666="!!!",F5666="NEW"),"",INDEX(J$1:J5665,SUMPRODUCT(MAX(ROW(E$1:E5665)*(E5666=E$1:E5665)))))</f>
        <v> </v>
      </c>
      <c r="L5666" s="27"/>
    </row>
    <row r="5667" spans="1:12">
      <c r="A5667" s="20" t="s">
        <v>1702</v>
      </c>
      <c r="E5667" s="22">
        <f>IF(D5667="?OLD","!!!","")</f>
        <v/>
      </c>
      <c r="F5667" s="23" t="str">
        <f>IF(OR(E5667="",E5667="!!!"),"",IF(NOT(ISNA(VLOOKUP(E5667,E$1:E5666,1,FALSE()))),"OLD",IF(AND(E5667&lt;&gt;"",E5667&lt;&gt;"!!!"),"NEW","")))</f>
        <v> </v>
      </c>
      <c r="G5667" s="24" t="str">
        <f>IF(OR(E5667="",E5667="!!!"),"",IF(OR(J5667=0,AND(J5667=1,K5667=1),AND(J5667=1,I5667="SBJ"),AND(J5667=1,I5667=0)),"?IN_FOCUS",IF(J5667&lt;=2,"?ACTIVATED",IF(J5667&lt;&gt;"","?FAMILIAR",IF(F5667="NEW",IF(ISNA(VLOOKUP(E5667,#REF!,1,FALSE())),"?TYPE_IDENTIFIABLE","?REFERENTIAL"),"_")))))</f>
        <v> </v>
      </c>
      <c r="H5667" s="25" t="str">
        <f>IF(J5667&lt;&gt;1,"",IF(I5667="SBJ","CB","?"))</f>
        <v> </v>
      </c>
      <c r="I5667" s="26" t="str">
        <f>IF(OR(E5667="",E5667="!!!",F5667="NEW"),"",INDEX(B5666:B$2,-1+SUMPRODUCT(MAX(ROW(E5666:E$2)*(E5667=E5666:E$2)))))</f>
        <v> </v>
      </c>
      <c r="J5667" s="26" t="str">
        <f>IF(OR(E5667="",E5667="!!!",F5667="NEW"),"",COUNTBLANK(OFFSET(A$1,,,SUMPRODUCT(MAX(ROW(E$2:E5667)*(E5667=E$2:E5667)))))-COUNTBLANK(OFFSET(A$1,,,SUMPRODUCT(MAX(ROW(E$1:E5666)*(E2=E$1:E5666))))))</f>
        <v> </v>
      </c>
      <c r="K5667" s="26" t="str">
        <f>IF(OR(E5667="",E5667="!!!",F5667="NEW"),"",INDEX(J$1:J5666,SUMPRODUCT(MAX(ROW(E$1:E5666)*(E5667=E$1:E5666)))))</f>
        <v> </v>
      </c>
      <c r="L5667" s="27"/>
    </row>
    <row r="5668" spans="1:12">
      <c r="A5668" s="20" t="s">
        <v>1246</v>
      </c>
      <c r="E5668" s="22">
        <f>IF(D5668="?OLD","!!!","")</f>
        <v/>
      </c>
      <c r="F5668" s="23" t="str">
        <f>IF(OR(E5668="",E5668="!!!"),"",IF(NOT(ISNA(VLOOKUP(E5668,E$1:E5667,1,FALSE()))),"OLD",IF(AND(E5668&lt;&gt;"",E5668&lt;&gt;"!!!"),"NEW","")))</f>
        <v> </v>
      </c>
      <c r="G5668" s="24" t="str">
        <f>IF(OR(E5668="",E5668="!!!"),"",IF(OR(J5668=0,AND(J5668=1,K5668=1),AND(J5668=1,I5668="SBJ"),AND(J5668=1,I5668=0)),"?IN_FOCUS",IF(J5668&lt;=2,"?ACTIVATED",IF(J5668&lt;&gt;"","?FAMILIAR",IF(F5668="NEW",IF(ISNA(VLOOKUP(E5668,#REF!,1,FALSE())),"?TYPE_IDENTIFIABLE","?REFERENTIAL"),"_")))))</f>
        <v> </v>
      </c>
      <c r="H5668" s="25" t="str">
        <f>IF(J5668&lt;&gt;1,"",IF(I5668="SBJ","CB","?"))</f>
        <v> </v>
      </c>
      <c r="I5668" s="26" t="str">
        <f>IF(OR(E5668="",E5668="!!!",F5668="NEW"),"",INDEX(B5667:B$2,-1+SUMPRODUCT(MAX(ROW(E5667:E$2)*(E5668=E5667:E$2)))))</f>
        <v> </v>
      </c>
      <c r="J5668" s="26" t="str">
        <f>IF(OR(E5668="",E5668="!!!",F5668="NEW"),"",COUNTBLANK(OFFSET(A$1,,,SUMPRODUCT(MAX(ROW(E$2:E5668)*(E5668=E$2:E5668)))))-COUNTBLANK(OFFSET(A$1,,,SUMPRODUCT(MAX(ROW(E$1:E5667)*(E2=E$1:E5667))))))</f>
        <v> </v>
      </c>
      <c r="K5668" s="26" t="str">
        <f>IF(OR(E5668="",E5668="!!!",F5668="NEW"),"",INDEX(J$1:J5667,SUMPRODUCT(MAX(ROW(E$1:E5667)*(E5668=E$1:E5667)))))</f>
        <v> </v>
      </c>
      <c r="L5668" s="27"/>
    </row>
    <row r="5669" spans="1:12">
      <c r="A5669" s="20" t="s">
        <v>1049</v>
      </c>
      <c r="E5669" s="22">
        <f>IF(D5669="?OLD","!!!","")</f>
        <v/>
      </c>
      <c r="F5669" s="23" t="str">
        <f>IF(OR(E5669="",E5669="!!!"),"",IF(NOT(ISNA(VLOOKUP(E5669,E$1:E5668,1,FALSE()))),"OLD",IF(AND(E5669&lt;&gt;"",E5669&lt;&gt;"!!!"),"NEW","")))</f>
        <v> </v>
      </c>
      <c r="G5669" s="24" t="str">
        <f>IF(OR(E5669="",E5669="!!!"),"",IF(OR(J5669=0,AND(J5669=1,K5669=1),AND(J5669=1,I5669="SBJ"),AND(J5669=1,I5669=0)),"?IN_FOCUS",IF(J5669&lt;=2,"?ACTIVATED",IF(J5669&lt;&gt;"","?FAMILIAR",IF(F5669="NEW",IF(ISNA(VLOOKUP(E5669,#REF!,1,FALSE())),"?TYPE_IDENTIFIABLE","?REFERENTIAL"),"_")))))</f>
        <v> </v>
      </c>
      <c r="H5669" s="25" t="str">
        <f>IF(J5669&lt;&gt;1,"",IF(I5669="SBJ","CB","?"))</f>
        <v> </v>
      </c>
      <c r="I5669" s="26" t="str">
        <f>IF(OR(E5669="",E5669="!!!",F5669="NEW"),"",INDEX(B5668:B$2,-1+SUMPRODUCT(MAX(ROW(E5668:E$2)*(E5669=E5668:E$2)))))</f>
        <v> </v>
      </c>
      <c r="J5669" s="26" t="str">
        <f>IF(OR(E5669="",E5669="!!!",F5669="NEW"),"",COUNTBLANK(OFFSET(A$1,,,SUMPRODUCT(MAX(ROW(E$2:E5669)*(E5669=E$2:E5669)))))-COUNTBLANK(OFFSET(A$1,,,SUMPRODUCT(MAX(ROW(E$1:E5668)*(E2=E$1:E5668))))))</f>
        <v> </v>
      </c>
      <c r="K5669" s="26" t="str">
        <f>IF(OR(E5669="",E5669="!!!",F5669="NEW"),"",INDEX(J$1:J5668,SUMPRODUCT(MAX(ROW(E$1:E5668)*(E5669=E$1:E5668)))))</f>
        <v> </v>
      </c>
      <c r="L5669" s="27"/>
    </row>
    <row r="5670" spans="1:12">
      <c r="A5670" s="20" t="s">
        <v>1000</v>
      </c>
      <c r="B5670" s="21" t="s">
        <v>1301</v>
      </c>
      <c r="C5670" s="21" t="s">
        <v>996</v>
      </c>
      <c r="D5670" s="21" t="s">
        <v>997</v>
      </c>
      <c r="E5670" s="22">
        <f>IF(D5670="?OLD","!!!","")</f>
        <v/>
      </c>
      <c r="F5670" s="23" t="str">
        <f>IF(OR(E5670="",E5670="!!!"),"",IF(NOT(ISNA(VLOOKUP(E5670,E$1:E5669,1,FALSE()))),"OLD",IF(AND(E5670&lt;&gt;"",E5670&lt;&gt;"!!!"),"NEW","")))</f>
        <v> </v>
      </c>
      <c r="G5670" s="24" t="str">
        <f>IF(OR(E5670="",E5670="!!!"),"",IF(OR(J5670=0,AND(J5670=1,K5670=1),AND(J5670=1,I5670="SBJ"),AND(J5670=1,I5670=0)),"?IN_FOCUS",IF(J5670&lt;=2,"?ACTIVATED",IF(J5670&lt;&gt;"","?FAMILIAR",IF(F5670="NEW",IF(ISNA(VLOOKUP(E5670,#REF!,1,FALSE())),"?TYPE_IDENTIFIABLE","?REFERENTIAL"),"_")))))</f>
        <v> </v>
      </c>
      <c r="H5670" s="25" t="str">
        <f>IF(J5670&lt;&gt;1,"",IF(I5670="SBJ","CB","?"))</f>
        <v> </v>
      </c>
      <c r="I5670" s="26" t="str">
        <f>IF(OR(E5670="",E5670="!!!",F5670="NEW"),"",INDEX(B5669:B$2,-1+SUMPRODUCT(MAX(ROW(E5669:E$2)*(E5670=E5669:E$2)))))</f>
        <v> </v>
      </c>
      <c r="J5670" s="26" t="str">
        <f>IF(OR(E5670="",E5670="!!!",F5670="NEW"),"",COUNTBLANK(OFFSET(A$1,,,SUMPRODUCT(MAX(ROW(E$2:E5670)*(E5670=E$2:E5670)))))-COUNTBLANK(OFFSET(A$1,,,SUMPRODUCT(MAX(ROW(E$1:E5669)*(E2=E$1:E5669))))))</f>
        <v> </v>
      </c>
      <c r="K5670" s="26" t="str">
        <f>IF(OR(E5670="",E5670="!!!",F5670="NEW"),"",INDEX(J$1:J5669,SUMPRODUCT(MAX(ROW(E$1:E5669)*(E5670=E$1:E5669)))))</f>
        <v> </v>
      </c>
      <c r="L5670" s="27"/>
    </row>
    <row r="5671" spans="1:12">
      <c r="A5671" s="20" t="s">
        <v>2452</v>
      </c>
      <c r="E5671" s="22">
        <f>IF(D5671="?OLD","!!!","")</f>
        <v/>
      </c>
      <c r="F5671" s="23" t="str">
        <f>IF(OR(E5671="",E5671="!!!"),"",IF(NOT(ISNA(VLOOKUP(E5671,E$1:E5670,1,FALSE()))),"OLD",IF(AND(E5671&lt;&gt;"",E5671&lt;&gt;"!!!"),"NEW","")))</f>
        <v> </v>
      </c>
      <c r="G5671" s="24" t="str">
        <f>IF(OR(E5671="",E5671="!!!"),"",IF(OR(J5671=0,AND(J5671=1,K5671=1),AND(J5671=1,I5671="SBJ"),AND(J5671=1,I5671=0)),"?IN_FOCUS",IF(J5671&lt;=2,"?ACTIVATED",IF(J5671&lt;&gt;"","?FAMILIAR",IF(F5671="NEW",IF(ISNA(VLOOKUP(E5671,#REF!,1,FALSE())),"?TYPE_IDENTIFIABLE","?REFERENTIAL"),"_")))))</f>
        <v> </v>
      </c>
      <c r="H5671" s="25" t="str">
        <f>IF(J5671&lt;&gt;1,"",IF(I5671="SBJ","CB","?"))</f>
        <v> </v>
      </c>
      <c r="I5671" s="26" t="str">
        <f>IF(OR(E5671="",E5671="!!!",F5671="NEW"),"",INDEX(B5670:B$2,-1+SUMPRODUCT(MAX(ROW(E5670:E$2)*(E5671=E5670:E$2)))))</f>
        <v> </v>
      </c>
      <c r="J5671" s="26" t="str">
        <f>IF(OR(E5671="",E5671="!!!",F5671="NEW"),"",COUNTBLANK(OFFSET(A$1,,,SUMPRODUCT(MAX(ROW(E$2:E5671)*(E5671=E$2:E5671)))))-COUNTBLANK(OFFSET(A$1,,,SUMPRODUCT(MAX(ROW(E$1:E5670)*(E2=E$1:E5670))))))</f>
        <v> </v>
      </c>
      <c r="K5671" s="26" t="str">
        <f>IF(OR(E5671="",E5671="!!!",F5671="NEW"),"",INDEX(J$1:J5670,SUMPRODUCT(MAX(ROW(E$1:E5670)*(E5671=E$1:E5670)))))</f>
        <v> </v>
      </c>
      <c r="L5671" s="27"/>
    </row>
    <row r="5672" spans="1:12">
      <c r="A5672" s="20" t="s">
        <v>1011</v>
      </c>
      <c r="E5672" s="22">
        <f>IF(D5672="?OLD","!!!","")</f>
        <v/>
      </c>
      <c r="F5672" s="23" t="str">
        <f>IF(OR(E5672="",E5672="!!!"),"",IF(NOT(ISNA(VLOOKUP(E5672,E$1:E5671,1,FALSE()))),"OLD",IF(AND(E5672&lt;&gt;"",E5672&lt;&gt;"!!!"),"NEW","")))</f>
        <v> </v>
      </c>
      <c r="G5672" s="24" t="str">
        <f>IF(OR(E5672="",E5672="!!!"),"",IF(OR(J5672=0,AND(J5672=1,K5672=1),AND(J5672=1,I5672="SBJ"),AND(J5672=1,I5672=0)),"?IN_FOCUS",IF(J5672&lt;=2,"?ACTIVATED",IF(J5672&lt;&gt;"","?FAMILIAR",IF(F5672="NEW",IF(ISNA(VLOOKUP(E5672,#REF!,1,FALSE())),"?TYPE_IDENTIFIABLE","?REFERENTIAL"),"_")))))</f>
        <v> </v>
      </c>
      <c r="H5672" s="25" t="str">
        <f>IF(J5672&lt;&gt;1,"",IF(I5672="SBJ","CB","?"))</f>
        <v> </v>
      </c>
      <c r="I5672" s="26" t="str">
        <f>IF(OR(E5672="",E5672="!!!",F5672="NEW"),"",INDEX(B5671:B$2,-1+SUMPRODUCT(MAX(ROW(E5671:E$2)*(E5672=E5671:E$2)))))</f>
        <v> </v>
      </c>
      <c r="J5672" s="26" t="str">
        <f>IF(OR(E5672="",E5672="!!!",F5672="NEW"),"",COUNTBLANK(OFFSET(A$1,,,SUMPRODUCT(MAX(ROW(E$2:E5672)*(E5672=E$2:E5672)))))-COUNTBLANK(OFFSET(A$1,,,SUMPRODUCT(MAX(ROW(E$1:E5671)*(E2=E$1:E5671))))))</f>
        <v> </v>
      </c>
      <c r="K5672" s="26" t="str">
        <f>IF(OR(E5672="",E5672="!!!",F5672="NEW"),"",INDEX(J$1:J5671,SUMPRODUCT(MAX(ROW(E$1:E5671)*(E5672=E$1:E5671)))))</f>
        <v> </v>
      </c>
      <c r="L5672" s="27"/>
    </row>
    <row r="5673" spans="1:12">
      <c r="A5673" s="20"/>
    </row>
    <row r="5674" spans="1:12">
      <c r="A5674" s="20" t="s">
        <v>2453</v>
      </c>
    </row>
    <row r="5675" spans="1:12">
      <c r="A5675" s="20" t="s">
        <v>994</v>
      </c>
      <c r="B5675" s="21" t="s">
        <v>995</v>
      </c>
      <c r="C5675" s="21" t="s">
        <v>996</v>
      </c>
      <c r="D5675" s="21" t="s">
        <v>997</v>
      </c>
      <c r="E5675" s="22">
        <f>IF(D5675="?OLD","!!!","")</f>
        <v/>
      </c>
      <c r="F5675" s="23" t="str">
        <f>IF(OR(E5675="",E5675="!!!"),"",IF(NOT(ISNA(VLOOKUP(E5675,E$1:E5674,1,FALSE()))),"OLD",IF(AND(E5675&lt;&gt;"",E5675&lt;&gt;"!!!"),"NEW","")))</f>
        <v> </v>
      </c>
      <c r="G5675" s="24" t="str">
        <f>IF(OR(E5675="",E5675="!!!"),"",IF(OR(J5675=0,AND(J5675=1,K5675=1),AND(J5675=1,I5675="SBJ"),AND(J5675=1,I5675=0)),"?IN_FOCUS",IF(J5675&lt;=2,"?ACTIVATED",IF(J5675&lt;&gt;"","?FAMILIAR",IF(F5675="NEW",IF(ISNA(VLOOKUP(E5675,#REF!,1,FALSE())),"?TYPE_IDENTIFIABLE","?REFERENTIAL"),"_")))))</f>
        <v> </v>
      </c>
      <c r="H5675" s="25" t="str">
        <f>IF(J5675&lt;&gt;1,"",IF(I5675="SBJ","CB","?"))</f>
        <v> </v>
      </c>
      <c r="I5675" s="26" t="str">
        <f>IF(OR(E5675="",E5675="!!!",F5675="NEW"),"",INDEX(B5674:B$2,-1+SUMPRODUCT(MAX(ROW(E5674:E$2)*(E5675=E5674:E$2)))))</f>
        <v> </v>
      </c>
      <c r="J5675" s="26" t="str">
        <f>IF(OR(E5675="",E5675="!!!",F5675="NEW"),"",COUNTBLANK(OFFSET(A$1,,,SUMPRODUCT(MAX(ROW(E$2:E5675)*(E5675=E$2:E5675)))))-COUNTBLANK(OFFSET(A$1,,,SUMPRODUCT(MAX(ROW(E$1:E5674)*(E2=E$1:E5674))))))</f>
        <v> </v>
      </c>
      <c r="K5675" s="26" t="str">
        <f>IF(OR(E5675="",E5675="!!!",F5675="NEW"),"",INDEX(J$1:J5674,SUMPRODUCT(MAX(ROW(E$1:E5674)*(E5675=E$1:E5674)))))</f>
        <v> </v>
      </c>
      <c r="L5675" s="27"/>
    </row>
    <row r="5676" spans="1:12">
      <c r="A5676" s="20" t="s">
        <v>1095</v>
      </c>
      <c r="E5676" s="22">
        <f>IF(D5676="?OLD","!!!","")</f>
        <v/>
      </c>
      <c r="F5676" s="23" t="str">
        <f>IF(OR(E5676="",E5676="!!!"),"",IF(NOT(ISNA(VLOOKUP(E5676,E$1:E5675,1,FALSE()))),"OLD",IF(AND(E5676&lt;&gt;"",E5676&lt;&gt;"!!!"),"NEW","")))</f>
        <v> </v>
      </c>
      <c r="G5676" s="24" t="str">
        <f>IF(OR(E5676="",E5676="!!!"),"",IF(OR(J5676=0,AND(J5676=1,K5676=1),AND(J5676=1,I5676="SBJ"),AND(J5676=1,I5676=0)),"?IN_FOCUS",IF(J5676&lt;=2,"?ACTIVATED",IF(J5676&lt;&gt;"","?FAMILIAR",IF(F5676="NEW",IF(ISNA(VLOOKUP(E5676,#REF!,1,FALSE())),"?TYPE_IDENTIFIABLE","?REFERENTIAL"),"_")))))</f>
        <v> </v>
      </c>
      <c r="H5676" s="25" t="str">
        <f>IF(J5676&lt;&gt;1,"",IF(I5676="SBJ","CB","?"))</f>
        <v> </v>
      </c>
      <c r="I5676" s="26" t="str">
        <f>IF(OR(E5676="",E5676="!!!",F5676="NEW"),"",INDEX(B5675:B$2,-1+SUMPRODUCT(MAX(ROW(E5675:E$2)*(E5676=E5675:E$2)))))</f>
        <v> </v>
      </c>
      <c r="J5676" s="26" t="str">
        <f>IF(OR(E5676="",E5676="!!!",F5676="NEW"),"",COUNTBLANK(OFFSET(A$1,,,SUMPRODUCT(MAX(ROW(E$2:E5676)*(E5676=E$2:E5676)))))-COUNTBLANK(OFFSET(A$1,,,SUMPRODUCT(MAX(ROW(E$1:E5675)*(E2=E$1:E5675))))))</f>
        <v> </v>
      </c>
      <c r="K5676" s="26" t="str">
        <f>IF(OR(E5676="",E5676="!!!",F5676="NEW"),"",INDEX(J$1:J5675,SUMPRODUCT(MAX(ROW(E$1:E5675)*(E5676=E$1:E5675)))))</f>
        <v> </v>
      </c>
      <c r="L5676" s="27"/>
    </row>
    <row r="5677" spans="1:12">
      <c r="A5677" s="20" t="s">
        <v>1586</v>
      </c>
      <c r="E5677" s="22">
        <f>IF(D5677="?OLD","!!!","")</f>
        <v/>
      </c>
      <c r="F5677" s="23" t="str">
        <f>IF(OR(E5677="",E5677="!!!"),"",IF(NOT(ISNA(VLOOKUP(E5677,E$1:E5676,1,FALSE()))),"OLD",IF(AND(E5677&lt;&gt;"",E5677&lt;&gt;"!!!"),"NEW","")))</f>
        <v> </v>
      </c>
      <c r="G5677" s="24" t="str">
        <f>IF(OR(E5677="",E5677="!!!"),"",IF(OR(J5677=0,AND(J5677=1,K5677=1),AND(J5677=1,I5677="SBJ"),AND(J5677=1,I5677=0)),"?IN_FOCUS",IF(J5677&lt;=2,"?ACTIVATED",IF(J5677&lt;&gt;"","?FAMILIAR",IF(F5677="NEW",IF(ISNA(VLOOKUP(E5677,#REF!,1,FALSE())),"?TYPE_IDENTIFIABLE","?REFERENTIAL"),"_")))))</f>
        <v> </v>
      </c>
      <c r="H5677" s="25" t="str">
        <f>IF(J5677&lt;&gt;1,"",IF(I5677="SBJ","CB","?"))</f>
        <v> </v>
      </c>
      <c r="I5677" s="26" t="str">
        <f>IF(OR(E5677="",E5677="!!!",F5677="NEW"),"",INDEX(B5676:B$2,-1+SUMPRODUCT(MAX(ROW(E5676:E$2)*(E5677=E5676:E$2)))))</f>
        <v> </v>
      </c>
      <c r="J5677" s="26" t="str">
        <f>IF(OR(E5677="",E5677="!!!",F5677="NEW"),"",COUNTBLANK(OFFSET(A$1,,,SUMPRODUCT(MAX(ROW(E$2:E5677)*(E5677=E$2:E5677)))))-COUNTBLANK(OFFSET(A$1,,,SUMPRODUCT(MAX(ROW(E$1:E5676)*(E2=E$1:E5676))))))</f>
        <v> </v>
      </c>
      <c r="K5677" s="26" t="str">
        <f>IF(OR(E5677="",E5677="!!!",F5677="NEW"),"",INDEX(J$1:J5676,SUMPRODUCT(MAX(ROW(E$1:E5676)*(E5677=E$1:E5676)))))</f>
        <v> </v>
      </c>
      <c r="L5677" s="27"/>
    </row>
    <row r="5678" spans="1:12">
      <c r="A5678" s="20" t="s">
        <v>1097</v>
      </c>
      <c r="E5678" s="22">
        <f>IF(D5678="?OLD","!!!","")</f>
        <v/>
      </c>
      <c r="F5678" s="23" t="str">
        <f>IF(OR(E5678="",E5678="!!!"),"",IF(NOT(ISNA(VLOOKUP(E5678,E$1:E5677,1,FALSE()))),"OLD",IF(AND(E5678&lt;&gt;"",E5678&lt;&gt;"!!!"),"NEW","")))</f>
        <v> </v>
      </c>
      <c r="G5678" s="24" t="str">
        <f>IF(OR(E5678="",E5678="!!!"),"",IF(OR(J5678=0,AND(J5678=1,K5678=1),AND(J5678=1,I5678="SBJ"),AND(J5678=1,I5678=0)),"?IN_FOCUS",IF(J5678&lt;=2,"?ACTIVATED",IF(J5678&lt;&gt;"","?FAMILIAR",IF(F5678="NEW",IF(ISNA(VLOOKUP(E5678,#REF!,1,FALSE())),"?TYPE_IDENTIFIABLE","?REFERENTIAL"),"_")))))</f>
        <v> </v>
      </c>
      <c r="H5678" s="25" t="str">
        <f>IF(J5678&lt;&gt;1,"",IF(I5678="SBJ","CB","?"))</f>
        <v> </v>
      </c>
      <c r="I5678" s="26" t="str">
        <f>IF(OR(E5678="",E5678="!!!",F5678="NEW"),"",INDEX(B5677:B$2,-1+SUMPRODUCT(MAX(ROW(E5677:E$2)*(E5678=E5677:E$2)))))</f>
        <v> </v>
      </c>
      <c r="J5678" s="26" t="str">
        <f>IF(OR(E5678="",E5678="!!!",F5678="NEW"),"",COUNTBLANK(OFFSET(A$1,,,SUMPRODUCT(MAX(ROW(E$2:E5678)*(E5678=E$2:E5678)))))-COUNTBLANK(OFFSET(A$1,,,SUMPRODUCT(MAX(ROW(E$1:E5677)*(E2=E$1:E5677))))))</f>
        <v> </v>
      </c>
      <c r="K5678" s="26" t="str">
        <f>IF(OR(E5678="",E5678="!!!",F5678="NEW"),"",INDEX(J$1:J5677,SUMPRODUCT(MAX(ROW(E$1:E5677)*(E5678=E$1:E5677)))))</f>
        <v> </v>
      </c>
      <c r="L5678" s="27"/>
    </row>
    <row r="5679" spans="1:12">
      <c r="A5679" s="20" t="s">
        <v>2454</v>
      </c>
      <c r="E5679" s="22">
        <f>IF(D5679="?OLD","!!!","")</f>
        <v/>
      </c>
      <c r="F5679" s="23" t="str">
        <f>IF(OR(E5679="",E5679="!!!"),"",IF(NOT(ISNA(VLOOKUP(E5679,E$1:E5678,1,FALSE()))),"OLD",IF(AND(E5679&lt;&gt;"",E5679&lt;&gt;"!!!"),"NEW","")))</f>
        <v> </v>
      </c>
      <c r="G5679" s="24" t="str">
        <f>IF(OR(E5679="",E5679="!!!"),"",IF(OR(J5679=0,AND(J5679=1,K5679=1),AND(J5679=1,I5679="SBJ"),AND(J5679=1,I5679=0)),"?IN_FOCUS",IF(J5679&lt;=2,"?ACTIVATED",IF(J5679&lt;&gt;"","?FAMILIAR",IF(F5679="NEW",IF(ISNA(VLOOKUP(E5679,#REF!,1,FALSE())),"?TYPE_IDENTIFIABLE","?REFERENTIAL"),"_")))))</f>
        <v> </v>
      </c>
      <c r="H5679" s="25" t="str">
        <f>IF(J5679&lt;&gt;1,"",IF(I5679="SBJ","CB","?"))</f>
        <v> </v>
      </c>
      <c r="I5679" s="26" t="str">
        <f>IF(OR(E5679="",E5679="!!!",F5679="NEW"),"",INDEX(B5678:B$2,-1+SUMPRODUCT(MAX(ROW(E5678:E$2)*(E5679=E5678:E$2)))))</f>
        <v> </v>
      </c>
      <c r="J5679" s="26" t="str">
        <f>IF(OR(E5679="",E5679="!!!",F5679="NEW"),"",COUNTBLANK(OFFSET(A$1,,,SUMPRODUCT(MAX(ROW(E$2:E5679)*(E5679=E$2:E5679)))))-COUNTBLANK(OFFSET(A$1,,,SUMPRODUCT(MAX(ROW(E$1:E5678)*(E2=E$1:E5678))))))</f>
        <v> </v>
      </c>
      <c r="K5679" s="26" t="str">
        <f>IF(OR(E5679="",E5679="!!!",F5679="NEW"),"",INDEX(J$1:J5678,SUMPRODUCT(MAX(ROW(E$1:E5678)*(E5679=E$1:E5678)))))</f>
        <v> </v>
      </c>
      <c r="L5679" s="27"/>
    </row>
    <row r="5680" spans="1:12">
      <c r="A5680" s="20" t="s">
        <v>1022</v>
      </c>
      <c r="E5680" s="22">
        <f>IF(D5680="?OLD","!!!","")</f>
        <v/>
      </c>
      <c r="F5680" s="23" t="str">
        <f>IF(OR(E5680="",E5680="!!!"),"",IF(NOT(ISNA(VLOOKUP(E5680,E$1:E5679,1,FALSE()))),"OLD",IF(AND(E5680&lt;&gt;"",E5680&lt;&gt;"!!!"),"NEW","")))</f>
        <v> </v>
      </c>
      <c r="G5680" s="24" t="str">
        <f>IF(OR(E5680="",E5680="!!!"),"",IF(OR(J5680=0,AND(J5680=1,K5680=1),AND(J5680=1,I5680="SBJ"),AND(J5680=1,I5680=0)),"?IN_FOCUS",IF(J5680&lt;=2,"?ACTIVATED",IF(J5680&lt;&gt;"","?FAMILIAR",IF(F5680="NEW",IF(ISNA(VLOOKUP(E5680,#REF!,1,FALSE())),"?TYPE_IDENTIFIABLE","?REFERENTIAL"),"_")))))</f>
        <v> </v>
      </c>
      <c r="H5680" s="25" t="str">
        <f>IF(J5680&lt;&gt;1,"",IF(I5680="SBJ","CB","?"))</f>
        <v> </v>
      </c>
      <c r="I5680" s="26" t="str">
        <f>IF(OR(E5680="",E5680="!!!",F5680="NEW"),"",INDEX(B5679:B$2,-1+SUMPRODUCT(MAX(ROW(E5679:E$2)*(E5680=E5679:E$2)))))</f>
        <v> </v>
      </c>
      <c r="J5680" s="26" t="str">
        <f>IF(OR(E5680="",E5680="!!!",F5680="NEW"),"",COUNTBLANK(OFFSET(A$1,,,SUMPRODUCT(MAX(ROW(E$2:E5680)*(E5680=E$2:E5680)))))-COUNTBLANK(OFFSET(A$1,,,SUMPRODUCT(MAX(ROW(E$1:E5679)*(E2=E$1:E5679))))))</f>
        <v> </v>
      </c>
      <c r="K5680" s="26" t="str">
        <f>IF(OR(E5680="",E5680="!!!",F5680="NEW"),"",INDEX(J$1:J5679,SUMPRODUCT(MAX(ROW(E$1:E5679)*(E5680=E$1:E5679)))))</f>
        <v> </v>
      </c>
      <c r="L5680" s="27"/>
    </row>
    <row r="5681" spans="1:12">
      <c r="A5681" s="20" t="s">
        <v>1079</v>
      </c>
      <c r="B5681" s="21" t="s">
        <v>1142</v>
      </c>
      <c r="C5681" s="21" t="s">
        <v>1015</v>
      </c>
      <c r="D5681" s="21" t="s">
        <v>997</v>
      </c>
      <c r="E5681" s="22">
        <f>IF(D5681="?OLD","!!!","")</f>
        <v/>
      </c>
      <c r="F5681" s="23" t="str">
        <f>IF(OR(E5681="",E5681="!!!"),"",IF(NOT(ISNA(VLOOKUP(E5681,E$1:E5680,1,FALSE()))),"OLD",IF(AND(E5681&lt;&gt;"",E5681&lt;&gt;"!!!"),"NEW","")))</f>
        <v> </v>
      </c>
      <c r="G5681" s="24" t="str">
        <f>IF(OR(E5681="",E5681="!!!"),"",IF(OR(J5681=0,AND(J5681=1,K5681=1),AND(J5681=1,I5681="SBJ"),AND(J5681=1,I5681=0)),"?IN_FOCUS",IF(J5681&lt;=2,"?ACTIVATED",IF(J5681&lt;&gt;"","?FAMILIAR",IF(F5681="NEW",IF(ISNA(VLOOKUP(E5681,#REF!,1,FALSE())),"?TYPE_IDENTIFIABLE","?REFERENTIAL"),"_")))))</f>
        <v> </v>
      </c>
      <c r="H5681" s="25" t="str">
        <f>IF(J5681&lt;&gt;1,"",IF(I5681="SBJ","CB","?"))</f>
        <v> </v>
      </c>
      <c r="I5681" s="26" t="str">
        <f>IF(OR(E5681="",E5681="!!!",F5681="NEW"),"",INDEX(B5680:B$2,-1+SUMPRODUCT(MAX(ROW(E5680:E$2)*(E5681=E5680:E$2)))))</f>
        <v> </v>
      </c>
      <c r="J5681" s="26" t="str">
        <f>IF(OR(E5681="",E5681="!!!",F5681="NEW"),"",COUNTBLANK(OFFSET(A$1,,,SUMPRODUCT(MAX(ROW(E$2:E5681)*(E5681=E$2:E5681)))))-COUNTBLANK(OFFSET(A$1,,,SUMPRODUCT(MAX(ROW(E$1:E5680)*(E2=E$1:E5680))))))</f>
        <v> </v>
      </c>
      <c r="K5681" s="26" t="str">
        <f>IF(OR(E5681="",E5681="!!!",F5681="NEW"),"",INDEX(J$1:J5680,SUMPRODUCT(MAX(ROW(E$1:E5680)*(E5681=E$1:E5680)))))</f>
        <v> </v>
      </c>
      <c r="L5681" s="27"/>
    </row>
    <row r="5682" spans="1:12">
      <c r="A5682" s="20" t="s">
        <v>1376</v>
      </c>
      <c r="E5682" s="22">
        <f>IF(D5682="?OLD","!!!","")</f>
        <v/>
      </c>
      <c r="F5682" s="23" t="str">
        <f>IF(OR(E5682="",E5682="!!!"),"",IF(NOT(ISNA(VLOOKUP(E5682,E$1:E5681,1,FALSE()))),"OLD",IF(AND(E5682&lt;&gt;"",E5682&lt;&gt;"!!!"),"NEW","")))</f>
        <v> </v>
      </c>
      <c r="G5682" s="24" t="str">
        <f>IF(OR(E5682="",E5682="!!!"),"",IF(OR(J5682=0,AND(J5682=1,K5682=1),AND(J5682=1,I5682="SBJ"),AND(J5682=1,I5682=0)),"?IN_FOCUS",IF(J5682&lt;=2,"?ACTIVATED",IF(J5682&lt;&gt;"","?FAMILIAR",IF(F5682="NEW",IF(ISNA(VLOOKUP(E5682,#REF!,1,FALSE())),"?TYPE_IDENTIFIABLE","?REFERENTIAL"),"_")))))</f>
        <v> </v>
      </c>
      <c r="H5682" s="25" t="str">
        <f>IF(J5682&lt;&gt;1,"",IF(I5682="SBJ","CB","?"))</f>
        <v> </v>
      </c>
      <c r="I5682" s="26" t="str">
        <f>IF(OR(E5682="",E5682="!!!",F5682="NEW"),"",INDEX(B5681:B$2,-1+SUMPRODUCT(MAX(ROW(E5681:E$2)*(E5682=E5681:E$2)))))</f>
        <v> </v>
      </c>
      <c r="J5682" s="26" t="str">
        <f>IF(OR(E5682="",E5682="!!!",F5682="NEW"),"",COUNTBLANK(OFFSET(A$1,,,SUMPRODUCT(MAX(ROW(E$2:E5682)*(E5682=E$2:E5682)))))-COUNTBLANK(OFFSET(A$1,,,SUMPRODUCT(MAX(ROW(E$1:E5681)*(E2=E$1:E5681))))))</f>
        <v> </v>
      </c>
      <c r="K5682" s="26" t="str">
        <f>IF(OR(E5682="",E5682="!!!",F5682="NEW"),"",INDEX(J$1:J5681,SUMPRODUCT(MAX(ROW(E$1:E5681)*(E5682=E$1:E5681)))))</f>
        <v> </v>
      </c>
      <c r="L5682" s="27"/>
    </row>
    <row r="5683" spans="1:12">
      <c r="A5683" s="20" t="s">
        <v>2455</v>
      </c>
      <c r="E5683" s="22">
        <f>IF(D5683="?OLD","!!!","")</f>
        <v/>
      </c>
      <c r="F5683" s="23" t="str">
        <f>IF(OR(E5683="",E5683="!!!"),"",IF(NOT(ISNA(VLOOKUP(E5683,E$1:E5682,1,FALSE()))),"OLD",IF(AND(E5683&lt;&gt;"",E5683&lt;&gt;"!!!"),"NEW","")))</f>
        <v> </v>
      </c>
      <c r="G5683" s="24" t="str">
        <f>IF(OR(E5683="",E5683="!!!"),"",IF(OR(J5683=0,AND(J5683=1,K5683=1),AND(J5683=1,I5683="SBJ"),AND(J5683=1,I5683=0)),"?IN_FOCUS",IF(J5683&lt;=2,"?ACTIVATED",IF(J5683&lt;&gt;"","?FAMILIAR",IF(F5683="NEW",IF(ISNA(VLOOKUP(E5683,#REF!,1,FALSE())),"?TYPE_IDENTIFIABLE","?REFERENTIAL"),"_")))))</f>
        <v> </v>
      </c>
      <c r="H5683" s="25" t="str">
        <f>IF(J5683&lt;&gt;1,"",IF(I5683="SBJ","CB","?"))</f>
        <v> </v>
      </c>
      <c r="I5683" s="26" t="str">
        <f>IF(OR(E5683="",E5683="!!!",F5683="NEW"),"",INDEX(B5682:B$2,-1+SUMPRODUCT(MAX(ROW(E5682:E$2)*(E5683=E5682:E$2)))))</f>
        <v> </v>
      </c>
      <c r="J5683" s="26" t="str">
        <f>IF(OR(E5683="",E5683="!!!",F5683="NEW"),"",COUNTBLANK(OFFSET(A$1,,,SUMPRODUCT(MAX(ROW(E$2:E5683)*(E5683=E$2:E5683)))))-COUNTBLANK(OFFSET(A$1,,,SUMPRODUCT(MAX(ROW(E$1:E5682)*(E2=E$1:E5682))))))</f>
        <v> </v>
      </c>
      <c r="K5683" s="26" t="str">
        <f>IF(OR(E5683="",E5683="!!!",F5683="NEW"),"",INDEX(J$1:J5682,SUMPRODUCT(MAX(ROW(E$1:E5682)*(E5683=E$1:E5682)))))</f>
        <v> </v>
      </c>
      <c r="L5683" s="27"/>
    </row>
    <row r="5684" spans="1:12">
      <c r="A5684" s="20" t="s">
        <v>1041</v>
      </c>
      <c r="E5684" s="22">
        <f>IF(D5684="?OLD","!!!","")</f>
        <v/>
      </c>
      <c r="F5684" s="23" t="str">
        <f>IF(OR(E5684="",E5684="!!!"),"",IF(NOT(ISNA(VLOOKUP(E5684,E$1:E5683,1,FALSE()))),"OLD",IF(AND(E5684&lt;&gt;"",E5684&lt;&gt;"!!!"),"NEW","")))</f>
        <v> </v>
      </c>
      <c r="G5684" s="24" t="str">
        <f>IF(OR(E5684="",E5684="!!!"),"",IF(OR(J5684=0,AND(J5684=1,K5684=1),AND(J5684=1,I5684="SBJ"),AND(J5684=1,I5684=0)),"?IN_FOCUS",IF(J5684&lt;=2,"?ACTIVATED",IF(J5684&lt;&gt;"","?FAMILIAR",IF(F5684="NEW",IF(ISNA(VLOOKUP(E5684,#REF!,1,FALSE())),"?TYPE_IDENTIFIABLE","?REFERENTIAL"),"_")))))</f>
        <v> </v>
      </c>
      <c r="H5684" s="25" t="str">
        <f>IF(J5684&lt;&gt;1,"",IF(I5684="SBJ","CB","?"))</f>
        <v> </v>
      </c>
      <c r="I5684" s="26" t="str">
        <f>IF(OR(E5684="",E5684="!!!",F5684="NEW"),"",INDEX(B5683:B$2,-1+SUMPRODUCT(MAX(ROW(E5683:E$2)*(E5684=E5683:E$2)))))</f>
        <v> </v>
      </c>
      <c r="J5684" s="26" t="str">
        <f>IF(OR(E5684="",E5684="!!!",F5684="NEW"),"",COUNTBLANK(OFFSET(A$1,,,SUMPRODUCT(MAX(ROW(E$2:E5684)*(E5684=E$2:E5684)))))-COUNTBLANK(OFFSET(A$1,,,SUMPRODUCT(MAX(ROW(E$1:E5683)*(E2=E$1:E5683))))))</f>
        <v> </v>
      </c>
      <c r="K5684" s="26" t="str">
        <f>IF(OR(E5684="",E5684="!!!",F5684="NEW"),"",INDEX(J$1:J5683,SUMPRODUCT(MAX(ROW(E$1:E5683)*(E5684=E$1:E5683)))))</f>
        <v> </v>
      </c>
      <c r="L5684" s="27"/>
    </row>
    <row r="5685" spans="1:12">
      <c r="A5685" s="20" t="s">
        <v>1497</v>
      </c>
      <c r="E5685" s="22">
        <f>IF(D5685="?OLD","!!!","")</f>
        <v/>
      </c>
      <c r="F5685" s="23" t="str">
        <f>IF(OR(E5685="",E5685="!!!"),"",IF(NOT(ISNA(VLOOKUP(E5685,E$1:E5684,1,FALSE()))),"OLD",IF(AND(E5685&lt;&gt;"",E5685&lt;&gt;"!!!"),"NEW","")))</f>
        <v> </v>
      </c>
      <c r="G5685" s="24" t="str">
        <f>IF(OR(E5685="",E5685="!!!"),"",IF(OR(J5685=0,AND(J5685=1,K5685=1),AND(J5685=1,I5685="SBJ"),AND(J5685=1,I5685=0)),"?IN_FOCUS",IF(J5685&lt;=2,"?ACTIVATED",IF(J5685&lt;&gt;"","?FAMILIAR",IF(F5685="NEW",IF(ISNA(VLOOKUP(E5685,#REF!,1,FALSE())),"?TYPE_IDENTIFIABLE","?REFERENTIAL"),"_")))))</f>
        <v> </v>
      </c>
      <c r="H5685" s="25" t="str">
        <f>IF(J5685&lt;&gt;1,"",IF(I5685="SBJ","CB","?"))</f>
        <v> </v>
      </c>
      <c r="I5685" s="26" t="str">
        <f>IF(OR(E5685="",E5685="!!!",F5685="NEW"),"",INDEX(B5684:B$2,-1+SUMPRODUCT(MAX(ROW(E5684:E$2)*(E5685=E5684:E$2)))))</f>
        <v> </v>
      </c>
      <c r="J5685" s="26" t="str">
        <f>IF(OR(E5685="",E5685="!!!",F5685="NEW"),"",COUNTBLANK(OFFSET(A$1,,,SUMPRODUCT(MAX(ROW(E$2:E5685)*(E5685=E$2:E5685)))))-COUNTBLANK(OFFSET(A$1,,,SUMPRODUCT(MAX(ROW(E$1:E5684)*(E2=E$1:E5684))))))</f>
        <v> </v>
      </c>
      <c r="K5685" s="26" t="str">
        <f>IF(OR(E5685="",E5685="!!!",F5685="NEW"),"",INDEX(J$1:J5684,SUMPRODUCT(MAX(ROW(E$1:E5684)*(E5685=E$1:E5684)))))</f>
        <v> </v>
      </c>
      <c r="L5685" s="27"/>
    </row>
    <row r="5686" spans="1:12">
      <c r="A5686" s="20" t="s">
        <v>2456</v>
      </c>
      <c r="E5686" s="22">
        <f>IF(D5686="?OLD","!!!","")</f>
        <v/>
      </c>
      <c r="F5686" s="23" t="str">
        <f>IF(OR(E5686="",E5686="!!!"),"",IF(NOT(ISNA(VLOOKUP(E5686,E$1:E5685,1,FALSE()))),"OLD",IF(AND(E5686&lt;&gt;"",E5686&lt;&gt;"!!!"),"NEW","")))</f>
        <v> </v>
      </c>
      <c r="G5686" s="24" t="str">
        <f>IF(OR(E5686="",E5686="!!!"),"",IF(OR(J5686=0,AND(J5686=1,K5686=1),AND(J5686=1,I5686="SBJ"),AND(J5686=1,I5686=0)),"?IN_FOCUS",IF(J5686&lt;=2,"?ACTIVATED",IF(J5686&lt;&gt;"","?FAMILIAR",IF(F5686="NEW",IF(ISNA(VLOOKUP(E5686,#REF!,1,FALSE())),"?TYPE_IDENTIFIABLE","?REFERENTIAL"),"_")))))</f>
        <v> </v>
      </c>
      <c r="H5686" s="25" t="str">
        <f>IF(J5686&lt;&gt;1,"",IF(I5686="SBJ","CB","?"))</f>
        <v> </v>
      </c>
      <c r="I5686" s="26" t="str">
        <f>IF(OR(E5686="",E5686="!!!",F5686="NEW"),"",INDEX(B5685:B$2,-1+SUMPRODUCT(MAX(ROW(E5685:E$2)*(E5686=E5685:E$2)))))</f>
        <v> </v>
      </c>
      <c r="J5686" s="26" t="str">
        <f>IF(OR(E5686="",E5686="!!!",F5686="NEW"),"",COUNTBLANK(OFFSET(A$1,,,SUMPRODUCT(MAX(ROW(E$2:E5686)*(E5686=E$2:E5686)))))-COUNTBLANK(OFFSET(A$1,,,SUMPRODUCT(MAX(ROW(E$1:E5685)*(E2=E$1:E5685))))))</f>
        <v> </v>
      </c>
      <c r="K5686" s="26" t="str">
        <f>IF(OR(E5686="",E5686="!!!",F5686="NEW"),"",INDEX(J$1:J5685,SUMPRODUCT(MAX(ROW(E$1:E5685)*(E5686=E$1:E5685)))))</f>
        <v> </v>
      </c>
      <c r="L5686" s="27"/>
    </row>
    <row r="5687" spans="1:12">
      <c r="A5687" s="20" t="s">
        <v>1060</v>
      </c>
      <c r="E5687" s="22">
        <f>IF(D5687="?OLD","!!!","")</f>
        <v/>
      </c>
      <c r="F5687" s="23" t="str">
        <f>IF(OR(E5687="",E5687="!!!"),"",IF(NOT(ISNA(VLOOKUP(E5687,E$1:E5686,1,FALSE()))),"OLD",IF(AND(E5687&lt;&gt;"",E5687&lt;&gt;"!!!"),"NEW","")))</f>
        <v> </v>
      </c>
      <c r="G5687" s="24" t="str">
        <f>IF(OR(E5687="",E5687="!!!"),"",IF(OR(J5687=0,AND(J5687=1,K5687=1),AND(J5687=1,I5687="SBJ"),AND(J5687=1,I5687=0)),"?IN_FOCUS",IF(J5687&lt;=2,"?ACTIVATED",IF(J5687&lt;&gt;"","?FAMILIAR",IF(F5687="NEW",IF(ISNA(VLOOKUP(E5687,#REF!,1,FALSE())),"?TYPE_IDENTIFIABLE","?REFERENTIAL"),"_")))))</f>
        <v> </v>
      </c>
      <c r="H5687" s="25" t="str">
        <f>IF(J5687&lt;&gt;1,"",IF(I5687="SBJ","CB","?"))</f>
        <v> </v>
      </c>
      <c r="I5687" s="26" t="str">
        <f>IF(OR(E5687="",E5687="!!!",F5687="NEW"),"",INDEX(B5686:B$2,-1+SUMPRODUCT(MAX(ROW(E5686:E$2)*(E5687=E5686:E$2)))))</f>
        <v> </v>
      </c>
      <c r="J5687" s="26" t="str">
        <f>IF(OR(E5687="",E5687="!!!",F5687="NEW"),"",COUNTBLANK(OFFSET(A$1,,,SUMPRODUCT(MAX(ROW(E$2:E5687)*(E5687=E$2:E5687)))))-COUNTBLANK(OFFSET(A$1,,,SUMPRODUCT(MAX(ROW(E$1:E5686)*(E2=E$1:E5686))))))</f>
        <v> </v>
      </c>
      <c r="K5687" s="26" t="str">
        <f>IF(OR(E5687="",E5687="!!!",F5687="NEW"),"",INDEX(J$1:J5686,SUMPRODUCT(MAX(ROW(E$1:E5686)*(E5687=E$1:E5686)))))</f>
        <v> </v>
      </c>
      <c r="L5687" s="27"/>
    </row>
    <row r="5688" spans="1:12">
      <c r="A5688" s="20" t="s">
        <v>2216</v>
      </c>
      <c r="B5688" s="21" t="s">
        <v>1067</v>
      </c>
      <c r="C5688" s="21" t="s">
        <v>1034</v>
      </c>
      <c r="D5688" s="21" t="s">
        <v>997</v>
      </c>
      <c r="E5688" s="22">
        <f>IF(D5688="?OLD","!!!","")</f>
        <v/>
      </c>
      <c r="F5688" s="23" t="str">
        <f>IF(OR(E5688="",E5688="!!!"),"",IF(NOT(ISNA(VLOOKUP(E5688,E$1:E5687,1,FALSE()))),"OLD",IF(AND(E5688&lt;&gt;"",E5688&lt;&gt;"!!!"),"NEW","")))</f>
        <v> </v>
      </c>
      <c r="G5688" s="24" t="str">
        <f>IF(OR(E5688="",E5688="!!!"),"",IF(OR(J5688=0,AND(J5688=1,K5688=1),AND(J5688=1,I5688="SBJ"),AND(J5688=1,I5688=0)),"?IN_FOCUS",IF(J5688&lt;=2,"?ACTIVATED",IF(J5688&lt;&gt;"","?FAMILIAR",IF(F5688="NEW",IF(ISNA(VLOOKUP(E5688,#REF!,1,FALSE())),"?TYPE_IDENTIFIABLE","?REFERENTIAL"),"_")))))</f>
        <v> </v>
      </c>
      <c r="H5688" s="25" t="str">
        <f>IF(J5688&lt;&gt;1,"",IF(I5688="SBJ","CB","?"))</f>
        <v> </v>
      </c>
      <c r="I5688" s="26" t="str">
        <f>IF(OR(E5688="",E5688="!!!",F5688="NEW"),"",INDEX(B5687:B$2,-1+SUMPRODUCT(MAX(ROW(E5687:E$2)*(E5688=E5687:E$2)))))</f>
        <v> </v>
      </c>
      <c r="J5688" s="26" t="str">
        <f>IF(OR(E5688="",E5688="!!!",F5688="NEW"),"",COUNTBLANK(OFFSET(A$1,,,SUMPRODUCT(MAX(ROW(E$2:E5688)*(E5688=E$2:E5688)))))-COUNTBLANK(OFFSET(A$1,,,SUMPRODUCT(MAX(ROW(E$1:E5687)*(E2=E$1:E5687))))))</f>
        <v> </v>
      </c>
      <c r="K5688" s="26" t="str">
        <f>IF(OR(E5688="",E5688="!!!",F5688="NEW"),"",INDEX(J$1:J5687,SUMPRODUCT(MAX(ROW(E$1:E5687)*(E5688=E$1:E5687)))))</f>
        <v> </v>
      </c>
      <c r="L5688" s="27"/>
    </row>
    <row r="5689" spans="1:12">
      <c r="A5689" s="20" t="s">
        <v>1008</v>
      </c>
      <c r="E5689" s="22">
        <f>IF(D5689="?OLD","!!!","")</f>
        <v/>
      </c>
      <c r="F5689" s="23" t="str">
        <f>IF(OR(E5689="",E5689="!!!"),"",IF(NOT(ISNA(VLOOKUP(E5689,E$1:E5688,1,FALSE()))),"OLD",IF(AND(E5689&lt;&gt;"",E5689&lt;&gt;"!!!"),"NEW","")))</f>
        <v> </v>
      </c>
      <c r="G5689" s="24" t="str">
        <f>IF(OR(E5689="",E5689="!!!"),"",IF(OR(J5689=0,AND(J5689=1,K5689=1),AND(J5689=1,I5689="SBJ"),AND(J5689=1,I5689=0)),"?IN_FOCUS",IF(J5689&lt;=2,"?ACTIVATED",IF(J5689&lt;&gt;"","?FAMILIAR",IF(F5689="NEW",IF(ISNA(VLOOKUP(E5689,#REF!,1,FALSE())),"?TYPE_IDENTIFIABLE","?REFERENTIAL"),"_")))))</f>
        <v> </v>
      </c>
      <c r="H5689" s="25" t="str">
        <f>IF(J5689&lt;&gt;1,"",IF(I5689="SBJ","CB","?"))</f>
        <v> </v>
      </c>
      <c r="I5689" s="26" t="str">
        <f>IF(OR(E5689="",E5689="!!!",F5689="NEW"),"",INDEX(B5688:B$2,-1+SUMPRODUCT(MAX(ROW(E5688:E$2)*(E5689=E5688:E$2)))))</f>
        <v> </v>
      </c>
      <c r="J5689" s="26" t="str">
        <f>IF(OR(E5689="",E5689="!!!",F5689="NEW"),"",COUNTBLANK(OFFSET(A$1,,,SUMPRODUCT(MAX(ROW(E$2:E5689)*(E5689=E$2:E5689)))))-COUNTBLANK(OFFSET(A$1,,,SUMPRODUCT(MAX(ROW(E$1:E5688)*(E2=E$1:E5688))))))</f>
        <v> </v>
      </c>
      <c r="K5689" s="26" t="str">
        <f>IF(OR(E5689="",E5689="!!!",F5689="NEW"),"",INDEX(J$1:J5688,SUMPRODUCT(MAX(ROW(E$1:E5688)*(E5689=E$1:E5688)))))</f>
        <v> </v>
      </c>
      <c r="L5689" s="27"/>
    </row>
    <row r="5690" spans="1:12">
      <c r="A5690" s="20" t="s">
        <v>1061</v>
      </c>
      <c r="E5690" s="22">
        <f>IF(D5690="?OLD","!!!","")</f>
        <v/>
      </c>
      <c r="F5690" s="23" t="str">
        <f>IF(OR(E5690="",E5690="!!!"),"",IF(NOT(ISNA(VLOOKUP(E5690,E$1:E5689,1,FALSE()))),"OLD",IF(AND(E5690&lt;&gt;"",E5690&lt;&gt;"!!!"),"NEW","")))</f>
        <v> </v>
      </c>
      <c r="G5690" s="24" t="str">
        <f>IF(OR(E5690="",E5690="!!!"),"",IF(OR(J5690=0,AND(J5690=1,K5690=1),AND(J5690=1,I5690="SBJ"),AND(J5690=1,I5690=0)),"?IN_FOCUS",IF(J5690&lt;=2,"?ACTIVATED",IF(J5690&lt;&gt;"","?FAMILIAR",IF(F5690="NEW",IF(ISNA(VLOOKUP(E5690,#REF!,1,FALSE())),"?TYPE_IDENTIFIABLE","?REFERENTIAL"),"_")))))</f>
        <v> </v>
      </c>
      <c r="H5690" s="25" t="str">
        <f>IF(J5690&lt;&gt;1,"",IF(I5690="SBJ","CB","?"))</f>
        <v> </v>
      </c>
      <c r="I5690" s="26" t="str">
        <f>IF(OR(E5690="",E5690="!!!",F5690="NEW"),"",INDEX(B5689:B$2,-1+SUMPRODUCT(MAX(ROW(E5689:E$2)*(E5690=E5689:E$2)))))</f>
        <v> </v>
      </c>
      <c r="J5690" s="26" t="str">
        <f>IF(OR(E5690="",E5690="!!!",F5690="NEW"),"",COUNTBLANK(OFFSET(A$1,,,SUMPRODUCT(MAX(ROW(E$2:E5690)*(E5690=E$2:E5690)))))-COUNTBLANK(OFFSET(A$1,,,SUMPRODUCT(MAX(ROW(E$1:E5689)*(E2=E$1:E5689))))))</f>
        <v> </v>
      </c>
      <c r="K5690" s="26" t="str">
        <f>IF(OR(E5690="",E5690="!!!",F5690="NEW"),"",INDEX(J$1:J5689,SUMPRODUCT(MAX(ROW(E$1:E5689)*(E5690=E$1:E5689)))))</f>
        <v> </v>
      </c>
      <c r="L5690" s="27"/>
    </row>
    <row r="5691" spans="1:12">
      <c r="A5691" s="20" t="s">
        <v>408</v>
      </c>
      <c r="B5691" s="21" t="s">
        <v>1005</v>
      </c>
      <c r="C5691" s="21" t="s">
        <v>1034</v>
      </c>
      <c r="D5691" s="21" t="s">
        <v>997</v>
      </c>
      <c r="E5691" s="22">
        <f>IF(D5691="?OLD","!!!","")</f>
        <v/>
      </c>
      <c r="F5691" s="23" t="str">
        <f>IF(OR(E5691="",E5691="!!!"),"",IF(NOT(ISNA(VLOOKUP(E5691,E$1:E5690,1,FALSE()))),"OLD",IF(AND(E5691&lt;&gt;"",E5691&lt;&gt;"!!!"),"NEW","")))</f>
        <v> </v>
      </c>
      <c r="G5691" s="24" t="str">
        <f>IF(OR(E5691="",E5691="!!!"),"",IF(OR(J5691=0,AND(J5691=1,K5691=1),AND(J5691=1,I5691="SBJ"),AND(J5691=1,I5691=0)),"?IN_FOCUS",IF(J5691&lt;=2,"?ACTIVATED",IF(J5691&lt;&gt;"","?FAMILIAR",IF(F5691="NEW",IF(ISNA(VLOOKUP(E5691,#REF!,1,FALSE())),"?TYPE_IDENTIFIABLE","?REFERENTIAL"),"_")))))</f>
        <v> </v>
      </c>
      <c r="H5691" s="25" t="str">
        <f>IF(J5691&lt;&gt;1,"",IF(I5691="SBJ","CB","?"))</f>
        <v> </v>
      </c>
      <c r="I5691" s="26" t="str">
        <f>IF(OR(E5691="",E5691="!!!",F5691="NEW"),"",INDEX(B5690:B$2,-1+SUMPRODUCT(MAX(ROW(E5690:E$2)*(E5691=E5690:E$2)))))</f>
        <v> </v>
      </c>
      <c r="J5691" s="26" t="str">
        <f>IF(OR(E5691="",E5691="!!!",F5691="NEW"),"",COUNTBLANK(OFFSET(A$1,,,SUMPRODUCT(MAX(ROW(E$2:E5691)*(E5691=E$2:E5691)))))-COUNTBLANK(OFFSET(A$1,,,SUMPRODUCT(MAX(ROW(E$1:E5690)*(E2=E$1:E5690))))))</f>
        <v> </v>
      </c>
      <c r="K5691" s="26" t="str">
        <f>IF(OR(E5691="",E5691="!!!",F5691="NEW"),"",INDEX(J$1:J5690,SUMPRODUCT(MAX(ROW(E$1:E5690)*(E5691=E$1:E5690)))))</f>
        <v> </v>
      </c>
      <c r="L5691" s="27"/>
    </row>
    <row r="5692" spans="1:12">
      <c r="A5692" s="20" t="s">
        <v>1041</v>
      </c>
      <c r="E5692" s="22">
        <f>IF(D5692="?OLD","!!!","")</f>
        <v/>
      </c>
      <c r="F5692" s="23" t="str">
        <f>IF(OR(E5692="",E5692="!!!"),"",IF(NOT(ISNA(VLOOKUP(E5692,E$1:E5691,1,FALSE()))),"OLD",IF(AND(E5692&lt;&gt;"",E5692&lt;&gt;"!!!"),"NEW","")))</f>
        <v> </v>
      </c>
      <c r="G5692" s="24" t="str">
        <f>IF(OR(E5692="",E5692="!!!"),"",IF(OR(J5692=0,AND(J5692=1,K5692=1),AND(J5692=1,I5692="SBJ"),AND(J5692=1,I5692=0)),"?IN_FOCUS",IF(J5692&lt;=2,"?ACTIVATED",IF(J5692&lt;&gt;"","?FAMILIAR",IF(F5692="NEW",IF(ISNA(VLOOKUP(E5692,#REF!,1,FALSE())),"?TYPE_IDENTIFIABLE","?REFERENTIAL"),"_")))))</f>
        <v> </v>
      </c>
      <c r="H5692" s="25" t="str">
        <f>IF(J5692&lt;&gt;1,"",IF(I5692="SBJ","CB","?"))</f>
        <v> </v>
      </c>
      <c r="I5692" s="26" t="str">
        <f>IF(OR(E5692="",E5692="!!!",F5692="NEW"),"",INDEX(B5691:B$2,-1+SUMPRODUCT(MAX(ROW(E5691:E$2)*(E5692=E5691:E$2)))))</f>
        <v> </v>
      </c>
      <c r="J5692" s="26" t="str">
        <f>IF(OR(E5692="",E5692="!!!",F5692="NEW"),"",COUNTBLANK(OFFSET(A$1,,,SUMPRODUCT(MAX(ROW(E$2:E5692)*(E5692=E$2:E5692)))))-COUNTBLANK(OFFSET(A$1,,,SUMPRODUCT(MAX(ROW(E$1:E5691)*(E2=E$1:E5691))))))</f>
        <v> </v>
      </c>
      <c r="K5692" s="26" t="str">
        <f>IF(OR(E5692="",E5692="!!!",F5692="NEW"),"",INDEX(J$1:J5691,SUMPRODUCT(MAX(ROW(E$1:E5691)*(E5692=E$1:E5691)))))</f>
        <v> </v>
      </c>
      <c r="L5692" s="27"/>
    </row>
    <row r="5693" spans="1:12">
      <c r="A5693" s="20" t="s">
        <v>1249</v>
      </c>
      <c r="E5693" s="22">
        <f>IF(D5693="?OLD","!!!","")</f>
        <v/>
      </c>
      <c r="F5693" s="23" t="str">
        <f>IF(OR(E5693="",E5693="!!!"),"",IF(NOT(ISNA(VLOOKUP(E5693,E$1:E5692,1,FALSE()))),"OLD",IF(AND(E5693&lt;&gt;"",E5693&lt;&gt;"!!!"),"NEW","")))</f>
        <v> </v>
      </c>
      <c r="G5693" s="24" t="str">
        <f>IF(OR(E5693="",E5693="!!!"),"",IF(OR(J5693=0,AND(J5693=1,K5693=1),AND(J5693=1,I5693="SBJ"),AND(J5693=1,I5693=0)),"?IN_FOCUS",IF(J5693&lt;=2,"?ACTIVATED",IF(J5693&lt;&gt;"","?FAMILIAR",IF(F5693="NEW",IF(ISNA(VLOOKUP(E5693,#REF!,1,FALSE())),"?TYPE_IDENTIFIABLE","?REFERENTIAL"),"_")))))</f>
        <v> </v>
      </c>
      <c r="H5693" s="25" t="str">
        <f>IF(J5693&lt;&gt;1,"",IF(I5693="SBJ","CB","?"))</f>
        <v> </v>
      </c>
      <c r="I5693" s="26" t="str">
        <f>IF(OR(E5693="",E5693="!!!",F5693="NEW"),"",INDEX(B5692:B$2,-1+SUMPRODUCT(MAX(ROW(E5692:E$2)*(E5693=E5692:E$2)))))</f>
        <v> </v>
      </c>
      <c r="J5693" s="26" t="str">
        <f>IF(OR(E5693="",E5693="!!!",F5693="NEW"),"",COUNTBLANK(OFFSET(A$1,,,SUMPRODUCT(MAX(ROW(E$2:E5693)*(E5693=E$2:E5693)))))-COUNTBLANK(OFFSET(A$1,,,SUMPRODUCT(MAX(ROW(E$1:E5692)*(E2=E$1:E5692))))))</f>
        <v> </v>
      </c>
      <c r="K5693" s="26" t="str">
        <f>IF(OR(E5693="",E5693="!!!",F5693="NEW"),"",INDEX(J$1:J5692,SUMPRODUCT(MAX(ROW(E$1:E5692)*(E5693=E$1:E5692)))))</f>
        <v> </v>
      </c>
      <c r="L5693" s="27"/>
    </row>
    <row r="5694" spans="1:12">
      <c r="A5694" s="20" t="s">
        <v>1041</v>
      </c>
      <c r="E5694" s="22">
        <f>IF(D5694="?OLD","!!!","")</f>
        <v/>
      </c>
      <c r="F5694" s="23" t="str">
        <f>IF(OR(E5694="",E5694="!!!"),"",IF(NOT(ISNA(VLOOKUP(E5694,E$1:E5693,1,FALSE()))),"OLD",IF(AND(E5694&lt;&gt;"",E5694&lt;&gt;"!!!"),"NEW","")))</f>
        <v> </v>
      </c>
      <c r="G5694" s="24" t="str">
        <f>IF(OR(E5694="",E5694="!!!"),"",IF(OR(J5694=0,AND(J5694=1,K5694=1),AND(J5694=1,I5694="SBJ"),AND(J5694=1,I5694=0)),"?IN_FOCUS",IF(J5694&lt;=2,"?ACTIVATED",IF(J5694&lt;&gt;"","?FAMILIAR",IF(F5694="NEW",IF(ISNA(VLOOKUP(E5694,#REF!,1,FALSE())),"?TYPE_IDENTIFIABLE","?REFERENTIAL"),"_")))))</f>
        <v> </v>
      </c>
      <c r="H5694" s="25" t="str">
        <f>IF(J5694&lt;&gt;1,"",IF(I5694="SBJ","CB","?"))</f>
        <v> </v>
      </c>
      <c r="I5694" s="26" t="str">
        <f>IF(OR(E5694="",E5694="!!!",F5694="NEW"),"",INDEX(B5693:B$2,-1+SUMPRODUCT(MAX(ROW(E5693:E$2)*(E5694=E5693:E$2)))))</f>
        <v> </v>
      </c>
      <c r="J5694" s="26" t="str">
        <f>IF(OR(E5694="",E5694="!!!",F5694="NEW"),"",COUNTBLANK(OFFSET(A$1,,,SUMPRODUCT(MAX(ROW(E$2:E5694)*(E5694=E$2:E5694)))))-COUNTBLANK(OFFSET(A$1,,,SUMPRODUCT(MAX(ROW(E$1:E5693)*(E2=E$1:E5693))))))</f>
        <v> </v>
      </c>
      <c r="K5694" s="26" t="str">
        <f>IF(OR(E5694="",E5694="!!!",F5694="NEW"),"",INDEX(J$1:J5693,SUMPRODUCT(MAX(ROW(E$1:E5693)*(E5694=E$1:E5693)))))</f>
        <v> </v>
      </c>
      <c r="L5694" s="27"/>
    </row>
    <row r="5695" spans="1:12">
      <c r="A5695" s="20" t="s">
        <v>2275</v>
      </c>
      <c r="E5695" s="22">
        <f>IF(D5695="?OLD","!!!","")</f>
        <v/>
      </c>
      <c r="F5695" s="23" t="str">
        <f>IF(OR(E5695="",E5695="!!!"),"",IF(NOT(ISNA(VLOOKUP(E5695,E$1:E5694,1,FALSE()))),"OLD",IF(AND(E5695&lt;&gt;"",E5695&lt;&gt;"!!!"),"NEW","")))</f>
        <v> </v>
      </c>
      <c r="G5695" s="24" t="str">
        <f>IF(OR(E5695="",E5695="!!!"),"",IF(OR(J5695=0,AND(J5695=1,K5695=1),AND(J5695=1,I5695="SBJ"),AND(J5695=1,I5695=0)),"?IN_FOCUS",IF(J5695&lt;=2,"?ACTIVATED",IF(J5695&lt;&gt;"","?FAMILIAR",IF(F5695="NEW",IF(ISNA(VLOOKUP(E5695,#REF!,1,FALSE())),"?TYPE_IDENTIFIABLE","?REFERENTIAL"),"_")))))</f>
        <v> </v>
      </c>
      <c r="H5695" s="25" t="str">
        <f>IF(J5695&lt;&gt;1,"",IF(I5695="SBJ","CB","?"))</f>
        <v> </v>
      </c>
      <c r="I5695" s="26" t="str">
        <f>IF(OR(E5695="",E5695="!!!",F5695="NEW"),"",INDEX(B5694:B$2,-1+SUMPRODUCT(MAX(ROW(E5694:E$2)*(E5695=E5694:E$2)))))</f>
        <v> </v>
      </c>
      <c r="J5695" s="26" t="str">
        <f>IF(OR(E5695="",E5695="!!!",F5695="NEW"),"",COUNTBLANK(OFFSET(A$1,,,SUMPRODUCT(MAX(ROW(E$2:E5695)*(E5695=E$2:E5695)))))-COUNTBLANK(OFFSET(A$1,,,SUMPRODUCT(MAX(ROW(E$1:E5694)*(E2=E$1:E5694))))))</f>
        <v> </v>
      </c>
      <c r="K5695" s="26" t="str">
        <f>IF(OR(E5695="",E5695="!!!",F5695="NEW"),"",INDEX(J$1:J5694,SUMPRODUCT(MAX(ROW(E$1:E5694)*(E5695=E$1:E5694)))))</f>
        <v> </v>
      </c>
      <c r="L5695" s="27"/>
    </row>
    <row r="5696" spans="1:12">
      <c r="A5696" s="20" t="s">
        <v>1041</v>
      </c>
      <c r="E5696" s="22">
        <f>IF(D5696="?OLD","!!!","")</f>
        <v/>
      </c>
      <c r="F5696" s="23" t="str">
        <f>IF(OR(E5696="",E5696="!!!"),"",IF(NOT(ISNA(VLOOKUP(E5696,E$1:E5695,1,FALSE()))),"OLD",IF(AND(E5696&lt;&gt;"",E5696&lt;&gt;"!!!"),"NEW","")))</f>
        <v> </v>
      </c>
      <c r="G5696" s="24" t="str">
        <f>IF(OR(E5696="",E5696="!!!"),"",IF(OR(J5696=0,AND(J5696=1,K5696=1),AND(J5696=1,I5696="SBJ"),AND(J5696=1,I5696=0)),"?IN_FOCUS",IF(J5696&lt;=2,"?ACTIVATED",IF(J5696&lt;&gt;"","?FAMILIAR",IF(F5696="NEW",IF(ISNA(VLOOKUP(E5696,#REF!,1,FALSE())),"?TYPE_IDENTIFIABLE","?REFERENTIAL"),"_")))))</f>
        <v> </v>
      </c>
      <c r="H5696" s="25" t="str">
        <f>IF(J5696&lt;&gt;1,"",IF(I5696="SBJ","CB","?"))</f>
        <v> </v>
      </c>
      <c r="I5696" s="26" t="str">
        <f>IF(OR(E5696="",E5696="!!!",F5696="NEW"),"",INDEX(B5695:B$2,-1+SUMPRODUCT(MAX(ROW(E5695:E$2)*(E5696=E5695:E$2)))))</f>
        <v> </v>
      </c>
      <c r="J5696" s="26" t="str">
        <f>IF(OR(E5696="",E5696="!!!",F5696="NEW"),"",COUNTBLANK(OFFSET(A$1,,,SUMPRODUCT(MAX(ROW(E$2:E5696)*(E5696=E$2:E5696)))))-COUNTBLANK(OFFSET(A$1,,,SUMPRODUCT(MAX(ROW(E$1:E5695)*(E2=E$1:E5695))))))</f>
        <v> </v>
      </c>
      <c r="K5696" s="26" t="str">
        <f>IF(OR(E5696="",E5696="!!!",F5696="NEW"),"",INDEX(J$1:J5695,SUMPRODUCT(MAX(ROW(E$1:E5695)*(E5696=E$1:E5695)))))</f>
        <v> </v>
      </c>
      <c r="L5696" s="27"/>
    </row>
    <row r="5697" spans="1:12">
      <c r="A5697" s="20" t="s">
        <v>1083</v>
      </c>
      <c r="E5697" s="22">
        <f>IF(D5697="?OLD","!!!","")</f>
        <v/>
      </c>
      <c r="F5697" s="23" t="str">
        <f>IF(OR(E5697="",E5697="!!!"),"",IF(NOT(ISNA(VLOOKUP(E5697,E$1:E5696,1,FALSE()))),"OLD",IF(AND(E5697&lt;&gt;"",E5697&lt;&gt;"!!!"),"NEW","")))</f>
        <v> </v>
      </c>
      <c r="G5697" s="24" t="str">
        <f>IF(OR(E5697="",E5697="!!!"),"",IF(OR(J5697=0,AND(J5697=1,K5697=1),AND(J5697=1,I5697="SBJ"),AND(J5697=1,I5697=0)),"?IN_FOCUS",IF(J5697&lt;=2,"?ACTIVATED",IF(J5697&lt;&gt;"","?FAMILIAR",IF(F5697="NEW",IF(ISNA(VLOOKUP(E5697,#REF!,1,FALSE())),"?TYPE_IDENTIFIABLE","?REFERENTIAL"),"_")))))</f>
        <v> </v>
      </c>
      <c r="H5697" s="25" t="str">
        <f>IF(J5697&lt;&gt;1,"",IF(I5697="SBJ","CB","?"))</f>
        <v> </v>
      </c>
      <c r="I5697" s="26" t="str">
        <f>IF(OR(E5697="",E5697="!!!",F5697="NEW"),"",INDEX(B5696:B$2,-1+SUMPRODUCT(MAX(ROW(E5696:E$2)*(E5697=E5696:E$2)))))</f>
        <v> </v>
      </c>
      <c r="J5697" s="26" t="str">
        <f>IF(OR(E5697="",E5697="!!!",F5697="NEW"),"",COUNTBLANK(OFFSET(A$1,,,SUMPRODUCT(MAX(ROW(E$2:E5697)*(E5697=E$2:E5697)))))-COUNTBLANK(OFFSET(A$1,,,SUMPRODUCT(MAX(ROW(E$1:E5696)*(E2=E$1:E5696))))))</f>
        <v> </v>
      </c>
      <c r="K5697" s="26" t="str">
        <f>IF(OR(E5697="",E5697="!!!",F5697="NEW"),"",INDEX(J$1:J5696,SUMPRODUCT(MAX(ROW(E$1:E5696)*(E5697=E$1:E5696)))))</f>
        <v> </v>
      </c>
      <c r="L5697" s="27"/>
    </row>
    <row r="5698" spans="1:12">
      <c r="A5698" s="20" t="s">
        <v>1084</v>
      </c>
      <c r="E5698" s="22">
        <f>IF(D5698="?OLD","!!!","")</f>
        <v/>
      </c>
      <c r="F5698" s="23" t="str">
        <f>IF(OR(E5698="",E5698="!!!"),"",IF(NOT(ISNA(VLOOKUP(E5698,E$1:E5697,1,FALSE()))),"OLD",IF(AND(E5698&lt;&gt;"",E5698&lt;&gt;"!!!"),"NEW","")))</f>
        <v> </v>
      </c>
      <c r="G5698" s="24" t="str">
        <f>IF(OR(E5698="",E5698="!!!"),"",IF(OR(J5698=0,AND(J5698=1,K5698=1),AND(J5698=1,I5698="SBJ"),AND(J5698=1,I5698=0)),"?IN_FOCUS",IF(J5698&lt;=2,"?ACTIVATED",IF(J5698&lt;&gt;"","?FAMILIAR",IF(F5698="NEW",IF(ISNA(VLOOKUP(E5698,#REF!,1,FALSE())),"?TYPE_IDENTIFIABLE","?REFERENTIAL"),"_")))))</f>
        <v> </v>
      </c>
      <c r="H5698" s="25" t="str">
        <f>IF(J5698&lt;&gt;1,"",IF(I5698="SBJ","CB","?"))</f>
        <v> </v>
      </c>
      <c r="I5698" s="26" t="str">
        <f>IF(OR(E5698="",E5698="!!!",F5698="NEW"),"",INDEX(B5697:B$2,-1+SUMPRODUCT(MAX(ROW(E5697:E$2)*(E5698=E5697:E$2)))))</f>
        <v> </v>
      </c>
      <c r="J5698" s="26" t="str">
        <f>IF(OR(E5698="",E5698="!!!",F5698="NEW"),"",COUNTBLANK(OFFSET(A$1,,,SUMPRODUCT(MAX(ROW(E$2:E5698)*(E5698=E$2:E5698)))))-COUNTBLANK(OFFSET(A$1,,,SUMPRODUCT(MAX(ROW(E$1:E5697)*(E2=E$1:E5697))))))</f>
        <v> </v>
      </c>
      <c r="K5698" s="26" t="str">
        <f>IF(OR(E5698="",E5698="!!!",F5698="NEW"),"",INDEX(J$1:J5697,SUMPRODUCT(MAX(ROW(E$1:E5697)*(E5698=E$1:E5697)))))</f>
        <v> </v>
      </c>
      <c r="L5698" s="27"/>
    </row>
    <row r="5699" spans="1:12">
      <c r="A5699" s="20" t="s">
        <v>1154</v>
      </c>
      <c r="E5699" s="22">
        <f>IF(D5699="?OLD","!!!","")</f>
        <v/>
      </c>
      <c r="F5699" s="23" t="str">
        <f>IF(OR(E5699="",E5699="!!!"),"",IF(NOT(ISNA(VLOOKUP(E5699,E$1:E5698,1,FALSE()))),"OLD",IF(AND(E5699&lt;&gt;"",E5699&lt;&gt;"!!!"),"NEW","")))</f>
        <v> </v>
      </c>
      <c r="G5699" s="24" t="str">
        <f>IF(OR(E5699="",E5699="!!!"),"",IF(OR(J5699=0,AND(J5699=1,K5699=1),AND(J5699=1,I5699="SBJ"),AND(J5699=1,I5699=0)),"?IN_FOCUS",IF(J5699&lt;=2,"?ACTIVATED",IF(J5699&lt;&gt;"","?FAMILIAR",IF(F5699="NEW",IF(ISNA(VLOOKUP(E5699,#REF!,1,FALSE())),"?TYPE_IDENTIFIABLE","?REFERENTIAL"),"_")))))</f>
        <v> </v>
      </c>
      <c r="H5699" s="25" t="str">
        <f>IF(J5699&lt;&gt;1,"",IF(I5699="SBJ","CB","?"))</f>
        <v> </v>
      </c>
      <c r="I5699" s="26" t="str">
        <f>IF(OR(E5699="",E5699="!!!",F5699="NEW"),"",INDEX(B5698:B$2,-1+SUMPRODUCT(MAX(ROW(E5698:E$2)*(E5699=E5698:E$2)))))</f>
        <v> </v>
      </c>
      <c r="J5699" s="26" t="str">
        <f>IF(OR(E5699="",E5699="!!!",F5699="NEW"),"",COUNTBLANK(OFFSET(A$1,,,SUMPRODUCT(MAX(ROW(E$2:E5699)*(E5699=E$2:E5699)))))-COUNTBLANK(OFFSET(A$1,,,SUMPRODUCT(MAX(ROW(E$1:E5698)*(E2=E$1:E5698))))))</f>
        <v> </v>
      </c>
      <c r="K5699" s="26" t="str">
        <f>IF(OR(E5699="",E5699="!!!",F5699="NEW"),"",INDEX(J$1:J5698,SUMPRODUCT(MAX(ROW(E$1:E5698)*(E5699=E$1:E5698)))))</f>
        <v> </v>
      </c>
      <c r="L5699" s="27"/>
    </row>
    <row r="5700" spans="1:12">
      <c r="A5700" s="20" t="s">
        <v>1202</v>
      </c>
      <c r="E5700" s="22">
        <f>IF(D5700="?OLD","!!!","")</f>
        <v/>
      </c>
      <c r="F5700" s="23" t="str">
        <f>IF(OR(E5700="",E5700="!!!"),"",IF(NOT(ISNA(VLOOKUP(E5700,E$1:E5699,1,FALSE()))),"OLD",IF(AND(E5700&lt;&gt;"",E5700&lt;&gt;"!!!"),"NEW","")))</f>
        <v> </v>
      </c>
      <c r="G5700" s="24" t="str">
        <f>IF(OR(E5700="",E5700="!!!"),"",IF(OR(J5700=0,AND(J5700=1,K5700=1),AND(J5700=1,I5700="SBJ"),AND(J5700=1,I5700=0)),"?IN_FOCUS",IF(J5700&lt;=2,"?ACTIVATED",IF(J5700&lt;&gt;"","?FAMILIAR",IF(F5700="NEW",IF(ISNA(VLOOKUP(E5700,#REF!,1,FALSE())),"?TYPE_IDENTIFIABLE","?REFERENTIAL"),"_")))))</f>
        <v> </v>
      </c>
      <c r="H5700" s="25" t="str">
        <f>IF(J5700&lt;&gt;1,"",IF(I5700="SBJ","CB","?"))</f>
        <v> </v>
      </c>
      <c r="I5700" s="26" t="str">
        <f>IF(OR(E5700="",E5700="!!!",F5700="NEW"),"",INDEX(B5699:B$2,-1+SUMPRODUCT(MAX(ROW(E5699:E$2)*(E5700=E5699:E$2)))))</f>
        <v> </v>
      </c>
      <c r="J5700" s="26" t="str">
        <f>IF(OR(E5700="",E5700="!!!",F5700="NEW"),"",COUNTBLANK(OFFSET(A$1,,,SUMPRODUCT(MAX(ROW(E$2:E5700)*(E5700=E$2:E5700)))))-COUNTBLANK(OFFSET(A$1,,,SUMPRODUCT(MAX(ROW(E$1:E5699)*(E2=E$1:E5699))))))</f>
        <v> </v>
      </c>
      <c r="K5700" s="26" t="str">
        <f>IF(OR(E5700="",E5700="!!!",F5700="NEW"),"",INDEX(J$1:J5699,SUMPRODUCT(MAX(ROW(E$1:E5699)*(E5700=E$1:E5699)))))</f>
        <v> </v>
      </c>
      <c r="L5700" s="27"/>
    </row>
    <row r="5701" spans="1:12">
      <c r="A5701" s="20" t="s">
        <v>2457</v>
      </c>
      <c r="B5701" s="21" t="s">
        <v>1001</v>
      </c>
      <c r="C5701" s="21" t="s">
        <v>1068</v>
      </c>
      <c r="D5701" s="21" t="s">
        <v>997</v>
      </c>
      <c r="E5701" s="22">
        <f>IF(D5701="?OLD","!!!","")</f>
        <v/>
      </c>
      <c r="F5701" s="23" t="str">
        <f>IF(OR(E5701="",E5701="!!!"),"",IF(NOT(ISNA(VLOOKUP(E5701,E$1:E5700,1,FALSE()))),"OLD",IF(AND(E5701&lt;&gt;"",E5701&lt;&gt;"!!!"),"NEW","")))</f>
        <v> </v>
      </c>
      <c r="G5701" s="24" t="str">
        <f>IF(OR(E5701="",E5701="!!!"),"",IF(OR(J5701=0,AND(J5701=1,K5701=1),AND(J5701=1,I5701="SBJ"),AND(J5701=1,I5701=0)),"?IN_FOCUS",IF(J5701&lt;=2,"?ACTIVATED",IF(J5701&lt;&gt;"","?FAMILIAR",IF(F5701="NEW",IF(ISNA(VLOOKUP(E5701,#REF!,1,FALSE())),"?TYPE_IDENTIFIABLE","?REFERENTIAL"),"_")))))</f>
        <v> </v>
      </c>
      <c r="H5701" s="25" t="str">
        <f>IF(J5701&lt;&gt;1,"",IF(I5701="SBJ","CB","?"))</f>
        <v> </v>
      </c>
      <c r="I5701" s="26" t="str">
        <f>IF(OR(E5701="",E5701="!!!",F5701="NEW"),"",INDEX(B5700:B$2,-1+SUMPRODUCT(MAX(ROW(E5700:E$2)*(E5701=E5700:E$2)))))</f>
        <v> </v>
      </c>
      <c r="J5701" s="26" t="str">
        <f>IF(OR(E5701="",E5701="!!!",F5701="NEW"),"",COUNTBLANK(OFFSET(A$1,,,SUMPRODUCT(MAX(ROW(E$2:E5701)*(E5701=E$2:E5701)))))-COUNTBLANK(OFFSET(A$1,,,SUMPRODUCT(MAX(ROW(E$1:E5700)*(E2=E$1:E5700))))))</f>
        <v> </v>
      </c>
      <c r="K5701" s="26" t="str">
        <f>IF(OR(E5701="",E5701="!!!",F5701="NEW"),"",INDEX(J$1:J5700,SUMPRODUCT(MAX(ROW(E$1:E5700)*(E5701=E$1:E5700)))))</f>
        <v> </v>
      </c>
      <c r="L5701" s="27"/>
    </row>
    <row r="5702" spans="1:12">
      <c r="A5702" s="20" t="s">
        <v>1008</v>
      </c>
      <c r="E5702" s="22">
        <f>IF(D5702="?OLD","!!!","")</f>
        <v/>
      </c>
      <c r="F5702" s="23" t="str">
        <f>IF(OR(E5702="",E5702="!!!"),"",IF(NOT(ISNA(VLOOKUP(E5702,E$1:E5701,1,FALSE()))),"OLD",IF(AND(E5702&lt;&gt;"",E5702&lt;&gt;"!!!"),"NEW","")))</f>
        <v> </v>
      </c>
      <c r="G5702" s="24" t="str">
        <f>IF(OR(E5702="",E5702="!!!"),"",IF(OR(J5702=0,AND(J5702=1,K5702=1),AND(J5702=1,I5702="SBJ"),AND(J5702=1,I5702=0)),"?IN_FOCUS",IF(J5702&lt;=2,"?ACTIVATED",IF(J5702&lt;&gt;"","?FAMILIAR",IF(F5702="NEW",IF(ISNA(VLOOKUP(E5702,#REF!,1,FALSE())),"?TYPE_IDENTIFIABLE","?REFERENTIAL"),"_")))))</f>
        <v> </v>
      </c>
      <c r="H5702" s="25" t="str">
        <f>IF(J5702&lt;&gt;1,"",IF(I5702="SBJ","CB","?"))</f>
        <v> </v>
      </c>
      <c r="I5702" s="26" t="str">
        <f>IF(OR(E5702="",E5702="!!!",F5702="NEW"),"",INDEX(B5701:B$2,-1+SUMPRODUCT(MAX(ROW(E5701:E$2)*(E5702=E5701:E$2)))))</f>
        <v> </v>
      </c>
      <c r="J5702" s="26" t="str">
        <f>IF(OR(E5702="",E5702="!!!",F5702="NEW"),"",COUNTBLANK(OFFSET(A$1,,,SUMPRODUCT(MAX(ROW(E$2:E5702)*(E5702=E$2:E5702)))))-COUNTBLANK(OFFSET(A$1,,,SUMPRODUCT(MAX(ROW(E$1:E5701)*(E2=E$1:E5701))))))</f>
        <v> </v>
      </c>
      <c r="K5702" s="26" t="str">
        <f>IF(OR(E5702="",E5702="!!!",F5702="NEW"),"",INDEX(J$1:J5701,SUMPRODUCT(MAX(ROW(E$1:E5701)*(E5702=E$1:E5701)))))</f>
        <v> </v>
      </c>
      <c r="L5702" s="27"/>
    </row>
    <row r="5703" spans="1:12">
      <c r="A5703" s="20" t="s">
        <v>2432</v>
      </c>
      <c r="B5703" s="21" t="s">
        <v>1010</v>
      </c>
      <c r="C5703" s="21" t="s">
        <v>1006</v>
      </c>
      <c r="E5703" s="22">
        <f>IF(D5703="?OLD","!!!","")</f>
        <v/>
      </c>
      <c r="F5703" s="23" t="str">
        <f>IF(OR(E5703="",E5703="!!!"),"",IF(NOT(ISNA(VLOOKUP(E5703,E$1:E5702,1,FALSE()))),"OLD",IF(AND(E5703&lt;&gt;"",E5703&lt;&gt;"!!!"),"NEW","")))</f>
        <v> </v>
      </c>
      <c r="G5703" s="24" t="str">
        <f>IF(OR(E5703="",E5703="!!!"),"",IF(OR(J5703=0,AND(J5703=1,K5703=1),AND(J5703=1,I5703="SBJ"),AND(J5703=1,I5703=0)),"?IN_FOCUS",IF(J5703&lt;=2,"?ACTIVATED",IF(J5703&lt;&gt;"","?FAMILIAR",IF(F5703="NEW",IF(ISNA(VLOOKUP(E5703,#REF!,1,FALSE())),"?TYPE_IDENTIFIABLE","?REFERENTIAL"),"_")))))</f>
        <v> </v>
      </c>
      <c r="H5703" s="25" t="str">
        <f>IF(J5703&lt;&gt;1,"",IF(I5703="SBJ","CB","?"))</f>
        <v> </v>
      </c>
      <c r="I5703" s="26" t="str">
        <f>IF(OR(E5703="",E5703="!!!",F5703="NEW"),"",INDEX(B5702:B$2,-1+SUMPRODUCT(MAX(ROW(E5702:E$2)*(E5703=E5702:E$2)))))</f>
        <v> </v>
      </c>
      <c r="J5703" s="26" t="str">
        <f>IF(OR(E5703="",E5703="!!!",F5703="NEW"),"",COUNTBLANK(OFFSET(A$1,,,SUMPRODUCT(MAX(ROW(E$2:E5703)*(E5703=E$2:E5703)))))-COUNTBLANK(OFFSET(A$1,,,SUMPRODUCT(MAX(ROW(E$1:E5702)*(E2=E$1:E5702))))))</f>
        <v> </v>
      </c>
      <c r="K5703" s="26" t="str">
        <f>IF(OR(E5703="",E5703="!!!",F5703="NEW"),"",INDEX(J$1:J5702,SUMPRODUCT(MAX(ROW(E$1:E5702)*(E5703=E$1:E5702)))))</f>
        <v> </v>
      </c>
      <c r="L5703" s="27"/>
    </row>
    <row r="5704" spans="1:12">
      <c r="A5704" s="20" t="s">
        <v>1041</v>
      </c>
      <c r="E5704" s="22">
        <f>IF(D5704="?OLD","!!!","")</f>
        <v/>
      </c>
      <c r="F5704" s="23" t="str">
        <f>IF(OR(E5704="",E5704="!!!"),"",IF(NOT(ISNA(VLOOKUP(E5704,E$1:E5703,1,FALSE()))),"OLD",IF(AND(E5704&lt;&gt;"",E5704&lt;&gt;"!!!"),"NEW","")))</f>
        <v> </v>
      </c>
      <c r="G5704" s="24" t="str">
        <f>IF(OR(E5704="",E5704="!!!"),"",IF(OR(J5704=0,AND(J5704=1,K5704=1),AND(J5704=1,I5704="SBJ"),AND(J5704=1,I5704=0)),"?IN_FOCUS",IF(J5704&lt;=2,"?ACTIVATED",IF(J5704&lt;&gt;"","?FAMILIAR",IF(F5704="NEW",IF(ISNA(VLOOKUP(E5704,#REF!,1,FALSE())),"?TYPE_IDENTIFIABLE","?REFERENTIAL"),"_")))))</f>
        <v> </v>
      </c>
      <c r="H5704" s="25" t="str">
        <f>IF(J5704&lt;&gt;1,"",IF(I5704="SBJ","CB","?"))</f>
        <v> </v>
      </c>
      <c r="I5704" s="26" t="str">
        <f>IF(OR(E5704="",E5704="!!!",F5704="NEW"),"",INDEX(B5703:B$2,-1+SUMPRODUCT(MAX(ROW(E5703:E$2)*(E5704=E5703:E$2)))))</f>
        <v> </v>
      </c>
      <c r="J5704" s="26" t="str">
        <f>IF(OR(E5704="",E5704="!!!",F5704="NEW"),"",COUNTBLANK(OFFSET(A$1,,,SUMPRODUCT(MAX(ROW(E$2:E5704)*(E5704=E$2:E5704)))))-COUNTBLANK(OFFSET(A$1,,,SUMPRODUCT(MAX(ROW(E$1:E5703)*(E2=E$1:E5703))))))</f>
        <v> </v>
      </c>
      <c r="K5704" s="26" t="str">
        <f>IF(OR(E5704="",E5704="!!!",F5704="NEW"),"",INDEX(J$1:J5703,SUMPRODUCT(MAX(ROW(E$1:E5703)*(E5704=E$1:E5703)))))</f>
        <v> </v>
      </c>
      <c r="L5704" s="27"/>
    </row>
    <row r="5705" spans="1:12">
      <c r="A5705" s="20" t="s">
        <v>1029</v>
      </c>
      <c r="E5705" s="22">
        <f>IF(D5705="?OLD","!!!","")</f>
        <v/>
      </c>
      <c r="F5705" s="23" t="str">
        <f>IF(OR(E5705="",E5705="!!!"),"",IF(NOT(ISNA(VLOOKUP(E5705,E$1:E5704,1,FALSE()))),"OLD",IF(AND(E5705&lt;&gt;"",E5705&lt;&gt;"!!!"),"NEW","")))</f>
        <v> </v>
      </c>
      <c r="G5705" s="24" t="str">
        <f>IF(OR(E5705="",E5705="!!!"),"",IF(OR(J5705=0,AND(J5705=1,K5705=1),AND(J5705=1,I5705="SBJ"),AND(J5705=1,I5705=0)),"?IN_FOCUS",IF(J5705&lt;=2,"?ACTIVATED",IF(J5705&lt;&gt;"","?FAMILIAR",IF(F5705="NEW",IF(ISNA(VLOOKUP(E5705,#REF!,1,FALSE())),"?TYPE_IDENTIFIABLE","?REFERENTIAL"),"_")))))</f>
        <v> </v>
      </c>
      <c r="H5705" s="25" t="str">
        <f>IF(J5705&lt;&gt;1,"",IF(I5705="SBJ","CB","?"))</f>
        <v> </v>
      </c>
      <c r="I5705" s="26" t="str">
        <f>IF(OR(E5705="",E5705="!!!",F5705="NEW"),"",INDEX(B5704:B$2,-1+SUMPRODUCT(MAX(ROW(E5704:E$2)*(E5705=E5704:E$2)))))</f>
        <v> </v>
      </c>
      <c r="J5705" s="26" t="str">
        <f>IF(OR(E5705="",E5705="!!!",F5705="NEW"),"",COUNTBLANK(OFFSET(A$1,,,SUMPRODUCT(MAX(ROW(E$2:E5705)*(E5705=E$2:E5705)))))-COUNTBLANK(OFFSET(A$1,,,SUMPRODUCT(MAX(ROW(E$1:E5704)*(E2=E$1:E5704))))))</f>
        <v> </v>
      </c>
      <c r="K5705" s="26" t="str">
        <f>IF(OR(E5705="",E5705="!!!",F5705="NEW"),"",INDEX(J$1:J5704,SUMPRODUCT(MAX(ROW(E$1:E5704)*(E5705=E$1:E5704)))))</f>
        <v> </v>
      </c>
      <c r="L5705" s="27"/>
    </row>
    <row r="5706" spans="1:12">
      <c r="A5706" s="20" t="s">
        <v>2416</v>
      </c>
      <c r="E5706" s="22">
        <f>IF(D5706="?OLD","!!!","")</f>
        <v/>
      </c>
      <c r="F5706" s="23" t="str">
        <f>IF(OR(E5706="",E5706="!!!"),"",IF(NOT(ISNA(VLOOKUP(E5706,E$1:E5705,1,FALSE()))),"OLD",IF(AND(E5706&lt;&gt;"",E5706&lt;&gt;"!!!"),"NEW","")))</f>
        <v> </v>
      </c>
      <c r="G5706" s="24" t="str">
        <f>IF(OR(E5706="",E5706="!!!"),"",IF(OR(J5706=0,AND(J5706=1,K5706=1),AND(J5706=1,I5706="SBJ"),AND(J5706=1,I5706=0)),"?IN_FOCUS",IF(J5706&lt;=2,"?ACTIVATED",IF(J5706&lt;&gt;"","?FAMILIAR",IF(F5706="NEW",IF(ISNA(VLOOKUP(E5706,#REF!,1,FALSE())),"?TYPE_IDENTIFIABLE","?REFERENTIAL"),"_")))))</f>
        <v> </v>
      </c>
      <c r="H5706" s="25" t="str">
        <f>IF(J5706&lt;&gt;1,"",IF(I5706="SBJ","CB","?"))</f>
        <v> </v>
      </c>
      <c r="I5706" s="26" t="str">
        <f>IF(OR(E5706="",E5706="!!!",F5706="NEW"),"",INDEX(B5705:B$2,-1+SUMPRODUCT(MAX(ROW(E5705:E$2)*(E5706=E5705:E$2)))))</f>
        <v> </v>
      </c>
      <c r="J5706" s="26" t="str">
        <f>IF(OR(E5706="",E5706="!!!",F5706="NEW"),"",COUNTBLANK(OFFSET(A$1,,,SUMPRODUCT(MAX(ROW(E$2:E5706)*(E5706=E$2:E5706)))))-COUNTBLANK(OFFSET(A$1,,,SUMPRODUCT(MAX(ROW(E$1:E5705)*(E2=E$1:E5705))))))</f>
        <v> </v>
      </c>
      <c r="K5706" s="26" t="str">
        <f>IF(OR(E5706="",E5706="!!!",F5706="NEW"),"",INDEX(J$1:J5705,SUMPRODUCT(MAX(ROW(E$1:E5705)*(E5706=E$1:E5705)))))</f>
        <v> </v>
      </c>
      <c r="L5706" s="27"/>
    </row>
    <row r="5707" spans="1:12">
      <c r="A5707" s="20" t="s">
        <v>1029</v>
      </c>
      <c r="E5707" s="22">
        <f>IF(D5707="?OLD","!!!","")</f>
        <v/>
      </c>
      <c r="F5707" s="23" t="str">
        <f>IF(OR(E5707="",E5707="!!!"),"",IF(NOT(ISNA(VLOOKUP(E5707,E$1:E5706,1,FALSE()))),"OLD",IF(AND(E5707&lt;&gt;"",E5707&lt;&gt;"!!!"),"NEW","")))</f>
        <v> </v>
      </c>
      <c r="G5707" s="24" t="str">
        <f>IF(OR(E5707="",E5707="!!!"),"",IF(OR(J5707=0,AND(J5707=1,K5707=1),AND(J5707=1,I5707="SBJ"),AND(J5707=1,I5707=0)),"?IN_FOCUS",IF(J5707&lt;=2,"?ACTIVATED",IF(J5707&lt;&gt;"","?FAMILIAR",IF(F5707="NEW",IF(ISNA(VLOOKUP(E5707,#REF!,1,FALSE())),"?TYPE_IDENTIFIABLE","?REFERENTIAL"),"_")))))</f>
        <v> </v>
      </c>
      <c r="H5707" s="25" t="str">
        <f>IF(J5707&lt;&gt;1,"",IF(I5707="SBJ","CB","?"))</f>
        <v> </v>
      </c>
      <c r="I5707" s="26" t="str">
        <f>IF(OR(E5707="",E5707="!!!",F5707="NEW"),"",INDEX(B5706:B$2,-1+SUMPRODUCT(MAX(ROW(E5706:E$2)*(E5707=E5706:E$2)))))</f>
        <v> </v>
      </c>
      <c r="J5707" s="26" t="str">
        <f>IF(OR(E5707="",E5707="!!!",F5707="NEW"),"",COUNTBLANK(OFFSET(A$1,,,SUMPRODUCT(MAX(ROW(E$2:E5707)*(E5707=E$2:E5707)))))-COUNTBLANK(OFFSET(A$1,,,SUMPRODUCT(MAX(ROW(E$1:E5706)*(E2=E$1:E5706))))))</f>
        <v> </v>
      </c>
      <c r="K5707" s="26" t="str">
        <f>IF(OR(E5707="",E5707="!!!",F5707="NEW"),"",INDEX(J$1:J5706,SUMPRODUCT(MAX(ROW(E$1:E5706)*(E5707=E$1:E5706)))))</f>
        <v> </v>
      </c>
      <c r="L5707" s="27"/>
    </row>
    <row r="5708" spans="1:12">
      <c r="A5708" s="20" t="s">
        <v>1061</v>
      </c>
      <c r="E5708" s="22">
        <f>IF(D5708="?OLD","!!!","")</f>
        <v/>
      </c>
      <c r="F5708" s="23" t="str">
        <f>IF(OR(E5708="",E5708="!!!"),"",IF(NOT(ISNA(VLOOKUP(E5708,E$1:E5707,1,FALSE()))),"OLD",IF(AND(E5708&lt;&gt;"",E5708&lt;&gt;"!!!"),"NEW","")))</f>
        <v> </v>
      </c>
      <c r="G5708" s="24" t="str">
        <f>IF(OR(E5708="",E5708="!!!"),"",IF(OR(J5708=0,AND(J5708=1,K5708=1),AND(J5708=1,I5708="SBJ"),AND(J5708=1,I5708=0)),"?IN_FOCUS",IF(J5708&lt;=2,"?ACTIVATED",IF(J5708&lt;&gt;"","?FAMILIAR",IF(F5708="NEW",IF(ISNA(VLOOKUP(E5708,#REF!,1,FALSE())),"?TYPE_IDENTIFIABLE","?REFERENTIAL"),"_")))))</f>
        <v> </v>
      </c>
      <c r="H5708" s="25" t="str">
        <f>IF(J5708&lt;&gt;1,"",IF(I5708="SBJ","CB","?"))</f>
        <v> </v>
      </c>
      <c r="I5708" s="26" t="str">
        <f>IF(OR(E5708="",E5708="!!!",F5708="NEW"),"",INDEX(B5707:B$2,-1+SUMPRODUCT(MAX(ROW(E5707:E$2)*(E5708=E5707:E$2)))))</f>
        <v> </v>
      </c>
      <c r="J5708" s="26" t="str">
        <f>IF(OR(E5708="",E5708="!!!",F5708="NEW"),"",COUNTBLANK(OFFSET(A$1,,,SUMPRODUCT(MAX(ROW(E$2:E5708)*(E5708=E$2:E5708)))))-COUNTBLANK(OFFSET(A$1,,,SUMPRODUCT(MAX(ROW(E$1:E5707)*(E2=E$1:E5707))))))</f>
        <v> </v>
      </c>
      <c r="K5708" s="26" t="str">
        <f>IF(OR(E5708="",E5708="!!!",F5708="NEW"),"",INDEX(J$1:J5707,SUMPRODUCT(MAX(ROW(E$1:E5707)*(E5708=E$1:E5707)))))</f>
        <v> </v>
      </c>
      <c r="L5708" s="27"/>
    </row>
    <row r="5709" spans="1:12">
      <c r="A5709" s="20" t="s">
        <v>2458</v>
      </c>
      <c r="B5709" s="21" t="s">
        <v>1010</v>
      </c>
      <c r="C5709" s="21" t="s">
        <v>1034</v>
      </c>
      <c r="D5709" s="21" t="s">
        <v>997</v>
      </c>
      <c r="E5709" s="22">
        <f>IF(D5709="?OLD","!!!","")</f>
        <v/>
      </c>
      <c r="F5709" s="23" t="str">
        <f>IF(OR(E5709="",E5709="!!!"),"",IF(NOT(ISNA(VLOOKUP(E5709,E$1:E5708,1,FALSE()))),"OLD",IF(AND(E5709&lt;&gt;"",E5709&lt;&gt;"!!!"),"NEW","")))</f>
        <v> </v>
      </c>
      <c r="G5709" s="24" t="str">
        <f>IF(OR(E5709="",E5709="!!!"),"",IF(OR(J5709=0,AND(J5709=1,K5709=1),AND(J5709=1,I5709="SBJ"),AND(J5709=1,I5709=0)),"?IN_FOCUS",IF(J5709&lt;=2,"?ACTIVATED",IF(J5709&lt;&gt;"","?FAMILIAR",IF(F5709="NEW",IF(ISNA(VLOOKUP(E5709,#REF!,1,FALSE())),"?TYPE_IDENTIFIABLE","?REFERENTIAL"),"_")))))</f>
        <v> </v>
      </c>
      <c r="H5709" s="25" t="str">
        <f>IF(J5709&lt;&gt;1,"",IF(I5709="SBJ","CB","?"))</f>
        <v> </v>
      </c>
      <c r="I5709" s="26" t="str">
        <f>IF(OR(E5709="",E5709="!!!",F5709="NEW"),"",INDEX(B5708:B$2,-1+SUMPRODUCT(MAX(ROW(E5708:E$2)*(E5709=E5708:E$2)))))</f>
        <v> </v>
      </c>
      <c r="J5709" s="26" t="str">
        <f>IF(OR(E5709="",E5709="!!!",F5709="NEW"),"",COUNTBLANK(OFFSET(A$1,,,SUMPRODUCT(MAX(ROW(E$2:E5709)*(E5709=E$2:E5709)))))-COUNTBLANK(OFFSET(A$1,,,SUMPRODUCT(MAX(ROW(E$1:E5708)*(E2=E$1:E5708))))))</f>
        <v> </v>
      </c>
      <c r="K5709" s="26" t="str">
        <f>IF(OR(E5709="",E5709="!!!",F5709="NEW"),"",INDEX(J$1:J5708,SUMPRODUCT(MAX(ROW(E$1:E5708)*(E5709=E$1:E5708)))))</f>
        <v> </v>
      </c>
      <c r="L5709" s="27"/>
    </row>
    <row r="5710" spans="1:12">
      <c r="A5710" s="20" t="s">
        <v>1008</v>
      </c>
      <c r="E5710" s="22">
        <f>IF(D5710="?OLD","!!!","")</f>
        <v/>
      </c>
      <c r="F5710" s="23" t="str">
        <f>IF(OR(E5710="",E5710="!!!"),"",IF(NOT(ISNA(VLOOKUP(E5710,E$1:E5709,1,FALSE()))),"OLD",IF(AND(E5710&lt;&gt;"",E5710&lt;&gt;"!!!"),"NEW","")))</f>
        <v> </v>
      </c>
      <c r="G5710" s="24" t="str">
        <f>IF(OR(E5710="",E5710="!!!"),"",IF(OR(J5710=0,AND(J5710=1,K5710=1),AND(J5710=1,I5710="SBJ"),AND(J5710=1,I5710=0)),"?IN_FOCUS",IF(J5710&lt;=2,"?ACTIVATED",IF(J5710&lt;&gt;"","?FAMILIAR",IF(F5710="NEW",IF(ISNA(VLOOKUP(E5710,#REF!,1,FALSE())),"?TYPE_IDENTIFIABLE","?REFERENTIAL"),"_")))))</f>
        <v> </v>
      </c>
      <c r="H5710" s="25" t="str">
        <f>IF(J5710&lt;&gt;1,"",IF(I5710="SBJ","CB","?"))</f>
        <v> </v>
      </c>
      <c r="I5710" s="26" t="str">
        <f>IF(OR(E5710="",E5710="!!!",F5710="NEW"),"",INDEX(B5709:B$2,-1+SUMPRODUCT(MAX(ROW(E5709:E$2)*(E5710=E5709:E$2)))))</f>
        <v> </v>
      </c>
      <c r="J5710" s="26" t="str">
        <f>IF(OR(E5710="",E5710="!!!",F5710="NEW"),"",COUNTBLANK(OFFSET(A$1,,,SUMPRODUCT(MAX(ROW(E$2:E5710)*(E5710=E$2:E5710)))))-COUNTBLANK(OFFSET(A$1,,,SUMPRODUCT(MAX(ROW(E$1:E5709)*(E2=E$1:E5709))))))</f>
        <v> </v>
      </c>
      <c r="K5710" s="26" t="str">
        <f>IF(OR(E5710="",E5710="!!!",F5710="NEW"),"",INDEX(J$1:J5709,SUMPRODUCT(MAX(ROW(E$1:E5709)*(E5710=E$1:E5709)))))</f>
        <v> </v>
      </c>
      <c r="L5710" s="27"/>
    </row>
    <row r="5711" spans="1:12">
      <c r="A5711" s="20" t="s">
        <v>1032</v>
      </c>
      <c r="E5711" s="22">
        <f>IF(D5711="?OLD","!!!","")</f>
        <v/>
      </c>
      <c r="F5711" s="23" t="str">
        <f>IF(OR(E5711="",E5711="!!!"),"",IF(NOT(ISNA(VLOOKUP(E5711,E$1:E5710,1,FALSE()))),"OLD",IF(AND(E5711&lt;&gt;"",E5711&lt;&gt;"!!!"),"NEW","")))</f>
        <v> </v>
      </c>
      <c r="G5711" s="24" t="str">
        <f>IF(OR(E5711="",E5711="!!!"),"",IF(OR(J5711=0,AND(J5711=1,K5711=1),AND(J5711=1,I5711="SBJ"),AND(J5711=1,I5711=0)),"?IN_FOCUS",IF(J5711&lt;=2,"?ACTIVATED",IF(J5711&lt;&gt;"","?FAMILIAR",IF(F5711="NEW",IF(ISNA(VLOOKUP(E5711,#REF!,1,FALSE())),"?TYPE_IDENTIFIABLE","?REFERENTIAL"),"_")))))</f>
        <v> </v>
      </c>
      <c r="H5711" s="25" t="str">
        <f>IF(J5711&lt;&gt;1,"",IF(I5711="SBJ","CB","?"))</f>
        <v> </v>
      </c>
      <c r="I5711" s="26" t="str">
        <f>IF(OR(E5711="",E5711="!!!",F5711="NEW"),"",INDEX(B5710:B$2,-1+SUMPRODUCT(MAX(ROW(E5710:E$2)*(E5711=E5710:E$2)))))</f>
        <v> </v>
      </c>
      <c r="J5711" s="26" t="str">
        <f>IF(OR(E5711="",E5711="!!!",F5711="NEW"),"",COUNTBLANK(OFFSET(A$1,,,SUMPRODUCT(MAX(ROW(E$2:E5711)*(E5711=E$2:E5711)))))-COUNTBLANK(OFFSET(A$1,,,SUMPRODUCT(MAX(ROW(E$1:E5710)*(E2=E$1:E5710))))))</f>
        <v> </v>
      </c>
      <c r="K5711" s="26" t="str">
        <f>IF(OR(E5711="",E5711="!!!",F5711="NEW"),"",INDEX(J$1:J5710,SUMPRODUCT(MAX(ROW(E$1:E5710)*(E5711=E$1:E5710)))))</f>
        <v> </v>
      </c>
      <c r="L5711" s="27"/>
    </row>
    <row r="5712" spans="1:12">
      <c r="A5712" s="20" t="s">
        <v>1843</v>
      </c>
      <c r="B5712" s="21" t="s">
        <v>1024</v>
      </c>
      <c r="C5712" s="21" t="s">
        <v>1034</v>
      </c>
      <c r="D5712" s="21" t="s">
        <v>997</v>
      </c>
      <c r="E5712" s="22">
        <f>IF(D5712="?OLD","!!!","")</f>
        <v/>
      </c>
      <c r="F5712" s="23" t="str">
        <f>IF(OR(E5712="",E5712="!!!"),"",IF(NOT(ISNA(VLOOKUP(E5712,E$1:E5711,1,FALSE()))),"OLD",IF(AND(E5712&lt;&gt;"",E5712&lt;&gt;"!!!"),"NEW","")))</f>
        <v> </v>
      </c>
      <c r="G5712" s="24" t="str">
        <f>IF(OR(E5712="",E5712="!!!"),"",IF(OR(J5712=0,AND(J5712=1,K5712=1),AND(J5712=1,I5712="SBJ"),AND(J5712=1,I5712=0)),"?IN_FOCUS",IF(J5712&lt;=2,"?ACTIVATED",IF(J5712&lt;&gt;"","?FAMILIAR",IF(F5712="NEW",IF(ISNA(VLOOKUP(E5712,#REF!,1,FALSE())),"?TYPE_IDENTIFIABLE","?REFERENTIAL"),"_")))))</f>
        <v> </v>
      </c>
      <c r="H5712" s="25" t="str">
        <f>IF(J5712&lt;&gt;1,"",IF(I5712="SBJ","CB","?"))</f>
        <v> </v>
      </c>
      <c r="I5712" s="26" t="str">
        <f>IF(OR(E5712="",E5712="!!!",F5712="NEW"),"",INDEX(B5711:B$2,-1+SUMPRODUCT(MAX(ROW(E5711:E$2)*(E5712=E5711:E$2)))))</f>
        <v> </v>
      </c>
      <c r="J5712" s="26" t="str">
        <f>IF(OR(E5712="",E5712="!!!",F5712="NEW"),"",COUNTBLANK(OFFSET(A$1,,,SUMPRODUCT(MAX(ROW(E$2:E5712)*(E5712=E$2:E5712)))))-COUNTBLANK(OFFSET(A$1,,,SUMPRODUCT(MAX(ROW(E$1:E5711)*(E2=E$1:E5711))))))</f>
        <v> </v>
      </c>
      <c r="K5712" s="26" t="str">
        <f>IF(OR(E5712="",E5712="!!!",F5712="NEW"),"",INDEX(J$1:J5711,SUMPRODUCT(MAX(ROW(E$1:E5711)*(E5712=E$1:E5711)))))</f>
        <v> </v>
      </c>
      <c r="L5712" s="27"/>
    </row>
    <row r="5713" spans="1:12">
      <c r="A5713" s="20" t="s">
        <v>1041</v>
      </c>
      <c r="E5713" s="22">
        <f>IF(D5713="?OLD","!!!","")</f>
        <v/>
      </c>
      <c r="F5713" s="23" t="str">
        <f>IF(OR(E5713="",E5713="!!!"),"",IF(NOT(ISNA(VLOOKUP(E5713,E$1:E5712,1,FALSE()))),"OLD",IF(AND(E5713&lt;&gt;"",E5713&lt;&gt;"!!!"),"NEW","")))</f>
        <v> </v>
      </c>
      <c r="G5713" s="24" t="str">
        <f>IF(OR(E5713="",E5713="!!!"),"",IF(OR(J5713=0,AND(J5713=1,K5713=1),AND(J5713=1,I5713="SBJ"),AND(J5713=1,I5713=0)),"?IN_FOCUS",IF(J5713&lt;=2,"?ACTIVATED",IF(J5713&lt;&gt;"","?FAMILIAR",IF(F5713="NEW",IF(ISNA(VLOOKUP(E5713,#REF!,1,FALSE())),"?TYPE_IDENTIFIABLE","?REFERENTIAL"),"_")))))</f>
        <v> </v>
      </c>
      <c r="H5713" s="25" t="str">
        <f>IF(J5713&lt;&gt;1,"",IF(I5713="SBJ","CB","?"))</f>
        <v> </v>
      </c>
      <c r="I5713" s="26" t="str">
        <f>IF(OR(E5713="",E5713="!!!",F5713="NEW"),"",INDEX(B5712:B$2,-1+SUMPRODUCT(MAX(ROW(E5712:E$2)*(E5713=E5712:E$2)))))</f>
        <v> </v>
      </c>
      <c r="J5713" s="26" t="str">
        <f>IF(OR(E5713="",E5713="!!!",F5713="NEW"),"",COUNTBLANK(OFFSET(A$1,,,SUMPRODUCT(MAX(ROW(E$2:E5713)*(E5713=E$2:E5713)))))-COUNTBLANK(OFFSET(A$1,,,SUMPRODUCT(MAX(ROW(E$1:E5712)*(E2=E$1:E5712))))))</f>
        <v> </v>
      </c>
      <c r="K5713" s="26" t="str">
        <f>IF(OR(E5713="",E5713="!!!",F5713="NEW"),"",INDEX(J$1:J5712,SUMPRODUCT(MAX(ROW(E$1:E5712)*(E5713=E$1:E5712)))))</f>
        <v> </v>
      </c>
      <c r="L5713" s="27"/>
    </row>
    <row r="5714" spans="1:12">
      <c r="A5714" s="20" t="s">
        <v>1029</v>
      </c>
      <c r="E5714" s="22">
        <f>IF(D5714="?OLD","!!!","")</f>
        <v/>
      </c>
      <c r="F5714" s="23" t="str">
        <f>IF(OR(E5714="",E5714="!!!"),"",IF(NOT(ISNA(VLOOKUP(E5714,E$1:E5713,1,FALSE()))),"OLD",IF(AND(E5714&lt;&gt;"",E5714&lt;&gt;"!!!"),"NEW","")))</f>
        <v> </v>
      </c>
      <c r="G5714" s="24" t="str">
        <f>IF(OR(E5714="",E5714="!!!"),"",IF(OR(J5714=0,AND(J5714=1,K5714=1),AND(J5714=1,I5714="SBJ"),AND(J5714=1,I5714=0)),"?IN_FOCUS",IF(J5714&lt;=2,"?ACTIVATED",IF(J5714&lt;&gt;"","?FAMILIAR",IF(F5714="NEW",IF(ISNA(VLOOKUP(E5714,#REF!,1,FALSE())),"?TYPE_IDENTIFIABLE","?REFERENTIAL"),"_")))))</f>
        <v> </v>
      </c>
      <c r="H5714" s="25" t="str">
        <f>IF(J5714&lt;&gt;1,"",IF(I5714="SBJ","CB","?"))</f>
        <v> </v>
      </c>
      <c r="I5714" s="26" t="str">
        <f>IF(OR(E5714="",E5714="!!!",F5714="NEW"),"",INDEX(B5713:B$2,-1+SUMPRODUCT(MAX(ROW(E5713:E$2)*(E5714=E5713:E$2)))))</f>
        <v> </v>
      </c>
      <c r="J5714" s="26" t="str">
        <f>IF(OR(E5714="",E5714="!!!",F5714="NEW"),"",COUNTBLANK(OFFSET(A$1,,,SUMPRODUCT(MAX(ROW(E$2:E5714)*(E5714=E$2:E5714)))))-COUNTBLANK(OFFSET(A$1,,,SUMPRODUCT(MAX(ROW(E$1:E5713)*(E2=E$1:E5713))))))</f>
        <v> </v>
      </c>
      <c r="K5714" s="26" t="str">
        <f>IF(OR(E5714="",E5714="!!!",F5714="NEW"),"",INDEX(J$1:J5713,SUMPRODUCT(MAX(ROW(E$1:E5713)*(E5714=E$1:E5713)))))</f>
        <v> </v>
      </c>
      <c r="L5714" s="27"/>
    </row>
    <row r="5715" spans="1:12">
      <c r="A5715" s="20" t="s">
        <v>1061</v>
      </c>
      <c r="E5715" s="22">
        <f>IF(D5715="?OLD","!!!","")</f>
        <v/>
      </c>
      <c r="F5715" s="23" t="str">
        <f>IF(OR(E5715="",E5715="!!!"),"",IF(NOT(ISNA(VLOOKUP(E5715,E$1:E5714,1,FALSE()))),"OLD",IF(AND(E5715&lt;&gt;"",E5715&lt;&gt;"!!!"),"NEW","")))</f>
        <v> </v>
      </c>
      <c r="G5715" s="24" t="str">
        <f>IF(OR(E5715="",E5715="!!!"),"",IF(OR(J5715=0,AND(J5715=1,K5715=1),AND(J5715=1,I5715="SBJ"),AND(J5715=1,I5715=0)),"?IN_FOCUS",IF(J5715&lt;=2,"?ACTIVATED",IF(J5715&lt;&gt;"","?FAMILIAR",IF(F5715="NEW",IF(ISNA(VLOOKUP(E5715,#REF!,1,FALSE())),"?TYPE_IDENTIFIABLE","?REFERENTIAL"),"_")))))</f>
        <v> </v>
      </c>
      <c r="H5715" s="25" t="str">
        <f>IF(J5715&lt;&gt;1,"",IF(I5715="SBJ","CB","?"))</f>
        <v> </v>
      </c>
      <c r="I5715" s="26" t="str">
        <f>IF(OR(E5715="",E5715="!!!",F5715="NEW"),"",INDEX(B5714:B$2,-1+SUMPRODUCT(MAX(ROW(E5714:E$2)*(E5715=E5714:E$2)))))</f>
        <v> </v>
      </c>
      <c r="J5715" s="26" t="str">
        <f>IF(OR(E5715="",E5715="!!!",F5715="NEW"),"",COUNTBLANK(OFFSET(A$1,,,SUMPRODUCT(MAX(ROW(E$2:E5715)*(E5715=E$2:E5715)))))-COUNTBLANK(OFFSET(A$1,,,SUMPRODUCT(MAX(ROW(E$1:E5714)*(E2=E$1:E5714))))))</f>
        <v> </v>
      </c>
      <c r="K5715" s="26" t="str">
        <f>IF(OR(E5715="",E5715="!!!",F5715="NEW"),"",INDEX(J$1:J5714,SUMPRODUCT(MAX(ROW(E$1:E5714)*(E5715=E$1:E5714)))))</f>
        <v> </v>
      </c>
      <c r="L5715" s="27"/>
    </row>
    <row r="5716" spans="1:12">
      <c r="A5716" s="20" t="s">
        <v>1577</v>
      </c>
      <c r="B5716" s="21" t="s">
        <v>1010</v>
      </c>
      <c r="C5716" s="21" t="s">
        <v>1034</v>
      </c>
      <c r="D5716" s="21" t="s">
        <v>997</v>
      </c>
      <c r="E5716" s="22">
        <f>IF(D5716="?OLD","!!!","")</f>
        <v/>
      </c>
      <c r="F5716" s="23" t="str">
        <f>IF(OR(E5716="",E5716="!!!"),"",IF(NOT(ISNA(VLOOKUP(E5716,E$1:E5715,1,FALSE()))),"OLD",IF(AND(E5716&lt;&gt;"",E5716&lt;&gt;"!!!"),"NEW","")))</f>
        <v> </v>
      </c>
      <c r="G5716" s="24" t="str">
        <f>IF(OR(E5716="",E5716="!!!"),"",IF(OR(J5716=0,AND(J5716=1,K5716=1),AND(J5716=1,I5716="SBJ"),AND(J5716=1,I5716=0)),"?IN_FOCUS",IF(J5716&lt;=2,"?ACTIVATED",IF(J5716&lt;&gt;"","?FAMILIAR",IF(F5716="NEW",IF(ISNA(VLOOKUP(E5716,#REF!,1,FALSE())),"?TYPE_IDENTIFIABLE","?REFERENTIAL"),"_")))))</f>
        <v> </v>
      </c>
      <c r="H5716" s="25" t="str">
        <f>IF(J5716&lt;&gt;1,"",IF(I5716="SBJ","CB","?"))</f>
        <v> </v>
      </c>
      <c r="I5716" s="26" t="str">
        <f>IF(OR(E5716="",E5716="!!!",F5716="NEW"),"",INDEX(B5715:B$2,-1+SUMPRODUCT(MAX(ROW(E5715:E$2)*(E5716=E5715:E$2)))))</f>
        <v> </v>
      </c>
      <c r="J5716" s="26" t="str">
        <f>IF(OR(E5716="",E5716="!!!",F5716="NEW"),"",COUNTBLANK(OFFSET(A$1,,,SUMPRODUCT(MAX(ROW(E$2:E5716)*(E5716=E$2:E5716)))))-COUNTBLANK(OFFSET(A$1,,,SUMPRODUCT(MAX(ROW(E$1:E5715)*(E2=E$1:E5715))))))</f>
        <v> </v>
      </c>
      <c r="K5716" s="26" t="str">
        <f>IF(OR(E5716="",E5716="!!!",F5716="NEW"),"",INDEX(J$1:J5715,SUMPRODUCT(MAX(ROW(E$1:E5715)*(E5716=E$1:E5715)))))</f>
        <v> </v>
      </c>
      <c r="L5716" s="27"/>
    </row>
    <row r="5717" spans="1:12">
      <c r="A5717" s="20" t="s">
        <v>1090</v>
      </c>
      <c r="E5717" s="22">
        <f>IF(D5717="?OLD","!!!","")</f>
        <v/>
      </c>
      <c r="F5717" s="23" t="str">
        <f>IF(OR(E5717="",E5717="!!!"),"",IF(NOT(ISNA(VLOOKUP(E5717,E$1:E5716,1,FALSE()))),"OLD",IF(AND(E5717&lt;&gt;"",E5717&lt;&gt;"!!!"),"NEW","")))</f>
        <v> </v>
      </c>
      <c r="G5717" s="24" t="str">
        <f>IF(OR(E5717="",E5717="!!!"),"",IF(OR(J5717=0,AND(J5717=1,K5717=1),AND(J5717=1,I5717="SBJ"),AND(J5717=1,I5717=0)),"?IN_FOCUS",IF(J5717&lt;=2,"?ACTIVATED",IF(J5717&lt;&gt;"","?FAMILIAR",IF(F5717="NEW",IF(ISNA(VLOOKUP(E5717,#REF!,1,FALSE())),"?TYPE_IDENTIFIABLE","?REFERENTIAL"),"_")))))</f>
        <v> </v>
      </c>
      <c r="H5717" s="25" t="str">
        <f>IF(J5717&lt;&gt;1,"",IF(I5717="SBJ","CB","?"))</f>
        <v> </v>
      </c>
      <c r="I5717" s="26" t="str">
        <f>IF(OR(E5717="",E5717="!!!",F5717="NEW"),"",INDEX(B5716:B$2,-1+SUMPRODUCT(MAX(ROW(E5716:E$2)*(E5717=E5716:E$2)))))</f>
        <v> </v>
      </c>
      <c r="J5717" s="26" t="str">
        <f>IF(OR(E5717="",E5717="!!!",F5717="NEW"),"",COUNTBLANK(OFFSET(A$1,,,SUMPRODUCT(MAX(ROW(E$2:E5717)*(E5717=E$2:E5717)))))-COUNTBLANK(OFFSET(A$1,,,SUMPRODUCT(MAX(ROW(E$1:E5716)*(E2=E$1:E5716))))))</f>
        <v> </v>
      </c>
      <c r="K5717" s="26" t="str">
        <f>IF(OR(E5717="",E5717="!!!",F5717="NEW"),"",INDEX(J$1:J5716,SUMPRODUCT(MAX(ROW(E$1:E5716)*(E5717=E$1:E5716)))))</f>
        <v> </v>
      </c>
      <c r="L5717" s="27"/>
    </row>
    <row r="5718" spans="1:12">
      <c r="A5718" s="20" t="s">
        <v>1037</v>
      </c>
      <c r="E5718" s="22">
        <f>IF(D5718="?OLD","!!!","")</f>
        <v/>
      </c>
      <c r="F5718" s="23" t="str">
        <f>IF(OR(E5718="",E5718="!!!"),"",IF(NOT(ISNA(VLOOKUP(E5718,E$1:E5717,1,FALSE()))),"OLD",IF(AND(E5718&lt;&gt;"",E5718&lt;&gt;"!!!"),"NEW","")))</f>
        <v> </v>
      </c>
      <c r="G5718" s="24" t="str">
        <f>IF(OR(E5718="",E5718="!!!"),"",IF(OR(J5718=0,AND(J5718=1,K5718=1),AND(J5718=1,I5718="SBJ"),AND(J5718=1,I5718=0)),"?IN_FOCUS",IF(J5718&lt;=2,"?ACTIVATED",IF(J5718&lt;&gt;"","?FAMILIAR",IF(F5718="NEW",IF(ISNA(VLOOKUP(E5718,#REF!,1,FALSE())),"?TYPE_IDENTIFIABLE","?REFERENTIAL"),"_")))))</f>
        <v> </v>
      </c>
      <c r="H5718" s="25" t="str">
        <f>IF(J5718&lt;&gt;1,"",IF(I5718="SBJ","CB","?"))</f>
        <v> </v>
      </c>
      <c r="I5718" s="26" t="str">
        <f>IF(OR(E5718="",E5718="!!!",F5718="NEW"),"",INDEX(B5717:B$2,-1+SUMPRODUCT(MAX(ROW(E5717:E$2)*(E5718=E5717:E$2)))))</f>
        <v> </v>
      </c>
      <c r="J5718" s="26" t="str">
        <f>IF(OR(E5718="",E5718="!!!",F5718="NEW"),"",COUNTBLANK(OFFSET(A$1,,,SUMPRODUCT(MAX(ROW(E$2:E5718)*(E5718=E$2:E5718)))))-COUNTBLANK(OFFSET(A$1,,,SUMPRODUCT(MAX(ROW(E$1:E5717)*(E2=E$1:E5717))))))</f>
        <v> </v>
      </c>
      <c r="K5718" s="26" t="str">
        <f>IF(OR(E5718="",E5718="!!!",F5718="NEW"),"",INDEX(J$1:J5717,SUMPRODUCT(MAX(ROW(E$1:E5717)*(E5718=E$1:E5717)))))</f>
        <v> </v>
      </c>
      <c r="L5718" s="27"/>
    </row>
    <row r="5719" spans="1:12">
      <c r="A5719" s="20" t="s">
        <v>1042</v>
      </c>
      <c r="B5719" s="21" t="s">
        <v>1045</v>
      </c>
      <c r="C5719" s="21" t="s">
        <v>1034</v>
      </c>
      <c r="D5719" s="21" t="s">
        <v>997</v>
      </c>
      <c r="E5719" s="22">
        <f>IF(D5719="?OLD","!!!","")</f>
        <v/>
      </c>
      <c r="F5719" s="23" t="str">
        <f>IF(OR(E5719="",E5719="!!!"),"",IF(NOT(ISNA(VLOOKUP(E5719,E$1:E5718,1,FALSE()))),"OLD",IF(AND(E5719&lt;&gt;"",E5719&lt;&gt;"!!!"),"NEW","")))</f>
        <v> </v>
      </c>
      <c r="G5719" s="24" t="str">
        <f>IF(OR(E5719="",E5719="!!!"),"",IF(OR(J5719=0,AND(J5719=1,K5719=1),AND(J5719=1,I5719="SBJ"),AND(J5719=1,I5719=0)),"?IN_FOCUS",IF(J5719&lt;=2,"?ACTIVATED",IF(J5719&lt;&gt;"","?FAMILIAR",IF(F5719="NEW",IF(ISNA(VLOOKUP(E5719,#REF!,1,FALSE())),"?TYPE_IDENTIFIABLE","?REFERENTIAL"),"_")))))</f>
        <v> </v>
      </c>
      <c r="H5719" s="25" t="str">
        <f>IF(J5719&lt;&gt;1,"",IF(I5719="SBJ","CB","?"))</f>
        <v> </v>
      </c>
      <c r="I5719" s="26" t="str">
        <f>IF(OR(E5719="",E5719="!!!",F5719="NEW"),"",INDEX(B5718:B$2,-1+SUMPRODUCT(MAX(ROW(E5718:E$2)*(E5719=E5718:E$2)))))</f>
        <v> </v>
      </c>
      <c r="J5719" s="26" t="str">
        <f>IF(OR(E5719="",E5719="!!!",F5719="NEW"),"",COUNTBLANK(OFFSET(A$1,,,SUMPRODUCT(MAX(ROW(E$2:E5719)*(E5719=E$2:E5719)))))-COUNTBLANK(OFFSET(A$1,,,SUMPRODUCT(MAX(ROW(E$1:E5718)*(E2=E$1:E5718))))))</f>
        <v> </v>
      </c>
      <c r="K5719" s="26" t="str">
        <f>IF(OR(E5719="",E5719="!!!",F5719="NEW"),"",INDEX(J$1:J5718,SUMPRODUCT(MAX(ROW(E$1:E5718)*(E5719=E$1:E5718)))))</f>
        <v> </v>
      </c>
      <c r="L5719" s="27"/>
    </row>
    <row r="5720" spans="1:12">
      <c r="A5720" s="20" t="s">
        <v>2459</v>
      </c>
      <c r="E5720" s="22">
        <f>IF(D5720="?OLD","!!!","")</f>
        <v/>
      </c>
      <c r="F5720" s="23" t="str">
        <f>IF(OR(E5720="",E5720="!!!"),"",IF(NOT(ISNA(VLOOKUP(E5720,E$1:E5719,1,FALSE()))),"OLD",IF(AND(E5720&lt;&gt;"",E5720&lt;&gt;"!!!"),"NEW","")))</f>
        <v> </v>
      </c>
      <c r="G5720" s="24" t="str">
        <f>IF(OR(E5720="",E5720="!!!"),"",IF(OR(J5720=0,AND(J5720=1,K5720=1),AND(J5720=1,I5720="SBJ"),AND(J5720=1,I5720=0)),"?IN_FOCUS",IF(J5720&lt;=2,"?ACTIVATED",IF(J5720&lt;&gt;"","?FAMILIAR",IF(F5720="NEW",IF(ISNA(VLOOKUP(E5720,#REF!,1,FALSE())),"?TYPE_IDENTIFIABLE","?REFERENTIAL"),"_")))))</f>
        <v> </v>
      </c>
      <c r="H5720" s="25" t="str">
        <f>IF(J5720&lt;&gt;1,"",IF(I5720="SBJ","CB","?"))</f>
        <v> </v>
      </c>
      <c r="I5720" s="26" t="str">
        <f>IF(OR(E5720="",E5720="!!!",F5720="NEW"),"",INDEX(B5719:B$2,-1+SUMPRODUCT(MAX(ROW(E5719:E$2)*(E5720=E5719:E$2)))))</f>
        <v> </v>
      </c>
      <c r="J5720" s="26" t="str">
        <f>IF(OR(E5720="",E5720="!!!",F5720="NEW"),"",COUNTBLANK(OFFSET(A$1,,,SUMPRODUCT(MAX(ROW(E$2:E5720)*(E5720=E$2:E5720)))))-COUNTBLANK(OFFSET(A$1,,,SUMPRODUCT(MAX(ROW(E$1:E5719)*(E2=E$1:E5719))))))</f>
        <v> </v>
      </c>
      <c r="K5720" s="26" t="str">
        <f>IF(OR(E5720="",E5720="!!!",F5720="NEW"),"",INDEX(J$1:J5719,SUMPRODUCT(MAX(ROW(E$1:E5719)*(E5720=E$1:E5719)))))</f>
        <v> </v>
      </c>
      <c r="L5720" s="27"/>
    </row>
    <row r="5721" spans="1:12">
      <c r="A5721" s="20" t="s">
        <v>1054</v>
      </c>
      <c r="E5721" s="22">
        <f>IF(D5721="?OLD","!!!","")</f>
        <v/>
      </c>
      <c r="F5721" s="23" t="str">
        <f>IF(OR(E5721="",E5721="!!!"),"",IF(NOT(ISNA(VLOOKUP(E5721,E$1:E5720,1,FALSE()))),"OLD",IF(AND(E5721&lt;&gt;"",E5721&lt;&gt;"!!!"),"NEW","")))</f>
        <v> </v>
      </c>
      <c r="G5721" s="24" t="str">
        <f>IF(OR(E5721="",E5721="!!!"),"",IF(OR(J5721=0,AND(J5721=1,K5721=1),AND(J5721=1,I5721="SBJ"),AND(J5721=1,I5721=0)),"?IN_FOCUS",IF(J5721&lt;=2,"?ACTIVATED",IF(J5721&lt;&gt;"","?FAMILIAR",IF(F5721="NEW",IF(ISNA(VLOOKUP(E5721,#REF!,1,FALSE())),"?TYPE_IDENTIFIABLE","?REFERENTIAL"),"_")))))</f>
        <v> </v>
      </c>
      <c r="H5721" s="25" t="str">
        <f>IF(J5721&lt;&gt;1,"",IF(I5721="SBJ","CB","?"))</f>
        <v> </v>
      </c>
      <c r="I5721" s="26" t="str">
        <f>IF(OR(E5721="",E5721="!!!",F5721="NEW"),"",INDEX(B5720:B$2,-1+SUMPRODUCT(MAX(ROW(E5720:E$2)*(E5721=E5720:E$2)))))</f>
        <v> </v>
      </c>
      <c r="J5721" s="26" t="str">
        <f>IF(OR(E5721="",E5721="!!!",F5721="NEW"),"",COUNTBLANK(OFFSET(A$1,,,SUMPRODUCT(MAX(ROW(E$2:E5721)*(E5721=E$2:E5721)))))-COUNTBLANK(OFFSET(A$1,,,SUMPRODUCT(MAX(ROW(E$1:E5720)*(E2=E$1:E5720))))))</f>
        <v> </v>
      </c>
      <c r="K5721" s="26" t="str">
        <f>IF(OR(E5721="",E5721="!!!",F5721="NEW"),"",INDEX(J$1:J5720,SUMPRODUCT(MAX(ROW(E$1:E5720)*(E5721=E$1:E5720)))))</f>
        <v> </v>
      </c>
      <c r="L5721" s="27"/>
    </row>
    <row r="5722" spans="1:12">
      <c r="A5722" s="20" t="s">
        <v>2460</v>
      </c>
      <c r="E5722" s="22">
        <f>IF(D5722="?OLD","!!!","")</f>
        <v/>
      </c>
      <c r="F5722" s="23" t="str">
        <f>IF(OR(E5722="",E5722="!!!"),"",IF(NOT(ISNA(VLOOKUP(E5722,E$1:E5721,1,FALSE()))),"OLD",IF(AND(E5722&lt;&gt;"",E5722&lt;&gt;"!!!"),"NEW","")))</f>
        <v> </v>
      </c>
      <c r="G5722" s="24" t="str">
        <f>IF(OR(E5722="",E5722="!!!"),"",IF(OR(J5722=0,AND(J5722=1,K5722=1),AND(J5722=1,I5722="SBJ"),AND(J5722=1,I5722=0)),"?IN_FOCUS",IF(J5722&lt;=2,"?ACTIVATED",IF(J5722&lt;&gt;"","?FAMILIAR",IF(F5722="NEW",IF(ISNA(VLOOKUP(E5722,#REF!,1,FALSE())),"?TYPE_IDENTIFIABLE","?REFERENTIAL"),"_")))))</f>
        <v> </v>
      </c>
      <c r="H5722" s="25" t="str">
        <f>IF(J5722&lt;&gt;1,"",IF(I5722="SBJ","CB","?"))</f>
        <v> </v>
      </c>
      <c r="I5722" s="26" t="str">
        <f>IF(OR(E5722="",E5722="!!!",F5722="NEW"),"",INDEX(B5721:B$2,-1+SUMPRODUCT(MAX(ROW(E5721:E$2)*(E5722=E5721:E$2)))))</f>
        <v> </v>
      </c>
      <c r="J5722" s="26" t="str">
        <f>IF(OR(E5722="",E5722="!!!",F5722="NEW"),"",COUNTBLANK(OFFSET(A$1,,,SUMPRODUCT(MAX(ROW(E$2:E5722)*(E5722=E$2:E5722)))))-COUNTBLANK(OFFSET(A$1,,,SUMPRODUCT(MAX(ROW(E$1:E5721)*(E2=E$1:E5721))))))</f>
        <v> </v>
      </c>
      <c r="K5722" s="26" t="str">
        <f>IF(OR(E5722="",E5722="!!!",F5722="NEW"),"",INDEX(J$1:J5721,SUMPRODUCT(MAX(ROW(E$1:E5721)*(E5722=E$1:E5721)))))</f>
        <v> </v>
      </c>
      <c r="L5722" s="27"/>
    </row>
    <row r="5723" spans="1:12">
      <c r="A5723" s="20" t="s">
        <v>1022</v>
      </c>
      <c r="E5723" s="22">
        <f>IF(D5723="?OLD","!!!","")</f>
        <v/>
      </c>
      <c r="F5723" s="23" t="str">
        <f>IF(OR(E5723="",E5723="!!!"),"",IF(NOT(ISNA(VLOOKUP(E5723,E$1:E5722,1,FALSE()))),"OLD",IF(AND(E5723&lt;&gt;"",E5723&lt;&gt;"!!!"),"NEW","")))</f>
        <v> </v>
      </c>
      <c r="G5723" s="24" t="str">
        <f>IF(OR(E5723="",E5723="!!!"),"",IF(OR(J5723=0,AND(J5723=1,K5723=1),AND(J5723=1,I5723="SBJ"),AND(J5723=1,I5723=0)),"?IN_FOCUS",IF(J5723&lt;=2,"?ACTIVATED",IF(J5723&lt;&gt;"","?FAMILIAR",IF(F5723="NEW",IF(ISNA(VLOOKUP(E5723,#REF!,1,FALSE())),"?TYPE_IDENTIFIABLE","?REFERENTIAL"),"_")))))</f>
        <v> </v>
      </c>
      <c r="H5723" s="25" t="str">
        <f>IF(J5723&lt;&gt;1,"",IF(I5723="SBJ","CB","?"))</f>
        <v> </v>
      </c>
      <c r="I5723" s="26" t="str">
        <f>IF(OR(E5723="",E5723="!!!",F5723="NEW"),"",INDEX(B5722:B$2,-1+SUMPRODUCT(MAX(ROW(E5722:E$2)*(E5723=E5722:E$2)))))</f>
        <v> </v>
      </c>
      <c r="J5723" s="26" t="str">
        <f>IF(OR(E5723="",E5723="!!!",F5723="NEW"),"",COUNTBLANK(OFFSET(A$1,,,SUMPRODUCT(MAX(ROW(E$2:E5723)*(E5723=E$2:E5723)))))-COUNTBLANK(OFFSET(A$1,,,SUMPRODUCT(MAX(ROW(E$1:E5722)*(E2=E$1:E5722))))))</f>
        <v> </v>
      </c>
      <c r="K5723" s="26" t="str">
        <f>IF(OR(E5723="",E5723="!!!",F5723="NEW"),"",INDEX(J$1:J5722,SUMPRODUCT(MAX(ROW(E$1:E5722)*(E5723=E$1:E5722)))))</f>
        <v> </v>
      </c>
      <c r="L5723" s="27"/>
    </row>
    <row r="5724" spans="1:12">
      <c r="A5724" s="20" t="s">
        <v>2461</v>
      </c>
      <c r="E5724" s="22">
        <f>IF(D5724="?OLD","!!!","")</f>
        <v/>
      </c>
      <c r="F5724" s="23" t="str">
        <f>IF(OR(E5724="",E5724="!!!"),"",IF(NOT(ISNA(VLOOKUP(E5724,E$1:E5723,1,FALSE()))),"OLD",IF(AND(E5724&lt;&gt;"",E5724&lt;&gt;"!!!"),"NEW","")))</f>
        <v> </v>
      </c>
      <c r="G5724" s="24" t="str">
        <f>IF(OR(E5724="",E5724="!!!"),"",IF(OR(J5724=0,AND(J5724=1,K5724=1),AND(J5724=1,I5724="SBJ"),AND(J5724=1,I5724=0)),"?IN_FOCUS",IF(J5724&lt;=2,"?ACTIVATED",IF(J5724&lt;&gt;"","?FAMILIAR",IF(F5724="NEW",IF(ISNA(VLOOKUP(E5724,#REF!,1,FALSE())),"?TYPE_IDENTIFIABLE","?REFERENTIAL"),"_")))))</f>
        <v> </v>
      </c>
      <c r="H5724" s="25" t="str">
        <f>IF(J5724&lt;&gt;1,"",IF(I5724="SBJ","CB","?"))</f>
        <v> </v>
      </c>
      <c r="I5724" s="26" t="str">
        <f>IF(OR(E5724="",E5724="!!!",F5724="NEW"),"",INDEX(B5723:B$2,-1+SUMPRODUCT(MAX(ROW(E5723:E$2)*(E5724=E5723:E$2)))))</f>
        <v> </v>
      </c>
      <c r="J5724" s="26" t="str">
        <f>IF(OR(E5724="",E5724="!!!",F5724="NEW"),"",COUNTBLANK(OFFSET(A$1,,,SUMPRODUCT(MAX(ROW(E$2:E5724)*(E5724=E$2:E5724)))))-COUNTBLANK(OFFSET(A$1,,,SUMPRODUCT(MAX(ROW(E$1:E5723)*(E2=E$1:E5723))))))</f>
        <v> </v>
      </c>
      <c r="K5724" s="26" t="str">
        <f>IF(OR(E5724="",E5724="!!!",F5724="NEW"),"",INDEX(J$1:J5723,SUMPRODUCT(MAX(ROW(E$1:E5723)*(E5724=E$1:E5723)))))</f>
        <v> </v>
      </c>
      <c r="L5724" s="27"/>
    </row>
    <row r="5725" spans="1:12">
      <c r="A5725" s="20" t="s">
        <v>1041</v>
      </c>
      <c r="E5725" s="22">
        <f>IF(D5725="?OLD","!!!","")</f>
        <v/>
      </c>
      <c r="F5725" s="23" t="str">
        <f>IF(OR(E5725="",E5725="!!!"),"",IF(NOT(ISNA(VLOOKUP(E5725,E$1:E5724,1,FALSE()))),"OLD",IF(AND(E5725&lt;&gt;"",E5725&lt;&gt;"!!!"),"NEW","")))</f>
        <v> </v>
      </c>
      <c r="G5725" s="24" t="str">
        <f>IF(OR(E5725="",E5725="!!!"),"",IF(OR(J5725=0,AND(J5725=1,K5725=1),AND(J5725=1,I5725="SBJ"),AND(J5725=1,I5725=0)),"?IN_FOCUS",IF(J5725&lt;=2,"?ACTIVATED",IF(J5725&lt;&gt;"","?FAMILIAR",IF(F5725="NEW",IF(ISNA(VLOOKUP(E5725,#REF!,1,FALSE())),"?TYPE_IDENTIFIABLE","?REFERENTIAL"),"_")))))</f>
        <v> </v>
      </c>
      <c r="H5725" s="25" t="str">
        <f>IF(J5725&lt;&gt;1,"",IF(I5725="SBJ","CB","?"))</f>
        <v> </v>
      </c>
      <c r="I5725" s="26" t="str">
        <f>IF(OR(E5725="",E5725="!!!",F5725="NEW"),"",INDEX(B5724:B$2,-1+SUMPRODUCT(MAX(ROW(E5724:E$2)*(E5725=E5724:E$2)))))</f>
        <v> </v>
      </c>
      <c r="J5725" s="26" t="str">
        <f>IF(OR(E5725="",E5725="!!!",F5725="NEW"),"",COUNTBLANK(OFFSET(A$1,,,SUMPRODUCT(MAX(ROW(E$2:E5725)*(E5725=E$2:E5725)))))-COUNTBLANK(OFFSET(A$1,,,SUMPRODUCT(MAX(ROW(E$1:E5724)*(E2=E$1:E5724))))))</f>
        <v> </v>
      </c>
      <c r="K5725" s="26" t="str">
        <f>IF(OR(E5725="",E5725="!!!",F5725="NEW"),"",INDEX(J$1:J5724,SUMPRODUCT(MAX(ROW(E$1:E5724)*(E5725=E$1:E5724)))))</f>
        <v> </v>
      </c>
      <c r="L5725" s="27"/>
    </row>
    <row r="5726" spans="1:12">
      <c r="A5726" s="20" t="s">
        <v>1103</v>
      </c>
      <c r="E5726" s="22">
        <f>IF(D5726="?OLD","!!!","")</f>
        <v/>
      </c>
      <c r="F5726" s="23" t="str">
        <f>IF(OR(E5726="",E5726="!!!"),"",IF(NOT(ISNA(VLOOKUP(E5726,E$1:E5725,1,FALSE()))),"OLD",IF(AND(E5726&lt;&gt;"",E5726&lt;&gt;"!!!"),"NEW","")))</f>
        <v> </v>
      </c>
      <c r="G5726" s="24" t="str">
        <f>IF(OR(E5726="",E5726="!!!"),"",IF(OR(J5726=0,AND(J5726=1,K5726=1),AND(J5726=1,I5726="SBJ"),AND(J5726=1,I5726=0)),"?IN_FOCUS",IF(J5726&lt;=2,"?ACTIVATED",IF(J5726&lt;&gt;"","?FAMILIAR",IF(F5726="NEW",IF(ISNA(VLOOKUP(E5726,#REF!,1,FALSE())),"?TYPE_IDENTIFIABLE","?REFERENTIAL"),"_")))))</f>
        <v> </v>
      </c>
      <c r="H5726" s="25" t="str">
        <f>IF(J5726&lt;&gt;1,"",IF(I5726="SBJ","CB","?"))</f>
        <v> </v>
      </c>
      <c r="I5726" s="26" t="str">
        <f>IF(OR(E5726="",E5726="!!!",F5726="NEW"),"",INDEX(B5725:B$2,-1+SUMPRODUCT(MAX(ROW(E5725:E$2)*(E5726=E5725:E$2)))))</f>
        <v> </v>
      </c>
      <c r="J5726" s="26" t="str">
        <f>IF(OR(E5726="",E5726="!!!",F5726="NEW"),"",COUNTBLANK(OFFSET(A$1,,,SUMPRODUCT(MAX(ROW(E$2:E5726)*(E5726=E$2:E5726)))))-COUNTBLANK(OFFSET(A$1,,,SUMPRODUCT(MAX(ROW(E$1:E5725)*(E2=E$1:E5725))))))</f>
        <v> </v>
      </c>
      <c r="K5726" s="26" t="str">
        <f>IF(OR(E5726="",E5726="!!!",F5726="NEW"),"",INDEX(J$1:J5725,SUMPRODUCT(MAX(ROW(E$1:E5725)*(E5726=E$1:E5725)))))</f>
        <v> </v>
      </c>
      <c r="L5726" s="27"/>
    </row>
    <row r="5727" spans="1:12">
      <c r="A5727" s="20" t="s">
        <v>1022</v>
      </c>
      <c r="E5727" s="22">
        <f>IF(D5727="?OLD","!!!","")</f>
        <v/>
      </c>
      <c r="F5727" s="23" t="str">
        <f>IF(OR(E5727="",E5727="!!!"),"",IF(NOT(ISNA(VLOOKUP(E5727,E$1:E5726,1,FALSE()))),"OLD",IF(AND(E5727&lt;&gt;"",E5727&lt;&gt;"!!!"),"NEW","")))</f>
        <v> </v>
      </c>
      <c r="G5727" s="24" t="str">
        <f>IF(OR(E5727="",E5727="!!!"),"",IF(OR(J5727=0,AND(J5727=1,K5727=1),AND(J5727=1,I5727="SBJ"),AND(J5727=1,I5727=0)),"?IN_FOCUS",IF(J5727&lt;=2,"?ACTIVATED",IF(J5727&lt;&gt;"","?FAMILIAR",IF(F5727="NEW",IF(ISNA(VLOOKUP(E5727,#REF!,1,FALSE())),"?TYPE_IDENTIFIABLE","?REFERENTIAL"),"_")))))</f>
        <v> </v>
      </c>
      <c r="H5727" s="25" t="str">
        <f>IF(J5727&lt;&gt;1,"",IF(I5727="SBJ","CB","?"))</f>
        <v> </v>
      </c>
      <c r="I5727" s="26" t="str">
        <f>IF(OR(E5727="",E5727="!!!",F5727="NEW"),"",INDEX(B5726:B$2,-1+SUMPRODUCT(MAX(ROW(E5726:E$2)*(E5727=E5726:E$2)))))</f>
        <v> </v>
      </c>
      <c r="J5727" s="26" t="str">
        <f>IF(OR(E5727="",E5727="!!!",F5727="NEW"),"",COUNTBLANK(OFFSET(A$1,,,SUMPRODUCT(MAX(ROW(E$2:E5727)*(E5727=E$2:E5727)))))-COUNTBLANK(OFFSET(A$1,,,SUMPRODUCT(MAX(ROW(E$1:E5726)*(E2=E$1:E5726))))))</f>
        <v> </v>
      </c>
      <c r="K5727" s="26" t="str">
        <f>IF(OR(E5727="",E5727="!!!",F5727="NEW"),"",INDEX(J$1:J5726,SUMPRODUCT(MAX(ROW(E$1:E5726)*(E5727=E$1:E5726)))))</f>
        <v> </v>
      </c>
      <c r="L5727" s="27"/>
    </row>
    <row r="5728" spans="1:12">
      <c r="A5728" s="20" t="s">
        <v>1060</v>
      </c>
      <c r="E5728" s="22">
        <f>IF(D5728="?OLD","!!!","")</f>
        <v/>
      </c>
      <c r="F5728" s="23" t="str">
        <f>IF(OR(E5728="",E5728="!!!"),"",IF(NOT(ISNA(VLOOKUP(E5728,E$1:E5727,1,FALSE()))),"OLD",IF(AND(E5728&lt;&gt;"",E5728&lt;&gt;"!!!"),"NEW","")))</f>
        <v> </v>
      </c>
      <c r="G5728" s="24" t="str">
        <f>IF(OR(E5728="",E5728="!!!"),"",IF(OR(J5728=0,AND(J5728=1,K5728=1),AND(J5728=1,I5728="SBJ"),AND(J5728=1,I5728=0)),"?IN_FOCUS",IF(J5728&lt;=2,"?ACTIVATED",IF(J5728&lt;&gt;"","?FAMILIAR",IF(F5728="NEW",IF(ISNA(VLOOKUP(E5728,#REF!,1,FALSE())),"?TYPE_IDENTIFIABLE","?REFERENTIAL"),"_")))))</f>
        <v> </v>
      </c>
      <c r="H5728" s="25" t="str">
        <f>IF(J5728&lt;&gt;1,"",IF(I5728="SBJ","CB","?"))</f>
        <v> </v>
      </c>
      <c r="I5728" s="26" t="str">
        <f>IF(OR(E5728="",E5728="!!!",F5728="NEW"),"",INDEX(B5727:B$2,-1+SUMPRODUCT(MAX(ROW(E5727:E$2)*(E5728=E5727:E$2)))))</f>
        <v> </v>
      </c>
      <c r="J5728" s="26" t="str">
        <f>IF(OR(E5728="",E5728="!!!",F5728="NEW"),"",COUNTBLANK(OFFSET(A$1,,,SUMPRODUCT(MAX(ROW(E$2:E5728)*(E5728=E$2:E5728)))))-COUNTBLANK(OFFSET(A$1,,,SUMPRODUCT(MAX(ROW(E$1:E5727)*(E2=E$1:E5727))))))</f>
        <v> </v>
      </c>
      <c r="K5728" s="26" t="str">
        <f>IF(OR(E5728="",E5728="!!!",F5728="NEW"),"",INDEX(J$1:J5727,SUMPRODUCT(MAX(ROW(E$1:E5727)*(E5728=E$1:E5727)))))</f>
        <v> </v>
      </c>
      <c r="L5728" s="27"/>
    </row>
    <row r="5729" spans="1:12">
      <c r="A5729" s="20" t="s">
        <v>1932</v>
      </c>
      <c r="B5729" s="21" t="s">
        <v>1114</v>
      </c>
      <c r="C5729" s="21" t="s">
        <v>1034</v>
      </c>
      <c r="D5729" s="21" t="s">
        <v>997</v>
      </c>
      <c r="E5729" s="22">
        <f>IF(D5729="?OLD","!!!","")</f>
        <v/>
      </c>
      <c r="F5729" s="23" t="str">
        <f>IF(OR(E5729="",E5729="!!!"),"",IF(NOT(ISNA(VLOOKUP(E5729,E$1:E5728,1,FALSE()))),"OLD",IF(AND(E5729&lt;&gt;"",E5729&lt;&gt;"!!!"),"NEW","")))</f>
        <v> </v>
      </c>
      <c r="G5729" s="24" t="str">
        <f>IF(OR(E5729="",E5729="!!!"),"",IF(OR(J5729=0,AND(J5729=1,K5729=1),AND(J5729=1,I5729="SBJ"),AND(J5729=1,I5729=0)),"?IN_FOCUS",IF(J5729&lt;=2,"?ACTIVATED",IF(J5729&lt;&gt;"","?FAMILIAR",IF(F5729="NEW",IF(ISNA(VLOOKUP(E5729,#REF!,1,FALSE())),"?TYPE_IDENTIFIABLE","?REFERENTIAL"),"_")))))</f>
        <v> </v>
      </c>
      <c r="H5729" s="25" t="str">
        <f>IF(J5729&lt;&gt;1,"",IF(I5729="SBJ","CB","?"))</f>
        <v> </v>
      </c>
      <c r="I5729" s="26" t="str">
        <f>IF(OR(E5729="",E5729="!!!",F5729="NEW"),"",INDEX(B5728:B$2,-1+SUMPRODUCT(MAX(ROW(E5728:E$2)*(E5729=E5728:E$2)))))</f>
        <v> </v>
      </c>
      <c r="J5729" s="26" t="str">
        <f>IF(OR(E5729="",E5729="!!!",F5729="NEW"),"",COUNTBLANK(OFFSET(A$1,,,SUMPRODUCT(MAX(ROW(E$2:E5729)*(E5729=E$2:E5729)))))-COUNTBLANK(OFFSET(A$1,,,SUMPRODUCT(MAX(ROW(E$1:E5728)*(E2=E$1:E5728))))))</f>
        <v> </v>
      </c>
      <c r="K5729" s="26" t="str">
        <f>IF(OR(E5729="",E5729="!!!",F5729="NEW"),"",INDEX(J$1:J5728,SUMPRODUCT(MAX(ROW(E$1:E5728)*(E5729=E$1:E5728)))))</f>
        <v> </v>
      </c>
      <c r="L5729" s="27"/>
    </row>
    <row r="5730" spans="1:12">
      <c r="A5730" s="20" t="s">
        <v>1376</v>
      </c>
      <c r="E5730" s="22">
        <f>IF(D5730="?OLD","!!!","")</f>
        <v/>
      </c>
      <c r="F5730" s="23" t="str">
        <f>IF(OR(E5730="",E5730="!!!"),"",IF(NOT(ISNA(VLOOKUP(E5730,E$1:E5729,1,FALSE()))),"OLD",IF(AND(E5730&lt;&gt;"",E5730&lt;&gt;"!!!"),"NEW","")))</f>
        <v> </v>
      </c>
      <c r="G5730" s="24" t="str">
        <f>IF(OR(E5730="",E5730="!!!"),"",IF(OR(J5730=0,AND(J5730=1,K5730=1),AND(J5730=1,I5730="SBJ"),AND(J5730=1,I5730=0)),"?IN_FOCUS",IF(J5730&lt;=2,"?ACTIVATED",IF(J5730&lt;&gt;"","?FAMILIAR",IF(F5730="NEW",IF(ISNA(VLOOKUP(E5730,#REF!,1,FALSE())),"?TYPE_IDENTIFIABLE","?REFERENTIAL"),"_")))))</f>
        <v> </v>
      </c>
      <c r="H5730" s="25" t="str">
        <f>IF(J5730&lt;&gt;1,"",IF(I5730="SBJ","CB","?"))</f>
        <v> </v>
      </c>
      <c r="I5730" s="26" t="str">
        <f>IF(OR(E5730="",E5730="!!!",F5730="NEW"),"",INDEX(B5729:B$2,-1+SUMPRODUCT(MAX(ROW(E5729:E$2)*(E5730=E5729:E$2)))))</f>
        <v> </v>
      </c>
      <c r="J5730" s="26" t="str">
        <f>IF(OR(E5730="",E5730="!!!",F5730="NEW"),"",COUNTBLANK(OFFSET(A$1,,,SUMPRODUCT(MAX(ROW(E$2:E5730)*(E5730=E$2:E5730)))))-COUNTBLANK(OFFSET(A$1,,,SUMPRODUCT(MAX(ROW(E$1:E5729)*(E2=E$1:E5729))))))</f>
        <v> </v>
      </c>
      <c r="K5730" s="26" t="str">
        <f>IF(OR(E5730="",E5730="!!!",F5730="NEW"),"",INDEX(J$1:J5729,SUMPRODUCT(MAX(ROW(E$1:E5729)*(E5730=E$1:E5729)))))</f>
        <v> </v>
      </c>
      <c r="L5730" s="27"/>
    </row>
    <row r="5731" spans="1:12">
      <c r="A5731" s="20" t="s">
        <v>1250</v>
      </c>
      <c r="E5731" s="22">
        <f>IF(D5731="?OLD","!!!","")</f>
        <v/>
      </c>
      <c r="F5731" s="23" t="str">
        <f>IF(OR(E5731="",E5731="!!!"),"",IF(NOT(ISNA(VLOOKUP(E5731,E$1:E5730,1,FALSE()))),"OLD",IF(AND(E5731&lt;&gt;"",E5731&lt;&gt;"!!!"),"NEW","")))</f>
        <v> </v>
      </c>
      <c r="G5731" s="24" t="str">
        <f>IF(OR(E5731="",E5731="!!!"),"",IF(OR(J5731=0,AND(J5731=1,K5731=1),AND(J5731=1,I5731="SBJ"),AND(J5731=1,I5731=0)),"?IN_FOCUS",IF(J5731&lt;=2,"?ACTIVATED",IF(J5731&lt;&gt;"","?FAMILIAR",IF(F5731="NEW",IF(ISNA(VLOOKUP(E5731,#REF!,1,FALSE())),"?TYPE_IDENTIFIABLE","?REFERENTIAL"),"_")))))</f>
        <v> </v>
      </c>
      <c r="H5731" s="25" t="str">
        <f>IF(J5731&lt;&gt;1,"",IF(I5731="SBJ","CB","?"))</f>
        <v> </v>
      </c>
      <c r="I5731" s="26" t="str">
        <f>IF(OR(E5731="",E5731="!!!",F5731="NEW"),"",INDEX(B5730:B$2,-1+SUMPRODUCT(MAX(ROW(E5730:E$2)*(E5731=E5730:E$2)))))</f>
        <v> </v>
      </c>
      <c r="J5731" s="26" t="str">
        <f>IF(OR(E5731="",E5731="!!!",F5731="NEW"),"",COUNTBLANK(OFFSET(A$1,,,SUMPRODUCT(MAX(ROW(E$2:E5731)*(E5731=E$2:E5731)))))-COUNTBLANK(OFFSET(A$1,,,SUMPRODUCT(MAX(ROW(E$1:E5730)*(E2=E$1:E5730))))))</f>
        <v> </v>
      </c>
      <c r="K5731" s="26" t="str">
        <f>IF(OR(E5731="",E5731="!!!",F5731="NEW"),"",INDEX(J$1:J5730,SUMPRODUCT(MAX(ROW(E$1:E5730)*(E5731=E$1:E5730)))))</f>
        <v> </v>
      </c>
      <c r="L5731" s="27"/>
    </row>
    <row r="5732" spans="1:12">
      <c r="A5732" s="20" t="s">
        <v>1054</v>
      </c>
      <c r="E5732" s="22">
        <f>IF(D5732="?OLD","!!!","")</f>
        <v/>
      </c>
      <c r="F5732" s="23" t="str">
        <f>IF(OR(E5732="",E5732="!!!"),"",IF(NOT(ISNA(VLOOKUP(E5732,E$1:E5731,1,FALSE()))),"OLD",IF(AND(E5732&lt;&gt;"",E5732&lt;&gt;"!!!"),"NEW","")))</f>
        <v> </v>
      </c>
      <c r="G5732" s="24" t="str">
        <f>IF(OR(E5732="",E5732="!!!"),"",IF(OR(J5732=0,AND(J5732=1,K5732=1),AND(J5732=1,I5732="SBJ"),AND(J5732=1,I5732=0)),"?IN_FOCUS",IF(J5732&lt;=2,"?ACTIVATED",IF(J5732&lt;&gt;"","?FAMILIAR",IF(F5732="NEW",IF(ISNA(VLOOKUP(E5732,#REF!,1,FALSE())),"?TYPE_IDENTIFIABLE","?REFERENTIAL"),"_")))))</f>
        <v> </v>
      </c>
      <c r="H5732" s="25" t="str">
        <f>IF(J5732&lt;&gt;1,"",IF(I5732="SBJ","CB","?"))</f>
        <v> </v>
      </c>
      <c r="I5732" s="26" t="str">
        <f>IF(OR(E5732="",E5732="!!!",F5732="NEW"),"",INDEX(B5731:B$2,-1+SUMPRODUCT(MAX(ROW(E5731:E$2)*(E5732=E5731:E$2)))))</f>
        <v> </v>
      </c>
      <c r="J5732" s="26" t="str">
        <f>IF(OR(E5732="",E5732="!!!",F5732="NEW"),"",COUNTBLANK(OFFSET(A$1,,,SUMPRODUCT(MAX(ROW(E$2:E5732)*(E5732=E$2:E5732)))))-COUNTBLANK(OFFSET(A$1,,,SUMPRODUCT(MAX(ROW(E$1:E5731)*(E2=E$1:E5731))))))</f>
        <v> </v>
      </c>
      <c r="K5732" s="26" t="str">
        <f>IF(OR(E5732="",E5732="!!!",F5732="NEW"),"",INDEX(J$1:J5731,SUMPRODUCT(MAX(ROW(E$1:E5731)*(E5732=E$1:E5731)))))</f>
        <v> </v>
      </c>
      <c r="L5732" s="27"/>
    </row>
    <row r="5733" spans="1:12">
      <c r="A5733" s="20" t="s">
        <v>2462</v>
      </c>
      <c r="E5733" s="22">
        <f>IF(D5733="?OLD","!!!","")</f>
        <v/>
      </c>
      <c r="F5733" s="23" t="str">
        <f>IF(OR(E5733="",E5733="!!!"),"",IF(NOT(ISNA(VLOOKUP(E5733,E$1:E5732,1,FALSE()))),"OLD",IF(AND(E5733&lt;&gt;"",E5733&lt;&gt;"!!!"),"NEW","")))</f>
        <v> </v>
      </c>
      <c r="G5733" s="24" t="str">
        <f>IF(OR(E5733="",E5733="!!!"),"",IF(OR(J5733=0,AND(J5733=1,K5733=1),AND(J5733=1,I5733="SBJ"),AND(J5733=1,I5733=0)),"?IN_FOCUS",IF(J5733&lt;=2,"?ACTIVATED",IF(J5733&lt;&gt;"","?FAMILIAR",IF(F5733="NEW",IF(ISNA(VLOOKUP(E5733,#REF!,1,FALSE())),"?TYPE_IDENTIFIABLE","?REFERENTIAL"),"_")))))</f>
        <v> </v>
      </c>
      <c r="H5733" s="25" t="str">
        <f>IF(J5733&lt;&gt;1,"",IF(I5733="SBJ","CB","?"))</f>
        <v> </v>
      </c>
      <c r="I5733" s="26" t="str">
        <f>IF(OR(E5733="",E5733="!!!",F5733="NEW"),"",INDEX(B5732:B$2,-1+SUMPRODUCT(MAX(ROW(E5732:E$2)*(E5733=E5732:E$2)))))</f>
        <v> </v>
      </c>
      <c r="J5733" s="26" t="str">
        <f>IF(OR(E5733="",E5733="!!!",F5733="NEW"),"",COUNTBLANK(OFFSET(A$1,,,SUMPRODUCT(MAX(ROW(E$2:E5733)*(E5733=E$2:E5733)))))-COUNTBLANK(OFFSET(A$1,,,SUMPRODUCT(MAX(ROW(E$1:E5732)*(E2=E$1:E5732))))))</f>
        <v> </v>
      </c>
      <c r="K5733" s="26" t="str">
        <f>IF(OR(E5733="",E5733="!!!",F5733="NEW"),"",INDEX(J$1:J5732,SUMPRODUCT(MAX(ROW(E$1:E5732)*(E5733=E$1:E5732)))))</f>
        <v> </v>
      </c>
      <c r="L5733" s="27"/>
    </row>
    <row r="5734" spans="1:12">
      <c r="A5734" s="20" t="s">
        <v>1011</v>
      </c>
      <c r="E5734" s="22">
        <f>IF(D5734="?OLD","!!!","")</f>
        <v/>
      </c>
      <c r="F5734" s="23" t="str">
        <f>IF(OR(E5734="",E5734="!!!"),"",IF(NOT(ISNA(VLOOKUP(E5734,E$1:E5733,1,FALSE()))),"OLD",IF(AND(E5734&lt;&gt;"",E5734&lt;&gt;"!!!"),"NEW","")))</f>
        <v> </v>
      </c>
      <c r="G5734" s="24" t="str">
        <f>IF(OR(E5734="",E5734="!!!"),"",IF(OR(J5734=0,AND(J5734=1,K5734=1),AND(J5734=1,I5734="SBJ"),AND(J5734=1,I5734=0)),"?IN_FOCUS",IF(J5734&lt;=2,"?ACTIVATED",IF(J5734&lt;&gt;"","?FAMILIAR",IF(F5734="NEW",IF(ISNA(VLOOKUP(E5734,#REF!,1,FALSE())),"?TYPE_IDENTIFIABLE","?REFERENTIAL"),"_")))))</f>
        <v> </v>
      </c>
      <c r="H5734" s="25" t="str">
        <f>IF(J5734&lt;&gt;1,"",IF(I5734="SBJ","CB","?"))</f>
        <v> </v>
      </c>
      <c r="I5734" s="26" t="str">
        <f>IF(OR(E5734="",E5734="!!!",F5734="NEW"),"",INDEX(B5733:B$2,-1+SUMPRODUCT(MAX(ROW(E5733:E$2)*(E5734=E5733:E$2)))))</f>
        <v> </v>
      </c>
      <c r="J5734" s="26" t="str">
        <f>IF(OR(E5734="",E5734="!!!",F5734="NEW"),"",COUNTBLANK(OFFSET(A$1,,,SUMPRODUCT(MAX(ROW(E$2:E5734)*(E5734=E$2:E5734)))))-COUNTBLANK(OFFSET(A$1,,,SUMPRODUCT(MAX(ROW(E$1:E5733)*(E2=E$1:E5733))))))</f>
        <v> </v>
      </c>
      <c r="K5734" s="26" t="str">
        <f>IF(OR(E5734="",E5734="!!!",F5734="NEW"),"",INDEX(J$1:J5733,SUMPRODUCT(MAX(ROW(E$1:E5733)*(E5734=E$1:E5733)))))</f>
        <v> </v>
      </c>
      <c r="L5734" s="27"/>
    </row>
    <row r="5735" spans="1:12">
      <c r="A5735" s="20"/>
    </row>
    <row r="5736" spans="1:12">
      <c r="A5736" s="20" t="s">
        <v>2463</v>
      </c>
    </row>
    <row r="5737" spans="1:12">
      <c r="A5737" s="20" t="s">
        <v>2252</v>
      </c>
      <c r="B5737" s="21" t="s">
        <v>1067</v>
      </c>
      <c r="C5737" s="21" t="s">
        <v>1015</v>
      </c>
      <c r="D5737" s="21" t="s">
        <v>997</v>
      </c>
      <c r="E5737" s="22">
        <f>IF(D5737="?OLD","!!!","")</f>
        <v/>
      </c>
      <c r="F5737" s="23" t="str">
        <f>IF(OR(E5737="",E5737="!!!"),"",IF(NOT(ISNA(VLOOKUP(E5737,E$1:E5736,1,FALSE()))),"OLD",IF(AND(E5737&lt;&gt;"",E5737&lt;&gt;"!!!"),"NEW","")))</f>
        <v> </v>
      </c>
      <c r="G5737" s="24" t="str">
        <f>IF(OR(E5737="",E5737="!!!"),"",IF(OR(J5737=0,AND(J5737=1,K5737=1),AND(J5737=1,I5737="SBJ"),AND(J5737=1,I5737=0)),"?IN_FOCUS",IF(J5737&lt;=2,"?ACTIVATED",IF(J5737&lt;&gt;"","?FAMILIAR",IF(F5737="NEW",IF(ISNA(VLOOKUP(E5737,#REF!,1,FALSE())),"?TYPE_IDENTIFIABLE","?REFERENTIAL"),"_")))))</f>
        <v> </v>
      </c>
      <c r="H5737" s="25" t="str">
        <f>IF(J5737&lt;&gt;1,"",IF(I5737="SBJ","CB","?"))</f>
        <v> </v>
      </c>
      <c r="I5737" s="26" t="str">
        <f>IF(OR(E5737="",E5737="!!!",F5737="NEW"),"",INDEX(B5736:B$2,-1+SUMPRODUCT(MAX(ROW(E5736:E$2)*(E5737=E5736:E$2)))))</f>
        <v> </v>
      </c>
      <c r="J5737" s="26" t="str">
        <f>IF(OR(E5737="",E5737="!!!",F5737="NEW"),"",COUNTBLANK(OFFSET(A$1,,,SUMPRODUCT(MAX(ROW(E$2:E5737)*(E5737=E$2:E5737)))))-COUNTBLANK(OFFSET(A$1,,,SUMPRODUCT(MAX(ROW(E$1:E5736)*(E2=E$1:E5736))))))</f>
        <v> </v>
      </c>
      <c r="K5737" s="26" t="str">
        <f>IF(OR(E5737="",E5737="!!!",F5737="NEW"),"",INDEX(J$1:J5736,SUMPRODUCT(MAX(ROW(E$1:E5736)*(E5737=E$1:E5736)))))</f>
        <v> </v>
      </c>
      <c r="L5737" s="27"/>
    </row>
    <row r="5738" spans="1:12">
      <c r="A5738" s="20" t="s">
        <v>1513</v>
      </c>
      <c r="E5738" s="22">
        <f>IF(D5738="?OLD","!!!","")</f>
        <v/>
      </c>
      <c r="F5738" s="23" t="str">
        <f>IF(OR(E5738="",E5738="!!!"),"",IF(NOT(ISNA(VLOOKUP(E5738,E$1:E5737,1,FALSE()))),"OLD",IF(AND(E5738&lt;&gt;"",E5738&lt;&gt;"!!!"),"NEW","")))</f>
        <v> </v>
      </c>
      <c r="G5738" s="24" t="str">
        <f>IF(OR(E5738="",E5738="!!!"),"",IF(OR(J5738=0,AND(J5738=1,K5738=1),AND(J5738=1,I5738="SBJ"),AND(J5738=1,I5738=0)),"?IN_FOCUS",IF(J5738&lt;=2,"?ACTIVATED",IF(J5738&lt;&gt;"","?FAMILIAR",IF(F5738="NEW",IF(ISNA(VLOOKUP(E5738,#REF!,1,FALSE())),"?TYPE_IDENTIFIABLE","?REFERENTIAL"),"_")))))</f>
        <v> </v>
      </c>
      <c r="H5738" s="25" t="str">
        <f>IF(J5738&lt;&gt;1,"",IF(I5738="SBJ","CB","?"))</f>
        <v> </v>
      </c>
      <c r="I5738" s="26" t="str">
        <f>IF(OR(E5738="",E5738="!!!",F5738="NEW"),"",INDEX(B5737:B$2,-1+SUMPRODUCT(MAX(ROW(E5737:E$2)*(E5738=E5737:E$2)))))</f>
        <v> </v>
      </c>
      <c r="J5738" s="26" t="str">
        <f>IF(OR(E5738="",E5738="!!!",F5738="NEW"),"",COUNTBLANK(OFFSET(A$1,,,SUMPRODUCT(MAX(ROW(E$2:E5738)*(E5738=E$2:E5738)))))-COUNTBLANK(OFFSET(A$1,,,SUMPRODUCT(MAX(ROW(E$1:E5737)*(E2=E$1:E5737))))))</f>
        <v> </v>
      </c>
      <c r="K5738" s="26" t="str">
        <f>IF(OR(E5738="",E5738="!!!",F5738="NEW"),"",INDEX(J$1:J5737,SUMPRODUCT(MAX(ROW(E$1:E5737)*(E5738=E$1:E5737)))))</f>
        <v> </v>
      </c>
      <c r="L5738" s="27"/>
    </row>
    <row r="5739" spans="1:12">
      <c r="A5739" s="20" t="s">
        <v>1106</v>
      </c>
      <c r="E5739" s="22">
        <f>IF(D5739="?OLD","!!!","")</f>
        <v/>
      </c>
      <c r="F5739" s="23" t="str">
        <f>IF(OR(E5739="",E5739="!!!"),"",IF(NOT(ISNA(VLOOKUP(E5739,E$1:E5738,1,FALSE()))),"OLD",IF(AND(E5739&lt;&gt;"",E5739&lt;&gt;"!!!"),"NEW","")))</f>
        <v> </v>
      </c>
      <c r="G5739" s="24" t="str">
        <f>IF(OR(E5739="",E5739="!!!"),"",IF(OR(J5739=0,AND(J5739=1,K5739=1),AND(J5739=1,I5739="SBJ"),AND(J5739=1,I5739=0)),"?IN_FOCUS",IF(J5739&lt;=2,"?ACTIVATED",IF(J5739&lt;&gt;"","?FAMILIAR",IF(F5739="NEW",IF(ISNA(VLOOKUP(E5739,#REF!,1,FALSE())),"?TYPE_IDENTIFIABLE","?REFERENTIAL"),"_")))))</f>
        <v> </v>
      </c>
      <c r="H5739" s="25" t="str">
        <f>IF(J5739&lt;&gt;1,"",IF(I5739="SBJ","CB","?"))</f>
        <v> </v>
      </c>
      <c r="I5739" s="26" t="str">
        <f>IF(OR(E5739="",E5739="!!!",F5739="NEW"),"",INDEX(B5738:B$2,-1+SUMPRODUCT(MAX(ROW(E5738:E$2)*(E5739=E5738:E$2)))))</f>
        <v> </v>
      </c>
      <c r="J5739" s="26" t="str">
        <f>IF(OR(E5739="",E5739="!!!",F5739="NEW"),"",COUNTBLANK(OFFSET(A$1,,,SUMPRODUCT(MAX(ROW(E$2:E5739)*(E5739=E$2:E5739)))))-COUNTBLANK(OFFSET(A$1,,,SUMPRODUCT(MAX(ROW(E$1:E5738)*(E2=E$1:E5738))))))</f>
        <v> </v>
      </c>
      <c r="K5739" s="26" t="str">
        <f>IF(OR(E5739="",E5739="!!!",F5739="NEW"),"",INDEX(J$1:J5738,SUMPRODUCT(MAX(ROW(E$1:E5738)*(E5739=E$1:E5738)))))</f>
        <v> </v>
      </c>
      <c r="L5739" s="27"/>
    </row>
    <row r="5740" spans="1:12">
      <c r="A5740" s="20" t="s">
        <v>2464</v>
      </c>
      <c r="B5740" s="21" t="s">
        <v>1142</v>
      </c>
      <c r="C5740" s="21" t="s">
        <v>1034</v>
      </c>
      <c r="D5740" s="21" t="s">
        <v>997</v>
      </c>
      <c r="E5740" s="22">
        <f>IF(D5740="?OLD","!!!","")</f>
        <v/>
      </c>
      <c r="F5740" s="23" t="str">
        <f>IF(OR(E5740="",E5740="!!!"),"",IF(NOT(ISNA(VLOOKUP(E5740,E$1:E5739,1,FALSE()))),"OLD",IF(AND(E5740&lt;&gt;"",E5740&lt;&gt;"!!!"),"NEW","")))</f>
        <v> </v>
      </c>
      <c r="G5740" s="24" t="str">
        <f>IF(OR(E5740="",E5740="!!!"),"",IF(OR(J5740=0,AND(J5740=1,K5740=1),AND(J5740=1,I5740="SBJ"),AND(J5740=1,I5740=0)),"?IN_FOCUS",IF(J5740&lt;=2,"?ACTIVATED",IF(J5740&lt;&gt;"","?FAMILIAR",IF(F5740="NEW",IF(ISNA(VLOOKUP(E5740,#REF!,1,FALSE())),"?TYPE_IDENTIFIABLE","?REFERENTIAL"),"_")))))</f>
        <v> </v>
      </c>
      <c r="H5740" s="25" t="str">
        <f>IF(J5740&lt;&gt;1,"",IF(I5740="SBJ","CB","?"))</f>
        <v> </v>
      </c>
      <c r="I5740" s="26" t="str">
        <f>IF(OR(E5740="",E5740="!!!",F5740="NEW"),"",INDEX(B5739:B$2,-1+SUMPRODUCT(MAX(ROW(E5739:E$2)*(E5740=E5739:E$2)))))</f>
        <v> </v>
      </c>
      <c r="J5740" s="26" t="str">
        <f>IF(OR(E5740="",E5740="!!!",F5740="NEW"),"",COUNTBLANK(OFFSET(A$1,,,SUMPRODUCT(MAX(ROW(E$2:E5740)*(E5740=E$2:E5740)))))-COUNTBLANK(OFFSET(A$1,,,SUMPRODUCT(MAX(ROW(E$1:E5739)*(E2=E$1:E5739))))))</f>
        <v> </v>
      </c>
      <c r="K5740" s="26" t="str">
        <f>IF(OR(E5740="",E5740="!!!",F5740="NEW"),"",INDEX(J$1:J5739,SUMPRODUCT(MAX(ROW(E$1:E5739)*(E5740=E$1:E5739)))))</f>
        <v> </v>
      </c>
      <c r="L5740" s="27"/>
    </row>
    <row r="5741" spans="1:12">
      <c r="A5741" s="20" t="s">
        <v>1513</v>
      </c>
      <c r="E5741" s="22">
        <f>IF(D5741="?OLD","!!!","")</f>
        <v/>
      </c>
      <c r="F5741" s="23" t="str">
        <f>IF(OR(E5741="",E5741="!!!"),"",IF(NOT(ISNA(VLOOKUP(E5741,E$1:E5740,1,FALSE()))),"OLD",IF(AND(E5741&lt;&gt;"",E5741&lt;&gt;"!!!"),"NEW","")))</f>
        <v> </v>
      </c>
      <c r="G5741" s="24" t="str">
        <f>IF(OR(E5741="",E5741="!!!"),"",IF(OR(J5741=0,AND(J5741=1,K5741=1),AND(J5741=1,I5741="SBJ"),AND(J5741=1,I5741=0)),"?IN_FOCUS",IF(J5741&lt;=2,"?ACTIVATED",IF(J5741&lt;&gt;"","?FAMILIAR",IF(F5741="NEW",IF(ISNA(VLOOKUP(E5741,#REF!,1,FALSE())),"?TYPE_IDENTIFIABLE","?REFERENTIAL"),"_")))))</f>
        <v> </v>
      </c>
      <c r="H5741" s="25" t="str">
        <f>IF(J5741&lt;&gt;1,"",IF(I5741="SBJ","CB","?"))</f>
        <v> </v>
      </c>
      <c r="I5741" s="26" t="str">
        <f>IF(OR(E5741="",E5741="!!!",F5741="NEW"),"",INDEX(B5740:B$2,-1+SUMPRODUCT(MAX(ROW(E5740:E$2)*(E5741=E5740:E$2)))))</f>
        <v> </v>
      </c>
      <c r="J5741" s="26" t="str">
        <f>IF(OR(E5741="",E5741="!!!",F5741="NEW"),"",COUNTBLANK(OFFSET(A$1,,,SUMPRODUCT(MAX(ROW(E$2:E5741)*(E5741=E$2:E5741)))))-COUNTBLANK(OFFSET(A$1,,,SUMPRODUCT(MAX(ROW(E$1:E5740)*(E2=E$1:E5740))))))</f>
        <v> </v>
      </c>
      <c r="K5741" s="26" t="str">
        <f>IF(OR(E5741="",E5741="!!!",F5741="NEW"),"",INDEX(J$1:J5740,SUMPRODUCT(MAX(ROW(E$1:E5740)*(E5741=E$1:E5740)))))</f>
        <v> </v>
      </c>
      <c r="L5741" s="27"/>
    </row>
    <row r="5742" spans="1:12">
      <c r="A5742" s="20" t="s">
        <v>1141</v>
      </c>
      <c r="E5742" s="22">
        <f>IF(D5742="?OLD","!!!","")</f>
        <v/>
      </c>
      <c r="F5742" s="23" t="str">
        <f>IF(OR(E5742="",E5742="!!!"),"",IF(NOT(ISNA(VLOOKUP(E5742,E$1:E5741,1,FALSE()))),"OLD",IF(AND(E5742&lt;&gt;"",E5742&lt;&gt;"!!!"),"NEW","")))</f>
        <v> </v>
      </c>
      <c r="G5742" s="24" t="str">
        <f>IF(OR(E5742="",E5742="!!!"),"",IF(OR(J5742=0,AND(J5742=1,K5742=1),AND(J5742=1,I5742="SBJ"),AND(J5742=1,I5742=0)),"?IN_FOCUS",IF(J5742&lt;=2,"?ACTIVATED",IF(J5742&lt;&gt;"","?FAMILIAR",IF(F5742="NEW",IF(ISNA(VLOOKUP(E5742,#REF!,1,FALSE())),"?TYPE_IDENTIFIABLE","?REFERENTIAL"),"_")))))</f>
        <v> </v>
      </c>
      <c r="H5742" s="25" t="str">
        <f>IF(J5742&lt;&gt;1,"",IF(I5742="SBJ","CB","?"))</f>
        <v> </v>
      </c>
      <c r="I5742" s="26" t="str">
        <f>IF(OR(E5742="",E5742="!!!",F5742="NEW"),"",INDEX(B5741:B$2,-1+SUMPRODUCT(MAX(ROW(E5741:E$2)*(E5742=E5741:E$2)))))</f>
        <v> </v>
      </c>
      <c r="J5742" s="26" t="str">
        <f>IF(OR(E5742="",E5742="!!!",F5742="NEW"),"",COUNTBLANK(OFFSET(A$1,,,SUMPRODUCT(MAX(ROW(E$2:E5742)*(E5742=E$2:E5742)))))-COUNTBLANK(OFFSET(A$1,,,SUMPRODUCT(MAX(ROW(E$1:E5741)*(E2=E$1:E5741))))))</f>
        <v> </v>
      </c>
      <c r="K5742" s="26" t="str">
        <f>IF(OR(E5742="",E5742="!!!",F5742="NEW"),"",INDEX(J$1:J5741,SUMPRODUCT(MAX(ROW(E$1:E5741)*(E5742=E$1:E5741)))))</f>
        <v> </v>
      </c>
      <c r="L5742" s="27"/>
    </row>
    <row r="5743" spans="1:12">
      <c r="A5743" s="20" t="s">
        <v>1000</v>
      </c>
      <c r="B5743" s="21" t="s">
        <v>1027</v>
      </c>
      <c r="C5743" s="21" t="s">
        <v>996</v>
      </c>
      <c r="D5743" s="21" t="s">
        <v>997</v>
      </c>
      <c r="E5743" s="22">
        <f>IF(D5743="?OLD","!!!","")</f>
        <v/>
      </c>
      <c r="F5743" s="23" t="str">
        <f>IF(OR(E5743="",E5743="!!!"),"",IF(NOT(ISNA(VLOOKUP(E5743,E$1:E5742,1,FALSE()))),"OLD",IF(AND(E5743&lt;&gt;"",E5743&lt;&gt;"!!!"),"NEW","")))</f>
        <v> </v>
      </c>
      <c r="G5743" s="24" t="str">
        <f>IF(OR(E5743="",E5743="!!!"),"",IF(OR(J5743=0,AND(J5743=1,K5743=1),AND(J5743=1,I5743="SBJ"),AND(J5743=1,I5743=0)),"?IN_FOCUS",IF(J5743&lt;=2,"?ACTIVATED",IF(J5743&lt;&gt;"","?FAMILIAR",IF(F5743="NEW",IF(ISNA(VLOOKUP(E5743,#REF!,1,FALSE())),"?TYPE_IDENTIFIABLE","?REFERENTIAL"),"_")))))</f>
        <v> </v>
      </c>
      <c r="H5743" s="25" t="str">
        <f>IF(J5743&lt;&gt;1,"",IF(I5743="SBJ","CB","?"))</f>
        <v> </v>
      </c>
      <c r="I5743" s="26" t="str">
        <f>IF(OR(E5743="",E5743="!!!",F5743="NEW"),"",INDEX(B5742:B$2,-1+SUMPRODUCT(MAX(ROW(E5742:E$2)*(E5743=E5742:E$2)))))</f>
        <v> </v>
      </c>
      <c r="J5743" s="26" t="str">
        <f>IF(OR(E5743="",E5743="!!!",F5743="NEW"),"",COUNTBLANK(OFFSET(A$1,,,SUMPRODUCT(MAX(ROW(E$2:E5743)*(E5743=E$2:E5743)))))-COUNTBLANK(OFFSET(A$1,,,SUMPRODUCT(MAX(ROW(E$1:E5742)*(E2=E$1:E5742))))))</f>
        <v> </v>
      </c>
      <c r="K5743" s="26" t="str">
        <f>IF(OR(E5743="",E5743="!!!",F5743="NEW"),"",INDEX(J$1:J5742,SUMPRODUCT(MAX(ROW(E$1:E5742)*(E5743=E$1:E5742)))))</f>
        <v> </v>
      </c>
      <c r="L5743" s="27"/>
    </row>
    <row r="5744" spans="1:12">
      <c r="A5744" s="20" t="s">
        <v>2421</v>
      </c>
      <c r="E5744" s="22">
        <f>IF(D5744="?OLD","!!!","")</f>
        <v/>
      </c>
      <c r="F5744" s="23" t="str">
        <f>IF(OR(E5744="",E5744="!!!"),"",IF(NOT(ISNA(VLOOKUP(E5744,E$1:E5743,1,FALSE()))),"OLD",IF(AND(E5744&lt;&gt;"",E5744&lt;&gt;"!!!"),"NEW","")))</f>
        <v> </v>
      </c>
      <c r="G5744" s="24" t="str">
        <f>IF(OR(E5744="",E5744="!!!"),"",IF(OR(J5744=0,AND(J5744=1,K5744=1),AND(J5744=1,I5744="SBJ"),AND(J5744=1,I5744=0)),"?IN_FOCUS",IF(J5744&lt;=2,"?ACTIVATED",IF(J5744&lt;&gt;"","?FAMILIAR",IF(F5744="NEW",IF(ISNA(VLOOKUP(E5744,#REF!,1,FALSE())),"?TYPE_IDENTIFIABLE","?REFERENTIAL"),"_")))))</f>
        <v> </v>
      </c>
      <c r="H5744" s="25" t="str">
        <f>IF(J5744&lt;&gt;1,"",IF(I5744="SBJ","CB","?"))</f>
        <v> </v>
      </c>
      <c r="I5744" s="26" t="str">
        <f>IF(OR(E5744="",E5744="!!!",F5744="NEW"),"",INDEX(B5743:B$2,-1+SUMPRODUCT(MAX(ROW(E5743:E$2)*(E5744=E5743:E$2)))))</f>
        <v> </v>
      </c>
      <c r="J5744" s="26" t="str">
        <f>IF(OR(E5744="",E5744="!!!",F5744="NEW"),"",COUNTBLANK(OFFSET(A$1,,,SUMPRODUCT(MAX(ROW(E$2:E5744)*(E5744=E$2:E5744)))))-COUNTBLANK(OFFSET(A$1,,,SUMPRODUCT(MAX(ROW(E$1:E5743)*(E2=E$1:E5743))))))</f>
        <v> </v>
      </c>
      <c r="K5744" s="26" t="str">
        <f>IF(OR(E5744="",E5744="!!!",F5744="NEW"),"",INDEX(J$1:J5743,SUMPRODUCT(MAX(ROW(E$1:E5743)*(E5744=E$1:E5743)))))</f>
        <v> </v>
      </c>
      <c r="L5744" s="27"/>
    </row>
    <row r="5745" spans="1:12">
      <c r="A5745" s="20" t="s">
        <v>1144</v>
      </c>
      <c r="B5745" s="21" t="s">
        <v>1039</v>
      </c>
      <c r="C5745" s="21" t="s">
        <v>1133</v>
      </c>
      <c r="D5745" s="21" t="s">
        <v>997</v>
      </c>
      <c r="E5745" s="22">
        <f>IF(D5745="?OLD","!!!","")</f>
        <v/>
      </c>
      <c r="F5745" s="23" t="str">
        <f>IF(OR(E5745="",E5745="!!!"),"",IF(NOT(ISNA(VLOOKUP(E5745,E$1:E5744,1,FALSE()))),"OLD",IF(AND(E5745&lt;&gt;"",E5745&lt;&gt;"!!!"),"NEW","")))</f>
        <v> </v>
      </c>
      <c r="G5745" s="24" t="str">
        <f>IF(OR(E5745="",E5745="!!!"),"",IF(OR(J5745=0,AND(J5745=1,K5745=1),AND(J5745=1,I5745="SBJ"),AND(J5745=1,I5745=0)),"?IN_FOCUS",IF(J5745&lt;=2,"?ACTIVATED",IF(J5745&lt;&gt;"","?FAMILIAR",IF(F5745="NEW",IF(ISNA(VLOOKUP(E5745,#REF!,1,FALSE())),"?TYPE_IDENTIFIABLE","?REFERENTIAL"),"_")))))</f>
        <v> </v>
      </c>
      <c r="H5745" s="25" t="str">
        <f>IF(J5745&lt;&gt;1,"",IF(I5745="SBJ","CB","?"))</f>
        <v> </v>
      </c>
      <c r="I5745" s="26" t="str">
        <f>IF(OR(E5745="",E5745="!!!",F5745="NEW"),"",INDEX(B5744:B$2,-1+SUMPRODUCT(MAX(ROW(E5744:E$2)*(E5745=E5744:E$2)))))</f>
        <v> </v>
      </c>
      <c r="J5745" s="26" t="str">
        <f>IF(OR(E5745="",E5745="!!!",F5745="NEW"),"",COUNTBLANK(OFFSET(A$1,,,SUMPRODUCT(MAX(ROW(E$2:E5745)*(E5745=E$2:E5745)))))-COUNTBLANK(OFFSET(A$1,,,SUMPRODUCT(MAX(ROW(E$1:E5744)*(E2=E$1:E5744))))))</f>
        <v> </v>
      </c>
      <c r="K5745" s="26" t="str">
        <f>IF(OR(E5745="",E5745="!!!",F5745="NEW"),"",INDEX(J$1:J5744,SUMPRODUCT(MAX(ROW(E$1:E5744)*(E5745=E$1:E5744)))))</f>
        <v> </v>
      </c>
      <c r="L5745" s="27"/>
    </row>
    <row r="5746" spans="1:12">
      <c r="A5746" s="20" t="s">
        <v>1103</v>
      </c>
      <c r="E5746" s="22">
        <f>IF(D5746="?OLD","!!!","")</f>
        <v/>
      </c>
      <c r="F5746" s="23" t="str">
        <f>IF(OR(E5746="",E5746="!!!"),"",IF(NOT(ISNA(VLOOKUP(E5746,E$1:E5745,1,FALSE()))),"OLD",IF(AND(E5746&lt;&gt;"",E5746&lt;&gt;"!!!"),"NEW","")))</f>
        <v> </v>
      </c>
      <c r="G5746" s="24" t="str">
        <f>IF(OR(E5746="",E5746="!!!"),"",IF(OR(J5746=0,AND(J5746=1,K5746=1),AND(J5746=1,I5746="SBJ"),AND(J5746=1,I5746=0)),"?IN_FOCUS",IF(J5746&lt;=2,"?ACTIVATED",IF(J5746&lt;&gt;"","?FAMILIAR",IF(F5746="NEW",IF(ISNA(VLOOKUP(E5746,#REF!,1,FALSE())),"?TYPE_IDENTIFIABLE","?REFERENTIAL"),"_")))))</f>
        <v> </v>
      </c>
      <c r="H5746" s="25" t="str">
        <f>IF(J5746&lt;&gt;1,"",IF(I5746="SBJ","CB","?"))</f>
        <v> </v>
      </c>
      <c r="I5746" s="26" t="str">
        <f>IF(OR(E5746="",E5746="!!!",F5746="NEW"),"",INDEX(B5745:B$2,-1+SUMPRODUCT(MAX(ROW(E5745:E$2)*(E5746=E5745:E$2)))))</f>
        <v> </v>
      </c>
      <c r="J5746" s="26" t="str">
        <f>IF(OR(E5746="",E5746="!!!",F5746="NEW"),"",COUNTBLANK(OFFSET(A$1,,,SUMPRODUCT(MAX(ROW(E$2:E5746)*(E5746=E$2:E5746)))))-COUNTBLANK(OFFSET(A$1,,,SUMPRODUCT(MAX(ROW(E$1:E5745)*(E2=E$1:E5745))))))</f>
        <v> </v>
      </c>
      <c r="K5746" s="26" t="str">
        <f>IF(OR(E5746="",E5746="!!!",F5746="NEW"),"",INDEX(J$1:J5745,SUMPRODUCT(MAX(ROW(E$1:E5745)*(E5746=E$1:E5745)))))</f>
        <v> </v>
      </c>
      <c r="L5746" s="27"/>
    </row>
    <row r="5747" spans="1:12">
      <c r="A5747" s="20" t="s">
        <v>1051</v>
      </c>
      <c r="E5747" s="22">
        <f>IF(D5747="?OLD","!!!","")</f>
        <v/>
      </c>
      <c r="F5747" s="23" t="str">
        <f>IF(OR(E5747="",E5747="!!!"),"",IF(NOT(ISNA(VLOOKUP(E5747,E$1:E5746,1,FALSE()))),"OLD",IF(AND(E5747&lt;&gt;"",E5747&lt;&gt;"!!!"),"NEW","")))</f>
        <v> </v>
      </c>
      <c r="G5747" s="24" t="str">
        <f>IF(OR(E5747="",E5747="!!!"),"",IF(OR(J5747=0,AND(J5747=1,K5747=1),AND(J5747=1,I5747="SBJ"),AND(J5747=1,I5747=0)),"?IN_FOCUS",IF(J5747&lt;=2,"?ACTIVATED",IF(J5747&lt;&gt;"","?FAMILIAR",IF(F5747="NEW",IF(ISNA(VLOOKUP(E5747,#REF!,1,FALSE())),"?TYPE_IDENTIFIABLE","?REFERENTIAL"),"_")))))</f>
        <v> </v>
      </c>
      <c r="H5747" s="25" t="str">
        <f>IF(J5747&lt;&gt;1,"",IF(I5747="SBJ","CB","?"))</f>
        <v> </v>
      </c>
      <c r="I5747" s="26" t="str">
        <f>IF(OR(E5747="",E5747="!!!",F5747="NEW"),"",INDEX(B5746:B$2,-1+SUMPRODUCT(MAX(ROW(E5746:E$2)*(E5747=E5746:E$2)))))</f>
        <v> </v>
      </c>
      <c r="J5747" s="26" t="str">
        <f>IF(OR(E5747="",E5747="!!!",F5747="NEW"),"",COUNTBLANK(OFFSET(A$1,,,SUMPRODUCT(MAX(ROW(E$2:E5747)*(E5747=E$2:E5747)))))-COUNTBLANK(OFFSET(A$1,,,SUMPRODUCT(MAX(ROW(E$1:E5746)*(E2=E$1:E5746))))))</f>
        <v> </v>
      </c>
      <c r="K5747" s="26" t="str">
        <f>IF(OR(E5747="",E5747="!!!",F5747="NEW"),"",INDEX(J$1:J5746,SUMPRODUCT(MAX(ROW(E$1:E5746)*(E5747=E$1:E5746)))))</f>
        <v> </v>
      </c>
      <c r="L5747" s="27"/>
    </row>
    <row r="5748" spans="1:12">
      <c r="A5748" s="20" t="s">
        <v>2465</v>
      </c>
      <c r="B5748" s="21" t="s">
        <v>1024</v>
      </c>
      <c r="C5748" s="21" t="s">
        <v>1295</v>
      </c>
      <c r="E5748" s="22">
        <f>IF(D5748="?OLD","!!!","")</f>
        <v/>
      </c>
      <c r="F5748" s="23" t="str">
        <f>IF(OR(E5748="",E5748="!!!"),"",IF(NOT(ISNA(VLOOKUP(E5748,E$1:E5747,1,FALSE()))),"OLD",IF(AND(E5748&lt;&gt;"",E5748&lt;&gt;"!!!"),"NEW","")))</f>
        <v> </v>
      </c>
      <c r="G5748" s="24" t="str">
        <f>IF(OR(E5748="",E5748="!!!"),"",IF(OR(J5748=0,AND(J5748=1,K5748=1),AND(J5748=1,I5748="SBJ"),AND(J5748=1,I5748=0)),"?IN_FOCUS",IF(J5748&lt;=2,"?ACTIVATED",IF(J5748&lt;&gt;"","?FAMILIAR",IF(F5748="NEW",IF(ISNA(VLOOKUP(E5748,#REF!,1,FALSE())),"?TYPE_IDENTIFIABLE","?REFERENTIAL"),"_")))))</f>
        <v> </v>
      </c>
      <c r="H5748" s="25" t="str">
        <f>IF(J5748&lt;&gt;1,"",IF(I5748="SBJ","CB","?"))</f>
        <v> </v>
      </c>
      <c r="I5748" s="26" t="str">
        <f>IF(OR(E5748="",E5748="!!!",F5748="NEW"),"",INDEX(B5747:B$2,-1+SUMPRODUCT(MAX(ROW(E5747:E$2)*(E5748=E5747:E$2)))))</f>
        <v> </v>
      </c>
      <c r="J5748" s="26" t="str">
        <f>IF(OR(E5748="",E5748="!!!",F5748="NEW"),"",COUNTBLANK(OFFSET(A$1,,,SUMPRODUCT(MAX(ROW(E$2:E5748)*(E5748=E$2:E5748)))))-COUNTBLANK(OFFSET(A$1,,,SUMPRODUCT(MAX(ROW(E$1:E5747)*(E2=E$1:E5747))))))</f>
        <v> </v>
      </c>
      <c r="K5748" s="26" t="str">
        <f>IF(OR(E5748="",E5748="!!!",F5748="NEW"),"",INDEX(J$1:J5747,SUMPRODUCT(MAX(ROW(E$1:E5747)*(E5748=E$1:E5747)))))</f>
        <v> </v>
      </c>
      <c r="L5748" s="27"/>
    </row>
    <row r="5749" spans="1:12">
      <c r="A5749" s="20" t="s">
        <v>1029</v>
      </c>
      <c r="E5749" s="22">
        <f>IF(D5749="?OLD","!!!","")</f>
        <v/>
      </c>
      <c r="F5749" s="23" t="str">
        <f>IF(OR(E5749="",E5749="!!!"),"",IF(NOT(ISNA(VLOOKUP(E5749,E$1:E5748,1,FALSE()))),"OLD",IF(AND(E5749&lt;&gt;"",E5749&lt;&gt;"!!!"),"NEW","")))</f>
        <v> </v>
      </c>
      <c r="G5749" s="24" t="str">
        <f>IF(OR(E5749="",E5749="!!!"),"",IF(OR(J5749=0,AND(J5749=1,K5749=1),AND(J5749=1,I5749="SBJ"),AND(J5749=1,I5749=0)),"?IN_FOCUS",IF(J5749&lt;=2,"?ACTIVATED",IF(J5749&lt;&gt;"","?FAMILIAR",IF(F5749="NEW",IF(ISNA(VLOOKUP(E5749,#REF!,1,FALSE())),"?TYPE_IDENTIFIABLE","?REFERENTIAL"),"_")))))</f>
        <v> </v>
      </c>
      <c r="H5749" s="25" t="str">
        <f>IF(J5749&lt;&gt;1,"",IF(I5749="SBJ","CB","?"))</f>
        <v> </v>
      </c>
      <c r="I5749" s="26" t="str">
        <f>IF(OR(E5749="",E5749="!!!",F5749="NEW"),"",INDEX(B5748:B$2,-1+SUMPRODUCT(MAX(ROW(E5748:E$2)*(E5749=E5748:E$2)))))</f>
        <v> </v>
      </c>
      <c r="J5749" s="26" t="str">
        <f>IF(OR(E5749="",E5749="!!!",F5749="NEW"),"",COUNTBLANK(OFFSET(A$1,,,SUMPRODUCT(MAX(ROW(E$2:E5749)*(E5749=E$2:E5749)))))-COUNTBLANK(OFFSET(A$1,,,SUMPRODUCT(MAX(ROW(E$1:E5748)*(E2=E$1:E5748))))))</f>
        <v> </v>
      </c>
      <c r="K5749" s="26" t="str">
        <f>IF(OR(E5749="",E5749="!!!",F5749="NEW"),"",INDEX(J$1:J5748,SUMPRODUCT(MAX(ROW(E$1:E5748)*(E5749=E$1:E5748)))))</f>
        <v> </v>
      </c>
      <c r="L5749" s="27"/>
    </row>
    <row r="5750" spans="1:12">
      <c r="A5750" s="20" t="s">
        <v>1111</v>
      </c>
      <c r="B5750" s="21" t="s">
        <v>1088</v>
      </c>
      <c r="C5750" s="21" t="s">
        <v>996</v>
      </c>
      <c r="D5750" s="21" t="s">
        <v>997</v>
      </c>
      <c r="E5750" s="22">
        <f>IF(D5750="?OLD","!!!","")</f>
        <v/>
      </c>
      <c r="F5750" s="23" t="str">
        <f>IF(OR(E5750="",E5750="!!!"),"",IF(NOT(ISNA(VLOOKUP(E5750,E$1:E5749,1,FALSE()))),"OLD",IF(AND(E5750&lt;&gt;"",E5750&lt;&gt;"!!!"),"NEW","")))</f>
        <v> </v>
      </c>
      <c r="G5750" s="24" t="str">
        <f>IF(OR(E5750="",E5750="!!!"),"",IF(OR(J5750=0,AND(J5750=1,K5750=1),AND(J5750=1,I5750="SBJ"),AND(J5750=1,I5750=0)),"?IN_FOCUS",IF(J5750&lt;=2,"?ACTIVATED",IF(J5750&lt;&gt;"","?FAMILIAR",IF(F5750="NEW",IF(ISNA(VLOOKUP(E5750,#REF!,1,FALSE())),"?TYPE_IDENTIFIABLE","?REFERENTIAL"),"_")))))</f>
        <v> </v>
      </c>
      <c r="H5750" s="25" t="str">
        <f>IF(J5750&lt;&gt;1,"",IF(I5750="SBJ","CB","?"))</f>
        <v> </v>
      </c>
      <c r="I5750" s="26" t="str">
        <f>IF(OR(E5750="",E5750="!!!",F5750="NEW"),"",INDEX(B5749:B$2,-1+SUMPRODUCT(MAX(ROW(E5749:E$2)*(E5750=E5749:E$2)))))</f>
        <v> </v>
      </c>
      <c r="J5750" s="26" t="str">
        <f>IF(OR(E5750="",E5750="!!!",F5750="NEW"),"",COUNTBLANK(OFFSET(A$1,,,SUMPRODUCT(MAX(ROW(E$2:E5750)*(E5750=E$2:E5750)))))-COUNTBLANK(OFFSET(A$1,,,SUMPRODUCT(MAX(ROW(E$1:E5749)*(E2=E$1:E5749))))))</f>
        <v> </v>
      </c>
      <c r="K5750" s="26" t="str">
        <f>IF(OR(E5750="",E5750="!!!",F5750="NEW"),"",INDEX(J$1:J5749,SUMPRODUCT(MAX(ROW(E$1:E5749)*(E5750=E$1:E5749)))))</f>
        <v> </v>
      </c>
      <c r="L5750" s="27"/>
    </row>
    <row r="5751" spans="1:12">
      <c r="A5751" s="20" t="s">
        <v>338</v>
      </c>
      <c r="E5751" s="22">
        <f>IF(D5751="?OLD","!!!","")</f>
        <v/>
      </c>
      <c r="F5751" s="23" t="str">
        <f>IF(OR(E5751="",E5751="!!!"),"",IF(NOT(ISNA(VLOOKUP(E5751,E$1:E5750,1,FALSE()))),"OLD",IF(AND(E5751&lt;&gt;"",E5751&lt;&gt;"!!!"),"NEW","")))</f>
        <v> </v>
      </c>
      <c r="G5751" s="24" t="str">
        <f>IF(OR(E5751="",E5751="!!!"),"",IF(OR(J5751=0,AND(J5751=1,K5751=1),AND(J5751=1,I5751="SBJ"),AND(J5751=1,I5751=0)),"?IN_FOCUS",IF(J5751&lt;=2,"?ACTIVATED",IF(J5751&lt;&gt;"","?FAMILIAR",IF(F5751="NEW",IF(ISNA(VLOOKUP(E5751,#REF!,1,FALSE())),"?TYPE_IDENTIFIABLE","?REFERENTIAL"),"_")))))</f>
        <v> </v>
      </c>
      <c r="H5751" s="25" t="str">
        <f>IF(J5751&lt;&gt;1,"",IF(I5751="SBJ","CB","?"))</f>
        <v> </v>
      </c>
      <c r="I5751" s="26" t="str">
        <f>IF(OR(E5751="",E5751="!!!",F5751="NEW"),"",INDEX(B5750:B$2,-1+SUMPRODUCT(MAX(ROW(E5750:E$2)*(E5751=E5750:E$2)))))</f>
        <v> </v>
      </c>
      <c r="J5751" s="26" t="str">
        <f>IF(OR(E5751="",E5751="!!!",F5751="NEW"),"",COUNTBLANK(OFFSET(A$1,,,SUMPRODUCT(MAX(ROW(E$2:E5751)*(E5751=E$2:E5751)))))-COUNTBLANK(OFFSET(A$1,,,SUMPRODUCT(MAX(ROW(E$1:E5750)*(E2=E$1:E5750))))))</f>
        <v> </v>
      </c>
      <c r="K5751" s="26" t="str">
        <f>IF(OR(E5751="",E5751="!!!",F5751="NEW"),"",INDEX(J$1:J5750,SUMPRODUCT(MAX(ROW(E$1:E5750)*(E5751=E$1:E5750)))))</f>
        <v> </v>
      </c>
      <c r="L5751" s="27"/>
    </row>
    <row r="5752" spans="1:12">
      <c r="A5752" s="20" t="s">
        <v>1041</v>
      </c>
      <c r="E5752" s="22">
        <f>IF(D5752="?OLD","!!!","")</f>
        <v/>
      </c>
      <c r="F5752" s="23" t="str">
        <f>IF(OR(E5752="",E5752="!!!"),"",IF(NOT(ISNA(VLOOKUP(E5752,E$1:E5751,1,FALSE()))),"OLD",IF(AND(E5752&lt;&gt;"",E5752&lt;&gt;"!!!"),"NEW","")))</f>
        <v> </v>
      </c>
      <c r="G5752" s="24" t="str">
        <f>IF(OR(E5752="",E5752="!!!"),"",IF(OR(J5752=0,AND(J5752=1,K5752=1),AND(J5752=1,I5752="SBJ"),AND(J5752=1,I5752=0)),"?IN_FOCUS",IF(J5752&lt;=2,"?ACTIVATED",IF(J5752&lt;&gt;"","?FAMILIAR",IF(F5752="NEW",IF(ISNA(VLOOKUP(E5752,#REF!,1,FALSE())),"?TYPE_IDENTIFIABLE","?REFERENTIAL"),"_")))))</f>
        <v> </v>
      </c>
      <c r="H5752" s="25" t="str">
        <f>IF(J5752&lt;&gt;1,"",IF(I5752="SBJ","CB","?"))</f>
        <v> </v>
      </c>
      <c r="I5752" s="26" t="str">
        <f>IF(OR(E5752="",E5752="!!!",F5752="NEW"),"",INDEX(B5751:B$2,-1+SUMPRODUCT(MAX(ROW(E5751:E$2)*(E5752=E5751:E$2)))))</f>
        <v> </v>
      </c>
      <c r="J5752" s="26" t="str">
        <f>IF(OR(E5752="",E5752="!!!",F5752="NEW"),"",COUNTBLANK(OFFSET(A$1,,,SUMPRODUCT(MAX(ROW(E$2:E5752)*(E5752=E$2:E5752)))))-COUNTBLANK(OFFSET(A$1,,,SUMPRODUCT(MAX(ROW(E$1:E5751)*(E2=E$1:E5751))))))</f>
        <v> </v>
      </c>
      <c r="K5752" s="26" t="str">
        <f>IF(OR(E5752="",E5752="!!!",F5752="NEW"),"",INDEX(J$1:J5751,SUMPRODUCT(MAX(ROW(E$1:E5751)*(E5752=E$1:E5751)))))</f>
        <v> </v>
      </c>
      <c r="L5752" s="27"/>
    </row>
    <row r="5753" spans="1:12">
      <c r="A5753" s="20" t="s">
        <v>1371</v>
      </c>
      <c r="E5753" s="22">
        <f>IF(D5753="?OLD","!!!","")</f>
        <v/>
      </c>
      <c r="F5753" s="23" t="str">
        <f>IF(OR(E5753="",E5753="!!!"),"",IF(NOT(ISNA(VLOOKUP(E5753,E$1:E5752,1,FALSE()))),"OLD",IF(AND(E5753&lt;&gt;"",E5753&lt;&gt;"!!!"),"NEW","")))</f>
        <v> </v>
      </c>
      <c r="G5753" s="24" t="str">
        <f>IF(OR(E5753="",E5753="!!!"),"",IF(OR(J5753=0,AND(J5753=1,K5753=1),AND(J5753=1,I5753="SBJ"),AND(J5753=1,I5753=0)),"?IN_FOCUS",IF(J5753&lt;=2,"?ACTIVATED",IF(J5753&lt;&gt;"","?FAMILIAR",IF(F5753="NEW",IF(ISNA(VLOOKUP(E5753,#REF!,1,FALSE())),"?TYPE_IDENTIFIABLE","?REFERENTIAL"),"_")))))</f>
        <v> </v>
      </c>
      <c r="H5753" s="25" t="str">
        <f>IF(J5753&lt;&gt;1,"",IF(I5753="SBJ","CB","?"))</f>
        <v> </v>
      </c>
      <c r="I5753" s="26" t="str">
        <f>IF(OR(E5753="",E5753="!!!",F5753="NEW"),"",INDEX(B5752:B$2,-1+SUMPRODUCT(MAX(ROW(E5752:E$2)*(E5753=E5752:E$2)))))</f>
        <v> </v>
      </c>
      <c r="J5753" s="26" t="str">
        <f>IF(OR(E5753="",E5753="!!!",F5753="NEW"),"",COUNTBLANK(OFFSET(A$1,,,SUMPRODUCT(MAX(ROW(E$2:E5753)*(E5753=E$2:E5753)))))-COUNTBLANK(OFFSET(A$1,,,SUMPRODUCT(MAX(ROW(E$1:E5752)*(E2=E$1:E5752))))))</f>
        <v> </v>
      </c>
      <c r="K5753" s="26" t="str">
        <f>IF(OR(E5753="",E5753="!!!",F5753="NEW"),"",INDEX(J$1:J5752,SUMPRODUCT(MAX(ROW(E$1:E5752)*(E5753=E$1:E5752)))))</f>
        <v> </v>
      </c>
      <c r="L5753" s="27"/>
    </row>
    <row r="5754" spans="1:12">
      <c r="A5754" s="20" t="s">
        <v>2466</v>
      </c>
      <c r="B5754" s="21" t="s">
        <v>1142</v>
      </c>
      <c r="C5754" s="21" t="s">
        <v>996</v>
      </c>
      <c r="D5754" s="21" t="s">
        <v>997</v>
      </c>
      <c r="E5754" s="22">
        <f>IF(D5754="?OLD","!!!","")</f>
        <v/>
      </c>
      <c r="F5754" s="23" t="str">
        <f>IF(OR(E5754="",E5754="!!!"),"",IF(NOT(ISNA(VLOOKUP(E5754,E$1:E5753,1,FALSE()))),"OLD",IF(AND(E5754&lt;&gt;"",E5754&lt;&gt;"!!!"),"NEW","")))</f>
        <v> </v>
      </c>
      <c r="G5754" s="24" t="str">
        <f>IF(OR(E5754="",E5754="!!!"),"",IF(OR(J5754=0,AND(J5754=1,K5754=1),AND(J5754=1,I5754="SBJ"),AND(J5754=1,I5754=0)),"?IN_FOCUS",IF(J5754&lt;=2,"?ACTIVATED",IF(J5754&lt;&gt;"","?FAMILIAR",IF(F5754="NEW",IF(ISNA(VLOOKUP(E5754,#REF!,1,FALSE())),"?TYPE_IDENTIFIABLE","?REFERENTIAL"),"_")))))</f>
        <v> </v>
      </c>
      <c r="H5754" s="25" t="str">
        <f>IF(J5754&lt;&gt;1,"",IF(I5754="SBJ","CB","?"))</f>
        <v> </v>
      </c>
      <c r="I5754" s="26" t="str">
        <f>IF(OR(E5754="",E5754="!!!",F5754="NEW"),"",INDEX(B5753:B$2,-1+SUMPRODUCT(MAX(ROW(E5753:E$2)*(E5754=E5753:E$2)))))</f>
        <v> </v>
      </c>
      <c r="J5754" s="26" t="str">
        <f>IF(OR(E5754="",E5754="!!!",F5754="NEW"),"",COUNTBLANK(OFFSET(A$1,,,SUMPRODUCT(MAX(ROW(E$2:E5754)*(E5754=E$2:E5754)))))-COUNTBLANK(OFFSET(A$1,,,SUMPRODUCT(MAX(ROW(E$1:E5753)*(E2=E$1:E5753))))))</f>
        <v> </v>
      </c>
      <c r="K5754" s="26" t="str">
        <f>IF(OR(E5754="",E5754="!!!",F5754="NEW"),"",INDEX(J$1:J5753,SUMPRODUCT(MAX(ROW(E$1:E5753)*(E5754=E$1:E5753)))))</f>
        <v> </v>
      </c>
      <c r="L5754" s="27"/>
    </row>
    <row r="5755" spans="1:12">
      <c r="A5755" s="20" t="s">
        <v>1037</v>
      </c>
      <c r="B5755" s="21" t="s">
        <v>1001</v>
      </c>
      <c r="C5755" s="21" t="s">
        <v>996</v>
      </c>
      <c r="D5755" s="21" t="s">
        <v>997</v>
      </c>
      <c r="E5755" s="22">
        <f>IF(D5755="?OLD","!!!","")</f>
        <v/>
      </c>
      <c r="F5755" s="23" t="str">
        <f>IF(OR(E5755="",E5755="!!!"),"",IF(NOT(ISNA(VLOOKUP(E5755,E$1:E5754,1,FALSE()))),"OLD",IF(AND(E5755&lt;&gt;"",E5755&lt;&gt;"!!!"),"NEW","")))</f>
        <v> </v>
      </c>
      <c r="G5755" s="24" t="str">
        <f>IF(OR(E5755="",E5755="!!!"),"",IF(OR(J5755=0,AND(J5755=1,K5755=1),AND(J5755=1,I5755="SBJ"),AND(J5755=1,I5755=0)),"?IN_FOCUS",IF(J5755&lt;=2,"?ACTIVATED",IF(J5755&lt;&gt;"","?FAMILIAR",IF(F5755="NEW",IF(ISNA(VLOOKUP(E5755,#REF!,1,FALSE())),"?TYPE_IDENTIFIABLE","?REFERENTIAL"),"_")))))</f>
        <v> </v>
      </c>
      <c r="H5755" s="25" t="str">
        <f>IF(J5755&lt;&gt;1,"",IF(I5755="SBJ","CB","?"))</f>
        <v> </v>
      </c>
      <c r="I5755" s="26" t="str">
        <f>IF(OR(E5755="",E5755="!!!",F5755="NEW"),"",INDEX(B5754:B$2,-1+SUMPRODUCT(MAX(ROW(E5754:E$2)*(E5755=E5754:E$2)))))</f>
        <v> </v>
      </c>
      <c r="J5755" s="26" t="str">
        <f>IF(OR(E5755="",E5755="!!!",F5755="NEW"),"",COUNTBLANK(OFFSET(A$1,,,SUMPRODUCT(MAX(ROW(E$2:E5755)*(E5755=E$2:E5755)))))-COUNTBLANK(OFFSET(A$1,,,SUMPRODUCT(MAX(ROW(E$1:E5754)*(E2=E$1:E5754))))))</f>
        <v> </v>
      </c>
      <c r="K5755" s="26" t="str">
        <f>IF(OR(E5755="",E5755="!!!",F5755="NEW"),"",INDEX(J$1:J5754,SUMPRODUCT(MAX(ROW(E$1:E5754)*(E5755=E$1:E5754)))))</f>
        <v> </v>
      </c>
      <c r="L5755" s="27"/>
    </row>
    <row r="5756" spans="1:12">
      <c r="A5756" s="20" t="s">
        <v>2467</v>
      </c>
      <c r="E5756" s="22">
        <f>IF(D5756="?OLD","!!!","")</f>
        <v/>
      </c>
      <c r="F5756" s="23" t="str">
        <f>IF(OR(E5756="",E5756="!!!"),"",IF(NOT(ISNA(VLOOKUP(E5756,E$1:E5755,1,FALSE()))),"OLD",IF(AND(E5756&lt;&gt;"",E5756&lt;&gt;"!!!"),"NEW","")))</f>
        <v> </v>
      </c>
      <c r="G5756" s="24" t="str">
        <f>IF(OR(E5756="",E5756="!!!"),"",IF(OR(J5756=0,AND(J5756=1,K5756=1),AND(J5756=1,I5756="SBJ"),AND(J5756=1,I5756=0)),"?IN_FOCUS",IF(J5756&lt;=2,"?ACTIVATED",IF(J5756&lt;&gt;"","?FAMILIAR",IF(F5756="NEW",IF(ISNA(VLOOKUP(E5756,#REF!,1,FALSE())),"?TYPE_IDENTIFIABLE","?REFERENTIAL"),"_")))))</f>
        <v> </v>
      </c>
      <c r="H5756" s="25" t="str">
        <f>IF(J5756&lt;&gt;1,"",IF(I5756="SBJ","CB","?"))</f>
        <v> </v>
      </c>
      <c r="I5756" s="26" t="str">
        <f>IF(OR(E5756="",E5756="!!!",F5756="NEW"),"",INDEX(B5755:B$2,-1+SUMPRODUCT(MAX(ROW(E5755:E$2)*(E5756=E5755:E$2)))))</f>
        <v> </v>
      </c>
      <c r="J5756" s="26" t="str">
        <f>IF(OR(E5756="",E5756="!!!",F5756="NEW"),"",COUNTBLANK(OFFSET(A$1,,,SUMPRODUCT(MAX(ROW(E$2:E5756)*(E5756=E$2:E5756)))))-COUNTBLANK(OFFSET(A$1,,,SUMPRODUCT(MAX(ROW(E$1:E5755)*(E2=E$1:E5755))))))</f>
        <v> </v>
      </c>
      <c r="K5756" s="26" t="str">
        <f>IF(OR(E5756="",E5756="!!!",F5756="NEW"),"",INDEX(J$1:J5755,SUMPRODUCT(MAX(ROW(E$1:E5755)*(E5756=E$1:E5755)))))</f>
        <v> </v>
      </c>
      <c r="L5756" s="27"/>
    </row>
    <row r="5757" spans="1:12">
      <c r="A5757" s="20" t="s">
        <v>1082</v>
      </c>
      <c r="E5757" s="22">
        <f>IF(D5757="?OLD","!!!","")</f>
        <v/>
      </c>
      <c r="F5757" s="23" t="str">
        <f>IF(OR(E5757="",E5757="!!!"),"",IF(NOT(ISNA(VLOOKUP(E5757,E$1:E5756,1,FALSE()))),"OLD",IF(AND(E5757&lt;&gt;"",E5757&lt;&gt;"!!!"),"NEW","")))</f>
        <v> </v>
      </c>
      <c r="G5757" s="24" t="str">
        <f>IF(OR(E5757="",E5757="!!!"),"",IF(OR(J5757=0,AND(J5757=1,K5757=1),AND(J5757=1,I5757="SBJ"),AND(J5757=1,I5757=0)),"?IN_FOCUS",IF(J5757&lt;=2,"?ACTIVATED",IF(J5757&lt;&gt;"","?FAMILIAR",IF(F5757="NEW",IF(ISNA(VLOOKUP(E5757,#REF!,1,FALSE())),"?TYPE_IDENTIFIABLE","?REFERENTIAL"),"_")))))</f>
        <v> </v>
      </c>
      <c r="H5757" s="25" t="str">
        <f>IF(J5757&lt;&gt;1,"",IF(I5757="SBJ","CB","?"))</f>
        <v> </v>
      </c>
      <c r="I5757" s="26" t="str">
        <f>IF(OR(E5757="",E5757="!!!",F5757="NEW"),"",INDEX(B5756:B$2,-1+SUMPRODUCT(MAX(ROW(E5756:E$2)*(E5757=E5756:E$2)))))</f>
        <v> </v>
      </c>
      <c r="J5757" s="26" t="str">
        <f>IF(OR(E5757="",E5757="!!!",F5757="NEW"),"",COUNTBLANK(OFFSET(A$1,,,SUMPRODUCT(MAX(ROW(E$2:E5757)*(E5757=E$2:E5757)))))-COUNTBLANK(OFFSET(A$1,,,SUMPRODUCT(MAX(ROW(E$1:E5756)*(E2=E$1:E5756))))))</f>
        <v> </v>
      </c>
      <c r="K5757" s="26" t="str">
        <f>IF(OR(E5757="",E5757="!!!",F5757="NEW"),"",INDEX(J$1:J5756,SUMPRODUCT(MAX(ROW(E$1:E5756)*(E5757=E$1:E5756)))))</f>
        <v> </v>
      </c>
      <c r="L5757" s="27"/>
    </row>
    <row r="5758" spans="1:12">
      <c r="A5758" s="20" t="s">
        <v>1257</v>
      </c>
      <c r="B5758" s="21" t="s">
        <v>1027</v>
      </c>
      <c r="C5758" s="21" t="s">
        <v>996</v>
      </c>
      <c r="D5758" s="21" t="s">
        <v>997</v>
      </c>
      <c r="E5758" s="22">
        <f>IF(D5758="?OLD","!!!","")</f>
        <v/>
      </c>
      <c r="F5758" s="23" t="str">
        <f>IF(OR(E5758="",E5758="!!!"),"",IF(NOT(ISNA(VLOOKUP(E5758,E$1:E5757,1,FALSE()))),"OLD",IF(AND(E5758&lt;&gt;"",E5758&lt;&gt;"!!!"),"NEW","")))</f>
        <v> </v>
      </c>
      <c r="G5758" s="24" t="str">
        <f>IF(OR(E5758="",E5758="!!!"),"",IF(OR(J5758=0,AND(J5758=1,K5758=1),AND(J5758=1,I5758="SBJ"),AND(J5758=1,I5758=0)),"?IN_FOCUS",IF(J5758&lt;=2,"?ACTIVATED",IF(J5758&lt;&gt;"","?FAMILIAR",IF(F5758="NEW",IF(ISNA(VLOOKUP(E5758,#REF!,1,FALSE())),"?TYPE_IDENTIFIABLE","?REFERENTIAL"),"_")))))</f>
        <v> </v>
      </c>
      <c r="H5758" s="25" t="str">
        <f>IF(J5758&lt;&gt;1,"",IF(I5758="SBJ","CB","?"))</f>
        <v> </v>
      </c>
      <c r="I5758" s="26" t="str">
        <f>IF(OR(E5758="",E5758="!!!",F5758="NEW"),"",INDEX(B5757:B$2,-1+SUMPRODUCT(MAX(ROW(E5757:E$2)*(E5758=E5757:E$2)))))</f>
        <v> </v>
      </c>
      <c r="J5758" s="26" t="str">
        <f>IF(OR(E5758="",E5758="!!!",F5758="NEW"),"",COUNTBLANK(OFFSET(A$1,,,SUMPRODUCT(MAX(ROW(E$2:E5758)*(E5758=E$2:E5758)))))-COUNTBLANK(OFFSET(A$1,,,SUMPRODUCT(MAX(ROW(E$1:E5757)*(E2=E$1:E5757))))))</f>
        <v> </v>
      </c>
      <c r="K5758" s="26" t="str">
        <f>IF(OR(E5758="",E5758="!!!",F5758="NEW"),"",INDEX(J$1:J5757,SUMPRODUCT(MAX(ROW(E$1:E5757)*(E5758=E$1:E5757)))))</f>
        <v> </v>
      </c>
      <c r="L5758" s="27"/>
    </row>
    <row r="5759" spans="1:12">
      <c r="A5759" s="20" t="s">
        <v>1562</v>
      </c>
      <c r="E5759" s="22">
        <f>IF(D5759="?OLD","!!!","")</f>
        <v/>
      </c>
      <c r="F5759" s="23" t="str">
        <f>IF(OR(E5759="",E5759="!!!"),"",IF(NOT(ISNA(VLOOKUP(E5759,E$1:E5758,1,FALSE()))),"OLD",IF(AND(E5759&lt;&gt;"",E5759&lt;&gt;"!!!"),"NEW","")))</f>
        <v> </v>
      </c>
      <c r="G5759" s="24" t="str">
        <f>IF(OR(E5759="",E5759="!!!"),"",IF(OR(J5759=0,AND(J5759=1,K5759=1),AND(J5759=1,I5759="SBJ"),AND(J5759=1,I5759=0)),"?IN_FOCUS",IF(J5759&lt;=2,"?ACTIVATED",IF(J5759&lt;&gt;"","?FAMILIAR",IF(F5759="NEW",IF(ISNA(VLOOKUP(E5759,#REF!,1,FALSE())),"?TYPE_IDENTIFIABLE","?REFERENTIAL"),"_")))))</f>
        <v> </v>
      </c>
      <c r="H5759" s="25" t="str">
        <f>IF(J5759&lt;&gt;1,"",IF(I5759="SBJ","CB","?"))</f>
        <v> </v>
      </c>
      <c r="I5759" s="26" t="str">
        <f>IF(OR(E5759="",E5759="!!!",F5759="NEW"),"",INDEX(B5758:B$2,-1+SUMPRODUCT(MAX(ROW(E5758:E$2)*(E5759=E5758:E$2)))))</f>
        <v> </v>
      </c>
      <c r="J5759" s="26" t="str">
        <f>IF(OR(E5759="",E5759="!!!",F5759="NEW"),"",COUNTBLANK(OFFSET(A$1,,,SUMPRODUCT(MAX(ROW(E$2:E5759)*(E5759=E$2:E5759)))))-COUNTBLANK(OFFSET(A$1,,,SUMPRODUCT(MAX(ROW(E$1:E5758)*(E2=E$1:E5758))))))</f>
        <v> </v>
      </c>
      <c r="K5759" s="26" t="str">
        <f>IF(OR(E5759="",E5759="!!!",F5759="NEW"),"",INDEX(J$1:J5758,SUMPRODUCT(MAX(ROW(E$1:E5758)*(E5759=E$1:E5758)))))</f>
        <v> </v>
      </c>
      <c r="L5759" s="27"/>
    </row>
    <row r="5760" spans="1:12">
      <c r="A5760" s="20" t="s">
        <v>2468</v>
      </c>
      <c r="E5760" s="22">
        <f>IF(D5760="?OLD","!!!","")</f>
        <v/>
      </c>
      <c r="F5760" s="23" t="str">
        <f>IF(OR(E5760="",E5760="!!!"),"",IF(NOT(ISNA(VLOOKUP(E5760,E$1:E5759,1,FALSE()))),"OLD",IF(AND(E5760&lt;&gt;"",E5760&lt;&gt;"!!!"),"NEW","")))</f>
        <v> </v>
      </c>
      <c r="G5760" s="24" t="str">
        <f>IF(OR(E5760="",E5760="!!!"),"",IF(OR(J5760=0,AND(J5760=1,K5760=1),AND(J5760=1,I5760="SBJ"),AND(J5760=1,I5760=0)),"?IN_FOCUS",IF(J5760&lt;=2,"?ACTIVATED",IF(J5760&lt;&gt;"","?FAMILIAR",IF(F5760="NEW",IF(ISNA(VLOOKUP(E5760,#REF!,1,FALSE())),"?TYPE_IDENTIFIABLE","?REFERENTIAL"),"_")))))</f>
        <v> </v>
      </c>
      <c r="H5760" s="25" t="str">
        <f>IF(J5760&lt;&gt;1,"",IF(I5760="SBJ","CB","?"))</f>
        <v> </v>
      </c>
      <c r="I5760" s="26" t="str">
        <f>IF(OR(E5760="",E5760="!!!",F5760="NEW"),"",INDEX(B5759:B$2,-1+SUMPRODUCT(MAX(ROW(E5759:E$2)*(E5760=E5759:E$2)))))</f>
        <v> </v>
      </c>
      <c r="J5760" s="26" t="str">
        <f>IF(OR(E5760="",E5760="!!!",F5760="NEW"),"",COUNTBLANK(OFFSET(A$1,,,SUMPRODUCT(MAX(ROW(E$2:E5760)*(E5760=E$2:E5760)))))-COUNTBLANK(OFFSET(A$1,,,SUMPRODUCT(MAX(ROW(E$1:E5759)*(E2=E$1:E5759))))))</f>
        <v> </v>
      </c>
      <c r="K5760" s="26" t="str">
        <f>IF(OR(E5760="",E5760="!!!",F5760="NEW"),"",INDEX(J$1:J5759,SUMPRODUCT(MAX(ROW(E$1:E5759)*(E5760=E$1:E5759)))))</f>
        <v> </v>
      </c>
      <c r="L5760" s="27"/>
    </row>
    <row r="5761" spans="1:12">
      <c r="A5761" s="20" t="s">
        <v>1275</v>
      </c>
      <c r="E5761" s="22">
        <f>IF(D5761="?OLD","!!!","")</f>
        <v/>
      </c>
      <c r="F5761" s="23" t="str">
        <f>IF(OR(E5761="",E5761="!!!"),"",IF(NOT(ISNA(VLOOKUP(E5761,E$1:E5760,1,FALSE()))),"OLD",IF(AND(E5761&lt;&gt;"",E5761&lt;&gt;"!!!"),"NEW","")))</f>
        <v> </v>
      </c>
      <c r="G5761" s="24" t="str">
        <f>IF(OR(E5761="",E5761="!!!"),"",IF(OR(J5761=0,AND(J5761=1,K5761=1),AND(J5761=1,I5761="SBJ"),AND(J5761=1,I5761=0)),"?IN_FOCUS",IF(J5761&lt;=2,"?ACTIVATED",IF(J5761&lt;&gt;"","?FAMILIAR",IF(F5761="NEW",IF(ISNA(VLOOKUP(E5761,#REF!,1,FALSE())),"?TYPE_IDENTIFIABLE","?REFERENTIAL"),"_")))))</f>
        <v> </v>
      </c>
      <c r="H5761" s="25" t="str">
        <f>IF(J5761&lt;&gt;1,"",IF(I5761="SBJ","CB","?"))</f>
        <v> </v>
      </c>
      <c r="I5761" s="26" t="str">
        <f>IF(OR(E5761="",E5761="!!!",F5761="NEW"),"",INDEX(B5760:B$2,-1+SUMPRODUCT(MAX(ROW(E5760:E$2)*(E5761=E5760:E$2)))))</f>
        <v> </v>
      </c>
      <c r="J5761" s="26" t="str">
        <f>IF(OR(E5761="",E5761="!!!",F5761="NEW"),"",COUNTBLANK(OFFSET(A$1,,,SUMPRODUCT(MAX(ROW(E$2:E5761)*(E5761=E$2:E5761)))))-COUNTBLANK(OFFSET(A$1,,,SUMPRODUCT(MAX(ROW(E$1:E5760)*(E2=E$1:E5760))))))</f>
        <v> </v>
      </c>
      <c r="K5761" s="26" t="str">
        <f>IF(OR(E5761="",E5761="!!!",F5761="NEW"),"",INDEX(J$1:J5760,SUMPRODUCT(MAX(ROW(E$1:E5760)*(E5761=E$1:E5760)))))</f>
        <v> </v>
      </c>
      <c r="L5761" s="27"/>
    </row>
    <row r="5762" spans="1:12">
      <c r="A5762" s="20"/>
    </row>
    <row r="5763" spans="1:12">
      <c r="A5763" s="20" t="s">
        <v>2469</v>
      </c>
    </row>
    <row r="5764" spans="1:12">
      <c r="A5764" s="20" t="s">
        <v>741</v>
      </c>
      <c r="B5764" s="21" t="s">
        <v>1067</v>
      </c>
      <c r="C5764" s="21" t="s">
        <v>1095</v>
      </c>
      <c r="D5764" s="21" t="s">
        <v>997</v>
      </c>
      <c r="E5764" s="22">
        <f>IF(D5764="?OLD","!!!","")</f>
        <v/>
      </c>
      <c r="F5764" s="23" t="str">
        <f>IF(OR(E5764="",E5764="!!!"),"",IF(NOT(ISNA(VLOOKUP(E5764,E$1:E5763,1,FALSE()))),"OLD",IF(AND(E5764&lt;&gt;"",E5764&lt;&gt;"!!!"),"NEW","")))</f>
        <v> </v>
      </c>
      <c r="G5764" s="24" t="str">
        <f>IF(OR(E5764="",E5764="!!!"),"",IF(OR(J5764=0,AND(J5764=1,K5764=1),AND(J5764=1,I5764="SBJ"),AND(J5764=1,I5764=0)),"?IN_FOCUS",IF(J5764&lt;=2,"?ACTIVATED",IF(J5764&lt;&gt;"","?FAMILIAR",IF(F5764="NEW",IF(ISNA(VLOOKUP(E5764,#REF!,1,FALSE())),"?TYPE_IDENTIFIABLE","?REFERENTIAL"),"_")))))</f>
        <v> </v>
      </c>
      <c r="H5764" s="25" t="str">
        <f>IF(J5764&lt;&gt;1,"",IF(I5764="SBJ","CB","?"))</f>
        <v> </v>
      </c>
      <c r="I5764" s="26" t="str">
        <f>IF(OR(E5764="",E5764="!!!",F5764="NEW"),"",INDEX(B5763:B$2,-1+SUMPRODUCT(MAX(ROW(E5763:E$2)*(E5764=E5763:E$2)))))</f>
        <v> </v>
      </c>
      <c r="J5764" s="26" t="str">
        <f>IF(OR(E5764="",E5764="!!!",F5764="NEW"),"",COUNTBLANK(OFFSET(A$1,,,SUMPRODUCT(MAX(ROW(E$2:E5764)*(E5764=E$2:E5764)))))-COUNTBLANK(OFFSET(A$1,,,SUMPRODUCT(MAX(ROW(E$1:E5763)*(E2=E$1:E5763))))))</f>
        <v> </v>
      </c>
      <c r="K5764" s="26" t="str">
        <f>IF(OR(E5764="",E5764="!!!",F5764="NEW"),"",INDEX(J$1:J5763,SUMPRODUCT(MAX(ROW(E$1:E5763)*(E5764=E$1:E5763)))))</f>
        <v> </v>
      </c>
      <c r="L5764" s="27"/>
    </row>
    <row r="5765" spans="1:12">
      <c r="A5765" s="20" t="s">
        <v>1513</v>
      </c>
      <c r="E5765" s="22">
        <f>IF(D5765="?OLD","!!!","")</f>
        <v/>
      </c>
      <c r="F5765" s="23" t="str">
        <f>IF(OR(E5765="",E5765="!!!"),"",IF(NOT(ISNA(VLOOKUP(E5765,E$1:E5764,1,FALSE()))),"OLD",IF(AND(E5765&lt;&gt;"",E5765&lt;&gt;"!!!"),"NEW","")))</f>
        <v> </v>
      </c>
      <c r="G5765" s="24" t="str">
        <f>IF(OR(E5765="",E5765="!!!"),"",IF(OR(J5765=0,AND(J5765=1,K5765=1),AND(J5765=1,I5765="SBJ"),AND(J5765=1,I5765=0)),"?IN_FOCUS",IF(J5765&lt;=2,"?ACTIVATED",IF(J5765&lt;&gt;"","?FAMILIAR",IF(F5765="NEW",IF(ISNA(VLOOKUP(E5765,#REF!,1,FALSE())),"?TYPE_IDENTIFIABLE","?REFERENTIAL"),"_")))))</f>
        <v> </v>
      </c>
      <c r="H5765" s="25" t="str">
        <f>IF(J5765&lt;&gt;1,"",IF(I5765="SBJ","CB","?"))</f>
        <v> </v>
      </c>
      <c r="I5765" s="26" t="str">
        <f>IF(OR(E5765="",E5765="!!!",F5765="NEW"),"",INDEX(B5764:B$2,-1+SUMPRODUCT(MAX(ROW(E5764:E$2)*(E5765=E5764:E$2)))))</f>
        <v> </v>
      </c>
      <c r="J5765" s="26" t="str">
        <f>IF(OR(E5765="",E5765="!!!",F5765="NEW"),"",COUNTBLANK(OFFSET(A$1,,,SUMPRODUCT(MAX(ROW(E$2:E5765)*(E5765=E$2:E5765)))))-COUNTBLANK(OFFSET(A$1,,,SUMPRODUCT(MAX(ROW(E$1:E5764)*(E2=E$1:E5764))))))</f>
        <v> </v>
      </c>
      <c r="K5765" s="26" t="str">
        <f>IF(OR(E5765="",E5765="!!!",F5765="NEW"),"",INDEX(J$1:J5764,SUMPRODUCT(MAX(ROW(E$1:E5764)*(E5765=E$1:E5764)))))</f>
        <v> </v>
      </c>
      <c r="L5765" s="27"/>
    </row>
    <row r="5766" spans="1:12">
      <c r="A5766" s="20" t="s">
        <v>1880</v>
      </c>
      <c r="E5766" s="22">
        <f>IF(D5766="?OLD","!!!","")</f>
        <v/>
      </c>
      <c r="F5766" s="23" t="str">
        <f>IF(OR(E5766="",E5766="!!!"),"",IF(NOT(ISNA(VLOOKUP(E5766,E$1:E5765,1,FALSE()))),"OLD",IF(AND(E5766&lt;&gt;"",E5766&lt;&gt;"!!!"),"NEW","")))</f>
        <v> </v>
      </c>
      <c r="G5766" s="24" t="str">
        <f>IF(OR(E5766="",E5766="!!!"),"",IF(OR(J5766=0,AND(J5766=1,K5766=1),AND(J5766=1,I5766="SBJ"),AND(J5766=1,I5766=0)),"?IN_FOCUS",IF(J5766&lt;=2,"?ACTIVATED",IF(J5766&lt;&gt;"","?FAMILIAR",IF(F5766="NEW",IF(ISNA(VLOOKUP(E5766,#REF!,1,FALSE())),"?TYPE_IDENTIFIABLE","?REFERENTIAL"),"_")))))</f>
        <v> </v>
      </c>
      <c r="H5766" s="25" t="str">
        <f>IF(J5766&lt;&gt;1,"",IF(I5766="SBJ","CB","?"))</f>
        <v> </v>
      </c>
      <c r="I5766" s="26" t="str">
        <f>IF(OR(E5766="",E5766="!!!",F5766="NEW"),"",INDEX(B5765:B$2,-1+SUMPRODUCT(MAX(ROW(E5765:E$2)*(E5766=E5765:E$2)))))</f>
        <v> </v>
      </c>
      <c r="J5766" s="26" t="str">
        <f>IF(OR(E5766="",E5766="!!!",F5766="NEW"),"",COUNTBLANK(OFFSET(A$1,,,SUMPRODUCT(MAX(ROW(E$2:E5766)*(E5766=E$2:E5766)))))-COUNTBLANK(OFFSET(A$1,,,SUMPRODUCT(MAX(ROW(E$1:E5765)*(E2=E$1:E5765))))))</f>
        <v> </v>
      </c>
      <c r="K5766" s="26" t="str">
        <f>IF(OR(E5766="",E5766="!!!",F5766="NEW"),"",INDEX(J$1:J5765,SUMPRODUCT(MAX(ROW(E$1:E5765)*(E5766=E$1:E5765)))))</f>
        <v> </v>
      </c>
      <c r="L5766" s="27"/>
    </row>
    <row r="5767" spans="1:12">
      <c r="A5767" s="20" t="s">
        <v>1190</v>
      </c>
      <c r="E5767" s="22">
        <f>IF(D5767="?OLD","!!!","")</f>
        <v/>
      </c>
      <c r="F5767" s="23" t="str">
        <f>IF(OR(E5767="",E5767="!!!"),"",IF(NOT(ISNA(VLOOKUP(E5767,E$1:E5766,1,FALSE()))),"OLD",IF(AND(E5767&lt;&gt;"",E5767&lt;&gt;"!!!"),"NEW","")))</f>
        <v> </v>
      </c>
      <c r="G5767" s="24" t="str">
        <f>IF(OR(E5767="",E5767="!!!"),"",IF(OR(J5767=0,AND(J5767=1,K5767=1),AND(J5767=1,I5767="SBJ"),AND(J5767=1,I5767=0)),"?IN_FOCUS",IF(J5767&lt;=2,"?ACTIVATED",IF(J5767&lt;&gt;"","?FAMILIAR",IF(F5767="NEW",IF(ISNA(VLOOKUP(E5767,#REF!,1,FALSE())),"?TYPE_IDENTIFIABLE","?REFERENTIAL"),"_")))))</f>
        <v> </v>
      </c>
      <c r="H5767" s="25" t="str">
        <f>IF(J5767&lt;&gt;1,"",IF(I5767="SBJ","CB","?"))</f>
        <v> </v>
      </c>
      <c r="I5767" s="26" t="str">
        <f>IF(OR(E5767="",E5767="!!!",F5767="NEW"),"",INDEX(B5766:B$2,-1+SUMPRODUCT(MAX(ROW(E5766:E$2)*(E5767=E5766:E$2)))))</f>
        <v> </v>
      </c>
      <c r="J5767" s="26" t="str">
        <f>IF(OR(E5767="",E5767="!!!",F5767="NEW"),"",COUNTBLANK(OFFSET(A$1,,,SUMPRODUCT(MAX(ROW(E$2:E5767)*(E5767=E$2:E5767)))))-COUNTBLANK(OFFSET(A$1,,,SUMPRODUCT(MAX(ROW(E$1:E5766)*(E2=E$1:E5766))))))</f>
        <v> </v>
      </c>
      <c r="K5767" s="26" t="str">
        <f>IF(OR(E5767="",E5767="!!!",F5767="NEW"),"",INDEX(J$1:J5766,SUMPRODUCT(MAX(ROW(E$1:E5766)*(E5767=E$1:E5766)))))</f>
        <v> </v>
      </c>
      <c r="L5767" s="27"/>
    </row>
    <row r="5768" spans="1:12">
      <c r="A5768" s="20" t="s">
        <v>1041</v>
      </c>
      <c r="E5768" s="22">
        <f>IF(D5768="?OLD","!!!","")</f>
        <v/>
      </c>
      <c r="F5768" s="23" t="str">
        <f>IF(OR(E5768="",E5768="!!!"),"",IF(NOT(ISNA(VLOOKUP(E5768,E$1:E5767,1,FALSE()))),"OLD",IF(AND(E5768&lt;&gt;"",E5768&lt;&gt;"!!!"),"NEW","")))</f>
        <v> </v>
      </c>
      <c r="G5768" s="24" t="str">
        <f>IF(OR(E5768="",E5768="!!!"),"",IF(OR(J5768=0,AND(J5768=1,K5768=1),AND(J5768=1,I5768="SBJ"),AND(J5768=1,I5768=0)),"?IN_FOCUS",IF(J5768&lt;=2,"?ACTIVATED",IF(J5768&lt;&gt;"","?FAMILIAR",IF(F5768="NEW",IF(ISNA(VLOOKUP(E5768,#REF!,1,FALSE())),"?TYPE_IDENTIFIABLE","?REFERENTIAL"),"_")))))</f>
        <v> </v>
      </c>
      <c r="H5768" s="25" t="str">
        <f>IF(J5768&lt;&gt;1,"",IF(I5768="SBJ","CB","?"))</f>
        <v> </v>
      </c>
      <c r="I5768" s="26" t="str">
        <f>IF(OR(E5768="",E5768="!!!",F5768="NEW"),"",INDEX(B5767:B$2,-1+SUMPRODUCT(MAX(ROW(E5767:E$2)*(E5768=E5767:E$2)))))</f>
        <v> </v>
      </c>
      <c r="J5768" s="26" t="str">
        <f>IF(OR(E5768="",E5768="!!!",F5768="NEW"),"",COUNTBLANK(OFFSET(A$1,,,SUMPRODUCT(MAX(ROW(E$2:E5768)*(E5768=E$2:E5768)))))-COUNTBLANK(OFFSET(A$1,,,SUMPRODUCT(MAX(ROW(E$1:E5767)*(E2=E$1:E5767))))))</f>
        <v> </v>
      </c>
      <c r="K5768" s="26" t="str">
        <f>IF(OR(E5768="",E5768="!!!",F5768="NEW"),"",INDEX(J$1:J5767,SUMPRODUCT(MAX(ROW(E$1:E5767)*(E5768=E$1:E5767)))))</f>
        <v> </v>
      </c>
      <c r="L5768" s="27"/>
    </row>
    <row r="5769" spans="1:12">
      <c r="A5769" s="20" t="s">
        <v>2470</v>
      </c>
      <c r="E5769" s="22">
        <f>IF(D5769="?OLD","!!!","")</f>
        <v/>
      </c>
      <c r="F5769" s="23" t="str">
        <f>IF(OR(E5769="",E5769="!!!"),"",IF(NOT(ISNA(VLOOKUP(E5769,E$1:E5768,1,FALSE()))),"OLD",IF(AND(E5769&lt;&gt;"",E5769&lt;&gt;"!!!"),"NEW","")))</f>
        <v> </v>
      </c>
      <c r="G5769" s="24" t="str">
        <f>IF(OR(E5769="",E5769="!!!"),"",IF(OR(J5769=0,AND(J5769=1,K5769=1),AND(J5769=1,I5769="SBJ"),AND(J5769=1,I5769=0)),"?IN_FOCUS",IF(J5769&lt;=2,"?ACTIVATED",IF(J5769&lt;&gt;"","?FAMILIAR",IF(F5769="NEW",IF(ISNA(VLOOKUP(E5769,#REF!,1,FALSE())),"?TYPE_IDENTIFIABLE","?REFERENTIAL"),"_")))))</f>
        <v> </v>
      </c>
      <c r="H5769" s="25" t="str">
        <f>IF(J5769&lt;&gt;1,"",IF(I5769="SBJ","CB","?"))</f>
        <v> </v>
      </c>
      <c r="I5769" s="26" t="str">
        <f>IF(OR(E5769="",E5769="!!!",F5769="NEW"),"",INDEX(B5768:B$2,-1+SUMPRODUCT(MAX(ROW(E5768:E$2)*(E5769=E5768:E$2)))))</f>
        <v> </v>
      </c>
      <c r="J5769" s="26" t="str">
        <f>IF(OR(E5769="",E5769="!!!",F5769="NEW"),"",COUNTBLANK(OFFSET(A$1,,,SUMPRODUCT(MAX(ROW(E$2:E5769)*(E5769=E$2:E5769)))))-COUNTBLANK(OFFSET(A$1,,,SUMPRODUCT(MAX(ROW(E$1:E5768)*(E2=E$1:E5768))))))</f>
        <v> </v>
      </c>
      <c r="K5769" s="26" t="str">
        <f>IF(OR(E5769="",E5769="!!!",F5769="NEW"),"",INDEX(J$1:J5768,SUMPRODUCT(MAX(ROW(E$1:E5768)*(E5769=E$1:E5768)))))</f>
        <v> </v>
      </c>
      <c r="L5769" s="27"/>
    </row>
    <row r="5770" spans="1:12">
      <c r="A5770" s="20" t="s">
        <v>1041</v>
      </c>
      <c r="E5770" s="22">
        <f>IF(D5770="?OLD","!!!","")</f>
        <v/>
      </c>
      <c r="F5770" s="23" t="str">
        <f>IF(OR(E5770="",E5770="!!!"),"",IF(NOT(ISNA(VLOOKUP(E5770,E$1:E5769,1,FALSE()))),"OLD",IF(AND(E5770&lt;&gt;"",E5770&lt;&gt;"!!!"),"NEW","")))</f>
        <v> </v>
      </c>
      <c r="G5770" s="24" t="str">
        <f>IF(OR(E5770="",E5770="!!!"),"",IF(OR(J5770=0,AND(J5770=1,K5770=1),AND(J5770=1,I5770="SBJ"),AND(J5770=1,I5770=0)),"?IN_FOCUS",IF(J5770&lt;=2,"?ACTIVATED",IF(J5770&lt;&gt;"","?FAMILIAR",IF(F5770="NEW",IF(ISNA(VLOOKUP(E5770,#REF!,1,FALSE())),"?TYPE_IDENTIFIABLE","?REFERENTIAL"),"_")))))</f>
        <v> </v>
      </c>
      <c r="H5770" s="25" t="str">
        <f>IF(J5770&lt;&gt;1,"",IF(I5770="SBJ","CB","?"))</f>
        <v> </v>
      </c>
      <c r="I5770" s="26" t="str">
        <f>IF(OR(E5770="",E5770="!!!",F5770="NEW"),"",INDEX(B5769:B$2,-1+SUMPRODUCT(MAX(ROW(E5769:E$2)*(E5770=E5769:E$2)))))</f>
        <v> </v>
      </c>
      <c r="J5770" s="26" t="str">
        <f>IF(OR(E5770="",E5770="!!!",F5770="NEW"),"",COUNTBLANK(OFFSET(A$1,,,SUMPRODUCT(MAX(ROW(E$2:E5770)*(E5770=E$2:E5770)))))-COUNTBLANK(OFFSET(A$1,,,SUMPRODUCT(MAX(ROW(E$1:E5769)*(E2=E$1:E5769))))))</f>
        <v> </v>
      </c>
      <c r="K5770" s="26" t="str">
        <f>IF(OR(E5770="",E5770="!!!",F5770="NEW"),"",INDEX(J$1:J5769,SUMPRODUCT(MAX(ROW(E$1:E5769)*(E5770=E$1:E5769)))))</f>
        <v> </v>
      </c>
      <c r="L5770" s="27"/>
    </row>
    <row r="5771" spans="1:12">
      <c r="A5771" s="20" t="s">
        <v>1037</v>
      </c>
      <c r="E5771" s="22">
        <f>IF(D5771="?OLD","!!!","")</f>
        <v/>
      </c>
      <c r="F5771" s="23" t="str">
        <f>IF(OR(E5771="",E5771="!!!"),"",IF(NOT(ISNA(VLOOKUP(E5771,E$1:E5770,1,FALSE()))),"OLD",IF(AND(E5771&lt;&gt;"",E5771&lt;&gt;"!!!"),"NEW","")))</f>
        <v> </v>
      </c>
      <c r="G5771" s="24" t="str">
        <f>IF(OR(E5771="",E5771="!!!"),"",IF(OR(J5771=0,AND(J5771=1,K5771=1),AND(J5771=1,I5771="SBJ"),AND(J5771=1,I5771=0)),"?IN_FOCUS",IF(J5771&lt;=2,"?ACTIVATED",IF(J5771&lt;&gt;"","?FAMILIAR",IF(F5771="NEW",IF(ISNA(VLOOKUP(E5771,#REF!,1,FALSE())),"?TYPE_IDENTIFIABLE","?REFERENTIAL"),"_")))))</f>
        <v> </v>
      </c>
      <c r="H5771" s="25" t="str">
        <f>IF(J5771&lt;&gt;1,"",IF(I5771="SBJ","CB","?"))</f>
        <v> </v>
      </c>
      <c r="I5771" s="26" t="str">
        <f>IF(OR(E5771="",E5771="!!!",F5771="NEW"),"",INDEX(B5770:B$2,-1+SUMPRODUCT(MAX(ROW(E5770:E$2)*(E5771=E5770:E$2)))))</f>
        <v> </v>
      </c>
      <c r="J5771" s="26" t="str">
        <f>IF(OR(E5771="",E5771="!!!",F5771="NEW"),"",COUNTBLANK(OFFSET(A$1,,,SUMPRODUCT(MAX(ROW(E$2:E5771)*(E5771=E$2:E5771)))))-COUNTBLANK(OFFSET(A$1,,,SUMPRODUCT(MAX(ROW(E$1:E5770)*(E2=E$1:E5770))))))</f>
        <v> </v>
      </c>
      <c r="K5771" s="26" t="str">
        <f>IF(OR(E5771="",E5771="!!!",F5771="NEW"),"",INDEX(J$1:J5770,SUMPRODUCT(MAX(ROW(E$1:E5770)*(E5771=E$1:E5770)))))</f>
        <v> </v>
      </c>
      <c r="L5771" s="27"/>
    </row>
    <row r="5772" spans="1:12">
      <c r="A5772" s="20" t="s">
        <v>2471</v>
      </c>
      <c r="B5772" s="21" t="s">
        <v>1027</v>
      </c>
      <c r="C5772" s="21" t="s">
        <v>1034</v>
      </c>
      <c r="D5772" s="21" t="s">
        <v>997</v>
      </c>
      <c r="E5772" s="22">
        <f>IF(D5772="?OLD","!!!","")</f>
        <v/>
      </c>
      <c r="F5772" s="23" t="str">
        <f>IF(OR(E5772="",E5772="!!!"),"",IF(NOT(ISNA(VLOOKUP(E5772,E$1:E5771,1,FALSE()))),"OLD",IF(AND(E5772&lt;&gt;"",E5772&lt;&gt;"!!!"),"NEW","")))</f>
        <v> </v>
      </c>
      <c r="G5772" s="24" t="str">
        <f>IF(OR(E5772="",E5772="!!!"),"",IF(OR(J5772=0,AND(J5772=1,K5772=1),AND(J5772=1,I5772="SBJ"),AND(J5772=1,I5772=0)),"?IN_FOCUS",IF(J5772&lt;=2,"?ACTIVATED",IF(J5772&lt;&gt;"","?FAMILIAR",IF(F5772="NEW",IF(ISNA(VLOOKUP(E5772,#REF!,1,FALSE())),"?TYPE_IDENTIFIABLE","?REFERENTIAL"),"_")))))</f>
        <v> </v>
      </c>
      <c r="H5772" s="25" t="str">
        <f>IF(J5772&lt;&gt;1,"",IF(I5772="SBJ","CB","?"))</f>
        <v> </v>
      </c>
      <c r="I5772" s="26" t="str">
        <f>IF(OR(E5772="",E5772="!!!",F5772="NEW"),"",INDEX(B5771:B$2,-1+SUMPRODUCT(MAX(ROW(E5771:E$2)*(E5772=E5771:E$2)))))</f>
        <v> </v>
      </c>
      <c r="J5772" s="26" t="str">
        <f>IF(OR(E5772="",E5772="!!!",F5772="NEW"),"",COUNTBLANK(OFFSET(A$1,,,SUMPRODUCT(MAX(ROW(E$2:E5772)*(E5772=E$2:E5772)))))-COUNTBLANK(OFFSET(A$1,,,SUMPRODUCT(MAX(ROW(E$1:E5771)*(E2=E$1:E5771))))))</f>
        <v> </v>
      </c>
      <c r="K5772" s="26" t="str">
        <f>IF(OR(E5772="",E5772="!!!",F5772="NEW"),"",INDEX(J$1:J5771,SUMPRODUCT(MAX(ROW(E$1:E5771)*(E5772=E$1:E5771)))))</f>
        <v> </v>
      </c>
      <c r="L5772" s="27"/>
    </row>
    <row r="5773" spans="1:12">
      <c r="A5773" s="20" t="s">
        <v>1062</v>
      </c>
      <c r="E5773" s="22">
        <f>IF(D5773="?OLD","!!!","")</f>
        <v/>
      </c>
      <c r="F5773" s="23" t="str">
        <f>IF(OR(E5773="",E5773="!!!"),"",IF(NOT(ISNA(VLOOKUP(E5773,E$1:E5772,1,FALSE()))),"OLD",IF(AND(E5773&lt;&gt;"",E5773&lt;&gt;"!!!"),"NEW","")))</f>
        <v> </v>
      </c>
      <c r="G5773" s="24" t="str">
        <f>IF(OR(E5773="",E5773="!!!"),"",IF(OR(J5773=0,AND(J5773=1,K5773=1),AND(J5773=1,I5773="SBJ"),AND(J5773=1,I5773=0)),"?IN_FOCUS",IF(J5773&lt;=2,"?ACTIVATED",IF(J5773&lt;&gt;"","?FAMILIAR",IF(F5773="NEW",IF(ISNA(VLOOKUP(E5773,#REF!,1,FALSE())),"?TYPE_IDENTIFIABLE","?REFERENTIAL"),"_")))))</f>
        <v> </v>
      </c>
      <c r="H5773" s="25" t="str">
        <f>IF(J5773&lt;&gt;1,"",IF(I5773="SBJ","CB","?"))</f>
        <v> </v>
      </c>
      <c r="I5773" s="26" t="str">
        <f>IF(OR(E5773="",E5773="!!!",F5773="NEW"),"",INDEX(B5772:B$2,-1+SUMPRODUCT(MAX(ROW(E5772:E$2)*(E5773=E5772:E$2)))))</f>
        <v> </v>
      </c>
      <c r="J5773" s="26" t="str">
        <f>IF(OR(E5773="",E5773="!!!",F5773="NEW"),"",COUNTBLANK(OFFSET(A$1,,,SUMPRODUCT(MAX(ROW(E$2:E5773)*(E5773=E$2:E5773)))))-COUNTBLANK(OFFSET(A$1,,,SUMPRODUCT(MAX(ROW(E$1:E5772)*(E2=E$1:E5772))))))</f>
        <v> </v>
      </c>
      <c r="K5773" s="26" t="str">
        <f>IF(OR(E5773="",E5773="!!!",F5773="NEW"),"",INDEX(J$1:J5772,SUMPRODUCT(MAX(ROW(E$1:E5772)*(E5773=E$1:E5772)))))</f>
        <v> </v>
      </c>
      <c r="L5773" s="27"/>
    </row>
    <row r="5774" spans="1:12">
      <c r="A5774" s="20" t="s">
        <v>1109</v>
      </c>
      <c r="E5774" s="22">
        <f>IF(D5774="?OLD","!!!","")</f>
        <v/>
      </c>
      <c r="F5774" s="23" t="str">
        <f>IF(OR(E5774="",E5774="!!!"),"",IF(NOT(ISNA(VLOOKUP(E5774,E$1:E5773,1,FALSE()))),"OLD",IF(AND(E5774&lt;&gt;"",E5774&lt;&gt;"!!!"),"NEW","")))</f>
        <v> </v>
      </c>
      <c r="G5774" s="24" t="str">
        <f>IF(OR(E5774="",E5774="!!!"),"",IF(OR(J5774=0,AND(J5774=1,K5774=1),AND(J5774=1,I5774="SBJ"),AND(J5774=1,I5774=0)),"?IN_FOCUS",IF(J5774&lt;=2,"?ACTIVATED",IF(J5774&lt;&gt;"","?FAMILIAR",IF(F5774="NEW",IF(ISNA(VLOOKUP(E5774,#REF!,1,FALSE())),"?TYPE_IDENTIFIABLE","?REFERENTIAL"),"_")))))</f>
        <v> </v>
      </c>
      <c r="H5774" s="25" t="str">
        <f>IF(J5774&lt;&gt;1,"",IF(I5774="SBJ","CB","?"))</f>
        <v> </v>
      </c>
      <c r="I5774" s="26" t="str">
        <f>IF(OR(E5774="",E5774="!!!",F5774="NEW"),"",INDEX(B5773:B$2,-1+SUMPRODUCT(MAX(ROW(E5773:E$2)*(E5774=E5773:E$2)))))</f>
        <v> </v>
      </c>
      <c r="J5774" s="26" t="str">
        <f>IF(OR(E5774="",E5774="!!!",F5774="NEW"),"",COUNTBLANK(OFFSET(A$1,,,SUMPRODUCT(MAX(ROW(E$2:E5774)*(E5774=E$2:E5774)))))-COUNTBLANK(OFFSET(A$1,,,SUMPRODUCT(MAX(ROW(E$1:E5773)*(E2=E$1:E5773))))))</f>
        <v> </v>
      </c>
      <c r="K5774" s="26" t="str">
        <f>IF(OR(E5774="",E5774="!!!",F5774="NEW"),"",INDEX(J$1:J5773,SUMPRODUCT(MAX(ROW(E$1:E5773)*(E5774=E$1:E5773)))))</f>
        <v> </v>
      </c>
      <c r="L5774" s="27"/>
    </row>
    <row r="5775" spans="1:12">
      <c r="A5775" s="20" t="s">
        <v>1008</v>
      </c>
      <c r="E5775" s="22">
        <f>IF(D5775="?OLD","!!!","")</f>
        <v/>
      </c>
      <c r="F5775" s="23" t="str">
        <f>IF(OR(E5775="",E5775="!!!"),"",IF(NOT(ISNA(VLOOKUP(E5775,E$1:E5774,1,FALSE()))),"OLD",IF(AND(E5775&lt;&gt;"",E5775&lt;&gt;"!!!"),"NEW","")))</f>
        <v> </v>
      </c>
      <c r="G5775" s="24" t="str">
        <f>IF(OR(E5775="",E5775="!!!"),"",IF(OR(J5775=0,AND(J5775=1,K5775=1),AND(J5775=1,I5775="SBJ"),AND(J5775=1,I5775=0)),"?IN_FOCUS",IF(J5775&lt;=2,"?ACTIVATED",IF(J5775&lt;&gt;"","?FAMILIAR",IF(F5775="NEW",IF(ISNA(VLOOKUP(E5775,#REF!,1,FALSE())),"?TYPE_IDENTIFIABLE","?REFERENTIAL"),"_")))))</f>
        <v> </v>
      </c>
      <c r="H5775" s="25" t="str">
        <f>IF(J5775&lt;&gt;1,"",IF(I5775="SBJ","CB","?"))</f>
        <v> </v>
      </c>
      <c r="I5775" s="26" t="str">
        <f>IF(OR(E5775="",E5775="!!!",F5775="NEW"),"",INDEX(B5774:B$2,-1+SUMPRODUCT(MAX(ROW(E5774:E$2)*(E5775=E5774:E$2)))))</f>
        <v> </v>
      </c>
      <c r="J5775" s="26" t="str">
        <f>IF(OR(E5775="",E5775="!!!",F5775="NEW"),"",COUNTBLANK(OFFSET(A$1,,,SUMPRODUCT(MAX(ROW(E$2:E5775)*(E5775=E$2:E5775)))))-COUNTBLANK(OFFSET(A$1,,,SUMPRODUCT(MAX(ROW(E$1:E5774)*(E2=E$1:E5774))))))</f>
        <v> </v>
      </c>
      <c r="K5775" s="26" t="str">
        <f>IF(OR(E5775="",E5775="!!!",F5775="NEW"),"",INDEX(J$1:J5774,SUMPRODUCT(MAX(ROW(E$1:E5774)*(E5775=E$1:E5774)))))</f>
        <v> </v>
      </c>
      <c r="L5775" s="27"/>
    </row>
    <row r="5776" spans="1:12">
      <c r="A5776" s="20" t="s">
        <v>1037</v>
      </c>
      <c r="E5776" s="22">
        <f>IF(D5776="?OLD","!!!","")</f>
        <v/>
      </c>
      <c r="F5776" s="23" t="str">
        <f>IF(OR(E5776="",E5776="!!!"),"",IF(NOT(ISNA(VLOOKUP(E5776,E$1:E5775,1,FALSE()))),"OLD",IF(AND(E5776&lt;&gt;"",E5776&lt;&gt;"!!!"),"NEW","")))</f>
        <v> </v>
      </c>
      <c r="G5776" s="24" t="str">
        <f>IF(OR(E5776="",E5776="!!!"),"",IF(OR(J5776=0,AND(J5776=1,K5776=1),AND(J5776=1,I5776="SBJ"),AND(J5776=1,I5776=0)),"?IN_FOCUS",IF(J5776&lt;=2,"?ACTIVATED",IF(J5776&lt;&gt;"","?FAMILIAR",IF(F5776="NEW",IF(ISNA(VLOOKUP(E5776,#REF!,1,FALSE())),"?TYPE_IDENTIFIABLE","?REFERENTIAL"),"_")))))</f>
        <v> </v>
      </c>
      <c r="H5776" s="25" t="str">
        <f>IF(J5776&lt;&gt;1,"",IF(I5776="SBJ","CB","?"))</f>
        <v> </v>
      </c>
      <c r="I5776" s="26" t="str">
        <f>IF(OR(E5776="",E5776="!!!",F5776="NEW"),"",INDEX(B5775:B$2,-1+SUMPRODUCT(MAX(ROW(E5775:E$2)*(E5776=E5775:E$2)))))</f>
        <v> </v>
      </c>
      <c r="J5776" s="26" t="str">
        <f>IF(OR(E5776="",E5776="!!!",F5776="NEW"),"",COUNTBLANK(OFFSET(A$1,,,SUMPRODUCT(MAX(ROW(E$2:E5776)*(E5776=E$2:E5776)))))-COUNTBLANK(OFFSET(A$1,,,SUMPRODUCT(MAX(ROW(E$1:E5775)*(E2=E$1:E5775))))))</f>
        <v> </v>
      </c>
      <c r="K5776" s="26" t="str">
        <f>IF(OR(E5776="",E5776="!!!",F5776="NEW"),"",INDEX(J$1:J5775,SUMPRODUCT(MAX(ROW(E$1:E5775)*(E5776=E$1:E5775)))))</f>
        <v> </v>
      </c>
      <c r="L5776" s="27"/>
    </row>
    <row r="5777" spans="1:12">
      <c r="A5777" s="20" t="s">
        <v>2472</v>
      </c>
      <c r="B5777" s="21" t="s">
        <v>1010</v>
      </c>
      <c r="C5777" s="21" t="s">
        <v>1034</v>
      </c>
      <c r="D5777" s="21" t="s">
        <v>997</v>
      </c>
      <c r="E5777" s="22">
        <f>IF(D5777="?OLD","!!!","")</f>
        <v/>
      </c>
      <c r="F5777" s="23" t="str">
        <f>IF(OR(E5777="",E5777="!!!"),"",IF(NOT(ISNA(VLOOKUP(E5777,E$1:E5776,1,FALSE()))),"OLD",IF(AND(E5777&lt;&gt;"",E5777&lt;&gt;"!!!"),"NEW","")))</f>
        <v> </v>
      </c>
      <c r="G5777" s="24" t="str">
        <f>IF(OR(E5777="",E5777="!!!"),"",IF(OR(J5777=0,AND(J5777=1,K5777=1),AND(J5777=1,I5777="SBJ"),AND(J5777=1,I5777=0)),"?IN_FOCUS",IF(J5777&lt;=2,"?ACTIVATED",IF(J5777&lt;&gt;"","?FAMILIAR",IF(F5777="NEW",IF(ISNA(VLOOKUP(E5777,#REF!,1,FALSE())),"?TYPE_IDENTIFIABLE","?REFERENTIAL"),"_")))))</f>
        <v> </v>
      </c>
      <c r="H5777" s="25" t="str">
        <f>IF(J5777&lt;&gt;1,"",IF(I5777="SBJ","CB","?"))</f>
        <v> </v>
      </c>
      <c r="I5777" s="26" t="str">
        <f>IF(OR(E5777="",E5777="!!!",F5777="NEW"),"",INDEX(B5776:B$2,-1+SUMPRODUCT(MAX(ROW(E5776:E$2)*(E5777=E5776:E$2)))))</f>
        <v> </v>
      </c>
      <c r="J5777" s="26" t="str">
        <f>IF(OR(E5777="",E5777="!!!",F5777="NEW"),"",COUNTBLANK(OFFSET(A$1,,,SUMPRODUCT(MAX(ROW(E$2:E5777)*(E5777=E$2:E5777)))))-COUNTBLANK(OFFSET(A$1,,,SUMPRODUCT(MAX(ROW(E$1:E5776)*(E2=E$1:E5776))))))</f>
        <v> </v>
      </c>
      <c r="K5777" s="26" t="str">
        <f>IF(OR(E5777="",E5777="!!!",F5777="NEW"),"",INDEX(J$1:J5776,SUMPRODUCT(MAX(ROW(E$1:E5776)*(E5777=E$1:E5776)))))</f>
        <v> </v>
      </c>
      <c r="L5777" s="27"/>
    </row>
    <row r="5778" spans="1:12">
      <c r="A5778" s="20" t="s">
        <v>2473</v>
      </c>
      <c r="E5778" s="22">
        <f>IF(D5778="?OLD","!!!","")</f>
        <v/>
      </c>
      <c r="F5778" s="23" t="str">
        <f>IF(OR(E5778="",E5778="!!!"),"",IF(NOT(ISNA(VLOOKUP(E5778,E$1:E5777,1,FALSE()))),"OLD",IF(AND(E5778&lt;&gt;"",E5778&lt;&gt;"!!!"),"NEW","")))</f>
        <v> </v>
      </c>
      <c r="G5778" s="24" t="str">
        <f>IF(OR(E5778="",E5778="!!!"),"",IF(OR(J5778=0,AND(J5778=1,K5778=1),AND(J5778=1,I5778="SBJ"),AND(J5778=1,I5778=0)),"?IN_FOCUS",IF(J5778&lt;=2,"?ACTIVATED",IF(J5778&lt;&gt;"","?FAMILIAR",IF(F5778="NEW",IF(ISNA(VLOOKUP(E5778,#REF!,1,FALSE())),"?TYPE_IDENTIFIABLE","?REFERENTIAL"),"_")))))</f>
        <v> </v>
      </c>
      <c r="H5778" s="25" t="str">
        <f>IF(J5778&lt;&gt;1,"",IF(I5778="SBJ","CB","?"))</f>
        <v> </v>
      </c>
      <c r="I5778" s="26" t="str">
        <f>IF(OR(E5778="",E5778="!!!",F5778="NEW"),"",INDEX(B5777:B$2,-1+SUMPRODUCT(MAX(ROW(E5777:E$2)*(E5778=E5777:E$2)))))</f>
        <v> </v>
      </c>
      <c r="J5778" s="26" t="str">
        <f>IF(OR(E5778="",E5778="!!!",F5778="NEW"),"",COUNTBLANK(OFFSET(A$1,,,SUMPRODUCT(MAX(ROW(E$2:E5778)*(E5778=E$2:E5778)))))-COUNTBLANK(OFFSET(A$1,,,SUMPRODUCT(MAX(ROW(E$1:E5777)*(E2=E$1:E5777))))))</f>
        <v> </v>
      </c>
      <c r="K5778" s="26" t="str">
        <f>IF(OR(E5778="",E5778="!!!",F5778="NEW"),"",INDEX(J$1:J5777,SUMPRODUCT(MAX(ROW(E$1:E5777)*(E5778=E$1:E5777)))))</f>
        <v> </v>
      </c>
      <c r="L5778" s="27"/>
    </row>
    <row r="5779" spans="1:12">
      <c r="A5779" s="20" t="s">
        <v>1011</v>
      </c>
      <c r="E5779" s="22">
        <f>IF(D5779="?OLD","!!!","")</f>
        <v/>
      </c>
      <c r="F5779" s="23" t="str">
        <f>IF(OR(E5779="",E5779="!!!"),"",IF(NOT(ISNA(VLOOKUP(E5779,E$1:E5778,1,FALSE()))),"OLD",IF(AND(E5779&lt;&gt;"",E5779&lt;&gt;"!!!"),"NEW","")))</f>
        <v> </v>
      </c>
      <c r="G5779" s="24" t="str">
        <f>IF(OR(E5779="",E5779="!!!"),"",IF(OR(J5779=0,AND(J5779=1,K5779=1),AND(J5779=1,I5779="SBJ"),AND(J5779=1,I5779=0)),"?IN_FOCUS",IF(J5779&lt;=2,"?ACTIVATED",IF(J5779&lt;&gt;"","?FAMILIAR",IF(F5779="NEW",IF(ISNA(VLOOKUP(E5779,#REF!,1,FALSE())),"?TYPE_IDENTIFIABLE","?REFERENTIAL"),"_")))))</f>
        <v> </v>
      </c>
      <c r="H5779" s="25" t="str">
        <f>IF(J5779&lt;&gt;1,"",IF(I5779="SBJ","CB","?"))</f>
        <v> </v>
      </c>
      <c r="I5779" s="26" t="str">
        <f>IF(OR(E5779="",E5779="!!!",F5779="NEW"),"",INDEX(B5778:B$2,-1+SUMPRODUCT(MAX(ROW(E5778:E$2)*(E5779=E5778:E$2)))))</f>
        <v> </v>
      </c>
      <c r="J5779" s="26" t="str">
        <f>IF(OR(E5779="",E5779="!!!",F5779="NEW"),"",COUNTBLANK(OFFSET(A$1,,,SUMPRODUCT(MAX(ROW(E$2:E5779)*(E5779=E$2:E5779)))))-COUNTBLANK(OFFSET(A$1,,,SUMPRODUCT(MAX(ROW(E$1:E5778)*(E2=E$1:E5778))))))</f>
        <v> </v>
      </c>
      <c r="K5779" s="26" t="str">
        <f>IF(OR(E5779="",E5779="!!!",F5779="NEW"),"",INDEX(J$1:J5778,SUMPRODUCT(MAX(ROW(E$1:E5778)*(E5779=E$1:E5778)))))</f>
        <v> </v>
      </c>
      <c r="L5779" s="27"/>
    </row>
    <row r="5780" spans="1:12">
      <c r="A5780" s="20"/>
    </row>
    <row r="5781" spans="1:12">
      <c r="A5781" s="20" t="s">
        <v>2474</v>
      </c>
    </row>
    <row r="5782" spans="1:12">
      <c r="A5782" s="20" t="s">
        <v>2475</v>
      </c>
      <c r="B5782" s="21" t="s">
        <v>995</v>
      </c>
      <c r="C5782" s="21" t="s">
        <v>1015</v>
      </c>
      <c r="D5782" s="21" t="s">
        <v>997</v>
      </c>
      <c r="E5782" s="22">
        <f>IF(D5782="?OLD","!!!","")</f>
        <v/>
      </c>
      <c r="F5782" s="23" t="str">
        <f>IF(OR(E5782="",E5782="!!!"),"",IF(NOT(ISNA(VLOOKUP(E5782,E$1:E5781,1,FALSE()))),"OLD",IF(AND(E5782&lt;&gt;"",E5782&lt;&gt;"!!!"),"NEW","")))</f>
        <v> </v>
      </c>
      <c r="G5782" s="24" t="str">
        <f>IF(OR(E5782="",E5782="!!!"),"",IF(OR(J5782=0,AND(J5782=1,K5782=1),AND(J5782=1,I5782="SBJ"),AND(J5782=1,I5782=0)),"?IN_FOCUS",IF(J5782&lt;=2,"?ACTIVATED",IF(J5782&lt;&gt;"","?FAMILIAR",IF(F5782="NEW",IF(ISNA(VLOOKUP(E5782,#REF!,1,FALSE())),"?TYPE_IDENTIFIABLE","?REFERENTIAL"),"_")))))</f>
        <v> </v>
      </c>
      <c r="H5782" s="25" t="str">
        <f>IF(J5782&lt;&gt;1,"",IF(I5782="SBJ","CB","?"))</f>
        <v> </v>
      </c>
      <c r="I5782" s="26" t="str">
        <f>IF(OR(E5782="",E5782="!!!",F5782="NEW"),"",INDEX(B5781:B$2,-1+SUMPRODUCT(MAX(ROW(E5781:E$2)*(E5782=E5781:E$2)))))</f>
        <v> </v>
      </c>
      <c r="J5782" s="26" t="str">
        <f>IF(OR(E5782="",E5782="!!!",F5782="NEW"),"",COUNTBLANK(OFFSET(A$1,,,SUMPRODUCT(MAX(ROW(E$2:E5782)*(E5782=E$2:E5782)))))-COUNTBLANK(OFFSET(A$1,,,SUMPRODUCT(MAX(ROW(E$1:E5781)*(E2=E$1:E5781))))))</f>
        <v> </v>
      </c>
      <c r="K5782" s="26" t="str">
        <f>IF(OR(E5782="",E5782="!!!",F5782="NEW"),"",INDEX(J$1:J5781,SUMPRODUCT(MAX(ROW(E$1:E5781)*(E5782=E$1:E5781)))))</f>
        <v> </v>
      </c>
      <c r="L5782" s="27"/>
    </row>
    <row r="5783" spans="1:12">
      <c r="A5783" s="20" t="s">
        <v>1903</v>
      </c>
      <c r="E5783" s="22">
        <f>IF(D5783="?OLD","!!!","")</f>
        <v/>
      </c>
      <c r="F5783" s="23" t="str">
        <f>IF(OR(E5783="",E5783="!!!"),"",IF(NOT(ISNA(VLOOKUP(E5783,E$1:E5782,1,FALSE()))),"OLD",IF(AND(E5783&lt;&gt;"",E5783&lt;&gt;"!!!"),"NEW","")))</f>
        <v> </v>
      </c>
      <c r="G5783" s="24" t="str">
        <f>IF(OR(E5783="",E5783="!!!"),"",IF(OR(J5783=0,AND(J5783=1,K5783=1),AND(J5783=1,I5783="SBJ"),AND(J5783=1,I5783=0)),"?IN_FOCUS",IF(J5783&lt;=2,"?ACTIVATED",IF(J5783&lt;&gt;"","?FAMILIAR",IF(F5783="NEW",IF(ISNA(VLOOKUP(E5783,#REF!,1,FALSE())),"?TYPE_IDENTIFIABLE","?REFERENTIAL"),"_")))))</f>
        <v> </v>
      </c>
      <c r="H5783" s="25" t="str">
        <f>IF(J5783&lt;&gt;1,"",IF(I5783="SBJ","CB","?"))</f>
        <v> </v>
      </c>
      <c r="I5783" s="26" t="str">
        <f>IF(OR(E5783="",E5783="!!!",F5783="NEW"),"",INDEX(B5782:B$2,-1+SUMPRODUCT(MAX(ROW(E5782:E$2)*(E5783=E5782:E$2)))))</f>
        <v> </v>
      </c>
      <c r="J5783" s="26" t="str">
        <f>IF(OR(E5783="",E5783="!!!",F5783="NEW"),"",COUNTBLANK(OFFSET(A$1,,,SUMPRODUCT(MAX(ROW(E$2:E5783)*(E5783=E$2:E5783)))))-COUNTBLANK(OFFSET(A$1,,,SUMPRODUCT(MAX(ROW(E$1:E5782)*(E2=E$1:E5782))))))</f>
        <v> </v>
      </c>
      <c r="K5783" s="26" t="str">
        <f>IF(OR(E5783="",E5783="!!!",F5783="NEW"),"",INDEX(J$1:J5782,SUMPRODUCT(MAX(ROW(E$1:E5782)*(E5783=E$1:E5782)))))</f>
        <v> </v>
      </c>
      <c r="L5783" s="27"/>
    </row>
    <row r="5784" spans="1:12">
      <c r="A5784" s="20" t="s">
        <v>1037</v>
      </c>
      <c r="E5784" s="22">
        <f>IF(D5784="?OLD","!!!","")</f>
        <v/>
      </c>
      <c r="F5784" s="23" t="str">
        <f>IF(OR(E5784="",E5784="!!!"),"",IF(NOT(ISNA(VLOOKUP(E5784,E$1:E5783,1,FALSE()))),"OLD",IF(AND(E5784&lt;&gt;"",E5784&lt;&gt;"!!!"),"NEW","")))</f>
        <v> </v>
      </c>
      <c r="G5784" s="24" t="str">
        <f>IF(OR(E5784="",E5784="!!!"),"",IF(OR(J5784=0,AND(J5784=1,K5784=1),AND(J5784=1,I5784="SBJ"),AND(J5784=1,I5784=0)),"?IN_FOCUS",IF(J5784&lt;=2,"?ACTIVATED",IF(J5784&lt;&gt;"","?FAMILIAR",IF(F5784="NEW",IF(ISNA(VLOOKUP(E5784,#REF!,1,FALSE())),"?TYPE_IDENTIFIABLE","?REFERENTIAL"),"_")))))</f>
        <v> </v>
      </c>
      <c r="H5784" s="25" t="str">
        <f>IF(J5784&lt;&gt;1,"",IF(I5784="SBJ","CB","?"))</f>
        <v> </v>
      </c>
      <c r="I5784" s="26" t="str">
        <f>IF(OR(E5784="",E5784="!!!",F5784="NEW"),"",INDEX(B5783:B$2,-1+SUMPRODUCT(MAX(ROW(E5783:E$2)*(E5784=E5783:E$2)))))</f>
        <v> </v>
      </c>
      <c r="J5784" s="26" t="str">
        <f>IF(OR(E5784="",E5784="!!!",F5784="NEW"),"",COUNTBLANK(OFFSET(A$1,,,SUMPRODUCT(MAX(ROW(E$2:E5784)*(E5784=E$2:E5784)))))-COUNTBLANK(OFFSET(A$1,,,SUMPRODUCT(MAX(ROW(E$1:E5783)*(E2=E$1:E5783))))))</f>
        <v> </v>
      </c>
      <c r="K5784" s="26" t="str">
        <f>IF(OR(E5784="",E5784="!!!",F5784="NEW"),"",INDEX(J$1:J5783,SUMPRODUCT(MAX(ROW(E$1:E5783)*(E5784=E$1:E5783)))))</f>
        <v> </v>
      </c>
      <c r="L5784" s="27"/>
    </row>
    <row r="5785" spans="1:12">
      <c r="A5785" s="20" t="s">
        <v>2476</v>
      </c>
      <c r="B5785" s="21" t="s">
        <v>1027</v>
      </c>
      <c r="C5785" s="21" t="s">
        <v>1034</v>
      </c>
      <c r="D5785" s="21" t="s">
        <v>997</v>
      </c>
      <c r="E5785" s="22">
        <f>IF(D5785="?OLD","!!!","")</f>
        <v/>
      </c>
      <c r="F5785" s="23" t="str">
        <f>IF(OR(E5785="",E5785="!!!"),"",IF(NOT(ISNA(VLOOKUP(E5785,E$1:E5784,1,FALSE()))),"OLD",IF(AND(E5785&lt;&gt;"",E5785&lt;&gt;"!!!"),"NEW","")))</f>
        <v> </v>
      </c>
      <c r="G5785" s="24" t="str">
        <f>IF(OR(E5785="",E5785="!!!"),"",IF(OR(J5785=0,AND(J5785=1,K5785=1),AND(J5785=1,I5785="SBJ"),AND(J5785=1,I5785=0)),"?IN_FOCUS",IF(J5785&lt;=2,"?ACTIVATED",IF(J5785&lt;&gt;"","?FAMILIAR",IF(F5785="NEW",IF(ISNA(VLOOKUP(E5785,#REF!,1,FALSE())),"?TYPE_IDENTIFIABLE","?REFERENTIAL"),"_")))))</f>
        <v> </v>
      </c>
      <c r="H5785" s="25" t="str">
        <f>IF(J5785&lt;&gt;1,"",IF(I5785="SBJ","CB","?"))</f>
        <v> </v>
      </c>
      <c r="I5785" s="26" t="str">
        <f>IF(OR(E5785="",E5785="!!!",F5785="NEW"),"",INDEX(B5784:B$2,-1+SUMPRODUCT(MAX(ROW(E5784:E$2)*(E5785=E5784:E$2)))))</f>
        <v> </v>
      </c>
      <c r="J5785" s="26" t="str">
        <f>IF(OR(E5785="",E5785="!!!",F5785="NEW"),"",COUNTBLANK(OFFSET(A$1,,,SUMPRODUCT(MAX(ROW(E$2:E5785)*(E5785=E$2:E5785)))))-COUNTBLANK(OFFSET(A$1,,,SUMPRODUCT(MAX(ROW(E$1:E5784)*(E2=E$1:E5784))))))</f>
        <v> </v>
      </c>
      <c r="K5785" s="26" t="str">
        <f>IF(OR(E5785="",E5785="!!!",F5785="NEW"),"",INDEX(J$1:J5784,SUMPRODUCT(MAX(ROW(E$1:E5784)*(E5785=E$1:E5784)))))</f>
        <v> </v>
      </c>
      <c r="L5785" s="27"/>
    </row>
    <row r="5786" spans="1:12">
      <c r="A5786" s="20" t="s">
        <v>1062</v>
      </c>
      <c r="E5786" s="22">
        <f>IF(D5786="?OLD","!!!","")</f>
        <v/>
      </c>
      <c r="F5786" s="23" t="str">
        <f>IF(OR(E5786="",E5786="!!!"),"",IF(NOT(ISNA(VLOOKUP(E5786,E$1:E5785,1,FALSE()))),"OLD",IF(AND(E5786&lt;&gt;"",E5786&lt;&gt;"!!!"),"NEW","")))</f>
        <v> </v>
      </c>
      <c r="G5786" s="24" t="str">
        <f>IF(OR(E5786="",E5786="!!!"),"",IF(OR(J5786=0,AND(J5786=1,K5786=1),AND(J5786=1,I5786="SBJ"),AND(J5786=1,I5786=0)),"?IN_FOCUS",IF(J5786&lt;=2,"?ACTIVATED",IF(J5786&lt;&gt;"","?FAMILIAR",IF(F5786="NEW",IF(ISNA(VLOOKUP(E5786,#REF!,1,FALSE())),"?TYPE_IDENTIFIABLE","?REFERENTIAL"),"_")))))</f>
        <v> </v>
      </c>
      <c r="H5786" s="25" t="str">
        <f>IF(J5786&lt;&gt;1,"",IF(I5786="SBJ","CB","?"))</f>
        <v> </v>
      </c>
      <c r="I5786" s="26" t="str">
        <f>IF(OR(E5786="",E5786="!!!",F5786="NEW"),"",INDEX(B5785:B$2,-1+SUMPRODUCT(MAX(ROW(E5785:E$2)*(E5786=E5785:E$2)))))</f>
        <v> </v>
      </c>
      <c r="J5786" s="26" t="str">
        <f>IF(OR(E5786="",E5786="!!!",F5786="NEW"),"",COUNTBLANK(OFFSET(A$1,,,SUMPRODUCT(MAX(ROW(E$2:E5786)*(E5786=E$2:E5786)))))-COUNTBLANK(OFFSET(A$1,,,SUMPRODUCT(MAX(ROW(E$1:E5785)*(E2=E$1:E5785))))))</f>
        <v> </v>
      </c>
      <c r="K5786" s="26" t="str">
        <f>IF(OR(E5786="",E5786="!!!",F5786="NEW"),"",INDEX(J$1:J5785,SUMPRODUCT(MAX(ROW(E$1:E5785)*(E5786=E$1:E5785)))))</f>
        <v> </v>
      </c>
      <c r="L5786" s="27"/>
    </row>
    <row r="5787" spans="1:12">
      <c r="A5787" s="20" t="s">
        <v>1266</v>
      </c>
      <c r="E5787" s="22">
        <f>IF(D5787="?OLD","!!!","")</f>
        <v/>
      </c>
      <c r="F5787" s="23" t="str">
        <f>IF(OR(E5787="",E5787="!!!"),"",IF(NOT(ISNA(VLOOKUP(E5787,E$1:E5786,1,FALSE()))),"OLD",IF(AND(E5787&lt;&gt;"",E5787&lt;&gt;"!!!"),"NEW","")))</f>
        <v> </v>
      </c>
      <c r="G5787" s="24" t="str">
        <f>IF(OR(E5787="",E5787="!!!"),"",IF(OR(J5787=0,AND(J5787=1,K5787=1),AND(J5787=1,I5787="SBJ"),AND(J5787=1,I5787=0)),"?IN_FOCUS",IF(J5787&lt;=2,"?ACTIVATED",IF(J5787&lt;&gt;"","?FAMILIAR",IF(F5787="NEW",IF(ISNA(VLOOKUP(E5787,#REF!,1,FALSE())),"?TYPE_IDENTIFIABLE","?REFERENTIAL"),"_")))))</f>
        <v> </v>
      </c>
      <c r="H5787" s="25" t="str">
        <f>IF(J5787&lt;&gt;1,"",IF(I5787="SBJ","CB","?"))</f>
        <v> </v>
      </c>
      <c r="I5787" s="26" t="str">
        <f>IF(OR(E5787="",E5787="!!!",F5787="NEW"),"",INDEX(B5786:B$2,-1+SUMPRODUCT(MAX(ROW(E5786:E$2)*(E5787=E5786:E$2)))))</f>
        <v> </v>
      </c>
      <c r="J5787" s="26" t="str">
        <f>IF(OR(E5787="",E5787="!!!",F5787="NEW"),"",COUNTBLANK(OFFSET(A$1,,,SUMPRODUCT(MAX(ROW(E$2:E5787)*(E5787=E$2:E5787)))))-COUNTBLANK(OFFSET(A$1,,,SUMPRODUCT(MAX(ROW(E$1:E5786)*(E2=E$1:E5786))))))</f>
        <v> </v>
      </c>
      <c r="K5787" s="26" t="str">
        <f>IF(OR(E5787="",E5787="!!!",F5787="NEW"),"",INDEX(J$1:J5786,SUMPRODUCT(MAX(ROW(E$1:E5786)*(E5787=E$1:E5786)))))</f>
        <v> </v>
      </c>
      <c r="L5787" s="27"/>
    </row>
    <row r="5788" spans="1:12">
      <c r="A5788" s="20" t="s">
        <v>1062</v>
      </c>
      <c r="E5788" s="22">
        <f>IF(D5788="?OLD","!!!","")</f>
        <v/>
      </c>
      <c r="F5788" s="23" t="str">
        <f>IF(OR(E5788="",E5788="!!!"),"",IF(NOT(ISNA(VLOOKUP(E5788,E$1:E5787,1,FALSE()))),"OLD",IF(AND(E5788&lt;&gt;"",E5788&lt;&gt;"!!!"),"NEW","")))</f>
        <v> </v>
      </c>
      <c r="G5788" s="24" t="str">
        <f>IF(OR(E5788="",E5788="!!!"),"",IF(OR(J5788=0,AND(J5788=1,K5788=1),AND(J5788=1,I5788="SBJ"),AND(J5788=1,I5788=0)),"?IN_FOCUS",IF(J5788&lt;=2,"?ACTIVATED",IF(J5788&lt;&gt;"","?FAMILIAR",IF(F5788="NEW",IF(ISNA(VLOOKUP(E5788,#REF!,1,FALSE())),"?TYPE_IDENTIFIABLE","?REFERENTIAL"),"_")))))</f>
        <v> </v>
      </c>
      <c r="H5788" s="25" t="str">
        <f>IF(J5788&lt;&gt;1,"",IF(I5788="SBJ","CB","?"))</f>
        <v> </v>
      </c>
      <c r="I5788" s="26" t="str">
        <f>IF(OR(E5788="",E5788="!!!",F5788="NEW"),"",INDEX(B5787:B$2,-1+SUMPRODUCT(MAX(ROW(E5787:E$2)*(E5788=E5787:E$2)))))</f>
        <v> </v>
      </c>
      <c r="J5788" s="26" t="str">
        <f>IF(OR(E5788="",E5788="!!!",F5788="NEW"),"",COUNTBLANK(OFFSET(A$1,,,SUMPRODUCT(MAX(ROW(E$2:E5788)*(E5788=E$2:E5788)))))-COUNTBLANK(OFFSET(A$1,,,SUMPRODUCT(MAX(ROW(E$1:E5787)*(E2=E$1:E5787))))))</f>
        <v> </v>
      </c>
      <c r="K5788" s="26" t="str">
        <f>IF(OR(E5788="",E5788="!!!",F5788="NEW"),"",INDEX(J$1:J5787,SUMPRODUCT(MAX(ROW(E$1:E5787)*(E5788=E$1:E5787)))))</f>
        <v> </v>
      </c>
      <c r="L5788" s="27"/>
    </row>
    <row r="5789" spans="1:12">
      <c r="A5789" s="20" t="s">
        <v>1137</v>
      </c>
      <c r="E5789" s="22">
        <f>IF(D5789="?OLD","!!!","")</f>
        <v/>
      </c>
      <c r="F5789" s="23" t="str">
        <f>IF(OR(E5789="",E5789="!!!"),"",IF(NOT(ISNA(VLOOKUP(E5789,E$1:E5788,1,FALSE()))),"OLD",IF(AND(E5789&lt;&gt;"",E5789&lt;&gt;"!!!"),"NEW","")))</f>
        <v> </v>
      </c>
      <c r="G5789" s="24" t="str">
        <f>IF(OR(E5789="",E5789="!!!"),"",IF(OR(J5789=0,AND(J5789=1,K5789=1),AND(J5789=1,I5789="SBJ"),AND(J5789=1,I5789=0)),"?IN_FOCUS",IF(J5789&lt;=2,"?ACTIVATED",IF(J5789&lt;&gt;"","?FAMILIAR",IF(F5789="NEW",IF(ISNA(VLOOKUP(E5789,#REF!,1,FALSE())),"?TYPE_IDENTIFIABLE","?REFERENTIAL"),"_")))))</f>
        <v> </v>
      </c>
      <c r="H5789" s="25" t="str">
        <f>IF(J5789&lt;&gt;1,"",IF(I5789="SBJ","CB","?"))</f>
        <v> </v>
      </c>
      <c r="I5789" s="26" t="str">
        <f>IF(OR(E5789="",E5789="!!!",F5789="NEW"),"",INDEX(B5788:B$2,-1+SUMPRODUCT(MAX(ROW(E5788:E$2)*(E5789=E5788:E$2)))))</f>
        <v> </v>
      </c>
      <c r="J5789" s="26" t="str">
        <f>IF(OR(E5789="",E5789="!!!",F5789="NEW"),"",COUNTBLANK(OFFSET(A$1,,,SUMPRODUCT(MAX(ROW(E$2:E5789)*(E5789=E$2:E5789)))))-COUNTBLANK(OFFSET(A$1,,,SUMPRODUCT(MAX(ROW(E$1:E5788)*(E2=E$1:E5788))))))</f>
        <v> </v>
      </c>
      <c r="K5789" s="26" t="str">
        <f>IF(OR(E5789="",E5789="!!!",F5789="NEW"),"",INDEX(J$1:J5788,SUMPRODUCT(MAX(ROW(E$1:E5788)*(E5789=E$1:E5788)))))</f>
        <v> </v>
      </c>
      <c r="L5789" s="27"/>
    </row>
    <row r="5790" spans="1:12">
      <c r="A5790" s="20" t="s">
        <v>1019</v>
      </c>
      <c r="E5790" s="22">
        <f>IF(D5790="?OLD","!!!","")</f>
        <v/>
      </c>
      <c r="F5790" s="23" t="str">
        <f>IF(OR(E5790="",E5790="!!!"),"",IF(NOT(ISNA(VLOOKUP(E5790,E$1:E5789,1,FALSE()))),"OLD",IF(AND(E5790&lt;&gt;"",E5790&lt;&gt;"!!!"),"NEW","")))</f>
        <v> </v>
      </c>
      <c r="G5790" s="24" t="str">
        <f>IF(OR(E5790="",E5790="!!!"),"",IF(OR(J5790=0,AND(J5790=1,K5790=1),AND(J5790=1,I5790="SBJ"),AND(J5790=1,I5790=0)),"?IN_FOCUS",IF(J5790&lt;=2,"?ACTIVATED",IF(J5790&lt;&gt;"","?FAMILIAR",IF(F5790="NEW",IF(ISNA(VLOOKUP(E5790,#REF!,1,FALSE())),"?TYPE_IDENTIFIABLE","?REFERENTIAL"),"_")))))</f>
        <v> </v>
      </c>
      <c r="H5790" s="25" t="str">
        <f>IF(J5790&lt;&gt;1,"",IF(I5790="SBJ","CB","?"))</f>
        <v> </v>
      </c>
      <c r="I5790" s="26" t="str">
        <f>IF(OR(E5790="",E5790="!!!",F5790="NEW"),"",INDEX(B5789:B$2,-1+SUMPRODUCT(MAX(ROW(E5789:E$2)*(E5790=E5789:E$2)))))</f>
        <v> </v>
      </c>
      <c r="J5790" s="26" t="str">
        <f>IF(OR(E5790="",E5790="!!!",F5790="NEW"),"",COUNTBLANK(OFFSET(A$1,,,SUMPRODUCT(MAX(ROW(E$2:E5790)*(E5790=E$2:E5790)))))-COUNTBLANK(OFFSET(A$1,,,SUMPRODUCT(MAX(ROW(E$1:E5789)*(E2=E$1:E5789))))))</f>
        <v> </v>
      </c>
      <c r="K5790" s="26" t="str">
        <f>IF(OR(E5790="",E5790="!!!",F5790="NEW"),"",INDEX(J$1:J5789,SUMPRODUCT(MAX(ROW(E$1:E5789)*(E5790=E$1:E5789)))))</f>
        <v> </v>
      </c>
      <c r="L5790" s="27"/>
    </row>
    <row r="5791" spans="1:12">
      <c r="A5791" s="20" t="s">
        <v>1565</v>
      </c>
      <c r="E5791" s="22">
        <f>IF(D5791="?OLD","!!!","")</f>
        <v/>
      </c>
      <c r="F5791" s="23" t="str">
        <f>IF(OR(E5791="",E5791="!!!"),"",IF(NOT(ISNA(VLOOKUP(E5791,E$1:E5790,1,FALSE()))),"OLD",IF(AND(E5791&lt;&gt;"",E5791&lt;&gt;"!!!"),"NEW","")))</f>
        <v> </v>
      </c>
      <c r="G5791" s="24" t="str">
        <f>IF(OR(E5791="",E5791="!!!"),"",IF(OR(J5791=0,AND(J5791=1,K5791=1),AND(J5791=1,I5791="SBJ"),AND(J5791=1,I5791=0)),"?IN_FOCUS",IF(J5791&lt;=2,"?ACTIVATED",IF(J5791&lt;&gt;"","?FAMILIAR",IF(F5791="NEW",IF(ISNA(VLOOKUP(E5791,#REF!,1,FALSE())),"?TYPE_IDENTIFIABLE","?REFERENTIAL"),"_")))))</f>
        <v> </v>
      </c>
      <c r="H5791" s="25" t="str">
        <f>IF(J5791&lt;&gt;1,"",IF(I5791="SBJ","CB","?"))</f>
        <v> </v>
      </c>
      <c r="I5791" s="26" t="str">
        <f>IF(OR(E5791="",E5791="!!!",F5791="NEW"),"",INDEX(B5790:B$2,-1+SUMPRODUCT(MAX(ROW(E5790:E$2)*(E5791=E5790:E$2)))))</f>
        <v> </v>
      </c>
      <c r="J5791" s="26" t="str">
        <f>IF(OR(E5791="",E5791="!!!",F5791="NEW"),"",COUNTBLANK(OFFSET(A$1,,,SUMPRODUCT(MAX(ROW(E$2:E5791)*(E5791=E$2:E5791)))))-COUNTBLANK(OFFSET(A$1,,,SUMPRODUCT(MAX(ROW(E$1:E5790)*(E2=E$1:E5790))))))</f>
        <v> </v>
      </c>
      <c r="K5791" s="26" t="str">
        <f>IF(OR(E5791="",E5791="!!!",F5791="NEW"),"",INDEX(J$1:J5790,SUMPRODUCT(MAX(ROW(E$1:E5790)*(E5791=E$1:E5790)))))</f>
        <v> </v>
      </c>
      <c r="L5791" s="27"/>
    </row>
    <row r="5792" spans="1:12">
      <c r="A5792" s="20" t="s">
        <v>1011</v>
      </c>
      <c r="E5792" s="22">
        <f>IF(D5792="?OLD","!!!","")</f>
        <v/>
      </c>
      <c r="F5792" s="23" t="str">
        <f>IF(OR(E5792="",E5792="!!!"),"",IF(NOT(ISNA(VLOOKUP(E5792,E$1:E5791,1,FALSE()))),"OLD",IF(AND(E5792&lt;&gt;"",E5792&lt;&gt;"!!!"),"NEW","")))</f>
        <v> </v>
      </c>
      <c r="G5792" s="24" t="str">
        <f>IF(OR(E5792="",E5792="!!!"),"",IF(OR(J5792=0,AND(J5792=1,K5792=1),AND(J5792=1,I5792="SBJ"),AND(J5792=1,I5792=0)),"?IN_FOCUS",IF(J5792&lt;=2,"?ACTIVATED",IF(J5792&lt;&gt;"","?FAMILIAR",IF(F5792="NEW",IF(ISNA(VLOOKUP(E5792,#REF!,1,FALSE())),"?TYPE_IDENTIFIABLE","?REFERENTIAL"),"_")))))</f>
        <v> </v>
      </c>
      <c r="H5792" s="25" t="str">
        <f>IF(J5792&lt;&gt;1,"",IF(I5792="SBJ","CB","?"))</f>
        <v> </v>
      </c>
      <c r="I5792" s="26" t="str">
        <f>IF(OR(E5792="",E5792="!!!",F5792="NEW"),"",INDEX(B5791:B$2,-1+SUMPRODUCT(MAX(ROW(E5791:E$2)*(E5792=E5791:E$2)))))</f>
        <v> </v>
      </c>
      <c r="J5792" s="26" t="str">
        <f>IF(OR(E5792="",E5792="!!!",F5792="NEW"),"",COUNTBLANK(OFFSET(A$1,,,SUMPRODUCT(MAX(ROW(E$2:E5792)*(E5792=E$2:E5792)))))-COUNTBLANK(OFFSET(A$1,,,SUMPRODUCT(MAX(ROW(E$1:E5791)*(E2=E$1:E5791))))))</f>
        <v> </v>
      </c>
      <c r="K5792" s="26" t="str">
        <f>IF(OR(E5792="",E5792="!!!",F5792="NEW"),"",INDEX(J$1:J5791,SUMPRODUCT(MAX(ROW(E$1:E5791)*(E5792=E$1:E5791)))))</f>
        <v> </v>
      </c>
      <c r="L5792" s="27"/>
    </row>
    <row r="5793" spans="1:12">
      <c r="A5793" s="20"/>
    </row>
    <row r="5794" spans="1:12">
      <c r="A5794" s="20" t="s">
        <v>2477</v>
      </c>
    </row>
    <row r="5795" spans="1:12">
      <c r="A5795" s="20" t="s">
        <v>2478</v>
      </c>
      <c r="E5795" s="22">
        <f>IF(D5795="?OLD","!!!","")</f>
        <v/>
      </c>
      <c r="F5795" s="23" t="str">
        <f>IF(OR(E5795="",E5795="!!!"),"",IF(NOT(ISNA(VLOOKUP(E5795,E$1:E5794,1,FALSE()))),"OLD",IF(AND(E5795&lt;&gt;"",E5795&lt;&gt;"!!!"),"NEW","")))</f>
        <v> </v>
      </c>
      <c r="G5795" s="24" t="str">
        <f>IF(OR(E5795="",E5795="!!!"),"",IF(OR(J5795=0,AND(J5795=1,K5795=1),AND(J5795=1,I5795="SBJ"),AND(J5795=1,I5795=0)),"?IN_FOCUS",IF(J5795&lt;=2,"?ACTIVATED",IF(J5795&lt;&gt;"","?FAMILIAR",IF(F5795="NEW",IF(ISNA(VLOOKUP(E5795,#REF!,1,FALSE())),"?TYPE_IDENTIFIABLE","?REFERENTIAL"),"_")))))</f>
        <v> </v>
      </c>
      <c r="H5795" s="25" t="str">
        <f>IF(J5795&lt;&gt;1,"",IF(I5795="SBJ","CB","?"))</f>
        <v> </v>
      </c>
      <c r="I5795" s="26" t="str">
        <f>IF(OR(E5795="",E5795="!!!",F5795="NEW"),"",INDEX(B5794:B$2,-1+SUMPRODUCT(MAX(ROW(E5794:E$2)*(E5795=E5794:E$2)))))</f>
        <v> </v>
      </c>
      <c r="J5795" s="26" t="str">
        <f>IF(OR(E5795="",E5795="!!!",F5795="NEW"),"",COUNTBLANK(OFFSET(A$1,,,SUMPRODUCT(MAX(ROW(E$2:E5795)*(E5795=E$2:E5795)))))-COUNTBLANK(OFFSET(A$1,,,SUMPRODUCT(MAX(ROW(E$1:E5794)*(E2=E$1:E5794))))))</f>
        <v> </v>
      </c>
      <c r="K5795" s="26" t="str">
        <f>IF(OR(E5795="",E5795="!!!",F5795="NEW"),"",INDEX(J$1:J5794,SUMPRODUCT(MAX(ROW(E$1:E5794)*(E5795=E$1:E5794)))))</f>
        <v> </v>
      </c>
      <c r="L5795" s="27"/>
    </row>
    <row r="5796" spans="1:12">
      <c r="A5796" s="20" t="s">
        <v>2479</v>
      </c>
      <c r="B5796" s="21" t="s">
        <v>995</v>
      </c>
      <c r="C5796" s="21" t="s">
        <v>996</v>
      </c>
      <c r="D5796" s="21" t="s">
        <v>997</v>
      </c>
      <c r="E5796" s="22">
        <f>IF(D5796="?OLD","!!!","")</f>
        <v/>
      </c>
      <c r="F5796" s="23" t="str">
        <f>IF(OR(E5796="",E5796="!!!"),"",IF(NOT(ISNA(VLOOKUP(E5796,E$1:E5795,1,FALSE()))),"OLD",IF(AND(E5796&lt;&gt;"",E5796&lt;&gt;"!!!"),"NEW","")))</f>
        <v> </v>
      </c>
      <c r="G5796" s="24" t="str">
        <f>IF(OR(E5796="",E5796="!!!"),"",IF(OR(J5796=0,AND(J5796=1,K5796=1),AND(J5796=1,I5796="SBJ"),AND(J5796=1,I5796=0)),"?IN_FOCUS",IF(J5796&lt;=2,"?ACTIVATED",IF(J5796&lt;&gt;"","?FAMILIAR",IF(F5796="NEW",IF(ISNA(VLOOKUP(E5796,#REF!,1,FALSE())),"?TYPE_IDENTIFIABLE","?REFERENTIAL"),"_")))))</f>
        <v> </v>
      </c>
      <c r="H5796" s="25" t="str">
        <f>IF(J5796&lt;&gt;1,"",IF(I5796="SBJ","CB","?"))</f>
        <v> </v>
      </c>
      <c r="I5796" s="26" t="str">
        <f>IF(OR(E5796="",E5796="!!!",F5796="NEW"),"",INDEX(B5795:B$2,-1+SUMPRODUCT(MAX(ROW(E5795:E$2)*(E5796=E5795:E$2)))))</f>
        <v> </v>
      </c>
      <c r="J5796" s="26" t="str">
        <f>IF(OR(E5796="",E5796="!!!",F5796="NEW"),"",COUNTBLANK(OFFSET(A$1,,,SUMPRODUCT(MAX(ROW(E$2:E5796)*(E5796=E$2:E5796)))))-COUNTBLANK(OFFSET(A$1,,,SUMPRODUCT(MAX(ROW(E$1:E5795)*(E2=E$1:E5795))))))</f>
        <v> </v>
      </c>
      <c r="K5796" s="26" t="str">
        <f>IF(OR(E5796="",E5796="!!!",F5796="NEW"),"",INDEX(J$1:J5795,SUMPRODUCT(MAX(ROW(E$1:E5795)*(E5796=E$1:E5795)))))</f>
        <v> </v>
      </c>
      <c r="L5796" s="27"/>
    </row>
    <row r="5797" spans="1:12">
      <c r="A5797" s="20" t="s">
        <v>1082</v>
      </c>
      <c r="E5797" s="22">
        <f>IF(D5797="?OLD","!!!","")</f>
        <v/>
      </c>
      <c r="F5797" s="23" t="str">
        <f>IF(OR(E5797="",E5797="!!!"),"",IF(NOT(ISNA(VLOOKUP(E5797,E$1:E5796,1,FALSE()))),"OLD",IF(AND(E5797&lt;&gt;"",E5797&lt;&gt;"!!!"),"NEW","")))</f>
        <v> </v>
      </c>
      <c r="G5797" s="24" t="str">
        <f>IF(OR(E5797="",E5797="!!!"),"",IF(OR(J5797=0,AND(J5797=1,K5797=1),AND(J5797=1,I5797="SBJ"),AND(J5797=1,I5797=0)),"?IN_FOCUS",IF(J5797&lt;=2,"?ACTIVATED",IF(J5797&lt;&gt;"","?FAMILIAR",IF(F5797="NEW",IF(ISNA(VLOOKUP(E5797,#REF!,1,FALSE())),"?TYPE_IDENTIFIABLE","?REFERENTIAL"),"_")))))</f>
        <v> </v>
      </c>
      <c r="H5797" s="25" t="str">
        <f>IF(J5797&lt;&gt;1,"",IF(I5797="SBJ","CB","?"))</f>
        <v> </v>
      </c>
      <c r="I5797" s="26" t="str">
        <f>IF(OR(E5797="",E5797="!!!",F5797="NEW"),"",INDEX(B5796:B$2,-1+SUMPRODUCT(MAX(ROW(E5796:E$2)*(E5797=E5796:E$2)))))</f>
        <v> </v>
      </c>
      <c r="J5797" s="26" t="str">
        <f>IF(OR(E5797="",E5797="!!!",F5797="NEW"),"",COUNTBLANK(OFFSET(A$1,,,SUMPRODUCT(MAX(ROW(E$2:E5797)*(E5797=E$2:E5797)))))-COUNTBLANK(OFFSET(A$1,,,SUMPRODUCT(MAX(ROW(E$1:E5796)*(E2=E$1:E5796))))))</f>
        <v> </v>
      </c>
      <c r="K5797" s="26" t="str">
        <f>IF(OR(E5797="",E5797="!!!",F5797="NEW"),"",INDEX(J$1:J5796,SUMPRODUCT(MAX(ROW(E$1:E5796)*(E5797=E$1:E5796)))))</f>
        <v> </v>
      </c>
      <c r="L5797" s="27"/>
    </row>
    <row r="5798" spans="1:12">
      <c r="A5798" s="20" t="s">
        <v>1083</v>
      </c>
      <c r="E5798" s="22">
        <f>IF(D5798="?OLD","!!!","")</f>
        <v/>
      </c>
      <c r="F5798" s="23" t="str">
        <f>IF(OR(E5798="",E5798="!!!"),"",IF(NOT(ISNA(VLOOKUP(E5798,E$1:E5797,1,FALSE()))),"OLD",IF(AND(E5798&lt;&gt;"",E5798&lt;&gt;"!!!"),"NEW","")))</f>
        <v> </v>
      </c>
      <c r="G5798" s="24" t="str">
        <f>IF(OR(E5798="",E5798="!!!"),"",IF(OR(J5798=0,AND(J5798=1,K5798=1),AND(J5798=1,I5798="SBJ"),AND(J5798=1,I5798=0)),"?IN_FOCUS",IF(J5798&lt;=2,"?ACTIVATED",IF(J5798&lt;&gt;"","?FAMILIAR",IF(F5798="NEW",IF(ISNA(VLOOKUP(E5798,#REF!,1,FALSE())),"?TYPE_IDENTIFIABLE","?REFERENTIAL"),"_")))))</f>
        <v> </v>
      </c>
      <c r="H5798" s="25" t="str">
        <f>IF(J5798&lt;&gt;1,"",IF(I5798="SBJ","CB","?"))</f>
        <v> </v>
      </c>
      <c r="I5798" s="26" t="str">
        <f>IF(OR(E5798="",E5798="!!!",F5798="NEW"),"",INDEX(B5797:B$2,-1+SUMPRODUCT(MAX(ROW(E5797:E$2)*(E5798=E5797:E$2)))))</f>
        <v> </v>
      </c>
      <c r="J5798" s="26" t="str">
        <f>IF(OR(E5798="",E5798="!!!",F5798="NEW"),"",COUNTBLANK(OFFSET(A$1,,,SUMPRODUCT(MAX(ROW(E$2:E5798)*(E5798=E$2:E5798)))))-COUNTBLANK(OFFSET(A$1,,,SUMPRODUCT(MAX(ROW(E$1:E5797)*(E2=E$1:E5797))))))</f>
        <v> </v>
      </c>
      <c r="K5798" s="26" t="str">
        <f>IF(OR(E5798="",E5798="!!!",F5798="NEW"),"",INDEX(J$1:J5797,SUMPRODUCT(MAX(ROW(E$1:E5797)*(E5798=E$1:E5797)))))</f>
        <v> </v>
      </c>
      <c r="L5798" s="27"/>
    </row>
    <row r="5799" spans="1:12">
      <c r="A5799" s="20" t="s">
        <v>1084</v>
      </c>
      <c r="E5799" s="22">
        <f>IF(D5799="?OLD","!!!","")</f>
        <v/>
      </c>
      <c r="F5799" s="23" t="str">
        <f>IF(OR(E5799="",E5799="!!!"),"",IF(NOT(ISNA(VLOOKUP(E5799,E$1:E5798,1,FALSE()))),"OLD",IF(AND(E5799&lt;&gt;"",E5799&lt;&gt;"!!!"),"NEW","")))</f>
        <v> </v>
      </c>
      <c r="G5799" s="24" t="str">
        <f>IF(OR(E5799="",E5799="!!!"),"",IF(OR(J5799=0,AND(J5799=1,K5799=1),AND(J5799=1,I5799="SBJ"),AND(J5799=1,I5799=0)),"?IN_FOCUS",IF(J5799&lt;=2,"?ACTIVATED",IF(J5799&lt;&gt;"","?FAMILIAR",IF(F5799="NEW",IF(ISNA(VLOOKUP(E5799,#REF!,1,FALSE())),"?TYPE_IDENTIFIABLE","?REFERENTIAL"),"_")))))</f>
        <v> </v>
      </c>
      <c r="H5799" s="25" t="str">
        <f>IF(J5799&lt;&gt;1,"",IF(I5799="SBJ","CB","?"))</f>
        <v> </v>
      </c>
      <c r="I5799" s="26" t="str">
        <f>IF(OR(E5799="",E5799="!!!",F5799="NEW"),"",INDEX(B5798:B$2,-1+SUMPRODUCT(MAX(ROW(E5798:E$2)*(E5799=E5798:E$2)))))</f>
        <v> </v>
      </c>
      <c r="J5799" s="26" t="str">
        <f>IF(OR(E5799="",E5799="!!!",F5799="NEW"),"",COUNTBLANK(OFFSET(A$1,,,SUMPRODUCT(MAX(ROW(E$2:E5799)*(E5799=E$2:E5799)))))-COUNTBLANK(OFFSET(A$1,,,SUMPRODUCT(MAX(ROW(E$1:E5798)*(E2=E$1:E5798))))))</f>
        <v> </v>
      </c>
      <c r="K5799" s="26" t="str">
        <f>IF(OR(E5799="",E5799="!!!",F5799="NEW"),"",INDEX(J$1:J5798,SUMPRODUCT(MAX(ROW(E$1:E5798)*(E5799=E$1:E5798)))))</f>
        <v> </v>
      </c>
      <c r="L5799" s="27"/>
    </row>
    <row r="5800" spans="1:12">
      <c r="A5800" s="20" t="s">
        <v>1154</v>
      </c>
      <c r="E5800" s="22">
        <f>IF(D5800="?OLD","!!!","")</f>
        <v/>
      </c>
      <c r="F5800" s="23" t="str">
        <f>IF(OR(E5800="",E5800="!!!"),"",IF(NOT(ISNA(VLOOKUP(E5800,E$1:E5799,1,FALSE()))),"OLD",IF(AND(E5800&lt;&gt;"",E5800&lt;&gt;"!!!"),"NEW","")))</f>
        <v> </v>
      </c>
      <c r="G5800" s="24" t="str">
        <f>IF(OR(E5800="",E5800="!!!"),"",IF(OR(J5800=0,AND(J5800=1,K5800=1),AND(J5800=1,I5800="SBJ"),AND(J5800=1,I5800=0)),"?IN_FOCUS",IF(J5800&lt;=2,"?ACTIVATED",IF(J5800&lt;&gt;"","?FAMILIAR",IF(F5800="NEW",IF(ISNA(VLOOKUP(E5800,#REF!,1,FALSE())),"?TYPE_IDENTIFIABLE","?REFERENTIAL"),"_")))))</f>
        <v> </v>
      </c>
      <c r="H5800" s="25" t="str">
        <f>IF(J5800&lt;&gt;1,"",IF(I5800="SBJ","CB","?"))</f>
        <v> </v>
      </c>
      <c r="I5800" s="26" t="str">
        <f>IF(OR(E5800="",E5800="!!!",F5800="NEW"),"",INDEX(B5799:B$2,-1+SUMPRODUCT(MAX(ROW(E5799:E$2)*(E5800=E5799:E$2)))))</f>
        <v> </v>
      </c>
      <c r="J5800" s="26" t="str">
        <f>IF(OR(E5800="",E5800="!!!",F5800="NEW"),"",COUNTBLANK(OFFSET(A$1,,,SUMPRODUCT(MAX(ROW(E$2:E5800)*(E5800=E$2:E5800)))))-COUNTBLANK(OFFSET(A$1,,,SUMPRODUCT(MAX(ROW(E$1:E5799)*(E2=E$1:E5799))))))</f>
        <v> </v>
      </c>
      <c r="K5800" s="26" t="str">
        <f>IF(OR(E5800="",E5800="!!!",F5800="NEW"),"",INDEX(J$1:J5799,SUMPRODUCT(MAX(ROW(E$1:E5799)*(E5800=E$1:E5799)))))</f>
        <v> </v>
      </c>
      <c r="L5800" s="27"/>
    </row>
    <row r="5801" spans="1:12">
      <c r="A5801" s="20" t="s">
        <v>1008</v>
      </c>
      <c r="E5801" s="22">
        <f>IF(D5801="?OLD","!!!","")</f>
        <v/>
      </c>
      <c r="F5801" s="23" t="str">
        <f>IF(OR(E5801="",E5801="!!!"),"",IF(NOT(ISNA(VLOOKUP(E5801,E$1:E5800,1,FALSE()))),"OLD",IF(AND(E5801&lt;&gt;"",E5801&lt;&gt;"!!!"),"NEW","")))</f>
        <v> </v>
      </c>
      <c r="G5801" s="24" t="str">
        <f>IF(OR(E5801="",E5801="!!!"),"",IF(OR(J5801=0,AND(J5801=1,K5801=1),AND(J5801=1,I5801="SBJ"),AND(J5801=1,I5801=0)),"?IN_FOCUS",IF(J5801&lt;=2,"?ACTIVATED",IF(J5801&lt;&gt;"","?FAMILIAR",IF(F5801="NEW",IF(ISNA(VLOOKUP(E5801,#REF!,1,FALSE())),"?TYPE_IDENTIFIABLE","?REFERENTIAL"),"_")))))</f>
        <v> </v>
      </c>
      <c r="H5801" s="25" t="str">
        <f>IF(J5801&lt;&gt;1,"",IF(I5801="SBJ","CB","?"))</f>
        <v> </v>
      </c>
      <c r="I5801" s="26" t="str">
        <f>IF(OR(E5801="",E5801="!!!",F5801="NEW"),"",INDEX(B5800:B$2,-1+SUMPRODUCT(MAX(ROW(E5800:E$2)*(E5801=E5800:E$2)))))</f>
        <v> </v>
      </c>
      <c r="J5801" s="26" t="str">
        <f>IF(OR(E5801="",E5801="!!!",F5801="NEW"),"",COUNTBLANK(OFFSET(A$1,,,SUMPRODUCT(MAX(ROW(E$2:E5801)*(E5801=E$2:E5801)))))-COUNTBLANK(OFFSET(A$1,,,SUMPRODUCT(MAX(ROW(E$1:E5800)*(E2=E$1:E5800))))))</f>
        <v> </v>
      </c>
      <c r="K5801" s="26" t="str">
        <f>IF(OR(E5801="",E5801="!!!",F5801="NEW"),"",INDEX(J$1:J5800,SUMPRODUCT(MAX(ROW(E$1:E5800)*(E5801=E$1:E5800)))))</f>
        <v> </v>
      </c>
      <c r="L5801" s="27"/>
    </row>
    <row r="5802" spans="1:12">
      <c r="A5802" s="20" t="s">
        <v>1037</v>
      </c>
      <c r="E5802" s="22">
        <f>IF(D5802="?OLD","!!!","")</f>
        <v/>
      </c>
      <c r="F5802" s="23" t="str">
        <f>IF(OR(E5802="",E5802="!!!"),"",IF(NOT(ISNA(VLOOKUP(E5802,E$1:E5801,1,FALSE()))),"OLD",IF(AND(E5802&lt;&gt;"",E5802&lt;&gt;"!!!"),"NEW","")))</f>
        <v> </v>
      </c>
      <c r="G5802" s="24" t="str">
        <f>IF(OR(E5802="",E5802="!!!"),"",IF(OR(J5802=0,AND(J5802=1,K5802=1),AND(J5802=1,I5802="SBJ"),AND(J5802=1,I5802=0)),"?IN_FOCUS",IF(J5802&lt;=2,"?ACTIVATED",IF(J5802&lt;&gt;"","?FAMILIAR",IF(F5802="NEW",IF(ISNA(VLOOKUP(E5802,#REF!,1,FALSE())),"?TYPE_IDENTIFIABLE","?REFERENTIAL"),"_")))))</f>
        <v> </v>
      </c>
      <c r="H5802" s="25" t="str">
        <f>IF(J5802&lt;&gt;1,"",IF(I5802="SBJ","CB","?"))</f>
        <v> </v>
      </c>
      <c r="I5802" s="26" t="str">
        <f>IF(OR(E5802="",E5802="!!!",F5802="NEW"),"",INDEX(B5801:B$2,-1+SUMPRODUCT(MAX(ROW(E5801:E$2)*(E5802=E5801:E$2)))))</f>
        <v> </v>
      </c>
      <c r="J5802" s="26" t="str">
        <f>IF(OR(E5802="",E5802="!!!",F5802="NEW"),"",COUNTBLANK(OFFSET(A$1,,,SUMPRODUCT(MAX(ROW(E$2:E5802)*(E5802=E$2:E5802)))))-COUNTBLANK(OFFSET(A$1,,,SUMPRODUCT(MAX(ROW(E$1:E5801)*(E2=E$1:E5801))))))</f>
        <v> </v>
      </c>
      <c r="K5802" s="26" t="str">
        <f>IF(OR(E5802="",E5802="!!!",F5802="NEW"),"",INDEX(J$1:J5801,SUMPRODUCT(MAX(ROW(E$1:E5801)*(E5802=E$1:E5801)))))</f>
        <v> </v>
      </c>
      <c r="L5802" s="27"/>
    </row>
    <row r="5803" spans="1:12">
      <c r="A5803" s="20" t="s">
        <v>1216</v>
      </c>
      <c r="B5803" s="21" t="s">
        <v>1005</v>
      </c>
      <c r="C5803" s="21" t="s">
        <v>1034</v>
      </c>
      <c r="D5803" s="21" t="s">
        <v>997</v>
      </c>
      <c r="E5803" s="22">
        <f>IF(D5803="?OLD","!!!","")</f>
        <v/>
      </c>
      <c r="F5803" s="23" t="str">
        <f>IF(OR(E5803="",E5803="!!!"),"",IF(NOT(ISNA(VLOOKUP(E5803,E$1:E5802,1,FALSE()))),"OLD",IF(AND(E5803&lt;&gt;"",E5803&lt;&gt;"!!!"),"NEW","")))</f>
        <v> </v>
      </c>
      <c r="G5803" s="24" t="str">
        <f>IF(OR(E5803="",E5803="!!!"),"",IF(OR(J5803=0,AND(J5803=1,K5803=1),AND(J5803=1,I5803="SBJ"),AND(J5803=1,I5803=0)),"?IN_FOCUS",IF(J5803&lt;=2,"?ACTIVATED",IF(J5803&lt;&gt;"","?FAMILIAR",IF(F5803="NEW",IF(ISNA(VLOOKUP(E5803,#REF!,1,FALSE())),"?TYPE_IDENTIFIABLE","?REFERENTIAL"),"_")))))</f>
        <v> </v>
      </c>
      <c r="H5803" s="25" t="str">
        <f>IF(J5803&lt;&gt;1,"",IF(I5803="SBJ","CB","?"))</f>
        <v> </v>
      </c>
      <c r="I5803" s="26" t="str">
        <f>IF(OR(E5803="",E5803="!!!",F5803="NEW"),"",INDEX(B5802:B$2,-1+SUMPRODUCT(MAX(ROW(E5802:E$2)*(E5803=E5802:E$2)))))</f>
        <v> </v>
      </c>
      <c r="J5803" s="26" t="str">
        <f>IF(OR(E5803="",E5803="!!!",F5803="NEW"),"",COUNTBLANK(OFFSET(A$1,,,SUMPRODUCT(MAX(ROW(E$2:E5803)*(E5803=E$2:E5803)))))-COUNTBLANK(OFFSET(A$1,,,SUMPRODUCT(MAX(ROW(E$1:E5802)*(E2=E$1:E5802))))))</f>
        <v> </v>
      </c>
      <c r="K5803" s="26" t="str">
        <f>IF(OR(E5803="",E5803="!!!",F5803="NEW"),"",INDEX(J$1:J5802,SUMPRODUCT(MAX(ROW(E$1:E5802)*(E5803=E$1:E5802)))))</f>
        <v> </v>
      </c>
      <c r="L5803" s="27"/>
    </row>
    <row r="5804" spans="1:12">
      <c r="A5804" s="20" t="s">
        <v>1008</v>
      </c>
      <c r="E5804" s="22">
        <f>IF(D5804="?OLD","!!!","")</f>
        <v/>
      </c>
      <c r="F5804" s="23" t="str">
        <f>IF(OR(E5804="",E5804="!!!"),"",IF(NOT(ISNA(VLOOKUP(E5804,E$1:E5803,1,FALSE()))),"OLD",IF(AND(E5804&lt;&gt;"",E5804&lt;&gt;"!!!"),"NEW","")))</f>
        <v> </v>
      </c>
      <c r="G5804" s="24" t="str">
        <f>IF(OR(E5804="",E5804="!!!"),"",IF(OR(J5804=0,AND(J5804=1,K5804=1),AND(J5804=1,I5804="SBJ"),AND(J5804=1,I5804=0)),"?IN_FOCUS",IF(J5804&lt;=2,"?ACTIVATED",IF(J5804&lt;&gt;"","?FAMILIAR",IF(F5804="NEW",IF(ISNA(VLOOKUP(E5804,#REF!,1,FALSE())),"?TYPE_IDENTIFIABLE","?REFERENTIAL"),"_")))))</f>
        <v> </v>
      </c>
      <c r="H5804" s="25" t="str">
        <f>IF(J5804&lt;&gt;1,"",IF(I5804="SBJ","CB","?"))</f>
        <v> </v>
      </c>
      <c r="I5804" s="26" t="str">
        <f>IF(OR(E5804="",E5804="!!!",F5804="NEW"),"",INDEX(B5803:B$2,-1+SUMPRODUCT(MAX(ROW(E5803:E$2)*(E5804=E5803:E$2)))))</f>
        <v> </v>
      </c>
      <c r="J5804" s="26" t="str">
        <f>IF(OR(E5804="",E5804="!!!",F5804="NEW"),"",COUNTBLANK(OFFSET(A$1,,,SUMPRODUCT(MAX(ROW(E$2:E5804)*(E5804=E$2:E5804)))))-COUNTBLANK(OFFSET(A$1,,,SUMPRODUCT(MAX(ROW(E$1:E5803)*(E2=E$1:E5803))))))</f>
        <v> </v>
      </c>
      <c r="K5804" s="26" t="str">
        <f>IF(OR(E5804="",E5804="!!!",F5804="NEW"),"",INDEX(J$1:J5803,SUMPRODUCT(MAX(ROW(E$1:E5803)*(E5804=E$1:E5803)))))</f>
        <v> </v>
      </c>
      <c r="L5804" s="27"/>
    </row>
    <row r="5805" spans="1:12">
      <c r="A5805" s="20" t="s">
        <v>2480</v>
      </c>
      <c r="B5805" s="21" t="s">
        <v>1010</v>
      </c>
      <c r="C5805" s="21" t="s">
        <v>1006</v>
      </c>
      <c r="E5805" s="22">
        <f>IF(D5805="?OLD","!!!","")</f>
        <v/>
      </c>
      <c r="F5805" s="23" t="str">
        <f>IF(OR(E5805="",E5805="!!!"),"",IF(NOT(ISNA(VLOOKUP(E5805,E$1:E5804,1,FALSE()))),"OLD",IF(AND(E5805&lt;&gt;"",E5805&lt;&gt;"!!!"),"NEW","")))</f>
        <v> </v>
      </c>
      <c r="G5805" s="24" t="str">
        <f>IF(OR(E5805="",E5805="!!!"),"",IF(OR(J5805=0,AND(J5805=1,K5805=1),AND(J5805=1,I5805="SBJ"),AND(J5805=1,I5805=0)),"?IN_FOCUS",IF(J5805&lt;=2,"?ACTIVATED",IF(J5805&lt;&gt;"","?FAMILIAR",IF(F5805="NEW",IF(ISNA(VLOOKUP(E5805,#REF!,1,FALSE())),"?TYPE_IDENTIFIABLE","?REFERENTIAL"),"_")))))</f>
        <v> </v>
      </c>
      <c r="H5805" s="25" t="str">
        <f>IF(J5805&lt;&gt;1,"",IF(I5805="SBJ","CB","?"))</f>
        <v> </v>
      </c>
      <c r="I5805" s="26" t="str">
        <f>IF(OR(E5805="",E5805="!!!",F5805="NEW"),"",INDEX(B5804:B$2,-1+SUMPRODUCT(MAX(ROW(E5804:E$2)*(E5805=E5804:E$2)))))</f>
        <v> </v>
      </c>
      <c r="J5805" s="26" t="str">
        <f>IF(OR(E5805="",E5805="!!!",F5805="NEW"),"",COUNTBLANK(OFFSET(A$1,,,SUMPRODUCT(MAX(ROW(E$2:E5805)*(E5805=E$2:E5805)))))-COUNTBLANK(OFFSET(A$1,,,SUMPRODUCT(MAX(ROW(E$1:E5804)*(E2=E$1:E5804))))))</f>
        <v> </v>
      </c>
      <c r="K5805" s="26" t="str">
        <f>IF(OR(E5805="",E5805="!!!",F5805="NEW"),"",INDEX(J$1:J5804,SUMPRODUCT(MAX(ROW(E$1:E5804)*(E5805=E$1:E5804)))))</f>
        <v> </v>
      </c>
      <c r="L5805" s="27"/>
    </row>
    <row r="5806" spans="1:12">
      <c r="A5806" s="20" t="s">
        <v>2481</v>
      </c>
      <c r="E5806" s="22">
        <f>IF(D5806="?OLD","!!!","")</f>
        <v/>
      </c>
      <c r="F5806" s="23" t="str">
        <f>IF(OR(E5806="",E5806="!!!"),"",IF(NOT(ISNA(VLOOKUP(E5806,E$1:E5805,1,FALSE()))),"OLD",IF(AND(E5806&lt;&gt;"",E5806&lt;&gt;"!!!"),"NEW","")))</f>
        <v> </v>
      </c>
      <c r="G5806" s="24" t="str">
        <f>IF(OR(E5806="",E5806="!!!"),"",IF(OR(J5806=0,AND(J5806=1,K5806=1),AND(J5806=1,I5806="SBJ"),AND(J5806=1,I5806=0)),"?IN_FOCUS",IF(J5806&lt;=2,"?ACTIVATED",IF(J5806&lt;&gt;"","?FAMILIAR",IF(F5806="NEW",IF(ISNA(VLOOKUP(E5806,#REF!,1,FALSE())),"?TYPE_IDENTIFIABLE","?REFERENTIAL"),"_")))))</f>
        <v> </v>
      </c>
      <c r="H5806" s="25" t="str">
        <f>IF(J5806&lt;&gt;1,"",IF(I5806="SBJ","CB","?"))</f>
        <v> </v>
      </c>
      <c r="I5806" s="26" t="str">
        <f>IF(OR(E5806="",E5806="!!!",F5806="NEW"),"",INDEX(B5805:B$2,-1+SUMPRODUCT(MAX(ROW(E5805:E$2)*(E5806=E5805:E$2)))))</f>
        <v> </v>
      </c>
      <c r="J5806" s="26" t="str">
        <f>IF(OR(E5806="",E5806="!!!",F5806="NEW"),"",COUNTBLANK(OFFSET(A$1,,,SUMPRODUCT(MAX(ROW(E$2:E5806)*(E5806=E$2:E5806)))))-COUNTBLANK(OFFSET(A$1,,,SUMPRODUCT(MAX(ROW(E$1:E5805)*(E2=E$1:E5805))))))</f>
        <v> </v>
      </c>
      <c r="K5806" s="26" t="str">
        <f>IF(OR(E5806="",E5806="!!!",F5806="NEW"),"",INDEX(J$1:J5805,SUMPRODUCT(MAX(ROW(E$1:E5805)*(E5806=E$1:E5805)))))</f>
        <v> </v>
      </c>
      <c r="L5806" s="27"/>
    </row>
    <row r="5807" spans="1:12">
      <c r="A5807" s="20" t="s">
        <v>1080</v>
      </c>
      <c r="B5807" s="21" t="s">
        <v>1114</v>
      </c>
      <c r="E5807" s="22">
        <f>IF(D5807="?OLD","!!!","")</f>
        <v/>
      </c>
      <c r="F5807" s="23" t="str">
        <f>IF(OR(E5807="",E5807="!!!"),"",IF(NOT(ISNA(VLOOKUP(E5807,E$1:E5806,1,FALSE()))),"OLD",IF(AND(E5807&lt;&gt;"",E5807&lt;&gt;"!!!"),"NEW","")))</f>
        <v> </v>
      </c>
      <c r="G5807" s="24" t="str">
        <f>IF(OR(E5807="",E5807="!!!"),"",IF(OR(J5807=0,AND(J5807=1,K5807=1),AND(J5807=1,I5807="SBJ"),AND(J5807=1,I5807=0)),"?IN_FOCUS",IF(J5807&lt;=2,"?ACTIVATED",IF(J5807&lt;&gt;"","?FAMILIAR",IF(F5807="NEW",IF(ISNA(VLOOKUP(E5807,#REF!,1,FALSE())),"?TYPE_IDENTIFIABLE","?REFERENTIAL"),"_")))))</f>
        <v> </v>
      </c>
      <c r="H5807" s="25" t="str">
        <f>IF(J5807&lt;&gt;1,"",IF(I5807="SBJ","CB","?"))</f>
        <v> </v>
      </c>
      <c r="I5807" s="26" t="str">
        <f>IF(OR(E5807="",E5807="!!!",F5807="NEW"),"",INDEX(B5806:B$2,-1+SUMPRODUCT(MAX(ROW(E5806:E$2)*(E5807=E5806:E$2)))))</f>
        <v> </v>
      </c>
      <c r="J5807" s="26" t="str">
        <f>IF(OR(E5807="",E5807="!!!",F5807="NEW"),"",COUNTBLANK(OFFSET(A$1,,,SUMPRODUCT(MAX(ROW(E$2:E5807)*(E5807=E$2:E5807)))))-COUNTBLANK(OFFSET(A$1,,,SUMPRODUCT(MAX(ROW(E$1:E5806)*(E2=E$1:E5806))))))</f>
        <v> </v>
      </c>
      <c r="K5807" s="26" t="str">
        <f>IF(OR(E5807="",E5807="!!!",F5807="NEW"),"",INDEX(J$1:J5806,SUMPRODUCT(MAX(ROW(E$1:E5806)*(E5807=E$1:E5806)))))</f>
        <v> </v>
      </c>
      <c r="L5807" s="27"/>
    </row>
    <row r="5808" spans="1:12">
      <c r="A5808" s="20" t="s">
        <v>1562</v>
      </c>
      <c r="E5808" s="22">
        <f>IF(D5808="?OLD","!!!","")</f>
        <v/>
      </c>
      <c r="F5808" s="23" t="str">
        <f>IF(OR(E5808="",E5808="!!!"),"",IF(NOT(ISNA(VLOOKUP(E5808,E$1:E5807,1,FALSE()))),"OLD",IF(AND(E5808&lt;&gt;"",E5808&lt;&gt;"!!!"),"NEW","")))</f>
        <v> </v>
      </c>
      <c r="G5808" s="24" t="str">
        <f>IF(OR(E5808="",E5808="!!!"),"",IF(OR(J5808=0,AND(J5808=1,K5808=1),AND(J5808=1,I5808="SBJ"),AND(J5808=1,I5808=0)),"?IN_FOCUS",IF(J5808&lt;=2,"?ACTIVATED",IF(J5808&lt;&gt;"","?FAMILIAR",IF(F5808="NEW",IF(ISNA(VLOOKUP(E5808,#REF!,1,FALSE())),"?TYPE_IDENTIFIABLE","?REFERENTIAL"),"_")))))</f>
        <v> </v>
      </c>
      <c r="H5808" s="25" t="str">
        <f>IF(J5808&lt;&gt;1,"",IF(I5808="SBJ","CB","?"))</f>
        <v> </v>
      </c>
      <c r="I5808" s="26" t="str">
        <f>IF(OR(E5808="",E5808="!!!",F5808="NEW"),"",INDEX(B5807:B$2,-1+SUMPRODUCT(MAX(ROW(E5807:E$2)*(E5808=E5807:E$2)))))</f>
        <v> </v>
      </c>
      <c r="J5808" s="26" t="str">
        <f>IF(OR(E5808="",E5808="!!!",F5808="NEW"),"",COUNTBLANK(OFFSET(A$1,,,SUMPRODUCT(MAX(ROW(E$2:E5808)*(E5808=E$2:E5808)))))-COUNTBLANK(OFFSET(A$1,,,SUMPRODUCT(MAX(ROW(E$1:E5807)*(E2=E$1:E5807))))))</f>
        <v> </v>
      </c>
      <c r="K5808" s="26" t="str">
        <f>IF(OR(E5808="",E5808="!!!",F5808="NEW"),"",INDEX(J$1:J5807,SUMPRODUCT(MAX(ROW(E$1:E5807)*(E5808=E$1:E5807)))))</f>
        <v> </v>
      </c>
      <c r="L5808" s="27"/>
    </row>
    <row r="5809" spans="1:12">
      <c r="A5809" s="20" t="s">
        <v>1029</v>
      </c>
      <c r="E5809" s="22">
        <f>IF(D5809="?OLD","!!!","")</f>
        <v/>
      </c>
      <c r="F5809" s="23" t="str">
        <f>IF(OR(E5809="",E5809="!!!"),"",IF(NOT(ISNA(VLOOKUP(E5809,E$1:E5808,1,FALSE()))),"OLD",IF(AND(E5809&lt;&gt;"",E5809&lt;&gt;"!!!"),"NEW","")))</f>
        <v> </v>
      </c>
      <c r="G5809" s="24" t="str">
        <f>IF(OR(E5809="",E5809="!!!"),"",IF(OR(J5809=0,AND(J5809=1,K5809=1),AND(J5809=1,I5809="SBJ"),AND(J5809=1,I5809=0)),"?IN_FOCUS",IF(J5809&lt;=2,"?ACTIVATED",IF(J5809&lt;&gt;"","?FAMILIAR",IF(F5809="NEW",IF(ISNA(VLOOKUP(E5809,#REF!,1,FALSE())),"?TYPE_IDENTIFIABLE","?REFERENTIAL"),"_")))))</f>
        <v> </v>
      </c>
      <c r="H5809" s="25" t="str">
        <f>IF(J5809&lt;&gt;1,"",IF(I5809="SBJ","CB","?"))</f>
        <v> </v>
      </c>
      <c r="I5809" s="26" t="str">
        <f>IF(OR(E5809="",E5809="!!!",F5809="NEW"),"",INDEX(B5808:B$2,-1+SUMPRODUCT(MAX(ROW(E5808:E$2)*(E5809=E5808:E$2)))))</f>
        <v> </v>
      </c>
      <c r="J5809" s="26" t="str">
        <f>IF(OR(E5809="",E5809="!!!",F5809="NEW"),"",COUNTBLANK(OFFSET(A$1,,,SUMPRODUCT(MAX(ROW(E$2:E5809)*(E5809=E$2:E5809)))))-COUNTBLANK(OFFSET(A$1,,,SUMPRODUCT(MAX(ROW(E$1:E5808)*(E2=E$1:E5808))))))</f>
        <v> </v>
      </c>
      <c r="K5809" s="26" t="str">
        <f>IF(OR(E5809="",E5809="!!!",F5809="NEW"),"",INDEX(J$1:J5808,SUMPRODUCT(MAX(ROW(E$1:E5808)*(E5809=E$1:E5808)))))</f>
        <v> </v>
      </c>
      <c r="L5809" s="27"/>
    </row>
    <row r="5810" spans="1:12">
      <c r="A5810" s="20" t="s">
        <v>256</v>
      </c>
      <c r="E5810" s="22">
        <f>IF(D5810="?OLD","!!!","")</f>
        <v/>
      </c>
      <c r="F5810" s="23" t="str">
        <f>IF(OR(E5810="",E5810="!!!"),"",IF(NOT(ISNA(VLOOKUP(E5810,E$1:E5809,1,FALSE()))),"OLD",IF(AND(E5810&lt;&gt;"",E5810&lt;&gt;"!!!"),"NEW","")))</f>
        <v> </v>
      </c>
      <c r="G5810" s="24" t="str">
        <f>IF(OR(E5810="",E5810="!!!"),"",IF(OR(J5810=0,AND(J5810=1,K5810=1),AND(J5810=1,I5810="SBJ"),AND(J5810=1,I5810=0)),"?IN_FOCUS",IF(J5810&lt;=2,"?ACTIVATED",IF(J5810&lt;&gt;"","?FAMILIAR",IF(F5810="NEW",IF(ISNA(VLOOKUP(E5810,#REF!,1,FALSE())),"?TYPE_IDENTIFIABLE","?REFERENTIAL"),"_")))))</f>
        <v> </v>
      </c>
      <c r="H5810" s="25" t="str">
        <f>IF(J5810&lt;&gt;1,"",IF(I5810="SBJ","CB","?"))</f>
        <v> </v>
      </c>
      <c r="I5810" s="26" t="str">
        <f>IF(OR(E5810="",E5810="!!!",F5810="NEW"),"",INDEX(B5809:B$2,-1+SUMPRODUCT(MAX(ROW(E5809:E$2)*(E5810=E5809:E$2)))))</f>
        <v> </v>
      </c>
      <c r="J5810" s="26" t="str">
        <f>IF(OR(E5810="",E5810="!!!",F5810="NEW"),"",COUNTBLANK(OFFSET(A$1,,,SUMPRODUCT(MAX(ROW(E$2:E5810)*(E5810=E$2:E5810)))))-COUNTBLANK(OFFSET(A$1,,,SUMPRODUCT(MAX(ROW(E$1:E5809)*(E2=E$1:E5809))))))</f>
        <v> </v>
      </c>
      <c r="K5810" s="26" t="str">
        <f>IF(OR(E5810="",E5810="!!!",F5810="NEW"),"",INDEX(J$1:J5809,SUMPRODUCT(MAX(ROW(E$1:E5809)*(E5810=E$1:E5809)))))</f>
        <v> </v>
      </c>
      <c r="L5810" s="27"/>
    </row>
    <row r="5811" spans="1:12">
      <c r="A5811" s="20" t="s">
        <v>1581</v>
      </c>
      <c r="E5811" s="22">
        <f>IF(D5811="?OLD","!!!","")</f>
        <v/>
      </c>
      <c r="F5811" s="23" t="str">
        <f>IF(OR(E5811="",E5811="!!!"),"",IF(NOT(ISNA(VLOOKUP(E5811,E$1:E5810,1,FALSE()))),"OLD",IF(AND(E5811&lt;&gt;"",E5811&lt;&gt;"!!!"),"NEW","")))</f>
        <v> </v>
      </c>
      <c r="G5811" s="24" t="str">
        <f>IF(OR(E5811="",E5811="!!!"),"",IF(OR(J5811=0,AND(J5811=1,K5811=1),AND(J5811=1,I5811="SBJ"),AND(J5811=1,I5811=0)),"?IN_FOCUS",IF(J5811&lt;=2,"?ACTIVATED",IF(J5811&lt;&gt;"","?FAMILIAR",IF(F5811="NEW",IF(ISNA(VLOOKUP(E5811,#REF!,1,FALSE())),"?TYPE_IDENTIFIABLE","?REFERENTIAL"),"_")))))</f>
        <v> </v>
      </c>
      <c r="H5811" s="25" t="str">
        <f>IF(J5811&lt;&gt;1,"",IF(I5811="SBJ","CB","?"))</f>
        <v> </v>
      </c>
      <c r="I5811" s="26" t="str">
        <f>IF(OR(E5811="",E5811="!!!",F5811="NEW"),"",INDEX(B5810:B$2,-1+SUMPRODUCT(MAX(ROW(E5810:E$2)*(E5811=E5810:E$2)))))</f>
        <v> </v>
      </c>
      <c r="J5811" s="26" t="str">
        <f>IF(OR(E5811="",E5811="!!!",F5811="NEW"),"",COUNTBLANK(OFFSET(A$1,,,SUMPRODUCT(MAX(ROW(E$2:E5811)*(E5811=E$2:E5811)))))-COUNTBLANK(OFFSET(A$1,,,SUMPRODUCT(MAX(ROW(E$1:E5810)*(E2=E$1:E5810))))))</f>
        <v> </v>
      </c>
      <c r="K5811" s="26" t="str">
        <f>IF(OR(E5811="",E5811="!!!",F5811="NEW"),"",INDEX(J$1:J5810,SUMPRODUCT(MAX(ROW(E$1:E5810)*(E5811=E$1:E5810)))))</f>
        <v> </v>
      </c>
      <c r="L5811" s="27"/>
    </row>
    <row r="5812" spans="1:12">
      <c r="A5812" s="20" t="s">
        <v>1037</v>
      </c>
      <c r="E5812" s="22">
        <f>IF(D5812="?OLD","!!!","")</f>
        <v/>
      </c>
      <c r="F5812" s="23" t="str">
        <f>IF(OR(E5812="",E5812="!!!"),"",IF(NOT(ISNA(VLOOKUP(E5812,E$1:E5811,1,FALSE()))),"OLD",IF(AND(E5812&lt;&gt;"",E5812&lt;&gt;"!!!"),"NEW","")))</f>
        <v> </v>
      </c>
      <c r="G5812" s="24" t="str">
        <f>IF(OR(E5812="",E5812="!!!"),"",IF(OR(J5812=0,AND(J5812=1,K5812=1),AND(J5812=1,I5812="SBJ"),AND(J5812=1,I5812=0)),"?IN_FOCUS",IF(J5812&lt;=2,"?ACTIVATED",IF(J5812&lt;&gt;"","?FAMILIAR",IF(F5812="NEW",IF(ISNA(VLOOKUP(E5812,#REF!,1,FALSE())),"?TYPE_IDENTIFIABLE","?REFERENTIAL"),"_")))))</f>
        <v> </v>
      </c>
      <c r="H5812" s="25" t="str">
        <f>IF(J5812&lt;&gt;1,"",IF(I5812="SBJ","CB","?"))</f>
        <v> </v>
      </c>
      <c r="I5812" s="26" t="str">
        <f>IF(OR(E5812="",E5812="!!!",F5812="NEW"),"",INDEX(B5811:B$2,-1+SUMPRODUCT(MAX(ROW(E5811:E$2)*(E5812=E5811:E$2)))))</f>
        <v> </v>
      </c>
      <c r="J5812" s="26" t="str">
        <f>IF(OR(E5812="",E5812="!!!",F5812="NEW"),"",COUNTBLANK(OFFSET(A$1,,,SUMPRODUCT(MAX(ROW(E$2:E5812)*(E5812=E$2:E5812)))))-COUNTBLANK(OFFSET(A$1,,,SUMPRODUCT(MAX(ROW(E$1:E5811)*(E2=E$1:E5811))))))</f>
        <v> </v>
      </c>
      <c r="K5812" s="26" t="str">
        <f>IF(OR(E5812="",E5812="!!!",F5812="NEW"),"",INDEX(J$1:J5811,SUMPRODUCT(MAX(ROW(E$1:E5811)*(E5812=E$1:E5811)))))</f>
        <v> </v>
      </c>
      <c r="L5812" s="27"/>
    </row>
    <row r="5813" spans="1:12">
      <c r="A5813" s="20" t="s">
        <v>2482</v>
      </c>
      <c r="B5813" s="21" t="s">
        <v>1112</v>
      </c>
      <c r="C5813" s="21" t="s">
        <v>1034</v>
      </c>
      <c r="D5813" s="21" t="s">
        <v>997</v>
      </c>
      <c r="E5813" s="22">
        <f>IF(D5813="?OLD","!!!","")</f>
        <v/>
      </c>
      <c r="F5813" s="23" t="str">
        <f>IF(OR(E5813="",E5813="!!!"),"",IF(NOT(ISNA(VLOOKUP(E5813,E$1:E5812,1,FALSE()))),"OLD",IF(AND(E5813&lt;&gt;"",E5813&lt;&gt;"!!!"),"NEW","")))</f>
        <v> </v>
      </c>
      <c r="G5813" s="24" t="str">
        <f>IF(OR(E5813="",E5813="!!!"),"",IF(OR(J5813=0,AND(J5813=1,K5813=1),AND(J5813=1,I5813="SBJ"),AND(J5813=1,I5813=0)),"?IN_FOCUS",IF(J5813&lt;=2,"?ACTIVATED",IF(J5813&lt;&gt;"","?FAMILIAR",IF(F5813="NEW",IF(ISNA(VLOOKUP(E5813,#REF!,1,FALSE())),"?TYPE_IDENTIFIABLE","?REFERENTIAL"),"_")))))</f>
        <v> </v>
      </c>
      <c r="H5813" s="25" t="str">
        <f>IF(J5813&lt;&gt;1,"",IF(I5813="SBJ","CB","?"))</f>
        <v> </v>
      </c>
      <c r="I5813" s="26" t="str">
        <f>IF(OR(E5813="",E5813="!!!",F5813="NEW"),"",INDEX(B5812:B$2,-1+SUMPRODUCT(MAX(ROW(E5812:E$2)*(E5813=E5812:E$2)))))</f>
        <v> </v>
      </c>
      <c r="J5813" s="26" t="str">
        <f>IF(OR(E5813="",E5813="!!!",F5813="NEW"),"",COUNTBLANK(OFFSET(A$1,,,SUMPRODUCT(MAX(ROW(E$2:E5813)*(E5813=E$2:E5813)))))-COUNTBLANK(OFFSET(A$1,,,SUMPRODUCT(MAX(ROW(E$1:E5812)*(E2=E$1:E5812))))))</f>
        <v> </v>
      </c>
      <c r="K5813" s="26" t="str">
        <f>IF(OR(E5813="",E5813="!!!",F5813="NEW"),"",INDEX(J$1:J5812,SUMPRODUCT(MAX(ROW(E$1:E5812)*(E5813=E$1:E5812)))))</f>
        <v> </v>
      </c>
      <c r="L5813" s="27"/>
    </row>
    <row r="5814" spans="1:12">
      <c r="A5814" s="20" t="s">
        <v>1080</v>
      </c>
      <c r="B5814" s="21" t="s">
        <v>1243</v>
      </c>
      <c r="E5814" s="22">
        <f>IF(D5814="?OLD","!!!","")</f>
        <v/>
      </c>
      <c r="F5814" s="23" t="str">
        <f>IF(OR(E5814="",E5814="!!!"),"",IF(NOT(ISNA(VLOOKUP(E5814,E$1:E5813,1,FALSE()))),"OLD",IF(AND(E5814&lt;&gt;"",E5814&lt;&gt;"!!!"),"NEW","")))</f>
        <v> </v>
      </c>
      <c r="G5814" s="24" t="str">
        <f>IF(OR(E5814="",E5814="!!!"),"",IF(OR(J5814=0,AND(J5814=1,K5814=1),AND(J5814=1,I5814="SBJ"),AND(J5814=1,I5814=0)),"?IN_FOCUS",IF(J5814&lt;=2,"?ACTIVATED",IF(J5814&lt;&gt;"","?FAMILIAR",IF(F5814="NEW",IF(ISNA(VLOOKUP(E5814,#REF!,1,FALSE())),"?TYPE_IDENTIFIABLE","?REFERENTIAL"),"_")))))</f>
        <v> </v>
      </c>
      <c r="H5814" s="25" t="str">
        <f>IF(J5814&lt;&gt;1,"",IF(I5814="SBJ","CB","?"))</f>
        <v> </v>
      </c>
      <c r="I5814" s="26" t="str">
        <f>IF(OR(E5814="",E5814="!!!",F5814="NEW"),"",INDEX(B5813:B$2,-1+SUMPRODUCT(MAX(ROW(E5813:E$2)*(E5814=E5813:E$2)))))</f>
        <v> </v>
      </c>
      <c r="J5814" s="26" t="str">
        <f>IF(OR(E5814="",E5814="!!!",F5814="NEW"),"",COUNTBLANK(OFFSET(A$1,,,SUMPRODUCT(MAX(ROW(E$2:E5814)*(E5814=E$2:E5814)))))-COUNTBLANK(OFFSET(A$1,,,SUMPRODUCT(MAX(ROW(E$1:E5813)*(E2=E$1:E5813))))))</f>
        <v> </v>
      </c>
      <c r="K5814" s="26" t="str">
        <f>IF(OR(E5814="",E5814="!!!",F5814="NEW"),"",INDEX(J$1:J5813,SUMPRODUCT(MAX(ROW(E$1:E5813)*(E5814=E$1:E5813)))))</f>
        <v> </v>
      </c>
      <c r="L5814" s="27"/>
    </row>
    <row r="5815" spans="1:12">
      <c r="A5815" s="20" t="s">
        <v>1562</v>
      </c>
      <c r="E5815" s="22">
        <f>IF(D5815="?OLD","!!!","")</f>
        <v/>
      </c>
      <c r="F5815" s="23" t="str">
        <f>IF(OR(E5815="",E5815="!!!"),"",IF(NOT(ISNA(VLOOKUP(E5815,E$1:E5814,1,FALSE()))),"OLD",IF(AND(E5815&lt;&gt;"",E5815&lt;&gt;"!!!"),"NEW","")))</f>
        <v> </v>
      </c>
      <c r="G5815" s="24" t="str">
        <f>IF(OR(E5815="",E5815="!!!"),"",IF(OR(J5815=0,AND(J5815=1,K5815=1),AND(J5815=1,I5815="SBJ"),AND(J5815=1,I5815=0)),"?IN_FOCUS",IF(J5815&lt;=2,"?ACTIVATED",IF(J5815&lt;&gt;"","?FAMILIAR",IF(F5815="NEW",IF(ISNA(VLOOKUP(E5815,#REF!,1,FALSE())),"?TYPE_IDENTIFIABLE","?REFERENTIAL"),"_")))))</f>
        <v> </v>
      </c>
      <c r="H5815" s="25" t="str">
        <f>IF(J5815&lt;&gt;1,"",IF(I5815="SBJ","CB","?"))</f>
        <v> </v>
      </c>
      <c r="I5815" s="26" t="str">
        <f>IF(OR(E5815="",E5815="!!!",F5815="NEW"),"",INDEX(B5814:B$2,-1+SUMPRODUCT(MAX(ROW(E5814:E$2)*(E5815=E5814:E$2)))))</f>
        <v> </v>
      </c>
      <c r="J5815" s="26" t="str">
        <f>IF(OR(E5815="",E5815="!!!",F5815="NEW"),"",COUNTBLANK(OFFSET(A$1,,,SUMPRODUCT(MAX(ROW(E$2:E5815)*(E5815=E$2:E5815)))))-COUNTBLANK(OFFSET(A$1,,,SUMPRODUCT(MAX(ROW(E$1:E5814)*(E2=E$1:E5814))))))</f>
        <v> </v>
      </c>
      <c r="K5815" s="26" t="str">
        <f>IF(OR(E5815="",E5815="!!!",F5815="NEW"),"",INDEX(J$1:J5814,SUMPRODUCT(MAX(ROW(E$1:E5814)*(E5815=E$1:E5814)))))</f>
        <v> </v>
      </c>
      <c r="L5815" s="27"/>
    </row>
    <row r="5816" spans="1:12">
      <c r="A5816" s="20" t="s">
        <v>2483</v>
      </c>
      <c r="E5816" s="22">
        <f>IF(D5816="?OLD","!!!","")</f>
        <v/>
      </c>
      <c r="F5816" s="23" t="str">
        <f>IF(OR(E5816="",E5816="!!!"),"",IF(NOT(ISNA(VLOOKUP(E5816,E$1:E5815,1,FALSE()))),"OLD",IF(AND(E5816&lt;&gt;"",E5816&lt;&gt;"!!!"),"NEW","")))</f>
        <v> </v>
      </c>
      <c r="G5816" s="24" t="str">
        <f>IF(OR(E5816="",E5816="!!!"),"",IF(OR(J5816=0,AND(J5816=1,K5816=1),AND(J5816=1,I5816="SBJ"),AND(J5816=1,I5816=0)),"?IN_FOCUS",IF(J5816&lt;=2,"?ACTIVATED",IF(J5816&lt;&gt;"","?FAMILIAR",IF(F5816="NEW",IF(ISNA(VLOOKUP(E5816,#REF!,1,FALSE())),"?TYPE_IDENTIFIABLE","?REFERENTIAL"),"_")))))</f>
        <v> </v>
      </c>
      <c r="H5816" s="25" t="str">
        <f>IF(J5816&lt;&gt;1,"",IF(I5816="SBJ","CB","?"))</f>
        <v> </v>
      </c>
      <c r="I5816" s="26" t="str">
        <f>IF(OR(E5816="",E5816="!!!",F5816="NEW"),"",INDEX(B5815:B$2,-1+SUMPRODUCT(MAX(ROW(E5815:E$2)*(E5816=E5815:E$2)))))</f>
        <v> </v>
      </c>
      <c r="J5816" s="26" t="str">
        <f>IF(OR(E5816="",E5816="!!!",F5816="NEW"),"",COUNTBLANK(OFFSET(A$1,,,SUMPRODUCT(MAX(ROW(E$2:E5816)*(E5816=E$2:E5816)))))-COUNTBLANK(OFFSET(A$1,,,SUMPRODUCT(MAX(ROW(E$1:E5815)*(E2=E$1:E5815))))))</f>
        <v> </v>
      </c>
      <c r="K5816" s="26" t="str">
        <f>IF(OR(E5816="",E5816="!!!",F5816="NEW"),"",INDEX(J$1:J5815,SUMPRODUCT(MAX(ROW(E$1:E5815)*(E5816=E$1:E5815)))))</f>
        <v> </v>
      </c>
      <c r="L5816" s="27"/>
    </row>
    <row r="5817" spans="1:12">
      <c r="A5817" s="20" t="s">
        <v>1037</v>
      </c>
      <c r="E5817" s="22">
        <f>IF(D5817="?OLD","!!!","")</f>
        <v/>
      </c>
      <c r="F5817" s="23" t="str">
        <f>IF(OR(E5817="",E5817="!!!"),"",IF(NOT(ISNA(VLOOKUP(E5817,E$1:E5816,1,FALSE()))),"OLD",IF(AND(E5817&lt;&gt;"",E5817&lt;&gt;"!!!"),"NEW","")))</f>
        <v> </v>
      </c>
      <c r="G5817" s="24" t="str">
        <f>IF(OR(E5817="",E5817="!!!"),"",IF(OR(J5817=0,AND(J5817=1,K5817=1),AND(J5817=1,I5817="SBJ"),AND(J5817=1,I5817=0)),"?IN_FOCUS",IF(J5817&lt;=2,"?ACTIVATED",IF(J5817&lt;&gt;"","?FAMILIAR",IF(F5817="NEW",IF(ISNA(VLOOKUP(E5817,#REF!,1,FALSE())),"?TYPE_IDENTIFIABLE","?REFERENTIAL"),"_")))))</f>
        <v> </v>
      </c>
      <c r="H5817" s="25" t="str">
        <f>IF(J5817&lt;&gt;1,"",IF(I5817="SBJ","CB","?"))</f>
        <v> </v>
      </c>
      <c r="I5817" s="26" t="str">
        <f>IF(OR(E5817="",E5817="!!!",F5817="NEW"),"",INDEX(B5816:B$2,-1+SUMPRODUCT(MAX(ROW(E5816:E$2)*(E5817=E5816:E$2)))))</f>
        <v> </v>
      </c>
      <c r="J5817" s="26" t="str">
        <f>IF(OR(E5817="",E5817="!!!",F5817="NEW"),"",COUNTBLANK(OFFSET(A$1,,,SUMPRODUCT(MAX(ROW(E$2:E5817)*(E5817=E$2:E5817)))))-COUNTBLANK(OFFSET(A$1,,,SUMPRODUCT(MAX(ROW(E$1:E5816)*(E2=E$1:E5816))))))</f>
        <v> </v>
      </c>
      <c r="K5817" s="26" t="str">
        <f>IF(OR(E5817="",E5817="!!!",F5817="NEW"),"",INDEX(J$1:J5816,SUMPRODUCT(MAX(ROW(E$1:E5816)*(E5817=E$1:E5816)))))</f>
        <v> </v>
      </c>
      <c r="L5817" s="27"/>
    </row>
    <row r="5818" spans="1:12">
      <c r="A5818" s="20" t="s">
        <v>1042</v>
      </c>
      <c r="B5818" s="21" t="s">
        <v>1053</v>
      </c>
      <c r="C5818" s="21" t="s">
        <v>1034</v>
      </c>
      <c r="D5818" s="21" t="s">
        <v>997</v>
      </c>
      <c r="E5818" s="22">
        <f>IF(D5818="?OLD","!!!","")</f>
        <v/>
      </c>
      <c r="F5818" s="23" t="str">
        <f>IF(OR(E5818="",E5818="!!!"),"",IF(NOT(ISNA(VLOOKUP(E5818,E$1:E5817,1,FALSE()))),"OLD",IF(AND(E5818&lt;&gt;"",E5818&lt;&gt;"!!!"),"NEW","")))</f>
        <v> </v>
      </c>
      <c r="G5818" s="24" t="str">
        <f>IF(OR(E5818="",E5818="!!!"),"",IF(OR(J5818=0,AND(J5818=1,K5818=1),AND(J5818=1,I5818="SBJ"),AND(J5818=1,I5818=0)),"?IN_FOCUS",IF(J5818&lt;=2,"?ACTIVATED",IF(J5818&lt;&gt;"","?FAMILIAR",IF(F5818="NEW",IF(ISNA(VLOOKUP(E5818,#REF!,1,FALSE())),"?TYPE_IDENTIFIABLE","?REFERENTIAL"),"_")))))</f>
        <v> </v>
      </c>
      <c r="H5818" s="25" t="str">
        <f>IF(J5818&lt;&gt;1,"",IF(I5818="SBJ","CB","?"))</f>
        <v> </v>
      </c>
      <c r="I5818" s="26" t="str">
        <f>IF(OR(E5818="",E5818="!!!",F5818="NEW"),"",INDEX(B5817:B$2,-1+SUMPRODUCT(MAX(ROW(E5817:E$2)*(E5818=E5817:E$2)))))</f>
        <v> </v>
      </c>
      <c r="J5818" s="26" t="str">
        <f>IF(OR(E5818="",E5818="!!!",F5818="NEW"),"",COUNTBLANK(OFFSET(A$1,,,SUMPRODUCT(MAX(ROW(E$2:E5818)*(E5818=E$2:E5818)))))-COUNTBLANK(OFFSET(A$1,,,SUMPRODUCT(MAX(ROW(E$1:E5817)*(E2=E$1:E5817))))))</f>
        <v> </v>
      </c>
      <c r="K5818" s="26" t="str">
        <f>IF(OR(E5818="",E5818="!!!",F5818="NEW"),"",INDEX(J$1:J5817,SUMPRODUCT(MAX(ROW(E$1:E5817)*(E5818=E$1:E5817)))))</f>
        <v> </v>
      </c>
      <c r="L5818" s="27"/>
    </row>
    <row r="5819" spans="1:12">
      <c r="A5819" s="20" t="s">
        <v>1275</v>
      </c>
      <c r="E5819" s="22">
        <f>IF(D5819="?OLD","!!!","")</f>
        <v/>
      </c>
      <c r="F5819" s="23" t="str">
        <f>IF(OR(E5819="",E5819="!!!"),"",IF(NOT(ISNA(VLOOKUP(E5819,E$1:E5818,1,FALSE()))),"OLD",IF(AND(E5819&lt;&gt;"",E5819&lt;&gt;"!!!"),"NEW","")))</f>
        <v> </v>
      </c>
      <c r="G5819" s="24" t="str">
        <f>IF(OR(E5819="",E5819="!!!"),"",IF(OR(J5819=0,AND(J5819=1,K5819=1),AND(J5819=1,I5819="SBJ"),AND(J5819=1,I5819=0)),"?IN_FOCUS",IF(J5819&lt;=2,"?ACTIVATED",IF(J5819&lt;&gt;"","?FAMILIAR",IF(F5819="NEW",IF(ISNA(VLOOKUP(E5819,#REF!,1,FALSE())),"?TYPE_IDENTIFIABLE","?REFERENTIAL"),"_")))))</f>
        <v> </v>
      </c>
      <c r="H5819" s="25" t="str">
        <f>IF(J5819&lt;&gt;1,"",IF(I5819="SBJ","CB","?"))</f>
        <v> </v>
      </c>
      <c r="I5819" s="26" t="str">
        <f>IF(OR(E5819="",E5819="!!!",F5819="NEW"),"",INDEX(B5818:B$2,-1+SUMPRODUCT(MAX(ROW(E5818:E$2)*(E5819=E5818:E$2)))))</f>
        <v> </v>
      </c>
      <c r="J5819" s="26" t="str">
        <f>IF(OR(E5819="",E5819="!!!",F5819="NEW"),"",COUNTBLANK(OFFSET(A$1,,,SUMPRODUCT(MAX(ROW(E$2:E5819)*(E5819=E$2:E5819)))))-COUNTBLANK(OFFSET(A$1,,,SUMPRODUCT(MAX(ROW(E$1:E5818)*(E2=E$1:E5818))))))</f>
        <v> </v>
      </c>
      <c r="K5819" s="26" t="str">
        <f>IF(OR(E5819="",E5819="!!!",F5819="NEW"),"",INDEX(J$1:J5818,SUMPRODUCT(MAX(ROW(E$1:E5818)*(E5819=E$1:E5818)))))</f>
        <v> </v>
      </c>
      <c r="L5819" s="27"/>
    </row>
    <row r="5820" spans="1:12">
      <c r="A5820" s="20"/>
    </row>
    <row r="5821" spans="1:12">
      <c r="A5821" s="20" t="s">
        <v>2484</v>
      </c>
    </row>
    <row r="5822" spans="1:12">
      <c r="A5822" s="20" t="s">
        <v>1099</v>
      </c>
      <c r="E5822" s="22">
        <f>IF(D5822="?OLD","!!!","")</f>
        <v/>
      </c>
      <c r="F5822" s="23" t="str">
        <f>IF(OR(E5822="",E5822="!!!"),"",IF(NOT(ISNA(VLOOKUP(E5822,E$1:E5821,1,FALSE()))),"OLD",IF(AND(E5822&lt;&gt;"",E5822&lt;&gt;"!!!"),"NEW","")))</f>
        <v> </v>
      </c>
      <c r="G5822" s="24" t="str">
        <f>IF(OR(E5822="",E5822="!!!"),"",IF(OR(J5822=0,AND(J5822=1,K5822=1),AND(J5822=1,I5822="SBJ"),AND(J5822=1,I5822=0)),"?IN_FOCUS",IF(J5822&lt;=2,"?ACTIVATED",IF(J5822&lt;&gt;"","?FAMILIAR",IF(F5822="NEW",IF(ISNA(VLOOKUP(E5822,#REF!,1,FALSE())),"?TYPE_IDENTIFIABLE","?REFERENTIAL"),"_")))))</f>
        <v> </v>
      </c>
      <c r="H5822" s="25" t="str">
        <f>IF(J5822&lt;&gt;1,"",IF(I5822="SBJ","CB","?"))</f>
        <v> </v>
      </c>
      <c r="I5822" s="26" t="str">
        <f>IF(OR(E5822="",E5822="!!!",F5822="NEW"),"",INDEX(B5821:B$2,-1+SUMPRODUCT(MAX(ROW(E5821:E$2)*(E5822=E5821:E$2)))))</f>
        <v> </v>
      </c>
      <c r="J5822" s="26" t="str">
        <f>IF(OR(E5822="",E5822="!!!",F5822="NEW"),"",COUNTBLANK(OFFSET(A$1,,,SUMPRODUCT(MAX(ROW(E$2:E5822)*(E5822=E$2:E5822)))))-COUNTBLANK(OFFSET(A$1,,,SUMPRODUCT(MAX(ROW(E$1:E5821)*(E2=E$1:E5821))))))</f>
        <v> </v>
      </c>
      <c r="K5822" s="26" t="str">
        <f>IF(OR(E5822="",E5822="!!!",F5822="NEW"),"",INDEX(J$1:J5821,SUMPRODUCT(MAX(ROW(E$1:E5821)*(E5822=E$1:E5821)))))</f>
        <v> </v>
      </c>
      <c r="L5822" s="27"/>
    </row>
    <row r="5823" spans="1:12">
      <c r="A5823" s="20" t="s">
        <v>1084</v>
      </c>
      <c r="E5823" s="22">
        <f>IF(D5823="?OLD","!!!","")</f>
        <v/>
      </c>
      <c r="F5823" s="23" t="str">
        <f>IF(OR(E5823="",E5823="!!!"),"",IF(NOT(ISNA(VLOOKUP(E5823,E$1:E5822,1,FALSE()))),"OLD",IF(AND(E5823&lt;&gt;"",E5823&lt;&gt;"!!!"),"NEW","")))</f>
        <v> </v>
      </c>
      <c r="G5823" s="24" t="str">
        <f>IF(OR(E5823="",E5823="!!!"),"",IF(OR(J5823=0,AND(J5823=1,K5823=1),AND(J5823=1,I5823="SBJ"),AND(J5823=1,I5823=0)),"?IN_FOCUS",IF(J5823&lt;=2,"?ACTIVATED",IF(J5823&lt;&gt;"","?FAMILIAR",IF(F5823="NEW",IF(ISNA(VLOOKUP(E5823,#REF!,1,FALSE())),"?TYPE_IDENTIFIABLE","?REFERENTIAL"),"_")))))</f>
        <v> </v>
      </c>
      <c r="H5823" s="25" t="str">
        <f>IF(J5823&lt;&gt;1,"",IF(I5823="SBJ","CB","?"))</f>
        <v> </v>
      </c>
      <c r="I5823" s="26" t="str">
        <f>IF(OR(E5823="",E5823="!!!",F5823="NEW"),"",INDEX(B5822:B$2,-1+SUMPRODUCT(MAX(ROW(E5822:E$2)*(E5823=E5822:E$2)))))</f>
        <v> </v>
      </c>
      <c r="J5823" s="26" t="str">
        <f>IF(OR(E5823="",E5823="!!!",F5823="NEW"),"",COUNTBLANK(OFFSET(A$1,,,SUMPRODUCT(MAX(ROW(E$2:E5823)*(E5823=E$2:E5823)))))-COUNTBLANK(OFFSET(A$1,,,SUMPRODUCT(MAX(ROW(E$1:E5822)*(E2=E$1:E5822))))))</f>
        <v> </v>
      </c>
      <c r="K5823" s="26" t="str">
        <f>IF(OR(E5823="",E5823="!!!",F5823="NEW"),"",INDEX(J$1:J5822,SUMPRODUCT(MAX(ROW(E$1:E5822)*(E5823=E$1:E5822)))))</f>
        <v> </v>
      </c>
      <c r="L5823" s="27"/>
    </row>
    <row r="5824" spans="1:12">
      <c r="A5824" s="20" t="s">
        <v>1154</v>
      </c>
      <c r="E5824" s="22">
        <f>IF(D5824="?OLD","!!!","")</f>
        <v/>
      </c>
      <c r="F5824" s="23" t="str">
        <f>IF(OR(E5824="",E5824="!!!"),"",IF(NOT(ISNA(VLOOKUP(E5824,E$1:E5823,1,FALSE()))),"OLD",IF(AND(E5824&lt;&gt;"",E5824&lt;&gt;"!!!"),"NEW","")))</f>
        <v> </v>
      </c>
      <c r="G5824" s="24" t="str">
        <f>IF(OR(E5824="",E5824="!!!"),"",IF(OR(J5824=0,AND(J5824=1,K5824=1),AND(J5824=1,I5824="SBJ"),AND(J5824=1,I5824=0)),"?IN_FOCUS",IF(J5824&lt;=2,"?ACTIVATED",IF(J5824&lt;&gt;"","?FAMILIAR",IF(F5824="NEW",IF(ISNA(VLOOKUP(E5824,#REF!,1,FALSE())),"?TYPE_IDENTIFIABLE","?REFERENTIAL"),"_")))))</f>
        <v> </v>
      </c>
      <c r="H5824" s="25" t="str">
        <f>IF(J5824&lt;&gt;1,"",IF(I5824="SBJ","CB","?"))</f>
        <v> </v>
      </c>
      <c r="I5824" s="26" t="str">
        <f>IF(OR(E5824="",E5824="!!!",F5824="NEW"),"",INDEX(B5823:B$2,-1+SUMPRODUCT(MAX(ROW(E5823:E$2)*(E5824=E5823:E$2)))))</f>
        <v> </v>
      </c>
      <c r="J5824" s="26" t="str">
        <f>IF(OR(E5824="",E5824="!!!",F5824="NEW"),"",COUNTBLANK(OFFSET(A$1,,,SUMPRODUCT(MAX(ROW(E$2:E5824)*(E5824=E$2:E5824)))))-COUNTBLANK(OFFSET(A$1,,,SUMPRODUCT(MAX(ROW(E$1:E5823)*(E2=E$1:E5823))))))</f>
        <v> </v>
      </c>
      <c r="K5824" s="26" t="str">
        <f>IF(OR(E5824="",E5824="!!!",F5824="NEW"),"",INDEX(J$1:J5823,SUMPRODUCT(MAX(ROW(E$1:E5823)*(E5824=E$1:E5823)))))</f>
        <v> </v>
      </c>
      <c r="L5824" s="27"/>
    </row>
    <row r="5825" spans="1:12">
      <c r="A5825" s="20" t="s">
        <v>1137</v>
      </c>
      <c r="E5825" s="22">
        <f>IF(D5825="?OLD","!!!","")</f>
        <v/>
      </c>
      <c r="F5825" s="23" t="str">
        <f>IF(OR(E5825="",E5825="!!!"),"",IF(NOT(ISNA(VLOOKUP(E5825,E$1:E5824,1,FALSE()))),"OLD",IF(AND(E5825&lt;&gt;"",E5825&lt;&gt;"!!!"),"NEW","")))</f>
        <v> </v>
      </c>
      <c r="G5825" s="24" t="str">
        <f>IF(OR(E5825="",E5825="!!!"),"",IF(OR(J5825=0,AND(J5825=1,K5825=1),AND(J5825=1,I5825="SBJ"),AND(J5825=1,I5825=0)),"?IN_FOCUS",IF(J5825&lt;=2,"?ACTIVATED",IF(J5825&lt;&gt;"","?FAMILIAR",IF(F5825="NEW",IF(ISNA(VLOOKUP(E5825,#REF!,1,FALSE())),"?TYPE_IDENTIFIABLE","?REFERENTIAL"),"_")))))</f>
        <v> </v>
      </c>
      <c r="H5825" s="25" t="str">
        <f>IF(J5825&lt;&gt;1,"",IF(I5825="SBJ","CB","?"))</f>
        <v> </v>
      </c>
      <c r="I5825" s="26" t="str">
        <f>IF(OR(E5825="",E5825="!!!",F5825="NEW"),"",INDEX(B5824:B$2,-1+SUMPRODUCT(MAX(ROW(E5824:E$2)*(E5825=E5824:E$2)))))</f>
        <v> </v>
      </c>
      <c r="J5825" s="26" t="str">
        <f>IF(OR(E5825="",E5825="!!!",F5825="NEW"),"",COUNTBLANK(OFFSET(A$1,,,SUMPRODUCT(MAX(ROW(E$2:E5825)*(E5825=E$2:E5825)))))-COUNTBLANK(OFFSET(A$1,,,SUMPRODUCT(MAX(ROW(E$1:E5824)*(E2=E$1:E5824))))))</f>
        <v> </v>
      </c>
      <c r="K5825" s="26" t="str">
        <f>IF(OR(E5825="",E5825="!!!",F5825="NEW"),"",INDEX(J$1:J5824,SUMPRODUCT(MAX(ROW(E$1:E5824)*(E5825=E$1:E5824)))))</f>
        <v> </v>
      </c>
      <c r="L5825" s="27"/>
    </row>
    <row r="5826" spans="1:12">
      <c r="A5826" s="20" t="s">
        <v>1041</v>
      </c>
      <c r="E5826" s="22">
        <f>IF(D5826="?OLD","!!!","")</f>
        <v/>
      </c>
      <c r="F5826" s="23" t="str">
        <f>IF(OR(E5826="",E5826="!!!"),"",IF(NOT(ISNA(VLOOKUP(E5826,E$1:E5825,1,FALSE()))),"OLD",IF(AND(E5826&lt;&gt;"",E5826&lt;&gt;"!!!"),"NEW","")))</f>
        <v> </v>
      </c>
      <c r="G5826" s="24" t="str">
        <f>IF(OR(E5826="",E5826="!!!"),"",IF(OR(J5826=0,AND(J5826=1,K5826=1),AND(J5826=1,I5826="SBJ"),AND(J5826=1,I5826=0)),"?IN_FOCUS",IF(J5826&lt;=2,"?ACTIVATED",IF(J5826&lt;&gt;"","?FAMILIAR",IF(F5826="NEW",IF(ISNA(VLOOKUP(E5826,#REF!,1,FALSE())),"?TYPE_IDENTIFIABLE","?REFERENTIAL"),"_")))))</f>
        <v> </v>
      </c>
      <c r="H5826" s="25" t="str">
        <f>IF(J5826&lt;&gt;1,"",IF(I5826="SBJ","CB","?"))</f>
        <v> </v>
      </c>
      <c r="I5826" s="26" t="str">
        <f>IF(OR(E5826="",E5826="!!!",F5826="NEW"),"",INDEX(B5825:B$2,-1+SUMPRODUCT(MAX(ROW(E5825:E$2)*(E5826=E5825:E$2)))))</f>
        <v> </v>
      </c>
      <c r="J5826" s="26" t="str">
        <f>IF(OR(E5826="",E5826="!!!",F5826="NEW"),"",COUNTBLANK(OFFSET(A$1,,,SUMPRODUCT(MAX(ROW(E$2:E5826)*(E5826=E$2:E5826)))))-COUNTBLANK(OFFSET(A$1,,,SUMPRODUCT(MAX(ROW(E$1:E5825)*(E2=E$1:E5825))))))</f>
        <v> </v>
      </c>
      <c r="K5826" s="26" t="str">
        <f>IF(OR(E5826="",E5826="!!!",F5826="NEW"),"",INDEX(J$1:J5825,SUMPRODUCT(MAX(ROW(E$1:E5825)*(E5826=E$1:E5825)))))</f>
        <v> </v>
      </c>
      <c r="L5826" s="27"/>
    </row>
    <row r="5827" spans="1:12">
      <c r="A5827" s="20" t="s">
        <v>1137</v>
      </c>
      <c r="E5827" s="22">
        <f>IF(D5827="?OLD","!!!","")</f>
        <v/>
      </c>
      <c r="F5827" s="23" t="str">
        <f>IF(OR(E5827="",E5827="!!!"),"",IF(NOT(ISNA(VLOOKUP(E5827,E$1:E5826,1,FALSE()))),"OLD",IF(AND(E5827&lt;&gt;"",E5827&lt;&gt;"!!!"),"NEW","")))</f>
        <v> </v>
      </c>
      <c r="G5827" s="24" t="str">
        <f>IF(OR(E5827="",E5827="!!!"),"",IF(OR(J5827=0,AND(J5827=1,K5827=1),AND(J5827=1,I5827="SBJ"),AND(J5827=1,I5827=0)),"?IN_FOCUS",IF(J5827&lt;=2,"?ACTIVATED",IF(J5827&lt;&gt;"","?FAMILIAR",IF(F5827="NEW",IF(ISNA(VLOOKUP(E5827,#REF!,1,FALSE())),"?TYPE_IDENTIFIABLE","?REFERENTIAL"),"_")))))</f>
        <v> </v>
      </c>
      <c r="H5827" s="25" t="str">
        <f>IF(J5827&lt;&gt;1,"",IF(I5827="SBJ","CB","?"))</f>
        <v> </v>
      </c>
      <c r="I5827" s="26" t="str">
        <f>IF(OR(E5827="",E5827="!!!",F5827="NEW"),"",INDEX(B5826:B$2,-1+SUMPRODUCT(MAX(ROW(E5826:E$2)*(E5827=E5826:E$2)))))</f>
        <v> </v>
      </c>
      <c r="J5827" s="26" t="str">
        <f>IF(OR(E5827="",E5827="!!!",F5827="NEW"),"",COUNTBLANK(OFFSET(A$1,,,SUMPRODUCT(MAX(ROW(E$2:E5827)*(E5827=E$2:E5827)))))-COUNTBLANK(OFFSET(A$1,,,SUMPRODUCT(MAX(ROW(E$1:E5826)*(E2=E$1:E5826))))))</f>
        <v> </v>
      </c>
      <c r="K5827" s="26" t="str">
        <f>IF(OR(E5827="",E5827="!!!",F5827="NEW"),"",INDEX(J$1:J5826,SUMPRODUCT(MAX(ROW(E$1:E5826)*(E5827=E$1:E5826)))))</f>
        <v> </v>
      </c>
      <c r="L5827" s="27"/>
    </row>
    <row r="5828" spans="1:12">
      <c r="A5828" s="20" t="s">
        <v>1019</v>
      </c>
      <c r="B5828" s="21" t="s">
        <v>1101</v>
      </c>
      <c r="E5828" s="22">
        <f>IF(D5828="?OLD","!!!","")</f>
        <v/>
      </c>
      <c r="F5828" s="23" t="str">
        <f>IF(OR(E5828="",E5828="!!!"),"",IF(NOT(ISNA(VLOOKUP(E5828,E$1:E5827,1,FALSE()))),"OLD",IF(AND(E5828&lt;&gt;"",E5828&lt;&gt;"!!!"),"NEW","")))</f>
        <v> </v>
      </c>
      <c r="G5828" s="24" t="str">
        <f>IF(OR(E5828="",E5828="!!!"),"",IF(OR(J5828=0,AND(J5828=1,K5828=1),AND(J5828=1,I5828="SBJ"),AND(J5828=1,I5828=0)),"?IN_FOCUS",IF(J5828&lt;=2,"?ACTIVATED",IF(J5828&lt;&gt;"","?FAMILIAR",IF(F5828="NEW",IF(ISNA(VLOOKUP(E5828,#REF!,1,FALSE())),"?TYPE_IDENTIFIABLE","?REFERENTIAL"),"_")))))</f>
        <v> </v>
      </c>
      <c r="H5828" s="25" t="str">
        <f>IF(J5828&lt;&gt;1,"",IF(I5828="SBJ","CB","?"))</f>
        <v> </v>
      </c>
      <c r="I5828" s="26" t="str">
        <f>IF(OR(E5828="",E5828="!!!",F5828="NEW"),"",INDEX(B5827:B$2,-1+SUMPRODUCT(MAX(ROW(E5827:E$2)*(E5828=E5827:E$2)))))</f>
        <v> </v>
      </c>
      <c r="J5828" s="26" t="str">
        <f>IF(OR(E5828="",E5828="!!!",F5828="NEW"),"",COUNTBLANK(OFFSET(A$1,,,SUMPRODUCT(MAX(ROW(E$2:E5828)*(E5828=E$2:E5828)))))-COUNTBLANK(OFFSET(A$1,,,SUMPRODUCT(MAX(ROW(E$1:E5827)*(E2=E$1:E5827))))))</f>
        <v> </v>
      </c>
      <c r="K5828" s="26" t="str">
        <f>IF(OR(E5828="",E5828="!!!",F5828="NEW"),"",INDEX(J$1:J5827,SUMPRODUCT(MAX(ROW(E$1:E5827)*(E5828=E$1:E5827)))))</f>
        <v> </v>
      </c>
      <c r="L5828" s="27"/>
    </row>
    <row r="5829" spans="1:12">
      <c r="A5829" s="20" t="s">
        <v>1008</v>
      </c>
      <c r="E5829" s="22">
        <f>IF(D5829="?OLD","!!!","")</f>
        <v/>
      </c>
      <c r="F5829" s="23" t="str">
        <f>IF(OR(E5829="",E5829="!!!"),"",IF(NOT(ISNA(VLOOKUP(E5829,E$1:E5828,1,FALSE()))),"OLD",IF(AND(E5829&lt;&gt;"",E5829&lt;&gt;"!!!"),"NEW","")))</f>
        <v> </v>
      </c>
      <c r="G5829" s="24" t="str">
        <f>IF(OR(E5829="",E5829="!!!"),"",IF(OR(J5829=0,AND(J5829=1,K5829=1),AND(J5829=1,I5829="SBJ"),AND(J5829=1,I5829=0)),"?IN_FOCUS",IF(J5829&lt;=2,"?ACTIVATED",IF(J5829&lt;&gt;"","?FAMILIAR",IF(F5829="NEW",IF(ISNA(VLOOKUP(E5829,#REF!,1,FALSE())),"?TYPE_IDENTIFIABLE","?REFERENTIAL"),"_")))))</f>
        <v> </v>
      </c>
      <c r="H5829" s="25" t="str">
        <f>IF(J5829&lt;&gt;1,"",IF(I5829="SBJ","CB","?"))</f>
        <v> </v>
      </c>
      <c r="I5829" s="26" t="str">
        <f>IF(OR(E5829="",E5829="!!!",F5829="NEW"),"",INDEX(B5828:B$2,-1+SUMPRODUCT(MAX(ROW(E5828:E$2)*(E5829=E5828:E$2)))))</f>
        <v> </v>
      </c>
      <c r="J5829" s="26" t="str">
        <f>IF(OR(E5829="",E5829="!!!",F5829="NEW"),"",COUNTBLANK(OFFSET(A$1,,,SUMPRODUCT(MAX(ROW(E$2:E5829)*(E5829=E$2:E5829)))))-COUNTBLANK(OFFSET(A$1,,,SUMPRODUCT(MAX(ROW(E$1:E5828)*(E2=E$1:E5828))))))</f>
        <v> </v>
      </c>
      <c r="K5829" s="26" t="str">
        <f>IF(OR(E5829="",E5829="!!!",F5829="NEW"),"",INDEX(J$1:J5828,SUMPRODUCT(MAX(ROW(E$1:E5828)*(E5829=E$1:E5828)))))</f>
        <v> </v>
      </c>
      <c r="L5829" s="27"/>
    </row>
    <row r="5830" spans="1:12">
      <c r="A5830" s="20" t="s">
        <v>1042</v>
      </c>
      <c r="B5830" s="21" t="s">
        <v>1005</v>
      </c>
      <c r="C5830" s="21" t="s">
        <v>1006</v>
      </c>
      <c r="E5830" s="22">
        <f>IF(D5830="?OLD","!!!","")</f>
        <v/>
      </c>
      <c r="F5830" s="23" t="str">
        <f>IF(OR(E5830="",E5830="!!!"),"",IF(NOT(ISNA(VLOOKUP(E5830,E$1:E5829,1,FALSE()))),"OLD",IF(AND(E5830&lt;&gt;"",E5830&lt;&gt;"!!!"),"NEW","")))</f>
        <v> </v>
      </c>
      <c r="G5830" s="24" t="str">
        <f>IF(OR(E5830="",E5830="!!!"),"",IF(OR(J5830=0,AND(J5830=1,K5830=1),AND(J5830=1,I5830="SBJ"),AND(J5830=1,I5830=0)),"?IN_FOCUS",IF(J5830&lt;=2,"?ACTIVATED",IF(J5830&lt;&gt;"","?FAMILIAR",IF(F5830="NEW",IF(ISNA(VLOOKUP(E5830,#REF!,1,FALSE())),"?TYPE_IDENTIFIABLE","?REFERENTIAL"),"_")))))</f>
        <v> </v>
      </c>
      <c r="H5830" s="25" t="str">
        <f>IF(J5830&lt;&gt;1,"",IF(I5830="SBJ","CB","?"))</f>
        <v> </v>
      </c>
      <c r="I5830" s="26" t="str">
        <f>IF(OR(E5830="",E5830="!!!",F5830="NEW"),"",INDEX(B5829:B$2,-1+SUMPRODUCT(MAX(ROW(E5829:E$2)*(E5830=E5829:E$2)))))</f>
        <v> </v>
      </c>
      <c r="J5830" s="26" t="str">
        <f>IF(OR(E5830="",E5830="!!!",F5830="NEW"),"",COUNTBLANK(OFFSET(A$1,,,SUMPRODUCT(MAX(ROW(E$2:E5830)*(E5830=E$2:E5830)))))-COUNTBLANK(OFFSET(A$1,,,SUMPRODUCT(MAX(ROW(E$1:E5829)*(E2=E$1:E5829))))))</f>
        <v> </v>
      </c>
      <c r="K5830" s="26" t="str">
        <f>IF(OR(E5830="",E5830="!!!",F5830="NEW"),"",INDEX(J$1:J5829,SUMPRODUCT(MAX(ROW(E$1:E5829)*(E5830=E$1:E5829)))))</f>
        <v> </v>
      </c>
      <c r="L5830" s="27"/>
    </row>
    <row r="5831" spans="1:12">
      <c r="A5831" s="20" t="s">
        <v>1082</v>
      </c>
      <c r="E5831" s="22">
        <f>IF(D5831="?OLD","!!!","")</f>
        <v/>
      </c>
      <c r="F5831" s="23" t="str">
        <f>IF(OR(E5831="",E5831="!!!"),"",IF(NOT(ISNA(VLOOKUP(E5831,E$1:E5830,1,FALSE()))),"OLD",IF(AND(E5831&lt;&gt;"",E5831&lt;&gt;"!!!"),"NEW","")))</f>
        <v> </v>
      </c>
      <c r="G5831" s="24" t="str">
        <f>IF(OR(E5831="",E5831="!!!"),"",IF(OR(J5831=0,AND(J5831=1,K5831=1),AND(J5831=1,I5831="SBJ"),AND(J5831=1,I5831=0)),"?IN_FOCUS",IF(J5831&lt;=2,"?ACTIVATED",IF(J5831&lt;&gt;"","?FAMILIAR",IF(F5831="NEW",IF(ISNA(VLOOKUP(E5831,#REF!,1,FALSE())),"?TYPE_IDENTIFIABLE","?REFERENTIAL"),"_")))))</f>
        <v> </v>
      </c>
      <c r="H5831" s="25" t="str">
        <f>IF(J5831&lt;&gt;1,"",IF(I5831="SBJ","CB","?"))</f>
        <v> </v>
      </c>
      <c r="I5831" s="26" t="str">
        <f>IF(OR(E5831="",E5831="!!!",F5831="NEW"),"",INDEX(B5830:B$2,-1+SUMPRODUCT(MAX(ROW(E5830:E$2)*(E5831=E5830:E$2)))))</f>
        <v> </v>
      </c>
      <c r="J5831" s="26" t="str">
        <f>IF(OR(E5831="",E5831="!!!",F5831="NEW"),"",COUNTBLANK(OFFSET(A$1,,,SUMPRODUCT(MAX(ROW(E$2:E5831)*(E5831=E$2:E5831)))))-COUNTBLANK(OFFSET(A$1,,,SUMPRODUCT(MAX(ROW(E$1:E5830)*(E2=E$1:E5830))))))</f>
        <v> </v>
      </c>
      <c r="K5831" s="26" t="str">
        <f>IF(OR(E5831="",E5831="!!!",F5831="NEW"),"",INDEX(J$1:J5830,SUMPRODUCT(MAX(ROW(E$1:E5830)*(E5831=E$1:E5830)))))</f>
        <v> </v>
      </c>
      <c r="L5831" s="27"/>
    </row>
    <row r="5832" spans="1:12">
      <c r="A5832" s="20" t="s">
        <v>1257</v>
      </c>
      <c r="B5832" s="21" t="s">
        <v>1114</v>
      </c>
      <c r="C5832" s="21" t="s">
        <v>996</v>
      </c>
      <c r="D5832" s="21" t="s">
        <v>997</v>
      </c>
      <c r="E5832" s="22">
        <f>IF(D5832="?OLD","!!!","")</f>
        <v/>
      </c>
      <c r="F5832" s="23" t="str">
        <f>IF(OR(E5832="",E5832="!!!"),"",IF(NOT(ISNA(VLOOKUP(E5832,E$1:E5831,1,FALSE()))),"OLD",IF(AND(E5832&lt;&gt;"",E5832&lt;&gt;"!!!"),"NEW","")))</f>
        <v> </v>
      </c>
      <c r="G5832" s="24" t="str">
        <f>IF(OR(E5832="",E5832="!!!"),"",IF(OR(J5832=0,AND(J5832=1,K5832=1),AND(J5832=1,I5832="SBJ"),AND(J5832=1,I5832=0)),"?IN_FOCUS",IF(J5832&lt;=2,"?ACTIVATED",IF(J5832&lt;&gt;"","?FAMILIAR",IF(F5832="NEW",IF(ISNA(VLOOKUP(E5832,#REF!,1,FALSE())),"?TYPE_IDENTIFIABLE","?REFERENTIAL"),"_")))))</f>
        <v> </v>
      </c>
      <c r="H5832" s="25" t="str">
        <f>IF(J5832&lt;&gt;1,"",IF(I5832="SBJ","CB","?"))</f>
        <v> </v>
      </c>
      <c r="I5832" s="26" t="str">
        <f>IF(OR(E5832="",E5832="!!!",F5832="NEW"),"",INDEX(B5831:B$2,-1+SUMPRODUCT(MAX(ROW(E5831:E$2)*(E5832=E5831:E$2)))))</f>
        <v> </v>
      </c>
      <c r="J5832" s="26" t="str">
        <f>IF(OR(E5832="",E5832="!!!",F5832="NEW"),"",COUNTBLANK(OFFSET(A$1,,,SUMPRODUCT(MAX(ROW(E$2:E5832)*(E5832=E$2:E5832)))))-COUNTBLANK(OFFSET(A$1,,,SUMPRODUCT(MAX(ROW(E$1:E5831)*(E2=E$1:E5831))))))</f>
        <v> </v>
      </c>
      <c r="K5832" s="26" t="str">
        <f>IF(OR(E5832="",E5832="!!!",F5832="NEW"),"",INDEX(J$1:J5831,SUMPRODUCT(MAX(ROW(E$1:E5831)*(E5832=E$1:E5831)))))</f>
        <v> </v>
      </c>
      <c r="L5832" s="27"/>
    </row>
    <row r="5833" spans="1:12">
      <c r="A5833" s="20" t="s">
        <v>2485</v>
      </c>
      <c r="E5833" s="22">
        <f>IF(D5833="?OLD","!!!","")</f>
        <v/>
      </c>
      <c r="F5833" s="23" t="str">
        <f>IF(OR(E5833="",E5833="!!!"),"",IF(NOT(ISNA(VLOOKUP(E5833,E$1:E5832,1,FALSE()))),"OLD",IF(AND(E5833&lt;&gt;"",E5833&lt;&gt;"!!!"),"NEW","")))</f>
        <v> </v>
      </c>
      <c r="G5833" s="24" t="str">
        <f>IF(OR(E5833="",E5833="!!!"),"",IF(OR(J5833=0,AND(J5833=1,K5833=1),AND(J5833=1,I5833="SBJ"),AND(J5833=1,I5833=0)),"?IN_FOCUS",IF(J5833&lt;=2,"?ACTIVATED",IF(J5833&lt;&gt;"","?FAMILIAR",IF(F5833="NEW",IF(ISNA(VLOOKUP(E5833,#REF!,1,FALSE())),"?TYPE_IDENTIFIABLE","?REFERENTIAL"),"_")))))</f>
        <v> </v>
      </c>
      <c r="H5833" s="25" t="str">
        <f>IF(J5833&lt;&gt;1,"",IF(I5833="SBJ","CB","?"))</f>
        <v> </v>
      </c>
      <c r="I5833" s="26" t="str">
        <f>IF(OR(E5833="",E5833="!!!",F5833="NEW"),"",INDEX(B5832:B$2,-1+SUMPRODUCT(MAX(ROW(E5832:E$2)*(E5833=E5832:E$2)))))</f>
        <v> </v>
      </c>
      <c r="J5833" s="26" t="str">
        <f>IF(OR(E5833="",E5833="!!!",F5833="NEW"),"",COUNTBLANK(OFFSET(A$1,,,SUMPRODUCT(MAX(ROW(E$2:E5833)*(E5833=E$2:E5833)))))-COUNTBLANK(OFFSET(A$1,,,SUMPRODUCT(MAX(ROW(E$1:E5832)*(E2=E$1:E5832))))))</f>
        <v> </v>
      </c>
      <c r="K5833" s="26" t="str">
        <f>IF(OR(E5833="",E5833="!!!",F5833="NEW"),"",INDEX(J$1:J5832,SUMPRODUCT(MAX(ROW(E$1:E5832)*(E5833=E$1:E5832)))))</f>
        <v> </v>
      </c>
      <c r="L5833" s="27"/>
    </row>
    <row r="5834" spans="1:12">
      <c r="A5834" s="20" t="s">
        <v>1168</v>
      </c>
      <c r="E5834" s="22">
        <f>IF(D5834="?OLD","!!!","")</f>
        <v/>
      </c>
      <c r="F5834" s="23" t="str">
        <f>IF(OR(E5834="",E5834="!!!"),"",IF(NOT(ISNA(VLOOKUP(E5834,E$1:E5833,1,FALSE()))),"OLD",IF(AND(E5834&lt;&gt;"",E5834&lt;&gt;"!!!"),"NEW","")))</f>
        <v> </v>
      </c>
      <c r="G5834" s="24" t="str">
        <f>IF(OR(E5834="",E5834="!!!"),"",IF(OR(J5834=0,AND(J5834=1,K5834=1),AND(J5834=1,I5834="SBJ"),AND(J5834=1,I5834=0)),"?IN_FOCUS",IF(J5834&lt;=2,"?ACTIVATED",IF(J5834&lt;&gt;"","?FAMILIAR",IF(F5834="NEW",IF(ISNA(VLOOKUP(E5834,#REF!,1,FALSE())),"?TYPE_IDENTIFIABLE","?REFERENTIAL"),"_")))))</f>
        <v> </v>
      </c>
      <c r="H5834" s="25" t="str">
        <f>IF(J5834&lt;&gt;1,"",IF(I5834="SBJ","CB","?"))</f>
        <v> </v>
      </c>
      <c r="I5834" s="26" t="str">
        <f>IF(OR(E5834="",E5834="!!!",F5834="NEW"),"",INDEX(B5833:B$2,-1+SUMPRODUCT(MAX(ROW(E5833:E$2)*(E5834=E5833:E$2)))))</f>
        <v> </v>
      </c>
      <c r="J5834" s="26" t="str">
        <f>IF(OR(E5834="",E5834="!!!",F5834="NEW"),"",COUNTBLANK(OFFSET(A$1,,,SUMPRODUCT(MAX(ROW(E$2:E5834)*(E5834=E$2:E5834)))))-COUNTBLANK(OFFSET(A$1,,,SUMPRODUCT(MAX(ROW(E$1:E5833)*(E2=E$1:E5833))))))</f>
        <v> </v>
      </c>
      <c r="K5834" s="26" t="str">
        <f>IF(OR(E5834="",E5834="!!!",F5834="NEW"),"",INDEX(J$1:J5833,SUMPRODUCT(MAX(ROW(E$1:E5833)*(E5834=E$1:E5833)))))</f>
        <v> </v>
      </c>
      <c r="L5834" s="27"/>
    </row>
    <row r="5835" spans="1:12">
      <c r="A5835" s="20" t="s">
        <v>338</v>
      </c>
      <c r="E5835" s="22">
        <f>IF(D5835="?OLD","!!!","")</f>
        <v/>
      </c>
      <c r="F5835" s="23" t="str">
        <f>IF(OR(E5835="",E5835="!!!"),"",IF(NOT(ISNA(VLOOKUP(E5835,E$1:E5834,1,FALSE()))),"OLD",IF(AND(E5835&lt;&gt;"",E5835&lt;&gt;"!!!"),"NEW","")))</f>
        <v> </v>
      </c>
      <c r="G5835" s="24" t="str">
        <f>IF(OR(E5835="",E5835="!!!"),"",IF(OR(J5835=0,AND(J5835=1,K5835=1),AND(J5835=1,I5835="SBJ"),AND(J5835=1,I5835=0)),"?IN_FOCUS",IF(J5835&lt;=2,"?ACTIVATED",IF(J5835&lt;&gt;"","?FAMILIAR",IF(F5835="NEW",IF(ISNA(VLOOKUP(E5835,#REF!,1,FALSE())),"?TYPE_IDENTIFIABLE","?REFERENTIAL"),"_")))))</f>
        <v> </v>
      </c>
      <c r="H5835" s="25" t="str">
        <f>IF(J5835&lt;&gt;1,"",IF(I5835="SBJ","CB","?"))</f>
        <v> </v>
      </c>
      <c r="I5835" s="26" t="str">
        <f>IF(OR(E5835="",E5835="!!!",F5835="NEW"),"",INDEX(B5834:B$2,-1+SUMPRODUCT(MAX(ROW(E5834:E$2)*(E5835=E5834:E$2)))))</f>
        <v> </v>
      </c>
      <c r="J5835" s="26" t="str">
        <f>IF(OR(E5835="",E5835="!!!",F5835="NEW"),"",COUNTBLANK(OFFSET(A$1,,,SUMPRODUCT(MAX(ROW(E$2:E5835)*(E5835=E$2:E5835)))))-COUNTBLANK(OFFSET(A$1,,,SUMPRODUCT(MAX(ROW(E$1:E5834)*(E2=E$1:E5834))))))</f>
        <v> </v>
      </c>
      <c r="K5835" s="26" t="str">
        <f>IF(OR(E5835="",E5835="!!!",F5835="NEW"),"",INDEX(J$1:J5834,SUMPRODUCT(MAX(ROW(E$1:E5834)*(E5835=E$1:E5834)))))</f>
        <v> </v>
      </c>
      <c r="L5835" s="27"/>
    </row>
    <row r="5836" spans="1:12">
      <c r="A5836" s="20" t="s">
        <v>1041</v>
      </c>
      <c r="E5836" s="22">
        <f>IF(D5836="?OLD","!!!","")</f>
        <v/>
      </c>
      <c r="F5836" s="23" t="str">
        <f>IF(OR(E5836="",E5836="!!!"),"",IF(NOT(ISNA(VLOOKUP(E5836,E$1:E5835,1,FALSE()))),"OLD",IF(AND(E5836&lt;&gt;"",E5836&lt;&gt;"!!!"),"NEW","")))</f>
        <v> </v>
      </c>
      <c r="G5836" s="24" t="str">
        <f>IF(OR(E5836="",E5836="!!!"),"",IF(OR(J5836=0,AND(J5836=1,K5836=1),AND(J5836=1,I5836="SBJ"),AND(J5836=1,I5836=0)),"?IN_FOCUS",IF(J5836&lt;=2,"?ACTIVATED",IF(J5836&lt;&gt;"","?FAMILIAR",IF(F5836="NEW",IF(ISNA(VLOOKUP(E5836,#REF!,1,FALSE())),"?TYPE_IDENTIFIABLE","?REFERENTIAL"),"_")))))</f>
        <v> </v>
      </c>
      <c r="H5836" s="25" t="str">
        <f>IF(J5836&lt;&gt;1,"",IF(I5836="SBJ","CB","?"))</f>
        <v> </v>
      </c>
      <c r="I5836" s="26" t="str">
        <f>IF(OR(E5836="",E5836="!!!",F5836="NEW"),"",INDEX(B5835:B$2,-1+SUMPRODUCT(MAX(ROW(E5835:E$2)*(E5836=E5835:E$2)))))</f>
        <v> </v>
      </c>
      <c r="J5836" s="26" t="str">
        <f>IF(OR(E5836="",E5836="!!!",F5836="NEW"),"",COUNTBLANK(OFFSET(A$1,,,SUMPRODUCT(MAX(ROW(E$2:E5836)*(E5836=E$2:E5836)))))-COUNTBLANK(OFFSET(A$1,,,SUMPRODUCT(MAX(ROW(E$1:E5835)*(E2=E$1:E5835))))))</f>
        <v> </v>
      </c>
      <c r="K5836" s="26" t="str">
        <f>IF(OR(E5836="",E5836="!!!",F5836="NEW"),"",INDEX(J$1:J5835,SUMPRODUCT(MAX(ROW(E$1:E5835)*(E5836=E$1:E5835)))))</f>
        <v> </v>
      </c>
      <c r="L5836" s="27"/>
    </row>
    <row r="5837" spans="1:12">
      <c r="A5837" s="20" t="s">
        <v>1083</v>
      </c>
      <c r="E5837" s="22">
        <f>IF(D5837="?OLD","!!!","")</f>
        <v/>
      </c>
      <c r="F5837" s="23" t="str">
        <f>IF(OR(E5837="",E5837="!!!"),"",IF(NOT(ISNA(VLOOKUP(E5837,E$1:E5836,1,FALSE()))),"OLD",IF(AND(E5837&lt;&gt;"",E5837&lt;&gt;"!!!"),"NEW","")))</f>
        <v> </v>
      </c>
      <c r="G5837" s="24" t="str">
        <f>IF(OR(E5837="",E5837="!!!"),"",IF(OR(J5837=0,AND(J5837=1,K5837=1),AND(J5837=1,I5837="SBJ"),AND(J5837=1,I5837=0)),"?IN_FOCUS",IF(J5837&lt;=2,"?ACTIVATED",IF(J5837&lt;&gt;"","?FAMILIAR",IF(F5837="NEW",IF(ISNA(VLOOKUP(E5837,#REF!,1,FALSE())),"?TYPE_IDENTIFIABLE","?REFERENTIAL"),"_")))))</f>
        <v> </v>
      </c>
      <c r="H5837" s="25" t="str">
        <f>IF(J5837&lt;&gt;1,"",IF(I5837="SBJ","CB","?"))</f>
        <v> </v>
      </c>
      <c r="I5837" s="26" t="str">
        <f>IF(OR(E5837="",E5837="!!!",F5837="NEW"),"",INDEX(B5836:B$2,-1+SUMPRODUCT(MAX(ROW(E5836:E$2)*(E5837=E5836:E$2)))))</f>
        <v> </v>
      </c>
      <c r="J5837" s="26" t="str">
        <f>IF(OR(E5837="",E5837="!!!",F5837="NEW"),"",COUNTBLANK(OFFSET(A$1,,,SUMPRODUCT(MAX(ROW(E$2:E5837)*(E5837=E$2:E5837)))))-COUNTBLANK(OFFSET(A$1,,,SUMPRODUCT(MAX(ROW(E$1:E5836)*(E2=E$1:E5836))))))</f>
        <v> </v>
      </c>
      <c r="K5837" s="26" t="str">
        <f>IF(OR(E5837="",E5837="!!!",F5837="NEW"),"",INDEX(J$1:J5836,SUMPRODUCT(MAX(ROW(E$1:E5836)*(E5837=E$1:E5836)))))</f>
        <v> </v>
      </c>
      <c r="L5837" s="27"/>
    </row>
    <row r="5838" spans="1:12">
      <c r="A5838" s="20" t="s">
        <v>1084</v>
      </c>
      <c r="E5838" s="22">
        <f>IF(D5838="?OLD","!!!","")</f>
        <v/>
      </c>
      <c r="F5838" s="23" t="str">
        <f>IF(OR(E5838="",E5838="!!!"),"",IF(NOT(ISNA(VLOOKUP(E5838,E$1:E5837,1,FALSE()))),"OLD",IF(AND(E5838&lt;&gt;"",E5838&lt;&gt;"!!!"),"NEW","")))</f>
        <v> </v>
      </c>
      <c r="G5838" s="24" t="str">
        <f>IF(OR(E5838="",E5838="!!!"),"",IF(OR(J5838=0,AND(J5838=1,K5838=1),AND(J5838=1,I5838="SBJ"),AND(J5838=1,I5838=0)),"?IN_FOCUS",IF(J5838&lt;=2,"?ACTIVATED",IF(J5838&lt;&gt;"","?FAMILIAR",IF(F5838="NEW",IF(ISNA(VLOOKUP(E5838,#REF!,1,FALSE())),"?TYPE_IDENTIFIABLE","?REFERENTIAL"),"_")))))</f>
        <v> </v>
      </c>
      <c r="H5838" s="25" t="str">
        <f>IF(J5838&lt;&gt;1,"",IF(I5838="SBJ","CB","?"))</f>
        <v> </v>
      </c>
      <c r="I5838" s="26" t="str">
        <f>IF(OR(E5838="",E5838="!!!",F5838="NEW"),"",INDEX(B5837:B$2,-1+SUMPRODUCT(MAX(ROW(E5837:E$2)*(E5838=E5837:E$2)))))</f>
        <v> </v>
      </c>
      <c r="J5838" s="26" t="str">
        <f>IF(OR(E5838="",E5838="!!!",F5838="NEW"),"",COUNTBLANK(OFFSET(A$1,,,SUMPRODUCT(MAX(ROW(E$2:E5838)*(E5838=E$2:E5838)))))-COUNTBLANK(OFFSET(A$1,,,SUMPRODUCT(MAX(ROW(E$1:E5837)*(E2=E$1:E5837))))))</f>
        <v> </v>
      </c>
      <c r="K5838" s="26" t="str">
        <f>IF(OR(E5838="",E5838="!!!",F5838="NEW"),"",INDEX(J$1:J5837,SUMPRODUCT(MAX(ROW(E$1:E5837)*(E5838=E$1:E5837)))))</f>
        <v> </v>
      </c>
      <c r="L5838" s="27"/>
    </row>
    <row r="5839" spans="1:12">
      <c r="A5839" s="20" t="s">
        <v>1154</v>
      </c>
      <c r="E5839" s="22">
        <f>IF(D5839="?OLD","!!!","")</f>
        <v/>
      </c>
      <c r="F5839" s="23" t="str">
        <f>IF(OR(E5839="",E5839="!!!"),"",IF(NOT(ISNA(VLOOKUP(E5839,E$1:E5838,1,FALSE()))),"OLD",IF(AND(E5839&lt;&gt;"",E5839&lt;&gt;"!!!"),"NEW","")))</f>
        <v> </v>
      </c>
      <c r="G5839" s="24" t="str">
        <f>IF(OR(E5839="",E5839="!!!"),"",IF(OR(J5839=0,AND(J5839=1,K5839=1),AND(J5839=1,I5839="SBJ"),AND(J5839=1,I5839=0)),"?IN_FOCUS",IF(J5839&lt;=2,"?ACTIVATED",IF(J5839&lt;&gt;"","?FAMILIAR",IF(F5839="NEW",IF(ISNA(VLOOKUP(E5839,#REF!,1,FALSE())),"?TYPE_IDENTIFIABLE","?REFERENTIAL"),"_")))))</f>
        <v> </v>
      </c>
      <c r="H5839" s="25" t="str">
        <f>IF(J5839&lt;&gt;1,"",IF(I5839="SBJ","CB","?"))</f>
        <v> </v>
      </c>
      <c r="I5839" s="26" t="str">
        <f>IF(OR(E5839="",E5839="!!!",F5839="NEW"),"",INDEX(B5838:B$2,-1+SUMPRODUCT(MAX(ROW(E5838:E$2)*(E5839=E5838:E$2)))))</f>
        <v> </v>
      </c>
      <c r="J5839" s="26" t="str">
        <f>IF(OR(E5839="",E5839="!!!",F5839="NEW"),"",COUNTBLANK(OFFSET(A$1,,,SUMPRODUCT(MAX(ROW(E$2:E5839)*(E5839=E$2:E5839)))))-COUNTBLANK(OFFSET(A$1,,,SUMPRODUCT(MAX(ROW(E$1:E5838)*(E2=E$1:E5838))))))</f>
        <v> </v>
      </c>
      <c r="K5839" s="26" t="str">
        <f>IF(OR(E5839="",E5839="!!!",F5839="NEW"),"",INDEX(J$1:J5838,SUMPRODUCT(MAX(ROW(E$1:E5838)*(E5839=E$1:E5838)))))</f>
        <v> </v>
      </c>
      <c r="L5839" s="27"/>
    </row>
    <row r="5840" spans="1:12">
      <c r="A5840" s="20" t="s">
        <v>1144</v>
      </c>
      <c r="E5840" s="22">
        <f>IF(D5840="?OLD","!!!","")</f>
        <v/>
      </c>
      <c r="F5840" s="23" t="str">
        <f>IF(OR(E5840="",E5840="!!!"),"",IF(NOT(ISNA(VLOOKUP(E5840,E$1:E5839,1,FALSE()))),"OLD",IF(AND(E5840&lt;&gt;"",E5840&lt;&gt;"!!!"),"NEW","")))</f>
        <v> </v>
      </c>
      <c r="G5840" s="24" t="str">
        <f>IF(OR(E5840="",E5840="!!!"),"",IF(OR(J5840=0,AND(J5840=1,K5840=1),AND(J5840=1,I5840="SBJ"),AND(J5840=1,I5840=0)),"?IN_FOCUS",IF(J5840&lt;=2,"?ACTIVATED",IF(J5840&lt;&gt;"","?FAMILIAR",IF(F5840="NEW",IF(ISNA(VLOOKUP(E5840,#REF!,1,FALSE())),"?TYPE_IDENTIFIABLE","?REFERENTIAL"),"_")))))</f>
        <v> </v>
      </c>
      <c r="H5840" s="25" t="str">
        <f>IF(J5840&lt;&gt;1,"",IF(I5840="SBJ","CB","?"))</f>
        <v> </v>
      </c>
      <c r="I5840" s="26" t="str">
        <f>IF(OR(E5840="",E5840="!!!",F5840="NEW"),"",INDEX(B5839:B$2,-1+SUMPRODUCT(MAX(ROW(E5839:E$2)*(E5840=E5839:E$2)))))</f>
        <v> </v>
      </c>
      <c r="J5840" s="26" t="str">
        <f>IF(OR(E5840="",E5840="!!!",F5840="NEW"),"",COUNTBLANK(OFFSET(A$1,,,SUMPRODUCT(MAX(ROW(E$2:E5840)*(E5840=E$2:E5840)))))-COUNTBLANK(OFFSET(A$1,,,SUMPRODUCT(MAX(ROW(E$1:E5839)*(E2=E$1:E5839))))))</f>
        <v> </v>
      </c>
      <c r="K5840" s="26" t="str">
        <f>IF(OR(E5840="",E5840="!!!",F5840="NEW"),"",INDEX(J$1:J5839,SUMPRODUCT(MAX(ROW(E$1:E5839)*(E5840=E$1:E5839)))))</f>
        <v> </v>
      </c>
      <c r="L5840" s="27"/>
    </row>
    <row r="5841" spans="1:12">
      <c r="A5841" s="20" t="s">
        <v>2486</v>
      </c>
      <c r="B5841" s="21" t="s">
        <v>1001</v>
      </c>
      <c r="C5841" s="21" t="s">
        <v>1089</v>
      </c>
      <c r="E5841" s="22">
        <f>IF(D5841="?OLD","!!!","")</f>
        <v/>
      </c>
      <c r="F5841" s="23" t="str">
        <f>IF(OR(E5841="",E5841="!!!"),"",IF(NOT(ISNA(VLOOKUP(E5841,E$1:E5840,1,FALSE()))),"OLD",IF(AND(E5841&lt;&gt;"",E5841&lt;&gt;"!!!"),"NEW","")))</f>
        <v> </v>
      </c>
      <c r="G5841" s="24" t="str">
        <f>IF(OR(E5841="",E5841="!!!"),"",IF(OR(J5841=0,AND(J5841=1,K5841=1),AND(J5841=1,I5841="SBJ"),AND(J5841=1,I5841=0)),"?IN_FOCUS",IF(J5841&lt;=2,"?ACTIVATED",IF(J5841&lt;&gt;"","?FAMILIAR",IF(F5841="NEW",IF(ISNA(VLOOKUP(E5841,#REF!,1,FALSE())),"?TYPE_IDENTIFIABLE","?REFERENTIAL"),"_")))))</f>
        <v> </v>
      </c>
      <c r="H5841" s="25" t="str">
        <f>IF(J5841&lt;&gt;1,"",IF(I5841="SBJ","CB","?"))</f>
        <v> </v>
      </c>
      <c r="I5841" s="26" t="str">
        <f>IF(OR(E5841="",E5841="!!!",F5841="NEW"),"",INDEX(B5840:B$2,-1+SUMPRODUCT(MAX(ROW(E5840:E$2)*(E5841=E5840:E$2)))))</f>
        <v> </v>
      </c>
      <c r="J5841" s="26" t="str">
        <f>IF(OR(E5841="",E5841="!!!",F5841="NEW"),"",COUNTBLANK(OFFSET(A$1,,,SUMPRODUCT(MAX(ROW(E$2:E5841)*(E5841=E$2:E5841)))))-COUNTBLANK(OFFSET(A$1,,,SUMPRODUCT(MAX(ROW(E$1:E5840)*(E2=E$1:E5840))))))</f>
        <v> </v>
      </c>
      <c r="K5841" s="26" t="str">
        <f>IF(OR(E5841="",E5841="!!!",F5841="NEW"),"",INDEX(J$1:J5840,SUMPRODUCT(MAX(ROW(E$1:E5840)*(E5841=E$1:E5840)))))</f>
        <v> </v>
      </c>
      <c r="L5841" s="27"/>
    </row>
    <row r="5842" spans="1:12">
      <c r="A5842" s="20" t="s">
        <v>1073</v>
      </c>
      <c r="E5842" s="22">
        <f>IF(D5842="?OLD","!!!","")</f>
        <v/>
      </c>
      <c r="F5842" s="23" t="str">
        <f>IF(OR(E5842="",E5842="!!!"),"",IF(NOT(ISNA(VLOOKUP(E5842,E$1:E5841,1,FALSE()))),"OLD",IF(AND(E5842&lt;&gt;"",E5842&lt;&gt;"!!!"),"NEW","")))</f>
        <v> </v>
      </c>
      <c r="G5842" s="24" t="str">
        <f>IF(OR(E5842="",E5842="!!!"),"",IF(OR(J5842=0,AND(J5842=1,K5842=1),AND(J5842=1,I5842="SBJ"),AND(J5842=1,I5842=0)),"?IN_FOCUS",IF(J5842&lt;=2,"?ACTIVATED",IF(J5842&lt;&gt;"","?FAMILIAR",IF(F5842="NEW",IF(ISNA(VLOOKUP(E5842,#REF!,1,FALSE())),"?TYPE_IDENTIFIABLE","?REFERENTIAL"),"_")))))</f>
        <v> </v>
      </c>
      <c r="H5842" s="25" t="str">
        <f>IF(J5842&lt;&gt;1,"",IF(I5842="SBJ","CB","?"))</f>
        <v> </v>
      </c>
      <c r="I5842" s="26" t="str">
        <f>IF(OR(E5842="",E5842="!!!",F5842="NEW"),"",INDEX(B5841:B$2,-1+SUMPRODUCT(MAX(ROW(E5841:E$2)*(E5842=E5841:E$2)))))</f>
        <v> </v>
      </c>
      <c r="J5842" s="26" t="str">
        <f>IF(OR(E5842="",E5842="!!!",F5842="NEW"),"",COUNTBLANK(OFFSET(A$1,,,SUMPRODUCT(MAX(ROW(E$2:E5842)*(E5842=E$2:E5842)))))-COUNTBLANK(OFFSET(A$1,,,SUMPRODUCT(MAX(ROW(E$1:E5841)*(E2=E$1:E5841))))))</f>
        <v> </v>
      </c>
      <c r="K5842" s="26" t="str">
        <f>IF(OR(E5842="",E5842="!!!",F5842="NEW"),"",INDEX(J$1:J5841,SUMPRODUCT(MAX(ROW(E$1:E5841)*(E5842=E$1:E5841)))))</f>
        <v> </v>
      </c>
      <c r="L5842" s="27"/>
    </row>
    <row r="5843" spans="1:12">
      <c r="A5843" s="20" t="s">
        <v>1018</v>
      </c>
      <c r="E5843" s="22">
        <f>IF(D5843="?OLD","!!!","")</f>
        <v/>
      </c>
      <c r="F5843" s="23" t="str">
        <f>IF(OR(E5843="",E5843="!!!"),"",IF(NOT(ISNA(VLOOKUP(E5843,E$1:E5842,1,FALSE()))),"OLD",IF(AND(E5843&lt;&gt;"",E5843&lt;&gt;"!!!"),"NEW","")))</f>
        <v> </v>
      </c>
      <c r="G5843" s="24" t="str">
        <f>IF(OR(E5843="",E5843="!!!"),"",IF(OR(J5843=0,AND(J5843=1,K5843=1),AND(J5843=1,I5843="SBJ"),AND(J5843=1,I5843=0)),"?IN_FOCUS",IF(J5843&lt;=2,"?ACTIVATED",IF(J5843&lt;&gt;"","?FAMILIAR",IF(F5843="NEW",IF(ISNA(VLOOKUP(E5843,#REF!,1,FALSE())),"?TYPE_IDENTIFIABLE","?REFERENTIAL"),"_")))))</f>
        <v> </v>
      </c>
      <c r="H5843" s="25" t="str">
        <f>IF(J5843&lt;&gt;1,"",IF(I5843="SBJ","CB","?"))</f>
        <v> </v>
      </c>
      <c r="I5843" s="26" t="str">
        <f>IF(OR(E5843="",E5843="!!!",F5843="NEW"),"",INDEX(B5842:B$2,-1+SUMPRODUCT(MAX(ROW(E5842:E$2)*(E5843=E5842:E$2)))))</f>
        <v> </v>
      </c>
      <c r="J5843" s="26" t="str">
        <f>IF(OR(E5843="",E5843="!!!",F5843="NEW"),"",COUNTBLANK(OFFSET(A$1,,,SUMPRODUCT(MAX(ROW(E$2:E5843)*(E5843=E$2:E5843)))))-COUNTBLANK(OFFSET(A$1,,,SUMPRODUCT(MAX(ROW(E$1:E5842)*(E2=E$1:E5842))))))</f>
        <v> </v>
      </c>
      <c r="K5843" s="26" t="str">
        <f>IF(OR(E5843="",E5843="!!!",F5843="NEW"),"",INDEX(J$1:J5842,SUMPRODUCT(MAX(ROW(E$1:E5842)*(E5843=E$1:E5842)))))</f>
        <v> </v>
      </c>
      <c r="L5843" s="27"/>
    </row>
    <row r="5844" spans="1:12">
      <c r="A5844" s="20" t="s">
        <v>2399</v>
      </c>
      <c r="B5844" s="21" t="s">
        <v>1005</v>
      </c>
      <c r="C5844" s="21" t="s">
        <v>1089</v>
      </c>
      <c r="E5844" s="22">
        <f>IF(D5844="?OLD","!!!","")</f>
        <v/>
      </c>
      <c r="F5844" s="23" t="str">
        <f>IF(OR(E5844="",E5844="!!!"),"",IF(NOT(ISNA(VLOOKUP(E5844,E$1:E5843,1,FALSE()))),"OLD",IF(AND(E5844&lt;&gt;"",E5844&lt;&gt;"!!!"),"NEW","")))</f>
        <v> </v>
      </c>
      <c r="G5844" s="24" t="str">
        <f>IF(OR(E5844="",E5844="!!!"),"",IF(OR(J5844=0,AND(J5844=1,K5844=1),AND(J5844=1,I5844="SBJ"),AND(J5844=1,I5844=0)),"?IN_FOCUS",IF(J5844&lt;=2,"?ACTIVATED",IF(J5844&lt;&gt;"","?FAMILIAR",IF(F5844="NEW",IF(ISNA(VLOOKUP(E5844,#REF!,1,FALSE())),"?TYPE_IDENTIFIABLE","?REFERENTIAL"),"_")))))</f>
        <v> </v>
      </c>
      <c r="H5844" s="25" t="str">
        <f>IF(J5844&lt;&gt;1,"",IF(I5844="SBJ","CB","?"))</f>
        <v> </v>
      </c>
      <c r="I5844" s="26" t="str">
        <f>IF(OR(E5844="",E5844="!!!",F5844="NEW"),"",INDEX(B5843:B$2,-1+SUMPRODUCT(MAX(ROW(E5843:E$2)*(E5844=E5843:E$2)))))</f>
        <v> </v>
      </c>
      <c r="J5844" s="26" t="str">
        <f>IF(OR(E5844="",E5844="!!!",F5844="NEW"),"",COUNTBLANK(OFFSET(A$1,,,SUMPRODUCT(MAX(ROW(E$2:E5844)*(E5844=E$2:E5844)))))-COUNTBLANK(OFFSET(A$1,,,SUMPRODUCT(MAX(ROW(E$1:E5843)*(E2=E$1:E5843))))))</f>
        <v> </v>
      </c>
      <c r="K5844" s="26" t="str">
        <f>IF(OR(E5844="",E5844="!!!",F5844="NEW"),"",INDEX(J$1:J5843,SUMPRODUCT(MAX(ROW(E$1:E5843)*(E5844=E$1:E5843)))))</f>
        <v> </v>
      </c>
      <c r="L5844" s="27"/>
    </row>
    <row r="5845" spans="1:12">
      <c r="A5845" s="20" t="s">
        <v>1049</v>
      </c>
      <c r="E5845" s="22">
        <f>IF(D5845="?OLD","!!!","")</f>
        <v/>
      </c>
      <c r="F5845" s="23" t="str">
        <f>IF(OR(E5845="",E5845="!!!"),"",IF(NOT(ISNA(VLOOKUP(E5845,E$1:E5844,1,FALSE()))),"OLD",IF(AND(E5845&lt;&gt;"",E5845&lt;&gt;"!!!"),"NEW","")))</f>
        <v> </v>
      </c>
      <c r="G5845" s="24" t="str">
        <f>IF(OR(E5845="",E5845="!!!"),"",IF(OR(J5845=0,AND(J5845=1,K5845=1),AND(J5845=1,I5845="SBJ"),AND(J5845=1,I5845=0)),"?IN_FOCUS",IF(J5845&lt;=2,"?ACTIVATED",IF(J5845&lt;&gt;"","?FAMILIAR",IF(F5845="NEW",IF(ISNA(VLOOKUP(E5845,#REF!,1,FALSE())),"?TYPE_IDENTIFIABLE","?REFERENTIAL"),"_")))))</f>
        <v> </v>
      </c>
      <c r="H5845" s="25" t="str">
        <f>IF(J5845&lt;&gt;1,"",IF(I5845="SBJ","CB","?"))</f>
        <v> </v>
      </c>
      <c r="I5845" s="26" t="str">
        <f>IF(OR(E5845="",E5845="!!!",F5845="NEW"),"",INDEX(B5844:B$2,-1+SUMPRODUCT(MAX(ROW(E5844:E$2)*(E5845=E5844:E$2)))))</f>
        <v> </v>
      </c>
      <c r="J5845" s="26" t="str">
        <f>IF(OR(E5845="",E5845="!!!",F5845="NEW"),"",COUNTBLANK(OFFSET(A$1,,,SUMPRODUCT(MAX(ROW(E$2:E5845)*(E5845=E$2:E5845)))))-COUNTBLANK(OFFSET(A$1,,,SUMPRODUCT(MAX(ROW(E$1:E5844)*(E2=E$1:E5844))))))</f>
        <v> </v>
      </c>
      <c r="K5845" s="26" t="str">
        <f>IF(OR(E5845="",E5845="!!!",F5845="NEW"),"",INDEX(J$1:J5844,SUMPRODUCT(MAX(ROW(E$1:E5844)*(E5845=E$1:E5844)))))</f>
        <v> </v>
      </c>
      <c r="L5845" s="27"/>
    </row>
    <row r="5846" spans="1:12">
      <c r="A5846" s="20" t="s">
        <v>1014</v>
      </c>
      <c r="B5846" s="21" t="s">
        <v>1010</v>
      </c>
      <c r="C5846" s="21" t="s">
        <v>1015</v>
      </c>
      <c r="D5846" s="21" t="s">
        <v>997</v>
      </c>
      <c r="E5846" s="22">
        <f>IF(D5846="?OLD","!!!","")</f>
        <v/>
      </c>
      <c r="F5846" s="23" t="str">
        <f>IF(OR(E5846="",E5846="!!!"),"",IF(NOT(ISNA(VLOOKUP(E5846,E$1:E5845,1,FALSE()))),"OLD",IF(AND(E5846&lt;&gt;"",E5846&lt;&gt;"!!!"),"NEW","")))</f>
        <v> </v>
      </c>
      <c r="G5846" s="24" t="str">
        <f>IF(OR(E5846="",E5846="!!!"),"",IF(OR(J5846=0,AND(J5846=1,K5846=1),AND(J5846=1,I5846="SBJ"),AND(J5846=1,I5846=0)),"?IN_FOCUS",IF(J5846&lt;=2,"?ACTIVATED",IF(J5846&lt;&gt;"","?FAMILIAR",IF(F5846="NEW",IF(ISNA(VLOOKUP(E5846,#REF!,1,FALSE())),"?TYPE_IDENTIFIABLE","?REFERENTIAL"),"_")))))</f>
        <v> </v>
      </c>
      <c r="H5846" s="25" t="str">
        <f>IF(J5846&lt;&gt;1,"",IF(I5846="SBJ","CB","?"))</f>
        <v> </v>
      </c>
      <c r="I5846" s="26" t="str">
        <f>IF(OR(E5846="",E5846="!!!",F5846="NEW"),"",INDEX(B5845:B$2,-1+SUMPRODUCT(MAX(ROW(E5845:E$2)*(E5846=E5845:E$2)))))</f>
        <v> </v>
      </c>
      <c r="J5846" s="26" t="str">
        <f>IF(OR(E5846="",E5846="!!!",F5846="NEW"),"",COUNTBLANK(OFFSET(A$1,,,SUMPRODUCT(MAX(ROW(E$2:E5846)*(E5846=E$2:E5846)))))-COUNTBLANK(OFFSET(A$1,,,SUMPRODUCT(MAX(ROW(E$1:E5845)*(E2=E$1:E5845))))))</f>
        <v> </v>
      </c>
      <c r="K5846" s="26" t="str">
        <f>IF(OR(E5846="",E5846="!!!",F5846="NEW"),"",INDEX(J$1:J5845,SUMPRODUCT(MAX(ROW(E$1:E5845)*(E5846=E$1:E5845)))))</f>
        <v> </v>
      </c>
      <c r="L5846" s="27"/>
    </row>
    <row r="5847" spans="1:12">
      <c r="A5847" s="20" t="s">
        <v>1011</v>
      </c>
      <c r="E5847" s="22">
        <f>IF(D5847="?OLD","!!!","")</f>
        <v/>
      </c>
      <c r="F5847" s="23" t="str">
        <f>IF(OR(E5847="",E5847="!!!"),"",IF(NOT(ISNA(VLOOKUP(E5847,E$1:E5846,1,FALSE()))),"OLD",IF(AND(E5847&lt;&gt;"",E5847&lt;&gt;"!!!"),"NEW","")))</f>
        <v> </v>
      </c>
      <c r="G5847" s="24" t="str">
        <f>IF(OR(E5847="",E5847="!!!"),"",IF(OR(J5847=0,AND(J5847=1,K5847=1),AND(J5847=1,I5847="SBJ"),AND(J5847=1,I5847=0)),"?IN_FOCUS",IF(J5847&lt;=2,"?ACTIVATED",IF(J5847&lt;&gt;"","?FAMILIAR",IF(F5847="NEW",IF(ISNA(VLOOKUP(E5847,#REF!,1,FALSE())),"?TYPE_IDENTIFIABLE","?REFERENTIAL"),"_")))))</f>
        <v> </v>
      </c>
      <c r="H5847" s="25" t="str">
        <f>IF(J5847&lt;&gt;1,"",IF(I5847="SBJ","CB","?"))</f>
        <v> </v>
      </c>
      <c r="I5847" s="26" t="str">
        <f>IF(OR(E5847="",E5847="!!!",F5847="NEW"),"",INDEX(B5846:B$2,-1+SUMPRODUCT(MAX(ROW(E5846:E$2)*(E5847=E5846:E$2)))))</f>
        <v> </v>
      </c>
      <c r="J5847" s="26" t="str">
        <f>IF(OR(E5847="",E5847="!!!",F5847="NEW"),"",COUNTBLANK(OFFSET(A$1,,,SUMPRODUCT(MAX(ROW(E$2:E5847)*(E5847=E$2:E5847)))))-COUNTBLANK(OFFSET(A$1,,,SUMPRODUCT(MAX(ROW(E$1:E5846)*(E2=E$1:E5846))))))</f>
        <v> </v>
      </c>
      <c r="K5847" s="26" t="str">
        <f>IF(OR(E5847="",E5847="!!!",F5847="NEW"),"",INDEX(J$1:J5846,SUMPRODUCT(MAX(ROW(E$1:E5846)*(E5847=E$1:E5846)))))</f>
        <v> </v>
      </c>
      <c r="L5847" s="27"/>
    </row>
    <row r="5848" spans="1:12">
      <c r="A5848" s="20"/>
    </row>
    <row r="5849" spans="1:12">
      <c r="A5849" s="20" t="s">
        <v>2487</v>
      </c>
    </row>
    <row r="5850" spans="1:12">
      <c r="A5850" s="20" t="s">
        <v>1076</v>
      </c>
      <c r="E5850" s="22">
        <f>IF(D5850="?OLD","!!!","")</f>
        <v/>
      </c>
      <c r="F5850" s="23" t="str">
        <f>IF(OR(E5850="",E5850="!!!"),"",IF(NOT(ISNA(VLOOKUP(E5850,E$1:E5849,1,FALSE()))),"OLD",IF(AND(E5850&lt;&gt;"",E5850&lt;&gt;"!!!"),"NEW","")))</f>
        <v> </v>
      </c>
      <c r="G5850" s="24" t="str">
        <f>IF(OR(E5850="",E5850="!!!"),"",IF(OR(J5850=0,AND(J5850=1,K5850=1),AND(J5850=1,I5850="SBJ"),AND(J5850=1,I5850=0)),"?IN_FOCUS",IF(J5850&lt;=2,"?ACTIVATED",IF(J5850&lt;&gt;"","?FAMILIAR",IF(F5850="NEW",IF(ISNA(VLOOKUP(E5850,#REF!,1,FALSE())),"?TYPE_IDENTIFIABLE","?REFERENTIAL"),"_")))))</f>
        <v> </v>
      </c>
      <c r="H5850" s="25" t="str">
        <f>IF(J5850&lt;&gt;1,"",IF(I5850="SBJ","CB","?"))</f>
        <v> </v>
      </c>
      <c r="I5850" s="26" t="str">
        <f>IF(OR(E5850="",E5850="!!!",F5850="NEW"),"",INDEX(B5849:B$2,-1+SUMPRODUCT(MAX(ROW(E5849:E$2)*(E5850=E5849:E$2)))))</f>
        <v> </v>
      </c>
      <c r="J5850" s="26" t="str">
        <f>IF(OR(E5850="",E5850="!!!",F5850="NEW"),"",COUNTBLANK(OFFSET(A$1,,,SUMPRODUCT(MAX(ROW(E$2:E5850)*(E5850=E$2:E5850)))))-COUNTBLANK(OFFSET(A$1,,,SUMPRODUCT(MAX(ROW(E$1:E5849)*(E2=E$1:E5849))))))</f>
        <v> </v>
      </c>
      <c r="K5850" s="26" t="str">
        <f>IF(OR(E5850="",E5850="!!!",F5850="NEW"),"",INDEX(J$1:J5849,SUMPRODUCT(MAX(ROW(E$1:E5849)*(E5850=E$1:E5849)))))</f>
        <v> </v>
      </c>
      <c r="L5850" s="27"/>
    </row>
    <row r="5851" spans="1:12">
      <c r="A5851" s="20" t="s">
        <v>2488</v>
      </c>
      <c r="E5851" s="22">
        <f>IF(D5851="?OLD","!!!","")</f>
        <v/>
      </c>
      <c r="F5851" s="23" t="str">
        <f>IF(OR(E5851="",E5851="!!!"),"",IF(NOT(ISNA(VLOOKUP(E5851,E$1:E5850,1,FALSE()))),"OLD",IF(AND(E5851&lt;&gt;"",E5851&lt;&gt;"!!!"),"NEW","")))</f>
        <v> </v>
      </c>
      <c r="G5851" s="24" t="str">
        <f>IF(OR(E5851="",E5851="!!!"),"",IF(OR(J5851=0,AND(J5851=1,K5851=1),AND(J5851=1,I5851="SBJ"),AND(J5851=1,I5851=0)),"?IN_FOCUS",IF(J5851&lt;=2,"?ACTIVATED",IF(J5851&lt;&gt;"","?FAMILIAR",IF(F5851="NEW",IF(ISNA(VLOOKUP(E5851,#REF!,1,FALSE())),"?TYPE_IDENTIFIABLE","?REFERENTIAL"),"_")))))</f>
        <v> </v>
      </c>
      <c r="H5851" s="25" t="str">
        <f>IF(J5851&lt;&gt;1,"",IF(I5851="SBJ","CB","?"))</f>
        <v> </v>
      </c>
      <c r="I5851" s="26" t="str">
        <f>IF(OR(E5851="",E5851="!!!",F5851="NEW"),"",INDEX(B5850:B$2,-1+SUMPRODUCT(MAX(ROW(E5850:E$2)*(E5851=E5850:E$2)))))</f>
        <v> </v>
      </c>
      <c r="J5851" s="26" t="str">
        <f>IF(OR(E5851="",E5851="!!!",F5851="NEW"),"",COUNTBLANK(OFFSET(A$1,,,SUMPRODUCT(MAX(ROW(E$2:E5851)*(E5851=E$2:E5851)))))-COUNTBLANK(OFFSET(A$1,,,SUMPRODUCT(MAX(ROW(E$1:E5850)*(E2=E$1:E5850))))))</f>
        <v> </v>
      </c>
      <c r="K5851" s="26" t="str">
        <f>IF(OR(E5851="",E5851="!!!",F5851="NEW"),"",INDEX(J$1:J5850,SUMPRODUCT(MAX(ROW(E$1:E5850)*(E5851=E$1:E5850)))))</f>
        <v> </v>
      </c>
      <c r="L5851" s="27"/>
    </row>
    <row r="5852" spans="1:12">
      <c r="A5852" s="20" t="s">
        <v>408</v>
      </c>
      <c r="B5852" s="21" t="s">
        <v>995</v>
      </c>
      <c r="C5852" s="21" t="s">
        <v>1034</v>
      </c>
      <c r="D5852" s="21" t="s">
        <v>997</v>
      </c>
      <c r="E5852" s="22">
        <f>IF(D5852="?OLD","!!!","")</f>
        <v/>
      </c>
      <c r="F5852" s="23" t="str">
        <f>IF(OR(E5852="",E5852="!!!"),"",IF(NOT(ISNA(VLOOKUP(E5852,E$1:E5851,1,FALSE()))),"OLD",IF(AND(E5852&lt;&gt;"",E5852&lt;&gt;"!!!"),"NEW","")))</f>
        <v> </v>
      </c>
      <c r="G5852" s="24" t="str">
        <f>IF(OR(E5852="",E5852="!!!"),"",IF(OR(J5852=0,AND(J5852=1,K5852=1),AND(J5852=1,I5852="SBJ"),AND(J5852=1,I5852=0)),"?IN_FOCUS",IF(J5852&lt;=2,"?ACTIVATED",IF(J5852&lt;&gt;"","?FAMILIAR",IF(F5852="NEW",IF(ISNA(VLOOKUP(E5852,#REF!,1,FALSE())),"?TYPE_IDENTIFIABLE","?REFERENTIAL"),"_")))))</f>
        <v> </v>
      </c>
      <c r="H5852" s="25" t="str">
        <f>IF(J5852&lt;&gt;1,"",IF(I5852="SBJ","CB","?"))</f>
        <v> </v>
      </c>
      <c r="I5852" s="26" t="str">
        <f>IF(OR(E5852="",E5852="!!!",F5852="NEW"),"",INDEX(B5851:B$2,-1+SUMPRODUCT(MAX(ROW(E5851:E$2)*(E5852=E5851:E$2)))))</f>
        <v> </v>
      </c>
      <c r="J5852" s="26" t="str">
        <f>IF(OR(E5852="",E5852="!!!",F5852="NEW"),"",COUNTBLANK(OFFSET(A$1,,,SUMPRODUCT(MAX(ROW(E$2:E5852)*(E5852=E$2:E5852)))))-COUNTBLANK(OFFSET(A$1,,,SUMPRODUCT(MAX(ROW(E$1:E5851)*(E2=E$1:E5851))))))</f>
        <v> </v>
      </c>
      <c r="K5852" s="26" t="str">
        <f>IF(OR(E5852="",E5852="!!!",F5852="NEW"),"",INDEX(J$1:J5851,SUMPRODUCT(MAX(ROW(E$1:E5851)*(E5852=E$1:E5851)))))</f>
        <v> </v>
      </c>
      <c r="L5852" s="27"/>
    </row>
    <row r="5853" spans="1:12">
      <c r="A5853" s="20" t="s">
        <v>1022</v>
      </c>
      <c r="B5853" s="21" t="s">
        <v>1039</v>
      </c>
      <c r="E5853" s="22">
        <f>IF(D5853="?OLD","!!!","")</f>
        <v/>
      </c>
      <c r="F5853" s="23" t="str">
        <f>IF(OR(E5853="",E5853="!!!"),"",IF(NOT(ISNA(VLOOKUP(E5853,E$1:E5852,1,FALSE()))),"OLD",IF(AND(E5853&lt;&gt;"",E5853&lt;&gt;"!!!"),"NEW","")))</f>
        <v> </v>
      </c>
      <c r="G5853" s="24" t="str">
        <f>IF(OR(E5853="",E5853="!!!"),"",IF(OR(J5853=0,AND(J5853=1,K5853=1),AND(J5853=1,I5853="SBJ"),AND(J5853=1,I5853=0)),"?IN_FOCUS",IF(J5853&lt;=2,"?ACTIVATED",IF(J5853&lt;&gt;"","?FAMILIAR",IF(F5853="NEW",IF(ISNA(VLOOKUP(E5853,#REF!,1,FALSE())),"?TYPE_IDENTIFIABLE","?REFERENTIAL"),"_")))))</f>
        <v> </v>
      </c>
      <c r="H5853" s="25" t="str">
        <f>IF(J5853&lt;&gt;1,"",IF(I5853="SBJ","CB","?"))</f>
        <v> </v>
      </c>
      <c r="I5853" s="26" t="str">
        <f>IF(OR(E5853="",E5853="!!!",F5853="NEW"),"",INDEX(B5852:B$2,-1+SUMPRODUCT(MAX(ROW(E5852:E$2)*(E5853=E5852:E$2)))))</f>
        <v> </v>
      </c>
      <c r="J5853" s="26" t="str">
        <f>IF(OR(E5853="",E5853="!!!",F5853="NEW"),"",COUNTBLANK(OFFSET(A$1,,,SUMPRODUCT(MAX(ROW(E$2:E5853)*(E5853=E$2:E5853)))))-COUNTBLANK(OFFSET(A$1,,,SUMPRODUCT(MAX(ROW(E$1:E5852)*(E2=E$1:E5852))))))</f>
        <v> </v>
      </c>
      <c r="K5853" s="26" t="str">
        <f>IF(OR(E5853="",E5853="!!!",F5853="NEW"),"",INDEX(J$1:J5852,SUMPRODUCT(MAX(ROW(E$1:E5852)*(E5853=E$1:E5852)))))</f>
        <v> </v>
      </c>
      <c r="L5853" s="27"/>
    </row>
    <row r="5854" spans="1:12">
      <c r="A5854" s="20" t="s">
        <v>1044</v>
      </c>
      <c r="B5854" s="21" t="s">
        <v>1027</v>
      </c>
      <c r="C5854" s="21" t="s">
        <v>996</v>
      </c>
      <c r="D5854" s="21" t="s">
        <v>997</v>
      </c>
      <c r="E5854" s="22">
        <f>IF(D5854="?OLD","!!!","")</f>
        <v/>
      </c>
      <c r="F5854" s="23" t="str">
        <f>IF(OR(E5854="",E5854="!!!"),"",IF(NOT(ISNA(VLOOKUP(E5854,E$1:E5853,1,FALSE()))),"OLD",IF(AND(E5854&lt;&gt;"",E5854&lt;&gt;"!!!"),"NEW","")))</f>
        <v> </v>
      </c>
      <c r="G5854" s="24" t="str">
        <f>IF(OR(E5854="",E5854="!!!"),"",IF(OR(J5854=0,AND(J5854=1,K5854=1),AND(J5854=1,I5854="SBJ"),AND(J5854=1,I5854=0)),"?IN_FOCUS",IF(J5854&lt;=2,"?ACTIVATED",IF(J5854&lt;&gt;"","?FAMILIAR",IF(F5854="NEW",IF(ISNA(VLOOKUP(E5854,#REF!,1,FALSE())),"?TYPE_IDENTIFIABLE","?REFERENTIAL"),"_")))))</f>
        <v> </v>
      </c>
      <c r="H5854" s="25" t="str">
        <f>IF(J5854&lt;&gt;1,"",IF(I5854="SBJ","CB","?"))</f>
        <v> </v>
      </c>
      <c r="I5854" s="26" t="str">
        <f>IF(OR(E5854="",E5854="!!!",F5854="NEW"),"",INDEX(B5853:B$2,-1+SUMPRODUCT(MAX(ROW(E5853:E$2)*(E5854=E5853:E$2)))))</f>
        <v> </v>
      </c>
      <c r="J5854" s="26" t="str">
        <f>IF(OR(E5854="",E5854="!!!",F5854="NEW"),"",COUNTBLANK(OFFSET(A$1,,,SUMPRODUCT(MAX(ROW(E$2:E5854)*(E5854=E$2:E5854)))))-COUNTBLANK(OFFSET(A$1,,,SUMPRODUCT(MAX(ROW(E$1:E5853)*(E2=E$1:E5853))))))</f>
        <v> </v>
      </c>
      <c r="K5854" s="26" t="str">
        <f>IF(OR(E5854="",E5854="!!!",F5854="NEW"),"",INDEX(J$1:J5853,SUMPRODUCT(MAX(ROW(E$1:E5853)*(E5854=E$1:E5853)))))</f>
        <v> </v>
      </c>
      <c r="L5854" s="27"/>
    </row>
    <row r="5855" spans="1:12">
      <c r="A5855" s="20" t="s">
        <v>2489</v>
      </c>
      <c r="E5855" s="22">
        <f>IF(D5855="?OLD","!!!","")</f>
        <v/>
      </c>
      <c r="F5855" s="23" t="str">
        <f>IF(OR(E5855="",E5855="!!!"),"",IF(NOT(ISNA(VLOOKUP(E5855,E$1:E5854,1,FALSE()))),"OLD",IF(AND(E5855&lt;&gt;"",E5855&lt;&gt;"!!!"),"NEW","")))</f>
        <v> </v>
      </c>
      <c r="G5855" s="24" t="str">
        <f>IF(OR(E5855="",E5855="!!!"),"",IF(OR(J5855=0,AND(J5855=1,K5855=1),AND(J5855=1,I5855="SBJ"),AND(J5855=1,I5855=0)),"?IN_FOCUS",IF(J5855&lt;=2,"?ACTIVATED",IF(J5855&lt;&gt;"","?FAMILIAR",IF(F5855="NEW",IF(ISNA(VLOOKUP(E5855,#REF!,1,FALSE())),"?TYPE_IDENTIFIABLE","?REFERENTIAL"),"_")))))</f>
        <v> </v>
      </c>
      <c r="H5855" s="25" t="str">
        <f>IF(J5855&lt;&gt;1,"",IF(I5855="SBJ","CB","?"))</f>
        <v> </v>
      </c>
      <c r="I5855" s="26" t="str">
        <f>IF(OR(E5855="",E5855="!!!",F5855="NEW"),"",INDEX(B5854:B$2,-1+SUMPRODUCT(MAX(ROW(E5854:E$2)*(E5855=E5854:E$2)))))</f>
        <v> </v>
      </c>
      <c r="J5855" s="26" t="str">
        <f>IF(OR(E5855="",E5855="!!!",F5855="NEW"),"",COUNTBLANK(OFFSET(A$1,,,SUMPRODUCT(MAX(ROW(E$2:E5855)*(E5855=E$2:E5855)))))-COUNTBLANK(OFFSET(A$1,,,SUMPRODUCT(MAX(ROW(E$1:E5854)*(E2=E$1:E5854))))))</f>
        <v> </v>
      </c>
      <c r="K5855" s="26" t="str">
        <f>IF(OR(E5855="",E5855="!!!",F5855="NEW"),"",INDEX(J$1:J5854,SUMPRODUCT(MAX(ROW(E$1:E5854)*(E5855=E$1:E5854)))))</f>
        <v> </v>
      </c>
      <c r="L5855" s="27"/>
    </row>
    <row r="5856" spans="1:12">
      <c r="A5856" s="20" t="s">
        <v>1462</v>
      </c>
      <c r="E5856" s="22">
        <f>IF(D5856="?OLD","!!!","")</f>
        <v/>
      </c>
      <c r="F5856" s="23" t="str">
        <f>IF(OR(E5856="",E5856="!!!"),"",IF(NOT(ISNA(VLOOKUP(E5856,E$1:E5855,1,FALSE()))),"OLD",IF(AND(E5856&lt;&gt;"",E5856&lt;&gt;"!!!"),"NEW","")))</f>
        <v> </v>
      </c>
      <c r="G5856" s="24" t="str">
        <f>IF(OR(E5856="",E5856="!!!"),"",IF(OR(J5856=0,AND(J5856=1,K5856=1),AND(J5856=1,I5856="SBJ"),AND(J5856=1,I5856=0)),"?IN_FOCUS",IF(J5856&lt;=2,"?ACTIVATED",IF(J5856&lt;&gt;"","?FAMILIAR",IF(F5856="NEW",IF(ISNA(VLOOKUP(E5856,#REF!,1,FALSE())),"?TYPE_IDENTIFIABLE","?REFERENTIAL"),"_")))))</f>
        <v> </v>
      </c>
      <c r="H5856" s="25" t="str">
        <f>IF(J5856&lt;&gt;1,"",IF(I5856="SBJ","CB","?"))</f>
        <v> </v>
      </c>
      <c r="I5856" s="26" t="str">
        <f>IF(OR(E5856="",E5856="!!!",F5856="NEW"),"",INDEX(B5855:B$2,-1+SUMPRODUCT(MAX(ROW(E5855:E$2)*(E5856=E5855:E$2)))))</f>
        <v> </v>
      </c>
      <c r="J5856" s="26" t="str">
        <f>IF(OR(E5856="",E5856="!!!",F5856="NEW"),"",COUNTBLANK(OFFSET(A$1,,,SUMPRODUCT(MAX(ROW(E$2:E5856)*(E5856=E$2:E5856)))))-COUNTBLANK(OFFSET(A$1,,,SUMPRODUCT(MAX(ROW(E$1:E5855)*(E2=E$1:E5855))))))</f>
        <v> </v>
      </c>
      <c r="K5856" s="26" t="str">
        <f>IF(OR(E5856="",E5856="!!!",F5856="NEW"),"",INDEX(J$1:J5855,SUMPRODUCT(MAX(ROW(E$1:E5855)*(E5856=E$1:E5855)))))</f>
        <v> </v>
      </c>
      <c r="L5856" s="27"/>
    </row>
    <row r="5857" spans="1:12">
      <c r="A5857" s="20" t="s">
        <v>423</v>
      </c>
      <c r="E5857" s="22">
        <f>IF(D5857="?OLD","!!!","")</f>
        <v/>
      </c>
      <c r="F5857" s="23" t="str">
        <f>IF(OR(E5857="",E5857="!!!"),"",IF(NOT(ISNA(VLOOKUP(E5857,E$1:E5856,1,FALSE()))),"OLD",IF(AND(E5857&lt;&gt;"",E5857&lt;&gt;"!!!"),"NEW","")))</f>
        <v> </v>
      </c>
      <c r="G5857" s="24" t="str">
        <f>IF(OR(E5857="",E5857="!!!"),"",IF(OR(J5857=0,AND(J5857=1,K5857=1),AND(J5857=1,I5857="SBJ"),AND(J5857=1,I5857=0)),"?IN_FOCUS",IF(J5857&lt;=2,"?ACTIVATED",IF(J5857&lt;&gt;"","?FAMILIAR",IF(F5857="NEW",IF(ISNA(VLOOKUP(E5857,#REF!,1,FALSE())),"?TYPE_IDENTIFIABLE","?REFERENTIAL"),"_")))))</f>
        <v> </v>
      </c>
      <c r="H5857" s="25" t="str">
        <f>IF(J5857&lt;&gt;1,"",IF(I5857="SBJ","CB","?"))</f>
        <v> </v>
      </c>
      <c r="I5857" s="26" t="str">
        <f>IF(OR(E5857="",E5857="!!!",F5857="NEW"),"",INDEX(B5856:B$2,-1+SUMPRODUCT(MAX(ROW(E5856:E$2)*(E5857=E5856:E$2)))))</f>
        <v> </v>
      </c>
      <c r="J5857" s="26" t="str">
        <f>IF(OR(E5857="",E5857="!!!",F5857="NEW"),"",COUNTBLANK(OFFSET(A$1,,,SUMPRODUCT(MAX(ROW(E$2:E5857)*(E5857=E$2:E5857)))))-COUNTBLANK(OFFSET(A$1,,,SUMPRODUCT(MAX(ROW(E$1:E5856)*(E2=E$1:E5856))))))</f>
        <v> </v>
      </c>
      <c r="K5857" s="26" t="str">
        <f>IF(OR(E5857="",E5857="!!!",F5857="NEW"),"",INDEX(J$1:J5856,SUMPRODUCT(MAX(ROW(E$1:E5856)*(E5857=E$1:E5856)))))</f>
        <v> </v>
      </c>
      <c r="L5857" s="27"/>
    </row>
    <row r="5858" spans="1:12">
      <c r="A5858" s="20" t="s">
        <v>1018</v>
      </c>
      <c r="E5858" s="22">
        <f>IF(D5858="?OLD","!!!","")</f>
        <v/>
      </c>
      <c r="F5858" s="23" t="str">
        <f>IF(OR(E5858="",E5858="!!!"),"",IF(NOT(ISNA(VLOOKUP(E5858,E$1:E5857,1,FALSE()))),"OLD",IF(AND(E5858&lt;&gt;"",E5858&lt;&gt;"!!!"),"NEW","")))</f>
        <v> </v>
      </c>
      <c r="G5858" s="24" t="str">
        <f>IF(OR(E5858="",E5858="!!!"),"",IF(OR(J5858=0,AND(J5858=1,K5858=1),AND(J5858=1,I5858="SBJ"),AND(J5858=1,I5858=0)),"?IN_FOCUS",IF(J5858&lt;=2,"?ACTIVATED",IF(J5858&lt;&gt;"","?FAMILIAR",IF(F5858="NEW",IF(ISNA(VLOOKUP(E5858,#REF!,1,FALSE())),"?TYPE_IDENTIFIABLE","?REFERENTIAL"),"_")))))</f>
        <v> </v>
      </c>
      <c r="H5858" s="25" t="str">
        <f>IF(J5858&lt;&gt;1,"",IF(I5858="SBJ","CB","?"))</f>
        <v> </v>
      </c>
      <c r="I5858" s="26" t="str">
        <f>IF(OR(E5858="",E5858="!!!",F5858="NEW"),"",INDEX(B5857:B$2,-1+SUMPRODUCT(MAX(ROW(E5857:E$2)*(E5858=E5857:E$2)))))</f>
        <v> </v>
      </c>
      <c r="J5858" s="26" t="str">
        <f>IF(OR(E5858="",E5858="!!!",F5858="NEW"),"",COUNTBLANK(OFFSET(A$1,,,SUMPRODUCT(MAX(ROW(E$2:E5858)*(E5858=E$2:E5858)))))-COUNTBLANK(OFFSET(A$1,,,SUMPRODUCT(MAX(ROW(E$1:E5857)*(E2=E$1:E5857))))))</f>
        <v> </v>
      </c>
      <c r="K5858" s="26" t="str">
        <f>IF(OR(E5858="",E5858="!!!",F5858="NEW"),"",INDEX(J$1:J5857,SUMPRODUCT(MAX(ROW(E$1:E5857)*(E5858=E$1:E5857)))))</f>
        <v> </v>
      </c>
      <c r="L5858" s="27"/>
    </row>
    <row r="5859" spans="1:12">
      <c r="A5859" s="20" t="s">
        <v>1019</v>
      </c>
      <c r="E5859" s="22">
        <f>IF(D5859="?OLD","!!!","")</f>
        <v/>
      </c>
      <c r="F5859" s="23" t="str">
        <f>IF(OR(E5859="",E5859="!!!"),"",IF(NOT(ISNA(VLOOKUP(E5859,E$1:E5858,1,FALSE()))),"OLD",IF(AND(E5859&lt;&gt;"",E5859&lt;&gt;"!!!"),"NEW","")))</f>
        <v> </v>
      </c>
      <c r="G5859" s="24" t="str">
        <f>IF(OR(E5859="",E5859="!!!"),"",IF(OR(J5859=0,AND(J5859=1,K5859=1),AND(J5859=1,I5859="SBJ"),AND(J5859=1,I5859=0)),"?IN_FOCUS",IF(J5859&lt;=2,"?ACTIVATED",IF(J5859&lt;&gt;"","?FAMILIAR",IF(F5859="NEW",IF(ISNA(VLOOKUP(E5859,#REF!,1,FALSE())),"?TYPE_IDENTIFIABLE","?REFERENTIAL"),"_")))))</f>
        <v> </v>
      </c>
      <c r="H5859" s="25" t="str">
        <f>IF(J5859&lt;&gt;1,"",IF(I5859="SBJ","CB","?"))</f>
        <v> </v>
      </c>
      <c r="I5859" s="26" t="str">
        <f>IF(OR(E5859="",E5859="!!!",F5859="NEW"),"",INDEX(B5858:B$2,-1+SUMPRODUCT(MAX(ROW(E5858:E$2)*(E5859=E5858:E$2)))))</f>
        <v> </v>
      </c>
      <c r="J5859" s="26" t="str">
        <f>IF(OR(E5859="",E5859="!!!",F5859="NEW"),"",COUNTBLANK(OFFSET(A$1,,,SUMPRODUCT(MAX(ROW(E$2:E5859)*(E5859=E$2:E5859)))))-COUNTBLANK(OFFSET(A$1,,,SUMPRODUCT(MAX(ROW(E$1:E5858)*(E2=E$1:E5858))))))</f>
        <v> </v>
      </c>
      <c r="K5859" s="26" t="str">
        <f>IF(OR(E5859="",E5859="!!!",F5859="NEW"),"",INDEX(J$1:J5858,SUMPRODUCT(MAX(ROW(E$1:E5858)*(E5859=E$1:E5858)))))</f>
        <v> </v>
      </c>
      <c r="L5859" s="27"/>
    </row>
    <row r="5860" spans="1:12">
      <c r="A5860" s="20" t="s">
        <v>1487</v>
      </c>
      <c r="E5860" s="22">
        <f>IF(D5860="?OLD","!!!","")</f>
        <v/>
      </c>
      <c r="F5860" s="23" t="str">
        <f>IF(OR(E5860="",E5860="!!!"),"",IF(NOT(ISNA(VLOOKUP(E5860,E$1:E5859,1,FALSE()))),"OLD",IF(AND(E5860&lt;&gt;"",E5860&lt;&gt;"!!!"),"NEW","")))</f>
        <v> </v>
      </c>
      <c r="G5860" s="24" t="str">
        <f>IF(OR(E5860="",E5860="!!!"),"",IF(OR(J5860=0,AND(J5860=1,K5860=1),AND(J5860=1,I5860="SBJ"),AND(J5860=1,I5860=0)),"?IN_FOCUS",IF(J5860&lt;=2,"?ACTIVATED",IF(J5860&lt;&gt;"","?FAMILIAR",IF(F5860="NEW",IF(ISNA(VLOOKUP(E5860,#REF!,1,FALSE())),"?TYPE_IDENTIFIABLE","?REFERENTIAL"),"_")))))</f>
        <v> </v>
      </c>
      <c r="H5860" s="25" t="str">
        <f>IF(J5860&lt;&gt;1,"",IF(I5860="SBJ","CB","?"))</f>
        <v> </v>
      </c>
      <c r="I5860" s="26" t="str">
        <f>IF(OR(E5860="",E5860="!!!",F5860="NEW"),"",INDEX(B5859:B$2,-1+SUMPRODUCT(MAX(ROW(E5859:E$2)*(E5860=E5859:E$2)))))</f>
        <v> </v>
      </c>
      <c r="J5860" s="26" t="str">
        <f>IF(OR(E5860="",E5860="!!!",F5860="NEW"),"",COUNTBLANK(OFFSET(A$1,,,SUMPRODUCT(MAX(ROW(E$2:E5860)*(E5860=E$2:E5860)))))-COUNTBLANK(OFFSET(A$1,,,SUMPRODUCT(MAX(ROW(E$1:E5859)*(E2=E$1:E5859))))))</f>
        <v> </v>
      </c>
      <c r="K5860" s="26" t="str">
        <f>IF(OR(E5860="",E5860="!!!",F5860="NEW"),"",INDEX(J$1:J5859,SUMPRODUCT(MAX(ROW(E$1:E5859)*(E5860=E$1:E5859)))))</f>
        <v> </v>
      </c>
      <c r="L5860" s="27"/>
    </row>
    <row r="5861" spans="1:12">
      <c r="A5861" s="20" t="s">
        <v>1581</v>
      </c>
      <c r="E5861" s="22">
        <f>IF(D5861="?OLD","!!!","")</f>
        <v/>
      </c>
      <c r="F5861" s="23" t="str">
        <f>IF(OR(E5861="",E5861="!!!"),"",IF(NOT(ISNA(VLOOKUP(E5861,E$1:E5860,1,FALSE()))),"OLD",IF(AND(E5861&lt;&gt;"",E5861&lt;&gt;"!!!"),"NEW","")))</f>
        <v> </v>
      </c>
      <c r="G5861" s="24" t="str">
        <f>IF(OR(E5861="",E5861="!!!"),"",IF(OR(J5861=0,AND(J5861=1,K5861=1),AND(J5861=1,I5861="SBJ"),AND(J5861=1,I5861=0)),"?IN_FOCUS",IF(J5861&lt;=2,"?ACTIVATED",IF(J5861&lt;&gt;"","?FAMILIAR",IF(F5861="NEW",IF(ISNA(VLOOKUP(E5861,#REF!,1,FALSE())),"?TYPE_IDENTIFIABLE","?REFERENTIAL"),"_")))))</f>
        <v> </v>
      </c>
      <c r="H5861" s="25" t="str">
        <f>IF(J5861&lt;&gt;1,"",IF(I5861="SBJ","CB","?"))</f>
        <v> </v>
      </c>
      <c r="I5861" s="26" t="str">
        <f>IF(OR(E5861="",E5861="!!!",F5861="NEW"),"",INDEX(B5860:B$2,-1+SUMPRODUCT(MAX(ROW(E5860:E$2)*(E5861=E5860:E$2)))))</f>
        <v> </v>
      </c>
      <c r="J5861" s="26" t="str">
        <f>IF(OR(E5861="",E5861="!!!",F5861="NEW"),"",COUNTBLANK(OFFSET(A$1,,,SUMPRODUCT(MAX(ROW(E$2:E5861)*(E5861=E$2:E5861)))))-COUNTBLANK(OFFSET(A$1,,,SUMPRODUCT(MAX(ROW(E$1:E5860)*(E2=E$1:E5860))))))</f>
        <v> </v>
      </c>
      <c r="K5861" s="26" t="str">
        <f>IF(OR(E5861="",E5861="!!!",F5861="NEW"),"",INDEX(J$1:J5860,SUMPRODUCT(MAX(ROW(E$1:E5860)*(E5861=E$1:E5860)))))</f>
        <v> </v>
      </c>
      <c r="L5861" s="27"/>
    </row>
    <row r="5862" spans="1:12">
      <c r="A5862" s="20" t="s">
        <v>1061</v>
      </c>
      <c r="E5862" s="22">
        <f>IF(D5862="?OLD","!!!","")</f>
        <v/>
      </c>
      <c r="F5862" s="23" t="str">
        <f>IF(OR(E5862="",E5862="!!!"),"",IF(NOT(ISNA(VLOOKUP(E5862,E$1:E5861,1,FALSE()))),"OLD",IF(AND(E5862&lt;&gt;"",E5862&lt;&gt;"!!!"),"NEW","")))</f>
        <v> </v>
      </c>
      <c r="G5862" s="24" t="str">
        <f>IF(OR(E5862="",E5862="!!!"),"",IF(OR(J5862=0,AND(J5862=1,K5862=1),AND(J5862=1,I5862="SBJ"),AND(J5862=1,I5862=0)),"?IN_FOCUS",IF(J5862&lt;=2,"?ACTIVATED",IF(J5862&lt;&gt;"","?FAMILIAR",IF(F5862="NEW",IF(ISNA(VLOOKUP(E5862,#REF!,1,FALSE())),"?TYPE_IDENTIFIABLE","?REFERENTIAL"),"_")))))</f>
        <v> </v>
      </c>
      <c r="H5862" s="25" t="str">
        <f>IF(J5862&lt;&gt;1,"",IF(I5862="SBJ","CB","?"))</f>
        <v> </v>
      </c>
      <c r="I5862" s="26" t="str">
        <f>IF(OR(E5862="",E5862="!!!",F5862="NEW"),"",INDEX(B5861:B$2,-1+SUMPRODUCT(MAX(ROW(E5861:E$2)*(E5862=E5861:E$2)))))</f>
        <v> </v>
      </c>
      <c r="J5862" s="26" t="str">
        <f>IF(OR(E5862="",E5862="!!!",F5862="NEW"),"",COUNTBLANK(OFFSET(A$1,,,SUMPRODUCT(MAX(ROW(E$2:E5862)*(E5862=E$2:E5862)))))-COUNTBLANK(OFFSET(A$1,,,SUMPRODUCT(MAX(ROW(E$1:E5861)*(E2=E$1:E5861))))))</f>
        <v> </v>
      </c>
      <c r="K5862" s="26" t="str">
        <f>IF(OR(E5862="",E5862="!!!",F5862="NEW"),"",INDEX(J$1:J5861,SUMPRODUCT(MAX(ROW(E$1:E5861)*(E5862=E$1:E5861)))))</f>
        <v> </v>
      </c>
      <c r="L5862" s="27"/>
    </row>
    <row r="5863" spans="1:12">
      <c r="A5863" s="20" t="s">
        <v>2490</v>
      </c>
      <c r="B5863" s="21" t="s">
        <v>1067</v>
      </c>
      <c r="C5863" s="21" t="s">
        <v>1095</v>
      </c>
      <c r="D5863" s="21" t="s">
        <v>997</v>
      </c>
      <c r="E5863" s="22">
        <f>IF(D5863="?OLD","!!!","")</f>
        <v/>
      </c>
      <c r="F5863" s="23" t="str">
        <f>IF(OR(E5863="",E5863="!!!"),"",IF(NOT(ISNA(VLOOKUP(E5863,E$1:E5862,1,FALSE()))),"OLD",IF(AND(E5863&lt;&gt;"",E5863&lt;&gt;"!!!"),"NEW","")))</f>
        <v> </v>
      </c>
      <c r="G5863" s="24" t="str">
        <f>IF(OR(E5863="",E5863="!!!"),"",IF(OR(J5863=0,AND(J5863=1,K5863=1),AND(J5863=1,I5863="SBJ"),AND(J5863=1,I5863=0)),"?IN_FOCUS",IF(J5863&lt;=2,"?ACTIVATED",IF(J5863&lt;&gt;"","?FAMILIAR",IF(F5863="NEW",IF(ISNA(VLOOKUP(E5863,#REF!,1,FALSE())),"?TYPE_IDENTIFIABLE","?REFERENTIAL"),"_")))))</f>
        <v> </v>
      </c>
      <c r="H5863" s="25" t="str">
        <f>IF(J5863&lt;&gt;1,"",IF(I5863="SBJ","CB","?"))</f>
        <v> </v>
      </c>
      <c r="I5863" s="26" t="str">
        <f>IF(OR(E5863="",E5863="!!!",F5863="NEW"),"",INDEX(B5862:B$2,-1+SUMPRODUCT(MAX(ROW(E5862:E$2)*(E5863=E5862:E$2)))))</f>
        <v> </v>
      </c>
      <c r="J5863" s="26" t="str">
        <f>IF(OR(E5863="",E5863="!!!",F5863="NEW"),"",COUNTBLANK(OFFSET(A$1,,,SUMPRODUCT(MAX(ROW(E$2:E5863)*(E5863=E$2:E5863)))))-COUNTBLANK(OFFSET(A$1,,,SUMPRODUCT(MAX(ROW(E$1:E5862)*(E2=E$1:E5862))))))</f>
        <v> </v>
      </c>
      <c r="K5863" s="26" t="str">
        <f>IF(OR(E5863="",E5863="!!!",F5863="NEW"),"",INDEX(J$1:J5862,SUMPRODUCT(MAX(ROW(E$1:E5862)*(E5863=E$1:E5862)))))</f>
        <v> </v>
      </c>
      <c r="L5863" s="27"/>
    </row>
    <row r="5864" spans="1:12">
      <c r="A5864" s="20" t="s">
        <v>1011</v>
      </c>
      <c r="E5864" s="22">
        <f>IF(D5864="?OLD","!!!","")</f>
        <v/>
      </c>
      <c r="F5864" s="23" t="str">
        <f>IF(OR(E5864="",E5864="!!!"),"",IF(NOT(ISNA(VLOOKUP(E5864,E$1:E5863,1,FALSE()))),"OLD",IF(AND(E5864&lt;&gt;"",E5864&lt;&gt;"!!!"),"NEW","")))</f>
        <v> </v>
      </c>
      <c r="G5864" s="24" t="str">
        <f>IF(OR(E5864="",E5864="!!!"),"",IF(OR(J5864=0,AND(J5864=1,K5864=1),AND(J5864=1,I5864="SBJ"),AND(J5864=1,I5864=0)),"?IN_FOCUS",IF(J5864&lt;=2,"?ACTIVATED",IF(J5864&lt;&gt;"","?FAMILIAR",IF(F5864="NEW",IF(ISNA(VLOOKUP(E5864,#REF!,1,FALSE())),"?TYPE_IDENTIFIABLE","?REFERENTIAL"),"_")))))</f>
        <v> </v>
      </c>
      <c r="H5864" s="25" t="str">
        <f>IF(J5864&lt;&gt;1,"",IF(I5864="SBJ","CB","?"))</f>
        <v> </v>
      </c>
      <c r="I5864" s="26" t="str">
        <f>IF(OR(E5864="",E5864="!!!",F5864="NEW"),"",INDEX(B5863:B$2,-1+SUMPRODUCT(MAX(ROW(E5863:E$2)*(E5864=E5863:E$2)))))</f>
        <v> </v>
      </c>
      <c r="J5864" s="26" t="str">
        <f>IF(OR(E5864="",E5864="!!!",F5864="NEW"),"",COUNTBLANK(OFFSET(A$1,,,SUMPRODUCT(MAX(ROW(E$2:E5864)*(E5864=E$2:E5864)))))-COUNTBLANK(OFFSET(A$1,,,SUMPRODUCT(MAX(ROW(E$1:E5863)*(E2=E$1:E5863))))))</f>
        <v> </v>
      </c>
      <c r="K5864" s="26" t="str">
        <f>IF(OR(E5864="",E5864="!!!",F5864="NEW"),"",INDEX(J$1:J5863,SUMPRODUCT(MAX(ROW(E$1:E5863)*(E5864=E$1:E5863)))))</f>
        <v> </v>
      </c>
      <c r="L5864" s="27"/>
    </row>
    <row r="5865" spans="1:12">
      <c r="A5865" s="20"/>
    </row>
    <row r="5866" spans="1:12">
      <c r="A5866" s="20" t="s">
        <v>2491</v>
      </c>
    </row>
    <row r="5867" spans="1:12">
      <c r="A5867" s="20" t="s">
        <v>1440</v>
      </c>
      <c r="B5867" s="21" t="s">
        <v>995</v>
      </c>
      <c r="C5867" s="21" t="s">
        <v>996</v>
      </c>
      <c r="D5867" s="21" t="s">
        <v>997</v>
      </c>
      <c r="E5867" s="22">
        <f>IF(D5867="?OLD","!!!","")</f>
        <v/>
      </c>
      <c r="F5867" s="23" t="str">
        <f>IF(OR(E5867="",E5867="!!!"),"",IF(NOT(ISNA(VLOOKUP(E5867,E$1:E5866,1,FALSE()))),"OLD",IF(AND(E5867&lt;&gt;"",E5867&lt;&gt;"!!!"),"NEW","")))</f>
        <v> </v>
      </c>
      <c r="G5867" s="24" t="str">
        <f>IF(OR(E5867="",E5867="!!!"),"",IF(OR(J5867=0,AND(J5867=1,K5867=1),AND(J5867=1,I5867="SBJ"),AND(J5867=1,I5867=0)),"?IN_FOCUS",IF(J5867&lt;=2,"?ACTIVATED",IF(J5867&lt;&gt;"","?FAMILIAR",IF(F5867="NEW",IF(ISNA(VLOOKUP(E5867,#REF!,1,FALSE())),"?TYPE_IDENTIFIABLE","?REFERENTIAL"),"_")))))</f>
        <v> </v>
      </c>
      <c r="H5867" s="25" t="str">
        <f>IF(J5867&lt;&gt;1,"",IF(I5867="SBJ","CB","?"))</f>
        <v> </v>
      </c>
      <c r="I5867" s="26" t="str">
        <f>IF(OR(E5867="",E5867="!!!",F5867="NEW"),"",INDEX(B5866:B$2,-1+SUMPRODUCT(MAX(ROW(E5866:E$2)*(E5867=E5866:E$2)))))</f>
        <v> </v>
      </c>
      <c r="J5867" s="26" t="str">
        <f>IF(OR(E5867="",E5867="!!!",F5867="NEW"),"",COUNTBLANK(OFFSET(A$1,,,SUMPRODUCT(MAX(ROW(E$2:E5867)*(E5867=E$2:E5867)))))-COUNTBLANK(OFFSET(A$1,,,SUMPRODUCT(MAX(ROW(E$1:E5866)*(E2=E$1:E5866))))))</f>
        <v> </v>
      </c>
      <c r="K5867" s="26" t="str">
        <f>IF(OR(E5867="",E5867="!!!",F5867="NEW"),"",INDEX(J$1:J5866,SUMPRODUCT(MAX(ROW(E$1:E5866)*(E5867=E$1:E5866)))))</f>
        <v> </v>
      </c>
      <c r="L5867" s="27"/>
    </row>
    <row r="5868" spans="1:12">
      <c r="A5868" s="20" t="s">
        <v>2492</v>
      </c>
      <c r="E5868" s="22">
        <f>IF(D5868="?OLD","!!!","")</f>
        <v/>
      </c>
      <c r="F5868" s="23" t="str">
        <f>IF(OR(E5868="",E5868="!!!"),"",IF(NOT(ISNA(VLOOKUP(E5868,E$1:E5867,1,FALSE()))),"OLD",IF(AND(E5868&lt;&gt;"",E5868&lt;&gt;"!!!"),"NEW","")))</f>
        <v> </v>
      </c>
      <c r="G5868" s="24" t="str">
        <f>IF(OR(E5868="",E5868="!!!"),"",IF(OR(J5868=0,AND(J5868=1,K5868=1),AND(J5868=1,I5868="SBJ"),AND(J5868=1,I5868=0)),"?IN_FOCUS",IF(J5868&lt;=2,"?ACTIVATED",IF(J5868&lt;&gt;"","?FAMILIAR",IF(F5868="NEW",IF(ISNA(VLOOKUP(E5868,#REF!,1,FALSE())),"?TYPE_IDENTIFIABLE","?REFERENTIAL"),"_")))))</f>
        <v> </v>
      </c>
      <c r="H5868" s="25" t="str">
        <f>IF(J5868&lt;&gt;1,"",IF(I5868="SBJ","CB","?"))</f>
        <v> </v>
      </c>
      <c r="I5868" s="26" t="str">
        <f>IF(OR(E5868="",E5868="!!!",F5868="NEW"),"",INDEX(B5867:B$2,-1+SUMPRODUCT(MAX(ROW(E5867:E$2)*(E5868=E5867:E$2)))))</f>
        <v> </v>
      </c>
      <c r="J5868" s="26" t="str">
        <f>IF(OR(E5868="",E5868="!!!",F5868="NEW"),"",COUNTBLANK(OFFSET(A$1,,,SUMPRODUCT(MAX(ROW(E$2:E5868)*(E5868=E$2:E5868)))))-COUNTBLANK(OFFSET(A$1,,,SUMPRODUCT(MAX(ROW(E$1:E5867)*(E2=E$1:E5867))))))</f>
        <v> </v>
      </c>
      <c r="K5868" s="26" t="str">
        <f>IF(OR(E5868="",E5868="!!!",F5868="NEW"),"",INDEX(J$1:J5867,SUMPRODUCT(MAX(ROW(E$1:E5867)*(E5868=E$1:E5867)))))</f>
        <v> </v>
      </c>
      <c r="L5868" s="27"/>
    </row>
    <row r="5869" spans="1:12">
      <c r="A5869" s="20" t="s">
        <v>1144</v>
      </c>
      <c r="E5869" s="22">
        <f>IF(D5869="?OLD","!!!","")</f>
        <v/>
      </c>
      <c r="F5869" s="23" t="str">
        <f>IF(OR(E5869="",E5869="!!!"),"",IF(NOT(ISNA(VLOOKUP(E5869,E$1:E5868,1,FALSE()))),"OLD",IF(AND(E5869&lt;&gt;"",E5869&lt;&gt;"!!!"),"NEW","")))</f>
        <v> </v>
      </c>
      <c r="G5869" s="24" t="str">
        <f>IF(OR(E5869="",E5869="!!!"),"",IF(OR(J5869=0,AND(J5869=1,K5869=1),AND(J5869=1,I5869="SBJ"),AND(J5869=1,I5869=0)),"?IN_FOCUS",IF(J5869&lt;=2,"?ACTIVATED",IF(J5869&lt;&gt;"","?FAMILIAR",IF(F5869="NEW",IF(ISNA(VLOOKUP(E5869,#REF!,1,FALSE())),"?TYPE_IDENTIFIABLE","?REFERENTIAL"),"_")))))</f>
        <v> </v>
      </c>
      <c r="H5869" s="25" t="str">
        <f>IF(J5869&lt;&gt;1,"",IF(I5869="SBJ","CB","?"))</f>
        <v> </v>
      </c>
      <c r="I5869" s="26" t="str">
        <f>IF(OR(E5869="",E5869="!!!",F5869="NEW"),"",INDEX(B5868:B$2,-1+SUMPRODUCT(MAX(ROW(E5868:E$2)*(E5869=E5868:E$2)))))</f>
        <v> </v>
      </c>
      <c r="J5869" s="26" t="str">
        <f>IF(OR(E5869="",E5869="!!!",F5869="NEW"),"",COUNTBLANK(OFFSET(A$1,,,SUMPRODUCT(MAX(ROW(E$2:E5869)*(E5869=E$2:E5869)))))-COUNTBLANK(OFFSET(A$1,,,SUMPRODUCT(MAX(ROW(E$1:E5868)*(E2=E$1:E5868))))))</f>
        <v> </v>
      </c>
      <c r="K5869" s="26" t="str">
        <f>IF(OR(E5869="",E5869="!!!",F5869="NEW"),"",INDEX(J$1:J5868,SUMPRODUCT(MAX(ROW(E$1:E5868)*(E5869=E$1:E5868)))))</f>
        <v> </v>
      </c>
      <c r="L5869" s="27"/>
    </row>
    <row r="5870" spans="1:12">
      <c r="A5870" s="20" t="s">
        <v>2493</v>
      </c>
      <c r="B5870" s="21" t="s">
        <v>1101</v>
      </c>
      <c r="C5870" s="21" t="s">
        <v>1089</v>
      </c>
      <c r="E5870" s="22">
        <f>IF(D5870="?OLD","!!!","")</f>
        <v/>
      </c>
      <c r="F5870" s="23" t="str">
        <f>IF(OR(E5870="",E5870="!!!"),"",IF(NOT(ISNA(VLOOKUP(E5870,E$1:E5869,1,FALSE()))),"OLD",IF(AND(E5870&lt;&gt;"",E5870&lt;&gt;"!!!"),"NEW","")))</f>
        <v> </v>
      </c>
      <c r="G5870" s="24" t="str">
        <f>IF(OR(E5870="",E5870="!!!"),"",IF(OR(J5870=0,AND(J5870=1,K5870=1),AND(J5870=1,I5870="SBJ"),AND(J5870=1,I5870=0)),"?IN_FOCUS",IF(J5870&lt;=2,"?ACTIVATED",IF(J5870&lt;&gt;"","?FAMILIAR",IF(F5870="NEW",IF(ISNA(VLOOKUP(E5870,#REF!,1,FALSE())),"?TYPE_IDENTIFIABLE","?REFERENTIAL"),"_")))))</f>
        <v> </v>
      </c>
      <c r="H5870" s="25" t="str">
        <f>IF(J5870&lt;&gt;1,"",IF(I5870="SBJ","CB","?"))</f>
        <v> </v>
      </c>
      <c r="I5870" s="26" t="str">
        <f>IF(OR(E5870="",E5870="!!!",F5870="NEW"),"",INDEX(B5869:B$2,-1+SUMPRODUCT(MAX(ROW(E5869:E$2)*(E5870=E5869:E$2)))))</f>
        <v> </v>
      </c>
      <c r="J5870" s="26" t="str">
        <f>IF(OR(E5870="",E5870="!!!",F5870="NEW"),"",COUNTBLANK(OFFSET(A$1,,,SUMPRODUCT(MAX(ROW(E$2:E5870)*(E5870=E$2:E5870)))))-COUNTBLANK(OFFSET(A$1,,,SUMPRODUCT(MAX(ROW(E$1:E5869)*(E2=E$1:E5869))))))</f>
        <v> </v>
      </c>
      <c r="K5870" s="26" t="str">
        <f>IF(OR(E5870="",E5870="!!!",F5870="NEW"),"",INDEX(J$1:J5869,SUMPRODUCT(MAX(ROW(E$1:E5869)*(E5870=E$1:E5869)))))</f>
        <v> </v>
      </c>
      <c r="L5870" s="27"/>
    </row>
    <row r="5871" spans="1:12">
      <c r="A5871" s="20" t="s">
        <v>2494</v>
      </c>
      <c r="E5871" s="22">
        <f>IF(D5871="?OLD","!!!","")</f>
        <v/>
      </c>
      <c r="F5871" s="23" t="str">
        <f>IF(OR(E5871="",E5871="!!!"),"",IF(NOT(ISNA(VLOOKUP(E5871,E$1:E5870,1,FALSE()))),"OLD",IF(AND(E5871&lt;&gt;"",E5871&lt;&gt;"!!!"),"NEW","")))</f>
        <v> </v>
      </c>
      <c r="G5871" s="24" t="str">
        <f>IF(OR(E5871="",E5871="!!!"),"",IF(OR(J5871=0,AND(J5871=1,K5871=1),AND(J5871=1,I5871="SBJ"),AND(J5871=1,I5871=0)),"?IN_FOCUS",IF(J5871&lt;=2,"?ACTIVATED",IF(J5871&lt;&gt;"","?FAMILIAR",IF(F5871="NEW",IF(ISNA(VLOOKUP(E5871,#REF!,1,FALSE())),"?TYPE_IDENTIFIABLE","?REFERENTIAL"),"_")))))</f>
        <v> </v>
      </c>
      <c r="H5871" s="25" t="str">
        <f>IF(J5871&lt;&gt;1,"",IF(I5871="SBJ","CB","?"))</f>
        <v> </v>
      </c>
      <c r="I5871" s="26" t="str">
        <f>IF(OR(E5871="",E5871="!!!",F5871="NEW"),"",INDEX(B5870:B$2,-1+SUMPRODUCT(MAX(ROW(E5870:E$2)*(E5871=E5870:E$2)))))</f>
        <v> </v>
      </c>
      <c r="J5871" s="26" t="str">
        <f>IF(OR(E5871="",E5871="!!!",F5871="NEW"),"",COUNTBLANK(OFFSET(A$1,,,SUMPRODUCT(MAX(ROW(E$2:E5871)*(E5871=E$2:E5871)))))-COUNTBLANK(OFFSET(A$1,,,SUMPRODUCT(MAX(ROW(E$1:E5870)*(E2=E$1:E5870))))))</f>
        <v> </v>
      </c>
      <c r="K5871" s="26" t="str">
        <f>IF(OR(E5871="",E5871="!!!",F5871="NEW"),"",INDEX(J$1:J5870,SUMPRODUCT(MAX(ROW(E$1:E5870)*(E5871=E$1:E5870)))))</f>
        <v> </v>
      </c>
      <c r="L5871" s="27"/>
    </row>
    <row r="5872" spans="1:12">
      <c r="A5872" s="20" t="s">
        <v>1041</v>
      </c>
      <c r="E5872" s="22">
        <f>IF(D5872="?OLD","!!!","")</f>
        <v/>
      </c>
      <c r="F5872" s="23" t="str">
        <f>IF(OR(E5872="",E5872="!!!"),"",IF(NOT(ISNA(VLOOKUP(E5872,E$1:E5871,1,FALSE()))),"OLD",IF(AND(E5872&lt;&gt;"",E5872&lt;&gt;"!!!"),"NEW","")))</f>
        <v> </v>
      </c>
      <c r="G5872" s="24" t="str">
        <f>IF(OR(E5872="",E5872="!!!"),"",IF(OR(J5872=0,AND(J5872=1,K5872=1),AND(J5872=1,I5872="SBJ"),AND(J5872=1,I5872=0)),"?IN_FOCUS",IF(J5872&lt;=2,"?ACTIVATED",IF(J5872&lt;&gt;"","?FAMILIAR",IF(F5872="NEW",IF(ISNA(VLOOKUP(E5872,#REF!,1,FALSE())),"?TYPE_IDENTIFIABLE","?REFERENTIAL"),"_")))))</f>
        <v> </v>
      </c>
      <c r="H5872" s="25" t="str">
        <f>IF(J5872&lt;&gt;1,"",IF(I5872="SBJ","CB","?"))</f>
        <v> </v>
      </c>
      <c r="I5872" s="26" t="str">
        <f>IF(OR(E5872="",E5872="!!!",F5872="NEW"),"",INDEX(B5871:B$2,-1+SUMPRODUCT(MAX(ROW(E5871:E$2)*(E5872=E5871:E$2)))))</f>
        <v> </v>
      </c>
      <c r="J5872" s="26" t="str">
        <f>IF(OR(E5872="",E5872="!!!",F5872="NEW"),"",COUNTBLANK(OFFSET(A$1,,,SUMPRODUCT(MAX(ROW(E$2:E5872)*(E5872=E$2:E5872)))))-COUNTBLANK(OFFSET(A$1,,,SUMPRODUCT(MAX(ROW(E$1:E5871)*(E2=E$1:E5871))))))</f>
        <v> </v>
      </c>
      <c r="K5872" s="26" t="str">
        <f>IF(OR(E5872="",E5872="!!!",F5872="NEW"),"",INDEX(J$1:J5871,SUMPRODUCT(MAX(ROW(E$1:E5871)*(E5872=E$1:E5871)))))</f>
        <v> </v>
      </c>
      <c r="L5872" s="27"/>
    </row>
    <row r="5873" spans="1:12">
      <c r="A5873" s="20" t="s">
        <v>1007</v>
      </c>
      <c r="E5873" s="22">
        <f>IF(D5873="?OLD","!!!","")</f>
        <v/>
      </c>
      <c r="F5873" s="23" t="str">
        <f>IF(OR(E5873="",E5873="!!!"),"",IF(NOT(ISNA(VLOOKUP(E5873,E$1:E5872,1,FALSE()))),"OLD",IF(AND(E5873&lt;&gt;"",E5873&lt;&gt;"!!!"),"NEW","")))</f>
        <v> </v>
      </c>
      <c r="G5873" s="24" t="str">
        <f>IF(OR(E5873="",E5873="!!!"),"",IF(OR(J5873=0,AND(J5873=1,K5873=1),AND(J5873=1,I5873="SBJ"),AND(J5873=1,I5873=0)),"?IN_FOCUS",IF(J5873&lt;=2,"?ACTIVATED",IF(J5873&lt;&gt;"","?FAMILIAR",IF(F5873="NEW",IF(ISNA(VLOOKUP(E5873,#REF!,1,FALSE())),"?TYPE_IDENTIFIABLE","?REFERENTIAL"),"_")))))</f>
        <v> </v>
      </c>
      <c r="H5873" s="25" t="str">
        <f>IF(J5873&lt;&gt;1,"",IF(I5873="SBJ","CB","?"))</f>
        <v> </v>
      </c>
      <c r="I5873" s="26" t="str">
        <f>IF(OR(E5873="",E5873="!!!",F5873="NEW"),"",INDEX(B5872:B$2,-1+SUMPRODUCT(MAX(ROW(E5872:E$2)*(E5873=E5872:E$2)))))</f>
        <v> </v>
      </c>
      <c r="J5873" s="26" t="str">
        <f>IF(OR(E5873="",E5873="!!!",F5873="NEW"),"",COUNTBLANK(OFFSET(A$1,,,SUMPRODUCT(MAX(ROW(E$2:E5873)*(E5873=E$2:E5873)))))-COUNTBLANK(OFFSET(A$1,,,SUMPRODUCT(MAX(ROW(E$1:E5872)*(E2=E$1:E5872))))))</f>
        <v> </v>
      </c>
      <c r="K5873" s="26" t="str">
        <f>IF(OR(E5873="",E5873="!!!",F5873="NEW"),"",INDEX(J$1:J5872,SUMPRODUCT(MAX(ROW(E$1:E5872)*(E5873=E$1:E5872)))))</f>
        <v> </v>
      </c>
      <c r="L5873" s="27"/>
    </row>
    <row r="5874" spans="1:12">
      <c r="A5874" s="20" t="s">
        <v>1000</v>
      </c>
      <c r="B5874" s="21" t="s">
        <v>1142</v>
      </c>
      <c r="C5874" s="21" t="s">
        <v>996</v>
      </c>
      <c r="D5874" s="21" t="s">
        <v>997</v>
      </c>
      <c r="E5874" s="22">
        <f>IF(D5874="?OLD","!!!","")</f>
        <v/>
      </c>
      <c r="F5874" s="23" t="str">
        <f>IF(OR(E5874="",E5874="!!!"),"",IF(NOT(ISNA(VLOOKUP(E5874,E$1:E5873,1,FALSE()))),"OLD",IF(AND(E5874&lt;&gt;"",E5874&lt;&gt;"!!!"),"NEW","")))</f>
        <v> </v>
      </c>
      <c r="G5874" s="24" t="str">
        <f>IF(OR(E5874="",E5874="!!!"),"",IF(OR(J5874=0,AND(J5874=1,K5874=1),AND(J5874=1,I5874="SBJ"),AND(J5874=1,I5874=0)),"?IN_FOCUS",IF(J5874&lt;=2,"?ACTIVATED",IF(J5874&lt;&gt;"","?FAMILIAR",IF(F5874="NEW",IF(ISNA(VLOOKUP(E5874,#REF!,1,FALSE())),"?TYPE_IDENTIFIABLE","?REFERENTIAL"),"_")))))</f>
        <v> </v>
      </c>
      <c r="H5874" s="25" t="str">
        <f>IF(J5874&lt;&gt;1,"",IF(I5874="SBJ","CB","?"))</f>
        <v> </v>
      </c>
      <c r="I5874" s="26" t="str">
        <f>IF(OR(E5874="",E5874="!!!",F5874="NEW"),"",INDEX(B5873:B$2,-1+SUMPRODUCT(MAX(ROW(E5873:E$2)*(E5874=E5873:E$2)))))</f>
        <v> </v>
      </c>
      <c r="J5874" s="26" t="str">
        <f>IF(OR(E5874="",E5874="!!!",F5874="NEW"),"",COUNTBLANK(OFFSET(A$1,,,SUMPRODUCT(MAX(ROW(E$2:E5874)*(E5874=E$2:E5874)))))-COUNTBLANK(OFFSET(A$1,,,SUMPRODUCT(MAX(ROW(E$1:E5873)*(E2=E$1:E5873))))))</f>
        <v> </v>
      </c>
      <c r="K5874" s="26" t="str">
        <f>IF(OR(E5874="",E5874="!!!",F5874="NEW"),"",INDEX(J$1:J5873,SUMPRODUCT(MAX(ROW(E$1:E5873)*(E5874=E$1:E5873)))))</f>
        <v> </v>
      </c>
      <c r="L5874" s="27"/>
    </row>
    <row r="5875" spans="1:12">
      <c r="A5875" s="20" t="s">
        <v>1069</v>
      </c>
      <c r="B5875" s="21" t="s">
        <v>1010</v>
      </c>
      <c r="C5875" s="21" t="s">
        <v>1133</v>
      </c>
      <c r="D5875" s="21" t="s">
        <v>997</v>
      </c>
      <c r="E5875" s="22">
        <f>IF(D5875="?OLD","!!!","")</f>
        <v/>
      </c>
      <c r="F5875" s="23" t="str">
        <f>IF(OR(E5875="",E5875="!!!"),"",IF(NOT(ISNA(VLOOKUP(E5875,E$1:E5874,1,FALSE()))),"OLD",IF(AND(E5875&lt;&gt;"",E5875&lt;&gt;"!!!"),"NEW","")))</f>
        <v> </v>
      </c>
      <c r="G5875" s="24" t="str">
        <f>IF(OR(E5875="",E5875="!!!"),"",IF(OR(J5875=0,AND(J5875=1,K5875=1),AND(J5875=1,I5875="SBJ"),AND(J5875=1,I5875=0)),"?IN_FOCUS",IF(J5875&lt;=2,"?ACTIVATED",IF(J5875&lt;&gt;"","?FAMILIAR",IF(F5875="NEW",IF(ISNA(VLOOKUP(E5875,#REF!,1,FALSE())),"?TYPE_IDENTIFIABLE","?REFERENTIAL"),"_")))))</f>
        <v> </v>
      </c>
      <c r="H5875" s="25" t="str">
        <f>IF(J5875&lt;&gt;1,"",IF(I5875="SBJ","CB","?"))</f>
        <v> </v>
      </c>
      <c r="I5875" s="26" t="str">
        <f>IF(OR(E5875="",E5875="!!!",F5875="NEW"),"",INDEX(B5874:B$2,-1+SUMPRODUCT(MAX(ROW(E5874:E$2)*(E5875=E5874:E$2)))))</f>
        <v> </v>
      </c>
      <c r="J5875" s="26" t="str">
        <f>IF(OR(E5875="",E5875="!!!",F5875="NEW"),"",COUNTBLANK(OFFSET(A$1,,,SUMPRODUCT(MAX(ROW(E$2:E5875)*(E5875=E$2:E5875)))))-COUNTBLANK(OFFSET(A$1,,,SUMPRODUCT(MAX(ROW(E$1:E5874)*(E2=E$1:E5874))))))</f>
        <v> </v>
      </c>
      <c r="K5875" s="26" t="str">
        <f>IF(OR(E5875="",E5875="!!!",F5875="NEW"),"",INDEX(J$1:J5874,SUMPRODUCT(MAX(ROW(E$1:E5874)*(E5875=E$1:E5874)))))</f>
        <v> </v>
      </c>
      <c r="L5875" s="27"/>
    </row>
    <row r="5876" spans="1:12">
      <c r="A5876" s="20" t="s">
        <v>2495</v>
      </c>
      <c r="E5876" s="22">
        <f>IF(D5876="?OLD","!!!","")</f>
        <v/>
      </c>
      <c r="F5876" s="23" t="str">
        <f>IF(OR(E5876="",E5876="!!!"),"",IF(NOT(ISNA(VLOOKUP(E5876,E$1:E5875,1,FALSE()))),"OLD",IF(AND(E5876&lt;&gt;"",E5876&lt;&gt;"!!!"),"NEW","")))</f>
        <v> </v>
      </c>
      <c r="G5876" s="24" t="str">
        <f>IF(OR(E5876="",E5876="!!!"),"",IF(OR(J5876=0,AND(J5876=1,K5876=1),AND(J5876=1,I5876="SBJ"),AND(J5876=1,I5876=0)),"?IN_FOCUS",IF(J5876&lt;=2,"?ACTIVATED",IF(J5876&lt;&gt;"","?FAMILIAR",IF(F5876="NEW",IF(ISNA(VLOOKUP(E5876,#REF!,1,FALSE())),"?TYPE_IDENTIFIABLE","?REFERENTIAL"),"_")))))</f>
        <v> </v>
      </c>
      <c r="H5876" s="25" t="str">
        <f>IF(J5876&lt;&gt;1,"",IF(I5876="SBJ","CB","?"))</f>
        <v> </v>
      </c>
      <c r="I5876" s="26" t="str">
        <f>IF(OR(E5876="",E5876="!!!",F5876="NEW"),"",INDEX(B5875:B$2,-1+SUMPRODUCT(MAX(ROW(E5875:E$2)*(E5876=E5875:E$2)))))</f>
        <v> </v>
      </c>
      <c r="J5876" s="26" t="str">
        <f>IF(OR(E5876="",E5876="!!!",F5876="NEW"),"",COUNTBLANK(OFFSET(A$1,,,SUMPRODUCT(MAX(ROW(E$2:E5876)*(E5876=E$2:E5876)))))-COUNTBLANK(OFFSET(A$1,,,SUMPRODUCT(MAX(ROW(E$1:E5875)*(E2=E$1:E5875))))))</f>
        <v> </v>
      </c>
      <c r="K5876" s="26" t="str">
        <f>IF(OR(E5876="",E5876="!!!",F5876="NEW"),"",INDEX(J$1:J5875,SUMPRODUCT(MAX(ROW(E$1:E5875)*(E5876=E$1:E5875)))))</f>
        <v> </v>
      </c>
      <c r="L5876" s="27"/>
    </row>
    <row r="5877" spans="1:12">
      <c r="A5877" s="20" t="s">
        <v>1061</v>
      </c>
      <c r="E5877" s="22">
        <f>IF(D5877="?OLD","!!!","")</f>
        <v/>
      </c>
      <c r="F5877" s="23" t="str">
        <f>IF(OR(E5877="",E5877="!!!"),"",IF(NOT(ISNA(VLOOKUP(E5877,E$1:E5876,1,FALSE()))),"OLD",IF(AND(E5877&lt;&gt;"",E5877&lt;&gt;"!!!"),"NEW","")))</f>
        <v> </v>
      </c>
      <c r="G5877" s="24" t="str">
        <f>IF(OR(E5877="",E5877="!!!"),"",IF(OR(J5877=0,AND(J5877=1,K5877=1),AND(J5877=1,I5877="SBJ"),AND(J5877=1,I5877=0)),"?IN_FOCUS",IF(J5877&lt;=2,"?ACTIVATED",IF(J5877&lt;&gt;"","?FAMILIAR",IF(F5877="NEW",IF(ISNA(VLOOKUP(E5877,#REF!,1,FALSE())),"?TYPE_IDENTIFIABLE","?REFERENTIAL"),"_")))))</f>
        <v> </v>
      </c>
      <c r="H5877" s="25" t="str">
        <f>IF(J5877&lt;&gt;1,"",IF(I5877="SBJ","CB","?"))</f>
        <v> </v>
      </c>
      <c r="I5877" s="26" t="str">
        <f>IF(OR(E5877="",E5877="!!!",F5877="NEW"),"",INDEX(B5876:B$2,-1+SUMPRODUCT(MAX(ROW(E5876:E$2)*(E5877=E5876:E$2)))))</f>
        <v> </v>
      </c>
      <c r="J5877" s="26" t="str">
        <f>IF(OR(E5877="",E5877="!!!",F5877="NEW"),"",COUNTBLANK(OFFSET(A$1,,,SUMPRODUCT(MAX(ROW(E$2:E5877)*(E5877=E$2:E5877)))))-COUNTBLANK(OFFSET(A$1,,,SUMPRODUCT(MAX(ROW(E$1:E5876)*(E2=E$1:E5876))))))</f>
        <v> </v>
      </c>
      <c r="K5877" s="26" t="str">
        <f>IF(OR(E5877="",E5877="!!!",F5877="NEW"),"",INDEX(J$1:J5876,SUMPRODUCT(MAX(ROW(E$1:E5876)*(E5877=E$1:E5876)))))</f>
        <v> </v>
      </c>
      <c r="L5877" s="27"/>
    </row>
    <row r="5878" spans="1:12">
      <c r="A5878" s="20" t="s">
        <v>1135</v>
      </c>
      <c r="B5878" s="21" t="s">
        <v>1001</v>
      </c>
      <c r="C5878" s="21" t="s">
        <v>1034</v>
      </c>
      <c r="D5878" s="21" t="s">
        <v>997</v>
      </c>
      <c r="E5878" s="22">
        <f>IF(D5878="?OLD","!!!","")</f>
        <v/>
      </c>
      <c r="F5878" s="23" t="str">
        <f>IF(OR(E5878="",E5878="!!!"),"",IF(NOT(ISNA(VLOOKUP(E5878,E$1:E5877,1,FALSE()))),"OLD",IF(AND(E5878&lt;&gt;"",E5878&lt;&gt;"!!!"),"NEW","")))</f>
        <v> </v>
      </c>
      <c r="G5878" s="24" t="str">
        <f>IF(OR(E5878="",E5878="!!!"),"",IF(OR(J5878=0,AND(J5878=1,K5878=1),AND(J5878=1,I5878="SBJ"),AND(J5878=1,I5878=0)),"?IN_FOCUS",IF(J5878&lt;=2,"?ACTIVATED",IF(J5878&lt;&gt;"","?FAMILIAR",IF(F5878="NEW",IF(ISNA(VLOOKUP(E5878,#REF!,1,FALSE())),"?TYPE_IDENTIFIABLE","?REFERENTIAL"),"_")))))</f>
        <v> </v>
      </c>
      <c r="H5878" s="25" t="str">
        <f>IF(J5878&lt;&gt;1,"",IF(I5878="SBJ","CB","?"))</f>
        <v> </v>
      </c>
      <c r="I5878" s="26" t="str">
        <f>IF(OR(E5878="",E5878="!!!",F5878="NEW"),"",INDEX(B5877:B$2,-1+SUMPRODUCT(MAX(ROW(E5877:E$2)*(E5878=E5877:E$2)))))</f>
        <v> </v>
      </c>
      <c r="J5878" s="26" t="str">
        <f>IF(OR(E5878="",E5878="!!!",F5878="NEW"),"",COUNTBLANK(OFFSET(A$1,,,SUMPRODUCT(MAX(ROW(E$2:E5878)*(E5878=E$2:E5878)))))-COUNTBLANK(OFFSET(A$1,,,SUMPRODUCT(MAX(ROW(E$1:E5877)*(E2=E$1:E5877))))))</f>
        <v> </v>
      </c>
      <c r="K5878" s="26" t="str">
        <f>IF(OR(E5878="",E5878="!!!",F5878="NEW"),"",INDEX(J$1:J5877,SUMPRODUCT(MAX(ROW(E$1:E5877)*(E5878=E$1:E5877)))))</f>
        <v> </v>
      </c>
      <c r="L5878" s="27"/>
    </row>
    <row r="5879" spans="1:12">
      <c r="A5879" s="20" t="s">
        <v>1250</v>
      </c>
      <c r="E5879" s="22">
        <f>IF(D5879="?OLD","!!!","")</f>
        <v/>
      </c>
      <c r="F5879" s="23" t="str">
        <f>IF(OR(E5879="",E5879="!!!"),"",IF(NOT(ISNA(VLOOKUP(E5879,E$1:E5878,1,FALSE()))),"OLD",IF(AND(E5879&lt;&gt;"",E5879&lt;&gt;"!!!"),"NEW","")))</f>
        <v> </v>
      </c>
      <c r="G5879" s="24" t="str">
        <f>IF(OR(E5879="",E5879="!!!"),"",IF(OR(J5879=0,AND(J5879=1,K5879=1),AND(J5879=1,I5879="SBJ"),AND(J5879=1,I5879=0)),"?IN_FOCUS",IF(J5879&lt;=2,"?ACTIVATED",IF(J5879&lt;&gt;"","?FAMILIAR",IF(F5879="NEW",IF(ISNA(VLOOKUP(E5879,#REF!,1,FALSE())),"?TYPE_IDENTIFIABLE","?REFERENTIAL"),"_")))))</f>
        <v> </v>
      </c>
      <c r="H5879" s="25" t="str">
        <f>IF(J5879&lt;&gt;1,"",IF(I5879="SBJ","CB","?"))</f>
        <v> </v>
      </c>
      <c r="I5879" s="26" t="str">
        <f>IF(OR(E5879="",E5879="!!!",F5879="NEW"),"",INDEX(B5878:B$2,-1+SUMPRODUCT(MAX(ROW(E5878:E$2)*(E5879=E5878:E$2)))))</f>
        <v> </v>
      </c>
      <c r="J5879" s="26" t="str">
        <f>IF(OR(E5879="",E5879="!!!",F5879="NEW"),"",COUNTBLANK(OFFSET(A$1,,,SUMPRODUCT(MAX(ROW(E$2:E5879)*(E5879=E$2:E5879)))))-COUNTBLANK(OFFSET(A$1,,,SUMPRODUCT(MAX(ROW(E$1:E5878)*(E2=E$1:E5878))))))</f>
        <v> </v>
      </c>
      <c r="K5879" s="26" t="str">
        <f>IF(OR(E5879="",E5879="!!!",F5879="NEW"),"",INDEX(J$1:J5878,SUMPRODUCT(MAX(ROW(E$1:E5878)*(E5879=E$1:E5878)))))</f>
        <v> </v>
      </c>
      <c r="L5879" s="27"/>
    </row>
    <row r="5880" spans="1:12">
      <c r="A5880" s="20" t="s">
        <v>1054</v>
      </c>
      <c r="E5880" s="22">
        <f>IF(D5880="?OLD","!!!","")</f>
        <v/>
      </c>
      <c r="F5880" s="23" t="str">
        <f>IF(OR(E5880="",E5880="!!!"),"",IF(NOT(ISNA(VLOOKUP(E5880,E$1:E5879,1,FALSE()))),"OLD",IF(AND(E5880&lt;&gt;"",E5880&lt;&gt;"!!!"),"NEW","")))</f>
        <v> </v>
      </c>
      <c r="G5880" s="24" t="str">
        <f>IF(OR(E5880="",E5880="!!!"),"",IF(OR(J5880=0,AND(J5880=1,K5880=1),AND(J5880=1,I5880="SBJ"),AND(J5880=1,I5880=0)),"?IN_FOCUS",IF(J5880&lt;=2,"?ACTIVATED",IF(J5880&lt;&gt;"","?FAMILIAR",IF(F5880="NEW",IF(ISNA(VLOOKUP(E5880,#REF!,1,FALSE())),"?TYPE_IDENTIFIABLE","?REFERENTIAL"),"_")))))</f>
        <v> </v>
      </c>
      <c r="H5880" s="25" t="str">
        <f>IF(J5880&lt;&gt;1,"",IF(I5880="SBJ","CB","?"))</f>
        <v> </v>
      </c>
      <c r="I5880" s="26" t="str">
        <f>IF(OR(E5880="",E5880="!!!",F5880="NEW"),"",INDEX(B5879:B$2,-1+SUMPRODUCT(MAX(ROW(E5879:E$2)*(E5880=E5879:E$2)))))</f>
        <v> </v>
      </c>
      <c r="J5880" s="26" t="str">
        <f>IF(OR(E5880="",E5880="!!!",F5880="NEW"),"",COUNTBLANK(OFFSET(A$1,,,SUMPRODUCT(MAX(ROW(E$2:E5880)*(E5880=E$2:E5880)))))-COUNTBLANK(OFFSET(A$1,,,SUMPRODUCT(MAX(ROW(E$1:E5879)*(E2=E$1:E5879))))))</f>
        <v> </v>
      </c>
      <c r="K5880" s="26" t="str">
        <f>IF(OR(E5880="",E5880="!!!",F5880="NEW"),"",INDEX(J$1:J5879,SUMPRODUCT(MAX(ROW(E$1:E5879)*(E5880=E$1:E5879)))))</f>
        <v> </v>
      </c>
      <c r="L5880" s="27"/>
    </row>
    <row r="5881" spans="1:12">
      <c r="A5881" s="20" t="s">
        <v>2496</v>
      </c>
      <c r="E5881" s="22">
        <f>IF(D5881="?OLD","!!!","")</f>
        <v/>
      </c>
      <c r="F5881" s="23" t="str">
        <f>IF(OR(E5881="",E5881="!!!"),"",IF(NOT(ISNA(VLOOKUP(E5881,E$1:E5880,1,FALSE()))),"OLD",IF(AND(E5881&lt;&gt;"",E5881&lt;&gt;"!!!"),"NEW","")))</f>
        <v> </v>
      </c>
      <c r="G5881" s="24" t="str">
        <f>IF(OR(E5881="",E5881="!!!"),"",IF(OR(J5881=0,AND(J5881=1,K5881=1),AND(J5881=1,I5881="SBJ"),AND(J5881=1,I5881=0)),"?IN_FOCUS",IF(J5881&lt;=2,"?ACTIVATED",IF(J5881&lt;&gt;"","?FAMILIAR",IF(F5881="NEW",IF(ISNA(VLOOKUP(E5881,#REF!,1,FALSE())),"?TYPE_IDENTIFIABLE","?REFERENTIAL"),"_")))))</f>
        <v> </v>
      </c>
      <c r="H5881" s="25" t="str">
        <f>IF(J5881&lt;&gt;1,"",IF(I5881="SBJ","CB","?"))</f>
        <v> </v>
      </c>
      <c r="I5881" s="26" t="str">
        <f>IF(OR(E5881="",E5881="!!!",F5881="NEW"),"",INDEX(B5880:B$2,-1+SUMPRODUCT(MAX(ROW(E5880:E$2)*(E5881=E5880:E$2)))))</f>
        <v> </v>
      </c>
      <c r="J5881" s="26" t="str">
        <f>IF(OR(E5881="",E5881="!!!",F5881="NEW"),"",COUNTBLANK(OFFSET(A$1,,,SUMPRODUCT(MAX(ROW(E$2:E5881)*(E5881=E$2:E5881)))))-COUNTBLANK(OFFSET(A$1,,,SUMPRODUCT(MAX(ROW(E$1:E5880)*(E2=E$1:E5880))))))</f>
        <v> </v>
      </c>
      <c r="K5881" s="26" t="str">
        <f>IF(OR(E5881="",E5881="!!!",F5881="NEW"),"",INDEX(J$1:J5880,SUMPRODUCT(MAX(ROW(E$1:E5880)*(E5881=E$1:E5880)))))</f>
        <v> </v>
      </c>
      <c r="L5881" s="27"/>
    </row>
    <row r="5882" spans="1:12">
      <c r="A5882" s="20" t="s">
        <v>1011</v>
      </c>
      <c r="E5882" s="22">
        <f>IF(D5882="?OLD","!!!","")</f>
        <v/>
      </c>
      <c r="F5882" s="23" t="str">
        <f>IF(OR(E5882="",E5882="!!!"),"",IF(NOT(ISNA(VLOOKUP(E5882,E$1:E5881,1,FALSE()))),"OLD",IF(AND(E5882&lt;&gt;"",E5882&lt;&gt;"!!!"),"NEW","")))</f>
        <v> </v>
      </c>
      <c r="G5882" s="24" t="str">
        <f>IF(OR(E5882="",E5882="!!!"),"",IF(OR(J5882=0,AND(J5882=1,K5882=1),AND(J5882=1,I5882="SBJ"),AND(J5882=1,I5882=0)),"?IN_FOCUS",IF(J5882&lt;=2,"?ACTIVATED",IF(J5882&lt;&gt;"","?FAMILIAR",IF(F5882="NEW",IF(ISNA(VLOOKUP(E5882,#REF!,1,FALSE())),"?TYPE_IDENTIFIABLE","?REFERENTIAL"),"_")))))</f>
        <v> </v>
      </c>
      <c r="H5882" s="25" t="str">
        <f>IF(J5882&lt;&gt;1,"",IF(I5882="SBJ","CB","?"))</f>
        <v> </v>
      </c>
      <c r="I5882" s="26" t="str">
        <f>IF(OR(E5882="",E5882="!!!",F5882="NEW"),"",INDEX(B5881:B$2,-1+SUMPRODUCT(MAX(ROW(E5881:E$2)*(E5882=E5881:E$2)))))</f>
        <v> </v>
      </c>
      <c r="J5882" s="26" t="str">
        <f>IF(OR(E5882="",E5882="!!!",F5882="NEW"),"",COUNTBLANK(OFFSET(A$1,,,SUMPRODUCT(MAX(ROW(E$2:E5882)*(E5882=E$2:E5882)))))-COUNTBLANK(OFFSET(A$1,,,SUMPRODUCT(MAX(ROW(E$1:E5881)*(E2=E$1:E5881))))))</f>
        <v> </v>
      </c>
      <c r="K5882" s="26" t="str">
        <f>IF(OR(E5882="",E5882="!!!",F5882="NEW"),"",INDEX(J$1:J5881,SUMPRODUCT(MAX(ROW(E$1:E5881)*(E5882=E$1:E5881)))))</f>
        <v> </v>
      </c>
      <c r="L5882" s="27"/>
    </row>
    <row r="5883" spans="1:12">
      <c r="A5883" s="20"/>
    </row>
    <row r="5884" spans="1:12">
      <c r="A5884" s="20" t="s">
        <v>2497</v>
      </c>
    </row>
    <row r="5885" spans="1:12">
      <c r="A5885" s="20" t="s">
        <v>2498</v>
      </c>
      <c r="E5885" s="22">
        <f>IF(D5885="?OLD","!!!","")</f>
        <v/>
      </c>
      <c r="F5885" s="23" t="str">
        <f>IF(OR(E5885="",E5885="!!!"),"",IF(NOT(ISNA(VLOOKUP(E5885,E$1:E5884,1,FALSE()))),"OLD",IF(AND(E5885&lt;&gt;"",E5885&lt;&gt;"!!!"),"NEW","")))</f>
        <v> </v>
      </c>
      <c r="G5885" s="24" t="str">
        <f>IF(OR(E5885="",E5885="!!!"),"",IF(OR(J5885=0,AND(J5885=1,K5885=1),AND(J5885=1,I5885="SBJ"),AND(J5885=1,I5885=0)),"?IN_FOCUS",IF(J5885&lt;=2,"?ACTIVATED",IF(J5885&lt;&gt;"","?FAMILIAR",IF(F5885="NEW",IF(ISNA(VLOOKUP(E5885,#REF!,1,FALSE())),"?TYPE_IDENTIFIABLE","?REFERENTIAL"),"_")))))</f>
        <v> </v>
      </c>
      <c r="H5885" s="25" t="str">
        <f>IF(J5885&lt;&gt;1,"",IF(I5885="SBJ","CB","?"))</f>
        <v> </v>
      </c>
      <c r="I5885" s="26" t="str">
        <f>IF(OR(E5885="",E5885="!!!",F5885="NEW"),"",INDEX(B5884:B$2,-1+SUMPRODUCT(MAX(ROW(E5884:E$2)*(E5885=E5884:E$2)))))</f>
        <v> </v>
      </c>
      <c r="J5885" s="26" t="str">
        <f>IF(OR(E5885="",E5885="!!!",F5885="NEW"),"",COUNTBLANK(OFFSET(A$1,,,SUMPRODUCT(MAX(ROW(E$2:E5885)*(E5885=E$2:E5885)))))-COUNTBLANK(OFFSET(A$1,,,SUMPRODUCT(MAX(ROW(E$1:E5884)*(E2=E$1:E5884))))))</f>
        <v> </v>
      </c>
      <c r="K5885" s="26" t="str">
        <f>IF(OR(E5885="",E5885="!!!",F5885="NEW"),"",INDEX(J$1:J5884,SUMPRODUCT(MAX(ROW(E$1:E5884)*(E5885=E$1:E5884)))))</f>
        <v> </v>
      </c>
      <c r="L5885" s="27"/>
    </row>
    <row r="5886" spans="1:12">
      <c r="A5886" s="20" t="s">
        <v>1000</v>
      </c>
      <c r="B5886" s="21" t="s">
        <v>995</v>
      </c>
      <c r="C5886" s="21" t="s">
        <v>996</v>
      </c>
      <c r="D5886" s="21" t="s">
        <v>997</v>
      </c>
      <c r="E5886" s="22">
        <f>IF(D5886="?OLD","!!!","")</f>
        <v/>
      </c>
      <c r="F5886" s="23" t="str">
        <f>IF(OR(E5886="",E5886="!!!"),"",IF(NOT(ISNA(VLOOKUP(E5886,E$1:E5885,1,FALSE()))),"OLD",IF(AND(E5886&lt;&gt;"",E5886&lt;&gt;"!!!"),"NEW","")))</f>
        <v> </v>
      </c>
      <c r="G5886" s="24" t="str">
        <f>IF(OR(E5886="",E5886="!!!"),"",IF(OR(J5886=0,AND(J5886=1,K5886=1),AND(J5886=1,I5886="SBJ"),AND(J5886=1,I5886=0)),"?IN_FOCUS",IF(J5886&lt;=2,"?ACTIVATED",IF(J5886&lt;&gt;"","?FAMILIAR",IF(F5886="NEW",IF(ISNA(VLOOKUP(E5886,#REF!,1,FALSE())),"?TYPE_IDENTIFIABLE","?REFERENTIAL"),"_")))))</f>
        <v> </v>
      </c>
      <c r="H5886" s="25" t="str">
        <f>IF(J5886&lt;&gt;1,"",IF(I5886="SBJ","CB","?"))</f>
        <v> </v>
      </c>
      <c r="I5886" s="26" t="str">
        <f>IF(OR(E5886="",E5886="!!!",F5886="NEW"),"",INDEX(B5885:B$2,-1+SUMPRODUCT(MAX(ROW(E5885:E$2)*(E5886=E5885:E$2)))))</f>
        <v> </v>
      </c>
      <c r="J5886" s="26" t="str">
        <f>IF(OR(E5886="",E5886="!!!",F5886="NEW"),"",COUNTBLANK(OFFSET(A$1,,,SUMPRODUCT(MAX(ROW(E$2:E5886)*(E5886=E$2:E5886)))))-COUNTBLANK(OFFSET(A$1,,,SUMPRODUCT(MAX(ROW(E$1:E5885)*(E2=E$1:E5885))))))</f>
        <v> </v>
      </c>
      <c r="K5886" s="26" t="str">
        <f>IF(OR(E5886="",E5886="!!!",F5886="NEW"),"",INDEX(J$1:J5885,SUMPRODUCT(MAX(ROW(E$1:E5885)*(E5886=E$1:E5885)))))</f>
        <v> </v>
      </c>
      <c r="L5886" s="27"/>
    </row>
    <row r="5887" spans="1:12">
      <c r="A5887" s="20" t="s">
        <v>1441</v>
      </c>
      <c r="E5887" s="22">
        <f>IF(D5887="?OLD","!!!","")</f>
        <v/>
      </c>
      <c r="F5887" s="23" t="str">
        <f>IF(OR(E5887="",E5887="!!!"),"",IF(NOT(ISNA(VLOOKUP(E5887,E$1:E5886,1,FALSE()))),"OLD",IF(AND(E5887&lt;&gt;"",E5887&lt;&gt;"!!!"),"NEW","")))</f>
        <v> </v>
      </c>
      <c r="G5887" s="24" t="str">
        <f>IF(OR(E5887="",E5887="!!!"),"",IF(OR(J5887=0,AND(J5887=1,K5887=1),AND(J5887=1,I5887="SBJ"),AND(J5887=1,I5887=0)),"?IN_FOCUS",IF(J5887&lt;=2,"?ACTIVATED",IF(J5887&lt;&gt;"","?FAMILIAR",IF(F5887="NEW",IF(ISNA(VLOOKUP(E5887,#REF!,1,FALSE())),"?TYPE_IDENTIFIABLE","?REFERENTIAL"),"_")))))</f>
        <v> </v>
      </c>
      <c r="H5887" s="25" t="str">
        <f>IF(J5887&lt;&gt;1,"",IF(I5887="SBJ","CB","?"))</f>
        <v> </v>
      </c>
      <c r="I5887" s="26" t="str">
        <f>IF(OR(E5887="",E5887="!!!",F5887="NEW"),"",INDEX(B5886:B$2,-1+SUMPRODUCT(MAX(ROW(E5886:E$2)*(E5887=E5886:E$2)))))</f>
        <v> </v>
      </c>
      <c r="J5887" s="26" t="str">
        <f>IF(OR(E5887="",E5887="!!!",F5887="NEW"),"",COUNTBLANK(OFFSET(A$1,,,SUMPRODUCT(MAX(ROW(E$2:E5887)*(E5887=E$2:E5887)))))-COUNTBLANK(OFFSET(A$1,,,SUMPRODUCT(MAX(ROW(E$1:E5886)*(E2=E$1:E5886))))))</f>
        <v> </v>
      </c>
      <c r="K5887" s="26" t="str">
        <f>IF(OR(E5887="",E5887="!!!",F5887="NEW"),"",INDEX(J$1:J5886,SUMPRODUCT(MAX(ROW(E$1:E5886)*(E5887=E$1:E5886)))))</f>
        <v> </v>
      </c>
      <c r="L5887" s="27"/>
    </row>
    <row r="5888" spans="1:12">
      <c r="A5888" s="20" t="s">
        <v>1339</v>
      </c>
      <c r="E5888" s="22">
        <f>IF(D5888="?OLD","!!!","")</f>
        <v/>
      </c>
      <c r="F5888" s="23" t="str">
        <f>IF(OR(E5888="",E5888="!!!"),"",IF(NOT(ISNA(VLOOKUP(E5888,E$1:E5887,1,FALSE()))),"OLD",IF(AND(E5888&lt;&gt;"",E5888&lt;&gt;"!!!"),"NEW","")))</f>
        <v> </v>
      </c>
      <c r="G5888" s="24" t="str">
        <f>IF(OR(E5888="",E5888="!!!"),"",IF(OR(J5888=0,AND(J5888=1,K5888=1),AND(J5888=1,I5888="SBJ"),AND(J5888=1,I5888=0)),"?IN_FOCUS",IF(J5888&lt;=2,"?ACTIVATED",IF(J5888&lt;&gt;"","?FAMILIAR",IF(F5888="NEW",IF(ISNA(VLOOKUP(E5888,#REF!,1,FALSE())),"?TYPE_IDENTIFIABLE","?REFERENTIAL"),"_")))))</f>
        <v> </v>
      </c>
      <c r="H5888" s="25" t="str">
        <f>IF(J5888&lt;&gt;1,"",IF(I5888="SBJ","CB","?"))</f>
        <v> </v>
      </c>
      <c r="I5888" s="26" t="str">
        <f>IF(OR(E5888="",E5888="!!!",F5888="NEW"),"",INDEX(B5887:B$2,-1+SUMPRODUCT(MAX(ROW(E5887:E$2)*(E5888=E5887:E$2)))))</f>
        <v> </v>
      </c>
      <c r="J5888" s="26" t="str">
        <f>IF(OR(E5888="",E5888="!!!",F5888="NEW"),"",COUNTBLANK(OFFSET(A$1,,,SUMPRODUCT(MAX(ROW(E$2:E5888)*(E5888=E$2:E5888)))))-COUNTBLANK(OFFSET(A$1,,,SUMPRODUCT(MAX(ROW(E$1:E5887)*(E2=E$1:E5887))))))</f>
        <v> </v>
      </c>
      <c r="K5888" s="26" t="str">
        <f>IF(OR(E5888="",E5888="!!!",F5888="NEW"),"",INDEX(J$1:J5887,SUMPRODUCT(MAX(ROW(E$1:E5887)*(E5888=E$1:E5887)))))</f>
        <v> </v>
      </c>
      <c r="L5888" s="27"/>
    </row>
    <row r="5889" spans="1:12">
      <c r="A5889" s="20" t="s">
        <v>2499</v>
      </c>
      <c r="E5889" s="22">
        <f>IF(D5889="?OLD","!!!","")</f>
        <v/>
      </c>
      <c r="F5889" s="23" t="str">
        <f>IF(OR(E5889="",E5889="!!!"),"",IF(NOT(ISNA(VLOOKUP(E5889,E$1:E5888,1,FALSE()))),"OLD",IF(AND(E5889&lt;&gt;"",E5889&lt;&gt;"!!!"),"NEW","")))</f>
        <v> </v>
      </c>
      <c r="G5889" s="24" t="str">
        <f>IF(OR(E5889="",E5889="!!!"),"",IF(OR(J5889=0,AND(J5889=1,K5889=1),AND(J5889=1,I5889="SBJ"),AND(J5889=1,I5889=0)),"?IN_FOCUS",IF(J5889&lt;=2,"?ACTIVATED",IF(J5889&lt;&gt;"","?FAMILIAR",IF(F5889="NEW",IF(ISNA(VLOOKUP(E5889,#REF!,1,FALSE())),"?TYPE_IDENTIFIABLE","?REFERENTIAL"),"_")))))</f>
        <v> </v>
      </c>
      <c r="H5889" s="25" t="str">
        <f>IF(J5889&lt;&gt;1,"",IF(I5889="SBJ","CB","?"))</f>
        <v> </v>
      </c>
      <c r="I5889" s="26" t="str">
        <f>IF(OR(E5889="",E5889="!!!",F5889="NEW"),"",INDEX(B5888:B$2,-1+SUMPRODUCT(MAX(ROW(E5888:E$2)*(E5889=E5888:E$2)))))</f>
        <v> </v>
      </c>
      <c r="J5889" s="26" t="str">
        <f>IF(OR(E5889="",E5889="!!!",F5889="NEW"),"",COUNTBLANK(OFFSET(A$1,,,SUMPRODUCT(MAX(ROW(E$2:E5889)*(E5889=E$2:E5889)))))-COUNTBLANK(OFFSET(A$1,,,SUMPRODUCT(MAX(ROW(E$1:E5888)*(E2=E$1:E5888))))))</f>
        <v> </v>
      </c>
      <c r="K5889" s="26" t="str">
        <f>IF(OR(E5889="",E5889="!!!",F5889="NEW"),"",INDEX(J$1:J5888,SUMPRODUCT(MAX(ROW(E$1:E5888)*(E5889=E$1:E5888)))))</f>
        <v> </v>
      </c>
      <c r="L5889" s="27"/>
    </row>
    <row r="5890" spans="1:12">
      <c r="A5890" s="20" t="s">
        <v>1241</v>
      </c>
      <c r="E5890" s="22">
        <f>IF(D5890="?OLD","!!!","")</f>
        <v/>
      </c>
      <c r="F5890" s="23" t="str">
        <f>IF(OR(E5890="",E5890="!!!"),"",IF(NOT(ISNA(VLOOKUP(E5890,E$1:E5889,1,FALSE()))),"OLD",IF(AND(E5890&lt;&gt;"",E5890&lt;&gt;"!!!"),"NEW","")))</f>
        <v> </v>
      </c>
      <c r="G5890" s="24" t="str">
        <f>IF(OR(E5890="",E5890="!!!"),"",IF(OR(J5890=0,AND(J5890=1,K5890=1),AND(J5890=1,I5890="SBJ"),AND(J5890=1,I5890=0)),"?IN_FOCUS",IF(J5890&lt;=2,"?ACTIVATED",IF(J5890&lt;&gt;"","?FAMILIAR",IF(F5890="NEW",IF(ISNA(VLOOKUP(E5890,#REF!,1,FALSE())),"?TYPE_IDENTIFIABLE","?REFERENTIAL"),"_")))))</f>
        <v> </v>
      </c>
      <c r="H5890" s="25" t="str">
        <f>IF(J5890&lt;&gt;1,"",IF(I5890="SBJ","CB","?"))</f>
        <v> </v>
      </c>
      <c r="I5890" s="26" t="str">
        <f>IF(OR(E5890="",E5890="!!!",F5890="NEW"),"",INDEX(B5889:B$2,-1+SUMPRODUCT(MAX(ROW(E5889:E$2)*(E5890=E5889:E$2)))))</f>
        <v> </v>
      </c>
      <c r="J5890" s="26" t="str">
        <f>IF(OR(E5890="",E5890="!!!",F5890="NEW"),"",COUNTBLANK(OFFSET(A$1,,,SUMPRODUCT(MAX(ROW(E$2:E5890)*(E5890=E$2:E5890)))))-COUNTBLANK(OFFSET(A$1,,,SUMPRODUCT(MAX(ROW(E$1:E5889)*(E2=E$1:E5889))))))</f>
        <v> </v>
      </c>
      <c r="K5890" s="26" t="str">
        <f>IF(OR(E5890="",E5890="!!!",F5890="NEW"),"",INDEX(J$1:J5889,SUMPRODUCT(MAX(ROW(E$1:E5889)*(E5890=E$1:E5889)))))</f>
        <v> </v>
      </c>
      <c r="L5890" s="27"/>
    </row>
    <row r="5891" spans="1:12">
      <c r="A5891" s="20" t="s">
        <v>2356</v>
      </c>
      <c r="B5891" s="21" t="s">
        <v>1101</v>
      </c>
      <c r="C5891" s="21" t="s">
        <v>1239</v>
      </c>
      <c r="E5891" s="22">
        <f>IF(D5891="?OLD","!!!","")</f>
        <v/>
      </c>
      <c r="F5891" s="23" t="str">
        <f>IF(OR(E5891="",E5891="!!!"),"",IF(NOT(ISNA(VLOOKUP(E5891,E$1:E5890,1,FALSE()))),"OLD",IF(AND(E5891&lt;&gt;"",E5891&lt;&gt;"!!!"),"NEW","")))</f>
        <v> </v>
      </c>
      <c r="G5891" s="24" t="str">
        <f>IF(OR(E5891="",E5891="!!!"),"",IF(OR(J5891=0,AND(J5891=1,K5891=1),AND(J5891=1,I5891="SBJ"),AND(J5891=1,I5891=0)),"?IN_FOCUS",IF(J5891&lt;=2,"?ACTIVATED",IF(J5891&lt;&gt;"","?FAMILIAR",IF(F5891="NEW",IF(ISNA(VLOOKUP(E5891,#REF!,1,FALSE())),"?TYPE_IDENTIFIABLE","?REFERENTIAL"),"_")))))</f>
        <v> </v>
      </c>
      <c r="H5891" s="25" t="str">
        <f>IF(J5891&lt;&gt;1,"",IF(I5891="SBJ","CB","?"))</f>
        <v> </v>
      </c>
      <c r="I5891" s="26" t="str">
        <f>IF(OR(E5891="",E5891="!!!",F5891="NEW"),"",INDEX(B5890:B$2,-1+SUMPRODUCT(MAX(ROW(E5890:E$2)*(E5891=E5890:E$2)))))</f>
        <v> </v>
      </c>
      <c r="J5891" s="26" t="str">
        <f>IF(OR(E5891="",E5891="!!!",F5891="NEW"),"",COUNTBLANK(OFFSET(A$1,,,SUMPRODUCT(MAX(ROW(E$2:E5891)*(E5891=E$2:E5891)))))-COUNTBLANK(OFFSET(A$1,,,SUMPRODUCT(MAX(ROW(E$1:E5890)*(E2=E$1:E5890))))))</f>
        <v> </v>
      </c>
      <c r="K5891" s="26" t="str">
        <f>IF(OR(E5891="",E5891="!!!",F5891="NEW"),"",INDEX(J$1:J5890,SUMPRODUCT(MAX(ROW(E$1:E5890)*(E5891=E$1:E5890)))))</f>
        <v> </v>
      </c>
      <c r="L5891" s="27"/>
    </row>
    <row r="5892" spans="1:12">
      <c r="A5892" s="20" t="s">
        <v>1008</v>
      </c>
      <c r="E5892" s="22">
        <f>IF(D5892="?OLD","!!!","")</f>
        <v/>
      </c>
      <c r="F5892" s="23" t="str">
        <f>IF(OR(E5892="",E5892="!!!"),"",IF(NOT(ISNA(VLOOKUP(E5892,E$1:E5891,1,FALSE()))),"OLD",IF(AND(E5892&lt;&gt;"",E5892&lt;&gt;"!!!"),"NEW","")))</f>
        <v> </v>
      </c>
      <c r="G5892" s="24" t="str">
        <f>IF(OR(E5892="",E5892="!!!"),"",IF(OR(J5892=0,AND(J5892=1,K5892=1),AND(J5892=1,I5892="SBJ"),AND(J5892=1,I5892=0)),"?IN_FOCUS",IF(J5892&lt;=2,"?ACTIVATED",IF(J5892&lt;&gt;"","?FAMILIAR",IF(F5892="NEW",IF(ISNA(VLOOKUP(E5892,#REF!,1,FALSE())),"?TYPE_IDENTIFIABLE","?REFERENTIAL"),"_")))))</f>
        <v> </v>
      </c>
      <c r="H5892" s="25" t="str">
        <f>IF(J5892&lt;&gt;1,"",IF(I5892="SBJ","CB","?"))</f>
        <v> </v>
      </c>
      <c r="I5892" s="26" t="str">
        <f>IF(OR(E5892="",E5892="!!!",F5892="NEW"),"",INDEX(B5891:B$2,-1+SUMPRODUCT(MAX(ROW(E5891:E$2)*(E5892=E5891:E$2)))))</f>
        <v> </v>
      </c>
      <c r="J5892" s="26" t="str">
        <f>IF(OR(E5892="",E5892="!!!",F5892="NEW"),"",COUNTBLANK(OFFSET(A$1,,,SUMPRODUCT(MAX(ROW(E$2:E5892)*(E5892=E$2:E5892)))))-COUNTBLANK(OFFSET(A$1,,,SUMPRODUCT(MAX(ROW(E$1:E5891)*(E2=E$1:E5891))))))</f>
        <v> </v>
      </c>
      <c r="K5892" s="26" t="str">
        <f>IF(OR(E5892="",E5892="!!!",F5892="NEW"),"",INDEX(J$1:J5891,SUMPRODUCT(MAX(ROW(E$1:E5891)*(E5892=E$1:E5891)))))</f>
        <v> </v>
      </c>
      <c r="L5892" s="27"/>
    </row>
    <row r="5893" spans="1:12">
      <c r="A5893" s="20" t="s">
        <v>408</v>
      </c>
      <c r="B5893" s="21" t="s">
        <v>1005</v>
      </c>
      <c r="C5893" s="21" t="s">
        <v>1006</v>
      </c>
      <c r="E5893" s="22">
        <f>IF(D5893="?OLD","!!!","")</f>
        <v/>
      </c>
      <c r="F5893" s="23" t="str">
        <f>IF(OR(E5893="",E5893="!!!"),"",IF(NOT(ISNA(VLOOKUP(E5893,E$1:E5892,1,FALSE()))),"OLD",IF(AND(E5893&lt;&gt;"",E5893&lt;&gt;"!!!"),"NEW","")))</f>
        <v> </v>
      </c>
      <c r="G5893" s="24" t="str">
        <f>IF(OR(E5893="",E5893="!!!"),"",IF(OR(J5893=0,AND(J5893=1,K5893=1),AND(J5893=1,I5893="SBJ"),AND(J5893=1,I5893=0)),"?IN_FOCUS",IF(J5893&lt;=2,"?ACTIVATED",IF(J5893&lt;&gt;"","?FAMILIAR",IF(F5893="NEW",IF(ISNA(VLOOKUP(E5893,#REF!,1,FALSE())),"?TYPE_IDENTIFIABLE","?REFERENTIAL"),"_")))))</f>
        <v> </v>
      </c>
      <c r="H5893" s="25" t="str">
        <f>IF(J5893&lt;&gt;1,"",IF(I5893="SBJ","CB","?"))</f>
        <v> </v>
      </c>
      <c r="I5893" s="26" t="str">
        <f>IF(OR(E5893="",E5893="!!!",F5893="NEW"),"",INDEX(B5892:B$2,-1+SUMPRODUCT(MAX(ROW(E5892:E$2)*(E5893=E5892:E$2)))))</f>
        <v> </v>
      </c>
      <c r="J5893" s="26" t="str">
        <f>IF(OR(E5893="",E5893="!!!",F5893="NEW"),"",COUNTBLANK(OFFSET(A$1,,,SUMPRODUCT(MAX(ROW(E$2:E5893)*(E5893=E$2:E5893)))))-COUNTBLANK(OFFSET(A$1,,,SUMPRODUCT(MAX(ROW(E$1:E5892)*(E2=E$1:E5892))))))</f>
        <v> </v>
      </c>
      <c r="K5893" s="26" t="str">
        <f>IF(OR(E5893="",E5893="!!!",F5893="NEW"),"",INDEX(J$1:J5892,SUMPRODUCT(MAX(ROW(E$1:E5892)*(E5893=E$1:E5892)))))</f>
        <v> </v>
      </c>
      <c r="L5893" s="27"/>
    </row>
    <row r="5894" spans="1:12">
      <c r="A5894" s="20" t="s">
        <v>2500</v>
      </c>
      <c r="E5894" s="22">
        <f>IF(D5894="?OLD","!!!","")</f>
        <v/>
      </c>
      <c r="F5894" s="23" t="str">
        <f>IF(OR(E5894="",E5894="!!!"),"",IF(NOT(ISNA(VLOOKUP(E5894,E$1:E5893,1,FALSE()))),"OLD",IF(AND(E5894&lt;&gt;"",E5894&lt;&gt;"!!!"),"NEW","")))</f>
        <v> </v>
      </c>
      <c r="G5894" s="24" t="str">
        <f>IF(OR(E5894="",E5894="!!!"),"",IF(OR(J5894=0,AND(J5894=1,K5894=1),AND(J5894=1,I5894="SBJ"),AND(J5894=1,I5894=0)),"?IN_FOCUS",IF(J5894&lt;=2,"?ACTIVATED",IF(J5894&lt;&gt;"","?FAMILIAR",IF(F5894="NEW",IF(ISNA(VLOOKUP(E5894,#REF!,1,FALSE())),"?TYPE_IDENTIFIABLE","?REFERENTIAL"),"_")))))</f>
        <v> </v>
      </c>
      <c r="H5894" s="25" t="str">
        <f>IF(J5894&lt;&gt;1,"",IF(I5894="SBJ","CB","?"))</f>
        <v> </v>
      </c>
      <c r="I5894" s="26" t="str">
        <f>IF(OR(E5894="",E5894="!!!",F5894="NEW"),"",INDEX(B5893:B$2,-1+SUMPRODUCT(MAX(ROW(E5893:E$2)*(E5894=E5893:E$2)))))</f>
        <v> </v>
      </c>
      <c r="J5894" s="26" t="str">
        <f>IF(OR(E5894="",E5894="!!!",F5894="NEW"),"",COUNTBLANK(OFFSET(A$1,,,SUMPRODUCT(MAX(ROW(E$2:E5894)*(E5894=E$2:E5894)))))-COUNTBLANK(OFFSET(A$1,,,SUMPRODUCT(MAX(ROW(E$1:E5893)*(E2=E$1:E5893))))))</f>
        <v> </v>
      </c>
      <c r="K5894" s="26" t="str">
        <f>IF(OR(E5894="",E5894="!!!",F5894="NEW"),"",INDEX(J$1:J5893,SUMPRODUCT(MAX(ROW(E$1:E5893)*(E5894=E$1:E5893)))))</f>
        <v> </v>
      </c>
      <c r="L5894" s="27"/>
    </row>
    <row r="5895" spans="1:12">
      <c r="A5895" s="20" t="s">
        <v>1041</v>
      </c>
      <c r="E5895" s="22">
        <f>IF(D5895="?OLD","!!!","")</f>
        <v/>
      </c>
      <c r="F5895" s="23" t="str">
        <f>IF(OR(E5895="",E5895="!!!"),"",IF(NOT(ISNA(VLOOKUP(E5895,E$1:E5894,1,FALSE()))),"OLD",IF(AND(E5895&lt;&gt;"",E5895&lt;&gt;"!!!"),"NEW","")))</f>
        <v> </v>
      </c>
      <c r="G5895" s="24" t="str">
        <f>IF(OR(E5895="",E5895="!!!"),"",IF(OR(J5895=0,AND(J5895=1,K5895=1),AND(J5895=1,I5895="SBJ"),AND(J5895=1,I5895=0)),"?IN_FOCUS",IF(J5895&lt;=2,"?ACTIVATED",IF(J5895&lt;&gt;"","?FAMILIAR",IF(F5895="NEW",IF(ISNA(VLOOKUP(E5895,#REF!,1,FALSE())),"?TYPE_IDENTIFIABLE","?REFERENTIAL"),"_")))))</f>
        <v> </v>
      </c>
      <c r="H5895" s="25" t="str">
        <f>IF(J5895&lt;&gt;1,"",IF(I5895="SBJ","CB","?"))</f>
        <v> </v>
      </c>
      <c r="I5895" s="26" t="str">
        <f>IF(OR(E5895="",E5895="!!!",F5895="NEW"),"",INDEX(B5894:B$2,-1+SUMPRODUCT(MAX(ROW(E5894:E$2)*(E5895=E5894:E$2)))))</f>
        <v> </v>
      </c>
      <c r="J5895" s="26" t="str">
        <f>IF(OR(E5895="",E5895="!!!",F5895="NEW"),"",COUNTBLANK(OFFSET(A$1,,,SUMPRODUCT(MAX(ROW(E$2:E5895)*(E5895=E$2:E5895)))))-COUNTBLANK(OFFSET(A$1,,,SUMPRODUCT(MAX(ROW(E$1:E5894)*(E2=E$1:E5894))))))</f>
        <v> </v>
      </c>
      <c r="K5895" s="26" t="str">
        <f>IF(OR(E5895="",E5895="!!!",F5895="NEW"),"",INDEX(J$1:J5894,SUMPRODUCT(MAX(ROW(E$1:E5894)*(E5895=E$1:E5894)))))</f>
        <v> </v>
      </c>
      <c r="L5895" s="27"/>
    </row>
    <row r="5896" spans="1:12">
      <c r="A5896" s="20" t="s">
        <v>1202</v>
      </c>
      <c r="E5896" s="22">
        <f>IF(D5896="?OLD","!!!","")</f>
        <v/>
      </c>
      <c r="F5896" s="23" t="str">
        <f>IF(OR(E5896="",E5896="!!!"),"",IF(NOT(ISNA(VLOOKUP(E5896,E$1:E5895,1,FALSE()))),"OLD",IF(AND(E5896&lt;&gt;"",E5896&lt;&gt;"!!!"),"NEW","")))</f>
        <v> </v>
      </c>
      <c r="G5896" s="24" t="str">
        <f>IF(OR(E5896="",E5896="!!!"),"",IF(OR(J5896=0,AND(J5896=1,K5896=1),AND(J5896=1,I5896="SBJ"),AND(J5896=1,I5896=0)),"?IN_FOCUS",IF(J5896&lt;=2,"?ACTIVATED",IF(J5896&lt;&gt;"","?FAMILIAR",IF(F5896="NEW",IF(ISNA(VLOOKUP(E5896,#REF!,1,FALSE())),"?TYPE_IDENTIFIABLE","?REFERENTIAL"),"_")))))</f>
        <v> </v>
      </c>
      <c r="H5896" s="25" t="str">
        <f>IF(J5896&lt;&gt;1,"",IF(I5896="SBJ","CB","?"))</f>
        <v> </v>
      </c>
      <c r="I5896" s="26" t="str">
        <f>IF(OR(E5896="",E5896="!!!",F5896="NEW"),"",INDEX(B5895:B$2,-1+SUMPRODUCT(MAX(ROW(E5895:E$2)*(E5896=E5895:E$2)))))</f>
        <v> </v>
      </c>
      <c r="J5896" s="26" t="str">
        <f>IF(OR(E5896="",E5896="!!!",F5896="NEW"),"",COUNTBLANK(OFFSET(A$1,,,SUMPRODUCT(MAX(ROW(E$2:E5896)*(E5896=E$2:E5896)))))-COUNTBLANK(OFFSET(A$1,,,SUMPRODUCT(MAX(ROW(E$1:E5895)*(E2=E$1:E5895))))))</f>
        <v> </v>
      </c>
      <c r="K5896" s="26" t="str">
        <f>IF(OR(E5896="",E5896="!!!",F5896="NEW"),"",INDEX(J$1:J5895,SUMPRODUCT(MAX(ROW(E$1:E5895)*(E5896=E$1:E5895)))))</f>
        <v> </v>
      </c>
      <c r="L5896" s="27"/>
    </row>
    <row r="5897" spans="1:12">
      <c r="A5897" s="20" t="s">
        <v>1618</v>
      </c>
      <c r="B5897" s="21" t="s">
        <v>1101</v>
      </c>
      <c r="C5897" s="21" t="s">
        <v>1068</v>
      </c>
      <c r="D5897" s="21" t="s">
        <v>997</v>
      </c>
      <c r="E5897" s="22">
        <f>IF(D5897="?OLD","!!!","")</f>
        <v/>
      </c>
      <c r="F5897" s="23" t="str">
        <f>IF(OR(E5897="",E5897="!!!"),"",IF(NOT(ISNA(VLOOKUP(E5897,E$1:E5896,1,FALSE()))),"OLD",IF(AND(E5897&lt;&gt;"",E5897&lt;&gt;"!!!"),"NEW","")))</f>
        <v> </v>
      </c>
      <c r="G5897" s="24" t="str">
        <f>IF(OR(E5897="",E5897="!!!"),"",IF(OR(J5897=0,AND(J5897=1,K5897=1),AND(J5897=1,I5897="SBJ"),AND(J5897=1,I5897=0)),"?IN_FOCUS",IF(J5897&lt;=2,"?ACTIVATED",IF(J5897&lt;&gt;"","?FAMILIAR",IF(F5897="NEW",IF(ISNA(VLOOKUP(E5897,#REF!,1,FALSE())),"?TYPE_IDENTIFIABLE","?REFERENTIAL"),"_")))))</f>
        <v> </v>
      </c>
      <c r="H5897" s="25" t="str">
        <f>IF(J5897&lt;&gt;1,"",IF(I5897="SBJ","CB","?"))</f>
        <v> </v>
      </c>
      <c r="I5897" s="26" t="str">
        <f>IF(OR(E5897="",E5897="!!!",F5897="NEW"),"",INDEX(B5896:B$2,-1+SUMPRODUCT(MAX(ROW(E5896:E$2)*(E5897=E5896:E$2)))))</f>
        <v> </v>
      </c>
      <c r="J5897" s="26" t="str">
        <f>IF(OR(E5897="",E5897="!!!",F5897="NEW"),"",COUNTBLANK(OFFSET(A$1,,,SUMPRODUCT(MAX(ROW(E$2:E5897)*(E5897=E$2:E5897)))))-COUNTBLANK(OFFSET(A$1,,,SUMPRODUCT(MAX(ROW(E$1:E5896)*(E2=E$1:E5896))))))</f>
        <v> </v>
      </c>
      <c r="K5897" s="26" t="str">
        <f>IF(OR(E5897="",E5897="!!!",F5897="NEW"),"",INDEX(J$1:J5896,SUMPRODUCT(MAX(ROW(E$1:E5896)*(E5897=E$1:E5896)))))</f>
        <v> </v>
      </c>
      <c r="L5897" s="27"/>
    </row>
    <row r="5898" spans="1:12">
      <c r="A5898" s="20" t="s">
        <v>1008</v>
      </c>
      <c r="E5898" s="22">
        <f>IF(D5898="?OLD","!!!","")</f>
        <v/>
      </c>
      <c r="F5898" s="23" t="str">
        <f>IF(OR(E5898="",E5898="!!!"),"",IF(NOT(ISNA(VLOOKUP(E5898,E$1:E5897,1,FALSE()))),"OLD",IF(AND(E5898&lt;&gt;"",E5898&lt;&gt;"!!!"),"NEW","")))</f>
        <v> </v>
      </c>
      <c r="G5898" s="24" t="str">
        <f>IF(OR(E5898="",E5898="!!!"),"",IF(OR(J5898=0,AND(J5898=1,K5898=1),AND(J5898=1,I5898="SBJ"),AND(J5898=1,I5898=0)),"?IN_FOCUS",IF(J5898&lt;=2,"?ACTIVATED",IF(J5898&lt;&gt;"","?FAMILIAR",IF(F5898="NEW",IF(ISNA(VLOOKUP(E5898,#REF!,1,FALSE())),"?TYPE_IDENTIFIABLE","?REFERENTIAL"),"_")))))</f>
        <v> </v>
      </c>
      <c r="H5898" s="25" t="str">
        <f>IF(J5898&lt;&gt;1,"",IF(I5898="SBJ","CB","?"))</f>
        <v> </v>
      </c>
      <c r="I5898" s="26" t="str">
        <f>IF(OR(E5898="",E5898="!!!",F5898="NEW"),"",INDEX(B5897:B$2,-1+SUMPRODUCT(MAX(ROW(E5897:E$2)*(E5898=E5897:E$2)))))</f>
        <v> </v>
      </c>
      <c r="J5898" s="26" t="str">
        <f>IF(OR(E5898="",E5898="!!!",F5898="NEW"),"",COUNTBLANK(OFFSET(A$1,,,SUMPRODUCT(MAX(ROW(E$2:E5898)*(E5898=E$2:E5898)))))-COUNTBLANK(OFFSET(A$1,,,SUMPRODUCT(MAX(ROW(E$1:E5897)*(E2=E$1:E5897))))))</f>
        <v> </v>
      </c>
      <c r="K5898" s="26" t="str">
        <f>IF(OR(E5898="",E5898="!!!",F5898="NEW"),"",INDEX(J$1:J5897,SUMPRODUCT(MAX(ROW(E$1:E5897)*(E5898=E$1:E5897)))))</f>
        <v> </v>
      </c>
      <c r="L5898" s="27"/>
    </row>
    <row r="5899" spans="1:12">
      <c r="A5899" s="20" t="s">
        <v>2501</v>
      </c>
      <c r="E5899" s="22">
        <f>IF(D5899="?OLD","!!!","")</f>
        <v/>
      </c>
      <c r="F5899" s="23" t="str">
        <f>IF(OR(E5899="",E5899="!!!"),"",IF(NOT(ISNA(VLOOKUP(E5899,E$1:E5898,1,FALSE()))),"OLD",IF(AND(E5899&lt;&gt;"",E5899&lt;&gt;"!!!"),"NEW","")))</f>
        <v> </v>
      </c>
      <c r="G5899" s="24" t="str">
        <f>IF(OR(E5899="",E5899="!!!"),"",IF(OR(J5899=0,AND(J5899=1,K5899=1),AND(J5899=1,I5899="SBJ"),AND(J5899=1,I5899=0)),"?IN_FOCUS",IF(J5899&lt;=2,"?ACTIVATED",IF(J5899&lt;&gt;"","?FAMILIAR",IF(F5899="NEW",IF(ISNA(VLOOKUP(E5899,#REF!,1,FALSE())),"?TYPE_IDENTIFIABLE","?REFERENTIAL"),"_")))))</f>
        <v> </v>
      </c>
      <c r="H5899" s="25" t="str">
        <f>IF(J5899&lt;&gt;1,"",IF(I5899="SBJ","CB","?"))</f>
        <v> </v>
      </c>
      <c r="I5899" s="26" t="str">
        <f>IF(OR(E5899="",E5899="!!!",F5899="NEW"),"",INDEX(B5898:B$2,-1+SUMPRODUCT(MAX(ROW(E5898:E$2)*(E5899=E5898:E$2)))))</f>
        <v> </v>
      </c>
      <c r="J5899" s="26" t="str">
        <f>IF(OR(E5899="",E5899="!!!",F5899="NEW"),"",COUNTBLANK(OFFSET(A$1,,,SUMPRODUCT(MAX(ROW(E$2:E5899)*(E5899=E$2:E5899)))))-COUNTBLANK(OFFSET(A$1,,,SUMPRODUCT(MAX(ROW(E$1:E5898)*(E2=E$1:E5898))))))</f>
        <v> </v>
      </c>
      <c r="K5899" s="26" t="str">
        <f>IF(OR(E5899="",E5899="!!!",F5899="NEW"),"",INDEX(J$1:J5898,SUMPRODUCT(MAX(ROW(E$1:E5898)*(E5899=E$1:E5898)))))</f>
        <v> </v>
      </c>
      <c r="L5899" s="27"/>
    </row>
    <row r="5900" spans="1:12">
      <c r="A5900" s="20" t="s">
        <v>2494</v>
      </c>
      <c r="E5900" s="22">
        <f>IF(D5900="?OLD","!!!","")</f>
        <v/>
      </c>
      <c r="F5900" s="23" t="str">
        <f>IF(OR(E5900="",E5900="!!!"),"",IF(NOT(ISNA(VLOOKUP(E5900,E$1:E5899,1,FALSE()))),"OLD",IF(AND(E5900&lt;&gt;"",E5900&lt;&gt;"!!!"),"NEW","")))</f>
        <v> </v>
      </c>
      <c r="G5900" s="24" t="str">
        <f>IF(OR(E5900="",E5900="!!!"),"",IF(OR(J5900=0,AND(J5900=1,K5900=1),AND(J5900=1,I5900="SBJ"),AND(J5900=1,I5900=0)),"?IN_FOCUS",IF(J5900&lt;=2,"?ACTIVATED",IF(J5900&lt;&gt;"","?FAMILIAR",IF(F5900="NEW",IF(ISNA(VLOOKUP(E5900,#REF!,1,FALSE())),"?TYPE_IDENTIFIABLE","?REFERENTIAL"),"_")))))</f>
        <v> </v>
      </c>
      <c r="H5900" s="25" t="str">
        <f>IF(J5900&lt;&gt;1,"",IF(I5900="SBJ","CB","?"))</f>
        <v> </v>
      </c>
      <c r="I5900" s="26" t="str">
        <f>IF(OR(E5900="",E5900="!!!",F5900="NEW"),"",INDEX(B5899:B$2,-1+SUMPRODUCT(MAX(ROW(E5899:E$2)*(E5900=E5899:E$2)))))</f>
        <v> </v>
      </c>
      <c r="J5900" s="26" t="str">
        <f>IF(OR(E5900="",E5900="!!!",F5900="NEW"),"",COUNTBLANK(OFFSET(A$1,,,SUMPRODUCT(MAX(ROW(E$2:E5900)*(E5900=E$2:E5900)))))-COUNTBLANK(OFFSET(A$1,,,SUMPRODUCT(MAX(ROW(E$1:E5899)*(E2=E$1:E5899))))))</f>
        <v> </v>
      </c>
      <c r="K5900" s="26" t="str">
        <f>IF(OR(E5900="",E5900="!!!",F5900="NEW"),"",INDEX(J$1:J5899,SUMPRODUCT(MAX(ROW(E$1:E5899)*(E5900=E$1:E5899)))))</f>
        <v> </v>
      </c>
      <c r="L5900" s="27"/>
    </row>
    <row r="5901" spans="1:12">
      <c r="A5901" s="20" t="s">
        <v>1041</v>
      </c>
      <c r="E5901" s="22">
        <f>IF(D5901="?OLD","!!!","")</f>
        <v/>
      </c>
      <c r="F5901" s="23" t="str">
        <f>IF(OR(E5901="",E5901="!!!"),"",IF(NOT(ISNA(VLOOKUP(E5901,E$1:E5900,1,FALSE()))),"OLD",IF(AND(E5901&lt;&gt;"",E5901&lt;&gt;"!!!"),"NEW","")))</f>
        <v> </v>
      </c>
      <c r="G5901" s="24" t="str">
        <f>IF(OR(E5901="",E5901="!!!"),"",IF(OR(J5901=0,AND(J5901=1,K5901=1),AND(J5901=1,I5901="SBJ"),AND(J5901=1,I5901=0)),"?IN_FOCUS",IF(J5901&lt;=2,"?ACTIVATED",IF(J5901&lt;&gt;"","?FAMILIAR",IF(F5901="NEW",IF(ISNA(VLOOKUP(E5901,#REF!,1,FALSE())),"?TYPE_IDENTIFIABLE","?REFERENTIAL"),"_")))))</f>
        <v> </v>
      </c>
      <c r="H5901" s="25" t="str">
        <f>IF(J5901&lt;&gt;1,"",IF(I5901="SBJ","CB","?"))</f>
        <v> </v>
      </c>
      <c r="I5901" s="26" t="str">
        <f>IF(OR(E5901="",E5901="!!!",F5901="NEW"),"",INDEX(B5900:B$2,-1+SUMPRODUCT(MAX(ROW(E5900:E$2)*(E5901=E5900:E$2)))))</f>
        <v> </v>
      </c>
      <c r="J5901" s="26" t="str">
        <f>IF(OR(E5901="",E5901="!!!",F5901="NEW"),"",COUNTBLANK(OFFSET(A$1,,,SUMPRODUCT(MAX(ROW(E$2:E5901)*(E5901=E$2:E5901)))))-COUNTBLANK(OFFSET(A$1,,,SUMPRODUCT(MAX(ROW(E$1:E5900)*(E2=E$1:E5900))))))</f>
        <v> </v>
      </c>
      <c r="K5901" s="26" t="str">
        <f>IF(OR(E5901="",E5901="!!!",F5901="NEW"),"",INDEX(J$1:J5900,SUMPRODUCT(MAX(ROW(E$1:E5900)*(E5901=E$1:E5900)))))</f>
        <v> </v>
      </c>
      <c r="L5901" s="27"/>
    </row>
    <row r="5902" spans="1:12">
      <c r="A5902" s="20" t="s">
        <v>1581</v>
      </c>
      <c r="E5902" s="22">
        <f>IF(D5902="?OLD","!!!","")</f>
        <v/>
      </c>
      <c r="F5902" s="23" t="str">
        <f>IF(OR(E5902="",E5902="!!!"),"",IF(NOT(ISNA(VLOOKUP(E5902,E$1:E5901,1,FALSE()))),"OLD",IF(AND(E5902&lt;&gt;"",E5902&lt;&gt;"!!!"),"NEW","")))</f>
        <v> </v>
      </c>
      <c r="G5902" s="24" t="str">
        <f>IF(OR(E5902="",E5902="!!!"),"",IF(OR(J5902=0,AND(J5902=1,K5902=1),AND(J5902=1,I5902="SBJ"),AND(J5902=1,I5902=0)),"?IN_FOCUS",IF(J5902&lt;=2,"?ACTIVATED",IF(J5902&lt;&gt;"","?FAMILIAR",IF(F5902="NEW",IF(ISNA(VLOOKUP(E5902,#REF!,1,FALSE())),"?TYPE_IDENTIFIABLE","?REFERENTIAL"),"_")))))</f>
        <v> </v>
      </c>
      <c r="H5902" s="25" t="str">
        <f>IF(J5902&lt;&gt;1,"",IF(I5902="SBJ","CB","?"))</f>
        <v> </v>
      </c>
      <c r="I5902" s="26" t="str">
        <f>IF(OR(E5902="",E5902="!!!",F5902="NEW"),"",INDEX(B5901:B$2,-1+SUMPRODUCT(MAX(ROW(E5901:E$2)*(E5902=E5901:E$2)))))</f>
        <v> </v>
      </c>
      <c r="J5902" s="26" t="str">
        <f>IF(OR(E5902="",E5902="!!!",F5902="NEW"),"",COUNTBLANK(OFFSET(A$1,,,SUMPRODUCT(MAX(ROW(E$2:E5902)*(E5902=E$2:E5902)))))-COUNTBLANK(OFFSET(A$1,,,SUMPRODUCT(MAX(ROW(E$1:E5901)*(E2=E$1:E5901))))))</f>
        <v> </v>
      </c>
      <c r="K5902" s="26" t="str">
        <f>IF(OR(E5902="",E5902="!!!",F5902="NEW"),"",INDEX(J$1:J5901,SUMPRODUCT(MAX(ROW(E$1:E5901)*(E5902=E$1:E5901)))))</f>
        <v> </v>
      </c>
      <c r="L5902" s="27"/>
    </row>
    <row r="5903" spans="1:12">
      <c r="A5903" s="20" t="s">
        <v>1018</v>
      </c>
      <c r="E5903" s="22">
        <f>IF(D5903="?OLD","!!!","")</f>
        <v/>
      </c>
      <c r="F5903" s="23" t="str">
        <f>IF(OR(E5903="",E5903="!!!"),"",IF(NOT(ISNA(VLOOKUP(E5903,E$1:E5902,1,FALSE()))),"OLD",IF(AND(E5903&lt;&gt;"",E5903&lt;&gt;"!!!"),"NEW","")))</f>
        <v> </v>
      </c>
      <c r="G5903" s="24" t="str">
        <f>IF(OR(E5903="",E5903="!!!"),"",IF(OR(J5903=0,AND(J5903=1,K5903=1),AND(J5903=1,I5903="SBJ"),AND(J5903=1,I5903=0)),"?IN_FOCUS",IF(J5903&lt;=2,"?ACTIVATED",IF(J5903&lt;&gt;"","?FAMILIAR",IF(F5903="NEW",IF(ISNA(VLOOKUP(E5903,#REF!,1,FALSE())),"?TYPE_IDENTIFIABLE","?REFERENTIAL"),"_")))))</f>
        <v> </v>
      </c>
      <c r="H5903" s="25" t="str">
        <f>IF(J5903&lt;&gt;1,"",IF(I5903="SBJ","CB","?"))</f>
        <v> </v>
      </c>
      <c r="I5903" s="26" t="str">
        <f>IF(OR(E5903="",E5903="!!!",F5903="NEW"),"",INDEX(B5902:B$2,-1+SUMPRODUCT(MAX(ROW(E5902:E$2)*(E5903=E5902:E$2)))))</f>
        <v> </v>
      </c>
      <c r="J5903" s="26" t="str">
        <f>IF(OR(E5903="",E5903="!!!",F5903="NEW"),"",COUNTBLANK(OFFSET(A$1,,,SUMPRODUCT(MAX(ROW(E$2:E5903)*(E5903=E$2:E5903)))))-COUNTBLANK(OFFSET(A$1,,,SUMPRODUCT(MAX(ROW(E$1:E5902)*(E2=E$1:E5902))))))</f>
        <v> </v>
      </c>
      <c r="K5903" s="26" t="str">
        <f>IF(OR(E5903="",E5903="!!!",F5903="NEW"),"",INDEX(J$1:J5902,SUMPRODUCT(MAX(ROW(E$1:E5902)*(E5903=E$1:E5902)))))</f>
        <v> </v>
      </c>
      <c r="L5903" s="27"/>
    </row>
    <row r="5904" spans="1:12">
      <c r="A5904" s="20" t="s">
        <v>2502</v>
      </c>
      <c r="B5904" s="21" t="s">
        <v>1010</v>
      </c>
      <c r="C5904" s="21" t="s">
        <v>1089</v>
      </c>
      <c r="E5904" s="22">
        <f>IF(D5904="?OLD","!!!","")</f>
        <v/>
      </c>
      <c r="F5904" s="23" t="str">
        <f>IF(OR(E5904="",E5904="!!!"),"",IF(NOT(ISNA(VLOOKUP(E5904,E$1:E5903,1,FALSE()))),"OLD",IF(AND(E5904&lt;&gt;"",E5904&lt;&gt;"!!!"),"NEW","")))</f>
        <v> </v>
      </c>
      <c r="G5904" s="24" t="str">
        <f>IF(OR(E5904="",E5904="!!!"),"",IF(OR(J5904=0,AND(J5904=1,K5904=1),AND(J5904=1,I5904="SBJ"),AND(J5904=1,I5904=0)),"?IN_FOCUS",IF(J5904&lt;=2,"?ACTIVATED",IF(J5904&lt;&gt;"","?FAMILIAR",IF(F5904="NEW",IF(ISNA(VLOOKUP(E5904,#REF!,1,FALSE())),"?TYPE_IDENTIFIABLE","?REFERENTIAL"),"_")))))</f>
        <v> </v>
      </c>
      <c r="H5904" s="25" t="str">
        <f>IF(J5904&lt;&gt;1,"",IF(I5904="SBJ","CB","?"))</f>
        <v> </v>
      </c>
      <c r="I5904" s="26" t="str">
        <f>IF(OR(E5904="",E5904="!!!",F5904="NEW"),"",INDEX(B5903:B$2,-1+SUMPRODUCT(MAX(ROW(E5903:E$2)*(E5904=E5903:E$2)))))</f>
        <v> </v>
      </c>
      <c r="J5904" s="26" t="str">
        <f>IF(OR(E5904="",E5904="!!!",F5904="NEW"),"",COUNTBLANK(OFFSET(A$1,,,SUMPRODUCT(MAX(ROW(E$2:E5904)*(E5904=E$2:E5904)))))-COUNTBLANK(OFFSET(A$1,,,SUMPRODUCT(MAX(ROW(E$1:E5903)*(E2=E$1:E5903))))))</f>
        <v> </v>
      </c>
      <c r="K5904" s="26" t="str">
        <f>IF(OR(E5904="",E5904="!!!",F5904="NEW"),"",INDEX(J$1:J5903,SUMPRODUCT(MAX(ROW(E$1:E5903)*(E5904=E$1:E5903)))))</f>
        <v> </v>
      </c>
      <c r="L5904" s="27"/>
    </row>
    <row r="5905" spans="1:12">
      <c r="A5905" s="20" t="s">
        <v>1054</v>
      </c>
      <c r="E5905" s="22">
        <f>IF(D5905="?OLD","!!!","")</f>
        <v/>
      </c>
      <c r="F5905" s="23" t="str">
        <f>IF(OR(E5905="",E5905="!!!"),"",IF(NOT(ISNA(VLOOKUP(E5905,E$1:E5904,1,FALSE()))),"OLD",IF(AND(E5905&lt;&gt;"",E5905&lt;&gt;"!!!"),"NEW","")))</f>
        <v> </v>
      </c>
      <c r="G5905" s="24" t="str">
        <f>IF(OR(E5905="",E5905="!!!"),"",IF(OR(J5905=0,AND(J5905=1,K5905=1),AND(J5905=1,I5905="SBJ"),AND(J5905=1,I5905=0)),"?IN_FOCUS",IF(J5905&lt;=2,"?ACTIVATED",IF(J5905&lt;&gt;"","?FAMILIAR",IF(F5905="NEW",IF(ISNA(VLOOKUP(E5905,#REF!,1,FALSE())),"?TYPE_IDENTIFIABLE","?REFERENTIAL"),"_")))))</f>
        <v> </v>
      </c>
      <c r="H5905" s="25" t="str">
        <f>IF(J5905&lt;&gt;1,"",IF(I5905="SBJ","CB","?"))</f>
        <v> </v>
      </c>
      <c r="I5905" s="26" t="str">
        <f>IF(OR(E5905="",E5905="!!!",F5905="NEW"),"",INDEX(B5904:B$2,-1+SUMPRODUCT(MAX(ROW(E5904:E$2)*(E5905=E5904:E$2)))))</f>
        <v> </v>
      </c>
      <c r="J5905" s="26" t="str">
        <f>IF(OR(E5905="",E5905="!!!",F5905="NEW"),"",COUNTBLANK(OFFSET(A$1,,,SUMPRODUCT(MAX(ROW(E$2:E5905)*(E5905=E$2:E5905)))))-COUNTBLANK(OFFSET(A$1,,,SUMPRODUCT(MAX(ROW(E$1:E5904)*(E2=E$1:E5904))))))</f>
        <v> </v>
      </c>
      <c r="K5905" s="26" t="str">
        <f>IF(OR(E5905="",E5905="!!!",F5905="NEW"),"",INDEX(J$1:J5904,SUMPRODUCT(MAX(ROW(E$1:E5904)*(E5905=E$1:E5904)))))</f>
        <v> </v>
      </c>
      <c r="L5905" s="27"/>
    </row>
    <row r="5906" spans="1:12">
      <c r="A5906" s="20" t="s">
        <v>2496</v>
      </c>
      <c r="E5906" s="22">
        <f>IF(D5906="?OLD","!!!","")</f>
        <v/>
      </c>
      <c r="F5906" s="23" t="str">
        <f>IF(OR(E5906="",E5906="!!!"),"",IF(NOT(ISNA(VLOOKUP(E5906,E$1:E5905,1,FALSE()))),"OLD",IF(AND(E5906&lt;&gt;"",E5906&lt;&gt;"!!!"),"NEW","")))</f>
        <v> </v>
      </c>
      <c r="G5906" s="24" t="str">
        <f>IF(OR(E5906="",E5906="!!!"),"",IF(OR(J5906=0,AND(J5906=1,K5906=1),AND(J5906=1,I5906="SBJ"),AND(J5906=1,I5906=0)),"?IN_FOCUS",IF(J5906&lt;=2,"?ACTIVATED",IF(J5906&lt;&gt;"","?FAMILIAR",IF(F5906="NEW",IF(ISNA(VLOOKUP(E5906,#REF!,1,FALSE())),"?TYPE_IDENTIFIABLE","?REFERENTIAL"),"_")))))</f>
        <v> </v>
      </c>
      <c r="H5906" s="25" t="str">
        <f>IF(J5906&lt;&gt;1,"",IF(I5906="SBJ","CB","?"))</f>
        <v> </v>
      </c>
      <c r="I5906" s="26" t="str">
        <f>IF(OR(E5906="",E5906="!!!",F5906="NEW"),"",INDEX(B5905:B$2,-1+SUMPRODUCT(MAX(ROW(E5905:E$2)*(E5906=E5905:E$2)))))</f>
        <v> </v>
      </c>
      <c r="J5906" s="26" t="str">
        <f>IF(OR(E5906="",E5906="!!!",F5906="NEW"),"",COUNTBLANK(OFFSET(A$1,,,SUMPRODUCT(MAX(ROW(E$2:E5906)*(E5906=E$2:E5906)))))-COUNTBLANK(OFFSET(A$1,,,SUMPRODUCT(MAX(ROW(E$1:E5905)*(E2=E$1:E5905))))))</f>
        <v> </v>
      </c>
      <c r="K5906" s="26" t="str">
        <f>IF(OR(E5906="",E5906="!!!",F5906="NEW"),"",INDEX(J$1:J5905,SUMPRODUCT(MAX(ROW(E$1:E5905)*(E5906=E$1:E5905)))))</f>
        <v> </v>
      </c>
      <c r="L5906" s="27"/>
    </row>
    <row r="5907" spans="1:12">
      <c r="A5907" s="20" t="s">
        <v>12</v>
      </c>
      <c r="E5907" s="22">
        <f>IF(D5907="?OLD","!!!","")</f>
        <v/>
      </c>
      <c r="F5907" s="23" t="str">
        <f>IF(OR(E5907="",E5907="!!!"),"",IF(NOT(ISNA(VLOOKUP(E5907,E$1:E5906,1,FALSE()))),"OLD",IF(AND(E5907&lt;&gt;"",E5907&lt;&gt;"!!!"),"NEW","")))</f>
        <v> </v>
      </c>
      <c r="G5907" s="24" t="str">
        <f>IF(OR(E5907="",E5907="!!!"),"",IF(OR(J5907=0,AND(J5907=1,K5907=1),AND(J5907=1,I5907="SBJ"),AND(J5907=1,I5907=0)),"?IN_FOCUS",IF(J5907&lt;=2,"?ACTIVATED",IF(J5907&lt;&gt;"","?FAMILIAR",IF(F5907="NEW",IF(ISNA(VLOOKUP(E5907,#REF!,1,FALSE())),"?TYPE_IDENTIFIABLE","?REFERENTIAL"),"_")))))</f>
        <v> </v>
      </c>
      <c r="H5907" s="25" t="str">
        <f>IF(J5907&lt;&gt;1,"",IF(I5907="SBJ","CB","?"))</f>
        <v> </v>
      </c>
      <c r="I5907" s="26" t="str">
        <f>IF(OR(E5907="",E5907="!!!",F5907="NEW"),"",INDEX(B5906:B$2,-1+SUMPRODUCT(MAX(ROW(E5906:E$2)*(E5907=E5906:E$2)))))</f>
        <v> </v>
      </c>
      <c r="J5907" s="26" t="str">
        <f>IF(OR(E5907="",E5907="!!!",F5907="NEW"),"",COUNTBLANK(OFFSET(A$1,,,SUMPRODUCT(MAX(ROW(E$2:E5907)*(E5907=E$2:E5907)))))-COUNTBLANK(OFFSET(A$1,,,SUMPRODUCT(MAX(ROW(E$1:E5906)*(E2=E$1:E5906))))))</f>
        <v> </v>
      </c>
      <c r="K5907" s="26" t="str">
        <f>IF(OR(E5907="",E5907="!!!",F5907="NEW"),"",INDEX(J$1:J5906,SUMPRODUCT(MAX(ROW(E$1:E5906)*(E5907=E$1:E5906)))))</f>
        <v> </v>
      </c>
      <c r="L5907" s="27"/>
    </row>
    <row r="5908" spans="1:12">
      <c r="A5908" s="20" t="s">
        <v>12</v>
      </c>
      <c r="E5908" s="22">
        <f>IF(D5908="?OLD","!!!","")</f>
        <v/>
      </c>
      <c r="F5908" s="23" t="str">
        <f>IF(OR(E5908="",E5908="!!!"),"",IF(NOT(ISNA(VLOOKUP(E5908,E$1:E5907,1,FALSE()))),"OLD",IF(AND(E5908&lt;&gt;"",E5908&lt;&gt;"!!!"),"NEW","")))</f>
        <v> </v>
      </c>
      <c r="G5908" s="24" t="str">
        <f>IF(OR(E5908="",E5908="!!!"),"",IF(OR(J5908=0,AND(J5908=1,K5908=1),AND(J5908=1,I5908="SBJ"),AND(J5908=1,I5908=0)),"?IN_FOCUS",IF(J5908&lt;=2,"?ACTIVATED",IF(J5908&lt;&gt;"","?FAMILIAR",IF(F5908="NEW",IF(ISNA(VLOOKUP(E5908,#REF!,1,FALSE())),"?TYPE_IDENTIFIABLE","?REFERENTIAL"),"_")))))</f>
        <v> </v>
      </c>
      <c r="H5908" s="25" t="str">
        <f>IF(J5908&lt;&gt;1,"",IF(I5908="SBJ","CB","?"))</f>
        <v> </v>
      </c>
      <c r="I5908" s="26" t="str">
        <f>IF(OR(E5908="",E5908="!!!",F5908="NEW"),"",INDEX(B5907:B$2,-1+SUMPRODUCT(MAX(ROW(E5907:E$2)*(E5908=E5907:E$2)))))</f>
        <v> </v>
      </c>
      <c r="J5908" s="26" t="str">
        <f>IF(OR(E5908="",E5908="!!!",F5908="NEW"),"",COUNTBLANK(OFFSET(A$1,,,SUMPRODUCT(MAX(ROW(E$2:E5908)*(E5908=E$2:E5908)))))-COUNTBLANK(OFFSET(A$1,,,SUMPRODUCT(MAX(ROW(E$1:E5907)*(E2=E$1:E5907))))))</f>
        <v> </v>
      </c>
      <c r="K5908" s="26" t="str">
        <f>IF(OR(E5908="",E5908="!!!",F5908="NEW"),"",INDEX(J$1:J5907,SUMPRODUCT(MAX(ROW(E$1:E5907)*(E5908=E$1:E5907)))))</f>
        <v> </v>
      </c>
      <c r="L5908" s="27"/>
    </row>
    <row r="5909" spans="1:12">
      <c r="A5909" s="20" t="s">
        <v>1191</v>
      </c>
      <c r="E5909" s="22">
        <f>IF(D5909="?OLD","!!!","")</f>
        <v/>
      </c>
      <c r="F5909" s="23" t="str">
        <f>IF(OR(E5909="",E5909="!!!"),"",IF(NOT(ISNA(VLOOKUP(E5909,E$1:E5908,1,FALSE()))),"OLD",IF(AND(E5909&lt;&gt;"",E5909&lt;&gt;"!!!"),"NEW","")))</f>
        <v> </v>
      </c>
      <c r="G5909" s="24" t="str">
        <f>IF(OR(E5909="",E5909="!!!"),"",IF(OR(J5909=0,AND(J5909=1,K5909=1),AND(J5909=1,I5909="SBJ"),AND(J5909=1,I5909=0)),"?IN_FOCUS",IF(J5909&lt;=2,"?ACTIVATED",IF(J5909&lt;&gt;"","?FAMILIAR",IF(F5909="NEW",IF(ISNA(VLOOKUP(E5909,#REF!,1,FALSE())),"?TYPE_IDENTIFIABLE","?REFERENTIAL"),"_")))))</f>
        <v> </v>
      </c>
      <c r="H5909" s="25" t="str">
        <f>IF(J5909&lt;&gt;1,"",IF(I5909="SBJ","CB","?"))</f>
        <v> </v>
      </c>
      <c r="I5909" s="26" t="str">
        <f>IF(OR(E5909="",E5909="!!!",F5909="NEW"),"",INDEX(B5908:B$2,-1+SUMPRODUCT(MAX(ROW(E5908:E$2)*(E5909=E5908:E$2)))))</f>
        <v> </v>
      </c>
      <c r="J5909" s="26" t="str">
        <f>IF(OR(E5909="",E5909="!!!",F5909="NEW"),"",COUNTBLANK(OFFSET(A$1,,,SUMPRODUCT(MAX(ROW(E$2:E5909)*(E5909=E$2:E5909)))))-COUNTBLANK(OFFSET(A$1,,,SUMPRODUCT(MAX(ROW(E$1:E5908)*(E2=E$1:E5908))))))</f>
        <v> </v>
      </c>
      <c r="K5909" s="26" t="str">
        <f>IF(OR(E5909="",E5909="!!!",F5909="NEW"),"",INDEX(J$1:J5908,SUMPRODUCT(MAX(ROW(E$1:E5908)*(E5909=E$1:E5908)))))</f>
        <v> </v>
      </c>
      <c r="L5909" s="27"/>
    </row>
    <row r="5910" spans="1:12">
      <c r="A5910" s="20" t="s">
        <v>1192</v>
      </c>
      <c r="B5910" s="21" t="s">
        <v>1010</v>
      </c>
      <c r="C5910" s="21" t="s">
        <v>1006</v>
      </c>
      <c r="E5910" s="22">
        <f>IF(D5910="?OLD","!!!","")</f>
        <v/>
      </c>
      <c r="F5910" s="23" t="str">
        <f>IF(OR(E5910="",E5910="!!!"),"",IF(NOT(ISNA(VLOOKUP(E5910,E$1:E5909,1,FALSE()))),"OLD",IF(AND(E5910&lt;&gt;"",E5910&lt;&gt;"!!!"),"NEW","")))</f>
        <v> </v>
      </c>
      <c r="G5910" s="24" t="str">
        <f>IF(OR(E5910="",E5910="!!!"),"",IF(OR(J5910=0,AND(J5910=1,K5910=1),AND(J5910=1,I5910="SBJ"),AND(J5910=1,I5910=0)),"?IN_FOCUS",IF(J5910&lt;=2,"?ACTIVATED",IF(J5910&lt;&gt;"","?FAMILIAR",IF(F5910="NEW",IF(ISNA(VLOOKUP(E5910,#REF!,1,FALSE())),"?TYPE_IDENTIFIABLE","?REFERENTIAL"),"_")))))</f>
        <v> </v>
      </c>
      <c r="H5910" s="25" t="str">
        <f>IF(J5910&lt;&gt;1,"",IF(I5910="SBJ","CB","?"))</f>
        <v> </v>
      </c>
      <c r="I5910" s="26" t="str">
        <f>IF(OR(E5910="",E5910="!!!",F5910="NEW"),"",INDEX(B5909:B$2,-1+SUMPRODUCT(MAX(ROW(E5909:E$2)*(E5910=E5909:E$2)))))</f>
        <v> </v>
      </c>
      <c r="J5910" s="26" t="str">
        <f>IF(OR(E5910="",E5910="!!!",F5910="NEW"),"",COUNTBLANK(OFFSET(A$1,,,SUMPRODUCT(MAX(ROW(E$2:E5910)*(E5910=E$2:E5910)))))-COUNTBLANK(OFFSET(A$1,,,SUMPRODUCT(MAX(ROW(E$1:E5909)*(E2=E$1:E5909))))))</f>
        <v> </v>
      </c>
      <c r="K5910" s="26" t="str">
        <f>IF(OR(E5910="",E5910="!!!",F5910="NEW"),"",INDEX(J$1:J5909,SUMPRODUCT(MAX(ROW(E$1:E5909)*(E5910=E$1:E5909)))))</f>
        <v> </v>
      </c>
      <c r="L5910" s="27"/>
    </row>
    <row r="5911" spans="1:12">
      <c r="A5911" s="20" t="s">
        <v>1029</v>
      </c>
      <c r="E5911" s="22">
        <f>IF(D5911="?OLD","!!!","")</f>
        <v/>
      </c>
      <c r="F5911" s="23" t="str">
        <f>IF(OR(E5911="",E5911="!!!"),"",IF(NOT(ISNA(VLOOKUP(E5911,E$1:E5910,1,FALSE()))),"OLD",IF(AND(E5911&lt;&gt;"",E5911&lt;&gt;"!!!"),"NEW","")))</f>
        <v> </v>
      </c>
      <c r="G5911" s="24" t="str">
        <f>IF(OR(E5911="",E5911="!!!"),"",IF(OR(J5911=0,AND(J5911=1,K5911=1),AND(J5911=1,I5911="SBJ"),AND(J5911=1,I5911=0)),"?IN_FOCUS",IF(J5911&lt;=2,"?ACTIVATED",IF(J5911&lt;&gt;"","?FAMILIAR",IF(F5911="NEW",IF(ISNA(VLOOKUP(E5911,#REF!,1,FALSE())),"?TYPE_IDENTIFIABLE","?REFERENTIAL"),"_")))))</f>
        <v> </v>
      </c>
      <c r="H5911" s="25" t="str">
        <f>IF(J5911&lt;&gt;1,"",IF(I5911="SBJ","CB","?"))</f>
        <v> </v>
      </c>
      <c r="I5911" s="26" t="str">
        <f>IF(OR(E5911="",E5911="!!!",F5911="NEW"),"",INDEX(B5910:B$2,-1+SUMPRODUCT(MAX(ROW(E5910:E$2)*(E5911=E5910:E$2)))))</f>
        <v> </v>
      </c>
      <c r="J5911" s="26" t="str">
        <f>IF(OR(E5911="",E5911="!!!",F5911="NEW"),"",COUNTBLANK(OFFSET(A$1,,,SUMPRODUCT(MAX(ROW(E$2:E5911)*(E5911=E$2:E5911)))))-COUNTBLANK(OFFSET(A$1,,,SUMPRODUCT(MAX(ROW(E$1:E5910)*(E2=E$1:E5910))))))</f>
        <v> </v>
      </c>
      <c r="K5911" s="26" t="str">
        <f>IF(OR(E5911="",E5911="!!!",F5911="NEW"),"",INDEX(J$1:J5910,SUMPRODUCT(MAX(ROW(E$1:E5910)*(E5911=E$1:E5910)))))</f>
        <v> </v>
      </c>
      <c r="L5911" s="27"/>
    </row>
    <row r="5912" spans="1:12">
      <c r="A5912" s="20" t="s">
        <v>1144</v>
      </c>
      <c r="E5912" s="22">
        <f>IF(D5912="?OLD","!!!","")</f>
        <v/>
      </c>
      <c r="F5912" s="23" t="str">
        <f>IF(OR(E5912="",E5912="!!!"),"",IF(NOT(ISNA(VLOOKUP(E5912,E$1:E5911,1,FALSE()))),"OLD",IF(AND(E5912&lt;&gt;"",E5912&lt;&gt;"!!!"),"NEW","")))</f>
        <v> </v>
      </c>
      <c r="G5912" s="24" t="str">
        <f>IF(OR(E5912="",E5912="!!!"),"",IF(OR(J5912=0,AND(J5912=1,K5912=1),AND(J5912=1,I5912="SBJ"),AND(J5912=1,I5912=0)),"?IN_FOCUS",IF(J5912&lt;=2,"?ACTIVATED",IF(J5912&lt;&gt;"","?FAMILIAR",IF(F5912="NEW",IF(ISNA(VLOOKUP(E5912,#REF!,1,FALSE())),"?TYPE_IDENTIFIABLE","?REFERENTIAL"),"_")))))</f>
        <v> </v>
      </c>
      <c r="H5912" s="25" t="str">
        <f>IF(J5912&lt;&gt;1,"",IF(I5912="SBJ","CB","?"))</f>
        <v> </v>
      </c>
      <c r="I5912" s="26" t="str">
        <f>IF(OR(E5912="",E5912="!!!",F5912="NEW"),"",INDEX(B5911:B$2,-1+SUMPRODUCT(MAX(ROW(E5911:E$2)*(E5912=E5911:E$2)))))</f>
        <v> </v>
      </c>
      <c r="J5912" s="26" t="str">
        <f>IF(OR(E5912="",E5912="!!!",F5912="NEW"),"",COUNTBLANK(OFFSET(A$1,,,SUMPRODUCT(MAX(ROW(E$2:E5912)*(E5912=E$2:E5912)))))-COUNTBLANK(OFFSET(A$1,,,SUMPRODUCT(MAX(ROW(E$1:E5911)*(E2=E$1:E5911))))))</f>
        <v> </v>
      </c>
      <c r="K5912" s="26" t="str">
        <f>IF(OR(E5912="",E5912="!!!",F5912="NEW"),"",INDEX(J$1:J5911,SUMPRODUCT(MAX(ROW(E$1:E5911)*(E5912=E$1:E5911)))))</f>
        <v> </v>
      </c>
      <c r="L5912" s="27"/>
    </row>
    <row r="5913" spans="1:12">
      <c r="A5913" s="20" t="s">
        <v>2503</v>
      </c>
      <c r="B5913" s="21" t="s">
        <v>1024</v>
      </c>
      <c r="C5913" s="21" t="s">
        <v>1089</v>
      </c>
      <c r="E5913" s="22">
        <f>IF(D5913="?OLD","!!!","")</f>
        <v/>
      </c>
      <c r="F5913" s="23" t="str">
        <f>IF(OR(E5913="",E5913="!!!"),"",IF(NOT(ISNA(VLOOKUP(E5913,E$1:E5912,1,FALSE()))),"OLD",IF(AND(E5913&lt;&gt;"",E5913&lt;&gt;"!!!"),"NEW","")))</f>
        <v> </v>
      </c>
      <c r="G5913" s="24" t="str">
        <f>IF(OR(E5913="",E5913="!!!"),"",IF(OR(J5913=0,AND(J5913=1,K5913=1),AND(J5913=1,I5913="SBJ"),AND(J5913=1,I5913=0)),"?IN_FOCUS",IF(J5913&lt;=2,"?ACTIVATED",IF(J5913&lt;&gt;"","?FAMILIAR",IF(F5913="NEW",IF(ISNA(VLOOKUP(E5913,#REF!,1,FALSE())),"?TYPE_IDENTIFIABLE","?REFERENTIAL"),"_")))))</f>
        <v> </v>
      </c>
      <c r="H5913" s="25" t="str">
        <f>IF(J5913&lt;&gt;1,"",IF(I5913="SBJ","CB","?"))</f>
        <v> </v>
      </c>
      <c r="I5913" s="26" t="str">
        <f>IF(OR(E5913="",E5913="!!!",F5913="NEW"),"",INDEX(B5912:B$2,-1+SUMPRODUCT(MAX(ROW(E5912:E$2)*(E5913=E5912:E$2)))))</f>
        <v> </v>
      </c>
      <c r="J5913" s="26" t="str">
        <f>IF(OR(E5913="",E5913="!!!",F5913="NEW"),"",COUNTBLANK(OFFSET(A$1,,,SUMPRODUCT(MAX(ROW(E$2:E5913)*(E5913=E$2:E5913)))))-COUNTBLANK(OFFSET(A$1,,,SUMPRODUCT(MAX(ROW(E$1:E5912)*(E2=E$1:E5912))))))</f>
        <v> </v>
      </c>
      <c r="K5913" s="26" t="str">
        <f>IF(OR(E5913="",E5913="!!!",F5913="NEW"),"",INDEX(J$1:J5912,SUMPRODUCT(MAX(ROW(E$1:E5912)*(E5913=E$1:E5912)))))</f>
        <v> </v>
      </c>
      <c r="L5913" s="27"/>
    </row>
    <row r="5914" spans="1:12">
      <c r="A5914" s="20" t="s">
        <v>1903</v>
      </c>
      <c r="B5914" s="21" t="s">
        <v>1043</v>
      </c>
      <c r="E5914" s="22">
        <f>IF(D5914="?OLD","!!!","")</f>
        <v/>
      </c>
      <c r="F5914" s="23" t="str">
        <f>IF(OR(E5914="",E5914="!!!"),"",IF(NOT(ISNA(VLOOKUP(E5914,E$1:E5913,1,FALSE()))),"OLD",IF(AND(E5914&lt;&gt;"",E5914&lt;&gt;"!!!"),"NEW","")))</f>
        <v> </v>
      </c>
      <c r="G5914" s="24" t="str">
        <f>IF(OR(E5914="",E5914="!!!"),"",IF(OR(J5914=0,AND(J5914=1,K5914=1),AND(J5914=1,I5914="SBJ"),AND(J5914=1,I5914=0)),"?IN_FOCUS",IF(J5914&lt;=2,"?ACTIVATED",IF(J5914&lt;&gt;"","?FAMILIAR",IF(F5914="NEW",IF(ISNA(VLOOKUP(E5914,#REF!,1,FALSE())),"?TYPE_IDENTIFIABLE","?REFERENTIAL"),"_")))))</f>
        <v> </v>
      </c>
      <c r="H5914" s="25" t="str">
        <f>IF(J5914&lt;&gt;1,"",IF(I5914="SBJ","CB","?"))</f>
        <v> </v>
      </c>
      <c r="I5914" s="26" t="str">
        <f>IF(OR(E5914="",E5914="!!!",F5914="NEW"),"",INDEX(B5913:B$2,-1+SUMPRODUCT(MAX(ROW(E5913:E$2)*(E5914=E5913:E$2)))))</f>
        <v> </v>
      </c>
      <c r="J5914" s="26" t="str">
        <f>IF(OR(E5914="",E5914="!!!",F5914="NEW"),"",COUNTBLANK(OFFSET(A$1,,,SUMPRODUCT(MAX(ROW(E$2:E5914)*(E5914=E$2:E5914)))))-COUNTBLANK(OFFSET(A$1,,,SUMPRODUCT(MAX(ROW(E$1:E5913)*(E2=E$1:E5913))))))</f>
        <v> </v>
      </c>
      <c r="K5914" s="26" t="str">
        <f>IF(OR(E5914="",E5914="!!!",F5914="NEW"),"",INDEX(J$1:J5913,SUMPRODUCT(MAX(ROW(E$1:E5913)*(E5914=E$1:E5913)))))</f>
        <v> </v>
      </c>
      <c r="L5914" s="27"/>
    </row>
    <row r="5915" spans="1:12">
      <c r="A5915" s="20" t="s">
        <v>1194</v>
      </c>
      <c r="B5915" s="21" t="s">
        <v>1094</v>
      </c>
      <c r="C5915" s="21" t="s">
        <v>1133</v>
      </c>
      <c r="D5915" s="21" t="s">
        <v>997</v>
      </c>
      <c r="E5915" s="22">
        <f>IF(D5915="?OLD","!!!","")</f>
        <v/>
      </c>
      <c r="F5915" s="23" t="str">
        <f>IF(OR(E5915="",E5915="!!!"),"",IF(NOT(ISNA(VLOOKUP(E5915,E$1:E5914,1,FALSE()))),"OLD",IF(AND(E5915&lt;&gt;"",E5915&lt;&gt;"!!!"),"NEW","")))</f>
        <v> </v>
      </c>
      <c r="G5915" s="24" t="str">
        <f>IF(OR(E5915="",E5915="!!!"),"",IF(OR(J5915=0,AND(J5915=1,K5915=1),AND(J5915=1,I5915="SBJ"),AND(J5915=1,I5915=0)),"?IN_FOCUS",IF(J5915&lt;=2,"?ACTIVATED",IF(J5915&lt;&gt;"","?FAMILIAR",IF(F5915="NEW",IF(ISNA(VLOOKUP(E5915,#REF!,1,FALSE())),"?TYPE_IDENTIFIABLE","?REFERENTIAL"),"_")))))</f>
        <v> </v>
      </c>
      <c r="H5915" s="25" t="str">
        <f>IF(J5915&lt;&gt;1,"",IF(I5915="SBJ","CB","?"))</f>
        <v> </v>
      </c>
      <c r="I5915" s="26" t="str">
        <f>IF(OR(E5915="",E5915="!!!",F5915="NEW"),"",INDEX(B5914:B$2,-1+SUMPRODUCT(MAX(ROW(E5914:E$2)*(E5915=E5914:E$2)))))</f>
        <v> </v>
      </c>
      <c r="J5915" s="26" t="str">
        <f>IF(OR(E5915="",E5915="!!!",F5915="NEW"),"",COUNTBLANK(OFFSET(A$1,,,SUMPRODUCT(MAX(ROW(E$2:E5915)*(E5915=E$2:E5915)))))-COUNTBLANK(OFFSET(A$1,,,SUMPRODUCT(MAX(ROW(E$1:E5914)*(E2=E$1:E5914))))))</f>
        <v> </v>
      </c>
      <c r="K5915" s="26" t="str">
        <f>IF(OR(E5915="",E5915="!!!",F5915="NEW"),"",INDEX(J$1:J5914,SUMPRODUCT(MAX(ROW(E$1:E5914)*(E5915=E$1:E5914)))))</f>
        <v> </v>
      </c>
      <c r="L5915" s="27"/>
    </row>
    <row r="5916" spans="1:12">
      <c r="A5916" s="20" t="s">
        <v>1339</v>
      </c>
      <c r="E5916" s="22">
        <f>IF(D5916="?OLD","!!!","")</f>
        <v/>
      </c>
      <c r="F5916" s="23" t="str">
        <f>IF(OR(E5916="",E5916="!!!"),"",IF(NOT(ISNA(VLOOKUP(E5916,E$1:E5915,1,FALSE()))),"OLD",IF(AND(E5916&lt;&gt;"",E5916&lt;&gt;"!!!"),"NEW","")))</f>
        <v> </v>
      </c>
      <c r="G5916" s="24" t="str">
        <f>IF(OR(E5916="",E5916="!!!"),"",IF(OR(J5916=0,AND(J5916=1,K5916=1),AND(J5916=1,I5916="SBJ"),AND(J5916=1,I5916=0)),"?IN_FOCUS",IF(J5916&lt;=2,"?ACTIVATED",IF(J5916&lt;&gt;"","?FAMILIAR",IF(F5916="NEW",IF(ISNA(VLOOKUP(E5916,#REF!,1,FALSE())),"?TYPE_IDENTIFIABLE","?REFERENTIAL"),"_")))))</f>
        <v> </v>
      </c>
      <c r="H5916" s="25" t="str">
        <f>IF(J5916&lt;&gt;1,"",IF(I5916="SBJ","CB","?"))</f>
        <v> </v>
      </c>
      <c r="I5916" s="26" t="str">
        <f>IF(OR(E5916="",E5916="!!!",F5916="NEW"),"",INDEX(B5915:B$2,-1+SUMPRODUCT(MAX(ROW(E5915:E$2)*(E5916=E5915:E$2)))))</f>
        <v> </v>
      </c>
      <c r="J5916" s="26" t="str">
        <f>IF(OR(E5916="",E5916="!!!",F5916="NEW"),"",COUNTBLANK(OFFSET(A$1,,,SUMPRODUCT(MAX(ROW(E$2:E5916)*(E5916=E$2:E5916)))))-COUNTBLANK(OFFSET(A$1,,,SUMPRODUCT(MAX(ROW(E$1:E5915)*(E2=E$1:E5915))))))</f>
        <v> </v>
      </c>
      <c r="K5916" s="26" t="str">
        <f>IF(OR(E5916="",E5916="!!!",F5916="NEW"),"",INDEX(J$1:J5915,SUMPRODUCT(MAX(ROW(E$1:E5915)*(E5916=E$1:E5915)))))</f>
        <v> </v>
      </c>
      <c r="L5916" s="27"/>
    </row>
    <row r="5917" spans="1:12">
      <c r="A5917" s="20" t="s">
        <v>423</v>
      </c>
      <c r="E5917" s="22">
        <f>IF(D5917="?OLD","!!!","")</f>
        <v/>
      </c>
      <c r="F5917" s="23" t="str">
        <f>IF(OR(E5917="",E5917="!!!"),"",IF(NOT(ISNA(VLOOKUP(E5917,E$1:E5916,1,FALSE()))),"OLD",IF(AND(E5917&lt;&gt;"",E5917&lt;&gt;"!!!"),"NEW","")))</f>
        <v> </v>
      </c>
      <c r="G5917" s="24" t="str">
        <f>IF(OR(E5917="",E5917="!!!"),"",IF(OR(J5917=0,AND(J5917=1,K5917=1),AND(J5917=1,I5917="SBJ"),AND(J5917=1,I5917=0)),"?IN_FOCUS",IF(J5917&lt;=2,"?ACTIVATED",IF(J5917&lt;&gt;"","?FAMILIAR",IF(F5917="NEW",IF(ISNA(VLOOKUP(E5917,#REF!,1,FALSE())),"?TYPE_IDENTIFIABLE","?REFERENTIAL"),"_")))))</f>
        <v> </v>
      </c>
      <c r="H5917" s="25" t="str">
        <f>IF(J5917&lt;&gt;1,"",IF(I5917="SBJ","CB","?"))</f>
        <v> </v>
      </c>
      <c r="I5917" s="26" t="str">
        <f>IF(OR(E5917="",E5917="!!!",F5917="NEW"),"",INDEX(B5916:B$2,-1+SUMPRODUCT(MAX(ROW(E5916:E$2)*(E5917=E5916:E$2)))))</f>
        <v> </v>
      </c>
      <c r="J5917" s="26" t="str">
        <f>IF(OR(E5917="",E5917="!!!",F5917="NEW"),"",COUNTBLANK(OFFSET(A$1,,,SUMPRODUCT(MAX(ROW(E$2:E5917)*(E5917=E$2:E5917)))))-COUNTBLANK(OFFSET(A$1,,,SUMPRODUCT(MAX(ROW(E$1:E5916)*(E2=E$1:E5916))))))</f>
        <v> </v>
      </c>
      <c r="K5917" s="26" t="str">
        <f>IF(OR(E5917="",E5917="!!!",F5917="NEW"),"",INDEX(J$1:J5916,SUMPRODUCT(MAX(ROW(E$1:E5916)*(E5917=E$1:E5916)))))</f>
        <v> </v>
      </c>
      <c r="L5917" s="27"/>
    </row>
    <row r="5918" spans="1:12">
      <c r="A5918" s="20" t="s">
        <v>1097</v>
      </c>
      <c r="E5918" s="22">
        <f>IF(D5918="?OLD","!!!","")</f>
        <v/>
      </c>
      <c r="F5918" s="23" t="str">
        <f>IF(OR(E5918="",E5918="!!!"),"",IF(NOT(ISNA(VLOOKUP(E5918,E$1:E5917,1,FALSE()))),"OLD",IF(AND(E5918&lt;&gt;"",E5918&lt;&gt;"!!!"),"NEW","")))</f>
        <v> </v>
      </c>
      <c r="G5918" s="24" t="str">
        <f>IF(OR(E5918="",E5918="!!!"),"",IF(OR(J5918=0,AND(J5918=1,K5918=1),AND(J5918=1,I5918="SBJ"),AND(J5918=1,I5918=0)),"?IN_FOCUS",IF(J5918&lt;=2,"?ACTIVATED",IF(J5918&lt;&gt;"","?FAMILIAR",IF(F5918="NEW",IF(ISNA(VLOOKUP(E5918,#REF!,1,FALSE())),"?TYPE_IDENTIFIABLE","?REFERENTIAL"),"_")))))</f>
        <v> </v>
      </c>
      <c r="H5918" s="25" t="str">
        <f>IF(J5918&lt;&gt;1,"",IF(I5918="SBJ","CB","?"))</f>
        <v> </v>
      </c>
      <c r="I5918" s="26" t="str">
        <f>IF(OR(E5918="",E5918="!!!",F5918="NEW"),"",INDEX(B5917:B$2,-1+SUMPRODUCT(MAX(ROW(E5917:E$2)*(E5918=E5917:E$2)))))</f>
        <v> </v>
      </c>
      <c r="J5918" s="26" t="str">
        <f>IF(OR(E5918="",E5918="!!!",F5918="NEW"),"",COUNTBLANK(OFFSET(A$1,,,SUMPRODUCT(MAX(ROW(E$2:E5918)*(E5918=E$2:E5918)))))-COUNTBLANK(OFFSET(A$1,,,SUMPRODUCT(MAX(ROW(E$1:E5917)*(E2=E$1:E5917))))))</f>
        <v> </v>
      </c>
      <c r="K5918" s="26" t="str">
        <f>IF(OR(E5918="",E5918="!!!",F5918="NEW"),"",INDEX(J$1:J5917,SUMPRODUCT(MAX(ROW(E$1:E5917)*(E5918=E$1:E5917)))))</f>
        <v> </v>
      </c>
      <c r="L5918" s="27"/>
    </row>
    <row r="5919" spans="1:12">
      <c r="A5919" s="20" t="s">
        <v>1743</v>
      </c>
      <c r="E5919" s="22">
        <f>IF(D5919="?OLD","!!!","")</f>
        <v/>
      </c>
      <c r="F5919" s="23" t="str">
        <f>IF(OR(E5919="",E5919="!!!"),"",IF(NOT(ISNA(VLOOKUP(E5919,E$1:E5918,1,FALSE()))),"OLD",IF(AND(E5919&lt;&gt;"",E5919&lt;&gt;"!!!"),"NEW","")))</f>
        <v> </v>
      </c>
      <c r="G5919" s="24" t="str">
        <f>IF(OR(E5919="",E5919="!!!"),"",IF(OR(J5919=0,AND(J5919=1,K5919=1),AND(J5919=1,I5919="SBJ"),AND(J5919=1,I5919=0)),"?IN_FOCUS",IF(J5919&lt;=2,"?ACTIVATED",IF(J5919&lt;&gt;"","?FAMILIAR",IF(F5919="NEW",IF(ISNA(VLOOKUP(E5919,#REF!,1,FALSE())),"?TYPE_IDENTIFIABLE","?REFERENTIAL"),"_")))))</f>
        <v> </v>
      </c>
      <c r="H5919" s="25" t="str">
        <f>IF(J5919&lt;&gt;1,"",IF(I5919="SBJ","CB","?"))</f>
        <v> </v>
      </c>
      <c r="I5919" s="26" t="str">
        <f>IF(OR(E5919="",E5919="!!!",F5919="NEW"),"",INDEX(B5918:B$2,-1+SUMPRODUCT(MAX(ROW(E5918:E$2)*(E5919=E5918:E$2)))))</f>
        <v> </v>
      </c>
      <c r="J5919" s="26" t="str">
        <f>IF(OR(E5919="",E5919="!!!",F5919="NEW"),"",COUNTBLANK(OFFSET(A$1,,,SUMPRODUCT(MAX(ROW(E$2:E5919)*(E5919=E$2:E5919)))))-COUNTBLANK(OFFSET(A$1,,,SUMPRODUCT(MAX(ROW(E$1:E5918)*(E2=E$1:E5918))))))</f>
        <v> </v>
      </c>
      <c r="K5919" s="26" t="str">
        <f>IF(OR(E5919="",E5919="!!!",F5919="NEW"),"",INDEX(J$1:J5918,SUMPRODUCT(MAX(ROW(E$1:E5918)*(E5919=E$1:E5918)))))</f>
        <v> </v>
      </c>
      <c r="L5919" s="27"/>
    </row>
    <row r="5920" spans="1:12">
      <c r="A5920" s="20" t="s">
        <v>1011</v>
      </c>
      <c r="E5920" s="22">
        <f>IF(D5920="?OLD","!!!","")</f>
        <v/>
      </c>
      <c r="F5920" s="23" t="str">
        <f>IF(OR(E5920="",E5920="!!!"),"",IF(NOT(ISNA(VLOOKUP(E5920,E$1:E5919,1,FALSE()))),"OLD",IF(AND(E5920&lt;&gt;"",E5920&lt;&gt;"!!!"),"NEW","")))</f>
        <v> </v>
      </c>
      <c r="G5920" s="24" t="str">
        <f>IF(OR(E5920="",E5920="!!!"),"",IF(OR(J5920=0,AND(J5920=1,K5920=1),AND(J5920=1,I5920="SBJ"),AND(J5920=1,I5920=0)),"?IN_FOCUS",IF(J5920&lt;=2,"?ACTIVATED",IF(J5920&lt;&gt;"","?FAMILIAR",IF(F5920="NEW",IF(ISNA(VLOOKUP(E5920,#REF!,1,FALSE())),"?TYPE_IDENTIFIABLE","?REFERENTIAL"),"_")))))</f>
        <v> </v>
      </c>
      <c r="H5920" s="25" t="str">
        <f>IF(J5920&lt;&gt;1,"",IF(I5920="SBJ","CB","?"))</f>
        <v> </v>
      </c>
      <c r="I5920" s="26" t="str">
        <f>IF(OR(E5920="",E5920="!!!",F5920="NEW"),"",INDEX(B5919:B$2,-1+SUMPRODUCT(MAX(ROW(E5919:E$2)*(E5920=E5919:E$2)))))</f>
        <v> </v>
      </c>
      <c r="J5920" s="26" t="str">
        <f>IF(OR(E5920="",E5920="!!!",F5920="NEW"),"",COUNTBLANK(OFFSET(A$1,,,SUMPRODUCT(MAX(ROW(E$2:E5920)*(E5920=E$2:E5920)))))-COUNTBLANK(OFFSET(A$1,,,SUMPRODUCT(MAX(ROW(E$1:E5919)*(E2=E$1:E5919))))))</f>
        <v> </v>
      </c>
      <c r="K5920" s="26" t="str">
        <f>IF(OR(E5920="",E5920="!!!",F5920="NEW"),"",INDEX(J$1:J5919,SUMPRODUCT(MAX(ROW(E$1:E5919)*(E5920=E$1:E5919)))))</f>
        <v> </v>
      </c>
      <c r="L5920" s="27"/>
    </row>
    <row r="5921" spans="1:12">
      <c r="A5921" s="20"/>
    </row>
    <row r="5922" spans="1:12">
      <c r="A5922" s="20" t="s">
        <v>1457</v>
      </c>
      <c r="E5922" s="22">
        <f>IF(D5922="?OLD","!!!","")</f>
        <v/>
      </c>
      <c r="F5922" s="23" t="str">
        <f>IF(OR(E5922="",E5922="!!!"),"",IF(NOT(ISNA(VLOOKUP(E5922,E$1:E5921,1,FALSE()))),"OLD",IF(AND(E5922&lt;&gt;"",E5922&lt;&gt;"!!!"),"NEW","")))</f>
        <v> </v>
      </c>
      <c r="G5922" s="24" t="str">
        <f>IF(OR(E5922="",E5922="!!!"),"",IF(OR(J5922=0,AND(J5922=1,K5922=1),AND(J5922=1,I5922="SBJ"),AND(J5922=1,I5922=0)),"?IN_FOCUS",IF(J5922&lt;=2,"?ACTIVATED",IF(J5922&lt;&gt;"","?FAMILIAR",IF(F5922="NEW",IF(ISNA(VLOOKUP(E5922,#REF!,1,FALSE())),"?TYPE_IDENTIFIABLE","?REFERENTIAL"),"_")))))</f>
        <v> </v>
      </c>
      <c r="H5922" s="25" t="str">
        <f>IF(J5922&lt;&gt;1,"",IF(I5922="SBJ","CB","?"))</f>
        <v> </v>
      </c>
      <c r="I5922" s="26" t="str">
        <f>IF(OR(E5922="",E5922="!!!",F5922="NEW"),"",INDEX(B5921:B$2,-1+SUMPRODUCT(MAX(ROW(E5921:E$2)*(E5922=E5921:E$2)))))</f>
        <v> </v>
      </c>
      <c r="J5922" s="26" t="str">
        <f>IF(OR(E5922="",E5922="!!!",F5922="NEW"),"",COUNTBLANK(OFFSET(A$1,,,SUMPRODUCT(MAX(ROW(E$2:E5922)*(E5922=E$2:E5922)))))-COUNTBLANK(OFFSET(A$1,,,SUMPRODUCT(MAX(ROW(E$1:E5921)*(E2=E$1:E5921))))))</f>
        <v> </v>
      </c>
      <c r="K5922" s="26" t="str">
        <f>IF(OR(E5922="",E5922="!!!",F5922="NEW"),"",INDEX(J$1:J5921,SUMPRODUCT(MAX(ROW(E$1:E5921)*(E5922=E$1:E5921)))))</f>
        <v> </v>
      </c>
      <c r="L5922" s="27"/>
    </row>
    <row r="5923" spans="1:12">
      <c r="A5923" s="20" t="s">
        <v>2504</v>
      </c>
    </row>
    <row r="5924" spans="1:12">
      <c r="A5924" s="20" t="s">
        <v>1140</v>
      </c>
      <c r="E5924" s="22">
        <f>IF(D5924="?OLD","!!!","")</f>
        <v/>
      </c>
      <c r="F5924" s="23" t="str">
        <f>IF(OR(E5924="",E5924="!!!"),"",IF(NOT(ISNA(VLOOKUP(E5924,E$1:E5923,1,FALSE()))),"OLD",IF(AND(E5924&lt;&gt;"",E5924&lt;&gt;"!!!"),"NEW","")))</f>
        <v> </v>
      </c>
      <c r="G5924" s="24" t="str">
        <f>IF(OR(E5924="",E5924="!!!"),"",IF(OR(J5924=0,AND(J5924=1,K5924=1),AND(J5924=1,I5924="SBJ"),AND(J5924=1,I5924=0)),"?IN_FOCUS",IF(J5924&lt;=2,"?ACTIVATED",IF(J5924&lt;&gt;"","?FAMILIAR",IF(F5924="NEW",IF(ISNA(VLOOKUP(E5924,#REF!,1,FALSE())),"?TYPE_IDENTIFIABLE","?REFERENTIAL"),"_")))))</f>
        <v> </v>
      </c>
      <c r="H5924" s="25" t="str">
        <f>IF(J5924&lt;&gt;1,"",IF(I5924="SBJ","CB","?"))</f>
        <v> </v>
      </c>
      <c r="I5924" s="26" t="str">
        <f>IF(OR(E5924="",E5924="!!!",F5924="NEW"),"",INDEX(B5923:B$2,-1+SUMPRODUCT(MAX(ROW(E5923:E$2)*(E5924=E5923:E$2)))))</f>
        <v> </v>
      </c>
      <c r="J5924" s="26" t="str">
        <f>IF(OR(E5924="",E5924="!!!",F5924="NEW"),"",COUNTBLANK(OFFSET(A$1,,,SUMPRODUCT(MAX(ROW(E$2:E5924)*(E5924=E$2:E5924)))))-COUNTBLANK(OFFSET(A$1,,,SUMPRODUCT(MAX(ROW(E$1:E5923)*(E2=E$1:E5923))))))</f>
        <v> </v>
      </c>
      <c r="K5924" s="26" t="str">
        <f>IF(OR(E5924="",E5924="!!!",F5924="NEW"),"",INDEX(J$1:J5923,SUMPRODUCT(MAX(ROW(E$1:E5923)*(E5924=E$1:E5923)))))</f>
        <v> </v>
      </c>
      <c r="L5924" s="27"/>
    </row>
    <row r="5925" spans="1:12">
      <c r="A5925" s="20" t="s">
        <v>1070</v>
      </c>
      <c r="B5925" s="21" t="s">
        <v>1005</v>
      </c>
      <c r="C5925" s="21" t="s">
        <v>1006</v>
      </c>
      <c r="E5925" s="22">
        <f>IF(D5925="?OLD","!!!","")</f>
        <v/>
      </c>
      <c r="F5925" s="23" t="str">
        <f>IF(OR(E5925="",E5925="!!!"),"",IF(NOT(ISNA(VLOOKUP(E5925,E$1:E5924,1,FALSE()))),"OLD",IF(AND(E5925&lt;&gt;"",E5925&lt;&gt;"!!!"),"NEW","")))</f>
        <v> </v>
      </c>
      <c r="G5925" s="24" t="str">
        <f>IF(OR(E5925="",E5925="!!!"),"",IF(OR(J5925=0,AND(J5925=1,K5925=1),AND(J5925=1,I5925="SBJ"),AND(J5925=1,I5925=0)),"?IN_FOCUS",IF(J5925&lt;=2,"?ACTIVATED",IF(J5925&lt;&gt;"","?FAMILIAR",IF(F5925="NEW",IF(ISNA(VLOOKUP(E5925,#REF!,1,FALSE())),"?TYPE_IDENTIFIABLE","?REFERENTIAL"),"_")))))</f>
        <v> </v>
      </c>
      <c r="H5925" s="25" t="str">
        <f>IF(J5925&lt;&gt;1,"",IF(I5925="SBJ","CB","?"))</f>
        <v> </v>
      </c>
      <c r="I5925" s="26" t="str">
        <f>IF(OR(E5925="",E5925="!!!",F5925="NEW"),"",INDEX(B5924:B$2,-1+SUMPRODUCT(MAX(ROW(E5924:E$2)*(E5925=E5924:E$2)))))</f>
        <v> </v>
      </c>
      <c r="J5925" s="26" t="str">
        <f>IF(OR(E5925="",E5925="!!!",F5925="NEW"),"",COUNTBLANK(OFFSET(A$1,,,SUMPRODUCT(MAX(ROW(E$2:E5925)*(E5925=E$2:E5925)))))-COUNTBLANK(OFFSET(A$1,,,SUMPRODUCT(MAX(ROW(E$1:E5924)*(E2=E$1:E5924))))))</f>
        <v> </v>
      </c>
      <c r="K5925" s="26" t="str">
        <f>IF(OR(E5925="",E5925="!!!",F5925="NEW"),"",INDEX(J$1:J5924,SUMPRODUCT(MAX(ROW(E$1:E5924)*(E5925=E$1:E5924)))))</f>
        <v> </v>
      </c>
      <c r="L5925" s="27"/>
    </row>
    <row r="5926" spans="1:12">
      <c r="A5926" s="20" t="s">
        <v>1041</v>
      </c>
      <c r="E5926" s="22">
        <f>IF(D5926="?OLD","!!!","")</f>
        <v/>
      </c>
      <c r="F5926" s="23" t="str">
        <f>IF(OR(E5926="",E5926="!!!"),"",IF(NOT(ISNA(VLOOKUP(E5926,E$1:E5925,1,FALSE()))),"OLD",IF(AND(E5926&lt;&gt;"",E5926&lt;&gt;"!!!"),"NEW","")))</f>
        <v> </v>
      </c>
      <c r="G5926" s="24" t="str">
        <f>IF(OR(E5926="",E5926="!!!"),"",IF(OR(J5926=0,AND(J5926=1,K5926=1),AND(J5926=1,I5926="SBJ"),AND(J5926=1,I5926=0)),"?IN_FOCUS",IF(J5926&lt;=2,"?ACTIVATED",IF(J5926&lt;&gt;"","?FAMILIAR",IF(F5926="NEW",IF(ISNA(VLOOKUP(E5926,#REF!,1,FALSE())),"?TYPE_IDENTIFIABLE","?REFERENTIAL"),"_")))))</f>
        <v> </v>
      </c>
      <c r="H5926" s="25" t="str">
        <f>IF(J5926&lt;&gt;1,"",IF(I5926="SBJ","CB","?"))</f>
        <v> </v>
      </c>
      <c r="I5926" s="26" t="str">
        <f>IF(OR(E5926="",E5926="!!!",F5926="NEW"),"",INDEX(B5925:B$2,-1+SUMPRODUCT(MAX(ROW(E5925:E$2)*(E5926=E5925:E$2)))))</f>
        <v> </v>
      </c>
      <c r="J5926" s="26" t="str">
        <f>IF(OR(E5926="",E5926="!!!",F5926="NEW"),"",COUNTBLANK(OFFSET(A$1,,,SUMPRODUCT(MAX(ROW(E$2:E5926)*(E5926=E$2:E5926)))))-COUNTBLANK(OFFSET(A$1,,,SUMPRODUCT(MAX(ROW(E$1:E5925)*(E2=E$1:E5925))))))</f>
        <v> </v>
      </c>
      <c r="K5926" s="26" t="str">
        <f>IF(OR(E5926="",E5926="!!!",F5926="NEW"),"",INDEX(J$1:J5925,SUMPRODUCT(MAX(ROW(E$1:E5925)*(E5926=E$1:E5925)))))</f>
        <v> </v>
      </c>
      <c r="L5926" s="27"/>
    </row>
    <row r="5927" spans="1:12">
      <c r="A5927" s="20" t="s">
        <v>1061</v>
      </c>
      <c r="E5927" s="22">
        <f>IF(D5927="?OLD","!!!","")</f>
        <v/>
      </c>
      <c r="F5927" s="23" t="str">
        <f>IF(OR(E5927="",E5927="!!!"),"",IF(NOT(ISNA(VLOOKUP(E5927,E$1:E5926,1,FALSE()))),"OLD",IF(AND(E5927&lt;&gt;"",E5927&lt;&gt;"!!!"),"NEW","")))</f>
        <v> </v>
      </c>
      <c r="G5927" s="24" t="str">
        <f>IF(OR(E5927="",E5927="!!!"),"",IF(OR(J5927=0,AND(J5927=1,K5927=1),AND(J5927=1,I5927="SBJ"),AND(J5927=1,I5927=0)),"?IN_FOCUS",IF(J5927&lt;=2,"?ACTIVATED",IF(J5927&lt;&gt;"","?FAMILIAR",IF(F5927="NEW",IF(ISNA(VLOOKUP(E5927,#REF!,1,FALSE())),"?TYPE_IDENTIFIABLE","?REFERENTIAL"),"_")))))</f>
        <v> </v>
      </c>
      <c r="H5927" s="25" t="str">
        <f>IF(J5927&lt;&gt;1,"",IF(I5927="SBJ","CB","?"))</f>
        <v> </v>
      </c>
      <c r="I5927" s="26" t="str">
        <f>IF(OR(E5927="",E5927="!!!",F5927="NEW"),"",INDEX(B5926:B$2,-1+SUMPRODUCT(MAX(ROW(E5926:E$2)*(E5927=E5926:E$2)))))</f>
        <v> </v>
      </c>
      <c r="J5927" s="26" t="str">
        <f>IF(OR(E5927="",E5927="!!!",F5927="NEW"),"",COUNTBLANK(OFFSET(A$1,,,SUMPRODUCT(MAX(ROW(E$2:E5927)*(E5927=E$2:E5927)))))-COUNTBLANK(OFFSET(A$1,,,SUMPRODUCT(MAX(ROW(E$1:E5926)*(E2=E$1:E5926))))))</f>
        <v> </v>
      </c>
      <c r="K5927" s="26" t="str">
        <f>IF(OR(E5927="",E5927="!!!",F5927="NEW"),"",INDEX(J$1:J5926,SUMPRODUCT(MAX(ROW(E$1:E5926)*(E5927=E$1:E5926)))))</f>
        <v> </v>
      </c>
      <c r="L5927" s="27"/>
    </row>
    <row r="5928" spans="1:12">
      <c r="A5928" s="20" t="s">
        <v>1192</v>
      </c>
      <c r="B5928" s="21" t="s">
        <v>1067</v>
      </c>
      <c r="C5928" s="21" t="s">
        <v>1034</v>
      </c>
      <c r="D5928" s="21" t="s">
        <v>997</v>
      </c>
      <c r="E5928" s="22">
        <f>IF(D5928="?OLD","!!!","")</f>
        <v/>
      </c>
      <c r="F5928" s="23" t="str">
        <f>IF(OR(E5928="",E5928="!!!"),"",IF(NOT(ISNA(VLOOKUP(E5928,E$1:E5927,1,FALSE()))),"OLD",IF(AND(E5928&lt;&gt;"",E5928&lt;&gt;"!!!"),"NEW","")))</f>
        <v> </v>
      </c>
      <c r="G5928" s="24" t="str">
        <f>IF(OR(E5928="",E5928="!!!"),"",IF(OR(J5928=0,AND(J5928=1,K5928=1),AND(J5928=1,I5928="SBJ"),AND(J5928=1,I5928=0)),"?IN_FOCUS",IF(J5928&lt;=2,"?ACTIVATED",IF(J5928&lt;&gt;"","?FAMILIAR",IF(F5928="NEW",IF(ISNA(VLOOKUP(E5928,#REF!,1,FALSE())),"?TYPE_IDENTIFIABLE","?REFERENTIAL"),"_")))))</f>
        <v> </v>
      </c>
      <c r="H5928" s="25" t="str">
        <f>IF(J5928&lt;&gt;1,"",IF(I5928="SBJ","CB","?"))</f>
        <v> </v>
      </c>
      <c r="I5928" s="26" t="str">
        <f>IF(OR(E5928="",E5928="!!!",F5928="NEW"),"",INDEX(B5927:B$2,-1+SUMPRODUCT(MAX(ROW(E5927:E$2)*(E5928=E5927:E$2)))))</f>
        <v> </v>
      </c>
      <c r="J5928" s="26" t="str">
        <f>IF(OR(E5928="",E5928="!!!",F5928="NEW"),"",COUNTBLANK(OFFSET(A$1,,,SUMPRODUCT(MAX(ROW(E$2:E5928)*(E5928=E$2:E5928)))))-COUNTBLANK(OFFSET(A$1,,,SUMPRODUCT(MAX(ROW(E$1:E5927)*(E2=E$1:E5927))))))</f>
        <v> </v>
      </c>
      <c r="K5928" s="26" t="str">
        <f>IF(OR(E5928="",E5928="!!!",F5928="NEW"),"",INDEX(J$1:J5927,SUMPRODUCT(MAX(ROW(E$1:E5927)*(E5928=E$1:E5927)))))</f>
        <v> </v>
      </c>
      <c r="L5928" s="27"/>
    </row>
    <row r="5929" spans="1:12">
      <c r="A5929" s="20" t="s">
        <v>1008</v>
      </c>
      <c r="E5929" s="22">
        <f>IF(D5929="?OLD","!!!","")</f>
        <v/>
      </c>
      <c r="F5929" s="23" t="str">
        <f>IF(OR(E5929="",E5929="!!!"),"",IF(NOT(ISNA(VLOOKUP(E5929,E$1:E5928,1,FALSE()))),"OLD",IF(AND(E5929&lt;&gt;"",E5929&lt;&gt;"!!!"),"NEW","")))</f>
        <v> </v>
      </c>
      <c r="G5929" s="24" t="str">
        <f>IF(OR(E5929="",E5929="!!!"),"",IF(OR(J5929=0,AND(J5929=1,K5929=1),AND(J5929=1,I5929="SBJ"),AND(J5929=1,I5929=0)),"?IN_FOCUS",IF(J5929&lt;=2,"?ACTIVATED",IF(J5929&lt;&gt;"","?FAMILIAR",IF(F5929="NEW",IF(ISNA(VLOOKUP(E5929,#REF!,1,FALSE())),"?TYPE_IDENTIFIABLE","?REFERENTIAL"),"_")))))</f>
        <v> </v>
      </c>
      <c r="H5929" s="25" t="str">
        <f>IF(J5929&lt;&gt;1,"",IF(I5929="SBJ","CB","?"))</f>
        <v> </v>
      </c>
      <c r="I5929" s="26" t="str">
        <f>IF(OR(E5929="",E5929="!!!",F5929="NEW"),"",INDEX(B5928:B$2,-1+SUMPRODUCT(MAX(ROW(E5928:E$2)*(E5929=E5928:E$2)))))</f>
        <v> </v>
      </c>
      <c r="J5929" s="26" t="str">
        <f>IF(OR(E5929="",E5929="!!!",F5929="NEW"),"",COUNTBLANK(OFFSET(A$1,,,SUMPRODUCT(MAX(ROW(E$2:E5929)*(E5929=E$2:E5929)))))-COUNTBLANK(OFFSET(A$1,,,SUMPRODUCT(MAX(ROW(E$1:E5928)*(E2=E$1:E5928))))))</f>
        <v> </v>
      </c>
      <c r="K5929" s="26" t="str">
        <f>IF(OR(E5929="",E5929="!!!",F5929="NEW"),"",INDEX(J$1:J5928,SUMPRODUCT(MAX(ROW(E$1:E5928)*(E5929=E$1:E5928)))))</f>
        <v> </v>
      </c>
      <c r="L5929" s="27"/>
    </row>
    <row r="5930" spans="1:12">
      <c r="A5930" s="20" t="s">
        <v>1061</v>
      </c>
      <c r="E5930" s="22">
        <f>IF(D5930="?OLD","!!!","")</f>
        <v/>
      </c>
      <c r="F5930" s="23" t="str">
        <f>IF(OR(E5930="",E5930="!!!"),"",IF(NOT(ISNA(VLOOKUP(E5930,E$1:E5929,1,FALSE()))),"OLD",IF(AND(E5930&lt;&gt;"",E5930&lt;&gt;"!!!"),"NEW","")))</f>
        <v> </v>
      </c>
      <c r="G5930" s="24" t="str">
        <f>IF(OR(E5930="",E5930="!!!"),"",IF(OR(J5930=0,AND(J5930=1,K5930=1),AND(J5930=1,I5930="SBJ"),AND(J5930=1,I5930=0)),"?IN_FOCUS",IF(J5930&lt;=2,"?ACTIVATED",IF(J5930&lt;&gt;"","?FAMILIAR",IF(F5930="NEW",IF(ISNA(VLOOKUP(E5930,#REF!,1,FALSE())),"?TYPE_IDENTIFIABLE","?REFERENTIAL"),"_")))))</f>
        <v> </v>
      </c>
      <c r="H5930" s="25" t="str">
        <f>IF(J5930&lt;&gt;1,"",IF(I5930="SBJ","CB","?"))</f>
        <v> </v>
      </c>
      <c r="I5930" s="26" t="str">
        <f>IF(OR(E5930="",E5930="!!!",F5930="NEW"),"",INDEX(B5929:B$2,-1+SUMPRODUCT(MAX(ROW(E5929:E$2)*(E5930=E5929:E$2)))))</f>
        <v> </v>
      </c>
      <c r="J5930" s="26" t="str">
        <f>IF(OR(E5930="",E5930="!!!",F5930="NEW"),"",COUNTBLANK(OFFSET(A$1,,,SUMPRODUCT(MAX(ROW(E$2:E5930)*(E5930=E$2:E5930)))))-COUNTBLANK(OFFSET(A$1,,,SUMPRODUCT(MAX(ROW(E$1:E5929)*(E2=E$1:E5929))))))</f>
        <v> </v>
      </c>
      <c r="K5930" s="26" t="str">
        <f>IF(OR(E5930="",E5930="!!!",F5930="NEW"),"",INDEX(J$1:J5929,SUMPRODUCT(MAX(ROW(E$1:E5929)*(E5930=E$1:E5929)))))</f>
        <v> </v>
      </c>
      <c r="L5930" s="27"/>
    </row>
    <row r="5931" spans="1:12">
      <c r="A5931" s="20" t="s">
        <v>2505</v>
      </c>
      <c r="B5931" s="21" t="s">
        <v>1005</v>
      </c>
      <c r="C5931" s="21" t="s">
        <v>1034</v>
      </c>
      <c r="D5931" s="21" t="s">
        <v>997</v>
      </c>
      <c r="E5931" s="22">
        <f>IF(D5931="?OLD","!!!","")</f>
        <v/>
      </c>
      <c r="F5931" s="23" t="str">
        <f>IF(OR(E5931="",E5931="!!!"),"",IF(NOT(ISNA(VLOOKUP(E5931,E$1:E5930,1,FALSE()))),"OLD",IF(AND(E5931&lt;&gt;"",E5931&lt;&gt;"!!!"),"NEW","")))</f>
        <v> </v>
      </c>
      <c r="G5931" s="24" t="str">
        <f>IF(OR(E5931="",E5931="!!!"),"",IF(OR(J5931=0,AND(J5931=1,K5931=1),AND(J5931=1,I5931="SBJ"),AND(J5931=1,I5931=0)),"?IN_FOCUS",IF(J5931&lt;=2,"?ACTIVATED",IF(J5931&lt;&gt;"","?FAMILIAR",IF(F5931="NEW",IF(ISNA(VLOOKUP(E5931,#REF!,1,FALSE())),"?TYPE_IDENTIFIABLE","?REFERENTIAL"),"_")))))</f>
        <v> </v>
      </c>
      <c r="H5931" s="25" t="str">
        <f>IF(J5931&lt;&gt;1,"",IF(I5931="SBJ","CB","?"))</f>
        <v> </v>
      </c>
      <c r="I5931" s="26" t="str">
        <f>IF(OR(E5931="",E5931="!!!",F5931="NEW"),"",INDEX(B5930:B$2,-1+SUMPRODUCT(MAX(ROW(E5930:E$2)*(E5931=E5930:E$2)))))</f>
        <v> </v>
      </c>
      <c r="J5931" s="26" t="str">
        <f>IF(OR(E5931="",E5931="!!!",F5931="NEW"),"",COUNTBLANK(OFFSET(A$1,,,SUMPRODUCT(MAX(ROW(E$2:E5931)*(E5931=E$2:E5931)))))-COUNTBLANK(OFFSET(A$1,,,SUMPRODUCT(MAX(ROW(E$1:E5930)*(E2=E$1:E5930))))))</f>
        <v> </v>
      </c>
      <c r="K5931" s="26" t="str">
        <f>IF(OR(E5931="",E5931="!!!",F5931="NEW"),"",INDEX(J$1:J5930,SUMPRODUCT(MAX(ROW(E$1:E5930)*(E5931=E$1:E5930)))))</f>
        <v> </v>
      </c>
      <c r="L5931" s="27"/>
    </row>
    <row r="5932" spans="1:12">
      <c r="A5932" s="20" t="s">
        <v>2506</v>
      </c>
      <c r="B5932" s="21" t="s">
        <v>1010</v>
      </c>
      <c r="C5932" s="21" t="s">
        <v>1095</v>
      </c>
      <c r="D5932" s="21" t="s">
        <v>997</v>
      </c>
      <c r="E5932" s="22">
        <f>IF(D5932="?OLD","!!!","")</f>
        <v/>
      </c>
      <c r="F5932" s="23" t="str">
        <f>IF(OR(E5932="",E5932="!!!"),"",IF(NOT(ISNA(VLOOKUP(E5932,E$1:E5931,1,FALSE()))),"OLD",IF(AND(E5932&lt;&gt;"",E5932&lt;&gt;"!!!"),"NEW","")))</f>
        <v> </v>
      </c>
      <c r="G5932" s="24" t="str">
        <f>IF(OR(E5932="",E5932="!!!"),"",IF(OR(J5932=0,AND(J5932=1,K5932=1),AND(J5932=1,I5932="SBJ"),AND(J5932=1,I5932=0)),"?IN_FOCUS",IF(J5932&lt;=2,"?ACTIVATED",IF(J5932&lt;&gt;"","?FAMILIAR",IF(F5932="NEW",IF(ISNA(VLOOKUP(E5932,#REF!,1,FALSE())),"?TYPE_IDENTIFIABLE","?REFERENTIAL"),"_")))))</f>
        <v> </v>
      </c>
      <c r="H5932" s="25" t="str">
        <f>IF(J5932&lt;&gt;1,"",IF(I5932="SBJ","CB","?"))</f>
        <v> </v>
      </c>
      <c r="I5932" s="26" t="str">
        <f>IF(OR(E5932="",E5932="!!!",F5932="NEW"),"",INDEX(B5931:B$2,-1+SUMPRODUCT(MAX(ROW(E5931:E$2)*(E5932=E5931:E$2)))))</f>
        <v> </v>
      </c>
      <c r="J5932" s="26" t="str">
        <f>IF(OR(E5932="",E5932="!!!",F5932="NEW"),"",COUNTBLANK(OFFSET(A$1,,,SUMPRODUCT(MAX(ROW(E$2:E5932)*(E5932=E$2:E5932)))))-COUNTBLANK(OFFSET(A$1,,,SUMPRODUCT(MAX(ROW(E$1:E5931)*(E2=E$1:E5931))))))</f>
        <v> </v>
      </c>
      <c r="K5932" s="26" t="str">
        <f>IF(OR(E5932="",E5932="!!!",F5932="NEW"),"",INDEX(J$1:J5931,SUMPRODUCT(MAX(ROW(E$1:E5931)*(E5932=E$1:E5931)))))</f>
        <v> </v>
      </c>
      <c r="L5932" s="27"/>
    </row>
    <row r="5933" spans="1:12">
      <c r="A5933" s="20" t="s">
        <v>2507</v>
      </c>
      <c r="B5933" s="21" t="s">
        <v>1024</v>
      </c>
      <c r="C5933" s="21" t="s">
        <v>1006</v>
      </c>
      <c r="E5933" s="22">
        <f>IF(D5933="?OLD","!!!","")</f>
        <v/>
      </c>
      <c r="F5933" s="23" t="str">
        <f>IF(OR(E5933="",E5933="!!!"),"",IF(NOT(ISNA(VLOOKUP(E5933,E$1:E5932,1,FALSE()))),"OLD",IF(AND(E5933&lt;&gt;"",E5933&lt;&gt;"!!!"),"NEW","")))</f>
        <v> </v>
      </c>
      <c r="G5933" s="24" t="str">
        <f>IF(OR(E5933="",E5933="!!!"),"",IF(OR(J5933=0,AND(J5933=1,K5933=1),AND(J5933=1,I5933="SBJ"),AND(J5933=1,I5933=0)),"?IN_FOCUS",IF(J5933&lt;=2,"?ACTIVATED",IF(J5933&lt;&gt;"","?FAMILIAR",IF(F5933="NEW",IF(ISNA(VLOOKUP(E5933,#REF!,1,FALSE())),"?TYPE_IDENTIFIABLE","?REFERENTIAL"),"_")))))</f>
        <v> </v>
      </c>
      <c r="H5933" s="25" t="str">
        <f>IF(J5933&lt;&gt;1,"",IF(I5933="SBJ","CB","?"))</f>
        <v> </v>
      </c>
      <c r="I5933" s="26" t="str">
        <f>IF(OR(E5933="",E5933="!!!",F5933="NEW"),"",INDEX(B5932:B$2,-1+SUMPRODUCT(MAX(ROW(E5932:E$2)*(E5933=E5932:E$2)))))</f>
        <v> </v>
      </c>
      <c r="J5933" s="26" t="str">
        <f>IF(OR(E5933="",E5933="!!!",F5933="NEW"),"",COUNTBLANK(OFFSET(A$1,,,SUMPRODUCT(MAX(ROW(E$2:E5933)*(E5933=E$2:E5933)))))-COUNTBLANK(OFFSET(A$1,,,SUMPRODUCT(MAX(ROW(E$1:E5932)*(E2=E$1:E5932))))))</f>
        <v> </v>
      </c>
      <c r="K5933" s="26" t="str">
        <f>IF(OR(E5933="",E5933="!!!",F5933="NEW"),"",INDEX(J$1:J5932,SUMPRODUCT(MAX(ROW(E$1:E5932)*(E5933=E$1:E5932)))))</f>
        <v> </v>
      </c>
      <c r="L5933" s="27"/>
    </row>
    <row r="5934" spans="1:12">
      <c r="A5934" s="20" t="s">
        <v>2508</v>
      </c>
      <c r="B5934" s="21" t="s">
        <v>1024</v>
      </c>
      <c r="C5934" s="21" t="s">
        <v>1095</v>
      </c>
      <c r="D5934" s="21" t="s">
        <v>997</v>
      </c>
      <c r="E5934" s="22">
        <f>IF(D5934="?OLD","!!!","")</f>
        <v/>
      </c>
      <c r="F5934" s="23" t="str">
        <f>IF(OR(E5934="",E5934="!!!"),"",IF(NOT(ISNA(VLOOKUP(E5934,E$1:E5933,1,FALSE()))),"OLD",IF(AND(E5934&lt;&gt;"",E5934&lt;&gt;"!!!"),"NEW","")))</f>
        <v> </v>
      </c>
      <c r="G5934" s="24" t="str">
        <f>IF(OR(E5934="",E5934="!!!"),"",IF(OR(J5934=0,AND(J5934=1,K5934=1),AND(J5934=1,I5934="SBJ"),AND(J5934=1,I5934=0)),"?IN_FOCUS",IF(J5934&lt;=2,"?ACTIVATED",IF(J5934&lt;&gt;"","?FAMILIAR",IF(F5934="NEW",IF(ISNA(VLOOKUP(E5934,#REF!,1,FALSE())),"?TYPE_IDENTIFIABLE","?REFERENTIAL"),"_")))))</f>
        <v> </v>
      </c>
      <c r="H5934" s="25" t="str">
        <f>IF(J5934&lt;&gt;1,"",IF(I5934="SBJ","CB","?"))</f>
        <v> </v>
      </c>
      <c r="I5934" s="26" t="str">
        <f>IF(OR(E5934="",E5934="!!!",F5934="NEW"),"",INDEX(B5933:B$2,-1+SUMPRODUCT(MAX(ROW(E5933:E$2)*(E5934=E5933:E$2)))))</f>
        <v> </v>
      </c>
      <c r="J5934" s="26" t="str">
        <f>IF(OR(E5934="",E5934="!!!",F5934="NEW"),"",COUNTBLANK(OFFSET(A$1,,,SUMPRODUCT(MAX(ROW(E$2:E5934)*(E5934=E$2:E5934)))))-COUNTBLANK(OFFSET(A$1,,,SUMPRODUCT(MAX(ROW(E$1:E5933)*(E2=E$1:E5933))))))</f>
        <v> </v>
      </c>
      <c r="K5934" s="26" t="str">
        <f>IF(OR(E5934="",E5934="!!!",F5934="NEW"),"",INDEX(J$1:J5933,SUMPRODUCT(MAX(ROW(E$1:E5933)*(E5934=E$1:E5933)))))</f>
        <v> </v>
      </c>
      <c r="L5934" s="27"/>
    </row>
    <row r="5935" spans="1:12">
      <c r="A5935" s="20" t="s">
        <v>1073</v>
      </c>
      <c r="E5935" s="22">
        <f>IF(D5935="?OLD","!!!","")</f>
        <v/>
      </c>
      <c r="F5935" s="23" t="str">
        <f>IF(OR(E5935="",E5935="!!!"),"",IF(NOT(ISNA(VLOOKUP(E5935,E$1:E5934,1,FALSE()))),"OLD",IF(AND(E5935&lt;&gt;"",E5935&lt;&gt;"!!!"),"NEW","")))</f>
        <v> </v>
      </c>
      <c r="G5935" s="24" t="str">
        <f>IF(OR(E5935="",E5935="!!!"),"",IF(OR(J5935=0,AND(J5935=1,K5935=1),AND(J5935=1,I5935="SBJ"),AND(J5935=1,I5935=0)),"?IN_FOCUS",IF(J5935&lt;=2,"?ACTIVATED",IF(J5935&lt;&gt;"","?FAMILIAR",IF(F5935="NEW",IF(ISNA(VLOOKUP(E5935,#REF!,1,FALSE())),"?TYPE_IDENTIFIABLE","?REFERENTIAL"),"_")))))</f>
        <v> </v>
      </c>
      <c r="H5935" s="25" t="str">
        <f>IF(J5935&lt;&gt;1,"",IF(I5935="SBJ","CB","?"))</f>
        <v> </v>
      </c>
      <c r="I5935" s="26" t="str">
        <f>IF(OR(E5935="",E5935="!!!",F5935="NEW"),"",INDEX(B5934:B$2,-1+SUMPRODUCT(MAX(ROW(E5934:E$2)*(E5935=E5934:E$2)))))</f>
        <v> </v>
      </c>
      <c r="J5935" s="26" t="str">
        <f>IF(OR(E5935="",E5935="!!!",F5935="NEW"),"",COUNTBLANK(OFFSET(A$1,,,SUMPRODUCT(MAX(ROW(E$2:E5935)*(E5935=E$2:E5935)))))-COUNTBLANK(OFFSET(A$1,,,SUMPRODUCT(MAX(ROW(E$1:E5934)*(E2=E$1:E5934))))))</f>
        <v> </v>
      </c>
      <c r="K5935" s="26" t="str">
        <f>IF(OR(E5935="",E5935="!!!",F5935="NEW"),"",INDEX(J$1:J5934,SUMPRODUCT(MAX(ROW(E$1:E5934)*(E5935=E$1:E5934)))))</f>
        <v> </v>
      </c>
      <c r="L5935" s="27"/>
    </row>
    <row r="5936" spans="1:12">
      <c r="A5936" s="20" t="s">
        <v>2509</v>
      </c>
      <c r="B5936" s="21" t="s">
        <v>1005</v>
      </c>
      <c r="C5936" s="21" t="s">
        <v>1095</v>
      </c>
      <c r="D5936" s="21" t="s">
        <v>997</v>
      </c>
      <c r="E5936" s="22">
        <f>IF(D5936="?OLD","!!!","")</f>
        <v/>
      </c>
      <c r="F5936" s="23" t="str">
        <f>IF(OR(E5936="",E5936="!!!"),"",IF(NOT(ISNA(VLOOKUP(E5936,E$1:E5935,1,FALSE()))),"OLD",IF(AND(E5936&lt;&gt;"",E5936&lt;&gt;"!!!"),"NEW","")))</f>
        <v> </v>
      </c>
      <c r="G5936" s="24" t="str">
        <f>IF(OR(E5936="",E5936="!!!"),"",IF(OR(J5936=0,AND(J5936=1,K5936=1),AND(J5936=1,I5936="SBJ"),AND(J5936=1,I5936=0)),"?IN_FOCUS",IF(J5936&lt;=2,"?ACTIVATED",IF(J5936&lt;&gt;"","?FAMILIAR",IF(F5936="NEW",IF(ISNA(VLOOKUP(E5936,#REF!,1,FALSE())),"?TYPE_IDENTIFIABLE","?REFERENTIAL"),"_")))))</f>
        <v> </v>
      </c>
      <c r="H5936" s="25" t="str">
        <f>IF(J5936&lt;&gt;1,"",IF(I5936="SBJ","CB","?"))</f>
        <v> </v>
      </c>
      <c r="I5936" s="26" t="str">
        <f>IF(OR(E5936="",E5936="!!!",F5936="NEW"),"",INDEX(B5935:B$2,-1+SUMPRODUCT(MAX(ROW(E5935:E$2)*(E5936=E5935:E$2)))))</f>
        <v> </v>
      </c>
      <c r="J5936" s="26" t="str">
        <f>IF(OR(E5936="",E5936="!!!",F5936="NEW"),"",COUNTBLANK(OFFSET(A$1,,,SUMPRODUCT(MAX(ROW(E$2:E5936)*(E5936=E$2:E5936)))))-COUNTBLANK(OFFSET(A$1,,,SUMPRODUCT(MAX(ROW(E$1:E5935)*(E2=E$1:E5935))))))</f>
        <v> </v>
      </c>
      <c r="K5936" s="26" t="str">
        <f>IF(OR(E5936="",E5936="!!!",F5936="NEW"),"",INDEX(J$1:J5935,SUMPRODUCT(MAX(ROW(E$1:E5935)*(E5936=E$1:E5935)))))</f>
        <v> </v>
      </c>
      <c r="L5936" s="27"/>
    </row>
    <row r="5937" spans="1:12">
      <c r="A5937" s="20" t="s">
        <v>2510</v>
      </c>
      <c r="B5937" s="21" t="s">
        <v>1010</v>
      </c>
      <c r="C5937" s="21" t="s">
        <v>1095</v>
      </c>
      <c r="D5937" s="21" t="s">
        <v>997</v>
      </c>
      <c r="E5937" s="22">
        <f>IF(D5937="?OLD","!!!","")</f>
        <v/>
      </c>
      <c r="F5937" s="23" t="str">
        <f>IF(OR(E5937="",E5937="!!!"),"",IF(NOT(ISNA(VLOOKUP(E5937,E$1:E5936,1,FALSE()))),"OLD",IF(AND(E5937&lt;&gt;"",E5937&lt;&gt;"!!!"),"NEW","")))</f>
        <v> </v>
      </c>
      <c r="G5937" s="24" t="str">
        <f>IF(OR(E5937="",E5937="!!!"),"",IF(OR(J5937=0,AND(J5937=1,K5937=1),AND(J5937=1,I5937="SBJ"),AND(J5937=1,I5937=0)),"?IN_FOCUS",IF(J5937&lt;=2,"?ACTIVATED",IF(J5937&lt;&gt;"","?FAMILIAR",IF(F5937="NEW",IF(ISNA(VLOOKUP(E5937,#REF!,1,FALSE())),"?TYPE_IDENTIFIABLE","?REFERENTIAL"),"_")))))</f>
        <v> </v>
      </c>
      <c r="H5937" s="25" t="str">
        <f>IF(J5937&lt;&gt;1,"",IF(I5937="SBJ","CB","?"))</f>
        <v> </v>
      </c>
      <c r="I5937" s="26" t="str">
        <f>IF(OR(E5937="",E5937="!!!",F5937="NEW"),"",INDEX(B5936:B$2,-1+SUMPRODUCT(MAX(ROW(E5936:E$2)*(E5937=E5936:E$2)))))</f>
        <v> </v>
      </c>
      <c r="J5937" s="26" t="str">
        <f>IF(OR(E5937="",E5937="!!!",F5937="NEW"),"",COUNTBLANK(OFFSET(A$1,,,SUMPRODUCT(MAX(ROW(E$2:E5937)*(E5937=E$2:E5937)))))-COUNTBLANK(OFFSET(A$1,,,SUMPRODUCT(MAX(ROW(E$1:E5936)*(E2=E$1:E5936))))))</f>
        <v> </v>
      </c>
      <c r="K5937" s="26" t="str">
        <f>IF(OR(E5937="",E5937="!!!",F5937="NEW"),"",INDEX(J$1:J5936,SUMPRODUCT(MAX(ROW(E$1:E5936)*(E5937=E$1:E5936)))))</f>
        <v> </v>
      </c>
      <c r="L5937" s="27"/>
    </row>
    <row r="5938" spans="1:12">
      <c r="A5938" s="20" t="s">
        <v>1008</v>
      </c>
      <c r="E5938" s="22">
        <f>IF(D5938="?OLD","!!!","")</f>
        <v/>
      </c>
      <c r="F5938" s="23" t="str">
        <f>IF(OR(E5938="",E5938="!!!"),"",IF(NOT(ISNA(VLOOKUP(E5938,E$1:E5937,1,FALSE()))),"OLD",IF(AND(E5938&lt;&gt;"",E5938&lt;&gt;"!!!"),"NEW","")))</f>
        <v> </v>
      </c>
      <c r="G5938" s="24" t="str">
        <f>IF(OR(E5938="",E5938="!!!"),"",IF(OR(J5938=0,AND(J5938=1,K5938=1),AND(J5938=1,I5938="SBJ"),AND(J5938=1,I5938=0)),"?IN_FOCUS",IF(J5938&lt;=2,"?ACTIVATED",IF(J5938&lt;&gt;"","?FAMILIAR",IF(F5938="NEW",IF(ISNA(VLOOKUP(E5938,#REF!,1,FALSE())),"?TYPE_IDENTIFIABLE","?REFERENTIAL"),"_")))))</f>
        <v> </v>
      </c>
      <c r="H5938" s="25" t="str">
        <f>IF(J5938&lt;&gt;1,"",IF(I5938="SBJ","CB","?"))</f>
        <v> </v>
      </c>
      <c r="I5938" s="26" t="str">
        <f>IF(OR(E5938="",E5938="!!!",F5938="NEW"),"",INDEX(B5937:B$2,-1+SUMPRODUCT(MAX(ROW(E5937:E$2)*(E5938=E5937:E$2)))))</f>
        <v> </v>
      </c>
      <c r="J5938" s="26" t="str">
        <f>IF(OR(E5938="",E5938="!!!",F5938="NEW"),"",COUNTBLANK(OFFSET(A$1,,,SUMPRODUCT(MAX(ROW(E$2:E5938)*(E5938=E$2:E5938)))))-COUNTBLANK(OFFSET(A$1,,,SUMPRODUCT(MAX(ROW(E$1:E5937)*(E2=E$1:E5937))))))</f>
        <v> </v>
      </c>
      <c r="K5938" s="26" t="str">
        <f>IF(OR(E5938="",E5938="!!!",F5938="NEW"),"",INDEX(J$1:J5937,SUMPRODUCT(MAX(ROW(E$1:E5937)*(E5938=E$1:E5937)))))</f>
        <v> </v>
      </c>
      <c r="L5938" s="27"/>
    </row>
    <row r="5939" spans="1:12">
      <c r="A5939" s="20" t="s">
        <v>1061</v>
      </c>
      <c r="E5939" s="22">
        <f>IF(D5939="?OLD","!!!","")</f>
        <v/>
      </c>
      <c r="F5939" s="23" t="str">
        <f>IF(OR(E5939="",E5939="!!!"),"",IF(NOT(ISNA(VLOOKUP(E5939,E$1:E5938,1,FALSE()))),"OLD",IF(AND(E5939&lt;&gt;"",E5939&lt;&gt;"!!!"),"NEW","")))</f>
        <v> </v>
      </c>
      <c r="G5939" s="24" t="str">
        <f>IF(OR(E5939="",E5939="!!!"),"",IF(OR(J5939=0,AND(J5939=1,K5939=1),AND(J5939=1,I5939="SBJ"),AND(J5939=1,I5939=0)),"?IN_FOCUS",IF(J5939&lt;=2,"?ACTIVATED",IF(J5939&lt;&gt;"","?FAMILIAR",IF(F5939="NEW",IF(ISNA(VLOOKUP(E5939,#REF!,1,FALSE())),"?TYPE_IDENTIFIABLE","?REFERENTIAL"),"_")))))</f>
        <v> </v>
      </c>
      <c r="H5939" s="25" t="str">
        <f>IF(J5939&lt;&gt;1,"",IF(I5939="SBJ","CB","?"))</f>
        <v> </v>
      </c>
      <c r="I5939" s="26" t="str">
        <f>IF(OR(E5939="",E5939="!!!",F5939="NEW"),"",INDEX(B5938:B$2,-1+SUMPRODUCT(MAX(ROW(E5938:E$2)*(E5939=E5938:E$2)))))</f>
        <v> </v>
      </c>
      <c r="J5939" s="26" t="str">
        <f>IF(OR(E5939="",E5939="!!!",F5939="NEW"),"",COUNTBLANK(OFFSET(A$1,,,SUMPRODUCT(MAX(ROW(E$2:E5939)*(E5939=E$2:E5939)))))-COUNTBLANK(OFFSET(A$1,,,SUMPRODUCT(MAX(ROW(E$1:E5938)*(E2=E$1:E5938))))))</f>
        <v> </v>
      </c>
      <c r="K5939" s="26" t="str">
        <f>IF(OR(E5939="",E5939="!!!",F5939="NEW"),"",INDEX(J$1:J5938,SUMPRODUCT(MAX(ROW(E$1:E5938)*(E5939=E$1:E5938)))))</f>
        <v> </v>
      </c>
      <c r="L5939" s="27"/>
    </row>
    <row r="5940" spans="1:12">
      <c r="A5940" s="20" t="s">
        <v>2511</v>
      </c>
      <c r="B5940" s="21" t="s">
        <v>1010</v>
      </c>
      <c r="C5940" s="21" t="s">
        <v>1034</v>
      </c>
      <c r="D5940" s="21" t="s">
        <v>997</v>
      </c>
      <c r="E5940" s="22">
        <f>IF(D5940="?OLD","!!!","")</f>
        <v/>
      </c>
      <c r="F5940" s="23" t="str">
        <f>IF(OR(E5940="",E5940="!!!"),"",IF(NOT(ISNA(VLOOKUP(E5940,E$1:E5939,1,FALSE()))),"OLD",IF(AND(E5940&lt;&gt;"",E5940&lt;&gt;"!!!"),"NEW","")))</f>
        <v> </v>
      </c>
      <c r="G5940" s="24" t="str">
        <f>IF(OR(E5940="",E5940="!!!"),"",IF(OR(J5940=0,AND(J5940=1,K5940=1),AND(J5940=1,I5940="SBJ"),AND(J5940=1,I5940=0)),"?IN_FOCUS",IF(J5940&lt;=2,"?ACTIVATED",IF(J5940&lt;&gt;"","?FAMILIAR",IF(F5940="NEW",IF(ISNA(VLOOKUP(E5940,#REF!,1,FALSE())),"?TYPE_IDENTIFIABLE","?REFERENTIAL"),"_")))))</f>
        <v> </v>
      </c>
      <c r="H5940" s="25" t="str">
        <f>IF(J5940&lt;&gt;1,"",IF(I5940="SBJ","CB","?"))</f>
        <v> </v>
      </c>
      <c r="I5940" s="26" t="str">
        <f>IF(OR(E5940="",E5940="!!!",F5940="NEW"),"",INDEX(B5939:B$2,-1+SUMPRODUCT(MAX(ROW(E5939:E$2)*(E5940=E5939:E$2)))))</f>
        <v> </v>
      </c>
      <c r="J5940" s="26" t="str">
        <f>IF(OR(E5940="",E5940="!!!",F5940="NEW"),"",COUNTBLANK(OFFSET(A$1,,,SUMPRODUCT(MAX(ROW(E$2:E5940)*(E5940=E$2:E5940)))))-COUNTBLANK(OFFSET(A$1,,,SUMPRODUCT(MAX(ROW(E$1:E5939)*(E2=E$1:E5939))))))</f>
        <v> </v>
      </c>
      <c r="K5940" s="26" t="str">
        <f>IF(OR(E5940="",E5940="!!!",F5940="NEW"),"",INDEX(J$1:J5939,SUMPRODUCT(MAX(ROW(E$1:E5939)*(E5940=E$1:E5939)))))</f>
        <v> </v>
      </c>
      <c r="L5940" s="27"/>
    </row>
    <row r="5941" spans="1:12">
      <c r="A5941" s="20" t="s">
        <v>1041</v>
      </c>
      <c r="E5941" s="22">
        <f>IF(D5941="?OLD","!!!","")</f>
        <v/>
      </c>
      <c r="F5941" s="23" t="str">
        <f>IF(OR(E5941="",E5941="!!!"),"",IF(NOT(ISNA(VLOOKUP(E5941,E$1:E5940,1,FALSE()))),"OLD",IF(AND(E5941&lt;&gt;"",E5941&lt;&gt;"!!!"),"NEW","")))</f>
        <v> </v>
      </c>
      <c r="G5941" s="24" t="str">
        <f>IF(OR(E5941="",E5941="!!!"),"",IF(OR(J5941=0,AND(J5941=1,K5941=1),AND(J5941=1,I5941="SBJ"),AND(J5941=1,I5941=0)),"?IN_FOCUS",IF(J5941&lt;=2,"?ACTIVATED",IF(J5941&lt;&gt;"","?FAMILIAR",IF(F5941="NEW",IF(ISNA(VLOOKUP(E5941,#REF!,1,FALSE())),"?TYPE_IDENTIFIABLE","?REFERENTIAL"),"_")))))</f>
        <v> </v>
      </c>
      <c r="H5941" s="25" t="str">
        <f>IF(J5941&lt;&gt;1,"",IF(I5941="SBJ","CB","?"))</f>
        <v> </v>
      </c>
      <c r="I5941" s="26" t="str">
        <f>IF(OR(E5941="",E5941="!!!",F5941="NEW"),"",INDEX(B5940:B$2,-1+SUMPRODUCT(MAX(ROW(E5940:E$2)*(E5941=E5940:E$2)))))</f>
        <v> </v>
      </c>
      <c r="J5941" s="26" t="str">
        <f>IF(OR(E5941="",E5941="!!!",F5941="NEW"),"",COUNTBLANK(OFFSET(A$1,,,SUMPRODUCT(MAX(ROW(E$2:E5941)*(E5941=E$2:E5941)))))-COUNTBLANK(OFFSET(A$1,,,SUMPRODUCT(MAX(ROW(E$1:E5940)*(E2=E$1:E5940))))))</f>
        <v> </v>
      </c>
      <c r="K5941" s="26" t="str">
        <f>IF(OR(E5941="",E5941="!!!",F5941="NEW"),"",INDEX(J$1:J5940,SUMPRODUCT(MAX(ROW(E$1:E5940)*(E5941=E$1:E5940)))))</f>
        <v> </v>
      </c>
      <c r="L5941" s="27"/>
    </row>
    <row r="5942" spans="1:12">
      <c r="A5942" s="20" t="s">
        <v>1079</v>
      </c>
      <c r="B5942" s="21" t="s">
        <v>995</v>
      </c>
      <c r="C5942" s="21" t="s">
        <v>1015</v>
      </c>
      <c r="D5942" s="21" t="s">
        <v>997</v>
      </c>
      <c r="E5942" s="22">
        <f>IF(D5942="?OLD","!!!","")</f>
        <v/>
      </c>
      <c r="F5942" s="23" t="str">
        <f>IF(OR(E5942="",E5942="!!!"),"",IF(NOT(ISNA(VLOOKUP(E5942,E$1:E5941,1,FALSE()))),"OLD",IF(AND(E5942&lt;&gt;"",E5942&lt;&gt;"!!!"),"NEW","")))</f>
        <v> </v>
      </c>
      <c r="G5942" s="24" t="str">
        <f>IF(OR(E5942="",E5942="!!!"),"",IF(OR(J5942=0,AND(J5942=1,K5942=1),AND(J5942=1,I5942="SBJ"),AND(J5942=1,I5942=0)),"?IN_FOCUS",IF(J5942&lt;=2,"?ACTIVATED",IF(J5942&lt;&gt;"","?FAMILIAR",IF(F5942="NEW",IF(ISNA(VLOOKUP(E5942,#REF!,1,FALSE())),"?TYPE_IDENTIFIABLE","?REFERENTIAL"),"_")))))</f>
        <v> </v>
      </c>
      <c r="H5942" s="25" t="str">
        <f>IF(J5942&lt;&gt;1,"",IF(I5942="SBJ","CB","?"))</f>
        <v> </v>
      </c>
      <c r="I5942" s="26" t="str">
        <f>IF(OR(E5942="",E5942="!!!",F5942="NEW"),"",INDEX(B5941:B$2,-1+SUMPRODUCT(MAX(ROW(E5941:E$2)*(E5942=E5941:E$2)))))</f>
        <v> </v>
      </c>
      <c r="J5942" s="26" t="str">
        <f>IF(OR(E5942="",E5942="!!!",F5942="NEW"),"",COUNTBLANK(OFFSET(A$1,,,SUMPRODUCT(MAX(ROW(E$2:E5942)*(E5942=E$2:E5942)))))-COUNTBLANK(OFFSET(A$1,,,SUMPRODUCT(MAX(ROW(E$1:E5941)*(E2=E$1:E5941))))))</f>
        <v> </v>
      </c>
      <c r="K5942" s="26" t="str">
        <f>IF(OR(E5942="",E5942="!!!",F5942="NEW"),"",INDEX(J$1:J5941,SUMPRODUCT(MAX(ROW(E$1:E5941)*(E5942=E$1:E5941)))))</f>
        <v> </v>
      </c>
      <c r="L5942" s="27"/>
    </row>
    <row r="5943" spans="1:12">
      <c r="A5943" s="20" t="s">
        <v>1339</v>
      </c>
      <c r="E5943" s="22">
        <f>IF(D5943="?OLD","!!!","")</f>
        <v/>
      </c>
      <c r="F5943" s="23" t="str">
        <f>IF(OR(E5943="",E5943="!!!"),"",IF(NOT(ISNA(VLOOKUP(E5943,E$1:E5942,1,FALSE()))),"OLD",IF(AND(E5943&lt;&gt;"",E5943&lt;&gt;"!!!"),"NEW","")))</f>
        <v> </v>
      </c>
      <c r="G5943" s="24" t="str">
        <f>IF(OR(E5943="",E5943="!!!"),"",IF(OR(J5943=0,AND(J5943=1,K5943=1),AND(J5943=1,I5943="SBJ"),AND(J5943=1,I5943=0)),"?IN_FOCUS",IF(J5943&lt;=2,"?ACTIVATED",IF(J5943&lt;&gt;"","?FAMILIAR",IF(F5943="NEW",IF(ISNA(VLOOKUP(E5943,#REF!,1,FALSE())),"?TYPE_IDENTIFIABLE","?REFERENTIAL"),"_")))))</f>
        <v> </v>
      </c>
      <c r="H5943" s="25" t="str">
        <f>IF(J5943&lt;&gt;1,"",IF(I5943="SBJ","CB","?"))</f>
        <v> </v>
      </c>
      <c r="I5943" s="26" t="str">
        <f>IF(OR(E5943="",E5943="!!!",F5943="NEW"),"",INDEX(B5942:B$2,-1+SUMPRODUCT(MAX(ROW(E5942:E$2)*(E5943=E5942:E$2)))))</f>
        <v> </v>
      </c>
      <c r="J5943" s="26" t="str">
        <f>IF(OR(E5943="",E5943="!!!",F5943="NEW"),"",COUNTBLANK(OFFSET(A$1,,,SUMPRODUCT(MAX(ROW(E$2:E5943)*(E5943=E$2:E5943)))))-COUNTBLANK(OFFSET(A$1,,,SUMPRODUCT(MAX(ROW(E$1:E5942)*(E2=E$1:E5942))))))</f>
        <v> </v>
      </c>
      <c r="K5943" s="26" t="str">
        <f>IF(OR(E5943="",E5943="!!!",F5943="NEW"),"",INDEX(J$1:J5942,SUMPRODUCT(MAX(ROW(E$1:E5942)*(E5943=E$1:E5942)))))</f>
        <v> </v>
      </c>
      <c r="L5943" s="27"/>
    </row>
    <row r="5944" spans="1:12">
      <c r="A5944" s="20" t="s">
        <v>423</v>
      </c>
      <c r="E5944" s="22">
        <f>IF(D5944="?OLD","!!!","")</f>
        <v/>
      </c>
      <c r="F5944" s="23" t="str">
        <f>IF(OR(E5944="",E5944="!!!"),"",IF(NOT(ISNA(VLOOKUP(E5944,E$1:E5943,1,FALSE()))),"OLD",IF(AND(E5944&lt;&gt;"",E5944&lt;&gt;"!!!"),"NEW","")))</f>
        <v> </v>
      </c>
      <c r="G5944" s="24" t="str">
        <f>IF(OR(E5944="",E5944="!!!"),"",IF(OR(J5944=0,AND(J5944=1,K5944=1),AND(J5944=1,I5944="SBJ"),AND(J5944=1,I5944=0)),"?IN_FOCUS",IF(J5944&lt;=2,"?ACTIVATED",IF(J5944&lt;&gt;"","?FAMILIAR",IF(F5944="NEW",IF(ISNA(VLOOKUP(E5944,#REF!,1,FALSE())),"?TYPE_IDENTIFIABLE","?REFERENTIAL"),"_")))))</f>
        <v> </v>
      </c>
      <c r="H5944" s="25" t="str">
        <f>IF(J5944&lt;&gt;1,"",IF(I5944="SBJ","CB","?"))</f>
        <v> </v>
      </c>
      <c r="I5944" s="26" t="str">
        <f>IF(OR(E5944="",E5944="!!!",F5944="NEW"),"",INDEX(B5943:B$2,-1+SUMPRODUCT(MAX(ROW(E5943:E$2)*(E5944=E5943:E$2)))))</f>
        <v> </v>
      </c>
      <c r="J5944" s="26" t="str">
        <f>IF(OR(E5944="",E5944="!!!",F5944="NEW"),"",COUNTBLANK(OFFSET(A$1,,,SUMPRODUCT(MAX(ROW(E$2:E5944)*(E5944=E$2:E5944)))))-COUNTBLANK(OFFSET(A$1,,,SUMPRODUCT(MAX(ROW(E$1:E5943)*(E2=E$1:E5943))))))</f>
        <v> </v>
      </c>
      <c r="K5944" s="26" t="str">
        <f>IF(OR(E5944="",E5944="!!!",F5944="NEW"),"",INDEX(J$1:J5943,SUMPRODUCT(MAX(ROW(E$1:E5943)*(E5944=E$1:E5943)))))</f>
        <v> </v>
      </c>
      <c r="L5944" s="27"/>
    </row>
    <row r="5945" spans="1:12">
      <c r="A5945" s="20" t="s">
        <v>1097</v>
      </c>
      <c r="E5945" s="22">
        <f>IF(D5945="?OLD","!!!","")</f>
        <v/>
      </c>
      <c r="F5945" s="23" t="str">
        <f>IF(OR(E5945="",E5945="!!!"),"",IF(NOT(ISNA(VLOOKUP(E5945,E$1:E5944,1,FALSE()))),"OLD",IF(AND(E5945&lt;&gt;"",E5945&lt;&gt;"!!!"),"NEW","")))</f>
        <v> </v>
      </c>
      <c r="G5945" s="24" t="str">
        <f>IF(OR(E5945="",E5945="!!!"),"",IF(OR(J5945=0,AND(J5945=1,K5945=1),AND(J5945=1,I5945="SBJ"),AND(J5945=1,I5945=0)),"?IN_FOCUS",IF(J5945&lt;=2,"?ACTIVATED",IF(J5945&lt;&gt;"","?FAMILIAR",IF(F5945="NEW",IF(ISNA(VLOOKUP(E5945,#REF!,1,FALSE())),"?TYPE_IDENTIFIABLE","?REFERENTIAL"),"_")))))</f>
        <v> </v>
      </c>
      <c r="H5945" s="25" t="str">
        <f>IF(J5945&lt;&gt;1,"",IF(I5945="SBJ","CB","?"))</f>
        <v> </v>
      </c>
      <c r="I5945" s="26" t="str">
        <f>IF(OR(E5945="",E5945="!!!",F5945="NEW"),"",INDEX(B5944:B$2,-1+SUMPRODUCT(MAX(ROW(E5944:E$2)*(E5945=E5944:E$2)))))</f>
        <v> </v>
      </c>
      <c r="J5945" s="26" t="str">
        <f>IF(OR(E5945="",E5945="!!!",F5945="NEW"),"",COUNTBLANK(OFFSET(A$1,,,SUMPRODUCT(MAX(ROW(E$2:E5945)*(E5945=E$2:E5945)))))-COUNTBLANK(OFFSET(A$1,,,SUMPRODUCT(MAX(ROW(E$1:E5944)*(E2=E$1:E5944))))))</f>
        <v> </v>
      </c>
      <c r="K5945" s="26" t="str">
        <f>IF(OR(E5945="",E5945="!!!",F5945="NEW"),"",INDEX(J$1:J5944,SUMPRODUCT(MAX(ROW(E$1:E5944)*(E5945=E$1:E5944)))))</f>
        <v> </v>
      </c>
      <c r="L5945" s="27"/>
    </row>
    <row r="5946" spans="1:12">
      <c r="A5946" s="20" t="s">
        <v>2512</v>
      </c>
      <c r="E5946" s="22">
        <f>IF(D5946="?OLD","!!!","")</f>
        <v/>
      </c>
      <c r="F5946" s="23" t="str">
        <f>IF(OR(E5946="",E5946="!!!"),"",IF(NOT(ISNA(VLOOKUP(E5946,E$1:E5945,1,FALSE()))),"OLD",IF(AND(E5946&lt;&gt;"",E5946&lt;&gt;"!!!"),"NEW","")))</f>
        <v> </v>
      </c>
      <c r="G5946" s="24" t="str">
        <f>IF(OR(E5946="",E5946="!!!"),"",IF(OR(J5946=0,AND(J5946=1,K5946=1),AND(J5946=1,I5946="SBJ"),AND(J5946=1,I5946=0)),"?IN_FOCUS",IF(J5946&lt;=2,"?ACTIVATED",IF(J5946&lt;&gt;"","?FAMILIAR",IF(F5946="NEW",IF(ISNA(VLOOKUP(E5946,#REF!,1,FALSE())),"?TYPE_IDENTIFIABLE","?REFERENTIAL"),"_")))))</f>
        <v> </v>
      </c>
      <c r="H5946" s="25" t="str">
        <f>IF(J5946&lt;&gt;1,"",IF(I5946="SBJ","CB","?"))</f>
        <v> </v>
      </c>
      <c r="I5946" s="26" t="str">
        <f>IF(OR(E5946="",E5946="!!!",F5946="NEW"),"",INDEX(B5945:B$2,-1+SUMPRODUCT(MAX(ROW(E5945:E$2)*(E5946=E5945:E$2)))))</f>
        <v> </v>
      </c>
      <c r="J5946" s="26" t="str">
        <f>IF(OR(E5946="",E5946="!!!",F5946="NEW"),"",COUNTBLANK(OFFSET(A$1,,,SUMPRODUCT(MAX(ROW(E$2:E5946)*(E5946=E$2:E5946)))))-COUNTBLANK(OFFSET(A$1,,,SUMPRODUCT(MAX(ROW(E$1:E5945)*(E2=E$1:E5945))))))</f>
        <v> </v>
      </c>
      <c r="K5946" s="26" t="str">
        <f>IF(OR(E5946="",E5946="!!!",F5946="NEW"),"",INDEX(J$1:J5945,SUMPRODUCT(MAX(ROW(E$1:E5945)*(E5946=E$1:E5945)))))</f>
        <v> </v>
      </c>
      <c r="L5946" s="27"/>
    </row>
    <row r="5947" spans="1:12">
      <c r="A5947" s="20" t="s">
        <v>1061</v>
      </c>
      <c r="E5947" s="22">
        <f>IF(D5947="?OLD","!!!","")</f>
        <v/>
      </c>
      <c r="F5947" s="23" t="str">
        <f>IF(OR(E5947="",E5947="!!!"),"",IF(NOT(ISNA(VLOOKUP(E5947,E$1:E5946,1,FALSE()))),"OLD",IF(AND(E5947&lt;&gt;"",E5947&lt;&gt;"!!!"),"NEW","")))</f>
        <v> </v>
      </c>
      <c r="G5947" s="24" t="str">
        <f>IF(OR(E5947="",E5947="!!!"),"",IF(OR(J5947=0,AND(J5947=1,K5947=1),AND(J5947=1,I5947="SBJ"),AND(J5947=1,I5947=0)),"?IN_FOCUS",IF(J5947&lt;=2,"?ACTIVATED",IF(J5947&lt;&gt;"","?FAMILIAR",IF(F5947="NEW",IF(ISNA(VLOOKUP(E5947,#REF!,1,FALSE())),"?TYPE_IDENTIFIABLE","?REFERENTIAL"),"_")))))</f>
        <v> </v>
      </c>
      <c r="H5947" s="25" t="str">
        <f>IF(J5947&lt;&gt;1,"",IF(I5947="SBJ","CB","?"))</f>
        <v> </v>
      </c>
      <c r="I5947" s="26" t="str">
        <f>IF(OR(E5947="",E5947="!!!",F5947="NEW"),"",INDEX(B5946:B$2,-1+SUMPRODUCT(MAX(ROW(E5946:E$2)*(E5947=E5946:E$2)))))</f>
        <v> </v>
      </c>
      <c r="J5947" s="26" t="str">
        <f>IF(OR(E5947="",E5947="!!!",F5947="NEW"),"",COUNTBLANK(OFFSET(A$1,,,SUMPRODUCT(MAX(ROW(E$2:E5947)*(E5947=E$2:E5947)))))-COUNTBLANK(OFFSET(A$1,,,SUMPRODUCT(MAX(ROW(E$1:E5946)*(E2=E$1:E5946))))))</f>
        <v> </v>
      </c>
      <c r="K5947" s="26" t="str">
        <f>IF(OR(E5947="",E5947="!!!",F5947="NEW"),"",INDEX(J$1:J5946,SUMPRODUCT(MAX(ROW(E$1:E5946)*(E5947=E$1:E5946)))))</f>
        <v> </v>
      </c>
      <c r="L5947" s="27"/>
    </row>
    <row r="5948" spans="1:12">
      <c r="A5948" s="20" t="s">
        <v>1222</v>
      </c>
      <c r="B5948" s="21" t="s">
        <v>1067</v>
      </c>
      <c r="C5948" s="21" t="s">
        <v>1034</v>
      </c>
      <c r="D5948" s="21" t="s">
        <v>997</v>
      </c>
      <c r="E5948" s="22">
        <f>IF(D5948="?OLD","!!!","")</f>
        <v/>
      </c>
      <c r="F5948" s="23" t="str">
        <f>IF(OR(E5948="",E5948="!!!"),"",IF(NOT(ISNA(VLOOKUP(E5948,E$1:E5947,1,FALSE()))),"OLD",IF(AND(E5948&lt;&gt;"",E5948&lt;&gt;"!!!"),"NEW","")))</f>
        <v> </v>
      </c>
      <c r="G5948" s="24" t="str">
        <f>IF(OR(E5948="",E5948="!!!"),"",IF(OR(J5948=0,AND(J5948=1,K5948=1),AND(J5948=1,I5948="SBJ"),AND(J5948=1,I5948=0)),"?IN_FOCUS",IF(J5948&lt;=2,"?ACTIVATED",IF(J5948&lt;&gt;"","?FAMILIAR",IF(F5948="NEW",IF(ISNA(VLOOKUP(E5948,#REF!,1,FALSE())),"?TYPE_IDENTIFIABLE","?REFERENTIAL"),"_")))))</f>
        <v> </v>
      </c>
      <c r="H5948" s="25" t="str">
        <f>IF(J5948&lt;&gt;1,"",IF(I5948="SBJ","CB","?"))</f>
        <v> </v>
      </c>
      <c r="I5948" s="26" t="str">
        <f>IF(OR(E5948="",E5948="!!!",F5948="NEW"),"",INDEX(B5947:B$2,-1+SUMPRODUCT(MAX(ROW(E5947:E$2)*(E5948=E5947:E$2)))))</f>
        <v> </v>
      </c>
      <c r="J5948" s="26" t="str">
        <f>IF(OR(E5948="",E5948="!!!",F5948="NEW"),"",COUNTBLANK(OFFSET(A$1,,,SUMPRODUCT(MAX(ROW(E$2:E5948)*(E5948=E$2:E5948)))))-COUNTBLANK(OFFSET(A$1,,,SUMPRODUCT(MAX(ROW(E$1:E5947)*(E2=E$1:E5947))))))</f>
        <v> </v>
      </c>
      <c r="K5948" s="26" t="str">
        <f>IF(OR(E5948="",E5948="!!!",F5948="NEW"),"",INDEX(J$1:J5947,SUMPRODUCT(MAX(ROW(E$1:E5947)*(E5948=E$1:E5947)))))</f>
        <v> </v>
      </c>
      <c r="L5948" s="27"/>
    </row>
    <row r="5949" spans="1:12">
      <c r="A5949" s="20" t="s">
        <v>1008</v>
      </c>
      <c r="E5949" s="22">
        <f>IF(D5949="?OLD","!!!","")</f>
        <v/>
      </c>
      <c r="F5949" s="23" t="str">
        <f>IF(OR(E5949="",E5949="!!!"),"",IF(NOT(ISNA(VLOOKUP(E5949,E$1:E5948,1,FALSE()))),"OLD",IF(AND(E5949&lt;&gt;"",E5949&lt;&gt;"!!!"),"NEW","")))</f>
        <v> </v>
      </c>
      <c r="G5949" s="24" t="str">
        <f>IF(OR(E5949="",E5949="!!!"),"",IF(OR(J5949=0,AND(J5949=1,K5949=1),AND(J5949=1,I5949="SBJ"),AND(J5949=1,I5949=0)),"?IN_FOCUS",IF(J5949&lt;=2,"?ACTIVATED",IF(J5949&lt;&gt;"","?FAMILIAR",IF(F5949="NEW",IF(ISNA(VLOOKUP(E5949,#REF!,1,FALSE())),"?TYPE_IDENTIFIABLE","?REFERENTIAL"),"_")))))</f>
        <v> </v>
      </c>
      <c r="H5949" s="25" t="str">
        <f>IF(J5949&lt;&gt;1,"",IF(I5949="SBJ","CB","?"))</f>
        <v> </v>
      </c>
      <c r="I5949" s="26" t="str">
        <f>IF(OR(E5949="",E5949="!!!",F5949="NEW"),"",INDEX(B5948:B$2,-1+SUMPRODUCT(MAX(ROW(E5948:E$2)*(E5949=E5948:E$2)))))</f>
        <v> </v>
      </c>
      <c r="J5949" s="26" t="str">
        <f>IF(OR(E5949="",E5949="!!!",F5949="NEW"),"",COUNTBLANK(OFFSET(A$1,,,SUMPRODUCT(MAX(ROW(E$2:E5949)*(E5949=E$2:E5949)))))-COUNTBLANK(OFFSET(A$1,,,SUMPRODUCT(MAX(ROW(E$1:E5948)*(E2=E$1:E5948))))))</f>
        <v> </v>
      </c>
      <c r="K5949" s="26" t="str">
        <f>IF(OR(E5949="",E5949="!!!",F5949="NEW"),"",INDEX(J$1:J5948,SUMPRODUCT(MAX(ROW(E$1:E5948)*(E5949=E$1:E5948)))))</f>
        <v> </v>
      </c>
      <c r="L5949" s="27"/>
    </row>
    <row r="5950" spans="1:12">
      <c r="A5950" s="20" t="s">
        <v>1037</v>
      </c>
      <c r="E5950" s="22">
        <f>IF(D5950="?OLD","!!!","")</f>
        <v/>
      </c>
      <c r="F5950" s="23" t="str">
        <f>IF(OR(E5950="",E5950="!!!"),"",IF(NOT(ISNA(VLOOKUP(E5950,E$1:E5949,1,FALSE()))),"OLD",IF(AND(E5950&lt;&gt;"",E5950&lt;&gt;"!!!"),"NEW","")))</f>
        <v> </v>
      </c>
      <c r="G5950" s="24" t="str">
        <f>IF(OR(E5950="",E5950="!!!"),"",IF(OR(J5950=0,AND(J5950=1,K5950=1),AND(J5950=1,I5950="SBJ"),AND(J5950=1,I5950=0)),"?IN_FOCUS",IF(J5950&lt;=2,"?ACTIVATED",IF(J5950&lt;&gt;"","?FAMILIAR",IF(F5950="NEW",IF(ISNA(VLOOKUP(E5950,#REF!,1,FALSE())),"?TYPE_IDENTIFIABLE","?REFERENTIAL"),"_")))))</f>
        <v> </v>
      </c>
      <c r="H5950" s="25" t="str">
        <f>IF(J5950&lt;&gt;1,"",IF(I5950="SBJ","CB","?"))</f>
        <v> </v>
      </c>
      <c r="I5950" s="26" t="str">
        <f>IF(OR(E5950="",E5950="!!!",F5950="NEW"),"",INDEX(B5949:B$2,-1+SUMPRODUCT(MAX(ROW(E5949:E$2)*(E5950=E5949:E$2)))))</f>
        <v> </v>
      </c>
      <c r="J5950" s="26" t="str">
        <f>IF(OR(E5950="",E5950="!!!",F5950="NEW"),"",COUNTBLANK(OFFSET(A$1,,,SUMPRODUCT(MAX(ROW(E$2:E5950)*(E5950=E$2:E5950)))))-COUNTBLANK(OFFSET(A$1,,,SUMPRODUCT(MAX(ROW(E$1:E5949)*(E2=E$1:E5949))))))</f>
        <v> </v>
      </c>
      <c r="K5950" s="26" t="str">
        <f>IF(OR(E5950="",E5950="!!!",F5950="NEW"),"",INDEX(J$1:J5949,SUMPRODUCT(MAX(ROW(E$1:E5949)*(E5950=E$1:E5949)))))</f>
        <v> </v>
      </c>
      <c r="L5950" s="27"/>
    </row>
    <row r="5951" spans="1:12">
      <c r="A5951" s="20" t="s">
        <v>1577</v>
      </c>
      <c r="B5951" s="21" t="s">
        <v>1067</v>
      </c>
      <c r="C5951" s="21" t="s">
        <v>1034</v>
      </c>
      <c r="D5951" s="21" t="s">
        <v>997</v>
      </c>
      <c r="E5951" s="22">
        <f>IF(D5951="?OLD","!!!","")</f>
        <v/>
      </c>
      <c r="F5951" s="23" t="str">
        <f>IF(OR(E5951="",E5951="!!!"),"",IF(NOT(ISNA(VLOOKUP(E5951,E$1:E5950,1,FALSE()))),"OLD",IF(AND(E5951&lt;&gt;"",E5951&lt;&gt;"!!!"),"NEW","")))</f>
        <v> </v>
      </c>
      <c r="G5951" s="24" t="str">
        <f>IF(OR(E5951="",E5951="!!!"),"",IF(OR(J5951=0,AND(J5951=1,K5951=1),AND(J5951=1,I5951="SBJ"),AND(J5951=1,I5951=0)),"?IN_FOCUS",IF(J5951&lt;=2,"?ACTIVATED",IF(J5951&lt;&gt;"","?FAMILIAR",IF(F5951="NEW",IF(ISNA(VLOOKUP(E5951,#REF!,1,FALSE())),"?TYPE_IDENTIFIABLE","?REFERENTIAL"),"_")))))</f>
        <v> </v>
      </c>
      <c r="H5951" s="25" t="str">
        <f>IF(J5951&lt;&gt;1,"",IF(I5951="SBJ","CB","?"))</f>
        <v> </v>
      </c>
      <c r="I5951" s="26" t="str">
        <f>IF(OR(E5951="",E5951="!!!",F5951="NEW"),"",INDEX(B5950:B$2,-1+SUMPRODUCT(MAX(ROW(E5950:E$2)*(E5951=E5950:E$2)))))</f>
        <v> </v>
      </c>
      <c r="J5951" s="26" t="str">
        <f>IF(OR(E5951="",E5951="!!!",F5951="NEW"),"",COUNTBLANK(OFFSET(A$1,,,SUMPRODUCT(MAX(ROW(E$2:E5951)*(E5951=E$2:E5951)))))-COUNTBLANK(OFFSET(A$1,,,SUMPRODUCT(MAX(ROW(E$1:E5950)*(E2=E$1:E5950))))))</f>
        <v> </v>
      </c>
      <c r="K5951" s="26" t="str">
        <f>IF(OR(E5951="",E5951="!!!",F5951="NEW"),"",INDEX(J$1:J5950,SUMPRODUCT(MAX(ROW(E$1:E5950)*(E5951=E$1:E5950)))))</f>
        <v> </v>
      </c>
      <c r="L5951" s="27"/>
    </row>
    <row r="5952" spans="1:12">
      <c r="A5952" s="20" t="s">
        <v>1041</v>
      </c>
      <c r="E5952" s="22">
        <f>IF(D5952="?OLD","!!!","")</f>
        <v/>
      </c>
      <c r="F5952" s="23" t="str">
        <f>IF(OR(E5952="",E5952="!!!"),"",IF(NOT(ISNA(VLOOKUP(E5952,E$1:E5951,1,FALSE()))),"OLD",IF(AND(E5952&lt;&gt;"",E5952&lt;&gt;"!!!"),"NEW","")))</f>
        <v> </v>
      </c>
      <c r="G5952" s="24" t="str">
        <f>IF(OR(E5952="",E5952="!!!"),"",IF(OR(J5952=0,AND(J5952=1,K5952=1),AND(J5952=1,I5952="SBJ"),AND(J5952=1,I5952=0)),"?IN_FOCUS",IF(J5952&lt;=2,"?ACTIVATED",IF(J5952&lt;&gt;"","?FAMILIAR",IF(F5952="NEW",IF(ISNA(VLOOKUP(E5952,#REF!,1,FALSE())),"?TYPE_IDENTIFIABLE","?REFERENTIAL"),"_")))))</f>
        <v> </v>
      </c>
      <c r="H5952" s="25" t="str">
        <f>IF(J5952&lt;&gt;1,"",IF(I5952="SBJ","CB","?"))</f>
        <v> </v>
      </c>
      <c r="I5952" s="26" t="str">
        <f>IF(OR(E5952="",E5952="!!!",F5952="NEW"),"",INDEX(B5951:B$2,-1+SUMPRODUCT(MAX(ROW(E5951:E$2)*(E5952=E5951:E$2)))))</f>
        <v> </v>
      </c>
      <c r="J5952" s="26" t="str">
        <f>IF(OR(E5952="",E5952="!!!",F5952="NEW"),"",COUNTBLANK(OFFSET(A$1,,,SUMPRODUCT(MAX(ROW(E$2:E5952)*(E5952=E$2:E5952)))))-COUNTBLANK(OFFSET(A$1,,,SUMPRODUCT(MAX(ROW(E$1:E5951)*(E2=E$1:E5951))))))</f>
        <v> </v>
      </c>
      <c r="K5952" s="26" t="str">
        <f>IF(OR(E5952="",E5952="!!!",F5952="NEW"),"",INDEX(J$1:J5951,SUMPRODUCT(MAX(ROW(E$1:E5951)*(E5952=E$1:E5951)))))</f>
        <v> </v>
      </c>
      <c r="L5952" s="27"/>
    </row>
    <row r="5953" spans="1:12">
      <c r="A5953" s="20" t="s">
        <v>1007</v>
      </c>
      <c r="E5953" s="22">
        <f>IF(D5953="?OLD","!!!","")</f>
        <v/>
      </c>
      <c r="F5953" s="23" t="str">
        <f>IF(OR(E5953="",E5953="!!!"),"",IF(NOT(ISNA(VLOOKUP(E5953,E$1:E5952,1,FALSE()))),"OLD",IF(AND(E5953&lt;&gt;"",E5953&lt;&gt;"!!!"),"NEW","")))</f>
        <v> </v>
      </c>
      <c r="G5953" s="24" t="str">
        <f>IF(OR(E5953="",E5953="!!!"),"",IF(OR(J5953=0,AND(J5953=1,K5953=1),AND(J5953=1,I5953="SBJ"),AND(J5953=1,I5953=0)),"?IN_FOCUS",IF(J5953&lt;=2,"?ACTIVATED",IF(J5953&lt;&gt;"","?FAMILIAR",IF(F5953="NEW",IF(ISNA(VLOOKUP(E5953,#REF!,1,FALSE())),"?TYPE_IDENTIFIABLE","?REFERENTIAL"),"_")))))</f>
        <v> </v>
      </c>
      <c r="H5953" s="25" t="str">
        <f>IF(J5953&lt;&gt;1,"",IF(I5953="SBJ","CB","?"))</f>
        <v> </v>
      </c>
      <c r="I5953" s="26" t="str">
        <f>IF(OR(E5953="",E5953="!!!",F5953="NEW"),"",INDEX(B5952:B$2,-1+SUMPRODUCT(MAX(ROW(E5952:E$2)*(E5953=E5952:E$2)))))</f>
        <v> </v>
      </c>
      <c r="J5953" s="26" t="str">
        <f>IF(OR(E5953="",E5953="!!!",F5953="NEW"),"",COUNTBLANK(OFFSET(A$1,,,SUMPRODUCT(MAX(ROW(E$2:E5953)*(E5953=E$2:E5953)))))-COUNTBLANK(OFFSET(A$1,,,SUMPRODUCT(MAX(ROW(E$1:E5952)*(E2=E$1:E5952))))))</f>
        <v> </v>
      </c>
      <c r="K5953" s="26" t="str">
        <f>IF(OR(E5953="",E5953="!!!",F5953="NEW"),"",INDEX(J$1:J5952,SUMPRODUCT(MAX(ROW(E$1:E5952)*(E5953=E$1:E5952)))))</f>
        <v> </v>
      </c>
      <c r="L5953" s="27"/>
    </row>
    <row r="5954" spans="1:12">
      <c r="A5954" s="20" t="s">
        <v>1083</v>
      </c>
      <c r="B5954" s="21" t="s">
        <v>1142</v>
      </c>
      <c r="C5954" s="21" t="s">
        <v>996</v>
      </c>
      <c r="D5954" s="21" t="s">
        <v>997</v>
      </c>
      <c r="E5954" s="22">
        <f>IF(D5954="?OLD","!!!","")</f>
        <v/>
      </c>
      <c r="F5954" s="23" t="str">
        <f>IF(OR(E5954="",E5954="!!!"),"",IF(NOT(ISNA(VLOOKUP(E5954,E$1:E5953,1,FALSE()))),"OLD",IF(AND(E5954&lt;&gt;"",E5954&lt;&gt;"!!!"),"NEW","")))</f>
        <v> </v>
      </c>
      <c r="G5954" s="24" t="str">
        <f>IF(OR(E5954="",E5954="!!!"),"",IF(OR(J5954=0,AND(J5954=1,K5954=1),AND(J5954=1,I5954="SBJ"),AND(J5954=1,I5954=0)),"?IN_FOCUS",IF(J5954&lt;=2,"?ACTIVATED",IF(J5954&lt;&gt;"","?FAMILIAR",IF(F5954="NEW",IF(ISNA(VLOOKUP(E5954,#REF!,1,FALSE())),"?TYPE_IDENTIFIABLE","?REFERENTIAL"),"_")))))</f>
        <v> </v>
      </c>
      <c r="H5954" s="25" t="str">
        <f>IF(J5954&lt;&gt;1,"",IF(I5954="SBJ","CB","?"))</f>
        <v> </v>
      </c>
      <c r="I5954" s="26" t="str">
        <f>IF(OR(E5954="",E5954="!!!",F5954="NEW"),"",INDEX(B5953:B$2,-1+SUMPRODUCT(MAX(ROW(E5953:E$2)*(E5954=E5953:E$2)))))</f>
        <v> </v>
      </c>
      <c r="J5954" s="26" t="str">
        <f>IF(OR(E5954="",E5954="!!!",F5954="NEW"),"",COUNTBLANK(OFFSET(A$1,,,SUMPRODUCT(MAX(ROW(E$2:E5954)*(E5954=E$2:E5954)))))-COUNTBLANK(OFFSET(A$1,,,SUMPRODUCT(MAX(ROW(E$1:E5953)*(E2=E$1:E5953))))))</f>
        <v> </v>
      </c>
      <c r="K5954" s="26" t="str">
        <f>IF(OR(E5954="",E5954="!!!",F5954="NEW"),"",INDEX(J$1:J5953,SUMPRODUCT(MAX(ROW(E$1:E5953)*(E5954=E$1:E5953)))))</f>
        <v> </v>
      </c>
      <c r="L5954" s="27"/>
    </row>
    <row r="5955" spans="1:12">
      <c r="A5955" s="20" t="s">
        <v>1928</v>
      </c>
      <c r="E5955" s="22">
        <f>IF(D5955="?OLD","!!!","")</f>
        <v/>
      </c>
      <c r="F5955" s="23" t="str">
        <f>IF(OR(E5955="",E5955="!!!"),"",IF(NOT(ISNA(VLOOKUP(E5955,E$1:E5954,1,FALSE()))),"OLD",IF(AND(E5955&lt;&gt;"",E5955&lt;&gt;"!!!"),"NEW","")))</f>
        <v> </v>
      </c>
      <c r="G5955" s="24" t="str">
        <f>IF(OR(E5955="",E5955="!!!"),"",IF(OR(J5955=0,AND(J5955=1,K5955=1),AND(J5955=1,I5955="SBJ"),AND(J5955=1,I5955=0)),"?IN_FOCUS",IF(J5955&lt;=2,"?ACTIVATED",IF(J5955&lt;&gt;"","?FAMILIAR",IF(F5955="NEW",IF(ISNA(VLOOKUP(E5955,#REF!,1,FALSE())),"?TYPE_IDENTIFIABLE","?REFERENTIAL"),"_")))))</f>
        <v> </v>
      </c>
      <c r="H5955" s="25" t="str">
        <f>IF(J5955&lt;&gt;1,"",IF(I5955="SBJ","CB","?"))</f>
        <v> </v>
      </c>
      <c r="I5955" s="26" t="str">
        <f>IF(OR(E5955="",E5955="!!!",F5955="NEW"),"",INDEX(B5954:B$2,-1+SUMPRODUCT(MAX(ROW(E5954:E$2)*(E5955=E5954:E$2)))))</f>
        <v> </v>
      </c>
      <c r="J5955" s="26" t="str">
        <f>IF(OR(E5955="",E5955="!!!",F5955="NEW"),"",COUNTBLANK(OFFSET(A$1,,,SUMPRODUCT(MAX(ROW(E$2:E5955)*(E5955=E$2:E5955)))))-COUNTBLANK(OFFSET(A$1,,,SUMPRODUCT(MAX(ROW(E$1:E5954)*(E2=E$1:E5954))))))</f>
        <v> </v>
      </c>
      <c r="K5955" s="26" t="str">
        <f>IF(OR(E5955="",E5955="!!!",F5955="NEW"),"",INDEX(J$1:J5954,SUMPRODUCT(MAX(ROW(E$1:E5954)*(E5955=E$1:E5954)))))</f>
        <v> </v>
      </c>
      <c r="L5955" s="27"/>
    </row>
    <row r="5956" spans="1:12">
      <c r="A5956" s="20" t="s">
        <v>1008</v>
      </c>
      <c r="E5956" s="22">
        <f>IF(D5956="?OLD","!!!","")</f>
        <v/>
      </c>
      <c r="F5956" s="23" t="str">
        <f>IF(OR(E5956="",E5956="!!!"),"",IF(NOT(ISNA(VLOOKUP(E5956,E$1:E5955,1,FALSE()))),"OLD",IF(AND(E5956&lt;&gt;"",E5956&lt;&gt;"!!!"),"NEW","")))</f>
        <v> </v>
      </c>
      <c r="G5956" s="24" t="str">
        <f>IF(OR(E5956="",E5956="!!!"),"",IF(OR(J5956=0,AND(J5956=1,K5956=1),AND(J5956=1,I5956="SBJ"),AND(J5956=1,I5956=0)),"?IN_FOCUS",IF(J5956&lt;=2,"?ACTIVATED",IF(J5956&lt;&gt;"","?FAMILIAR",IF(F5956="NEW",IF(ISNA(VLOOKUP(E5956,#REF!,1,FALSE())),"?TYPE_IDENTIFIABLE","?REFERENTIAL"),"_")))))</f>
        <v> </v>
      </c>
      <c r="H5956" s="25" t="str">
        <f>IF(J5956&lt;&gt;1,"",IF(I5956="SBJ","CB","?"))</f>
        <v> </v>
      </c>
      <c r="I5956" s="26" t="str">
        <f>IF(OR(E5956="",E5956="!!!",F5956="NEW"),"",INDEX(B5955:B$2,-1+SUMPRODUCT(MAX(ROW(E5955:E$2)*(E5956=E5955:E$2)))))</f>
        <v> </v>
      </c>
      <c r="J5956" s="26" t="str">
        <f>IF(OR(E5956="",E5956="!!!",F5956="NEW"),"",COUNTBLANK(OFFSET(A$1,,,SUMPRODUCT(MAX(ROW(E$2:E5956)*(E5956=E$2:E5956)))))-COUNTBLANK(OFFSET(A$1,,,SUMPRODUCT(MAX(ROW(E$1:E5955)*(E2=E$1:E5955))))))</f>
        <v> </v>
      </c>
      <c r="K5956" s="26" t="str">
        <f>IF(OR(E5956="",E5956="!!!",F5956="NEW"),"",INDEX(J$1:J5955,SUMPRODUCT(MAX(ROW(E$1:E5955)*(E5956=E$1:E5955)))))</f>
        <v> </v>
      </c>
      <c r="L5956" s="27"/>
    </row>
    <row r="5957" spans="1:12">
      <c r="A5957" s="20" t="s">
        <v>1037</v>
      </c>
      <c r="E5957" s="22">
        <f>IF(D5957="?OLD","!!!","")</f>
        <v/>
      </c>
      <c r="F5957" s="23" t="str">
        <f>IF(OR(E5957="",E5957="!!!"),"",IF(NOT(ISNA(VLOOKUP(E5957,E$1:E5956,1,FALSE()))),"OLD",IF(AND(E5957&lt;&gt;"",E5957&lt;&gt;"!!!"),"NEW","")))</f>
        <v> </v>
      </c>
      <c r="G5957" s="24" t="str">
        <f>IF(OR(E5957="",E5957="!!!"),"",IF(OR(J5957=0,AND(J5957=1,K5957=1),AND(J5957=1,I5957="SBJ"),AND(J5957=1,I5957=0)),"?IN_FOCUS",IF(J5957&lt;=2,"?ACTIVATED",IF(J5957&lt;&gt;"","?FAMILIAR",IF(F5957="NEW",IF(ISNA(VLOOKUP(E5957,#REF!,1,FALSE())),"?TYPE_IDENTIFIABLE","?REFERENTIAL"),"_")))))</f>
        <v> </v>
      </c>
      <c r="H5957" s="25" t="str">
        <f>IF(J5957&lt;&gt;1,"",IF(I5957="SBJ","CB","?"))</f>
        <v> </v>
      </c>
      <c r="I5957" s="26" t="str">
        <f>IF(OR(E5957="",E5957="!!!",F5957="NEW"),"",INDEX(B5956:B$2,-1+SUMPRODUCT(MAX(ROW(E5956:E$2)*(E5957=E5956:E$2)))))</f>
        <v> </v>
      </c>
      <c r="J5957" s="26" t="str">
        <f>IF(OR(E5957="",E5957="!!!",F5957="NEW"),"",COUNTBLANK(OFFSET(A$1,,,SUMPRODUCT(MAX(ROW(E$2:E5957)*(E5957=E$2:E5957)))))-COUNTBLANK(OFFSET(A$1,,,SUMPRODUCT(MAX(ROW(E$1:E5956)*(E2=E$1:E5956))))))</f>
        <v> </v>
      </c>
      <c r="K5957" s="26" t="str">
        <f>IF(OR(E5957="",E5957="!!!",F5957="NEW"),"",INDEX(J$1:J5956,SUMPRODUCT(MAX(ROW(E$1:E5956)*(E5957=E$1:E5956)))))</f>
        <v> </v>
      </c>
      <c r="L5957" s="27"/>
    </row>
    <row r="5958" spans="1:12">
      <c r="A5958" s="20" t="s">
        <v>1560</v>
      </c>
      <c r="B5958" s="21" t="s">
        <v>1005</v>
      </c>
      <c r="C5958" s="21" t="s">
        <v>1034</v>
      </c>
      <c r="D5958" s="21" t="s">
        <v>997</v>
      </c>
      <c r="E5958" s="22">
        <f>IF(D5958="?OLD","!!!","")</f>
        <v/>
      </c>
      <c r="F5958" s="23" t="str">
        <f>IF(OR(E5958="",E5958="!!!"),"",IF(NOT(ISNA(VLOOKUP(E5958,E$1:E5957,1,FALSE()))),"OLD",IF(AND(E5958&lt;&gt;"",E5958&lt;&gt;"!!!"),"NEW","")))</f>
        <v> </v>
      </c>
      <c r="G5958" s="24" t="str">
        <f>IF(OR(E5958="",E5958="!!!"),"",IF(OR(J5958=0,AND(J5958=1,K5958=1),AND(J5958=1,I5958="SBJ"),AND(J5958=1,I5958=0)),"?IN_FOCUS",IF(J5958&lt;=2,"?ACTIVATED",IF(J5958&lt;&gt;"","?FAMILIAR",IF(F5958="NEW",IF(ISNA(VLOOKUP(E5958,#REF!,1,FALSE())),"?TYPE_IDENTIFIABLE","?REFERENTIAL"),"_")))))</f>
        <v> </v>
      </c>
      <c r="H5958" s="25" t="str">
        <f>IF(J5958&lt;&gt;1,"",IF(I5958="SBJ","CB","?"))</f>
        <v> </v>
      </c>
      <c r="I5958" s="26" t="str">
        <f>IF(OR(E5958="",E5958="!!!",F5958="NEW"),"",INDEX(B5957:B$2,-1+SUMPRODUCT(MAX(ROW(E5957:E$2)*(E5958=E5957:E$2)))))</f>
        <v> </v>
      </c>
      <c r="J5958" s="26" t="str">
        <f>IF(OR(E5958="",E5958="!!!",F5958="NEW"),"",COUNTBLANK(OFFSET(A$1,,,SUMPRODUCT(MAX(ROW(E$2:E5958)*(E5958=E$2:E5958)))))-COUNTBLANK(OFFSET(A$1,,,SUMPRODUCT(MAX(ROW(E$1:E5957)*(E2=E$1:E5957))))))</f>
        <v> </v>
      </c>
      <c r="K5958" s="26" t="str">
        <f>IF(OR(E5958="",E5958="!!!",F5958="NEW"),"",INDEX(J$1:J5957,SUMPRODUCT(MAX(ROW(E$1:E5957)*(E5958=E$1:E5957)))))</f>
        <v> </v>
      </c>
      <c r="L5958" s="27"/>
    </row>
    <row r="5959" spans="1:12">
      <c r="A5959" s="20" t="s">
        <v>1109</v>
      </c>
      <c r="E5959" s="22">
        <f>IF(D5959="?OLD","!!!","")</f>
        <v/>
      </c>
      <c r="F5959" s="23" t="str">
        <f>IF(OR(E5959="",E5959="!!!"),"",IF(NOT(ISNA(VLOOKUP(E5959,E$1:E5958,1,FALSE()))),"OLD",IF(AND(E5959&lt;&gt;"",E5959&lt;&gt;"!!!"),"NEW","")))</f>
        <v> </v>
      </c>
      <c r="G5959" s="24" t="str">
        <f>IF(OR(E5959="",E5959="!!!"),"",IF(OR(J5959=0,AND(J5959=1,K5959=1),AND(J5959=1,I5959="SBJ"),AND(J5959=1,I5959=0)),"?IN_FOCUS",IF(J5959&lt;=2,"?ACTIVATED",IF(J5959&lt;&gt;"","?FAMILIAR",IF(F5959="NEW",IF(ISNA(VLOOKUP(E5959,#REF!,1,FALSE())),"?TYPE_IDENTIFIABLE","?REFERENTIAL"),"_")))))</f>
        <v> </v>
      </c>
      <c r="H5959" s="25" t="str">
        <f>IF(J5959&lt;&gt;1,"",IF(I5959="SBJ","CB","?"))</f>
        <v> </v>
      </c>
      <c r="I5959" s="26" t="str">
        <f>IF(OR(E5959="",E5959="!!!",F5959="NEW"),"",INDEX(B5958:B$2,-1+SUMPRODUCT(MAX(ROW(E5958:E$2)*(E5959=E5958:E$2)))))</f>
        <v> </v>
      </c>
      <c r="J5959" s="26" t="str">
        <f>IF(OR(E5959="",E5959="!!!",F5959="NEW"),"",COUNTBLANK(OFFSET(A$1,,,SUMPRODUCT(MAX(ROW(E$2:E5959)*(E5959=E$2:E5959)))))-COUNTBLANK(OFFSET(A$1,,,SUMPRODUCT(MAX(ROW(E$1:E5958)*(E2=E$1:E5958))))))</f>
        <v> </v>
      </c>
      <c r="K5959" s="26" t="str">
        <f>IF(OR(E5959="",E5959="!!!",F5959="NEW"),"",INDEX(J$1:J5958,SUMPRODUCT(MAX(ROW(E$1:E5958)*(E5959=E$1:E5958)))))</f>
        <v> </v>
      </c>
      <c r="L5959" s="27"/>
    </row>
    <row r="5960" spans="1:12">
      <c r="A5960" s="20" t="s">
        <v>1037</v>
      </c>
      <c r="E5960" s="22">
        <f>IF(D5960="?OLD","!!!","")</f>
        <v/>
      </c>
      <c r="F5960" s="23" t="str">
        <f>IF(OR(E5960="",E5960="!!!"),"",IF(NOT(ISNA(VLOOKUP(E5960,E$1:E5959,1,FALSE()))),"OLD",IF(AND(E5960&lt;&gt;"",E5960&lt;&gt;"!!!"),"NEW","")))</f>
        <v> </v>
      </c>
      <c r="G5960" s="24" t="str">
        <f>IF(OR(E5960="",E5960="!!!"),"",IF(OR(J5960=0,AND(J5960=1,K5960=1),AND(J5960=1,I5960="SBJ"),AND(J5960=1,I5960=0)),"?IN_FOCUS",IF(J5960&lt;=2,"?ACTIVATED",IF(J5960&lt;&gt;"","?FAMILIAR",IF(F5960="NEW",IF(ISNA(VLOOKUP(E5960,#REF!,1,FALSE())),"?TYPE_IDENTIFIABLE","?REFERENTIAL"),"_")))))</f>
        <v> </v>
      </c>
      <c r="H5960" s="25" t="str">
        <f>IF(J5960&lt;&gt;1,"",IF(I5960="SBJ","CB","?"))</f>
        <v> </v>
      </c>
      <c r="I5960" s="26" t="str">
        <f>IF(OR(E5960="",E5960="!!!",F5960="NEW"),"",INDEX(B5959:B$2,-1+SUMPRODUCT(MAX(ROW(E5959:E$2)*(E5960=E5959:E$2)))))</f>
        <v> </v>
      </c>
      <c r="J5960" s="26" t="str">
        <f>IF(OR(E5960="",E5960="!!!",F5960="NEW"),"",COUNTBLANK(OFFSET(A$1,,,SUMPRODUCT(MAX(ROW(E$2:E5960)*(E5960=E$2:E5960)))))-COUNTBLANK(OFFSET(A$1,,,SUMPRODUCT(MAX(ROW(E$1:E5959)*(E2=E$1:E5959))))))</f>
        <v> </v>
      </c>
      <c r="K5960" s="26" t="str">
        <f>IF(OR(E5960="",E5960="!!!",F5960="NEW"),"",INDEX(J$1:J5959,SUMPRODUCT(MAX(ROW(E$1:E5959)*(E5960=E$1:E5959)))))</f>
        <v> </v>
      </c>
      <c r="L5960" s="27"/>
    </row>
    <row r="5961" spans="1:12">
      <c r="A5961" s="20" t="s">
        <v>1323</v>
      </c>
      <c r="B5961" s="21" t="s">
        <v>1005</v>
      </c>
      <c r="C5961" s="21" t="s">
        <v>1034</v>
      </c>
      <c r="D5961" s="21" t="s">
        <v>997</v>
      </c>
      <c r="E5961" s="22">
        <f>IF(D5961="?OLD","!!!","")</f>
        <v/>
      </c>
      <c r="F5961" s="23" t="str">
        <f>IF(OR(E5961="",E5961="!!!"),"",IF(NOT(ISNA(VLOOKUP(E5961,E$1:E5960,1,FALSE()))),"OLD",IF(AND(E5961&lt;&gt;"",E5961&lt;&gt;"!!!"),"NEW","")))</f>
        <v> </v>
      </c>
      <c r="G5961" s="24" t="str">
        <f>IF(OR(E5961="",E5961="!!!"),"",IF(OR(J5961=0,AND(J5961=1,K5961=1),AND(J5961=1,I5961="SBJ"),AND(J5961=1,I5961=0)),"?IN_FOCUS",IF(J5961&lt;=2,"?ACTIVATED",IF(J5961&lt;&gt;"","?FAMILIAR",IF(F5961="NEW",IF(ISNA(VLOOKUP(E5961,#REF!,1,FALSE())),"?TYPE_IDENTIFIABLE","?REFERENTIAL"),"_")))))</f>
        <v> </v>
      </c>
      <c r="H5961" s="25" t="str">
        <f>IF(J5961&lt;&gt;1,"",IF(I5961="SBJ","CB","?"))</f>
        <v> </v>
      </c>
      <c r="I5961" s="26" t="str">
        <f>IF(OR(E5961="",E5961="!!!",F5961="NEW"),"",INDEX(B5960:B$2,-1+SUMPRODUCT(MAX(ROW(E5960:E$2)*(E5961=E5960:E$2)))))</f>
        <v> </v>
      </c>
      <c r="J5961" s="26" t="str">
        <f>IF(OR(E5961="",E5961="!!!",F5961="NEW"),"",COUNTBLANK(OFFSET(A$1,,,SUMPRODUCT(MAX(ROW(E$2:E5961)*(E5961=E$2:E5961)))))-COUNTBLANK(OFFSET(A$1,,,SUMPRODUCT(MAX(ROW(E$1:E5960)*(E2=E$1:E5960))))))</f>
        <v> </v>
      </c>
      <c r="K5961" s="26" t="str">
        <f>IF(OR(E5961="",E5961="!!!",F5961="NEW"),"",INDEX(J$1:J5960,SUMPRODUCT(MAX(ROW(E$1:E5960)*(E5961=E$1:E5960)))))</f>
        <v> </v>
      </c>
      <c r="L5961" s="27"/>
    </row>
    <row r="5962" spans="1:12">
      <c r="A5962" s="20" t="s">
        <v>2159</v>
      </c>
      <c r="E5962" s="22">
        <f>IF(D5962="?OLD","!!!","")</f>
        <v/>
      </c>
      <c r="F5962" s="23" t="str">
        <f>IF(OR(E5962="",E5962="!!!"),"",IF(NOT(ISNA(VLOOKUP(E5962,E$1:E5961,1,FALSE()))),"OLD",IF(AND(E5962&lt;&gt;"",E5962&lt;&gt;"!!!"),"NEW","")))</f>
        <v> </v>
      </c>
      <c r="G5962" s="24" t="str">
        <f>IF(OR(E5962="",E5962="!!!"),"",IF(OR(J5962=0,AND(J5962=1,K5962=1),AND(J5962=1,I5962="SBJ"),AND(J5962=1,I5962=0)),"?IN_FOCUS",IF(J5962&lt;=2,"?ACTIVATED",IF(J5962&lt;&gt;"","?FAMILIAR",IF(F5962="NEW",IF(ISNA(VLOOKUP(E5962,#REF!,1,FALSE())),"?TYPE_IDENTIFIABLE","?REFERENTIAL"),"_")))))</f>
        <v> </v>
      </c>
      <c r="H5962" s="25" t="str">
        <f>IF(J5962&lt;&gt;1,"",IF(I5962="SBJ","CB","?"))</f>
        <v> </v>
      </c>
      <c r="I5962" s="26" t="str">
        <f>IF(OR(E5962="",E5962="!!!",F5962="NEW"),"",INDEX(B5961:B$2,-1+SUMPRODUCT(MAX(ROW(E5961:E$2)*(E5962=E5961:E$2)))))</f>
        <v> </v>
      </c>
      <c r="J5962" s="26" t="str">
        <f>IF(OR(E5962="",E5962="!!!",F5962="NEW"),"",COUNTBLANK(OFFSET(A$1,,,SUMPRODUCT(MAX(ROW(E$2:E5962)*(E5962=E$2:E5962)))))-COUNTBLANK(OFFSET(A$1,,,SUMPRODUCT(MAX(ROW(E$1:E5961)*(E2=E$1:E5961))))))</f>
        <v> </v>
      </c>
      <c r="K5962" s="26" t="str">
        <f>IF(OR(E5962="",E5962="!!!",F5962="NEW"),"",INDEX(J$1:J5961,SUMPRODUCT(MAX(ROW(E$1:E5961)*(E5962=E$1:E5961)))))</f>
        <v> </v>
      </c>
      <c r="L5962" s="27"/>
    </row>
    <row r="5963" spans="1:12">
      <c r="A5963" s="20" t="s">
        <v>1080</v>
      </c>
      <c r="B5963" s="21" t="s">
        <v>1114</v>
      </c>
      <c r="E5963" s="22">
        <f>IF(D5963="?OLD","!!!","")</f>
        <v/>
      </c>
      <c r="F5963" s="23" t="str">
        <f>IF(OR(E5963="",E5963="!!!"),"",IF(NOT(ISNA(VLOOKUP(E5963,E$1:E5962,1,FALSE()))),"OLD",IF(AND(E5963&lt;&gt;"",E5963&lt;&gt;"!!!"),"NEW","")))</f>
        <v> </v>
      </c>
      <c r="G5963" s="24" t="str">
        <f>IF(OR(E5963="",E5963="!!!"),"",IF(OR(J5963=0,AND(J5963=1,K5963=1),AND(J5963=1,I5963="SBJ"),AND(J5963=1,I5963=0)),"?IN_FOCUS",IF(J5963&lt;=2,"?ACTIVATED",IF(J5963&lt;&gt;"","?FAMILIAR",IF(F5963="NEW",IF(ISNA(VLOOKUP(E5963,#REF!,1,FALSE())),"?TYPE_IDENTIFIABLE","?REFERENTIAL"),"_")))))</f>
        <v> </v>
      </c>
      <c r="H5963" s="25" t="str">
        <f>IF(J5963&lt;&gt;1,"",IF(I5963="SBJ","CB","?"))</f>
        <v> </v>
      </c>
      <c r="I5963" s="26" t="str">
        <f>IF(OR(E5963="",E5963="!!!",F5963="NEW"),"",INDEX(B5962:B$2,-1+SUMPRODUCT(MAX(ROW(E5962:E$2)*(E5963=E5962:E$2)))))</f>
        <v> </v>
      </c>
      <c r="J5963" s="26" t="str">
        <f>IF(OR(E5963="",E5963="!!!",F5963="NEW"),"",COUNTBLANK(OFFSET(A$1,,,SUMPRODUCT(MAX(ROW(E$2:E5963)*(E5963=E$2:E5963)))))-COUNTBLANK(OFFSET(A$1,,,SUMPRODUCT(MAX(ROW(E$1:E5962)*(E2=E$1:E5962))))))</f>
        <v> </v>
      </c>
      <c r="K5963" s="26" t="str">
        <f>IF(OR(E5963="",E5963="!!!",F5963="NEW"),"",INDEX(J$1:J5962,SUMPRODUCT(MAX(ROW(E$1:E5962)*(E5963=E$1:E5962)))))</f>
        <v> </v>
      </c>
      <c r="L5963" s="27"/>
    </row>
    <row r="5964" spans="1:12">
      <c r="A5964" s="20" t="s">
        <v>2513</v>
      </c>
      <c r="E5964" s="22">
        <f>IF(D5964="?OLD","!!!","")</f>
        <v/>
      </c>
      <c r="F5964" s="23" t="str">
        <f>IF(OR(E5964="",E5964="!!!"),"",IF(NOT(ISNA(VLOOKUP(E5964,E$1:E5963,1,FALSE()))),"OLD",IF(AND(E5964&lt;&gt;"",E5964&lt;&gt;"!!!"),"NEW","")))</f>
        <v> </v>
      </c>
      <c r="G5964" s="24" t="str">
        <f>IF(OR(E5964="",E5964="!!!"),"",IF(OR(J5964=0,AND(J5964=1,K5964=1),AND(J5964=1,I5964="SBJ"),AND(J5964=1,I5964=0)),"?IN_FOCUS",IF(J5964&lt;=2,"?ACTIVATED",IF(J5964&lt;&gt;"","?FAMILIAR",IF(F5964="NEW",IF(ISNA(VLOOKUP(E5964,#REF!,1,FALSE())),"?TYPE_IDENTIFIABLE","?REFERENTIAL"),"_")))))</f>
        <v> </v>
      </c>
      <c r="H5964" s="25" t="str">
        <f>IF(J5964&lt;&gt;1,"",IF(I5964="SBJ","CB","?"))</f>
        <v> </v>
      </c>
      <c r="I5964" s="26" t="str">
        <f>IF(OR(E5964="",E5964="!!!",F5964="NEW"),"",INDEX(B5963:B$2,-1+SUMPRODUCT(MAX(ROW(E5963:E$2)*(E5964=E5963:E$2)))))</f>
        <v> </v>
      </c>
      <c r="J5964" s="26" t="str">
        <f>IF(OR(E5964="",E5964="!!!",F5964="NEW"),"",COUNTBLANK(OFFSET(A$1,,,SUMPRODUCT(MAX(ROW(E$2:E5964)*(E5964=E$2:E5964)))))-COUNTBLANK(OFFSET(A$1,,,SUMPRODUCT(MAX(ROW(E$1:E5963)*(E2=E$1:E5963))))))</f>
        <v> </v>
      </c>
      <c r="K5964" s="26" t="str">
        <f>IF(OR(E5964="",E5964="!!!",F5964="NEW"),"",INDEX(J$1:J5963,SUMPRODUCT(MAX(ROW(E$1:E5963)*(E5964=E$1:E5963)))))</f>
        <v> </v>
      </c>
      <c r="L5964" s="27"/>
    </row>
    <row r="5965" spans="1:12">
      <c r="A5965" s="20" t="s">
        <v>1061</v>
      </c>
      <c r="E5965" s="22">
        <f>IF(D5965="?OLD","!!!","")</f>
        <v/>
      </c>
      <c r="F5965" s="23" t="str">
        <f>IF(OR(E5965="",E5965="!!!"),"",IF(NOT(ISNA(VLOOKUP(E5965,E$1:E5964,1,FALSE()))),"OLD",IF(AND(E5965&lt;&gt;"",E5965&lt;&gt;"!!!"),"NEW","")))</f>
        <v> </v>
      </c>
      <c r="G5965" s="24" t="str">
        <f>IF(OR(E5965="",E5965="!!!"),"",IF(OR(J5965=0,AND(J5965=1,K5965=1),AND(J5965=1,I5965="SBJ"),AND(J5965=1,I5965=0)),"?IN_FOCUS",IF(J5965&lt;=2,"?ACTIVATED",IF(J5965&lt;&gt;"","?FAMILIAR",IF(F5965="NEW",IF(ISNA(VLOOKUP(E5965,#REF!,1,FALSE())),"?TYPE_IDENTIFIABLE","?REFERENTIAL"),"_")))))</f>
        <v> </v>
      </c>
      <c r="H5965" s="25" t="str">
        <f>IF(J5965&lt;&gt;1,"",IF(I5965="SBJ","CB","?"))</f>
        <v> </v>
      </c>
      <c r="I5965" s="26" t="str">
        <f>IF(OR(E5965="",E5965="!!!",F5965="NEW"),"",INDEX(B5964:B$2,-1+SUMPRODUCT(MAX(ROW(E5964:E$2)*(E5965=E5964:E$2)))))</f>
        <v> </v>
      </c>
      <c r="J5965" s="26" t="str">
        <f>IF(OR(E5965="",E5965="!!!",F5965="NEW"),"",COUNTBLANK(OFFSET(A$1,,,SUMPRODUCT(MAX(ROW(E$2:E5965)*(E5965=E$2:E5965)))))-COUNTBLANK(OFFSET(A$1,,,SUMPRODUCT(MAX(ROW(E$1:E5964)*(E2=E$1:E5964))))))</f>
        <v> </v>
      </c>
      <c r="K5965" s="26" t="str">
        <f>IF(OR(E5965="",E5965="!!!",F5965="NEW"),"",INDEX(J$1:J5964,SUMPRODUCT(MAX(ROW(E$1:E5964)*(E5965=E$1:E5964)))))</f>
        <v> </v>
      </c>
      <c r="L5965" s="27"/>
    </row>
    <row r="5966" spans="1:12">
      <c r="A5966" s="20" t="s">
        <v>2514</v>
      </c>
      <c r="B5966" s="21" t="s">
        <v>1088</v>
      </c>
      <c r="C5966" s="21" t="s">
        <v>1095</v>
      </c>
      <c r="D5966" s="21" t="s">
        <v>997</v>
      </c>
      <c r="E5966" s="22">
        <f>IF(D5966="?OLD","!!!","")</f>
        <v/>
      </c>
      <c r="F5966" s="23" t="str">
        <f>IF(OR(E5966="",E5966="!!!"),"",IF(NOT(ISNA(VLOOKUP(E5966,E$1:E5965,1,FALSE()))),"OLD",IF(AND(E5966&lt;&gt;"",E5966&lt;&gt;"!!!"),"NEW","")))</f>
        <v> </v>
      </c>
      <c r="G5966" s="24" t="str">
        <f>IF(OR(E5966="",E5966="!!!"),"",IF(OR(J5966=0,AND(J5966=1,K5966=1),AND(J5966=1,I5966="SBJ"),AND(J5966=1,I5966=0)),"?IN_FOCUS",IF(J5966&lt;=2,"?ACTIVATED",IF(J5966&lt;&gt;"","?FAMILIAR",IF(F5966="NEW",IF(ISNA(VLOOKUP(E5966,#REF!,1,FALSE())),"?TYPE_IDENTIFIABLE","?REFERENTIAL"),"_")))))</f>
        <v> </v>
      </c>
      <c r="H5966" s="25" t="str">
        <f>IF(J5966&lt;&gt;1,"",IF(I5966="SBJ","CB","?"))</f>
        <v> </v>
      </c>
      <c r="I5966" s="26" t="str">
        <f>IF(OR(E5966="",E5966="!!!",F5966="NEW"),"",INDEX(B5965:B$2,-1+SUMPRODUCT(MAX(ROW(E5965:E$2)*(E5966=E5965:E$2)))))</f>
        <v> </v>
      </c>
      <c r="J5966" s="26" t="str">
        <f>IF(OR(E5966="",E5966="!!!",F5966="NEW"),"",COUNTBLANK(OFFSET(A$1,,,SUMPRODUCT(MAX(ROW(E$2:E5966)*(E5966=E$2:E5966)))))-COUNTBLANK(OFFSET(A$1,,,SUMPRODUCT(MAX(ROW(E$1:E5965)*(E2=E$1:E5965))))))</f>
        <v> </v>
      </c>
      <c r="K5966" s="26" t="str">
        <f>IF(OR(E5966="",E5966="!!!",F5966="NEW"),"",INDEX(J$1:J5965,SUMPRODUCT(MAX(ROW(E$1:E5965)*(E5966=E$1:E5965)))))</f>
        <v> </v>
      </c>
      <c r="L5966" s="27"/>
    </row>
    <row r="5967" spans="1:12">
      <c r="A5967" s="20" t="s">
        <v>1007</v>
      </c>
      <c r="E5967" s="22">
        <f>IF(D5967="?OLD","!!!","")</f>
        <v/>
      </c>
      <c r="F5967" s="23" t="str">
        <f>IF(OR(E5967="",E5967="!!!"),"",IF(NOT(ISNA(VLOOKUP(E5967,E$1:E5966,1,FALSE()))),"OLD",IF(AND(E5967&lt;&gt;"",E5967&lt;&gt;"!!!"),"NEW","")))</f>
        <v> </v>
      </c>
      <c r="G5967" s="24" t="str">
        <f>IF(OR(E5967="",E5967="!!!"),"",IF(OR(J5967=0,AND(J5967=1,K5967=1),AND(J5967=1,I5967="SBJ"),AND(J5967=1,I5967=0)),"?IN_FOCUS",IF(J5967&lt;=2,"?ACTIVATED",IF(J5967&lt;&gt;"","?FAMILIAR",IF(F5967="NEW",IF(ISNA(VLOOKUP(E5967,#REF!,1,FALSE())),"?TYPE_IDENTIFIABLE","?REFERENTIAL"),"_")))))</f>
        <v> </v>
      </c>
      <c r="H5967" s="25" t="str">
        <f>IF(J5967&lt;&gt;1,"",IF(I5967="SBJ","CB","?"))</f>
        <v> </v>
      </c>
      <c r="I5967" s="26" t="str">
        <f>IF(OR(E5967="",E5967="!!!",F5967="NEW"),"",INDEX(B5966:B$2,-1+SUMPRODUCT(MAX(ROW(E5966:E$2)*(E5967=E5966:E$2)))))</f>
        <v> </v>
      </c>
      <c r="J5967" s="26" t="str">
        <f>IF(OR(E5967="",E5967="!!!",F5967="NEW"),"",COUNTBLANK(OFFSET(A$1,,,SUMPRODUCT(MAX(ROW(E$2:E5967)*(E5967=E$2:E5967)))))-COUNTBLANK(OFFSET(A$1,,,SUMPRODUCT(MAX(ROW(E$1:E5966)*(E2=E$1:E5966))))))</f>
        <v> </v>
      </c>
      <c r="K5967" s="26" t="str">
        <f>IF(OR(E5967="",E5967="!!!",F5967="NEW"),"",INDEX(J$1:J5966,SUMPRODUCT(MAX(ROW(E$1:E5966)*(E5967=E$1:E5966)))))</f>
        <v> </v>
      </c>
      <c r="L5967" s="27"/>
    </row>
    <row r="5968" spans="1:12">
      <c r="A5968" s="20" t="s">
        <v>1077</v>
      </c>
      <c r="E5968" s="22">
        <f>IF(D5968="?OLD","!!!","")</f>
        <v/>
      </c>
      <c r="F5968" s="23" t="str">
        <f>IF(OR(E5968="",E5968="!!!"),"",IF(NOT(ISNA(VLOOKUP(E5968,E$1:E5967,1,FALSE()))),"OLD",IF(AND(E5968&lt;&gt;"",E5968&lt;&gt;"!!!"),"NEW","")))</f>
        <v> </v>
      </c>
      <c r="G5968" s="24" t="str">
        <f>IF(OR(E5968="",E5968="!!!"),"",IF(OR(J5968=0,AND(J5968=1,K5968=1),AND(J5968=1,I5968="SBJ"),AND(J5968=1,I5968=0)),"?IN_FOCUS",IF(J5968&lt;=2,"?ACTIVATED",IF(J5968&lt;&gt;"","?FAMILIAR",IF(F5968="NEW",IF(ISNA(VLOOKUP(E5968,#REF!,1,FALSE())),"?TYPE_IDENTIFIABLE","?REFERENTIAL"),"_")))))</f>
        <v> </v>
      </c>
      <c r="H5968" s="25" t="str">
        <f>IF(J5968&lt;&gt;1,"",IF(I5968="SBJ","CB","?"))</f>
        <v> </v>
      </c>
      <c r="I5968" s="26" t="str">
        <f>IF(OR(E5968="",E5968="!!!",F5968="NEW"),"",INDEX(B5967:B$2,-1+SUMPRODUCT(MAX(ROW(E5967:E$2)*(E5968=E5967:E$2)))))</f>
        <v> </v>
      </c>
      <c r="J5968" s="26" t="str">
        <f>IF(OR(E5968="",E5968="!!!",F5968="NEW"),"",COUNTBLANK(OFFSET(A$1,,,SUMPRODUCT(MAX(ROW(E$2:E5968)*(E5968=E$2:E5968)))))-COUNTBLANK(OFFSET(A$1,,,SUMPRODUCT(MAX(ROW(E$1:E5967)*(E2=E$1:E5967))))))</f>
        <v> </v>
      </c>
      <c r="K5968" s="26" t="str">
        <f>IF(OR(E5968="",E5968="!!!",F5968="NEW"),"",INDEX(J$1:J5967,SUMPRODUCT(MAX(ROW(E$1:E5967)*(E5968=E$1:E5967)))))</f>
        <v> </v>
      </c>
      <c r="L5968" s="27"/>
    </row>
    <row r="5969" spans="1:12">
      <c r="A5969" s="20" t="s">
        <v>2447</v>
      </c>
      <c r="E5969" s="22">
        <f>IF(D5969="?OLD","!!!","")</f>
        <v/>
      </c>
      <c r="F5969" s="23" t="str">
        <f>IF(OR(E5969="",E5969="!!!"),"",IF(NOT(ISNA(VLOOKUP(E5969,E$1:E5968,1,FALSE()))),"OLD",IF(AND(E5969&lt;&gt;"",E5969&lt;&gt;"!!!"),"NEW","")))</f>
        <v> </v>
      </c>
      <c r="G5969" s="24" t="str">
        <f>IF(OR(E5969="",E5969="!!!"),"",IF(OR(J5969=0,AND(J5969=1,K5969=1),AND(J5969=1,I5969="SBJ"),AND(J5969=1,I5969=0)),"?IN_FOCUS",IF(J5969&lt;=2,"?ACTIVATED",IF(J5969&lt;&gt;"","?FAMILIAR",IF(F5969="NEW",IF(ISNA(VLOOKUP(E5969,#REF!,1,FALSE())),"?TYPE_IDENTIFIABLE","?REFERENTIAL"),"_")))))</f>
        <v> </v>
      </c>
      <c r="H5969" s="25" t="str">
        <f>IF(J5969&lt;&gt;1,"",IF(I5969="SBJ","CB","?"))</f>
        <v> </v>
      </c>
      <c r="I5969" s="26" t="str">
        <f>IF(OR(E5969="",E5969="!!!",F5969="NEW"),"",INDEX(B5968:B$2,-1+SUMPRODUCT(MAX(ROW(E5968:E$2)*(E5969=E5968:E$2)))))</f>
        <v> </v>
      </c>
      <c r="J5969" s="26" t="str">
        <f>IF(OR(E5969="",E5969="!!!",F5969="NEW"),"",COUNTBLANK(OFFSET(A$1,,,SUMPRODUCT(MAX(ROW(E$2:E5969)*(E5969=E$2:E5969)))))-COUNTBLANK(OFFSET(A$1,,,SUMPRODUCT(MAX(ROW(E$1:E5968)*(E2=E$1:E5968))))))</f>
        <v> </v>
      </c>
      <c r="K5969" s="26" t="str">
        <f>IF(OR(E5969="",E5969="!!!",F5969="NEW"),"",INDEX(J$1:J5968,SUMPRODUCT(MAX(ROW(E$1:E5968)*(E5969=E$1:E5968)))))</f>
        <v> </v>
      </c>
      <c r="L5969" s="27"/>
    </row>
    <row r="5970" spans="1:12">
      <c r="A5970" s="20" t="s">
        <v>1460</v>
      </c>
      <c r="E5970" s="22">
        <f>IF(D5970="?OLD","!!!","")</f>
        <v/>
      </c>
      <c r="F5970" s="23" t="str">
        <f>IF(OR(E5970="",E5970="!!!"),"",IF(NOT(ISNA(VLOOKUP(E5970,E$1:E5969,1,FALSE()))),"OLD",IF(AND(E5970&lt;&gt;"",E5970&lt;&gt;"!!!"),"NEW","")))</f>
        <v> </v>
      </c>
      <c r="G5970" s="24" t="str">
        <f>IF(OR(E5970="",E5970="!!!"),"",IF(OR(J5970=0,AND(J5970=1,K5970=1),AND(J5970=1,I5970="SBJ"),AND(J5970=1,I5970=0)),"?IN_FOCUS",IF(J5970&lt;=2,"?ACTIVATED",IF(J5970&lt;&gt;"","?FAMILIAR",IF(F5970="NEW",IF(ISNA(VLOOKUP(E5970,#REF!,1,FALSE())),"?TYPE_IDENTIFIABLE","?REFERENTIAL"),"_")))))</f>
        <v> </v>
      </c>
      <c r="H5970" s="25" t="str">
        <f>IF(J5970&lt;&gt;1,"",IF(I5970="SBJ","CB","?"))</f>
        <v> </v>
      </c>
      <c r="I5970" s="26" t="str">
        <f>IF(OR(E5970="",E5970="!!!",F5970="NEW"),"",INDEX(B5969:B$2,-1+SUMPRODUCT(MAX(ROW(E5969:E$2)*(E5970=E5969:E$2)))))</f>
        <v> </v>
      </c>
      <c r="J5970" s="26" t="str">
        <f>IF(OR(E5970="",E5970="!!!",F5970="NEW"),"",COUNTBLANK(OFFSET(A$1,,,SUMPRODUCT(MAX(ROW(E$2:E5970)*(E5970=E$2:E5970)))))-COUNTBLANK(OFFSET(A$1,,,SUMPRODUCT(MAX(ROW(E$1:E5969)*(E2=E$1:E5969))))))</f>
        <v> </v>
      </c>
      <c r="K5970" s="26" t="str">
        <f>IF(OR(E5970="",E5970="!!!",F5970="NEW"),"",INDEX(J$1:J5969,SUMPRODUCT(MAX(ROW(E$1:E5969)*(E5970=E$1:E5969)))))</f>
        <v> </v>
      </c>
      <c r="L5970" s="27"/>
    </row>
    <row r="5971" spans="1:12">
      <c r="A5971" s="20" t="s">
        <v>2515</v>
      </c>
      <c r="B5971" s="21" t="s">
        <v>1182</v>
      </c>
      <c r="C5971" s="21" t="s">
        <v>1095</v>
      </c>
      <c r="D5971" s="21" t="s">
        <v>997</v>
      </c>
      <c r="E5971" s="22">
        <f>IF(D5971="?OLD","!!!","")</f>
        <v/>
      </c>
      <c r="F5971" s="23" t="str">
        <f>IF(OR(E5971="",E5971="!!!"),"",IF(NOT(ISNA(VLOOKUP(E5971,E$1:E5970,1,FALSE()))),"OLD",IF(AND(E5971&lt;&gt;"",E5971&lt;&gt;"!!!"),"NEW","")))</f>
        <v> </v>
      </c>
      <c r="G5971" s="24" t="str">
        <f>IF(OR(E5971="",E5971="!!!"),"",IF(OR(J5971=0,AND(J5971=1,K5971=1),AND(J5971=1,I5971="SBJ"),AND(J5971=1,I5971=0)),"?IN_FOCUS",IF(J5971&lt;=2,"?ACTIVATED",IF(J5971&lt;&gt;"","?FAMILIAR",IF(F5971="NEW",IF(ISNA(VLOOKUP(E5971,#REF!,1,FALSE())),"?TYPE_IDENTIFIABLE","?REFERENTIAL"),"_")))))</f>
        <v> </v>
      </c>
      <c r="H5971" s="25" t="str">
        <f>IF(J5971&lt;&gt;1,"",IF(I5971="SBJ","CB","?"))</f>
        <v> </v>
      </c>
      <c r="I5971" s="26" t="str">
        <f>IF(OR(E5971="",E5971="!!!",F5971="NEW"),"",INDEX(B5970:B$2,-1+SUMPRODUCT(MAX(ROW(E5970:E$2)*(E5971=E5970:E$2)))))</f>
        <v> </v>
      </c>
      <c r="J5971" s="26" t="str">
        <f>IF(OR(E5971="",E5971="!!!",F5971="NEW"),"",COUNTBLANK(OFFSET(A$1,,,SUMPRODUCT(MAX(ROW(E$2:E5971)*(E5971=E$2:E5971)))))-COUNTBLANK(OFFSET(A$1,,,SUMPRODUCT(MAX(ROW(E$1:E5970)*(E2=E$1:E5970))))))</f>
        <v> </v>
      </c>
      <c r="K5971" s="26" t="str">
        <f>IF(OR(E5971="",E5971="!!!",F5971="NEW"),"",INDEX(J$1:J5970,SUMPRODUCT(MAX(ROW(E$1:E5970)*(E5971=E$1:E5970)))))</f>
        <v> </v>
      </c>
      <c r="L5971" s="27"/>
    </row>
    <row r="5972" spans="1:12">
      <c r="A5972" s="20" t="s">
        <v>1041</v>
      </c>
      <c r="E5972" s="22">
        <f>IF(D5972="?OLD","!!!","")</f>
        <v/>
      </c>
      <c r="F5972" s="23" t="str">
        <f>IF(OR(E5972="",E5972="!!!"),"",IF(NOT(ISNA(VLOOKUP(E5972,E$1:E5971,1,FALSE()))),"OLD",IF(AND(E5972&lt;&gt;"",E5972&lt;&gt;"!!!"),"NEW","")))</f>
        <v> </v>
      </c>
      <c r="G5972" s="24" t="str">
        <f>IF(OR(E5972="",E5972="!!!"),"",IF(OR(J5972=0,AND(J5972=1,K5972=1),AND(J5972=1,I5972="SBJ"),AND(J5972=1,I5972=0)),"?IN_FOCUS",IF(J5972&lt;=2,"?ACTIVATED",IF(J5972&lt;&gt;"","?FAMILIAR",IF(F5972="NEW",IF(ISNA(VLOOKUP(E5972,#REF!,1,FALSE())),"?TYPE_IDENTIFIABLE","?REFERENTIAL"),"_")))))</f>
        <v> </v>
      </c>
      <c r="H5972" s="25" t="str">
        <f>IF(J5972&lt;&gt;1,"",IF(I5972="SBJ","CB","?"))</f>
        <v> </v>
      </c>
      <c r="I5972" s="26" t="str">
        <f>IF(OR(E5972="",E5972="!!!",F5972="NEW"),"",INDEX(B5971:B$2,-1+SUMPRODUCT(MAX(ROW(E5971:E$2)*(E5972=E5971:E$2)))))</f>
        <v> </v>
      </c>
      <c r="J5972" s="26" t="str">
        <f>IF(OR(E5972="",E5972="!!!",F5972="NEW"),"",COUNTBLANK(OFFSET(A$1,,,SUMPRODUCT(MAX(ROW(E$2:E5972)*(E5972=E$2:E5972)))))-COUNTBLANK(OFFSET(A$1,,,SUMPRODUCT(MAX(ROW(E$1:E5971)*(E2=E$1:E5971))))))</f>
        <v> </v>
      </c>
      <c r="K5972" s="26" t="str">
        <f>IF(OR(E5972="",E5972="!!!",F5972="NEW"),"",INDEX(J$1:J5971,SUMPRODUCT(MAX(ROW(E$1:E5971)*(E5972=E$1:E5971)))))</f>
        <v> </v>
      </c>
      <c r="L5972" s="27"/>
    </row>
    <row r="5973" spans="1:12">
      <c r="A5973" s="20" t="s">
        <v>1079</v>
      </c>
      <c r="B5973" s="21" t="s">
        <v>1094</v>
      </c>
      <c r="C5973" s="21" t="s">
        <v>1015</v>
      </c>
      <c r="D5973" s="21" t="s">
        <v>997</v>
      </c>
      <c r="E5973" s="22">
        <f>IF(D5973="?OLD","!!!","")</f>
        <v/>
      </c>
      <c r="F5973" s="23" t="str">
        <f>IF(OR(E5973="",E5973="!!!"),"",IF(NOT(ISNA(VLOOKUP(E5973,E$1:E5972,1,FALSE()))),"OLD",IF(AND(E5973&lt;&gt;"",E5973&lt;&gt;"!!!"),"NEW","")))</f>
        <v> </v>
      </c>
      <c r="G5973" s="24" t="str">
        <f>IF(OR(E5973="",E5973="!!!"),"",IF(OR(J5973=0,AND(J5973=1,K5973=1),AND(J5973=1,I5973="SBJ"),AND(J5973=1,I5973=0)),"?IN_FOCUS",IF(J5973&lt;=2,"?ACTIVATED",IF(J5973&lt;&gt;"","?FAMILIAR",IF(F5973="NEW",IF(ISNA(VLOOKUP(E5973,#REF!,1,FALSE())),"?TYPE_IDENTIFIABLE","?REFERENTIAL"),"_")))))</f>
        <v> </v>
      </c>
      <c r="H5973" s="25" t="str">
        <f>IF(J5973&lt;&gt;1,"",IF(I5973="SBJ","CB","?"))</f>
        <v> </v>
      </c>
      <c r="I5973" s="26" t="str">
        <f>IF(OR(E5973="",E5973="!!!",F5973="NEW"),"",INDEX(B5972:B$2,-1+SUMPRODUCT(MAX(ROW(E5972:E$2)*(E5973=E5972:E$2)))))</f>
        <v> </v>
      </c>
      <c r="J5973" s="26" t="str">
        <f>IF(OR(E5973="",E5973="!!!",F5973="NEW"),"",COUNTBLANK(OFFSET(A$1,,,SUMPRODUCT(MAX(ROW(E$2:E5973)*(E5973=E$2:E5973)))))-COUNTBLANK(OFFSET(A$1,,,SUMPRODUCT(MAX(ROW(E$1:E5972)*(E2=E$1:E5972))))))</f>
        <v> </v>
      </c>
      <c r="K5973" s="26" t="str">
        <f>IF(OR(E5973="",E5973="!!!",F5973="NEW"),"",INDEX(J$1:J5972,SUMPRODUCT(MAX(ROW(E$1:E5972)*(E5973=E$1:E5972)))))</f>
        <v> </v>
      </c>
      <c r="L5973" s="27"/>
    </row>
    <row r="5974" spans="1:12">
      <c r="A5974" s="20" t="s">
        <v>1339</v>
      </c>
      <c r="E5974" s="22">
        <f>IF(D5974="?OLD","!!!","")</f>
        <v/>
      </c>
      <c r="F5974" s="23" t="str">
        <f>IF(OR(E5974="",E5974="!!!"),"",IF(NOT(ISNA(VLOOKUP(E5974,E$1:E5973,1,FALSE()))),"OLD",IF(AND(E5974&lt;&gt;"",E5974&lt;&gt;"!!!"),"NEW","")))</f>
        <v> </v>
      </c>
      <c r="G5974" s="24" t="str">
        <f>IF(OR(E5974="",E5974="!!!"),"",IF(OR(J5974=0,AND(J5974=1,K5974=1),AND(J5974=1,I5974="SBJ"),AND(J5974=1,I5974=0)),"?IN_FOCUS",IF(J5974&lt;=2,"?ACTIVATED",IF(J5974&lt;&gt;"","?FAMILIAR",IF(F5974="NEW",IF(ISNA(VLOOKUP(E5974,#REF!,1,FALSE())),"?TYPE_IDENTIFIABLE","?REFERENTIAL"),"_")))))</f>
        <v> </v>
      </c>
      <c r="H5974" s="25" t="str">
        <f>IF(J5974&lt;&gt;1,"",IF(I5974="SBJ","CB","?"))</f>
        <v> </v>
      </c>
      <c r="I5974" s="26" t="str">
        <f>IF(OR(E5974="",E5974="!!!",F5974="NEW"),"",INDEX(B5973:B$2,-1+SUMPRODUCT(MAX(ROW(E5973:E$2)*(E5974=E5973:E$2)))))</f>
        <v> </v>
      </c>
      <c r="J5974" s="26" t="str">
        <f>IF(OR(E5974="",E5974="!!!",F5974="NEW"),"",COUNTBLANK(OFFSET(A$1,,,SUMPRODUCT(MAX(ROW(E$2:E5974)*(E5974=E$2:E5974)))))-COUNTBLANK(OFFSET(A$1,,,SUMPRODUCT(MAX(ROW(E$1:E5973)*(E2=E$1:E5973))))))</f>
        <v> </v>
      </c>
      <c r="K5974" s="26" t="str">
        <f>IF(OR(E5974="",E5974="!!!",F5974="NEW"),"",INDEX(J$1:J5973,SUMPRODUCT(MAX(ROW(E$1:E5973)*(E5974=E$1:E5973)))))</f>
        <v> </v>
      </c>
      <c r="L5974" s="27"/>
    </row>
    <row r="5975" spans="1:12">
      <c r="A5975" s="20" t="s">
        <v>423</v>
      </c>
      <c r="E5975" s="22">
        <f>IF(D5975="?OLD","!!!","")</f>
        <v/>
      </c>
      <c r="F5975" s="23" t="str">
        <f>IF(OR(E5975="",E5975="!!!"),"",IF(NOT(ISNA(VLOOKUP(E5975,E$1:E5974,1,FALSE()))),"OLD",IF(AND(E5975&lt;&gt;"",E5975&lt;&gt;"!!!"),"NEW","")))</f>
        <v> </v>
      </c>
      <c r="G5975" s="24" t="str">
        <f>IF(OR(E5975="",E5975="!!!"),"",IF(OR(J5975=0,AND(J5975=1,K5975=1),AND(J5975=1,I5975="SBJ"),AND(J5975=1,I5975=0)),"?IN_FOCUS",IF(J5975&lt;=2,"?ACTIVATED",IF(J5975&lt;&gt;"","?FAMILIAR",IF(F5975="NEW",IF(ISNA(VLOOKUP(E5975,#REF!,1,FALSE())),"?TYPE_IDENTIFIABLE","?REFERENTIAL"),"_")))))</f>
        <v> </v>
      </c>
      <c r="H5975" s="25" t="str">
        <f>IF(J5975&lt;&gt;1,"",IF(I5975="SBJ","CB","?"))</f>
        <v> </v>
      </c>
      <c r="I5975" s="26" t="str">
        <f>IF(OR(E5975="",E5975="!!!",F5975="NEW"),"",INDEX(B5974:B$2,-1+SUMPRODUCT(MAX(ROW(E5974:E$2)*(E5975=E5974:E$2)))))</f>
        <v> </v>
      </c>
      <c r="J5975" s="26" t="str">
        <f>IF(OR(E5975="",E5975="!!!",F5975="NEW"),"",COUNTBLANK(OFFSET(A$1,,,SUMPRODUCT(MAX(ROW(E$2:E5975)*(E5975=E$2:E5975)))))-COUNTBLANK(OFFSET(A$1,,,SUMPRODUCT(MAX(ROW(E$1:E5974)*(E2=E$1:E5974))))))</f>
        <v> </v>
      </c>
      <c r="K5975" s="26" t="str">
        <f>IF(OR(E5975="",E5975="!!!",F5975="NEW"),"",INDEX(J$1:J5974,SUMPRODUCT(MAX(ROW(E$1:E5974)*(E5975=E$1:E5974)))))</f>
        <v> </v>
      </c>
      <c r="L5975" s="27"/>
    </row>
    <row r="5976" spans="1:12">
      <c r="A5976" s="20" t="s">
        <v>1097</v>
      </c>
      <c r="E5976" s="22">
        <f>IF(D5976="?OLD","!!!","")</f>
        <v/>
      </c>
      <c r="F5976" s="23" t="str">
        <f>IF(OR(E5976="",E5976="!!!"),"",IF(NOT(ISNA(VLOOKUP(E5976,E$1:E5975,1,FALSE()))),"OLD",IF(AND(E5976&lt;&gt;"",E5976&lt;&gt;"!!!"),"NEW","")))</f>
        <v> </v>
      </c>
      <c r="G5976" s="24" t="str">
        <f>IF(OR(E5976="",E5976="!!!"),"",IF(OR(J5976=0,AND(J5976=1,K5976=1),AND(J5976=1,I5976="SBJ"),AND(J5976=1,I5976=0)),"?IN_FOCUS",IF(J5976&lt;=2,"?ACTIVATED",IF(J5976&lt;&gt;"","?FAMILIAR",IF(F5976="NEW",IF(ISNA(VLOOKUP(E5976,#REF!,1,FALSE())),"?TYPE_IDENTIFIABLE","?REFERENTIAL"),"_")))))</f>
        <v> </v>
      </c>
      <c r="H5976" s="25" t="str">
        <f>IF(J5976&lt;&gt;1,"",IF(I5976="SBJ","CB","?"))</f>
        <v> </v>
      </c>
      <c r="I5976" s="26" t="str">
        <f>IF(OR(E5976="",E5976="!!!",F5976="NEW"),"",INDEX(B5975:B$2,-1+SUMPRODUCT(MAX(ROW(E5975:E$2)*(E5976=E5975:E$2)))))</f>
        <v> </v>
      </c>
      <c r="J5976" s="26" t="str">
        <f>IF(OR(E5976="",E5976="!!!",F5976="NEW"),"",COUNTBLANK(OFFSET(A$1,,,SUMPRODUCT(MAX(ROW(E$2:E5976)*(E5976=E$2:E5976)))))-COUNTBLANK(OFFSET(A$1,,,SUMPRODUCT(MAX(ROW(E$1:E5975)*(E2=E$1:E5975))))))</f>
        <v> </v>
      </c>
      <c r="K5976" s="26" t="str">
        <f>IF(OR(E5976="",E5976="!!!",F5976="NEW"),"",INDEX(J$1:J5975,SUMPRODUCT(MAX(ROW(E$1:E5975)*(E5976=E$1:E5975)))))</f>
        <v> </v>
      </c>
      <c r="L5976" s="27"/>
    </row>
    <row r="5977" spans="1:12">
      <c r="A5977" s="20" t="s">
        <v>1141</v>
      </c>
      <c r="E5977" s="22">
        <f>IF(D5977="?OLD","!!!","")</f>
        <v/>
      </c>
      <c r="F5977" s="23" t="str">
        <f>IF(OR(E5977="",E5977="!!!"),"",IF(NOT(ISNA(VLOOKUP(E5977,E$1:E5976,1,FALSE()))),"OLD",IF(AND(E5977&lt;&gt;"",E5977&lt;&gt;"!!!"),"NEW","")))</f>
        <v> </v>
      </c>
      <c r="G5977" s="24" t="str">
        <f>IF(OR(E5977="",E5977="!!!"),"",IF(OR(J5977=0,AND(J5977=1,K5977=1),AND(J5977=1,I5977="SBJ"),AND(J5977=1,I5977=0)),"?IN_FOCUS",IF(J5977&lt;=2,"?ACTIVATED",IF(J5977&lt;&gt;"","?FAMILIAR",IF(F5977="NEW",IF(ISNA(VLOOKUP(E5977,#REF!,1,FALSE())),"?TYPE_IDENTIFIABLE","?REFERENTIAL"),"_")))))</f>
        <v> </v>
      </c>
      <c r="H5977" s="25" t="str">
        <f>IF(J5977&lt;&gt;1,"",IF(I5977="SBJ","CB","?"))</f>
        <v> </v>
      </c>
      <c r="I5977" s="26" t="str">
        <f>IF(OR(E5977="",E5977="!!!",F5977="NEW"),"",INDEX(B5976:B$2,-1+SUMPRODUCT(MAX(ROW(E5976:E$2)*(E5977=E5976:E$2)))))</f>
        <v> </v>
      </c>
      <c r="J5977" s="26" t="str">
        <f>IF(OR(E5977="",E5977="!!!",F5977="NEW"),"",COUNTBLANK(OFFSET(A$1,,,SUMPRODUCT(MAX(ROW(E$2:E5977)*(E5977=E$2:E5977)))))-COUNTBLANK(OFFSET(A$1,,,SUMPRODUCT(MAX(ROW(E$1:E5976)*(E2=E$1:E5976))))))</f>
        <v> </v>
      </c>
      <c r="K5977" s="26" t="str">
        <f>IF(OR(E5977="",E5977="!!!",F5977="NEW"),"",INDEX(J$1:J5976,SUMPRODUCT(MAX(ROW(E$1:E5976)*(E5977=E$1:E5976)))))</f>
        <v> </v>
      </c>
      <c r="L5977" s="27"/>
    </row>
    <row r="5978" spans="1:12">
      <c r="A5978" s="20" t="s">
        <v>1138</v>
      </c>
      <c r="E5978" s="22">
        <f>IF(D5978="?OLD","!!!","")</f>
        <v/>
      </c>
      <c r="F5978" s="23" t="str">
        <f>IF(OR(E5978="",E5978="!!!"),"",IF(NOT(ISNA(VLOOKUP(E5978,E$1:E5977,1,FALSE()))),"OLD",IF(AND(E5978&lt;&gt;"",E5978&lt;&gt;"!!!"),"NEW","")))</f>
        <v> </v>
      </c>
      <c r="G5978" s="24" t="str">
        <f>IF(OR(E5978="",E5978="!!!"),"",IF(OR(J5978=0,AND(J5978=1,K5978=1),AND(J5978=1,I5978="SBJ"),AND(J5978=1,I5978=0)),"?IN_FOCUS",IF(J5978&lt;=2,"?ACTIVATED",IF(J5978&lt;&gt;"","?FAMILIAR",IF(F5978="NEW",IF(ISNA(VLOOKUP(E5978,#REF!,1,FALSE())),"?TYPE_IDENTIFIABLE","?REFERENTIAL"),"_")))))</f>
        <v> </v>
      </c>
      <c r="H5978" s="25" t="str">
        <f>IF(J5978&lt;&gt;1,"",IF(I5978="SBJ","CB","?"))</f>
        <v> </v>
      </c>
      <c r="I5978" s="26" t="str">
        <f>IF(OR(E5978="",E5978="!!!",F5978="NEW"),"",INDEX(B5977:B$2,-1+SUMPRODUCT(MAX(ROW(E5977:E$2)*(E5978=E5977:E$2)))))</f>
        <v> </v>
      </c>
      <c r="J5978" s="26" t="str">
        <f>IF(OR(E5978="",E5978="!!!",F5978="NEW"),"",COUNTBLANK(OFFSET(A$1,,,SUMPRODUCT(MAX(ROW(E$2:E5978)*(E5978=E$2:E5978)))))-COUNTBLANK(OFFSET(A$1,,,SUMPRODUCT(MAX(ROW(E$1:E5977)*(E2=E$1:E5977))))))</f>
        <v> </v>
      </c>
      <c r="K5978" s="26" t="str">
        <f>IF(OR(E5978="",E5978="!!!",F5978="NEW"),"",INDEX(J$1:J5977,SUMPRODUCT(MAX(ROW(E$1:E5977)*(E5978=E$1:E5977)))))</f>
        <v> </v>
      </c>
      <c r="L5978" s="27"/>
    </row>
    <row r="5979" spans="1:12">
      <c r="A5979" s="20" t="s">
        <v>1011</v>
      </c>
      <c r="E5979" s="22">
        <f>IF(D5979="?OLD","!!!","")</f>
        <v/>
      </c>
      <c r="F5979" s="23" t="str">
        <f>IF(OR(E5979="",E5979="!!!"),"",IF(NOT(ISNA(VLOOKUP(E5979,E$1:E5978,1,FALSE()))),"OLD",IF(AND(E5979&lt;&gt;"",E5979&lt;&gt;"!!!"),"NEW","")))</f>
        <v> </v>
      </c>
      <c r="G5979" s="24" t="str">
        <f>IF(OR(E5979="",E5979="!!!"),"",IF(OR(J5979=0,AND(J5979=1,K5979=1),AND(J5979=1,I5979="SBJ"),AND(J5979=1,I5979=0)),"?IN_FOCUS",IF(J5979&lt;=2,"?ACTIVATED",IF(J5979&lt;&gt;"","?FAMILIAR",IF(F5979="NEW",IF(ISNA(VLOOKUP(E5979,#REF!,1,FALSE())),"?TYPE_IDENTIFIABLE","?REFERENTIAL"),"_")))))</f>
        <v> </v>
      </c>
      <c r="H5979" s="25" t="str">
        <f>IF(J5979&lt;&gt;1,"",IF(I5979="SBJ","CB","?"))</f>
        <v> </v>
      </c>
      <c r="I5979" s="26" t="str">
        <f>IF(OR(E5979="",E5979="!!!",F5979="NEW"),"",INDEX(B5978:B$2,-1+SUMPRODUCT(MAX(ROW(E5978:E$2)*(E5979=E5978:E$2)))))</f>
        <v> </v>
      </c>
      <c r="J5979" s="26" t="str">
        <f>IF(OR(E5979="",E5979="!!!",F5979="NEW"),"",COUNTBLANK(OFFSET(A$1,,,SUMPRODUCT(MAX(ROW(E$2:E5979)*(E5979=E$2:E5979)))))-COUNTBLANK(OFFSET(A$1,,,SUMPRODUCT(MAX(ROW(E$1:E5978)*(E2=E$1:E5978))))))</f>
        <v> </v>
      </c>
      <c r="K5979" s="26" t="str">
        <f>IF(OR(E5979="",E5979="!!!",F5979="NEW"),"",INDEX(J$1:J5978,SUMPRODUCT(MAX(ROW(E$1:E5978)*(E5979=E$1:E5978)))))</f>
        <v> </v>
      </c>
      <c r="L5979" s="27"/>
    </row>
    <row r="5980" spans="1:12">
      <c r="A5980" s="20" t="s">
        <v>1460</v>
      </c>
      <c r="E5980" s="22">
        <f>IF(D5980="?OLD","!!!","")</f>
        <v/>
      </c>
      <c r="F5980" s="23" t="str">
        <f>IF(OR(E5980="",E5980="!!!"),"",IF(NOT(ISNA(VLOOKUP(E5980,E$1:E5979,1,FALSE()))),"OLD",IF(AND(E5980&lt;&gt;"",E5980&lt;&gt;"!!!"),"NEW","")))</f>
        <v> </v>
      </c>
      <c r="G5980" s="24" t="str">
        <f>IF(OR(E5980="",E5980="!!!"),"",IF(OR(J5980=0,AND(J5980=1,K5980=1),AND(J5980=1,I5980="SBJ"),AND(J5980=1,I5980=0)),"?IN_FOCUS",IF(J5980&lt;=2,"?ACTIVATED",IF(J5980&lt;&gt;"","?FAMILIAR",IF(F5980="NEW",IF(ISNA(VLOOKUP(E5980,#REF!,1,FALSE())),"?TYPE_IDENTIFIABLE","?REFERENTIAL"),"_")))))</f>
        <v> </v>
      </c>
      <c r="H5980" s="25" t="str">
        <f>IF(J5980&lt;&gt;1,"",IF(I5980="SBJ","CB","?"))</f>
        <v> </v>
      </c>
      <c r="I5980" s="26" t="str">
        <f>IF(OR(E5980="",E5980="!!!",F5980="NEW"),"",INDEX(B5979:B$2,-1+SUMPRODUCT(MAX(ROW(E5979:E$2)*(E5980=E5979:E$2)))))</f>
        <v> </v>
      </c>
      <c r="J5980" s="26" t="str">
        <f>IF(OR(E5980="",E5980="!!!",F5980="NEW"),"",COUNTBLANK(OFFSET(A$1,,,SUMPRODUCT(MAX(ROW(E$2:E5980)*(E5980=E$2:E5980)))))-COUNTBLANK(OFFSET(A$1,,,SUMPRODUCT(MAX(ROW(E$1:E5979)*(E2=E$1:E5979))))))</f>
        <v> </v>
      </c>
      <c r="K5980" s="26" t="str">
        <f>IF(OR(E5980="",E5980="!!!",F5980="NEW"),"",INDEX(J$1:J5979,SUMPRODUCT(MAX(ROW(E$1:E5979)*(E5980=E$1:E5979)))))</f>
        <v> </v>
      </c>
      <c r="L5980" s="27"/>
    </row>
    <row r="5981" spans="1:12">
      <c r="A5981" s="20"/>
    </row>
    <row r="5982" spans="1:12">
      <c r="A5982" s="20" t="s">
        <v>2516</v>
      </c>
    </row>
    <row r="5983" spans="1:12">
      <c r="A5983" s="20" t="s">
        <v>1076</v>
      </c>
      <c r="E5983" s="22">
        <f>IF(D5983="?OLD","!!!","")</f>
        <v/>
      </c>
      <c r="F5983" s="23" t="str">
        <f>IF(OR(E5983="",E5983="!!!"),"",IF(NOT(ISNA(VLOOKUP(E5983,E$1:E5982,1,FALSE()))),"OLD",IF(AND(E5983&lt;&gt;"",E5983&lt;&gt;"!!!"),"NEW","")))</f>
        <v> </v>
      </c>
      <c r="G5983" s="24" t="str">
        <f>IF(OR(E5983="",E5983="!!!"),"",IF(OR(J5983=0,AND(J5983=1,K5983=1),AND(J5983=1,I5983="SBJ"),AND(J5983=1,I5983=0)),"?IN_FOCUS",IF(J5983&lt;=2,"?ACTIVATED",IF(J5983&lt;&gt;"","?FAMILIAR",IF(F5983="NEW",IF(ISNA(VLOOKUP(E5983,#REF!,1,FALSE())),"?TYPE_IDENTIFIABLE","?REFERENTIAL"),"_")))))</f>
        <v> </v>
      </c>
      <c r="H5983" s="25" t="str">
        <f>IF(J5983&lt;&gt;1,"",IF(I5983="SBJ","CB","?"))</f>
        <v> </v>
      </c>
      <c r="I5983" s="26" t="str">
        <f>IF(OR(E5983="",E5983="!!!",F5983="NEW"),"",INDEX(B5982:B$2,-1+SUMPRODUCT(MAX(ROW(E5982:E$2)*(E5983=E5982:E$2)))))</f>
        <v> </v>
      </c>
      <c r="J5983" s="26" t="str">
        <f>IF(OR(E5983="",E5983="!!!",F5983="NEW"),"",COUNTBLANK(OFFSET(A$1,,,SUMPRODUCT(MAX(ROW(E$2:E5983)*(E5983=E$2:E5983)))))-COUNTBLANK(OFFSET(A$1,,,SUMPRODUCT(MAX(ROW(E$1:E5982)*(E2=E$1:E5982))))))</f>
        <v> </v>
      </c>
      <c r="K5983" s="26" t="str">
        <f>IF(OR(E5983="",E5983="!!!",F5983="NEW"),"",INDEX(J$1:J5982,SUMPRODUCT(MAX(ROW(E$1:E5982)*(E5983=E$1:E5982)))))</f>
        <v> </v>
      </c>
      <c r="L5983" s="27"/>
    </row>
    <row r="5984" spans="1:12">
      <c r="A5984" s="20" t="s">
        <v>1070</v>
      </c>
      <c r="B5984" s="21" t="s">
        <v>995</v>
      </c>
      <c r="C5984" s="21" t="s">
        <v>1034</v>
      </c>
      <c r="D5984" s="21" t="s">
        <v>997</v>
      </c>
      <c r="E5984" s="22">
        <f>IF(D5984="?OLD","!!!","")</f>
        <v/>
      </c>
      <c r="F5984" s="23" t="str">
        <f>IF(OR(E5984="",E5984="!!!"),"",IF(NOT(ISNA(VLOOKUP(E5984,E$1:E5983,1,FALSE()))),"OLD",IF(AND(E5984&lt;&gt;"",E5984&lt;&gt;"!!!"),"NEW","")))</f>
        <v> </v>
      </c>
      <c r="G5984" s="24" t="str">
        <f>IF(OR(E5984="",E5984="!!!"),"",IF(OR(J5984=0,AND(J5984=1,K5984=1),AND(J5984=1,I5984="SBJ"),AND(J5984=1,I5984=0)),"?IN_FOCUS",IF(J5984&lt;=2,"?ACTIVATED",IF(J5984&lt;&gt;"","?FAMILIAR",IF(F5984="NEW",IF(ISNA(VLOOKUP(E5984,#REF!,1,FALSE())),"?TYPE_IDENTIFIABLE","?REFERENTIAL"),"_")))))</f>
        <v> </v>
      </c>
      <c r="H5984" s="25" t="str">
        <f>IF(J5984&lt;&gt;1,"",IF(I5984="SBJ","CB","?"))</f>
        <v> </v>
      </c>
      <c r="I5984" s="26" t="str">
        <f>IF(OR(E5984="",E5984="!!!",F5984="NEW"),"",INDEX(B5983:B$2,-1+SUMPRODUCT(MAX(ROW(E5983:E$2)*(E5984=E5983:E$2)))))</f>
        <v> </v>
      </c>
      <c r="J5984" s="26" t="str">
        <f>IF(OR(E5984="",E5984="!!!",F5984="NEW"),"",COUNTBLANK(OFFSET(A$1,,,SUMPRODUCT(MAX(ROW(E$2:E5984)*(E5984=E$2:E5984)))))-COUNTBLANK(OFFSET(A$1,,,SUMPRODUCT(MAX(ROW(E$1:E5983)*(E2=E$1:E5983))))))</f>
        <v> </v>
      </c>
      <c r="K5984" s="26" t="str">
        <f>IF(OR(E5984="",E5984="!!!",F5984="NEW"),"",INDEX(J$1:J5983,SUMPRODUCT(MAX(ROW(E$1:E5983)*(E5984=E$1:E5983)))))</f>
        <v> </v>
      </c>
      <c r="L5984" s="27"/>
    </row>
    <row r="5985" spans="1:12">
      <c r="A5985" s="20" t="s">
        <v>423</v>
      </c>
      <c r="E5985" s="22">
        <f>IF(D5985="?OLD","!!!","")</f>
        <v/>
      </c>
      <c r="F5985" s="23" t="str">
        <f>IF(OR(E5985="",E5985="!!!"),"",IF(NOT(ISNA(VLOOKUP(E5985,E$1:E5984,1,FALSE()))),"OLD",IF(AND(E5985&lt;&gt;"",E5985&lt;&gt;"!!!"),"NEW","")))</f>
        <v> </v>
      </c>
      <c r="G5985" s="24" t="str">
        <f>IF(OR(E5985="",E5985="!!!"),"",IF(OR(J5985=0,AND(J5985=1,K5985=1),AND(J5985=1,I5985="SBJ"),AND(J5985=1,I5985=0)),"?IN_FOCUS",IF(J5985&lt;=2,"?ACTIVATED",IF(J5985&lt;&gt;"","?FAMILIAR",IF(F5985="NEW",IF(ISNA(VLOOKUP(E5985,#REF!,1,FALSE())),"?TYPE_IDENTIFIABLE","?REFERENTIAL"),"_")))))</f>
        <v> </v>
      </c>
      <c r="H5985" s="25" t="str">
        <f>IF(J5985&lt;&gt;1,"",IF(I5985="SBJ","CB","?"))</f>
        <v> </v>
      </c>
      <c r="I5985" s="26" t="str">
        <f>IF(OR(E5985="",E5985="!!!",F5985="NEW"),"",INDEX(B5984:B$2,-1+SUMPRODUCT(MAX(ROW(E5984:E$2)*(E5985=E5984:E$2)))))</f>
        <v> </v>
      </c>
      <c r="J5985" s="26" t="str">
        <f>IF(OR(E5985="",E5985="!!!",F5985="NEW"),"",COUNTBLANK(OFFSET(A$1,,,SUMPRODUCT(MAX(ROW(E$2:E5985)*(E5985=E$2:E5985)))))-COUNTBLANK(OFFSET(A$1,,,SUMPRODUCT(MAX(ROW(E$1:E5984)*(E2=E$1:E5984))))))</f>
        <v> </v>
      </c>
      <c r="K5985" s="26" t="str">
        <f>IF(OR(E5985="",E5985="!!!",F5985="NEW"),"",INDEX(J$1:J5984,SUMPRODUCT(MAX(ROW(E$1:E5984)*(E5985=E$1:E5984)))))</f>
        <v> </v>
      </c>
      <c r="L5985" s="27"/>
    </row>
    <row r="5986" spans="1:12">
      <c r="A5986" s="20" t="s">
        <v>1022</v>
      </c>
      <c r="E5986" s="22">
        <f>IF(D5986="?OLD","!!!","")</f>
        <v/>
      </c>
      <c r="F5986" s="23" t="str">
        <f>IF(OR(E5986="",E5986="!!!"),"",IF(NOT(ISNA(VLOOKUP(E5986,E$1:E5985,1,FALSE()))),"OLD",IF(AND(E5986&lt;&gt;"",E5986&lt;&gt;"!!!"),"NEW","")))</f>
        <v> </v>
      </c>
      <c r="G5986" s="24" t="str">
        <f>IF(OR(E5986="",E5986="!!!"),"",IF(OR(J5986=0,AND(J5986=1,K5986=1),AND(J5986=1,I5986="SBJ"),AND(J5986=1,I5986=0)),"?IN_FOCUS",IF(J5986&lt;=2,"?ACTIVATED",IF(J5986&lt;&gt;"","?FAMILIAR",IF(F5986="NEW",IF(ISNA(VLOOKUP(E5986,#REF!,1,FALSE())),"?TYPE_IDENTIFIABLE","?REFERENTIAL"),"_")))))</f>
        <v> </v>
      </c>
      <c r="H5986" s="25" t="str">
        <f>IF(J5986&lt;&gt;1,"",IF(I5986="SBJ","CB","?"))</f>
        <v> </v>
      </c>
      <c r="I5986" s="26" t="str">
        <f>IF(OR(E5986="",E5986="!!!",F5986="NEW"),"",INDEX(B5985:B$2,-1+SUMPRODUCT(MAX(ROW(E5985:E$2)*(E5986=E5985:E$2)))))</f>
        <v> </v>
      </c>
      <c r="J5986" s="26" t="str">
        <f>IF(OR(E5986="",E5986="!!!",F5986="NEW"),"",COUNTBLANK(OFFSET(A$1,,,SUMPRODUCT(MAX(ROW(E$2:E5986)*(E5986=E$2:E5986)))))-COUNTBLANK(OFFSET(A$1,,,SUMPRODUCT(MAX(ROW(E$1:E5985)*(E2=E$1:E5985))))))</f>
        <v> </v>
      </c>
      <c r="K5986" s="26" t="str">
        <f>IF(OR(E5986="",E5986="!!!",F5986="NEW"),"",INDEX(J$1:J5985,SUMPRODUCT(MAX(ROW(E$1:E5985)*(E5986=E$1:E5985)))))</f>
        <v> </v>
      </c>
      <c r="L5986" s="27"/>
    </row>
    <row r="5987" spans="1:12">
      <c r="A5987" s="20" t="s">
        <v>1175</v>
      </c>
      <c r="B5987" s="21" t="s">
        <v>1142</v>
      </c>
      <c r="C5987" s="21" t="s">
        <v>1015</v>
      </c>
      <c r="D5987" s="21" t="s">
        <v>997</v>
      </c>
      <c r="E5987" s="22">
        <f>IF(D5987="?OLD","!!!","")</f>
        <v/>
      </c>
      <c r="F5987" s="23" t="str">
        <f>IF(OR(E5987="",E5987="!!!"),"",IF(NOT(ISNA(VLOOKUP(E5987,E$1:E5986,1,FALSE()))),"OLD",IF(AND(E5987&lt;&gt;"",E5987&lt;&gt;"!!!"),"NEW","")))</f>
        <v> </v>
      </c>
      <c r="G5987" s="24" t="str">
        <f>IF(OR(E5987="",E5987="!!!"),"",IF(OR(J5987=0,AND(J5987=1,K5987=1),AND(J5987=1,I5987="SBJ"),AND(J5987=1,I5987=0)),"?IN_FOCUS",IF(J5987&lt;=2,"?ACTIVATED",IF(J5987&lt;&gt;"","?FAMILIAR",IF(F5987="NEW",IF(ISNA(VLOOKUP(E5987,#REF!,1,FALSE())),"?TYPE_IDENTIFIABLE","?REFERENTIAL"),"_")))))</f>
        <v> </v>
      </c>
      <c r="H5987" s="25" t="str">
        <f>IF(J5987&lt;&gt;1,"",IF(I5987="SBJ","CB","?"))</f>
        <v> </v>
      </c>
      <c r="I5987" s="26" t="str">
        <f>IF(OR(E5987="",E5987="!!!",F5987="NEW"),"",INDEX(B5986:B$2,-1+SUMPRODUCT(MAX(ROW(E5986:E$2)*(E5987=E5986:E$2)))))</f>
        <v> </v>
      </c>
      <c r="J5987" s="26" t="str">
        <f>IF(OR(E5987="",E5987="!!!",F5987="NEW"),"",COUNTBLANK(OFFSET(A$1,,,SUMPRODUCT(MAX(ROW(E$2:E5987)*(E5987=E$2:E5987)))))-COUNTBLANK(OFFSET(A$1,,,SUMPRODUCT(MAX(ROW(E$1:E5986)*(E2=E$1:E5986))))))</f>
        <v> </v>
      </c>
      <c r="K5987" s="26" t="str">
        <f>IF(OR(E5987="",E5987="!!!",F5987="NEW"),"",INDEX(J$1:J5986,SUMPRODUCT(MAX(ROW(E$1:E5986)*(E5987=E$1:E5986)))))</f>
        <v> </v>
      </c>
      <c r="L5987" s="27"/>
    </row>
    <row r="5988" spans="1:12">
      <c r="A5988" s="20" t="s">
        <v>423</v>
      </c>
      <c r="E5988" s="22">
        <f>IF(D5988="?OLD","!!!","")</f>
        <v/>
      </c>
      <c r="F5988" s="23" t="str">
        <f>IF(OR(E5988="",E5988="!!!"),"",IF(NOT(ISNA(VLOOKUP(E5988,E$1:E5987,1,FALSE()))),"OLD",IF(AND(E5988&lt;&gt;"",E5988&lt;&gt;"!!!"),"NEW","")))</f>
        <v> </v>
      </c>
      <c r="G5988" s="24" t="str">
        <f>IF(OR(E5988="",E5988="!!!"),"",IF(OR(J5988=0,AND(J5988=1,K5988=1),AND(J5988=1,I5988="SBJ"),AND(J5988=1,I5988=0)),"?IN_FOCUS",IF(J5988&lt;=2,"?ACTIVATED",IF(J5988&lt;&gt;"","?FAMILIAR",IF(F5988="NEW",IF(ISNA(VLOOKUP(E5988,#REF!,1,FALSE())),"?TYPE_IDENTIFIABLE","?REFERENTIAL"),"_")))))</f>
        <v> </v>
      </c>
      <c r="H5988" s="25" t="str">
        <f>IF(J5988&lt;&gt;1,"",IF(I5988="SBJ","CB","?"))</f>
        <v> </v>
      </c>
      <c r="I5988" s="26" t="str">
        <f>IF(OR(E5988="",E5988="!!!",F5988="NEW"),"",INDEX(B5987:B$2,-1+SUMPRODUCT(MAX(ROW(E5987:E$2)*(E5988=E5987:E$2)))))</f>
        <v> </v>
      </c>
      <c r="J5988" s="26" t="str">
        <f>IF(OR(E5988="",E5988="!!!",F5988="NEW"),"",COUNTBLANK(OFFSET(A$1,,,SUMPRODUCT(MAX(ROW(E$2:E5988)*(E5988=E$2:E5988)))))-COUNTBLANK(OFFSET(A$1,,,SUMPRODUCT(MAX(ROW(E$1:E5987)*(E2=E$1:E5987))))))</f>
        <v> </v>
      </c>
      <c r="K5988" s="26" t="str">
        <f>IF(OR(E5988="",E5988="!!!",F5988="NEW"),"",INDEX(J$1:J5987,SUMPRODUCT(MAX(ROW(E$1:E5987)*(E5988=E$1:E5987)))))</f>
        <v> </v>
      </c>
      <c r="L5988" s="27"/>
    </row>
    <row r="5989" spans="1:12">
      <c r="A5989" s="20" t="s">
        <v>1202</v>
      </c>
      <c r="E5989" s="22">
        <f>IF(D5989="?OLD","!!!","")</f>
        <v/>
      </c>
      <c r="F5989" s="23" t="str">
        <f>IF(OR(E5989="",E5989="!!!"),"",IF(NOT(ISNA(VLOOKUP(E5989,E$1:E5988,1,FALSE()))),"OLD",IF(AND(E5989&lt;&gt;"",E5989&lt;&gt;"!!!"),"NEW","")))</f>
        <v> </v>
      </c>
      <c r="G5989" s="24" t="str">
        <f>IF(OR(E5989="",E5989="!!!"),"",IF(OR(J5989=0,AND(J5989=1,K5989=1),AND(J5989=1,I5989="SBJ"),AND(J5989=1,I5989=0)),"?IN_FOCUS",IF(J5989&lt;=2,"?ACTIVATED",IF(J5989&lt;&gt;"","?FAMILIAR",IF(F5989="NEW",IF(ISNA(VLOOKUP(E5989,#REF!,1,FALSE())),"?TYPE_IDENTIFIABLE","?REFERENTIAL"),"_")))))</f>
        <v> </v>
      </c>
      <c r="H5989" s="25" t="str">
        <f>IF(J5989&lt;&gt;1,"",IF(I5989="SBJ","CB","?"))</f>
        <v> </v>
      </c>
      <c r="I5989" s="26" t="str">
        <f>IF(OR(E5989="",E5989="!!!",F5989="NEW"),"",INDEX(B5988:B$2,-1+SUMPRODUCT(MAX(ROW(E5988:E$2)*(E5989=E5988:E$2)))))</f>
        <v> </v>
      </c>
      <c r="J5989" s="26" t="str">
        <f>IF(OR(E5989="",E5989="!!!",F5989="NEW"),"",COUNTBLANK(OFFSET(A$1,,,SUMPRODUCT(MAX(ROW(E$2:E5989)*(E5989=E$2:E5989)))))-COUNTBLANK(OFFSET(A$1,,,SUMPRODUCT(MAX(ROW(E$1:E5988)*(E2=E$1:E5988))))))</f>
        <v> </v>
      </c>
      <c r="K5989" s="26" t="str">
        <f>IF(OR(E5989="",E5989="!!!",F5989="NEW"),"",INDEX(J$1:J5988,SUMPRODUCT(MAX(ROW(E$1:E5988)*(E5989=E$1:E5988)))))</f>
        <v> </v>
      </c>
      <c r="L5989" s="27"/>
    </row>
    <row r="5990" spans="1:12">
      <c r="A5990" s="20" t="s">
        <v>1695</v>
      </c>
      <c r="B5990" s="21" t="s">
        <v>1067</v>
      </c>
      <c r="C5990" s="21" t="s">
        <v>1068</v>
      </c>
      <c r="D5990" s="21" t="s">
        <v>997</v>
      </c>
      <c r="E5990" s="22">
        <f>IF(D5990="?OLD","!!!","")</f>
        <v/>
      </c>
      <c r="F5990" s="23" t="str">
        <f>IF(OR(E5990="",E5990="!!!"),"",IF(NOT(ISNA(VLOOKUP(E5990,E$1:E5989,1,FALSE()))),"OLD",IF(AND(E5990&lt;&gt;"",E5990&lt;&gt;"!!!"),"NEW","")))</f>
        <v> </v>
      </c>
      <c r="G5990" s="24" t="str">
        <f>IF(OR(E5990="",E5990="!!!"),"",IF(OR(J5990=0,AND(J5990=1,K5990=1),AND(J5990=1,I5990="SBJ"),AND(J5990=1,I5990=0)),"?IN_FOCUS",IF(J5990&lt;=2,"?ACTIVATED",IF(J5990&lt;&gt;"","?FAMILIAR",IF(F5990="NEW",IF(ISNA(VLOOKUP(E5990,#REF!,1,FALSE())),"?TYPE_IDENTIFIABLE","?REFERENTIAL"),"_")))))</f>
        <v> </v>
      </c>
      <c r="H5990" s="25" t="str">
        <f>IF(J5990&lt;&gt;1,"",IF(I5990="SBJ","CB","?"))</f>
        <v> </v>
      </c>
      <c r="I5990" s="26" t="str">
        <f>IF(OR(E5990="",E5990="!!!",F5990="NEW"),"",INDEX(B5989:B$2,-1+SUMPRODUCT(MAX(ROW(E5989:E$2)*(E5990=E5989:E$2)))))</f>
        <v> </v>
      </c>
      <c r="J5990" s="26" t="str">
        <f>IF(OR(E5990="",E5990="!!!",F5990="NEW"),"",COUNTBLANK(OFFSET(A$1,,,SUMPRODUCT(MAX(ROW(E$2:E5990)*(E5990=E$2:E5990)))))-COUNTBLANK(OFFSET(A$1,,,SUMPRODUCT(MAX(ROW(E$1:E5989)*(E2=E$1:E5989))))))</f>
        <v> </v>
      </c>
      <c r="K5990" s="26" t="str">
        <f>IF(OR(E5990="",E5990="!!!",F5990="NEW"),"",INDEX(J$1:J5989,SUMPRODUCT(MAX(ROW(E$1:E5989)*(E5990=E$1:E5989)))))</f>
        <v> </v>
      </c>
      <c r="L5990" s="27"/>
    </row>
    <row r="5991" spans="1:12">
      <c r="A5991" s="20" t="s">
        <v>1003</v>
      </c>
      <c r="E5991" s="22">
        <f>IF(D5991="?OLD","!!!","")</f>
        <v/>
      </c>
      <c r="F5991" s="23" t="str">
        <f>IF(OR(E5991="",E5991="!!!"),"",IF(NOT(ISNA(VLOOKUP(E5991,E$1:E5990,1,FALSE()))),"OLD",IF(AND(E5991&lt;&gt;"",E5991&lt;&gt;"!!!"),"NEW","")))</f>
        <v> </v>
      </c>
      <c r="G5991" s="24" t="str">
        <f>IF(OR(E5991="",E5991="!!!"),"",IF(OR(J5991=0,AND(J5991=1,K5991=1),AND(J5991=1,I5991="SBJ"),AND(J5991=1,I5991=0)),"?IN_FOCUS",IF(J5991&lt;=2,"?ACTIVATED",IF(J5991&lt;&gt;"","?FAMILIAR",IF(F5991="NEW",IF(ISNA(VLOOKUP(E5991,#REF!,1,FALSE())),"?TYPE_IDENTIFIABLE","?REFERENTIAL"),"_")))))</f>
        <v> </v>
      </c>
      <c r="H5991" s="25" t="str">
        <f>IF(J5991&lt;&gt;1,"",IF(I5991="SBJ","CB","?"))</f>
        <v> </v>
      </c>
      <c r="I5991" s="26" t="str">
        <f>IF(OR(E5991="",E5991="!!!",F5991="NEW"),"",INDEX(B5990:B$2,-1+SUMPRODUCT(MAX(ROW(E5990:E$2)*(E5991=E5990:E$2)))))</f>
        <v> </v>
      </c>
      <c r="J5991" s="26" t="str">
        <f>IF(OR(E5991="",E5991="!!!",F5991="NEW"),"",COUNTBLANK(OFFSET(A$1,,,SUMPRODUCT(MAX(ROW(E$2:E5991)*(E5991=E$2:E5991)))))-COUNTBLANK(OFFSET(A$1,,,SUMPRODUCT(MAX(ROW(E$1:E5990)*(E2=E$1:E5990))))))</f>
        <v> </v>
      </c>
      <c r="K5991" s="26" t="str">
        <f>IF(OR(E5991="",E5991="!!!",F5991="NEW"),"",INDEX(J$1:J5990,SUMPRODUCT(MAX(ROW(E$1:E5990)*(E5991=E$1:E5990)))))</f>
        <v> </v>
      </c>
      <c r="L5991" s="27"/>
    </row>
    <row r="5992" spans="1:12">
      <c r="A5992" s="20" t="s">
        <v>1124</v>
      </c>
      <c r="B5992" s="21" t="s">
        <v>1005</v>
      </c>
      <c r="C5992" s="21" t="s">
        <v>1006</v>
      </c>
      <c r="E5992" s="22">
        <f>IF(D5992="?OLD","!!!","")</f>
        <v/>
      </c>
      <c r="F5992" s="23" t="str">
        <f>IF(OR(E5992="",E5992="!!!"),"",IF(NOT(ISNA(VLOOKUP(E5992,E$1:E5991,1,FALSE()))),"OLD",IF(AND(E5992&lt;&gt;"",E5992&lt;&gt;"!!!"),"NEW","")))</f>
        <v> </v>
      </c>
      <c r="G5992" s="24" t="str">
        <f>IF(OR(E5992="",E5992="!!!"),"",IF(OR(J5992=0,AND(J5992=1,K5992=1),AND(J5992=1,I5992="SBJ"),AND(J5992=1,I5992=0)),"?IN_FOCUS",IF(J5992&lt;=2,"?ACTIVATED",IF(J5992&lt;&gt;"","?FAMILIAR",IF(F5992="NEW",IF(ISNA(VLOOKUP(E5992,#REF!,1,FALSE())),"?TYPE_IDENTIFIABLE","?REFERENTIAL"),"_")))))</f>
        <v> </v>
      </c>
      <c r="H5992" s="25" t="str">
        <f>IF(J5992&lt;&gt;1,"",IF(I5992="SBJ","CB","?"))</f>
        <v> </v>
      </c>
      <c r="I5992" s="26" t="str">
        <f>IF(OR(E5992="",E5992="!!!",F5992="NEW"),"",INDEX(B5991:B$2,-1+SUMPRODUCT(MAX(ROW(E5991:E$2)*(E5992=E5991:E$2)))))</f>
        <v> </v>
      </c>
      <c r="J5992" s="26" t="str">
        <f>IF(OR(E5992="",E5992="!!!",F5992="NEW"),"",COUNTBLANK(OFFSET(A$1,,,SUMPRODUCT(MAX(ROW(E$2:E5992)*(E5992=E$2:E5992)))))-COUNTBLANK(OFFSET(A$1,,,SUMPRODUCT(MAX(ROW(E$1:E5991)*(E2=E$1:E5991))))))</f>
        <v> </v>
      </c>
      <c r="K5992" s="26" t="str">
        <f>IF(OR(E5992="",E5992="!!!",F5992="NEW"),"",INDEX(J$1:J5991,SUMPRODUCT(MAX(ROW(E$1:E5991)*(E5992=E$1:E5991)))))</f>
        <v> </v>
      </c>
      <c r="L5992" s="27"/>
    </row>
    <row r="5993" spans="1:12">
      <c r="A5993" s="20" t="s">
        <v>1080</v>
      </c>
      <c r="B5993" s="21" t="s">
        <v>1027</v>
      </c>
      <c r="E5993" s="22">
        <f>IF(D5993="?OLD","!!!","")</f>
        <v/>
      </c>
      <c r="F5993" s="23" t="str">
        <f>IF(OR(E5993="",E5993="!!!"),"",IF(NOT(ISNA(VLOOKUP(E5993,E$1:E5992,1,FALSE()))),"OLD",IF(AND(E5993&lt;&gt;"",E5993&lt;&gt;"!!!"),"NEW","")))</f>
        <v> </v>
      </c>
      <c r="G5993" s="24" t="str">
        <f>IF(OR(E5993="",E5993="!!!"),"",IF(OR(J5993=0,AND(J5993=1,K5993=1),AND(J5993=1,I5993="SBJ"),AND(J5993=1,I5993=0)),"?IN_FOCUS",IF(J5993&lt;=2,"?ACTIVATED",IF(J5993&lt;&gt;"","?FAMILIAR",IF(F5993="NEW",IF(ISNA(VLOOKUP(E5993,#REF!,1,FALSE())),"?TYPE_IDENTIFIABLE","?REFERENTIAL"),"_")))))</f>
        <v> </v>
      </c>
      <c r="H5993" s="25" t="str">
        <f>IF(J5993&lt;&gt;1,"",IF(I5993="SBJ","CB","?"))</f>
        <v> </v>
      </c>
      <c r="I5993" s="26" t="str">
        <f>IF(OR(E5993="",E5993="!!!",F5993="NEW"),"",INDEX(B5992:B$2,-1+SUMPRODUCT(MAX(ROW(E5992:E$2)*(E5993=E5992:E$2)))))</f>
        <v> </v>
      </c>
      <c r="J5993" s="26" t="str">
        <f>IF(OR(E5993="",E5993="!!!",F5993="NEW"),"",COUNTBLANK(OFFSET(A$1,,,SUMPRODUCT(MAX(ROW(E$2:E5993)*(E5993=E$2:E5993)))))-COUNTBLANK(OFFSET(A$1,,,SUMPRODUCT(MAX(ROW(E$1:E5992)*(E2=E$1:E5992))))))</f>
        <v> </v>
      </c>
      <c r="K5993" s="26" t="str">
        <f>IF(OR(E5993="",E5993="!!!",F5993="NEW"),"",INDEX(J$1:J5992,SUMPRODUCT(MAX(ROW(E$1:E5992)*(E5993=E$1:E5992)))))</f>
        <v> </v>
      </c>
      <c r="L5993" s="27"/>
    </row>
    <row r="5994" spans="1:12">
      <c r="A5994" s="20" t="s">
        <v>1393</v>
      </c>
      <c r="E5994" s="22">
        <f>IF(D5994="?OLD","!!!","")</f>
        <v/>
      </c>
      <c r="F5994" s="23" t="str">
        <f>IF(OR(E5994="",E5994="!!!"),"",IF(NOT(ISNA(VLOOKUP(E5994,E$1:E5993,1,FALSE()))),"OLD",IF(AND(E5994&lt;&gt;"",E5994&lt;&gt;"!!!"),"NEW","")))</f>
        <v> </v>
      </c>
      <c r="G5994" s="24" t="str">
        <f>IF(OR(E5994="",E5994="!!!"),"",IF(OR(J5994=0,AND(J5994=1,K5994=1),AND(J5994=1,I5994="SBJ"),AND(J5994=1,I5994=0)),"?IN_FOCUS",IF(J5994&lt;=2,"?ACTIVATED",IF(J5994&lt;&gt;"","?FAMILIAR",IF(F5994="NEW",IF(ISNA(VLOOKUP(E5994,#REF!,1,FALSE())),"?TYPE_IDENTIFIABLE","?REFERENTIAL"),"_")))))</f>
        <v> </v>
      </c>
      <c r="H5994" s="25" t="str">
        <f>IF(J5994&lt;&gt;1,"",IF(I5994="SBJ","CB","?"))</f>
        <v> </v>
      </c>
      <c r="I5994" s="26" t="str">
        <f>IF(OR(E5994="",E5994="!!!",F5994="NEW"),"",INDEX(B5993:B$2,-1+SUMPRODUCT(MAX(ROW(E5993:E$2)*(E5994=E5993:E$2)))))</f>
        <v> </v>
      </c>
      <c r="J5994" s="26" t="str">
        <f>IF(OR(E5994="",E5994="!!!",F5994="NEW"),"",COUNTBLANK(OFFSET(A$1,,,SUMPRODUCT(MAX(ROW(E$2:E5994)*(E5994=E$2:E5994)))))-COUNTBLANK(OFFSET(A$1,,,SUMPRODUCT(MAX(ROW(E$1:E5993)*(E2=E$1:E5993))))))</f>
        <v> </v>
      </c>
      <c r="K5994" s="26" t="str">
        <f>IF(OR(E5994="",E5994="!!!",F5994="NEW"),"",INDEX(J$1:J5993,SUMPRODUCT(MAX(ROW(E$1:E5993)*(E5994=E$1:E5993)))))</f>
        <v> </v>
      </c>
      <c r="L5994" s="27"/>
    </row>
    <row r="5995" spans="1:12">
      <c r="A5995" s="20" t="s">
        <v>1044</v>
      </c>
      <c r="B5995" s="21" t="s">
        <v>1088</v>
      </c>
      <c r="C5995" s="21" t="s">
        <v>996</v>
      </c>
      <c r="D5995" s="21" t="s">
        <v>997</v>
      </c>
      <c r="E5995" s="22">
        <f>IF(D5995="?OLD","!!!","")</f>
        <v/>
      </c>
      <c r="F5995" s="23" t="str">
        <f>IF(OR(E5995="",E5995="!!!"),"",IF(NOT(ISNA(VLOOKUP(E5995,E$1:E5994,1,FALSE()))),"OLD",IF(AND(E5995&lt;&gt;"",E5995&lt;&gt;"!!!"),"NEW","")))</f>
        <v> </v>
      </c>
      <c r="G5995" s="24" t="str">
        <f>IF(OR(E5995="",E5995="!!!"),"",IF(OR(J5995=0,AND(J5995=1,K5995=1),AND(J5995=1,I5995="SBJ"),AND(J5995=1,I5995=0)),"?IN_FOCUS",IF(J5995&lt;=2,"?ACTIVATED",IF(J5995&lt;&gt;"","?FAMILIAR",IF(F5995="NEW",IF(ISNA(VLOOKUP(E5995,#REF!,1,FALSE())),"?TYPE_IDENTIFIABLE","?REFERENTIAL"),"_")))))</f>
        <v> </v>
      </c>
      <c r="H5995" s="25" t="str">
        <f>IF(J5995&lt;&gt;1,"",IF(I5995="SBJ","CB","?"))</f>
        <v> </v>
      </c>
      <c r="I5995" s="26" t="str">
        <f>IF(OR(E5995="",E5995="!!!",F5995="NEW"),"",INDEX(B5994:B$2,-1+SUMPRODUCT(MAX(ROW(E5994:E$2)*(E5995=E5994:E$2)))))</f>
        <v> </v>
      </c>
      <c r="J5995" s="26" t="str">
        <f>IF(OR(E5995="",E5995="!!!",F5995="NEW"),"",COUNTBLANK(OFFSET(A$1,,,SUMPRODUCT(MAX(ROW(E$2:E5995)*(E5995=E$2:E5995)))))-COUNTBLANK(OFFSET(A$1,,,SUMPRODUCT(MAX(ROW(E$1:E5994)*(E2=E$1:E5994))))))</f>
        <v> </v>
      </c>
      <c r="K5995" s="26" t="str">
        <f>IF(OR(E5995="",E5995="!!!",F5995="NEW"),"",INDEX(J$1:J5994,SUMPRODUCT(MAX(ROW(E$1:E5994)*(E5995=E$1:E5994)))))</f>
        <v> </v>
      </c>
      <c r="L5995" s="27"/>
    </row>
    <row r="5996" spans="1:12">
      <c r="A5996" s="20" t="s">
        <v>2517</v>
      </c>
      <c r="E5996" s="22">
        <f>IF(D5996="?OLD","!!!","")</f>
        <v/>
      </c>
      <c r="F5996" s="23" t="str">
        <f>IF(OR(E5996="",E5996="!!!"),"",IF(NOT(ISNA(VLOOKUP(E5996,E$1:E5995,1,FALSE()))),"OLD",IF(AND(E5996&lt;&gt;"",E5996&lt;&gt;"!!!"),"NEW","")))</f>
        <v> </v>
      </c>
      <c r="G5996" s="24" t="str">
        <f>IF(OR(E5996="",E5996="!!!"),"",IF(OR(J5996=0,AND(J5996=1,K5996=1),AND(J5996=1,I5996="SBJ"),AND(J5996=1,I5996=0)),"?IN_FOCUS",IF(J5996&lt;=2,"?ACTIVATED",IF(J5996&lt;&gt;"","?FAMILIAR",IF(F5996="NEW",IF(ISNA(VLOOKUP(E5996,#REF!,1,FALSE())),"?TYPE_IDENTIFIABLE","?REFERENTIAL"),"_")))))</f>
        <v> </v>
      </c>
      <c r="H5996" s="25" t="str">
        <f>IF(J5996&lt;&gt;1,"",IF(I5996="SBJ","CB","?"))</f>
        <v> </v>
      </c>
      <c r="I5996" s="26" t="str">
        <f>IF(OR(E5996="",E5996="!!!",F5996="NEW"),"",INDEX(B5995:B$2,-1+SUMPRODUCT(MAX(ROW(E5995:E$2)*(E5996=E5995:E$2)))))</f>
        <v> </v>
      </c>
      <c r="J5996" s="26" t="str">
        <f>IF(OR(E5996="",E5996="!!!",F5996="NEW"),"",COUNTBLANK(OFFSET(A$1,,,SUMPRODUCT(MAX(ROW(E$2:E5996)*(E5996=E$2:E5996)))))-COUNTBLANK(OFFSET(A$1,,,SUMPRODUCT(MAX(ROW(E$1:E5995)*(E2=E$1:E5995))))))</f>
        <v> </v>
      </c>
      <c r="K5996" s="26" t="str">
        <f>IF(OR(E5996="",E5996="!!!",F5996="NEW"),"",INDEX(J$1:J5995,SUMPRODUCT(MAX(ROW(E$1:E5995)*(E5996=E$1:E5995)))))</f>
        <v> </v>
      </c>
      <c r="L5996" s="27"/>
    </row>
    <row r="5997" spans="1:12">
      <c r="A5997" s="20" t="s">
        <v>1109</v>
      </c>
      <c r="E5997" s="22">
        <f>IF(D5997="?OLD","!!!","")</f>
        <v/>
      </c>
      <c r="F5997" s="23" t="str">
        <f>IF(OR(E5997="",E5997="!!!"),"",IF(NOT(ISNA(VLOOKUP(E5997,E$1:E5996,1,FALSE()))),"OLD",IF(AND(E5997&lt;&gt;"",E5997&lt;&gt;"!!!"),"NEW","")))</f>
        <v> </v>
      </c>
      <c r="G5997" s="24" t="str">
        <f>IF(OR(E5997="",E5997="!!!"),"",IF(OR(J5997=0,AND(J5997=1,K5997=1),AND(J5997=1,I5997="SBJ"),AND(J5997=1,I5997=0)),"?IN_FOCUS",IF(J5997&lt;=2,"?ACTIVATED",IF(J5997&lt;&gt;"","?FAMILIAR",IF(F5997="NEW",IF(ISNA(VLOOKUP(E5997,#REF!,1,FALSE())),"?TYPE_IDENTIFIABLE","?REFERENTIAL"),"_")))))</f>
        <v> </v>
      </c>
      <c r="H5997" s="25" t="str">
        <f>IF(J5997&lt;&gt;1,"",IF(I5997="SBJ","CB","?"))</f>
        <v> </v>
      </c>
      <c r="I5997" s="26" t="str">
        <f>IF(OR(E5997="",E5997="!!!",F5997="NEW"),"",INDEX(B5996:B$2,-1+SUMPRODUCT(MAX(ROW(E5996:E$2)*(E5997=E5996:E$2)))))</f>
        <v> </v>
      </c>
      <c r="J5997" s="26" t="str">
        <f>IF(OR(E5997="",E5997="!!!",F5997="NEW"),"",COUNTBLANK(OFFSET(A$1,,,SUMPRODUCT(MAX(ROW(E$2:E5997)*(E5997=E$2:E5997)))))-COUNTBLANK(OFFSET(A$1,,,SUMPRODUCT(MAX(ROW(E$1:E5996)*(E2=E$1:E5996))))))</f>
        <v> </v>
      </c>
      <c r="K5997" s="26" t="str">
        <f>IF(OR(E5997="",E5997="!!!",F5997="NEW"),"",INDEX(J$1:J5996,SUMPRODUCT(MAX(ROW(E$1:E5996)*(E5997=E$1:E5996)))))</f>
        <v> </v>
      </c>
      <c r="L5997" s="27"/>
    </row>
    <row r="5998" spans="1:12">
      <c r="A5998" s="20" t="s">
        <v>1202</v>
      </c>
      <c r="E5998" s="22">
        <f>IF(D5998="?OLD","!!!","")</f>
        <v/>
      </c>
      <c r="F5998" s="23" t="str">
        <f>IF(OR(E5998="",E5998="!!!"),"",IF(NOT(ISNA(VLOOKUP(E5998,E$1:E5997,1,FALSE()))),"OLD",IF(AND(E5998&lt;&gt;"",E5998&lt;&gt;"!!!"),"NEW","")))</f>
        <v> </v>
      </c>
      <c r="G5998" s="24" t="str">
        <f>IF(OR(E5998="",E5998="!!!"),"",IF(OR(J5998=0,AND(J5998=1,K5998=1),AND(J5998=1,I5998="SBJ"),AND(J5998=1,I5998=0)),"?IN_FOCUS",IF(J5998&lt;=2,"?ACTIVATED",IF(J5998&lt;&gt;"","?FAMILIAR",IF(F5998="NEW",IF(ISNA(VLOOKUP(E5998,#REF!,1,FALSE())),"?TYPE_IDENTIFIABLE","?REFERENTIAL"),"_")))))</f>
        <v> </v>
      </c>
      <c r="H5998" s="25" t="str">
        <f>IF(J5998&lt;&gt;1,"",IF(I5998="SBJ","CB","?"))</f>
        <v> </v>
      </c>
      <c r="I5998" s="26" t="str">
        <f>IF(OR(E5998="",E5998="!!!",F5998="NEW"),"",INDEX(B5997:B$2,-1+SUMPRODUCT(MAX(ROW(E5997:E$2)*(E5998=E5997:E$2)))))</f>
        <v> </v>
      </c>
      <c r="J5998" s="26" t="str">
        <f>IF(OR(E5998="",E5998="!!!",F5998="NEW"),"",COUNTBLANK(OFFSET(A$1,,,SUMPRODUCT(MAX(ROW(E$2:E5998)*(E5998=E$2:E5998)))))-COUNTBLANK(OFFSET(A$1,,,SUMPRODUCT(MAX(ROW(E$1:E5997)*(E2=E$1:E5997))))))</f>
        <v> </v>
      </c>
      <c r="K5998" s="26" t="str">
        <f>IF(OR(E5998="",E5998="!!!",F5998="NEW"),"",INDEX(J$1:J5997,SUMPRODUCT(MAX(ROW(E$1:E5997)*(E5998=E$1:E5997)))))</f>
        <v> </v>
      </c>
      <c r="L5998" s="27"/>
    </row>
    <row r="5999" spans="1:12">
      <c r="A5999" s="20" t="s">
        <v>2448</v>
      </c>
      <c r="B5999" s="21" t="s">
        <v>1024</v>
      </c>
      <c r="C5999" s="21" t="s">
        <v>1068</v>
      </c>
      <c r="D5999" s="21" t="s">
        <v>997</v>
      </c>
      <c r="E5999" s="22">
        <f>IF(D5999="?OLD","!!!","")</f>
        <v/>
      </c>
      <c r="F5999" s="23" t="str">
        <f>IF(OR(E5999="",E5999="!!!"),"",IF(NOT(ISNA(VLOOKUP(E5999,E$1:E5998,1,FALSE()))),"OLD",IF(AND(E5999&lt;&gt;"",E5999&lt;&gt;"!!!"),"NEW","")))</f>
        <v> </v>
      </c>
      <c r="G5999" s="24" t="str">
        <f>IF(OR(E5999="",E5999="!!!"),"",IF(OR(J5999=0,AND(J5999=1,K5999=1),AND(J5999=1,I5999="SBJ"),AND(J5999=1,I5999=0)),"?IN_FOCUS",IF(J5999&lt;=2,"?ACTIVATED",IF(J5999&lt;&gt;"","?FAMILIAR",IF(F5999="NEW",IF(ISNA(VLOOKUP(E5999,#REF!,1,FALSE())),"?TYPE_IDENTIFIABLE","?REFERENTIAL"),"_")))))</f>
        <v> </v>
      </c>
      <c r="H5999" s="25" t="str">
        <f>IF(J5999&lt;&gt;1,"",IF(I5999="SBJ","CB","?"))</f>
        <v> </v>
      </c>
      <c r="I5999" s="26" t="str">
        <f>IF(OR(E5999="",E5999="!!!",F5999="NEW"),"",INDEX(B5998:B$2,-1+SUMPRODUCT(MAX(ROW(E5998:E$2)*(E5999=E5998:E$2)))))</f>
        <v> </v>
      </c>
      <c r="J5999" s="26" t="str">
        <f>IF(OR(E5999="",E5999="!!!",F5999="NEW"),"",COUNTBLANK(OFFSET(A$1,,,SUMPRODUCT(MAX(ROW(E$2:E5999)*(E5999=E$2:E5999)))))-COUNTBLANK(OFFSET(A$1,,,SUMPRODUCT(MAX(ROW(E$1:E5998)*(E2=E$1:E5998))))))</f>
        <v> </v>
      </c>
      <c r="K5999" s="26" t="str">
        <f>IF(OR(E5999="",E5999="!!!",F5999="NEW"),"",INDEX(J$1:J5998,SUMPRODUCT(MAX(ROW(E$1:E5998)*(E5999=E$1:E5998)))))</f>
        <v> </v>
      </c>
      <c r="L5999" s="27"/>
    </row>
    <row r="6000" spans="1:12">
      <c r="A6000" s="20" t="s">
        <v>1011</v>
      </c>
      <c r="E6000" s="22">
        <f>IF(D6000="?OLD","!!!","")</f>
        <v/>
      </c>
      <c r="F6000" s="23" t="str">
        <f>IF(OR(E6000="",E6000="!!!"),"",IF(NOT(ISNA(VLOOKUP(E6000,E$1:E5999,1,FALSE()))),"OLD",IF(AND(E6000&lt;&gt;"",E6000&lt;&gt;"!!!"),"NEW","")))</f>
        <v> </v>
      </c>
      <c r="G6000" s="24" t="str">
        <f>IF(OR(E6000="",E6000="!!!"),"",IF(OR(J6000=0,AND(J6000=1,K6000=1),AND(J6000=1,I6000="SBJ"),AND(J6000=1,I6000=0)),"?IN_FOCUS",IF(J6000&lt;=2,"?ACTIVATED",IF(J6000&lt;&gt;"","?FAMILIAR",IF(F6000="NEW",IF(ISNA(VLOOKUP(E6000,#REF!,1,FALSE())),"?TYPE_IDENTIFIABLE","?REFERENTIAL"),"_")))))</f>
        <v> </v>
      </c>
      <c r="H6000" s="25" t="str">
        <f>IF(J6000&lt;&gt;1,"",IF(I6000="SBJ","CB","?"))</f>
        <v> </v>
      </c>
      <c r="I6000" s="26" t="str">
        <f>IF(OR(E6000="",E6000="!!!",F6000="NEW"),"",INDEX(B5999:B$2,-1+SUMPRODUCT(MAX(ROW(E5999:E$2)*(E6000=E5999:E$2)))))</f>
        <v> </v>
      </c>
      <c r="J6000" s="26" t="str">
        <f>IF(OR(E6000="",E6000="!!!",F6000="NEW"),"",COUNTBLANK(OFFSET(A$1,,,SUMPRODUCT(MAX(ROW(E$2:E6000)*(E6000=E$2:E6000)))))-COUNTBLANK(OFFSET(A$1,,,SUMPRODUCT(MAX(ROW(E$1:E5999)*(E2=E$1:E5999))))))</f>
        <v> </v>
      </c>
      <c r="K6000" s="26" t="str">
        <f>IF(OR(E6000="",E6000="!!!",F6000="NEW"),"",INDEX(J$1:J5999,SUMPRODUCT(MAX(ROW(E$1:E5999)*(E6000=E$1:E5999)))))</f>
        <v> </v>
      </c>
      <c r="L6000" s="27"/>
    </row>
    <row r="6001" spans="1:12">
      <c r="A6001" s="20"/>
    </row>
    <row r="6002" spans="1:12">
      <c r="A6002" s="20" t="s">
        <v>1457</v>
      </c>
      <c r="E6002" s="22">
        <f>IF(D6002="?OLD","!!!","")</f>
        <v/>
      </c>
      <c r="F6002" s="23" t="str">
        <f>IF(OR(E6002="",E6002="!!!"),"",IF(NOT(ISNA(VLOOKUP(E6002,E$1:E6001,1,FALSE()))),"OLD",IF(AND(E6002&lt;&gt;"",E6002&lt;&gt;"!!!"),"NEW","")))</f>
        <v> </v>
      </c>
      <c r="G6002" s="24" t="str">
        <f>IF(OR(E6002="",E6002="!!!"),"",IF(OR(J6002=0,AND(J6002=1,K6002=1),AND(J6002=1,I6002="SBJ"),AND(J6002=1,I6002=0)),"?IN_FOCUS",IF(J6002&lt;=2,"?ACTIVATED",IF(J6002&lt;&gt;"","?FAMILIAR",IF(F6002="NEW",IF(ISNA(VLOOKUP(E6002,#REF!,1,FALSE())),"?TYPE_IDENTIFIABLE","?REFERENTIAL"),"_")))))</f>
        <v> </v>
      </c>
      <c r="H6002" s="25" t="str">
        <f>IF(J6002&lt;&gt;1,"",IF(I6002="SBJ","CB","?"))</f>
        <v> </v>
      </c>
      <c r="I6002" s="26" t="str">
        <f>IF(OR(E6002="",E6002="!!!",F6002="NEW"),"",INDEX(B6001:B$2,-1+SUMPRODUCT(MAX(ROW(E6001:E$2)*(E6002=E6001:E$2)))))</f>
        <v> </v>
      </c>
      <c r="J6002" s="26" t="str">
        <f>IF(OR(E6002="",E6002="!!!",F6002="NEW"),"",COUNTBLANK(OFFSET(A$1,,,SUMPRODUCT(MAX(ROW(E$2:E6002)*(E6002=E$2:E6002)))))-COUNTBLANK(OFFSET(A$1,,,SUMPRODUCT(MAX(ROW(E$1:E6001)*(E2=E$1:E6001))))))</f>
        <v> </v>
      </c>
      <c r="K6002" s="26" t="str">
        <f>IF(OR(E6002="",E6002="!!!",F6002="NEW"),"",INDEX(J$1:J6001,SUMPRODUCT(MAX(ROW(E$1:E6001)*(E6002=E$1:E6001)))))</f>
        <v> </v>
      </c>
      <c r="L6002" s="27"/>
    </row>
    <row r="6003" spans="1:12">
      <c r="A6003" s="20" t="s">
        <v>2518</v>
      </c>
    </row>
    <row r="6004" spans="1:12">
      <c r="A6004" s="20" t="s">
        <v>1059</v>
      </c>
      <c r="E6004" s="22">
        <f>IF(D6004="?OLD","!!!","")</f>
        <v/>
      </c>
      <c r="F6004" s="23" t="str">
        <f>IF(OR(E6004="",E6004="!!!"),"",IF(NOT(ISNA(VLOOKUP(E6004,E$1:E6003,1,FALSE()))),"OLD",IF(AND(E6004&lt;&gt;"",E6004&lt;&gt;"!!!"),"NEW","")))</f>
        <v> </v>
      </c>
      <c r="G6004" s="24" t="str">
        <f>IF(OR(E6004="",E6004="!!!"),"",IF(OR(J6004=0,AND(J6004=1,K6004=1),AND(J6004=1,I6004="SBJ"),AND(J6004=1,I6004=0)),"?IN_FOCUS",IF(J6004&lt;=2,"?ACTIVATED",IF(J6004&lt;&gt;"","?FAMILIAR",IF(F6004="NEW",IF(ISNA(VLOOKUP(E6004,#REF!,1,FALSE())),"?TYPE_IDENTIFIABLE","?REFERENTIAL"),"_")))))</f>
        <v> </v>
      </c>
      <c r="H6004" s="25" t="str">
        <f>IF(J6004&lt;&gt;1,"",IF(I6004="SBJ","CB","?"))</f>
        <v> </v>
      </c>
      <c r="I6004" s="26" t="str">
        <f>IF(OR(E6004="",E6004="!!!",F6004="NEW"),"",INDEX(B6003:B$2,-1+SUMPRODUCT(MAX(ROW(E6003:E$2)*(E6004=E6003:E$2)))))</f>
        <v> </v>
      </c>
      <c r="J6004" s="26" t="str">
        <f>IF(OR(E6004="",E6004="!!!",F6004="NEW"),"",COUNTBLANK(OFFSET(A$1,,,SUMPRODUCT(MAX(ROW(E$2:E6004)*(E6004=E$2:E6004)))))-COUNTBLANK(OFFSET(A$1,,,SUMPRODUCT(MAX(ROW(E$1:E6003)*(E2=E$1:E6003))))))</f>
        <v> </v>
      </c>
      <c r="K6004" s="26" t="str">
        <f>IF(OR(E6004="",E6004="!!!",F6004="NEW"),"",INDEX(J$1:J6003,SUMPRODUCT(MAX(ROW(E$1:E6003)*(E6004=E$1:E6003)))))</f>
        <v> </v>
      </c>
      <c r="L6004" s="27"/>
    </row>
    <row r="6005" spans="1:12">
      <c r="A6005" s="20" t="s">
        <v>1023</v>
      </c>
      <c r="B6005" s="21" t="s">
        <v>1005</v>
      </c>
      <c r="C6005" s="21" t="s">
        <v>1025</v>
      </c>
      <c r="D6005" s="21" t="s">
        <v>997</v>
      </c>
      <c r="E6005" s="22">
        <f>IF(D6005="?OLD","!!!","")</f>
        <v/>
      </c>
      <c r="F6005" s="23" t="str">
        <f>IF(OR(E6005="",E6005="!!!"),"",IF(NOT(ISNA(VLOOKUP(E6005,E$1:E6004,1,FALSE()))),"OLD",IF(AND(E6005&lt;&gt;"",E6005&lt;&gt;"!!!"),"NEW","")))</f>
        <v> </v>
      </c>
      <c r="G6005" s="24" t="str">
        <f>IF(OR(E6005="",E6005="!!!"),"",IF(OR(J6005=0,AND(J6005=1,K6005=1),AND(J6005=1,I6005="SBJ"),AND(J6005=1,I6005=0)),"?IN_FOCUS",IF(J6005&lt;=2,"?ACTIVATED",IF(J6005&lt;&gt;"","?FAMILIAR",IF(F6005="NEW",IF(ISNA(VLOOKUP(E6005,#REF!,1,FALSE())),"?TYPE_IDENTIFIABLE","?REFERENTIAL"),"_")))))</f>
        <v> </v>
      </c>
      <c r="H6005" s="25" t="str">
        <f>IF(J6005&lt;&gt;1,"",IF(I6005="SBJ","CB","?"))</f>
        <v> </v>
      </c>
      <c r="I6005" s="26" t="str">
        <f>IF(OR(E6005="",E6005="!!!",F6005="NEW"),"",INDEX(B6004:B$2,-1+SUMPRODUCT(MAX(ROW(E6004:E$2)*(E6005=E6004:E$2)))))</f>
        <v> </v>
      </c>
      <c r="J6005" s="26" t="str">
        <f>IF(OR(E6005="",E6005="!!!",F6005="NEW"),"",COUNTBLANK(OFFSET(A$1,,,SUMPRODUCT(MAX(ROW(E$2:E6005)*(E6005=E$2:E6005)))))-COUNTBLANK(OFFSET(A$1,,,SUMPRODUCT(MAX(ROW(E$1:E6004)*(E2=E$1:E6004))))))</f>
        <v> </v>
      </c>
      <c r="K6005" s="26" t="str">
        <f>IF(OR(E6005="",E6005="!!!",F6005="NEW"),"",INDEX(J$1:J6004,SUMPRODUCT(MAX(ROW(E$1:E6004)*(E6005=E$1:E6004)))))</f>
        <v> </v>
      </c>
      <c r="L6005" s="27"/>
    </row>
    <row r="6006" spans="1:12">
      <c r="A6006" s="20" t="s">
        <v>2519</v>
      </c>
      <c r="B6006" s="21" t="s">
        <v>995</v>
      </c>
      <c r="C6006" s="21" t="s">
        <v>1028</v>
      </c>
      <c r="D6006" s="21" t="s">
        <v>997</v>
      </c>
      <c r="E6006" s="22">
        <f>IF(D6006="?OLD","!!!","")</f>
        <v/>
      </c>
      <c r="F6006" s="23" t="str">
        <f>IF(OR(E6006="",E6006="!!!"),"",IF(NOT(ISNA(VLOOKUP(E6006,E$1:E6005,1,FALSE()))),"OLD",IF(AND(E6006&lt;&gt;"",E6006&lt;&gt;"!!!"),"NEW","")))</f>
        <v> </v>
      </c>
      <c r="G6006" s="24" t="str">
        <f>IF(OR(E6006="",E6006="!!!"),"",IF(OR(J6006=0,AND(J6006=1,K6006=1),AND(J6006=1,I6006="SBJ"),AND(J6006=1,I6006=0)),"?IN_FOCUS",IF(J6006&lt;=2,"?ACTIVATED",IF(J6006&lt;&gt;"","?FAMILIAR",IF(F6006="NEW",IF(ISNA(VLOOKUP(E6006,#REF!,1,FALSE())),"?TYPE_IDENTIFIABLE","?REFERENTIAL"),"_")))))</f>
        <v> </v>
      </c>
      <c r="H6006" s="25" t="str">
        <f>IF(J6006&lt;&gt;1,"",IF(I6006="SBJ","CB","?"))</f>
        <v> </v>
      </c>
      <c r="I6006" s="26" t="str">
        <f>IF(OR(E6006="",E6006="!!!",F6006="NEW"),"",INDEX(B6005:B$2,-1+SUMPRODUCT(MAX(ROW(E6005:E$2)*(E6006=E6005:E$2)))))</f>
        <v> </v>
      </c>
      <c r="J6006" s="26" t="str">
        <f>IF(OR(E6006="",E6006="!!!",F6006="NEW"),"",COUNTBLANK(OFFSET(A$1,,,SUMPRODUCT(MAX(ROW(E$2:E6006)*(E6006=E$2:E6006)))))-COUNTBLANK(OFFSET(A$1,,,SUMPRODUCT(MAX(ROW(E$1:E6005)*(E2=E$1:E6005))))))</f>
        <v> </v>
      </c>
      <c r="K6006" s="26" t="str">
        <f>IF(OR(E6006="",E6006="!!!",F6006="NEW"),"",INDEX(J$1:J6005,SUMPRODUCT(MAX(ROW(E$1:E6005)*(E6006=E$1:E6005)))))</f>
        <v> </v>
      </c>
      <c r="L6006" s="27"/>
    </row>
    <row r="6007" spans="1:12">
      <c r="A6007" s="20" t="s">
        <v>423</v>
      </c>
      <c r="E6007" s="22">
        <f>IF(D6007="?OLD","!!!","")</f>
        <v/>
      </c>
      <c r="F6007" s="23" t="str">
        <f>IF(OR(E6007="",E6007="!!!"),"",IF(NOT(ISNA(VLOOKUP(E6007,E$1:E6006,1,FALSE()))),"OLD",IF(AND(E6007&lt;&gt;"",E6007&lt;&gt;"!!!"),"NEW","")))</f>
        <v> </v>
      </c>
      <c r="G6007" s="24" t="str">
        <f>IF(OR(E6007="",E6007="!!!"),"",IF(OR(J6007=0,AND(J6007=1,K6007=1),AND(J6007=1,I6007="SBJ"),AND(J6007=1,I6007=0)),"?IN_FOCUS",IF(J6007&lt;=2,"?ACTIVATED",IF(J6007&lt;&gt;"","?FAMILIAR",IF(F6007="NEW",IF(ISNA(VLOOKUP(E6007,#REF!,1,FALSE())),"?TYPE_IDENTIFIABLE","?REFERENTIAL"),"_")))))</f>
        <v> </v>
      </c>
      <c r="H6007" s="25" t="str">
        <f>IF(J6007&lt;&gt;1,"",IF(I6007="SBJ","CB","?"))</f>
        <v> </v>
      </c>
      <c r="I6007" s="26" t="str">
        <f>IF(OR(E6007="",E6007="!!!",F6007="NEW"),"",INDEX(B6006:B$2,-1+SUMPRODUCT(MAX(ROW(E6006:E$2)*(E6007=E6006:E$2)))))</f>
        <v> </v>
      </c>
      <c r="J6007" s="26" t="str">
        <f>IF(OR(E6007="",E6007="!!!",F6007="NEW"),"",COUNTBLANK(OFFSET(A$1,,,SUMPRODUCT(MAX(ROW(E$2:E6007)*(E6007=E$2:E6007)))))-COUNTBLANK(OFFSET(A$1,,,SUMPRODUCT(MAX(ROW(E$1:E6006)*(E2=E$1:E6006))))))</f>
        <v> </v>
      </c>
      <c r="K6007" s="26" t="str">
        <f>IF(OR(E6007="",E6007="!!!",F6007="NEW"),"",INDEX(J$1:J6006,SUMPRODUCT(MAX(ROW(E$1:E6006)*(E6007=E$1:E6006)))))</f>
        <v> </v>
      </c>
      <c r="L6007" s="27"/>
    </row>
    <row r="6008" spans="1:12">
      <c r="A6008" s="20" t="s">
        <v>1022</v>
      </c>
      <c r="E6008" s="22">
        <f>IF(D6008="?OLD","!!!","")</f>
        <v/>
      </c>
      <c r="F6008" s="23" t="str">
        <f>IF(OR(E6008="",E6008="!!!"),"",IF(NOT(ISNA(VLOOKUP(E6008,E$1:E6007,1,FALSE()))),"OLD",IF(AND(E6008&lt;&gt;"",E6008&lt;&gt;"!!!"),"NEW","")))</f>
        <v> </v>
      </c>
      <c r="G6008" s="24" t="str">
        <f>IF(OR(E6008="",E6008="!!!"),"",IF(OR(J6008=0,AND(J6008=1,K6008=1),AND(J6008=1,I6008="SBJ"),AND(J6008=1,I6008=0)),"?IN_FOCUS",IF(J6008&lt;=2,"?ACTIVATED",IF(J6008&lt;&gt;"","?FAMILIAR",IF(F6008="NEW",IF(ISNA(VLOOKUP(E6008,#REF!,1,FALSE())),"?TYPE_IDENTIFIABLE","?REFERENTIAL"),"_")))))</f>
        <v> </v>
      </c>
      <c r="H6008" s="25" t="str">
        <f>IF(J6008&lt;&gt;1,"",IF(I6008="SBJ","CB","?"))</f>
        <v> </v>
      </c>
      <c r="I6008" s="26" t="str">
        <f>IF(OR(E6008="",E6008="!!!",F6008="NEW"),"",INDEX(B6007:B$2,-1+SUMPRODUCT(MAX(ROW(E6007:E$2)*(E6008=E6007:E$2)))))</f>
        <v> </v>
      </c>
      <c r="J6008" s="26" t="str">
        <f>IF(OR(E6008="",E6008="!!!",F6008="NEW"),"",COUNTBLANK(OFFSET(A$1,,,SUMPRODUCT(MAX(ROW(E$2:E6008)*(E6008=E$2:E6008)))))-COUNTBLANK(OFFSET(A$1,,,SUMPRODUCT(MAX(ROW(E$1:E6007)*(E2=E$1:E6007))))))</f>
        <v> </v>
      </c>
      <c r="K6008" s="26" t="str">
        <f>IF(OR(E6008="",E6008="!!!",F6008="NEW"),"",INDEX(J$1:J6007,SUMPRODUCT(MAX(ROW(E$1:E6007)*(E6008=E$1:E6007)))))</f>
        <v> </v>
      </c>
      <c r="L6008" s="27"/>
    </row>
    <row r="6009" spans="1:12">
      <c r="A6009" s="20" t="s">
        <v>1041</v>
      </c>
      <c r="E6009" s="22">
        <f>IF(D6009="?OLD","!!!","")</f>
        <v/>
      </c>
      <c r="F6009" s="23" t="str">
        <f>IF(OR(E6009="",E6009="!!!"),"",IF(NOT(ISNA(VLOOKUP(E6009,E$1:E6008,1,FALSE()))),"OLD",IF(AND(E6009&lt;&gt;"",E6009&lt;&gt;"!!!"),"NEW","")))</f>
        <v> </v>
      </c>
      <c r="G6009" s="24" t="str">
        <f>IF(OR(E6009="",E6009="!!!"),"",IF(OR(J6009=0,AND(J6009=1,K6009=1),AND(J6009=1,I6009="SBJ"),AND(J6009=1,I6009=0)),"?IN_FOCUS",IF(J6009&lt;=2,"?ACTIVATED",IF(J6009&lt;&gt;"","?FAMILIAR",IF(F6009="NEW",IF(ISNA(VLOOKUP(E6009,#REF!,1,FALSE())),"?TYPE_IDENTIFIABLE","?REFERENTIAL"),"_")))))</f>
        <v> </v>
      </c>
      <c r="H6009" s="25" t="str">
        <f>IF(J6009&lt;&gt;1,"",IF(I6009="SBJ","CB","?"))</f>
        <v> </v>
      </c>
      <c r="I6009" s="26" t="str">
        <f>IF(OR(E6009="",E6009="!!!",F6009="NEW"),"",INDEX(B6008:B$2,-1+SUMPRODUCT(MAX(ROW(E6008:E$2)*(E6009=E6008:E$2)))))</f>
        <v> </v>
      </c>
      <c r="J6009" s="26" t="str">
        <f>IF(OR(E6009="",E6009="!!!",F6009="NEW"),"",COUNTBLANK(OFFSET(A$1,,,SUMPRODUCT(MAX(ROW(E$2:E6009)*(E6009=E$2:E6009)))))-COUNTBLANK(OFFSET(A$1,,,SUMPRODUCT(MAX(ROW(E$1:E6008)*(E2=E$1:E6008))))))</f>
        <v> </v>
      </c>
      <c r="K6009" s="26" t="str">
        <f>IF(OR(E6009="",E6009="!!!",F6009="NEW"),"",INDEX(J$1:J6008,SUMPRODUCT(MAX(ROW(E$1:E6008)*(E6009=E$1:E6008)))))</f>
        <v> </v>
      </c>
      <c r="L6009" s="27"/>
    </row>
    <row r="6010" spans="1:12">
      <c r="A6010" s="20" t="s">
        <v>1141</v>
      </c>
      <c r="E6010" s="22">
        <f>IF(D6010="?OLD","!!!","")</f>
        <v/>
      </c>
      <c r="F6010" s="23" t="str">
        <f>IF(OR(E6010="",E6010="!!!"),"",IF(NOT(ISNA(VLOOKUP(E6010,E$1:E6009,1,FALSE()))),"OLD",IF(AND(E6010&lt;&gt;"",E6010&lt;&gt;"!!!"),"NEW","")))</f>
        <v> </v>
      </c>
      <c r="G6010" s="24" t="str">
        <f>IF(OR(E6010="",E6010="!!!"),"",IF(OR(J6010=0,AND(J6010=1,K6010=1),AND(J6010=1,I6010="SBJ"),AND(J6010=1,I6010=0)),"?IN_FOCUS",IF(J6010&lt;=2,"?ACTIVATED",IF(J6010&lt;&gt;"","?FAMILIAR",IF(F6010="NEW",IF(ISNA(VLOOKUP(E6010,#REF!,1,FALSE())),"?TYPE_IDENTIFIABLE","?REFERENTIAL"),"_")))))</f>
        <v> </v>
      </c>
      <c r="H6010" s="25" t="str">
        <f>IF(J6010&lt;&gt;1,"",IF(I6010="SBJ","CB","?"))</f>
        <v> </v>
      </c>
      <c r="I6010" s="26" t="str">
        <f>IF(OR(E6010="",E6010="!!!",F6010="NEW"),"",INDEX(B6009:B$2,-1+SUMPRODUCT(MAX(ROW(E6009:E$2)*(E6010=E6009:E$2)))))</f>
        <v> </v>
      </c>
      <c r="J6010" s="26" t="str">
        <f>IF(OR(E6010="",E6010="!!!",F6010="NEW"),"",COUNTBLANK(OFFSET(A$1,,,SUMPRODUCT(MAX(ROW(E$2:E6010)*(E6010=E$2:E6010)))))-COUNTBLANK(OFFSET(A$1,,,SUMPRODUCT(MAX(ROW(E$1:E6009)*(E2=E$1:E6009))))))</f>
        <v> </v>
      </c>
      <c r="K6010" s="26" t="str">
        <f>IF(OR(E6010="",E6010="!!!",F6010="NEW"),"",INDEX(J$1:J6009,SUMPRODUCT(MAX(ROW(E$1:E6009)*(E6010=E$1:E6009)))))</f>
        <v> </v>
      </c>
      <c r="L6010" s="27"/>
    </row>
    <row r="6011" spans="1:12">
      <c r="A6011" s="20" t="s">
        <v>1000</v>
      </c>
      <c r="B6011" s="21" t="s">
        <v>1142</v>
      </c>
      <c r="C6011" s="21" t="s">
        <v>996</v>
      </c>
      <c r="D6011" s="21" t="s">
        <v>997</v>
      </c>
      <c r="E6011" s="22">
        <f>IF(D6011="?OLD","!!!","")</f>
        <v/>
      </c>
      <c r="F6011" s="23" t="str">
        <f>IF(OR(E6011="",E6011="!!!"),"",IF(NOT(ISNA(VLOOKUP(E6011,E$1:E6010,1,FALSE()))),"OLD",IF(AND(E6011&lt;&gt;"",E6011&lt;&gt;"!!!"),"NEW","")))</f>
        <v> </v>
      </c>
      <c r="G6011" s="24" t="str">
        <f>IF(OR(E6011="",E6011="!!!"),"",IF(OR(J6011=0,AND(J6011=1,K6011=1),AND(J6011=1,I6011="SBJ"),AND(J6011=1,I6011=0)),"?IN_FOCUS",IF(J6011&lt;=2,"?ACTIVATED",IF(J6011&lt;&gt;"","?FAMILIAR",IF(F6011="NEW",IF(ISNA(VLOOKUP(E6011,#REF!,1,FALSE())),"?TYPE_IDENTIFIABLE","?REFERENTIAL"),"_")))))</f>
        <v> </v>
      </c>
      <c r="H6011" s="25" t="str">
        <f>IF(J6011&lt;&gt;1,"",IF(I6011="SBJ","CB","?"))</f>
        <v> </v>
      </c>
      <c r="I6011" s="26" t="str">
        <f>IF(OR(E6011="",E6011="!!!",F6011="NEW"),"",INDEX(B6010:B$2,-1+SUMPRODUCT(MAX(ROW(E6010:E$2)*(E6011=E6010:E$2)))))</f>
        <v> </v>
      </c>
      <c r="J6011" s="26" t="str">
        <f>IF(OR(E6011="",E6011="!!!",F6011="NEW"),"",COUNTBLANK(OFFSET(A$1,,,SUMPRODUCT(MAX(ROW(E$2:E6011)*(E6011=E$2:E6011)))))-COUNTBLANK(OFFSET(A$1,,,SUMPRODUCT(MAX(ROW(E$1:E6010)*(E2=E$1:E6010))))))</f>
        <v> </v>
      </c>
      <c r="K6011" s="26" t="str">
        <f>IF(OR(E6011="",E6011="!!!",F6011="NEW"),"",INDEX(J$1:J6010,SUMPRODUCT(MAX(ROW(E$1:E6010)*(E6011=E$1:E6010)))))</f>
        <v> </v>
      </c>
      <c r="L6011" s="27"/>
    </row>
    <row r="6012" spans="1:12">
      <c r="A6012" s="20" t="s">
        <v>1723</v>
      </c>
      <c r="E6012" s="22">
        <f>IF(D6012="?OLD","!!!","")</f>
        <v/>
      </c>
      <c r="F6012" s="23" t="str">
        <f>IF(OR(E6012="",E6012="!!!"),"",IF(NOT(ISNA(VLOOKUP(E6012,E$1:E6011,1,FALSE()))),"OLD",IF(AND(E6012&lt;&gt;"",E6012&lt;&gt;"!!!"),"NEW","")))</f>
        <v> </v>
      </c>
      <c r="G6012" s="24" t="str">
        <f>IF(OR(E6012="",E6012="!!!"),"",IF(OR(J6012=0,AND(J6012=1,K6012=1),AND(J6012=1,I6012="SBJ"),AND(J6012=1,I6012=0)),"?IN_FOCUS",IF(J6012&lt;=2,"?ACTIVATED",IF(J6012&lt;&gt;"","?FAMILIAR",IF(F6012="NEW",IF(ISNA(VLOOKUP(E6012,#REF!,1,FALSE())),"?TYPE_IDENTIFIABLE","?REFERENTIAL"),"_")))))</f>
        <v> </v>
      </c>
      <c r="H6012" s="25" t="str">
        <f>IF(J6012&lt;&gt;1,"",IF(I6012="SBJ","CB","?"))</f>
        <v> </v>
      </c>
      <c r="I6012" s="26" t="str">
        <f>IF(OR(E6012="",E6012="!!!",F6012="NEW"),"",INDEX(B6011:B$2,-1+SUMPRODUCT(MAX(ROW(E6011:E$2)*(E6012=E6011:E$2)))))</f>
        <v> </v>
      </c>
      <c r="J6012" s="26" t="str">
        <f>IF(OR(E6012="",E6012="!!!",F6012="NEW"),"",COUNTBLANK(OFFSET(A$1,,,SUMPRODUCT(MAX(ROW(E$2:E6012)*(E6012=E$2:E6012)))))-COUNTBLANK(OFFSET(A$1,,,SUMPRODUCT(MAX(ROW(E$1:E6011)*(E2=E$1:E6011))))))</f>
        <v> </v>
      </c>
      <c r="K6012" s="26" t="str">
        <f>IF(OR(E6012="",E6012="!!!",F6012="NEW"),"",INDEX(J$1:J6011,SUMPRODUCT(MAX(ROW(E$1:E6011)*(E6012=E$1:E6011)))))</f>
        <v> </v>
      </c>
      <c r="L6012" s="27"/>
    </row>
    <row r="6013" spans="1:12">
      <c r="A6013" s="20" t="s">
        <v>158</v>
      </c>
      <c r="E6013" s="22">
        <f>IF(D6013="?OLD","!!!","")</f>
        <v/>
      </c>
      <c r="F6013" s="23" t="str">
        <f>IF(OR(E6013="",E6013="!!!"),"",IF(NOT(ISNA(VLOOKUP(E6013,E$1:E6012,1,FALSE()))),"OLD",IF(AND(E6013&lt;&gt;"",E6013&lt;&gt;"!!!"),"NEW","")))</f>
        <v> </v>
      </c>
      <c r="G6013" s="24" t="str">
        <f>IF(OR(E6013="",E6013="!!!"),"",IF(OR(J6013=0,AND(J6013=1,K6013=1),AND(J6013=1,I6013="SBJ"),AND(J6013=1,I6013=0)),"?IN_FOCUS",IF(J6013&lt;=2,"?ACTIVATED",IF(J6013&lt;&gt;"","?FAMILIAR",IF(F6013="NEW",IF(ISNA(VLOOKUP(E6013,#REF!,1,FALSE())),"?TYPE_IDENTIFIABLE","?REFERENTIAL"),"_")))))</f>
        <v> </v>
      </c>
      <c r="H6013" s="25" t="str">
        <f>IF(J6013&lt;&gt;1,"",IF(I6013="SBJ","CB","?"))</f>
        <v> </v>
      </c>
      <c r="I6013" s="26" t="str">
        <f>IF(OR(E6013="",E6013="!!!",F6013="NEW"),"",INDEX(B6012:B$2,-1+SUMPRODUCT(MAX(ROW(E6012:E$2)*(E6013=E6012:E$2)))))</f>
        <v> </v>
      </c>
      <c r="J6013" s="26" t="str">
        <f>IF(OR(E6013="",E6013="!!!",F6013="NEW"),"",COUNTBLANK(OFFSET(A$1,,,SUMPRODUCT(MAX(ROW(E$2:E6013)*(E6013=E$2:E6013)))))-COUNTBLANK(OFFSET(A$1,,,SUMPRODUCT(MAX(ROW(E$1:E6012)*(E2=E$1:E6012))))))</f>
        <v> </v>
      </c>
      <c r="K6013" s="26" t="str">
        <f>IF(OR(E6013="",E6013="!!!",F6013="NEW"),"",INDEX(J$1:J6012,SUMPRODUCT(MAX(ROW(E$1:E6012)*(E6013=E$1:E6012)))))</f>
        <v> </v>
      </c>
      <c r="L6013" s="27"/>
    </row>
    <row r="6014" spans="1:12">
      <c r="A6014" s="20" t="s">
        <v>1022</v>
      </c>
      <c r="E6014" s="22">
        <f>IF(D6014="?OLD","!!!","")</f>
        <v/>
      </c>
      <c r="F6014" s="23" t="str">
        <f>IF(OR(E6014="",E6014="!!!"),"",IF(NOT(ISNA(VLOOKUP(E6014,E$1:E6013,1,FALSE()))),"OLD",IF(AND(E6014&lt;&gt;"",E6014&lt;&gt;"!!!"),"NEW","")))</f>
        <v> </v>
      </c>
      <c r="G6014" s="24" t="str">
        <f>IF(OR(E6014="",E6014="!!!"),"",IF(OR(J6014=0,AND(J6014=1,K6014=1),AND(J6014=1,I6014="SBJ"),AND(J6014=1,I6014=0)),"?IN_FOCUS",IF(J6014&lt;=2,"?ACTIVATED",IF(J6014&lt;&gt;"","?FAMILIAR",IF(F6014="NEW",IF(ISNA(VLOOKUP(E6014,#REF!,1,FALSE())),"?TYPE_IDENTIFIABLE","?REFERENTIAL"),"_")))))</f>
        <v> </v>
      </c>
      <c r="H6014" s="25" t="str">
        <f>IF(J6014&lt;&gt;1,"",IF(I6014="SBJ","CB","?"))</f>
        <v> </v>
      </c>
      <c r="I6014" s="26" t="str">
        <f>IF(OR(E6014="",E6014="!!!",F6014="NEW"),"",INDEX(B6013:B$2,-1+SUMPRODUCT(MAX(ROW(E6013:E$2)*(E6014=E6013:E$2)))))</f>
        <v> </v>
      </c>
      <c r="J6014" s="26" t="str">
        <f>IF(OR(E6014="",E6014="!!!",F6014="NEW"),"",COUNTBLANK(OFFSET(A$1,,,SUMPRODUCT(MAX(ROW(E$2:E6014)*(E6014=E$2:E6014)))))-COUNTBLANK(OFFSET(A$1,,,SUMPRODUCT(MAX(ROW(E$1:E6013)*(E2=E$1:E6013))))))</f>
        <v> </v>
      </c>
      <c r="K6014" s="26" t="str">
        <f>IF(OR(E6014="",E6014="!!!",F6014="NEW"),"",INDEX(J$1:J6013,SUMPRODUCT(MAX(ROW(E$1:E6013)*(E6014=E$1:E6013)))))</f>
        <v> </v>
      </c>
      <c r="L6014" s="27"/>
    </row>
    <row r="6015" spans="1:12">
      <c r="A6015" s="20" t="s">
        <v>1079</v>
      </c>
      <c r="B6015" s="21" t="s">
        <v>1114</v>
      </c>
      <c r="C6015" s="21" t="s">
        <v>1015</v>
      </c>
      <c r="D6015" s="21" t="s">
        <v>997</v>
      </c>
      <c r="E6015" s="22">
        <f>IF(D6015="?OLD","!!!","")</f>
        <v/>
      </c>
      <c r="F6015" s="23" t="str">
        <f>IF(OR(E6015="",E6015="!!!"),"",IF(NOT(ISNA(VLOOKUP(E6015,E$1:E6014,1,FALSE()))),"OLD",IF(AND(E6015&lt;&gt;"",E6015&lt;&gt;"!!!"),"NEW","")))</f>
        <v> </v>
      </c>
      <c r="G6015" s="24" t="str">
        <f>IF(OR(E6015="",E6015="!!!"),"",IF(OR(J6015=0,AND(J6015=1,K6015=1),AND(J6015=1,I6015="SBJ"),AND(J6015=1,I6015=0)),"?IN_FOCUS",IF(J6015&lt;=2,"?ACTIVATED",IF(J6015&lt;&gt;"","?FAMILIAR",IF(F6015="NEW",IF(ISNA(VLOOKUP(E6015,#REF!,1,FALSE())),"?TYPE_IDENTIFIABLE","?REFERENTIAL"),"_")))))</f>
        <v> </v>
      </c>
      <c r="H6015" s="25" t="str">
        <f>IF(J6015&lt;&gt;1,"",IF(I6015="SBJ","CB","?"))</f>
        <v> </v>
      </c>
      <c r="I6015" s="26" t="str">
        <f>IF(OR(E6015="",E6015="!!!",F6015="NEW"),"",INDEX(B6014:B$2,-1+SUMPRODUCT(MAX(ROW(E6014:E$2)*(E6015=E6014:E$2)))))</f>
        <v> </v>
      </c>
      <c r="J6015" s="26" t="str">
        <f>IF(OR(E6015="",E6015="!!!",F6015="NEW"),"",COUNTBLANK(OFFSET(A$1,,,SUMPRODUCT(MAX(ROW(E$2:E6015)*(E6015=E$2:E6015)))))-COUNTBLANK(OFFSET(A$1,,,SUMPRODUCT(MAX(ROW(E$1:E6014)*(E2=E$1:E6014))))))</f>
        <v> </v>
      </c>
      <c r="K6015" s="26" t="str">
        <f>IF(OR(E6015="",E6015="!!!",F6015="NEW"),"",INDEX(J$1:J6014,SUMPRODUCT(MAX(ROW(E$1:E6014)*(E6015=E$1:E6014)))))</f>
        <v> </v>
      </c>
      <c r="L6015" s="27"/>
    </row>
    <row r="6016" spans="1:12">
      <c r="A6016" s="20" t="s">
        <v>1376</v>
      </c>
      <c r="E6016" s="22">
        <f>IF(D6016="?OLD","!!!","")</f>
        <v/>
      </c>
      <c r="F6016" s="23" t="str">
        <f>IF(OR(E6016="",E6016="!!!"),"",IF(NOT(ISNA(VLOOKUP(E6016,E$1:E6015,1,FALSE()))),"OLD",IF(AND(E6016&lt;&gt;"",E6016&lt;&gt;"!!!"),"NEW","")))</f>
        <v> </v>
      </c>
      <c r="G6016" s="24" t="str">
        <f>IF(OR(E6016="",E6016="!!!"),"",IF(OR(J6016=0,AND(J6016=1,K6016=1),AND(J6016=1,I6016="SBJ"),AND(J6016=1,I6016=0)),"?IN_FOCUS",IF(J6016&lt;=2,"?ACTIVATED",IF(J6016&lt;&gt;"","?FAMILIAR",IF(F6016="NEW",IF(ISNA(VLOOKUP(E6016,#REF!,1,FALSE())),"?TYPE_IDENTIFIABLE","?REFERENTIAL"),"_")))))</f>
        <v> </v>
      </c>
      <c r="H6016" s="25" t="str">
        <f>IF(J6016&lt;&gt;1,"",IF(I6016="SBJ","CB","?"))</f>
        <v> </v>
      </c>
      <c r="I6016" s="26" t="str">
        <f>IF(OR(E6016="",E6016="!!!",F6016="NEW"),"",INDEX(B6015:B$2,-1+SUMPRODUCT(MAX(ROW(E6015:E$2)*(E6016=E6015:E$2)))))</f>
        <v> </v>
      </c>
      <c r="J6016" s="26" t="str">
        <f>IF(OR(E6016="",E6016="!!!",F6016="NEW"),"",COUNTBLANK(OFFSET(A$1,,,SUMPRODUCT(MAX(ROW(E$2:E6016)*(E6016=E$2:E6016)))))-COUNTBLANK(OFFSET(A$1,,,SUMPRODUCT(MAX(ROW(E$1:E6015)*(E2=E$1:E6015))))))</f>
        <v> </v>
      </c>
      <c r="K6016" s="26" t="str">
        <f>IF(OR(E6016="",E6016="!!!",F6016="NEW"),"",INDEX(J$1:J6015,SUMPRODUCT(MAX(ROW(E$1:E6015)*(E6016=E$1:E6015)))))</f>
        <v> </v>
      </c>
      <c r="L6016" s="27"/>
    </row>
    <row r="6017" spans="1:12">
      <c r="A6017" s="20" t="s">
        <v>2520</v>
      </c>
      <c r="E6017" s="22">
        <f>IF(D6017="?OLD","!!!","")</f>
        <v/>
      </c>
      <c r="F6017" s="23" t="str">
        <f>IF(OR(E6017="",E6017="!!!"),"",IF(NOT(ISNA(VLOOKUP(E6017,E$1:E6016,1,FALSE()))),"OLD",IF(AND(E6017&lt;&gt;"",E6017&lt;&gt;"!!!"),"NEW","")))</f>
        <v> </v>
      </c>
      <c r="G6017" s="24" t="str">
        <f>IF(OR(E6017="",E6017="!!!"),"",IF(OR(J6017=0,AND(J6017=1,K6017=1),AND(J6017=1,I6017="SBJ"),AND(J6017=1,I6017=0)),"?IN_FOCUS",IF(J6017&lt;=2,"?ACTIVATED",IF(J6017&lt;&gt;"","?FAMILIAR",IF(F6017="NEW",IF(ISNA(VLOOKUP(E6017,#REF!,1,FALSE())),"?TYPE_IDENTIFIABLE","?REFERENTIAL"),"_")))))</f>
        <v> </v>
      </c>
      <c r="H6017" s="25" t="str">
        <f>IF(J6017&lt;&gt;1,"",IF(I6017="SBJ","CB","?"))</f>
        <v> </v>
      </c>
      <c r="I6017" s="26" t="str">
        <f>IF(OR(E6017="",E6017="!!!",F6017="NEW"),"",INDEX(B6016:B$2,-1+SUMPRODUCT(MAX(ROW(E6016:E$2)*(E6017=E6016:E$2)))))</f>
        <v> </v>
      </c>
      <c r="J6017" s="26" t="str">
        <f>IF(OR(E6017="",E6017="!!!",F6017="NEW"),"",COUNTBLANK(OFFSET(A$1,,,SUMPRODUCT(MAX(ROW(E$2:E6017)*(E6017=E$2:E6017)))))-COUNTBLANK(OFFSET(A$1,,,SUMPRODUCT(MAX(ROW(E$1:E6016)*(E2=E$1:E6016))))))</f>
        <v> </v>
      </c>
      <c r="K6017" s="26" t="str">
        <f>IF(OR(E6017="",E6017="!!!",F6017="NEW"),"",INDEX(J$1:J6016,SUMPRODUCT(MAX(ROW(E$1:E6016)*(E6017=E$1:E6016)))))</f>
        <v> </v>
      </c>
      <c r="L6017" s="27"/>
    </row>
    <row r="6018" spans="1:12">
      <c r="A6018" s="20" t="s">
        <v>1041</v>
      </c>
      <c r="E6018" s="22">
        <f>IF(D6018="?OLD","!!!","")</f>
        <v/>
      </c>
      <c r="F6018" s="23" t="str">
        <f>IF(OR(E6018="",E6018="!!!"),"",IF(NOT(ISNA(VLOOKUP(E6018,E$1:E6017,1,FALSE()))),"OLD",IF(AND(E6018&lt;&gt;"",E6018&lt;&gt;"!!!"),"NEW","")))</f>
        <v> </v>
      </c>
      <c r="G6018" s="24" t="str">
        <f>IF(OR(E6018="",E6018="!!!"),"",IF(OR(J6018=0,AND(J6018=1,K6018=1),AND(J6018=1,I6018="SBJ"),AND(J6018=1,I6018=0)),"?IN_FOCUS",IF(J6018&lt;=2,"?ACTIVATED",IF(J6018&lt;&gt;"","?FAMILIAR",IF(F6018="NEW",IF(ISNA(VLOOKUP(E6018,#REF!,1,FALSE())),"?TYPE_IDENTIFIABLE","?REFERENTIAL"),"_")))))</f>
        <v> </v>
      </c>
      <c r="H6018" s="25" t="str">
        <f>IF(J6018&lt;&gt;1,"",IF(I6018="SBJ","CB","?"))</f>
        <v> </v>
      </c>
      <c r="I6018" s="26" t="str">
        <f>IF(OR(E6018="",E6018="!!!",F6018="NEW"),"",INDEX(B6017:B$2,-1+SUMPRODUCT(MAX(ROW(E6017:E$2)*(E6018=E6017:E$2)))))</f>
        <v> </v>
      </c>
      <c r="J6018" s="26" t="str">
        <f>IF(OR(E6018="",E6018="!!!",F6018="NEW"),"",COUNTBLANK(OFFSET(A$1,,,SUMPRODUCT(MAX(ROW(E$2:E6018)*(E6018=E$2:E6018)))))-COUNTBLANK(OFFSET(A$1,,,SUMPRODUCT(MAX(ROW(E$1:E6017)*(E2=E$1:E6017))))))</f>
        <v> </v>
      </c>
      <c r="K6018" s="26" t="str">
        <f>IF(OR(E6018="",E6018="!!!",F6018="NEW"),"",INDEX(J$1:J6017,SUMPRODUCT(MAX(ROW(E$1:E6017)*(E6018=E$1:E6017)))))</f>
        <v> </v>
      </c>
      <c r="L6018" s="27"/>
    </row>
    <row r="6019" spans="1:12">
      <c r="A6019" s="20" t="s">
        <v>1007</v>
      </c>
      <c r="E6019" s="22">
        <f>IF(D6019="?OLD","!!!","")</f>
        <v/>
      </c>
      <c r="F6019" s="23" t="str">
        <f>IF(OR(E6019="",E6019="!!!"),"",IF(NOT(ISNA(VLOOKUP(E6019,E$1:E6018,1,FALSE()))),"OLD",IF(AND(E6019&lt;&gt;"",E6019&lt;&gt;"!!!"),"NEW","")))</f>
        <v> </v>
      </c>
      <c r="G6019" s="24" t="str">
        <f>IF(OR(E6019="",E6019="!!!"),"",IF(OR(J6019=0,AND(J6019=1,K6019=1),AND(J6019=1,I6019="SBJ"),AND(J6019=1,I6019=0)),"?IN_FOCUS",IF(J6019&lt;=2,"?ACTIVATED",IF(J6019&lt;&gt;"","?FAMILIAR",IF(F6019="NEW",IF(ISNA(VLOOKUP(E6019,#REF!,1,FALSE())),"?TYPE_IDENTIFIABLE","?REFERENTIAL"),"_")))))</f>
        <v> </v>
      </c>
      <c r="H6019" s="25" t="str">
        <f>IF(J6019&lt;&gt;1,"",IF(I6019="SBJ","CB","?"))</f>
        <v> </v>
      </c>
      <c r="I6019" s="26" t="str">
        <f>IF(OR(E6019="",E6019="!!!",F6019="NEW"),"",INDEX(B6018:B$2,-1+SUMPRODUCT(MAX(ROW(E6018:E$2)*(E6019=E6018:E$2)))))</f>
        <v> </v>
      </c>
      <c r="J6019" s="26" t="str">
        <f>IF(OR(E6019="",E6019="!!!",F6019="NEW"),"",COUNTBLANK(OFFSET(A$1,,,SUMPRODUCT(MAX(ROW(E$2:E6019)*(E6019=E$2:E6019)))))-COUNTBLANK(OFFSET(A$1,,,SUMPRODUCT(MAX(ROW(E$1:E6018)*(E2=E$1:E6018))))))</f>
        <v> </v>
      </c>
      <c r="K6019" s="26" t="str">
        <f>IF(OR(E6019="",E6019="!!!",F6019="NEW"),"",INDEX(J$1:J6018,SUMPRODUCT(MAX(ROW(E$1:E6018)*(E6019=E$1:E6018)))))</f>
        <v> </v>
      </c>
      <c r="L6019" s="27"/>
    </row>
    <row r="6020" spans="1:12">
      <c r="A6020" s="20" t="s">
        <v>1199</v>
      </c>
      <c r="E6020" s="22">
        <f>IF(D6020="?OLD","!!!","")</f>
        <v/>
      </c>
      <c r="F6020" s="23" t="str">
        <f>IF(OR(E6020="",E6020="!!!"),"",IF(NOT(ISNA(VLOOKUP(E6020,E$1:E6019,1,FALSE()))),"OLD",IF(AND(E6020&lt;&gt;"",E6020&lt;&gt;"!!!"),"NEW","")))</f>
        <v> </v>
      </c>
      <c r="G6020" s="24" t="str">
        <f>IF(OR(E6020="",E6020="!!!"),"",IF(OR(J6020=0,AND(J6020=1,K6020=1),AND(J6020=1,I6020="SBJ"),AND(J6020=1,I6020=0)),"?IN_FOCUS",IF(J6020&lt;=2,"?ACTIVATED",IF(J6020&lt;&gt;"","?FAMILIAR",IF(F6020="NEW",IF(ISNA(VLOOKUP(E6020,#REF!,1,FALSE())),"?TYPE_IDENTIFIABLE","?REFERENTIAL"),"_")))))</f>
        <v> </v>
      </c>
      <c r="H6020" s="25" t="str">
        <f>IF(J6020&lt;&gt;1,"",IF(I6020="SBJ","CB","?"))</f>
        <v> </v>
      </c>
      <c r="I6020" s="26" t="str">
        <f>IF(OR(E6020="",E6020="!!!",F6020="NEW"),"",INDEX(B6019:B$2,-1+SUMPRODUCT(MAX(ROW(E6019:E$2)*(E6020=E6019:E$2)))))</f>
        <v> </v>
      </c>
      <c r="J6020" s="26" t="str">
        <f>IF(OR(E6020="",E6020="!!!",F6020="NEW"),"",COUNTBLANK(OFFSET(A$1,,,SUMPRODUCT(MAX(ROW(E$2:E6020)*(E6020=E$2:E6020)))))-COUNTBLANK(OFFSET(A$1,,,SUMPRODUCT(MAX(ROW(E$1:E6019)*(E2=E$1:E6019))))))</f>
        <v> </v>
      </c>
      <c r="K6020" s="26" t="str">
        <f>IF(OR(E6020="",E6020="!!!",F6020="NEW"),"",INDEX(J$1:J6019,SUMPRODUCT(MAX(ROW(E$1:E6019)*(E6020=E$1:E6019)))))</f>
        <v> </v>
      </c>
      <c r="L6020" s="27"/>
    </row>
    <row r="6021" spans="1:12">
      <c r="A6021" s="20" t="s">
        <v>1029</v>
      </c>
      <c r="E6021" s="22">
        <f>IF(D6021="?OLD","!!!","")</f>
        <v/>
      </c>
      <c r="F6021" s="23" t="str">
        <f>IF(OR(E6021="",E6021="!!!"),"",IF(NOT(ISNA(VLOOKUP(E6021,E$1:E6020,1,FALSE()))),"OLD",IF(AND(E6021&lt;&gt;"",E6021&lt;&gt;"!!!"),"NEW","")))</f>
        <v> </v>
      </c>
      <c r="G6021" s="24" t="str">
        <f>IF(OR(E6021="",E6021="!!!"),"",IF(OR(J6021=0,AND(J6021=1,K6021=1),AND(J6021=1,I6021="SBJ"),AND(J6021=1,I6021=0)),"?IN_FOCUS",IF(J6021&lt;=2,"?ACTIVATED",IF(J6021&lt;&gt;"","?FAMILIAR",IF(F6021="NEW",IF(ISNA(VLOOKUP(E6021,#REF!,1,FALSE())),"?TYPE_IDENTIFIABLE","?REFERENTIAL"),"_")))))</f>
        <v> </v>
      </c>
      <c r="H6021" s="25" t="str">
        <f>IF(J6021&lt;&gt;1,"",IF(I6021="SBJ","CB","?"))</f>
        <v> </v>
      </c>
      <c r="I6021" s="26" t="str">
        <f>IF(OR(E6021="",E6021="!!!",F6021="NEW"),"",INDEX(B6020:B$2,-1+SUMPRODUCT(MAX(ROW(E6020:E$2)*(E6021=E6020:E$2)))))</f>
        <v> </v>
      </c>
      <c r="J6021" s="26" t="str">
        <f>IF(OR(E6021="",E6021="!!!",F6021="NEW"),"",COUNTBLANK(OFFSET(A$1,,,SUMPRODUCT(MAX(ROW(E$2:E6021)*(E6021=E$2:E6021)))))-COUNTBLANK(OFFSET(A$1,,,SUMPRODUCT(MAX(ROW(E$1:E6020)*(E2=E$1:E6020))))))</f>
        <v> </v>
      </c>
      <c r="K6021" s="26" t="str">
        <f>IF(OR(E6021="",E6021="!!!",F6021="NEW"),"",INDEX(J$1:J6020,SUMPRODUCT(MAX(ROW(E$1:E6020)*(E6021=E$1:E6020)))))</f>
        <v> </v>
      </c>
      <c r="L6021" s="27"/>
    </row>
    <row r="6022" spans="1:12">
      <c r="A6022" s="20" t="s">
        <v>1037</v>
      </c>
      <c r="E6022" s="22">
        <f>IF(D6022="?OLD","!!!","")</f>
        <v/>
      </c>
      <c r="F6022" s="23" t="str">
        <f>IF(OR(E6022="",E6022="!!!"),"",IF(NOT(ISNA(VLOOKUP(E6022,E$1:E6021,1,FALSE()))),"OLD",IF(AND(E6022&lt;&gt;"",E6022&lt;&gt;"!!!"),"NEW","")))</f>
        <v> </v>
      </c>
      <c r="G6022" s="24" t="str">
        <f>IF(OR(E6022="",E6022="!!!"),"",IF(OR(J6022=0,AND(J6022=1,K6022=1),AND(J6022=1,I6022="SBJ"),AND(J6022=1,I6022=0)),"?IN_FOCUS",IF(J6022&lt;=2,"?ACTIVATED",IF(J6022&lt;&gt;"","?FAMILIAR",IF(F6022="NEW",IF(ISNA(VLOOKUP(E6022,#REF!,1,FALSE())),"?TYPE_IDENTIFIABLE","?REFERENTIAL"),"_")))))</f>
        <v> </v>
      </c>
      <c r="H6022" s="25" t="str">
        <f>IF(J6022&lt;&gt;1,"",IF(I6022="SBJ","CB","?"))</f>
        <v> </v>
      </c>
      <c r="I6022" s="26" t="str">
        <f>IF(OR(E6022="",E6022="!!!",F6022="NEW"),"",INDEX(B6021:B$2,-1+SUMPRODUCT(MAX(ROW(E6021:E$2)*(E6022=E6021:E$2)))))</f>
        <v> </v>
      </c>
      <c r="J6022" s="26" t="str">
        <f>IF(OR(E6022="",E6022="!!!",F6022="NEW"),"",COUNTBLANK(OFFSET(A$1,,,SUMPRODUCT(MAX(ROW(E$2:E6022)*(E6022=E$2:E6022)))))-COUNTBLANK(OFFSET(A$1,,,SUMPRODUCT(MAX(ROW(E$1:E6021)*(E2=E$1:E6021))))))</f>
        <v> </v>
      </c>
      <c r="K6022" s="26" t="str">
        <f>IF(OR(E6022="",E6022="!!!",F6022="NEW"),"",INDEX(J$1:J6021,SUMPRODUCT(MAX(ROW(E$1:E6021)*(E6022=E$1:E6021)))))</f>
        <v> </v>
      </c>
      <c r="L6022" s="27"/>
    </row>
    <row r="6023" spans="1:12">
      <c r="A6023" s="20" t="s">
        <v>2521</v>
      </c>
      <c r="B6023" s="21" t="s">
        <v>1005</v>
      </c>
      <c r="C6023" s="21" t="s">
        <v>1034</v>
      </c>
      <c r="D6023" s="21" t="s">
        <v>997</v>
      </c>
      <c r="E6023" s="22">
        <f>IF(D6023="?OLD","!!!","")</f>
        <v/>
      </c>
      <c r="F6023" s="23" t="str">
        <f>IF(OR(E6023="",E6023="!!!"),"",IF(NOT(ISNA(VLOOKUP(E6023,E$1:E6022,1,FALSE()))),"OLD",IF(AND(E6023&lt;&gt;"",E6023&lt;&gt;"!!!"),"NEW","")))</f>
        <v> </v>
      </c>
      <c r="G6023" s="24" t="str">
        <f>IF(OR(E6023="",E6023="!!!"),"",IF(OR(J6023=0,AND(J6023=1,K6023=1),AND(J6023=1,I6023="SBJ"),AND(J6023=1,I6023=0)),"?IN_FOCUS",IF(J6023&lt;=2,"?ACTIVATED",IF(J6023&lt;&gt;"","?FAMILIAR",IF(F6023="NEW",IF(ISNA(VLOOKUP(E6023,#REF!,1,FALSE())),"?TYPE_IDENTIFIABLE","?REFERENTIAL"),"_")))))</f>
        <v> </v>
      </c>
      <c r="H6023" s="25" t="str">
        <f>IF(J6023&lt;&gt;1,"",IF(I6023="SBJ","CB","?"))</f>
        <v> </v>
      </c>
      <c r="I6023" s="26" t="str">
        <f>IF(OR(E6023="",E6023="!!!",F6023="NEW"),"",INDEX(B6022:B$2,-1+SUMPRODUCT(MAX(ROW(E6022:E$2)*(E6023=E6022:E$2)))))</f>
        <v> </v>
      </c>
      <c r="J6023" s="26" t="str">
        <f>IF(OR(E6023="",E6023="!!!",F6023="NEW"),"",COUNTBLANK(OFFSET(A$1,,,SUMPRODUCT(MAX(ROW(E$2:E6023)*(E6023=E$2:E6023)))))-COUNTBLANK(OFFSET(A$1,,,SUMPRODUCT(MAX(ROW(E$1:E6022)*(E2=E$1:E6022))))))</f>
        <v> </v>
      </c>
      <c r="K6023" s="26" t="str">
        <f>IF(OR(E6023="",E6023="!!!",F6023="NEW"),"",INDEX(J$1:J6022,SUMPRODUCT(MAX(ROW(E$1:E6022)*(E6023=E$1:E6022)))))</f>
        <v> </v>
      </c>
      <c r="L6023" s="27"/>
    </row>
    <row r="6024" spans="1:12">
      <c r="A6024" s="20" t="s">
        <v>1008</v>
      </c>
      <c r="E6024" s="22">
        <f>IF(D6024="?OLD","!!!","")</f>
        <v/>
      </c>
      <c r="F6024" s="23" t="str">
        <f>IF(OR(E6024="",E6024="!!!"),"",IF(NOT(ISNA(VLOOKUP(E6024,E$1:E6023,1,FALSE()))),"OLD",IF(AND(E6024&lt;&gt;"",E6024&lt;&gt;"!!!"),"NEW","")))</f>
        <v> </v>
      </c>
      <c r="G6024" s="24" t="str">
        <f>IF(OR(E6024="",E6024="!!!"),"",IF(OR(J6024=0,AND(J6024=1,K6024=1),AND(J6024=1,I6024="SBJ"),AND(J6024=1,I6024=0)),"?IN_FOCUS",IF(J6024&lt;=2,"?ACTIVATED",IF(J6024&lt;&gt;"","?FAMILIAR",IF(F6024="NEW",IF(ISNA(VLOOKUP(E6024,#REF!,1,FALSE())),"?TYPE_IDENTIFIABLE","?REFERENTIAL"),"_")))))</f>
        <v> </v>
      </c>
      <c r="H6024" s="25" t="str">
        <f>IF(J6024&lt;&gt;1,"",IF(I6024="SBJ","CB","?"))</f>
        <v> </v>
      </c>
      <c r="I6024" s="26" t="str">
        <f>IF(OR(E6024="",E6024="!!!",F6024="NEW"),"",INDEX(B6023:B$2,-1+SUMPRODUCT(MAX(ROW(E6023:E$2)*(E6024=E6023:E$2)))))</f>
        <v> </v>
      </c>
      <c r="J6024" s="26" t="str">
        <f>IF(OR(E6024="",E6024="!!!",F6024="NEW"),"",COUNTBLANK(OFFSET(A$1,,,SUMPRODUCT(MAX(ROW(E$2:E6024)*(E6024=E$2:E6024)))))-COUNTBLANK(OFFSET(A$1,,,SUMPRODUCT(MAX(ROW(E$1:E6023)*(E2=E$1:E6023))))))</f>
        <v> </v>
      </c>
      <c r="K6024" s="26" t="str">
        <f>IF(OR(E6024="",E6024="!!!",F6024="NEW"),"",INDEX(J$1:J6023,SUMPRODUCT(MAX(ROW(E$1:E6023)*(E6024=E$1:E6023)))))</f>
        <v> </v>
      </c>
      <c r="L6024" s="27"/>
    </row>
    <row r="6025" spans="1:12">
      <c r="A6025" s="20" t="s">
        <v>1203</v>
      </c>
      <c r="B6025" s="21" t="s">
        <v>1010</v>
      </c>
      <c r="C6025" s="21" t="s">
        <v>1006</v>
      </c>
      <c r="E6025" s="22">
        <f>IF(D6025="?OLD","!!!","")</f>
        <v/>
      </c>
      <c r="F6025" s="23" t="str">
        <f>IF(OR(E6025="",E6025="!!!"),"",IF(NOT(ISNA(VLOOKUP(E6025,E$1:E6024,1,FALSE()))),"OLD",IF(AND(E6025&lt;&gt;"",E6025&lt;&gt;"!!!"),"NEW","")))</f>
        <v> </v>
      </c>
      <c r="G6025" s="24" t="str">
        <f>IF(OR(E6025="",E6025="!!!"),"",IF(OR(J6025=0,AND(J6025=1,K6025=1),AND(J6025=1,I6025="SBJ"),AND(J6025=1,I6025=0)),"?IN_FOCUS",IF(J6025&lt;=2,"?ACTIVATED",IF(J6025&lt;&gt;"","?FAMILIAR",IF(F6025="NEW",IF(ISNA(VLOOKUP(E6025,#REF!,1,FALSE())),"?TYPE_IDENTIFIABLE","?REFERENTIAL"),"_")))))</f>
        <v> </v>
      </c>
      <c r="H6025" s="25" t="str">
        <f>IF(J6025&lt;&gt;1,"",IF(I6025="SBJ","CB","?"))</f>
        <v> </v>
      </c>
      <c r="I6025" s="26" t="str">
        <f>IF(OR(E6025="",E6025="!!!",F6025="NEW"),"",INDEX(B6024:B$2,-1+SUMPRODUCT(MAX(ROW(E6024:E$2)*(E6025=E6024:E$2)))))</f>
        <v> </v>
      </c>
      <c r="J6025" s="26" t="str">
        <f>IF(OR(E6025="",E6025="!!!",F6025="NEW"),"",COUNTBLANK(OFFSET(A$1,,,SUMPRODUCT(MAX(ROW(E$2:E6025)*(E6025=E$2:E6025)))))-COUNTBLANK(OFFSET(A$1,,,SUMPRODUCT(MAX(ROW(E$1:E6024)*(E2=E$1:E6024))))))</f>
        <v> </v>
      </c>
      <c r="K6025" s="26" t="str">
        <f>IF(OR(E6025="",E6025="!!!",F6025="NEW"),"",INDEX(J$1:J6024,SUMPRODUCT(MAX(ROW(E$1:E6024)*(E6025=E$1:E6024)))))</f>
        <v> </v>
      </c>
      <c r="L6025" s="27"/>
    </row>
    <row r="6026" spans="1:12">
      <c r="A6026" s="20" t="s">
        <v>1041</v>
      </c>
      <c r="E6026" s="22">
        <f>IF(D6026="?OLD","!!!","")</f>
        <v/>
      </c>
      <c r="F6026" s="23" t="str">
        <f>IF(OR(E6026="",E6026="!!!"),"",IF(NOT(ISNA(VLOOKUP(E6026,E$1:E6025,1,FALSE()))),"OLD",IF(AND(E6026&lt;&gt;"",E6026&lt;&gt;"!!!"),"NEW","")))</f>
        <v> </v>
      </c>
      <c r="G6026" s="24" t="str">
        <f>IF(OR(E6026="",E6026="!!!"),"",IF(OR(J6026=0,AND(J6026=1,K6026=1),AND(J6026=1,I6026="SBJ"),AND(J6026=1,I6026=0)),"?IN_FOCUS",IF(J6026&lt;=2,"?ACTIVATED",IF(J6026&lt;&gt;"","?FAMILIAR",IF(F6026="NEW",IF(ISNA(VLOOKUP(E6026,#REF!,1,FALSE())),"?TYPE_IDENTIFIABLE","?REFERENTIAL"),"_")))))</f>
        <v> </v>
      </c>
      <c r="H6026" s="25" t="str">
        <f>IF(J6026&lt;&gt;1,"",IF(I6026="SBJ","CB","?"))</f>
        <v> </v>
      </c>
      <c r="I6026" s="26" t="str">
        <f>IF(OR(E6026="",E6026="!!!",F6026="NEW"),"",INDEX(B6025:B$2,-1+SUMPRODUCT(MAX(ROW(E6025:E$2)*(E6026=E6025:E$2)))))</f>
        <v> </v>
      </c>
      <c r="J6026" s="26" t="str">
        <f>IF(OR(E6026="",E6026="!!!",F6026="NEW"),"",COUNTBLANK(OFFSET(A$1,,,SUMPRODUCT(MAX(ROW(E$2:E6026)*(E6026=E$2:E6026)))))-COUNTBLANK(OFFSET(A$1,,,SUMPRODUCT(MAX(ROW(E$1:E6025)*(E2=E$1:E6025))))))</f>
        <v> </v>
      </c>
      <c r="K6026" s="26" t="str">
        <f>IF(OR(E6026="",E6026="!!!",F6026="NEW"),"",INDEX(J$1:J6025,SUMPRODUCT(MAX(ROW(E$1:E6025)*(E6026=E$1:E6025)))))</f>
        <v> </v>
      </c>
      <c r="L6026" s="27"/>
    </row>
    <row r="6027" spans="1:12">
      <c r="A6027" s="20" t="s">
        <v>1230</v>
      </c>
      <c r="E6027" s="22">
        <f>IF(D6027="?OLD","!!!","")</f>
        <v/>
      </c>
      <c r="F6027" s="23" t="str">
        <f>IF(OR(E6027="",E6027="!!!"),"",IF(NOT(ISNA(VLOOKUP(E6027,E$1:E6026,1,FALSE()))),"OLD",IF(AND(E6027&lt;&gt;"",E6027&lt;&gt;"!!!"),"NEW","")))</f>
        <v> </v>
      </c>
      <c r="G6027" s="24" t="str">
        <f>IF(OR(E6027="",E6027="!!!"),"",IF(OR(J6027=0,AND(J6027=1,K6027=1),AND(J6027=1,I6027="SBJ"),AND(J6027=1,I6027=0)),"?IN_FOCUS",IF(J6027&lt;=2,"?ACTIVATED",IF(J6027&lt;&gt;"","?FAMILIAR",IF(F6027="NEW",IF(ISNA(VLOOKUP(E6027,#REF!,1,FALSE())),"?TYPE_IDENTIFIABLE","?REFERENTIAL"),"_")))))</f>
        <v> </v>
      </c>
      <c r="H6027" s="25" t="str">
        <f>IF(J6027&lt;&gt;1,"",IF(I6027="SBJ","CB","?"))</f>
        <v> </v>
      </c>
      <c r="I6027" s="26" t="str">
        <f>IF(OR(E6027="",E6027="!!!",F6027="NEW"),"",INDEX(B6026:B$2,-1+SUMPRODUCT(MAX(ROW(E6026:E$2)*(E6027=E6026:E$2)))))</f>
        <v> </v>
      </c>
      <c r="J6027" s="26" t="str">
        <f>IF(OR(E6027="",E6027="!!!",F6027="NEW"),"",COUNTBLANK(OFFSET(A$1,,,SUMPRODUCT(MAX(ROW(E$2:E6027)*(E6027=E$2:E6027)))))-COUNTBLANK(OFFSET(A$1,,,SUMPRODUCT(MAX(ROW(E$1:E6026)*(E2=E$1:E6026))))))</f>
        <v> </v>
      </c>
      <c r="K6027" s="26" t="str">
        <f>IF(OR(E6027="",E6027="!!!",F6027="NEW"),"",INDEX(J$1:J6026,SUMPRODUCT(MAX(ROW(E$1:E6026)*(E6027=E$1:E6026)))))</f>
        <v> </v>
      </c>
      <c r="L6027" s="27"/>
    </row>
    <row r="6028" spans="1:12">
      <c r="A6028" s="20" t="s">
        <v>1037</v>
      </c>
      <c r="E6028" s="22">
        <f>IF(D6028="?OLD","!!!","")</f>
        <v/>
      </c>
      <c r="F6028" s="23" t="str">
        <f>IF(OR(E6028="",E6028="!!!"),"",IF(NOT(ISNA(VLOOKUP(E6028,E$1:E6027,1,FALSE()))),"OLD",IF(AND(E6028&lt;&gt;"",E6028&lt;&gt;"!!!"),"NEW","")))</f>
        <v> </v>
      </c>
      <c r="G6028" s="24" t="str">
        <f>IF(OR(E6028="",E6028="!!!"),"",IF(OR(J6028=0,AND(J6028=1,K6028=1),AND(J6028=1,I6028="SBJ"),AND(J6028=1,I6028=0)),"?IN_FOCUS",IF(J6028&lt;=2,"?ACTIVATED",IF(J6028&lt;&gt;"","?FAMILIAR",IF(F6028="NEW",IF(ISNA(VLOOKUP(E6028,#REF!,1,FALSE())),"?TYPE_IDENTIFIABLE","?REFERENTIAL"),"_")))))</f>
        <v> </v>
      </c>
      <c r="H6028" s="25" t="str">
        <f>IF(J6028&lt;&gt;1,"",IF(I6028="SBJ","CB","?"))</f>
        <v> </v>
      </c>
      <c r="I6028" s="26" t="str">
        <f>IF(OR(E6028="",E6028="!!!",F6028="NEW"),"",INDEX(B6027:B$2,-1+SUMPRODUCT(MAX(ROW(E6027:E$2)*(E6028=E6027:E$2)))))</f>
        <v> </v>
      </c>
      <c r="J6028" s="26" t="str">
        <f>IF(OR(E6028="",E6028="!!!",F6028="NEW"),"",COUNTBLANK(OFFSET(A$1,,,SUMPRODUCT(MAX(ROW(E$2:E6028)*(E6028=E$2:E6028)))))-COUNTBLANK(OFFSET(A$1,,,SUMPRODUCT(MAX(ROW(E$1:E6027)*(E2=E$1:E6027))))))</f>
        <v> </v>
      </c>
      <c r="K6028" s="26" t="str">
        <f>IF(OR(E6028="",E6028="!!!",F6028="NEW"),"",INDEX(J$1:J6027,SUMPRODUCT(MAX(ROW(E$1:E6027)*(E6028=E$1:E6027)))))</f>
        <v> </v>
      </c>
      <c r="L6028" s="27"/>
    </row>
    <row r="6029" spans="1:12">
      <c r="A6029" s="20" t="s">
        <v>2471</v>
      </c>
      <c r="B6029" s="21" t="s">
        <v>1142</v>
      </c>
      <c r="C6029" s="21" t="s">
        <v>1034</v>
      </c>
      <c r="D6029" s="21" t="s">
        <v>997</v>
      </c>
      <c r="E6029" s="22">
        <f>IF(D6029="?OLD","!!!","")</f>
        <v/>
      </c>
      <c r="F6029" s="23" t="str">
        <f>IF(OR(E6029="",E6029="!!!"),"",IF(NOT(ISNA(VLOOKUP(E6029,E$1:E6028,1,FALSE()))),"OLD",IF(AND(E6029&lt;&gt;"",E6029&lt;&gt;"!!!"),"NEW","")))</f>
        <v> </v>
      </c>
      <c r="G6029" s="24" t="str">
        <f>IF(OR(E6029="",E6029="!!!"),"",IF(OR(J6029=0,AND(J6029=1,K6029=1),AND(J6029=1,I6029="SBJ"),AND(J6029=1,I6029=0)),"?IN_FOCUS",IF(J6029&lt;=2,"?ACTIVATED",IF(J6029&lt;&gt;"","?FAMILIAR",IF(F6029="NEW",IF(ISNA(VLOOKUP(E6029,#REF!,1,FALSE())),"?TYPE_IDENTIFIABLE","?REFERENTIAL"),"_")))))</f>
        <v> </v>
      </c>
      <c r="H6029" s="25" t="str">
        <f>IF(J6029&lt;&gt;1,"",IF(I6029="SBJ","CB","?"))</f>
        <v> </v>
      </c>
      <c r="I6029" s="26" t="str">
        <f>IF(OR(E6029="",E6029="!!!",F6029="NEW"),"",INDEX(B6028:B$2,-1+SUMPRODUCT(MAX(ROW(E6028:E$2)*(E6029=E6028:E$2)))))</f>
        <v> </v>
      </c>
      <c r="J6029" s="26" t="str">
        <f>IF(OR(E6029="",E6029="!!!",F6029="NEW"),"",COUNTBLANK(OFFSET(A$1,,,SUMPRODUCT(MAX(ROW(E$2:E6029)*(E6029=E$2:E6029)))))-COUNTBLANK(OFFSET(A$1,,,SUMPRODUCT(MAX(ROW(E$1:E6028)*(E2=E$1:E6028))))))</f>
        <v> </v>
      </c>
      <c r="K6029" s="26" t="str">
        <f>IF(OR(E6029="",E6029="!!!",F6029="NEW"),"",INDEX(J$1:J6028,SUMPRODUCT(MAX(ROW(E$1:E6028)*(E6029=E$1:E6028)))))</f>
        <v> </v>
      </c>
      <c r="L6029" s="27"/>
    </row>
    <row r="6030" spans="1:12">
      <c r="A6030" s="20" t="s">
        <v>2522</v>
      </c>
      <c r="E6030" s="22">
        <f>IF(D6030="?OLD","!!!","")</f>
        <v/>
      </c>
      <c r="F6030" s="23" t="str">
        <f>IF(OR(E6030="",E6030="!!!"),"",IF(NOT(ISNA(VLOOKUP(E6030,E$1:E6029,1,FALSE()))),"OLD",IF(AND(E6030&lt;&gt;"",E6030&lt;&gt;"!!!"),"NEW","")))</f>
        <v> </v>
      </c>
      <c r="G6030" s="24" t="str">
        <f>IF(OR(E6030="",E6030="!!!"),"",IF(OR(J6030=0,AND(J6030=1,K6030=1),AND(J6030=1,I6030="SBJ"),AND(J6030=1,I6030=0)),"?IN_FOCUS",IF(J6030&lt;=2,"?ACTIVATED",IF(J6030&lt;&gt;"","?FAMILIAR",IF(F6030="NEW",IF(ISNA(VLOOKUP(E6030,#REF!,1,FALSE())),"?TYPE_IDENTIFIABLE","?REFERENTIAL"),"_")))))</f>
        <v> </v>
      </c>
      <c r="H6030" s="25" t="str">
        <f>IF(J6030&lt;&gt;1,"",IF(I6030="SBJ","CB","?"))</f>
        <v> </v>
      </c>
      <c r="I6030" s="26" t="str">
        <f>IF(OR(E6030="",E6030="!!!",F6030="NEW"),"",INDEX(B6029:B$2,-1+SUMPRODUCT(MAX(ROW(E6029:E$2)*(E6030=E6029:E$2)))))</f>
        <v> </v>
      </c>
      <c r="J6030" s="26" t="str">
        <f>IF(OR(E6030="",E6030="!!!",F6030="NEW"),"",COUNTBLANK(OFFSET(A$1,,,SUMPRODUCT(MAX(ROW(E$2:E6030)*(E6030=E$2:E6030)))))-COUNTBLANK(OFFSET(A$1,,,SUMPRODUCT(MAX(ROW(E$1:E6029)*(E2=E$1:E6029))))))</f>
        <v> </v>
      </c>
      <c r="K6030" s="26" t="str">
        <f>IF(OR(E6030="",E6030="!!!",F6030="NEW"),"",INDEX(J$1:J6029,SUMPRODUCT(MAX(ROW(E$1:E6029)*(E6030=E$1:E6029)))))</f>
        <v> </v>
      </c>
      <c r="L6030" s="27"/>
    </row>
    <row r="6031" spans="1:12">
      <c r="A6031" s="20" t="s">
        <v>1513</v>
      </c>
      <c r="E6031" s="22">
        <f>IF(D6031="?OLD","!!!","")</f>
        <v/>
      </c>
      <c r="F6031" s="23" t="str">
        <f>IF(OR(E6031="",E6031="!!!"),"",IF(NOT(ISNA(VLOOKUP(E6031,E$1:E6030,1,FALSE()))),"OLD",IF(AND(E6031&lt;&gt;"",E6031&lt;&gt;"!!!"),"NEW","")))</f>
        <v> </v>
      </c>
      <c r="G6031" s="24" t="str">
        <f>IF(OR(E6031="",E6031="!!!"),"",IF(OR(J6031=0,AND(J6031=1,K6031=1),AND(J6031=1,I6031="SBJ"),AND(J6031=1,I6031=0)),"?IN_FOCUS",IF(J6031&lt;=2,"?ACTIVATED",IF(J6031&lt;&gt;"","?FAMILIAR",IF(F6031="NEW",IF(ISNA(VLOOKUP(E6031,#REF!,1,FALSE())),"?TYPE_IDENTIFIABLE","?REFERENTIAL"),"_")))))</f>
        <v> </v>
      </c>
      <c r="H6031" s="25" t="str">
        <f>IF(J6031&lt;&gt;1,"",IF(I6031="SBJ","CB","?"))</f>
        <v> </v>
      </c>
      <c r="I6031" s="26" t="str">
        <f>IF(OR(E6031="",E6031="!!!",F6031="NEW"),"",INDEX(B6030:B$2,-1+SUMPRODUCT(MAX(ROW(E6030:E$2)*(E6031=E6030:E$2)))))</f>
        <v> </v>
      </c>
      <c r="J6031" s="26" t="str">
        <f>IF(OR(E6031="",E6031="!!!",F6031="NEW"),"",COUNTBLANK(OFFSET(A$1,,,SUMPRODUCT(MAX(ROW(E$2:E6031)*(E6031=E$2:E6031)))))-COUNTBLANK(OFFSET(A$1,,,SUMPRODUCT(MAX(ROW(E$1:E6030)*(E2=E$1:E6030))))))</f>
        <v> </v>
      </c>
      <c r="K6031" s="26" t="str">
        <f>IF(OR(E6031="",E6031="!!!",F6031="NEW"),"",INDEX(J$1:J6030,SUMPRODUCT(MAX(ROW(E$1:E6030)*(E6031=E$1:E6030)))))</f>
        <v> </v>
      </c>
      <c r="L6031" s="27"/>
    </row>
    <row r="6032" spans="1:12">
      <c r="A6032" s="20" t="s">
        <v>1460</v>
      </c>
      <c r="E6032" s="22">
        <f>IF(D6032="?OLD","!!!","")</f>
        <v/>
      </c>
      <c r="F6032" s="23" t="str">
        <f>IF(OR(E6032="",E6032="!!!"),"",IF(NOT(ISNA(VLOOKUP(E6032,E$1:E6031,1,FALSE()))),"OLD",IF(AND(E6032&lt;&gt;"",E6032&lt;&gt;"!!!"),"NEW","")))</f>
        <v> </v>
      </c>
      <c r="G6032" s="24" t="str">
        <f>IF(OR(E6032="",E6032="!!!"),"",IF(OR(J6032=0,AND(J6032=1,K6032=1),AND(J6032=1,I6032="SBJ"),AND(J6032=1,I6032=0)),"?IN_FOCUS",IF(J6032&lt;=2,"?ACTIVATED",IF(J6032&lt;&gt;"","?FAMILIAR",IF(F6032="NEW",IF(ISNA(VLOOKUP(E6032,#REF!,1,FALSE())),"?TYPE_IDENTIFIABLE","?REFERENTIAL"),"_")))))</f>
        <v> </v>
      </c>
      <c r="H6032" s="25" t="str">
        <f>IF(J6032&lt;&gt;1,"",IF(I6032="SBJ","CB","?"))</f>
        <v> </v>
      </c>
      <c r="I6032" s="26" t="str">
        <f>IF(OR(E6032="",E6032="!!!",F6032="NEW"),"",INDEX(B6031:B$2,-1+SUMPRODUCT(MAX(ROW(E6031:E$2)*(E6032=E6031:E$2)))))</f>
        <v> </v>
      </c>
      <c r="J6032" s="26" t="str">
        <f>IF(OR(E6032="",E6032="!!!",F6032="NEW"),"",COUNTBLANK(OFFSET(A$1,,,SUMPRODUCT(MAX(ROW(E$2:E6032)*(E6032=E$2:E6032)))))-COUNTBLANK(OFFSET(A$1,,,SUMPRODUCT(MAX(ROW(E$1:E6031)*(E2=E$1:E6031))))))</f>
        <v> </v>
      </c>
      <c r="K6032" s="26" t="str">
        <f>IF(OR(E6032="",E6032="!!!",F6032="NEW"),"",INDEX(J$1:J6031,SUMPRODUCT(MAX(ROW(E$1:E6031)*(E6032=E$1:E6031)))))</f>
        <v> </v>
      </c>
      <c r="L6032" s="27"/>
    </row>
    <row r="6033" spans="1:12">
      <c r="A6033" s="20" t="s">
        <v>2523</v>
      </c>
      <c r="E6033" s="22">
        <f>IF(D6033="?OLD","!!!","")</f>
        <v/>
      </c>
      <c r="F6033" s="23" t="str">
        <f>IF(OR(E6033="",E6033="!!!"),"",IF(NOT(ISNA(VLOOKUP(E6033,E$1:E6032,1,FALSE()))),"OLD",IF(AND(E6033&lt;&gt;"",E6033&lt;&gt;"!!!"),"NEW","")))</f>
        <v> </v>
      </c>
      <c r="G6033" s="24" t="str">
        <f>IF(OR(E6033="",E6033="!!!"),"",IF(OR(J6033=0,AND(J6033=1,K6033=1),AND(J6033=1,I6033="SBJ"),AND(J6033=1,I6033=0)),"?IN_FOCUS",IF(J6033&lt;=2,"?ACTIVATED",IF(J6033&lt;&gt;"","?FAMILIAR",IF(F6033="NEW",IF(ISNA(VLOOKUP(E6033,#REF!,1,FALSE())),"?TYPE_IDENTIFIABLE","?REFERENTIAL"),"_")))))</f>
        <v> </v>
      </c>
      <c r="H6033" s="25" t="str">
        <f>IF(J6033&lt;&gt;1,"",IF(I6033="SBJ","CB","?"))</f>
        <v> </v>
      </c>
      <c r="I6033" s="26" t="str">
        <f>IF(OR(E6033="",E6033="!!!",F6033="NEW"),"",INDEX(B6032:B$2,-1+SUMPRODUCT(MAX(ROW(E6032:E$2)*(E6033=E6032:E$2)))))</f>
        <v> </v>
      </c>
      <c r="J6033" s="26" t="str">
        <f>IF(OR(E6033="",E6033="!!!",F6033="NEW"),"",COUNTBLANK(OFFSET(A$1,,,SUMPRODUCT(MAX(ROW(E$2:E6033)*(E6033=E$2:E6033)))))-COUNTBLANK(OFFSET(A$1,,,SUMPRODUCT(MAX(ROW(E$1:E6032)*(E2=E$1:E6032))))))</f>
        <v> </v>
      </c>
      <c r="K6033" s="26" t="str">
        <f>IF(OR(E6033="",E6033="!!!",F6033="NEW"),"",INDEX(J$1:J6032,SUMPRODUCT(MAX(ROW(E$1:E6032)*(E6033=E$1:E6032)))))</f>
        <v> </v>
      </c>
      <c r="L6033" s="27"/>
    </row>
    <row r="6034" spans="1:12">
      <c r="A6034" s="20" t="s">
        <v>1041</v>
      </c>
      <c r="E6034" s="22">
        <f>IF(D6034="?OLD","!!!","")</f>
        <v/>
      </c>
      <c r="F6034" s="23" t="str">
        <f>IF(OR(E6034="",E6034="!!!"),"",IF(NOT(ISNA(VLOOKUP(E6034,E$1:E6033,1,FALSE()))),"OLD",IF(AND(E6034&lt;&gt;"",E6034&lt;&gt;"!!!"),"NEW","")))</f>
        <v> </v>
      </c>
      <c r="G6034" s="24" t="str">
        <f>IF(OR(E6034="",E6034="!!!"),"",IF(OR(J6034=0,AND(J6034=1,K6034=1),AND(J6034=1,I6034="SBJ"),AND(J6034=1,I6034=0)),"?IN_FOCUS",IF(J6034&lt;=2,"?ACTIVATED",IF(J6034&lt;&gt;"","?FAMILIAR",IF(F6034="NEW",IF(ISNA(VLOOKUP(E6034,#REF!,1,FALSE())),"?TYPE_IDENTIFIABLE","?REFERENTIAL"),"_")))))</f>
        <v> </v>
      </c>
      <c r="H6034" s="25" t="str">
        <f>IF(J6034&lt;&gt;1,"",IF(I6034="SBJ","CB","?"))</f>
        <v> </v>
      </c>
      <c r="I6034" s="26" t="str">
        <f>IF(OR(E6034="",E6034="!!!",F6034="NEW"),"",INDEX(B6033:B$2,-1+SUMPRODUCT(MAX(ROW(E6033:E$2)*(E6034=E6033:E$2)))))</f>
        <v> </v>
      </c>
      <c r="J6034" s="26" t="str">
        <f>IF(OR(E6034="",E6034="!!!",F6034="NEW"),"",COUNTBLANK(OFFSET(A$1,,,SUMPRODUCT(MAX(ROW(E$2:E6034)*(E6034=E$2:E6034)))))-COUNTBLANK(OFFSET(A$1,,,SUMPRODUCT(MAX(ROW(E$1:E6033)*(E2=E$1:E6033))))))</f>
        <v> </v>
      </c>
      <c r="K6034" s="26" t="str">
        <f>IF(OR(E6034="",E6034="!!!",F6034="NEW"),"",INDEX(J$1:J6033,SUMPRODUCT(MAX(ROW(E$1:E6033)*(E6034=E$1:E6033)))))</f>
        <v> </v>
      </c>
      <c r="L6034" s="27"/>
    </row>
    <row r="6035" spans="1:12">
      <c r="A6035" s="20" t="s">
        <v>737</v>
      </c>
      <c r="B6035" s="21" t="s">
        <v>1027</v>
      </c>
      <c r="C6035" s="21" t="s">
        <v>1015</v>
      </c>
      <c r="D6035" s="21" t="s">
        <v>997</v>
      </c>
      <c r="E6035" s="22">
        <f>IF(D6035="?OLD","!!!","")</f>
        <v/>
      </c>
      <c r="F6035" s="23" t="str">
        <f>IF(OR(E6035="",E6035="!!!"),"",IF(NOT(ISNA(VLOOKUP(E6035,E$1:E6034,1,FALSE()))),"OLD",IF(AND(E6035&lt;&gt;"",E6035&lt;&gt;"!!!"),"NEW","")))</f>
        <v> </v>
      </c>
      <c r="G6035" s="24" t="str">
        <f>IF(OR(E6035="",E6035="!!!"),"",IF(OR(J6035=0,AND(J6035=1,K6035=1),AND(J6035=1,I6035="SBJ"),AND(J6035=1,I6035=0)),"?IN_FOCUS",IF(J6035&lt;=2,"?ACTIVATED",IF(J6035&lt;&gt;"","?FAMILIAR",IF(F6035="NEW",IF(ISNA(VLOOKUP(E6035,#REF!,1,FALSE())),"?TYPE_IDENTIFIABLE","?REFERENTIAL"),"_")))))</f>
        <v> </v>
      </c>
      <c r="H6035" s="25" t="str">
        <f>IF(J6035&lt;&gt;1,"",IF(I6035="SBJ","CB","?"))</f>
        <v> </v>
      </c>
      <c r="I6035" s="26" t="str">
        <f>IF(OR(E6035="",E6035="!!!",F6035="NEW"),"",INDEX(B6034:B$2,-1+SUMPRODUCT(MAX(ROW(E6034:E$2)*(E6035=E6034:E$2)))))</f>
        <v> </v>
      </c>
      <c r="J6035" s="26" t="str">
        <f>IF(OR(E6035="",E6035="!!!",F6035="NEW"),"",COUNTBLANK(OFFSET(A$1,,,SUMPRODUCT(MAX(ROW(E$2:E6035)*(E6035=E$2:E6035)))))-COUNTBLANK(OFFSET(A$1,,,SUMPRODUCT(MAX(ROW(E$1:E6034)*(E2=E$1:E6034))))))</f>
        <v> </v>
      </c>
      <c r="K6035" s="26" t="str">
        <f>IF(OR(E6035="",E6035="!!!",F6035="NEW"),"",INDEX(J$1:J6034,SUMPRODUCT(MAX(ROW(E$1:E6034)*(E6035=E$1:E6034)))))</f>
        <v> </v>
      </c>
      <c r="L6035" s="27"/>
    </row>
    <row r="6036" spans="1:12">
      <c r="A6036" s="20" t="s">
        <v>1634</v>
      </c>
      <c r="B6036" s="21" t="s">
        <v>1039</v>
      </c>
      <c r="C6036" s="21" t="s">
        <v>996</v>
      </c>
      <c r="D6036" s="21" t="s">
        <v>997</v>
      </c>
      <c r="E6036" s="22">
        <f>IF(D6036="?OLD","!!!","")</f>
        <v/>
      </c>
      <c r="F6036" s="23" t="str">
        <f>IF(OR(E6036="",E6036="!!!"),"",IF(NOT(ISNA(VLOOKUP(E6036,E$1:E6035,1,FALSE()))),"OLD",IF(AND(E6036&lt;&gt;"",E6036&lt;&gt;"!!!"),"NEW","")))</f>
        <v> </v>
      </c>
      <c r="G6036" s="24" t="str">
        <f>IF(OR(E6036="",E6036="!!!"),"",IF(OR(J6036=0,AND(J6036=1,K6036=1),AND(J6036=1,I6036="SBJ"),AND(J6036=1,I6036=0)),"?IN_FOCUS",IF(J6036&lt;=2,"?ACTIVATED",IF(J6036&lt;&gt;"","?FAMILIAR",IF(F6036="NEW",IF(ISNA(VLOOKUP(E6036,#REF!,1,FALSE())),"?TYPE_IDENTIFIABLE","?REFERENTIAL"),"_")))))</f>
        <v> </v>
      </c>
      <c r="H6036" s="25" t="str">
        <f>IF(J6036&lt;&gt;1,"",IF(I6036="SBJ","CB","?"))</f>
        <v> </v>
      </c>
      <c r="I6036" s="26" t="str">
        <f>IF(OR(E6036="",E6036="!!!",F6036="NEW"),"",INDEX(B6035:B$2,-1+SUMPRODUCT(MAX(ROW(E6035:E$2)*(E6036=E6035:E$2)))))</f>
        <v> </v>
      </c>
      <c r="J6036" s="26" t="str">
        <f>IF(OR(E6036="",E6036="!!!",F6036="NEW"),"",COUNTBLANK(OFFSET(A$1,,,SUMPRODUCT(MAX(ROW(E$2:E6036)*(E6036=E$2:E6036)))))-COUNTBLANK(OFFSET(A$1,,,SUMPRODUCT(MAX(ROW(E$1:E6035)*(E2=E$1:E6035))))))</f>
        <v> </v>
      </c>
      <c r="K6036" s="26" t="str">
        <f>IF(OR(E6036="",E6036="!!!",F6036="NEW"),"",INDEX(J$1:J6035,SUMPRODUCT(MAX(ROW(E$1:E6035)*(E6036=E$1:E6035)))))</f>
        <v> </v>
      </c>
      <c r="L6036" s="27"/>
    </row>
    <row r="6037" spans="1:12">
      <c r="A6037" s="20" t="s">
        <v>423</v>
      </c>
      <c r="E6037" s="22">
        <f>IF(D6037="?OLD","!!!","")</f>
        <v/>
      </c>
      <c r="F6037" s="23" t="str">
        <f>IF(OR(E6037="",E6037="!!!"),"",IF(NOT(ISNA(VLOOKUP(E6037,E$1:E6036,1,FALSE()))),"OLD",IF(AND(E6037&lt;&gt;"",E6037&lt;&gt;"!!!"),"NEW","")))</f>
        <v> </v>
      </c>
      <c r="G6037" s="24" t="str">
        <f>IF(OR(E6037="",E6037="!!!"),"",IF(OR(J6037=0,AND(J6037=1,K6037=1),AND(J6037=1,I6037="SBJ"),AND(J6037=1,I6037=0)),"?IN_FOCUS",IF(J6037&lt;=2,"?ACTIVATED",IF(J6037&lt;&gt;"","?FAMILIAR",IF(F6037="NEW",IF(ISNA(VLOOKUP(E6037,#REF!,1,FALSE())),"?TYPE_IDENTIFIABLE","?REFERENTIAL"),"_")))))</f>
        <v> </v>
      </c>
      <c r="H6037" s="25" t="str">
        <f>IF(J6037&lt;&gt;1,"",IF(I6037="SBJ","CB","?"))</f>
        <v> </v>
      </c>
      <c r="I6037" s="26" t="str">
        <f>IF(OR(E6037="",E6037="!!!",F6037="NEW"),"",INDEX(B6036:B$2,-1+SUMPRODUCT(MAX(ROW(E6036:E$2)*(E6037=E6036:E$2)))))</f>
        <v> </v>
      </c>
      <c r="J6037" s="26" t="str">
        <f>IF(OR(E6037="",E6037="!!!",F6037="NEW"),"",COUNTBLANK(OFFSET(A$1,,,SUMPRODUCT(MAX(ROW(E$2:E6037)*(E6037=E$2:E6037)))))-COUNTBLANK(OFFSET(A$1,,,SUMPRODUCT(MAX(ROW(E$1:E6036)*(E2=E$1:E6036))))))</f>
        <v> </v>
      </c>
      <c r="K6037" s="26" t="str">
        <f>IF(OR(E6037="",E6037="!!!",F6037="NEW"),"",INDEX(J$1:J6036,SUMPRODUCT(MAX(ROW(E$1:E6036)*(E6037=E$1:E6036)))))</f>
        <v> </v>
      </c>
      <c r="L6037" s="27"/>
    </row>
    <row r="6038" spans="1:12">
      <c r="A6038" s="20" t="s">
        <v>2524</v>
      </c>
      <c r="E6038" s="22">
        <f>IF(D6038="?OLD","!!!","")</f>
        <v/>
      </c>
      <c r="F6038" s="23" t="str">
        <f>IF(OR(E6038="",E6038="!!!"),"",IF(NOT(ISNA(VLOOKUP(E6038,E$1:E6037,1,FALSE()))),"OLD",IF(AND(E6038&lt;&gt;"",E6038&lt;&gt;"!!!"),"NEW","")))</f>
        <v> </v>
      </c>
      <c r="G6038" s="24" t="str">
        <f>IF(OR(E6038="",E6038="!!!"),"",IF(OR(J6038=0,AND(J6038=1,K6038=1),AND(J6038=1,I6038="SBJ"),AND(J6038=1,I6038=0)),"?IN_FOCUS",IF(J6038&lt;=2,"?ACTIVATED",IF(J6038&lt;&gt;"","?FAMILIAR",IF(F6038="NEW",IF(ISNA(VLOOKUP(E6038,#REF!,1,FALSE())),"?TYPE_IDENTIFIABLE","?REFERENTIAL"),"_")))))</f>
        <v> </v>
      </c>
      <c r="H6038" s="25" t="str">
        <f>IF(J6038&lt;&gt;1,"",IF(I6038="SBJ","CB","?"))</f>
        <v> </v>
      </c>
      <c r="I6038" s="26" t="str">
        <f>IF(OR(E6038="",E6038="!!!",F6038="NEW"),"",INDEX(B6037:B$2,-1+SUMPRODUCT(MAX(ROW(E6037:E$2)*(E6038=E6037:E$2)))))</f>
        <v> </v>
      </c>
      <c r="J6038" s="26" t="str">
        <f>IF(OR(E6038="",E6038="!!!",F6038="NEW"),"",COUNTBLANK(OFFSET(A$1,,,SUMPRODUCT(MAX(ROW(E$2:E6038)*(E6038=E$2:E6038)))))-COUNTBLANK(OFFSET(A$1,,,SUMPRODUCT(MAX(ROW(E$1:E6037)*(E2=E$1:E6037))))))</f>
        <v> </v>
      </c>
      <c r="K6038" s="26" t="str">
        <f>IF(OR(E6038="",E6038="!!!",F6038="NEW"),"",INDEX(J$1:J6037,SUMPRODUCT(MAX(ROW(E$1:E6037)*(E6038=E$1:E6037)))))</f>
        <v> </v>
      </c>
      <c r="L6038" s="27"/>
    </row>
    <row r="6039" spans="1:12">
      <c r="A6039" s="20" t="s">
        <v>1082</v>
      </c>
      <c r="E6039" s="22">
        <f>IF(D6039="?OLD","!!!","")</f>
        <v/>
      </c>
      <c r="F6039" s="23" t="str">
        <f>IF(OR(E6039="",E6039="!!!"),"",IF(NOT(ISNA(VLOOKUP(E6039,E$1:E6038,1,FALSE()))),"OLD",IF(AND(E6039&lt;&gt;"",E6039&lt;&gt;"!!!"),"NEW","")))</f>
        <v> </v>
      </c>
      <c r="G6039" s="24" t="str">
        <f>IF(OR(E6039="",E6039="!!!"),"",IF(OR(J6039=0,AND(J6039=1,K6039=1),AND(J6039=1,I6039="SBJ"),AND(J6039=1,I6039=0)),"?IN_FOCUS",IF(J6039&lt;=2,"?ACTIVATED",IF(J6039&lt;&gt;"","?FAMILIAR",IF(F6039="NEW",IF(ISNA(VLOOKUP(E6039,#REF!,1,FALSE())),"?TYPE_IDENTIFIABLE","?REFERENTIAL"),"_")))))</f>
        <v> </v>
      </c>
      <c r="H6039" s="25" t="str">
        <f>IF(J6039&lt;&gt;1,"",IF(I6039="SBJ","CB","?"))</f>
        <v> </v>
      </c>
      <c r="I6039" s="26" t="str">
        <f>IF(OR(E6039="",E6039="!!!",F6039="NEW"),"",INDEX(B6038:B$2,-1+SUMPRODUCT(MAX(ROW(E6038:E$2)*(E6039=E6038:E$2)))))</f>
        <v> </v>
      </c>
      <c r="J6039" s="26" t="str">
        <f>IF(OR(E6039="",E6039="!!!",F6039="NEW"),"",COUNTBLANK(OFFSET(A$1,,,SUMPRODUCT(MAX(ROW(E$2:E6039)*(E6039=E$2:E6039)))))-COUNTBLANK(OFFSET(A$1,,,SUMPRODUCT(MAX(ROW(E$1:E6038)*(E2=E$1:E6038))))))</f>
        <v> </v>
      </c>
      <c r="K6039" s="26" t="str">
        <f>IF(OR(E6039="",E6039="!!!",F6039="NEW"),"",INDEX(J$1:J6038,SUMPRODUCT(MAX(ROW(E$1:E6038)*(E6039=E$1:E6038)))))</f>
        <v> </v>
      </c>
      <c r="L6039" s="27"/>
    </row>
    <row r="6040" spans="1:12">
      <c r="A6040" s="20" t="s">
        <v>1083</v>
      </c>
      <c r="B6040" s="21" t="s">
        <v>1114</v>
      </c>
      <c r="C6040" s="21" t="s">
        <v>996</v>
      </c>
      <c r="D6040" s="21" t="s">
        <v>997</v>
      </c>
      <c r="E6040" s="22">
        <f>IF(D6040="?OLD","!!!","")</f>
        <v/>
      </c>
      <c r="F6040" s="23" t="str">
        <f>IF(OR(E6040="",E6040="!!!"),"",IF(NOT(ISNA(VLOOKUP(E6040,E$1:E6039,1,FALSE()))),"OLD",IF(AND(E6040&lt;&gt;"",E6040&lt;&gt;"!!!"),"NEW","")))</f>
        <v> </v>
      </c>
      <c r="G6040" s="24" t="str">
        <f>IF(OR(E6040="",E6040="!!!"),"",IF(OR(J6040=0,AND(J6040=1,K6040=1),AND(J6040=1,I6040="SBJ"),AND(J6040=1,I6040=0)),"?IN_FOCUS",IF(J6040&lt;=2,"?ACTIVATED",IF(J6040&lt;&gt;"","?FAMILIAR",IF(F6040="NEW",IF(ISNA(VLOOKUP(E6040,#REF!,1,FALSE())),"?TYPE_IDENTIFIABLE","?REFERENTIAL"),"_")))))</f>
        <v> </v>
      </c>
      <c r="H6040" s="25" t="str">
        <f>IF(J6040&lt;&gt;1,"",IF(I6040="SBJ","CB","?"))</f>
        <v> </v>
      </c>
      <c r="I6040" s="26" t="str">
        <f>IF(OR(E6040="",E6040="!!!",F6040="NEW"),"",INDEX(B6039:B$2,-1+SUMPRODUCT(MAX(ROW(E6039:E$2)*(E6040=E6039:E$2)))))</f>
        <v> </v>
      </c>
      <c r="J6040" s="26" t="str">
        <f>IF(OR(E6040="",E6040="!!!",F6040="NEW"),"",COUNTBLANK(OFFSET(A$1,,,SUMPRODUCT(MAX(ROW(E$2:E6040)*(E6040=E$2:E6040)))))-COUNTBLANK(OFFSET(A$1,,,SUMPRODUCT(MAX(ROW(E$1:E6039)*(E2=E$1:E6039))))))</f>
        <v> </v>
      </c>
      <c r="K6040" s="26" t="str">
        <f>IF(OR(E6040="",E6040="!!!",F6040="NEW"),"",INDEX(J$1:J6039,SUMPRODUCT(MAX(ROW(E$1:E6039)*(E6040=E$1:E6039)))))</f>
        <v> </v>
      </c>
      <c r="L6040" s="27"/>
    </row>
    <row r="6041" spans="1:12">
      <c r="A6041" s="20" t="s">
        <v>1095</v>
      </c>
      <c r="E6041" s="22">
        <f>IF(D6041="?OLD","!!!","")</f>
        <v/>
      </c>
      <c r="F6041" s="23" t="str">
        <f>IF(OR(E6041="",E6041="!!!"),"",IF(NOT(ISNA(VLOOKUP(E6041,E$1:E6040,1,FALSE()))),"OLD",IF(AND(E6041&lt;&gt;"",E6041&lt;&gt;"!!!"),"NEW","")))</f>
        <v> </v>
      </c>
      <c r="G6041" s="24" t="str">
        <f>IF(OR(E6041="",E6041="!!!"),"",IF(OR(J6041=0,AND(J6041=1,K6041=1),AND(J6041=1,I6041="SBJ"),AND(J6041=1,I6041=0)),"?IN_FOCUS",IF(J6041&lt;=2,"?ACTIVATED",IF(J6041&lt;&gt;"","?FAMILIAR",IF(F6041="NEW",IF(ISNA(VLOOKUP(E6041,#REF!,1,FALSE())),"?TYPE_IDENTIFIABLE","?REFERENTIAL"),"_")))))</f>
        <v> </v>
      </c>
      <c r="H6041" s="25" t="str">
        <f>IF(J6041&lt;&gt;1,"",IF(I6041="SBJ","CB","?"))</f>
        <v> </v>
      </c>
      <c r="I6041" s="26" t="str">
        <f>IF(OR(E6041="",E6041="!!!",F6041="NEW"),"",INDEX(B6040:B$2,-1+SUMPRODUCT(MAX(ROW(E6040:E$2)*(E6041=E6040:E$2)))))</f>
        <v> </v>
      </c>
      <c r="J6041" s="26" t="str">
        <f>IF(OR(E6041="",E6041="!!!",F6041="NEW"),"",COUNTBLANK(OFFSET(A$1,,,SUMPRODUCT(MAX(ROW(E$2:E6041)*(E6041=E$2:E6041)))))-COUNTBLANK(OFFSET(A$1,,,SUMPRODUCT(MAX(ROW(E$1:E6040)*(E2=E$1:E6040))))))</f>
        <v> </v>
      </c>
      <c r="K6041" s="26" t="str">
        <f>IF(OR(E6041="",E6041="!!!",F6041="NEW"),"",INDEX(J$1:J6040,SUMPRODUCT(MAX(ROW(E$1:E6040)*(E6041=E$1:E6040)))))</f>
        <v> </v>
      </c>
      <c r="L6041" s="27"/>
    </row>
    <row r="6042" spans="1:12">
      <c r="A6042" s="20" t="s">
        <v>2525</v>
      </c>
      <c r="E6042" s="22">
        <f>IF(D6042="?OLD","!!!","")</f>
        <v/>
      </c>
      <c r="F6042" s="23" t="str">
        <f>IF(OR(E6042="",E6042="!!!"),"",IF(NOT(ISNA(VLOOKUP(E6042,E$1:E6041,1,FALSE()))),"OLD",IF(AND(E6042&lt;&gt;"",E6042&lt;&gt;"!!!"),"NEW","")))</f>
        <v> </v>
      </c>
      <c r="G6042" s="24" t="str">
        <f>IF(OR(E6042="",E6042="!!!"),"",IF(OR(J6042=0,AND(J6042=1,K6042=1),AND(J6042=1,I6042="SBJ"),AND(J6042=1,I6042=0)),"?IN_FOCUS",IF(J6042&lt;=2,"?ACTIVATED",IF(J6042&lt;&gt;"","?FAMILIAR",IF(F6042="NEW",IF(ISNA(VLOOKUP(E6042,#REF!,1,FALSE())),"?TYPE_IDENTIFIABLE","?REFERENTIAL"),"_")))))</f>
        <v> </v>
      </c>
      <c r="H6042" s="25" t="str">
        <f>IF(J6042&lt;&gt;1,"",IF(I6042="SBJ","CB","?"))</f>
        <v> </v>
      </c>
      <c r="I6042" s="26" t="str">
        <f>IF(OR(E6042="",E6042="!!!",F6042="NEW"),"",INDEX(B6041:B$2,-1+SUMPRODUCT(MAX(ROW(E6041:E$2)*(E6042=E6041:E$2)))))</f>
        <v> </v>
      </c>
      <c r="J6042" s="26" t="str">
        <f>IF(OR(E6042="",E6042="!!!",F6042="NEW"),"",COUNTBLANK(OFFSET(A$1,,,SUMPRODUCT(MAX(ROW(E$2:E6042)*(E6042=E$2:E6042)))))-COUNTBLANK(OFFSET(A$1,,,SUMPRODUCT(MAX(ROW(E$1:E6041)*(E2=E$1:E6041))))))</f>
        <v> </v>
      </c>
      <c r="K6042" s="26" t="str">
        <f>IF(OR(E6042="",E6042="!!!",F6042="NEW"),"",INDEX(J$1:J6041,SUMPRODUCT(MAX(ROW(E$1:E6041)*(E6042=E$1:E6041)))))</f>
        <v> </v>
      </c>
      <c r="L6042" s="27"/>
    </row>
    <row r="6043" spans="1:12">
      <c r="A6043" s="20" t="s">
        <v>1097</v>
      </c>
      <c r="E6043" s="22">
        <f>IF(D6043="?OLD","!!!","")</f>
        <v/>
      </c>
      <c r="F6043" s="23" t="str">
        <f>IF(OR(E6043="",E6043="!!!"),"",IF(NOT(ISNA(VLOOKUP(E6043,E$1:E6042,1,FALSE()))),"OLD",IF(AND(E6043&lt;&gt;"",E6043&lt;&gt;"!!!"),"NEW","")))</f>
        <v> </v>
      </c>
      <c r="G6043" s="24" t="str">
        <f>IF(OR(E6043="",E6043="!!!"),"",IF(OR(J6043=0,AND(J6043=1,K6043=1),AND(J6043=1,I6043="SBJ"),AND(J6043=1,I6043=0)),"?IN_FOCUS",IF(J6043&lt;=2,"?ACTIVATED",IF(J6043&lt;&gt;"","?FAMILIAR",IF(F6043="NEW",IF(ISNA(VLOOKUP(E6043,#REF!,1,FALSE())),"?TYPE_IDENTIFIABLE","?REFERENTIAL"),"_")))))</f>
        <v> </v>
      </c>
      <c r="H6043" s="25" t="str">
        <f>IF(J6043&lt;&gt;1,"",IF(I6043="SBJ","CB","?"))</f>
        <v> </v>
      </c>
      <c r="I6043" s="26" t="str">
        <f>IF(OR(E6043="",E6043="!!!",F6043="NEW"),"",INDEX(B6042:B$2,-1+SUMPRODUCT(MAX(ROW(E6042:E$2)*(E6043=E6042:E$2)))))</f>
        <v> </v>
      </c>
      <c r="J6043" s="26" t="str">
        <f>IF(OR(E6043="",E6043="!!!",F6043="NEW"),"",COUNTBLANK(OFFSET(A$1,,,SUMPRODUCT(MAX(ROW(E$2:E6043)*(E6043=E$2:E6043)))))-COUNTBLANK(OFFSET(A$1,,,SUMPRODUCT(MAX(ROW(E$1:E6042)*(E2=E$1:E6042))))))</f>
        <v> </v>
      </c>
      <c r="K6043" s="26" t="str">
        <f>IF(OR(E6043="",E6043="!!!",F6043="NEW"),"",INDEX(J$1:J6042,SUMPRODUCT(MAX(ROW(E$1:E6042)*(E6043=E$1:E6042)))))</f>
        <v> </v>
      </c>
      <c r="L6043" s="27"/>
    </row>
    <row r="6044" spans="1:12">
      <c r="A6044" s="20" t="s">
        <v>1008</v>
      </c>
      <c r="E6044" s="22">
        <f>IF(D6044="?OLD","!!!","")</f>
        <v/>
      </c>
      <c r="F6044" s="23" t="str">
        <f>IF(OR(E6044="",E6044="!!!"),"",IF(NOT(ISNA(VLOOKUP(E6044,E$1:E6043,1,FALSE()))),"OLD",IF(AND(E6044&lt;&gt;"",E6044&lt;&gt;"!!!"),"NEW","")))</f>
        <v> </v>
      </c>
      <c r="G6044" s="24" t="str">
        <f>IF(OR(E6044="",E6044="!!!"),"",IF(OR(J6044=0,AND(J6044=1,K6044=1),AND(J6044=1,I6044="SBJ"),AND(J6044=1,I6044=0)),"?IN_FOCUS",IF(J6044&lt;=2,"?ACTIVATED",IF(J6044&lt;&gt;"","?FAMILIAR",IF(F6044="NEW",IF(ISNA(VLOOKUP(E6044,#REF!,1,FALSE())),"?TYPE_IDENTIFIABLE","?REFERENTIAL"),"_")))))</f>
        <v> </v>
      </c>
      <c r="H6044" s="25" t="str">
        <f>IF(J6044&lt;&gt;1,"",IF(I6044="SBJ","CB","?"))</f>
        <v> </v>
      </c>
      <c r="I6044" s="26" t="str">
        <f>IF(OR(E6044="",E6044="!!!",F6044="NEW"),"",INDEX(B6043:B$2,-1+SUMPRODUCT(MAX(ROW(E6043:E$2)*(E6044=E6043:E$2)))))</f>
        <v> </v>
      </c>
      <c r="J6044" s="26" t="str">
        <f>IF(OR(E6044="",E6044="!!!",F6044="NEW"),"",COUNTBLANK(OFFSET(A$1,,,SUMPRODUCT(MAX(ROW(E$2:E6044)*(E6044=E$2:E6044)))))-COUNTBLANK(OFFSET(A$1,,,SUMPRODUCT(MAX(ROW(E$1:E6043)*(E2=E$1:E6043))))))</f>
        <v> </v>
      </c>
      <c r="K6044" s="26" t="str">
        <f>IF(OR(E6044="",E6044="!!!",F6044="NEW"),"",INDEX(J$1:J6043,SUMPRODUCT(MAX(ROW(E$1:E6043)*(E6044=E$1:E6043)))))</f>
        <v> </v>
      </c>
      <c r="L6044" s="27"/>
    </row>
    <row r="6045" spans="1:12">
      <c r="A6045" s="20" t="s">
        <v>1203</v>
      </c>
      <c r="B6045" s="21" t="s">
        <v>1088</v>
      </c>
      <c r="C6045" s="21" t="s">
        <v>1089</v>
      </c>
      <c r="E6045" s="22">
        <f>IF(D6045="?OLD","!!!","")</f>
        <v/>
      </c>
      <c r="F6045" s="23" t="str">
        <f>IF(OR(E6045="",E6045="!!!"),"",IF(NOT(ISNA(VLOOKUP(E6045,E$1:E6044,1,FALSE()))),"OLD",IF(AND(E6045&lt;&gt;"",E6045&lt;&gt;"!!!"),"NEW","")))</f>
        <v> </v>
      </c>
      <c r="G6045" s="24" t="str">
        <f>IF(OR(E6045="",E6045="!!!"),"",IF(OR(J6045=0,AND(J6045=1,K6045=1),AND(J6045=1,I6045="SBJ"),AND(J6045=1,I6045=0)),"?IN_FOCUS",IF(J6045&lt;=2,"?ACTIVATED",IF(J6045&lt;&gt;"","?FAMILIAR",IF(F6045="NEW",IF(ISNA(VLOOKUP(E6045,#REF!,1,FALSE())),"?TYPE_IDENTIFIABLE","?REFERENTIAL"),"_")))))</f>
        <v> </v>
      </c>
      <c r="H6045" s="25" t="str">
        <f>IF(J6045&lt;&gt;1,"",IF(I6045="SBJ","CB","?"))</f>
        <v> </v>
      </c>
      <c r="I6045" s="26" t="str">
        <f>IF(OR(E6045="",E6045="!!!",F6045="NEW"),"",INDEX(B6044:B$2,-1+SUMPRODUCT(MAX(ROW(E6044:E$2)*(E6045=E6044:E$2)))))</f>
        <v> </v>
      </c>
      <c r="J6045" s="26" t="str">
        <f>IF(OR(E6045="",E6045="!!!",F6045="NEW"),"",COUNTBLANK(OFFSET(A$1,,,SUMPRODUCT(MAX(ROW(E$2:E6045)*(E6045=E$2:E6045)))))-COUNTBLANK(OFFSET(A$1,,,SUMPRODUCT(MAX(ROW(E$1:E6044)*(E2=E$1:E6044))))))</f>
        <v> </v>
      </c>
      <c r="K6045" s="26" t="str">
        <f>IF(OR(E6045="",E6045="!!!",F6045="NEW"),"",INDEX(J$1:J6044,SUMPRODUCT(MAX(ROW(E$1:E6044)*(E6045=E$1:E6044)))))</f>
        <v> </v>
      </c>
      <c r="L6045" s="27"/>
    </row>
    <row r="6046" spans="1:12">
      <c r="A6046" s="20" t="s">
        <v>1041</v>
      </c>
      <c r="E6046" s="22">
        <f>IF(D6046="?OLD","!!!","")</f>
        <v/>
      </c>
      <c r="F6046" s="23" t="str">
        <f>IF(OR(E6046="",E6046="!!!"),"",IF(NOT(ISNA(VLOOKUP(E6046,E$1:E6045,1,FALSE()))),"OLD",IF(AND(E6046&lt;&gt;"",E6046&lt;&gt;"!!!"),"NEW","")))</f>
        <v> </v>
      </c>
      <c r="G6046" s="24" t="str">
        <f>IF(OR(E6046="",E6046="!!!"),"",IF(OR(J6046=0,AND(J6046=1,K6046=1),AND(J6046=1,I6046="SBJ"),AND(J6046=1,I6046=0)),"?IN_FOCUS",IF(J6046&lt;=2,"?ACTIVATED",IF(J6046&lt;&gt;"","?FAMILIAR",IF(F6046="NEW",IF(ISNA(VLOOKUP(E6046,#REF!,1,FALSE())),"?TYPE_IDENTIFIABLE","?REFERENTIAL"),"_")))))</f>
        <v> </v>
      </c>
      <c r="H6046" s="25" t="str">
        <f>IF(J6046&lt;&gt;1,"",IF(I6046="SBJ","CB","?"))</f>
        <v> </v>
      </c>
      <c r="I6046" s="26" t="str">
        <f>IF(OR(E6046="",E6046="!!!",F6046="NEW"),"",INDEX(B6045:B$2,-1+SUMPRODUCT(MAX(ROW(E6045:E$2)*(E6046=E6045:E$2)))))</f>
        <v> </v>
      </c>
      <c r="J6046" s="26" t="str">
        <f>IF(OR(E6046="",E6046="!!!",F6046="NEW"),"",COUNTBLANK(OFFSET(A$1,,,SUMPRODUCT(MAX(ROW(E$2:E6046)*(E6046=E$2:E6046)))))-COUNTBLANK(OFFSET(A$1,,,SUMPRODUCT(MAX(ROW(E$1:E6045)*(E2=E$1:E6045))))))</f>
        <v> </v>
      </c>
      <c r="K6046" s="26" t="str">
        <f>IF(OR(E6046="",E6046="!!!",F6046="NEW"),"",INDEX(J$1:J6045,SUMPRODUCT(MAX(ROW(E$1:E6045)*(E6046=E$1:E6045)))))</f>
        <v> </v>
      </c>
      <c r="L6046" s="27"/>
    </row>
    <row r="6047" spans="1:12">
      <c r="A6047" s="20" t="s">
        <v>1263</v>
      </c>
      <c r="B6047" s="21" t="s">
        <v>1045</v>
      </c>
      <c r="C6047" s="21" t="s">
        <v>996</v>
      </c>
      <c r="D6047" s="21" t="s">
        <v>997</v>
      </c>
      <c r="E6047" s="22">
        <f>IF(D6047="?OLD","!!!","")</f>
        <v/>
      </c>
      <c r="F6047" s="23" t="str">
        <f>IF(OR(E6047="",E6047="!!!"),"",IF(NOT(ISNA(VLOOKUP(E6047,E$1:E6046,1,FALSE()))),"OLD",IF(AND(E6047&lt;&gt;"",E6047&lt;&gt;"!!!"),"NEW","")))</f>
        <v> </v>
      </c>
      <c r="G6047" s="24" t="str">
        <f>IF(OR(E6047="",E6047="!!!"),"",IF(OR(J6047=0,AND(J6047=1,K6047=1),AND(J6047=1,I6047="SBJ"),AND(J6047=1,I6047=0)),"?IN_FOCUS",IF(J6047&lt;=2,"?ACTIVATED",IF(J6047&lt;&gt;"","?FAMILIAR",IF(F6047="NEW",IF(ISNA(VLOOKUP(E6047,#REF!,1,FALSE())),"?TYPE_IDENTIFIABLE","?REFERENTIAL"),"_")))))</f>
        <v> </v>
      </c>
      <c r="H6047" s="25" t="str">
        <f>IF(J6047&lt;&gt;1,"",IF(I6047="SBJ","CB","?"))</f>
        <v> </v>
      </c>
      <c r="I6047" s="26" t="str">
        <f>IF(OR(E6047="",E6047="!!!",F6047="NEW"),"",INDEX(B6046:B$2,-1+SUMPRODUCT(MAX(ROW(E6046:E$2)*(E6047=E6046:E$2)))))</f>
        <v> </v>
      </c>
      <c r="J6047" s="26" t="str">
        <f>IF(OR(E6047="",E6047="!!!",F6047="NEW"),"",COUNTBLANK(OFFSET(A$1,,,SUMPRODUCT(MAX(ROW(E$2:E6047)*(E6047=E$2:E6047)))))-COUNTBLANK(OFFSET(A$1,,,SUMPRODUCT(MAX(ROW(E$1:E6046)*(E2=E$1:E6046))))))</f>
        <v> </v>
      </c>
      <c r="K6047" s="26" t="str">
        <f>IF(OR(E6047="",E6047="!!!",F6047="NEW"),"",INDEX(J$1:J6046,SUMPRODUCT(MAX(ROW(E$1:E6046)*(E6047=E$1:E6046)))))</f>
        <v> </v>
      </c>
      <c r="L6047" s="27"/>
    </row>
    <row r="6048" spans="1:12">
      <c r="A6048" s="20" t="s">
        <v>2526</v>
      </c>
      <c r="E6048" s="22">
        <f>IF(D6048="?OLD","!!!","")</f>
        <v/>
      </c>
      <c r="F6048" s="23" t="str">
        <f>IF(OR(E6048="",E6048="!!!"),"",IF(NOT(ISNA(VLOOKUP(E6048,E$1:E6047,1,FALSE()))),"OLD",IF(AND(E6048&lt;&gt;"",E6048&lt;&gt;"!!!"),"NEW","")))</f>
        <v> </v>
      </c>
      <c r="G6048" s="24" t="str">
        <f>IF(OR(E6048="",E6048="!!!"),"",IF(OR(J6048=0,AND(J6048=1,K6048=1),AND(J6048=1,I6048="SBJ"),AND(J6048=1,I6048=0)),"?IN_FOCUS",IF(J6048&lt;=2,"?ACTIVATED",IF(J6048&lt;&gt;"","?FAMILIAR",IF(F6048="NEW",IF(ISNA(VLOOKUP(E6048,#REF!,1,FALSE())),"?TYPE_IDENTIFIABLE","?REFERENTIAL"),"_")))))</f>
        <v> </v>
      </c>
      <c r="H6048" s="25" t="str">
        <f>IF(J6048&lt;&gt;1,"",IF(I6048="SBJ","CB","?"))</f>
        <v> </v>
      </c>
      <c r="I6048" s="26" t="str">
        <f>IF(OR(E6048="",E6048="!!!",F6048="NEW"),"",INDEX(B6047:B$2,-1+SUMPRODUCT(MAX(ROW(E6047:E$2)*(E6048=E6047:E$2)))))</f>
        <v> </v>
      </c>
      <c r="J6048" s="26" t="str">
        <f>IF(OR(E6048="",E6048="!!!",F6048="NEW"),"",COUNTBLANK(OFFSET(A$1,,,SUMPRODUCT(MAX(ROW(E$2:E6048)*(E6048=E$2:E6048)))))-COUNTBLANK(OFFSET(A$1,,,SUMPRODUCT(MAX(ROW(E$1:E6047)*(E2=E$1:E6047))))))</f>
        <v> </v>
      </c>
      <c r="K6048" s="26" t="str">
        <f>IF(OR(E6048="",E6048="!!!",F6048="NEW"),"",INDEX(J$1:J6047,SUMPRODUCT(MAX(ROW(E$1:E6047)*(E6048=E$1:E6047)))))</f>
        <v> </v>
      </c>
      <c r="L6048" s="27"/>
    </row>
    <row r="6049" spans="1:12">
      <c r="A6049" s="20" t="s">
        <v>2527</v>
      </c>
      <c r="E6049" s="22">
        <f>IF(D6049="?OLD","!!!","")</f>
        <v/>
      </c>
      <c r="F6049" s="23" t="str">
        <f>IF(OR(E6049="",E6049="!!!"),"",IF(NOT(ISNA(VLOOKUP(E6049,E$1:E6048,1,FALSE()))),"OLD",IF(AND(E6049&lt;&gt;"",E6049&lt;&gt;"!!!"),"NEW","")))</f>
        <v> </v>
      </c>
      <c r="G6049" s="24" t="str">
        <f>IF(OR(E6049="",E6049="!!!"),"",IF(OR(J6049=0,AND(J6049=1,K6049=1),AND(J6049=1,I6049="SBJ"),AND(J6049=1,I6049=0)),"?IN_FOCUS",IF(J6049&lt;=2,"?ACTIVATED",IF(J6049&lt;&gt;"","?FAMILIAR",IF(F6049="NEW",IF(ISNA(VLOOKUP(E6049,#REF!,1,FALSE())),"?TYPE_IDENTIFIABLE","?REFERENTIAL"),"_")))))</f>
        <v> </v>
      </c>
      <c r="H6049" s="25" t="str">
        <f>IF(J6049&lt;&gt;1,"",IF(I6049="SBJ","CB","?"))</f>
        <v> </v>
      </c>
      <c r="I6049" s="26" t="str">
        <f>IF(OR(E6049="",E6049="!!!",F6049="NEW"),"",INDEX(B6048:B$2,-1+SUMPRODUCT(MAX(ROW(E6048:E$2)*(E6049=E6048:E$2)))))</f>
        <v> </v>
      </c>
      <c r="J6049" s="26" t="str">
        <f>IF(OR(E6049="",E6049="!!!",F6049="NEW"),"",COUNTBLANK(OFFSET(A$1,,,SUMPRODUCT(MAX(ROW(E$2:E6049)*(E6049=E$2:E6049)))))-COUNTBLANK(OFFSET(A$1,,,SUMPRODUCT(MAX(ROW(E$1:E6048)*(E2=E$1:E6048))))))</f>
        <v> </v>
      </c>
      <c r="K6049" s="26" t="str">
        <f>IF(OR(E6049="",E6049="!!!",F6049="NEW"),"",INDEX(J$1:J6048,SUMPRODUCT(MAX(ROW(E$1:E6048)*(E6049=E$1:E6048)))))</f>
        <v> </v>
      </c>
      <c r="L6049" s="27"/>
    </row>
    <row r="6050" spans="1:12">
      <c r="A6050" s="20" t="s">
        <v>1082</v>
      </c>
      <c r="E6050" s="22">
        <f>IF(D6050="?OLD","!!!","")</f>
        <v/>
      </c>
      <c r="F6050" s="23" t="str">
        <f>IF(OR(E6050="",E6050="!!!"),"",IF(NOT(ISNA(VLOOKUP(E6050,E$1:E6049,1,FALSE()))),"OLD",IF(AND(E6050&lt;&gt;"",E6050&lt;&gt;"!!!"),"NEW","")))</f>
        <v> </v>
      </c>
      <c r="G6050" s="24" t="str">
        <f>IF(OR(E6050="",E6050="!!!"),"",IF(OR(J6050=0,AND(J6050=1,K6050=1),AND(J6050=1,I6050="SBJ"),AND(J6050=1,I6050=0)),"?IN_FOCUS",IF(J6050&lt;=2,"?ACTIVATED",IF(J6050&lt;&gt;"","?FAMILIAR",IF(F6050="NEW",IF(ISNA(VLOOKUP(E6050,#REF!,1,FALSE())),"?TYPE_IDENTIFIABLE","?REFERENTIAL"),"_")))))</f>
        <v> </v>
      </c>
      <c r="H6050" s="25" t="str">
        <f>IF(J6050&lt;&gt;1,"",IF(I6050="SBJ","CB","?"))</f>
        <v> </v>
      </c>
      <c r="I6050" s="26" t="str">
        <f>IF(OR(E6050="",E6050="!!!",F6050="NEW"),"",INDEX(B6049:B$2,-1+SUMPRODUCT(MAX(ROW(E6049:E$2)*(E6050=E6049:E$2)))))</f>
        <v> </v>
      </c>
      <c r="J6050" s="26" t="str">
        <f>IF(OR(E6050="",E6050="!!!",F6050="NEW"),"",COUNTBLANK(OFFSET(A$1,,,SUMPRODUCT(MAX(ROW(E$2:E6050)*(E6050=E$2:E6050)))))-COUNTBLANK(OFFSET(A$1,,,SUMPRODUCT(MAX(ROW(E$1:E6049)*(E2=E$1:E6049))))))</f>
        <v> </v>
      </c>
      <c r="K6050" s="26" t="str">
        <f>IF(OR(E6050="",E6050="!!!",F6050="NEW"),"",INDEX(J$1:J6049,SUMPRODUCT(MAX(ROW(E$1:E6049)*(E6050=E$1:E6049)))))</f>
        <v> </v>
      </c>
      <c r="L6050" s="27"/>
    </row>
    <row r="6051" spans="1:12">
      <c r="A6051" s="20" t="s">
        <v>1083</v>
      </c>
      <c r="B6051" s="21" t="s">
        <v>1094</v>
      </c>
      <c r="C6051" s="21" t="s">
        <v>996</v>
      </c>
      <c r="D6051" s="21" t="s">
        <v>997</v>
      </c>
      <c r="E6051" s="22">
        <f>IF(D6051="?OLD","!!!","")</f>
        <v/>
      </c>
      <c r="F6051" s="23" t="str">
        <f>IF(OR(E6051="",E6051="!!!"),"",IF(NOT(ISNA(VLOOKUP(E6051,E$1:E6050,1,FALSE()))),"OLD",IF(AND(E6051&lt;&gt;"",E6051&lt;&gt;"!!!"),"NEW","")))</f>
        <v> </v>
      </c>
      <c r="G6051" s="24" t="str">
        <f>IF(OR(E6051="",E6051="!!!"),"",IF(OR(J6051=0,AND(J6051=1,K6051=1),AND(J6051=1,I6051="SBJ"),AND(J6051=1,I6051=0)),"?IN_FOCUS",IF(J6051&lt;=2,"?ACTIVATED",IF(J6051&lt;&gt;"","?FAMILIAR",IF(F6051="NEW",IF(ISNA(VLOOKUP(E6051,#REF!,1,FALSE())),"?TYPE_IDENTIFIABLE","?REFERENTIAL"),"_")))))</f>
        <v> </v>
      </c>
      <c r="H6051" s="25" t="str">
        <f>IF(J6051&lt;&gt;1,"",IF(I6051="SBJ","CB","?"))</f>
        <v> </v>
      </c>
      <c r="I6051" s="26" t="str">
        <f>IF(OR(E6051="",E6051="!!!",F6051="NEW"),"",INDEX(B6050:B$2,-1+SUMPRODUCT(MAX(ROW(E6050:E$2)*(E6051=E6050:E$2)))))</f>
        <v> </v>
      </c>
      <c r="J6051" s="26" t="str">
        <f>IF(OR(E6051="",E6051="!!!",F6051="NEW"),"",COUNTBLANK(OFFSET(A$1,,,SUMPRODUCT(MAX(ROW(E$2:E6051)*(E6051=E$2:E6051)))))-COUNTBLANK(OFFSET(A$1,,,SUMPRODUCT(MAX(ROW(E$1:E6050)*(E2=E$1:E6050))))))</f>
        <v> </v>
      </c>
      <c r="K6051" s="26" t="str">
        <f>IF(OR(E6051="",E6051="!!!",F6051="NEW"),"",INDEX(J$1:J6050,SUMPRODUCT(MAX(ROW(E$1:E6050)*(E6051=E$1:E6050)))))</f>
        <v> </v>
      </c>
      <c r="L6051" s="27"/>
    </row>
    <row r="6052" spans="1:12">
      <c r="A6052" s="20" t="s">
        <v>2528</v>
      </c>
      <c r="E6052" s="22">
        <f>IF(D6052="?OLD","!!!","")</f>
        <v/>
      </c>
      <c r="F6052" s="23" t="str">
        <f>IF(OR(E6052="",E6052="!!!"),"",IF(NOT(ISNA(VLOOKUP(E6052,E$1:E6051,1,FALSE()))),"OLD",IF(AND(E6052&lt;&gt;"",E6052&lt;&gt;"!!!"),"NEW","")))</f>
        <v> </v>
      </c>
      <c r="G6052" s="24" t="str">
        <f>IF(OR(E6052="",E6052="!!!"),"",IF(OR(J6052=0,AND(J6052=1,K6052=1),AND(J6052=1,I6052="SBJ"),AND(J6052=1,I6052=0)),"?IN_FOCUS",IF(J6052&lt;=2,"?ACTIVATED",IF(J6052&lt;&gt;"","?FAMILIAR",IF(F6052="NEW",IF(ISNA(VLOOKUP(E6052,#REF!,1,FALSE())),"?TYPE_IDENTIFIABLE","?REFERENTIAL"),"_")))))</f>
        <v> </v>
      </c>
      <c r="H6052" s="25" t="str">
        <f>IF(J6052&lt;&gt;1,"",IF(I6052="SBJ","CB","?"))</f>
        <v> </v>
      </c>
      <c r="I6052" s="26" t="str">
        <f>IF(OR(E6052="",E6052="!!!",F6052="NEW"),"",INDEX(B6051:B$2,-1+SUMPRODUCT(MAX(ROW(E6051:E$2)*(E6052=E6051:E$2)))))</f>
        <v> </v>
      </c>
      <c r="J6052" s="26" t="str">
        <f>IF(OR(E6052="",E6052="!!!",F6052="NEW"),"",COUNTBLANK(OFFSET(A$1,,,SUMPRODUCT(MAX(ROW(E$2:E6052)*(E6052=E$2:E6052)))))-COUNTBLANK(OFFSET(A$1,,,SUMPRODUCT(MAX(ROW(E$1:E6051)*(E2=E$1:E6051))))))</f>
        <v> </v>
      </c>
      <c r="K6052" s="26" t="str">
        <f>IF(OR(E6052="",E6052="!!!",F6052="NEW"),"",INDEX(J$1:J6051,SUMPRODUCT(MAX(ROW(E$1:E6051)*(E6052=E$1:E6051)))))</f>
        <v> </v>
      </c>
      <c r="L6052" s="27"/>
    </row>
    <row r="6053" spans="1:12">
      <c r="A6053" s="20" t="s">
        <v>1008</v>
      </c>
      <c r="E6053" s="22">
        <f>IF(D6053="?OLD","!!!","")</f>
        <v/>
      </c>
      <c r="F6053" s="23" t="str">
        <f>IF(OR(E6053="",E6053="!!!"),"",IF(NOT(ISNA(VLOOKUP(E6053,E$1:E6052,1,FALSE()))),"OLD",IF(AND(E6053&lt;&gt;"",E6053&lt;&gt;"!!!"),"NEW","")))</f>
        <v> </v>
      </c>
      <c r="G6053" s="24" t="str">
        <f>IF(OR(E6053="",E6053="!!!"),"",IF(OR(J6053=0,AND(J6053=1,K6053=1),AND(J6053=1,I6053="SBJ"),AND(J6053=1,I6053=0)),"?IN_FOCUS",IF(J6053&lt;=2,"?ACTIVATED",IF(J6053&lt;&gt;"","?FAMILIAR",IF(F6053="NEW",IF(ISNA(VLOOKUP(E6053,#REF!,1,FALSE())),"?TYPE_IDENTIFIABLE","?REFERENTIAL"),"_")))))</f>
        <v> </v>
      </c>
      <c r="H6053" s="25" t="str">
        <f>IF(J6053&lt;&gt;1,"",IF(I6053="SBJ","CB","?"))</f>
        <v> </v>
      </c>
      <c r="I6053" s="26" t="str">
        <f>IF(OR(E6053="",E6053="!!!",F6053="NEW"),"",INDEX(B6052:B$2,-1+SUMPRODUCT(MAX(ROW(E6052:E$2)*(E6053=E6052:E$2)))))</f>
        <v> </v>
      </c>
      <c r="J6053" s="26" t="str">
        <f>IF(OR(E6053="",E6053="!!!",F6053="NEW"),"",COUNTBLANK(OFFSET(A$1,,,SUMPRODUCT(MAX(ROW(E$2:E6053)*(E6053=E$2:E6053)))))-COUNTBLANK(OFFSET(A$1,,,SUMPRODUCT(MAX(ROW(E$1:E6052)*(E2=E$1:E6052))))))</f>
        <v> </v>
      </c>
      <c r="K6053" s="26" t="str">
        <f>IF(OR(E6053="",E6053="!!!",F6053="NEW"),"",INDEX(J$1:J6052,SUMPRODUCT(MAX(ROW(E$1:E6052)*(E6053=E$1:E6052)))))</f>
        <v> </v>
      </c>
      <c r="L6053" s="27"/>
    </row>
    <row r="6054" spans="1:12">
      <c r="A6054" s="20" t="s">
        <v>1061</v>
      </c>
      <c r="E6054" s="22">
        <f>IF(D6054="?OLD","!!!","")</f>
        <v/>
      </c>
      <c r="F6054" s="23" t="str">
        <f>IF(OR(E6054="",E6054="!!!"),"",IF(NOT(ISNA(VLOOKUP(E6054,E$1:E6053,1,FALSE()))),"OLD",IF(AND(E6054&lt;&gt;"",E6054&lt;&gt;"!!!"),"NEW","")))</f>
        <v> </v>
      </c>
      <c r="G6054" s="24" t="str">
        <f>IF(OR(E6054="",E6054="!!!"),"",IF(OR(J6054=0,AND(J6054=1,K6054=1),AND(J6054=1,I6054="SBJ"),AND(J6054=1,I6054=0)),"?IN_FOCUS",IF(J6054&lt;=2,"?ACTIVATED",IF(J6054&lt;&gt;"","?FAMILIAR",IF(F6054="NEW",IF(ISNA(VLOOKUP(E6054,#REF!,1,FALSE())),"?TYPE_IDENTIFIABLE","?REFERENTIAL"),"_")))))</f>
        <v> </v>
      </c>
      <c r="H6054" s="25" t="str">
        <f>IF(J6054&lt;&gt;1,"",IF(I6054="SBJ","CB","?"))</f>
        <v> </v>
      </c>
      <c r="I6054" s="26" t="str">
        <f>IF(OR(E6054="",E6054="!!!",F6054="NEW"),"",INDEX(B6053:B$2,-1+SUMPRODUCT(MAX(ROW(E6053:E$2)*(E6054=E6053:E$2)))))</f>
        <v> </v>
      </c>
      <c r="J6054" s="26" t="str">
        <f>IF(OR(E6054="",E6054="!!!",F6054="NEW"),"",COUNTBLANK(OFFSET(A$1,,,SUMPRODUCT(MAX(ROW(E$2:E6054)*(E6054=E$2:E6054)))))-COUNTBLANK(OFFSET(A$1,,,SUMPRODUCT(MAX(ROW(E$1:E6053)*(E2=E$1:E6053))))))</f>
        <v> </v>
      </c>
      <c r="K6054" s="26" t="str">
        <f>IF(OR(E6054="",E6054="!!!",F6054="NEW"),"",INDEX(J$1:J6053,SUMPRODUCT(MAX(ROW(E$1:E6053)*(E6054=E$1:E6053)))))</f>
        <v> </v>
      </c>
      <c r="L6054" s="27"/>
    </row>
    <row r="6055" spans="1:12">
      <c r="A6055" s="20" t="s">
        <v>1203</v>
      </c>
      <c r="B6055" s="21" t="s">
        <v>1182</v>
      </c>
      <c r="C6055" s="21" t="s">
        <v>1034</v>
      </c>
      <c r="D6055" s="21" t="s">
        <v>997</v>
      </c>
      <c r="E6055" s="22">
        <f>IF(D6055="?OLD","!!!","")</f>
        <v/>
      </c>
      <c r="F6055" s="23" t="str">
        <f>IF(OR(E6055="",E6055="!!!"),"",IF(NOT(ISNA(VLOOKUP(E6055,E$1:E6054,1,FALSE()))),"OLD",IF(AND(E6055&lt;&gt;"",E6055&lt;&gt;"!!!"),"NEW","")))</f>
        <v> </v>
      </c>
      <c r="G6055" s="24" t="str">
        <f>IF(OR(E6055="",E6055="!!!"),"",IF(OR(J6055=0,AND(J6055=1,K6055=1),AND(J6055=1,I6055="SBJ"),AND(J6055=1,I6055=0)),"?IN_FOCUS",IF(J6055&lt;=2,"?ACTIVATED",IF(J6055&lt;&gt;"","?FAMILIAR",IF(F6055="NEW",IF(ISNA(VLOOKUP(E6055,#REF!,1,FALSE())),"?TYPE_IDENTIFIABLE","?REFERENTIAL"),"_")))))</f>
        <v> </v>
      </c>
      <c r="H6055" s="25" t="str">
        <f>IF(J6055&lt;&gt;1,"",IF(I6055="SBJ","CB","?"))</f>
        <v> </v>
      </c>
      <c r="I6055" s="26" t="str">
        <f>IF(OR(E6055="",E6055="!!!",F6055="NEW"),"",INDEX(B6054:B$2,-1+SUMPRODUCT(MAX(ROW(E6054:E$2)*(E6055=E6054:E$2)))))</f>
        <v> </v>
      </c>
      <c r="J6055" s="26" t="str">
        <f>IF(OR(E6055="",E6055="!!!",F6055="NEW"),"",COUNTBLANK(OFFSET(A$1,,,SUMPRODUCT(MAX(ROW(E$2:E6055)*(E6055=E$2:E6055)))))-COUNTBLANK(OFFSET(A$1,,,SUMPRODUCT(MAX(ROW(E$1:E6054)*(E2=E$1:E6054))))))</f>
        <v> </v>
      </c>
      <c r="K6055" s="26" t="str">
        <f>IF(OR(E6055="",E6055="!!!",F6055="NEW"),"",INDEX(J$1:J6054,SUMPRODUCT(MAX(ROW(E$1:E6054)*(E6055=E$1:E6054)))))</f>
        <v> </v>
      </c>
      <c r="L6055" s="27"/>
    </row>
    <row r="6056" spans="1:12">
      <c r="A6056" s="20" t="s">
        <v>1041</v>
      </c>
      <c r="E6056" s="22">
        <f>IF(D6056="?OLD","!!!","")</f>
        <v/>
      </c>
      <c r="F6056" s="23" t="str">
        <f>IF(OR(E6056="",E6056="!!!"),"",IF(NOT(ISNA(VLOOKUP(E6056,E$1:E6055,1,FALSE()))),"OLD",IF(AND(E6056&lt;&gt;"",E6056&lt;&gt;"!!!"),"NEW","")))</f>
        <v> </v>
      </c>
      <c r="G6056" s="24" t="str">
        <f>IF(OR(E6056="",E6056="!!!"),"",IF(OR(J6056=0,AND(J6056=1,K6056=1),AND(J6056=1,I6056="SBJ"),AND(J6056=1,I6056=0)),"?IN_FOCUS",IF(J6056&lt;=2,"?ACTIVATED",IF(J6056&lt;&gt;"","?FAMILIAR",IF(F6056="NEW",IF(ISNA(VLOOKUP(E6056,#REF!,1,FALSE())),"?TYPE_IDENTIFIABLE","?REFERENTIAL"),"_")))))</f>
        <v> </v>
      </c>
      <c r="H6056" s="25" t="str">
        <f>IF(J6056&lt;&gt;1,"",IF(I6056="SBJ","CB","?"))</f>
        <v> </v>
      </c>
      <c r="I6056" s="26" t="str">
        <f>IF(OR(E6056="",E6056="!!!",F6056="NEW"),"",INDEX(B6055:B$2,-1+SUMPRODUCT(MAX(ROW(E6055:E$2)*(E6056=E6055:E$2)))))</f>
        <v> </v>
      </c>
      <c r="J6056" s="26" t="str">
        <f>IF(OR(E6056="",E6056="!!!",F6056="NEW"),"",COUNTBLANK(OFFSET(A$1,,,SUMPRODUCT(MAX(ROW(E$2:E6056)*(E6056=E$2:E6056)))))-COUNTBLANK(OFFSET(A$1,,,SUMPRODUCT(MAX(ROW(E$1:E6055)*(E2=E$1:E6055))))))</f>
        <v> </v>
      </c>
      <c r="K6056" s="26" t="str">
        <f>IF(OR(E6056="",E6056="!!!",F6056="NEW"),"",INDEX(J$1:J6055,SUMPRODUCT(MAX(ROW(E$1:E6055)*(E6056=E$1:E6055)))))</f>
        <v> </v>
      </c>
      <c r="L6056" s="27"/>
    </row>
    <row r="6057" spans="1:12">
      <c r="A6057" s="20" t="s">
        <v>1249</v>
      </c>
      <c r="E6057" s="22">
        <f>IF(D6057="?OLD","!!!","")</f>
        <v/>
      </c>
      <c r="F6057" s="23" t="str">
        <f>IF(OR(E6057="",E6057="!!!"),"",IF(NOT(ISNA(VLOOKUP(E6057,E$1:E6056,1,FALSE()))),"OLD",IF(AND(E6057&lt;&gt;"",E6057&lt;&gt;"!!!"),"NEW","")))</f>
        <v> </v>
      </c>
      <c r="G6057" s="24" t="str">
        <f>IF(OR(E6057="",E6057="!!!"),"",IF(OR(J6057=0,AND(J6057=1,K6057=1),AND(J6057=1,I6057="SBJ"),AND(J6057=1,I6057=0)),"?IN_FOCUS",IF(J6057&lt;=2,"?ACTIVATED",IF(J6057&lt;&gt;"","?FAMILIAR",IF(F6057="NEW",IF(ISNA(VLOOKUP(E6057,#REF!,1,FALSE())),"?TYPE_IDENTIFIABLE","?REFERENTIAL"),"_")))))</f>
        <v> </v>
      </c>
      <c r="H6057" s="25" t="str">
        <f>IF(J6057&lt;&gt;1,"",IF(I6057="SBJ","CB","?"))</f>
        <v> </v>
      </c>
      <c r="I6057" s="26" t="str">
        <f>IF(OR(E6057="",E6057="!!!",F6057="NEW"),"",INDEX(B6056:B$2,-1+SUMPRODUCT(MAX(ROW(E6056:E$2)*(E6057=E6056:E$2)))))</f>
        <v> </v>
      </c>
      <c r="J6057" s="26" t="str">
        <f>IF(OR(E6057="",E6057="!!!",F6057="NEW"),"",COUNTBLANK(OFFSET(A$1,,,SUMPRODUCT(MAX(ROW(E$2:E6057)*(E6057=E$2:E6057)))))-COUNTBLANK(OFFSET(A$1,,,SUMPRODUCT(MAX(ROW(E$1:E6056)*(E2=E$1:E6056))))))</f>
        <v> </v>
      </c>
      <c r="K6057" s="26" t="str">
        <f>IF(OR(E6057="",E6057="!!!",F6057="NEW"),"",INDEX(J$1:J6056,SUMPRODUCT(MAX(ROW(E$1:E6056)*(E6057=E$1:E6056)))))</f>
        <v> </v>
      </c>
      <c r="L6057" s="27"/>
    </row>
    <row r="6058" spans="1:12">
      <c r="A6058" s="20" t="s">
        <v>1547</v>
      </c>
      <c r="B6058" s="21" t="s">
        <v>1094</v>
      </c>
      <c r="C6058" s="21" t="s">
        <v>996</v>
      </c>
      <c r="D6058" s="21" t="s">
        <v>997</v>
      </c>
      <c r="E6058" s="22">
        <f>IF(D6058="?OLD","!!!","")</f>
        <v/>
      </c>
      <c r="F6058" s="23" t="str">
        <f>IF(OR(E6058="",E6058="!!!"),"",IF(NOT(ISNA(VLOOKUP(E6058,E$1:E6057,1,FALSE()))),"OLD",IF(AND(E6058&lt;&gt;"",E6058&lt;&gt;"!!!"),"NEW","")))</f>
        <v> </v>
      </c>
      <c r="G6058" s="24" t="str">
        <f>IF(OR(E6058="",E6058="!!!"),"",IF(OR(J6058=0,AND(J6058=1,K6058=1),AND(J6058=1,I6058="SBJ"),AND(J6058=1,I6058=0)),"?IN_FOCUS",IF(J6058&lt;=2,"?ACTIVATED",IF(J6058&lt;&gt;"","?FAMILIAR",IF(F6058="NEW",IF(ISNA(VLOOKUP(E6058,#REF!,1,FALSE())),"?TYPE_IDENTIFIABLE","?REFERENTIAL"),"_")))))</f>
        <v> </v>
      </c>
      <c r="H6058" s="25" t="str">
        <f>IF(J6058&lt;&gt;1,"",IF(I6058="SBJ","CB","?"))</f>
        <v> </v>
      </c>
      <c r="I6058" s="26" t="str">
        <f>IF(OR(E6058="",E6058="!!!",F6058="NEW"),"",INDEX(B6057:B$2,-1+SUMPRODUCT(MAX(ROW(E6057:E$2)*(E6058=E6057:E$2)))))</f>
        <v> </v>
      </c>
      <c r="J6058" s="26" t="str">
        <f>IF(OR(E6058="",E6058="!!!",F6058="NEW"),"",COUNTBLANK(OFFSET(A$1,,,SUMPRODUCT(MAX(ROW(E$2:E6058)*(E6058=E$2:E6058)))))-COUNTBLANK(OFFSET(A$1,,,SUMPRODUCT(MAX(ROW(E$1:E6057)*(E2=E$1:E6057))))))</f>
        <v> </v>
      </c>
      <c r="K6058" s="26" t="str">
        <f>IF(OR(E6058="",E6058="!!!",F6058="NEW"),"",INDEX(J$1:J6057,SUMPRODUCT(MAX(ROW(E$1:E6057)*(E6058=E$1:E6057)))))</f>
        <v> </v>
      </c>
      <c r="L6058" s="27"/>
    </row>
    <row r="6059" spans="1:12">
      <c r="A6059" s="20" t="s">
        <v>2529</v>
      </c>
      <c r="E6059" s="22">
        <f>IF(D6059="?OLD","!!!","")</f>
        <v/>
      </c>
      <c r="F6059" s="23" t="str">
        <f>IF(OR(E6059="",E6059="!!!"),"",IF(NOT(ISNA(VLOOKUP(E6059,E$1:E6058,1,FALSE()))),"OLD",IF(AND(E6059&lt;&gt;"",E6059&lt;&gt;"!!!"),"NEW","")))</f>
        <v> </v>
      </c>
      <c r="G6059" s="24" t="str">
        <f>IF(OR(E6059="",E6059="!!!"),"",IF(OR(J6059=0,AND(J6059=1,K6059=1),AND(J6059=1,I6059="SBJ"),AND(J6059=1,I6059=0)),"?IN_FOCUS",IF(J6059&lt;=2,"?ACTIVATED",IF(J6059&lt;&gt;"","?FAMILIAR",IF(F6059="NEW",IF(ISNA(VLOOKUP(E6059,#REF!,1,FALSE())),"?TYPE_IDENTIFIABLE","?REFERENTIAL"),"_")))))</f>
        <v> </v>
      </c>
      <c r="H6059" s="25" t="str">
        <f>IF(J6059&lt;&gt;1,"",IF(I6059="SBJ","CB","?"))</f>
        <v> </v>
      </c>
      <c r="I6059" s="26" t="str">
        <f>IF(OR(E6059="",E6059="!!!",F6059="NEW"),"",INDEX(B6058:B$2,-1+SUMPRODUCT(MAX(ROW(E6058:E$2)*(E6059=E6058:E$2)))))</f>
        <v> </v>
      </c>
      <c r="J6059" s="26" t="str">
        <f>IF(OR(E6059="",E6059="!!!",F6059="NEW"),"",COUNTBLANK(OFFSET(A$1,,,SUMPRODUCT(MAX(ROW(E$2:E6059)*(E6059=E$2:E6059)))))-COUNTBLANK(OFFSET(A$1,,,SUMPRODUCT(MAX(ROW(E$1:E6058)*(E2=E$1:E6058))))))</f>
        <v> </v>
      </c>
      <c r="K6059" s="26" t="str">
        <f>IF(OR(E6059="",E6059="!!!",F6059="NEW"),"",INDEX(J$1:J6058,SUMPRODUCT(MAX(ROW(E$1:E6058)*(E6059=E$1:E6058)))))</f>
        <v> </v>
      </c>
      <c r="L6059" s="27"/>
    </row>
    <row r="6060" spans="1:12">
      <c r="A6060" s="20" t="s">
        <v>1022</v>
      </c>
      <c r="E6060" s="22">
        <f>IF(D6060="?OLD","!!!","")</f>
        <v/>
      </c>
      <c r="F6060" s="23" t="str">
        <f>IF(OR(E6060="",E6060="!!!"),"",IF(NOT(ISNA(VLOOKUP(E6060,E$1:E6059,1,FALSE()))),"OLD",IF(AND(E6060&lt;&gt;"",E6060&lt;&gt;"!!!"),"NEW","")))</f>
        <v> </v>
      </c>
      <c r="G6060" s="24" t="str">
        <f>IF(OR(E6060="",E6060="!!!"),"",IF(OR(J6060=0,AND(J6060=1,K6060=1),AND(J6060=1,I6060="SBJ"),AND(J6060=1,I6060=0)),"?IN_FOCUS",IF(J6060&lt;=2,"?ACTIVATED",IF(J6060&lt;&gt;"","?FAMILIAR",IF(F6060="NEW",IF(ISNA(VLOOKUP(E6060,#REF!,1,FALSE())),"?TYPE_IDENTIFIABLE","?REFERENTIAL"),"_")))))</f>
        <v> </v>
      </c>
      <c r="H6060" s="25" t="str">
        <f>IF(J6060&lt;&gt;1,"",IF(I6060="SBJ","CB","?"))</f>
        <v> </v>
      </c>
      <c r="I6060" s="26" t="str">
        <f>IF(OR(E6060="",E6060="!!!",F6060="NEW"),"",INDEX(B6059:B$2,-1+SUMPRODUCT(MAX(ROW(E6059:E$2)*(E6060=E6059:E$2)))))</f>
        <v> </v>
      </c>
      <c r="J6060" s="26" t="str">
        <f>IF(OR(E6060="",E6060="!!!",F6060="NEW"),"",COUNTBLANK(OFFSET(A$1,,,SUMPRODUCT(MAX(ROW(E$2:E6060)*(E6060=E$2:E6060)))))-COUNTBLANK(OFFSET(A$1,,,SUMPRODUCT(MAX(ROW(E$1:E6059)*(E2=E$1:E6059))))))</f>
        <v> </v>
      </c>
      <c r="K6060" s="26" t="str">
        <f>IF(OR(E6060="",E6060="!!!",F6060="NEW"),"",INDEX(J$1:J6059,SUMPRODUCT(MAX(ROW(E$1:E6059)*(E6060=E$1:E6059)))))</f>
        <v> </v>
      </c>
      <c r="L6060" s="27"/>
    </row>
    <row r="6061" spans="1:12">
      <c r="A6061" s="20" t="s">
        <v>1547</v>
      </c>
      <c r="B6061" s="21" t="s">
        <v>1243</v>
      </c>
      <c r="C6061" s="21" t="s">
        <v>996</v>
      </c>
      <c r="D6061" s="21" t="s">
        <v>997</v>
      </c>
      <c r="E6061" s="22">
        <f>IF(D6061="?OLD","!!!","")</f>
        <v/>
      </c>
      <c r="F6061" s="23" t="str">
        <f>IF(OR(E6061="",E6061="!!!"),"",IF(NOT(ISNA(VLOOKUP(E6061,E$1:E6060,1,FALSE()))),"OLD",IF(AND(E6061&lt;&gt;"",E6061&lt;&gt;"!!!"),"NEW","")))</f>
        <v> </v>
      </c>
      <c r="G6061" s="24" t="str">
        <f>IF(OR(E6061="",E6061="!!!"),"",IF(OR(J6061=0,AND(J6061=1,K6061=1),AND(J6061=1,I6061="SBJ"),AND(J6061=1,I6061=0)),"?IN_FOCUS",IF(J6061&lt;=2,"?ACTIVATED",IF(J6061&lt;&gt;"","?FAMILIAR",IF(F6061="NEW",IF(ISNA(VLOOKUP(E6061,#REF!,1,FALSE())),"?TYPE_IDENTIFIABLE","?REFERENTIAL"),"_")))))</f>
        <v> </v>
      </c>
      <c r="H6061" s="25" t="str">
        <f>IF(J6061&lt;&gt;1,"",IF(I6061="SBJ","CB","?"))</f>
        <v> </v>
      </c>
      <c r="I6061" s="26" t="str">
        <f>IF(OR(E6061="",E6061="!!!",F6061="NEW"),"",INDEX(B6060:B$2,-1+SUMPRODUCT(MAX(ROW(E6060:E$2)*(E6061=E6060:E$2)))))</f>
        <v> </v>
      </c>
      <c r="J6061" s="26" t="str">
        <f>IF(OR(E6061="",E6061="!!!",F6061="NEW"),"",COUNTBLANK(OFFSET(A$1,,,SUMPRODUCT(MAX(ROW(E$2:E6061)*(E6061=E$2:E6061)))))-COUNTBLANK(OFFSET(A$1,,,SUMPRODUCT(MAX(ROW(E$1:E6060)*(E2=E$1:E6060))))))</f>
        <v> </v>
      </c>
      <c r="K6061" s="26" t="str">
        <f>IF(OR(E6061="",E6061="!!!",F6061="NEW"),"",INDEX(J$1:J6060,SUMPRODUCT(MAX(ROW(E$1:E6060)*(E6061=E$1:E6060)))))</f>
        <v> </v>
      </c>
      <c r="L6061" s="27"/>
    </row>
    <row r="6062" spans="1:12">
      <c r="A6062" s="20" t="s">
        <v>998</v>
      </c>
      <c r="E6062" s="22">
        <f>IF(D6062="?OLD","!!!","")</f>
        <v/>
      </c>
      <c r="F6062" s="23" t="str">
        <f>IF(OR(E6062="",E6062="!!!"),"",IF(NOT(ISNA(VLOOKUP(E6062,E$1:E6061,1,FALSE()))),"OLD",IF(AND(E6062&lt;&gt;"",E6062&lt;&gt;"!!!"),"NEW","")))</f>
        <v> </v>
      </c>
      <c r="G6062" s="24" t="str">
        <f>IF(OR(E6062="",E6062="!!!"),"",IF(OR(J6062=0,AND(J6062=1,K6062=1),AND(J6062=1,I6062="SBJ"),AND(J6062=1,I6062=0)),"?IN_FOCUS",IF(J6062&lt;=2,"?ACTIVATED",IF(J6062&lt;&gt;"","?FAMILIAR",IF(F6062="NEW",IF(ISNA(VLOOKUP(E6062,#REF!,1,FALSE())),"?TYPE_IDENTIFIABLE","?REFERENTIAL"),"_")))))</f>
        <v> </v>
      </c>
      <c r="H6062" s="25" t="str">
        <f>IF(J6062&lt;&gt;1,"",IF(I6062="SBJ","CB","?"))</f>
        <v> </v>
      </c>
      <c r="I6062" s="26" t="str">
        <f>IF(OR(E6062="",E6062="!!!",F6062="NEW"),"",INDEX(B6061:B$2,-1+SUMPRODUCT(MAX(ROW(E6061:E$2)*(E6062=E6061:E$2)))))</f>
        <v> </v>
      </c>
      <c r="J6062" s="26" t="str">
        <f>IF(OR(E6062="",E6062="!!!",F6062="NEW"),"",COUNTBLANK(OFFSET(A$1,,,SUMPRODUCT(MAX(ROW(E$2:E6062)*(E6062=E$2:E6062)))))-COUNTBLANK(OFFSET(A$1,,,SUMPRODUCT(MAX(ROW(E$1:E6061)*(E2=E$1:E6061))))))</f>
        <v> </v>
      </c>
      <c r="K6062" s="26" t="str">
        <f>IF(OR(E6062="",E6062="!!!",F6062="NEW"),"",INDEX(J$1:J6061,SUMPRODUCT(MAX(ROW(E$1:E6061)*(E6062=E$1:E6061)))))</f>
        <v> </v>
      </c>
      <c r="L6062" s="27"/>
    </row>
    <row r="6063" spans="1:12">
      <c r="A6063" s="20" t="s">
        <v>1060</v>
      </c>
      <c r="B6063" s="21" t="s">
        <v>1656</v>
      </c>
      <c r="C6063" s="21" t="s">
        <v>996</v>
      </c>
      <c r="D6063" s="21" t="s">
        <v>997</v>
      </c>
      <c r="E6063" s="22">
        <f>IF(D6063="?OLD","!!!","")</f>
        <v/>
      </c>
      <c r="F6063" s="23" t="str">
        <f>IF(OR(E6063="",E6063="!!!"),"",IF(NOT(ISNA(VLOOKUP(E6063,E$1:E6062,1,FALSE()))),"OLD",IF(AND(E6063&lt;&gt;"",E6063&lt;&gt;"!!!"),"NEW","")))</f>
        <v> </v>
      </c>
      <c r="G6063" s="24" t="str">
        <f>IF(OR(E6063="",E6063="!!!"),"",IF(OR(J6063=0,AND(J6063=1,K6063=1),AND(J6063=1,I6063="SBJ"),AND(J6063=1,I6063=0)),"?IN_FOCUS",IF(J6063&lt;=2,"?ACTIVATED",IF(J6063&lt;&gt;"","?FAMILIAR",IF(F6063="NEW",IF(ISNA(VLOOKUP(E6063,#REF!,1,FALSE())),"?TYPE_IDENTIFIABLE","?REFERENTIAL"),"_")))))</f>
        <v> </v>
      </c>
      <c r="H6063" s="25" t="str">
        <f>IF(J6063&lt;&gt;1,"",IF(I6063="SBJ","CB","?"))</f>
        <v> </v>
      </c>
      <c r="I6063" s="26" t="str">
        <f>IF(OR(E6063="",E6063="!!!",F6063="NEW"),"",INDEX(B6062:B$2,-1+SUMPRODUCT(MAX(ROW(E6062:E$2)*(E6063=E6062:E$2)))))</f>
        <v> </v>
      </c>
      <c r="J6063" s="26" t="str">
        <f>IF(OR(E6063="",E6063="!!!",F6063="NEW"),"",COUNTBLANK(OFFSET(A$1,,,SUMPRODUCT(MAX(ROW(E$2:E6063)*(E6063=E$2:E6063)))))-COUNTBLANK(OFFSET(A$1,,,SUMPRODUCT(MAX(ROW(E$1:E6062)*(E2=E$1:E6062))))))</f>
        <v> </v>
      </c>
      <c r="K6063" s="26" t="str">
        <f>IF(OR(E6063="",E6063="!!!",F6063="NEW"),"",INDEX(J$1:J6062,SUMPRODUCT(MAX(ROW(E$1:E6062)*(E6063=E$1:E6062)))))</f>
        <v> </v>
      </c>
      <c r="L6063" s="27"/>
    </row>
    <row r="6064" spans="1:12">
      <c r="A6064" s="20" t="s">
        <v>2530</v>
      </c>
      <c r="E6064" s="22">
        <f>IF(D6064="?OLD","!!!","")</f>
        <v/>
      </c>
      <c r="F6064" s="23" t="str">
        <f>IF(OR(E6064="",E6064="!!!"),"",IF(NOT(ISNA(VLOOKUP(E6064,E$1:E6063,1,FALSE()))),"OLD",IF(AND(E6064&lt;&gt;"",E6064&lt;&gt;"!!!"),"NEW","")))</f>
        <v> </v>
      </c>
      <c r="G6064" s="24" t="str">
        <f>IF(OR(E6064="",E6064="!!!"),"",IF(OR(J6064=0,AND(J6064=1,K6064=1),AND(J6064=1,I6064="SBJ"),AND(J6064=1,I6064=0)),"?IN_FOCUS",IF(J6064&lt;=2,"?ACTIVATED",IF(J6064&lt;&gt;"","?FAMILIAR",IF(F6064="NEW",IF(ISNA(VLOOKUP(E6064,#REF!,1,FALSE())),"?TYPE_IDENTIFIABLE","?REFERENTIAL"),"_")))))</f>
        <v> </v>
      </c>
      <c r="H6064" s="25" t="str">
        <f>IF(J6064&lt;&gt;1,"",IF(I6064="SBJ","CB","?"))</f>
        <v> </v>
      </c>
      <c r="I6064" s="26" t="str">
        <f>IF(OR(E6064="",E6064="!!!",F6064="NEW"),"",INDEX(B6063:B$2,-1+SUMPRODUCT(MAX(ROW(E6063:E$2)*(E6064=E6063:E$2)))))</f>
        <v> </v>
      </c>
      <c r="J6064" s="26" t="str">
        <f>IF(OR(E6064="",E6064="!!!",F6064="NEW"),"",COUNTBLANK(OFFSET(A$1,,,SUMPRODUCT(MAX(ROW(E$2:E6064)*(E6064=E$2:E6064)))))-COUNTBLANK(OFFSET(A$1,,,SUMPRODUCT(MAX(ROW(E$1:E6063)*(E2=E$1:E6063))))))</f>
        <v> </v>
      </c>
      <c r="K6064" s="26" t="str">
        <f>IF(OR(E6064="",E6064="!!!",F6064="NEW"),"",INDEX(J$1:J6063,SUMPRODUCT(MAX(ROW(E$1:E6063)*(E6064=E$1:E6063)))))</f>
        <v> </v>
      </c>
      <c r="L6064" s="27"/>
    </row>
    <row r="6065" spans="1:12">
      <c r="A6065" s="20" t="s">
        <v>1021</v>
      </c>
      <c r="E6065" s="22">
        <f>IF(D6065="?OLD","!!!","")</f>
        <v/>
      </c>
      <c r="F6065" s="23" t="str">
        <f>IF(OR(E6065="",E6065="!!!"),"",IF(NOT(ISNA(VLOOKUP(E6065,E$1:E6064,1,FALSE()))),"OLD",IF(AND(E6065&lt;&gt;"",E6065&lt;&gt;"!!!"),"NEW","")))</f>
        <v> </v>
      </c>
      <c r="G6065" s="24" t="str">
        <f>IF(OR(E6065="",E6065="!!!"),"",IF(OR(J6065=0,AND(J6065=1,K6065=1),AND(J6065=1,I6065="SBJ"),AND(J6065=1,I6065=0)),"?IN_FOCUS",IF(J6065&lt;=2,"?ACTIVATED",IF(J6065&lt;&gt;"","?FAMILIAR",IF(F6065="NEW",IF(ISNA(VLOOKUP(E6065,#REF!,1,FALSE())),"?TYPE_IDENTIFIABLE","?REFERENTIAL"),"_")))))</f>
        <v> </v>
      </c>
      <c r="H6065" s="25" t="str">
        <f>IF(J6065&lt;&gt;1,"",IF(I6065="SBJ","CB","?"))</f>
        <v> </v>
      </c>
      <c r="I6065" s="26" t="str">
        <f>IF(OR(E6065="",E6065="!!!",F6065="NEW"),"",INDEX(B6064:B$2,-1+SUMPRODUCT(MAX(ROW(E6064:E$2)*(E6065=E6064:E$2)))))</f>
        <v> </v>
      </c>
      <c r="J6065" s="26" t="str">
        <f>IF(OR(E6065="",E6065="!!!",F6065="NEW"),"",COUNTBLANK(OFFSET(A$1,,,SUMPRODUCT(MAX(ROW(E$2:E6065)*(E6065=E$2:E6065)))))-COUNTBLANK(OFFSET(A$1,,,SUMPRODUCT(MAX(ROW(E$1:E6064)*(E2=E$1:E6064))))))</f>
        <v> </v>
      </c>
      <c r="K6065" s="26" t="str">
        <f>IF(OR(E6065="",E6065="!!!",F6065="NEW"),"",INDEX(J$1:J6064,SUMPRODUCT(MAX(ROW(E$1:E6064)*(E6065=E$1:E6064)))))</f>
        <v> </v>
      </c>
      <c r="L6065" s="27"/>
    </row>
    <row r="6066" spans="1:12">
      <c r="A6066" s="20" t="s">
        <v>1022</v>
      </c>
      <c r="E6066" s="22">
        <f>IF(D6066="?OLD","!!!","")</f>
        <v/>
      </c>
      <c r="F6066" s="23" t="str">
        <f>IF(OR(E6066="",E6066="!!!"),"",IF(NOT(ISNA(VLOOKUP(E6066,E$1:E6065,1,FALSE()))),"OLD",IF(AND(E6066&lt;&gt;"",E6066&lt;&gt;"!!!"),"NEW","")))</f>
        <v> </v>
      </c>
      <c r="G6066" s="24" t="str">
        <f>IF(OR(E6066="",E6066="!!!"),"",IF(OR(J6066=0,AND(J6066=1,K6066=1),AND(J6066=1,I6066="SBJ"),AND(J6066=1,I6066=0)),"?IN_FOCUS",IF(J6066&lt;=2,"?ACTIVATED",IF(J6066&lt;&gt;"","?FAMILIAR",IF(F6066="NEW",IF(ISNA(VLOOKUP(E6066,#REF!,1,FALSE())),"?TYPE_IDENTIFIABLE","?REFERENTIAL"),"_")))))</f>
        <v> </v>
      </c>
      <c r="H6066" s="25" t="str">
        <f>IF(J6066&lt;&gt;1,"",IF(I6066="SBJ","CB","?"))</f>
        <v> </v>
      </c>
      <c r="I6066" s="26" t="str">
        <f>IF(OR(E6066="",E6066="!!!",F6066="NEW"),"",INDEX(B6065:B$2,-1+SUMPRODUCT(MAX(ROW(E6065:E$2)*(E6066=E6065:E$2)))))</f>
        <v> </v>
      </c>
      <c r="J6066" s="26" t="str">
        <f>IF(OR(E6066="",E6066="!!!",F6066="NEW"),"",COUNTBLANK(OFFSET(A$1,,,SUMPRODUCT(MAX(ROW(E$2:E6066)*(E6066=E$2:E6066)))))-COUNTBLANK(OFFSET(A$1,,,SUMPRODUCT(MAX(ROW(E$1:E6065)*(E2=E$1:E6065))))))</f>
        <v> </v>
      </c>
      <c r="K6066" s="26" t="str">
        <f>IF(OR(E6066="",E6066="!!!",F6066="NEW"),"",INDEX(J$1:J6065,SUMPRODUCT(MAX(ROW(E$1:E6065)*(E6066=E$1:E6065)))))</f>
        <v> </v>
      </c>
      <c r="L6066" s="27"/>
    </row>
    <row r="6067" spans="1:12">
      <c r="A6067" s="20" t="s">
        <v>1175</v>
      </c>
      <c r="B6067" s="21" t="s">
        <v>1653</v>
      </c>
      <c r="C6067" s="21" t="s">
        <v>1015</v>
      </c>
      <c r="D6067" s="21" t="s">
        <v>997</v>
      </c>
      <c r="E6067" s="22">
        <f>IF(D6067="?OLD","!!!","")</f>
        <v/>
      </c>
      <c r="F6067" s="23" t="str">
        <f>IF(OR(E6067="",E6067="!!!"),"",IF(NOT(ISNA(VLOOKUP(E6067,E$1:E6066,1,FALSE()))),"OLD",IF(AND(E6067&lt;&gt;"",E6067&lt;&gt;"!!!"),"NEW","")))</f>
        <v> </v>
      </c>
      <c r="G6067" s="24" t="str">
        <f>IF(OR(E6067="",E6067="!!!"),"",IF(OR(J6067=0,AND(J6067=1,K6067=1),AND(J6067=1,I6067="SBJ"),AND(J6067=1,I6067=0)),"?IN_FOCUS",IF(J6067&lt;=2,"?ACTIVATED",IF(J6067&lt;&gt;"","?FAMILIAR",IF(F6067="NEW",IF(ISNA(VLOOKUP(E6067,#REF!,1,FALSE())),"?TYPE_IDENTIFIABLE","?REFERENTIAL"),"_")))))</f>
        <v> </v>
      </c>
      <c r="H6067" s="25" t="str">
        <f>IF(J6067&lt;&gt;1,"",IF(I6067="SBJ","CB","?"))</f>
        <v> </v>
      </c>
      <c r="I6067" s="26" t="str">
        <f>IF(OR(E6067="",E6067="!!!",F6067="NEW"),"",INDEX(B6066:B$2,-1+SUMPRODUCT(MAX(ROW(E6066:E$2)*(E6067=E6066:E$2)))))</f>
        <v> </v>
      </c>
      <c r="J6067" s="26" t="str">
        <f>IF(OR(E6067="",E6067="!!!",F6067="NEW"),"",COUNTBLANK(OFFSET(A$1,,,SUMPRODUCT(MAX(ROW(E$2:E6067)*(E6067=E$2:E6067)))))-COUNTBLANK(OFFSET(A$1,,,SUMPRODUCT(MAX(ROW(E$1:E6066)*(E2=E$1:E6066))))))</f>
        <v> </v>
      </c>
      <c r="K6067" s="26" t="str">
        <f>IF(OR(E6067="",E6067="!!!",F6067="NEW"),"",INDEX(J$1:J6066,SUMPRODUCT(MAX(ROW(E$1:E6066)*(E6067=E$1:E6066)))))</f>
        <v> </v>
      </c>
      <c r="L6067" s="27"/>
    </row>
    <row r="6068" spans="1:12">
      <c r="A6068" s="20" t="s">
        <v>423</v>
      </c>
      <c r="E6068" s="22">
        <f>IF(D6068="?OLD","!!!","")</f>
        <v/>
      </c>
      <c r="F6068" s="23" t="str">
        <f>IF(OR(E6068="",E6068="!!!"),"",IF(NOT(ISNA(VLOOKUP(E6068,E$1:E6067,1,FALSE()))),"OLD",IF(AND(E6068&lt;&gt;"",E6068&lt;&gt;"!!!"),"NEW","")))</f>
        <v> </v>
      </c>
      <c r="G6068" s="24" t="str">
        <f>IF(OR(E6068="",E6068="!!!"),"",IF(OR(J6068=0,AND(J6068=1,K6068=1),AND(J6068=1,I6068="SBJ"),AND(J6068=1,I6068=0)),"?IN_FOCUS",IF(J6068&lt;=2,"?ACTIVATED",IF(J6068&lt;&gt;"","?FAMILIAR",IF(F6068="NEW",IF(ISNA(VLOOKUP(E6068,#REF!,1,FALSE())),"?TYPE_IDENTIFIABLE","?REFERENTIAL"),"_")))))</f>
        <v> </v>
      </c>
      <c r="H6068" s="25" t="str">
        <f>IF(J6068&lt;&gt;1,"",IF(I6068="SBJ","CB","?"))</f>
        <v> </v>
      </c>
      <c r="I6068" s="26" t="str">
        <f>IF(OR(E6068="",E6068="!!!",F6068="NEW"),"",INDEX(B6067:B$2,-1+SUMPRODUCT(MAX(ROW(E6067:E$2)*(E6068=E6067:E$2)))))</f>
        <v> </v>
      </c>
      <c r="J6068" s="26" t="str">
        <f>IF(OR(E6068="",E6068="!!!",F6068="NEW"),"",COUNTBLANK(OFFSET(A$1,,,SUMPRODUCT(MAX(ROW(E$2:E6068)*(E6068=E$2:E6068)))))-COUNTBLANK(OFFSET(A$1,,,SUMPRODUCT(MAX(ROW(E$1:E6067)*(E2=E$1:E6067))))))</f>
        <v> </v>
      </c>
      <c r="K6068" s="26" t="str">
        <f>IF(OR(E6068="",E6068="!!!",F6068="NEW"),"",INDEX(J$1:J6067,SUMPRODUCT(MAX(ROW(E$1:E6067)*(E6068=E$1:E6067)))))</f>
        <v> </v>
      </c>
      <c r="L6068" s="27"/>
    </row>
    <row r="6069" spans="1:12">
      <c r="A6069" s="20" t="s">
        <v>2531</v>
      </c>
      <c r="E6069" s="22">
        <f>IF(D6069="?OLD","!!!","")</f>
        <v/>
      </c>
      <c r="F6069" s="23" t="str">
        <f>IF(OR(E6069="",E6069="!!!"),"",IF(NOT(ISNA(VLOOKUP(E6069,E$1:E6068,1,FALSE()))),"OLD",IF(AND(E6069&lt;&gt;"",E6069&lt;&gt;"!!!"),"NEW","")))</f>
        <v> </v>
      </c>
      <c r="G6069" s="24" t="str">
        <f>IF(OR(E6069="",E6069="!!!"),"",IF(OR(J6069=0,AND(J6069=1,K6069=1),AND(J6069=1,I6069="SBJ"),AND(J6069=1,I6069=0)),"?IN_FOCUS",IF(J6069&lt;=2,"?ACTIVATED",IF(J6069&lt;&gt;"","?FAMILIAR",IF(F6069="NEW",IF(ISNA(VLOOKUP(E6069,#REF!,1,FALSE())),"?TYPE_IDENTIFIABLE","?REFERENTIAL"),"_")))))</f>
        <v> </v>
      </c>
      <c r="H6069" s="25" t="str">
        <f>IF(J6069&lt;&gt;1,"",IF(I6069="SBJ","CB","?"))</f>
        <v> </v>
      </c>
      <c r="I6069" s="26" t="str">
        <f>IF(OR(E6069="",E6069="!!!",F6069="NEW"),"",INDEX(B6068:B$2,-1+SUMPRODUCT(MAX(ROW(E6068:E$2)*(E6069=E6068:E$2)))))</f>
        <v> </v>
      </c>
      <c r="J6069" s="26" t="str">
        <f>IF(OR(E6069="",E6069="!!!",F6069="NEW"),"",COUNTBLANK(OFFSET(A$1,,,SUMPRODUCT(MAX(ROW(E$2:E6069)*(E6069=E$2:E6069)))))-COUNTBLANK(OFFSET(A$1,,,SUMPRODUCT(MAX(ROW(E$1:E6068)*(E2=E$1:E6068))))))</f>
        <v> </v>
      </c>
      <c r="K6069" s="26" t="str">
        <f>IF(OR(E6069="",E6069="!!!",F6069="NEW"),"",INDEX(J$1:J6068,SUMPRODUCT(MAX(ROW(E$1:E6068)*(E6069=E$1:E6068)))))</f>
        <v> </v>
      </c>
      <c r="L6069" s="27"/>
    </row>
    <row r="6070" spans="1:12">
      <c r="A6070" s="20" t="s">
        <v>2187</v>
      </c>
      <c r="B6070" s="21" t="s">
        <v>1092</v>
      </c>
      <c r="C6070" s="21" t="s">
        <v>1006</v>
      </c>
      <c r="E6070" s="22">
        <f>IF(D6070="?OLD","!!!","")</f>
        <v/>
      </c>
      <c r="F6070" s="23" t="str">
        <f>IF(OR(E6070="",E6070="!!!"),"",IF(NOT(ISNA(VLOOKUP(E6070,E$1:E6069,1,FALSE()))),"OLD",IF(AND(E6070&lt;&gt;"",E6070&lt;&gt;"!!!"),"NEW","")))</f>
        <v> </v>
      </c>
      <c r="G6070" s="24" t="str">
        <f>IF(OR(E6070="",E6070="!!!"),"",IF(OR(J6070=0,AND(J6070=1,K6070=1),AND(J6070=1,I6070="SBJ"),AND(J6070=1,I6070=0)),"?IN_FOCUS",IF(J6070&lt;=2,"?ACTIVATED",IF(J6070&lt;&gt;"","?FAMILIAR",IF(F6070="NEW",IF(ISNA(VLOOKUP(E6070,#REF!,1,FALSE())),"?TYPE_IDENTIFIABLE","?REFERENTIAL"),"_")))))</f>
        <v> </v>
      </c>
      <c r="H6070" s="25" t="str">
        <f>IF(J6070&lt;&gt;1,"",IF(I6070="SBJ","CB","?"))</f>
        <v> </v>
      </c>
      <c r="I6070" s="26" t="str">
        <f>IF(OR(E6070="",E6070="!!!",F6070="NEW"),"",INDEX(B6069:B$2,-1+SUMPRODUCT(MAX(ROW(E6069:E$2)*(E6070=E6069:E$2)))))</f>
        <v> </v>
      </c>
      <c r="J6070" s="26" t="str">
        <f>IF(OR(E6070="",E6070="!!!",F6070="NEW"),"",COUNTBLANK(OFFSET(A$1,,,SUMPRODUCT(MAX(ROW(E$2:E6070)*(E6070=E$2:E6070)))))-COUNTBLANK(OFFSET(A$1,,,SUMPRODUCT(MAX(ROW(E$1:E6069)*(E2=E$1:E6069))))))</f>
        <v> </v>
      </c>
      <c r="K6070" s="26" t="str">
        <f>IF(OR(E6070="",E6070="!!!",F6070="NEW"),"",INDEX(J$1:J6069,SUMPRODUCT(MAX(ROW(E$1:E6069)*(E6070=E$1:E6069)))))</f>
        <v> </v>
      </c>
      <c r="L6070" s="27"/>
    </row>
    <row r="6071" spans="1:12">
      <c r="A6071" s="20" t="s">
        <v>1022</v>
      </c>
      <c r="E6071" s="22">
        <f>IF(D6071="?OLD","!!!","")</f>
        <v/>
      </c>
      <c r="F6071" s="23" t="str">
        <f>IF(OR(E6071="",E6071="!!!"),"",IF(NOT(ISNA(VLOOKUP(E6071,E$1:E6070,1,FALSE()))),"OLD",IF(AND(E6071&lt;&gt;"",E6071&lt;&gt;"!!!"),"NEW","")))</f>
        <v> </v>
      </c>
      <c r="G6071" s="24" t="str">
        <f>IF(OR(E6071="",E6071="!!!"),"",IF(OR(J6071=0,AND(J6071=1,K6071=1),AND(J6071=1,I6071="SBJ"),AND(J6071=1,I6071=0)),"?IN_FOCUS",IF(J6071&lt;=2,"?ACTIVATED",IF(J6071&lt;&gt;"","?FAMILIAR",IF(F6071="NEW",IF(ISNA(VLOOKUP(E6071,#REF!,1,FALSE())),"?TYPE_IDENTIFIABLE","?REFERENTIAL"),"_")))))</f>
        <v> </v>
      </c>
      <c r="H6071" s="25" t="str">
        <f>IF(J6071&lt;&gt;1,"",IF(I6071="SBJ","CB","?"))</f>
        <v> </v>
      </c>
      <c r="I6071" s="26" t="str">
        <f>IF(OR(E6071="",E6071="!!!",F6071="NEW"),"",INDEX(B6070:B$2,-1+SUMPRODUCT(MAX(ROW(E6070:E$2)*(E6071=E6070:E$2)))))</f>
        <v> </v>
      </c>
      <c r="J6071" s="26" t="str">
        <f>IF(OR(E6071="",E6071="!!!",F6071="NEW"),"",COUNTBLANK(OFFSET(A$1,,,SUMPRODUCT(MAX(ROW(E$2:E6071)*(E6071=E$2:E6071)))))-COUNTBLANK(OFFSET(A$1,,,SUMPRODUCT(MAX(ROW(E$1:E6070)*(E2=E$1:E6070))))))</f>
        <v> </v>
      </c>
      <c r="K6071" s="26" t="str">
        <f>IF(OR(E6071="",E6071="!!!",F6071="NEW"),"",INDEX(J$1:J6070,SUMPRODUCT(MAX(ROW(E$1:E6070)*(E6071=E$1:E6070)))))</f>
        <v> </v>
      </c>
      <c r="L6071" s="27"/>
    </row>
    <row r="6072" spans="1:12">
      <c r="A6072" s="20" t="s">
        <v>1767</v>
      </c>
      <c r="B6072" s="21" t="s">
        <v>1709</v>
      </c>
      <c r="C6072" s="21" t="s">
        <v>1015</v>
      </c>
      <c r="D6072" s="21" t="s">
        <v>997</v>
      </c>
      <c r="E6072" s="22">
        <f>IF(D6072="?OLD","!!!","")</f>
        <v/>
      </c>
      <c r="F6072" s="23" t="str">
        <f>IF(OR(E6072="",E6072="!!!"),"",IF(NOT(ISNA(VLOOKUP(E6072,E$1:E6071,1,FALSE()))),"OLD",IF(AND(E6072&lt;&gt;"",E6072&lt;&gt;"!!!"),"NEW","")))</f>
        <v> </v>
      </c>
      <c r="G6072" s="24" t="str">
        <f>IF(OR(E6072="",E6072="!!!"),"",IF(OR(J6072=0,AND(J6072=1,K6072=1),AND(J6072=1,I6072="SBJ"),AND(J6072=1,I6072=0)),"?IN_FOCUS",IF(J6072&lt;=2,"?ACTIVATED",IF(J6072&lt;&gt;"","?FAMILIAR",IF(F6072="NEW",IF(ISNA(VLOOKUP(E6072,#REF!,1,FALSE())),"?TYPE_IDENTIFIABLE","?REFERENTIAL"),"_")))))</f>
        <v> </v>
      </c>
      <c r="H6072" s="25" t="str">
        <f>IF(J6072&lt;&gt;1,"",IF(I6072="SBJ","CB","?"))</f>
        <v> </v>
      </c>
      <c r="I6072" s="26" t="str">
        <f>IF(OR(E6072="",E6072="!!!",F6072="NEW"),"",INDEX(B6071:B$2,-1+SUMPRODUCT(MAX(ROW(E6071:E$2)*(E6072=E6071:E$2)))))</f>
        <v> </v>
      </c>
      <c r="J6072" s="26" t="str">
        <f>IF(OR(E6072="",E6072="!!!",F6072="NEW"),"",COUNTBLANK(OFFSET(A$1,,,SUMPRODUCT(MAX(ROW(E$2:E6072)*(E6072=E$2:E6072)))))-COUNTBLANK(OFFSET(A$1,,,SUMPRODUCT(MAX(ROW(E$1:E6071)*(E2=E$1:E6071))))))</f>
        <v> </v>
      </c>
      <c r="K6072" s="26" t="str">
        <f>IF(OR(E6072="",E6072="!!!",F6072="NEW"),"",INDEX(J$1:J6071,SUMPRODUCT(MAX(ROW(E$1:E6071)*(E6072=E$1:E6071)))))</f>
        <v> </v>
      </c>
      <c r="L6072" s="27"/>
    </row>
    <row r="6073" spans="1:12">
      <c r="A6073" s="20" t="s">
        <v>1003</v>
      </c>
      <c r="E6073" s="22">
        <f>IF(D6073="?OLD","!!!","")</f>
        <v/>
      </c>
      <c r="F6073" s="23" t="str">
        <f>IF(OR(E6073="",E6073="!!!"),"",IF(NOT(ISNA(VLOOKUP(E6073,E$1:E6072,1,FALSE()))),"OLD",IF(AND(E6073&lt;&gt;"",E6073&lt;&gt;"!!!"),"NEW","")))</f>
        <v> </v>
      </c>
      <c r="G6073" s="24" t="str">
        <f>IF(OR(E6073="",E6073="!!!"),"",IF(OR(J6073=0,AND(J6073=1,K6073=1),AND(J6073=1,I6073="SBJ"),AND(J6073=1,I6073=0)),"?IN_FOCUS",IF(J6073&lt;=2,"?ACTIVATED",IF(J6073&lt;&gt;"","?FAMILIAR",IF(F6073="NEW",IF(ISNA(VLOOKUP(E6073,#REF!,1,FALSE())),"?TYPE_IDENTIFIABLE","?REFERENTIAL"),"_")))))</f>
        <v> </v>
      </c>
      <c r="H6073" s="25" t="str">
        <f>IF(J6073&lt;&gt;1,"",IF(I6073="SBJ","CB","?"))</f>
        <v> </v>
      </c>
      <c r="I6073" s="26" t="str">
        <f>IF(OR(E6073="",E6073="!!!",F6073="NEW"),"",INDEX(B6072:B$2,-1+SUMPRODUCT(MAX(ROW(E6072:E$2)*(E6073=E6072:E$2)))))</f>
        <v> </v>
      </c>
      <c r="J6073" s="26" t="str">
        <f>IF(OR(E6073="",E6073="!!!",F6073="NEW"),"",COUNTBLANK(OFFSET(A$1,,,SUMPRODUCT(MAX(ROW(E$2:E6073)*(E6073=E$2:E6073)))))-COUNTBLANK(OFFSET(A$1,,,SUMPRODUCT(MAX(ROW(E$1:E6072)*(E2=E$1:E6072))))))</f>
        <v> </v>
      </c>
      <c r="K6073" s="26" t="str">
        <f>IF(OR(E6073="",E6073="!!!",F6073="NEW"),"",INDEX(J$1:J6072,SUMPRODUCT(MAX(ROW(E$1:E6072)*(E6073=E$1:E6072)))))</f>
        <v> </v>
      </c>
      <c r="L6073" s="27"/>
    </row>
    <row r="6074" spans="1:12">
      <c r="A6074" s="20" t="s">
        <v>2166</v>
      </c>
      <c r="E6074" s="22">
        <f>IF(D6074="?OLD","!!!","")</f>
        <v/>
      </c>
      <c r="F6074" s="23" t="str">
        <f>IF(OR(E6074="",E6074="!!!"),"",IF(NOT(ISNA(VLOOKUP(E6074,E$1:E6073,1,FALSE()))),"OLD",IF(AND(E6074&lt;&gt;"",E6074&lt;&gt;"!!!"),"NEW","")))</f>
        <v> </v>
      </c>
      <c r="G6074" s="24" t="str">
        <f>IF(OR(E6074="",E6074="!!!"),"",IF(OR(J6074=0,AND(J6074=1,K6074=1),AND(J6074=1,I6074="SBJ"),AND(J6074=1,I6074=0)),"?IN_FOCUS",IF(J6074&lt;=2,"?ACTIVATED",IF(J6074&lt;&gt;"","?FAMILIAR",IF(F6074="NEW",IF(ISNA(VLOOKUP(E6074,#REF!,1,FALSE())),"?TYPE_IDENTIFIABLE","?REFERENTIAL"),"_")))))</f>
        <v> </v>
      </c>
      <c r="H6074" s="25" t="str">
        <f>IF(J6074&lt;&gt;1,"",IF(I6074="SBJ","CB","?"))</f>
        <v> </v>
      </c>
      <c r="I6074" s="26" t="str">
        <f>IF(OR(E6074="",E6074="!!!",F6074="NEW"),"",INDEX(B6073:B$2,-1+SUMPRODUCT(MAX(ROW(E6073:E$2)*(E6074=E6073:E$2)))))</f>
        <v> </v>
      </c>
      <c r="J6074" s="26" t="str">
        <f>IF(OR(E6074="",E6074="!!!",F6074="NEW"),"",COUNTBLANK(OFFSET(A$1,,,SUMPRODUCT(MAX(ROW(E$2:E6074)*(E6074=E$2:E6074)))))-COUNTBLANK(OFFSET(A$1,,,SUMPRODUCT(MAX(ROW(E$1:E6073)*(E2=E$1:E6073))))))</f>
        <v> </v>
      </c>
      <c r="K6074" s="26" t="str">
        <f>IF(OR(E6074="",E6074="!!!",F6074="NEW"),"",INDEX(J$1:J6073,SUMPRODUCT(MAX(ROW(E$1:E6073)*(E6074=E$1:E6073)))))</f>
        <v> </v>
      </c>
      <c r="L6074" s="27"/>
    </row>
    <row r="6075" spans="1:12">
      <c r="A6075" s="20" t="s">
        <v>1011</v>
      </c>
      <c r="E6075" s="22">
        <f>IF(D6075="?OLD","!!!","")</f>
        <v/>
      </c>
      <c r="F6075" s="23" t="str">
        <f>IF(OR(E6075="",E6075="!!!"),"",IF(NOT(ISNA(VLOOKUP(E6075,E$1:E6074,1,FALSE()))),"OLD",IF(AND(E6075&lt;&gt;"",E6075&lt;&gt;"!!!"),"NEW","")))</f>
        <v> </v>
      </c>
      <c r="G6075" s="24" t="str">
        <f>IF(OR(E6075="",E6075="!!!"),"",IF(OR(J6075=0,AND(J6075=1,K6075=1),AND(J6075=1,I6075="SBJ"),AND(J6075=1,I6075=0)),"?IN_FOCUS",IF(J6075&lt;=2,"?ACTIVATED",IF(J6075&lt;&gt;"","?FAMILIAR",IF(F6075="NEW",IF(ISNA(VLOOKUP(E6075,#REF!,1,FALSE())),"?TYPE_IDENTIFIABLE","?REFERENTIAL"),"_")))))</f>
        <v> </v>
      </c>
      <c r="H6075" s="25" t="str">
        <f>IF(J6075&lt;&gt;1,"",IF(I6075="SBJ","CB","?"))</f>
        <v> </v>
      </c>
      <c r="I6075" s="26" t="str">
        <f>IF(OR(E6075="",E6075="!!!",F6075="NEW"),"",INDEX(B6074:B$2,-1+SUMPRODUCT(MAX(ROW(E6074:E$2)*(E6075=E6074:E$2)))))</f>
        <v> </v>
      </c>
      <c r="J6075" s="26" t="str">
        <f>IF(OR(E6075="",E6075="!!!",F6075="NEW"),"",COUNTBLANK(OFFSET(A$1,,,SUMPRODUCT(MAX(ROW(E$2:E6075)*(E6075=E$2:E6075)))))-COUNTBLANK(OFFSET(A$1,,,SUMPRODUCT(MAX(ROW(E$1:E6074)*(E2=E$1:E6074))))))</f>
        <v> </v>
      </c>
      <c r="K6075" s="26" t="str">
        <f>IF(OR(E6075="",E6075="!!!",F6075="NEW"),"",INDEX(J$1:J6074,SUMPRODUCT(MAX(ROW(E$1:E6074)*(E6075=E$1:E6074)))))</f>
        <v> </v>
      </c>
      <c r="L6075" s="27"/>
    </row>
    <row r="6076" spans="1:12">
      <c r="A6076" s="20"/>
    </row>
    <row r="6077" spans="1:12">
      <c r="A6077" s="20" t="s">
        <v>2532</v>
      </c>
    </row>
    <row r="6078" spans="1:12">
      <c r="A6078" s="20" t="s">
        <v>2252</v>
      </c>
      <c r="B6078" s="21" t="s">
        <v>1067</v>
      </c>
      <c r="C6078" s="21" t="s">
        <v>1015</v>
      </c>
      <c r="D6078" s="21" t="s">
        <v>997</v>
      </c>
      <c r="E6078" s="22">
        <f>IF(D6078="?OLD","!!!","")</f>
        <v/>
      </c>
      <c r="F6078" s="23" t="str">
        <f>IF(OR(E6078="",E6078="!!!"),"",IF(NOT(ISNA(VLOOKUP(E6078,E$1:E6077,1,FALSE()))),"OLD",IF(AND(E6078&lt;&gt;"",E6078&lt;&gt;"!!!"),"NEW","")))</f>
        <v> </v>
      </c>
      <c r="G6078" s="24" t="str">
        <f>IF(OR(E6078="",E6078="!!!"),"",IF(OR(J6078=0,AND(J6078=1,K6078=1),AND(J6078=1,I6078="SBJ"),AND(J6078=1,I6078=0)),"?IN_FOCUS",IF(J6078&lt;=2,"?ACTIVATED",IF(J6078&lt;&gt;"","?FAMILIAR",IF(F6078="NEW",IF(ISNA(VLOOKUP(E6078,#REF!,1,FALSE())),"?TYPE_IDENTIFIABLE","?REFERENTIAL"),"_")))))</f>
        <v> </v>
      </c>
      <c r="H6078" s="25" t="str">
        <f>IF(J6078&lt;&gt;1,"",IF(I6078="SBJ","CB","?"))</f>
        <v> </v>
      </c>
      <c r="I6078" s="26" t="str">
        <f>IF(OR(E6078="",E6078="!!!",F6078="NEW"),"",INDEX(B6077:B$2,-1+SUMPRODUCT(MAX(ROW(E6077:E$2)*(E6078=E6077:E$2)))))</f>
        <v> </v>
      </c>
      <c r="J6078" s="26" t="str">
        <f>IF(OR(E6078="",E6078="!!!",F6078="NEW"),"",COUNTBLANK(OFFSET(A$1,,,SUMPRODUCT(MAX(ROW(E$2:E6078)*(E6078=E$2:E6078)))))-COUNTBLANK(OFFSET(A$1,,,SUMPRODUCT(MAX(ROW(E$1:E6077)*(E2=E$1:E6077))))))</f>
        <v> </v>
      </c>
      <c r="K6078" s="26" t="str">
        <f>IF(OR(E6078="",E6078="!!!",F6078="NEW"),"",INDEX(J$1:J6077,SUMPRODUCT(MAX(ROW(E$1:E6077)*(E6078=E$1:E6077)))))</f>
        <v> </v>
      </c>
      <c r="L6078" s="27"/>
    </row>
    <row r="6079" spans="1:12">
      <c r="A6079" s="20" t="s">
        <v>1513</v>
      </c>
      <c r="E6079" s="22">
        <f>IF(D6079="?OLD","!!!","")</f>
        <v/>
      </c>
      <c r="F6079" s="23" t="str">
        <f>IF(OR(E6079="",E6079="!!!"),"",IF(NOT(ISNA(VLOOKUP(E6079,E$1:E6078,1,FALSE()))),"OLD",IF(AND(E6079&lt;&gt;"",E6079&lt;&gt;"!!!"),"NEW","")))</f>
        <v> </v>
      </c>
      <c r="G6079" s="24" t="str">
        <f>IF(OR(E6079="",E6079="!!!"),"",IF(OR(J6079=0,AND(J6079=1,K6079=1),AND(J6079=1,I6079="SBJ"),AND(J6079=1,I6079=0)),"?IN_FOCUS",IF(J6079&lt;=2,"?ACTIVATED",IF(J6079&lt;&gt;"","?FAMILIAR",IF(F6079="NEW",IF(ISNA(VLOOKUP(E6079,#REF!,1,FALSE())),"?TYPE_IDENTIFIABLE","?REFERENTIAL"),"_")))))</f>
        <v> </v>
      </c>
      <c r="H6079" s="25" t="str">
        <f>IF(J6079&lt;&gt;1,"",IF(I6079="SBJ","CB","?"))</f>
        <v> </v>
      </c>
      <c r="I6079" s="26" t="str">
        <f>IF(OR(E6079="",E6079="!!!",F6079="NEW"),"",INDEX(B6078:B$2,-1+SUMPRODUCT(MAX(ROW(E6078:E$2)*(E6079=E6078:E$2)))))</f>
        <v> </v>
      </c>
      <c r="J6079" s="26" t="str">
        <f>IF(OR(E6079="",E6079="!!!",F6079="NEW"),"",COUNTBLANK(OFFSET(A$1,,,SUMPRODUCT(MAX(ROW(E$2:E6079)*(E6079=E$2:E6079)))))-COUNTBLANK(OFFSET(A$1,,,SUMPRODUCT(MAX(ROW(E$1:E6078)*(E2=E$1:E6078))))))</f>
        <v> </v>
      </c>
      <c r="K6079" s="26" t="str">
        <f>IF(OR(E6079="",E6079="!!!",F6079="NEW"),"",INDEX(J$1:J6078,SUMPRODUCT(MAX(ROW(E$1:E6078)*(E6079=E$1:E6078)))))</f>
        <v> </v>
      </c>
      <c r="L6079" s="27"/>
    </row>
    <row r="6080" spans="1:12">
      <c r="A6080" s="20" t="s">
        <v>1013</v>
      </c>
      <c r="E6080" s="22">
        <f>IF(D6080="?OLD","!!!","")</f>
        <v/>
      </c>
      <c r="F6080" s="23" t="str">
        <f>IF(OR(E6080="",E6080="!!!"),"",IF(NOT(ISNA(VLOOKUP(E6080,E$1:E6079,1,FALSE()))),"OLD",IF(AND(E6080&lt;&gt;"",E6080&lt;&gt;"!!!"),"NEW","")))</f>
        <v> </v>
      </c>
      <c r="G6080" s="24" t="str">
        <f>IF(OR(E6080="",E6080="!!!"),"",IF(OR(J6080=0,AND(J6080=1,K6080=1),AND(J6080=1,I6080="SBJ"),AND(J6080=1,I6080=0)),"?IN_FOCUS",IF(J6080&lt;=2,"?ACTIVATED",IF(J6080&lt;&gt;"","?FAMILIAR",IF(F6080="NEW",IF(ISNA(VLOOKUP(E6080,#REF!,1,FALSE())),"?TYPE_IDENTIFIABLE","?REFERENTIAL"),"_")))))</f>
        <v> </v>
      </c>
      <c r="H6080" s="25" t="str">
        <f>IF(J6080&lt;&gt;1,"",IF(I6080="SBJ","CB","?"))</f>
        <v> </v>
      </c>
      <c r="I6080" s="26" t="str">
        <f>IF(OR(E6080="",E6080="!!!",F6080="NEW"),"",INDEX(B6079:B$2,-1+SUMPRODUCT(MAX(ROW(E6079:E$2)*(E6080=E6079:E$2)))))</f>
        <v> </v>
      </c>
      <c r="J6080" s="26" t="str">
        <f>IF(OR(E6080="",E6080="!!!",F6080="NEW"),"",COUNTBLANK(OFFSET(A$1,,,SUMPRODUCT(MAX(ROW(E$2:E6080)*(E6080=E$2:E6080)))))-COUNTBLANK(OFFSET(A$1,,,SUMPRODUCT(MAX(ROW(E$1:E6079)*(E2=E$1:E6079))))))</f>
        <v> </v>
      </c>
      <c r="K6080" s="26" t="str">
        <f>IF(OR(E6080="",E6080="!!!",F6080="NEW"),"",INDEX(J$1:J6079,SUMPRODUCT(MAX(ROW(E$1:E6079)*(E6080=E$1:E6079)))))</f>
        <v> </v>
      </c>
      <c r="L6080" s="27"/>
    </row>
    <row r="6081" spans="1:12">
      <c r="A6081" s="20" t="s">
        <v>1230</v>
      </c>
      <c r="E6081" s="22">
        <f>IF(D6081="?OLD","!!!","")</f>
        <v/>
      </c>
      <c r="F6081" s="23" t="str">
        <f>IF(OR(E6081="",E6081="!!!"),"",IF(NOT(ISNA(VLOOKUP(E6081,E$1:E6080,1,FALSE()))),"OLD",IF(AND(E6081&lt;&gt;"",E6081&lt;&gt;"!!!"),"NEW","")))</f>
        <v> </v>
      </c>
      <c r="G6081" s="24" t="str">
        <f>IF(OR(E6081="",E6081="!!!"),"",IF(OR(J6081=0,AND(J6081=1,K6081=1),AND(J6081=1,I6081="SBJ"),AND(J6081=1,I6081=0)),"?IN_FOCUS",IF(J6081&lt;=2,"?ACTIVATED",IF(J6081&lt;&gt;"","?FAMILIAR",IF(F6081="NEW",IF(ISNA(VLOOKUP(E6081,#REF!,1,FALSE())),"?TYPE_IDENTIFIABLE","?REFERENTIAL"),"_")))))</f>
        <v> </v>
      </c>
      <c r="H6081" s="25" t="str">
        <f>IF(J6081&lt;&gt;1,"",IF(I6081="SBJ","CB","?"))</f>
        <v> </v>
      </c>
      <c r="I6081" s="26" t="str">
        <f>IF(OR(E6081="",E6081="!!!",F6081="NEW"),"",INDEX(B6080:B$2,-1+SUMPRODUCT(MAX(ROW(E6080:E$2)*(E6081=E6080:E$2)))))</f>
        <v> </v>
      </c>
      <c r="J6081" s="26" t="str">
        <f>IF(OR(E6081="",E6081="!!!",F6081="NEW"),"",COUNTBLANK(OFFSET(A$1,,,SUMPRODUCT(MAX(ROW(E$2:E6081)*(E6081=E$2:E6081)))))-COUNTBLANK(OFFSET(A$1,,,SUMPRODUCT(MAX(ROW(E$1:E6080)*(E2=E$1:E6080))))))</f>
        <v> </v>
      </c>
      <c r="K6081" s="26" t="str">
        <f>IF(OR(E6081="",E6081="!!!",F6081="NEW"),"",INDEX(J$1:J6080,SUMPRODUCT(MAX(ROW(E$1:E6080)*(E6081=E$1:E6080)))))</f>
        <v> </v>
      </c>
      <c r="L6081" s="27"/>
    </row>
    <row r="6082" spans="1:12">
      <c r="A6082" s="20" t="s">
        <v>1041</v>
      </c>
      <c r="E6082" s="22">
        <f>IF(D6082="?OLD","!!!","")</f>
        <v/>
      </c>
      <c r="F6082" s="23" t="str">
        <f>IF(OR(E6082="",E6082="!!!"),"",IF(NOT(ISNA(VLOOKUP(E6082,E$1:E6081,1,FALSE()))),"OLD",IF(AND(E6082&lt;&gt;"",E6082&lt;&gt;"!!!"),"NEW","")))</f>
        <v> </v>
      </c>
      <c r="G6082" s="24" t="str">
        <f>IF(OR(E6082="",E6082="!!!"),"",IF(OR(J6082=0,AND(J6082=1,K6082=1),AND(J6082=1,I6082="SBJ"),AND(J6082=1,I6082=0)),"?IN_FOCUS",IF(J6082&lt;=2,"?ACTIVATED",IF(J6082&lt;&gt;"","?FAMILIAR",IF(F6082="NEW",IF(ISNA(VLOOKUP(E6082,#REF!,1,FALSE())),"?TYPE_IDENTIFIABLE","?REFERENTIAL"),"_")))))</f>
        <v> </v>
      </c>
      <c r="H6082" s="25" t="str">
        <f>IF(J6082&lt;&gt;1,"",IF(I6082="SBJ","CB","?"))</f>
        <v> </v>
      </c>
      <c r="I6082" s="26" t="str">
        <f>IF(OR(E6082="",E6082="!!!",F6082="NEW"),"",INDEX(B6081:B$2,-1+SUMPRODUCT(MAX(ROW(E6081:E$2)*(E6082=E6081:E$2)))))</f>
        <v> </v>
      </c>
      <c r="J6082" s="26" t="str">
        <f>IF(OR(E6082="",E6082="!!!",F6082="NEW"),"",COUNTBLANK(OFFSET(A$1,,,SUMPRODUCT(MAX(ROW(E$2:E6082)*(E6082=E$2:E6082)))))-COUNTBLANK(OFFSET(A$1,,,SUMPRODUCT(MAX(ROW(E$1:E6081)*(E2=E$1:E6081))))))</f>
        <v> </v>
      </c>
      <c r="K6082" s="26" t="str">
        <f>IF(OR(E6082="",E6082="!!!",F6082="NEW"),"",INDEX(J$1:J6081,SUMPRODUCT(MAX(ROW(E$1:E6081)*(E6082=E$1:E6081)))))</f>
        <v> </v>
      </c>
      <c r="L6082" s="27"/>
    </row>
    <row r="6083" spans="1:12">
      <c r="A6083" s="20" t="s">
        <v>1079</v>
      </c>
      <c r="B6083" s="21" t="s">
        <v>1142</v>
      </c>
      <c r="C6083" s="21" t="s">
        <v>1015</v>
      </c>
      <c r="D6083" s="21" t="s">
        <v>997</v>
      </c>
      <c r="E6083" s="22">
        <f>IF(D6083="?OLD","!!!","")</f>
        <v/>
      </c>
      <c r="F6083" s="23" t="str">
        <f>IF(OR(E6083="",E6083="!!!"),"",IF(NOT(ISNA(VLOOKUP(E6083,E$1:E6082,1,FALSE()))),"OLD",IF(AND(E6083&lt;&gt;"",E6083&lt;&gt;"!!!"),"NEW","")))</f>
        <v> </v>
      </c>
      <c r="G6083" s="24" t="str">
        <f>IF(OR(E6083="",E6083="!!!"),"",IF(OR(J6083=0,AND(J6083=1,K6083=1),AND(J6083=1,I6083="SBJ"),AND(J6083=1,I6083=0)),"?IN_FOCUS",IF(J6083&lt;=2,"?ACTIVATED",IF(J6083&lt;&gt;"","?FAMILIAR",IF(F6083="NEW",IF(ISNA(VLOOKUP(E6083,#REF!,1,FALSE())),"?TYPE_IDENTIFIABLE","?REFERENTIAL"),"_")))))</f>
        <v> </v>
      </c>
      <c r="H6083" s="25" t="str">
        <f>IF(J6083&lt;&gt;1,"",IF(I6083="SBJ","CB","?"))</f>
        <v> </v>
      </c>
      <c r="I6083" s="26" t="str">
        <f>IF(OR(E6083="",E6083="!!!",F6083="NEW"),"",INDEX(B6082:B$2,-1+SUMPRODUCT(MAX(ROW(E6082:E$2)*(E6083=E6082:E$2)))))</f>
        <v> </v>
      </c>
      <c r="J6083" s="26" t="str">
        <f>IF(OR(E6083="",E6083="!!!",F6083="NEW"),"",COUNTBLANK(OFFSET(A$1,,,SUMPRODUCT(MAX(ROW(E$2:E6083)*(E6083=E$2:E6083)))))-COUNTBLANK(OFFSET(A$1,,,SUMPRODUCT(MAX(ROW(E$1:E6082)*(E2=E$1:E6082))))))</f>
        <v> </v>
      </c>
      <c r="K6083" s="26" t="str">
        <f>IF(OR(E6083="",E6083="!!!",F6083="NEW"),"",INDEX(J$1:J6082,SUMPRODUCT(MAX(ROW(E$1:E6082)*(E6083=E$1:E6082)))))</f>
        <v> </v>
      </c>
      <c r="L6083" s="27"/>
    </row>
    <row r="6084" spans="1:12">
      <c r="A6084" s="20" t="s">
        <v>1149</v>
      </c>
      <c r="E6084" s="22">
        <f>IF(D6084="?OLD","!!!","")</f>
        <v/>
      </c>
      <c r="F6084" s="23" t="str">
        <f>IF(OR(E6084="",E6084="!!!"),"",IF(NOT(ISNA(VLOOKUP(E6084,E$1:E6083,1,FALSE()))),"OLD",IF(AND(E6084&lt;&gt;"",E6084&lt;&gt;"!!!"),"NEW","")))</f>
        <v> </v>
      </c>
      <c r="G6084" s="24" t="str">
        <f>IF(OR(E6084="",E6084="!!!"),"",IF(OR(J6084=0,AND(J6084=1,K6084=1),AND(J6084=1,I6084="SBJ"),AND(J6084=1,I6084=0)),"?IN_FOCUS",IF(J6084&lt;=2,"?ACTIVATED",IF(J6084&lt;&gt;"","?FAMILIAR",IF(F6084="NEW",IF(ISNA(VLOOKUP(E6084,#REF!,1,FALSE())),"?TYPE_IDENTIFIABLE","?REFERENTIAL"),"_")))))</f>
        <v> </v>
      </c>
      <c r="H6084" s="25" t="str">
        <f>IF(J6084&lt;&gt;1,"",IF(I6084="SBJ","CB","?"))</f>
        <v> </v>
      </c>
      <c r="I6084" s="26" t="str">
        <f>IF(OR(E6084="",E6084="!!!",F6084="NEW"),"",INDEX(B6083:B$2,-1+SUMPRODUCT(MAX(ROW(E6083:E$2)*(E6084=E6083:E$2)))))</f>
        <v> </v>
      </c>
      <c r="J6084" s="26" t="str">
        <f>IF(OR(E6084="",E6084="!!!",F6084="NEW"),"",COUNTBLANK(OFFSET(A$1,,,SUMPRODUCT(MAX(ROW(E$2:E6084)*(E6084=E$2:E6084)))))-COUNTBLANK(OFFSET(A$1,,,SUMPRODUCT(MAX(ROW(E$1:E6083)*(E2=E$1:E6083))))))</f>
        <v> </v>
      </c>
      <c r="K6084" s="26" t="str">
        <f>IF(OR(E6084="",E6084="!!!",F6084="NEW"),"",INDEX(J$1:J6083,SUMPRODUCT(MAX(ROW(E$1:E6083)*(E6084=E$1:E6083)))))</f>
        <v> </v>
      </c>
      <c r="L6084" s="27"/>
    </row>
    <row r="6085" spans="1:12">
      <c r="A6085" s="20" t="s">
        <v>1825</v>
      </c>
      <c r="B6085" s="21" t="s">
        <v>1005</v>
      </c>
      <c r="C6085" s="21" t="s">
        <v>1025</v>
      </c>
      <c r="D6085" s="21" t="s">
        <v>997</v>
      </c>
      <c r="E6085" s="22">
        <f>IF(D6085="?OLD","!!!","")</f>
        <v/>
      </c>
      <c r="F6085" s="23" t="str">
        <f>IF(OR(E6085="",E6085="!!!"),"",IF(NOT(ISNA(VLOOKUP(E6085,E$1:E6084,1,FALSE()))),"OLD",IF(AND(E6085&lt;&gt;"",E6085&lt;&gt;"!!!"),"NEW","")))</f>
        <v> </v>
      </c>
      <c r="G6085" s="24" t="str">
        <f>IF(OR(E6085="",E6085="!!!"),"",IF(OR(J6085=0,AND(J6085=1,K6085=1),AND(J6085=1,I6085="SBJ"),AND(J6085=1,I6085=0)),"?IN_FOCUS",IF(J6085&lt;=2,"?ACTIVATED",IF(J6085&lt;&gt;"","?FAMILIAR",IF(F6085="NEW",IF(ISNA(VLOOKUP(E6085,#REF!,1,FALSE())),"?TYPE_IDENTIFIABLE","?REFERENTIAL"),"_")))))</f>
        <v> </v>
      </c>
      <c r="H6085" s="25" t="str">
        <f>IF(J6085&lt;&gt;1,"",IF(I6085="SBJ","CB","?"))</f>
        <v> </v>
      </c>
      <c r="I6085" s="26" t="str">
        <f>IF(OR(E6085="",E6085="!!!",F6085="NEW"),"",INDEX(B6084:B$2,-1+SUMPRODUCT(MAX(ROW(E6084:E$2)*(E6085=E6084:E$2)))))</f>
        <v> </v>
      </c>
      <c r="J6085" s="26" t="str">
        <f>IF(OR(E6085="",E6085="!!!",F6085="NEW"),"",COUNTBLANK(OFFSET(A$1,,,SUMPRODUCT(MAX(ROW(E$2:E6085)*(E6085=E$2:E6085)))))-COUNTBLANK(OFFSET(A$1,,,SUMPRODUCT(MAX(ROW(E$1:E6084)*(E2=E$1:E6084))))))</f>
        <v> </v>
      </c>
      <c r="K6085" s="26" t="str">
        <f>IF(OR(E6085="",E6085="!!!",F6085="NEW"),"",INDEX(J$1:J6084,SUMPRODUCT(MAX(ROW(E$1:E6084)*(E6085=E$1:E6084)))))</f>
        <v> </v>
      </c>
      <c r="L6085" s="27"/>
    </row>
    <row r="6086" spans="1:12">
      <c r="A6086" s="20" t="s">
        <v>1283</v>
      </c>
      <c r="B6086" s="21" t="s">
        <v>1067</v>
      </c>
      <c r="C6086" s="21" t="s">
        <v>1028</v>
      </c>
      <c r="D6086" s="21" t="s">
        <v>997</v>
      </c>
      <c r="E6086" s="22">
        <f>IF(D6086="?OLD","!!!","")</f>
        <v/>
      </c>
      <c r="F6086" s="23" t="str">
        <f>IF(OR(E6086="",E6086="!!!"),"",IF(NOT(ISNA(VLOOKUP(E6086,E$1:E6085,1,FALSE()))),"OLD",IF(AND(E6086&lt;&gt;"",E6086&lt;&gt;"!!!"),"NEW","")))</f>
        <v> </v>
      </c>
      <c r="G6086" s="24" t="str">
        <f>IF(OR(E6086="",E6086="!!!"),"",IF(OR(J6086=0,AND(J6086=1,K6086=1),AND(J6086=1,I6086="SBJ"),AND(J6086=1,I6086=0)),"?IN_FOCUS",IF(J6086&lt;=2,"?ACTIVATED",IF(J6086&lt;&gt;"","?FAMILIAR",IF(F6086="NEW",IF(ISNA(VLOOKUP(E6086,#REF!,1,FALSE())),"?TYPE_IDENTIFIABLE","?REFERENTIAL"),"_")))))</f>
        <v> </v>
      </c>
      <c r="H6086" s="25" t="str">
        <f>IF(J6086&lt;&gt;1,"",IF(I6086="SBJ","CB","?"))</f>
        <v> </v>
      </c>
      <c r="I6086" s="26" t="str">
        <f>IF(OR(E6086="",E6086="!!!",F6086="NEW"),"",INDEX(B6085:B$2,-1+SUMPRODUCT(MAX(ROW(E6085:E$2)*(E6086=E6085:E$2)))))</f>
        <v> </v>
      </c>
      <c r="J6086" s="26" t="str">
        <f>IF(OR(E6086="",E6086="!!!",F6086="NEW"),"",COUNTBLANK(OFFSET(A$1,,,SUMPRODUCT(MAX(ROW(E$2:E6086)*(E6086=E$2:E6086)))))-COUNTBLANK(OFFSET(A$1,,,SUMPRODUCT(MAX(ROW(E$1:E6085)*(E2=E$1:E6085))))))</f>
        <v> </v>
      </c>
      <c r="K6086" s="26" t="str">
        <f>IF(OR(E6086="",E6086="!!!",F6086="NEW"),"",INDEX(J$1:J6085,SUMPRODUCT(MAX(ROW(E$1:E6085)*(E6086=E$1:E6085)))))</f>
        <v> </v>
      </c>
      <c r="L6086" s="27"/>
    </row>
    <row r="6087" spans="1:12">
      <c r="A6087" s="20" t="s">
        <v>1029</v>
      </c>
      <c r="E6087" s="22">
        <f>IF(D6087="?OLD","!!!","")</f>
        <v/>
      </c>
      <c r="F6087" s="23" t="str">
        <f>IF(OR(E6087="",E6087="!!!"),"",IF(NOT(ISNA(VLOOKUP(E6087,E$1:E6086,1,FALSE()))),"OLD",IF(AND(E6087&lt;&gt;"",E6087&lt;&gt;"!!!"),"NEW","")))</f>
        <v> </v>
      </c>
      <c r="G6087" s="24" t="str">
        <f>IF(OR(E6087="",E6087="!!!"),"",IF(OR(J6087=0,AND(J6087=1,K6087=1),AND(J6087=1,I6087="SBJ"),AND(J6087=1,I6087=0)),"?IN_FOCUS",IF(J6087&lt;=2,"?ACTIVATED",IF(J6087&lt;&gt;"","?FAMILIAR",IF(F6087="NEW",IF(ISNA(VLOOKUP(E6087,#REF!,1,FALSE())),"?TYPE_IDENTIFIABLE","?REFERENTIAL"),"_")))))</f>
        <v> </v>
      </c>
      <c r="H6087" s="25" t="str">
        <f>IF(J6087&lt;&gt;1,"",IF(I6087="SBJ","CB","?"))</f>
        <v> </v>
      </c>
      <c r="I6087" s="26" t="str">
        <f>IF(OR(E6087="",E6087="!!!",F6087="NEW"),"",INDEX(B6086:B$2,-1+SUMPRODUCT(MAX(ROW(E6086:E$2)*(E6087=E6086:E$2)))))</f>
        <v> </v>
      </c>
      <c r="J6087" s="26" t="str">
        <f>IF(OR(E6087="",E6087="!!!",F6087="NEW"),"",COUNTBLANK(OFFSET(A$1,,,SUMPRODUCT(MAX(ROW(E$2:E6087)*(E6087=E$2:E6087)))))-COUNTBLANK(OFFSET(A$1,,,SUMPRODUCT(MAX(ROW(E$1:E6086)*(E2=E$1:E6086))))))</f>
        <v> </v>
      </c>
      <c r="K6087" s="26" t="str">
        <f>IF(OR(E6087="",E6087="!!!",F6087="NEW"),"",INDEX(J$1:J6086,SUMPRODUCT(MAX(ROW(E$1:E6086)*(E6087=E$1:E6086)))))</f>
        <v> </v>
      </c>
      <c r="L6087" s="27"/>
    </row>
    <row r="6088" spans="1:12">
      <c r="A6088" s="20" t="s">
        <v>1060</v>
      </c>
      <c r="E6088" s="22">
        <f>IF(D6088="?OLD","!!!","")</f>
        <v/>
      </c>
      <c r="F6088" s="23" t="str">
        <f>IF(OR(E6088="",E6088="!!!"),"",IF(NOT(ISNA(VLOOKUP(E6088,E$1:E6087,1,FALSE()))),"OLD",IF(AND(E6088&lt;&gt;"",E6088&lt;&gt;"!!!"),"NEW","")))</f>
        <v> </v>
      </c>
      <c r="G6088" s="24" t="str">
        <f>IF(OR(E6088="",E6088="!!!"),"",IF(OR(J6088=0,AND(J6088=1,K6088=1),AND(J6088=1,I6088="SBJ"),AND(J6088=1,I6088=0)),"?IN_FOCUS",IF(J6088&lt;=2,"?ACTIVATED",IF(J6088&lt;&gt;"","?FAMILIAR",IF(F6088="NEW",IF(ISNA(VLOOKUP(E6088,#REF!,1,FALSE())),"?TYPE_IDENTIFIABLE","?REFERENTIAL"),"_")))))</f>
        <v> </v>
      </c>
      <c r="H6088" s="25" t="str">
        <f>IF(J6088&lt;&gt;1,"",IF(I6088="SBJ","CB","?"))</f>
        <v> </v>
      </c>
      <c r="I6088" s="26" t="str">
        <f>IF(OR(E6088="",E6088="!!!",F6088="NEW"),"",INDEX(B6087:B$2,-1+SUMPRODUCT(MAX(ROW(E6087:E$2)*(E6088=E6087:E$2)))))</f>
        <v> </v>
      </c>
      <c r="J6088" s="26" t="str">
        <f>IF(OR(E6088="",E6088="!!!",F6088="NEW"),"",COUNTBLANK(OFFSET(A$1,,,SUMPRODUCT(MAX(ROW(E$2:E6088)*(E6088=E$2:E6088)))))-COUNTBLANK(OFFSET(A$1,,,SUMPRODUCT(MAX(ROW(E$1:E6087)*(E2=E$1:E6087))))))</f>
        <v> </v>
      </c>
      <c r="K6088" s="26" t="str">
        <f>IF(OR(E6088="",E6088="!!!",F6088="NEW"),"",INDEX(J$1:J6087,SUMPRODUCT(MAX(ROW(E$1:E6087)*(E6088=E$1:E6087)))))</f>
        <v> </v>
      </c>
      <c r="L6088" s="27"/>
    </row>
    <row r="6089" spans="1:12">
      <c r="A6089" s="20" t="s">
        <v>2533</v>
      </c>
      <c r="B6089" s="21" t="s">
        <v>1005</v>
      </c>
      <c r="C6089" s="21" t="s">
        <v>1028</v>
      </c>
      <c r="D6089" s="21" t="s">
        <v>997</v>
      </c>
      <c r="E6089" s="22">
        <f>IF(D6089="?OLD","!!!","")</f>
        <v/>
      </c>
      <c r="F6089" s="23" t="str">
        <f>IF(OR(E6089="",E6089="!!!"),"",IF(NOT(ISNA(VLOOKUP(E6089,E$1:E6088,1,FALSE()))),"OLD",IF(AND(E6089&lt;&gt;"",E6089&lt;&gt;"!!!"),"NEW","")))</f>
        <v> </v>
      </c>
      <c r="G6089" s="24" t="str">
        <f>IF(OR(E6089="",E6089="!!!"),"",IF(OR(J6089=0,AND(J6089=1,K6089=1),AND(J6089=1,I6089="SBJ"),AND(J6089=1,I6089=0)),"?IN_FOCUS",IF(J6089&lt;=2,"?ACTIVATED",IF(J6089&lt;&gt;"","?FAMILIAR",IF(F6089="NEW",IF(ISNA(VLOOKUP(E6089,#REF!,1,FALSE())),"?TYPE_IDENTIFIABLE","?REFERENTIAL"),"_")))))</f>
        <v> </v>
      </c>
      <c r="H6089" s="25" t="str">
        <f>IF(J6089&lt;&gt;1,"",IF(I6089="SBJ","CB","?"))</f>
        <v> </v>
      </c>
      <c r="I6089" s="26" t="str">
        <f>IF(OR(E6089="",E6089="!!!",F6089="NEW"),"",INDEX(B6088:B$2,-1+SUMPRODUCT(MAX(ROW(E6088:E$2)*(E6089=E6088:E$2)))))</f>
        <v> </v>
      </c>
      <c r="J6089" s="26" t="str">
        <f>IF(OR(E6089="",E6089="!!!",F6089="NEW"),"",COUNTBLANK(OFFSET(A$1,,,SUMPRODUCT(MAX(ROW(E$2:E6089)*(E6089=E$2:E6089)))))-COUNTBLANK(OFFSET(A$1,,,SUMPRODUCT(MAX(ROW(E$1:E6088)*(E2=E$1:E6088))))))</f>
        <v> </v>
      </c>
      <c r="K6089" s="26" t="str">
        <f>IF(OR(E6089="",E6089="!!!",F6089="NEW"),"",INDEX(J$1:J6088,SUMPRODUCT(MAX(ROW(E$1:E6088)*(E6089=E$1:E6088)))))</f>
        <v> </v>
      </c>
      <c r="L6089" s="27"/>
    </row>
    <row r="6090" spans="1:12">
      <c r="A6090" s="20" t="s">
        <v>1008</v>
      </c>
      <c r="E6090" s="22">
        <f>IF(D6090="?OLD","!!!","")</f>
        <v/>
      </c>
      <c r="F6090" s="23" t="str">
        <f>IF(OR(E6090="",E6090="!!!"),"",IF(NOT(ISNA(VLOOKUP(E6090,E$1:E6089,1,FALSE()))),"OLD",IF(AND(E6090&lt;&gt;"",E6090&lt;&gt;"!!!"),"NEW","")))</f>
        <v> </v>
      </c>
      <c r="G6090" s="24" t="str">
        <f>IF(OR(E6090="",E6090="!!!"),"",IF(OR(J6090=0,AND(J6090=1,K6090=1),AND(J6090=1,I6090="SBJ"),AND(J6090=1,I6090=0)),"?IN_FOCUS",IF(J6090&lt;=2,"?ACTIVATED",IF(J6090&lt;&gt;"","?FAMILIAR",IF(F6090="NEW",IF(ISNA(VLOOKUP(E6090,#REF!,1,FALSE())),"?TYPE_IDENTIFIABLE","?REFERENTIAL"),"_")))))</f>
        <v> </v>
      </c>
      <c r="H6090" s="25" t="str">
        <f>IF(J6090&lt;&gt;1,"",IF(I6090="SBJ","CB","?"))</f>
        <v> </v>
      </c>
      <c r="I6090" s="26" t="str">
        <f>IF(OR(E6090="",E6090="!!!",F6090="NEW"),"",INDEX(B6089:B$2,-1+SUMPRODUCT(MAX(ROW(E6089:E$2)*(E6090=E6089:E$2)))))</f>
        <v> </v>
      </c>
      <c r="J6090" s="26" t="str">
        <f>IF(OR(E6090="",E6090="!!!",F6090="NEW"),"",COUNTBLANK(OFFSET(A$1,,,SUMPRODUCT(MAX(ROW(E$2:E6090)*(E6090=E$2:E6090)))))-COUNTBLANK(OFFSET(A$1,,,SUMPRODUCT(MAX(ROW(E$1:E6089)*(E2=E$1:E6089))))))</f>
        <v> </v>
      </c>
      <c r="K6090" s="26" t="str">
        <f>IF(OR(E6090="",E6090="!!!",F6090="NEW"),"",INDEX(J$1:J6089,SUMPRODUCT(MAX(ROW(E$1:E6089)*(E6090=E$1:E6089)))))</f>
        <v> </v>
      </c>
      <c r="L6090" s="27"/>
    </row>
    <row r="6091" spans="1:12">
      <c r="A6091" s="20" t="s">
        <v>2534</v>
      </c>
      <c r="B6091" s="21" t="s">
        <v>1010</v>
      </c>
      <c r="C6091" s="21" t="s">
        <v>1095</v>
      </c>
      <c r="D6091" s="21" t="s">
        <v>997</v>
      </c>
      <c r="E6091" s="22">
        <f>IF(D6091="?OLD","!!!","")</f>
        <v/>
      </c>
      <c r="F6091" s="23" t="str">
        <f>IF(OR(E6091="",E6091="!!!"),"",IF(NOT(ISNA(VLOOKUP(E6091,E$1:E6090,1,FALSE()))),"OLD",IF(AND(E6091&lt;&gt;"",E6091&lt;&gt;"!!!"),"NEW","")))</f>
        <v> </v>
      </c>
      <c r="G6091" s="24" t="str">
        <f>IF(OR(E6091="",E6091="!!!"),"",IF(OR(J6091=0,AND(J6091=1,K6091=1),AND(J6091=1,I6091="SBJ"),AND(J6091=1,I6091=0)),"?IN_FOCUS",IF(J6091&lt;=2,"?ACTIVATED",IF(J6091&lt;&gt;"","?FAMILIAR",IF(F6091="NEW",IF(ISNA(VLOOKUP(E6091,#REF!,1,FALSE())),"?TYPE_IDENTIFIABLE","?REFERENTIAL"),"_")))))</f>
        <v> </v>
      </c>
      <c r="H6091" s="25" t="str">
        <f>IF(J6091&lt;&gt;1,"",IF(I6091="SBJ","CB","?"))</f>
        <v> </v>
      </c>
      <c r="I6091" s="26" t="str">
        <f>IF(OR(E6091="",E6091="!!!",F6091="NEW"),"",INDEX(B6090:B$2,-1+SUMPRODUCT(MAX(ROW(E6090:E$2)*(E6091=E6090:E$2)))))</f>
        <v> </v>
      </c>
      <c r="J6091" s="26" t="str">
        <f>IF(OR(E6091="",E6091="!!!",F6091="NEW"),"",COUNTBLANK(OFFSET(A$1,,,SUMPRODUCT(MAX(ROW(E$2:E6091)*(E6091=E$2:E6091)))))-COUNTBLANK(OFFSET(A$1,,,SUMPRODUCT(MAX(ROW(E$1:E6090)*(E2=E$1:E6090))))))</f>
        <v> </v>
      </c>
      <c r="K6091" s="26" t="str">
        <f>IF(OR(E6091="",E6091="!!!",F6091="NEW"),"",INDEX(J$1:J6090,SUMPRODUCT(MAX(ROW(E$1:E6090)*(E6091=E$1:E6090)))))</f>
        <v> </v>
      </c>
      <c r="L6091" s="27"/>
    </row>
    <row r="6092" spans="1:12">
      <c r="A6092" s="20" t="s">
        <v>2535</v>
      </c>
      <c r="B6092" s="21" t="s">
        <v>1024</v>
      </c>
      <c r="C6092" s="21" t="s">
        <v>1095</v>
      </c>
      <c r="D6092" s="21" t="s">
        <v>997</v>
      </c>
      <c r="E6092" s="22">
        <f>IF(D6092="?OLD","!!!","")</f>
        <v/>
      </c>
      <c r="F6092" s="23" t="str">
        <f>IF(OR(E6092="",E6092="!!!"),"",IF(NOT(ISNA(VLOOKUP(E6092,E$1:E6091,1,FALSE()))),"OLD",IF(AND(E6092&lt;&gt;"",E6092&lt;&gt;"!!!"),"NEW","")))</f>
        <v> </v>
      </c>
      <c r="G6092" s="24" t="str">
        <f>IF(OR(E6092="",E6092="!!!"),"",IF(OR(J6092=0,AND(J6092=1,K6092=1),AND(J6092=1,I6092="SBJ"),AND(J6092=1,I6092=0)),"?IN_FOCUS",IF(J6092&lt;=2,"?ACTIVATED",IF(J6092&lt;&gt;"","?FAMILIAR",IF(F6092="NEW",IF(ISNA(VLOOKUP(E6092,#REF!,1,FALSE())),"?TYPE_IDENTIFIABLE","?REFERENTIAL"),"_")))))</f>
        <v> </v>
      </c>
      <c r="H6092" s="25" t="str">
        <f>IF(J6092&lt;&gt;1,"",IF(I6092="SBJ","CB","?"))</f>
        <v> </v>
      </c>
      <c r="I6092" s="26" t="str">
        <f>IF(OR(E6092="",E6092="!!!",F6092="NEW"),"",INDEX(B6091:B$2,-1+SUMPRODUCT(MAX(ROW(E6091:E$2)*(E6092=E6091:E$2)))))</f>
        <v> </v>
      </c>
      <c r="J6092" s="26" t="str">
        <f>IF(OR(E6092="",E6092="!!!",F6092="NEW"),"",COUNTBLANK(OFFSET(A$1,,,SUMPRODUCT(MAX(ROW(E$2:E6092)*(E6092=E$2:E6092)))))-COUNTBLANK(OFFSET(A$1,,,SUMPRODUCT(MAX(ROW(E$1:E6091)*(E2=E$1:E6091))))))</f>
        <v> </v>
      </c>
      <c r="K6092" s="26" t="str">
        <f>IF(OR(E6092="",E6092="!!!",F6092="NEW"),"",INDEX(J$1:J6091,SUMPRODUCT(MAX(ROW(E$1:E6091)*(E6092=E$1:E6091)))))</f>
        <v> </v>
      </c>
      <c r="L6092" s="27"/>
    </row>
    <row r="6093" spans="1:12">
      <c r="A6093" s="20" t="s">
        <v>1041</v>
      </c>
      <c r="E6093" s="22">
        <f>IF(D6093="?OLD","!!!","")</f>
        <v/>
      </c>
      <c r="F6093" s="23" t="str">
        <f>IF(OR(E6093="",E6093="!!!"),"",IF(NOT(ISNA(VLOOKUP(E6093,E$1:E6092,1,FALSE()))),"OLD",IF(AND(E6093&lt;&gt;"",E6093&lt;&gt;"!!!"),"NEW","")))</f>
        <v> </v>
      </c>
      <c r="G6093" s="24" t="str">
        <f>IF(OR(E6093="",E6093="!!!"),"",IF(OR(J6093=0,AND(J6093=1,K6093=1),AND(J6093=1,I6093="SBJ"),AND(J6093=1,I6093=0)),"?IN_FOCUS",IF(J6093&lt;=2,"?ACTIVATED",IF(J6093&lt;&gt;"","?FAMILIAR",IF(F6093="NEW",IF(ISNA(VLOOKUP(E6093,#REF!,1,FALSE())),"?TYPE_IDENTIFIABLE","?REFERENTIAL"),"_")))))</f>
        <v> </v>
      </c>
      <c r="H6093" s="25" t="str">
        <f>IF(J6093&lt;&gt;1,"",IF(I6093="SBJ","CB","?"))</f>
        <v> </v>
      </c>
      <c r="I6093" s="26" t="str">
        <f>IF(OR(E6093="",E6093="!!!",F6093="NEW"),"",INDEX(B6092:B$2,-1+SUMPRODUCT(MAX(ROW(E6092:E$2)*(E6093=E6092:E$2)))))</f>
        <v> </v>
      </c>
      <c r="J6093" s="26" t="str">
        <f>IF(OR(E6093="",E6093="!!!",F6093="NEW"),"",COUNTBLANK(OFFSET(A$1,,,SUMPRODUCT(MAX(ROW(E$2:E6093)*(E6093=E$2:E6093)))))-COUNTBLANK(OFFSET(A$1,,,SUMPRODUCT(MAX(ROW(E$1:E6092)*(E2=E$1:E6092))))))</f>
        <v> </v>
      </c>
      <c r="K6093" s="26" t="str">
        <f>IF(OR(E6093="",E6093="!!!",F6093="NEW"),"",INDEX(J$1:J6092,SUMPRODUCT(MAX(ROW(E$1:E6092)*(E6093=E$1:E6092)))))</f>
        <v> </v>
      </c>
      <c r="L6093" s="27"/>
    </row>
    <row r="6094" spans="1:12">
      <c r="A6094" s="20" t="s">
        <v>1022</v>
      </c>
      <c r="E6094" s="22">
        <f>IF(D6094="?OLD","!!!","")</f>
        <v/>
      </c>
      <c r="F6094" s="23" t="str">
        <f>IF(OR(E6094="",E6094="!!!"),"",IF(NOT(ISNA(VLOOKUP(E6094,E$1:E6093,1,FALSE()))),"OLD",IF(AND(E6094&lt;&gt;"",E6094&lt;&gt;"!!!"),"NEW","")))</f>
        <v> </v>
      </c>
      <c r="G6094" s="24" t="str">
        <f>IF(OR(E6094="",E6094="!!!"),"",IF(OR(J6094=0,AND(J6094=1,K6094=1),AND(J6094=1,I6094="SBJ"),AND(J6094=1,I6094=0)),"?IN_FOCUS",IF(J6094&lt;=2,"?ACTIVATED",IF(J6094&lt;&gt;"","?FAMILIAR",IF(F6094="NEW",IF(ISNA(VLOOKUP(E6094,#REF!,1,FALSE())),"?TYPE_IDENTIFIABLE","?REFERENTIAL"),"_")))))</f>
        <v> </v>
      </c>
      <c r="H6094" s="25" t="str">
        <f>IF(J6094&lt;&gt;1,"",IF(I6094="SBJ","CB","?"))</f>
        <v> </v>
      </c>
      <c r="I6094" s="26" t="str">
        <f>IF(OR(E6094="",E6094="!!!",F6094="NEW"),"",INDEX(B6093:B$2,-1+SUMPRODUCT(MAX(ROW(E6093:E$2)*(E6094=E6093:E$2)))))</f>
        <v> </v>
      </c>
      <c r="J6094" s="26" t="str">
        <f>IF(OR(E6094="",E6094="!!!",F6094="NEW"),"",COUNTBLANK(OFFSET(A$1,,,SUMPRODUCT(MAX(ROW(E$2:E6094)*(E6094=E$2:E6094)))))-COUNTBLANK(OFFSET(A$1,,,SUMPRODUCT(MAX(ROW(E$1:E6093)*(E2=E$1:E6093))))))</f>
        <v> </v>
      </c>
      <c r="K6094" s="26" t="str">
        <f>IF(OR(E6094="",E6094="!!!",F6094="NEW"),"",INDEX(J$1:J6093,SUMPRODUCT(MAX(ROW(E$1:E6093)*(E6094=E$1:E6093)))))</f>
        <v> </v>
      </c>
      <c r="L6094" s="27"/>
    </row>
    <row r="6095" spans="1:12">
      <c r="A6095" s="20" t="s">
        <v>1041</v>
      </c>
      <c r="E6095" s="22">
        <f>IF(D6095="?OLD","!!!","")</f>
        <v/>
      </c>
      <c r="F6095" s="23" t="str">
        <f>IF(OR(E6095="",E6095="!!!"),"",IF(NOT(ISNA(VLOOKUP(E6095,E$1:E6094,1,FALSE()))),"OLD",IF(AND(E6095&lt;&gt;"",E6095&lt;&gt;"!!!"),"NEW","")))</f>
        <v> </v>
      </c>
      <c r="G6095" s="24" t="str">
        <f>IF(OR(E6095="",E6095="!!!"),"",IF(OR(J6095=0,AND(J6095=1,K6095=1),AND(J6095=1,I6095="SBJ"),AND(J6095=1,I6095=0)),"?IN_FOCUS",IF(J6095&lt;=2,"?ACTIVATED",IF(J6095&lt;&gt;"","?FAMILIAR",IF(F6095="NEW",IF(ISNA(VLOOKUP(E6095,#REF!,1,FALSE())),"?TYPE_IDENTIFIABLE","?REFERENTIAL"),"_")))))</f>
        <v> </v>
      </c>
      <c r="H6095" s="25" t="str">
        <f>IF(J6095&lt;&gt;1,"",IF(I6095="SBJ","CB","?"))</f>
        <v> </v>
      </c>
      <c r="I6095" s="26" t="str">
        <f>IF(OR(E6095="",E6095="!!!",F6095="NEW"),"",INDEX(B6094:B$2,-1+SUMPRODUCT(MAX(ROW(E6094:E$2)*(E6095=E6094:E$2)))))</f>
        <v> </v>
      </c>
      <c r="J6095" s="26" t="str">
        <f>IF(OR(E6095="",E6095="!!!",F6095="NEW"),"",COUNTBLANK(OFFSET(A$1,,,SUMPRODUCT(MAX(ROW(E$2:E6095)*(E6095=E$2:E6095)))))-COUNTBLANK(OFFSET(A$1,,,SUMPRODUCT(MAX(ROW(E$1:E6094)*(E2=E$1:E6094))))))</f>
        <v> </v>
      </c>
      <c r="K6095" s="26" t="str">
        <f>IF(OR(E6095="",E6095="!!!",F6095="NEW"),"",INDEX(J$1:J6094,SUMPRODUCT(MAX(ROW(E$1:E6094)*(E6095=E$1:E6094)))))</f>
        <v> </v>
      </c>
      <c r="L6095" s="27"/>
    </row>
    <row r="6096" spans="1:12">
      <c r="A6096" s="20" t="s">
        <v>1141</v>
      </c>
      <c r="E6096" s="22">
        <f>IF(D6096="?OLD","!!!","")</f>
        <v/>
      </c>
      <c r="F6096" s="23" t="str">
        <f>IF(OR(E6096="",E6096="!!!"),"",IF(NOT(ISNA(VLOOKUP(E6096,E$1:E6095,1,FALSE()))),"OLD",IF(AND(E6096&lt;&gt;"",E6096&lt;&gt;"!!!"),"NEW","")))</f>
        <v> </v>
      </c>
      <c r="G6096" s="24" t="str">
        <f>IF(OR(E6096="",E6096="!!!"),"",IF(OR(J6096=0,AND(J6096=1,K6096=1),AND(J6096=1,I6096="SBJ"),AND(J6096=1,I6096=0)),"?IN_FOCUS",IF(J6096&lt;=2,"?ACTIVATED",IF(J6096&lt;&gt;"","?FAMILIAR",IF(F6096="NEW",IF(ISNA(VLOOKUP(E6096,#REF!,1,FALSE())),"?TYPE_IDENTIFIABLE","?REFERENTIAL"),"_")))))</f>
        <v> </v>
      </c>
      <c r="H6096" s="25" t="str">
        <f>IF(J6096&lt;&gt;1,"",IF(I6096="SBJ","CB","?"))</f>
        <v> </v>
      </c>
      <c r="I6096" s="26" t="str">
        <f>IF(OR(E6096="",E6096="!!!",F6096="NEW"),"",INDEX(B6095:B$2,-1+SUMPRODUCT(MAX(ROW(E6095:E$2)*(E6096=E6095:E$2)))))</f>
        <v> </v>
      </c>
      <c r="J6096" s="26" t="str">
        <f>IF(OR(E6096="",E6096="!!!",F6096="NEW"),"",COUNTBLANK(OFFSET(A$1,,,SUMPRODUCT(MAX(ROW(E$2:E6096)*(E6096=E$2:E6096)))))-COUNTBLANK(OFFSET(A$1,,,SUMPRODUCT(MAX(ROW(E$1:E6095)*(E2=E$1:E6095))))))</f>
        <v> </v>
      </c>
      <c r="K6096" s="26" t="str">
        <f>IF(OR(E6096="",E6096="!!!",F6096="NEW"),"",INDEX(J$1:J6095,SUMPRODUCT(MAX(ROW(E$1:E6095)*(E6096=E$1:E6095)))))</f>
        <v> </v>
      </c>
      <c r="L6096" s="27"/>
    </row>
    <row r="6097" spans="1:12">
      <c r="A6097" s="20" t="s">
        <v>1194</v>
      </c>
      <c r="B6097" s="21" t="s">
        <v>1114</v>
      </c>
      <c r="C6097" s="21" t="s">
        <v>1133</v>
      </c>
      <c r="D6097" s="21" t="s">
        <v>997</v>
      </c>
      <c r="E6097" s="22">
        <f>IF(D6097="?OLD","!!!","")</f>
        <v/>
      </c>
      <c r="F6097" s="23" t="str">
        <f>IF(OR(E6097="",E6097="!!!"),"",IF(NOT(ISNA(VLOOKUP(E6097,E$1:E6096,1,FALSE()))),"OLD",IF(AND(E6097&lt;&gt;"",E6097&lt;&gt;"!!!"),"NEW","")))</f>
        <v> </v>
      </c>
      <c r="G6097" s="24" t="str">
        <f>IF(OR(E6097="",E6097="!!!"),"",IF(OR(J6097=0,AND(J6097=1,K6097=1),AND(J6097=1,I6097="SBJ"),AND(J6097=1,I6097=0)),"?IN_FOCUS",IF(J6097&lt;=2,"?ACTIVATED",IF(J6097&lt;&gt;"","?FAMILIAR",IF(F6097="NEW",IF(ISNA(VLOOKUP(E6097,#REF!,1,FALSE())),"?TYPE_IDENTIFIABLE","?REFERENTIAL"),"_")))))</f>
        <v> </v>
      </c>
      <c r="H6097" s="25" t="str">
        <f>IF(J6097&lt;&gt;1,"",IF(I6097="SBJ","CB","?"))</f>
        <v> </v>
      </c>
      <c r="I6097" s="26" t="str">
        <f>IF(OR(E6097="",E6097="!!!",F6097="NEW"),"",INDEX(B6096:B$2,-1+SUMPRODUCT(MAX(ROW(E6096:E$2)*(E6097=E6096:E$2)))))</f>
        <v> </v>
      </c>
      <c r="J6097" s="26" t="str">
        <f>IF(OR(E6097="",E6097="!!!",F6097="NEW"),"",COUNTBLANK(OFFSET(A$1,,,SUMPRODUCT(MAX(ROW(E$2:E6097)*(E6097=E$2:E6097)))))-COUNTBLANK(OFFSET(A$1,,,SUMPRODUCT(MAX(ROW(E$1:E6096)*(E2=E$1:E6096))))))</f>
        <v> </v>
      </c>
      <c r="K6097" s="26" t="str">
        <f>IF(OR(E6097="",E6097="!!!",F6097="NEW"),"",INDEX(J$1:J6096,SUMPRODUCT(MAX(ROW(E$1:E6096)*(E6097=E$1:E6096)))))</f>
        <v> </v>
      </c>
      <c r="L6097" s="27"/>
    </row>
    <row r="6098" spans="1:12">
      <c r="A6098" s="20" t="s">
        <v>2536</v>
      </c>
      <c r="E6098" s="22">
        <f>IF(D6098="?OLD","!!!","")</f>
        <v/>
      </c>
      <c r="F6098" s="23" t="str">
        <f>IF(OR(E6098="",E6098="!!!"),"",IF(NOT(ISNA(VLOOKUP(E6098,E$1:E6097,1,FALSE()))),"OLD",IF(AND(E6098&lt;&gt;"",E6098&lt;&gt;"!!!"),"NEW","")))</f>
        <v> </v>
      </c>
      <c r="G6098" s="24" t="str">
        <f>IF(OR(E6098="",E6098="!!!"),"",IF(OR(J6098=0,AND(J6098=1,K6098=1),AND(J6098=1,I6098="SBJ"),AND(J6098=1,I6098=0)),"?IN_FOCUS",IF(J6098&lt;=2,"?ACTIVATED",IF(J6098&lt;&gt;"","?FAMILIAR",IF(F6098="NEW",IF(ISNA(VLOOKUP(E6098,#REF!,1,FALSE())),"?TYPE_IDENTIFIABLE","?REFERENTIAL"),"_")))))</f>
        <v> </v>
      </c>
      <c r="H6098" s="25" t="str">
        <f>IF(J6098&lt;&gt;1,"",IF(I6098="SBJ","CB","?"))</f>
        <v> </v>
      </c>
      <c r="I6098" s="26" t="str">
        <f>IF(OR(E6098="",E6098="!!!",F6098="NEW"),"",INDEX(B6097:B$2,-1+SUMPRODUCT(MAX(ROW(E6097:E$2)*(E6098=E6097:E$2)))))</f>
        <v> </v>
      </c>
      <c r="J6098" s="26" t="str">
        <f>IF(OR(E6098="",E6098="!!!",F6098="NEW"),"",COUNTBLANK(OFFSET(A$1,,,SUMPRODUCT(MAX(ROW(E$2:E6098)*(E6098=E$2:E6098)))))-COUNTBLANK(OFFSET(A$1,,,SUMPRODUCT(MAX(ROW(E$1:E6097)*(E2=E$1:E6097))))))</f>
        <v> </v>
      </c>
      <c r="K6098" s="26" t="str">
        <f>IF(OR(E6098="",E6098="!!!",F6098="NEW"),"",INDEX(J$1:J6097,SUMPRODUCT(MAX(ROW(E$1:E6097)*(E6098=E$1:E6097)))))</f>
        <v> </v>
      </c>
      <c r="L6098" s="27"/>
    </row>
    <row r="6099" spans="1:12">
      <c r="A6099" s="20" t="s">
        <v>1579</v>
      </c>
      <c r="E6099" s="22">
        <f>IF(D6099="?OLD","!!!","")</f>
        <v/>
      </c>
      <c r="F6099" s="23" t="str">
        <f>IF(OR(E6099="",E6099="!!!"),"",IF(NOT(ISNA(VLOOKUP(E6099,E$1:E6098,1,FALSE()))),"OLD",IF(AND(E6099&lt;&gt;"",E6099&lt;&gt;"!!!"),"NEW","")))</f>
        <v> </v>
      </c>
      <c r="G6099" s="24" t="str">
        <f>IF(OR(E6099="",E6099="!!!"),"",IF(OR(J6099=0,AND(J6099=1,K6099=1),AND(J6099=1,I6099="SBJ"),AND(J6099=1,I6099=0)),"?IN_FOCUS",IF(J6099&lt;=2,"?ACTIVATED",IF(J6099&lt;&gt;"","?FAMILIAR",IF(F6099="NEW",IF(ISNA(VLOOKUP(E6099,#REF!,1,FALSE())),"?TYPE_IDENTIFIABLE","?REFERENTIAL"),"_")))))</f>
        <v> </v>
      </c>
      <c r="H6099" s="25" t="str">
        <f>IF(J6099&lt;&gt;1,"",IF(I6099="SBJ","CB","?"))</f>
        <v> </v>
      </c>
      <c r="I6099" s="26" t="str">
        <f>IF(OR(E6099="",E6099="!!!",F6099="NEW"),"",INDEX(B6098:B$2,-1+SUMPRODUCT(MAX(ROW(E6098:E$2)*(E6099=E6098:E$2)))))</f>
        <v> </v>
      </c>
      <c r="J6099" s="26" t="str">
        <f>IF(OR(E6099="",E6099="!!!",F6099="NEW"),"",COUNTBLANK(OFFSET(A$1,,,SUMPRODUCT(MAX(ROW(E$2:E6099)*(E6099=E$2:E6099)))))-COUNTBLANK(OFFSET(A$1,,,SUMPRODUCT(MAX(ROW(E$1:E6098)*(E2=E$1:E6098))))))</f>
        <v> </v>
      </c>
      <c r="K6099" s="26" t="str">
        <f>IF(OR(E6099="",E6099="!!!",F6099="NEW"),"",INDEX(J$1:J6098,SUMPRODUCT(MAX(ROW(E$1:E6098)*(E6099=E$1:E6098)))))</f>
        <v> </v>
      </c>
      <c r="L6099" s="27"/>
    </row>
    <row r="6100" spans="1:12">
      <c r="A6100" s="20" t="s">
        <v>1202</v>
      </c>
      <c r="E6100" s="22">
        <f>IF(D6100="?OLD","!!!","")</f>
        <v/>
      </c>
      <c r="F6100" s="23" t="str">
        <f>IF(OR(E6100="",E6100="!!!"),"",IF(NOT(ISNA(VLOOKUP(E6100,E$1:E6099,1,FALSE()))),"OLD",IF(AND(E6100&lt;&gt;"",E6100&lt;&gt;"!!!"),"NEW","")))</f>
        <v> </v>
      </c>
      <c r="G6100" s="24" t="str">
        <f>IF(OR(E6100="",E6100="!!!"),"",IF(OR(J6100=0,AND(J6100=1,K6100=1),AND(J6100=1,I6100="SBJ"),AND(J6100=1,I6100=0)),"?IN_FOCUS",IF(J6100&lt;=2,"?ACTIVATED",IF(J6100&lt;&gt;"","?FAMILIAR",IF(F6100="NEW",IF(ISNA(VLOOKUP(E6100,#REF!,1,FALSE())),"?TYPE_IDENTIFIABLE","?REFERENTIAL"),"_")))))</f>
        <v> </v>
      </c>
      <c r="H6100" s="25" t="str">
        <f>IF(J6100&lt;&gt;1,"",IF(I6100="SBJ","CB","?"))</f>
        <v> </v>
      </c>
      <c r="I6100" s="26" t="str">
        <f>IF(OR(E6100="",E6100="!!!",F6100="NEW"),"",INDEX(B6099:B$2,-1+SUMPRODUCT(MAX(ROW(E6099:E$2)*(E6100=E6099:E$2)))))</f>
        <v> </v>
      </c>
      <c r="J6100" s="26" t="str">
        <f>IF(OR(E6100="",E6100="!!!",F6100="NEW"),"",COUNTBLANK(OFFSET(A$1,,,SUMPRODUCT(MAX(ROW(E$2:E6100)*(E6100=E$2:E6100)))))-COUNTBLANK(OFFSET(A$1,,,SUMPRODUCT(MAX(ROW(E$1:E6099)*(E2=E$1:E6099))))))</f>
        <v> </v>
      </c>
      <c r="K6100" s="26" t="str">
        <f>IF(OR(E6100="",E6100="!!!",F6100="NEW"),"",INDEX(J$1:J6099,SUMPRODUCT(MAX(ROW(E$1:E6099)*(E6100=E$1:E6099)))))</f>
        <v> </v>
      </c>
      <c r="L6100" s="27"/>
    </row>
    <row r="6101" spans="1:12">
      <c r="A6101" s="20" t="s">
        <v>1004</v>
      </c>
      <c r="B6101" s="21" t="s">
        <v>1088</v>
      </c>
      <c r="C6101" s="21" t="s">
        <v>1068</v>
      </c>
      <c r="D6101" s="21" t="s">
        <v>997</v>
      </c>
      <c r="E6101" s="22">
        <f>IF(D6101="?OLD","!!!","")</f>
        <v/>
      </c>
      <c r="F6101" s="23" t="str">
        <f>IF(OR(E6101="",E6101="!!!"),"",IF(NOT(ISNA(VLOOKUP(E6101,E$1:E6100,1,FALSE()))),"OLD",IF(AND(E6101&lt;&gt;"",E6101&lt;&gt;"!!!"),"NEW","")))</f>
        <v> </v>
      </c>
      <c r="G6101" s="24" t="str">
        <f>IF(OR(E6101="",E6101="!!!"),"",IF(OR(J6101=0,AND(J6101=1,K6101=1),AND(J6101=1,I6101="SBJ"),AND(J6101=1,I6101=0)),"?IN_FOCUS",IF(J6101&lt;=2,"?ACTIVATED",IF(J6101&lt;&gt;"","?FAMILIAR",IF(F6101="NEW",IF(ISNA(VLOOKUP(E6101,#REF!,1,FALSE())),"?TYPE_IDENTIFIABLE","?REFERENTIAL"),"_")))))</f>
        <v> </v>
      </c>
      <c r="H6101" s="25" t="str">
        <f>IF(J6101&lt;&gt;1,"",IF(I6101="SBJ","CB","?"))</f>
        <v> </v>
      </c>
      <c r="I6101" s="26" t="str">
        <f>IF(OR(E6101="",E6101="!!!",F6101="NEW"),"",INDEX(B6100:B$2,-1+SUMPRODUCT(MAX(ROW(E6100:E$2)*(E6101=E6100:E$2)))))</f>
        <v> </v>
      </c>
      <c r="J6101" s="26" t="str">
        <f>IF(OR(E6101="",E6101="!!!",F6101="NEW"),"",COUNTBLANK(OFFSET(A$1,,,SUMPRODUCT(MAX(ROW(E$2:E6101)*(E6101=E$2:E6101)))))-COUNTBLANK(OFFSET(A$1,,,SUMPRODUCT(MAX(ROW(E$1:E6100)*(E2=E$1:E6100))))))</f>
        <v> </v>
      </c>
      <c r="K6101" s="26" t="str">
        <f>IF(OR(E6101="",E6101="!!!",F6101="NEW"),"",INDEX(J$1:J6100,SUMPRODUCT(MAX(ROW(E$1:E6100)*(E6101=E$1:E6100)))))</f>
        <v> </v>
      </c>
      <c r="L6101" s="27"/>
    </row>
    <row r="6102" spans="1:12">
      <c r="A6102" s="20" t="s">
        <v>1029</v>
      </c>
      <c r="E6102" s="22">
        <f>IF(D6102="?OLD","!!!","")</f>
        <v/>
      </c>
      <c r="F6102" s="23" t="str">
        <f>IF(OR(E6102="",E6102="!!!"),"",IF(NOT(ISNA(VLOOKUP(E6102,E$1:E6101,1,FALSE()))),"OLD",IF(AND(E6102&lt;&gt;"",E6102&lt;&gt;"!!!"),"NEW","")))</f>
        <v> </v>
      </c>
      <c r="G6102" s="24" t="str">
        <f>IF(OR(E6102="",E6102="!!!"),"",IF(OR(J6102=0,AND(J6102=1,K6102=1),AND(J6102=1,I6102="SBJ"),AND(J6102=1,I6102=0)),"?IN_FOCUS",IF(J6102&lt;=2,"?ACTIVATED",IF(J6102&lt;&gt;"","?FAMILIAR",IF(F6102="NEW",IF(ISNA(VLOOKUP(E6102,#REF!,1,FALSE())),"?TYPE_IDENTIFIABLE","?REFERENTIAL"),"_")))))</f>
        <v> </v>
      </c>
      <c r="H6102" s="25" t="str">
        <f>IF(J6102&lt;&gt;1,"",IF(I6102="SBJ","CB","?"))</f>
        <v> </v>
      </c>
      <c r="I6102" s="26" t="str">
        <f>IF(OR(E6102="",E6102="!!!",F6102="NEW"),"",INDEX(B6101:B$2,-1+SUMPRODUCT(MAX(ROW(E6101:E$2)*(E6102=E6101:E$2)))))</f>
        <v> </v>
      </c>
      <c r="J6102" s="26" t="str">
        <f>IF(OR(E6102="",E6102="!!!",F6102="NEW"),"",COUNTBLANK(OFFSET(A$1,,,SUMPRODUCT(MAX(ROW(E$2:E6102)*(E6102=E$2:E6102)))))-COUNTBLANK(OFFSET(A$1,,,SUMPRODUCT(MAX(ROW(E$1:E6101)*(E2=E$1:E6101))))))</f>
        <v> </v>
      </c>
      <c r="K6102" s="26" t="str">
        <f>IF(OR(E6102="",E6102="!!!",F6102="NEW"),"",INDEX(J$1:J6101,SUMPRODUCT(MAX(ROW(E$1:E6101)*(E6102=E$1:E6101)))))</f>
        <v> </v>
      </c>
      <c r="L6102" s="27"/>
    </row>
    <row r="6103" spans="1:12">
      <c r="A6103" s="20" t="s">
        <v>2415</v>
      </c>
      <c r="E6103" s="22">
        <f>IF(D6103="?OLD","!!!","")</f>
        <v/>
      </c>
      <c r="F6103" s="23" t="str">
        <f>IF(OR(E6103="",E6103="!!!"),"",IF(NOT(ISNA(VLOOKUP(E6103,E$1:E6102,1,FALSE()))),"OLD",IF(AND(E6103&lt;&gt;"",E6103&lt;&gt;"!!!"),"NEW","")))</f>
        <v> </v>
      </c>
      <c r="G6103" s="24" t="str">
        <f>IF(OR(E6103="",E6103="!!!"),"",IF(OR(J6103=0,AND(J6103=1,K6103=1),AND(J6103=1,I6103="SBJ"),AND(J6103=1,I6103=0)),"?IN_FOCUS",IF(J6103&lt;=2,"?ACTIVATED",IF(J6103&lt;&gt;"","?FAMILIAR",IF(F6103="NEW",IF(ISNA(VLOOKUP(E6103,#REF!,1,FALSE())),"?TYPE_IDENTIFIABLE","?REFERENTIAL"),"_")))))</f>
        <v> </v>
      </c>
      <c r="H6103" s="25" t="str">
        <f>IF(J6103&lt;&gt;1,"",IF(I6103="SBJ","CB","?"))</f>
        <v> </v>
      </c>
      <c r="I6103" s="26" t="str">
        <f>IF(OR(E6103="",E6103="!!!",F6103="NEW"),"",INDEX(B6102:B$2,-1+SUMPRODUCT(MAX(ROW(E6102:E$2)*(E6103=E6102:E$2)))))</f>
        <v> </v>
      </c>
      <c r="J6103" s="26" t="str">
        <f>IF(OR(E6103="",E6103="!!!",F6103="NEW"),"",COUNTBLANK(OFFSET(A$1,,,SUMPRODUCT(MAX(ROW(E$2:E6103)*(E6103=E$2:E6103)))))-COUNTBLANK(OFFSET(A$1,,,SUMPRODUCT(MAX(ROW(E$1:E6102)*(E2=E$1:E6102))))))</f>
        <v> </v>
      </c>
      <c r="K6103" s="26" t="str">
        <f>IF(OR(E6103="",E6103="!!!",F6103="NEW"),"",INDEX(J$1:J6102,SUMPRODUCT(MAX(ROW(E$1:E6102)*(E6103=E$1:E6102)))))</f>
        <v> </v>
      </c>
      <c r="L6103" s="27"/>
    </row>
    <row r="6104" spans="1:12">
      <c r="A6104" s="20" t="s">
        <v>1008</v>
      </c>
      <c r="E6104" s="22">
        <f>IF(D6104="?OLD","!!!","")</f>
        <v/>
      </c>
      <c r="F6104" s="23" t="str">
        <f>IF(OR(E6104="",E6104="!!!"),"",IF(NOT(ISNA(VLOOKUP(E6104,E$1:E6103,1,FALSE()))),"OLD",IF(AND(E6104&lt;&gt;"",E6104&lt;&gt;"!!!"),"NEW","")))</f>
        <v> </v>
      </c>
      <c r="G6104" s="24" t="str">
        <f>IF(OR(E6104="",E6104="!!!"),"",IF(OR(J6104=0,AND(J6104=1,K6104=1),AND(J6104=1,I6104="SBJ"),AND(J6104=1,I6104=0)),"?IN_FOCUS",IF(J6104&lt;=2,"?ACTIVATED",IF(J6104&lt;&gt;"","?FAMILIAR",IF(F6104="NEW",IF(ISNA(VLOOKUP(E6104,#REF!,1,FALSE())),"?TYPE_IDENTIFIABLE","?REFERENTIAL"),"_")))))</f>
        <v> </v>
      </c>
      <c r="H6104" s="25" t="str">
        <f>IF(J6104&lt;&gt;1,"",IF(I6104="SBJ","CB","?"))</f>
        <v> </v>
      </c>
      <c r="I6104" s="26" t="str">
        <f>IF(OR(E6104="",E6104="!!!",F6104="NEW"),"",INDEX(B6103:B$2,-1+SUMPRODUCT(MAX(ROW(E6103:E$2)*(E6104=E6103:E$2)))))</f>
        <v> </v>
      </c>
      <c r="J6104" s="26" t="str">
        <f>IF(OR(E6104="",E6104="!!!",F6104="NEW"),"",COUNTBLANK(OFFSET(A$1,,,SUMPRODUCT(MAX(ROW(E$2:E6104)*(E6104=E$2:E6104)))))-COUNTBLANK(OFFSET(A$1,,,SUMPRODUCT(MAX(ROW(E$1:E6103)*(E2=E$1:E6103))))))</f>
        <v> </v>
      </c>
      <c r="K6104" s="26" t="str">
        <f>IF(OR(E6104="",E6104="!!!",F6104="NEW"),"",INDEX(J$1:J6103,SUMPRODUCT(MAX(ROW(E$1:E6103)*(E6104=E$1:E6103)))))</f>
        <v> </v>
      </c>
      <c r="L6104" s="27"/>
    </row>
    <row r="6105" spans="1:12">
      <c r="A6105" s="20" t="s">
        <v>565</v>
      </c>
      <c r="E6105" s="22">
        <f>IF(D6105="?OLD","!!!","")</f>
        <v/>
      </c>
      <c r="F6105" s="23" t="str">
        <f>IF(OR(E6105="",E6105="!!!"),"",IF(NOT(ISNA(VLOOKUP(E6105,E$1:E6104,1,FALSE()))),"OLD",IF(AND(E6105&lt;&gt;"",E6105&lt;&gt;"!!!"),"NEW","")))</f>
        <v> </v>
      </c>
      <c r="G6105" s="24" t="str">
        <f>IF(OR(E6105="",E6105="!!!"),"",IF(OR(J6105=0,AND(J6105=1,K6105=1),AND(J6105=1,I6105="SBJ"),AND(J6105=1,I6105=0)),"?IN_FOCUS",IF(J6105&lt;=2,"?ACTIVATED",IF(J6105&lt;&gt;"","?FAMILIAR",IF(F6105="NEW",IF(ISNA(VLOOKUP(E6105,#REF!,1,FALSE())),"?TYPE_IDENTIFIABLE","?REFERENTIAL"),"_")))))</f>
        <v> </v>
      </c>
      <c r="H6105" s="25" t="str">
        <f>IF(J6105&lt;&gt;1,"",IF(I6105="SBJ","CB","?"))</f>
        <v> </v>
      </c>
      <c r="I6105" s="26" t="str">
        <f>IF(OR(E6105="",E6105="!!!",F6105="NEW"),"",INDEX(B6104:B$2,-1+SUMPRODUCT(MAX(ROW(E6104:E$2)*(E6105=E6104:E$2)))))</f>
        <v> </v>
      </c>
      <c r="J6105" s="26" t="str">
        <f>IF(OR(E6105="",E6105="!!!",F6105="NEW"),"",COUNTBLANK(OFFSET(A$1,,,SUMPRODUCT(MAX(ROW(E$2:E6105)*(E6105=E$2:E6105)))))-COUNTBLANK(OFFSET(A$1,,,SUMPRODUCT(MAX(ROW(E$1:E6104)*(E2=E$1:E6104))))))</f>
        <v> </v>
      </c>
      <c r="K6105" s="26" t="str">
        <f>IF(OR(E6105="",E6105="!!!",F6105="NEW"),"",INDEX(J$1:J6104,SUMPRODUCT(MAX(ROW(E$1:E6104)*(E6105=E$1:E6104)))))</f>
        <v> </v>
      </c>
      <c r="L6105" s="27"/>
    </row>
    <row r="6106" spans="1:12">
      <c r="A6106" s="20" t="s">
        <v>1061</v>
      </c>
      <c r="E6106" s="22">
        <f>IF(D6106="?OLD","!!!","")</f>
        <v/>
      </c>
      <c r="F6106" s="23" t="str">
        <f>IF(OR(E6106="",E6106="!!!"),"",IF(NOT(ISNA(VLOOKUP(E6106,E$1:E6105,1,FALSE()))),"OLD",IF(AND(E6106&lt;&gt;"",E6106&lt;&gt;"!!!"),"NEW","")))</f>
        <v> </v>
      </c>
      <c r="G6106" s="24" t="str">
        <f>IF(OR(E6106="",E6106="!!!"),"",IF(OR(J6106=0,AND(J6106=1,K6106=1),AND(J6106=1,I6106="SBJ"),AND(J6106=1,I6106=0)),"?IN_FOCUS",IF(J6106&lt;=2,"?ACTIVATED",IF(J6106&lt;&gt;"","?FAMILIAR",IF(F6106="NEW",IF(ISNA(VLOOKUP(E6106,#REF!,1,FALSE())),"?TYPE_IDENTIFIABLE","?REFERENTIAL"),"_")))))</f>
        <v> </v>
      </c>
      <c r="H6106" s="25" t="str">
        <f>IF(J6106&lt;&gt;1,"",IF(I6106="SBJ","CB","?"))</f>
        <v> </v>
      </c>
      <c r="I6106" s="26" t="str">
        <f>IF(OR(E6106="",E6106="!!!",F6106="NEW"),"",INDEX(B6105:B$2,-1+SUMPRODUCT(MAX(ROW(E6105:E$2)*(E6106=E6105:E$2)))))</f>
        <v> </v>
      </c>
      <c r="J6106" s="26" t="str">
        <f>IF(OR(E6106="",E6106="!!!",F6106="NEW"),"",COUNTBLANK(OFFSET(A$1,,,SUMPRODUCT(MAX(ROW(E$2:E6106)*(E6106=E$2:E6106)))))-COUNTBLANK(OFFSET(A$1,,,SUMPRODUCT(MAX(ROW(E$1:E6105)*(E2=E$1:E6105))))))</f>
        <v> </v>
      </c>
      <c r="K6106" s="26" t="str">
        <f>IF(OR(E6106="",E6106="!!!",F6106="NEW"),"",INDEX(J$1:J6105,SUMPRODUCT(MAX(ROW(E$1:E6105)*(E6106=E$1:E6105)))))</f>
        <v> </v>
      </c>
      <c r="L6106" s="27"/>
    </row>
    <row r="6107" spans="1:12">
      <c r="A6107" s="20" t="s">
        <v>408</v>
      </c>
      <c r="B6107" s="21" t="s">
        <v>1043</v>
      </c>
      <c r="C6107" s="21" t="s">
        <v>1034</v>
      </c>
      <c r="D6107" s="21" t="s">
        <v>997</v>
      </c>
      <c r="E6107" s="22">
        <f>IF(D6107="?OLD","!!!","")</f>
        <v/>
      </c>
      <c r="F6107" s="23" t="str">
        <f>IF(OR(E6107="",E6107="!!!"),"",IF(NOT(ISNA(VLOOKUP(E6107,E$1:E6106,1,FALSE()))),"OLD",IF(AND(E6107&lt;&gt;"",E6107&lt;&gt;"!!!"),"NEW","")))</f>
        <v> </v>
      </c>
      <c r="G6107" s="24" t="str">
        <f>IF(OR(E6107="",E6107="!!!"),"",IF(OR(J6107=0,AND(J6107=1,K6107=1),AND(J6107=1,I6107="SBJ"),AND(J6107=1,I6107=0)),"?IN_FOCUS",IF(J6107&lt;=2,"?ACTIVATED",IF(J6107&lt;&gt;"","?FAMILIAR",IF(F6107="NEW",IF(ISNA(VLOOKUP(E6107,#REF!,1,FALSE())),"?TYPE_IDENTIFIABLE","?REFERENTIAL"),"_")))))</f>
        <v> </v>
      </c>
      <c r="H6107" s="25" t="str">
        <f>IF(J6107&lt;&gt;1,"",IF(I6107="SBJ","CB","?"))</f>
        <v> </v>
      </c>
      <c r="I6107" s="26" t="str">
        <f>IF(OR(E6107="",E6107="!!!",F6107="NEW"),"",INDEX(B6106:B$2,-1+SUMPRODUCT(MAX(ROW(E6106:E$2)*(E6107=E6106:E$2)))))</f>
        <v> </v>
      </c>
      <c r="J6107" s="26" t="str">
        <f>IF(OR(E6107="",E6107="!!!",F6107="NEW"),"",COUNTBLANK(OFFSET(A$1,,,SUMPRODUCT(MAX(ROW(E$2:E6107)*(E6107=E$2:E6107)))))-COUNTBLANK(OFFSET(A$1,,,SUMPRODUCT(MAX(ROW(E$1:E6106)*(E2=E$1:E6106))))))</f>
        <v> </v>
      </c>
      <c r="K6107" s="26" t="str">
        <f>IF(OR(E6107="",E6107="!!!",F6107="NEW"),"",INDEX(J$1:J6106,SUMPRODUCT(MAX(ROW(E$1:E6106)*(E6107=E$1:E6106)))))</f>
        <v> </v>
      </c>
      <c r="L6107" s="27"/>
    </row>
    <row r="6108" spans="1:12">
      <c r="A6108" s="20" t="s">
        <v>1008</v>
      </c>
      <c r="E6108" s="22">
        <f>IF(D6108="?OLD","!!!","")</f>
        <v/>
      </c>
      <c r="F6108" s="23" t="str">
        <f>IF(OR(E6108="",E6108="!!!"),"",IF(NOT(ISNA(VLOOKUP(E6108,E$1:E6107,1,FALSE()))),"OLD",IF(AND(E6108&lt;&gt;"",E6108&lt;&gt;"!!!"),"NEW","")))</f>
        <v> </v>
      </c>
      <c r="G6108" s="24" t="str">
        <f>IF(OR(E6108="",E6108="!!!"),"",IF(OR(J6108=0,AND(J6108=1,K6108=1),AND(J6108=1,I6108="SBJ"),AND(J6108=1,I6108=0)),"?IN_FOCUS",IF(J6108&lt;=2,"?ACTIVATED",IF(J6108&lt;&gt;"","?FAMILIAR",IF(F6108="NEW",IF(ISNA(VLOOKUP(E6108,#REF!,1,FALSE())),"?TYPE_IDENTIFIABLE","?REFERENTIAL"),"_")))))</f>
        <v> </v>
      </c>
      <c r="H6108" s="25" t="str">
        <f>IF(J6108&lt;&gt;1,"",IF(I6108="SBJ","CB","?"))</f>
        <v> </v>
      </c>
      <c r="I6108" s="26" t="str">
        <f>IF(OR(E6108="",E6108="!!!",F6108="NEW"),"",INDEX(B6107:B$2,-1+SUMPRODUCT(MAX(ROW(E6107:E$2)*(E6108=E6107:E$2)))))</f>
        <v> </v>
      </c>
      <c r="J6108" s="26" t="str">
        <f>IF(OR(E6108="",E6108="!!!",F6108="NEW"),"",COUNTBLANK(OFFSET(A$1,,,SUMPRODUCT(MAX(ROW(E$2:E6108)*(E6108=E$2:E6108)))))-COUNTBLANK(OFFSET(A$1,,,SUMPRODUCT(MAX(ROW(E$1:E6107)*(E2=E$1:E6107))))))</f>
        <v> </v>
      </c>
      <c r="K6108" s="26" t="str">
        <f>IF(OR(E6108="",E6108="!!!",F6108="NEW"),"",INDEX(J$1:J6107,SUMPRODUCT(MAX(ROW(E$1:E6107)*(E6108=E$1:E6107)))))</f>
        <v> </v>
      </c>
      <c r="L6108" s="27"/>
    </row>
    <row r="6109" spans="1:12">
      <c r="A6109" s="20" t="s">
        <v>1061</v>
      </c>
      <c r="E6109" s="22">
        <f>IF(D6109="?OLD","!!!","")</f>
        <v/>
      </c>
      <c r="F6109" s="23" t="str">
        <f>IF(OR(E6109="",E6109="!!!"),"",IF(NOT(ISNA(VLOOKUP(E6109,E$1:E6108,1,FALSE()))),"OLD",IF(AND(E6109&lt;&gt;"",E6109&lt;&gt;"!!!"),"NEW","")))</f>
        <v> </v>
      </c>
      <c r="G6109" s="24" t="str">
        <f>IF(OR(E6109="",E6109="!!!"),"",IF(OR(J6109=0,AND(J6109=1,K6109=1),AND(J6109=1,I6109="SBJ"),AND(J6109=1,I6109=0)),"?IN_FOCUS",IF(J6109&lt;=2,"?ACTIVATED",IF(J6109&lt;&gt;"","?FAMILIAR",IF(F6109="NEW",IF(ISNA(VLOOKUP(E6109,#REF!,1,FALSE())),"?TYPE_IDENTIFIABLE","?REFERENTIAL"),"_")))))</f>
        <v> </v>
      </c>
      <c r="H6109" s="25" t="str">
        <f>IF(J6109&lt;&gt;1,"",IF(I6109="SBJ","CB","?"))</f>
        <v> </v>
      </c>
      <c r="I6109" s="26" t="str">
        <f>IF(OR(E6109="",E6109="!!!",F6109="NEW"),"",INDEX(B6108:B$2,-1+SUMPRODUCT(MAX(ROW(E6108:E$2)*(E6109=E6108:E$2)))))</f>
        <v> </v>
      </c>
      <c r="J6109" s="26" t="str">
        <f>IF(OR(E6109="",E6109="!!!",F6109="NEW"),"",COUNTBLANK(OFFSET(A$1,,,SUMPRODUCT(MAX(ROW(E$2:E6109)*(E6109=E$2:E6109)))))-COUNTBLANK(OFFSET(A$1,,,SUMPRODUCT(MAX(ROW(E$1:E6108)*(E2=E$1:E6108))))))</f>
        <v> </v>
      </c>
      <c r="K6109" s="26" t="str">
        <f>IF(OR(E6109="",E6109="!!!",F6109="NEW"),"",INDEX(J$1:J6108,SUMPRODUCT(MAX(ROW(E$1:E6108)*(E6109=E$1:E6108)))))</f>
        <v> </v>
      </c>
      <c r="L6109" s="27"/>
    </row>
    <row r="6110" spans="1:12">
      <c r="A6110" s="20" t="s">
        <v>1203</v>
      </c>
      <c r="B6110" s="21" t="s">
        <v>1092</v>
      </c>
      <c r="C6110" s="21" t="s">
        <v>1034</v>
      </c>
      <c r="D6110" s="21" t="s">
        <v>997</v>
      </c>
      <c r="E6110" s="22">
        <f>IF(D6110="?OLD","!!!","")</f>
        <v/>
      </c>
      <c r="F6110" s="23" t="str">
        <f>IF(OR(E6110="",E6110="!!!"),"",IF(NOT(ISNA(VLOOKUP(E6110,E$1:E6109,1,FALSE()))),"OLD",IF(AND(E6110&lt;&gt;"",E6110&lt;&gt;"!!!"),"NEW","")))</f>
        <v> </v>
      </c>
      <c r="G6110" s="24" t="str">
        <f>IF(OR(E6110="",E6110="!!!"),"",IF(OR(J6110=0,AND(J6110=1,K6110=1),AND(J6110=1,I6110="SBJ"),AND(J6110=1,I6110=0)),"?IN_FOCUS",IF(J6110&lt;=2,"?ACTIVATED",IF(J6110&lt;&gt;"","?FAMILIAR",IF(F6110="NEW",IF(ISNA(VLOOKUP(E6110,#REF!,1,FALSE())),"?TYPE_IDENTIFIABLE","?REFERENTIAL"),"_")))))</f>
        <v> </v>
      </c>
      <c r="H6110" s="25" t="str">
        <f>IF(J6110&lt;&gt;1,"",IF(I6110="SBJ","CB","?"))</f>
        <v> </v>
      </c>
      <c r="I6110" s="26" t="str">
        <f>IF(OR(E6110="",E6110="!!!",F6110="NEW"),"",INDEX(B6109:B$2,-1+SUMPRODUCT(MAX(ROW(E6109:E$2)*(E6110=E6109:E$2)))))</f>
        <v> </v>
      </c>
      <c r="J6110" s="26" t="str">
        <f>IF(OR(E6110="",E6110="!!!",F6110="NEW"),"",COUNTBLANK(OFFSET(A$1,,,SUMPRODUCT(MAX(ROW(E$2:E6110)*(E6110=E$2:E6110)))))-COUNTBLANK(OFFSET(A$1,,,SUMPRODUCT(MAX(ROW(E$1:E6109)*(E2=E$1:E6109))))))</f>
        <v> </v>
      </c>
      <c r="K6110" s="26" t="str">
        <f>IF(OR(E6110="",E6110="!!!",F6110="NEW"),"",INDEX(J$1:J6109,SUMPRODUCT(MAX(ROW(E$1:E6109)*(E6110=E$1:E6109)))))</f>
        <v> </v>
      </c>
      <c r="L6110" s="27"/>
    </row>
    <row r="6111" spans="1:12">
      <c r="A6111" s="20" t="s">
        <v>1041</v>
      </c>
      <c r="E6111" s="22">
        <f>IF(D6111="?OLD","!!!","")</f>
        <v/>
      </c>
      <c r="F6111" s="23" t="str">
        <f>IF(OR(E6111="",E6111="!!!"),"",IF(NOT(ISNA(VLOOKUP(E6111,E$1:E6110,1,FALSE()))),"OLD",IF(AND(E6111&lt;&gt;"",E6111&lt;&gt;"!!!"),"NEW","")))</f>
        <v> </v>
      </c>
      <c r="G6111" s="24" t="str">
        <f>IF(OR(E6111="",E6111="!!!"),"",IF(OR(J6111=0,AND(J6111=1,K6111=1),AND(J6111=1,I6111="SBJ"),AND(J6111=1,I6111=0)),"?IN_FOCUS",IF(J6111&lt;=2,"?ACTIVATED",IF(J6111&lt;&gt;"","?FAMILIAR",IF(F6111="NEW",IF(ISNA(VLOOKUP(E6111,#REF!,1,FALSE())),"?TYPE_IDENTIFIABLE","?REFERENTIAL"),"_")))))</f>
        <v> </v>
      </c>
      <c r="H6111" s="25" t="str">
        <f>IF(J6111&lt;&gt;1,"",IF(I6111="SBJ","CB","?"))</f>
        <v> </v>
      </c>
      <c r="I6111" s="26" t="str">
        <f>IF(OR(E6111="",E6111="!!!",F6111="NEW"),"",INDEX(B6110:B$2,-1+SUMPRODUCT(MAX(ROW(E6110:E$2)*(E6111=E6110:E$2)))))</f>
        <v> </v>
      </c>
      <c r="J6111" s="26" t="str">
        <f>IF(OR(E6111="",E6111="!!!",F6111="NEW"),"",COUNTBLANK(OFFSET(A$1,,,SUMPRODUCT(MAX(ROW(E$2:E6111)*(E6111=E$2:E6111)))))-COUNTBLANK(OFFSET(A$1,,,SUMPRODUCT(MAX(ROW(E$1:E6110)*(E2=E$1:E6110))))))</f>
        <v> </v>
      </c>
      <c r="K6111" s="26" t="str">
        <f>IF(OR(E6111="",E6111="!!!",F6111="NEW"),"",INDEX(J$1:J6110,SUMPRODUCT(MAX(ROW(E$1:E6110)*(E6111=E$1:E6110)))))</f>
        <v> </v>
      </c>
      <c r="L6111" s="27"/>
    </row>
    <row r="6112" spans="1:12">
      <c r="A6112" s="20" t="s">
        <v>737</v>
      </c>
      <c r="B6112" s="21" t="s">
        <v>1027</v>
      </c>
      <c r="C6112" s="21" t="s">
        <v>1015</v>
      </c>
      <c r="D6112" s="21" t="s">
        <v>997</v>
      </c>
      <c r="E6112" s="22">
        <f>IF(D6112="?OLD","!!!","")</f>
        <v/>
      </c>
      <c r="F6112" s="23" t="str">
        <f>IF(OR(E6112="",E6112="!!!"),"",IF(NOT(ISNA(VLOOKUP(E6112,E$1:E6111,1,FALSE()))),"OLD",IF(AND(E6112&lt;&gt;"",E6112&lt;&gt;"!!!"),"NEW","")))</f>
        <v> </v>
      </c>
      <c r="G6112" s="24" t="str">
        <f>IF(OR(E6112="",E6112="!!!"),"",IF(OR(J6112=0,AND(J6112=1,K6112=1),AND(J6112=1,I6112="SBJ"),AND(J6112=1,I6112=0)),"?IN_FOCUS",IF(J6112&lt;=2,"?ACTIVATED",IF(J6112&lt;&gt;"","?FAMILIAR",IF(F6112="NEW",IF(ISNA(VLOOKUP(E6112,#REF!,1,FALSE())),"?TYPE_IDENTIFIABLE","?REFERENTIAL"),"_")))))</f>
        <v> </v>
      </c>
      <c r="H6112" s="25" t="str">
        <f>IF(J6112&lt;&gt;1,"",IF(I6112="SBJ","CB","?"))</f>
        <v> </v>
      </c>
      <c r="I6112" s="26" t="str">
        <f>IF(OR(E6112="",E6112="!!!",F6112="NEW"),"",INDEX(B6111:B$2,-1+SUMPRODUCT(MAX(ROW(E6111:E$2)*(E6112=E6111:E$2)))))</f>
        <v> </v>
      </c>
      <c r="J6112" s="26" t="str">
        <f>IF(OR(E6112="",E6112="!!!",F6112="NEW"),"",COUNTBLANK(OFFSET(A$1,,,SUMPRODUCT(MAX(ROW(E$2:E6112)*(E6112=E$2:E6112)))))-COUNTBLANK(OFFSET(A$1,,,SUMPRODUCT(MAX(ROW(E$1:E6111)*(E2=E$1:E6111))))))</f>
        <v> </v>
      </c>
      <c r="K6112" s="26" t="str">
        <f>IF(OR(E6112="",E6112="!!!",F6112="NEW"),"",INDEX(J$1:J6111,SUMPRODUCT(MAX(ROW(E$1:E6111)*(E6112=E$1:E6111)))))</f>
        <v> </v>
      </c>
      <c r="L6112" s="27"/>
    </row>
    <row r="6113" spans="1:12">
      <c r="A6113" s="20" t="s">
        <v>1189</v>
      </c>
      <c r="E6113" s="22">
        <f>IF(D6113="?OLD","!!!","")</f>
        <v/>
      </c>
      <c r="F6113" s="23" t="str">
        <f>IF(OR(E6113="",E6113="!!!"),"",IF(NOT(ISNA(VLOOKUP(E6113,E$1:E6112,1,FALSE()))),"OLD",IF(AND(E6113&lt;&gt;"",E6113&lt;&gt;"!!!"),"NEW","")))</f>
        <v> </v>
      </c>
      <c r="G6113" s="24" t="str">
        <f>IF(OR(E6113="",E6113="!!!"),"",IF(OR(J6113=0,AND(J6113=1,K6113=1),AND(J6113=1,I6113="SBJ"),AND(J6113=1,I6113=0)),"?IN_FOCUS",IF(J6113&lt;=2,"?ACTIVATED",IF(J6113&lt;&gt;"","?FAMILIAR",IF(F6113="NEW",IF(ISNA(VLOOKUP(E6113,#REF!,1,FALSE())),"?TYPE_IDENTIFIABLE","?REFERENTIAL"),"_")))))</f>
        <v> </v>
      </c>
      <c r="H6113" s="25" t="str">
        <f>IF(J6113&lt;&gt;1,"",IF(I6113="SBJ","CB","?"))</f>
        <v> </v>
      </c>
      <c r="I6113" s="26" t="str">
        <f>IF(OR(E6113="",E6113="!!!",F6113="NEW"),"",INDEX(B6112:B$2,-1+SUMPRODUCT(MAX(ROW(E6112:E$2)*(E6113=E6112:E$2)))))</f>
        <v> </v>
      </c>
      <c r="J6113" s="26" t="str">
        <f>IF(OR(E6113="",E6113="!!!",F6113="NEW"),"",COUNTBLANK(OFFSET(A$1,,,SUMPRODUCT(MAX(ROW(E$2:E6113)*(E6113=E$2:E6113)))))-COUNTBLANK(OFFSET(A$1,,,SUMPRODUCT(MAX(ROW(E$1:E6112)*(E2=E$1:E6112))))))</f>
        <v> </v>
      </c>
      <c r="K6113" s="26" t="str">
        <f>IF(OR(E6113="",E6113="!!!",F6113="NEW"),"",INDEX(J$1:J6112,SUMPRODUCT(MAX(ROW(E$1:E6112)*(E6113=E$1:E6112)))))</f>
        <v> </v>
      </c>
      <c r="L6113" s="27"/>
    </row>
    <row r="6114" spans="1:12">
      <c r="A6114" s="20" t="s">
        <v>1060</v>
      </c>
      <c r="B6114" s="21" t="s">
        <v>1088</v>
      </c>
      <c r="C6114" s="21" t="s">
        <v>996</v>
      </c>
      <c r="D6114" s="21" t="s">
        <v>997</v>
      </c>
      <c r="E6114" s="22">
        <f>IF(D6114="?OLD","!!!","")</f>
        <v/>
      </c>
      <c r="F6114" s="23" t="str">
        <f>IF(OR(E6114="",E6114="!!!"),"",IF(NOT(ISNA(VLOOKUP(E6114,E$1:E6113,1,FALSE()))),"OLD",IF(AND(E6114&lt;&gt;"",E6114&lt;&gt;"!!!"),"NEW","")))</f>
        <v> </v>
      </c>
      <c r="G6114" s="24" t="str">
        <f>IF(OR(E6114="",E6114="!!!"),"",IF(OR(J6114=0,AND(J6114=1,K6114=1),AND(J6114=1,I6114="SBJ"),AND(J6114=1,I6114=0)),"?IN_FOCUS",IF(J6114&lt;=2,"?ACTIVATED",IF(J6114&lt;&gt;"","?FAMILIAR",IF(F6114="NEW",IF(ISNA(VLOOKUP(E6114,#REF!,1,FALSE())),"?TYPE_IDENTIFIABLE","?REFERENTIAL"),"_")))))</f>
        <v> </v>
      </c>
      <c r="H6114" s="25" t="str">
        <f>IF(J6114&lt;&gt;1,"",IF(I6114="SBJ","CB","?"))</f>
        <v> </v>
      </c>
      <c r="I6114" s="26" t="str">
        <f>IF(OR(E6114="",E6114="!!!",F6114="NEW"),"",INDEX(B6113:B$2,-1+SUMPRODUCT(MAX(ROW(E6113:E$2)*(E6114=E6113:E$2)))))</f>
        <v> </v>
      </c>
      <c r="J6114" s="26" t="str">
        <f>IF(OR(E6114="",E6114="!!!",F6114="NEW"),"",COUNTBLANK(OFFSET(A$1,,,SUMPRODUCT(MAX(ROW(E$2:E6114)*(E6114=E$2:E6114)))))-COUNTBLANK(OFFSET(A$1,,,SUMPRODUCT(MAX(ROW(E$1:E6113)*(E2=E$1:E6113))))))</f>
        <v> </v>
      </c>
      <c r="K6114" s="26" t="str">
        <f>IF(OR(E6114="",E6114="!!!",F6114="NEW"),"",INDEX(J$1:J6113,SUMPRODUCT(MAX(ROW(E$1:E6113)*(E6114=E$1:E6113)))))</f>
        <v> </v>
      </c>
      <c r="L6114" s="27"/>
    </row>
    <row r="6115" spans="1:12">
      <c r="A6115" s="20" t="s">
        <v>2537</v>
      </c>
      <c r="E6115" s="22">
        <f>IF(D6115="?OLD","!!!","")</f>
        <v/>
      </c>
      <c r="F6115" s="23" t="str">
        <f>IF(OR(E6115="",E6115="!!!"),"",IF(NOT(ISNA(VLOOKUP(E6115,E$1:E6114,1,FALSE()))),"OLD",IF(AND(E6115&lt;&gt;"",E6115&lt;&gt;"!!!"),"NEW","")))</f>
        <v> </v>
      </c>
      <c r="G6115" s="24" t="str">
        <f>IF(OR(E6115="",E6115="!!!"),"",IF(OR(J6115=0,AND(J6115=1,K6115=1),AND(J6115=1,I6115="SBJ"),AND(J6115=1,I6115=0)),"?IN_FOCUS",IF(J6115&lt;=2,"?ACTIVATED",IF(J6115&lt;&gt;"","?FAMILIAR",IF(F6115="NEW",IF(ISNA(VLOOKUP(E6115,#REF!,1,FALSE())),"?TYPE_IDENTIFIABLE","?REFERENTIAL"),"_")))))</f>
        <v> </v>
      </c>
      <c r="H6115" s="25" t="str">
        <f>IF(J6115&lt;&gt;1,"",IF(I6115="SBJ","CB","?"))</f>
        <v> </v>
      </c>
      <c r="I6115" s="26" t="str">
        <f>IF(OR(E6115="",E6115="!!!",F6115="NEW"),"",INDEX(B6114:B$2,-1+SUMPRODUCT(MAX(ROW(E6114:E$2)*(E6115=E6114:E$2)))))</f>
        <v> </v>
      </c>
      <c r="J6115" s="26" t="str">
        <f>IF(OR(E6115="",E6115="!!!",F6115="NEW"),"",COUNTBLANK(OFFSET(A$1,,,SUMPRODUCT(MAX(ROW(E$2:E6115)*(E6115=E$2:E6115)))))-COUNTBLANK(OFFSET(A$1,,,SUMPRODUCT(MAX(ROW(E$1:E6114)*(E2=E$1:E6114))))))</f>
        <v> </v>
      </c>
      <c r="K6115" s="26" t="str">
        <f>IF(OR(E6115="",E6115="!!!",F6115="NEW"),"",INDEX(J$1:J6114,SUMPRODUCT(MAX(ROW(E$1:E6114)*(E6115=E$1:E6114)))))</f>
        <v> </v>
      </c>
      <c r="L6115" s="27"/>
    </row>
    <row r="6116" spans="1:12">
      <c r="A6116" s="20" t="s">
        <v>1805</v>
      </c>
      <c r="E6116" s="22">
        <f>IF(D6116="?OLD","!!!","")</f>
        <v/>
      </c>
      <c r="F6116" s="23" t="str">
        <f>IF(OR(E6116="",E6116="!!!"),"",IF(NOT(ISNA(VLOOKUP(E6116,E$1:E6115,1,FALSE()))),"OLD",IF(AND(E6116&lt;&gt;"",E6116&lt;&gt;"!!!"),"NEW","")))</f>
        <v> </v>
      </c>
      <c r="G6116" s="24" t="str">
        <f>IF(OR(E6116="",E6116="!!!"),"",IF(OR(J6116=0,AND(J6116=1,K6116=1),AND(J6116=1,I6116="SBJ"),AND(J6116=1,I6116=0)),"?IN_FOCUS",IF(J6116&lt;=2,"?ACTIVATED",IF(J6116&lt;&gt;"","?FAMILIAR",IF(F6116="NEW",IF(ISNA(VLOOKUP(E6116,#REF!,1,FALSE())),"?TYPE_IDENTIFIABLE","?REFERENTIAL"),"_")))))</f>
        <v> </v>
      </c>
      <c r="H6116" s="25" t="str">
        <f>IF(J6116&lt;&gt;1,"",IF(I6116="SBJ","CB","?"))</f>
        <v> </v>
      </c>
      <c r="I6116" s="26" t="str">
        <f>IF(OR(E6116="",E6116="!!!",F6116="NEW"),"",INDEX(B6115:B$2,-1+SUMPRODUCT(MAX(ROW(E6115:E$2)*(E6116=E6115:E$2)))))</f>
        <v> </v>
      </c>
      <c r="J6116" s="26" t="str">
        <f>IF(OR(E6116="",E6116="!!!",F6116="NEW"),"",COUNTBLANK(OFFSET(A$1,,,SUMPRODUCT(MAX(ROW(E$2:E6116)*(E6116=E$2:E6116)))))-COUNTBLANK(OFFSET(A$1,,,SUMPRODUCT(MAX(ROW(E$1:E6115)*(E2=E$1:E6115))))))</f>
        <v> </v>
      </c>
      <c r="K6116" s="26" t="str">
        <f>IF(OR(E6116="",E6116="!!!",F6116="NEW"),"",INDEX(J$1:J6115,SUMPRODUCT(MAX(ROW(E$1:E6115)*(E6116=E$1:E6115)))))</f>
        <v> </v>
      </c>
      <c r="L6116" s="27"/>
    </row>
    <row r="6117" spans="1:12">
      <c r="A6117" s="20" t="s">
        <v>1037</v>
      </c>
      <c r="E6117" s="22">
        <f>IF(D6117="?OLD","!!!","")</f>
        <v/>
      </c>
      <c r="F6117" s="23" t="str">
        <f>IF(OR(E6117="",E6117="!!!"),"",IF(NOT(ISNA(VLOOKUP(E6117,E$1:E6116,1,FALSE()))),"OLD",IF(AND(E6117&lt;&gt;"",E6117&lt;&gt;"!!!"),"NEW","")))</f>
        <v> </v>
      </c>
      <c r="G6117" s="24" t="str">
        <f>IF(OR(E6117="",E6117="!!!"),"",IF(OR(J6117=0,AND(J6117=1,K6117=1),AND(J6117=1,I6117="SBJ"),AND(J6117=1,I6117=0)),"?IN_FOCUS",IF(J6117&lt;=2,"?ACTIVATED",IF(J6117&lt;&gt;"","?FAMILIAR",IF(F6117="NEW",IF(ISNA(VLOOKUP(E6117,#REF!,1,FALSE())),"?TYPE_IDENTIFIABLE","?REFERENTIAL"),"_")))))</f>
        <v> </v>
      </c>
      <c r="H6117" s="25" t="str">
        <f>IF(J6117&lt;&gt;1,"",IF(I6117="SBJ","CB","?"))</f>
        <v> </v>
      </c>
      <c r="I6117" s="26" t="str">
        <f>IF(OR(E6117="",E6117="!!!",F6117="NEW"),"",INDEX(B6116:B$2,-1+SUMPRODUCT(MAX(ROW(E6116:E$2)*(E6117=E6116:E$2)))))</f>
        <v> </v>
      </c>
      <c r="J6117" s="26" t="str">
        <f>IF(OR(E6117="",E6117="!!!",F6117="NEW"),"",COUNTBLANK(OFFSET(A$1,,,SUMPRODUCT(MAX(ROW(E$2:E6117)*(E6117=E$2:E6117)))))-COUNTBLANK(OFFSET(A$1,,,SUMPRODUCT(MAX(ROW(E$1:E6116)*(E2=E$1:E6116))))))</f>
        <v> </v>
      </c>
      <c r="K6117" s="26" t="str">
        <f>IF(OR(E6117="",E6117="!!!",F6117="NEW"),"",INDEX(J$1:J6116,SUMPRODUCT(MAX(ROW(E$1:E6116)*(E6117=E$1:E6116)))))</f>
        <v> </v>
      </c>
      <c r="L6117" s="27"/>
    </row>
    <row r="6118" spans="1:12">
      <c r="A6118" s="20" t="s">
        <v>1486</v>
      </c>
      <c r="E6118" s="22">
        <f>IF(D6118="?OLD","!!!","")</f>
        <v/>
      </c>
      <c r="F6118" s="23" t="str">
        <f>IF(OR(E6118="",E6118="!!!"),"",IF(NOT(ISNA(VLOOKUP(E6118,E$1:E6117,1,FALSE()))),"OLD",IF(AND(E6118&lt;&gt;"",E6118&lt;&gt;"!!!"),"NEW","")))</f>
        <v> </v>
      </c>
      <c r="G6118" s="24" t="str">
        <f>IF(OR(E6118="",E6118="!!!"),"",IF(OR(J6118=0,AND(J6118=1,K6118=1),AND(J6118=1,I6118="SBJ"),AND(J6118=1,I6118=0)),"?IN_FOCUS",IF(J6118&lt;=2,"?ACTIVATED",IF(J6118&lt;&gt;"","?FAMILIAR",IF(F6118="NEW",IF(ISNA(VLOOKUP(E6118,#REF!,1,FALSE())),"?TYPE_IDENTIFIABLE","?REFERENTIAL"),"_")))))</f>
        <v> </v>
      </c>
      <c r="H6118" s="25" t="str">
        <f>IF(J6118&lt;&gt;1,"",IF(I6118="SBJ","CB","?"))</f>
        <v> </v>
      </c>
      <c r="I6118" s="26" t="str">
        <f>IF(OR(E6118="",E6118="!!!",F6118="NEW"),"",INDEX(B6117:B$2,-1+SUMPRODUCT(MAX(ROW(E6117:E$2)*(E6118=E6117:E$2)))))</f>
        <v> </v>
      </c>
      <c r="J6118" s="26" t="str">
        <f>IF(OR(E6118="",E6118="!!!",F6118="NEW"),"",COUNTBLANK(OFFSET(A$1,,,SUMPRODUCT(MAX(ROW(E$2:E6118)*(E6118=E$2:E6118)))))-COUNTBLANK(OFFSET(A$1,,,SUMPRODUCT(MAX(ROW(E$1:E6117)*(E2=E$1:E6117))))))</f>
        <v> </v>
      </c>
      <c r="K6118" s="26" t="str">
        <f>IF(OR(E6118="",E6118="!!!",F6118="NEW"),"",INDEX(J$1:J6117,SUMPRODUCT(MAX(ROW(E$1:E6117)*(E6118=E$1:E6117)))))</f>
        <v> </v>
      </c>
      <c r="L6118" s="27"/>
    </row>
    <row r="6119" spans="1:12">
      <c r="A6119" s="20" t="s">
        <v>2538</v>
      </c>
      <c r="B6119" s="21" t="s">
        <v>1010</v>
      </c>
      <c r="C6119" s="21" t="s">
        <v>1034</v>
      </c>
      <c r="D6119" s="21" t="s">
        <v>997</v>
      </c>
      <c r="E6119" s="22">
        <f>IF(D6119="?OLD","!!!","")</f>
        <v/>
      </c>
      <c r="F6119" s="23" t="str">
        <f>IF(OR(E6119="",E6119="!!!"),"",IF(NOT(ISNA(VLOOKUP(E6119,E$1:E6118,1,FALSE()))),"OLD",IF(AND(E6119&lt;&gt;"",E6119&lt;&gt;"!!!"),"NEW","")))</f>
        <v> </v>
      </c>
      <c r="G6119" s="24" t="str">
        <f>IF(OR(E6119="",E6119="!!!"),"",IF(OR(J6119=0,AND(J6119=1,K6119=1),AND(J6119=1,I6119="SBJ"),AND(J6119=1,I6119=0)),"?IN_FOCUS",IF(J6119&lt;=2,"?ACTIVATED",IF(J6119&lt;&gt;"","?FAMILIAR",IF(F6119="NEW",IF(ISNA(VLOOKUP(E6119,#REF!,1,FALSE())),"?TYPE_IDENTIFIABLE","?REFERENTIAL"),"_")))))</f>
        <v> </v>
      </c>
      <c r="H6119" s="25" t="str">
        <f>IF(J6119&lt;&gt;1,"",IF(I6119="SBJ","CB","?"))</f>
        <v> </v>
      </c>
      <c r="I6119" s="26" t="str">
        <f>IF(OR(E6119="",E6119="!!!",F6119="NEW"),"",INDEX(B6118:B$2,-1+SUMPRODUCT(MAX(ROW(E6118:E$2)*(E6119=E6118:E$2)))))</f>
        <v> </v>
      </c>
      <c r="J6119" s="26" t="str">
        <f>IF(OR(E6119="",E6119="!!!",F6119="NEW"),"",COUNTBLANK(OFFSET(A$1,,,SUMPRODUCT(MAX(ROW(E$2:E6119)*(E6119=E$2:E6119)))))-COUNTBLANK(OFFSET(A$1,,,SUMPRODUCT(MAX(ROW(E$1:E6118)*(E2=E$1:E6118))))))</f>
        <v> </v>
      </c>
      <c r="K6119" s="26" t="str">
        <f>IF(OR(E6119="",E6119="!!!",F6119="NEW"),"",INDEX(J$1:J6118,SUMPRODUCT(MAX(ROW(E$1:E6118)*(E6119=E$1:E6118)))))</f>
        <v> </v>
      </c>
      <c r="L6119" s="27"/>
    </row>
    <row r="6120" spans="1:12">
      <c r="A6120" s="20" t="s">
        <v>1041</v>
      </c>
      <c r="E6120" s="22">
        <f>IF(D6120="?OLD","!!!","")</f>
        <v/>
      </c>
      <c r="F6120" s="23" t="str">
        <f>IF(OR(E6120="",E6120="!!!"),"",IF(NOT(ISNA(VLOOKUP(E6120,E$1:E6119,1,FALSE()))),"OLD",IF(AND(E6120&lt;&gt;"",E6120&lt;&gt;"!!!"),"NEW","")))</f>
        <v> </v>
      </c>
      <c r="G6120" s="24" t="str">
        <f>IF(OR(E6120="",E6120="!!!"),"",IF(OR(J6120=0,AND(J6120=1,K6120=1),AND(J6120=1,I6120="SBJ"),AND(J6120=1,I6120=0)),"?IN_FOCUS",IF(J6120&lt;=2,"?ACTIVATED",IF(J6120&lt;&gt;"","?FAMILIAR",IF(F6120="NEW",IF(ISNA(VLOOKUP(E6120,#REF!,1,FALSE())),"?TYPE_IDENTIFIABLE","?REFERENTIAL"),"_")))))</f>
        <v> </v>
      </c>
      <c r="H6120" s="25" t="str">
        <f>IF(J6120&lt;&gt;1,"",IF(I6120="SBJ","CB","?"))</f>
        <v> </v>
      </c>
      <c r="I6120" s="26" t="str">
        <f>IF(OR(E6120="",E6120="!!!",F6120="NEW"),"",INDEX(B6119:B$2,-1+SUMPRODUCT(MAX(ROW(E6119:E$2)*(E6120=E6119:E$2)))))</f>
        <v> </v>
      </c>
      <c r="J6120" s="26" t="str">
        <f>IF(OR(E6120="",E6120="!!!",F6120="NEW"),"",COUNTBLANK(OFFSET(A$1,,,SUMPRODUCT(MAX(ROW(E$2:E6120)*(E6120=E$2:E6120)))))-COUNTBLANK(OFFSET(A$1,,,SUMPRODUCT(MAX(ROW(E$1:E6119)*(E2=E$1:E6119))))))</f>
        <v> </v>
      </c>
      <c r="K6120" s="26" t="str">
        <f>IF(OR(E6120="",E6120="!!!",F6120="NEW"),"",INDEX(J$1:J6119,SUMPRODUCT(MAX(ROW(E$1:E6119)*(E6120=E$1:E6119)))))</f>
        <v> </v>
      </c>
      <c r="L6120" s="27"/>
    </row>
    <row r="6121" spans="1:12">
      <c r="A6121" s="20" t="s">
        <v>1487</v>
      </c>
      <c r="E6121" s="22">
        <f>IF(D6121="?OLD","!!!","")</f>
        <v/>
      </c>
      <c r="F6121" s="23" t="str">
        <f>IF(OR(E6121="",E6121="!!!"),"",IF(NOT(ISNA(VLOOKUP(E6121,E$1:E6120,1,FALSE()))),"OLD",IF(AND(E6121&lt;&gt;"",E6121&lt;&gt;"!!!"),"NEW","")))</f>
        <v> </v>
      </c>
      <c r="G6121" s="24" t="str">
        <f>IF(OR(E6121="",E6121="!!!"),"",IF(OR(J6121=0,AND(J6121=1,K6121=1),AND(J6121=1,I6121="SBJ"),AND(J6121=1,I6121=0)),"?IN_FOCUS",IF(J6121&lt;=2,"?ACTIVATED",IF(J6121&lt;&gt;"","?FAMILIAR",IF(F6121="NEW",IF(ISNA(VLOOKUP(E6121,#REF!,1,FALSE())),"?TYPE_IDENTIFIABLE","?REFERENTIAL"),"_")))))</f>
        <v> </v>
      </c>
      <c r="H6121" s="25" t="str">
        <f>IF(J6121&lt;&gt;1,"",IF(I6121="SBJ","CB","?"))</f>
        <v> </v>
      </c>
      <c r="I6121" s="26" t="str">
        <f>IF(OR(E6121="",E6121="!!!",F6121="NEW"),"",INDEX(B6120:B$2,-1+SUMPRODUCT(MAX(ROW(E6120:E$2)*(E6121=E6120:E$2)))))</f>
        <v> </v>
      </c>
      <c r="J6121" s="26" t="str">
        <f>IF(OR(E6121="",E6121="!!!",F6121="NEW"),"",COUNTBLANK(OFFSET(A$1,,,SUMPRODUCT(MAX(ROW(E$2:E6121)*(E6121=E$2:E6121)))))-COUNTBLANK(OFFSET(A$1,,,SUMPRODUCT(MAX(ROW(E$1:E6120)*(E2=E$1:E6120))))))</f>
        <v> </v>
      </c>
      <c r="K6121" s="26" t="str">
        <f>IF(OR(E6121="",E6121="!!!",F6121="NEW"),"",INDEX(J$1:J6120,SUMPRODUCT(MAX(ROW(E$1:E6120)*(E6121=E$1:E6120)))))</f>
        <v> </v>
      </c>
      <c r="L6121" s="27"/>
    </row>
    <row r="6122" spans="1:12">
      <c r="A6122" s="20" t="s">
        <v>1003</v>
      </c>
      <c r="E6122" s="22">
        <f>IF(D6122="?OLD","!!!","")</f>
        <v/>
      </c>
      <c r="F6122" s="23" t="str">
        <f>IF(OR(E6122="",E6122="!!!"),"",IF(NOT(ISNA(VLOOKUP(E6122,E$1:E6121,1,FALSE()))),"OLD",IF(AND(E6122&lt;&gt;"",E6122&lt;&gt;"!!!"),"NEW","")))</f>
        <v> </v>
      </c>
      <c r="G6122" s="24" t="str">
        <f>IF(OR(E6122="",E6122="!!!"),"",IF(OR(J6122=0,AND(J6122=1,K6122=1),AND(J6122=1,I6122="SBJ"),AND(J6122=1,I6122=0)),"?IN_FOCUS",IF(J6122&lt;=2,"?ACTIVATED",IF(J6122&lt;&gt;"","?FAMILIAR",IF(F6122="NEW",IF(ISNA(VLOOKUP(E6122,#REF!,1,FALSE())),"?TYPE_IDENTIFIABLE","?REFERENTIAL"),"_")))))</f>
        <v> </v>
      </c>
      <c r="H6122" s="25" t="str">
        <f>IF(J6122&lt;&gt;1,"",IF(I6122="SBJ","CB","?"))</f>
        <v> </v>
      </c>
      <c r="I6122" s="26" t="str">
        <f>IF(OR(E6122="",E6122="!!!",F6122="NEW"),"",INDEX(B6121:B$2,-1+SUMPRODUCT(MAX(ROW(E6121:E$2)*(E6122=E6121:E$2)))))</f>
        <v> </v>
      </c>
      <c r="J6122" s="26" t="str">
        <f>IF(OR(E6122="",E6122="!!!",F6122="NEW"),"",COUNTBLANK(OFFSET(A$1,,,SUMPRODUCT(MAX(ROW(E$2:E6122)*(E6122=E$2:E6122)))))-COUNTBLANK(OFFSET(A$1,,,SUMPRODUCT(MAX(ROW(E$1:E6121)*(E2=E$1:E6121))))))</f>
        <v> </v>
      </c>
      <c r="K6122" s="26" t="str">
        <f>IF(OR(E6122="",E6122="!!!",F6122="NEW"),"",INDEX(J$1:J6121,SUMPRODUCT(MAX(ROW(E$1:E6121)*(E6122=E$1:E6121)))))</f>
        <v> </v>
      </c>
      <c r="L6122" s="27"/>
    </row>
    <row r="6123" spans="1:12">
      <c r="A6123" s="20" t="s">
        <v>2415</v>
      </c>
      <c r="E6123" s="22">
        <f>IF(D6123="?OLD","!!!","")</f>
        <v/>
      </c>
      <c r="F6123" s="23" t="str">
        <f>IF(OR(E6123="",E6123="!!!"),"",IF(NOT(ISNA(VLOOKUP(E6123,E$1:E6122,1,FALSE()))),"OLD",IF(AND(E6123&lt;&gt;"",E6123&lt;&gt;"!!!"),"NEW","")))</f>
        <v> </v>
      </c>
      <c r="G6123" s="24" t="str">
        <f>IF(OR(E6123="",E6123="!!!"),"",IF(OR(J6123=0,AND(J6123=1,K6123=1),AND(J6123=1,I6123="SBJ"),AND(J6123=1,I6123=0)),"?IN_FOCUS",IF(J6123&lt;=2,"?ACTIVATED",IF(J6123&lt;&gt;"","?FAMILIAR",IF(F6123="NEW",IF(ISNA(VLOOKUP(E6123,#REF!,1,FALSE())),"?TYPE_IDENTIFIABLE","?REFERENTIAL"),"_")))))</f>
        <v> </v>
      </c>
      <c r="H6123" s="25" t="str">
        <f>IF(J6123&lt;&gt;1,"",IF(I6123="SBJ","CB","?"))</f>
        <v> </v>
      </c>
      <c r="I6123" s="26" t="str">
        <f>IF(OR(E6123="",E6123="!!!",F6123="NEW"),"",INDEX(B6122:B$2,-1+SUMPRODUCT(MAX(ROW(E6122:E$2)*(E6123=E6122:E$2)))))</f>
        <v> </v>
      </c>
      <c r="J6123" s="26" t="str">
        <f>IF(OR(E6123="",E6123="!!!",F6123="NEW"),"",COUNTBLANK(OFFSET(A$1,,,SUMPRODUCT(MAX(ROW(E$2:E6123)*(E6123=E$2:E6123)))))-COUNTBLANK(OFFSET(A$1,,,SUMPRODUCT(MAX(ROW(E$1:E6122)*(E2=E$1:E6122))))))</f>
        <v> </v>
      </c>
      <c r="K6123" s="26" t="str">
        <f>IF(OR(E6123="",E6123="!!!",F6123="NEW"),"",INDEX(J$1:J6122,SUMPRODUCT(MAX(ROW(E$1:E6122)*(E6123=E$1:E6122)))))</f>
        <v> </v>
      </c>
      <c r="L6123" s="27"/>
    </row>
    <row r="6124" spans="1:12">
      <c r="A6124" s="20" t="s">
        <v>1008</v>
      </c>
      <c r="E6124" s="22">
        <f>IF(D6124="?OLD","!!!","")</f>
        <v/>
      </c>
      <c r="F6124" s="23" t="str">
        <f>IF(OR(E6124="",E6124="!!!"),"",IF(NOT(ISNA(VLOOKUP(E6124,E$1:E6123,1,FALSE()))),"OLD",IF(AND(E6124&lt;&gt;"",E6124&lt;&gt;"!!!"),"NEW","")))</f>
        <v> </v>
      </c>
      <c r="G6124" s="24" t="str">
        <f>IF(OR(E6124="",E6124="!!!"),"",IF(OR(J6124=0,AND(J6124=1,K6124=1),AND(J6124=1,I6124="SBJ"),AND(J6124=1,I6124=0)),"?IN_FOCUS",IF(J6124&lt;=2,"?ACTIVATED",IF(J6124&lt;&gt;"","?FAMILIAR",IF(F6124="NEW",IF(ISNA(VLOOKUP(E6124,#REF!,1,FALSE())),"?TYPE_IDENTIFIABLE","?REFERENTIAL"),"_")))))</f>
        <v> </v>
      </c>
      <c r="H6124" s="25" t="str">
        <f>IF(J6124&lt;&gt;1,"",IF(I6124="SBJ","CB","?"))</f>
        <v> </v>
      </c>
      <c r="I6124" s="26" t="str">
        <f>IF(OR(E6124="",E6124="!!!",F6124="NEW"),"",INDEX(B6123:B$2,-1+SUMPRODUCT(MAX(ROW(E6123:E$2)*(E6124=E6123:E$2)))))</f>
        <v> </v>
      </c>
      <c r="J6124" s="26" t="str">
        <f>IF(OR(E6124="",E6124="!!!",F6124="NEW"),"",COUNTBLANK(OFFSET(A$1,,,SUMPRODUCT(MAX(ROW(E$2:E6124)*(E6124=E$2:E6124)))))-COUNTBLANK(OFFSET(A$1,,,SUMPRODUCT(MAX(ROW(E$1:E6123)*(E2=E$1:E6123))))))</f>
        <v> </v>
      </c>
      <c r="K6124" s="26" t="str">
        <f>IF(OR(E6124="",E6124="!!!",F6124="NEW"),"",INDEX(J$1:J6123,SUMPRODUCT(MAX(ROW(E$1:E6123)*(E6124=E$1:E6123)))))</f>
        <v> </v>
      </c>
      <c r="L6124" s="27"/>
    </row>
    <row r="6125" spans="1:12">
      <c r="A6125" s="20" t="s">
        <v>1421</v>
      </c>
      <c r="E6125" s="22">
        <f>IF(D6125="?OLD","!!!","")</f>
        <v/>
      </c>
      <c r="F6125" s="23" t="str">
        <f>IF(OR(E6125="",E6125="!!!"),"",IF(NOT(ISNA(VLOOKUP(E6125,E$1:E6124,1,FALSE()))),"OLD",IF(AND(E6125&lt;&gt;"",E6125&lt;&gt;"!!!"),"NEW","")))</f>
        <v> </v>
      </c>
      <c r="G6125" s="24" t="str">
        <f>IF(OR(E6125="",E6125="!!!"),"",IF(OR(J6125=0,AND(J6125=1,K6125=1),AND(J6125=1,I6125="SBJ"),AND(J6125=1,I6125=0)),"?IN_FOCUS",IF(J6125&lt;=2,"?ACTIVATED",IF(J6125&lt;&gt;"","?FAMILIAR",IF(F6125="NEW",IF(ISNA(VLOOKUP(E6125,#REF!,1,FALSE())),"?TYPE_IDENTIFIABLE","?REFERENTIAL"),"_")))))</f>
        <v> </v>
      </c>
      <c r="H6125" s="25" t="str">
        <f>IF(J6125&lt;&gt;1,"",IF(I6125="SBJ","CB","?"))</f>
        <v> </v>
      </c>
      <c r="I6125" s="26" t="str">
        <f>IF(OR(E6125="",E6125="!!!",F6125="NEW"),"",INDEX(B6124:B$2,-1+SUMPRODUCT(MAX(ROW(E6124:E$2)*(E6125=E6124:E$2)))))</f>
        <v> </v>
      </c>
      <c r="J6125" s="26" t="str">
        <f>IF(OR(E6125="",E6125="!!!",F6125="NEW"),"",COUNTBLANK(OFFSET(A$1,,,SUMPRODUCT(MAX(ROW(E$2:E6125)*(E6125=E$2:E6125)))))-COUNTBLANK(OFFSET(A$1,,,SUMPRODUCT(MAX(ROW(E$1:E6124)*(E2=E$1:E6124))))))</f>
        <v> </v>
      </c>
      <c r="K6125" s="26" t="str">
        <f>IF(OR(E6125="",E6125="!!!",F6125="NEW"),"",INDEX(J$1:J6124,SUMPRODUCT(MAX(ROW(E$1:E6124)*(E6125=E$1:E6124)))))</f>
        <v> </v>
      </c>
      <c r="L6125" s="27"/>
    </row>
    <row r="6126" spans="1:12">
      <c r="A6126" s="20" t="s">
        <v>1061</v>
      </c>
      <c r="E6126" s="22">
        <f>IF(D6126="?OLD","!!!","")</f>
        <v/>
      </c>
      <c r="F6126" s="23" t="str">
        <f>IF(OR(E6126="",E6126="!!!"),"",IF(NOT(ISNA(VLOOKUP(E6126,E$1:E6125,1,FALSE()))),"OLD",IF(AND(E6126&lt;&gt;"",E6126&lt;&gt;"!!!"),"NEW","")))</f>
        <v> </v>
      </c>
      <c r="G6126" s="24" t="str">
        <f>IF(OR(E6126="",E6126="!!!"),"",IF(OR(J6126=0,AND(J6126=1,K6126=1),AND(J6126=1,I6126="SBJ"),AND(J6126=1,I6126=0)),"?IN_FOCUS",IF(J6126&lt;=2,"?ACTIVATED",IF(J6126&lt;&gt;"","?FAMILIAR",IF(F6126="NEW",IF(ISNA(VLOOKUP(E6126,#REF!,1,FALSE())),"?TYPE_IDENTIFIABLE","?REFERENTIAL"),"_")))))</f>
        <v> </v>
      </c>
      <c r="H6126" s="25" t="str">
        <f>IF(J6126&lt;&gt;1,"",IF(I6126="SBJ","CB","?"))</f>
        <v> </v>
      </c>
      <c r="I6126" s="26" t="str">
        <f>IF(OR(E6126="",E6126="!!!",F6126="NEW"),"",INDEX(B6125:B$2,-1+SUMPRODUCT(MAX(ROW(E6125:E$2)*(E6126=E6125:E$2)))))</f>
        <v> </v>
      </c>
      <c r="J6126" s="26" t="str">
        <f>IF(OR(E6126="",E6126="!!!",F6126="NEW"),"",COUNTBLANK(OFFSET(A$1,,,SUMPRODUCT(MAX(ROW(E$2:E6126)*(E6126=E$2:E6126)))))-COUNTBLANK(OFFSET(A$1,,,SUMPRODUCT(MAX(ROW(E$1:E6125)*(E2=E$1:E6125))))))</f>
        <v> </v>
      </c>
      <c r="K6126" s="26" t="str">
        <f>IF(OR(E6126="",E6126="!!!",F6126="NEW"),"",INDEX(J$1:J6125,SUMPRODUCT(MAX(ROW(E$1:E6125)*(E6126=E$1:E6125)))))</f>
        <v> </v>
      </c>
      <c r="L6126" s="27"/>
    </row>
    <row r="6127" spans="1:12">
      <c r="A6127" s="20" t="s">
        <v>1187</v>
      </c>
      <c r="B6127" s="21" t="s">
        <v>1301</v>
      </c>
      <c r="C6127" s="21" t="s">
        <v>1034</v>
      </c>
      <c r="D6127" s="21" t="s">
        <v>997</v>
      </c>
      <c r="E6127" s="22">
        <f>IF(D6127="?OLD","!!!","")</f>
        <v/>
      </c>
      <c r="F6127" s="23" t="str">
        <f>IF(OR(E6127="",E6127="!!!"),"",IF(NOT(ISNA(VLOOKUP(E6127,E$1:E6126,1,FALSE()))),"OLD",IF(AND(E6127&lt;&gt;"",E6127&lt;&gt;"!!!"),"NEW","")))</f>
        <v> </v>
      </c>
      <c r="G6127" s="24" t="str">
        <f>IF(OR(E6127="",E6127="!!!"),"",IF(OR(J6127=0,AND(J6127=1,K6127=1),AND(J6127=1,I6127="SBJ"),AND(J6127=1,I6127=0)),"?IN_FOCUS",IF(J6127&lt;=2,"?ACTIVATED",IF(J6127&lt;&gt;"","?FAMILIAR",IF(F6127="NEW",IF(ISNA(VLOOKUP(E6127,#REF!,1,FALSE())),"?TYPE_IDENTIFIABLE","?REFERENTIAL"),"_")))))</f>
        <v> </v>
      </c>
      <c r="H6127" s="25" t="str">
        <f>IF(J6127&lt;&gt;1,"",IF(I6127="SBJ","CB","?"))</f>
        <v> </v>
      </c>
      <c r="I6127" s="26" t="str">
        <f>IF(OR(E6127="",E6127="!!!",F6127="NEW"),"",INDEX(B6126:B$2,-1+SUMPRODUCT(MAX(ROW(E6126:E$2)*(E6127=E6126:E$2)))))</f>
        <v> </v>
      </c>
      <c r="J6127" s="26" t="str">
        <f>IF(OR(E6127="",E6127="!!!",F6127="NEW"),"",COUNTBLANK(OFFSET(A$1,,,SUMPRODUCT(MAX(ROW(E$2:E6127)*(E6127=E$2:E6127)))))-COUNTBLANK(OFFSET(A$1,,,SUMPRODUCT(MAX(ROW(E$1:E6126)*(E2=E$1:E6126))))))</f>
        <v> </v>
      </c>
      <c r="K6127" s="26" t="str">
        <f>IF(OR(E6127="",E6127="!!!",F6127="NEW"),"",INDEX(J$1:J6126,SUMPRODUCT(MAX(ROW(E$1:E6126)*(E6127=E$1:E6126)))))</f>
        <v> </v>
      </c>
      <c r="L6127" s="27"/>
    </row>
    <row r="6128" spans="1:12">
      <c r="A6128" s="20" t="s">
        <v>1008</v>
      </c>
      <c r="E6128" s="22">
        <f>IF(D6128="?OLD","!!!","")</f>
        <v/>
      </c>
      <c r="F6128" s="23" t="str">
        <f>IF(OR(E6128="",E6128="!!!"),"",IF(NOT(ISNA(VLOOKUP(E6128,E$1:E6127,1,FALSE()))),"OLD",IF(AND(E6128&lt;&gt;"",E6128&lt;&gt;"!!!"),"NEW","")))</f>
        <v> </v>
      </c>
      <c r="G6128" s="24" t="str">
        <f>IF(OR(E6128="",E6128="!!!"),"",IF(OR(J6128=0,AND(J6128=1,K6128=1),AND(J6128=1,I6128="SBJ"),AND(J6128=1,I6128=0)),"?IN_FOCUS",IF(J6128&lt;=2,"?ACTIVATED",IF(J6128&lt;&gt;"","?FAMILIAR",IF(F6128="NEW",IF(ISNA(VLOOKUP(E6128,#REF!,1,FALSE())),"?TYPE_IDENTIFIABLE","?REFERENTIAL"),"_")))))</f>
        <v> </v>
      </c>
      <c r="H6128" s="25" t="str">
        <f>IF(J6128&lt;&gt;1,"",IF(I6128="SBJ","CB","?"))</f>
        <v> </v>
      </c>
      <c r="I6128" s="26" t="str">
        <f>IF(OR(E6128="",E6128="!!!",F6128="NEW"),"",INDEX(B6127:B$2,-1+SUMPRODUCT(MAX(ROW(E6127:E$2)*(E6128=E6127:E$2)))))</f>
        <v> </v>
      </c>
      <c r="J6128" s="26" t="str">
        <f>IF(OR(E6128="",E6128="!!!",F6128="NEW"),"",COUNTBLANK(OFFSET(A$1,,,SUMPRODUCT(MAX(ROW(E$2:E6128)*(E6128=E$2:E6128)))))-COUNTBLANK(OFFSET(A$1,,,SUMPRODUCT(MAX(ROW(E$1:E6127)*(E2=E$1:E6127))))))</f>
        <v> </v>
      </c>
      <c r="K6128" s="26" t="str">
        <f>IF(OR(E6128="",E6128="!!!",F6128="NEW"),"",INDEX(J$1:J6127,SUMPRODUCT(MAX(ROW(E$1:E6127)*(E6128=E$1:E6127)))))</f>
        <v> </v>
      </c>
      <c r="L6128" s="27"/>
    </row>
    <row r="6129" spans="1:12">
      <c r="A6129" s="20" t="s">
        <v>1032</v>
      </c>
      <c r="E6129" s="22">
        <f>IF(D6129="?OLD","!!!","")</f>
        <v/>
      </c>
      <c r="F6129" s="23" t="str">
        <f>IF(OR(E6129="",E6129="!!!"),"",IF(NOT(ISNA(VLOOKUP(E6129,E$1:E6128,1,FALSE()))),"OLD",IF(AND(E6129&lt;&gt;"",E6129&lt;&gt;"!!!"),"NEW","")))</f>
        <v> </v>
      </c>
      <c r="G6129" s="24" t="str">
        <f>IF(OR(E6129="",E6129="!!!"),"",IF(OR(J6129=0,AND(J6129=1,K6129=1),AND(J6129=1,I6129="SBJ"),AND(J6129=1,I6129=0)),"?IN_FOCUS",IF(J6129&lt;=2,"?ACTIVATED",IF(J6129&lt;&gt;"","?FAMILIAR",IF(F6129="NEW",IF(ISNA(VLOOKUP(E6129,#REF!,1,FALSE())),"?TYPE_IDENTIFIABLE","?REFERENTIAL"),"_")))))</f>
        <v> </v>
      </c>
      <c r="H6129" s="25" t="str">
        <f>IF(J6129&lt;&gt;1,"",IF(I6129="SBJ","CB","?"))</f>
        <v> </v>
      </c>
      <c r="I6129" s="26" t="str">
        <f>IF(OR(E6129="",E6129="!!!",F6129="NEW"),"",INDEX(B6128:B$2,-1+SUMPRODUCT(MAX(ROW(E6128:E$2)*(E6129=E6128:E$2)))))</f>
        <v> </v>
      </c>
      <c r="J6129" s="26" t="str">
        <f>IF(OR(E6129="",E6129="!!!",F6129="NEW"),"",COUNTBLANK(OFFSET(A$1,,,SUMPRODUCT(MAX(ROW(E$2:E6129)*(E6129=E$2:E6129)))))-COUNTBLANK(OFFSET(A$1,,,SUMPRODUCT(MAX(ROW(E$1:E6128)*(E2=E$1:E6128))))))</f>
        <v> </v>
      </c>
      <c r="K6129" s="26" t="str">
        <f>IF(OR(E6129="",E6129="!!!",F6129="NEW"),"",INDEX(J$1:J6128,SUMPRODUCT(MAX(ROW(E$1:E6128)*(E6129=E$1:E6128)))))</f>
        <v> </v>
      </c>
      <c r="L6129" s="27"/>
    </row>
    <row r="6130" spans="1:12">
      <c r="A6130" s="20" t="s">
        <v>1148</v>
      </c>
      <c r="B6130" s="21" t="s">
        <v>1182</v>
      </c>
      <c r="C6130" s="21" t="s">
        <v>1034</v>
      </c>
      <c r="D6130" s="21" t="s">
        <v>997</v>
      </c>
      <c r="E6130" s="22">
        <f>IF(D6130="?OLD","!!!","")</f>
        <v/>
      </c>
      <c r="F6130" s="23" t="str">
        <f>IF(OR(E6130="",E6130="!!!"),"",IF(NOT(ISNA(VLOOKUP(E6130,E$1:E6129,1,FALSE()))),"OLD",IF(AND(E6130&lt;&gt;"",E6130&lt;&gt;"!!!"),"NEW","")))</f>
        <v> </v>
      </c>
      <c r="G6130" s="24" t="str">
        <f>IF(OR(E6130="",E6130="!!!"),"",IF(OR(J6130=0,AND(J6130=1,K6130=1),AND(J6130=1,I6130="SBJ"),AND(J6130=1,I6130=0)),"?IN_FOCUS",IF(J6130&lt;=2,"?ACTIVATED",IF(J6130&lt;&gt;"","?FAMILIAR",IF(F6130="NEW",IF(ISNA(VLOOKUP(E6130,#REF!,1,FALSE())),"?TYPE_IDENTIFIABLE","?REFERENTIAL"),"_")))))</f>
        <v> </v>
      </c>
      <c r="H6130" s="25" t="str">
        <f>IF(J6130&lt;&gt;1,"",IF(I6130="SBJ","CB","?"))</f>
        <v> </v>
      </c>
      <c r="I6130" s="26" t="str">
        <f>IF(OR(E6130="",E6130="!!!",F6130="NEW"),"",INDEX(B6129:B$2,-1+SUMPRODUCT(MAX(ROW(E6129:E$2)*(E6130=E6129:E$2)))))</f>
        <v> </v>
      </c>
      <c r="J6130" s="26" t="str">
        <f>IF(OR(E6130="",E6130="!!!",F6130="NEW"),"",COUNTBLANK(OFFSET(A$1,,,SUMPRODUCT(MAX(ROW(E$2:E6130)*(E6130=E$2:E6130)))))-COUNTBLANK(OFFSET(A$1,,,SUMPRODUCT(MAX(ROW(E$1:E6129)*(E2=E$1:E6129))))))</f>
        <v> </v>
      </c>
      <c r="K6130" s="26" t="str">
        <f>IF(OR(E6130="",E6130="!!!",F6130="NEW"),"",INDEX(J$1:J6129,SUMPRODUCT(MAX(ROW(E$1:E6129)*(E6130=E$1:E6129)))))</f>
        <v> </v>
      </c>
      <c r="L6130" s="27"/>
    </row>
    <row r="6131" spans="1:12">
      <c r="A6131" s="20" t="s">
        <v>1007</v>
      </c>
      <c r="E6131" s="22">
        <f>IF(D6131="?OLD","!!!","")</f>
        <v/>
      </c>
      <c r="F6131" s="23" t="str">
        <f>IF(OR(E6131="",E6131="!!!"),"",IF(NOT(ISNA(VLOOKUP(E6131,E$1:E6130,1,FALSE()))),"OLD",IF(AND(E6131&lt;&gt;"",E6131&lt;&gt;"!!!"),"NEW","")))</f>
        <v> </v>
      </c>
      <c r="G6131" s="24" t="str">
        <f>IF(OR(E6131="",E6131="!!!"),"",IF(OR(J6131=0,AND(J6131=1,K6131=1),AND(J6131=1,I6131="SBJ"),AND(J6131=1,I6131=0)),"?IN_FOCUS",IF(J6131&lt;=2,"?ACTIVATED",IF(J6131&lt;&gt;"","?FAMILIAR",IF(F6131="NEW",IF(ISNA(VLOOKUP(E6131,#REF!,1,FALSE())),"?TYPE_IDENTIFIABLE","?REFERENTIAL"),"_")))))</f>
        <v> </v>
      </c>
      <c r="H6131" s="25" t="str">
        <f>IF(J6131&lt;&gt;1,"",IF(I6131="SBJ","CB","?"))</f>
        <v> </v>
      </c>
      <c r="I6131" s="26" t="str">
        <f>IF(OR(E6131="",E6131="!!!",F6131="NEW"),"",INDEX(B6130:B$2,-1+SUMPRODUCT(MAX(ROW(E6130:E$2)*(E6131=E6130:E$2)))))</f>
        <v> </v>
      </c>
      <c r="J6131" s="26" t="str">
        <f>IF(OR(E6131="",E6131="!!!",F6131="NEW"),"",COUNTBLANK(OFFSET(A$1,,,SUMPRODUCT(MAX(ROW(E$2:E6131)*(E6131=E$2:E6131)))))-COUNTBLANK(OFFSET(A$1,,,SUMPRODUCT(MAX(ROW(E$1:E6130)*(E2=E$1:E6130))))))</f>
        <v> </v>
      </c>
      <c r="K6131" s="26" t="str">
        <f>IF(OR(E6131="",E6131="!!!",F6131="NEW"),"",INDEX(J$1:J6130,SUMPRODUCT(MAX(ROW(E$1:E6130)*(E6131=E$1:E6130)))))</f>
        <v> </v>
      </c>
      <c r="L6131" s="27"/>
    </row>
    <row r="6132" spans="1:12">
      <c r="A6132" s="20" t="s">
        <v>1008</v>
      </c>
      <c r="E6132" s="22">
        <f>IF(D6132="?OLD","!!!","")</f>
        <v/>
      </c>
      <c r="F6132" s="23" t="str">
        <f>IF(OR(E6132="",E6132="!!!"),"",IF(NOT(ISNA(VLOOKUP(E6132,E$1:E6131,1,FALSE()))),"OLD",IF(AND(E6132&lt;&gt;"",E6132&lt;&gt;"!!!"),"NEW","")))</f>
        <v> </v>
      </c>
      <c r="G6132" s="24" t="str">
        <f>IF(OR(E6132="",E6132="!!!"),"",IF(OR(J6132=0,AND(J6132=1,K6132=1),AND(J6132=1,I6132="SBJ"),AND(J6132=1,I6132=0)),"?IN_FOCUS",IF(J6132&lt;=2,"?ACTIVATED",IF(J6132&lt;&gt;"","?FAMILIAR",IF(F6132="NEW",IF(ISNA(VLOOKUP(E6132,#REF!,1,FALSE())),"?TYPE_IDENTIFIABLE","?REFERENTIAL"),"_")))))</f>
        <v> </v>
      </c>
      <c r="H6132" s="25" t="str">
        <f>IF(J6132&lt;&gt;1,"",IF(I6132="SBJ","CB","?"))</f>
        <v> </v>
      </c>
      <c r="I6132" s="26" t="str">
        <f>IF(OR(E6132="",E6132="!!!",F6132="NEW"),"",INDEX(B6131:B$2,-1+SUMPRODUCT(MAX(ROW(E6131:E$2)*(E6132=E6131:E$2)))))</f>
        <v> </v>
      </c>
      <c r="J6132" s="26" t="str">
        <f>IF(OR(E6132="",E6132="!!!",F6132="NEW"),"",COUNTBLANK(OFFSET(A$1,,,SUMPRODUCT(MAX(ROW(E$2:E6132)*(E6132=E$2:E6132)))))-COUNTBLANK(OFFSET(A$1,,,SUMPRODUCT(MAX(ROW(E$1:E6131)*(E2=E$1:E6131))))))</f>
        <v> </v>
      </c>
      <c r="K6132" s="26" t="str">
        <f>IF(OR(E6132="",E6132="!!!",F6132="NEW"),"",INDEX(J$1:J6131,SUMPRODUCT(MAX(ROW(E$1:E6131)*(E6132=E$1:E6131)))))</f>
        <v> </v>
      </c>
      <c r="L6132" s="27"/>
    </row>
    <row r="6133" spans="1:12">
      <c r="A6133" s="20" t="s">
        <v>1061</v>
      </c>
      <c r="E6133" s="22">
        <f>IF(D6133="?OLD","!!!","")</f>
        <v/>
      </c>
      <c r="F6133" s="23" t="str">
        <f>IF(OR(E6133="",E6133="!!!"),"",IF(NOT(ISNA(VLOOKUP(E6133,E$1:E6132,1,FALSE()))),"OLD",IF(AND(E6133&lt;&gt;"",E6133&lt;&gt;"!!!"),"NEW","")))</f>
        <v> </v>
      </c>
      <c r="G6133" s="24" t="str">
        <f>IF(OR(E6133="",E6133="!!!"),"",IF(OR(J6133=0,AND(J6133=1,K6133=1),AND(J6133=1,I6133="SBJ"),AND(J6133=1,I6133=0)),"?IN_FOCUS",IF(J6133&lt;=2,"?ACTIVATED",IF(J6133&lt;&gt;"","?FAMILIAR",IF(F6133="NEW",IF(ISNA(VLOOKUP(E6133,#REF!,1,FALSE())),"?TYPE_IDENTIFIABLE","?REFERENTIAL"),"_")))))</f>
        <v> </v>
      </c>
      <c r="H6133" s="25" t="str">
        <f>IF(J6133&lt;&gt;1,"",IF(I6133="SBJ","CB","?"))</f>
        <v> </v>
      </c>
      <c r="I6133" s="26" t="str">
        <f>IF(OR(E6133="",E6133="!!!",F6133="NEW"),"",INDEX(B6132:B$2,-1+SUMPRODUCT(MAX(ROW(E6132:E$2)*(E6133=E6132:E$2)))))</f>
        <v> </v>
      </c>
      <c r="J6133" s="26" t="str">
        <f>IF(OR(E6133="",E6133="!!!",F6133="NEW"),"",COUNTBLANK(OFFSET(A$1,,,SUMPRODUCT(MAX(ROW(E$2:E6133)*(E6133=E$2:E6133)))))-COUNTBLANK(OFFSET(A$1,,,SUMPRODUCT(MAX(ROW(E$1:E6132)*(E2=E$1:E6132))))))</f>
        <v> </v>
      </c>
      <c r="K6133" s="26" t="str">
        <f>IF(OR(E6133="",E6133="!!!",F6133="NEW"),"",INDEX(J$1:J6132,SUMPRODUCT(MAX(ROW(E$1:E6132)*(E6133=E$1:E6132)))))</f>
        <v> </v>
      </c>
      <c r="L6133" s="27"/>
    </row>
    <row r="6134" spans="1:12">
      <c r="A6134" s="20" t="s">
        <v>2539</v>
      </c>
      <c r="B6134" s="21" t="s">
        <v>1092</v>
      </c>
      <c r="C6134" s="21" t="s">
        <v>1034</v>
      </c>
      <c r="D6134" s="21" t="s">
        <v>997</v>
      </c>
      <c r="E6134" s="22">
        <f>IF(D6134="?OLD","!!!","")</f>
        <v/>
      </c>
      <c r="F6134" s="23" t="str">
        <f>IF(OR(E6134="",E6134="!!!"),"",IF(NOT(ISNA(VLOOKUP(E6134,E$1:E6133,1,FALSE()))),"OLD",IF(AND(E6134&lt;&gt;"",E6134&lt;&gt;"!!!"),"NEW","")))</f>
        <v> </v>
      </c>
      <c r="G6134" s="24" t="str">
        <f>IF(OR(E6134="",E6134="!!!"),"",IF(OR(J6134=0,AND(J6134=1,K6134=1),AND(J6134=1,I6134="SBJ"),AND(J6134=1,I6134=0)),"?IN_FOCUS",IF(J6134&lt;=2,"?ACTIVATED",IF(J6134&lt;&gt;"","?FAMILIAR",IF(F6134="NEW",IF(ISNA(VLOOKUP(E6134,#REF!,1,FALSE())),"?TYPE_IDENTIFIABLE","?REFERENTIAL"),"_")))))</f>
        <v> </v>
      </c>
      <c r="H6134" s="25" t="str">
        <f>IF(J6134&lt;&gt;1,"",IF(I6134="SBJ","CB","?"))</f>
        <v> </v>
      </c>
      <c r="I6134" s="26" t="str">
        <f>IF(OR(E6134="",E6134="!!!",F6134="NEW"),"",INDEX(B6133:B$2,-1+SUMPRODUCT(MAX(ROW(E6133:E$2)*(E6134=E6133:E$2)))))</f>
        <v> </v>
      </c>
      <c r="J6134" s="26" t="str">
        <f>IF(OR(E6134="",E6134="!!!",F6134="NEW"),"",COUNTBLANK(OFFSET(A$1,,,SUMPRODUCT(MAX(ROW(E$2:E6134)*(E6134=E$2:E6134)))))-COUNTBLANK(OFFSET(A$1,,,SUMPRODUCT(MAX(ROW(E$1:E6133)*(E2=E$1:E6133))))))</f>
        <v> </v>
      </c>
      <c r="K6134" s="26" t="str">
        <f>IF(OR(E6134="",E6134="!!!",F6134="NEW"),"",INDEX(J$1:J6133,SUMPRODUCT(MAX(ROW(E$1:E6133)*(E6134=E$1:E6133)))))</f>
        <v> </v>
      </c>
      <c r="L6134" s="27"/>
    </row>
    <row r="6135" spans="1:12">
      <c r="A6135" s="20" t="s">
        <v>1041</v>
      </c>
      <c r="E6135" s="22">
        <f>IF(D6135="?OLD","!!!","")</f>
        <v/>
      </c>
      <c r="F6135" s="23" t="str">
        <f>IF(OR(E6135="",E6135="!!!"),"",IF(NOT(ISNA(VLOOKUP(E6135,E$1:E6134,1,FALSE()))),"OLD",IF(AND(E6135&lt;&gt;"",E6135&lt;&gt;"!!!"),"NEW","")))</f>
        <v> </v>
      </c>
      <c r="G6135" s="24" t="str">
        <f>IF(OR(E6135="",E6135="!!!"),"",IF(OR(J6135=0,AND(J6135=1,K6135=1),AND(J6135=1,I6135="SBJ"),AND(J6135=1,I6135=0)),"?IN_FOCUS",IF(J6135&lt;=2,"?ACTIVATED",IF(J6135&lt;&gt;"","?FAMILIAR",IF(F6135="NEW",IF(ISNA(VLOOKUP(E6135,#REF!,1,FALSE())),"?TYPE_IDENTIFIABLE","?REFERENTIAL"),"_")))))</f>
        <v> </v>
      </c>
      <c r="H6135" s="25" t="str">
        <f>IF(J6135&lt;&gt;1,"",IF(I6135="SBJ","CB","?"))</f>
        <v> </v>
      </c>
      <c r="I6135" s="26" t="str">
        <f>IF(OR(E6135="",E6135="!!!",F6135="NEW"),"",INDEX(B6134:B$2,-1+SUMPRODUCT(MAX(ROW(E6134:E$2)*(E6135=E6134:E$2)))))</f>
        <v> </v>
      </c>
      <c r="J6135" s="26" t="str">
        <f>IF(OR(E6135="",E6135="!!!",F6135="NEW"),"",COUNTBLANK(OFFSET(A$1,,,SUMPRODUCT(MAX(ROW(E$2:E6135)*(E6135=E$2:E6135)))))-COUNTBLANK(OFFSET(A$1,,,SUMPRODUCT(MAX(ROW(E$1:E6134)*(E2=E$1:E6134))))))</f>
        <v> </v>
      </c>
      <c r="K6135" s="26" t="str">
        <f>IF(OR(E6135="",E6135="!!!",F6135="NEW"),"",INDEX(J$1:J6134,SUMPRODUCT(MAX(ROW(E$1:E6134)*(E6135=E$1:E6134)))))</f>
        <v> </v>
      </c>
      <c r="L6135" s="27"/>
    </row>
    <row r="6136" spans="1:12">
      <c r="A6136" s="20" t="s">
        <v>2540</v>
      </c>
      <c r="B6136" s="21" t="s">
        <v>1027</v>
      </c>
      <c r="E6136" s="22">
        <f>IF(D6136="?OLD","!!!","")</f>
        <v/>
      </c>
      <c r="F6136" s="23" t="str">
        <f>IF(OR(E6136="",E6136="!!!"),"",IF(NOT(ISNA(VLOOKUP(E6136,E$1:E6135,1,FALSE()))),"OLD",IF(AND(E6136&lt;&gt;"",E6136&lt;&gt;"!!!"),"NEW","")))</f>
        <v> </v>
      </c>
      <c r="G6136" s="24" t="str">
        <f>IF(OR(E6136="",E6136="!!!"),"",IF(OR(J6136=0,AND(J6136=1,K6136=1),AND(J6136=1,I6136="SBJ"),AND(J6136=1,I6136=0)),"?IN_FOCUS",IF(J6136&lt;=2,"?ACTIVATED",IF(J6136&lt;&gt;"","?FAMILIAR",IF(F6136="NEW",IF(ISNA(VLOOKUP(E6136,#REF!,1,FALSE())),"?TYPE_IDENTIFIABLE","?REFERENTIAL"),"_")))))</f>
        <v> </v>
      </c>
      <c r="H6136" s="25" t="str">
        <f>IF(J6136&lt;&gt;1,"",IF(I6136="SBJ","CB","?"))</f>
        <v> </v>
      </c>
      <c r="I6136" s="26" t="str">
        <f>IF(OR(E6136="",E6136="!!!",F6136="NEW"),"",INDEX(B6135:B$2,-1+SUMPRODUCT(MAX(ROW(E6135:E$2)*(E6136=E6135:E$2)))))</f>
        <v> </v>
      </c>
      <c r="J6136" s="26" t="str">
        <f>IF(OR(E6136="",E6136="!!!",F6136="NEW"),"",COUNTBLANK(OFFSET(A$1,,,SUMPRODUCT(MAX(ROW(E$2:E6136)*(E6136=E$2:E6136)))))-COUNTBLANK(OFFSET(A$1,,,SUMPRODUCT(MAX(ROW(E$1:E6135)*(E2=E$1:E6135))))))</f>
        <v> </v>
      </c>
      <c r="K6136" s="26" t="str">
        <f>IF(OR(E6136="",E6136="!!!",F6136="NEW"),"",INDEX(J$1:J6135,SUMPRODUCT(MAX(ROW(E$1:E6135)*(E6136=E$1:E6135)))))</f>
        <v> </v>
      </c>
      <c r="L6136" s="27"/>
    </row>
    <row r="6137" spans="1:12">
      <c r="A6137" s="20"/>
    </row>
    <row r="6138" spans="1:12">
      <c r="A6138" s="20" t="s">
        <v>2541</v>
      </c>
    </row>
    <row r="6139" spans="1:12">
      <c r="A6139" s="20" t="s">
        <v>2542</v>
      </c>
      <c r="E6139" s="22">
        <f>IF(D6139="?OLD","!!!","")</f>
        <v/>
      </c>
      <c r="F6139" s="23" t="str">
        <f>IF(OR(E6139="",E6139="!!!"),"",IF(NOT(ISNA(VLOOKUP(E6139,E$1:E6138,1,FALSE()))),"OLD",IF(AND(E6139&lt;&gt;"",E6139&lt;&gt;"!!!"),"NEW","")))</f>
        <v> </v>
      </c>
      <c r="G6139" s="24" t="str">
        <f>IF(OR(E6139="",E6139="!!!"),"",IF(OR(J6139=0,AND(J6139=1,K6139=1),AND(J6139=1,I6139="SBJ"),AND(J6139=1,I6139=0)),"?IN_FOCUS",IF(J6139&lt;=2,"?ACTIVATED",IF(J6139&lt;&gt;"","?FAMILIAR",IF(F6139="NEW",IF(ISNA(VLOOKUP(E6139,#REF!,1,FALSE())),"?TYPE_IDENTIFIABLE","?REFERENTIAL"),"_")))))</f>
        <v> </v>
      </c>
      <c r="H6139" s="25" t="str">
        <f>IF(J6139&lt;&gt;1,"",IF(I6139="SBJ","CB","?"))</f>
        <v> </v>
      </c>
      <c r="I6139" s="26" t="str">
        <f>IF(OR(E6139="",E6139="!!!",F6139="NEW"),"",INDEX(B6138:B$2,-1+SUMPRODUCT(MAX(ROW(E6138:E$2)*(E6139=E6138:E$2)))))</f>
        <v> </v>
      </c>
      <c r="J6139" s="26" t="str">
        <f>IF(OR(E6139="",E6139="!!!",F6139="NEW"),"",COUNTBLANK(OFFSET(A$1,,,SUMPRODUCT(MAX(ROW(E$2:E6139)*(E6139=E$2:E6139)))))-COUNTBLANK(OFFSET(A$1,,,SUMPRODUCT(MAX(ROW(E$1:E6138)*(E2=E$1:E6138))))))</f>
        <v> </v>
      </c>
      <c r="K6139" s="26" t="str">
        <f>IF(OR(E6139="",E6139="!!!",F6139="NEW"),"",INDEX(J$1:J6138,SUMPRODUCT(MAX(ROW(E$1:E6138)*(E6139=E$1:E6138)))))</f>
        <v> </v>
      </c>
      <c r="L6139" s="27"/>
    </row>
    <row r="6140" spans="1:12">
      <c r="A6140" s="20" t="s">
        <v>1175</v>
      </c>
      <c r="B6140" s="21" t="s">
        <v>995</v>
      </c>
      <c r="C6140" s="21" t="s">
        <v>1015</v>
      </c>
      <c r="D6140" s="21" t="s">
        <v>997</v>
      </c>
      <c r="E6140" s="22">
        <f>IF(D6140="?OLD","!!!","")</f>
        <v/>
      </c>
      <c r="F6140" s="23" t="str">
        <f>IF(OR(E6140="",E6140="!!!"),"",IF(NOT(ISNA(VLOOKUP(E6140,E$1:E6139,1,FALSE()))),"OLD",IF(AND(E6140&lt;&gt;"",E6140&lt;&gt;"!!!"),"NEW","")))</f>
        <v> </v>
      </c>
      <c r="G6140" s="24" t="str">
        <f>IF(OR(E6140="",E6140="!!!"),"",IF(OR(J6140=0,AND(J6140=1,K6140=1),AND(J6140=1,I6140="SBJ"),AND(J6140=1,I6140=0)),"?IN_FOCUS",IF(J6140&lt;=2,"?ACTIVATED",IF(J6140&lt;&gt;"","?FAMILIAR",IF(F6140="NEW",IF(ISNA(VLOOKUP(E6140,#REF!,1,FALSE())),"?TYPE_IDENTIFIABLE","?REFERENTIAL"),"_")))))</f>
        <v> </v>
      </c>
      <c r="H6140" s="25" t="str">
        <f>IF(J6140&lt;&gt;1,"",IF(I6140="SBJ","CB","?"))</f>
        <v> </v>
      </c>
      <c r="I6140" s="26" t="str">
        <f>IF(OR(E6140="",E6140="!!!",F6140="NEW"),"",INDEX(B6139:B$2,-1+SUMPRODUCT(MAX(ROW(E6139:E$2)*(E6140=E6139:E$2)))))</f>
        <v> </v>
      </c>
      <c r="J6140" s="26" t="str">
        <f>IF(OR(E6140="",E6140="!!!",F6140="NEW"),"",COUNTBLANK(OFFSET(A$1,,,SUMPRODUCT(MAX(ROW(E$2:E6140)*(E6140=E$2:E6140)))))-COUNTBLANK(OFFSET(A$1,,,SUMPRODUCT(MAX(ROW(E$1:E6139)*(E2=E$1:E6139))))))</f>
        <v> </v>
      </c>
      <c r="K6140" s="26" t="str">
        <f>IF(OR(E6140="",E6140="!!!",F6140="NEW"),"",INDEX(J$1:J6139,SUMPRODUCT(MAX(ROW(E$1:E6139)*(E6140=E$1:E6139)))))</f>
        <v> </v>
      </c>
      <c r="L6140" s="27"/>
    </row>
    <row r="6141" spans="1:12">
      <c r="A6141" s="20" t="s">
        <v>423</v>
      </c>
      <c r="E6141" s="22">
        <f>IF(D6141="?OLD","!!!","")</f>
        <v/>
      </c>
      <c r="F6141" s="23" t="str">
        <f>IF(OR(E6141="",E6141="!!!"),"",IF(NOT(ISNA(VLOOKUP(E6141,E$1:E6140,1,FALSE()))),"OLD",IF(AND(E6141&lt;&gt;"",E6141&lt;&gt;"!!!"),"NEW","")))</f>
        <v> </v>
      </c>
      <c r="G6141" s="24" t="str">
        <f>IF(OR(E6141="",E6141="!!!"),"",IF(OR(J6141=0,AND(J6141=1,K6141=1),AND(J6141=1,I6141="SBJ"),AND(J6141=1,I6141=0)),"?IN_FOCUS",IF(J6141&lt;=2,"?ACTIVATED",IF(J6141&lt;&gt;"","?FAMILIAR",IF(F6141="NEW",IF(ISNA(VLOOKUP(E6141,#REF!,1,FALSE())),"?TYPE_IDENTIFIABLE","?REFERENTIAL"),"_")))))</f>
        <v> </v>
      </c>
      <c r="H6141" s="25" t="str">
        <f>IF(J6141&lt;&gt;1,"",IF(I6141="SBJ","CB","?"))</f>
        <v> </v>
      </c>
      <c r="I6141" s="26" t="str">
        <f>IF(OR(E6141="",E6141="!!!",F6141="NEW"),"",INDEX(B6140:B$2,-1+SUMPRODUCT(MAX(ROW(E6140:E$2)*(E6141=E6140:E$2)))))</f>
        <v> </v>
      </c>
      <c r="J6141" s="26" t="str">
        <f>IF(OR(E6141="",E6141="!!!",F6141="NEW"),"",COUNTBLANK(OFFSET(A$1,,,SUMPRODUCT(MAX(ROW(E$2:E6141)*(E6141=E$2:E6141)))))-COUNTBLANK(OFFSET(A$1,,,SUMPRODUCT(MAX(ROW(E$1:E6140)*(E2=E$1:E6140))))))</f>
        <v> </v>
      </c>
      <c r="K6141" s="26" t="str">
        <f>IF(OR(E6141="",E6141="!!!",F6141="NEW"),"",INDEX(J$1:J6140,SUMPRODUCT(MAX(ROW(E$1:E6140)*(E6141=E$1:E6140)))))</f>
        <v> </v>
      </c>
      <c r="L6141" s="27"/>
    </row>
    <row r="6142" spans="1:12">
      <c r="A6142" s="20" t="s">
        <v>1018</v>
      </c>
      <c r="E6142" s="22">
        <f>IF(D6142="?OLD","!!!","")</f>
        <v/>
      </c>
      <c r="F6142" s="23" t="str">
        <f>IF(OR(E6142="",E6142="!!!"),"",IF(NOT(ISNA(VLOOKUP(E6142,E$1:E6141,1,FALSE()))),"OLD",IF(AND(E6142&lt;&gt;"",E6142&lt;&gt;"!!!"),"NEW","")))</f>
        <v> </v>
      </c>
      <c r="G6142" s="24" t="str">
        <f>IF(OR(E6142="",E6142="!!!"),"",IF(OR(J6142=0,AND(J6142=1,K6142=1),AND(J6142=1,I6142="SBJ"),AND(J6142=1,I6142=0)),"?IN_FOCUS",IF(J6142&lt;=2,"?ACTIVATED",IF(J6142&lt;&gt;"","?FAMILIAR",IF(F6142="NEW",IF(ISNA(VLOOKUP(E6142,#REF!,1,FALSE())),"?TYPE_IDENTIFIABLE","?REFERENTIAL"),"_")))))</f>
        <v> </v>
      </c>
      <c r="H6142" s="25" t="str">
        <f>IF(J6142&lt;&gt;1,"",IF(I6142="SBJ","CB","?"))</f>
        <v> </v>
      </c>
      <c r="I6142" s="26" t="str">
        <f>IF(OR(E6142="",E6142="!!!",F6142="NEW"),"",INDEX(B6141:B$2,-1+SUMPRODUCT(MAX(ROW(E6141:E$2)*(E6142=E6141:E$2)))))</f>
        <v> </v>
      </c>
      <c r="J6142" s="26" t="str">
        <f>IF(OR(E6142="",E6142="!!!",F6142="NEW"),"",COUNTBLANK(OFFSET(A$1,,,SUMPRODUCT(MAX(ROW(E$2:E6142)*(E6142=E$2:E6142)))))-COUNTBLANK(OFFSET(A$1,,,SUMPRODUCT(MAX(ROW(E$1:E6141)*(E2=E$1:E6141))))))</f>
        <v> </v>
      </c>
      <c r="K6142" s="26" t="str">
        <f>IF(OR(E6142="",E6142="!!!",F6142="NEW"),"",INDEX(J$1:J6141,SUMPRODUCT(MAX(ROW(E$1:E6141)*(E6142=E$1:E6141)))))</f>
        <v> </v>
      </c>
      <c r="L6142" s="27"/>
    </row>
    <row r="6143" spans="1:12">
      <c r="A6143" s="20" t="s">
        <v>2543</v>
      </c>
      <c r="B6143" s="21" t="s">
        <v>1067</v>
      </c>
      <c r="C6143" s="21" t="s">
        <v>1089</v>
      </c>
      <c r="E6143" s="22">
        <f>IF(D6143="?OLD","!!!","")</f>
        <v/>
      </c>
      <c r="F6143" s="23" t="str">
        <f>IF(OR(E6143="",E6143="!!!"),"",IF(NOT(ISNA(VLOOKUP(E6143,E$1:E6142,1,FALSE()))),"OLD",IF(AND(E6143&lt;&gt;"",E6143&lt;&gt;"!!!"),"NEW","")))</f>
        <v> </v>
      </c>
      <c r="G6143" s="24" t="str">
        <f>IF(OR(E6143="",E6143="!!!"),"",IF(OR(J6143=0,AND(J6143=1,K6143=1),AND(J6143=1,I6143="SBJ"),AND(J6143=1,I6143=0)),"?IN_FOCUS",IF(J6143&lt;=2,"?ACTIVATED",IF(J6143&lt;&gt;"","?FAMILIAR",IF(F6143="NEW",IF(ISNA(VLOOKUP(E6143,#REF!,1,FALSE())),"?TYPE_IDENTIFIABLE","?REFERENTIAL"),"_")))))</f>
        <v> </v>
      </c>
      <c r="H6143" s="25" t="str">
        <f>IF(J6143&lt;&gt;1,"",IF(I6143="SBJ","CB","?"))</f>
        <v> </v>
      </c>
      <c r="I6143" s="26" t="str">
        <f>IF(OR(E6143="",E6143="!!!",F6143="NEW"),"",INDEX(B6142:B$2,-1+SUMPRODUCT(MAX(ROW(E6142:E$2)*(E6143=E6142:E$2)))))</f>
        <v> </v>
      </c>
      <c r="J6143" s="26" t="str">
        <f>IF(OR(E6143="",E6143="!!!",F6143="NEW"),"",COUNTBLANK(OFFSET(A$1,,,SUMPRODUCT(MAX(ROW(E$2:E6143)*(E6143=E$2:E6143)))))-COUNTBLANK(OFFSET(A$1,,,SUMPRODUCT(MAX(ROW(E$1:E6142)*(E2=E$1:E6142))))))</f>
        <v> </v>
      </c>
      <c r="K6143" s="26" t="str">
        <f>IF(OR(E6143="",E6143="!!!",F6143="NEW"),"",INDEX(J$1:J6142,SUMPRODUCT(MAX(ROW(E$1:E6142)*(E6143=E$1:E6142)))))</f>
        <v> </v>
      </c>
      <c r="L6143" s="27"/>
    </row>
    <row r="6144" spans="1:12">
      <c r="A6144" s="20" t="s">
        <v>2544</v>
      </c>
      <c r="E6144" s="22">
        <f>IF(D6144="?OLD","!!!","")</f>
        <v/>
      </c>
      <c r="F6144" s="23" t="str">
        <f>IF(OR(E6144="",E6144="!!!"),"",IF(NOT(ISNA(VLOOKUP(E6144,E$1:E6143,1,FALSE()))),"OLD",IF(AND(E6144&lt;&gt;"",E6144&lt;&gt;"!!!"),"NEW","")))</f>
        <v> </v>
      </c>
      <c r="G6144" s="24" t="str">
        <f>IF(OR(E6144="",E6144="!!!"),"",IF(OR(J6144=0,AND(J6144=1,K6144=1),AND(J6144=1,I6144="SBJ"),AND(J6144=1,I6144=0)),"?IN_FOCUS",IF(J6144&lt;=2,"?ACTIVATED",IF(J6144&lt;&gt;"","?FAMILIAR",IF(F6144="NEW",IF(ISNA(VLOOKUP(E6144,#REF!,1,FALSE())),"?TYPE_IDENTIFIABLE","?REFERENTIAL"),"_")))))</f>
        <v> </v>
      </c>
      <c r="H6144" s="25" t="str">
        <f>IF(J6144&lt;&gt;1,"",IF(I6144="SBJ","CB","?"))</f>
        <v> </v>
      </c>
      <c r="I6144" s="26" t="str">
        <f>IF(OR(E6144="",E6144="!!!",F6144="NEW"),"",INDEX(B6143:B$2,-1+SUMPRODUCT(MAX(ROW(E6143:E$2)*(E6144=E6143:E$2)))))</f>
        <v> </v>
      </c>
      <c r="J6144" s="26" t="str">
        <f>IF(OR(E6144="",E6144="!!!",F6144="NEW"),"",COUNTBLANK(OFFSET(A$1,,,SUMPRODUCT(MAX(ROW(E$2:E6144)*(E6144=E$2:E6144)))))-COUNTBLANK(OFFSET(A$1,,,SUMPRODUCT(MAX(ROW(E$1:E6143)*(E2=E$1:E6143))))))</f>
        <v> </v>
      </c>
      <c r="K6144" s="26" t="str">
        <f>IF(OR(E6144="",E6144="!!!",F6144="NEW"),"",INDEX(J$1:J6143,SUMPRODUCT(MAX(ROW(E$1:E6143)*(E6144=E$1:E6143)))))</f>
        <v> </v>
      </c>
      <c r="L6144" s="27"/>
    </row>
    <row r="6145" spans="1:12">
      <c r="A6145" s="20" t="s">
        <v>1008</v>
      </c>
      <c r="E6145" s="22">
        <f>IF(D6145="?OLD","!!!","")</f>
        <v/>
      </c>
      <c r="F6145" s="23" t="str">
        <f>IF(OR(E6145="",E6145="!!!"),"",IF(NOT(ISNA(VLOOKUP(E6145,E$1:E6144,1,FALSE()))),"OLD",IF(AND(E6145&lt;&gt;"",E6145&lt;&gt;"!!!"),"NEW","")))</f>
        <v> </v>
      </c>
      <c r="G6145" s="24" t="str">
        <f>IF(OR(E6145="",E6145="!!!"),"",IF(OR(J6145=0,AND(J6145=1,K6145=1),AND(J6145=1,I6145="SBJ"),AND(J6145=1,I6145=0)),"?IN_FOCUS",IF(J6145&lt;=2,"?ACTIVATED",IF(J6145&lt;&gt;"","?FAMILIAR",IF(F6145="NEW",IF(ISNA(VLOOKUP(E6145,#REF!,1,FALSE())),"?TYPE_IDENTIFIABLE","?REFERENTIAL"),"_")))))</f>
        <v> </v>
      </c>
      <c r="H6145" s="25" t="str">
        <f>IF(J6145&lt;&gt;1,"",IF(I6145="SBJ","CB","?"))</f>
        <v> </v>
      </c>
      <c r="I6145" s="26" t="str">
        <f>IF(OR(E6145="",E6145="!!!",F6145="NEW"),"",INDEX(B6144:B$2,-1+SUMPRODUCT(MAX(ROW(E6144:E$2)*(E6145=E6144:E$2)))))</f>
        <v> </v>
      </c>
      <c r="J6145" s="26" t="str">
        <f>IF(OR(E6145="",E6145="!!!",F6145="NEW"),"",COUNTBLANK(OFFSET(A$1,,,SUMPRODUCT(MAX(ROW(E$2:E6145)*(E6145=E$2:E6145)))))-COUNTBLANK(OFFSET(A$1,,,SUMPRODUCT(MAX(ROW(E$1:E6144)*(E2=E$1:E6144))))))</f>
        <v> </v>
      </c>
      <c r="K6145" s="26" t="str">
        <f>IF(OR(E6145="",E6145="!!!",F6145="NEW"),"",INDEX(J$1:J6144,SUMPRODUCT(MAX(ROW(E$1:E6144)*(E6145=E$1:E6144)))))</f>
        <v> </v>
      </c>
      <c r="L6145" s="27"/>
    </row>
    <row r="6146" spans="1:12">
      <c r="A6146" s="20" t="s">
        <v>1037</v>
      </c>
      <c r="E6146" s="22">
        <f>IF(D6146="?OLD","!!!","")</f>
        <v/>
      </c>
      <c r="F6146" s="23" t="str">
        <f>IF(OR(E6146="",E6146="!!!"),"",IF(NOT(ISNA(VLOOKUP(E6146,E$1:E6145,1,FALSE()))),"OLD",IF(AND(E6146&lt;&gt;"",E6146&lt;&gt;"!!!"),"NEW","")))</f>
        <v> </v>
      </c>
      <c r="G6146" s="24" t="str">
        <f>IF(OR(E6146="",E6146="!!!"),"",IF(OR(J6146=0,AND(J6146=1,K6146=1),AND(J6146=1,I6146="SBJ"),AND(J6146=1,I6146=0)),"?IN_FOCUS",IF(J6146&lt;=2,"?ACTIVATED",IF(J6146&lt;&gt;"","?FAMILIAR",IF(F6146="NEW",IF(ISNA(VLOOKUP(E6146,#REF!,1,FALSE())),"?TYPE_IDENTIFIABLE","?REFERENTIAL"),"_")))))</f>
        <v> </v>
      </c>
      <c r="H6146" s="25" t="str">
        <f>IF(J6146&lt;&gt;1,"",IF(I6146="SBJ","CB","?"))</f>
        <v> </v>
      </c>
      <c r="I6146" s="26" t="str">
        <f>IF(OR(E6146="",E6146="!!!",F6146="NEW"),"",INDEX(B6145:B$2,-1+SUMPRODUCT(MAX(ROW(E6145:E$2)*(E6146=E6145:E$2)))))</f>
        <v> </v>
      </c>
      <c r="J6146" s="26" t="str">
        <f>IF(OR(E6146="",E6146="!!!",F6146="NEW"),"",COUNTBLANK(OFFSET(A$1,,,SUMPRODUCT(MAX(ROW(E$2:E6146)*(E6146=E$2:E6146)))))-COUNTBLANK(OFFSET(A$1,,,SUMPRODUCT(MAX(ROW(E$1:E6145)*(E2=E$1:E6145))))))</f>
        <v> </v>
      </c>
      <c r="K6146" s="26" t="str">
        <f>IF(OR(E6146="",E6146="!!!",F6146="NEW"),"",INDEX(J$1:J6145,SUMPRODUCT(MAX(ROW(E$1:E6145)*(E6146=E$1:E6145)))))</f>
        <v> </v>
      </c>
      <c r="L6146" s="27"/>
    </row>
    <row r="6147" spans="1:12">
      <c r="A6147" s="20" t="s">
        <v>2545</v>
      </c>
      <c r="B6147" s="21" t="s">
        <v>1067</v>
      </c>
      <c r="C6147" s="21" t="s">
        <v>1034</v>
      </c>
      <c r="D6147" s="21" t="s">
        <v>997</v>
      </c>
      <c r="E6147" s="22">
        <f>IF(D6147="?OLD","!!!","")</f>
        <v/>
      </c>
      <c r="F6147" s="23" t="str">
        <f>IF(OR(E6147="",E6147="!!!"),"",IF(NOT(ISNA(VLOOKUP(E6147,E$1:E6146,1,FALSE()))),"OLD",IF(AND(E6147&lt;&gt;"",E6147&lt;&gt;"!!!"),"NEW","")))</f>
        <v> </v>
      </c>
      <c r="G6147" s="24" t="str">
        <f>IF(OR(E6147="",E6147="!!!"),"",IF(OR(J6147=0,AND(J6147=1,K6147=1),AND(J6147=1,I6147="SBJ"),AND(J6147=1,I6147=0)),"?IN_FOCUS",IF(J6147&lt;=2,"?ACTIVATED",IF(J6147&lt;&gt;"","?FAMILIAR",IF(F6147="NEW",IF(ISNA(VLOOKUP(E6147,#REF!,1,FALSE())),"?TYPE_IDENTIFIABLE","?REFERENTIAL"),"_")))))</f>
        <v> </v>
      </c>
      <c r="H6147" s="25" t="str">
        <f>IF(J6147&lt;&gt;1,"",IF(I6147="SBJ","CB","?"))</f>
        <v> </v>
      </c>
      <c r="I6147" s="26" t="str">
        <f>IF(OR(E6147="",E6147="!!!",F6147="NEW"),"",INDEX(B6146:B$2,-1+SUMPRODUCT(MAX(ROW(E6146:E$2)*(E6147=E6146:E$2)))))</f>
        <v> </v>
      </c>
      <c r="J6147" s="26" t="str">
        <f>IF(OR(E6147="",E6147="!!!",F6147="NEW"),"",COUNTBLANK(OFFSET(A$1,,,SUMPRODUCT(MAX(ROW(E$2:E6147)*(E6147=E$2:E6147)))))-COUNTBLANK(OFFSET(A$1,,,SUMPRODUCT(MAX(ROW(E$1:E6146)*(E2=E$1:E6146))))))</f>
        <v> </v>
      </c>
      <c r="K6147" s="26" t="str">
        <f>IF(OR(E6147="",E6147="!!!",F6147="NEW"),"",INDEX(J$1:J6146,SUMPRODUCT(MAX(ROW(E$1:E6146)*(E6147=E$1:E6146)))))</f>
        <v> </v>
      </c>
      <c r="L6147" s="27"/>
    </row>
    <row r="6148" spans="1:12">
      <c r="A6148" s="20" t="s">
        <v>1022</v>
      </c>
      <c r="E6148" s="22">
        <f>IF(D6148="?OLD","!!!","")</f>
        <v/>
      </c>
      <c r="F6148" s="23" t="str">
        <f>IF(OR(E6148="",E6148="!!!"),"",IF(NOT(ISNA(VLOOKUP(E6148,E$1:E6147,1,FALSE()))),"OLD",IF(AND(E6148&lt;&gt;"",E6148&lt;&gt;"!!!"),"NEW","")))</f>
        <v> </v>
      </c>
      <c r="G6148" s="24" t="str">
        <f>IF(OR(E6148="",E6148="!!!"),"",IF(OR(J6148=0,AND(J6148=1,K6148=1),AND(J6148=1,I6148="SBJ"),AND(J6148=1,I6148=0)),"?IN_FOCUS",IF(J6148&lt;=2,"?ACTIVATED",IF(J6148&lt;&gt;"","?FAMILIAR",IF(F6148="NEW",IF(ISNA(VLOOKUP(E6148,#REF!,1,FALSE())),"?TYPE_IDENTIFIABLE","?REFERENTIAL"),"_")))))</f>
        <v> </v>
      </c>
      <c r="H6148" s="25" t="str">
        <f>IF(J6148&lt;&gt;1,"",IF(I6148="SBJ","CB","?"))</f>
        <v> </v>
      </c>
      <c r="I6148" s="26" t="str">
        <f>IF(OR(E6148="",E6148="!!!",F6148="NEW"),"",INDEX(B6147:B$2,-1+SUMPRODUCT(MAX(ROW(E6147:E$2)*(E6148=E6147:E$2)))))</f>
        <v> </v>
      </c>
      <c r="J6148" s="26" t="str">
        <f>IF(OR(E6148="",E6148="!!!",F6148="NEW"),"",COUNTBLANK(OFFSET(A$1,,,SUMPRODUCT(MAX(ROW(E$2:E6148)*(E6148=E$2:E6148)))))-COUNTBLANK(OFFSET(A$1,,,SUMPRODUCT(MAX(ROW(E$1:E6147)*(E2=E$1:E6147))))))</f>
        <v> </v>
      </c>
      <c r="K6148" s="26" t="str">
        <f>IF(OR(E6148="",E6148="!!!",F6148="NEW"),"",INDEX(J$1:J6147,SUMPRODUCT(MAX(ROW(E$1:E6147)*(E6148=E$1:E6147)))))</f>
        <v> </v>
      </c>
      <c r="L6148" s="27"/>
    </row>
    <row r="6149" spans="1:12">
      <c r="A6149" s="20" t="s">
        <v>1008</v>
      </c>
      <c r="E6149" s="22">
        <f>IF(D6149="?OLD","!!!","")</f>
        <v/>
      </c>
      <c r="F6149" s="23" t="str">
        <f>IF(OR(E6149="",E6149="!!!"),"",IF(NOT(ISNA(VLOOKUP(E6149,E$1:E6148,1,FALSE()))),"OLD",IF(AND(E6149&lt;&gt;"",E6149&lt;&gt;"!!!"),"NEW","")))</f>
        <v> </v>
      </c>
      <c r="G6149" s="24" t="str">
        <f>IF(OR(E6149="",E6149="!!!"),"",IF(OR(J6149=0,AND(J6149=1,K6149=1),AND(J6149=1,I6149="SBJ"),AND(J6149=1,I6149=0)),"?IN_FOCUS",IF(J6149&lt;=2,"?ACTIVATED",IF(J6149&lt;&gt;"","?FAMILIAR",IF(F6149="NEW",IF(ISNA(VLOOKUP(E6149,#REF!,1,FALSE())),"?TYPE_IDENTIFIABLE","?REFERENTIAL"),"_")))))</f>
        <v> </v>
      </c>
      <c r="H6149" s="25" t="str">
        <f>IF(J6149&lt;&gt;1,"",IF(I6149="SBJ","CB","?"))</f>
        <v> </v>
      </c>
      <c r="I6149" s="26" t="str">
        <f>IF(OR(E6149="",E6149="!!!",F6149="NEW"),"",INDEX(B6148:B$2,-1+SUMPRODUCT(MAX(ROW(E6148:E$2)*(E6149=E6148:E$2)))))</f>
        <v> </v>
      </c>
      <c r="J6149" s="26" t="str">
        <f>IF(OR(E6149="",E6149="!!!",F6149="NEW"),"",COUNTBLANK(OFFSET(A$1,,,SUMPRODUCT(MAX(ROW(E$2:E6149)*(E6149=E$2:E6149)))))-COUNTBLANK(OFFSET(A$1,,,SUMPRODUCT(MAX(ROW(E$1:E6148)*(E2=E$1:E6148))))))</f>
        <v> </v>
      </c>
      <c r="K6149" s="26" t="str">
        <f>IF(OR(E6149="",E6149="!!!",F6149="NEW"),"",INDEX(J$1:J6148,SUMPRODUCT(MAX(ROW(E$1:E6148)*(E6149=E$1:E6148)))))</f>
        <v> </v>
      </c>
      <c r="L6149" s="27"/>
    </row>
    <row r="6150" spans="1:12">
      <c r="A6150" s="20" t="s">
        <v>2546</v>
      </c>
      <c r="E6150" s="22">
        <f>IF(D6150="?OLD","!!!","")</f>
        <v/>
      </c>
      <c r="F6150" s="23" t="str">
        <f>IF(OR(E6150="",E6150="!!!"),"",IF(NOT(ISNA(VLOOKUP(E6150,E$1:E6149,1,FALSE()))),"OLD",IF(AND(E6150&lt;&gt;"",E6150&lt;&gt;"!!!"),"NEW","")))</f>
        <v> </v>
      </c>
      <c r="G6150" s="24" t="str">
        <f>IF(OR(E6150="",E6150="!!!"),"",IF(OR(J6150=0,AND(J6150=1,K6150=1),AND(J6150=1,I6150="SBJ"),AND(J6150=1,I6150=0)),"?IN_FOCUS",IF(J6150&lt;=2,"?ACTIVATED",IF(J6150&lt;&gt;"","?FAMILIAR",IF(F6150="NEW",IF(ISNA(VLOOKUP(E6150,#REF!,1,FALSE())),"?TYPE_IDENTIFIABLE","?REFERENTIAL"),"_")))))</f>
        <v> </v>
      </c>
      <c r="H6150" s="25" t="str">
        <f>IF(J6150&lt;&gt;1,"",IF(I6150="SBJ","CB","?"))</f>
        <v> </v>
      </c>
      <c r="I6150" s="26" t="str">
        <f>IF(OR(E6150="",E6150="!!!",F6150="NEW"),"",INDEX(B6149:B$2,-1+SUMPRODUCT(MAX(ROW(E6149:E$2)*(E6150=E6149:E$2)))))</f>
        <v> </v>
      </c>
      <c r="J6150" s="26" t="str">
        <f>IF(OR(E6150="",E6150="!!!",F6150="NEW"),"",COUNTBLANK(OFFSET(A$1,,,SUMPRODUCT(MAX(ROW(E$2:E6150)*(E6150=E$2:E6150)))))-COUNTBLANK(OFFSET(A$1,,,SUMPRODUCT(MAX(ROW(E$1:E6149)*(E2=E$1:E6149))))))</f>
        <v> </v>
      </c>
      <c r="K6150" s="26" t="str">
        <f>IF(OR(E6150="",E6150="!!!",F6150="NEW"),"",INDEX(J$1:J6149,SUMPRODUCT(MAX(ROW(E$1:E6149)*(E6150=E$1:E6149)))))</f>
        <v> </v>
      </c>
      <c r="L6150" s="27"/>
    </row>
    <row r="6151" spans="1:12">
      <c r="A6151" s="20" t="s">
        <v>1008</v>
      </c>
      <c r="E6151" s="22">
        <f>IF(D6151="?OLD","!!!","")</f>
        <v/>
      </c>
      <c r="F6151" s="23" t="str">
        <f>IF(OR(E6151="",E6151="!!!"),"",IF(NOT(ISNA(VLOOKUP(E6151,E$1:E6150,1,FALSE()))),"OLD",IF(AND(E6151&lt;&gt;"",E6151&lt;&gt;"!!!"),"NEW","")))</f>
        <v> </v>
      </c>
      <c r="G6151" s="24" t="str">
        <f>IF(OR(E6151="",E6151="!!!"),"",IF(OR(J6151=0,AND(J6151=1,K6151=1),AND(J6151=1,I6151="SBJ"),AND(J6151=1,I6151=0)),"?IN_FOCUS",IF(J6151&lt;=2,"?ACTIVATED",IF(J6151&lt;&gt;"","?FAMILIAR",IF(F6151="NEW",IF(ISNA(VLOOKUP(E6151,#REF!,1,FALSE())),"?TYPE_IDENTIFIABLE","?REFERENTIAL"),"_")))))</f>
        <v> </v>
      </c>
      <c r="H6151" s="25" t="str">
        <f>IF(J6151&lt;&gt;1,"",IF(I6151="SBJ","CB","?"))</f>
        <v> </v>
      </c>
      <c r="I6151" s="26" t="str">
        <f>IF(OR(E6151="",E6151="!!!",F6151="NEW"),"",INDEX(B6150:B$2,-1+SUMPRODUCT(MAX(ROW(E6150:E$2)*(E6151=E6150:E$2)))))</f>
        <v> </v>
      </c>
      <c r="J6151" s="26" t="str">
        <f>IF(OR(E6151="",E6151="!!!",F6151="NEW"),"",COUNTBLANK(OFFSET(A$1,,,SUMPRODUCT(MAX(ROW(E$2:E6151)*(E6151=E$2:E6151)))))-COUNTBLANK(OFFSET(A$1,,,SUMPRODUCT(MAX(ROW(E$1:E6150)*(E2=E$1:E6150))))))</f>
        <v> </v>
      </c>
      <c r="K6151" s="26" t="str">
        <f>IF(OR(E6151="",E6151="!!!",F6151="NEW"),"",INDEX(J$1:J6150,SUMPRODUCT(MAX(ROW(E$1:E6150)*(E6151=E$1:E6150)))))</f>
        <v> </v>
      </c>
      <c r="L6151" s="27"/>
    </row>
    <row r="6152" spans="1:12">
      <c r="A6152" s="20" t="s">
        <v>1060</v>
      </c>
      <c r="E6152" s="22">
        <f>IF(D6152="?OLD","!!!","")</f>
        <v/>
      </c>
      <c r="F6152" s="23" t="str">
        <f>IF(OR(E6152="",E6152="!!!"),"",IF(NOT(ISNA(VLOOKUP(E6152,E$1:E6151,1,FALSE()))),"OLD",IF(AND(E6152&lt;&gt;"",E6152&lt;&gt;"!!!"),"NEW","")))</f>
        <v> </v>
      </c>
      <c r="G6152" s="24" t="str">
        <f>IF(OR(E6152="",E6152="!!!"),"",IF(OR(J6152=0,AND(J6152=1,K6152=1),AND(J6152=1,I6152="SBJ"),AND(J6152=1,I6152=0)),"?IN_FOCUS",IF(J6152&lt;=2,"?ACTIVATED",IF(J6152&lt;&gt;"","?FAMILIAR",IF(F6152="NEW",IF(ISNA(VLOOKUP(E6152,#REF!,1,FALSE())),"?TYPE_IDENTIFIABLE","?REFERENTIAL"),"_")))))</f>
        <v> </v>
      </c>
      <c r="H6152" s="25" t="str">
        <f>IF(J6152&lt;&gt;1,"",IF(I6152="SBJ","CB","?"))</f>
        <v> </v>
      </c>
      <c r="I6152" s="26" t="str">
        <f>IF(OR(E6152="",E6152="!!!",F6152="NEW"),"",INDEX(B6151:B$2,-1+SUMPRODUCT(MAX(ROW(E6151:E$2)*(E6152=E6151:E$2)))))</f>
        <v> </v>
      </c>
      <c r="J6152" s="26" t="str">
        <f>IF(OR(E6152="",E6152="!!!",F6152="NEW"),"",COUNTBLANK(OFFSET(A$1,,,SUMPRODUCT(MAX(ROW(E$2:E6152)*(E6152=E$2:E6152)))))-COUNTBLANK(OFFSET(A$1,,,SUMPRODUCT(MAX(ROW(E$1:E6151)*(E2=E$1:E6151))))))</f>
        <v> </v>
      </c>
      <c r="K6152" s="26" t="str">
        <f>IF(OR(E6152="",E6152="!!!",F6152="NEW"),"",INDEX(J$1:J6151,SUMPRODUCT(MAX(ROW(E$1:E6151)*(E6152=E$1:E6151)))))</f>
        <v> </v>
      </c>
      <c r="L6152" s="27"/>
    </row>
    <row r="6153" spans="1:12">
      <c r="A6153" s="20" t="s">
        <v>2547</v>
      </c>
      <c r="B6153" s="21" t="s">
        <v>1001</v>
      </c>
      <c r="C6153" s="21" t="s">
        <v>1006</v>
      </c>
      <c r="E6153" s="22">
        <f>IF(D6153="?OLD","!!!","")</f>
        <v/>
      </c>
      <c r="F6153" s="23" t="str">
        <f>IF(OR(E6153="",E6153="!!!"),"",IF(NOT(ISNA(VLOOKUP(E6153,E$1:E6152,1,FALSE()))),"OLD",IF(AND(E6153&lt;&gt;"",E6153&lt;&gt;"!!!"),"NEW","")))</f>
        <v> </v>
      </c>
      <c r="G6153" s="24" t="str">
        <f>IF(OR(E6153="",E6153="!!!"),"",IF(OR(J6153=0,AND(J6153=1,K6153=1),AND(J6153=1,I6153="SBJ"),AND(J6153=1,I6153=0)),"?IN_FOCUS",IF(J6153&lt;=2,"?ACTIVATED",IF(J6153&lt;&gt;"","?FAMILIAR",IF(F6153="NEW",IF(ISNA(VLOOKUP(E6153,#REF!,1,FALSE())),"?TYPE_IDENTIFIABLE","?REFERENTIAL"),"_")))))</f>
        <v> </v>
      </c>
      <c r="H6153" s="25" t="str">
        <f>IF(J6153&lt;&gt;1,"",IF(I6153="SBJ","CB","?"))</f>
        <v> </v>
      </c>
      <c r="I6153" s="26" t="str">
        <f>IF(OR(E6153="",E6153="!!!",F6153="NEW"),"",INDEX(B6152:B$2,-1+SUMPRODUCT(MAX(ROW(E6152:E$2)*(E6153=E6152:E$2)))))</f>
        <v> </v>
      </c>
      <c r="J6153" s="26" t="str">
        <f>IF(OR(E6153="",E6153="!!!",F6153="NEW"),"",COUNTBLANK(OFFSET(A$1,,,SUMPRODUCT(MAX(ROW(E$2:E6153)*(E6153=E$2:E6153)))))-COUNTBLANK(OFFSET(A$1,,,SUMPRODUCT(MAX(ROW(E$1:E6152)*(E2=E$1:E6152))))))</f>
        <v> </v>
      </c>
      <c r="K6153" s="26" t="str">
        <f>IF(OR(E6153="",E6153="!!!",F6153="NEW"),"",INDEX(J$1:J6152,SUMPRODUCT(MAX(ROW(E$1:E6152)*(E6153=E$1:E6152)))))</f>
        <v> </v>
      </c>
      <c r="L6153" s="27"/>
    </row>
    <row r="6154" spans="1:12">
      <c r="A6154" s="20" t="s">
        <v>1049</v>
      </c>
      <c r="E6154" s="22">
        <f>IF(D6154="?OLD","!!!","")</f>
        <v/>
      </c>
      <c r="F6154" s="23" t="str">
        <f>IF(OR(E6154="",E6154="!!!"),"",IF(NOT(ISNA(VLOOKUP(E6154,E$1:E6153,1,FALSE()))),"OLD",IF(AND(E6154&lt;&gt;"",E6154&lt;&gt;"!!!"),"NEW","")))</f>
        <v> </v>
      </c>
      <c r="G6154" s="24" t="str">
        <f>IF(OR(E6154="",E6154="!!!"),"",IF(OR(J6154=0,AND(J6154=1,K6154=1),AND(J6154=1,I6154="SBJ"),AND(J6154=1,I6154=0)),"?IN_FOCUS",IF(J6154&lt;=2,"?ACTIVATED",IF(J6154&lt;&gt;"","?FAMILIAR",IF(F6154="NEW",IF(ISNA(VLOOKUP(E6154,#REF!,1,FALSE())),"?TYPE_IDENTIFIABLE","?REFERENTIAL"),"_")))))</f>
        <v> </v>
      </c>
      <c r="H6154" s="25" t="str">
        <f>IF(J6154&lt;&gt;1,"",IF(I6154="SBJ","CB","?"))</f>
        <v> </v>
      </c>
      <c r="I6154" s="26" t="str">
        <f>IF(OR(E6154="",E6154="!!!",F6154="NEW"),"",INDEX(B6153:B$2,-1+SUMPRODUCT(MAX(ROW(E6153:E$2)*(E6154=E6153:E$2)))))</f>
        <v> </v>
      </c>
      <c r="J6154" s="26" t="str">
        <f>IF(OR(E6154="",E6154="!!!",F6154="NEW"),"",COUNTBLANK(OFFSET(A$1,,,SUMPRODUCT(MAX(ROW(E$2:E6154)*(E6154=E$2:E6154)))))-COUNTBLANK(OFFSET(A$1,,,SUMPRODUCT(MAX(ROW(E$1:E6153)*(E2=E$1:E6153))))))</f>
        <v> </v>
      </c>
      <c r="K6154" s="26" t="str">
        <f>IF(OR(E6154="",E6154="!!!",F6154="NEW"),"",INDEX(J$1:J6153,SUMPRODUCT(MAX(ROW(E$1:E6153)*(E6154=E$1:E6153)))))</f>
        <v> </v>
      </c>
      <c r="L6154" s="27"/>
    </row>
    <row r="6155" spans="1:12">
      <c r="A6155" s="20" t="s">
        <v>2548</v>
      </c>
      <c r="E6155" s="22">
        <f>IF(D6155="?OLD","!!!","")</f>
        <v/>
      </c>
      <c r="F6155" s="23" t="str">
        <f>IF(OR(E6155="",E6155="!!!"),"",IF(NOT(ISNA(VLOOKUP(E6155,E$1:E6154,1,FALSE()))),"OLD",IF(AND(E6155&lt;&gt;"",E6155&lt;&gt;"!!!"),"NEW","")))</f>
        <v> </v>
      </c>
      <c r="G6155" s="24" t="str">
        <f>IF(OR(E6155="",E6155="!!!"),"",IF(OR(J6155=0,AND(J6155=1,K6155=1),AND(J6155=1,I6155="SBJ"),AND(J6155=1,I6155=0)),"?IN_FOCUS",IF(J6155&lt;=2,"?ACTIVATED",IF(J6155&lt;&gt;"","?FAMILIAR",IF(F6155="NEW",IF(ISNA(VLOOKUP(E6155,#REF!,1,FALSE())),"?TYPE_IDENTIFIABLE","?REFERENTIAL"),"_")))))</f>
        <v> </v>
      </c>
      <c r="H6155" s="25" t="str">
        <f>IF(J6155&lt;&gt;1,"",IF(I6155="SBJ","CB","?"))</f>
        <v> </v>
      </c>
      <c r="I6155" s="26" t="str">
        <f>IF(OR(E6155="",E6155="!!!",F6155="NEW"),"",INDEX(B6154:B$2,-1+SUMPRODUCT(MAX(ROW(E6154:E$2)*(E6155=E6154:E$2)))))</f>
        <v> </v>
      </c>
      <c r="J6155" s="26" t="str">
        <f>IF(OR(E6155="",E6155="!!!",F6155="NEW"),"",COUNTBLANK(OFFSET(A$1,,,SUMPRODUCT(MAX(ROW(E$2:E6155)*(E6155=E$2:E6155)))))-COUNTBLANK(OFFSET(A$1,,,SUMPRODUCT(MAX(ROW(E$1:E6154)*(E2=E$1:E6154))))))</f>
        <v> </v>
      </c>
      <c r="K6155" s="26" t="str">
        <f>IF(OR(E6155="",E6155="!!!",F6155="NEW"),"",INDEX(J$1:J6154,SUMPRODUCT(MAX(ROW(E$1:E6154)*(E6155=E$1:E6154)))))</f>
        <v> </v>
      </c>
      <c r="L6155" s="27"/>
    </row>
    <row r="6156" spans="1:12">
      <c r="A6156" s="20" t="s">
        <v>1083</v>
      </c>
      <c r="E6156" s="22">
        <f>IF(D6156="?OLD","!!!","")</f>
        <v/>
      </c>
      <c r="F6156" s="23" t="str">
        <f>IF(OR(E6156="",E6156="!!!"),"",IF(NOT(ISNA(VLOOKUP(E6156,E$1:E6155,1,FALSE()))),"OLD",IF(AND(E6156&lt;&gt;"",E6156&lt;&gt;"!!!"),"NEW","")))</f>
        <v> </v>
      </c>
      <c r="G6156" s="24" t="str">
        <f>IF(OR(E6156="",E6156="!!!"),"",IF(OR(J6156=0,AND(J6156=1,K6156=1),AND(J6156=1,I6156="SBJ"),AND(J6156=1,I6156=0)),"?IN_FOCUS",IF(J6156&lt;=2,"?ACTIVATED",IF(J6156&lt;&gt;"","?FAMILIAR",IF(F6156="NEW",IF(ISNA(VLOOKUP(E6156,#REF!,1,FALSE())),"?TYPE_IDENTIFIABLE","?REFERENTIAL"),"_")))))</f>
        <v> </v>
      </c>
      <c r="H6156" s="25" t="str">
        <f>IF(J6156&lt;&gt;1,"",IF(I6156="SBJ","CB","?"))</f>
        <v> </v>
      </c>
      <c r="I6156" s="26" t="str">
        <f>IF(OR(E6156="",E6156="!!!",F6156="NEW"),"",INDEX(B6155:B$2,-1+SUMPRODUCT(MAX(ROW(E6155:E$2)*(E6156=E6155:E$2)))))</f>
        <v> </v>
      </c>
      <c r="J6156" s="26" t="str">
        <f>IF(OR(E6156="",E6156="!!!",F6156="NEW"),"",COUNTBLANK(OFFSET(A$1,,,SUMPRODUCT(MAX(ROW(E$2:E6156)*(E6156=E$2:E6156)))))-COUNTBLANK(OFFSET(A$1,,,SUMPRODUCT(MAX(ROW(E$1:E6155)*(E2=E$1:E6155))))))</f>
        <v> </v>
      </c>
      <c r="K6156" s="26" t="str">
        <f>IF(OR(E6156="",E6156="!!!",F6156="NEW"),"",INDEX(J$1:J6155,SUMPRODUCT(MAX(ROW(E$1:E6155)*(E6156=E$1:E6155)))))</f>
        <v> </v>
      </c>
      <c r="L6156" s="27"/>
    </row>
    <row r="6157" spans="1:12">
      <c r="A6157" s="20" t="s">
        <v>1084</v>
      </c>
      <c r="E6157" s="22">
        <f>IF(D6157="?OLD","!!!","")</f>
        <v/>
      </c>
      <c r="F6157" s="23" t="str">
        <f>IF(OR(E6157="",E6157="!!!"),"",IF(NOT(ISNA(VLOOKUP(E6157,E$1:E6156,1,FALSE()))),"OLD",IF(AND(E6157&lt;&gt;"",E6157&lt;&gt;"!!!"),"NEW","")))</f>
        <v> </v>
      </c>
      <c r="G6157" s="24" t="str">
        <f>IF(OR(E6157="",E6157="!!!"),"",IF(OR(J6157=0,AND(J6157=1,K6157=1),AND(J6157=1,I6157="SBJ"),AND(J6157=1,I6157=0)),"?IN_FOCUS",IF(J6157&lt;=2,"?ACTIVATED",IF(J6157&lt;&gt;"","?FAMILIAR",IF(F6157="NEW",IF(ISNA(VLOOKUP(E6157,#REF!,1,FALSE())),"?TYPE_IDENTIFIABLE","?REFERENTIAL"),"_")))))</f>
        <v> </v>
      </c>
      <c r="H6157" s="25" t="str">
        <f>IF(J6157&lt;&gt;1,"",IF(I6157="SBJ","CB","?"))</f>
        <v> </v>
      </c>
      <c r="I6157" s="26" t="str">
        <f>IF(OR(E6157="",E6157="!!!",F6157="NEW"),"",INDEX(B6156:B$2,-1+SUMPRODUCT(MAX(ROW(E6156:E$2)*(E6157=E6156:E$2)))))</f>
        <v> </v>
      </c>
      <c r="J6157" s="26" t="str">
        <f>IF(OR(E6157="",E6157="!!!",F6157="NEW"),"",COUNTBLANK(OFFSET(A$1,,,SUMPRODUCT(MAX(ROW(E$2:E6157)*(E6157=E$2:E6157)))))-COUNTBLANK(OFFSET(A$1,,,SUMPRODUCT(MAX(ROW(E$1:E6156)*(E2=E$1:E6156))))))</f>
        <v> </v>
      </c>
      <c r="K6157" s="26" t="str">
        <f>IF(OR(E6157="",E6157="!!!",F6157="NEW"),"",INDEX(J$1:J6156,SUMPRODUCT(MAX(ROW(E$1:E6156)*(E6157=E$1:E6156)))))</f>
        <v> </v>
      </c>
      <c r="L6157" s="27"/>
    </row>
    <row r="6158" spans="1:12">
      <c r="A6158" s="20" t="s">
        <v>1154</v>
      </c>
      <c r="E6158" s="22">
        <f>IF(D6158="?OLD","!!!","")</f>
        <v/>
      </c>
      <c r="F6158" s="23" t="str">
        <f>IF(OR(E6158="",E6158="!!!"),"",IF(NOT(ISNA(VLOOKUP(E6158,E$1:E6157,1,FALSE()))),"OLD",IF(AND(E6158&lt;&gt;"",E6158&lt;&gt;"!!!"),"NEW","")))</f>
        <v> </v>
      </c>
      <c r="G6158" s="24" t="str">
        <f>IF(OR(E6158="",E6158="!!!"),"",IF(OR(J6158=0,AND(J6158=1,K6158=1),AND(J6158=1,I6158="SBJ"),AND(J6158=1,I6158=0)),"?IN_FOCUS",IF(J6158&lt;=2,"?ACTIVATED",IF(J6158&lt;&gt;"","?FAMILIAR",IF(F6158="NEW",IF(ISNA(VLOOKUP(E6158,#REF!,1,FALSE())),"?TYPE_IDENTIFIABLE","?REFERENTIAL"),"_")))))</f>
        <v> </v>
      </c>
      <c r="H6158" s="25" t="str">
        <f>IF(J6158&lt;&gt;1,"",IF(I6158="SBJ","CB","?"))</f>
        <v> </v>
      </c>
      <c r="I6158" s="26" t="str">
        <f>IF(OR(E6158="",E6158="!!!",F6158="NEW"),"",INDEX(B6157:B$2,-1+SUMPRODUCT(MAX(ROW(E6157:E$2)*(E6158=E6157:E$2)))))</f>
        <v> </v>
      </c>
      <c r="J6158" s="26" t="str">
        <f>IF(OR(E6158="",E6158="!!!",F6158="NEW"),"",COUNTBLANK(OFFSET(A$1,,,SUMPRODUCT(MAX(ROW(E$2:E6158)*(E6158=E$2:E6158)))))-COUNTBLANK(OFFSET(A$1,,,SUMPRODUCT(MAX(ROW(E$1:E6157)*(E2=E$1:E6157))))))</f>
        <v> </v>
      </c>
      <c r="K6158" s="26" t="str">
        <f>IF(OR(E6158="",E6158="!!!",F6158="NEW"),"",INDEX(J$1:J6157,SUMPRODUCT(MAX(ROW(E$1:E6157)*(E6158=E$1:E6157)))))</f>
        <v> </v>
      </c>
      <c r="L6158" s="27"/>
    </row>
    <row r="6159" spans="1:12">
      <c r="A6159" s="20" t="s">
        <v>1190</v>
      </c>
      <c r="E6159" s="22">
        <f>IF(D6159="?OLD","!!!","")</f>
        <v/>
      </c>
      <c r="F6159" s="23" t="str">
        <f>IF(OR(E6159="",E6159="!!!"),"",IF(NOT(ISNA(VLOOKUP(E6159,E$1:E6158,1,FALSE()))),"OLD",IF(AND(E6159&lt;&gt;"",E6159&lt;&gt;"!!!"),"NEW","")))</f>
        <v> </v>
      </c>
      <c r="G6159" s="24" t="str">
        <f>IF(OR(E6159="",E6159="!!!"),"",IF(OR(J6159=0,AND(J6159=1,K6159=1),AND(J6159=1,I6159="SBJ"),AND(J6159=1,I6159=0)),"?IN_FOCUS",IF(J6159&lt;=2,"?ACTIVATED",IF(J6159&lt;&gt;"","?FAMILIAR",IF(F6159="NEW",IF(ISNA(VLOOKUP(E6159,#REF!,1,FALSE())),"?TYPE_IDENTIFIABLE","?REFERENTIAL"),"_")))))</f>
        <v> </v>
      </c>
      <c r="H6159" s="25" t="str">
        <f>IF(J6159&lt;&gt;1,"",IF(I6159="SBJ","CB","?"))</f>
        <v> </v>
      </c>
      <c r="I6159" s="26" t="str">
        <f>IF(OR(E6159="",E6159="!!!",F6159="NEW"),"",INDEX(B6158:B$2,-1+SUMPRODUCT(MAX(ROW(E6158:E$2)*(E6159=E6158:E$2)))))</f>
        <v> </v>
      </c>
      <c r="J6159" s="26" t="str">
        <f>IF(OR(E6159="",E6159="!!!",F6159="NEW"),"",COUNTBLANK(OFFSET(A$1,,,SUMPRODUCT(MAX(ROW(E$2:E6159)*(E6159=E$2:E6159)))))-COUNTBLANK(OFFSET(A$1,,,SUMPRODUCT(MAX(ROW(E$1:E6158)*(E2=E$1:E6158))))))</f>
        <v> </v>
      </c>
      <c r="K6159" s="26" t="str">
        <f>IF(OR(E6159="",E6159="!!!",F6159="NEW"),"",INDEX(J$1:J6158,SUMPRODUCT(MAX(ROW(E$1:E6158)*(E6159=E$1:E6158)))))</f>
        <v> </v>
      </c>
      <c r="L6159" s="27"/>
    </row>
    <row r="6160" spans="1:12">
      <c r="A6160" s="20" t="s">
        <v>1057</v>
      </c>
      <c r="E6160" s="22">
        <f>IF(D6160="?OLD","!!!","")</f>
        <v/>
      </c>
      <c r="F6160" s="23" t="str">
        <f>IF(OR(E6160="",E6160="!!!"),"",IF(NOT(ISNA(VLOOKUP(E6160,E$1:E6159,1,FALSE()))),"OLD",IF(AND(E6160&lt;&gt;"",E6160&lt;&gt;"!!!"),"NEW","")))</f>
        <v> </v>
      </c>
      <c r="G6160" s="24" t="str">
        <f>IF(OR(E6160="",E6160="!!!"),"",IF(OR(J6160=0,AND(J6160=1,K6160=1),AND(J6160=1,I6160="SBJ"),AND(J6160=1,I6160=0)),"?IN_FOCUS",IF(J6160&lt;=2,"?ACTIVATED",IF(J6160&lt;&gt;"","?FAMILIAR",IF(F6160="NEW",IF(ISNA(VLOOKUP(E6160,#REF!,1,FALSE())),"?TYPE_IDENTIFIABLE","?REFERENTIAL"),"_")))))</f>
        <v> </v>
      </c>
      <c r="H6160" s="25" t="str">
        <f>IF(J6160&lt;&gt;1,"",IF(I6160="SBJ","CB","?"))</f>
        <v> </v>
      </c>
      <c r="I6160" s="26" t="str">
        <f>IF(OR(E6160="",E6160="!!!",F6160="NEW"),"",INDEX(B6159:B$2,-1+SUMPRODUCT(MAX(ROW(E6159:E$2)*(E6160=E6159:E$2)))))</f>
        <v> </v>
      </c>
      <c r="J6160" s="26" t="str">
        <f>IF(OR(E6160="",E6160="!!!",F6160="NEW"),"",COUNTBLANK(OFFSET(A$1,,,SUMPRODUCT(MAX(ROW(E$2:E6160)*(E6160=E$2:E6160)))))-COUNTBLANK(OFFSET(A$1,,,SUMPRODUCT(MAX(ROW(E$1:E6159)*(E2=E$1:E6159))))))</f>
        <v> </v>
      </c>
      <c r="K6160" s="26" t="str">
        <f>IF(OR(E6160="",E6160="!!!",F6160="NEW"),"",INDEX(J$1:J6159,SUMPRODUCT(MAX(ROW(E$1:E6159)*(E6160=E$1:E6159)))))</f>
        <v> </v>
      </c>
      <c r="L6160" s="27"/>
    </row>
    <row r="6161" spans="1:12">
      <c r="A6161" s="20" t="s">
        <v>1029</v>
      </c>
      <c r="E6161" s="22">
        <f>IF(D6161="?OLD","!!!","")</f>
        <v/>
      </c>
      <c r="F6161" s="23" t="str">
        <f>IF(OR(E6161="",E6161="!!!"),"",IF(NOT(ISNA(VLOOKUP(E6161,E$1:E6160,1,FALSE()))),"OLD",IF(AND(E6161&lt;&gt;"",E6161&lt;&gt;"!!!"),"NEW","")))</f>
        <v> </v>
      </c>
      <c r="G6161" s="24" t="str">
        <f>IF(OR(E6161="",E6161="!!!"),"",IF(OR(J6161=0,AND(J6161=1,K6161=1),AND(J6161=1,I6161="SBJ"),AND(J6161=1,I6161=0)),"?IN_FOCUS",IF(J6161&lt;=2,"?ACTIVATED",IF(J6161&lt;&gt;"","?FAMILIAR",IF(F6161="NEW",IF(ISNA(VLOOKUP(E6161,#REF!,1,FALSE())),"?TYPE_IDENTIFIABLE","?REFERENTIAL"),"_")))))</f>
        <v> </v>
      </c>
      <c r="H6161" s="25" t="str">
        <f>IF(J6161&lt;&gt;1,"",IF(I6161="SBJ","CB","?"))</f>
        <v> </v>
      </c>
      <c r="I6161" s="26" t="str">
        <f>IF(OR(E6161="",E6161="!!!",F6161="NEW"),"",INDEX(B6160:B$2,-1+SUMPRODUCT(MAX(ROW(E6160:E$2)*(E6161=E6160:E$2)))))</f>
        <v> </v>
      </c>
      <c r="J6161" s="26" t="str">
        <f>IF(OR(E6161="",E6161="!!!",F6161="NEW"),"",COUNTBLANK(OFFSET(A$1,,,SUMPRODUCT(MAX(ROW(E$2:E6161)*(E6161=E$2:E6161)))))-COUNTBLANK(OFFSET(A$1,,,SUMPRODUCT(MAX(ROW(E$1:E6160)*(E2=E$1:E6160))))))</f>
        <v> </v>
      </c>
      <c r="K6161" s="26" t="str">
        <f>IF(OR(E6161="",E6161="!!!",F6161="NEW"),"",INDEX(J$1:J6160,SUMPRODUCT(MAX(ROW(E$1:E6160)*(E6161=E$1:E6160)))))</f>
        <v> </v>
      </c>
      <c r="L6161" s="27"/>
    </row>
    <row r="6162" spans="1:12">
      <c r="A6162" s="20" t="s">
        <v>158</v>
      </c>
      <c r="E6162" s="22">
        <f>IF(D6162="?OLD","!!!","")</f>
        <v/>
      </c>
      <c r="F6162" s="23" t="str">
        <f>IF(OR(E6162="",E6162="!!!"),"",IF(NOT(ISNA(VLOOKUP(E6162,E$1:E6161,1,FALSE()))),"OLD",IF(AND(E6162&lt;&gt;"",E6162&lt;&gt;"!!!"),"NEW","")))</f>
        <v> </v>
      </c>
      <c r="G6162" s="24" t="str">
        <f>IF(OR(E6162="",E6162="!!!"),"",IF(OR(J6162=0,AND(J6162=1,K6162=1),AND(J6162=1,I6162="SBJ"),AND(J6162=1,I6162=0)),"?IN_FOCUS",IF(J6162&lt;=2,"?ACTIVATED",IF(J6162&lt;&gt;"","?FAMILIAR",IF(F6162="NEW",IF(ISNA(VLOOKUP(E6162,#REF!,1,FALSE())),"?TYPE_IDENTIFIABLE","?REFERENTIAL"),"_")))))</f>
        <v> </v>
      </c>
      <c r="H6162" s="25" t="str">
        <f>IF(J6162&lt;&gt;1,"",IF(I6162="SBJ","CB","?"))</f>
        <v> </v>
      </c>
      <c r="I6162" s="26" t="str">
        <f>IF(OR(E6162="",E6162="!!!",F6162="NEW"),"",INDEX(B6161:B$2,-1+SUMPRODUCT(MAX(ROW(E6161:E$2)*(E6162=E6161:E$2)))))</f>
        <v> </v>
      </c>
      <c r="J6162" s="26" t="str">
        <f>IF(OR(E6162="",E6162="!!!",F6162="NEW"),"",COUNTBLANK(OFFSET(A$1,,,SUMPRODUCT(MAX(ROW(E$2:E6162)*(E6162=E$2:E6162)))))-COUNTBLANK(OFFSET(A$1,,,SUMPRODUCT(MAX(ROW(E$1:E6161)*(E2=E$1:E6161))))))</f>
        <v> </v>
      </c>
      <c r="K6162" s="26" t="str">
        <f>IF(OR(E6162="",E6162="!!!",F6162="NEW"),"",INDEX(J$1:J6161,SUMPRODUCT(MAX(ROW(E$1:E6161)*(E6162=E$1:E6161)))))</f>
        <v> </v>
      </c>
      <c r="L6162" s="27"/>
    </row>
    <row r="6163" spans="1:12">
      <c r="A6163" s="20" t="s">
        <v>1011</v>
      </c>
      <c r="E6163" s="22">
        <f>IF(D6163="?OLD","!!!","")</f>
        <v/>
      </c>
      <c r="F6163" s="23" t="str">
        <f>IF(OR(E6163="",E6163="!!!"),"",IF(NOT(ISNA(VLOOKUP(E6163,E$1:E6162,1,FALSE()))),"OLD",IF(AND(E6163&lt;&gt;"",E6163&lt;&gt;"!!!"),"NEW","")))</f>
        <v> </v>
      </c>
      <c r="G6163" s="24" t="str">
        <f>IF(OR(E6163="",E6163="!!!"),"",IF(OR(J6163=0,AND(J6163=1,K6163=1),AND(J6163=1,I6163="SBJ"),AND(J6163=1,I6163=0)),"?IN_FOCUS",IF(J6163&lt;=2,"?ACTIVATED",IF(J6163&lt;&gt;"","?FAMILIAR",IF(F6163="NEW",IF(ISNA(VLOOKUP(E6163,#REF!,1,FALSE())),"?TYPE_IDENTIFIABLE","?REFERENTIAL"),"_")))))</f>
        <v> </v>
      </c>
      <c r="H6163" s="25" t="str">
        <f>IF(J6163&lt;&gt;1,"",IF(I6163="SBJ","CB","?"))</f>
        <v> </v>
      </c>
      <c r="I6163" s="26" t="str">
        <f>IF(OR(E6163="",E6163="!!!",F6163="NEW"),"",INDEX(B6162:B$2,-1+SUMPRODUCT(MAX(ROW(E6162:E$2)*(E6163=E6162:E$2)))))</f>
        <v> </v>
      </c>
      <c r="J6163" s="26" t="str">
        <f>IF(OR(E6163="",E6163="!!!",F6163="NEW"),"",COUNTBLANK(OFFSET(A$1,,,SUMPRODUCT(MAX(ROW(E$2:E6163)*(E6163=E$2:E6163)))))-COUNTBLANK(OFFSET(A$1,,,SUMPRODUCT(MAX(ROW(E$1:E6162)*(E2=E$1:E6162))))))</f>
        <v> </v>
      </c>
      <c r="K6163" s="26" t="str">
        <f>IF(OR(E6163="",E6163="!!!",F6163="NEW"),"",INDEX(J$1:J6162,SUMPRODUCT(MAX(ROW(E$1:E6162)*(E6163=E$1:E6162)))))</f>
        <v> </v>
      </c>
      <c r="L6163" s="27"/>
    </row>
    <row r="6164" spans="1:12">
      <c r="A6164" s="20"/>
    </row>
    <row r="6165" spans="1:12">
      <c r="A6165" s="20" t="s">
        <v>2549</v>
      </c>
    </row>
    <row r="6166" spans="1:12">
      <c r="A6166" s="20" t="s">
        <v>741</v>
      </c>
      <c r="B6166" s="21" t="s">
        <v>1067</v>
      </c>
      <c r="C6166" s="21" t="s">
        <v>1095</v>
      </c>
      <c r="D6166" s="21" t="s">
        <v>997</v>
      </c>
      <c r="E6166" s="22">
        <f>IF(D6166="?OLD","!!!","")</f>
        <v/>
      </c>
      <c r="F6166" s="23" t="str">
        <f>IF(OR(E6166="",E6166="!!!"),"",IF(NOT(ISNA(VLOOKUP(E6166,E$1:E6165,1,FALSE()))),"OLD",IF(AND(E6166&lt;&gt;"",E6166&lt;&gt;"!!!"),"NEW","")))</f>
        <v> </v>
      </c>
      <c r="G6166" s="24" t="str">
        <f>IF(OR(E6166="",E6166="!!!"),"",IF(OR(J6166=0,AND(J6166=1,K6166=1),AND(J6166=1,I6166="SBJ"),AND(J6166=1,I6166=0)),"?IN_FOCUS",IF(J6166&lt;=2,"?ACTIVATED",IF(J6166&lt;&gt;"","?FAMILIAR",IF(F6166="NEW",IF(ISNA(VLOOKUP(E6166,#REF!,1,FALSE())),"?TYPE_IDENTIFIABLE","?REFERENTIAL"),"_")))))</f>
        <v> </v>
      </c>
      <c r="H6166" s="25" t="str">
        <f>IF(J6166&lt;&gt;1,"",IF(I6166="SBJ","CB","?"))</f>
        <v> </v>
      </c>
      <c r="I6166" s="26" t="str">
        <f>IF(OR(E6166="",E6166="!!!",F6166="NEW"),"",INDEX(B6165:B$2,-1+SUMPRODUCT(MAX(ROW(E6165:E$2)*(E6166=E6165:E$2)))))</f>
        <v> </v>
      </c>
      <c r="J6166" s="26" t="str">
        <f>IF(OR(E6166="",E6166="!!!",F6166="NEW"),"",COUNTBLANK(OFFSET(A$1,,,SUMPRODUCT(MAX(ROW(E$2:E6166)*(E6166=E$2:E6166)))))-COUNTBLANK(OFFSET(A$1,,,SUMPRODUCT(MAX(ROW(E$1:E6165)*(E2=E$1:E6165))))))</f>
        <v> </v>
      </c>
      <c r="K6166" s="26" t="str">
        <f>IF(OR(E6166="",E6166="!!!",F6166="NEW"),"",INDEX(J$1:J6165,SUMPRODUCT(MAX(ROW(E$1:E6165)*(E6166=E$1:E6165)))))</f>
        <v> </v>
      </c>
      <c r="L6166" s="27"/>
    </row>
    <row r="6167" spans="1:12">
      <c r="A6167" s="20" t="s">
        <v>1513</v>
      </c>
      <c r="E6167" s="22">
        <f>IF(D6167="?OLD","!!!","")</f>
        <v/>
      </c>
      <c r="F6167" s="23" t="str">
        <f>IF(OR(E6167="",E6167="!!!"),"",IF(NOT(ISNA(VLOOKUP(E6167,E$1:E6166,1,FALSE()))),"OLD",IF(AND(E6167&lt;&gt;"",E6167&lt;&gt;"!!!"),"NEW","")))</f>
        <v> </v>
      </c>
      <c r="G6167" s="24" t="str">
        <f>IF(OR(E6167="",E6167="!!!"),"",IF(OR(J6167=0,AND(J6167=1,K6167=1),AND(J6167=1,I6167="SBJ"),AND(J6167=1,I6167=0)),"?IN_FOCUS",IF(J6167&lt;=2,"?ACTIVATED",IF(J6167&lt;&gt;"","?FAMILIAR",IF(F6167="NEW",IF(ISNA(VLOOKUP(E6167,#REF!,1,FALSE())),"?TYPE_IDENTIFIABLE","?REFERENTIAL"),"_")))))</f>
        <v> </v>
      </c>
      <c r="H6167" s="25" t="str">
        <f>IF(J6167&lt;&gt;1,"",IF(I6167="SBJ","CB","?"))</f>
        <v> </v>
      </c>
      <c r="I6167" s="26" t="str">
        <f>IF(OR(E6167="",E6167="!!!",F6167="NEW"),"",INDEX(B6166:B$2,-1+SUMPRODUCT(MAX(ROW(E6166:E$2)*(E6167=E6166:E$2)))))</f>
        <v> </v>
      </c>
      <c r="J6167" s="26" t="str">
        <f>IF(OR(E6167="",E6167="!!!",F6167="NEW"),"",COUNTBLANK(OFFSET(A$1,,,SUMPRODUCT(MAX(ROW(E$2:E6167)*(E6167=E$2:E6167)))))-COUNTBLANK(OFFSET(A$1,,,SUMPRODUCT(MAX(ROW(E$1:E6166)*(E2=E$1:E6166))))))</f>
        <v> </v>
      </c>
      <c r="K6167" s="26" t="str">
        <f>IF(OR(E6167="",E6167="!!!",F6167="NEW"),"",INDEX(J$1:J6166,SUMPRODUCT(MAX(ROW(E$1:E6166)*(E6167=E$1:E6166)))))</f>
        <v> </v>
      </c>
      <c r="L6167" s="27"/>
    </row>
    <row r="6168" spans="1:12">
      <c r="A6168" s="20" t="s">
        <v>1880</v>
      </c>
      <c r="E6168" s="22">
        <f>IF(D6168="?OLD","!!!","")</f>
        <v/>
      </c>
      <c r="F6168" s="23" t="str">
        <f>IF(OR(E6168="",E6168="!!!"),"",IF(NOT(ISNA(VLOOKUP(E6168,E$1:E6167,1,FALSE()))),"OLD",IF(AND(E6168&lt;&gt;"",E6168&lt;&gt;"!!!"),"NEW","")))</f>
        <v> </v>
      </c>
      <c r="G6168" s="24" t="str">
        <f>IF(OR(E6168="",E6168="!!!"),"",IF(OR(J6168=0,AND(J6168=1,K6168=1),AND(J6168=1,I6168="SBJ"),AND(J6168=1,I6168=0)),"?IN_FOCUS",IF(J6168&lt;=2,"?ACTIVATED",IF(J6168&lt;&gt;"","?FAMILIAR",IF(F6168="NEW",IF(ISNA(VLOOKUP(E6168,#REF!,1,FALSE())),"?TYPE_IDENTIFIABLE","?REFERENTIAL"),"_")))))</f>
        <v> </v>
      </c>
      <c r="H6168" s="25" t="str">
        <f>IF(J6168&lt;&gt;1,"",IF(I6168="SBJ","CB","?"))</f>
        <v> </v>
      </c>
      <c r="I6168" s="26" t="str">
        <f>IF(OR(E6168="",E6168="!!!",F6168="NEW"),"",INDEX(B6167:B$2,-1+SUMPRODUCT(MAX(ROW(E6167:E$2)*(E6168=E6167:E$2)))))</f>
        <v> </v>
      </c>
      <c r="J6168" s="26" t="str">
        <f>IF(OR(E6168="",E6168="!!!",F6168="NEW"),"",COUNTBLANK(OFFSET(A$1,,,SUMPRODUCT(MAX(ROW(E$2:E6168)*(E6168=E$2:E6168)))))-COUNTBLANK(OFFSET(A$1,,,SUMPRODUCT(MAX(ROW(E$1:E6167)*(E2=E$1:E6167))))))</f>
        <v> </v>
      </c>
      <c r="K6168" s="26" t="str">
        <f>IF(OR(E6168="",E6168="!!!",F6168="NEW"),"",INDEX(J$1:J6167,SUMPRODUCT(MAX(ROW(E$1:E6167)*(E6168=E$1:E6167)))))</f>
        <v> </v>
      </c>
      <c r="L6168" s="27"/>
    </row>
    <row r="6169" spans="1:12">
      <c r="A6169" s="20" t="s">
        <v>1190</v>
      </c>
      <c r="E6169" s="22">
        <f>IF(D6169="?OLD","!!!","")</f>
        <v/>
      </c>
      <c r="F6169" s="23" t="str">
        <f>IF(OR(E6169="",E6169="!!!"),"",IF(NOT(ISNA(VLOOKUP(E6169,E$1:E6168,1,FALSE()))),"OLD",IF(AND(E6169&lt;&gt;"",E6169&lt;&gt;"!!!"),"NEW","")))</f>
        <v> </v>
      </c>
      <c r="G6169" s="24" t="str">
        <f>IF(OR(E6169="",E6169="!!!"),"",IF(OR(J6169=0,AND(J6169=1,K6169=1),AND(J6169=1,I6169="SBJ"),AND(J6169=1,I6169=0)),"?IN_FOCUS",IF(J6169&lt;=2,"?ACTIVATED",IF(J6169&lt;&gt;"","?FAMILIAR",IF(F6169="NEW",IF(ISNA(VLOOKUP(E6169,#REF!,1,FALSE())),"?TYPE_IDENTIFIABLE","?REFERENTIAL"),"_")))))</f>
        <v> </v>
      </c>
      <c r="H6169" s="25" t="str">
        <f>IF(J6169&lt;&gt;1,"",IF(I6169="SBJ","CB","?"))</f>
        <v> </v>
      </c>
      <c r="I6169" s="26" t="str">
        <f>IF(OR(E6169="",E6169="!!!",F6169="NEW"),"",INDEX(B6168:B$2,-1+SUMPRODUCT(MAX(ROW(E6168:E$2)*(E6169=E6168:E$2)))))</f>
        <v> </v>
      </c>
      <c r="J6169" s="26" t="str">
        <f>IF(OR(E6169="",E6169="!!!",F6169="NEW"),"",COUNTBLANK(OFFSET(A$1,,,SUMPRODUCT(MAX(ROW(E$2:E6169)*(E6169=E$2:E6169)))))-COUNTBLANK(OFFSET(A$1,,,SUMPRODUCT(MAX(ROW(E$1:E6168)*(E2=E$1:E6168))))))</f>
        <v> </v>
      </c>
      <c r="K6169" s="26" t="str">
        <f>IF(OR(E6169="",E6169="!!!",F6169="NEW"),"",INDEX(J$1:J6168,SUMPRODUCT(MAX(ROW(E$1:E6168)*(E6169=E$1:E6168)))))</f>
        <v> </v>
      </c>
      <c r="L6169" s="27"/>
    </row>
    <row r="6170" spans="1:12">
      <c r="A6170" s="20" t="s">
        <v>1041</v>
      </c>
      <c r="E6170" s="22">
        <f>IF(D6170="?OLD","!!!","")</f>
        <v/>
      </c>
      <c r="F6170" s="23" t="str">
        <f>IF(OR(E6170="",E6170="!!!"),"",IF(NOT(ISNA(VLOOKUP(E6170,E$1:E6169,1,FALSE()))),"OLD",IF(AND(E6170&lt;&gt;"",E6170&lt;&gt;"!!!"),"NEW","")))</f>
        <v> </v>
      </c>
      <c r="G6170" s="24" t="str">
        <f>IF(OR(E6170="",E6170="!!!"),"",IF(OR(J6170=0,AND(J6170=1,K6170=1),AND(J6170=1,I6170="SBJ"),AND(J6170=1,I6170=0)),"?IN_FOCUS",IF(J6170&lt;=2,"?ACTIVATED",IF(J6170&lt;&gt;"","?FAMILIAR",IF(F6170="NEW",IF(ISNA(VLOOKUP(E6170,#REF!,1,FALSE())),"?TYPE_IDENTIFIABLE","?REFERENTIAL"),"_")))))</f>
        <v> </v>
      </c>
      <c r="H6170" s="25" t="str">
        <f>IF(J6170&lt;&gt;1,"",IF(I6170="SBJ","CB","?"))</f>
        <v> </v>
      </c>
      <c r="I6170" s="26" t="str">
        <f>IF(OR(E6170="",E6170="!!!",F6170="NEW"),"",INDEX(B6169:B$2,-1+SUMPRODUCT(MAX(ROW(E6169:E$2)*(E6170=E6169:E$2)))))</f>
        <v> </v>
      </c>
      <c r="J6170" s="26" t="str">
        <f>IF(OR(E6170="",E6170="!!!",F6170="NEW"),"",COUNTBLANK(OFFSET(A$1,,,SUMPRODUCT(MAX(ROW(E$2:E6170)*(E6170=E$2:E6170)))))-COUNTBLANK(OFFSET(A$1,,,SUMPRODUCT(MAX(ROW(E$1:E6169)*(E2=E$1:E6169))))))</f>
        <v> </v>
      </c>
      <c r="K6170" s="26" t="str">
        <f>IF(OR(E6170="",E6170="!!!",F6170="NEW"),"",INDEX(J$1:J6169,SUMPRODUCT(MAX(ROW(E$1:E6169)*(E6170=E$1:E6169)))))</f>
        <v> </v>
      </c>
      <c r="L6170" s="27"/>
    </row>
    <row r="6171" spans="1:12">
      <c r="A6171" s="20" t="s">
        <v>1037</v>
      </c>
      <c r="E6171" s="22">
        <f>IF(D6171="?OLD","!!!","")</f>
        <v/>
      </c>
      <c r="F6171" s="23" t="str">
        <f>IF(OR(E6171="",E6171="!!!"),"",IF(NOT(ISNA(VLOOKUP(E6171,E$1:E6170,1,FALSE()))),"OLD",IF(AND(E6171&lt;&gt;"",E6171&lt;&gt;"!!!"),"NEW","")))</f>
        <v> </v>
      </c>
      <c r="G6171" s="24" t="str">
        <f>IF(OR(E6171="",E6171="!!!"),"",IF(OR(J6171=0,AND(J6171=1,K6171=1),AND(J6171=1,I6171="SBJ"),AND(J6171=1,I6171=0)),"?IN_FOCUS",IF(J6171&lt;=2,"?ACTIVATED",IF(J6171&lt;&gt;"","?FAMILIAR",IF(F6171="NEW",IF(ISNA(VLOOKUP(E6171,#REF!,1,FALSE())),"?TYPE_IDENTIFIABLE","?REFERENTIAL"),"_")))))</f>
        <v> </v>
      </c>
      <c r="H6171" s="25" t="str">
        <f>IF(J6171&lt;&gt;1,"",IF(I6171="SBJ","CB","?"))</f>
        <v> </v>
      </c>
      <c r="I6171" s="26" t="str">
        <f>IF(OR(E6171="",E6171="!!!",F6171="NEW"),"",INDEX(B6170:B$2,-1+SUMPRODUCT(MAX(ROW(E6170:E$2)*(E6171=E6170:E$2)))))</f>
        <v> </v>
      </c>
      <c r="J6171" s="26" t="str">
        <f>IF(OR(E6171="",E6171="!!!",F6171="NEW"),"",COUNTBLANK(OFFSET(A$1,,,SUMPRODUCT(MAX(ROW(E$2:E6171)*(E6171=E$2:E6171)))))-COUNTBLANK(OFFSET(A$1,,,SUMPRODUCT(MAX(ROW(E$1:E6170)*(E2=E$1:E6170))))))</f>
        <v> </v>
      </c>
      <c r="K6171" s="26" t="str">
        <f>IF(OR(E6171="",E6171="!!!",F6171="NEW"),"",INDEX(J$1:J6170,SUMPRODUCT(MAX(ROW(E$1:E6170)*(E6171=E$1:E6170)))))</f>
        <v> </v>
      </c>
      <c r="L6171" s="27"/>
    </row>
    <row r="6172" spans="1:12">
      <c r="A6172" s="20" t="s">
        <v>2180</v>
      </c>
      <c r="B6172" s="21" t="s">
        <v>1005</v>
      </c>
      <c r="C6172" s="21" t="s">
        <v>1034</v>
      </c>
      <c r="D6172" s="21" t="s">
        <v>997</v>
      </c>
      <c r="E6172" s="22">
        <f>IF(D6172="?OLD","!!!","")</f>
        <v/>
      </c>
      <c r="F6172" s="23" t="str">
        <f>IF(OR(E6172="",E6172="!!!"),"",IF(NOT(ISNA(VLOOKUP(E6172,E$1:E6171,1,FALSE()))),"OLD",IF(AND(E6172&lt;&gt;"",E6172&lt;&gt;"!!!"),"NEW","")))</f>
        <v> </v>
      </c>
      <c r="G6172" s="24" t="str">
        <f>IF(OR(E6172="",E6172="!!!"),"",IF(OR(J6172=0,AND(J6172=1,K6172=1),AND(J6172=1,I6172="SBJ"),AND(J6172=1,I6172=0)),"?IN_FOCUS",IF(J6172&lt;=2,"?ACTIVATED",IF(J6172&lt;&gt;"","?FAMILIAR",IF(F6172="NEW",IF(ISNA(VLOOKUP(E6172,#REF!,1,FALSE())),"?TYPE_IDENTIFIABLE","?REFERENTIAL"),"_")))))</f>
        <v> </v>
      </c>
      <c r="H6172" s="25" t="str">
        <f>IF(J6172&lt;&gt;1,"",IF(I6172="SBJ","CB","?"))</f>
        <v> </v>
      </c>
      <c r="I6172" s="26" t="str">
        <f>IF(OR(E6172="",E6172="!!!",F6172="NEW"),"",INDEX(B6171:B$2,-1+SUMPRODUCT(MAX(ROW(E6171:E$2)*(E6172=E6171:E$2)))))</f>
        <v> </v>
      </c>
      <c r="J6172" s="26" t="str">
        <f>IF(OR(E6172="",E6172="!!!",F6172="NEW"),"",COUNTBLANK(OFFSET(A$1,,,SUMPRODUCT(MAX(ROW(E$2:E6172)*(E6172=E$2:E6172)))))-COUNTBLANK(OFFSET(A$1,,,SUMPRODUCT(MAX(ROW(E$1:E6171)*(E2=E$1:E6171))))))</f>
        <v> </v>
      </c>
      <c r="K6172" s="26" t="str">
        <f>IF(OR(E6172="",E6172="!!!",F6172="NEW"),"",INDEX(J$1:J6171,SUMPRODUCT(MAX(ROW(E$1:E6171)*(E6172=E$1:E6171)))))</f>
        <v> </v>
      </c>
      <c r="L6172" s="27"/>
    </row>
    <row r="6173" spans="1:12">
      <c r="A6173" s="20" t="s">
        <v>2314</v>
      </c>
      <c r="E6173" s="22">
        <f>IF(D6173="?OLD","!!!","")</f>
        <v/>
      </c>
      <c r="F6173" s="23" t="str">
        <f>IF(OR(E6173="",E6173="!!!"),"",IF(NOT(ISNA(VLOOKUP(E6173,E$1:E6172,1,FALSE()))),"OLD",IF(AND(E6173&lt;&gt;"",E6173&lt;&gt;"!!!"),"NEW","")))</f>
        <v> </v>
      </c>
      <c r="G6173" s="24" t="str">
        <f>IF(OR(E6173="",E6173="!!!"),"",IF(OR(J6173=0,AND(J6173=1,K6173=1),AND(J6173=1,I6173="SBJ"),AND(J6173=1,I6173=0)),"?IN_FOCUS",IF(J6173&lt;=2,"?ACTIVATED",IF(J6173&lt;&gt;"","?FAMILIAR",IF(F6173="NEW",IF(ISNA(VLOOKUP(E6173,#REF!,1,FALSE())),"?TYPE_IDENTIFIABLE","?REFERENTIAL"),"_")))))</f>
        <v> </v>
      </c>
      <c r="H6173" s="25" t="str">
        <f>IF(J6173&lt;&gt;1,"",IF(I6173="SBJ","CB","?"))</f>
        <v> </v>
      </c>
      <c r="I6173" s="26" t="str">
        <f>IF(OR(E6173="",E6173="!!!",F6173="NEW"),"",INDEX(B6172:B$2,-1+SUMPRODUCT(MAX(ROW(E6172:E$2)*(E6173=E6172:E$2)))))</f>
        <v> </v>
      </c>
      <c r="J6173" s="26" t="str">
        <f>IF(OR(E6173="",E6173="!!!",F6173="NEW"),"",COUNTBLANK(OFFSET(A$1,,,SUMPRODUCT(MAX(ROW(E$2:E6173)*(E6173=E$2:E6173)))))-COUNTBLANK(OFFSET(A$1,,,SUMPRODUCT(MAX(ROW(E$1:E6172)*(E2=E$1:E6172))))))</f>
        <v> </v>
      </c>
      <c r="K6173" s="26" t="str">
        <f>IF(OR(E6173="",E6173="!!!",F6173="NEW"),"",INDEX(J$1:J6172,SUMPRODUCT(MAX(ROW(E$1:E6172)*(E6173=E$1:E6172)))))</f>
        <v> </v>
      </c>
      <c r="L6173" s="27"/>
    </row>
    <row r="6174" spans="1:12">
      <c r="A6174" s="20" t="s">
        <v>2550</v>
      </c>
      <c r="E6174" s="22">
        <f>IF(D6174="?OLD","!!!","")</f>
        <v/>
      </c>
      <c r="F6174" s="23" t="str">
        <f>IF(OR(E6174="",E6174="!!!"),"",IF(NOT(ISNA(VLOOKUP(E6174,E$1:E6173,1,FALSE()))),"OLD",IF(AND(E6174&lt;&gt;"",E6174&lt;&gt;"!!!"),"NEW","")))</f>
        <v> </v>
      </c>
      <c r="G6174" s="24" t="str">
        <f>IF(OR(E6174="",E6174="!!!"),"",IF(OR(J6174=0,AND(J6174=1,K6174=1),AND(J6174=1,I6174="SBJ"),AND(J6174=1,I6174=0)),"?IN_FOCUS",IF(J6174&lt;=2,"?ACTIVATED",IF(J6174&lt;&gt;"","?FAMILIAR",IF(F6174="NEW",IF(ISNA(VLOOKUP(E6174,#REF!,1,FALSE())),"?TYPE_IDENTIFIABLE","?REFERENTIAL"),"_")))))</f>
        <v> </v>
      </c>
      <c r="H6174" s="25" t="str">
        <f>IF(J6174&lt;&gt;1,"",IF(I6174="SBJ","CB","?"))</f>
        <v> </v>
      </c>
      <c r="I6174" s="26" t="str">
        <f>IF(OR(E6174="",E6174="!!!",F6174="NEW"),"",INDEX(B6173:B$2,-1+SUMPRODUCT(MAX(ROW(E6173:E$2)*(E6174=E6173:E$2)))))</f>
        <v> </v>
      </c>
      <c r="J6174" s="26" t="str">
        <f>IF(OR(E6174="",E6174="!!!",F6174="NEW"),"",COUNTBLANK(OFFSET(A$1,,,SUMPRODUCT(MAX(ROW(E$2:E6174)*(E6174=E$2:E6174)))))-COUNTBLANK(OFFSET(A$1,,,SUMPRODUCT(MAX(ROW(E$1:E6173)*(E2=E$1:E6173))))))</f>
        <v> </v>
      </c>
      <c r="K6174" s="26" t="str">
        <f>IF(OR(E6174="",E6174="!!!",F6174="NEW"),"",INDEX(J$1:J6173,SUMPRODUCT(MAX(ROW(E$1:E6173)*(E6174=E$1:E6173)))))</f>
        <v> </v>
      </c>
      <c r="L6174" s="27"/>
    </row>
    <row r="6175" spans="1:12">
      <c r="A6175" s="20" t="s">
        <v>1069</v>
      </c>
      <c r="E6175" s="22">
        <f>IF(D6175="?OLD","!!!","")</f>
        <v/>
      </c>
      <c r="F6175" s="23" t="str">
        <f>IF(OR(E6175="",E6175="!!!"),"",IF(NOT(ISNA(VLOOKUP(E6175,E$1:E6174,1,FALSE()))),"OLD",IF(AND(E6175&lt;&gt;"",E6175&lt;&gt;"!!!"),"NEW","")))</f>
        <v> </v>
      </c>
      <c r="G6175" s="24" t="str">
        <f>IF(OR(E6175="",E6175="!!!"),"",IF(OR(J6175=0,AND(J6175=1,K6175=1),AND(J6175=1,I6175="SBJ"),AND(J6175=1,I6175=0)),"?IN_FOCUS",IF(J6175&lt;=2,"?ACTIVATED",IF(J6175&lt;&gt;"","?FAMILIAR",IF(F6175="NEW",IF(ISNA(VLOOKUP(E6175,#REF!,1,FALSE())),"?TYPE_IDENTIFIABLE","?REFERENTIAL"),"_")))))</f>
        <v> </v>
      </c>
      <c r="H6175" s="25" t="str">
        <f>IF(J6175&lt;&gt;1,"",IF(I6175="SBJ","CB","?"))</f>
        <v> </v>
      </c>
      <c r="I6175" s="26" t="str">
        <f>IF(OR(E6175="",E6175="!!!",F6175="NEW"),"",INDEX(B6174:B$2,-1+SUMPRODUCT(MAX(ROW(E6174:E$2)*(E6175=E6174:E$2)))))</f>
        <v> </v>
      </c>
      <c r="J6175" s="26" t="str">
        <f>IF(OR(E6175="",E6175="!!!",F6175="NEW"),"",COUNTBLANK(OFFSET(A$1,,,SUMPRODUCT(MAX(ROW(E$2:E6175)*(E6175=E$2:E6175)))))-COUNTBLANK(OFFSET(A$1,,,SUMPRODUCT(MAX(ROW(E$1:E6174)*(E2=E$1:E6174))))))</f>
        <v> </v>
      </c>
      <c r="K6175" s="26" t="str">
        <f>IF(OR(E6175="",E6175="!!!",F6175="NEW"),"",INDEX(J$1:J6174,SUMPRODUCT(MAX(ROW(E$1:E6174)*(E6175=E$1:E6174)))))</f>
        <v> </v>
      </c>
      <c r="L6175" s="27"/>
    </row>
    <row r="6176" spans="1:12">
      <c r="A6176" s="20" t="s">
        <v>2551</v>
      </c>
      <c r="B6176" s="21" t="s">
        <v>1024</v>
      </c>
      <c r="C6176" s="21" t="s">
        <v>1006</v>
      </c>
      <c r="E6176" s="22">
        <f>IF(D6176="?OLD","!!!","")</f>
        <v/>
      </c>
      <c r="F6176" s="23" t="str">
        <f>IF(OR(E6176="",E6176="!!!"),"",IF(NOT(ISNA(VLOOKUP(E6176,E$1:E6175,1,FALSE()))),"OLD",IF(AND(E6176&lt;&gt;"",E6176&lt;&gt;"!!!"),"NEW","")))</f>
        <v> </v>
      </c>
      <c r="G6176" s="24" t="str">
        <f>IF(OR(E6176="",E6176="!!!"),"",IF(OR(J6176=0,AND(J6176=1,K6176=1),AND(J6176=1,I6176="SBJ"),AND(J6176=1,I6176=0)),"?IN_FOCUS",IF(J6176&lt;=2,"?ACTIVATED",IF(J6176&lt;&gt;"","?FAMILIAR",IF(F6176="NEW",IF(ISNA(VLOOKUP(E6176,#REF!,1,FALSE())),"?TYPE_IDENTIFIABLE","?REFERENTIAL"),"_")))))</f>
        <v> </v>
      </c>
      <c r="H6176" s="25" t="str">
        <f>IF(J6176&lt;&gt;1,"",IF(I6176="SBJ","CB","?"))</f>
        <v> </v>
      </c>
      <c r="I6176" s="26" t="str">
        <f>IF(OR(E6176="",E6176="!!!",F6176="NEW"),"",INDEX(B6175:B$2,-1+SUMPRODUCT(MAX(ROW(E6175:E$2)*(E6176=E6175:E$2)))))</f>
        <v> </v>
      </c>
      <c r="J6176" s="26" t="str">
        <f>IF(OR(E6176="",E6176="!!!",F6176="NEW"),"",COUNTBLANK(OFFSET(A$1,,,SUMPRODUCT(MAX(ROW(E$2:E6176)*(E6176=E$2:E6176)))))-COUNTBLANK(OFFSET(A$1,,,SUMPRODUCT(MAX(ROW(E$1:E6175)*(E2=E$1:E6175))))))</f>
        <v> </v>
      </c>
      <c r="K6176" s="26" t="str">
        <f>IF(OR(E6176="",E6176="!!!",F6176="NEW"),"",INDEX(J$1:J6175,SUMPRODUCT(MAX(ROW(E$1:E6175)*(E6176=E$1:E6175)))))</f>
        <v> </v>
      </c>
      <c r="L6176" s="27"/>
    </row>
    <row r="6177" spans="1:12">
      <c r="A6177" s="20" t="s">
        <v>2552</v>
      </c>
      <c r="E6177" s="22">
        <f>IF(D6177="?OLD","!!!","")</f>
        <v/>
      </c>
      <c r="F6177" s="23" t="str">
        <f>IF(OR(E6177="",E6177="!!!"),"",IF(NOT(ISNA(VLOOKUP(E6177,E$1:E6176,1,FALSE()))),"OLD",IF(AND(E6177&lt;&gt;"",E6177&lt;&gt;"!!!"),"NEW","")))</f>
        <v> </v>
      </c>
      <c r="G6177" s="24" t="str">
        <f>IF(OR(E6177="",E6177="!!!"),"",IF(OR(J6177=0,AND(J6177=1,K6177=1),AND(J6177=1,I6177="SBJ"),AND(J6177=1,I6177=0)),"?IN_FOCUS",IF(J6177&lt;=2,"?ACTIVATED",IF(J6177&lt;&gt;"","?FAMILIAR",IF(F6177="NEW",IF(ISNA(VLOOKUP(E6177,#REF!,1,FALSE())),"?TYPE_IDENTIFIABLE","?REFERENTIAL"),"_")))))</f>
        <v> </v>
      </c>
      <c r="H6177" s="25" t="str">
        <f>IF(J6177&lt;&gt;1,"",IF(I6177="SBJ","CB","?"))</f>
        <v> </v>
      </c>
      <c r="I6177" s="26" t="str">
        <f>IF(OR(E6177="",E6177="!!!",F6177="NEW"),"",INDEX(B6176:B$2,-1+SUMPRODUCT(MAX(ROW(E6176:E$2)*(E6177=E6176:E$2)))))</f>
        <v> </v>
      </c>
      <c r="J6177" s="26" t="str">
        <f>IF(OR(E6177="",E6177="!!!",F6177="NEW"),"",COUNTBLANK(OFFSET(A$1,,,SUMPRODUCT(MAX(ROW(E$2:E6177)*(E6177=E$2:E6177)))))-COUNTBLANK(OFFSET(A$1,,,SUMPRODUCT(MAX(ROW(E$1:E6176)*(E2=E$1:E6176))))))</f>
        <v> </v>
      </c>
      <c r="K6177" s="26" t="str">
        <f>IF(OR(E6177="",E6177="!!!",F6177="NEW"),"",INDEX(J$1:J6176,SUMPRODUCT(MAX(ROW(E$1:E6176)*(E6177=E$1:E6176)))))</f>
        <v> </v>
      </c>
      <c r="L6177" s="27"/>
    </row>
    <row r="6178" spans="1:12">
      <c r="A6178" s="20" t="s">
        <v>2553</v>
      </c>
      <c r="E6178" s="22">
        <f>IF(D6178="?OLD","!!!","")</f>
        <v/>
      </c>
      <c r="F6178" s="23" t="str">
        <f>IF(OR(E6178="",E6178="!!!"),"",IF(NOT(ISNA(VLOOKUP(E6178,E$1:E6177,1,FALSE()))),"OLD",IF(AND(E6178&lt;&gt;"",E6178&lt;&gt;"!!!"),"NEW","")))</f>
        <v> </v>
      </c>
      <c r="G6178" s="24" t="str">
        <f>IF(OR(E6178="",E6178="!!!"),"",IF(OR(J6178=0,AND(J6178=1,K6178=1),AND(J6178=1,I6178="SBJ"),AND(J6178=1,I6178=0)),"?IN_FOCUS",IF(J6178&lt;=2,"?ACTIVATED",IF(J6178&lt;&gt;"","?FAMILIAR",IF(F6178="NEW",IF(ISNA(VLOOKUP(E6178,#REF!,1,FALSE())),"?TYPE_IDENTIFIABLE","?REFERENTIAL"),"_")))))</f>
        <v> </v>
      </c>
      <c r="H6178" s="25" t="str">
        <f>IF(J6178&lt;&gt;1,"",IF(I6178="SBJ","CB","?"))</f>
        <v> </v>
      </c>
      <c r="I6178" s="26" t="str">
        <f>IF(OR(E6178="",E6178="!!!",F6178="NEW"),"",INDEX(B6177:B$2,-1+SUMPRODUCT(MAX(ROW(E6177:E$2)*(E6178=E6177:E$2)))))</f>
        <v> </v>
      </c>
      <c r="J6178" s="26" t="str">
        <f>IF(OR(E6178="",E6178="!!!",F6178="NEW"),"",COUNTBLANK(OFFSET(A$1,,,SUMPRODUCT(MAX(ROW(E$2:E6178)*(E6178=E$2:E6178)))))-COUNTBLANK(OFFSET(A$1,,,SUMPRODUCT(MAX(ROW(E$1:E6177)*(E2=E$1:E6177))))))</f>
        <v> </v>
      </c>
      <c r="K6178" s="26" t="str">
        <f>IF(OR(E6178="",E6178="!!!",F6178="NEW"),"",INDEX(J$1:J6177,SUMPRODUCT(MAX(ROW(E$1:E6177)*(E6178=E$1:E6177)))))</f>
        <v> </v>
      </c>
      <c r="L6178" s="27"/>
    </row>
    <row r="6179" spans="1:12">
      <c r="A6179" s="20"/>
    </row>
    <row r="6180" spans="1:12">
      <c r="A6180" s="20" t="s">
        <v>2554</v>
      </c>
    </row>
    <row r="6181" spans="1:12">
      <c r="A6181" s="20" t="s">
        <v>2555</v>
      </c>
      <c r="B6181" s="21" t="s">
        <v>1067</v>
      </c>
      <c r="C6181" s="21" t="s">
        <v>1006</v>
      </c>
      <c r="E6181" s="22">
        <f>IF(D6181="?OLD","!!!","")</f>
        <v/>
      </c>
      <c r="F6181" s="23" t="str">
        <f>IF(OR(E6181="",E6181="!!!"),"",IF(NOT(ISNA(VLOOKUP(E6181,E$1:E6180,1,FALSE()))),"OLD",IF(AND(E6181&lt;&gt;"",E6181&lt;&gt;"!!!"),"NEW","")))</f>
        <v> </v>
      </c>
      <c r="G6181" s="24" t="str">
        <f>IF(OR(E6181="",E6181="!!!"),"",IF(OR(J6181=0,AND(J6181=1,K6181=1),AND(J6181=1,I6181="SBJ"),AND(J6181=1,I6181=0)),"?IN_FOCUS",IF(J6181&lt;=2,"?ACTIVATED",IF(J6181&lt;&gt;"","?FAMILIAR",IF(F6181="NEW",IF(ISNA(VLOOKUP(E6181,#REF!,1,FALSE())),"?TYPE_IDENTIFIABLE","?REFERENTIAL"),"_")))))</f>
        <v> </v>
      </c>
      <c r="H6181" s="25" t="str">
        <f>IF(J6181&lt;&gt;1,"",IF(I6181="SBJ","CB","?"))</f>
        <v> </v>
      </c>
      <c r="I6181" s="26" t="str">
        <f>IF(OR(E6181="",E6181="!!!",F6181="NEW"),"",INDEX(B6180:B$2,-1+SUMPRODUCT(MAX(ROW(E6180:E$2)*(E6181=E6180:E$2)))))</f>
        <v> </v>
      </c>
      <c r="J6181" s="26" t="str">
        <f>IF(OR(E6181="",E6181="!!!",F6181="NEW"),"",COUNTBLANK(OFFSET(A$1,,,SUMPRODUCT(MAX(ROW(E$2:E6181)*(E6181=E$2:E6181)))))-COUNTBLANK(OFFSET(A$1,,,SUMPRODUCT(MAX(ROW(E$1:E6180)*(E2=E$1:E6180))))))</f>
        <v> </v>
      </c>
      <c r="K6181" s="26" t="str">
        <f>IF(OR(E6181="",E6181="!!!",F6181="NEW"),"",INDEX(J$1:J6180,SUMPRODUCT(MAX(ROW(E$1:E6180)*(E6181=E$1:E6180)))))</f>
        <v> </v>
      </c>
      <c r="L6181" s="27"/>
    </row>
    <row r="6182" spans="1:12">
      <c r="A6182" s="20" t="s">
        <v>12</v>
      </c>
      <c r="E6182" s="22">
        <f>IF(D6182="?OLD","!!!","")</f>
        <v/>
      </c>
      <c r="F6182" s="23" t="str">
        <f>IF(OR(E6182="",E6182="!!!"),"",IF(NOT(ISNA(VLOOKUP(E6182,E$1:E6181,1,FALSE()))),"OLD",IF(AND(E6182&lt;&gt;"",E6182&lt;&gt;"!!!"),"NEW","")))</f>
        <v> </v>
      </c>
      <c r="G6182" s="24" t="str">
        <f>IF(OR(E6182="",E6182="!!!"),"",IF(OR(J6182=0,AND(J6182=1,K6182=1),AND(J6182=1,I6182="SBJ"),AND(J6182=1,I6182=0)),"?IN_FOCUS",IF(J6182&lt;=2,"?ACTIVATED",IF(J6182&lt;&gt;"","?FAMILIAR",IF(F6182="NEW",IF(ISNA(VLOOKUP(E6182,#REF!,1,FALSE())),"?TYPE_IDENTIFIABLE","?REFERENTIAL"),"_")))))</f>
        <v> </v>
      </c>
      <c r="H6182" s="25" t="str">
        <f>IF(J6182&lt;&gt;1,"",IF(I6182="SBJ","CB","?"))</f>
        <v> </v>
      </c>
      <c r="I6182" s="26" t="str">
        <f>IF(OR(E6182="",E6182="!!!",F6182="NEW"),"",INDEX(B6181:B$2,-1+SUMPRODUCT(MAX(ROW(E6181:E$2)*(E6182=E6181:E$2)))))</f>
        <v> </v>
      </c>
      <c r="J6182" s="26" t="str">
        <f>IF(OR(E6182="",E6182="!!!",F6182="NEW"),"",COUNTBLANK(OFFSET(A$1,,,SUMPRODUCT(MAX(ROW(E$2:E6182)*(E6182=E$2:E6182)))))-COUNTBLANK(OFFSET(A$1,,,SUMPRODUCT(MAX(ROW(E$1:E6181)*(E2=E$1:E6181))))))</f>
        <v> </v>
      </c>
      <c r="K6182" s="26" t="str">
        <f>IF(OR(E6182="",E6182="!!!",F6182="NEW"),"",INDEX(J$1:J6181,SUMPRODUCT(MAX(ROW(E$1:E6181)*(E6182=E$1:E6181)))))</f>
        <v> </v>
      </c>
      <c r="L6182" s="27"/>
    </row>
    <row r="6183" spans="1:12">
      <c r="A6183" s="20" t="s">
        <v>1823</v>
      </c>
      <c r="E6183" s="22">
        <f>IF(D6183="?OLD","!!!","")</f>
        <v/>
      </c>
      <c r="F6183" s="23" t="str">
        <f>IF(OR(E6183="",E6183="!!!"),"",IF(NOT(ISNA(VLOOKUP(E6183,E$1:E6182,1,FALSE()))),"OLD",IF(AND(E6183&lt;&gt;"",E6183&lt;&gt;"!!!"),"NEW","")))</f>
        <v> </v>
      </c>
      <c r="G6183" s="24" t="str">
        <f>IF(OR(E6183="",E6183="!!!"),"",IF(OR(J6183=0,AND(J6183=1,K6183=1),AND(J6183=1,I6183="SBJ"),AND(J6183=1,I6183=0)),"?IN_FOCUS",IF(J6183&lt;=2,"?ACTIVATED",IF(J6183&lt;&gt;"","?FAMILIAR",IF(F6183="NEW",IF(ISNA(VLOOKUP(E6183,#REF!,1,FALSE())),"?TYPE_IDENTIFIABLE","?REFERENTIAL"),"_")))))</f>
        <v> </v>
      </c>
      <c r="H6183" s="25" t="str">
        <f>IF(J6183&lt;&gt;1,"",IF(I6183="SBJ","CB","?"))</f>
        <v> </v>
      </c>
      <c r="I6183" s="26" t="str">
        <f>IF(OR(E6183="",E6183="!!!",F6183="NEW"),"",INDEX(B6182:B$2,-1+SUMPRODUCT(MAX(ROW(E6182:E$2)*(E6183=E6182:E$2)))))</f>
        <v> </v>
      </c>
      <c r="J6183" s="26" t="str">
        <f>IF(OR(E6183="",E6183="!!!",F6183="NEW"),"",COUNTBLANK(OFFSET(A$1,,,SUMPRODUCT(MAX(ROW(E$2:E6183)*(E6183=E$2:E6183)))))-COUNTBLANK(OFFSET(A$1,,,SUMPRODUCT(MAX(ROW(E$1:E6182)*(E2=E$1:E6182))))))</f>
        <v> </v>
      </c>
      <c r="K6183" s="26" t="str">
        <f>IF(OR(E6183="",E6183="!!!",F6183="NEW"),"",INDEX(J$1:J6182,SUMPRODUCT(MAX(ROW(E$1:E6182)*(E6183=E$1:E6182)))))</f>
        <v> </v>
      </c>
      <c r="L6183" s="27"/>
    </row>
    <row r="6184" spans="1:12">
      <c r="A6184" s="20" t="s">
        <v>1041</v>
      </c>
      <c r="E6184" s="22">
        <f>IF(D6184="?OLD","!!!","")</f>
        <v/>
      </c>
      <c r="F6184" s="23" t="str">
        <f>IF(OR(E6184="",E6184="!!!"),"",IF(NOT(ISNA(VLOOKUP(E6184,E$1:E6183,1,FALSE()))),"OLD",IF(AND(E6184&lt;&gt;"",E6184&lt;&gt;"!!!"),"NEW","")))</f>
        <v> </v>
      </c>
      <c r="G6184" s="24" t="str">
        <f>IF(OR(E6184="",E6184="!!!"),"",IF(OR(J6184=0,AND(J6184=1,K6184=1),AND(J6184=1,I6184="SBJ"),AND(J6184=1,I6184=0)),"?IN_FOCUS",IF(J6184&lt;=2,"?ACTIVATED",IF(J6184&lt;&gt;"","?FAMILIAR",IF(F6184="NEW",IF(ISNA(VLOOKUP(E6184,#REF!,1,FALSE())),"?TYPE_IDENTIFIABLE","?REFERENTIAL"),"_")))))</f>
        <v> </v>
      </c>
      <c r="H6184" s="25" t="str">
        <f>IF(J6184&lt;&gt;1,"",IF(I6184="SBJ","CB","?"))</f>
        <v> </v>
      </c>
      <c r="I6184" s="26" t="str">
        <f>IF(OR(E6184="",E6184="!!!",F6184="NEW"),"",INDEX(B6183:B$2,-1+SUMPRODUCT(MAX(ROW(E6183:E$2)*(E6184=E6183:E$2)))))</f>
        <v> </v>
      </c>
      <c r="J6184" s="26" t="str">
        <f>IF(OR(E6184="",E6184="!!!",F6184="NEW"),"",COUNTBLANK(OFFSET(A$1,,,SUMPRODUCT(MAX(ROW(E$2:E6184)*(E6184=E$2:E6184)))))-COUNTBLANK(OFFSET(A$1,,,SUMPRODUCT(MAX(ROW(E$1:E6183)*(E2=E$1:E6183))))))</f>
        <v> </v>
      </c>
      <c r="K6184" s="26" t="str">
        <f>IF(OR(E6184="",E6184="!!!",F6184="NEW"),"",INDEX(J$1:J6183,SUMPRODUCT(MAX(ROW(E$1:E6183)*(E6184=E$1:E6183)))))</f>
        <v> </v>
      </c>
      <c r="L6184" s="27"/>
    </row>
    <row r="6185" spans="1:12">
      <c r="A6185" s="20" t="s">
        <v>1141</v>
      </c>
      <c r="E6185" s="22">
        <f>IF(D6185="?OLD","!!!","")</f>
        <v/>
      </c>
      <c r="F6185" s="23" t="str">
        <f>IF(OR(E6185="",E6185="!!!"),"",IF(NOT(ISNA(VLOOKUP(E6185,E$1:E6184,1,FALSE()))),"OLD",IF(AND(E6185&lt;&gt;"",E6185&lt;&gt;"!!!"),"NEW","")))</f>
        <v> </v>
      </c>
      <c r="G6185" s="24" t="str">
        <f>IF(OR(E6185="",E6185="!!!"),"",IF(OR(J6185=0,AND(J6185=1,K6185=1),AND(J6185=1,I6185="SBJ"),AND(J6185=1,I6185=0)),"?IN_FOCUS",IF(J6185&lt;=2,"?ACTIVATED",IF(J6185&lt;&gt;"","?FAMILIAR",IF(F6185="NEW",IF(ISNA(VLOOKUP(E6185,#REF!,1,FALSE())),"?TYPE_IDENTIFIABLE","?REFERENTIAL"),"_")))))</f>
        <v> </v>
      </c>
      <c r="H6185" s="25" t="str">
        <f>IF(J6185&lt;&gt;1,"",IF(I6185="SBJ","CB","?"))</f>
        <v> </v>
      </c>
      <c r="I6185" s="26" t="str">
        <f>IF(OR(E6185="",E6185="!!!",F6185="NEW"),"",INDEX(B6184:B$2,-1+SUMPRODUCT(MAX(ROW(E6184:E$2)*(E6185=E6184:E$2)))))</f>
        <v> </v>
      </c>
      <c r="J6185" s="26" t="str">
        <f>IF(OR(E6185="",E6185="!!!",F6185="NEW"),"",COUNTBLANK(OFFSET(A$1,,,SUMPRODUCT(MAX(ROW(E$2:E6185)*(E6185=E$2:E6185)))))-COUNTBLANK(OFFSET(A$1,,,SUMPRODUCT(MAX(ROW(E$1:E6184)*(E2=E$1:E6184))))))</f>
        <v> </v>
      </c>
      <c r="K6185" s="26" t="str">
        <f>IF(OR(E6185="",E6185="!!!",F6185="NEW"),"",INDEX(J$1:J6184,SUMPRODUCT(MAX(ROW(E$1:E6184)*(E6185=E$1:E6184)))))</f>
        <v> </v>
      </c>
      <c r="L6185" s="27"/>
    </row>
    <row r="6186" spans="1:12">
      <c r="A6186" s="20" t="s">
        <v>1037</v>
      </c>
      <c r="E6186" s="22">
        <f>IF(D6186="?OLD","!!!","")</f>
        <v/>
      </c>
      <c r="F6186" s="23" t="str">
        <f>IF(OR(E6186="",E6186="!!!"),"",IF(NOT(ISNA(VLOOKUP(E6186,E$1:E6185,1,FALSE()))),"OLD",IF(AND(E6186&lt;&gt;"",E6186&lt;&gt;"!!!"),"NEW","")))</f>
        <v> </v>
      </c>
      <c r="G6186" s="24" t="str">
        <f>IF(OR(E6186="",E6186="!!!"),"",IF(OR(J6186=0,AND(J6186=1,K6186=1),AND(J6186=1,I6186="SBJ"),AND(J6186=1,I6186=0)),"?IN_FOCUS",IF(J6186&lt;=2,"?ACTIVATED",IF(J6186&lt;&gt;"","?FAMILIAR",IF(F6186="NEW",IF(ISNA(VLOOKUP(E6186,#REF!,1,FALSE())),"?TYPE_IDENTIFIABLE","?REFERENTIAL"),"_")))))</f>
        <v> </v>
      </c>
      <c r="H6186" s="25" t="str">
        <f>IF(J6186&lt;&gt;1,"",IF(I6186="SBJ","CB","?"))</f>
        <v> </v>
      </c>
      <c r="I6186" s="26" t="str">
        <f>IF(OR(E6186="",E6186="!!!",F6186="NEW"),"",INDEX(B6185:B$2,-1+SUMPRODUCT(MAX(ROW(E6185:E$2)*(E6186=E6185:E$2)))))</f>
        <v> </v>
      </c>
      <c r="J6186" s="26" t="str">
        <f>IF(OR(E6186="",E6186="!!!",F6186="NEW"),"",COUNTBLANK(OFFSET(A$1,,,SUMPRODUCT(MAX(ROW(E$2:E6186)*(E6186=E$2:E6186)))))-COUNTBLANK(OFFSET(A$1,,,SUMPRODUCT(MAX(ROW(E$1:E6185)*(E2=E$1:E6185))))))</f>
        <v> </v>
      </c>
      <c r="K6186" s="26" t="str">
        <f>IF(OR(E6186="",E6186="!!!",F6186="NEW"),"",INDEX(J$1:J6185,SUMPRODUCT(MAX(ROW(E$1:E6185)*(E6186=E$1:E6185)))))</f>
        <v> </v>
      </c>
      <c r="L6186" s="27"/>
    </row>
    <row r="6187" spans="1:12">
      <c r="A6187" s="20" t="s">
        <v>2005</v>
      </c>
      <c r="B6187" s="21" t="s">
        <v>1142</v>
      </c>
      <c r="C6187" s="21" t="s">
        <v>1095</v>
      </c>
      <c r="D6187" s="21" t="s">
        <v>997</v>
      </c>
      <c r="E6187" s="22">
        <f>IF(D6187="?OLD","!!!","")</f>
        <v/>
      </c>
      <c r="F6187" s="23" t="str">
        <f>IF(OR(E6187="",E6187="!!!"),"",IF(NOT(ISNA(VLOOKUP(E6187,E$1:E6186,1,FALSE()))),"OLD",IF(AND(E6187&lt;&gt;"",E6187&lt;&gt;"!!!"),"NEW","")))</f>
        <v> </v>
      </c>
      <c r="G6187" s="24" t="str">
        <f>IF(OR(E6187="",E6187="!!!"),"",IF(OR(J6187=0,AND(J6187=1,K6187=1),AND(J6187=1,I6187="SBJ"),AND(J6187=1,I6187=0)),"?IN_FOCUS",IF(J6187&lt;=2,"?ACTIVATED",IF(J6187&lt;&gt;"","?FAMILIAR",IF(F6187="NEW",IF(ISNA(VLOOKUP(E6187,#REF!,1,FALSE())),"?TYPE_IDENTIFIABLE","?REFERENTIAL"),"_")))))</f>
        <v> </v>
      </c>
      <c r="H6187" s="25" t="str">
        <f>IF(J6187&lt;&gt;1,"",IF(I6187="SBJ","CB","?"))</f>
        <v> </v>
      </c>
      <c r="I6187" s="26" t="str">
        <f>IF(OR(E6187="",E6187="!!!",F6187="NEW"),"",INDEX(B6186:B$2,-1+SUMPRODUCT(MAX(ROW(E6186:E$2)*(E6187=E6186:E$2)))))</f>
        <v> </v>
      </c>
      <c r="J6187" s="26" t="str">
        <f>IF(OR(E6187="",E6187="!!!",F6187="NEW"),"",COUNTBLANK(OFFSET(A$1,,,SUMPRODUCT(MAX(ROW(E$2:E6187)*(E6187=E$2:E6187)))))-COUNTBLANK(OFFSET(A$1,,,SUMPRODUCT(MAX(ROW(E$1:E6186)*(E2=E$1:E6186))))))</f>
        <v> </v>
      </c>
      <c r="K6187" s="26" t="str">
        <f>IF(OR(E6187="",E6187="!!!",F6187="NEW"),"",INDEX(J$1:J6186,SUMPRODUCT(MAX(ROW(E$1:E6186)*(E6187=E$1:E6186)))))</f>
        <v> </v>
      </c>
      <c r="L6187" s="27"/>
    </row>
    <row r="6188" spans="1:12">
      <c r="A6188" s="20" t="s">
        <v>2556</v>
      </c>
      <c r="E6188" s="22">
        <f>IF(D6188="?OLD","!!!","")</f>
        <v/>
      </c>
      <c r="F6188" s="23" t="str">
        <f>IF(OR(E6188="",E6188="!!!"),"",IF(NOT(ISNA(VLOOKUP(E6188,E$1:E6187,1,FALSE()))),"OLD",IF(AND(E6188&lt;&gt;"",E6188&lt;&gt;"!!!"),"NEW","")))</f>
        <v> </v>
      </c>
      <c r="G6188" s="24" t="str">
        <f>IF(OR(E6188="",E6188="!!!"),"",IF(OR(J6188=0,AND(J6188=1,K6188=1),AND(J6188=1,I6188="SBJ"),AND(J6188=1,I6188=0)),"?IN_FOCUS",IF(J6188&lt;=2,"?ACTIVATED",IF(J6188&lt;&gt;"","?FAMILIAR",IF(F6188="NEW",IF(ISNA(VLOOKUP(E6188,#REF!,1,FALSE())),"?TYPE_IDENTIFIABLE","?REFERENTIAL"),"_")))))</f>
        <v> </v>
      </c>
      <c r="H6188" s="25" t="str">
        <f>IF(J6188&lt;&gt;1,"",IF(I6188="SBJ","CB","?"))</f>
        <v> </v>
      </c>
      <c r="I6188" s="26" t="str">
        <f>IF(OR(E6188="",E6188="!!!",F6188="NEW"),"",INDEX(B6187:B$2,-1+SUMPRODUCT(MAX(ROW(E6187:E$2)*(E6188=E6187:E$2)))))</f>
        <v> </v>
      </c>
      <c r="J6188" s="26" t="str">
        <f>IF(OR(E6188="",E6188="!!!",F6188="NEW"),"",COUNTBLANK(OFFSET(A$1,,,SUMPRODUCT(MAX(ROW(E$2:E6188)*(E6188=E$2:E6188)))))-COUNTBLANK(OFFSET(A$1,,,SUMPRODUCT(MAX(ROW(E$1:E6187)*(E2=E$1:E6187))))))</f>
        <v> </v>
      </c>
      <c r="K6188" s="26" t="str">
        <f>IF(OR(E6188="",E6188="!!!",F6188="NEW"),"",INDEX(J$1:J6187,SUMPRODUCT(MAX(ROW(E$1:E6187)*(E6188=E$1:E6187)))))</f>
        <v> </v>
      </c>
      <c r="L6188" s="27"/>
    </row>
    <row r="6189" spans="1:12">
      <c r="A6189" s="20" t="s">
        <v>48</v>
      </c>
      <c r="E6189" s="22">
        <f>IF(D6189="?OLD","!!!","")</f>
        <v/>
      </c>
      <c r="F6189" s="23" t="str">
        <f>IF(OR(E6189="",E6189="!!!"),"",IF(NOT(ISNA(VLOOKUP(E6189,E$1:E6188,1,FALSE()))),"OLD",IF(AND(E6189&lt;&gt;"",E6189&lt;&gt;"!!!"),"NEW","")))</f>
        <v> </v>
      </c>
      <c r="G6189" s="24" t="str">
        <f>IF(OR(E6189="",E6189="!!!"),"",IF(OR(J6189=0,AND(J6189=1,K6189=1),AND(J6189=1,I6189="SBJ"),AND(J6189=1,I6189=0)),"?IN_FOCUS",IF(J6189&lt;=2,"?ACTIVATED",IF(J6189&lt;&gt;"","?FAMILIAR",IF(F6189="NEW",IF(ISNA(VLOOKUP(E6189,#REF!,1,FALSE())),"?TYPE_IDENTIFIABLE","?REFERENTIAL"),"_")))))</f>
        <v> </v>
      </c>
      <c r="H6189" s="25" t="str">
        <f>IF(J6189&lt;&gt;1,"",IF(I6189="SBJ","CB","?"))</f>
        <v> </v>
      </c>
      <c r="I6189" s="26" t="str">
        <f>IF(OR(E6189="",E6189="!!!",F6189="NEW"),"",INDEX(B6188:B$2,-1+SUMPRODUCT(MAX(ROW(E6188:E$2)*(E6189=E6188:E$2)))))</f>
        <v> </v>
      </c>
      <c r="J6189" s="26" t="str">
        <f>IF(OR(E6189="",E6189="!!!",F6189="NEW"),"",COUNTBLANK(OFFSET(A$1,,,SUMPRODUCT(MAX(ROW(E$2:E6189)*(E6189=E$2:E6189)))))-COUNTBLANK(OFFSET(A$1,,,SUMPRODUCT(MAX(ROW(E$1:E6188)*(E2=E$1:E6188))))))</f>
        <v> </v>
      </c>
      <c r="K6189" s="26" t="str">
        <f>IF(OR(E6189="",E6189="!!!",F6189="NEW"),"",INDEX(J$1:J6188,SUMPRODUCT(MAX(ROW(E$1:E6188)*(E6189=E$1:E6188)))))</f>
        <v> </v>
      </c>
      <c r="L6189" s="27"/>
    </row>
    <row r="6190" spans="1:12">
      <c r="A6190" s="20" t="s">
        <v>1052</v>
      </c>
      <c r="B6190" s="21" t="s">
        <v>1001</v>
      </c>
      <c r="C6190" s="21" t="s">
        <v>1295</v>
      </c>
      <c r="E6190" s="22">
        <f>IF(D6190="?OLD","!!!","")</f>
        <v/>
      </c>
      <c r="F6190" s="23" t="str">
        <f>IF(OR(E6190="",E6190="!!!"),"",IF(NOT(ISNA(VLOOKUP(E6190,E$1:E6189,1,FALSE()))),"OLD",IF(AND(E6190&lt;&gt;"",E6190&lt;&gt;"!!!"),"NEW","")))</f>
        <v> </v>
      </c>
      <c r="G6190" s="24" t="str">
        <f>IF(OR(E6190="",E6190="!!!"),"",IF(OR(J6190=0,AND(J6190=1,K6190=1),AND(J6190=1,I6190="SBJ"),AND(J6190=1,I6190=0)),"?IN_FOCUS",IF(J6190&lt;=2,"?ACTIVATED",IF(J6190&lt;&gt;"","?FAMILIAR",IF(F6190="NEW",IF(ISNA(VLOOKUP(E6190,#REF!,1,FALSE())),"?TYPE_IDENTIFIABLE","?REFERENTIAL"),"_")))))</f>
        <v> </v>
      </c>
      <c r="H6190" s="25" t="str">
        <f>IF(J6190&lt;&gt;1,"",IF(I6190="SBJ","CB","?"))</f>
        <v> </v>
      </c>
      <c r="I6190" s="26" t="str">
        <f>IF(OR(E6190="",E6190="!!!",F6190="NEW"),"",INDEX(B6189:B$2,-1+SUMPRODUCT(MAX(ROW(E6189:E$2)*(E6190=E6189:E$2)))))</f>
        <v> </v>
      </c>
      <c r="J6190" s="26" t="str">
        <f>IF(OR(E6190="",E6190="!!!",F6190="NEW"),"",COUNTBLANK(OFFSET(A$1,,,SUMPRODUCT(MAX(ROW(E$2:E6190)*(E6190=E$2:E6190)))))-COUNTBLANK(OFFSET(A$1,,,SUMPRODUCT(MAX(ROW(E$1:E6189)*(E2=E$1:E6189))))))</f>
        <v> </v>
      </c>
      <c r="K6190" s="26" t="str">
        <f>IF(OR(E6190="",E6190="!!!",F6190="NEW"),"",INDEX(J$1:J6189,SUMPRODUCT(MAX(ROW(E$1:E6189)*(E6190=E$1:E6189)))))</f>
        <v> </v>
      </c>
      <c r="L6190" s="27"/>
    </row>
    <row r="6191" spans="1:12">
      <c r="A6191" s="20" t="s">
        <v>1008</v>
      </c>
      <c r="E6191" s="22">
        <f>IF(D6191="?OLD","!!!","")</f>
        <v/>
      </c>
      <c r="F6191" s="23" t="str">
        <f>IF(OR(E6191="",E6191="!!!"),"",IF(NOT(ISNA(VLOOKUP(E6191,E$1:E6190,1,FALSE()))),"OLD",IF(AND(E6191&lt;&gt;"",E6191&lt;&gt;"!!!"),"NEW","")))</f>
        <v> </v>
      </c>
      <c r="G6191" s="24" t="str">
        <f>IF(OR(E6191="",E6191="!!!"),"",IF(OR(J6191=0,AND(J6191=1,K6191=1),AND(J6191=1,I6191="SBJ"),AND(J6191=1,I6191=0)),"?IN_FOCUS",IF(J6191&lt;=2,"?ACTIVATED",IF(J6191&lt;&gt;"","?FAMILIAR",IF(F6191="NEW",IF(ISNA(VLOOKUP(E6191,#REF!,1,FALSE())),"?TYPE_IDENTIFIABLE","?REFERENTIAL"),"_")))))</f>
        <v> </v>
      </c>
      <c r="H6191" s="25" t="str">
        <f>IF(J6191&lt;&gt;1,"",IF(I6191="SBJ","CB","?"))</f>
        <v> </v>
      </c>
      <c r="I6191" s="26" t="str">
        <f>IF(OR(E6191="",E6191="!!!",F6191="NEW"),"",INDEX(B6190:B$2,-1+SUMPRODUCT(MAX(ROW(E6190:E$2)*(E6191=E6190:E$2)))))</f>
        <v> </v>
      </c>
      <c r="J6191" s="26" t="str">
        <f>IF(OR(E6191="",E6191="!!!",F6191="NEW"),"",COUNTBLANK(OFFSET(A$1,,,SUMPRODUCT(MAX(ROW(E$2:E6191)*(E6191=E$2:E6191)))))-COUNTBLANK(OFFSET(A$1,,,SUMPRODUCT(MAX(ROW(E$1:E6190)*(E2=E$1:E6190))))))</f>
        <v> </v>
      </c>
      <c r="K6191" s="26" t="str">
        <f>IF(OR(E6191="",E6191="!!!",F6191="NEW"),"",INDEX(J$1:J6190,SUMPRODUCT(MAX(ROW(E$1:E6190)*(E6191=E$1:E6190)))))</f>
        <v> </v>
      </c>
      <c r="L6191" s="27"/>
    </row>
    <row r="6192" spans="1:12">
      <c r="A6192" s="20" t="s">
        <v>1054</v>
      </c>
      <c r="E6192" s="22">
        <f>IF(D6192="?OLD","!!!","")</f>
        <v/>
      </c>
      <c r="F6192" s="23" t="str">
        <f>IF(OR(E6192="",E6192="!!!"),"",IF(NOT(ISNA(VLOOKUP(E6192,E$1:E6191,1,FALSE()))),"OLD",IF(AND(E6192&lt;&gt;"",E6192&lt;&gt;"!!!"),"NEW","")))</f>
        <v> </v>
      </c>
      <c r="G6192" s="24" t="str">
        <f>IF(OR(E6192="",E6192="!!!"),"",IF(OR(J6192=0,AND(J6192=1,K6192=1),AND(J6192=1,I6192="SBJ"),AND(J6192=1,I6192=0)),"?IN_FOCUS",IF(J6192&lt;=2,"?ACTIVATED",IF(J6192&lt;&gt;"","?FAMILIAR",IF(F6192="NEW",IF(ISNA(VLOOKUP(E6192,#REF!,1,FALSE())),"?TYPE_IDENTIFIABLE","?REFERENTIAL"),"_")))))</f>
        <v> </v>
      </c>
      <c r="H6192" s="25" t="str">
        <f>IF(J6192&lt;&gt;1,"",IF(I6192="SBJ","CB","?"))</f>
        <v> </v>
      </c>
      <c r="I6192" s="26" t="str">
        <f>IF(OR(E6192="",E6192="!!!",F6192="NEW"),"",INDEX(B6191:B$2,-1+SUMPRODUCT(MAX(ROW(E6191:E$2)*(E6192=E6191:E$2)))))</f>
        <v> </v>
      </c>
      <c r="J6192" s="26" t="str">
        <f>IF(OR(E6192="",E6192="!!!",F6192="NEW"),"",COUNTBLANK(OFFSET(A$1,,,SUMPRODUCT(MAX(ROW(E$2:E6192)*(E6192=E$2:E6192)))))-COUNTBLANK(OFFSET(A$1,,,SUMPRODUCT(MAX(ROW(E$1:E6191)*(E2=E$1:E6191))))))</f>
        <v> </v>
      </c>
      <c r="K6192" s="26" t="str">
        <f>IF(OR(E6192="",E6192="!!!",F6192="NEW"),"",INDEX(J$1:J6191,SUMPRODUCT(MAX(ROW(E$1:E6191)*(E6192=E$1:E6191)))))</f>
        <v> </v>
      </c>
      <c r="L6192" s="27"/>
    </row>
    <row r="6193" spans="1:12">
      <c r="A6193" s="20" t="s">
        <v>1191</v>
      </c>
      <c r="E6193" s="22">
        <f>IF(D6193="?OLD","!!!","")</f>
        <v/>
      </c>
      <c r="F6193" s="23" t="str">
        <f>IF(OR(E6193="",E6193="!!!"),"",IF(NOT(ISNA(VLOOKUP(E6193,E$1:E6192,1,FALSE()))),"OLD",IF(AND(E6193&lt;&gt;"",E6193&lt;&gt;"!!!"),"NEW","")))</f>
        <v> </v>
      </c>
      <c r="G6193" s="24" t="str">
        <f>IF(OR(E6193="",E6193="!!!"),"",IF(OR(J6193=0,AND(J6193=1,K6193=1),AND(J6193=1,I6193="SBJ"),AND(J6193=1,I6193=0)),"?IN_FOCUS",IF(J6193&lt;=2,"?ACTIVATED",IF(J6193&lt;&gt;"","?FAMILIAR",IF(F6193="NEW",IF(ISNA(VLOOKUP(E6193,#REF!,1,FALSE())),"?TYPE_IDENTIFIABLE","?REFERENTIAL"),"_")))))</f>
        <v> </v>
      </c>
      <c r="H6193" s="25" t="str">
        <f>IF(J6193&lt;&gt;1,"",IF(I6193="SBJ","CB","?"))</f>
        <v> </v>
      </c>
      <c r="I6193" s="26" t="str">
        <f>IF(OR(E6193="",E6193="!!!",F6193="NEW"),"",INDEX(B6192:B$2,-1+SUMPRODUCT(MAX(ROW(E6192:E$2)*(E6193=E6192:E$2)))))</f>
        <v> </v>
      </c>
      <c r="J6193" s="26" t="str">
        <f>IF(OR(E6193="",E6193="!!!",F6193="NEW"),"",COUNTBLANK(OFFSET(A$1,,,SUMPRODUCT(MAX(ROW(E$2:E6193)*(E6193=E$2:E6193)))))-COUNTBLANK(OFFSET(A$1,,,SUMPRODUCT(MAX(ROW(E$1:E6192)*(E2=E$1:E6192))))))</f>
        <v> </v>
      </c>
      <c r="K6193" s="26" t="str">
        <f>IF(OR(E6193="",E6193="!!!",F6193="NEW"),"",INDEX(J$1:J6192,SUMPRODUCT(MAX(ROW(E$1:E6192)*(E6193=E$1:E6192)))))</f>
        <v> </v>
      </c>
      <c r="L6193" s="27"/>
    </row>
    <row r="6194" spans="1:12">
      <c r="A6194" s="20" t="s">
        <v>2353</v>
      </c>
      <c r="B6194" s="21" t="s">
        <v>1005</v>
      </c>
      <c r="C6194" s="21" t="s">
        <v>1006</v>
      </c>
      <c r="E6194" s="22">
        <f>IF(D6194="?OLD","!!!","")</f>
        <v/>
      </c>
      <c r="F6194" s="23" t="str">
        <f>IF(OR(E6194="",E6194="!!!"),"",IF(NOT(ISNA(VLOOKUP(E6194,E$1:E6193,1,FALSE()))),"OLD",IF(AND(E6194&lt;&gt;"",E6194&lt;&gt;"!!!"),"NEW","")))</f>
        <v> </v>
      </c>
      <c r="G6194" s="24" t="str">
        <f>IF(OR(E6194="",E6194="!!!"),"",IF(OR(J6194=0,AND(J6194=1,K6194=1),AND(J6194=1,I6194="SBJ"),AND(J6194=1,I6194=0)),"?IN_FOCUS",IF(J6194&lt;=2,"?ACTIVATED",IF(J6194&lt;&gt;"","?FAMILIAR",IF(F6194="NEW",IF(ISNA(VLOOKUP(E6194,#REF!,1,FALSE())),"?TYPE_IDENTIFIABLE","?REFERENTIAL"),"_")))))</f>
        <v> </v>
      </c>
      <c r="H6194" s="25" t="str">
        <f>IF(J6194&lt;&gt;1,"",IF(I6194="SBJ","CB","?"))</f>
        <v> </v>
      </c>
      <c r="I6194" s="26" t="str">
        <f>IF(OR(E6194="",E6194="!!!",F6194="NEW"),"",INDEX(B6193:B$2,-1+SUMPRODUCT(MAX(ROW(E6193:E$2)*(E6194=E6193:E$2)))))</f>
        <v> </v>
      </c>
      <c r="J6194" s="26" t="str">
        <f>IF(OR(E6194="",E6194="!!!",F6194="NEW"),"",COUNTBLANK(OFFSET(A$1,,,SUMPRODUCT(MAX(ROW(E$2:E6194)*(E6194=E$2:E6194)))))-COUNTBLANK(OFFSET(A$1,,,SUMPRODUCT(MAX(ROW(E$1:E6193)*(E2=E$1:E6193))))))</f>
        <v> </v>
      </c>
      <c r="K6194" s="26" t="str">
        <f>IF(OR(E6194="",E6194="!!!",F6194="NEW"),"",INDEX(J$1:J6193,SUMPRODUCT(MAX(ROW(E$1:E6193)*(E6194=E$1:E6193)))))</f>
        <v> </v>
      </c>
      <c r="L6194" s="27"/>
    </row>
    <row r="6195" spans="1:12">
      <c r="A6195" s="20" t="s">
        <v>1082</v>
      </c>
      <c r="E6195" s="22">
        <f>IF(D6195="?OLD","!!!","")</f>
        <v/>
      </c>
      <c r="F6195" s="23" t="str">
        <f>IF(OR(E6195="",E6195="!!!"),"",IF(NOT(ISNA(VLOOKUP(E6195,E$1:E6194,1,FALSE()))),"OLD",IF(AND(E6195&lt;&gt;"",E6195&lt;&gt;"!!!"),"NEW","")))</f>
        <v> </v>
      </c>
      <c r="G6195" s="24" t="str">
        <f>IF(OR(E6195="",E6195="!!!"),"",IF(OR(J6195=0,AND(J6195=1,K6195=1),AND(J6195=1,I6195="SBJ"),AND(J6195=1,I6195=0)),"?IN_FOCUS",IF(J6195&lt;=2,"?ACTIVATED",IF(J6195&lt;&gt;"","?FAMILIAR",IF(F6195="NEW",IF(ISNA(VLOOKUP(E6195,#REF!,1,FALSE())),"?TYPE_IDENTIFIABLE","?REFERENTIAL"),"_")))))</f>
        <v> </v>
      </c>
      <c r="H6195" s="25" t="str">
        <f>IF(J6195&lt;&gt;1,"",IF(I6195="SBJ","CB","?"))</f>
        <v> </v>
      </c>
      <c r="I6195" s="26" t="str">
        <f>IF(OR(E6195="",E6195="!!!",F6195="NEW"),"",INDEX(B6194:B$2,-1+SUMPRODUCT(MAX(ROW(E6194:E$2)*(E6195=E6194:E$2)))))</f>
        <v> </v>
      </c>
      <c r="J6195" s="26" t="str">
        <f>IF(OR(E6195="",E6195="!!!",F6195="NEW"),"",COUNTBLANK(OFFSET(A$1,,,SUMPRODUCT(MAX(ROW(E$2:E6195)*(E6195=E$2:E6195)))))-COUNTBLANK(OFFSET(A$1,,,SUMPRODUCT(MAX(ROW(E$1:E6194)*(E2=E$1:E6194))))))</f>
        <v> </v>
      </c>
      <c r="K6195" s="26" t="str">
        <f>IF(OR(E6195="",E6195="!!!",F6195="NEW"),"",INDEX(J$1:J6194,SUMPRODUCT(MAX(ROW(E$1:E6194)*(E6195=E$1:E6194)))))</f>
        <v> </v>
      </c>
      <c r="L6195" s="27"/>
    </row>
    <row r="6196" spans="1:12">
      <c r="A6196" s="20" t="s">
        <v>1855</v>
      </c>
      <c r="E6196" s="22">
        <f>IF(D6196="?OLD","!!!","")</f>
        <v/>
      </c>
      <c r="F6196" s="23" t="str">
        <f>IF(OR(E6196="",E6196="!!!"),"",IF(NOT(ISNA(VLOOKUP(E6196,E$1:E6195,1,FALSE()))),"OLD",IF(AND(E6196&lt;&gt;"",E6196&lt;&gt;"!!!"),"NEW","")))</f>
        <v> </v>
      </c>
      <c r="G6196" s="24" t="str">
        <f>IF(OR(E6196="",E6196="!!!"),"",IF(OR(J6196=0,AND(J6196=1,K6196=1),AND(J6196=1,I6196="SBJ"),AND(J6196=1,I6196=0)),"?IN_FOCUS",IF(J6196&lt;=2,"?ACTIVATED",IF(J6196&lt;&gt;"","?FAMILIAR",IF(F6196="NEW",IF(ISNA(VLOOKUP(E6196,#REF!,1,FALSE())),"?TYPE_IDENTIFIABLE","?REFERENTIAL"),"_")))))</f>
        <v> </v>
      </c>
      <c r="H6196" s="25" t="str">
        <f>IF(J6196&lt;&gt;1,"",IF(I6196="SBJ","CB","?"))</f>
        <v> </v>
      </c>
      <c r="I6196" s="26" t="str">
        <f>IF(OR(E6196="",E6196="!!!",F6196="NEW"),"",INDEX(B6195:B$2,-1+SUMPRODUCT(MAX(ROW(E6195:E$2)*(E6196=E6195:E$2)))))</f>
        <v> </v>
      </c>
      <c r="J6196" s="26" t="str">
        <f>IF(OR(E6196="",E6196="!!!",F6196="NEW"),"",COUNTBLANK(OFFSET(A$1,,,SUMPRODUCT(MAX(ROW(E$2:E6196)*(E6196=E$2:E6196)))))-COUNTBLANK(OFFSET(A$1,,,SUMPRODUCT(MAX(ROW(E$1:E6195)*(E2=E$1:E6195))))))</f>
        <v> </v>
      </c>
      <c r="K6196" s="26" t="str">
        <f>IF(OR(E6196="",E6196="!!!",F6196="NEW"),"",INDEX(J$1:J6195,SUMPRODUCT(MAX(ROW(E$1:E6195)*(E6196=E$1:E6195)))))</f>
        <v> </v>
      </c>
      <c r="L6196" s="27"/>
    </row>
    <row r="6197" spans="1:12">
      <c r="A6197" s="20" t="s">
        <v>12</v>
      </c>
      <c r="E6197" s="22">
        <f>IF(D6197="?OLD","!!!","")</f>
        <v/>
      </c>
      <c r="F6197" s="23" t="str">
        <f>IF(OR(E6197="",E6197="!!!"),"",IF(NOT(ISNA(VLOOKUP(E6197,E$1:E6196,1,FALSE()))),"OLD",IF(AND(E6197&lt;&gt;"",E6197&lt;&gt;"!!!"),"NEW","")))</f>
        <v> </v>
      </c>
      <c r="G6197" s="24" t="str">
        <f>IF(OR(E6197="",E6197="!!!"),"",IF(OR(J6197=0,AND(J6197=1,K6197=1),AND(J6197=1,I6197="SBJ"),AND(J6197=1,I6197=0)),"?IN_FOCUS",IF(J6197&lt;=2,"?ACTIVATED",IF(J6197&lt;&gt;"","?FAMILIAR",IF(F6197="NEW",IF(ISNA(VLOOKUP(E6197,#REF!,1,FALSE())),"?TYPE_IDENTIFIABLE","?REFERENTIAL"),"_")))))</f>
        <v> </v>
      </c>
      <c r="H6197" s="25" t="str">
        <f>IF(J6197&lt;&gt;1,"",IF(I6197="SBJ","CB","?"))</f>
        <v> </v>
      </c>
      <c r="I6197" s="26" t="str">
        <f>IF(OR(E6197="",E6197="!!!",F6197="NEW"),"",INDEX(B6196:B$2,-1+SUMPRODUCT(MAX(ROW(E6196:E$2)*(E6197=E6196:E$2)))))</f>
        <v> </v>
      </c>
      <c r="J6197" s="26" t="str">
        <f>IF(OR(E6197="",E6197="!!!",F6197="NEW"),"",COUNTBLANK(OFFSET(A$1,,,SUMPRODUCT(MAX(ROW(E$2:E6197)*(E6197=E$2:E6197)))))-COUNTBLANK(OFFSET(A$1,,,SUMPRODUCT(MAX(ROW(E$1:E6196)*(E2=E$1:E6196))))))</f>
        <v> </v>
      </c>
      <c r="K6197" s="26" t="str">
        <f>IF(OR(E6197="",E6197="!!!",F6197="NEW"),"",INDEX(J$1:J6196,SUMPRODUCT(MAX(ROW(E$1:E6196)*(E6197=E$1:E6196)))))</f>
        <v> </v>
      </c>
      <c r="L6197" s="27"/>
    </row>
    <row r="6198" spans="1:12">
      <c r="A6198" s="20" t="s">
        <v>1079</v>
      </c>
      <c r="B6198" s="21" t="s">
        <v>1142</v>
      </c>
      <c r="C6198" s="21" t="s">
        <v>1015</v>
      </c>
      <c r="D6198" s="21" t="s">
        <v>997</v>
      </c>
      <c r="E6198" s="22">
        <f>IF(D6198="?OLD","!!!","")</f>
        <v/>
      </c>
      <c r="F6198" s="23" t="str">
        <f>IF(OR(E6198="",E6198="!!!"),"",IF(NOT(ISNA(VLOOKUP(E6198,E$1:E6197,1,FALSE()))),"OLD",IF(AND(E6198&lt;&gt;"",E6198&lt;&gt;"!!!"),"NEW","")))</f>
        <v> </v>
      </c>
      <c r="G6198" s="24" t="str">
        <f>IF(OR(E6198="",E6198="!!!"),"",IF(OR(J6198=0,AND(J6198=1,K6198=1),AND(J6198=1,I6198="SBJ"),AND(J6198=1,I6198=0)),"?IN_FOCUS",IF(J6198&lt;=2,"?ACTIVATED",IF(J6198&lt;&gt;"","?FAMILIAR",IF(F6198="NEW",IF(ISNA(VLOOKUP(E6198,#REF!,1,FALSE())),"?TYPE_IDENTIFIABLE","?REFERENTIAL"),"_")))))</f>
        <v> </v>
      </c>
      <c r="H6198" s="25" t="str">
        <f>IF(J6198&lt;&gt;1,"",IF(I6198="SBJ","CB","?"))</f>
        <v> </v>
      </c>
      <c r="I6198" s="26" t="str">
        <f>IF(OR(E6198="",E6198="!!!",F6198="NEW"),"",INDEX(B6197:B$2,-1+SUMPRODUCT(MAX(ROW(E6197:E$2)*(E6198=E6197:E$2)))))</f>
        <v> </v>
      </c>
      <c r="J6198" s="26" t="str">
        <f>IF(OR(E6198="",E6198="!!!",F6198="NEW"),"",COUNTBLANK(OFFSET(A$1,,,SUMPRODUCT(MAX(ROW(E$2:E6198)*(E6198=E$2:E6198)))))-COUNTBLANK(OFFSET(A$1,,,SUMPRODUCT(MAX(ROW(E$1:E6197)*(E2=E$1:E6197))))))</f>
        <v> </v>
      </c>
      <c r="K6198" s="26" t="str">
        <f>IF(OR(E6198="",E6198="!!!",F6198="NEW"),"",INDEX(J$1:J6197,SUMPRODUCT(MAX(ROW(E$1:E6197)*(E6198=E$1:E6197)))))</f>
        <v> </v>
      </c>
      <c r="L6198" s="27"/>
    </row>
    <row r="6199" spans="1:12">
      <c r="A6199" s="20" t="s">
        <v>1095</v>
      </c>
      <c r="E6199" s="22">
        <f>IF(D6199="?OLD","!!!","")</f>
        <v/>
      </c>
      <c r="F6199" s="23" t="str">
        <f>IF(OR(E6199="",E6199="!!!"),"",IF(NOT(ISNA(VLOOKUP(E6199,E$1:E6198,1,FALSE()))),"OLD",IF(AND(E6199&lt;&gt;"",E6199&lt;&gt;"!!!"),"NEW","")))</f>
        <v> </v>
      </c>
      <c r="G6199" s="24" t="str">
        <f>IF(OR(E6199="",E6199="!!!"),"",IF(OR(J6199=0,AND(J6199=1,K6199=1),AND(J6199=1,I6199="SBJ"),AND(J6199=1,I6199=0)),"?IN_FOCUS",IF(J6199&lt;=2,"?ACTIVATED",IF(J6199&lt;&gt;"","?FAMILIAR",IF(F6199="NEW",IF(ISNA(VLOOKUP(E6199,#REF!,1,FALSE())),"?TYPE_IDENTIFIABLE","?REFERENTIAL"),"_")))))</f>
        <v> </v>
      </c>
      <c r="H6199" s="25" t="str">
        <f>IF(J6199&lt;&gt;1,"",IF(I6199="SBJ","CB","?"))</f>
        <v> </v>
      </c>
      <c r="I6199" s="26" t="str">
        <f>IF(OR(E6199="",E6199="!!!",F6199="NEW"),"",INDEX(B6198:B$2,-1+SUMPRODUCT(MAX(ROW(E6198:E$2)*(E6199=E6198:E$2)))))</f>
        <v> </v>
      </c>
      <c r="J6199" s="26" t="str">
        <f>IF(OR(E6199="",E6199="!!!",F6199="NEW"),"",COUNTBLANK(OFFSET(A$1,,,SUMPRODUCT(MAX(ROW(E$2:E6199)*(E6199=E$2:E6199)))))-COUNTBLANK(OFFSET(A$1,,,SUMPRODUCT(MAX(ROW(E$1:E6198)*(E2=E$1:E6198))))))</f>
        <v> </v>
      </c>
      <c r="K6199" s="26" t="str">
        <f>IF(OR(E6199="",E6199="!!!",F6199="NEW"),"",INDEX(J$1:J6198,SUMPRODUCT(MAX(ROW(E$1:E6198)*(E6199=E$1:E6198)))))</f>
        <v> </v>
      </c>
      <c r="L6199" s="27"/>
    </row>
    <row r="6200" spans="1:12">
      <c r="A6200" s="20" t="s">
        <v>1149</v>
      </c>
      <c r="E6200" s="22">
        <f>IF(D6200="?OLD","!!!","")</f>
        <v/>
      </c>
      <c r="F6200" s="23" t="str">
        <f>IF(OR(E6200="",E6200="!!!"),"",IF(NOT(ISNA(VLOOKUP(E6200,E$1:E6199,1,FALSE()))),"OLD",IF(AND(E6200&lt;&gt;"",E6200&lt;&gt;"!!!"),"NEW","")))</f>
        <v> </v>
      </c>
      <c r="G6200" s="24" t="str">
        <f>IF(OR(E6200="",E6200="!!!"),"",IF(OR(J6200=0,AND(J6200=1,K6200=1),AND(J6200=1,I6200="SBJ"),AND(J6200=1,I6200=0)),"?IN_FOCUS",IF(J6200&lt;=2,"?ACTIVATED",IF(J6200&lt;&gt;"","?FAMILIAR",IF(F6200="NEW",IF(ISNA(VLOOKUP(E6200,#REF!,1,FALSE())),"?TYPE_IDENTIFIABLE","?REFERENTIAL"),"_")))))</f>
        <v> </v>
      </c>
      <c r="H6200" s="25" t="str">
        <f>IF(J6200&lt;&gt;1,"",IF(I6200="SBJ","CB","?"))</f>
        <v> </v>
      </c>
      <c r="I6200" s="26" t="str">
        <f>IF(OR(E6200="",E6200="!!!",F6200="NEW"),"",INDEX(B6199:B$2,-1+SUMPRODUCT(MAX(ROW(E6199:E$2)*(E6200=E6199:E$2)))))</f>
        <v> </v>
      </c>
      <c r="J6200" s="26" t="str">
        <f>IF(OR(E6200="",E6200="!!!",F6200="NEW"),"",COUNTBLANK(OFFSET(A$1,,,SUMPRODUCT(MAX(ROW(E$2:E6200)*(E6200=E$2:E6200)))))-COUNTBLANK(OFFSET(A$1,,,SUMPRODUCT(MAX(ROW(E$1:E6199)*(E2=E$1:E6199))))))</f>
        <v> </v>
      </c>
      <c r="K6200" s="26" t="str">
        <f>IF(OR(E6200="",E6200="!!!",F6200="NEW"),"",INDEX(J$1:J6199,SUMPRODUCT(MAX(ROW(E$1:E6199)*(E6200=E$1:E6199)))))</f>
        <v> </v>
      </c>
      <c r="L6200" s="27"/>
    </row>
    <row r="6201" spans="1:12">
      <c r="A6201" s="20" t="s">
        <v>1097</v>
      </c>
      <c r="E6201" s="22">
        <f>IF(D6201="?OLD","!!!","")</f>
        <v/>
      </c>
      <c r="F6201" s="23" t="str">
        <f>IF(OR(E6201="",E6201="!!!"),"",IF(NOT(ISNA(VLOOKUP(E6201,E$1:E6200,1,FALSE()))),"OLD",IF(AND(E6201&lt;&gt;"",E6201&lt;&gt;"!!!"),"NEW","")))</f>
        <v> </v>
      </c>
      <c r="G6201" s="24" t="str">
        <f>IF(OR(E6201="",E6201="!!!"),"",IF(OR(J6201=0,AND(J6201=1,K6201=1),AND(J6201=1,I6201="SBJ"),AND(J6201=1,I6201=0)),"?IN_FOCUS",IF(J6201&lt;=2,"?ACTIVATED",IF(J6201&lt;&gt;"","?FAMILIAR",IF(F6201="NEW",IF(ISNA(VLOOKUP(E6201,#REF!,1,FALSE())),"?TYPE_IDENTIFIABLE","?REFERENTIAL"),"_")))))</f>
        <v> </v>
      </c>
      <c r="H6201" s="25" t="str">
        <f>IF(J6201&lt;&gt;1,"",IF(I6201="SBJ","CB","?"))</f>
        <v> </v>
      </c>
      <c r="I6201" s="26" t="str">
        <f>IF(OR(E6201="",E6201="!!!",F6201="NEW"),"",INDEX(B6200:B$2,-1+SUMPRODUCT(MAX(ROW(E6200:E$2)*(E6201=E6200:E$2)))))</f>
        <v> </v>
      </c>
      <c r="J6201" s="26" t="str">
        <f>IF(OR(E6201="",E6201="!!!",F6201="NEW"),"",COUNTBLANK(OFFSET(A$1,,,SUMPRODUCT(MAX(ROW(E$2:E6201)*(E6201=E$2:E6201)))))-COUNTBLANK(OFFSET(A$1,,,SUMPRODUCT(MAX(ROW(E$1:E6200)*(E2=E$1:E6200))))))</f>
        <v> </v>
      </c>
      <c r="K6201" s="26" t="str">
        <f>IF(OR(E6201="",E6201="!!!",F6201="NEW"),"",INDEX(J$1:J6200,SUMPRODUCT(MAX(ROW(E$1:E6200)*(E6201=E$1:E6200)))))</f>
        <v> </v>
      </c>
      <c r="L6201" s="27"/>
    </row>
    <row r="6202" spans="1:12">
      <c r="A6202" s="20" t="s">
        <v>1141</v>
      </c>
      <c r="E6202" s="22">
        <f>IF(D6202="?OLD","!!!","")</f>
        <v/>
      </c>
      <c r="F6202" s="23" t="str">
        <f>IF(OR(E6202="",E6202="!!!"),"",IF(NOT(ISNA(VLOOKUP(E6202,E$1:E6201,1,FALSE()))),"OLD",IF(AND(E6202&lt;&gt;"",E6202&lt;&gt;"!!!"),"NEW","")))</f>
        <v> </v>
      </c>
      <c r="G6202" s="24" t="str">
        <f>IF(OR(E6202="",E6202="!!!"),"",IF(OR(J6202=0,AND(J6202=1,K6202=1),AND(J6202=1,I6202="SBJ"),AND(J6202=1,I6202=0)),"?IN_FOCUS",IF(J6202&lt;=2,"?ACTIVATED",IF(J6202&lt;&gt;"","?FAMILIAR",IF(F6202="NEW",IF(ISNA(VLOOKUP(E6202,#REF!,1,FALSE())),"?TYPE_IDENTIFIABLE","?REFERENTIAL"),"_")))))</f>
        <v> </v>
      </c>
      <c r="H6202" s="25" t="str">
        <f>IF(J6202&lt;&gt;1,"",IF(I6202="SBJ","CB","?"))</f>
        <v> </v>
      </c>
      <c r="I6202" s="26" t="str">
        <f>IF(OR(E6202="",E6202="!!!",F6202="NEW"),"",INDEX(B6201:B$2,-1+SUMPRODUCT(MAX(ROW(E6201:E$2)*(E6202=E6201:E$2)))))</f>
        <v> </v>
      </c>
      <c r="J6202" s="26" t="str">
        <f>IF(OR(E6202="",E6202="!!!",F6202="NEW"),"",COUNTBLANK(OFFSET(A$1,,,SUMPRODUCT(MAX(ROW(E$2:E6202)*(E6202=E$2:E6202)))))-COUNTBLANK(OFFSET(A$1,,,SUMPRODUCT(MAX(ROW(E$1:E6201)*(E2=E$1:E6201))))))</f>
        <v> </v>
      </c>
      <c r="K6202" s="26" t="str">
        <f>IF(OR(E6202="",E6202="!!!",F6202="NEW"),"",INDEX(J$1:J6201,SUMPRODUCT(MAX(ROW(E$1:E6201)*(E6202=E$1:E6201)))))</f>
        <v> </v>
      </c>
      <c r="L6202" s="27"/>
    </row>
    <row r="6203" spans="1:12">
      <c r="A6203" s="20" t="s">
        <v>2557</v>
      </c>
      <c r="E6203" s="22">
        <f>IF(D6203="?OLD","!!!","")</f>
        <v/>
      </c>
      <c r="F6203" s="23" t="str">
        <f>IF(OR(E6203="",E6203="!!!"),"",IF(NOT(ISNA(VLOOKUP(E6203,E$1:E6202,1,FALSE()))),"OLD",IF(AND(E6203&lt;&gt;"",E6203&lt;&gt;"!!!"),"NEW","")))</f>
        <v> </v>
      </c>
      <c r="G6203" s="24" t="str">
        <f>IF(OR(E6203="",E6203="!!!"),"",IF(OR(J6203=0,AND(J6203=1,K6203=1),AND(J6203=1,I6203="SBJ"),AND(J6203=1,I6203=0)),"?IN_FOCUS",IF(J6203&lt;=2,"?ACTIVATED",IF(J6203&lt;&gt;"","?FAMILIAR",IF(F6203="NEW",IF(ISNA(VLOOKUP(E6203,#REF!,1,FALSE())),"?TYPE_IDENTIFIABLE","?REFERENTIAL"),"_")))))</f>
        <v> </v>
      </c>
      <c r="H6203" s="25" t="str">
        <f>IF(J6203&lt;&gt;1,"",IF(I6203="SBJ","CB","?"))</f>
        <v> </v>
      </c>
      <c r="I6203" s="26" t="str">
        <f>IF(OR(E6203="",E6203="!!!",F6203="NEW"),"",INDEX(B6202:B$2,-1+SUMPRODUCT(MAX(ROW(E6202:E$2)*(E6203=E6202:E$2)))))</f>
        <v> </v>
      </c>
      <c r="J6203" s="26" t="str">
        <f>IF(OR(E6203="",E6203="!!!",F6203="NEW"),"",COUNTBLANK(OFFSET(A$1,,,SUMPRODUCT(MAX(ROW(E$2:E6203)*(E6203=E$2:E6203)))))-COUNTBLANK(OFFSET(A$1,,,SUMPRODUCT(MAX(ROW(E$1:E6202)*(E2=E$1:E6202))))))</f>
        <v> </v>
      </c>
      <c r="K6203" s="26" t="str">
        <f>IF(OR(E6203="",E6203="!!!",F6203="NEW"),"",INDEX(J$1:J6202,SUMPRODUCT(MAX(ROW(E$1:E6202)*(E6203=E$1:E6202)))))</f>
        <v> </v>
      </c>
      <c r="L6203" s="27"/>
    </row>
    <row r="6204" spans="1:12">
      <c r="A6204" s="20" t="s">
        <v>1011</v>
      </c>
      <c r="E6204" s="22">
        <f>IF(D6204="?OLD","!!!","")</f>
        <v/>
      </c>
      <c r="F6204" s="23" t="str">
        <f>IF(OR(E6204="",E6204="!!!"),"",IF(NOT(ISNA(VLOOKUP(E6204,E$1:E6203,1,FALSE()))),"OLD",IF(AND(E6204&lt;&gt;"",E6204&lt;&gt;"!!!"),"NEW","")))</f>
        <v> </v>
      </c>
      <c r="G6204" s="24" t="str">
        <f>IF(OR(E6204="",E6204="!!!"),"",IF(OR(J6204=0,AND(J6204=1,K6204=1),AND(J6204=1,I6204="SBJ"),AND(J6204=1,I6204=0)),"?IN_FOCUS",IF(J6204&lt;=2,"?ACTIVATED",IF(J6204&lt;&gt;"","?FAMILIAR",IF(F6204="NEW",IF(ISNA(VLOOKUP(E6204,#REF!,1,FALSE())),"?TYPE_IDENTIFIABLE","?REFERENTIAL"),"_")))))</f>
        <v> </v>
      </c>
      <c r="H6204" s="25" t="str">
        <f>IF(J6204&lt;&gt;1,"",IF(I6204="SBJ","CB","?"))</f>
        <v> </v>
      </c>
      <c r="I6204" s="26" t="str">
        <f>IF(OR(E6204="",E6204="!!!",F6204="NEW"),"",INDEX(B6203:B$2,-1+SUMPRODUCT(MAX(ROW(E6203:E$2)*(E6204=E6203:E$2)))))</f>
        <v> </v>
      </c>
      <c r="J6204" s="26" t="str">
        <f>IF(OR(E6204="",E6204="!!!",F6204="NEW"),"",COUNTBLANK(OFFSET(A$1,,,SUMPRODUCT(MAX(ROW(E$2:E6204)*(E6204=E$2:E6204)))))-COUNTBLANK(OFFSET(A$1,,,SUMPRODUCT(MAX(ROW(E$1:E6203)*(E2=E$1:E6203))))))</f>
        <v> </v>
      </c>
      <c r="K6204" s="26" t="str">
        <f>IF(OR(E6204="",E6204="!!!",F6204="NEW"),"",INDEX(J$1:J6203,SUMPRODUCT(MAX(ROW(E$1:E6203)*(E6204=E$1:E6203)))))</f>
        <v> </v>
      </c>
      <c r="L6204" s="27"/>
    </row>
    <row r="6205" spans="1:12">
      <c r="A6205" s="20"/>
    </row>
    <row r="6206" spans="1:12">
      <c r="A6206" s="20" t="s">
        <v>2558</v>
      </c>
    </row>
    <row r="6207" spans="1:12">
      <c r="A6207" s="20" t="s">
        <v>1614</v>
      </c>
      <c r="B6207" s="21" t="s">
        <v>995</v>
      </c>
      <c r="C6207" s="21" t="s">
        <v>1015</v>
      </c>
      <c r="D6207" s="21" t="s">
        <v>997</v>
      </c>
      <c r="E6207" s="22">
        <f>IF(D6207="?OLD","!!!","")</f>
        <v/>
      </c>
      <c r="F6207" s="23" t="str">
        <f>IF(OR(E6207="",E6207="!!!"),"",IF(NOT(ISNA(VLOOKUP(E6207,E$1:E6206,1,FALSE()))),"OLD",IF(AND(E6207&lt;&gt;"",E6207&lt;&gt;"!!!"),"NEW","")))</f>
        <v> </v>
      </c>
      <c r="G6207" s="24" t="str">
        <f>IF(OR(E6207="",E6207="!!!"),"",IF(OR(J6207=0,AND(J6207=1,K6207=1),AND(J6207=1,I6207="SBJ"),AND(J6207=1,I6207=0)),"?IN_FOCUS",IF(J6207&lt;=2,"?ACTIVATED",IF(J6207&lt;&gt;"","?FAMILIAR",IF(F6207="NEW",IF(ISNA(VLOOKUP(E6207,#REF!,1,FALSE())),"?TYPE_IDENTIFIABLE","?REFERENTIAL"),"_")))))</f>
        <v> </v>
      </c>
      <c r="H6207" s="25" t="str">
        <f>IF(J6207&lt;&gt;1,"",IF(I6207="SBJ","CB","?"))</f>
        <v> </v>
      </c>
      <c r="I6207" s="26" t="str">
        <f>IF(OR(E6207="",E6207="!!!",F6207="NEW"),"",INDEX(B6206:B$2,-1+SUMPRODUCT(MAX(ROW(E6206:E$2)*(E6207=E6206:E$2)))))</f>
        <v> </v>
      </c>
      <c r="J6207" s="26" t="str">
        <f>IF(OR(E6207="",E6207="!!!",F6207="NEW"),"",COUNTBLANK(OFFSET(A$1,,,SUMPRODUCT(MAX(ROW(E$2:E6207)*(E6207=E$2:E6207)))))-COUNTBLANK(OFFSET(A$1,,,SUMPRODUCT(MAX(ROW(E$1:E6206)*(E2=E$1:E6206))))))</f>
        <v> </v>
      </c>
      <c r="K6207" s="26" t="str">
        <f>IF(OR(E6207="",E6207="!!!",F6207="NEW"),"",INDEX(J$1:J6206,SUMPRODUCT(MAX(ROW(E$1:E6206)*(E6207=E$1:E6206)))))</f>
        <v> </v>
      </c>
      <c r="L6207" s="27"/>
    </row>
    <row r="6208" spans="1:12">
      <c r="A6208" s="20" t="s">
        <v>1095</v>
      </c>
      <c r="E6208" s="22">
        <f>IF(D6208="?OLD","!!!","")</f>
        <v/>
      </c>
      <c r="F6208" s="23" t="str">
        <f>IF(OR(E6208="",E6208="!!!"),"",IF(NOT(ISNA(VLOOKUP(E6208,E$1:E6207,1,FALSE()))),"OLD",IF(AND(E6208&lt;&gt;"",E6208&lt;&gt;"!!!"),"NEW","")))</f>
        <v> </v>
      </c>
      <c r="G6208" s="24" t="str">
        <f>IF(OR(E6208="",E6208="!!!"),"",IF(OR(J6208=0,AND(J6208=1,K6208=1),AND(J6208=1,I6208="SBJ"),AND(J6208=1,I6208=0)),"?IN_FOCUS",IF(J6208&lt;=2,"?ACTIVATED",IF(J6208&lt;&gt;"","?FAMILIAR",IF(F6208="NEW",IF(ISNA(VLOOKUP(E6208,#REF!,1,FALSE())),"?TYPE_IDENTIFIABLE","?REFERENTIAL"),"_")))))</f>
        <v> </v>
      </c>
      <c r="H6208" s="25" t="str">
        <f>IF(J6208&lt;&gt;1,"",IF(I6208="SBJ","CB","?"))</f>
        <v> </v>
      </c>
      <c r="I6208" s="26" t="str">
        <f>IF(OR(E6208="",E6208="!!!",F6208="NEW"),"",INDEX(B6207:B$2,-1+SUMPRODUCT(MAX(ROW(E6207:E$2)*(E6208=E6207:E$2)))))</f>
        <v> </v>
      </c>
      <c r="J6208" s="26" t="str">
        <f>IF(OR(E6208="",E6208="!!!",F6208="NEW"),"",COUNTBLANK(OFFSET(A$1,,,SUMPRODUCT(MAX(ROW(E$2:E6208)*(E6208=E$2:E6208)))))-COUNTBLANK(OFFSET(A$1,,,SUMPRODUCT(MAX(ROW(E$1:E6207)*(E2=E$1:E6207))))))</f>
        <v> </v>
      </c>
      <c r="K6208" s="26" t="str">
        <f>IF(OR(E6208="",E6208="!!!",F6208="NEW"),"",INDEX(J$1:J6207,SUMPRODUCT(MAX(ROW(E$1:E6207)*(E6208=E$1:E6207)))))</f>
        <v> </v>
      </c>
      <c r="L6208" s="27"/>
    </row>
    <row r="6209" spans="1:12">
      <c r="A6209" s="20" t="s">
        <v>2559</v>
      </c>
      <c r="E6209" s="22">
        <f>IF(D6209="?OLD","!!!","")</f>
        <v/>
      </c>
      <c r="F6209" s="23" t="str">
        <f>IF(OR(E6209="",E6209="!!!"),"",IF(NOT(ISNA(VLOOKUP(E6209,E$1:E6208,1,FALSE()))),"OLD",IF(AND(E6209&lt;&gt;"",E6209&lt;&gt;"!!!"),"NEW","")))</f>
        <v> </v>
      </c>
      <c r="G6209" s="24" t="str">
        <f>IF(OR(E6209="",E6209="!!!"),"",IF(OR(J6209=0,AND(J6209=1,K6209=1),AND(J6209=1,I6209="SBJ"),AND(J6209=1,I6209=0)),"?IN_FOCUS",IF(J6209&lt;=2,"?ACTIVATED",IF(J6209&lt;&gt;"","?FAMILIAR",IF(F6209="NEW",IF(ISNA(VLOOKUP(E6209,#REF!,1,FALSE())),"?TYPE_IDENTIFIABLE","?REFERENTIAL"),"_")))))</f>
        <v> </v>
      </c>
      <c r="H6209" s="25" t="str">
        <f>IF(J6209&lt;&gt;1,"",IF(I6209="SBJ","CB","?"))</f>
        <v> </v>
      </c>
      <c r="I6209" s="26" t="str">
        <f>IF(OR(E6209="",E6209="!!!",F6209="NEW"),"",INDEX(B6208:B$2,-1+SUMPRODUCT(MAX(ROW(E6208:E$2)*(E6209=E6208:E$2)))))</f>
        <v> </v>
      </c>
      <c r="J6209" s="26" t="str">
        <f>IF(OR(E6209="",E6209="!!!",F6209="NEW"),"",COUNTBLANK(OFFSET(A$1,,,SUMPRODUCT(MAX(ROW(E$2:E6209)*(E6209=E$2:E6209)))))-COUNTBLANK(OFFSET(A$1,,,SUMPRODUCT(MAX(ROW(E$1:E6208)*(E2=E$1:E6208))))))</f>
        <v> </v>
      </c>
      <c r="K6209" s="26" t="str">
        <f>IF(OR(E6209="",E6209="!!!",F6209="NEW"),"",INDEX(J$1:J6208,SUMPRODUCT(MAX(ROW(E$1:E6208)*(E6209=E$1:E6208)))))</f>
        <v> </v>
      </c>
      <c r="L6209" s="27"/>
    </row>
    <row r="6210" spans="1:12">
      <c r="A6210" s="20" t="s">
        <v>1097</v>
      </c>
      <c r="E6210" s="22">
        <f>IF(D6210="?OLD","!!!","")</f>
        <v/>
      </c>
      <c r="F6210" s="23" t="str">
        <f>IF(OR(E6210="",E6210="!!!"),"",IF(NOT(ISNA(VLOOKUP(E6210,E$1:E6209,1,FALSE()))),"OLD",IF(AND(E6210&lt;&gt;"",E6210&lt;&gt;"!!!"),"NEW","")))</f>
        <v> </v>
      </c>
      <c r="G6210" s="24" t="str">
        <f>IF(OR(E6210="",E6210="!!!"),"",IF(OR(J6210=0,AND(J6210=1,K6210=1),AND(J6210=1,I6210="SBJ"),AND(J6210=1,I6210=0)),"?IN_FOCUS",IF(J6210&lt;=2,"?ACTIVATED",IF(J6210&lt;&gt;"","?FAMILIAR",IF(F6210="NEW",IF(ISNA(VLOOKUP(E6210,#REF!,1,FALSE())),"?TYPE_IDENTIFIABLE","?REFERENTIAL"),"_")))))</f>
        <v> </v>
      </c>
      <c r="H6210" s="25" t="str">
        <f>IF(J6210&lt;&gt;1,"",IF(I6210="SBJ","CB","?"))</f>
        <v> </v>
      </c>
      <c r="I6210" s="26" t="str">
        <f>IF(OR(E6210="",E6210="!!!",F6210="NEW"),"",INDEX(B6209:B$2,-1+SUMPRODUCT(MAX(ROW(E6209:E$2)*(E6210=E6209:E$2)))))</f>
        <v> </v>
      </c>
      <c r="J6210" s="26" t="str">
        <f>IF(OR(E6210="",E6210="!!!",F6210="NEW"),"",COUNTBLANK(OFFSET(A$1,,,SUMPRODUCT(MAX(ROW(E$2:E6210)*(E6210=E$2:E6210)))))-COUNTBLANK(OFFSET(A$1,,,SUMPRODUCT(MAX(ROW(E$1:E6209)*(E2=E$1:E6209))))))</f>
        <v> </v>
      </c>
      <c r="K6210" s="26" t="str">
        <f>IF(OR(E6210="",E6210="!!!",F6210="NEW"),"",INDEX(J$1:J6209,SUMPRODUCT(MAX(ROW(E$1:E6209)*(E6210=E$1:E6209)))))</f>
        <v> </v>
      </c>
      <c r="L6210" s="27"/>
    </row>
    <row r="6211" spans="1:12">
      <c r="A6211" s="20" t="s">
        <v>1037</v>
      </c>
      <c r="E6211" s="22">
        <f>IF(D6211="?OLD","!!!","")</f>
        <v/>
      </c>
      <c r="F6211" s="23" t="str">
        <f>IF(OR(E6211="",E6211="!!!"),"",IF(NOT(ISNA(VLOOKUP(E6211,E$1:E6210,1,FALSE()))),"OLD",IF(AND(E6211&lt;&gt;"",E6211&lt;&gt;"!!!"),"NEW","")))</f>
        <v> </v>
      </c>
      <c r="G6211" s="24" t="str">
        <f>IF(OR(E6211="",E6211="!!!"),"",IF(OR(J6211=0,AND(J6211=1,K6211=1),AND(J6211=1,I6211="SBJ"),AND(J6211=1,I6211=0)),"?IN_FOCUS",IF(J6211&lt;=2,"?ACTIVATED",IF(J6211&lt;&gt;"","?FAMILIAR",IF(F6211="NEW",IF(ISNA(VLOOKUP(E6211,#REF!,1,FALSE())),"?TYPE_IDENTIFIABLE","?REFERENTIAL"),"_")))))</f>
        <v> </v>
      </c>
      <c r="H6211" s="25" t="str">
        <f>IF(J6211&lt;&gt;1,"",IF(I6211="SBJ","CB","?"))</f>
        <v> </v>
      </c>
      <c r="I6211" s="26" t="str">
        <f>IF(OR(E6211="",E6211="!!!",F6211="NEW"),"",INDEX(B6210:B$2,-1+SUMPRODUCT(MAX(ROW(E6210:E$2)*(E6211=E6210:E$2)))))</f>
        <v> </v>
      </c>
      <c r="J6211" s="26" t="str">
        <f>IF(OR(E6211="",E6211="!!!",F6211="NEW"),"",COUNTBLANK(OFFSET(A$1,,,SUMPRODUCT(MAX(ROW(E$2:E6211)*(E6211=E$2:E6211)))))-COUNTBLANK(OFFSET(A$1,,,SUMPRODUCT(MAX(ROW(E$1:E6210)*(E2=E$1:E6210))))))</f>
        <v> </v>
      </c>
      <c r="K6211" s="26" t="str">
        <f>IF(OR(E6211="",E6211="!!!",F6211="NEW"),"",INDEX(J$1:J6210,SUMPRODUCT(MAX(ROW(E$1:E6210)*(E6211=E$1:E6210)))))</f>
        <v> </v>
      </c>
      <c r="L6211" s="27"/>
    </row>
    <row r="6212" spans="1:12">
      <c r="A6212" s="20" t="s">
        <v>1486</v>
      </c>
      <c r="E6212" s="22">
        <f>IF(D6212="?OLD","!!!","")</f>
        <v/>
      </c>
      <c r="F6212" s="23" t="str">
        <f>IF(OR(E6212="",E6212="!!!"),"",IF(NOT(ISNA(VLOOKUP(E6212,E$1:E6211,1,FALSE()))),"OLD",IF(AND(E6212&lt;&gt;"",E6212&lt;&gt;"!!!"),"NEW","")))</f>
        <v> </v>
      </c>
      <c r="G6212" s="24" t="str">
        <f>IF(OR(E6212="",E6212="!!!"),"",IF(OR(J6212=0,AND(J6212=1,K6212=1),AND(J6212=1,I6212="SBJ"),AND(J6212=1,I6212=0)),"?IN_FOCUS",IF(J6212&lt;=2,"?ACTIVATED",IF(J6212&lt;&gt;"","?FAMILIAR",IF(F6212="NEW",IF(ISNA(VLOOKUP(E6212,#REF!,1,FALSE())),"?TYPE_IDENTIFIABLE","?REFERENTIAL"),"_")))))</f>
        <v> </v>
      </c>
      <c r="H6212" s="25" t="str">
        <f>IF(J6212&lt;&gt;1,"",IF(I6212="SBJ","CB","?"))</f>
        <v> </v>
      </c>
      <c r="I6212" s="26" t="str">
        <f>IF(OR(E6212="",E6212="!!!",F6212="NEW"),"",INDEX(B6211:B$2,-1+SUMPRODUCT(MAX(ROW(E6211:E$2)*(E6212=E6211:E$2)))))</f>
        <v> </v>
      </c>
      <c r="J6212" s="26" t="str">
        <f>IF(OR(E6212="",E6212="!!!",F6212="NEW"),"",COUNTBLANK(OFFSET(A$1,,,SUMPRODUCT(MAX(ROW(E$2:E6212)*(E6212=E$2:E6212)))))-COUNTBLANK(OFFSET(A$1,,,SUMPRODUCT(MAX(ROW(E$1:E6211)*(E2=E$1:E6211))))))</f>
        <v> </v>
      </c>
      <c r="K6212" s="26" t="str">
        <f>IF(OR(E6212="",E6212="!!!",F6212="NEW"),"",INDEX(J$1:J6211,SUMPRODUCT(MAX(ROW(E$1:E6211)*(E6212=E$1:E6211)))))</f>
        <v> </v>
      </c>
      <c r="L6212" s="27"/>
    </row>
    <row r="6213" spans="1:12">
      <c r="A6213" s="20" t="s">
        <v>2560</v>
      </c>
      <c r="B6213" s="21" t="s">
        <v>1101</v>
      </c>
      <c r="C6213" s="21" t="s">
        <v>1034</v>
      </c>
      <c r="D6213" s="21" t="s">
        <v>997</v>
      </c>
      <c r="E6213" s="22">
        <f>IF(D6213="?OLD","!!!","")</f>
        <v/>
      </c>
      <c r="F6213" s="23" t="str">
        <f>IF(OR(E6213="",E6213="!!!"),"",IF(NOT(ISNA(VLOOKUP(E6213,E$1:E6212,1,FALSE()))),"OLD",IF(AND(E6213&lt;&gt;"",E6213&lt;&gt;"!!!"),"NEW","")))</f>
        <v> </v>
      </c>
      <c r="G6213" s="24" t="str">
        <f>IF(OR(E6213="",E6213="!!!"),"",IF(OR(J6213=0,AND(J6213=1,K6213=1),AND(J6213=1,I6213="SBJ"),AND(J6213=1,I6213=0)),"?IN_FOCUS",IF(J6213&lt;=2,"?ACTIVATED",IF(J6213&lt;&gt;"","?FAMILIAR",IF(F6213="NEW",IF(ISNA(VLOOKUP(E6213,#REF!,1,FALSE())),"?TYPE_IDENTIFIABLE","?REFERENTIAL"),"_")))))</f>
        <v> </v>
      </c>
      <c r="H6213" s="25" t="str">
        <f>IF(J6213&lt;&gt;1,"",IF(I6213="SBJ","CB","?"))</f>
        <v> </v>
      </c>
      <c r="I6213" s="26" t="str">
        <f>IF(OR(E6213="",E6213="!!!",F6213="NEW"),"",INDEX(B6212:B$2,-1+SUMPRODUCT(MAX(ROW(E6212:E$2)*(E6213=E6212:E$2)))))</f>
        <v> </v>
      </c>
      <c r="J6213" s="26" t="str">
        <f>IF(OR(E6213="",E6213="!!!",F6213="NEW"),"",COUNTBLANK(OFFSET(A$1,,,SUMPRODUCT(MAX(ROW(E$2:E6213)*(E6213=E$2:E6213)))))-COUNTBLANK(OFFSET(A$1,,,SUMPRODUCT(MAX(ROW(E$1:E6212)*(E2=E$1:E6212))))))</f>
        <v> </v>
      </c>
      <c r="K6213" s="26" t="str">
        <f>IF(OR(E6213="",E6213="!!!",F6213="NEW"),"",INDEX(J$1:J6212,SUMPRODUCT(MAX(ROW(E$1:E6212)*(E6213=E$1:E6212)))))</f>
        <v> </v>
      </c>
      <c r="L6213" s="27"/>
    </row>
    <row r="6214" spans="1:12">
      <c r="A6214" s="20" t="s">
        <v>1008</v>
      </c>
      <c r="E6214" s="22">
        <f>IF(D6214="?OLD","!!!","")</f>
        <v/>
      </c>
      <c r="F6214" s="23" t="str">
        <f>IF(OR(E6214="",E6214="!!!"),"",IF(NOT(ISNA(VLOOKUP(E6214,E$1:E6213,1,FALSE()))),"OLD",IF(AND(E6214&lt;&gt;"",E6214&lt;&gt;"!!!"),"NEW","")))</f>
        <v> </v>
      </c>
      <c r="G6214" s="24" t="str">
        <f>IF(OR(E6214="",E6214="!!!"),"",IF(OR(J6214=0,AND(J6214=1,K6214=1),AND(J6214=1,I6214="SBJ"),AND(J6214=1,I6214=0)),"?IN_FOCUS",IF(J6214&lt;=2,"?ACTIVATED",IF(J6214&lt;&gt;"","?FAMILIAR",IF(F6214="NEW",IF(ISNA(VLOOKUP(E6214,#REF!,1,FALSE())),"?TYPE_IDENTIFIABLE","?REFERENTIAL"),"_")))))</f>
        <v> </v>
      </c>
      <c r="H6214" s="25" t="str">
        <f>IF(J6214&lt;&gt;1,"",IF(I6214="SBJ","CB","?"))</f>
        <v> </v>
      </c>
      <c r="I6214" s="26" t="str">
        <f>IF(OR(E6214="",E6214="!!!",F6214="NEW"),"",INDEX(B6213:B$2,-1+SUMPRODUCT(MAX(ROW(E6213:E$2)*(E6214=E6213:E$2)))))</f>
        <v> </v>
      </c>
      <c r="J6214" s="26" t="str">
        <f>IF(OR(E6214="",E6214="!!!",F6214="NEW"),"",COUNTBLANK(OFFSET(A$1,,,SUMPRODUCT(MAX(ROW(E$2:E6214)*(E6214=E$2:E6214)))))-COUNTBLANK(OFFSET(A$1,,,SUMPRODUCT(MAX(ROW(E$1:E6213)*(E2=E$1:E6213))))))</f>
        <v> </v>
      </c>
      <c r="K6214" s="26" t="str">
        <f>IF(OR(E6214="",E6214="!!!",F6214="NEW"),"",INDEX(J$1:J6213,SUMPRODUCT(MAX(ROW(E$1:E6213)*(E6214=E$1:E6213)))))</f>
        <v> </v>
      </c>
      <c r="L6214" s="27"/>
    </row>
    <row r="6215" spans="1:12">
      <c r="A6215" s="20" t="s">
        <v>2536</v>
      </c>
      <c r="B6215" s="21" t="s">
        <v>1005</v>
      </c>
      <c r="C6215" s="21" t="s">
        <v>1006</v>
      </c>
      <c r="E6215" s="22">
        <f>IF(D6215="?OLD","!!!","")</f>
        <v/>
      </c>
      <c r="F6215" s="23" t="str">
        <f>IF(OR(E6215="",E6215="!!!"),"",IF(NOT(ISNA(VLOOKUP(E6215,E$1:E6214,1,FALSE()))),"OLD",IF(AND(E6215&lt;&gt;"",E6215&lt;&gt;"!!!"),"NEW","")))</f>
        <v> </v>
      </c>
      <c r="G6215" s="24" t="str">
        <f>IF(OR(E6215="",E6215="!!!"),"",IF(OR(J6215=0,AND(J6215=1,K6215=1),AND(J6215=1,I6215="SBJ"),AND(J6215=1,I6215=0)),"?IN_FOCUS",IF(J6215&lt;=2,"?ACTIVATED",IF(J6215&lt;&gt;"","?FAMILIAR",IF(F6215="NEW",IF(ISNA(VLOOKUP(E6215,#REF!,1,FALSE())),"?TYPE_IDENTIFIABLE","?REFERENTIAL"),"_")))))</f>
        <v> </v>
      </c>
      <c r="H6215" s="25" t="str">
        <f>IF(J6215&lt;&gt;1,"",IF(I6215="SBJ","CB","?"))</f>
        <v> </v>
      </c>
      <c r="I6215" s="26" t="str">
        <f>IF(OR(E6215="",E6215="!!!",F6215="NEW"),"",INDEX(B6214:B$2,-1+SUMPRODUCT(MAX(ROW(E6214:E$2)*(E6215=E6214:E$2)))))</f>
        <v> </v>
      </c>
      <c r="J6215" s="26" t="str">
        <f>IF(OR(E6215="",E6215="!!!",F6215="NEW"),"",COUNTBLANK(OFFSET(A$1,,,SUMPRODUCT(MAX(ROW(E$2:E6215)*(E6215=E$2:E6215)))))-COUNTBLANK(OFFSET(A$1,,,SUMPRODUCT(MAX(ROW(E$1:E6214)*(E2=E$1:E6214))))))</f>
        <v> </v>
      </c>
      <c r="K6215" s="26" t="str">
        <f>IF(OR(E6215="",E6215="!!!",F6215="NEW"),"",INDEX(J$1:J6214,SUMPRODUCT(MAX(ROW(E$1:E6214)*(E6215=E$1:E6214)))))</f>
        <v> </v>
      </c>
      <c r="L6215" s="27"/>
    </row>
    <row r="6216" spans="1:12">
      <c r="A6216" s="20" t="s">
        <v>1069</v>
      </c>
      <c r="E6216" s="22">
        <f>IF(D6216="?OLD","!!!","")</f>
        <v/>
      </c>
      <c r="F6216" s="23" t="str">
        <f>IF(OR(E6216="",E6216="!!!"),"",IF(NOT(ISNA(VLOOKUP(E6216,E$1:E6215,1,FALSE()))),"OLD",IF(AND(E6216&lt;&gt;"",E6216&lt;&gt;"!!!"),"NEW","")))</f>
        <v> </v>
      </c>
      <c r="G6216" s="24" t="str">
        <f>IF(OR(E6216="",E6216="!!!"),"",IF(OR(J6216=0,AND(J6216=1,K6216=1),AND(J6216=1,I6216="SBJ"),AND(J6216=1,I6216=0)),"?IN_FOCUS",IF(J6216&lt;=2,"?ACTIVATED",IF(J6216&lt;&gt;"","?FAMILIAR",IF(F6216="NEW",IF(ISNA(VLOOKUP(E6216,#REF!,1,FALSE())),"?TYPE_IDENTIFIABLE","?REFERENTIAL"),"_")))))</f>
        <v> </v>
      </c>
      <c r="H6216" s="25" t="str">
        <f>IF(J6216&lt;&gt;1,"",IF(I6216="SBJ","CB","?"))</f>
        <v> </v>
      </c>
      <c r="I6216" s="26" t="str">
        <f>IF(OR(E6216="",E6216="!!!",F6216="NEW"),"",INDEX(B6215:B$2,-1+SUMPRODUCT(MAX(ROW(E6215:E$2)*(E6216=E6215:E$2)))))</f>
        <v> </v>
      </c>
      <c r="J6216" s="26" t="str">
        <f>IF(OR(E6216="",E6216="!!!",F6216="NEW"),"",COUNTBLANK(OFFSET(A$1,,,SUMPRODUCT(MAX(ROW(E$2:E6216)*(E6216=E$2:E6216)))))-COUNTBLANK(OFFSET(A$1,,,SUMPRODUCT(MAX(ROW(E$1:E6215)*(E2=E$1:E6215))))))</f>
        <v> </v>
      </c>
      <c r="K6216" s="26" t="str">
        <f>IF(OR(E6216="",E6216="!!!",F6216="NEW"),"",INDEX(J$1:J6215,SUMPRODUCT(MAX(ROW(E$1:E6215)*(E6216=E$1:E6215)))))</f>
        <v> </v>
      </c>
      <c r="L6216" s="27"/>
    </row>
    <row r="6217" spans="1:12">
      <c r="A6217" s="20" t="s">
        <v>1340</v>
      </c>
      <c r="B6217" s="21" t="s">
        <v>1067</v>
      </c>
      <c r="C6217" s="21" t="s">
        <v>1006</v>
      </c>
      <c r="E6217" s="22">
        <f>IF(D6217="?OLD","!!!","")</f>
        <v/>
      </c>
      <c r="F6217" s="23" t="str">
        <f>IF(OR(E6217="",E6217="!!!"),"",IF(NOT(ISNA(VLOOKUP(E6217,E$1:E6216,1,FALSE()))),"OLD",IF(AND(E6217&lt;&gt;"",E6217&lt;&gt;"!!!"),"NEW","")))</f>
        <v> </v>
      </c>
      <c r="G6217" s="24" t="str">
        <f>IF(OR(E6217="",E6217="!!!"),"",IF(OR(J6217=0,AND(J6217=1,K6217=1),AND(J6217=1,I6217="SBJ"),AND(J6217=1,I6217=0)),"?IN_FOCUS",IF(J6217&lt;=2,"?ACTIVATED",IF(J6217&lt;&gt;"","?FAMILIAR",IF(F6217="NEW",IF(ISNA(VLOOKUP(E6217,#REF!,1,FALSE())),"?TYPE_IDENTIFIABLE","?REFERENTIAL"),"_")))))</f>
        <v> </v>
      </c>
      <c r="H6217" s="25" t="str">
        <f>IF(J6217&lt;&gt;1,"",IF(I6217="SBJ","CB","?"))</f>
        <v> </v>
      </c>
      <c r="I6217" s="26" t="str">
        <f>IF(OR(E6217="",E6217="!!!",F6217="NEW"),"",INDEX(B6216:B$2,-1+SUMPRODUCT(MAX(ROW(E6216:E$2)*(E6217=E6216:E$2)))))</f>
        <v> </v>
      </c>
      <c r="J6217" s="26" t="str">
        <f>IF(OR(E6217="",E6217="!!!",F6217="NEW"),"",COUNTBLANK(OFFSET(A$1,,,SUMPRODUCT(MAX(ROW(E$2:E6217)*(E6217=E$2:E6217)))))-COUNTBLANK(OFFSET(A$1,,,SUMPRODUCT(MAX(ROW(E$1:E6216)*(E2=E$1:E6216))))))</f>
        <v> </v>
      </c>
      <c r="K6217" s="26" t="str">
        <f>IF(OR(E6217="",E6217="!!!",F6217="NEW"),"",INDEX(J$1:J6216,SUMPRODUCT(MAX(ROW(E$1:E6216)*(E6217=E$1:E6216)))))</f>
        <v> </v>
      </c>
      <c r="L6217" s="27"/>
    </row>
    <row r="6218" spans="1:12">
      <c r="A6218" s="20" t="s">
        <v>1011</v>
      </c>
      <c r="E6218" s="22">
        <f>IF(D6218="?OLD","!!!","")</f>
        <v/>
      </c>
      <c r="F6218" s="23" t="str">
        <f>IF(OR(E6218="",E6218="!!!"),"",IF(NOT(ISNA(VLOOKUP(E6218,E$1:E6217,1,FALSE()))),"OLD",IF(AND(E6218&lt;&gt;"",E6218&lt;&gt;"!!!"),"NEW","")))</f>
        <v> </v>
      </c>
      <c r="G6218" s="24" t="str">
        <f>IF(OR(E6218="",E6218="!!!"),"",IF(OR(J6218=0,AND(J6218=1,K6218=1),AND(J6218=1,I6218="SBJ"),AND(J6218=1,I6218=0)),"?IN_FOCUS",IF(J6218&lt;=2,"?ACTIVATED",IF(J6218&lt;&gt;"","?FAMILIAR",IF(F6218="NEW",IF(ISNA(VLOOKUP(E6218,#REF!,1,FALSE())),"?TYPE_IDENTIFIABLE","?REFERENTIAL"),"_")))))</f>
        <v> </v>
      </c>
      <c r="H6218" s="25" t="str">
        <f>IF(J6218&lt;&gt;1,"",IF(I6218="SBJ","CB","?"))</f>
        <v> </v>
      </c>
      <c r="I6218" s="26" t="str">
        <f>IF(OR(E6218="",E6218="!!!",F6218="NEW"),"",INDEX(B6217:B$2,-1+SUMPRODUCT(MAX(ROW(E6217:E$2)*(E6218=E6217:E$2)))))</f>
        <v> </v>
      </c>
      <c r="J6218" s="26" t="str">
        <f>IF(OR(E6218="",E6218="!!!",F6218="NEW"),"",COUNTBLANK(OFFSET(A$1,,,SUMPRODUCT(MAX(ROW(E$2:E6218)*(E6218=E$2:E6218)))))-COUNTBLANK(OFFSET(A$1,,,SUMPRODUCT(MAX(ROW(E$1:E6217)*(E2=E$1:E6217))))))</f>
        <v> </v>
      </c>
      <c r="K6218" s="26" t="str">
        <f>IF(OR(E6218="",E6218="!!!",F6218="NEW"),"",INDEX(J$1:J6217,SUMPRODUCT(MAX(ROW(E$1:E6217)*(E6218=E$1:E6217)))))</f>
        <v> </v>
      </c>
      <c r="L6218" s="27"/>
    </row>
    <row r="6219" spans="1:12">
      <c r="A6219" s="20"/>
    </row>
    <row r="6220" spans="1:12">
      <c r="A6220" s="20" t="s">
        <v>2561</v>
      </c>
    </row>
    <row r="6221" spans="1:12">
      <c r="A6221" s="20" t="s">
        <v>1304</v>
      </c>
      <c r="E6221" s="22">
        <f>IF(D6221="?OLD","!!!","")</f>
        <v/>
      </c>
      <c r="F6221" s="23" t="str">
        <f>IF(OR(E6221="",E6221="!!!"),"",IF(NOT(ISNA(VLOOKUP(E6221,E$1:E6220,1,FALSE()))),"OLD",IF(AND(E6221&lt;&gt;"",E6221&lt;&gt;"!!!"),"NEW","")))</f>
        <v> </v>
      </c>
      <c r="G6221" s="24" t="str">
        <f>IF(OR(E6221="",E6221="!!!"),"",IF(OR(J6221=0,AND(J6221=1,K6221=1),AND(J6221=1,I6221="SBJ"),AND(J6221=1,I6221=0)),"?IN_FOCUS",IF(J6221&lt;=2,"?ACTIVATED",IF(J6221&lt;&gt;"","?FAMILIAR",IF(F6221="NEW",IF(ISNA(VLOOKUP(E6221,#REF!,1,FALSE())),"?TYPE_IDENTIFIABLE","?REFERENTIAL"),"_")))))</f>
        <v> </v>
      </c>
      <c r="H6221" s="25" t="str">
        <f>IF(J6221&lt;&gt;1,"",IF(I6221="SBJ","CB","?"))</f>
        <v> </v>
      </c>
      <c r="I6221" s="26" t="str">
        <f>IF(OR(E6221="",E6221="!!!",F6221="NEW"),"",INDEX(B6220:B$2,-1+SUMPRODUCT(MAX(ROW(E6220:E$2)*(E6221=E6220:E$2)))))</f>
        <v> </v>
      </c>
      <c r="J6221" s="26" t="str">
        <f>IF(OR(E6221="",E6221="!!!",F6221="NEW"),"",COUNTBLANK(OFFSET(A$1,,,SUMPRODUCT(MAX(ROW(E$2:E6221)*(E6221=E$2:E6221)))))-COUNTBLANK(OFFSET(A$1,,,SUMPRODUCT(MAX(ROW(E$1:E6220)*(E2=E$1:E6220))))))</f>
        <v> </v>
      </c>
      <c r="K6221" s="26" t="str">
        <f>IF(OR(E6221="",E6221="!!!",F6221="NEW"),"",INDEX(J$1:J6220,SUMPRODUCT(MAX(ROW(E$1:E6220)*(E6221=E$1:E6220)))))</f>
        <v> </v>
      </c>
      <c r="L6221" s="27"/>
    </row>
    <row r="6222" spans="1:12">
      <c r="A6222" s="20" t="s">
        <v>1090</v>
      </c>
      <c r="E6222" s="22">
        <f>IF(D6222="?OLD","!!!","")</f>
        <v/>
      </c>
      <c r="F6222" s="23" t="str">
        <f>IF(OR(E6222="",E6222="!!!"),"",IF(NOT(ISNA(VLOOKUP(E6222,E$1:E6221,1,FALSE()))),"OLD",IF(AND(E6222&lt;&gt;"",E6222&lt;&gt;"!!!"),"NEW","")))</f>
        <v> </v>
      </c>
      <c r="G6222" s="24" t="str">
        <f>IF(OR(E6222="",E6222="!!!"),"",IF(OR(J6222=0,AND(J6222=1,K6222=1),AND(J6222=1,I6222="SBJ"),AND(J6222=1,I6222=0)),"?IN_FOCUS",IF(J6222&lt;=2,"?ACTIVATED",IF(J6222&lt;&gt;"","?FAMILIAR",IF(F6222="NEW",IF(ISNA(VLOOKUP(E6222,#REF!,1,FALSE())),"?TYPE_IDENTIFIABLE","?REFERENTIAL"),"_")))))</f>
        <v> </v>
      </c>
      <c r="H6222" s="25" t="str">
        <f>IF(J6222&lt;&gt;1,"",IF(I6222="SBJ","CB","?"))</f>
        <v> </v>
      </c>
      <c r="I6222" s="26" t="str">
        <f>IF(OR(E6222="",E6222="!!!",F6222="NEW"),"",INDEX(B6221:B$2,-1+SUMPRODUCT(MAX(ROW(E6221:E$2)*(E6222=E6221:E$2)))))</f>
        <v> </v>
      </c>
      <c r="J6222" s="26" t="str">
        <f>IF(OR(E6222="",E6222="!!!",F6222="NEW"),"",COUNTBLANK(OFFSET(A$1,,,SUMPRODUCT(MAX(ROW(E$2:E6222)*(E6222=E$2:E6222)))))-COUNTBLANK(OFFSET(A$1,,,SUMPRODUCT(MAX(ROW(E$1:E6221)*(E2=E$1:E6221))))))</f>
        <v> </v>
      </c>
      <c r="K6222" s="26" t="str">
        <f>IF(OR(E6222="",E6222="!!!",F6222="NEW"),"",INDEX(J$1:J6221,SUMPRODUCT(MAX(ROW(E$1:E6221)*(E6222=E$1:E6221)))))</f>
        <v> </v>
      </c>
      <c r="L6222" s="27"/>
    </row>
    <row r="6223" spans="1:12">
      <c r="A6223" s="20" t="s">
        <v>1037</v>
      </c>
      <c r="E6223" s="22">
        <f>IF(D6223="?OLD","!!!","")</f>
        <v/>
      </c>
      <c r="F6223" s="23" t="str">
        <f>IF(OR(E6223="",E6223="!!!"),"",IF(NOT(ISNA(VLOOKUP(E6223,E$1:E6222,1,FALSE()))),"OLD",IF(AND(E6223&lt;&gt;"",E6223&lt;&gt;"!!!"),"NEW","")))</f>
        <v> </v>
      </c>
      <c r="G6223" s="24" t="str">
        <f>IF(OR(E6223="",E6223="!!!"),"",IF(OR(J6223=0,AND(J6223=1,K6223=1),AND(J6223=1,I6223="SBJ"),AND(J6223=1,I6223=0)),"?IN_FOCUS",IF(J6223&lt;=2,"?ACTIVATED",IF(J6223&lt;&gt;"","?FAMILIAR",IF(F6223="NEW",IF(ISNA(VLOOKUP(E6223,#REF!,1,FALSE())),"?TYPE_IDENTIFIABLE","?REFERENTIAL"),"_")))))</f>
        <v> </v>
      </c>
      <c r="H6223" s="25" t="str">
        <f>IF(J6223&lt;&gt;1,"",IF(I6223="SBJ","CB","?"))</f>
        <v> </v>
      </c>
      <c r="I6223" s="26" t="str">
        <f>IF(OR(E6223="",E6223="!!!",F6223="NEW"),"",INDEX(B6222:B$2,-1+SUMPRODUCT(MAX(ROW(E6222:E$2)*(E6223=E6222:E$2)))))</f>
        <v> </v>
      </c>
      <c r="J6223" s="26" t="str">
        <f>IF(OR(E6223="",E6223="!!!",F6223="NEW"),"",COUNTBLANK(OFFSET(A$1,,,SUMPRODUCT(MAX(ROW(E$2:E6223)*(E6223=E$2:E6223)))))-COUNTBLANK(OFFSET(A$1,,,SUMPRODUCT(MAX(ROW(E$1:E6222)*(E2=E$1:E6222))))))</f>
        <v> </v>
      </c>
      <c r="K6223" s="26" t="str">
        <f>IF(OR(E6223="",E6223="!!!",F6223="NEW"),"",INDEX(J$1:J6222,SUMPRODUCT(MAX(ROW(E$1:E6222)*(E6223=E$1:E6222)))))</f>
        <v> </v>
      </c>
      <c r="L6223" s="27"/>
    </row>
    <row r="6224" spans="1:12">
      <c r="A6224" s="20" t="s">
        <v>1560</v>
      </c>
      <c r="B6224" s="21" t="s">
        <v>995</v>
      </c>
      <c r="C6224" s="21" t="s">
        <v>1034</v>
      </c>
      <c r="D6224" s="21" t="s">
        <v>997</v>
      </c>
      <c r="E6224" s="22">
        <f>IF(D6224="?OLD","!!!","")</f>
        <v/>
      </c>
      <c r="F6224" s="23" t="str">
        <f>IF(OR(E6224="",E6224="!!!"),"",IF(NOT(ISNA(VLOOKUP(E6224,E$1:E6223,1,FALSE()))),"OLD",IF(AND(E6224&lt;&gt;"",E6224&lt;&gt;"!!!"),"NEW","")))</f>
        <v> </v>
      </c>
      <c r="G6224" s="24" t="str">
        <f>IF(OR(E6224="",E6224="!!!"),"",IF(OR(J6224=0,AND(J6224=1,K6224=1),AND(J6224=1,I6224="SBJ"),AND(J6224=1,I6224=0)),"?IN_FOCUS",IF(J6224&lt;=2,"?ACTIVATED",IF(J6224&lt;&gt;"","?FAMILIAR",IF(F6224="NEW",IF(ISNA(VLOOKUP(E6224,#REF!,1,FALSE())),"?TYPE_IDENTIFIABLE","?REFERENTIAL"),"_")))))</f>
        <v> </v>
      </c>
      <c r="H6224" s="25" t="str">
        <f>IF(J6224&lt;&gt;1,"",IF(I6224="SBJ","CB","?"))</f>
        <v> </v>
      </c>
      <c r="I6224" s="26" t="str">
        <f>IF(OR(E6224="",E6224="!!!",F6224="NEW"),"",INDEX(B6223:B$2,-1+SUMPRODUCT(MAX(ROW(E6223:E$2)*(E6224=E6223:E$2)))))</f>
        <v> </v>
      </c>
      <c r="J6224" s="26" t="str">
        <f>IF(OR(E6224="",E6224="!!!",F6224="NEW"),"",COUNTBLANK(OFFSET(A$1,,,SUMPRODUCT(MAX(ROW(E$2:E6224)*(E6224=E$2:E6224)))))-COUNTBLANK(OFFSET(A$1,,,SUMPRODUCT(MAX(ROW(E$1:E6223)*(E2=E$1:E6223))))))</f>
        <v> </v>
      </c>
      <c r="K6224" s="26" t="str">
        <f>IF(OR(E6224="",E6224="!!!",F6224="NEW"),"",INDEX(J$1:J6223,SUMPRODUCT(MAX(ROW(E$1:E6223)*(E6224=E$1:E6223)))))</f>
        <v> </v>
      </c>
      <c r="L6224" s="27"/>
    </row>
    <row r="6225" spans="1:12">
      <c r="A6225" s="20" t="s">
        <v>2562</v>
      </c>
      <c r="E6225" s="22">
        <f>IF(D6225="?OLD","!!!","")</f>
        <v/>
      </c>
      <c r="F6225" s="23" t="str">
        <f>IF(OR(E6225="",E6225="!!!"),"",IF(NOT(ISNA(VLOOKUP(E6225,E$1:E6224,1,FALSE()))),"OLD",IF(AND(E6225&lt;&gt;"",E6225&lt;&gt;"!!!"),"NEW","")))</f>
        <v> </v>
      </c>
      <c r="G6225" s="24" t="str">
        <f>IF(OR(E6225="",E6225="!!!"),"",IF(OR(J6225=0,AND(J6225=1,K6225=1),AND(J6225=1,I6225="SBJ"),AND(J6225=1,I6225=0)),"?IN_FOCUS",IF(J6225&lt;=2,"?ACTIVATED",IF(J6225&lt;&gt;"","?FAMILIAR",IF(F6225="NEW",IF(ISNA(VLOOKUP(E6225,#REF!,1,FALSE())),"?TYPE_IDENTIFIABLE","?REFERENTIAL"),"_")))))</f>
        <v> </v>
      </c>
      <c r="H6225" s="25" t="str">
        <f>IF(J6225&lt;&gt;1,"",IF(I6225="SBJ","CB","?"))</f>
        <v> </v>
      </c>
      <c r="I6225" s="26" t="str">
        <f>IF(OR(E6225="",E6225="!!!",F6225="NEW"),"",INDEX(B6224:B$2,-1+SUMPRODUCT(MAX(ROW(E6224:E$2)*(E6225=E6224:E$2)))))</f>
        <v> </v>
      </c>
      <c r="J6225" s="26" t="str">
        <f>IF(OR(E6225="",E6225="!!!",F6225="NEW"),"",COUNTBLANK(OFFSET(A$1,,,SUMPRODUCT(MAX(ROW(E$2:E6225)*(E6225=E$2:E6225)))))-COUNTBLANK(OFFSET(A$1,,,SUMPRODUCT(MAX(ROW(E$1:E6224)*(E2=E$1:E6224))))))</f>
        <v> </v>
      </c>
      <c r="K6225" s="26" t="str">
        <f>IF(OR(E6225="",E6225="!!!",F6225="NEW"),"",INDEX(J$1:J6224,SUMPRODUCT(MAX(ROW(E$1:E6224)*(E6225=E$1:E6224)))))</f>
        <v> </v>
      </c>
      <c r="L6225" s="27"/>
    </row>
    <row r="6226" spans="1:12">
      <c r="A6226" s="20" t="s">
        <v>1226</v>
      </c>
      <c r="E6226" s="22">
        <f>IF(D6226="?OLD","!!!","")</f>
        <v/>
      </c>
      <c r="F6226" s="23" t="str">
        <f>IF(OR(E6226="",E6226="!!!"),"",IF(NOT(ISNA(VLOOKUP(E6226,E$1:E6225,1,FALSE()))),"OLD",IF(AND(E6226&lt;&gt;"",E6226&lt;&gt;"!!!"),"NEW","")))</f>
        <v> </v>
      </c>
      <c r="G6226" s="24" t="str">
        <f>IF(OR(E6226="",E6226="!!!"),"",IF(OR(J6226=0,AND(J6226=1,K6226=1),AND(J6226=1,I6226="SBJ"),AND(J6226=1,I6226=0)),"?IN_FOCUS",IF(J6226&lt;=2,"?ACTIVATED",IF(J6226&lt;&gt;"","?FAMILIAR",IF(F6226="NEW",IF(ISNA(VLOOKUP(E6226,#REF!,1,FALSE())),"?TYPE_IDENTIFIABLE","?REFERENTIAL"),"_")))))</f>
        <v> </v>
      </c>
      <c r="H6226" s="25" t="str">
        <f>IF(J6226&lt;&gt;1,"",IF(I6226="SBJ","CB","?"))</f>
        <v> </v>
      </c>
      <c r="I6226" s="26" t="str">
        <f>IF(OR(E6226="",E6226="!!!",F6226="NEW"),"",INDEX(B6225:B$2,-1+SUMPRODUCT(MAX(ROW(E6225:E$2)*(E6226=E6225:E$2)))))</f>
        <v> </v>
      </c>
      <c r="J6226" s="26" t="str">
        <f>IF(OR(E6226="",E6226="!!!",F6226="NEW"),"",COUNTBLANK(OFFSET(A$1,,,SUMPRODUCT(MAX(ROW(E$2:E6226)*(E6226=E$2:E6226)))))-COUNTBLANK(OFFSET(A$1,,,SUMPRODUCT(MAX(ROW(E$1:E6225)*(E2=E$1:E6225))))))</f>
        <v> </v>
      </c>
      <c r="K6226" s="26" t="str">
        <f>IF(OR(E6226="",E6226="!!!",F6226="NEW"),"",INDEX(J$1:J6225,SUMPRODUCT(MAX(ROW(E$1:E6225)*(E6226=E$1:E6225)))))</f>
        <v> </v>
      </c>
      <c r="L6226" s="27"/>
    </row>
    <row r="6227" spans="1:12">
      <c r="A6227" s="20" t="s">
        <v>1095</v>
      </c>
      <c r="E6227" s="22">
        <f>IF(D6227="?OLD","!!!","")</f>
        <v/>
      </c>
      <c r="F6227" s="23" t="str">
        <f>IF(OR(E6227="",E6227="!!!"),"",IF(NOT(ISNA(VLOOKUP(E6227,E$1:E6226,1,FALSE()))),"OLD",IF(AND(E6227&lt;&gt;"",E6227&lt;&gt;"!!!"),"NEW","")))</f>
        <v> </v>
      </c>
      <c r="G6227" s="24" t="str">
        <f>IF(OR(E6227="",E6227="!!!"),"",IF(OR(J6227=0,AND(J6227=1,K6227=1),AND(J6227=1,I6227="SBJ"),AND(J6227=1,I6227=0)),"?IN_FOCUS",IF(J6227&lt;=2,"?ACTIVATED",IF(J6227&lt;&gt;"","?FAMILIAR",IF(F6227="NEW",IF(ISNA(VLOOKUP(E6227,#REF!,1,FALSE())),"?TYPE_IDENTIFIABLE","?REFERENTIAL"),"_")))))</f>
        <v> </v>
      </c>
      <c r="H6227" s="25" t="str">
        <f>IF(J6227&lt;&gt;1,"",IF(I6227="SBJ","CB","?"))</f>
        <v> </v>
      </c>
      <c r="I6227" s="26" t="str">
        <f>IF(OR(E6227="",E6227="!!!",F6227="NEW"),"",INDEX(B6226:B$2,-1+SUMPRODUCT(MAX(ROW(E6226:E$2)*(E6227=E6226:E$2)))))</f>
        <v> </v>
      </c>
      <c r="J6227" s="26" t="str">
        <f>IF(OR(E6227="",E6227="!!!",F6227="NEW"),"",COUNTBLANK(OFFSET(A$1,,,SUMPRODUCT(MAX(ROW(E$2:E6227)*(E6227=E$2:E6227)))))-COUNTBLANK(OFFSET(A$1,,,SUMPRODUCT(MAX(ROW(E$1:E6226)*(E2=E$1:E6226))))))</f>
        <v> </v>
      </c>
      <c r="K6227" s="26" t="str">
        <f>IF(OR(E6227="",E6227="!!!",F6227="NEW"),"",INDEX(J$1:J6226,SUMPRODUCT(MAX(ROW(E$1:E6226)*(E6227=E$1:E6226)))))</f>
        <v> </v>
      </c>
      <c r="L6227" s="27"/>
    </row>
    <row r="6228" spans="1:12">
      <c r="A6228" s="20" t="s">
        <v>1097</v>
      </c>
      <c r="E6228" s="22">
        <f>IF(D6228="?OLD","!!!","")</f>
        <v/>
      </c>
      <c r="F6228" s="23" t="str">
        <f>IF(OR(E6228="",E6228="!!!"),"",IF(NOT(ISNA(VLOOKUP(E6228,E$1:E6227,1,FALSE()))),"OLD",IF(AND(E6228&lt;&gt;"",E6228&lt;&gt;"!!!"),"NEW","")))</f>
        <v> </v>
      </c>
      <c r="G6228" s="24" t="str">
        <f>IF(OR(E6228="",E6228="!!!"),"",IF(OR(J6228=0,AND(J6228=1,K6228=1),AND(J6228=1,I6228="SBJ"),AND(J6228=1,I6228=0)),"?IN_FOCUS",IF(J6228&lt;=2,"?ACTIVATED",IF(J6228&lt;&gt;"","?FAMILIAR",IF(F6228="NEW",IF(ISNA(VLOOKUP(E6228,#REF!,1,FALSE())),"?TYPE_IDENTIFIABLE","?REFERENTIAL"),"_")))))</f>
        <v> </v>
      </c>
      <c r="H6228" s="25" t="str">
        <f>IF(J6228&lt;&gt;1,"",IF(I6228="SBJ","CB","?"))</f>
        <v> </v>
      </c>
      <c r="I6228" s="26" t="str">
        <f>IF(OR(E6228="",E6228="!!!",F6228="NEW"),"",INDEX(B6227:B$2,-1+SUMPRODUCT(MAX(ROW(E6227:E$2)*(E6228=E6227:E$2)))))</f>
        <v> </v>
      </c>
      <c r="J6228" s="26" t="str">
        <f>IF(OR(E6228="",E6228="!!!",F6228="NEW"),"",COUNTBLANK(OFFSET(A$1,,,SUMPRODUCT(MAX(ROW(E$2:E6228)*(E6228=E$2:E6228)))))-COUNTBLANK(OFFSET(A$1,,,SUMPRODUCT(MAX(ROW(E$1:E6227)*(E2=E$1:E6227))))))</f>
        <v> </v>
      </c>
      <c r="K6228" s="26" t="str">
        <f>IF(OR(E6228="",E6228="!!!",F6228="NEW"),"",INDEX(J$1:J6227,SUMPRODUCT(MAX(ROW(E$1:E6227)*(E6228=E$1:E6227)))))</f>
        <v> </v>
      </c>
      <c r="L6228" s="27"/>
    </row>
    <row r="6229" spans="1:12">
      <c r="A6229" s="20" t="s">
        <v>110</v>
      </c>
      <c r="E6229" s="22">
        <f>IF(D6229="?OLD","!!!","")</f>
        <v/>
      </c>
      <c r="F6229" s="23" t="str">
        <f>IF(OR(E6229="",E6229="!!!"),"",IF(NOT(ISNA(VLOOKUP(E6229,E$1:E6228,1,FALSE()))),"OLD",IF(AND(E6229&lt;&gt;"",E6229&lt;&gt;"!!!"),"NEW","")))</f>
        <v> </v>
      </c>
      <c r="G6229" s="24" t="str">
        <f>IF(OR(E6229="",E6229="!!!"),"",IF(OR(J6229=0,AND(J6229=1,K6229=1),AND(J6229=1,I6229="SBJ"),AND(J6229=1,I6229=0)),"?IN_FOCUS",IF(J6229&lt;=2,"?ACTIVATED",IF(J6229&lt;&gt;"","?FAMILIAR",IF(F6229="NEW",IF(ISNA(VLOOKUP(E6229,#REF!,1,FALSE())),"?TYPE_IDENTIFIABLE","?REFERENTIAL"),"_")))))</f>
        <v> </v>
      </c>
      <c r="H6229" s="25" t="str">
        <f>IF(J6229&lt;&gt;1,"",IF(I6229="SBJ","CB","?"))</f>
        <v> </v>
      </c>
      <c r="I6229" s="26" t="str">
        <f>IF(OR(E6229="",E6229="!!!",F6229="NEW"),"",INDEX(B6228:B$2,-1+SUMPRODUCT(MAX(ROW(E6228:E$2)*(E6229=E6228:E$2)))))</f>
        <v> </v>
      </c>
      <c r="J6229" s="26" t="str">
        <f>IF(OR(E6229="",E6229="!!!",F6229="NEW"),"",COUNTBLANK(OFFSET(A$1,,,SUMPRODUCT(MAX(ROW(E$2:E6229)*(E6229=E$2:E6229)))))-COUNTBLANK(OFFSET(A$1,,,SUMPRODUCT(MAX(ROW(E$1:E6228)*(E2=E$1:E6228))))))</f>
        <v> </v>
      </c>
      <c r="K6229" s="26" t="str">
        <f>IF(OR(E6229="",E6229="!!!",F6229="NEW"),"",INDEX(J$1:J6228,SUMPRODUCT(MAX(ROW(E$1:E6228)*(E6229=E$1:E6228)))))</f>
        <v> </v>
      </c>
      <c r="L6229" s="27"/>
    </row>
    <row r="6230" spans="1:12">
      <c r="A6230" s="20" t="s">
        <v>1003</v>
      </c>
      <c r="E6230" s="22">
        <f>IF(D6230="?OLD","!!!","")</f>
        <v/>
      </c>
      <c r="F6230" s="23" t="str">
        <f>IF(OR(E6230="",E6230="!!!"),"",IF(NOT(ISNA(VLOOKUP(E6230,E$1:E6229,1,FALSE()))),"OLD",IF(AND(E6230&lt;&gt;"",E6230&lt;&gt;"!!!"),"NEW","")))</f>
        <v> </v>
      </c>
      <c r="G6230" s="24" t="str">
        <f>IF(OR(E6230="",E6230="!!!"),"",IF(OR(J6230=0,AND(J6230=1,K6230=1),AND(J6230=1,I6230="SBJ"),AND(J6230=1,I6230=0)),"?IN_FOCUS",IF(J6230&lt;=2,"?ACTIVATED",IF(J6230&lt;&gt;"","?FAMILIAR",IF(F6230="NEW",IF(ISNA(VLOOKUP(E6230,#REF!,1,FALSE())),"?TYPE_IDENTIFIABLE","?REFERENTIAL"),"_")))))</f>
        <v> </v>
      </c>
      <c r="H6230" s="25" t="str">
        <f>IF(J6230&lt;&gt;1,"",IF(I6230="SBJ","CB","?"))</f>
        <v> </v>
      </c>
      <c r="I6230" s="26" t="str">
        <f>IF(OR(E6230="",E6230="!!!",F6230="NEW"),"",INDEX(B6229:B$2,-1+SUMPRODUCT(MAX(ROW(E6229:E$2)*(E6230=E6229:E$2)))))</f>
        <v> </v>
      </c>
      <c r="J6230" s="26" t="str">
        <f>IF(OR(E6230="",E6230="!!!",F6230="NEW"),"",COUNTBLANK(OFFSET(A$1,,,SUMPRODUCT(MAX(ROW(E$2:E6230)*(E6230=E$2:E6230)))))-COUNTBLANK(OFFSET(A$1,,,SUMPRODUCT(MAX(ROW(E$1:E6229)*(E2=E$1:E6229))))))</f>
        <v> </v>
      </c>
      <c r="K6230" s="26" t="str">
        <f>IF(OR(E6230="",E6230="!!!",F6230="NEW"),"",INDEX(J$1:J6229,SUMPRODUCT(MAX(ROW(E$1:E6229)*(E6230=E$1:E6229)))))</f>
        <v> </v>
      </c>
      <c r="L6230" s="27"/>
    </row>
    <row r="6231" spans="1:12">
      <c r="A6231" s="20" t="s">
        <v>2014</v>
      </c>
      <c r="B6231" s="21" t="s">
        <v>1067</v>
      </c>
      <c r="C6231" s="21" t="s">
        <v>1006</v>
      </c>
      <c r="E6231" s="22">
        <f>IF(D6231="?OLD","!!!","")</f>
        <v/>
      </c>
      <c r="F6231" s="23" t="str">
        <f>IF(OR(E6231="",E6231="!!!"),"",IF(NOT(ISNA(VLOOKUP(E6231,E$1:E6230,1,FALSE()))),"OLD",IF(AND(E6231&lt;&gt;"",E6231&lt;&gt;"!!!"),"NEW","")))</f>
        <v> </v>
      </c>
      <c r="G6231" s="24" t="str">
        <f>IF(OR(E6231="",E6231="!!!"),"",IF(OR(J6231=0,AND(J6231=1,K6231=1),AND(J6231=1,I6231="SBJ"),AND(J6231=1,I6231=0)),"?IN_FOCUS",IF(J6231&lt;=2,"?ACTIVATED",IF(J6231&lt;&gt;"","?FAMILIAR",IF(F6231="NEW",IF(ISNA(VLOOKUP(E6231,#REF!,1,FALSE())),"?TYPE_IDENTIFIABLE","?REFERENTIAL"),"_")))))</f>
        <v> </v>
      </c>
      <c r="H6231" s="25" t="str">
        <f>IF(J6231&lt;&gt;1,"",IF(I6231="SBJ","CB","?"))</f>
        <v> </v>
      </c>
      <c r="I6231" s="26" t="str">
        <f>IF(OR(E6231="",E6231="!!!",F6231="NEW"),"",INDEX(B6230:B$2,-1+SUMPRODUCT(MAX(ROW(E6230:E$2)*(E6231=E6230:E$2)))))</f>
        <v> </v>
      </c>
      <c r="J6231" s="26" t="str">
        <f>IF(OR(E6231="",E6231="!!!",F6231="NEW"),"",COUNTBLANK(OFFSET(A$1,,,SUMPRODUCT(MAX(ROW(E$2:E6231)*(E6231=E$2:E6231)))))-COUNTBLANK(OFFSET(A$1,,,SUMPRODUCT(MAX(ROW(E$1:E6230)*(E2=E$1:E6230))))))</f>
        <v> </v>
      </c>
      <c r="K6231" s="26" t="str">
        <f>IF(OR(E6231="",E6231="!!!",F6231="NEW"),"",INDEX(J$1:J6230,SUMPRODUCT(MAX(ROW(E$1:E6230)*(E6231=E$1:E6230)))))</f>
        <v> </v>
      </c>
      <c r="L6231" s="27"/>
    </row>
    <row r="6232" spans="1:12">
      <c r="A6232" s="20" t="s">
        <v>1041</v>
      </c>
      <c r="E6232" s="22">
        <f>IF(D6232="?OLD","!!!","")</f>
        <v/>
      </c>
      <c r="F6232" s="23" t="str">
        <f>IF(OR(E6232="",E6232="!!!"),"",IF(NOT(ISNA(VLOOKUP(E6232,E$1:E6231,1,FALSE()))),"OLD",IF(AND(E6232&lt;&gt;"",E6232&lt;&gt;"!!!"),"NEW","")))</f>
        <v> </v>
      </c>
      <c r="G6232" s="24" t="str">
        <f>IF(OR(E6232="",E6232="!!!"),"",IF(OR(J6232=0,AND(J6232=1,K6232=1),AND(J6232=1,I6232="SBJ"),AND(J6232=1,I6232=0)),"?IN_FOCUS",IF(J6232&lt;=2,"?ACTIVATED",IF(J6232&lt;&gt;"","?FAMILIAR",IF(F6232="NEW",IF(ISNA(VLOOKUP(E6232,#REF!,1,FALSE())),"?TYPE_IDENTIFIABLE","?REFERENTIAL"),"_")))))</f>
        <v> </v>
      </c>
      <c r="H6232" s="25" t="str">
        <f>IF(J6232&lt;&gt;1,"",IF(I6232="SBJ","CB","?"))</f>
        <v> </v>
      </c>
      <c r="I6232" s="26" t="str">
        <f>IF(OR(E6232="",E6232="!!!",F6232="NEW"),"",INDEX(B6231:B$2,-1+SUMPRODUCT(MAX(ROW(E6231:E$2)*(E6232=E6231:E$2)))))</f>
        <v> </v>
      </c>
      <c r="J6232" s="26" t="str">
        <f>IF(OR(E6232="",E6232="!!!",F6232="NEW"),"",COUNTBLANK(OFFSET(A$1,,,SUMPRODUCT(MAX(ROW(E$2:E6232)*(E6232=E$2:E6232)))))-COUNTBLANK(OFFSET(A$1,,,SUMPRODUCT(MAX(ROW(E$1:E6231)*(E2=E$1:E6231))))))</f>
        <v> </v>
      </c>
      <c r="K6232" s="26" t="str">
        <f>IF(OR(E6232="",E6232="!!!",F6232="NEW"),"",INDEX(J$1:J6231,SUMPRODUCT(MAX(ROW(E$1:E6231)*(E6232=E$1:E6231)))))</f>
        <v> </v>
      </c>
      <c r="L6232" s="27"/>
    </row>
    <row r="6233" spans="1:12">
      <c r="A6233" s="20" t="s">
        <v>1007</v>
      </c>
      <c r="E6233" s="22">
        <f>IF(D6233="?OLD","!!!","")</f>
        <v/>
      </c>
      <c r="F6233" s="23" t="str">
        <f>IF(OR(E6233="",E6233="!!!"),"",IF(NOT(ISNA(VLOOKUP(E6233,E$1:E6232,1,FALSE()))),"OLD",IF(AND(E6233&lt;&gt;"",E6233&lt;&gt;"!!!"),"NEW","")))</f>
        <v> </v>
      </c>
      <c r="G6233" s="24" t="str">
        <f>IF(OR(E6233="",E6233="!!!"),"",IF(OR(J6233=0,AND(J6233=1,K6233=1),AND(J6233=1,I6233="SBJ"),AND(J6233=1,I6233=0)),"?IN_FOCUS",IF(J6233&lt;=2,"?ACTIVATED",IF(J6233&lt;&gt;"","?FAMILIAR",IF(F6233="NEW",IF(ISNA(VLOOKUP(E6233,#REF!,1,FALSE())),"?TYPE_IDENTIFIABLE","?REFERENTIAL"),"_")))))</f>
        <v> </v>
      </c>
      <c r="H6233" s="25" t="str">
        <f>IF(J6233&lt;&gt;1,"",IF(I6233="SBJ","CB","?"))</f>
        <v> </v>
      </c>
      <c r="I6233" s="26" t="str">
        <f>IF(OR(E6233="",E6233="!!!",F6233="NEW"),"",INDEX(B6232:B$2,-1+SUMPRODUCT(MAX(ROW(E6232:E$2)*(E6233=E6232:E$2)))))</f>
        <v> </v>
      </c>
      <c r="J6233" s="26" t="str">
        <f>IF(OR(E6233="",E6233="!!!",F6233="NEW"),"",COUNTBLANK(OFFSET(A$1,,,SUMPRODUCT(MAX(ROW(E$2:E6233)*(E6233=E$2:E6233)))))-COUNTBLANK(OFFSET(A$1,,,SUMPRODUCT(MAX(ROW(E$1:E6232)*(E2=E$1:E6232))))))</f>
        <v> </v>
      </c>
      <c r="K6233" s="26" t="str">
        <f>IF(OR(E6233="",E6233="!!!",F6233="NEW"),"",INDEX(J$1:J6232,SUMPRODUCT(MAX(ROW(E$1:E6232)*(E6233=E$1:E6232)))))</f>
        <v> </v>
      </c>
      <c r="L6233" s="27"/>
    </row>
    <row r="6234" spans="1:12">
      <c r="A6234" s="20" t="s">
        <v>1194</v>
      </c>
      <c r="B6234" s="21" t="s">
        <v>1142</v>
      </c>
      <c r="C6234" s="21" t="s">
        <v>1133</v>
      </c>
      <c r="D6234" s="21" t="s">
        <v>997</v>
      </c>
      <c r="E6234" s="22">
        <f>IF(D6234="?OLD","!!!","")</f>
        <v/>
      </c>
      <c r="F6234" s="23" t="str">
        <f>IF(OR(E6234="",E6234="!!!"),"",IF(NOT(ISNA(VLOOKUP(E6234,E$1:E6233,1,FALSE()))),"OLD",IF(AND(E6234&lt;&gt;"",E6234&lt;&gt;"!!!"),"NEW","")))</f>
        <v> </v>
      </c>
      <c r="G6234" s="24" t="str">
        <f>IF(OR(E6234="",E6234="!!!"),"",IF(OR(J6234=0,AND(J6234=1,K6234=1),AND(J6234=1,I6234="SBJ"),AND(J6234=1,I6234=0)),"?IN_FOCUS",IF(J6234&lt;=2,"?ACTIVATED",IF(J6234&lt;&gt;"","?FAMILIAR",IF(F6234="NEW",IF(ISNA(VLOOKUP(E6234,#REF!,1,FALSE())),"?TYPE_IDENTIFIABLE","?REFERENTIAL"),"_")))))</f>
        <v> </v>
      </c>
      <c r="H6234" s="25" t="str">
        <f>IF(J6234&lt;&gt;1,"",IF(I6234="SBJ","CB","?"))</f>
        <v> </v>
      </c>
      <c r="I6234" s="26" t="str">
        <f>IF(OR(E6234="",E6234="!!!",F6234="NEW"),"",INDEX(B6233:B$2,-1+SUMPRODUCT(MAX(ROW(E6233:E$2)*(E6234=E6233:E$2)))))</f>
        <v> </v>
      </c>
      <c r="J6234" s="26" t="str">
        <f>IF(OR(E6234="",E6234="!!!",F6234="NEW"),"",COUNTBLANK(OFFSET(A$1,,,SUMPRODUCT(MAX(ROW(E$2:E6234)*(E6234=E$2:E6234)))))-COUNTBLANK(OFFSET(A$1,,,SUMPRODUCT(MAX(ROW(E$1:E6233)*(E2=E$1:E6233))))))</f>
        <v> </v>
      </c>
      <c r="K6234" s="26" t="str">
        <f>IF(OR(E6234="",E6234="!!!",F6234="NEW"),"",INDEX(J$1:J6233,SUMPRODUCT(MAX(ROW(E$1:E6233)*(E6234=E$1:E6233)))))</f>
        <v> </v>
      </c>
      <c r="L6234" s="27"/>
    </row>
    <row r="6235" spans="1:12">
      <c r="A6235" s="20" t="s">
        <v>1791</v>
      </c>
      <c r="E6235" s="22">
        <f>IF(D6235="?OLD","!!!","")</f>
        <v/>
      </c>
      <c r="F6235" s="23" t="str">
        <f>IF(OR(E6235="",E6235="!!!"),"",IF(NOT(ISNA(VLOOKUP(E6235,E$1:E6234,1,FALSE()))),"OLD",IF(AND(E6235&lt;&gt;"",E6235&lt;&gt;"!!!"),"NEW","")))</f>
        <v> </v>
      </c>
      <c r="G6235" s="24" t="str">
        <f>IF(OR(E6235="",E6235="!!!"),"",IF(OR(J6235=0,AND(J6235=1,K6235=1),AND(J6235=1,I6235="SBJ"),AND(J6235=1,I6235=0)),"?IN_FOCUS",IF(J6235&lt;=2,"?ACTIVATED",IF(J6235&lt;&gt;"","?FAMILIAR",IF(F6235="NEW",IF(ISNA(VLOOKUP(E6235,#REF!,1,FALSE())),"?TYPE_IDENTIFIABLE","?REFERENTIAL"),"_")))))</f>
        <v> </v>
      </c>
      <c r="H6235" s="25" t="str">
        <f>IF(J6235&lt;&gt;1,"",IF(I6235="SBJ","CB","?"))</f>
        <v> </v>
      </c>
      <c r="I6235" s="26" t="str">
        <f>IF(OR(E6235="",E6235="!!!",F6235="NEW"),"",INDEX(B6234:B$2,-1+SUMPRODUCT(MAX(ROW(E6234:E$2)*(E6235=E6234:E$2)))))</f>
        <v> </v>
      </c>
      <c r="J6235" s="26" t="str">
        <f>IF(OR(E6235="",E6235="!!!",F6235="NEW"),"",COUNTBLANK(OFFSET(A$1,,,SUMPRODUCT(MAX(ROW(E$2:E6235)*(E6235=E$2:E6235)))))-COUNTBLANK(OFFSET(A$1,,,SUMPRODUCT(MAX(ROW(E$1:E6234)*(E2=E$1:E6234))))))</f>
        <v> </v>
      </c>
      <c r="K6235" s="26" t="str">
        <f>IF(OR(E6235="",E6235="!!!",F6235="NEW"),"",INDEX(J$1:J6234,SUMPRODUCT(MAX(ROW(E$1:E6234)*(E6235=E$1:E6234)))))</f>
        <v> </v>
      </c>
      <c r="L6235" s="27"/>
    </row>
    <row r="6236" spans="1:12">
      <c r="A6236" s="20" t="s">
        <v>1462</v>
      </c>
      <c r="E6236" s="22">
        <f>IF(D6236="?OLD","!!!","")</f>
        <v/>
      </c>
      <c r="F6236" s="23" t="str">
        <f>IF(OR(E6236="",E6236="!!!"),"",IF(NOT(ISNA(VLOOKUP(E6236,E$1:E6235,1,FALSE()))),"OLD",IF(AND(E6236&lt;&gt;"",E6236&lt;&gt;"!!!"),"NEW","")))</f>
        <v> </v>
      </c>
      <c r="G6236" s="24" t="str">
        <f>IF(OR(E6236="",E6236="!!!"),"",IF(OR(J6236=0,AND(J6236=1,K6236=1),AND(J6236=1,I6236="SBJ"),AND(J6236=1,I6236=0)),"?IN_FOCUS",IF(J6236&lt;=2,"?ACTIVATED",IF(J6236&lt;&gt;"","?FAMILIAR",IF(F6236="NEW",IF(ISNA(VLOOKUP(E6236,#REF!,1,FALSE())),"?TYPE_IDENTIFIABLE","?REFERENTIAL"),"_")))))</f>
        <v> </v>
      </c>
      <c r="H6236" s="25" t="str">
        <f>IF(J6236&lt;&gt;1,"",IF(I6236="SBJ","CB","?"))</f>
        <v> </v>
      </c>
      <c r="I6236" s="26" t="str">
        <f>IF(OR(E6236="",E6236="!!!",F6236="NEW"),"",INDEX(B6235:B$2,-1+SUMPRODUCT(MAX(ROW(E6235:E$2)*(E6236=E6235:E$2)))))</f>
        <v> </v>
      </c>
      <c r="J6236" s="26" t="str">
        <f>IF(OR(E6236="",E6236="!!!",F6236="NEW"),"",COUNTBLANK(OFFSET(A$1,,,SUMPRODUCT(MAX(ROW(E$2:E6236)*(E6236=E$2:E6236)))))-COUNTBLANK(OFFSET(A$1,,,SUMPRODUCT(MAX(ROW(E$1:E6235)*(E2=E$1:E6235))))))</f>
        <v> </v>
      </c>
      <c r="K6236" s="26" t="str">
        <f>IF(OR(E6236="",E6236="!!!",F6236="NEW"),"",INDEX(J$1:J6235,SUMPRODUCT(MAX(ROW(E$1:E6235)*(E6236=E$1:E6235)))))</f>
        <v> </v>
      </c>
      <c r="L6236" s="27"/>
    </row>
    <row r="6237" spans="1:12">
      <c r="A6237" s="20" t="s">
        <v>1008</v>
      </c>
      <c r="E6237" s="22">
        <f>IF(D6237="?OLD","!!!","")</f>
        <v/>
      </c>
      <c r="F6237" s="23" t="str">
        <f>IF(OR(E6237="",E6237="!!!"),"",IF(NOT(ISNA(VLOOKUP(E6237,E$1:E6236,1,FALSE()))),"OLD",IF(AND(E6237&lt;&gt;"",E6237&lt;&gt;"!!!"),"NEW","")))</f>
        <v> </v>
      </c>
      <c r="G6237" s="24" t="str">
        <f>IF(OR(E6237="",E6237="!!!"),"",IF(OR(J6237=0,AND(J6237=1,K6237=1),AND(J6237=1,I6237="SBJ"),AND(J6237=1,I6237=0)),"?IN_FOCUS",IF(J6237&lt;=2,"?ACTIVATED",IF(J6237&lt;&gt;"","?FAMILIAR",IF(F6237="NEW",IF(ISNA(VLOOKUP(E6237,#REF!,1,FALSE())),"?TYPE_IDENTIFIABLE","?REFERENTIAL"),"_")))))</f>
        <v> </v>
      </c>
      <c r="H6237" s="25" t="str">
        <f>IF(J6237&lt;&gt;1,"",IF(I6237="SBJ","CB","?"))</f>
        <v> </v>
      </c>
      <c r="I6237" s="26" t="str">
        <f>IF(OR(E6237="",E6237="!!!",F6237="NEW"),"",INDEX(B6236:B$2,-1+SUMPRODUCT(MAX(ROW(E6236:E$2)*(E6237=E6236:E$2)))))</f>
        <v> </v>
      </c>
      <c r="J6237" s="26" t="str">
        <f>IF(OR(E6237="",E6237="!!!",F6237="NEW"),"",COUNTBLANK(OFFSET(A$1,,,SUMPRODUCT(MAX(ROW(E$2:E6237)*(E6237=E$2:E6237)))))-COUNTBLANK(OFFSET(A$1,,,SUMPRODUCT(MAX(ROW(E$1:E6236)*(E2=E$1:E6236))))))</f>
        <v> </v>
      </c>
      <c r="K6237" s="26" t="str">
        <f>IF(OR(E6237="",E6237="!!!",F6237="NEW"),"",INDEX(J$1:J6236,SUMPRODUCT(MAX(ROW(E$1:E6236)*(E6237=E$1:E6236)))))</f>
        <v> </v>
      </c>
      <c r="L6237" s="27"/>
    </row>
    <row r="6238" spans="1:12">
      <c r="A6238" s="20" t="s">
        <v>2563</v>
      </c>
      <c r="E6238" s="22">
        <f>IF(D6238="?OLD","!!!","")</f>
        <v/>
      </c>
      <c r="F6238" s="23" t="str">
        <f>IF(OR(E6238="",E6238="!!!"),"",IF(NOT(ISNA(VLOOKUP(E6238,E$1:E6237,1,FALSE()))),"OLD",IF(AND(E6238&lt;&gt;"",E6238&lt;&gt;"!!!"),"NEW","")))</f>
        <v> </v>
      </c>
      <c r="G6238" s="24" t="str">
        <f>IF(OR(E6238="",E6238="!!!"),"",IF(OR(J6238=0,AND(J6238=1,K6238=1),AND(J6238=1,I6238="SBJ"),AND(J6238=1,I6238=0)),"?IN_FOCUS",IF(J6238&lt;=2,"?ACTIVATED",IF(J6238&lt;&gt;"","?FAMILIAR",IF(F6238="NEW",IF(ISNA(VLOOKUP(E6238,#REF!,1,FALSE())),"?TYPE_IDENTIFIABLE","?REFERENTIAL"),"_")))))</f>
        <v> </v>
      </c>
      <c r="H6238" s="25" t="str">
        <f>IF(J6238&lt;&gt;1,"",IF(I6238="SBJ","CB","?"))</f>
        <v> </v>
      </c>
      <c r="I6238" s="26" t="str">
        <f>IF(OR(E6238="",E6238="!!!",F6238="NEW"),"",INDEX(B6237:B$2,-1+SUMPRODUCT(MAX(ROW(E6237:E$2)*(E6238=E6237:E$2)))))</f>
        <v> </v>
      </c>
      <c r="J6238" s="26" t="str">
        <f>IF(OR(E6238="",E6238="!!!",F6238="NEW"),"",COUNTBLANK(OFFSET(A$1,,,SUMPRODUCT(MAX(ROW(E$2:E6238)*(E6238=E$2:E6238)))))-COUNTBLANK(OFFSET(A$1,,,SUMPRODUCT(MAX(ROW(E$1:E6237)*(E2=E$1:E6237))))))</f>
        <v> </v>
      </c>
      <c r="K6238" s="26" t="str">
        <f>IF(OR(E6238="",E6238="!!!",F6238="NEW"),"",INDEX(J$1:J6237,SUMPRODUCT(MAX(ROW(E$1:E6237)*(E6238=E$1:E6237)))))</f>
        <v> </v>
      </c>
      <c r="L6238" s="27"/>
    </row>
    <row r="6239" spans="1:12">
      <c r="A6239" s="20" t="s">
        <v>1505</v>
      </c>
      <c r="B6239" s="21" t="s">
        <v>1001</v>
      </c>
      <c r="C6239" s="21" t="s">
        <v>1089</v>
      </c>
      <c r="E6239" s="22">
        <f>IF(D6239="?OLD","!!!","")</f>
        <v/>
      </c>
      <c r="F6239" s="23" t="str">
        <f>IF(OR(E6239="",E6239="!!!"),"",IF(NOT(ISNA(VLOOKUP(E6239,E$1:E6238,1,FALSE()))),"OLD",IF(AND(E6239&lt;&gt;"",E6239&lt;&gt;"!!!"),"NEW","")))</f>
        <v> </v>
      </c>
      <c r="G6239" s="24" t="str">
        <f>IF(OR(E6239="",E6239="!!!"),"",IF(OR(J6239=0,AND(J6239=1,K6239=1),AND(J6239=1,I6239="SBJ"),AND(J6239=1,I6239=0)),"?IN_FOCUS",IF(J6239&lt;=2,"?ACTIVATED",IF(J6239&lt;&gt;"","?FAMILIAR",IF(F6239="NEW",IF(ISNA(VLOOKUP(E6239,#REF!,1,FALSE())),"?TYPE_IDENTIFIABLE","?REFERENTIAL"),"_")))))</f>
        <v> </v>
      </c>
      <c r="H6239" s="25" t="str">
        <f>IF(J6239&lt;&gt;1,"",IF(I6239="SBJ","CB","?"))</f>
        <v> </v>
      </c>
      <c r="I6239" s="26" t="str">
        <f>IF(OR(E6239="",E6239="!!!",F6239="NEW"),"",INDEX(B6238:B$2,-1+SUMPRODUCT(MAX(ROW(E6238:E$2)*(E6239=E6238:E$2)))))</f>
        <v> </v>
      </c>
      <c r="J6239" s="26" t="str">
        <f>IF(OR(E6239="",E6239="!!!",F6239="NEW"),"",COUNTBLANK(OFFSET(A$1,,,SUMPRODUCT(MAX(ROW(E$2:E6239)*(E6239=E$2:E6239)))))-COUNTBLANK(OFFSET(A$1,,,SUMPRODUCT(MAX(ROW(E$1:E6238)*(E2=E$1:E6238))))))</f>
        <v> </v>
      </c>
      <c r="K6239" s="26" t="str">
        <f>IF(OR(E6239="",E6239="!!!",F6239="NEW"),"",INDEX(J$1:J6238,SUMPRODUCT(MAX(ROW(E$1:E6238)*(E6239=E$1:E6238)))))</f>
        <v> </v>
      </c>
      <c r="L6239" s="27"/>
    </row>
    <row r="6240" spans="1:12">
      <c r="A6240" s="20" t="s">
        <v>1041</v>
      </c>
      <c r="E6240" s="22">
        <f>IF(D6240="?OLD","!!!","")</f>
        <v/>
      </c>
      <c r="F6240" s="23" t="str">
        <f>IF(OR(E6240="",E6240="!!!"),"",IF(NOT(ISNA(VLOOKUP(E6240,E$1:E6239,1,FALSE()))),"OLD",IF(AND(E6240&lt;&gt;"",E6240&lt;&gt;"!!!"),"NEW","")))</f>
        <v> </v>
      </c>
      <c r="G6240" s="24" t="str">
        <f>IF(OR(E6240="",E6240="!!!"),"",IF(OR(J6240=0,AND(J6240=1,K6240=1),AND(J6240=1,I6240="SBJ"),AND(J6240=1,I6240=0)),"?IN_FOCUS",IF(J6240&lt;=2,"?ACTIVATED",IF(J6240&lt;&gt;"","?FAMILIAR",IF(F6240="NEW",IF(ISNA(VLOOKUP(E6240,#REF!,1,FALSE())),"?TYPE_IDENTIFIABLE","?REFERENTIAL"),"_")))))</f>
        <v> </v>
      </c>
      <c r="H6240" s="25" t="str">
        <f>IF(J6240&lt;&gt;1,"",IF(I6240="SBJ","CB","?"))</f>
        <v> </v>
      </c>
      <c r="I6240" s="26" t="str">
        <f>IF(OR(E6240="",E6240="!!!",F6240="NEW"),"",INDEX(B6239:B$2,-1+SUMPRODUCT(MAX(ROW(E6239:E$2)*(E6240=E6239:E$2)))))</f>
        <v> </v>
      </c>
      <c r="J6240" s="26" t="str">
        <f>IF(OR(E6240="",E6240="!!!",F6240="NEW"),"",COUNTBLANK(OFFSET(A$1,,,SUMPRODUCT(MAX(ROW(E$2:E6240)*(E6240=E$2:E6240)))))-COUNTBLANK(OFFSET(A$1,,,SUMPRODUCT(MAX(ROW(E$1:E6239)*(E2=E$1:E6239))))))</f>
        <v> </v>
      </c>
      <c r="K6240" s="26" t="str">
        <f>IF(OR(E6240="",E6240="!!!",F6240="NEW"),"",INDEX(J$1:J6239,SUMPRODUCT(MAX(ROW(E$1:E6239)*(E6240=E$1:E6239)))))</f>
        <v> </v>
      </c>
      <c r="L6240" s="27"/>
    </row>
    <row r="6241" spans="1:12">
      <c r="A6241" s="20" t="s">
        <v>1175</v>
      </c>
      <c r="B6241" s="21" t="s">
        <v>1142</v>
      </c>
      <c r="C6241" s="21" t="s">
        <v>1015</v>
      </c>
      <c r="D6241" s="21" t="s">
        <v>997</v>
      </c>
      <c r="E6241" s="22">
        <f>IF(D6241="?OLD","!!!","")</f>
        <v/>
      </c>
      <c r="F6241" s="23" t="str">
        <f>IF(OR(E6241="",E6241="!!!"),"",IF(NOT(ISNA(VLOOKUP(E6241,E$1:E6240,1,FALSE()))),"OLD",IF(AND(E6241&lt;&gt;"",E6241&lt;&gt;"!!!"),"NEW","")))</f>
        <v> </v>
      </c>
      <c r="G6241" s="24" t="str">
        <f>IF(OR(E6241="",E6241="!!!"),"",IF(OR(J6241=0,AND(J6241=1,K6241=1),AND(J6241=1,I6241="SBJ"),AND(J6241=1,I6241=0)),"?IN_FOCUS",IF(J6241&lt;=2,"?ACTIVATED",IF(J6241&lt;&gt;"","?FAMILIAR",IF(F6241="NEW",IF(ISNA(VLOOKUP(E6241,#REF!,1,FALSE())),"?TYPE_IDENTIFIABLE","?REFERENTIAL"),"_")))))</f>
        <v> </v>
      </c>
      <c r="H6241" s="25" t="str">
        <f>IF(J6241&lt;&gt;1,"",IF(I6241="SBJ","CB","?"))</f>
        <v> </v>
      </c>
      <c r="I6241" s="26" t="str">
        <f>IF(OR(E6241="",E6241="!!!",F6241="NEW"),"",INDEX(B6240:B$2,-1+SUMPRODUCT(MAX(ROW(E6240:E$2)*(E6241=E6240:E$2)))))</f>
        <v> </v>
      </c>
      <c r="J6241" s="26" t="str">
        <f>IF(OR(E6241="",E6241="!!!",F6241="NEW"),"",COUNTBLANK(OFFSET(A$1,,,SUMPRODUCT(MAX(ROW(E$2:E6241)*(E6241=E$2:E6241)))))-COUNTBLANK(OFFSET(A$1,,,SUMPRODUCT(MAX(ROW(E$1:E6240)*(E2=E$1:E6240))))))</f>
        <v> </v>
      </c>
      <c r="K6241" s="26" t="str">
        <f>IF(OR(E6241="",E6241="!!!",F6241="NEW"),"",INDEX(J$1:J6240,SUMPRODUCT(MAX(ROW(E$1:E6240)*(E6241=E$1:E6240)))))</f>
        <v> </v>
      </c>
      <c r="L6241" s="27"/>
    </row>
    <row r="6242" spans="1:12">
      <c r="A6242" s="20" t="s">
        <v>423</v>
      </c>
      <c r="E6242" s="22">
        <f>IF(D6242="?OLD","!!!","")</f>
        <v/>
      </c>
      <c r="F6242" s="23" t="str">
        <f>IF(OR(E6242="",E6242="!!!"),"",IF(NOT(ISNA(VLOOKUP(E6242,E$1:E6241,1,FALSE()))),"OLD",IF(AND(E6242&lt;&gt;"",E6242&lt;&gt;"!!!"),"NEW","")))</f>
        <v> </v>
      </c>
      <c r="G6242" s="24" t="str">
        <f>IF(OR(E6242="",E6242="!!!"),"",IF(OR(J6242=0,AND(J6242=1,K6242=1),AND(J6242=1,I6242="SBJ"),AND(J6242=1,I6242=0)),"?IN_FOCUS",IF(J6242&lt;=2,"?ACTIVATED",IF(J6242&lt;&gt;"","?FAMILIAR",IF(F6242="NEW",IF(ISNA(VLOOKUP(E6242,#REF!,1,FALSE())),"?TYPE_IDENTIFIABLE","?REFERENTIAL"),"_")))))</f>
        <v> </v>
      </c>
      <c r="H6242" s="25" t="str">
        <f>IF(J6242&lt;&gt;1,"",IF(I6242="SBJ","CB","?"))</f>
        <v> </v>
      </c>
      <c r="I6242" s="26" t="str">
        <f>IF(OR(E6242="",E6242="!!!",F6242="NEW"),"",INDEX(B6241:B$2,-1+SUMPRODUCT(MAX(ROW(E6241:E$2)*(E6242=E6241:E$2)))))</f>
        <v> </v>
      </c>
      <c r="J6242" s="26" t="str">
        <f>IF(OR(E6242="",E6242="!!!",F6242="NEW"),"",COUNTBLANK(OFFSET(A$1,,,SUMPRODUCT(MAX(ROW(E$2:E6242)*(E6242=E$2:E6242)))))-COUNTBLANK(OFFSET(A$1,,,SUMPRODUCT(MAX(ROW(E$1:E6241)*(E2=E$1:E6241))))))</f>
        <v> </v>
      </c>
      <c r="K6242" s="26" t="str">
        <f>IF(OR(E6242="",E6242="!!!",F6242="NEW"),"",INDEX(J$1:J6241,SUMPRODUCT(MAX(ROW(E$1:E6241)*(E6242=E$1:E6241)))))</f>
        <v> </v>
      </c>
      <c r="L6242" s="27"/>
    </row>
    <row r="6243" spans="1:12">
      <c r="A6243" s="20" t="s">
        <v>1544</v>
      </c>
      <c r="E6243" s="22">
        <f>IF(D6243="?OLD","!!!","")</f>
        <v/>
      </c>
      <c r="F6243" s="23" t="str">
        <f>IF(OR(E6243="",E6243="!!!"),"",IF(NOT(ISNA(VLOOKUP(E6243,E$1:E6242,1,FALSE()))),"OLD",IF(AND(E6243&lt;&gt;"",E6243&lt;&gt;"!!!"),"NEW","")))</f>
        <v> </v>
      </c>
      <c r="G6243" s="24" t="str">
        <f>IF(OR(E6243="",E6243="!!!"),"",IF(OR(J6243=0,AND(J6243=1,K6243=1),AND(J6243=1,I6243="SBJ"),AND(J6243=1,I6243=0)),"?IN_FOCUS",IF(J6243&lt;=2,"?ACTIVATED",IF(J6243&lt;&gt;"","?FAMILIAR",IF(F6243="NEW",IF(ISNA(VLOOKUP(E6243,#REF!,1,FALSE())),"?TYPE_IDENTIFIABLE","?REFERENTIAL"),"_")))))</f>
        <v> </v>
      </c>
      <c r="H6243" s="25" t="str">
        <f>IF(J6243&lt;&gt;1,"",IF(I6243="SBJ","CB","?"))</f>
        <v> </v>
      </c>
      <c r="I6243" s="26" t="str">
        <f>IF(OR(E6243="",E6243="!!!",F6243="NEW"),"",INDEX(B6242:B$2,-1+SUMPRODUCT(MAX(ROW(E6242:E$2)*(E6243=E6242:E$2)))))</f>
        <v> </v>
      </c>
      <c r="J6243" s="26" t="str">
        <f>IF(OR(E6243="",E6243="!!!",F6243="NEW"),"",COUNTBLANK(OFFSET(A$1,,,SUMPRODUCT(MAX(ROW(E$2:E6243)*(E6243=E$2:E6243)))))-COUNTBLANK(OFFSET(A$1,,,SUMPRODUCT(MAX(ROW(E$1:E6242)*(E2=E$1:E6242))))))</f>
        <v> </v>
      </c>
      <c r="K6243" s="26" t="str">
        <f>IF(OR(E6243="",E6243="!!!",F6243="NEW"),"",INDEX(J$1:J6242,SUMPRODUCT(MAX(ROW(E$1:E6242)*(E6243=E$1:E6242)))))</f>
        <v> </v>
      </c>
      <c r="L6243" s="27"/>
    </row>
    <row r="6244" spans="1:12">
      <c r="A6244" s="20" t="s">
        <v>1000</v>
      </c>
      <c r="B6244" s="21" t="s">
        <v>1027</v>
      </c>
      <c r="C6244" s="21" t="s">
        <v>996</v>
      </c>
      <c r="D6244" s="21" t="s">
        <v>997</v>
      </c>
      <c r="E6244" s="22">
        <f>IF(D6244="?OLD","!!!","")</f>
        <v/>
      </c>
      <c r="F6244" s="23" t="str">
        <f>IF(OR(E6244="",E6244="!!!"),"",IF(NOT(ISNA(VLOOKUP(E6244,E$1:E6243,1,FALSE()))),"OLD",IF(AND(E6244&lt;&gt;"",E6244&lt;&gt;"!!!"),"NEW","")))</f>
        <v> </v>
      </c>
      <c r="G6244" s="24" t="str">
        <f>IF(OR(E6244="",E6244="!!!"),"",IF(OR(J6244=0,AND(J6244=1,K6244=1),AND(J6244=1,I6244="SBJ"),AND(J6244=1,I6244=0)),"?IN_FOCUS",IF(J6244&lt;=2,"?ACTIVATED",IF(J6244&lt;&gt;"","?FAMILIAR",IF(F6244="NEW",IF(ISNA(VLOOKUP(E6244,#REF!,1,FALSE())),"?TYPE_IDENTIFIABLE","?REFERENTIAL"),"_")))))</f>
        <v> </v>
      </c>
      <c r="H6244" s="25" t="str">
        <f>IF(J6244&lt;&gt;1,"",IF(I6244="SBJ","CB","?"))</f>
        <v> </v>
      </c>
      <c r="I6244" s="26" t="str">
        <f>IF(OR(E6244="",E6244="!!!",F6244="NEW"),"",INDEX(B6243:B$2,-1+SUMPRODUCT(MAX(ROW(E6243:E$2)*(E6244=E6243:E$2)))))</f>
        <v> </v>
      </c>
      <c r="J6244" s="26" t="str">
        <f>IF(OR(E6244="",E6244="!!!",F6244="NEW"),"",COUNTBLANK(OFFSET(A$1,,,SUMPRODUCT(MAX(ROW(E$2:E6244)*(E6244=E$2:E6244)))))-COUNTBLANK(OFFSET(A$1,,,SUMPRODUCT(MAX(ROW(E$1:E6243)*(E2=E$1:E6243))))))</f>
        <v> </v>
      </c>
      <c r="K6244" s="26" t="str">
        <f>IF(OR(E6244="",E6244="!!!",F6244="NEW"),"",INDEX(J$1:J6243,SUMPRODUCT(MAX(ROW(E$1:E6243)*(E6244=E$1:E6243)))))</f>
        <v> </v>
      </c>
      <c r="L6244" s="27"/>
    </row>
    <row r="6245" spans="1:12">
      <c r="A6245" s="20" t="s">
        <v>1441</v>
      </c>
      <c r="E6245" s="22">
        <f>IF(D6245="?OLD","!!!","")</f>
        <v/>
      </c>
      <c r="F6245" s="23" t="str">
        <f>IF(OR(E6245="",E6245="!!!"),"",IF(NOT(ISNA(VLOOKUP(E6245,E$1:E6244,1,FALSE()))),"OLD",IF(AND(E6245&lt;&gt;"",E6245&lt;&gt;"!!!"),"NEW","")))</f>
        <v> </v>
      </c>
      <c r="G6245" s="24" t="str">
        <f>IF(OR(E6245="",E6245="!!!"),"",IF(OR(J6245=0,AND(J6245=1,K6245=1),AND(J6245=1,I6245="SBJ"),AND(J6245=1,I6245=0)),"?IN_FOCUS",IF(J6245&lt;=2,"?ACTIVATED",IF(J6245&lt;&gt;"","?FAMILIAR",IF(F6245="NEW",IF(ISNA(VLOOKUP(E6245,#REF!,1,FALSE())),"?TYPE_IDENTIFIABLE","?REFERENTIAL"),"_")))))</f>
        <v> </v>
      </c>
      <c r="H6245" s="25" t="str">
        <f>IF(J6245&lt;&gt;1,"",IF(I6245="SBJ","CB","?"))</f>
        <v> </v>
      </c>
      <c r="I6245" s="26" t="str">
        <f>IF(OR(E6245="",E6245="!!!",F6245="NEW"),"",INDEX(B6244:B$2,-1+SUMPRODUCT(MAX(ROW(E6244:E$2)*(E6245=E6244:E$2)))))</f>
        <v> </v>
      </c>
      <c r="J6245" s="26" t="str">
        <f>IF(OR(E6245="",E6245="!!!",F6245="NEW"),"",COUNTBLANK(OFFSET(A$1,,,SUMPRODUCT(MAX(ROW(E$2:E6245)*(E6245=E$2:E6245)))))-COUNTBLANK(OFFSET(A$1,,,SUMPRODUCT(MAX(ROW(E$1:E6244)*(E2=E$1:E6244))))))</f>
        <v> </v>
      </c>
      <c r="K6245" s="26" t="str">
        <f>IF(OR(E6245="",E6245="!!!",F6245="NEW"),"",INDEX(J$1:J6244,SUMPRODUCT(MAX(ROW(E$1:E6244)*(E6245=E$1:E6244)))))</f>
        <v> </v>
      </c>
      <c r="L6245" s="27"/>
    </row>
    <row r="6246" spans="1:12">
      <c r="A6246" s="20" t="s">
        <v>1305</v>
      </c>
      <c r="E6246" s="22">
        <f>IF(D6246="?OLD","!!!","")</f>
        <v/>
      </c>
      <c r="F6246" s="23" t="str">
        <f>IF(OR(E6246="",E6246="!!!"),"",IF(NOT(ISNA(VLOOKUP(E6246,E$1:E6245,1,FALSE()))),"OLD",IF(AND(E6246&lt;&gt;"",E6246&lt;&gt;"!!!"),"NEW","")))</f>
        <v> </v>
      </c>
      <c r="G6246" s="24" t="str">
        <f>IF(OR(E6246="",E6246="!!!"),"",IF(OR(J6246=0,AND(J6246=1,K6246=1),AND(J6246=1,I6246="SBJ"),AND(J6246=1,I6246=0)),"?IN_FOCUS",IF(J6246&lt;=2,"?ACTIVATED",IF(J6246&lt;&gt;"","?FAMILIAR",IF(F6246="NEW",IF(ISNA(VLOOKUP(E6246,#REF!,1,FALSE())),"?TYPE_IDENTIFIABLE","?REFERENTIAL"),"_")))))</f>
        <v> </v>
      </c>
      <c r="H6246" s="25" t="str">
        <f>IF(J6246&lt;&gt;1,"",IF(I6246="SBJ","CB","?"))</f>
        <v> </v>
      </c>
      <c r="I6246" s="26" t="str">
        <f>IF(OR(E6246="",E6246="!!!",F6246="NEW"),"",INDEX(B6245:B$2,-1+SUMPRODUCT(MAX(ROW(E6245:E$2)*(E6246=E6245:E$2)))))</f>
        <v> </v>
      </c>
      <c r="J6246" s="26" t="str">
        <f>IF(OR(E6246="",E6246="!!!",F6246="NEW"),"",COUNTBLANK(OFFSET(A$1,,,SUMPRODUCT(MAX(ROW(E$2:E6246)*(E6246=E$2:E6246)))))-COUNTBLANK(OFFSET(A$1,,,SUMPRODUCT(MAX(ROW(E$1:E6245)*(E2=E$1:E6245))))))</f>
        <v> </v>
      </c>
      <c r="K6246" s="26" t="str">
        <f>IF(OR(E6246="",E6246="!!!",F6246="NEW"),"",INDEX(J$1:J6245,SUMPRODUCT(MAX(ROW(E$1:E6245)*(E6246=E$1:E6245)))))</f>
        <v> </v>
      </c>
      <c r="L6246" s="27"/>
    </row>
    <row r="6247" spans="1:12">
      <c r="A6247" s="20" t="s">
        <v>1146</v>
      </c>
      <c r="B6247" s="21" t="s">
        <v>1039</v>
      </c>
      <c r="C6247" s="21" t="s">
        <v>1239</v>
      </c>
      <c r="E6247" s="22">
        <f>IF(D6247="?OLD","!!!","")</f>
        <v/>
      </c>
      <c r="F6247" s="23" t="str">
        <f>IF(OR(E6247="",E6247="!!!"),"",IF(NOT(ISNA(VLOOKUP(E6247,E$1:E6246,1,FALSE()))),"OLD",IF(AND(E6247&lt;&gt;"",E6247&lt;&gt;"!!!"),"NEW","")))</f>
        <v> </v>
      </c>
      <c r="G6247" s="24" t="str">
        <f>IF(OR(E6247="",E6247="!!!"),"",IF(OR(J6247=0,AND(J6247=1,K6247=1),AND(J6247=1,I6247="SBJ"),AND(J6247=1,I6247=0)),"?IN_FOCUS",IF(J6247&lt;=2,"?ACTIVATED",IF(J6247&lt;&gt;"","?FAMILIAR",IF(F6247="NEW",IF(ISNA(VLOOKUP(E6247,#REF!,1,FALSE())),"?TYPE_IDENTIFIABLE","?REFERENTIAL"),"_")))))</f>
        <v> </v>
      </c>
      <c r="H6247" s="25" t="str">
        <f>IF(J6247&lt;&gt;1,"",IF(I6247="SBJ","CB","?"))</f>
        <v> </v>
      </c>
      <c r="I6247" s="26" t="str">
        <f>IF(OR(E6247="",E6247="!!!",F6247="NEW"),"",INDEX(B6246:B$2,-1+SUMPRODUCT(MAX(ROW(E6246:E$2)*(E6247=E6246:E$2)))))</f>
        <v> </v>
      </c>
      <c r="J6247" s="26" t="str">
        <f>IF(OR(E6247="",E6247="!!!",F6247="NEW"),"",COUNTBLANK(OFFSET(A$1,,,SUMPRODUCT(MAX(ROW(E$2:E6247)*(E6247=E$2:E6247)))))-COUNTBLANK(OFFSET(A$1,,,SUMPRODUCT(MAX(ROW(E$1:E6246)*(E2=E$1:E6246))))))</f>
        <v> </v>
      </c>
      <c r="K6247" s="26" t="str">
        <f>IF(OR(E6247="",E6247="!!!",F6247="NEW"),"",INDEX(J$1:J6246,SUMPRODUCT(MAX(ROW(E$1:E6246)*(E6247=E$1:E6246)))))</f>
        <v> </v>
      </c>
      <c r="L6247" s="27"/>
    </row>
    <row r="6248" spans="1:12">
      <c r="A6248" s="20" t="s">
        <v>1008</v>
      </c>
      <c r="E6248" s="22">
        <f>IF(D6248="?OLD","!!!","")</f>
        <v/>
      </c>
      <c r="F6248" s="23" t="str">
        <f>IF(OR(E6248="",E6248="!!!"),"",IF(NOT(ISNA(VLOOKUP(E6248,E$1:E6247,1,FALSE()))),"OLD",IF(AND(E6248&lt;&gt;"",E6248&lt;&gt;"!!!"),"NEW","")))</f>
        <v> </v>
      </c>
      <c r="G6248" s="24" t="str">
        <f>IF(OR(E6248="",E6248="!!!"),"",IF(OR(J6248=0,AND(J6248=1,K6248=1),AND(J6248=1,I6248="SBJ"),AND(J6248=1,I6248=0)),"?IN_FOCUS",IF(J6248&lt;=2,"?ACTIVATED",IF(J6248&lt;&gt;"","?FAMILIAR",IF(F6248="NEW",IF(ISNA(VLOOKUP(E6248,#REF!,1,FALSE())),"?TYPE_IDENTIFIABLE","?REFERENTIAL"),"_")))))</f>
        <v> </v>
      </c>
      <c r="H6248" s="25" t="str">
        <f>IF(J6248&lt;&gt;1,"",IF(I6248="SBJ","CB","?"))</f>
        <v> </v>
      </c>
      <c r="I6248" s="26" t="str">
        <f>IF(OR(E6248="",E6248="!!!",F6248="NEW"),"",INDEX(B6247:B$2,-1+SUMPRODUCT(MAX(ROW(E6247:E$2)*(E6248=E6247:E$2)))))</f>
        <v> </v>
      </c>
      <c r="J6248" s="26" t="str">
        <f>IF(OR(E6248="",E6248="!!!",F6248="NEW"),"",COUNTBLANK(OFFSET(A$1,,,SUMPRODUCT(MAX(ROW(E$2:E6248)*(E6248=E$2:E6248)))))-COUNTBLANK(OFFSET(A$1,,,SUMPRODUCT(MAX(ROW(E$1:E6247)*(E2=E$1:E6247))))))</f>
        <v> </v>
      </c>
      <c r="K6248" s="26" t="str">
        <f>IF(OR(E6248="",E6248="!!!",F6248="NEW"),"",INDEX(J$1:J6247,SUMPRODUCT(MAX(ROW(E$1:E6247)*(E6248=E$1:E6247)))))</f>
        <v> </v>
      </c>
      <c r="L6248" s="27"/>
    </row>
    <row r="6249" spans="1:12">
      <c r="A6249" s="20" t="s">
        <v>1097</v>
      </c>
      <c r="B6249" s="21" t="s">
        <v>1024</v>
      </c>
      <c r="C6249" s="21" t="s">
        <v>1006</v>
      </c>
      <c r="E6249" s="22">
        <f>IF(D6249="?OLD","!!!","")</f>
        <v/>
      </c>
      <c r="F6249" s="23" t="str">
        <f>IF(OR(E6249="",E6249="!!!"),"",IF(NOT(ISNA(VLOOKUP(E6249,E$1:E6248,1,FALSE()))),"OLD",IF(AND(E6249&lt;&gt;"",E6249&lt;&gt;"!!!"),"NEW","")))</f>
        <v> </v>
      </c>
      <c r="G6249" s="24" t="str">
        <f>IF(OR(E6249="",E6249="!!!"),"",IF(OR(J6249=0,AND(J6249=1,K6249=1),AND(J6249=1,I6249="SBJ"),AND(J6249=1,I6249=0)),"?IN_FOCUS",IF(J6249&lt;=2,"?ACTIVATED",IF(J6249&lt;&gt;"","?FAMILIAR",IF(F6249="NEW",IF(ISNA(VLOOKUP(E6249,#REF!,1,FALSE())),"?TYPE_IDENTIFIABLE","?REFERENTIAL"),"_")))))</f>
        <v> </v>
      </c>
      <c r="H6249" s="25" t="str">
        <f>IF(J6249&lt;&gt;1,"",IF(I6249="SBJ","CB","?"))</f>
        <v> </v>
      </c>
      <c r="I6249" s="26" t="str">
        <f>IF(OR(E6249="",E6249="!!!",F6249="NEW"),"",INDEX(B6248:B$2,-1+SUMPRODUCT(MAX(ROW(E6248:E$2)*(E6249=E6248:E$2)))))</f>
        <v> </v>
      </c>
      <c r="J6249" s="26" t="str">
        <f>IF(OR(E6249="",E6249="!!!",F6249="NEW"),"",COUNTBLANK(OFFSET(A$1,,,SUMPRODUCT(MAX(ROW(E$2:E6249)*(E6249=E$2:E6249)))))-COUNTBLANK(OFFSET(A$1,,,SUMPRODUCT(MAX(ROW(E$1:E6248)*(E2=E$1:E6248))))))</f>
        <v> </v>
      </c>
      <c r="K6249" s="26" t="str">
        <f>IF(OR(E6249="",E6249="!!!",F6249="NEW"),"",INDEX(J$1:J6248,SUMPRODUCT(MAX(ROW(E$1:E6248)*(E6249=E$1:E6248)))))</f>
        <v> </v>
      </c>
      <c r="L6249" s="27"/>
    </row>
    <row r="6250" spans="1:12">
      <c r="A6250" s="20" t="s">
        <v>2520</v>
      </c>
      <c r="E6250" s="22">
        <f>IF(D6250="?OLD","!!!","")</f>
        <v/>
      </c>
      <c r="F6250" s="23" t="str">
        <f>IF(OR(E6250="",E6250="!!!"),"",IF(NOT(ISNA(VLOOKUP(E6250,E$1:E6249,1,FALSE()))),"OLD",IF(AND(E6250&lt;&gt;"",E6250&lt;&gt;"!!!"),"NEW","")))</f>
        <v> </v>
      </c>
      <c r="G6250" s="24" t="str">
        <f>IF(OR(E6250="",E6250="!!!"),"",IF(OR(J6250=0,AND(J6250=1,K6250=1),AND(J6250=1,I6250="SBJ"),AND(J6250=1,I6250=0)),"?IN_FOCUS",IF(J6250&lt;=2,"?ACTIVATED",IF(J6250&lt;&gt;"","?FAMILIAR",IF(F6250="NEW",IF(ISNA(VLOOKUP(E6250,#REF!,1,FALSE())),"?TYPE_IDENTIFIABLE","?REFERENTIAL"),"_")))))</f>
        <v> </v>
      </c>
      <c r="H6250" s="25" t="str">
        <f>IF(J6250&lt;&gt;1,"",IF(I6250="SBJ","CB","?"))</f>
        <v> </v>
      </c>
      <c r="I6250" s="26" t="str">
        <f>IF(OR(E6250="",E6250="!!!",F6250="NEW"),"",INDEX(B6249:B$2,-1+SUMPRODUCT(MAX(ROW(E6249:E$2)*(E6250=E6249:E$2)))))</f>
        <v> </v>
      </c>
      <c r="J6250" s="26" t="str">
        <f>IF(OR(E6250="",E6250="!!!",F6250="NEW"),"",COUNTBLANK(OFFSET(A$1,,,SUMPRODUCT(MAX(ROW(E$2:E6250)*(E6250=E$2:E6250)))))-COUNTBLANK(OFFSET(A$1,,,SUMPRODUCT(MAX(ROW(E$1:E6249)*(E2=E$1:E6249))))))</f>
        <v> </v>
      </c>
      <c r="K6250" s="26" t="str">
        <f>IF(OR(E6250="",E6250="!!!",F6250="NEW"),"",INDEX(J$1:J6249,SUMPRODUCT(MAX(ROW(E$1:E6249)*(E6250=E$1:E6249)))))</f>
        <v> </v>
      </c>
      <c r="L6250" s="27"/>
    </row>
    <row r="6251" spans="1:12">
      <c r="A6251" s="20" t="s">
        <v>1041</v>
      </c>
      <c r="E6251" s="22">
        <f>IF(D6251="?OLD","!!!","")</f>
        <v/>
      </c>
      <c r="F6251" s="23" t="str">
        <f>IF(OR(E6251="",E6251="!!!"),"",IF(NOT(ISNA(VLOOKUP(E6251,E$1:E6250,1,FALSE()))),"OLD",IF(AND(E6251&lt;&gt;"",E6251&lt;&gt;"!!!"),"NEW","")))</f>
        <v> </v>
      </c>
      <c r="G6251" s="24" t="str">
        <f>IF(OR(E6251="",E6251="!!!"),"",IF(OR(J6251=0,AND(J6251=1,K6251=1),AND(J6251=1,I6251="SBJ"),AND(J6251=1,I6251=0)),"?IN_FOCUS",IF(J6251&lt;=2,"?ACTIVATED",IF(J6251&lt;&gt;"","?FAMILIAR",IF(F6251="NEW",IF(ISNA(VLOOKUP(E6251,#REF!,1,FALSE())),"?TYPE_IDENTIFIABLE","?REFERENTIAL"),"_")))))</f>
        <v> </v>
      </c>
      <c r="H6251" s="25" t="str">
        <f>IF(J6251&lt;&gt;1,"",IF(I6251="SBJ","CB","?"))</f>
        <v> </v>
      </c>
      <c r="I6251" s="26" t="str">
        <f>IF(OR(E6251="",E6251="!!!",F6251="NEW"),"",INDEX(B6250:B$2,-1+SUMPRODUCT(MAX(ROW(E6250:E$2)*(E6251=E6250:E$2)))))</f>
        <v> </v>
      </c>
      <c r="J6251" s="26" t="str">
        <f>IF(OR(E6251="",E6251="!!!",F6251="NEW"),"",COUNTBLANK(OFFSET(A$1,,,SUMPRODUCT(MAX(ROW(E$2:E6251)*(E6251=E$2:E6251)))))-COUNTBLANK(OFFSET(A$1,,,SUMPRODUCT(MAX(ROW(E$1:E6250)*(E2=E$1:E6250))))))</f>
        <v> </v>
      </c>
      <c r="K6251" s="26" t="str">
        <f>IF(OR(E6251="",E6251="!!!",F6251="NEW"),"",INDEX(J$1:J6250,SUMPRODUCT(MAX(ROW(E$1:E6250)*(E6251=E$1:E6250)))))</f>
        <v> </v>
      </c>
      <c r="L6251" s="27"/>
    </row>
    <row r="6252" spans="1:12">
      <c r="A6252" s="20" t="s">
        <v>1007</v>
      </c>
      <c r="E6252" s="22">
        <f>IF(D6252="?OLD","!!!","")</f>
        <v/>
      </c>
      <c r="F6252" s="23" t="str">
        <f>IF(OR(E6252="",E6252="!!!"),"",IF(NOT(ISNA(VLOOKUP(E6252,E$1:E6251,1,FALSE()))),"OLD",IF(AND(E6252&lt;&gt;"",E6252&lt;&gt;"!!!"),"NEW","")))</f>
        <v> </v>
      </c>
      <c r="G6252" s="24" t="str">
        <f>IF(OR(E6252="",E6252="!!!"),"",IF(OR(J6252=0,AND(J6252=1,K6252=1),AND(J6252=1,I6252="SBJ"),AND(J6252=1,I6252=0)),"?IN_FOCUS",IF(J6252&lt;=2,"?ACTIVATED",IF(J6252&lt;&gt;"","?FAMILIAR",IF(F6252="NEW",IF(ISNA(VLOOKUP(E6252,#REF!,1,FALSE())),"?TYPE_IDENTIFIABLE","?REFERENTIAL"),"_")))))</f>
        <v> </v>
      </c>
      <c r="H6252" s="25" t="str">
        <f>IF(J6252&lt;&gt;1,"",IF(I6252="SBJ","CB","?"))</f>
        <v> </v>
      </c>
      <c r="I6252" s="26" t="str">
        <f>IF(OR(E6252="",E6252="!!!",F6252="NEW"),"",INDEX(B6251:B$2,-1+SUMPRODUCT(MAX(ROW(E6251:E$2)*(E6252=E6251:E$2)))))</f>
        <v> </v>
      </c>
      <c r="J6252" s="26" t="str">
        <f>IF(OR(E6252="",E6252="!!!",F6252="NEW"),"",COUNTBLANK(OFFSET(A$1,,,SUMPRODUCT(MAX(ROW(E$2:E6252)*(E6252=E$2:E6252)))))-COUNTBLANK(OFFSET(A$1,,,SUMPRODUCT(MAX(ROW(E$1:E6251)*(E2=E$1:E6251))))))</f>
        <v> </v>
      </c>
      <c r="K6252" s="26" t="str">
        <f>IF(OR(E6252="",E6252="!!!",F6252="NEW"),"",INDEX(J$1:J6251,SUMPRODUCT(MAX(ROW(E$1:E6251)*(E6252=E$1:E6251)))))</f>
        <v> </v>
      </c>
      <c r="L6252" s="27"/>
    </row>
    <row r="6253" spans="1:12">
      <c r="A6253" s="20" t="s">
        <v>1022</v>
      </c>
      <c r="E6253" s="22">
        <f>IF(D6253="?OLD","!!!","")</f>
        <v/>
      </c>
      <c r="F6253" s="23" t="str">
        <f>IF(OR(E6253="",E6253="!!!"),"",IF(NOT(ISNA(VLOOKUP(E6253,E$1:E6252,1,FALSE()))),"OLD",IF(AND(E6253&lt;&gt;"",E6253&lt;&gt;"!!!"),"NEW","")))</f>
        <v> </v>
      </c>
      <c r="G6253" s="24" t="str">
        <f>IF(OR(E6253="",E6253="!!!"),"",IF(OR(J6253=0,AND(J6253=1,K6253=1),AND(J6253=1,I6253="SBJ"),AND(J6253=1,I6253=0)),"?IN_FOCUS",IF(J6253&lt;=2,"?ACTIVATED",IF(J6253&lt;&gt;"","?FAMILIAR",IF(F6253="NEW",IF(ISNA(VLOOKUP(E6253,#REF!,1,FALSE())),"?TYPE_IDENTIFIABLE","?REFERENTIAL"),"_")))))</f>
        <v> </v>
      </c>
      <c r="H6253" s="25" t="str">
        <f>IF(J6253&lt;&gt;1,"",IF(I6253="SBJ","CB","?"))</f>
        <v> </v>
      </c>
      <c r="I6253" s="26" t="str">
        <f>IF(OR(E6253="",E6253="!!!",F6253="NEW"),"",INDEX(B6252:B$2,-1+SUMPRODUCT(MAX(ROW(E6252:E$2)*(E6253=E6252:E$2)))))</f>
        <v> </v>
      </c>
      <c r="J6253" s="26" t="str">
        <f>IF(OR(E6253="",E6253="!!!",F6253="NEW"),"",COUNTBLANK(OFFSET(A$1,,,SUMPRODUCT(MAX(ROW(E$2:E6253)*(E6253=E$2:E6253)))))-COUNTBLANK(OFFSET(A$1,,,SUMPRODUCT(MAX(ROW(E$1:E6252)*(E2=E$1:E6252))))))</f>
        <v> </v>
      </c>
      <c r="K6253" s="26" t="str">
        <f>IF(OR(E6253="",E6253="!!!",F6253="NEW"),"",INDEX(J$1:J6252,SUMPRODUCT(MAX(ROW(E$1:E6252)*(E6253=E$1:E6252)))))</f>
        <v> </v>
      </c>
      <c r="L6253" s="27"/>
    </row>
    <row r="6254" spans="1:12">
      <c r="A6254" s="20" t="s">
        <v>1000</v>
      </c>
      <c r="B6254" s="21" t="s">
        <v>1142</v>
      </c>
      <c r="C6254" s="21" t="s">
        <v>996</v>
      </c>
      <c r="D6254" s="21" t="s">
        <v>997</v>
      </c>
      <c r="E6254" s="22">
        <f>IF(D6254="?OLD","!!!","")</f>
        <v/>
      </c>
      <c r="F6254" s="23" t="str">
        <f>IF(OR(E6254="",E6254="!!!"),"",IF(NOT(ISNA(VLOOKUP(E6254,E$1:E6253,1,FALSE()))),"OLD",IF(AND(E6254&lt;&gt;"",E6254&lt;&gt;"!!!"),"NEW","")))</f>
        <v> </v>
      </c>
      <c r="G6254" s="24" t="str">
        <f>IF(OR(E6254="",E6254="!!!"),"",IF(OR(J6254=0,AND(J6254=1,K6254=1),AND(J6254=1,I6254="SBJ"),AND(J6254=1,I6254=0)),"?IN_FOCUS",IF(J6254&lt;=2,"?ACTIVATED",IF(J6254&lt;&gt;"","?FAMILIAR",IF(F6254="NEW",IF(ISNA(VLOOKUP(E6254,#REF!,1,FALSE())),"?TYPE_IDENTIFIABLE","?REFERENTIAL"),"_")))))</f>
        <v> </v>
      </c>
      <c r="H6254" s="25" t="str">
        <f>IF(J6254&lt;&gt;1,"",IF(I6254="SBJ","CB","?"))</f>
        <v> </v>
      </c>
      <c r="I6254" s="26" t="str">
        <f>IF(OR(E6254="",E6254="!!!",F6254="NEW"),"",INDEX(B6253:B$2,-1+SUMPRODUCT(MAX(ROW(E6253:E$2)*(E6254=E6253:E$2)))))</f>
        <v> </v>
      </c>
      <c r="J6254" s="26" t="str">
        <f>IF(OR(E6254="",E6254="!!!",F6254="NEW"),"",COUNTBLANK(OFFSET(A$1,,,SUMPRODUCT(MAX(ROW(E$2:E6254)*(E6254=E$2:E6254)))))-COUNTBLANK(OFFSET(A$1,,,SUMPRODUCT(MAX(ROW(E$1:E6253)*(E2=E$1:E6253))))))</f>
        <v> </v>
      </c>
      <c r="K6254" s="26" t="str">
        <f>IF(OR(E6254="",E6254="!!!",F6254="NEW"),"",INDEX(J$1:J6253,SUMPRODUCT(MAX(ROW(E$1:E6253)*(E6254=E$1:E6253)))))</f>
        <v> </v>
      </c>
      <c r="L6254" s="27"/>
    </row>
    <row r="6255" spans="1:12">
      <c r="A6255" s="20" t="s">
        <v>2564</v>
      </c>
      <c r="E6255" s="22">
        <f>IF(D6255="?OLD","!!!","")</f>
        <v/>
      </c>
      <c r="F6255" s="23" t="str">
        <f>IF(OR(E6255="",E6255="!!!"),"",IF(NOT(ISNA(VLOOKUP(E6255,E$1:E6254,1,FALSE()))),"OLD",IF(AND(E6255&lt;&gt;"",E6255&lt;&gt;"!!!"),"NEW","")))</f>
        <v> </v>
      </c>
      <c r="G6255" s="24" t="str">
        <f>IF(OR(E6255="",E6255="!!!"),"",IF(OR(J6255=0,AND(J6255=1,K6255=1),AND(J6255=1,I6255="SBJ"),AND(J6255=1,I6255=0)),"?IN_FOCUS",IF(J6255&lt;=2,"?ACTIVATED",IF(J6255&lt;&gt;"","?FAMILIAR",IF(F6255="NEW",IF(ISNA(VLOOKUP(E6255,#REF!,1,FALSE())),"?TYPE_IDENTIFIABLE","?REFERENTIAL"),"_")))))</f>
        <v> </v>
      </c>
      <c r="H6255" s="25" t="str">
        <f>IF(J6255&lt;&gt;1,"",IF(I6255="SBJ","CB","?"))</f>
        <v> </v>
      </c>
      <c r="I6255" s="26" t="str">
        <f>IF(OR(E6255="",E6255="!!!",F6255="NEW"),"",INDEX(B6254:B$2,-1+SUMPRODUCT(MAX(ROW(E6254:E$2)*(E6255=E6254:E$2)))))</f>
        <v> </v>
      </c>
      <c r="J6255" s="26" t="str">
        <f>IF(OR(E6255="",E6255="!!!",F6255="NEW"),"",COUNTBLANK(OFFSET(A$1,,,SUMPRODUCT(MAX(ROW(E$2:E6255)*(E6255=E$2:E6255)))))-COUNTBLANK(OFFSET(A$1,,,SUMPRODUCT(MAX(ROW(E$1:E6254)*(E2=E$1:E6254))))))</f>
        <v> </v>
      </c>
      <c r="K6255" s="26" t="str">
        <f>IF(OR(E6255="",E6255="!!!",F6255="NEW"),"",INDEX(J$1:J6254,SUMPRODUCT(MAX(ROW(E$1:E6254)*(E6255=E$1:E6254)))))</f>
        <v> </v>
      </c>
      <c r="L6255" s="27"/>
    </row>
    <row r="6256" spans="1:12">
      <c r="A6256" s="20" t="s">
        <v>1008</v>
      </c>
      <c r="E6256" s="22">
        <f>IF(D6256="?OLD","!!!","")</f>
        <v/>
      </c>
      <c r="F6256" s="23" t="str">
        <f>IF(OR(E6256="",E6256="!!!"),"",IF(NOT(ISNA(VLOOKUP(E6256,E$1:E6255,1,FALSE()))),"OLD",IF(AND(E6256&lt;&gt;"",E6256&lt;&gt;"!!!"),"NEW","")))</f>
        <v> </v>
      </c>
      <c r="G6256" s="24" t="str">
        <f>IF(OR(E6256="",E6256="!!!"),"",IF(OR(J6256=0,AND(J6256=1,K6256=1),AND(J6256=1,I6256="SBJ"),AND(J6256=1,I6256=0)),"?IN_FOCUS",IF(J6256&lt;=2,"?ACTIVATED",IF(J6256&lt;&gt;"","?FAMILIAR",IF(F6256="NEW",IF(ISNA(VLOOKUP(E6256,#REF!,1,FALSE())),"?TYPE_IDENTIFIABLE","?REFERENTIAL"),"_")))))</f>
        <v> </v>
      </c>
      <c r="H6256" s="25" t="str">
        <f>IF(J6256&lt;&gt;1,"",IF(I6256="SBJ","CB","?"))</f>
        <v> </v>
      </c>
      <c r="I6256" s="26" t="str">
        <f>IF(OR(E6256="",E6256="!!!",F6256="NEW"),"",INDEX(B6255:B$2,-1+SUMPRODUCT(MAX(ROW(E6255:E$2)*(E6256=E6255:E$2)))))</f>
        <v> </v>
      </c>
      <c r="J6256" s="26" t="str">
        <f>IF(OR(E6256="",E6256="!!!",F6256="NEW"),"",COUNTBLANK(OFFSET(A$1,,,SUMPRODUCT(MAX(ROW(E$2:E6256)*(E6256=E$2:E6256)))))-COUNTBLANK(OFFSET(A$1,,,SUMPRODUCT(MAX(ROW(E$1:E6255)*(E2=E$1:E6255))))))</f>
        <v> </v>
      </c>
      <c r="K6256" s="26" t="str">
        <f>IF(OR(E6256="",E6256="!!!",F6256="NEW"),"",INDEX(J$1:J6255,SUMPRODUCT(MAX(ROW(E$1:E6255)*(E6256=E$1:E6255)))))</f>
        <v> </v>
      </c>
      <c r="L6256" s="27"/>
    </row>
    <row r="6257" spans="1:12">
      <c r="A6257" s="20" t="s">
        <v>1061</v>
      </c>
      <c r="B6257" s="21" t="s">
        <v>1039</v>
      </c>
      <c r="C6257" s="21" t="s">
        <v>996</v>
      </c>
      <c r="D6257" s="21" t="s">
        <v>997</v>
      </c>
      <c r="E6257" s="22">
        <f>IF(D6257="?OLD","!!!","")</f>
        <v/>
      </c>
      <c r="F6257" s="23" t="str">
        <f>IF(OR(E6257="",E6257="!!!"),"",IF(NOT(ISNA(VLOOKUP(E6257,E$1:E6256,1,FALSE()))),"OLD",IF(AND(E6257&lt;&gt;"",E6257&lt;&gt;"!!!"),"NEW","")))</f>
        <v> </v>
      </c>
      <c r="G6257" s="24" t="str">
        <f>IF(OR(E6257="",E6257="!!!"),"",IF(OR(J6257=0,AND(J6257=1,K6257=1),AND(J6257=1,I6257="SBJ"),AND(J6257=1,I6257=0)),"?IN_FOCUS",IF(J6257&lt;=2,"?ACTIVATED",IF(J6257&lt;&gt;"","?FAMILIAR",IF(F6257="NEW",IF(ISNA(VLOOKUP(E6257,#REF!,1,FALSE())),"?TYPE_IDENTIFIABLE","?REFERENTIAL"),"_")))))</f>
        <v> </v>
      </c>
      <c r="H6257" s="25" t="str">
        <f>IF(J6257&lt;&gt;1,"",IF(I6257="SBJ","CB","?"))</f>
        <v> </v>
      </c>
      <c r="I6257" s="26" t="str">
        <f>IF(OR(E6257="",E6257="!!!",F6257="NEW"),"",INDEX(B6256:B$2,-1+SUMPRODUCT(MAX(ROW(E6256:E$2)*(E6257=E6256:E$2)))))</f>
        <v> </v>
      </c>
      <c r="J6257" s="26" t="str">
        <f>IF(OR(E6257="",E6257="!!!",F6257="NEW"),"",COUNTBLANK(OFFSET(A$1,,,SUMPRODUCT(MAX(ROW(E$2:E6257)*(E6257=E$2:E6257)))))-COUNTBLANK(OFFSET(A$1,,,SUMPRODUCT(MAX(ROW(E$1:E6256)*(E2=E$1:E6256))))))</f>
        <v> </v>
      </c>
      <c r="K6257" s="26" t="str">
        <f>IF(OR(E6257="",E6257="!!!",F6257="NEW"),"",INDEX(J$1:J6256,SUMPRODUCT(MAX(ROW(E$1:E6256)*(E6257=E$1:E6256)))))</f>
        <v> </v>
      </c>
      <c r="L6257" s="27"/>
    </row>
    <row r="6258" spans="1:12">
      <c r="A6258" s="20" t="s">
        <v>2565</v>
      </c>
      <c r="E6258" s="22">
        <f>IF(D6258="?OLD","!!!","")</f>
        <v/>
      </c>
      <c r="F6258" s="23" t="str">
        <f>IF(OR(E6258="",E6258="!!!"),"",IF(NOT(ISNA(VLOOKUP(E6258,E$1:E6257,1,FALSE()))),"OLD",IF(AND(E6258&lt;&gt;"",E6258&lt;&gt;"!!!"),"NEW","")))</f>
        <v> </v>
      </c>
      <c r="G6258" s="24" t="str">
        <f>IF(OR(E6258="",E6258="!!!"),"",IF(OR(J6258=0,AND(J6258=1,K6258=1),AND(J6258=1,I6258="SBJ"),AND(J6258=1,I6258=0)),"?IN_FOCUS",IF(J6258&lt;=2,"?ACTIVATED",IF(J6258&lt;&gt;"","?FAMILIAR",IF(F6258="NEW",IF(ISNA(VLOOKUP(E6258,#REF!,1,FALSE())),"?TYPE_IDENTIFIABLE","?REFERENTIAL"),"_")))))</f>
        <v> </v>
      </c>
      <c r="H6258" s="25" t="str">
        <f>IF(J6258&lt;&gt;1,"",IF(I6258="SBJ","CB","?"))</f>
        <v> </v>
      </c>
      <c r="I6258" s="26" t="str">
        <f>IF(OR(E6258="",E6258="!!!",F6258="NEW"),"",INDEX(B6257:B$2,-1+SUMPRODUCT(MAX(ROW(E6257:E$2)*(E6258=E6257:E$2)))))</f>
        <v> </v>
      </c>
      <c r="J6258" s="26" t="str">
        <f>IF(OR(E6258="",E6258="!!!",F6258="NEW"),"",COUNTBLANK(OFFSET(A$1,,,SUMPRODUCT(MAX(ROW(E$2:E6258)*(E6258=E$2:E6258)))))-COUNTBLANK(OFFSET(A$1,,,SUMPRODUCT(MAX(ROW(E$1:E6257)*(E2=E$1:E6257))))))</f>
        <v> </v>
      </c>
      <c r="K6258" s="26" t="str">
        <f>IF(OR(E6258="",E6258="!!!",F6258="NEW"),"",INDEX(J$1:J6257,SUMPRODUCT(MAX(ROW(E$1:E6257)*(E6258=E$1:E6257)))))</f>
        <v> </v>
      </c>
      <c r="L6258" s="27"/>
    </row>
    <row r="6259" spans="1:12">
      <c r="A6259" s="20" t="s">
        <v>1011</v>
      </c>
      <c r="E6259" s="22">
        <f>IF(D6259="?OLD","!!!","")</f>
        <v/>
      </c>
      <c r="F6259" s="23" t="str">
        <f>IF(OR(E6259="",E6259="!!!"),"",IF(NOT(ISNA(VLOOKUP(E6259,E$1:E6258,1,FALSE()))),"OLD",IF(AND(E6259&lt;&gt;"",E6259&lt;&gt;"!!!"),"NEW","")))</f>
        <v> </v>
      </c>
      <c r="G6259" s="24" t="str">
        <f>IF(OR(E6259="",E6259="!!!"),"",IF(OR(J6259=0,AND(J6259=1,K6259=1),AND(J6259=1,I6259="SBJ"),AND(J6259=1,I6259=0)),"?IN_FOCUS",IF(J6259&lt;=2,"?ACTIVATED",IF(J6259&lt;&gt;"","?FAMILIAR",IF(F6259="NEW",IF(ISNA(VLOOKUP(E6259,#REF!,1,FALSE())),"?TYPE_IDENTIFIABLE","?REFERENTIAL"),"_")))))</f>
        <v> </v>
      </c>
      <c r="H6259" s="25" t="str">
        <f>IF(J6259&lt;&gt;1,"",IF(I6259="SBJ","CB","?"))</f>
        <v> </v>
      </c>
      <c r="I6259" s="26" t="str">
        <f>IF(OR(E6259="",E6259="!!!",F6259="NEW"),"",INDEX(B6258:B$2,-1+SUMPRODUCT(MAX(ROW(E6258:E$2)*(E6259=E6258:E$2)))))</f>
        <v> </v>
      </c>
      <c r="J6259" s="26" t="str">
        <f>IF(OR(E6259="",E6259="!!!",F6259="NEW"),"",COUNTBLANK(OFFSET(A$1,,,SUMPRODUCT(MAX(ROW(E$2:E6259)*(E6259=E$2:E6259)))))-COUNTBLANK(OFFSET(A$1,,,SUMPRODUCT(MAX(ROW(E$1:E6258)*(E2=E$1:E6258))))))</f>
        <v> </v>
      </c>
      <c r="K6259" s="26" t="str">
        <f>IF(OR(E6259="",E6259="!!!",F6259="NEW"),"",INDEX(J$1:J6258,SUMPRODUCT(MAX(ROW(E$1:E6258)*(E6259=E$1:E6258)))))</f>
        <v> </v>
      </c>
      <c r="L6259" s="27"/>
    </row>
    <row r="6260" spans="1:12">
      <c r="A6260" s="20"/>
    </row>
    <row r="6261" spans="1:12">
      <c r="A6261" s="20" t="s">
        <v>2566</v>
      </c>
    </row>
    <row r="6262" spans="1:12">
      <c r="A6262" s="20" t="s">
        <v>1234</v>
      </c>
      <c r="B6262" s="21" t="s">
        <v>995</v>
      </c>
      <c r="C6262" s="21" t="s">
        <v>1015</v>
      </c>
      <c r="D6262" s="21" t="s">
        <v>997</v>
      </c>
      <c r="E6262" s="22">
        <f>IF(D6262="?OLD","!!!","")</f>
        <v/>
      </c>
      <c r="F6262" s="23" t="str">
        <f>IF(OR(E6262="",E6262="!!!"),"",IF(NOT(ISNA(VLOOKUP(E6262,E$1:E6261,1,FALSE()))),"OLD",IF(AND(E6262&lt;&gt;"",E6262&lt;&gt;"!!!"),"NEW","")))</f>
        <v> </v>
      </c>
      <c r="G6262" s="24" t="str">
        <f>IF(OR(E6262="",E6262="!!!"),"",IF(OR(J6262=0,AND(J6262=1,K6262=1),AND(J6262=1,I6262="SBJ"),AND(J6262=1,I6262=0)),"?IN_FOCUS",IF(J6262&lt;=2,"?ACTIVATED",IF(J6262&lt;&gt;"","?FAMILIAR",IF(F6262="NEW",IF(ISNA(VLOOKUP(E6262,#REF!,1,FALSE())),"?TYPE_IDENTIFIABLE","?REFERENTIAL"),"_")))))</f>
        <v> </v>
      </c>
      <c r="H6262" s="25" t="str">
        <f>IF(J6262&lt;&gt;1,"",IF(I6262="SBJ","CB","?"))</f>
        <v> </v>
      </c>
      <c r="I6262" s="26" t="str">
        <f>IF(OR(E6262="",E6262="!!!",F6262="NEW"),"",INDEX(B6261:B$2,-1+SUMPRODUCT(MAX(ROW(E6261:E$2)*(E6262=E6261:E$2)))))</f>
        <v> </v>
      </c>
      <c r="J6262" s="26" t="str">
        <f>IF(OR(E6262="",E6262="!!!",F6262="NEW"),"",COUNTBLANK(OFFSET(A$1,,,SUMPRODUCT(MAX(ROW(E$2:E6262)*(E6262=E$2:E6262)))))-COUNTBLANK(OFFSET(A$1,,,SUMPRODUCT(MAX(ROW(E$1:E6261)*(E2=E$1:E6261))))))</f>
        <v> </v>
      </c>
      <c r="K6262" s="26" t="str">
        <f>IF(OR(E6262="",E6262="!!!",F6262="NEW"),"",INDEX(J$1:J6261,SUMPRODUCT(MAX(ROW(E$1:E6261)*(E6262=E$1:E6261)))))</f>
        <v> </v>
      </c>
      <c r="L6262" s="27"/>
    </row>
    <row r="6263" spans="1:12">
      <c r="A6263" s="20" t="s">
        <v>423</v>
      </c>
      <c r="E6263" s="22">
        <f>IF(D6263="?OLD","!!!","")</f>
        <v/>
      </c>
      <c r="F6263" s="23" t="str">
        <f>IF(OR(E6263="",E6263="!!!"),"",IF(NOT(ISNA(VLOOKUP(E6263,E$1:E6262,1,FALSE()))),"OLD",IF(AND(E6263&lt;&gt;"",E6263&lt;&gt;"!!!"),"NEW","")))</f>
        <v> </v>
      </c>
      <c r="G6263" s="24" t="str">
        <f>IF(OR(E6263="",E6263="!!!"),"",IF(OR(J6263=0,AND(J6263=1,K6263=1),AND(J6263=1,I6263="SBJ"),AND(J6263=1,I6263=0)),"?IN_FOCUS",IF(J6263&lt;=2,"?ACTIVATED",IF(J6263&lt;&gt;"","?FAMILIAR",IF(F6263="NEW",IF(ISNA(VLOOKUP(E6263,#REF!,1,FALSE())),"?TYPE_IDENTIFIABLE","?REFERENTIAL"),"_")))))</f>
        <v> </v>
      </c>
      <c r="H6263" s="25" t="str">
        <f>IF(J6263&lt;&gt;1,"",IF(I6263="SBJ","CB","?"))</f>
        <v> </v>
      </c>
      <c r="I6263" s="26" t="str">
        <f>IF(OR(E6263="",E6263="!!!",F6263="NEW"),"",INDEX(B6262:B$2,-1+SUMPRODUCT(MAX(ROW(E6262:E$2)*(E6263=E6262:E$2)))))</f>
        <v> </v>
      </c>
      <c r="J6263" s="26" t="str">
        <f>IF(OR(E6263="",E6263="!!!",F6263="NEW"),"",COUNTBLANK(OFFSET(A$1,,,SUMPRODUCT(MAX(ROW(E$2:E6263)*(E6263=E$2:E6263)))))-COUNTBLANK(OFFSET(A$1,,,SUMPRODUCT(MAX(ROW(E$1:E6262)*(E2=E$1:E6262))))))</f>
        <v> </v>
      </c>
      <c r="K6263" s="26" t="str">
        <f>IF(OR(E6263="",E6263="!!!",F6263="NEW"),"",INDEX(J$1:J6262,SUMPRODUCT(MAX(ROW(E$1:E6262)*(E6263=E$1:E6262)))))</f>
        <v> </v>
      </c>
      <c r="L6263" s="27"/>
    </row>
    <row r="6264" spans="1:12">
      <c r="A6264" s="20" t="s">
        <v>2567</v>
      </c>
      <c r="E6264" s="22">
        <f>IF(D6264="?OLD","!!!","")</f>
        <v/>
      </c>
      <c r="F6264" s="23" t="str">
        <f>IF(OR(E6264="",E6264="!!!"),"",IF(NOT(ISNA(VLOOKUP(E6264,E$1:E6263,1,FALSE()))),"OLD",IF(AND(E6264&lt;&gt;"",E6264&lt;&gt;"!!!"),"NEW","")))</f>
        <v> </v>
      </c>
      <c r="G6264" s="24" t="str">
        <f>IF(OR(E6264="",E6264="!!!"),"",IF(OR(J6264=0,AND(J6264=1,K6264=1),AND(J6264=1,I6264="SBJ"),AND(J6264=1,I6264=0)),"?IN_FOCUS",IF(J6264&lt;=2,"?ACTIVATED",IF(J6264&lt;&gt;"","?FAMILIAR",IF(F6264="NEW",IF(ISNA(VLOOKUP(E6264,#REF!,1,FALSE())),"?TYPE_IDENTIFIABLE","?REFERENTIAL"),"_")))))</f>
        <v> </v>
      </c>
      <c r="H6264" s="25" t="str">
        <f>IF(J6264&lt;&gt;1,"",IF(I6264="SBJ","CB","?"))</f>
        <v> </v>
      </c>
      <c r="I6264" s="26" t="str">
        <f>IF(OR(E6264="",E6264="!!!",F6264="NEW"),"",INDEX(B6263:B$2,-1+SUMPRODUCT(MAX(ROW(E6263:E$2)*(E6264=E6263:E$2)))))</f>
        <v> </v>
      </c>
      <c r="J6264" s="26" t="str">
        <f>IF(OR(E6264="",E6264="!!!",F6264="NEW"),"",COUNTBLANK(OFFSET(A$1,,,SUMPRODUCT(MAX(ROW(E$2:E6264)*(E6264=E$2:E6264)))))-COUNTBLANK(OFFSET(A$1,,,SUMPRODUCT(MAX(ROW(E$1:E6263)*(E2=E$1:E6263))))))</f>
        <v> </v>
      </c>
      <c r="K6264" s="26" t="str">
        <f>IF(OR(E6264="",E6264="!!!",F6264="NEW"),"",INDEX(J$1:J6263,SUMPRODUCT(MAX(ROW(E$1:E6263)*(E6264=E$1:E6263)))))</f>
        <v> </v>
      </c>
      <c r="L6264" s="27"/>
    </row>
    <row r="6265" spans="1:12">
      <c r="A6265" s="20" t="s">
        <v>737</v>
      </c>
      <c r="B6265" s="21" t="s">
        <v>1067</v>
      </c>
      <c r="C6265" s="21" t="s">
        <v>1015</v>
      </c>
      <c r="D6265" s="21" t="s">
        <v>997</v>
      </c>
      <c r="E6265" s="22">
        <f>IF(D6265="?OLD","!!!","")</f>
        <v/>
      </c>
      <c r="F6265" s="23" t="str">
        <f>IF(OR(E6265="",E6265="!!!"),"",IF(NOT(ISNA(VLOOKUP(E6265,E$1:E6264,1,FALSE()))),"OLD",IF(AND(E6265&lt;&gt;"",E6265&lt;&gt;"!!!"),"NEW","")))</f>
        <v> </v>
      </c>
      <c r="G6265" s="24" t="str">
        <f>IF(OR(E6265="",E6265="!!!"),"",IF(OR(J6265=0,AND(J6265=1,K6265=1),AND(J6265=1,I6265="SBJ"),AND(J6265=1,I6265=0)),"?IN_FOCUS",IF(J6265&lt;=2,"?ACTIVATED",IF(J6265&lt;&gt;"","?FAMILIAR",IF(F6265="NEW",IF(ISNA(VLOOKUP(E6265,#REF!,1,FALSE())),"?TYPE_IDENTIFIABLE","?REFERENTIAL"),"_")))))</f>
        <v> </v>
      </c>
      <c r="H6265" s="25" t="str">
        <f>IF(J6265&lt;&gt;1,"",IF(I6265="SBJ","CB","?"))</f>
        <v> </v>
      </c>
      <c r="I6265" s="26" t="str">
        <f>IF(OR(E6265="",E6265="!!!",F6265="NEW"),"",INDEX(B6264:B$2,-1+SUMPRODUCT(MAX(ROW(E6264:E$2)*(E6265=E6264:E$2)))))</f>
        <v> </v>
      </c>
      <c r="J6265" s="26" t="str">
        <f>IF(OR(E6265="",E6265="!!!",F6265="NEW"),"",COUNTBLANK(OFFSET(A$1,,,SUMPRODUCT(MAX(ROW(E$2:E6265)*(E6265=E$2:E6265)))))-COUNTBLANK(OFFSET(A$1,,,SUMPRODUCT(MAX(ROW(E$1:E6264)*(E2=E$1:E6264))))))</f>
        <v> </v>
      </c>
      <c r="K6265" s="26" t="str">
        <f>IF(OR(E6265="",E6265="!!!",F6265="NEW"),"",INDEX(J$1:J6264,SUMPRODUCT(MAX(ROW(E$1:E6264)*(E6265=E$1:E6264)))))</f>
        <v> </v>
      </c>
      <c r="L6265" s="27"/>
    </row>
    <row r="6266" spans="1:12">
      <c r="A6266" s="20" t="s">
        <v>1041</v>
      </c>
      <c r="E6266" s="22">
        <f>IF(D6266="?OLD","!!!","")</f>
        <v/>
      </c>
      <c r="F6266" s="23" t="str">
        <f>IF(OR(E6266="",E6266="!!!"),"",IF(NOT(ISNA(VLOOKUP(E6266,E$1:E6265,1,FALSE()))),"OLD",IF(AND(E6266&lt;&gt;"",E6266&lt;&gt;"!!!"),"NEW","")))</f>
        <v> </v>
      </c>
      <c r="G6266" s="24" t="str">
        <f>IF(OR(E6266="",E6266="!!!"),"",IF(OR(J6266=0,AND(J6266=1,K6266=1),AND(J6266=1,I6266="SBJ"),AND(J6266=1,I6266=0)),"?IN_FOCUS",IF(J6266&lt;=2,"?ACTIVATED",IF(J6266&lt;&gt;"","?FAMILIAR",IF(F6266="NEW",IF(ISNA(VLOOKUP(E6266,#REF!,1,FALSE())),"?TYPE_IDENTIFIABLE","?REFERENTIAL"),"_")))))</f>
        <v> </v>
      </c>
      <c r="H6266" s="25" t="str">
        <f>IF(J6266&lt;&gt;1,"",IF(I6266="SBJ","CB","?"))</f>
        <v> </v>
      </c>
      <c r="I6266" s="26" t="str">
        <f>IF(OR(E6266="",E6266="!!!",F6266="NEW"),"",INDEX(B6265:B$2,-1+SUMPRODUCT(MAX(ROW(E6265:E$2)*(E6266=E6265:E$2)))))</f>
        <v> </v>
      </c>
      <c r="J6266" s="26" t="str">
        <f>IF(OR(E6266="",E6266="!!!",F6266="NEW"),"",COUNTBLANK(OFFSET(A$1,,,SUMPRODUCT(MAX(ROW(E$2:E6266)*(E6266=E$2:E6266)))))-COUNTBLANK(OFFSET(A$1,,,SUMPRODUCT(MAX(ROW(E$1:E6265)*(E2=E$1:E6265))))))</f>
        <v> </v>
      </c>
      <c r="K6266" s="26" t="str">
        <f>IF(OR(E6266="",E6266="!!!",F6266="NEW"),"",INDEX(J$1:J6265,SUMPRODUCT(MAX(ROW(E$1:E6265)*(E6266=E$1:E6265)))))</f>
        <v> </v>
      </c>
      <c r="L6266" s="27"/>
    </row>
    <row r="6267" spans="1:12">
      <c r="A6267" s="20" t="s">
        <v>1049</v>
      </c>
      <c r="E6267" s="22">
        <f>IF(D6267="?OLD","!!!","")</f>
        <v/>
      </c>
      <c r="F6267" s="23" t="str">
        <f>IF(OR(E6267="",E6267="!!!"),"",IF(NOT(ISNA(VLOOKUP(E6267,E$1:E6266,1,FALSE()))),"OLD",IF(AND(E6267&lt;&gt;"",E6267&lt;&gt;"!!!"),"NEW","")))</f>
        <v> </v>
      </c>
      <c r="G6267" s="24" t="str">
        <f>IF(OR(E6267="",E6267="!!!"),"",IF(OR(J6267=0,AND(J6267=1,K6267=1),AND(J6267=1,I6267="SBJ"),AND(J6267=1,I6267=0)),"?IN_FOCUS",IF(J6267&lt;=2,"?ACTIVATED",IF(J6267&lt;&gt;"","?FAMILIAR",IF(F6267="NEW",IF(ISNA(VLOOKUP(E6267,#REF!,1,FALSE())),"?TYPE_IDENTIFIABLE","?REFERENTIAL"),"_")))))</f>
        <v> </v>
      </c>
      <c r="H6267" s="25" t="str">
        <f>IF(J6267&lt;&gt;1,"",IF(I6267="SBJ","CB","?"))</f>
        <v> </v>
      </c>
      <c r="I6267" s="26" t="str">
        <f>IF(OR(E6267="",E6267="!!!",F6267="NEW"),"",INDEX(B6266:B$2,-1+SUMPRODUCT(MAX(ROW(E6266:E$2)*(E6267=E6266:E$2)))))</f>
        <v> </v>
      </c>
      <c r="J6267" s="26" t="str">
        <f>IF(OR(E6267="",E6267="!!!",F6267="NEW"),"",COUNTBLANK(OFFSET(A$1,,,SUMPRODUCT(MAX(ROW(E$2:E6267)*(E6267=E$2:E6267)))))-COUNTBLANK(OFFSET(A$1,,,SUMPRODUCT(MAX(ROW(E$1:E6266)*(E2=E$1:E6266))))))</f>
        <v> </v>
      </c>
      <c r="K6267" s="26" t="str">
        <f>IF(OR(E6267="",E6267="!!!",F6267="NEW"),"",INDEX(J$1:J6266,SUMPRODUCT(MAX(ROW(E$1:E6266)*(E6267=E$1:E6266)))))</f>
        <v> </v>
      </c>
      <c r="L6267" s="27"/>
    </row>
    <row r="6268" spans="1:12">
      <c r="A6268" s="20" t="s">
        <v>1922</v>
      </c>
      <c r="B6268" s="21" t="s">
        <v>1067</v>
      </c>
      <c r="C6268" s="21" t="s">
        <v>1133</v>
      </c>
      <c r="D6268" s="21" t="s">
        <v>997</v>
      </c>
      <c r="E6268" s="22">
        <f>IF(D6268="?OLD","!!!","")</f>
        <v/>
      </c>
      <c r="F6268" s="23" t="str">
        <f>IF(OR(E6268="",E6268="!!!"),"",IF(NOT(ISNA(VLOOKUP(E6268,E$1:E6267,1,FALSE()))),"OLD",IF(AND(E6268&lt;&gt;"",E6268&lt;&gt;"!!!"),"NEW","")))</f>
        <v> </v>
      </c>
      <c r="G6268" s="24" t="str">
        <f>IF(OR(E6268="",E6268="!!!"),"",IF(OR(J6268=0,AND(J6268=1,K6268=1),AND(J6268=1,I6268="SBJ"),AND(J6268=1,I6268=0)),"?IN_FOCUS",IF(J6268&lt;=2,"?ACTIVATED",IF(J6268&lt;&gt;"","?FAMILIAR",IF(F6268="NEW",IF(ISNA(VLOOKUP(E6268,#REF!,1,FALSE())),"?TYPE_IDENTIFIABLE","?REFERENTIAL"),"_")))))</f>
        <v> </v>
      </c>
      <c r="H6268" s="25" t="str">
        <f>IF(J6268&lt;&gt;1,"",IF(I6268="SBJ","CB","?"))</f>
        <v> </v>
      </c>
      <c r="I6268" s="26" t="str">
        <f>IF(OR(E6268="",E6268="!!!",F6268="NEW"),"",INDEX(B6267:B$2,-1+SUMPRODUCT(MAX(ROW(E6267:E$2)*(E6268=E6267:E$2)))))</f>
        <v> </v>
      </c>
      <c r="J6268" s="26" t="str">
        <f>IF(OR(E6268="",E6268="!!!",F6268="NEW"),"",COUNTBLANK(OFFSET(A$1,,,SUMPRODUCT(MAX(ROW(E$2:E6268)*(E6268=E$2:E6268)))))-COUNTBLANK(OFFSET(A$1,,,SUMPRODUCT(MAX(ROW(E$1:E6267)*(E2=E$1:E6267))))))</f>
        <v> </v>
      </c>
      <c r="K6268" s="26" t="str">
        <f>IF(OR(E6268="",E6268="!!!",F6268="NEW"),"",INDEX(J$1:J6267,SUMPRODUCT(MAX(ROW(E$1:E6267)*(E6268=E$1:E6267)))))</f>
        <v> </v>
      </c>
      <c r="L6268" s="27"/>
    </row>
    <row r="6269" spans="1:12">
      <c r="A6269" s="20" t="s">
        <v>1041</v>
      </c>
      <c r="E6269" s="22">
        <f>IF(D6269="?OLD","!!!","")</f>
        <v/>
      </c>
      <c r="F6269" s="23" t="str">
        <f>IF(OR(E6269="",E6269="!!!"),"",IF(NOT(ISNA(VLOOKUP(E6269,E$1:E6268,1,FALSE()))),"OLD",IF(AND(E6269&lt;&gt;"",E6269&lt;&gt;"!!!"),"NEW","")))</f>
        <v> </v>
      </c>
      <c r="G6269" s="24" t="str">
        <f>IF(OR(E6269="",E6269="!!!"),"",IF(OR(J6269=0,AND(J6269=1,K6269=1),AND(J6269=1,I6269="SBJ"),AND(J6269=1,I6269=0)),"?IN_FOCUS",IF(J6269&lt;=2,"?ACTIVATED",IF(J6269&lt;&gt;"","?FAMILIAR",IF(F6269="NEW",IF(ISNA(VLOOKUP(E6269,#REF!,1,FALSE())),"?TYPE_IDENTIFIABLE","?REFERENTIAL"),"_")))))</f>
        <v> </v>
      </c>
      <c r="H6269" s="25" t="str">
        <f>IF(J6269&lt;&gt;1,"",IF(I6269="SBJ","CB","?"))</f>
        <v> </v>
      </c>
      <c r="I6269" s="26" t="str">
        <f>IF(OR(E6269="",E6269="!!!",F6269="NEW"),"",INDEX(B6268:B$2,-1+SUMPRODUCT(MAX(ROW(E6268:E$2)*(E6269=E6268:E$2)))))</f>
        <v> </v>
      </c>
      <c r="J6269" s="26" t="str">
        <f>IF(OR(E6269="",E6269="!!!",F6269="NEW"),"",COUNTBLANK(OFFSET(A$1,,,SUMPRODUCT(MAX(ROW(E$2:E6269)*(E6269=E$2:E6269)))))-COUNTBLANK(OFFSET(A$1,,,SUMPRODUCT(MAX(ROW(E$1:E6268)*(E2=E$1:E6268))))))</f>
        <v> </v>
      </c>
      <c r="K6269" s="26" t="str">
        <f>IF(OR(E6269="",E6269="!!!",F6269="NEW"),"",INDEX(J$1:J6268,SUMPRODUCT(MAX(ROW(E$1:E6268)*(E6269=E$1:E6268)))))</f>
        <v> </v>
      </c>
      <c r="L6269" s="27"/>
    </row>
    <row r="6270" spans="1:12">
      <c r="A6270" s="20" t="s">
        <v>1080</v>
      </c>
      <c r="B6270" s="21" t="s">
        <v>1142</v>
      </c>
      <c r="E6270" s="22">
        <f>IF(D6270="?OLD","!!!","")</f>
        <v/>
      </c>
      <c r="F6270" s="23" t="str">
        <f>IF(OR(E6270="",E6270="!!!"),"",IF(NOT(ISNA(VLOOKUP(E6270,E$1:E6269,1,FALSE()))),"OLD",IF(AND(E6270&lt;&gt;"",E6270&lt;&gt;"!!!"),"NEW","")))</f>
        <v> </v>
      </c>
      <c r="G6270" s="24" t="str">
        <f>IF(OR(E6270="",E6270="!!!"),"",IF(OR(J6270=0,AND(J6270=1,K6270=1),AND(J6270=1,I6270="SBJ"),AND(J6270=1,I6270=0)),"?IN_FOCUS",IF(J6270&lt;=2,"?ACTIVATED",IF(J6270&lt;&gt;"","?FAMILIAR",IF(F6270="NEW",IF(ISNA(VLOOKUP(E6270,#REF!,1,FALSE())),"?TYPE_IDENTIFIABLE","?REFERENTIAL"),"_")))))</f>
        <v> </v>
      </c>
      <c r="H6270" s="25" t="str">
        <f>IF(J6270&lt;&gt;1,"",IF(I6270="SBJ","CB","?"))</f>
        <v> </v>
      </c>
      <c r="I6270" s="26" t="str">
        <f>IF(OR(E6270="",E6270="!!!",F6270="NEW"),"",INDEX(B6269:B$2,-1+SUMPRODUCT(MAX(ROW(E6269:E$2)*(E6270=E6269:E$2)))))</f>
        <v> </v>
      </c>
      <c r="J6270" s="26" t="str">
        <f>IF(OR(E6270="",E6270="!!!",F6270="NEW"),"",COUNTBLANK(OFFSET(A$1,,,SUMPRODUCT(MAX(ROW(E$2:E6270)*(E6270=E$2:E6270)))))-COUNTBLANK(OFFSET(A$1,,,SUMPRODUCT(MAX(ROW(E$1:E6269)*(E2=E$1:E6269))))))</f>
        <v> </v>
      </c>
      <c r="K6270" s="26" t="str">
        <f>IF(OR(E6270="",E6270="!!!",F6270="NEW"),"",INDEX(J$1:J6269,SUMPRODUCT(MAX(ROW(E$1:E6269)*(E6270=E$1:E6269)))))</f>
        <v> </v>
      </c>
      <c r="L6270" s="27"/>
    </row>
    <row r="6271" spans="1:12">
      <c r="A6271" s="20" t="s">
        <v>423</v>
      </c>
      <c r="E6271" s="22">
        <f>IF(D6271="?OLD","!!!","")</f>
        <v/>
      </c>
      <c r="F6271" s="23" t="str">
        <f>IF(OR(E6271="",E6271="!!!"),"",IF(NOT(ISNA(VLOOKUP(E6271,E$1:E6270,1,FALSE()))),"OLD",IF(AND(E6271&lt;&gt;"",E6271&lt;&gt;"!!!"),"NEW","")))</f>
        <v> </v>
      </c>
      <c r="G6271" s="24" t="str">
        <f>IF(OR(E6271="",E6271="!!!"),"",IF(OR(J6271=0,AND(J6271=1,K6271=1),AND(J6271=1,I6271="SBJ"),AND(J6271=1,I6271=0)),"?IN_FOCUS",IF(J6271&lt;=2,"?ACTIVATED",IF(J6271&lt;&gt;"","?FAMILIAR",IF(F6271="NEW",IF(ISNA(VLOOKUP(E6271,#REF!,1,FALSE())),"?TYPE_IDENTIFIABLE","?REFERENTIAL"),"_")))))</f>
        <v> </v>
      </c>
      <c r="H6271" s="25" t="str">
        <f>IF(J6271&lt;&gt;1,"",IF(I6271="SBJ","CB","?"))</f>
        <v> </v>
      </c>
      <c r="I6271" s="26" t="str">
        <f>IF(OR(E6271="",E6271="!!!",F6271="NEW"),"",INDEX(B6270:B$2,-1+SUMPRODUCT(MAX(ROW(E6270:E$2)*(E6271=E6270:E$2)))))</f>
        <v> </v>
      </c>
      <c r="J6271" s="26" t="str">
        <f>IF(OR(E6271="",E6271="!!!",F6271="NEW"),"",COUNTBLANK(OFFSET(A$1,,,SUMPRODUCT(MAX(ROW(E$2:E6271)*(E6271=E$2:E6271)))))-COUNTBLANK(OFFSET(A$1,,,SUMPRODUCT(MAX(ROW(E$1:E6270)*(E2=E$1:E6270))))))</f>
        <v> </v>
      </c>
      <c r="K6271" s="26" t="str">
        <f>IF(OR(E6271="",E6271="!!!",F6271="NEW"),"",INDEX(J$1:J6270,SUMPRODUCT(MAX(ROW(E$1:E6270)*(E6271=E$1:E6270)))))</f>
        <v> </v>
      </c>
      <c r="L6271" s="27"/>
    </row>
    <row r="6272" spans="1:12">
      <c r="A6272" s="20" t="s">
        <v>1008</v>
      </c>
      <c r="E6272" s="22">
        <f>IF(D6272="?OLD","!!!","")</f>
        <v/>
      </c>
      <c r="F6272" s="23" t="str">
        <f>IF(OR(E6272="",E6272="!!!"),"",IF(NOT(ISNA(VLOOKUP(E6272,E$1:E6271,1,FALSE()))),"OLD",IF(AND(E6272&lt;&gt;"",E6272&lt;&gt;"!!!"),"NEW","")))</f>
        <v> </v>
      </c>
      <c r="G6272" s="24" t="str">
        <f>IF(OR(E6272="",E6272="!!!"),"",IF(OR(J6272=0,AND(J6272=1,K6272=1),AND(J6272=1,I6272="SBJ"),AND(J6272=1,I6272=0)),"?IN_FOCUS",IF(J6272&lt;=2,"?ACTIVATED",IF(J6272&lt;&gt;"","?FAMILIAR",IF(F6272="NEW",IF(ISNA(VLOOKUP(E6272,#REF!,1,FALSE())),"?TYPE_IDENTIFIABLE","?REFERENTIAL"),"_")))))</f>
        <v> </v>
      </c>
      <c r="H6272" s="25" t="str">
        <f>IF(J6272&lt;&gt;1,"",IF(I6272="SBJ","CB","?"))</f>
        <v> </v>
      </c>
      <c r="I6272" s="26" t="str">
        <f>IF(OR(E6272="",E6272="!!!",F6272="NEW"),"",INDEX(B6271:B$2,-1+SUMPRODUCT(MAX(ROW(E6271:E$2)*(E6272=E6271:E$2)))))</f>
        <v> </v>
      </c>
      <c r="J6272" s="26" t="str">
        <f>IF(OR(E6272="",E6272="!!!",F6272="NEW"),"",COUNTBLANK(OFFSET(A$1,,,SUMPRODUCT(MAX(ROW(E$2:E6272)*(E6272=E$2:E6272)))))-COUNTBLANK(OFFSET(A$1,,,SUMPRODUCT(MAX(ROW(E$1:E6271)*(E2=E$1:E6271))))))</f>
        <v> </v>
      </c>
      <c r="K6272" s="26" t="str">
        <f>IF(OR(E6272="",E6272="!!!",F6272="NEW"),"",INDEX(J$1:J6271,SUMPRODUCT(MAX(ROW(E$1:E6271)*(E6272=E$1:E6271)))))</f>
        <v> </v>
      </c>
      <c r="L6272" s="27"/>
    </row>
    <row r="6273" spans="1:12">
      <c r="A6273" s="20" t="s">
        <v>1061</v>
      </c>
      <c r="E6273" s="22">
        <f>IF(D6273="?OLD","!!!","")</f>
        <v/>
      </c>
      <c r="F6273" s="23" t="str">
        <f>IF(OR(E6273="",E6273="!!!"),"",IF(NOT(ISNA(VLOOKUP(E6273,E$1:E6272,1,FALSE()))),"OLD",IF(AND(E6273&lt;&gt;"",E6273&lt;&gt;"!!!"),"NEW","")))</f>
        <v> </v>
      </c>
      <c r="G6273" s="24" t="str">
        <f>IF(OR(E6273="",E6273="!!!"),"",IF(OR(J6273=0,AND(J6273=1,K6273=1),AND(J6273=1,I6273="SBJ"),AND(J6273=1,I6273=0)),"?IN_FOCUS",IF(J6273&lt;=2,"?ACTIVATED",IF(J6273&lt;&gt;"","?FAMILIAR",IF(F6273="NEW",IF(ISNA(VLOOKUP(E6273,#REF!,1,FALSE())),"?TYPE_IDENTIFIABLE","?REFERENTIAL"),"_")))))</f>
        <v> </v>
      </c>
      <c r="H6273" s="25" t="str">
        <f>IF(J6273&lt;&gt;1,"",IF(I6273="SBJ","CB","?"))</f>
        <v> </v>
      </c>
      <c r="I6273" s="26" t="str">
        <f>IF(OR(E6273="",E6273="!!!",F6273="NEW"),"",INDEX(B6272:B$2,-1+SUMPRODUCT(MAX(ROW(E6272:E$2)*(E6273=E6272:E$2)))))</f>
        <v> </v>
      </c>
      <c r="J6273" s="26" t="str">
        <f>IF(OR(E6273="",E6273="!!!",F6273="NEW"),"",COUNTBLANK(OFFSET(A$1,,,SUMPRODUCT(MAX(ROW(E$2:E6273)*(E6273=E$2:E6273)))))-COUNTBLANK(OFFSET(A$1,,,SUMPRODUCT(MAX(ROW(E$1:E6272)*(E2=E$1:E6272))))))</f>
        <v> </v>
      </c>
      <c r="K6273" s="26" t="str">
        <f>IF(OR(E6273="",E6273="!!!",F6273="NEW"),"",INDEX(J$1:J6272,SUMPRODUCT(MAX(ROW(E$1:E6272)*(E6273=E$1:E6272)))))</f>
        <v> </v>
      </c>
      <c r="L6273" s="27"/>
    </row>
    <row r="6274" spans="1:12">
      <c r="A6274" s="20" t="s">
        <v>2568</v>
      </c>
      <c r="B6274" s="21" t="s">
        <v>1067</v>
      </c>
      <c r="C6274" s="21" t="s">
        <v>1034</v>
      </c>
      <c r="D6274" s="21" t="s">
        <v>997</v>
      </c>
      <c r="E6274" s="22">
        <f>IF(D6274="?OLD","!!!","")</f>
        <v/>
      </c>
      <c r="F6274" s="23" t="str">
        <f>IF(OR(E6274="",E6274="!!!"),"",IF(NOT(ISNA(VLOOKUP(E6274,E$1:E6273,1,FALSE()))),"OLD",IF(AND(E6274&lt;&gt;"",E6274&lt;&gt;"!!!"),"NEW","")))</f>
        <v> </v>
      </c>
      <c r="G6274" s="24" t="str">
        <f>IF(OR(E6274="",E6274="!!!"),"",IF(OR(J6274=0,AND(J6274=1,K6274=1),AND(J6274=1,I6274="SBJ"),AND(J6274=1,I6274=0)),"?IN_FOCUS",IF(J6274&lt;=2,"?ACTIVATED",IF(J6274&lt;&gt;"","?FAMILIAR",IF(F6274="NEW",IF(ISNA(VLOOKUP(E6274,#REF!,1,FALSE())),"?TYPE_IDENTIFIABLE","?REFERENTIAL"),"_")))))</f>
        <v> </v>
      </c>
      <c r="H6274" s="25" t="str">
        <f>IF(J6274&lt;&gt;1,"",IF(I6274="SBJ","CB","?"))</f>
        <v> </v>
      </c>
      <c r="I6274" s="26" t="str">
        <f>IF(OR(E6274="",E6274="!!!",F6274="NEW"),"",INDEX(B6273:B$2,-1+SUMPRODUCT(MAX(ROW(E6273:E$2)*(E6274=E6273:E$2)))))</f>
        <v> </v>
      </c>
      <c r="J6274" s="26" t="str">
        <f>IF(OR(E6274="",E6274="!!!",F6274="NEW"),"",COUNTBLANK(OFFSET(A$1,,,SUMPRODUCT(MAX(ROW(E$2:E6274)*(E6274=E$2:E6274)))))-COUNTBLANK(OFFSET(A$1,,,SUMPRODUCT(MAX(ROW(E$1:E6273)*(E2=E$1:E6273))))))</f>
        <v> </v>
      </c>
      <c r="K6274" s="26" t="str">
        <f>IF(OR(E6274="",E6274="!!!",F6274="NEW"),"",INDEX(J$1:J6273,SUMPRODUCT(MAX(ROW(E$1:E6273)*(E6274=E$1:E6273)))))</f>
        <v> </v>
      </c>
      <c r="L6274" s="27"/>
    </row>
    <row r="6275" spans="1:12">
      <c r="A6275" s="20" t="s">
        <v>1011</v>
      </c>
      <c r="E6275" s="22">
        <f>IF(D6275="?OLD","!!!","")</f>
        <v/>
      </c>
      <c r="F6275" s="23" t="str">
        <f>IF(OR(E6275="",E6275="!!!"),"",IF(NOT(ISNA(VLOOKUP(E6275,E$1:E6274,1,FALSE()))),"OLD",IF(AND(E6275&lt;&gt;"",E6275&lt;&gt;"!!!"),"NEW","")))</f>
        <v> </v>
      </c>
      <c r="G6275" s="24" t="str">
        <f>IF(OR(E6275="",E6275="!!!"),"",IF(OR(J6275=0,AND(J6275=1,K6275=1),AND(J6275=1,I6275="SBJ"),AND(J6275=1,I6275=0)),"?IN_FOCUS",IF(J6275&lt;=2,"?ACTIVATED",IF(J6275&lt;&gt;"","?FAMILIAR",IF(F6275="NEW",IF(ISNA(VLOOKUP(E6275,#REF!,1,FALSE())),"?TYPE_IDENTIFIABLE","?REFERENTIAL"),"_")))))</f>
        <v> </v>
      </c>
      <c r="H6275" s="25" t="str">
        <f>IF(J6275&lt;&gt;1,"",IF(I6275="SBJ","CB","?"))</f>
        <v> </v>
      </c>
      <c r="I6275" s="26" t="str">
        <f>IF(OR(E6275="",E6275="!!!",F6275="NEW"),"",INDEX(B6274:B$2,-1+SUMPRODUCT(MAX(ROW(E6274:E$2)*(E6275=E6274:E$2)))))</f>
        <v> </v>
      </c>
      <c r="J6275" s="26" t="str">
        <f>IF(OR(E6275="",E6275="!!!",F6275="NEW"),"",COUNTBLANK(OFFSET(A$1,,,SUMPRODUCT(MAX(ROW(E$2:E6275)*(E6275=E$2:E6275)))))-COUNTBLANK(OFFSET(A$1,,,SUMPRODUCT(MAX(ROW(E$1:E6274)*(E2=E$1:E6274))))))</f>
        <v> </v>
      </c>
      <c r="K6275" s="26" t="str">
        <f>IF(OR(E6275="",E6275="!!!",F6275="NEW"),"",INDEX(J$1:J6274,SUMPRODUCT(MAX(ROW(E$1:E6274)*(E6275=E$1:E6274)))))</f>
        <v> </v>
      </c>
      <c r="L6275" s="27"/>
    </row>
    <row r="6276" spans="1:12">
      <c r="A6276" s="20"/>
    </row>
    <row r="6277" spans="1:12">
      <c r="A6277" s="20" t="s">
        <v>2569</v>
      </c>
    </row>
    <row r="6278" spans="1:12">
      <c r="A6278" s="20" t="s">
        <v>2570</v>
      </c>
      <c r="E6278" s="22">
        <f>IF(D6278="?OLD","!!!","")</f>
        <v/>
      </c>
      <c r="F6278" s="23" t="str">
        <f>IF(OR(E6278="",E6278="!!!"),"",IF(NOT(ISNA(VLOOKUP(E6278,E$1:E6277,1,FALSE()))),"OLD",IF(AND(E6278&lt;&gt;"",E6278&lt;&gt;"!!!"),"NEW","")))</f>
        <v> </v>
      </c>
      <c r="G6278" s="24" t="str">
        <f>IF(OR(E6278="",E6278="!!!"),"",IF(OR(J6278=0,AND(J6278=1,K6278=1),AND(J6278=1,I6278="SBJ"),AND(J6278=1,I6278=0)),"?IN_FOCUS",IF(J6278&lt;=2,"?ACTIVATED",IF(J6278&lt;&gt;"","?FAMILIAR",IF(F6278="NEW",IF(ISNA(VLOOKUP(E6278,#REF!,1,FALSE())),"?TYPE_IDENTIFIABLE","?REFERENTIAL"),"_")))))</f>
        <v> </v>
      </c>
      <c r="H6278" s="25" t="str">
        <f>IF(J6278&lt;&gt;1,"",IF(I6278="SBJ","CB","?"))</f>
        <v> </v>
      </c>
      <c r="I6278" s="26" t="str">
        <f>IF(OR(E6278="",E6278="!!!",F6278="NEW"),"",INDEX(B6277:B$2,-1+SUMPRODUCT(MAX(ROW(E6277:E$2)*(E6278=E6277:E$2)))))</f>
        <v> </v>
      </c>
      <c r="J6278" s="26" t="str">
        <f>IF(OR(E6278="",E6278="!!!",F6278="NEW"),"",COUNTBLANK(OFFSET(A$1,,,SUMPRODUCT(MAX(ROW(E$2:E6278)*(E6278=E$2:E6278)))))-COUNTBLANK(OFFSET(A$1,,,SUMPRODUCT(MAX(ROW(E$1:E6277)*(E2=E$1:E6277))))))</f>
        <v> </v>
      </c>
      <c r="K6278" s="26" t="str">
        <f>IF(OR(E6278="",E6278="!!!",F6278="NEW"),"",INDEX(J$1:J6277,SUMPRODUCT(MAX(ROW(E$1:E6277)*(E6278=E$1:E6277)))))</f>
        <v> </v>
      </c>
      <c r="L6278" s="27"/>
    </row>
    <row r="6279" spans="1:12">
      <c r="A6279" s="20" t="s">
        <v>1141</v>
      </c>
      <c r="E6279" s="22">
        <f>IF(D6279="?OLD","!!!","")</f>
        <v/>
      </c>
      <c r="F6279" s="23" t="str">
        <f>IF(OR(E6279="",E6279="!!!"),"",IF(NOT(ISNA(VLOOKUP(E6279,E$1:E6278,1,FALSE()))),"OLD",IF(AND(E6279&lt;&gt;"",E6279&lt;&gt;"!!!"),"NEW","")))</f>
        <v> </v>
      </c>
      <c r="G6279" s="24" t="str">
        <f>IF(OR(E6279="",E6279="!!!"),"",IF(OR(J6279=0,AND(J6279=1,K6279=1),AND(J6279=1,I6279="SBJ"),AND(J6279=1,I6279=0)),"?IN_FOCUS",IF(J6279&lt;=2,"?ACTIVATED",IF(J6279&lt;&gt;"","?FAMILIAR",IF(F6279="NEW",IF(ISNA(VLOOKUP(E6279,#REF!,1,FALSE())),"?TYPE_IDENTIFIABLE","?REFERENTIAL"),"_")))))</f>
        <v> </v>
      </c>
      <c r="H6279" s="25" t="str">
        <f>IF(J6279&lt;&gt;1,"",IF(I6279="SBJ","CB","?"))</f>
        <v> </v>
      </c>
      <c r="I6279" s="26" t="str">
        <f>IF(OR(E6279="",E6279="!!!",F6279="NEW"),"",INDEX(B6278:B$2,-1+SUMPRODUCT(MAX(ROW(E6278:E$2)*(E6279=E6278:E$2)))))</f>
        <v> </v>
      </c>
      <c r="J6279" s="26" t="str">
        <f>IF(OR(E6279="",E6279="!!!",F6279="NEW"),"",COUNTBLANK(OFFSET(A$1,,,SUMPRODUCT(MAX(ROW(E$2:E6279)*(E6279=E$2:E6279)))))-COUNTBLANK(OFFSET(A$1,,,SUMPRODUCT(MAX(ROW(E$1:E6278)*(E2=E$1:E6278))))))</f>
        <v> </v>
      </c>
      <c r="K6279" s="26" t="str">
        <f>IF(OR(E6279="",E6279="!!!",F6279="NEW"),"",INDEX(J$1:J6278,SUMPRODUCT(MAX(ROW(E$1:E6278)*(E6279=E$1:E6278)))))</f>
        <v> </v>
      </c>
      <c r="L6279" s="27"/>
    </row>
    <row r="6280" spans="1:12">
      <c r="A6280" s="20" t="s">
        <v>1194</v>
      </c>
      <c r="B6280" s="21" t="s">
        <v>995</v>
      </c>
      <c r="C6280" s="21" t="s">
        <v>1133</v>
      </c>
      <c r="D6280" s="21" t="s">
        <v>997</v>
      </c>
      <c r="E6280" s="22">
        <f>IF(D6280="?OLD","!!!","")</f>
        <v/>
      </c>
      <c r="F6280" s="23" t="str">
        <f>IF(OR(E6280="",E6280="!!!"),"",IF(NOT(ISNA(VLOOKUP(E6280,E$1:E6279,1,FALSE()))),"OLD",IF(AND(E6280&lt;&gt;"",E6280&lt;&gt;"!!!"),"NEW","")))</f>
        <v> </v>
      </c>
      <c r="G6280" s="24" t="str">
        <f>IF(OR(E6280="",E6280="!!!"),"",IF(OR(J6280=0,AND(J6280=1,K6280=1),AND(J6280=1,I6280="SBJ"),AND(J6280=1,I6280=0)),"?IN_FOCUS",IF(J6280&lt;=2,"?ACTIVATED",IF(J6280&lt;&gt;"","?FAMILIAR",IF(F6280="NEW",IF(ISNA(VLOOKUP(E6280,#REF!,1,FALSE())),"?TYPE_IDENTIFIABLE","?REFERENTIAL"),"_")))))</f>
        <v> </v>
      </c>
      <c r="H6280" s="25" t="str">
        <f>IF(J6280&lt;&gt;1,"",IF(I6280="SBJ","CB","?"))</f>
        <v> </v>
      </c>
      <c r="I6280" s="26" t="str">
        <f>IF(OR(E6280="",E6280="!!!",F6280="NEW"),"",INDEX(B6279:B$2,-1+SUMPRODUCT(MAX(ROW(E6279:E$2)*(E6280=E6279:E$2)))))</f>
        <v> </v>
      </c>
      <c r="J6280" s="26" t="str">
        <f>IF(OR(E6280="",E6280="!!!",F6280="NEW"),"",COUNTBLANK(OFFSET(A$1,,,SUMPRODUCT(MAX(ROW(E$2:E6280)*(E6280=E$2:E6280)))))-COUNTBLANK(OFFSET(A$1,,,SUMPRODUCT(MAX(ROW(E$1:E6279)*(E2=E$1:E6279))))))</f>
        <v> </v>
      </c>
      <c r="K6280" s="26" t="str">
        <f>IF(OR(E6280="",E6280="!!!",F6280="NEW"),"",INDEX(J$1:J6279,SUMPRODUCT(MAX(ROW(E$1:E6279)*(E6280=E$1:E6279)))))</f>
        <v> </v>
      </c>
      <c r="L6280" s="27"/>
    </row>
    <row r="6281" spans="1:12">
      <c r="A6281" s="20" t="s">
        <v>423</v>
      </c>
      <c r="E6281" s="22">
        <f>IF(D6281="?OLD","!!!","")</f>
        <v/>
      </c>
      <c r="F6281" s="23" t="str">
        <f>IF(OR(E6281="",E6281="!!!"),"",IF(NOT(ISNA(VLOOKUP(E6281,E$1:E6280,1,FALSE()))),"OLD",IF(AND(E6281&lt;&gt;"",E6281&lt;&gt;"!!!"),"NEW","")))</f>
        <v> </v>
      </c>
      <c r="G6281" s="24" t="str">
        <f>IF(OR(E6281="",E6281="!!!"),"",IF(OR(J6281=0,AND(J6281=1,K6281=1),AND(J6281=1,I6281="SBJ"),AND(J6281=1,I6281=0)),"?IN_FOCUS",IF(J6281&lt;=2,"?ACTIVATED",IF(J6281&lt;&gt;"","?FAMILIAR",IF(F6281="NEW",IF(ISNA(VLOOKUP(E6281,#REF!,1,FALSE())),"?TYPE_IDENTIFIABLE","?REFERENTIAL"),"_")))))</f>
        <v> </v>
      </c>
      <c r="H6281" s="25" t="str">
        <f>IF(J6281&lt;&gt;1,"",IF(I6281="SBJ","CB","?"))</f>
        <v> </v>
      </c>
      <c r="I6281" s="26" t="str">
        <f>IF(OR(E6281="",E6281="!!!",F6281="NEW"),"",INDEX(B6280:B$2,-1+SUMPRODUCT(MAX(ROW(E6280:E$2)*(E6281=E6280:E$2)))))</f>
        <v> </v>
      </c>
      <c r="J6281" s="26" t="str">
        <f>IF(OR(E6281="",E6281="!!!",F6281="NEW"),"",COUNTBLANK(OFFSET(A$1,,,SUMPRODUCT(MAX(ROW(E$2:E6281)*(E6281=E$2:E6281)))))-COUNTBLANK(OFFSET(A$1,,,SUMPRODUCT(MAX(ROW(E$1:E6280)*(E2=E$1:E6280))))))</f>
        <v> </v>
      </c>
      <c r="K6281" s="26" t="str">
        <f>IF(OR(E6281="",E6281="!!!",F6281="NEW"),"",INDEX(J$1:J6280,SUMPRODUCT(MAX(ROW(E$1:E6280)*(E6281=E$1:E6280)))))</f>
        <v> </v>
      </c>
      <c r="L6281" s="27"/>
    </row>
    <row r="6282" spans="1:12">
      <c r="A6282" s="20" t="s">
        <v>1137</v>
      </c>
      <c r="E6282" s="22">
        <f>IF(D6282="?OLD","!!!","")</f>
        <v/>
      </c>
      <c r="F6282" s="23" t="str">
        <f>IF(OR(E6282="",E6282="!!!"),"",IF(NOT(ISNA(VLOOKUP(E6282,E$1:E6281,1,FALSE()))),"OLD",IF(AND(E6282&lt;&gt;"",E6282&lt;&gt;"!!!"),"NEW","")))</f>
        <v> </v>
      </c>
      <c r="G6282" s="24" t="str">
        <f>IF(OR(E6282="",E6282="!!!"),"",IF(OR(J6282=0,AND(J6282=1,K6282=1),AND(J6282=1,I6282="SBJ"),AND(J6282=1,I6282=0)),"?IN_FOCUS",IF(J6282&lt;=2,"?ACTIVATED",IF(J6282&lt;&gt;"","?FAMILIAR",IF(F6282="NEW",IF(ISNA(VLOOKUP(E6282,#REF!,1,FALSE())),"?TYPE_IDENTIFIABLE","?REFERENTIAL"),"_")))))</f>
        <v> </v>
      </c>
      <c r="H6282" s="25" t="str">
        <f>IF(J6282&lt;&gt;1,"",IF(I6282="SBJ","CB","?"))</f>
        <v> </v>
      </c>
      <c r="I6282" s="26" t="str">
        <f>IF(OR(E6282="",E6282="!!!",F6282="NEW"),"",INDEX(B6281:B$2,-1+SUMPRODUCT(MAX(ROW(E6281:E$2)*(E6282=E6281:E$2)))))</f>
        <v> </v>
      </c>
      <c r="J6282" s="26" t="str">
        <f>IF(OR(E6282="",E6282="!!!",F6282="NEW"),"",COUNTBLANK(OFFSET(A$1,,,SUMPRODUCT(MAX(ROW(E$2:E6282)*(E6282=E$2:E6282)))))-COUNTBLANK(OFFSET(A$1,,,SUMPRODUCT(MAX(ROW(E$1:E6281)*(E2=E$1:E6281))))))</f>
        <v> </v>
      </c>
      <c r="K6282" s="26" t="str">
        <f>IF(OR(E6282="",E6282="!!!",F6282="NEW"),"",INDEX(J$1:J6281,SUMPRODUCT(MAX(ROW(E$1:E6281)*(E6282=E$1:E6281)))))</f>
        <v> </v>
      </c>
      <c r="L6282" s="27"/>
    </row>
    <row r="6283" spans="1:12">
      <c r="A6283" s="20" t="s">
        <v>1377</v>
      </c>
      <c r="E6283" s="22">
        <f>IF(D6283="?OLD","!!!","")</f>
        <v/>
      </c>
      <c r="F6283" s="23" t="str">
        <f>IF(OR(E6283="",E6283="!!!"),"",IF(NOT(ISNA(VLOOKUP(E6283,E$1:E6282,1,FALSE()))),"OLD",IF(AND(E6283&lt;&gt;"",E6283&lt;&gt;"!!!"),"NEW","")))</f>
        <v> </v>
      </c>
      <c r="G6283" s="24" t="str">
        <f>IF(OR(E6283="",E6283="!!!"),"",IF(OR(J6283=0,AND(J6283=1,K6283=1),AND(J6283=1,I6283="SBJ"),AND(J6283=1,I6283=0)),"?IN_FOCUS",IF(J6283&lt;=2,"?ACTIVATED",IF(J6283&lt;&gt;"","?FAMILIAR",IF(F6283="NEW",IF(ISNA(VLOOKUP(E6283,#REF!,1,FALSE())),"?TYPE_IDENTIFIABLE","?REFERENTIAL"),"_")))))</f>
        <v> </v>
      </c>
      <c r="H6283" s="25" t="str">
        <f>IF(J6283&lt;&gt;1,"",IF(I6283="SBJ","CB","?"))</f>
        <v> </v>
      </c>
      <c r="I6283" s="26" t="str">
        <f>IF(OR(E6283="",E6283="!!!",F6283="NEW"),"",INDEX(B6282:B$2,-1+SUMPRODUCT(MAX(ROW(E6282:E$2)*(E6283=E6282:E$2)))))</f>
        <v> </v>
      </c>
      <c r="J6283" s="26" t="str">
        <f>IF(OR(E6283="",E6283="!!!",F6283="NEW"),"",COUNTBLANK(OFFSET(A$1,,,SUMPRODUCT(MAX(ROW(E$2:E6283)*(E6283=E$2:E6283)))))-COUNTBLANK(OFFSET(A$1,,,SUMPRODUCT(MAX(ROW(E$1:E6282)*(E2=E$1:E6282))))))</f>
        <v> </v>
      </c>
      <c r="K6283" s="26" t="str">
        <f>IF(OR(E6283="",E6283="!!!",F6283="NEW"),"",INDEX(J$1:J6282,SUMPRODUCT(MAX(ROW(E$1:E6282)*(E6283=E$1:E6282)))))</f>
        <v> </v>
      </c>
      <c r="L6283" s="27"/>
    </row>
    <row r="6284" spans="1:12">
      <c r="A6284" s="20" t="s">
        <v>1008</v>
      </c>
      <c r="E6284" s="22">
        <f>IF(D6284="?OLD","!!!","")</f>
        <v/>
      </c>
      <c r="F6284" s="23" t="str">
        <f>IF(OR(E6284="",E6284="!!!"),"",IF(NOT(ISNA(VLOOKUP(E6284,E$1:E6283,1,FALSE()))),"OLD",IF(AND(E6284&lt;&gt;"",E6284&lt;&gt;"!!!"),"NEW","")))</f>
        <v> </v>
      </c>
      <c r="G6284" s="24" t="str">
        <f>IF(OR(E6284="",E6284="!!!"),"",IF(OR(J6284=0,AND(J6284=1,K6284=1),AND(J6284=1,I6284="SBJ"),AND(J6284=1,I6284=0)),"?IN_FOCUS",IF(J6284&lt;=2,"?ACTIVATED",IF(J6284&lt;&gt;"","?FAMILIAR",IF(F6284="NEW",IF(ISNA(VLOOKUP(E6284,#REF!,1,FALSE())),"?TYPE_IDENTIFIABLE","?REFERENTIAL"),"_")))))</f>
        <v> </v>
      </c>
      <c r="H6284" s="25" t="str">
        <f>IF(J6284&lt;&gt;1,"",IF(I6284="SBJ","CB","?"))</f>
        <v> </v>
      </c>
      <c r="I6284" s="26" t="str">
        <f>IF(OR(E6284="",E6284="!!!",F6284="NEW"),"",INDEX(B6283:B$2,-1+SUMPRODUCT(MAX(ROW(E6283:E$2)*(E6284=E6283:E$2)))))</f>
        <v> </v>
      </c>
      <c r="J6284" s="26" t="str">
        <f>IF(OR(E6284="",E6284="!!!",F6284="NEW"),"",COUNTBLANK(OFFSET(A$1,,,SUMPRODUCT(MAX(ROW(E$2:E6284)*(E6284=E$2:E6284)))))-COUNTBLANK(OFFSET(A$1,,,SUMPRODUCT(MAX(ROW(E$1:E6283)*(E2=E$1:E6283))))))</f>
        <v> </v>
      </c>
      <c r="K6284" s="26" t="str">
        <f>IF(OR(E6284="",E6284="!!!",F6284="NEW"),"",INDEX(J$1:J6283,SUMPRODUCT(MAX(ROW(E$1:E6283)*(E6284=E$1:E6283)))))</f>
        <v> </v>
      </c>
      <c r="L6284" s="27"/>
    </row>
    <row r="6285" spans="1:12">
      <c r="A6285" s="20" t="s">
        <v>1032</v>
      </c>
      <c r="E6285" s="22">
        <f>IF(D6285="?OLD","!!!","")</f>
        <v/>
      </c>
      <c r="F6285" s="23" t="str">
        <f>IF(OR(E6285="",E6285="!!!"),"",IF(NOT(ISNA(VLOOKUP(E6285,E$1:E6284,1,FALSE()))),"OLD",IF(AND(E6285&lt;&gt;"",E6285&lt;&gt;"!!!"),"NEW","")))</f>
        <v> </v>
      </c>
      <c r="G6285" s="24" t="str">
        <f>IF(OR(E6285="",E6285="!!!"),"",IF(OR(J6285=0,AND(J6285=1,K6285=1),AND(J6285=1,I6285="SBJ"),AND(J6285=1,I6285=0)),"?IN_FOCUS",IF(J6285&lt;=2,"?ACTIVATED",IF(J6285&lt;&gt;"","?FAMILIAR",IF(F6285="NEW",IF(ISNA(VLOOKUP(E6285,#REF!,1,FALSE())),"?TYPE_IDENTIFIABLE","?REFERENTIAL"),"_")))))</f>
        <v> </v>
      </c>
      <c r="H6285" s="25" t="str">
        <f>IF(J6285&lt;&gt;1,"",IF(I6285="SBJ","CB","?"))</f>
        <v> </v>
      </c>
      <c r="I6285" s="26" t="str">
        <f>IF(OR(E6285="",E6285="!!!",F6285="NEW"),"",INDEX(B6284:B$2,-1+SUMPRODUCT(MAX(ROW(E6284:E$2)*(E6285=E6284:E$2)))))</f>
        <v> </v>
      </c>
      <c r="J6285" s="26" t="str">
        <f>IF(OR(E6285="",E6285="!!!",F6285="NEW"),"",COUNTBLANK(OFFSET(A$1,,,SUMPRODUCT(MAX(ROW(E$2:E6285)*(E6285=E$2:E6285)))))-COUNTBLANK(OFFSET(A$1,,,SUMPRODUCT(MAX(ROW(E$1:E6284)*(E2=E$1:E6284))))))</f>
        <v> </v>
      </c>
      <c r="K6285" s="26" t="str">
        <f>IF(OR(E6285="",E6285="!!!",F6285="NEW"),"",INDEX(J$1:J6284,SUMPRODUCT(MAX(ROW(E$1:E6284)*(E6285=E$1:E6284)))))</f>
        <v> </v>
      </c>
      <c r="L6285" s="27"/>
    </row>
    <row r="6286" spans="1:12">
      <c r="A6286" s="20" t="s">
        <v>1728</v>
      </c>
      <c r="B6286" s="21" t="s">
        <v>1067</v>
      </c>
      <c r="C6286" s="21" t="s">
        <v>1034</v>
      </c>
      <c r="D6286" s="21" t="s">
        <v>997</v>
      </c>
      <c r="E6286" s="22">
        <f>IF(D6286="?OLD","!!!","")</f>
        <v/>
      </c>
      <c r="F6286" s="23" t="str">
        <f>IF(OR(E6286="",E6286="!!!"),"",IF(NOT(ISNA(VLOOKUP(E6286,E$1:E6285,1,FALSE()))),"OLD",IF(AND(E6286&lt;&gt;"",E6286&lt;&gt;"!!!"),"NEW","")))</f>
        <v> </v>
      </c>
      <c r="G6286" s="24" t="str">
        <f>IF(OR(E6286="",E6286="!!!"),"",IF(OR(J6286=0,AND(J6286=1,K6286=1),AND(J6286=1,I6286="SBJ"),AND(J6286=1,I6286=0)),"?IN_FOCUS",IF(J6286&lt;=2,"?ACTIVATED",IF(J6286&lt;&gt;"","?FAMILIAR",IF(F6286="NEW",IF(ISNA(VLOOKUP(E6286,#REF!,1,FALSE())),"?TYPE_IDENTIFIABLE","?REFERENTIAL"),"_")))))</f>
        <v> </v>
      </c>
      <c r="H6286" s="25" t="str">
        <f>IF(J6286&lt;&gt;1,"",IF(I6286="SBJ","CB","?"))</f>
        <v> </v>
      </c>
      <c r="I6286" s="26" t="str">
        <f>IF(OR(E6286="",E6286="!!!",F6286="NEW"),"",INDEX(B6285:B$2,-1+SUMPRODUCT(MAX(ROW(E6285:E$2)*(E6286=E6285:E$2)))))</f>
        <v> </v>
      </c>
      <c r="J6286" s="26" t="str">
        <f>IF(OR(E6286="",E6286="!!!",F6286="NEW"),"",COUNTBLANK(OFFSET(A$1,,,SUMPRODUCT(MAX(ROW(E$2:E6286)*(E6286=E$2:E6286)))))-COUNTBLANK(OFFSET(A$1,,,SUMPRODUCT(MAX(ROW(E$1:E6285)*(E2=E$1:E6285))))))</f>
        <v> </v>
      </c>
      <c r="K6286" s="26" t="str">
        <f>IF(OR(E6286="",E6286="!!!",F6286="NEW"),"",INDEX(J$1:J6285,SUMPRODUCT(MAX(ROW(E$1:E6285)*(E6286=E$1:E6285)))))</f>
        <v> </v>
      </c>
      <c r="L6286" s="27"/>
    </row>
    <row r="6287" spans="1:12">
      <c r="A6287" s="20" t="s">
        <v>1041</v>
      </c>
      <c r="E6287" s="22">
        <f>IF(D6287="?OLD","!!!","")</f>
        <v/>
      </c>
      <c r="F6287" s="23" t="str">
        <f>IF(OR(E6287="",E6287="!!!"),"",IF(NOT(ISNA(VLOOKUP(E6287,E$1:E6286,1,FALSE()))),"OLD",IF(AND(E6287&lt;&gt;"",E6287&lt;&gt;"!!!"),"NEW","")))</f>
        <v> </v>
      </c>
      <c r="G6287" s="24" t="str">
        <f>IF(OR(E6287="",E6287="!!!"),"",IF(OR(J6287=0,AND(J6287=1,K6287=1),AND(J6287=1,I6287="SBJ"),AND(J6287=1,I6287=0)),"?IN_FOCUS",IF(J6287&lt;=2,"?ACTIVATED",IF(J6287&lt;&gt;"","?FAMILIAR",IF(F6287="NEW",IF(ISNA(VLOOKUP(E6287,#REF!,1,FALSE())),"?TYPE_IDENTIFIABLE","?REFERENTIAL"),"_")))))</f>
        <v> </v>
      </c>
      <c r="H6287" s="25" t="str">
        <f>IF(J6287&lt;&gt;1,"",IF(I6287="SBJ","CB","?"))</f>
        <v> </v>
      </c>
      <c r="I6287" s="26" t="str">
        <f>IF(OR(E6287="",E6287="!!!",F6287="NEW"),"",INDEX(B6286:B$2,-1+SUMPRODUCT(MAX(ROW(E6286:E$2)*(E6287=E6286:E$2)))))</f>
        <v> </v>
      </c>
      <c r="J6287" s="26" t="str">
        <f>IF(OR(E6287="",E6287="!!!",F6287="NEW"),"",COUNTBLANK(OFFSET(A$1,,,SUMPRODUCT(MAX(ROW(E$2:E6287)*(E6287=E$2:E6287)))))-COUNTBLANK(OFFSET(A$1,,,SUMPRODUCT(MAX(ROW(E$1:E6286)*(E2=E$1:E6286))))))</f>
        <v> </v>
      </c>
      <c r="K6287" s="26" t="str">
        <f>IF(OR(E6287="",E6287="!!!",F6287="NEW"),"",INDEX(J$1:J6286,SUMPRODUCT(MAX(ROW(E$1:E6286)*(E6287=E$1:E6286)))))</f>
        <v> </v>
      </c>
      <c r="L6287" s="27"/>
    </row>
    <row r="6288" spans="1:12">
      <c r="A6288" s="20" t="s">
        <v>1007</v>
      </c>
      <c r="E6288" s="22">
        <f>IF(D6288="?OLD","!!!","")</f>
        <v/>
      </c>
      <c r="F6288" s="23" t="str">
        <f>IF(OR(E6288="",E6288="!!!"),"",IF(NOT(ISNA(VLOOKUP(E6288,E$1:E6287,1,FALSE()))),"OLD",IF(AND(E6288&lt;&gt;"",E6288&lt;&gt;"!!!"),"NEW","")))</f>
        <v> </v>
      </c>
      <c r="G6288" s="24" t="str">
        <f>IF(OR(E6288="",E6288="!!!"),"",IF(OR(J6288=0,AND(J6288=1,K6288=1),AND(J6288=1,I6288="SBJ"),AND(J6288=1,I6288=0)),"?IN_FOCUS",IF(J6288&lt;=2,"?ACTIVATED",IF(J6288&lt;&gt;"","?FAMILIAR",IF(F6288="NEW",IF(ISNA(VLOOKUP(E6288,#REF!,1,FALSE())),"?TYPE_IDENTIFIABLE","?REFERENTIAL"),"_")))))</f>
        <v> </v>
      </c>
      <c r="H6288" s="25" t="str">
        <f>IF(J6288&lt;&gt;1,"",IF(I6288="SBJ","CB","?"))</f>
        <v> </v>
      </c>
      <c r="I6288" s="26" t="str">
        <f>IF(OR(E6288="",E6288="!!!",F6288="NEW"),"",INDEX(B6287:B$2,-1+SUMPRODUCT(MAX(ROW(E6287:E$2)*(E6288=E6287:E$2)))))</f>
        <v> </v>
      </c>
      <c r="J6288" s="26" t="str">
        <f>IF(OR(E6288="",E6288="!!!",F6288="NEW"),"",COUNTBLANK(OFFSET(A$1,,,SUMPRODUCT(MAX(ROW(E$2:E6288)*(E6288=E$2:E6288)))))-COUNTBLANK(OFFSET(A$1,,,SUMPRODUCT(MAX(ROW(E$1:E6287)*(E2=E$1:E6287))))))</f>
        <v> </v>
      </c>
      <c r="K6288" s="26" t="str">
        <f>IF(OR(E6288="",E6288="!!!",F6288="NEW"),"",INDEX(J$1:J6287,SUMPRODUCT(MAX(ROW(E$1:E6287)*(E6288=E$1:E6287)))))</f>
        <v> </v>
      </c>
      <c r="L6288" s="27"/>
    </row>
    <row r="6289" spans="1:12">
      <c r="A6289" s="20" t="s">
        <v>1022</v>
      </c>
      <c r="E6289" s="22">
        <f>IF(D6289="?OLD","!!!","")</f>
        <v/>
      </c>
      <c r="F6289" s="23" t="str">
        <f>IF(OR(E6289="",E6289="!!!"),"",IF(NOT(ISNA(VLOOKUP(E6289,E$1:E6288,1,FALSE()))),"OLD",IF(AND(E6289&lt;&gt;"",E6289&lt;&gt;"!!!"),"NEW","")))</f>
        <v> </v>
      </c>
      <c r="G6289" s="24" t="str">
        <f>IF(OR(E6289="",E6289="!!!"),"",IF(OR(J6289=0,AND(J6289=1,K6289=1),AND(J6289=1,I6289="SBJ"),AND(J6289=1,I6289=0)),"?IN_FOCUS",IF(J6289&lt;=2,"?ACTIVATED",IF(J6289&lt;&gt;"","?FAMILIAR",IF(F6289="NEW",IF(ISNA(VLOOKUP(E6289,#REF!,1,FALSE())),"?TYPE_IDENTIFIABLE","?REFERENTIAL"),"_")))))</f>
        <v> </v>
      </c>
      <c r="H6289" s="25" t="str">
        <f>IF(J6289&lt;&gt;1,"",IF(I6289="SBJ","CB","?"))</f>
        <v> </v>
      </c>
      <c r="I6289" s="26" t="str">
        <f>IF(OR(E6289="",E6289="!!!",F6289="NEW"),"",INDEX(B6288:B$2,-1+SUMPRODUCT(MAX(ROW(E6288:E$2)*(E6289=E6288:E$2)))))</f>
        <v> </v>
      </c>
      <c r="J6289" s="26" t="str">
        <f>IF(OR(E6289="",E6289="!!!",F6289="NEW"),"",COUNTBLANK(OFFSET(A$1,,,SUMPRODUCT(MAX(ROW(E$2:E6289)*(E6289=E$2:E6289)))))-COUNTBLANK(OFFSET(A$1,,,SUMPRODUCT(MAX(ROW(E$1:E6288)*(E2=E$1:E6288))))))</f>
        <v> </v>
      </c>
      <c r="K6289" s="26" t="str">
        <f>IF(OR(E6289="",E6289="!!!",F6289="NEW"),"",INDEX(J$1:J6288,SUMPRODUCT(MAX(ROW(E$1:E6288)*(E6289=E$1:E6288)))))</f>
        <v> </v>
      </c>
      <c r="L6289" s="27"/>
    </row>
    <row r="6290" spans="1:12">
      <c r="A6290" s="20" t="s">
        <v>1079</v>
      </c>
      <c r="B6290" s="21" t="s">
        <v>1067</v>
      </c>
      <c r="C6290" s="21" t="s">
        <v>1015</v>
      </c>
      <c r="D6290" s="21" t="s">
        <v>997</v>
      </c>
      <c r="E6290" s="22">
        <f>IF(D6290="?OLD","!!!","")</f>
        <v/>
      </c>
      <c r="F6290" s="23" t="str">
        <f>IF(OR(E6290="",E6290="!!!"),"",IF(NOT(ISNA(VLOOKUP(E6290,E$1:E6289,1,FALSE()))),"OLD",IF(AND(E6290&lt;&gt;"",E6290&lt;&gt;"!!!"),"NEW","")))</f>
        <v> </v>
      </c>
      <c r="G6290" s="24" t="str">
        <f>IF(OR(E6290="",E6290="!!!"),"",IF(OR(J6290=0,AND(J6290=1,K6290=1),AND(J6290=1,I6290="SBJ"),AND(J6290=1,I6290=0)),"?IN_FOCUS",IF(J6290&lt;=2,"?ACTIVATED",IF(J6290&lt;&gt;"","?FAMILIAR",IF(F6290="NEW",IF(ISNA(VLOOKUP(E6290,#REF!,1,FALSE())),"?TYPE_IDENTIFIABLE","?REFERENTIAL"),"_")))))</f>
        <v> </v>
      </c>
      <c r="H6290" s="25" t="str">
        <f>IF(J6290&lt;&gt;1,"",IF(I6290="SBJ","CB","?"))</f>
        <v> </v>
      </c>
      <c r="I6290" s="26" t="str">
        <f>IF(OR(E6290="",E6290="!!!",F6290="NEW"),"",INDEX(B6289:B$2,-1+SUMPRODUCT(MAX(ROW(E6289:E$2)*(E6290=E6289:E$2)))))</f>
        <v> </v>
      </c>
      <c r="J6290" s="26" t="str">
        <f>IF(OR(E6290="",E6290="!!!",F6290="NEW"),"",COUNTBLANK(OFFSET(A$1,,,SUMPRODUCT(MAX(ROW(E$2:E6290)*(E6290=E$2:E6290)))))-COUNTBLANK(OFFSET(A$1,,,SUMPRODUCT(MAX(ROW(E$1:E6289)*(E2=E$1:E6289))))))</f>
        <v> </v>
      </c>
      <c r="K6290" s="26" t="str">
        <f>IF(OR(E6290="",E6290="!!!",F6290="NEW"),"",INDEX(J$1:J6289,SUMPRODUCT(MAX(ROW(E$1:E6289)*(E6290=E$1:E6289)))))</f>
        <v> </v>
      </c>
      <c r="L6290" s="27"/>
    </row>
    <row r="6291" spans="1:12">
      <c r="A6291" s="20" t="s">
        <v>1082</v>
      </c>
      <c r="B6291" s="21" t="s">
        <v>1039</v>
      </c>
      <c r="E6291" s="22">
        <f>IF(D6291="?OLD","!!!","")</f>
        <v/>
      </c>
      <c r="F6291" s="23" t="str">
        <f>IF(OR(E6291="",E6291="!!!"),"",IF(NOT(ISNA(VLOOKUP(E6291,E$1:E6290,1,FALSE()))),"OLD",IF(AND(E6291&lt;&gt;"",E6291&lt;&gt;"!!!"),"NEW","")))</f>
        <v> </v>
      </c>
      <c r="G6291" s="24" t="str">
        <f>IF(OR(E6291="",E6291="!!!"),"",IF(OR(J6291=0,AND(J6291=1,K6291=1),AND(J6291=1,I6291="SBJ"),AND(J6291=1,I6291=0)),"?IN_FOCUS",IF(J6291&lt;=2,"?ACTIVATED",IF(J6291&lt;&gt;"","?FAMILIAR",IF(F6291="NEW",IF(ISNA(VLOOKUP(E6291,#REF!,1,FALSE())),"?TYPE_IDENTIFIABLE","?REFERENTIAL"),"_")))))</f>
        <v> </v>
      </c>
      <c r="H6291" s="25" t="str">
        <f>IF(J6291&lt;&gt;1,"",IF(I6291="SBJ","CB","?"))</f>
        <v> </v>
      </c>
      <c r="I6291" s="26" t="str">
        <f>IF(OR(E6291="",E6291="!!!",F6291="NEW"),"",INDEX(B6290:B$2,-1+SUMPRODUCT(MAX(ROW(E6290:E$2)*(E6291=E6290:E$2)))))</f>
        <v> </v>
      </c>
      <c r="J6291" s="26" t="str">
        <f>IF(OR(E6291="",E6291="!!!",F6291="NEW"),"",COUNTBLANK(OFFSET(A$1,,,SUMPRODUCT(MAX(ROW(E$2:E6291)*(E6291=E$2:E6291)))))-COUNTBLANK(OFFSET(A$1,,,SUMPRODUCT(MAX(ROW(E$1:E6290)*(E2=E$1:E6290))))))</f>
        <v> </v>
      </c>
      <c r="K6291" s="26" t="str">
        <f>IF(OR(E6291="",E6291="!!!",F6291="NEW"),"",INDEX(J$1:J6290,SUMPRODUCT(MAX(ROW(E$1:E6290)*(E6291=E$1:E6290)))))</f>
        <v> </v>
      </c>
      <c r="L6291" s="27"/>
    </row>
    <row r="6292" spans="1:12">
      <c r="A6292" s="20" t="s">
        <v>1194</v>
      </c>
      <c r="B6292" s="21" t="s">
        <v>1027</v>
      </c>
      <c r="C6292" s="21" t="s">
        <v>1133</v>
      </c>
      <c r="D6292" s="21" t="s">
        <v>997</v>
      </c>
      <c r="E6292" s="22">
        <f>IF(D6292="?OLD","!!!","")</f>
        <v/>
      </c>
      <c r="F6292" s="23" t="str">
        <f>IF(OR(E6292="",E6292="!!!"),"",IF(NOT(ISNA(VLOOKUP(E6292,E$1:E6291,1,FALSE()))),"OLD",IF(AND(E6292&lt;&gt;"",E6292&lt;&gt;"!!!"),"NEW","")))</f>
        <v> </v>
      </c>
      <c r="G6292" s="24" t="str">
        <f>IF(OR(E6292="",E6292="!!!"),"",IF(OR(J6292=0,AND(J6292=1,K6292=1),AND(J6292=1,I6292="SBJ"),AND(J6292=1,I6292=0)),"?IN_FOCUS",IF(J6292&lt;=2,"?ACTIVATED",IF(J6292&lt;&gt;"","?FAMILIAR",IF(F6292="NEW",IF(ISNA(VLOOKUP(E6292,#REF!,1,FALSE())),"?TYPE_IDENTIFIABLE","?REFERENTIAL"),"_")))))</f>
        <v> </v>
      </c>
      <c r="H6292" s="25" t="str">
        <f>IF(J6292&lt;&gt;1,"",IF(I6292="SBJ","CB","?"))</f>
        <v> </v>
      </c>
      <c r="I6292" s="26" t="str">
        <f>IF(OR(E6292="",E6292="!!!",F6292="NEW"),"",INDEX(B6291:B$2,-1+SUMPRODUCT(MAX(ROW(E6291:E$2)*(E6292=E6291:E$2)))))</f>
        <v> </v>
      </c>
      <c r="J6292" s="26" t="str">
        <f>IF(OR(E6292="",E6292="!!!",F6292="NEW"),"",COUNTBLANK(OFFSET(A$1,,,SUMPRODUCT(MAX(ROW(E$2:E6292)*(E6292=E$2:E6292)))))-COUNTBLANK(OFFSET(A$1,,,SUMPRODUCT(MAX(ROW(E$1:E6291)*(E2=E$1:E6291))))))</f>
        <v> </v>
      </c>
      <c r="K6292" s="26" t="str">
        <f>IF(OR(E6292="",E6292="!!!",F6292="NEW"),"",INDEX(J$1:J6291,SUMPRODUCT(MAX(ROW(E$1:E6291)*(E6292=E$1:E6291)))))</f>
        <v> </v>
      </c>
      <c r="L6292" s="27"/>
    </row>
    <row r="6293" spans="1:12">
      <c r="A6293" s="20" t="s">
        <v>2571</v>
      </c>
      <c r="E6293" s="22">
        <f>IF(D6293="?OLD","!!!","")</f>
        <v/>
      </c>
      <c r="F6293" s="23" t="str">
        <f>IF(OR(E6293="",E6293="!!!"),"",IF(NOT(ISNA(VLOOKUP(E6293,E$1:E6292,1,FALSE()))),"OLD",IF(AND(E6293&lt;&gt;"",E6293&lt;&gt;"!!!"),"NEW","")))</f>
        <v> </v>
      </c>
      <c r="G6293" s="24" t="str">
        <f>IF(OR(E6293="",E6293="!!!"),"",IF(OR(J6293=0,AND(J6293=1,K6293=1),AND(J6293=1,I6293="SBJ"),AND(J6293=1,I6293=0)),"?IN_FOCUS",IF(J6293&lt;=2,"?ACTIVATED",IF(J6293&lt;&gt;"","?FAMILIAR",IF(F6293="NEW",IF(ISNA(VLOOKUP(E6293,#REF!,1,FALSE())),"?TYPE_IDENTIFIABLE","?REFERENTIAL"),"_")))))</f>
        <v> </v>
      </c>
      <c r="H6293" s="25" t="str">
        <f>IF(J6293&lt;&gt;1,"",IF(I6293="SBJ","CB","?"))</f>
        <v> </v>
      </c>
      <c r="I6293" s="26" t="str">
        <f>IF(OR(E6293="",E6293="!!!",F6293="NEW"),"",INDEX(B6292:B$2,-1+SUMPRODUCT(MAX(ROW(E6292:E$2)*(E6293=E6292:E$2)))))</f>
        <v> </v>
      </c>
      <c r="J6293" s="26" t="str">
        <f>IF(OR(E6293="",E6293="!!!",F6293="NEW"),"",COUNTBLANK(OFFSET(A$1,,,SUMPRODUCT(MAX(ROW(E$2:E6293)*(E6293=E$2:E6293)))))-COUNTBLANK(OFFSET(A$1,,,SUMPRODUCT(MAX(ROW(E$1:E6292)*(E2=E$1:E6292))))))</f>
        <v> </v>
      </c>
      <c r="K6293" s="26" t="str">
        <f>IF(OR(E6293="",E6293="!!!",F6293="NEW"),"",INDEX(J$1:J6292,SUMPRODUCT(MAX(ROW(E$1:E6292)*(E6293=E$1:E6292)))))</f>
        <v> </v>
      </c>
      <c r="L6293" s="27"/>
    </row>
    <row r="6294" spans="1:12">
      <c r="A6294" s="20" t="s">
        <v>1175</v>
      </c>
      <c r="B6294" s="21" t="s">
        <v>1027</v>
      </c>
      <c r="C6294" s="21" t="s">
        <v>1015</v>
      </c>
      <c r="D6294" s="21" t="s">
        <v>997</v>
      </c>
      <c r="E6294" s="22">
        <f>IF(D6294="?OLD","!!!","")</f>
        <v/>
      </c>
      <c r="F6294" s="23" t="str">
        <f>IF(OR(E6294="",E6294="!!!"),"",IF(NOT(ISNA(VLOOKUP(E6294,E$1:E6293,1,FALSE()))),"OLD",IF(AND(E6294&lt;&gt;"",E6294&lt;&gt;"!!!"),"NEW","")))</f>
        <v> </v>
      </c>
      <c r="G6294" s="24" t="str">
        <f>IF(OR(E6294="",E6294="!!!"),"",IF(OR(J6294=0,AND(J6294=1,K6294=1),AND(J6294=1,I6294="SBJ"),AND(J6294=1,I6294=0)),"?IN_FOCUS",IF(J6294&lt;=2,"?ACTIVATED",IF(J6294&lt;&gt;"","?FAMILIAR",IF(F6294="NEW",IF(ISNA(VLOOKUP(E6294,#REF!,1,FALSE())),"?TYPE_IDENTIFIABLE","?REFERENTIAL"),"_")))))</f>
        <v> </v>
      </c>
      <c r="H6294" s="25" t="str">
        <f>IF(J6294&lt;&gt;1,"",IF(I6294="SBJ","CB","?"))</f>
        <v> </v>
      </c>
      <c r="I6294" s="26" t="str">
        <f>IF(OR(E6294="",E6294="!!!",F6294="NEW"),"",INDEX(B6293:B$2,-1+SUMPRODUCT(MAX(ROW(E6293:E$2)*(E6294=E6293:E$2)))))</f>
        <v> </v>
      </c>
      <c r="J6294" s="26" t="str">
        <f>IF(OR(E6294="",E6294="!!!",F6294="NEW"),"",COUNTBLANK(OFFSET(A$1,,,SUMPRODUCT(MAX(ROW(E$2:E6294)*(E6294=E$2:E6294)))))-COUNTBLANK(OFFSET(A$1,,,SUMPRODUCT(MAX(ROW(E$1:E6293)*(E2=E$1:E6293))))))</f>
        <v> </v>
      </c>
      <c r="K6294" s="26" t="str">
        <f>IF(OR(E6294="",E6294="!!!",F6294="NEW"),"",INDEX(J$1:J6293,SUMPRODUCT(MAX(ROW(E$1:E6293)*(E6294=E$1:E6293)))))</f>
        <v> </v>
      </c>
      <c r="L6294" s="27"/>
    </row>
    <row r="6295" spans="1:12">
      <c r="A6295" s="20" t="s">
        <v>423</v>
      </c>
      <c r="E6295" s="22">
        <f>IF(D6295="?OLD","!!!","")</f>
        <v/>
      </c>
      <c r="F6295" s="23" t="str">
        <f>IF(OR(E6295="",E6295="!!!"),"",IF(NOT(ISNA(VLOOKUP(E6295,E$1:E6294,1,FALSE()))),"OLD",IF(AND(E6295&lt;&gt;"",E6295&lt;&gt;"!!!"),"NEW","")))</f>
        <v> </v>
      </c>
      <c r="G6295" s="24" t="str">
        <f>IF(OR(E6295="",E6295="!!!"),"",IF(OR(J6295=0,AND(J6295=1,K6295=1),AND(J6295=1,I6295="SBJ"),AND(J6295=1,I6295=0)),"?IN_FOCUS",IF(J6295&lt;=2,"?ACTIVATED",IF(J6295&lt;&gt;"","?FAMILIAR",IF(F6295="NEW",IF(ISNA(VLOOKUP(E6295,#REF!,1,FALSE())),"?TYPE_IDENTIFIABLE","?REFERENTIAL"),"_")))))</f>
        <v> </v>
      </c>
      <c r="H6295" s="25" t="str">
        <f>IF(J6295&lt;&gt;1,"",IF(I6295="SBJ","CB","?"))</f>
        <v> </v>
      </c>
      <c r="I6295" s="26" t="str">
        <f>IF(OR(E6295="",E6295="!!!",F6295="NEW"),"",INDEX(B6294:B$2,-1+SUMPRODUCT(MAX(ROW(E6294:E$2)*(E6295=E6294:E$2)))))</f>
        <v> </v>
      </c>
      <c r="J6295" s="26" t="str">
        <f>IF(OR(E6295="",E6295="!!!",F6295="NEW"),"",COUNTBLANK(OFFSET(A$1,,,SUMPRODUCT(MAX(ROW(E$2:E6295)*(E6295=E$2:E6295)))))-COUNTBLANK(OFFSET(A$1,,,SUMPRODUCT(MAX(ROW(E$1:E6294)*(E2=E$1:E6294))))))</f>
        <v> </v>
      </c>
      <c r="K6295" s="26" t="str">
        <f>IF(OR(E6295="",E6295="!!!",F6295="NEW"),"",INDEX(J$1:J6294,SUMPRODUCT(MAX(ROW(E$1:E6294)*(E6295=E$1:E6294)))))</f>
        <v> </v>
      </c>
      <c r="L6295" s="27"/>
    </row>
    <row r="6296" spans="1:12">
      <c r="A6296" s="20" t="s">
        <v>1032</v>
      </c>
      <c r="E6296" s="22">
        <f>IF(D6296="?OLD","!!!","")</f>
        <v/>
      </c>
      <c r="F6296" s="23" t="str">
        <f>IF(OR(E6296="",E6296="!!!"),"",IF(NOT(ISNA(VLOOKUP(E6296,E$1:E6295,1,FALSE()))),"OLD",IF(AND(E6296&lt;&gt;"",E6296&lt;&gt;"!!!"),"NEW","")))</f>
        <v> </v>
      </c>
      <c r="G6296" s="24" t="str">
        <f>IF(OR(E6296="",E6296="!!!"),"",IF(OR(J6296=0,AND(J6296=1,K6296=1),AND(J6296=1,I6296="SBJ"),AND(J6296=1,I6296=0)),"?IN_FOCUS",IF(J6296&lt;=2,"?ACTIVATED",IF(J6296&lt;&gt;"","?FAMILIAR",IF(F6296="NEW",IF(ISNA(VLOOKUP(E6296,#REF!,1,FALSE())),"?TYPE_IDENTIFIABLE","?REFERENTIAL"),"_")))))</f>
        <v> </v>
      </c>
      <c r="H6296" s="25" t="str">
        <f>IF(J6296&lt;&gt;1,"",IF(I6296="SBJ","CB","?"))</f>
        <v> </v>
      </c>
      <c r="I6296" s="26" t="str">
        <f>IF(OR(E6296="",E6296="!!!",F6296="NEW"),"",INDEX(B6295:B$2,-1+SUMPRODUCT(MAX(ROW(E6295:E$2)*(E6296=E6295:E$2)))))</f>
        <v> </v>
      </c>
      <c r="J6296" s="26" t="str">
        <f>IF(OR(E6296="",E6296="!!!",F6296="NEW"),"",COUNTBLANK(OFFSET(A$1,,,SUMPRODUCT(MAX(ROW(E$2:E6296)*(E6296=E$2:E6296)))))-COUNTBLANK(OFFSET(A$1,,,SUMPRODUCT(MAX(ROW(E$1:E6295)*(E2=E$1:E6295))))))</f>
        <v> </v>
      </c>
      <c r="K6296" s="26" t="str">
        <f>IF(OR(E6296="",E6296="!!!",F6296="NEW"),"",INDEX(J$1:J6295,SUMPRODUCT(MAX(ROW(E$1:E6295)*(E6296=E$1:E6295)))))</f>
        <v> </v>
      </c>
      <c r="L6296" s="27"/>
    </row>
    <row r="6297" spans="1:12">
      <c r="A6297" s="20" t="s">
        <v>2572</v>
      </c>
      <c r="B6297" s="21" t="s">
        <v>1005</v>
      </c>
      <c r="C6297" s="21" t="s">
        <v>1034</v>
      </c>
      <c r="D6297" s="21" t="s">
        <v>997</v>
      </c>
      <c r="E6297" s="22">
        <f>IF(D6297="?OLD","!!!","")</f>
        <v/>
      </c>
      <c r="F6297" s="23" t="str">
        <f>IF(OR(E6297="",E6297="!!!"),"",IF(NOT(ISNA(VLOOKUP(E6297,E$1:E6296,1,FALSE()))),"OLD",IF(AND(E6297&lt;&gt;"",E6297&lt;&gt;"!!!"),"NEW","")))</f>
        <v> </v>
      </c>
      <c r="G6297" s="24" t="str">
        <f>IF(OR(E6297="",E6297="!!!"),"",IF(OR(J6297=0,AND(J6297=1,K6297=1),AND(J6297=1,I6297="SBJ"),AND(J6297=1,I6297=0)),"?IN_FOCUS",IF(J6297&lt;=2,"?ACTIVATED",IF(J6297&lt;&gt;"","?FAMILIAR",IF(F6297="NEW",IF(ISNA(VLOOKUP(E6297,#REF!,1,FALSE())),"?TYPE_IDENTIFIABLE","?REFERENTIAL"),"_")))))</f>
        <v> </v>
      </c>
      <c r="H6297" s="25" t="str">
        <f>IF(J6297&lt;&gt;1,"",IF(I6297="SBJ","CB","?"))</f>
        <v> </v>
      </c>
      <c r="I6297" s="26" t="str">
        <f>IF(OR(E6297="",E6297="!!!",F6297="NEW"),"",INDEX(B6296:B$2,-1+SUMPRODUCT(MAX(ROW(E6296:E$2)*(E6297=E6296:E$2)))))</f>
        <v> </v>
      </c>
      <c r="J6297" s="26" t="str">
        <f>IF(OR(E6297="",E6297="!!!",F6297="NEW"),"",COUNTBLANK(OFFSET(A$1,,,SUMPRODUCT(MAX(ROW(E$2:E6297)*(E6297=E$2:E6297)))))-COUNTBLANK(OFFSET(A$1,,,SUMPRODUCT(MAX(ROW(E$1:E6296)*(E2=E$1:E6296))))))</f>
        <v> </v>
      </c>
      <c r="K6297" s="26" t="str">
        <f>IF(OR(E6297="",E6297="!!!",F6297="NEW"),"",INDEX(J$1:J6296,SUMPRODUCT(MAX(ROW(E$1:E6296)*(E6297=E$1:E6296)))))</f>
        <v> </v>
      </c>
      <c r="L6297" s="27"/>
    </row>
    <row r="6298" spans="1:12">
      <c r="A6298" s="20" t="s">
        <v>1008</v>
      </c>
      <c r="E6298" s="22">
        <f>IF(D6298="?OLD","!!!","")</f>
        <v/>
      </c>
      <c r="F6298" s="23" t="str">
        <f>IF(OR(E6298="",E6298="!!!"),"",IF(NOT(ISNA(VLOOKUP(E6298,E$1:E6297,1,FALSE()))),"OLD",IF(AND(E6298&lt;&gt;"",E6298&lt;&gt;"!!!"),"NEW","")))</f>
        <v> </v>
      </c>
      <c r="G6298" s="24" t="str">
        <f>IF(OR(E6298="",E6298="!!!"),"",IF(OR(J6298=0,AND(J6298=1,K6298=1),AND(J6298=1,I6298="SBJ"),AND(J6298=1,I6298=0)),"?IN_FOCUS",IF(J6298&lt;=2,"?ACTIVATED",IF(J6298&lt;&gt;"","?FAMILIAR",IF(F6298="NEW",IF(ISNA(VLOOKUP(E6298,#REF!,1,FALSE())),"?TYPE_IDENTIFIABLE","?REFERENTIAL"),"_")))))</f>
        <v> </v>
      </c>
      <c r="H6298" s="25" t="str">
        <f>IF(J6298&lt;&gt;1,"",IF(I6298="SBJ","CB","?"))</f>
        <v> </v>
      </c>
      <c r="I6298" s="26" t="str">
        <f>IF(OR(E6298="",E6298="!!!",F6298="NEW"),"",INDEX(B6297:B$2,-1+SUMPRODUCT(MAX(ROW(E6297:E$2)*(E6298=E6297:E$2)))))</f>
        <v> </v>
      </c>
      <c r="J6298" s="26" t="str">
        <f>IF(OR(E6298="",E6298="!!!",F6298="NEW"),"",COUNTBLANK(OFFSET(A$1,,,SUMPRODUCT(MAX(ROW(E$2:E6298)*(E6298=E$2:E6298)))))-COUNTBLANK(OFFSET(A$1,,,SUMPRODUCT(MAX(ROW(E$1:E6297)*(E2=E$1:E6297))))))</f>
        <v> </v>
      </c>
      <c r="K6298" s="26" t="str">
        <f>IF(OR(E6298="",E6298="!!!",F6298="NEW"),"",INDEX(J$1:J6297,SUMPRODUCT(MAX(ROW(E$1:E6297)*(E6298=E$1:E6297)))))</f>
        <v> </v>
      </c>
      <c r="L6298" s="27"/>
    </row>
    <row r="6299" spans="1:12">
      <c r="A6299" s="20" t="s">
        <v>1061</v>
      </c>
      <c r="E6299" s="22">
        <f>IF(D6299="?OLD","!!!","")</f>
        <v/>
      </c>
      <c r="F6299" s="23" t="str">
        <f>IF(OR(E6299="",E6299="!!!"),"",IF(NOT(ISNA(VLOOKUP(E6299,E$1:E6298,1,FALSE()))),"OLD",IF(AND(E6299&lt;&gt;"",E6299&lt;&gt;"!!!"),"NEW","")))</f>
        <v> </v>
      </c>
      <c r="G6299" s="24" t="str">
        <f>IF(OR(E6299="",E6299="!!!"),"",IF(OR(J6299=0,AND(J6299=1,K6299=1),AND(J6299=1,I6299="SBJ"),AND(J6299=1,I6299=0)),"?IN_FOCUS",IF(J6299&lt;=2,"?ACTIVATED",IF(J6299&lt;&gt;"","?FAMILIAR",IF(F6299="NEW",IF(ISNA(VLOOKUP(E6299,#REF!,1,FALSE())),"?TYPE_IDENTIFIABLE","?REFERENTIAL"),"_")))))</f>
        <v> </v>
      </c>
      <c r="H6299" s="25" t="str">
        <f>IF(J6299&lt;&gt;1,"",IF(I6299="SBJ","CB","?"))</f>
        <v> </v>
      </c>
      <c r="I6299" s="26" t="str">
        <f>IF(OR(E6299="",E6299="!!!",F6299="NEW"),"",INDEX(B6298:B$2,-1+SUMPRODUCT(MAX(ROW(E6298:E$2)*(E6299=E6298:E$2)))))</f>
        <v> </v>
      </c>
      <c r="J6299" s="26" t="str">
        <f>IF(OR(E6299="",E6299="!!!",F6299="NEW"),"",COUNTBLANK(OFFSET(A$1,,,SUMPRODUCT(MAX(ROW(E$2:E6299)*(E6299=E$2:E6299)))))-COUNTBLANK(OFFSET(A$1,,,SUMPRODUCT(MAX(ROW(E$1:E6298)*(E2=E$1:E6298))))))</f>
        <v> </v>
      </c>
      <c r="K6299" s="26" t="str">
        <f>IF(OR(E6299="",E6299="!!!",F6299="NEW"),"",INDEX(J$1:J6298,SUMPRODUCT(MAX(ROW(E$1:E6298)*(E6299=E$1:E6298)))))</f>
        <v> </v>
      </c>
      <c r="L6299" s="27"/>
    </row>
    <row r="6300" spans="1:12">
      <c r="A6300" s="20" t="s">
        <v>809</v>
      </c>
      <c r="B6300" s="21" t="s">
        <v>1010</v>
      </c>
      <c r="C6300" s="21" t="s">
        <v>1034</v>
      </c>
      <c r="D6300" s="21" t="s">
        <v>997</v>
      </c>
      <c r="E6300" s="22">
        <f>IF(D6300="?OLD","!!!","")</f>
        <v/>
      </c>
      <c r="F6300" s="23" t="str">
        <f>IF(OR(E6300="",E6300="!!!"),"",IF(NOT(ISNA(VLOOKUP(E6300,E$1:E6299,1,FALSE()))),"OLD",IF(AND(E6300&lt;&gt;"",E6300&lt;&gt;"!!!"),"NEW","")))</f>
        <v> </v>
      </c>
      <c r="G6300" s="24" t="str">
        <f>IF(OR(E6300="",E6300="!!!"),"",IF(OR(J6300=0,AND(J6300=1,K6300=1),AND(J6300=1,I6300="SBJ"),AND(J6300=1,I6300=0)),"?IN_FOCUS",IF(J6300&lt;=2,"?ACTIVATED",IF(J6300&lt;&gt;"","?FAMILIAR",IF(F6300="NEW",IF(ISNA(VLOOKUP(E6300,#REF!,1,FALSE())),"?TYPE_IDENTIFIABLE","?REFERENTIAL"),"_")))))</f>
        <v> </v>
      </c>
      <c r="H6300" s="25" t="str">
        <f>IF(J6300&lt;&gt;1,"",IF(I6300="SBJ","CB","?"))</f>
        <v> </v>
      </c>
      <c r="I6300" s="26" t="str">
        <f>IF(OR(E6300="",E6300="!!!",F6300="NEW"),"",INDEX(B6299:B$2,-1+SUMPRODUCT(MAX(ROW(E6299:E$2)*(E6300=E6299:E$2)))))</f>
        <v> </v>
      </c>
      <c r="J6300" s="26" t="str">
        <f>IF(OR(E6300="",E6300="!!!",F6300="NEW"),"",COUNTBLANK(OFFSET(A$1,,,SUMPRODUCT(MAX(ROW(E$2:E6300)*(E6300=E$2:E6300)))))-COUNTBLANK(OFFSET(A$1,,,SUMPRODUCT(MAX(ROW(E$1:E6299)*(E2=E$1:E6299))))))</f>
        <v> </v>
      </c>
      <c r="K6300" s="26" t="str">
        <f>IF(OR(E6300="",E6300="!!!",F6300="NEW"),"",INDEX(J$1:J6299,SUMPRODUCT(MAX(ROW(E$1:E6299)*(E6300=E$1:E6299)))))</f>
        <v> </v>
      </c>
      <c r="L6300" s="27"/>
    </row>
    <row r="6301" spans="1:12">
      <c r="A6301" s="20" t="s">
        <v>1041</v>
      </c>
      <c r="E6301" s="22">
        <f>IF(D6301="?OLD","!!!","")</f>
        <v/>
      </c>
      <c r="F6301" s="23" t="str">
        <f>IF(OR(E6301="",E6301="!!!"),"",IF(NOT(ISNA(VLOOKUP(E6301,E$1:E6300,1,FALSE()))),"OLD",IF(AND(E6301&lt;&gt;"",E6301&lt;&gt;"!!!"),"NEW","")))</f>
        <v> </v>
      </c>
      <c r="G6301" s="24" t="str">
        <f>IF(OR(E6301="",E6301="!!!"),"",IF(OR(J6301=0,AND(J6301=1,K6301=1),AND(J6301=1,I6301="SBJ"),AND(J6301=1,I6301=0)),"?IN_FOCUS",IF(J6301&lt;=2,"?ACTIVATED",IF(J6301&lt;&gt;"","?FAMILIAR",IF(F6301="NEW",IF(ISNA(VLOOKUP(E6301,#REF!,1,FALSE())),"?TYPE_IDENTIFIABLE","?REFERENTIAL"),"_")))))</f>
        <v> </v>
      </c>
      <c r="H6301" s="25" t="str">
        <f>IF(J6301&lt;&gt;1,"",IF(I6301="SBJ","CB","?"))</f>
        <v> </v>
      </c>
      <c r="I6301" s="26" t="str">
        <f>IF(OR(E6301="",E6301="!!!",F6301="NEW"),"",INDEX(B6300:B$2,-1+SUMPRODUCT(MAX(ROW(E6300:E$2)*(E6301=E6300:E$2)))))</f>
        <v> </v>
      </c>
      <c r="J6301" s="26" t="str">
        <f>IF(OR(E6301="",E6301="!!!",F6301="NEW"),"",COUNTBLANK(OFFSET(A$1,,,SUMPRODUCT(MAX(ROW(E$2:E6301)*(E6301=E$2:E6301)))))-COUNTBLANK(OFFSET(A$1,,,SUMPRODUCT(MAX(ROW(E$1:E6300)*(E2=E$1:E6300))))))</f>
        <v> </v>
      </c>
      <c r="K6301" s="26" t="str">
        <f>IF(OR(E6301="",E6301="!!!",F6301="NEW"),"",INDEX(J$1:J6300,SUMPRODUCT(MAX(ROW(E$1:E6300)*(E6301=E$1:E6300)))))</f>
        <v> </v>
      </c>
      <c r="L6301" s="27"/>
    </row>
    <row r="6302" spans="1:12">
      <c r="A6302" s="20" t="s">
        <v>1007</v>
      </c>
      <c r="E6302" s="22">
        <f>IF(D6302="?OLD","!!!","")</f>
        <v/>
      </c>
      <c r="F6302" s="23" t="str">
        <f>IF(OR(E6302="",E6302="!!!"),"",IF(NOT(ISNA(VLOOKUP(E6302,E$1:E6301,1,FALSE()))),"OLD",IF(AND(E6302&lt;&gt;"",E6302&lt;&gt;"!!!"),"NEW","")))</f>
        <v> </v>
      </c>
      <c r="G6302" s="24" t="str">
        <f>IF(OR(E6302="",E6302="!!!"),"",IF(OR(J6302=0,AND(J6302=1,K6302=1),AND(J6302=1,I6302="SBJ"),AND(J6302=1,I6302=0)),"?IN_FOCUS",IF(J6302&lt;=2,"?ACTIVATED",IF(J6302&lt;&gt;"","?FAMILIAR",IF(F6302="NEW",IF(ISNA(VLOOKUP(E6302,#REF!,1,FALSE())),"?TYPE_IDENTIFIABLE","?REFERENTIAL"),"_")))))</f>
        <v> </v>
      </c>
      <c r="H6302" s="25" t="str">
        <f>IF(J6302&lt;&gt;1,"",IF(I6302="SBJ","CB","?"))</f>
        <v> </v>
      </c>
      <c r="I6302" s="26" t="str">
        <f>IF(OR(E6302="",E6302="!!!",F6302="NEW"),"",INDEX(B6301:B$2,-1+SUMPRODUCT(MAX(ROW(E6301:E$2)*(E6302=E6301:E$2)))))</f>
        <v> </v>
      </c>
      <c r="J6302" s="26" t="str">
        <f>IF(OR(E6302="",E6302="!!!",F6302="NEW"),"",COUNTBLANK(OFFSET(A$1,,,SUMPRODUCT(MAX(ROW(E$2:E6302)*(E6302=E$2:E6302)))))-COUNTBLANK(OFFSET(A$1,,,SUMPRODUCT(MAX(ROW(E$1:E6301)*(E2=E$1:E6301))))))</f>
        <v> </v>
      </c>
      <c r="K6302" s="26" t="str">
        <f>IF(OR(E6302="",E6302="!!!",F6302="NEW"),"",INDEX(J$1:J6301,SUMPRODUCT(MAX(ROW(E$1:E6301)*(E6302=E$1:E6301)))))</f>
        <v> </v>
      </c>
      <c r="L6302" s="27"/>
    </row>
    <row r="6303" spans="1:12">
      <c r="A6303" s="20" t="s">
        <v>1022</v>
      </c>
      <c r="E6303" s="22">
        <f>IF(D6303="?OLD","!!!","")</f>
        <v/>
      </c>
      <c r="F6303" s="23" t="str">
        <f>IF(OR(E6303="",E6303="!!!"),"",IF(NOT(ISNA(VLOOKUP(E6303,E$1:E6302,1,FALSE()))),"OLD",IF(AND(E6303&lt;&gt;"",E6303&lt;&gt;"!!!"),"NEW","")))</f>
        <v> </v>
      </c>
      <c r="G6303" s="24" t="str">
        <f>IF(OR(E6303="",E6303="!!!"),"",IF(OR(J6303=0,AND(J6303=1,K6303=1),AND(J6303=1,I6303="SBJ"),AND(J6303=1,I6303=0)),"?IN_FOCUS",IF(J6303&lt;=2,"?ACTIVATED",IF(J6303&lt;&gt;"","?FAMILIAR",IF(F6303="NEW",IF(ISNA(VLOOKUP(E6303,#REF!,1,FALSE())),"?TYPE_IDENTIFIABLE","?REFERENTIAL"),"_")))))</f>
        <v> </v>
      </c>
      <c r="H6303" s="25" t="str">
        <f>IF(J6303&lt;&gt;1,"",IF(I6303="SBJ","CB","?"))</f>
        <v> </v>
      </c>
      <c r="I6303" s="26" t="str">
        <f>IF(OR(E6303="",E6303="!!!",F6303="NEW"),"",INDEX(B6302:B$2,-1+SUMPRODUCT(MAX(ROW(E6302:E$2)*(E6303=E6302:E$2)))))</f>
        <v> </v>
      </c>
      <c r="J6303" s="26" t="str">
        <f>IF(OR(E6303="",E6303="!!!",F6303="NEW"),"",COUNTBLANK(OFFSET(A$1,,,SUMPRODUCT(MAX(ROW(E$2:E6303)*(E6303=E$2:E6303)))))-COUNTBLANK(OFFSET(A$1,,,SUMPRODUCT(MAX(ROW(E$1:E6302)*(E2=E$1:E6302))))))</f>
        <v> </v>
      </c>
      <c r="K6303" s="26" t="str">
        <f>IF(OR(E6303="",E6303="!!!",F6303="NEW"),"",INDEX(J$1:J6302,SUMPRODUCT(MAX(ROW(E$1:E6302)*(E6303=E$1:E6302)))))</f>
        <v> </v>
      </c>
      <c r="L6303" s="27"/>
    </row>
    <row r="6304" spans="1:12">
      <c r="A6304" s="20" t="s">
        <v>737</v>
      </c>
      <c r="B6304" s="21" t="s">
        <v>1114</v>
      </c>
      <c r="C6304" s="21" t="s">
        <v>1015</v>
      </c>
      <c r="D6304" s="21" t="s">
        <v>997</v>
      </c>
      <c r="E6304" s="22">
        <f>IF(D6304="?OLD","!!!","")</f>
        <v/>
      </c>
      <c r="F6304" s="23" t="str">
        <f>IF(OR(E6304="",E6304="!!!"),"",IF(NOT(ISNA(VLOOKUP(E6304,E$1:E6303,1,FALSE()))),"OLD",IF(AND(E6304&lt;&gt;"",E6304&lt;&gt;"!!!"),"NEW","")))</f>
        <v> </v>
      </c>
      <c r="G6304" s="24" t="str">
        <f>IF(OR(E6304="",E6304="!!!"),"",IF(OR(J6304=0,AND(J6304=1,K6304=1),AND(J6304=1,I6304="SBJ"),AND(J6304=1,I6304=0)),"?IN_FOCUS",IF(J6304&lt;=2,"?ACTIVATED",IF(J6304&lt;&gt;"","?FAMILIAR",IF(F6304="NEW",IF(ISNA(VLOOKUP(E6304,#REF!,1,FALSE())),"?TYPE_IDENTIFIABLE","?REFERENTIAL"),"_")))))</f>
        <v> </v>
      </c>
      <c r="H6304" s="25" t="str">
        <f>IF(J6304&lt;&gt;1,"",IF(I6304="SBJ","CB","?"))</f>
        <v> </v>
      </c>
      <c r="I6304" s="26" t="str">
        <f>IF(OR(E6304="",E6304="!!!",F6304="NEW"),"",INDEX(B6303:B$2,-1+SUMPRODUCT(MAX(ROW(E6303:E$2)*(E6304=E6303:E$2)))))</f>
        <v> </v>
      </c>
      <c r="J6304" s="26" t="str">
        <f>IF(OR(E6304="",E6304="!!!",F6304="NEW"),"",COUNTBLANK(OFFSET(A$1,,,SUMPRODUCT(MAX(ROW(E$2:E6304)*(E6304=E$2:E6304)))))-COUNTBLANK(OFFSET(A$1,,,SUMPRODUCT(MAX(ROW(E$1:E6303)*(E2=E$1:E6303))))))</f>
        <v> </v>
      </c>
      <c r="K6304" s="26" t="str">
        <f>IF(OR(E6304="",E6304="!!!",F6304="NEW"),"",INDEX(J$1:J6303,SUMPRODUCT(MAX(ROW(E$1:E6303)*(E6304=E$1:E6303)))))</f>
        <v> </v>
      </c>
      <c r="L6304" s="27"/>
    </row>
    <row r="6305" spans="1:12">
      <c r="A6305" s="20" t="s">
        <v>1189</v>
      </c>
      <c r="E6305" s="22">
        <f>IF(D6305="?OLD","!!!","")</f>
        <v/>
      </c>
      <c r="F6305" s="23" t="str">
        <f>IF(OR(E6305="",E6305="!!!"),"",IF(NOT(ISNA(VLOOKUP(E6305,E$1:E6304,1,FALSE()))),"OLD",IF(AND(E6305&lt;&gt;"",E6305&lt;&gt;"!!!"),"NEW","")))</f>
        <v> </v>
      </c>
      <c r="G6305" s="24" t="str">
        <f>IF(OR(E6305="",E6305="!!!"),"",IF(OR(J6305=0,AND(J6305=1,K6305=1),AND(J6305=1,I6305="SBJ"),AND(J6305=1,I6305=0)),"?IN_FOCUS",IF(J6305&lt;=2,"?ACTIVATED",IF(J6305&lt;&gt;"","?FAMILIAR",IF(F6305="NEW",IF(ISNA(VLOOKUP(E6305,#REF!,1,FALSE())),"?TYPE_IDENTIFIABLE","?REFERENTIAL"),"_")))))</f>
        <v> </v>
      </c>
      <c r="H6305" s="25" t="str">
        <f>IF(J6305&lt;&gt;1,"",IF(I6305="SBJ","CB","?"))</f>
        <v> </v>
      </c>
      <c r="I6305" s="26" t="str">
        <f>IF(OR(E6305="",E6305="!!!",F6305="NEW"),"",INDEX(B6304:B$2,-1+SUMPRODUCT(MAX(ROW(E6304:E$2)*(E6305=E6304:E$2)))))</f>
        <v> </v>
      </c>
      <c r="J6305" s="26" t="str">
        <f>IF(OR(E6305="",E6305="!!!",F6305="NEW"),"",COUNTBLANK(OFFSET(A$1,,,SUMPRODUCT(MAX(ROW(E$2:E6305)*(E6305=E$2:E6305)))))-COUNTBLANK(OFFSET(A$1,,,SUMPRODUCT(MAX(ROW(E$1:E6304)*(E2=E$1:E6304))))))</f>
        <v> </v>
      </c>
      <c r="K6305" s="26" t="str">
        <f>IF(OR(E6305="",E6305="!!!",F6305="NEW"),"",INDEX(J$1:J6304,SUMPRODUCT(MAX(ROW(E$1:E6304)*(E6305=E$1:E6304)))))</f>
        <v> </v>
      </c>
      <c r="L6305" s="27"/>
    </row>
    <row r="6306" spans="1:12">
      <c r="A6306" s="20" t="s">
        <v>110</v>
      </c>
      <c r="E6306" s="22">
        <f>IF(D6306="?OLD","!!!","")</f>
        <v/>
      </c>
      <c r="F6306" s="23" t="str">
        <f>IF(OR(E6306="",E6306="!!!"),"",IF(NOT(ISNA(VLOOKUP(E6306,E$1:E6305,1,FALSE()))),"OLD",IF(AND(E6306&lt;&gt;"",E6306&lt;&gt;"!!!"),"NEW","")))</f>
        <v> </v>
      </c>
      <c r="G6306" s="24" t="str">
        <f>IF(OR(E6306="",E6306="!!!"),"",IF(OR(J6306=0,AND(J6306=1,K6306=1),AND(J6306=1,I6306="SBJ"),AND(J6306=1,I6306=0)),"?IN_FOCUS",IF(J6306&lt;=2,"?ACTIVATED",IF(J6306&lt;&gt;"","?FAMILIAR",IF(F6306="NEW",IF(ISNA(VLOOKUP(E6306,#REF!,1,FALSE())),"?TYPE_IDENTIFIABLE","?REFERENTIAL"),"_")))))</f>
        <v> </v>
      </c>
      <c r="H6306" s="25" t="str">
        <f>IF(J6306&lt;&gt;1,"",IF(I6306="SBJ","CB","?"))</f>
        <v> </v>
      </c>
      <c r="I6306" s="26" t="str">
        <f>IF(OR(E6306="",E6306="!!!",F6306="NEW"),"",INDEX(B6305:B$2,-1+SUMPRODUCT(MAX(ROW(E6305:E$2)*(E6306=E6305:E$2)))))</f>
        <v> </v>
      </c>
      <c r="J6306" s="26" t="str">
        <f>IF(OR(E6306="",E6306="!!!",F6306="NEW"),"",COUNTBLANK(OFFSET(A$1,,,SUMPRODUCT(MAX(ROW(E$2:E6306)*(E6306=E$2:E6306)))))-COUNTBLANK(OFFSET(A$1,,,SUMPRODUCT(MAX(ROW(E$1:E6305)*(E2=E$1:E6305))))))</f>
        <v> </v>
      </c>
      <c r="K6306" s="26" t="str">
        <f>IF(OR(E6306="",E6306="!!!",F6306="NEW"),"",INDEX(J$1:J6305,SUMPRODUCT(MAX(ROW(E$1:E6305)*(E6306=E$1:E6305)))))</f>
        <v> </v>
      </c>
      <c r="L6306" s="27"/>
    </row>
    <row r="6307" spans="1:12">
      <c r="A6307" s="20" t="s">
        <v>1137</v>
      </c>
      <c r="E6307" s="22">
        <f>IF(D6307="?OLD","!!!","")</f>
        <v/>
      </c>
      <c r="F6307" s="23" t="str">
        <f>IF(OR(E6307="",E6307="!!!"),"",IF(NOT(ISNA(VLOOKUP(E6307,E$1:E6306,1,FALSE()))),"OLD",IF(AND(E6307&lt;&gt;"",E6307&lt;&gt;"!!!"),"NEW","")))</f>
        <v> </v>
      </c>
      <c r="G6307" s="24" t="str">
        <f>IF(OR(E6307="",E6307="!!!"),"",IF(OR(J6307=0,AND(J6307=1,K6307=1),AND(J6307=1,I6307="SBJ"),AND(J6307=1,I6307=0)),"?IN_FOCUS",IF(J6307&lt;=2,"?ACTIVATED",IF(J6307&lt;&gt;"","?FAMILIAR",IF(F6307="NEW",IF(ISNA(VLOOKUP(E6307,#REF!,1,FALSE())),"?TYPE_IDENTIFIABLE","?REFERENTIAL"),"_")))))</f>
        <v> </v>
      </c>
      <c r="H6307" s="25" t="str">
        <f>IF(J6307&lt;&gt;1,"",IF(I6307="SBJ","CB","?"))</f>
        <v> </v>
      </c>
      <c r="I6307" s="26" t="str">
        <f>IF(OR(E6307="",E6307="!!!",F6307="NEW"),"",INDEX(B6306:B$2,-1+SUMPRODUCT(MAX(ROW(E6306:E$2)*(E6307=E6306:E$2)))))</f>
        <v> </v>
      </c>
      <c r="J6307" s="26" t="str">
        <f>IF(OR(E6307="",E6307="!!!",F6307="NEW"),"",COUNTBLANK(OFFSET(A$1,,,SUMPRODUCT(MAX(ROW(E$2:E6307)*(E6307=E$2:E6307)))))-COUNTBLANK(OFFSET(A$1,,,SUMPRODUCT(MAX(ROW(E$1:E6306)*(E2=E$1:E6306))))))</f>
        <v> </v>
      </c>
      <c r="K6307" s="26" t="str">
        <f>IF(OR(E6307="",E6307="!!!",F6307="NEW"),"",INDEX(J$1:J6306,SUMPRODUCT(MAX(ROW(E$1:E6306)*(E6307=E$1:E6306)))))</f>
        <v> </v>
      </c>
      <c r="L6307" s="27"/>
    </row>
    <row r="6308" spans="1:12">
      <c r="A6308" s="20" t="s">
        <v>2275</v>
      </c>
      <c r="E6308" s="22">
        <f>IF(D6308="?OLD","!!!","")</f>
        <v/>
      </c>
      <c r="F6308" s="23" t="str">
        <f>IF(OR(E6308="",E6308="!!!"),"",IF(NOT(ISNA(VLOOKUP(E6308,E$1:E6307,1,FALSE()))),"OLD",IF(AND(E6308&lt;&gt;"",E6308&lt;&gt;"!!!"),"NEW","")))</f>
        <v> </v>
      </c>
      <c r="G6308" s="24" t="str">
        <f>IF(OR(E6308="",E6308="!!!"),"",IF(OR(J6308=0,AND(J6308=1,K6308=1),AND(J6308=1,I6308="SBJ"),AND(J6308=1,I6308=0)),"?IN_FOCUS",IF(J6308&lt;=2,"?ACTIVATED",IF(J6308&lt;&gt;"","?FAMILIAR",IF(F6308="NEW",IF(ISNA(VLOOKUP(E6308,#REF!,1,FALSE())),"?TYPE_IDENTIFIABLE","?REFERENTIAL"),"_")))))</f>
        <v> </v>
      </c>
      <c r="H6308" s="25" t="str">
        <f>IF(J6308&lt;&gt;1,"",IF(I6308="SBJ","CB","?"))</f>
        <v> </v>
      </c>
      <c r="I6308" s="26" t="str">
        <f>IF(OR(E6308="",E6308="!!!",F6308="NEW"),"",INDEX(B6307:B$2,-1+SUMPRODUCT(MAX(ROW(E6307:E$2)*(E6308=E6307:E$2)))))</f>
        <v> </v>
      </c>
      <c r="J6308" s="26" t="str">
        <f>IF(OR(E6308="",E6308="!!!",F6308="NEW"),"",COUNTBLANK(OFFSET(A$1,,,SUMPRODUCT(MAX(ROW(E$2:E6308)*(E6308=E$2:E6308)))))-COUNTBLANK(OFFSET(A$1,,,SUMPRODUCT(MAX(ROW(E$1:E6307)*(E2=E$1:E6307))))))</f>
        <v> </v>
      </c>
      <c r="K6308" s="26" t="str">
        <f>IF(OR(E6308="",E6308="!!!",F6308="NEW"),"",INDEX(J$1:J6307,SUMPRODUCT(MAX(ROW(E$1:E6307)*(E6308=E$1:E6307)))))</f>
        <v> </v>
      </c>
      <c r="L6308" s="27"/>
    </row>
    <row r="6309" spans="1:12">
      <c r="A6309" s="20" t="s">
        <v>2187</v>
      </c>
      <c r="B6309" s="21" t="s">
        <v>1024</v>
      </c>
      <c r="C6309" s="21" t="s">
        <v>1006</v>
      </c>
      <c r="E6309" s="22">
        <f>IF(D6309="?OLD","!!!","")</f>
        <v/>
      </c>
      <c r="F6309" s="23" t="str">
        <f>IF(OR(E6309="",E6309="!!!"),"",IF(NOT(ISNA(VLOOKUP(E6309,E$1:E6308,1,FALSE()))),"OLD",IF(AND(E6309&lt;&gt;"",E6309&lt;&gt;"!!!"),"NEW","")))</f>
        <v> </v>
      </c>
      <c r="G6309" s="24" t="str">
        <f>IF(OR(E6309="",E6309="!!!"),"",IF(OR(J6309=0,AND(J6309=1,K6309=1),AND(J6309=1,I6309="SBJ"),AND(J6309=1,I6309=0)),"?IN_FOCUS",IF(J6309&lt;=2,"?ACTIVATED",IF(J6309&lt;&gt;"","?FAMILIAR",IF(F6309="NEW",IF(ISNA(VLOOKUP(E6309,#REF!,1,FALSE())),"?TYPE_IDENTIFIABLE","?REFERENTIAL"),"_")))))</f>
        <v> </v>
      </c>
      <c r="H6309" s="25" t="str">
        <f>IF(J6309&lt;&gt;1,"",IF(I6309="SBJ","CB","?"))</f>
        <v> </v>
      </c>
      <c r="I6309" s="26" t="str">
        <f>IF(OR(E6309="",E6309="!!!",F6309="NEW"),"",INDEX(B6308:B$2,-1+SUMPRODUCT(MAX(ROW(E6308:E$2)*(E6309=E6308:E$2)))))</f>
        <v> </v>
      </c>
      <c r="J6309" s="26" t="str">
        <f>IF(OR(E6309="",E6309="!!!",F6309="NEW"),"",COUNTBLANK(OFFSET(A$1,,,SUMPRODUCT(MAX(ROW(E$2:E6309)*(E6309=E$2:E6309)))))-COUNTBLANK(OFFSET(A$1,,,SUMPRODUCT(MAX(ROW(E$1:E6308)*(E2=E$1:E6308))))))</f>
        <v> </v>
      </c>
      <c r="K6309" s="26" t="str">
        <f>IF(OR(E6309="",E6309="!!!",F6309="NEW"),"",INDEX(J$1:J6308,SUMPRODUCT(MAX(ROW(E$1:E6308)*(E6309=E$1:E6308)))))</f>
        <v> </v>
      </c>
      <c r="L6309" s="27"/>
    </row>
    <row r="6310" spans="1:12">
      <c r="A6310" s="20" t="s">
        <v>1011</v>
      </c>
      <c r="E6310" s="22">
        <f>IF(D6310="?OLD","!!!","")</f>
        <v/>
      </c>
      <c r="F6310" s="23" t="str">
        <f>IF(OR(E6310="",E6310="!!!"),"",IF(NOT(ISNA(VLOOKUP(E6310,E$1:E6309,1,FALSE()))),"OLD",IF(AND(E6310&lt;&gt;"",E6310&lt;&gt;"!!!"),"NEW","")))</f>
        <v> </v>
      </c>
      <c r="G6310" s="24" t="str">
        <f>IF(OR(E6310="",E6310="!!!"),"",IF(OR(J6310=0,AND(J6310=1,K6310=1),AND(J6310=1,I6310="SBJ"),AND(J6310=1,I6310=0)),"?IN_FOCUS",IF(J6310&lt;=2,"?ACTIVATED",IF(J6310&lt;&gt;"","?FAMILIAR",IF(F6310="NEW",IF(ISNA(VLOOKUP(E6310,#REF!,1,FALSE())),"?TYPE_IDENTIFIABLE","?REFERENTIAL"),"_")))))</f>
        <v> </v>
      </c>
      <c r="H6310" s="25" t="str">
        <f>IF(J6310&lt;&gt;1,"",IF(I6310="SBJ","CB","?"))</f>
        <v> </v>
      </c>
      <c r="I6310" s="26" t="str">
        <f>IF(OR(E6310="",E6310="!!!",F6310="NEW"),"",INDEX(B6309:B$2,-1+SUMPRODUCT(MAX(ROW(E6309:E$2)*(E6310=E6309:E$2)))))</f>
        <v> </v>
      </c>
      <c r="J6310" s="26" t="str">
        <f>IF(OR(E6310="",E6310="!!!",F6310="NEW"),"",COUNTBLANK(OFFSET(A$1,,,SUMPRODUCT(MAX(ROW(E$2:E6310)*(E6310=E$2:E6310)))))-COUNTBLANK(OFFSET(A$1,,,SUMPRODUCT(MAX(ROW(E$1:E6309)*(E2=E$1:E6309))))))</f>
        <v> </v>
      </c>
      <c r="K6310" s="26" t="str">
        <f>IF(OR(E6310="",E6310="!!!",F6310="NEW"),"",INDEX(J$1:J6309,SUMPRODUCT(MAX(ROW(E$1:E6309)*(E6310=E$1:E6309)))))</f>
        <v> </v>
      </c>
      <c r="L6310" s="27"/>
    </row>
    <row r="6311" spans="1:12">
      <c r="A6311" s="20"/>
    </row>
    <row r="6312" spans="1:12">
      <c r="A6312" s="20" t="s">
        <v>2573</v>
      </c>
    </row>
    <row r="6313" spans="1:12">
      <c r="A6313" s="20" t="s">
        <v>994</v>
      </c>
      <c r="B6313" s="21" t="s">
        <v>995</v>
      </c>
      <c r="C6313" s="21" t="s">
        <v>996</v>
      </c>
      <c r="D6313" s="21" t="s">
        <v>997</v>
      </c>
      <c r="E6313" s="22">
        <f>IF(D6313="?OLD","!!!","")</f>
        <v/>
      </c>
      <c r="F6313" s="23" t="str">
        <f>IF(OR(E6313="",E6313="!!!"),"",IF(NOT(ISNA(VLOOKUP(E6313,E$1:E6312,1,FALSE()))),"OLD",IF(AND(E6313&lt;&gt;"",E6313&lt;&gt;"!!!"),"NEW","")))</f>
        <v> </v>
      </c>
      <c r="G6313" s="24" t="str">
        <f>IF(OR(E6313="",E6313="!!!"),"",IF(OR(J6313=0,AND(J6313=1,K6313=1),AND(J6313=1,I6313="SBJ"),AND(J6313=1,I6313=0)),"?IN_FOCUS",IF(J6313&lt;=2,"?ACTIVATED",IF(J6313&lt;&gt;"","?FAMILIAR",IF(F6313="NEW",IF(ISNA(VLOOKUP(E6313,#REF!,1,FALSE())),"?TYPE_IDENTIFIABLE","?REFERENTIAL"),"_")))))</f>
        <v> </v>
      </c>
      <c r="H6313" s="25" t="str">
        <f>IF(J6313&lt;&gt;1,"",IF(I6313="SBJ","CB","?"))</f>
        <v> </v>
      </c>
      <c r="I6313" s="26" t="str">
        <f>IF(OR(E6313="",E6313="!!!",F6313="NEW"),"",INDEX(B6312:B$2,-1+SUMPRODUCT(MAX(ROW(E6312:E$2)*(E6313=E6312:E$2)))))</f>
        <v> </v>
      </c>
      <c r="J6313" s="26" t="str">
        <f>IF(OR(E6313="",E6313="!!!",F6313="NEW"),"",COUNTBLANK(OFFSET(A$1,,,SUMPRODUCT(MAX(ROW(E$2:E6313)*(E6313=E$2:E6313)))))-COUNTBLANK(OFFSET(A$1,,,SUMPRODUCT(MAX(ROW(E$1:E6312)*(E2=E$1:E6312))))))</f>
        <v> </v>
      </c>
      <c r="K6313" s="26" t="str">
        <f>IF(OR(E6313="",E6313="!!!",F6313="NEW"),"",INDEX(J$1:J6312,SUMPRODUCT(MAX(ROW(E$1:E6312)*(E6313=E$1:E6312)))))</f>
        <v> </v>
      </c>
      <c r="L6313" s="27"/>
    </row>
    <row r="6314" spans="1:12">
      <c r="A6314" s="20" t="s">
        <v>2529</v>
      </c>
      <c r="E6314" s="22">
        <f>IF(D6314="?OLD","!!!","")</f>
        <v/>
      </c>
      <c r="F6314" s="23" t="str">
        <f>IF(OR(E6314="",E6314="!!!"),"",IF(NOT(ISNA(VLOOKUP(E6314,E$1:E6313,1,FALSE()))),"OLD",IF(AND(E6314&lt;&gt;"",E6314&lt;&gt;"!!!"),"NEW","")))</f>
        <v> </v>
      </c>
      <c r="G6314" s="24" t="str">
        <f>IF(OR(E6314="",E6314="!!!"),"",IF(OR(J6314=0,AND(J6314=1,K6314=1),AND(J6314=1,I6314="SBJ"),AND(J6314=1,I6314=0)),"?IN_FOCUS",IF(J6314&lt;=2,"?ACTIVATED",IF(J6314&lt;&gt;"","?FAMILIAR",IF(F6314="NEW",IF(ISNA(VLOOKUP(E6314,#REF!,1,FALSE())),"?TYPE_IDENTIFIABLE","?REFERENTIAL"),"_")))))</f>
        <v> </v>
      </c>
      <c r="H6314" s="25" t="str">
        <f>IF(J6314&lt;&gt;1,"",IF(I6314="SBJ","CB","?"))</f>
        <v> </v>
      </c>
      <c r="I6314" s="26" t="str">
        <f>IF(OR(E6314="",E6314="!!!",F6314="NEW"),"",INDEX(B6313:B$2,-1+SUMPRODUCT(MAX(ROW(E6313:E$2)*(E6314=E6313:E$2)))))</f>
        <v> </v>
      </c>
      <c r="J6314" s="26" t="str">
        <f>IF(OR(E6314="",E6314="!!!",F6314="NEW"),"",COUNTBLANK(OFFSET(A$1,,,SUMPRODUCT(MAX(ROW(E$2:E6314)*(E6314=E$2:E6314)))))-COUNTBLANK(OFFSET(A$1,,,SUMPRODUCT(MAX(ROW(E$1:E6313)*(E2=E$1:E6313))))))</f>
        <v> </v>
      </c>
      <c r="K6314" s="26" t="str">
        <f>IF(OR(E6314="",E6314="!!!",F6314="NEW"),"",INDEX(J$1:J6313,SUMPRODUCT(MAX(ROW(E$1:E6313)*(E6314=E$1:E6313)))))</f>
        <v> </v>
      </c>
      <c r="L6314" s="27"/>
    </row>
    <row r="6315" spans="1:12">
      <c r="A6315" s="20" t="s">
        <v>1082</v>
      </c>
      <c r="E6315" s="22">
        <f>IF(D6315="?OLD","!!!","")</f>
        <v/>
      </c>
      <c r="F6315" s="23" t="str">
        <f>IF(OR(E6315="",E6315="!!!"),"",IF(NOT(ISNA(VLOOKUP(E6315,E$1:E6314,1,FALSE()))),"OLD",IF(AND(E6315&lt;&gt;"",E6315&lt;&gt;"!!!"),"NEW","")))</f>
        <v> </v>
      </c>
      <c r="G6315" s="24" t="str">
        <f>IF(OR(E6315="",E6315="!!!"),"",IF(OR(J6315=0,AND(J6315=1,K6315=1),AND(J6315=1,I6315="SBJ"),AND(J6315=1,I6315=0)),"?IN_FOCUS",IF(J6315&lt;=2,"?ACTIVATED",IF(J6315&lt;&gt;"","?FAMILIAR",IF(F6315="NEW",IF(ISNA(VLOOKUP(E6315,#REF!,1,FALSE())),"?TYPE_IDENTIFIABLE","?REFERENTIAL"),"_")))))</f>
        <v> </v>
      </c>
      <c r="H6315" s="25" t="str">
        <f>IF(J6315&lt;&gt;1,"",IF(I6315="SBJ","CB","?"))</f>
        <v> </v>
      </c>
      <c r="I6315" s="26" t="str">
        <f>IF(OR(E6315="",E6315="!!!",F6315="NEW"),"",INDEX(B6314:B$2,-1+SUMPRODUCT(MAX(ROW(E6314:E$2)*(E6315=E6314:E$2)))))</f>
        <v> </v>
      </c>
      <c r="J6315" s="26" t="str">
        <f>IF(OR(E6315="",E6315="!!!",F6315="NEW"),"",COUNTBLANK(OFFSET(A$1,,,SUMPRODUCT(MAX(ROW(E$2:E6315)*(E6315=E$2:E6315)))))-COUNTBLANK(OFFSET(A$1,,,SUMPRODUCT(MAX(ROW(E$1:E6314)*(E2=E$1:E6314))))))</f>
        <v> </v>
      </c>
      <c r="K6315" s="26" t="str">
        <f>IF(OR(E6315="",E6315="!!!",F6315="NEW"),"",INDEX(J$1:J6314,SUMPRODUCT(MAX(ROW(E$1:E6314)*(E6315=E$1:E6314)))))</f>
        <v> </v>
      </c>
      <c r="L6315" s="27"/>
    </row>
    <row r="6316" spans="1:12">
      <c r="A6316" s="20" t="s">
        <v>1194</v>
      </c>
      <c r="B6316" s="21" t="s">
        <v>1142</v>
      </c>
      <c r="C6316" s="21" t="s">
        <v>1133</v>
      </c>
      <c r="D6316" s="21" t="s">
        <v>997</v>
      </c>
      <c r="E6316" s="22">
        <f>IF(D6316="?OLD","!!!","")</f>
        <v/>
      </c>
      <c r="F6316" s="23" t="str">
        <f>IF(OR(E6316="",E6316="!!!"),"",IF(NOT(ISNA(VLOOKUP(E6316,E$1:E6315,1,FALSE()))),"OLD",IF(AND(E6316&lt;&gt;"",E6316&lt;&gt;"!!!"),"NEW","")))</f>
        <v> </v>
      </c>
      <c r="G6316" s="24" t="str">
        <f>IF(OR(E6316="",E6316="!!!"),"",IF(OR(J6316=0,AND(J6316=1,K6316=1),AND(J6316=1,I6316="SBJ"),AND(J6316=1,I6316=0)),"?IN_FOCUS",IF(J6316&lt;=2,"?ACTIVATED",IF(J6316&lt;&gt;"","?FAMILIAR",IF(F6316="NEW",IF(ISNA(VLOOKUP(E6316,#REF!,1,FALSE())),"?TYPE_IDENTIFIABLE","?REFERENTIAL"),"_")))))</f>
        <v> </v>
      </c>
      <c r="H6316" s="25" t="str">
        <f>IF(J6316&lt;&gt;1,"",IF(I6316="SBJ","CB","?"))</f>
        <v> </v>
      </c>
      <c r="I6316" s="26" t="str">
        <f>IF(OR(E6316="",E6316="!!!",F6316="NEW"),"",INDEX(B6315:B$2,-1+SUMPRODUCT(MAX(ROW(E6315:E$2)*(E6316=E6315:E$2)))))</f>
        <v> </v>
      </c>
      <c r="J6316" s="26" t="str">
        <f>IF(OR(E6316="",E6316="!!!",F6316="NEW"),"",COUNTBLANK(OFFSET(A$1,,,SUMPRODUCT(MAX(ROW(E$2:E6316)*(E6316=E$2:E6316)))))-COUNTBLANK(OFFSET(A$1,,,SUMPRODUCT(MAX(ROW(E$1:E6315)*(E2=E$1:E6315))))))</f>
        <v> </v>
      </c>
      <c r="K6316" s="26" t="str">
        <f>IF(OR(E6316="",E6316="!!!",F6316="NEW"),"",INDEX(J$1:J6315,SUMPRODUCT(MAX(ROW(E$1:E6315)*(E6316=E$1:E6315)))))</f>
        <v> </v>
      </c>
      <c r="L6316" s="27"/>
    </row>
    <row r="6317" spans="1:12">
      <c r="A6317" s="20" t="s">
        <v>1393</v>
      </c>
      <c r="E6317" s="22">
        <f>IF(D6317="?OLD","!!!","")</f>
        <v/>
      </c>
      <c r="F6317" s="23" t="str">
        <f>IF(OR(E6317="",E6317="!!!"),"",IF(NOT(ISNA(VLOOKUP(E6317,E$1:E6316,1,FALSE()))),"OLD",IF(AND(E6317&lt;&gt;"",E6317&lt;&gt;"!!!"),"NEW","")))</f>
        <v> </v>
      </c>
      <c r="G6317" s="24" t="str">
        <f>IF(OR(E6317="",E6317="!!!"),"",IF(OR(J6317=0,AND(J6317=1,K6317=1),AND(J6317=1,I6317="SBJ"),AND(J6317=1,I6317=0)),"?IN_FOCUS",IF(J6317&lt;=2,"?ACTIVATED",IF(J6317&lt;&gt;"","?FAMILIAR",IF(F6317="NEW",IF(ISNA(VLOOKUP(E6317,#REF!,1,FALSE())),"?TYPE_IDENTIFIABLE","?REFERENTIAL"),"_")))))</f>
        <v> </v>
      </c>
      <c r="H6317" s="25" t="str">
        <f>IF(J6317&lt;&gt;1,"",IF(I6317="SBJ","CB","?"))</f>
        <v> </v>
      </c>
      <c r="I6317" s="26" t="str">
        <f>IF(OR(E6317="",E6317="!!!",F6317="NEW"),"",INDEX(B6316:B$2,-1+SUMPRODUCT(MAX(ROW(E6316:E$2)*(E6317=E6316:E$2)))))</f>
        <v> </v>
      </c>
      <c r="J6317" s="26" t="str">
        <f>IF(OR(E6317="",E6317="!!!",F6317="NEW"),"",COUNTBLANK(OFFSET(A$1,,,SUMPRODUCT(MAX(ROW(E$2:E6317)*(E6317=E$2:E6317)))))-COUNTBLANK(OFFSET(A$1,,,SUMPRODUCT(MAX(ROW(E$1:E6316)*(E2=E$1:E6316))))))</f>
        <v> </v>
      </c>
      <c r="K6317" s="26" t="str">
        <f>IF(OR(E6317="",E6317="!!!",F6317="NEW"),"",INDEX(J$1:J6316,SUMPRODUCT(MAX(ROW(E$1:E6316)*(E6317=E$1:E6316)))))</f>
        <v> </v>
      </c>
      <c r="L6317" s="27"/>
    </row>
    <row r="6318" spans="1:12">
      <c r="A6318" s="20" t="s">
        <v>2415</v>
      </c>
      <c r="E6318" s="22">
        <f>IF(D6318="?OLD","!!!","")</f>
        <v/>
      </c>
      <c r="F6318" s="23" t="str">
        <f>IF(OR(E6318="",E6318="!!!"),"",IF(NOT(ISNA(VLOOKUP(E6318,E$1:E6317,1,FALSE()))),"OLD",IF(AND(E6318&lt;&gt;"",E6318&lt;&gt;"!!!"),"NEW","")))</f>
        <v> </v>
      </c>
      <c r="G6318" s="24" t="str">
        <f>IF(OR(E6318="",E6318="!!!"),"",IF(OR(J6318=0,AND(J6318=1,K6318=1),AND(J6318=1,I6318="SBJ"),AND(J6318=1,I6318=0)),"?IN_FOCUS",IF(J6318&lt;=2,"?ACTIVATED",IF(J6318&lt;&gt;"","?FAMILIAR",IF(F6318="NEW",IF(ISNA(VLOOKUP(E6318,#REF!,1,FALSE())),"?TYPE_IDENTIFIABLE","?REFERENTIAL"),"_")))))</f>
        <v> </v>
      </c>
      <c r="H6318" s="25" t="str">
        <f>IF(J6318&lt;&gt;1,"",IF(I6318="SBJ","CB","?"))</f>
        <v> </v>
      </c>
      <c r="I6318" s="26" t="str">
        <f>IF(OR(E6318="",E6318="!!!",F6318="NEW"),"",INDEX(B6317:B$2,-1+SUMPRODUCT(MAX(ROW(E6317:E$2)*(E6318=E6317:E$2)))))</f>
        <v> </v>
      </c>
      <c r="J6318" s="26" t="str">
        <f>IF(OR(E6318="",E6318="!!!",F6318="NEW"),"",COUNTBLANK(OFFSET(A$1,,,SUMPRODUCT(MAX(ROW(E$2:E6318)*(E6318=E$2:E6318)))))-COUNTBLANK(OFFSET(A$1,,,SUMPRODUCT(MAX(ROW(E$1:E6317)*(E2=E$1:E6317))))))</f>
        <v> </v>
      </c>
      <c r="K6318" s="26" t="str">
        <f>IF(OR(E6318="",E6318="!!!",F6318="NEW"),"",INDEX(J$1:J6317,SUMPRODUCT(MAX(ROW(E$1:E6317)*(E6318=E$1:E6317)))))</f>
        <v> </v>
      </c>
      <c r="L6318" s="27"/>
    </row>
    <row r="6319" spans="1:12">
      <c r="A6319" s="20" t="s">
        <v>1054</v>
      </c>
      <c r="B6319" s="21" t="s">
        <v>1039</v>
      </c>
      <c r="E6319" s="22">
        <f>IF(D6319="?OLD","!!!","")</f>
        <v/>
      </c>
      <c r="F6319" s="23" t="str">
        <f>IF(OR(E6319="",E6319="!!!"),"",IF(NOT(ISNA(VLOOKUP(E6319,E$1:E6318,1,FALSE()))),"OLD",IF(AND(E6319&lt;&gt;"",E6319&lt;&gt;"!!!"),"NEW","")))</f>
        <v> </v>
      </c>
      <c r="G6319" s="24" t="str">
        <f>IF(OR(E6319="",E6319="!!!"),"",IF(OR(J6319=0,AND(J6319=1,K6319=1),AND(J6319=1,I6319="SBJ"),AND(J6319=1,I6319=0)),"?IN_FOCUS",IF(J6319&lt;=2,"?ACTIVATED",IF(J6319&lt;&gt;"","?FAMILIAR",IF(F6319="NEW",IF(ISNA(VLOOKUP(E6319,#REF!,1,FALSE())),"?TYPE_IDENTIFIABLE","?REFERENTIAL"),"_")))))</f>
        <v> </v>
      </c>
      <c r="H6319" s="25" t="str">
        <f>IF(J6319&lt;&gt;1,"",IF(I6319="SBJ","CB","?"))</f>
        <v> </v>
      </c>
      <c r="I6319" s="26" t="str">
        <f>IF(OR(E6319="",E6319="!!!",F6319="NEW"),"",INDEX(B6318:B$2,-1+SUMPRODUCT(MAX(ROW(E6318:E$2)*(E6319=E6318:E$2)))))</f>
        <v> </v>
      </c>
      <c r="J6319" s="26" t="str">
        <f>IF(OR(E6319="",E6319="!!!",F6319="NEW"),"",COUNTBLANK(OFFSET(A$1,,,SUMPRODUCT(MAX(ROW(E$2:E6319)*(E6319=E$2:E6319)))))-COUNTBLANK(OFFSET(A$1,,,SUMPRODUCT(MAX(ROW(E$1:E6318)*(E2=E$1:E6318))))))</f>
        <v> </v>
      </c>
      <c r="K6319" s="26" t="str">
        <f>IF(OR(E6319="",E6319="!!!",F6319="NEW"),"",INDEX(J$1:J6318,SUMPRODUCT(MAX(ROW(E$1:E6318)*(E6319=E$1:E6318)))))</f>
        <v> </v>
      </c>
      <c r="L6319" s="27"/>
    </row>
    <row r="6320" spans="1:12">
      <c r="A6320" s="20" t="s">
        <v>1008</v>
      </c>
      <c r="E6320" s="22">
        <f>IF(D6320="?OLD","!!!","")</f>
        <v/>
      </c>
      <c r="F6320" s="23" t="str">
        <f>IF(OR(E6320="",E6320="!!!"),"",IF(NOT(ISNA(VLOOKUP(E6320,E$1:E6319,1,FALSE()))),"OLD",IF(AND(E6320&lt;&gt;"",E6320&lt;&gt;"!!!"),"NEW","")))</f>
        <v> </v>
      </c>
      <c r="G6320" s="24" t="str">
        <f>IF(OR(E6320="",E6320="!!!"),"",IF(OR(J6320=0,AND(J6320=1,K6320=1),AND(J6320=1,I6320="SBJ"),AND(J6320=1,I6320=0)),"?IN_FOCUS",IF(J6320&lt;=2,"?ACTIVATED",IF(J6320&lt;&gt;"","?FAMILIAR",IF(F6320="NEW",IF(ISNA(VLOOKUP(E6320,#REF!,1,FALSE())),"?TYPE_IDENTIFIABLE","?REFERENTIAL"),"_")))))</f>
        <v> </v>
      </c>
      <c r="H6320" s="25" t="str">
        <f>IF(J6320&lt;&gt;1,"",IF(I6320="SBJ","CB","?"))</f>
        <v> </v>
      </c>
      <c r="I6320" s="26" t="str">
        <f>IF(OR(E6320="",E6320="!!!",F6320="NEW"),"",INDEX(B6319:B$2,-1+SUMPRODUCT(MAX(ROW(E6319:E$2)*(E6320=E6319:E$2)))))</f>
        <v> </v>
      </c>
      <c r="J6320" s="26" t="str">
        <f>IF(OR(E6320="",E6320="!!!",F6320="NEW"),"",COUNTBLANK(OFFSET(A$1,,,SUMPRODUCT(MAX(ROW(E$2:E6320)*(E6320=E$2:E6320)))))-COUNTBLANK(OFFSET(A$1,,,SUMPRODUCT(MAX(ROW(E$1:E6319)*(E2=E$1:E6319))))))</f>
        <v> </v>
      </c>
      <c r="K6320" s="26" t="str">
        <f>IF(OR(E6320="",E6320="!!!",F6320="NEW"),"",INDEX(J$1:J6319,SUMPRODUCT(MAX(ROW(E$1:E6319)*(E6320=E$1:E6319)))))</f>
        <v> </v>
      </c>
      <c r="L6320" s="27"/>
    </row>
    <row r="6321" spans="1:12">
      <c r="A6321" s="20" t="s">
        <v>1042</v>
      </c>
      <c r="E6321" s="22">
        <f>IF(D6321="?OLD","!!!","")</f>
        <v/>
      </c>
      <c r="F6321" s="23" t="str">
        <f>IF(OR(E6321="",E6321="!!!"),"",IF(NOT(ISNA(VLOOKUP(E6321,E$1:E6320,1,FALSE()))),"OLD",IF(AND(E6321&lt;&gt;"",E6321&lt;&gt;"!!!"),"NEW","")))</f>
        <v> </v>
      </c>
      <c r="G6321" s="24" t="str">
        <f>IF(OR(E6321="",E6321="!!!"),"",IF(OR(J6321=0,AND(J6321=1,K6321=1),AND(J6321=1,I6321="SBJ"),AND(J6321=1,I6321=0)),"?IN_FOCUS",IF(J6321&lt;=2,"?ACTIVATED",IF(J6321&lt;&gt;"","?FAMILIAR",IF(F6321="NEW",IF(ISNA(VLOOKUP(E6321,#REF!,1,FALSE())),"?TYPE_IDENTIFIABLE","?REFERENTIAL"),"_")))))</f>
        <v> </v>
      </c>
      <c r="H6321" s="25" t="str">
        <f>IF(J6321&lt;&gt;1,"",IF(I6321="SBJ","CB","?"))</f>
        <v> </v>
      </c>
      <c r="I6321" s="26" t="str">
        <f>IF(OR(E6321="",E6321="!!!",F6321="NEW"),"",INDEX(B6320:B$2,-1+SUMPRODUCT(MAX(ROW(E6320:E$2)*(E6321=E6320:E$2)))))</f>
        <v> </v>
      </c>
      <c r="J6321" s="26" t="str">
        <f>IF(OR(E6321="",E6321="!!!",F6321="NEW"),"",COUNTBLANK(OFFSET(A$1,,,SUMPRODUCT(MAX(ROW(E$2:E6321)*(E6321=E$2:E6321)))))-COUNTBLANK(OFFSET(A$1,,,SUMPRODUCT(MAX(ROW(E$1:E6320)*(E2=E$1:E6320))))))</f>
        <v> </v>
      </c>
      <c r="K6321" s="26" t="str">
        <f>IF(OR(E6321="",E6321="!!!",F6321="NEW"),"",INDEX(J$1:J6320,SUMPRODUCT(MAX(ROW(E$1:E6320)*(E6321=E$1:E6320)))))</f>
        <v> </v>
      </c>
      <c r="L6321" s="27"/>
    </row>
    <row r="6322" spans="1:12">
      <c r="A6322" s="20" t="s">
        <v>1042</v>
      </c>
      <c r="B6322" s="21" t="s">
        <v>1024</v>
      </c>
      <c r="C6322" s="21" t="s">
        <v>1089</v>
      </c>
      <c r="E6322" s="22">
        <f>IF(D6322="?OLD","!!!","")</f>
        <v/>
      </c>
      <c r="F6322" s="23" t="str">
        <f>IF(OR(E6322="",E6322="!!!"),"",IF(NOT(ISNA(VLOOKUP(E6322,E$1:E6321,1,FALSE()))),"OLD",IF(AND(E6322&lt;&gt;"",E6322&lt;&gt;"!!!"),"NEW","")))</f>
        <v> </v>
      </c>
      <c r="G6322" s="24" t="str">
        <f>IF(OR(E6322="",E6322="!!!"),"",IF(OR(J6322=0,AND(J6322=1,K6322=1),AND(J6322=1,I6322="SBJ"),AND(J6322=1,I6322=0)),"?IN_FOCUS",IF(J6322&lt;=2,"?ACTIVATED",IF(J6322&lt;&gt;"","?FAMILIAR",IF(F6322="NEW",IF(ISNA(VLOOKUP(E6322,#REF!,1,FALSE())),"?TYPE_IDENTIFIABLE","?REFERENTIAL"),"_")))))</f>
        <v> </v>
      </c>
      <c r="H6322" s="25" t="str">
        <f>IF(J6322&lt;&gt;1,"",IF(I6322="SBJ","CB","?"))</f>
        <v> </v>
      </c>
      <c r="I6322" s="26" t="str">
        <f>IF(OR(E6322="",E6322="!!!",F6322="NEW"),"",INDEX(B6321:B$2,-1+SUMPRODUCT(MAX(ROW(E6321:E$2)*(E6322=E6321:E$2)))))</f>
        <v> </v>
      </c>
      <c r="J6322" s="26" t="str">
        <f>IF(OR(E6322="",E6322="!!!",F6322="NEW"),"",COUNTBLANK(OFFSET(A$1,,,SUMPRODUCT(MAX(ROW(E$2:E6322)*(E6322=E$2:E6322)))))-COUNTBLANK(OFFSET(A$1,,,SUMPRODUCT(MAX(ROW(E$1:E6321)*(E2=E$1:E6321))))))</f>
        <v> </v>
      </c>
      <c r="K6322" s="26" t="str">
        <f>IF(OR(E6322="",E6322="!!!",F6322="NEW"),"",INDEX(J$1:J6321,SUMPRODUCT(MAX(ROW(E$1:E6321)*(E6322=E$1:E6321)))))</f>
        <v> </v>
      </c>
      <c r="L6322" s="27"/>
    </row>
    <row r="6323" spans="1:12">
      <c r="A6323" s="20" t="s">
        <v>1080</v>
      </c>
      <c r="B6323" s="21" t="s">
        <v>1094</v>
      </c>
      <c r="E6323" s="22">
        <f>IF(D6323="?OLD","!!!","")</f>
        <v/>
      </c>
      <c r="F6323" s="23" t="str">
        <f>IF(OR(E6323="",E6323="!!!"),"",IF(NOT(ISNA(VLOOKUP(E6323,E$1:E6322,1,FALSE()))),"OLD",IF(AND(E6323&lt;&gt;"",E6323&lt;&gt;"!!!"),"NEW","")))</f>
        <v> </v>
      </c>
      <c r="G6323" s="24" t="str">
        <f>IF(OR(E6323="",E6323="!!!"),"",IF(OR(J6323=0,AND(J6323=1,K6323=1),AND(J6323=1,I6323="SBJ"),AND(J6323=1,I6323=0)),"?IN_FOCUS",IF(J6323&lt;=2,"?ACTIVATED",IF(J6323&lt;&gt;"","?FAMILIAR",IF(F6323="NEW",IF(ISNA(VLOOKUP(E6323,#REF!,1,FALSE())),"?TYPE_IDENTIFIABLE","?REFERENTIAL"),"_")))))</f>
        <v> </v>
      </c>
      <c r="H6323" s="25" t="str">
        <f>IF(J6323&lt;&gt;1,"",IF(I6323="SBJ","CB","?"))</f>
        <v> </v>
      </c>
      <c r="I6323" s="26" t="str">
        <f>IF(OR(E6323="",E6323="!!!",F6323="NEW"),"",INDEX(B6322:B$2,-1+SUMPRODUCT(MAX(ROW(E6322:E$2)*(E6323=E6322:E$2)))))</f>
        <v> </v>
      </c>
      <c r="J6323" s="26" t="str">
        <f>IF(OR(E6323="",E6323="!!!",F6323="NEW"),"",COUNTBLANK(OFFSET(A$1,,,SUMPRODUCT(MAX(ROW(E$2:E6323)*(E6323=E$2:E6323)))))-COUNTBLANK(OFFSET(A$1,,,SUMPRODUCT(MAX(ROW(E$1:E6322)*(E2=E$1:E6322))))))</f>
        <v> </v>
      </c>
      <c r="K6323" s="26" t="str">
        <f>IF(OR(E6323="",E6323="!!!",F6323="NEW"),"",INDEX(J$1:J6322,SUMPRODUCT(MAX(ROW(E$1:E6322)*(E6323=E$1:E6322)))))</f>
        <v> </v>
      </c>
      <c r="L6323" s="27"/>
    </row>
    <row r="6324" spans="1:12">
      <c r="A6324" s="20" t="s">
        <v>1638</v>
      </c>
      <c r="E6324" s="22">
        <f>IF(D6324="?OLD","!!!","")</f>
        <v/>
      </c>
      <c r="F6324" s="23" t="str">
        <f>IF(OR(E6324="",E6324="!!!"),"",IF(NOT(ISNA(VLOOKUP(E6324,E$1:E6323,1,FALSE()))),"OLD",IF(AND(E6324&lt;&gt;"",E6324&lt;&gt;"!!!"),"NEW","")))</f>
        <v> </v>
      </c>
      <c r="G6324" s="24" t="str">
        <f>IF(OR(E6324="",E6324="!!!"),"",IF(OR(J6324=0,AND(J6324=1,K6324=1),AND(J6324=1,I6324="SBJ"),AND(J6324=1,I6324=0)),"?IN_FOCUS",IF(J6324&lt;=2,"?ACTIVATED",IF(J6324&lt;&gt;"","?FAMILIAR",IF(F6324="NEW",IF(ISNA(VLOOKUP(E6324,#REF!,1,FALSE())),"?TYPE_IDENTIFIABLE","?REFERENTIAL"),"_")))))</f>
        <v> </v>
      </c>
      <c r="H6324" s="25" t="str">
        <f>IF(J6324&lt;&gt;1,"",IF(I6324="SBJ","CB","?"))</f>
        <v> </v>
      </c>
      <c r="I6324" s="26" t="str">
        <f>IF(OR(E6324="",E6324="!!!",F6324="NEW"),"",INDEX(B6323:B$2,-1+SUMPRODUCT(MAX(ROW(E6323:E$2)*(E6324=E6323:E$2)))))</f>
        <v> </v>
      </c>
      <c r="J6324" s="26" t="str">
        <f>IF(OR(E6324="",E6324="!!!",F6324="NEW"),"",COUNTBLANK(OFFSET(A$1,,,SUMPRODUCT(MAX(ROW(E$2:E6324)*(E6324=E$2:E6324)))))-COUNTBLANK(OFFSET(A$1,,,SUMPRODUCT(MAX(ROW(E$1:E6323)*(E2=E$1:E6323))))))</f>
        <v> </v>
      </c>
      <c r="K6324" s="26" t="str">
        <f>IF(OR(E6324="",E6324="!!!",F6324="NEW"),"",INDEX(J$1:J6323,SUMPRODUCT(MAX(ROW(E$1:E6323)*(E6324=E$1:E6323)))))</f>
        <v> </v>
      </c>
      <c r="L6324" s="27"/>
    </row>
    <row r="6325" spans="1:12">
      <c r="A6325" s="20" t="s">
        <v>1041</v>
      </c>
      <c r="E6325" s="22">
        <f>IF(D6325="?OLD","!!!","")</f>
        <v/>
      </c>
      <c r="F6325" s="23" t="str">
        <f>IF(OR(E6325="",E6325="!!!"),"",IF(NOT(ISNA(VLOOKUP(E6325,E$1:E6324,1,FALSE()))),"OLD",IF(AND(E6325&lt;&gt;"",E6325&lt;&gt;"!!!"),"NEW","")))</f>
        <v> </v>
      </c>
      <c r="G6325" s="24" t="str">
        <f>IF(OR(E6325="",E6325="!!!"),"",IF(OR(J6325=0,AND(J6325=1,K6325=1),AND(J6325=1,I6325="SBJ"),AND(J6325=1,I6325=0)),"?IN_FOCUS",IF(J6325&lt;=2,"?ACTIVATED",IF(J6325&lt;&gt;"","?FAMILIAR",IF(F6325="NEW",IF(ISNA(VLOOKUP(E6325,#REF!,1,FALSE())),"?TYPE_IDENTIFIABLE","?REFERENTIAL"),"_")))))</f>
        <v> </v>
      </c>
      <c r="H6325" s="25" t="str">
        <f>IF(J6325&lt;&gt;1,"",IF(I6325="SBJ","CB","?"))</f>
        <v> </v>
      </c>
      <c r="I6325" s="26" t="str">
        <f>IF(OR(E6325="",E6325="!!!",F6325="NEW"),"",INDEX(B6324:B$2,-1+SUMPRODUCT(MAX(ROW(E6324:E$2)*(E6325=E6324:E$2)))))</f>
        <v> </v>
      </c>
      <c r="J6325" s="26" t="str">
        <f>IF(OR(E6325="",E6325="!!!",F6325="NEW"),"",COUNTBLANK(OFFSET(A$1,,,SUMPRODUCT(MAX(ROW(E$2:E6325)*(E6325=E$2:E6325)))))-COUNTBLANK(OFFSET(A$1,,,SUMPRODUCT(MAX(ROW(E$1:E6324)*(E2=E$1:E6324))))))</f>
        <v> </v>
      </c>
      <c r="K6325" s="26" t="str">
        <f>IF(OR(E6325="",E6325="!!!",F6325="NEW"),"",INDEX(J$1:J6324,SUMPRODUCT(MAX(ROW(E$1:E6324)*(E6325=E$1:E6324)))))</f>
        <v> </v>
      </c>
      <c r="L6325" s="27"/>
    </row>
    <row r="6326" spans="1:12">
      <c r="A6326" s="20" t="s">
        <v>2574</v>
      </c>
      <c r="E6326" s="22">
        <f>IF(D6326="?OLD","!!!","")</f>
        <v/>
      </c>
      <c r="F6326" s="23" t="str">
        <f>IF(OR(E6326="",E6326="!!!"),"",IF(NOT(ISNA(VLOOKUP(E6326,E$1:E6325,1,FALSE()))),"OLD",IF(AND(E6326&lt;&gt;"",E6326&lt;&gt;"!!!"),"NEW","")))</f>
        <v> </v>
      </c>
      <c r="G6326" s="24" t="str">
        <f>IF(OR(E6326="",E6326="!!!"),"",IF(OR(J6326=0,AND(J6326=1,K6326=1),AND(J6326=1,I6326="SBJ"),AND(J6326=1,I6326=0)),"?IN_FOCUS",IF(J6326&lt;=2,"?ACTIVATED",IF(J6326&lt;&gt;"","?FAMILIAR",IF(F6326="NEW",IF(ISNA(VLOOKUP(E6326,#REF!,1,FALSE())),"?TYPE_IDENTIFIABLE","?REFERENTIAL"),"_")))))</f>
        <v> </v>
      </c>
      <c r="H6326" s="25" t="str">
        <f>IF(J6326&lt;&gt;1,"",IF(I6326="SBJ","CB","?"))</f>
        <v> </v>
      </c>
      <c r="I6326" s="26" t="str">
        <f>IF(OR(E6326="",E6326="!!!",F6326="NEW"),"",INDEX(B6325:B$2,-1+SUMPRODUCT(MAX(ROW(E6325:E$2)*(E6326=E6325:E$2)))))</f>
        <v> </v>
      </c>
      <c r="J6326" s="26" t="str">
        <f>IF(OR(E6326="",E6326="!!!",F6326="NEW"),"",COUNTBLANK(OFFSET(A$1,,,SUMPRODUCT(MAX(ROW(E$2:E6326)*(E6326=E$2:E6326)))))-COUNTBLANK(OFFSET(A$1,,,SUMPRODUCT(MAX(ROW(E$1:E6325)*(E2=E$1:E6325))))))</f>
        <v> </v>
      </c>
      <c r="K6326" s="26" t="str">
        <f>IF(OR(E6326="",E6326="!!!",F6326="NEW"),"",INDEX(J$1:J6325,SUMPRODUCT(MAX(ROW(E$1:E6325)*(E6326=E$1:E6325)))))</f>
        <v> </v>
      </c>
      <c r="L6326" s="27"/>
    </row>
    <row r="6327" spans="1:12">
      <c r="A6327" s="20" t="s">
        <v>1041</v>
      </c>
      <c r="E6327" s="22">
        <f>IF(D6327="?OLD","!!!","")</f>
        <v/>
      </c>
      <c r="F6327" s="23" t="str">
        <f>IF(OR(E6327="",E6327="!!!"),"",IF(NOT(ISNA(VLOOKUP(E6327,E$1:E6326,1,FALSE()))),"OLD",IF(AND(E6327&lt;&gt;"",E6327&lt;&gt;"!!!"),"NEW","")))</f>
        <v> </v>
      </c>
      <c r="G6327" s="24" t="str">
        <f>IF(OR(E6327="",E6327="!!!"),"",IF(OR(J6327=0,AND(J6327=1,K6327=1),AND(J6327=1,I6327="SBJ"),AND(J6327=1,I6327=0)),"?IN_FOCUS",IF(J6327&lt;=2,"?ACTIVATED",IF(J6327&lt;&gt;"","?FAMILIAR",IF(F6327="NEW",IF(ISNA(VLOOKUP(E6327,#REF!,1,FALSE())),"?TYPE_IDENTIFIABLE","?REFERENTIAL"),"_")))))</f>
        <v> </v>
      </c>
      <c r="H6327" s="25" t="str">
        <f>IF(J6327&lt;&gt;1,"",IF(I6327="SBJ","CB","?"))</f>
        <v> </v>
      </c>
      <c r="I6327" s="26" t="str">
        <f>IF(OR(E6327="",E6327="!!!",F6327="NEW"),"",INDEX(B6326:B$2,-1+SUMPRODUCT(MAX(ROW(E6326:E$2)*(E6327=E6326:E$2)))))</f>
        <v> </v>
      </c>
      <c r="J6327" s="26" t="str">
        <f>IF(OR(E6327="",E6327="!!!",F6327="NEW"),"",COUNTBLANK(OFFSET(A$1,,,SUMPRODUCT(MAX(ROW(E$2:E6327)*(E6327=E$2:E6327)))))-COUNTBLANK(OFFSET(A$1,,,SUMPRODUCT(MAX(ROW(E$1:E6326)*(E2=E$1:E6326))))))</f>
        <v> </v>
      </c>
      <c r="K6327" s="26" t="str">
        <f>IF(OR(E6327="",E6327="!!!",F6327="NEW"),"",INDEX(J$1:J6326,SUMPRODUCT(MAX(ROW(E$1:E6326)*(E6327=E$1:E6326)))))</f>
        <v> </v>
      </c>
      <c r="L6327" s="27"/>
    </row>
    <row r="6328" spans="1:12">
      <c r="A6328" s="20" t="s">
        <v>2575</v>
      </c>
      <c r="E6328" s="22">
        <f>IF(D6328="?OLD","!!!","")</f>
        <v/>
      </c>
      <c r="F6328" s="23" t="str">
        <f>IF(OR(E6328="",E6328="!!!"),"",IF(NOT(ISNA(VLOOKUP(E6328,E$1:E6327,1,FALSE()))),"OLD",IF(AND(E6328&lt;&gt;"",E6328&lt;&gt;"!!!"),"NEW","")))</f>
        <v> </v>
      </c>
      <c r="G6328" s="24" t="str">
        <f>IF(OR(E6328="",E6328="!!!"),"",IF(OR(J6328=0,AND(J6328=1,K6328=1),AND(J6328=1,I6328="SBJ"),AND(J6328=1,I6328=0)),"?IN_FOCUS",IF(J6328&lt;=2,"?ACTIVATED",IF(J6328&lt;&gt;"","?FAMILIAR",IF(F6328="NEW",IF(ISNA(VLOOKUP(E6328,#REF!,1,FALSE())),"?TYPE_IDENTIFIABLE","?REFERENTIAL"),"_")))))</f>
        <v> </v>
      </c>
      <c r="H6328" s="25" t="str">
        <f>IF(J6328&lt;&gt;1,"",IF(I6328="SBJ","CB","?"))</f>
        <v> </v>
      </c>
      <c r="I6328" s="26" t="str">
        <f>IF(OR(E6328="",E6328="!!!",F6328="NEW"),"",INDEX(B6327:B$2,-1+SUMPRODUCT(MAX(ROW(E6327:E$2)*(E6328=E6327:E$2)))))</f>
        <v> </v>
      </c>
      <c r="J6328" s="26" t="str">
        <f>IF(OR(E6328="",E6328="!!!",F6328="NEW"),"",COUNTBLANK(OFFSET(A$1,,,SUMPRODUCT(MAX(ROW(E$2:E6328)*(E6328=E$2:E6328)))))-COUNTBLANK(OFFSET(A$1,,,SUMPRODUCT(MAX(ROW(E$1:E6327)*(E2=E$1:E6327))))))</f>
        <v> </v>
      </c>
      <c r="K6328" s="26" t="str">
        <f>IF(OR(E6328="",E6328="!!!",F6328="NEW"),"",INDEX(J$1:J6327,SUMPRODUCT(MAX(ROW(E$1:E6327)*(E6328=E$1:E6327)))))</f>
        <v> </v>
      </c>
      <c r="L6328" s="27"/>
    </row>
    <row r="6329" spans="1:12">
      <c r="A6329" s="20" t="s">
        <v>1250</v>
      </c>
      <c r="E6329" s="22">
        <f>IF(D6329="?OLD","!!!","")</f>
        <v/>
      </c>
      <c r="F6329" s="23" t="str">
        <f>IF(OR(E6329="",E6329="!!!"),"",IF(NOT(ISNA(VLOOKUP(E6329,E$1:E6328,1,FALSE()))),"OLD",IF(AND(E6329&lt;&gt;"",E6329&lt;&gt;"!!!"),"NEW","")))</f>
        <v> </v>
      </c>
      <c r="G6329" s="24" t="str">
        <f>IF(OR(E6329="",E6329="!!!"),"",IF(OR(J6329=0,AND(J6329=1,K6329=1),AND(J6329=1,I6329="SBJ"),AND(J6329=1,I6329=0)),"?IN_FOCUS",IF(J6329&lt;=2,"?ACTIVATED",IF(J6329&lt;&gt;"","?FAMILIAR",IF(F6329="NEW",IF(ISNA(VLOOKUP(E6329,#REF!,1,FALSE())),"?TYPE_IDENTIFIABLE","?REFERENTIAL"),"_")))))</f>
        <v> </v>
      </c>
      <c r="H6329" s="25" t="str">
        <f>IF(J6329&lt;&gt;1,"",IF(I6329="SBJ","CB","?"))</f>
        <v> </v>
      </c>
      <c r="I6329" s="26" t="str">
        <f>IF(OR(E6329="",E6329="!!!",F6329="NEW"),"",INDEX(B6328:B$2,-1+SUMPRODUCT(MAX(ROW(E6328:E$2)*(E6329=E6328:E$2)))))</f>
        <v> </v>
      </c>
      <c r="J6329" s="26" t="str">
        <f>IF(OR(E6329="",E6329="!!!",F6329="NEW"),"",COUNTBLANK(OFFSET(A$1,,,SUMPRODUCT(MAX(ROW(E$2:E6329)*(E6329=E$2:E6329)))))-COUNTBLANK(OFFSET(A$1,,,SUMPRODUCT(MAX(ROW(E$1:E6328)*(E2=E$1:E6328))))))</f>
        <v> </v>
      </c>
      <c r="K6329" s="26" t="str">
        <f>IF(OR(E6329="",E6329="!!!",F6329="NEW"),"",INDEX(J$1:J6328,SUMPRODUCT(MAX(ROW(E$1:E6328)*(E6329=E$1:E6328)))))</f>
        <v> </v>
      </c>
      <c r="L6329" s="27"/>
    </row>
    <row r="6330" spans="1:12">
      <c r="A6330" s="20" t="s">
        <v>1325</v>
      </c>
      <c r="E6330" s="22">
        <f>IF(D6330="?OLD","!!!","")</f>
        <v/>
      </c>
      <c r="F6330" s="23" t="str">
        <f>IF(OR(E6330="",E6330="!!!"),"",IF(NOT(ISNA(VLOOKUP(E6330,E$1:E6329,1,FALSE()))),"OLD",IF(AND(E6330&lt;&gt;"",E6330&lt;&gt;"!!!"),"NEW","")))</f>
        <v> </v>
      </c>
      <c r="G6330" s="24" t="str">
        <f>IF(OR(E6330="",E6330="!!!"),"",IF(OR(J6330=0,AND(J6330=1,K6330=1),AND(J6330=1,I6330="SBJ"),AND(J6330=1,I6330=0)),"?IN_FOCUS",IF(J6330&lt;=2,"?ACTIVATED",IF(J6330&lt;&gt;"","?FAMILIAR",IF(F6330="NEW",IF(ISNA(VLOOKUP(E6330,#REF!,1,FALSE())),"?TYPE_IDENTIFIABLE","?REFERENTIAL"),"_")))))</f>
        <v> </v>
      </c>
      <c r="H6330" s="25" t="str">
        <f>IF(J6330&lt;&gt;1,"",IF(I6330="SBJ","CB","?"))</f>
        <v> </v>
      </c>
      <c r="I6330" s="26" t="str">
        <f>IF(OR(E6330="",E6330="!!!",F6330="NEW"),"",INDEX(B6329:B$2,-1+SUMPRODUCT(MAX(ROW(E6329:E$2)*(E6330=E6329:E$2)))))</f>
        <v> </v>
      </c>
      <c r="J6330" s="26" t="str">
        <f>IF(OR(E6330="",E6330="!!!",F6330="NEW"),"",COUNTBLANK(OFFSET(A$1,,,SUMPRODUCT(MAX(ROW(E$2:E6330)*(E6330=E$2:E6330)))))-COUNTBLANK(OFFSET(A$1,,,SUMPRODUCT(MAX(ROW(E$1:E6329)*(E2=E$1:E6329))))))</f>
        <v> </v>
      </c>
      <c r="K6330" s="26" t="str">
        <f>IF(OR(E6330="",E6330="!!!",F6330="NEW"),"",INDEX(J$1:J6329,SUMPRODUCT(MAX(ROW(E$1:E6329)*(E6330=E$1:E6329)))))</f>
        <v> </v>
      </c>
      <c r="L6330" s="27"/>
    </row>
    <row r="6331" spans="1:12">
      <c r="A6331" s="20" t="s">
        <v>2576</v>
      </c>
      <c r="E6331" s="22">
        <f>IF(D6331="?OLD","!!!","")</f>
        <v/>
      </c>
      <c r="F6331" s="23" t="str">
        <f>IF(OR(E6331="",E6331="!!!"),"",IF(NOT(ISNA(VLOOKUP(E6331,E$1:E6330,1,FALSE()))),"OLD",IF(AND(E6331&lt;&gt;"",E6331&lt;&gt;"!!!"),"NEW","")))</f>
        <v> </v>
      </c>
      <c r="G6331" s="24" t="str">
        <f>IF(OR(E6331="",E6331="!!!"),"",IF(OR(J6331=0,AND(J6331=1,K6331=1),AND(J6331=1,I6331="SBJ"),AND(J6331=1,I6331=0)),"?IN_FOCUS",IF(J6331&lt;=2,"?ACTIVATED",IF(J6331&lt;&gt;"","?FAMILIAR",IF(F6331="NEW",IF(ISNA(VLOOKUP(E6331,#REF!,1,FALSE())),"?TYPE_IDENTIFIABLE","?REFERENTIAL"),"_")))))</f>
        <v> </v>
      </c>
      <c r="H6331" s="25" t="str">
        <f>IF(J6331&lt;&gt;1,"",IF(I6331="SBJ","CB","?"))</f>
        <v> </v>
      </c>
      <c r="I6331" s="26" t="str">
        <f>IF(OR(E6331="",E6331="!!!",F6331="NEW"),"",INDEX(B6330:B$2,-1+SUMPRODUCT(MAX(ROW(E6330:E$2)*(E6331=E6330:E$2)))))</f>
        <v> </v>
      </c>
      <c r="J6331" s="26" t="str">
        <f>IF(OR(E6331="",E6331="!!!",F6331="NEW"),"",COUNTBLANK(OFFSET(A$1,,,SUMPRODUCT(MAX(ROW(E$2:E6331)*(E6331=E$2:E6331)))))-COUNTBLANK(OFFSET(A$1,,,SUMPRODUCT(MAX(ROW(E$1:E6330)*(E2=E$1:E6330))))))</f>
        <v> </v>
      </c>
      <c r="K6331" s="26" t="str">
        <f>IF(OR(E6331="",E6331="!!!",F6331="NEW"),"",INDEX(J$1:J6330,SUMPRODUCT(MAX(ROW(E$1:E6330)*(E6331=E$1:E6330)))))</f>
        <v> </v>
      </c>
      <c r="L6331" s="27"/>
    </row>
    <row r="6332" spans="1:12">
      <c r="A6332" s="20" t="s">
        <v>1011</v>
      </c>
      <c r="E6332" s="22">
        <f>IF(D6332="?OLD","!!!","")</f>
        <v/>
      </c>
      <c r="F6332" s="23" t="str">
        <f>IF(OR(E6332="",E6332="!!!"),"",IF(NOT(ISNA(VLOOKUP(E6332,E$1:E6331,1,FALSE()))),"OLD",IF(AND(E6332&lt;&gt;"",E6332&lt;&gt;"!!!"),"NEW","")))</f>
        <v> </v>
      </c>
      <c r="G6332" s="24" t="str">
        <f>IF(OR(E6332="",E6332="!!!"),"",IF(OR(J6332=0,AND(J6332=1,K6332=1),AND(J6332=1,I6332="SBJ"),AND(J6332=1,I6332=0)),"?IN_FOCUS",IF(J6332&lt;=2,"?ACTIVATED",IF(J6332&lt;&gt;"","?FAMILIAR",IF(F6332="NEW",IF(ISNA(VLOOKUP(E6332,#REF!,1,FALSE())),"?TYPE_IDENTIFIABLE","?REFERENTIAL"),"_")))))</f>
        <v> </v>
      </c>
      <c r="H6332" s="25" t="str">
        <f>IF(J6332&lt;&gt;1,"",IF(I6332="SBJ","CB","?"))</f>
        <v> </v>
      </c>
      <c r="I6332" s="26" t="str">
        <f>IF(OR(E6332="",E6332="!!!",F6332="NEW"),"",INDEX(B6331:B$2,-1+SUMPRODUCT(MAX(ROW(E6331:E$2)*(E6332=E6331:E$2)))))</f>
        <v> </v>
      </c>
      <c r="J6332" s="26" t="str">
        <f>IF(OR(E6332="",E6332="!!!",F6332="NEW"),"",COUNTBLANK(OFFSET(A$1,,,SUMPRODUCT(MAX(ROW(E$2:E6332)*(E6332=E$2:E6332)))))-COUNTBLANK(OFFSET(A$1,,,SUMPRODUCT(MAX(ROW(E$1:E6331)*(E2=E$1:E6331))))))</f>
        <v> </v>
      </c>
      <c r="K6332" s="26" t="str">
        <f>IF(OR(E6332="",E6332="!!!",F6332="NEW"),"",INDEX(J$1:J6331,SUMPRODUCT(MAX(ROW(E$1:E6331)*(E6332=E$1:E6331)))))</f>
        <v> </v>
      </c>
      <c r="L6332" s="27"/>
    </row>
    <row r="6333" spans="1:12">
      <c r="A6333" s="20"/>
    </row>
    <row r="6334" spans="1:12">
      <c r="A6334" s="20" t="s">
        <v>1457</v>
      </c>
      <c r="E6334" s="22">
        <f>IF(D6334="?OLD","!!!","")</f>
        <v/>
      </c>
      <c r="F6334" s="23" t="str">
        <f>IF(OR(E6334="",E6334="!!!"),"",IF(NOT(ISNA(VLOOKUP(E6334,E$1:E6333,1,FALSE()))),"OLD",IF(AND(E6334&lt;&gt;"",E6334&lt;&gt;"!!!"),"NEW","")))</f>
        <v> </v>
      </c>
      <c r="G6334" s="24" t="str">
        <f>IF(OR(E6334="",E6334="!!!"),"",IF(OR(J6334=0,AND(J6334=1,K6334=1),AND(J6334=1,I6334="SBJ"),AND(J6334=1,I6334=0)),"?IN_FOCUS",IF(J6334&lt;=2,"?ACTIVATED",IF(J6334&lt;&gt;"","?FAMILIAR",IF(F6334="NEW",IF(ISNA(VLOOKUP(E6334,#REF!,1,FALSE())),"?TYPE_IDENTIFIABLE","?REFERENTIAL"),"_")))))</f>
        <v> </v>
      </c>
      <c r="H6334" s="25" t="str">
        <f>IF(J6334&lt;&gt;1,"",IF(I6334="SBJ","CB","?"))</f>
        <v> </v>
      </c>
      <c r="I6334" s="26" t="str">
        <f>IF(OR(E6334="",E6334="!!!",F6334="NEW"),"",INDEX(B6333:B$2,-1+SUMPRODUCT(MAX(ROW(E6333:E$2)*(E6334=E6333:E$2)))))</f>
        <v> </v>
      </c>
      <c r="J6334" s="26" t="str">
        <f>IF(OR(E6334="",E6334="!!!",F6334="NEW"),"",COUNTBLANK(OFFSET(A$1,,,SUMPRODUCT(MAX(ROW(E$2:E6334)*(E6334=E$2:E6334)))))-COUNTBLANK(OFFSET(A$1,,,SUMPRODUCT(MAX(ROW(E$1:E6333)*(E2=E$1:E6333))))))</f>
        <v> </v>
      </c>
      <c r="K6334" s="26" t="str">
        <f>IF(OR(E6334="",E6334="!!!",F6334="NEW"),"",INDEX(J$1:J6333,SUMPRODUCT(MAX(ROW(E$1:E6333)*(E6334=E$1:E6333)))))</f>
        <v> </v>
      </c>
      <c r="L6334" s="27"/>
    </row>
    <row r="6335" spans="1:12">
      <c r="A6335" s="20" t="s">
        <v>2577</v>
      </c>
    </row>
    <row r="6336" spans="1:12">
      <c r="A6336" s="20" t="s">
        <v>1210</v>
      </c>
      <c r="E6336" s="22">
        <f>IF(D6336="?OLD","!!!","")</f>
        <v/>
      </c>
      <c r="F6336" s="23" t="str">
        <f>IF(OR(E6336="",E6336="!!!"),"",IF(NOT(ISNA(VLOOKUP(E6336,E$1:E6335,1,FALSE()))),"OLD",IF(AND(E6336&lt;&gt;"",E6336&lt;&gt;"!!!"),"NEW","")))</f>
        <v> </v>
      </c>
      <c r="G6336" s="24" t="str">
        <f>IF(OR(E6336="",E6336="!!!"),"",IF(OR(J6336=0,AND(J6336=1,K6336=1),AND(J6336=1,I6336="SBJ"),AND(J6336=1,I6336=0)),"?IN_FOCUS",IF(J6336&lt;=2,"?ACTIVATED",IF(J6336&lt;&gt;"","?FAMILIAR",IF(F6336="NEW",IF(ISNA(VLOOKUP(E6336,#REF!,1,FALSE())),"?TYPE_IDENTIFIABLE","?REFERENTIAL"),"_")))))</f>
        <v> </v>
      </c>
      <c r="H6336" s="25" t="str">
        <f>IF(J6336&lt;&gt;1,"",IF(I6336="SBJ","CB","?"))</f>
        <v> </v>
      </c>
      <c r="I6336" s="26" t="str">
        <f>IF(OR(E6336="",E6336="!!!",F6336="NEW"),"",INDEX(B6335:B$2,-1+SUMPRODUCT(MAX(ROW(E6335:E$2)*(E6336=E6335:E$2)))))</f>
        <v> </v>
      </c>
      <c r="J6336" s="26" t="str">
        <f>IF(OR(E6336="",E6336="!!!",F6336="NEW"),"",COUNTBLANK(OFFSET(A$1,,,SUMPRODUCT(MAX(ROW(E$2:E6336)*(E6336=E$2:E6336)))))-COUNTBLANK(OFFSET(A$1,,,SUMPRODUCT(MAX(ROW(E$1:E6335)*(E2=E$1:E6335))))))</f>
        <v> </v>
      </c>
      <c r="K6336" s="26" t="str">
        <f>IF(OR(E6336="",E6336="!!!",F6336="NEW"),"",INDEX(J$1:J6335,SUMPRODUCT(MAX(ROW(E$1:E6335)*(E6336=E$1:E6335)))))</f>
        <v> </v>
      </c>
      <c r="L6336" s="27"/>
    </row>
    <row r="6337" spans="1:12">
      <c r="A6337" s="20" t="s">
        <v>1060</v>
      </c>
      <c r="E6337" s="22">
        <f>IF(D6337="?OLD","!!!","")</f>
        <v/>
      </c>
      <c r="F6337" s="23" t="str">
        <f>IF(OR(E6337="",E6337="!!!"),"",IF(NOT(ISNA(VLOOKUP(E6337,E$1:E6336,1,FALSE()))),"OLD",IF(AND(E6337&lt;&gt;"",E6337&lt;&gt;"!!!"),"NEW","")))</f>
        <v> </v>
      </c>
      <c r="G6337" s="24" t="str">
        <f>IF(OR(E6337="",E6337="!!!"),"",IF(OR(J6337=0,AND(J6337=1,K6337=1),AND(J6337=1,I6337="SBJ"),AND(J6337=1,I6337=0)),"?IN_FOCUS",IF(J6337&lt;=2,"?ACTIVATED",IF(J6337&lt;&gt;"","?FAMILIAR",IF(F6337="NEW",IF(ISNA(VLOOKUP(E6337,#REF!,1,FALSE())),"?TYPE_IDENTIFIABLE","?REFERENTIAL"),"_")))))</f>
        <v> </v>
      </c>
      <c r="H6337" s="25" t="str">
        <f>IF(J6337&lt;&gt;1,"",IF(I6337="SBJ","CB","?"))</f>
        <v> </v>
      </c>
      <c r="I6337" s="26" t="str">
        <f>IF(OR(E6337="",E6337="!!!",F6337="NEW"),"",INDEX(B6336:B$2,-1+SUMPRODUCT(MAX(ROW(E6336:E$2)*(E6337=E6336:E$2)))))</f>
        <v> </v>
      </c>
      <c r="J6337" s="26" t="str">
        <f>IF(OR(E6337="",E6337="!!!",F6337="NEW"),"",COUNTBLANK(OFFSET(A$1,,,SUMPRODUCT(MAX(ROW(E$2:E6337)*(E6337=E$2:E6337)))))-COUNTBLANK(OFFSET(A$1,,,SUMPRODUCT(MAX(ROW(E$1:E6336)*(E2=E$1:E6336))))))</f>
        <v> </v>
      </c>
      <c r="K6337" s="26" t="str">
        <f>IF(OR(E6337="",E6337="!!!",F6337="NEW"),"",INDEX(J$1:J6336,SUMPRODUCT(MAX(ROW(E$1:E6336)*(E6337=E$1:E6336)))))</f>
        <v> </v>
      </c>
      <c r="L6337" s="27"/>
    </row>
    <row r="6338" spans="1:12">
      <c r="A6338" s="20" t="s">
        <v>2578</v>
      </c>
      <c r="B6338" s="21" t="s">
        <v>1142</v>
      </c>
      <c r="C6338" s="21" t="s">
        <v>1034</v>
      </c>
      <c r="D6338" s="21" t="s">
        <v>997</v>
      </c>
      <c r="E6338" s="22">
        <f>IF(D6338="?OLD","!!!","")</f>
        <v/>
      </c>
      <c r="F6338" s="23" t="str">
        <f>IF(OR(E6338="",E6338="!!!"),"",IF(NOT(ISNA(VLOOKUP(E6338,E$1:E6337,1,FALSE()))),"OLD",IF(AND(E6338&lt;&gt;"",E6338&lt;&gt;"!!!"),"NEW","")))</f>
        <v> </v>
      </c>
      <c r="G6338" s="24" t="str">
        <f>IF(OR(E6338="",E6338="!!!"),"",IF(OR(J6338=0,AND(J6338=1,K6338=1),AND(J6338=1,I6338="SBJ"),AND(J6338=1,I6338=0)),"?IN_FOCUS",IF(J6338&lt;=2,"?ACTIVATED",IF(J6338&lt;&gt;"","?FAMILIAR",IF(F6338="NEW",IF(ISNA(VLOOKUP(E6338,#REF!,1,FALSE())),"?TYPE_IDENTIFIABLE","?REFERENTIAL"),"_")))))</f>
        <v> </v>
      </c>
      <c r="H6338" s="25" t="str">
        <f>IF(J6338&lt;&gt;1,"",IF(I6338="SBJ","CB","?"))</f>
        <v> </v>
      </c>
      <c r="I6338" s="26" t="str">
        <f>IF(OR(E6338="",E6338="!!!",F6338="NEW"),"",INDEX(B6337:B$2,-1+SUMPRODUCT(MAX(ROW(E6337:E$2)*(E6338=E6337:E$2)))))</f>
        <v> </v>
      </c>
      <c r="J6338" s="26" t="str">
        <f>IF(OR(E6338="",E6338="!!!",F6338="NEW"),"",COUNTBLANK(OFFSET(A$1,,,SUMPRODUCT(MAX(ROW(E$2:E6338)*(E6338=E$2:E6338)))))-COUNTBLANK(OFFSET(A$1,,,SUMPRODUCT(MAX(ROW(E$1:E6337)*(E2=E$1:E6337))))))</f>
        <v> </v>
      </c>
      <c r="K6338" s="26" t="str">
        <f>IF(OR(E6338="",E6338="!!!",F6338="NEW"),"",INDEX(J$1:J6337,SUMPRODUCT(MAX(ROW(E$1:E6337)*(E6338=E$1:E6337)))))</f>
        <v> </v>
      </c>
      <c r="L6338" s="27"/>
    </row>
    <row r="6339" spans="1:12">
      <c r="A6339" s="20" t="s">
        <v>1022</v>
      </c>
      <c r="E6339" s="22">
        <f>IF(D6339="?OLD","!!!","")</f>
        <v/>
      </c>
      <c r="F6339" s="23" t="str">
        <f>IF(OR(E6339="",E6339="!!!"),"",IF(NOT(ISNA(VLOOKUP(E6339,E$1:E6338,1,FALSE()))),"OLD",IF(AND(E6339&lt;&gt;"",E6339&lt;&gt;"!!!"),"NEW","")))</f>
        <v> </v>
      </c>
      <c r="G6339" s="24" t="str">
        <f>IF(OR(E6339="",E6339="!!!"),"",IF(OR(J6339=0,AND(J6339=1,K6339=1),AND(J6339=1,I6339="SBJ"),AND(J6339=1,I6339=0)),"?IN_FOCUS",IF(J6339&lt;=2,"?ACTIVATED",IF(J6339&lt;&gt;"","?FAMILIAR",IF(F6339="NEW",IF(ISNA(VLOOKUP(E6339,#REF!,1,FALSE())),"?TYPE_IDENTIFIABLE","?REFERENTIAL"),"_")))))</f>
        <v> </v>
      </c>
      <c r="H6339" s="25" t="str">
        <f>IF(J6339&lt;&gt;1,"",IF(I6339="SBJ","CB","?"))</f>
        <v> </v>
      </c>
      <c r="I6339" s="26" t="str">
        <f>IF(OR(E6339="",E6339="!!!",F6339="NEW"),"",INDEX(B6338:B$2,-1+SUMPRODUCT(MAX(ROW(E6338:E$2)*(E6339=E6338:E$2)))))</f>
        <v> </v>
      </c>
      <c r="J6339" s="26" t="str">
        <f>IF(OR(E6339="",E6339="!!!",F6339="NEW"),"",COUNTBLANK(OFFSET(A$1,,,SUMPRODUCT(MAX(ROW(E$2:E6339)*(E6339=E$2:E6339)))))-COUNTBLANK(OFFSET(A$1,,,SUMPRODUCT(MAX(ROW(E$1:E6338)*(E2=E$1:E6338))))))</f>
        <v> </v>
      </c>
      <c r="K6339" s="26" t="str">
        <f>IF(OR(E6339="",E6339="!!!",F6339="NEW"),"",INDEX(J$1:J6338,SUMPRODUCT(MAX(ROW(E$1:E6338)*(E6339=E$1:E6338)))))</f>
        <v> </v>
      </c>
      <c r="L6339" s="27"/>
    </row>
    <row r="6340" spans="1:12">
      <c r="A6340" s="20" t="s">
        <v>1000</v>
      </c>
      <c r="B6340" s="21" t="s">
        <v>1114</v>
      </c>
      <c r="C6340" s="21" t="s">
        <v>996</v>
      </c>
      <c r="D6340" s="21" t="s">
        <v>997</v>
      </c>
      <c r="E6340" s="22">
        <f>IF(D6340="?OLD","!!!","")</f>
        <v/>
      </c>
      <c r="F6340" s="23" t="str">
        <f>IF(OR(E6340="",E6340="!!!"),"",IF(NOT(ISNA(VLOOKUP(E6340,E$1:E6339,1,FALSE()))),"OLD",IF(AND(E6340&lt;&gt;"",E6340&lt;&gt;"!!!"),"NEW","")))</f>
        <v> </v>
      </c>
      <c r="G6340" s="24" t="str">
        <f>IF(OR(E6340="",E6340="!!!"),"",IF(OR(J6340=0,AND(J6340=1,K6340=1),AND(J6340=1,I6340="SBJ"),AND(J6340=1,I6340=0)),"?IN_FOCUS",IF(J6340&lt;=2,"?ACTIVATED",IF(J6340&lt;&gt;"","?FAMILIAR",IF(F6340="NEW",IF(ISNA(VLOOKUP(E6340,#REF!,1,FALSE())),"?TYPE_IDENTIFIABLE","?REFERENTIAL"),"_")))))</f>
        <v> </v>
      </c>
      <c r="H6340" s="25" t="str">
        <f>IF(J6340&lt;&gt;1,"",IF(I6340="SBJ","CB","?"))</f>
        <v> </v>
      </c>
      <c r="I6340" s="26" t="str">
        <f>IF(OR(E6340="",E6340="!!!",F6340="NEW"),"",INDEX(B6339:B$2,-1+SUMPRODUCT(MAX(ROW(E6339:E$2)*(E6340=E6339:E$2)))))</f>
        <v> </v>
      </c>
      <c r="J6340" s="26" t="str">
        <f>IF(OR(E6340="",E6340="!!!",F6340="NEW"),"",COUNTBLANK(OFFSET(A$1,,,SUMPRODUCT(MAX(ROW(E$2:E6340)*(E6340=E$2:E6340)))))-COUNTBLANK(OFFSET(A$1,,,SUMPRODUCT(MAX(ROW(E$1:E6339)*(E2=E$1:E6339))))))</f>
        <v> </v>
      </c>
      <c r="K6340" s="26" t="str">
        <f>IF(OR(E6340="",E6340="!!!",F6340="NEW"),"",INDEX(J$1:J6339,SUMPRODUCT(MAX(ROW(E$1:E6339)*(E6340=E$1:E6339)))))</f>
        <v> </v>
      </c>
      <c r="L6340" s="27"/>
    </row>
    <row r="6341" spans="1:12">
      <c r="A6341" s="20" t="s">
        <v>2579</v>
      </c>
      <c r="E6341" s="22">
        <f>IF(D6341="?OLD","!!!","")</f>
        <v/>
      </c>
      <c r="F6341" s="23" t="str">
        <f>IF(OR(E6341="",E6341="!!!"),"",IF(NOT(ISNA(VLOOKUP(E6341,E$1:E6340,1,FALSE()))),"OLD",IF(AND(E6341&lt;&gt;"",E6341&lt;&gt;"!!!"),"NEW","")))</f>
        <v> </v>
      </c>
      <c r="G6341" s="24" t="str">
        <f>IF(OR(E6341="",E6341="!!!"),"",IF(OR(J6341=0,AND(J6341=1,K6341=1),AND(J6341=1,I6341="SBJ"),AND(J6341=1,I6341=0)),"?IN_FOCUS",IF(J6341&lt;=2,"?ACTIVATED",IF(J6341&lt;&gt;"","?FAMILIAR",IF(F6341="NEW",IF(ISNA(VLOOKUP(E6341,#REF!,1,FALSE())),"?TYPE_IDENTIFIABLE","?REFERENTIAL"),"_")))))</f>
        <v> </v>
      </c>
      <c r="H6341" s="25" t="str">
        <f>IF(J6341&lt;&gt;1,"",IF(I6341="SBJ","CB","?"))</f>
        <v> </v>
      </c>
      <c r="I6341" s="26" t="str">
        <f>IF(OR(E6341="",E6341="!!!",F6341="NEW"),"",INDEX(B6340:B$2,-1+SUMPRODUCT(MAX(ROW(E6340:E$2)*(E6341=E6340:E$2)))))</f>
        <v> </v>
      </c>
      <c r="J6341" s="26" t="str">
        <f>IF(OR(E6341="",E6341="!!!",F6341="NEW"),"",COUNTBLANK(OFFSET(A$1,,,SUMPRODUCT(MAX(ROW(E$2:E6341)*(E6341=E$2:E6341)))))-COUNTBLANK(OFFSET(A$1,,,SUMPRODUCT(MAX(ROW(E$1:E6340)*(E2=E$1:E6340))))))</f>
        <v> </v>
      </c>
      <c r="K6341" s="26" t="str">
        <f>IF(OR(E6341="",E6341="!!!",F6341="NEW"),"",INDEX(J$1:J6340,SUMPRODUCT(MAX(ROW(E$1:E6340)*(E6341=E$1:E6340)))))</f>
        <v> </v>
      </c>
      <c r="L6341" s="27"/>
    </row>
    <row r="6342" spans="1:12">
      <c r="A6342" s="20" t="s">
        <v>1041</v>
      </c>
      <c r="E6342" s="22">
        <f>IF(D6342="?OLD","!!!","")</f>
        <v/>
      </c>
      <c r="F6342" s="23" t="str">
        <f>IF(OR(E6342="",E6342="!!!"),"",IF(NOT(ISNA(VLOOKUP(E6342,E$1:E6341,1,FALSE()))),"OLD",IF(AND(E6342&lt;&gt;"",E6342&lt;&gt;"!!!"),"NEW","")))</f>
        <v> </v>
      </c>
      <c r="G6342" s="24" t="str">
        <f>IF(OR(E6342="",E6342="!!!"),"",IF(OR(J6342=0,AND(J6342=1,K6342=1),AND(J6342=1,I6342="SBJ"),AND(J6342=1,I6342=0)),"?IN_FOCUS",IF(J6342&lt;=2,"?ACTIVATED",IF(J6342&lt;&gt;"","?FAMILIAR",IF(F6342="NEW",IF(ISNA(VLOOKUP(E6342,#REF!,1,FALSE())),"?TYPE_IDENTIFIABLE","?REFERENTIAL"),"_")))))</f>
        <v> </v>
      </c>
      <c r="H6342" s="25" t="str">
        <f>IF(J6342&lt;&gt;1,"",IF(I6342="SBJ","CB","?"))</f>
        <v> </v>
      </c>
      <c r="I6342" s="26" t="str">
        <f>IF(OR(E6342="",E6342="!!!",F6342="NEW"),"",INDEX(B6341:B$2,-1+SUMPRODUCT(MAX(ROW(E6341:E$2)*(E6342=E6341:E$2)))))</f>
        <v> </v>
      </c>
      <c r="J6342" s="26" t="str">
        <f>IF(OR(E6342="",E6342="!!!",F6342="NEW"),"",COUNTBLANK(OFFSET(A$1,,,SUMPRODUCT(MAX(ROW(E$2:E6342)*(E6342=E$2:E6342)))))-COUNTBLANK(OFFSET(A$1,,,SUMPRODUCT(MAX(ROW(E$1:E6341)*(E2=E$1:E6341))))))</f>
        <v> </v>
      </c>
      <c r="K6342" s="26" t="str">
        <f>IF(OR(E6342="",E6342="!!!",F6342="NEW"),"",INDEX(J$1:J6341,SUMPRODUCT(MAX(ROW(E$1:E6341)*(E6342=E$1:E6341)))))</f>
        <v> </v>
      </c>
      <c r="L6342" s="27"/>
    </row>
    <row r="6343" spans="1:12">
      <c r="A6343" s="20" t="s">
        <v>1175</v>
      </c>
      <c r="B6343" s="21" t="s">
        <v>1142</v>
      </c>
      <c r="C6343" s="21" t="s">
        <v>1015</v>
      </c>
      <c r="D6343" s="21" t="s">
        <v>997</v>
      </c>
      <c r="E6343" s="22">
        <f>IF(D6343="?OLD","!!!","")</f>
        <v/>
      </c>
      <c r="F6343" s="23" t="str">
        <f>IF(OR(E6343="",E6343="!!!"),"",IF(NOT(ISNA(VLOOKUP(E6343,E$1:E6342,1,FALSE()))),"OLD",IF(AND(E6343&lt;&gt;"",E6343&lt;&gt;"!!!"),"NEW","")))</f>
        <v> </v>
      </c>
      <c r="G6343" s="24" t="str">
        <f>IF(OR(E6343="",E6343="!!!"),"",IF(OR(J6343=0,AND(J6343=1,K6343=1),AND(J6343=1,I6343="SBJ"),AND(J6343=1,I6343=0)),"?IN_FOCUS",IF(J6343&lt;=2,"?ACTIVATED",IF(J6343&lt;&gt;"","?FAMILIAR",IF(F6343="NEW",IF(ISNA(VLOOKUP(E6343,#REF!,1,FALSE())),"?TYPE_IDENTIFIABLE","?REFERENTIAL"),"_")))))</f>
        <v> </v>
      </c>
      <c r="H6343" s="25" t="str">
        <f>IF(J6343&lt;&gt;1,"",IF(I6343="SBJ","CB","?"))</f>
        <v> </v>
      </c>
      <c r="I6343" s="26" t="str">
        <f>IF(OR(E6343="",E6343="!!!",F6343="NEW"),"",INDEX(B6342:B$2,-1+SUMPRODUCT(MAX(ROW(E6342:E$2)*(E6343=E6342:E$2)))))</f>
        <v> </v>
      </c>
      <c r="J6343" s="26" t="str">
        <f>IF(OR(E6343="",E6343="!!!",F6343="NEW"),"",COUNTBLANK(OFFSET(A$1,,,SUMPRODUCT(MAX(ROW(E$2:E6343)*(E6343=E$2:E6343)))))-COUNTBLANK(OFFSET(A$1,,,SUMPRODUCT(MAX(ROW(E$1:E6342)*(E2=E$1:E6342))))))</f>
        <v> </v>
      </c>
      <c r="K6343" s="26" t="str">
        <f>IF(OR(E6343="",E6343="!!!",F6343="NEW"),"",INDEX(J$1:J6342,SUMPRODUCT(MAX(ROW(E$1:E6342)*(E6343=E$1:E6342)))))</f>
        <v> </v>
      </c>
      <c r="L6343" s="27"/>
    </row>
    <row r="6344" spans="1:12">
      <c r="A6344" s="20" t="s">
        <v>423</v>
      </c>
      <c r="E6344" s="22">
        <f>IF(D6344="?OLD","!!!","")</f>
        <v/>
      </c>
      <c r="F6344" s="23" t="str">
        <f>IF(OR(E6344="",E6344="!!!"),"",IF(NOT(ISNA(VLOOKUP(E6344,E$1:E6343,1,FALSE()))),"OLD",IF(AND(E6344&lt;&gt;"",E6344&lt;&gt;"!!!"),"NEW","")))</f>
        <v> </v>
      </c>
      <c r="G6344" s="24" t="str">
        <f>IF(OR(E6344="",E6344="!!!"),"",IF(OR(J6344=0,AND(J6344=1,K6344=1),AND(J6344=1,I6344="SBJ"),AND(J6344=1,I6344=0)),"?IN_FOCUS",IF(J6344&lt;=2,"?ACTIVATED",IF(J6344&lt;&gt;"","?FAMILIAR",IF(F6344="NEW",IF(ISNA(VLOOKUP(E6344,#REF!,1,FALSE())),"?TYPE_IDENTIFIABLE","?REFERENTIAL"),"_")))))</f>
        <v> </v>
      </c>
      <c r="H6344" s="25" t="str">
        <f>IF(J6344&lt;&gt;1,"",IF(I6344="SBJ","CB","?"))</f>
        <v> </v>
      </c>
      <c r="I6344" s="26" t="str">
        <f>IF(OR(E6344="",E6344="!!!",F6344="NEW"),"",INDEX(B6343:B$2,-1+SUMPRODUCT(MAX(ROW(E6343:E$2)*(E6344=E6343:E$2)))))</f>
        <v> </v>
      </c>
      <c r="J6344" s="26" t="str">
        <f>IF(OR(E6344="",E6344="!!!",F6344="NEW"),"",COUNTBLANK(OFFSET(A$1,,,SUMPRODUCT(MAX(ROW(E$2:E6344)*(E6344=E$2:E6344)))))-COUNTBLANK(OFFSET(A$1,,,SUMPRODUCT(MAX(ROW(E$1:E6343)*(E2=E$1:E6343))))))</f>
        <v> </v>
      </c>
      <c r="K6344" s="26" t="str">
        <f>IF(OR(E6344="",E6344="!!!",F6344="NEW"),"",INDEX(J$1:J6343,SUMPRODUCT(MAX(ROW(E$1:E6343)*(E6344=E$1:E6343)))))</f>
        <v> </v>
      </c>
      <c r="L6344" s="27"/>
    </row>
    <row r="6345" spans="1:12">
      <c r="A6345" s="20" t="s">
        <v>1460</v>
      </c>
      <c r="E6345" s="22">
        <f>IF(D6345="?OLD","!!!","")</f>
        <v/>
      </c>
      <c r="F6345" s="23" t="str">
        <f>IF(OR(E6345="",E6345="!!!"),"",IF(NOT(ISNA(VLOOKUP(E6345,E$1:E6344,1,FALSE()))),"OLD",IF(AND(E6345&lt;&gt;"",E6345&lt;&gt;"!!!"),"NEW","")))</f>
        <v> </v>
      </c>
      <c r="G6345" s="24" t="str">
        <f>IF(OR(E6345="",E6345="!!!"),"",IF(OR(J6345=0,AND(J6345=1,K6345=1),AND(J6345=1,I6345="SBJ"),AND(J6345=1,I6345=0)),"?IN_FOCUS",IF(J6345&lt;=2,"?ACTIVATED",IF(J6345&lt;&gt;"","?FAMILIAR",IF(F6345="NEW",IF(ISNA(VLOOKUP(E6345,#REF!,1,FALSE())),"?TYPE_IDENTIFIABLE","?REFERENTIAL"),"_")))))</f>
        <v> </v>
      </c>
      <c r="H6345" s="25" t="str">
        <f>IF(J6345&lt;&gt;1,"",IF(I6345="SBJ","CB","?"))</f>
        <v> </v>
      </c>
      <c r="I6345" s="26" t="str">
        <f>IF(OR(E6345="",E6345="!!!",F6345="NEW"),"",INDEX(B6344:B$2,-1+SUMPRODUCT(MAX(ROW(E6344:E$2)*(E6345=E6344:E$2)))))</f>
        <v> </v>
      </c>
      <c r="J6345" s="26" t="str">
        <f>IF(OR(E6345="",E6345="!!!",F6345="NEW"),"",COUNTBLANK(OFFSET(A$1,,,SUMPRODUCT(MAX(ROW(E$2:E6345)*(E6345=E$2:E6345)))))-COUNTBLANK(OFFSET(A$1,,,SUMPRODUCT(MAX(ROW(E$1:E6344)*(E2=E$1:E6344))))))</f>
        <v> </v>
      </c>
      <c r="K6345" s="26" t="str">
        <f>IF(OR(E6345="",E6345="!!!",F6345="NEW"),"",INDEX(J$1:J6344,SUMPRODUCT(MAX(ROW(E$1:E6344)*(E6345=E$1:E6344)))))</f>
        <v> </v>
      </c>
      <c r="L6345" s="27"/>
    </row>
    <row r="6346" spans="1:12">
      <c r="A6346" s="20" t="s">
        <v>2580</v>
      </c>
      <c r="E6346" s="22">
        <f>IF(D6346="?OLD","!!!","")</f>
        <v/>
      </c>
      <c r="F6346" s="23" t="str">
        <f>IF(OR(E6346="",E6346="!!!"),"",IF(NOT(ISNA(VLOOKUP(E6346,E$1:E6345,1,FALSE()))),"OLD",IF(AND(E6346&lt;&gt;"",E6346&lt;&gt;"!!!"),"NEW","")))</f>
        <v> </v>
      </c>
      <c r="G6346" s="24" t="str">
        <f>IF(OR(E6346="",E6346="!!!"),"",IF(OR(J6346=0,AND(J6346=1,K6346=1),AND(J6346=1,I6346="SBJ"),AND(J6346=1,I6346=0)),"?IN_FOCUS",IF(J6346&lt;=2,"?ACTIVATED",IF(J6346&lt;&gt;"","?FAMILIAR",IF(F6346="NEW",IF(ISNA(VLOOKUP(E6346,#REF!,1,FALSE())),"?TYPE_IDENTIFIABLE","?REFERENTIAL"),"_")))))</f>
        <v> </v>
      </c>
      <c r="H6346" s="25" t="str">
        <f>IF(J6346&lt;&gt;1,"",IF(I6346="SBJ","CB","?"))</f>
        <v> </v>
      </c>
      <c r="I6346" s="26" t="str">
        <f>IF(OR(E6346="",E6346="!!!",F6346="NEW"),"",INDEX(B6345:B$2,-1+SUMPRODUCT(MAX(ROW(E6345:E$2)*(E6346=E6345:E$2)))))</f>
        <v> </v>
      </c>
      <c r="J6346" s="26" t="str">
        <f>IF(OR(E6346="",E6346="!!!",F6346="NEW"),"",COUNTBLANK(OFFSET(A$1,,,SUMPRODUCT(MAX(ROW(E$2:E6346)*(E6346=E$2:E6346)))))-COUNTBLANK(OFFSET(A$1,,,SUMPRODUCT(MAX(ROW(E$1:E6345)*(E2=E$1:E6345))))))</f>
        <v> </v>
      </c>
      <c r="K6346" s="26" t="str">
        <f>IF(OR(E6346="",E6346="!!!",F6346="NEW"),"",INDEX(J$1:J6345,SUMPRODUCT(MAX(ROW(E$1:E6345)*(E6346=E$1:E6345)))))</f>
        <v> </v>
      </c>
      <c r="L6346" s="27"/>
    </row>
    <row r="6347" spans="1:12">
      <c r="A6347" s="20" t="s">
        <v>1060</v>
      </c>
      <c r="E6347" s="22">
        <f>IF(D6347="?OLD","!!!","")</f>
        <v/>
      </c>
      <c r="F6347" s="23" t="str">
        <f>IF(OR(E6347="",E6347="!!!"),"",IF(NOT(ISNA(VLOOKUP(E6347,E$1:E6346,1,FALSE()))),"OLD",IF(AND(E6347&lt;&gt;"",E6347&lt;&gt;"!!!"),"NEW","")))</f>
        <v> </v>
      </c>
      <c r="G6347" s="24" t="str">
        <f>IF(OR(E6347="",E6347="!!!"),"",IF(OR(J6347=0,AND(J6347=1,K6347=1),AND(J6347=1,I6347="SBJ"),AND(J6347=1,I6347=0)),"?IN_FOCUS",IF(J6347&lt;=2,"?ACTIVATED",IF(J6347&lt;&gt;"","?FAMILIAR",IF(F6347="NEW",IF(ISNA(VLOOKUP(E6347,#REF!,1,FALSE())),"?TYPE_IDENTIFIABLE","?REFERENTIAL"),"_")))))</f>
        <v> </v>
      </c>
      <c r="H6347" s="25" t="str">
        <f>IF(J6347&lt;&gt;1,"",IF(I6347="SBJ","CB","?"))</f>
        <v> </v>
      </c>
      <c r="I6347" s="26" t="str">
        <f>IF(OR(E6347="",E6347="!!!",F6347="NEW"),"",INDEX(B6346:B$2,-1+SUMPRODUCT(MAX(ROW(E6346:E$2)*(E6347=E6346:E$2)))))</f>
        <v> </v>
      </c>
      <c r="J6347" s="26" t="str">
        <f>IF(OR(E6347="",E6347="!!!",F6347="NEW"),"",COUNTBLANK(OFFSET(A$1,,,SUMPRODUCT(MAX(ROW(E$2:E6347)*(E6347=E$2:E6347)))))-COUNTBLANK(OFFSET(A$1,,,SUMPRODUCT(MAX(ROW(E$1:E6346)*(E2=E$1:E6346))))))</f>
        <v> </v>
      </c>
      <c r="K6347" s="26" t="str">
        <f>IF(OR(E6347="",E6347="!!!",F6347="NEW"),"",INDEX(J$1:J6346,SUMPRODUCT(MAX(ROW(E$1:E6346)*(E6347=E$1:E6346)))))</f>
        <v> </v>
      </c>
      <c r="L6347" s="27"/>
    </row>
    <row r="6348" spans="1:12">
      <c r="A6348" s="20" t="s">
        <v>1004</v>
      </c>
      <c r="B6348" s="21" t="s">
        <v>1001</v>
      </c>
      <c r="C6348" s="21" t="s">
        <v>1034</v>
      </c>
      <c r="D6348" s="21" t="s">
        <v>997</v>
      </c>
      <c r="E6348" s="22">
        <f>IF(D6348="?OLD","!!!","")</f>
        <v/>
      </c>
      <c r="F6348" s="23" t="str">
        <f>IF(OR(E6348="",E6348="!!!"),"",IF(NOT(ISNA(VLOOKUP(E6348,E$1:E6347,1,FALSE()))),"OLD",IF(AND(E6348&lt;&gt;"",E6348&lt;&gt;"!!!"),"NEW","")))</f>
        <v> </v>
      </c>
      <c r="G6348" s="24" t="str">
        <f>IF(OR(E6348="",E6348="!!!"),"",IF(OR(J6348=0,AND(J6348=1,K6348=1),AND(J6348=1,I6348="SBJ"),AND(J6348=1,I6348=0)),"?IN_FOCUS",IF(J6348&lt;=2,"?ACTIVATED",IF(J6348&lt;&gt;"","?FAMILIAR",IF(F6348="NEW",IF(ISNA(VLOOKUP(E6348,#REF!,1,FALSE())),"?TYPE_IDENTIFIABLE","?REFERENTIAL"),"_")))))</f>
        <v> </v>
      </c>
      <c r="H6348" s="25" t="str">
        <f>IF(J6348&lt;&gt;1,"",IF(I6348="SBJ","CB","?"))</f>
        <v> </v>
      </c>
      <c r="I6348" s="26" t="str">
        <f>IF(OR(E6348="",E6348="!!!",F6348="NEW"),"",INDEX(B6347:B$2,-1+SUMPRODUCT(MAX(ROW(E6347:E$2)*(E6348=E6347:E$2)))))</f>
        <v> </v>
      </c>
      <c r="J6348" s="26" t="str">
        <f>IF(OR(E6348="",E6348="!!!",F6348="NEW"),"",COUNTBLANK(OFFSET(A$1,,,SUMPRODUCT(MAX(ROW(E$2:E6348)*(E6348=E$2:E6348)))))-COUNTBLANK(OFFSET(A$1,,,SUMPRODUCT(MAX(ROW(E$1:E6347)*(E2=E$1:E6347))))))</f>
        <v> </v>
      </c>
      <c r="K6348" s="26" t="str">
        <f>IF(OR(E6348="",E6348="!!!",F6348="NEW"),"",INDEX(J$1:J6347,SUMPRODUCT(MAX(ROW(E$1:E6347)*(E6348=E$1:E6347)))))</f>
        <v> </v>
      </c>
      <c r="L6348" s="27"/>
    </row>
    <row r="6349" spans="1:12">
      <c r="A6349" s="20" t="s">
        <v>2062</v>
      </c>
      <c r="E6349" s="22">
        <f>IF(D6349="?OLD","!!!","")</f>
        <v/>
      </c>
      <c r="F6349" s="23" t="str">
        <f>IF(OR(E6349="",E6349="!!!"),"",IF(NOT(ISNA(VLOOKUP(E6349,E$1:E6348,1,FALSE()))),"OLD",IF(AND(E6349&lt;&gt;"",E6349&lt;&gt;"!!!"),"NEW","")))</f>
        <v> </v>
      </c>
      <c r="G6349" s="24" t="str">
        <f>IF(OR(E6349="",E6349="!!!"),"",IF(OR(J6349=0,AND(J6349=1,K6349=1),AND(J6349=1,I6349="SBJ"),AND(J6349=1,I6349=0)),"?IN_FOCUS",IF(J6349&lt;=2,"?ACTIVATED",IF(J6349&lt;&gt;"","?FAMILIAR",IF(F6349="NEW",IF(ISNA(VLOOKUP(E6349,#REF!,1,FALSE())),"?TYPE_IDENTIFIABLE","?REFERENTIAL"),"_")))))</f>
        <v> </v>
      </c>
      <c r="H6349" s="25" t="str">
        <f>IF(J6349&lt;&gt;1,"",IF(I6349="SBJ","CB","?"))</f>
        <v> </v>
      </c>
      <c r="I6349" s="26" t="str">
        <f>IF(OR(E6349="",E6349="!!!",F6349="NEW"),"",INDEX(B6348:B$2,-1+SUMPRODUCT(MAX(ROW(E6348:E$2)*(E6349=E6348:E$2)))))</f>
        <v> </v>
      </c>
      <c r="J6349" s="26" t="str">
        <f>IF(OR(E6349="",E6349="!!!",F6349="NEW"),"",COUNTBLANK(OFFSET(A$1,,,SUMPRODUCT(MAX(ROW(E$2:E6349)*(E6349=E$2:E6349)))))-COUNTBLANK(OFFSET(A$1,,,SUMPRODUCT(MAX(ROW(E$1:E6348)*(E2=E$1:E6348))))))</f>
        <v> </v>
      </c>
      <c r="K6349" s="26" t="str">
        <f>IF(OR(E6349="",E6349="!!!",F6349="NEW"),"",INDEX(J$1:J6348,SUMPRODUCT(MAX(ROW(E$1:E6348)*(E6349=E$1:E6348)))))</f>
        <v> </v>
      </c>
      <c r="L6349" s="27"/>
    </row>
    <row r="6350" spans="1:12">
      <c r="A6350" s="20" t="s">
        <v>2581</v>
      </c>
      <c r="E6350" s="22">
        <f>IF(D6350="?OLD","!!!","")</f>
        <v/>
      </c>
      <c r="F6350" s="23" t="str">
        <f>IF(OR(E6350="",E6350="!!!"),"",IF(NOT(ISNA(VLOOKUP(E6350,E$1:E6349,1,FALSE()))),"OLD",IF(AND(E6350&lt;&gt;"",E6350&lt;&gt;"!!!"),"NEW","")))</f>
        <v> </v>
      </c>
      <c r="G6350" s="24" t="str">
        <f>IF(OR(E6350="",E6350="!!!"),"",IF(OR(J6350=0,AND(J6350=1,K6350=1),AND(J6350=1,I6350="SBJ"),AND(J6350=1,I6350=0)),"?IN_FOCUS",IF(J6350&lt;=2,"?ACTIVATED",IF(J6350&lt;&gt;"","?FAMILIAR",IF(F6350="NEW",IF(ISNA(VLOOKUP(E6350,#REF!,1,FALSE())),"?TYPE_IDENTIFIABLE","?REFERENTIAL"),"_")))))</f>
        <v> </v>
      </c>
      <c r="H6350" s="25" t="str">
        <f>IF(J6350&lt;&gt;1,"",IF(I6350="SBJ","CB","?"))</f>
        <v> </v>
      </c>
      <c r="I6350" s="26" t="str">
        <f>IF(OR(E6350="",E6350="!!!",F6350="NEW"),"",INDEX(B6349:B$2,-1+SUMPRODUCT(MAX(ROW(E6349:E$2)*(E6350=E6349:E$2)))))</f>
        <v> </v>
      </c>
      <c r="J6350" s="26" t="str">
        <f>IF(OR(E6350="",E6350="!!!",F6350="NEW"),"",COUNTBLANK(OFFSET(A$1,,,SUMPRODUCT(MAX(ROW(E$2:E6350)*(E6350=E$2:E6350)))))-COUNTBLANK(OFFSET(A$1,,,SUMPRODUCT(MAX(ROW(E$1:E6349)*(E2=E$1:E6349))))))</f>
        <v> </v>
      </c>
      <c r="K6350" s="26" t="str">
        <f>IF(OR(E6350="",E6350="!!!",F6350="NEW"),"",INDEX(J$1:J6349,SUMPRODUCT(MAX(ROW(E$1:E6349)*(E6350=E$1:E6349)))))</f>
        <v> </v>
      </c>
      <c r="L6350" s="27"/>
    </row>
    <row r="6351" spans="1:12">
      <c r="A6351" s="20" t="s">
        <v>1460</v>
      </c>
      <c r="E6351" s="22">
        <f>IF(D6351="?OLD","!!!","")</f>
        <v/>
      </c>
      <c r="F6351" s="23" t="str">
        <f>IF(OR(E6351="",E6351="!!!"),"",IF(NOT(ISNA(VLOOKUP(E6351,E$1:E6350,1,FALSE()))),"OLD",IF(AND(E6351&lt;&gt;"",E6351&lt;&gt;"!!!"),"NEW","")))</f>
        <v> </v>
      </c>
      <c r="G6351" s="24" t="str">
        <f>IF(OR(E6351="",E6351="!!!"),"",IF(OR(J6351=0,AND(J6351=1,K6351=1),AND(J6351=1,I6351="SBJ"),AND(J6351=1,I6351=0)),"?IN_FOCUS",IF(J6351&lt;=2,"?ACTIVATED",IF(J6351&lt;&gt;"","?FAMILIAR",IF(F6351="NEW",IF(ISNA(VLOOKUP(E6351,#REF!,1,FALSE())),"?TYPE_IDENTIFIABLE","?REFERENTIAL"),"_")))))</f>
        <v> </v>
      </c>
      <c r="H6351" s="25" t="str">
        <f>IF(J6351&lt;&gt;1,"",IF(I6351="SBJ","CB","?"))</f>
        <v> </v>
      </c>
      <c r="I6351" s="26" t="str">
        <f>IF(OR(E6351="",E6351="!!!",F6351="NEW"),"",INDEX(B6350:B$2,-1+SUMPRODUCT(MAX(ROW(E6350:E$2)*(E6351=E6350:E$2)))))</f>
        <v> </v>
      </c>
      <c r="J6351" s="26" t="str">
        <f>IF(OR(E6351="",E6351="!!!",F6351="NEW"),"",COUNTBLANK(OFFSET(A$1,,,SUMPRODUCT(MAX(ROW(E$2:E6351)*(E6351=E$2:E6351)))))-COUNTBLANK(OFFSET(A$1,,,SUMPRODUCT(MAX(ROW(E$1:E6350)*(E2=E$1:E6350))))))</f>
        <v> </v>
      </c>
      <c r="K6351" s="26" t="str">
        <f>IF(OR(E6351="",E6351="!!!",F6351="NEW"),"",INDEX(J$1:J6350,SUMPRODUCT(MAX(ROW(E$1:E6350)*(E6351=E$1:E6350)))))</f>
        <v> </v>
      </c>
      <c r="L6351" s="27"/>
    </row>
    <row r="6352" spans="1:12">
      <c r="A6352" s="20" t="s">
        <v>1041</v>
      </c>
      <c r="E6352" s="22">
        <f>IF(D6352="?OLD","!!!","")</f>
        <v/>
      </c>
      <c r="F6352" s="23" t="str">
        <f>IF(OR(E6352="",E6352="!!!"),"",IF(NOT(ISNA(VLOOKUP(E6352,E$1:E6351,1,FALSE()))),"OLD",IF(AND(E6352&lt;&gt;"",E6352&lt;&gt;"!!!"),"NEW","")))</f>
        <v> </v>
      </c>
      <c r="G6352" s="24" t="str">
        <f>IF(OR(E6352="",E6352="!!!"),"",IF(OR(J6352=0,AND(J6352=1,K6352=1),AND(J6352=1,I6352="SBJ"),AND(J6352=1,I6352=0)),"?IN_FOCUS",IF(J6352&lt;=2,"?ACTIVATED",IF(J6352&lt;&gt;"","?FAMILIAR",IF(F6352="NEW",IF(ISNA(VLOOKUP(E6352,#REF!,1,FALSE())),"?TYPE_IDENTIFIABLE","?REFERENTIAL"),"_")))))</f>
        <v> </v>
      </c>
      <c r="H6352" s="25" t="str">
        <f>IF(J6352&lt;&gt;1,"",IF(I6352="SBJ","CB","?"))</f>
        <v> </v>
      </c>
      <c r="I6352" s="26" t="str">
        <f>IF(OR(E6352="",E6352="!!!",F6352="NEW"),"",INDEX(B6351:B$2,-1+SUMPRODUCT(MAX(ROW(E6351:E$2)*(E6352=E6351:E$2)))))</f>
        <v> </v>
      </c>
      <c r="J6352" s="26" t="str">
        <f>IF(OR(E6352="",E6352="!!!",F6352="NEW"),"",COUNTBLANK(OFFSET(A$1,,,SUMPRODUCT(MAX(ROW(E$2:E6352)*(E6352=E$2:E6352)))))-COUNTBLANK(OFFSET(A$1,,,SUMPRODUCT(MAX(ROW(E$1:E6351)*(E2=E$1:E6351))))))</f>
        <v> </v>
      </c>
      <c r="K6352" s="26" t="str">
        <f>IF(OR(E6352="",E6352="!!!",F6352="NEW"),"",INDEX(J$1:J6351,SUMPRODUCT(MAX(ROW(E$1:E6351)*(E6352=E$1:E6351)))))</f>
        <v> </v>
      </c>
      <c r="L6352" s="27"/>
    </row>
    <row r="6353" spans="1:12">
      <c r="A6353" s="20" t="s">
        <v>1230</v>
      </c>
      <c r="E6353" s="22">
        <f>IF(D6353="?OLD","!!!","")</f>
        <v/>
      </c>
      <c r="F6353" s="23" t="str">
        <f>IF(OR(E6353="",E6353="!!!"),"",IF(NOT(ISNA(VLOOKUP(E6353,E$1:E6352,1,FALSE()))),"OLD",IF(AND(E6353&lt;&gt;"",E6353&lt;&gt;"!!!"),"NEW","")))</f>
        <v> </v>
      </c>
      <c r="G6353" s="24" t="str">
        <f>IF(OR(E6353="",E6353="!!!"),"",IF(OR(J6353=0,AND(J6353=1,K6353=1),AND(J6353=1,I6353="SBJ"),AND(J6353=1,I6353=0)),"?IN_FOCUS",IF(J6353&lt;=2,"?ACTIVATED",IF(J6353&lt;&gt;"","?FAMILIAR",IF(F6353="NEW",IF(ISNA(VLOOKUP(E6353,#REF!,1,FALSE())),"?TYPE_IDENTIFIABLE","?REFERENTIAL"),"_")))))</f>
        <v> </v>
      </c>
      <c r="H6353" s="25" t="str">
        <f>IF(J6353&lt;&gt;1,"",IF(I6353="SBJ","CB","?"))</f>
        <v> </v>
      </c>
      <c r="I6353" s="26" t="str">
        <f>IF(OR(E6353="",E6353="!!!",F6353="NEW"),"",INDEX(B6352:B$2,-1+SUMPRODUCT(MAX(ROW(E6352:E$2)*(E6353=E6352:E$2)))))</f>
        <v> </v>
      </c>
      <c r="J6353" s="26" t="str">
        <f>IF(OR(E6353="",E6353="!!!",F6353="NEW"),"",COUNTBLANK(OFFSET(A$1,,,SUMPRODUCT(MAX(ROW(E$2:E6353)*(E6353=E$2:E6353)))))-COUNTBLANK(OFFSET(A$1,,,SUMPRODUCT(MAX(ROW(E$1:E6352)*(E2=E$1:E6352))))))</f>
        <v> </v>
      </c>
      <c r="K6353" s="26" t="str">
        <f>IF(OR(E6353="",E6353="!!!",F6353="NEW"),"",INDEX(J$1:J6352,SUMPRODUCT(MAX(ROW(E$1:E6352)*(E6353=E$1:E6352)))))</f>
        <v> </v>
      </c>
      <c r="L6353" s="27"/>
    </row>
    <row r="6354" spans="1:12">
      <c r="A6354" s="20" t="s">
        <v>2582</v>
      </c>
      <c r="E6354" s="22">
        <f>IF(D6354="?OLD","!!!","")</f>
        <v/>
      </c>
      <c r="F6354" s="23" t="str">
        <f>IF(OR(E6354="",E6354="!!!"),"",IF(NOT(ISNA(VLOOKUP(E6354,E$1:E6353,1,FALSE()))),"OLD",IF(AND(E6354&lt;&gt;"",E6354&lt;&gt;"!!!"),"NEW","")))</f>
        <v> </v>
      </c>
      <c r="G6354" s="24" t="str">
        <f>IF(OR(E6354="",E6354="!!!"),"",IF(OR(J6354=0,AND(J6354=1,K6354=1),AND(J6354=1,I6354="SBJ"),AND(J6354=1,I6354=0)),"?IN_FOCUS",IF(J6354&lt;=2,"?ACTIVATED",IF(J6354&lt;&gt;"","?FAMILIAR",IF(F6354="NEW",IF(ISNA(VLOOKUP(E6354,#REF!,1,FALSE())),"?TYPE_IDENTIFIABLE","?REFERENTIAL"),"_")))))</f>
        <v> </v>
      </c>
      <c r="H6354" s="25" t="str">
        <f>IF(J6354&lt;&gt;1,"",IF(I6354="SBJ","CB","?"))</f>
        <v> </v>
      </c>
      <c r="I6354" s="26" t="str">
        <f>IF(OR(E6354="",E6354="!!!",F6354="NEW"),"",INDEX(B6353:B$2,-1+SUMPRODUCT(MAX(ROW(E6353:E$2)*(E6354=E6353:E$2)))))</f>
        <v> </v>
      </c>
      <c r="J6354" s="26" t="str">
        <f>IF(OR(E6354="",E6354="!!!",F6354="NEW"),"",COUNTBLANK(OFFSET(A$1,,,SUMPRODUCT(MAX(ROW(E$2:E6354)*(E6354=E$2:E6354)))))-COUNTBLANK(OFFSET(A$1,,,SUMPRODUCT(MAX(ROW(E$1:E6353)*(E2=E$1:E6353))))))</f>
        <v> </v>
      </c>
      <c r="K6354" s="26" t="str">
        <f>IF(OR(E6354="",E6354="!!!",F6354="NEW"),"",INDEX(J$1:J6353,SUMPRODUCT(MAX(ROW(E$1:E6353)*(E6354=E$1:E6353)))))</f>
        <v> </v>
      </c>
      <c r="L6354" s="27"/>
    </row>
    <row r="6355" spans="1:12">
      <c r="A6355" s="20" t="s">
        <v>1037</v>
      </c>
      <c r="E6355" s="22">
        <f>IF(D6355="?OLD","!!!","")</f>
        <v/>
      </c>
      <c r="F6355" s="23" t="str">
        <f>IF(OR(E6355="",E6355="!!!"),"",IF(NOT(ISNA(VLOOKUP(E6355,E$1:E6354,1,FALSE()))),"OLD",IF(AND(E6355&lt;&gt;"",E6355&lt;&gt;"!!!"),"NEW","")))</f>
        <v> </v>
      </c>
      <c r="G6355" s="24" t="str">
        <f>IF(OR(E6355="",E6355="!!!"),"",IF(OR(J6355=0,AND(J6355=1,K6355=1),AND(J6355=1,I6355="SBJ"),AND(J6355=1,I6355=0)),"?IN_FOCUS",IF(J6355&lt;=2,"?ACTIVATED",IF(J6355&lt;&gt;"","?FAMILIAR",IF(F6355="NEW",IF(ISNA(VLOOKUP(E6355,#REF!,1,FALSE())),"?TYPE_IDENTIFIABLE","?REFERENTIAL"),"_")))))</f>
        <v> </v>
      </c>
      <c r="H6355" s="25" t="str">
        <f>IF(J6355&lt;&gt;1,"",IF(I6355="SBJ","CB","?"))</f>
        <v> </v>
      </c>
      <c r="I6355" s="26" t="str">
        <f>IF(OR(E6355="",E6355="!!!",F6355="NEW"),"",INDEX(B6354:B$2,-1+SUMPRODUCT(MAX(ROW(E6354:E$2)*(E6355=E6354:E$2)))))</f>
        <v> </v>
      </c>
      <c r="J6355" s="26" t="str">
        <f>IF(OR(E6355="",E6355="!!!",F6355="NEW"),"",COUNTBLANK(OFFSET(A$1,,,SUMPRODUCT(MAX(ROW(E$2:E6355)*(E6355=E$2:E6355)))))-COUNTBLANK(OFFSET(A$1,,,SUMPRODUCT(MAX(ROW(E$1:E6354)*(E2=E$1:E6354))))))</f>
        <v> </v>
      </c>
      <c r="K6355" s="26" t="str">
        <f>IF(OR(E6355="",E6355="!!!",F6355="NEW"),"",INDEX(J$1:J6354,SUMPRODUCT(MAX(ROW(E$1:E6354)*(E6355=E$1:E6354)))))</f>
        <v> </v>
      </c>
      <c r="L6355" s="27"/>
    </row>
    <row r="6356" spans="1:12">
      <c r="A6356" s="20" t="s">
        <v>2159</v>
      </c>
      <c r="B6356" s="21" t="s">
        <v>995</v>
      </c>
      <c r="C6356" s="21" t="s">
        <v>1034</v>
      </c>
      <c r="D6356" s="21" t="s">
        <v>997</v>
      </c>
      <c r="E6356" s="22">
        <f>IF(D6356="?OLD","!!!","")</f>
        <v/>
      </c>
      <c r="F6356" s="23" t="str">
        <f>IF(OR(E6356="",E6356="!!!"),"",IF(NOT(ISNA(VLOOKUP(E6356,E$1:E6355,1,FALSE()))),"OLD",IF(AND(E6356&lt;&gt;"",E6356&lt;&gt;"!!!"),"NEW","")))</f>
        <v> </v>
      </c>
      <c r="G6356" s="24" t="str">
        <f>IF(OR(E6356="",E6356="!!!"),"",IF(OR(J6356=0,AND(J6356=1,K6356=1),AND(J6356=1,I6356="SBJ"),AND(J6356=1,I6356=0)),"?IN_FOCUS",IF(J6356&lt;=2,"?ACTIVATED",IF(J6356&lt;&gt;"","?FAMILIAR",IF(F6356="NEW",IF(ISNA(VLOOKUP(E6356,#REF!,1,FALSE())),"?TYPE_IDENTIFIABLE","?REFERENTIAL"),"_")))))</f>
        <v> </v>
      </c>
      <c r="H6356" s="25" t="str">
        <f>IF(J6356&lt;&gt;1,"",IF(I6356="SBJ","CB","?"))</f>
        <v> </v>
      </c>
      <c r="I6356" s="26" t="str">
        <f>IF(OR(E6356="",E6356="!!!",F6356="NEW"),"",INDEX(B6355:B$2,-1+SUMPRODUCT(MAX(ROW(E6355:E$2)*(E6356=E6355:E$2)))))</f>
        <v> </v>
      </c>
      <c r="J6356" s="26" t="str">
        <f>IF(OR(E6356="",E6356="!!!",F6356="NEW"),"",COUNTBLANK(OFFSET(A$1,,,SUMPRODUCT(MAX(ROW(E$2:E6356)*(E6356=E$2:E6356)))))-COUNTBLANK(OFFSET(A$1,,,SUMPRODUCT(MAX(ROW(E$1:E6355)*(E2=E$1:E6355))))))</f>
        <v> </v>
      </c>
      <c r="K6356" s="26" t="str">
        <f>IF(OR(E6356="",E6356="!!!",F6356="NEW"),"",INDEX(J$1:J6355,SUMPRODUCT(MAX(ROW(E$1:E6355)*(E6356=E$1:E6355)))))</f>
        <v> </v>
      </c>
      <c r="L6356" s="27"/>
    </row>
    <row r="6357" spans="1:12">
      <c r="A6357" s="20" t="s">
        <v>2366</v>
      </c>
      <c r="E6357" s="22">
        <f>IF(D6357="?OLD","!!!","")</f>
        <v/>
      </c>
      <c r="F6357" s="23" t="str">
        <f>IF(OR(E6357="",E6357="!!!"),"",IF(NOT(ISNA(VLOOKUP(E6357,E$1:E6356,1,FALSE()))),"OLD",IF(AND(E6357&lt;&gt;"",E6357&lt;&gt;"!!!"),"NEW","")))</f>
        <v> </v>
      </c>
      <c r="G6357" s="24" t="str">
        <f>IF(OR(E6357="",E6357="!!!"),"",IF(OR(J6357=0,AND(J6357=1,K6357=1),AND(J6357=1,I6357="SBJ"),AND(J6357=1,I6357=0)),"?IN_FOCUS",IF(J6357&lt;=2,"?ACTIVATED",IF(J6357&lt;&gt;"","?FAMILIAR",IF(F6357="NEW",IF(ISNA(VLOOKUP(E6357,#REF!,1,FALSE())),"?TYPE_IDENTIFIABLE","?REFERENTIAL"),"_")))))</f>
        <v> </v>
      </c>
      <c r="H6357" s="25" t="str">
        <f>IF(J6357&lt;&gt;1,"",IF(I6357="SBJ","CB","?"))</f>
        <v> </v>
      </c>
      <c r="I6357" s="26" t="str">
        <f>IF(OR(E6357="",E6357="!!!",F6357="NEW"),"",INDEX(B6356:B$2,-1+SUMPRODUCT(MAX(ROW(E6356:E$2)*(E6357=E6356:E$2)))))</f>
        <v> </v>
      </c>
      <c r="J6357" s="26" t="str">
        <f>IF(OR(E6357="",E6357="!!!",F6357="NEW"),"",COUNTBLANK(OFFSET(A$1,,,SUMPRODUCT(MAX(ROW(E$2:E6357)*(E6357=E$2:E6357)))))-COUNTBLANK(OFFSET(A$1,,,SUMPRODUCT(MAX(ROW(E$1:E6356)*(E2=E$1:E6356))))))</f>
        <v> </v>
      </c>
      <c r="K6357" s="26" t="str">
        <f>IF(OR(E6357="",E6357="!!!",F6357="NEW"),"",INDEX(J$1:J6356,SUMPRODUCT(MAX(ROW(E$1:E6356)*(E6357=E$1:E6356)))))</f>
        <v> </v>
      </c>
      <c r="L6357" s="27"/>
    </row>
    <row r="6358" spans="1:12">
      <c r="A6358" s="20" t="s">
        <v>1077</v>
      </c>
      <c r="E6358" s="22">
        <f>IF(D6358="?OLD","!!!","")</f>
        <v/>
      </c>
      <c r="F6358" s="23" t="str">
        <f>IF(OR(E6358="",E6358="!!!"),"",IF(NOT(ISNA(VLOOKUP(E6358,E$1:E6357,1,FALSE()))),"OLD",IF(AND(E6358&lt;&gt;"",E6358&lt;&gt;"!!!"),"NEW","")))</f>
        <v> </v>
      </c>
      <c r="G6358" s="24" t="str">
        <f>IF(OR(E6358="",E6358="!!!"),"",IF(OR(J6358=0,AND(J6358=1,K6358=1),AND(J6358=1,I6358="SBJ"),AND(J6358=1,I6358=0)),"?IN_FOCUS",IF(J6358&lt;=2,"?ACTIVATED",IF(J6358&lt;&gt;"","?FAMILIAR",IF(F6358="NEW",IF(ISNA(VLOOKUP(E6358,#REF!,1,FALSE())),"?TYPE_IDENTIFIABLE","?REFERENTIAL"),"_")))))</f>
        <v> </v>
      </c>
      <c r="H6358" s="25" t="str">
        <f>IF(J6358&lt;&gt;1,"",IF(I6358="SBJ","CB","?"))</f>
        <v> </v>
      </c>
      <c r="I6358" s="26" t="str">
        <f>IF(OR(E6358="",E6358="!!!",F6358="NEW"),"",INDEX(B6357:B$2,-1+SUMPRODUCT(MAX(ROW(E6357:E$2)*(E6358=E6357:E$2)))))</f>
        <v> </v>
      </c>
      <c r="J6358" s="26" t="str">
        <f>IF(OR(E6358="",E6358="!!!",F6358="NEW"),"",COUNTBLANK(OFFSET(A$1,,,SUMPRODUCT(MAX(ROW(E$2:E6358)*(E6358=E$2:E6358)))))-COUNTBLANK(OFFSET(A$1,,,SUMPRODUCT(MAX(ROW(E$1:E6357)*(E2=E$1:E6357))))))</f>
        <v> </v>
      </c>
      <c r="K6358" s="26" t="str">
        <f>IF(OR(E6358="",E6358="!!!",F6358="NEW"),"",INDEX(J$1:J6357,SUMPRODUCT(MAX(ROW(E$1:E6357)*(E6358=E$1:E6357)))))</f>
        <v> </v>
      </c>
      <c r="L6358" s="27"/>
    </row>
    <row r="6359" spans="1:12">
      <c r="A6359" s="20" t="s">
        <v>1061</v>
      </c>
      <c r="B6359" s="21" t="s">
        <v>1001</v>
      </c>
      <c r="C6359" s="21" t="s">
        <v>996</v>
      </c>
      <c r="D6359" s="21" t="s">
        <v>997</v>
      </c>
      <c r="E6359" s="22">
        <f>IF(D6359="?OLD","!!!","")</f>
        <v/>
      </c>
      <c r="F6359" s="23" t="str">
        <f>IF(OR(E6359="",E6359="!!!"),"",IF(NOT(ISNA(VLOOKUP(E6359,E$1:E6358,1,FALSE()))),"OLD",IF(AND(E6359&lt;&gt;"",E6359&lt;&gt;"!!!"),"NEW","")))</f>
        <v> </v>
      </c>
      <c r="G6359" s="24" t="str">
        <f>IF(OR(E6359="",E6359="!!!"),"",IF(OR(J6359=0,AND(J6359=1,K6359=1),AND(J6359=1,I6359="SBJ"),AND(J6359=1,I6359=0)),"?IN_FOCUS",IF(J6359&lt;=2,"?ACTIVATED",IF(J6359&lt;&gt;"","?FAMILIAR",IF(F6359="NEW",IF(ISNA(VLOOKUP(E6359,#REF!,1,FALSE())),"?TYPE_IDENTIFIABLE","?REFERENTIAL"),"_")))))</f>
        <v> </v>
      </c>
      <c r="H6359" s="25" t="str">
        <f>IF(J6359&lt;&gt;1,"",IF(I6359="SBJ","CB","?"))</f>
        <v> </v>
      </c>
      <c r="I6359" s="26" t="str">
        <f>IF(OR(E6359="",E6359="!!!",F6359="NEW"),"",INDEX(B6358:B$2,-1+SUMPRODUCT(MAX(ROW(E6358:E$2)*(E6359=E6358:E$2)))))</f>
        <v> </v>
      </c>
      <c r="J6359" s="26" t="str">
        <f>IF(OR(E6359="",E6359="!!!",F6359="NEW"),"",COUNTBLANK(OFFSET(A$1,,,SUMPRODUCT(MAX(ROW(E$2:E6359)*(E6359=E$2:E6359)))))-COUNTBLANK(OFFSET(A$1,,,SUMPRODUCT(MAX(ROW(E$1:E6358)*(E2=E$1:E6358))))))</f>
        <v> </v>
      </c>
      <c r="K6359" s="26" t="str">
        <f>IF(OR(E6359="",E6359="!!!",F6359="NEW"),"",INDEX(J$1:J6358,SUMPRODUCT(MAX(ROW(E$1:E6358)*(E6359=E$1:E6358)))))</f>
        <v> </v>
      </c>
      <c r="L6359" s="27"/>
    </row>
    <row r="6360" spans="1:12">
      <c r="A6360" s="20" t="s">
        <v>322</v>
      </c>
      <c r="E6360" s="22">
        <f>IF(D6360="?OLD","!!!","")</f>
        <v/>
      </c>
      <c r="F6360" s="23" t="str">
        <f>IF(OR(E6360="",E6360="!!!"),"",IF(NOT(ISNA(VLOOKUP(E6360,E$1:E6359,1,FALSE()))),"OLD",IF(AND(E6360&lt;&gt;"",E6360&lt;&gt;"!!!"),"NEW","")))</f>
        <v> </v>
      </c>
      <c r="G6360" s="24" t="str">
        <f>IF(OR(E6360="",E6360="!!!"),"",IF(OR(J6360=0,AND(J6360=1,K6360=1),AND(J6360=1,I6360="SBJ"),AND(J6360=1,I6360=0)),"?IN_FOCUS",IF(J6360&lt;=2,"?ACTIVATED",IF(J6360&lt;&gt;"","?FAMILIAR",IF(F6360="NEW",IF(ISNA(VLOOKUP(E6360,#REF!,1,FALSE())),"?TYPE_IDENTIFIABLE","?REFERENTIAL"),"_")))))</f>
        <v> </v>
      </c>
      <c r="H6360" s="25" t="str">
        <f>IF(J6360&lt;&gt;1,"",IF(I6360="SBJ","CB","?"))</f>
        <v> </v>
      </c>
      <c r="I6360" s="26" t="str">
        <f>IF(OR(E6360="",E6360="!!!",F6360="NEW"),"",INDEX(B6359:B$2,-1+SUMPRODUCT(MAX(ROW(E6359:E$2)*(E6360=E6359:E$2)))))</f>
        <v> </v>
      </c>
      <c r="J6360" s="26" t="str">
        <f>IF(OR(E6360="",E6360="!!!",F6360="NEW"),"",COUNTBLANK(OFFSET(A$1,,,SUMPRODUCT(MAX(ROW(E$2:E6360)*(E6360=E$2:E6360)))))-COUNTBLANK(OFFSET(A$1,,,SUMPRODUCT(MAX(ROW(E$1:E6359)*(E2=E$1:E6359))))))</f>
        <v> </v>
      </c>
      <c r="K6360" s="26" t="str">
        <f>IF(OR(E6360="",E6360="!!!",F6360="NEW"),"",INDEX(J$1:J6359,SUMPRODUCT(MAX(ROW(E$1:E6359)*(E6360=E$1:E6359)))))</f>
        <v> </v>
      </c>
      <c r="L6360" s="27"/>
    </row>
    <row r="6361" spans="1:12">
      <c r="A6361" s="20" t="s">
        <v>1011</v>
      </c>
      <c r="E6361" s="22">
        <f>IF(D6361="?OLD","!!!","")</f>
        <v/>
      </c>
      <c r="F6361" s="23" t="str">
        <f>IF(OR(E6361="",E6361="!!!"),"",IF(NOT(ISNA(VLOOKUP(E6361,E$1:E6360,1,FALSE()))),"OLD",IF(AND(E6361&lt;&gt;"",E6361&lt;&gt;"!!!"),"NEW","")))</f>
        <v> </v>
      </c>
      <c r="G6361" s="24" t="str">
        <f>IF(OR(E6361="",E6361="!!!"),"",IF(OR(J6361=0,AND(J6361=1,K6361=1),AND(J6361=1,I6361="SBJ"),AND(J6361=1,I6361=0)),"?IN_FOCUS",IF(J6361&lt;=2,"?ACTIVATED",IF(J6361&lt;&gt;"","?FAMILIAR",IF(F6361="NEW",IF(ISNA(VLOOKUP(E6361,#REF!,1,FALSE())),"?TYPE_IDENTIFIABLE","?REFERENTIAL"),"_")))))</f>
        <v> </v>
      </c>
      <c r="H6361" s="25" t="str">
        <f>IF(J6361&lt;&gt;1,"",IF(I6361="SBJ","CB","?"))</f>
        <v> </v>
      </c>
      <c r="I6361" s="26" t="str">
        <f>IF(OR(E6361="",E6361="!!!",F6361="NEW"),"",INDEX(B6360:B$2,-1+SUMPRODUCT(MAX(ROW(E6360:E$2)*(E6361=E6360:E$2)))))</f>
        <v> </v>
      </c>
      <c r="J6361" s="26" t="str">
        <f>IF(OR(E6361="",E6361="!!!",F6361="NEW"),"",COUNTBLANK(OFFSET(A$1,,,SUMPRODUCT(MAX(ROW(E$2:E6361)*(E6361=E$2:E6361)))))-COUNTBLANK(OFFSET(A$1,,,SUMPRODUCT(MAX(ROW(E$1:E6360)*(E2=E$1:E6360))))))</f>
        <v> </v>
      </c>
      <c r="K6361" s="26" t="str">
        <f>IF(OR(E6361="",E6361="!!!",F6361="NEW"),"",INDEX(J$1:J6360,SUMPRODUCT(MAX(ROW(E$1:E6360)*(E6361=E$1:E6360)))))</f>
        <v> </v>
      </c>
      <c r="L6361" s="27"/>
    </row>
    <row r="6362" spans="1:12">
      <c r="A6362" s="20"/>
    </row>
    <row r="6363" spans="1:12">
      <c r="A6363" s="20" t="s">
        <v>2583</v>
      </c>
    </row>
    <row r="6364" spans="1:12">
      <c r="A6364" s="20" t="s">
        <v>1338</v>
      </c>
      <c r="B6364" s="21" t="s">
        <v>1067</v>
      </c>
      <c r="C6364" s="21" t="s">
        <v>1015</v>
      </c>
      <c r="D6364" s="21" t="s">
        <v>997</v>
      </c>
      <c r="E6364" s="22">
        <f>IF(D6364="?OLD","!!!","")</f>
        <v/>
      </c>
      <c r="F6364" s="23" t="str">
        <f>IF(OR(E6364="",E6364="!!!"),"",IF(NOT(ISNA(VLOOKUP(E6364,E$1:E6363,1,FALSE()))),"OLD",IF(AND(E6364&lt;&gt;"",E6364&lt;&gt;"!!!"),"NEW","")))</f>
        <v> </v>
      </c>
      <c r="G6364" s="24" t="str">
        <f>IF(OR(E6364="",E6364="!!!"),"",IF(OR(J6364=0,AND(J6364=1,K6364=1),AND(J6364=1,I6364="SBJ"),AND(J6364=1,I6364=0)),"?IN_FOCUS",IF(J6364&lt;=2,"?ACTIVATED",IF(J6364&lt;&gt;"","?FAMILIAR",IF(F6364="NEW",IF(ISNA(VLOOKUP(E6364,#REF!,1,FALSE())),"?TYPE_IDENTIFIABLE","?REFERENTIAL"),"_")))))</f>
        <v> </v>
      </c>
      <c r="H6364" s="25" t="str">
        <f>IF(J6364&lt;&gt;1,"",IF(I6364="SBJ","CB","?"))</f>
        <v> </v>
      </c>
      <c r="I6364" s="26" t="str">
        <f>IF(OR(E6364="",E6364="!!!",F6364="NEW"),"",INDEX(B6363:B$2,-1+SUMPRODUCT(MAX(ROW(E6363:E$2)*(E6364=E6363:E$2)))))</f>
        <v> </v>
      </c>
      <c r="J6364" s="26" t="str">
        <f>IF(OR(E6364="",E6364="!!!",F6364="NEW"),"",COUNTBLANK(OFFSET(A$1,,,SUMPRODUCT(MAX(ROW(E$2:E6364)*(E6364=E$2:E6364)))))-COUNTBLANK(OFFSET(A$1,,,SUMPRODUCT(MAX(ROW(E$1:E6363)*(E2=E$1:E6363))))))</f>
        <v> </v>
      </c>
      <c r="K6364" s="26" t="str">
        <f>IF(OR(E6364="",E6364="!!!",F6364="NEW"),"",INDEX(J$1:J6363,SUMPRODUCT(MAX(ROW(E$1:E6363)*(E6364=E$1:E6363)))))</f>
        <v> </v>
      </c>
      <c r="L6364" s="27"/>
    </row>
    <row r="6365" spans="1:12">
      <c r="A6365" s="20" t="s">
        <v>1022</v>
      </c>
      <c r="B6365" s="21" t="s">
        <v>1088</v>
      </c>
      <c r="E6365" s="22">
        <f>IF(D6365="?OLD","!!!","")</f>
        <v/>
      </c>
      <c r="F6365" s="23" t="str">
        <f>IF(OR(E6365="",E6365="!!!"),"",IF(NOT(ISNA(VLOOKUP(E6365,E$1:E6364,1,FALSE()))),"OLD",IF(AND(E6365&lt;&gt;"",E6365&lt;&gt;"!!!"),"NEW","")))</f>
        <v> </v>
      </c>
      <c r="G6365" s="24" t="str">
        <f>IF(OR(E6365="",E6365="!!!"),"",IF(OR(J6365=0,AND(J6365=1,K6365=1),AND(J6365=1,I6365="SBJ"),AND(J6365=1,I6365=0)),"?IN_FOCUS",IF(J6365&lt;=2,"?ACTIVATED",IF(J6365&lt;&gt;"","?FAMILIAR",IF(F6365="NEW",IF(ISNA(VLOOKUP(E6365,#REF!,1,FALSE())),"?TYPE_IDENTIFIABLE","?REFERENTIAL"),"_")))))</f>
        <v> </v>
      </c>
      <c r="H6365" s="25" t="str">
        <f>IF(J6365&lt;&gt;1,"",IF(I6365="SBJ","CB","?"))</f>
        <v> </v>
      </c>
      <c r="I6365" s="26" t="str">
        <f>IF(OR(E6365="",E6365="!!!",F6365="NEW"),"",INDEX(B6364:B$2,-1+SUMPRODUCT(MAX(ROW(E6364:E$2)*(E6365=E6364:E$2)))))</f>
        <v> </v>
      </c>
      <c r="J6365" s="26" t="str">
        <f>IF(OR(E6365="",E6365="!!!",F6365="NEW"),"",COUNTBLANK(OFFSET(A$1,,,SUMPRODUCT(MAX(ROW(E$2:E6365)*(E6365=E$2:E6365)))))-COUNTBLANK(OFFSET(A$1,,,SUMPRODUCT(MAX(ROW(E$1:E6364)*(E2=E$1:E6364))))))</f>
        <v> </v>
      </c>
      <c r="K6365" s="26" t="str">
        <f>IF(OR(E6365="",E6365="!!!",F6365="NEW"),"",INDEX(J$1:J6364,SUMPRODUCT(MAX(ROW(E$1:E6364)*(E6365=E$1:E6364)))))</f>
        <v> </v>
      </c>
      <c r="L6365" s="27"/>
    </row>
    <row r="6366" spans="1:12">
      <c r="A6366" s="20" t="s">
        <v>1547</v>
      </c>
      <c r="B6366" s="21" t="s">
        <v>1027</v>
      </c>
      <c r="C6366" s="21" t="s">
        <v>996</v>
      </c>
      <c r="D6366" s="21" t="s">
        <v>997</v>
      </c>
      <c r="E6366" s="22">
        <f>IF(D6366="?OLD","!!!","")</f>
        <v/>
      </c>
      <c r="F6366" s="23" t="str">
        <f>IF(OR(E6366="",E6366="!!!"),"",IF(NOT(ISNA(VLOOKUP(E6366,E$1:E6365,1,FALSE()))),"OLD",IF(AND(E6366&lt;&gt;"",E6366&lt;&gt;"!!!"),"NEW","")))</f>
        <v> </v>
      </c>
      <c r="G6366" s="24" t="str">
        <f>IF(OR(E6366="",E6366="!!!"),"",IF(OR(J6366=0,AND(J6366=1,K6366=1),AND(J6366=1,I6366="SBJ"),AND(J6366=1,I6366=0)),"?IN_FOCUS",IF(J6366&lt;=2,"?ACTIVATED",IF(J6366&lt;&gt;"","?FAMILIAR",IF(F6366="NEW",IF(ISNA(VLOOKUP(E6366,#REF!,1,FALSE())),"?TYPE_IDENTIFIABLE","?REFERENTIAL"),"_")))))</f>
        <v> </v>
      </c>
      <c r="H6366" s="25" t="str">
        <f>IF(J6366&lt;&gt;1,"",IF(I6366="SBJ","CB","?"))</f>
        <v> </v>
      </c>
      <c r="I6366" s="26" t="str">
        <f>IF(OR(E6366="",E6366="!!!",F6366="NEW"),"",INDEX(B6365:B$2,-1+SUMPRODUCT(MAX(ROW(E6365:E$2)*(E6366=E6365:E$2)))))</f>
        <v> </v>
      </c>
      <c r="J6366" s="26" t="str">
        <f>IF(OR(E6366="",E6366="!!!",F6366="NEW"),"",COUNTBLANK(OFFSET(A$1,,,SUMPRODUCT(MAX(ROW(E$2:E6366)*(E6366=E$2:E6366)))))-COUNTBLANK(OFFSET(A$1,,,SUMPRODUCT(MAX(ROW(E$1:E6365)*(E2=E$1:E6365))))))</f>
        <v> </v>
      </c>
      <c r="K6366" s="26" t="str">
        <f>IF(OR(E6366="",E6366="!!!",F6366="NEW"),"",INDEX(J$1:J6365,SUMPRODUCT(MAX(ROW(E$1:E6365)*(E6366=E$1:E6365)))))</f>
        <v> </v>
      </c>
      <c r="L6366" s="27"/>
    </row>
    <row r="6367" spans="1:12">
      <c r="A6367" s="20" t="s">
        <v>1548</v>
      </c>
      <c r="E6367" s="22">
        <f>IF(D6367="?OLD","!!!","")</f>
        <v/>
      </c>
      <c r="F6367" s="23" t="str">
        <f>IF(OR(E6367="",E6367="!!!"),"",IF(NOT(ISNA(VLOOKUP(E6367,E$1:E6366,1,FALSE()))),"OLD",IF(AND(E6367&lt;&gt;"",E6367&lt;&gt;"!!!"),"NEW","")))</f>
        <v> </v>
      </c>
      <c r="G6367" s="24" t="str">
        <f>IF(OR(E6367="",E6367="!!!"),"",IF(OR(J6367=0,AND(J6367=1,K6367=1),AND(J6367=1,I6367="SBJ"),AND(J6367=1,I6367=0)),"?IN_FOCUS",IF(J6367&lt;=2,"?ACTIVATED",IF(J6367&lt;&gt;"","?FAMILIAR",IF(F6367="NEW",IF(ISNA(VLOOKUP(E6367,#REF!,1,FALSE())),"?TYPE_IDENTIFIABLE","?REFERENTIAL"),"_")))))</f>
        <v> </v>
      </c>
      <c r="H6367" s="25" t="str">
        <f>IF(J6367&lt;&gt;1,"",IF(I6367="SBJ","CB","?"))</f>
        <v> </v>
      </c>
      <c r="I6367" s="26" t="str">
        <f>IF(OR(E6367="",E6367="!!!",F6367="NEW"),"",INDEX(B6366:B$2,-1+SUMPRODUCT(MAX(ROW(E6366:E$2)*(E6367=E6366:E$2)))))</f>
        <v> </v>
      </c>
      <c r="J6367" s="26" t="str">
        <f>IF(OR(E6367="",E6367="!!!",F6367="NEW"),"",COUNTBLANK(OFFSET(A$1,,,SUMPRODUCT(MAX(ROW(E$2:E6367)*(E6367=E$2:E6367)))))-COUNTBLANK(OFFSET(A$1,,,SUMPRODUCT(MAX(ROW(E$1:E6366)*(E2=E$1:E6366))))))</f>
        <v> </v>
      </c>
      <c r="K6367" s="26" t="str">
        <f>IF(OR(E6367="",E6367="!!!",F6367="NEW"),"",INDEX(J$1:J6366,SUMPRODUCT(MAX(ROW(E$1:E6366)*(E6367=E$1:E6366)))))</f>
        <v> </v>
      </c>
      <c r="L6367" s="27"/>
    </row>
    <row r="6368" spans="1:12">
      <c r="A6368" s="20" t="s">
        <v>338</v>
      </c>
      <c r="E6368" s="22">
        <f>IF(D6368="?OLD","!!!","")</f>
        <v/>
      </c>
      <c r="F6368" s="23" t="str">
        <f>IF(OR(E6368="",E6368="!!!"),"",IF(NOT(ISNA(VLOOKUP(E6368,E$1:E6367,1,FALSE()))),"OLD",IF(AND(E6368&lt;&gt;"",E6368&lt;&gt;"!!!"),"NEW","")))</f>
        <v> </v>
      </c>
      <c r="G6368" s="24" t="str">
        <f>IF(OR(E6368="",E6368="!!!"),"",IF(OR(J6368=0,AND(J6368=1,K6368=1),AND(J6368=1,I6368="SBJ"),AND(J6368=1,I6368=0)),"?IN_FOCUS",IF(J6368&lt;=2,"?ACTIVATED",IF(J6368&lt;&gt;"","?FAMILIAR",IF(F6368="NEW",IF(ISNA(VLOOKUP(E6368,#REF!,1,FALSE())),"?TYPE_IDENTIFIABLE","?REFERENTIAL"),"_")))))</f>
        <v> </v>
      </c>
      <c r="H6368" s="25" t="str">
        <f>IF(J6368&lt;&gt;1,"",IF(I6368="SBJ","CB","?"))</f>
        <v> </v>
      </c>
      <c r="I6368" s="26" t="str">
        <f>IF(OR(E6368="",E6368="!!!",F6368="NEW"),"",INDEX(B6367:B$2,-1+SUMPRODUCT(MAX(ROW(E6367:E$2)*(E6368=E6367:E$2)))))</f>
        <v> </v>
      </c>
      <c r="J6368" s="26" t="str">
        <f>IF(OR(E6368="",E6368="!!!",F6368="NEW"),"",COUNTBLANK(OFFSET(A$1,,,SUMPRODUCT(MAX(ROW(E$2:E6368)*(E6368=E$2:E6368)))))-COUNTBLANK(OFFSET(A$1,,,SUMPRODUCT(MAX(ROW(E$1:E6367)*(E2=E$1:E6367))))))</f>
        <v> </v>
      </c>
      <c r="K6368" s="26" t="str">
        <f>IF(OR(E6368="",E6368="!!!",F6368="NEW"),"",INDEX(J$1:J6367,SUMPRODUCT(MAX(ROW(E$1:E6367)*(E6368=E$1:E6367)))))</f>
        <v> </v>
      </c>
      <c r="L6368" s="27"/>
    </row>
    <row r="6369" spans="1:12">
      <c r="A6369" s="20" t="s">
        <v>1041</v>
      </c>
      <c r="E6369" s="22">
        <f>IF(D6369="?OLD","!!!","")</f>
        <v/>
      </c>
      <c r="F6369" s="23" t="str">
        <f>IF(OR(E6369="",E6369="!!!"),"",IF(NOT(ISNA(VLOOKUP(E6369,E$1:E6368,1,FALSE()))),"OLD",IF(AND(E6369&lt;&gt;"",E6369&lt;&gt;"!!!"),"NEW","")))</f>
        <v> </v>
      </c>
      <c r="G6369" s="24" t="str">
        <f>IF(OR(E6369="",E6369="!!!"),"",IF(OR(J6369=0,AND(J6369=1,K6369=1),AND(J6369=1,I6369="SBJ"),AND(J6369=1,I6369=0)),"?IN_FOCUS",IF(J6369&lt;=2,"?ACTIVATED",IF(J6369&lt;&gt;"","?FAMILIAR",IF(F6369="NEW",IF(ISNA(VLOOKUP(E6369,#REF!,1,FALSE())),"?TYPE_IDENTIFIABLE","?REFERENTIAL"),"_")))))</f>
        <v> </v>
      </c>
      <c r="H6369" s="25" t="str">
        <f>IF(J6369&lt;&gt;1,"",IF(I6369="SBJ","CB","?"))</f>
        <v> </v>
      </c>
      <c r="I6369" s="26" t="str">
        <f>IF(OR(E6369="",E6369="!!!",F6369="NEW"),"",INDEX(B6368:B$2,-1+SUMPRODUCT(MAX(ROW(E6368:E$2)*(E6369=E6368:E$2)))))</f>
        <v> </v>
      </c>
      <c r="J6369" s="26" t="str">
        <f>IF(OR(E6369="",E6369="!!!",F6369="NEW"),"",COUNTBLANK(OFFSET(A$1,,,SUMPRODUCT(MAX(ROW(E$2:E6369)*(E6369=E$2:E6369)))))-COUNTBLANK(OFFSET(A$1,,,SUMPRODUCT(MAX(ROW(E$1:E6368)*(E2=E$1:E6368))))))</f>
        <v> </v>
      </c>
      <c r="K6369" s="26" t="str">
        <f>IF(OR(E6369="",E6369="!!!",F6369="NEW"),"",INDEX(J$1:J6368,SUMPRODUCT(MAX(ROW(E$1:E6368)*(E6369=E$1:E6368)))))</f>
        <v> </v>
      </c>
      <c r="L6369" s="27"/>
    </row>
    <row r="6370" spans="1:12">
      <c r="A6370" s="20" t="s">
        <v>1175</v>
      </c>
      <c r="B6370" s="21" t="s">
        <v>995</v>
      </c>
      <c r="C6370" s="21" t="s">
        <v>1015</v>
      </c>
      <c r="D6370" s="21" t="s">
        <v>997</v>
      </c>
      <c r="E6370" s="22">
        <f>IF(D6370="?OLD","!!!","")</f>
        <v/>
      </c>
      <c r="F6370" s="23" t="str">
        <f>IF(OR(E6370="",E6370="!!!"),"",IF(NOT(ISNA(VLOOKUP(E6370,E$1:E6369,1,FALSE()))),"OLD",IF(AND(E6370&lt;&gt;"",E6370&lt;&gt;"!!!"),"NEW","")))</f>
        <v> </v>
      </c>
      <c r="G6370" s="24" t="str">
        <f>IF(OR(E6370="",E6370="!!!"),"",IF(OR(J6370=0,AND(J6370=1,K6370=1),AND(J6370=1,I6370="SBJ"),AND(J6370=1,I6370=0)),"?IN_FOCUS",IF(J6370&lt;=2,"?ACTIVATED",IF(J6370&lt;&gt;"","?FAMILIAR",IF(F6370="NEW",IF(ISNA(VLOOKUP(E6370,#REF!,1,FALSE())),"?TYPE_IDENTIFIABLE","?REFERENTIAL"),"_")))))</f>
        <v> </v>
      </c>
      <c r="H6370" s="25" t="str">
        <f>IF(J6370&lt;&gt;1,"",IF(I6370="SBJ","CB","?"))</f>
        <v> </v>
      </c>
      <c r="I6370" s="26" t="str">
        <f>IF(OR(E6370="",E6370="!!!",F6370="NEW"),"",INDEX(B6369:B$2,-1+SUMPRODUCT(MAX(ROW(E6369:E$2)*(E6370=E6369:E$2)))))</f>
        <v> </v>
      </c>
      <c r="J6370" s="26" t="str">
        <f>IF(OR(E6370="",E6370="!!!",F6370="NEW"),"",COUNTBLANK(OFFSET(A$1,,,SUMPRODUCT(MAX(ROW(E$2:E6370)*(E6370=E$2:E6370)))))-COUNTBLANK(OFFSET(A$1,,,SUMPRODUCT(MAX(ROW(E$1:E6369)*(E2=E$1:E6369))))))</f>
        <v> </v>
      </c>
      <c r="K6370" s="26" t="str">
        <f>IF(OR(E6370="",E6370="!!!",F6370="NEW"),"",INDEX(J$1:J6369,SUMPRODUCT(MAX(ROW(E$1:E6369)*(E6370=E$1:E6369)))))</f>
        <v> </v>
      </c>
      <c r="L6370" s="27"/>
    </row>
    <row r="6371" spans="1:12">
      <c r="A6371" s="20" t="s">
        <v>423</v>
      </c>
      <c r="E6371" s="22">
        <f>IF(D6371="?OLD","!!!","")</f>
        <v/>
      </c>
      <c r="F6371" s="23" t="str">
        <f>IF(OR(E6371="",E6371="!!!"),"",IF(NOT(ISNA(VLOOKUP(E6371,E$1:E6370,1,FALSE()))),"OLD",IF(AND(E6371&lt;&gt;"",E6371&lt;&gt;"!!!"),"NEW","")))</f>
        <v> </v>
      </c>
      <c r="G6371" s="24" t="str">
        <f>IF(OR(E6371="",E6371="!!!"),"",IF(OR(J6371=0,AND(J6371=1,K6371=1),AND(J6371=1,I6371="SBJ"),AND(J6371=1,I6371=0)),"?IN_FOCUS",IF(J6371&lt;=2,"?ACTIVATED",IF(J6371&lt;&gt;"","?FAMILIAR",IF(F6371="NEW",IF(ISNA(VLOOKUP(E6371,#REF!,1,FALSE())),"?TYPE_IDENTIFIABLE","?REFERENTIAL"),"_")))))</f>
        <v> </v>
      </c>
      <c r="H6371" s="25" t="str">
        <f>IF(J6371&lt;&gt;1,"",IF(I6371="SBJ","CB","?"))</f>
        <v> </v>
      </c>
      <c r="I6371" s="26" t="str">
        <f>IF(OR(E6371="",E6371="!!!",F6371="NEW"),"",INDEX(B6370:B$2,-1+SUMPRODUCT(MAX(ROW(E6370:E$2)*(E6371=E6370:E$2)))))</f>
        <v> </v>
      </c>
      <c r="J6371" s="26" t="str">
        <f>IF(OR(E6371="",E6371="!!!",F6371="NEW"),"",COUNTBLANK(OFFSET(A$1,,,SUMPRODUCT(MAX(ROW(E$2:E6371)*(E6371=E$2:E6371)))))-COUNTBLANK(OFFSET(A$1,,,SUMPRODUCT(MAX(ROW(E$1:E6370)*(E2=E$1:E6370))))))</f>
        <v> </v>
      </c>
      <c r="K6371" s="26" t="str">
        <f>IF(OR(E6371="",E6371="!!!",F6371="NEW"),"",INDEX(J$1:J6370,SUMPRODUCT(MAX(ROW(E$1:E6370)*(E6371=E$1:E6370)))))</f>
        <v> </v>
      </c>
      <c r="L6371" s="27"/>
    </row>
    <row r="6372" spans="1:12">
      <c r="A6372" s="20" t="s">
        <v>1022</v>
      </c>
      <c r="E6372" s="22">
        <f>IF(D6372="?OLD","!!!","")</f>
        <v/>
      </c>
      <c r="F6372" s="23" t="str">
        <f>IF(OR(E6372="",E6372="!!!"),"",IF(NOT(ISNA(VLOOKUP(E6372,E$1:E6371,1,FALSE()))),"OLD",IF(AND(E6372&lt;&gt;"",E6372&lt;&gt;"!!!"),"NEW","")))</f>
        <v> </v>
      </c>
      <c r="G6372" s="24" t="str">
        <f>IF(OR(E6372="",E6372="!!!"),"",IF(OR(J6372=0,AND(J6372=1,K6372=1),AND(J6372=1,I6372="SBJ"),AND(J6372=1,I6372=0)),"?IN_FOCUS",IF(J6372&lt;=2,"?ACTIVATED",IF(J6372&lt;&gt;"","?FAMILIAR",IF(F6372="NEW",IF(ISNA(VLOOKUP(E6372,#REF!,1,FALSE())),"?TYPE_IDENTIFIABLE","?REFERENTIAL"),"_")))))</f>
        <v> </v>
      </c>
      <c r="H6372" s="25" t="str">
        <f>IF(J6372&lt;&gt;1,"",IF(I6372="SBJ","CB","?"))</f>
        <v> </v>
      </c>
      <c r="I6372" s="26" t="str">
        <f>IF(OR(E6372="",E6372="!!!",F6372="NEW"),"",INDEX(B6371:B$2,-1+SUMPRODUCT(MAX(ROW(E6371:E$2)*(E6372=E6371:E$2)))))</f>
        <v> </v>
      </c>
      <c r="J6372" s="26" t="str">
        <f>IF(OR(E6372="",E6372="!!!",F6372="NEW"),"",COUNTBLANK(OFFSET(A$1,,,SUMPRODUCT(MAX(ROW(E$2:E6372)*(E6372=E$2:E6372)))))-COUNTBLANK(OFFSET(A$1,,,SUMPRODUCT(MAX(ROW(E$1:E6371)*(E2=E$1:E6371))))))</f>
        <v> </v>
      </c>
      <c r="K6372" s="26" t="str">
        <f>IF(OR(E6372="",E6372="!!!",F6372="NEW"),"",INDEX(J$1:J6371,SUMPRODUCT(MAX(ROW(E$1:E6371)*(E6372=E$1:E6371)))))</f>
        <v> </v>
      </c>
      <c r="L6372" s="27"/>
    </row>
    <row r="6373" spans="1:12">
      <c r="A6373" s="20" t="s">
        <v>1044</v>
      </c>
      <c r="B6373" s="21" t="s">
        <v>1142</v>
      </c>
      <c r="C6373" s="21" t="s">
        <v>996</v>
      </c>
      <c r="D6373" s="21" t="s">
        <v>997</v>
      </c>
      <c r="E6373" s="22">
        <f>IF(D6373="?OLD","!!!","")</f>
        <v/>
      </c>
      <c r="F6373" s="23" t="str">
        <f>IF(OR(E6373="",E6373="!!!"),"",IF(NOT(ISNA(VLOOKUP(E6373,E$1:E6372,1,FALSE()))),"OLD",IF(AND(E6373&lt;&gt;"",E6373&lt;&gt;"!!!"),"NEW","")))</f>
        <v> </v>
      </c>
      <c r="G6373" s="24" t="str">
        <f>IF(OR(E6373="",E6373="!!!"),"",IF(OR(J6373=0,AND(J6373=1,K6373=1),AND(J6373=1,I6373="SBJ"),AND(J6373=1,I6373=0)),"?IN_FOCUS",IF(J6373&lt;=2,"?ACTIVATED",IF(J6373&lt;&gt;"","?FAMILIAR",IF(F6373="NEW",IF(ISNA(VLOOKUP(E6373,#REF!,1,FALSE())),"?TYPE_IDENTIFIABLE","?REFERENTIAL"),"_")))))</f>
        <v> </v>
      </c>
      <c r="H6373" s="25" t="str">
        <f>IF(J6373&lt;&gt;1,"",IF(I6373="SBJ","CB","?"))</f>
        <v> </v>
      </c>
      <c r="I6373" s="26" t="str">
        <f>IF(OR(E6373="",E6373="!!!",F6373="NEW"),"",INDEX(B6372:B$2,-1+SUMPRODUCT(MAX(ROW(E6372:E$2)*(E6373=E6372:E$2)))))</f>
        <v> </v>
      </c>
      <c r="J6373" s="26" t="str">
        <f>IF(OR(E6373="",E6373="!!!",F6373="NEW"),"",COUNTBLANK(OFFSET(A$1,,,SUMPRODUCT(MAX(ROW(E$2:E6373)*(E6373=E$2:E6373)))))-COUNTBLANK(OFFSET(A$1,,,SUMPRODUCT(MAX(ROW(E$1:E6372)*(E2=E$1:E6372))))))</f>
        <v> </v>
      </c>
      <c r="K6373" s="26" t="str">
        <f>IF(OR(E6373="",E6373="!!!",F6373="NEW"),"",INDEX(J$1:J6372,SUMPRODUCT(MAX(ROW(E$1:E6372)*(E6373=E$1:E6372)))))</f>
        <v> </v>
      </c>
      <c r="L6373" s="27"/>
    </row>
    <row r="6374" spans="1:12">
      <c r="A6374" s="20" t="s">
        <v>1805</v>
      </c>
      <c r="B6374" s="21" t="s">
        <v>1005</v>
      </c>
      <c r="C6374" s="21" t="s">
        <v>1133</v>
      </c>
      <c r="D6374" s="21" t="s">
        <v>997</v>
      </c>
      <c r="E6374" s="22">
        <f>IF(D6374="?OLD","!!!","")</f>
        <v/>
      </c>
      <c r="F6374" s="23" t="str">
        <f>IF(OR(E6374="",E6374="!!!"),"",IF(NOT(ISNA(VLOOKUP(E6374,E$1:E6373,1,FALSE()))),"OLD",IF(AND(E6374&lt;&gt;"",E6374&lt;&gt;"!!!"),"NEW","")))</f>
        <v> </v>
      </c>
      <c r="G6374" s="24" t="str">
        <f>IF(OR(E6374="",E6374="!!!"),"",IF(OR(J6374=0,AND(J6374=1,K6374=1),AND(J6374=1,I6374="SBJ"),AND(J6374=1,I6374=0)),"?IN_FOCUS",IF(J6374&lt;=2,"?ACTIVATED",IF(J6374&lt;&gt;"","?FAMILIAR",IF(F6374="NEW",IF(ISNA(VLOOKUP(E6374,#REF!,1,FALSE())),"?TYPE_IDENTIFIABLE","?REFERENTIAL"),"_")))))</f>
        <v> </v>
      </c>
      <c r="H6374" s="25" t="str">
        <f>IF(J6374&lt;&gt;1,"",IF(I6374="SBJ","CB","?"))</f>
        <v> </v>
      </c>
      <c r="I6374" s="26" t="str">
        <f>IF(OR(E6374="",E6374="!!!",F6374="NEW"),"",INDEX(B6373:B$2,-1+SUMPRODUCT(MAX(ROW(E6373:E$2)*(E6374=E6373:E$2)))))</f>
        <v> </v>
      </c>
      <c r="J6374" s="26" t="str">
        <f>IF(OR(E6374="",E6374="!!!",F6374="NEW"),"",COUNTBLANK(OFFSET(A$1,,,SUMPRODUCT(MAX(ROW(E$2:E6374)*(E6374=E$2:E6374)))))-COUNTBLANK(OFFSET(A$1,,,SUMPRODUCT(MAX(ROW(E$1:E6373)*(E2=E$1:E6373))))))</f>
        <v> </v>
      </c>
      <c r="K6374" s="26" t="str">
        <f>IF(OR(E6374="",E6374="!!!",F6374="NEW"),"",INDEX(J$1:J6373,SUMPRODUCT(MAX(ROW(E$1:E6373)*(E6374=E$1:E6373)))))</f>
        <v> </v>
      </c>
      <c r="L6374" s="27"/>
    </row>
    <row r="6375" spans="1:12">
      <c r="A6375" s="20" t="s">
        <v>1041</v>
      </c>
      <c r="E6375" s="22">
        <f>IF(D6375="?OLD","!!!","")</f>
        <v/>
      </c>
      <c r="F6375" s="23" t="str">
        <f>IF(OR(E6375="",E6375="!!!"),"",IF(NOT(ISNA(VLOOKUP(E6375,E$1:E6374,1,FALSE()))),"OLD",IF(AND(E6375&lt;&gt;"",E6375&lt;&gt;"!!!"),"NEW","")))</f>
        <v> </v>
      </c>
      <c r="G6375" s="24" t="str">
        <f>IF(OR(E6375="",E6375="!!!"),"",IF(OR(J6375=0,AND(J6375=1,K6375=1),AND(J6375=1,I6375="SBJ"),AND(J6375=1,I6375=0)),"?IN_FOCUS",IF(J6375&lt;=2,"?ACTIVATED",IF(J6375&lt;&gt;"","?FAMILIAR",IF(F6375="NEW",IF(ISNA(VLOOKUP(E6375,#REF!,1,FALSE())),"?TYPE_IDENTIFIABLE","?REFERENTIAL"),"_")))))</f>
        <v> </v>
      </c>
      <c r="H6375" s="25" t="str">
        <f>IF(J6375&lt;&gt;1,"",IF(I6375="SBJ","CB","?"))</f>
        <v> </v>
      </c>
      <c r="I6375" s="26" t="str">
        <f>IF(OR(E6375="",E6375="!!!",F6375="NEW"),"",INDEX(B6374:B$2,-1+SUMPRODUCT(MAX(ROW(E6374:E$2)*(E6375=E6374:E$2)))))</f>
        <v> </v>
      </c>
      <c r="J6375" s="26" t="str">
        <f>IF(OR(E6375="",E6375="!!!",F6375="NEW"),"",COUNTBLANK(OFFSET(A$1,,,SUMPRODUCT(MAX(ROW(E$2:E6375)*(E6375=E$2:E6375)))))-COUNTBLANK(OFFSET(A$1,,,SUMPRODUCT(MAX(ROW(E$1:E6374)*(E2=E$1:E6374))))))</f>
        <v> </v>
      </c>
      <c r="K6375" s="26" t="str">
        <f>IF(OR(E6375="",E6375="!!!",F6375="NEW"),"",INDEX(J$1:J6374,SUMPRODUCT(MAX(ROW(E$1:E6374)*(E6375=E$1:E6374)))))</f>
        <v> </v>
      </c>
      <c r="L6375" s="27"/>
    </row>
    <row r="6376" spans="1:12">
      <c r="A6376" s="20" t="s">
        <v>1462</v>
      </c>
      <c r="E6376" s="22">
        <f>IF(D6376="?OLD","!!!","")</f>
        <v/>
      </c>
      <c r="F6376" s="23" t="str">
        <f>IF(OR(E6376="",E6376="!!!"),"",IF(NOT(ISNA(VLOOKUP(E6376,E$1:E6375,1,FALSE()))),"OLD",IF(AND(E6376&lt;&gt;"",E6376&lt;&gt;"!!!"),"NEW","")))</f>
        <v> </v>
      </c>
      <c r="G6376" s="24" t="str">
        <f>IF(OR(E6376="",E6376="!!!"),"",IF(OR(J6376=0,AND(J6376=1,K6376=1),AND(J6376=1,I6376="SBJ"),AND(J6376=1,I6376=0)),"?IN_FOCUS",IF(J6376&lt;=2,"?ACTIVATED",IF(J6376&lt;&gt;"","?FAMILIAR",IF(F6376="NEW",IF(ISNA(VLOOKUP(E6376,#REF!,1,FALSE())),"?TYPE_IDENTIFIABLE","?REFERENTIAL"),"_")))))</f>
        <v> </v>
      </c>
      <c r="H6376" s="25" t="str">
        <f>IF(J6376&lt;&gt;1,"",IF(I6376="SBJ","CB","?"))</f>
        <v> </v>
      </c>
      <c r="I6376" s="26" t="str">
        <f>IF(OR(E6376="",E6376="!!!",F6376="NEW"),"",INDEX(B6375:B$2,-1+SUMPRODUCT(MAX(ROW(E6375:E$2)*(E6376=E6375:E$2)))))</f>
        <v> </v>
      </c>
      <c r="J6376" s="26" t="str">
        <f>IF(OR(E6376="",E6376="!!!",F6376="NEW"),"",COUNTBLANK(OFFSET(A$1,,,SUMPRODUCT(MAX(ROW(E$2:E6376)*(E6376=E$2:E6376)))))-COUNTBLANK(OFFSET(A$1,,,SUMPRODUCT(MAX(ROW(E$1:E6375)*(E2=E$1:E6375))))))</f>
        <v> </v>
      </c>
      <c r="K6376" s="26" t="str">
        <f>IF(OR(E6376="",E6376="!!!",F6376="NEW"),"",INDEX(J$1:J6375,SUMPRODUCT(MAX(ROW(E$1:E6375)*(E6376=E$1:E6375)))))</f>
        <v> </v>
      </c>
      <c r="L6376" s="27"/>
    </row>
    <row r="6377" spans="1:12">
      <c r="A6377" s="20" t="s">
        <v>1041</v>
      </c>
      <c r="E6377" s="22">
        <f>IF(D6377="?OLD","!!!","")</f>
        <v/>
      </c>
      <c r="F6377" s="23" t="str">
        <f>IF(OR(E6377="",E6377="!!!"),"",IF(NOT(ISNA(VLOOKUP(E6377,E$1:E6376,1,FALSE()))),"OLD",IF(AND(E6377&lt;&gt;"",E6377&lt;&gt;"!!!"),"NEW","")))</f>
        <v> </v>
      </c>
      <c r="G6377" s="24" t="str">
        <f>IF(OR(E6377="",E6377="!!!"),"",IF(OR(J6377=0,AND(J6377=1,K6377=1),AND(J6377=1,I6377="SBJ"),AND(J6377=1,I6377=0)),"?IN_FOCUS",IF(J6377&lt;=2,"?ACTIVATED",IF(J6377&lt;&gt;"","?FAMILIAR",IF(F6377="NEW",IF(ISNA(VLOOKUP(E6377,#REF!,1,FALSE())),"?TYPE_IDENTIFIABLE","?REFERENTIAL"),"_")))))</f>
        <v> </v>
      </c>
      <c r="H6377" s="25" t="str">
        <f>IF(J6377&lt;&gt;1,"",IF(I6377="SBJ","CB","?"))</f>
        <v> </v>
      </c>
      <c r="I6377" s="26" t="str">
        <f>IF(OR(E6377="",E6377="!!!",F6377="NEW"),"",INDEX(B6376:B$2,-1+SUMPRODUCT(MAX(ROW(E6376:E$2)*(E6377=E6376:E$2)))))</f>
        <v> </v>
      </c>
      <c r="J6377" s="26" t="str">
        <f>IF(OR(E6377="",E6377="!!!",F6377="NEW"),"",COUNTBLANK(OFFSET(A$1,,,SUMPRODUCT(MAX(ROW(E$2:E6377)*(E6377=E$2:E6377)))))-COUNTBLANK(OFFSET(A$1,,,SUMPRODUCT(MAX(ROW(E$1:E6376)*(E2=E$1:E6376))))))</f>
        <v> </v>
      </c>
      <c r="K6377" s="26" t="str">
        <f>IF(OR(E6377="",E6377="!!!",F6377="NEW"),"",INDEX(J$1:J6376,SUMPRODUCT(MAX(ROW(E$1:E6376)*(E6377=E$1:E6376)))))</f>
        <v> </v>
      </c>
      <c r="L6377" s="27"/>
    </row>
    <row r="6378" spans="1:12">
      <c r="A6378" s="20" t="s">
        <v>1044</v>
      </c>
      <c r="B6378" s="21" t="s">
        <v>1001</v>
      </c>
      <c r="C6378" s="21" t="s">
        <v>996</v>
      </c>
      <c r="D6378" s="21" t="s">
        <v>997</v>
      </c>
      <c r="E6378" s="22">
        <f>IF(D6378="?OLD","!!!","")</f>
        <v/>
      </c>
      <c r="F6378" s="23" t="str">
        <f>IF(OR(E6378="",E6378="!!!"),"",IF(NOT(ISNA(VLOOKUP(E6378,E$1:E6377,1,FALSE()))),"OLD",IF(AND(E6378&lt;&gt;"",E6378&lt;&gt;"!!!"),"NEW","")))</f>
        <v> </v>
      </c>
      <c r="G6378" s="24" t="str">
        <f>IF(OR(E6378="",E6378="!!!"),"",IF(OR(J6378=0,AND(J6378=1,K6378=1),AND(J6378=1,I6378="SBJ"),AND(J6378=1,I6378=0)),"?IN_FOCUS",IF(J6378&lt;=2,"?ACTIVATED",IF(J6378&lt;&gt;"","?FAMILIAR",IF(F6378="NEW",IF(ISNA(VLOOKUP(E6378,#REF!,1,FALSE())),"?TYPE_IDENTIFIABLE","?REFERENTIAL"),"_")))))</f>
        <v> </v>
      </c>
      <c r="H6378" s="25" t="str">
        <f>IF(J6378&lt;&gt;1,"",IF(I6378="SBJ","CB","?"))</f>
        <v> </v>
      </c>
      <c r="I6378" s="26" t="str">
        <f>IF(OR(E6378="",E6378="!!!",F6378="NEW"),"",INDEX(B6377:B$2,-1+SUMPRODUCT(MAX(ROW(E6377:E$2)*(E6378=E6377:E$2)))))</f>
        <v> </v>
      </c>
      <c r="J6378" s="26" t="str">
        <f>IF(OR(E6378="",E6378="!!!",F6378="NEW"),"",COUNTBLANK(OFFSET(A$1,,,SUMPRODUCT(MAX(ROW(E$2:E6378)*(E6378=E$2:E6378)))))-COUNTBLANK(OFFSET(A$1,,,SUMPRODUCT(MAX(ROW(E$1:E6377)*(E2=E$1:E6377))))))</f>
        <v> </v>
      </c>
      <c r="K6378" s="26" t="str">
        <f>IF(OR(E6378="",E6378="!!!",F6378="NEW"),"",INDEX(J$1:J6377,SUMPRODUCT(MAX(ROW(E$1:E6377)*(E6378=E$1:E6377)))))</f>
        <v> </v>
      </c>
      <c r="L6378" s="27"/>
    </row>
    <row r="6379" spans="1:12">
      <c r="A6379" s="20" t="s">
        <v>1430</v>
      </c>
      <c r="E6379" s="22">
        <f>IF(D6379="?OLD","!!!","")</f>
        <v/>
      </c>
      <c r="F6379" s="23" t="str">
        <f>IF(OR(E6379="",E6379="!!!"),"",IF(NOT(ISNA(VLOOKUP(E6379,E$1:E6378,1,FALSE()))),"OLD",IF(AND(E6379&lt;&gt;"",E6379&lt;&gt;"!!!"),"NEW","")))</f>
        <v> </v>
      </c>
      <c r="G6379" s="24" t="str">
        <f>IF(OR(E6379="",E6379="!!!"),"",IF(OR(J6379=0,AND(J6379=1,K6379=1),AND(J6379=1,I6379="SBJ"),AND(J6379=1,I6379=0)),"?IN_FOCUS",IF(J6379&lt;=2,"?ACTIVATED",IF(J6379&lt;&gt;"","?FAMILIAR",IF(F6379="NEW",IF(ISNA(VLOOKUP(E6379,#REF!,1,FALSE())),"?TYPE_IDENTIFIABLE","?REFERENTIAL"),"_")))))</f>
        <v> </v>
      </c>
      <c r="H6379" s="25" t="str">
        <f>IF(J6379&lt;&gt;1,"",IF(I6379="SBJ","CB","?"))</f>
        <v> </v>
      </c>
      <c r="I6379" s="26" t="str">
        <f>IF(OR(E6379="",E6379="!!!",F6379="NEW"),"",INDEX(B6378:B$2,-1+SUMPRODUCT(MAX(ROW(E6378:E$2)*(E6379=E6378:E$2)))))</f>
        <v> </v>
      </c>
      <c r="J6379" s="26" t="str">
        <f>IF(OR(E6379="",E6379="!!!",F6379="NEW"),"",COUNTBLANK(OFFSET(A$1,,,SUMPRODUCT(MAX(ROW(E$2:E6379)*(E6379=E$2:E6379)))))-COUNTBLANK(OFFSET(A$1,,,SUMPRODUCT(MAX(ROW(E$1:E6378)*(E2=E$1:E6378))))))</f>
        <v> </v>
      </c>
      <c r="K6379" s="26" t="str">
        <f>IF(OR(E6379="",E6379="!!!",F6379="NEW"),"",INDEX(J$1:J6378,SUMPRODUCT(MAX(ROW(E$1:E6378)*(E6379=E$1:E6378)))))</f>
        <v> </v>
      </c>
      <c r="L6379" s="27"/>
    </row>
    <row r="6380" spans="1:12">
      <c r="A6380" s="20" t="s">
        <v>1044</v>
      </c>
      <c r="B6380" s="21" t="s">
        <v>1039</v>
      </c>
      <c r="C6380" s="21" t="s">
        <v>996</v>
      </c>
      <c r="D6380" s="21" t="s">
        <v>997</v>
      </c>
      <c r="E6380" s="22">
        <f>IF(D6380="?OLD","!!!","")</f>
        <v/>
      </c>
      <c r="F6380" s="23" t="str">
        <f>IF(OR(E6380="",E6380="!!!"),"",IF(NOT(ISNA(VLOOKUP(E6380,E$1:E6379,1,FALSE()))),"OLD",IF(AND(E6380&lt;&gt;"",E6380&lt;&gt;"!!!"),"NEW","")))</f>
        <v> </v>
      </c>
      <c r="G6380" s="24" t="str">
        <f>IF(OR(E6380="",E6380="!!!"),"",IF(OR(J6380=0,AND(J6380=1,K6380=1),AND(J6380=1,I6380="SBJ"),AND(J6380=1,I6380=0)),"?IN_FOCUS",IF(J6380&lt;=2,"?ACTIVATED",IF(J6380&lt;&gt;"","?FAMILIAR",IF(F6380="NEW",IF(ISNA(VLOOKUP(E6380,#REF!,1,FALSE())),"?TYPE_IDENTIFIABLE","?REFERENTIAL"),"_")))))</f>
        <v> </v>
      </c>
      <c r="H6380" s="25" t="str">
        <f>IF(J6380&lt;&gt;1,"",IF(I6380="SBJ","CB","?"))</f>
        <v> </v>
      </c>
      <c r="I6380" s="26" t="str">
        <f>IF(OR(E6380="",E6380="!!!",F6380="NEW"),"",INDEX(B6379:B$2,-1+SUMPRODUCT(MAX(ROW(E6379:E$2)*(E6380=E6379:E$2)))))</f>
        <v> </v>
      </c>
      <c r="J6380" s="26" t="str">
        <f>IF(OR(E6380="",E6380="!!!",F6380="NEW"),"",COUNTBLANK(OFFSET(A$1,,,SUMPRODUCT(MAX(ROW(E$2:E6380)*(E6380=E$2:E6380)))))-COUNTBLANK(OFFSET(A$1,,,SUMPRODUCT(MAX(ROW(E$1:E6379)*(E2=E$1:E6379))))))</f>
        <v> </v>
      </c>
      <c r="K6380" s="26" t="str">
        <f>IF(OR(E6380="",E6380="!!!",F6380="NEW"),"",INDEX(J$1:J6379,SUMPRODUCT(MAX(ROW(E$1:E6379)*(E6380=E$1:E6379)))))</f>
        <v> </v>
      </c>
      <c r="L6380" s="27"/>
    </row>
    <row r="6381" spans="1:12">
      <c r="A6381" s="20" t="s">
        <v>322</v>
      </c>
      <c r="E6381" s="22">
        <f>IF(D6381="?OLD","!!!","")</f>
        <v/>
      </c>
      <c r="F6381" s="23" t="str">
        <f>IF(OR(E6381="",E6381="!!!"),"",IF(NOT(ISNA(VLOOKUP(E6381,E$1:E6380,1,FALSE()))),"OLD",IF(AND(E6381&lt;&gt;"",E6381&lt;&gt;"!!!"),"NEW","")))</f>
        <v> </v>
      </c>
      <c r="G6381" s="24" t="str">
        <f>IF(OR(E6381="",E6381="!!!"),"",IF(OR(J6381=0,AND(J6381=1,K6381=1),AND(J6381=1,I6381="SBJ"),AND(J6381=1,I6381=0)),"?IN_FOCUS",IF(J6381&lt;=2,"?ACTIVATED",IF(J6381&lt;&gt;"","?FAMILIAR",IF(F6381="NEW",IF(ISNA(VLOOKUP(E6381,#REF!,1,FALSE())),"?TYPE_IDENTIFIABLE","?REFERENTIAL"),"_")))))</f>
        <v> </v>
      </c>
      <c r="H6381" s="25" t="str">
        <f>IF(J6381&lt;&gt;1,"",IF(I6381="SBJ","CB","?"))</f>
        <v> </v>
      </c>
      <c r="I6381" s="26" t="str">
        <f>IF(OR(E6381="",E6381="!!!",F6381="NEW"),"",INDEX(B6380:B$2,-1+SUMPRODUCT(MAX(ROW(E6380:E$2)*(E6381=E6380:E$2)))))</f>
        <v> </v>
      </c>
      <c r="J6381" s="26" t="str">
        <f>IF(OR(E6381="",E6381="!!!",F6381="NEW"),"",COUNTBLANK(OFFSET(A$1,,,SUMPRODUCT(MAX(ROW(E$2:E6381)*(E6381=E$2:E6381)))))-COUNTBLANK(OFFSET(A$1,,,SUMPRODUCT(MAX(ROW(E$1:E6380)*(E2=E$1:E6380))))))</f>
        <v> </v>
      </c>
      <c r="K6381" s="26" t="str">
        <f>IF(OR(E6381="",E6381="!!!",F6381="NEW"),"",INDEX(J$1:J6380,SUMPRODUCT(MAX(ROW(E$1:E6380)*(E6381=E$1:E6380)))))</f>
        <v> </v>
      </c>
      <c r="L6381" s="27"/>
    </row>
    <row r="6382" spans="1:12">
      <c r="A6382" s="20" t="s">
        <v>1008</v>
      </c>
      <c r="E6382" s="22">
        <f>IF(D6382="?OLD","!!!","")</f>
        <v/>
      </c>
      <c r="F6382" s="23" t="str">
        <f>IF(OR(E6382="",E6382="!!!"),"",IF(NOT(ISNA(VLOOKUP(E6382,E$1:E6381,1,FALSE()))),"OLD",IF(AND(E6382&lt;&gt;"",E6382&lt;&gt;"!!!"),"NEW","")))</f>
        <v> </v>
      </c>
      <c r="G6382" s="24" t="str">
        <f>IF(OR(E6382="",E6382="!!!"),"",IF(OR(J6382=0,AND(J6382=1,K6382=1),AND(J6382=1,I6382="SBJ"),AND(J6382=1,I6382=0)),"?IN_FOCUS",IF(J6382&lt;=2,"?ACTIVATED",IF(J6382&lt;&gt;"","?FAMILIAR",IF(F6382="NEW",IF(ISNA(VLOOKUP(E6382,#REF!,1,FALSE())),"?TYPE_IDENTIFIABLE","?REFERENTIAL"),"_")))))</f>
        <v> </v>
      </c>
      <c r="H6382" s="25" t="str">
        <f>IF(J6382&lt;&gt;1,"",IF(I6382="SBJ","CB","?"))</f>
        <v> </v>
      </c>
      <c r="I6382" s="26" t="str">
        <f>IF(OR(E6382="",E6382="!!!",F6382="NEW"),"",INDEX(B6381:B$2,-1+SUMPRODUCT(MAX(ROW(E6381:E$2)*(E6382=E6381:E$2)))))</f>
        <v> </v>
      </c>
      <c r="J6382" s="26" t="str">
        <f>IF(OR(E6382="",E6382="!!!",F6382="NEW"),"",COUNTBLANK(OFFSET(A$1,,,SUMPRODUCT(MAX(ROW(E$2:E6382)*(E6382=E$2:E6382)))))-COUNTBLANK(OFFSET(A$1,,,SUMPRODUCT(MAX(ROW(E$1:E6381)*(E2=E$1:E6381))))))</f>
        <v> </v>
      </c>
      <c r="K6382" s="26" t="str">
        <f>IF(OR(E6382="",E6382="!!!",F6382="NEW"),"",INDEX(J$1:J6381,SUMPRODUCT(MAX(ROW(E$1:E6381)*(E6382=E$1:E6381)))))</f>
        <v> </v>
      </c>
      <c r="L6382" s="27"/>
    </row>
    <row r="6383" spans="1:12">
      <c r="A6383" s="20" t="s">
        <v>2584</v>
      </c>
      <c r="E6383" s="22">
        <f>IF(D6383="?OLD","!!!","")</f>
        <v/>
      </c>
      <c r="F6383" s="23" t="str">
        <f>IF(OR(E6383="",E6383="!!!"),"",IF(NOT(ISNA(VLOOKUP(E6383,E$1:E6382,1,FALSE()))),"OLD",IF(AND(E6383&lt;&gt;"",E6383&lt;&gt;"!!!"),"NEW","")))</f>
        <v> </v>
      </c>
      <c r="G6383" s="24" t="str">
        <f>IF(OR(E6383="",E6383="!!!"),"",IF(OR(J6383=0,AND(J6383=1,K6383=1),AND(J6383=1,I6383="SBJ"),AND(J6383=1,I6383=0)),"?IN_FOCUS",IF(J6383&lt;=2,"?ACTIVATED",IF(J6383&lt;&gt;"","?FAMILIAR",IF(F6383="NEW",IF(ISNA(VLOOKUP(E6383,#REF!,1,FALSE())),"?TYPE_IDENTIFIABLE","?REFERENTIAL"),"_")))))</f>
        <v> </v>
      </c>
      <c r="H6383" s="25" t="str">
        <f>IF(J6383&lt;&gt;1,"",IF(I6383="SBJ","CB","?"))</f>
        <v> </v>
      </c>
      <c r="I6383" s="26" t="str">
        <f>IF(OR(E6383="",E6383="!!!",F6383="NEW"),"",INDEX(B6382:B$2,-1+SUMPRODUCT(MAX(ROW(E6382:E$2)*(E6383=E6382:E$2)))))</f>
        <v> </v>
      </c>
      <c r="J6383" s="26" t="str">
        <f>IF(OR(E6383="",E6383="!!!",F6383="NEW"),"",COUNTBLANK(OFFSET(A$1,,,SUMPRODUCT(MAX(ROW(E$2:E6383)*(E6383=E$2:E6383)))))-COUNTBLANK(OFFSET(A$1,,,SUMPRODUCT(MAX(ROW(E$1:E6382)*(E2=E$1:E6382))))))</f>
        <v> </v>
      </c>
      <c r="K6383" s="26" t="str">
        <f>IF(OR(E6383="",E6383="!!!",F6383="NEW"),"",INDEX(J$1:J6382,SUMPRODUCT(MAX(ROW(E$1:E6382)*(E6383=E$1:E6382)))))</f>
        <v> </v>
      </c>
      <c r="L6383" s="27"/>
    </row>
    <row r="6384" spans="1:12">
      <c r="A6384" s="20" t="s">
        <v>2020</v>
      </c>
      <c r="B6384" s="21" t="s">
        <v>1112</v>
      </c>
      <c r="C6384" s="21" t="s">
        <v>1025</v>
      </c>
      <c r="D6384" s="21" t="s">
        <v>997</v>
      </c>
      <c r="E6384" s="22">
        <f>IF(D6384="?OLD","!!!","")</f>
        <v/>
      </c>
      <c r="F6384" s="23" t="str">
        <f>IF(OR(E6384="",E6384="!!!"),"",IF(NOT(ISNA(VLOOKUP(E6384,E$1:E6383,1,FALSE()))),"OLD",IF(AND(E6384&lt;&gt;"",E6384&lt;&gt;"!!!"),"NEW","")))</f>
        <v> </v>
      </c>
      <c r="G6384" s="24" t="str">
        <f>IF(OR(E6384="",E6384="!!!"),"",IF(OR(J6384=0,AND(J6384=1,K6384=1),AND(J6384=1,I6384="SBJ"),AND(J6384=1,I6384=0)),"?IN_FOCUS",IF(J6384&lt;=2,"?ACTIVATED",IF(J6384&lt;&gt;"","?FAMILIAR",IF(F6384="NEW",IF(ISNA(VLOOKUP(E6384,#REF!,1,FALSE())),"?TYPE_IDENTIFIABLE","?REFERENTIAL"),"_")))))</f>
        <v> </v>
      </c>
      <c r="H6384" s="25" t="str">
        <f>IF(J6384&lt;&gt;1,"",IF(I6384="SBJ","CB","?"))</f>
        <v> </v>
      </c>
      <c r="I6384" s="26" t="str">
        <f>IF(OR(E6384="",E6384="!!!",F6384="NEW"),"",INDEX(B6383:B$2,-1+SUMPRODUCT(MAX(ROW(E6383:E$2)*(E6384=E6383:E$2)))))</f>
        <v> </v>
      </c>
      <c r="J6384" s="26" t="str">
        <f>IF(OR(E6384="",E6384="!!!",F6384="NEW"),"",COUNTBLANK(OFFSET(A$1,,,SUMPRODUCT(MAX(ROW(E$2:E6384)*(E6384=E$2:E6384)))))-COUNTBLANK(OFFSET(A$1,,,SUMPRODUCT(MAX(ROW(E$1:E6383)*(E2=E$1:E6383))))))</f>
        <v> </v>
      </c>
      <c r="K6384" s="26" t="str">
        <f>IF(OR(E6384="",E6384="!!!",F6384="NEW"),"",INDEX(J$1:J6383,SUMPRODUCT(MAX(ROW(E$1:E6383)*(E6384=E$1:E6383)))))</f>
        <v> </v>
      </c>
      <c r="L6384" s="27"/>
    </row>
    <row r="6385" spans="1:12">
      <c r="A6385" s="20" t="s">
        <v>1004</v>
      </c>
      <c r="B6385" s="21" t="s">
        <v>1088</v>
      </c>
      <c r="C6385" s="21" t="s">
        <v>1028</v>
      </c>
      <c r="D6385" s="21" t="s">
        <v>997</v>
      </c>
      <c r="E6385" s="22">
        <f>IF(D6385="?OLD","!!!","")</f>
        <v/>
      </c>
      <c r="F6385" s="23" t="str">
        <f>IF(OR(E6385="",E6385="!!!"),"",IF(NOT(ISNA(VLOOKUP(E6385,E$1:E6384,1,FALSE()))),"OLD",IF(AND(E6385&lt;&gt;"",E6385&lt;&gt;"!!!"),"NEW","")))</f>
        <v> </v>
      </c>
      <c r="G6385" s="24" t="str">
        <f>IF(OR(E6385="",E6385="!!!"),"",IF(OR(J6385=0,AND(J6385=1,K6385=1),AND(J6385=1,I6385="SBJ"),AND(J6385=1,I6385=0)),"?IN_FOCUS",IF(J6385&lt;=2,"?ACTIVATED",IF(J6385&lt;&gt;"","?FAMILIAR",IF(F6385="NEW",IF(ISNA(VLOOKUP(E6385,#REF!,1,FALSE())),"?TYPE_IDENTIFIABLE","?REFERENTIAL"),"_")))))</f>
        <v> </v>
      </c>
      <c r="H6385" s="25" t="str">
        <f>IF(J6385&lt;&gt;1,"",IF(I6385="SBJ","CB","?"))</f>
        <v> </v>
      </c>
      <c r="I6385" s="26" t="str">
        <f>IF(OR(E6385="",E6385="!!!",F6385="NEW"),"",INDEX(B6384:B$2,-1+SUMPRODUCT(MAX(ROW(E6384:E$2)*(E6385=E6384:E$2)))))</f>
        <v> </v>
      </c>
      <c r="J6385" s="26" t="str">
        <f>IF(OR(E6385="",E6385="!!!",F6385="NEW"),"",COUNTBLANK(OFFSET(A$1,,,SUMPRODUCT(MAX(ROW(E$2:E6385)*(E6385=E$2:E6385)))))-COUNTBLANK(OFFSET(A$1,,,SUMPRODUCT(MAX(ROW(E$1:E6384)*(E2=E$1:E6384))))))</f>
        <v> </v>
      </c>
      <c r="K6385" s="26" t="str">
        <f>IF(OR(E6385="",E6385="!!!",F6385="NEW"),"",INDEX(J$1:J6384,SUMPRODUCT(MAX(ROW(E$1:E6384)*(E6385=E$1:E6384)))))</f>
        <v> </v>
      </c>
      <c r="L6385" s="27"/>
    </row>
    <row r="6386" spans="1:12">
      <c r="A6386" s="20" t="s">
        <v>30</v>
      </c>
      <c r="E6386" s="22">
        <f>IF(D6386="?OLD","!!!","")</f>
        <v/>
      </c>
      <c r="F6386" s="23" t="str">
        <f>IF(OR(E6386="",E6386="!!!"),"",IF(NOT(ISNA(VLOOKUP(E6386,E$1:E6385,1,FALSE()))),"OLD",IF(AND(E6386&lt;&gt;"",E6386&lt;&gt;"!!!"),"NEW","")))</f>
        <v> </v>
      </c>
      <c r="G6386" s="24" t="str">
        <f>IF(OR(E6386="",E6386="!!!"),"",IF(OR(J6386=0,AND(J6386=1,K6386=1),AND(J6386=1,I6386="SBJ"),AND(J6386=1,I6386=0)),"?IN_FOCUS",IF(J6386&lt;=2,"?ACTIVATED",IF(J6386&lt;&gt;"","?FAMILIAR",IF(F6386="NEW",IF(ISNA(VLOOKUP(E6386,#REF!,1,FALSE())),"?TYPE_IDENTIFIABLE","?REFERENTIAL"),"_")))))</f>
        <v> </v>
      </c>
      <c r="H6386" s="25" t="str">
        <f>IF(J6386&lt;&gt;1,"",IF(I6386="SBJ","CB","?"))</f>
        <v> </v>
      </c>
      <c r="I6386" s="26" t="str">
        <f>IF(OR(E6386="",E6386="!!!",F6386="NEW"),"",INDEX(B6385:B$2,-1+SUMPRODUCT(MAX(ROW(E6385:E$2)*(E6386=E6385:E$2)))))</f>
        <v> </v>
      </c>
      <c r="J6386" s="26" t="str">
        <f>IF(OR(E6386="",E6386="!!!",F6386="NEW"),"",COUNTBLANK(OFFSET(A$1,,,SUMPRODUCT(MAX(ROW(E$2:E6386)*(E6386=E$2:E6386)))))-COUNTBLANK(OFFSET(A$1,,,SUMPRODUCT(MAX(ROW(E$1:E6385)*(E2=E$1:E6385))))))</f>
        <v> </v>
      </c>
      <c r="K6386" s="26" t="str">
        <f>IF(OR(E6386="",E6386="!!!",F6386="NEW"),"",INDEX(J$1:J6385,SUMPRODUCT(MAX(ROW(E$1:E6385)*(E6386=E$1:E6385)))))</f>
        <v> </v>
      </c>
      <c r="L6386" s="27"/>
    </row>
    <row r="6387" spans="1:12">
      <c r="A6387" s="20" t="s">
        <v>1717</v>
      </c>
      <c r="B6387" s="21" t="s">
        <v>1112</v>
      </c>
      <c r="C6387" s="21" t="s">
        <v>1295</v>
      </c>
      <c r="E6387" s="22">
        <f>IF(D6387="?OLD","!!!","")</f>
        <v/>
      </c>
      <c r="F6387" s="23" t="str">
        <f>IF(OR(E6387="",E6387="!!!"),"",IF(NOT(ISNA(VLOOKUP(E6387,E$1:E6386,1,FALSE()))),"OLD",IF(AND(E6387&lt;&gt;"",E6387&lt;&gt;"!!!"),"NEW","")))</f>
        <v> </v>
      </c>
      <c r="G6387" s="24" t="str">
        <f>IF(OR(E6387="",E6387="!!!"),"",IF(OR(J6387=0,AND(J6387=1,K6387=1),AND(J6387=1,I6387="SBJ"),AND(J6387=1,I6387=0)),"?IN_FOCUS",IF(J6387&lt;=2,"?ACTIVATED",IF(J6387&lt;&gt;"","?FAMILIAR",IF(F6387="NEW",IF(ISNA(VLOOKUP(E6387,#REF!,1,FALSE())),"?TYPE_IDENTIFIABLE","?REFERENTIAL"),"_")))))</f>
        <v> </v>
      </c>
      <c r="H6387" s="25" t="str">
        <f>IF(J6387&lt;&gt;1,"",IF(I6387="SBJ","CB","?"))</f>
        <v> </v>
      </c>
      <c r="I6387" s="26" t="str">
        <f>IF(OR(E6387="",E6387="!!!",F6387="NEW"),"",INDEX(B6386:B$2,-1+SUMPRODUCT(MAX(ROW(E6386:E$2)*(E6387=E6386:E$2)))))</f>
        <v> </v>
      </c>
      <c r="J6387" s="26" t="str">
        <f>IF(OR(E6387="",E6387="!!!",F6387="NEW"),"",COUNTBLANK(OFFSET(A$1,,,SUMPRODUCT(MAX(ROW(E$2:E6387)*(E6387=E$2:E6387)))))-COUNTBLANK(OFFSET(A$1,,,SUMPRODUCT(MAX(ROW(E$1:E6386)*(E2=E$1:E6386))))))</f>
        <v> </v>
      </c>
      <c r="K6387" s="26" t="str">
        <f>IF(OR(E6387="",E6387="!!!",F6387="NEW"),"",INDEX(J$1:J6386,SUMPRODUCT(MAX(ROW(E$1:E6386)*(E6387=E$1:E6386)))))</f>
        <v> </v>
      </c>
      <c r="L6387" s="27"/>
    </row>
    <row r="6388" spans="1:12">
      <c r="A6388" s="20" t="s">
        <v>1054</v>
      </c>
      <c r="E6388" s="22">
        <f>IF(D6388="?OLD","!!!","")</f>
        <v/>
      </c>
      <c r="F6388" s="23" t="str">
        <f>IF(OR(E6388="",E6388="!!!"),"",IF(NOT(ISNA(VLOOKUP(E6388,E$1:E6387,1,FALSE()))),"OLD",IF(AND(E6388&lt;&gt;"",E6388&lt;&gt;"!!!"),"NEW","")))</f>
        <v> </v>
      </c>
      <c r="G6388" s="24" t="str">
        <f>IF(OR(E6388="",E6388="!!!"),"",IF(OR(J6388=0,AND(J6388=1,K6388=1),AND(J6388=1,I6388="SBJ"),AND(J6388=1,I6388=0)),"?IN_FOCUS",IF(J6388&lt;=2,"?ACTIVATED",IF(J6388&lt;&gt;"","?FAMILIAR",IF(F6388="NEW",IF(ISNA(VLOOKUP(E6388,#REF!,1,FALSE())),"?TYPE_IDENTIFIABLE","?REFERENTIAL"),"_")))))</f>
        <v> </v>
      </c>
      <c r="H6388" s="25" t="str">
        <f>IF(J6388&lt;&gt;1,"",IF(I6388="SBJ","CB","?"))</f>
        <v> </v>
      </c>
      <c r="I6388" s="26" t="str">
        <f>IF(OR(E6388="",E6388="!!!",F6388="NEW"),"",INDEX(B6387:B$2,-1+SUMPRODUCT(MAX(ROW(E6387:E$2)*(E6388=E6387:E$2)))))</f>
        <v> </v>
      </c>
      <c r="J6388" s="26" t="str">
        <f>IF(OR(E6388="",E6388="!!!",F6388="NEW"),"",COUNTBLANK(OFFSET(A$1,,,SUMPRODUCT(MAX(ROW(E$2:E6388)*(E6388=E$2:E6388)))))-COUNTBLANK(OFFSET(A$1,,,SUMPRODUCT(MAX(ROW(E$1:E6387)*(E2=E$1:E6387))))))</f>
        <v> </v>
      </c>
      <c r="K6388" s="26" t="str">
        <f>IF(OR(E6388="",E6388="!!!",F6388="NEW"),"",INDEX(J$1:J6387,SUMPRODUCT(MAX(ROW(E$1:E6387)*(E6388=E$1:E6387)))))</f>
        <v> </v>
      </c>
      <c r="L6388" s="27"/>
    </row>
    <row r="6389" spans="1:12">
      <c r="A6389" s="20" t="s">
        <v>2576</v>
      </c>
      <c r="E6389" s="22">
        <f>IF(D6389="?OLD","!!!","")</f>
        <v/>
      </c>
      <c r="F6389" s="23" t="str">
        <f>IF(OR(E6389="",E6389="!!!"),"",IF(NOT(ISNA(VLOOKUP(E6389,E$1:E6388,1,FALSE()))),"OLD",IF(AND(E6389&lt;&gt;"",E6389&lt;&gt;"!!!"),"NEW","")))</f>
        <v> </v>
      </c>
      <c r="G6389" s="24" t="str">
        <f>IF(OR(E6389="",E6389="!!!"),"",IF(OR(J6389=0,AND(J6389=1,K6389=1),AND(J6389=1,I6389="SBJ"),AND(J6389=1,I6389=0)),"?IN_FOCUS",IF(J6389&lt;=2,"?ACTIVATED",IF(J6389&lt;&gt;"","?FAMILIAR",IF(F6389="NEW",IF(ISNA(VLOOKUP(E6389,#REF!,1,FALSE())),"?TYPE_IDENTIFIABLE","?REFERENTIAL"),"_")))))</f>
        <v> </v>
      </c>
      <c r="H6389" s="25" t="str">
        <f>IF(J6389&lt;&gt;1,"",IF(I6389="SBJ","CB","?"))</f>
        <v> </v>
      </c>
      <c r="I6389" s="26" t="str">
        <f>IF(OR(E6389="",E6389="!!!",F6389="NEW"),"",INDEX(B6388:B$2,-1+SUMPRODUCT(MAX(ROW(E6388:E$2)*(E6389=E6388:E$2)))))</f>
        <v> </v>
      </c>
      <c r="J6389" s="26" t="str">
        <f>IF(OR(E6389="",E6389="!!!",F6389="NEW"),"",COUNTBLANK(OFFSET(A$1,,,SUMPRODUCT(MAX(ROW(E$2:E6389)*(E6389=E$2:E6389)))))-COUNTBLANK(OFFSET(A$1,,,SUMPRODUCT(MAX(ROW(E$1:E6388)*(E2=E$1:E6388))))))</f>
        <v> </v>
      </c>
      <c r="K6389" s="26" t="str">
        <f>IF(OR(E6389="",E6389="!!!",F6389="NEW"),"",INDEX(J$1:J6388,SUMPRODUCT(MAX(ROW(E$1:E6388)*(E6389=E$1:E6388)))))</f>
        <v> </v>
      </c>
      <c r="L6389" s="27"/>
    </row>
    <row r="6390" spans="1:12">
      <c r="A6390" s="20" t="s">
        <v>1041</v>
      </c>
      <c r="E6390" s="22">
        <f>IF(D6390="?OLD","!!!","")</f>
        <v/>
      </c>
      <c r="F6390" s="23" t="str">
        <f>IF(OR(E6390="",E6390="!!!"),"",IF(NOT(ISNA(VLOOKUP(E6390,E$1:E6389,1,FALSE()))),"OLD",IF(AND(E6390&lt;&gt;"",E6390&lt;&gt;"!!!"),"NEW","")))</f>
        <v> </v>
      </c>
      <c r="G6390" s="24" t="str">
        <f>IF(OR(E6390="",E6390="!!!"),"",IF(OR(J6390=0,AND(J6390=1,K6390=1),AND(J6390=1,I6390="SBJ"),AND(J6390=1,I6390=0)),"?IN_FOCUS",IF(J6390&lt;=2,"?ACTIVATED",IF(J6390&lt;&gt;"","?FAMILIAR",IF(F6390="NEW",IF(ISNA(VLOOKUP(E6390,#REF!,1,FALSE())),"?TYPE_IDENTIFIABLE","?REFERENTIAL"),"_")))))</f>
        <v> </v>
      </c>
      <c r="H6390" s="25" t="str">
        <f>IF(J6390&lt;&gt;1,"",IF(I6390="SBJ","CB","?"))</f>
        <v> </v>
      </c>
      <c r="I6390" s="26" t="str">
        <f>IF(OR(E6390="",E6390="!!!",F6390="NEW"),"",INDEX(B6389:B$2,-1+SUMPRODUCT(MAX(ROW(E6389:E$2)*(E6390=E6389:E$2)))))</f>
        <v> </v>
      </c>
      <c r="J6390" s="26" t="str">
        <f>IF(OR(E6390="",E6390="!!!",F6390="NEW"),"",COUNTBLANK(OFFSET(A$1,,,SUMPRODUCT(MAX(ROW(E$2:E6390)*(E6390=E$2:E6390)))))-COUNTBLANK(OFFSET(A$1,,,SUMPRODUCT(MAX(ROW(E$1:E6389)*(E2=E$1:E6389))))))</f>
        <v> </v>
      </c>
      <c r="K6390" s="26" t="str">
        <f>IF(OR(E6390="",E6390="!!!",F6390="NEW"),"",INDEX(J$1:J6389,SUMPRODUCT(MAX(ROW(E$1:E6389)*(E6390=E$1:E6389)))))</f>
        <v> </v>
      </c>
      <c r="L6390" s="27"/>
    </row>
    <row r="6391" spans="1:12">
      <c r="A6391" s="20" t="s">
        <v>2116</v>
      </c>
      <c r="E6391" s="22">
        <f>IF(D6391="?OLD","!!!","")</f>
        <v/>
      </c>
      <c r="F6391" s="23" t="str">
        <f>IF(OR(E6391="",E6391="!!!"),"",IF(NOT(ISNA(VLOOKUP(E6391,E$1:E6390,1,FALSE()))),"OLD",IF(AND(E6391&lt;&gt;"",E6391&lt;&gt;"!!!"),"NEW","")))</f>
        <v> </v>
      </c>
      <c r="G6391" s="24" t="str">
        <f>IF(OR(E6391="",E6391="!!!"),"",IF(OR(J6391=0,AND(J6391=1,K6391=1),AND(J6391=1,I6391="SBJ"),AND(J6391=1,I6391=0)),"?IN_FOCUS",IF(J6391&lt;=2,"?ACTIVATED",IF(J6391&lt;&gt;"","?FAMILIAR",IF(F6391="NEW",IF(ISNA(VLOOKUP(E6391,#REF!,1,FALSE())),"?TYPE_IDENTIFIABLE","?REFERENTIAL"),"_")))))</f>
        <v> </v>
      </c>
      <c r="H6391" s="25" t="str">
        <f>IF(J6391&lt;&gt;1,"",IF(I6391="SBJ","CB","?"))</f>
        <v> </v>
      </c>
      <c r="I6391" s="26" t="str">
        <f>IF(OR(E6391="",E6391="!!!",F6391="NEW"),"",INDEX(B6390:B$2,-1+SUMPRODUCT(MAX(ROW(E6390:E$2)*(E6391=E6390:E$2)))))</f>
        <v> </v>
      </c>
      <c r="J6391" s="26" t="str">
        <f>IF(OR(E6391="",E6391="!!!",F6391="NEW"),"",COUNTBLANK(OFFSET(A$1,,,SUMPRODUCT(MAX(ROW(E$2:E6391)*(E6391=E$2:E6391)))))-COUNTBLANK(OFFSET(A$1,,,SUMPRODUCT(MAX(ROW(E$1:E6390)*(E2=E$1:E6390))))))</f>
        <v> </v>
      </c>
      <c r="K6391" s="26" t="str">
        <f>IF(OR(E6391="",E6391="!!!",F6391="NEW"),"",INDEX(J$1:J6390,SUMPRODUCT(MAX(ROW(E$1:E6390)*(E6391=E$1:E6390)))))</f>
        <v> </v>
      </c>
      <c r="L6391" s="27"/>
    </row>
    <row r="6392" spans="1:12">
      <c r="A6392" s="20" t="s">
        <v>960</v>
      </c>
      <c r="E6392" s="22">
        <f>IF(D6392="?OLD","!!!","")</f>
        <v/>
      </c>
      <c r="F6392" s="23" t="str">
        <f>IF(OR(E6392="",E6392="!!!"),"",IF(NOT(ISNA(VLOOKUP(E6392,E$1:E6391,1,FALSE()))),"OLD",IF(AND(E6392&lt;&gt;"",E6392&lt;&gt;"!!!"),"NEW","")))</f>
        <v> </v>
      </c>
      <c r="G6392" s="24" t="str">
        <f>IF(OR(E6392="",E6392="!!!"),"",IF(OR(J6392=0,AND(J6392=1,K6392=1),AND(J6392=1,I6392="SBJ"),AND(J6392=1,I6392=0)),"?IN_FOCUS",IF(J6392&lt;=2,"?ACTIVATED",IF(J6392&lt;&gt;"","?FAMILIAR",IF(F6392="NEW",IF(ISNA(VLOOKUP(E6392,#REF!,1,FALSE())),"?TYPE_IDENTIFIABLE","?REFERENTIAL"),"_")))))</f>
        <v> </v>
      </c>
      <c r="H6392" s="25" t="str">
        <f>IF(J6392&lt;&gt;1,"",IF(I6392="SBJ","CB","?"))</f>
        <v> </v>
      </c>
      <c r="I6392" s="26" t="str">
        <f>IF(OR(E6392="",E6392="!!!",F6392="NEW"),"",INDEX(B6391:B$2,-1+SUMPRODUCT(MAX(ROW(E6391:E$2)*(E6392=E6391:E$2)))))</f>
        <v> </v>
      </c>
      <c r="J6392" s="26" t="str">
        <f>IF(OR(E6392="",E6392="!!!",F6392="NEW"),"",COUNTBLANK(OFFSET(A$1,,,SUMPRODUCT(MAX(ROW(E$2:E6392)*(E6392=E$2:E6392)))))-COUNTBLANK(OFFSET(A$1,,,SUMPRODUCT(MAX(ROW(E$1:E6391)*(E2=E$1:E6391))))))</f>
        <v> </v>
      </c>
      <c r="K6392" s="26" t="str">
        <f>IF(OR(E6392="",E6392="!!!",F6392="NEW"),"",INDEX(J$1:J6391,SUMPRODUCT(MAX(ROW(E$1:E6391)*(E6392=E$1:E6391)))))</f>
        <v> </v>
      </c>
      <c r="L6392" s="27"/>
    </row>
    <row r="6393" spans="1:12">
      <c r="A6393" s="20" t="s">
        <v>2020</v>
      </c>
      <c r="B6393" s="21" t="s">
        <v>1112</v>
      </c>
      <c r="C6393" s="21" t="s">
        <v>1025</v>
      </c>
      <c r="D6393" s="21" t="s">
        <v>997</v>
      </c>
      <c r="E6393" s="22">
        <f>IF(D6393="?OLD","!!!","")</f>
        <v/>
      </c>
      <c r="F6393" s="23" t="str">
        <f>IF(OR(E6393="",E6393="!!!"),"",IF(NOT(ISNA(VLOOKUP(E6393,E$1:E6392,1,FALSE()))),"OLD",IF(AND(E6393&lt;&gt;"",E6393&lt;&gt;"!!!"),"NEW","")))</f>
        <v> </v>
      </c>
      <c r="G6393" s="24" t="str">
        <f>IF(OR(E6393="",E6393="!!!"),"",IF(OR(J6393=0,AND(J6393=1,K6393=1),AND(J6393=1,I6393="SBJ"),AND(J6393=1,I6393=0)),"?IN_FOCUS",IF(J6393&lt;=2,"?ACTIVATED",IF(J6393&lt;&gt;"","?FAMILIAR",IF(F6393="NEW",IF(ISNA(VLOOKUP(E6393,#REF!,1,FALSE())),"?TYPE_IDENTIFIABLE","?REFERENTIAL"),"_")))))</f>
        <v> </v>
      </c>
      <c r="H6393" s="25" t="str">
        <f>IF(J6393&lt;&gt;1,"",IF(I6393="SBJ","CB","?"))</f>
        <v> </v>
      </c>
      <c r="I6393" s="26" t="str">
        <f>IF(OR(E6393="",E6393="!!!",F6393="NEW"),"",INDEX(B6392:B$2,-1+SUMPRODUCT(MAX(ROW(E6392:E$2)*(E6393=E6392:E$2)))))</f>
        <v> </v>
      </c>
      <c r="J6393" s="26" t="str">
        <f>IF(OR(E6393="",E6393="!!!",F6393="NEW"),"",COUNTBLANK(OFFSET(A$1,,,SUMPRODUCT(MAX(ROW(E$2:E6393)*(E6393=E$2:E6393)))))-COUNTBLANK(OFFSET(A$1,,,SUMPRODUCT(MAX(ROW(E$1:E6392)*(E2=E$1:E6392))))))</f>
        <v> </v>
      </c>
      <c r="K6393" s="26" t="str">
        <f>IF(OR(E6393="",E6393="!!!",F6393="NEW"),"",INDEX(J$1:J6392,SUMPRODUCT(MAX(ROW(E$1:E6392)*(E6393=E$1:E6392)))))</f>
        <v> </v>
      </c>
      <c r="L6393" s="27"/>
    </row>
    <row r="6394" spans="1:12">
      <c r="A6394" s="20" t="s">
        <v>2585</v>
      </c>
      <c r="B6394" s="21" t="s">
        <v>1088</v>
      </c>
      <c r="C6394" s="21" t="s">
        <v>1028</v>
      </c>
      <c r="D6394" s="21" t="s">
        <v>997</v>
      </c>
      <c r="E6394" s="22">
        <f>IF(D6394="?OLD","!!!","")</f>
        <v/>
      </c>
      <c r="F6394" s="23" t="str">
        <f>IF(OR(E6394="",E6394="!!!"),"",IF(NOT(ISNA(VLOOKUP(E6394,E$1:E6393,1,FALSE()))),"OLD",IF(AND(E6394&lt;&gt;"",E6394&lt;&gt;"!!!"),"NEW","")))</f>
        <v> </v>
      </c>
      <c r="G6394" s="24" t="str">
        <f>IF(OR(E6394="",E6394="!!!"),"",IF(OR(J6394=0,AND(J6394=1,K6394=1),AND(J6394=1,I6394="SBJ"),AND(J6394=1,I6394=0)),"?IN_FOCUS",IF(J6394&lt;=2,"?ACTIVATED",IF(J6394&lt;&gt;"","?FAMILIAR",IF(F6394="NEW",IF(ISNA(VLOOKUP(E6394,#REF!,1,FALSE())),"?TYPE_IDENTIFIABLE","?REFERENTIAL"),"_")))))</f>
        <v> </v>
      </c>
      <c r="H6394" s="25" t="str">
        <f>IF(J6394&lt;&gt;1,"",IF(I6394="SBJ","CB","?"))</f>
        <v> </v>
      </c>
      <c r="I6394" s="26" t="str">
        <f>IF(OR(E6394="",E6394="!!!",F6394="NEW"),"",INDEX(B6393:B$2,-1+SUMPRODUCT(MAX(ROW(E6393:E$2)*(E6394=E6393:E$2)))))</f>
        <v> </v>
      </c>
      <c r="J6394" s="26" t="str">
        <f>IF(OR(E6394="",E6394="!!!",F6394="NEW"),"",COUNTBLANK(OFFSET(A$1,,,SUMPRODUCT(MAX(ROW(E$2:E6394)*(E6394=E$2:E6394)))))-COUNTBLANK(OFFSET(A$1,,,SUMPRODUCT(MAX(ROW(E$1:E6393)*(E2=E$1:E6393))))))</f>
        <v> </v>
      </c>
      <c r="K6394" s="26" t="str">
        <f>IF(OR(E6394="",E6394="!!!",F6394="NEW"),"",INDEX(J$1:J6393,SUMPRODUCT(MAX(ROW(E$1:E6393)*(E6394=E$1:E6393)))))</f>
        <v> </v>
      </c>
      <c r="L6394" s="27"/>
    </row>
    <row r="6395" spans="1:12">
      <c r="A6395" s="20" t="s">
        <v>1008</v>
      </c>
      <c r="E6395" s="22">
        <f>IF(D6395="?OLD","!!!","")</f>
        <v/>
      </c>
      <c r="F6395" s="23" t="str">
        <f>IF(OR(E6395="",E6395="!!!"),"",IF(NOT(ISNA(VLOOKUP(E6395,E$1:E6394,1,FALSE()))),"OLD",IF(AND(E6395&lt;&gt;"",E6395&lt;&gt;"!!!"),"NEW","")))</f>
        <v> </v>
      </c>
      <c r="G6395" s="24" t="str">
        <f>IF(OR(E6395="",E6395="!!!"),"",IF(OR(J6395=0,AND(J6395=1,K6395=1),AND(J6395=1,I6395="SBJ"),AND(J6395=1,I6395=0)),"?IN_FOCUS",IF(J6395&lt;=2,"?ACTIVATED",IF(J6395&lt;&gt;"","?FAMILIAR",IF(F6395="NEW",IF(ISNA(VLOOKUP(E6395,#REF!,1,FALSE())),"?TYPE_IDENTIFIABLE","?REFERENTIAL"),"_")))))</f>
        <v> </v>
      </c>
      <c r="H6395" s="25" t="str">
        <f>IF(J6395&lt;&gt;1,"",IF(I6395="SBJ","CB","?"))</f>
        <v> </v>
      </c>
      <c r="I6395" s="26" t="str">
        <f>IF(OR(E6395="",E6395="!!!",F6395="NEW"),"",INDEX(B6394:B$2,-1+SUMPRODUCT(MAX(ROW(E6394:E$2)*(E6395=E6394:E$2)))))</f>
        <v> </v>
      </c>
      <c r="J6395" s="26" t="str">
        <f>IF(OR(E6395="",E6395="!!!",F6395="NEW"),"",COUNTBLANK(OFFSET(A$1,,,SUMPRODUCT(MAX(ROW(E$2:E6395)*(E6395=E$2:E6395)))))-COUNTBLANK(OFFSET(A$1,,,SUMPRODUCT(MAX(ROW(E$1:E6394)*(E2=E$1:E6394))))))</f>
        <v> </v>
      </c>
      <c r="K6395" s="26" t="str">
        <f>IF(OR(E6395="",E6395="!!!",F6395="NEW"),"",INDEX(J$1:J6394,SUMPRODUCT(MAX(ROW(E$1:E6394)*(E6395=E$1:E6394)))))</f>
        <v> </v>
      </c>
      <c r="L6395" s="27"/>
    </row>
    <row r="6396" spans="1:12">
      <c r="A6396" s="20" t="s">
        <v>2012</v>
      </c>
      <c r="B6396" s="21" t="s">
        <v>1112</v>
      </c>
      <c r="C6396" s="21" t="s">
        <v>1006</v>
      </c>
      <c r="E6396" s="22">
        <f>IF(D6396="?OLD","!!!","")</f>
        <v/>
      </c>
      <c r="F6396" s="23" t="str">
        <f>IF(OR(E6396="",E6396="!!!"),"",IF(NOT(ISNA(VLOOKUP(E6396,E$1:E6395,1,FALSE()))),"OLD",IF(AND(E6396&lt;&gt;"",E6396&lt;&gt;"!!!"),"NEW","")))</f>
        <v> </v>
      </c>
      <c r="G6396" s="24" t="str">
        <f>IF(OR(E6396="",E6396="!!!"),"",IF(OR(J6396=0,AND(J6396=1,K6396=1),AND(J6396=1,I6396="SBJ"),AND(J6396=1,I6396=0)),"?IN_FOCUS",IF(J6396&lt;=2,"?ACTIVATED",IF(J6396&lt;&gt;"","?FAMILIAR",IF(F6396="NEW",IF(ISNA(VLOOKUP(E6396,#REF!,1,FALSE())),"?TYPE_IDENTIFIABLE","?REFERENTIAL"),"_")))))</f>
        <v> </v>
      </c>
      <c r="H6396" s="25" t="str">
        <f>IF(J6396&lt;&gt;1,"",IF(I6396="SBJ","CB","?"))</f>
        <v> </v>
      </c>
      <c r="I6396" s="26" t="str">
        <f>IF(OR(E6396="",E6396="!!!",F6396="NEW"),"",INDEX(B6395:B$2,-1+SUMPRODUCT(MAX(ROW(E6395:E$2)*(E6396=E6395:E$2)))))</f>
        <v> </v>
      </c>
      <c r="J6396" s="26" t="str">
        <f>IF(OR(E6396="",E6396="!!!",F6396="NEW"),"",COUNTBLANK(OFFSET(A$1,,,SUMPRODUCT(MAX(ROW(E$2:E6396)*(E6396=E$2:E6396)))))-COUNTBLANK(OFFSET(A$1,,,SUMPRODUCT(MAX(ROW(E$1:E6395)*(E2=E$1:E6395))))))</f>
        <v> </v>
      </c>
      <c r="K6396" s="26" t="str">
        <f>IF(OR(E6396="",E6396="!!!",F6396="NEW"),"",INDEX(J$1:J6395,SUMPRODUCT(MAX(ROW(E$1:E6395)*(E6396=E$1:E6395)))))</f>
        <v> </v>
      </c>
      <c r="L6396" s="27"/>
    </row>
    <row r="6397" spans="1:12">
      <c r="A6397" s="20" t="s">
        <v>1011</v>
      </c>
      <c r="E6397" s="22">
        <f>IF(D6397="?OLD","!!!","")</f>
        <v/>
      </c>
      <c r="F6397" s="23" t="str">
        <f>IF(OR(E6397="",E6397="!!!"),"",IF(NOT(ISNA(VLOOKUP(E6397,E$1:E6396,1,FALSE()))),"OLD",IF(AND(E6397&lt;&gt;"",E6397&lt;&gt;"!!!"),"NEW","")))</f>
        <v> </v>
      </c>
      <c r="G6397" s="24" t="str">
        <f>IF(OR(E6397="",E6397="!!!"),"",IF(OR(J6397=0,AND(J6397=1,K6397=1),AND(J6397=1,I6397="SBJ"),AND(J6397=1,I6397=0)),"?IN_FOCUS",IF(J6397&lt;=2,"?ACTIVATED",IF(J6397&lt;&gt;"","?FAMILIAR",IF(F6397="NEW",IF(ISNA(VLOOKUP(E6397,#REF!,1,FALSE())),"?TYPE_IDENTIFIABLE","?REFERENTIAL"),"_")))))</f>
        <v> </v>
      </c>
      <c r="H6397" s="25" t="str">
        <f>IF(J6397&lt;&gt;1,"",IF(I6397="SBJ","CB","?"))</f>
        <v> </v>
      </c>
      <c r="I6397" s="26" t="str">
        <f>IF(OR(E6397="",E6397="!!!",F6397="NEW"),"",INDEX(B6396:B$2,-1+SUMPRODUCT(MAX(ROW(E6396:E$2)*(E6397=E6396:E$2)))))</f>
        <v> </v>
      </c>
      <c r="J6397" s="26" t="str">
        <f>IF(OR(E6397="",E6397="!!!",F6397="NEW"),"",COUNTBLANK(OFFSET(A$1,,,SUMPRODUCT(MAX(ROW(E$2:E6397)*(E6397=E$2:E6397)))))-COUNTBLANK(OFFSET(A$1,,,SUMPRODUCT(MAX(ROW(E$1:E6396)*(E2=E$1:E6396))))))</f>
        <v> </v>
      </c>
      <c r="K6397" s="26" t="str">
        <f>IF(OR(E6397="",E6397="!!!",F6397="NEW"),"",INDEX(J$1:J6396,SUMPRODUCT(MAX(ROW(E$1:E6396)*(E6397=E$1:E6396)))))</f>
        <v> </v>
      </c>
      <c r="L6397" s="27"/>
    </row>
    <row r="6398" spans="1:12">
      <c r="A6398" s="20"/>
    </row>
    <row r="6399" spans="1:12">
      <c r="A6399" s="20" t="s">
        <v>2586</v>
      </c>
    </row>
    <row r="6400" spans="1:12">
      <c r="A6400" s="20" t="s">
        <v>1163</v>
      </c>
      <c r="E6400" s="22">
        <f>IF(D6400="?OLD","!!!","")</f>
        <v/>
      </c>
      <c r="F6400" s="23" t="str">
        <f>IF(OR(E6400="",E6400="!!!"),"",IF(NOT(ISNA(VLOOKUP(E6400,E$1:E6399,1,FALSE()))),"OLD",IF(AND(E6400&lt;&gt;"",E6400&lt;&gt;"!!!"),"NEW","")))</f>
        <v> </v>
      </c>
      <c r="G6400" s="24" t="str">
        <f>IF(OR(E6400="",E6400="!!!"),"",IF(OR(J6400=0,AND(J6400=1,K6400=1),AND(J6400=1,I6400="SBJ"),AND(J6400=1,I6400=0)),"?IN_FOCUS",IF(J6400&lt;=2,"?ACTIVATED",IF(J6400&lt;&gt;"","?FAMILIAR",IF(F6400="NEW",IF(ISNA(VLOOKUP(E6400,#REF!,1,FALSE())),"?TYPE_IDENTIFIABLE","?REFERENTIAL"),"_")))))</f>
        <v> </v>
      </c>
      <c r="H6400" s="25" t="str">
        <f>IF(J6400&lt;&gt;1,"",IF(I6400="SBJ","CB","?"))</f>
        <v> </v>
      </c>
      <c r="I6400" s="26" t="str">
        <f>IF(OR(E6400="",E6400="!!!",F6400="NEW"),"",INDEX(B6399:B$2,-1+SUMPRODUCT(MAX(ROW(E6399:E$2)*(E6400=E6399:E$2)))))</f>
        <v> </v>
      </c>
      <c r="J6400" s="26" t="str">
        <f>IF(OR(E6400="",E6400="!!!",F6400="NEW"),"",COUNTBLANK(OFFSET(A$1,,,SUMPRODUCT(MAX(ROW(E$2:E6400)*(E6400=E$2:E6400)))))-COUNTBLANK(OFFSET(A$1,,,SUMPRODUCT(MAX(ROW(E$1:E6399)*(E2=E$1:E6399))))))</f>
        <v> </v>
      </c>
      <c r="K6400" s="26" t="str">
        <f>IF(OR(E6400="",E6400="!!!",F6400="NEW"),"",INDEX(J$1:J6399,SUMPRODUCT(MAX(ROW(E$1:E6399)*(E6400=E$1:E6399)))))</f>
        <v> </v>
      </c>
      <c r="L6400" s="27"/>
    </row>
    <row r="6401" spans="1:12">
      <c r="A6401" s="20" t="s">
        <v>2587</v>
      </c>
      <c r="B6401" s="21" t="s">
        <v>995</v>
      </c>
      <c r="C6401" s="21" t="s">
        <v>1034</v>
      </c>
      <c r="D6401" s="21" t="s">
        <v>997</v>
      </c>
      <c r="E6401" s="22">
        <f>IF(D6401="?OLD","!!!","")</f>
        <v/>
      </c>
      <c r="F6401" s="23" t="str">
        <f>IF(OR(E6401="",E6401="!!!"),"",IF(NOT(ISNA(VLOOKUP(E6401,E$1:E6400,1,FALSE()))),"OLD",IF(AND(E6401&lt;&gt;"",E6401&lt;&gt;"!!!"),"NEW","")))</f>
        <v> </v>
      </c>
      <c r="G6401" s="24" t="str">
        <f>IF(OR(E6401="",E6401="!!!"),"",IF(OR(J6401=0,AND(J6401=1,K6401=1),AND(J6401=1,I6401="SBJ"),AND(J6401=1,I6401=0)),"?IN_FOCUS",IF(J6401&lt;=2,"?ACTIVATED",IF(J6401&lt;&gt;"","?FAMILIAR",IF(F6401="NEW",IF(ISNA(VLOOKUP(E6401,#REF!,1,FALSE())),"?TYPE_IDENTIFIABLE","?REFERENTIAL"),"_")))))</f>
        <v> </v>
      </c>
      <c r="H6401" s="25" t="str">
        <f>IF(J6401&lt;&gt;1,"",IF(I6401="SBJ","CB","?"))</f>
        <v> </v>
      </c>
      <c r="I6401" s="26" t="str">
        <f>IF(OR(E6401="",E6401="!!!",F6401="NEW"),"",INDEX(B6400:B$2,-1+SUMPRODUCT(MAX(ROW(E6400:E$2)*(E6401=E6400:E$2)))))</f>
        <v> </v>
      </c>
      <c r="J6401" s="26" t="str">
        <f>IF(OR(E6401="",E6401="!!!",F6401="NEW"),"",COUNTBLANK(OFFSET(A$1,,,SUMPRODUCT(MAX(ROW(E$2:E6401)*(E6401=E$2:E6401)))))-COUNTBLANK(OFFSET(A$1,,,SUMPRODUCT(MAX(ROW(E$1:E6400)*(E2=E$1:E6400))))))</f>
        <v> </v>
      </c>
      <c r="K6401" s="26" t="str">
        <f>IF(OR(E6401="",E6401="!!!",F6401="NEW"),"",INDEX(J$1:J6400,SUMPRODUCT(MAX(ROW(E$1:E6400)*(E6401=E$1:E6400)))))</f>
        <v> </v>
      </c>
      <c r="L6401" s="27"/>
    </row>
    <row r="6402" spans="1:12">
      <c r="A6402" s="20" t="s">
        <v>1149</v>
      </c>
      <c r="E6402" s="22">
        <f>IF(D6402="?OLD","!!!","")</f>
        <v/>
      </c>
      <c r="F6402" s="23" t="str">
        <f>IF(OR(E6402="",E6402="!!!"),"",IF(NOT(ISNA(VLOOKUP(E6402,E$1:E6401,1,FALSE()))),"OLD",IF(AND(E6402&lt;&gt;"",E6402&lt;&gt;"!!!"),"NEW","")))</f>
        <v> </v>
      </c>
      <c r="G6402" s="24" t="str">
        <f>IF(OR(E6402="",E6402="!!!"),"",IF(OR(J6402=0,AND(J6402=1,K6402=1),AND(J6402=1,I6402="SBJ"),AND(J6402=1,I6402=0)),"?IN_FOCUS",IF(J6402&lt;=2,"?ACTIVATED",IF(J6402&lt;&gt;"","?FAMILIAR",IF(F6402="NEW",IF(ISNA(VLOOKUP(E6402,#REF!,1,FALSE())),"?TYPE_IDENTIFIABLE","?REFERENTIAL"),"_")))))</f>
        <v> </v>
      </c>
      <c r="H6402" s="25" t="str">
        <f>IF(J6402&lt;&gt;1,"",IF(I6402="SBJ","CB","?"))</f>
        <v> </v>
      </c>
      <c r="I6402" s="26" t="str">
        <f>IF(OR(E6402="",E6402="!!!",F6402="NEW"),"",INDEX(B6401:B$2,-1+SUMPRODUCT(MAX(ROW(E6401:E$2)*(E6402=E6401:E$2)))))</f>
        <v> </v>
      </c>
      <c r="J6402" s="26" t="str">
        <f>IF(OR(E6402="",E6402="!!!",F6402="NEW"),"",COUNTBLANK(OFFSET(A$1,,,SUMPRODUCT(MAX(ROW(E$2:E6402)*(E6402=E$2:E6402)))))-COUNTBLANK(OFFSET(A$1,,,SUMPRODUCT(MAX(ROW(E$1:E6401)*(E2=E$1:E6401))))))</f>
        <v> </v>
      </c>
      <c r="K6402" s="26" t="str">
        <f>IF(OR(E6402="",E6402="!!!",F6402="NEW"),"",INDEX(J$1:J6401,SUMPRODUCT(MAX(ROW(E$1:E6401)*(E6402=E$1:E6401)))))</f>
        <v> </v>
      </c>
      <c r="L6402" s="27"/>
    </row>
    <row r="6403" spans="1:12">
      <c r="A6403" s="20" t="s">
        <v>1049</v>
      </c>
      <c r="E6403" s="22">
        <f>IF(D6403="?OLD","!!!","")</f>
        <v/>
      </c>
      <c r="F6403" s="23" t="str">
        <f>IF(OR(E6403="",E6403="!!!"),"",IF(NOT(ISNA(VLOOKUP(E6403,E$1:E6402,1,FALSE()))),"OLD",IF(AND(E6403&lt;&gt;"",E6403&lt;&gt;"!!!"),"NEW","")))</f>
        <v> </v>
      </c>
      <c r="G6403" s="24" t="str">
        <f>IF(OR(E6403="",E6403="!!!"),"",IF(OR(J6403=0,AND(J6403=1,K6403=1),AND(J6403=1,I6403="SBJ"),AND(J6403=1,I6403=0)),"?IN_FOCUS",IF(J6403&lt;=2,"?ACTIVATED",IF(J6403&lt;&gt;"","?FAMILIAR",IF(F6403="NEW",IF(ISNA(VLOOKUP(E6403,#REF!,1,FALSE())),"?TYPE_IDENTIFIABLE","?REFERENTIAL"),"_")))))</f>
        <v> </v>
      </c>
      <c r="H6403" s="25" t="str">
        <f>IF(J6403&lt;&gt;1,"",IF(I6403="SBJ","CB","?"))</f>
        <v> </v>
      </c>
      <c r="I6403" s="26" t="str">
        <f>IF(OR(E6403="",E6403="!!!",F6403="NEW"),"",INDEX(B6402:B$2,-1+SUMPRODUCT(MAX(ROW(E6402:E$2)*(E6403=E6402:E$2)))))</f>
        <v> </v>
      </c>
      <c r="J6403" s="26" t="str">
        <f>IF(OR(E6403="",E6403="!!!",F6403="NEW"),"",COUNTBLANK(OFFSET(A$1,,,SUMPRODUCT(MAX(ROW(E$2:E6403)*(E6403=E$2:E6403)))))-COUNTBLANK(OFFSET(A$1,,,SUMPRODUCT(MAX(ROW(E$1:E6402)*(E2=E$1:E6402))))))</f>
        <v> </v>
      </c>
      <c r="K6403" s="26" t="str">
        <f>IF(OR(E6403="",E6403="!!!",F6403="NEW"),"",INDEX(J$1:J6402,SUMPRODUCT(MAX(ROW(E$1:E6402)*(E6403=E$1:E6402)))))</f>
        <v> </v>
      </c>
      <c r="L6403" s="27"/>
    </row>
    <row r="6404" spans="1:12">
      <c r="A6404" s="20" t="s">
        <v>1065</v>
      </c>
      <c r="E6404" s="22">
        <f>IF(D6404="?OLD","!!!","")</f>
        <v/>
      </c>
      <c r="F6404" s="23" t="str">
        <f>IF(OR(E6404="",E6404="!!!"),"",IF(NOT(ISNA(VLOOKUP(E6404,E$1:E6403,1,FALSE()))),"OLD",IF(AND(E6404&lt;&gt;"",E6404&lt;&gt;"!!!"),"NEW","")))</f>
        <v> </v>
      </c>
      <c r="G6404" s="24" t="str">
        <f>IF(OR(E6404="",E6404="!!!"),"",IF(OR(J6404=0,AND(J6404=1,K6404=1),AND(J6404=1,I6404="SBJ"),AND(J6404=1,I6404=0)),"?IN_FOCUS",IF(J6404&lt;=2,"?ACTIVATED",IF(J6404&lt;&gt;"","?FAMILIAR",IF(F6404="NEW",IF(ISNA(VLOOKUP(E6404,#REF!,1,FALSE())),"?TYPE_IDENTIFIABLE","?REFERENTIAL"),"_")))))</f>
        <v> </v>
      </c>
      <c r="H6404" s="25" t="str">
        <f>IF(J6404&lt;&gt;1,"",IF(I6404="SBJ","CB","?"))</f>
        <v> </v>
      </c>
      <c r="I6404" s="26" t="str">
        <f>IF(OR(E6404="",E6404="!!!",F6404="NEW"),"",INDEX(B6403:B$2,-1+SUMPRODUCT(MAX(ROW(E6403:E$2)*(E6404=E6403:E$2)))))</f>
        <v> </v>
      </c>
      <c r="J6404" s="26" t="str">
        <f>IF(OR(E6404="",E6404="!!!",F6404="NEW"),"",COUNTBLANK(OFFSET(A$1,,,SUMPRODUCT(MAX(ROW(E$2:E6404)*(E6404=E$2:E6404)))))-COUNTBLANK(OFFSET(A$1,,,SUMPRODUCT(MAX(ROW(E$1:E6403)*(E2=E$1:E6403))))))</f>
        <v> </v>
      </c>
      <c r="K6404" s="26" t="str">
        <f>IF(OR(E6404="",E6404="!!!",F6404="NEW"),"",INDEX(J$1:J6403,SUMPRODUCT(MAX(ROW(E$1:E6403)*(E6404=E$1:E6403)))))</f>
        <v> </v>
      </c>
      <c r="L6404" s="27"/>
    </row>
    <row r="6405" spans="1:12">
      <c r="A6405" s="20" t="s">
        <v>1051</v>
      </c>
      <c r="E6405" s="22">
        <f>IF(D6405="?OLD","!!!","")</f>
        <v/>
      </c>
      <c r="F6405" s="23" t="str">
        <f>IF(OR(E6405="",E6405="!!!"),"",IF(NOT(ISNA(VLOOKUP(E6405,E$1:E6404,1,FALSE()))),"OLD",IF(AND(E6405&lt;&gt;"",E6405&lt;&gt;"!!!"),"NEW","")))</f>
        <v> </v>
      </c>
      <c r="G6405" s="24" t="str">
        <f>IF(OR(E6405="",E6405="!!!"),"",IF(OR(J6405=0,AND(J6405=1,K6405=1),AND(J6405=1,I6405="SBJ"),AND(J6405=1,I6405=0)),"?IN_FOCUS",IF(J6405&lt;=2,"?ACTIVATED",IF(J6405&lt;&gt;"","?FAMILIAR",IF(F6405="NEW",IF(ISNA(VLOOKUP(E6405,#REF!,1,FALSE())),"?TYPE_IDENTIFIABLE","?REFERENTIAL"),"_")))))</f>
        <v> </v>
      </c>
      <c r="H6405" s="25" t="str">
        <f>IF(J6405&lt;&gt;1,"",IF(I6405="SBJ","CB","?"))</f>
        <v> </v>
      </c>
      <c r="I6405" s="26" t="str">
        <f>IF(OR(E6405="",E6405="!!!",F6405="NEW"),"",INDEX(B6404:B$2,-1+SUMPRODUCT(MAX(ROW(E6404:E$2)*(E6405=E6404:E$2)))))</f>
        <v> </v>
      </c>
      <c r="J6405" s="26" t="str">
        <f>IF(OR(E6405="",E6405="!!!",F6405="NEW"),"",COUNTBLANK(OFFSET(A$1,,,SUMPRODUCT(MAX(ROW(E$2:E6405)*(E6405=E$2:E6405)))))-COUNTBLANK(OFFSET(A$1,,,SUMPRODUCT(MAX(ROW(E$1:E6404)*(E2=E$1:E6404))))))</f>
        <v> </v>
      </c>
      <c r="K6405" s="26" t="str">
        <f>IF(OR(E6405="",E6405="!!!",F6405="NEW"),"",INDEX(J$1:J6404,SUMPRODUCT(MAX(ROW(E$1:E6404)*(E6405=E$1:E6404)))))</f>
        <v> </v>
      </c>
      <c r="L6405" s="27"/>
    </row>
    <row r="6406" spans="1:12">
      <c r="A6406" s="20" t="s">
        <v>1052</v>
      </c>
      <c r="B6406" s="21" t="s">
        <v>1067</v>
      </c>
      <c r="C6406" s="21" t="s">
        <v>1068</v>
      </c>
      <c r="D6406" s="21" t="s">
        <v>997</v>
      </c>
      <c r="E6406" s="22">
        <f>IF(D6406="?OLD","!!!","")</f>
        <v/>
      </c>
      <c r="F6406" s="23" t="str">
        <f>IF(OR(E6406="",E6406="!!!"),"",IF(NOT(ISNA(VLOOKUP(E6406,E$1:E6405,1,FALSE()))),"OLD",IF(AND(E6406&lt;&gt;"",E6406&lt;&gt;"!!!"),"NEW","")))</f>
        <v> </v>
      </c>
      <c r="G6406" s="24" t="str">
        <f>IF(OR(E6406="",E6406="!!!"),"",IF(OR(J6406=0,AND(J6406=1,K6406=1),AND(J6406=1,I6406="SBJ"),AND(J6406=1,I6406=0)),"?IN_FOCUS",IF(J6406&lt;=2,"?ACTIVATED",IF(J6406&lt;&gt;"","?FAMILIAR",IF(F6406="NEW",IF(ISNA(VLOOKUP(E6406,#REF!,1,FALSE())),"?TYPE_IDENTIFIABLE","?REFERENTIAL"),"_")))))</f>
        <v> </v>
      </c>
      <c r="H6406" s="25" t="str">
        <f>IF(J6406&lt;&gt;1,"",IF(I6406="SBJ","CB","?"))</f>
        <v> </v>
      </c>
      <c r="I6406" s="26" t="str">
        <f>IF(OR(E6406="",E6406="!!!",F6406="NEW"),"",INDEX(B6405:B$2,-1+SUMPRODUCT(MAX(ROW(E6405:E$2)*(E6406=E6405:E$2)))))</f>
        <v> </v>
      </c>
      <c r="J6406" s="26" t="str">
        <f>IF(OR(E6406="",E6406="!!!",F6406="NEW"),"",COUNTBLANK(OFFSET(A$1,,,SUMPRODUCT(MAX(ROW(E$2:E6406)*(E6406=E$2:E6406)))))-COUNTBLANK(OFFSET(A$1,,,SUMPRODUCT(MAX(ROW(E$1:E6405)*(E2=E$1:E6405))))))</f>
        <v> </v>
      </c>
      <c r="K6406" s="26" t="str">
        <f>IF(OR(E6406="",E6406="!!!",F6406="NEW"),"",INDEX(J$1:J6405,SUMPRODUCT(MAX(ROW(E$1:E6405)*(E6406=E$1:E6405)))))</f>
        <v> </v>
      </c>
      <c r="L6406" s="27"/>
    </row>
    <row r="6407" spans="1:12">
      <c r="A6407" s="20" t="s">
        <v>1008</v>
      </c>
      <c r="E6407" s="22">
        <f>IF(D6407="?OLD","!!!","")</f>
        <v/>
      </c>
      <c r="F6407" s="23" t="str">
        <f>IF(OR(E6407="",E6407="!!!"),"",IF(NOT(ISNA(VLOOKUP(E6407,E$1:E6406,1,FALSE()))),"OLD",IF(AND(E6407&lt;&gt;"",E6407&lt;&gt;"!!!"),"NEW","")))</f>
        <v> </v>
      </c>
      <c r="G6407" s="24" t="str">
        <f>IF(OR(E6407="",E6407="!!!"),"",IF(OR(J6407=0,AND(J6407=1,K6407=1),AND(J6407=1,I6407="SBJ"),AND(J6407=1,I6407=0)),"?IN_FOCUS",IF(J6407&lt;=2,"?ACTIVATED",IF(J6407&lt;&gt;"","?FAMILIAR",IF(F6407="NEW",IF(ISNA(VLOOKUP(E6407,#REF!,1,FALSE())),"?TYPE_IDENTIFIABLE","?REFERENTIAL"),"_")))))</f>
        <v> </v>
      </c>
      <c r="H6407" s="25" t="str">
        <f>IF(J6407&lt;&gt;1,"",IF(I6407="SBJ","CB","?"))</f>
        <v> </v>
      </c>
      <c r="I6407" s="26" t="str">
        <f>IF(OR(E6407="",E6407="!!!",F6407="NEW"),"",INDEX(B6406:B$2,-1+SUMPRODUCT(MAX(ROW(E6406:E$2)*(E6407=E6406:E$2)))))</f>
        <v> </v>
      </c>
      <c r="J6407" s="26" t="str">
        <f>IF(OR(E6407="",E6407="!!!",F6407="NEW"),"",COUNTBLANK(OFFSET(A$1,,,SUMPRODUCT(MAX(ROW(E$2:E6407)*(E6407=E$2:E6407)))))-COUNTBLANK(OFFSET(A$1,,,SUMPRODUCT(MAX(ROW(E$1:E6406)*(E2=E$1:E6406))))))</f>
        <v> </v>
      </c>
      <c r="K6407" s="26" t="str">
        <f>IF(OR(E6407="",E6407="!!!",F6407="NEW"),"",INDEX(J$1:J6406,SUMPRODUCT(MAX(ROW(E$1:E6406)*(E6407=E$1:E6406)))))</f>
        <v> </v>
      </c>
      <c r="L6407" s="27"/>
    </row>
    <row r="6408" spans="1:12">
      <c r="A6408" s="20" t="s">
        <v>1560</v>
      </c>
      <c r="B6408" s="21" t="s">
        <v>1005</v>
      </c>
      <c r="C6408" s="21" t="s">
        <v>1006</v>
      </c>
      <c r="E6408" s="22">
        <f>IF(D6408="?OLD","!!!","")</f>
        <v/>
      </c>
      <c r="F6408" s="23" t="str">
        <f>IF(OR(E6408="",E6408="!!!"),"",IF(NOT(ISNA(VLOOKUP(E6408,E$1:E6407,1,FALSE()))),"OLD",IF(AND(E6408&lt;&gt;"",E6408&lt;&gt;"!!!"),"NEW","")))</f>
        <v> </v>
      </c>
      <c r="G6408" s="24" t="str">
        <f>IF(OR(E6408="",E6408="!!!"),"",IF(OR(J6408=0,AND(J6408=1,K6408=1),AND(J6408=1,I6408="SBJ"),AND(J6408=1,I6408=0)),"?IN_FOCUS",IF(J6408&lt;=2,"?ACTIVATED",IF(J6408&lt;&gt;"","?FAMILIAR",IF(F6408="NEW",IF(ISNA(VLOOKUP(E6408,#REF!,1,FALSE())),"?TYPE_IDENTIFIABLE","?REFERENTIAL"),"_")))))</f>
        <v> </v>
      </c>
      <c r="H6408" s="25" t="str">
        <f>IF(J6408&lt;&gt;1,"",IF(I6408="SBJ","CB","?"))</f>
        <v> </v>
      </c>
      <c r="I6408" s="26" t="str">
        <f>IF(OR(E6408="",E6408="!!!",F6408="NEW"),"",INDEX(B6407:B$2,-1+SUMPRODUCT(MAX(ROW(E6407:E$2)*(E6408=E6407:E$2)))))</f>
        <v> </v>
      </c>
      <c r="J6408" s="26" t="str">
        <f>IF(OR(E6408="",E6408="!!!",F6408="NEW"),"",COUNTBLANK(OFFSET(A$1,,,SUMPRODUCT(MAX(ROW(E$2:E6408)*(E6408=E$2:E6408)))))-COUNTBLANK(OFFSET(A$1,,,SUMPRODUCT(MAX(ROW(E$1:E6407)*(E2=E$1:E6407))))))</f>
        <v> </v>
      </c>
      <c r="K6408" s="26" t="str">
        <f>IF(OR(E6408="",E6408="!!!",F6408="NEW"),"",INDEX(J$1:J6407,SUMPRODUCT(MAX(ROW(E$1:E6407)*(E6408=E$1:E6407)))))</f>
        <v> </v>
      </c>
      <c r="L6408" s="27"/>
    </row>
    <row r="6409" spans="1:12">
      <c r="A6409" s="20" t="s">
        <v>1011</v>
      </c>
      <c r="E6409" s="22">
        <f>IF(D6409="?OLD","!!!","")</f>
        <v/>
      </c>
      <c r="F6409" s="23" t="str">
        <f>IF(OR(E6409="",E6409="!!!"),"",IF(NOT(ISNA(VLOOKUP(E6409,E$1:E6408,1,FALSE()))),"OLD",IF(AND(E6409&lt;&gt;"",E6409&lt;&gt;"!!!"),"NEW","")))</f>
        <v> </v>
      </c>
      <c r="G6409" s="24" t="str">
        <f>IF(OR(E6409="",E6409="!!!"),"",IF(OR(J6409=0,AND(J6409=1,K6409=1),AND(J6409=1,I6409="SBJ"),AND(J6409=1,I6409=0)),"?IN_FOCUS",IF(J6409&lt;=2,"?ACTIVATED",IF(J6409&lt;&gt;"","?FAMILIAR",IF(F6409="NEW",IF(ISNA(VLOOKUP(E6409,#REF!,1,FALSE())),"?TYPE_IDENTIFIABLE","?REFERENTIAL"),"_")))))</f>
        <v> </v>
      </c>
      <c r="H6409" s="25" t="str">
        <f>IF(J6409&lt;&gt;1,"",IF(I6409="SBJ","CB","?"))</f>
        <v> </v>
      </c>
      <c r="I6409" s="26" t="str">
        <f>IF(OR(E6409="",E6409="!!!",F6409="NEW"),"",INDEX(B6408:B$2,-1+SUMPRODUCT(MAX(ROW(E6408:E$2)*(E6409=E6408:E$2)))))</f>
        <v> </v>
      </c>
      <c r="J6409" s="26" t="str">
        <f>IF(OR(E6409="",E6409="!!!",F6409="NEW"),"",COUNTBLANK(OFFSET(A$1,,,SUMPRODUCT(MAX(ROW(E$2:E6409)*(E6409=E$2:E6409)))))-COUNTBLANK(OFFSET(A$1,,,SUMPRODUCT(MAX(ROW(E$1:E6408)*(E2=E$1:E6408))))))</f>
        <v> </v>
      </c>
      <c r="K6409" s="26" t="str">
        <f>IF(OR(E6409="",E6409="!!!",F6409="NEW"),"",INDEX(J$1:J6408,SUMPRODUCT(MAX(ROW(E$1:E6408)*(E6409=E$1:E6408)))))</f>
        <v> </v>
      </c>
      <c r="L6409" s="27"/>
    </row>
    <row r="6410" spans="1:12">
      <c r="A6410" s="20"/>
    </row>
    <row r="6411" spans="1:12">
      <c r="A6411" s="20" t="s">
        <v>2588</v>
      </c>
    </row>
    <row r="6412" spans="1:12">
      <c r="A6412" s="20" t="s">
        <v>1013</v>
      </c>
      <c r="E6412" s="22">
        <f>IF(D6412="?OLD","!!!","")</f>
        <v/>
      </c>
      <c r="F6412" s="23" t="str">
        <f>IF(OR(E6412="",E6412="!!!"),"",IF(NOT(ISNA(VLOOKUP(E6412,E$1:E6411,1,FALSE()))),"OLD",IF(AND(E6412&lt;&gt;"",E6412&lt;&gt;"!!!"),"NEW","")))</f>
        <v> </v>
      </c>
      <c r="G6412" s="24" t="str">
        <f>IF(OR(E6412="",E6412="!!!"),"",IF(OR(J6412=0,AND(J6412=1,K6412=1),AND(J6412=1,I6412="SBJ"),AND(J6412=1,I6412=0)),"?IN_FOCUS",IF(J6412&lt;=2,"?ACTIVATED",IF(J6412&lt;&gt;"","?FAMILIAR",IF(F6412="NEW",IF(ISNA(VLOOKUP(E6412,#REF!,1,FALSE())),"?TYPE_IDENTIFIABLE","?REFERENTIAL"),"_")))))</f>
        <v> </v>
      </c>
      <c r="H6412" s="25" t="str">
        <f>IF(J6412&lt;&gt;1,"",IF(I6412="SBJ","CB","?"))</f>
        <v> </v>
      </c>
      <c r="I6412" s="26" t="str">
        <f>IF(OR(E6412="",E6412="!!!",F6412="NEW"),"",INDEX(B6411:B$2,-1+SUMPRODUCT(MAX(ROW(E6411:E$2)*(E6412=E6411:E$2)))))</f>
        <v> </v>
      </c>
      <c r="J6412" s="26" t="str">
        <f>IF(OR(E6412="",E6412="!!!",F6412="NEW"),"",COUNTBLANK(OFFSET(A$1,,,SUMPRODUCT(MAX(ROW(E$2:E6412)*(E6412=E$2:E6412)))))-COUNTBLANK(OFFSET(A$1,,,SUMPRODUCT(MAX(ROW(E$1:E6411)*(E2=E$1:E6411))))))</f>
        <v> </v>
      </c>
      <c r="K6412" s="26" t="str">
        <f>IF(OR(E6412="",E6412="!!!",F6412="NEW"),"",INDEX(J$1:J6411,SUMPRODUCT(MAX(ROW(E$1:E6411)*(E6412=E$1:E6411)))))</f>
        <v> </v>
      </c>
      <c r="L6412" s="27"/>
    </row>
    <row r="6413" spans="1:12">
      <c r="A6413" s="20" t="s">
        <v>1168</v>
      </c>
      <c r="E6413" s="22">
        <f>IF(D6413="?OLD","!!!","")</f>
        <v/>
      </c>
      <c r="F6413" s="23" t="str">
        <f>IF(OR(E6413="",E6413="!!!"),"",IF(NOT(ISNA(VLOOKUP(E6413,E$1:E6412,1,FALSE()))),"OLD",IF(AND(E6413&lt;&gt;"",E6413&lt;&gt;"!!!"),"NEW","")))</f>
        <v> </v>
      </c>
      <c r="G6413" s="24" t="str">
        <f>IF(OR(E6413="",E6413="!!!"),"",IF(OR(J6413=0,AND(J6413=1,K6413=1),AND(J6413=1,I6413="SBJ"),AND(J6413=1,I6413=0)),"?IN_FOCUS",IF(J6413&lt;=2,"?ACTIVATED",IF(J6413&lt;&gt;"","?FAMILIAR",IF(F6413="NEW",IF(ISNA(VLOOKUP(E6413,#REF!,1,FALSE())),"?TYPE_IDENTIFIABLE","?REFERENTIAL"),"_")))))</f>
        <v> </v>
      </c>
      <c r="H6413" s="25" t="str">
        <f>IF(J6413&lt;&gt;1,"",IF(I6413="SBJ","CB","?"))</f>
        <v> </v>
      </c>
      <c r="I6413" s="26" t="str">
        <f>IF(OR(E6413="",E6413="!!!",F6413="NEW"),"",INDEX(B6412:B$2,-1+SUMPRODUCT(MAX(ROW(E6412:E$2)*(E6413=E6412:E$2)))))</f>
        <v> </v>
      </c>
      <c r="J6413" s="26" t="str">
        <f>IF(OR(E6413="",E6413="!!!",F6413="NEW"),"",COUNTBLANK(OFFSET(A$1,,,SUMPRODUCT(MAX(ROW(E$2:E6413)*(E6413=E$2:E6413)))))-COUNTBLANK(OFFSET(A$1,,,SUMPRODUCT(MAX(ROW(E$1:E6412)*(E2=E$1:E6412))))))</f>
        <v> </v>
      </c>
      <c r="K6413" s="26" t="str">
        <f>IF(OR(E6413="",E6413="!!!",F6413="NEW"),"",INDEX(J$1:J6412,SUMPRODUCT(MAX(ROW(E$1:E6412)*(E6413=E$1:E6412)))))</f>
        <v> </v>
      </c>
      <c r="L6413" s="27"/>
    </row>
    <row r="6414" spans="1:12">
      <c r="A6414" s="20" t="s">
        <v>2535</v>
      </c>
      <c r="B6414" s="21" t="s">
        <v>995</v>
      </c>
      <c r="C6414" s="21" t="s">
        <v>1095</v>
      </c>
      <c r="D6414" s="21" t="s">
        <v>997</v>
      </c>
      <c r="E6414" s="22">
        <f>IF(D6414="?OLD","!!!","")</f>
        <v/>
      </c>
      <c r="F6414" s="23" t="str">
        <f>IF(OR(E6414="",E6414="!!!"),"",IF(NOT(ISNA(VLOOKUP(E6414,E$1:E6413,1,FALSE()))),"OLD",IF(AND(E6414&lt;&gt;"",E6414&lt;&gt;"!!!"),"NEW","")))</f>
        <v> </v>
      </c>
      <c r="G6414" s="24" t="str">
        <f>IF(OR(E6414="",E6414="!!!"),"",IF(OR(J6414=0,AND(J6414=1,K6414=1),AND(J6414=1,I6414="SBJ"),AND(J6414=1,I6414=0)),"?IN_FOCUS",IF(J6414&lt;=2,"?ACTIVATED",IF(J6414&lt;&gt;"","?FAMILIAR",IF(F6414="NEW",IF(ISNA(VLOOKUP(E6414,#REF!,1,FALSE())),"?TYPE_IDENTIFIABLE","?REFERENTIAL"),"_")))))</f>
        <v> </v>
      </c>
      <c r="H6414" s="25" t="str">
        <f>IF(J6414&lt;&gt;1,"",IF(I6414="SBJ","CB","?"))</f>
        <v> </v>
      </c>
      <c r="I6414" s="26" t="str">
        <f>IF(OR(E6414="",E6414="!!!",F6414="NEW"),"",INDEX(B6413:B$2,-1+SUMPRODUCT(MAX(ROW(E6413:E$2)*(E6414=E6413:E$2)))))</f>
        <v> </v>
      </c>
      <c r="J6414" s="26" t="str">
        <f>IF(OR(E6414="",E6414="!!!",F6414="NEW"),"",COUNTBLANK(OFFSET(A$1,,,SUMPRODUCT(MAX(ROW(E$2:E6414)*(E6414=E$2:E6414)))))-COUNTBLANK(OFFSET(A$1,,,SUMPRODUCT(MAX(ROW(E$1:E6413)*(E2=E$1:E6413))))))</f>
        <v> </v>
      </c>
      <c r="K6414" s="26" t="str">
        <f>IF(OR(E6414="",E6414="!!!",F6414="NEW"),"",INDEX(J$1:J6413,SUMPRODUCT(MAX(ROW(E$1:E6413)*(E6414=E$1:E6413)))))</f>
        <v> </v>
      </c>
      <c r="L6414" s="27"/>
    </row>
    <row r="6415" spans="1:12">
      <c r="A6415" s="20" t="s">
        <v>1154</v>
      </c>
      <c r="E6415" s="22">
        <f>IF(D6415="?OLD","!!!","")</f>
        <v/>
      </c>
      <c r="F6415" s="23" t="str">
        <f>IF(OR(E6415="",E6415="!!!"),"",IF(NOT(ISNA(VLOOKUP(E6415,E$1:E6414,1,FALSE()))),"OLD",IF(AND(E6415&lt;&gt;"",E6415&lt;&gt;"!!!"),"NEW","")))</f>
        <v> </v>
      </c>
      <c r="G6415" s="24" t="str">
        <f>IF(OR(E6415="",E6415="!!!"),"",IF(OR(J6415=0,AND(J6415=1,K6415=1),AND(J6415=1,I6415="SBJ"),AND(J6415=1,I6415=0)),"?IN_FOCUS",IF(J6415&lt;=2,"?ACTIVATED",IF(J6415&lt;&gt;"","?FAMILIAR",IF(F6415="NEW",IF(ISNA(VLOOKUP(E6415,#REF!,1,FALSE())),"?TYPE_IDENTIFIABLE","?REFERENTIAL"),"_")))))</f>
        <v> </v>
      </c>
      <c r="H6415" s="25" t="str">
        <f>IF(J6415&lt;&gt;1,"",IF(I6415="SBJ","CB","?"))</f>
        <v> </v>
      </c>
      <c r="I6415" s="26" t="str">
        <f>IF(OR(E6415="",E6415="!!!",F6415="NEW"),"",INDEX(B6414:B$2,-1+SUMPRODUCT(MAX(ROW(E6414:E$2)*(E6415=E6414:E$2)))))</f>
        <v> </v>
      </c>
      <c r="J6415" s="26" t="str">
        <f>IF(OR(E6415="",E6415="!!!",F6415="NEW"),"",COUNTBLANK(OFFSET(A$1,,,SUMPRODUCT(MAX(ROW(E$2:E6415)*(E6415=E$2:E6415)))))-COUNTBLANK(OFFSET(A$1,,,SUMPRODUCT(MAX(ROW(E$1:E6414)*(E2=E$1:E6414))))))</f>
        <v> </v>
      </c>
      <c r="K6415" s="26" t="str">
        <f>IF(OR(E6415="",E6415="!!!",F6415="NEW"),"",INDEX(J$1:J6414,SUMPRODUCT(MAX(ROW(E$1:E6414)*(E6415=E$1:E6414)))))</f>
        <v> </v>
      </c>
      <c r="L6415" s="27"/>
    </row>
    <row r="6416" spans="1:12">
      <c r="A6416" s="20" t="s">
        <v>2589</v>
      </c>
      <c r="E6416" s="22">
        <f>IF(D6416="?OLD","!!!","")</f>
        <v/>
      </c>
      <c r="F6416" s="23" t="str">
        <f>IF(OR(E6416="",E6416="!!!"),"",IF(NOT(ISNA(VLOOKUP(E6416,E$1:E6415,1,FALSE()))),"OLD",IF(AND(E6416&lt;&gt;"",E6416&lt;&gt;"!!!"),"NEW","")))</f>
        <v> </v>
      </c>
      <c r="G6416" s="24" t="str">
        <f>IF(OR(E6416="",E6416="!!!"),"",IF(OR(J6416=0,AND(J6416=1,K6416=1),AND(J6416=1,I6416="SBJ"),AND(J6416=1,I6416=0)),"?IN_FOCUS",IF(J6416&lt;=2,"?ACTIVATED",IF(J6416&lt;&gt;"","?FAMILIAR",IF(F6416="NEW",IF(ISNA(VLOOKUP(E6416,#REF!,1,FALSE())),"?TYPE_IDENTIFIABLE","?REFERENTIAL"),"_")))))</f>
        <v> </v>
      </c>
      <c r="H6416" s="25" t="str">
        <f>IF(J6416&lt;&gt;1,"",IF(I6416="SBJ","CB","?"))</f>
        <v> </v>
      </c>
      <c r="I6416" s="26" t="str">
        <f>IF(OR(E6416="",E6416="!!!",F6416="NEW"),"",INDEX(B6415:B$2,-1+SUMPRODUCT(MAX(ROW(E6415:E$2)*(E6416=E6415:E$2)))))</f>
        <v> </v>
      </c>
      <c r="J6416" s="26" t="str">
        <f>IF(OR(E6416="",E6416="!!!",F6416="NEW"),"",COUNTBLANK(OFFSET(A$1,,,SUMPRODUCT(MAX(ROW(E$2:E6416)*(E6416=E$2:E6416)))))-COUNTBLANK(OFFSET(A$1,,,SUMPRODUCT(MAX(ROW(E$1:E6415)*(E2=E$1:E6415))))))</f>
        <v> </v>
      </c>
      <c r="K6416" s="26" t="str">
        <f>IF(OR(E6416="",E6416="!!!",F6416="NEW"),"",INDEX(J$1:J6415,SUMPRODUCT(MAX(ROW(E$1:E6415)*(E6416=E$1:E6415)))))</f>
        <v> </v>
      </c>
      <c r="L6416" s="27"/>
    </row>
    <row r="6417" spans="1:12">
      <c r="A6417" s="20" t="s">
        <v>1011</v>
      </c>
      <c r="E6417" s="22">
        <f>IF(D6417="?OLD","!!!","")</f>
        <v/>
      </c>
      <c r="F6417" s="23" t="str">
        <f>IF(OR(E6417="",E6417="!!!"),"",IF(NOT(ISNA(VLOOKUP(E6417,E$1:E6416,1,FALSE()))),"OLD",IF(AND(E6417&lt;&gt;"",E6417&lt;&gt;"!!!"),"NEW","")))</f>
        <v> </v>
      </c>
      <c r="G6417" s="24" t="str">
        <f>IF(OR(E6417="",E6417="!!!"),"",IF(OR(J6417=0,AND(J6417=1,K6417=1),AND(J6417=1,I6417="SBJ"),AND(J6417=1,I6417=0)),"?IN_FOCUS",IF(J6417&lt;=2,"?ACTIVATED",IF(J6417&lt;&gt;"","?FAMILIAR",IF(F6417="NEW",IF(ISNA(VLOOKUP(E6417,#REF!,1,FALSE())),"?TYPE_IDENTIFIABLE","?REFERENTIAL"),"_")))))</f>
        <v> </v>
      </c>
      <c r="H6417" s="25" t="str">
        <f>IF(J6417&lt;&gt;1,"",IF(I6417="SBJ","CB","?"))</f>
        <v> </v>
      </c>
      <c r="I6417" s="26" t="str">
        <f>IF(OR(E6417="",E6417="!!!",F6417="NEW"),"",INDEX(B6416:B$2,-1+SUMPRODUCT(MAX(ROW(E6416:E$2)*(E6417=E6416:E$2)))))</f>
        <v> </v>
      </c>
      <c r="J6417" s="26" t="str">
        <f>IF(OR(E6417="",E6417="!!!",F6417="NEW"),"",COUNTBLANK(OFFSET(A$1,,,SUMPRODUCT(MAX(ROW(E$2:E6417)*(E6417=E$2:E6417)))))-COUNTBLANK(OFFSET(A$1,,,SUMPRODUCT(MAX(ROW(E$1:E6416)*(E2=E$1:E6416))))))</f>
        <v> </v>
      </c>
      <c r="K6417" s="26" t="str">
        <f>IF(OR(E6417="",E6417="!!!",F6417="NEW"),"",INDEX(J$1:J6416,SUMPRODUCT(MAX(ROW(E$1:E6416)*(E6417=E$1:E6416)))))</f>
        <v> </v>
      </c>
      <c r="L6417" s="27"/>
    </row>
    <row r="6418" spans="1:12">
      <c r="A6418" s="20"/>
    </row>
    <row r="6419" spans="1:12">
      <c r="A6419" s="20" t="s">
        <v>1457</v>
      </c>
      <c r="E6419" s="22">
        <f>IF(D6419="?OLD","!!!","")</f>
        <v/>
      </c>
      <c r="F6419" s="23" t="str">
        <f>IF(OR(E6419="",E6419="!!!"),"",IF(NOT(ISNA(VLOOKUP(E6419,E$1:E6418,1,FALSE()))),"OLD",IF(AND(E6419&lt;&gt;"",E6419&lt;&gt;"!!!"),"NEW","")))</f>
        <v> </v>
      </c>
      <c r="G6419" s="24" t="str">
        <f>IF(OR(E6419="",E6419="!!!"),"",IF(OR(J6419=0,AND(J6419=1,K6419=1),AND(J6419=1,I6419="SBJ"),AND(J6419=1,I6419=0)),"?IN_FOCUS",IF(J6419&lt;=2,"?ACTIVATED",IF(J6419&lt;&gt;"","?FAMILIAR",IF(F6419="NEW",IF(ISNA(VLOOKUP(E6419,#REF!,1,FALSE())),"?TYPE_IDENTIFIABLE","?REFERENTIAL"),"_")))))</f>
        <v> </v>
      </c>
      <c r="H6419" s="25" t="str">
        <f>IF(J6419&lt;&gt;1,"",IF(I6419="SBJ","CB","?"))</f>
        <v> </v>
      </c>
      <c r="I6419" s="26" t="str">
        <f>IF(OR(E6419="",E6419="!!!",F6419="NEW"),"",INDEX(B6418:B$2,-1+SUMPRODUCT(MAX(ROW(E6418:E$2)*(E6419=E6418:E$2)))))</f>
        <v> </v>
      </c>
      <c r="J6419" s="26" t="str">
        <f>IF(OR(E6419="",E6419="!!!",F6419="NEW"),"",COUNTBLANK(OFFSET(A$1,,,SUMPRODUCT(MAX(ROW(E$2:E6419)*(E6419=E$2:E6419)))))-COUNTBLANK(OFFSET(A$1,,,SUMPRODUCT(MAX(ROW(E$1:E6418)*(E2=E$1:E6418))))))</f>
        <v> </v>
      </c>
      <c r="K6419" s="26" t="str">
        <f>IF(OR(E6419="",E6419="!!!",F6419="NEW"),"",INDEX(J$1:J6418,SUMPRODUCT(MAX(ROW(E$1:E6418)*(E6419=E$1:E6418)))))</f>
        <v> </v>
      </c>
      <c r="L6419" s="27"/>
    </row>
    <row r="6420" spans="1:12">
      <c r="A6420" s="20" t="s">
        <v>2590</v>
      </c>
    </row>
    <row r="6421" spans="1:12">
      <c r="A6421" s="20" t="s">
        <v>2591</v>
      </c>
      <c r="B6421" s="21" t="s">
        <v>1005</v>
      </c>
      <c r="C6421" s="21" t="s">
        <v>1025</v>
      </c>
      <c r="D6421" s="21" t="s">
        <v>997</v>
      </c>
      <c r="E6421" s="22">
        <f>IF(D6421="?OLD","!!!","")</f>
        <v/>
      </c>
      <c r="F6421" s="23" t="str">
        <f>IF(OR(E6421="",E6421="!!!"),"",IF(NOT(ISNA(VLOOKUP(E6421,E$1:E6420,1,FALSE()))),"OLD",IF(AND(E6421&lt;&gt;"",E6421&lt;&gt;"!!!"),"NEW","")))</f>
        <v> </v>
      </c>
      <c r="G6421" s="24" t="str">
        <f>IF(OR(E6421="",E6421="!!!"),"",IF(OR(J6421=0,AND(J6421=1,K6421=1),AND(J6421=1,I6421="SBJ"),AND(J6421=1,I6421=0)),"?IN_FOCUS",IF(J6421&lt;=2,"?ACTIVATED",IF(J6421&lt;&gt;"","?FAMILIAR",IF(F6421="NEW",IF(ISNA(VLOOKUP(E6421,#REF!,1,FALSE())),"?TYPE_IDENTIFIABLE","?REFERENTIAL"),"_")))))</f>
        <v> </v>
      </c>
      <c r="H6421" s="25" t="str">
        <f>IF(J6421&lt;&gt;1,"",IF(I6421="SBJ","CB","?"))</f>
        <v> </v>
      </c>
      <c r="I6421" s="26" t="str">
        <f>IF(OR(E6421="",E6421="!!!",F6421="NEW"),"",INDEX(B6420:B$2,-1+SUMPRODUCT(MAX(ROW(E6420:E$2)*(E6421=E6420:E$2)))))</f>
        <v> </v>
      </c>
      <c r="J6421" s="26" t="str">
        <f>IF(OR(E6421="",E6421="!!!",F6421="NEW"),"",COUNTBLANK(OFFSET(A$1,,,SUMPRODUCT(MAX(ROW(E$2:E6421)*(E6421=E$2:E6421)))))-COUNTBLANK(OFFSET(A$1,,,SUMPRODUCT(MAX(ROW(E$1:E6420)*(E2=E$1:E6420))))))</f>
        <v> </v>
      </c>
      <c r="K6421" s="26" t="str">
        <f>IF(OR(E6421="",E6421="!!!",F6421="NEW"),"",INDEX(J$1:J6420,SUMPRODUCT(MAX(ROW(E$1:E6420)*(E6421=E$1:E6420)))))</f>
        <v> </v>
      </c>
      <c r="L6421" s="27"/>
    </row>
    <row r="6422" spans="1:12">
      <c r="A6422" s="20" t="s">
        <v>2592</v>
      </c>
      <c r="B6422" s="21" t="s">
        <v>1067</v>
      </c>
      <c r="C6422" s="21" t="s">
        <v>1028</v>
      </c>
      <c r="D6422" s="21" t="s">
        <v>997</v>
      </c>
      <c r="E6422" s="22">
        <f>IF(D6422="?OLD","!!!","")</f>
        <v/>
      </c>
      <c r="F6422" s="23" t="str">
        <f>IF(OR(E6422="",E6422="!!!"),"",IF(NOT(ISNA(VLOOKUP(E6422,E$1:E6421,1,FALSE()))),"OLD",IF(AND(E6422&lt;&gt;"",E6422&lt;&gt;"!!!"),"NEW","")))</f>
        <v> </v>
      </c>
      <c r="G6422" s="24" t="str">
        <f>IF(OR(E6422="",E6422="!!!"),"",IF(OR(J6422=0,AND(J6422=1,K6422=1),AND(J6422=1,I6422="SBJ"),AND(J6422=1,I6422=0)),"?IN_FOCUS",IF(J6422&lt;=2,"?ACTIVATED",IF(J6422&lt;&gt;"","?FAMILIAR",IF(F6422="NEW",IF(ISNA(VLOOKUP(E6422,#REF!,1,FALSE())),"?TYPE_IDENTIFIABLE","?REFERENTIAL"),"_")))))</f>
        <v> </v>
      </c>
      <c r="H6422" s="25" t="str">
        <f>IF(J6422&lt;&gt;1,"",IF(I6422="SBJ","CB","?"))</f>
        <v> </v>
      </c>
      <c r="I6422" s="26" t="str">
        <f>IF(OR(E6422="",E6422="!!!",F6422="NEW"),"",INDEX(B6421:B$2,-1+SUMPRODUCT(MAX(ROW(E6421:E$2)*(E6422=E6421:E$2)))))</f>
        <v> </v>
      </c>
      <c r="J6422" s="26" t="str">
        <f>IF(OR(E6422="",E6422="!!!",F6422="NEW"),"",COUNTBLANK(OFFSET(A$1,,,SUMPRODUCT(MAX(ROW(E$2:E6422)*(E6422=E$2:E6422)))))-COUNTBLANK(OFFSET(A$1,,,SUMPRODUCT(MAX(ROW(E$1:E6421)*(E2=E$1:E6421))))))</f>
        <v> </v>
      </c>
      <c r="K6422" s="26" t="str">
        <f>IF(OR(E6422="",E6422="!!!",F6422="NEW"),"",INDEX(J$1:J6421,SUMPRODUCT(MAX(ROW(E$1:E6421)*(E6422=E$1:E6421)))))</f>
        <v> </v>
      </c>
      <c r="L6422" s="27"/>
    </row>
    <row r="6423" spans="1:12">
      <c r="A6423" s="20" t="s">
        <v>1041</v>
      </c>
      <c r="E6423" s="22">
        <f>IF(D6423="?OLD","!!!","")</f>
        <v/>
      </c>
      <c r="F6423" s="23" t="str">
        <f>IF(OR(E6423="",E6423="!!!"),"",IF(NOT(ISNA(VLOOKUP(E6423,E$1:E6422,1,FALSE()))),"OLD",IF(AND(E6423&lt;&gt;"",E6423&lt;&gt;"!!!"),"NEW","")))</f>
        <v> </v>
      </c>
      <c r="G6423" s="24" t="str">
        <f>IF(OR(E6423="",E6423="!!!"),"",IF(OR(J6423=0,AND(J6423=1,K6423=1),AND(J6423=1,I6423="SBJ"),AND(J6423=1,I6423=0)),"?IN_FOCUS",IF(J6423&lt;=2,"?ACTIVATED",IF(J6423&lt;&gt;"","?FAMILIAR",IF(F6423="NEW",IF(ISNA(VLOOKUP(E6423,#REF!,1,FALSE())),"?TYPE_IDENTIFIABLE","?REFERENTIAL"),"_")))))</f>
        <v> </v>
      </c>
      <c r="H6423" s="25" t="str">
        <f>IF(J6423&lt;&gt;1,"",IF(I6423="SBJ","CB","?"))</f>
        <v> </v>
      </c>
      <c r="I6423" s="26" t="str">
        <f>IF(OR(E6423="",E6423="!!!",F6423="NEW"),"",INDEX(B6422:B$2,-1+SUMPRODUCT(MAX(ROW(E6422:E$2)*(E6423=E6422:E$2)))))</f>
        <v> </v>
      </c>
      <c r="J6423" s="26" t="str">
        <f>IF(OR(E6423="",E6423="!!!",F6423="NEW"),"",COUNTBLANK(OFFSET(A$1,,,SUMPRODUCT(MAX(ROW(E$2:E6423)*(E6423=E$2:E6423)))))-COUNTBLANK(OFFSET(A$1,,,SUMPRODUCT(MAX(ROW(E$1:E6422)*(E2=E$1:E6422))))))</f>
        <v> </v>
      </c>
      <c r="K6423" s="26" t="str">
        <f>IF(OR(E6423="",E6423="!!!",F6423="NEW"),"",INDEX(J$1:J6422,SUMPRODUCT(MAX(ROW(E$1:E6422)*(E6423=E$1:E6422)))))</f>
        <v> </v>
      </c>
      <c r="L6423" s="27"/>
    </row>
    <row r="6424" spans="1:12">
      <c r="A6424" s="20" t="s">
        <v>2494</v>
      </c>
      <c r="E6424" s="22">
        <f>IF(D6424="?OLD","!!!","")</f>
        <v/>
      </c>
      <c r="F6424" s="23" t="str">
        <f>IF(OR(E6424="",E6424="!!!"),"",IF(NOT(ISNA(VLOOKUP(E6424,E$1:E6423,1,FALSE()))),"OLD",IF(AND(E6424&lt;&gt;"",E6424&lt;&gt;"!!!"),"NEW","")))</f>
        <v> </v>
      </c>
      <c r="G6424" s="24" t="str">
        <f>IF(OR(E6424="",E6424="!!!"),"",IF(OR(J6424=0,AND(J6424=1,K6424=1),AND(J6424=1,I6424="SBJ"),AND(J6424=1,I6424=0)),"?IN_FOCUS",IF(J6424&lt;=2,"?ACTIVATED",IF(J6424&lt;&gt;"","?FAMILIAR",IF(F6424="NEW",IF(ISNA(VLOOKUP(E6424,#REF!,1,FALSE())),"?TYPE_IDENTIFIABLE","?REFERENTIAL"),"_")))))</f>
        <v> </v>
      </c>
      <c r="H6424" s="25" t="str">
        <f>IF(J6424&lt;&gt;1,"",IF(I6424="SBJ","CB","?"))</f>
        <v> </v>
      </c>
      <c r="I6424" s="26" t="str">
        <f>IF(OR(E6424="",E6424="!!!",F6424="NEW"),"",INDEX(B6423:B$2,-1+SUMPRODUCT(MAX(ROW(E6423:E$2)*(E6424=E6423:E$2)))))</f>
        <v> </v>
      </c>
      <c r="J6424" s="26" t="str">
        <f>IF(OR(E6424="",E6424="!!!",F6424="NEW"),"",COUNTBLANK(OFFSET(A$1,,,SUMPRODUCT(MAX(ROW(E$2:E6424)*(E6424=E$2:E6424)))))-COUNTBLANK(OFFSET(A$1,,,SUMPRODUCT(MAX(ROW(E$1:E6423)*(E2=E$1:E6423))))))</f>
        <v> </v>
      </c>
      <c r="K6424" s="26" t="str">
        <f>IF(OR(E6424="",E6424="!!!",F6424="NEW"),"",INDEX(J$1:J6423,SUMPRODUCT(MAX(ROW(E$1:E6423)*(E6424=E$1:E6423)))))</f>
        <v> </v>
      </c>
      <c r="L6424" s="27"/>
    </row>
    <row r="6425" spans="1:12">
      <c r="A6425" s="20" t="s">
        <v>1041</v>
      </c>
      <c r="E6425" s="22">
        <f>IF(D6425="?OLD","!!!","")</f>
        <v/>
      </c>
      <c r="F6425" s="23" t="str">
        <f>IF(OR(E6425="",E6425="!!!"),"",IF(NOT(ISNA(VLOOKUP(E6425,E$1:E6424,1,FALSE()))),"OLD",IF(AND(E6425&lt;&gt;"",E6425&lt;&gt;"!!!"),"NEW","")))</f>
        <v> </v>
      </c>
      <c r="G6425" s="24" t="str">
        <f>IF(OR(E6425="",E6425="!!!"),"",IF(OR(J6425=0,AND(J6425=1,K6425=1),AND(J6425=1,I6425="SBJ"),AND(J6425=1,I6425=0)),"?IN_FOCUS",IF(J6425&lt;=2,"?ACTIVATED",IF(J6425&lt;&gt;"","?FAMILIAR",IF(F6425="NEW",IF(ISNA(VLOOKUP(E6425,#REF!,1,FALSE())),"?TYPE_IDENTIFIABLE","?REFERENTIAL"),"_")))))</f>
        <v> </v>
      </c>
      <c r="H6425" s="25" t="str">
        <f>IF(J6425&lt;&gt;1,"",IF(I6425="SBJ","CB","?"))</f>
        <v> </v>
      </c>
      <c r="I6425" s="26" t="str">
        <f>IF(OR(E6425="",E6425="!!!",F6425="NEW"),"",INDEX(B6424:B$2,-1+SUMPRODUCT(MAX(ROW(E6424:E$2)*(E6425=E6424:E$2)))))</f>
        <v> </v>
      </c>
      <c r="J6425" s="26" t="str">
        <f>IF(OR(E6425="",E6425="!!!",F6425="NEW"),"",COUNTBLANK(OFFSET(A$1,,,SUMPRODUCT(MAX(ROW(E$2:E6425)*(E6425=E$2:E6425)))))-COUNTBLANK(OFFSET(A$1,,,SUMPRODUCT(MAX(ROW(E$1:E6424)*(E2=E$1:E6424))))))</f>
        <v> </v>
      </c>
      <c r="K6425" s="26" t="str">
        <f>IF(OR(E6425="",E6425="!!!",F6425="NEW"),"",INDEX(J$1:J6424,SUMPRODUCT(MAX(ROW(E$1:E6424)*(E6425=E$1:E6424)))))</f>
        <v> </v>
      </c>
      <c r="L6425" s="27"/>
    </row>
    <row r="6426" spans="1:12">
      <c r="A6426" s="20" t="s">
        <v>1175</v>
      </c>
      <c r="B6426" s="21" t="s">
        <v>995</v>
      </c>
      <c r="C6426" s="21" t="s">
        <v>1015</v>
      </c>
      <c r="D6426" s="21" t="s">
        <v>997</v>
      </c>
      <c r="E6426" s="22">
        <f>IF(D6426="?OLD","!!!","")</f>
        <v/>
      </c>
      <c r="F6426" s="23" t="str">
        <f>IF(OR(E6426="",E6426="!!!"),"",IF(NOT(ISNA(VLOOKUP(E6426,E$1:E6425,1,FALSE()))),"OLD",IF(AND(E6426&lt;&gt;"",E6426&lt;&gt;"!!!"),"NEW","")))</f>
        <v> </v>
      </c>
      <c r="G6426" s="24" t="str">
        <f>IF(OR(E6426="",E6426="!!!"),"",IF(OR(J6426=0,AND(J6426=1,K6426=1),AND(J6426=1,I6426="SBJ"),AND(J6426=1,I6426=0)),"?IN_FOCUS",IF(J6426&lt;=2,"?ACTIVATED",IF(J6426&lt;&gt;"","?FAMILIAR",IF(F6426="NEW",IF(ISNA(VLOOKUP(E6426,#REF!,1,FALSE())),"?TYPE_IDENTIFIABLE","?REFERENTIAL"),"_")))))</f>
        <v> </v>
      </c>
      <c r="H6426" s="25" t="str">
        <f>IF(J6426&lt;&gt;1,"",IF(I6426="SBJ","CB","?"))</f>
        <v> </v>
      </c>
      <c r="I6426" s="26" t="str">
        <f>IF(OR(E6426="",E6426="!!!",F6426="NEW"),"",INDEX(B6425:B$2,-1+SUMPRODUCT(MAX(ROW(E6425:E$2)*(E6426=E6425:E$2)))))</f>
        <v> </v>
      </c>
      <c r="J6426" s="26" t="str">
        <f>IF(OR(E6426="",E6426="!!!",F6426="NEW"),"",COUNTBLANK(OFFSET(A$1,,,SUMPRODUCT(MAX(ROW(E$2:E6426)*(E6426=E$2:E6426)))))-COUNTBLANK(OFFSET(A$1,,,SUMPRODUCT(MAX(ROW(E$1:E6425)*(E2=E$1:E6425))))))</f>
        <v> </v>
      </c>
      <c r="K6426" s="26" t="str">
        <f>IF(OR(E6426="",E6426="!!!",F6426="NEW"),"",INDEX(J$1:J6425,SUMPRODUCT(MAX(ROW(E$1:E6425)*(E6426=E$1:E6425)))))</f>
        <v> </v>
      </c>
      <c r="L6426" s="27"/>
    </row>
    <row r="6427" spans="1:12">
      <c r="A6427" s="20" t="s">
        <v>423</v>
      </c>
      <c r="E6427" s="22">
        <f>IF(D6427="?OLD","!!!","")</f>
        <v/>
      </c>
      <c r="F6427" s="23" t="str">
        <f>IF(OR(E6427="",E6427="!!!"),"",IF(NOT(ISNA(VLOOKUP(E6427,E$1:E6426,1,FALSE()))),"OLD",IF(AND(E6427&lt;&gt;"",E6427&lt;&gt;"!!!"),"NEW","")))</f>
        <v> </v>
      </c>
      <c r="G6427" s="24" t="str">
        <f>IF(OR(E6427="",E6427="!!!"),"",IF(OR(J6427=0,AND(J6427=1,K6427=1),AND(J6427=1,I6427="SBJ"),AND(J6427=1,I6427=0)),"?IN_FOCUS",IF(J6427&lt;=2,"?ACTIVATED",IF(J6427&lt;&gt;"","?FAMILIAR",IF(F6427="NEW",IF(ISNA(VLOOKUP(E6427,#REF!,1,FALSE())),"?TYPE_IDENTIFIABLE","?REFERENTIAL"),"_")))))</f>
        <v> </v>
      </c>
      <c r="H6427" s="25" t="str">
        <f>IF(J6427&lt;&gt;1,"",IF(I6427="SBJ","CB","?"))</f>
        <v> </v>
      </c>
      <c r="I6427" s="26" t="str">
        <f>IF(OR(E6427="",E6427="!!!",F6427="NEW"),"",INDEX(B6426:B$2,-1+SUMPRODUCT(MAX(ROW(E6426:E$2)*(E6427=E6426:E$2)))))</f>
        <v> </v>
      </c>
      <c r="J6427" s="26" t="str">
        <f>IF(OR(E6427="",E6427="!!!",F6427="NEW"),"",COUNTBLANK(OFFSET(A$1,,,SUMPRODUCT(MAX(ROW(E$2:E6427)*(E6427=E$2:E6427)))))-COUNTBLANK(OFFSET(A$1,,,SUMPRODUCT(MAX(ROW(E$1:E6426)*(E2=E$1:E6426))))))</f>
        <v> </v>
      </c>
      <c r="K6427" s="26" t="str">
        <f>IF(OR(E6427="",E6427="!!!",F6427="NEW"),"",INDEX(J$1:J6426,SUMPRODUCT(MAX(ROW(E$1:E6426)*(E6427=E$1:E6426)))))</f>
        <v> </v>
      </c>
      <c r="L6427" s="27"/>
    </row>
    <row r="6428" spans="1:12">
      <c r="A6428" s="20" t="s">
        <v>1008</v>
      </c>
      <c r="E6428" s="22">
        <f>IF(D6428="?OLD","!!!","")</f>
        <v/>
      </c>
      <c r="F6428" s="23" t="str">
        <f>IF(OR(E6428="",E6428="!!!"),"",IF(NOT(ISNA(VLOOKUP(E6428,E$1:E6427,1,FALSE()))),"OLD",IF(AND(E6428&lt;&gt;"",E6428&lt;&gt;"!!!"),"NEW","")))</f>
        <v> </v>
      </c>
      <c r="G6428" s="24" t="str">
        <f>IF(OR(E6428="",E6428="!!!"),"",IF(OR(J6428=0,AND(J6428=1,K6428=1),AND(J6428=1,I6428="SBJ"),AND(J6428=1,I6428=0)),"?IN_FOCUS",IF(J6428&lt;=2,"?ACTIVATED",IF(J6428&lt;&gt;"","?FAMILIAR",IF(F6428="NEW",IF(ISNA(VLOOKUP(E6428,#REF!,1,FALSE())),"?TYPE_IDENTIFIABLE","?REFERENTIAL"),"_")))))</f>
        <v> </v>
      </c>
      <c r="H6428" s="25" t="str">
        <f>IF(J6428&lt;&gt;1,"",IF(I6428="SBJ","CB","?"))</f>
        <v> </v>
      </c>
      <c r="I6428" s="26" t="str">
        <f>IF(OR(E6428="",E6428="!!!",F6428="NEW"),"",INDEX(B6427:B$2,-1+SUMPRODUCT(MAX(ROW(E6427:E$2)*(E6428=E6427:E$2)))))</f>
        <v> </v>
      </c>
      <c r="J6428" s="26" t="str">
        <f>IF(OR(E6428="",E6428="!!!",F6428="NEW"),"",COUNTBLANK(OFFSET(A$1,,,SUMPRODUCT(MAX(ROW(E$2:E6428)*(E6428=E$2:E6428)))))-COUNTBLANK(OFFSET(A$1,,,SUMPRODUCT(MAX(ROW(E$1:E6427)*(E2=E$1:E6427))))))</f>
        <v> </v>
      </c>
      <c r="K6428" s="26" t="str">
        <f>IF(OR(E6428="",E6428="!!!",F6428="NEW"),"",INDEX(J$1:J6427,SUMPRODUCT(MAX(ROW(E$1:E6427)*(E6428=E$1:E6427)))))</f>
        <v> </v>
      </c>
      <c r="L6428" s="27"/>
    </row>
    <row r="6429" spans="1:12">
      <c r="A6429" s="20" t="s">
        <v>2593</v>
      </c>
      <c r="E6429" s="22">
        <f>IF(D6429="?OLD","!!!","")</f>
        <v/>
      </c>
      <c r="F6429" s="23" t="str">
        <f>IF(OR(E6429="",E6429="!!!"),"",IF(NOT(ISNA(VLOOKUP(E6429,E$1:E6428,1,FALSE()))),"OLD",IF(AND(E6429&lt;&gt;"",E6429&lt;&gt;"!!!"),"NEW","")))</f>
        <v> </v>
      </c>
      <c r="G6429" s="24" t="str">
        <f>IF(OR(E6429="",E6429="!!!"),"",IF(OR(J6429=0,AND(J6429=1,K6429=1),AND(J6429=1,I6429="SBJ"),AND(J6429=1,I6429=0)),"?IN_FOCUS",IF(J6429&lt;=2,"?ACTIVATED",IF(J6429&lt;&gt;"","?FAMILIAR",IF(F6429="NEW",IF(ISNA(VLOOKUP(E6429,#REF!,1,FALSE())),"?TYPE_IDENTIFIABLE","?REFERENTIAL"),"_")))))</f>
        <v> </v>
      </c>
      <c r="H6429" s="25" t="str">
        <f>IF(J6429&lt;&gt;1,"",IF(I6429="SBJ","CB","?"))</f>
        <v> </v>
      </c>
      <c r="I6429" s="26" t="str">
        <f>IF(OR(E6429="",E6429="!!!",F6429="NEW"),"",INDEX(B6428:B$2,-1+SUMPRODUCT(MAX(ROW(E6428:E$2)*(E6429=E6428:E$2)))))</f>
        <v> </v>
      </c>
      <c r="J6429" s="26" t="str">
        <f>IF(OR(E6429="",E6429="!!!",F6429="NEW"),"",COUNTBLANK(OFFSET(A$1,,,SUMPRODUCT(MAX(ROW(E$2:E6429)*(E6429=E$2:E6429)))))-COUNTBLANK(OFFSET(A$1,,,SUMPRODUCT(MAX(ROW(E$1:E6428)*(E2=E$1:E6428))))))</f>
        <v> </v>
      </c>
      <c r="K6429" s="26" t="str">
        <f>IF(OR(E6429="",E6429="!!!",F6429="NEW"),"",INDEX(J$1:J6428,SUMPRODUCT(MAX(ROW(E$1:E6428)*(E6429=E$1:E6428)))))</f>
        <v> </v>
      </c>
      <c r="L6429" s="27"/>
    </row>
    <row r="6430" spans="1:12">
      <c r="A6430" s="20" t="s">
        <v>1460</v>
      </c>
      <c r="E6430" s="22">
        <f>IF(D6430="?OLD","!!!","")</f>
        <v/>
      </c>
      <c r="F6430" s="23" t="str">
        <f>IF(OR(E6430="",E6430="!!!"),"",IF(NOT(ISNA(VLOOKUP(E6430,E$1:E6429,1,FALSE()))),"OLD",IF(AND(E6430&lt;&gt;"",E6430&lt;&gt;"!!!"),"NEW","")))</f>
        <v> </v>
      </c>
      <c r="G6430" s="24" t="str">
        <f>IF(OR(E6430="",E6430="!!!"),"",IF(OR(J6430=0,AND(J6430=1,K6430=1),AND(J6430=1,I6430="SBJ"),AND(J6430=1,I6430=0)),"?IN_FOCUS",IF(J6430&lt;=2,"?ACTIVATED",IF(J6430&lt;&gt;"","?FAMILIAR",IF(F6430="NEW",IF(ISNA(VLOOKUP(E6430,#REF!,1,FALSE())),"?TYPE_IDENTIFIABLE","?REFERENTIAL"),"_")))))</f>
        <v> </v>
      </c>
      <c r="H6430" s="25" t="str">
        <f>IF(J6430&lt;&gt;1,"",IF(I6430="SBJ","CB","?"))</f>
        <v> </v>
      </c>
      <c r="I6430" s="26" t="str">
        <f>IF(OR(E6430="",E6430="!!!",F6430="NEW"),"",INDEX(B6429:B$2,-1+SUMPRODUCT(MAX(ROW(E6429:E$2)*(E6430=E6429:E$2)))))</f>
        <v> </v>
      </c>
      <c r="J6430" s="26" t="str">
        <f>IF(OR(E6430="",E6430="!!!",F6430="NEW"),"",COUNTBLANK(OFFSET(A$1,,,SUMPRODUCT(MAX(ROW(E$2:E6430)*(E6430=E$2:E6430)))))-COUNTBLANK(OFFSET(A$1,,,SUMPRODUCT(MAX(ROW(E$1:E6429)*(E2=E$1:E6429))))))</f>
        <v> </v>
      </c>
      <c r="K6430" s="26" t="str">
        <f>IF(OR(E6430="",E6430="!!!",F6430="NEW"),"",INDEX(J$1:J6429,SUMPRODUCT(MAX(ROW(E$1:E6429)*(E6430=E$1:E6429)))))</f>
        <v> </v>
      </c>
      <c r="L6430" s="27"/>
    </row>
    <row r="6431" spans="1:12">
      <c r="A6431" s="20" t="s">
        <v>2594</v>
      </c>
      <c r="E6431" s="22">
        <f>IF(D6431="?OLD","!!!","")</f>
        <v/>
      </c>
      <c r="F6431" s="23" t="str">
        <f>IF(OR(E6431="",E6431="!!!"),"",IF(NOT(ISNA(VLOOKUP(E6431,E$1:E6430,1,FALSE()))),"OLD",IF(AND(E6431&lt;&gt;"",E6431&lt;&gt;"!!!"),"NEW","")))</f>
        <v> </v>
      </c>
      <c r="G6431" s="24" t="str">
        <f>IF(OR(E6431="",E6431="!!!"),"",IF(OR(J6431=0,AND(J6431=1,K6431=1),AND(J6431=1,I6431="SBJ"),AND(J6431=1,I6431=0)),"?IN_FOCUS",IF(J6431&lt;=2,"?ACTIVATED",IF(J6431&lt;&gt;"","?FAMILIAR",IF(F6431="NEW",IF(ISNA(VLOOKUP(E6431,#REF!,1,FALSE())),"?TYPE_IDENTIFIABLE","?REFERENTIAL"),"_")))))</f>
        <v> </v>
      </c>
      <c r="H6431" s="25" t="str">
        <f>IF(J6431&lt;&gt;1,"",IF(I6431="SBJ","CB","?"))</f>
        <v> </v>
      </c>
      <c r="I6431" s="26" t="str">
        <f>IF(OR(E6431="",E6431="!!!",F6431="NEW"),"",INDEX(B6430:B$2,-1+SUMPRODUCT(MAX(ROW(E6430:E$2)*(E6431=E6430:E$2)))))</f>
        <v> </v>
      </c>
      <c r="J6431" s="26" t="str">
        <f>IF(OR(E6431="",E6431="!!!",F6431="NEW"),"",COUNTBLANK(OFFSET(A$1,,,SUMPRODUCT(MAX(ROW(E$2:E6431)*(E6431=E$2:E6431)))))-COUNTBLANK(OFFSET(A$1,,,SUMPRODUCT(MAX(ROW(E$1:E6430)*(E2=E$1:E6430))))))</f>
        <v> </v>
      </c>
      <c r="K6431" s="26" t="str">
        <f>IF(OR(E6431="",E6431="!!!",F6431="NEW"),"",INDEX(J$1:J6430,SUMPRODUCT(MAX(ROW(E$1:E6430)*(E6431=E$1:E6430)))))</f>
        <v> </v>
      </c>
      <c r="L6431" s="27"/>
    </row>
    <row r="6432" spans="1:12">
      <c r="A6432" s="20" t="s">
        <v>1095</v>
      </c>
      <c r="E6432" s="22">
        <f>IF(D6432="?OLD","!!!","")</f>
        <v/>
      </c>
      <c r="F6432" s="23" t="str">
        <f>IF(OR(E6432="",E6432="!!!"),"",IF(NOT(ISNA(VLOOKUP(E6432,E$1:E6431,1,FALSE()))),"OLD",IF(AND(E6432&lt;&gt;"",E6432&lt;&gt;"!!!"),"NEW","")))</f>
        <v> </v>
      </c>
      <c r="G6432" s="24" t="str">
        <f>IF(OR(E6432="",E6432="!!!"),"",IF(OR(J6432=0,AND(J6432=1,K6432=1),AND(J6432=1,I6432="SBJ"),AND(J6432=1,I6432=0)),"?IN_FOCUS",IF(J6432&lt;=2,"?ACTIVATED",IF(J6432&lt;&gt;"","?FAMILIAR",IF(F6432="NEW",IF(ISNA(VLOOKUP(E6432,#REF!,1,FALSE())),"?TYPE_IDENTIFIABLE","?REFERENTIAL"),"_")))))</f>
        <v> </v>
      </c>
      <c r="H6432" s="25" t="str">
        <f>IF(J6432&lt;&gt;1,"",IF(I6432="SBJ","CB","?"))</f>
        <v> </v>
      </c>
      <c r="I6432" s="26" t="str">
        <f>IF(OR(E6432="",E6432="!!!",F6432="NEW"),"",INDEX(B6431:B$2,-1+SUMPRODUCT(MAX(ROW(E6431:E$2)*(E6432=E6431:E$2)))))</f>
        <v> </v>
      </c>
      <c r="J6432" s="26" t="str">
        <f>IF(OR(E6432="",E6432="!!!",F6432="NEW"),"",COUNTBLANK(OFFSET(A$1,,,SUMPRODUCT(MAX(ROW(E$2:E6432)*(E6432=E$2:E6432)))))-COUNTBLANK(OFFSET(A$1,,,SUMPRODUCT(MAX(ROW(E$1:E6431)*(E2=E$1:E6431))))))</f>
        <v> </v>
      </c>
      <c r="K6432" s="26" t="str">
        <f>IF(OR(E6432="",E6432="!!!",F6432="NEW"),"",INDEX(J$1:J6431,SUMPRODUCT(MAX(ROW(E$1:E6431)*(E6432=E$1:E6431)))))</f>
        <v> </v>
      </c>
      <c r="L6432" s="27"/>
    </row>
    <row r="6433" spans="1:12">
      <c r="A6433" s="20" t="s">
        <v>2595</v>
      </c>
      <c r="E6433" s="22">
        <f>IF(D6433="?OLD","!!!","")</f>
        <v/>
      </c>
      <c r="F6433" s="23" t="str">
        <f>IF(OR(E6433="",E6433="!!!"),"",IF(NOT(ISNA(VLOOKUP(E6433,E$1:E6432,1,FALSE()))),"OLD",IF(AND(E6433&lt;&gt;"",E6433&lt;&gt;"!!!"),"NEW","")))</f>
        <v> </v>
      </c>
      <c r="G6433" s="24" t="str">
        <f>IF(OR(E6433="",E6433="!!!"),"",IF(OR(J6433=0,AND(J6433=1,K6433=1),AND(J6433=1,I6433="SBJ"),AND(J6433=1,I6433=0)),"?IN_FOCUS",IF(J6433&lt;=2,"?ACTIVATED",IF(J6433&lt;&gt;"","?FAMILIAR",IF(F6433="NEW",IF(ISNA(VLOOKUP(E6433,#REF!,1,FALSE())),"?TYPE_IDENTIFIABLE","?REFERENTIAL"),"_")))))</f>
        <v> </v>
      </c>
      <c r="H6433" s="25" t="str">
        <f>IF(J6433&lt;&gt;1,"",IF(I6433="SBJ","CB","?"))</f>
        <v> </v>
      </c>
      <c r="I6433" s="26" t="str">
        <f>IF(OR(E6433="",E6433="!!!",F6433="NEW"),"",INDEX(B6432:B$2,-1+SUMPRODUCT(MAX(ROW(E6432:E$2)*(E6433=E6432:E$2)))))</f>
        <v> </v>
      </c>
      <c r="J6433" s="26" t="str">
        <f>IF(OR(E6433="",E6433="!!!",F6433="NEW"),"",COUNTBLANK(OFFSET(A$1,,,SUMPRODUCT(MAX(ROW(E$2:E6433)*(E6433=E$2:E6433)))))-COUNTBLANK(OFFSET(A$1,,,SUMPRODUCT(MAX(ROW(E$1:E6432)*(E2=E$1:E6432))))))</f>
        <v> </v>
      </c>
      <c r="K6433" s="26" t="str">
        <f>IF(OR(E6433="",E6433="!!!",F6433="NEW"),"",INDEX(J$1:J6432,SUMPRODUCT(MAX(ROW(E$1:E6432)*(E6433=E$1:E6432)))))</f>
        <v> </v>
      </c>
      <c r="L6433" s="27"/>
    </row>
    <row r="6434" spans="1:12">
      <c r="A6434" s="20" t="s">
        <v>2312</v>
      </c>
      <c r="E6434" s="22">
        <f>IF(D6434="?OLD","!!!","")</f>
        <v/>
      </c>
      <c r="F6434" s="23" t="str">
        <f>IF(OR(E6434="",E6434="!!!"),"",IF(NOT(ISNA(VLOOKUP(E6434,E$1:E6433,1,FALSE()))),"OLD",IF(AND(E6434&lt;&gt;"",E6434&lt;&gt;"!!!"),"NEW","")))</f>
        <v> </v>
      </c>
      <c r="G6434" s="24" t="str">
        <f>IF(OR(E6434="",E6434="!!!"),"",IF(OR(J6434=0,AND(J6434=1,K6434=1),AND(J6434=1,I6434="SBJ"),AND(J6434=1,I6434=0)),"?IN_FOCUS",IF(J6434&lt;=2,"?ACTIVATED",IF(J6434&lt;&gt;"","?FAMILIAR",IF(F6434="NEW",IF(ISNA(VLOOKUP(E6434,#REF!,1,FALSE())),"?TYPE_IDENTIFIABLE","?REFERENTIAL"),"_")))))</f>
        <v> </v>
      </c>
      <c r="H6434" s="25" t="str">
        <f>IF(J6434&lt;&gt;1,"",IF(I6434="SBJ","CB","?"))</f>
        <v> </v>
      </c>
      <c r="I6434" s="26" t="str">
        <f>IF(OR(E6434="",E6434="!!!",F6434="NEW"),"",INDEX(B6433:B$2,-1+SUMPRODUCT(MAX(ROW(E6433:E$2)*(E6434=E6433:E$2)))))</f>
        <v> </v>
      </c>
      <c r="J6434" s="26" t="str">
        <f>IF(OR(E6434="",E6434="!!!",F6434="NEW"),"",COUNTBLANK(OFFSET(A$1,,,SUMPRODUCT(MAX(ROW(E$2:E6434)*(E6434=E$2:E6434)))))-COUNTBLANK(OFFSET(A$1,,,SUMPRODUCT(MAX(ROW(E$1:E6433)*(E2=E$1:E6433))))))</f>
        <v> </v>
      </c>
      <c r="K6434" s="26" t="str">
        <f>IF(OR(E6434="",E6434="!!!",F6434="NEW"),"",INDEX(J$1:J6433,SUMPRODUCT(MAX(ROW(E$1:E6433)*(E6434=E$1:E6433)))))</f>
        <v> </v>
      </c>
      <c r="L6434" s="27"/>
    </row>
    <row r="6435" spans="1:12">
      <c r="A6435" s="20" t="s">
        <v>1278</v>
      </c>
      <c r="B6435" s="21" t="s">
        <v>1027</v>
      </c>
      <c r="C6435" s="21" t="s">
        <v>1133</v>
      </c>
      <c r="D6435" s="21" t="s">
        <v>997</v>
      </c>
      <c r="E6435" s="22">
        <f>IF(D6435="?OLD","!!!","")</f>
        <v/>
      </c>
      <c r="F6435" s="23" t="str">
        <f>IF(OR(E6435="",E6435="!!!"),"",IF(NOT(ISNA(VLOOKUP(E6435,E$1:E6434,1,FALSE()))),"OLD",IF(AND(E6435&lt;&gt;"",E6435&lt;&gt;"!!!"),"NEW","")))</f>
        <v> </v>
      </c>
      <c r="G6435" s="24" t="str">
        <f>IF(OR(E6435="",E6435="!!!"),"",IF(OR(J6435=0,AND(J6435=1,K6435=1),AND(J6435=1,I6435="SBJ"),AND(J6435=1,I6435=0)),"?IN_FOCUS",IF(J6435&lt;=2,"?ACTIVATED",IF(J6435&lt;&gt;"","?FAMILIAR",IF(F6435="NEW",IF(ISNA(VLOOKUP(E6435,#REF!,1,FALSE())),"?TYPE_IDENTIFIABLE","?REFERENTIAL"),"_")))))</f>
        <v> </v>
      </c>
      <c r="H6435" s="25" t="str">
        <f>IF(J6435&lt;&gt;1,"",IF(I6435="SBJ","CB","?"))</f>
        <v> </v>
      </c>
      <c r="I6435" s="26" t="str">
        <f>IF(OR(E6435="",E6435="!!!",F6435="NEW"),"",INDEX(B6434:B$2,-1+SUMPRODUCT(MAX(ROW(E6434:E$2)*(E6435=E6434:E$2)))))</f>
        <v> </v>
      </c>
      <c r="J6435" s="26" t="str">
        <f>IF(OR(E6435="",E6435="!!!",F6435="NEW"),"",COUNTBLANK(OFFSET(A$1,,,SUMPRODUCT(MAX(ROW(E$2:E6435)*(E6435=E$2:E6435)))))-COUNTBLANK(OFFSET(A$1,,,SUMPRODUCT(MAX(ROW(E$1:E6434)*(E2=E$1:E6434))))))</f>
        <v> </v>
      </c>
      <c r="K6435" s="26" t="str">
        <f>IF(OR(E6435="",E6435="!!!",F6435="NEW"),"",INDEX(J$1:J6434,SUMPRODUCT(MAX(ROW(E$1:E6434)*(E6435=E$1:E6434)))))</f>
        <v> </v>
      </c>
      <c r="L6435" s="27"/>
    </row>
    <row r="6436" spans="1:12">
      <c r="A6436" s="20" t="s">
        <v>1097</v>
      </c>
      <c r="E6436" s="22">
        <f>IF(D6436="?OLD","!!!","")</f>
        <v/>
      </c>
      <c r="F6436" s="23" t="str">
        <f>IF(OR(E6436="",E6436="!!!"),"",IF(NOT(ISNA(VLOOKUP(E6436,E$1:E6435,1,FALSE()))),"OLD",IF(AND(E6436&lt;&gt;"",E6436&lt;&gt;"!!!"),"NEW","")))</f>
        <v> </v>
      </c>
      <c r="G6436" s="24" t="str">
        <f>IF(OR(E6436="",E6436="!!!"),"",IF(OR(J6436=0,AND(J6436=1,K6436=1),AND(J6436=1,I6436="SBJ"),AND(J6436=1,I6436=0)),"?IN_FOCUS",IF(J6436&lt;=2,"?ACTIVATED",IF(J6436&lt;&gt;"","?FAMILIAR",IF(F6436="NEW",IF(ISNA(VLOOKUP(E6436,#REF!,1,FALSE())),"?TYPE_IDENTIFIABLE","?REFERENTIAL"),"_")))))</f>
        <v> </v>
      </c>
      <c r="H6436" s="25" t="str">
        <f>IF(J6436&lt;&gt;1,"",IF(I6436="SBJ","CB","?"))</f>
        <v> </v>
      </c>
      <c r="I6436" s="26" t="str">
        <f>IF(OR(E6436="",E6436="!!!",F6436="NEW"),"",INDEX(B6435:B$2,-1+SUMPRODUCT(MAX(ROW(E6435:E$2)*(E6436=E6435:E$2)))))</f>
        <v> </v>
      </c>
      <c r="J6436" s="26" t="str">
        <f>IF(OR(E6436="",E6436="!!!",F6436="NEW"),"",COUNTBLANK(OFFSET(A$1,,,SUMPRODUCT(MAX(ROW(E$2:E6436)*(E6436=E$2:E6436)))))-COUNTBLANK(OFFSET(A$1,,,SUMPRODUCT(MAX(ROW(E$1:E6435)*(E2=E$1:E6435))))))</f>
        <v> </v>
      </c>
      <c r="K6436" s="26" t="str">
        <f>IF(OR(E6436="",E6436="!!!",F6436="NEW"),"",INDEX(J$1:J6435,SUMPRODUCT(MAX(ROW(E$1:E6435)*(E6436=E$1:E6435)))))</f>
        <v> </v>
      </c>
      <c r="L6436" s="27"/>
    </row>
    <row r="6437" spans="1:12">
      <c r="A6437" s="20" t="s">
        <v>1054</v>
      </c>
      <c r="B6437" s="21" t="s">
        <v>1039</v>
      </c>
      <c r="E6437" s="22">
        <f>IF(D6437="?OLD","!!!","")</f>
        <v/>
      </c>
      <c r="F6437" s="23" t="str">
        <f>IF(OR(E6437="",E6437="!!!"),"",IF(NOT(ISNA(VLOOKUP(E6437,E$1:E6436,1,FALSE()))),"OLD",IF(AND(E6437&lt;&gt;"",E6437&lt;&gt;"!!!"),"NEW","")))</f>
        <v> </v>
      </c>
      <c r="G6437" s="24" t="str">
        <f>IF(OR(E6437="",E6437="!!!"),"",IF(OR(J6437=0,AND(J6437=1,K6437=1),AND(J6437=1,I6437="SBJ"),AND(J6437=1,I6437=0)),"?IN_FOCUS",IF(J6437&lt;=2,"?ACTIVATED",IF(J6437&lt;&gt;"","?FAMILIAR",IF(F6437="NEW",IF(ISNA(VLOOKUP(E6437,#REF!,1,FALSE())),"?TYPE_IDENTIFIABLE","?REFERENTIAL"),"_")))))</f>
        <v> </v>
      </c>
      <c r="H6437" s="25" t="str">
        <f>IF(J6437&lt;&gt;1,"",IF(I6437="SBJ","CB","?"))</f>
        <v> </v>
      </c>
      <c r="I6437" s="26" t="str">
        <f>IF(OR(E6437="",E6437="!!!",F6437="NEW"),"",INDEX(B6436:B$2,-1+SUMPRODUCT(MAX(ROW(E6436:E$2)*(E6437=E6436:E$2)))))</f>
        <v> </v>
      </c>
      <c r="J6437" s="26" t="str">
        <f>IF(OR(E6437="",E6437="!!!",F6437="NEW"),"",COUNTBLANK(OFFSET(A$1,,,SUMPRODUCT(MAX(ROW(E$2:E6437)*(E6437=E$2:E6437)))))-COUNTBLANK(OFFSET(A$1,,,SUMPRODUCT(MAX(ROW(E$1:E6436)*(E2=E$1:E6436))))))</f>
        <v> </v>
      </c>
      <c r="K6437" s="26" t="str">
        <f>IF(OR(E6437="",E6437="!!!",F6437="NEW"),"",INDEX(J$1:J6436,SUMPRODUCT(MAX(ROW(E$1:E6436)*(E6437=E$1:E6436)))))</f>
        <v> </v>
      </c>
      <c r="L6437" s="27"/>
    </row>
    <row r="6438" spans="1:12">
      <c r="A6438" s="20" t="s">
        <v>1008</v>
      </c>
      <c r="E6438" s="22">
        <f>IF(D6438="?OLD","!!!","")</f>
        <v/>
      </c>
      <c r="F6438" s="23" t="str">
        <f>IF(OR(E6438="",E6438="!!!"),"",IF(NOT(ISNA(VLOOKUP(E6438,E$1:E6437,1,FALSE()))),"OLD",IF(AND(E6438&lt;&gt;"",E6438&lt;&gt;"!!!"),"NEW","")))</f>
        <v> </v>
      </c>
      <c r="G6438" s="24" t="str">
        <f>IF(OR(E6438="",E6438="!!!"),"",IF(OR(J6438=0,AND(J6438=1,K6438=1),AND(J6438=1,I6438="SBJ"),AND(J6438=1,I6438=0)),"?IN_FOCUS",IF(J6438&lt;=2,"?ACTIVATED",IF(J6438&lt;&gt;"","?FAMILIAR",IF(F6438="NEW",IF(ISNA(VLOOKUP(E6438,#REF!,1,FALSE())),"?TYPE_IDENTIFIABLE","?REFERENTIAL"),"_")))))</f>
        <v> </v>
      </c>
      <c r="H6438" s="25" t="str">
        <f>IF(J6438&lt;&gt;1,"",IF(I6438="SBJ","CB","?"))</f>
        <v> </v>
      </c>
      <c r="I6438" s="26" t="str">
        <f>IF(OR(E6438="",E6438="!!!",F6438="NEW"),"",INDEX(B6437:B$2,-1+SUMPRODUCT(MAX(ROW(E6437:E$2)*(E6438=E6437:E$2)))))</f>
        <v> </v>
      </c>
      <c r="J6438" s="26" t="str">
        <f>IF(OR(E6438="",E6438="!!!",F6438="NEW"),"",COUNTBLANK(OFFSET(A$1,,,SUMPRODUCT(MAX(ROW(E$2:E6438)*(E6438=E$2:E6438)))))-COUNTBLANK(OFFSET(A$1,,,SUMPRODUCT(MAX(ROW(E$1:E6437)*(E2=E$1:E6437))))))</f>
        <v> </v>
      </c>
      <c r="K6438" s="26" t="str">
        <f>IF(OR(E6438="",E6438="!!!",F6438="NEW"),"",INDEX(J$1:J6437,SUMPRODUCT(MAX(ROW(E$1:E6437)*(E6438=E$1:E6437)))))</f>
        <v> </v>
      </c>
      <c r="L6438" s="27"/>
    </row>
    <row r="6439" spans="1:12">
      <c r="A6439" s="20" t="s">
        <v>2596</v>
      </c>
      <c r="B6439" s="21" t="s">
        <v>1024</v>
      </c>
      <c r="C6439" s="21" t="s">
        <v>1095</v>
      </c>
      <c r="D6439" s="21" t="s">
        <v>997</v>
      </c>
      <c r="E6439" s="22">
        <f>IF(D6439="?OLD","!!!","")</f>
        <v/>
      </c>
      <c r="F6439" s="23" t="str">
        <f>IF(OR(E6439="",E6439="!!!"),"",IF(NOT(ISNA(VLOOKUP(E6439,E$1:E6438,1,FALSE()))),"OLD",IF(AND(E6439&lt;&gt;"",E6439&lt;&gt;"!!!"),"NEW","")))</f>
        <v> </v>
      </c>
      <c r="G6439" s="24" t="str">
        <f>IF(OR(E6439="",E6439="!!!"),"",IF(OR(J6439=0,AND(J6439=1,K6439=1),AND(J6439=1,I6439="SBJ"),AND(J6439=1,I6439=0)),"?IN_FOCUS",IF(J6439&lt;=2,"?ACTIVATED",IF(J6439&lt;&gt;"","?FAMILIAR",IF(F6439="NEW",IF(ISNA(VLOOKUP(E6439,#REF!,1,FALSE())),"?TYPE_IDENTIFIABLE","?REFERENTIAL"),"_")))))</f>
        <v> </v>
      </c>
      <c r="H6439" s="25" t="str">
        <f>IF(J6439&lt;&gt;1,"",IF(I6439="SBJ","CB","?"))</f>
        <v> </v>
      </c>
      <c r="I6439" s="26" t="str">
        <f>IF(OR(E6439="",E6439="!!!",F6439="NEW"),"",INDEX(B6438:B$2,-1+SUMPRODUCT(MAX(ROW(E6438:E$2)*(E6439=E6438:E$2)))))</f>
        <v> </v>
      </c>
      <c r="J6439" s="26" t="str">
        <f>IF(OR(E6439="",E6439="!!!",F6439="NEW"),"",COUNTBLANK(OFFSET(A$1,,,SUMPRODUCT(MAX(ROW(E$2:E6439)*(E6439=E$2:E6439)))))-COUNTBLANK(OFFSET(A$1,,,SUMPRODUCT(MAX(ROW(E$1:E6438)*(E2=E$1:E6438))))))</f>
        <v> </v>
      </c>
      <c r="K6439" s="26" t="str">
        <f>IF(OR(E6439="",E6439="!!!",F6439="NEW"),"",INDEX(J$1:J6438,SUMPRODUCT(MAX(ROW(E$1:E6438)*(E6439=E$1:E6438)))))</f>
        <v> </v>
      </c>
      <c r="L6439" s="27"/>
    </row>
    <row r="6440" spans="1:12">
      <c r="A6440" s="20" t="s">
        <v>2597</v>
      </c>
      <c r="B6440" s="21" t="s">
        <v>1112</v>
      </c>
      <c r="C6440" s="21" t="s">
        <v>1095</v>
      </c>
      <c r="D6440" s="21" t="s">
        <v>997</v>
      </c>
      <c r="E6440" s="22">
        <f>IF(D6440="?OLD","!!!","")</f>
        <v/>
      </c>
      <c r="F6440" s="23" t="str">
        <f>IF(OR(E6440="",E6440="!!!"),"",IF(NOT(ISNA(VLOOKUP(E6440,E$1:E6439,1,FALSE()))),"OLD",IF(AND(E6440&lt;&gt;"",E6440&lt;&gt;"!!!"),"NEW","")))</f>
        <v> </v>
      </c>
      <c r="G6440" s="24" t="str">
        <f>IF(OR(E6440="",E6440="!!!"),"",IF(OR(J6440=0,AND(J6440=1,K6440=1),AND(J6440=1,I6440="SBJ"),AND(J6440=1,I6440=0)),"?IN_FOCUS",IF(J6440&lt;=2,"?ACTIVATED",IF(J6440&lt;&gt;"","?FAMILIAR",IF(F6440="NEW",IF(ISNA(VLOOKUP(E6440,#REF!,1,FALSE())),"?TYPE_IDENTIFIABLE","?REFERENTIAL"),"_")))))</f>
        <v> </v>
      </c>
      <c r="H6440" s="25" t="str">
        <f>IF(J6440&lt;&gt;1,"",IF(I6440="SBJ","CB","?"))</f>
        <v> </v>
      </c>
      <c r="I6440" s="26" t="str">
        <f>IF(OR(E6440="",E6440="!!!",F6440="NEW"),"",INDEX(B6439:B$2,-1+SUMPRODUCT(MAX(ROW(E6439:E$2)*(E6440=E6439:E$2)))))</f>
        <v> </v>
      </c>
      <c r="J6440" s="26" t="str">
        <f>IF(OR(E6440="",E6440="!!!",F6440="NEW"),"",COUNTBLANK(OFFSET(A$1,,,SUMPRODUCT(MAX(ROW(E$2:E6440)*(E6440=E$2:E6440)))))-COUNTBLANK(OFFSET(A$1,,,SUMPRODUCT(MAX(ROW(E$1:E6439)*(E2=E$1:E6439))))))</f>
        <v> </v>
      </c>
      <c r="K6440" s="26" t="str">
        <f>IF(OR(E6440="",E6440="!!!",F6440="NEW"),"",INDEX(J$1:J6439,SUMPRODUCT(MAX(ROW(E$1:E6439)*(E6440=E$1:E6439)))))</f>
        <v> </v>
      </c>
      <c r="L6440" s="27"/>
    </row>
    <row r="6441" spans="1:12">
      <c r="A6441" s="20" t="s">
        <v>1011</v>
      </c>
      <c r="E6441" s="22">
        <f>IF(D6441="?OLD","!!!","")</f>
        <v/>
      </c>
      <c r="F6441" s="23" t="str">
        <f>IF(OR(E6441="",E6441="!!!"),"",IF(NOT(ISNA(VLOOKUP(E6441,E$1:E6440,1,FALSE()))),"OLD",IF(AND(E6441&lt;&gt;"",E6441&lt;&gt;"!!!"),"NEW","")))</f>
        <v> </v>
      </c>
      <c r="G6441" s="24" t="str">
        <f>IF(OR(E6441="",E6441="!!!"),"",IF(OR(J6441=0,AND(J6441=1,K6441=1),AND(J6441=1,I6441="SBJ"),AND(J6441=1,I6441=0)),"?IN_FOCUS",IF(J6441&lt;=2,"?ACTIVATED",IF(J6441&lt;&gt;"","?FAMILIAR",IF(F6441="NEW",IF(ISNA(VLOOKUP(E6441,#REF!,1,FALSE())),"?TYPE_IDENTIFIABLE","?REFERENTIAL"),"_")))))</f>
        <v> </v>
      </c>
      <c r="H6441" s="25" t="str">
        <f>IF(J6441&lt;&gt;1,"",IF(I6441="SBJ","CB","?"))</f>
        <v> </v>
      </c>
      <c r="I6441" s="26" t="str">
        <f>IF(OR(E6441="",E6441="!!!",F6441="NEW"),"",INDEX(B6440:B$2,-1+SUMPRODUCT(MAX(ROW(E6440:E$2)*(E6441=E6440:E$2)))))</f>
        <v> </v>
      </c>
      <c r="J6441" s="26" t="str">
        <f>IF(OR(E6441="",E6441="!!!",F6441="NEW"),"",COUNTBLANK(OFFSET(A$1,,,SUMPRODUCT(MAX(ROW(E$2:E6441)*(E6441=E$2:E6441)))))-COUNTBLANK(OFFSET(A$1,,,SUMPRODUCT(MAX(ROW(E$1:E6440)*(E2=E$1:E6440))))))</f>
        <v> </v>
      </c>
      <c r="K6441" s="26" t="str">
        <f>IF(OR(E6441="",E6441="!!!",F6441="NEW"),"",INDEX(J$1:J6440,SUMPRODUCT(MAX(ROW(E$1:E6440)*(E6441=E$1:E6440)))))</f>
        <v> </v>
      </c>
      <c r="L6441" s="27"/>
    </row>
    <row r="6442" spans="1:12">
      <c r="A6442" s="20" t="s">
        <v>1460</v>
      </c>
      <c r="E6442" s="22">
        <f>IF(D6442="?OLD","!!!","")</f>
        <v/>
      </c>
      <c r="F6442" s="23" t="str">
        <f>IF(OR(E6442="",E6442="!!!"),"",IF(NOT(ISNA(VLOOKUP(E6442,E$1:E6441,1,FALSE()))),"OLD",IF(AND(E6442&lt;&gt;"",E6442&lt;&gt;"!!!"),"NEW","")))</f>
        <v> </v>
      </c>
      <c r="G6442" s="24" t="str">
        <f>IF(OR(E6442="",E6442="!!!"),"",IF(OR(J6442=0,AND(J6442=1,K6442=1),AND(J6442=1,I6442="SBJ"),AND(J6442=1,I6442=0)),"?IN_FOCUS",IF(J6442&lt;=2,"?ACTIVATED",IF(J6442&lt;&gt;"","?FAMILIAR",IF(F6442="NEW",IF(ISNA(VLOOKUP(E6442,#REF!,1,FALSE())),"?TYPE_IDENTIFIABLE","?REFERENTIAL"),"_")))))</f>
        <v> </v>
      </c>
      <c r="H6442" s="25" t="str">
        <f>IF(J6442&lt;&gt;1,"",IF(I6442="SBJ","CB","?"))</f>
        <v> </v>
      </c>
      <c r="I6442" s="26" t="str">
        <f>IF(OR(E6442="",E6442="!!!",F6442="NEW"),"",INDEX(B6441:B$2,-1+SUMPRODUCT(MAX(ROW(E6441:E$2)*(E6442=E6441:E$2)))))</f>
        <v> </v>
      </c>
      <c r="J6442" s="26" t="str">
        <f>IF(OR(E6442="",E6442="!!!",F6442="NEW"),"",COUNTBLANK(OFFSET(A$1,,,SUMPRODUCT(MAX(ROW(E$2:E6442)*(E6442=E$2:E6442)))))-COUNTBLANK(OFFSET(A$1,,,SUMPRODUCT(MAX(ROW(E$1:E6441)*(E2=E$1:E6441))))))</f>
        <v> </v>
      </c>
      <c r="K6442" s="26" t="str">
        <f>IF(OR(E6442="",E6442="!!!",F6442="NEW"),"",INDEX(J$1:J6441,SUMPRODUCT(MAX(ROW(E$1:E6441)*(E6442=E$1:E6441)))))</f>
        <v> </v>
      </c>
      <c r="L6442" s="27"/>
    </row>
    <row r="6443" spans="1:12">
      <c r="A6443" s="20"/>
    </row>
    <row r="6444" spans="1:12">
      <c r="A6444" s="20" t="s">
        <v>2598</v>
      </c>
    </row>
    <row r="6445" spans="1:12">
      <c r="A6445" s="20" t="s">
        <v>1099</v>
      </c>
      <c r="B6445" s="21" t="s">
        <v>995</v>
      </c>
      <c r="C6445" s="21" t="s">
        <v>996</v>
      </c>
      <c r="D6445" s="21" t="s">
        <v>997</v>
      </c>
      <c r="E6445" s="22">
        <f>IF(D6445="?OLD","!!!","")</f>
        <v/>
      </c>
      <c r="F6445" s="23" t="str">
        <f>IF(OR(E6445="",E6445="!!!"),"",IF(NOT(ISNA(VLOOKUP(E6445,E$1:E6444,1,FALSE()))),"OLD",IF(AND(E6445&lt;&gt;"",E6445&lt;&gt;"!!!"),"NEW","")))</f>
        <v> </v>
      </c>
      <c r="G6445" s="24" t="str">
        <f>IF(OR(E6445="",E6445="!!!"),"",IF(OR(J6445=0,AND(J6445=1,K6445=1),AND(J6445=1,I6445="SBJ"),AND(J6445=1,I6445=0)),"?IN_FOCUS",IF(J6445&lt;=2,"?ACTIVATED",IF(J6445&lt;&gt;"","?FAMILIAR",IF(F6445="NEW",IF(ISNA(VLOOKUP(E6445,#REF!,1,FALSE())),"?TYPE_IDENTIFIABLE","?REFERENTIAL"),"_")))))</f>
        <v> </v>
      </c>
      <c r="H6445" s="25" t="str">
        <f>IF(J6445&lt;&gt;1,"",IF(I6445="SBJ","CB","?"))</f>
        <v> </v>
      </c>
      <c r="I6445" s="26" t="str">
        <f>IF(OR(E6445="",E6445="!!!",F6445="NEW"),"",INDEX(B6444:B$2,-1+SUMPRODUCT(MAX(ROW(E6444:E$2)*(E6445=E6444:E$2)))))</f>
        <v> </v>
      </c>
      <c r="J6445" s="26" t="str">
        <f>IF(OR(E6445="",E6445="!!!",F6445="NEW"),"",COUNTBLANK(OFFSET(A$1,,,SUMPRODUCT(MAX(ROW(E$2:E6445)*(E6445=E$2:E6445)))))-COUNTBLANK(OFFSET(A$1,,,SUMPRODUCT(MAX(ROW(E$1:E6444)*(E2=E$1:E6444))))))</f>
        <v> </v>
      </c>
      <c r="K6445" s="26" t="str">
        <f>IF(OR(E6445="",E6445="!!!",F6445="NEW"),"",INDEX(J$1:J6444,SUMPRODUCT(MAX(ROW(E$1:E6444)*(E6445=E$1:E6444)))))</f>
        <v> </v>
      </c>
      <c r="L6445" s="27"/>
    </row>
    <row r="6446" spans="1:12">
      <c r="A6446" s="20" t="s">
        <v>423</v>
      </c>
      <c r="E6446" s="22">
        <f>IF(D6446="?OLD","!!!","")</f>
        <v/>
      </c>
      <c r="F6446" s="23" t="str">
        <f>IF(OR(E6446="",E6446="!!!"),"",IF(NOT(ISNA(VLOOKUP(E6446,E$1:E6445,1,FALSE()))),"OLD",IF(AND(E6446&lt;&gt;"",E6446&lt;&gt;"!!!"),"NEW","")))</f>
        <v> </v>
      </c>
      <c r="G6446" s="24" t="str">
        <f>IF(OR(E6446="",E6446="!!!"),"",IF(OR(J6446=0,AND(J6446=1,K6446=1),AND(J6446=1,I6446="SBJ"),AND(J6446=1,I6446=0)),"?IN_FOCUS",IF(J6446&lt;=2,"?ACTIVATED",IF(J6446&lt;&gt;"","?FAMILIAR",IF(F6446="NEW",IF(ISNA(VLOOKUP(E6446,#REF!,1,FALSE())),"?TYPE_IDENTIFIABLE","?REFERENTIAL"),"_")))))</f>
        <v> </v>
      </c>
      <c r="H6446" s="25" t="str">
        <f>IF(J6446&lt;&gt;1,"",IF(I6446="SBJ","CB","?"))</f>
        <v> </v>
      </c>
      <c r="I6446" s="26" t="str">
        <f>IF(OR(E6446="",E6446="!!!",F6446="NEW"),"",INDEX(B6445:B$2,-1+SUMPRODUCT(MAX(ROW(E6445:E$2)*(E6446=E6445:E$2)))))</f>
        <v> </v>
      </c>
      <c r="J6446" s="26" t="str">
        <f>IF(OR(E6446="",E6446="!!!",F6446="NEW"),"",COUNTBLANK(OFFSET(A$1,,,SUMPRODUCT(MAX(ROW(E$2:E6446)*(E6446=E$2:E6446)))))-COUNTBLANK(OFFSET(A$1,,,SUMPRODUCT(MAX(ROW(E$1:E6445)*(E2=E$1:E6445))))))</f>
        <v> </v>
      </c>
      <c r="K6446" s="26" t="str">
        <f>IF(OR(E6446="",E6446="!!!",F6446="NEW"),"",INDEX(J$1:J6445,SUMPRODUCT(MAX(ROW(E$1:E6445)*(E6446=E$1:E6445)))))</f>
        <v> </v>
      </c>
      <c r="L6446" s="27"/>
    </row>
    <row r="6447" spans="1:12">
      <c r="A6447" s="20" t="s">
        <v>1670</v>
      </c>
      <c r="E6447" s="22">
        <f>IF(D6447="?OLD","!!!","")</f>
        <v/>
      </c>
      <c r="F6447" s="23" t="str">
        <f>IF(OR(E6447="",E6447="!!!"),"",IF(NOT(ISNA(VLOOKUP(E6447,E$1:E6446,1,FALSE()))),"OLD",IF(AND(E6447&lt;&gt;"",E6447&lt;&gt;"!!!"),"NEW","")))</f>
        <v> </v>
      </c>
      <c r="G6447" s="24" t="str">
        <f>IF(OR(E6447="",E6447="!!!"),"",IF(OR(J6447=0,AND(J6447=1,K6447=1),AND(J6447=1,I6447="SBJ"),AND(J6447=1,I6447=0)),"?IN_FOCUS",IF(J6447&lt;=2,"?ACTIVATED",IF(J6447&lt;&gt;"","?FAMILIAR",IF(F6447="NEW",IF(ISNA(VLOOKUP(E6447,#REF!,1,FALSE())),"?TYPE_IDENTIFIABLE","?REFERENTIAL"),"_")))))</f>
        <v> </v>
      </c>
      <c r="H6447" s="25" t="str">
        <f>IF(J6447&lt;&gt;1,"",IF(I6447="SBJ","CB","?"))</f>
        <v> </v>
      </c>
      <c r="I6447" s="26" t="str">
        <f>IF(OR(E6447="",E6447="!!!",F6447="NEW"),"",INDEX(B6446:B$2,-1+SUMPRODUCT(MAX(ROW(E6446:E$2)*(E6447=E6446:E$2)))))</f>
        <v> </v>
      </c>
      <c r="J6447" s="26" t="str">
        <f>IF(OR(E6447="",E6447="!!!",F6447="NEW"),"",COUNTBLANK(OFFSET(A$1,,,SUMPRODUCT(MAX(ROW(E$2:E6447)*(E6447=E$2:E6447)))))-COUNTBLANK(OFFSET(A$1,,,SUMPRODUCT(MAX(ROW(E$1:E6446)*(E2=E$1:E6446))))))</f>
        <v> </v>
      </c>
      <c r="K6447" s="26" t="str">
        <f>IF(OR(E6447="",E6447="!!!",F6447="NEW"),"",INDEX(J$1:J6446,SUMPRODUCT(MAX(ROW(E$1:E6446)*(E6447=E$1:E6446)))))</f>
        <v> </v>
      </c>
      <c r="L6447" s="27"/>
    </row>
    <row r="6448" spans="1:12">
      <c r="A6448" s="20" t="s">
        <v>1041</v>
      </c>
      <c r="E6448" s="22">
        <f>IF(D6448="?OLD","!!!","")</f>
        <v/>
      </c>
      <c r="F6448" s="23" t="str">
        <f>IF(OR(E6448="",E6448="!!!"),"",IF(NOT(ISNA(VLOOKUP(E6448,E$1:E6447,1,FALSE()))),"OLD",IF(AND(E6448&lt;&gt;"",E6448&lt;&gt;"!!!"),"NEW","")))</f>
        <v> </v>
      </c>
      <c r="G6448" s="24" t="str">
        <f>IF(OR(E6448="",E6448="!!!"),"",IF(OR(J6448=0,AND(J6448=1,K6448=1),AND(J6448=1,I6448="SBJ"),AND(J6448=1,I6448=0)),"?IN_FOCUS",IF(J6448&lt;=2,"?ACTIVATED",IF(J6448&lt;&gt;"","?FAMILIAR",IF(F6448="NEW",IF(ISNA(VLOOKUP(E6448,#REF!,1,FALSE())),"?TYPE_IDENTIFIABLE","?REFERENTIAL"),"_")))))</f>
        <v> </v>
      </c>
      <c r="H6448" s="25" t="str">
        <f>IF(J6448&lt;&gt;1,"",IF(I6448="SBJ","CB","?"))</f>
        <v> </v>
      </c>
      <c r="I6448" s="26" t="str">
        <f>IF(OR(E6448="",E6448="!!!",F6448="NEW"),"",INDEX(B6447:B$2,-1+SUMPRODUCT(MAX(ROW(E6447:E$2)*(E6448=E6447:E$2)))))</f>
        <v> </v>
      </c>
      <c r="J6448" s="26" t="str">
        <f>IF(OR(E6448="",E6448="!!!",F6448="NEW"),"",COUNTBLANK(OFFSET(A$1,,,SUMPRODUCT(MAX(ROW(E$2:E6448)*(E6448=E$2:E6448)))))-COUNTBLANK(OFFSET(A$1,,,SUMPRODUCT(MAX(ROW(E$1:E6447)*(E2=E$1:E6447))))))</f>
        <v> </v>
      </c>
      <c r="K6448" s="26" t="str">
        <f>IF(OR(E6448="",E6448="!!!",F6448="NEW"),"",INDEX(J$1:J6447,SUMPRODUCT(MAX(ROW(E$1:E6447)*(E6448=E$1:E6447)))))</f>
        <v> </v>
      </c>
      <c r="L6448" s="27"/>
    </row>
    <row r="6449" spans="1:12">
      <c r="A6449" s="20" t="s">
        <v>1029</v>
      </c>
      <c r="E6449" s="22">
        <f>IF(D6449="?OLD","!!!","")</f>
        <v/>
      </c>
      <c r="F6449" s="23" t="str">
        <f>IF(OR(E6449="",E6449="!!!"),"",IF(NOT(ISNA(VLOOKUP(E6449,E$1:E6448,1,FALSE()))),"OLD",IF(AND(E6449&lt;&gt;"",E6449&lt;&gt;"!!!"),"NEW","")))</f>
        <v> </v>
      </c>
      <c r="G6449" s="24" t="str">
        <f>IF(OR(E6449="",E6449="!!!"),"",IF(OR(J6449=0,AND(J6449=1,K6449=1),AND(J6449=1,I6449="SBJ"),AND(J6449=1,I6449=0)),"?IN_FOCUS",IF(J6449&lt;=2,"?ACTIVATED",IF(J6449&lt;&gt;"","?FAMILIAR",IF(F6449="NEW",IF(ISNA(VLOOKUP(E6449,#REF!,1,FALSE())),"?TYPE_IDENTIFIABLE","?REFERENTIAL"),"_")))))</f>
        <v> </v>
      </c>
      <c r="H6449" s="25" t="str">
        <f>IF(J6449&lt;&gt;1,"",IF(I6449="SBJ","CB","?"))</f>
        <v> </v>
      </c>
      <c r="I6449" s="26" t="str">
        <f>IF(OR(E6449="",E6449="!!!",F6449="NEW"),"",INDEX(B6448:B$2,-1+SUMPRODUCT(MAX(ROW(E6448:E$2)*(E6449=E6448:E$2)))))</f>
        <v> </v>
      </c>
      <c r="J6449" s="26" t="str">
        <f>IF(OR(E6449="",E6449="!!!",F6449="NEW"),"",COUNTBLANK(OFFSET(A$1,,,SUMPRODUCT(MAX(ROW(E$2:E6449)*(E6449=E$2:E6449)))))-COUNTBLANK(OFFSET(A$1,,,SUMPRODUCT(MAX(ROW(E$1:E6448)*(E2=E$1:E6448))))))</f>
        <v> </v>
      </c>
      <c r="K6449" s="26" t="str">
        <f>IF(OR(E6449="",E6449="!!!",F6449="NEW"),"",INDEX(J$1:J6448,SUMPRODUCT(MAX(ROW(E$1:E6448)*(E6449=E$1:E6448)))))</f>
        <v> </v>
      </c>
      <c r="L6449" s="27"/>
    </row>
    <row r="6450" spans="1:12">
      <c r="A6450" s="20" t="s">
        <v>1340</v>
      </c>
      <c r="B6450" s="21" t="s">
        <v>1067</v>
      </c>
      <c r="C6450" s="21" t="s">
        <v>1006</v>
      </c>
      <c r="E6450" s="22">
        <f>IF(D6450="?OLD","!!!","")</f>
        <v/>
      </c>
      <c r="F6450" s="23" t="str">
        <f>IF(OR(E6450="",E6450="!!!"),"",IF(NOT(ISNA(VLOOKUP(E6450,E$1:E6449,1,FALSE()))),"OLD",IF(AND(E6450&lt;&gt;"",E6450&lt;&gt;"!!!"),"NEW","")))</f>
        <v> </v>
      </c>
      <c r="G6450" s="24" t="str">
        <f>IF(OR(E6450="",E6450="!!!"),"",IF(OR(J6450=0,AND(J6450=1,K6450=1),AND(J6450=1,I6450="SBJ"),AND(J6450=1,I6450=0)),"?IN_FOCUS",IF(J6450&lt;=2,"?ACTIVATED",IF(J6450&lt;&gt;"","?FAMILIAR",IF(F6450="NEW",IF(ISNA(VLOOKUP(E6450,#REF!,1,FALSE())),"?TYPE_IDENTIFIABLE","?REFERENTIAL"),"_")))))</f>
        <v> </v>
      </c>
      <c r="H6450" s="25" t="str">
        <f>IF(J6450&lt;&gt;1,"",IF(I6450="SBJ","CB","?"))</f>
        <v> </v>
      </c>
      <c r="I6450" s="26" t="str">
        <f>IF(OR(E6450="",E6450="!!!",F6450="NEW"),"",INDEX(B6449:B$2,-1+SUMPRODUCT(MAX(ROW(E6449:E$2)*(E6450=E6449:E$2)))))</f>
        <v> </v>
      </c>
      <c r="J6450" s="26" t="str">
        <f>IF(OR(E6450="",E6450="!!!",F6450="NEW"),"",COUNTBLANK(OFFSET(A$1,,,SUMPRODUCT(MAX(ROW(E$2:E6450)*(E6450=E$2:E6450)))))-COUNTBLANK(OFFSET(A$1,,,SUMPRODUCT(MAX(ROW(E$1:E6449)*(E2=E$1:E6449))))))</f>
        <v> </v>
      </c>
      <c r="K6450" s="26" t="str">
        <f>IF(OR(E6450="",E6450="!!!",F6450="NEW"),"",INDEX(J$1:J6449,SUMPRODUCT(MAX(ROW(E$1:E6449)*(E6450=E$1:E6449)))))</f>
        <v> </v>
      </c>
      <c r="L6450" s="27"/>
    </row>
    <row r="6451" spans="1:12">
      <c r="A6451" s="20" t="s">
        <v>1008</v>
      </c>
      <c r="E6451" s="22">
        <f>IF(D6451="?OLD","!!!","")</f>
        <v/>
      </c>
      <c r="F6451" s="23" t="str">
        <f>IF(OR(E6451="",E6451="!!!"),"",IF(NOT(ISNA(VLOOKUP(E6451,E$1:E6450,1,FALSE()))),"OLD",IF(AND(E6451&lt;&gt;"",E6451&lt;&gt;"!!!"),"NEW","")))</f>
        <v> </v>
      </c>
      <c r="G6451" s="24" t="str">
        <f>IF(OR(E6451="",E6451="!!!"),"",IF(OR(J6451=0,AND(J6451=1,K6451=1),AND(J6451=1,I6451="SBJ"),AND(J6451=1,I6451=0)),"?IN_FOCUS",IF(J6451&lt;=2,"?ACTIVATED",IF(J6451&lt;&gt;"","?FAMILIAR",IF(F6451="NEW",IF(ISNA(VLOOKUP(E6451,#REF!,1,FALSE())),"?TYPE_IDENTIFIABLE","?REFERENTIAL"),"_")))))</f>
        <v> </v>
      </c>
      <c r="H6451" s="25" t="str">
        <f>IF(J6451&lt;&gt;1,"",IF(I6451="SBJ","CB","?"))</f>
        <v> </v>
      </c>
      <c r="I6451" s="26" t="str">
        <f>IF(OR(E6451="",E6451="!!!",F6451="NEW"),"",INDEX(B6450:B$2,-1+SUMPRODUCT(MAX(ROW(E6450:E$2)*(E6451=E6450:E$2)))))</f>
        <v> </v>
      </c>
      <c r="J6451" s="26" t="str">
        <f>IF(OR(E6451="",E6451="!!!",F6451="NEW"),"",COUNTBLANK(OFFSET(A$1,,,SUMPRODUCT(MAX(ROW(E$2:E6451)*(E6451=E$2:E6451)))))-COUNTBLANK(OFFSET(A$1,,,SUMPRODUCT(MAX(ROW(E$1:E6450)*(E2=E$1:E6450))))))</f>
        <v> </v>
      </c>
      <c r="K6451" s="26" t="str">
        <f>IF(OR(E6451="",E6451="!!!",F6451="NEW"),"",INDEX(J$1:J6450,SUMPRODUCT(MAX(ROW(E$1:E6450)*(E6451=E$1:E6450)))))</f>
        <v> </v>
      </c>
      <c r="L6451" s="27"/>
    </row>
    <row r="6452" spans="1:12">
      <c r="A6452" s="20" t="s">
        <v>1060</v>
      </c>
      <c r="E6452" s="22">
        <f>IF(D6452="?OLD","!!!","")</f>
        <v/>
      </c>
      <c r="F6452" s="23" t="str">
        <f>IF(OR(E6452="",E6452="!!!"),"",IF(NOT(ISNA(VLOOKUP(E6452,E$1:E6451,1,FALSE()))),"OLD",IF(AND(E6452&lt;&gt;"",E6452&lt;&gt;"!!!"),"NEW","")))</f>
        <v> </v>
      </c>
      <c r="G6452" s="24" t="str">
        <f>IF(OR(E6452="",E6452="!!!"),"",IF(OR(J6452=0,AND(J6452=1,K6452=1),AND(J6452=1,I6452="SBJ"),AND(J6452=1,I6452=0)),"?IN_FOCUS",IF(J6452&lt;=2,"?ACTIVATED",IF(J6452&lt;&gt;"","?FAMILIAR",IF(F6452="NEW",IF(ISNA(VLOOKUP(E6452,#REF!,1,FALSE())),"?TYPE_IDENTIFIABLE","?REFERENTIAL"),"_")))))</f>
        <v> </v>
      </c>
      <c r="H6452" s="25" t="str">
        <f>IF(J6452&lt;&gt;1,"",IF(I6452="SBJ","CB","?"))</f>
        <v> </v>
      </c>
      <c r="I6452" s="26" t="str">
        <f>IF(OR(E6452="",E6452="!!!",F6452="NEW"),"",INDEX(B6451:B$2,-1+SUMPRODUCT(MAX(ROW(E6451:E$2)*(E6452=E6451:E$2)))))</f>
        <v> </v>
      </c>
      <c r="J6452" s="26" t="str">
        <f>IF(OR(E6452="",E6452="!!!",F6452="NEW"),"",COUNTBLANK(OFFSET(A$1,,,SUMPRODUCT(MAX(ROW(E$2:E6452)*(E6452=E$2:E6452)))))-COUNTBLANK(OFFSET(A$1,,,SUMPRODUCT(MAX(ROW(E$1:E6451)*(E2=E$1:E6451))))))</f>
        <v> </v>
      </c>
      <c r="K6452" s="26" t="str">
        <f>IF(OR(E6452="",E6452="!!!",F6452="NEW"),"",INDEX(J$1:J6451,SUMPRODUCT(MAX(ROW(E$1:E6451)*(E6452=E$1:E6451)))))</f>
        <v> </v>
      </c>
      <c r="L6452" s="27"/>
    </row>
    <row r="6453" spans="1:12">
      <c r="A6453" s="20" t="s">
        <v>2599</v>
      </c>
      <c r="B6453" s="21" t="s">
        <v>1067</v>
      </c>
      <c r="C6453" s="21" t="s">
        <v>1034</v>
      </c>
      <c r="D6453" s="21" t="s">
        <v>997</v>
      </c>
      <c r="E6453" s="22">
        <f>IF(D6453="?OLD","!!!","")</f>
        <v/>
      </c>
      <c r="F6453" s="23" t="str">
        <f>IF(OR(E6453="",E6453="!!!"),"",IF(NOT(ISNA(VLOOKUP(E6453,E$1:E6452,1,FALSE()))),"OLD",IF(AND(E6453&lt;&gt;"",E6453&lt;&gt;"!!!"),"NEW","")))</f>
        <v> </v>
      </c>
      <c r="G6453" s="24" t="str">
        <f>IF(OR(E6453="",E6453="!!!"),"",IF(OR(J6453=0,AND(J6453=1,K6453=1),AND(J6453=1,I6453="SBJ"),AND(J6453=1,I6453=0)),"?IN_FOCUS",IF(J6453&lt;=2,"?ACTIVATED",IF(J6453&lt;&gt;"","?FAMILIAR",IF(F6453="NEW",IF(ISNA(VLOOKUP(E6453,#REF!,1,FALSE())),"?TYPE_IDENTIFIABLE","?REFERENTIAL"),"_")))))</f>
        <v> </v>
      </c>
      <c r="H6453" s="25" t="str">
        <f>IF(J6453&lt;&gt;1,"",IF(I6453="SBJ","CB","?"))</f>
        <v> </v>
      </c>
      <c r="I6453" s="26" t="str">
        <f>IF(OR(E6453="",E6453="!!!",F6453="NEW"),"",INDEX(B6452:B$2,-1+SUMPRODUCT(MAX(ROW(E6452:E$2)*(E6453=E6452:E$2)))))</f>
        <v> </v>
      </c>
      <c r="J6453" s="26" t="str">
        <f>IF(OR(E6453="",E6453="!!!",F6453="NEW"),"",COUNTBLANK(OFFSET(A$1,,,SUMPRODUCT(MAX(ROW(E$2:E6453)*(E6453=E$2:E6453)))))-COUNTBLANK(OFFSET(A$1,,,SUMPRODUCT(MAX(ROW(E$1:E6452)*(E2=E$1:E6452))))))</f>
        <v> </v>
      </c>
      <c r="K6453" s="26" t="str">
        <f>IF(OR(E6453="",E6453="!!!",F6453="NEW"),"",INDEX(J$1:J6452,SUMPRODUCT(MAX(ROW(E$1:E6452)*(E6453=E$1:E6452)))))</f>
        <v> </v>
      </c>
      <c r="L6453" s="27"/>
    </row>
    <row r="6454" spans="1:12">
      <c r="A6454" s="20" t="s">
        <v>1003</v>
      </c>
      <c r="E6454" s="22">
        <f>IF(D6454="?OLD","!!!","")</f>
        <v/>
      </c>
      <c r="F6454" s="23" t="str">
        <f>IF(OR(E6454="",E6454="!!!"),"",IF(NOT(ISNA(VLOOKUP(E6454,E$1:E6453,1,FALSE()))),"OLD",IF(AND(E6454&lt;&gt;"",E6454&lt;&gt;"!!!"),"NEW","")))</f>
        <v> </v>
      </c>
      <c r="G6454" s="24" t="str">
        <f>IF(OR(E6454="",E6454="!!!"),"",IF(OR(J6454=0,AND(J6454=1,K6454=1),AND(J6454=1,I6454="SBJ"),AND(J6454=1,I6454=0)),"?IN_FOCUS",IF(J6454&lt;=2,"?ACTIVATED",IF(J6454&lt;&gt;"","?FAMILIAR",IF(F6454="NEW",IF(ISNA(VLOOKUP(E6454,#REF!,1,FALSE())),"?TYPE_IDENTIFIABLE","?REFERENTIAL"),"_")))))</f>
        <v> </v>
      </c>
      <c r="H6454" s="25" t="str">
        <f>IF(J6454&lt;&gt;1,"",IF(I6454="SBJ","CB","?"))</f>
        <v> </v>
      </c>
      <c r="I6454" s="26" t="str">
        <f>IF(OR(E6454="",E6454="!!!",F6454="NEW"),"",INDEX(B6453:B$2,-1+SUMPRODUCT(MAX(ROW(E6453:E$2)*(E6454=E6453:E$2)))))</f>
        <v> </v>
      </c>
      <c r="J6454" s="26" t="str">
        <f>IF(OR(E6454="",E6454="!!!",F6454="NEW"),"",COUNTBLANK(OFFSET(A$1,,,SUMPRODUCT(MAX(ROW(E$2:E6454)*(E6454=E$2:E6454)))))-COUNTBLANK(OFFSET(A$1,,,SUMPRODUCT(MAX(ROW(E$1:E6453)*(E2=E$1:E6453))))))</f>
        <v> </v>
      </c>
      <c r="K6454" s="26" t="str">
        <f>IF(OR(E6454="",E6454="!!!",F6454="NEW"),"",INDEX(J$1:J6453,SUMPRODUCT(MAX(ROW(E$1:E6453)*(E6454=E$1:E6453)))))</f>
        <v> </v>
      </c>
      <c r="L6454" s="27"/>
    </row>
    <row r="6455" spans="1:12">
      <c r="A6455" s="20" t="s">
        <v>2166</v>
      </c>
      <c r="B6455" s="21" t="s">
        <v>1005</v>
      </c>
      <c r="C6455" s="21" t="s">
        <v>1006</v>
      </c>
      <c r="E6455" s="22">
        <f>IF(D6455="?OLD","!!!","")</f>
        <v/>
      </c>
      <c r="F6455" s="23" t="str">
        <f>IF(OR(E6455="",E6455="!!!"),"",IF(NOT(ISNA(VLOOKUP(E6455,E$1:E6454,1,FALSE()))),"OLD",IF(AND(E6455&lt;&gt;"",E6455&lt;&gt;"!!!"),"NEW","")))</f>
        <v> </v>
      </c>
      <c r="G6455" s="24" t="str">
        <f>IF(OR(E6455="",E6455="!!!"),"",IF(OR(J6455=0,AND(J6455=1,K6455=1),AND(J6455=1,I6455="SBJ"),AND(J6455=1,I6455=0)),"?IN_FOCUS",IF(J6455&lt;=2,"?ACTIVATED",IF(J6455&lt;&gt;"","?FAMILIAR",IF(F6455="NEW",IF(ISNA(VLOOKUP(E6455,#REF!,1,FALSE())),"?TYPE_IDENTIFIABLE","?REFERENTIAL"),"_")))))</f>
        <v> </v>
      </c>
      <c r="H6455" s="25" t="str">
        <f>IF(J6455&lt;&gt;1,"",IF(I6455="SBJ","CB","?"))</f>
        <v> </v>
      </c>
      <c r="I6455" s="26" t="str">
        <f>IF(OR(E6455="",E6455="!!!",F6455="NEW"),"",INDEX(B6454:B$2,-1+SUMPRODUCT(MAX(ROW(E6454:E$2)*(E6455=E6454:E$2)))))</f>
        <v> </v>
      </c>
      <c r="J6455" s="26" t="str">
        <f>IF(OR(E6455="",E6455="!!!",F6455="NEW"),"",COUNTBLANK(OFFSET(A$1,,,SUMPRODUCT(MAX(ROW(E$2:E6455)*(E6455=E$2:E6455)))))-COUNTBLANK(OFFSET(A$1,,,SUMPRODUCT(MAX(ROW(E$1:E6454)*(E2=E$1:E6454))))))</f>
        <v> </v>
      </c>
      <c r="K6455" s="26" t="str">
        <f>IF(OR(E6455="",E6455="!!!",F6455="NEW"),"",INDEX(J$1:J6454,SUMPRODUCT(MAX(ROW(E$1:E6454)*(E6455=E$1:E6454)))))</f>
        <v> </v>
      </c>
      <c r="L6455" s="27"/>
    </row>
    <row r="6456" spans="1:12">
      <c r="A6456" s="20" t="s">
        <v>1041</v>
      </c>
      <c r="E6456" s="22">
        <f>IF(D6456="?OLD","!!!","")</f>
        <v/>
      </c>
      <c r="F6456" s="23" t="str">
        <f>IF(OR(E6456="",E6456="!!!"),"",IF(NOT(ISNA(VLOOKUP(E6456,E$1:E6455,1,FALSE()))),"OLD",IF(AND(E6456&lt;&gt;"",E6456&lt;&gt;"!!!"),"NEW","")))</f>
        <v> </v>
      </c>
      <c r="G6456" s="24" t="str">
        <f>IF(OR(E6456="",E6456="!!!"),"",IF(OR(J6456=0,AND(J6456=1,K6456=1),AND(J6456=1,I6456="SBJ"),AND(J6456=1,I6456=0)),"?IN_FOCUS",IF(J6456&lt;=2,"?ACTIVATED",IF(J6456&lt;&gt;"","?FAMILIAR",IF(F6456="NEW",IF(ISNA(VLOOKUP(E6456,#REF!,1,FALSE())),"?TYPE_IDENTIFIABLE","?REFERENTIAL"),"_")))))</f>
        <v> </v>
      </c>
      <c r="H6456" s="25" t="str">
        <f>IF(J6456&lt;&gt;1,"",IF(I6456="SBJ","CB","?"))</f>
        <v> </v>
      </c>
      <c r="I6456" s="26" t="str">
        <f>IF(OR(E6456="",E6456="!!!",F6456="NEW"),"",INDEX(B6455:B$2,-1+SUMPRODUCT(MAX(ROW(E6455:E$2)*(E6456=E6455:E$2)))))</f>
        <v> </v>
      </c>
      <c r="J6456" s="26" t="str">
        <f>IF(OR(E6456="",E6456="!!!",F6456="NEW"),"",COUNTBLANK(OFFSET(A$1,,,SUMPRODUCT(MAX(ROW(E$2:E6456)*(E6456=E$2:E6456)))))-COUNTBLANK(OFFSET(A$1,,,SUMPRODUCT(MAX(ROW(E$1:E6455)*(E2=E$1:E6455))))))</f>
        <v> </v>
      </c>
      <c r="K6456" s="26" t="str">
        <f>IF(OR(E6456="",E6456="!!!",F6456="NEW"),"",INDEX(J$1:J6455,SUMPRODUCT(MAX(ROW(E$1:E6455)*(E6456=E$1:E6455)))))</f>
        <v> </v>
      </c>
      <c r="L6456" s="27"/>
    </row>
    <row r="6457" spans="1:12">
      <c r="A6457" s="20" t="s">
        <v>2600</v>
      </c>
      <c r="E6457" s="22">
        <f>IF(D6457="?OLD","!!!","")</f>
        <v/>
      </c>
      <c r="F6457" s="23" t="str">
        <f>IF(OR(E6457="",E6457="!!!"),"",IF(NOT(ISNA(VLOOKUP(E6457,E$1:E6456,1,FALSE()))),"OLD",IF(AND(E6457&lt;&gt;"",E6457&lt;&gt;"!!!"),"NEW","")))</f>
        <v> </v>
      </c>
      <c r="G6457" s="24" t="str">
        <f>IF(OR(E6457="",E6457="!!!"),"",IF(OR(J6457=0,AND(J6457=1,K6457=1),AND(J6457=1,I6457="SBJ"),AND(J6457=1,I6457=0)),"?IN_FOCUS",IF(J6457&lt;=2,"?ACTIVATED",IF(J6457&lt;&gt;"","?FAMILIAR",IF(F6457="NEW",IF(ISNA(VLOOKUP(E6457,#REF!,1,FALSE())),"?TYPE_IDENTIFIABLE","?REFERENTIAL"),"_")))))</f>
        <v> </v>
      </c>
      <c r="H6457" s="25" t="str">
        <f>IF(J6457&lt;&gt;1,"",IF(I6457="SBJ","CB","?"))</f>
        <v> </v>
      </c>
      <c r="I6457" s="26" t="str">
        <f>IF(OR(E6457="",E6457="!!!",F6457="NEW"),"",INDEX(B6456:B$2,-1+SUMPRODUCT(MAX(ROW(E6456:E$2)*(E6457=E6456:E$2)))))</f>
        <v> </v>
      </c>
      <c r="J6457" s="26" t="str">
        <f>IF(OR(E6457="",E6457="!!!",F6457="NEW"),"",COUNTBLANK(OFFSET(A$1,,,SUMPRODUCT(MAX(ROW(E$2:E6457)*(E6457=E$2:E6457)))))-COUNTBLANK(OFFSET(A$1,,,SUMPRODUCT(MAX(ROW(E$1:E6456)*(E2=E$1:E6456))))))</f>
        <v> </v>
      </c>
      <c r="K6457" s="26" t="str">
        <f>IF(OR(E6457="",E6457="!!!",F6457="NEW"),"",INDEX(J$1:J6456,SUMPRODUCT(MAX(ROW(E$1:E6456)*(E6457=E$1:E6456)))))</f>
        <v> </v>
      </c>
      <c r="L6457" s="27"/>
    </row>
    <row r="6458" spans="1:12">
      <c r="A6458" s="20" t="s">
        <v>2601</v>
      </c>
      <c r="E6458" s="22">
        <f>IF(D6458="?OLD","!!!","")</f>
        <v/>
      </c>
      <c r="F6458" s="23" t="str">
        <f>IF(OR(E6458="",E6458="!!!"),"",IF(NOT(ISNA(VLOOKUP(E6458,E$1:E6457,1,FALSE()))),"OLD",IF(AND(E6458&lt;&gt;"",E6458&lt;&gt;"!!!"),"NEW","")))</f>
        <v> </v>
      </c>
      <c r="G6458" s="24" t="str">
        <f>IF(OR(E6458="",E6458="!!!"),"",IF(OR(J6458=0,AND(J6458=1,K6458=1),AND(J6458=1,I6458="SBJ"),AND(J6458=1,I6458=0)),"?IN_FOCUS",IF(J6458&lt;=2,"?ACTIVATED",IF(J6458&lt;&gt;"","?FAMILIAR",IF(F6458="NEW",IF(ISNA(VLOOKUP(E6458,#REF!,1,FALSE())),"?TYPE_IDENTIFIABLE","?REFERENTIAL"),"_")))))</f>
        <v> </v>
      </c>
      <c r="H6458" s="25" t="str">
        <f>IF(J6458&lt;&gt;1,"",IF(I6458="SBJ","CB","?"))</f>
        <v> </v>
      </c>
      <c r="I6458" s="26" t="str">
        <f>IF(OR(E6458="",E6458="!!!",F6458="NEW"),"",INDEX(B6457:B$2,-1+SUMPRODUCT(MAX(ROW(E6457:E$2)*(E6458=E6457:E$2)))))</f>
        <v> </v>
      </c>
      <c r="J6458" s="26" t="str">
        <f>IF(OR(E6458="",E6458="!!!",F6458="NEW"),"",COUNTBLANK(OFFSET(A$1,,,SUMPRODUCT(MAX(ROW(E$2:E6458)*(E6458=E$2:E6458)))))-COUNTBLANK(OFFSET(A$1,,,SUMPRODUCT(MAX(ROW(E$1:E6457)*(E2=E$1:E6457))))))</f>
        <v> </v>
      </c>
      <c r="K6458" s="26" t="str">
        <f>IF(OR(E6458="",E6458="!!!",F6458="NEW"),"",INDEX(J$1:J6457,SUMPRODUCT(MAX(ROW(E$1:E6457)*(E6458=E$1:E6457)))))</f>
        <v> </v>
      </c>
      <c r="L6458" s="27"/>
    </row>
    <row r="6459" spans="1:12">
      <c r="A6459" s="20" t="s">
        <v>1581</v>
      </c>
      <c r="E6459" s="22">
        <f>IF(D6459="?OLD","!!!","")</f>
        <v/>
      </c>
      <c r="F6459" s="23" t="str">
        <f>IF(OR(E6459="",E6459="!!!"),"",IF(NOT(ISNA(VLOOKUP(E6459,E$1:E6458,1,FALSE()))),"OLD",IF(AND(E6459&lt;&gt;"",E6459&lt;&gt;"!!!"),"NEW","")))</f>
        <v> </v>
      </c>
      <c r="G6459" s="24" t="str">
        <f>IF(OR(E6459="",E6459="!!!"),"",IF(OR(J6459=0,AND(J6459=1,K6459=1),AND(J6459=1,I6459="SBJ"),AND(J6459=1,I6459=0)),"?IN_FOCUS",IF(J6459&lt;=2,"?ACTIVATED",IF(J6459&lt;&gt;"","?FAMILIAR",IF(F6459="NEW",IF(ISNA(VLOOKUP(E6459,#REF!,1,FALSE())),"?TYPE_IDENTIFIABLE","?REFERENTIAL"),"_")))))</f>
        <v> </v>
      </c>
      <c r="H6459" s="25" t="str">
        <f>IF(J6459&lt;&gt;1,"",IF(I6459="SBJ","CB","?"))</f>
        <v> </v>
      </c>
      <c r="I6459" s="26" t="str">
        <f>IF(OR(E6459="",E6459="!!!",F6459="NEW"),"",INDEX(B6458:B$2,-1+SUMPRODUCT(MAX(ROW(E6458:E$2)*(E6459=E6458:E$2)))))</f>
        <v> </v>
      </c>
      <c r="J6459" s="26" t="str">
        <f>IF(OR(E6459="",E6459="!!!",F6459="NEW"),"",COUNTBLANK(OFFSET(A$1,,,SUMPRODUCT(MAX(ROW(E$2:E6459)*(E6459=E$2:E6459)))))-COUNTBLANK(OFFSET(A$1,,,SUMPRODUCT(MAX(ROW(E$1:E6458)*(E2=E$1:E6458))))))</f>
        <v> </v>
      </c>
      <c r="K6459" s="26" t="str">
        <f>IF(OR(E6459="",E6459="!!!",F6459="NEW"),"",INDEX(J$1:J6458,SUMPRODUCT(MAX(ROW(E$1:E6458)*(E6459=E$1:E6458)))))</f>
        <v> </v>
      </c>
      <c r="L6459" s="27"/>
    </row>
    <row r="6460" spans="1:12">
      <c r="A6460" s="20" t="s">
        <v>1061</v>
      </c>
      <c r="E6460" s="22">
        <f>IF(D6460="?OLD","!!!","")</f>
        <v/>
      </c>
      <c r="F6460" s="23" t="str">
        <f>IF(OR(E6460="",E6460="!!!"),"",IF(NOT(ISNA(VLOOKUP(E6460,E$1:E6459,1,FALSE()))),"OLD",IF(AND(E6460&lt;&gt;"",E6460&lt;&gt;"!!!"),"NEW","")))</f>
        <v> </v>
      </c>
      <c r="G6460" s="24" t="str">
        <f>IF(OR(E6460="",E6460="!!!"),"",IF(OR(J6460=0,AND(J6460=1,K6460=1),AND(J6460=1,I6460="SBJ"),AND(J6460=1,I6460=0)),"?IN_FOCUS",IF(J6460&lt;=2,"?ACTIVATED",IF(J6460&lt;&gt;"","?FAMILIAR",IF(F6460="NEW",IF(ISNA(VLOOKUP(E6460,#REF!,1,FALSE())),"?TYPE_IDENTIFIABLE","?REFERENTIAL"),"_")))))</f>
        <v> </v>
      </c>
      <c r="H6460" s="25" t="str">
        <f>IF(J6460&lt;&gt;1,"",IF(I6460="SBJ","CB","?"))</f>
        <v> </v>
      </c>
      <c r="I6460" s="26" t="str">
        <f>IF(OR(E6460="",E6460="!!!",F6460="NEW"),"",INDEX(B6459:B$2,-1+SUMPRODUCT(MAX(ROW(E6459:E$2)*(E6460=E6459:E$2)))))</f>
        <v> </v>
      </c>
      <c r="J6460" s="26" t="str">
        <f>IF(OR(E6460="",E6460="!!!",F6460="NEW"),"",COUNTBLANK(OFFSET(A$1,,,SUMPRODUCT(MAX(ROW(E$2:E6460)*(E6460=E$2:E6460)))))-COUNTBLANK(OFFSET(A$1,,,SUMPRODUCT(MAX(ROW(E$1:E6459)*(E2=E$1:E6459))))))</f>
        <v> </v>
      </c>
      <c r="K6460" s="26" t="str">
        <f>IF(OR(E6460="",E6460="!!!",F6460="NEW"),"",INDEX(J$1:J6459,SUMPRODUCT(MAX(ROW(E$1:E6459)*(E6460=E$1:E6459)))))</f>
        <v> </v>
      </c>
      <c r="L6460" s="27"/>
    </row>
    <row r="6461" spans="1:12">
      <c r="A6461" s="20" t="s">
        <v>2602</v>
      </c>
      <c r="B6461" s="21" t="s">
        <v>1005</v>
      </c>
      <c r="C6461" s="21" t="s">
        <v>1034</v>
      </c>
      <c r="D6461" s="21" t="s">
        <v>997</v>
      </c>
      <c r="E6461" s="22">
        <f>IF(D6461="?OLD","!!!","")</f>
        <v/>
      </c>
      <c r="F6461" s="23" t="str">
        <f>IF(OR(E6461="",E6461="!!!"),"",IF(NOT(ISNA(VLOOKUP(E6461,E$1:E6460,1,FALSE()))),"OLD",IF(AND(E6461&lt;&gt;"",E6461&lt;&gt;"!!!"),"NEW","")))</f>
        <v> </v>
      </c>
      <c r="G6461" s="24" t="str">
        <f>IF(OR(E6461="",E6461="!!!"),"",IF(OR(J6461=0,AND(J6461=1,K6461=1),AND(J6461=1,I6461="SBJ"),AND(J6461=1,I6461=0)),"?IN_FOCUS",IF(J6461&lt;=2,"?ACTIVATED",IF(J6461&lt;&gt;"","?FAMILIAR",IF(F6461="NEW",IF(ISNA(VLOOKUP(E6461,#REF!,1,FALSE())),"?TYPE_IDENTIFIABLE","?REFERENTIAL"),"_")))))</f>
        <v> </v>
      </c>
      <c r="H6461" s="25" t="str">
        <f>IF(J6461&lt;&gt;1,"",IF(I6461="SBJ","CB","?"))</f>
        <v> </v>
      </c>
      <c r="I6461" s="26" t="str">
        <f>IF(OR(E6461="",E6461="!!!",F6461="NEW"),"",INDEX(B6460:B$2,-1+SUMPRODUCT(MAX(ROW(E6460:E$2)*(E6461=E6460:E$2)))))</f>
        <v> </v>
      </c>
      <c r="J6461" s="26" t="str">
        <f>IF(OR(E6461="",E6461="!!!",F6461="NEW"),"",COUNTBLANK(OFFSET(A$1,,,SUMPRODUCT(MAX(ROW(E$2:E6461)*(E6461=E$2:E6461)))))-COUNTBLANK(OFFSET(A$1,,,SUMPRODUCT(MAX(ROW(E$1:E6460)*(E2=E$1:E6460))))))</f>
        <v> </v>
      </c>
      <c r="K6461" s="26" t="str">
        <f>IF(OR(E6461="",E6461="!!!",F6461="NEW"),"",INDEX(J$1:J6460,SUMPRODUCT(MAX(ROW(E$1:E6460)*(E6461=E$1:E6460)))))</f>
        <v> </v>
      </c>
      <c r="L6461" s="27"/>
    </row>
    <row r="6462" spans="1:12">
      <c r="A6462" s="20" t="s">
        <v>1008</v>
      </c>
      <c r="E6462" s="22">
        <f>IF(D6462="?OLD","!!!","")</f>
        <v/>
      </c>
      <c r="F6462" s="23" t="str">
        <f>IF(OR(E6462="",E6462="!!!"),"",IF(NOT(ISNA(VLOOKUP(E6462,E$1:E6461,1,FALSE()))),"OLD",IF(AND(E6462&lt;&gt;"",E6462&lt;&gt;"!!!"),"NEW","")))</f>
        <v> </v>
      </c>
      <c r="G6462" s="24" t="str">
        <f>IF(OR(E6462="",E6462="!!!"),"",IF(OR(J6462=0,AND(J6462=1,K6462=1),AND(J6462=1,I6462="SBJ"),AND(J6462=1,I6462=0)),"?IN_FOCUS",IF(J6462&lt;=2,"?ACTIVATED",IF(J6462&lt;&gt;"","?FAMILIAR",IF(F6462="NEW",IF(ISNA(VLOOKUP(E6462,#REF!,1,FALSE())),"?TYPE_IDENTIFIABLE","?REFERENTIAL"),"_")))))</f>
        <v> </v>
      </c>
      <c r="H6462" s="25" t="str">
        <f>IF(J6462&lt;&gt;1,"",IF(I6462="SBJ","CB","?"))</f>
        <v> </v>
      </c>
      <c r="I6462" s="26" t="str">
        <f>IF(OR(E6462="",E6462="!!!",F6462="NEW"),"",INDEX(B6461:B$2,-1+SUMPRODUCT(MAX(ROW(E6461:E$2)*(E6462=E6461:E$2)))))</f>
        <v> </v>
      </c>
      <c r="J6462" s="26" t="str">
        <f>IF(OR(E6462="",E6462="!!!",F6462="NEW"),"",COUNTBLANK(OFFSET(A$1,,,SUMPRODUCT(MAX(ROW(E$2:E6462)*(E6462=E$2:E6462)))))-COUNTBLANK(OFFSET(A$1,,,SUMPRODUCT(MAX(ROW(E$1:E6461)*(E2=E$1:E6461))))))</f>
        <v> </v>
      </c>
      <c r="K6462" s="26" t="str">
        <f>IF(OR(E6462="",E6462="!!!",F6462="NEW"),"",INDEX(J$1:J6461,SUMPRODUCT(MAX(ROW(E$1:E6461)*(E6462=E$1:E6461)))))</f>
        <v> </v>
      </c>
      <c r="L6462" s="27"/>
    </row>
    <row r="6463" spans="1:12">
      <c r="A6463" s="20" t="s">
        <v>1037</v>
      </c>
      <c r="E6463" s="22">
        <f>IF(D6463="?OLD","!!!","")</f>
        <v/>
      </c>
      <c r="F6463" s="23" t="str">
        <f>IF(OR(E6463="",E6463="!!!"),"",IF(NOT(ISNA(VLOOKUP(E6463,E$1:E6462,1,FALSE()))),"OLD",IF(AND(E6463&lt;&gt;"",E6463&lt;&gt;"!!!"),"NEW","")))</f>
        <v> </v>
      </c>
      <c r="G6463" s="24" t="str">
        <f>IF(OR(E6463="",E6463="!!!"),"",IF(OR(J6463=0,AND(J6463=1,K6463=1),AND(J6463=1,I6463="SBJ"),AND(J6463=1,I6463=0)),"?IN_FOCUS",IF(J6463&lt;=2,"?ACTIVATED",IF(J6463&lt;&gt;"","?FAMILIAR",IF(F6463="NEW",IF(ISNA(VLOOKUP(E6463,#REF!,1,FALSE())),"?TYPE_IDENTIFIABLE","?REFERENTIAL"),"_")))))</f>
        <v> </v>
      </c>
      <c r="H6463" s="25" t="str">
        <f>IF(J6463&lt;&gt;1,"",IF(I6463="SBJ","CB","?"))</f>
        <v> </v>
      </c>
      <c r="I6463" s="26" t="str">
        <f>IF(OR(E6463="",E6463="!!!",F6463="NEW"),"",INDEX(B6462:B$2,-1+SUMPRODUCT(MAX(ROW(E6462:E$2)*(E6463=E6462:E$2)))))</f>
        <v> </v>
      </c>
      <c r="J6463" s="26" t="str">
        <f>IF(OR(E6463="",E6463="!!!",F6463="NEW"),"",COUNTBLANK(OFFSET(A$1,,,SUMPRODUCT(MAX(ROW(E$2:E6463)*(E6463=E$2:E6463)))))-COUNTBLANK(OFFSET(A$1,,,SUMPRODUCT(MAX(ROW(E$1:E6462)*(E2=E$1:E6462))))))</f>
        <v> </v>
      </c>
      <c r="K6463" s="26" t="str">
        <f>IF(OR(E6463="",E6463="!!!",F6463="NEW"),"",INDEX(J$1:J6462,SUMPRODUCT(MAX(ROW(E$1:E6462)*(E6463=E$1:E6462)))))</f>
        <v> </v>
      </c>
      <c r="L6463" s="27"/>
    </row>
    <row r="6464" spans="1:12">
      <c r="A6464" s="20" t="s">
        <v>2464</v>
      </c>
      <c r="B6464" s="21" t="s">
        <v>1010</v>
      </c>
      <c r="C6464" s="21" t="s">
        <v>1034</v>
      </c>
      <c r="D6464" s="21" t="s">
        <v>997</v>
      </c>
      <c r="E6464" s="22">
        <f>IF(D6464="?OLD","!!!","")</f>
        <v/>
      </c>
      <c r="F6464" s="23" t="str">
        <f>IF(OR(E6464="",E6464="!!!"),"",IF(NOT(ISNA(VLOOKUP(E6464,E$1:E6463,1,FALSE()))),"OLD",IF(AND(E6464&lt;&gt;"",E6464&lt;&gt;"!!!"),"NEW","")))</f>
        <v> </v>
      </c>
      <c r="G6464" s="24" t="str">
        <f>IF(OR(E6464="",E6464="!!!"),"",IF(OR(J6464=0,AND(J6464=1,K6464=1),AND(J6464=1,I6464="SBJ"),AND(J6464=1,I6464=0)),"?IN_FOCUS",IF(J6464&lt;=2,"?ACTIVATED",IF(J6464&lt;&gt;"","?FAMILIAR",IF(F6464="NEW",IF(ISNA(VLOOKUP(E6464,#REF!,1,FALSE())),"?TYPE_IDENTIFIABLE","?REFERENTIAL"),"_")))))</f>
        <v> </v>
      </c>
      <c r="H6464" s="25" t="str">
        <f>IF(J6464&lt;&gt;1,"",IF(I6464="SBJ","CB","?"))</f>
        <v> </v>
      </c>
      <c r="I6464" s="26" t="str">
        <f>IF(OR(E6464="",E6464="!!!",F6464="NEW"),"",INDEX(B6463:B$2,-1+SUMPRODUCT(MAX(ROW(E6463:E$2)*(E6464=E6463:E$2)))))</f>
        <v> </v>
      </c>
      <c r="J6464" s="26" t="str">
        <f>IF(OR(E6464="",E6464="!!!",F6464="NEW"),"",COUNTBLANK(OFFSET(A$1,,,SUMPRODUCT(MAX(ROW(E$2:E6464)*(E6464=E$2:E6464)))))-COUNTBLANK(OFFSET(A$1,,,SUMPRODUCT(MAX(ROW(E$1:E6463)*(E2=E$1:E6463))))))</f>
        <v> </v>
      </c>
      <c r="K6464" s="26" t="str">
        <f>IF(OR(E6464="",E6464="!!!",F6464="NEW"),"",INDEX(J$1:J6463,SUMPRODUCT(MAX(ROW(E$1:E6463)*(E6464=E$1:E6463)))))</f>
        <v> </v>
      </c>
      <c r="L6464" s="27"/>
    </row>
    <row r="6465" spans="1:12">
      <c r="A6465" s="20" t="s">
        <v>1041</v>
      </c>
      <c r="E6465" s="22">
        <f>IF(D6465="?OLD","!!!","")</f>
        <v/>
      </c>
      <c r="F6465" s="23" t="str">
        <f>IF(OR(E6465="",E6465="!!!"),"",IF(NOT(ISNA(VLOOKUP(E6465,E$1:E6464,1,FALSE()))),"OLD",IF(AND(E6465&lt;&gt;"",E6465&lt;&gt;"!!!"),"NEW","")))</f>
        <v> </v>
      </c>
      <c r="G6465" s="24" t="str">
        <f>IF(OR(E6465="",E6465="!!!"),"",IF(OR(J6465=0,AND(J6465=1,K6465=1),AND(J6465=1,I6465="SBJ"),AND(J6465=1,I6465=0)),"?IN_FOCUS",IF(J6465&lt;=2,"?ACTIVATED",IF(J6465&lt;&gt;"","?FAMILIAR",IF(F6465="NEW",IF(ISNA(VLOOKUP(E6465,#REF!,1,FALSE())),"?TYPE_IDENTIFIABLE","?REFERENTIAL"),"_")))))</f>
        <v> </v>
      </c>
      <c r="H6465" s="25" t="str">
        <f>IF(J6465&lt;&gt;1,"",IF(I6465="SBJ","CB","?"))</f>
        <v> </v>
      </c>
      <c r="I6465" s="26" t="str">
        <f>IF(OR(E6465="",E6465="!!!",F6465="NEW"),"",INDEX(B6464:B$2,-1+SUMPRODUCT(MAX(ROW(E6464:E$2)*(E6465=E6464:E$2)))))</f>
        <v> </v>
      </c>
      <c r="J6465" s="26" t="str">
        <f>IF(OR(E6465="",E6465="!!!",F6465="NEW"),"",COUNTBLANK(OFFSET(A$1,,,SUMPRODUCT(MAX(ROW(E$2:E6465)*(E6465=E$2:E6465)))))-COUNTBLANK(OFFSET(A$1,,,SUMPRODUCT(MAX(ROW(E$1:E6464)*(E2=E$1:E6464))))))</f>
        <v> </v>
      </c>
      <c r="K6465" s="26" t="str">
        <f>IF(OR(E6465="",E6465="!!!",F6465="NEW"),"",INDEX(J$1:J6464,SUMPRODUCT(MAX(ROW(E$1:E6464)*(E6465=E$1:E6464)))))</f>
        <v> </v>
      </c>
      <c r="L6465" s="27"/>
    </row>
    <row r="6466" spans="1:12">
      <c r="A6466" s="20" t="s">
        <v>1249</v>
      </c>
      <c r="E6466" s="22">
        <f>IF(D6466="?OLD","!!!","")</f>
        <v/>
      </c>
      <c r="F6466" s="23" t="str">
        <f>IF(OR(E6466="",E6466="!!!"),"",IF(NOT(ISNA(VLOOKUP(E6466,E$1:E6465,1,FALSE()))),"OLD",IF(AND(E6466&lt;&gt;"",E6466&lt;&gt;"!!!"),"NEW","")))</f>
        <v> </v>
      </c>
      <c r="G6466" s="24" t="str">
        <f>IF(OR(E6466="",E6466="!!!"),"",IF(OR(J6466=0,AND(J6466=1,K6466=1),AND(J6466=1,I6466="SBJ"),AND(J6466=1,I6466=0)),"?IN_FOCUS",IF(J6466&lt;=2,"?ACTIVATED",IF(J6466&lt;&gt;"","?FAMILIAR",IF(F6466="NEW",IF(ISNA(VLOOKUP(E6466,#REF!,1,FALSE())),"?TYPE_IDENTIFIABLE","?REFERENTIAL"),"_")))))</f>
        <v> </v>
      </c>
      <c r="H6466" s="25" t="str">
        <f>IF(J6466&lt;&gt;1,"",IF(I6466="SBJ","CB","?"))</f>
        <v> </v>
      </c>
      <c r="I6466" s="26" t="str">
        <f>IF(OR(E6466="",E6466="!!!",F6466="NEW"),"",INDEX(B6465:B$2,-1+SUMPRODUCT(MAX(ROW(E6465:E$2)*(E6466=E6465:E$2)))))</f>
        <v> </v>
      </c>
      <c r="J6466" s="26" t="str">
        <f>IF(OR(E6466="",E6466="!!!",F6466="NEW"),"",COUNTBLANK(OFFSET(A$1,,,SUMPRODUCT(MAX(ROW(E$2:E6466)*(E6466=E$2:E6466)))))-COUNTBLANK(OFFSET(A$1,,,SUMPRODUCT(MAX(ROW(E$1:E6465)*(E2=E$1:E6465))))))</f>
        <v> </v>
      </c>
      <c r="K6466" s="26" t="str">
        <f>IF(OR(E6466="",E6466="!!!",F6466="NEW"),"",INDEX(J$1:J6465,SUMPRODUCT(MAX(ROW(E$1:E6465)*(E6466=E$1:E6465)))))</f>
        <v> </v>
      </c>
      <c r="L6466" s="27"/>
    </row>
    <row r="6467" spans="1:12">
      <c r="A6467" s="20" t="s">
        <v>1083</v>
      </c>
      <c r="B6467" s="21" t="s">
        <v>1027</v>
      </c>
      <c r="C6467" s="21" t="s">
        <v>996</v>
      </c>
      <c r="D6467" s="21" t="s">
        <v>997</v>
      </c>
      <c r="E6467" s="22">
        <f>IF(D6467="?OLD","!!!","")</f>
        <v/>
      </c>
      <c r="F6467" s="23" t="str">
        <f>IF(OR(E6467="",E6467="!!!"),"",IF(NOT(ISNA(VLOOKUP(E6467,E$1:E6466,1,FALSE()))),"OLD",IF(AND(E6467&lt;&gt;"",E6467&lt;&gt;"!!!"),"NEW","")))</f>
        <v> </v>
      </c>
      <c r="G6467" s="24" t="str">
        <f>IF(OR(E6467="",E6467="!!!"),"",IF(OR(J6467=0,AND(J6467=1,K6467=1),AND(J6467=1,I6467="SBJ"),AND(J6467=1,I6467=0)),"?IN_FOCUS",IF(J6467&lt;=2,"?ACTIVATED",IF(J6467&lt;&gt;"","?FAMILIAR",IF(F6467="NEW",IF(ISNA(VLOOKUP(E6467,#REF!,1,FALSE())),"?TYPE_IDENTIFIABLE","?REFERENTIAL"),"_")))))</f>
        <v> </v>
      </c>
      <c r="H6467" s="25" t="str">
        <f>IF(J6467&lt;&gt;1,"",IF(I6467="SBJ","CB","?"))</f>
        <v> </v>
      </c>
      <c r="I6467" s="26" t="str">
        <f>IF(OR(E6467="",E6467="!!!",F6467="NEW"),"",INDEX(B6466:B$2,-1+SUMPRODUCT(MAX(ROW(E6466:E$2)*(E6467=E6466:E$2)))))</f>
        <v> </v>
      </c>
      <c r="J6467" s="26" t="str">
        <f>IF(OR(E6467="",E6467="!!!",F6467="NEW"),"",COUNTBLANK(OFFSET(A$1,,,SUMPRODUCT(MAX(ROW(E$2:E6467)*(E6467=E$2:E6467)))))-COUNTBLANK(OFFSET(A$1,,,SUMPRODUCT(MAX(ROW(E$1:E6466)*(E2=E$1:E6466))))))</f>
        <v> </v>
      </c>
      <c r="K6467" s="26" t="str">
        <f>IF(OR(E6467="",E6467="!!!",F6467="NEW"),"",INDEX(J$1:J6466,SUMPRODUCT(MAX(ROW(E$1:E6466)*(E6467=E$1:E6466)))))</f>
        <v> </v>
      </c>
      <c r="L6467" s="27"/>
    </row>
    <row r="6468" spans="1:12">
      <c r="A6468" s="20" t="s">
        <v>1154</v>
      </c>
      <c r="E6468" s="22">
        <f>IF(D6468="?OLD","!!!","")</f>
        <v/>
      </c>
      <c r="F6468" s="23" t="str">
        <f>IF(OR(E6468="",E6468="!!!"),"",IF(NOT(ISNA(VLOOKUP(E6468,E$1:E6467,1,FALSE()))),"OLD",IF(AND(E6468&lt;&gt;"",E6468&lt;&gt;"!!!"),"NEW","")))</f>
        <v> </v>
      </c>
      <c r="G6468" s="24" t="str">
        <f>IF(OR(E6468="",E6468="!!!"),"",IF(OR(J6468=0,AND(J6468=1,K6468=1),AND(J6468=1,I6468="SBJ"),AND(J6468=1,I6468=0)),"?IN_FOCUS",IF(J6468&lt;=2,"?ACTIVATED",IF(J6468&lt;&gt;"","?FAMILIAR",IF(F6468="NEW",IF(ISNA(VLOOKUP(E6468,#REF!,1,FALSE())),"?TYPE_IDENTIFIABLE","?REFERENTIAL"),"_")))))</f>
        <v> </v>
      </c>
      <c r="H6468" s="25" t="str">
        <f>IF(J6468&lt;&gt;1,"",IF(I6468="SBJ","CB","?"))</f>
        <v> </v>
      </c>
      <c r="I6468" s="26" t="str">
        <f>IF(OR(E6468="",E6468="!!!",F6468="NEW"),"",INDEX(B6467:B$2,-1+SUMPRODUCT(MAX(ROW(E6467:E$2)*(E6468=E6467:E$2)))))</f>
        <v> </v>
      </c>
      <c r="J6468" s="26" t="str">
        <f>IF(OR(E6468="",E6468="!!!",F6468="NEW"),"",COUNTBLANK(OFFSET(A$1,,,SUMPRODUCT(MAX(ROW(E$2:E6468)*(E6468=E$2:E6468)))))-COUNTBLANK(OFFSET(A$1,,,SUMPRODUCT(MAX(ROW(E$1:E6467)*(E2=E$1:E6467))))))</f>
        <v> </v>
      </c>
      <c r="K6468" s="26" t="str">
        <f>IF(OR(E6468="",E6468="!!!",F6468="NEW"),"",INDEX(J$1:J6467,SUMPRODUCT(MAX(ROW(E$1:E6467)*(E6468=E$1:E6467)))))</f>
        <v> </v>
      </c>
      <c r="L6468" s="27"/>
    </row>
    <row r="6469" spans="1:12">
      <c r="A6469" s="20" t="s">
        <v>2048</v>
      </c>
      <c r="E6469" s="22">
        <f>IF(D6469="?OLD","!!!","")</f>
        <v/>
      </c>
      <c r="F6469" s="23" t="str">
        <f>IF(OR(E6469="",E6469="!!!"),"",IF(NOT(ISNA(VLOOKUP(E6469,E$1:E6468,1,FALSE()))),"OLD",IF(AND(E6469&lt;&gt;"",E6469&lt;&gt;"!!!"),"NEW","")))</f>
        <v> </v>
      </c>
      <c r="G6469" s="24" t="str">
        <f>IF(OR(E6469="",E6469="!!!"),"",IF(OR(J6469=0,AND(J6469=1,K6469=1),AND(J6469=1,I6469="SBJ"),AND(J6469=1,I6469=0)),"?IN_FOCUS",IF(J6469&lt;=2,"?ACTIVATED",IF(J6469&lt;&gt;"","?FAMILIAR",IF(F6469="NEW",IF(ISNA(VLOOKUP(E6469,#REF!,1,FALSE())),"?TYPE_IDENTIFIABLE","?REFERENTIAL"),"_")))))</f>
        <v> </v>
      </c>
      <c r="H6469" s="25" t="str">
        <f>IF(J6469&lt;&gt;1,"",IF(I6469="SBJ","CB","?"))</f>
        <v> </v>
      </c>
      <c r="I6469" s="26" t="str">
        <f>IF(OR(E6469="",E6469="!!!",F6469="NEW"),"",INDEX(B6468:B$2,-1+SUMPRODUCT(MAX(ROW(E6468:E$2)*(E6469=E6468:E$2)))))</f>
        <v> </v>
      </c>
      <c r="J6469" s="26" t="str">
        <f>IF(OR(E6469="",E6469="!!!",F6469="NEW"),"",COUNTBLANK(OFFSET(A$1,,,SUMPRODUCT(MAX(ROW(E$2:E6469)*(E6469=E$2:E6469)))))-COUNTBLANK(OFFSET(A$1,,,SUMPRODUCT(MAX(ROW(E$1:E6468)*(E2=E$1:E6468))))))</f>
        <v> </v>
      </c>
      <c r="K6469" s="26" t="str">
        <f>IF(OR(E6469="",E6469="!!!",F6469="NEW"),"",INDEX(J$1:J6468,SUMPRODUCT(MAX(ROW(E$1:E6468)*(E6469=E$1:E6468)))))</f>
        <v> </v>
      </c>
      <c r="L6469" s="27"/>
    </row>
    <row r="6470" spans="1:12">
      <c r="A6470" s="20" t="s">
        <v>1022</v>
      </c>
      <c r="E6470" s="22">
        <f>IF(D6470="?OLD","!!!","")</f>
        <v/>
      </c>
      <c r="F6470" s="23" t="str">
        <f>IF(OR(E6470="",E6470="!!!"),"",IF(NOT(ISNA(VLOOKUP(E6470,E$1:E6469,1,FALSE()))),"OLD",IF(AND(E6470&lt;&gt;"",E6470&lt;&gt;"!!!"),"NEW","")))</f>
        <v> </v>
      </c>
      <c r="G6470" s="24" t="str">
        <f>IF(OR(E6470="",E6470="!!!"),"",IF(OR(J6470=0,AND(J6470=1,K6470=1),AND(J6470=1,I6470="SBJ"),AND(J6470=1,I6470=0)),"?IN_FOCUS",IF(J6470&lt;=2,"?ACTIVATED",IF(J6470&lt;&gt;"","?FAMILIAR",IF(F6470="NEW",IF(ISNA(VLOOKUP(E6470,#REF!,1,FALSE())),"?TYPE_IDENTIFIABLE","?REFERENTIAL"),"_")))))</f>
        <v> </v>
      </c>
      <c r="H6470" s="25" t="str">
        <f>IF(J6470&lt;&gt;1,"",IF(I6470="SBJ","CB","?"))</f>
        <v> </v>
      </c>
      <c r="I6470" s="26" t="str">
        <f>IF(OR(E6470="",E6470="!!!",F6470="NEW"),"",INDEX(B6469:B$2,-1+SUMPRODUCT(MAX(ROW(E6469:E$2)*(E6470=E6469:E$2)))))</f>
        <v> </v>
      </c>
      <c r="J6470" s="26" t="str">
        <f>IF(OR(E6470="",E6470="!!!",F6470="NEW"),"",COUNTBLANK(OFFSET(A$1,,,SUMPRODUCT(MAX(ROW(E$2:E6470)*(E6470=E$2:E6470)))))-COUNTBLANK(OFFSET(A$1,,,SUMPRODUCT(MAX(ROW(E$1:E6469)*(E2=E$1:E6469))))))</f>
        <v> </v>
      </c>
      <c r="K6470" s="26" t="str">
        <f>IF(OR(E6470="",E6470="!!!",F6470="NEW"),"",INDEX(J$1:J6469,SUMPRODUCT(MAX(ROW(E$1:E6469)*(E6470=E$1:E6469)))))</f>
        <v> </v>
      </c>
      <c r="L6470" s="27"/>
    </row>
    <row r="6471" spans="1:12">
      <c r="A6471" s="20" t="s">
        <v>1175</v>
      </c>
      <c r="B6471" s="21" t="s">
        <v>1114</v>
      </c>
      <c r="C6471" s="21" t="s">
        <v>1015</v>
      </c>
      <c r="D6471" s="21" t="s">
        <v>997</v>
      </c>
      <c r="E6471" s="22">
        <f>IF(D6471="?OLD","!!!","")</f>
        <v/>
      </c>
      <c r="F6471" s="23" t="str">
        <f>IF(OR(E6471="",E6471="!!!"),"",IF(NOT(ISNA(VLOOKUP(E6471,E$1:E6470,1,FALSE()))),"OLD",IF(AND(E6471&lt;&gt;"",E6471&lt;&gt;"!!!"),"NEW","")))</f>
        <v> </v>
      </c>
      <c r="G6471" s="24" t="str">
        <f>IF(OR(E6471="",E6471="!!!"),"",IF(OR(J6471=0,AND(J6471=1,K6471=1),AND(J6471=1,I6471="SBJ"),AND(J6471=1,I6471=0)),"?IN_FOCUS",IF(J6471&lt;=2,"?ACTIVATED",IF(J6471&lt;&gt;"","?FAMILIAR",IF(F6471="NEW",IF(ISNA(VLOOKUP(E6471,#REF!,1,FALSE())),"?TYPE_IDENTIFIABLE","?REFERENTIAL"),"_")))))</f>
        <v> </v>
      </c>
      <c r="H6471" s="25" t="str">
        <f>IF(J6471&lt;&gt;1,"",IF(I6471="SBJ","CB","?"))</f>
        <v> </v>
      </c>
      <c r="I6471" s="26" t="str">
        <f>IF(OR(E6471="",E6471="!!!",F6471="NEW"),"",INDEX(B6470:B$2,-1+SUMPRODUCT(MAX(ROW(E6470:E$2)*(E6471=E6470:E$2)))))</f>
        <v> </v>
      </c>
      <c r="J6471" s="26" t="str">
        <f>IF(OR(E6471="",E6471="!!!",F6471="NEW"),"",COUNTBLANK(OFFSET(A$1,,,SUMPRODUCT(MAX(ROW(E$2:E6471)*(E6471=E$2:E6471)))))-COUNTBLANK(OFFSET(A$1,,,SUMPRODUCT(MAX(ROW(E$1:E6470)*(E2=E$1:E6470))))))</f>
        <v> </v>
      </c>
      <c r="K6471" s="26" t="str">
        <f>IF(OR(E6471="",E6471="!!!",F6471="NEW"),"",INDEX(J$1:J6470,SUMPRODUCT(MAX(ROW(E$1:E6470)*(E6471=E$1:E6470)))))</f>
        <v> </v>
      </c>
      <c r="L6471" s="27"/>
    </row>
    <row r="6472" spans="1:12">
      <c r="A6472" s="20" t="s">
        <v>423</v>
      </c>
      <c r="E6472" s="22">
        <f>IF(D6472="?OLD","!!!","")</f>
        <v/>
      </c>
      <c r="F6472" s="23" t="str">
        <f>IF(OR(E6472="",E6472="!!!"),"",IF(NOT(ISNA(VLOOKUP(E6472,E$1:E6471,1,FALSE()))),"OLD",IF(AND(E6472&lt;&gt;"",E6472&lt;&gt;"!!!"),"NEW","")))</f>
        <v> </v>
      </c>
      <c r="G6472" s="24" t="str">
        <f>IF(OR(E6472="",E6472="!!!"),"",IF(OR(J6472=0,AND(J6472=1,K6472=1),AND(J6472=1,I6472="SBJ"),AND(J6472=1,I6472=0)),"?IN_FOCUS",IF(J6472&lt;=2,"?ACTIVATED",IF(J6472&lt;&gt;"","?FAMILIAR",IF(F6472="NEW",IF(ISNA(VLOOKUP(E6472,#REF!,1,FALSE())),"?TYPE_IDENTIFIABLE","?REFERENTIAL"),"_")))))</f>
        <v> </v>
      </c>
      <c r="H6472" s="25" t="str">
        <f>IF(J6472&lt;&gt;1,"",IF(I6472="SBJ","CB","?"))</f>
        <v> </v>
      </c>
      <c r="I6472" s="26" t="str">
        <f>IF(OR(E6472="",E6472="!!!",F6472="NEW"),"",INDEX(B6471:B$2,-1+SUMPRODUCT(MAX(ROW(E6471:E$2)*(E6472=E6471:E$2)))))</f>
        <v> </v>
      </c>
      <c r="J6472" s="26" t="str">
        <f>IF(OR(E6472="",E6472="!!!",F6472="NEW"),"",COUNTBLANK(OFFSET(A$1,,,SUMPRODUCT(MAX(ROW(E$2:E6472)*(E6472=E$2:E6472)))))-COUNTBLANK(OFFSET(A$1,,,SUMPRODUCT(MAX(ROW(E$1:E6471)*(E2=E$1:E6471))))))</f>
        <v> </v>
      </c>
      <c r="K6472" s="26" t="str">
        <f>IF(OR(E6472="",E6472="!!!",F6472="NEW"),"",INDEX(J$1:J6471,SUMPRODUCT(MAX(ROW(E$1:E6471)*(E6472=E$1:E6471)))))</f>
        <v> </v>
      </c>
      <c r="L6472" s="27"/>
    </row>
    <row r="6473" spans="1:12">
      <c r="A6473" s="20" t="s">
        <v>1144</v>
      </c>
      <c r="E6473" s="22">
        <f>IF(D6473="?OLD","!!!","")</f>
        <v/>
      </c>
      <c r="F6473" s="23" t="str">
        <f>IF(OR(E6473="",E6473="!!!"),"",IF(NOT(ISNA(VLOOKUP(E6473,E$1:E6472,1,FALSE()))),"OLD",IF(AND(E6473&lt;&gt;"",E6473&lt;&gt;"!!!"),"NEW","")))</f>
        <v> </v>
      </c>
      <c r="G6473" s="24" t="str">
        <f>IF(OR(E6473="",E6473="!!!"),"",IF(OR(J6473=0,AND(J6473=1,K6473=1),AND(J6473=1,I6473="SBJ"),AND(J6473=1,I6473=0)),"?IN_FOCUS",IF(J6473&lt;=2,"?ACTIVATED",IF(J6473&lt;&gt;"","?FAMILIAR",IF(F6473="NEW",IF(ISNA(VLOOKUP(E6473,#REF!,1,FALSE())),"?TYPE_IDENTIFIABLE","?REFERENTIAL"),"_")))))</f>
        <v> </v>
      </c>
      <c r="H6473" s="25" t="str">
        <f>IF(J6473&lt;&gt;1,"",IF(I6473="SBJ","CB","?"))</f>
        <v> </v>
      </c>
      <c r="I6473" s="26" t="str">
        <f>IF(OR(E6473="",E6473="!!!",F6473="NEW"),"",INDEX(B6472:B$2,-1+SUMPRODUCT(MAX(ROW(E6472:E$2)*(E6473=E6472:E$2)))))</f>
        <v> </v>
      </c>
      <c r="J6473" s="26" t="str">
        <f>IF(OR(E6473="",E6473="!!!",F6473="NEW"),"",COUNTBLANK(OFFSET(A$1,,,SUMPRODUCT(MAX(ROW(E$2:E6473)*(E6473=E$2:E6473)))))-COUNTBLANK(OFFSET(A$1,,,SUMPRODUCT(MAX(ROW(E$1:E6472)*(E2=E$1:E6472))))))</f>
        <v> </v>
      </c>
      <c r="K6473" s="26" t="str">
        <f>IF(OR(E6473="",E6473="!!!",F6473="NEW"),"",INDEX(J$1:J6472,SUMPRODUCT(MAX(ROW(E$1:E6472)*(E6473=E$1:E6472)))))</f>
        <v> </v>
      </c>
      <c r="L6473" s="27"/>
    </row>
    <row r="6474" spans="1:12">
      <c r="A6474" s="20" t="s">
        <v>2603</v>
      </c>
      <c r="B6474" s="21" t="s">
        <v>1010</v>
      </c>
      <c r="C6474" s="21" t="s">
        <v>1089</v>
      </c>
      <c r="E6474" s="22">
        <f>IF(D6474="?OLD","!!!","")</f>
        <v/>
      </c>
      <c r="F6474" s="23" t="str">
        <f>IF(OR(E6474="",E6474="!!!"),"",IF(NOT(ISNA(VLOOKUP(E6474,E$1:E6473,1,FALSE()))),"OLD",IF(AND(E6474&lt;&gt;"",E6474&lt;&gt;"!!!"),"NEW","")))</f>
        <v> </v>
      </c>
      <c r="G6474" s="24" t="str">
        <f>IF(OR(E6474="",E6474="!!!"),"",IF(OR(J6474=0,AND(J6474=1,K6474=1),AND(J6474=1,I6474="SBJ"),AND(J6474=1,I6474=0)),"?IN_FOCUS",IF(J6474&lt;=2,"?ACTIVATED",IF(J6474&lt;&gt;"","?FAMILIAR",IF(F6474="NEW",IF(ISNA(VLOOKUP(E6474,#REF!,1,FALSE())),"?TYPE_IDENTIFIABLE","?REFERENTIAL"),"_")))))</f>
        <v> </v>
      </c>
      <c r="H6474" s="25" t="str">
        <f>IF(J6474&lt;&gt;1,"",IF(I6474="SBJ","CB","?"))</f>
        <v> </v>
      </c>
      <c r="I6474" s="26" t="str">
        <f>IF(OR(E6474="",E6474="!!!",F6474="NEW"),"",INDEX(B6473:B$2,-1+SUMPRODUCT(MAX(ROW(E6473:E$2)*(E6474=E6473:E$2)))))</f>
        <v> </v>
      </c>
      <c r="J6474" s="26" t="str">
        <f>IF(OR(E6474="",E6474="!!!",F6474="NEW"),"",COUNTBLANK(OFFSET(A$1,,,SUMPRODUCT(MAX(ROW(E$2:E6474)*(E6474=E$2:E6474)))))-COUNTBLANK(OFFSET(A$1,,,SUMPRODUCT(MAX(ROW(E$1:E6473)*(E2=E$1:E6473))))))</f>
        <v> </v>
      </c>
      <c r="K6474" s="26" t="str">
        <f>IF(OR(E6474="",E6474="!!!",F6474="NEW"),"",INDEX(J$1:J6473,SUMPRODUCT(MAX(ROW(E$1:E6473)*(E6474=E$1:E6473)))))</f>
        <v> </v>
      </c>
      <c r="L6474" s="27"/>
    </row>
    <row r="6475" spans="1:12">
      <c r="A6475" s="20" t="s">
        <v>1104</v>
      </c>
      <c r="E6475" s="22">
        <f>IF(D6475="?OLD","!!!","")</f>
        <v/>
      </c>
      <c r="F6475" s="23" t="str">
        <f>IF(OR(E6475="",E6475="!!!"),"",IF(NOT(ISNA(VLOOKUP(E6475,E$1:E6474,1,FALSE()))),"OLD",IF(AND(E6475&lt;&gt;"",E6475&lt;&gt;"!!!"),"NEW","")))</f>
        <v> </v>
      </c>
      <c r="G6475" s="24" t="str">
        <f>IF(OR(E6475="",E6475="!!!"),"",IF(OR(J6475=0,AND(J6475=1,K6475=1),AND(J6475=1,I6475="SBJ"),AND(J6475=1,I6475=0)),"?IN_FOCUS",IF(J6475&lt;=2,"?ACTIVATED",IF(J6475&lt;&gt;"","?FAMILIAR",IF(F6475="NEW",IF(ISNA(VLOOKUP(E6475,#REF!,1,FALSE())),"?TYPE_IDENTIFIABLE","?REFERENTIAL"),"_")))))</f>
        <v> </v>
      </c>
      <c r="H6475" s="25" t="str">
        <f>IF(J6475&lt;&gt;1,"",IF(I6475="SBJ","CB","?"))</f>
        <v> </v>
      </c>
      <c r="I6475" s="26" t="str">
        <f>IF(OR(E6475="",E6475="!!!",F6475="NEW"),"",INDEX(B6474:B$2,-1+SUMPRODUCT(MAX(ROW(E6474:E$2)*(E6475=E6474:E$2)))))</f>
        <v> </v>
      </c>
      <c r="J6475" s="26" t="str">
        <f>IF(OR(E6475="",E6475="!!!",F6475="NEW"),"",COUNTBLANK(OFFSET(A$1,,,SUMPRODUCT(MAX(ROW(E$2:E6475)*(E6475=E$2:E6475)))))-COUNTBLANK(OFFSET(A$1,,,SUMPRODUCT(MAX(ROW(E$1:E6474)*(E2=E$1:E6474))))))</f>
        <v> </v>
      </c>
      <c r="K6475" s="26" t="str">
        <f>IF(OR(E6475="",E6475="!!!",F6475="NEW"),"",INDEX(J$1:J6474,SUMPRODUCT(MAX(ROW(E$1:E6474)*(E6475=E$1:E6474)))))</f>
        <v> </v>
      </c>
      <c r="L6475" s="27"/>
    </row>
    <row r="6476" spans="1:12">
      <c r="A6476" s="20" t="s">
        <v>2604</v>
      </c>
      <c r="E6476" s="22">
        <f>IF(D6476="?OLD","!!!","")</f>
        <v/>
      </c>
      <c r="F6476" s="23" t="str">
        <f>IF(OR(E6476="",E6476="!!!"),"",IF(NOT(ISNA(VLOOKUP(E6476,E$1:E6475,1,FALSE()))),"OLD",IF(AND(E6476&lt;&gt;"",E6476&lt;&gt;"!!!"),"NEW","")))</f>
        <v> </v>
      </c>
      <c r="G6476" s="24" t="str">
        <f>IF(OR(E6476="",E6476="!!!"),"",IF(OR(J6476=0,AND(J6476=1,K6476=1),AND(J6476=1,I6476="SBJ"),AND(J6476=1,I6476=0)),"?IN_FOCUS",IF(J6476&lt;=2,"?ACTIVATED",IF(J6476&lt;&gt;"","?FAMILIAR",IF(F6476="NEW",IF(ISNA(VLOOKUP(E6476,#REF!,1,FALSE())),"?TYPE_IDENTIFIABLE","?REFERENTIAL"),"_")))))</f>
        <v> </v>
      </c>
      <c r="H6476" s="25" t="str">
        <f>IF(J6476&lt;&gt;1,"",IF(I6476="SBJ","CB","?"))</f>
        <v> </v>
      </c>
      <c r="I6476" s="26" t="str">
        <f>IF(OR(E6476="",E6476="!!!",F6476="NEW"),"",INDEX(B6475:B$2,-1+SUMPRODUCT(MAX(ROW(E6475:E$2)*(E6476=E6475:E$2)))))</f>
        <v> </v>
      </c>
      <c r="J6476" s="26" t="str">
        <f>IF(OR(E6476="",E6476="!!!",F6476="NEW"),"",COUNTBLANK(OFFSET(A$1,,,SUMPRODUCT(MAX(ROW(E$2:E6476)*(E6476=E$2:E6476)))))-COUNTBLANK(OFFSET(A$1,,,SUMPRODUCT(MAX(ROW(E$1:E6475)*(E2=E$1:E6475))))))</f>
        <v> </v>
      </c>
      <c r="K6476" s="26" t="str">
        <f>IF(OR(E6476="",E6476="!!!",F6476="NEW"),"",INDEX(J$1:J6475,SUMPRODUCT(MAX(ROW(E$1:E6475)*(E6476=E$1:E6475)))))</f>
        <v> </v>
      </c>
      <c r="L6476" s="27"/>
    </row>
    <row r="6477" spans="1:12">
      <c r="A6477" s="20" t="s">
        <v>1041</v>
      </c>
      <c r="E6477" s="22">
        <f>IF(D6477="?OLD","!!!","")</f>
        <v/>
      </c>
      <c r="F6477" s="23" t="str">
        <f>IF(OR(E6477="",E6477="!!!"),"",IF(NOT(ISNA(VLOOKUP(E6477,E$1:E6476,1,FALSE()))),"OLD",IF(AND(E6477&lt;&gt;"",E6477&lt;&gt;"!!!"),"NEW","")))</f>
        <v> </v>
      </c>
      <c r="G6477" s="24" t="str">
        <f>IF(OR(E6477="",E6477="!!!"),"",IF(OR(J6477=0,AND(J6477=1,K6477=1),AND(J6477=1,I6477="SBJ"),AND(J6477=1,I6477=0)),"?IN_FOCUS",IF(J6477&lt;=2,"?ACTIVATED",IF(J6477&lt;&gt;"","?FAMILIAR",IF(F6477="NEW",IF(ISNA(VLOOKUP(E6477,#REF!,1,FALSE())),"?TYPE_IDENTIFIABLE","?REFERENTIAL"),"_")))))</f>
        <v> </v>
      </c>
      <c r="H6477" s="25" t="str">
        <f>IF(J6477&lt;&gt;1,"",IF(I6477="SBJ","CB","?"))</f>
        <v> </v>
      </c>
      <c r="I6477" s="26" t="str">
        <f>IF(OR(E6477="",E6477="!!!",F6477="NEW"),"",INDEX(B6476:B$2,-1+SUMPRODUCT(MAX(ROW(E6476:E$2)*(E6477=E6476:E$2)))))</f>
        <v> </v>
      </c>
      <c r="J6477" s="26" t="str">
        <f>IF(OR(E6477="",E6477="!!!",F6477="NEW"),"",COUNTBLANK(OFFSET(A$1,,,SUMPRODUCT(MAX(ROW(E$2:E6477)*(E6477=E$2:E6477)))))-COUNTBLANK(OFFSET(A$1,,,SUMPRODUCT(MAX(ROW(E$1:E6476)*(E2=E$1:E6476))))))</f>
        <v> </v>
      </c>
      <c r="K6477" s="26" t="str">
        <f>IF(OR(E6477="",E6477="!!!",F6477="NEW"),"",INDEX(J$1:J6476,SUMPRODUCT(MAX(ROW(E$1:E6476)*(E6477=E$1:E6476)))))</f>
        <v> </v>
      </c>
      <c r="L6477" s="27"/>
    </row>
    <row r="6478" spans="1:12">
      <c r="A6478" s="20" t="s">
        <v>1230</v>
      </c>
      <c r="E6478" s="22">
        <f>IF(D6478="?OLD","!!!","")</f>
        <v/>
      </c>
      <c r="F6478" s="23" t="str">
        <f>IF(OR(E6478="",E6478="!!!"),"",IF(NOT(ISNA(VLOOKUP(E6478,E$1:E6477,1,FALSE()))),"OLD",IF(AND(E6478&lt;&gt;"",E6478&lt;&gt;"!!!"),"NEW","")))</f>
        <v> </v>
      </c>
      <c r="G6478" s="24" t="str">
        <f>IF(OR(E6478="",E6478="!!!"),"",IF(OR(J6478=0,AND(J6478=1,K6478=1),AND(J6478=1,I6478="SBJ"),AND(J6478=1,I6478=0)),"?IN_FOCUS",IF(J6478&lt;=2,"?ACTIVATED",IF(J6478&lt;&gt;"","?FAMILIAR",IF(F6478="NEW",IF(ISNA(VLOOKUP(E6478,#REF!,1,FALSE())),"?TYPE_IDENTIFIABLE","?REFERENTIAL"),"_")))))</f>
        <v> </v>
      </c>
      <c r="H6478" s="25" t="str">
        <f>IF(J6478&lt;&gt;1,"",IF(I6478="SBJ","CB","?"))</f>
        <v> </v>
      </c>
      <c r="I6478" s="26" t="str">
        <f>IF(OR(E6478="",E6478="!!!",F6478="NEW"),"",INDEX(B6477:B$2,-1+SUMPRODUCT(MAX(ROW(E6477:E$2)*(E6478=E6477:E$2)))))</f>
        <v> </v>
      </c>
      <c r="J6478" s="26" t="str">
        <f>IF(OR(E6478="",E6478="!!!",F6478="NEW"),"",COUNTBLANK(OFFSET(A$1,,,SUMPRODUCT(MAX(ROW(E$2:E6478)*(E6478=E$2:E6478)))))-COUNTBLANK(OFFSET(A$1,,,SUMPRODUCT(MAX(ROW(E$1:E6477)*(E2=E$1:E6477))))))</f>
        <v> </v>
      </c>
      <c r="K6478" s="26" t="str">
        <f>IF(OR(E6478="",E6478="!!!",F6478="NEW"),"",INDEX(J$1:J6477,SUMPRODUCT(MAX(ROW(E$1:E6477)*(E6478=E$1:E6477)))))</f>
        <v> </v>
      </c>
      <c r="L6478" s="27"/>
    </row>
    <row r="6479" spans="1:12">
      <c r="A6479" s="20" t="s">
        <v>1041</v>
      </c>
      <c r="E6479" s="22">
        <f>IF(D6479="?OLD","!!!","")</f>
        <v/>
      </c>
      <c r="F6479" s="23" t="str">
        <f>IF(OR(E6479="",E6479="!!!"),"",IF(NOT(ISNA(VLOOKUP(E6479,E$1:E6478,1,FALSE()))),"OLD",IF(AND(E6479&lt;&gt;"",E6479&lt;&gt;"!!!"),"NEW","")))</f>
        <v> </v>
      </c>
      <c r="G6479" s="24" t="str">
        <f>IF(OR(E6479="",E6479="!!!"),"",IF(OR(J6479=0,AND(J6479=1,K6479=1),AND(J6479=1,I6479="SBJ"),AND(J6479=1,I6479=0)),"?IN_FOCUS",IF(J6479&lt;=2,"?ACTIVATED",IF(J6479&lt;&gt;"","?FAMILIAR",IF(F6479="NEW",IF(ISNA(VLOOKUP(E6479,#REF!,1,FALSE())),"?TYPE_IDENTIFIABLE","?REFERENTIAL"),"_")))))</f>
        <v> </v>
      </c>
      <c r="H6479" s="25" t="str">
        <f>IF(J6479&lt;&gt;1,"",IF(I6479="SBJ","CB","?"))</f>
        <v> </v>
      </c>
      <c r="I6479" s="26" t="str">
        <f>IF(OR(E6479="",E6479="!!!",F6479="NEW"),"",INDEX(B6478:B$2,-1+SUMPRODUCT(MAX(ROW(E6478:E$2)*(E6479=E6478:E$2)))))</f>
        <v> </v>
      </c>
      <c r="J6479" s="26" t="str">
        <f>IF(OR(E6479="",E6479="!!!",F6479="NEW"),"",COUNTBLANK(OFFSET(A$1,,,SUMPRODUCT(MAX(ROW(E$2:E6479)*(E6479=E$2:E6479)))))-COUNTBLANK(OFFSET(A$1,,,SUMPRODUCT(MAX(ROW(E$1:E6478)*(E2=E$1:E6478))))))</f>
        <v> </v>
      </c>
      <c r="K6479" s="26" t="str">
        <f>IF(OR(E6479="",E6479="!!!",F6479="NEW"),"",INDEX(J$1:J6478,SUMPRODUCT(MAX(ROW(E$1:E6478)*(E6479=E$1:E6478)))))</f>
        <v> </v>
      </c>
      <c r="L6479" s="27"/>
    </row>
    <row r="6480" spans="1:12">
      <c r="A6480" s="20" t="s">
        <v>1083</v>
      </c>
      <c r="B6480" s="21" t="s">
        <v>1045</v>
      </c>
      <c r="C6480" s="21" t="s">
        <v>996</v>
      </c>
      <c r="D6480" s="21" t="s">
        <v>997</v>
      </c>
      <c r="E6480" s="22">
        <f>IF(D6480="?OLD","!!!","")</f>
        <v/>
      </c>
      <c r="F6480" s="23" t="str">
        <f>IF(OR(E6480="",E6480="!!!"),"",IF(NOT(ISNA(VLOOKUP(E6480,E$1:E6479,1,FALSE()))),"OLD",IF(AND(E6480&lt;&gt;"",E6480&lt;&gt;"!!!"),"NEW","")))</f>
        <v> </v>
      </c>
      <c r="G6480" s="24" t="str">
        <f>IF(OR(E6480="",E6480="!!!"),"",IF(OR(J6480=0,AND(J6480=1,K6480=1),AND(J6480=1,I6480="SBJ"),AND(J6480=1,I6480=0)),"?IN_FOCUS",IF(J6480&lt;=2,"?ACTIVATED",IF(J6480&lt;&gt;"","?FAMILIAR",IF(F6480="NEW",IF(ISNA(VLOOKUP(E6480,#REF!,1,FALSE())),"?TYPE_IDENTIFIABLE","?REFERENTIAL"),"_")))))</f>
        <v> </v>
      </c>
      <c r="H6480" s="25" t="str">
        <f>IF(J6480&lt;&gt;1,"",IF(I6480="SBJ","CB","?"))</f>
        <v> </v>
      </c>
      <c r="I6480" s="26" t="str">
        <f>IF(OR(E6480="",E6480="!!!",F6480="NEW"),"",INDEX(B6479:B$2,-1+SUMPRODUCT(MAX(ROW(E6479:E$2)*(E6480=E6479:E$2)))))</f>
        <v> </v>
      </c>
      <c r="J6480" s="26" t="str">
        <f>IF(OR(E6480="",E6480="!!!",F6480="NEW"),"",COUNTBLANK(OFFSET(A$1,,,SUMPRODUCT(MAX(ROW(E$2:E6480)*(E6480=E$2:E6480)))))-COUNTBLANK(OFFSET(A$1,,,SUMPRODUCT(MAX(ROW(E$1:E6479)*(E2=E$1:E6479))))))</f>
        <v> </v>
      </c>
      <c r="K6480" s="26" t="str">
        <f>IF(OR(E6480="",E6480="!!!",F6480="NEW"),"",INDEX(J$1:J6479,SUMPRODUCT(MAX(ROW(E$1:E6479)*(E6480=E$1:E6479)))))</f>
        <v> </v>
      </c>
      <c r="L6480" s="27"/>
    </row>
    <row r="6481" spans="1:12">
      <c r="A6481" s="20" t="s">
        <v>2605</v>
      </c>
      <c r="E6481" s="22">
        <f>IF(D6481="?OLD","!!!","")</f>
        <v/>
      </c>
      <c r="F6481" s="23" t="str">
        <f>IF(OR(E6481="",E6481="!!!"),"",IF(NOT(ISNA(VLOOKUP(E6481,E$1:E6480,1,FALSE()))),"OLD",IF(AND(E6481&lt;&gt;"",E6481&lt;&gt;"!!!"),"NEW","")))</f>
        <v> </v>
      </c>
      <c r="G6481" s="24" t="str">
        <f>IF(OR(E6481="",E6481="!!!"),"",IF(OR(J6481=0,AND(J6481=1,K6481=1),AND(J6481=1,I6481="SBJ"),AND(J6481=1,I6481=0)),"?IN_FOCUS",IF(J6481&lt;=2,"?ACTIVATED",IF(J6481&lt;&gt;"","?FAMILIAR",IF(F6481="NEW",IF(ISNA(VLOOKUP(E6481,#REF!,1,FALSE())),"?TYPE_IDENTIFIABLE","?REFERENTIAL"),"_")))))</f>
        <v> </v>
      </c>
      <c r="H6481" s="25" t="str">
        <f>IF(J6481&lt;&gt;1,"",IF(I6481="SBJ","CB","?"))</f>
        <v> </v>
      </c>
      <c r="I6481" s="26" t="str">
        <f>IF(OR(E6481="",E6481="!!!",F6481="NEW"),"",INDEX(B6480:B$2,-1+SUMPRODUCT(MAX(ROW(E6480:E$2)*(E6481=E6480:E$2)))))</f>
        <v> </v>
      </c>
      <c r="J6481" s="26" t="str">
        <f>IF(OR(E6481="",E6481="!!!",F6481="NEW"),"",COUNTBLANK(OFFSET(A$1,,,SUMPRODUCT(MAX(ROW(E$2:E6481)*(E6481=E$2:E6481)))))-COUNTBLANK(OFFSET(A$1,,,SUMPRODUCT(MAX(ROW(E$1:E6480)*(E2=E$1:E6480))))))</f>
        <v> </v>
      </c>
      <c r="K6481" s="26" t="str">
        <f>IF(OR(E6481="",E6481="!!!",F6481="NEW"),"",INDEX(J$1:J6480,SUMPRODUCT(MAX(ROW(E$1:E6480)*(E6481=E$1:E6480)))))</f>
        <v> </v>
      </c>
      <c r="L6481" s="27"/>
    </row>
    <row r="6482" spans="1:12">
      <c r="A6482" s="20" t="s">
        <v>1196</v>
      </c>
      <c r="B6482" s="21" t="s">
        <v>1182</v>
      </c>
      <c r="C6482" s="21" t="s">
        <v>1025</v>
      </c>
      <c r="D6482" s="21" t="s">
        <v>997</v>
      </c>
      <c r="E6482" s="22">
        <f>IF(D6482="?OLD","!!!","")</f>
        <v/>
      </c>
      <c r="F6482" s="23" t="str">
        <f>IF(OR(E6482="",E6482="!!!"),"",IF(NOT(ISNA(VLOOKUP(E6482,E$1:E6481,1,FALSE()))),"OLD",IF(AND(E6482&lt;&gt;"",E6482&lt;&gt;"!!!"),"NEW","")))</f>
        <v> </v>
      </c>
      <c r="G6482" s="24" t="str">
        <f>IF(OR(E6482="",E6482="!!!"),"",IF(OR(J6482=0,AND(J6482=1,K6482=1),AND(J6482=1,I6482="SBJ"),AND(J6482=1,I6482=0)),"?IN_FOCUS",IF(J6482&lt;=2,"?ACTIVATED",IF(J6482&lt;&gt;"","?FAMILIAR",IF(F6482="NEW",IF(ISNA(VLOOKUP(E6482,#REF!,1,FALSE())),"?TYPE_IDENTIFIABLE","?REFERENTIAL"),"_")))))</f>
        <v> </v>
      </c>
      <c r="H6482" s="25" t="str">
        <f>IF(J6482&lt;&gt;1,"",IF(I6482="SBJ","CB","?"))</f>
        <v> </v>
      </c>
      <c r="I6482" s="26" t="str">
        <f>IF(OR(E6482="",E6482="!!!",F6482="NEW"),"",INDEX(B6481:B$2,-1+SUMPRODUCT(MAX(ROW(E6481:E$2)*(E6482=E6481:E$2)))))</f>
        <v> </v>
      </c>
      <c r="J6482" s="26" t="str">
        <f>IF(OR(E6482="",E6482="!!!",F6482="NEW"),"",COUNTBLANK(OFFSET(A$1,,,SUMPRODUCT(MAX(ROW(E$2:E6482)*(E6482=E$2:E6482)))))-COUNTBLANK(OFFSET(A$1,,,SUMPRODUCT(MAX(ROW(E$1:E6481)*(E2=E$1:E6481))))))</f>
        <v> </v>
      </c>
      <c r="K6482" s="26" t="str">
        <f>IF(OR(E6482="",E6482="!!!",F6482="NEW"),"",INDEX(J$1:J6481,SUMPRODUCT(MAX(ROW(E$1:E6481)*(E6482=E$1:E6481)))))</f>
        <v> </v>
      </c>
      <c r="L6482" s="27"/>
    </row>
    <row r="6483" spans="1:12">
      <c r="A6483" s="20" t="s">
        <v>2592</v>
      </c>
      <c r="B6483" s="21" t="s">
        <v>1301</v>
      </c>
      <c r="C6483" s="21" t="s">
        <v>1028</v>
      </c>
      <c r="D6483" s="21" t="s">
        <v>997</v>
      </c>
      <c r="E6483" s="22">
        <f>IF(D6483="?OLD","!!!","")</f>
        <v/>
      </c>
      <c r="F6483" s="23" t="str">
        <f>IF(OR(E6483="",E6483="!!!"),"",IF(NOT(ISNA(VLOOKUP(E6483,E$1:E6482,1,FALSE()))),"OLD",IF(AND(E6483&lt;&gt;"",E6483&lt;&gt;"!!!"),"NEW","")))</f>
        <v> </v>
      </c>
      <c r="G6483" s="24" t="str">
        <f>IF(OR(E6483="",E6483="!!!"),"",IF(OR(J6483=0,AND(J6483=1,K6483=1),AND(J6483=1,I6483="SBJ"),AND(J6483=1,I6483=0)),"?IN_FOCUS",IF(J6483&lt;=2,"?ACTIVATED",IF(J6483&lt;&gt;"","?FAMILIAR",IF(F6483="NEW",IF(ISNA(VLOOKUP(E6483,#REF!,1,FALSE())),"?TYPE_IDENTIFIABLE","?REFERENTIAL"),"_")))))</f>
        <v> </v>
      </c>
      <c r="H6483" s="25" t="str">
        <f>IF(J6483&lt;&gt;1,"",IF(I6483="SBJ","CB","?"))</f>
        <v> </v>
      </c>
      <c r="I6483" s="26" t="str">
        <f>IF(OR(E6483="",E6483="!!!",F6483="NEW"),"",INDEX(B6482:B$2,-1+SUMPRODUCT(MAX(ROW(E6482:E$2)*(E6483=E6482:E$2)))))</f>
        <v> </v>
      </c>
      <c r="J6483" s="26" t="str">
        <f>IF(OR(E6483="",E6483="!!!",F6483="NEW"),"",COUNTBLANK(OFFSET(A$1,,,SUMPRODUCT(MAX(ROW(E$2:E6483)*(E6483=E$2:E6483)))))-COUNTBLANK(OFFSET(A$1,,,SUMPRODUCT(MAX(ROW(E$1:E6482)*(E2=E$1:E6482))))))</f>
        <v> </v>
      </c>
      <c r="K6483" s="26" t="str">
        <f>IF(OR(E6483="",E6483="!!!",F6483="NEW"),"",INDEX(J$1:J6482,SUMPRODUCT(MAX(ROW(E$1:E6482)*(E6483=E$1:E6482)))))</f>
        <v> </v>
      </c>
      <c r="L6483" s="27"/>
    </row>
    <row r="6484" spans="1:12">
      <c r="A6484" s="20" t="s">
        <v>1008</v>
      </c>
      <c r="E6484" s="22">
        <f>IF(D6484="?OLD","!!!","")</f>
        <v/>
      </c>
      <c r="F6484" s="23" t="str">
        <f>IF(OR(E6484="",E6484="!!!"),"",IF(NOT(ISNA(VLOOKUP(E6484,E$1:E6483,1,FALSE()))),"OLD",IF(AND(E6484&lt;&gt;"",E6484&lt;&gt;"!!!"),"NEW","")))</f>
        <v> </v>
      </c>
      <c r="G6484" s="24" t="str">
        <f>IF(OR(E6484="",E6484="!!!"),"",IF(OR(J6484=0,AND(J6484=1,K6484=1),AND(J6484=1,I6484="SBJ"),AND(J6484=1,I6484=0)),"?IN_FOCUS",IF(J6484&lt;=2,"?ACTIVATED",IF(J6484&lt;&gt;"","?FAMILIAR",IF(F6484="NEW",IF(ISNA(VLOOKUP(E6484,#REF!,1,FALSE())),"?TYPE_IDENTIFIABLE","?REFERENTIAL"),"_")))))</f>
        <v> </v>
      </c>
      <c r="H6484" s="25" t="str">
        <f>IF(J6484&lt;&gt;1,"",IF(I6484="SBJ","CB","?"))</f>
        <v> </v>
      </c>
      <c r="I6484" s="26" t="str">
        <f>IF(OR(E6484="",E6484="!!!",F6484="NEW"),"",INDEX(B6483:B$2,-1+SUMPRODUCT(MAX(ROW(E6483:E$2)*(E6484=E6483:E$2)))))</f>
        <v> </v>
      </c>
      <c r="J6484" s="26" t="str">
        <f>IF(OR(E6484="",E6484="!!!",F6484="NEW"),"",COUNTBLANK(OFFSET(A$1,,,SUMPRODUCT(MAX(ROW(E$2:E6484)*(E6484=E$2:E6484)))))-COUNTBLANK(OFFSET(A$1,,,SUMPRODUCT(MAX(ROW(E$1:E6483)*(E2=E$1:E6483))))))</f>
        <v> </v>
      </c>
      <c r="K6484" s="26" t="str">
        <f>IF(OR(E6484="",E6484="!!!",F6484="NEW"),"",INDEX(J$1:J6483,SUMPRODUCT(MAX(ROW(E$1:E6483)*(E6484=E$1:E6483)))))</f>
        <v> </v>
      </c>
      <c r="L6484" s="27"/>
    </row>
    <row r="6485" spans="1:12">
      <c r="A6485" s="20" t="s">
        <v>2596</v>
      </c>
      <c r="B6485" s="21" t="s">
        <v>1182</v>
      </c>
      <c r="C6485" s="21" t="s">
        <v>1095</v>
      </c>
      <c r="D6485" s="21" t="s">
        <v>997</v>
      </c>
      <c r="E6485" s="22">
        <f>IF(D6485="?OLD","!!!","")</f>
        <v/>
      </c>
      <c r="F6485" s="23" t="str">
        <f>IF(OR(E6485="",E6485="!!!"),"",IF(NOT(ISNA(VLOOKUP(E6485,E$1:E6484,1,FALSE()))),"OLD",IF(AND(E6485&lt;&gt;"",E6485&lt;&gt;"!!!"),"NEW","")))</f>
        <v> </v>
      </c>
      <c r="G6485" s="24" t="str">
        <f>IF(OR(E6485="",E6485="!!!"),"",IF(OR(J6485=0,AND(J6485=1,K6485=1),AND(J6485=1,I6485="SBJ"),AND(J6485=1,I6485=0)),"?IN_FOCUS",IF(J6485&lt;=2,"?ACTIVATED",IF(J6485&lt;&gt;"","?FAMILIAR",IF(F6485="NEW",IF(ISNA(VLOOKUP(E6485,#REF!,1,FALSE())),"?TYPE_IDENTIFIABLE","?REFERENTIAL"),"_")))))</f>
        <v> </v>
      </c>
      <c r="H6485" s="25" t="str">
        <f>IF(J6485&lt;&gt;1,"",IF(I6485="SBJ","CB","?"))</f>
        <v> </v>
      </c>
      <c r="I6485" s="26" t="str">
        <f>IF(OR(E6485="",E6485="!!!",F6485="NEW"),"",INDEX(B6484:B$2,-1+SUMPRODUCT(MAX(ROW(E6484:E$2)*(E6485=E6484:E$2)))))</f>
        <v> </v>
      </c>
      <c r="J6485" s="26" t="str">
        <f>IF(OR(E6485="",E6485="!!!",F6485="NEW"),"",COUNTBLANK(OFFSET(A$1,,,SUMPRODUCT(MAX(ROW(E$2:E6485)*(E6485=E$2:E6485)))))-COUNTBLANK(OFFSET(A$1,,,SUMPRODUCT(MAX(ROW(E$1:E6484)*(E2=E$1:E6484))))))</f>
        <v> </v>
      </c>
      <c r="K6485" s="26" t="str">
        <f>IF(OR(E6485="",E6485="!!!",F6485="NEW"),"",INDEX(J$1:J6484,SUMPRODUCT(MAX(ROW(E$1:E6484)*(E6485=E$1:E6484)))))</f>
        <v> </v>
      </c>
      <c r="L6485" s="27"/>
    </row>
    <row r="6486" spans="1:12">
      <c r="A6486" s="20" t="s">
        <v>2606</v>
      </c>
      <c r="B6486" s="21" t="s">
        <v>1092</v>
      </c>
      <c r="C6486" s="21" t="s">
        <v>1095</v>
      </c>
      <c r="D6486" s="21" t="s">
        <v>997</v>
      </c>
      <c r="E6486" s="22">
        <f>IF(D6486="?OLD","!!!","")</f>
        <v/>
      </c>
      <c r="F6486" s="23" t="str">
        <f>IF(OR(E6486="",E6486="!!!"),"",IF(NOT(ISNA(VLOOKUP(E6486,E$1:E6485,1,FALSE()))),"OLD",IF(AND(E6486&lt;&gt;"",E6486&lt;&gt;"!!!"),"NEW","")))</f>
        <v> </v>
      </c>
      <c r="G6486" s="24" t="str">
        <f>IF(OR(E6486="",E6486="!!!"),"",IF(OR(J6486=0,AND(J6486=1,K6486=1),AND(J6486=1,I6486="SBJ"),AND(J6486=1,I6486=0)),"?IN_FOCUS",IF(J6486&lt;=2,"?ACTIVATED",IF(J6486&lt;&gt;"","?FAMILIAR",IF(F6486="NEW",IF(ISNA(VLOOKUP(E6486,#REF!,1,FALSE())),"?TYPE_IDENTIFIABLE","?REFERENTIAL"),"_")))))</f>
        <v> </v>
      </c>
      <c r="H6486" s="25" t="str">
        <f>IF(J6486&lt;&gt;1,"",IF(I6486="SBJ","CB","?"))</f>
        <v> </v>
      </c>
      <c r="I6486" s="26" t="str">
        <f>IF(OR(E6486="",E6486="!!!",F6486="NEW"),"",INDEX(B6485:B$2,-1+SUMPRODUCT(MAX(ROW(E6485:E$2)*(E6486=E6485:E$2)))))</f>
        <v> </v>
      </c>
      <c r="J6486" s="26" t="str">
        <f>IF(OR(E6486="",E6486="!!!",F6486="NEW"),"",COUNTBLANK(OFFSET(A$1,,,SUMPRODUCT(MAX(ROW(E$2:E6486)*(E6486=E$2:E6486)))))-COUNTBLANK(OFFSET(A$1,,,SUMPRODUCT(MAX(ROW(E$1:E6485)*(E2=E$1:E6485))))))</f>
        <v> </v>
      </c>
      <c r="K6486" s="26" t="str">
        <f>IF(OR(E6486="",E6486="!!!",F6486="NEW"),"",INDEX(J$1:J6485,SUMPRODUCT(MAX(ROW(E$1:E6485)*(E6486=E$1:E6485)))))</f>
        <v> </v>
      </c>
      <c r="L6486" s="27"/>
    </row>
    <row r="6487" spans="1:12">
      <c r="A6487" s="20" t="s">
        <v>1059</v>
      </c>
      <c r="E6487" s="22">
        <f>IF(D6487="?OLD","!!!","")</f>
        <v/>
      </c>
      <c r="F6487" s="23" t="str">
        <f>IF(OR(E6487="",E6487="!!!"),"",IF(NOT(ISNA(VLOOKUP(E6487,E$1:E6486,1,FALSE()))),"OLD",IF(AND(E6487&lt;&gt;"",E6487&lt;&gt;"!!!"),"NEW","")))</f>
        <v> </v>
      </c>
      <c r="G6487" s="24" t="str">
        <f>IF(OR(E6487="",E6487="!!!"),"",IF(OR(J6487=0,AND(J6487=1,K6487=1),AND(J6487=1,I6487="SBJ"),AND(J6487=1,I6487=0)),"?IN_FOCUS",IF(J6487&lt;=2,"?ACTIVATED",IF(J6487&lt;&gt;"","?FAMILIAR",IF(F6487="NEW",IF(ISNA(VLOOKUP(E6487,#REF!,1,FALSE())),"?TYPE_IDENTIFIABLE","?REFERENTIAL"),"_")))))</f>
        <v> </v>
      </c>
      <c r="H6487" s="25" t="str">
        <f>IF(J6487&lt;&gt;1,"",IF(I6487="SBJ","CB","?"))</f>
        <v> </v>
      </c>
      <c r="I6487" s="26" t="str">
        <f>IF(OR(E6487="",E6487="!!!",F6487="NEW"),"",INDEX(B6486:B$2,-1+SUMPRODUCT(MAX(ROW(E6486:E$2)*(E6487=E6486:E$2)))))</f>
        <v> </v>
      </c>
      <c r="J6487" s="26" t="str">
        <f>IF(OR(E6487="",E6487="!!!",F6487="NEW"),"",COUNTBLANK(OFFSET(A$1,,,SUMPRODUCT(MAX(ROW(E$2:E6487)*(E6487=E$2:E6487)))))-COUNTBLANK(OFFSET(A$1,,,SUMPRODUCT(MAX(ROW(E$1:E6486)*(E2=E$1:E6486))))))</f>
        <v> </v>
      </c>
      <c r="K6487" s="26" t="str">
        <f>IF(OR(E6487="",E6487="!!!",F6487="NEW"),"",INDEX(J$1:J6486,SUMPRODUCT(MAX(ROW(E$1:E6486)*(E6487=E$1:E6486)))))</f>
        <v> </v>
      </c>
      <c r="L6487" s="27"/>
    </row>
    <row r="6488" spans="1:12">
      <c r="A6488" s="20" t="s">
        <v>2607</v>
      </c>
      <c r="B6488" s="21" t="s">
        <v>1709</v>
      </c>
      <c r="C6488" s="21" t="s">
        <v>1006</v>
      </c>
      <c r="E6488" s="22">
        <f>IF(D6488="?OLD","!!!","")</f>
        <v/>
      </c>
      <c r="F6488" s="23" t="str">
        <f>IF(OR(E6488="",E6488="!!!"),"",IF(NOT(ISNA(VLOOKUP(E6488,E$1:E6487,1,FALSE()))),"OLD",IF(AND(E6488&lt;&gt;"",E6488&lt;&gt;"!!!"),"NEW","")))</f>
        <v> </v>
      </c>
      <c r="G6488" s="24" t="str">
        <f>IF(OR(E6488="",E6488="!!!"),"",IF(OR(J6488=0,AND(J6488=1,K6488=1),AND(J6488=1,I6488="SBJ"),AND(J6488=1,I6488=0)),"?IN_FOCUS",IF(J6488&lt;=2,"?ACTIVATED",IF(J6488&lt;&gt;"","?FAMILIAR",IF(F6488="NEW",IF(ISNA(VLOOKUP(E6488,#REF!,1,FALSE())),"?TYPE_IDENTIFIABLE","?REFERENTIAL"),"_")))))</f>
        <v> </v>
      </c>
      <c r="H6488" s="25" t="str">
        <f>IF(J6488&lt;&gt;1,"",IF(I6488="SBJ","CB","?"))</f>
        <v> </v>
      </c>
      <c r="I6488" s="26" t="str">
        <f>IF(OR(E6488="",E6488="!!!",F6488="NEW"),"",INDEX(B6487:B$2,-1+SUMPRODUCT(MAX(ROW(E6487:E$2)*(E6488=E6487:E$2)))))</f>
        <v> </v>
      </c>
      <c r="J6488" s="26" t="str">
        <f>IF(OR(E6488="",E6488="!!!",F6488="NEW"),"",COUNTBLANK(OFFSET(A$1,,,SUMPRODUCT(MAX(ROW(E$2:E6488)*(E6488=E$2:E6488)))))-COUNTBLANK(OFFSET(A$1,,,SUMPRODUCT(MAX(ROW(E$1:E6487)*(E2=E$1:E6487))))))</f>
        <v> </v>
      </c>
      <c r="K6488" s="26" t="str">
        <f>IF(OR(E6488="",E6488="!!!",F6488="NEW"),"",INDEX(J$1:J6487,SUMPRODUCT(MAX(ROW(E$1:E6487)*(E6488=E$1:E6487)))))</f>
        <v> </v>
      </c>
      <c r="L6488" s="27"/>
    </row>
    <row r="6489" spans="1:12">
      <c r="A6489" s="20" t="s">
        <v>1041</v>
      </c>
      <c r="E6489" s="22">
        <f>IF(D6489="?OLD","!!!","")</f>
        <v/>
      </c>
      <c r="F6489" s="23" t="str">
        <f>IF(OR(E6489="",E6489="!!!"),"",IF(NOT(ISNA(VLOOKUP(E6489,E$1:E6488,1,FALSE()))),"OLD",IF(AND(E6489&lt;&gt;"",E6489&lt;&gt;"!!!"),"NEW","")))</f>
        <v> </v>
      </c>
      <c r="G6489" s="24" t="str">
        <f>IF(OR(E6489="",E6489="!!!"),"",IF(OR(J6489=0,AND(J6489=1,K6489=1),AND(J6489=1,I6489="SBJ"),AND(J6489=1,I6489=0)),"?IN_FOCUS",IF(J6489&lt;=2,"?ACTIVATED",IF(J6489&lt;&gt;"","?FAMILIAR",IF(F6489="NEW",IF(ISNA(VLOOKUP(E6489,#REF!,1,FALSE())),"?TYPE_IDENTIFIABLE","?REFERENTIAL"),"_")))))</f>
        <v> </v>
      </c>
      <c r="H6489" s="25" t="str">
        <f>IF(J6489&lt;&gt;1,"",IF(I6489="SBJ","CB","?"))</f>
        <v> </v>
      </c>
      <c r="I6489" s="26" t="str">
        <f>IF(OR(E6489="",E6489="!!!",F6489="NEW"),"",INDEX(B6488:B$2,-1+SUMPRODUCT(MAX(ROW(E6488:E$2)*(E6489=E6488:E$2)))))</f>
        <v> </v>
      </c>
      <c r="J6489" s="26" t="str">
        <f>IF(OR(E6489="",E6489="!!!",F6489="NEW"),"",COUNTBLANK(OFFSET(A$1,,,SUMPRODUCT(MAX(ROW(E$2:E6489)*(E6489=E$2:E6489)))))-COUNTBLANK(OFFSET(A$1,,,SUMPRODUCT(MAX(ROW(E$1:E6488)*(E2=E$1:E6488))))))</f>
        <v> </v>
      </c>
      <c r="K6489" s="26" t="str">
        <f>IF(OR(E6489="",E6489="!!!",F6489="NEW"),"",INDEX(J$1:J6488,SUMPRODUCT(MAX(ROW(E$1:E6488)*(E6489=E$1:E6488)))))</f>
        <v> </v>
      </c>
      <c r="L6489" s="27"/>
    </row>
    <row r="6490" spans="1:12">
      <c r="A6490" s="20" t="s">
        <v>1083</v>
      </c>
      <c r="E6490" s="22">
        <f>IF(D6490="?OLD","!!!","")</f>
        <v/>
      </c>
      <c r="F6490" s="23" t="str">
        <f>IF(OR(E6490="",E6490="!!!"),"",IF(NOT(ISNA(VLOOKUP(E6490,E$1:E6489,1,FALSE()))),"OLD",IF(AND(E6490&lt;&gt;"",E6490&lt;&gt;"!!!"),"NEW","")))</f>
        <v> </v>
      </c>
      <c r="G6490" s="24" t="str">
        <f>IF(OR(E6490="",E6490="!!!"),"",IF(OR(J6490=0,AND(J6490=1,K6490=1),AND(J6490=1,I6490="SBJ"),AND(J6490=1,I6490=0)),"?IN_FOCUS",IF(J6490&lt;=2,"?ACTIVATED",IF(J6490&lt;&gt;"","?FAMILIAR",IF(F6490="NEW",IF(ISNA(VLOOKUP(E6490,#REF!,1,FALSE())),"?TYPE_IDENTIFIABLE","?REFERENTIAL"),"_")))))</f>
        <v> </v>
      </c>
      <c r="H6490" s="25" t="str">
        <f>IF(J6490&lt;&gt;1,"",IF(I6490="SBJ","CB","?"))</f>
        <v> </v>
      </c>
      <c r="I6490" s="26" t="str">
        <f>IF(OR(E6490="",E6490="!!!",F6490="NEW"),"",INDEX(B6489:B$2,-1+SUMPRODUCT(MAX(ROW(E6489:E$2)*(E6490=E6489:E$2)))))</f>
        <v> </v>
      </c>
      <c r="J6490" s="26" t="str">
        <f>IF(OR(E6490="",E6490="!!!",F6490="NEW"),"",COUNTBLANK(OFFSET(A$1,,,SUMPRODUCT(MAX(ROW(E$2:E6490)*(E6490=E$2:E6490)))))-COUNTBLANK(OFFSET(A$1,,,SUMPRODUCT(MAX(ROW(E$1:E6489)*(E2=E$1:E6489))))))</f>
        <v> </v>
      </c>
      <c r="K6490" s="26" t="str">
        <f>IF(OR(E6490="",E6490="!!!",F6490="NEW"),"",INDEX(J$1:J6489,SUMPRODUCT(MAX(ROW(E$1:E6489)*(E6490=E$1:E6489)))))</f>
        <v> </v>
      </c>
      <c r="L6490" s="27"/>
    </row>
    <row r="6491" spans="1:12">
      <c r="A6491" s="20" t="s">
        <v>1084</v>
      </c>
      <c r="E6491" s="22">
        <f>IF(D6491="?OLD","!!!","")</f>
        <v/>
      </c>
      <c r="F6491" s="23" t="str">
        <f>IF(OR(E6491="",E6491="!!!"),"",IF(NOT(ISNA(VLOOKUP(E6491,E$1:E6490,1,FALSE()))),"OLD",IF(AND(E6491&lt;&gt;"",E6491&lt;&gt;"!!!"),"NEW","")))</f>
        <v> </v>
      </c>
      <c r="G6491" s="24" t="str">
        <f>IF(OR(E6491="",E6491="!!!"),"",IF(OR(J6491=0,AND(J6491=1,K6491=1),AND(J6491=1,I6491="SBJ"),AND(J6491=1,I6491=0)),"?IN_FOCUS",IF(J6491&lt;=2,"?ACTIVATED",IF(J6491&lt;&gt;"","?FAMILIAR",IF(F6491="NEW",IF(ISNA(VLOOKUP(E6491,#REF!,1,FALSE())),"?TYPE_IDENTIFIABLE","?REFERENTIAL"),"_")))))</f>
        <v> </v>
      </c>
      <c r="H6491" s="25" t="str">
        <f>IF(J6491&lt;&gt;1,"",IF(I6491="SBJ","CB","?"))</f>
        <v> </v>
      </c>
      <c r="I6491" s="26" t="str">
        <f>IF(OR(E6491="",E6491="!!!",F6491="NEW"),"",INDEX(B6490:B$2,-1+SUMPRODUCT(MAX(ROW(E6490:E$2)*(E6491=E6490:E$2)))))</f>
        <v> </v>
      </c>
      <c r="J6491" s="26" t="str">
        <f>IF(OR(E6491="",E6491="!!!",F6491="NEW"),"",COUNTBLANK(OFFSET(A$1,,,SUMPRODUCT(MAX(ROW(E$2:E6491)*(E6491=E$2:E6491)))))-COUNTBLANK(OFFSET(A$1,,,SUMPRODUCT(MAX(ROW(E$1:E6490)*(E2=E$1:E6490))))))</f>
        <v> </v>
      </c>
      <c r="K6491" s="26" t="str">
        <f>IF(OR(E6491="",E6491="!!!",F6491="NEW"),"",INDEX(J$1:J6490,SUMPRODUCT(MAX(ROW(E$1:E6490)*(E6491=E$1:E6490)))))</f>
        <v> </v>
      </c>
      <c r="L6491" s="27"/>
    </row>
    <row r="6492" spans="1:12">
      <c r="A6492" s="20" t="s">
        <v>1154</v>
      </c>
      <c r="E6492" s="22">
        <f>IF(D6492="?OLD","!!!","")</f>
        <v/>
      </c>
      <c r="F6492" s="23" t="str">
        <f>IF(OR(E6492="",E6492="!!!"),"",IF(NOT(ISNA(VLOOKUP(E6492,E$1:E6491,1,FALSE()))),"OLD",IF(AND(E6492&lt;&gt;"",E6492&lt;&gt;"!!!"),"NEW","")))</f>
        <v> </v>
      </c>
      <c r="G6492" s="24" t="str">
        <f>IF(OR(E6492="",E6492="!!!"),"",IF(OR(J6492=0,AND(J6492=1,K6492=1),AND(J6492=1,I6492="SBJ"),AND(J6492=1,I6492=0)),"?IN_FOCUS",IF(J6492&lt;=2,"?ACTIVATED",IF(J6492&lt;&gt;"","?FAMILIAR",IF(F6492="NEW",IF(ISNA(VLOOKUP(E6492,#REF!,1,FALSE())),"?TYPE_IDENTIFIABLE","?REFERENTIAL"),"_")))))</f>
        <v> </v>
      </c>
      <c r="H6492" s="25" t="str">
        <f>IF(J6492&lt;&gt;1,"",IF(I6492="SBJ","CB","?"))</f>
        <v> </v>
      </c>
      <c r="I6492" s="26" t="str">
        <f>IF(OR(E6492="",E6492="!!!",F6492="NEW"),"",INDEX(B6491:B$2,-1+SUMPRODUCT(MAX(ROW(E6491:E$2)*(E6492=E6491:E$2)))))</f>
        <v> </v>
      </c>
      <c r="J6492" s="26" t="str">
        <f>IF(OR(E6492="",E6492="!!!",F6492="NEW"),"",COUNTBLANK(OFFSET(A$1,,,SUMPRODUCT(MAX(ROW(E$2:E6492)*(E6492=E$2:E6492)))))-COUNTBLANK(OFFSET(A$1,,,SUMPRODUCT(MAX(ROW(E$1:E6491)*(E2=E$1:E6491))))))</f>
        <v> </v>
      </c>
      <c r="K6492" s="26" t="str">
        <f>IF(OR(E6492="",E6492="!!!",F6492="NEW"),"",INDEX(J$1:J6491,SUMPRODUCT(MAX(ROW(E$1:E6491)*(E6492=E$1:E6491)))))</f>
        <v> </v>
      </c>
      <c r="L6492" s="27"/>
    </row>
    <row r="6493" spans="1:12">
      <c r="A6493" s="20" t="s">
        <v>1305</v>
      </c>
      <c r="E6493" s="22">
        <f>IF(D6493="?OLD","!!!","")</f>
        <v/>
      </c>
      <c r="F6493" s="23" t="str">
        <f>IF(OR(E6493="",E6493="!!!"),"",IF(NOT(ISNA(VLOOKUP(E6493,E$1:E6492,1,FALSE()))),"OLD",IF(AND(E6493&lt;&gt;"",E6493&lt;&gt;"!!!"),"NEW","")))</f>
        <v> </v>
      </c>
      <c r="G6493" s="24" t="str">
        <f>IF(OR(E6493="",E6493="!!!"),"",IF(OR(J6493=0,AND(J6493=1,K6493=1),AND(J6493=1,I6493="SBJ"),AND(J6493=1,I6493=0)),"?IN_FOCUS",IF(J6493&lt;=2,"?ACTIVATED",IF(J6493&lt;&gt;"","?FAMILIAR",IF(F6493="NEW",IF(ISNA(VLOOKUP(E6493,#REF!,1,FALSE())),"?TYPE_IDENTIFIABLE","?REFERENTIAL"),"_")))))</f>
        <v> </v>
      </c>
      <c r="H6493" s="25" t="str">
        <f>IF(J6493&lt;&gt;1,"",IF(I6493="SBJ","CB","?"))</f>
        <v> </v>
      </c>
      <c r="I6493" s="26" t="str">
        <f>IF(OR(E6493="",E6493="!!!",F6493="NEW"),"",INDEX(B6492:B$2,-1+SUMPRODUCT(MAX(ROW(E6492:E$2)*(E6493=E6492:E$2)))))</f>
        <v> </v>
      </c>
      <c r="J6493" s="26" t="str">
        <f>IF(OR(E6493="",E6493="!!!",F6493="NEW"),"",COUNTBLANK(OFFSET(A$1,,,SUMPRODUCT(MAX(ROW(E$2:E6493)*(E6493=E$2:E6493)))))-COUNTBLANK(OFFSET(A$1,,,SUMPRODUCT(MAX(ROW(E$1:E6492)*(E2=E$1:E6492))))))</f>
        <v> </v>
      </c>
      <c r="K6493" s="26" t="str">
        <f>IF(OR(E6493="",E6493="!!!",F6493="NEW"),"",INDEX(J$1:J6492,SUMPRODUCT(MAX(ROW(E$1:E6492)*(E6493=E$1:E6492)))))</f>
        <v> </v>
      </c>
      <c r="L6493" s="27"/>
    </row>
    <row r="6494" spans="1:12">
      <c r="A6494" s="20" t="s">
        <v>1146</v>
      </c>
      <c r="B6494" s="21" t="s">
        <v>1656</v>
      </c>
      <c r="C6494" s="21" t="s">
        <v>1239</v>
      </c>
      <c r="E6494" s="22">
        <f>IF(D6494="?OLD","!!!","")</f>
        <v/>
      </c>
      <c r="F6494" s="23" t="str">
        <f>IF(OR(E6494="",E6494="!!!"),"",IF(NOT(ISNA(VLOOKUP(E6494,E$1:E6493,1,FALSE()))),"OLD",IF(AND(E6494&lt;&gt;"",E6494&lt;&gt;"!!!"),"NEW","")))</f>
        <v> </v>
      </c>
      <c r="G6494" s="24" t="str">
        <f>IF(OR(E6494="",E6494="!!!"),"",IF(OR(J6494=0,AND(J6494=1,K6494=1),AND(J6494=1,I6494="SBJ"),AND(J6494=1,I6494=0)),"?IN_FOCUS",IF(J6494&lt;=2,"?ACTIVATED",IF(J6494&lt;&gt;"","?FAMILIAR",IF(F6494="NEW",IF(ISNA(VLOOKUP(E6494,#REF!,1,FALSE())),"?TYPE_IDENTIFIABLE","?REFERENTIAL"),"_")))))</f>
        <v> </v>
      </c>
      <c r="H6494" s="25" t="str">
        <f>IF(J6494&lt;&gt;1,"",IF(I6494="SBJ","CB","?"))</f>
        <v> </v>
      </c>
      <c r="I6494" s="26" t="str">
        <f>IF(OR(E6494="",E6494="!!!",F6494="NEW"),"",INDEX(B6493:B$2,-1+SUMPRODUCT(MAX(ROW(E6493:E$2)*(E6494=E6493:E$2)))))</f>
        <v> </v>
      </c>
      <c r="J6494" s="26" t="str">
        <f>IF(OR(E6494="",E6494="!!!",F6494="NEW"),"",COUNTBLANK(OFFSET(A$1,,,SUMPRODUCT(MAX(ROW(E$2:E6494)*(E6494=E$2:E6494)))))-COUNTBLANK(OFFSET(A$1,,,SUMPRODUCT(MAX(ROW(E$1:E6493)*(E2=E$1:E6493))))))</f>
        <v> </v>
      </c>
      <c r="K6494" s="26" t="str">
        <f>IF(OR(E6494="",E6494="!!!",F6494="NEW"),"",INDEX(J$1:J6493,SUMPRODUCT(MAX(ROW(E$1:E6493)*(E6494=E$1:E6493)))))</f>
        <v> </v>
      </c>
      <c r="L6494" s="27"/>
    </row>
    <row r="6495" spans="1:12">
      <c r="A6495" s="20" t="s">
        <v>1080</v>
      </c>
      <c r="B6495" s="21" t="s">
        <v>1673</v>
      </c>
      <c r="E6495" s="22">
        <f>IF(D6495="?OLD","!!!","")</f>
        <v/>
      </c>
      <c r="F6495" s="23" t="str">
        <f>IF(OR(E6495="",E6495="!!!"),"",IF(NOT(ISNA(VLOOKUP(E6495,E$1:E6494,1,FALSE()))),"OLD",IF(AND(E6495&lt;&gt;"",E6495&lt;&gt;"!!!"),"NEW","")))</f>
        <v> </v>
      </c>
      <c r="G6495" s="24" t="str">
        <f>IF(OR(E6495="",E6495="!!!"),"",IF(OR(J6495=0,AND(J6495=1,K6495=1),AND(J6495=1,I6495="SBJ"),AND(J6495=1,I6495=0)),"?IN_FOCUS",IF(J6495&lt;=2,"?ACTIVATED",IF(J6495&lt;&gt;"","?FAMILIAR",IF(F6495="NEW",IF(ISNA(VLOOKUP(E6495,#REF!,1,FALSE())),"?TYPE_IDENTIFIABLE","?REFERENTIAL"),"_")))))</f>
        <v> </v>
      </c>
      <c r="H6495" s="25" t="str">
        <f>IF(J6495&lt;&gt;1,"",IF(I6495="SBJ","CB","?"))</f>
        <v> </v>
      </c>
      <c r="I6495" s="26" t="str">
        <f>IF(OR(E6495="",E6495="!!!",F6495="NEW"),"",INDEX(B6494:B$2,-1+SUMPRODUCT(MAX(ROW(E6494:E$2)*(E6495=E6494:E$2)))))</f>
        <v> </v>
      </c>
      <c r="J6495" s="26" t="str">
        <f>IF(OR(E6495="",E6495="!!!",F6495="NEW"),"",COUNTBLANK(OFFSET(A$1,,,SUMPRODUCT(MAX(ROW(E$2:E6495)*(E6495=E$2:E6495)))))-COUNTBLANK(OFFSET(A$1,,,SUMPRODUCT(MAX(ROW(E$1:E6494)*(E2=E$1:E6494))))))</f>
        <v> </v>
      </c>
      <c r="K6495" s="26" t="str">
        <f>IF(OR(E6495="",E6495="!!!",F6495="NEW"),"",INDEX(J$1:J6494,SUMPRODUCT(MAX(ROW(E$1:E6494)*(E6495=E$1:E6494)))))</f>
        <v> </v>
      </c>
      <c r="L6495" s="27"/>
    </row>
    <row r="6496" spans="1:12">
      <c r="A6496" s="20" t="s">
        <v>1095</v>
      </c>
      <c r="E6496" s="22">
        <f>IF(D6496="?OLD","!!!","")</f>
        <v/>
      </c>
      <c r="F6496" s="23" t="str">
        <f>IF(OR(E6496="",E6496="!!!"),"",IF(NOT(ISNA(VLOOKUP(E6496,E$1:E6495,1,FALSE()))),"OLD",IF(AND(E6496&lt;&gt;"",E6496&lt;&gt;"!!!"),"NEW","")))</f>
        <v> </v>
      </c>
      <c r="G6496" s="24" t="str">
        <f>IF(OR(E6496="",E6496="!!!"),"",IF(OR(J6496=0,AND(J6496=1,K6496=1),AND(J6496=1,I6496="SBJ"),AND(J6496=1,I6496=0)),"?IN_FOCUS",IF(J6496&lt;=2,"?ACTIVATED",IF(J6496&lt;&gt;"","?FAMILIAR",IF(F6496="NEW",IF(ISNA(VLOOKUP(E6496,#REF!,1,FALSE())),"?TYPE_IDENTIFIABLE","?REFERENTIAL"),"_")))))</f>
        <v> </v>
      </c>
      <c r="H6496" s="25" t="str">
        <f>IF(J6496&lt;&gt;1,"",IF(I6496="SBJ","CB","?"))</f>
        <v> </v>
      </c>
      <c r="I6496" s="26" t="str">
        <f>IF(OR(E6496="",E6496="!!!",F6496="NEW"),"",INDEX(B6495:B$2,-1+SUMPRODUCT(MAX(ROW(E6495:E$2)*(E6496=E6495:E$2)))))</f>
        <v> </v>
      </c>
      <c r="J6496" s="26" t="str">
        <f>IF(OR(E6496="",E6496="!!!",F6496="NEW"),"",COUNTBLANK(OFFSET(A$1,,,SUMPRODUCT(MAX(ROW(E$2:E6496)*(E6496=E$2:E6496)))))-COUNTBLANK(OFFSET(A$1,,,SUMPRODUCT(MAX(ROW(E$1:E6495)*(E2=E$1:E6495))))))</f>
        <v> </v>
      </c>
      <c r="K6496" s="26" t="str">
        <f>IF(OR(E6496="",E6496="!!!",F6496="NEW"),"",INDEX(J$1:J6495,SUMPRODUCT(MAX(ROW(E$1:E6495)*(E6496=E$1:E6495)))))</f>
        <v> </v>
      </c>
      <c r="L6496" s="27"/>
    </row>
    <row r="6497" spans="1:12">
      <c r="A6497" s="20" t="s">
        <v>1585</v>
      </c>
      <c r="E6497" s="22">
        <f>IF(D6497="?OLD","!!!","")</f>
        <v/>
      </c>
      <c r="F6497" s="23" t="str">
        <f>IF(OR(E6497="",E6497="!!!"),"",IF(NOT(ISNA(VLOOKUP(E6497,E$1:E6496,1,FALSE()))),"OLD",IF(AND(E6497&lt;&gt;"",E6497&lt;&gt;"!!!"),"NEW","")))</f>
        <v> </v>
      </c>
      <c r="G6497" s="24" t="str">
        <f>IF(OR(E6497="",E6497="!!!"),"",IF(OR(J6497=0,AND(J6497=1,K6497=1),AND(J6497=1,I6497="SBJ"),AND(J6497=1,I6497=0)),"?IN_FOCUS",IF(J6497&lt;=2,"?ACTIVATED",IF(J6497&lt;&gt;"","?FAMILIAR",IF(F6497="NEW",IF(ISNA(VLOOKUP(E6497,#REF!,1,FALSE())),"?TYPE_IDENTIFIABLE","?REFERENTIAL"),"_")))))</f>
        <v> </v>
      </c>
      <c r="H6497" s="25" t="str">
        <f>IF(J6497&lt;&gt;1,"",IF(I6497="SBJ","CB","?"))</f>
        <v> </v>
      </c>
      <c r="I6497" s="26" t="str">
        <f>IF(OR(E6497="",E6497="!!!",F6497="NEW"),"",INDEX(B6496:B$2,-1+SUMPRODUCT(MAX(ROW(E6496:E$2)*(E6497=E6496:E$2)))))</f>
        <v> </v>
      </c>
      <c r="J6497" s="26" t="str">
        <f>IF(OR(E6497="",E6497="!!!",F6497="NEW"),"",COUNTBLANK(OFFSET(A$1,,,SUMPRODUCT(MAX(ROW(E$2:E6497)*(E6497=E$2:E6497)))))-COUNTBLANK(OFFSET(A$1,,,SUMPRODUCT(MAX(ROW(E$1:E6496)*(E2=E$1:E6496))))))</f>
        <v> </v>
      </c>
      <c r="K6497" s="26" t="str">
        <f>IF(OR(E6497="",E6497="!!!",F6497="NEW"),"",INDEX(J$1:J6496,SUMPRODUCT(MAX(ROW(E$1:E6496)*(E6497=E$1:E6496)))))</f>
        <v> </v>
      </c>
      <c r="L6497" s="27"/>
    </row>
    <row r="6498" spans="1:12">
      <c r="A6498" s="20" t="s">
        <v>1966</v>
      </c>
      <c r="E6498" s="22">
        <f>IF(D6498="?OLD","!!!","")</f>
        <v/>
      </c>
      <c r="F6498" s="23" t="str">
        <f>IF(OR(E6498="",E6498="!!!"),"",IF(NOT(ISNA(VLOOKUP(E6498,E$1:E6497,1,FALSE()))),"OLD",IF(AND(E6498&lt;&gt;"",E6498&lt;&gt;"!!!"),"NEW","")))</f>
        <v> </v>
      </c>
      <c r="G6498" s="24" t="str">
        <f>IF(OR(E6498="",E6498="!!!"),"",IF(OR(J6498=0,AND(J6498=1,K6498=1),AND(J6498=1,I6498="SBJ"),AND(J6498=1,I6498=0)),"?IN_FOCUS",IF(J6498&lt;=2,"?ACTIVATED",IF(J6498&lt;&gt;"","?FAMILIAR",IF(F6498="NEW",IF(ISNA(VLOOKUP(E6498,#REF!,1,FALSE())),"?TYPE_IDENTIFIABLE","?REFERENTIAL"),"_")))))</f>
        <v> </v>
      </c>
      <c r="H6498" s="25" t="str">
        <f>IF(J6498&lt;&gt;1,"",IF(I6498="SBJ","CB","?"))</f>
        <v> </v>
      </c>
      <c r="I6498" s="26" t="str">
        <f>IF(OR(E6498="",E6498="!!!",F6498="NEW"),"",INDEX(B6497:B$2,-1+SUMPRODUCT(MAX(ROW(E6497:E$2)*(E6498=E6497:E$2)))))</f>
        <v> </v>
      </c>
      <c r="J6498" s="26" t="str">
        <f>IF(OR(E6498="",E6498="!!!",F6498="NEW"),"",COUNTBLANK(OFFSET(A$1,,,SUMPRODUCT(MAX(ROW(E$2:E6498)*(E6498=E$2:E6498)))))-COUNTBLANK(OFFSET(A$1,,,SUMPRODUCT(MAX(ROW(E$1:E6497)*(E2=E$1:E6497))))))</f>
        <v> </v>
      </c>
      <c r="K6498" s="26" t="str">
        <f>IF(OR(E6498="",E6498="!!!",F6498="NEW"),"",INDEX(J$1:J6497,SUMPRODUCT(MAX(ROW(E$1:E6497)*(E6498=E$1:E6497)))))</f>
        <v> </v>
      </c>
      <c r="L6498" s="27"/>
    </row>
    <row r="6499" spans="1:12">
      <c r="A6499" s="20" t="s">
        <v>1097</v>
      </c>
      <c r="E6499" s="22">
        <f>IF(D6499="?OLD","!!!","")</f>
        <v/>
      </c>
      <c r="F6499" s="23" t="str">
        <f>IF(OR(E6499="",E6499="!!!"),"",IF(NOT(ISNA(VLOOKUP(E6499,E$1:E6498,1,FALSE()))),"OLD",IF(AND(E6499&lt;&gt;"",E6499&lt;&gt;"!!!"),"NEW","")))</f>
        <v> </v>
      </c>
      <c r="G6499" s="24" t="str">
        <f>IF(OR(E6499="",E6499="!!!"),"",IF(OR(J6499=0,AND(J6499=1,K6499=1),AND(J6499=1,I6499="SBJ"),AND(J6499=1,I6499=0)),"?IN_FOCUS",IF(J6499&lt;=2,"?ACTIVATED",IF(J6499&lt;&gt;"","?FAMILIAR",IF(F6499="NEW",IF(ISNA(VLOOKUP(E6499,#REF!,1,FALSE())),"?TYPE_IDENTIFIABLE","?REFERENTIAL"),"_")))))</f>
        <v> </v>
      </c>
      <c r="H6499" s="25" t="str">
        <f>IF(J6499&lt;&gt;1,"",IF(I6499="SBJ","CB","?"))</f>
        <v> </v>
      </c>
      <c r="I6499" s="26" t="str">
        <f>IF(OR(E6499="",E6499="!!!",F6499="NEW"),"",INDEX(B6498:B$2,-1+SUMPRODUCT(MAX(ROW(E6498:E$2)*(E6499=E6498:E$2)))))</f>
        <v> </v>
      </c>
      <c r="J6499" s="26" t="str">
        <f>IF(OR(E6499="",E6499="!!!",F6499="NEW"),"",COUNTBLANK(OFFSET(A$1,,,SUMPRODUCT(MAX(ROW(E$2:E6499)*(E6499=E$2:E6499)))))-COUNTBLANK(OFFSET(A$1,,,SUMPRODUCT(MAX(ROW(E$1:E6498)*(E2=E$1:E6498))))))</f>
        <v> </v>
      </c>
      <c r="K6499" s="26" t="str">
        <f>IF(OR(E6499="",E6499="!!!",F6499="NEW"),"",INDEX(J$1:J6498,SUMPRODUCT(MAX(ROW(E$1:E6498)*(E6499=E$1:E6498)))))</f>
        <v> </v>
      </c>
      <c r="L6499" s="27"/>
    </row>
    <row r="6500" spans="1:12">
      <c r="A6500" s="20" t="s">
        <v>2608</v>
      </c>
      <c r="E6500" s="22">
        <f>IF(D6500="?OLD","!!!","")</f>
        <v/>
      </c>
      <c r="F6500" s="23" t="str">
        <f>IF(OR(E6500="",E6500="!!!"),"",IF(NOT(ISNA(VLOOKUP(E6500,E$1:E6499,1,FALSE()))),"OLD",IF(AND(E6500&lt;&gt;"",E6500&lt;&gt;"!!!"),"NEW","")))</f>
        <v> </v>
      </c>
      <c r="G6500" s="24" t="str">
        <f>IF(OR(E6500="",E6500="!!!"),"",IF(OR(J6500=0,AND(J6500=1,K6500=1),AND(J6500=1,I6500="SBJ"),AND(J6500=1,I6500=0)),"?IN_FOCUS",IF(J6500&lt;=2,"?ACTIVATED",IF(J6500&lt;&gt;"","?FAMILIAR",IF(F6500="NEW",IF(ISNA(VLOOKUP(E6500,#REF!,1,FALSE())),"?TYPE_IDENTIFIABLE","?REFERENTIAL"),"_")))))</f>
        <v> </v>
      </c>
      <c r="H6500" s="25" t="str">
        <f>IF(J6500&lt;&gt;1,"",IF(I6500="SBJ","CB","?"))</f>
        <v> </v>
      </c>
      <c r="I6500" s="26" t="str">
        <f>IF(OR(E6500="",E6500="!!!",F6500="NEW"),"",INDEX(B6499:B$2,-1+SUMPRODUCT(MAX(ROW(E6499:E$2)*(E6500=E6499:E$2)))))</f>
        <v> </v>
      </c>
      <c r="J6500" s="26" t="str">
        <f>IF(OR(E6500="",E6500="!!!",F6500="NEW"),"",COUNTBLANK(OFFSET(A$1,,,SUMPRODUCT(MAX(ROW(E$2:E6500)*(E6500=E$2:E6500)))))-COUNTBLANK(OFFSET(A$1,,,SUMPRODUCT(MAX(ROW(E$1:E6499)*(E2=E$1:E6499))))))</f>
        <v> </v>
      </c>
      <c r="K6500" s="26" t="str">
        <f>IF(OR(E6500="",E6500="!!!",F6500="NEW"),"",INDEX(J$1:J6499,SUMPRODUCT(MAX(ROW(E$1:E6499)*(E6500=E$1:E6499)))))</f>
        <v> </v>
      </c>
      <c r="L6500" s="27"/>
    </row>
    <row r="6501" spans="1:12">
      <c r="A6501" s="20" t="s">
        <v>1011</v>
      </c>
      <c r="E6501" s="22">
        <f>IF(D6501="?OLD","!!!","")</f>
        <v/>
      </c>
      <c r="F6501" s="23" t="str">
        <f>IF(OR(E6501="",E6501="!!!"),"",IF(NOT(ISNA(VLOOKUP(E6501,E$1:E6500,1,FALSE()))),"OLD",IF(AND(E6501&lt;&gt;"",E6501&lt;&gt;"!!!"),"NEW","")))</f>
        <v> </v>
      </c>
      <c r="G6501" s="24" t="str">
        <f>IF(OR(E6501="",E6501="!!!"),"",IF(OR(J6501=0,AND(J6501=1,K6501=1),AND(J6501=1,I6501="SBJ"),AND(J6501=1,I6501=0)),"?IN_FOCUS",IF(J6501&lt;=2,"?ACTIVATED",IF(J6501&lt;&gt;"","?FAMILIAR",IF(F6501="NEW",IF(ISNA(VLOOKUP(E6501,#REF!,1,FALSE())),"?TYPE_IDENTIFIABLE","?REFERENTIAL"),"_")))))</f>
        <v> </v>
      </c>
      <c r="H6501" s="25" t="str">
        <f>IF(J6501&lt;&gt;1,"",IF(I6501="SBJ","CB","?"))</f>
        <v> </v>
      </c>
      <c r="I6501" s="26" t="str">
        <f>IF(OR(E6501="",E6501="!!!",F6501="NEW"),"",INDEX(B6500:B$2,-1+SUMPRODUCT(MAX(ROW(E6500:E$2)*(E6501=E6500:E$2)))))</f>
        <v> </v>
      </c>
      <c r="J6501" s="26" t="str">
        <f>IF(OR(E6501="",E6501="!!!",F6501="NEW"),"",COUNTBLANK(OFFSET(A$1,,,SUMPRODUCT(MAX(ROW(E$2:E6501)*(E6501=E$2:E6501)))))-COUNTBLANK(OFFSET(A$1,,,SUMPRODUCT(MAX(ROW(E$1:E6500)*(E2=E$1:E6500))))))</f>
        <v> </v>
      </c>
      <c r="K6501" s="26" t="str">
        <f>IF(OR(E6501="",E6501="!!!",F6501="NEW"),"",INDEX(J$1:J6500,SUMPRODUCT(MAX(ROW(E$1:E6500)*(E6501=E$1:E6500)))))</f>
        <v> </v>
      </c>
      <c r="L6501" s="27"/>
    </row>
    <row r="6502" spans="1:12">
      <c r="A6502" s="20"/>
    </row>
    <row r="6503" spans="1:12">
      <c r="A6503" s="20" t="s">
        <v>2609</v>
      </c>
    </row>
    <row r="6504" spans="1:12">
      <c r="A6504" s="20" t="s">
        <v>1234</v>
      </c>
      <c r="B6504" s="21" t="s">
        <v>995</v>
      </c>
      <c r="C6504" s="21" t="s">
        <v>1015</v>
      </c>
      <c r="D6504" s="21" t="s">
        <v>997</v>
      </c>
      <c r="E6504" s="22">
        <f>IF(D6504="?OLD","!!!","")</f>
        <v/>
      </c>
      <c r="F6504" s="23" t="str">
        <f>IF(OR(E6504="",E6504="!!!"),"",IF(NOT(ISNA(VLOOKUP(E6504,E$1:E6503,1,FALSE()))),"OLD",IF(AND(E6504&lt;&gt;"",E6504&lt;&gt;"!!!"),"NEW","")))</f>
        <v> </v>
      </c>
      <c r="G6504" s="24" t="str">
        <f>IF(OR(E6504="",E6504="!!!"),"",IF(OR(J6504=0,AND(J6504=1,K6504=1),AND(J6504=1,I6504="SBJ"),AND(J6504=1,I6504=0)),"?IN_FOCUS",IF(J6504&lt;=2,"?ACTIVATED",IF(J6504&lt;&gt;"","?FAMILIAR",IF(F6504="NEW",IF(ISNA(VLOOKUP(E6504,#REF!,1,FALSE())),"?TYPE_IDENTIFIABLE","?REFERENTIAL"),"_")))))</f>
        <v> </v>
      </c>
      <c r="H6504" s="25" t="str">
        <f>IF(J6504&lt;&gt;1,"",IF(I6504="SBJ","CB","?"))</f>
        <v> </v>
      </c>
      <c r="I6504" s="26" t="str">
        <f>IF(OR(E6504="",E6504="!!!",F6504="NEW"),"",INDEX(B6503:B$2,-1+SUMPRODUCT(MAX(ROW(E6503:E$2)*(E6504=E6503:E$2)))))</f>
        <v> </v>
      </c>
      <c r="J6504" s="26" t="str">
        <f>IF(OR(E6504="",E6504="!!!",F6504="NEW"),"",COUNTBLANK(OFFSET(A$1,,,SUMPRODUCT(MAX(ROW(E$2:E6504)*(E6504=E$2:E6504)))))-COUNTBLANK(OFFSET(A$1,,,SUMPRODUCT(MAX(ROW(E$1:E6503)*(E2=E$1:E6503))))))</f>
        <v> </v>
      </c>
      <c r="K6504" s="26" t="str">
        <f>IF(OR(E6504="",E6504="!!!",F6504="NEW"),"",INDEX(J$1:J6503,SUMPRODUCT(MAX(ROW(E$1:E6503)*(E6504=E$1:E6503)))))</f>
        <v> </v>
      </c>
      <c r="L6504" s="27"/>
    </row>
    <row r="6505" spans="1:12">
      <c r="A6505" s="20" t="s">
        <v>423</v>
      </c>
      <c r="E6505" s="22">
        <f>IF(D6505="?OLD","!!!","")</f>
        <v/>
      </c>
      <c r="F6505" s="23" t="str">
        <f>IF(OR(E6505="",E6505="!!!"),"",IF(NOT(ISNA(VLOOKUP(E6505,E$1:E6504,1,FALSE()))),"OLD",IF(AND(E6505&lt;&gt;"",E6505&lt;&gt;"!!!"),"NEW","")))</f>
        <v> </v>
      </c>
      <c r="G6505" s="24" t="str">
        <f>IF(OR(E6505="",E6505="!!!"),"",IF(OR(J6505=0,AND(J6505=1,K6505=1),AND(J6505=1,I6505="SBJ"),AND(J6505=1,I6505=0)),"?IN_FOCUS",IF(J6505&lt;=2,"?ACTIVATED",IF(J6505&lt;&gt;"","?FAMILIAR",IF(F6505="NEW",IF(ISNA(VLOOKUP(E6505,#REF!,1,FALSE())),"?TYPE_IDENTIFIABLE","?REFERENTIAL"),"_")))))</f>
        <v> </v>
      </c>
      <c r="H6505" s="25" t="str">
        <f>IF(J6505&lt;&gt;1,"",IF(I6505="SBJ","CB","?"))</f>
        <v> </v>
      </c>
      <c r="I6505" s="26" t="str">
        <f>IF(OR(E6505="",E6505="!!!",F6505="NEW"),"",INDEX(B6504:B$2,-1+SUMPRODUCT(MAX(ROW(E6504:E$2)*(E6505=E6504:E$2)))))</f>
        <v> </v>
      </c>
      <c r="J6505" s="26" t="str">
        <f>IF(OR(E6505="",E6505="!!!",F6505="NEW"),"",COUNTBLANK(OFFSET(A$1,,,SUMPRODUCT(MAX(ROW(E$2:E6505)*(E6505=E$2:E6505)))))-COUNTBLANK(OFFSET(A$1,,,SUMPRODUCT(MAX(ROW(E$1:E6504)*(E2=E$1:E6504))))))</f>
        <v> </v>
      </c>
      <c r="K6505" s="26" t="str">
        <f>IF(OR(E6505="",E6505="!!!",F6505="NEW"),"",INDEX(J$1:J6504,SUMPRODUCT(MAX(ROW(E$1:E6504)*(E6505=E$1:E6504)))))</f>
        <v> </v>
      </c>
      <c r="L6505" s="27"/>
    </row>
    <row r="6506" spans="1:12">
      <c r="A6506" s="20" t="s">
        <v>2610</v>
      </c>
      <c r="E6506" s="22">
        <f>IF(D6506="?OLD","!!!","")</f>
        <v/>
      </c>
      <c r="F6506" s="23" t="str">
        <f>IF(OR(E6506="",E6506="!!!"),"",IF(NOT(ISNA(VLOOKUP(E6506,E$1:E6505,1,FALSE()))),"OLD",IF(AND(E6506&lt;&gt;"",E6506&lt;&gt;"!!!"),"NEW","")))</f>
        <v> </v>
      </c>
      <c r="G6506" s="24" t="str">
        <f>IF(OR(E6506="",E6506="!!!"),"",IF(OR(J6506=0,AND(J6506=1,K6506=1),AND(J6506=1,I6506="SBJ"),AND(J6506=1,I6506=0)),"?IN_FOCUS",IF(J6506&lt;=2,"?ACTIVATED",IF(J6506&lt;&gt;"","?FAMILIAR",IF(F6506="NEW",IF(ISNA(VLOOKUP(E6506,#REF!,1,FALSE())),"?TYPE_IDENTIFIABLE","?REFERENTIAL"),"_")))))</f>
        <v> </v>
      </c>
      <c r="H6506" s="25" t="str">
        <f>IF(J6506&lt;&gt;1,"",IF(I6506="SBJ","CB","?"))</f>
        <v> </v>
      </c>
      <c r="I6506" s="26" t="str">
        <f>IF(OR(E6506="",E6506="!!!",F6506="NEW"),"",INDEX(B6505:B$2,-1+SUMPRODUCT(MAX(ROW(E6505:E$2)*(E6506=E6505:E$2)))))</f>
        <v> </v>
      </c>
      <c r="J6506" s="26" t="str">
        <f>IF(OR(E6506="",E6506="!!!",F6506="NEW"),"",COUNTBLANK(OFFSET(A$1,,,SUMPRODUCT(MAX(ROW(E$2:E6506)*(E6506=E$2:E6506)))))-COUNTBLANK(OFFSET(A$1,,,SUMPRODUCT(MAX(ROW(E$1:E6505)*(E2=E$1:E6505))))))</f>
        <v> </v>
      </c>
      <c r="K6506" s="26" t="str">
        <f>IF(OR(E6506="",E6506="!!!",F6506="NEW"),"",INDEX(J$1:J6505,SUMPRODUCT(MAX(ROW(E$1:E6505)*(E6506=E$1:E6505)))))</f>
        <v> </v>
      </c>
      <c r="L6506" s="27"/>
    </row>
    <row r="6507" spans="1:12">
      <c r="A6507" s="20" t="s">
        <v>1008</v>
      </c>
      <c r="E6507" s="22">
        <f>IF(D6507="?OLD","!!!","")</f>
        <v/>
      </c>
      <c r="F6507" s="23" t="str">
        <f>IF(OR(E6507="",E6507="!!!"),"",IF(NOT(ISNA(VLOOKUP(E6507,E$1:E6506,1,FALSE()))),"OLD",IF(AND(E6507&lt;&gt;"",E6507&lt;&gt;"!!!"),"NEW","")))</f>
        <v> </v>
      </c>
      <c r="G6507" s="24" t="str">
        <f>IF(OR(E6507="",E6507="!!!"),"",IF(OR(J6507=0,AND(J6507=1,K6507=1),AND(J6507=1,I6507="SBJ"),AND(J6507=1,I6507=0)),"?IN_FOCUS",IF(J6507&lt;=2,"?ACTIVATED",IF(J6507&lt;&gt;"","?FAMILIAR",IF(F6507="NEW",IF(ISNA(VLOOKUP(E6507,#REF!,1,FALSE())),"?TYPE_IDENTIFIABLE","?REFERENTIAL"),"_")))))</f>
        <v> </v>
      </c>
      <c r="H6507" s="25" t="str">
        <f>IF(J6507&lt;&gt;1,"",IF(I6507="SBJ","CB","?"))</f>
        <v> </v>
      </c>
      <c r="I6507" s="26" t="str">
        <f>IF(OR(E6507="",E6507="!!!",F6507="NEW"),"",INDEX(B6506:B$2,-1+SUMPRODUCT(MAX(ROW(E6506:E$2)*(E6507=E6506:E$2)))))</f>
        <v> </v>
      </c>
      <c r="J6507" s="26" t="str">
        <f>IF(OR(E6507="",E6507="!!!",F6507="NEW"),"",COUNTBLANK(OFFSET(A$1,,,SUMPRODUCT(MAX(ROW(E$2:E6507)*(E6507=E$2:E6507)))))-COUNTBLANK(OFFSET(A$1,,,SUMPRODUCT(MAX(ROW(E$1:E6506)*(E2=E$1:E6506))))))</f>
        <v> </v>
      </c>
      <c r="K6507" s="26" t="str">
        <f>IF(OR(E6507="",E6507="!!!",F6507="NEW"),"",INDEX(J$1:J6506,SUMPRODUCT(MAX(ROW(E$1:E6506)*(E6507=E$1:E6506)))))</f>
        <v> </v>
      </c>
      <c r="L6507" s="27"/>
    </row>
    <row r="6508" spans="1:12">
      <c r="A6508" s="20" t="s">
        <v>256</v>
      </c>
      <c r="B6508" s="21" t="s">
        <v>1142</v>
      </c>
      <c r="E6508" s="22">
        <f>IF(D6508="?OLD","!!!","")</f>
        <v/>
      </c>
      <c r="F6508" s="23" t="str">
        <f>IF(OR(E6508="",E6508="!!!"),"",IF(NOT(ISNA(VLOOKUP(E6508,E$1:E6507,1,FALSE()))),"OLD",IF(AND(E6508&lt;&gt;"",E6508&lt;&gt;"!!!"),"NEW","")))</f>
        <v> </v>
      </c>
      <c r="G6508" s="24" t="str">
        <f>IF(OR(E6508="",E6508="!!!"),"",IF(OR(J6508=0,AND(J6508=1,K6508=1),AND(J6508=1,I6508="SBJ"),AND(J6508=1,I6508=0)),"?IN_FOCUS",IF(J6508&lt;=2,"?ACTIVATED",IF(J6508&lt;&gt;"","?FAMILIAR",IF(F6508="NEW",IF(ISNA(VLOOKUP(E6508,#REF!,1,FALSE())),"?TYPE_IDENTIFIABLE","?REFERENTIAL"),"_")))))</f>
        <v> </v>
      </c>
      <c r="H6508" s="25" t="str">
        <f>IF(J6508&lt;&gt;1,"",IF(I6508="SBJ","CB","?"))</f>
        <v> </v>
      </c>
      <c r="I6508" s="26" t="str">
        <f>IF(OR(E6508="",E6508="!!!",F6508="NEW"),"",INDEX(B6507:B$2,-1+SUMPRODUCT(MAX(ROW(E6507:E$2)*(E6508=E6507:E$2)))))</f>
        <v> </v>
      </c>
      <c r="J6508" s="26" t="str">
        <f>IF(OR(E6508="",E6508="!!!",F6508="NEW"),"",COUNTBLANK(OFFSET(A$1,,,SUMPRODUCT(MAX(ROW(E$2:E6508)*(E6508=E$2:E6508)))))-COUNTBLANK(OFFSET(A$1,,,SUMPRODUCT(MAX(ROW(E$1:E6507)*(E2=E$1:E6507))))))</f>
        <v> </v>
      </c>
      <c r="K6508" s="26" t="str">
        <f>IF(OR(E6508="",E6508="!!!",F6508="NEW"),"",INDEX(J$1:J6507,SUMPRODUCT(MAX(ROW(E$1:E6507)*(E6508=E$1:E6507)))))</f>
        <v> </v>
      </c>
      <c r="L6508" s="27"/>
    </row>
    <row r="6509" spans="1:12">
      <c r="A6509" s="20" t="s">
        <v>1029</v>
      </c>
      <c r="E6509" s="22">
        <f>IF(D6509="?OLD","!!!","")</f>
        <v/>
      </c>
      <c r="F6509" s="23" t="str">
        <f>IF(OR(E6509="",E6509="!!!"),"",IF(NOT(ISNA(VLOOKUP(E6509,E$1:E6508,1,FALSE()))),"OLD",IF(AND(E6509&lt;&gt;"",E6509&lt;&gt;"!!!"),"NEW","")))</f>
        <v> </v>
      </c>
      <c r="G6509" s="24" t="str">
        <f>IF(OR(E6509="",E6509="!!!"),"",IF(OR(J6509=0,AND(J6509=1,K6509=1),AND(J6509=1,I6509="SBJ"),AND(J6509=1,I6509=0)),"?IN_FOCUS",IF(J6509&lt;=2,"?ACTIVATED",IF(J6509&lt;&gt;"","?FAMILIAR",IF(F6509="NEW",IF(ISNA(VLOOKUP(E6509,#REF!,1,FALSE())),"?TYPE_IDENTIFIABLE","?REFERENTIAL"),"_")))))</f>
        <v> </v>
      </c>
      <c r="H6509" s="25" t="str">
        <f>IF(J6509&lt;&gt;1,"",IF(I6509="SBJ","CB","?"))</f>
        <v> </v>
      </c>
      <c r="I6509" s="26" t="str">
        <f>IF(OR(E6509="",E6509="!!!",F6509="NEW"),"",INDEX(B6508:B$2,-1+SUMPRODUCT(MAX(ROW(E6508:E$2)*(E6509=E6508:E$2)))))</f>
        <v> </v>
      </c>
      <c r="J6509" s="26" t="str">
        <f>IF(OR(E6509="",E6509="!!!",F6509="NEW"),"",COUNTBLANK(OFFSET(A$1,,,SUMPRODUCT(MAX(ROW(E$2:E6509)*(E6509=E$2:E6509)))))-COUNTBLANK(OFFSET(A$1,,,SUMPRODUCT(MAX(ROW(E$1:E6508)*(E2=E$1:E6508))))))</f>
        <v> </v>
      </c>
      <c r="K6509" s="26" t="str">
        <f>IF(OR(E6509="",E6509="!!!",F6509="NEW"),"",INDEX(J$1:J6508,SUMPRODUCT(MAX(ROW(E$1:E6508)*(E6509=E$1:E6508)))))</f>
        <v> </v>
      </c>
      <c r="L6509" s="27"/>
    </row>
    <row r="6510" spans="1:12">
      <c r="A6510" s="20" t="s">
        <v>1241</v>
      </c>
      <c r="E6510" s="22">
        <f>IF(D6510="?OLD","!!!","")</f>
        <v/>
      </c>
      <c r="F6510" s="23" t="str">
        <f>IF(OR(E6510="",E6510="!!!"),"",IF(NOT(ISNA(VLOOKUP(E6510,E$1:E6509,1,FALSE()))),"OLD",IF(AND(E6510&lt;&gt;"",E6510&lt;&gt;"!!!"),"NEW","")))</f>
        <v> </v>
      </c>
      <c r="G6510" s="24" t="str">
        <f>IF(OR(E6510="",E6510="!!!"),"",IF(OR(J6510=0,AND(J6510=1,K6510=1),AND(J6510=1,I6510="SBJ"),AND(J6510=1,I6510=0)),"?IN_FOCUS",IF(J6510&lt;=2,"?ACTIVATED",IF(J6510&lt;&gt;"","?FAMILIAR",IF(F6510="NEW",IF(ISNA(VLOOKUP(E6510,#REF!,1,FALSE())),"?TYPE_IDENTIFIABLE","?REFERENTIAL"),"_")))))</f>
        <v> </v>
      </c>
      <c r="H6510" s="25" t="str">
        <f>IF(J6510&lt;&gt;1,"",IF(I6510="SBJ","CB","?"))</f>
        <v> </v>
      </c>
      <c r="I6510" s="26" t="str">
        <f>IF(OR(E6510="",E6510="!!!",F6510="NEW"),"",INDEX(B6509:B$2,-1+SUMPRODUCT(MAX(ROW(E6509:E$2)*(E6510=E6509:E$2)))))</f>
        <v> </v>
      </c>
      <c r="J6510" s="26" t="str">
        <f>IF(OR(E6510="",E6510="!!!",F6510="NEW"),"",COUNTBLANK(OFFSET(A$1,,,SUMPRODUCT(MAX(ROW(E$2:E6510)*(E6510=E$2:E6510)))))-COUNTBLANK(OFFSET(A$1,,,SUMPRODUCT(MAX(ROW(E$1:E6509)*(E2=E$1:E6509))))))</f>
        <v> </v>
      </c>
      <c r="K6510" s="26" t="str">
        <f>IF(OR(E6510="",E6510="!!!",F6510="NEW"),"",INDEX(J$1:J6509,SUMPRODUCT(MAX(ROW(E$1:E6509)*(E6510=E$1:E6509)))))</f>
        <v> </v>
      </c>
      <c r="L6510" s="27"/>
    </row>
    <row r="6511" spans="1:12">
      <c r="A6511" s="20" t="s">
        <v>2611</v>
      </c>
      <c r="B6511" s="21" t="s">
        <v>1010</v>
      </c>
      <c r="C6511" s="21" t="s">
        <v>1239</v>
      </c>
      <c r="E6511" s="22">
        <f>IF(D6511="?OLD","!!!","")</f>
        <v/>
      </c>
      <c r="F6511" s="23" t="str">
        <f>IF(OR(E6511="",E6511="!!!"),"",IF(NOT(ISNA(VLOOKUP(E6511,E$1:E6510,1,FALSE()))),"OLD",IF(AND(E6511&lt;&gt;"",E6511&lt;&gt;"!!!"),"NEW","")))</f>
        <v> </v>
      </c>
      <c r="G6511" s="24" t="str">
        <f>IF(OR(E6511="",E6511="!!!"),"",IF(OR(J6511=0,AND(J6511=1,K6511=1),AND(J6511=1,I6511="SBJ"),AND(J6511=1,I6511=0)),"?IN_FOCUS",IF(J6511&lt;=2,"?ACTIVATED",IF(J6511&lt;&gt;"","?FAMILIAR",IF(F6511="NEW",IF(ISNA(VLOOKUP(E6511,#REF!,1,FALSE())),"?TYPE_IDENTIFIABLE","?REFERENTIAL"),"_")))))</f>
        <v> </v>
      </c>
      <c r="H6511" s="25" t="str">
        <f>IF(J6511&lt;&gt;1,"",IF(I6511="SBJ","CB","?"))</f>
        <v> </v>
      </c>
      <c r="I6511" s="26" t="str">
        <f>IF(OR(E6511="",E6511="!!!",F6511="NEW"),"",INDEX(B6510:B$2,-1+SUMPRODUCT(MAX(ROW(E6510:E$2)*(E6511=E6510:E$2)))))</f>
        <v> </v>
      </c>
      <c r="J6511" s="26" t="str">
        <f>IF(OR(E6511="",E6511="!!!",F6511="NEW"),"",COUNTBLANK(OFFSET(A$1,,,SUMPRODUCT(MAX(ROW(E$2:E6511)*(E6511=E$2:E6511)))))-COUNTBLANK(OFFSET(A$1,,,SUMPRODUCT(MAX(ROW(E$1:E6510)*(E2=E$1:E6510))))))</f>
        <v> </v>
      </c>
      <c r="K6511" s="26" t="str">
        <f>IF(OR(E6511="",E6511="!!!",F6511="NEW"),"",INDEX(J$1:J6510,SUMPRODUCT(MAX(ROW(E$1:E6510)*(E6511=E$1:E6510)))))</f>
        <v> </v>
      </c>
      <c r="L6511" s="27"/>
    </row>
    <row r="6512" spans="1:12">
      <c r="A6512" s="20" t="s">
        <v>1032</v>
      </c>
      <c r="E6512" s="22">
        <f>IF(D6512="?OLD","!!!","")</f>
        <v/>
      </c>
      <c r="F6512" s="23" t="str">
        <f>IF(OR(E6512="",E6512="!!!"),"",IF(NOT(ISNA(VLOOKUP(E6512,E$1:E6511,1,FALSE()))),"OLD",IF(AND(E6512&lt;&gt;"",E6512&lt;&gt;"!!!"),"NEW","")))</f>
        <v> </v>
      </c>
      <c r="G6512" s="24" t="str">
        <f>IF(OR(E6512="",E6512="!!!"),"",IF(OR(J6512=0,AND(J6512=1,K6512=1),AND(J6512=1,I6512="SBJ"),AND(J6512=1,I6512=0)),"?IN_FOCUS",IF(J6512&lt;=2,"?ACTIVATED",IF(J6512&lt;&gt;"","?FAMILIAR",IF(F6512="NEW",IF(ISNA(VLOOKUP(E6512,#REF!,1,FALSE())),"?TYPE_IDENTIFIABLE","?REFERENTIAL"),"_")))))</f>
        <v> </v>
      </c>
      <c r="H6512" s="25" t="str">
        <f>IF(J6512&lt;&gt;1,"",IF(I6512="SBJ","CB","?"))</f>
        <v> </v>
      </c>
      <c r="I6512" s="26" t="str">
        <f>IF(OR(E6512="",E6512="!!!",F6512="NEW"),"",INDEX(B6511:B$2,-1+SUMPRODUCT(MAX(ROW(E6511:E$2)*(E6512=E6511:E$2)))))</f>
        <v> </v>
      </c>
      <c r="J6512" s="26" t="str">
        <f>IF(OR(E6512="",E6512="!!!",F6512="NEW"),"",COUNTBLANK(OFFSET(A$1,,,SUMPRODUCT(MAX(ROW(E$2:E6512)*(E6512=E$2:E6512)))))-COUNTBLANK(OFFSET(A$1,,,SUMPRODUCT(MAX(ROW(E$1:E6511)*(E2=E$1:E6511))))))</f>
        <v> </v>
      </c>
      <c r="K6512" s="26" t="str">
        <f>IF(OR(E6512="",E6512="!!!",F6512="NEW"),"",INDEX(J$1:J6511,SUMPRODUCT(MAX(ROW(E$1:E6511)*(E6512=E$1:E6511)))))</f>
        <v> </v>
      </c>
      <c r="L6512" s="27"/>
    </row>
    <row r="6513" spans="1:12">
      <c r="A6513" s="20" t="s">
        <v>2612</v>
      </c>
      <c r="B6513" s="21" t="s">
        <v>1039</v>
      </c>
      <c r="C6513" s="21" t="s">
        <v>1095</v>
      </c>
      <c r="D6513" s="21" t="s">
        <v>997</v>
      </c>
      <c r="E6513" s="22">
        <f>IF(D6513="?OLD","!!!","")</f>
        <v/>
      </c>
      <c r="F6513" s="23" t="str">
        <f>IF(OR(E6513="",E6513="!!!"),"",IF(NOT(ISNA(VLOOKUP(E6513,E$1:E6512,1,FALSE()))),"OLD",IF(AND(E6513&lt;&gt;"",E6513&lt;&gt;"!!!"),"NEW","")))</f>
        <v> </v>
      </c>
      <c r="G6513" s="24" t="str">
        <f>IF(OR(E6513="",E6513="!!!"),"",IF(OR(J6513=0,AND(J6513=1,K6513=1),AND(J6513=1,I6513="SBJ"),AND(J6513=1,I6513=0)),"?IN_FOCUS",IF(J6513&lt;=2,"?ACTIVATED",IF(J6513&lt;&gt;"","?FAMILIAR",IF(F6513="NEW",IF(ISNA(VLOOKUP(E6513,#REF!,1,FALSE())),"?TYPE_IDENTIFIABLE","?REFERENTIAL"),"_")))))</f>
        <v> </v>
      </c>
      <c r="H6513" s="25" t="str">
        <f>IF(J6513&lt;&gt;1,"",IF(I6513="SBJ","CB","?"))</f>
        <v> </v>
      </c>
      <c r="I6513" s="26" t="str">
        <f>IF(OR(E6513="",E6513="!!!",F6513="NEW"),"",INDEX(B6512:B$2,-1+SUMPRODUCT(MAX(ROW(E6512:E$2)*(E6513=E6512:E$2)))))</f>
        <v> </v>
      </c>
      <c r="J6513" s="26" t="str">
        <f>IF(OR(E6513="",E6513="!!!",F6513="NEW"),"",COUNTBLANK(OFFSET(A$1,,,SUMPRODUCT(MAX(ROW(E$2:E6513)*(E6513=E$2:E6513)))))-COUNTBLANK(OFFSET(A$1,,,SUMPRODUCT(MAX(ROW(E$1:E6512)*(E2=E$1:E6512))))))</f>
        <v> </v>
      </c>
      <c r="K6513" s="26" t="str">
        <f>IF(OR(E6513="",E6513="!!!",F6513="NEW"),"",INDEX(J$1:J6512,SUMPRODUCT(MAX(ROW(E$1:E6512)*(E6513=E$1:E6512)))))</f>
        <v> </v>
      </c>
      <c r="L6513" s="27"/>
    </row>
    <row r="6514" spans="1:12">
      <c r="A6514" s="20" t="s">
        <v>423</v>
      </c>
      <c r="E6514" s="22">
        <f>IF(D6514="?OLD","!!!","")</f>
        <v/>
      </c>
      <c r="F6514" s="23" t="str">
        <f>IF(OR(E6514="",E6514="!!!"),"",IF(NOT(ISNA(VLOOKUP(E6514,E$1:E6513,1,FALSE()))),"OLD",IF(AND(E6514&lt;&gt;"",E6514&lt;&gt;"!!!"),"NEW","")))</f>
        <v> </v>
      </c>
      <c r="G6514" s="24" t="str">
        <f>IF(OR(E6514="",E6514="!!!"),"",IF(OR(J6514=0,AND(J6514=1,K6514=1),AND(J6514=1,I6514="SBJ"),AND(J6514=1,I6514=0)),"?IN_FOCUS",IF(J6514&lt;=2,"?ACTIVATED",IF(J6514&lt;&gt;"","?FAMILIAR",IF(F6514="NEW",IF(ISNA(VLOOKUP(E6514,#REF!,1,FALSE())),"?TYPE_IDENTIFIABLE","?REFERENTIAL"),"_")))))</f>
        <v> </v>
      </c>
      <c r="H6514" s="25" t="str">
        <f>IF(J6514&lt;&gt;1,"",IF(I6514="SBJ","CB","?"))</f>
        <v> </v>
      </c>
      <c r="I6514" s="26" t="str">
        <f>IF(OR(E6514="",E6514="!!!",F6514="NEW"),"",INDEX(B6513:B$2,-1+SUMPRODUCT(MAX(ROW(E6513:E$2)*(E6514=E6513:E$2)))))</f>
        <v> </v>
      </c>
      <c r="J6514" s="26" t="str">
        <f>IF(OR(E6514="",E6514="!!!",F6514="NEW"),"",COUNTBLANK(OFFSET(A$1,,,SUMPRODUCT(MAX(ROW(E$2:E6514)*(E6514=E$2:E6514)))))-COUNTBLANK(OFFSET(A$1,,,SUMPRODUCT(MAX(ROW(E$1:E6513)*(E2=E$1:E6513))))))</f>
        <v> </v>
      </c>
      <c r="K6514" s="26" t="str">
        <f>IF(OR(E6514="",E6514="!!!",F6514="NEW"),"",INDEX(J$1:J6513,SUMPRODUCT(MAX(ROW(E$1:E6513)*(E6514=E$1:E6513)))))</f>
        <v> </v>
      </c>
      <c r="L6514" s="27"/>
    </row>
    <row r="6515" spans="1:12">
      <c r="A6515" s="20" t="s">
        <v>1019</v>
      </c>
      <c r="E6515" s="22">
        <f>IF(D6515="?OLD","!!!","")</f>
        <v/>
      </c>
      <c r="F6515" s="23" t="str">
        <f>IF(OR(E6515="",E6515="!!!"),"",IF(NOT(ISNA(VLOOKUP(E6515,E$1:E6514,1,FALSE()))),"OLD",IF(AND(E6515&lt;&gt;"",E6515&lt;&gt;"!!!"),"NEW","")))</f>
        <v> </v>
      </c>
      <c r="G6515" s="24" t="str">
        <f>IF(OR(E6515="",E6515="!!!"),"",IF(OR(J6515=0,AND(J6515=1,K6515=1),AND(J6515=1,I6515="SBJ"),AND(J6515=1,I6515=0)),"?IN_FOCUS",IF(J6515&lt;=2,"?ACTIVATED",IF(J6515&lt;&gt;"","?FAMILIAR",IF(F6515="NEW",IF(ISNA(VLOOKUP(E6515,#REF!,1,FALSE())),"?TYPE_IDENTIFIABLE","?REFERENTIAL"),"_")))))</f>
        <v> </v>
      </c>
      <c r="H6515" s="25" t="str">
        <f>IF(J6515&lt;&gt;1,"",IF(I6515="SBJ","CB","?"))</f>
        <v> </v>
      </c>
      <c r="I6515" s="26" t="str">
        <f>IF(OR(E6515="",E6515="!!!",F6515="NEW"),"",INDEX(B6514:B$2,-1+SUMPRODUCT(MAX(ROW(E6514:E$2)*(E6515=E6514:E$2)))))</f>
        <v> </v>
      </c>
      <c r="J6515" s="26" t="str">
        <f>IF(OR(E6515="",E6515="!!!",F6515="NEW"),"",COUNTBLANK(OFFSET(A$1,,,SUMPRODUCT(MAX(ROW(E$2:E6515)*(E6515=E$2:E6515)))))-COUNTBLANK(OFFSET(A$1,,,SUMPRODUCT(MAX(ROW(E$1:E6514)*(E2=E$1:E6514))))))</f>
        <v> </v>
      </c>
      <c r="K6515" s="26" t="str">
        <f>IF(OR(E6515="",E6515="!!!",F6515="NEW"),"",INDEX(J$1:J6514,SUMPRODUCT(MAX(ROW(E$1:E6514)*(E6515=E$1:E6514)))))</f>
        <v> </v>
      </c>
      <c r="L6515" s="27"/>
    </row>
    <row r="6516" spans="1:12">
      <c r="A6516" s="20" t="s">
        <v>2613</v>
      </c>
      <c r="E6516" s="22">
        <f>IF(D6516="?OLD","!!!","")</f>
        <v/>
      </c>
      <c r="F6516" s="23" t="str">
        <f>IF(OR(E6516="",E6516="!!!"),"",IF(NOT(ISNA(VLOOKUP(E6516,E$1:E6515,1,FALSE()))),"OLD",IF(AND(E6516&lt;&gt;"",E6516&lt;&gt;"!!!"),"NEW","")))</f>
        <v> </v>
      </c>
      <c r="G6516" s="24" t="str">
        <f>IF(OR(E6516="",E6516="!!!"),"",IF(OR(J6516=0,AND(J6516=1,K6516=1),AND(J6516=1,I6516="SBJ"),AND(J6516=1,I6516=0)),"?IN_FOCUS",IF(J6516&lt;=2,"?ACTIVATED",IF(J6516&lt;&gt;"","?FAMILIAR",IF(F6516="NEW",IF(ISNA(VLOOKUP(E6516,#REF!,1,FALSE())),"?TYPE_IDENTIFIABLE","?REFERENTIAL"),"_")))))</f>
        <v> </v>
      </c>
      <c r="H6516" s="25" t="str">
        <f>IF(J6516&lt;&gt;1,"",IF(I6516="SBJ","CB","?"))</f>
        <v> </v>
      </c>
      <c r="I6516" s="26" t="str">
        <f>IF(OR(E6516="",E6516="!!!",F6516="NEW"),"",INDEX(B6515:B$2,-1+SUMPRODUCT(MAX(ROW(E6515:E$2)*(E6516=E6515:E$2)))))</f>
        <v> </v>
      </c>
      <c r="J6516" s="26" t="str">
        <f>IF(OR(E6516="",E6516="!!!",F6516="NEW"),"",COUNTBLANK(OFFSET(A$1,,,SUMPRODUCT(MAX(ROW(E$2:E6516)*(E6516=E$2:E6516)))))-COUNTBLANK(OFFSET(A$1,,,SUMPRODUCT(MAX(ROW(E$1:E6515)*(E2=E$1:E6515))))))</f>
        <v> </v>
      </c>
      <c r="K6516" s="26" t="str">
        <f>IF(OR(E6516="",E6516="!!!",F6516="NEW"),"",INDEX(J$1:J6515,SUMPRODUCT(MAX(ROW(E$1:E6515)*(E6516=E$1:E6515)))))</f>
        <v> </v>
      </c>
      <c r="L6516" s="27"/>
    </row>
    <row r="6517" spans="1:12">
      <c r="A6517" s="20" t="s">
        <v>1011</v>
      </c>
      <c r="E6517" s="22">
        <f>IF(D6517="?OLD","!!!","")</f>
        <v/>
      </c>
      <c r="F6517" s="23" t="str">
        <f>IF(OR(E6517="",E6517="!!!"),"",IF(NOT(ISNA(VLOOKUP(E6517,E$1:E6516,1,FALSE()))),"OLD",IF(AND(E6517&lt;&gt;"",E6517&lt;&gt;"!!!"),"NEW","")))</f>
        <v> </v>
      </c>
      <c r="G6517" s="24" t="str">
        <f>IF(OR(E6517="",E6517="!!!"),"",IF(OR(J6517=0,AND(J6517=1,K6517=1),AND(J6517=1,I6517="SBJ"),AND(J6517=1,I6517=0)),"?IN_FOCUS",IF(J6517&lt;=2,"?ACTIVATED",IF(J6517&lt;&gt;"","?FAMILIAR",IF(F6517="NEW",IF(ISNA(VLOOKUP(E6517,#REF!,1,FALSE())),"?TYPE_IDENTIFIABLE","?REFERENTIAL"),"_")))))</f>
        <v> </v>
      </c>
      <c r="H6517" s="25" t="str">
        <f>IF(J6517&lt;&gt;1,"",IF(I6517="SBJ","CB","?"))</f>
        <v> </v>
      </c>
      <c r="I6517" s="26" t="str">
        <f>IF(OR(E6517="",E6517="!!!",F6517="NEW"),"",INDEX(B6516:B$2,-1+SUMPRODUCT(MAX(ROW(E6516:E$2)*(E6517=E6516:E$2)))))</f>
        <v> </v>
      </c>
      <c r="J6517" s="26" t="str">
        <f>IF(OR(E6517="",E6517="!!!",F6517="NEW"),"",COUNTBLANK(OFFSET(A$1,,,SUMPRODUCT(MAX(ROW(E$2:E6517)*(E6517=E$2:E6517)))))-COUNTBLANK(OFFSET(A$1,,,SUMPRODUCT(MAX(ROW(E$1:E6516)*(E2=E$1:E6516))))))</f>
        <v> </v>
      </c>
      <c r="K6517" s="26" t="str">
        <f>IF(OR(E6517="",E6517="!!!",F6517="NEW"),"",INDEX(J$1:J6516,SUMPRODUCT(MAX(ROW(E$1:E6516)*(E6517=E$1:E6516)))))</f>
        <v> </v>
      </c>
      <c r="L6517" s="27"/>
    </row>
    <row r="6518" spans="1:12">
      <c r="A6518" s="20"/>
    </row>
    <row r="6519" spans="1:12">
      <c r="A6519" s="20" t="s">
        <v>2614</v>
      </c>
    </row>
    <row r="6520" spans="1:12">
      <c r="A6520" s="20" t="s">
        <v>2252</v>
      </c>
      <c r="B6520" s="21" t="s">
        <v>1067</v>
      </c>
      <c r="C6520" s="21" t="s">
        <v>1015</v>
      </c>
      <c r="D6520" s="21" t="s">
        <v>997</v>
      </c>
      <c r="E6520" s="22">
        <f>IF(D6520="?OLD","!!!","")</f>
        <v/>
      </c>
      <c r="F6520" s="23" t="str">
        <f>IF(OR(E6520="",E6520="!!!"),"",IF(NOT(ISNA(VLOOKUP(E6520,E$1:E6519,1,FALSE()))),"OLD",IF(AND(E6520&lt;&gt;"",E6520&lt;&gt;"!!!"),"NEW","")))</f>
        <v> </v>
      </c>
      <c r="G6520" s="24" t="str">
        <f>IF(OR(E6520="",E6520="!!!"),"",IF(OR(J6520=0,AND(J6520=1,K6520=1),AND(J6520=1,I6520="SBJ"),AND(J6520=1,I6520=0)),"?IN_FOCUS",IF(J6520&lt;=2,"?ACTIVATED",IF(J6520&lt;&gt;"","?FAMILIAR",IF(F6520="NEW",IF(ISNA(VLOOKUP(E6520,#REF!,1,FALSE())),"?TYPE_IDENTIFIABLE","?REFERENTIAL"),"_")))))</f>
        <v> </v>
      </c>
      <c r="H6520" s="25" t="str">
        <f>IF(J6520&lt;&gt;1,"",IF(I6520="SBJ","CB","?"))</f>
        <v> </v>
      </c>
      <c r="I6520" s="26" t="str">
        <f>IF(OR(E6520="",E6520="!!!",F6520="NEW"),"",INDEX(B6519:B$2,-1+SUMPRODUCT(MAX(ROW(E6519:E$2)*(E6520=E6519:E$2)))))</f>
        <v> </v>
      </c>
      <c r="J6520" s="26" t="str">
        <f>IF(OR(E6520="",E6520="!!!",F6520="NEW"),"",COUNTBLANK(OFFSET(A$1,,,SUMPRODUCT(MAX(ROW(E$2:E6520)*(E6520=E$2:E6520)))))-COUNTBLANK(OFFSET(A$1,,,SUMPRODUCT(MAX(ROW(E$1:E6519)*(E2=E$1:E6519))))))</f>
        <v> </v>
      </c>
      <c r="K6520" s="26" t="str">
        <f>IF(OR(E6520="",E6520="!!!",F6520="NEW"),"",INDEX(J$1:J6519,SUMPRODUCT(MAX(ROW(E$1:E6519)*(E6520=E$1:E6519)))))</f>
        <v> </v>
      </c>
      <c r="L6520" s="27"/>
    </row>
    <row r="6521" spans="1:12">
      <c r="A6521" s="20" t="s">
        <v>1513</v>
      </c>
      <c r="E6521" s="22">
        <f>IF(D6521="?OLD","!!!","")</f>
        <v/>
      </c>
      <c r="F6521" s="23" t="str">
        <f>IF(OR(E6521="",E6521="!!!"),"",IF(NOT(ISNA(VLOOKUP(E6521,E$1:E6520,1,FALSE()))),"OLD",IF(AND(E6521&lt;&gt;"",E6521&lt;&gt;"!!!"),"NEW","")))</f>
        <v> </v>
      </c>
      <c r="G6521" s="24" t="str">
        <f>IF(OR(E6521="",E6521="!!!"),"",IF(OR(J6521=0,AND(J6521=1,K6521=1),AND(J6521=1,I6521="SBJ"),AND(J6521=1,I6521=0)),"?IN_FOCUS",IF(J6521&lt;=2,"?ACTIVATED",IF(J6521&lt;&gt;"","?FAMILIAR",IF(F6521="NEW",IF(ISNA(VLOOKUP(E6521,#REF!,1,FALSE())),"?TYPE_IDENTIFIABLE","?REFERENTIAL"),"_")))))</f>
        <v> </v>
      </c>
      <c r="H6521" s="25" t="str">
        <f>IF(J6521&lt;&gt;1,"",IF(I6521="SBJ","CB","?"))</f>
        <v> </v>
      </c>
      <c r="I6521" s="26" t="str">
        <f>IF(OR(E6521="",E6521="!!!",F6521="NEW"),"",INDEX(B6520:B$2,-1+SUMPRODUCT(MAX(ROW(E6520:E$2)*(E6521=E6520:E$2)))))</f>
        <v> </v>
      </c>
      <c r="J6521" s="26" t="str">
        <f>IF(OR(E6521="",E6521="!!!",F6521="NEW"),"",COUNTBLANK(OFFSET(A$1,,,SUMPRODUCT(MAX(ROW(E$2:E6521)*(E6521=E$2:E6521)))))-COUNTBLANK(OFFSET(A$1,,,SUMPRODUCT(MAX(ROW(E$1:E6520)*(E2=E$1:E6520))))))</f>
        <v> </v>
      </c>
      <c r="K6521" s="26" t="str">
        <f>IF(OR(E6521="",E6521="!!!",F6521="NEW"),"",INDEX(J$1:J6520,SUMPRODUCT(MAX(ROW(E$1:E6520)*(E6521=E$1:E6520)))))</f>
        <v> </v>
      </c>
      <c r="L6521" s="27"/>
    </row>
    <row r="6522" spans="1:12">
      <c r="A6522" s="20" t="s">
        <v>1013</v>
      </c>
      <c r="E6522" s="22">
        <f>IF(D6522="?OLD","!!!","")</f>
        <v/>
      </c>
      <c r="F6522" s="23" t="str">
        <f>IF(OR(E6522="",E6522="!!!"),"",IF(NOT(ISNA(VLOOKUP(E6522,E$1:E6521,1,FALSE()))),"OLD",IF(AND(E6522&lt;&gt;"",E6522&lt;&gt;"!!!"),"NEW","")))</f>
        <v> </v>
      </c>
      <c r="G6522" s="24" t="str">
        <f>IF(OR(E6522="",E6522="!!!"),"",IF(OR(J6522=0,AND(J6522=1,K6522=1),AND(J6522=1,I6522="SBJ"),AND(J6522=1,I6522=0)),"?IN_FOCUS",IF(J6522&lt;=2,"?ACTIVATED",IF(J6522&lt;&gt;"","?FAMILIAR",IF(F6522="NEW",IF(ISNA(VLOOKUP(E6522,#REF!,1,FALSE())),"?TYPE_IDENTIFIABLE","?REFERENTIAL"),"_")))))</f>
        <v> </v>
      </c>
      <c r="H6522" s="25" t="str">
        <f>IF(J6522&lt;&gt;1,"",IF(I6522="SBJ","CB","?"))</f>
        <v> </v>
      </c>
      <c r="I6522" s="26" t="str">
        <f>IF(OR(E6522="",E6522="!!!",F6522="NEW"),"",INDEX(B6521:B$2,-1+SUMPRODUCT(MAX(ROW(E6521:E$2)*(E6522=E6521:E$2)))))</f>
        <v> </v>
      </c>
      <c r="J6522" s="26" t="str">
        <f>IF(OR(E6522="",E6522="!!!",F6522="NEW"),"",COUNTBLANK(OFFSET(A$1,,,SUMPRODUCT(MAX(ROW(E$2:E6522)*(E6522=E$2:E6522)))))-COUNTBLANK(OFFSET(A$1,,,SUMPRODUCT(MAX(ROW(E$1:E6521)*(E2=E$1:E6521))))))</f>
        <v> </v>
      </c>
      <c r="K6522" s="26" t="str">
        <f>IF(OR(E6522="",E6522="!!!",F6522="NEW"),"",INDEX(J$1:J6521,SUMPRODUCT(MAX(ROW(E$1:E6521)*(E6522=E$1:E6521)))))</f>
        <v> </v>
      </c>
      <c r="L6522" s="27"/>
    </row>
    <row r="6523" spans="1:12">
      <c r="A6523" s="20" t="s">
        <v>1190</v>
      </c>
      <c r="E6523" s="22">
        <f>IF(D6523="?OLD","!!!","")</f>
        <v/>
      </c>
      <c r="F6523" s="23" t="str">
        <f>IF(OR(E6523="",E6523="!!!"),"",IF(NOT(ISNA(VLOOKUP(E6523,E$1:E6522,1,FALSE()))),"OLD",IF(AND(E6523&lt;&gt;"",E6523&lt;&gt;"!!!"),"NEW","")))</f>
        <v> </v>
      </c>
      <c r="G6523" s="24" t="str">
        <f>IF(OR(E6523="",E6523="!!!"),"",IF(OR(J6523=0,AND(J6523=1,K6523=1),AND(J6523=1,I6523="SBJ"),AND(J6523=1,I6523=0)),"?IN_FOCUS",IF(J6523&lt;=2,"?ACTIVATED",IF(J6523&lt;&gt;"","?FAMILIAR",IF(F6523="NEW",IF(ISNA(VLOOKUP(E6523,#REF!,1,FALSE())),"?TYPE_IDENTIFIABLE","?REFERENTIAL"),"_")))))</f>
        <v> </v>
      </c>
      <c r="H6523" s="25" t="str">
        <f>IF(J6523&lt;&gt;1,"",IF(I6523="SBJ","CB","?"))</f>
        <v> </v>
      </c>
      <c r="I6523" s="26" t="str">
        <f>IF(OR(E6523="",E6523="!!!",F6523="NEW"),"",INDEX(B6522:B$2,-1+SUMPRODUCT(MAX(ROW(E6522:E$2)*(E6523=E6522:E$2)))))</f>
        <v> </v>
      </c>
      <c r="J6523" s="26" t="str">
        <f>IF(OR(E6523="",E6523="!!!",F6523="NEW"),"",COUNTBLANK(OFFSET(A$1,,,SUMPRODUCT(MAX(ROW(E$2:E6523)*(E6523=E$2:E6523)))))-COUNTBLANK(OFFSET(A$1,,,SUMPRODUCT(MAX(ROW(E$1:E6522)*(E2=E$1:E6522))))))</f>
        <v> </v>
      </c>
      <c r="K6523" s="26" t="str">
        <f>IF(OR(E6523="",E6523="!!!",F6523="NEW"),"",INDEX(J$1:J6522,SUMPRODUCT(MAX(ROW(E$1:E6522)*(E6523=E$1:E6522)))))</f>
        <v> </v>
      </c>
      <c r="L6523" s="27"/>
    </row>
    <row r="6524" spans="1:12">
      <c r="A6524" s="20" t="s">
        <v>725</v>
      </c>
      <c r="B6524" s="21" t="s">
        <v>1005</v>
      </c>
      <c r="C6524" s="21" t="s">
        <v>1095</v>
      </c>
      <c r="D6524" s="21" t="s">
        <v>997</v>
      </c>
      <c r="E6524" s="22">
        <f>IF(D6524="?OLD","!!!","")</f>
        <v/>
      </c>
      <c r="F6524" s="23" t="str">
        <f>IF(OR(E6524="",E6524="!!!"),"",IF(NOT(ISNA(VLOOKUP(E6524,E$1:E6523,1,FALSE()))),"OLD",IF(AND(E6524&lt;&gt;"",E6524&lt;&gt;"!!!"),"NEW","")))</f>
        <v> </v>
      </c>
      <c r="G6524" s="24" t="str">
        <f>IF(OR(E6524="",E6524="!!!"),"",IF(OR(J6524=0,AND(J6524=1,K6524=1),AND(J6524=1,I6524="SBJ"),AND(J6524=1,I6524=0)),"?IN_FOCUS",IF(J6524&lt;=2,"?ACTIVATED",IF(J6524&lt;&gt;"","?FAMILIAR",IF(F6524="NEW",IF(ISNA(VLOOKUP(E6524,#REF!,1,FALSE())),"?TYPE_IDENTIFIABLE","?REFERENTIAL"),"_")))))</f>
        <v> </v>
      </c>
      <c r="H6524" s="25" t="str">
        <f>IF(J6524&lt;&gt;1,"",IF(I6524="SBJ","CB","?"))</f>
        <v> </v>
      </c>
      <c r="I6524" s="26" t="str">
        <f>IF(OR(E6524="",E6524="!!!",F6524="NEW"),"",INDEX(B6523:B$2,-1+SUMPRODUCT(MAX(ROW(E6523:E$2)*(E6524=E6523:E$2)))))</f>
        <v> </v>
      </c>
      <c r="J6524" s="26" t="str">
        <f>IF(OR(E6524="",E6524="!!!",F6524="NEW"),"",COUNTBLANK(OFFSET(A$1,,,SUMPRODUCT(MAX(ROW(E$2:E6524)*(E6524=E$2:E6524)))))-COUNTBLANK(OFFSET(A$1,,,SUMPRODUCT(MAX(ROW(E$1:E6523)*(E2=E$1:E6523))))))</f>
        <v> </v>
      </c>
      <c r="K6524" s="26" t="str">
        <f>IF(OR(E6524="",E6524="!!!",F6524="NEW"),"",INDEX(J$1:J6523,SUMPRODUCT(MAX(ROW(E$1:E6523)*(E6524=E$1:E6523)))))</f>
        <v> </v>
      </c>
      <c r="L6524" s="27"/>
    </row>
    <row r="6525" spans="1:12">
      <c r="A6525" s="20" t="s">
        <v>1041</v>
      </c>
      <c r="E6525" s="22">
        <f>IF(D6525="?OLD","!!!","")</f>
        <v/>
      </c>
      <c r="F6525" s="23" t="str">
        <f>IF(OR(E6525="",E6525="!!!"),"",IF(NOT(ISNA(VLOOKUP(E6525,E$1:E6524,1,FALSE()))),"OLD",IF(AND(E6525&lt;&gt;"",E6525&lt;&gt;"!!!"),"NEW","")))</f>
        <v> </v>
      </c>
      <c r="G6525" s="24" t="str">
        <f>IF(OR(E6525="",E6525="!!!"),"",IF(OR(J6525=0,AND(J6525=1,K6525=1),AND(J6525=1,I6525="SBJ"),AND(J6525=1,I6525=0)),"?IN_FOCUS",IF(J6525&lt;=2,"?ACTIVATED",IF(J6525&lt;&gt;"","?FAMILIAR",IF(F6525="NEW",IF(ISNA(VLOOKUP(E6525,#REF!,1,FALSE())),"?TYPE_IDENTIFIABLE","?REFERENTIAL"),"_")))))</f>
        <v> </v>
      </c>
      <c r="H6525" s="25" t="str">
        <f>IF(J6525&lt;&gt;1,"",IF(I6525="SBJ","CB","?"))</f>
        <v> </v>
      </c>
      <c r="I6525" s="26" t="str">
        <f>IF(OR(E6525="",E6525="!!!",F6525="NEW"),"",INDEX(B6524:B$2,-1+SUMPRODUCT(MAX(ROW(E6524:E$2)*(E6525=E6524:E$2)))))</f>
        <v> </v>
      </c>
      <c r="J6525" s="26" t="str">
        <f>IF(OR(E6525="",E6525="!!!",F6525="NEW"),"",COUNTBLANK(OFFSET(A$1,,,SUMPRODUCT(MAX(ROW(E$2:E6525)*(E6525=E$2:E6525)))))-COUNTBLANK(OFFSET(A$1,,,SUMPRODUCT(MAX(ROW(E$1:E6524)*(E2=E$1:E6524))))))</f>
        <v> </v>
      </c>
      <c r="K6525" s="26" t="str">
        <f>IF(OR(E6525="",E6525="!!!",F6525="NEW"),"",INDEX(J$1:J6524,SUMPRODUCT(MAX(ROW(E$1:E6524)*(E6525=E$1:E6524)))))</f>
        <v> </v>
      </c>
      <c r="L6525" s="27"/>
    </row>
    <row r="6526" spans="1:12">
      <c r="A6526" s="20" t="s">
        <v>1547</v>
      </c>
      <c r="B6526" s="21" t="s">
        <v>1142</v>
      </c>
      <c r="C6526" s="21" t="s">
        <v>996</v>
      </c>
      <c r="D6526" s="21" t="s">
        <v>997</v>
      </c>
      <c r="E6526" s="22">
        <f>IF(D6526="?OLD","!!!","")</f>
        <v/>
      </c>
      <c r="F6526" s="23" t="str">
        <f>IF(OR(E6526="",E6526="!!!"),"",IF(NOT(ISNA(VLOOKUP(E6526,E$1:E6525,1,FALSE()))),"OLD",IF(AND(E6526&lt;&gt;"",E6526&lt;&gt;"!!!"),"NEW","")))</f>
        <v> </v>
      </c>
      <c r="G6526" s="24" t="str">
        <f>IF(OR(E6526="",E6526="!!!"),"",IF(OR(J6526=0,AND(J6526=1,K6526=1),AND(J6526=1,I6526="SBJ"),AND(J6526=1,I6526=0)),"?IN_FOCUS",IF(J6526&lt;=2,"?ACTIVATED",IF(J6526&lt;&gt;"","?FAMILIAR",IF(F6526="NEW",IF(ISNA(VLOOKUP(E6526,#REF!,1,FALSE())),"?TYPE_IDENTIFIABLE","?REFERENTIAL"),"_")))))</f>
        <v> </v>
      </c>
      <c r="H6526" s="25" t="str">
        <f>IF(J6526&lt;&gt;1,"",IF(I6526="SBJ","CB","?"))</f>
        <v> </v>
      </c>
      <c r="I6526" s="26" t="str">
        <f>IF(OR(E6526="",E6526="!!!",F6526="NEW"),"",INDEX(B6525:B$2,-1+SUMPRODUCT(MAX(ROW(E6525:E$2)*(E6526=E6525:E$2)))))</f>
        <v> </v>
      </c>
      <c r="J6526" s="26" t="str">
        <f>IF(OR(E6526="",E6526="!!!",F6526="NEW"),"",COUNTBLANK(OFFSET(A$1,,,SUMPRODUCT(MAX(ROW(E$2:E6526)*(E6526=E$2:E6526)))))-COUNTBLANK(OFFSET(A$1,,,SUMPRODUCT(MAX(ROW(E$1:E6525)*(E2=E$1:E6525))))))</f>
        <v> </v>
      </c>
      <c r="K6526" s="26" t="str">
        <f>IF(OR(E6526="",E6526="!!!",F6526="NEW"),"",INDEX(J$1:J6525,SUMPRODUCT(MAX(ROW(E$1:E6525)*(E6526=E$1:E6525)))))</f>
        <v> </v>
      </c>
      <c r="L6526" s="27"/>
    </row>
    <row r="6527" spans="1:12">
      <c r="A6527" s="20" t="s">
        <v>1667</v>
      </c>
      <c r="E6527" s="22">
        <f>IF(D6527="?OLD","!!!","")</f>
        <v/>
      </c>
      <c r="F6527" s="23" t="str">
        <f>IF(OR(E6527="",E6527="!!!"),"",IF(NOT(ISNA(VLOOKUP(E6527,E$1:E6526,1,FALSE()))),"OLD",IF(AND(E6527&lt;&gt;"",E6527&lt;&gt;"!!!"),"NEW","")))</f>
        <v> </v>
      </c>
      <c r="G6527" s="24" t="str">
        <f>IF(OR(E6527="",E6527="!!!"),"",IF(OR(J6527=0,AND(J6527=1,K6527=1),AND(J6527=1,I6527="SBJ"),AND(J6527=1,I6527=0)),"?IN_FOCUS",IF(J6527&lt;=2,"?ACTIVATED",IF(J6527&lt;&gt;"","?FAMILIAR",IF(F6527="NEW",IF(ISNA(VLOOKUP(E6527,#REF!,1,FALSE())),"?TYPE_IDENTIFIABLE","?REFERENTIAL"),"_")))))</f>
        <v> </v>
      </c>
      <c r="H6527" s="25" t="str">
        <f>IF(J6527&lt;&gt;1,"",IF(I6527="SBJ","CB","?"))</f>
        <v> </v>
      </c>
      <c r="I6527" s="26" t="str">
        <f>IF(OR(E6527="",E6527="!!!",F6527="NEW"),"",INDEX(B6526:B$2,-1+SUMPRODUCT(MAX(ROW(E6526:E$2)*(E6527=E6526:E$2)))))</f>
        <v> </v>
      </c>
      <c r="J6527" s="26" t="str">
        <f>IF(OR(E6527="",E6527="!!!",F6527="NEW"),"",COUNTBLANK(OFFSET(A$1,,,SUMPRODUCT(MAX(ROW(E$2:E6527)*(E6527=E$2:E6527)))))-COUNTBLANK(OFFSET(A$1,,,SUMPRODUCT(MAX(ROW(E$1:E6526)*(E2=E$1:E6526))))))</f>
        <v> </v>
      </c>
      <c r="K6527" s="26" t="str">
        <f>IF(OR(E6527="",E6527="!!!",F6527="NEW"),"",INDEX(J$1:J6526,SUMPRODUCT(MAX(ROW(E$1:E6526)*(E6527=E$1:E6526)))))</f>
        <v> </v>
      </c>
      <c r="L6527" s="27"/>
    </row>
    <row r="6528" spans="1:12">
      <c r="A6528" s="20" t="s">
        <v>1022</v>
      </c>
      <c r="E6528" s="22">
        <f>IF(D6528="?OLD","!!!","")</f>
        <v/>
      </c>
      <c r="F6528" s="23" t="str">
        <f>IF(OR(E6528="",E6528="!!!"),"",IF(NOT(ISNA(VLOOKUP(E6528,E$1:E6527,1,FALSE()))),"OLD",IF(AND(E6528&lt;&gt;"",E6528&lt;&gt;"!!!"),"NEW","")))</f>
        <v> </v>
      </c>
      <c r="G6528" s="24" t="str">
        <f>IF(OR(E6528="",E6528="!!!"),"",IF(OR(J6528=0,AND(J6528=1,K6528=1),AND(J6528=1,I6528="SBJ"),AND(J6528=1,I6528=0)),"?IN_FOCUS",IF(J6528&lt;=2,"?ACTIVATED",IF(J6528&lt;&gt;"","?FAMILIAR",IF(F6528="NEW",IF(ISNA(VLOOKUP(E6528,#REF!,1,FALSE())),"?TYPE_IDENTIFIABLE","?REFERENTIAL"),"_")))))</f>
        <v> </v>
      </c>
      <c r="H6528" s="25" t="str">
        <f>IF(J6528&lt;&gt;1,"",IF(I6528="SBJ","CB","?"))</f>
        <v> </v>
      </c>
      <c r="I6528" s="26" t="str">
        <f>IF(OR(E6528="",E6528="!!!",F6528="NEW"),"",INDEX(B6527:B$2,-1+SUMPRODUCT(MAX(ROW(E6527:E$2)*(E6528=E6527:E$2)))))</f>
        <v> </v>
      </c>
      <c r="J6528" s="26" t="str">
        <f>IF(OR(E6528="",E6528="!!!",F6528="NEW"),"",COUNTBLANK(OFFSET(A$1,,,SUMPRODUCT(MAX(ROW(E$2:E6528)*(E6528=E$2:E6528)))))-COUNTBLANK(OFFSET(A$1,,,SUMPRODUCT(MAX(ROW(E$1:E6527)*(E2=E$1:E6527))))))</f>
        <v> </v>
      </c>
      <c r="K6528" s="26" t="str">
        <f>IF(OR(E6528="",E6528="!!!",F6528="NEW"),"",INDEX(J$1:J6527,SUMPRODUCT(MAX(ROW(E$1:E6527)*(E6528=E$1:E6527)))))</f>
        <v> </v>
      </c>
      <c r="L6528" s="27"/>
    </row>
    <row r="6529" spans="1:12">
      <c r="A6529" s="20" t="s">
        <v>1547</v>
      </c>
      <c r="B6529" s="21" t="s">
        <v>1027</v>
      </c>
      <c r="C6529" s="21" t="s">
        <v>996</v>
      </c>
      <c r="D6529" s="21" t="s">
        <v>997</v>
      </c>
      <c r="E6529" s="22">
        <f>IF(D6529="?OLD","!!!","")</f>
        <v/>
      </c>
      <c r="F6529" s="23" t="str">
        <f>IF(OR(E6529="",E6529="!!!"),"",IF(NOT(ISNA(VLOOKUP(E6529,E$1:E6528,1,FALSE()))),"OLD",IF(AND(E6529&lt;&gt;"",E6529&lt;&gt;"!!!"),"NEW","")))</f>
        <v> </v>
      </c>
      <c r="G6529" s="24" t="str">
        <f>IF(OR(E6529="",E6529="!!!"),"",IF(OR(J6529=0,AND(J6529=1,K6529=1),AND(J6529=1,I6529="SBJ"),AND(J6529=1,I6529=0)),"?IN_FOCUS",IF(J6529&lt;=2,"?ACTIVATED",IF(J6529&lt;&gt;"","?FAMILIAR",IF(F6529="NEW",IF(ISNA(VLOOKUP(E6529,#REF!,1,FALSE())),"?TYPE_IDENTIFIABLE","?REFERENTIAL"),"_")))))</f>
        <v> </v>
      </c>
      <c r="H6529" s="25" t="str">
        <f>IF(J6529&lt;&gt;1,"",IF(I6529="SBJ","CB","?"))</f>
        <v> </v>
      </c>
      <c r="I6529" s="26" t="str">
        <f>IF(OR(E6529="",E6529="!!!",F6529="NEW"),"",INDEX(B6528:B$2,-1+SUMPRODUCT(MAX(ROW(E6528:E$2)*(E6529=E6528:E$2)))))</f>
        <v> </v>
      </c>
      <c r="J6529" s="26" t="str">
        <f>IF(OR(E6529="",E6529="!!!",F6529="NEW"),"",COUNTBLANK(OFFSET(A$1,,,SUMPRODUCT(MAX(ROW(E$2:E6529)*(E6529=E$2:E6529)))))-COUNTBLANK(OFFSET(A$1,,,SUMPRODUCT(MAX(ROW(E$1:E6528)*(E2=E$1:E6528))))))</f>
        <v> </v>
      </c>
      <c r="K6529" s="26" t="str">
        <f>IF(OR(E6529="",E6529="!!!",F6529="NEW"),"",INDEX(J$1:J6528,SUMPRODUCT(MAX(ROW(E$1:E6528)*(E6529=E$1:E6528)))))</f>
        <v> </v>
      </c>
      <c r="L6529" s="27"/>
    </row>
    <row r="6530" spans="1:12">
      <c r="A6530" s="20" t="s">
        <v>1791</v>
      </c>
      <c r="E6530" s="22">
        <f>IF(D6530="?OLD","!!!","")</f>
        <v/>
      </c>
      <c r="F6530" s="23" t="str">
        <f>IF(OR(E6530="",E6530="!!!"),"",IF(NOT(ISNA(VLOOKUP(E6530,E$1:E6529,1,FALSE()))),"OLD",IF(AND(E6530&lt;&gt;"",E6530&lt;&gt;"!!!"),"NEW","")))</f>
        <v> </v>
      </c>
      <c r="G6530" s="24" t="str">
        <f>IF(OR(E6530="",E6530="!!!"),"",IF(OR(J6530=0,AND(J6530=1,K6530=1),AND(J6530=1,I6530="SBJ"),AND(J6530=1,I6530=0)),"?IN_FOCUS",IF(J6530&lt;=2,"?ACTIVATED",IF(J6530&lt;&gt;"","?FAMILIAR",IF(F6530="NEW",IF(ISNA(VLOOKUP(E6530,#REF!,1,FALSE())),"?TYPE_IDENTIFIABLE","?REFERENTIAL"),"_")))))</f>
        <v> </v>
      </c>
      <c r="H6530" s="25" t="str">
        <f>IF(J6530&lt;&gt;1,"",IF(I6530="SBJ","CB","?"))</f>
        <v> </v>
      </c>
      <c r="I6530" s="26" t="str">
        <f>IF(OR(E6530="",E6530="!!!",F6530="NEW"),"",INDEX(B6529:B$2,-1+SUMPRODUCT(MAX(ROW(E6529:E$2)*(E6530=E6529:E$2)))))</f>
        <v> </v>
      </c>
      <c r="J6530" s="26" t="str">
        <f>IF(OR(E6530="",E6530="!!!",F6530="NEW"),"",COUNTBLANK(OFFSET(A$1,,,SUMPRODUCT(MAX(ROW(E$2:E6530)*(E6530=E$2:E6530)))))-COUNTBLANK(OFFSET(A$1,,,SUMPRODUCT(MAX(ROW(E$1:E6529)*(E2=E$1:E6529))))))</f>
        <v> </v>
      </c>
      <c r="K6530" s="26" t="str">
        <f>IF(OR(E6530="",E6530="!!!",F6530="NEW"),"",INDEX(J$1:J6529,SUMPRODUCT(MAX(ROW(E$1:E6529)*(E6530=E$1:E6529)))))</f>
        <v> </v>
      </c>
      <c r="L6530" s="27"/>
    </row>
    <row r="6531" spans="1:12">
      <c r="A6531" s="20" t="s">
        <v>1029</v>
      </c>
      <c r="E6531" s="22">
        <f>IF(D6531="?OLD","!!!","")</f>
        <v/>
      </c>
      <c r="F6531" s="23" t="str">
        <f>IF(OR(E6531="",E6531="!!!"),"",IF(NOT(ISNA(VLOOKUP(E6531,E$1:E6530,1,FALSE()))),"OLD",IF(AND(E6531&lt;&gt;"",E6531&lt;&gt;"!!!"),"NEW","")))</f>
        <v> </v>
      </c>
      <c r="G6531" s="24" t="str">
        <f>IF(OR(E6531="",E6531="!!!"),"",IF(OR(J6531=0,AND(J6531=1,K6531=1),AND(J6531=1,I6531="SBJ"),AND(J6531=1,I6531=0)),"?IN_FOCUS",IF(J6531&lt;=2,"?ACTIVATED",IF(J6531&lt;&gt;"","?FAMILIAR",IF(F6531="NEW",IF(ISNA(VLOOKUP(E6531,#REF!,1,FALSE())),"?TYPE_IDENTIFIABLE","?REFERENTIAL"),"_")))))</f>
        <v> </v>
      </c>
      <c r="H6531" s="25" t="str">
        <f>IF(J6531&lt;&gt;1,"",IF(I6531="SBJ","CB","?"))</f>
        <v> </v>
      </c>
      <c r="I6531" s="26" t="str">
        <f>IF(OR(E6531="",E6531="!!!",F6531="NEW"),"",INDEX(B6530:B$2,-1+SUMPRODUCT(MAX(ROW(E6530:E$2)*(E6531=E6530:E$2)))))</f>
        <v> </v>
      </c>
      <c r="J6531" s="26" t="str">
        <f>IF(OR(E6531="",E6531="!!!",F6531="NEW"),"",COUNTBLANK(OFFSET(A$1,,,SUMPRODUCT(MAX(ROW(E$2:E6531)*(E6531=E$2:E6531)))))-COUNTBLANK(OFFSET(A$1,,,SUMPRODUCT(MAX(ROW(E$1:E6530)*(E2=E$1:E6530))))))</f>
        <v> </v>
      </c>
      <c r="K6531" s="26" t="str">
        <f>IF(OR(E6531="",E6531="!!!",F6531="NEW"),"",INDEX(J$1:J6530,SUMPRODUCT(MAX(ROW(E$1:E6530)*(E6531=E$1:E6530)))))</f>
        <v> </v>
      </c>
      <c r="L6531" s="27"/>
    </row>
    <row r="6532" spans="1:12">
      <c r="A6532" s="20" t="s">
        <v>1061</v>
      </c>
      <c r="E6532" s="22">
        <f>IF(D6532="?OLD","!!!","")</f>
        <v/>
      </c>
      <c r="F6532" s="23" t="str">
        <f>IF(OR(E6532="",E6532="!!!"),"",IF(NOT(ISNA(VLOOKUP(E6532,E$1:E6531,1,FALSE()))),"OLD",IF(AND(E6532&lt;&gt;"",E6532&lt;&gt;"!!!"),"NEW","")))</f>
        <v> </v>
      </c>
      <c r="G6532" s="24" t="str">
        <f>IF(OR(E6532="",E6532="!!!"),"",IF(OR(J6532=0,AND(J6532=1,K6532=1),AND(J6532=1,I6532="SBJ"),AND(J6532=1,I6532=0)),"?IN_FOCUS",IF(J6532&lt;=2,"?ACTIVATED",IF(J6532&lt;&gt;"","?FAMILIAR",IF(F6532="NEW",IF(ISNA(VLOOKUP(E6532,#REF!,1,FALSE())),"?TYPE_IDENTIFIABLE","?REFERENTIAL"),"_")))))</f>
        <v> </v>
      </c>
      <c r="H6532" s="25" t="str">
        <f>IF(J6532&lt;&gt;1,"",IF(I6532="SBJ","CB","?"))</f>
        <v> </v>
      </c>
      <c r="I6532" s="26" t="str">
        <f>IF(OR(E6532="",E6532="!!!",F6532="NEW"),"",INDEX(B6531:B$2,-1+SUMPRODUCT(MAX(ROW(E6531:E$2)*(E6532=E6531:E$2)))))</f>
        <v> </v>
      </c>
      <c r="J6532" s="26" t="str">
        <f>IF(OR(E6532="",E6532="!!!",F6532="NEW"),"",COUNTBLANK(OFFSET(A$1,,,SUMPRODUCT(MAX(ROW(E$2:E6532)*(E6532=E$2:E6532)))))-COUNTBLANK(OFFSET(A$1,,,SUMPRODUCT(MAX(ROW(E$1:E6531)*(E2=E$1:E6531))))))</f>
        <v> </v>
      </c>
      <c r="K6532" s="26" t="str">
        <f>IF(OR(E6532="",E6532="!!!",F6532="NEW"),"",INDEX(J$1:J6531,SUMPRODUCT(MAX(ROW(E$1:E6531)*(E6532=E$1:E6531)))))</f>
        <v> </v>
      </c>
      <c r="L6532" s="27"/>
    </row>
    <row r="6533" spans="1:12">
      <c r="A6533" s="20" t="s">
        <v>2615</v>
      </c>
      <c r="B6533" s="21" t="s">
        <v>1010</v>
      </c>
      <c r="C6533" s="21" t="s">
        <v>1034</v>
      </c>
      <c r="D6533" s="21" t="s">
        <v>997</v>
      </c>
      <c r="E6533" s="22">
        <f>IF(D6533="?OLD","!!!","")</f>
        <v/>
      </c>
      <c r="F6533" s="23" t="str">
        <f>IF(OR(E6533="",E6533="!!!"),"",IF(NOT(ISNA(VLOOKUP(E6533,E$1:E6532,1,FALSE()))),"OLD",IF(AND(E6533&lt;&gt;"",E6533&lt;&gt;"!!!"),"NEW","")))</f>
        <v> </v>
      </c>
      <c r="G6533" s="24" t="str">
        <f>IF(OR(E6533="",E6533="!!!"),"",IF(OR(J6533=0,AND(J6533=1,K6533=1),AND(J6533=1,I6533="SBJ"),AND(J6533=1,I6533=0)),"?IN_FOCUS",IF(J6533&lt;=2,"?ACTIVATED",IF(J6533&lt;&gt;"","?FAMILIAR",IF(F6533="NEW",IF(ISNA(VLOOKUP(E6533,#REF!,1,FALSE())),"?TYPE_IDENTIFIABLE","?REFERENTIAL"),"_")))))</f>
        <v> </v>
      </c>
      <c r="H6533" s="25" t="str">
        <f>IF(J6533&lt;&gt;1,"",IF(I6533="SBJ","CB","?"))</f>
        <v> </v>
      </c>
      <c r="I6533" s="26" t="str">
        <f>IF(OR(E6533="",E6533="!!!",F6533="NEW"),"",INDEX(B6532:B$2,-1+SUMPRODUCT(MAX(ROW(E6532:E$2)*(E6533=E6532:E$2)))))</f>
        <v> </v>
      </c>
      <c r="J6533" s="26" t="str">
        <f>IF(OR(E6533="",E6533="!!!",F6533="NEW"),"",COUNTBLANK(OFFSET(A$1,,,SUMPRODUCT(MAX(ROW(E$2:E6533)*(E6533=E$2:E6533)))))-COUNTBLANK(OFFSET(A$1,,,SUMPRODUCT(MAX(ROW(E$1:E6532)*(E2=E$1:E6532))))))</f>
        <v> </v>
      </c>
      <c r="K6533" s="26" t="str">
        <f>IF(OR(E6533="",E6533="!!!",F6533="NEW"),"",INDEX(J$1:J6532,SUMPRODUCT(MAX(ROW(E$1:E6532)*(E6533=E$1:E6532)))))</f>
        <v> </v>
      </c>
      <c r="L6533" s="27"/>
    </row>
    <row r="6534" spans="1:12">
      <c r="A6534" s="20" t="s">
        <v>1008</v>
      </c>
      <c r="E6534" s="22">
        <f>IF(D6534="?OLD","!!!","")</f>
        <v/>
      </c>
      <c r="F6534" s="23" t="str">
        <f>IF(OR(E6534="",E6534="!!!"),"",IF(NOT(ISNA(VLOOKUP(E6534,E$1:E6533,1,FALSE()))),"OLD",IF(AND(E6534&lt;&gt;"",E6534&lt;&gt;"!!!"),"NEW","")))</f>
        <v> </v>
      </c>
      <c r="G6534" s="24" t="str">
        <f>IF(OR(E6534="",E6534="!!!"),"",IF(OR(J6534=0,AND(J6534=1,K6534=1),AND(J6534=1,I6534="SBJ"),AND(J6534=1,I6534=0)),"?IN_FOCUS",IF(J6534&lt;=2,"?ACTIVATED",IF(J6534&lt;&gt;"","?FAMILIAR",IF(F6534="NEW",IF(ISNA(VLOOKUP(E6534,#REF!,1,FALSE())),"?TYPE_IDENTIFIABLE","?REFERENTIAL"),"_")))))</f>
        <v> </v>
      </c>
      <c r="H6534" s="25" t="str">
        <f>IF(J6534&lt;&gt;1,"",IF(I6534="SBJ","CB","?"))</f>
        <v> </v>
      </c>
      <c r="I6534" s="26" t="str">
        <f>IF(OR(E6534="",E6534="!!!",F6534="NEW"),"",INDEX(B6533:B$2,-1+SUMPRODUCT(MAX(ROW(E6533:E$2)*(E6534=E6533:E$2)))))</f>
        <v> </v>
      </c>
      <c r="J6534" s="26" t="str">
        <f>IF(OR(E6534="",E6534="!!!",F6534="NEW"),"",COUNTBLANK(OFFSET(A$1,,,SUMPRODUCT(MAX(ROW(E$2:E6534)*(E6534=E$2:E6534)))))-COUNTBLANK(OFFSET(A$1,,,SUMPRODUCT(MAX(ROW(E$1:E6533)*(E2=E$1:E6533))))))</f>
        <v> </v>
      </c>
      <c r="K6534" s="26" t="str">
        <f>IF(OR(E6534="",E6534="!!!",F6534="NEW"),"",INDEX(J$1:J6533,SUMPRODUCT(MAX(ROW(E$1:E6533)*(E6534=E$1:E6533)))))</f>
        <v> </v>
      </c>
      <c r="L6534" s="27"/>
    </row>
    <row r="6535" spans="1:12">
      <c r="A6535" s="20" t="s">
        <v>1032</v>
      </c>
      <c r="E6535" s="22">
        <f>IF(D6535="?OLD","!!!","")</f>
        <v/>
      </c>
      <c r="F6535" s="23" t="str">
        <f>IF(OR(E6535="",E6535="!!!"),"",IF(NOT(ISNA(VLOOKUP(E6535,E$1:E6534,1,FALSE()))),"OLD",IF(AND(E6535&lt;&gt;"",E6535&lt;&gt;"!!!"),"NEW","")))</f>
        <v> </v>
      </c>
      <c r="G6535" s="24" t="str">
        <f>IF(OR(E6535="",E6535="!!!"),"",IF(OR(J6535=0,AND(J6535=1,K6535=1),AND(J6535=1,I6535="SBJ"),AND(J6535=1,I6535=0)),"?IN_FOCUS",IF(J6535&lt;=2,"?ACTIVATED",IF(J6535&lt;&gt;"","?FAMILIAR",IF(F6535="NEW",IF(ISNA(VLOOKUP(E6535,#REF!,1,FALSE())),"?TYPE_IDENTIFIABLE","?REFERENTIAL"),"_")))))</f>
        <v> </v>
      </c>
      <c r="H6535" s="25" t="str">
        <f>IF(J6535&lt;&gt;1,"",IF(I6535="SBJ","CB","?"))</f>
        <v> </v>
      </c>
      <c r="I6535" s="26" t="str">
        <f>IF(OR(E6535="",E6535="!!!",F6535="NEW"),"",INDEX(B6534:B$2,-1+SUMPRODUCT(MAX(ROW(E6534:E$2)*(E6535=E6534:E$2)))))</f>
        <v> </v>
      </c>
      <c r="J6535" s="26" t="str">
        <f>IF(OR(E6535="",E6535="!!!",F6535="NEW"),"",COUNTBLANK(OFFSET(A$1,,,SUMPRODUCT(MAX(ROW(E$2:E6535)*(E6535=E$2:E6535)))))-COUNTBLANK(OFFSET(A$1,,,SUMPRODUCT(MAX(ROW(E$1:E6534)*(E2=E$1:E6534))))))</f>
        <v> </v>
      </c>
      <c r="K6535" s="26" t="str">
        <f>IF(OR(E6535="",E6535="!!!",F6535="NEW"),"",INDEX(J$1:J6534,SUMPRODUCT(MAX(ROW(E$1:E6534)*(E6535=E$1:E6534)))))</f>
        <v> </v>
      </c>
      <c r="L6535" s="27"/>
    </row>
    <row r="6536" spans="1:12">
      <c r="A6536" s="20" t="s">
        <v>2160</v>
      </c>
      <c r="B6536" s="21" t="s">
        <v>1112</v>
      </c>
      <c r="C6536" s="21" t="s">
        <v>1006</v>
      </c>
      <c r="E6536" s="22">
        <f>IF(D6536="?OLD","!!!","")</f>
        <v/>
      </c>
      <c r="F6536" s="23" t="str">
        <f>IF(OR(E6536="",E6536="!!!"),"",IF(NOT(ISNA(VLOOKUP(E6536,E$1:E6535,1,FALSE()))),"OLD",IF(AND(E6536&lt;&gt;"",E6536&lt;&gt;"!!!"),"NEW","")))</f>
        <v> </v>
      </c>
      <c r="G6536" s="24" t="str">
        <f>IF(OR(E6536="",E6536="!!!"),"",IF(OR(J6536=0,AND(J6536=1,K6536=1),AND(J6536=1,I6536="SBJ"),AND(J6536=1,I6536=0)),"?IN_FOCUS",IF(J6536&lt;=2,"?ACTIVATED",IF(J6536&lt;&gt;"","?FAMILIAR",IF(F6536="NEW",IF(ISNA(VLOOKUP(E6536,#REF!,1,FALSE())),"?TYPE_IDENTIFIABLE","?REFERENTIAL"),"_")))))</f>
        <v> </v>
      </c>
      <c r="H6536" s="25" t="str">
        <f>IF(J6536&lt;&gt;1,"",IF(I6536="SBJ","CB","?"))</f>
        <v> </v>
      </c>
      <c r="I6536" s="26" t="str">
        <f>IF(OR(E6536="",E6536="!!!",F6536="NEW"),"",INDEX(B6535:B$2,-1+SUMPRODUCT(MAX(ROW(E6535:E$2)*(E6536=E6535:E$2)))))</f>
        <v> </v>
      </c>
      <c r="J6536" s="26" t="str">
        <f>IF(OR(E6536="",E6536="!!!",F6536="NEW"),"",COUNTBLANK(OFFSET(A$1,,,SUMPRODUCT(MAX(ROW(E$2:E6536)*(E6536=E$2:E6536)))))-COUNTBLANK(OFFSET(A$1,,,SUMPRODUCT(MAX(ROW(E$1:E6535)*(E2=E$1:E6535))))))</f>
        <v> </v>
      </c>
      <c r="K6536" s="26" t="str">
        <f>IF(OR(E6536="",E6536="!!!",F6536="NEW"),"",INDEX(J$1:J6535,SUMPRODUCT(MAX(ROW(E$1:E6535)*(E6536=E$1:E6535)))))</f>
        <v> </v>
      </c>
      <c r="L6536" s="27"/>
    </row>
    <row r="6537" spans="1:12">
      <c r="A6537" s="20" t="s">
        <v>1008</v>
      </c>
      <c r="E6537" s="22">
        <f>IF(D6537="?OLD","!!!","")</f>
        <v/>
      </c>
      <c r="F6537" s="23" t="str">
        <f>IF(OR(E6537="",E6537="!!!"),"",IF(NOT(ISNA(VLOOKUP(E6537,E$1:E6536,1,FALSE()))),"OLD",IF(AND(E6537&lt;&gt;"",E6537&lt;&gt;"!!!"),"NEW","")))</f>
        <v> </v>
      </c>
      <c r="G6537" s="24" t="str">
        <f>IF(OR(E6537="",E6537="!!!"),"",IF(OR(J6537=0,AND(J6537=1,K6537=1),AND(J6537=1,I6537="SBJ"),AND(J6537=1,I6537=0)),"?IN_FOCUS",IF(J6537&lt;=2,"?ACTIVATED",IF(J6537&lt;&gt;"","?FAMILIAR",IF(F6537="NEW",IF(ISNA(VLOOKUP(E6537,#REF!,1,FALSE())),"?TYPE_IDENTIFIABLE","?REFERENTIAL"),"_")))))</f>
        <v> </v>
      </c>
      <c r="H6537" s="25" t="str">
        <f>IF(J6537&lt;&gt;1,"",IF(I6537="SBJ","CB","?"))</f>
        <v> </v>
      </c>
      <c r="I6537" s="26" t="str">
        <f>IF(OR(E6537="",E6537="!!!",F6537="NEW"),"",INDEX(B6536:B$2,-1+SUMPRODUCT(MAX(ROW(E6536:E$2)*(E6537=E6536:E$2)))))</f>
        <v> </v>
      </c>
      <c r="J6537" s="26" t="str">
        <f>IF(OR(E6537="",E6537="!!!",F6537="NEW"),"",COUNTBLANK(OFFSET(A$1,,,SUMPRODUCT(MAX(ROW(E$2:E6537)*(E6537=E$2:E6537)))))-COUNTBLANK(OFFSET(A$1,,,SUMPRODUCT(MAX(ROW(E$1:E6536)*(E2=E$1:E6536))))))</f>
        <v> </v>
      </c>
      <c r="K6537" s="26" t="str">
        <f>IF(OR(E6537="",E6537="!!!",F6537="NEW"),"",INDEX(J$1:J6536,SUMPRODUCT(MAX(ROW(E$1:E6536)*(E6537=E$1:E6536)))))</f>
        <v> </v>
      </c>
      <c r="L6537" s="27"/>
    </row>
    <row r="6538" spans="1:12">
      <c r="A6538" s="20" t="s">
        <v>1037</v>
      </c>
      <c r="E6538" s="22">
        <f>IF(D6538="?OLD","!!!","")</f>
        <v/>
      </c>
      <c r="F6538" s="23" t="str">
        <f>IF(OR(E6538="",E6538="!!!"),"",IF(NOT(ISNA(VLOOKUP(E6538,E$1:E6537,1,FALSE()))),"OLD",IF(AND(E6538&lt;&gt;"",E6538&lt;&gt;"!!!"),"NEW","")))</f>
        <v> </v>
      </c>
      <c r="G6538" s="24" t="str">
        <f>IF(OR(E6538="",E6538="!!!"),"",IF(OR(J6538=0,AND(J6538=1,K6538=1),AND(J6538=1,I6538="SBJ"),AND(J6538=1,I6538=0)),"?IN_FOCUS",IF(J6538&lt;=2,"?ACTIVATED",IF(J6538&lt;&gt;"","?FAMILIAR",IF(F6538="NEW",IF(ISNA(VLOOKUP(E6538,#REF!,1,FALSE())),"?TYPE_IDENTIFIABLE","?REFERENTIAL"),"_")))))</f>
        <v> </v>
      </c>
      <c r="H6538" s="25" t="str">
        <f>IF(J6538&lt;&gt;1,"",IF(I6538="SBJ","CB","?"))</f>
        <v> </v>
      </c>
      <c r="I6538" s="26" t="str">
        <f>IF(OR(E6538="",E6538="!!!",F6538="NEW"),"",INDEX(B6537:B$2,-1+SUMPRODUCT(MAX(ROW(E6537:E$2)*(E6538=E6537:E$2)))))</f>
        <v> </v>
      </c>
      <c r="J6538" s="26" t="str">
        <f>IF(OR(E6538="",E6538="!!!",F6538="NEW"),"",COUNTBLANK(OFFSET(A$1,,,SUMPRODUCT(MAX(ROW(E$2:E6538)*(E6538=E$2:E6538)))))-COUNTBLANK(OFFSET(A$1,,,SUMPRODUCT(MAX(ROW(E$1:E6537)*(E2=E$1:E6537))))))</f>
        <v> </v>
      </c>
      <c r="K6538" s="26" t="str">
        <f>IF(OR(E6538="",E6538="!!!",F6538="NEW"),"",INDEX(J$1:J6537,SUMPRODUCT(MAX(ROW(E$1:E6537)*(E6538=E$1:E6537)))))</f>
        <v> </v>
      </c>
      <c r="L6538" s="27"/>
    </row>
    <row r="6539" spans="1:12">
      <c r="A6539" s="20" t="s">
        <v>1560</v>
      </c>
      <c r="B6539" s="21" t="s">
        <v>1112</v>
      </c>
      <c r="C6539" s="21" t="s">
        <v>1034</v>
      </c>
      <c r="D6539" s="21" t="s">
        <v>997</v>
      </c>
      <c r="E6539" s="22">
        <f>IF(D6539="?OLD","!!!","")</f>
        <v/>
      </c>
      <c r="F6539" s="23" t="str">
        <f>IF(OR(E6539="",E6539="!!!"),"",IF(NOT(ISNA(VLOOKUP(E6539,E$1:E6538,1,FALSE()))),"OLD",IF(AND(E6539&lt;&gt;"",E6539&lt;&gt;"!!!"),"NEW","")))</f>
        <v> </v>
      </c>
      <c r="G6539" s="24" t="str">
        <f>IF(OR(E6539="",E6539="!!!"),"",IF(OR(J6539=0,AND(J6539=1,K6539=1),AND(J6539=1,I6539="SBJ"),AND(J6539=1,I6539=0)),"?IN_FOCUS",IF(J6539&lt;=2,"?ACTIVATED",IF(J6539&lt;&gt;"","?FAMILIAR",IF(F6539="NEW",IF(ISNA(VLOOKUP(E6539,#REF!,1,FALSE())),"?TYPE_IDENTIFIABLE","?REFERENTIAL"),"_")))))</f>
        <v> </v>
      </c>
      <c r="H6539" s="25" t="str">
        <f>IF(J6539&lt;&gt;1,"",IF(I6539="SBJ","CB","?"))</f>
        <v> </v>
      </c>
      <c r="I6539" s="26" t="str">
        <f>IF(OR(E6539="",E6539="!!!",F6539="NEW"),"",INDEX(B6538:B$2,-1+SUMPRODUCT(MAX(ROW(E6538:E$2)*(E6539=E6538:E$2)))))</f>
        <v> </v>
      </c>
      <c r="J6539" s="26" t="str">
        <f>IF(OR(E6539="",E6539="!!!",F6539="NEW"),"",COUNTBLANK(OFFSET(A$1,,,SUMPRODUCT(MAX(ROW(E$2:E6539)*(E6539=E$2:E6539)))))-COUNTBLANK(OFFSET(A$1,,,SUMPRODUCT(MAX(ROW(E$1:E6538)*(E2=E$1:E6538))))))</f>
        <v> </v>
      </c>
      <c r="K6539" s="26" t="str">
        <f>IF(OR(E6539="",E6539="!!!",F6539="NEW"),"",INDEX(J$1:J6538,SUMPRODUCT(MAX(ROW(E$1:E6538)*(E6539=E$1:E6538)))))</f>
        <v> </v>
      </c>
      <c r="L6539" s="27"/>
    </row>
    <row r="6540" spans="1:12">
      <c r="A6540" s="20" t="s">
        <v>1462</v>
      </c>
      <c r="E6540" s="22">
        <f>IF(D6540="?OLD","!!!","")</f>
        <v/>
      </c>
      <c r="F6540" s="23" t="str">
        <f>IF(OR(E6540="",E6540="!!!"),"",IF(NOT(ISNA(VLOOKUP(E6540,E$1:E6539,1,FALSE()))),"OLD",IF(AND(E6540&lt;&gt;"",E6540&lt;&gt;"!!!"),"NEW","")))</f>
        <v> </v>
      </c>
      <c r="G6540" s="24" t="str">
        <f>IF(OR(E6540="",E6540="!!!"),"",IF(OR(J6540=0,AND(J6540=1,K6540=1),AND(J6540=1,I6540="SBJ"),AND(J6540=1,I6540=0)),"?IN_FOCUS",IF(J6540&lt;=2,"?ACTIVATED",IF(J6540&lt;&gt;"","?FAMILIAR",IF(F6540="NEW",IF(ISNA(VLOOKUP(E6540,#REF!,1,FALSE())),"?TYPE_IDENTIFIABLE","?REFERENTIAL"),"_")))))</f>
        <v> </v>
      </c>
      <c r="H6540" s="25" t="str">
        <f>IF(J6540&lt;&gt;1,"",IF(I6540="SBJ","CB","?"))</f>
        <v> </v>
      </c>
      <c r="I6540" s="26" t="str">
        <f>IF(OR(E6540="",E6540="!!!",F6540="NEW"),"",INDEX(B6539:B$2,-1+SUMPRODUCT(MAX(ROW(E6539:E$2)*(E6540=E6539:E$2)))))</f>
        <v> </v>
      </c>
      <c r="J6540" s="26" t="str">
        <f>IF(OR(E6540="",E6540="!!!",F6540="NEW"),"",COUNTBLANK(OFFSET(A$1,,,SUMPRODUCT(MAX(ROW(E$2:E6540)*(E6540=E$2:E6540)))))-COUNTBLANK(OFFSET(A$1,,,SUMPRODUCT(MAX(ROW(E$1:E6539)*(E2=E$1:E6539))))))</f>
        <v> </v>
      </c>
      <c r="K6540" s="26" t="str">
        <f>IF(OR(E6540="",E6540="!!!",F6540="NEW"),"",INDEX(J$1:J6539,SUMPRODUCT(MAX(ROW(E$1:E6539)*(E6540=E$1:E6539)))))</f>
        <v> </v>
      </c>
      <c r="L6540" s="27"/>
    </row>
    <row r="6541" spans="1:12">
      <c r="A6541" s="20" t="s">
        <v>1069</v>
      </c>
      <c r="E6541" s="22">
        <f>IF(D6541="?OLD","!!!","")</f>
        <v/>
      </c>
      <c r="F6541" s="23" t="str">
        <f>IF(OR(E6541="",E6541="!!!"),"",IF(NOT(ISNA(VLOOKUP(E6541,E$1:E6540,1,FALSE()))),"OLD",IF(AND(E6541&lt;&gt;"",E6541&lt;&gt;"!!!"),"NEW","")))</f>
        <v> </v>
      </c>
      <c r="G6541" s="24" t="str">
        <f>IF(OR(E6541="",E6541="!!!"),"",IF(OR(J6541=0,AND(J6541=1,K6541=1),AND(J6541=1,I6541="SBJ"),AND(J6541=1,I6541=0)),"?IN_FOCUS",IF(J6541&lt;=2,"?ACTIVATED",IF(J6541&lt;&gt;"","?FAMILIAR",IF(F6541="NEW",IF(ISNA(VLOOKUP(E6541,#REF!,1,FALSE())),"?TYPE_IDENTIFIABLE","?REFERENTIAL"),"_")))))</f>
        <v> </v>
      </c>
      <c r="H6541" s="25" t="str">
        <f>IF(J6541&lt;&gt;1,"",IF(I6541="SBJ","CB","?"))</f>
        <v> </v>
      </c>
      <c r="I6541" s="26" t="str">
        <f>IF(OR(E6541="",E6541="!!!",F6541="NEW"),"",INDEX(B6540:B$2,-1+SUMPRODUCT(MAX(ROW(E6540:E$2)*(E6541=E6540:E$2)))))</f>
        <v> </v>
      </c>
      <c r="J6541" s="26" t="str">
        <f>IF(OR(E6541="",E6541="!!!",F6541="NEW"),"",COUNTBLANK(OFFSET(A$1,,,SUMPRODUCT(MAX(ROW(E$2:E6541)*(E6541=E$2:E6541)))))-COUNTBLANK(OFFSET(A$1,,,SUMPRODUCT(MAX(ROW(E$1:E6540)*(E2=E$1:E6540))))))</f>
        <v> </v>
      </c>
      <c r="K6541" s="26" t="str">
        <f>IF(OR(E6541="",E6541="!!!",F6541="NEW"),"",INDEX(J$1:J6540,SUMPRODUCT(MAX(ROW(E$1:E6540)*(E6541=E$1:E6540)))))</f>
        <v> </v>
      </c>
      <c r="L6541" s="27"/>
    </row>
    <row r="6542" spans="1:12">
      <c r="A6542" s="20" t="s">
        <v>2616</v>
      </c>
      <c r="E6542" s="22">
        <f>IF(D6542="?OLD","!!!","")</f>
        <v/>
      </c>
      <c r="F6542" s="23" t="str">
        <f>IF(OR(E6542="",E6542="!!!"),"",IF(NOT(ISNA(VLOOKUP(E6542,E$1:E6541,1,FALSE()))),"OLD",IF(AND(E6542&lt;&gt;"",E6542&lt;&gt;"!!!"),"NEW","")))</f>
        <v> </v>
      </c>
      <c r="G6542" s="24" t="str">
        <f>IF(OR(E6542="",E6542="!!!"),"",IF(OR(J6542=0,AND(J6542=1,K6542=1),AND(J6542=1,I6542="SBJ"),AND(J6542=1,I6542=0)),"?IN_FOCUS",IF(J6542&lt;=2,"?ACTIVATED",IF(J6542&lt;&gt;"","?FAMILIAR",IF(F6542="NEW",IF(ISNA(VLOOKUP(E6542,#REF!,1,FALSE())),"?TYPE_IDENTIFIABLE","?REFERENTIAL"),"_")))))</f>
        <v> </v>
      </c>
      <c r="H6542" s="25" t="str">
        <f>IF(J6542&lt;&gt;1,"",IF(I6542="SBJ","CB","?"))</f>
        <v> </v>
      </c>
      <c r="I6542" s="26" t="str">
        <f>IF(OR(E6542="",E6542="!!!",F6542="NEW"),"",INDEX(B6541:B$2,-1+SUMPRODUCT(MAX(ROW(E6541:E$2)*(E6542=E6541:E$2)))))</f>
        <v> </v>
      </c>
      <c r="J6542" s="26" t="str">
        <f>IF(OR(E6542="",E6542="!!!",F6542="NEW"),"",COUNTBLANK(OFFSET(A$1,,,SUMPRODUCT(MAX(ROW(E$2:E6542)*(E6542=E$2:E6542)))))-COUNTBLANK(OFFSET(A$1,,,SUMPRODUCT(MAX(ROW(E$1:E6541)*(E2=E$1:E6541))))))</f>
        <v> </v>
      </c>
      <c r="K6542" s="26" t="str">
        <f>IF(OR(E6542="",E6542="!!!",F6542="NEW"),"",INDEX(J$1:J6541,SUMPRODUCT(MAX(ROW(E$1:E6541)*(E6542=E$1:E6541)))))</f>
        <v> </v>
      </c>
      <c r="L6542" s="27"/>
    </row>
    <row r="6543" spans="1:12">
      <c r="A6543" s="20" t="s">
        <v>1022</v>
      </c>
      <c r="E6543" s="22">
        <f>IF(D6543="?OLD","!!!","")</f>
        <v/>
      </c>
      <c r="F6543" s="23" t="str">
        <f>IF(OR(E6543="",E6543="!!!"),"",IF(NOT(ISNA(VLOOKUP(E6543,E$1:E6542,1,FALSE()))),"OLD",IF(AND(E6543&lt;&gt;"",E6543&lt;&gt;"!!!"),"NEW","")))</f>
        <v> </v>
      </c>
      <c r="G6543" s="24" t="str">
        <f>IF(OR(E6543="",E6543="!!!"),"",IF(OR(J6543=0,AND(J6543=1,K6543=1),AND(J6543=1,I6543="SBJ"),AND(J6543=1,I6543=0)),"?IN_FOCUS",IF(J6543&lt;=2,"?ACTIVATED",IF(J6543&lt;&gt;"","?FAMILIAR",IF(F6543="NEW",IF(ISNA(VLOOKUP(E6543,#REF!,1,FALSE())),"?TYPE_IDENTIFIABLE","?REFERENTIAL"),"_")))))</f>
        <v> </v>
      </c>
      <c r="H6543" s="25" t="str">
        <f>IF(J6543&lt;&gt;1,"",IF(I6543="SBJ","CB","?"))</f>
        <v> </v>
      </c>
      <c r="I6543" s="26" t="str">
        <f>IF(OR(E6543="",E6543="!!!",F6543="NEW"),"",INDEX(B6542:B$2,-1+SUMPRODUCT(MAX(ROW(E6542:E$2)*(E6543=E6542:E$2)))))</f>
        <v> </v>
      </c>
      <c r="J6543" s="26" t="str">
        <f>IF(OR(E6543="",E6543="!!!",F6543="NEW"),"",COUNTBLANK(OFFSET(A$1,,,SUMPRODUCT(MAX(ROW(E$2:E6543)*(E6543=E$2:E6543)))))-COUNTBLANK(OFFSET(A$1,,,SUMPRODUCT(MAX(ROW(E$1:E6542)*(E2=E$1:E6542))))))</f>
        <v> </v>
      </c>
      <c r="K6543" s="26" t="str">
        <f>IF(OR(E6543="",E6543="!!!",F6543="NEW"),"",INDEX(J$1:J6542,SUMPRODUCT(MAX(ROW(E$1:E6542)*(E6543=E$1:E6542)))))</f>
        <v> </v>
      </c>
      <c r="L6543" s="27"/>
    </row>
    <row r="6544" spans="1:12">
      <c r="A6544" s="20" t="s">
        <v>1263</v>
      </c>
      <c r="B6544" s="21" t="s">
        <v>1045</v>
      </c>
      <c r="C6544" s="21" t="s">
        <v>996</v>
      </c>
      <c r="D6544" s="21" t="s">
        <v>997</v>
      </c>
      <c r="E6544" s="22">
        <f>IF(D6544="?OLD","!!!","")</f>
        <v/>
      </c>
      <c r="F6544" s="23" t="str">
        <f>IF(OR(E6544="",E6544="!!!"),"",IF(NOT(ISNA(VLOOKUP(E6544,E$1:E6543,1,FALSE()))),"OLD",IF(AND(E6544&lt;&gt;"",E6544&lt;&gt;"!!!"),"NEW","")))</f>
        <v> </v>
      </c>
      <c r="G6544" s="24" t="str">
        <f>IF(OR(E6544="",E6544="!!!"),"",IF(OR(J6544=0,AND(J6544=1,K6544=1),AND(J6544=1,I6544="SBJ"),AND(J6544=1,I6544=0)),"?IN_FOCUS",IF(J6544&lt;=2,"?ACTIVATED",IF(J6544&lt;&gt;"","?FAMILIAR",IF(F6544="NEW",IF(ISNA(VLOOKUP(E6544,#REF!,1,FALSE())),"?TYPE_IDENTIFIABLE","?REFERENTIAL"),"_")))))</f>
        <v> </v>
      </c>
      <c r="H6544" s="25" t="str">
        <f>IF(J6544&lt;&gt;1,"",IF(I6544="SBJ","CB","?"))</f>
        <v> </v>
      </c>
      <c r="I6544" s="26" t="str">
        <f>IF(OR(E6544="",E6544="!!!",F6544="NEW"),"",INDEX(B6543:B$2,-1+SUMPRODUCT(MAX(ROW(E6543:E$2)*(E6544=E6543:E$2)))))</f>
        <v> </v>
      </c>
      <c r="J6544" s="26" t="str">
        <f>IF(OR(E6544="",E6544="!!!",F6544="NEW"),"",COUNTBLANK(OFFSET(A$1,,,SUMPRODUCT(MAX(ROW(E$2:E6544)*(E6544=E$2:E6544)))))-COUNTBLANK(OFFSET(A$1,,,SUMPRODUCT(MAX(ROW(E$1:E6543)*(E2=E$1:E6543))))))</f>
        <v> </v>
      </c>
      <c r="K6544" s="26" t="str">
        <f>IF(OR(E6544="",E6544="!!!",F6544="NEW"),"",INDEX(J$1:J6543,SUMPRODUCT(MAX(ROW(E$1:E6543)*(E6544=E$1:E6543)))))</f>
        <v> </v>
      </c>
      <c r="L6544" s="27"/>
    </row>
    <row r="6545" spans="1:12">
      <c r="A6545" s="20" t="s">
        <v>2444</v>
      </c>
      <c r="E6545" s="22">
        <f>IF(D6545="?OLD","!!!","")</f>
        <v/>
      </c>
      <c r="F6545" s="23" t="str">
        <f>IF(OR(E6545="",E6545="!!!"),"",IF(NOT(ISNA(VLOOKUP(E6545,E$1:E6544,1,FALSE()))),"OLD",IF(AND(E6545&lt;&gt;"",E6545&lt;&gt;"!!!"),"NEW","")))</f>
        <v> </v>
      </c>
      <c r="G6545" s="24" t="str">
        <f>IF(OR(E6545="",E6545="!!!"),"",IF(OR(J6545=0,AND(J6545=1,K6545=1),AND(J6545=1,I6545="SBJ"),AND(J6545=1,I6545=0)),"?IN_FOCUS",IF(J6545&lt;=2,"?ACTIVATED",IF(J6545&lt;&gt;"","?FAMILIAR",IF(F6545="NEW",IF(ISNA(VLOOKUP(E6545,#REF!,1,FALSE())),"?TYPE_IDENTIFIABLE","?REFERENTIAL"),"_")))))</f>
        <v> </v>
      </c>
      <c r="H6545" s="25" t="str">
        <f>IF(J6545&lt;&gt;1,"",IF(I6545="SBJ","CB","?"))</f>
        <v> </v>
      </c>
      <c r="I6545" s="26" t="str">
        <f>IF(OR(E6545="",E6545="!!!",F6545="NEW"),"",INDEX(B6544:B$2,-1+SUMPRODUCT(MAX(ROW(E6544:E$2)*(E6545=E6544:E$2)))))</f>
        <v> </v>
      </c>
      <c r="J6545" s="26" t="str">
        <f>IF(OR(E6545="",E6545="!!!",F6545="NEW"),"",COUNTBLANK(OFFSET(A$1,,,SUMPRODUCT(MAX(ROW(E$2:E6545)*(E6545=E$2:E6545)))))-COUNTBLANK(OFFSET(A$1,,,SUMPRODUCT(MAX(ROW(E$1:E6544)*(E2=E$1:E6544))))))</f>
        <v> </v>
      </c>
      <c r="K6545" s="26" t="str">
        <f>IF(OR(E6545="",E6545="!!!",F6545="NEW"),"",INDEX(J$1:J6544,SUMPRODUCT(MAX(ROW(E$1:E6544)*(E6545=E$1:E6544)))))</f>
        <v> </v>
      </c>
      <c r="L6545" s="27"/>
    </row>
    <row r="6546" spans="1:12">
      <c r="A6546" s="20" t="s">
        <v>1270</v>
      </c>
      <c r="E6546" s="22">
        <f>IF(D6546="?OLD","!!!","")</f>
        <v/>
      </c>
      <c r="F6546" s="23" t="str">
        <f>IF(OR(E6546="",E6546="!!!"),"",IF(NOT(ISNA(VLOOKUP(E6546,E$1:E6545,1,FALSE()))),"OLD",IF(AND(E6546&lt;&gt;"",E6546&lt;&gt;"!!!"),"NEW","")))</f>
        <v> </v>
      </c>
      <c r="G6546" s="24" t="str">
        <f>IF(OR(E6546="",E6546="!!!"),"",IF(OR(J6546=0,AND(J6546=1,K6546=1),AND(J6546=1,I6546="SBJ"),AND(J6546=1,I6546=0)),"?IN_FOCUS",IF(J6546&lt;=2,"?ACTIVATED",IF(J6546&lt;&gt;"","?FAMILIAR",IF(F6546="NEW",IF(ISNA(VLOOKUP(E6546,#REF!,1,FALSE())),"?TYPE_IDENTIFIABLE","?REFERENTIAL"),"_")))))</f>
        <v> </v>
      </c>
      <c r="H6546" s="25" t="str">
        <f>IF(J6546&lt;&gt;1,"",IF(I6546="SBJ","CB","?"))</f>
        <v> </v>
      </c>
      <c r="I6546" s="26" t="str">
        <f>IF(OR(E6546="",E6546="!!!",F6546="NEW"),"",INDEX(B6545:B$2,-1+SUMPRODUCT(MAX(ROW(E6545:E$2)*(E6546=E6545:E$2)))))</f>
        <v> </v>
      </c>
      <c r="J6546" s="26" t="str">
        <f>IF(OR(E6546="",E6546="!!!",F6546="NEW"),"",COUNTBLANK(OFFSET(A$1,,,SUMPRODUCT(MAX(ROW(E$2:E6546)*(E6546=E$2:E6546)))))-COUNTBLANK(OFFSET(A$1,,,SUMPRODUCT(MAX(ROW(E$1:E6545)*(E2=E$1:E6545))))))</f>
        <v> </v>
      </c>
      <c r="K6546" s="26" t="str">
        <f>IF(OR(E6546="",E6546="!!!",F6546="NEW"),"",INDEX(J$1:J6545,SUMPRODUCT(MAX(ROW(E$1:E6545)*(E6546=E$1:E6545)))))</f>
        <v> </v>
      </c>
      <c r="L6546" s="27"/>
    </row>
    <row r="6547" spans="1:12">
      <c r="A6547" s="20" t="s">
        <v>1022</v>
      </c>
      <c r="E6547" s="22">
        <f>IF(D6547="?OLD","!!!","")</f>
        <v/>
      </c>
      <c r="F6547" s="23" t="str">
        <f>IF(OR(E6547="",E6547="!!!"),"",IF(NOT(ISNA(VLOOKUP(E6547,E$1:E6546,1,FALSE()))),"OLD",IF(AND(E6547&lt;&gt;"",E6547&lt;&gt;"!!!"),"NEW","")))</f>
        <v> </v>
      </c>
      <c r="G6547" s="24" t="str">
        <f>IF(OR(E6547="",E6547="!!!"),"",IF(OR(J6547=0,AND(J6547=1,K6547=1),AND(J6547=1,I6547="SBJ"),AND(J6547=1,I6547=0)),"?IN_FOCUS",IF(J6547&lt;=2,"?ACTIVATED",IF(J6547&lt;&gt;"","?FAMILIAR",IF(F6547="NEW",IF(ISNA(VLOOKUP(E6547,#REF!,1,FALSE())),"?TYPE_IDENTIFIABLE","?REFERENTIAL"),"_")))))</f>
        <v> </v>
      </c>
      <c r="H6547" s="25" t="str">
        <f>IF(J6547&lt;&gt;1,"",IF(I6547="SBJ","CB","?"))</f>
        <v> </v>
      </c>
      <c r="I6547" s="26" t="str">
        <f>IF(OR(E6547="",E6547="!!!",F6547="NEW"),"",INDEX(B6546:B$2,-1+SUMPRODUCT(MAX(ROW(E6546:E$2)*(E6547=E6546:E$2)))))</f>
        <v> </v>
      </c>
      <c r="J6547" s="26" t="str">
        <f>IF(OR(E6547="",E6547="!!!",F6547="NEW"),"",COUNTBLANK(OFFSET(A$1,,,SUMPRODUCT(MAX(ROW(E$2:E6547)*(E6547=E$2:E6547)))))-COUNTBLANK(OFFSET(A$1,,,SUMPRODUCT(MAX(ROW(E$1:E6546)*(E2=E$1:E6546))))))</f>
        <v> </v>
      </c>
      <c r="K6547" s="26" t="str">
        <f>IF(OR(E6547="",E6547="!!!",F6547="NEW"),"",INDEX(J$1:J6546,SUMPRODUCT(MAX(ROW(E$1:E6546)*(E6547=E$1:E6546)))))</f>
        <v> </v>
      </c>
      <c r="L6547" s="27"/>
    </row>
    <row r="6548" spans="1:12">
      <c r="A6548" s="20" t="s">
        <v>2617</v>
      </c>
      <c r="B6548" s="21" t="s">
        <v>1092</v>
      </c>
      <c r="C6548" s="21" t="s">
        <v>1025</v>
      </c>
      <c r="D6548" s="21" t="s">
        <v>997</v>
      </c>
      <c r="E6548" s="22">
        <f>IF(D6548="?OLD","!!!","")</f>
        <v/>
      </c>
      <c r="F6548" s="23" t="str">
        <f>IF(OR(E6548="",E6548="!!!"),"",IF(NOT(ISNA(VLOOKUP(E6548,E$1:E6547,1,FALSE()))),"OLD",IF(AND(E6548&lt;&gt;"",E6548&lt;&gt;"!!!"),"NEW","")))</f>
        <v> </v>
      </c>
      <c r="G6548" s="24" t="str">
        <f>IF(OR(E6548="",E6548="!!!"),"",IF(OR(J6548=0,AND(J6548=1,K6548=1),AND(J6548=1,I6548="SBJ"),AND(J6548=1,I6548=0)),"?IN_FOCUS",IF(J6548&lt;=2,"?ACTIVATED",IF(J6548&lt;&gt;"","?FAMILIAR",IF(F6548="NEW",IF(ISNA(VLOOKUP(E6548,#REF!,1,FALSE())),"?TYPE_IDENTIFIABLE","?REFERENTIAL"),"_")))))</f>
        <v> </v>
      </c>
      <c r="H6548" s="25" t="str">
        <f>IF(J6548&lt;&gt;1,"",IF(I6548="SBJ","CB","?"))</f>
        <v> </v>
      </c>
      <c r="I6548" s="26" t="str">
        <f>IF(OR(E6548="",E6548="!!!",F6548="NEW"),"",INDEX(B6547:B$2,-1+SUMPRODUCT(MAX(ROW(E6547:E$2)*(E6548=E6547:E$2)))))</f>
        <v> </v>
      </c>
      <c r="J6548" s="26" t="str">
        <f>IF(OR(E6548="",E6548="!!!",F6548="NEW"),"",COUNTBLANK(OFFSET(A$1,,,SUMPRODUCT(MAX(ROW(E$2:E6548)*(E6548=E$2:E6548)))))-COUNTBLANK(OFFSET(A$1,,,SUMPRODUCT(MAX(ROW(E$1:E6547)*(E2=E$1:E6547))))))</f>
        <v> </v>
      </c>
      <c r="K6548" s="26" t="str">
        <f>IF(OR(E6548="",E6548="!!!",F6548="NEW"),"",INDEX(J$1:J6547,SUMPRODUCT(MAX(ROW(E$1:E6547)*(E6548=E$1:E6547)))))</f>
        <v> </v>
      </c>
      <c r="L6548" s="27"/>
    </row>
    <row r="6549" spans="1:12">
      <c r="A6549" s="20" t="s">
        <v>2131</v>
      </c>
      <c r="B6549" s="21" t="s">
        <v>1094</v>
      </c>
      <c r="C6549" s="21" t="s">
        <v>1028</v>
      </c>
      <c r="D6549" s="21" t="s">
        <v>997</v>
      </c>
      <c r="E6549" s="22">
        <f>IF(D6549="?OLD","!!!","")</f>
        <v/>
      </c>
      <c r="F6549" s="23" t="str">
        <f>IF(OR(E6549="",E6549="!!!"),"",IF(NOT(ISNA(VLOOKUP(E6549,E$1:E6548,1,FALSE()))),"OLD",IF(AND(E6549&lt;&gt;"",E6549&lt;&gt;"!!!"),"NEW","")))</f>
        <v> </v>
      </c>
      <c r="G6549" s="24" t="str">
        <f>IF(OR(E6549="",E6549="!!!"),"",IF(OR(J6549=0,AND(J6549=1,K6549=1),AND(J6549=1,I6549="SBJ"),AND(J6549=1,I6549=0)),"?IN_FOCUS",IF(J6549&lt;=2,"?ACTIVATED",IF(J6549&lt;&gt;"","?FAMILIAR",IF(F6549="NEW",IF(ISNA(VLOOKUP(E6549,#REF!,1,FALSE())),"?TYPE_IDENTIFIABLE","?REFERENTIAL"),"_")))))</f>
        <v> </v>
      </c>
      <c r="H6549" s="25" t="str">
        <f>IF(J6549&lt;&gt;1,"",IF(I6549="SBJ","CB","?"))</f>
        <v> </v>
      </c>
      <c r="I6549" s="26" t="str">
        <f>IF(OR(E6549="",E6549="!!!",F6549="NEW"),"",INDEX(B6548:B$2,-1+SUMPRODUCT(MAX(ROW(E6548:E$2)*(E6549=E6548:E$2)))))</f>
        <v> </v>
      </c>
      <c r="J6549" s="26" t="str">
        <f>IF(OR(E6549="",E6549="!!!",F6549="NEW"),"",COUNTBLANK(OFFSET(A$1,,,SUMPRODUCT(MAX(ROW(E$2:E6549)*(E6549=E$2:E6549)))))-COUNTBLANK(OFFSET(A$1,,,SUMPRODUCT(MAX(ROW(E$1:E6548)*(E2=E$1:E6548))))))</f>
        <v> </v>
      </c>
      <c r="K6549" s="26" t="str">
        <f>IF(OR(E6549="",E6549="!!!",F6549="NEW"),"",INDEX(J$1:J6548,SUMPRODUCT(MAX(ROW(E$1:E6548)*(E6549=E$1:E6548)))))</f>
        <v> </v>
      </c>
      <c r="L6549" s="27"/>
    </row>
    <row r="6550" spans="1:12">
      <c r="A6550" s="20" t="s">
        <v>2197</v>
      </c>
      <c r="E6550" s="22">
        <f>IF(D6550="?OLD","!!!","")</f>
        <v/>
      </c>
      <c r="F6550" s="23" t="str">
        <f>IF(OR(E6550="",E6550="!!!"),"",IF(NOT(ISNA(VLOOKUP(E6550,E$1:E6549,1,FALSE()))),"OLD",IF(AND(E6550&lt;&gt;"",E6550&lt;&gt;"!!!"),"NEW","")))</f>
        <v> </v>
      </c>
      <c r="G6550" s="24" t="str">
        <f>IF(OR(E6550="",E6550="!!!"),"",IF(OR(J6550=0,AND(J6550=1,K6550=1),AND(J6550=1,I6550="SBJ"),AND(J6550=1,I6550=0)),"?IN_FOCUS",IF(J6550&lt;=2,"?ACTIVATED",IF(J6550&lt;&gt;"","?FAMILIAR",IF(F6550="NEW",IF(ISNA(VLOOKUP(E6550,#REF!,1,FALSE())),"?TYPE_IDENTIFIABLE","?REFERENTIAL"),"_")))))</f>
        <v> </v>
      </c>
      <c r="H6550" s="25" t="str">
        <f>IF(J6550&lt;&gt;1,"",IF(I6550="SBJ","CB","?"))</f>
        <v> </v>
      </c>
      <c r="I6550" s="26" t="str">
        <f>IF(OR(E6550="",E6550="!!!",F6550="NEW"),"",INDEX(B6549:B$2,-1+SUMPRODUCT(MAX(ROW(E6549:E$2)*(E6550=E6549:E$2)))))</f>
        <v> </v>
      </c>
      <c r="J6550" s="26" t="str">
        <f>IF(OR(E6550="",E6550="!!!",F6550="NEW"),"",COUNTBLANK(OFFSET(A$1,,,SUMPRODUCT(MAX(ROW(E$2:E6550)*(E6550=E$2:E6550)))))-COUNTBLANK(OFFSET(A$1,,,SUMPRODUCT(MAX(ROW(E$1:E6549)*(E2=E$1:E6549))))))</f>
        <v> </v>
      </c>
      <c r="K6550" s="26" t="str">
        <f>IF(OR(E6550="",E6550="!!!",F6550="NEW"),"",INDEX(J$1:J6549,SUMPRODUCT(MAX(ROW(E$1:E6549)*(E6550=E$1:E6549)))))</f>
        <v> </v>
      </c>
      <c r="L6550" s="27"/>
    </row>
    <row r="6551" spans="1:12">
      <c r="A6551" s="20" t="s">
        <v>1207</v>
      </c>
      <c r="B6551" s="21" t="s">
        <v>1043</v>
      </c>
      <c r="C6551" s="21" t="s">
        <v>1006</v>
      </c>
      <c r="E6551" s="22">
        <f>IF(D6551="?OLD","!!!","")</f>
        <v/>
      </c>
      <c r="F6551" s="23" t="str">
        <f>IF(OR(E6551="",E6551="!!!"),"",IF(NOT(ISNA(VLOOKUP(E6551,E$1:E6550,1,FALSE()))),"OLD",IF(AND(E6551&lt;&gt;"",E6551&lt;&gt;"!!!"),"NEW","")))</f>
        <v> </v>
      </c>
      <c r="G6551" s="24" t="str">
        <f>IF(OR(E6551="",E6551="!!!"),"",IF(OR(J6551=0,AND(J6551=1,K6551=1),AND(J6551=1,I6551="SBJ"),AND(J6551=1,I6551=0)),"?IN_FOCUS",IF(J6551&lt;=2,"?ACTIVATED",IF(J6551&lt;&gt;"","?FAMILIAR",IF(F6551="NEW",IF(ISNA(VLOOKUP(E6551,#REF!,1,FALSE())),"?TYPE_IDENTIFIABLE","?REFERENTIAL"),"_")))))</f>
        <v> </v>
      </c>
      <c r="H6551" s="25" t="str">
        <f>IF(J6551&lt;&gt;1,"",IF(I6551="SBJ","CB","?"))</f>
        <v> </v>
      </c>
      <c r="I6551" s="26" t="str">
        <f>IF(OR(E6551="",E6551="!!!",F6551="NEW"),"",INDEX(B6550:B$2,-1+SUMPRODUCT(MAX(ROW(E6550:E$2)*(E6551=E6550:E$2)))))</f>
        <v> </v>
      </c>
      <c r="J6551" s="26" t="str">
        <f>IF(OR(E6551="",E6551="!!!",F6551="NEW"),"",COUNTBLANK(OFFSET(A$1,,,SUMPRODUCT(MAX(ROW(E$2:E6551)*(E6551=E$2:E6551)))))-COUNTBLANK(OFFSET(A$1,,,SUMPRODUCT(MAX(ROW(E$1:E6550)*(E2=E$1:E6550))))))</f>
        <v> </v>
      </c>
      <c r="K6551" s="26" t="str">
        <f>IF(OR(E6551="",E6551="!!!",F6551="NEW"),"",INDEX(J$1:J6550,SUMPRODUCT(MAX(ROW(E$1:E6550)*(E6551=E$1:E6550)))))</f>
        <v> </v>
      </c>
      <c r="L6551" s="27"/>
    </row>
    <row r="6552" spans="1:12">
      <c r="A6552" s="20" t="s">
        <v>1011</v>
      </c>
      <c r="E6552" s="22">
        <f>IF(D6552="?OLD","!!!","")</f>
        <v/>
      </c>
      <c r="F6552" s="23" t="str">
        <f>IF(OR(E6552="",E6552="!!!"),"",IF(NOT(ISNA(VLOOKUP(E6552,E$1:E6551,1,FALSE()))),"OLD",IF(AND(E6552&lt;&gt;"",E6552&lt;&gt;"!!!"),"NEW","")))</f>
        <v> </v>
      </c>
      <c r="G6552" s="24" t="str">
        <f>IF(OR(E6552="",E6552="!!!"),"",IF(OR(J6552=0,AND(J6552=1,K6552=1),AND(J6552=1,I6552="SBJ"),AND(J6552=1,I6552=0)),"?IN_FOCUS",IF(J6552&lt;=2,"?ACTIVATED",IF(J6552&lt;&gt;"","?FAMILIAR",IF(F6552="NEW",IF(ISNA(VLOOKUP(E6552,#REF!,1,FALSE())),"?TYPE_IDENTIFIABLE","?REFERENTIAL"),"_")))))</f>
        <v> </v>
      </c>
      <c r="H6552" s="25" t="str">
        <f>IF(J6552&lt;&gt;1,"",IF(I6552="SBJ","CB","?"))</f>
        <v> </v>
      </c>
      <c r="I6552" s="26" t="str">
        <f>IF(OR(E6552="",E6552="!!!",F6552="NEW"),"",INDEX(B6551:B$2,-1+SUMPRODUCT(MAX(ROW(E6551:E$2)*(E6552=E6551:E$2)))))</f>
        <v> </v>
      </c>
      <c r="J6552" s="26" t="str">
        <f>IF(OR(E6552="",E6552="!!!",F6552="NEW"),"",COUNTBLANK(OFFSET(A$1,,,SUMPRODUCT(MAX(ROW(E$2:E6552)*(E6552=E$2:E6552)))))-COUNTBLANK(OFFSET(A$1,,,SUMPRODUCT(MAX(ROW(E$1:E6551)*(E2=E$1:E6551))))))</f>
        <v> </v>
      </c>
      <c r="K6552" s="26" t="str">
        <f>IF(OR(E6552="",E6552="!!!",F6552="NEW"),"",INDEX(J$1:J6551,SUMPRODUCT(MAX(ROW(E$1:E6551)*(E6552=E$1:E6551)))))</f>
        <v> </v>
      </c>
      <c r="L6552" s="27"/>
    </row>
    <row r="6553" spans="1:12">
      <c r="A6553" s="20"/>
    </row>
    <row r="6554" spans="1:12">
      <c r="A6554" s="20" t="s">
        <v>2618</v>
      </c>
    </row>
    <row r="6555" spans="1:12">
      <c r="A6555" s="20" t="s">
        <v>2205</v>
      </c>
      <c r="E6555" s="22">
        <f>IF(D6555="?OLD","!!!","")</f>
        <v/>
      </c>
      <c r="F6555" s="23" t="str">
        <f>IF(OR(E6555="",E6555="!!!"),"",IF(NOT(ISNA(VLOOKUP(E6555,E$1:E6554,1,FALSE()))),"OLD",IF(AND(E6555&lt;&gt;"",E6555&lt;&gt;"!!!"),"NEW","")))</f>
        <v> </v>
      </c>
      <c r="G6555" s="24" t="str">
        <f>IF(OR(E6555="",E6555="!!!"),"",IF(OR(J6555=0,AND(J6555=1,K6555=1),AND(J6555=1,I6555="SBJ"),AND(J6555=1,I6555=0)),"?IN_FOCUS",IF(J6555&lt;=2,"?ACTIVATED",IF(J6555&lt;&gt;"","?FAMILIAR",IF(F6555="NEW",IF(ISNA(VLOOKUP(E6555,#REF!,1,FALSE())),"?TYPE_IDENTIFIABLE","?REFERENTIAL"),"_")))))</f>
        <v> </v>
      </c>
      <c r="H6555" s="25" t="str">
        <f>IF(J6555&lt;&gt;1,"",IF(I6555="SBJ","CB","?"))</f>
        <v> </v>
      </c>
      <c r="I6555" s="26" t="str">
        <f>IF(OR(E6555="",E6555="!!!",F6555="NEW"),"",INDEX(B6554:B$2,-1+SUMPRODUCT(MAX(ROW(E6554:E$2)*(E6555=E6554:E$2)))))</f>
        <v> </v>
      </c>
      <c r="J6555" s="26" t="str">
        <f>IF(OR(E6555="",E6555="!!!",F6555="NEW"),"",COUNTBLANK(OFFSET(A$1,,,SUMPRODUCT(MAX(ROW(E$2:E6555)*(E6555=E$2:E6555)))))-COUNTBLANK(OFFSET(A$1,,,SUMPRODUCT(MAX(ROW(E$1:E6554)*(E2=E$1:E6554))))))</f>
        <v> </v>
      </c>
      <c r="K6555" s="26" t="str">
        <f>IF(OR(E6555="",E6555="!!!",F6555="NEW"),"",INDEX(J$1:J6554,SUMPRODUCT(MAX(ROW(E$1:E6554)*(E6555=E$1:E6554)))))</f>
        <v> </v>
      </c>
      <c r="L6555" s="27"/>
    </row>
    <row r="6556" spans="1:12">
      <c r="A6556" s="20" t="s">
        <v>1250</v>
      </c>
      <c r="E6556" s="22">
        <f>IF(D6556="?OLD","!!!","")</f>
        <v/>
      </c>
      <c r="F6556" s="23" t="str">
        <f>IF(OR(E6556="",E6556="!!!"),"",IF(NOT(ISNA(VLOOKUP(E6556,E$1:E6555,1,FALSE()))),"OLD",IF(AND(E6556&lt;&gt;"",E6556&lt;&gt;"!!!"),"NEW","")))</f>
        <v> </v>
      </c>
      <c r="G6556" s="24" t="str">
        <f>IF(OR(E6556="",E6556="!!!"),"",IF(OR(J6556=0,AND(J6556=1,K6556=1),AND(J6556=1,I6556="SBJ"),AND(J6556=1,I6556=0)),"?IN_FOCUS",IF(J6556&lt;=2,"?ACTIVATED",IF(J6556&lt;&gt;"","?FAMILIAR",IF(F6556="NEW",IF(ISNA(VLOOKUP(E6556,#REF!,1,FALSE())),"?TYPE_IDENTIFIABLE","?REFERENTIAL"),"_")))))</f>
        <v> </v>
      </c>
      <c r="H6556" s="25" t="str">
        <f>IF(J6556&lt;&gt;1,"",IF(I6556="SBJ","CB","?"))</f>
        <v> </v>
      </c>
      <c r="I6556" s="26" t="str">
        <f>IF(OR(E6556="",E6556="!!!",F6556="NEW"),"",INDEX(B6555:B$2,-1+SUMPRODUCT(MAX(ROW(E6555:E$2)*(E6556=E6555:E$2)))))</f>
        <v> </v>
      </c>
      <c r="J6556" s="26" t="str">
        <f>IF(OR(E6556="",E6556="!!!",F6556="NEW"),"",COUNTBLANK(OFFSET(A$1,,,SUMPRODUCT(MAX(ROW(E$2:E6556)*(E6556=E$2:E6556)))))-COUNTBLANK(OFFSET(A$1,,,SUMPRODUCT(MAX(ROW(E$1:E6555)*(E2=E$1:E6555))))))</f>
        <v> </v>
      </c>
      <c r="K6556" s="26" t="str">
        <f>IF(OR(E6556="",E6556="!!!",F6556="NEW"),"",INDEX(J$1:J6555,SUMPRODUCT(MAX(ROW(E$1:E6555)*(E6556=E$1:E6555)))))</f>
        <v> </v>
      </c>
      <c r="L6556" s="27"/>
    </row>
    <row r="6557" spans="1:12">
      <c r="A6557" s="20" t="s">
        <v>1011</v>
      </c>
      <c r="E6557" s="22">
        <f>IF(D6557="?OLD","!!!","")</f>
        <v/>
      </c>
      <c r="F6557" s="23" t="str">
        <f>IF(OR(E6557="",E6557="!!!"),"",IF(NOT(ISNA(VLOOKUP(E6557,E$1:E6556,1,FALSE()))),"OLD",IF(AND(E6557&lt;&gt;"",E6557&lt;&gt;"!!!"),"NEW","")))</f>
        <v> </v>
      </c>
      <c r="G6557" s="24" t="str">
        <f>IF(OR(E6557="",E6557="!!!"),"",IF(OR(J6557=0,AND(J6557=1,K6557=1),AND(J6557=1,I6557="SBJ"),AND(J6557=1,I6557=0)),"?IN_FOCUS",IF(J6557&lt;=2,"?ACTIVATED",IF(J6557&lt;&gt;"","?FAMILIAR",IF(F6557="NEW",IF(ISNA(VLOOKUP(E6557,#REF!,1,FALSE())),"?TYPE_IDENTIFIABLE","?REFERENTIAL"),"_")))))</f>
        <v> </v>
      </c>
      <c r="H6557" s="25" t="str">
        <f>IF(J6557&lt;&gt;1,"",IF(I6557="SBJ","CB","?"))</f>
        <v> </v>
      </c>
      <c r="I6557" s="26" t="str">
        <f>IF(OR(E6557="",E6557="!!!",F6557="NEW"),"",INDEX(B6556:B$2,-1+SUMPRODUCT(MAX(ROW(E6556:E$2)*(E6557=E6556:E$2)))))</f>
        <v> </v>
      </c>
      <c r="J6557" s="26" t="str">
        <f>IF(OR(E6557="",E6557="!!!",F6557="NEW"),"",COUNTBLANK(OFFSET(A$1,,,SUMPRODUCT(MAX(ROW(E$2:E6557)*(E6557=E$2:E6557)))))-COUNTBLANK(OFFSET(A$1,,,SUMPRODUCT(MAX(ROW(E$1:E6556)*(E2=E$1:E6556))))))</f>
        <v> </v>
      </c>
      <c r="K6557" s="26" t="str">
        <f>IF(OR(E6557="",E6557="!!!",F6557="NEW"),"",INDEX(J$1:J6556,SUMPRODUCT(MAX(ROW(E$1:E6556)*(E6557=E$1:E6556)))))</f>
        <v> </v>
      </c>
      <c r="L6557" s="27"/>
    </row>
    <row r="6558" spans="1:12">
      <c r="A6558" s="20"/>
    </row>
    <row r="6559" spans="1:12">
      <c r="A6559" s="20" t="s">
        <v>2619</v>
      </c>
    </row>
    <row r="6560" spans="1:12">
      <c r="A6560" s="20" t="s">
        <v>741</v>
      </c>
      <c r="E6560" s="22">
        <f>IF(D6560="?OLD","!!!","")</f>
        <v/>
      </c>
      <c r="F6560" s="23" t="str">
        <f>IF(OR(E6560="",E6560="!!!"),"",IF(NOT(ISNA(VLOOKUP(E6560,E$1:E6559,1,FALSE()))),"OLD",IF(AND(E6560&lt;&gt;"",E6560&lt;&gt;"!!!"),"NEW","")))</f>
        <v> </v>
      </c>
      <c r="G6560" s="24" t="str">
        <f>IF(OR(E6560="",E6560="!!!"),"",IF(OR(J6560=0,AND(J6560=1,K6560=1),AND(J6560=1,I6560="SBJ"),AND(J6560=1,I6560=0)),"?IN_FOCUS",IF(J6560&lt;=2,"?ACTIVATED",IF(J6560&lt;&gt;"","?FAMILIAR",IF(F6560="NEW",IF(ISNA(VLOOKUP(E6560,#REF!,1,FALSE())),"?TYPE_IDENTIFIABLE","?REFERENTIAL"),"_")))))</f>
        <v> </v>
      </c>
      <c r="H6560" s="25" t="str">
        <f>IF(J6560&lt;&gt;1,"",IF(I6560="SBJ","CB","?"))</f>
        <v> </v>
      </c>
      <c r="I6560" s="26" t="str">
        <f>IF(OR(E6560="",E6560="!!!",F6560="NEW"),"",INDEX(B6559:B$2,-1+SUMPRODUCT(MAX(ROW(E6559:E$2)*(E6560=E6559:E$2)))))</f>
        <v> </v>
      </c>
      <c r="J6560" s="26" t="str">
        <f>IF(OR(E6560="",E6560="!!!",F6560="NEW"),"",COUNTBLANK(OFFSET(A$1,,,SUMPRODUCT(MAX(ROW(E$2:E6560)*(E6560=E$2:E6560)))))-COUNTBLANK(OFFSET(A$1,,,SUMPRODUCT(MAX(ROW(E$1:E6559)*(E2=E$1:E6559))))))</f>
        <v> </v>
      </c>
      <c r="K6560" s="26" t="str">
        <f>IF(OR(E6560="",E6560="!!!",F6560="NEW"),"",INDEX(J$1:J6559,SUMPRODUCT(MAX(ROW(E$1:E6559)*(E6560=E$1:E6559)))))</f>
        <v> </v>
      </c>
      <c r="L6560" s="27"/>
    </row>
    <row r="6561" spans="1:12">
      <c r="A6561" s="20" t="s">
        <v>1513</v>
      </c>
      <c r="E6561" s="22">
        <f>IF(D6561="?OLD","!!!","")</f>
        <v/>
      </c>
      <c r="F6561" s="23" t="str">
        <f>IF(OR(E6561="",E6561="!!!"),"",IF(NOT(ISNA(VLOOKUP(E6561,E$1:E6560,1,FALSE()))),"OLD",IF(AND(E6561&lt;&gt;"",E6561&lt;&gt;"!!!"),"NEW","")))</f>
        <v> </v>
      </c>
      <c r="G6561" s="24" t="str">
        <f>IF(OR(E6561="",E6561="!!!"),"",IF(OR(J6561=0,AND(J6561=1,K6561=1),AND(J6561=1,I6561="SBJ"),AND(J6561=1,I6561=0)),"?IN_FOCUS",IF(J6561&lt;=2,"?ACTIVATED",IF(J6561&lt;&gt;"","?FAMILIAR",IF(F6561="NEW",IF(ISNA(VLOOKUP(E6561,#REF!,1,FALSE())),"?TYPE_IDENTIFIABLE","?REFERENTIAL"),"_")))))</f>
        <v> </v>
      </c>
      <c r="H6561" s="25" t="str">
        <f>IF(J6561&lt;&gt;1,"",IF(I6561="SBJ","CB","?"))</f>
        <v> </v>
      </c>
      <c r="I6561" s="26" t="str">
        <f>IF(OR(E6561="",E6561="!!!",F6561="NEW"),"",INDEX(B6560:B$2,-1+SUMPRODUCT(MAX(ROW(E6560:E$2)*(E6561=E6560:E$2)))))</f>
        <v> </v>
      </c>
      <c r="J6561" s="26" t="str">
        <f>IF(OR(E6561="",E6561="!!!",F6561="NEW"),"",COUNTBLANK(OFFSET(A$1,,,SUMPRODUCT(MAX(ROW(E$2:E6561)*(E6561=E$2:E6561)))))-COUNTBLANK(OFFSET(A$1,,,SUMPRODUCT(MAX(ROW(E$1:E6560)*(E2=E$1:E6560))))))</f>
        <v> </v>
      </c>
      <c r="K6561" s="26" t="str">
        <f>IF(OR(E6561="",E6561="!!!",F6561="NEW"),"",INDEX(J$1:J6560,SUMPRODUCT(MAX(ROW(E$1:E6560)*(E6561=E$1:E6560)))))</f>
        <v> </v>
      </c>
      <c r="L6561" s="27"/>
    </row>
    <row r="6562" spans="1:12">
      <c r="A6562" s="20" t="s">
        <v>994</v>
      </c>
      <c r="B6562" s="21" t="s">
        <v>1142</v>
      </c>
      <c r="C6562" s="21" t="s">
        <v>996</v>
      </c>
      <c r="D6562" s="21" t="s">
        <v>997</v>
      </c>
      <c r="E6562" s="22">
        <f>IF(D6562="?OLD","!!!","")</f>
        <v/>
      </c>
      <c r="F6562" s="23" t="str">
        <f>IF(OR(E6562="",E6562="!!!"),"",IF(NOT(ISNA(VLOOKUP(E6562,E$1:E6561,1,FALSE()))),"OLD",IF(AND(E6562&lt;&gt;"",E6562&lt;&gt;"!!!"),"NEW","")))</f>
        <v> </v>
      </c>
      <c r="G6562" s="24" t="str">
        <f>IF(OR(E6562="",E6562="!!!"),"",IF(OR(J6562=0,AND(J6562=1,K6562=1),AND(J6562=1,I6562="SBJ"),AND(J6562=1,I6562=0)),"?IN_FOCUS",IF(J6562&lt;=2,"?ACTIVATED",IF(J6562&lt;&gt;"","?FAMILIAR",IF(F6562="NEW",IF(ISNA(VLOOKUP(E6562,#REF!,1,FALSE())),"?TYPE_IDENTIFIABLE","?REFERENTIAL"),"_")))))</f>
        <v> </v>
      </c>
      <c r="H6562" s="25" t="str">
        <f>IF(J6562&lt;&gt;1,"",IF(I6562="SBJ","CB","?"))</f>
        <v> </v>
      </c>
      <c r="I6562" s="26" t="str">
        <f>IF(OR(E6562="",E6562="!!!",F6562="NEW"),"",INDEX(B6561:B$2,-1+SUMPRODUCT(MAX(ROW(E6561:E$2)*(E6562=E6561:E$2)))))</f>
        <v> </v>
      </c>
      <c r="J6562" s="26" t="str">
        <f>IF(OR(E6562="",E6562="!!!",F6562="NEW"),"",COUNTBLANK(OFFSET(A$1,,,SUMPRODUCT(MAX(ROW(E$2:E6562)*(E6562=E$2:E6562)))))-COUNTBLANK(OFFSET(A$1,,,SUMPRODUCT(MAX(ROW(E$1:E6561)*(E2=E$1:E6561))))))</f>
        <v> </v>
      </c>
      <c r="K6562" s="26" t="str">
        <f>IF(OR(E6562="",E6562="!!!",F6562="NEW"),"",INDEX(J$1:J6561,SUMPRODUCT(MAX(ROW(E$1:E6561)*(E6562=E$1:E6561)))))</f>
        <v> </v>
      </c>
      <c r="L6562" s="27"/>
    </row>
    <row r="6563" spans="1:12">
      <c r="A6563" s="20" t="s">
        <v>1000</v>
      </c>
      <c r="B6563" s="21" t="s">
        <v>1001</v>
      </c>
      <c r="C6563" s="21" t="s">
        <v>996</v>
      </c>
      <c r="D6563" s="21" t="s">
        <v>997</v>
      </c>
      <c r="E6563" s="22">
        <f>IF(D6563="?OLD","!!!","")</f>
        <v/>
      </c>
      <c r="F6563" s="23" t="str">
        <f>IF(OR(E6563="",E6563="!!!"),"",IF(NOT(ISNA(VLOOKUP(E6563,E$1:E6562,1,FALSE()))),"OLD",IF(AND(E6563&lt;&gt;"",E6563&lt;&gt;"!!!"),"NEW","")))</f>
        <v> </v>
      </c>
      <c r="G6563" s="24" t="str">
        <f>IF(OR(E6563="",E6563="!!!"),"",IF(OR(J6563=0,AND(J6563=1,K6563=1),AND(J6563=1,I6563="SBJ"),AND(J6563=1,I6563=0)),"?IN_FOCUS",IF(J6563&lt;=2,"?ACTIVATED",IF(J6563&lt;&gt;"","?FAMILIAR",IF(F6563="NEW",IF(ISNA(VLOOKUP(E6563,#REF!,1,FALSE())),"?TYPE_IDENTIFIABLE","?REFERENTIAL"),"_")))))</f>
        <v> </v>
      </c>
      <c r="H6563" s="25" t="str">
        <f>IF(J6563&lt;&gt;1,"",IF(I6563="SBJ","CB","?"))</f>
        <v> </v>
      </c>
      <c r="I6563" s="26" t="str">
        <f>IF(OR(E6563="",E6563="!!!",F6563="NEW"),"",INDEX(B6562:B$2,-1+SUMPRODUCT(MAX(ROW(E6562:E$2)*(E6563=E6562:E$2)))))</f>
        <v> </v>
      </c>
      <c r="J6563" s="26" t="str">
        <f>IF(OR(E6563="",E6563="!!!",F6563="NEW"),"",COUNTBLANK(OFFSET(A$1,,,SUMPRODUCT(MAX(ROW(E$2:E6563)*(E6563=E$2:E6563)))))-COUNTBLANK(OFFSET(A$1,,,SUMPRODUCT(MAX(ROW(E$1:E6562)*(E2=E$1:E6562))))))</f>
        <v> </v>
      </c>
      <c r="K6563" s="26" t="str">
        <f>IF(OR(E6563="",E6563="!!!",F6563="NEW"),"",INDEX(J$1:J6562,SUMPRODUCT(MAX(ROW(E$1:E6562)*(E6563=E$1:E6562)))))</f>
        <v> </v>
      </c>
      <c r="L6563" s="27"/>
    </row>
    <row r="6564" spans="1:12">
      <c r="A6564" s="20" t="s">
        <v>2620</v>
      </c>
      <c r="E6564" s="22">
        <f>IF(D6564="?OLD","!!!","")</f>
        <v/>
      </c>
      <c r="F6564" s="23" t="str">
        <f>IF(OR(E6564="",E6564="!!!"),"",IF(NOT(ISNA(VLOOKUP(E6564,E$1:E6563,1,FALSE()))),"OLD",IF(AND(E6564&lt;&gt;"",E6564&lt;&gt;"!!!"),"NEW","")))</f>
        <v> </v>
      </c>
      <c r="G6564" s="24" t="str">
        <f>IF(OR(E6564="",E6564="!!!"),"",IF(OR(J6564=0,AND(J6564=1,K6564=1),AND(J6564=1,I6564="SBJ"),AND(J6564=1,I6564=0)),"?IN_FOCUS",IF(J6564&lt;=2,"?ACTIVATED",IF(J6564&lt;&gt;"","?FAMILIAR",IF(F6564="NEW",IF(ISNA(VLOOKUP(E6564,#REF!,1,FALSE())),"?TYPE_IDENTIFIABLE","?REFERENTIAL"),"_")))))</f>
        <v> </v>
      </c>
      <c r="H6564" s="25" t="str">
        <f>IF(J6564&lt;&gt;1,"",IF(I6564="SBJ","CB","?"))</f>
        <v> </v>
      </c>
      <c r="I6564" s="26" t="str">
        <f>IF(OR(E6564="",E6564="!!!",F6564="NEW"),"",INDEX(B6563:B$2,-1+SUMPRODUCT(MAX(ROW(E6563:E$2)*(E6564=E6563:E$2)))))</f>
        <v> </v>
      </c>
      <c r="J6564" s="26" t="str">
        <f>IF(OR(E6564="",E6564="!!!",F6564="NEW"),"",COUNTBLANK(OFFSET(A$1,,,SUMPRODUCT(MAX(ROW(E$2:E6564)*(E6564=E$2:E6564)))))-COUNTBLANK(OFFSET(A$1,,,SUMPRODUCT(MAX(ROW(E$1:E6563)*(E2=E$1:E6563))))))</f>
        <v> </v>
      </c>
      <c r="K6564" s="26" t="str">
        <f>IF(OR(E6564="",E6564="!!!",F6564="NEW"),"",INDEX(J$1:J6563,SUMPRODUCT(MAX(ROW(E$1:E6563)*(E6564=E$1:E6563)))))</f>
        <v> </v>
      </c>
      <c r="L6564" s="27"/>
    </row>
    <row r="6565" spans="1:12">
      <c r="A6565" s="20" t="s">
        <v>1011</v>
      </c>
      <c r="E6565" s="22">
        <f>IF(D6565="?OLD","!!!","")</f>
        <v/>
      </c>
      <c r="F6565" s="23" t="str">
        <f>IF(OR(E6565="",E6565="!!!"),"",IF(NOT(ISNA(VLOOKUP(E6565,E$1:E6564,1,FALSE()))),"OLD",IF(AND(E6565&lt;&gt;"",E6565&lt;&gt;"!!!"),"NEW","")))</f>
        <v> </v>
      </c>
      <c r="G6565" s="24" t="str">
        <f>IF(OR(E6565="",E6565="!!!"),"",IF(OR(J6565=0,AND(J6565=1,K6565=1),AND(J6565=1,I6565="SBJ"),AND(J6565=1,I6565=0)),"?IN_FOCUS",IF(J6565&lt;=2,"?ACTIVATED",IF(J6565&lt;&gt;"","?FAMILIAR",IF(F6565="NEW",IF(ISNA(VLOOKUP(E6565,#REF!,1,FALSE())),"?TYPE_IDENTIFIABLE","?REFERENTIAL"),"_")))))</f>
        <v> </v>
      </c>
      <c r="H6565" s="25" t="str">
        <f>IF(J6565&lt;&gt;1,"",IF(I6565="SBJ","CB","?"))</f>
        <v> </v>
      </c>
      <c r="I6565" s="26" t="str">
        <f>IF(OR(E6565="",E6565="!!!",F6565="NEW"),"",INDEX(B6564:B$2,-1+SUMPRODUCT(MAX(ROW(E6564:E$2)*(E6565=E6564:E$2)))))</f>
        <v> </v>
      </c>
      <c r="J6565" s="26" t="str">
        <f>IF(OR(E6565="",E6565="!!!",F6565="NEW"),"",COUNTBLANK(OFFSET(A$1,,,SUMPRODUCT(MAX(ROW(E$2:E6565)*(E6565=E$2:E6565)))))-COUNTBLANK(OFFSET(A$1,,,SUMPRODUCT(MAX(ROW(E$1:E6564)*(E2=E$1:E6564))))))</f>
        <v> </v>
      </c>
      <c r="K6565" s="26" t="str">
        <f>IF(OR(E6565="",E6565="!!!",F6565="NEW"),"",INDEX(J$1:J6564,SUMPRODUCT(MAX(ROW(E$1:E6564)*(E6565=E$1:E6564)))))</f>
        <v> </v>
      </c>
      <c r="L6565" s="27"/>
    </row>
    <row r="6566" spans="1:12">
      <c r="A656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2024-12-05T18:01:44Z</dcterms:created>
  <dcterms:modified xsi:type="dcterms:W3CDTF">2024-12-05T18:01:44Z</dcterms:modified>
</cp:coreProperties>
</file>