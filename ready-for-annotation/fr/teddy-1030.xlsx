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<sst xmlns="http://schemas.openxmlformats.org/spreadsheetml/2006/main" count="8672" uniqueCount="1782">
  <si>
    <t>ID</t>
  </si>
  <si>
    <t>PRED_ID</t>
  </si>
  <si>
    <t>MARKER_AUTO</t>
  </si>
  <si>
    <t>PREDICATE</t>
  </si>
  <si>
    <t>TEXT</t>
  </si>
  <si>
    <t>SENTENCE</t>
  </si>
  <si>
    <t>MARKER</t>
  </si>
  <si>
    <t>TARGET</t>
  </si>
  <si>
    <t>RELATION</t>
  </si>
  <si>
    <t>COMMENT</t>
  </si>
  <si>
    <t>1</t>
  </si>
  <si>
    <t>5</t>
  </si>
  <si>
    <t>_</t>
  </si>
  <si>
    <t>parler</t>
  </si>
  <si>
    <t>Aujourd'hui tout le monde parle du de le bonheur .</t>
  </si>
  <si>
    <t>file://conllu/fr/teddy-1030.conllu#s1_0</t>
  </si>
  <si>
    <t>2</t>
  </si>
  <si>
    <t>3</t>
  </si>
  <si>
    <t>avoir</t>
  </si>
  <si>
    <t>Il y a quelqu'un qui voulait compter le nombre de livres publiés au à le cours des de les 5 dernières années , dont le titre contenait &amp;quot; bonheur &amp;quot; .</t>
  </si>
  <si>
    <t>file://conllu/fr/teddy-1030.conllu#s2_0</t>
  </si>
  <si>
    <t>en?</t>
  </si>
  <si>
    <t>abandonner</t>
  </si>
  <si>
    <t>Il a abandonné au à le bout du de le 40ème , il y en avait bien plus .</t>
  </si>
  <si>
    <t>file://conllu/fr/teddy-1030.conllu#s3_0</t>
  </si>
  <si>
    <t>4</t>
  </si>
  <si>
    <t>6</t>
  </si>
  <si>
    <t>à?</t>
  </si>
  <si>
    <t>devenir</t>
  </si>
  <si>
    <t>Le thème du de le bonheur devient à la mode parmi les chercheurs .</t>
  </si>
  <si>
    <t>file://conllu/fr/teddy-1030.conllu#s4_0</t>
  </si>
  <si>
    <t>Il y a plein de techniques de coaching du de le bonheur .</t>
  </si>
  <si>
    <t>file://conllu/fr/teddy-1030.conllu#s5_0</t>
  </si>
  <si>
    <t>vouloir</t>
  </si>
  <si>
    <t>Tout le monde veut rendre les autres plus heureux .</t>
  </si>
  <si>
    <t>file://conllu/fr/teddy-1030.conllu#s6_0</t>
  </si>
  <si>
    <t>7</t>
  </si>
  <si>
    <t>10</t>
  </si>
  <si>
    <t>mais?</t>
  </si>
  <si>
    <t>subsister</t>
  </si>
  <si>
    <t>Mais malgré le nombre incalculable de travaux , il subsiste des de les pièges cognitifs qui empêchent d' avoir une vision correcte du de le bonheur .</t>
  </si>
  <si>
    <t>file://conllu/fr/teddy-1030.conllu#s7_0</t>
  </si>
  <si>
    <t>8</t>
  </si>
  <si>
    <t>porter</t>
  </si>
  <si>
    <t>Mon discours aujourd'hui portera principalement sur ces pièges cognitifs .</t>
  </si>
  <si>
    <t>file://conllu/fr/teddy-1030.conllu#s8_0</t>
  </si>
  <si>
    <t>9</t>
  </si>
  <si>
    <t>intéresser</t>
  </si>
  <si>
    <t>Il intéressera les novices qui réfléchissent à leur propre bonheur mais aussi les érudits qui pensent au à le bonheur , car , au à le final , nous sommes tous aussi paumés les uns que les autres .</t>
  </si>
  <si>
    <t>file://conllu/fr/teddy-1030.conllu#s9_0</t>
  </si>
  <si>
    <t>être (être rejet)</t>
  </si>
  <si>
    <t>Le premier piège est le rejet de la complexité .</t>
  </si>
  <si>
    <t>file://conllu/fr/teddy-1030.conllu#s10_0</t>
  </si>
  <si>
    <t>11</t>
  </si>
  <si>
    <t>provenir</t>
  </si>
  <si>
    <t>Cela provient du de le fait que le mot &amp;quot; bonheur &amp;quot; n' est simplement plus un mot utile , parce que nous l' utilisons pour trop de choses .</t>
  </si>
  <si>
    <t>file://conllu/fr/teddy-1030.conllu#s11_0</t>
  </si>
  <si>
    <t>12</t>
  </si>
  <si>
    <t>finalement?</t>
  </si>
  <si>
    <t>pourroir</t>
  </si>
  <si>
    <t>D' après moi , nous pourrions le restreindre à une signification particulière mais finalement c' est une voie à abandonner et nous allons devoir adopter la notion plus complexe de ce qu' est le bien-être .</t>
  </si>
  <si>
    <t>file://conllu/fr/teddy-1030.conllu#s12_0</t>
  </si>
  <si>
    <t>13</t>
  </si>
  <si>
    <t>être (être confusion)</t>
  </si>
  <si>
    <t>Le deuxième piège cognitif est la confusion entre le vécu et la mémoire : c' est simplement la différence entre être heureux dans sa vie et être heureux de sa vie , ou avec sa vie .</t>
  </si>
  <si>
    <t>file://conllu/fr/teddy-1030.conllu#s13_0</t>
  </si>
  <si>
    <t>14</t>
  </si>
  <si>
    <t>et?</t>
  </si>
  <si>
    <t>être (être différent)</t>
  </si>
  <si>
    <t>Et ces deux concepts sont très différents , et ils sont mélangés dans la notion du de le bohneur .</t>
  </si>
  <si>
    <t>file://conllu/fr/teddy-1030.conllu#s14_0</t>
  </si>
  <si>
    <t>15</t>
  </si>
  <si>
    <t>être (être biais)</t>
  </si>
  <si>
    <t>Le troisième [ piège ] est le &amp;quot; biais de focalisation &amp;quot; , et c' est ce malheureux phénomène qui fait qu' on ne peut envisager aucun évènement affectant notre bien-être sans déformer son importance .</t>
  </si>
  <si>
    <t>file://conllu/fr/teddy-1030.conllu#s15_0</t>
  </si>
  <si>
    <t>16</t>
  </si>
  <si>
    <t>dire (dire vouloir)</t>
  </si>
  <si>
    <t>Je veux dire , ça , c' est un vrai piège cognitif .</t>
  </si>
  <si>
    <t>file://conllu/fr/teddy-1030.conllu#s16_0</t>
  </si>
  <si>
    <t>17</t>
  </si>
  <si>
    <t>être (être impossible)</t>
  </si>
  <si>
    <t>Il est impossible de de le percevoir correctement .</t>
  </si>
  <si>
    <t>file://conllu/fr/teddy-1030.conllu#s17_0</t>
  </si>
  <si>
    <t>18</t>
  </si>
  <si>
    <t>aller</t>
  </si>
  <si>
    <t>Je vais prendre l' exemple maintenant d' une personne qui a témoigné après une de mes conférences .</t>
  </si>
  <si>
    <t>file://conllu/fr/teddy-1030.conllu#s18_0</t>
  </si>
  <si>
    <t>19</t>
  </si>
  <si>
    <t>voici</t>
  </si>
  <si>
    <t>Voici l' histoire :</t>
  </si>
  <si>
    <t>file://conllu/fr/teddy-1030.conllu#s19_0</t>
  </si>
  <si>
    <t>20</t>
  </si>
  <si>
    <t>écouter (écouter raconter)</t>
  </si>
  <si>
    <t>Il raconta qu' il avait écouté une symphonie et qu' elle était fabuleuse et tout à la fin de la lecture , il y a eu un horrible son strident .</t>
  </si>
  <si>
    <t>file://conllu/fr/teddy-1030.conllu#s20_0</t>
  </si>
  <si>
    <t>21</t>
  </si>
  <si>
    <t>ajouter</t>
  </si>
  <si>
    <t>Et il ajouta , assez ému , que ça avait gâché toute l' expérience .</t>
  </si>
  <si>
    <t>file://conllu/fr/teddy-1030.conllu#s21_0</t>
  </si>
  <si>
    <t>22</t>
  </si>
  <si>
    <t>non</t>
  </si>
  <si>
    <t>Mais non !</t>
  </si>
  <si>
    <t>file://conllu/fr/teddy-1030.conllu#s22_0</t>
  </si>
  <si>
    <t>23</t>
  </si>
  <si>
    <t>être (être souvenir)</t>
  </si>
  <si>
    <t>Ce sont les souvenirs de l' expérience qui avaient été gâchés .</t>
  </si>
  <si>
    <t>file://conllu/fr/teddy-1030.conllu#s23_0</t>
  </si>
  <si>
    <t>24</t>
  </si>
  <si>
    <t>vivre</t>
  </si>
  <si>
    <t>Il avait vécu cette expérience .</t>
  </si>
  <si>
    <t>file://conllu/fr/teddy-1030.conllu#s24_0</t>
  </si>
  <si>
    <t>25</t>
  </si>
  <si>
    <t>Il avait eu 20 minutes de musique fantastique .</t>
  </si>
  <si>
    <t>file://conllu/fr/teddy-1030.conllu#s25_0</t>
  </si>
  <si>
    <t>26</t>
  </si>
  <si>
    <t>Elles n' avaient plus aucune valeur , parce que ce qui lui restait , c' était un souvenir ;</t>
  </si>
  <si>
    <t>file://conllu/fr/teddy-1030.conllu#s26_0</t>
  </si>
  <si>
    <t>27</t>
  </si>
  <si>
    <t>fiche</t>
  </si>
  <si>
    <t>Le souvenir était fichu , et ce souvenir , c' est tout ce qui lui restait .</t>
  </si>
  <si>
    <t>file://conllu/fr/teddy-1030.conllu#s27_0</t>
  </si>
  <si>
    <t>28</t>
  </si>
  <si>
    <t>enseigne</t>
  </si>
  <si>
    <t>Cela nous enseigne , au à le fond , que nous ne pouvons que percevoir nous et les autres en deux entités bien distinctes .</t>
  </si>
  <si>
    <t>file://conllu/fr/teddy-1030.conllu#s28_0</t>
  </si>
  <si>
    <t>29</t>
  </si>
  <si>
    <t>Il y a un moi qui expérimente [ dans l' instant ] , qui se vit dans le présent et connait le présent , il est capable de revivre le passé , mais , essentiellement ,tout ce qu' il a , c' est le présent .</t>
  </si>
  <si>
    <t>file://conllu/fr/teddy-1030.conllu#s29_0</t>
  </si>
  <si>
    <t>30</t>
  </si>
  <si>
    <t>s'?</t>
  </si>
  <si>
    <t>approcher</t>
  </si>
  <si>
    <t>C' est cet être qui expérimente dont le médecin s' approche Vous savez , quand le médecin demande , &amp;quot; Ça fait mal si je vous touche là ? &amp;quot;</t>
  </si>
  <si>
    <t>file://conllu/fr/teddy-1030.conllu#s30_0</t>
  </si>
  <si>
    <t>31</t>
  </si>
  <si>
    <t>et puis?</t>
  </si>
  <si>
    <t>Et puis , il y a le moi qui se souvient , et c' est celui qui tient les comptes , et sauvegarde l' histoire de notre vie , et c' est lui dont le médecin s' approche et à qui il demande : Comment vous sentiez -vous ces derniers jours ? &amp;quot; ou &amp;quot; Comment s' est passé votre séjour en Albanie ? &amp;quot; , ou des de les choses du de le genre .</t>
  </si>
  <si>
    <t>file://conllu/fr/teddy-1030.conllu#s31_0</t>
  </si>
  <si>
    <t>32</t>
  </si>
  <si>
    <t>Ces deux entités sont très différentes , le moi de l' expérience et le moi du de le souvenir et les confondre est une des de les sources du de le problème dans la notion de bonheur .</t>
  </si>
  <si>
    <t>file://conllu/fr/teddy-1030.conllu#s32_0</t>
  </si>
  <si>
    <t>33</t>
  </si>
  <si>
    <t>être (être raconteur)</t>
  </si>
  <si>
    <t>Le moi du de le souvenir est un raconteur d' histoires .</t>
  </si>
  <si>
    <t>file://conllu/fr/teddy-1030.conllu#s33_0</t>
  </si>
  <si>
    <t>34</t>
  </si>
  <si>
    <t>commencer</t>
  </si>
  <si>
    <t>Et ça commence vraiment par un réflexe élémentaire de notre mémoire cela se fait immédiatement .</t>
  </si>
  <si>
    <t>file://conllu/fr/teddy-1030.conllu#s34_0</t>
  </si>
  <si>
    <t>35</t>
  </si>
  <si>
    <t>quand?</t>
  </si>
  <si>
    <t>raconter</t>
  </si>
  <si>
    <t>On ne raconte pas juste des de les histoires , quand on commence à raconter une histoire .</t>
  </si>
  <si>
    <t>file://conllu/fr/teddy-1030.conllu#s35_0</t>
  </si>
  <si>
    <t>36</t>
  </si>
  <si>
    <t>être (être histoire)</t>
  </si>
  <si>
    <t>C' est notre mémoire qui nous raconte des de les histoires , en fait , ce que nous retenons de notre vécu est une histoire .</t>
  </si>
  <si>
    <t>file://conllu/fr/teddy-1030.conllu#s36_0</t>
  </si>
  <si>
    <t>37</t>
  </si>
  <si>
    <t>laisser</t>
  </si>
  <si>
    <t>Et laissez moi commencer par un exemple .</t>
  </si>
  <si>
    <t>file://conllu/fr/teddy-1030.conllu#s37_0</t>
  </si>
  <si>
    <t>38</t>
  </si>
  <si>
    <t>tirer</t>
  </si>
  <si>
    <t>Il est tiré d' une vieille étude .</t>
  </si>
  <si>
    <t>file://conllu/fr/teddy-1030.conllu#s38_0</t>
  </si>
  <si>
    <t>40</t>
  </si>
  <si>
    <t>Je ne vais pas rentrer dans les détails .</t>
  </si>
  <si>
    <t>file://conllu/fr/teddy-1030.conllu#s40_0</t>
  </si>
  <si>
    <t>41</t>
  </si>
  <si>
    <t>être (être douloureux)</t>
  </si>
  <si>
    <t>Ce n' est plus douloureux de nos jours , mais ca l' était à l' époque de cette étude , dans les années 90 .</t>
  </si>
  <si>
    <t>file://conllu/fr/teddy-1030.conllu#s41_0</t>
  </si>
  <si>
    <t>42</t>
  </si>
  <si>
    <t>décrire (décrire demander)</t>
  </si>
  <si>
    <t>On leur demanda de décrire leur douleur toutes les 60 secondes .</t>
  </si>
  <si>
    <t>file://conllu/fr/teddy-1030.conllu#s42_0</t>
  </si>
  <si>
    <t>43</t>
  </si>
  <si>
    <t>Voici l' enregistrement de deux patients .</t>
  </si>
  <si>
    <t>file://conllu/fr/teddy-1030.conllu#s43_0</t>
  </si>
  <si>
    <t>44</t>
  </si>
  <si>
    <t>souffrir</t>
  </si>
  <si>
    <t>La question est : &amp;quot; Lequel a souffert le plus ? &amp;quot; C' est une question très simple .</t>
  </si>
  <si>
    <t>file://conllu/fr/teddy-1030.conllu#s44_0</t>
  </si>
  <si>
    <t>45</t>
  </si>
  <si>
    <t>être (être clair)</t>
  </si>
  <si>
    <t>Il est clair que le patient B a plus souffert .</t>
  </si>
  <si>
    <t>file://conllu/fr/teddy-1030.conllu#s45_0</t>
  </si>
  <si>
    <t>46</t>
  </si>
  <si>
    <t>encore?</t>
  </si>
  <si>
    <t>durer</t>
  </si>
  <si>
    <t>Sa coloscopie durait plus longtemps , et pour chaque minute de souffrance pour le patient A , B souffrait aussi , mais encore plus .</t>
  </si>
  <si>
    <t>file://conllu/fr/teddy-1030.conllu#s46_0</t>
  </si>
  <si>
    <t>47</t>
  </si>
  <si>
    <t>Mais voici une deuxième question : &amp;quot; À quel point ces patients pensent -ils avoir souffert ? &amp;quot; Et voilà une surprise :</t>
  </si>
  <si>
    <t>file://conllu/fr/teddy-1030.conllu#s47_0</t>
  </si>
  <si>
    <t>48</t>
  </si>
  <si>
    <t>C' est que le patient A a un bien pire souvenir de la coloscopie que le patient B.</t>
  </si>
  <si>
    <t>file://conllu/fr/teddy-1030.conllu#s48_0</t>
  </si>
  <si>
    <t>49</t>
  </si>
  <si>
    <t>être (être terminer)</t>
  </si>
  <si>
    <t>Le déroulement des de les coloscopies était différent , un point très important de ces histoires est comment elles se terminent et aucune des de les ces expériences n' était agréable ou motivante mais l' une d' entre elles peut se distinguer ... ( Rires ) mais l' une d' entre elles est distinctement pire que l' autre .</t>
  </si>
  <si>
    <t>file://conllu/fr/teddy-1030.conllu#s49_0</t>
  </si>
  <si>
    <t>50</t>
  </si>
  <si>
    <t>être (être celui)</t>
  </si>
  <si>
    <t>Et la pire est celle où la douleur atteint un pic tout à la fin .</t>
  </si>
  <si>
    <t>file://conllu/fr/teddy-1030.conllu#s50_0</t>
  </si>
  <si>
    <t>51</t>
  </si>
  <si>
    <t>C' est une sale histoire .</t>
  </si>
  <si>
    <t>file://conllu/fr/teddy-1030.conllu#s51_0</t>
  </si>
  <si>
    <t>52</t>
  </si>
  <si>
    <t>savoir</t>
  </si>
  <si>
    <t>Comment savons -nous cela ?</t>
  </si>
  <si>
    <t>file://conllu/fr/teddy-1030.conllu#s52_0</t>
  </si>
  <si>
    <t>53</t>
  </si>
  <si>
    <t>après?</t>
  </si>
  <si>
    <t>demander</t>
  </si>
  <si>
    <t>Parceque nous avons demandé à ces personnes , juste après leur coloscopie , et également longtemps après , &amp;quot; Finalement , à quel point est -ce que ça a été dur ? &amp;quot; Et A avait des de les biens pires souvenirs que B. En fait , c' est un conflit direct entre le moi de l' expérience et le moi du de le souvenir .</t>
  </si>
  <si>
    <t>file://conllu/fr/teddy-1030.conllu#s53_0</t>
  </si>
  <si>
    <t>55</t>
  </si>
  <si>
    <t>maintenant?</t>
  </si>
  <si>
    <t>pouvoir</t>
  </si>
  <si>
    <t>Maintenant , ce que l' on aurait pu faire avec le patient A , et , en fait , on a effectué des de les tests médicaux , ça a été fait et ça fonctionne , on aurait pu allonger la durée de la coloscopie du de le patient A juste en gardant le tube à l' intérieur , sans trop le remuer Ça a pour effet de faire souffrir le patient , mais juste un peu , et bien moins qu' auparavant .</t>
  </si>
  <si>
    <t>file://conllu/fr/teddy-1030.conllu#s55_0</t>
  </si>
  <si>
    <t>56</t>
  </si>
  <si>
    <t>pour?</t>
  </si>
  <si>
    <t>amèner</t>
  </si>
  <si>
    <t>En faisant ça pendant quelques minutes , vous amènerez une aggravation pour le le vécu &amp;quot; moi de l' expérience &amp;quot; du de le patient A , et une nette amélioration pour son &amp;quot; moi du de le souvenir &amp;quot; , Parceque vous avez désormais fourni au à le patient A une meilleure histoire à propos de ce qu' il a vécu .</t>
  </si>
  <si>
    <t>file://conllu/fr/teddy-1030.conllu#s56_0</t>
  </si>
  <si>
    <t>57</t>
  </si>
  <si>
    <t>être (être que)</t>
  </si>
  <si>
    <t>Qu' est -ce qui définit une histoire ?</t>
  </si>
  <si>
    <t>file://conllu/fr/teddy-1030.conllu#s57_0</t>
  </si>
  <si>
    <t>58</t>
  </si>
  <si>
    <t>être (être vrai)</t>
  </si>
  <si>
    <t>Et c' est vrai des de les histoires qui nous sont fournies par notre mémoire , comme des de les histoires que l' on fabrique .</t>
  </si>
  <si>
    <t>file://conllu/fr/teddy-1030.conllu#s58_0</t>
  </si>
  <si>
    <t>59</t>
  </si>
  <si>
    <t>être (être changement)</t>
  </si>
  <si>
    <t>Ce qui définit une histoire , ce sont les changements [ de situation ] , les moments importants et la fin .</t>
  </si>
  <si>
    <t>file://conllu/fr/teddy-1030.conllu#s59_0</t>
  </si>
  <si>
    <t>60</t>
  </si>
  <si>
    <t>être (être significatif)</t>
  </si>
  <si>
    <t>Le déroulement final est très , très significatif et , dans cet exemple , la fin détermine tout .</t>
  </si>
  <si>
    <t>file://conllu/fr/teddy-1030.conllu#s60_0</t>
  </si>
  <si>
    <t>61</t>
  </si>
  <si>
    <t>donc?</t>
  </si>
  <si>
    <t>Donc , le &amp;quot; moi de l' expérience &amp;quot; vit sa vie dans la continuité .</t>
  </si>
  <si>
    <t>file://conllu/fr/teddy-1030.conllu#s61_0</t>
  </si>
  <si>
    <t>62</t>
  </si>
  <si>
    <t>expérience</t>
  </si>
  <si>
    <t>Il enchaine les expériences , les une après les autres .</t>
  </si>
  <si>
    <t>file://conllu/fr/teddy-1030.conllu#s62_0</t>
  </si>
  <si>
    <t>63</t>
  </si>
  <si>
    <t>si?</t>
  </si>
  <si>
    <t>être (être direct)</t>
  </si>
  <si>
    <t>Et si vous demandez ce qui arrive à ces moments , la réponse est assez directe : Ils sont perdus à jamais .</t>
  </si>
  <si>
    <t>file://conllu/fr/teddy-1030.conllu#s63_0</t>
  </si>
  <si>
    <t>64</t>
  </si>
  <si>
    <t>être</t>
  </si>
  <si>
    <t>Ce que je veux dire , c' est que la plupart des de les instants de notre vie et j' ai évalué le présent psychologique est d' environ 3 secondes .</t>
  </si>
  <si>
    <t>file://conllu/fr/teddy-1030.conllu#s64_0</t>
  </si>
  <si>
    <t>65</t>
  </si>
  <si>
    <t>ce</t>
  </si>
  <si>
    <t>Ce qui signifie , en clair , qu' il y en a environ 600 million lors d' une vie .</t>
  </si>
  <si>
    <t>file://conllu/fr/teddy-1030.conllu#s65_0</t>
  </si>
  <si>
    <t>66</t>
  </si>
  <si>
    <t>faire</t>
  </si>
  <si>
    <t>En un mois , ça fait environ 600 000 .</t>
  </si>
  <si>
    <t>file://conllu/fr/teddy-1030.conllu#s66_0</t>
  </si>
  <si>
    <t>67</t>
  </si>
  <si>
    <t>La plupart ne laissent aucune trace .</t>
  </si>
  <si>
    <t>file://conllu/fr/teddy-1030.conllu#s67_0</t>
  </si>
  <si>
    <t>68</t>
  </si>
  <si>
    <t>ignorer</t>
  </si>
  <si>
    <t>La plupart sont complètement ignorés par notre &amp;quot; moi du de le souvenir &amp;quot; .</t>
  </si>
  <si>
    <t>file://conllu/fr/teddy-1030.conllu#s68_0</t>
  </si>
  <si>
    <t>69</t>
  </si>
  <si>
    <t>cependant?</t>
  </si>
  <si>
    <t>prendre</t>
  </si>
  <si>
    <t>Mais cependant , parfois vous prenez conscience qu' ils devraient compter , que ce qui se passe pendant ces instants où on vit une expérience , c' est notre vie .</t>
  </si>
  <si>
    <t>file://conllu/fr/teddy-1030.conllu#s69_0</t>
  </si>
  <si>
    <t>70</t>
  </si>
  <si>
    <t>être (être ressource)</t>
  </si>
  <si>
    <t>C' est la ressource limitée que nous utilisons lors de notre vie sur terre .</t>
  </si>
  <si>
    <t>file://conllu/fr/teddy-1030.conllu#s70_0</t>
  </si>
  <si>
    <t>71</t>
  </si>
  <si>
    <t>sembler</t>
  </si>
  <si>
    <t>Et la façon de l' utiliser , semblerait appropriée mais ce n' est pas cette histoire que notre &amp;quot; moi du de le souvenir &amp;quot; conserve .</t>
  </si>
  <si>
    <t>file://conllu/fr/teddy-1030.conllu#s71_0</t>
  </si>
  <si>
    <t>73</t>
  </si>
  <si>
    <t>être (être perception)</t>
  </si>
  <si>
    <t>La plus grande différence entre eux , c' est la perception du de le temps .</t>
  </si>
  <si>
    <t>file://conllu/fr/teddy-1030.conllu#s73_0</t>
  </si>
  <si>
    <t>75</t>
  </si>
  <si>
    <t>comme ça?</t>
  </si>
  <si>
    <t>être (être ça)</t>
  </si>
  <si>
    <t>Ce n' est pas du de le tout comme ça que ça se passe pour notre &amp;quot; moi du de le souvenir &amp;quot; .</t>
  </si>
  <si>
    <t>file://conllu/fr/teddy-1030.conllu#s75_0</t>
  </si>
  <si>
    <t>76</t>
  </si>
  <si>
    <t>mieux?</t>
  </si>
  <si>
    <t>être (être mieux)</t>
  </si>
  <si>
    <t>Pour lui , des de les vacances de deux semaines , ce sera à peine mieux qu' une seule semaine parce qu' aucun souvenir n' est ajouté .</t>
  </si>
  <si>
    <t>file://conllu/fr/teddy-1030.conllu#s76_0</t>
  </si>
  <si>
    <t>77</t>
  </si>
  <si>
    <t>changer</t>
  </si>
  <si>
    <t>Vous n' avez pas changé l' histoire .</t>
  </si>
  <si>
    <t>file://conllu/fr/teddy-1030.conllu#s77_0</t>
  </si>
  <si>
    <t>78</t>
  </si>
  <si>
    <t>en fait?</t>
  </si>
  <si>
    <t>être (être capital)</t>
  </si>
  <si>
    <t>Vu de cet angle , le temps est en fait la variable capitale qui distingue notre &amp;quot; moi du de le souvenir &amp;quot; de notre &amp;quot; moi de l' expérience &amp;quot; .</t>
  </si>
  <si>
    <t>file://conllu/fr/teddy-1030.conllu#s78_0</t>
  </si>
  <si>
    <t>79</t>
  </si>
  <si>
    <t>Le temps n' a que peu d' impact sur cette histoire .</t>
  </si>
  <si>
    <t>file://conllu/fr/teddy-1030.conllu#s79_0</t>
  </si>
  <si>
    <t>80</t>
  </si>
  <si>
    <t>Et le &amp;quot; moi du de le souvenir &amp;quot; fait bien plus que mémoriser et raconter des de les histoires .</t>
  </si>
  <si>
    <t>file://conllu/fr/teddy-1030.conllu#s80_0</t>
  </si>
  <si>
    <t>81</t>
  </si>
  <si>
    <t>en réalité?</t>
  </si>
  <si>
    <t>être (être lui)</t>
  </si>
  <si>
    <t>En réalité , c' est lui qui prend les décisions car , si vous avez un patient qui a subi , disons , deux coloscopies avec deux chirurgiens différents et qui doit décider lequel choisir , et bien celui qu' il choisit est celui dont les souvenirs sont les moins mauvais , c' est ce chirurgien qui sera choisi .</t>
  </si>
  <si>
    <t>file://conllu/fr/teddy-1030.conllu#s81_0</t>
  </si>
  <si>
    <t>82</t>
  </si>
  <si>
    <t>avoir (avoir mot)</t>
  </si>
  <si>
    <t>Le &amp;quot; moi de l' expérience &amp;quot; n' a pas son mot à dire dans ce choix .</t>
  </si>
  <si>
    <t>file://conllu/fr/teddy-1030.conllu#s82_0</t>
  </si>
  <si>
    <t>83</t>
  </si>
  <si>
    <t>choisir</t>
  </si>
  <si>
    <t>En fait , nous ne choisissons pas entre des de les expériences , nous choisissons entre des de les souvenirs de ces expériences .</t>
  </si>
  <si>
    <t>file://conllu/fr/teddy-1030.conllu#s83_0</t>
  </si>
  <si>
    <t>84</t>
  </si>
  <si>
    <t>lorsque?</t>
  </si>
  <si>
    <t>penser (penser penser)</t>
  </si>
  <si>
    <t>Et même lorsque nous pensons au à le futur , d' habitude nous n' y pensons pas en termes d' expériences .</t>
  </si>
  <si>
    <t>file://conllu/fr/teddy-1030.conllu#s84_0</t>
  </si>
  <si>
    <t>85</t>
  </si>
  <si>
    <t>penser</t>
  </si>
  <si>
    <t>Nous pensons à notre futur en anticipant les souvenirs .</t>
  </si>
  <si>
    <t>file://conllu/fr/teddy-1030.conllu#s85_0</t>
  </si>
  <si>
    <t>86</t>
  </si>
  <si>
    <t>On peut se représenter ça simplement comme une tyrannie du de le &amp;quot; moi du de le souvenir &amp;quot; et se représenter le &amp;quot; moi du de le souvenir &amp;quot; comme entrainant de force le &amp;quot; moi de l' expérience &amp;quot; à travers des de les expériences que le &amp;quot; moi de l' expérience &amp;quot; ne demande pas .</t>
  </si>
  <si>
    <t>file://conllu/fr/teddy-1030.conllu#s86_0</t>
  </si>
  <si>
    <t>87</t>
  </si>
  <si>
    <t>J' ai l' impression que lorsque l' on part en vacances c' est très fréquent , c' est à dire qu' on part en vacances , d' une certaine manière , aux à les ordres de notre &amp;quot; moi du de le souvenir &amp;quot; .</t>
  </si>
  <si>
    <t>file://conllu/fr/teddy-1030.conllu#s87_0</t>
  </si>
  <si>
    <t>88</t>
  </si>
  <si>
    <t>Et , je pense , c' est assez dur à justifier .</t>
  </si>
  <si>
    <t>file://conllu/fr/teddy-1030.conllu#s88_0</t>
  </si>
  <si>
    <t>89</t>
  </si>
  <si>
    <t>nourrir</t>
  </si>
  <si>
    <t>En clair , à quel point nous nourrissons -nous de nos souvenirs ?</t>
  </si>
  <si>
    <t>file://conllu/fr/teddy-1030.conllu#s89_0</t>
  </si>
  <si>
    <t>90</t>
  </si>
  <si>
    <t>être (être un)</t>
  </si>
  <si>
    <t>C' est une des de les explications qui est avancée pour la domination de notre &amp;quot; moi du de le souvenir &amp;quot; ..</t>
  </si>
  <si>
    <t>file://conllu/fr/teddy-1030.conllu#s90_0</t>
  </si>
  <si>
    <t>91</t>
  </si>
  <si>
    <t>faire (faire penser)</t>
  </si>
  <si>
    <t>Et ça me fait penser à des de les vacances que nous avions passées en Antarctique , il y a quelques années , qui ont été nettement les meilleures vacances que j' aie jamais eues , et j' y repense assez souvent , comparativement au à le nombre de fois où je pense à mes autres vacances .</t>
  </si>
  <si>
    <t>file://conllu/fr/teddy-1030.conllu#s91_0</t>
  </si>
  <si>
    <t>92</t>
  </si>
  <si>
    <t>consommer</t>
  </si>
  <si>
    <t>J' ai probablement consommé mes souvenirs de ce séjour de 3 semaines , pendant , je dirais , à peu près 25 minutes depuis 4 ans .</t>
  </si>
  <si>
    <t>file://conllu/fr/teddy-1030.conllu#s92_0</t>
  </si>
  <si>
    <t>93</t>
  </si>
  <si>
    <t>passer</t>
  </si>
  <si>
    <t>Après , si j' avais ouvert une fois l' album qui contient 600 photos , j' y aurais passé une heure supplémentaire .</t>
  </si>
  <si>
    <t>file://conllu/fr/teddy-1030.conllu#s93_0</t>
  </si>
  <si>
    <t>94</t>
  </si>
  <si>
    <t>Ca a duré trois semaines et au à le final ça ne fait qu' une heure et demie tout au à le plus .</t>
  </si>
  <si>
    <t>file://conllu/fr/teddy-1030.conllu#s94_0</t>
  </si>
  <si>
    <t>95</t>
  </si>
  <si>
    <t>paraître</t>
  </si>
  <si>
    <t>Ça paraît disproportionné .</t>
  </si>
  <si>
    <t>file://conllu/fr/teddy-1030.conllu#s95_0</t>
  </si>
  <si>
    <t>96</t>
  </si>
  <si>
    <t>être (être possible)</t>
  </si>
  <si>
    <t>Il est possible que je ne sois pas représentatif de la moyenne , en ceci que j' ai peu de goût pour la consommation de mes souvenirs , Mais même si vous en avez plus que moi , une question fondamentale se pose : Pourquoi donnons -nous autant de poids à nos souvenirs , en comparaison de celui que nous donnons à nos expériences ?</t>
  </si>
  <si>
    <t>file://conllu/fr/teddy-1030.conllu#s96_0</t>
  </si>
  <si>
    <t>97</t>
  </si>
  <si>
    <t>penser (penser vouloir)</t>
  </si>
  <si>
    <t>Je voudrais que vous pensiez à une expérience cérébrale .</t>
  </si>
  <si>
    <t>file://conllu/fr/teddy-1030.conllu#s97_0</t>
  </si>
  <si>
    <t>98</t>
  </si>
  <si>
    <t>Imaginer</t>
  </si>
  <si>
    <t>Imaginez qu' à vos prochaines vacances , qu' à la fin de ces vacances , toutes vos photos soient détruites , et que vous avaliez un comprimé qui rend amnésique de tel sorte que vous ne vous souviendrez de rien .</t>
  </si>
  <si>
    <t>file://conllu/fr/teddy-1030.conllu#s98_0</t>
  </si>
  <si>
    <t>99</t>
  </si>
  <si>
    <t>dès lors?</t>
  </si>
  <si>
    <t>choisioir</t>
  </si>
  <si>
    <t>Dès lors , choisiriez vous le même type de vacances ?</t>
  </si>
  <si>
    <t>file://conllu/fr/teddy-1030.conllu#s99_0</t>
  </si>
  <si>
    <t>100</t>
  </si>
  <si>
    <t>Rires</t>
  </si>
  <si>
    <t>( Rires ) Et si vous faisiez un autre choix , il y aurait un conflit entre vos deux entités , et vous devez réfléchir comment arbitrer ce conflit , et ce n' est vraiment pas évident , car si vous pensez en termes de temporalité , vous aurez une réponse .</t>
  </si>
  <si>
    <t>file://conllu/fr/teddy-1030.conllu#s100_0</t>
  </si>
  <si>
    <t>101</t>
  </si>
  <si>
    <t>pouroir</t>
  </si>
  <si>
    <t>Et si vous pensez en terme de souvenirs , vous pourriez avoir une autre réponse .</t>
  </si>
  <si>
    <t>file://conllu/fr/teddy-1030.conllu#s101_0</t>
  </si>
  <si>
    <t>102</t>
  </si>
  <si>
    <t>Pourquoi choisit -on les vacances qu' on passera , c' est une problématique qui nous met face à un choix entre les deux &amp;quot; moi &amp;quot; .</t>
  </si>
  <si>
    <t>file://conllu/fr/teddy-1030.conllu#s102_0</t>
  </si>
  <si>
    <t>103</t>
  </si>
  <si>
    <t>renvoyer</t>
  </si>
  <si>
    <t>Les deux &amp;quot; moi &amp;quot; nous renvoient à deux notions du de le bonheur .</t>
  </si>
  <si>
    <t>file://conllu/fr/teddy-1030.conllu#s103_0</t>
  </si>
  <si>
    <t>104</t>
  </si>
  <si>
    <t>Il y a véritablement deux conceptions du de le bonheur qui s' appliquent à chacun .</t>
  </si>
  <si>
    <t>file://conllu/fr/teddy-1030.conllu#s104_0</t>
  </si>
  <si>
    <t>105</t>
  </si>
  <si>
    <t>alors?</t>
  </si>
  <si>
    <t>Alors on se demande : A quel point le &amp;quot; moi de l' expérience &amp;quot; est -il heureux ?</t>
  </si>
  <si>
    <t>file://conllu/fr/teddy-1030.conllu#s105_0</t>
  </si>
  <si>
    <t>106</t>
  </si>
  <si>
    <t>puis?</t>
  </si>
  <si>
    <t>être (être moment)</t>
  </si>
  <si>
    <t>Puis : A quel point sont heureux ces moments dans la vie du de le &amp;quot; moi de l' expérience &amp;quot; ?</t>
  </si>
  <si>
    <t>file://conllu/fr/teddy-1030.conllu#s106_0</t>
  </si>
  <si>
    <t>107</t>
  </si>
  <si>
    <t>être (être processus)</t>
  </si>
  <si>
    <t>Ils le sont tous; le bonheur de l' instant est un processus assez complexe .</t>
  </si>
  <si>
    <t>file://conllu/fr/teddy-1030.conllu#s107_0</t>
  </si>
  <si>
    <t>108</t>
  </si>
  <si>
    <t>Que sont les émotions que l' on peut quantifier ?</t>
  </si>
  <si>
    <t>file://conllu/fr/teddy-1030.conllu#s108_0</t>
  </si>
  <si>
    <t>109</t>
  </si>
  <si>
    <t>A ce propos , maintenant nous avons une idée plus claire de ce qu' est le bonheur du de le &amp;quot; moi de l' expérience &amp;quot; dans le temps .</t>
  </si>
  <si>
    <t>file://conllu/fr/teddy-1030.conllu#s109_0</t>
  </si>
  <si>
    <t>110</t>
  </si>
  <si>
    <t>Si vous réfléchissez sur le bonheur du de le &amp;quot; moi des de les souvenirs &amp;quot; , c' est une toute autre histoire .</t>
  </si>
  <si>
    <t>file://conllu/fr/teddy-1030.conllu#s110_0</t>
  </si>
  <si>
    <t>111</t>
  </si>
  <si>
    <t>Cela n' a rien à voir avec le fait d' avoir une vie heureuse .</t>
  </si>
  <si>
    <t>file://conllu/fr/teddy-1030.conllu#s111_0</t>
  </si>
  <si>
    <t>112</t>
  </si>
  <si>
    <t>être (être satisfait)</t>
  </si>
  <si>
    <t>Mais comment on est satisfait , ou content , en pensant à notre vie .</t>
  </si>
  <si>
    <t>file://conllu/fr/teddy-1030.conllu#s112_0</t>
  </si>
  <si>
    <t>113</t>
  </si>
  <si>
    <t>notion</t>
  </si>
  <si>
    <t>Notions très différentes .</t>
  </si>
  <si>
    <t>file://conllu/fr/teddy-1030.conllu#s113_0</t>
  </si>
  <si>
    <t>114</t>
  </si>
  <si>
    <t>distinguer</t>
  </si>
  <si>
    <t>Quiconque ne distingue pas ces deux notions est sur le point de rater l' étude du de le bonheur , et j' appartiens à la foule d' étudiants du de le bien-être , qui a raté l' étude du de le bonheur pendant longtemps , précisément de cette façon là .</t>
  </si>
  <si>
    <t>file://conllu/fr/teddy-1030.conllu#s114_0</t>
  </si>
  <si>
    <t>115</t>
  </si>
  <si>
    <t>comprendre</t>
  </si>
  <si>
    <t>La distinction entre le bonheur de notre &amp;quot; moi de l' expérience &amp;quot; et la satisfaction de notre &amp;quot; moi du de le souvenir &amp;quot; n' a été comprise que très récemment , et il ya maintenant des de les projets afin de mesurer les deux séparement .</t>
  </si>
  <si>
    <t>file://conllu/fr/teddy-1030.conllu#s115_0</t>
  </si>
  <si>
    <t>116</t>
  </si>
  <si>
    <t>demander (demander réaliser)</t>
  </si>
  <si>
    <t>L' organisation Gallup a réalisé un sondage auprès de 500 000 personnes en leur demandant ce qu' ils pensaient de leur vies et de leurs expériences .</t>
  </si>
  <si>
    <t>file://conllu/fr/teddy-1030.conllu#s116_0</t>
  </si>
  <si>
    <t>117</t>
  </si>
  <si>
    <t>Et il y a eu d' autres actions dans ce sens .</t>
  </si>
  <si>
    <t>file://conllu/fr/teddy-1030.conllu#s117_0</t>
  </si>
  <si>
    <t>118</t>
  </si>
  <si>
    <t>Ces dernières années , nous avons commencé à apprendre des de les choses sur le bonheur des de les deux &amp;quot; moi &amp;quot; .</t>
  </si>
  <si>
    <t>file://conllu/fr/teddy-1030.conllu#s118_0</t>
  </si>
  <si>
    <t>119</t>
  </si>
  <si>
    <t>Selon moi , la leçon principale que nous ayons apprise , c' est que ces deux entités sont très différentes .</t>
  </si>
  <si>
    <t>file://conllu/fr/teddy-1030.conllu#s119_0</t>
  </si>
  <si>
    <t>120</t>
  </si>
  <si>
    <t>Vous pouvez voir qu' une personne est satisfaite de sa vie , mais ça ne vous apprend pas grand chose sur le degré de bonheur avec lequel elle vit sa vie , et inversement .</t>
  </si>
  <si>
    <t>file://conllu/fr/teddy-1030.conllu#s120_0</t>
  </si>
  <si>
    <t>121</t>
  </si>
  <si>
    <t>donner</t>
  </si>
  <si>
    <t>Juste pour vous donner une idée de la corrélation , la corrélation est d' environ 5 .</t>
  </si>
  <si>
    <t>file://conllu/fr/teddy-1030.conllu#s121_0</t>
  </si>
  <si>
    <t>122</t>
  </si>
  <si>
    <t>comme si?</t>
  </si>
  <si>
    <t>être (être rencontrer)</t>
  </si>
  <si>
    <t>C' est comme si vous rencontriez quelqu'un qui vous dise que son père fait 2 mètres .</t>
  </si>
  <si>
    <t>file://conllu/fr/teddy-1030.conllu#s122_0</t>
  </si>
  <si>
    <t>123</t>
  </si>
  <si>
    <t>Que pouvez -vous dire de la taille de cette personne ?</t>
  </si>
  <si>
    <t>file://conllu/fr/teddy-1030.conllu#s123_0</t>
  </si>
  <si>
    <t>124</t>
  </si>
  <si>
    <t>Et bien , vous avez une indication , mais il y a un fort degré d' incertitude .</t>
  </si>
  <si>
    <t>file://conllu/fr/teddy-1030.conllu#s124_0</t>
  </si>
  <si>
    <t>125</t>
  </si>
  <si>
    <t>Vous avez tant d' incertitude .</t>
  </si>
  <si>
    <t>file://conllu/fr/teddy-1030.conllu#s125_0</t>
  </si>
  <si>
    <t>126</t>
  </si>
  <si>
    <t>dire</t>
  </si>
  <si>
    <t>Si je vous dit qu' une personne à noté sa vie 8 sur 10 , vous aurez pas mal d' incertitude pour estimer le niveau de bonheur de son &amp;quot; moi de l' expérience &amp;quot; .</t>
  </si>
  <si>
    <t>file://conllu/fr/teddy-1030.conllu#s126_0</t>
  </si>
  <si>
    <t>127</t>
  </si>
  <si>
    <t>si bien que?</t>
  </si>
  <si>
    <t>être (être faible)</t>
  </si>
  <si>
    <t>Si bien que la corrélation est faible .</t>
  </si>
  <si>
    <t>file://conllu/fr/teddy-1030.conllu#s127_0</t>
  </si>
  <si>
    <t>128</t>
  </si>
  <si>
    <t>connaître</t>
  </si>
  <si>
    <t>On connait un peu ce qui contrôle la satisfaction du de le bonheur .</t>
  </si>
  <si>
    <t>file://conllu/fr/teddy-1030.conllu#s128_0</t>
  </si>
  <si>
    <t>129</t>
  </si>
  <si>
    <t>On sait que l' argent a une place importante , les objectifs également .</t>
  </si>
  <si>
    <t>file://conllu/fr/teddy-1030.conllu#s129_0</t>
  </si>
  <si>
    <t>130</t>
  </si>
  <si>
    <t>Nous savons que le bonheur provient principalement des de les personnes que nous apprécions , du de le temps que l' on passe avec elles .</t>
  </si>
  <si>
    <t>file://conllu/fr/teddy-1030.conllu#s130_0</t>
  </si>
  <si>
    <t>131</t>
  </si>
  <si>
    <t>Il y a d' autres plaisirs , mais ce point domine .</t>
  </si>
  <si>
    <t>file://conllu/fr/teddy-1030.conllu#s131_0</t>
  </si>
  <si>
    <t>132</t>
  </si>
  <si>
    <t>Alors si vous souhaitez maximiser le bonheur des de les deux &amp;quot; moi &amp;quot; , vous allez finir par faire des de les choses très différentes .</t>
  </si>
  <si>
    <t>file://conllu/fr/teddy-1030.conllu#s132_0</t>
  </si>
  <si>
    <t>133</t>
  </si>
  <si>
    <t>L' essentiel de mes propos c' est que nous ne devrions vraiment pas penser au à le bonheur en tant que substitut du de le bien-être .</t>
  </si>
  <si>
    <t>file://conllu/fr/teddy-1030.conllu#s133_0</t>
  </si>
  <si>
    <t>134</t>
  </si>
  <si>
    <t>être (être notion)</t>
  </si>
  <si>
    <t>Ce sont deux notions très différentes .</t>
  </si>
  <si>
    <t>file://conllu/fr/teddy-1030.conllu#s134_0</t>
  </si>
  <si>
    <t>135</t>
  </si>
  <si>
    <t>Pour faire court , une autre raison qui nous empêche d' avoir les idées claires sur le bonheur , c' est qu' on ne se préoccupe pas des de les mêmes choses quand on réfléchit à la vie ou bien lorsqu' on la vit .</t>
  </si>
  <si>
    <t>file://conllu/fr/teddy-1030.conllu#s135_0</t>
  </si>
  <si>
    <t>136</t>
  </si>
  <si>
    <t>Si vous posez la simple question de savoir à quel point les habitants de Californie sont heureux , vous n' aurez pas de réponse correcte .</t>
  </si>
  <si>
    <t>file://conllu/fr/teddy-1030.conllu#s136_0</t>
  </si>
  <si>
    <t>137</t>
  </si>
  <si>
    <t>Lorsque vous posez cette question , vous pensez que les gens doivent être plus heureux en Californie , que , disons , dans l' Ohio .</t>
  </si>
  <si>
    <t>file://conllu/fr/teddy-1030.conllu#s137_0</t>
  </si>
  <si>
    <t>138</t>
  </si>
  <si>
    <t>( Rires ) Et ce qu' il y a , c' est que quand vous pensez à la vie en Californie , vous pensez au à le contraste entre la Californie et d' autres endroits , et le contraste , disons , est dans le climat .</t>
  </si>
  <si>
    <t>file://conllu/fr/teddy-1030.conllu#s138_0</t>
  </si>
  <si>
    <t>139</t>
  </si>
  <si>
    <t>avérer</t>
  </si>
  <si>
    <t>Et bien , il s' avère que le climat n' est pas très important pour le &amp;quot; moi de l' expérience &amp;quot; pas plus que pour le &amp;quot; moi qui réfléchit &amp;quot; et qui décide si les gens sont heureux .</t>
  </si>
  <si>
    <t>file://conllu/fr/teddy-1030.conllu#s139_0</t>
  </si>
  <si>
    <t>140</t>
  </si>
  <si>
    <t>puisque?</t>
  </si>
  <si>
    <t>bon</t>
  </si>
  <si>
    <t>Mais , bon , puisque c' est le &amp;quot; moi qui réfléchit &amp;quot; qui commande , vous déciderez peut-être --enfin certains de déménager pour la Californie .</t>
  </si>
  <si>
    <t>file://conllu/fr/teddy-1030.conllu#s140_0</t>
  </si>
  <si>
    <t>141</t>
  </si>
  <si>
    <t>être (être intéressant)</t>
  </si>
  <si>
    <t>Ce serait intéressant , de suivre ceux qui déménagent pour la Californie , dans l' espoir d' être plus heureux .</t>
  </si>
  <si>
    <t>file://conllu/fr/teddy-1030.conllu#s141_0</t>
  </si>
  <si>
    <t>142</t>
  </si>
  <si>
    <t>être (être heureux)</t>
  </si>
  <si>
    <t>En fait , leur &amp;quot; moi de l' expérience &amp;quot; ne sera pas plus heureux .</t>
  </si>
  <si>
    <t>file://conllu/fr/teddy-1030.conllu#s142_0</t>
  </si>
  <si>
    <t>143</t>
  </si>
  <si>
    <t>Nous en avons tous conscience .</t>
  </si>
  <si>
    <t>file://conllu/fr/teddy-1030.conllu#s143_0</t>
  </si>
  <si>
    <t>144</t>
  </si>
  <si>
    <t>produire</t>
  </si>
  <si>
    <t>Mais il se produira une chose : Ils seront convaincus d' être plus heureux .</t>
  </si>
  <si>
    <t>file://conllu/fr/teddy-1030.conllu#s144_0</t>
  </si>
  <si>
    <t>145</t>
  </si>
  <si>
    <t>lorsqu'?</t>
  </si>
  <si>
    <t>remémorer</t>
  </si>
  <si>
    <t>Car , lorsqu' ils y repenseront , Ils se remémoreront le mauvais temps en Ohio .</t>
  </si>
  <si>
    <t>file://conllu/fr/teddy-1030.conllu#s145_0</t>
  </si>
  <si>
    <t>146</t>
  </si>
  <si>
    <t>Et ils penseront avoir pris la bonne décision .</t>
  </si>
  <si>
    <t>file://conllu/fr/teddy-1030.conllu#s146_0</t>
  </si>
  <si>
    <t>147</t>
  </si>
  <si>
    <t>être (être difficile)</t>
  </si>
  <si>
    <t>C' est très difficile d' évaluer correctement son bien-être .</t>
  </si>
  <si>
    <t>file://conllu/fr/teddy-1030.conllu#s147_0</t>
  </si>
  <si>
    <t>148</t>
  </si>
  <si>
    <t>espérer</t>
  </si>
  <si>
    <t>J' espère vous avoir montré combien cela est difficile .</t>
  </si>
  <si>
    <t>file://conllu/fr/teddy-1030.conllu#s148_0</t>
  </si>
  <si>
    <t>149</t>
  </si>
  <si>
    <t>merci</t>
  </si>
  <si>
    <t>Merci ( Applaudissements ) Chris Anderson : Merci .</t>
  </si>
  <si>
    <t>file://conllu/fr/teddy-1030.conllu#s149_0</t>
  </si>
  <si>
    <t>150</t>
  </si>
  <si>
    <t>J' ai une question à vous poser .</t>
  </si>
  <si>
    <t>file://conllu/fr/teddy-1030.conllu#s150_0</t>
  </si>
  <si>
    <t>151</t>
  </si>
  <si>
    <t>Merci beaucoup</t>
  </si>
  <si>
    <t>file://conllu/fr/teddy-1030.conllu#s151_0</t>
  </si>
  <si>
    <t>152</t>
  </si>
  <si>
    <t>Il y a quelques semaines , nous avons parlé au à le téléphone , vous m' aviez dit que le sondage Gallup avait fourni des de les résultats assez intéressants .</t>
  </si>
  <si>
    <t>file://conllu/fr/teddy-1030.conllu#s152_0</t>
  </si>
  <si>
    <t>153</t>
  </si>
  <si>
    <t>maintenant qu'?</t>
  </si>
  <si>
    <t>Pouvez -vous nous en dire plus maintenant qu' il vous reste un peu de temps ?</t>
  </si>
  <si>
    <t>file://conllu/fr/teddy-1030.conllu#s153_0</t>
  </si>
  <si>
    <t>154</t>
  </si>
  <si>
    <t>Daniel</t>
  </si>
  <si>
    <t>Daniel Kahneman : Bien sûr .</t>
  </si>
  <si>
    <t>file://conllu/fr/teddy-1030.conllu#s154_0</t>
  </si>
  <si>
    <t>155</t>
  </si>
  <si>
    <t>résultat?</t>
  </si>
  <si>
    <t>être (être nombre)</t>
  </si>
  <si>
    <t>D' après moi , le résultat le plus significatif découvert grace à ce sondage est un nombre , que nous ne nous attendions absolument pas à trouver .</t>
  </si>
  <si>
    <t>file://conllu/fr/teddy-1030.conllu#s155_0</t>
  </si>
  <si>
    <t>156</t>
  </si>
  <si>
    <t>à propos?</t>
  </si>
  <si>
    <t>trouver</t>
  </si>
  <si>
    <t>On a trouvé ça à propos du de le bonheur du de le &amp;quot; moi de l' expérience &amp;quot; .</t>
  </si>
  <si>
    <t>file://conllu/fr/teddy-1030.conllu#s156_0</t>
  </si>
  <si>
    <t>157</t>
  </si>
  <si>
    <t>varier</t>
  </si>
  <si>
    <t>Lorsque nous observions comment le bonheur varie en fonction des de les revenus .</t>
  </si>
  <si>
    <t>file://conllu/fr/teddy-1030.conllu#s157_0</t>
  </si>
  <si>
    <t>158</t>
  </si>
  <si>
    <t>apparaître</t>
  </si>
  <si>
    <t>Et il est apparu qu' en dessous de 60 000$ par an , pour les américains , et c' était un échantillon très important , aux à les alentours de 600 000 , c' est un échantillon très représentatif , en dessous de 600 000$ par an ... C.A : 60 000 D.K : 60 000 60 000$ par an , les gens sont malheureux , et moins ils gagnent plus ils sont malheureux .</t>
  </si>
  <si>
    <t>file://conllu/fr/teddy-1030.conllu#s158_0</t>
  </si>
  <si>
    <t>160</t>
  </si>
  <si>
    <t>voir</t>
  </si>
  <si>
    <t>Honnêtement , Je n' ai jamais vu une ligne aussi plate .</t>
  </si>
  <si>
    <t>file://conllu/fr/teddy-1030.conllu#s160_0</t>
  </si>
  <si>
    <t>161</t>
  </si>
  <si>
    <t>On voit clairement que l' argent ne vous achète pas des de les expériences heureuses , mais en manquer vous achètera à coup sûr la misère , et l' on peut quantifier cette misère d' une facon très précise .</t>
  </si>
  <si>
    <t>file://conllu/fr/teddy-1030.conllu#s161_0</t>
  </si>
  <si>
    <t>162</t>
  </si>
  <si>
    <t>gagner</t>
  </si>
  <si>
    <t>Pour l' autre entité , le &amp;quot; moi du de le souvenir &amp;quot; , Plus vous gagnez d' argent , plus vous êtes satisfait .</t>
  </si>
  <si>
    <t>file://conllu/fr/teddy-1030.conllu#s162_0</t>
  </si>
  <si>
    <t>163</t>
  </si>
  <si>
    <t>fonctionner</t>
  </si>
  <si>
    <t>Ca ne fonctionne pas pour les émotions .</t>
  </si>
  <si>
    <t>file://conllu/fr/teddy-1030.conllu#s163_0</t>
  </si>
  <si>
    <t>164</t>
  </si>
  <si>
    <t>baser</t>
  </si>
  <si>
    <t>C.A : Danny , le leitmotiv des de les USA est entièrement basé sur la vie , la liberté et la recherche du de le bonheur .</t>
  </si>
  <si>
    <t>file://conllu/fr/teddy-1030.conllu#s164_0</t>
  </si>
  <si>
    <t>165</t>
  </si>
  <si>
    <t>Si on donne du de le crédit à ces recherches , elles ont l' air d' aller à contre-courant de tout ce que nous croyons , par exemple , les taxes et ainsi de suite .</t>
  </si>
  <si>
    <t>file://conllu/fr/teddy-1030.conllu#s165_0</t>
  </si>
  <si>
    <t>166</t>
  </si>
  <si>
    <t>Y a t-il la moindre chance que les dirigeants , que le pays , dans son ensemble , prennent une telle découverte au à le sérieux et mettent en oeuvre des de les politiques basées dessus ?</t>
  </si>
  <si>
    <t>file://conllu/fr/teddy-1030.conllu#s166_0</t>
  </si>
  <si>
    <t>167</t>
  </si>
  <si>
    <t>D.K</t>
  </si>
  <si>
    <t>D.K : Je pense que le rôle des de les recherches sur le bonheur sont reconnues dans les politiques publiques .</t>
  </si>
  <si>
    <t>file://conllu/fr/teddy-1030.conllu#s167_0</t>
  </si>
  <si>
    <t>168</t>
  </si>
  <si>
    <t>être (être lent)</t>
  </si>
  <si>
    <t>Cette reconnaissance est lente aux à les USA , c' est certain , mais en Angleterre , c' est en train de se passer , et aussi dans d' autres pays .</t>
  </si>
  <si>
    <t>file://conllu/fr/teddy-1030.conllu#s168_0</t>
  </si>
  <si>
    <t>169</t>
  </si>
  <si>
    <t>reconnaître</t>
  </si>
  <si>
    <t>Les gens reconnaissent qu' ils sont obligés de prendre en compte le bonheur lorsqu' ils élaborent des de les politiques publiques .</t>
  </si>
  <si>
    <t>file://conllu/fr/teddy-1030.conllu#s169_0</t>
  </si>
  <si>
    <t>170</t>
  </si>
  <si>
    <t>Ça va prendre du de le temps , on va en débattre , si on veut faire des de les expériences pour étudier le bonheur , ou bien si on veut des de les études sur l' évaluation de la vie .</t>
  </si>
  <si>
    <t>file://conllu/fr/teddy-1030.conllu#s170_0</t>
  </si>
  <si>
    <t>171</t>
  </si>
  <si>
    <t>avoir (avoir besoin)</t>
  </si>
  <si>
    <t>Nous avons besoin de commencer ce débat rapidement .</t>
  </si>
  <si>
    <t>file://conllu/fr/teddy-1030.conllu#s171_0</t>
  </si>
  <si>
    <t>172</t>
  </si>
  <si>
    <t>Comment améliorer le bonheur peut passer par différents moyens selon la facon de penser et si vous pensez aux à les &amp;quot; moi du de le souvenir &amp;quot; ou au à le &amp;quot; moi de l' expérience &amp;quot; .</t>
  </si>
  <si>
    <t>file://conllu/fr/teddy-1030.conllu#s172_0</t>
  </si>
  <si>
    <t>173</t>
  </si>
  <si>
    <t>Cela va influencer les décisions politiques , je le crois , dans les années qui viennent .</t>
  </si>
  <si>
    <t>file://conllu/fr/teddy-1030.conllu#s173_0</t>
  </si>
  <si>
    <t>175</t>
  </si>
  <si>
    <t>être (être an)</t>
  </si>
  <si>
    <t>Ça sera , d' après moi , dans 10 ou 20 ans , inclus dans les statistiques nationales .</t>
  </si>
  <si>
    <t>file://conllu/fr/teddy-1030.conllu#s175_0</t>
  </si>
  <si>
    <t>176</t>
  </si>
  <si>
    <t>C.</t>
  </si>
  <si>
    <t>file://conllu/fr/teddy-1030.conllu#s176_0</t>
  </si>
  <si>
    <t>177</t>
  </si>
  <si>
    <t>appraître</t>
  </si>
  <si>
    <t>A. : Bien , il m' apparait que ce problème sera , ou du de le moins devrait être , le débat politique le plus intéressant à suivre dans les prochaines années .</t>
  </si>
  <si>
    <t>file://conllu/fr/teddy-1030.conllu#s177_0</t>
  </si>
  <si>
    <t>178</t>
  </si>
  <si>
    <t>Merci beaucoup pour l' invention de l' économie comportementale .</t>
  </si>
  <si>
    <t>file://conllu/fr/teddy-1030.conllu#s178_0</t>
  </si>
  <si>
    <t>179</t>
  </si>
  <si>
    <t>Merci Daniel Kahneman .</t>
  </si>
  <si>
    <t>file://conllu/fr/teddy-1030.conllu#s179_0</t>
  </si>
  <si>
    <t>WORD</t>
  </si>
  <si>
    <t>GR</t>
  </si>
  <si>
    <t>NP_TYPE</t>
  </si>
  <si>
    <t>REF_AUTO</t>
  </si>
  <si>
    <t>COREF</t>
  </si>
  <si>
    <t>REF</t>
  </si>
  <si>
    <t>IS</t>
  </si>
  <si>
    <t>CB</t>
  </si>
  <si>
    <t>GR_ANTE</t>
  </si>
  <si>
    <t>REF_DIST</t>
  </si>
  <si>
    <t>REF_DIST_ANTE</t>
  </si>
  <si>
    <t># text = Aujourd'hui tout le monde parle du bonheur.</t>
  </si>
  <si>
    <t>Aujourd'hui</t>
  </si>
  <si>
    <t>tout</t>
  </si>
  <si>
    <t>le</t>
  </si>
  <si>
    <t>monde</t>
  </si>
  <si>
    <t>SBJ</t>
  </si>
  <si>
    <t>def-np.the</t>
  </si>
  <si>
    <t>?OLD</t>
  </si>
  <si>
    <t>parle</t>
  </si>
  <si>
    <t>de</t>
  </si>
  <si>
    <t>bonheur</t>
  </si>
  <si>
    <t>other</t>
  </si>
  <si>
    <t>.</t>
  </si>
  <si>
    <t>--</t>
  </si>
  <si>
    <t># text = Il y a quelqu'un qui voulait compter le nombre de livres publiés au cours des 5 dernières années, dont le titre contenait "bonheur".</t>
  </si>
  <si>
    <t>Il</t>
  </si>
  <si>
    <t>y</t>
  </si>
  <si>
    <t>a</t>
  </si>
  <si>
    <t>quelqu'un</t>
  </si>
  <si>
    <t>OBJ</t>
  </si>
  <si>
    <t>pron</t>
  </si>
  <si>
    <t>qui</t>
  </si>
  <si>
    <t>SBJ_3</t>
  </si>
  <si>
    <t>voulait</t>
  </si>
  <si>
    <t>compter</t>
  </si>
  <si>
    <t>nombre</t>
  </si>
  <si>
    <t>OBJ_4</t>
  </si>
  <si>
    <t>livres</t>
  </si>
  <si>
    <t>other_5</t>
  </si>
  <si>
    <t>indef-np.bare</t>
  </si>
  <si>
    <t>publiés</t>
  </si>
  <si>
    <t>à</t>
  </si>
  <si>
    <t>cours</t>
  </si>
  <si>
    <t>other_7</t>
  </si>
  <si>
    <t>les</t>
  </si>
  <si>
    <t>dernières</t>
  </si>
  <si>
    <t>années</t>
  </si>
  <si>
    <t>other_8</t>
  </si>
  <si>
    <t>,</t>
  </si>
  <si>
    <t>dont</t>
  </si>
  <si>
    <t>titre</t>
  </si>
  <si>
    <t>SBJ_10</t>
  </si>
  <si>
    <t>contenait</t>
  </si>
  <si>
    <t>&amp;quot;</t>
  </si>
  <si>
    <t>OBJ_10</t>
  </si>
  <si>
    <t># text = Il a abandonné au bout du 40ème, il y en avait bien plus.</t>
  </si>
  <si>
    <t>pron.pper</t>
  </si>
  <si>
    <t>abandonné</t>
  </si>
  <si>
    <t>bout</t>
  </si>
  <si>
    <t>40ème</t>
  </si>
  <si>
    <t>other_2</t>
  </si>
  <si>
    <t>il</t>
  </si>
  <si>
    <t>en</t>
  </si>
  <si>
    <t>avait</t>
  </si>
  <si>
    <t>bien</t>
  </si>
  <si>
    <t>plus</t>
  </si>
  <si>
    <t># text = Le thème du bonheur devient à la mode parmi les chercheurs.</t>
  </si>
  <si>
    <t>Le</t>
  </si>
  <si>
    <t>thème</t>
  </si>
  <si>
    <t>devient</t>
  </si>
  <si>
    <t>la</t>
  </si>
  <si>
    <t>mode</t>
  </si>
  <si>
    <t>parmi</t>
  </si>
  <si>
    <t>chercheurs</t>
  </si>
  <si>
    <t># text = Il y a plein de techniques de coaching du bonheur.</t>
  </si>
  <si>
    <t>plein</t>
  </si>
  <si>
    <t>techniques</t>
  </si>
  <si>
    <t>coaching</t>
  </si>
  <si>
    <t>other_3</t>
  </si>
  <si>
    <t>other_4</t>
  </si>
  <si>
    <t># text = Tout le monde veut rendre les autres plus heureux.</t>
  </si>
  <si>
    <t>Tout</t>
  </si>
  <si>
    <t>veut</t>
  </si>
  <si>
    <t>rendre</t>
  </si>
  <si>
    <t>autres</t>
  </si>
  <si>
    <t>OBJ_2</t>
  </si>
  <si>
    <t>heureux</t>
  </si>
  <si>
    <t># text = Mais malgré le nombre incalculable de travaux, il subsiste des pièges cognitifs qui empêchent d'avoir une vision correcte du bonheur.</t>
  </si>
  <si>
    <t>Mais</t>
  </si>
  <si>
    <t>malgré</t>
  </si>
  <si>
    <t>incalculable</t>
  </si>
  <si>
    <t>travaux</t>
  </si>
  <si>
    <t>subsiste</t>
  </si>
  <si>
    <t>pièges</t>
  </si>
  <si>
    <t>cognitifs</t>
  </si>
  <si>
    <t>empêchent</t>
  </si>
  <si>
    <t>d'</t>
  </si>
  <si>
    <t>une</t>
  </si>
  <si>
    <t>vision</t>
  </si>
  <si>
    <t>indef-np.a</t>
  </si>
  <si>
    <t>correcte</t>
  </si>
  <si>
    <t># text = Mon discours aujourd'hui portera principalement sur ces pièges cognitifs.</t>
  </si>
  <si>
    <t>Mon</t>
  </si>
  <si>
    <t>pron.ppos</t>
  </si>
  <si>
    <t>discours</t>
  </si>
  <si>
    <t>def-np.poss</t>
  </si>
  <si>
    <t>aujourd'hui</t>
  </si>
  <si>
    <t>portera</t>
  </si>
  <si>
    <t>principalement</t>
  </si>
  <si>
    <t>sur</t>
  </si>
  <si>
    <t>ces</t>
  </si>
  <si>
    <t>def-np.dem</t>
  </si>
  <si>
    <t># text = Il intéressera les novices qui réfléchissent à leur propre bonheur mais aussi les érudits qui pensent au bonheur, car, au final, nous sommes tous aussi paumés les uns que les autres.</t>
  </si>
  <si>
    <t>intéressera</t>
  </si>
  <si>
    <t>novices</t>
  </si>
  <si>
    <t>réfléchissent</t>
  </si>
  <si>
    <t>leur</t>
  </si>
  <si>
    <t>propre</t>
  </si>
  <si>
    <t>mais</t>
  </si>
  <si>
    <t>aussi</t>
  </si>
  <si>
    <t>érudits</t>
  </si>
  <si>
    <t>SBJ_6</t>
  </si>
  <si>
    <t>pensent</t>
  </si>
  <si>
    <t>other_6</t>
  </si>
  <si>
    <t>car</t>
  </si>
  <si>
    <t>final</t>
  </si>
  <si>
    <t>nous</t>
  </si>
  <si>
    <t>SBJ_7</t>
  </si>
  <si>
    <t>sommes</t>
  </si>
  <si>
    <t>tous</t>
  </si>
  <si>
    <t>paumés</t>
  </si>
  <si>
    <t>uns</t>
  </si>
  <si>
    <t>que</t>
  </si>
  <si>
    <t>SBJ_9</t>
  </si>
  <si>
    <t># text = Le premier piège est le rejet de la complexité.</t>
  </si>
  <si>
    <t>premier</t>
  </si>
  <si>
    <t>piège</t>
  </si>
  <si>
    <t>est</t>
  </si>
  <si>
    <t>rejet</t>
  </si>
  <si>
    <t>complexité</t>
  </si>
  <si>
    <t># text = Cela provient du fait que le mot "bonheur" n'est simplement plus un mot utile, parce que nous l'utilisons pour trop de choses.</t>
  </si>
  <si>
    <t>Cela</t>
  </si>
  <si>
    <t>pron.pds</t>
  </si>
  <si>
    <t>provient</t>
  </si>
  <si>
    <t>fait</t>
  </si>
  <si>
    <t>mot</t>
  </si>
  <si>
    <t>SBJ_2</t>
  </si>
  <si>
    <t>n'</t>
  </si>
  <si>
    <t>simplement</t>
  </si>
  <si>
    <t>un</t>
  </si>
  <si>
    <t>utile</t>
  </si>
  <si>
    <t>parce</t>
  </si>
  <si>
    <t>l'</t>
  </si>
  <si>
    <t>OBJ_3</t>
  </si>
  <si>
    <t>utilisons</t>
  </si>
  <si>
    <t>pour</t>
  </si>
  <si>
    <t>trop</t>
  </si>
  <si>
    <t>choses</t>
  </si>
  <si>
    <t># text = D'après moi, nous pourrions le restreindre à une signification particulière mais finalement c'est une voie à abandonner et nous allons devoir adopter la notion plus complexe de ce qu'est le bien-être.</t>
  </si>
  <si>
    <t>D'</t>
  </si>
  <si>
    <t>après</t>
  </si>
  <si>
    <t>moi</t>
  </si>
  <si>
    <t>pourrions</t>
  </si>
  <si>
    <t>restreindre</t>
  </si>
  <si>
    <t>signification</t>
  </si>
  <si>
    <t>particulière</t>
  </si>
  <si>
    <t>finalement</t>
  </si>
  <si>
    <t>c'</t>
  </si>
  <si>
    <t>voie</t>
  </si>
  <si>
    <t>et</t>
  </si>
  <si>
    <t>allons</t>
  </si>
  <si>
    <t>devoir</t>
  </si>
  <si>
    <t>adopter</t>
  </si>
  <si>
    <t>complexe</t>
  </si>
  <si>
    <t>qu'</t>
  </si>
  <si>
    <t>bien-être</t>
  </si>
  <si>
    <t># text = Le deuxième piège cognitif est la confusion entre le vécu et la mémoire: c'est simplement la différence entre être heureux dans sa vie et être heureux de sa vie, ou avec sa vie.</t>
  </si>
  <si>
    <t>deuxième</t>
  </si>
  <si>
    <t>cognitif</t>
  </si>
  <si>
    <t>confusion</t>
  </si>
  <si>
    <t>entre</t>
  </si>
  <si>
    <t>vécu</t>
  </si>
  <si>
    <t>mémoire</t>
  </si>
  <si>
    <t>:</t>
  </si>
  <si>
    <t>différence</t>
  </si>
  <si>
    <t>dans</t>
  </si>
  <si>
    <t>sa</t>
  </si>
  <si>
    <t>vie</t>
  </si>
  <si>
    <t>ou</t>
  </si>
  <si>
    <t>avec</t>
  </si>
  <si>
    <t># text = Et ces deux concepts sont très différents, et ils sont mélangés dans la notion du bohneur.</t>
  </si>
  <si>
    <t>Et</t>
  </si>
  <si>
    <t>deux</t>
  </si>
  <si>
    <t>concepts</t>
  </si>
  <si>
    <t>sont</t>
  </si>
  <si>
    <t>très</t>
  </si>
  <si>
    <t>différents</t>
  </si>
  <si>
    <t>ils</t>
  </si>
  <si>
    <t>mélangés</t>
  </si>
  <si>
    <t>bohneur</t>
  </si>
  <si>
    <t># text = Le troisième [piège] est le "biais de focalisation", et c'est ce malheureux phénomène qui fait qu'on ne peut envisager aucun évènement affectant notre bien-être sans déformer son importance.</t>
  </si>
  <si>
    <t>troisième</t>
  </si>
  <si>
    <t>[</t>
  </si>
  <si>
    <t>]</t>
  </si>
  <si>
    <t>biais</t>
  </si>
  <si>
    <t>focalisation</t>
  </si>
  <si>
    <t>malheureux</t>
  </si>
  <si>
    <t>phénomène</t>
  </si>
  <si>
    <t>on</t>
  </si>
  <si>
    <t>SBJ_4</t>
  </si>
  <si>
    <t>ne</t>
  </si>
  <si>
    <t>peut</t>
  </si>
  <si>
    <t>envisager</t>
  </si>
  <si>
    <t>aucun</t>
  </si>
  <si>
    <t>évènement</t>
  </si>
  <si>
    <t>OBJ_5</t>
  </si>
  <si>
    <t>indef-np</t>
  </si>
  <si>
    <t>affectant</t>
  </si>
  <si>
    <t>notre</t>
  </si>
  <si>
    <t>OBJ_7</t>
  </si>
  <si>
    <t>sans</t>
  </si>
  <si>
    <t>déformer</t>
  </si>
  <si>
    <t>son</t>
  </si>
  <si>
    <t>other_9</t>
  </si>
  <si>
    <t>importance</t>
  </si>
  <si>
    <t>OBJ_8</t>
  </si>
  <si>
    <t># text = Je veux dire, ça, c'est un vrai piège cognitif.</t>
  </si>
  <si>
    <t>Je</t>
  </si>
  <si>
    <t>veux</t>
  </si>
  <si>
    <t>ça</t>
  </si>
  <si>
    <t>vrai</t>
  </si>
  <si>
    <t># text = Il est impossible de de le percevoir correctement.</t>
  </si>
  <si>
    <t>impossible</t>
  </si>
  <si>
    <t>percevoir</t>
  </si>
  <si>
    <t>correctement</t>
  </si>
  <si>
    <t># text = Je vais prendre l'exemple maintenant d'une personne qui a témoigné après une de mes conférences.</t>
  </si>
  <si>
    <t>vais</t>
  </si>
  <si>
    <t>exemple</t>
  </si>
  <si>
    <t>maintenant</t>
  </si>
  <si>
    <t>personne</t>
  </si>
  <si>
    <t>témoigné</t>
  </si>
  <si>
    <t>mes</t>
  </si>
  <si>
    <t>conférences</t>
  </si>
  <si>
    <t># text = Voici l'histoire:</t>
  </si>
  <si>
    <t>Voici</t>
  </si>
  <si>
    <t>histoire</t>
  </si>
  <si>
    <t># text = Il raconta qu'il avait écouté une symphonie et qu'elle était fabuleuse et tout à la fin de la lecture, il y a eu un horrible son strident.</t>
  </si>
  <si>
    <t>raconta</t>
  </si>
  <si>
    <t>écouté</t>
  </si>
  <si>
    <t>symphonie</t>
  </si>
  <si>
    <t>elle</t>
  </si>
  <si>
    <t>était</t>
  </si>
  <si>
    <t>fabuleuse</t>
  </si>
  <si>
    <t>fin</t>
  </si>
  <si>
    <t>lecture</t>
  </si>
  <si>
    <t>eu</t>
  </si>
  <si>
    <t>horrible</t>
  </si>
  <si>
    <t>strident</t>
  </si>
  <si>
    <t># text = Et il ajouta, assez ému, que ça avait gâché toute l'expérience.</t>
  </si>
  <si>
    <t>ajouta</t>
  </si>
  <si>
    <t>assez</t>
  </si>
  <si>
    <t>ému</t>
  </si>
  <si>
    <t>gâché</t>
  </si>
  <si>
    <t>toute</t>
  </si>
  <si>
    <t># text = Mais non!</t>
  </si>
  <si>
    <t>!</t>
  </si>
  <si>
    <t># text = Ce sont les souvenirs de l'expérience qui avaient été gâchés.</t>
  </si>
  <si>
    <t>Ce</t>
  </si>
  <si>
    <t>souvenirs</t>
  </si>
  <si>
    <t>avaient</t>
  </si>
  <si>
    <t>été</t>
  </si>
  <si>
    <t>gâchés</t>
  </si>
  <si>
    <t># text = Il avait vécu cette expérience.</t>
  </si>
  <si>
    <t>cette</t>
  </si>
  <si>
    <t># text = Il avait eu 20 minutes de musique fantastique.</t>
  </si>
  <si>
    <t>minutes</t>
  </si>
  <si>
    <t>indef-np.quant</t>
  </si>
  <si>
    <t>musique</t>
  </si>
  <si>
    <t>fantastique</t>
  </si>
  <si>
    <t># text = Elles n'avaient plus aucune valeur, parce que ce qui lui restait, c'était un souvenir;</t>
  </si>
  <si>
    <t>Elles</t>
  </si>
  <si>
    <t>aucune</t>
  </si>
  <si>
    <t>valeur</t>
  </si>
  <si>
    <t>lui</t>
  </si>
  <si>
    <t>restait</t>
  </si>
  <si>
    <t>souvenir</t>
  </si>
  <si>
    <t>;</t>
  </si>
  <si>
    <t># text = Le souvenir était fichu, et ce souvenir, c'est tout ce qui lui restait.</t>
  </si>
  <si>
    <t>fichu</t>
  </si>
  <si>
    <t># text = Cela nous enseigne, au fond, que nous ne pouvons que percevoir nous et les autres en deux entités bien distinctes.</t>
  </si>
  <si>
    <t>fond</t>
  </si>
  <si>
    <t>pouvons</t>
  </si>
  <si>
    <t>entités</t>
  </si>
  <si>
    <t>distinctes</t>
  </si>
  <si>
    <t># text = Il y a un moi qui expérimente [dans l'instant], qui se vit dans le présent et connait le présent, il est capable de revivre le passé, mais, essentiellement,tout ce qu'il a, c'est le présent.</t>
  </si>
  <si>
    <t>expérimente</t>
  </si>
  <si>
    <t>instant</t>
  </si>
  <si>
    <t>se</t>
  </si>
  <si>
    <t>vit</t>
  </si>
  <si>
    <t>présent</t>
  </si>
  <si>
    <t>connait</t>
  </si>
  <si>
    <t>capable</t>
  </si>
  <si>
    <t>revivre</t>
  </si>
  <si>
    <t>passé</t>
  </si>
  <si>
    <t>essentiellement</t>
  </si>
  <si>
    <t>,tout</t>
  </si>
  <si>
    <t>SBJ_5</t>
  </si>
  <si>
    <t># text = C'est cet être qui expérimente dont le médecin s'approche -- Vous savez, quand le médecin demande, "Ça fait mal si je vous touche là?"</t>
  </si>
  <si>
    <t>C'</t>
  </si>
  <si>
    <t>cet</t>
  </si>
  <si>
    <t>médecin</t>
  </si>
  <si>
    <t>s'</t>
  </si>
  <si>
    <t>approche</t>
  </si>
  <si>
    <t>Vous</t>
  </si>
  <si>
    <t>savez</t>
  </si>
  <si>
    <t>quand</t>
  </si>
  <si>
    <t>demande</t>
  </si>
  <si>
    <t>Ça</t>
  </si>
  <si>
    <t>mal</t>
  </si>
  <si>
    <t>si</t>
  </si>
  <si>
    <t>je</t>
  </si>
  <si>
    <t>vous</t>
  </si>
  <si>
    <t>touche</t>
  </si>
  <si>
    <t>là</t>
  </si>
  <si>
    <t>?</t>
  </si>
  <si>
    <t># text = Et puis, il y a le moi qui se souvient, et c'est celui qui tient les comptes, et sauvegarde l'histoire de notre vie, et c'est lui dont le médecin s'approche et à qui il demande: Comment vous sentiez-vous ces derniers jours?" ou "Comment s'est passé votre séjour en Albanie?", ou des choses du genre.</t>
  </si>
  <si>
    <t>puis</t>
  </si>
  <si>
    <t>souvient</t>
  </si>
  <si>
    <t>celui</t>
  </si>
  <si>
    <t>tient</t>
  </si>
  <si>
    <t>comptes</t>
  </si>
  <si>
    <t>sauvegarde</t>
  </si>
  <si>
    <t>Comment</t>
  </si>
  <si>
    <t>OBJ_6</t>
  </si>
  <si>
    <t>sentiez</t>
  </si>
  <si>
    <t>-vous</t>
  </si>
  <si>
    <t>derniers</t>
  </si>
  <si>
    <t>jours</t>
  </si>
  <si>
    <t>votre</t>
  </si>
  <si>
    <t>séjour</t>
  </si>
  <si>
    <t>Albanie</t>
  </si>
  <si>
    <t>other_10</t>
  </si>
  <si>
    <t>genre</t>
  </si>
  <si>
    <t>other_11</t>
  </si>
  <si>
    <t># text = Ces deux entités sont très différentes, le moi de l'expérience et le moi du souvenir et les confondre est une des sources du problème dans la notion de bonheur.</t>
  </si>
  <si>
    <t>Ces</t>
  </si>
  <si>
    <t>différentes</t>
  </si>
  <si>
    <t>confondre</t>
  </si>
  <si>
    <t>sources</t>
  </si>
  <si>
    <t>problème</t>
  </si>
  <si>
    <t># text = Le moi du souvenir est un raconteur d'histoires.</t>
  </si>
  <si>
    <t>raconteur</t>
  </si>
  <si>
    <t>histoires</t>
  </si>
  <si>
    <t># text = Et ça commence vraiment par un réflexe élémentaire de notre mémoire -- cela se fait immédiatement.</t>
  </si>
  <si>
    <t>commence</t>
  </si>
  <si>
    <t>vraiment</t>
  </si>
  <si>
    <t>par</t>
  </si>
  <si>
    <t>réflexe</t>
  </si>
  <si>
    <t>élémentaire</t>
  </si>
  <si>
    <t>cela</t>
  </si>
  <si>
    <t>immédiatement</t>
  </si>
  <si>
    <t># text = On ne raconte pas juste des histoires, quand on commence à raconter une histoire.</t>
  </si>
  <si>
    <t>On</t>
  </si>
  <si>
    <t>raconte</t>
  </si>
  <si>
    <t>pas</t>
  </si>
  <si>
    <t>juste</t>
  </si>
  <si>
    <t># text = C'est notre mémoire qui nous raconte des histoires, en fait, ce que nous retenons de notre vécu est une histoire.</t>
  </si>
  <si>
    <t>retenons</t>
  </si>
  <si>
    <t># text = Et laissez moi commencer par un exemple.</t>
  </si>
  <si>
    <t>laissez</t>
  </si>
  <si>
    <t># text = Il est tiré d'une vieille étude.</t>
  </si>
  <si>
    <t>tiré</t>
  </si>
  <si>
    <t>vieille</t>
  </si>
  <si>
    <t>étude</t>
  </si>
  <si>
    <t># text = Des patients réels subissent une opération douloureuse.</t>
  </si>
  <si>
    <t>De</t>
  </si>
  <si>
    <t>patients</t>
  </si>
  <si>
    <t>réels</t>
  </si>
  <si>
    <t>subissent</t>
  </si>
  <si>
    <t>opération</t>
  </si>
  <si>
    <t>douloureuse</t>
  </si>
  <si>
    <t># text = Je ne vais pas rentrer dans les détails.</t>
  </si>
  <si>
    <t>rentrer</t>
  </si>
  <si>
    <t>détails</t>
  </si>
  <si>
    <t># text = Ce n'est plus douloureux de nos jours, mais ca l'était à l'époque de cette étude, dans les années 90.</t>
  </si>
  <si>
    <t>douloureux</t>
  </si>
  <si>
    <t>nos</t>
  </si>
  <si>
    <t>ca</t>
  </si>
  <si>
    <t>époque</t>
  </si>
  <si>
    <t># text = On leur demanda de décrire leur douleur toutes les 60 secondes.</t>
  </si>
  <si>
    <t>demanda</t>
  </si>
  <si>
    <t>décrire</t>
  </si>
  <si>
    <t>douleur</t>
  </si>
  <si>
    <t>toutes</t>
  </si>
  <si>
    <t>secondes</t>
  </si>
  <si>
    <t># text = Voici l'enregistrement de deux patients.</t>
  </si>
  <si>
    <t>enregistrement</t>
  </si>
  <si>
    <t># text = La question est : \"Lequel a souffert le plus?\" C'est une question très simple.</t>
  </si>
  <si>
    <t>La</t>
  </si>
  <si>
    <t>question</t>
  </si>
  <si>
    <t>Lequel</t>
  </si>
  <si>
    <t>souffert</t>
  </si>
  <si>
    <t>simple</t>
  </si>
  <si>
    <t># text = Il est clair que le patient B a plus souffert.</t>
  </si>
  <si>
    <t>clair</t>
  </si>
  <si>
    <t>patient</t>
  </si>
  <si>
    <t>B</t>
  </si>
  <si>
    <t># text = Sa coloscopie durait plus longtemps, et pour chaque minute de souffrance pour le patient A, B souffrait aussi, mais encore plus.</t>
  </si>
  <si>
    <t>Sa</t>
  </si>
  <si>
    <t>coloscopie</t>
  </si>
  <si>
    <t>durait</t>
  </si>
  <si>
    <t>longtemps</t>
  </si>
  <si>
    <t>chaque</t>
  </si>
  <si>
    <t>minute</t>
  </si>
  <si>
    <t>souffrance</t>
  </si>
  <si>
    <t>A</t>
  </si>
  <si>
    <t>souffrait</t>
  </si>
  <si>
    <t>encore</t>
  </si>
  <si>
    <t># text = Mais voici une deuxième question: \"À quel point ces patients pensent-ils avoir souffert?\" Et voilà une surprise:</t>
  </si>
  <si>
    <t>À</t>
  </si>
  <si>
    <t>quel</t>
  </si>
  <si>
    <t>point</t>
  </si>
  <si>
    <t>-ils</t>
  </si>
  <si>
    <t>voilà</t>
  </si>
  <si>
    <t>surprise</t>
  </si>
  <si>
    <t># text = C'est que le patient A a un bien pire souvenir de la coloscopie que le patient B.</t>
  </si>
  <si>
    <t>pire</t>
  </si>
  <si>
    <t>B.</t>
  </si>
  <si>
    <t># text = Le déroulement des coloscopies était différent, un point très important de ces histoires est comment elles se terminent -- et aucune des ces expériences n'était agréable ou motivante -- mais l'une d'entre elles peut se distinguer... (Rires) mais l'une d'entre elles est distinctement pire que l'autre.</t>
  </si>
  <si>
    <t>déroulement</t>
  </si>
  <si>
    <t>coloscopies</t>
  </si>
  <si>
    <t>différent</t>
  </si>
  <si>
    <t>important</t>
  </si>
  <si>
    <t>comment</t>
  </si>
  <si>
    <t>elles</t>
  </si>
  <si>
    <t>terminent</t>
  </si>
  <si>
    <t>expériences</t>
  </si>
  <si>
    <t>agréable</t>
  </si>
  <si>
    <t>motivante</t>
  </si>
  <si>
    <t>...</t>
  </si>
  <si>
    <t>(</t>
  </si>
  <si>
    <t>)</t>
  </si>
  <si>
    <t>distinctement</t>
  </si>
  <si>
    <t>autre</t>
  </si>
  <si>
    <t># text = Et la pire est celle où la douleur atteint un pic tout à la fin.</t>
  </si>
  <si>
    <t>celle</t>
  </si>
  <si>
    <t>où</t>
  </si>
  <si>
    <t>atteint</t>
  </si>
  <si>
    <t>pic</t>
  </si>
  <si>
    <t># text = C'est une sale histoire.</t>
  </si>
  <si>
    <t>sale</t>
  </si>
  <si>
    <t># text = Comment savons-nous cela?</t>
  </si>
  <si>
    <t>savons</t>
  </si>
  <si>
    <t>-nous</t>
  </si>
  <si>
    <t># text = Parceque nous avons demandé à ces personnes, juste après leur coloscopie, et également longtemps après, \"Finalement, à quel point est-ce que ça a été dur?\" Et A avait des biens pires souvenirs que B. En fait, c'est un conflit direct entre le moi de l'expérience et le moi du souvenir.</t>
  </si>
  <si>
    <t>Parceque</t>
  </si>
  <si>
    <t>avons</t>
  </si>
  <si>
    <t>demandé</t>
  </si>
  <si>
    <t>personnes</t>
  </si>
  <si>
    <t>également</t>
  </si>
  <si>
    <t>Finalement</t>
  </si>
  <si>
    <t>-ce</t>
  </si>
  <si>
    <t>dur</t>
  </si>
  <si>
    <t>biens</t>
  </si>
  <si>
    <t>pires</t>
  </si>
  <si>
    <t>En</t>
  </si>
  <si>
    <t>conflit</t>
  </si>
  <si>
    <t>direct</t>
  </si>
  <si>
    <t># text = Du point de vue du \"moi de l'expérience\", clairement, B a passé un plus mauvais moment.</t>
  </si>
  <si>
    <t>vue</t>
  </si>
  <si>
    <t>clairement</t>
  </si>
  <si>
    <t>mauvais</t>
  </si>
  <si>
    <t>moment</t>
  </si>
  <si>
    <t># text = Maintenant, ce que l'on aurait pu faire avec le patient A, et, en fait, on a effectué des tests médicaux, ça a été fait et ça fonctionne, on aurait pu allonger la durée de la coloscopie du patient A juste en gardant le tube à l'intérieur, sans trop le remuer Ça a pour effet de faire souffrir le patient, mais juste un peu, et bien moins qu'auparavant.</t>
  </si>
  <si>
    <t>Maintenant</t>
  </si>
  <si>
    <t>aurait</t>
  </si>
  <si>
    <t>pu</t>
  </si>
  <si>
    <t>effectué</t>
  </si>
  <si>
    <t>tests</t>
  </si>
  <si>
    <t>médicaux</t>
  </si>
  <si>
    <t>fonctionne</t>
  </si>
  <si>
    <t>allonger</t>
  </si>
  <si>
    <t>durée</t>
  </si>
  <si>
    <t>gardant</t>
  </si>
  <si>
    <t>tube</t>
  </si>
  <si>
    <t>intérieur</t>
  </si>
  <si>
    <t>remuer</t>
  </si>
  <si>
    <t>effet</t>
  </si>
  <si>
    <t>peu</t>
  </si>
  <si>
    <t>moins</t>
  </si>
  <si>
    <t>auparavant</t>
  </si>
  <si>
    <t># text = En faisant ça pendant quelques minutes, vous amènerez une aggravation pour le le vécu "moi de l'expérience" du patient A, et une nette amélioration pour son "moi du souvenir", Parceque vous avez désormais fourni au patient A une meilleure histoire à propos de ce qu'il a vécu.</t>
  </si>
  <si>
    <t>faisant</t>
  </si>
  <si>
    <t>pendant</t>
  </si>
  <si>
    <t>quelques</t>
  </si>
  <si>
    <t>amènerez</t>
  </si>
  <si>
    <t>aggravation</t>
  </si>
  <si>
    <t>nette</t>
  </si>
  <si>
    <t>amélioration</t>
  </si>
  <si>
    <t>avez</t>
  </si>
  <si>
    <t>désormais</t>
  </si>
  <si>
    <t>fourni</t>
  </si>
  <si>
    <t>meilleure</t>
  </si>
  <si>
    <t>propos</t>
  </si>
  <si>
    <t>SBJ_8</t>
  </si>
  <si>
    <t># text = Qu'est-ce qui définit une histoire?</t>
  </si>
  <si>
    <t>Qu'</t>
  </si>
  <si>
    <t>pron.pint</t>
  </si>
  <si>
    <t>définit</t>
  </si>
  <si>
    <t># text = Et c'est vrai des histoires qui nous sont fournies par notre mémoire, comme des histoires que l'on fabrique.</t>
  </si>
  <si>
    <t>fournies</t>
  </si>
  <si>
    <t>comme</t>
  </si>
  <si>
    <t>fabrique</t>
  </si>
  <si>
    <t># text = Ce qui définit une histoire, ce sont les changements [de situation], les moments importants et la fin.</t>
  </si>
  <si>
    <t>changements</t>
  </si>
  <si>
    <t>situation</t>
  </si>
  <si>
    <t>moments</t>
  </si>
  <si>
    <t>importants</t>
  </si>
  <si>
    <t># text = Le déroulement final est très, très significatif et, dans cet exemple, la fin détermine tout.</t>
  </si>
  <si>
    <t>significatif</t>
  </si>
  <si>
    <t>détermine</t>
  </si>
  <si>
    <t># text = Donc, le "moi de l'expérience" vit sa vie dans la continuité.</t>
  </si>
  <si>
    <t>Donc</t>
  </si>
  <si>
    <t>continuité</t>
  </si>
  <si>
    <t># text = Il enchaine les expériences, les une après les autres.</t>
  </si>
  <si>
    <t>enchaine</t>
  </si>
  <si>
    <t># text = Et si vous demandez ce qui arrive à ces moments, la réponse est assez directe: Ils sont perdus à jamais.</t>
  </si>
  <si>
    <t>demandez</t>
  </si>
  <si>
    <t>arrive</t>
  </si>
  <si>
    <t>réponse</t>
  </si>
  <si>
    <t>directe</t>
  </si>
  <si>
    <t>Ils</t>
  </si>
  <si>
    <t>perdus</t>
  </si>
  <si>
    <t>jamais</t>
  </si>
  <si>
    <t># text = Ce que je veux dire, c'est que la plupart des instants de notre vie -- et j'ai évalué -- le présent psychologique est d'environ 3 secondes.</t>
  </si>
  <si>
    <t>plupart</t>
  </si>
  <si>
    <t>instants</t>
  </si>
  <si>
    <t>j'</t>
  </si>
  <si>
    <t>ai</t>
  </si>
  <si>
    <t>évalué</t>
  </si>
  <si>
    <t>psychologique</t>
  </si>
  <si>
    <t>environ</t>
  </si>
  <si>
    <t># text = Ce qui signifie, en clair, qu'il y en a environ 600 million lors d'une vie.</t>
  </si>
  <si>
    <t>signifie</t>
  </si>
  <si>
    <t>600</t>
  </si>
  <si>
    <t>million</t>
  </si>
  <si>
    <t>lors</t>
  </si>
  <si>
    <t># text = En un mois, ça fait environ 600 000.</t>
  </si>
  <si>
    <t>mois</t>
  </si>
  <si>
    <t>600 000</t>
  </si>
  <si>
    <t># text = La plupart ne laissent aucune trace.</t>
  </si>
  <si>
    <t>laissent</t>
  </si>
  <si>
    <t>trace</t>
  </si>
  <si>
    <t># text = La plupart sont complètement ignorés par notre "moi du souvenir".</t>
  </si>
  <si>
    <t>complètement</t>
  </si>
  <si>
    <t>ignorés</t>
  </si>
  <si>
    <t># text = Mais cependant, parfois vous prenez conscience qu'ils devraient compter, que ce qui se passe pendant ces instants où on vit une expérience, c'est notre vie.</t>
  </si>
  <si>
    <t>cependant</t>
  </si>
  <si>
    <t>parfois</t>
  </si>
  <si>
    <t>prenez</t>
  </si>
  <si>
    <t>conscience</t>
  </si>
  <si>
    <t>devraient</t>
  </si>
  <si>
    <t>passe</t>
  </si>
  <si>
    <t># text = C'est la ressource limitée que nous utilisons lors de notre vie sur terre.</t>
  </si>
  <si>
    <t>ressource</t>
  </si>
  <si>
    <t>limitée</t>
  </si>
  <si>
    <t>terre</t>
  </si>
  <si>
    <t># text = Et la façon de l'utiliser, semblerait appropriée mais ce n'est pas cette histoire que notre "moi du souvenir" conserve.</t>
  </si>
  <si>
    <t>façon</t>
  </si>
  <si>
    <t>utiliser</t>
  </si>
  <si>
    <t>semblerait</t>
  </si>
  <si>
    <t>appropriée</t>
  </si>
  <si>
    <t>conserve</t>
  </si>
  <si>
    <t># text = Au final, nous avons notre "moi du souvenir" et notre "moi de l'expérience", et ils sont vraiment assez différents.</t>
  </si>
  <si>
    <t># text = La plus grande différence entre eux, c'est la perception du temps.</t>
  </si>
  <si>
    <t>grande</t>
  </si>
  <si>
    <t>eux</t>
  </si>
  <si>
    <t>perception</t>
  </si>
  <si>
    <t>temps</t>
  </si>
  <si>
    <t># text = Du point de vue de votre \"moi de l'expérience\", si vous êtes en vacances, et que la deuxième semaine se passe aussi bien que la première, alors ces deux semaines de vacances seront deux fois meilleures qu'une seule semaine.</t>
  </si>
  <si>
    <t>êtes</t>
  </si>
  <si>
    <t>vacances</t>
  </si>
  <si>
    <t>semaine</t>
  </si>
  <si>
    <t>première</t>
  </si>
  <si>
    <t>alors</t>
  </si>
  <si>
    <t>semaines</t>
  </si>
  <si>
    <t>seront</t>
  </si>
  <si>
    <t>fois</t>
  </si>
  <si>
    <t>meilleures</t>
  </si>
  <si>
    <t>seule</t>
  </si>
  <si>
    <t># text = Ce n'est pas du tout comme ça que ça se passe pour notre \"moi du souvenir\".</t>
  </si>
  <si>
    <t># text = Pour lui, des vacances de deux semaines, ce sera à peine mieux qu'une seule semaine parce qu'aucun souvenir n'est ajouté.</t>
  </si>
  <si>
    <t>Pour</t>
  </si>
  <si>
    <t>sera</t>
  </si>
  <si>
    <t>peine</t>
  </si>
  <si>
    <t>mieux</t>
  </si>
  <si>
    <t>ajouté</t>
  </si>
  <si>
    <t># text = Vous n'avez pas changé l'histoire.</t>
  </si>
  <si>
    <t>changé</t>
  </si>
  <si>
    <t># text = Vu de cet angle, le temps est en fait la variable capitale qui distingue notre "moi du souvenir" de notre "moi de l'expérience".</t>
  </si>
  <si>
    <t>Vu</t>
  </si>
  <si>
    <t>angle</t>
  </si>
  <si>
    <t>variable</t>
  </si>
  <si>
    <t>capitale</t>
  </si>
  <si>
    <t>distingue</t>
  </si>
  <si>
    <t># text = Le temps n'a que peu d'impact sur cette histoire.</t>
  </si>
  <si>
    <t>impact</t>
  </si>
  <si>
    <t># text = Et le "moi du souvenir" fait bien plus que mémoriser et raconter des histoires.</t>
  </si>
  <si>
    <t>mémoriser</t>
  </si>
  <si>
    <t># text = En réalité, c'est lui qui prend les décisions car, si vous avez un patient qui a subi, disons, deux coloscopies avec deux chirurgiens différents et qui doit décider lequel choisir, et bien celui qu'il choisit est celui dont les souvenirs sont les moins mauvais, c'est ce chirurgien qui sera choisi.</t>
  </si>
  <si>
    <t>réalité</t>
  </si>
  <si>
    <t>prend</t>
  </si>
  <si>
    <t>décisions</t>
  </si>
  <si>
    <t>subi</t>
  </si>
  <si>
    <t>disons</t>
  </si>
  <si>
    <t>chirurgiens</t>
  </si>
  <si>
    <t>doit</t>
  </si>
  <si>
    <t>décider</t>
  </si>
  <si>
    <t>lequel</t>
  </si>
  <si>
    <t>OBJ_9</t>
  </si>
  <si>
    <t>choisit</t>
  </si>
  <si>
    <t>chirurgien</t>
  </si>
  <si>
    <t>choisi</t>
  </si>
  <si>
    <t># text = Le \"moi de l'expérience\" n'a pas son mot à dire dans ce choix.</t>
  </si>
  <si>
    <t>choix</t>
  </si>
  <si>
    <t># text = En fait, nous ne choisissons pas entre des expériences, nous choisissons entre des souvenirs de ces expériences.</t>
  </si>
  <si>
    <t>choisissons</t>
  </si>
  <si>
    <t># text = Et même lorsque nous pensons au futur, d'habitude nous n'y pensons pas en termes d'expériences.</t>
  </si>
  <si>
    <t>même</t>
  </si>
  <si>
    <t>lorsque</t>
  </si>
  <si>
    <t>pensons</t>
  </si>
  <si>
    <t>futur</t>
  </si>
  <si>
    <t>habitude</t>
  </si>
  <si>
    <t>termes</t>
  </si>
  <si>
    <t># text = Nous pensons à notre futur en anticipant les souvenirs.</t>
  </si>
  <si>
    <t>Nous</t>
  </si>
  <si>
    <t>anticipant</t>
  </si>
  <si>
    <t># text = On peut se représenter ça simplement comme une tyrannie du \"moi du souvenir\" et se représenter le \"moi du souvenir\" comme entrainant de force le \"moi de l'expérience\" à travers des expériences que le \"moi de l'expérience\" ne demande pas.</t>
  </si>
  <si>
    <t>représenter</t>
  </si>
  <si>
    <t>tyrannie</t>
  </si>
  <si>
    <t>entrainant</t>
  </si>
  <si>
    <t>force</t>
  </si>
  <si>
    <t>travers</t>
  </si>
  <si>
    <t># text = J'ai l'impression que lorsque l'on part en vacances c'est très fréquent, c'est à dire qu'on part en vacances, d'une certaine manière, aux ordres de notre "moi du souvenir".</t>
  </si>
  <si>
    <t>J'</t>
  </si>
  <si>
    <t>impression</t>
  </si>
  <si>
    <t>part</t>
  </si>
  <si>
    <t>fréquent</t>
  </si>
  <si>
    <t>certaine</t>
  </si>
  <si>
    <t>manière</t>
  </si>
  <si>
    <t>ordres</t>
  </si>
  <si>
    <t># text = Et, je pense, c'est assez dur à justifier.</t>
  </si>
  <si>
    <t>pense</t>
  </si>
  <si>
    <t>justifier</t>
  </si>
  <si>
    <t># text = En clair, à quel point nous nourrissons-nous de nos souvenirs?</t>
  </si>
  <si>
    <t>nourrissons</t>
  </si>
  <si>
    <t># text = C'est une des explications qui est avancée pour la domination de notre \"moi du souvenir\"..</t>
  </si>
  <si>
    <t>explications</t>
  </si>
  <si>
    <t>avancée</t>
  </si>
  <si>
    <t>domination</t>
  </si>
  <si>
    <t>..</t>
  </si>
  <si>
    <t># text = Et ça me fait penser à des vacances que nous avions passées en Antarctique, il y a quelques années, qui ont été nettement les meilleures vacances que j'aie jamais eues, et j'y repense assez souvent, comparativement au nombre de fois où je pense à mes autres vacances.</t>
  </si>
  <si>
    <t>me</t>
  </si>
  <si>
    <t>avions</t>
  </si>
  <si>
    <t>passées</t>
  </si>
  <si>
    <t>Antarctique</t>
  </si>
  <si>
    <t>ont</t>
  </si>
  <si>
    <t>nettement</t>
  </si>
  <si>
    <t>aie</t>
  </si>
  <si>
    <t>eues</t>
  </si>
  <si>
    <t>repense</t>
  </si>
  <si>
    <t>souvent</t>
  </si>
  <si>
    <t>comparativement</t>
  </si>
  <si>
    <t># text = J'ai probablement consommé mes souvenirs de ce séjour de 3 semaines, pendant, je dirais, à peu près 25 minutes depuis 4 ans.</t>
  </si>
  <si>
    <t>probablement</t>
  </si>
  <si>
    <t>consommé</t>
  </si>
  <si>
    <t>dirais</t>
  </si>
  <si>
    <t>près</t>
  </si>
  <si>
    <t>depuis</t>
  </si>
  <si>
    <t>ans</t>
  </si>
  <si>
    <t># text = Après, si j'avais ouvert une fois l'album qui contient 600 photos, j'y aurais passé une heure supplémentaire.</t>
  </si>
  <si>
    <t>Après</t>
  </si>
  <si>
    <t>avais</t>
  </si>
  <si>
    <t>ouvert</t>
  </si>
  <si>
    <t>album</t>
  </si>
  <si>
    <t>contient</t>
  </si>
  <si>
    <t>photos</t>
  </si>
  <si>
    <t>aurais</t>
  </si>
  <si>
    <t>heure</t>
  </si>
  <si>
    <t>supplémentaire</t>
  </si>
  <si>
    <t># text = Ca a duré trois semaines et au final ça ne fait qu'une heure et demie tout au plus.</t>
  </si>
  <si>
    <t>Ca</t>
  </si>
  <si>
    <t>duré</t>
  </si>
  <si>
    <t>trois</t>
  </si>
  <si>
    <t>demie</t>
  </si>
  <si>
    <t># text = Ça paraît disproportionné.</t>
  </si>
  <si>
    <t>paraît</t>
  </si>
  <si>
    <t>disproportionné</t>
  </si>
  <si>
    <t># text = Il est possible que je ne sois pas représentatif de la moyenne, en ceci que j'ai peu de goût pour la consommation de mes souvenirs, Mais même si vous en avez plus que moi, une question fondamentale se pose: Pourquoi donnons-nous autant de poids à nos souvenirs, en comparaison de celui que nous donnons à nos expériences ?</t>
  </si>
  <si>
    <t>possible</t>
  </si>
  <si>
    <t>sois</t>
  </si>
  <si>
    <t>représentatif</t>
  </si>
  <si>
    <t>moyenne</t>
  </si>
  <si>
    <t>ceci</t>
  </si>
  <si>
    <t>goût</t>
  </si>
  <si>
    <t>consommation</t>
  </si>
  <si>
    <t>fondamentale</t>
  </si>
  <si>
    <t>pose</t>
  </si>
  <si>
    <t>Pourquoi</t>
  </si>
  <si>
    <t>donnons</t>
  </si>
  <si>
    <t>autant</t>
  </si>
  <si>
    <t>poids</t>
  </si>
  <si>
    <t>comparaison</t>
  </si>
  <si>
    <t># text = Je voudrais que vous pensiez à une expérience cérébrale.</t>
  </si>
  <si>
    <t>voudrais</t>
  </si>
  <si>
    <t>pensiez</t>
  </si>
  <si>
    <t>cérébrale</t>
  </si>
  <si>
    <t># text = Imaginez qu'à vos prochaines vacances, qu'à la fin de ces vacances, toutes vos photos soient détruites, et que vous avaliez un comprimé qui rend amnésique de tel sorte que vous ne vous souviendrez de rien.</t>
  </si>
  <si>
    <t>Imaginez</t>
  </si>
  <si>
    <t>vos</t>
  </si>
  <si>
    <t>prochaines</t>
  </si>
  <si>
    <t>soient</t>
  </si>
  <si>
    <t>détruites</t>
  </si>
  <si>
    <t>avaliez</t>
  </si>
  <si>
    <t>comprimé</t>
  </si>
  <si>
    <t>rend</t>
  </si>
  <si>
    <t>amnésique</t>
  </si>
  <si>
    <t>tel</t>
  </si>
  <si>
    <t>sorte</t>
  </si>
  <si>
    <t>souviendrez</t>
  </si>
  <si>
    <t>rien</t>
  </si>
  <si>
    <t># text = Dès lors, choisiriez vous le même type de vacances?</t>
  </si>
  <si>
    <t>Dès</t>
  </si>
  <si>
    <t>choisiriez</t>
  </si>
  <si>
    <t>type</t>
  </si>
  <si>
    <t># text = (Rires) Et si vous faisiez un autre choix, il y aurait un conflit entre vos deux entités, et vous devez réfléchir comment arbitrer ce conflit, et ce n'est vraiment pas évident, car si vous pensez en termes de temporalité, vous aurez une réponse.</t>
  </si>
  <si>
    <t>faisiez</t>
  </si>
  <si>
    <t>devez</t>
  </si>
  <si>
    <t>réfléchir</t>
  </si>
  <si>
    <t>arbitrer</t>
  </si>
  <si>
    <t>évident</t>
  </si>
  <si>
    <t>pensez</t>
  </si>
  <si>
    <t>temporalité</t>
  </si>
  <si>
    <t>aurez</t>
  </si>
  <si>
    <t># text = Et si vous pensez en terme de souvenirs, vous pourriez avoir une autre réponse.</t>
  </si>
  <si>
    <t>terme</t>
  </si>
  <si>
    <t>pourriez</t>
  </si>
  <si>
    <t># text = Pourquoi choisit-on les vacances qu'on passera, c'est une problématique qui nous met face à un choix entre les deux \"moi\".</t>
  </si>
  <si>
    <t>-on</t>
  </si>
  <si>
    <t>passera</t>
  </si>
  <si>
    <t>problématique</t>
  </si>
  <si>
    <t>met</t>
  </si>
  <si>
    <t>face</t>
  </si>
  <si>
    <t># text = Les deux "moi"nous renvoient à deux notions du bonheur.</t>
  </si>
  <si>
    <t>Les</t>
  </si>
  <si>
    <t>renvoient</t>
  </si>
  <si>
    <t>notions</t>
  </si>
  <si>
    <t># text = Il y a véritablement deux conceptions du bonheur qui s'appliquent à chacun.</t>
  </si>
  <si>
    <t>véritablement</t>
  </si>
  <si>
    <t>conceptions</t>
  </si>
  <si>
    <t>appliquent</t>
  </si>
  <si>
    <t>chacun</t>
  </si>
  <si>
    <t># text = Alors on se demande : A quel point le \"moi de l'expérience\" est-il heureux ?</t>
  </si>
  <si>
    <t>Alors</t>
  </si>
  <si>
    <t>-il</t>
  </si>
  <si>
    <t># text = Puis : A quel point sont heureux ces moments dans la vie du "moi de l'expérience" ?</t>
  </si>
  <si>
    <t>Puis</t>
  </si>
  <si>
    <t># text = Ils le sont tous; le bonheur de l'instant est un processus assez complexe.</t>
  </si>
  <si>
    <t>tous;</t>
  </si>
  <si>
    <t>processus</t>
  </si>
  <si>
    <t># text = Que sont les émotions que l'on peut quantifier?</t>
  </si>
  <si>
    <t>Que</t>
  </si>
  <si>
    <t>émotions</t>
  </si>
  <si>
    <t>quantifier</t>
  </si>
  <si>
    <t># text = A ce propos, maintenant nous avons une idée plus claire de ce qu'est le bonheur du "moi de l'expérience" dans le temps.</t>
  </si>
  <si>
    <t>idée</t>
  </si>
  <si>
    <t>claire</t>
  </si>
  <si>
    <t># text = Si vous réfléchissez sur le bonheur du "moi des souvenirs", c'est une toute autre histoire.</t>
  </si>
  <si>
    <t>Si</t>
  </si>
  <si>
    <t>réfléchissez</t>
  </si>
  <si>
    <t># text = Cela n'a rien à voir avec le fait d'avoir une vie heureuse.</t>
  </si>
  <si>
    <t>heureuse</t>
  </si>
  <si>
    <t># text = Mais comment on est satisfait, ou content, en pensant à notre vie.</t>
  </si>
  <si>
    <t>satisfait</t>
  </si>
  <si>
    <t>content</t>
  </si>
  <si>
    <t>pensant</t>
  </si>
  <si>
    <t># text = Notions très différentes.</t>
  </si>
  <si>
    <t>Notions</t>
  </si>
  <si>
    <t># text = Quiconque ne distingue pas ces deux notions est sur le point de rater l'étude du bonheur, et j'appartiens à la foule d'étudiants du bien-être, qui a raté l'étude du bonheur pendant longtemps, précisément de cette façon là.</t>
  </si>
  <si>
    <t>Quiconque</t>
  </si>
  <si>
    <t>pron.pind</t>
  </si>
  <si>
    <t>rater</t>
  </si>
  <si>
    <t>appartiens</t>
  </si>
  <si>
    <t>foule</t>
  </si>
  <si>
    <t>étudiants</t>
  </si>
  <si>
    <t>raté</t>
  </si>
  <si>
    <t>précisément</t>
  </si>
  <si>
    <t># text = La distinction entre le bonheur de notre \"moi de l'expérience\" et la satisfaction de notre \"moi du souvenir\" n'a été comprise que très récemment, et il ya maintenant des projets afin de mesurer les deux séparement.</t>
  </si>
  <si>
    <t>distinction</t>
  </si>
  <si>
    <t>satisfaction</t>
  </si>
  <si>
    <t>comprise</t>
  </si>
  <si>
    <t>récemment</t>
  </si>
  <si>
    <t>ya</t>
  </si>
  <si>
    <t>projets</t>
  </si>
  <si>
    <t>afin</t>
  </si>
  <si>
    <t>mesurer</t>
  </si>
  <si>
    <t>séparement</t>
  </si>
  <si>
    <t># text = L'organisation Gallup a réalisé un sondage auprès de 500 000 personnes en leur demandant ce qu'ils pensaient de leur vies et de leurs expériences.</t>
  </si>
  <si>
    <t>L'</t>
  </si>
  <si>
    <t>organisation</t>
  </si>
  <si>
    <t>Gallup</t>
  </si>
  <si>
    <t>réalisé</t>
  </si>
  <si>
    <t>sondage</t>
  </si>
  <si>
    <t>auprès</t>
  </si>
  <si>
    <t>500 000</t>
  </si>
  <si>
    <t>demandant</t>
  </si>
  <si>
    <t>pensaient</t>
  </si>
  <si>
    <t>vies</t>
  </si>
  <si>
    <t>leurs</t>
  </si>
  <si>
    <t># text = Et il y a eu d'autres actions dans ce sens.</t>
  </si>
  <si>
    <t>actions</t>
  </si>
  <si>
    <t>sens</t>
  </si>
  <si>
    <t># text = Ces dernières années, nous avons commencé à apprendre des choses sur le bonheur des deux \"moi\".</t>
  </si>
  <si>
    <t>commencé</t>
  </si>
  <si>
    <t>apprendre</t>
  </si>
  <si>
    <t># text = Selon moi, la leçon principale que nous ayons apprise, c'est que ces deux entités sont très différentes.</t>
  </si>
  <si>
    <t>Selon</t>
  </si>
  <si>
    <t>leçon</t>
  </si>
  <si>
    <t>principale</t>
  </si>
  <si>
    <t>ayons</t>
  </si>
  <si>
    <t>apprise</t>
  </si>
  <si>
    <t># text = Vous pouvez voir qu'une personne est satisfaite de sa vie, mais ça ne vous apprend pas grand chose sur le degré de bonheur avec lequel elle vit sa vie, et inversement.</t>
  </si>
  <si>
    <t>pouvez</t>
  </si>
  <si>
    <t>satisfaite</t>
  </si>
  <si>
    <t>apprend</t>
  </si>
  <si>
    <t>grand</t>
  </si>
  <si>
    <t>chose</t>
  </si>
  <si>
    <t>degré</t>
  </si>
  <si>
    <t>inversement</t>
  </si>
  <si>
    <t># text = Juste pour vous donner une idée de la corrélation, la corrélation est d'environ 5.</t>
  </si>
  <si>
    <t>Juste</t>
  </si>
  <si>
    <t>corrélation</t>
  </si>
  <si>
    <t># text = C'est comme si vous rencontriez quelqu'un qui vous dise que son père fait 2 mètres.</t>
  </si>
  <si>
    <t>rencontriez</t>
  </si>
  <si>
    <t>dise</t>
  </si>
  <si>
    <t>père</t>
  </si>
  <si>
    <t>mètres</t>
  </si>
  <si>
    <t># text = Que pouvez-vous dire de la taille de cette personne?</t>
  </si>
  <si>
    <t>taille</t>
  </si>
  <si>
    <t># text = Et bien, vous avez une indication, mais il y a un fort degré d'incertitude.</t>
  </si>
  <si>
    <t>indication</t>
  </si>
  <si>
    <t>fort</t>
  </si>
  <si>
    <t>incertitude</t>
  </si>
  <si>
    <t># text = Vous avez tant d'incertitude.</t>
  </si>
  <si>
    <t>tant</t>
  </si>
  <si>
    <t># text = Si je vous dit qu'une personne à noté sa vie 8 sur 10, vous aurez pas mal d'incertitude pour estimer le niveau de bonheur de son "moi de l'expérience".</t>
  </si>
  <si>
    <t>dit</t>
  </si>
  <si>
    <t>noté</t>
  </si>
  <si>
    <t>estimer</t>
  </si>
  <si>
    <t>niveau</t>
  </si>
  <si>
    <t># text = Si bien que la corrélation est faible.</t>
  </si>
  <si>
    <t>faible</t>
  </si>
  <si>
    <t># text = On connait un peu ce qui contrôle la satisfaction du bonheur.</t>
  </si>
  <si>
    <t>contrôle</t>
  </si>
  <si>
    <t># text = On sait que l'argent a une place importante, les objectifs également.</t>
  </si>
  <si>
    <t>sait</t>
  </si>
  <si>
    <t>argent</t>
  </si>
  <si>
    <t>place</t>
  </si>
  <si>
    <t>importante</t>
  </si>
  <si>
    <t>objectifs</t>
  </si>
  <si>
    <t># text = Nous savons que le bonheur provient principalement des personnes que nous apprécions, du temps que l'on passe avec elles.</t>
  </si>
  <si>
    <t>apprécions</t>
  </si>
  <si>
    <t># text = Il y a d'autres plaisirs, mais ce point domine.</t>
  </si>
  <si>
    <t>plaisirs</t>
  </si>
  <si>
    <t>domine</t>
  </si>
  <si>
    <t># text = Alors si vous souhaitez maximiser le bonheur des deux "moi", vous allez finir par faire des choses très différentes.</t>
  </si>
  <si>
    <t>souhaitez</t>
  </si>
  <si>
    <t>maximiser</t>
  </si>
  <si>
    <t>allez</t>
  </si>
  <si>
    <t>finir</t>
  </si>
  <si>
    <t># text = L'essentiel de mes propos c'est que nous ne devrions vraiment pas penser au bonheur en tant que substitut du bien-être.</t>
  </si>
  <si>
    <t>essentiel</t>
  </si>
  <si>
    <t>devrions</t>
  </si>
  <si>
    <t>substitut</t>
  </si>
  <si>
    <t># text = Ce sont deux notions très différentes.</t>
  </si>
  <si>
    <t># text = Pour faire court, une autre raison qui nous empêche d'avoir les idées claires sur le bonheur, c'est qu'on ne se préoccupe pas des mêmes choses quand on réfléchit à la vie ou bien lorsqu'on la vit.</t>
  </si>
  <si>
    <t>court</t>
  </si>
  <si>
    <t>raison</t>
  </si>
  <si>
    <t>empêche</t>
  </si>
  <si>
    <t>idées</t>
  </si>
  <si>
    <t>claires</t>
  </si>
  <si>
    <t>préoccupe</t>
  </si>
  <si>
    <t>mêmes</t>
  </si>
  <si>
    <t>réfléchit</t>
  </si>
  <si>
    <t>lorsqu'</t>
  </si>
  <si>
    <t># text = Si vous posez la simple question de savoir à quel point les habitants de Californie sont heureux, vous n'aurez pas de réponse correcte.</t>
  </si>
  <si>
    <t>posez</t>
  </si>
  <si>
    <t>habitants</t>
  </si>
  <si>
    <t>Californie</t>
  </si>
  <si>
    <t># text = Lorsque vous posez cette question, vous pensez que les gens doivent être plus heureux en Californie, que, disons, dans l'Ohio.</t>
  </si>
  <si>
    <t>Lorsque</t>
  </si>
  <si>
    <t>gens</t>
  </si>
  <si>
    <t>doivent</t>
  </si>
  <si>
    <t>Ohio</t>
  </si>
  <si>
    <t># text = (Rires) Et ce qu'il y a, c'est que quand vous pensez à la vie en Californie, vous pensez au contraste entre la Californie et d'autres endroits, et le contraste, disons, est dans le climat.</t>
  </si>
  <si>
    <t>contraste</t>
  </si>
  <si>
    <t>endroits</t>
  </si>
  <si>
    <t>climat</t>
  </si>
  <si>
    <t># text = Et bien, il s'avère que le climat n'est pas très important pour le \"moi de l'expérience\" pas plus que pour le \"moi qui réfléchit\" et qui décide si les gens sont heureux.</t>
  </si>
  <si>
    <t>avère</t>
  </si>
  <si>
    <t>décide</t>
  </si>
  <si>
    <t># text = Mais, bon, puisque c'est le \"moi qui réfléchit\" qui commande, vous déciderez peut-être --enfin certains-- de déménager pour la Californie.</t>
  </si>
  <si>
    <t>puisque</t>
  </si>
  <si>
    <t>commande</t>
  </si>
  <si>
    <t>déciderez</t>
  </si>
  <si>
    <t>peut-être</t>
  </si>
  <si>
    <t>--enfin</t>
  </si>
  <si>
    <t>certains</t>
  </si>
  <si>
    <t>déménager</t>
  </si>
  <si>
    <t># text = Ce serait intéressant, de suivre ceux qui déménagent pour la Californie, dans l'espoir d'être plus heureux.</t>
  </si>
  <si>
    <t>serait</t>
  </si>
  <si>
    <t>intéressant</t>
  </si>
  <si>
    <t>suivre</t>
  </si>
  <si>
    <t>ceux</t>
  </si>
  <si>
    <t>déménagent</t>
  </si>
  <si>
    <t>espoir</t>
  </si>
  <si>
    <t># text = En fait, leur "moi de l'expérience" ne sera pas plus heureux.</t>
  </si>
  <si>
    <t># text = Nous en avons tous conscience.</t>
  </si>
  <si>
    <t># text = Mais il se produira une chose: Ils seront convaincus d'être plus heureux.</t>
  </si>
  <si>
    <t>produira</t>
  </si>
  <si>
    <t>convaincus</t>
  </si>
  <si>
    <t># text = Car, lorsqu'ils y repenseront, Ils se remémoreront le mauvais temps en Ohio.</t>
  </si>
  <si>
    <t>Car</t>
  </si>
  <si>
    <t>repenseront</t>
  </si>
  <si>
    <t>remémoreront</t>
  </si>
  <si>
    <t># text = Et ils penseront avoir pris la bonne décision.</t>
  </si>
  <si>
    <t>penseront</t>
  </si>
  <si>
    <t>pris</t>
  </si>
  <si>
    <t>bonne</t>
  </si>
  <si>
    <t>décision</t>
  </si>
  <si>
    <t># text = C'est très difficile d'évaluer correctement son bien-être.</t>
  </si>
  <si>
    <t>difficile</t>
  </si>
  <si>
    <t>évaluer</t>
  </si>
  <si>
    <t># text = J'espère vous avoir montré combien cela est difficile.</t>
  </si>
  <si>
    <t>espère</t>
  </si>
  <si>
    <t>montré</t>
  </si>
  <si>
    <t>combien</t>
  </si>
  <si>
    <t># text = Merci (Applaudissements) Chris Anderson: Merci.</t>
  </si>
  <si>
    <t>Merci</t>
  </si>
  <si>
    <t>Applaudissements</t>
  </si>
  <si>
    <t>Chris</t>
  </si>
  <si>
    <t>Anderson</t>
  </si>
  <si>
    <t># text = J'ai une question à vous poser.</t>
  </si>
  <si>
    <t>poser</t>
  </si>
  <si>
    <t># text = Merci beaucoup</t>
  </si>
  <si>
    <t>beaucoup</t>
  </si>
  <si>
    <t># text = Il y a quelques semaines, nous avons parlé au téléphone, vous m'aviez dit que le sondage Gallup avait fourni des résultats assez intéressants.</t>
  </si>
  <si>
    <t>parlé</t>
  </si>
  <si>
    <t>téléphone</t>
  </si>
  <si>
    <t>m'</t>
  </si>
  <si>
    <t>aviez</t>
  </si>
  <si>
    <t>résultats</t>
  </si>
  <si>
    <t>intéressants</t>
  </si>
  <si>
    <t># text = Pouvez-vous nous en dire plus maintenant qu'il vous reste un peu de temps?</t>
  </si>
  <si>
    <t>Pouvez</t>
  </si>
  <si>
    <t>reste</t>
  </si>
  <si>
    <t># text = Daniel Kahneman: Bien sûr.</t>
  </si>
  <si>
    <t>Kahneman</t>
  </si>
  <si>
    <t>Bien</t>
  </si>
  <si>
    <t>sûr</t>
  </si>
  <si>
    <t># text = D'après moi, le résultat le plus significatif découvert grace à ce sondage est un nombre, que nous ne nous attendions absolument pas à trouver.</t>
  </si>
  <si>
    <t>résultat</t>
  </si>
  <si>
    <t>découvert</t>
  </si>
  <si>
    <t>grace</t>
  </si>
  <si>
    <t>attendions</t>
  </si>
  <si>
    <t>absolument</t>
  </si>
  <si>
    <t># text = On a trouvé ça à propos du bonheur du "moi de l'expérience".</t>
  </si>
  <si>
    <t>trouvé</t>
  </si>
  <si>
    <t># text = Lorsque nous observions comment le bonheur varie en fonction des revenus.</t>
  </si>
  <si>
    <t>observions</t>
  </si>
  <si>
    <t>varie</t>
  </si>
  <si>
    <t>fonction</t>
  </si>
  <si>
    <t>revenus</t>
  </si>
  <si>
    <t># text = Et il est apparu qu'en dessous de 60 000$ par an, pour les américains, et c'était un échantillon très important, aux alentours de 600 000, c'est un échantillon très représentatif, en dessous de 600 000$ par an... C.A : 60 000 D.K : 60 000 60 000$ par an, les gens sont malheureux, et moins ils gagnent plus ils sont malheureux.</t>
  </si>
  <si>
    <t>apparu</t>
  </si>
  <si>
    <t>dessous</t>
  </si>
  <si>
    <t>60 000$</t>
  </si>
  <si>
    <t>an</t>
  </si>
  <si>
    <t>américains</t>
  </si>
  <si>
    <t>échantillon</t>
  </si>
  <si>
    <t>alentours</t>
  </si>
  <si>
    <t>600 000$</t>
  </si>
  <si>
    <t>C.A</t>
  </si>
  <si>
    <t>60 000</t>
  </si>
  <si>
    <t>60 000 60 000$</t>
  </si>
  <si>
    <t>gagnent</t>
  </si>
  <si>
    <t># text = Au dessus, la ligne de bonheur est absolument plate.</t>
  </si>
  <si>
    <t>dessus</t>
  </si>
  <si>
    <t>ligne</t>
  </si>
  <si>
    <t>plate</t>
  </si>
  <si>
    <t># text = Honnêtement, Je n'ai jamais vu une ligne aussi plate.</t>
  </si>
  <si>
    <t>Honnêtement</t>
  </si>
  <si>
    <t>vu</t>
  </si>
  <si>
    <t># text = On voit clairement que l'argent ne vous achète pas des expériences heureuses, mais en manquer vous achètera à coup sûr la misère, et l'on peut quantifier cette misère d'une facon très précise.</t>
  </si>
  <si>
    <t>voit</t>
  </si>
  <si>
    <t>achète</t>
  </si>
  <si>
    <t>heureuses</t>
  </si>
  <si>
    <t>manquer</t>
  </si>
  <si>
    <t>achètera</t>
  </si>
  <si>
    <t>coup</t>
  </si>
  <si>
    <t>misère</t>
  </si>
  <si>
    <t>facon</t>
  </si>
  <si>
    <t>précise</t>
  </si>
  <si>
    <t># text = Pour l'autre entité, le \"moi du souvenir\", Plus vous gagnez d'argent, plus vous êtes satisfait.</t>
  </si>
  <si>
    <t>entité</t>
  </si>
  <si>
    <t>Plus</t>
  </si>
  <si>
    <t>gagnez</t>
  </si>
  <si>
    <t># text = Ca ne fonctionne pas pour les émotions.</t>
  </si>
  <si>
    <t># text = C.A : Danny, le leitmotiv des USA est entièrement basé sur la vie, la liberté et la recherche du bonheur.</t>
  </si>
  <si>
    <t>Danny</t>
  </si>
  <si>
    <t>leitmotiv</t>
  </si>
  <si>
    <t>USA</t>
  </si>
  <si>
    <t>entièrement</t>
  </si>
  <si>
    <t>basé</t>
  </si>
  <si>
    <t>liberté</t>
  </si>
  <si>
    <t>recherche</t>
  </si>
  <si>
    <t># text = Si on donne du crédit à ces recherches, elles ont l'air d'aller à contre-courant de tout ce que nous croyons, par exemple, les taxes et ainsi de suite.</t>
  </si>
  <si>
    <t>donne</t>
  </si>
  <si>
    <t>crédit</t>
  </si>
  <si>
    <t>recherches</t>
  </si>
  <si>
    <t>air</t>
  </si>
  <si>
    <t>contre-courant</t>
  </si>
  <si>
    <t>croyons</t>
  </si>
  <si>
    <t>taxes</t>
  </si>
  <si>
    <t>ainsi</t>
  </si>
  <si>
    <t>suite</t>
  </si>
  <si>
    <t># text = Y a t-il la moindre chance que les dirigeants, que le pays, dans son ensemble, prennent une telle découverte au sérieux et mettent en oeuvre des politiques basées dessus?</t>
  </si>
  <si>
    <t>Y</t>
  </si>
  <si>
    <t>t-il</t>
  </si>
  <si>
    <t>moindre</t>
  </si>
  <si>
    <t>chance</t>
  </si>
  <si>
    <t>dirigeants</t>
  </si>
  <si>
    <t>pays</t>
  </si>
  <si>
    <t>ensemble</t>
  </si>
  <si>
    <t>prennent</t>
  </si>
  <si>
    <t>telle</t>
  </si>
  <si>
    <t>découverte</t>
  </si>
  <si>
    <t>sérieux</t>
  </si>
  <si>
    <t>mettent</t>
  </si>
  <si>
    <t>oeuvre</t>
  </si>
  <si>
    <t>politiques</t>
  </si>
  <si>
    <t>basées</t>
  </si>
  <si>
    <t># text = D.K : Je pense que le rôle des recherches sur le bonheur sont reconnues dans les politiques publiques.</t>
  </si>
  <si>
    <t>rôle</t>
  </si>
  <si>
    <t>reconnues</t>
  </si>
  <si>
    <t>publiques</t>
  </si>
  <si>
    <t># text = Cette reconnaissance est lente aux USA, c'est certain, mais en Angleterre, c'est en train de se passer, et aussi dans d'autres pays.</t>
  </si>
  <si>
    <t>Cette</t>
  </si>
  <si>
    <t>reconnaissance</t>
  </si>
  <si>
    <t>lente</t>
  </si>
  <si>
    <t>certain</t>
  </si>
  <si>
    <t>Angleterre</t>
  </si>
  <si>
    <t>train</t>
  </si>
  <si>
    <t># text = Les gens reconnaissent qu'ils sont obligés de prendre en compte le bonheur lorsqu'ils élaborent des politiques publiques.</t>
  </si>
  <si>
    <t>reconnaissent</t>
  </si>
  <si>
    <t>obligés</t>
  </si>
  <si>
    <t>compte</t>
  </si>
  <si>
    <t>élaborent</t>
  </si>
  <si>
    <t># text = Ça va prendre du temps, on va en débattre, si on veut faire des expériences pour étudier le bonheur, ou bien si on veut des études sur l'évaluation de la vie.</t>
  </si>
  <si>
    <t>va</t>
  </si>
  <si>
    <t>débattre</t>
  </si>
  <si>
    <t>étudier</t>
  </si>
  <si>
    <t>études</t>
  </si>
  <si>
    <t>évaluation</t>
  </si>
  <si>
    <t># text = Nous avons besoin de commencer ce débat rapidement.</t>
  </si>
  <si>
    <t>besoin</t>
  </si>
  <si>
    <t>débat</t>
  </si>
  <si>
    <t>rapidement</t>
  </si>
  <si>
    <t># text = Comment améliorer le bonheur peut passer par différents moyens selon la facon de penser et si vous pensez aux "moi du souvenir" ou au "moi de l'expérience".</t>
  </si>
  <si>
    <t>améliorer</t>
  </si>
  <si>
    <t>moyens</t>
  </si>
  <si>
    <t>selon</t>
  </si>
  <si>
    <t># text = Cela va influencer les décisions politiques, je le crois, dans les années qui viennent.</t>
  </si>
  <si>
    <t>influencer</t>
  </si>
  <si>
    <t>crois</t>
  </si>
  <si>
    <t>viennent</t>
  </si>
  <si>
    <t># text = Aux USA, des efforts sont entrepris afin de mesurer le bonheur vécu de la population.</t>
  </si>
  <si>
    <t>efforts</t>
  </si>
  <si>
    <t>entrepris</t>
  </si>
  <si>
    <t>population</t>
  </si>
  <si>
    <t># text = Ça sera, d'après moi, dans 10 ou 20 ans, inclus dans les statistiques nationales.</t>
  </si>
  <si>
    <t>inclus</t>
  </si>
  <si>
    <t>statistiques</t>
  </si>
  <si>
    <t>nationales</t>
  </si>
  <si>
    <t># text = C.</t>
  </si>
  <si>
    <t># text = A. : Bien, il m'apparait que ce problème sera, ou du moins devrait être, le débat politique le plus intéressant à suivre dans les prochaines années.</t>
  </si>
  <si>
    <t>A.</t>
  </si>
  <si>
    <t>apparait</t>
  </si>
  <si>
    <t>devrait</t>
  </si>
  <si>
    <t>politique</t>
  </si>
  <si>
    <t># text = Merci beaucoup pour l'invention de l'économie comportementale.</t>
  </si>
  <si>
    <t>invention</t>
  </si>
  <si>
    <t>économie</t>
  </si>
  <si>
    <t>comportementale</t>
  </si>
  <si>
    <t># text = Merci Daniel Kahneman.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</si>
</sst>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74"/>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12</v>
      </c>
      <c r="D3" s="7" t="s">
        <v>18</v>
      </c>
      <c r="E3" s="8" t="s">
        <v>19</v>
      </c>
      <c r="F3" s="6" t="s">
        <v>20</v>
      </c>
      <c r="G3" s="9">
        <f>IF(A3=1,"_",IF(C3="_","???",C3))</f>
        <v/>
      </c>
      <c r="H3" s="10" t="s">
        <v>12</v>
      </c>
      <c r="I3" s="11" t="s">
        <v>12</v>
      </c>
      <c r="J3" s="12"/>
    </row>
    <row r="4" spans="1:10" ht="60" customHeight="1">
      <c r="A4" s="6" t="s">
        <v>17</v>
      </c>
      <c r="B4" s="6" t="s">
        <v>17</v>
      </c>
      <c r="C4" s="6" t="s">
        <v>21</v>
      </c>
      <c r="D4" s="7" t="s">
        <v>22</v>
      </c>
      <c r="E4" s="8" t="s">
        <v>23</v>
      </c>
      <c r="F4" s="6" t="s">
        <v>24</v>
      </c>
      <c r="G4" s="9">
        <f>IF(A4=1,"_",IF(C4="_","???",C4))</f>
        <v/>
      </c>
      <c r="H4" s="10" t="s">
        <v>12</v>
      </c>
      <c r="I4" s="11" t="s">
        <v>12</v>
      </c>
      <c r="J4" s="12"/>
    </row>
    <row r="5" spans="1:10" ht="60" customHeight="1">
      <c r="A5" s="6" t="s">
        <v>25</v>
      </c>
      <c r="B5" s="6" t="s">
        <v>26</v>
      </c>
      <c r="C5" s="6" t="s">
        <v>27</v>
      </c>
      <c r="D5" s="7" t="s">
        <v>28</v>
      </c>
      <c r="E5" s="8" t="s">
        <v>29</v>
      </c>
      <c r="F5" s="6" t="s">
        <v>30</v>
      </c>
      <c r="G5" s="9">
        <f>IF(A5=1,"_",IF(C5="_","???",C5))</f>
        <v/>
      </c>
      <c r="H5" s="10" t="s">
        <v>12</v>
      </c>
      <c r="I5" s="11" t="s">
        <v>12</v>
      </c>
      <c r="J5" s="12"/>
    </row>
    <row r="6" spans="1:10" ht="60" customHeight="1">
      <c r="A6" s="6" t="s">
        <v>11</v>
      </c>
      <c r="B6" s="6" t="s">
        <v>17</v>
      </c>
      <c r="C6" s="6" t="s">
        <v>12</v>
      </c>
      <c r="D6" s="7" t="s">
        <v>18</v>
      </c>
      <c r="E6" s="8" t="s">
        <v>31</v>
      </c>
      <c r="F6" s="6" t="s">
        <v>32</v>
      </c>
      <c r="G6" s="9">
        <f>IF(A6=1,"_",IF(C6="_","???",C6))</f>
        <v/>
      </c>
      <c r="H6" s="10" t="s">
        <v>12</v>
      </c>
      <c r="I6" s="11" t="s">
        <v>12</v>
      </c>
      <c r="J6" s="12"/>
    </row>
    <row r="7" spans="1:10" ht="60" customHeight="1">
      <c r="A7" s="6" t="s">
        <v>26</v>
      </c>
      <c r="B7" s="6" t="s">
        <v>25</v>
      </c>
      <c r="C7" s="6" t="s">
        <v>12</v>
      </c>
      <c r="D7" s="7" t="s">
        <v>33</v>
      </c>
      <c r="E7" s="8" t="s">
        <v>34</v>
      </c>
      <c r="F7" s="6" t="s">
        <v>35</v>
      </c>
      <c r="G7" s="9">
        <f>IF(A7=1,"_",IF(C7="_","???",C7))</f>
        <v/>
      </c>
      <c r="H7" s="10" t="s">
        <v>12</v>
      </c>
      <c r="I7" s="11" t="s">
        <v>12</v>
      </c>
      <c r="J7" s="12"/>
    </row>
    <row r="8" spans="1:10" ht="60" customHeight="1">
      <c r="A8" s="6" t="s">
        <v>36</v>
      </c>
      <c r="B8" s="6" t="s">
        <v>37</v>
      </c>
      <c r="C8" s="6" t="s">
        <v>38</v>
      </c>
      <c r="D8" s="7" t="s">
        <v>39</v>
      </c>
      <c r="E8" s="8" t="s">
        <v>40</v>
      </c>
      <c r="F8" s="6" t="s">
        <v>41</v>
      </c>
      <c r="G8" s="9">
        <f>IF(A8=1,"_",IF(C8="_","???",C8))</f>
        <v/>
      </c>
      <c r="H8" s="10" t="s">
        <v>12</v>
      </c>
      <c r="I8" s="11" t="s">
        <v>12</v>
      </c>
      <c r="J8" s="12"/>
    </row>
    <row r="9" spans="1:10" ht="60" customHeight="1">
      <c r="A9" s="6" t="s">
        <v>42</v>
      </c>
      <c r="B9" s="6" t="s">
        <v>25</v>
      </c>
      <c r="C9" s="6" t="s">
        <v>12</v>
      </c>
      <c r="D9" s="7" t="s">
        <v>43</v>
      </c>
      <c r="E9" s="8" t="s">
        <v>44</v>
      </c>
      <c r="F9" s="6" t="s">
        <v>45</v>
      </c>
      <c r="G9" s="9">
        <f>IF(A9=1,"_",IF(C9="_","???",C9))</f>
        <v/>
      </c>
      <c r="H9" s="10" t="s">
        <v>12</v>
      </c>
      <c r="I9" s="11" t="s">
        <v>12</v>
      </c>
      <c r="J9" s="12"/>
    </row>
    <row r="10" spans="1:10" ht="60" customHeight="1">
      <c r="A10" s="6" t="s">
        <v>46</v>
      </c>
      <c r="B10" s="6" t="s">
        <v>16</v>
      </c>
      <c r="C10" s="6" t="s">
        <v>12</v>
      </c>
      <c r="D10" s="7" t="s">
        <v>47</v>
      </c>
      <c r="E10" s="8" t="s">
        <v>48</v>
      </c>
      <c r="F10" s="6" t="s">
        <v>49</v>
      </c>
      <c r="G10" s="9">
        <f>IF(A10=1,"_",IF(C10="_","???",C10))</f>
        <v/>
      </c>
      <c r="H10" s="10" t="s">
        <v>12</v>
      </c>
      <c r="I10" s="11" t="s">
        <v>12</v>
      </c>
      <c r="J10" s="12"/>
    </row>
    <row r="11" spans="1:10" ht="60" customHeight="1">
      <c r="A11" s="6" t="s">
        <v>37</v>
      </c>
      <c r="B11" s="6" t="s">
        <v>25</v>
      </c>
      <c r="C11" s="6" t="s">
        <v>12</v>
      </c>
      <c r="D11" s="7" t="s">
        <v>50</v>
      </c>
      <c r="E11" s="8" t="s">
        <v>51</v>
      </c>
      <c r="F11" s="6" t="s">
        <v>52</v>
      </c>
      <c r="G11" s="9">
        <f>IF(A11=1,"_",IF(C11="_","???",C11))</f>
        <v/>
      </c>
      <c r="H11" s="10" t="s">
        <v>12</v>
      </c>
      <c r="I11" s="11" t="s">
        <v>12</v>
      </c>
      <c r="J11" s="12"/>
    </row>
    <row r="12" spans="1:10" ht="60" customHeight="1">
      <c r="A12" s="6" t="s">
        <v>53</v>
      </c>
      <c r="B12" s="6" t="s">
        <v>16</v>
      </c>
      <c r="C12" s="6" t="s">
        <v>12</v>
      </c>
      <c r="D12" s="7" t="s">
        <v>54</v>
      </c>
      <c r="E12" s="8" t="s">
        <v>55</v>
      </c>
      <c r="F12" s="6" t="s">
        <v>56</v>
      </c>
      <c r="G12" s="9">
        <f>IF(A12=1,"_",IF(C12="_","???",C12))</f>
        <v/>
      </c>
      <c r="H12" s="10" t="s">
        <v>12</v>
      </c>
      <c r="I12" s="11" t="s">
        <v>12</v>
      </c>
      <c r="J12" s="12"/>
    </row>
    <row r="13" spans="1:10" ht="60" customHeight="1">
      <c r="A13" s="6" t="s">
        <v>57</v>
      </c>
      <c r="B13" s="6" t="s">
        <v>26</v>
      </c>
      <c r="C13" s="6" t="s">
        <v>58</v>
      </c>
      <c r="D13" s="7" t="s">
        <v>59</v>
      </c>
      <c r="E13" s="8" t="s">
        <v>60</v>
      </c>
      <c r="F13" s="6" t="s">
        <v>61</v>
      </c>
      <c r="G13" s="9">
        <f>IF(A13=1,"_",IF(C13="_","???",C13))</f>
        <v/>
      </c>
      <c r="H13" s="10" t="s">
        <v>12</v>
      </c>
      <c r="I13" s="11" t="s">
        <v>12</v>
      </c>
      <c r="J13" s="12"/>
    </row>
    <row r="14" spans="1:10" ht="60" customHeight="1">
      <c r="A14" s="6" t="s">
        <v>62</v>
      </c>
      <c r="B14" s="6" t="s">
        <v>11</v>
      </c>
      <c r="C14" s="6" t="s">
        <v>12</v>
      </c>
      <c r="D14" s="7" t="s">
        <v>63</v>
      </c>
      <c r="E14" s="8" t="s">
        <v>64</v>
      </c>
      <c r="F14" s="6" t="s">
        <v>65</v>
      </c>
      <c r="G14" s="9">
        <f>IF(A14=1,"_",IF(C14="_","???",C14))</f>
        <v/>
      </c>
      <c r="H14" s="10" t="s">
        <v>12</v>
      </c>
      <c r="I14" s="11" t="s">
        <v>12</v>
      </c>
      <c r="J14" s="12"/>
    </row>
    <row r="15" spans="1:10" ht="60" customHeight="1">
      <c r="A15" s="6" t="s">
        <v>66</v>
      </c>
      <c r="B15" s="6" t="s">
        <v>11</v>
      </c>
      <c r="C15" s="6" t="s">
        <v>67</v>
      </c>
      <c r="D15" s="7" t="s">
        <v>68</v>
      </c>
      <c r="E15" s="8" t="s">
        <v>69</v>
      </c>
      <c r="F15" s="6" t="s">
        <v>70</v>
      </c>
      <c r="G15" s="9">
        <f>IF(A15=1,"_",IF(C15="_","???",C15))</f>
        <v/>
      </c>
      <c r="H15" s="10" t="s">
        <v>12</v>
      </c>
      <c r="I15" s="11" t="s">
        <v>12</v>
      </c>
      <c r="J15" s="12"/>
    </row>
    <row r="16" spans="1:10" ht="60" customHeight="1">
      <c r="A16" s="6" t="s">
        <v>71</v>
      </c>
      <c r="B16" s="6" t="s">
        <v>26</v>
      </c>
      <c r="C16" s="6" t="s">
        <v>67</v>
      </c>
      <c r="D16" s="7" t="s">
        <v>72</v>
      </c>
      <c r="E16" s="8" t="s">
        <v>73</v>
      </c>
      <c r="F16" s="6" t="s">
        <v>74</v>
      </c>
      <c r="G16" s="9">
        <f>IF(A16=1,"_",IF(C16="_","???",C16))</f>
        <v/>
      </c>
      <c r="H16" s="10" t="s">
        <v>12</v>
      </c>
      <c r="I16" s="11" t="s">
        <v>12</v>
      </c>
      <c r="J16" s="12"/>
    </row>
    <row r="17" spans="1:10" ht="60" customHeight="1">
      <c r="A17" s="6" t="s">
        <v>75</v>
      </c>
      <c r="B17" s="6" t="s">
        <v>17</v>
      </c>
      <c r="C17" s="6" t="s">
        <v>12</v>
      </c>
      <c r="D17" s="7" t="s">
        <v>76</v>
      </c>
      <c r="E17" s="8" t="s">
        <v>77</v>
      </c>
      <c r="F17" s="6" t="s">
        <v>78</v>
      </c>
      <c r="G17" s="9">
        <f>IF(A17=1,"_",IF(C17="_","???",C17))</f>
        <v/>
      </c>
      <c r="H17" s="10" t="s">
        <v>12</v>
      </c>
      <c r="I17" s="11" t="s">
        <v>12</v>
      </c>
      <c r="J17" s="12"/>
    </row>
    <row r="18" spans="1:10" ht="60" customHeight="1">
      <c r="A18" s="6" t="s">
        <v>79</v>
      </c>
      <c r="B18" s="6" t="s">
        <v>16</v>
      </c>
      <c r="C18" s="6" t="s">
        <v>12</v>
      </c>
      <c r="D18" s="7" t="s">
        <v>80</v>
      </c>
      <c r="E18" s="8" t="s">
        <v>81</v>
      </c>
      <c r="F18" s="6" t="s">
        <v>82</v>
      </c>
      <c r="G18" s="9">
        <f>IF(A18=1,"_",IF(C18="_","???",C18))</f>
        <v/>
      </c>
      <c r="H18" s="10" t="s">
        <v>12</v>
      </c>
      <c r="I18" s="11" t="s">
        <v>12</v>
      </c>
      <c r="J18" s="12"/>
    </row>
    <row r="19" spans="1:10" ht="60" customHeight="1">
      <c r="A19" s="6" t="s">
        <v>83</v>
      </c>
      <c r="B19" s="6" t="s">
        <v>16</v>
      </c>
      <c r="C19" s="6" t="s">
        <v>12</v>
      </c>
      <c r="D19" s="7" t="s">
        <v>84</v>
      </c>
      <c r="E19" s="8" t="s">
        <v>85</v>
      </c>
      <c r="F19" s="6" t="s">
        <v>86</v>
      </c>
      <c r="G19" s="9">
        <f>IF(A19=1,"_",IF(C19="_","???",C19))</f>
        <v/>
      </c>
      <c r="H19" s="10" t="s">
        <v>12</v>
      </c>
      <c r="I19" s="11" t="s">
        <v>12</v>
      </c>
      <c r="J19" s="12"/>
    </row>
    <row r="20" spans="1:10" ht="60" customHeight="1">
      <c r="A20" s="6" t="s">
        <v>87</v>
      </c>
      <c r="B20" s="6" t="s">
        <v>10</v>
      </c>
      <c r="C20" s="6" t="s">
        <v>12</v>
      </c>
      <c r="D20" s="7" t="s">
        <v>88</v>
      </c>
      <c r="E20" s="8" t="s">
        <v>89</v>
      </c>
      <c r="F20" s="6" t="s">
        <v>90</v>
      </c>
      <c r="G20" s="9">
        <f>IF(A20=1,"_",IF(C20="_","???",C20))</f>
        <v/>
      </c>
      <c r="H20" s="10" t="s">
        <v>12</v>
      </c>
      <c r="I20" s="11" t="s">
        <v>12</v>
      </c>
      <c r="J20" s="12"/>
    </row>
    <row r="21" spans="1:10" ht="60" customHeight="1">
      <c r="A21" s="6" t="s">
        <v>91</v>
      </c>
      <c r="B21" s="6" t="s">
        <v>26</v>
      </c>
      <c r="C21" s="6" t="s">
        <v>12</v>
      </c>
      <c r="D21" s="7" t="s">
        <v>92</v>
      </c>
      <c r="E21" s="8" t="s">
        <v>93</v>
      </c>
      <c r="F21" s="6" t="s">
        <v>94</v>
      </c>
      <c r="G21" s="9">
        <f>IF(A21=1,"_",IF(C21="_","???",C21))</f>
        <v/>
      </c>
      <c r="H21" s="10" t="s">
        <v>12</v>
      </c>
      <c r="I21" s="11" t="s">
        <v>12</v>
      </c>
      <c r="J21" s="12"/>
    </row>
    <row r="22" spans="1:10" ht="60" customHeight="1">
      <c r="A22" s="6" t="s">
        <v>95</v>
      </c>
      <c r="B22" s="6" t="s">
        <v>17</v>
      </c>
      <c r="C22" s="6" t="s">
        <v>67</v>
      </c>
      <c r="D22" s="7" t="s">
        <v>96</v>
      </c>
      <c r="E22" s="8" t="s">
        <v>97</v>
      </c>
      <c r="F22" s="6" t="s">
        <v>98</v>
      </c>
      <c r="G22" s="9">
        <f>IF(A22=1,"_",IF(C22="_","???",C22))</f>
        <v/>
      </c>
      <c r="H22" s="10" t="s">
        <v>12</v>
      </c>
      <c r="I22" s="11" t="s">
        <v>12</v>
      </c>
      <c r="J22" s="12"/>
    </row>
    <row r="23" spans="1:10" ht="60" customHeight="1">
      <c r="A23" s="6" t="s">
        <v>99</v>
      </c>
      <c r="B23" s="6" t="s">
        <v>16</v>
      </c>
      <c r="C23" s="6" t="s">
        <v>38</v>
      </c>
      <c r="D23" s="7" t="s">
        <v>100</v>
      </c>
      <c r="E23" s="8" t="s">
        <v>101</v>
      </c>
      <c r="F23" s="6" t="s">
        <v>102</v>
      </c>
      <c r="G23" s="9">
        <f>IF(A23=1,"_",IF(C23="_","???",C23))</f>
        <v/>
      </c>
      <c r="H23" s="10" t="s">
        <v>12</v>
      </c>
      <c r="I23" s="11" t="s">
        <v>12</v>
      </c>
      <c r="J23" s="12"/>
    </row>
    <row r="24" spans="1:10" ht="60" customHeight="1">
      <c r="A24" s="6" t="s">
        <v>103</v>
      </c>
      <c r="B24" s="6" t="s">
        <v>16</v>
      </c>
      <c r="C24" s="6" t="s">
        <v>12</v>
      </c>
      <c r="D24" s="7" t="s">
        <v>104</v>
      </c>
      <c r="E24" s="8" t="s">
        <v>105</v>
      </c>
      <c r="F24" s="6" t="s">
        <v>106</v>
      </c>
      <c r="G24" s="9">
        <f>IF(A24=1,"_",IF(C24="_","???",C24))</f>
        <v/>
      </c>
      <c r="H24" s="10" t="s">
        <v>12</v>
      </c>
      <c r="I24" s="11" t="s">
        <v>12</v>
      </c>
      <c r="J24" s="12"/>
    </row>
    <row r="25" spans="1:10" ht="60" customHeight="1">
      <c r="A25" s="6" t="s">
        <v>107</v>
      </c>
      <c r="B25" s="6" t="s">
        <v>17</v>
      </c>
      <c r="C25" s="6" t="s">
        <v>12</v>
      </c>
      <c r="D25" s="7" t="s">
        <v>108</v>
      </c>
      <c r="E25" s="8" t="s">
        <v>109</v>
      </c>
      <c r="F25" s="6" t="s">
        <v>110</v>
      </c>
      <c r="G25" s="9">
        <f>IF(A25=1,"_",IF(C25="_","???",C25))</f>
        <v/>
      </c>
      <c r="H25" s="10" t="s">
        <v>12</v>
      </c>
      <c r="I25" s="11" t="s">
        <v>12</v>
      </c>
      <c r="J25" s="12"/>
    </row>
    <row r="26" spans="1:10" ht="60" customHeight="1">
      <c r="A26" s="6" t="s">
        <v>111</v>
      </c>
      <c r="B26" s="6" t="s">
        <v>17</v>
      </c>
      <c r="C26" s="6" t="s">
        <v>12</v>
      </c>
      <c r="D26" s="7" t="s">
        <v>18</v>
      </c>
      <c r="E26" s="8" t="s">
        <v>112</v>
      </c>
      <c r="F26" s="6" t="s">
        <v>113</v>
      </c>
      <c r="G26" s="9">
        <f>IF(A26=1,"_",IF(C26="_","???",C26))</f>
        <v/>
      </c>
      <c r="H26" s="10" t="s">
        <v>12</v>
      </c>
      <c r="I26" s="11" t="s">
        <v>12</v>
      </c>
      <c r="J26" s="12"/>
    </row>
    <row r="27" spans="1:10" ht="60" customHeight="1">
      <c r="A27" s="6" t="s">
        <v>114</v>
      </c>
      <c r="B27" s="6" t="s">
        <v>17</v>
      </c>
      <c r="C27" s="6" t="s">
        <v>12</v>
      </c>
      <c r="D27" s="7" t="s">
        <v>18</v>
      </c>
      <c r="E27" s="8" t="s">
        <v>115</v>
      </c>
      <c r="F27" s="6" t="s">
        <v>116</v>
      </c>
      <c r="G27" s="9">
        <f>IF(A27=1,"_",IF(C27="_","???",C27))</f>
        <v/>
      </c>
      <c r="H27" s="10" t="s">
        <v>12</v>
      </c>
      <c r="I27" s="11" t="s">
        <v>12</v>
      </c>
      <c r="J27" s="12"/>
    </row>
    <row r="28" spans="1:10" ht="60" customHeight="1">
      <c r="A28" s="6" t="s">
        <v>117</v>
      </c>
      <c r="B28" s="6" t="s">
        <v>25</v>
      </c>
      <c r="C28" s="6" t="s">
        <v>67</v>
      </c>
      <c r="D28" s="7" t="s">
        <v>118</v>
      </c>
      <c r="E28" s="8" t="s">
        <v>119</v>
      </c>
      <c r="F28" s="6" t="s">
        <v>120</v>
      </c>
      <c r="G28" s="9">
        <f>IF(A28=1,"_",IF(C28="_","???",C28))</f>
        <v/>
      </c>
      <c r="H28" s="10" t="s">
        <v>12</v>
      </c>
      <c r="I28" s="11" t="s">
        <v>12</v>
      </c>
      <c r="J28" s="12"/>
    </row>
    <row r="29" spans="1:10" ht="60" customHeight="1">
      <c r="A29" s="6" t="s">
        <v>121</v>
      </c>
      <c r="B29" s="6" t="s">
        <v>17</v>
      </c>
      <c r="C29" s="6" t="s">
        <v>27</v>
      </c>
      <c r="D29" s="7" t="s">
        <v>122</v>
      </c>
      <c r="E29" s="8" t="s">
        <v>123</v>
      </c>
      <c r="F29" s="6" t="s">
        <v>124</v>
      </c>
      <c r="G29" s="9">
        <f>IF(A29=1,"_",IF(C29="_","???",C29))</f>
        <v/>
      </c>
      <c r="H29" s="10" t="s">
        <v>12</v>
      </c>
      <c r="I29" s="11" t="s">
        <v>12</v>
      </c>
      <c r="J29" s="12"/>
    </row>
    <row r="30" spans="1:10" ht="60" customHeight="1">
      <c r="A30" s="6" t="s">
        <v>125</v>
      </c>
      <c r="B30" s="6" t="s">
        <v>17</v>
      </c>
      <c r="C30" s="6" t="s">
        <v>12</v>
      </c>
      <c r="D30" s="7" t="s">
        <v>18</v>
      </c>
      <c r="E30" s="8" t="s">
        <v>126</v>
      </c>
      <c r="F30" s="6" t="s">
        <v>127</v>
      </c>
      <c r="G30" s="9">
        <f>IF(A30=1,"_",IF(C30="_","???",C30))</f>
        <v/>
      </c>
      <c r="H30" s="10" t="s">
        <v>12</v>
      </c>
      <c r="I30" s="11" t="s">
        <v>12</v>
      </c>
      <c r="J30" s="12"/>
    </row>
    <row r="31" spans="1:10" ht="60" customHeight="1">
      <c r="A31" s="6" t="s">
        <v>128</v>
      </c>
      <c r="B31" s="6" t="s">
        <v>53</v>
      </c>
      <c r="C31" s="6" t="s">
        <v>129</v>
      </c>
      <c r="D31" s="7" t="s">
        <v>130</v>
      </c>
      <c r="E31" s="8" t="s">
        <v>131</v>
      </c>
      <c r="F31" s="6" t="s">
        <v>132</v>
      </c>
      <c r="G31" s="9">
        <f>IF(A31=1,"_",IF(C31="_","???",C31))</f>
        <v/>
      </c>
      <c r="H31" s="10" t="s">
        <v>12</v>
      </c>
      <c r="I31" s="11" t="s">
        <v>12</v>
      </c>
      <c r="J31" s="12"/>
    </row>
    <row r="32" spans="1:10" ht="60" customHeight="1">
      <c r="A32" s="6" t="s">
        <v>133</v>
      </c>
      <c r="B32" s="6" t="s">
        <v>26</v>
      </c>
      <c r="C32" s="6" t="s">
        <v>134</v>
      </c>
      <c r="D32" s="7" t="s">
        <v>18</v>
      </c>
      <c r="E32" s="8" t="s">
        <v>135</v>
      </c>
      <c r="F32" s="6" t="s">
        <v>136</v>
      </c>
      <c r="G32" s="9">
        <f>IF(A32=1,"_",IF(C32="_","???",C32))</f>
        <v/>
      </c>
      <c r="H32" s="10" t="s">
        <v>12</v>
      </c>
      <c r="I32" s="11" t="s">
        <v>12</v>
      </c>
      <c r="J32" s="12"/>
    </row>
    <row r="33" spans="1:10" ht="60" customHeight="1">
      <c r="A33" s="6" t="s">
        <v>137</v>
      </c>
      <c r="B33" s="6" t="s">
        <v>25</v>
      </c>
      <c r="C33" s="6" t="s">
        <v>67</v>
      </c>
      <c r="D33" s="7" t="s">
        <v>68</v>
      </c>
      <c r="E33" s="8" t="s">
        <v>138</v>
      </c>
      <c r="F33" s="6" t="s">
        <v>139</v>
      </c>
      <c r="G33" s="9">
        <f>IF(A33=1,"_",IF(C33="_","???",C33))</f>
        <v/>
      </c>
      <c r="H33" s="10" t="s">
        <v>12</v>
      </c>
      <c r="I33" s="11" t="s">
        <v>12</v>
      </c>
      <c r="J33" s="12"/>
    </row>
    <row r="34" spans="1:10" ht="60" customHeight="1">
      <c r="A34" s="6" t="s">
        <v>140</v>
      </c>
      <c r="B34" s="6" t="s">
        <v>26</v>
      </c>
      <c r="C34" s="6" t="s">
        <v>12</v>
      </c>
      <c r="D34" s="7" t="s">
        <v>141</v>
      </c>
      <c r="E34" s="8" t="s">
        <v>142</v>
      </c>
      <c r="F34" s="6" t="s">
        <v>143</v>
      </c>
      <c r="G34" s="9">
        <f>IF(A34=1,"_",IF(C34="_","???",C34))</f>
        <v/>
      </c>
      <c r="H34" s="10" t="s">
        <v>12</v>
      </c>
      <c r="I34" s="11" t="s">
        <v>12</v>
      </c>
      <c r="J34" s="12"/>
    </row>
    <row r="35" spans="1:10" ht="60" customHeight="1">
      <c r="A35" s="6" t="s">
        <v>144</v>
      </c>
      <c r="B35" s="6" t="s">
        <v>17</v>
      </c>
      <c r="C35" s="6" t="s">
        <v>67</v>
      </c>
      <c r="D35" s="7" t="s">
        <v>145</v>
      </c>
      <c r="E35" s="8" t="s">
        <v>146</v>
      </c>
      <c r="F35" s="6" t="s">
        <v>147</v>
      </c>
      <c r="G35" s="9">
        <f>IF(A35=1,"_",IF(C35="_","???",C35))</f>
        <v/>
      </c>
      <c r="H35" s="10" t="s">
        <v>12</v>
      </c>
      <c r="I35" s="11" t="s">
        <v>12</v>
      </c>
      <c r="J35" s="12"/>
    </row>
    <row r="36" spans="1:10" ht="60" customHeight="1">
      <c r="A36" s="6" t="s">
        <v>148</v>
      </c>
      <c r="B36" s="6" t="s">
        <v>17</v>
      </c>
      <c r="C36" s="6" t="s">
        <v>149</v>
      </c>
      <c r="D36" s="7" t="s">
        <v>150</v>
      </c>
      <c r="E36" s="8" t="s">
        <v>151</v>
      </c>
      <c r="F36" s="6" t="s">
        <v>152</v>
      </c>
      <c r="G36" s="9">
        <f>IF(A36=1,"_",IF(C36="_","???",C36))</f>
        <v/>
      </c>
      <c r="H36" s="10" t="s">
        <v>12</v>
      </c>
      <c r="I36" s="11" t="s">
        <v>12</v>
      </c>
      <c r="J36" s="12"/>
    </row>
    <row r="37" spans="1:10" ht="60" customHeight="1">
      <c r="A37" s="6" t="s">
        <v>153</v>
      </c>
      <c r="B37" s="6" t="s">
        <v>99</v>
      </c>
      <c r="C37" s="6" t="s">
        <v>12</v>
      </c>
      <c r="D37" s="7" t="s">
        <v>154</v>
      </c>
      <c r="E37" s="8" t="s">
        <v>155</v>
      </c>
      <c r="F37" s="6" t="s">
        <v>156</v>
      </c>
      <c r="G37" s="9">
        <f>IF(A37=1,"_",IF(C37="_","???",C37))</f>
        <v/>
      </c>
      <c r="H37" s="10" t="s">
        <v>12</v>
      </c>
      <c r="I37" s="11" t="s">
        <v>12</v>
      </c>
      <c r="J37" s="12"/>
    </row>
    <row r="38" spans="1:10" ht="60" customHeight="1">
      <c r="A38" s="6" t="s">
        <v>157</v>
      </c>
      <c r="B38" s="6" t="s">
        <v>16</v>
      </c>
      <c r="C38" s="6" t="s">
        <v>67</v>
      </c>
      <c r="D38" s="7" t="s">
        <v>158</v>
      </c>
      <c r="E38" s="8" t="s">
        <v>159</v>
      </c>
      <c r="F38" s="6" t="s">
        <v>160</v>
      </c>
      <c r="G38" s="9">
        <f>IF(A38=1,"_",IF(C38="_","???",C38))</f>
        <v/>
      </c>
      <c r="H38" s="10" t="s">
        <v>12</v>
      </c>
      <c r="I38" s="11" t="s">
        <v>12</v>
      </c>
      <c r="J38" s="12"/>
    </row>
    <row r="39" spans="1:10" ht="60" customHeight="1">
      <c r="A39" s="6" t="s">
        <v>161</v>
      </c>
      <c r="B39" s="6" t="s">
        <v>17</v>
      </c>
      <c r="C39" s="6" t="s">
        <v>12</v>
      </c>
      <c r="D39" s="7" t="s">
        <v>162</v>
      </c>
      <c r="E39" s="8" t="s">
        <v>163</v>
      </c>
      <c r="F39" s="6" t="s">
        <v>164</v>
      </c>
      <c r="G39" s="9">
        <f>IF(A39=1,"_",IF(C39="_","???",C39))</f>
        <v/>
      </c>
      <c r="H39" s="10" t="s">
        <v>12</v>
      </c>
      <c r="I39" s="11" t="s">
        <v>12</v>
      </c>
      <c r="J39" s="12"/>
    </row>
    <row r="40" spans="1:10" ht="60" customHeight="1">
      <c r="A40" s="6" t="s">
        <v>165</v>
      </c>
      <c r="B40" s="6" t="s">
        <v>17</v>
      </c>
      <c r="C40" s="6" t="s">
        <v>12</v>
      </c>
      <c r="D40" s="7" t="s">
        <v>84</v>
      </c>
      <c r="E40" s="8" t="s">
        <v>166</v>
      </c>
      <c r="F40" s="6" t="s">
        <v>167</v>
      </c>
      <c r="G40" s="9">
        <f>IF(A40=1,"_",IF(C40="_","???",C40))</f>
        <v/>
      </c>
      <c r="H40" s="10" t="s">
        <v>12</v>
      </c>
      <c r="I40" s="11" t="s">
        <v>12</v>
      </c>
      <c r="J40" s="12"/>
    </row>
    <row r="41" spans="1:10" ht="60" customHeight="1">
      <c r="A41" s="6" t="s">
        <v>168</v>
      </c>
      <c r="B41" s="6" t="s">
        <v>17</v>
      </c>
      <c r="C41" s="6" t="s">
        <v>38</v>
      </c>
      <c r="D41" s="7" t="s">
        <v>169</v>
      </c>
      <c r="E41" s="8" t="s">
        <v>170</v>
      </c>
      <c r="F41" s="6" t="s">
        <v>171</v>
      </c>
      <c r="G41" s="9">
        <f>IF(A41=1,"_",IF(C41="_","???",C41))</f>
        <v/>
      </c>
      <c r="H41" s="10" t="s">
        <v>12</v>
      </c>
      <c r="I41" s="11" t="s">
        <v>12</v>
      </c>
      <c r="J41" s="12"/>
    </row>
    <row r="42" spans="1:10" ht="60" customHeight="1">
      <c r="A42" s="6" t="s">
        <v>172</v>
      </c>
      <c r="B42" s="6" t="s">
        <v>11</v>
      </c>
      <c r="C42" s="6" t="s">
        <v>12</v>
      </c>
      <c r="D42" s="7" t="s">
        <v>173</v>
      </c>
      <c r="E42" s="8" t="s">
        <v>174</v>
      </c>
      <c r="F42" s="6" t="s">
        <v>175</v>
      </c>
      <c r="G42" s="9">
        <f>IF(A42=1,"_",IF(C42="_","???",C42))</f>
        <v/>
      </c>
      <c r="H42" s="10" t="s">
        <v>12</v>
      </c>
      <c r="I42" s="11" t="s">
        <v>12</v>
      </c>
      <c r="J42" s="12"/>
    </row>
    <row r="43" spans="1:10" ht="60" customHeight="1">
      <c r="A43" s="6" t="s">
        <v>176</v>
      </c>
      <c r="B43" s="6" t="s">
        <v>10</v>
      </c>
      <c r="C43" s="6" t="s">
        <v>12</v>
      </c>
      <c r="D43" s="7" t="s">
        <v>88</v>
      </c>
      <c r="E43" s="8" t="s">
        <v>177</v>
      </c>
      <c r="F43" s="6" t="s">
        <v>178</v>
      </c>
      <c r="G43" s="9">
        <f>IF(A43=1,"_",IF(C43="_","???",C43))</f>
        <v/>
      </c>
      <c r="H43" s="10" t="s">
        <v>12</v>
      </c>
      <c r="I43" s="11" t="s">
        <v>12</v>
      </c>
      <c r="J43" s="12"/>
    </row>
    <row r="44" spans="1:10" ht="60" customHeight="1">
      <c r="A44" s="6" t="s">
        <v>179</v>
      </c>
      <c r="B44" s="6" t="s">
        <v>42</v>
      </c>
      <c r="C44" s="6" t="s">
        <v>12</v>
      </c>
      <c r="D44" s="7" t="s">
        <v>180</v>
      </c>
      <c r="E44" s="8" t="s">
        <v>181</v>
      </c>
      <c r="F44" s="6" t="s">
        <v>182</v>
      </c>
      <c r="G44" s="9">
        <f>IF(A44=1,"_",IF(C44="_","???",C44))</f>
        <v/>
      </c>
      <c r="H44" s="10" t="s">
        <v>12</v>
      </c>
      <c r="I44" s="11" t="s">
        <v>12</v>
      </c>
      <c r="J44" s="12"/>
    </row>
    <row r="45" spans="1:10" ht="60" customHeight="1">
      <c r="A45" s="6" t="s">
        <v>183</v>
      </c>
      <c r="B45" s="6" t="s">
        <v>16</v>
      </c>
      <c r="C45" s="6" t="s">
        <v>12</v>
      </c>
      <c r="D45" s="7" t="s">
        <v>184</v>
      </c>
      <c r="E45" s="8" t="s">
        <v>185</v>
      </c>
      <c r="F45" s="6" t="s">
        <v>186</v>
      </c>
      <c r="G45" s="9">
        <f>IF(A45=1,"_",IF(C45="_","???",C45))</f>
        <v/>
      </c>
      <c r="H45" s="10" t="s">
        <v>12</v>
      </c>
      <c r="I45" s="11" t="s">
        <v>12</v>
      </c>
      <c r="J45" s="12"/>
    </row>
    <row r="46" spans="1:10" ht="60" customHeight="1">
      <c r="A46" s="6" t="s">
        <v>187</v>
      </c>
      <c r="B46" s="6" t="s">
        <v>17</v>
      </c>
      <c r="C46" s="6" t="s">
        <v>188</v>
      </c>
      <c r="D46" s="7" t="s">
        <v>189</v>
      </c>
      <c r="E46" s="8" t="s">
        <v>190</v>
      </c>
      <c r="F46" s="6" t="s">
        <v>191</v>
      </c>
      <c r="G46" s="9">
        <f>IF(A46=1,"_",IF(C46="_","???",C46))</f>
        <v/>
      </c>
      <c r="H46" s="10" t="s">
        <v>12</v>
      </c>
      <c r="I46" s="11" t="s">
        <v>12</v>
      </c>
      <c r="J46" s="12"/>
    </row>
    <row r="47" spans="1:10" ht="60" customHeight="1">
      <c r="A47" s="6" t="s">
        <v>192</v>
      </c>
      <c r="B47" s="6" t="s">
        <v>16</v>
      </c>
      <c r="C47" s="6" t="s">
        <v>38</v>
      </c>
      <c r="D47" s="7" t="s">
        <v>88</v>
      </c>
      <c r="E47" s="8" t="s">
        <v>193</v>
      </c>
      <c r="F47" s="6" t="s">
        <v>194</v>
      </c>
      <c r="G47" s="9">
        <f>IF(A47=1,"_",IF(C47="_","???",C47))</f>
        <v/>
      </c>
      <c r="H47" s="10" t="s">
        <v>12</v>
      </c>
      <c r="I47" s="11" t="s">
        <v>12</v>
      </c>
      <c r="J47" s="12"/>
    </row>
    <row r="48" spans="1:10" ht="60" customHeight="1">
      <c r="A48" s="6" t="s">
        <v>195</v>
      </c>
      <c r="B48" s="6" t="s">
        <v>36</v>
      </c>
      <c r="C48" s="6" t="s">
        <v>12</v>
      </c>
      <c r="D48" s="7" t="s">
        <v>18</v>
      </c>
      <c r="E48" s="8" t="s">
        <v>196</v>
      </c>
      <c r="F48" s="6" t="s">
        <v>197</v>
      </c>
      <c r="G48" s="9">
        <f>IF(A48=1,"_",IF(C48="_","???",C48))</f>
        <v/>
      </c>
      <c r="H48" s="10" t="s">
        <v>12</v>
      </c>
      <c r="I48" s="11" t="s">
        <v>12</v>
      </c>
      <c r="J48" s="12"/>
    </row>
    <row r="49" spans="1:10" ht="60" customHeight="1">
      <c r="A49" s="6" t="s">
        <v>198</v>
      </c>
      <c r="B49" s="6" t="s">
        <v>75</v>
      </c>
      <c r="C49" s="6" t="s">
        <v>38</v>
      </c>
      <c r="D49" s="7" t="s">
        <v>199</v>
      </c>
      <c r="E49" s="8" t="s">
        <v>200</v>
      </c>
      <c r="F49" s="6" t="s">
        <v>201</v>
      </c>
      <c r="G49" s="9">
        <f>IF(A49=1,"_",IF(C49="_","???",C49))</f>
        <v/>
      </c>
      <c r="H49" s="10" t="s">
        <v>12</v>
      </c>
      <c r="I49" s="11" t="s">
        <v>12</v>
      </c>
      <c r="J49" s="12"/>
    </row>
    <row r="50" spans="1:10" ht="60" customHeight="1">
      <c r="A50" s="6" t="s">
        <v>202</v>
      </c>
      <c r="B50" s="6" t="s">
        <v>25</v>
      </c>
      <c r="C50" s="6" t="s">
        <v>67</v>
      </c>
      <c r="D50" s="7" t="s">
        <v>203</v>
      </c>
      <c r="E50" s="8" t="s">
        <v>204</v>
      </c>
      <c r="F50" s="6" t="s">
        <v>205</v>
      </c>
      <c r="G50" s="9">
        <f>IF(A50=1,"_",IF(C50="_","???",C50))</f>
        <v/>
      </c>
      <c r="H50" s="10" t="s">
        <v>12</v>
      </c>
      <c r="I50" s="11" t="s">
        <v>12</v>
      </c>
      <c r="J50" s="12"/>
    </row>
    <row r="51" spans="1:10" ht="60" customHeight="1">
      <c r="A51" s="6" t="s">
        <v>206</v>
      </c>
      <c r="B51" s="6" t="s">
        <v>16</v>
      </c>
      <c r="C51" s="6" t="s">
        <v>12</v>
      </c>
      <c r="D51" s="7" t="s">
        <v>154</v>
      </c>
      <c r="E51" s="8" t="s">
        <v>207</v>
      </c>
      <c r="F51" s="6" t="s">
        <v>208</v>
      </c>
      <c r="G51" s="9">
        <f>IF(A51=1,"_",IF(C51="_","???",C51))</f>
        <v/>
      </c>
      <c r="H51" s="10" t="s">
        <v>12</v>
      </c>
      <c r="I51" s="11" t="s">
        <v>12</v>
      </c>
      <c r="J51" s="12"/>
    </row>
    <row r="52" spans="1:10" ht="60" customHeight="1">
      <c r="A52" s="6" t="s">
        <v>209</v>
      </c>
      <c r="B52" s="6" t="s">
        <v>16</v>
      </c>
      <c r="C52" s="6" t="s">
        <v>12</v>
      </c>
      <c r="D52" s="7" t="s">
        <v>210</v>
      </c>
      <c r="E52" s="8" t="s">
        <v>211</v>
      </c>
      <c r="F52" s="6" t="s">
        <v>212</v>
      </c>
      <c r="G52" s="9">
        <f>IF(A52=1,"_",IF(C52="_","???",C52))</f>
        <v/>
      </c>
      <c r="H52" s="10" t="s">
        <v>12</v>
      </c>
      <c r="I52" s="11" t="s">
        <v>12</v>
      </c>
      <c r="J52" s="12"/>
    </row>
    <row r="53" spans="1:10" ht="60" customHeight="1">
      <c r="A53" s="6" t="s">
        <v>213</v>
      </c>
      <c r="B53" s="6" t="s">
        <v>25</v>
      </c>
      <c r="C53" s="6" t="s">
        <v>214</v>
      </c>
      <c r="D53" s="7" t="s">
        <v>215</v>
      </c>
      <c r="E53" s="8" t="s">
        <v>216</v>
      </c>
      <c r="F53" s="6" t="s">
        <v>217</v>
      </c>
      <c r="G53" s="9">
        <f>IF(A53=1,"_",IF(C53="_","???",C53))</f>
        <v/>
      </c>
      <c r="H53" s="10" t="s">
        <v>12</v>
      </c>
      <c r="I53" s="11" t="s">
        <v>12</v>
      </c>
      <c r="J53" s="12"/>
    </row>
    <row r="54" spans="1:10" ht="60" customHeight="1">
      <c r="A54" s="6" t="s">
        <v>218</v>
      </c>
      <c r="B54" s="6" t="s">
        <v>42</v>
      </c>
      <c r="C54" s="6" t="s">
        <v>219</v>
      </c>
      <c r="D54" s="7" t="s">
        <v>220</v>
      </c>
      <c r="E54" s="8" t="s">
        <v>221</v>
      </c>
      <c r="F54" s="6" t="s">
        <v>222</v>
      </c>
      <c r="G54" s="9">
        <f>IF(A54=1,"_",IF(C54="_","???",C54))</f>
        <v/>
      </c>
      <c r="H54" s="10" t="s">
        <v>12</v>
      </c>
      <c r="I54" s="11" t="s">
        <v>12</v>
      </c>
      <c r="J54" s="12"/>
    </row>
    <row r="55" spans="1:10" ht="60" customHeight="1">
      <c r="A55" s="6" t="s">
        <v>223</v>
      </c>
      <c r="B55" s="6" t="s">
        <v>46</v>
      </c>
      <c r="C55" s="6" t="s">
        <v>224</v>
      </c>
      <c r="D55" s="7" t="s">
        <v>225</v>
      </c>
      <c r="E55" s="8" t="s">
        <v>226</v>
      </c>
      <c r="F55" s="6" t="s">
        <v>227</v>
      </c>
      <c r="G55" s="9">
        <f>IF(A55=1,"_",IF(C55="_","???",C55))</f>
        <v/>
      </c>
      <c r="H55" s="10" t="s">
        <v>12</v>
      </c>
      <c r="I55" s="11" t="s">
        <v>12</v>
      </c>
      <c r="J55" s="12"/>
    </row>
    <row r="56" spans="1:10" ht="60" customHeight="1">
      <c r="A56" s="6" t="s">
        <v>228</v>
      </c>
      <c r="B56" s="6" t="s">
        <v>16</v>
      </c>
      <c r="C56" s="6" t="s">
        <v>12</v>
      </c>
      <c r="D56" s="7" t="s">
        <v>229</v>
      </c>
      <c r="E56" s="8" t="s">
        <v>230</v>
      </c>
      <c r="F56" s="6" t="s">
        <v>231</v>
      </c>
      <c r="G56" s="9">
        <f>IF(A56=1,"_",IF(C56="_","???",C56))</f>
        <v/>
      </c>
      <c r="H56" s="10" t="s">
        <v>12</v>
      </c>
      <c r="I56" s="11" t="s">
        <v>12</v>
      </c>
      <c r="J56" s="12"/>
    </row>
    <row r="57" spans="1:10" ht="60" customHeight="1">
      <c r="A57" s="6" t="s">
        <v>232</v>
      </c>
      <c r="B57" s="6" t="s">
        <v>17</v>
      </c>
      <c r="C57" s="6" t="s">
        <v>67</v>
      </c>
      <c r="D57" s="7" t="s">
        <v>233</v>
      </c>
      <c r="E57" s="8" t="s">
        <v>234</v>
      </c>
      <c r="F57" s="6" t="s">
        <v>235</v>
      </c>
      <c r="G57" s="9">
        <f>IF(A57=1,"_",IF(C57="_","???",C57))</f>
        <v/>
      </c>
      <c r="H57" s="10" t="s">
        <v>12</v>
      </c>
      <c r="I57" s="11" t="s">
        <v>12</v>
      </c>
      <c r="J57" s="12"/>
    </row>
    <row r="58" spans="1:10" ht="60" customHeight="1">
      <c r="A58" s="6" t="s">
        <v>236</v>
      </c>
      <c r="B58" s="6" t="s">
        <v>42</v>
      </c>
      <c r="C58" s="6" t="s">
        <v>67</v>
      </c>
      <c r="D58" s="7" t="s">
        <v>237</v>
      </c>
      <c r="E58" s="8" t="s">
        <v>238</v>
      </c>
      <c r="F58" s="6" t="s">
        <v>239</v>
      </c>
      <c r="G58" s="9">
        <f>IF(A58=1,"_",IF(C58="_","???",C58))</f>
        <v/>
      </c>
      <c r="H58" s="10" t="s">
        <v>12</v>
      </c>
      <c r="I58" s="11" t="s">
        <v>12</v>
      </c>
      <c r="J58" s="12"/>
    </row>
    <row r="59" spans="1:10" ht="60" customHeight="1">
      <c r="A59" s="6" t="s">
        <v>240</v>
      </c>
      <c r="B59" s="6" t="s">
        <v>25</v>
      </c>
      <c r="C59" s="6" t="s">
        <v>67</v>
      </c>
      <c r="D59" s="7" t="s">
        <v>241</v>
      </c>
      <c r="E59" s="8" t="s">
        <v>242</v>
      </c>
      <c r="F59" s="6" t="s">
        <v>243</v>
      </c>
      <c r="G59" s="9">
        <f>IF(A59=1,"_",IF(C59="_","???",C59))</f>
        <v/>
      </c>
      <c r="H59" s="10" t="s">
        <v>12</v>
      </c>
      <c r="I59" s="11" t="s">
        <v>12</v>
      </c>
      <c r="J59" s="12"/>
    </row>
    <row r="60" spans="1:10" ht="60" customHeight="1">
      <c r="A60" s="6" t="s">
        <v>244</v>
      </c>
      <c r="B60" s="6" t="s">
        <v>37</v>
      </c>
      <c r="C60" s="6" t="s">
        <v>245</v>
      </c>
      <c r="D60" s="7" t="s">
        <v>108</v>
      </c>
      <c r="E60" s="8" t="s">
        <v>246</v>
      </c>
      <c r="F60" s="6" t="s">
        <v>247</v>
      </c>
      <c r="G60" s="9">
        <f>IF(A60=1,"_",IF(C60="_","???",C60))</f>
        <v/>
      </c>
      <c r="H60" s="10" t="s">
        <v>12</v>
      </c>
      <c r="I60" s="11" t="s">
        <v>12</v>
      </c>
      <c r="J60" s="12"/>
    </row>
    <row r="61" spans="1:10" ht="60" customHeight="1">
      <c r="A61" s="6" t="s">
        <v>248</v>
      </c>
      <c r="B61" s="6" t="s">
        <v>25</v>
      </c>
      <c r="C61" s="6" t="s">
        <v>12</v>
      </c>
      <c r="D61" s="7" t="s">
        <v>249</v>
      </c>
      <c r="E61" s="8" t="s">
        <v>250</v>
      </c>
      <c r="F61" s="6" t="s">
        <v>251</v>
      </c>
      <c r="G61" s="9">
        <f>IF(A61=1,"_",IF(C61="_","???",C61))</f>
        <v/>
      </c>
      <c r="H61" s="10" t="s">
        <v>12</v>
      </c>
      <c r="I61" s="11" t="s">
        <v>12</v>
      </c>
      <c r="J61" s="12"/>
    </row>
    <row r="62" spans="1:10" ht="60" customHeight="1">
      <c r="A62" s="6" t="s">
        <v>252</v>
      </c>
      <c r="B62" s="6" t="s">
        <v>66</v>
      </c>
      <c r="C62" s="6" t="s">
        <v>253</v>
      </c>
      <c r="D62" s="7" t="s">
        <v>254</v>
      </c>
      <c r="E62" s="8" t="s">
        <v>255</v>
      </c>
      <c r="F62" s="6" t="s">
        <v>256</v>
      </c>
      <c r="G62" s="9">
        <f>IF(A62=1,"_",IF(C62="_","???",C62))</f>
        <v/>
      </c>
      <c r="H62" s="10" t="s">
        <v>12</v>
      </c>
      <c r="I62" s="11" t="s">
        <v>12</v>
      </c>
      <c r="J62" s="12"/>
    </row>
    <row r="63" spans="1:10" ht="60" customHeight="1">
      <c r="A63" s="6" t="s">
        <v>257</v>
      </c>
      <c r="B63" s="6" t="s">
        <v>42</v>
      </c>
      <c r="C63" s="6" t="s">
        <v>12</v>
      </c>
      <c r="D63" s="7" t="s">
        <v>258</v>
      </c>
      <c r="E63" s="8" t="s">
        <v>259</v>
      </c>
      <c r="F63" s="6" t="s">
        <v>260</v>
      </c>
      <c r="G63" s="9">
        <f>IF(A63=1,"_",IF(C63="_","???",C63))</f>
        <v/>
      </c>
      <c r="H63" s="10" t="s">
        <v>12</v>
      </c>
      <c r="I63" s="11" t="s">
        <v>12</v>
      </c>
      <c r="J63" s="12"/>
    </row>
    <row r="64" spans="1:10" ht="60" customHeight="1">
      <c r="A64" s="6" t="s">
        <v>261</v>
      </c>
      <c r="B64" s="6" t="s">
        <v>10</v>
      </c>
      <c r="C64" s="6" t="s">
        <v>21</v>
      </c>
      <c r="D64" s="7" t="s">
        <v>262</v>
      </c>
      <c r="E64" s="8" t="s">
        <v>263</v>
      </c>
      <c r="F64" s="6" t="s">
        <v>264</v>
      </c>
      <c r="G64" s="9">
        <f>IF(A64=1,"_",IF(C64="_","???",C64))</f>
        <v/>
      </c>
      <c r="H64" s="10" t="s">
        <v>12</v>
      </c>
      <c r="I64" s="11" t="s">
        <v>12</v>
      </c>
      <c r="J64" s="12"/>
    </row>
    <row r="65" spans="1:10" ht="60" customHeight="1">
      <c r="A65" s="6" t="s">
        <v>265</v>
      </c>
      <c r="B65" s="6" t="s">
        <v>26</v>
      </c>
      <c r="C65" s="6" t="s">
        <v>21</v>
      </c>
      <c r="D65" s="7" t="s">
        <v>266</v>
      </c>
      <c r="E65" s="8" t="s">
        <v>267</v>
      </c>
      <c r="F65" s="6" t="s">
        <v>268</v>
      </c>
      <c r="G65" s="9">
        <f>IF(A65=1,"_",IF(C65="_","???",C65))</f>
        <v/>
      </c>
      <c r="H65" s="10" t="s">
        <v>12</v>
      </c>
      <c r="I65" s="11" t="s">
        <v>12</v>
      </c>
      <c r="J65" s="12"/>
    </row>
    <row r="66" spans="1:10" ht="60" customHeight="1">
      <c r="A66" s="6" t="s">
        <v>269</v>
      </c>
      <c r="B66" s="6" t="s">
        <v>25</v>
      </c>
      <c r="C66" s="6" t="s">
        <v>12</v>
      </c>
      <c r="D66" s="7" t="s">
        <v>158</v>
      </c>
      <c r="E66" s="8" t="s">
        <v>270</v>
      </c>
      <c r="F66" s="6" t="s">
        <v>271</v>
      </c>
      <c r="G66" s="9">
        <f>IF(A66=1,"_",IF(C66="_","???",C66))</f>
        <v/>
      </c>
      <c r="H66" s="10" t="s">
        <v>12</v>
      </c>
      <c r="I66" s="11" t="s">
        <v>12</v>
      </c>
      <c r="J66" s="12"/>
    </row>
    <row r="67" spans="1:10" ht="60" customHeight="1">
      <c r="A67" s="6" t="s">
        <v>272</v>
      </c>
      <c r="B67" s="6" t="s">
        <v>11</v>
      </c>
      <c r="C67" s="6" t="s">
        <v>12</v>
      </c>
      <c r="D67" s="7" t="s">
        <v>273</v>
      </c>
      <c r="E67" s="8" t="s">
        <v>274</v>
      </c>
      <c r="F67" s="6" t="s">
        <v>275</v>
      </c>
      <c r="G67" s="9">
        <f>IF(A67=1,"_",IF(C67="_","???",C67))</f>
        <v/>
      </c>
      <c r="H67" s="10" t="s">
        <v>12</v>
      </c>
      <c r="I67" s="11" t="s">
        <v>12</v>
      </c>
      <c r="J67" s="12"/>
    </row>
    <row r="68" spans="1:10" ht="60" customHeight="1">
      <c r="A68" s="6" t="s">
        <v>276</v>
      </c>
      <c r="B68" s="6" t="s">
        <v>26</v>
      </c>
      <c r="C68" s="6" t="s">
        <v>277</v>
      </c>
      <c r="D68" s="7" t="s">
        <v>278</v>
      </c>
      <c r="E68" s="8" t="s">
        <v>279</v>
      </c>
      <c r="F68" s="6" t="s">
        <v>280</v>
      </c>
      <c r="G68" s="9">
        <f>IF(A68=1,"_",IF(C68="_","???",C68))</f>
        <v/>
      </c>
      <c r="H68" s="10" t="s">
        <v>12</v>
      </c>
      <c r="I68" s="11" t="s">
        <v>12</v>
      </c>
      <c r="J68" s="12"/>
    </row>
    <row r="69" spans="1:10" ht="60" customHeight="1">
      <c r="A69" s="6" t="s">
        <v>281</v>
      </c>
      <c r="B69" s="6" t="s">
        <v>16</v>
      </c>
      <c r="C69" s="6" t="s">
        <v>12</v>
      </c>
      <c r="D69" s="7" t="s">
        <v>282</v>
      </c>
      <c r="E69" s="8" t="s">
        <v>283</v>
      </c>
      <c r="F69" s="6" t="s">
        <v>284</v>
      </c>
      <c r="G69" s="9">
        <f>IF(A69=1,"_",IF(C69="_","???",C69))</f>
        <v/>
      </c>
      <c r="H69" s="10" t="s">
        <v>12</v>
      </c>
      <c r="I69" s="11" t="s">
        <v>12</v>
      </c>
      <c r="J69" s="12"/>
    </row>
    <row r="70" spans="1:10" ht="60" customHeight="1">
      <c r="A70" s="6" t="s">
        <v>285</v>
      </c>
      <c r="B70" s="6" t="s">
        <v>42</v>
      </c>
      <c r="C70" s="6" t="s">
        <v>67</v>
      </c>
      <c r="D70" s="7" t="s">
        <v>286</v>
      </c>
      <c r="E70" s="8" t="s">
        <v>287</v>
      </c>
      <c r="F70" s="6" t="s">
        <v>288</v>
      </c>
      <c r="G70" s="9">
        <f>IF(A70=1,"_",IF(C70="_","???",C70))</f>
        <v/>
      </c>
      <c r="H70" s="10" t="s">
        <v>12</v>
      </c>
      <c r="I70" s="11" t="s">
        <v>12</v>
      </c>
      <c r="J70" s="12"/>
    </row>
    <row r="71" spans="1:10" ht="60" customHeight="1">
      <c r="A71" s="6" t="s">
        <v>289</v>
      </c>
      <c r="B71" s="6" t="s">
        <v>46</v>
      </c>
      <c r="C71" s="6" t="s">
        <v>12</v>
      </c>
      <c r="D71" s="7" t="s">
        <v>290</v>
      </c>
      <c r="E71" s="8" t="s">
        <v>291</v>
      </c>
      <c r="F71" s="6" t="s">
        <v>292</v>
      </c>
      <c r="G71" s="9">
        <f>IF(A71=1,"_",IF(C71="_","???",C71))</f>
        <v/>
      </c>
      <c r="H71" s="10" t="s">
        <v>12</v>
      </c>
      <c r="I71" s="11" t="s">
        <v>12</v>
      </c>
      <c r="J71" s="12"/>
    </row>
    <row r="72" spans="1:10" ht="60" customHeight="1">
      <c r="A72" s="6" t="s">
        <v>293</v>
      </c>
      <c r="B72" s="6" t="s">
        <v>17</v>
      </c>
      <c r="C72" s="6" t="s">
        <v>294</v>
      </c>
      <c r="D72" s="7" t="s">
        <v>295</v>
      </c>
      <c r="E72" s="8" t="s">
        <v>296</v>
      </c>
      <c r="F72" s="6" t="s">
        <v>297</v>
      </c>
      <c r="G72" s="9">
        <f>IF(A72=1,"_",IF(C72="_","???",C72))</f>
        <v/>
      </c>
      <c r="H72" s="10" t="s">
        <v>12</v>
      </c>
      <c r="I72" s="11" t="s">
        <v>12</v>
      </c>
      <c r="J72" s="12"/>
    </row>
    <row r="73" spans="1:10" ht="60" customHeight="1">
      <c r="A73" s="6" t="s">
        <v>298</v>
      </c>
      <c r="B73" s="6" t="s">
        <v>57</v>
      </c>
      <c r="C73" s="6" t="s">
        <v>299</v>
      </c>
      <c r="D73" s="7" t="s">
        <v>300</v>
      </c>
      <c r="E73" s="8" t="s">
        <v>301</v>
      </c>
      <c r="F73" s="6" t="s">
        <v>302</v>
      </c>
      <c r="G73" s="9">
        <f>IF(A73=1,"_",IF(C73="_","???",C73))</f>
        <v/>
      </c>
      <c r="H73" s="10" t="s">
        <v>12</v>
      </c>
      <c r="I73" s="11" t="s">
        <v>12</v>
      </c>
      <c r="J73" s="12"/>
    </row>
    <row r="74" spans="1:10" ht="60" customHeight="1">
      <c r="A74" s="6" t="s">
        <v>303</v>
      </c>
      <c r="B74" s="6" t="s">
        <v>11</v>
      </c>
      <c r="C74" s="6" t="s">
        <v>12</v>
      </c>
      <c r="D74" s="7" t="s">
        <v>304</v>
      </c>
      <c r="E74" s="8" t="s">
        <v>305</v>
      </c>
      <c r="F74" s="6" t="s">
        <v>306</v>
      </c>
      <c r="G74" s="9">
        <f>IF(A74=1,"_",IF(C74="_","???",C74))</f>
        <v/>
      </c>
      <c r="H74" s="10" t="s">
        <v>12</v>
      </c>
      <c r="I74" s="11" t="s">
        <v>12</v>
      </c>
      <c r="J74" s="12"/>
    </row>
    <row r="75" spans="1:10" ht="60" customHeight="1">
      <c r="A75" s="6" t="s">
        <v>307</v>
      </c>
      <c r="B75" s="6" t="s">
        <v>42</v>
      </c>
      <c r="C75" s="6" t="s">
        <v>308</v>
      </c>
      <c r="D75" s="7" t="s">
        <v>309</v>
      </c>
      <c r="E75" s="8" t="s">
        <v>310</v>
      </c>
      <c r="F75" s="6" t="s">
        <v>311</v>
      </c>
      <c r="G75" s="9">
        <f>IF(A75=1,"_",IF(C75="_","???",C75))</f>
        <v/>
      </c>
      <c r="H75" s="10" t="s">
        <v>12</v>
      </c>
      <c r="I75" s="11" t="s">
        <v>12</v>
      </c>
      <c r="J75" s="12"/>
    </row>
    <row r="76" spans="1:10" ht="60" customHeight="1">
      <c r="A76" s="6" t="s">
        <v>312</v>
      </c>
      <c r="B76" s="6" t="s">
        <v>25</v>
      </c>
      <c r="C76" s="6" t="s">
        <v>12</v>
      </c>
      <c r="D76" s="7" t="s">
        <v>18</v>
      </c>
      <c r="E76" s="8" t="s">
        <v>313</v>
      </c>
      <c r="F76" s="6" t="s">
        <v>314</v>
      </c>
      <c r="G76" s="9">
        <f>IF(A76=1,"_",IF(C76="_","???",C76))</f>
        <v/>
      </c>
      <c r="H76" s="10" t="s">
        <v>12</v>
      </c>
      <c r="I76" s="11" t="s">
        <v>12</v>
      </c>
      <c r="J76" s="12"/>
    </row>
    <row r="77" spans="1:10" ht="60" customHeight="1">
      <c r="A77" s="6" t="s">
        <v>315</v>
      </c>
      <c r="B77" s="6" t="s">
        <v>46</v>
      </c>
      <c r="C77" s="6" t="s">
        <v>67</v>
      </c>
      <c r="D77" s="7" t="s">
        <v>266</v>
      </c>
      <c r="E77" s="8" t="s">
        <v>316</v>
      </c>
      <c r="F77" s="6" t="s">
        <v>317</v>
      </c>
      <c r="G77" s="9">
        <f>IF(A77=1,"_",IF(C77="_","???",C77))</f>
        <v/>
      </c>
      <c r="H77" s="10" t="s">
        <v>12</v>
      </c>
      <c r="I77" s="11" t="s">
        <v>12</v>
      </c>
      <c r="J77" s="12"/>
    </row>
    <row r="78" spans="1:10" ht="60" customHeight="1">
      <c r="A78" s="6" t="s">
        <v>318</v>
      </c>
      <c r="B78" s="6" t="s">
        <v>11</v>
      </c>
      <c r="C78" s="6" t="s">
        <v>319</v>
      </c>
      <c r="D78" s="7" t="s">
        <v>320</v>
      </c>
      <c r="E78" s="8" t="s">
        <v>321</v>
      </c>
      <c r="F78" s="6" t="s">
        <v>322</v>
      </c>
      <c r="G78" s="9">
        <f>IF(A78=1,"_",IF(C78="_","???",C78))</f>
        <v/>
      </c>
      <c r="H78" s="10" t="s">
        <v>12</v>
      </c>
      <c r="I78" s="11" t="s">
        <v>12</v>
      </c>
      <c r="J78" s="12"/>
    </row>
    <row r="79" spans="1:10" ht="60" customHeight="1">
      <c r="A79" s="6" t="s">
        <v>323</v>
      </c>
      <c r="B79" s="6" t="s">
        <v>46</v>
      </c>
      <c r="C79" s="6" t="s">
        <v>27</v>
      </c>
      <c r="D79" s="7" t="s">
        <v>324</v>
      </c>
      <c r="E79" s="8" t="s">
        <v>325</v>
      </c>
      <c r="F79" s="6" t="s">
        <v>326</v>
      </c>
      <c r="G79" s="9">
        <f>IF(A79=1,"_",IF(C79="_","???",C79))</f>
        <v/>
      </c>
      <c r="H79" s="10" t="s">
        <v>12</v>
      </c>
      <c r="I79" s="11" t="s">
        <v>12</v>
      </c>
      <c r="J79" s="12"/>
    </row>
    <row r="80" spans="1:10" ht="60" customHeight="1">
      <c r="A80" s="6" t="s">
        <v>327</v>
      </c>
      <c r="B80" s="6" t="s">
        <v>66</v>
      </c>
      <c r="C80" s="6" t="s">
        <v>21</v>
      </c>
      <c r="D80" s="7" t="s">
        <v>328</v>
      </c>
      <c r="E80" s="8" t="s">
        <v>329</v>
      </c>
      <c r="F80" s="6" t="s">
        <v>330</v>
      </c>
      <c r="G80" s="9">
        <f>IF(A80=1,"_",IF(C80="_","???",C80))</f>
        <v/>
      </c>
      <c r="H80" s="10" t="s">
        <v>12</v>
      </c>
      <c r="I80" s="11" t="s">
        <v>12</v>
      </c>
      <c r="J80" s="12"/>
    </row>
    <row r="81" spans="1:10" ht="60" customHeight="1">
      <c r="A81" s="6" t="s">
        <v>331</v>
      </c>
      <c r="B81" s="6" t="s">
        <v>71</v>
      </c>
      <c r="C81" s="6" t="s">
        <v>332</v>
      </c>
      <c r="D81" s="7" t="s">
        <v>333</v>
      </c>
      <c r="E81" s="8" t="s">
        <v>334</v>
      </c>
      <c r="F81" s="6" t="s">
        <v>335</v>
      </c>
      <c r="G81" s="9">
        <f>IF(A81=1,"_",IF(C81="_","???",C81))</f>
        <v/>
      </c>
      <c r="H81" s="10" t="s">
        <v>12</v>
      </c>
      <c r="I81" s="11" t="s">
        <v>12</v>
      </c>
      <c r="J81" s="12"/>
    </row>
    <row r="82" spans="1:10" ht="60" customHeight="1">
      <c r="A82" s="6" t="s">
        <v>336</v>
      </c>
      <c r="B82" s="6" t="s">
        <v>16</v>
      </c>
      <c r="C82" s="6" t="s">
        <v>21</v>
      </c>
      <c r="D82" s="7" t="s">
        <v>337</v>
      </c>
      <c r="E82" s="8" t="s">
        <v>338</v>
      </c>
      <c r="F82" s="6" t="s">
        <v>339</v>
      </c>
      <c r="G82" s="9">
        <f>IF(A82=1,"_",IF(C82="_","???",C82))</f>
        <v/>
      </c>
      <c r="H82" s="10" t="s">
        <v>12</v>
      </c>
      <c r="I82" s="11" t="s">
        <v>12</v>
      </c>
      <c r="J82" s="12"/>
    </row>
    <row r="83" spans="1:10" ht="60" customHeight="1">
      <c r="A83" s="6" t="s">
        <v>340</v>
      </c>
      <c r="B83" s="6" t="s">
        <v>16</v>
      </c>
      <c r="C83" s="6" t="s">
        <v>12</v>
      </c>
      <c r="D83" s="7" t="s">
        <v>220</v>
      </c>
      <c r="E83" s="8" t="s">
        <v>341</v>
      </c>
      <c r="F83" s="6" t="s">
        <v>342</v>
      </c>
      <c r="G83" s="9">
        <f>IF(A83=1,"_",IF(C83="_","???",C83))</f>
        <v/>
      </c>
      <c r="H83" s="10" t="s">
        <v>12</v>
      </c>
      <c r="I83" s="11" t="s">
        <v>12</v>
      </c>
      <c r="J83" s="12"/>
    </row>
    <row r="84" spans="1:10" ht="60" customHeight="1">
      <c r="A84" s="6" t="s">
        <v>343</v>
      </c>
      <c r="B84" s="6" t="s">
        <v>16</v>
      </c>
      <c r="C84" s="6" t="s">
        <v>332</v>
      </c>
      <c r="D84" s="7" t="s">
        <v>18</v>
      </c>
      <c r="E84" s="8" t="s">
        <v>344</v>
      </c>
      <c r="F84" s="6" t="s">
        <v>345</v>
      </c>
      <c r="G84" s="9">
        <f>IF(A84=1,"_",IF(C84="_","???",C84))</f>
        <v/>
      </c>
      <c r="H84" s="10" t="s">
        <v>12</v>
      </c>
      <c r="I84" s="11" t="s">
        <v>12</v>
      </c>
      <c r="J84" s="12"/>
    </row>
    <row r="85" spans="1:10" ht="60" customHeight="1">
      <c r="A85" s="6" t="s">
        <v>346</v>
      </c>
      <c r="B85" s="6" t="s">
        <v>25</v>
      </c>
      <c r="C85" s="6" t="s">
        <v>67</v>
      </c>
      <c r="D85" s="7" t="s">
        <v>337</v>
      </c>
      <c r="E85" s="8" t="s">
        <v>347</v>
      </c>
      <c r="F85" s="6" t="s">
        <v>348</v>
      </c>
      <c r="G85" s="9">
        <f>IF(A85=1,"_",IF(C85="_","???",C85))</f>
        <v/>
      </c>
      <c r="H85" s="10" t="s">
        <v>12</v>
      </c>
      <c r="I85" s="11" t="s">
        <v>12</v>
      </c>
      <c r="J85" s="12"/>
    </row>
    <row r="86" spans="1:10" ht="60" customHeight="1">
      <c r="A86" s="6" t="s">
        <v>349</v>
      </c>
      <c r="B86" s="6" t="s">
        <v>42</v>
      </c>
      <c r="C86" s="6" t="s">
        <v>21</v>
      </c>
      <c r="D86" s="7" t="s">
        <v>350</v>
      </c>
      <c r="E86" s="8" t="s">
        <v>351</v>
      </c>
      <c r="F86" s="6" t="s">
        <v>352</v>
      </c>
      <c r="G86" s="9">
        <f>IF(A86=1,"_",IF(C86="_","???",C86))</f>
        <v/>
      </c>
      <c r="H86" s="10" t="s">
        <v>12</v>
      </c>
      <c r="I86" s="11" t="s">
        <v>12</v>
      </c>
      <c r="J86" s="12"/>
    </row>
    <row r="87" spans="1:10" ht="60" customHeight="1">
      <c r="A87" s="6" t="s">
        <v>353</v>
      </c>
      <c r="B87" s="6" t="s">
        <v>16</v>
      </c>
      <c r="C87" s="6" t="s">
        <v>12</v>
      </c>
      <c r="D87" s="7" t="s">
        <v>354</v>
      </c>
      <c r="E87" s="8" t="s">
        <v>355</v>
      </c>
      <c r="F87" s="6" t="s">
        <v>356</v>
      </c>
      <c r="G87" s="9">
        <f>IF(A87=1,"_",IF(C87="_","???",C87))</f>
        <v/>
      </c>
      <c r="H87" s="10" t="s">
        <v>12</v>
      </c>
      <c r="I87" s="11" t="s">
        <v>12</v>
      </c>
      <c r="J87" s="12"/>
    </row>
    <row r="88" spans="1:10" ht="60" customHeight="1">
      <c r="A88" s="6" t="s">
        <v>357</v>
      </c>
      <c r="B88" s="6" t="s">
        <v>25</v>
      </c>
      <c r="C88" s="6" t="s">
        <v>67</v>
      </c>
      <c r="D88" s="7" t="s">
        <v>358</v>
      </c>
      <c r="E88" s="8" t="s">
        <v>359</v>
      </c>
      <c r="F88" s="6" t="s">
        <v>360</v>
      </c>
      <c r="G88" s="9">
        <f>IF(A88=1,"_",IF(C88="_","???",C88))</f>
        <v/>
      </c>
      <c r="H88" s="10" t="s">
        <v>12</v>
      </c>
      <c r="I88" s="11" t="s">
        <v>12</v>
      </c>
      <c r="J88" s="12"/>
    </row>
    <row r="89" spans="1:10" ht="60" customHeight="1">
      <c r="A89" s="6" t="s">
        <v>361</v>
      </c>
      <c r="B89" s="6" t="s">
        <v>25</v>
      </c>
      <c r="C89" s="6" t="s">
        <v>12</v>
      </c>
      <c r="D89" s="7" t="s">
        <v>362</v>
      </c>
      <c r="E89" s="8" t="s">
        <v>363</v>
      </c>
      <c r="F89" s="6" t="s">
        <v>364</v>
      </c>
      <c r="G89" s="9">
        <f>IF(A89=1,"_",IF(C89="_","???",C89))</f>
        <v/>
      </c>
      <c r="H89" s="10" t="s">
        <v>12</v>
      </c>
      <c r="I89" s="11" t="s">
        <v>12</v>
      </c>
      <c r="J89" s="12"/>
    </row>
    <row r="90" spans="1:10" ht="60" customHeight="1">
      <c r="A90" s="6" t="s">
        <v>365</v>
      </c>
      <c r="B90" s="6" t="s">
        <v>87</v>
      </c>
      <c r="C90" s="6" t="s">
        <v>214</v>
      </c>
      <c r="D90" s="7" t="s">
        <v>366</v>
      </c>
      <c r="E90" s="8" t="s">
        <v>367</v>
      </c>
      <c r="F90" s="6" t="s">
        <v>368</v>
      </c>
      <c r="G90" s="9">
        <f>IF(A90=1,"_",IF(C90="_","???",C90))</f>
        <v/>
      </c>
      <c r="H90" s="10" t="s">
        <v>12</v>
      </c>
      <c r="I90" s="11" t="s">
        <v>12</v>
      </c>
      <c r="J90" s="12"/>
    </row>
    <row r="91" spans="1:10" ht="60" customHeight="1">
      <c r="A91" s="6" t="s">
        <v>369</v>
      </c>
      <c r="B91" s="6" t="s">
        <v>17</v>
      </c>
      <c r="C91" s="6" t="s">
        <v>67</v>
      </c>
      <c r="D91" s="7" t="s">
        <v>189</v>
      </c>
      <c r="E91" s="8" t="s">
        <v>370</v>
      </c>
      <c r="F91" s="6" t="s">
        <v>371</v>
      </c>
      <c r="G91" s="9">
        <f>IF(A91=1,"_",IF(C91="_","???",C91))</f>
        <v/>
      </c>
      <c r="H91" s="10" t="s">
        <v>12</v>
      </c>
      <c r="I91" s="11" t="s">
        <v>12</v>
      </c>
      <c r="J91" s="12"/>
    </row>
    <row r="92" spans="1:10" ht="60" customHeight="1">
      <c r="A92" s="6" t="s">
        <v>372</v>
      </c>
      <c r="B92" s="6" t="s">
        <v>16</v>
      </c>
      <c r="C92" s="6" t="s">
        <v>12</v>
      </c>
      <c r="D92" s="7" t="s">
        <v>373</v>
      </c>
      <c r="E92" s="8" t="s">
        <v>374</v>
      </c>
      <c r="F92" s="6" t="s">
        <v>375</v>
      </c>
      <c r="G92" s="9">
        <f>IF(A92=1,"_",IF(C92="_","???",C92))</f>
        <v/>
      </c>
      <c r="H92" s="10" t="s">
        <v>12</v>
      </c>
      <c r="I92" s="11" t="s">
        <v>12</v>
      </c>
      <c r="J92" s="12"/>
    </row>
    <row r="93" spans="1:10" ht="60" customHeight="1">
      <c r="A93" s="6" t="s">
        <v>376</v>
      </c>
      <c r="B93" s="6" t="s">
        <v>16</v>
      </c>
      <c r="C93" s="6" t="s">
        <v>12</v>
      </c>
      <c r="D93" s="7" t="s">
        <v>377</v>
      </c>
      <c r="E93" s="8" t="s">
        <v>378</v>
      </c>
      <c r="F93" s="6" t="s">
        <v>379</v>
      </c>
      <c r="G93" s="9">
        <f>IF(A93=1,"_",IF(C93="_","???",C93))</f>
        <v/>
      </c>
      <c r="H93" s="10" t="s">
        <v>12</v>
      </c>
      <c r="I93" s="11" t="s">
        <v>12</v>
      </c>
      <c r="J93" s="12"/>
    </row>
    <row r="94" spans="1:10" ht="60" customHeight="1">
      <c r="A94" s="6" t="s">
        <v>380</v>
      </c>
      <c r="B94" s="6" t="s">
        <v>11</v>
      </c>
      <c r="C94" s="6" t="s">
        <v>12</v>
      </c>
      <c r="D94" s="7" t="s">
        <v>381</v>
      </c>
      <c r="E94" s="8" t="s">
        <v>382</v>
      </c>
      <c r="F94" s="6" t="s">
        <v>383</v>
      </c>
      <c r="G94" s="9">
        <f>IF(A94=1,"_",IF(C94="_","???",C94))</f>
        <v/>
      </c>
      <c r="H94" s="10" t="s">
        <v>12</v>
      </c>
      <c r="I94" s="11" t="s">
        <v>12</v>
      </c>
      <c r="J94" s="12"/>
    </row>
    <row r="95" spans="1:10" ht="60" customHeight="1">
      <c r="A95" s="6" t="s">
        <v>384</v>
      </c>
      <c r="B95" s="6" t="s">
        <v>10</v>
      </c>
      <c r="C95" s="6" t="s">
        <v>27</v>
      </c>
      <c r="D95" s="7" t="s">
        <v>385</v>
      </c>
      <c r="E95" s="8" t="s">
        <v>386</v>
      </c>
      <c r="F95" s="6" t="s">
        <v>387</v>
      </c>
      <c r="G95" s="9">
        <f>IF(A95=1,"_",IF(C95="_","???",C95))</f>
        <v/>
      </c>
      <c r="H95" s="10" t="s">
        <v>12</v>
      </c>
      <c r="I95" s="11" t="s">
        <v>12</v>
      </c>
      <c r="J95" s="12"/>
    </row>
    <row r="96" spans="1:10" ht="60" customHeight="1">
      <c r="A96" s="6" t="s">
        <v>388</v>
      </c>
      <c r="B96" s="6" t="s">
        <v>25</v>
      </c>
      <c r="C96" s="6" t="s">
        <v>389</v>
      </c>
      <c r="D96" s="7" t="s">
        <v>390</v>
      </c>
      <c r="E96" s="8" t="s">
        <v>391</v>
      </c>
      <c r="F96" s="6" t="s">
        <v>392</v>
      </c>
      <c r="G96" s="9">
        <f>IF(A96=1,"_",IF(C96="_","???",C96))</f>
        <v/>
      </c>
      <c r="H96" s="10" t="s">
        <v>12</v>
      </c>
      <c r="I96" s="11" t="s">
        <v>12</v>
      </c>
      <c r="J96" s="12"/>
    </row>
    <row r="97" spans="1:10" ht="60" customHeight="1">
      <c r="A97" s="6" t="s">
        <v>393</v>
      </c>
      <c r="B97" s="6" t="s">
        <v>16</v>
      </c>
      <c r="C97" s="6" t="s">
        <v>67</v>
      </c>
      <c r="D97" s="7" t="s">
        <v>394</v>
      </c>
      <c r="E97" s="8" t="s">
        <v>395</v>
      </c>
      <c r="F97" s="6" t="s">
        <v>396</v>
      </c>
      <c r="G97" s="9">
        <f>IF(A97=1,"_",IF(C97="_","???",C97))</f>
        <v/>
      </c>
      <c r="H97" s="10" t="s">
        <v>12</v>
      </c>
      <c r="I97" s="11" t="s">
        <v>12</v>
      </c>
      <c r="J97" s="12"/>
    </row>
    <row r="98" spans="1:10" ht="60" customHeight="1">
      <c r="A98" s="6" t="s">
        <v>397</v>
      </c>
      <c r="B98" s="6" t="s">
        <v>53</v>
      </c>
      <c r="C98" s="6" t="s">
        <v>253</v>
      </c>
      <c r="D98" s="7" t="s">
        <v>398</v>
      </c>
      <c r="E98" s="8" t="s">
        <v>399</v>
      </c>
      <c r="F98" s="6" t="s">
        <v>400</v>
      </c>
      <c r="G98" s="9">
        <f>IF(A98=1,"_",IF(C98="_","???",C98))</f>
        <v/>
      </c>
      <c r="H98" s="10" t="s">
        <v>12</v>
      </c>
      <c r="I98" s="11" t="s">
        <v>12</v>
      </c>
      <c r="J98" s="12"/>
    </row>
    <row r="99" spans="1:10" ht="60" customHeight="1">
      <c r="A99" s="6" t="s">
        <v>401</v>
      </c>
      <c r="B99" s="6" t="s">
        <v>16</v>
      </c>
      <c r="C99" s="6" t="s">
        <v>12</v>
      </c>
      <c r="D99" s="7" t="s">
        <v>328</v>
      </c>
      <c r="E99" s="8" t="s">
        <v>402</v>
      </c>
      <c r="F99" s="6" t="s">
        <v>403</v>
      </c>
      <c r="G99" s="9">
        <f>IF(A99=1,"_",IF(C99="_","???",C99))</f>
        <v/>
      </c>
      <c r="H99" s="10" t="s">
        <v>12</v>
      </c>
      <c r="I99" s="11" t="s">
        <v>12</v>
      </c>
      <c r="J99" s="12"/>
    </row>
    <row r="100" spans="1:10" ht="60" customHeight="1">
      <c r="A100" s="6" t="s">
        <v>404</v>
      </c>
      <c r="B100" s="6" t="s">
        <v>36</v>
      </c>
      <c r="C100" s="6" t="s">
        <v>27</v>
      </c>
      <c r="D100" s="7" t="s">
        <v>405</v>
      </c>
      <c r="E100" s="8" t="s">
        <v>406</v>
      </c>
      <c r="F100" s="6" t="s">
        <v>407</v>
      </c>
      <c r="G100" s="9">
        <f>IF(A100=1,"_",IF(C100="_","???",C100))</f>
        <v/>
      </c>
      <c r="H100" s="10" t="s">
        <v>12</v>
      </c>
      <c r="I100" s="11" t="s">
        <v>12</v>
      </c>
      <c r="J100" s="12"/>
    </row>
    <row r="101" spans="1:10" ht="60" customHeight="1">
      <c r="A101" s="6" t="s">
        <v>408</v>
      </c>
      <c r="B101" s="6" t="s">
        <v>17</v>
      </c>
      <c r="C101" s="6" t="s">
        <v>12</v>
      </c>
      <c r="D101" s="7" t="s">
        <v>18</v>
      </c>
      <c r="E101" s="8" t="s">
        <v>409</v>
      </c>
      <c r="F101" s="6" t="s">
        <v>410</v>
      </c>
      <c r="G101" s="9">
        <f>IF(A101=1,"_",IF(C101="_","???",C101))</f>
        <v/>
      </c>
      <c r="H101" s="10" t="s">
        <v>12</v>
      </c>
      <c r="I101" s="11" t="s">
        <v>12</v>
      </c>
      <c r="J101" s="12"/>
    </row>
    <row r="102" spans="1:10" ht="60" customHeight="1">
      <c r="A102" s="6" t="s">
        <v>411</v>
      </c>
      <c r="B102" s="6" t="s">
        <v>25</v>
      </c>
      <c r="C102" s="6" t="s">
        <v>412</v>
      </c>
      <c r="D102" s="7" t="s">
        <v>215</v>
      </c>
      <c r="E102" s="8" t="s">
        <v>413</v>
      </c>
      <c r="F102" s="6" t="s">
        <v>414</v>
      </c>
      <c r="G102" s="9">
        <f>IF(A102=1,"_",IF(C102="_","???",C102))</f>
        <v/>
      </c>
      <c r="H102" s="10" t="s">
        <v>12</v>
      </c>
      <c r="I102" s="11" t="s">
        <v>12</v>
      </c>
      <c r="J102" s="12"/>
    </row>
    <row r="103" spans="1:10" ht="60" customHeight="1">
      <c r="A103" s="6" t="s">
        <v>415</v>
      </c>
      <c r="B103" s="6" t="s">
        <v>26</v>
      </c>
      <c r="C103" s="6" t="s">
        <v>416</v>
      </c>
      <c r="D103" s="7" t="s">
        <v>417</v>
      </c>
      <c r="E103" s="8" t="s">
        <v>418</v>
      </c>
      <c r="F103" s="6" t="s">
        <v>419</v>
      </c>
      <c r="G103" s="9">
        <f>IF(A103=1,"_",IF(C103="_","???",C103))</f>
        <v/>
      </c>
      <c r="H103" s="10" t="s">
        <v>12</v>
      </c>
      <c r="I103" s="11" t="s">
        <v>12</v>
      </c>
      <c r="J103" s="12"/>
    </row>
    <row r="104" spans="1:10" ht="60" customHeight="1">
      <c r="A104" s="6" t="s">
        <v>420</v>
      </c>
      <c r="B104" s="6" t="s">
        <v>37</v>
      </c>
      <c r="C104" s="6" t="s">
        <v>12</v>
      </c>
      <c r="D104" s="7" t="s">
        <v>421</v>
      </c>
      <c r="E104" s="8" t="s">
        <v>422</v>
      </c>
      <c r="F104" s="6" t="s">
        <v>423</v>
      </c>
      <c r="G104" s="9">
        <f>IF(A104=1,"_",IF(C104="_","???",C104))</f>
        <v/>
      </c>
      <c r="H104" s="10" t="s">
        <v>12</v>
      </c>
      <c r="I104" s="11" t="s">
        <v>12</v>
      </c>
      <c r="J104" s="12"/>
    </row>
    <row r="105" spans="1:10" ht="60" customHeight="1">
      <c r="A105" s="6" t="s">
        <v>424</v>
      </c>
      <c r="B105" s="6" t="s">
        <v>16</v>
      </c>
      <c r="C105" s="6" t="s">
        <v>12</v>
      </c>
      <c r="D105" s="7" t="s">
        <v>229</v>
      </c>
      <c r="E105" s="8" t="s">
        <v>425</v>
      </c>
      <c r="F105" s="6" t="s">
        <v>426</v>
      </c>
      <c r="G105" s="9">
        <f>IF(A105=1,"_",IF(C105="_","???",C105))</f>
        <v/>
      </c>
      <c r="H105" s="10" t="s">
        <v>12</v>
      </c>
      <c r="I105" s="11" t="s">
        <v>12</v>
      </c>
      <c r="J105" s="12"/>
    </row>
    <row r="106" spans="1:10" ht="60" customHeight="1">
      <c r="A106" s="6" t="s">
        <v>427</v>
      </c>
      <c r="B106" s="6" t="s">
        <v>36</v>
      </c>
      <c r="C106" s="6" t="s">
        <v>219</v>
      </c>
      <c r="D106" s="7" t="s">
        <v>18</v>
      </c>
      <c r="E106" s="8" t="s">
        <v>428</v>
      </c>
      <c r="F106" s="6" t="s">
        <v>429</v>
      </c>
      <c r="G106" s="9">
        <f>IF(A106=1,"_",IF(C106="_","???",C106))</f>
        <v/>
      </c>
      <c r="H106" s="10" t="s">
        <v>12</v>
      </c>
      <c r="I106" s="11" t="s">
        <v>12</v>
      </c>
      <c r="J106" s="12"/>
    </row>
    <row r="107" spans="1:10" ht="60" customHeight="1">
      <c r="A107" s="6" t="s">
        <v>430</v>
      </c>
      <c r="B107" s="6" t="s">
        <v>79</v>
      </c>
      <c r="C107" s="6" t="s">
        <v>253</v>
      </c>
      <c r="D107" s="7" t="s">
        <v>154</v>
      </c>
      <c r="E107" s="8" t="s">
        <v>431</v>
      </c>
      <c r="F107" s="6" t="s">
        <v>432</v>
      </c>
      <c r="G107" s="9">
        <f>IF(A107=1,"_",IF(C107="_","???",C107))</f>
        <v/>
      </c>
      <c r="H107" s="10" t="s">
        <v>12</v>
      </c>
      <c r="I107" s="11" t="s">
        <v>12</v>
      </c>
      <c r="J107" s="12"/>
    </row>
    <row r="108" spans="1:10" ht="60" customHeight="1">
      <c r="A108" s="6" t="s">
        <v>433</v>
      </c>
      <c r="B108" s="6" t="s">
        <v>17</v>
      </c>
      <c r="C108" s="6" t="s">
        <v>27</v>
      </c>
      <c r="D108" s="7" t="s">
        <v>18</v>
      </c>
      <c r="E108" s="8" t="s">
        <v>434</v>
      </c>
      <c r="F108" s="6" t="s">
        <v>435</v>
      </c>
      <c r="G108" s="9">
        <f>IF(A108=1,"_",IF(C108="_","???",C108))</f>
        <v/>
      </c>
      <c r="H108" s="10" t="s">
        <v>12</v>
      </c>
      <c r="I108" s="11" t="s">
        <v>12</v>
      </c>
      <c r="J108" s="12"/>
    </row>
    <row r="109" spans="1:10" ht="60" customHeight="1">
      <c r="A109" s="6" t="s">
        <v>436</v>
      </c>
      <c r="B109" s="6" t="s">
        <v>25</v>
      </c>
      <c r="C109" s="6" t="s">
        <v>38</v>
      </c>
      <c r="D109" s="7" t="s">
        <v>437</v>
      </c>
      <c r="E109" s="8" t="s">
        <v>438</v>
      </c>
      <c r="F109" s="6" t="s">
        <v>439</v>
      </c>
      <c r="G109" s="9">
        <f>IF(A109=1,"_",IF(C109="_","???",C109))</f>
        <v/>
      </c>
      <c r="H109" s="10" t="s">
        <v>12</v>
      </c>
      <c r="I109" s="11" t="s">
        <v>12</v>
      </c>
      <c r="J109" s="12"/>
    </row>
    <row r="110" spans="1:10" ht="60" customHeight="1">
      <c r="A110" s="6" t="s">
        <v>440</v>
      </c>
      <c r="B110" s="6" t="s">
        <v>10</v>
      </c>
      <c r="C110" s="6" t="s">
        <v>12</v>
      </c>
      <c r="D110" s="7" t="s">
        <v>441</v>
      </c>
      <c r="E110" s="8" t="s">
        <v>442</v>
      </c>
      <c r="F110" s="6" t="s">
        <v>443</v>
      </c>
      <c r="G110" s="9">
        <f>IF(A110=1,"_",IF(C110="_","???",C110))</f>
        <v/>
      </c>
      <c r="H110" s="10" t="s">
        <v>12</v>
      </c>
      <c r="I110" s="11" t="s">
        <v>12</v>
      </c>
      <c r="J110" s="12"/>
    </row>
    <row r="111" spans="1:10" ht="60" customHeight="1">
      <c r="A111" s="6" t="s">
        <v>444</v>
      </c>
      <c r="B111" s="6" t="s">
        <v>17</v>
      </c>
      <c r="C111" s="6" t="s">
        <v>67</v>
      </c>
      <c r="D111" s="7" t="s">
        <v>445</v>
      </c>
      <c r="E111" s="8" t="s">
        <v>446</v>
      </c>
      <c r="F111" s="6" t="s">
        <v>447</v>
      </c>
      <c r="G111" s="9">
        <f>IF(A111=1,"_",IF(C111="_","???",C111))</f>
        <v/>
      </c>
      <c r="H111" s="10" t="s">
        <v>12</v>
      </c>
      <c r="I111" s="11" t="s">
        <v>12</v>
      </c>
      <c r="J111" s="12"/>
    </row>
    <row r="112" spans="1:10" ht="60" customHeight="1">
      <c r="A112" s="6" t="s">
        <v>448</v>
      </c>
      <c r="B112" s="6" t="s">
        <v>121</v>
      </c>
      <c r="C112" s="6" t="s">
        <v>219</v>
      </c>
      <c r="D112" s="7" t="s">
        <v>449</v>
      </c>
      <c r="E112" s="8" t="s">
        <v>450</v>
      </c>
      <c r="F112" s="6" t="s">
        <v>451</v>
      </c>
      <c r="G112" s="9">
        <f>IF(A112=1,"_",IF(C112="_","???",C112))</f>
        <v/>
      </c>
      <c r="H112" s="10" t="s">
        <v>12</v>
      </c>
      <c r="I112" s="11" t="s">
        <v>12</v>
      </c>
      <c r="J112" s="12"/>
    </row>
    <row r="113" spans="1:10" ht="60" customHeight="1">
      <c r="A113" s="6" t="s">
        <v>452</v>
      </c>
      <c r="B113" s="6" t="s">
        <v>66</v>
      </c>
      <c r="C113" s="6" t="s">
        <v>21</v>
      </c>
      <c r="D113" s="7" t="s">
        <v>453</v>
      </c>
      <c r="E113" s="8" t="s">
        <v>454</v>
      </c>
      <c r="F113" s="6" t="s">
        <v>455</v>
      </c>
      <c r="G113" s="9">
        <f>IF(A113=1,"_",IF(C113="_","???",C113))</f>
        <v/>
      </c>
      <c r="H113" s="10" t="s">
        <v>12</v>
      </c>
      <c r="I113" s="11" t="s">
        <v>12</v>
      </c>
      <c r="J113" s="12"/>
    </row>
    <row r="114" spans="1:10" ht="60" customHeight="1">
      <c r="A114" s="6" t="s">
        <v>456</v>
      </c>
      <c r="B114" s="6" t="s">
        <v>11</v>
      </c>
      <c r="C114" s="6" t="s">
        <v>67</v>
      </c>
      <c r="D114" s="7" t="s">
        <v>18</v>
      </c>
      <c r="E114" s="8" t="s">
        <v>457</v>
      </c>
      <c r="F114" s="6" t="s">
        <v>458</v>
      </c>
      <c r="G114" s="9">
        <f>IF(A114=1,"_",IF(C114="_","???",C114))</f>
        <v/>
      </c>
      <c r="H114" s="10" t="s">
        <v>12</v>
      </c>
      <c r="I114" s="11" t="s">
        <v>12</v>
      </c>
      <c r="J114" s="12"/>
    </row>
    <row r="115" spans="1:10" ht="60" customHeight="1">
      <c r="A115" s="6" t="s">
        <v>459</v>
      </c>
      <c r="B115" s="6" t="s">
        <v>36</v>
      </c>
      <c r="C115" s="6" t="s">
        <v>27</v>
      </c>
      <c r="D115" s="7" t="s">
        <v>145</v>
      </c>
      <c r="E115" s="8" t="s">
        <v>460</v>
      </c>
      <c r="F115" s="6" t="s">
        <v>461</v>
      </c>
      <c r="G115" s="9">
        <f>IF(A115=1,"_",IF(C115="_","???",C115))</f>
        <v/>
      </c>
      <c r="H115" s="10" t="s">
        <v>12</v>
      </c>
      <c r="I115" s="11" t="s">
        <v>12</v>
      </c>
      <c r="J115" s="12"/>
    </row>
    <row r="116" spans="1:10" ht="60" customHeight="1">
      <c r="A116" s="6" t="s">
        <v>462</v>
      </c>
      <c r="B116" s="6" t="s">
        <v>62</v>
      </c>
      <c r="C116" s="6" t="s">
        <v>12</v>
      </c>
      <c r="D116" s="7" t="s">
        <v>258</v>
      </c>
      <c r="E116" s="8" t="s">
        <v>463</v>
      </c>
      <c r="F116" s="6" t="s">
        <v>464</v>
      </c>
      <c r="G116" s="9">
        <f>IF(A116=1,"_",IF(C116="_","???",C116))</f>
        <v/>
      </c>
      <c r="H116" s="10" t="s">
        <v>12</v>
      </c>
      <c r="I116" s="11" t="s">
        <v>12</v>
      </c>
      <c r="J116" s="12"/>
    </row>
    <row r="117" spans="1:10" ht="60" customHeight="1">
      <c r="A117" s="6" t="s">
        <v>465</v>
      </c>
      <c r="B117" s="6" t="s">
        <v>16</v>
      </c>
      <c r="C117" s="6" t="s">
        <v>38</v>
      </c>
      <c r="D117" s="7" t="s">
        <v>220</v>
      </c>
      <c r="E117" s="8" t="s">
        <v>466</v>
      </c>
      <c r="F117" s="6" t="s">
        <v>467</v>
      </c>
      <c r="G117" s="9">
        <f>IF(A117=1,"_",IF(C117="_","???",C117))</f>
        <v/>
      </c>
      <c r="H117" s="10" t="s">
        <v>12</v>
      </c>
      <c r="I117" s="11" t="s">
        <v>12</v>
      </c>
      <c r="J117" s="12"/>
    </row>
    <row r="118" spans="1:10" ht="60" customHeight="1">
      <c r="A118" s="6" t="s">
        <v>468</v>
      </c>
      <c r="B118" s="6" t="s">
        <v>25</v>
      </c>
      <c r="C118" s="6" t="s">
        <v>224</v>
      </c>
      <c r="D118" s="7" t="s">
        <v>469</v>
      </c>
      <c r="E118" s="8" t="s">
        <v>470</v>
      </c>
      <c r="F118" s="6" t="s">
        <v>471</v>
      </c>
      <c r="G118" s="9">
        <f>IF(A118=1,"_",IF(C118="_","???",C118))</f>
        <v/>
      </c>
      <c r="H118" s="10" t="s">
        <v>12</v>
      </c>
      <c r="I118" s="11" t="s">
        <v>12</v>
      </c>
      <c r="J118" s="12"/>
    </row>
    <row r="119" spans="1:10" ht="60" customHeight="1">
      <c r="A119" s="6" t="s">
        <v>472</v>
      </c>
      <c r="B119" s="6" t="s">
        <v>16</v>
      </c>
      <c r="C119" s="6" t="s">
        <v>473</v>
      </c>
      <c r="D119" s="7" t="s">
        <v>474</v>
      </c>
      <c r="E119" s="8" t="s">
        <v>475</v>
      </c>
      <c r="F119" s="6" t="s">
        <v>476</v>
      </c>
      <c r="G119" s="9">
        <f>IF(A119=1,"_",IF(C119="_","???",C119))</f>
        <v/>
      </c>
      <c r="H119" s="10" t="s">
        <v>12</v>
      </c>
      <c r="I119" s="11" t="s">
        <v>12</v>
      </c>
      <c r="J119" s="12"/>
    </row>
    <row r="120" spans="1:10" ht="60" customHeight="1">
      <c r="A120" s="6" t="s">
        <v>477</v>
      </c>
      <c r="B120" s="6" t="s">
        <v>16</v>
      </c>
      <c r="C120" s="6" t="s">
        <v>12</v>
      </c>
      <c r="D120" s="7" t="s">
        <v>220</v>
      </c>
      <c r="E120" s="8" t="s">
        <v>478</v>
      </c>
      <c r="F120" s="6" t="s">
        <v>479</v>
      </c>
      <c r="G120" s="9">
        <f>IF(A120=1,"_",IF(C120="_","???",C120))</f>
        <v/>
      </c>
      <c r="H120" s="10" t="s">
        <v>12</v>
      </c>
      <c r="I120" s="11" t="s">
        <v>12</v>
      </c>
      <c r="J120" s="12"/>
    </row>
    <row r="121" spans="1:10" ht="60" customHeight="1">
      <c r="A121" s="6" t="s">
        <v>480</v>
      </c>
      <c r="B121" s="6" t="s">
        <v>11</v>
      </c>
      <c r="C121" s="6" t="s">
        <v>38</v>
      </c>
      <c r="D121" s="7" t="s">
        <v>18</v>
      </c>
      <c r="E121" s="8" t="s">
        <v>481</v>
      </c>
      <c r="F121" s="6" t="s">
        <v>482</v>
      </c>
      <c r="G121" s="9">
        <f>IF(A121=1,"_",IF(C121="_","???",C121))</f>
        <v/>
      </c>
      <c r="H121" s="10" t="s">
        <v>12</v>
      </c>
      <c r="I121" s="11" t="s">
        <v>12</v>
      </c>
      <c r="J121" s="12"/>
    </row>
    <row r="122" spans="1:10" ht="60" customHeight="1">
      <c r="A122" s="6" t="s">
        <v>483</v>
      </c>
      <c r="B122" s="6" t="s">
        <v>16</v>
      </c>
      <c r="C122" s="6" t="s">
        <v>12</v>
      </c>
      <c r="D122" s="7" t="s">
        <v>18</v>
      </c>
      <c r="E122" s="8" t="s">
        <v>484</v>
      </c>
      <c r="F122" s="6" t="s">
        <v>485</v>
      </c>
      <c r="G122" s="9">
        <f>IF(A122=1,"_",IF(C122="_","???",C122))</f>
        <v/>
      </c>
      <c r="H122" s="10" t="s">
        <v>12</v>
      </c>
      <c r="I122" s="11" t="s">
        <v>12</v>
      </c>
      <c r="J122" s="12"/>
    </row>
    <row r="123" spans="1:10" ht="60" customHeight="1">
      <c r="A123" s="6" t="s">
        <v>486</v>
      </c>
      <c r="B123" s="6" t="s">
        <v>25</v>
      </c>
      <c r="C123" s="6" t="s">
        <v>253</v>
      </c>
      <c r="D123" s="7" t="s">
        <v>487</v>
      </c>
      <c r="E123" s="8" t="s">
        <v>488</v>
      </c>
      <c r="F123" s="6" t="s">
        <v>489</v>
      </c>
      <c r="G123" s="9">
        <f>IF(A123=1,"_",IF(C123="_","???",C123))</f>
        <v/>
      </c>
      <c r="H123" s="10" t="s">
        <v>12</v>
      </c>
      <c r="I123" s="11" t="s">
        <v>12</v>
      </c>
      <c r="J123" s="12"/>
    </row>
    <row r="124" spans="1:10" ht="60" customHeight="1">
      <c r="A124" s="6" t="s">
        <v>490</v>
      </c>
      <c r="B124" s="6" t="s">
        <v>26</v>
      </c>
      <c r="C124" s="6" t="s">
        <v>491</v>
      </c>
      <c r="D124" s="7" t="s">
        <v>492</v>
      </c>
      <c r="E124" s="8" t="s">
        <v>493</v>
      </c>
      <c r="F124" s="6" t="s">
        <v>494</v>
      </c>
      <c r="G124" s="9">
        <f>IF(A124=1,"_",IF(C124="_","???",C124))</f>
        <v/>
      </c>
      <c r="H124" s="10" t="s">
        <v>12</v>
      </c>
      <c r="I124" s="11" t="s">
        <v>12</v>
      </c>
      <c r="J124" s="12"/>
    </row>
    <row r="125" spans="1:10" ht="60" customHeight="1">
      <c r="A125" s="6" t="s">
        <v>495</v>
      </c>
      <c r="B125" s="6" t="s">
        <v>16</v>
      </c>
      <c r="C125" s="6" t="s">
        <v>12</v>
      </c>
      <c r="D125" s="7" t="s">
        <v>496</v>
      </c>
      <c r="E125" s="8" t="s">
        <v>497</v>
      </c>
      <c r="F125" s="6" t="s">
        <v>498</v>
      </c>
      <c r="G125" s="9">
        <f>IF(A125=1,"_",IF(C125="_","???",C125))</f>
        <v/>
      </c>
      <c r="H125" s="10" t="s">
        <v>12</v>
      </c>
      <c r="I125" s="11" t="s">
        <v>12</v>
      </c>
      <c r="J125" s="12"/>
    </row>
    <row r="126" spans="1:10" ht="60" customHeight="1">
      <c r="A126" s="6" t="s">
        <v>499</v>
      </c>
      <c r="B126" s="6" t="s">
        <v>16</v>
      </c>
      <c r="C126" s="6" t="s">
        <v>12</v>
      </c>
      <c r="D126" s="7" t="s">
        <v>210</v>
      </c>
      <c r="E126" s="8" t="s">
        <v>500</v>
      </c>
      <c r="F126" s="6" t="s">
        <v>501</v>
      </c>
      <c r="G126" s="9">
        <f>IF(A126=1,"_",IF(C126="_","???",C126))</f>
        <v/>
      </c>
      <c r="H126" s="10" t="s">
        <v>12</v>
      </c>
      <c r="I126" s="11" t="s">
        <v>12</v>
      </c>
      <c r="J126" s="12"/>
    </row>
    <row r="127" spans="1:10" ht="60" customHeight="1">
      <c r="A127" s="6" t="s">
        <v>502</v>
      </c>
      <c r="B127" s="6" t="s">
        <v>16</v>
      </c>
      <c r="C127" s="6" t="s">
        <v>12</v>
      </c>
      <c r="D127" s="7" t="s">
        <v>210</v>
      </c>
      <c r="E127" s="8" t="s">
        <v>503</v>
      </c>
      <c r="F127" s="6" t="s">
        <v>504</v>
      </c>
      <c r="G127" s="9">
        <f>IF(A127=1,"_",IF(C127="_","???",C127))</f>
        <v/>
      </c>
      <c r="H127" s="10" t="s">
        <v>12</v>
      </c>
      <c r="I127" s="11" t="s">
        <v>12</v>
      </c>
      <c r="J127" s="12"/>
    </row>
    <row r="128" spans="1:10" ht="60" customHeight="1">
      <c r="A128" s="6" t="s">
        <v>505</v>
      </c>
      <c r="B128" s="6" t="s">
        <v>17</v>
      </c>
      <c r="C128" s="6" t="s">
        <v>38</v>
      </c>
      <c r="D128" s="7" t="s">
        <v>18</v>
      </c>
      <c r="E128" s="8" t="s">
        <v>506</v>
      </c>
      <c r="F128" s="6" t="s">
        <v>507</v>
      </c>
      <c r="G128" s="9">
        <f>IF(A128=1,"_",IF(C128="_","???",C128))</f>
        <v/>
      </c>
      <c r="H128" s="10" t="s">
        <v>12</v>
      </c>
      <c r="I128" s="11" t="s">
        <v>12</v>
      </c>
      <c r="J128" s="12"/>
    </row>
    <row r="129" spans="1:10" ht="60" customHeight="1">
      <c r="A129" s="6" t="s">
        <v>508</v>
      </c>
      <c r="B129" s="6" t="s">
        <v>75</v>
      </c>
      <c r="C129" s="6" t="s">
        <v>412</v>
      </c>
      <c r="D129" s="7" t="s">
        <v>84</v>
      </c>
      <c r="E129" s="8" t="s">
        <v>509</v>
      </c>
      <c r="F129" s="6" t="s">
        <v>510</v>
      </c>
      <c r="G129" s="9">
        <f>IF(A129=1,"_",IF(C129="_","???",C129))</f>
        <v/>
      </c>
      <c r="H129" s="10" t="s">
        <v>12</v>
      </c>
      <c r="I129" s="11" t="s">
        <v>12</v>
      </c>
      <c r="J129" s="12"/>
    </row>
    <row r="130" spans="1:10" ht="60" customHeight="1">
      <c r="A130" s="6" t="s">
        <v>511</v>
      </c>
      <c r="B130" s="6" t="s">
        <v>36</v>
      </c>
      <c r="C130" s="6" t="s">
        <v>12</v>
      </c>
      <c r="D130" s="7" t="s">
        <v>258</v>
      </c>
      <c r="E130" s="8" t="s">
        <v>512</v>
      </c>
      <c r="F130" s="6" t="s">
        <v>513</v>
      </c>
      <c r="G130" s="9">
        <f>IF(A130=1,"_",IF(C130="_","???",C130))</f>
        <v/>
      </c>
      <c r="H130" s="10" t="s">
        <v>12</v>
      </c>
      <c r="I130" s="11" t="s">
        <v>12</v>
      </c>
      <c r="J130" s="12"/>
    </row>
    <row r="131" spans="1:10" ht="60" customHeight="1">
      <c r="A131" s="6" t="s">
        <v>514</v>
      </c>
      <c r="B131" s="6" t="s">
        <v>16</v>
      </c>
      <c r="C131" s="6" t="s">
        <v>12</v>
      </c>
      <c r="D131" s="7" t="s">
        <v>515</v>
      </c>
      <c r="E131" s="8" t="s">
        <v>516</v>
      </c>
      <c r="F131" s="6" t="s">
        <v>517</v>
      </c>
      <c r="G131" s="9">
        <f>IF(A131=1,"_",IF(C131="_","???",C131))</f>
        <v/>
      </c>
      <c r="H131" s="10" t="s">
        <v>12</v>
      </c>
      <c r="I131" s="11" t="s">
        <v>12</v>
      </c>
      <c r="J131" s="12"/>
    </row>
    <row r="132" spans="1:10" ht="60" customHeight="1">
      <c r="A132" s="6" t="s">
        <v>518</v>
      </c>
      <c r="B132" s="6" t="s">
        <v>95</v>
      </c>
      <c r="C132" s="6" t="s">
        <v>224</v>
      </c>
      <c r="D132" s="7" t="s">
        <v>258</v>
      </c>
      <c r="E132" s="8" t="s">
        <v>519</v>
      </c>
      <c r="F132" s="6" t="s">
        <v>520</v>
      </c>
      <c r="G132" s="9">
        <f>IF(A132=1,"_",IF(C132="_","???",C132))</f>
        <v/>
      </c>
      <c r="H132" s="10" t="s">
        <v>12</v>
      </c>
      <c r="I132" s="11" t="s">
        <v>12</v>
      </c>
      <c r="J132" s="12"/>
    </row>
    <row r="133" spans="1:10" ht="60" customHeight="1">
      <c r="A133" s="6" t="s">
        <v>521</v>
      </c>
      <c r="B133" s="6" t="s">
        <v>95</v>
      </c>
      <c r="C133" s="6" t="s">
        <v>253</v>
      </c>
      <c r="D133" s="7" t="s">
        <v>18</v>
      </c>
      <c r="E133" s="8" t="s">
        <v>522</v>
      </c>
      <c r="F133" s="6" t="s">
        <v>523</v>
      </c>
      <c r="G133" s="9">
        <f>IF(A133=1,"_",IF(C133="_","???",C133))</f>
        <v/>
      </c>
      <c r="H133" s="10" t="s">
        <v>12</v>
      </c>
      <c r="I133" s="11" t="s">
        <v>12</v>
      </c>
      <c r="J133" s="12"/>
    </row>
    <row r="134" spans="1:10" ht="60" customHeight="1">
      <c r="A134" s="6" t="s">
        <v>524</v>
      </c>
      <c r="B134" s="6" t="s">
        <v>42</v>
      </c>
      <c r="C134" s="6" t="s">
        <v>332</v>
      </c>
      <c r="D134" s="7" t="s">
        <v>337</v>
      </c>
      <c r="E134" s="8" t="s">
        <v>525</v>
      </c>
      <c r="F134" s="6" t="s">
        <v>526</v>
      </c>
      <c r="G134" s="9">
        <f>IF(A134=1,"_",IF(C134="_","???",C134))</f>
        <v/>
      </c>
      <c r="H134" s="10" t="s">
        <v>12</v>
      </c>
      <c r="I134" s="11" t="s">
        <v>12</v>
      </c>
      <c r="J134" s="12"/>
    </row>
    <row r="135" spans="1:10" ht="60" customHeight="1">
      <c r="A135" s="6" t="s">
        <v>527</v>
      </c>
      <c r="B135" s="6" t="s">
        <v>57</v>
      </c>
      <c r="C135" s="6" t="s">
        <v>67</v>
      </c>
      <c r="D135" s="7" t="s">
        <v>258</v>
      </c>
      <c r="E135" s="8" t="s">
        <v>528</v>
      </c>
      <c r="F135" s="6" t="s">
        <v>529</v>
      </c>
      <c r="G135" s="9">
        <f>IF(A135=1,"_",IF(C135="_","???",C135))</f>
        <v/>
      </c>
      <c r="H135" s="10" t="s">
        <v>12</v>
      </c>
      <c r="I135" s="11" t="s">
        <v>12</v>
      </c>
      <c r="J135" s="12"/>
    </row>
    <row r="136" spans="1:10" ht="60" customHeight="1">
      <c r="A136" s="6" t="s">
        <v>530</v>
      </c>
      <c r="B136" s="6" t="s">
        <v>26</v>
      </c>
      <c r="C136" s="6" t="s">
        <v>129</v>
      </c>
      <c r="D136" s="7" t="s">
        <v>531</v>
      </c>
      <c r="E136" s="8" t="s">
        <v>532</v>
      </c>
      <c r="F136" s="6" t="s">
        <v>533</v>
      </c>
      <c r="G136" s="9">
        <f>IF(A136=1,"_",IF(C136="_","???",C136))</f>
        <v/>
      </c>
      <c r="H136" s="10" t="s">
        <v>12</v>
      </c>
      <c r="I136" s="11" t="s">
        <v>12</v>
      </c>
      <c r="J136" s="12"/>
    </row>
    <row r="137" spans="1:10" ht="60" customHeight="1">
      <c r="A137" s="6" t="s">
        <v>534</v>
      </c>
      <c r="B137" s="6" t="s">
        <v>17</v>
      </c>
      <c r="C137" s="6" t="s">
        <v>535</v>
      </c>
      <c r="D137" s="7" t="s">
        <v>536</v>
      </c>
      <c r="E137" s="8" t="s">
        <v>537</v>
      </c>
      <c r="F137" s="6" t="s">
        <v>538</v>
      </c>
      <c r="G137" s="9">
        <f>IF(A137=1,"_",IF(C137="_","???",C137))</f>
        <v/>
      </c>
      <c r="H137" s="10" t="s">
        <v>12</v>
      </c>
      <c r="I137" s="11" t="s">
        <v>12</v>
      </c>
      <c r="J137" s="12"/>
    </row>
    <row r="138" spans="1:10" ht="60" customHeight="1">
      <c r="A138" s="6" t="s">
        <v>539</v>
      </c>
      <c r="B138" s="6" t="s">
        <v>16</v>
      </c>
      <c r="C138" s="6" t="s">
        <v>12</v>
      </c>
      <c r="D138" s="7" t="s">
        <v>540</v>
      </c>
      <c r="E138" s="8" t="s">
        <v>541</v>
      </c>
      <c r="F138" s="6" t="s">
        <v>542</v>
      </c>
      <c r="G138" s="9">
        <f>IF(A138=1,"_",IF(C138="_","???",C138))</f>
        <v/>
      </c>
      <c r="H138" s="10" t="s">
        <v>12</v>
      </c>
      <c r="I138" s="11" t="s">
        <v>12</v>
      </c>
      <c r="J138" s="12"/>
    </row>
    <row r="139" spans="1:10" ht="60" customHeight="1">
      <c r="A139" s="6" t="s">
        <v>543</v>
      </c>
      <c r="B139" s="6" t="s">
        <v>57</v>
      </c>
      <c r="C139" s="6" t="s">
        <v>308</v>
      </c>
      <c r="D139" s="7" t="s">
        <v>544</v>
      </c>
      <c r="E139" s="8" t="s">
        <v>545</v>
      </c>
      <c r="F139" s="6" t="s">
        <v>546</v>
      </c>
      <c r="G139" s="9">
        <f>IF(A139=1,"_",IF(C139="_","???",C139))</f>
        <v/>
      </c>
      <c r="H139" s="10" t="s">
        <v>12</v>
      </c>
      <c r="I139" s="11" t="s">
        <v>12</v>
      </c>
      <c r="J139" s="12"/>
    </row>
    <row r="140" spans="1:10" ht="60" customHeight="1">
      <c r="A140" s="6" t="s">
        <v>547</v>
      </c>
      <c r="B140" s="6" t="s">
        <v>17</v>
      </c>
      <c r="C140" s="6" t="s">
        <v>21</v>
      </c>
      <c r="D140" s="7" t="s">
        <v>18</v>
      </c>
      <c r="E140" s="8" t="s">
        <v>548</v>
      </c>
      <c r="F140" s="6" t="s">
        <v>549</v>
      </c>
      <c r="G140" s="9">
        <f>IF(A140=1,"_",IF(C140="_","???",C140))</f>
        <v/>
      </c>
      <c r="H140" s="10" t="s">
        <v>12</v>
      </c>
      <c r="I140" s="11" t="s">
        <v>12</v>
      </c>
      <c r="J140" s="12"/>
    </row>
    <row r="141" spans="1:10" ht="60" customHeight="1">
      <c r="A141" s="6" t="s">
        <v>550</v>
      </c>
      <c r="B141" s="6" t="s">
        <v>25</v>
      </c>
      <c r="C141" s="6" t="s">
        <v>38</v>
      </c>
      <c r="D141" s="7" t="s">
        <v>551</v>
      </c>
      <c r="E141" s="8" t="s">
        <v>552</v>
      </c>
      <c r="F141" s="6" t="s">
        <v>553</v>
      </c>
      <c r="G141" s="9">
        <f>IF(A141=1,"_",IF(C141="_","???",C141))</f>
        <v/>
      </c>
      <c r="H141" s="10" t="s">
        <v>12</v>
      </c>
      <c r="I141" s="11" t="s">
        <v>12</v>
      </c>
      <c r="J141" s="12"/>
    </row>
    <row r="142" spans="1:10" ht="60" customHeight="1">
      <c r="A142" s="6" t="s">
        <v>554</v>
      </c>
      <c r="B142" s="6" t="s">
        <v>37</v>
      </c>
      <c r="C142" s="6" t="s">
        <v>555</v>
      </c>
      <c r="D142" s="7" t="s">
        <v>556</v>
      </c>
      <c r="E142" s="8" t="s">
        <v>557</v>
      </c>
      <c r="F142" s="6" t="s">
        <v>558</v>
      </c>
      <c r="G142" s="9">
        <f>IF(A142=1,"_",IF(C142="_","???",C142))</f>
        <v/>
      </c>
      <c r="H142" s="10" t="s">
        <v>12</v>
      </c>
      <c r="I142" s="11" t="s">
        <v>12</v>
      </c>
      <c r="J142" s="12"/>
    </row>
    <row r="143" spans="1:10" ht="60" customHeight="1">
      <c r="A143" s="6" t="s">
        <v>559</v>
      </c>
      <c r="B143" s="6" t="s">
        <v>17</v>
      </c>
      <c r="C143" s="6" t="s">
        <v>67</v>
      </c>
      <c r="D143" s="7" t="s">
        <v>337</v>
      </c>
      <c r="E143" s="8" t="s">
        <v>560</v>
      </c>
      <c r="F143" s="6" t="s">
        <v>561</v>
      </c>
      <c r="G143" s="9">
        <f>IF(A143=1,"_",IF(C143="_","???",C143))</f>
        <v/>
      </c>
      <c r="H143" s="10" t="s">
        <v>12</v>
      </c>
      <c r="I143" s="11" t="s">
        <v>12</v>
      </c>
      <c r="J143" s="12"/>
    </row>
    <row r="144" spans="1:10" ht="60" customHeight="1">
      <c r="A144" s="6" t="s">
        <v>562</v>
      </c>
      <c r="B144" s="6" t="s">
        <v>16</v>
      </c>
      <c r="C144" s="6" t="s">
        <v>12</v>
      </c>
      <c r="D144" s="7" t="s">
        <v>563</v>
      </c>
      <c r="E144" s="8" t="s">
        <v>564</v>
      </c>
      <c r="F144" s="6" t="s">
        <v>565</v>
      </c>
      <c r="G144" s="9">
        <f>IF(A144=1,"_",IF(C144="_","???",C144))</f>
        <v/>
      </c>
      <c r="H144" s="10" t="s">
        <v>12</v>
      </c>
      <c r="I144" s="11" t="s">
        <v>12</v>
      </c>
      <c r="J144" s="12"/>
    </row>
    <row r="145" spans="1:10" ht="60" customHeight="1">
      <c r="A145" s="6" t="s">
        <v>566</v>
      </c>
      <c r="B145" s="6" t="s">
        <v>16</v>
      </c>
      <c r="C145" s="6" t="s">
        <v>12</v>
      </c>
      <c r="D145" s="7" t="s">
        <v>567</v>
      </c>
      <c r="E145" s="8" t="s">
        <v>568</v>
      </c>
      <c r="F145" s="6" t="s">
        <v>569</v>
      </c>
      <c r="G145" s="9">
        <f>IF(A145=1,"_",IF(C145="_","???",C145))</f>
        <v/>
      </c>
      <c r="H145" s="10" t="s">
        <v>12</v>
      </c>
      <c r="I145" s="11" t="s">
        <v>12</v>
      </c>
      <c r="J145" s="12"/>
    </row>
    <row r="146" spans="1:10" ht="60" customHeight="1">
      <c r="A146" s="6" t="s">
        <v>570</v>
      </c>
      <c r="B146" s="6" t="s">
        <v>10</v>
      </c>
      <c r="C146" s="6" t="s">
        <v>12</v>
      </c>
      <c r="D146" s="7" t="s">
        <v>571</v>
      </c>
      <c r="E146" s="8" t="s">
        <v>572</v>
      </c>
      <c r="F146" s="6" t="s">
        <v>573</v>
      </c>
      <c r="G146" s="9">
        <f>IF(A146=1,"_",IF(C146="_","???",C146))</f>
        <v/>
      </c>
      <c r="H146" s="10" t="s">
        <v>12</v>
      </c>
      <c r="I146" s="11" t="s">
        <v>12</v>
      </c>
      <c r="J146" s="12"/>
    </row>
    <row r="147" spans="1:10" ht="60" customHeight="1">
      <c r="A147" s="6" t="s">
        <v>574</v>
      </c>
      <c r="B147" s="6" t="s">
        <v>16</v>
      </c>
      <c r="C147" s="6" t="s">
        <v>27</v>
      </c>
      <c r="D147" s="7" t="s">
        <v>18</v>
      </c>
      <c r="E147" s="8" t="s">
        <v>575</v>
      </c>
      <c r="F147" s="6" t="s">
        <v>576</v>
      </c>
      <c r="G147" s="9">
        <f>IF(A147=1,"_",IF(C147="_","???",C147))</f>
        <v/>
      </c>
      <c r="H147" s="10" t="s">
        <v>12</v>
      </c>
      <c r="I147" s="11" t="s">
        <v>12</v>
      </c>
      <c r="J147" s="12"/>
    </row>
    <row r="148" spans="1:10" ht="60" customHeight="1">
      <c r="A148" s="6" t="s">
        <v>577</v>
      </c>
      <c r="B148" s="6" t="s">
        <v>10</v>
      </c>
      <c r="C148" s="6" t="s">
        <v>12</v>
      </c>
      <c r="D148" s="7" t="s">
        <v>571</v>
      </c>
      <c r="E148" s="8" t="s">
        <v>578</v>
      </c>
      <c r="F148" s="6" t="s">
        <v>579</v>
      </c>
      <c r="G148" s="9">
        <f>IF(A148=1,"_",IF(C148="_","???",C148))</f>
        <v/>
      </c>
      <c r="H148" s="10" t="s">
        <v>12</v>
      </c>
      <c r="I148" s="11" t="s">
        <v>12</v>
      </c>
      <c r="J148" s="12"/>
    </row>
    <row r="149" spans="1:10" ht="60" customHeight="1">
      <c r="A149" s="6" t="s">
        <v>580</v>
      </c>
      <c r="B149" s="6" t="s">
        <v>46</v>
      </c>
      <c r="C149" s="6" t="s">
        <v>27</v>
      </c>
      <c r="D149" s="7" t="s">
        <v>13</v>
      </c>
      <c r="E149" s="8" t="s">
        <v>581</v>
      </c>
      <c r="F149" s="6" t="s">
        <v>582</v>
      </c>
      <c r="G149" s="9">
        <f>IF(A149=1,"_",IF(C149="_","???",C149))</f>
        <v/>
      </c>
      <c r="H149" s="10" t="s">
        <v>12</v>
      </c>
      <c r="I149" s="11" t="s">
        <v>12</v>
      </c>
      <c r="J149" s="12"/>
    </row>
    <row r="150" spans="1:10" ht="60" customHeight="1">
      <c r="A150" s="6" t="s">
        <v>583</v>
      </c>
      <c r="B150" s="6" t="s">
        <v>10</v>
      </c>
      <c r="C150" s="6" t="s">
        <v>584</v>
      </c>
      <c r="D150" s="7" t="s">
        <v>220</v>
      </c>
      <c r="E150" s="8" t="s">
        <v>585</v>
      </c>
      <c r="F150" s="6" t="s">
        <v>586</v>
      </c>
      <c r="G150" s="9">
        <f>IF(A150=1,"_",IF(C150="_","???",C150))</f>
        <v/>
      </c>
      <c r="H150" s="10" t="s">
        <v>12</v>
      </c>
      <c r="I150" s="11" t="s">
        <v>12</v>
      </c>
      <c r="J150" s="12"/>
    </row>
    <row r="151" spans="1:10" ht="60" customHeight="1">
      <c r="A151" s="6" t="s">
        <v>587</v>
      </c>
      <c r="B151" s="6" t="s">
        <v>10</v>
      </c>
      <c r="C151" s="6" t="s">
        <v>12</v>
      </c>
      <c r="D151" s="7" t="s">
        <v>588</v>
      </c>
      <c r="E151" s="8" t="s">
        <v>589</v>
      </c>
      <c r="F151" s="6" t="s">
        <v>590</v>
      </c>
      <c r="G151" s="9">
        <f>IF(A151=1,"_",IF(C151="_","???",C151))</f>
        <v/>
      </c>
      <c r="H151" s="10" t="s">
        <v>12</v>
      </c>
      <c r="I151" s="11" t="s">
        <v>12</v>
      </c>
      <c r="J151" s="12"/>
    </row>
    <row r="152" spans="1:10" ht="60" customHeight="1">
      <c r="A152" s="6" t="s">
        <v>591</v>
      </c>
      <c r="B152" s="6" t="s">
        <v>71</v>
      </c>
      <c r="C152" s="6" t="s">
        <v>592</v>
      </c>
      <c r="D152" s="7" t="s">
        <v>593</v>
      </c>
      <c r="E152" s="8" t="s">
        <v>594</v>
      </c>
      <c r="F152" s="6" t="s">
        <v>595</v>
      </c>
      <c r="G152" s="9">
        <f>IF(A152=1,"_",IF(C152="_","???",C152))</f>
        <v/>
      </c>
      <c r="H152" s="10" t="s">
        <v>12</v>
      </c>
      <c r="I152" s="11" t="s">
        <v>12</v>
      </c>
      <c r="J152" s="12"/>
    </row>
    <row r="153" spans="1:10" ht="60" customHeight="1">
      <c r="A153" s="6" t="s">
        <v>596</v>
      </c>
      <c r="B153" s="6" t="s">
        <v>17</v>
      </c>
      <c r="C153" s="6" t="s">
        <v>597</v>
      </c>
      <c r="D153" s="7" t="s">
        <v>598</v>
      </c>
      <c r="E153" s="8" t="s">
        <v>599</v>
      </c>
      <c r="F153" s="6" t="s">
        <v>600</v>
      </c>
      <c r="G153" s="9">
        <f>IF(A153=1,"_",IF(C153="_","???",C153))</f>
        <v/>
      </c>
      <c r="H153" s="10" t="s">
        <v>12</v>
      </c>
      <c r="I153" s="11" t="s">
        <v>12</v>
      </c>
      <c r="J153" s="12"/>
    </row>
    <row r="154" spans="1:10" ht="60" customHeight="1">
      <c r="A154" s="6" t="s">
        <v>601</v>
      </c>
      <c r="B154" s="6" t="s">
        <v>36</v>
      </c>
      <c r="C154" s="6" t="s">
        <v>332</v>
      </c>
      <c r="D154" s="7" t="s">
        <v>602</v>
      </c>
      <c r="E154" s="8" t="s">
        <v>603</v>
      </c>
      <c r="F154" s="6" t="s">
        <v>604</v>
      </c>
      <c r="G154" s="9">
        <f>IF(A154=1,"_",IF(C154="_","???",C154))</f>
        <v/>
      </c>
      <c r="H154" s="10" t="s">
        <v>12</v>
      </c>
      <c r="I154" s="11" t="s">
        <v>12</v>
      </c>
      <c r="J154" s="12"/>
    </row>
    <row r="155" spans="1:10" ht="60" customHeight="1">
      <c r="A155" s="6" t="s">
        <v>605</v>
      </c>
      <c r="B155" s="6" t="s">
        <v>25</v>
      </c>
      <c r="C155" s="6" t="s">
        <v>224</v>
      </c>
      <c r="D155" s="7" t="s">
        <v>606</v>
      </c>
      <c r="E155" s="8" t="s">
        <v>607</v>
      </c>
      <c r="F155" s="6" t="s">
        <v>608</v>
      </c>
      <c r="G155" s="9">
        <f>IF(A155=1,"_",IF(C155="_","???",C155))</f>
        <v/>
      </c>
      <c r="H155" s="10" t="s">
        <v>12</v>
      </c>
      <c r="I155" s="11" t="s">
        <v>12</v>
      </c>
      <c r="J155" s="12"/>
    </row>
    <row r="156" spans="1:10" ht="60" customHeight="1">
      <c r="A156" s="6" t="s">
        <v>609</v>
      </c>
      <c r="B156" s="6" t="s">
        <v>36</v>
      </c>
      <c r="C156" s="6" t="s">
        <v>12</v>
      </c>
      <c r="D156" s="7" t="s">
        <v>610</v>
      </c>
      <c r="E156" s="8" t="s">
        <v>611</v>
      </c>
      <c r="F156" s="6" t="s">
        <v>612</v>
      </c>
      <c r="G156" s="9">
        <f>IF(A156=1,"_",IF(C156="_","???",C156))</f>
        <v/>
      </c>
      <c r="H156" s="10" t="s">
        <v>12</v>
      </c>
      <c r="I156" s="11" t="s">
        <v>12</v>
      </c>
      <c r="J156" s="12"/>
    </row>
    <row r="157" spans="1:10" ht="60" customHeight="1">
      <c r="A157" s="6" t="s">
        <v>613</v>
      </c>
      <c r="B157" s="6" t="s">
        <v>16</v>
      </c>
      <c r="C157" s="6" t="s">
        <v>12</v>
      </c>
      <c r="D157" s="7" t="s">
        <v>610</v>
      </c>
      <c r="E157" s="8" t="s">
        <v>614</v>
      </c>
      <c r="F157" s="6" t="s">
        <v>615</v>
      </c>
      <c r="G157" s="9">
        <f>IF(A157=1,"_",IF(C157="_","???",C157))</f>
        <v/>
      </c>
      <c r="H157" s="10" t="s">
        <v>12</v>
      </c>
      <c r="I157" s="11" t="s">
        <v>12</v>
      </c>
      <c r="J157" s="12"/>
    </row>
    <row r="158" spans="1:10" ht="60" customHeight="1">
      <c r="A158" s="6" t="s">
        <v>616</v>
      </c>
      <c r="B158" s="6" t="s">
        <v>75</v>
      </c>
      <c r="C158" s="6" t="s">
        <v>224</v>
      </c>
      <c r="D158" s="7" t="s">
        <v>617</v>
      </c>
      <c r="E158" s="8" t="s">
        <v>618</v>
      </c>
      <c r="F158" s="6" t="s">
        <v>619</v>
      </c>
      <c r="G158" s="9">
        <f>IF(A158=1,"_",IF(C158="_","???",C158))</f>
        <v/>
      </c>
      <c r="H158" s="10" t="s">
        <v>12</v>
      </c>
      <c r="I158" s="11" t="s">
        <v>12</v>
      </c>
      <c r="J158" s="12"/>
    </row>
    <row r="159" spans="1:10" ht="60" customHeight="1">
      <c r="A159" s="6" t="s">
        <v>620</v>
      </c>
      <c r="B159" s="6" t="s">
        <v>17</v>
      </c>
      <c r="C159" s="6" t="s">
        <v>224</v>
      </c>
      <c r="D159" s="7" t="s">
        <v>621</v>
      </c>
      <c r="E159" s="8" t="s">
        <v>622</v>
      </c>
      <c r="F159" s="6" t="s">
        <v>623</v>
      </c>
      <c r="G159" s="9">
        <f>IF(A159=1,"_",IF(C159="_","???",C159))</f>
        <v/>
      </c>
      <c r="H159" s="10" t="s">
        <v>12</v>
      </c>
      <c r="I159" s="11" t="s">
        <v>12</v>
      </c>
      <c r="J159" s="12"/>
    </row>
    <row r="160" spans="1:10" ht="60" customHeight="1">
      <c r="A160" s="6" t="s">
        <v>624</v>
      </c>
      <c r="B160" s="6" t="s">
        <v>57</v>
      </c>
      <c r="C160" s="6" t="s">
        <v>12</v>
      </c>
      <c r="D160" s="7" t="s">
        <v>625</v>
      </c>
      <c r="E160" s="8" t="s">
        <v>626</v>
      </c>
      <c r="F160" s="6" t="s">
        <v>627</v>
      </c>
      <c r="G160" s="9">
        <f>IF(A160=1,"_",IF(C160="_","???",C160))</f>
        <v/>
      </c>
      <c r="H160" s="10" t="s">
        <v>12</v>
      </c>
      <c r="I160" s="11" t="s">
        <v>12</v>
      </c>
      <c r="J160" s="12"/>
    </row>
    <row r="161" spans="1:10" ht="60" customHeight="1">
      <c r="A161" s="6" t="s">
        <v>628</v>
      </c>
      <c r="B161" s="6" t="s">
        <v>57</v>
      </c>
      <c r="C161" s="6" t="s">
        <v>253</v>
      </c>
      <c r="D161" s="7" t="s">
        <v>18</v>
      </c>
      <c r="E161" s="8" t="s">
        <v>629</v>
      </c>
      <c r="F161" s="6" t="s">
        <v>630</v>
      </c>
      <c r="G161" s="9">
        <f>IF(A161=1,"_",IF(C161="_","???",C161))</f>
        <v/>
      </c>
      <c r="H161" s="10" t="s">
        <v>12</v>
      </c>
      <c r="I161" s="11" t="s">
        <v>12</v>
      </c>
      <c r="J161" s="12"/>
    </row>
    <row r="162" spans="1:10" ht="60" customHeight="1">
      <c r="A162" s="6" t="s">
        <v>631</v>
      </c>
      <c r="B162" s="6" t="s">
        <v>16</v>
      </c>
      <c r="C162" s="6" t="s">
        <v>12</v>
      </c>
      <c r="D162" s="7" t="s">
        <v>18</v>
      </c>
      <c r="E162" s="8" t="s">
        <v>632</v>
      </c>
      <c r="F162" s="6" t="s">
        <v>633</v>
      </c>
      <c r="G162" s="9">
        <f>IF(A162=1,"_",IF(C162="_","???",C162))</f>
        <v/>
      </c>
      <c r="H162" s="10" t="s">
        <v>12</v>
      </c>
      <c r="I162" s="11" t="s">
        <v>12</v>
      </c>
      <c r="J162" s="12"/>
    </row>
    <row r="163" spans="1:10" ht="60" customHeight="1">
      <c r="A163" s="6" t="s">
        <v>634</v>
      </c>
      <c r="B163" s="6" t="s">
        <v>10</v>
      </c>
      <c r="C163" s="6" t="s">
        <v>12</v>
      </c>
      <c r="D163" s="7" t="s">
        <v>635</v>
      </c>
      <c r="E163" s="8" t="s">
        <v>636</v>
      </c>
      <c r="F163" s="6" t="s">
        <v>637</v>
      </c>
      <c r="G163" s="9">
        <f>IF(A163=1,"_",IF(C163="_","???",C163))</f>
        <v/>
      </c>
      <c r="H163" s="10" t="s">
        <v>12</v>
      </c>
      <c r="I163" s="11" t="s">
        <v>12</v>
      </c>
      <c r="J163" s="12"/>
    </row>
    <row r="164" spans="1:10" ht="60" customHeight="1">
      <c r="A164" s="6" t="s">
        <v>638</v>
      </c>
      <c r="B164" s="6" t="s">
        <v>17</v>
      </c>
      <c r="C164" s="6" t="s">
        <v>38</v>
      </c>
      <c r="D164" s="7" t="s">
        <v>639</v>
      </c>
      <c r="E164" s="8" t="s">
        <v>640</v>
      </c>
      <c r="F164" s="6" t="s">
        <v>641</v>
      </c>
      <c r="G164" s="9">
        <f>IF(A164=1,"_",IF(C164="_","???",C164))</f>
        <v/>
      </c>
      <c r="H164" s="10" t="s">
        <v>12</v>
      </c>
      <c r="I164" s="11" t="s">
        <v>12</v>
      </c>
      <c r="J164" s="12"/>
    </row>
    <row r="165" spans="1:10" ht="60" customHeight="1">
      <c r="A165" s="6" t="s">
        <v>642</v>
      </c>
      <c r="B165" s="6" t="s">
        <v>17</v>
      </c>
      <c r="C165" s="6" t="s">
        <v>555</v>
      </c>
      <c r="D165" s="7" t="s">
        <v>643</v>
      </c>
      <c r="E165" s="8" t="s">
        <v>644</v>
      </c>
      <c r="F165" s="6" t="s">
        <v>645</v>
      </c>
      <c r="G165" s="9">
        <f>IF(A165=1,"_",IF(C165="_","???",C165))</f>
        <v/>
      </c>
      <c r="H165" s="10" t="s">
        <v>12</v>
      </c>
      <c r="I165" s="11" t="s">
        <v>12</v>
      </c>
      <c r="J165" s="12"/>
    </row>
    <row r="166" spans="1:10" ht="60" customHeight="1">
      <c r="A166" s="6" t="s">
        <v>646</v>
      </c>
      <c r="B166" s="6" t="s">
        <v>16</v>
      </c>
      <c r="C166" s="6" t="s">
        <v>12</v>
      </c>
      <c r="D166" s="7" t="s">
        <v>84</v>
      </c>
      <c r="E166" s="8" t="s">
        <v>647</v>
      </c>
      <c r="F166" s="6" t="s">
        <v>648</v>
      </c>
      <c r="G166" s="9">
        <f>IF(A166=1,"_",IF(C166="_","???",C166))</f>
        <v/>
      </c>
      <c r="H166" s="10" t="s">
        <v>12</v>
      </c>
      <c r="I166" s="11" t="s">
        <v>12</v>
      </c>
      <c r="J166" s="12"/>
    </row>
    <row r="167" spans="1:10" ht="60" customHeight="1">
      <c r="A167" s="6" t="s">
        <v>649</v>
      </c>
      <c r="B167" s="6" t="s">
        <v>16</v>
      </c>
      <c r="C167" s="6" t="s">
        <v>12</v>
      </c>
      <c r="D167" s="7" t="s">
        <v>650</v>
      </c>
      <c r="E167" s="8" t="s">
        <v>651</v>
      </c>
      <c r="F167" s="6" t="s">
        <v>652</v>
      </c>
      <c r="G167" s="9">
        <f>IF(A167=1,"_",IF(C167="_","???",C167))</f>
        <v/>
      </c>
      <c r="H167" s="10" t="s">
        <v>12</v>
      </c>
      <c r="I167" s="11" t="s">
        <v>12</v>
      </c>
      <c r="J167" s="12"/>
    </row>
    <row r="168" spans="1:10" ht="60" customHeight="1">
      <c r="A168" s="6" t="s">
        <v>653</v>
      </c>
      <c r="B168" s="6" t="s">
        <v>11</v>
      </c>
      <c r="C168" s="6" t="s">
        <v>253</v>
      </c>
      <c r="D168" s="7" t="s">
        <v>220</v>
      </c>
      <c r="E168" s="8" t="s">
        <v>654</v>
      </c>
      <c r="F168" s="6" t="s">
        <v>655</v>
      </c>
      <c r="G168" s="9">
        <f>IF(A168=1,"_",IF(C168="_","???",C168))</f>
        <v/>
      </c>
      <c r="H168" s="10" t="s">
        <v>12</v>
      </c>
      <c r="I168" s="11" t="s">
        <v>12</v>
      </c>
      <c r="J168" s="12"/>
    </row>
    <row r="169" spans="1:10" ht="60" customHeight="1">
      <c r="A169" s="6" t="s">
        <v>656</v>
      </c>
      <c r="B169" s="6" t="s">
        <v>16</v>
      </c>
      <c r="C169" s="6" t="s">
        <v>12</v>
      </c>
      <c r="D169" s="7" t="s">
        <v>84</v>
      </c>
      <c r="E169" s="8" t="s">
        <v>657</v>
      </c>
      <c r="F169" s="6" t="s">
        <v>658</v>
      </c>
      <c r="G169" s="9">
        <f>IF(A169=1,"_",IF(C169="_","???",C169))</f>
        <v/>
      </c>
      <c r="H169" s="10" t="s">
        <v>12</v>
      </c>
      <c r="I169" s="11" t="s">
        <v>12</v>
      </c>
      <c r="J169" s="12"/>
    </row>
    <row r="170" spans="1:10" ht="60" customHeight="1">
      <c r="A170" s="6" t="s">
        <v>659</v>
      </c>
      <c r="B170" s="6" t="s">
        <v>16</v>
      </c>
      <c r="C170" s="6" t="s">
        <v>12</v>
      </c>
      <c r="D170" s="7" t="s">
        <v>660</v>
      </c>
      <c r="E170" s="8" t="s">
        <v>661</v>
      </c>
      <c r="F170" s="6" t="s">
        <v>662</v>
      </c>
      <c r="G170" s="9">
        <f>IF(A170=1,"_",IF(C170="_","???",C170))</f>
        <v/>
      </c>
      <c r="H170" s="10" t="s">
        <v>12</v>
      </c>
      <c r="I170" s="11" t="s">
        <v>12</v>
      </c>
      <c r="J170" s="12"/>
    </row>
    <row r="171" spans="1:10" ht="60" customHeight="1">
      <c r="A171" s="6" t="s">
        <v>663</v>
      </c>
      <c r="B171" s="6" t="s">
        <v>10</v>
      </c>
      <c r="C171" s="6" t="s">
        <v>12</v>
      </c>
      <c r="D171" s="7" t="s">
        <v>664</v>
      </c>
      <c r="E171" s="8" t="s">
        <v>664</v>
      </c>
      <c r="F171" s="6" t="s">
        <v>665</v>
      </c>
      <c r="G171" s="9">
        <f>IF(A171=1,"_",IF(C171="_","???",C171))</f>
        <v/>
      </c>
      <c r="H171" s="10" t="s">
        <v>12</v>
      </c>
      <c r="I171" s="11" t="s">
        <v>12</v>
      </c>
      <c r="J171" s="12"/>
    </row>
    <row r="172" spans="1:10" ht="60" customHeight="1">
      <c r="A172" s="6" t="s">
        <v>666</v>
      </c>
      <c r="B172" s="6" t="s">
        <v>36</v>
      </c>
      <c r="C172" s="6" t="s">
        <v>12</v>
      </c>
      <c r="D172" s="7" t="s">
        <v>667</v>
      </c>
      <c r="E172" s="8" t="s">
        <v>668</v>
      </c>
      <c r="F172" s="6" t="s">
        <v>669</v>
      </c>
      <c r="G172" s="9">
        <f>IF(A172=1,"_",IF(C172="_","???",C172))</f>
        <v/>
      </c>
      <c r="H172" s="10" t="s">
        <v>12</v>
      </c>
      <c r="I172" s="11" t="s">
        <v>12</v>
      </c>
      <c r="J172" s="12"/>
    </row>
    <row r="173" spans="1:10" ht="60" customHeight="1">
      <c r="A173" s="6" t="s">
        <v>670</v>
      </c>
      <c r="B173" s="6" t="s">
        <v>10</v>
      </c>
      <c r="C173" s="6" t="s">
        <v>224</v>
      </c>
      <c r="D173" s="7" t="s">
        <v>571</v>
      </c>
      <c r="E173" s="8" t="s">
        <v>671</v>
      </c>
      <c r="F173" s="6" t="s">
        <v>672</v>
      </c>
      <c r="G173" s="9">
        <f>IF(A173=1,"_",IF(C173="_","???",C173))</f>
        <v/>
      </c>
      <c r="H173" s="10" t="s">
        <v>12</v>
      </c>
      <c r="I173" s="11" t="s">
        <v>12</v>
      </c>
      <c r="J173" s="12"/>
    </row>
    <row r="174" spans="1:10" ht="60" customHeight="1">
      <c r="A174" s="6" t="s">
        <v>673</v>
      </c>
      <c r="B174" s="6" t="s">
        <v>10</v>
      </c>
      <c r="C174" s="6" t="s">
        <v>12</v>
      </c>
      <c r="D174" s="7" t="s">
        <v>571</v>
      </c>
      <c r="E174" s="8" t="s">
        <v>674</v>
      </c>
      <c r="F174" s="6" t="s">
        <v>675</v>
      </c>
      <c r="G174" s="9">
        <f>IF(A174=1,"_",IF(C174="_","???",C174))</f>
        <v/>
      </c>
      <c r="H174" s="10" t="s">
        <v>12</v>
      </c>
      <c r="I174" s="11" t="s">
        <v>12</v>
      </c>
      <c r="J174"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35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676</v>
      </c>
      <c r="B1" s="13" t="s">
        <v>677</v>
      </c>
      <c r="C1" s="13" t="s">
        <v>678</v>
      </c>
      <c r="D1" s="13" t="s">
        <v>679</v>
      </c>
      <c r="E1" s="14" t="s">
        <v>680</v>
      </c>
      <c r="F1" s="15" t="s">
        <v>681</v>
      </c>
      <c r="G1" s="16" t="s">
        <v>682</v>
      </c>
      <c r="H1" s="17" t="s">
        <v>683</v>
      </c>
      <c r="I1" s="18" t="s">
        <v>684</v>
      </c>
      <c r="J1" s="18" t="s">
        <v>685</v>
      </c>
      <c r="K1" s="18" t="s">
        <v>686</v>
      </c>
      <c r="L1" s="19" t="s">
        <v>9</v>
      </c>
    </row>
    <row r="2" spans="1:12">
      <c r="A2" s="20" t="s">
        <v>687</v>
      </c>
    </row>
    <row r="3" spans="1:12">
      <c r="A3" s="20" t="s">
        <v>688</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689</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690</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691</v>
      </c>
      <c r="B6" s="27" t="s">
        <v>692</v>
      </c>
      <c r="C6" s="27" t="s">
        <v>693</v>
      </c>
      <c r="D6" s="27" t="s">
        <v>694</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695</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696</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690</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697</v>
      </c>
      <c r="B10" s="27" t="s">
        <v>698</v>
      </c>
      <c r="C10" s="27" t="s">
        <v>693</v>
      </c>
      <c r="D10" s="27" t="s">
        <v>694</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699</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row>
    <row r="13" spans="1:12">
      <c r="A13" s="20" t="s">
        <v>700</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701</v>
      </c>
    </row>
    <row r="15" spans="1:12">
      <c r="A15" s="20" t="s">
        <v>702</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703</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704</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705</v>
      </c>
      <c r="B18" s="27" t="s">
        <v>706</v>
      </c>
      <c r="C18" s="27" t="s">
        <v>707</v>
      </c>
      <c r="D18" s="27" t="s">
        <v>694</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708</v>
      </c>
      <c r="B19" s="27" t="s">
        <v>709</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710</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711</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690</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712</v>
      </c>
      <c r="B23" s="27" t="s">
        <v>713</v>
      </c>
      <c r="C23" s="27" t="s">
        <v>693</v>
      </c>
      <c r="D23" s="27" t="s">
        <v>694</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696</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714</v>
      </c>
      <c r="B25" s="27" t="s">
        <v>715</v>
      </c>
      <c r="C25" s="27" t="s">
        <v>716</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717</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718</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690</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719</v>
      </c>
      <c r="B29" s="27" t="s">
        <v>720</v>
      </c>
      <c r="C29" s="27" t="s">
        <v>693</v>
      </c>
      <c r="D29" s="27" t="s">
        <v>694</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696</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721</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11</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722</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723</v>
      </c>
      <c r="B34" s="27" t="s">
        <v>724</v>
      </c>
      <c r="C34" s="27" t="s">
        <v>693</v>
      </c>
      <c r="D34" s="27" t="s">
        <v>694</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725</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726</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690</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727</v>
      </c>
      <c r="B38" s="27" t="s">
        <v>728</v>
      </c>
      <c r="C38" s="27" t="s">
        <v>693</v>
      </c>
      <c r="D38" s="27" t="s">
        <v>694</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729</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730</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697</v>
      </c>
      <c r="B41" s="27" t="s">
        <v>731</v>
      </c>
      <c r="C41" s="27" t="s">
        <v>716</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730</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699</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row>
    <row r="45" spans="1:12">
      <c r="A45" s="20" t="s">
        <v>732</v>
      </c>
    </row>
    <row r="46" spans="1:12">
      <c r="A46" s="20" t="s">
        <v>702</v>
      </c>
      <c r="B46" s="27" t="s">
        <v>692</v>
      </c>
      <c r="C46" s="27" t="s">
        <v>733</v>
      </c>
      <c r="D46" s="27" t="s">
        <v>694</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704</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734</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718</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690</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735</v>
      </c>
      <c r="B51" s="27" t="s">
        <v>698</v>
      </c>
      <c r="C51" s="27" t="s">
        <v>693</v>
      </c>
      <c r="D51" s="27" t="s">
        <v>694</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696</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690</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736</v>
      </c>
      <c r="B54" s="27" t="s">
        <v>737</v>
      </c>
      <c r="C54" s="27" t="s">
        <v>693</v>
      </c>
      <c r="D54" s="27" t="s">
        <v>694</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725</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738</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703</v>
      </c>
      <c r="B57" s="27" t="s">
        <v>737</v>
      </c>
      <c r="C57" s="27" t="s">
        <v>707</v>
      </c>
      <c r="D57" s="27" t="s">
        <v>694</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739</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740</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741</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742</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699</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row>
    <row r="64" spans="1:12">
      <c r="A64" s="20" t="s">
        <v>743</v>
      </c>
    </row>
    <row r="65" spans="1:12">
      <c r="A65" s="20" t="s">
        <v>744</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745</v>
      </c>
      <c r="B66" s="27" t="s">
        <v>692</v>
      </c>
      <c r="C66" s="27" t="s">
        <v>693</v>
      </c>
      <c r="D66" s="27" t="s">
        <v>694</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696</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690</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697</v>
      </c>
      <c r="B69" s="27" t="s">
        <v>737</v>
      </c>
      <c r="C69" s="27" t="s">
        <v>693</v>
      </c>
      <c r="D69" s="27" t="s">
        <v>694</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746</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718</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747</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748</v>
      </c>
      <c r="B73" s="27" t="s">
        <v>698</v>
      </c>
      <c r="C73" s="27" t="s">
        <v>693</v>
      </c>
      <c r="D73" s="27" t="s">
        <v>694</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749</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721</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750</v>
      </c>
      <c r="B76" s="27" t="s">
        <v>737</v>
      </c>
      <c r="C76" s="27" t="s">
        <v>693</v>
      </c>
      <c r="D76" s="27" t="s">
        <v>694</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699</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row>
    <row r="79" spans="1:12">
      <c r="A79" s="20" t="s">
        <v>751</v>
      </c>
    </row>
    <row r="80" spans="1:12">
      <c r="A80" s="20" t="s">
        <v>702</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703</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704</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752</v>
      </c>
      <c r="B83" s="27" t="s">
        <v>706</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696</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753</v>
      </c>
      <c r="B85" s="27" t="s">
        <v>737</v>
      </c>
      <c r="C85" s="27" t="s">
        <v>716</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696</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754</v>
      </c>
      <c r="B87" s="27" t="s">
        <v>755</v>
      </c>
      <c r="C87" s="27" t="s">
        <v>716</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696</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690</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697</v>
      </c>
      <c r="B90" s="27" t="s">
        <v>756</v>
      </c>
      <c r="C90" s="27" t="s">
        <v>693</v>
      </c>
      <c r="D90" s="27" t="s">
        <v>694</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699</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row>
    <row r="93" spans="1:12">
      <c r="A93" s="20" t="s">
        <v>757</v>
      </c>
    </row>
    <row r="94" spans="1:12">
      <c r="A94" s="20" t="s">
        <v>758</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690</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691</v>
      </c>
      <c r="B96" s="27" t="s">
        <v>692</v>
      </c>
      <c r="C96" s="27" t="s">
        <v>693</v>
      </c>
      <c r="D96" s="27" t="s">
        <v>694</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759</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760</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721</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761</v>
      </c>
      <c r="B100" s="27" t="s">
        <v>762</v>
      </c>
      <c r="C100" s="27" t="s">
        <v>693</v>
      </c>
      <c r="D100" s="27" t="s">
        <v>694</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742</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763</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699</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row>
    <row r="105" spans="1:12">
      <c r="A105" s="20" t="s">
        <v>764</v>
      </c>
    </row>
    <row r="106" spans="1:12">
      <c r="A106" s="20" t="s">
        <v>765</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766</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690</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712</v>
      </c>
      <c r="B109" s="27" t="s">
        <v>698</v>
      </c>
      <c r="C109" s="27" t="s">
        <v>693</v>
      </c>
      <c r="D109" s="27" t="s">
        <v>694</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767</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696</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768</v>
      </c>
      <c r="B112" s="27" t="s">
        <v>737</v>
      </c>
      <c r="C112" s="27" t="s">
        <v>716</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725</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738</v>
      </c>
      <c r="B114" s="27" t="s">
        <v>692</v>
      </c>
      <c r="C114" s="27" t="s">
        <v>733</v>
      </c>
      <c r="D114" s="27" t="s">
        <v>694</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769</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696</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721</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770</v>
      </c>
      <c r="B118" s="27" t="s">
        <v>698</v>
      </c>
      <c r="C118" s="27" t="s">
        <v>693</v>
      </c>
      <c r="D118" s="27" t="s">
        <v>694</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771</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708</v>
      </c>
      <c r="B120" s="27" t="s">
        <v>709</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772</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773</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18</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774</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775</v>
      </c>
      <c r="B125" s="27" t="s">
        <v>713</v>
      </c>
      <c r="C125" s="27" t="s">
        <v>776</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777</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696</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690</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697</v>
      </c>
      <c r="B129" s="27" t="s">
        <v>715</v>
      </c>
      <c r="C129" s="27" t="s">
        <v>693</v>
      </c>
      <c r="D129" s="27" t="s">
        <v>694</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699</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row>
    <row r="132" spans="1:12">
      <c r="A132" s="20" t="s">
        <v>778</v>
      </c>
    </row>
    <row r="133" spans="1:12">
      <c r="A133" s="20" t="s">
        <v>779</v>
      </c>
      <c r="B133" s="27" t="s">
        <v>737</v>
      </c>
      <c r="C133" s="27" t="s">
        <v>780</v>
      </c>
      <c r="D133" s="27" t="s">
        <v>694</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781</v>
      </c>
      <c r="B134" s="27" t="s">
        <v>692</v>
      </c>
      <c r="C134" s="27" t="s">
        <v>782</v>
      </c>
      <c r="D134" s="27" t="s">
        <v>694</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783</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784</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785</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786</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787</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770</v>
      </c>
      <c r="B140" s="27" t="s">
        <v>698</v>
      </c>
      <c r="C140" s="27" t="s">
        <v>788</v>
      </c>
      <c r="D140" s="27" t="s">
        <v>694</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771</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699</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row>
    <row r="144" spans="1:12">
      <c r="A144" s="20" t="s">
        <v>789</v>
      </c>
    </row>
    <row r="145" spans="1:12">
      <c r="A145" s="20" t="s">
        <v>702</v>
      </c>
      <c r="B145" s="27" t="s">
        <v>692</v>
      </c>
      <c r="C145" s="27" t="s">
        <v>733</v>
      </c>
      <c r="D145" s="27" t="s">
        <v>694</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790</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721</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791</v>
      </c>
      <c r="B148" s="27" t="s">
        <v>706</v>
      </c>
      <c r="C148" s="27" t="s">
        <v>693</v>
      </c>
      <c r="D148" s="27" t="s">
        <v>694</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708</v>
      </c>
      <c r="B149" s="27" t="s">
        <v>709</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792</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718</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793</v>
      </c>
      <c r="B152" s="27" t="s">
        <v>756</v>
      </c>
      <c r="C152" s="27" t="s">
        <v>780</v>
      </c>
      <c r="D152" s="27" t="s">
        <v>694</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794</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697</v>
      </c>
      <c r="B154" s="27" t="s">
        <v>755</v>
      </c>
      <c r="C154" s="27" t="s">
        <v>782</v>
      </c>
      <c r="D154" s="27" t="s">
        <v>694</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795</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796</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721</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797</v>
      </c>
      <c r="B158" s="27" t="s">
        <v>756</v>
      </c>
      <c r="C158" s="27" t="s">
        <v>693</v>
      </c>
      <c r="D158" s="27" t="s">
        <v>694</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708</v>
      </c>
      <c r="B159" s="27" t="s">
        <v>798</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799</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718</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690</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697</v>
      </c>
      <c r="B163" s="27" t="s">
        <v>800</v>
      </c>
      <c r="C163" s="27" t="s">
        <v>693</v>
      </c>
      <c r="D163" s="27" t="s">
        <v>694</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725</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801</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725</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718</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690</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802</v>
      </c>
      <c r="B169" s="27" t="s">
        <v>720</v>
      </c>
      <c r="C169" s="27" t="s">
        <v>693</v>
      </c>
      <c r="D169" s="27" t="s">
        <v>694</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725</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803</v>
      </c>
      <c r="B171" s="27" t="s">
        <v>804</v>
      </c>
      <c r="C171" s="27" t="s">
        <v>733</v>
      </c>
      <c r="D171" s="27" t="s">
        <v>694</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805</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806</v>
      </c>
      <c r="B173" s="27" t="s">
        <v>720</v>
      </c>
      <c r="C173" s="27" t="s">
        <v>707</v>
      </c>
      <c r="D173" s="27" t="s">
        <v>694</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796</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807</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721</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808</v>
      </c>
      <c r="B177" s="27" t="s">
        <v>720</v>
      </c>
      <c r="C177" s="27" t="s">
        <v>707</v>
      </c>
      <c r="D177" s="27" t="s">
        <v>694</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809</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721</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761</v>
      </c>
      <c r="B180" s="27" t="s">
        <v>810</v>
      </c>
      <c r="C180" s="27" t="s">
        <v>707</v>
      </c>
      <c r="D180" s="27" t="s">
        <v>694</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699</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row>
    <row r="183" spans="1:12">
      <c r="A183" s="20" t="s">
        <v>811</v>
      </c>
    </row>
    <row r="184" spans="1:12">
      <c r="A184" s="20" t="s">
        <v>744</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812</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813</v>
      </c>
      <c r="B186" s="27" t="s">
        <v>692</v>
      </c>
      <c r="C186" s="27" t="s">
        <v>693</v>
      </c>
      <c r="D186" s="27" t="s">
        <v>694</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814</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690</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815</v>
      </c>
      <c r="B189" s="27" t="s">
        <v>698</v>
      </c>
      <c r="C189" s="27" t="s">
        <v>693</v>
      </c>
      <c r="D189" s="27" t="s">
        <v>694</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696</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747</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816</v>
      </c>
      <c r="B192" s="27" t="s">
        <v>698</v>
      </c>
      <c r="C192" s="27" t="s">
        <v>693</v>
      </c>
      <c r="D192" s="27" t="s">
        <v>694</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699</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row>
    <row r="195" spans="1:12">
      <c r="A195" s="20" t="s">
        <v>700</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817</v>
      </c>
    </row>
    <row r="197" spans="1:12">
      <c r="A197" s="20" t="s">
        <v>818</v>
      </c>
      <c r="B197" s="27" t="s">
        <v>692</v>
      </c>
      <c r="C197" s="27" t="s">
        <v>819</v>
      </c>
      <c r="D197" s="27" t="s">
        <v>694</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820</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696</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690</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821</v>
      </c>
      <c r="B201" s="27" t="s">
        <v>737</v>
      </c>
      <c r="C201" s="27" t="s">
        <v>716</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809</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690</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822</v>
      </c>
      <c r="B204" s="27" t="s">
        <v>823</v>
      </c>
      <c r="C204" s="27" t="s">
        <v>693</v>
      </c>
      <c r="D204" s="27" t="s">
        <v>694</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730</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697</v>
      </c>
      <c r="B206" s="27" t="s">
        <v>755</v>
      </c>
      <c r="C206" s="27" t="s">
        <v>716</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730</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824</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814</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825</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742</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826</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822</v>
      </c>
      <c r="B213" s="27" t="s">
        <v>698</v>
      </c>
      <c r="C213" s="27" t="s">
        <v>776</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827</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725</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828</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809</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803</v>
      </c>
      <c r="B218" s="27" t="s">
        <v>709</v>
      </c>
      <c r="C218" s="27" t="s">
        <v>733</v>
      </c>
      <c r="D218" s="27" t="s">
        <v>694</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829</v>
      </c>
      <c r="B219" s="27" t="s">
        <v>830</v>
      </c>
      <c r="C219" s="27" t="s">
        <v>733</v>
      </c>
      <c r="D219" s="27" t="s">
        <v>694</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831</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832</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833</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696</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834</v>
      </c>
      <c r="B224" s="27" t="s">
        <v>755</v>
      </c>
      <c r="C224" s="27" t="s">
        <v>716</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699</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row>
    <row r="227" spans="1:12">
      <c r="A227" s="20" t="s">
        <v>835</v>
      </c>
    </row>
    <row r="228" spans="1:12">
      <c r="A228" s="20" t="s">
        <v>836</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837</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838</v>
      </c>
      <c r="B230" s="27" t="s">
        <v>698</v>
      </c>
      <c r="C230" s="27" t="s">
        <v>707</v>
      </c>
      <c r="D230" s="27" t="s">
        <v>694</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725</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803</v>
      </c>
      <c r="B232" s="27" t="s">
        <v>706</v>
      </c>
      <c r="C232" s="27" t="s">
        <v>733</v>
      </c>
      <c r="D232" s="27" t="s">
        <v>694</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839</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690</v>
      </c>
      <c r="B234" s="27" t="s">
        <v>762</v>
      </c>
      <c r="C234" s="27" t="s">
        <v>733</v>
      </c>
      <c r="D234" s="27" t="s">
        <v>694</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840</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718</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774</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841</v>
      </c>
      <c r="B238" s="27" t="s">
        <v>737</v>
      </c>
      <c r="C238" s="27" t="s">
        <v>776</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842</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795</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843</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844</v>
      </c>
      <c r="B242" s="27" t="s">
        <v>823</v>
      </c>
      <c r="C242" s="27" t="s">
        <v>819</v>
      </c>
      <c r="D242" s="27" t="s">
        <v>694</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814</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774</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845</v>
      </c>
      <c r="B245" s="27" t="s">
        <v>698</v>
      </c>
      <c r="C245" s="27" t="s">
        <v>776</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718</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22</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846</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803</v>
      </c>
      <c r="B249" s="27" t="s">
        <v>823</v>
      </c>
      <c r="C249" s="27" t="s">
        <v>733</v>
      </c>
      <c r="D249" s="27" t="s">
        <v>694</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847</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848</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849</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747</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441</v>
      </c>
      <c r="B254" s="27" t="s">
        <v>713</v>
      </c>
      <c r="C254" s="27" t="s">
        <v>782</v>
      </c>
      <c r="D254" s="27" t="s">
        <v>694</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742</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850</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696</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262</v>
      </c>
      <c r="B258" s="27" t="s">
        <v>715</v>
      </c>
      <c r="C258" s="27" t="s">
        <v>819</v>
      </c>
      <c r="D258" s="27" t="s">
        <v>694</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851</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814</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690</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852</v>
      </c>
      <c r="B262" s="27" t="s">
        <v>804</v>
      </c>
      <c r="C262" s="27" t="s">
        <v>693</v>
      </c>
      <c r="D262" s="27" t="s">
        <v>694</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699</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row>
    <row r="265" spans="1:12">
      <c r="A265" s="20" t="s">
        <v>853</v>
      </c>
    </row>
    <row r="266" spans="1:12">
      <c r="A266" s="20" t="s">
        <v>744</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854</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813</v>
      </c>
      <c r="B268" s="27" t="s">
        <v>692</v>
      </c>
      <c r="C268" s="27" t="s">
        <v>693</v>
      </c>
      <c r="D268" s="27" t="s">
        <v>694</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855</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814</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747</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856</v>
      </c>
      <c r="B272" s="27" t="s">
        <v>698</v>
      </c>
      <c r="C272" s="27" t="s">
        <v>693</v>
      </c>
      <c r="D272" s="27" t="s">
        <v>694</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857</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690</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858</v>
      </c>
      <c r="B275" s="27" t="s">
        <v>698</v>
      </c>
      <c r="C275" s="27" t="s">
        <v>693</v>
      </c>
      <c r="D275" s="27" t="s">
        <v>694</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846</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747</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859</v>
      </c>
      <c r="B278" s="27" t="s">
        <v>737</v>
      </c>
      <c r="C278" s="27" t="s">
        <v>693</v>
      </c>
      <c r="D278" s="27" t="s">
        <v>694</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860</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844</v>
      </c>
      <c r="B280" s="27" t="s">
        <v>823</v>
      </c>
      <c r="C280" s="27" t="s">
        <v>819</v>
      </c>
      <c r="D280" s="27" t="s">
        <v>694</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814</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825</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747</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861</v>
      </c>
      <c r="B284" s="27" t="s">
        <v>698</v>
      </c>
      <c r="C284" s="27" t="s">
        <v>693</v>
      </c>
      <c r="D284" s="27" t="s">
        <v>694</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857</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258</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763</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862</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863</v>
      </c>
      <c r="B289" s="27" t="s">
        <v>756</v>
      </c>
      <c r="C289" s="27" t="s">
        <v>780</v>
      </c>
      <c r="D289" s="27" t="s">
        <v>694</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864</v>
      </c>
      <c r="B290" s="27" t="s">
        <v>755</v>
      </c>
      <c r="C290" s="27" t="s">
        <v>782</v>
      </c>
      <c r="D290" s="27" t="s">
        <v>694</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846</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258</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763</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696</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863</v>
      </c>
      <c r="B295" s="27" t="s">
        <v>715</v>
      </c>
      <c r="C295" s="27" t="s">
        <v>780</v>
      </c>
      <c r="D295" s="27" t="s">
        <v>694</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864</v>
      </c>
      <c r="B296" s="27" t="s">
        <v>756</v>
      </c>
      <c r="C296" s="27" t="s">
        <v>782</v>
      </c>
      <c r="D296" s="27" t="s">
        <v>694</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725</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865</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866</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863</v>
      </c>
      <c r="B300" s="27" t="s">
        <v>755</v>
      </c>
      <c r="C300" s="27" t="s">
        <v>780</v>
      </c>
      <c r="D300" s="27" t="s">
        <v>694</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864</v>
      </c>
      <c r="B301" s="27" t="s">
        <v>737</v>
      </c>
      <c r="C301" s="27" t="s">
        <v>782</v>
      </c>
      <c r="D301" s="27" t="s">
        <v>694</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699</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row>
    <row r="304" spans="1:12">
      <c r="A304" s="20" t="s">
        <v>867</v>
      </c>
    </row>
    <row r="305" spans="1:12">
      <c r="A305" s="20" t="s">
        <v>868</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787</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869</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870</v>
      </c>
      <c r="B308" s="27" t="s">
        <v>692</v>
      </c>
      <c r="C308" s="27" t="s">
        <v>788</v>
      </c>
      <c r="D308" s="27" t="s">
        <v>694</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871</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872</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873</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725</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846</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874</v>
      </c>
      <c r="B314" s="27" t="s">
        <v>823</v>
      </c>
      <c r="C314" s="27" t="s">
        <v>733</v>
      </c>
      <c r="D314" s="27" t="s">
        <v>694</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871</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875</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862</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747</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441</v>
      </c>
      <c r="B319" s="27" t="s">
        <v>737</v>
      </c>
      <c r="C319" s="27" t="s">
        <v>693</v>
      </c>
      <c r="D319" s="27" t="s">
        <v>694</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696</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690</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876</v>
      </c>
      <c r="B322" s="27" t="s">
        <v>755</v>
      </c>
      <c r="C322" s="27" t="s">
        <v>693</v>
      </c>
      <c r="D322" s="27" t="s">
        <v>694</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699</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row>
    <row r="325" spans="1:12">
      <c r="A325" s="20" t="s">
        <v>700</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877</v>
      </c>
    </row>
    <row r="327" spans="1:12">
      <c r="A327" s="20" t="s">
        <v>744</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878</v>
      </c>
      <c r="B328" s="27" t="s">
        <v>692</v>
      </c>
      <c r="C328" s="27" t="s">
        <v>693</v>
      </c>
      <c r="D328" s="27" t="s">
        <v>694</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879</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813</v>
      </c>
      <c r="B330" s="27" t="s">
        <v>737</v>
      </c>
      <c r="C330" s="27" t="s">
        <v>716</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880</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814</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690</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730</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881</v>
      </c>
      <c r="B335" s="27" t="s">
        <v>698</v>
      </c>
      <c r="C335" s="27" t="s">
        <v>693</v>
      </c>
      <c r="D335" s="27" t="s">
        <v>694</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696</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882</v>
      </c>
      <c r="B337" s="27" t="s">
        <v>698</v>
      </c>
      <c r="C337" s="27" t="s">
        <v>716</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730</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725</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846</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844</v>
      </c>
      <c r="B341" s="27" t="s">
        <v>823</v>
      </c>
      <c r="C341" s="27" t="s">
        <v>819</v>
      </c>
      <c r="D341" s="27" t="s">
        <v>694</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814</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262</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883</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884</v>
      </c>
      <c r="B345" s="27" t="s">
        <v>698</v>
      </c>
      <c r="C345" s="27" t="s">
        <v>788</v>
      </c>
      <c r="D345" s="27" t="s">
        <v>694</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708</v>
      </c>
      <c r="B346" s="27" t="s">
        <v>709</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821</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851</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885</v>
      </c>
      <c r="B349" s="27" t="s">
        <v>886</v>
      </c>
      <c r="C349" s="27" t="s">
        <v>707</v>
      </c>
      <c r="D349" s="27" t="s">
        <v>694</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887</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888</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889</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890</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891</v>
      </c>
      <c r="B354" s="27" t="s">
        <v>892</v>
      </c>
      <c r="C354" s="27" t="s">
        <v>893</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894</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895</v>
      </c>
      <c r="B356" s="27" t="s">
        <v>724</v>
      </c>
      <c r="C356" s="27" t="s">
        <v>780</v>
      </c>
      <c r="D356" s="27" t="s">
        <v>694</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852</v>
      </c>
      <c r="B357" s="27" t="s">
        <v>896</v>
      </c>
      <c r="C357" s="27" t="s">
        <v>782</v>
      </c>
      <c r="D357" s="27" t="s">
        <v>694</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897</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898</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899</v>
      </c>
      <c r="B360" s="27" t="s">
        <v>900</v>
      </c>
      <c r="C360" s="27" t="s">
        <v>780</v>
      </c>
      <c r="D360" s="27" t="s">
        <v>694</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901</v>
      </c>
      <c r="B361" s="27" t="s">
        <v>902</v>
      </c>
      <c r="C361" s="27" t="s">
        <v>782</v>
      </c>
      <c r="D361" s="27" t="s">
        <v>694</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699</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row>
    <row r="364" spans="1:12">
      <c r="A364" s="20" t="s">
        <v>903</v>
      </c>
    </row>
    <row r="365" spans="1:12">
      <c r="A365" s="20" t="s">
        <v>904</v>
      </c>
      <c r="B365" s="27" t="s">
        <v>692</v>
      </c>
      <c r="C365" s="27" t="s">
        <v>733</v>
      </c>
      <c r="D365" s="27" t="s">
        <v>694</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905</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487</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725</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906</v>
      </c>
      <c r="B369" s="27" t="s">
        <v>762</v>
      </c>
      <c r="C369" s="27" t="s">
        <v>819</v>
      </c>
      <c r="D369" s="27" t="s">
        <v>694</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725</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844</v>
      </c>
      <c r="B371" s="27" t="s">
        <v>709</v>
      </c>
      <c r="C371" s="27" t="s">
        <v>819</v>
      </c>
      <c r="D371" s="27" t="s">
        <v>694</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814</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826</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907</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813</v>
      </c>
      <c r="B375" s="27" t="s">
        <v>737</v>
      </c>
      <c r="C375" s="27" t="s">
        <v>776</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855</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699</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row>
    <row r="379" spans="1:12">
      <c r="A379" s="20" t="s">
        <v>908</v>
      </c>
    </row>
    <row r="380" spans="1:12">
      <c r="A380" s="20" t="s">
        <v>702</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814</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909</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696</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696</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690</v>
      </c>
      <c r="B385" s="27" t="s">
        <v>762</v>
      </c>
      <c r="C385" s="27" t="s">
        <v>733</v>
      </c>
      <c r="D385" s="27" t="s">
        <v>694</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910</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911</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699</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row>
    <row r="390" spans="1:12">
      <c r="A390" s="20" t="s">
        <v>912</v>
      </c>
    </row>
    <row r="391" spans="1:12">
      <c r="A391" s="20" t="s">
        <v>904</v>
      </c>
      <c r="B391" s="27" t="s">
        <v>692</v>
      </c>
      <c r="C391" s="27" t="s">
        <v>733</v>
      </c>
      <c r="D391" s="27" t="s">
        <v>694</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913</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278</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829</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914</v>
      </c>
      <c r="B395" s="27" t="s">
        <v>762</v>
      </c>
      <c r="C395" s="27" t="s">
        <v>693</v>
      </c>
      <c r="D395" s="27" t="s">
        <v>694</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915</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773</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774</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916</v>
      </c>
      <c r="B399" s="27" t="s">
        <v>756</v>
      </c>
      <c r="C399" s="27" t="s">
        <v>776</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708</v>
      </c>
      <c r="B400" s="27" t="s">
        <v>798</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704</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917</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837</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774</v>
      </c>
      <c r="B404" s="27" t="s">
        <v>800</v>
      </c>
      <c r="C404" s="27" t="s">
        <v>707</v>
      </c>
      <c r="D404" s="27" t="s">
        <v>694</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696</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918</v>
      </c>
      <c r="B406" s="27" t="s">
        <v>724</v>
      </c>
      <c r="C406" s="27" t="s">
        <v>780</v>
      </c>
      <c r="D406" s="27" t="s">
        <v>694</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919</v>
      </c>
      <c r="B407" s="27" t="s">
        <v>720</v>
      </c>
      <c r="C407" s="27" t="s">
        <v>782</v>
      </c>
      <c r="D407" s="27" t="s">
        <v>694</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699</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row>
    <row r="410" spans="1:12">
      <c r="A410" s="20" t="s">
        <v>920</v>
      </c>
    </row>
    <row r="411" spans="1:12">
      <c r="A411" s="20" t="s">
        <v>921</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829</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922</v>
      </c>
      <c r="B413" s="27" t="s">
        <v>706</v>
      </c>
      <c r="C413" s="27" t="s">
        <v>693</v>
      </c>
      <c r="D413" s="27" t="s">
        <v>694</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860</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row>
    <row r="416" spans="1:12">
      <c r="A416" s="20" t="s">
        <v>923</v>
      </c>
    </row>
    <row r="417" spans="1:12">
      <c r="A417" s="20" t="s">
        <v>702</v>
      </c>
      <c r="B417" s="27" t="s">
        <v>692</v>
      </c>
      <c r="C417" s="27" t="s">
        <v>733</v>
      </c>
      <c r="D417" s="27" t="s">
        <v>694</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924</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851</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738</v>
      </c>
      <c r="B420" s="27" t="s">
        <v>823</v>
      </c>
      <c r="C420" s="27" t="s">
        <v>733</v>
      </c>
      <c r="D420" s="27" t="s">
        <v>694</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740</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925</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774</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926</v>
      </c>
      <c r="B424" s="27" t="s">
        <v>762</v>
      </c>
      <c r="C424" s="27" t="s">
        <v>776</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846</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851</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927</v>
      </c>
      <c r="B427" s="27" t="s">
        <v>709</v>
      </c>
      <c r="C427" s="27" t="s">
        <v>733</v>
      </c>
      <c r="D427" s="27" t="s">
        <v>694</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928</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929</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846</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689</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718</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747</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930</v>
      </c>
      <c r="B434" s="27" t="s">
        <v>755</v>
      </c>
      <c r="C434" s="27" t="s">
        <v>693</v>
      </c>
      <c r="D434" s="27" t="s">
        <v>694</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696</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747</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931</v>
      </c>
      <c r="B437" s="27" t="s">
        <v>756</v>
      </c>
      <c r="C437" s="27" t="s">
        <v>693</v>
      </c>
      <c r="D437" s="27" t="s">
        <v>694</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725</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738</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703</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704</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932</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826</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933</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899</v>
      </c>
      <c r="B445" s="27" t="s">
        <v>756</v>
      </c>
      <c r="C445" s="27" t="s">
        <v>780</v>
      </c>
      <c r="D445" s="27" t="s">
        <v>694</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934</v>
      </c>
      <c r="B446" s="27" t="s">
        <v>830</v>
      </c>
      <c r="C446" s="27" t="s">
        <v>782</v>
      </c>
      <c r="D446" s="27" t="s">
        <v>694</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699</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row>
    <row r="449" spans="1:12">
      <c r="A449" s="20" t="s">
        <v>935</v>
      </c>
    </row>
    <row r="450" spans="1:12">
      <c r="A450" s="20" t="s">
        <v>868</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738</v>
      </c>
      <c r="B451" s="27" t="s">
        <v>692</v>
      </c>
      <c r="C451" s="27" t="s">
        <v>733</v>
      </c>
      <c r="D451" s="27" t="s">
        <v>694</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936</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725</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937</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938</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725</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809</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906</v>
      </c>
      <c r="B458" s="27" t="s">
        <v>823</v>
      </c>
      <c r="C458" s="27" t="s">
        <v>819</v>
      </c>
      <c r="D458" s="27" t="s">
        <v>694</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740</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939</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940</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829</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249</v>
      </c>
      <c r="B463" s="27" t="s">
        <v>762</v>
      </c>
      <c r="C463" s="27" t="s">
        <v>693</v>
      </c>
      <c r="D463" s="27" t="s">
        <v>694</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699</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row>
    <row r="466" spans="1:12">
      <c r="A466" s="20" t="s">
        <v>941</v>
      </c>
    </row>
    <row r="467" spans="1:12">
      <c r="A467" s="20" t="s">
        <v>765</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100</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942</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row>
    <row r="471" spans="1:12">
      <c r="A471" s="20" t="s">
        <v>943</v>
      </c>
    </row>
    <row r="472" spans="1:12">
      <c r="A472" s="20" t="s">
        <v>944</v>
      </c>
      <c r="B472" s="27" t="s">
        <v>692</v>
      </c>
      <c r="C472" s="27" t="s">
        <v>819</v>
      </c>
      <c r="D472" s="27" t="s">
        <v>694</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871</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721</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945</v>
      </c>
      <c r="B475" s="27" t="s">
        <v>698</v>
      </c>
      <c r="C475" s="27" t="s">
        <v>693</v>
      </c>
      <c r="D475" s="27" t="s">
        <v>694</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696</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829</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249</v>
      </c>
      <c r="B478" s="27" t="s">
        <v>698</v>
      </c>
      <c r="C478" s="27" t="s">
        <v>693</v>
      </c>
      <c r="D478" s="27" t="s">
        <v>694</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708</v>
      </c>
      <c r="B479" s="27" t="s">
        <v>709</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946</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947</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948</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699</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row>
    <row r="485" spans="1:12">
      <c r="A485" s="20" t="s">
        <v>949</v>
      </c>
    </row>
    <row r="486" spans="1:12">
      <c r="A486" s="20" t="s">
        <v>702</v>
      </c>
      <c r="B486" s="27" t="s">
        <v>692</v>
      </c>
      <c r="C486" s="27" t="s">
        <v>733</v>
      </c>
      <c r="D486" s="27" t="s">
        <v>694</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740</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858</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950</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249</v>
      </c>
      <c r="B490" s="27" t="s">
        <v>706</v>
      </c>
      <c r="C490" s="27" t="s">
        <v>788</v>
      </c>
      <c r="D490" s="27" t="s">
        <v>694</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699</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row>
    <row r="493" spans="1:12">
      <c r="A493" s="20" t="s">
        <v>951</v>
      </c>
    </row>
    <row r="494" spans="1:12">
      <c r="A494" s="20" t="s">
        <v>702</v>
      </c>
      <c r="B494" s="27" t="s">
        <v>692</v>
      </c>
      <c r="C494" s="27" t="s">
        <v>733</v>
      </c>
      <c r="D494" s="27" t="s">
        <v>694</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740</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932</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91</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952</v>
      </c>
      <c r="B498" s="27" t="s">
        <v>706</v>
      </c>
      <c r="C498" s="27" t="s">
        <v>953</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696</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954</v>
      </c>
      <c r="B500" s="27" t="s">
        <v>737</v>
      </c>
      <c r="C500" s="27" t="s">
        <v>716</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955</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699</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row>
    <row r="504" spans="1:12">
      <c r="A504" s="20" t="s">
        <v>956</v>
      </c>
    </row>
    <row r="505" spans="1:12">
      <c r="A505" s="20" t="s">
        <v>957</v>
      </c>
      <c r="B505" s="27" t="s">
        <v>692</v>
      </c>
      <c r="C505" s="27" t="s">
        <v>733</v>
      </c>
      <c r="D505" s="27" t="s">
        <v>694</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824</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946</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742</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958</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959</v>
      </c>
      <c r="B510" s="27" t="s">
        <v>706</v>
      </c>
      <c r="C510" s="27" t="s">
        <v>893</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725</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828</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809</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262</v>
      </c>
      <c r="B514" s="27" t="s">
        <v>737</v>
      </c>
      <c r="C514" s="27" t="s">
        <v>819</v>
      </c>
      <c r="D514" s="27" t="s">
        <v>694</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708</v>
      </c>
      <c r="B515" s="27" t="s">
        <v>886</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960</v>
      </c>
      <c r="B516" s="27" t="s">
        <v>713</v>
      </c>
      <c r="C516" s="27" t="s">
        <v>733</v>
      </c>
      <c r="D516" s="27" t="s">
        <v>694</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961</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725</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844</v>
      </c>
      <c r="B519" s="27" t="s">
        <v>823</v>
      </c>
      <c r="C519" s="27" t="s">
        <v>819</v>
      </c>
      <c r="D519" s="27" t="s">
        <v>694</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928</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826</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962</v>
      </c>
      <c r="B522" s="27" t="s">
        <v>698</v>
      </c>
      <c r="C522" s="27" t="s">
        <v>776</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963</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row>
    <row r="525" spans="1:12">
      <c r="A525" s="20" t="s">
        <v>964</v>
      </c>
    </row>
    <row r="526" spans="1:12">
      <c r="A526" s="20" t="s">
        <v>744</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962</v>
      </c>
      <c r="B527" s="27" t="s">
        <v>692</v>
      </c>
      <c r="C527" s="27" t="s">
        <v>693</v>
      </c>
      <c r="D527" s="27" t="s">
        <v>694</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928</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965</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725</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846</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262</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962</v>
      </c>
      <c r="B533" s="27" t="s">
        <v>698</v>
      </c>
      <c r="C533" s="27" t="s">
        <v>788</v>
      </c>
      <c r="D533" s="27" t="s">
        <v>694</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725</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844</v>
      </c>
      <c r="B535" s="27" t="s">
        <v>823</v>
      </c>
      <c r="C535" s="27" t="s">
        <v>819</v>
      </c>
      <c r="D535" s="27" t="s">
        <v>694</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814</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689</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262</v>
      </c>
      <c r="B538" s="27" t="s">
        <v>698</v>
      </c>
      <c r="C538" s="27" t="s">
        <v>819</v>
      </c>
      <c r="D538" s="27" t="s">
        <v>694</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708</v>
      </c>
      <c r="B539" s="27" t="s">
        <v>709</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960</v>
      </c>
      <c r="B540" s="27" t="s">
        <v>830</v>
      </c>
      <c r="C540" s="27" t="s">
        <v>733</v>
      </c>
      <c r="D540" s="27" t="s">
        <v>694</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961</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699</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row>
    <row r="544" spans="1:12">
      <c r="A544" s="20" t="s">
        <v>966</v>
      </c>
    </row>
    <row r="545" spans="1:12">
      <c r="A545" s="20" t="s">
        <v>818</v>
      </c>
      <c r="B545" s="27" t="s">
        <v>692</v>
      </c>
      <c r="C545" s="27" t="s">
        <v>819</v>
      </c>
      <c r="D545" s="27" t="s">
        <v>694</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803</v>
      </c>
      <c r="B546" s="27" t="s">
        <v>706</v>
      </c>
      <c r="C546" s="27" t="s">
        <v>733</v>
      </c>
      <c r="D546" s="27" t="s">
        <v>694</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122</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725</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718</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690</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967</v>
      </c>
      <c r="B551" s="27" t="s">
        <v>698</v>
      </c>
      <c r="C551" s="27" t="s">
        <v>693</v>
      </c>
      <c r="D551" s="27" t="s">
        <v>694</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725</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809</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803</v>
      </c>
      <c r="B554" s="27" t="s">
        <v>823</v>
      </c>
      <c r="C554" s="27" t="s">
        <v>733</v>
      </c>
      <c r="D554" s="27" t="s">
        <v>694</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887</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968</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809</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910</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803</v>
      </c>
      <c r="B559" s="27" t="s">
        <v>830</v>
      </c>
      <c r="C559" s="27" t="s">
        <v>733</v>
      </c>
      <c r="D559" s="27" t="s">
        <v>694</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846</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721</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761</v>
      </c>
      <c r="B562" s="27" t="s">
        <v>756</v>
      </c>
      <c r="C562" s="27" t="s">
        <v>707</v>
      </c>
      <c r="D562" s="27" t="s">
        <v>694</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739</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869</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969</v>
      </c>
      <c r="B565" s="27" t="s">
        <v>755</v>
      </c>
      <c r="C565" s="27" t="s">
        <v>953</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741</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970</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699</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row>
    <row r="570" spans="1:12">
      <c r="A570" s="20" t="s">
        <v>971</v>
      </c>
    </row>
    <row r="571" spans="1:12">
      <c r="A571" s="20" t="s">
        <v>702</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703</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704</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826</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838</v>
      </c>
      <c r="B575" s="27" t="s">
        <v>706</v>
      </c>
      <c r="C575" s="27" t="s">
        <v>776</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708</v>
      </c>
      <c r="B576" s="27" t="s">
        <v>709</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972</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879</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862</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829</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973</v>
      </c>
      <c r="B581" s="27" t="s">
        <v>755</v>
      </c>
      <c r="C581" s="27" t="s">
        <v>693</v>
      </c>
      <c r="D581" s="27" t="s">
        <v>694</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880</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725</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708</v>
      </c>
      <c r="B584" s="27" t="s">
        <v>823</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974</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975</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862</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690</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976</v>
      </c>
      <c r="B589" s="27" t="s">
        <v>737</v>
      </c>
      <c r="C589" s="27" t="s">
        <v>693</v>
      </c>
      <c r="D589" s="27" t="s">
        <v>694</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846</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977</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690</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976</v>
      </c>
      <c r="B593" s="27" t="s">
        <v>830</v>
      </c>
      <c r="C593" s="27" t="s">
        <v>693</v>
      </c>
      <c r="D593" s="27" t="s">
        <v>694</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725</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738</v>
      </c>
      <c r="B595" s="27" t="s">
        <v>709</v>
      </c>
      <c r="C595" s="27" t="s">
        <v>733</v>
      </c>
      <c r="D595" s="27" t="s">
        <v>694</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814</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978</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696</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979</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690</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980</v>
      </c>
      <c r="B601" s="27" t="s">
        <v>713</v>
      </c>
      <c r="C601" s="27" t="s">
        <v>693</v>
      </c>
      <c r="D601" s="27" t="s">
        <v>694</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725</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795</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725</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981</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982</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262</v>
      </c>
      <c r="B607" s="27" t="s">
        <v>755</v>
      </c>
      <c r="C607" s="27" t="s">
        <v>819</v>
      </c>
      <c r="D607" s="27" t="s">
        <v>694</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851</v>
      </c>
      <c r="B608" s="27" t="s">
        <v>892</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738</v>
      </c>
      <c r="B609" s="27" t="s">
        <v>983</v>
      </c>
      <c r="C609" s="27" t="s">
        <v>733</v>
      </c>
      <c r="D609" s="27" t="s">
        <v>694</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704</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725</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844</v>
      </c>
      <c r="B612" s="27" t="s">
        <v>709</v>
      </c>
      <c r="C612" s="27" t="s">
        <v>819</v>
      </c>
      <c r="D612" s="27" t="s">
        <v>694</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814</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690</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976</v>
      </c>
      <c r="B615" s="27" t="s">
        <v>737</v>
      </c>
      <c r="C615" s="27" t="s">
        <v>693</v>
      </c>
      <c r="D615" s="27" t="s">
        <v>694</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699</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row>
    <row r="618" spans="1:12">
      <c r="A618" s="20" t="s">
        <v>700</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984</v>
      </c>
    </row>
    <row r="620" spans="1:12">
      <c r="A620" s="20" t="s">
        <v>985</v>
      </c>
      <c r="B620" s="27" t="s">
        <v>823</v>
      </c>
      <c r="C620" s="27" t="s">
        <v>819</v>
      </c>
      <c r="D620" s="27" t="s">
        <v>694</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814</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986</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258</v>
      </c>
      <c r="B623" s="27" t="s">
        <v>692</v>
      </c>
      <c r="C623" s="27" t="s">
        <v>788</v>
      </c>
      <c r="D623" s="27" t="s">
        <v>694</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708</v>
      </c>
      <c r="B624" s="27" t="s">
        <v>709</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972</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726</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690</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987</v>
      </c>
      <c r="B628" s="27" t="s">
        <v>830</v>
      </c>
      <c r="C628" s="27" t="s">
        <v>693</v>
      </c>
      <c r="D628" s="27" t="s">
        <v>694</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988</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989</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12</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990</v>
      </c>
      <c r="B632" s="27" t="s">
        <v>709</v>
      </c>
      <c r="C632" s="27" t="s">
        <v>733</v>
      </c>
      <c r="D632" s="27" t="s">
        <v>694</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991</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725</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992</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690</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987</v>
      </c>
      <c r="B637" s="27" t="s">
        <v>886</v>
      </c>
      <c r="C637" s="27" t="s">
        <v>693</v>
      </c>
      <c r="D637" s="27" t="s">
        <v>694</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993</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725</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730</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994</v>
      </c>
      <c r="B641" s="27" t="s">
        <v>823</v>
      </c>
      <c r="C641" s="27" t="s">
        <v>819</v>
      </c>
      <c r="D641" s="27" t="s">
        <v>694</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821</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995</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996</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997</v>
      </c>
      <c r="B645" s="27" t="s">
        <v>709</v>
      </c>
      <c r="C645" s="27" t="s">
        <v>733</v>
      </c>
      <c r="D645" s="27" t="s">
        <v>694</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998</v>
      </c>
      <c r="B646" s="27" t="s">
        <v>830</v>
      </c>
      <c r="C646" s="27" t="s">
        <v>733</v>
      </c>
      <c r="D646" s="27" t="s">
        <v>694</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999</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1000</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1001</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730</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row>
    <row r="652" spans="1:12">
      <c r="A652" s="20" t="s">
        <v>700</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1002</v>
      </c>
    </row>
    <row r="654" spans="1:12">
      <c r="A654" s="20" t="s">
        <v>868</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1003</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725</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738</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703</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704</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690</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838</v>
      </c>
      <c r="B661" s="27" t="s">
        <v>706</v>
      </c>
      <c r="C661" s="27" t="s">
        <v>693</v>
      </c>
      <c r="D661" s="27" t="s">
        <v>694</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708</v>
      </c>
      <c r="B662" s="27" t="s">
        <v>709</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974</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1004</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725</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846</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844</v>
      </c>
      <c r="B667" s="27" t="s">
        <v>823</v>
      </c>
      <c r="C667" s="27" t="s">
        <v>819</v>
      </c>
      <c r="D667" s="27" t="s">
        <v>694</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814</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1005</v>
      </c>
      <c r="B669" s="27" t="s">
        <v>698</v>
      </c>
      <c r="C669" s="27" t="s">
        <v>819</v>
      </c>
      <c r="D669" s="27" t="s">
        <v>694</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708</v>
      </c>
      <c r="B670" s="27" t="s">
        <v>709</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1006</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721</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1007</v>
      </c>
      <c r="B673" s="27" t="s">
        <v>830</v>
      </c>
      <c r="C673" s="27" t="s">
        <v>693</v>
      </c>
      <c r="D673" s="27" t="s">
        <v>694</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725</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846</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1008</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829</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922</v>
      </c>
      <c r="B678" s="27" t="s">
        <v>762</v>
      </c>
      <c r="C678" s="27" t="s">
        <v>782</v>
      </c>
      <c r="D678" s="27" t="s">
        <v>694</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696</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895</v>
      </c>
      <c r="B680" s="27" t="s">
        <v>756</v>
      </c>
      <c r="C680" s="27" t="s">
        <v>780</v>
      </c>
      <c r="D680" s="27" t="s">
        <v>694</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864</v>
      </c>
      <c r="B681" s="27" t="s">
        <v>755</v>
      </c>
      <c r="C681" s="27" t="s">
        <v>782</v>
      </c>
      <c r="D681" s="27" t="s">
        <v>694</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725</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846</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844</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814</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960</v>
      </c>
      <c r="B686" s="27" t="s">
        <v>737</v>
      </c>
      <c r="C686" s="27" t="s">
        <v>733</v>
      </c>
      <c r="D686" s="27" t="s">
        <v>694</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726</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690</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987</v>
      </c>
      <c r="B689" s="27" t="s">
        <v>886</v>
      </c>
      <c r="C689" s="27" t="s">
        <v>693</v>
      </c>
      <c r="D689" s="27" t="s">
        <v>694</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988</v>
      </c>
      <c r="B690" s="27" t="s">
        <v>713</v>
      </c>
      <c r="C690" s="27" t="s">
        <v>733</v>
      </c>
      <c r="D690" s="27" t="s">
        <v>694</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989</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846</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718</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708</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738</v>
      </c>
      <c r="B695" s="27" t="s">
        <v>983</v>
      </c>
      <c r="C695" s="27" t="s">
        <v>733</v>
      </c>
      <c r="D695" s="27" t="s">
        <v>694</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993</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860</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1009</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998</v>
      </c>
      <c r="B699" s="27" t="s">
        <v>1010</v>
      </c>
      <c r="C699" s="27" t="s">
        <v>733</v>
      </c>
      <c r="D699" s="27" t="s">
        <v>694</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1011</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1012</v>
      </c>
      <c r="B701" s="27" t="s">
        <v>798</v>
      </c>
      <c r="C701" s="27" t="s">
        <v>733</v>
      </c>
      <c r="D701" s="27" t="s">
        <v>694</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787</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1013</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1014</v>
      </c>
      <c r="B704" s="27" t="s">
        <v>1010</v>
      </c>
      <c r="C704" s="27" t="s">
        <v>788</v>
      </c>
      <c r="D704" s="27" t="s">
        <v>694</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1001</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730</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865</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730</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1009</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988</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814</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980</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1015</v>
      </c>
      <c r="B713" s="27" t="s">
        <v>900</v>
      </c>
      <c r="C713" s="27" t="s">
        <v>780</v>
      </c>
      <c r="D713" s="27" t="s">
        <v>694</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1016</v>
      </c>
      <c r="B714" s="27" t="s">
        <v>902</v>
      </c>
      <c r="C714" s="27" t="s">
        <v>782</v>
      </c>
      <c r="D714" s="27" t="s">
        <v>694</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739</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1017</v>
      </c>
      <c r="B716" s="27" t="s">
        <v>900</v>
      </c>
      <c r="C716" s="27" t="s">
        <v>887</v>
      </c>
      <c r="D716" s="27" t="s">
        <v>694</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1001</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730</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725</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865</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696</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721</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834</v>
      </c>
      <c r="B723" s="27" t="s">
        <v>1018</v>
      </c>
      <c r="C723" s="27" t="s">
        <v>693</v>
      </c>
      <c r="D723" s="27" t="s">
        <v>694</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696</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690</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1019</v>
      </c>
      <c r="B726" s="27" t="s">
        <v>1020</v>
      </c>
      <c r="C726" s="27" t="s">
        <v>693</v>
      </c>
      <c r="D726" s="27" t="s">
        <v>694</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699</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row>
    <row r="729" spans="1:12">
      <c r="A729" s="20" t="s">
        <v>1021</v>
      </c>
    </row>
    <row r="730" spans="1:12">
      <c r="A730" s="20" t="s">
        <v>1022</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869</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969</v>
      </c>
      <c r="B732" s="27" t="s">
        <v>692</v>
      </c>
      <c r="C732" s="27" t="s">
        <v>788</v>
      </c>
      <c r="D732" s="27" t="s">
        <v>694</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871</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872</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1023</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725</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690</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838</v>
      </c>
      <c r="B738" s="27" t="s">
        <v>698</v>
      </c>
      <c r="C738" s="27" t="s">
        <v>693</v>
      </c>
      <c r="D738" s="27" t="s">
        <v>694</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696</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829</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249</v>
      </c>
      <c r="B741" s="27" t="s">
        <v>737</v>
      </c>
      <c r="C741" s="27" t="s">
        <v>693</v>
      </c>
      <c r="D741" s="27" t="s">
        <v>694</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846</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690</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838</v>
      </c>
      <c r="B744" s="27" t="s">
        <v>698</v>
      </c>
      <c r="C744" s="27" t="s">
        <v>693</v>
      </c>
      <c r="D744" s="27" t="s">
        <v>694</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696</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690</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962</v>
      </c>
      <c r="B747" s="27" t="s">
        <v>737</v>
      </c>
      <c r="C747" s="27" t="s">
        <v>693</v>
      </c>
      <c r="D747" s="27" t="s">
        <v>694</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846</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721</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1024</v>
      </c>
      <c r="B750" s="27" t="s">
        <v>823</v>
      </c>
      <c r="C750" s="27" t="s">
        <v>693</v>
      </c>
      <c r="D750" s="27" t="s">
        <v>694</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814</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774</v>
      </c>
      <c r="B752" s="27" t="s">
        <v>698</v>
      </c>
      <c r="C752" s="27" t="s">
        <v>707</v>
      </c>
      <c r="D752" s="27" t="s">
        <v>694</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696</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721</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1025</v>
      </c>
      <c r="B755" s="27" t="s">
        <v>737</v>
      </c>
      <c r="C755" s="27" t="s">
        <v>693</v>
      </c>
      <c r="D755" s="27" t="s">
        <v>694</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696</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690</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1026</v>
      </c>
      <c r="B758" s="27" t="s">
        <v>755</v>
      </c>
      <c r="C758" s="27" t="s">
        <v>693</v>
      </c>
      <c r="D758" s="27" t="s">
        <v>694</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862</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747</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441</v>
      </c>
      <c r="B761" s="27" t="s">
        <v>755</v>
      </c>
      <c r="C761" s="27" t="s">
        <v>693</v>
      </c>
      <c r="D761" s="27" t="s">
        <v>694</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696</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697</v>
      </c>
      <c r="B763" s="27" t="s">
        <v>756</v>
      </c>
      <c r="C763" s="27" t="s">
        <v>716</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699</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row>
    <row r="766" spans="1:12">
      <c r="A766" s="20" t="s">
        <v>1027</v>
      </c>
    </row>
    <row r="767" spans="1:12">
      <c r="A767" s="20" t="s">
        <v>744</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838</v>
      </c>
      <c r="B768" s="27" t="s">
        <v>692</v>
      </c>
      <c r="C768" s="27" t="s">
        <v>693</v>
      </c>
      <c r="D768" s="27" t="s">
        <v>694</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696</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690</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962</v>
      </c>
      <c r="B771" s="27" t="s">
        <v>737</v>
      </c>
      <c r="C771" s="27" t="s">
        <v>693</v>
      </c>
      <c r="D771" s="27" t="s">
        <v>694</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814</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826</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1028</v>
      </c>
      <c r="B774" s="27" t="s">
        <v>698</v>
      </c>
      <c r="C774" s="27" t="s">
        <v>776</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773</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1029</v>
      </c>
      <c r="B776" s="27" t="s">
        <v>698</v>
      </c>
      <c r="C776" s="27" t="s">
        <v>716</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699</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row>
    <row r="779" spans="1:12">
      <c r="A779" s="20" t="s">
        <v>1030</v>
      </c>
    </row>
    <row r="780" spans="1:12">
      <c r="A780" s="20" t="s">
        <v>868</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906</v>
      </c>
      <c r="B781" s="27" t="s">
        <v>692</v>
      </c>
      <c r="C781" s="27" t="s">
        <v>819</v>
      </c>
      <c r="D781" s="27" t="s">
        <v>694</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1031</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1032</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1033</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826</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1034</v>
      </c>
      <c r="B786" s="27" t="s">
        <v>698</v>
      </c>
      <c r="C786" s="27" t="s">
        <v>782</v>
      </c>
      <c r="D786" s="27" t="s">
        <v>694</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1035</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696</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895</v>
      </c>
      <c r="B789" s="27" t="s">
        <v>755</v>
      </c>
      <c r="C789" s="27" t="s">
        <v>780</v>
      </c>
      <c r="D789" s="27" t="s">
        <v>694</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859</v>
      </c>
      <c r="B790" s="27" t="s">
        <v>737</v>
      </c>
      <c r="C790" s="27" t="s">
        <v>782</v>
      </c>
      <c r="D790" s="27" t="s">
        <v>694</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12</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1036</v>
      </c>
      <c r="B792" s="27" t="s">
        <v>823</v>
      </c>
      <c r="C792" s="27" t="s">
        <v>819</v>
      </c>
      <c r="D792" s="27" t="s">
        <v>694</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974</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821</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1037</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699</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row>
    <row r="798" spans="1:12">
      <c r="A798" s="20" t="s">
        <v>1038</v>
      </c>
    </row>
    <row r="799" spans="1:12">
      <c r="A799" s="20" t="s">
        <v>1039</v>
      </c>
      <c r="B799" s="27" t="s">
        <v>692</v>
      </c>
      <c r="C799" s="27" t="s">
        <v>707</v>
      </c>
      <c r="D799" s="27" t="s">
        <v>694</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887</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1040</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1041</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1042</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696</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721</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1029</v>
      </c>
      <c r="B806" s="27" t="s">
        <v>706</v>
      </c>
      <c r="C806" s="27" t="s">
        <v>693</v>
      </c>
      <c r="D806" s="27" t="s">
        <v>694</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725</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992</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885</v>
      </c>
      <c r="B809" s="27" t="s">
        <v>823</v>
      </c>
      <c r="C809" s="27" t="s">
        <v>707</v>
      </c>
      <c r="D809" s="27" t="s">
        <v>694</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1031</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718</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150</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774</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922</v>
      </c>
      <c r="B814" s="27" t="s">
        <v>830</v>
      </c>
      <c r="C814" s="27" t="s">
        <v>776</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699</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row>
    <row r="817" spans="1:12">
      <c r="A817" s="20" t="s">
        <v>1043</v>
      </c>
    </row>
    <row r="818" spans="1:12">
      <c r="A818" s="20" t="s">
        <v>985</v>
      </c>
      <c r="B818" s="27" t="s">
        <v>823</v>
      </c>
      <c r="C818" s="27" t="s">
        <v>819</v>
      </c>
      <c r="D818" s="27" t="s">
        <v>694</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814</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895</v>
      </c>
      <c r="B820" s="27" t="s">
        <v>737</v>
      </c>
      <c r="C820" s="27" t="s">
        <v>780</v>
      </c>
      <c r="D820" s="27" t="s">
        <v>694</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859</v>
      </c>
      <c r="B821" s="27" t="s">
        <v>692</v>
      </c>
      <c r="C821" s="27" t="s">
        <v>782</v>
      </c>
      <c r="D821" s="27" t="s">
        <v>694</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708</v>
      </c>
      <c r="B822" s="27" t="s">
        <v>709</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803</v>
      </c>
      <c r="B823" s="27" t="s">
        <v>830</v>
      </c>
      <c r="C823" s="27" t="s">
        <v>733</v>
      </c>
      <c r="D823" s="27" t="s">
        <v>694</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1040</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696</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721</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1029</v>
      </c>
      <c r="B827" s="27" t="s">
        <v>755</v>
      </c>
      <c r="C827" s="27" t="s">
        <v>693</v>
      </c>
      <c r="D827" s="27" t="s">
        <v>694</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725</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739</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821</v>
      </c>
      <c r="B830" s="27" t="s">
        <v>756</v>
      </c>
      <c r="C830" s="27" t="s">
        <v>716</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725</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262</v>
      </c>
      <c r="B832" s="27" t="s">
        <v>737</v>
      </c>
      <c r="C832" s="27" t="s">
        <v>819</v>
      </c>
      <c r="D832" s="27" t="s">
        <v>694</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809</v>
      </c>
      <c r="B833" s="27" t="s">
        <v>713</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803</v>
      </c>
      <c r="B834" s="27" t="s">
        <v>886</v>
      </c>
      <c r="C834" s="27" t="s">
        <v>733</v>
      </c>
      <c r="D834" s="27" t="s">
        <v>694</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1044</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696</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895</v>
      </c>
      <c r="B837" s="27" t="s">
        <v>715</v>
      </c>
      <c r="C837" s="27" t="s">
        <v>780</v>
      </c>
      <c r="D837" s="27" t="s">
        <v>694</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858</v>
      </c>
      <c r="B838" s="27" t="s">
        <v>756</v>
      </c>
      <c r="C838" s="27" t="s">
        <v>782</v>
      </c>
      <c r="D838" s="27" t="s">
        <v>694</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814</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774</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922</v>
      </c>
      <c r="B841" s="27" t="s">
        <v>698</v>
      </c>
      <c r="C841" s="27" t="s">
        <v>776</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699</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row>
    <row r="844" spans="1:12">
      <c r="A844" s="20" t="s">
        <v>1045</v>
      </c>
    </row>
    <row r="845" spans="1:12">
      <c r="A845" s="20" t="s">
        <v>868</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1046</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838</v>
      </c>
      <c r="B847" s="27" t="s">
        <v>706</v>
      </c>
      <c r="C847" s="27" t="s">
        <v>707</v>
      </c>
      <c r="D847" s="27" t="s">
        <v>694</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145</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1033</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826</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914</v>
      </c>
      <c r="B851" s="27" t="s">
        <v>737</v>
      </c>
      <c r="C851" s="27" t="s">
        <v>776</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699</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row>
    <row r="854" spans="1:12">
      <c r="A854" s="20" t="s">
        <v>1047</v>
      </c>
    </row>
    <row r="855" spans="1:12">
      <c r="A855" s="20" t="s">
        <v>702</v>
      </c>
      <c r="B855" s="27" t="s">
        <v>692</v>
      </c>
      <c r="C855" s="27" t="s">
        <v>733</v>
      </c>
      <c r="D855" s="27" t="s">
        <v>694</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814</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1048</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773</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774</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1049</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1050</v>
      </c>
      <c r="B861" s="27" t="s">
        <v>698</v>
      </c>
      <c r="C861" s="27" t="s">
        <v>776</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699</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row>
    <row r="864" spans="1:12">
      <c r="A864" s="20" t="s">
        <v>1051</v>
      </c>
    </row>
    <row r="865" spans="1:12">
      <c r="A865" s="20" t="s">
        <v>1052</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721</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1053</v>
      </c>
      <c r="B867" s="27" t="s">
        <v>692</v>
      </c>
      <c r="C867" s="27" t="s">
        <v>693</v>
      </c>
      <c r="D867" s="27" t="s">
        <v>694</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1054</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1055</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774</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1056</v>
      </c>
      <c r="B871" s="27" t="s">
        <v>706</v>
      </c>
      <c r="C871" s="27" t="s">
        <v>776</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1057</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699</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row>
    <row r="875" spans="1:12">
      <c r="A875" s="20" t="s">
        <v>1058</v>
      </c>
    </row>
    <row r="876" spans="1:12">
      <c r="A876" s="20" t="s">
        <v>904</v>
      </c>
      <c r="B876" s="27" t="s">
        <v>692</v>
      </c>
      <c r="C876" s="27" t="s">
        <v>733</v>
      </c>
      <c r="D876" s="27" t="s">
        <v>694</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887</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913</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1041</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1059</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862</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721</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1060</v>
      </c>
      <c r="B883" s="27" t="s">
        <v>737</v>
      </c>
      <c r="C883" s="27" t="s">
        <v>693</v>
      </c>
      <c r="D883" s="27" t="s">
        <v>694</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699</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row>
    <row r="886" spans="1:12">
      <c r="A886" s="20" t="s">
        <v>1061</v>
      </c>
    </row>
    <row r="887" spans="1:12">
      <c r="A887" s="20" t="s">
        <v>944</v>
      </c>
      <c r="B887" s="27" t="s">
        <v>692</v>
      </c>
      <c r="C887" s="27" t="s">
        <v>819</v>
      </c>
      <c r="D887" s="27" t="s">
        <v>694</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824</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814</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742</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1062</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696</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1063</v>
      </c>
      <c r="B893" s="27" t="s">
        <v>737</v>
      </c>
      <c r="C893" s="27" t="s">
        <v>780</v>
      </c>
      <c r="D893" s="27" t="s">
        <v>694</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1014</v>
      </c>
      <c r="B894" s="27" t="s">
        <v>698</v>
      </c>
      <c r="C894" s="27" t="s">
        <v>782</v>
      </c>
      <c r="D894" s="27" t="s">
        <v>694</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725</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795</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1064</v>
      </c>
      <c r="B897" s="27" t="s">
        <v>823</v>
      </c>
      <c r="C897" s="27" t="s">
        <v>819</v>
      </c>
      <c r="D897" s="27" t="s">
        <v>694</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829</v>
      </c>
      <c r="B898" s="27" t="s">
        <v>762</v>
      </c>
      <c r="C898" s="27" t="s">
        <v>733</v>
      </c>
      <c r="D898" s="27" t="s">
        <v>694</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928</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718</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829</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1065</v>
      </c>
      <c r="B902" s="27" t="s">
        <v>737</v>
      </c>
      <c r="C902" s="27" t="s">
        <v>782</v>
      </c>
      <c r="D902" s="27" t="s">
        <v>694</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696</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950</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1050</v>
      </c>
      <c r="B905" s="27" t="s">
        <v>755</v>
      </c>
      <c r="C905" s="27" t="s">
        <v>788</v>
      </c>
      <c r="D905" s="27" t="s">
        <v>694</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725</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862</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721</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723</v>
      </c>
      <c r="B909" s="27" t="s">
        <v>737</v>
      </c>
      <c r="C909" s="27" t="s">
        <v>693</v>
      </c>
      <c r="D909" s="27" t="s">
        <v>694</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353</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699</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row>
    <row r="913" spans="1:12">
      <c r="A913" s="20" t="s">
        <v>1066</v>
      </c>
    </row>
    <row r="914" spans="1:12">
      <c r="A914" s="20" t="s">
        <v>1039</v>
      </c>
      <c r="B914" s="27" t="s">
        <v>692</v>
      </c>
      <c r="C914" s="27" t="s">
        <v>707</v>
      </c>
      <c r="D914" s="27" t="s">
        <v>694</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793</v>
      </c>
      <c r="B915" s="27" t="s">
        <v>706</v>
      </c>
      <c r="C915" s="27" t="s">
        <v>733</v>
      </c>
      <c r="D915" s="27" t="s">
        <v>694</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1067</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696</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1068</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793</v>
      </c>
      <c r="B919" s="27" t="s">
        <v>755</v>
      </c>
      <c r="C919" s="27" t="s">
        <v>780</v>
      </c>
      <c r="D919" s="27" t="s">
        <v>694</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1069</v>
      </c>
      <c r="B920" s="27" t="s">
        <v>762</v>
      </c>
      <c r="C920" s="27" t="s">
        <v>782</v>
      </c>
      <c r="D920" s="27" t="s">
        <v>694</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1070</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721</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240</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1071</v>
      </c>
      <c r="B924" s="27" t="s">
        <v>737</v>
      </c>
      <c r="C924" s="27" t="s">
        <v>693</v>
      </c>
      <c r="D924" s="27" t="s">
        <v>694</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699</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row>
    <row r="927" spans="1:12">
      <c r="A927" s="20" t="s">
        <v>1072</v>
      </c>
    </row>
    <row r="928" spans="1:12">
      <c r="A928" s="20" t="s">
        <v>921</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829</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1073</v>
      </c>
      <c r="B930" s="27" t="s">
        <v>706</v>
      </c>
      <c r="C930" s="27" t="s">
        <v>693</v>
      </c>
      <c r="D930" s="27" t="s">
        <v>694</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696</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869</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1053</v>
      </c>
      <c r="B933" s="27" t="s">
        <v>737</v>
      </c>
      <c r="C933" s="27" t="s">
        <v>953</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699</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row>
    <row r="936" spans="1:12">
      <c r="A936" s="20" t="s">
        <v>700</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1074</v>
      </c>
    </row>
    <row r="938" spans="1:12">
      <c r="A938" s="20" t="s">
        <v>1075</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1076</v>
      </c>
      <c r="B939" s="27" t="s">
        <v>692</v>
      </c>
      <c r="C939" s="27" t="s">
        <v>693</v>
      </c>
      <c r="D939" s="27" t="s">
        <v>694</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814</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860</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730</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1077</v>
      </c>
      <c r="B943" s="27" t="s">
        <v>692</v>
      </c>
      <c r="C943" s="27" t="s">
        <v>887</v>
      </c>
      <c r="D943" s="27" t="s">
        <v>694</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704</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1078</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690</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742</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1001</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730</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985</v>
      </c>
      <c r="B950" s="27" t="s">
        <v>823</v>
      </c>
      <c r="C950" s="27" t="s">
        <v>819</v>
      </c>
      <c r="D950" s="27" t="s">
        <v>694</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814</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774</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1076</v>
      </c>
      <c r="B953" s="27" t="s">
        <v>706</v>
      </c>
      <c r="C953" s="27" t="s">
        <v>776</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872</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1079</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699</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row>
    <row r="958" spans="1:12">
      <c r="A958" s="20" t="s">
        <v>1080</v>
      </c>
    </row>
    <row r="959" spans="1:12">
      <c r="A959" s="20" t="s">
        <v>702</v>
      </c>
      <c r="B959" s="27" t="s">
        <v>692</v>
      </c>
      <c r="C959" s="27" t="s">
        <v>733</v>
      </c>
      <c r="D959" s="27" t="s">
        <v>694</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814</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1081</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809</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690</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1082</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1083</v>
      </c>
      <c r="B965" s="27" t="s">
        <v>823</v>
      </c>
      <c r="C965" s="27" t="s">
        <v>887</v>
      </c>
      <c r="D965" s="27" t="s">
        <v>694</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704</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742</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1078</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699</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row>
    <row r="971" spans="1:12">
      <c r="A971" s="20" t="s">
        <v>1084</v>
      </c>
    </row>
    <row r="972" spans="1:12">
      <c r="A972" s="20" t="s">
        <v>1085</v>
      </c>
      <c r="B972" s="27" t="s">
        <v>737</v>
      </c>
      <c r="C972" s="27" t="s">
        <v>780</v>
      </c>
      <c r="D972" s="27" t="s">
        <v>694</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1086</v>
      </c>
      <c r="B973" s="27" t="s">
        <v>692</v>
      </c>
      <c r="C973" s="27" t="s">
        <v>782</v>
      </c>
      <c r="D973" s="27" t="s">
        <v>694</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1087</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742</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1088</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725</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846</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832</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1089</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1090</v>
      </c>
      <c r="B981" s="27" t="s">
        <v>698</v>
      </c>
      <c r="C981" s="27" t="s">
        <v>893</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696</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1091</v>
      </c>
      <c r="B983" s="27" t="s">
        <v>737</v>
      </c>
      <c r="C983" s="27" t="s">
        <v>716</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832</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690</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1082</v>
      </c>
      <c r="B986" s="27" t="s">
        <v>737</v>
      </c>
      <c r="C986" s="27" t="s">
        <v>693</v>
      </c>
      <c r="D986" s="27" t="s">
        <v>694</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1092</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725</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1083</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1093</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796</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725</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795</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1094</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742</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699</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row>
    <row r="998" spans="1:12">
      <c r="A998" s="20" t="s">
        <v>700</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1095</v>
      </c>
    </row>
    <row r="1000" spans="1:12">
      <c r="A1000" s="20" t="s">
        <v>765</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88</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774</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854</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1076</v>
      </c>
      <c r="B1004" s="27" t="s">
        <v>706</v>
      </c>
      <c r="C1004" s="27" t="s">
        <v>776</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860</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730</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1096</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1097</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1098</v>
      </c>
      <c r="B1009" s="27" t="s">
        <v>737</v>
      </c>
      <c r="C1009" s="27" t="s">
        <v>893</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787</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1053</v>
      </c>
      <c r="B1011" s="27" t="s">
        <v>823</v>
      </c>
      <c r="C1011" s="27" t="s">
        <v>788</v>
      </c>
      <c r="D1011" s="27" t="s">
        <v>694</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799</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1099</v>
      </c>
      <c r="B1013" s="27" t="s">
        <v>823</v>
      </c>
      <c r="C1013" s="27" t="s">
        <v>733</v>
      </c>
      <c r="D1013" s="27" t="s">
        <v>694</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18</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1078</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1001</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730</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868</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1100</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774</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1101</v>
      </c>
      <c r="B1021" s="27" t="s">
        <v>830</v>
      </c>
      <c r="C1021" s="27" t="s">
        <v>776</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860</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row>
    <row r="1024" spans="1:12">
      <c r="A1024" s="20" t="s">
        <v>1102</v>
      </c>
    </row>
    <row r="1025" spans="1:12">
      <c r="A1025" s="20" t="s">
        <v>985</v>
      </c>
      <c r="B1025" s="27" t="s">
        <v>823</v>
      </c>
      <c r="C1025" s="27" t="s">
        <v>819</v>
      </c>
      <c r="D1025" s="27" t="s">
        <v>694</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814</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809</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690</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1082</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1092</v>
      </c>
      <c r="B1030" s="27" t="s">
        <v>692</v>
      </c>
      <c r="C1030" s="27" t="s">
        <v>887</v>
      </c>
      <c r="D1030" s="27" t="s">
        <v>694</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704</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826</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741</v>
      </c>
      <c r="B1033" s="27" t="s">
        <v>706</v>
      </c>
      <c r="C1033" s="27" t="s">
        <v>776</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1103</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962</v>
      </c>
      <c r="B1035" s="27" t="s">
        <v>706</v>
      </c>
      <c r="C1035" s="27" t="s">
        <v>716</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696</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747</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1086</v>
      </c>
      <c r="B1038" s="27" t="s">
        <v>737</v>
      </c>
      <c r="C1038" s="27" t="s">
        <v>693</v>
      </c>
      <c r="D1038" s="27" t="s">
        <v>694</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809</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690</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1082</v>
      </c>
      <c r="B1041" s="27" t="s">
        <v>737</v>
      </c>
      <c r="C1041" s="27" t="s">
        <v>693</v>
      </c>
      <c r="D1041" s="27" t="s">
        <v>694</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1104</v>
      </c>
      <c r="B1042" s="27" t="s">
        <v>755</v>
      </c>
      <c r="C1042" s="27" t="s">
        <v>887</v>
      </c>
      <c r="D1042" s="27" t="s">
        <v>694</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row>
    <row r="1044" spans="1:12">
      <c r="A1044" s="20" t="s">
        <v>1105</v>
      </c>
    </row>
    <row r="1045" spans="1:12">
      <c r="A1045" s="20" t="s">
        <v>744</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1106</v>
      </c>
      <c r="B1046" s="27" t="s">
        <v>823</v>
      </c>
      <c r="C1046" s="27" t="s">
        <v>693</v>
      </c>
      <c r="D1046" s="27" t="s">
        <v>694</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696</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721</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1107</v>
      </c>
      <c r="B1049" s="27" t="s">
        <v>755</v>
      </c>
      <c r="C1049" s="27" t="s">
        <v>693</v>
      </c>
      <c r="D1049" s="27" t="s">
        <v>694</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928</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1108</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725</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826</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1098</v>
      </c>
      <c r="B1054" s="27" t="s">
        <v>692</v>
      </c>
      <c r="C1054" s="27" t="s">
        <v>782</v>
      </c>
      <c r="D1054" s="27" t="s">
        <v>694</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872</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1109</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696</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787</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1029</v>
      </c>
      <c r="B1059" s="27" t="s">
        <v>737</v>
      </c>
      <c r="C1059" s="27" t="s">
        <v>788</v>
      </c>
      <c r="D1059" s="27" t="s">
        <v>694</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814</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1110</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1111</v>
      </c>
      <c r="B1062" s="27" t="s">
        <v>692</v>
      </c>
      <c r="C1062" s="27" t="s">
        <v>733</v>
      </c>
      <c r="D1062" s="27" t="s">
        <v>694</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974</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1112</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12</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12</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846</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958</v>
      </c>
      <c r="B1068" s="27" t="s">
        <v>698</v>
      </c>
      <c r="C1068" s="27" t="s">
        <v>707</v>
      </c>
      <c r="D1068" s="27" t="s">
        <v>694</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696</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721</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787</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1113</v>
      </c>
      <c r="B1072" s="27" t="s">
        <v>737</v>
      </c>
      <c r="C1072" s="27" t="s">
        <v>788</v>
      </c>
      <c r="D1072" s="27" t="s">
        <v>694</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824</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928</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1114</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865</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1115</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12</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795</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829</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774</v>
      </c>
      <c r="B1081" s="27" t="s">
        <v>823</v>
      </c>
      <c r="C1081" s="27" t="s">
        <v>707</v>
      </c>
      <c r="D1081" s="27" t="s">
        <v>694</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773</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857</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1111</v>
      </c>
      <c r="B1084" s="27" t="s">
        <v>755</v>
      </c>
      <c r="C1084" s="27" t="s">
        <v>733</v>
      </c>
      <c r="D1084" s="27" t="s">
        <v>694</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888</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974</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445</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1116</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1117</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394</v>
      </c>
      <c r="B1090" s="27" t="s">
        <v>737</v>
      </c>
      <c r="C1090" s="27" t="s">
        <v>887</v>
      </c>
      <c r="D1090" s="27" t="s">
        <v>694</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1118</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795</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829</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774</v>
      </c>
      <c r="B1094" s="27" t="s">
        <v>709</v>
      </c>
      <c r="C1094" s="27" t="s">
        <v>707</v>
      </c>
      <c r="D1094" s="27" t="s">
        <v>694</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773</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857</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1111</v>
      </c>
      <c r="B1097" s="27" t="s">
        <v>756</v>
      </c>
      <c r="C1097" s="27" t="s">
        <v>733</v>
      </c>
      <c r="D1097" s="27" t="s">
        <v>694</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814</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1119</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1103</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809</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829</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1120</v>
      </c>
      <c r="B1103" s="27" t="s">
        <v>755</v>
      </c>
      <c r="C1103" s="27" t="s">
        <v>707</v>
      </c>
      <c r="D1103" s="27" t="s">
        <v>694</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699</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row>
    <row r="1106" spans="1:12">
      <c r="A1106" s="20" t="s">
        <v>1121</v>
      </c>
    </row>
    <row r="1107" spans="1:12">
      <c r="A1107" s="20" t="s">
        <v>868</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747</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1103</v>
      </c>
      <c r="B1109" s="27" t="s">
        <v>692</v>
      </c>
      <c r="C1109" s="27" t="s">
        <v>693</v>
      </c>
      <c r="D1109" s="27" t="s">
        <v>694</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814</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1122</v>
      </c>
      <c r="B1111" s="27" t="s">
        <v>698</v>
      </c>
      <c r="C1111" s="27" t="s">
        <v>819</v>
      </c>
      <c r="D1111" s="27" t="s">
        <v>694</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1123</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747</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1069</v>
      </c>
      <c r="B1114" s="27" t="s">
        <v>823</v>
      </c>
      <c r="C1114" s="27" t="s">
        <v>693</v>
      </c>
      <c r="D1114" s="27" t="s">
        <v>694</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1124</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826</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1125</v>
      </c>
      <c r="B1117" s="27" t="s">
        <v>762</v>
      </c>
      <c r="C1117" s="27" t="s">
        <v>776</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689</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718</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747</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930</v>
      </c>
      <c r="B1121" s="27" t="s">
        <v>756</v>
      </c>
      <c r="C1121" s="27" t="s">
        <v>693</v>
      </c>
      <c r="D1121" s="27" t="s">
        <v>694</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699</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row>
    <row r="1124" spans="1:12">
      <c r="A1124" s="20" t="s">
        <v>1126</v>
      </c>
    </row>
    <row r="1125" spans="1:12">
      <c r="A1125" s="20" t="s">
        <v>985</v>
      </c>
      <c r="B1125" s="27" t="s">
        <v>692</v>
      </c>
      <c r="C1125" s="27" t="s">
        <v>819</v>
      </c>
      <c r="D1125" s="27" t="s">
        <v>694</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814</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774</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1127</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922</v>
      </c>
      <c r="B1129" s="27" t="s">
        <v>698</v>
      </c>
      <c r="C1129" s="27" t="s">
        <v>776</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699</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row>
    <row r="1132" spans="1:12">
      <c r="A1132" s="20" t="s">
        <v>1128</v>
      </c>
    </row>
    <row r="1133" spans="1:12">
      <c r="A1133" s="20" t="s">
        <v>1009</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1129</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1130</v>
      </c>
      <c r="B1135" s="27" t="s">
        <v>692</v>
      </c>
      <c r="C1135" s="27" t="s">
        <v>733</v>
      </c>
      <c r="D1135" s="27" t="s">
        <v>694</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1036</v>
      </c>
      <c r="B1136" s="27" t="s">
        <v>823</v>
      </c>
      <c r="C1136" s="27" t="s">
        <v>819</v>
      </c>
      <c r="D1136" s="27" t="s">
        <v>694</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1001</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row>
    <row r="1139" spans="1:12">
      <c r="A1139" s="20" t="s">
        <v>700</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1131</v>
      </c>
    </row>
    <row r="1141" spans="1:12">
      <c r="A1141" s="20" t="s">
        <v>1132</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803</v>
      </c>
      <c r="B1142" s="27" t="s">
        <v>692</v>
      </c>
      <c r="C1142" s="27" t="s">
        <v>733</v>
      </c>
      <c r="D1142" s="27" t="s">
        <v>694</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1133</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1134</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718</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787</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1135</v>
      </c>
      <c r="B1147" s="27" t="s">
        <v>698</v>
      </c>
      <c r="C1147" s="27" t="s">
        <v>788</v>
      </c>
      <c r="D1147" s="27" t="s">
        <v>694</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725</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1042</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837</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793</v>
      </c>
      <c r="B1151" s="27" t="s">
        <v>737</v>
      </c>
      <c r="C1151" s="27" t="s">
        <v>780</v>
      </c>
      <c r="D1151" s="27" t="s">
        <v>694</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1086</v>
      </c>
      <c r="B1152" s="27" t="s">
        <v>706</v>
      </c>
      <c r="C1152" s="27" t="s">
        <v>782</v>
      </c>
      <c r="D1152" s="27" t="s">
        <v>694</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725</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846</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1136</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1088</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837</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725</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730</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1137</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725</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718</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1097</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1098</v>
      </c>
      <c r="B1164" s="27" t="s">
        <v>756</v>
      </c>
      <c r="C1164" s="27" t="s">
        <v>893</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814</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1138</v>
      </c>
      <c r="B1166" s="27" t="s">
        <v>886</v>
      </c>
      <c r="C1166" s="27" t="s">
        <v>819</v>
      </c>
      <c r="D1166" s="27" t="s">
        <v>694</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809</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906</v>
      </c>
      <c r="B1168" s="27" t="s">
        <v>798</v>
      </c>
      <c r="C1168" s="27" t="s">
        <v>819</v>
      </c>
      <c r="D1168" s="27" t="s">
        <v>694</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704</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947</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1139</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1001</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730</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868</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1092</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740</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696</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721</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1140</v>
      </c>
      <c r="B1179" s="27" t="s">
        <v>737</v>
      </c>
      <c r="C1179" s="27" t="s">
        <v>693</v>
      </c>
      <c r="D1179" s="27" t="s">
        <v>694</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1141</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945</v>
      </c>
      <c r="B1181" s="27" t="s">
        <v>755</v>
      </c>
      <c r="C1181" s="27" t="s">
        <v>716</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809</v>
      </c>
      <c r="B1182" s="27" t="s">
        <v>713</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1104</v>
      </c>
      <c r="B1183" s="27" t="s">
        <v>756</v>
      </c>
      <c r="C1183" s="27" t="s">
        <v>887</v>
      </c>
      <c r="D1183" s="27" t="s">
        <v>694</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1142</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821</v>
      </c>
      <c r="B1185" s="27" t="s">
        <v>715</v>
      </c>
      <c r="C1185" s="27" t="s">
        <v>716</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725</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844</v>
      </c>
      <c r="B1187" s="27" t="s">
        <v>886</v>
      </c>
      <c r="C1187" s="27" t="s">
        <v>819</v>
      </c>
      <c r="D1187" s="27" t="s">
        <v>694</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814</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826</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1143</v>
      </c>
      <c r="B1190" s="27" t="s">
        <v>755</v>
      </c>
      <c r="C1190" s="27" t="s">
        <v>776</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1144</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857</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690</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838</v>
      </c>
      <c r="B1194" s="27" t="s">
        <v>756</v>
      </c>
      <c r="C1194" s="27" t="s">
        <v>693</v>
      </c>
      <c r="D1194" s="27" t="s">
        <v>694</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696</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829</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249</v>
      </c>
      <c r="B1197" s="27" t="s">
        <v>715</v>
      </c>
      <c r="C1197" s="27" t="s">
        <v>693</v>
      </c>
      <c r="D1197" s="27" t="s">
        <v>694</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846</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690</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838</v>
      </c>
      <c r="B1200" s="27" t="s">
        <v>737</v>
      </c>
      <c r="C1200" s="27" t="s">
        <v>693</v>
      </c>
      <c r="D1200" s="27" t="s">
        <v>694</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696</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690</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962</v>
      </c>
      <c r="B1203" s="27" t="s">
        <v>755</v>
      </c>
      <c r="C1203" s="27" t="s">
        <v>693</v>
      </c>
      <c r="D1203" s="27" t="s">
        <v>694</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699</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row>
    <row r="1206" spans="1:12">
      <c r="A1206" s="20" t="s">
        <v>700</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1145</v>
      </c>
    </row>
    <row r="1208" spans="1:12">
      <c r="A1208" s="20" t="s">
        <v>1052</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690</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1098</v>
      </c>
      <c r="B1210" s="27" t="s">
        <v>698</v>
      </c>
      <c r="C1210" s="27" t="s">
        <v>782</v>
      </c>
      <c r="D1210" s="27" t="s">
        <v>694</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696</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1146</v>
      </c>
      <c r="B1212" s="27" t="s">
        <v>698</v>
      </c>
      <c r="C1212" s="27" t="s">
        <v>716</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696</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690</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730</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838</v>
      </c>
      <c r="B1216" s="27" t="s">
        <v>698</v>
      </c>
      <c r="C1216" s="27" t="s">
        <v>707</v>
      </c>
      <c r="D1216" s="27" t="s">
        <v>694</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696</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829</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249</v>
      </c>
      <c r="B1219" s="27" t="s">
        <v>698</v>
      </c>
      <c r="C1219" s="27" t="s">
        <v>693</v>
      </c>
      <c r="D1219" s="27" t="s">
        <v>694</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730</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725</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1147</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725</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1083</v>
      </c>
      <c r="B1224" s="27" t="s">
        <v>709</v>
      </c>
      <c r="C1224" s="27" t="s">
        <v>887</v>
      </c>
      <c r="D1224" s="27" t="s">
        <v>694</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704</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980</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826</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742</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1148</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1149</v>
      </c>
      <c r="B1230" s="27" t="s">
        <v>830</v>
      </c>
      <c r="C1230" s="27" t="s">
        <v>776</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699</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row>
    <row r="1233" spans="1:12">
      <c r="A1233" s="20" t="s">
        <v>1150</v>
      </c>
    </row>
    <row r="1234" spans="1:12">
      <c r="A1234" s="20" t="s">
        <v>1151</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725</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262</v>
      </c>
      <c r="B1236" s="27" t="s">
        <v>706</v>
      </c>
      <c r="C1236" s="27" t="s">
        <v>819</v>
      </c>
      <c r="D1236" s="27" t="s">
        <v>694</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809</v>
      </c>
      <c r="B1237" s="27" t="s">
        <v>762</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829</v>
      </c>
      <c r="B1238" s="27" t="s">
        <v>692</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885</v>
      </c>
      <c r="B1239" s="27" t="s">
        <v>737</v>
      </c>
      <c r="C1239" s="27" t="s">
        <v>707</v>
      </c>
      <c r="D1239" s="27" t="s">
        <v>694</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1152</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1153</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266</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866</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690</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1082</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1092</v>
      </c>
      <c r="B1246" s="27" t="s">
        <v>737</v>
      </c>
      <c r="C1246" s="27" t="s">
        <v>887</v>
      </c>
      <c r="D1246" s="27" t="s">
        <v>694</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725</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846</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725</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739</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821</v>
      </c>
      <c r="B1251" s="27" t="s">
        <v>755</v>
      </c>
      <c r="C1251" s="27" t="s">
        <v>716</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725</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885</v>
      </c>
      <c r="B1253" s="27" t="s">
        <v>823</v>
      </c>
      <c r="C1253" s="27" t="s">
        <v>707</v>
      </c>
      <c r="D1253" s="27" t="s">
        <v>694</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704</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1154</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696</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721</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1155</v>
      </c>
      <c r="B1258" s="27" t="s">
        <v>737</v>
      </c>
      <c r="C1258" s="27" t="s">
        <v>693</v>
      </c>
      <c r="D1258" s="27" t="s">
        <v>694</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1156</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725</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906</v>
      </c>
      <c r="B1261" s="27" t="s">
        <v>709</v>
      </c>
      <c r="C1261" s="27" t="s">
        <v>819</v>
      </c>
      <c r="D1261" s="27" t="s">
        <v>694</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704</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947</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821</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846</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906</v>
      </c>
      <c r="B1266" s="27" t="s">
        <v>886</v>
      </c>
      <c r="C1266" s="27" t="s">
        <v>819</v>
      </c>
      <c r="D1266" s="27" t="s">
        <v>694</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1157</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725</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885</v>
      </c>
      <c r="B1269" s="27" t="s">
        <v>886</v>
      </c>
      <c r="C1269" s="27" t="s">
        <v>707</v>
      </c>
      <c r="D1269" s="27" t="s">
        <v>694</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1152</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1153</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1158</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747</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1159</v>
      </c>
      <c r="B1274" s="27" t="s">
        <v>892</v>
      </c>
      <c r="C1274" s="27" t="s">
        <v>693</v>
      </c>
      <c r="D1274" s="27" t="s">
        <v>694</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696</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747</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1086</v>
      </c>
      <c r="B1277" s="27" t="s">
        <v>800</v>
      </c>
      <c r="C1277" s="27" t="s">
        <v>693</v>
      </c>
      <c r="D1277" s="27" t="s">
        <v>694</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696</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690</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1082</v>
      </c>
      <c r="B1280" s="27" t="s">
        <v>720</v>
      </c>
      <c r="C1280" s="27" t="s">
        <v>693</v>
      </c>
      <c r="D1280" s="27" t="s">
        <v>694</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1092</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1042</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739</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1160</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690</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1161</v>
      </c>
      <c r="B1286" s="27" t="s">
        <v>1010</v>
      </c>
      <c r="C1286" s="27" t="s">
        <v>693</v>
      </c>
      <c r="D1286" s="27" t="s">
        <v>694</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718</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829</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1162</v>
      </c>
      <c r="B1289" s="27" t="s">
        <v>800</v>
      </c>
      <c r="C1289" s="27" t="s">
        <v>693</v>
      </c>
      <c r="D1289" s="27" t="s">
        <v>694</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725</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897</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833</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690</v>
      </c>
      <c r="B1293" s="27" t="s">
        <v>896</v>
      </c>
      <c r="C1293" s="27" t="s">
        <v>733</v>
      </c>
      <c r="D1293" s="27" t="s">
        <v>694</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1163</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994</v>
      </c>
      <c r="B1295" s="27" t="s">
        <v>886</v>
      </c>
      <c r="C1295" s="27" t="s">
        <v>887</v>
      </c>
      <c r="D1295" s="27" t="s">
        <v>694</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704</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832</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1164</v>
      </c>
      <c r="B1298" s="27" t="s">
        <v>756</v>
      </c>
      <c r="C1298" s="27" t="s">
        <v>716</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696</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266</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180</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690</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1082</v>
      </c>
      <c r="B1303" s="27" t="s">
        <v>892</v>
      </c>
      <c r="C1303" s="27" t="s">
        <v>693</v>
      </c>
      <c r="D1303" s="27" t="s">
        <v>694</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725</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795</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1042</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826</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1165</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725</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846</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741</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1166</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851</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1167</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699</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row>
    <row r="1317" spans="1:12">
      <c r="A1317" s="20" t="s">
        <v>700</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1168</v>
      </c>
    </row>
    <row r="1319" spans="1:12">
      <c r="A1319" s="20" t="s">
        <v>1142</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1169</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906</v>
      </c>
      <c r="B1321" s="27" t="s">
        <v>762</v>
      </c>
      <c r="C1321" s="27" t="s">
        <v>819</v>
      </c>
      <c r="D1321" s="27" t="s">
        <v>694</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1170</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1171</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952</v>
      </c>
      <c r="B1324" s="27" t="s">
        <v>737</v>
      </c>
      <c r="C1324" s="27" t="s">
        <v>893</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725</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998</v>
      </c>
      <c r="B1326" s="27" t="s">
        <v>692</v>
      </c>
      <c r="C1326" s="27" t="s">
        <v>733</v>
      </c>
      <c r="D1326" s="27" t="s">
        <v>694</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1172</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774</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1173</v>
      </c>
      <c r="B1329" s="27" t="s">
        <v>706</v>
      </c>
      <c r="C1329" s="27" t="s">
        <v>776</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832</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690</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690</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858</v>
      </c>
      <c r="B1333" s="27" t="s">
        <v>698</v>
      </c>
      <c r="C1333" s="27" t="s">
        <v>693</v>
      </c>
      <c r="D1333" s="27" t="s">
        <v>694</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730</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838</v>
      </c>
      <c r="B1335" s="27" t="s">
        <v>737</v>
      </c>
      <c r="C1335" s="27" t="s">
        <v>707</v>
      </c>
      <c r="D1335" s="27" t="s">
        <v>694</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696</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829</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249</v>
      </c>
      <c r="B1338" s="27" t="s">
        <v>755</v>
      </c>
      <c r="C1338" s="27" t="s">
        <v>693</v>
      </c>
      <c r="D1338" s="27" t="s">
        <v>694</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730</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696</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690</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1082</v>
      </c>
      <c r="B1342" s="27" t="s">
        <v>737</v>
      </c>
      <c r="C1342" s="27" t="s">
        <v>693</v>
      </c>
      <c r="D1342" s="27" t="s">
        <v>694</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1092</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725</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846</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774</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1174</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1175</v>
      </c>
      <c r="B1348" s="27" t="s">
        <v>698</v>
      </c>
      <c r="C1348" s="27" t="s">
        <v>776</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832</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899</v>
      </c>
      <c r="B1350" s="27" t="s">
        <v>755</v>
      </c>
      <c r="C1350" s="27" t="s">
        <v>780</v>
      </c>
      <c r="D1350" s="27" t="s">
        <v>694</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730</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838</v>
      </c>
      <c r="B1352" s="27" t="s">
        <v>737</v>
      </c>
      <c r="C1352" s="27" t="s">
        <v>707</v>
      </c>
      <c r="D1352" s="27" t="s">
        <v>694</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696</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690</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962</v>
      </c>
      <c r="B1355" s="27" t="s">
        <v>755</v>
      </c>
      <c r="C1355" s="27" t="s">
        <v>693</v>
      </c>
      <c r="D1355" s="27" t="s">
        <v>694</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730</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725</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1132</v>
      </c>
      <c r="B1358" s="27" t="s">
        <v>737</v>
      </c>
      <c r="C1358" s="27" t="s">
        <v>887</v>
      </c>
      <c r="D1358" s="27" t="s">
        <v>694</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998</v>
      </c>
      <c r="B1359" s="27" t="s">
        <v>709</v>
      </c>
      <c r="C1359" s="27" t="s">
        <v>733</v>
      </c>
      <c r="D1359" s="27" t="s">
        <v>694</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1176</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1177</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1178</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718</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690</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1082</v>
      </c>
      <c r="B1365" s="27" t="s">
        <v>755</v>
      </c>
      <c r="C1365" s="27" t="s">
        <v>693</v>
      </c>
      <c r="D1365" s="27" t="s">
        <v>694</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1092</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774</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1179</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922</v>
      </c>
      <c r="B1369" s="27" t="s">
        <v>756</v>
      </c>
      <c r="C1369" s="27" t="s">
        <v>776</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718</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1180</v>
      </c>
      <c r="B1371" s="27" t="s">
        <v>715</v>
      </c>
      <c r="C1371" s="27" t="s">
        <v>782</v>
      </c>
      <c r="D1371" s="27" t="s">
        <v>694</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696</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262</v>
      </c>
      <c r="B1373" s="27" t="s">
        <v>800</v>
      </c>
      <c r="C1373" s="27" t="s">
        <v>819</v>
      </c>
      <c r="D1373" s="27" t="s">
        <v>694</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851</v>
      </c>
      <c r="B1374" s="27" t="s">
        <v>902</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738</v>
      </c>
      <c r="B1375" s="27" t="s">
        <v>1181</v>
      </c>
      <c r="C1375" s="27" t="s">
        <v>733</v>
      </c>
      <c r="D1375" s="27" t="s">
        <v>694</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704</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858</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699</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row>
    <row r="1380" spans="1:12">
      <c r="A1380" s="20" t="s">
        <v>1182</v>
      </c>
    </row>
    <row r="1381" spans="1:12">
      <c r="A1381" s="20" t="s">
        <v>1183</v>
      </c>
      <c r="B1381" s="27" t="s">
        <v>698</v>
      </c>
      <c r="C1381" s="27" t="s">
        <v>1184</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814</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1138</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708</v>
      </c>
      <c r="B1384" s="27" t="s">
        <v>823</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1185</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774</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922</v>
      </c>
      <c r="B1387" s="27" t="s">
        <v>762</v>
      </c>
      <c r="C1387" s="27" t="s">
        <v>776</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1001</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row>
    <row r="1390" spans="1:12">
      <c r="A1390" s="20" t="s">
        <v>1186</v>
      </c>
    </row>
    <row r="1391" spans="1:12">
      <c r="A1391" s="20" t="s">
        <v>868</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844</v>
      </c>
      <c r="B1392" s="27" t="s">
        <v>692</v>
      </c>
      <c r="C1392" s="27" t="s">
        <v>819</v>
      </c>
      <c r="D1392" s="27" t="s">
        <v>694</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814</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907</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696</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721</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1029</v>
      </c>
      <c r="B1397" s="27" t="s">
        <v>698</v>
      </c>
      <c r="C1397" s="27" t="s">
        <v>693</v>
      </c>
      <c r="D1397" s="27" t="s">
        <v>694</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708</v>
      </c>
      <c r="B1398" s="27" t="s">
        <v>709</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803</v>
      </c>
      <c r="B1399" s="27" t="s">
        <v>830</v>
      </c>
      <c r="C1399" s="27" t="s">
        <v>733</v>
      </c>
      <c r="D1399" s="27" t="s">
        <v>694</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871</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1187</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1033</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895</v>
      </c>
      <c r="B1403" s="27" t="s">
        <v>756</v>
      </c>
      <c r="C1403" s="27" t="s">
        <v>780</v>
      </c>
      <c r="D1403" s="27" t="s">
        <v>694</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859</v>
      </c>
      <c r="B1404" s="27" t="s">
        <v>755</v>
      </c>
      <c r="C1404" s="27" t="s">
        <v>782</v>
      </c>
      <c r="D1404" s="27" t="s">
        <v>694</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725</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1188</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696</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721</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1029</v>
      </c>
      <c r="B1409" s="27" t="s">
        <v>756</v>
      </c>
      <c r="C1409" s="27" t="s">
        <v>693</v>
      </c>
      <c r="D1409" s="27" t="s">
        <v>694</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809</v>
      </c>
      <c r="B1410" s="27" t="s">
        <v>1010</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829</v>
      </c>
      <c r="B1411" s="27" t="s">
        <v>798</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885</v>
      </c>
      <c r="B1412" s="27" t="s">
        <v>720</v>
      </c>
      <c r="C1412" s="27" t="s">
        <v>707</v>
      </c>
      <c r="D1412" s="27" t="s">
        <v>694</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1189</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699</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row>
    <row r="1416" spans="1:12">
      <c r="A1416" s="20" t="s">
        <v>1190</v>
      </c>
    </row>
    <row r="1417" spans="1:12">
      <c r="A1417" s="20" t="s">
        <v>944</v>
      </c>
      <c r="B1417" s="27" t="s">
        <v>698</v>
      </c>
      <c r="C1417" s="27" t="s">
        <v>819</v>
      </c>
      <c r="D1417" s="27" t="s">
        <v>694</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708</v>
      </c>
      <c r="B1418" s="27" t="s">
        <v>709</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1185</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774</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922</v>
      </c>
      <c r="B1421" s="27" t="s">
        <v>830</v>
      </c>
      <c r="C1421" s="27" t="s">
        <v>776</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725</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262</v>
      </c>
      <c r="B1423" s="27" t="s">
        <v>692</v>
      </c>
      <c r="C1423" s="27" t="s">
        <v>819</v>
      </c>
      <c r="D1423" s="27" t="s">
        <v>694</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871</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721</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1191</v>
      </c>
      <c r="B1426" s="27" t="s">
        <v>698</v>
      </c>
      <c r="C1426" s="27" t="s">
        <v>693</v>
      </c>
      <c r="D1426" s="27" t="s">
        <v>694</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879</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696</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1192</v>
      </c>
      <c r="B1429" s="27" t="s">
        <v>698</v>
      </c>
      <c r="C1429" s="27" t="s">
        <v>716</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880</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725</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721</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1193</v>
      </c>
      <c r="B1433" s="27" t="s">
        <v>698</v>
      </c>
      <c r="C1433" s="27" t="s">
        <v>693</v>
      </c>
      <c r="D1433" s="27" t="s">
        <v>694</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1194</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846</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747</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930</v>
      </c>
      <c r="B1437" s="27" t="s">
        <v>698</v>
      </c>
      <c r="C1437" s="27" t="s">
        <v>693</v>
      </c>
      <c r="D1437" s="27" t="s">
        <v>694</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699</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row>
    <row r="1440" spans="1:12">
      <c r="A1440" s="20" t="s">
        <v>1195</v>
      </c>
    </row>
    <row r="1441" spans="1:12">
      <c r="A1441" s="20" t="s">
        <v>744</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1106</v>
      </c>
      <c r="B1442" s="27" t="s">
        <v>692</v>
      </c>
      <c r="C1442" s="27" t="s">
        <v>693</v>
      </c>
      <c r="D1442" s="27" t="s">
        <v>694</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802</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814</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872</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725</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872</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1196</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846</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725</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862</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986</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914</v>
      </c>
      <c r="B1453" s="27" t="s">
        <v>737</v>
      </c>
      <c r="C1453" s="27" t="s">
        <v>788</v>
      </c>
      <c r="D1453" s="27" t="s">
        <v>694</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725</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747</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930</v>
      </c>
      <c r="B1456" s="27" t="s">
        <v>698</v>
      </c>
      <c r="C1456" s="27" t="s">
        <v>693</v>
      </c>
      <c r="D1456" s="27" t="s">
        <v>694</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1197</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689</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699</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row>
    <row r="1461" spans="1:12">
      <c r="A1461" s="20" t="s">
        <v>700</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1198</v>
      </c>
    </row>
    <row r="1463" spans="1:12">
      <c r="A1463" s="20" t="s">
        <v>1199</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725</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690</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730</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838</v>
      </c>
      <c r="B1467" s="27" t="s">
        <v>692</v>
      </c>
      <c r="C1467" s="27" t="s">
        <v>707</v>
      </c>
      <c r="D1467" s="27" t="s">
        <v>694</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696</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829</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249</v>
      </c>
      <c r="B1470" s="27" t="s">
        <v>737</v>
      </c>
      <c r="C1470" s="27" t="s">
        <v>693</v>
      </c>
      <c r="D1470" s="27" t="s">
        <v>694</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730</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975</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863</v>
      </c>
      <c r="B1473" s="27" t="s">
        <v>737</v>
      </c>
      <c r="C1473" s="27" t="s">
        <v>780</v>
      </c>
      <c r="D1473" s="27" t="s">
        <v>694</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864</v>
      </c>
      <c r="B1474" s="27" t="s">
        <v>706</v>
      </c>
      <c r="C1474" s="27" t="s">
        <v>782</v>
      </c>
      <c r="D1474" s="27" t="s">
        <v>694</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862</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747</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1200</v>
      </c>
      <c r="B1477" s="27" t="s">
        <v>698</v>
      </c>
      <c r="C1477" s="27" t="s">
        <v>693</v>
      </c>
      <c r="D1477" s="27" t="s">
        <v>694</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699</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row>
    <row r="1480" spans="1:12">
      <c r="A1480" s="20" t="s">
        <v>1201</v>
      </c>
    </row>
    <row r="1481" spans="1:12">
      <c r="A1481" s="20" t="s">
        <v>702</v>
      </c>
      <c r="B1481" s="27" t="s">
        <v>692</v>
      </c>
      <c r="C1481" s="27" t="s">
        <v>733</v>
      </c>
      <c r="D1481" s="27" t="s">
        <v>694</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1202</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721</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1113</v>
      </c>
      <c r="B1484" s="27" t="s">
        <v>698</v>
      </c>
      <c r="C1484" s="27" t="s">
        <v>693</v>
      </c>
      <c r="D1484" s="27" t="s">
        <v>694</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725</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721</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774</v>
      </c>
      <c r="B1487" s="27" t="s">
        <v>698</v>
      </c>
      <c r="C1487" s="27" t="s">
        <v>707</v>
      </c>
      <c r="D1487" s="27" t="s">
        <v>694</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837</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721</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761</v>
      </c>
      <c r="B1490" s="27" t="s">
        <v>737</v>
      </c>
      <c r="C1490" s="27" t="s">
        <v>707</v>
      </c>
      <c r="D1490" s="27" t="s">
        <v>694</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699</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row>
    <row r="1493" spans="1:12">
      <c r="A1493" s="20" t="s">
        <v>1203</v>
      </c>
    </row>
    <row r="1494" spans="1:12">
      <c r="A1494" s="20" t="s">
        <v>868</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996</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998</v>
      </c>
      <c r="B1496" s="27" t="s">
        <v>823</v>
      </c>
      <c r="C1496" s="27" t="s">
        <v>733</v>
      </c>
      <c r="D1496" s="27" t="s">
        <v>694</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1204</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262</v>
      </c>
      <c r="B1498" s="27" t="s">
        <v>762</v>
      </c>
      <c r="C1498" s="27" t="s">
        <v>819</v>
      </c>
      <c r="D1498" s="27" t="s">
        <v>694</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708</v>
      </c>
      <c r="B1499" s="27" t="s">
        <v>886</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1205</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718</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787</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1193</v>
      </c>
      <c r="B1503" s="27" t="s">
        <v>756</v>
      </c>
      <c r="C1503" s="27" t="s">
        <v>788</v>
      </c>
      <c r="D1503" s="27" t="s">
        <v>694</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725</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747</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1206</v>
      </c>
      <c r="B1506" s="27" t="s">
        <v>692</v>
      </c>
      <c r="C1506" s="27" t="s">
        <v>693</v>
      </c>
      <c r="D1506" s="27" t="s">
        <v>694</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814</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937</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1207</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860</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1208</v>
      </c>
      <c r="B1511" s="27" t="s">
        <v>823</v>
      </c>
      <c r="C1511" s="27" t="s">
        <v>733</v>
      </c>
      <c r="D1511" s="27" t="s">
        <v>694</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871</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1209</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718</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1210</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699</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row>
    <row r="1518" spans="1:12">
      <c r="A1518" s="20" t="s">
        <v>1211</v>
      </c>
    </row>
    <row r="1519" spans="1:12">
      <c r="A1519" s="20" t="s">
        <v>944</v>
      </c>
      <c r="B1519" s="27" t="s">
        <v>698</v>
      </c>
      <c r="C1519" s="27" t="s">
        <v>819</v>
      </c>
      <c r="D1519" s="27" t="s">
        <v>694</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809</v>
      </c>
      <c r="B1520" s="27" t="s">
        <v>713</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997</v>
      </c>
      <c r="B1521" s="27" t="s">
        <v>709</v>
      </c>
      <c r="C1521" s="27" t="s">
        <v>733</v>
      </c>
      <c r="D1521" s="27" t="s">
        <v>694</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905</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487</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725</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844</v>
      </c>
      <c r="B1525" s="27" t="s">
        <v>692</v>
      </c>
      <c r="C1525" s="27" t="s">
        <v>819</v>
      </c>
      <c r="D1525" s="27" t="s">
        <v>694</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814</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809</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747</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1212</v>
      </c>
      <c r="B1529" s="27" t="s">
        <v>756</v>
      </c>
      <c r="C1529" s="27" t="s">
        <v>716</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696</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721</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1213</v>
      </c>
      <c r="B1532" s="27" t="s">
        <v>756</v>
      </c>
      <c r="C1532" s="27" t="s">
        <v>782</v>
      </c>
      <c r="D1532" s="27" t="s">
        <v>694</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696</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895</v>
      </c>
      <c r="B1534" s="27" t="s">
        <v>800</v>
      </c>
      <c r="C1534" s="27" t="s">
        <v>780</v>
      </c>
      <c r="D1534" s="27" t="s">
        <v>694</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864</v>
      </c>
      <c r="B1535" s="27" t="s">
        <v>715</v>
      </c>
      <c r="C1535" s="27" t="s">
        <v>782</v>
      </c>
      <c r="D1535" s="27" t="s">
        <v>694</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12</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846</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1214</v>
      </c>
      <c r="B1538" s="27" t="s">
        <v>983</v>
      </c>
      <c r="C1538" s="27" t="s">
        <v>733</v>
      </c>
      <c r="D1538" s="27" t="s">
        <v>694</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1215</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1216</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12</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690</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976</v>
      </c>
      <c r="B1543" s="27" t="s">
        <v>823</v>
      </c>
      <c r="C1543" s="27" t="s">
        <v>693</v>
      </c>
      <c r="D1543" s="27" t="s">
        <v>694</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1217</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814</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773</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1218</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17</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1071</v>
      </c>
      <c r="B1549" s="27" t="s">
        <v>698</v>
      </c>
      <c r="C1549" s="27" t="s">
        <v>953</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699</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row>
    <row r="1552" spans="1:12">
      <c r="A1552" s="20" t="s">
        <v>1219</v>
      </c>
    </row>
    <row r="1553" spans="1:12">
      <c r="A1553" s="20" t="s">
        <v>944</v>
      </c>
      <c r="B1553" s="27" t="s">
        <v>698</v>
      </c>
      <c r="C1553" s="27" t="s">
        <v>819</v>
      </c>
      <c r="D1553" s="27" t="s">
        <v>694</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708</v>
      </c>
      <c r="B1554" s="27" t="s">
        <v>823</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1220</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725</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739</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1081</v>
      </c>
      <c r="B1558" s="27" t="s">
        <v>755</v>
      </c>
      <c r="C1558" s="27" t="s">
        <v>716</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725</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851</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738</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703</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739</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704</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1218</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1221</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1222</v>
      </c>
      <c r="B1567" s="27" t="s">
        <v>830</v>
      </c>
      <c r="C1567" s="27" t="s">
        <v>953</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1223</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773</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774</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864</v>
      </c>
      <c r="B1571" s="27" t="s">
        <v>756</v>
      </c>
      <c r="C1571" s="27" t="s">
        <v>776</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699</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row>
    <row r="1574" spans="1:12">
      <c r="A1574" s="20" t="s">
        <v>1224</v>
      </c>
    </row>
    <row r="1575" spans="1:12">
      <c r="A1575" s="20" t="s">
        <v>1142</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826</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1225</v>
      </c>
      <c r="B1577" s="27" t="s">
        <v>698</v>
      </c>
      <c r="C1577" s="27" t="s">
        <v>776</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725</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906</v>
      </c>
      <c r="B1579" s="27" t="s">
        <v>692</v>
      </c>
      <c r="C1579" s="27" t="s">
        <v>819</v>
      </c>
      <c r="D1579" s="27" t="s">
        <v>694</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821</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1218</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1226</v>
      </c>
      <c r="B1582" s="27" t="s">
        <v>706</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699</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row>
    <row r="1585" spans="1:12">
      <c r="A1585" s="20" t="s">
        <v>1227</v>
      </c>
    </row>
    <row r="1586" spans="1:12">
      <c r="A1586" s="20" t="s">
        <v>1075</v>
      </c>
      <c r="B1586" s="27" t="s">
        <v>692</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1212</v>
      </c>
      <c r="B1587" s="27" t="s">
        <v>737</v>
      </c>
      <c r="C1587" s="27" t="s">
        <v>716</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887</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1228</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958</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1229</v>
      </c>
      <c r="B1591" s="27" t="s">
        <v>706</v>
      </c>
      <c r="C1591" s="27" t="s">
        <v>893</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699</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row>
    <row r="1594" spans="1:12">
      <c r="A1594" s="20" t="s">
        <v>700</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1230</v>
      </c>
    </row>
    <row r="1596" spans="1:12">
      <c r="A1596" s="20" t="s">
        <v>1075</v>
      </c>
      <c r="B1596" s="27" t="s">
        <v>692</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1212</v>
      </c>
      <c r="B1597" s="27" t="s">
        <v>737</v>
      </c>
      <c r="C1597" s="27" t="s">
        <v>716</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871</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1231</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1232</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1033</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895</v>
      </c>
      <c r="B1602" s="27" t="s">
        <v>737</v>
      </c>
      <c r="C1602" s="27" t="s">
        <v>780</v>
      </c>
      <c r="D1602" s="27" t="s">
        <v>694</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730</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838</v>
      </c>
      <c r="B1604" s="27" t="s">
        <v>698</v>
      </c>
      <c r="C1604" s="27" t="s">
        <v>707</v>
      </c>
      <c r="D1604" s="27" t="s">
        <v>694</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696</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690</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962</v>
      </c>
      <c r="B1607" s="27" t="s">
        <v>737</v>
      </c>
      <c r="C1607" s="27" t="s">
        <v>693</v>
      </c>
      <c r="D1607" s="27" t="s">
        <v>694</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730</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699</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row>
    <row r="1611" spans="1:12">
      <c r="A1611" s="20" t="s">
        <v>1233</v>
      </c>
    </row>
    <row r="1612" spans="1:12">
      <c r="A1612" s="20" t="s">
        <v>765</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1234</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725</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1235</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998</v>
      </c>
      <c r="B1616" s="27" t="s">
        <v>706</v>
      </c>
      <c r="C1616" s="27" t="s">
        <v>733</v>
      </c>
      <c r="D1616" s="27" t="s">
        <v>694</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1236</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1237</v>
      </c>
      <c r="B1618" s="27" t="s">
        <v>706</v>
      </c>
      <c r="C1618" s="27" t="s">
        <v>716</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851</v>
      </c>
      <c r="B1619" s="27" t="s">
        <v>713</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874</v>
      </c>
      <c r="B1620" s="27" t="s">
        <v>709</v>
      </c>
      <c r="C1620" s="27" t="s">
        <v>733</v>
      </c>
      <c r="D1620" s="27" t="s">
        <v>694</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1238</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711</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725</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809</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262</v>
      </c>
      <c r="B1625" s="27" t="s">
        <v>737</v>
      </c>
      <c r="C1625" s="27" t="s">
        <v>819</v>
      </c>
      <c r="D1625" s="27" t="s">
        <v>694</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708</v>
      </c>
      <c r="B1626" s="27" t="s">
        <v>886</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974</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1239</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1170</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787</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1213</v>
      </c>
      <c r="B1631" s="27" t="s">
        <v>756</v>
      </c>
      <c r="C1631" s="27" t="s">
        <v>788</v>
      </c>
      <c r="D1631" s="27" t="s">
        <v>694</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1123</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885</v>
      </c>
      <c r="B1633" s="27" t="s">
        <v>798</v>
      </c>
      <c r="C1633" s="27" t="s">
        <v>707</v>
      </c>
      <c r="D1633" s="27" t="s">
        <v>694</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975</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774</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249</v>
      </c>
      <c r="B1636" s="27" t="s">
        <v>1010</v>
      </c>
      <c r="C1636" s="27" t="s">
        <v>776</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725</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844</v>
      </c>
      <c r="B1638" s="27" t="s">
        <v>823</v>
      </c>
      <c r="C1638" s="27" t="s">
        <v>819</v>
      </c>
      <c r="D1638" s="27" t="s">
        <v>694</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814</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895</v>
      </c>
      <c r="B1640" s="27" t="s">
        <v>737</v>
      </c>
      <c r="C1640" s="27" t="s">
        <v>780</v>
      </c>
      <c r="D1640" s="27" t="s">
        <v>694</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864</v>
      </c>
      <c r="B1641" s="27" t="s">
        <v>698</v>
      </c>
      <c r="C1641" s="27" t="s">
        <v>782</v>
      </c>
      <c r="D1641" s="27" t="s">
        <v>694</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699</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row>
    <row r="1644" spans="1:12">
      <c r="A1644" s="20" t="s">
        <v>1240</v>
      </c>
    </row>
    <row r="1645" spans="1:12">
      <c r="A1645" s="20" t="s">
        <v>985</v>
      </c>
      <c r="B1645" s="27" t="s">
        <v>692</v>
      </c>
      <c r="C1645" s="27" t="s">
        <v>819</v>
      </c>
      <c r="D1645" s="27" t="s">
        <v>694</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814</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747</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1241</v>
      </c>
      <c r="B1648" s="27" t="s">
        <v>698</v>
      </c>
      <c r="C1648" s="27" t="s">
        <v>693</v>
      </c>
      <c r="D1648" s="27" t="s">
        <v>694</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1242</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809</v>
      </c>
      <c r="B1650" s="27" t="s">
        <v>762</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803</v>
      </c>
      <c r="B1651" s="27" t="s">
        <v>823</v>
      </c>
      <c r="C1651" s="27" t="s">
        <v>733</v>
      </c>
      <c r="D1651" s="27" t="s">
        <v>694</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831</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1223</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696</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895</v>
      </c>
      <c r="B1655" s="27" t="s">
        <v>756</v>
      </c>
      <c r="C1655" s="27" t="s">
        <v>780</v>
      </c>
      <c r="D1655" s="27" t="s">
        <v>694</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864</v>
      </c>
      <c r="B1656" s="27" t="s">
        <v>755</v>
      </c>
      <c r="C1656" s="27" t="s">
        <v>782</v>
      </c>
      <c r="D1656" s="27" t="s">
        <v>694</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786</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1243</v>
      </c>
      <c r="B1658" s="27" t="s">
        <v>756</v>
      </c>
      <c r="C1658" s="27" t="s">
        <v>716</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699</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row>
    <row r="1661" spans="1:12">
      <c r="A1661" s="20" t="s">
        <v>700</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1244</v>
      </c>
    </row>
    <row r="1663" spans="1:12">
      <c r="A1663" s="20" t="s">
        <v>868</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747</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1245</v>
      </c>
      <c r="B1665" s="27" t="s">
        <v>692</v>
      </c>
      <c r="C1665" s="27" t="s">
        <v>693</v>
      </c>
      <c r="D1665" s="27" t="s">
        <v>694</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696</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829</v>
      </c>
      <c r="B1667" s="27" t="s">
        <v>830</v>
      </c>
      <c r="C1667" s="27" t="s">
        <v>733</v>
      </c>
      <c r="D1667" s="27" t="s">
        <v>694</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1246</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725</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1247</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1248</v>
      </c>
      <c r="B1671" s="27" t="s">
        <v>823</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795</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262</v>
      </c>
      <c r="B1673" s="27" t="s">
        <v>886</v>
      </c>
      <c r="C1673" s="27" t="s">
        <v>819</v>
      </c>
      <c r="D1673" s="27" t="s">
        <v>694</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824</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814</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1041</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950</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922</v>
      </c>
      <c r="B1678" s="27" t="s">
        <v>755</v>
      </c>
      <c r="C1678" s="27" t="s">
        <v>788</v>
      </c>
      <c r="D1678" s="27" t="s">
        <v>694</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809</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895</v>
      </c>
      <c r="B1680" s="27" t="s">
        <v>715</v>
      </c>
      <c r="C1680" s="27" t="s">
        <v>780</v>
      </c>
      <c r="D1680" s="27" t="s">
        <v>694</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730</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838</v>
      </c>
      <c r="B1682" s="27" t="s">
        <v>756</v>
      </c>
      <c r="C1682" s="27" t="s">
        <v>707</v>
      </c>
      <c r="D1682" s="27" t="s">
        <v>694</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696</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690</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962</v>
      </c>
      <c r="B1685" s="27" t="s">
        <v>715</v>
      </c>
      <c r="C1685" s="27" t="s">
        <v>693</v>
      </c>
      <c r="D1685" s="27" t="s">
        <v>694</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730</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1249</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699</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row>
    <row r="1690" spans="1:12">
      <c r="A1690" s="20" t="s">
        <v>700</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1250</v>
      </c>
    </row>
    <row r="1692" spans="1:12">
      <c r="A1692" s="20" t="s">
        <v>1096</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690</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802</v>
      </c>
      <c r="B1694" s="27" t="s">
        <v>698</v>
      </c>
      <c r="C1694" s="27" t="s">
        <v>693</v>
      </c>
      <c r="D1694" s="27" t="s">
        <v>694</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725</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803</v>
      </c>
      <c r="B1696" s="27" t="s">
        <v>692</v>
      </c>
      <c r="C1696" s="27" t="s">
        <v>733</v>
      </c>
      <c r="D1696" s="27" t="s">
        <v>694</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1133</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895</v>
      </c>
      <c r="B1698" s="27" t="s">
        <v>698</v>
      </c>
      <c r="C1698" s="27" t="s">
        <v>780</v>
      </c>
      <c r="D1698" s="27" t="s">
        <v>694</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730</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838</v>
      </c>
      <c r="B1700" s="27" t="s">
        <v>698</v>
      </c>
      <c r="C1700" s="27" t="s">
        <v>707</v>
      </c>
      <c r="D1700" s="27" t="s">
        <v>694</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696</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690</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962</v>
      </c>
      <c r="B1703" s="27" t="s">
        <v>698</v>
      </c>
      <c r="C1703" s="27" t="s">
        <v>693</v>
      </c>
      <c r="D1703" s="27" t="s">
        <v>694</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730</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846</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895</v>
      </c>
      <c r="B1706" s="27" t="s">
        <v>737</v>
      </c>
      <c r="C1706" s="27" t="s">
        <v>780</v>
      </c>
      <c r="D1706" s="27" t="s">
        <v>694</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730</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838</v>
      </c>
      <c r="B1708" s="27" t="s">
        <v>698</v>
      </c>
      <c r="C1708" s="27" t="s">
        <v>707</v>
      </c>
      <c r="D1708" s="27" t="s">
        <v>694</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696</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829</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249</v>
      </c>
      <c r="B1711" s="27" t="s">
        <v>737</v>
      </c>
      <c r="C1711" s="27" t="s">
        <v>693</v>
      </c>
      <c r="D1711" s="27" t="s">
        <v>694</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730</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725</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846</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874</v>
      </c>
      <c r="B1715" s="27" t="s">
        <v>823</v>
      </c>
      <c r="C1715" s="27" t="s">
        <v>733</v>
      </c>
      <c r="D1715" s="27" t="s">
        <v>694</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871</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1032</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937</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873</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699</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row>
    <row r="1722" spans="1:12">
      <c r="A1722" s="20" t="s">
        <v>1251</v>
      </c>
    </row>
    <row r="1723" spans="1:12">
      <c r="A1723" s="20" t="s">
        <v>1075</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742</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1252</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861</v>
      </c>
      <c r="B1726" s="27" t="s">
        <v>698</v>
      </c>
      <c r="C1726" s="27" t="s">
        <v>693</v>
      </c>
      <c r="D1726" s="27" t="s">
        <v>694</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857</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1253</v>
      </c>
      <c r="B1728" s="27" t="s">
        <v>737</v>
      </c>
      <c r="C1728" s="27" t="s">
        <v>707</v>
      </c>
      <c r="D1728" s="27" t="s">
        <v>694</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725</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844</v>
      </c>
      <c r="B1730" s="27" t="s">
        <v>692</v>
      </c>
      <c r="C1730" s="27" t="s">
        <v>819</v>
      </c>
      <c r="D1730" s="27" t="s">
        <v>694</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814</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747</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1254</v>
      </c>
      <c r="B1733" s="27" t="s">
        <v>698</v>
      </c>
      <c r="C1733" s="27" t="s">
        <v>693</v>
      </c>
      <c r="D1733" s="27" t="s">
        <v>694</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696</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690</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1255</v>
      </c>
      <c r="B1736" s="27" t="s">
        <v>698</v>
      </c>
      <c r="C1736" s="27" t="s">
        <v>693</v>
      </c>
      <c r="D1736" s="27" t="s">
        <v>694</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699</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row>
    <row r="1739" spans="1:12">
      <c r="A1739" s="20" t="s">
        <v>700</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1256</v>
      </c>
    </row>
    <row r="1741" spans="1:12">
      <c r="A1741" s="20" t="s">
        <v>1052</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690</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1098</v>
      </c>
      <c r="B1743" s="27" t="s">
        <v>698</v>
      </c>
      <c r="C1743" s="27" t="s">
        <v>782</v>
      </c>
      <c r="D1743" s="27" t="s">
        <v>694</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696</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1146</v>
      </c>
      <c r="B1745" s="27" t="s">
        <v>737</v>
      </c>
      <c r="C1745" s="27" t="s">
        <v>716</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696</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1015</v>
      </c>
      <c r="B1747" s="27" t="s">
        <v>755</v>
      </c>
      <c r="C1747" s="27" t="s">
        <v>780</v>
      </c>
      <c r="D1747" s="27" t="s">
        <v>694</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730</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838</v>
      </c>
      <c r="B1749" s="27" t="s">
        <v>737</v>
      </c>
      <c r="C1749" s="27" t="s">
        <v>707</v>
      </c>
      <c r="D1749" s="27" t="s">
        <v>694</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696</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829</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249</v>
      </c>
      <c r="B1752" s="27" t="s">
        <v>737</v>
      </c>
      <c r="C1752" s="27" t="s">
        <v>693</v>
      </c>
      <c r="D1752" s="27" t="s">
        <v>694</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730</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725</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996</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998</v>
      </c>
      <c r="B1756" s="27" t="s">
        <v>692</v>
      </c>
      <c r="C1756" s="27" t="s">
        <v>733</v>
      </c>
      <c r="D1756" s="27" t="s">
        <v>694</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1257</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739</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1258</v>
      </c>
      <c r="B1759" s="27" t="s">
        <v>698</v>
      </c>
      <c r="C1759" s="27" t="s">
        <v>716</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725</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846</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809</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747</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854</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1259</v>
      </c>
      <c r="B1765" s="27" t="s">
        <v>823</v>
      </c>
      <c r="C1765" s="27" t="s">
        <v>693</v>
      </c>
      <c r="D1765" s="27" t="s">
        <v>694</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974</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1239</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796</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741</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809</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747</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1260</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725</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1261</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787</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869</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1262</v>
      </c>
      <c r="B1777" s="27" t="s">
        <v>706</v>
      </c>
      <c r="C1777" s="27" t="s">
        <v>788</v>
      </c>
      <c r="D1777" s="27" t="s">
        <v>694</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696</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1258</v>
      </c>
      <c r="B1779" s="27" t="s">
        <v>737</v>
      </c>
      <c r="C1779" s="27" t="s">
        <v>716</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1263</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869</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1264</v>
      </c>
      <c r="B1782" s="27" t="s">
        <v>737</v>
      </c>
      <c r="C1782" s="27" t="s">
        <v>953</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1265</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851</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774</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1266</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1259</v>
      </c>
      <c r="B1787" s="27" t="s">
        <v>737</v>
      </c>
      <c r="C1787" s="27" t="s">
        <v>776</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699</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row>
    <row r="1790" spans="1:12">
      <c r="A1790" s="20" t="s">
        <v>700</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1267</v>
      </c>
    </row>
    <row r="1792" spans="1:12">
      <c r="A1792" s="20" t="s">
        <v>944</v>
      </c>
      <c r="B1792" s="27" t="s">
        <v>692</v>
      </c>
      <c r="C1792" s="27" t="s">
        <v>819</v>
      </c>
      <c r="D1792" s="27" t="s">
        <v>694</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824</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814</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1041</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696</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690</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689</v>
      </c>
      <c r="B1798" s="27" t="s">
        <v>737</v>
      </c>
      <c r="C1798" s="27" t="s">
        <v>707</v>
      </c>
      <c r="D1798" s="27" t="s">
        <v>694</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1188</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906</v>
      </c>
      <c r="B1800" s="27" t="s">
        <v>698</v>
      </c>
      <c r="C1800" s="27" t="s">
        <v>819</v>
      </c>
      <c r="D1800" s="27" t="s">
        <v>694</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809</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906</v>
      </c>
      <c r="B1802" s="27" t="s">
        <v>823</v>
      </c>
      <c r="C1802" s="27" t="s">
        <v>819</v>
      </c>
      <c r="D1802" s="27" t="s">
        <v>694</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974</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1239</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832</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895</v>
      </c>
      <c r="B1806" s="27" t="s">
        <v>755</v>
      </c>
      <c r="C1806" s="27" t="s">
        <v>780</v>
      </c>
      <c r="D1806" s="27" t="s">
        <v>694</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730</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838</v>
      </c>
      <c r="B1808" s="27" t="s">
        <v>737</v>
      </c>
      <c r="C1808" s="27" t="s">
        <v>707</v>
      </c>
      <c r="D1808" s="27" t="s">
        <v>694</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696</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690</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962</v>
      </c>
      <c r="B1811" s="27" t="s">
        <v>755</v>
      </c>
      <c r="C1811" s="27" t="s">
        <v>693</v>
      </c>
      <c r="D1811" s="27" t="s">
        <v>694</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730</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699</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row>
    <row r="1815" spans="1:12">
      <c r="A1815" s="20" t="s">
        <v>1268</v>
      </c>
    </row>
    <row r="1816" spans="1:12">
      <c r="A1816" s="20" t="s">
        <v>1269</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960</v>
      </c>
      <c r="B1817" s="27" t="s">
        <v>698</v>
      </c>
      <c r="C1817" s="27" t="s">
        <v>733</v>
      </c>
      <c r="D1817" s="27" t="s">
        <v>694</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725</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696</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721</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1258</v>
      </c>
      <c r="B1821" s="27" t="s">
        <v>698</v>
      </c>
      <c r="C1821" s="27" t="s">
        <v>693</v>
      </c>
      <c r="D1821" s="27" t="s">
        <v>694</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696</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869</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1262</v>
      </c>
      <c r="B1824" s="27" t="s">
        <v>737</v>
      </c>
      <c r="C1824" s="27" t="s">
        <v>953</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725</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262</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1270</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718</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1271</v>
      </c>
      <c r="B1829" s="27" t="s">
        <v>737</v>
      </c>
      <c r="C1829" s="27" t="s">
        <v>716</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1272</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851</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774</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1266</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1259</v>
      </c>
      <c r="B1834" s="27" t="s">
        <v>698</v>
      </c>
      <c r="C1834" s="27" t="s">
        <v>776</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828</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851</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890</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962</v>
      </c>
      <c r="B1838" s="27" t="s">
        <v>823</v>
      </c>
      <c r="C1838" s="27" t="s">
        <v>893</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824</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814</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1273</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699</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row>
    <row r="1844" spans="1:12">
      <c r="A1844" s="20" t="s">
        <v>1274</v>
      </c>
    </row>
    <row r="1845" spans="1:12">
      <c r="A1845" s="20" t="s">
        <v>990</v>
      </c>
      <c r="B1845" s="27" t="s">
        <v>692</v>
      </c>
      <c r="C1845" s="27" t="s">
        <v>733</v>
      </c>
      <c r="D1845" s="27" t="s">
        <v>694</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824</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1176</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1041</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1275</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829</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922</v>
      </c>
      <c r="B1851" s="27" t="s">
        <v>706</v>
      </c>
      <c r="C1851" s="27" t="s">
        <v>693</v>
      </c>
      <c r="D1851" s="27" t="s">
        <v>694</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699</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row>
    <row r="1854" spans="1:12">
      <c r="A1854" s="20" t="s">
        <v>700</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1276</v>
      </c>
    </row>
    <row r="1856" spans="1:12">
      <c r="A1856" s="20" t="s">
        <v>1277</v>
      </c>
      <c r="B1856" s="27" t="s">
        <v>698</v>
      </c>
      <c r="C1856" s="27" t="s">
        <v>782</v>
      </c>
      <c r="D1856" s="27" t="s">
        <v>694</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696</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986</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1278</v>
      </c>
      <c r="B1859" s="27" t="s">
        <v>737</v>
      </c>
      <c r="C1859" s="27" t="s">
        <v>788</v>
      </c>
      <c r="D1859" s="27" t="s">
        <v>694</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725</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690</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1255</v>
      </c>
      <c r="B1862" s="27" t="s">
        <v>692</v>
      </c>
      <c r="C1862" s="27" t="s">
        <v>693</v>
      </c>
      <c r="D1862" s="27" t="s">
        <v>694</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814</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739</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821</v>
      </c>
      <c r="B1865" s="27" t="s">
        <v>737</v>
      </c>
      <c r="C1865" s="27" t="s">
        <v>716</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747</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1279</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1280</v>
      </c>
      <c r="B1868" s="27" t="s">
        <v>698</v>
      </c>
      <c r="C1868" s="27" t="s">
        <v>693</v>
      </c>
      <c r="D1868" s="27" t="s">
        <v>694</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708</v>
      </c>
      <c r="B1869" s="27" t="s">
        <v>823</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1281</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895</v>
      </c>
      <c r="B1871" s="27" t="s">
        <v>755</v>
      </c>
      <c r="C1871" s="27" t="s">
        <v>780</v>
      </c>
      <c r="D1871" s="27" t="s">
        <v>694</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730</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838</v>
      </c>
      <c r="B1873" s="27" t="s">
        <v>762</v>
      </c>
      <c r="C1873" s="27" t="s">
        <v>707</v>
      </c>
      <c r="D1873" s="27" t="s">
        <v>694</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696</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690</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962</v>
      </c>
      <c r="B1876" s="27" t="s">
        <v>737</v>
      </c>
      <c r="C1876" s="27" t="s">
        <v>782</v>
      </c>
      <c r="D1876" s="27" t="s">
        <v>694</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730</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696</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895</v>
      </c>
      <c r="B1879" s="27" t="s">
        <v>756</v>
      </c>
      <c r="C1879" s="27" t="s">
        <v>780</v>
      </c>
      <c r="D1879" s="27" t="s">
        <v>694</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730</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838</v>
      </c>
      <c r="B1881" s="27" t="s">
        <v>755</v>
      </c>
      <c r="C1881" s="27" t="s">
        <v>707</v>
      </c>
      <c r="D1881" s="27" t="s">
        <v>694</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696</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829</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249</v>
      </c>
      <c r="B1884" s="27" t="s">
        <v>755</v>
      </c>
      <c r="C1884" s="27" t="s">
        <v>693</v>
      </c>
      <c r="D1884" s="27" t="s">
        <v>694</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730</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699</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row>
    <row r="1888" spans="1:12">
      <c r="A1888" s="20" t="s">
        <v>1282</v>
      </c>
    </row>
    <row r="1889" spans="1:12">
      <c r="A1889" s="20" t="s">
        <v>744</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1255</v>
      </c>
      <c r="B1890" s="27" t="s">
        <v>692</v>
      </c>
      <c r="C1890" s="27" t="s">
        <v>693</v>
      </c>
      <c r="D1890" s="27" t="s">
        <v>694</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824</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704</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809</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1165</v>
      </c>
      <c r="B1894" s="27" t="s">
        <v>706</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773</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1283</v>
      </c>
      <c r="B1896" s="27" t="s">
        <v>737</v>
      </c>
      <c r="C1896" s="27" t="s">
        <v>716</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786</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950</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922</v>
      </c>
      <c r="B1899" s="27" t="s">
        <v>755</v>
      </c>
      <c r="C1899" s="27" t="s">
        <v>788</v>
      </c>
      <c r="D1899" s="27" t="s">
        <v>694</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699</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row>
    <row r="1902" spans="1:12">
      <c r="A1902" s="20" t="s">
        <v>700</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1284</v>
      </c>
    </row>
    <row r="1904" spans="1:12">
      <c r="A1904" s="20" t="s">
        <v>868</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690</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730</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838</v>
      </c>
      <c r="B1907" s="27" t="s">
        <v>692</v>
      </c>
      <c r="C1907" s="27" t="s">
        <v>707</v>
      </c>
      <c r="D1907" s="27" t="s">
        <v>694</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696</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690</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962</v>
      </c>
      <c r="B1910" s="27" t="s">
        <v>737</v>
      </c>
      <c r="C1910" s="27" t="s">
        <v>693</v>
      </c>
      <c r="D1910" s="27" t="s">
        <v>694</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730</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821</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741</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742</v>
      </c>
      <c r="B1914" s="27" t="s">
        <v>706</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809</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1285</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846</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150</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696</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721</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1029</v>
      </c>
      <c r="B1921" s="27" t="s">
        <v>756</v>
      </c>
      <c r="C1921" s="27" t="s">
        <v>693</v>
      </c>
      <c r="D1921" s="27" t="s">
        <v>694</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699</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row>
    <row r="1924" spans="1:12">
      <c r="A1924" s="20" t="s">
        <v>1286</v>
      </c>
    </row>
    <row r="1925" spans="1:12">
      <c r="A1925" s="20" t="s">
        <v>1142</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1287</v>
      </c>
      <c r="B1926" s="27" t="s">
        <v>698</v>
      </c>
      <c r="C1926" s="27" t="s">
        <v>716</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725</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844</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814</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960</v>
      </c>
      <c r="B1930" s="27" t="s">
        <v>698</v>
      </c>
      <c r="C1930" s="27" t="s">
        <v>733</v>
      </c>
      <c r="D1930" s="27" t="s">
        <v>694</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708</v>
      </c>
      <c r="B1931" s="27" t="s">
        <v>823</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1288</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721</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1289</v>
      </c>
      <c r="B1934" s="27" t="s">
        <v>762</v>
      </c>
      <c r="C1934" s="27" t="s">
        <v>693</v>
      </c>
      <c r="D1934" s="27" t="s">
        <v>694</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801</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725</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996</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998</v>
      </c>
      <c r="B1938" s="27" t="s">
        <v>709</v>
      </c>
      <c r="C1938" s="27" t="s">
        <v>733</v>
      </c>
      <c r="D1938" s="27" t="s">
        <v>694</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1176</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826</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1082</v>
      </c>
      <c r="B1941" s="27" t="s">
        <v>830</v>
      </c>
      <c r="C1941" s="27" t="s">
        <v>776</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708</v>
      </c>
      <c r="B1942" s="27" t="s">
        <v>983</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704</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1290</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725</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1291</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725</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869</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1107</v>
      </c>
      <c r="B1949" s="27" t="s">
        <v>823</v>
      </c>
      <c r="C1949" s="27" t="s">
        <v>953</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866</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869</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1292</v>
      </c>
      <c r="B1952" s="27" t="s">
        <v>755</v>
      </c>
      <c r="C1952" s="27" t="s">
        <v>953</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873</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846</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708</v>
      </c>
      <c r="B1955" s="27" t="s">
        <v>983</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1293</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1294</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1295</v>
      </c>
      <c r="B1958" s="27" t="s">
        <v>896</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328</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725</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846</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741</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1005</v>
      </c>
      <c r="B1963" s="27" t="s">
        <v>720</v>
      </c>
      <c r="C1963" s="27" t="s">
        <v>819</v>
      </c>
      <c r="D1963" s="27" t="s">
        <v>694</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851</v>
      </c>
      <c r="B1964" s="27" t="s">
        <v>1296</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738</v>
      </c>
      <c r="B1965" s="27" t="s">
        <v>810</v>
      </c>
      <c r="C1965" s="27" t="s">
        <v>733</v>
      </c>
      <c r="D1965" s="27" t="s">
        <v>694</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1297</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814</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1005</v>
      </c>
      <c r="B1968" s="27" t="s">
        <v>698</v>
      </c>
      <c r="C1968" s="27" t="s">
        <v>819</v>
      </c>
      <c r="D1968" s="27" t="s">
        <v>694</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726</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721</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945</v>
      </c>
      <c r="B1971" s="27" t="s">
        <v>709</v>
      </c>
      <c r="C1971" s="27" t="s">
        <v>693</v>
      </c>
      <c r="D1971" s="27" t="s">
        <v>694</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871</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721</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1166</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1148</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725</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844</v>
      </c>
      <c r="B1977" s="27" t="s">
        <v>709</v>
      </c>
      <c r="C1977" s="27" t="s">
        <v>819</v>
      </c>
      <c r="D1977" s="27" t="s">
        <v>694</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814</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262</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1298</v>
      </c>
      <c r="B1980" s="27" t="s">
        <v>737</v>
      </c>
      <c r="C1980" s="27" t="s">
        <v>788</v>
      </c>
      <c r="D1980" s="27" t="s">
        <v>694</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708</v>
      </c>
      <c r="B1981" s="27" t="s">
        <v>886</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1270</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1299</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699</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row>
    <row r="1986" spans="1:12">
      <c r="A1986" s="20" t="s">
        <v>700</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1300</v>
      </c>
    </row>
    <row r="1988" spans="1:12">
      <c r="A1988" s="20" t="s">
        <v>744</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730</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838</v>
      </c>
      <c r="B1990" s="27" t="s">
        <v>692</v>
      </c>
      <c r="C1990" s="27" t="s">
        <v>707</v>
      </c>
      <c r="D1990" s="27" t="s">
        <v>694</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696</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829</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249</v>
      </c>
      <c r="B1993" s="27" t="s">
        <v>737</v>
      </c>
      <c r="C1993" s="27" t="s">
        <v>693</v>
      </c>
      <c r="D1993" s="27" t="s">
        <v>694</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730</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824</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704</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1041</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899</v>
      </c>
      <c r="B1998" s="27" t="s">
        <v>698</v>
      </c>
      <c r="C1998" s="27" t="s">
        <v>780</v>
      </c>
      <c r="D1998" s="27" t="s">
        <v>694</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822</v>
      </c>
      <c r="B1999" s="27" t="s">
        <v>698</v>
      </c>
      <c r="C1999" s="27" t="s">
        <v>782</v>
      </c>
      <c r="D1999" s="27" t="s">
        <v>694</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718</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487</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862</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262</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1301</v>
      </c>
      <c r="B2004" s="27" t="s">
        <v>737</v>
      </c>
      <c r="C2004" s="27" t="s">
        <v>788</v>
      </c>
      <c r="D2004" s="27" t="s">
        <v>694</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699</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row>
    <row r="2007" spans="1:12">
      <c r="A2007" s="20" t="s">
        <v>1302</v>
      </c>
    </row>
    <row r="2008" spans="1:12">
      <c r="A2008" s="20" t="s">
        <v>1142</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821</v>
      </c>
      <c r="B2009" s="27" t="s">
        <v>755</v>
      </c>
      <c r="C2009" s="27" t="s">
        <v>716</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725</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803</v>
      </c>
      <c r="B2011" s="27" t="s">
        <v>823</v>
      </c>
      <c r="C2011" s="27" t="s">
        <v>733</v>
      </c>
      <c r="D2011" s="27" t="s">
        <v>694</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887</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1303</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1041</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857</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696</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721</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1113</v>
      </c>
      <c r="B2018" s="27" t="s">
        <v>737</v>
      </c>
      <c r="C2018" s="27" t="s">
        <v>693</v>
      </c>
      <c r="D2018" s="27" t="s">
        <v>694</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725</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803</v>
      </c>
      <c r="B2020" s="27" t="s">
        <v>692</v>
      </c>
      <c r="C2020" s="27" t="s">
        <v>733</v>
      </c>
      <c r="D2020" s="27" t="s">
        <v>694</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1303</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857</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696</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721</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945</v>
      </c>
      <c r="B2025" s="27" t="s">
        <v>698</v>
      </c>
      <c r="C2025" s="27" t="s">
        <v>782</v>
      </c>
      <c r="D2025" s="27" t="s">
        <v>694</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696</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787</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1113</v>
      </c>
      <c r="B2028" s="27" t="s">
        <v>737</v>
      </c>
      <c r="C2028" s="27" t="s">
        <v>788</v>
      </c>
      <c r="D2028" s="27" t="s">
        <v>694</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699</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row>
    <row r="2031" spans="1:12">
      <c r="A2031" s="20" t="s">
        <v>1304</v>
      </c>
    </row>
    <row r="2032" spans="1:12">
      <c r="A2032" s="20" t="s">
        <v>868</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1305</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1306</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803</v>
      </c>
      <c r="B2035" s="27" t="s">
        <v>692</v>
      </c>
      <c r="C2035" s="27" t="s">
        <v>733</v>
      </c>
      <c r="D2035" s="27" t="s">
        <v>694</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1307</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718</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690</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1308</v>
      </c>
      <c r="B2039" s="27" t="s">
        <v>698</v>
      </c>
      <c r="C2039" s="27" t="s">
        <v>693</v>
      </c>
      <c r="D2039" s="27" t="s">
        <v>694</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725</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773</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1309</v>
      </c>
      <c r="B2042" s="27" t="s">
        <v>737</v>
      </c>
      <c r="C2042" s="27" t="s">
        <v>716</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803</v>
      </c>
      <c r="B2043" s="27" t="s">
        <v>823</v>
      </c>
      <c r="C2043" s="27" t="s">
        <v>733</v>
      </c>
      <c r="D2043" s="27" t="s">
        <v>694</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824</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703</v>
      </c>
      <c r="B2045" s="27" t="s">
        <v>762</v>
      </c>
      <c r="C2045" s="27" t="s">
        <v>707</v>
      </c>
      <c r="D2045" s="27" t="s">
        <v>694</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1307</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1041</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739</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1310</v>
      </c>
      <c r="B2049" s="27" t="s">
        <v>737</v>
      </c>
      <c r="C2049" s="27" t="s">
        <v>716</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773</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1113</v>
      </c>
      <c r="B2051" s="27" t="s">
        <v>755</v>
      </c>
      <c r="C2051" s="27" t="s">
        <v>716</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699</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row>
    <row r="2054" spans="1:12">
      <c r="A2054" s="20" t="s">
        <v>1311</v>
      </c>
    </row>
    <row r="2055" spans="1:12">
      <c r="A2055" s="20" t="s">
        <v>1312</v>
      </c>
      <c r="B2055" s="27" t="s">
        <v>692</v>
      </c>
      <c r="C2055" s="27" t="s">
        <v>733</v>
      </c>
      <c r="D2055" s="27" t="s">
        <v>694</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1307</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718</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895</v>
      </c>
      <c r="B2058" s="27" t="s">
        <v>737</v>
      </c>
      <c r="C2058" s="27" t="s">
        <v>780</v>
      </c>
      <c r="D2058" s="27" t="s">
        <v>694</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1308</v>
      </c>
      <c r="B2059" s="27" t="s">
        <v>698</v>
      </c>
      <c r="C2059" s="27" t="s">
        <v>782</v>
      </c>
      <c r="D2059" s="27" t="s">
        <v>694</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739</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1313</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721</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945</v>
      </c>
      <c r="B2063" s="27" t="s">
        <v>762</v>
      </c>
      <c r="C2063" s="27" t="s">
        <v>693</v>
      </c>
      <c r="D2063" s="27" t="s">
        <v>694</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699</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row>
    <row r="2066" spans="1:12">
      <c r="A2066" s="20" t="s">
        <v>700</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1314</v>
      </c>
    </row>
    <row r="2068" spans="1:12">
      <c r="A2068" s="20" t="s">
        <v>1039</v>
      </c>
      <c r="B2068" s="27" t="s">
        <v>692</v>
      </c>
      <c r="C2068" s="27" t="s">
        <v>707</v>
      </c>
      <c r="D2068" s="27" t="s">
        <v>694</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888</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974</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1315</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906</v>
      </c>
      <c r="B2072" s="27" t="s">
        <v>762</v>
      </c>
      <c r="C2072" s="27" t="s">
        <v>819</v>
      </c>
      <c r="D2072" s="27" t="s">
        <v>694</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825</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1188</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774</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1316</v>
      </c>
      <c r="B2076" s="27" t="s">
        <v>755</v>
      </c>
      <c r="C2076" s="27" t="s">
        <v>782</v>
      </c>
      <c r="D2076" s="27" t="s">
        <v>694</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696</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690</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730</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838</v>
      </c>
      <c r="B2080" s="27" t="s">
        <v>756</v>
      </c>
      <c r="C2080" s="27" t="s">
        <v>707</v>
      </c>
      <c r="D2080" s="27" t="s">
        <v>694</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696</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690</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962</v>
      </c>
      <c r="B2083" s="27" t="s">
        <v>756</v>
      </c>
      <c r="C2083" s="27" t="s">
        <v>693</v>
      </c>
      <c r="D2083" s="27" t="s">
        <v>694</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730</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846</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974</v>
      </c>
      <c r="B2086" s="27" t="s">
        <v>830</v>
      </c>
      <c r="C2086" s="27" t="s">
        <v>733</v>
      </c>
      <c r="D2086" s="27" t="s">
        <v>694</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1315</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690</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730</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838</v>
      </c>
      <c r="B2090" s="27" t="s">
        <v>755</v>
      </c>
      <c r="C2090" s="27" t="s">
        <v>707</v>
      </c>
      <c r="D2090" s="27" t="s">
        <v>694</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696</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690</v>
      </c>
      <c r="B2092" s="27" t="s">
        <v>892</v>
      </c>
      <c r="C2092" s="27" t="s">
        <v>733</v>
      </c>
      <c r="D2092" s="27" t="s">
        <v>694</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962</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730</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1188</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1317</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696</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1318</v>
      </c>
      <c r="B2098" s="27" t="s">
        <v>756</v>
      </c>
      <c r="C2098" s="27" t="s">
        <v>716</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690</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730</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838</v>
      </c>
      <c r="B2101" s="27" t="s">
        <v>713</v>
      </c>
      <c r="C2101" s="27" t="s">
        <v>707</v>
      </c>
      <c r="D2101" s="27" t="s">
        <v>694</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696</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829</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249</v>
      </c>
      <c r="B2104" s="27" t="s">
        <v>715</v>
      </c>
      <c r="C2104" s="27" t="s">
        <v>693</v>
      </c>
      <c r="D2104" s="27" t="s">
        <v>694</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730</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718</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1319</v>
      </c>
      <c r="B2107" s="27" t="s">
        <v>756</v>
      </c>
      <c r="C2107" s="27" t="s">
        <v>716</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696</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721</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1113</v>
      </c>
      <c r="B2110" s="27" t="s">
        <v>756</v>
      </c>
      <c r="C2110" s="27" t="s">
        <v>693</v>
      </c>
      <c r="D2110" s="27" t="s">
        <v>694</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809</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690</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730</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838</v>
      </c>
      <c r="B2114" s="27" t="s">
        <v>715</v>
      </c>
      <c r="C2114" s="27" t="s">
        <v>707</v>
      </c>
      <c r="D2114" s="27" t="s">
        <v>694</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696</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829</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249</v>
      </c>
      <c r="B2117" s="27" t="s">
        <v>800</v>
      </c>
      <c r="C2117" s="27" t="s">
        <v>693</v>
      </c>
      <c r="D2117" s="27" t="s">
        <v>694</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730</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887</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993</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1041</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699</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row>
    <row r="2124" spans="1:12">
      <c r="A2124" s="20" t="s">
        <v>700</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1320</v>
      </c>
    </row>
    <row r="2126" spans="1:12">
      <c r="A2126" s="20" t="s">
        <v>1321</v>
      </c>
      <c r="B2126" s="27" t="s">
        <v>692</v>
      </c>
      <c r="C2126" s="27" t="s">
        <v>733</v>
      </c>
      <c r="D2126" s="27" t="s">
        <v>694</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1215</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829</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1322</v>
      </c>
      <c r="B2129" s="27" t="s">
        <v>706</v>
      </c>
      <c r="C2129" s="27" t="s">
        <v>693</v>
      </c>
      <c r="D2129" s="27" t="s">
        <v>694</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809</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1306</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829</v>
      </c>
      <c r="B2132" s="27" t="s">
        <v>823</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885</v>
      </c>
      <c r="B2133" s="27" t="s">
        <v>755</v>
      </c>
      <c r="C2133" s="27" t="s">
        <v>707</v>
      </c>
      <c r="D2133" s="27" t="s">
        <v>694</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1323</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739</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1258</v>
      </c>
      <c r="B2136" s="27" t="s">
        <v>737</v>
      </c>
      <c r="C2136" s="27" t="s">
        <v>716</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844</v>
      </c>
      <c r="B2137" s="27" t="s">
        <v>709</v>
      </c>
      <c r="C2137" s="27" t="s">
        <v>819</v>
      </c>
      <c r="D2137" s="27" t="s">
        <v>694</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814</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872</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1324</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725</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844</v>
      </c>
      <c r="B2142" s="27" t="s">
        <v>709</v>
      </c>
      <c r="C2142" s="27" t="s">
        <v>819</v>
      </c>
      <c r="D2142" s="27" t="s">
        <v>694</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814</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718</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487</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851</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885</v>
      </c>
      <c r="B2147" s="27" t="s">
        <v>983</v>
      </c>
      <c r="C2147" s="27" t="s">
        <v>707</v>
      </c>
      <c r="D2147" s="27" t="s">
        <v>694</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1323</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739</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1258</v>
      </c>
      <c r="B2150" s="27" t="s">
        <v>715</v>
      </c>
      <c r="C2150" s="27" t="s">
        <v>716</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725</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773</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774</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1325</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1326</v>
      </c>
      <c r="B2155" s="27" t="s">
        <v>800</v>
      </c>
      <c r="C2155" s="27" t="s">
        <v>776</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725</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718</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721</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1327</v>
      </c>
      <c r="B2159" s="27" t="s">
        <v>720</v>
      </c>
      <c r="C2159" s="27" t="s">
        <v>782</v>
      </c>
      <c r="D2159" s="27" t="s">
        <v>694</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696</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895</v>
      </c>
      <c r="B2161" s="27" t="s">
        <v>900</v>
      </c>
      <c r="C2161" s="27" t="s">
        <v>780</v>
      </c>
      <c r="D2161" s="27" t="s">
        <v>694</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730</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838</v>
      </c>
      <c r="B2163" s="27" t="s">
        <v>724</v>
      </c>
      <c r="C2163" s="27" t="s">
        <v>707</v>
      </c>
      <c r="D2163" s="27" t="s">
        <v>694</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696</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690</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962</v>
      </c>
      <c r="B2166" s="27" t="s">
        <v>724</v>
      </c>
      <c r="C2166" s="27" t="s">
        <v>693</v>
      </c>
      <c r="D2166" s="27" t="s">
        <v>694</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730</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699</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row>
    <row r="2170" spans="1:12">
      <c r="A2170" s="20" t="s">
        <v>1328</v>
      </c>
    </row>
    <row r="2171" spans="1:12">
      <c r="A2171" s="20" t="s">
        <v>868</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725</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997</v>
      </c>
      <c r="B2173" s="27" t="s">
        <v>692</v>
      </c>
      <c r="C2173" s="27" t="s">
        <v>733</v>
      </c>
      <c r="D2173" s="27" t="s">
        <v>694</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1329</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725</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844</v>
      </c>
      <c r="B2176" s="27" t="s">
        <v>823</v>
      </c>
      <c r="C2176" s="27" t="s">
        <v>819</v>
      </c>
      <c r="D2176" s="27" t="s">
        <v>694</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814</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937</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1139</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718</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1330</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699</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row>
    <row r="2184" spans="1:12">
      <c r="A2184" s="20" t="s">
        <v>1331</v>
      </c>
    </row>
    <row r="2185" spans="1:12">
      <c r="A2185" s="20" t="s">
        <v>1142</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1081</v>
      </c>
      <c r="B2186" s="27" t="s">
        <v>698</v>
      </c>
      <c r="C2186" s="27" t="s">
        <v>716</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725</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718</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1097</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1098</v>
      </c>
      <c r="B2190" s="27" t="s">
        <v>698</v>
      </c>
      <c r="C2190" s="27" t="s">
        <v>893</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803</v>
      </c>
      <c r="B2191" s="27" t="s">
        <v>692</v>
      </c>
      <c r="C2191" s="27" t="s">
        <v>733</v>
      </c>
      <c r="D2191" s="27" t="s">
        <v>694</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1332</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1130</v>
      </c>
      <c r="B2193" s="27" t="s">
        <v>706</v>
      </c>
      <c r="C2193" s="27" t="s">
        <v>733</v>
      </c>
      <c r="D2193" s="27" t="s">
        <v>694</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696</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1063</v>
      </c>
      <c r="B2195" s="27" t="s">
        <v>755</v>
      </c>
      <c r="C2195" s="27" t="s">
        <v>780</v>
      </c>
      <c r="D2195" s="27" t="s">
        <v>694</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945</v>
      </c>
      <c r="B2196" s="27" t="s">
        <v>737</v>
      </c>
      <c r="C2196" s="27" t="s">
        <v>782</v>
      </c>
      <c r="D2196" s="27" t="s">
        <v>694</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1001</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row>
    <row r="2199" spans="1:12">
      <c r="A2199" s="20" t="s">
        <v>700</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1333</v>
      </c>
    </row>
    <row r="2201" spans="1:12">
      <c r="A2201" s="20" t="s">
        <v>985</v>
      </c>
      <c r="B2201" s="27" t="s">
        <v>692</v>
      </c>
      <c r="C2201" s="27" t="s">
        <v>819</v>
      </c>
      <c r="D2201" s="27" t="s">
        <v>694</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814</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774</v>
      </c>
      <c r="B2203" s="27" t="s">
        <v>698</v>
      </c>
      <c r="C2203" s="27" t="s">
        <v>707</v>
      </c>
      <c r="D2203" s="27" t="s">
        <v>694</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696</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721</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1334</v>
      </c>
      <c r="B2206" s="27" t="s">
        <v>698</v>
      </c>
      <c r="C2206" s="27" t="s">
        <v>693</v>
      </c>
      <c r="D2206" s="27" t="s">
        <v>694</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708</v>
      </c>
      <c r="B2207" s="27" t="s">
        <v>709</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814</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1335</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832</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747</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1336</v>
      </c>
      <c r="B2212" s="27" t="s">
        <v>755</v>
      </c>
      <c r="C2212" s="27" t="s">
        <v>782</v>
      </c>
      <c r="D2212" s="27" t="s">
        <v>694</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696</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895</v>
      </c>
      <c r="B2214" s="27" t="s">
        <v>715</v>
      </c>
      <c r="C2214" s="27" t="s">
        <v>780</v>
      </c>
      <c r="D2214" s="27" t="s">
        <v>694</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730</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838</v>
      </c>
      <c r="B2216" s="27" t="s">
        <v>756</v>
      </c>
      <c r="C2216" s="27" t="s">
        <v>707</v>
      </c>
      <c r="D2216" s="27" t="s">
        <v>694</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696</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690</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962</v>
      </c>
      <c r="B2219" s="27" t="s">
        <v>756</v>
      </c>
      <c r="C2219" s="27" t="s">
        <v>693</v>
      </c>
      <c r="D2219" s="27" t="s">
        <v>694</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730</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1337</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row>
    <row r="2223" spans="1:12">
      <c r="A2223" s="20" t="s">
        <v>1338</v>
      </c>
    </row>
    <row r="2224" spans="1:12">
      <c r="A2224" s="20" t="s">
        <v>868</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906</v>
      </c>
      <c r="B2225" s="27" t="s">
        <v>692</v>
      </c>
      <c r="C2225" s="27" t="s">
        <v>819</v>
      </c>
      <c r="D2225" s="27" t="s">
        <v>694</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1339</v>
      </c>
      <c r="B2226" s="27" t="s">
        <v>706</v>
      </c>
      <c r="C2226" s="27" t="s">
        <v>733</v>
      </c>
      <c r="D2226" s="27" t="s">
        <v>694</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821</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337</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718</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696</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721</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1258</v>
      </c>
      <c r="B2232" s="27" t="s">
        <v>698</v>
      </c>
      <c r="C2232" s="27" t="s">
        <v>693</v>
      </c>
      <c r="D2232" s="27" t="s">
        <v>694</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809</v>
      </c>
      <c r="B2233" s="27" t="s">
        <v>830</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803</v>
      </c>
      <c r="B2234" s="27" t="s">
        <v>709</v>
      </c>
      <c r="C2234" s="27" t="s">
        <v>733</v>
      </c>
      <c r="D2234" s="27" t="s">
        <v>694</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1340</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1341</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739</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1342</v>
      </c>
      <c r="B2238" s="27" t="s">
        <v>755</v>
      </c>
      <c r="C2238" s="27" t="s">
        <v>887</v>
      </c>
      <c r="D2238" s="27" t="s">
        <v>694</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725</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738</v>
      </c>
      <c r="B2240" s="27" t="s">
        <v>737</v>
      </c>
      <c r="C2240" s="27" t="s">
        <v>733</v>
      </c>
      <c r="D2240" s="27" t="s">
        <v>694</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703</v>
      </c>
      <c r="B2241" s="27" t="s">
        <v>755</v>
      </c>
      <c r="C2241" s="27" t="s">
        <v>707</v>
      </c>
      <c r="D2241" s="27" t="s">
        <v>694</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704</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1171</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723</v>
      </c>
      <c r="B2244" s="27" t="s">
        <v>698</v>
      </c>
      <c r="C2244" s="27" t="s">
        <v>893</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725</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708</v>
      </c>
      <c r="B2246" s="27" t="s">
        <v>709</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1343</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947</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1344</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721</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1265</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1258</v>
      </c>
      <c r="B2252" s="27" t="s">
        <v>737</v>
      </c>
      <c r="C2252" s="27" t="s">
        <v>693</v>
      </c>
      <c r="D2252" s="27" t="s">
        <v>694</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809</v>
      </c>
      <c r="B2253" s="27" t="s">
        <v>713</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1214</v>
      </c>
      <c r="B2254" s="27" t="s">
        <v>886</v>
      </c>
      <c r="C2254" s="27" t="s">
        <v>733</v>
      </c>
      <c r="D2254" s="27" t="s">
        <v>694</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1345</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1210</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1346</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725</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846</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1214</v>
      </c>
      <c r="B2260" s="27" t="s">
        <v>823</v>
      </c>
      <c r="C2260" s="27" t="s">
        <v>733</v>
      </c>
      <c r="D2260" s="27" t="s">
        <v>694</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703</v>
      </c>
      <c r="B2261" s="27" t="s">
        <v>737</v>
      </c>
      <c r="C2261" s="27" t="s">
        <v>707</v>
      </c>
      <c r="D2261" s="27" t="s">
        <v>694</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1347</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937</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1348</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725</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1349</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718</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690</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712</v>
      </c>
      <c r="B2269" s="27" t="s">
        <v>762</v>
      </c>
      <c r="C2269" s="27" t="s">
        <v>693</v>
      </c>
      <c r="D2269" s="27" t="s">
        <v>694</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696</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1264</v>
      </c>
      <c r="B2271" s="27" t="s">
        <v>755</v>
      </c>
      <c r="C2271" s="27" t="s">
        <v>716</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1123</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997</v>
      </c>
      <c r="B2273" s="27" t="s">
        <v>886</v>
      </c>
      <c r="C2273" s="27" t="s">
        <v>733</v>
      </c>
      <c r="D2273" s="27" t="s">
        <v>694</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1329</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718</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918</v>
      </c>
      <c r="B2276" s="27" t="s">
        <v>715</v>
      </c>
      <c r="C2276" s="27" t="s">
        <v>780</v>
      </c>
      <c r="D2276" s="27" t="s">
        <v>694</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761</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1258</v>
      </c>
      <c r="B2278" s="27" t="s">
        <v>756</v>
      </c>
      <c r="C2278" s="27" t="s">
        <v>782</v>
      </c>
      <c r="D2278" s="27" t="s">
        <v>694</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699</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row>
    <row r="2281" spans="1:12">
      <c r="A2281" s="20" t="s">
        <v>1350</v>
      </c>
    </row>
    <row r="2282" spans="1:12">
      <c r="A2282" s="20" t="s">
        <v>1321</v>
      </c>
      <c r="B2282" s="27" t="s">
        <v>692</v>
      </c>
      <c r="C2282" s="27" t="s">
        <v>733</v>
      </c>
      <c r="D2282" s="27" t="s">
        <v>694</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1215</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1351</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1352</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918</v>
      </c>
      <c r="B2286" s="27" t="s">
        <v>737</v>
      </c>
      <c r="C2286" s="27" t="s">
        <v>780</v>
      </c>
      <c r="D2286" s="27" t="s">
        <v>694</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945</v>
      </c>
      <c r="B2287" s="27" t="s">
        <v>706</v>
      </c>
      <c r="C2287" s="27" t="s">
        <v>782</v>
      </c>
      <c r="D2287" s="27" t="s">
        <v>694</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696</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262</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1016</v>
      </c>
      <c r="B2290" s="27" t="s">
        <v>737</v>
      </c>
      <c r="C2290" s="27" t="s">
        <v>788</v>
      </c>
      <c r="D2290" s="27" t="s">
        <v>694</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696</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17</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1262</v>
      </c>
      <c r="B2293" s="27" t="s">
        <v>755</v>
      </c>
      <c r="C2293" s="27" t="s">
        <v>953</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725</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1170</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725</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997</v>
      </c>
      <c r="B2297" s="27" t="s">
        <v>823</v>
      </c>
      <c r="C2297" s="27" t="s">
        <v>733</v>
      </c>
      <c r="D2297" s="27" t="s">
        <v>694</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1353</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725</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718</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1165</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1354</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111</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952</v>
      </c>
      <c r="B2304" s="27" t="s">
        <v>762</v>
      </c>
      <c r="C2304" s="27" t="s">
        <v>953</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1355</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25</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1356</v>
      </c>
      <c r="B2307" s="27" t="s">
        <v>737</v>
      </c>
      <c r="C2307" s="27" t="s">
        <v>953</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699</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row>
    <row r="2310" spans="1:12">
      <c r="A2310" s="20" t="s">
        <v>1357</v>
      </c>
    </row>
    <row r="2311" spans="1:12">
      <c r="A2311" s="20" t="s">
        <v>1358</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725</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996</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1214</v>
      </c>
      <c r="B2314" s="27" t="s">
        <v>823</v>
      </c>
      <c r="C2314" s="27" t="s">
        <v>733</v>
      </c>
      <c r="D2314" s="27" t="s">
        <v>694</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1359</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1360</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774</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1264</v>
      </c>
      <c r="B2318" s="27" t="s">
        <v>737</v>
      </c>
      <c r="C2318" s="27" t="s">
        <v>776</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829</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1361</v>
      </c>
      <c r="B2320" s="27" t="s">
        <v>762</v>
      </c>
      <c r="C2320" s="27" t="s">
        <v>693</v>
      </c>
      <c r="D2320" s="27" t="s">
        <v>694</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708</v>
      </c>
      <c r="B2321" s="27" t="s">
        <v>886</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1362</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1221</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1363</v>
      </c>
      <c r="B2324" s="27" t="s">
        <v>713</v>
      </c>
      <c r="C2324" s="27" t="s">
        <v>953</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725</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1214</v>
      </c>
      <c r="B2326" s="27" t="s">
        <v>692</v>
      </c>
      <c r="C2326" s="27" t="s">
        <v>733</v>
      </c>
      <c r="D2326" s="27" t="s">
        <v>694</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703</v>
      </c>
      <c r="B2327" s="27" t="s">
        <v>698</v>
      </c>
      <c r="C2327" s="27" t="s">
        <v>707</v>
      </c>
      <c r="D2327" s="27" t="s">
        <v>694</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1364</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980</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774</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1365</v>
      </c>
      <c r="B2331" s="27" t="s">
        <v>706</v>
      </c>
      <c r="C2331" s="27" t="s">
        <v>776</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1366</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699</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row>
    <row r="2335" spans="1:12">
      <c r="A2335" s="20" t="s">
        <v>1367</v>
      </c>
    </row>
    <row r="2336" spans="1:12">
      <c r="A2336" s="20" t="s">
        <v>1368</v>
      </c>
      <c r="B2336" s="27" t="s">
        <v>692</v>
      </c>
      <c r="C2336" s="27" t="s">
        <v>819</v>
      </c>
      <c r="D2336" s="27" t="s">
        <v>694</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704</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1369</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1370</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1262</v>
      </c>
      <c r="B2340" s="27" t="s">
        <v>706</v>
      </c>
      <c r="C2340" s="27" t="s">
        <v>953</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846</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718</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690</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802</v>
      </c>
      <c r="B2344" s="27" t="s">
        <v>737</v>
      </c>
      <c r="C2344" s="27" t="s">
        <v>693</v>
      </c>
      <c r="D2344" s="27" t="s">
        <v>694</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906</v>
      </c>
      <c r="B2345" s="27" t="s">
        <v>823</v>
      </c>
      <c r="C2345" s="27" t="s">
        <v>819</v>
      </c>
      <c r="D2345" s="27" t="s">
        <v>694</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887</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821</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851</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774</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1365</v>
      </c>
      <c r="B2350" s="27" t="s">
        <v>762</v>
      </c>
      <c r="C2350" s="27" t="s">
        <v>776</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846</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1371</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689</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718</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690</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742</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699</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row>
    <row r="2359" spans="1:12">
      <c r="A2359" s="20" t="s">
        <v>1372</v>
      </c>
    </row>
    <row r="2360" spans="1:12">
      <c r="A2360" s="20" t="s">
        <v>994</v>
      </c>
      <c r="B2360" s="27" t="s">
        <v>692</v>
      </c>
      <c r="C2360" s="27" t="s">
        <v>819</v>
      </c>
      <c r="D2360" s="27" t="s">
        <v>694</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1373</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1374</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699</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row>
    <row r="2365" spans="1:12">
      <c r="A2365" s="20" t="s">
        <v>1375</v>
      </c>
    </row>
    <row r="2366" spans="1:12">
      <c r="A2366" s="20" t="s">
        <v>702</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814</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1376</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809</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997</v>
      </c>
      <c r="B2370" s="27" t="s">
        <v>823</v>
      </c>
      <c r="C2370" s="27" t="s">
        <v>733</v>
      </c>
      <c r="D2370" s="27" t="s">
        <v>694</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887</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1377</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1041</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1378</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696</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747</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1379</v>
      </c>
      <c r="B2377" s="27" t="s">
        <v>755</v>
      </c>
      <c r="C2377" s="27" t="s">
        <v>693</v>
      </c>
      <c r="D2377" s="27" t="s">
        <v>694</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725</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739</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1380</v>
      </c>
      <c r="B2380" s="27" t="s">
        <v>737</v>
      </c>
      <c r="C2380" s="27" t="s">
        <v>707</v>
      </c>
      <c r="D2380" s="27" t="s">
        <v>694</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809</v>
      </c>
      <c r="B2381" s="27" t="s">
        <v>713</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1214</v>
      </c>
      <c r="B2382" s="27" t="s">
        <v>886</v>
      </c>
      <c r="C2382" s="27" t="s">
        <v>733</v>
      </c>
      <c r="D2382" s="27" t="s">
        <v>694</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1215</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1165</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696</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1381</v>
      </c>
      <c r="B2386" s="27" t="s">
        <v>715</v>
      </c>
      <c r="C2386" s="27" t="s">
        <v>716</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832</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747</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1382</v>
      </c>
      <c r="B2389" s="27" t="s">
        <v>756</v>
      </c>
      <c r="C2389" s="27" t="s">
        <v>782</v>
      </c>
      <c r="D2389" s="27" t="s">
        <v>694</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696</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918</v>
      </c>
      <c r="B2391" s="27" t="s">
        <v>800</v>
      </c>
      <c r="C2391" s="27" t="s">
        <v>780</v>
      </c>
      <c r="D2391" s="27" t="s">
        <v>694</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945</v>
      </c>
      <c r="B2392" s="27" t="s">
        <v>715</v>
      </c>
      <c r="C2392" s="27" t="s">
        <v>782</v>
      </c>
      <c r="D2392" s="27" t="s">
        <v>694</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725</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765</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1305</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996</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998</v>
      </c>
      <c r="B2397" s="27" t="s">
        <v>886</v>
      </c>
      <c r="C2397" s="27" t="s">
        <v>733</v>
      </c>
      <c r="D2397" s="27" t="s">
        <v>694</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739</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1176</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742</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809</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838</v>
      </c>
      <c r="B2402" s="27" t="s">
        <v>715</v>
      </c>
      <c r="C2402" s="27" t="s">
        <v>707</v>
      </c>
      <c r="D2402" s="27" t="s">
        <v>694</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725</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774</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1076</v>
      </c>
      <c r="B2405" s="27" t="s">
        <v>709</v>
      </c>
      <c r="C2405" s="27" t="s">
        <v>776</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1383</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974</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1384</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860</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1385</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1386</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1130</v>
      </c>
      <c r="B2412" s="27" t="s">
        <v>886</v>
      </c>
      <c r="C2412" s="27" t="s">
        <v>733</v>
      </c>
      <c r="D2412" s="27" t="s">
        <v>694</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1387</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696</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1388</v>
      </c>
      <c r="B2415" s="27" t="s">
        <v>800</v>
      </c>
      <c r="C2415" s="27" t="s">
        <v>716</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718</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1063</v>
      </c>
      <c r="B2417" s="27" t="s">
        <v>724</v>
      </c>
      <c r="C2417" s="27" t="s">
        <v>780</v>
      </c>
      <c r="D2417" s="27" t="s">
        <v>694</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945</v>
      </c>
      <c r="B2418" s="27" t="s">
        <v>720</v>
      </c>
      <c r="C2418" s="27" t="s">
        <v>782</v>
      </c>
      <c r="D2418" s="27" t="s">
        <v>694</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725</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739</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1389</v>
      </c>
      <c r="B2421" s="27" t="s">
        <v>756</v>
      </c>
      <c r="C2421" s="27" t="s">
        <v>782</v>
      </c>
      <c r="D2421" s="27" t="s">
        <v>694</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696</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1005</v>
      </c>
      <c r="B2423" s="27" t="s">
        <v>715</v>
      </c>
      <c r="C2423" s="27" t="s">
        <v>819</v>
      </c>
      <c r="D2423" s="27" t="s">
        <v>694</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809</v>
      </c>
      <c r="B2424" s="27" t="s">
        <v>896</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803</v>
      </c>
      <c r="B2425" s="27" t="s">
        <v>804</v>
      </c>
      <c r="C2425" s="27" t="s">
        <v>733</v>
      </c>
      <c r="D2425" s="27" t="s">
        <v>694</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1386</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718</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1063</v>
      </c>
      <c r="B2428" s="27" t="s">
        <v>724</v>
      </c>
      <c r="C2428" s="27" t="s">
        <v>780</v>
      </c>
      <c r="D2428" s="27" t="s">
        <v>694</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1113</v>
      </c>
      <c r="B2429" s="27" t="s">
        <v>720</v>
      </c>
      <c r="C2429" s="27" t="s">
        <v>782</v>
      </c>
      <c r="D2429" s="27" t="s">
        <v>694</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1001</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row>
    <row r="2432" spans="1:12">
      <c r="A2432" s="20" t="s">
        <v>1390</v>
      </c>
    </row>
    <row r="2433" spans="1:12">
      <c r="A2433" s="20" t="s">
        <v>904</v>
      </c>
      <c r="B2433" s="27" t="s">
        <v>692</v>
      </c>
      <c r="C2433" s="27" t="s">
        <v>733</v>
      </c>
      <c r="D2433" s="27" t="s">
        <v>694</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1391</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809</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998</v>
      </c>
      <c r="B2436" s="27" t="s">
        <v>823</v>
      </c>
      <c r="C2436" s="27" t="s">
        <v>733</v>
      </c>
      <c r="D2436" s="27" t="s">
        <v>694</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1392</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718</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774</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249</v>
      </c>
      <c r="B2440" s="27" t="s">
        <v>737</v>
      </c>
      <c r="C2440" s="27" t="s">
        <v>776</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1393</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699</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row>
    <row r="2444" spans="1:12">
      <c r="A2444" s="20" t="s">
        <v>1394</v>
      </c>
    </row>
    <row r="2445" spans="1:12">
      <c r="A2445" s="20" t="s">
        <v>1395</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851</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718</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1396</v>
      </c>
      <c r="B2448" s="27" t="s">
        <v>737</v>
      </c>
      <c r="C2448" s="27" t="s">
        <v>780</v>
      </c>
      <c r="D2448" s="27" t="s">
        <v>694</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1397</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1258</v>
      </c>
      <c r="B2450" s="27" t="s">
        <v>698</v>
      </c>
      <c r="C2450" s="27" t="s">
        <v>782</v>
      </c>
      <c r="D2450" s="27" t="s">
        <v>694</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725</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851</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718</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747</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930</v>
      </c>
      <c r="B2455" s="27" t="s">
        <v>755</v>
      </c>
      <c r="C2455" s="27" t="s">
        <v>782</v>
      </c>
      <c r="D2455" s="27" t="s">
        <v>694</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696</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787</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1258</v>
      </c>
      <c r="B2458" s="27" t="s">
        <v>756</v>
      </c>
      <c r="C2458" s="27" t="s">
        <v>788</v>
      </c>
      <c r="D2458" s="27" t="s">
        <v>694</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725</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1070</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1396</v>
      </c>
      <c r="B2461" s="27" t="s">
        <v>756</v>
      </c>
      <c r="C2461" s="27" t="s">
        <v>780</v>
      </c>
      <c r="D2461" s="27" t="s">
        <v>694</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1363</v>
      </c>
      <c r="B2462" s="27" t="s">
        <v>709</v>
      </c>
      <c r="C2462" s="27" t="s">
        <v>782</v>
      </c>
      <c r="D2462" s="27" t="s">
        <v>694</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1398</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1399</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725</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846</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809</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998</v>
      </c>
      <c r="B2468" s="27" t="s">
        <v>709</v>
      </c>
      <c r="C2468" s="27" t="s">
        <v>733</v>
      </c>
      <c r="D2468" s="27" t="s">
        <v>694</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1400</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826</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1401</v>
      </c>
      <c r="B2471" s="27" t="s">
        <v>830</v>
      </c>
      <c r="C2471" s="27" t="s">
        <v>776</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708</v>
      </c>
      <c r="B2472" s="27" t="s">
        <v>983</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1402</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1403</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696</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1404</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1405</v>
      </c>
      <c r="B2477" s="27" t="s">
        <v>800</v>
      </c>
      <c r="C2477" s="27" t="s">
        <v>716</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809</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998</v>
      </c>
      <c r="B2479" s="27" t="s">
        <v>804</v>
      </c>
      <c r="C2479" s="27" t="s">
        <v>733</v>
      </c>
      <c r="D2479" s="27" t="s">
        <v>694</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887</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998</v>
      </c>
      <c r="B2481" s="27" t="s">
        <v>896</v>
      </c>
      <c r="C2481" s="27" t="s">
        <v>733</v>
      </c>
      <c r="D2481" s="27" t="s">
        <v>694</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1406</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696</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1407</v>
      </c>
      <c r="B2484" s="27" t="s">
        <v>720</v>
      </c>
      <c r="C2484" s="27" t="s">
        <v>707</v>
      </c>
      <c r="D2484" s="27" t="s">
        <v>694</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699</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row>
    <row r="2487" spans="1:12">
      <c r="A2487" s="20" t="s">
        <v>1408</v>
      </c>
    </row>
    <row r="2488" spans="1:12">
      <c r="A2488" s="20" t="s">
        <v>1409</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1223</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725</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1410</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998</v>
      </c>
      <c r="B2492" s="27" t="s">
        <v>706</v>
      </c>
      <c r="C2492" s="27" t="s">
        <v>733</v>
      </c>
      <c r="D2492" s="27" t="s">
        <v>694</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690</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1305</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1411</v>
      </c>
      <c r="B2495" s="27" t="s">
        <v>706</v>
      </c>
      <c r="C2495" s="27" t="s">
        <v>693</v>
      </c>
      <c r="D2495" s="27" t="s">
        <v>694</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696</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1258</v>
      </c>
      <c r="B2497" s="27" t="s">
        <v>737</v>
      </c>
      <c r="C2497" s="27" t="s">
        <v>716</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1001</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row>
    <row r="2500" spans="1:12">
      <c r="A2500" s="20" t="s">
        <v>1412</v>
      </c>
    </row>
    <row r="2501" spans="1:12">
      <c r="A2501" s="20" t="s">
        <v>1117</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394</v>
      </c>
      <c r="B2502" s="27" t="s">
        <v>698</v>
      </c>
      <c r="C2502" s="27" t="s">
        <v>887</v>
      </c>
      <c r="D2502" s="27" t="s">
        <v>694</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1118</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868</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996</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998</v>
      </c>
      <c r="B2506" s="27" t="s">
        <v>709</v>
      </c>
      <c r="C2506" s="27" t="s">
        <v>733</v>
      </c>
      <c r="D2506" s="27" t="s">
        <v>694</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1413</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826</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1120</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1301</v>
      </c>
      <c r="B2510" s="27" t="s">
        <v>830</v>
      </c>
      <c r="C2510" s="27" t="s">
        <v>776</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725</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738</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703</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1152</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826</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1143</v>
      </c>
      <c r="B2516" s="27" t="s">
        <v>762</v>
      </c>
      <c r="C2516" s="27" t="s">
        <v>776</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857</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1396</v>
      </c>
      <c r="B2518" s="27" t="s">
        <v>755</v>
      </c>
      <c r="C2518" s="27" t="s">
        <v>780</v>
      </c>
      <c r="D2518" s="27" t="s">
        <v>694</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869</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969</v>
      </c>
      <c r="B2520" s="27" t="s">
        <v>737</v>
      </c>
      <c r="C2520" s="27" t="s">
        <v>782</v>
      </c>
      <c r="D2520" s="27" t="s">
        <v>694</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725</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846</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998</v>
      </c>
      <c r="B2523" s="27" t="s">
        <v>709</v>
      </c>
      <c r="C2523" s="27" t="s">
        <v>733</v>
      </c>
      <c r="D2523" s="27" t="s">
        <v>694</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1414</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1415</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1110</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1416</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262</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1143</v>
      </c>
      <c r="B2529" s="27" t="s">
        <v>892</v>
      </c>
      <c r="C2529" s="27" t="s">
        <v>788</v>
      </c>
      <c r="D2529" s="27" t="s">
        <v>694</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725</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846</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262</v>
      </c>
      <c r="B2532" s="27" t="s">
        <v>798</v>
      </c>
      <c r="C2532" s="27" t="s">
        <v>819</v>
      </c>
      <c r="D2532" s="27" t="s">
        <v>694</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824</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814</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1032</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1041</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1417</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725</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801</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996</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998</v>
      </c>
      <c r="B2541" s="27" t="s">
        <v>886</v>
      </c>
      <c r="C2541" s="27" t="s">
        <v>733</v>
      </c>
      <c r="D2541" s="27" t="s">
        <v>694</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1418</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739</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1310</v>
      </c>
      <c r="B2544" s="27" t="s">
        <v>756</v>
      </c>
      <c r="C2544" s="27" t="s">
        <v>716</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696</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1419</v>
      </c>
      <c r="B2546" s="27" t="s">
        <v>715</v>
      </c>
      <c r="C2546" s="27" t="s">
        <v>716</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725</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998</v>
      </c>
      <c r="B2548" s="27" t="s">
        <v>709</v>
      </c>
      <c r="C2548" s="27" t="s">
        <v>733</v>
      </c>
      <c r="D2548" s="27" t="s">
        <v>694</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1420</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774</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1206</v>
      </c>
      <c r="B2551" s="27" t="s">
        <v>830</v>
      </c>
      <c r="C2551" s="27" t="s">
        <v>776</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699</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row>
    <row r="2554" spans="1:12">
      <c r="A2554" s="20" t="s">
        <v>1421</v>
      </c>
    </row>
    <row r="2555" spans="1:12">
      <c r="A2555" s="20" t="s">
        <v>868</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996</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998</v>
      </c>
      <c r="B2557" s="27" t="s">
        <v>823</v>
      </c>
      <c r="C2557" s="27" t="s">
        <v>733</v>
      </c>
      <c r="D2557" s="27" t="s">
        <v>694</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1418</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739</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1422</v>
      </c>
      <c r="B2560" s="27" t="s">
        <v>737</v>
      </c>
      <c r="C2560" s="27" t="s">
        <v>716</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696</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945</v>
      </c>
      <c r="B2562" s="27" t="s">
        <v>755</v>
      </c>
      <c r="C2562" s="27" t="s">
        <v>716</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725</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998</v>
      </c>
      <c r="B2564" s="27" t="s">
        <v>692</v>
      </c>
      <c r="C2564" s="27" t="s">
        <v>733</v>
      </c>
      <c r="D2564" s="27" t="s">
        <v>694</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1423</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18</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774</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1120</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1206</v>
      </c>
      <c r="B2569" s="27" t="s">
        <v>762</v>
      </c>
      <c r="C2569" s="27" t="s">
        <v>776</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699</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row>
    <row r="2572" spans="1:12">
      <c r="A2572" s="20" t="s">
        <v>700</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1424</v>
      </c>
    </row>
    <row r="2574" spans="1:12">
      <c r="A2574" s="20" t="s">
        <v>1385</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1297</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1425</v>
      </c>
      <c r="B2576" s="27" t="s">
        <v>692</v>
      </c>
      <c r="C2576" s="27" t="s">
        <v>707</v>
      </c>
      <c r="D2576" s="27" t="s">
        <v>694</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721</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1258</v>
      </c>
      <c r="B2578" s="27" t="s">
        <v>706</v>
      </c>
      <c r="C2578" s="27" t="s">
        <v>693</v>
      </c>
      <c r="D2578" s="27" t="s">
        <v>694</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851</v>
      </c>
      <c r="B2579" s="27" t="s">
        <v>830</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885</v>
      </c>
      <c r="B2580" s="27" t="s">
        <v>709</v>
      </c>
      <c r="C2580" s="27" t="s">
        <v>707</v>
      </c>
      <c r="D2580" s="27" t="s">
        <v>694</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1426</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725</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844</v>
      </c>
      <c r="B2583" s="27" t="s">
        <v>823</v>
      </c>
      <c r="C2583" s="27" t="s">
        <v>819</v>
      </c>
      <c r="D2583" s="27" t="s">
        <v>694</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814</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774</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1427</v>
      </c>
      <c r="B2586" s="27" t="s">
        <v>698</v>
      </c>
      <c r="C2586" s="27" t="s">
        <v>776</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708</v>
      </c>
      <c r="B2587" s="27" t="s">
        <v>709</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803</v>
      </c>
      <c r="B2588" s="27" t="s">
        <v>830</v>
      </c>
      <c r="C2588" s="27" t="s">
        <v>733</v>
      </c>
      <c r="D2588" s="27" t="s">
        <v>694</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1428</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1429</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718</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826</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1301</v>
      </c>
      <c r="B2593" s="27" t="s">
        <v>756</v>
      </c>
      <c r="C2593" s="27" t="s">
        <v>776</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857</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721</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869</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730</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838</v>
      </c>
      <c r="B2598" s="27" t="s">
        <v>715</v>
      </c>
      <c r="C2598" s="27" t="s">
        <v>707</v>
      </c>
      <c r="D2598" s="27" t="s">
        <v>694</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730</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699</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row>
    <row r="2602" spans="1:12">
      <c r="A2602" s="20" t="s">
        <v>700</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1430</v>
      </c>
    </row>
    <row r="2604" spans="1:12">
      <c r="A2604" s="20" t="s">
        <v>1431</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869</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730</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838</v>
      </c>
      <c r="B2607" s="27" t="s">
        <v>692</v>
      </c>
      <c r="C2607" s="27" t="s">
        <v>707</v>
      </c>
      <c r="D2607" s="27" t="s">
        <v>694</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730</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803</v>
      </c>
      <c r="B2609" s="27" t="s">
        <v>706</v>
      </c>
      <c r="C2609" s="27" t="s">
        <v>733</v>
      </c>
      <c r="D2609" s="27" t="s">
        <v>694</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1432</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718</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869</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1433</v>
      </c>
      <c r="B2613" s="27" t="s">
        <v>698</v>
      </c>
      <c r="C2613" s="27" t="s">
        <v>953</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696</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690</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697</v>
      </c>
      <c r="B2616" s="27" t="s">
        <v>737</v>
      </c>
      <c r="C2616" s="27" t="s">
        <v>693</v>
      </c>
      <c r="D2616" s="27" t="s">
        <v>694</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699</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row>
    <row r="2619" spans="1:12">
      <c r="A2619" s="20" t="s">
        <v>1434</v>
      </c>
    </row>
    <row r="2620" spans="1:12">
      <c r="A2620" s="20" t="s">
        <v>702</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703</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704</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1435</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869</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1436</v>
      </c>
      <c r="B2625" s="27" t="s">
        <v>706</v>
      </c>
      <c r="C2625" s="27" t="s">
        <v>953</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696</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690</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697</v>
      </c>
      <c r="B2628" s="27" t="s">
        <v>737</v>
      </c>
      <c r="C2628" s="27" t="s">
        <v>693</v>
      </c>
      <c r="D2628" s="27" t="s">
        <v>694</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708</v>
      </c>
      <c r="B2629" s="27" t="s">
        <v>886</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988</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1437</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718</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1438</v>
      </c>
      <c r="B2633" s="27" t="s">
        <v>756</v>
      </c>
      <c r="C2633" s="27" t="s">
        <v>707</v>
      </c>
      <c r="D2633" s="27" t="s">
        <v>694</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699</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row>
    <row r="2636" spans="1:12">
      <c r="A2636" s="20" t="s">
        <v>700</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1439</v>
      </c>
    </row>
    <row r="2638" spans="1:12">
      <c r="A2638" s="20" t="s">
        <v>1440</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885</v>
      </c>
      <c r="B2639" s="27" t="s">
        <v>692</v>
      </c>
      <c r="C2639" s="27" t="s">
        <v>707</v>
      </c>
      <c r="D2639" s="27" t="s">
        <v>694</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974</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993</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860</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1092</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1097</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1098</v>
      </c>
      <c r="B2645" s="27" t="s">
        <v>737</v>
      </c>
      <c r="C2645" s="27" t="s">
        <v>893</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690</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730</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838</v>
      </c>
      <c r="B2648" s="27" t="s">
        <v>823</v>
      </c>
      <c r="C2648" s="27" t="s">
        <v>707</v>
      </c>
      <c r="D2648" s="27" t="s">
        <v>694</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696</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829</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249</v>
      </c>
      <c r="B2651" s="27" t="s">
        <v>755</v>
      </c>
      <c r="C2651" s="27" t="s">
        <v>693</v>
      </c>
      <c r="D2651" s="27" t="s">
        <v>694</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730</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814</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1441</v>
      </c>
      <c r="B2654" s="27" t="s">
        <v>823</v>
      </c>
      <c r="C2654" s="27" t="s">
        <v>733</v>
      </c>
      <c r="D2654" s="27" t="s">
        <v>694</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763</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1001</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row>
    <row r="2658" spans="1:12">
      <c r="A2658" s="20" t="s">
        <v>700</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1442</v>
      </c>
    </row>
    <row r="2660" spans="1:12">
      <c r="A2660" s="20" t="s">
        <v>1443</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860</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1092</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1097</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1098</v>
      </c>
      <c r="B2664" s="27" t="s">
        <v>698</v>
      </c>
      <c r="C2664" s="27" t="s">
        <v>893</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871</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763</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787</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1193</v>
      </c>
      <c r="B2668" s="27" t="s">
        <v>698</v>
      </c>
      <c r="C2668" s="27" t="s">
        <v>788</v>
      </c>
      <c r="D2668" s="27" t="s">
        <v>694</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862</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747</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864</v>
      </c>
      <c r="B2671" s="27" t="s">
        <v>698</v>
      </c>
      <c r="C2671" s="27" t="s">
        <v>782</v>
      </c>
      <c r="D2671" s="27" t="s">
        <v>694</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696</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690</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730</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838</v>
      </c>
      <c r="B2675" s="27" t="s">
        <v>737</v>
      </c>
      <c r="C2675" s="27" t="s">
        <v>707</v>
      </c>
      <c r="D2675" s="27" t="s">
        <v>694</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696</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829</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249</v>
      </c>
      <c r="B2678" s="27" t="s">
        <v>737</v>
      </c>
      <c r="C2678" s="27" t="s">
        <v>693</v>
      </c>
      <c r="D2678" s="27" t="s">
        <v>694</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730</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1001</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row>
    <row r="2682" spans="1:12">
      <c r="A2682" s="20" t="s">
        <v>1444</v>
      </c>
    </row>
    <row r="2683" spans="1:12">
      <c r="A2683" s="20" t="s">
        <v>1208</v>
      </c>
      <c r="B2683" s="27" t="s">
        <v>692</v>
      </c>
      <c r="C2683" s="27" t="s">
        <v>733</v>
      </c>
      <c r="D2683" s="27" t="s">
        <v>694</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690</v>
      </c>
      <c r="B2684" s="27" t="s">
        <v>706</v>
      </c>
      <c r="C2684" s="27" t="s">
        <v>733</v>
      </c>
      <c r="D2684" s="27" t="s">
        <v>694</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871</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1445</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690</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697</v>
      </c>
      <c r="B2688" s="27" t="s">
        <v>692</v>
      </c>
      <c r="C2688" s="27" t="s">
        <v>693</v>
      </c>
      <c r="D2688" s="27" t="s">
        <v>694</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696</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829</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973</v>
      </c>
      <c r="B2691" s="27" t="s">
        <v>755</v>
      </c>
      <c r="C2691" s="27" t="s">
        <v>716</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814</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826</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1446</v>
      </c>
      <c r="B2694" s="27" t="s">
        <v>698</v>
      </c>
      <c r="C2694" s="27" t="s">
        <v>776</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937</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850</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699</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row>
    <row r="2699" spans="1:12">
      <c r="A2699" s="20" t="s">
        <v>1447</v>
      </c>
    </row>
    <row r="2700" spans="1:12">
      <c r="A2700" s="20" t="s">
        <v>1448</v>
      </c>
      <c r="B2700" s="27" t="s">
        <v>698</v>
      </c>
      <c r="C2700" s="27" t="s">
        <v>1184</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871</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721</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1449</v>
      </c>
      <c r="B2703" s="27" t="s">
        <v>692</v>
      </c>
      <c r="C2703" s="27" t="s">
        <v>693</v>
      </c>
      <c r="D2703" s="27" t="s">
        <v>694</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809</v>
      </c>
      <c r="B2704" s="27" t="s">
        <v>713</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829</v>
      </c>
      <c r="B2705" s="27" t="s">
        <v>709</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885</v>
      </c>
      <c r="B2706" s="27" t="s">
        <v>756</v>
      </c>
      <c r="C2706" s="27" t="s">
        <v>707</v>
      </c>
      <c r="D2706" s="27" t="s">
        <v>694</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888</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1450</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1001</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row>
    <row r="2711" spans="1:12">
      <c r="A2711" s="20" t="s">
        <v>700</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1451</v>
      </c>
    </row>
    <row r="2713" spans="1:12">
      <c r="A2713" s="20" t="s">
        <v>1092</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262</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1180</v>
      </c>
      <c r="B2715" s="27" t="s">
        <v>698</v>
      </c>
      <c r="C2715" s="27" t="s">
        <v>788</v>
      </c>
      <c r="D2715" s="27" t="s">
        <v>694</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725</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915</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803</v>
      </c>
      <c r="B2718" s="27" t="s">
        <v>692</v>
      </c>
      <c r="C2718" s="27" t="s">
        <v>733</v>
      </c>
      <c r="D2718" s="27" t="s">
        <v>694</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1133</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774</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1452</v>
      </c>
      <c r="B2721" s="27" t="s">
        <v>706</v>
      </c>
      <c r="C2721" s="27" t="s">
        <v>782</v>
      </c>
      <c r="D2721" s="27" t="s">
        <v>694</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742</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1453</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696</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262</v>
      </c>
      <c r="B2725" s="27" t="s">
        <v>737</v>
      </c>
      <c r="C2725" s="27" t="s">
        <v>819</v>
      </c>
      <c r="D2725" s="27" t="s">
        <v>694</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851</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814</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690</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697</v>
      </c>
      <c r="B2729" s="27" t="s">
        <v>886</v>
      </c>
      <c r="C2729" s="27" t="s">
        <v>782</v>
      </c>
      <c r="D2729" s="27" t="s">
        <v>694</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696</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690</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730</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838</v>
      </c>
      <c r="B2733" s="27" t="s">
        <v>715</v>
      </c>
      <c r="C2733" s="27" t="s">
        <v>707</v>
      </c>
      <c r="D2733" s="27" t="s">
        <v>694</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696</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829</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249</v>
      </c>
      <c r="B2736" s="27" t="s">
        <v>715</v>
      </c>
      <c r="C2736" s="27" t="s">
        <v>693</v>
      </c>
      <c r="D2736" s="27" t="s">
        <v>694</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730</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862</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690</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1255</v>
      </c>
      <c r="B2740" s="27" t="s">
        <v>800</v>
      </c>
      <c r="C2740" s="27" t="s">
        <v>693</v>
      </c>
      <c r="D2740" s="27" t="s">
        <v>694</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699</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row>
    <row r="2743" spans="1:12">
      <c r="A2743" s="20" t="s">
        <v>700</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1454</v>
      </c>
    </row>
    <row r="2745" spans="1:12">
      <c r="A2745" s="20" t="s">
        <v>1455</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998</v>
      </c>
      <c r="B2746" s="27" t="s">
        <v>823</v>
      </c>
      <c r="C2746" s="27" t="s">
        <v>733</v>
      </c>
      <c r="D2746" s="27" t="s">
        <v>694</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1456</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786</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690</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697</v>
      </c>
      <c r="B2750" s="27" t="s">
        <v>737</v>
      </c>
      <c r="C2750" s="27" t="s">
        <v>782</v>
      </c>
      <c r="D2750" s="27" t="s">
        <v>694</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696</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690</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730</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838</v>
      </c>
      <c r="B2754" s="27" t="s">
        <v>755</v>
      </c>
      <c r="C2754" s="27" t="s">
        <v>707</v>
      </c>
      <c r="D2754" s="27" t="s">
        <v>694</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696</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721</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945</v>
      </c>
      <c r="B2757" s="27" t="s">
        <v>756</v>
      </c>
      <c r="C2757" s="27" t="s">
        <v>693</v>
      </c>
      <c r="D2757" s="27" t="s">
        <v>694</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730</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725</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844</v>
      </c>
      <c r="B2760" s="27" t="s">
        <v>692</v>
      </c>
      <c r="C2760" s="27" t="s">
        <v>819</v>
      </c>
      <c r="D2760" s="27" t="s">
        <v>694</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814</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774</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940</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1120</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922</v>
      </c>
      <c r="B2765" s="27" t="s">
        <v>698</v>
      </c>
      <c r="C2765" s="27" t="s">
        <v>776</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699</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row>
    <row r="2768" spans="1:12">
      <c r="A2768" s="20" t="s">
        <v>1457</v>
      </c>
    </row>
    <row r="2769" spans="1:12">
      <c r="A2769" s="20" t="s">
        <v>818</v>
      </c>
      <c r="B2769" s="27" t="s">
        <v>692</v>
      </c>
      <c r="C2769" s="27" t="s">
        <v>819</v>
      </c>
      <c r="D2769" s="27" t="s">
        <v>694</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824</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704</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1407</v>
      </c>
      <c r="B2772" s="27" t="s">
        <v>706</v>
      </c>
      <c r="C2772" s="27" t="s">
        <v>707</v>
      </c>
      <c r="D2772" s="27" t="s">
        <v>694</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718</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610</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866</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690</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821</v>
      </c>
      <c r="B2777" s="27" t="s">
        <v>737</v>
      </c>
      <c r="C2777" s="27" t="s">
        <v>693</v>
      </c>
      <c r="D2777" s="27" t="s">
        <v>694</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773</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18</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774</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864</v>
      </c>
      <c r="B2781" s="27" t="s">
        <v>830</v>
      </c>
      <c r="C2781" s="27" t="s">
        <v>776</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1458</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699</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row>
    <row r="2785" spans="1:12">
      <c r="A2785" s="20" t="s">
        <v>1459</v>
      </c>
    </row>
    <row r="2786" spans="1:12">
      <c r="A2786" s="20" t="s">
        <v>765</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1110</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885</v>
      </c>
      <c r="B2788" s="27" t="s">
        <v>692</v>
      </c>
      <c r="C2788" s="27" t="s">
        <v>707</v>
      </c>
      <c r="D2788" s="27" t="s">
        <v>694</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814</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1460</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725</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865</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1461</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725</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739</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1462</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718</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895</v>
      </c>
      <c r="B2798" s="27" t="s">
        <v>755</v>
      </c>
      <c r="C2798" s="27" t="s">
        <v>780</v>
      </c>
      <c r="D2798" s="27" t="s">
        <v>694</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864</v>
      </c>
      <c r="B2799" s="27" t="s">
        <v>737</v>
      </c>
      <c r="C2799" s="27" t="s">
        <v>782</v>
      </c>
      <c r="D2799" s="27" t="s">
        <v>694</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699</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row>
    <row r="2802" spans="1:12">
      <c r="A2802" s="20" t="s">
        <v>1463</v>
      </c>
    </row>
    <row r="2803" spans="1:12">
      <c r="A2803" s="20" t="s">
        <v>1464</v>
      </c>
      <c r="B2803" s="27" t="s">
        <v>698</v>
      </c>
      <c r="C2803" s="27" t="s">
        <v>716</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872</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1023</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699</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row>
    <row r="2808" spans="1:12">
      <c r="A2808" s="20" t="s">
        <v>1465</v>
      </c>
    </row>
    <row r="2809" spans="1:12">
      <c r="A2809" s="20" t="s">
        <v>1466</v>
      </c>
      <c r="B2809" s="27" t="s">
        <v>692</v>
      </c>
      <c r="C2809" s="27" t="s">
        <v>1467</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887</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1281</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1041</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787</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869</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1433</v>
      </c>
      <c r="B2815" s="27" t="s">
        <v>706</v>
      </c>
      <c r="C2815" s="27" t="s">
        <v>788</v>
      </c>
      <c r="D2815" s="27" t="s">
        <v>694</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814</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786</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690</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1098</v>
      </c>
      <c r="B2819" s="27" t="s">
        <v>698</v>
      </c>
      <c r="C2819" s="27" t="s">
        <v>693</v>
      </c>
      <c r="D2819" s="27" t="s">
        <v>694</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696</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1468</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829</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1050</v>
      </c>
      <c r="B2823" s="27" t="s">
        <v>830</v>
      </c>
      <c r="C2823" s="27" t="s">
        <v>693</v>
      </c>
      <c r="D2823" s="27" t="s">
        <v>694</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696</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690</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697</v>
      </c>
      <c r="B2826" s="27" t="s">
        <v>756</v>
      </c>
      <c r="C2826" s="27" t="s">
        <v>693</v>
      </c>
      <c r="D2826" s="27" t="s">
        <v>694</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725</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846</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1214</v>
      </c>
      <c r="B2829" s="27" t="s">
        <v>823</v>
      </c>
      <c r="C2829" s="27" t="s">
        <v>733</v>
      </c>
      <c r="D2829" s="27" t="s">
        <v>694</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1469</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718</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747</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1470</v>
      </c>
      <c r="B2833" s="27" t="s">
        <v>737</v>
      </c>
      <c r="C2833" s="27" t="s">
        <v>693</v>
      </c>
      <c r="D2833" s="27" t="s">
        <v>694</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773</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1471</v>
      </c>
      <c r="B2835" s="27" t="s">
        <v>755</v>
      </c>
      <c r="C2835" s="27" t="s">
        <v>716</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696</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690</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852</v>
      </c>
      <c r="B2838" s="27" t="s">
        <v>756</v>
      </c>
      <c r="C2838" s="27" t="s">
        <v>693</v>
      </c>
      <c r="D2838" s="27" t="s">
        <v>694</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725</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708</v>
      </c>
      <c r="B2840" s="27" t="s">
        <v>886</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704</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1472</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829</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1050</v>
      </c>
      <c r="B2844" s="27" t="s">
        <v>713</v>
      </c>
      <c r="C2844" s="27" t="s">
        <v>693</v>
      </c>
      <c r="D2844" s="27" t="s">
        <v>694</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696</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690</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697</v>
      </c>
      <c r="B2847" s="27" t="s">
        <v>715</v>
      </c>
      <c r="C2847" s="27" t="s">
        <v>693</v>
      </c>
      <c r="D2847" s="27" t="s">
        <v>694</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1170</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1088</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725</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1473</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696</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950</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1245</v>
      </c>
      <c r="B2854" s="27" t="s">
        <v>715</v>
      </c>
      <c r="C2854" s="27" t="s">
        <v>788</v>
      </c>
      <c r="D2854" s="27" t="s">
        <v>694</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1000</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699</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row>
    <row r="2858" spans="1:12">
      <c r="A2858" s="20" t="s">
        <v>700</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1474</v>
      </c>
    </row>
    <row r="2860" spans="1:12">
      <c r="A2860" s="20" t="s">
        <v>1075</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1475</v>
      </c>
      <c r="B2861" s="27" t="s">
        <v>692</v>
      </c>
      <c r="C2861" s="27" t="s">
        <v>693</v>
      </c>
      <c r="D2861" s="27" t="s">
        <v>694</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857</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690</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697</v>
      </c>
      <c r="B2864" s="27" t="s">
        <v>737</v>
      </c>
      <c r="C2864" s="27" t="s">
        <v>782</v>
      </c>
      <c r="D2864" s="27" t="s">
        <v>694</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696</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895</v>
      </c>
      <c r="B2866" s="27" t="s">
        <v>756</v>
      </c>
      <c r="C2866" s="27" t="s">
        <v>780</v>
      </c>
      <c r="D2866" s="27" t="s">
        <v>694</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730</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838</v>
      </c>
      <c r="B2868" s="27" t="s">
        <v>755</v>
      </c>
      <c r="C2868" s="27" t="s">
        <v>707</v>
      </c>
      <c r="D2868" s="27" t="s">
        <v>694</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696</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829</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249</v>
      </c>
      <c r="B2871" s="27" t="s">
        <v>755</v>
      </c>
      <c r="C2871" s="27" t="s">
        <v>693</v>
      </c>
      <c r="D2871" s="27" t="s">
        <v>694</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730</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846</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747</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1476</v>
      </c>
      <c r="B2875" s="27" t="s">
        <v>755</v>
      </c>
      <c r="C2875" s="27" t="s">
        <v>782</v>
      </c>
      <c r="D2875" s="27" t="s">
        <v>694</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696</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895</v>
      </c>
      <c r="B2877" s="27" t="s">
        <v>715</v>
      </c>
      <c r="C2877" s="27" t="s">
        <v>780</v>
      </c>
      <c r="D2877" s="27" t="s">
        <v>694</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730</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838</v>
      </c>
      <c r="B2879" s="27" t="s">
        <v>756</v>
      </c>
      <c r="C2879" s="27" t="s">
        <v>707</v>
      </c>
      <c r="D2879" s="27" t="s">
        <v>694</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696</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690</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962</v>
      </c>
      <c r="B2882" s="27" t="s">
        <v>756</v>
      </c>
      <c r="C2882" s="27" t="s">
        <v>693</v>
      </c>
      <c r="D2882" s="27" t="s">
        <v>694</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730</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824</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704</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947</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1477</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809</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872</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1478</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725</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846</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738</v>
      </c>
      <c r="B2893" s="27" t="s">
        <v>823</v>
      </c>
      <c r="C2893" s="27" t="s">
        <v>733</v>
      </c>
      <c r="D2893" s="27" t="s">
        <v>694</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1479</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915</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696</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721</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1480</v>
      </c>
      <c r="B2898" s="27" t="s">
        <v>737</v>
      </c>
      <c r="C2898" s="27" t="s">
        <v>693</v>
      </c>
      <c r="D2898" s="27" t="s">
        <v>694</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1481</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696</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1482</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721</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869</v>
      </c>
      <c r="B2903" s="27" t="s">
        <v>713</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1483</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699</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row>
    <row r="2907" spans="1:12">
      <c r="A2907" s="20" t="s">
        <v>1484</v>
      </c>
    </row>
    <row r="2908" spans="1:12">
      <c r="A2908" s="20" t="s">
        <v>1485</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1486</v>
      </c>
      <c r="B2909" s="27" t="s">
        <v>692</v>
      </c>
      <c r="C2909" s="27" t="s">
        <v>693</v>
      </c>
      <c r="D2909" s="27" t="s">
        <v>694</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1487</v>
      </c>
      <c r="B2910" s="27" t="s">
        <v>737</v>
      </c>
      <c r="C2910" s="27" t="s">
        <v>887</v>
      </c>
      <c r="D2910" s="27" t="s">
        <v>694</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704</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1488</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826</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1489</v>
      </c>
      <c r="B2914" s="27" t="s">
        <v>706</v>
      </c>
      <c r="C2914" s="27" t="s">
        <v>776</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1490</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696</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1491</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1135</v>
      </c>
      <c r="B2918" s="27" t="s">
        <v>737</v>
      </c>
      <c r="C2918" s="27" t="s">
        <v>953</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739</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793</v>
      </c>
      <c r="B2920" s="27" t="s">
        <v>762</v>
      </c>
      <c r="C2920" s="27" t="s">
        <v>733</v>
      </c>
      <c r="D2920" s="27" t="s">
        <v>694</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1492</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262</v>
      </c>
      <c r="B2922" s="27" t="s">
        <v>762</v>
      </c>
      <c r="C2922" s="27" t="s">
        <v>819</v>
      </c>
      <c r="D2922" s="27" t="s">
        <v>694</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851</v>
      </c>
      <c r="B2923" s="27" t="s">
        <v>713</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874</v>
      </c>
      <c r="B2924" s="27" t="s">
        <v>886</v>
      </c>
      <c r="C2924" s="27" t="s">
        <v>733</v>
      </c>
      <c r="D2924" s="27" t="s">
        <v>694</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1493</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696</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793</v>
      </c>
      <c r="B2927" s="27" t="s">
        <v>715</v>
      </c>
      <c r="C2927" s="27" t="s">
        <v>780</v>
      </c>
      <c r="D2927" s="27" t="s">
        <v>694</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1494</v>
      </c>
      <c r="B2928" s="27" t="s">
        <v>756</v>
      </c>
      <c r="C2928" s="27" t="s">
        <v>782</v>
      </c>
      <c r="D2928" s="27" t="s">
        <v>694</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846</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696</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1495</v>
      </c>
      <c r="B2931" s="27" t="s">
        <v>800</v>
      </c>
      <c r="C2931" s="27" t="s">
        <v>780</v>
      </c>
      <c r="D2931" s="27" t="s">
        <v>694</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1113</v>
      </c>
      <c r="B2932" s="27" t="s">
        <v>715</v>
      </c>
      <c r="C2932" s="27" t="s">
        <v>782</v>
      </c>
      <c r="D2932" s="27" t="s">
        <v>694</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699</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row>
    <row r="2935" spans="1:12">
      <c r="A2935" s="20" t="s">
        <v>1496</v>
      </c>
    </row>
    <row r="2936" spans="1:12">
      <c r="A2936" s="20" t="s">
        <v>868</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738</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703</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704</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932</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773</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761</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1497</v>
      </c>
      <c r="B2943" s="27" t="s">
        <v>706</v>
      </c>
      <c r="C2943" s="27" t="s">
        <v>776</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862</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262</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1498</v>
      </c>
      <c r="B2946" s="27" t="s">
        <v>698</v>
      </c>
      <c r="C2946" s="27" t="s">
        <v>788</v>
      </c>
      <c r="D2946" s="27" t="s">
        <v>694</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699</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row>
    <row r="2949" spans="1:12">
      <c r="A2949" s="20" t="s">
        <v>700</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1499</v>
      </c>
    </row>
    <row r="2951" spans="1:12">
      <c r="A2951" s="20" t="s">
        <v>1022</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722</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723</v>
      </c>
      <c r="B2953" s="27" t="s">
        <v>698</v>
      </c>
      <c r="C2953" s="27" t="s">
        <v>788</v>
      </c>
      <c r="D2953" s="27" t="s">
        <v>694</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725</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803</v>
      </c>
      <c r="B2955" s="27" t="s">
        <v>692</v>
      </c>
      <c r="C2955" s="27" t="s">
        <v>733</v>
      </c>
      <c r="D2955" s="27" t="s">
        <v>694</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1133</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1500</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718</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1501</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696</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721</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834</v>
      </c>
      <c r="B2962" s="27" t="s">
        <v>737</v>
      </c>
      <c r="C2962" s="27" t="s">
        <v>693</v>
      </c>
      <c r="D2962" s="27" t="s">
        <v>694</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786</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690</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697</v>
      </c>
      <c r="B2965" s="27" t="s">
        <v>737</v>
      </c>
      <c r="C2965" s="27" t="s">
        <v>782</v>
      </c>
      <c r="D2965" s="27" t="s">
        <v>694</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696</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721</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869</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730</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838</v>
      </c>
      <c r="B2970" s="27" t="s">
        <v>755</v>
      </c>
      <c r="C2970" s="27" t="s">
        <v>707</v>
      </c>
      <c r="D2970" s="27" t="s">
        <v>694</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730</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699</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row>
    <row r="2974" spans="1:12">
      <c r="A2974" s="20" t="s">
        <v>1502</v>
      </c>
    </row>
    <row r="2975" spans="1:12">
      <c r="A2975" s="20" t="s">
        <v>1503</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838</v>
      </c>
      <c r="B2976" s="27" t="s">
        <v>698</v>
      </c>
      <c r="C2976" s="27" t="s">
        <v>707</v>
      </c>
      <c r="D2976" s="27" t="s">
        <v>694</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725</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747</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1504</v>
      </c>
      <c r="B2979" s="27" t="s">
        <v>698</v>
      </c>
      <c r="C2979" s="27" t="s">
        <v>693</v>
      </c>
      <c r="D2979" s="27" t="s">
        <v>694</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1505</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809</v>
      </c>
      <c r="B2981" s="27" t="s">
        <v>830</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803</v>
      </c>
      <c r="B2982" s="27" t="s">
        <v>709</v>
      </c>
      <c r="C2982" s="27" t="s">
        <v>733</v>
      </c>
      <c r="D2982" s="27" t="s">
        <v>694</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1506</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1507</v>
      </c>
      <c r="B2984" s="27" t="s">
        <v>755</v>
      </c>
      <c r="C2984" s="27" t="s">
        <v>716</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725</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844</v>
      </c>
      <c r="B2986" s="27" t="s">
        <v>692</v>
      </c>
      <c r="C2986" s="27" t="s">
        <v>819</v>
      </c>
      <c r="D2986" s="27" t="s">
        <v>694</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814</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809</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787</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869</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969</v>
      </c>
      <c r="B2991" s="27" t="s">
        <v>823</v>
      </c>
      <c r="C2991" s="27" t="s">
        <v>788</v>
      </c>
      <c r="D2991" s="27" t="s">
        <v>694</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871</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872</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1023</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699</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row>
    <row r="2997" spans="1:12">
      <c r="A2997" s="20" t="s">
        <v>1508</v>
      </c>
    </row>
    <row r="2998" spans="1:12">
      <c r="A2998" s="20" t="s">
        <v>990</v>
      </c>
      <c r="B2998" s="27" t="s">
        <v>692</v>
      </c>
      <c r="C2998" s="27" t="s">
        <v>733</v>
      </c>
      <c r="D2998" s="27" t="s">
        <v>694</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1509</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610</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851</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774</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916</v>
      </c>
      <c r="B3003" s="27" t="s">
        <v>709</v>
      </c>
      <c r="C3003" s="27" t="s">
        <v>776</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814</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1510</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696</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863</v>
      </c>
      <c r="B3007" s="27" t="s">
        <v>756</v>
      </c>
      <c r="C3007" s="27" t="s">
        <v>780</v>
      </c>
      <c r="D3007" s="27" t="s">
        <v>694</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864</v>
      </c>
      <c r="B3008" s="27" t="s">
        <v>755</v>
      </c>
      <c r="C3008" s="27" t="s">
        <v>782</v>
      </c>
      <c r="D3008" s="27" t="s">
        <v>694</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725</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795</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906</v>
      </c>
      <c r="B3011" s="27" t="s">
        <v>823</v>
      </c>
      <c r="C3011" s="27" t="s">
        <v>819</v>
      </c>
      <c r="D3011" s="27" t="s">
        <v>694</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887</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998</v>
      </c>
      <c r="B3013" s="27" t="s">
        <v>762</v>
      </c>
      <c r="C3013" s="27" t="s">
        <v>733</v>
      </c>
      <c r="D3013" s="27" t="s">
        <v>694</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1511</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1041</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1512</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1513</v>
      </c>
      <c r="B3017" s="27" t="s">
        <v>762</v>
      </c>
      <c r="C3017" s="27" t="s">
        <v>716</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786</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690</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1514</v>
      </c>
      <c r="B3020" s="27" t="s">
        <v>737</v>
      </c>
      <c r="C3020" s="27" t="s">
        <v>693</v>
      </c>
      <c r="D3020" s="27" t="s">
        <v>694</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696</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697</v>
      </c>
      <c r="B3022" s="27" t="s">
        <v>755</v>
      </c>
      <c r="C3022" s="27" t="s">
        <v>716</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866</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1295</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927</v>
      </c>
      <c r="B3025" s="27" t="s">
        <v>886</v>
      </c>
      <c r="C3025" s="27" t="s">
        <v>733</v>
      </c>
      <c r="D3025" s="27" t="s">
        <v>694</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975</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863</v>
      </c>
      <c r="B3027" s="27" t="s">
        <v>715</v>
      </c>
      <c r="C3027" s="27" t="s">
        <v>780</v>
      </c>
      <c r="D3027" s="27" t="s">
        <v>694</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864</v>
      </c>
      <c r="B3028" s="27" t="s">
        <v>713</v>
      </c>
      <c r="C3028" s="27" t="s">
        <v>782</v>
      </c>
      <c r="D3028" s="27" t="s">
        <v>694</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725</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846</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1515</v>
      </c>
      <c r="B3031" s="27" t="s">
        <v>755</v>
      </c>
      <c r="C3031" s="27" t="s">
        <v>716</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699</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row>
    <row r="3034" spans="1:12">
      <c r="A3034" s="20" t="s">
        <v>1516</v>
      </c>
    </row>
    <row r="3035" spans="1:12">
      <c r="A3035" s="20" t="s">
        <v>1517</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832</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998</v>
      </c>
      <c r="B3037" s="27" t="s">
        <v>706</v>
      </c>
      <c r="C3037" s="27" t="s">
        <v>733</v>
      </c>
      <c r="D3037" s="27" t="s">
        <v>694</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469</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774</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1452</v>
      </c>
      <c r="B3040" s="27" t="s">
        <v>706</v>
      </c>
      <c r="C3040" s="27" t="s">
        <v>776</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696</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747</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1518</v>
      </c>
      <c r="B3043" s="27" t="s">
        <v>737</v>
      </c>
      <c r="C3043" s="27" t="s">
        <v>693</v>
      </c>
      <c r="D3043" s="27" t="s">
        <v>694</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725</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747</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1518</v>
      </c>
      <c r="B3046" s="27" t="s">
        <v>886</v>
      </c>
      <c r="C3046" s="27" t="s">
        <v>693</v>
      </c>
      <c r="D3046" s="27" t="s">
        <v>694</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814</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773</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1218</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11</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699</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row>
    <row r="3053" spans="1:12">
      <c r="A3053" s="20" t="s">
        <v>1519</v>
      </c>
    </row>
    <row r="3054" spans="1:12">
      <c r="A3054" s="20" t="s">
        <v>985</v>
      </c>
      <c r="B3054" s="27" t="s">
        <v>692</v>
      </c>
      <c r="C3054" s="27" t="s">
        <v>819</v>
      </c>
      <c r="D3054" s="27" t="s">
        <v>694</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814</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1188</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996</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998</v>
      </c>
      <c r="B3058" s="27" t="s">
        <v>692</v>
      </c>
      <c r="C3058" s="27" t="s">
        <v>733</v>
      </c>
      <c r="D3058" s="27" t="s">
        <v>694</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1520</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705</v>
      </c>
      <c r="B3060" s="27" t="s">
        <v>706</v>
      </c>
      <c r="C3060" s="27" t="s">
        <v>707</v>
      </c>
      <c r="D3060" s="27" t="s">
        <v>694</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708</v>
      </c>
      <c r="B3061" s="27" t="s">
        <v>709</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998</v>
      </c>
      <c r="B3062" s="27" t="s">
        <v>830</v>
      </c>
      <c r="C3062" s="27" t="s">
        <v>733</v>
      </c>
      <c r="D3062" s="27" t="s">
        <v>694</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1521</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809</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899</v>
      </c>
      <c r="B3065" s="27" t="s">
        <v>715</v>
      </c>
      <c r="C3065" s="27" t="s">
        <v>780</v>
      </c>
      <c r="D3065" s="27" t="s">
        <v>694</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1522</v>
      </c>
      <c r="B3066" s="27" t="s">
        <v>886</v>
      </c>
      <c r="C3066" s="27" t="s">
        <v>782</v>
      </c>
      <c r="D3066" s="27" t="s">
        <v>694</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821</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16</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1523</v>
      </c>
      <c r="B3069" s="27" t="s">
        <v>713</v>
      </c>
      <c r="C3069" s="27" t="s">
        <v>953</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699</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row>
    <row r="3072" spans="1:12">
      <c r="A3072" s="20" t="s">
        <v>1524</v>
      </c>
    </row>
    <row r="3073" spans="1:12">
      <c r="A3073" s="20" t="s">
        <v>1448</v>
      </c>
      <c r="B3073" s="27" t="s">
        <v>706</v>
      </c>
      <c r="C3073" s="27" t="s">
        <v>1184</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1509</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1012</v>
      </c>
      <c r="B3075" s="27" t="s">
        <v>692</v>
      </c>
      <c r="C3075" s="27" t="s">
        <v>733</v>
      </c>
      <c r="D3075" s="27" t="s">
        <v>694</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487</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696</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747</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1525</v>
      </c>
      <c r="B3079" s="27" t="s">
        <v>737</v>
      </c>
      <c r="C3079" s="27" t="s">
        <v>782</v>
      </c>
      <c r="D3079" s="27" t="s">
        <v>694</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696</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950</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916</v>
      </c>
      <c r="B3082" s="27" t="s">
        <v>755</v>
      </c>
      <c r="C3082" s="27" t="s">
        <v>788</v>
      </c>
      <c r="D3082" s="27" t="s">
        <v>694</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1001</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row>
    <row r="3085" spans="1:12">
      <c r="A3085" s="20" t="s">
        <v>1526</v>
      </c>
    </row>
    <row r="3086" spans="1:12">
      <c r="A3086" s="20" t="s">
        <v>868</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741</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725</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998</v>
      </c>
      <c r="B3089" s="27" t="s">
        <v>692</v>
      </c>
      <c r="C3089" s="27" t="s">
        <v>733</v>
      </c>
      <c r="D3089" s="27" t="s">
        <v>694</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1176</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774</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1527</v>
      </c>
      <c r="B3092" s="27" t="s">
        <v>706</v>
      </c>
      <c r="C3092" s="27" t="s">
        <v>776</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725</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795</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738</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703</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704</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826</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1528</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1514</v>
      </c>
      <c r="B3100" s="27" t="s">
        <v>762</v>
      </c>
      <c r="C3100" s="27" t="s">
        <v>776</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773</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1529</v>
      </c>
      <c r="B3102" s="27" t="s">
        <v>755</v>
      </c>
      <c r="C3102" s="27" t="s">
        <v>716</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699</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row>
    <row r="3105" spans="1:12">
      <c r="A3105" s="20" t="s">
        <v>1530</v>
      </c>
    </row>
    <row r="3106" spans="1:12">
      <c r="A3106" s="20" t="s">
        <v>990</v>
      </c>
      <c r="B3106" s="27" t="s">
        <v>692</v>
      </c>
      <c r="C3106" s="27" t="s">
        <v>733</v>
      </c>
      <c r="D3106" s="27" t="s">
        <v>694</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1176</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1531</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773</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1529</v>
      </c>
      <c r="B3110" s="27" t="s">
        <v>737</v>
      </c>
      <c r="C3110" s="27" t="s">
        <v>716</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699</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row>
    <row r="3113" spans="1:12">
      <c r="A3113" s="20" t="s">
        <v>700</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1532</v>
      </c>
    </row>
    <row r="3115" spans="1:12">
      <c r="A3115" s="20" t="s">
        <v>1455</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997</v>
      </c>
      <c r="B3116" s="27" t="s">
        <v>692</v>
      </c>
      <c r="C3116" s="27" t="s">
        <v>733</v>
      </c>
      <c r="D3116" s="27" t="s">
        <v>694</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998</v>
      </c>
      <c r="B3117" s="27" t="s">
        <v>706</v>
      </c>
      <c r="C3117" s="27" t="s">
        <v>733</v>
      </c>
      <c r="D3117" s="27" t="s">
        <v>694</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1533</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851</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774</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916</v>
      </c>
      <c r="B3121" s="27" t="s">
        <v>823</v>
      </c>
      <c r="C3121" s="27" t="s">
        <v>776</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718</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1534</v>
      </c>
      <c r="B3123" s="27" t="s">
        <v>755</v>
      </c>
      <c r="C3123" s="27" t="s">
        <v>716</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863</v>
      </c>
      <c r="B3124" s="27" t="s">
        <v>756</v>
      </c>
      <c r="C3124" s="27" t="s">
        <v>780</v>
      </c>
      <c r="D3124" s="27" t="s">
        <v>694</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864</v>
      </c>
      <c r="B3125" s="27" t="s">
        <v>755</v>
      </c>
      <c r="C3125" s="27" t="s">
        <v>782</v>
      </c>
      <c r="D3125" s="27" t="s">
        <v>694</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42</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786</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37</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725</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998</v>
      </c>
      <c r="B3130" s="27" t="s">
        <v>823</v>
      </c>
      <c r="C3130" s="27" t="s">
        <v>733</v>
      </c>
      <c r="D3130" s="27" t="s">
        <v>694</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1420</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1041</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995</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773</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1529</v>
      </c>
      <c r="B3135" s="27" t="s">
        <v>755</v>
      </c>
      <c r="C3135" s="27" t="s">
        <v>716</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832</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1535</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690</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1536</v>
      </c>
      <c r="B3139" s="27" t="s">
        <v>830</v>
      </c>
      <c r="C3139" s="27" t="s">
        <v>782</v>
      </c>
      <c r="D3139" s="27" t="s">
        <v>694</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696</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697</v>
      </c>
      <c r="B3141" s="27" t="s">
        <v>756</v>
      </c>
      <c r="C3141" s="27" t="s">
        <v>716</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696</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899</v>
      </c>
      <c r="B3143" s="27" t="s">
        <v>715</v>
      </c>
      <c r="C3143" s="27" t="s">
        <v>780</v>
      </c>
      <c r="D3143" s="27" t="s">
        <v>694</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730</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838</v>
      </c>
      <c r="B3145" s="27" t="s">
        <v>756</v>
      </c>
      <c r="C3145" s="27" t="s">
        <v>707</v>
      </c>
      <c r="D3145" s="27" t="s">
        <v>694</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696</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829</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249</v>
      </c>
      <c r="B3148" s="27" t="s">
        <v>756</v>
      </c>
      <c r="C3148" s="27" t="s">
        <v>693</v>
      </c>
      <c r="D3148" s="27" t="s">
        <v>694</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730</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699</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row>
    <row r="3152" spans="1:12">
      <c r="A3152" s="20" t="s">
        <v>1537</v>
      </c>
    </row>
    <row r="3153" spans="1:12">
      <c r="A3153" s="20" t="s">
        <v>1455</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741</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809</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747</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1518</v>
      </c>
      <c r="B3157" s="27" t="s">
        <v>692</v>
      </c>
      <c r="C3157" s="27" t="s">
        <v>693</v>
      </c>
      <c r="D3157" s="27" t="s">
        <v>694</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814</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1538</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699</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row>
    <row r="3162" spans="1:12">
      <c r="A3162" s="20" t="s">
        <v>1539</v>
      </c>
    </row>
    <row r="3163" spans="1:12">
      <c r="A3163" s="20" t="s">
        <v>1039</v>
      </c>
      <c r="B3163" s="27" t="s">
        <v>692</v>
      </c>
      <c r="C3163" s="27" t="s">
        <v>707</v>
      </c>
      <c r="D3163" s="27" t="s">
        <v>694</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977</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826</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1165</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262</v>
      </c>
      <c r="B3167" s="27" t="s">
        <v>706</v>
      </c>
      <c r="C3167" s="27" t="s">
        <v>819</v>
      </c>
      <c r="D3167" s="27" t="s">
        <v>694</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708</v>
      </c>
      <c r="B3168" s="27" t="s">
        <v>709</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1540</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747</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1476</v>
      </c>
      <c r="B3171" s="27" t="s">
        <v>830</v>
      </c>
      <c r="C3171" s="27" t="s">
        <v>693</v>
      </c>
      <c r="D3171" s="27" t="s">
        <v>694</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696</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690</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697</v>
      </c>
      <c r="B3174" s="27" t="s">
        <v>756</v>
      </c>
      <c r="C3174" s="27" t="s">
        <v>693</v>
      </c>
      <c r="D3174" s="27" t="s">
        <v>694</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699</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row>
    <row r="3177" spans="1:12">
      <c r="A3177" s="20" t="s">
        <v>1541</v>
      </c>
    </row>
    <row r="3178" spans="1:12">
      <c r="A3178" s="20" t="s">
        <v>1039</v>
      </c>
      <c r="B3178" s="27" t="s">
        <v>692</v>
      </c>
      <c r="C3178" s="27" t="s">
        <v>707</v>
      </c>
      <c r="D3178" s="27" t="s">
        <v>694</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1542</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809</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829</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1543</v>
      </c>
      <c r="B3182" s="27" t="s">
        <v>823</v>
      </c>
      <c r="C3182" s="27" t="s">
        <v>693</v>
      </c>
      <c r="D3182" s="27" t="s">
        <v>694</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704</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774</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1544</v>
      </c>
      <c r="B3185" s="27" t="s">
        <v>762</v>
      </c>
      <c r="C3185" s="27" t="s">
        <v>776</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1545</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725</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721</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1546</v>
      </c>
      <c r="B3189" s="27" t="s">
        <v>737</v>
      </c>
      <c r="C3189" s="27" t="s">
        <v>693</v>
      </c>
      <c r="D3189" s="27" t="s">
        <v>694</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1136</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699</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row>
    <row r="3193" spans="1:12">
      <c r="A3193" s="20" t="s">
        <v>1547</v>
      </c>
    </row>
    <row r="3194" spans="1:12">
      <c r="A3194" s="20" t="s">
        <v>1312</v>
      </c>
      <c r="B3194" s="27" t="s">
        <v>692</v>
      </c>
      <c r="C3194" s="27" t="s">
        <v>733</v>
      </c>
      <c r="D3194" s="27" t="s">
        <v>694</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1129</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809</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690</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697</v>
      </c>
      <c r="B3198" s="27" t="s">
        <v>823</v>
      </c>
      <c r="C3198" s="27" t="s">
        <v>693</v>
      </c>
      <c r="D3198" s="27" t="s">
        <v>694</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820</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785</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696</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721</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1135</v>
      </c>
      <c r="B3203" s="27" t="s">
        <v>737</v>
      </c>
      <c r="C3203" s="27" t="s">
        <v>693</v>
      </c>
      <c r="D3203" s="27" t="s">
        <v>694</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809</v>
      </c>
      <c r="B3204" s="27" t="s">
        <v>713</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803</v>
      </c>
      <c r="B3205" s="27" t="s">
        <v>713</v>
      </c>
      <c r="C3205" s="27" t="s">
        <v>733</v>
      </c>
      <c r="D3205" s="27" t="s">
        <v>694</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1548</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725</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696</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690</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1255</v>
      </c>
      <c r="B3210" s="27" t="s">
        <v>755</v>
      </c>
      <c r="C3210" s="27" t="s">
        <v>693</v>
      </c>
      <c r="D3210" s="27" t="s">
        <v>694</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809</v>
      </c>
      <c r="B3211" s="27" t="s">
        <v>713</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829</v>
      </c>
      <c r="B3212" s="27" t="s">
        <v>886</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885</v>
      </c>
      <c r="B3213" s="27" t="s">
        <v>715</v>
      </c>
      <c r="C3213" s="27" t="s">
        <v>707</v>
      </c>
      <c r="D3213" s="27" t="s">
        <v>694</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1239</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866</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1111</v>
      </c>
      <c r="B3216" s="27" t="s">
        <v>756</v>
      </c>
      <c r="C3216" s="27" t="s">
        <v>733</v>
      </c>
      <c r="D3216" s="27" t="s">
        <v>694</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699</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row>
    <row r="3219" spans="1:12">
      <c r="A3219" s="20" t="s">
        <v>1549</v>
      </c>
    </row>
    <row r="3220" spans="1:12">
      <c r="A3220" s="20" t="s">
        <v>702</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703</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704</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773</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761</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1550</v>
      </c>
      <c r="B3225" s="27" t="s">
        <v>706</v>
      </c>
      <c r="C3225" s="27" t="s">
        <v>776</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725</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795</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262</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1098</v>
      </c>
      <c r="B3229" s="27" t="s">
        <v>823</v>
      </c>
      <c r="C3229" s="27" t="s">
        <v>788</v>
      </c>
      <c r="D3229" s="27" t="s">
        <v>694</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1551</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699</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row>
    <row r="3233" spans="1:12">
      <c r="A3233" s="20" t="s">
        <v>700</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1552</v>
      </c>
    </row>
    <row r="3235" spans="1:12">
      <c r="A3235" s="20" t="s">
        <v>1440</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996</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998</v>
      </c>
      <c r="B3237" s="27" t="s">
        <v>823</v>
      </c>
      <c r="C3237" s="27" t="s">
        <v>733</v>
      </c>
      <c r="D3237" s="27" t="s">
        <v>694</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1553</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1554</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690</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697</v>
      </c>
      <c r="B3241" s="27" t="s">
        <v>830</v>
      </c>
      <c r="C3241" s="27" t="s">
        <v>782</v>
      </c>
      <c r="D3241" s="27" t="s">
        <v>694</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696</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721</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869</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730</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838</v>
      </c>
      <c r="B3246" s="27" t="s">
        <v>756</v>
      </c>
      <c r="C3246" s="27" t="s">
        <v>707</v>
      </c>
      <c r="D3246" s="27" t="s">
        <v>694</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730</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725</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998</v>
      </c>
      <c r="B3249" s="27" t="s">
        <v>692</v>
      </c>
      <c r="C3249" s="27" t="s">
        <v>733</v>
      </c>
      <c r="D3249" s="27" t="s">
        <v>694</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1555</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1556</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1033</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266</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696</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721</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834</v>
      </c>
      <c r="B3256" s="27" t="s">
        <v>755</v>
      </c>
      <c r="C3256" s="27" t="s">
        <v>693</v>
      </c>
      <c r="D3256" s="27" t="s">
        <v>694</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872</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1023</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699</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row>
    <row r="3261" spans="1:12">
      <c r="A3261" s="20" t="s">
        <v>1557</v>
      </c>
    </row>
    <row r="3262" spans="1:12">
      <c r="A3262" s="20" t="s">
        <v>1485</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1558</v>
      </c>
      <c r="B3263" s="27" t="s">
        <v>698</v>
      </c>
      <c r="C3263" s="27" t="s">
        <v>782</v>
      </c>
      <c r="D3263" s="27" t="s">
        <v>694</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696</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918</v>
      </c>
      <c r="B3265" s="27" t="s">
        <v>755</v>
      </c>
      <c r="C3265" s="27" t="s">
        <v>780</v>
      </c>
      <c r="D3265" s="27" t="s">
        <v>694</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1180</v>
      </c>
      <c r="B3266" s="27" t="s">
        <v>737</v>
      </c>
      <c r="C3266" s="27" t="s">
        <v>782</v>
      </c>
      <c r="D3266" s="27" t="s">
        <v>694</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844</v>
      </c>
      <c r="B3267" s="27" t="s">
        <v>692</v>
      </c>
      <c r="C3267" s="27" t="s">
        <v>819</v>
      </c>
      <c r="D3267" s="27" t="s">
        <v>694</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814</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809</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803</v>
      </c>
      <c r="B3270" s="27" t="s">
        <v>823</v>
      </c>
      <c r="C3270" s="27" t="s">
        <v>733</v>
      </c>
      <c r="D3270" s="27" t="s">
        <v>694</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887</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1559</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1032</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1041</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337</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718</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690</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697</v>
      </c>
      <c r="B3278" s="27" t="s">
        <v>755</v>
      </c>
      <c r="C3278" s="27" t="s">
        <v>693</v>
      </c>
      <c r="D3278" s="27" t="s">
        <v>694</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739</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1531</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809</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1560</v>
      </c>
      <c r="B3282" s="27" t="s">
        <v>755</v>
      </c>
      <c r="C3282" s="27" t="s">
        <v>716</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696</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690</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852</v>
      </c>
      <c r="B3285" s="27" t="s">
        <v>756</v>
      </c>
      <c r="C3285" s="27" t="s">
        <v>693</v>
      </c>
      <c r="D3285" s="27" t="s">
        <v>694</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699</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row>
    <row r="3288" spans="1:12">
      <c r="A3288" s="20" t="s">
        <v>1561</v>
      </c>
    </row>
    <row r="3289" spans="1:12">
      <c r="A3289" s="20" t="s">
        <v>944</v>
      </c>
      <c r="B3289" s="27" t="s">
        <v>692</v>
      </c>
      <c r="C3289" s="27" t="s">
        <v>819</v>
      </c>
      <c r="D3289" s="27" t="s">
        <v>694</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871</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869</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1433</v>
      </c>
      <c r="B3292" s="27" t="s">
        <v>698</v>
      </c>
      <c r="C3292" s="27" t="s">
        <v>953</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872</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1023</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699</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row>
    <row r="3297" spans="1:12">
      <c r="A3297" s="20" t="s">
        <v>1562</v>
      </c>
    </row>
    <row r="3298" spans="1:12">
      <c r="A3298" s="20" t="s">
        <v>1269</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266</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1563</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725</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774</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1120</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1564</v>
      </c>
      <c r="B3304" s="27" t="s">
        <v>698</v>
      </c>
      <c r="C3304" s="27" t="s">
        <v>776</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708</v>
      </c>
      <c r="B3305" s="27" t="s">
        <v>709</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803</v>
      </c>
      <c r="B3306" s="27" t="s">
        <v>830</v>
      </c>
      <c r="C3306" s="27" t="s">
        <v>733</v>
      </c>
      <c r="D3306" s="27" t="s">
        <v>694</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1565</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773</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18</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721</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1566</v>
      </c>
      <c r="B3311" s="27" t="s">
        <v>713</v>
      </c>
      <c r="C3311" s="27" t="s">
        <v>693</v>
      </c>
      <c r="D3311" s="27" t="s">
        <v>694</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1567</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786</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690</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697</v>
      </c>
      <c r="B3315" s="27" t="s">
        <v>715</v>
      </c>
      <c r="C3315" s="27" t="s">
        <v>693</v>
      </c>
      <c r="D3315" s="27" t="s">
        <v>694</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725</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844</v>
      </c>
      <c r="B3317" s="27" t="s">
        <v>692</v>
      </c>
      <c r="C3317" s="27" t="s">
        <v>819</v>
      </c>
      <c r="D3317" s="27" t="s">
        <v>694</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814</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851</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885</v>
      </c>
      <c r="B3320" s="27" t="s">
        <v>823</v>
      </c>
      <c r="C3320" s="27" t="s">
        <v>707</v>
      </c>
      <c r="D3320" s="27" t="s">
        <v>694</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887</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974</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1568</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1041</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696</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721</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1569</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834</v>
      </c>
      <c r="B3328" s="27" t="s">
        <v>737</v>
      </c>
      <c r="C3328" s="27" t="s">
        <v>693</v>
      </c>
      <c r="D3328" s="27" t="s">
        <v>694</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992</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885</v>
      </c>
      <c r="B3330" s="27" t="s">
        <v>709</v>
      </c>
      <c r="C3330" s="27" t="s">
        <v>707</v>
      </c>
      <c r="D3330" s="27" t="s">
        <v>694</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1570</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718</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747</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864</v>
      </c>
      <c r="B3334" s="27" t="s">
        <v>755</v>
      </c>
      <c r="C3334" s="27" t="s">
        <v>693</v>
      </c>
      <c r="D3334" s="27" t="s">
        <v>694</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865</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741</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1571</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885</v>
      </c>
      <c r="B3338" s="27" t="s">
        <v>886</v>
      </c>
      <c r="C3338" s="27" t="s">
        <v>707</v>
      </c>
      <c r="D3338" s="27" t="s">
        <v>694</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747</v>
      </c>
      <c r="B3339" s="27" t="s">
        <v>713</v>
      </c>
      <c r="C3339" s="27" t="s">
        <v>733</v>
      </c>
      <c r="D3339" s="27" t="s">
        <v>694</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975</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699</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row>
    <row r="3343" spans="1:12">
      <c r="A3343" s="20" t="s">
        <v>1572</v>
      </c>
    </row>
    <row r="3344" spans="1:12">
      <c r="A3344" s="20" t="s">
        <v>1455</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998</v>
      </c>
      <c r="B3345" s="27" t="s">
        <v>823</v>
      </c>
      <c r="C3345" s="27" t="s">
        <v>733</v>
      </c>
      <c r="D3345" s="27" t="s">
        <v>694</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1573</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747</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1079</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1076</v>
      </c>
      <c r="B3349" s="27" t="s">
        <v>762</v>
      </c>
      <c r="C3349" s="27" t="s">
        <v>693</v>
      </c>
      <c r="D3349" s="27" t="s">
        <v>694</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696</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210</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718</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1097</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1098</v>
      </c>
      <c r="B3354" s="27" t="s">
        <v>756</v>
      </c>
      <c r="C3354" s="27" t="s">
        <v>893</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721</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1574</v>
      </c>
      <c r="B3356" s="27" t="s">
        <v>983</v>
      </c>
      <c r="C3356" s="27" t="s">
        <v>782</v>
      </c>
      <c r="D3356" s="27" t="s">
        <v>694</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696</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1575</v>
      </c>
      <c r="B3358" s="27" t="s">
        <v>800</v>
      </c>
      <c r="C3358" s="27" t="s">
        <v>887</v>
      </c>
      <c r="D3358" s="27" t="s">
        <v>694</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871</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763</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725</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998</v>
      </c>
      <c r="B3362" s="27" t="s">
        <v>692</v>
      </c>
      <c r="C3362" s="27" t="s">
        <v>733</v>
      </c>
      <c r="D3362" s="27" t="s">
        <v>694</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824</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1420</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t="s">
        <v>1041</v>
      </c>
      <c r="E3365" s="21">
        <f>IF(D3365="?OLD","!!!","")</f>
        <v/>
      </c>
      <c r="F3365" s="22" t="str">
        <f>IF(OR(E3365="",E3365="!!!"),"",IF(NOT(ISNA(VLOOKUP(E3365,E$1:E3364,1,FALSE()))),"OLD",IF(AND(E3365&lt;&gt;"",E3365&lt;&gt;"!!!"),"NEW","")))</f>
        <v> </v>
      </c>
      <c r="G3365" s="23" t="str">
        <f>IF(OR(E3365="",E3365="!!!"),"",IF(OR(J3365=0,AND(J3365=1,K3365=1),AND(J3365=1,I3365="SBJ"),AND(J3365=1,I3365=0)),"?IN_FOCUS",IF(J3365&lt;=2,"?ACTIVATED",IF(J3365&lt;&gt;"","?FAMILIAR",IF(F3365="NEW",IF(ISNA(VLOOKUP(E3365,#REF!,1,FALSE())),"?TYPE_IDENTIFIABLE","?REFERENTIAL"),"_")))))</f>
        <v> </v>
      </c>
      <c r="H3365" s="24" t="str">
        <f>IF(J3365&lt;&gt;1,"",IF(I3365="SBJ","CB","?"))</f>
        <v> </v>
      </c>
      <c r="I3365" s="25" t="str">
        <f>IF(OR(E3365="",E3365="!!!",F3365="NEW"),"",INDEX(B3364:B$2,-1+SUMPRODUCT(MAX(ROW(E3364:E$2)*(E3365=E3364:E$2)))))</f>
        <v> </v>
      </c>
      <c r="J3365" s="25" t="str">
        <f>IF(OR(E3365="",E3365="!!!",F3365="NEW"),"",COUNTBLANK(OFFSET(A$1,,,SUMPRODUCT(MAX(ROW(E$2:E3365)*(E3365=E$2:E3365)))))-COUNTBLANK(OFFSET(A$1,,,SUMPRODUCT(MAX(ROW(E$1:E3364)*(E2=E$1:E3364))))))</f>
        <v> </v>
      </c>
      <c r="K3365" s="25" t="str">
        <f>IF(OR(E3365="",E3365="!!!",F3365="NEW"),"",INDEX(J$1:J3364,SUMPRODUCT(MAX(ROW(E$1:E3364)*(E3365=E$1:E3364)))))</f>
        <v> </v>
      </c>
      <c r="L3365" s="26"/>
    </row>
    <row r="3366" spans="1:12">
      <c r="A3366" s="20" t="s">
        <v>696</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1206</v>
      </c>
      <c r="B3367" s="27" t="s">
        <v>706</v>
      </c>
      <c r="C3367" s="27" t="s">
        <v>776</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777</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699</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row>
    <row r="3371" spans="1:12">
      <c r="A3371" s="20" t="s">
        <v>1576</v>
      </c>
    </row>
    <row r="3372" spans="1:12">
      <c r="A3372" s="20" t="s">
        <v>1577</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998</v>
      </c>
      <c r="B3373" s="27" t="s">
        <v>823</v>
      </c>
      <c r="C3373" s="27" t="s">
        <v>733</v>
      </c>
      <c r="D3373" s="27" t="s">
        <v>694</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1573</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950</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1076</v>
      </c>
      <c r="B3376" s="27" t="s">
        <v>762</v>
      </c>
      <c r="C3376" s="27" t="s">
        <v>788</v>
      </c>
      <c r="D3376" s="27" t="s">
        <v>694</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725</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998</v>
      </c>
      <c r="B3378" s="27" t="s">
        <v>692</v>
      </c>
      <c r="C3378" s="27" t="s">
        <v>733</v>
      </c>
      <c r="D3378" s="27" t="s">
        <v>694</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1418</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809</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721</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1578</v>
      </c>
      <c r="B3382" s="27" t="s">
        <v>823</v>
      </c>
      <c r="C3382" s="27" t="s">
        <v>693</v>
      </c>
      <c r="D3382" s="27" t="s">
        <v>694</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1579</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258</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742</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763</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739</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1575</v>
      </c>
      <c r="B3388" s="27" t="s">
        <v>755</v>
      </c>
      <c r="C3388" s="27" t="s">
        <v>887</v>
      </c>
      <c r="D3388" s="27" t="s">
        <v>694</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725</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809</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725</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1291</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725</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t="s">
        <v>862</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t="s">
        <v>829</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1580</v>
      </c>
      <c r="B3396" s="27" t="s">
        <v>755</v>
      </c>
      <c r="C3396" s="27" t="s">
        <v>887</v>
      </c>
      <c r="D3396" s="27" t="s">
        <v>694</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699</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row>
    <row r="3399" spans="1:12">
      <c r="A3399" s="20" t="s">
        <v>1581</v>
      </c>
    </row>
    <row r="3400" spans="1:12">
      <c r="A3400" s="20" t="s">
        <v>1117</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394</v>
      </c>
      <c r="B3401" s="27" t="s">
        <v>698</v>
      </c>
      <c r="C3401" s="27" t="s">
        <v>887</v>
      </c>
      <c r="D3401" s="27" t="s">
        <v>694</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1118</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868</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262</v>
      </c>
      <c r="B3404" s="27" t="s">
        <v>698</v>
      </c>
      <c r="C3404" s="27" t="s">
        <v>819</v>
      </c>
      <c r="D3404" s="27" t="s">
        <v>694</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851</v>
      </c>
      <c r="B3405" s="27" t="s">
        <v>830</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738</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703</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704</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t="s">
        <v>725</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844</v>
      </c>
      <c r="B3410" s="27" t="s">
        <v>692</v>
      </c>
      <c r="C3410" s="27" t="s">
        <v>819</v>
      </c>
      <c r="D3410" s="27" t="s">
        <v>694</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t="s">
        <v>814</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809</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992</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998</v>
      </c>
      <c r="B3414" s="27" t="s">
        <v>709</v>
      </c>
      <c r="C3414" s="27" t="s">
        <v>733</v>
      </c>
      <c r="D3414" s="27" t="s">
        <v>694</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1418</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718</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747</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t="s">
        <v>864</v>
      </c>
      <c r="B3418" s="27" t="s">
        <v>755</v>
      </c>
      <c r="C3418" s="27" t="s">
        <v>693</v>
      </c>
      <c r="D3418" s="27" t="s">
        <v>694</v>
      </c>
      <c r="E3418" s="21">
        <f>IF(D3418="?OLD","!!!","")</f>
        <v/>
      </c>
      <c r="F3418" s="22" t="str">
        <f>IF(OR(E3418="",E3418="!!!"),"",IF(NOT(ISNA(VLOOKUP(E3418,E$1:E3417,1,FALSE()))),"OLD",IF(AND(E3418&lt;&gt;"",E3418&lt;&gt;"!!!"),"NEW","")))</f>
        <v> </v>
      </c>
      <c r="G3418" s="23" t="str">
        <f>IF(OR(E3418="",E3418="!!!"),"",IF(OR(J3418=0,AND(J3418=1,K3418=1),AND(J3418=1,I3418="SBJ"),AND(J3418=1,I3418=0)),"?IN_FOCUS",IF(J3418&lt;=2,"?ACTIVATED",IF(J3418&lt;&gt;"","?FAMILIAR",IF(F3418="NEW",IF(ISNA(VLOOKUP(E3418,#REF!,1,FALSE())),"?TYPE_IDENTIFIABLE","?REFERENTIAL"),"_")))))</f>
        <v> </v>
      </c>
      <c r="H3418" s="24" t="str">
        <f>IF(J3418&lt;&gt;1,"",IF(I3418="SBJ","CB","?"))</f>
        <v> </v>
      </c>
      <c r="I3418" s="25" t="str">
        <f>IF(OR(E3418="",E3418="!!!",F3418="NEW"),"",INDEX(B3417:B$2,-1+SUMPRODUCT(MAX(ROW(E3417:E$2)*(E3418=E3417:E$2)))))</f>
        <v> </v>
      </c>
      <c r="J3418" s="25" t="str">
        <f>IF(OR(E3418="",E3418="!!!",F3418="NEW"),"",COUNTBLANK(OFFSET(A$1,,,SUMPRODUCT(MAX(ROW(E$2:E3418)*(E3418=E$2:E3418)))))-COUNTBLANK(OFFSET(A$1,,,SUMPRODUCT(MAX(ROW(E$1:E3417)*(E2=E$1:E3417))))))</f>
        <v> </v>
      </c>
      <c r="K3418" s="25" t="str">
        <f>IF(OR(E3418="",E3418="!!!",F3418="NEW"),"",INDEX(J$1:J3417,SUMPRODUCT(MAX(ROW(E$1:E3417)*(E3418=E$1:E3417)))))</f>
        <v> </v>
      </c>
      <c r="L3418" s="26"/>
    </row>
    <row r="3419" spans="1:12">
      <c r="A3419" s="20" t="s">
        <v>739</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1575</v>
      </c>
      <c r="B3420" s="27" t="s">
        <v>756</v>
      </c>
      <c r="C3420" s="27" t="s">
        <v>887</v>
      </c>
      <c r="D3420" s="27" t="s">
        <v>694</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725</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998</v>
      </c>
      <c r="B3422" s="27" t="s">
        <v>823</v>
      </c>
      <c r="C3422" s="27" t="s">
        <v>733</v>
      </c>
      <c r="D3422" s="27" t="s">
        <v>694</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1418</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718</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690</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1582</v>
      </c>
      <c r="B3426" s="27" t="s">
        <v>737</v>
      </c>
      <c r="C3426" s="27" t="s">
        <v>693</v>
      </c>
      <c r="D3426" s="27" t="s">
        <v>694</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857</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747</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1575</v>
      </c>
      <c r="B3429" s="27" t="s">
        <v>737</v>
      </c>
      <c r="C3429" s="27" t="s">
        <v>887</v>
      </c>
      <c r="D3429" s="27" t="s">
        <v>694</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846</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773</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761</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1583</v>
      </c>
      <c r="B3433" s="27" t="s">
        <v>755</v>
      </c>
      <c r="C3433" s="27" t="s">
        <v>776</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725</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846</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690</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1582</v>
      </c>
      <c r="B3437" s="27" t="s">
        <v>737</v>
      </c>
      <c r="C3437" s="27" t="s">
        <v>693</v>
      </c>
      <c r="D3437" s="27" t="s">
        <v>694</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725</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1291</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725</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t="s">
        <v>814</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t="s">
        <v>862</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690</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1584</v>
      </c>
      <c r="B3444" s="27" t="s">
        <v>698</v>
      </c>
      <c r="C3444" s="27" t="s">
        <v>693</v>
      </c>
      <c r="D3444" s="27" t="s">
        <v>694</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699</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row>
    <row r="3447" spans="1:12">
      <c r="A3447" s="20" t="s">
        <v>700</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1585</v>
      </c>
    </row>
    <row r="3449" spans="1:12">
      <c r="A3449" s="20" t="s">
        <v>868</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741</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725</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738</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988</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t="s">
        <v>1586</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t="s">
        <v>809</v>
      </c>
      <c r="E3455" s="21">
        <f>IF(D3455="?OLD","!!!","")</f>
        <v/>
      </c>
      <c r="F3455" s="22" t="str">
        <f>IF(OR(E3455="",E3455="!!!"),"",IF(NOT(ISNA(VLOOKUP(E3455,E$1:E3454,1,FALSE()))),"OLD",IF(AND(E3455&lt;&gt;"",E3455&lt;&gt;"!!!"),"NEW","")))</f>
        <v> </v>
      </c>
      <c r="G3455" s="23" t="str">
        <f>IF(OR(E3455="",E3455="!!!"),"",IF(OR(J3455=0,AND(J3455=1,K3455=1),AND(J3455=1,I3455="SBJ"),AND(J3455=1,I3455=0)),"?IN_FOCUS",IF(J3455&lt;=2,"?ACTIVATED",IF(J3455&lt;&gt;"","?FAMILIAR",IF(F3455="NEW",IF(ISNA(VLOOKUP(E3455,#REF!,1,FALSE())),"?TYPE_IDENTIFIABLE","?REFERENTIAL"),"_")))))</f>
        <v> </v>
      </c>
      <c r="H3455" s="24" t="str">
        <f>IF(J3455&lt;&gt;1,"",IF(I3455="SBJ","CB","?"))</f>
        <v> </v>
      </c>
      <c r="I3455" s="25" t="str">
        <f>IF(OR(E3455="",E3455="!!!",F3455="NEW"),"",INDEX(B3454:B$2,-1+SUMPRODUCT(MAX(ROW(E3454:E$2)*(E3455=E3454:E$2)))))</f>
        <v> </v>
      </c>
      <c r="J3455" s="25" t="str">
        <f>IF(OR(E3455="",E3455="!!!",F3455="NEW"),"",COUNTBLANK(OFFSET(A$1,,,SUMPRODUCT(MAX(ROW(E$2:E3455)*(E3455=E$2:E3455)))))-COUNTBLANK(OFFSET(A$1,,,SUMPRODUCT(MAX(ROW(E$1:E3454)*(E2=E$1:E3454))))))</f>
        <v> </v>
      </c>
      <c r="K3455" s="25" t="str">
        <f>IF(OR(E3455="",E3455="!!!",F3455="NEW"),"",INDEX(J$1:J3454,SUMPRODUCT(MAX(ROW(E$1:E3454)*(E3455=E$1:E3454)))))</f>
        <v> </v>
      </c>
      <c r="L3455" s="26"/>
    </row>
    <row r="3456" spans="1:12">
      <c r="A3456" s="20" t="s">
        <v>690</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1584</v>
      </c>
      <c r="B3457" s="27" t="s">
        <v>823</v>
      </c>
      <c r="C3457" s="27" t="s">
        <v>693</v>
      </c>
      <c r="D3457" s="27" t="s">
        <v>694</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824</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814</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1041</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872</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1109</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832</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690</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730</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838</v>
      </c>
      <c r="B3466" s="27" t="s">
        <v>737</v>
      </c>
      <c r="C3466" s="27" t="s">
        <v>707</v>
      </c>
      <c r="D3466" s="27" t="s">
        <v>694</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696</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829</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249</v>
      </c>
      <c r="B3469" s="27" t="s">
        <v>755</v>
      </c>
      <c r="C3469" s="27" t="s">
        <v>693</v>
      </c>
      <c r="D3469" s="27" t="s">
        <v>694</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730</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1041</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742</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809</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832</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t="s">
        <v>690</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730</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t="s">
        <v>838</v>
      </c>
      <c r="B3477" s="27" t="s">
        <v>756</v>
      </c>
      <c r="C3477" s="27" t="s">
        <v>707</v>
      </c>
      <c r="D3477" s="27" t="s">
        <v>694</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708</v>
      </c>
      <c r="B3478" s="27" t="s">
        <v>798</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t="s">
        <v>1570</v>
      </c>
      <c r="E3479" s="21">
        <f>IF(D3479="?OLD","!!!","")</f>
        <v/>
      </c>
      <c r="F3479" s="22" t="str">
        <f>IF(OR(E3479="",E3479="!!!"),"",IF(NOT(ISNA(VLOOKUP(E3479,E$1:E3478,1,FALSE()))),"OLD",IF(AND(E3479&lt;&gt;"",E3479&lt;&gt;"!!!"),"NEW","")))</f>
        <v> </v>
      </c>
      <c r="G3479" s="23" t="str">
        <f>IF(OR(E3479="",E3479="!!!"),"",IF(OR(J3479=0,AND(J3479=1,K3479=1),AND(J3479=1,I3479="SBJ"),AND(J3479=1,I3479=0)),"?IN_FOCUS",IF(J3479&lt;=2,"?ACTIVATED",IF(J3479&lt;&gt;"","?FAMILIAR",IF(F3479="NEW",IF(ISNA(VLOOKUP(E3479,#REF!,1,FALSE())),"?TYPE_IDENTIFIABLE","?REFERENTIAL"),"_")))))</f>
        <v> </v>
      </c>
      <c r="H3479" s="24" t="str">
        <f>IF(J3479&lt;&gt;1,"",IF(I3479="SBJ","CB","?"))</f>
        <v> </v>
      </c>
      <c r="I3479" s="25" t="str">
        <f>IF(OR(E3479="",E3479="!!!",F3479="NEW"),"",INDEX(B3478:B$2,-1+SUMPRODUCT(MAX(ROW(E3478:E$2)*(E3479=E3478:E$2)))))</f>
        <v> </v>
      </c>
      <c r="J3479" s="25" t="str">
        <f>IF(OR(E3479="",E3479="!!!",F3479="NEW"),"",COUNTBLANK(OFFSET(A$1,,,SUMPRODUCT(MAX(ROW(E$2:E3479)*(E3479=E$2:E3479)))))-COUNTBLANK(OFFSET(A$1,,,SUMPRODUCT(MAX(ROW(E$1:E3478)*(E2=E$1:E3478))))))</f>
        <v> </v>
      </c>
      <c r="K3479" s="25" t="str">
        <f>IF(OR(E3479="",E3479="!!!",F3479="NEW"),"",INDEX(J$1:J3478,SUMPRODUCT(MAX(ROW(E$1:E3478)*(E3479=E$1:E3478)))))</f>
        <v> </v>
      </c>
      <c r="L3479" s="26"/>
    </row>
    <row r="3480" spans="1:12">
      <c r="A3480" s="20" t="s">
        <v>730</v>
      </c>
      <c r="E3480" s="21">
        <f>IF(D3480="?OLD","!!!","")</f>
        <v/>
      </c>
      <c r="F3480" s="22" t="str">
        <f>IF(OR(E3480="",E3480="!!!"),"",IF(NOT(ISNA(VLOOKUP(E3480,E$1:E3479,1,FALSE()))),"OLD",IF(AND(E3480&lt;&gt;"",E3480&lt;&gt;"!!!"),"NEW","")))</f>
        <v> </v>
      </c>
      <c r="G3480" s="23" t="str">
        <f>IF(OR(E3480="",E3480="!!!"),"",IF(OR(J3480=0,AND(J3480=1,K3480=1),AND(J3480=1,I3480="SBJ"),AND(J3480=1,I3480=0)),"?IN_FOCUS",IF(J3480&lt;=2,"?ACTIVATED",IF(J3480&lt;&gt;"","?FAMILIAR",IF(F3480="NEW",IF(ISNA(VLOOKUP(E3480,#REF!,1,FALSE())),"?TYPE_IDENTIFIABLE","?REFERENTIAL"),"_")))))</f>
        <v> </v>
      </c>
      <c r="H3480" s="24" t="str">
        <f>IF(J3480&lt;&gt;1,"",IF(I3480="SBJ","CB","?"))</f>
        <v> </v>
      </c>
      <c r="I3480" s="25" t="str">
        <f>IF(OR(E3480="",E3480="!!!",F3480="NEW"),"",INDEX(B3479:B$2,-1+SUMPRODUCT(MAX(ROW(E3479:E$2)*(E3480=E3479:E$2)))))</f>
        <v> </v>
      </c>
      <c r="J3480" s="25" t="str">
        <f>IF(OR(E3480="",E3480="!!!",F3480="NEW"),"",COUNTBLANK(OFFSET(A$1,,,SUMPRODUCT(MAX(ROW(E$2:E3480)*(E3480=E$2:E3480)))))-COUNTBLANK(OFFSET(A$1,,,SUMPRODUCT(MAX(ROW(E$1:E3479)*(E2=E$1:E3479))))))</f>
        <v> </v>
      </c>
      <c r="K3480" s="25" t="str">
        <f>IF(OR(E3480="",E3480="!!!",F3480="NEW"),"",INDEX(J$1:J3479,SUMPRODUCT(MAX(ROW(E$1:E3479)*(E3480=E$1:E3479)))))</f>
        <v> </v>
      </c>
      <c r="L3480" s="26"/>
    </row>
    <row r="3481" spans="1:12">
      <c r="A3481" s="20" t="s">
        <v>846</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t="s">
        <v>708</v>
      </c>
      <c r="B3482" s="27" t="s">
        <v>709</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1587</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996</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721</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1578</v>
      </c>
      <c r="B3486" s="27" t="s">
        <v>886</v>
      </c>
      <c r="C3486" s="27" t="s">
        <v>693</v>
      </c>
      <c r="D3486" s="27" t="s">
        <v>694</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871</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t="s">
        <v>763</v>
      </c>
      <c r="E3488" s="21">
        <f>IF(D3488="?OLD","!!!","")</f>
        <v/>
      </c>
      <c r="F3488" s="22" t="str">
        <f>IF(OR(E3488="",E3488="!!!"),"",IF(NOT(ISNA(VLOOKUP(E3488,E$1:E3487,1,FALSE()))),"OLD",IF(AND(E3488&lt;&gt;"",E3488&lt;&gt;"!!!"),"NEW","")))</f>
        <v> </v>
      </c>
      <c r="G3488" s="23" t="str">
        <f>IF(OR(E3488="",E3488="!!!"),"",IF(OR(J3488=0,AND(J3488=1,K3488=1),AND(J3488=1,I3488="SBJ"),AND(J3488=1,I3488=0)),"?IN_FOCUS",IF(J3488&lt;=2,"?ACTIVATED",IF(J3488&lt;&gt;"","?FAMILIAR",IF(F3488="NEW",IF(ISNA(VLOOKUP(E3488,#REF!,1,FALSE())),"?TYPE_IDENTIFIABLE","?REFERENTIAL"),"_")))))</f>
        <v> </v>
      </c>
      <c r="H3488" s="24" t="str">
        <f>IF(J3488&lt;&gt;1,"",IF(I3488="SBJ","CB","?"))</f>
        <v> </v>
      </c>
      <c r="I3488" s="25" t="str">
        <f>IF(OR(E3488="",E3488="!!!",F3488="NEW"),"",INDEX(B3487:B$2,-1+SUMPRODUCT(MAX(ROW(E3487:E$2)*(E3488=E3487:E$2)))))</f>
        <v> </v>
      </c>
      <c r="J3488" s="25" t="str">
        <f>IF(OR(E3488="",E3488="!!!",F3488="NEW"),"",COUNTBLANK(OFFSET(A$1,,,SUMPRODUCT(MAX(ROW(E$2:E3488)*(E3488=E$2:E3488)))))-COUNTBLANK(OFFSET(A$1,,,SUMPRODUCT(MAX(ROW(E$1:E3487)*(E2=E$1:E3487))))))</f>
        <v> </v>
      </c>
      <c r="K3488" s="25" t="str">
        <f>IF(OR(E3488="",E3488="!!!",F3488="NEW"),"",INDEX(J$1:J3487,SUMPRODUCT(MAX(ROW(E$1:E3487)*(E3488=E$1:E3487)))))</f>
        <v> </v>
      </c>
      <c r="L3488" s="26"/>
    </row>
    <row r="3489" spans="1:12">
      <c r="A3489" s="20" t="s">
        <v>699</v>
      </c>
      <c r="E3489" s="21">
        <f>IF(D3489="?OLD","!!!","")</f>
        <v/>
      </c>
      <c r="F3489" s="22" t="str">
        <f>IF(OR(E3489="",E3489="!!!"),"",IF(NOT(ISNA(VLOOKUP(E3489,E$1:E3488,1,FALSE()))),"OLD",IF(AND(E3489&lt;&gt;"",E3489&lt;&gt;"!!!"),"NEW","")))</f>
        <v> </v>
      </c>
      <c r="G3489" s="23" t="str">
        <f>IF(OR(E3489="",E3489="!!!"),"",IF(OR(J3489=0,AND(J3489=1,K3489=1),AND(J3489=1,I3489="SBJ"),AND(J3489=1,I3489=0)),"?IN_FOCUS",IF(J3489&lt;=2,"?ACTIVATED",IF(J3489&lt;&gt;"","?FAMILIAR",IF(F3489="NEW",IF(ISNA(VLOOKUP(E3489,#REF!,1,FALSE())),"?TYPE_IDENTIFIABLE","?REFERENTIAL"),"_")))))</f>
        <v> </v>
      </c>
      <c r="H3489" s="24" t="str">
        <f>IF(J3489&lt;&gt;1,"",IF(I3489="SBJ","CB","?"))</f>
        <v> </v>
      </c>
      <c r="I3489" s="25" t="str">
        <f>IF(OR(E3489="",E3489="!!!",F3489="NEW"),"",INDEX(B3488:B$2,-1+SUMPRODUCT(MAX(ROW(E3488:E$2)*(E3489=E3488:E$2)))))</f>
        <v> </v>
      </c>
      <c r="J3489" s="25" t="str">
        <f>IF(OR(E3489="",E3489="!!!",F3489="NEW"),"",COUNTBLANK(OFFSET(A$1,,,SUMPRODUCT(MAX(ROW(E$2:E3489)*(E3489=E$2:E3489)))))-COUNTBLANK(OFFSET(A$1,,,SUMPRODUCT(MAX(ROW(E$1:E3488)*(E2=E$1:E3488))))))</f>
        <v> </v>
      </c>
      <c r="K3489" s="25" t="str">
        <f>IF(OR(E3489="",E3489="!!!",F3489="NEW"),"",INDEX(J$1:J3488,SUMPRODUCT(MAX(ROW(E$1:E3488)*(E3489=E$1:E3488)))))</f>
        <v> </v>
      </c>
      <c r="L3489" s="26"/>
    </row>
    <row r="3490" spans="1:12">
      <c r="A3490" s="20"/>
    </row>
    <row r="3491" spans="1:12">
      <c r="A3491" s="20" t="s">
        <v>700</v>
      </c>
      <c r="E3491" s="21">
        <f>IF(D3491="?OLD","!!!","")</f>
        <v/>
      </c>
      <c r="F3491" s="22" t="str">
        <f>IF(OR(E3491="",E3491="!!!"),"",IF(NOT(ISNA(VLOOKUP(E3491,E$1:E3490,1,FALSE()))),"OLD",IF(AND(E3491&lt;&gt;"",E3491&lt;&gt;"!!!"),"NEW","")))</f>
        <v> </v>
      </c>
      <c r="G3491" s="23" t="str">
        <f>IF(OR(E3491="",E3491="!!!"),"",IF(OR(J3491=0,AND(J3491=1,K3491=1),AND(J3491=1,I3491="SBJ"),AND(J3491=1,I3491=0)),"?IN_FOCUS",IF(J3491&lt;=2,"?ACTIVATED",IF(J3491&lt;&gt;"","?FAMILIAR",IF(F3491="NEW",IF(ISNA(VLOOKUP(E3491,#REF!,1,FALSE())),"?TYPE_IDENTIFIABLE","?REFERENTIAL"),"_")))))</f>
        <v> </v>
      </c>
      <c r="H3491" s="24" t="str">
        <f>IF(J3491&lt;&gt;1,"",IF(I3491="SBJ","CB","?"))</f>
        <v> </v>
      </c>
      <c r="I3491" s="25" t="str">
        <f>IF(OR(E3491="",E3491="!!!",F3491="NEW"),"",INDEX(B3490:B$2,-1+SUMPRODUCT(MAX(ROW(E3490:E$2)*(E3491=E3490:E$2)))))</f>
        <v> </v>
      </c>
      <c r="J3491" s="25" t="str">
        <f>IF(OR(E3491="",E3491="!!!",F3491="NEW"),"",COUNTBLANK(OFFSET(A$1,,,SUMPRODUCT(MAX(ROW(E$2:E3491)*(E3491=E$2:E3491)))))-COUNTBLANK(OFFSET(A$1,,,SUMPRODUCT(MAX(ROW(E$1:E3490)*(E2=E$1:E3490))))))</f>
        <v> </v>
      </c>
      <c r="K3491" s="25" t="str">
        <f>IF(OR(E3491="",E3491="!!!",F3491="NEW"),"",INDEX(J$1:J3490,SUMPRODUCT(MAX(ROW(E$1:E3490)*(E3491=E$1:E3490)))))</f>
        <v> </v>
      </c>
      <c r="L3491" s="26"/>
    </row>
    <row r="3492" spans="1:12">
      <c r="A3492" s="20" t="s">
        <v>1588</v>
      </c>
    </row>
    <row r="3493" spans="1:12">
      <c r="A3493" s="20" t="s">
        <v>765</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725</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536</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t="s">
        <v>725</v>
      </c>
      <c r="E3496" s="21">
        <f>IF(D3496="?OLD","!!!","")</f>
        <v/>
      </c>
      <c r="F3496" s="22" t="str">
        <f>IF(OR(E3496="",E3496="!!!"),"",IF(NOT(ISNA(VLOOKUP(E3496,E$1:E3495,1,FALSE()))),"OLD",IF(AND(E3496&lt;&gt;"",E3496&lt;&gt;"!!!"),"NEW","")))</f>
        <v> </v>
      </c>
      <c r="G3496" s="23" t="str">
        <f>IF(OR(E3496="",E3496="!!!"),"",IF(OR(J3496=0,AND(J3496=1,K3496=1),AND(J3496=1,I3496="SBJ"),AND(J3496=1,I3496=0)),"?IN_FOCUS",IF(J3496&lt;=2,"?ACTIVATED",IF(J3496&lt;&gt;"","?FAMILIAR",IF(F3496="NEW",IF(ISNA(VLOOKUP(E3496,#REF!,1,FALSE())),"?TYPE_IDENTIFIABLE","?REFERENTIAL"),"_")))))</f>
        <v> </v>
      </c>
      <c r="H3496" s="24" t="str">
        <f>IF(J3496&lt;&gt;1,"",IF(I3496="SBJ","CB","?"))</f>
        <v> </v>
      </c>
      <c r="I3496" s="25" t="str">
        <f>IF(OR(E3496="",E3496="!!!",F3496="NEW"),"",INDEX(B3495:B$2,-1+SUMPRODUCT(MAX(ROW(E3495:E$2)*(E3496=E3495:E$2)))))</f>
        <v> </v>
      </c>
      <c r="J3496" s="25" t="str">
        <f>IF(OR(E3496="",E3496="!!!",F3496="NEW"),"",COUNTBLANK(OFFSET(A$1,,,SUMPRODUCT(MAX(ROW(E$2:E3496)*(E3496=E$2:E3496)))))-COUNTBLANK(OFFSET(A$1,,,SUMPRODUCT(MAX(ROW(E$1:E3495)*(E2=E$1:E3495))))))</f>
        <v> </v>
      </c>
      <c r="K3496" s="25" t="str">
        <f>IF(OR(E3496="",E3496="!!!",F3496="NEW"),"",INDEX(J$1:J3495,SUMPRODUCT(MAX(ROW(E$1:E3495)*(E3496=E$1:E3495)))))</f>
        <v> </v>
      </c>
      <c r="L3496" s="26"/>
    </row>
    <row r="3497" spans="1:12">
      <c r="A3497" s="20" t="s">
        <v>1589</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t="s">
        <v>844</v>
      </c>
      <c r="B3498" s="27" t="s">
        <v>823</v>
      </c>
      <c r="C3498" s="27" t="s">
        <v>819</v>
      </c>
      <c r="D3498" s="27" t="s">
        <v>694</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814</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690</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730</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t="s">
        <v>838</v>
      </c>
      <c r="B3502" s="27" t="s">
        <v>698</v>
      </c>
      <c r="C3502" s="27" t="s">
        <v>707</v>
      </c>
      <c r="D3502" s="27" t="s">
        <v>694</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708</v>
      </c>
      <c r="B3503" s="27" t="s">
        <v>709</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1570</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730</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708</v>
      </c>
      <c r="B3506" s="27" t="s">
        <v>709</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1590</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725</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t="s">
        <v>998</v>
      </c>
      <c r="B3509" s="27" t="s">
        <v>709</v>
      </c>
      <c r="C3509" s="27" t="s">
        <v>733</v>
      </c>
      <c r="D3509" s="27" t="s">
        <v>694</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1591</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1592</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1593</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1594</v>
      </c>
      <c r="B3513" s="27" t="s">
        <v>830</v>
      </c>
      <c r="C3513" s="27" t="s">
        <v>707</v>
      </c>
      <c r="D3513" s="27" t="s">
        <v>694</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12</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696</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t="s">
        <v>1595</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t="s">
        <v>832</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747</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1575</v>
      </c>
      <c r="B3519" s="27" t="s">
        <v>715</v>
      </c>
      <c r="C3519" s="27" t="s">
        <v>887</v>
      </c>
      <c r="D3519" s="27" t="s">
        <v>694</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699</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row>
    <row r="3522" spans="1:12">
      <c r="A3522" s="20" t="s">
        <v>1596</v>
      </c>
    </row>
    <row r="3523" spans="1:12">
      <c r="A3523" s="20" t="s">
        <v>944</v>
      </c>
      <c r="B3523" s="27" t="s">
        <v>692</v>
      </c>
      <c r="C3523" s="27" t="s">
        <v>819</v>
      </c>
      <c r="D3523" s="27" t="s">
        <v>694</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1597</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t="s">
        <v>1598</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t="s">
        <v>725</v>
      </c>
      <c r="E3526" s="21">
        <f>IF(D3526="?OLD","!!!","")</f>
        <v/>
      </c>
      <c r="F3526" s="22" t="str">
        <f>IF(OR(E3526="",E3526="!!!"),"",IF(NOT(ISNA(VLOOKUP(E3526,E$1:E3525,1,FALSE()))),"OLD",IF(AND(E3526&lt;&gt;"",E3526&lt;&gt;"!!!"),"NEW","")))</f>
        <v> </v>
      </c>
      <c r="G3526" s="23" t="str">
        <f>IF(OR(E3526="",E3526="!!!"),"",IF(OR(J3526=0,AND(J3526=1,K3526=1),AND(J3526=1,I3526="SBJ"),AND(J3526=1,I3526=0)),"?IN_FOCUS",IF(J3526&lt;=2,"?ACTIVATED",IF(J3526&lt;&gt;"","?FAMILIAR",IF(F3526="NEW",IF(ISNA(VLOOKUP(E3526,#REF!,1,FALSE())),"?TYPE_IDENTIFIABLE","?REFERENTIAL"),"_")))))</f>
        <v> </v>
      </c>
      <c r="H3526" s="24" t="str">
        <f>IF(J3526&lt;&gt;1,"",IF(I3526="SBJ","CB","?"))</f>
        <v> </v>
      </c>
      <c r="I3526" s="25" t="str">
        <f>IF(OR(E3526="",E3526="!!!",F3526="NEW"),"",INDEX(B3525:B$2,-1+SUMPRODUCT(MAX(ROW(E3525:E$2)*(E3526=E3525:E$2)))))</f>
        <v> </v>
      </c>
      <c r="J3526" s="25" t="str">
        <f>IF(OR(E3526="",E3526="!!!",F3526="NEW"),"",COUNTBLANK(OFFSET(A$1,,,SUMPRODUCT(MAX(ROW(E$2:E3526)*(E3526=E$2:E3526)))))-COUNTBLANK(OFFSET(A$1,,,SUMPRODUCT(MAX(ROW(E$1:E3525)*(E2=E$1:E3525))))))</f>
        <v> </v>
      </c>
      <c r="K3526" s="25" t="str">
        <f>IF(OR(E3526="",E3526="!!!",F3526="NEW"),"",INDEX(J$1:J3525,SUMPRODUCT(MAX(ROW(E$1:E3525)*(E3526=E$1:E3525)))))</f>
        <v> </v>
      </c>
      <c r="L3526" s="26"/>
    </row>
    <row r="3527" spans="1:12">
      <c r="A3527" s="20" t="s">
        <v>696</v>
      </c>
      <c r="E3527" s="21">
        <f>IF(D3527="?OLD","!!!","")</f>
        <v/>
      </c>
      <c r="F3527" s="22" t="str">
        <f>IF(OR(E3527="",E3527="!!!"),"",IF(NOT(ISNA(VLOOKUP(E3527,E$1:E3526,1,FALSE()))),"OLD",IF(AND(E3527&lt;&gt;"",E3527&lt;&gt;"!!!"),"NEW","")))</f>
        <v> </v>
      </c>
      <c r="G3527" s="23" t="str">
        <f>IF(OR(E3527="",E3527="!!!"),"",IF(OR(J3527=0,AND(J3527=1,K3527=1),AND(J3527=1,I3527="SBJ"),AND(J3527=1,I3527=0)),"?IN_FOCUS",IF(J3527&lt;=2,"?ACTIVATED",IF(J3527&lt;&gt;"","?FAMILIAR",IF(F3527="NEW",IF(ISNA(VLOOKUP(E3527,#REF!,1,FALSE())),"?TYPE_IDENTIFIABLE","?REFERENTIAL"),"_")))))</f>
        <v> </v>
      </c>
      <c r="H3527" s="24" t="str">
        <f>IF(J3527&lt;&gt;1,"",IF(I3527="SBJ","CB","?"))</f>
        <v> </v>
      </c>
      <c r="I3527" s="25" t="str">
        <f>IF(OR(E3527="",E3527="!!!",F3527="NEW"),"",INDEX(B3526:B$2,-1+SUMPRODUCT(MAX(ROW(E3526:E$2)*(E3527=E3526:E$2)))))</f>
        <v> </v>
      </c>
      <c r="J3527" s="25" t="str">
        <f>IF(OR(E3527="",E3527="!!!",F3527="NEW"),"",COUNTBLANK(OFFSET(A$1,,,SUMPRODUCT(MAX(ROW(E$2:E3527)*(E3527=E$2:E3527)))))-COUNTBLANK(OFFSET(A$1,,,SUMPRODUCT(MAX(ROW(E$1:E3526)*(E2=E$1:E3526))))))</f>
        <v> </v>
      </c>
      <c r="K3527" s="25" t="str">
        <f>IF(OR(E3527="",E3527="!!!",F3527="NEW"),"",INDEX(J$1:J3526,SUMPRODUCT(MAX(ROW(E$1:E3526)*(E3527=E$1:E3526)))))</f>
        <v> </v>
      </c>
      <c r="L3527" s="26"/>
    </row>
    <row r="3528" spans="1:12">
      <c r="A3528" s="20" t="s">
        <v>1599</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1600</v>
      </c>
      <c r="B3529" s="27" t="s">
        <v>762</v>
      </c>
      <c r="C3529" s="27" t="s">
        <v>819</v>
      </c>
      <c r="D3529" s="27" t="s">
        <v>694</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708</v>
      </c>
      <c r="B3530" s="27" t="s">
        <v>886</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1601</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832</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747</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1575</v>
      </c>
      <c r="B3534" s="27" t="s">
        <v>756</v>
      </c>
      <c r="C3534" s="27" t="s">
        <v>887</v>
      </c>
      <c r="D3534" s="27" t="s">
        <v>694</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725</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t="s">
        <v>862</v>
      </c>
      <c r="E3536" s="21">
        <f>IF(D3536="?OLD","!!!","")</f>
        <v/>
      </c>
      <c r="F3536" s="22" t="str">
        <f>IF(OR(E3536="",E3536="!!!"),"",IF(NOT(ISNA(VLOOKUP(E3536,E$1:E3535,1,FALSE()))),"OLD",IF(AND(E3536&lt;&gt;"",E3536&lt;&gt;"!!!"),"NEW","")))</f>
        <v> </v>
      </c>
      <c r="G3536" s="23" t="str">
        <f>IF(OR(E3536="",E3536="!!!"),"",IF(OR(J3536=0,AND(J3536=1,K3536=1),AND(J3536=1,I3536="SBJ"),AND(J3536=1,I3536=0)),"?IN_FOCUS",IF(J3536&lt;=2,"?ACTIVATED",IF(J3536&lt;&gt;"","?FAMILIAR",IF(F3536="NEW",IF(ISNA(VLOOKUP(E3536,#REF!,1,FALSE())),"?TYPE_IDENTIFIABLE","?REFERENTIAL"),"_")))))</f>
        <v> </v>
      </c>
      <c r="H3536" s="24" t="str">
        <f>IF(J3536&lt;&gt;1,"",IF(I3536="SBJ","CB","?"))</f>
        <v> </v>
      </c>
      <c r="I3536" s="25" t="str">
        <f>IF(OR(E3536="",E3536="!!!",F3536="NEW"),"",INDEX(B3535:B$2,-1+SUMPRODUCT(MAX(ROW(E3535:E$2)*(E3536=E3535:E$2)))))</f>
        <v> </v>
      </c>
      <c r="J3536" s="25" t="str">
        <f>IF(OR(E3536="",E3536="!!!",F3536="NEW"),"",COUNTBLANK(OFFSET(A$1,,,SUMPRODUCT(MAX(ROW(E$2:E3536)*(E3536=E$2:E3536)))))-COUNTBLANK(OFFSET(A$1,,,SUMPRODUCT(MAX(ROW(E$1:E3535)*(E2=E$1:E3535))))))</f>
        <v> </v>
      </c>
      <c r="K3536" s="25" t="str">
        <f>IF(OR(E3536="",E3536="!!!",F3536="NEW"),"",INDEX(J$1:J3535,SUMPRODUCT(MAX(ROW(E$1:E3535)*(E3536=E$1:E3535)))))</f>
        <v> </v>
      </c>
      <c r="L3536" s="26"/>
    </row>
    <row r="3537" spans="1:12">
      <c r="A3537" s="20" t="s">
        <v>829</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t="s">
        <v>1602</v>
      </c>
      <c r="B3538" s="27" t="s">
        <v>756</v>
      </c>
      <c r="C3538" s="27" t="s">
        <v>693</v>
      </c>
      <c r="D3538" s="27" t="s">
        <v>694</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773</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t="s">
        <v>258</v>
      </c>
      <c r="E3540" s="21">
        <f>IF(D3540="?OLD","!!!","")</f>
        <v/>
      </c>
      <c r="F3540" s="22" t="str">
        <f>IF(OR(E3540="",E3540="!!!"),"",IF(NOT(ISNA(VLOOKUP(E3540,E$1:E3539,1,FALSE()))),"OLD",IF(AND(E3540&lt;&gt;"",E3540&lt;&gt;"!!!"),"NEW","")))</f>
        <v> </v>
      </c>
      <c r="G3540" s="23" t="str">
        <f>IF(OR(E3540="",E3540="!!!"),"",IF(OR(J3540=0,AND(J3540=1,K3540=1),AND(J3540=1,I3540="SBJ"),AND(J3540=1,I3540=0)),"?IN_FOCUS",IF(J3540&lt;=2,"?ACTIVATED",IF(J3540&lt;&gt;"","?FAMILIAR",IF(F3540="NEW",IF(ISNA(VLOOKUP(E3540,#REF!,1,FALSE())),"?TYPE_IDENTIFIABLE","?REFERENTIAL"),"_")))))</f>
        <v> </v>
      </c>
      <c r="H3540" s="24" t="str">
        <f>IF(J3540&lt;&gt;1,"",IF(I3540="SBJ","CB","?"))</f>
        <v> </v>
      </c>
      <c r="I3540" s="25" t="str">
        <f>IF(OR(E3540="",E3540="!!!",F3540="NEW"),"",INDEX(B3539:B$2,-1+SUMPRODUCT(MAX(ROW(E3539:E$2)*(E3540=E3539:E$2)))))</f>
        <v> </v>
      </c>
      <c r="J3540" s="25" t="str">
        <f>IF(OR(E3540="",E3540="!!!",F3540="NEW"),"",COUNTBLANK(OFFSET(A$1,,,SUMPRODUCT(MAX(ROW(E$2:E3540)*(E3540=E$2:E3540)))))-COUNTBLANK(OFFSET(A$1,,,SUMPRODUCT(MAX(ROW(E$1:E3539)*(E2=E$1:E3539))))))</f>
        <v> </v>
      </c>
      <c r="K3540" s="25" t="str">
        <f>IF(OR(E3540="",E3540="!!!",F3540="NEW"),"",INDEX(J$1:J3539,SUMPRODUCT(MAX(ROW(E$1:E3539)*(E3540=E$1:E3539)))))</f>
        <v> </v>
      </c>
      <c r="L3540" s="26"/>
    </row>
    <row r="3541" spans="1:12">
      <c r="A3541" s="20" t="s">
        <v>742</v>
      </c>
      <c r="E3541" s="21">
        <f>IF(D3541="?OLD","!!!","")</f>
        <v/>
      </c>
      <c r="F3541" s="22" t="str">
        <f>IF(OR(E3541="",E3541="!!!"),"",IF(NOT(ISNA(VLOOKUP(E3541,E$1:E3540,1,FALSE()))),"OLD",IF(AND(E3541&lt;&gt;"",E3541&lt;&gt;"!!!"),"NEW","")))</f>
        <v> </v>
      </c>
      <c r="G3541" s="23" t="str">
        <f>IF(OR(E3541="",E3541="!!!"),"",IF(OR(J3541=0,AND(J3541=1,K3541=1),AND(J3541=1,I3541="SBJ"),AND(J3541=1,I3541=0)),"?IN_FOCUS",IF(J3541&lt;=2,"?ACTIVATED",IF(J3541&lt;&gt;"","?FAMILIAR",IF(F3541="NEW",IF(ISNA(VLOOKUP(E3541,#REF!,1,FALSE())),"?TYPE_IDENTIFIABLE","?REFERENTIAL"),"_")))))</f>
        <v> </v>
      </c>
      <c r="H3541" s="24" t="str">
        <f>IF(J3541&lt;&gt;1,"",IF(I3541="SBJ","CB","?"))</f>
        <v> </v>
      </c>
      <c r="I3541" s="25" t="str">
        <f>IF(OR(E3541="",E3541="!!!",F3541="NEW"),"",INDEX(B3540:B$2,-1+SUMPRODUCT(MAX(ROW(E3540:E$2)*(E3541=E3540:E$2)))))</f>
        <v> </v>
      </c>
      <c r="J3541" s="25" t="str">
        <f>IF(OR(E3541="",E3541="!!!",F3541="NEW"),"",COUNTBLANK(OFFSET(A$1,,,SUMPRODUCT(MAX(ROW(E$2:E3541)*(E3541=E$2:E3541)))))-COUNTBLANK(OFFSET(A$1,,,SUMPRODUCT(MAX(ROW(E$1:E3540)*(E2=E$1:E3540))))))</f>
        <v> </v>
      </c>
      <c r="K3541" s="25" t="str">
        <f>IF(OR(E3541="",E3541="!!!",F3541="NEW"),"",INDEX(J$1:J3540,SUMPRODUCT(MAX(ROW(E$1:E3540)*(E3541=E$1:E3540)))))</f>
        <v> </v>
      </c>
      <c r="L3541" s="26"/>
    </row>
    <row r="3542" spans="1:12">
      <c r="A3542" s="20" t="s">
        <v>763</v>
      </c>
      <c r="E3542" s="21">
        <f>IF(D3542="?OLD","!!!","")</f>
        <v/>
      </c>
      <c r="F3542" s="22" t="str">
        <f>IF(OR(E3542="",E3542="!!!"),"",IF(NOT(ISNA(VLOOKUP(E3542,E$1:E3541,1,FALSE()))),"OLD",IF(AND(E3542&lt;&gt;"",E3542&lt;&gt;"!!!"),"NEW","")))</f>
        <v> </v>
      </c>
      <c r="G3542" s="23" t="str">
        <f>IF(OR(E3542="",E3542="!!!"),"",IF(OR(J3542=0,AND(J3542=1,K3542=1),AND(J3542=1,I3542="SBJ"),AND(J3542=1,I3542=0)),"?IN_FOCUS",IF(J3542&lt;=2,"?ACTIVATED",IF(J3542&lt;&gt;"","?FAMILIAR",IF(F3542="NEW",IF(ISNA(VLOOKUP(E3542,#REF!,1,FALSE())),"?TYPE_IDENTIFIABLE","?REFERENTIAL"),"_")))))</f>
        <v> </v>
      </c>
      <c r="H3542" s="24" t="str">
        <f>IF(J3542&lt;&gt;1,"",IF(I3542="SBJ","CB","?"))</f>
        <v> </v>
      </c>
      <c r="I3542" s="25" t="str">
        <f>IF(OR(E3542="",E3542="!!!",F3542="NEW"),"",INDEX(B3541:B$2,-1+SUMPRODUCT(MAX(ROW(E3541:E$2)*(E3542=E3541:E$2)))))</f>
        <v> </v>
      </c>
      <c r="J3542" s="25" t="str">
        <f>IF(OR(E3542="",E3542="!!!",F3542="NEW"),"",COUNTBLANK(OFFSET(A$1,,,SUMPRODUCT(MAX(ROW(E$2:E3542)*(E3542=E$2:E3542)))))-COUNTBLANK(OFFSET(A$1,,,SUMPRODUCT(MAX(ROW(E$1:E3541)*(E2=E$1:E3541))))))</f>
        <v> </v>
      </c>
      <c r="K3542" s="25" t="str">
        <f>IF(OR(E3542="",E3542="!!!",F3542="NEW"),"",INDEX(J$1:J3541,SUMPRODUCT(MAX(ROW(E$1:E3541)*(E3542=E$1:E3541)))))</f>
        <v> </v>
      </c>
      <c r="L3542" s="26"/>
    </row>
    <row r="3543" spans="1:12">
      <c r="A3543" s="20" t="s">
        <v>699</v>
      </c>
      <c r="E3543" s="21">
        <f>IF(D3543="?OLD","!!!","")</f>
        <v/>
      </c>
      <c r="F3543" s="22" t="str">
        <f>IF(OR(E3543="",E3543="!!!"),"",IF(NOT(ISNA(VLOOKUP(E3543,E$1:E3542,1,FALSE()))),"OLD",IF(AND(E3543&lt;&gt;"",E3543&lt;&gt;"!!!"),"NEW","")))</f>
        <v> </v>
      </c>
      <c r="G3543" s="23" t="str">
        <f>IF(OR(E3543="",E3543="!!!"),"",IF(OR(J3543=0,AND(J3543=1,K3543=1),AND(J3543=1,I3543="SBJ"),AND(J3543=1,I3543=0)),"?IN_FOCUS",IF(J3543&lt;=2,"?ACTIVATED",IF(J3543&lt;&gt;"","?FAMILIAR",IF(F3543="NEW",IF(ISNA(VLOOKUP(E3543,#REF!,1,FALSE())),"?TYPE_IDENTIFIABLE","?REFERENTIAL"),"_")))))</f>
        <v> </v>
      </c>
      <c r="H3543" s="24" t="str">
        <f>IF(J3543&lt;&gt;1,"",IF(I3543="SBJ","CB","?"))</f>
        <v> </v>
      </c>
      <c r="I3543" s="25" t="str">
        <f>IF(OR(E3543="",E3543="!!!",F3543="NEW"),"",INDEX(B3542:B$2,-1+SUMPRODUCT(MAX(ROW(E3542:E$2)*(E3543=E3542:E$2)))))</f>
        <v> </v>
      </c>
      <c r="J3543" s="25" t="str">
        <f>IF(OR(E3543="",E3543="!!!",F3543="NEW"),"",COUNTBLANK(OFFSET(A$1,,,SUMPRODUCT(MAX(ROW(E$2:E3543)*(E3543=E$2:E3543)))))-COUNTBLANK(OFFSET(A$1,,,SUMPRODUCT(MAX(ROW(E$1:E3542)*(E2=E$1:E3542))))))</f>
        <v> </v>
      </c>
      <c r="K3543" s="25" t="str">
        <f>IF(OR(E3543="",E3543="!!!",F3543="NEW"),"",INDEX(J$1:J3542,SUMPRODUCT(MAX(ROW(E$1:E3542)*(E3543=E$1:E3542)))))</f>
        <v> </v>
      </c>
      <c r="L3543" s="26"/>
    </row>
    <row r="3544" spans="1:12">
      <c r="A3544" s="20"/>
    </row>
    <row r="3545" spans="1:12">
      <c r="A3545" s="20" t="s">
        <v>700</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1603</v>
      </c>
    </row>
    <row r="3547" spans="1:12">
      <c r="A3547" s="20" t="s">
        <v>1142</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821</v>
      </c>
      <c r="B3548" s="27" t="s">
        <v>737</v>
      </c>
      <c r="C3548" s="27" t="s">
        <v>716</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725</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t="s">
        <v>793</v>
      </c>
      <c r="B3550" s="27" t="s">
        <v>737</v>
      </c>
      <c r="C3550" s="27" t="s">
        <v>780</v>
      </c>
      <c r="D3550" s="27" t="s">
        <v>694</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730</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t="s">
        <v>838</v>
      </c>
      <c r="B3552" s="27" t="s">
        <v>692</v>
      </c>
      <c r="C3552" s="27" t="s">
        <v>707</v>
      </c>
      <c r="D3552" s="27" t="s">
        <v>694</v>
      </c>
      <c r="E3552" s="21">
        <f>IF(D3552="?OLD","!!!","")</f>
        <v/>
      </c>
      <c r="F3552" s="22" t="str">
        <f>IF(OR(E3552="",E3552="!!!"),"",IF(NOT(ISNA(VLOOKUP(E3552,E$1:E3551,1,FALSE()))),"OLD",IF(AND(E3552&lt;&gt;"",E3552&lt;&gt;"!!!"),"NEW","")))</f>
        <v> </v>
      </c>
      <c r="G3552" s="23" t="str">
        <f>IF(OR(E3552="",E3552="!!!"),"",IF(OR(J3552=0,AND(J3552=1,K3552=1),AND(J3552=1,I3552="SBJ"),AND(J3552=1,I3552=0)),"?IN_FOCUS",IF(J3552&lt;=2,"?ACTIVATED",IF(J3552&lt;&gt;"","?FAMILIAR",IF(F3552="NEW",IF(ISNA(VLOOKUP(E3552,#REF!,1,FALSE())),"?TYPE_IDENTIFIABLE","?REFERENTIAL"),"_")))))</f>
        <v> </v>
      </c>
      <c r="H3552" s="24" t="str">
        <f>IF(J3552&lt;&gt;1,"",IF(I3552="SBJ","CB","?"))</f>
        <v> </v>
      </c>
      <c r="I3552" s="25" t="str">
        <f>IF(OR(E3552="",E3552="!!!",F3552="NEW"),"",INDEX(B3551:B$2,-1+SUMPRODUCT(MAX(ROW(E3551:E$2)*(E3552=E3551:E$2)))))</f>
        <v> </v>
      </c>
      <c r="J3552" s="25" t="str">
        <f>IF(OR(E3552="",E3552="!!!",F3552="NEW"),"",COUNTBLANK(OFFSET(A$1,,,SUMPRODUCT(MAX(ROW(E$2:E3552)*(E3552=E$2:E3552)))))-COUNTBLANK(OFFSET(A$1,,,SUMPRODUCT(MAX(ROW(E$1:E3551)*(E2=E$1:E3551))))))</f>
        <v> </v>
      </c>
      <c r="K3552" s="25" t="str">
        <f>IF(OR(E3552="",E3552="!!!",F3552="NEW"),"",INDEX(J$1:J3551,SUMPRODUCT(MAX(ROW(E$1:E3551)*(E3552=E$1:E3551)))))</f>
        <v> </v>
      </c>
      <c r="L3552" s="26"/>
    </row>
    <row r="3553" spans="1:12">
      <c r="A3553" s="20" t="s">
        <v>696</v>
      </c>
      <c r="E3553" s="21">
        <f>IF(D3553="?OLD","!!!","")</f>
        <v/>
      </c>
      <c r="F3553" s="22" t="str">
        <f>IF(OR(E3553="",E3553="!!!"),"",IF(NOT(ISNA(VLOOKUP(E3553,E$1:E3552,1,FALSE()))),"OLD",IF(AND(E3553&lt;&gt;"",E3553&lt;&gt;"!!!"),"NEW","")))</f>
        <v> </v>
      </c>
      <c r="G3553" s="23" t="str">
        <f>IF(OR(E3553="",E3553="!!!"),"",IF(OR(J3553=0,AND(J3553=1,K3553=1),AND(J3553=1,I3553="SBJ"),AND(J3553=1,I3553=0)),"?IN_FOCUS",IF(J3553&lt;=2,"?ACTIVATED",IF(J3553&lt;&gt;"","?FAMILIAR",IF(F3553="NEW",IF(ISNA(VLOOKUP(E3553,#REF!,1,FALSE())),"?TYPE_IDENTIFIABLE","?REFERENTIAL"),"_")))))</f>
        <v> </v>
      </c>
      <c r="H3553" s="24" t="str">
        <f>IF(J3553&lt;&gt;1,"",IF(I3553="SBJ","CB","?"))</f>
        <v> </v>
      </c>
      <c r="I3553" s="25" t="str">
        <f>IF(OR(E3553="",E3553="!!!",F3553="NEW"),"",INDEX(B3552:B$2,-1+SUMPRODUCT(MAX(ROW(E3552:E$2)*(E3553=E3552:E$2)))))</f>
        <v> </v>
      </c>
      <c r="J3553" s="25" t="str">
        <f>IF(OR(E3553="",E3553="!!!",F3553="NEW"),"",COUNTBLANK(OFFSET(A$1,,,SUMPRODUCT(MAX(ROW(E$2:E3553)*(E3553=E$2:E3553)))))-COUNTBLANK(OFFSET(A$1,,,SUMPRODUCT(MAX(ROW(E$1:E3552)*(E2=E$1:E3552))))))</f>
        <v> </v>
      </c>
      <c r="K3553" s="25" t="str">
        <f>IF(OR(E3553="",E3553="!!!",F3553="NEW"),"",INDEX(J$1:J3552,SUMPRODUCT(MAX(ROW(E$1:E3552)*(E3553=E$1:E3552)))))</f>
        <v> </v>
      </c>
      <c r="L3553" s="26"/>
    </row>
    <row r="3554" spans="1:12">
      <c r="A3554" s="20" t="s">
        <v>829</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249</v>
      </c>
      <c r="B3555" s="27" t="s">
        <v>737</v>
      </c>
      <c r="C3555" s="27" t="s">
        <v>693</v>
      </c>
      <c r="D3555" s="27" t="s">
        <v>694</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730</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887</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1270</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t="s">
        <v>1041</v>
      </c>
      <c r="E3559" s="21">
        <f>IF(D3559="?OLD","!!!","")</f>
        <v/>
      </c>
      <c r="F3559" s="22" t="str">
        <f>IF(OR(E3559="",E3559="!!!"),"",IF(NOT(ISNA(VLOOKUP(E3559,E$1:E3558,1,FALSE()))),"OLD",IF(AND(E3559&lt;&gt;"",E3559&lt;&gt;"!!!"),"NEW","")))</f>
        <v> </v>
      </c>
      <c r="G3559" s="23" t="str">
        <f>IF(OR(E3559="",E3559="!!!"),"",IF(OR(J3559=0,AND(J3559=1,K3559=1),AND(J3559=1,I3559="SBJ"),AND(J3559=1,I3559=0)),"?IN_FOCUS",IF(J3559&lt;=2,"?ACTIVATED",IF(J3559&lt;&gt;"","?FAMILIAR",IF(F3559="NEW",IF(ISNA(VLOOKUP(E3559,#REF!,1,FALSE())),"?TYPE_IDENTIFIABLE","?REFERENTIAL"),"_")))))</f>
        <v> </v>
      </c>
      <c r="H3559" s="24" t="str">
        <f>IF(J3559&lt;&gt;1,"",IF(I3559="SBJ","CB","?"))</f>
        <v> </v>
      </c>
      <c r="I3559" s="25" t="str">
        <f>IF(OR(E3559="",E3559="!!!",F3559="NEW"),"",INDEX(B3558:B$2,-1+SUMPRODUCT(MAX(ROW(E3558:E$2)*(E3559=E3558:E$2)))))</f>
        <v> </v>
      </c>
      <c r="J3559" s="25" t="str">
        <f>IF(OR(E3559="",E3559="!!!",F3559="NEW"),"",COUNTBLANK(OFFSET(A$1,,,SUMPRODUCT(MAX(ROW(E$2:E3559)*(E3559=E$2:E3559)))))-COUNTBLANK(OFFSET(A$1,,,SUMPRODUCT(MAX(ROW(E$1:E3558)*(E2=E$1:E3558))))))</f>
        <v> </v>
      </c>
      <c r="K3559" s="25" t="str">
        <f>IF(OR(E3559="",E3559="!!!",F3559="NEW"),"",INDEX(J$1:J3558,SUMPRODUCT(MAX(ROW(E$1:E3558)*(E3559=E$1:E3558)))))</f>
        <v> </v>
      </c>
      <c r="L3559" s="26"/>
    </row>
    <row r="3560" spans="1:12">
      <c r="A3560" s="20" t="s">
        <v>742</v>
      </c>
      <c r="E3560" s="21">
        <f>IF(D3560="?OLD","!!!","")</f>
        <v/>
      </c>
      <c r="F3560" s="22" t="str">
        <f>IF(OR(E3560="",E3560="!!!"),"",IF(NOT(ISNA(VLOOKUP(E3560,E$1:E3559,1,FALSE()))),"OLD",IF(AND(E3560&lt;&gt;"",E3560&lt;&gt;"!!!"),"NEW","")))</f>
        <v> </v>
      </c>
      <c r="G3560" s="23" t="str">
        <f>IF(OR(E3560="",E3560="!!!"),"",IF(OR(J3560=0,AND(J3560=1,K3560=1),AND(J3560=1,I3560="SBJ"),AND(J3560=1,I3560=0)),"?IN_FOCUS",IF(J3560&lt;=2,"?ACTIVATED",IF(J3560&lt;&gt;"","?FAMILIAR",IF(F3560="NEW",IF(ISNA(VLOOKUP(E3560,#REF!,1,FALSE())),"?TYPE_IDENTIFIABLE","?REFERENTIAL"),"_")))))</f>
        <v> </v>
      </c>
      <c r="H3560" s="24" t="str">
        <f>IF(J3560&lt;&gt;1,"",IF(I3560="SBJ","CB","?"))</f>
        <v> </v>
      </c>
      <c r="I3560" s="25" t="str">
        <f>IF(OR(E3560="",E3560="!!!",F3560="NEW"),"",INDEX(B3559:B$2,-1+SUMPRODUCT(MAX(ROW(E3559:E$2)*(E3560=E3559:E$2)))))</f>
        <v> </v>
      </c>
      <c r="J3560" s="25" t="str">
        <f>IF(OR(E3560="",E3560="!!!",F3560="NEW"),"",COUNTBLANK(OFFSET(A$1,,,SUMPRODUCT(MAX(ROW(E$2:E3560)*(E3560=E$2:E3560)))))-COUNTBLANK(OFFSET(A$1,,,SUMPRODUCT(MAX(ROW(E$1:E3559)*(E2=E$1:E3559))))))</f>
        <v> </v>
      </c>
      <c r="K3560" s="25" t="str">
        <f>IF(OR(E3560="",E3560="!!!",F3560="NEW"),"",INDEX(J$1:J3559,SUMPRODUCT(MAX(ROW(E$1:E3559)*(E3560=E$1:E3559)))))</f>
        <v> </v>
      </c>
      <c r="L3560" s="26"/>
    </row>
    <row r="3561" spans="1:12">
      <c r="A3561" s="20" t="s">
        <v>763</v>
      </c>
      <c r="E3561" s="21">
        <f>IF(D3561="?OLD","!!!","")</f>
        <v/>
      </c>
      <c r="F3561" s="22" t="str">
        <f>IF(OR(E3561="",E3561="!!!"),"",IF(NOT(ISNA(VLOOKUP(E3561,E$1:E3560,1,FALSE()))),"OLD",IF(AND(E3561&lt;&gt;"",E3561&lt;&gt;"!!!"),"NEW","")))</f>
        <v> </v>
      </c>
      <c r="G3561" s="23" t="str">
        <f>IF(OR(E3561="",E3561="!!!"),"",IF(OR(J3561=0,AND(J3561=1,K3561=1),AND(J3561=1,I3561="SBJ"),AND(J3561=1,I3561=0)),"?IN_FOCUS",IF(J3561&lt;=2,"?ACTIVATED",IF(J3561&lt;&gt;"","?FAMILIAR",IF(F3561="NEW",IF(ISNA(VLOOKUP(E3561,#REF!,1,FALSE())),"?TYPE_IDENTIFIABLE","?REFERENTIAL"),"_")))))</f>
        <v> </v>
      </c>
      <c r="H3561" s="24" t="str">
        <f>IF(J3561&lt;&gt;1,"",IF(I3561="SBJ","CB","?"))</f>
        <v> </v>
      </c>
      <c r="I3561" s="25" t="str">
        <f>IF(OR(E3561="",E3561="!!!",F3561="NEW"),"",INDEX(B3560:B$2,-1+SUMPRODUCT(MAX(ROW(E3560:E$2)*(E3561=E3560:E$2)))))</f>
        <v> </v>
      </c>
      <c r="J3561" s="25" t="str">
        <f>IF(OR(E3561="",E3561="!!!",F3561="NEW"),"",COUNTBLANK(OFFSET(A$1,,,SUMPRODUCT(MAX(ROW(E$2:E3561)*(E3561=E$2:E3561)))))-COUNTBLANK(OFFSET(A$1,,,SUMPRODUCT(MAX(ROW(E$1:E3560)*(E2=E$1:E3560))))))</f>
        <v> </v>
      </c>
      <c r="K3561" s="25" t="str">
        <f>IF(OR(E3561="",E3561="!!!",F3561="NEW"),"",INDEX(J$1:J3560,SUMPRODUCT(MAX(ROW(E$1:E3560)*(E3561=E$1:E3560)))))</f>
        <v> </v>
      </c>
      <c r="L3561" s="26"/>
    </row>
    <row r="3562" spans="1:12">
      <c r="A3562" s="20" t="s">
        <v>699</v>
      </c>
      <c r="E3562" s="21">
        <f>IF(D3562="?OLD","!!!","")</f>
        <v/>
      </c>
      <c r="F3562" s="22" t="str">
        <f>IF(OR(E3562="",E3562="!!!"),"",IF(NOT(ISNA(VLOOKUP(E3562,E$1:E3561,1,FALSE()))),"OLD",IF(AND(E3562&lt;&gt;"",E3562&lt;&gt;"!!!"),"NEW","")))</f>
        <v> </v>
      </c>
      <c r="G3562" s="23" t="str">
        <f>IF(OR(E3562="",E3562="!!!"),"",IF(OR(J3562=0,AND(J3562=1,K3562=1),AND(J3562=1,I3562="SBJ"),AND(J3562=1,I3562=0)),"?IN_FOCUS",IF(J3562&lt;=2,"?ACTIVATED",IF(J3562&lt;&gt;"","?FAMILIAR",IF(F3562="NEW",IF(ISNA(VLOOKUP(E3562,#REF!,1,FALSE())),"?TYPE_IDENTIFIABLE","?REFERENTIAL"),"_")))))</f>
        <v> </v>
      </c>
      <c r="H3562" s="24" t="str">
        <f>IF(J3562&lt;&gt;1,"",IF(I3562="SBJ","CB","?"))</f>
        <v> </v>
      </c>
      <c r="I3562" s="25" t="str">
        <f>IF(OR(E3562="",E3562="!!!",F3562="NEW"),"",INDEX(B3561:B$2,-1+SUMPRODUCT(MAX(ROW(E3561:E$2)*(E3562=E3561:E$2)))))</f>
        <v> </v>
      </c>
      <c r="J3562" s="25" t="str">
        <f>IF(OR(E3562="",E3562="!!!",F3562="NEW"),"",COUNTBLANK(OFFSET(A$1,,,SUMPRODUCT(MAX(ROW(E$2:E3562)*(E3562=E$2:E3562)))))-COUNTBLANK(OFFSET(A$1,,,SUMPRODUCT(MAX(ROW(E$1:E3561)*(E2=E$1:E3561))))))</f>
        <v> </v>
      </c>
      <c r="K3562" s="25" t="str">
        <f>IF(OR(E3562="",E3562="!!!",F3562="NEW"),"",INDEX(J$1:J3561,SUMPRODUCT(MAX(ROW(E$1:E3561)*(E3562=E$1:E3561)))))</f>
        <v> </v>
      </c>
      <c r="L3562" s="26"/>
    </row>
    <row r="3563" spans="1:12">
      <c r="A3563" s="20"/>
    </row>
    <row r="3564" spans="1:12">
      <c r="A3564" s="20" t="s">
        <v>1604</v>
      </c>
    </row>
    <row r="3565" spans="1:12">
      <c r="A3565" s="20" t="s">
        <v>1312</v>
      </c>
      <c r="B3565" s="27" t="s">
        <v>692</v>
      </c>
      <c r="C3565" s="27" t="s">
        <v>733</v>
      </c>
      <c r="D3565" s="27" t="s">
        <v>694</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t="s">
        <v>739</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t="s">
        <v>1133</v>
      </c>
      <c r="E3567" s="21">
        <f>IF(D3567="?OLD","!!!","")</f>
        <v/>
      </c>
      <c r="F3567" s="22" t="str">
        <f>IF(OR(E3567="",E3567="!!!"),"",IF(NOT(ISNA(VLOOKUP(E3567,E$1:E3566,1,FALSE()))),"OLD",IF(AND(E3567&lt;&gt;"",E3567&lt;&gt;"!!!"),"NEW","")))</f>
        <v> </v>
      </c>
      <c r="G3567" s="23" t="str">
        <f>IF(OR(E3567="",E3567="!!!"),"",IF(OR(J3567=0,AND(J3567=1,K3567=1),AND(J3567=1,I3567="SBJ"),AND(J3567=1,I3567=0)),"?IN_FOCUS",IF(J3567&lt;=2,"?ACTIVATED",IF(J3567&lt;&gt;"","?FAMILIAR",IF(F3567="NEW",IF(ISNA(VLOOKUP(E3567,#REF!,1,FALSE())),"?TYPE_IDENTIFIABLE","?REFERENTIAL"),"_")))))</f>
        <v> </v>
      </c>
      <c r="H3567" s="24" t="str">
        <f>IF(J3567&lt;&gt;1,"",IF(I3567="SBJ","CB","?"))</f>
        <v> </v>
      </c>
      <c r="I3567" s="25" t="str">
        <f>IF(OR(E3567="",E3567="!!!",F3567="NEW"),"",INDEX(B3566:B$2,-1+SUMPRODUCT(MAX(ROW(E3566:E$2)*(E3567=E3566:E$2)))))</f>
        <v> </v>
      </c>
      <c r="J3567" s="25" t="str">
        <f>IF(OR(E3567="",E3567="!!!",F3567="NEW"),"",COUNTBLANK(OFFSET(A$1,,,SUMPRODUCT(MAX(ROW(E$2:E3567)*(E3567=E$2:E3567)))))-COUNTBLANK(OFFSET(A$1,,,SUMPRODUCT(MAX(ROW(E$1:E3566)*(E2=E$1:E3566))))))</f>
        <v> </v>
      </c>
      <c r="K3567" s="25" t="str">
        <f>IF(OR(E3567="",E3567="!!!",F3567="NEW"),"",INDEX(J$1:J3566,SUMPRODUCT(MAX(ROW(E$1:E3566)*(E3567=E$1:E3566)))))</f>
        <v> </v>
      </c>
      <c r="L3567" s="26"/>
    </row>
    <row r="3568" spans="1:12">
      <c r="A3568" s="20" t="s">
        <v>806</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1237</v>
      </c>
      <c r="B3569" s="27" t="s">
        <v>706</v>
      </c>
      <c r="C3569" s="27" t="s">
        <v>893</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699</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row>
    <row r="3572" spans="1:12">
      <c r="A3572" s="20" t="s">
        <v>1605</v>
      </c>
    </row>
    <row r="3573" spans="1:12">
      <c r="A3573" s="20" t="s">
        <v>765</v>
      </c>
      <c r="E3573" s="21">
        <f>IF(D3573="?OLD","!!!","")</f>
        <v/>
      </c>
      <c r="F3573" s="22" t="str">
        <f>IF(OR(E3573="",E3573="!!!"),"",IF(NOT(ISNA(VLOOKUP(E3573,E$1:E3572,1,FALSE()))),"OLD",IF(AND(E3573&lt;&gt;"",E3573&lt;&gt;"!!!"),"NEW","")))</f>
        <v> </v>
      </c>
      <c r="G3573" s="23" t="str">
        <f>IF(OR(E3573="",E3573="!!!"),"",IF(OR(J3573=0,AND(J3573=1,K3573=1),AND(J3573=1,I3573="SBJ"),AND(J3573=1,I3573=0)),"?IN_FOCUS",IF(J3573&lt;=2,"?ACTIVATED",IF(J3573&lt;&gt;"","?FAMILIAR",IF(F3573="NEW",IF(ISNA(VLOOKUP(E3573,#REF!,1,FALSE())),"?TYPE_IDENTIFIABLE","?REFERENTIAL"),"_")))))</f>
        <v> </v>
      </c>
      <c r="H3573" s="24" t="str">
        <f>IF(J3573&lt;&gt;1,"",IF(I3573="SBJ","CB","?"))</f>
        <v> </v>
      </c>
      <c r="I3573" s="25" t="str">
        <f>IF(OR(E3573="",E3573="!!!",F3573="NEW"),"",INDEX(B3572:B$2,-1+SUMPRODUCT(MAX(ROW(E3572:E$2)*(E3573=E3572:E$2)))))</f>
        <v> </v>
      </c>
      <c r="J3573" s="25" t="str">
        <f>IF(OR(E3573="",E3573="!!!",F3573="NEW"),"",COUNTBLANK(OFFSET(A$1,,,SUMPRODUCT(MAX(ROW(E$2:E3573)*(E3573=E$2:E3573)))))-COUNTBLANK(OFFSET(A$1,,,SUMPRODUCT(MAX(ROW(E$1:E3572)*(E2=E$1:E3572))))))</f>
        <v> </v>
      </c>
      <c r="K3573" s="25" t="str">
        <f>IF(OR(E3573="",E3573="!!!",F3573="NEW"),"",INDEX(J$1:J3572,SUMPRODUCT(MAX(ROW(E$1:E3572)*(E3573=E$1:E3572)))))</f>
        <v> </v>
      </c>
      <c r="L3573" s="26"/>
    </row>
    <row r="3574" spans="1:12">
      <c r="A3574" s="20" t="s">
        <v>738</v>
      </c>
      <c r="B3574" s="27" t="s">
        <v>692</v>
      </c>
      <c r="C3574" s="27" t="s">
        <v>733</v>
      </c>
      <c r="D3574" s="27" t="s">
        <v>694</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974</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1606</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774</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1513</v>
      </c>
      <c r="B3578" s="27" t="s">
        <v>706</v>
      </c>
      <c r="C3578" s="27" t="s">
        <v>776</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t="s">
        <v>860</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1208</v>
      </c>
      <c r="B3580" s="27" t="s">
        <v>709</v>
      </c>
      <c r="C3580" s="27" t="s">
        <v>733</v>
      </c>
      <c r="D3580" s="27" t="s">
        <v>694</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1263</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1607</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773</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258</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742</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763</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699</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row>
    <row r="3589" spans="1:12">
      <c r="A3589" s="20" t="s">
        <v>1608</v>
      </c>
    </row>
    <row r="3590" spans="1:12">
      <c r="A3590" s="20" t="s">
        <v>1609</v>
      </c>
      <c r="E3590" s="21">
        <f>IF(D3590="?OLD","!!!","")</f>
        <v/>
      </c>
      <c r="F3590" s="22" t="str">
        <f>IF(OR(E3590="",E3590="!!!"),"",IF(NOT(ISNA(VLOOKUP(E3590,E$1:E3589,1,FALSE()))),"OLD",IF(AND(E3590&lt;&gt;"",E3590&lt;&gt;"!!!"),"NEW","")))</f>
        <v> </v>
      </c>
      <c r="G3590" s="23" t="str">
        <f>IF(OR(E3590="",E3590="!!!"),"",IF(OR(J3590=0,AND(J3590=1,K3590=1),AND(J3590=1,I3590="SBJ"),AND(J3590=1,I3590=0)),"?IN_FOCUS",IF(J3590&lt;=2,"?ACTIVATED",IF(J3590&lt;&gt;"","?FAMILIAR",IF(F3590="NEW",IF(ISNA(VLOOKUP(E3590,#REF!,1,FALSE())),"?TYPE_IDENTIFIABLE","?REFERENTIAL"),"_")))))</f>
        <v> </v>
      </c>
      <c r="H3590" s="24" t="str">
        <f>IF(J3590&lt;&gt;1,"",IF(I3590="SBJ","CB","?"))</f>
        <v> </v>
      </c>
      <c r="I3590" s="25" t="str">
        <f>IF(OR(E3590="",E3590="!!!",F3590="NEW"),"",INDEX(B3589:B$2,-1+SUMPRODUCT(MAX(ROW(E3589:E$2)*(E3590=E3589:E$2)))))</f>
        <v> </v>
      </c>
      <c r="J3590" s="25" t="str">
        <f>IF(OR(E3590="",E3590="!!!",F3590="NEW"),"",COUNTBLANK(OFFSET(A$1,,,SUMPRODUCT(MAX(ROW(E$2:E3590)*(E3590=E$2:E3590)))))-COUNTBLANK(OFFSET(A$1,,,SUMPRODUCT(MAX(ROW(E$1:E3589)*(E2=E$1:E3589))))))</f>
        <v> </v>
      </c>
      <c r="K3590" s="25" t="str">
        <f>IF(OR(E3590="",E3590="!!!",F3590="NEW"),"",INDEX(J$1:J3589,SUMPRODUCT(MAX(ROW(E$1:E3589)*(E3590=E$1:E3589)))))</f>
        <v> </v>
      </c>
      <c r="L3590" s="26"/>
    </row>
    <row r="3591" spans="1:12">
      <c r="A3591" s="20" t="s">
        <v>725</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t="s">
        <v>1571</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t="s">
        <v>874</v>
      </c>
      <c r="B3593" s="27" t="s">
        <v>823</v>
      </c>
      <c r="C3593" s="27" t="s">
        <v>733</v>
      </c>
      <c r="D3593" s="27" t="s">
        <v>694</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t="s">
        <v>703</v>
      </c>
      <c r="B3594" s="27" t="s">
        <v>762</v>
      </c>
      <c r="C3594" s="27" t="s">
        <v>707</v>
      </c>
      <c r="D3594" s="27" t="s">
        <v>694</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1610</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725</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1208</v>
      </c>
      <c r="B3597" s="27" t="s">
        <v>692</v>
      </c>
      <c r="C3597" s="27" t="s">
        <v>733</v>
      </c>
      <c r="D3597" s="27" t="s">
        <v>694</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974</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t="s">
        <v>1611</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690</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1148</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1255</v>
      </c>
      <c r="B3602" s="27" t="s">
        <v>706</v>
      </c>
      <c r="C3602" s="27" t="s">
        <v>693</v>
      </c>
      <c r="D3602" s="27" t="s">
        <v>694</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739</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1580</v>
      </c>
      <c r="B3604" s="27" t="s">
        <v>698</v>
      </c>
      <c r="C3604" s="27" t="s">
        <v>887</v>
      </c>
      <c r="D3604" s="27" t="s">
        <v>694</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t="s">
        <v>699</v>
      </c>
      <c r="E3605" s="21">
        <f>IF(D3605="?OLD","!!!","")</f>
        <v/>
      </c>
      <c r="F3605" s="22" t="str">
        <f>IF(OR(E3605="",E3605="!!!"),"",IF(NOT(ISNA(VLOOKUP(E3605,E$1:E3604,1,FALSE()))),"OLD",IF(AND(E3605&lt;&gt;"",E3605&lt;&gt;"!!!"),"NEW","")))</f>
        <v> </v>
      </c>
      <c r="G3605" s="23" t="str">
        <f>IF(OR(E3605="",E3605="!!!"),"",IF(OR(J3605=0,AND(J3605=1,K3605=1),AND(J3605=1,I3605="SBJ"),AND(J3605=1,I3605=0)),"?IN_FOCUS",IF(J3605&lt;=2,"?ACTIVATED",IF(J3605&lt;&gt;"","?FAMILIAR",IF(F3605="NEW",IF(ISNA(VLOOKUP(E3605,#REF!,1,FALSE())),"?TYPE_IDENTIFIABLE","?REFERENTIAL"),"_")))))</f>
        <v> </v>
      </c>
      <c r="H3605" s="24" t="str">
        <f>IF(J3605&lt;&gt;1,"",IF(I3605="SBJ","CB","?"))</f>
        <v> </v>
      </c>
      <c r="I3605" s="25" t="str">
        <f>IF(OR(E3605="",E3605="!!!",F3605="NEW"),"",INDEX(B3604:B$2,-1+SUMPRODUCT(MAX(ROW(E3604:E$2)*(E3605=E3604:E$2)))))</f>
        <v> </v>
      </c>
      <c r="J3605" s="25" t="str">
        <f>IF(OR(E3605="",E3605="!!!",F3605="NEW"),"",COUNTBLANK(OFFSET(A$1,,,SUMPRODUCT(MAX(ROW(E$2:E3605)*(E3605=E$2:E3605)))))-COUNTBLANK(OFFSET(A$1,,,SUMPRODUCT(MAX(ROW(E$1:E3604)*(E2=E$1:E3604))))))</f>
        <v> </v>
      </c>
      <c r="K3605" s="25" t="str">
        <f>IF(OR(E3605="",E3605="!!!",F3605="NEW"),"",INDEX(J$1:J3604,SUMPRODUCT(MAX(ROW(E$1:E3604)*(E3605=E$1:E3604)))))</f>
        <v> </v>
      </c>
      <c r="L3605" s="26"/>
    </row>
    <row r="3606" spans="1:12">
      <c r="A3606" s="20"/>
    </row>
    <row r="3607" spans="1:12">
      <c r="A3607" s="20" t="s">
        <v>1612</v>
      </c>
    </row>
    <row r="3608" spans="1:12">
      <c r="A3608" s="20" t="s">
        <v>868</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t="s">
        <v>874</v>
      </c>
      <c r="B3609" s="27" t="s">
        <v>692</v>
      </c>
      <c r="C3609" s="27" t="s">
        <v>733</v>
      </c>
      <c r="D3609" s="27" t="s">
        <v>694</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1613</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18</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1614</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747</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1615</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1616</v>
      </c>
      <c r="B3615" s="27" t="s">
        <v>762</v>
      </c>
      <c r="C3615" s="27" t="s">
        <v>693</v>
      </c>
      <c r="D3615" s="27" t="s">
        <v>694</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t="s">
        <v>699</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row>
    <row r="3618" spans="1:12">
      <c r="A3618" s="20" t="s">
        <v>1617</v>
      </c>
    </row>
    <row r="3619" spans="1:12">
      <c r="A3619" s="20" t="s">
        <v>985</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814</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872</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1618</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773</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1619</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911</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899</v>
      </c>
      <c r="B3626" s="27" t="s">
        <v>755</v>
      </c>
      <c r="C3626" s="27" t="s">
        <v>780</v>
      </c>
      <c r="D3626" s="27" t="s">
        <v>694</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852</v>
      </c>
      <c r="B3627" s="27" t="s">
        <v>762</v>
      </c>
      <c r="C3627" s="27" t="s">
        <v>782</v>
      </c>
      <c r="D3627" s="27" t="s">
        <v>694</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699</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row>
    <row r="3630" spans="1:12">
      <c r="A3630" s="20" t="s">
        <v>1620</v>
      </c>
    </row>
    <row r="3631" spans="1:12">
      <c r="A3631" s="20" t="s">
        <v>1321</v>
      </c>
      <c r="B3631" s="27" t="s">
        <v>692</v>
      </c>
      <c r="C3631" s="27" t="s">
        <v>733</v>
      </c>
      <c r="D3631" s="27" t="s">
        <v>694</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1621</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998</v>
      </c>
      <c r="B3633" s="27" t="s">
        <v>762</v>
      </c>
      <c r="C3633" s="27" t="s">
        <v>733</v>
      </c>
      <c r="D3633" s="27" t="s">
        <v>694</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18</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t="s">
        <v>1622</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t="s">
        <v>1623</v>
      </c>
      <c r="E3636" s="21">
        <f>IF(D3636="?OLD","!!!","")</f>
        <v/>
      </c>
      <c r="F3636" s="22" t="str">
        <f>IF(OR(E3636="",E3636="!!!"),"",IF(NOT(ISNA(VLOOKUP(E3636,E$1:E3635,1,FALSE()))),"OLD",IF(AND(E3636&lt;&gt;"",E3636&lt;&gt;"!!!"),"NEW","")))</f>
        <v> </v>
      </c>
      <c r="G3636" s="23" t="str">
        <f>IF(OR(E3636="",E3636="!!!"),"",IF(OR(J3636=0,AND(J3636=1,K3636=1),AND(J3636=1,I3636="SBJ"),AND(J3636=1,I3636=0)),"?IN_FOCUS",IF(J3636&lt;=2,"?ACTIVATED",IF(J3636&lt;&gt;"","?FAMILIAR",IF(F3636="NEW",IF(ISNA(VLOOKUP(E3636,#REF!,1,FALSE())),"?TYPE_IDENTIFIABLE","?REFERENTIAL"),"_")))))</f>
        <v> </v>
      </c>
      <c r="H3636" s="24" t="str">
        <f>IF(J3636&lt;&gt;1,"",IF(I3636="SBJ","CB","?"))</f>
        <v> </v>
      </c>
      <c r="I3636" s="25" t="str">
        <f>IF(OR(E3636="",E3636="!!!",F3636="NEW"),"",INDEX(B3635:B$2,-1+SUMPRODUCT(MAX(ROW(E3635:E$2)*(E3636=E3635:E$2)))))</f>
        <v> </v>
      </c>
      <c r="J3636" s="25" t="str">
        <f>IF(OR(E3636="",E3636="!!!",F3636="NEW"),"",COUNTBLANK(OFFSET(A$1,,,SUMPRODUCT(MAX(ROW(E$2:E3636)*(E3636=E$2:E3636)))))-COUNTBLANK(OFFSET(A$1,,,SUMPRODUCT(MAX(ROW(E$1:E3635)*(E2=E$1:E3635))))))</f>
        <v> </v>
      </c>
      <c r="K3636" s="25" t="str">
        <f>IF(OR(E3636="",E3636="!!!",F3636="NEW"),"",INDEX(J$1:J3635,SUMPRODUCT(MAX(ROW(E$1:E3635)*(E3636=E$1:E3635)))))</f>
        <v> </v>
      </c>
      <c r="L3636" s="26"/>
    </row>
    <row r="3637" spans="1:12">
      <c r="A3637" s="20" t="s">
        <v>1036</v>
      </c>
      <c r="B3637" s="27" t="s">
        <v>709</v>
      </c>
      <c r="C3637" s="27" t="s">
        <v>819</v>
      </c>
      <c r="D3637" s="27" t="s">
        <v>694</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t="s">
        <v>814</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1618</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699</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row>
    <row r="3642" spans="1:12">
      <c r="A3642" s="20" t="s">
        <v>1624</v>
      </c>
    </row>
    <row r="3643" spans="1:12">
      <c r="A3643" s="20" t="s">
        <v>1625</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1117</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1626</v>
      </c>
      <c r="B3645" s="27" t="s">
        <v>698</v>
      </c>
      <c r="C3645" s="27" t="s">
        <v>887</v>
      </c>
      <c r="D3645" s="27" t="s">
        <v>694</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t="s">
        <v>1118</v>
      </c>
      <c r="E3646" s="21">
        <f>IF(D3646="?OLD","!!!","")</f>
        <v/>
      </c>
      <c r="F3646" s="22" t="str">
        <f>IF(OR(E3646="",E3646="!!!"),"",IF(NOT(ISNA(VLOOKUP(E3646,E$1:E3645,1,FALSE()))),"OLD",IF(AND(E3646&lt;&gt;"",E3646&lt;&gt;"!!!"),"NEW","")))</f>
        <v> </v>
      </c>
      <c r="G3646" s="23" t="str">
        <f>IF(OR(E3646="",E3646="!!!"),"",IF(OR(J3646=0,AND(J3646=1,K3646=1),AND(J3646=1,I3646="SBJ"),AND(J3646=1,I3646=0)),"?IN_FOCUS",IF(J3646&lt;=2,"?ACTIVATED",IF(J3646&lt;&gt;"","?FAMILIAR",IF(F3646="NEW",IF(ISNA(VLOOKUP(E3646,#REF!,1,FALSE())),"?TYPE_IDENTIFIABLE","?REFERENTIAL"),"_")))))</f>
        <v> </v>
      </c>
      <c r="H3646" s="24" t="str">
        <f>IF(J3646&lt;&gt;1,"",IF(I3646="SBJ","CB","?"))</f>
        <v> </v>
      </c>
      <c r="I3646" s="25" t="str">
        <f>IF(OR(E3646="",E3646="!!!",F3646="NEW"),"",INDEX(B3645:B$2,-1+SUMPRODUCT(MAX(ROW(E3645:E$2)*(E3646=E3645:E$2)))))</f>
        <v> </v>
      </c>
      <c r="J3646" s="25" t="str">
        <f>IF(OR(E3646="",E3646="!!!",F3646="NEW"),"",COUNTBLANK(OFFSET(A$1,,,SUMPRODUCT(MAX(ROW(E$2:E3646)*(E3646=E$2:E3646)))))-COUNTBLANK(OFFSET(A$1,,,SUMPRODUCT(MAX(ROW(E$1:E3645)*(E2=E$1:E3645))))))</f>
        <v> </v>
      </c>
      <c r="K3646" s="25" t="str">
        <f>IF(OR(E3646="",E3646="!!!",F3646="NEW"),"",INDEX(J$1:J3645,SUMPRODUCT(MAX(ROW(E$1:E3645)*(E3646=E$1:E3645)))))</f>
        <v> </v>
      </c>
      <c r="L3646" s="26"/>
    </row>
    <row r="3647" spans="1:12">
      <c r="A3647" s="20" t="s">
        <v>1627</v>
      </c>
      <c r="B3647" s="27" t="s">
        <v>698</v>
      </c>
      <c r="C3647" s="27" t="s">
        <v>887</v>
      </c>
      <c r="D3647" s="27" t="s">
        <v>694</v>
      </c>
      <c r="E3647" s="21">
        <f>IF(D3647="?OLD","!!!","")</f>
        <v/>
      </c>
      <c r="F3647" s="22" t="str">
        <f>IF(OR(E3647="",E3647="!!!"),"",IF(NOT(ISNA(VLOOKUP(E3647,E$1:E3646,1,FALSE()))),"OLD",IF(AND(E3647&lt;&gt;"",E3647&lt;&gt;"!!!"),"NEW","")))</f>
        <v> </v>
      </c>
      <c r="G3647" s="23" t="str">
        <f>IF(OR(E3647="",E3647="!!!"),"",IF(OR(J3647=0,AND(J3647=1,K3647=1),AND(J3647=1,I3647="SBJ"),AND(J3647=1,I3647=0)),"?IN_FOCUS",IF(J3647&lt;=2,"?ACTIVATED",IF(J3647&lt;&gt;"","?FAMILIAR",IF(F3647="NEW",IF(ISNA(VLOOKUP(E3647,#REF!,1,FALSE())),"?TYPE_IDENTIFIABLE","?REFERENTIAL"),"_")))))</f>
        <v> </v>
      </c>
      <c r="H3647" s="24" t="str">
        <f>IF(J3647&lt;&gt;1,"",IF(I3647="SBJ","CB","?"))</f>
        <v> </v>
      </c>
      <c r="I3647" s="25" t="str">
        <f>IF(OR(E3647="",E3647="!!!",F3647="NEW"),"",INDEX(B3646:B$2,-1+SUMPRODUCT(MAX(ROW(E3646:E$2)*(E3647=E3646:E$2)))))</f>
        <v> </v>
      </c>
      <c r="J3647" s="25" t="str">
        <f>IF(OR(E3647="",E3647="!!!",F3647="NEW"),"",COUNTBLANK(OFFSET(A$1,,,SUMPRODUCT(MAX(ROW(E$2:E3647)*(E3647=E$2:E3647)))))-COUNTBLANK(OFFSET(A$1,,,SUMPRODUCT(MAX(ROW(E$1:E3646)*(E2=E$1:E3646))))))</f>
        <v> </v>
      </c>
      <c r="K3647" s="25" t="str">
        <f>IF(OR(E3647="",E3647="!!!",F3647="NEW"),"",INDEX(J$1:J3646,SUMPRODUCT(MAX(ROW(E$1:E3646)*(E3647=E$1:E3646)))))</f>
        <v> </v>
      </c>
      <c r="L3647" s="26"/>
    </row>
    <row r="3648" spans="1:12">
      <c r="A3648" s="20" t="s">
        <v>1628</v>
      </c>
      <c r="B3648" s="27" t="s">
        <v>698</v>
      </c>
      <c r="C3648" s="27" t="s">
        <v>887</v>
      </c>
      <c r="D3648" s="27" t="s">
        <v>694</v>
      </c>
      <c r="E3648" s="21">
        <f>IF(D3648="?OLD","!!!","")</f>
        <v/>
      </c>
      <c r="F3648" s="22" t="str">
        <f>IF(OR(E3648="",E3648="!!!"),"",IF(NOT(ISNA(VLOOKUP(E3648,E$1:E3647,1,FALSE()))),"OLD",IF(AND(E3648&lt;&gt;"",E3648&lt;&gt;"!!!"),"NEW","")))</f>
        <v> </v>
      </c>
      <c r="G3648" s="23" t="str">
        <f>IF(OR(E3648="",E3648="!!!"),"",IF(OR(J3648=0,AND(J3648=1,K3648=1),AND(J3648=1,I3648="SBJ"),AND(J3648=1,I3648=0)),"?IN_FOCUS",IF(J3648&lt;=2,"?ACTIVATED",IF(J3648&lt;&gt;"","?FAMILIAR",IF(F3648="NEW",IF(ISNA(VLOOKUP(E3648,#REF!,1,FALSE())),"?TYPE_IDENTIFIABLE","?REFERENTIAL"),"_")))))</f>
        <v> </v>
      </c>
      <c r="H3648" s="24" t="str">
        <f>IF(J3648&lt;&gt;1,"",IF(I3648="SBJ","CB","?"))</f>
        <v> </v>
      </c>
      <c r="I3648" s="25" t="str">
        <f>IF(OR(E3648="",E3648="!!!",F3648="NEW"),"",INDEX(B3647:B$2,-1+SUMPRODUCT(MAX(ROW(E3647:E$2)*(E3648=E3647:E$2)))))</f>
        <v> </v>
      </c>
      <c r="J3648" s="25" t="str">
        <f>IF(OR(E3648="",E3648="!!!",F3648="NEW"),"",COUNTBLANK(OFFSET(A$1,,,SUMPRODUCT(MAX(ROW(E$2:E3648)*(E3648=E$2:E3648)))))-COUNTBLANK(OFFSET(A$1,,,SUMPRODUCT(MAX(ROW(E$1:E3647)*(E2=E$1:E3647))))))</f>
        <v> </v>
      </c>
      <c r="K3648" s="25" t="str">
        <f>IF(OR(E3648="",E3648="!!!",F3648="NEW"),"",INDEX(J$1:J3647,SUMPRODUCT(MAX(ROW(E$1:E3647)*(E3648=E$1:E3647)))))</f>
        <v> </v>
      </c>
      <c r="L3648" s="26"/>
    </row>
    <row r="3649" spans="1:12">
      <c r="A3649" s="20" t="s">
        <v>860</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t="s">
        <v>1625</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t="s">
        <v>699</v>
      </c>
      <c r="E3651" s="21">
        <f>IF(D3651="?OLD","!!!","")</f>
        <v/>
      </c>
      <c r="F3651" s="22" t="str">
        <f>IF(OR(E3651="",E3651="!!!"),"",IF(NOT(ISNA(VLOOKUP(E3651,E$1:E3650,1,FALSE()))),"OLD",IF(AND(E3651&lt;&gt;"",E3651&lt;&gt;"!!!"),"NEW","")))</f>
        <v> </v>
      </c>
      <c r="G3651" s="23" t="str">
        <f>IF(OR(E3651="",E3651="!!!"),"",IF(OR(J3651=0,AND(J3651=1,K3651=1),AND(J3651=1,I3651="SBJ"),AND(J3651=1,I3651=0)),"?IN_FOCUS",IF(J3651&lt;=2,"?ACTIVATED",IF(J3651&lt;&gt;"","?FAMILIAR",IF(F3651="NEW",IF(ISNA(VLOOKUP(E3651,#REF!,1,FALSE())),"?TYPE_IDENTIFIABLE","?REFERENTIAL"),"_")))))</f>
        <v> </v>
      </c>
      <c r="H3651" s="24" t="str">
        <f>IF(J3651&lt;&gt;1,"",IF(I3651="SBJ","CB","?"))</f>
        <v> </v>
      </c>
      <c r="I3651" s="25" t="str">
        <f>IF(OR(E3651="",E3651="!!!",F3651="NEW"),"",INDEX(B3650:B$2,-1+SUMPRODUCT(MAX(ROW(E3650:E$2)*(E3651=E3650:E$2)))))</f>
        <v> </v>
      </c>
      <c r="J3651" s="25" t="str">
        <f>IF(OR(E3651="",E3651="!!!",F3651="NEW"),"",COUNTBLANK(OFFSET(A$1,,,SUMPRODUCT(MAX(ROW(E$2:E3651)*(E3651=E$2:E3651)))))-COUNTBLANK(OFFSET(A$1,,,SUMPRODUCT(MAX(ROW(E$1:E3650)*(E2=E$1:E3650))))))</f>
        <v> </v>
      </c>
      <c r="K3651" s="25" t="str">
        <f>IF(OR(E3651="",E3651="!!!",F3651="NEW"),"",INDEX(J$1:J3650,SUMPRODUCT(MAX(ROW(E$1:E3650)*(E3651=E$1:E3650)))))</f>
        <v> </v>
      </c>
      <c r="L3651" s="26"/>
    </row>
    <row r="3652" spans="1:12">
      <c r="A3652" s="20"/>
    </row>
    <row r="3653" spans="1:12">
      <c r="A3653" s="20" t="s">
        <v>1629</v>
      </c>
    </row>
    <row r="3654" spans="1:12">
      <c r="A3654" s="20" t="s">
        <v>1321</v>
      </c>
      <c r="B3654" s="27" t="s">
        <v>692</v>
      </c>
      <c r="C3654" s="27" t="s">
        <v>733</v>
      </c>
      <c r="D3654" s="27" t="s">
        <v>694</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1215</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774</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1076</v>
      </c>
      <c r="B3657" s="27" t="s">
        <v>706</v>
      </c>
      <c r="C3657" s="27" t="s">
        <v>776</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t="s">
        <v>718</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t="s">
        <v>998</v>
      </c>
      <c r="B3659" s="27" t="s">
        <v>762</v>
      </c>
      <c r="C3659" s="27" t="s">
        <v>733</v>
      </c>
      <c r="D3659" s="27" t="s">
        <v>694</v>
      </c>
      <c r="E3659" s="21">
        <f>IF(D3659="?OLD","!!!","")</f>
        <v/>
      </c>
      <c r="F3659" s="22" t="str">
        <f>IF(OR(E3659="",E3659="!!!"),"",IF(NOT(ISNA(VLOOKUP(E3659,E$1:E3658,1,FALSE()))),"OLD",IF(AND(E3659&lt;&gt;"",E3659&lt;&gt;"!!!"),"NEW","")))</f>
        <v> </v>
      </c>
      <c r="G3659" s="23" t="str">
        <f>IF(OR(E3659="",E3659="!!!"),"",IF(OR(J3659=0,AND(J3659=1,K3659=1),AND(J3659=1,I3659="SBJ"),AND(J3659=1,I3659=0)),"?IN_FOCUS",IF(J3659&lt;=2,"?ACTIVATED",IF(J3659&lt;&gt;"","?FAMILIAR",IF(F3659="NEW",IF(ISNA(VLOOKUP(E3659,#REF!,1,FALSE())),"?TYPE_IDENTIFIABLE","?REFERENTIAL"),"_")))))</f>
        <v> </v>
      </c>
      <c r="H3659" s="24" t="str">
        <f>IF(J3659&lt;&gt;1,"",IF(I3659="SBJ","CB","?"))</f>
        <v> </v>
      </c>
      <c r="I3659" s="25" t="str">
        <f>IF(OR(E3659="",E3659="!!!",F3659="NEW"),"",INDEX(B3658:B$2,-1+SUMPRODUCT(MAX(ROW(E3658:E$2)*(E3659=E3658:E$2)))))</f>
        <v> </v>
      </c>
      <c r="J3659" s="25" t="str">
        <f>IF(OR(E3659="",E3659="!!!",F3659="NEW"),"",COUNTBLANK(OFFSET(A$1,,,SUMPRODUCT(MAX(ROW(E$2:E3659)*(E3659=E$2:E3659)))))-COUNTBLANK(OFFSET(A$1,,,SUMPRODUCT(MAX(ROW(E$1:E3658)*(E2=E$1:E3658))))))</f>
        <v> </v>
      </c>
      <c r="K3659" s="25" t="str">
        <f>IF(OR(E3659="",E3659="!!!",F3659="NEW"),"",INDEX(J$1:J3658,SUMPRODUCT(MAX(ROW(E$1:E3658)*(E3659=E$1:E3658)))))</f>
        <v> </v>
      </c>
      <c r="L3659" s="26"/>
    </row>
    <row r="3660" spans="1:12">
      <c r="A3660" s="20" t="s">
        <v>1630</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t="s">
        <v>699</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row>
    <row r="3663" spans="1:12">
      <c r="A3663" s="20" t="s">
        <v>1631</v>
      </c>
    </row>
    <row r="3664" spans="1:12">
      <c r="A3664" s="20" t="s">
        <v>1625</v>
      </c>
      <c r="E3664" s="21">
        <f>IF(D3664="?OLD","!!!","")</f>
        <v/>
      </c>
      <c r="F3664" s="22" t="str">
        <f>IF(OR(E3664="",E3664="!!!"),"",IF(NOT(ISNA(VLOOKUP(E3664,E$1:E3663,1,FALSE()))),"OLD",IF(AND(E3664&lt;&gt;"",E3664&lt;&gt;"!!!"),"NEW","")))</f>
        <v> </v>
      </c>
      <c r="G3664" s="23" t="str">
        <f>IF(OR(E3664="",E3664="!!!"),"",IF(OR(J3664=0,AND(J3664=1,K3664=1),AND(J3664=1,I3664="SBJ"),AND(J3664=1,I3664=0)),"?IN_FOCUS",IF(J3664&lt;=2,"?ACTIVATED",IF(J3664&lt;&gt;"","?FAMILIAR",IF(F3664="NEW",IF(ISNA(VLOOKUP(E3664,#REF!,1,FALSE())),"?TYPE_IDENTIFIABLE","?REFERENTIAL"),"_")))))</f>
        <v> </v>
      </c>
      <c r="H3664" s="24" t="str">
        <f>IF(J3664&lt;&gt;1,"",IF(I3664="SBJ","CB","?"))</f>
        <v> </v>
      </c>
      <c r="I3664" s="25" t="str">
        <f>IF(OR(E3664="",E3664="!!!",F3664="NEW"),"",INDEX(B3663:B$2,-1+SUMPRODUCT(MAX(ROW(E3663:E$2)*(E3664=E3663:E$2)))))</f>
        <v> </v>
      </c>
      <c r="J3664" s="25" t="str">
        <f>IF(OR(E3664="",E3664="!!!",F3664="NEW"),"",COUNTBLANK(OFFSET(A$1,,,SUMPRODUCT(MAX(ROW(E$2:E3664)*(E3664=E$2:E3664)))))-COUNTBLANK(OFFSET(A$1,,,SUMPRODUCT(MAX(ROW(E$1:E3663)*(E2=E$1:E3663))))))</f>
        <v> </v>
      </c>
      <c r="K3664" s="25" t="str">
        <f>IF(OR(E3664="",E3664="!!!",F3664="NEW"),"",INDEX(J$1:J3663,SUMPRODUCT(MAX(ROW(E$1:E3663)*(E3664=E$1:E3663)))))</f>
        <v> </v>
      </c>
      <c r="L3664" s="26"/>
    </row>
    <row r="3665" spans="1:12">
      <c r="A3665" s="20" t="s">
        <v>1632</v>
      </c>
      <c r="E3665" s="21">
        <f>IF(D3665="?OLD","!!!","")</f>
        <v/>
      </c>
      <c r="F3665" s="22" t="str">
        <f>IF(OR(E3665="",E3665="!!!"),"",IF(NOT(ISNA(VLOOKUP(E3665,E$1:E3664,1,FALSE()))),"OLD",IF(AND(E3665&lt;&gt;"",E3665&lt;&gt;"!!!"),"NEW","")))</f>
        <v> </v>
      </c>
      <c r="G3665" s="23" t="str">
        <f>IF(OR(E3665="",E3665="!!!"),"",IF(OR(J3665=0,AND(J3665=1,K3665=1),AND(J3665=1,I3665="SBJ"),AND(J3665=1,I3665=0)),"?IN_FOCUS",IF(J3665&lt;=2,"?ACTIVATED",IF(J3665&lt;&gt;"","?FAMILIAR",IF(F3665="NEW",IF(ISNA(VLOOKUP(E3665,#REF!,1,FALSE())),"?TYPE_IDENTIFIABLE","?REFERENTIAL"),"_")))))</f>
        <v> </v>
      </c>
      <c r="H3665" s="24" t="str">
        <f>IF(J3665&lt;&gt;1,"",IF(I3665="SBJ","CB","?"))</f>
        <v> </v>
      </c>
      <c r="I3665" s="25" t="str">
        <f>IF(OR(E3665="",E3665="!!!",F3665="NEW"),"",INDEX(B3664:B$2,-1+SUMPRODUCT(MAX(ROW(E3664:E$2)*(E3665=E3664:E$2)))))</f>
        <v> </v>
      </c>
      <c r="J3665" s="25" t="str">
        <f>IF(OR(E3665="",E3665="!!!",F3665="NEW"),"",COUNTBLANK(OFFSET(A$1,,,SUMPRODUCT(MAX(ROW(E$2:E3665)*(E3665=E$2:E3665)))))-COUNTBLANK(OFFSET(A$1,,,SUMPRODUCT(MAX(ROW(E$1:E3664)*(E2=E$1:E3664))))))</f>
        <v> </v>
      </c>
      <c r="K3665" s="25" t="str">
        <f>IF(OR(E3665="",E3665="!!!",F3665="NEW"),"",INDEX(J$1:J3664,SUMPRODUCT(MAX(ROW(E$1:E3664)*(E3665=E$1:E3664)))))</f>
        <v> </v>
      </c>
      <c r="L3665" s="26"/>
    </row>
    <row r="3666" spans="1:12">
      <c r="A3666" s="20"/>
    </row>
    <row r="3667" spans="1:12">
      <c r="A3667" s="20" t="s">
        <v>1633</v>
      </c>
    </row>
    <row r="3668" spans="1:12">
      <c r="A3668" s="20" t="s">
        <v>702</v>
      </c>
      <c r="B3668" s="27" t="s">
        <v>737</v>
      </c>
      <c r="C3668" s="27" t="s">
        <v>733</v>
      </c>
      <c r="D3668" s="27" t="s">
        <v>694</v>
      </c>
      <c r="E3668" s="21">
        <f>IF(D3668="?OLD","!!!","")</f>
        <v/>
      </c>
      <c r="F3668" s="22" t="str">
        <f>IF(OR(E3668="",E3668="!!!"),"",IF(NOT(ISNA(VLOOKUP(E3668,E$1:E3667,1,FALSE()))),"OLD",IF(AND(E3668&lt;&gt;"",E3668&lt;&gt;"!!!"),"NEW","")))</f>
        <v> </v>
      </c>
      <c r="G3668" s="23" t="str">
        <f>IF(OR(E3668="",E3668="!!!"),"",IF(OR(J3668=0,AND(J3668=1,K3668=1),AND(J3668=1,I3668="SBJ"),AND(J3668=1,I3668=0)),"?IN_FOCUS",IF(J3668&lt;=2,"?ACTIVATED",IF(J3668&lt;&gt;"","?FAMILIAR",IF(F3668="NEW",IF(ISNA(VLOOKUP(E3668,#REF!,1,FALSE())),"?TYPE_IDENTIFIABLE","?REFERENTIAL"),"_")))))</f>
        <v> </v>
      </c>
      <c r="H3668" s="24" t="str">
        <f>IF(J3668&lt;&gt;1,"",IF(I3668="SBJ","CB","?"))</f>
        <v> </v>
      </c>
      <c r="I3668" s="25" t="str">
        <f>IF(OR(E3668="",E3668="!!!",F3668="NEW"),"",INDEX(B3667:B$2,-1+SUMPRODUCT(MAX(ROW(E3667:E$2)*(E3668=E3667:E$2)))))</f>
        <v> </v>
      </c>
      <c r="J3668" s="25" t="str">
        <f>IF(OR(E3668="",E3668="!!!",F3668="NEW"),"",COUNTBLANK(OFFSET(A$1,,,SUMPRODUCT(MAX(ROW(E$2:E3668)*(E3668=E$2:E3668)))))-COUNTBLANK(OFFSET(A$1,,,SUMPRODUCT(MAX(ROW(E$1:E3667)*(E2=E$1:E3667))))))</f>
        <v> </v>
      </c>
      <c r="K3668" s="25" t="str">
        <f>IF(OR(E3668="",E3668="!!!",F3668="NEW"),"",INDEX(J$1:J3667,SUMPRODUCT(MAX(ROW(E$1:E3667)*(E3668=E$1:E3667)))))</f>
        <v> </v>
      </c>
      <c r="L3668" s="26"/>
    </row>
    <row r="3669" spans="1:12">
      <c r="A3669" s="20" t="s">
        <v>703</v>
      </c>
      <c r="B3669" s="27" t="s">
        <v>755</v>
      </c>
      <c r="C3669" s="27" t="s">
        <v>707</v>
      </c>
      <c r="D3669" s="27" t="s">
        <v>694</v>
      </c>
      <c r="E3669" s="21">
        <f>IF(D3669="?OLD","!!!","")</f>
        <v/>
      </c>
      <c r="F3669" s="22" t="str">
        <f>IF(OR(E3669="",E3669="!!!"),"",IF(NOT(ISNA(VLOOKUP(E3669,E$1:E3668,1,FALSE()))),"OLD",IF(AND(E3669&lt;&gt;"",E3669&lt;&gt;"!!!"),"NEW","")))</f>
        <v> </v>
      </c>
      <c r="G3669" s="23" t="str">
        <f>IF(OR(E3669="",E3669="!!!"),"",IF(OR(J3669=0,AND(J3669=1,K3669=1),AND(J3669=1,I3669="SBJ"),AND(J3669=1,I3669=0)),"?IN_FOCUS",IF(J3669&lt;=2,"?ACTIVATED",IF(J3669&lt;&gt;"","?FAMILIAR",IF(F3669="NEW",IF(ISNA(VLOOKUP(E3669,#REF!,1,FALSE())),"?TYPE_IDENTIFIABLE","?REFERENTIAL"),"_")))))</f>
        <v> </v>
      </c>
      <c r="H3669" s="24" t="str">
        <f>IF(J3669&lt;&gt;1,"",IF(I3669="SBJ","CB","?"))</f>
        <v> </v>
      </c>
      <c r="I3669" s="25" t="str">
        <f>IF(OR(E3669="",E3669="!!!",F3669="NEW"),"",INDEX(B3668:B$2,-1+SUMPRODUCT(MAX(ROW(E3668:E$2)*(E3669=E3668:E$2)))))</f>
        <v> </v>
      </c>
      <c r="J3669" s="25" t="str">
        <f>IF(OR(E3669="",E3669="!!!",F3669="NEW"),"",COUNTBLANK(OFFSET(A$1,,,SUMPRODUCT(MAX(ROW(E$2:E3669)*(E3669=E$2:E3669)))))-COUNTBLANK(OFFSET(A$1,,,SUMPRODUCT(MAX(ROW(E$1:E3668)*(E2=E$1:E3668))))))</f>
        <v> </v>
      </c>
      <c r="K3669" s="25" t="str">
        <f>IF(OR(E3669="",E3669="!!!",F3669="NEW"),"",INDEX(J$1:J3668,SUMPRODUCT(MAX(ROW(E$1:E3668)*(E3669=E$1:E3668)))))</f>
        <v> </v>
      </c>
      <c r="L3669" s="26"/>
    </row>
    <row r="3670" spans="1:12">
      <c r="A3670" s="20" t="s">
        <v>704</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1171</v>
      </c>
      <c r="E3671" s="21">
        <f>IF(D3671="?OLD","!!!","")</f>
        <v/>
      </c>
      <c r="F3671" s="22" t="str">
        <f>IF(OR(E3671="",E3671="!!!"),"",IF(NOT(ISNA(VLOOKUP(E3671,E$1:E3670,1,FALSE()))),"OLD",IF(AND(E3671&lt;&gt;"",E3671&lt;&gt;"!!!"),"NEW","")))</f>
        <v> </v>
      </c>
      <c r="G3671" s="23" t="str">
        <f>IF(OR(E3671="",E3671="!!!"),"",IF(OR(J3671=0,AND(J3671=1,K3671=1),AND(J3671=1,I3671="SBJ"),AND(J3671=1,I3671=0)),"?IN_FOCUS",IF(J3671&lt;=2,"?ACTIVATED",IF(J3671&lt;&gt;"","?FAMILIAR",IF(F3671="NEW",IF(ISNA(VLOOKUP(E3671,#REF!,1,FALSE())),"?TYPE_IDENTIFIABLE","?REFERENTIAL"),"_")))))</f>
        <v> </v>
      </c>
      <c r="H3671" s="24" t="str">
        <f>IF(J3671&lt;&gt;1,"",IF(I3671="SBJ","CB","?"))</f>
        <v> </v>
      </c>
      <c r="I3671" s="25" t="str">
        <f>IF(OR(E3671="",E3671="!!!",F3671="NEW"),"",INDEX(B3670:B$2,-1+SUMPRODUCT(MAX(ROW(E3670:E$2)*(E3671=E3670:E$2)))))</f>
        <v> </v>
      </c>
      <c r="J3671" s="25" t="str">
        <f>IF(OR(E3671="",E3671="!!!",F3671="NEW"),"",COUNTBLANK(OFFSET(A$1,,,SUMPRODUCT(MAX(ROW(E$2:E3671)*(E3671=E$2:E3671)))))-COUNTBLANK(OFFSET(A$1,,,SUMPRODUCT(MAX(ROW(E$1:E3670)*(E2=E$1:E3670))))))</f>
        <v> </v>
      </c>
      <c r="K3671" s="25" t="str">
        <f>IF(OR(E3671="",E3671="!!!",F3671="NEW"),"",INDEX(J$1:J3670,SUMPRODUCT(MAX(ROW(E$1:E3670)*(E3671=E$1:E3670)))))</f>
        <v> </v>
      </c>
      <c r="L3671" s="26"/>
    </row>
    <row r="3672" spans="1:12">
      <c r="A3672" s="20" t="s">
        <v>1262</v>
      </c>
      <c r="B3672" s="27" t="s">
        <v>698</v>
      </c>
      <c r="C3672" s="27" t="s">
        <v>893</v>
      </c>
      <c r="E3672" s="21">
        <f>IF(D3672="?OLD","!!!","")</f>
        <v/>
      </c>
      <c r="F3672" s="22" t="str">
        <f>IF(OR(E3672="",E3672="!!!"),"",IF(NOT(ISNA(VLOOKUP(E3672,E$1:E3671,1,FALSE()))),"OLD",IF(AND(E3672&lt;&gt;"",E3672&lt;&gt;"!!!"),"NEW","")))</f>
        <v> </v>
      </c>
      <c r="G3672" s="23" t="str">
        <f>IF(OR(E3672="",E3672="!!!"),"",IF(OR(J3672=0,AND(J3672=1,K3672=1),AND(J3672=1,I3672="SBJ"),AND(J3672=1,I3672=0)),"?IN_FOCUS",IF(J3672&lt;=2,"?ACTIVATED",IF(J3672&lt;&gt;"","?FAMILIAR",IF(F3672="NEW",IF(ISNA(VLOOKUP(E3672,#REF!,1,FALSE())),"?TYPE_IDENTIFIABLE","?REFERENTIAL"),"_")))))</f>
        <v> </v>
      </c>
      <c r="H3672" s="24" t="str">
        <f>IF(J3672&lt;&gt;1,"",IF(I3672="SBJ","CB","?"))</f>
        <v> </v>
      </c>
      <c r="I3672" s="25" t="str">
        <f>IF(OR(E3672="",E3672="!!!",F3672="NEW"),"",INDEX(B3671:B$2,-1+SUMPRODUCT(MAX(ROW(E3671:E$2)*(E3672=E3671:E$2)))))</f>
        <v> </v>
      </c>
      <c r="J3672" s="25" t="str">
        <f>IF(OR(E3672="",E3672="!!!",F3672="NEW"),"",COUNTBLANK(OFFSET(A$1,,,SUMPRODUCT(MAX(ROW(E$2:E3672)*(E3672=E$2:E3672)))))-COUNTBLANK(OFFSET(A$1,,,SUMPRODUCT(MAX(ROW(E$1:E3671)*(E2=E$1:E3671))))))</f>
        <v> </v>
      </c>
      <c r="K3672" s="25" t="str">
        <f>IF(OR(E3672="",E3672="!!!",F3672="NEW"),"",INDEX(J$1:J3671,SUMPRODUCT(MAX(ROW(E$1:E3671)*(E3672=E$1:E3671)))))</f>
        <v> </v>
      </c>
      <c r="L3672" s="26"/>
    </row>
    <row r="3673" spans="1:12">
      <c r="A3673" s="20" t="s">
        <v>725</v>
      </c>
      <c r="E3673" s="21">
        <f>IF(D3673="?OLD","!!!","")</f>
        <v/>
      </c>
      <c r="F3673" s="22" t="str">
        <f>IF(OR(E3673="",E3673="!!!"),"",IF(NOT(ISNA(VLOOKUP(E3673,E$1:E3672,1,FALSE()))),"OLD",IF(AND(E3673&lt;&gt;"",E3673&lt;&gt;"!!!"),"NEW","")))</f>
        <v> </v>
      </c>
      <c r="G3673" s="23" t="str">
        <f>IF(OR(E3673="",E3673="!!!"),"",IF(OR(J3673=0,AND(J3673=1,K3673=1),AND(J3673=1,I3673="SBJ"),AND(J3673=1,I3673=0)),"?IN_FOCUS",IF(J3673&lt;=2,"?ACTIVATED",IF(J3673&lt;&gt;"","?FAMILIAR",IF(F3673="NEW",IF(ISNA(VLOOKUP(E3673,#REF!,1,FALSE())),"?TYPE_IDENTIFIABLE","?REFERENTIAL"),"_")))))</f>
        <v> </v>
      </c>
      <c r="H3673" s="24" t="str">
        <f>IF(J3673&lt;&gt;1,"",IF(I3673="SBJ","CB","?"))</f>
        <v> </v>
      </c>
      <c r="I3673" s="25" t="str">
        <f>IF(OR(E3673="",E3673="!!!",F3673="NEW"),"",INDEX(B3672:B$2,-1+SUMPRODUCT(MAX(ROW(E3672:E$2)*(E3673=E3672:E$2)))))</f>
        <v> </v>
      </c>
      <c r="J3673" s="25" t="str">
        <f>IF(OR(E3673="",E3673="!!!",F3673="NEW"),"",COUNTBLANK(OFFSET(A$1,,,SUMPRODUCT(MAX(ROW(E$2:E3673)*(E3673=E$2:E3673)))))-COUNTBLANK(OFFSET(A$1,,,SUMPRODUCT(MAX(ROW(E$1:E3672)*(E2=E$1:E3672))))))</f>
        <v> </v>
      </c>
      <c r="K3673" s="25" t="str">
        <f>IF(OR(E3673="",E3673="!!!",F3673="NEW"),"",INDEX(J$1:J3672,SUMPRODUCT(MAX(ROW(E$1:E3672)*(E3673=E$1:E3672)))))</f>
        <v> </v>
      </c>
      <c r="L3673" s="26"/>
    </row>
    <row r="3674" spans="1:12">
      <c r="A3674" s="20" t="s">
        <v>803</v>
      </c>
      <c r="B3674" s="27" t="s">
        <v>692</v>
      </c>
      <c r="C3674" s="27" t="s">
        <v>733</v>
      </c>
      <c r="D3674" s="27" t="s">
        <v>694</v>
      </c>
      <c r="E3674" s="21">
        <f>IF(D3674="?OLD","!!!","")</f>
        <v/>
      </c>
      <c r="F3674" s="22" t="str">
        <f>IF(OR(E3674="",E3674="!!!"),"",IF(NOT(ISNA(VLOOKUP(E3674,E$1:E3673,1,FALSE()))),"OLD",IF(AND(E3674&lt;&gt;"",E3674&lt;&gt;"!!!"),"NEW","")))</f>
        <v> </v>
      </c>
      <c r="G3674" s="23" t="str">
        <f>IF(OR(E3674="",E3674="!!!"),"",IF(OR(J3674=0,AND(J3674=1,K3674=1),AND(J3674=1,I3674="SBJ"),AND(J3674=1,I3674=0)),"?IN_FOCUS",IF(J3674&lt;=2,"?ACTIVATED",IF(J3674&lt;&gt;"","?FAMILIAR",IF(F3674="NEW",IF(ISNA(VLOOKUP(E3674,#REF!,1,FALSE())),"?TYPE_IDENTIFIABLE","?REFERENTIAL"),"_")))))</f>
        <v> </v>
      </c>
      <c r="H3674" s="24" t="str">
        <f>IF(J3674&lt;&gt;1,"",IF(I3674="SBJ","CB","?"))</f>
        <v> </v>
      </c>
      <c r="I3674" s="25" t="str">
        <f>IF(OR(E3674="",E3674="!!!",F3674="NEW"),"",INDEX(B3673:B$2,-1+SUMPRODUCT(MAX(ROW(E3673:E$2)*(E3674=E3673:E$2)))))</f>
        <v> </v>
      </c>
      <c r="J3674" s="25" t="str">
        <f>IF(OR(E3674="",E3674="!!!",F3674="NEW"),"",COUNTBLANK(OFFSET(A$1,,,SUMPRODUCT(MAX(ROW(E$2:E3674)*(E3674=E$2:E3674)))))-COUNTBLANK(OFFSET(A$1,,,SUMPRODUCT(MAX(ROW(E$1:E3673)*(E2=E$1:E3673))))))</f>
        <v> </v>
      </c>
      <c r="K3674" s="25" t="str">
        <f>IF(OR(E3674="",E3674="!!!",F3674="NEW"),"",INDEX(J$1:J3673,SUMPRODUCT(MAX(ROW(E$1:E3673)*(E3674=E$1:E3673)))))</f>
        <v> </v>
      </c>
      <c r="L3674" s="26"/>
    </row>
    <row r="3675" spans="1:12">
      <c r="A3675" s="20" t="s">
        <v>1133</v>
      </c>
      <c r="E3675" s="21">
        <f>IF(D3675="?OLD","!!!","")</f>
        <v/>
      </c>
      <c r="F3675" s="22" t="str">
        <f>IF(OR(E3675="",E3675="!!!"),"",IF(NOT(ISNA(VLOOKUP(E3675,E$1:E3674,1,FALSE()))),"OLD",IF(AND(E3675&lt;&gt;"",E3675&lt;&gt;"!!!"),"NEW","")))</f>
        <v> </v>
      </c>
      <c r="G3675" s="23" t="str">
        <f>IF(OR(E3675="",E3675="!!!"),"",IF(OR(J3675=0,AND(J3675=1,K3675=1),AND(J3675=1,I3675="SBJ"),AND(J3675=1,I3675=0)),"?IN_FOCUS",IF(J3675&lt;=2,"?ACTIVATED",IF(J3675&lt;&gt;"","?FAMILIAR",IF(F3675="NEW",IF(ISNA(VLOOKUP(E3675,#REF!,1,FALSE())),"?TYPE_IDENTIFIABLE","?REFERENTIAL"),"_")))))</f>
        <v> </v>
      </c>
      <c r="H3675" s="24" t="str">
        <f>IF(J3675&lt;&gt;1,"",IF(I3675="SBJ","CB","?"))</f>
        <v> </v>
      </c>
      <c r="I3675" s="25" t="str">
        <f>IF(OR(E3675="",E3675="!!!",F3675="NEW"),"",INDEX(B3674:B$2,-1+SUMPRODUCT(MAX(ROW(E3674:E$2)*(E3675=E3674:E$2)))))</f>
        <v> </v>
      </c>
      <c r="J3675" s="25" t="str">
        <f>IF(OR(E3675="",E3675="!!!",F3675="NEW"),"",COUNTBLANK(OFFSET(A$1,,,SUMPRODUCT(MAX(ROW(E$2:E3675)*(E3675=E$2:E3675)))))-COUNTBLANK(OFFSET(A$1,,,SUMPRODUCT(MAX(ROW(E$1:E3674)*(E2=E$1:E3674))))))</f>
        <v> </v>
      </c>
      <c r="K3675" s="25" t="str">
        <f>IF(OR(E3675="",E3675="!!!",F3675="NEW"),"",INDEX(J$1:J3674,SUMPRODUCT(MAX(ROW(E$1:E3674)*(E3675=E$1:E3674)))))</f>
        <v> </v>
      </c>
      <c r="L3675" s="26"/>
    </row>
    <row r="3676" spans="1:12">
      <c r="A3676" s="20" t="s">
        <v>1634</v>
      </c>
      <c r="E3676" s="21">
        <f>IF(D3676="?OLD","!!!","")</f>
        <v/>
      </c>
      <c r="F3676" s="22" t="str">
        <f>IF(OR(E3676="",E3676="!!!"),"",IF(NOT(ISNA(VLOOKUP(E3676,E$1:E3675,1,FALSE()))),"OLD",IF(AND(E3676&lt;&gt;"",E3676&lt;&gt;"!!!"),"NEW","")))</f>
        <v> </v>
      </c>
      <c r="G3676" s="23" t="str">
        <f>IF(OR(E3676="",E3676="!!!"),"",IF(OR(J3676=0,AND(J3676=1,K3676=1),AND(J3676=1,I3676="SBJ"),AND(J3676=1,I3676=0)),"?IN_FOCUS",IF(J3676&lt;=2,"?ACTIVATED",IF(J3676&lt;&gt;"","?FAMILIAR",IF(F3676="NEW",IF(ISNA(VLOOKUP(E3676,#REF!,1,FALSE())),"?TYPE_IDENTIFIABLE","?REFERENTIAL"),"_")))))</f>
        <v> </v>
      </c>
      <c r="H3676" s="24" t="str">
        <f>IF(J3676&lt;&gt;1,"",IF(I3676="SBJ","CB","?"))</f>
        <v> </v>
      </c>
      <c r="I3676" s="25" t="str">
        <f>IF(OR(E3676="",E3676="!!!",F3676="NEW"),"",INDEX(B3675:B$2,-1+SUMPRODUCT(MAX(ROW(E3675:E$2)*(E3676=E3675:E$2)))))</f>
        <v> </v>
      </c>
      <c r="J3676" s="25" t="str">
        <f>IF(OR(E3676="",E3676="!!!",F3676="NEW"),"",COUNTBLANK(OFFSET(A$1,,,SUMPRODUCT(MAX(ROW(E$2:E3676)*(E3676=E$2:E3676)))))-COUNTBLANK(OFFSET(A$1,,,SUMPRODUCT(MAX(ROW(E$1:E3675)*(E2=E$1:E3675))))))</f>
        <v> </v>
      </c>
      <c r="K3676" s="25" t="str">
        <f>IF(OR(E3676="",E3676="!!!",F3676="NEW"),"",INDEX(J$1:J3675,SUMPRODUCT(MAX(ROW(E$1:E3675)*(E3676=E$1:E3675)))))</f>
        <v> </v>
      </c>
      <c r="L3676" s="26"/>
    </row>
    <row r="3677" spans="1:12">
      <c r="A3677" s="20" t="s">
        <v>718</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t="s">
        <v>690</v>
      </c>
      <c r="E3678" s="21">
        <f>IF(D3678="?OLD","!!!","")</f>
        <v/>
      </c>
      <c r="F3678" s="22" t="str">
        <f>IF(OR(E3678="",E3678="!!!"),"",IF(NOT(ISNA(VLOOKUP(E3678,E$1:E3677,1,FALSE()))),"OLD",IF(AND(E3678&lt;&gt;"",E3678&lt;&gt;"!!!"),"NEW","")))</f>
        <v> </v>
      </c>
      <c r="G3678" s="23" t="str">
        <f>IF(OR(E3678="",E3678="!!!"),"",IF(OR(J3678=0,AND(J3678=1,K3678=1),AND(J3678=1,I3678="SBJ"),AND(J3678=1,I3678=0)),"?IN_FOCUS",IF(J3678&lt;=2,"?ACTIVATED",IF(J3678&lt;&gt;"","?FAMILIAR",IF(F3678="NEW",IF(ISNA(VLOOKUP(E3678,#REF!,1,FALSE())),"?TYPE_IDENTIFIABLE","?REFERENTIAL"),"_")))))</f>
        <v> </v>
      </c>
      <c r="H3678" s="24" t="str">
        <f>IF(J3678&lt;&gt;1,"",IF(I3678="SBJ","CB","?"))</f>
        <v> </v>
      </c>
      <c r="I3678" s="25" t="str">
        <f>IF(OR(E3678="",E3678="!!!",F3678="NEW"),"",INDEX(B3677:B$2,-1+SUMPRODUCT(MAX(ROW(E3677:E$2)*(E3678=E3677:E$2)))))</f>
        <v> </v>
      </c>
      <c r="J3678" s="25" t="str">
        <f>IF(OR(E3678="",E3678="!!!",F3678="NEW"),"",COUNTBLANK(OFFSET(A$1,,,SUMPRODUCT(MAX(ROW(E$2:E3678)*(E3678=E$2:E3678)))))-COUNTBLANK(OFFSET(A$1,,,SUMPRODUCT(MAX(ROW(E$1:E3677)*(E2=E$1:E3677))))))</f>
        <v> </v>
      </c>
      <c r="K3678" s="25" t="str">
        <f>IF(OR(E3678="",E3678="!!!",F3678="NEW"),"",INDEX(J$1:J3677,SUMPRODUCT(MAX(ROW(E$1:E3677)*(E3678=E$1:E3677)))))</f>
        <v> </v>
      </c>
      <c r="L3678" s="26"/>
    </row>
    <row r="3679" spans="1:12">
      <c r="A3679" s="20" t="s">
        <v>1635</v>
      </c>
      <c r="B3679" s="27" t="s">
        <v>698</v>
      </c>
      <c r="C3679" s="27" t="s">
        <v>693</v>
      </c>
      <c r="D3679" s="27" t="s">
        <v>694</v>
      </c>
      <c r="E3679" s="21">
        <f>IF(D3679="?OLD","!!!","")</f>
        <v/>
      </c>
      <c r="F3679" s="22" t="str">
        <f>IF(OR(E3679="",E3679="!!!"),"",IF(NOT(ISNA(VLOOKUP(E3679,E$1:E3678,1,FALSE()))),"OLD",IF(AND(E3679&lt;&gt;"",E3679&lt;&gt;"!!!"),"NEW","")))</f>
        <v> </v>
      </c>
      <c r="G3679" s="23" t="str">
        <f>IF(OR(E3679="",E3679="!!!"),"",IF(OR(J3679=0,AND(J3679=1,K3679=1),AND(J3679=1,I3679="SBJ"),AND(J3679=1,I3679=0)),"?IN_FOCUS",IF(J3679&lt;=2,"?ACTIVATED",IF(J3679&lt;&gt;"","?FAMILIAR",IF(F3679="NEW",IF(ISNA(VLOOKUP(E3679,#REF!,1,FALSE())),"?TYPE_IDENTIFIABLE","?REFERENTIAL"),"_")))))</f>
        <v> </v>
      </c>
      <c r="H3679" s="24" t="str">
        <f>IF(J3679&lt;&gt;1,"",IF(I3679="SBJ","CB","?"))</f>
        <v> </v>
      </c>
      <c r="I3679" s="25" t="str">
        <f>IF(OR(E3679="",E3679="!!!",F3679="NEW"),"",INDEX(B3678:B$2,-1+SUMPRODUCT(MAX(ROW(E3678:E$2)*(E3679=E3678:E$2)))))</f>
        <v> </v>
      </c>
      <c r="J3679" s="25" t="str">
        <f>IF(OR(E3679="",E3679="!!!",F3679="NEW"),"",COUNTBLANK(OFFSET(A$1,,,SUMPRODUCT(MAX(ROW(E$2:E3679)*(E3679=E$2:E3679)))))-COUNTBLANK(OFFSET(A$1,,,SUMPRODUCT(MAX(ROW(E$1:E3678)*(E2=E$1:E3678))))))</f>
        <v> </v>
      </c>
      <c r="K3679" s="25" t="str">
        <f>IF(OR(E3679="",E3679="!!!",F3679="NEW"),"",INDEX(J$1:J3678,SUMPRODUCT(MAX(ROW(E$1:E3678)*(E3679=E$1:E3678)))))</f>
        <v> </v>
      </c>
      <c r="L3679" s="26"/>
    </row>
    <row r="3680" spans="1:12">
      <c r="A3680" s="20" t="s">
        <v>725</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998</v>
      </c>
      <c r="B3681" s="27" t="s">
        <v>823</v>
      </c>
      <c r="C3681" s="27" t="s">
        <v>733</v>
      </c>
      <c r="D3681" s="27" t="s">
        <v>694</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1636</v>
      </c>
      <c r="B3682" s="27" t="s">
        <v>762</v>
      </c>
      <c r="C3682" s="27" t="s">
        <v>733</v>
      </c>
      <c r="D3682" s="27" t="s">
        <v>694</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1637</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1533</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809</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690</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t="s">
        <v>1489</v>
      </c>
      <c r="B3687" s="27" t="s">
        <v>886</v>
      </c>
      <c r="C3687" s="27" t="s">
        <v>693</v>
      </c>
      <c r="D3687" s="27" t="s">
        <v>694</v>
      </c>
      <c r="E3687" s="21">
        <f>IF(D3687="?OLD","!!!","")</f>
        <v/>
      </c>
      <c r="F3687" s="22" t="str">
        <f>IF(OR(E3687="",E3687="!!!"),"",IF(NOT(ISNA(VLOOKUP(E3687,E$1:E3686,1,FALSE()))),"OLD",IF(AND(E3687&lt;&gt;"",E3687&lt;&gt;"!!!"),"NEW","")))</f>
        <v> </v>
      </c>
      <c r="G3687" s="23" t="str">
        <f>IF(OR(E3687="",E3687="!!!"),"",IF(OR(J3687=0,AND(J3687=1,K3687=1),AND(J3687=1,I3687="SBJ"),AND(J3687=1,I3687=0)),"?IN_FOCUS",IF(J3687&lt;=2,"?ACTIVATED",IF(J3687&lt;&gt;"","?FAMILIAR",IF(F3687="NEW",IF(ISNA(VLOOKUP(E3687,#REF!,1,FALSE())),"?TYPE_IDENTIFIABLE","?REFERENTIAL"),"_")))))</f>
        <v> </v>
      </c>
      <c r="H3687" s="24" t="str">
        <f>IF(J3687&lt;&gt;1,"",IF(I3687="SBJ","CB","?"))</f>
        <v> </v>
      </c>
      <c r="I3687" s="25" t="str">
        <f>IF(OR(E3687="",E3687="!!!",F3687="NEW"),"",INDEX(B3686:B$2,-1+SUMPRODUCT(MAX(ROW(E3686:E$2)*(E3687=E3686:E$2)))))</f>
        <v> </v>
      </c>
      <c r="J3687" s="25" t="str">
        <f>IF(OR(E3687="",E3687="!!!",F3687="NEW"),"",COUNTBLANK(OFFSET(A$1,,,SUMPRODUCT(MAX(ROW(E$2:E3687)*(E3687=E$2:E3687)))))-COUNTBLANK(OFFSET(A$1,,,SUMPRODUCT(MAX(ROW(E$1:E3686)*(E2=E$1:E3686))))))</f>
        <v> </v>
      </c>
      <c r="K3687" s="25" t="str">
        <f>IF(OR(E3687="",E3687="!!!",F3687="NEW"),"",INDEX(J$1:J3686,SUMPRODUCT(MAX(ROW(E$1:E3686)*(E3687=E$1:E3686)))))</f>
        <v> </v>
      </c>
      <c r="L3687" s="26"/>
    </row>
    <row r="3688" spans="1:12">
      <c r="A3688" s="20" t="s">
        <v>1487</v>
      </c>
      <c r="B3688" s="27" t="s">
        <v>715</v>
      </c>
      <c r="C3688" s="27" t="s">
        <v>887</v>
      </c>
      <c r="D3688" s="27" t="s">
        <v>694</v>
      </c>
      <c r="E3688" s="21">
        <f>IF(D3688="?OLD","!!!","")</f>
        <v/>
      </c>
      <c r="F3688" s="22" t="str">
        <f>IF(OR(E3688="",E3688="!!!"),"",IF(NOT(ISNA(VLOOKUP(E3688,E$1:E3687,1,FALSE()))),"OLD",IF(AND(E3688&lt;&gt;"",E3688&lt;&gt;"!!!"),"NEW","")))</f>
        <v> </v>
      </c>
      <c r="G3688" s="23" t="str">
        <f>IF(OR(E3688="",E3688="!!!"),"",IF(OR(J3688=0,AND(J3688=1,K3688=1),AND(J3688=1,I3688="SBJ"),AND(J3688=1,I3688=0)),"?IN_FOCUS",IF(J3688&lt;=2,"?ACTIVATED",IF(J3688&lt;&gt;"","?FAMILIAR",IF(F3688="NEW",IF(ISNA(VLOOKUP(E3688,#REF!,1,FALSE())),"?TYPE_IDENTIFIABLE","?REFERENTIAL"),"_")))))</f>
        <v> </v>
      </c>
      <c r="H3688" s="24" t="str">
        <f>IF(J3688&lt;&gt;1,"",IF(I3688="SBJ","CB","?"))</f>
        <v> </v>
      </c>
      <c r="I3688" s="25" t="str">
        <f>IF(OR(E3688="",E3688="!!!",F3688="NEW"),"",INDEX(B3687:B$2,-1+SUMPRODUCT(MAX(ROW(E3687:E$2)*(E3688=E3687:E$2)))))</f>
        <v> </v>
      </c>
      <c r="J3688" s="25" t="str">
        <f>IF(OR(E3688="",E3688="!!!",F3688="NEW"),"",COUNTBLANK(OFFSET(A$1,,,SUMPRODUCT(MAX(ROW(E$2:E3688)*(E3688=E$2:E3688)))))-COUNTBLANK(OFFSET(A$1,,,SUMPRODUCT(MAX(ROW(E$1:E3687)*(E2=E$1:E3687))))))</f>
        <v> </v>
      </c>
      <c r="K3688" s="25" t="str">
        <f>IF(OR(E3688="",E3688="!!!",F3688="NEW"),"",INDEX(J$1:J3687,SUMPRODUCT(MAX(ROW(E$1:E3687)*(E3688=E$1:E3687)))))</f>
        <v> </v>
      </c>
      <c r="L3688" s="26"/>
    </row>
    <row r="3689" spans="1:12">
      <c r="A3689" s="20" t="s">
        <v>740</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1178</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696</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t="s">
        <v>721</v>
      </c>
      <c r="E3692" s="21">
        <f>IF(D3692="?OLD","!!!","")</f>
        <v/>
      </c>
      <c r="F3692" s="22" t="str">
        <f>IF(OR(E3692="",E3692="!!!"),"",IF(NOT(ISNA(VLOOKUP(E3692,E$1:E3691,1,FALSE()))),"OLD",IF(AND(E3692&lt;&gt;"",E3692&lt;&gt;"!!!"),"NEW","")))</f>
        <v> </v>
      </c>
      <c r="G3692" s="23" t="str">
        <f>IF(OR(E3692="",E3692="!!!"),"",IF(OR(J3692=0,AND(J3692=1,K3692=1),AND(J3692=1,I3692="SBJ"),AND(J3692=1,I3692=0)),"?IN_FOCUS",IF(J3692&lt;=2,"?ACTIVATED",IF(J3692&lt;&gt;"","?FAMILIAR",IF(F3692="NEW",IF(ISNA(VLOOKUP(E3692,#REF!,1,FALSE())),"?TYPE_IDENTIFIABLE","?REFERENTIAL"),"_")))))</f>
        <v> </v>
      </c>
      <c r="H3692" s="24" t="str">
        <f>IF(J3692&lt;&gt;1,"",IF(I3692="SBJ","CB","?"))</f>
        <v> </v>
      </c>
      <c r="I3692" s="25" t="str">
        <f>IF(OR(E3692="",E3692="!!!",F3692="NEW"),"",INDEX(B3691:B$2,-1+SUMPRODUCT(MAX(ROW(E3691:E$2)*(E3692=E3691:E$2)))))</f>
        <v> </v>
      </c>
      <c r="J3692" s="25" t="str">
        <f>IF(OR(E3692="",E3692="!!!",F3692="NEW"),"",COUNTBLANK(OFFSET(A$1,,,SUMPRODUCT(MAX(ROW(E$2:E3692)*(E3692=E$2:E3692)))))-COUNTBLANK(OFFSET(A$1,,,SUMPRODUCT(MAX(ROW(E$1:E3691)*(E2=E$1:E3691))))))</f>
        <v> </v>
      </c>
      <c r="K3692" s="25" t="str">
        <f>IF(OR(E3692="",E3692="!!!",F3692="NEW"),"",INDEX(J$1:J3691,SUMPRODUCT(MAX(ROW(E$1:E3691)*(E3692=E$1:E3691)))))</f>
        <v> </v>
      </c>
      <c r="L3692" s="26"/>
    </row>
    <row r="3693" spans="1:12">
      <c r="A3693" s="20" t="s">
        <v>1638</v>
      </c>
      <c r="B3693" s="27" t="s">
        <v>756</v>
      </c>
      <c r="C3693" s="27" t="s">
        <v>693</v>
      </c>
      <c r="D3693" s="27" t="s">
        <v>694</v>
      </c>
      <c r="E3693" s="21">
        <f>IF(D3693="?OLD","!!!","")</f>
        <v/>
      </c>
      <c r="F3693" s="22" t="str">
        <f>IF(OR(E3693="",E3693="!!!"),"",IF(NOT(ISNA(VLOOKUP(E3693,E$1:E3692,1,FALSE()))),"OLD",IF(AND(E3693&lt;&gt;"",E3693&lt;&gt;"!!!"),"NEW","")))</f>
        <v> </v>
      </c>
      <c r="G3693" s="23" t="str">
        <f>IF(OR(E3693="",E3693="!!!"),"",IF(OR(J3693=0,AND(J3693=1,K3693=1),AND(J3693=1,I3693="SBJ"),AND(J3693=1,I3693=0)),"?IN_FOCUS",IF(J3693&lt;=2,"?ACTIVATED",IF(J3693&lt;&gt;"","?FAMILIAR",IF(F3693="NEW",IF(ISNA(VLOOKUP(E3693,#REF!,1,FALSE())),"?TYPE_IDENTIFIABLE","?REFERENTIAL"),"_")))))</f>
        <v> </v>
      </c>
      <c r="H3693" s="24" t="str">
        <f>IF(J3693&lt;&gt;1,"",IF(I3693="SBJ","CB","?"))</f>
        <v> </v>
      </c>
      <c r="I3693" s="25" t="str">
        <f>IF(OR(E3693="",E3693="!!!",F3693="NEW"),"",INDEX(B3692:B$2,-1+SUMPRODUCT(MAX(ROW(E3692:E$2)*(E3693=E3692:E$2)))))</f>
        <v> </v>
      </c>
      <c r="J3693" s="25" t="str">
        <f>IF(OR(E3693="",E3693="!!!",F3693="NEW"),"",COUNTBLANK(OFFSET(A$1,,,SUMPRODUCT(MAX(ROW(E$2:E3693)*(E3693=E$2:E3693)))))-COUNTBLANK(OFFSET(A$1,,,SUMPRODUCT(MAX(ROW(E$1:E3692)*(E2=E$1:E3692))))))</f>
        <v> </v>
      </c>
      <c r="K3693" s="25" t="str">
        <f>IF(OR(E3693="",E3693="!!!",F3693="NEW"),"",INDEX(J$1:J3692,SUMPRODUCT(MAX(ROW(E$1:E3692)*(E3693=E$1:E3692)))))</f>
        <v> </v>
      </c>
      <c r="L3693" s="26"/>
    </row>
    <row r="3694" spans="1:12">
      <c r="A3694" s="20" t="s">
        <v>937</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t="s">
        <v>1639</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699</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row>
    <row r="3698" spans="1:12">
      <c r="A3698" s="20" t="s">
        <v>1640</v>
      </c>
    </row>
    <row r="3699" spans="1:12">
      <c r="A3699" s="20" t="s">
        <v>1641</v>
      </c>
      <c r="E3699" s="21">
        <f>IF(D3699="?OLD","!!!","")</f>
        <v/>
      </c>
      <c r="F3699" s="22" t="str">
        <f>IF(OR(E3699="",E3699="!!!"),"",IF(NOT(ISNA(VLOOKUP(E3699,E$1:E3698,1,FALSE()))),"OLD",IF(AND(E3699&lt;&gt;"",E3699&lt;&gt;"!!!"),"NEW","")))</f>
        <v> </v>
      </c>
      <c r="G3699" s="23" t="str">
        <f>IF(OR(E3699="",E3699="!!!"),"",IF(OR(J3699=0,AND(J3699=1,K3699=1),AND(J3699=1,I3699="SBJ"),AND(J3699=1,I3699=0)),"?IN_FOCUS",IF(J3699&lt;=2,"?ACTIVATED",IF(J3699&lt;&gt;"","?FAMILIAR",IF(F3699="NEW",IF(ISNA(VLOOKUP(E3699,#REF!,1,FALSE())),"?TYPE_IDENTIFIABLE","?REFERENTIAL"),"_")))))</f>
        <v> </v>
      </c>
      <c r="H3699" s="24" t="str">
        <f>IF(J3699&lt;&gt;1,"",IF(I3699="SBJ","CB","?"))</f>
        <v> </v>
      </c>
      <c r="I3699" s="25" t="str">
        <f>IF(OR(E3699="",E3699="!!!",F3699="NEW"),"",INDEX(B3698:B$2,-1+SUMPRODUCT(MAX(ROW(E3698:E$2)*(E3699=E3698:E$2)))))</f>
        <v> </v>
      </c>
      <c r="J3699" s="25" t="str">
        <f>IF(OR(E3699="",E3699="!!!",F3699="NEW"),"",COUNTBLANK(OFFSET(A$1,,,SUMPRODUCT(MAX(ROW(E$2:E3699)*(E3699=E$2:E3699)))))-COUNTBLANK(OFFSET(A$1,,,SUMPRODUCT(MAX(ROW(E$1:E3698)*(E2=E$1:E3698))))))</f>
        <v> </v>
      </c>
      <c r="K3699" s="25" t="str">
        <f>IF(OR(E3699="",E3699="!!!",F3699="NEW"),"",INDEX(J$1:J3698,SUMPRODUCT(MAX(ROW(E$1:E3698)*(E3699=E$1:E3698)))))</f>
        <v> </v>
      </c>
      <c r="L3699" s="26"/>
    </row>
    <row r="3700" spans="1:12">
      <c r="A3700" s="20" t="s">
        <v>1012</v>
      </c>
      <c r="B3700" s="27" t="s">
        <v>692</v>
      </c>
      <c r="C3700" s="27" t="s">
        <v>733</v>
      </c>
      <c r="D3700" s="27" t="s">
        <v>694</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803</v>
      </c>
      <c r="B3701" s="27" t="s">
        <v>762</v>
      </c>
      <c r="C3701" s="27" t="s">
        <v>733</v>
      </c>
      <c r="D3701" s="27" t="s">
        <v>694</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739</v>
      </c>
      <c r="B3702" s="27" t="s">
        <v>762</v>
      </c>
      <c r="C3702" s="27" t="s">
        <v>707</v>
      </c>
      <c r="D3702" s="27" t="s">
        <v>694</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487</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742</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915</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t="s">
        <v>851</v>
      </c>
      <c r="E3706" s="21">
        <f>IF(D3706="?OLD","!!!","")</f>
        <v/>
      </c>
      <c r="F3706" s="22" t="str">
        <f>IF(OR(E3706="",E3706="!!!"),"",IF(NOT(ISNA(VLOOKUP(E3706,E$1:E3705,1,FALSE()))),"OLD",IF(AND(E3706&lt;&gt;"",E3706&lt;&gt;"!!!"),"NEW","")))</f>
        <v> </v>
      </c>
      <c r="G3706" s="23" t="str">
        <f>IF(OR(E3706="",E3706="!!!"),"",IF(OR(J3706=0,AND(J3706=1,K3706=1),AND(J3706=1,I3706="SBJ"),AND(J3706=1,I3706=0)),"?IN_FOCUS",IF(J3706&lt;=2,"?ACTIVATED",IF(J3706&lt;&gt;"","?FAMILIAR",IF(F3706="NEW",IF(ISNA(VLOOKUP(E3706,#REF!,1,FALSE())),"?TYPE_IDENTIFIABLE","?REFERENTIAL"),"_")))))</f>
        <v> </v>
      </c>
      <c r="H3706" s="24" t="str">
        <f>IF(J3706&lt;&gt;1,"",IF(I3706="SBJ","CB","?"))</f>
        <v> </v>
      </c>
      <c r="I3706" s="25" t="str">
        <f>IF(OR(E3706="",E3706="!!!",F3706="NEW"),"",INDEX(B3705:B$2,-1+SUMPRODUCT(MAX(ROW(E3705:E$2)*(E3706=E3705:E$2)))))</f>
        <v> </v>
      </c>
      <c r="J3706" s="25" t="str">
        <f>IF(OR(E3706="",E3706="!!!",F3706="NEW"),"",COUNTBLANK(OFFSET(A$1,,,SUMPRODUCT(MAX(ROW(E$2:E3706)*(E3706=E$2:E3706)))))-COUNTBLANK(OFFSET(A$1,,,SUMPRODUCT(MAX(ROW(E$1:E3705)*(E2=E$1:E3705))))))</f>
        <v> </v>
      </c>
      <c r="K3706" s="25" t="str">
        <f>IF(OR(E3706="",E3706="!!!",F3706="NEW"),"",INDEX(J$1:J3705,SUMPRODUCT(MAX(ROW(E$1:E3705)*(E3706=E$1:E3705)))))</f>
        <v> </v>
      </c>
      <c r="L3706" s="26"/>
    </row>
    <row r="3707" spans="1:12">
      <c r="A3707" s="20" t="s">
        <v>738</v>
      </c>
      <c r="B3707" s="27" t="s">
        <v>823</v>
      </c>
      <c r="C3707" s="27" t="s">
        <v>733</v>
      </c>
      <c r="D3707" s="27" t="s">
        <v>694</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t="s">
        <v>998</v>
      </c>
      <c r="B3708" s="27" t="s">
        <v>762</v>
      </c>
      <c r="C3708" s="27" t="s">
        <v>733</v>
      </c>
      <c r="D3708" s="27" t="s">
        <v>694</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1642</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826</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1165</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696</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1255</v>
      </c>
      <c r="B3713" s="27" t="s">
        <v>755</v>
      </c>
      <c r="C3713" s="27" t="s">
        <v>716</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1001</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row>
    <row r="3716" spans="1:12">
      <c r="A3716" s="20" t="s">
        <v>1643</v>
      </c>
    </row>
    <row r="3717" spans="1:12">
      <c r="A3717" s="20" t="s">
        <v>588</v>
      </c>
      <c r="B3717" s="27" t="s">
        <v>698</v>
      </c>
      <c r="C3717" s="27" t="s">
        <v>887</v>
      </c>
      <c r="D3717" s="27" t="s">
        <v>694</v>
      </c>
      <c r="E3717" s="21">
        <f>IF(D3717="?OLD","!!!","")</f>
        <v/>
      </c>
      <c r="F3717" s="22" t="str">
        <f>IF(OR(E3717="",E3717="!!!"),"",IF(NOT(ISNA(VLOOKUP(E3717,E$1:E3716,1,FALSE()))),"OLD",IF(AND(E3717&lt;&gt;"",E3717&lt;&gt;"!!!"),"NEW","")))</f>
        <v> </v>
      </c>
      <c r="G3717" s="23" t="str">
        <f>IF(OR(E3717="",E3717="!!!"),"",IF(OR(J3717=0,AND(J3717=1,K3717=1),AND(J3717=1,I3717="SBJ"),AND(J3717=1,I3717=0)),"?IN_FOCUS",IF(J3717&lt;=2,"?ACTIVATED",IF(J3717&lt;&gt;"","?FAMILIAR",IF(F3717="NEW",IF(ISNA(VLOOKUP(E3717,#REF!,1,FALSE())),"?TYPE_IDENTIFIABLE","?REFERENTIAL"),"_")))))</f>
        <v> </v>
      </c>
      <c r="H3717" s="24" t="str">
        <f>IF(J3717&lt;&gt;1,"",IF(I3717="SBJ","CB","?"))</f>
        <v> </v>
      </c>
      <c r="I3717" s="25" t="str">
        <f>IF(OR(E3717="",E3717="!!!",F3717="NEW"),"",INDEX(B3716:B$2,-1+SUMPRODUCT(MAX(ROW(E3716:E$2)*(E3717=E3716:E$2)))))</f>
        <v> </v>
      </c>
      <c r="J3717" s="25" t="str">
        <f>IF(OR(E3717="",E3717="!!!",F3717="NEW"),"",COUNTBLANK(OFFSET(A$1,,,SUMPRODUCT(MAX(ROW(E$2:E3717)*(E3717=E$2:E3717)))))-COUNTBLANK(OFFSET(A$1,,,SUMPRODUCT(MAX(ROW(E$1:E3716)*(E2=E$1:E3716))))))</f>
        <v> </v>
      </c>
      <c r="K3717" s="25" t="str">
        <f>IF(OR(E3717="",E3717="!!!",F3717="NEW"),"",INDEX(J$1:J3716,SUMPRODUCT(MAX(ROW(E$1:E3716)*(E3717=E$1:E3716)))))</f>
        <v> </v>
      </c>
      <c r="L3717" s="26"/>
    </row>
    <row r="3718" spans="1:12">
      <c r="A3718" s="20" t="s">
        <v>1644</v>
      </c>
      <c r="B3718" s="27" t="s">
        <v>698</v>
      </c>
      <c r="C3718" s="27" t="s">
        <v>887</v>
      </c>
      <c r="D3718" s="27" t="s">
        <v>694</v>
      </c>
      <c r="E3718" s="21">
        <f>IF(D3718="?OLD","!!!","")</f>
        <v/>
      </c>
      <c r="F3718" s="22" t="str">
        <f>IF(OR(E3718="",E3718="!!!"),"",IF(NOT(ISNA(VLOOKUP(E3718,E$1:E3717,1,FALSE()))),"OLD",IF(AND(E3718&lt;&gt;"",E3718&lt;&gt;"!!!"),"NEW","")))</f>
        <v> </v>
      </c>
      <c r="G3718" s="23" t="str">
        <f>IF(OR(E3718="",E3718="!!!"),"",IF(OR(J3718=0,AND(J3718=1,K3718=1),AND(J3718=1,I3718="SBJ"),AND(J3718=1,I3718=0)),"?IN_FOCUS",IF(J3718&lt;=2,"?ACTIVATED",IF(J3718&lt;&gt;"","?FAMILIAR",IF(F3718="NEW",IF(ISNA(VLOOKUP(E3718,#REF!,1,FALSE())),"?TYPE_IDENTIFIABLE","?REFERENTIAL"),"_")))))</f>
        <v> </v>
      </c>
      <c r="H3718" s="24" t="str">
        <f>IF(J3718&lt;&gt;1,"",IF(I3718="SBJ","CB","?"))</f>
        <v> </v>
      </c>
      <c r="I3718" s="25" t="str">
        <f>IF(OR(E3718="",E3718="!!!",F3718="NEW"),"",INDEX(B3717:B$2,-1+SUMPRODUCT(MAX(ROW(E3717:E$2)*(E3718=E3717:E$2)))))</f>
        <v> </v>
      </c>
      <c r="J3718" s="25" t="str">
        <f>IF(OR(E3718="",E3718="!!!",F3718="NEW"),"",COUNTBLANK(OFFSET(A$1,,,SUMPRODUCT(MAX(ROW(E$2:E3718)*(E3718=E$2:E3718)))))-COUNTBLANK(OFFSET(A$1,,,SUMPRODUCT(MAX(ROW(E$1:E3717)*(E2=E$1:E3717))))))</f>
        <v> </v>
      </c>
      <c r="K3718" s="25" t="str">
        <f>IF(OR(E3718="",E3718="!!!",F3718="NEW"),"",INDEX(J$1:J3717,SUMPRODUCT(MAX(ROW(E$1:E3717)*(E3718=E$1:E3717)))))</f>
        <v> </v>
      </c>
      <c r="L3718" s="26"/>
    </row>
    <row r="3719" spans="1:12">
      <c r="A3719" s="20" t="s">
        <v>860</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1645</v>
      </c>
      <c r="E3720" s="21">
        <f>IF(D3720="?OLD","!!!","")</f>
        <v/>
      </c>
      <c r="F3720" s="22" t="str">
        <f>IF(OR(E3720="",E3720="!!!"),"",IF(NOT(ISNA(VLOOKUP(E3720,E$1:E3719,1,FALSE()))),"OLD",IF(AND(E3720&lt;&gt;"",E3720&lt;&gt;"!!!"),"NEW","")))</f>
        <v> </v>
      </c>
      <c r="G3720" s="23" t="str">
        <f>IF(OR(E3720="",E3720="!!!"),"",IF(OR(J3720=0,AND(J3720=1,K3720=1),AND(J3720=1,I3720="SBJ"),AND(J3720=1,I3720=0)),"?IN_FOCUS",IF(J3720&lt;=2,"?ACTIVATED",IF(J3720&lt;&gt;"","?FAMILIAR",IF(F3720="NEW",IF(ISNA(VLOOKUP(E3720,#REF!,1,FALSE())),"?TYPE_IDENTIFIABLE","?REFERENTIAL"),"_")))))</f>
        <v> </v>
      </c>
      <c r="H3720" s="24" t="str">
        <f>IF(J3720&lt;&gt;1,"",IF(I3720="SBJ","CB","?"))</f>
        <v> </v>
      </c>
      <c r="I3720" s="25" t="str">
        <f>IF(OR(E3720="",E3720="!!!",F3720="NEW"),"",INDEX(B3719:B$2,-1+SUMPRODUCT(MAX(ROW(E3719:E$2)*(E3720=E3719:E$2)))))</f>
        <v> </v>
      </c>
      <c r="J3720" s="25" t="str">
        <f>IF(OR(E3720="",E3720="!!!",F3720="NEW"),"",COUNTBLANK(OFFSET(A$1,,,SUMPRODUCT(MAX(ROW(E$2:E3720)*(E3720=E$2:E3720)))))-COUNTBLANK(OFFSET(A$1,,,SUMPRODUCT(MAX(ROW(E$1:E3719)*(E2=E$1:E3719))))))</f>
        <v> </v>
      </c>
      <c r="K3720" s="25" t="str">
        <f>IF(OR(E3720="",E3720="!!!",F3720="NEW"),"",INDEX(J$1:J3719,SUMPRODUCT(MAX(ROW(E$1:E3719)*(E3720=E$1:E3719)))))</f>
        <v> </v>
      </c>
      <c r="L3720" s="26"/>
    </row>
    <row r="3721" spans="1:12">
      <c r="A3721" s="20" t="s">
        <v>1646</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699</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row>
    <row r="3724" spans="1:12">
      <c r="A3724" s="20" t="s">
        <v>1647</v>
      </c>
    </row>
    <row r="3725" spans="1:12">
      <c r="A3725" s="20" t="s">
        <v>836</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837</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838</v>
      </c>
      <c r="B3727" s="27" t="s">
        <v>698</v>
      </c>
      <c r="C3727" s="27" t="s">
        <v>707</v>
      </c>
      <c r="D3727" s="27" t="s">
        <v>694</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725</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690</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t="s">
        <v>1648</v>
      </c>
      <c r="B3730" s="27" t="s">
        <v>692</v>
      </c>
      <c r="C3730" s="27" t="s">
        <v>693</v>
      </c>
      <c r="D3730" s="27" t="s">
        <v>694</v>
      </c>
      <c r="E3730" s="21">
        <f>IF(D3730="?OLD","!!!","")</f>
        <v/>
      </c>
      <c r="F3730" s="22" t="str">
        <f>IF(OR(E3730="",E3730="!!!"),"",IF(NOT(ISNA(VLOOKUP(E3730,E$1:E3729,1,FALSE()))),"OLD",IF(AND(E3730&lt;&gt;"",E3730&lt;&gt;"!!!"),"NEW","")))</f>
        <v> </v>
      </c>
      <c r="G3730" s="23" t="str">
        <f>IF(OR(E3730="",E3730="!!!"),"",IF(OR(J3730=0,AND(J3730=1,K3730=1),AND(J3730=1,I3730="SBJ"),AND(J3730=1,I3730=0)),"?IN_FOCUS",IF(J3730&lt;=2,"?ACTIVATED",IF(J3730&lt;&gt;"","?FAMILIAR",IF(F3730="NEW",IF(ISNA(VLOOKUP(E3730,#REF!,1,FALSE())),"?TYPE_IDENTIFIABLE","?REFERENTIAL"),"_")))))</f>
        <v> </v>
      </c>
      <c r="H3730" s="24" t="str">
        <f>IF(J3730&lt;&gt;1,"",IF(I3730="SBJ","CB","?"))</f>
        <v> </v>
      </c>
      <c r="I3730" s="25" t="str">
        <f>IF(OR(E3730="",E3730="!!!",F3730="NEW"),"",INDEX(B3729:B$2,-1+SUMPRODUCT(MAX(ROW(E3729:E$2)*(E3730=E3729:E$2)))))</f>
        <v> </v>
      </c>
      <c r="J3730" s="25" t="str">
        <f>IF(OR(E3730="",E3730="!!!",F3730="NEW"),"",COUNTBLANK(OFFSET(A$1,,,SUMPRODUCT(MAX(ROW(E$2:E3730)*(E3730=E$2:E3730)))))-COUNTBLANK(OFFSET(A$1,,,SUMPRODUCT(MAX(ROW(E$1:E3729)*(E2=E$1:E3729))))))</f>
        <v> </v>
      </c>
      <c r="K3730" s="25" t="str">
        <f>IF(OR(E3730="",E3730="!!!",F3730="NEW"),"",INDEX(J$1:J3729,SUMPRODUCT(MAX(ROW(E$1:E3729)*(E3730=E$1:E3729)))))</f>
        <v> </v>
      </c>
      <c r="L3730" s="26"/>
    </row>
    <row r="3731" spans="1:12">
      <c r="A3731" s="20" t="s">
        <v>690</v>
      </c>
      <c r="E3731" s="21">
        <f>IF(D3731="?OLD","!!!","")</f>
        <v/>
      </c>
      <c r="F3731" s="22" t="str">
        <f>IF(OR(E3731="",E3731="!!!"),"",IF(NOT(ISNA(VLOOKUP(E3731,E$1:E3730,1,FALSE()))),"OLD",IF(AND(E3731&lt;&gt;"",E3731&lt;&gt;"!!!"),"NEW","")))</f>
        <v> </v>
      </c>
      <c r="G3731" s="23" t="str">
        <f>IF(OR(E3731="",E3731="!!!"),"",IF(OR(J3731=0,AND(J3731=1,K3731=1),AND(J3731=1,I3731="SBJ"),AND(J3731=1,I3731=0)),"?IN_FOCUS",IF(J3731&lt;=2,"?ACTIVATED",IF(J3731&lt;&gt;"","?FAMILIAR",IF(F3731="NEW",IF(ISNA(VLOOKUP(E3731,#REF!,1,FALSE())),"?TYPE_IDENTIFIABLE","?REFERENTIAL"),"_")))))</f>
        <v> </v>
      </c>
      <c r="H3731" s="24" t="str">
        <f>IF(J3731&lt;&gt;1,"",IF(I3731="SBJ","CB","?"))</f>
        <v> </v>
      </c>
      <c r="I3731" s="25" t="str">
        <f>IF(OR(E3731="",E3731="!!!",F3731="NEW"),"",INDEX(B3730:B$2,-1+SUMPRODUCT(MAX(ROW(E3730:E$2)*(E3731=E3730:E$2)))))</f>
        <v> </v>
      </c>
      <c r="J3731" s="25" t="str">
        <f>IF(OR(E3731="",E3731="!!!",F3731="NEW"),"",COUNTBLANK(OFFSET(A$1,,,SUMPRODUCT(MAX(ROW(E$2:E3731)*(E3731=E$2:E3731)))))-COUNTBLANK(OFFSET(A$1,,,SUMPRODUCT(MAX(ROW(E$1:E3730)*(E2=E$1:E3730))))))</f>
        <v> </v>
      </c>
      <c r="K3731" s="25" t="str">
        <f>IF(OR(E3731="",E3731="!!!",F3731="NEW"),"",INDEX(J$1:J3730,SUMPRODUCT(MAX(ROW(E$1:E3730)*(E3731=E$1:E3730)))))</f>
        <v> </v>
      </c>
      <c r="L3731" s="26"/>
    </row>
    <row r="3732" spans="1:12">
      <c r="A3732" s="20" t="s">
        <v>742</v>
      </c>
      <c r="E3732" s="21">
        <f>IF(D3732="?OLD","!!!","")</f>
        <v/>
      </c>
      <c r="F3732" s="22" t="str">
        <f>IF(OR(E3732="",E3732="!!!"),"",IF(NOT(ISNA(VLOOKUP(E3732,E$1:E3731,1,FALSE()))),"OLD",IF(AND(E3732&lt;&gt;"",E3732&lt;&gt;"!!!"),"NEW","")))</f>
        <v> </v>
      </c>
      <c r="G3732" s="23" t="str">
        <f>IF(OR(E3732="",E3732="!!!"),"",IF(OR(J3732=0,AND(J3732=1,K3732=1),AND(J3732=1,I3732="SBJ"),AND(J3732=1,I3732=0)),"?IN_FOCUS",IF(J3732&lt;=2,"?ACTIVATED",IF(J3732&lt;&gt;"","?FAMILIAR",IF(F3732="NEW",IF(ISNA(VLOOKUP(E3732,#REF!,1,FALSE())),"?TYPE_IDENTIFIABLE","?REFERENTIAL"),"_")))))</f>
        <v> </v>
      </c>
      <c r="H3732" s="24" t="str">
        <f>IF(J3732&lt;&gt;1,"",IF(I3732="SBJ","CB","?"))</f>
        <v> </v>
      </c>
      <c r="I3732" s="25" t="str">
        <f>IF(OR(E3732="",E3732="!!!",F3732="NEW"),"",INDEX(B3731:B$2,-1+SUMPRODUCT(MAX(ROW(E3731:E$2)*(E3732=E3731:E$2)))))</f>
        <v> </v>
      </c>
      <c r="J3732" s="25" t="str">
        <f>IF(OR(E3732="",E3732="!!!",F3732="NEW"),"",COUNTBLANK(OFFSET(A$1,,,SUMPRODUCT(MAX(ROW(E$2:E3732)*(E3732=E$2:E3732)))))-COUNTBLANK(OFFSET(A$1,,,SUMPRODUCT(MAX(ROW(E$1:E3731)*(E2=E$1:E3731))))))</f>
        <v> </v>
      </c>
      <c r="K3732" s="25" t="str">
        <f>IF(OR(E3732="",E3732="!!!",F3732="NEW"),"",INDEX(J$1:J3731,SUMPRODUCT(MAX(ROW(E$1:E3731)*(E3732=E$1:E3731)))))</f>
        <v> </v>
      </c>
      <c r="L3732" s="26"/>
    </row>
    <row r="3733" spans="1:12">
      <c r="A3733" s="20" t="s">
        <v>1196</v>
      </c>
      <c r="E3733" s="21">
        <f>IF(D3733="?OLD","!!!","")</f>
        <v/>
      </c>
      <c r="F3733" s="22" t="str">
        <f>IF(OR(E3733="",E3733="!!!"),"",IF(NOT(ISNA(VLOOKUP(E3733,E$1:E3732,1,FALSE()))),"OLD",IF(AND(E3733&lt;&gt;"",E3733&lt;&gt;"!!!"),"NEW","")))</f>
        <v> </v>
      </c>
      <c r="G3733" s="23" t="str">
        <f>IF(OR(E3733="",E3733="!!!"),"",IF(OR(J3733=0,AND(J3733=1,K3733=1),AND(J3733=1,I3733="SBJ"),AND(J3733=1,I3733=0)),"?IN_FOCUS",IF(J3733&lt;=2,"?ACTIVATED",IF(J3733&lt;&gt;"","?FAMILIAR",IF(F3733="NEW",IF(ISNA(VLOOKUP(E3733,#REF!,1,FALSE())),"?TYPE_IDENTIFIABLE","?REFERENTIAL"),"_")))))</f>
        <v> </v>
      </c>
      <c r="H3733" s="24" t="str">
        <f>IF(J3733&lt;&gt;1,"",IF(I3733="SBJ","CB","?"))</f>
        <v> </v>
      </c>
      <c r="I3733" s="25" t="str">
        <f>IF(OR(E3733="",E3733="!!!",F3733="NEW"),"",INDEX(B3732:B$2,-1+SUMPRODUCT(MAX(ROW(E3732:E$2)*(E3733=E3732:E$2)))))</f>
        <v> </v>
      </c>
      <c r="J3733" s="25" t="str">
        <f>IF(OR(E3733="",E3733="!!!",F3733="NEW"),"",COUNTBLANK(OFFSET(A$1,,,SUMPRODUCT(MAX(ROW(E$2:E3733)*(E3733=E$2:E3733)))))-COUNTBLANK(OFFSET(A$1,,,SUMPRODUCT(MAX(ROW(E$1:E3732)*(E2=E$1:E3732))))))</f>
        <v> </v>
      </c>
      <c r="K3733" s="25" t="str">
        <f>IF(OR(E3733="",E3733="!!!",F3733="NEW"),"",INDEX(J$1:J3732,SUMPRODUCT(MAX(ROW(E$1:E3732)*(E3733=E$1:E3732)))))</f>
        <v> </v>
      </c>
      <c r="L3733" s="26"/>
    </row>
    <row r="3734" spans="1:12">
      <c r="A3734" s="20" t="s">
        <v>1649</v>
      </c>
      <c r="E3734" s="21">
        <f>IF(D3734="?OLD","!!!","")</f>
        <v/>
      </c>
      <c r="F3734" s="22" t="str">
        <f>IF(OR(E3734="",E3734="!!!"),"",IF(NOT(ISNA(VLOOKUP(E3734,E$1:E3733,1,FALSE()))),"OLD",IF(AND(E3734&lt;&gt;"",E3734&lt;&gt;"!!!"),"NEW","")))</f>
        <v> </v>
      </c>
      <c r="G3734" s="23" t="str">
        <f>IF(OR(E3734="",E3734="!!!"),"",IF(OR(J3734=0,AND(J3734=1,K3734=1),AND(J3734=1,I3734="SBJ"),AND(J3734=1,I3734=0)),"?IN_FOCUS",IF(J3734&lt;=2,"?ACTIVATED",IF(J3734&lt;&gt;"","?FAMILIAR",IF(F3734="NEW",IF(ISNA(VLOOKUP(E3734,#REF!,1,FALSE())),"?TYPE_IDENTIFIABLE","?REFERENTIAL"),"_")))))</f>
        <v> </v>
      </c>
      <c r="H3734" s="24" t="str">
        <f>IF(J3734&lt;&gt;1,"",IF(I3734="SBJ","CB","?"))</f>
        <v> </v>
      </c>
      <c r="I3734" s="25" t="str">
        <f>IF(OR(E3734="",E3734="!!!",F3734="NEW"),"",INDEX(B3733:B$2,-1+SUMPRODUCT(MAX(ROW(E3733:E$2)*(E3734=E3733:E$2)))))</f>
        <v> </v>
      </c>
      <c r="J3734" s="25" t="str">
        <f>IF(OR(E3734="",E3734="!!!",F3734="NEW"),"",COUNTBLANK(OFFSET(A$1,,,SUMPRODUCT(MAX(ROW(E$2:E3734)*(E3734=E$2:E3734)))))-COUNTBLANK(OFFSET(A$1,,,SUMPRODUCT(MAX(ROW(E$1:E3733)*(E2=E$1:E3733))))))</f>
        <v> </v>
      </c>
      <c r="K3734" s="25" t="str">
        <f>IF(OR(E3734="",E3734="!!!",F3734="NEW"),"",INDEX(J$1:J3733,SUMPRODUCT(MAX(ROW(E$1:E3733)*(E3734=E$1:E3733)))))</f>
        <v> </v>
      </c>
      <c r="L3734" s="26"/>
    </row>
    <row r="3735" spans="1:12">
      <c r="A3735" s="20" t="s">
        <v>1650</v>
      </c>
      <c r="E3735" s="21">
        <f>IF(D3735="?OLD","!!!","")</f>
        <v/>
      </c>
      <c r="F3735" s="22" t="str">
        <f>IF(OR(E3735="",E3735="!!!"),"",IF(NOT(ISNA(VLOOKUP(E3735,E$1:E3734,1,FALSE()))),"OLD",IF(AND(E3735&lt;&gt;"",E3735&lt;&gt;"!!!"),"NEW","")))</f>
        <v> </v>
      </c>
      <c r="G3735" s="23" t="str">
        <f>IF(OR(E3735="",E3735="!!!"),"",IF(OR(J3735=0,AND(J3735=1,K3735=1),AND(J3735=1,I3735="SBJ"),AND(J3735=1,I3735=0)),"?IN_FOCUS",IF(J3735&lt;=2,"?ACTIVATED",IF(J3735&lt;&gt;"","?FAMILIAR",IF(F3735="NEW",IF(ISNA(VLOOKUP(E3735,#REF!,1,FALSE())),"?TYPE_IDENTIFIABLE","?REFERENTIAL"),"_")))))</f>
        <v> </v>
      </c>
      <c r="H3735" s="24" t="str">
        <f>IF(J3735&lt;&gt;1,"",IF(I3735="SBJ","CB","?"))</f>
        <v> </v>
      </c>
      <c r="I3735" s="25" t="str">
        <f>IF(OR(E3735="",E3735="!!!",F3735="NEW"),"",INDEX(B3734:B$2,-1+SUMPRODUCT(MAX(ROW(E3734:E$2)*(E3735=E3734:E$2)))))</f>
        <v> </v>
      </c>
      <c r="J3735" s="25" t="str">
        <f>IF(OR(E3735="",E3735="!!!",F3735="NEW"),"",COUNTBLANK(OFFSET(A$1,,,SUMPRODUCT(MAX(ROW(E$2:E3735)*(E3735=E$2:E3735)))))-COUNTBLANK(OFFSET(A$1,,,SUMPRODUCT(MAX(ROW(E$1:E3734)*(E2=E$1:E3734))))))</f>
        <v> </v>
      </c>
      <c r="K3735" s="25" t="str">
        <f>IF(OR(E3735="",E3735="!!!",F3735="NEW"),"",INDEX(J$1:J3734,SUMPRODUCT(MAX(ROW(E$1:E3734)*(E3735=E$1:E3734)))))</f>
        <v> </v>
      </c>
      <c r="L3735" s="26"/>
    </row>
    <row r="3736" spans="1:12">
      <c r="A3736" s="20" t="s">
        <v>718</v>
      </c>
      <c r="E3736" s="21">
        <f>IF(D3736="?OLD","!!!","")</f>
        <v/>
      </c>
      <c r="F3736" s="22" t="str">
        <f>IF(OR(E3736="",E3736="!!!"),"",IF(NOT(ISNA(VLOOKUP(E3736,E$1:E3735,1,FALSE()))),"OLD",IF(AND(E3736&lt;&gt;"",E3736&lt;&gt;"!!!"),"NEW","")))</f>
        <v> </v>
      </c>
      <c r="G3736" s="23" t="str">
        <f>IF(OR(E3736="",E3736="!!!"),"",IF(OR(J3736=0,AND(J3736=1,K3736=1),AND(J3736=1,I3736="SBJ"),AND(J3736=1,I3736=0)),"?IN_FOCUS",IF(J3736&lt;=2,"?ACTIVATED",IF(J3736&lt;&gt;"","?FAMILIAR",IF(F3736="NEW",IF(ISNA(VLOOKUP(E3736,#REF!,1,FALSE())),"?TYPE_IDENTIFIABLE","?REFERENTIAL"),"_")))))</f>
        <v> </v>
      </c>
      <c r="H3736" s="24" t="str">
        <f>IF(J3736&lt;&gt;1,"",IF(I3736="SBJ","CB","?"))</f>
        <v> </v>
      </c>
      <c r="I3736" s="25" t="str">
        <f>IF(OR(E3736="",E3736="!!!",F3736="NEW"),"",INDEX(B3735:B$2,-1+SUMPRODUCT(MAX(ROW(E3735:E$2)*(E3736=E3735:E$2)))))</f>
        <v> </v>
      </c>
      <c r="J3736" s="25" t="str">
        <f>IF(OR(E3736="",E3736="!!!",F3736="NEW"),"",COUNTBLANK(OFFSET(A$1,,,SUMPRODUCT(MAX(ROW(E$2:E3736)*(E3736=E$2:E3736)))))-COUNTBLANK(OFFSET(A$1,,,SUMPRODUCT(MAX(ROW(E$1:E3735)*(E2=E$1:E3735))))))</f>
        <v> </v>
      </c>
      <c r="K3736" s="25" t="str">
        <f>IF(OR(E3736="",E3736="!!!",F3736="NEW"),"",INDEX(J$1:J3735,SUMPRODUCT(MAX(ROW(E$1:E3735)*(E3736=E$1:E3735)))))</f>
        <v> </v>
      </c>
      <c r="L3736" s="26"/>
    </row>
    <row r="3737" spans="1:12">
      <c r="A3737" s="20" t="s">
        <v>262</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t="s">
        <v>1489</v>
      </c>
      <c r="B3738" s="27" t="s">
        <v>755</v>
      </c>
      <c r="C3738" s="27" t="s">
        <v>788</v>
      </c>
      <c r="D3738" s="27" t="s">
        <v>694</v>
      </c>
      <c r="E3738" s="21">
        <f>IF(D3738="?OLD","!!!","")</f>
        <v/>
      </c>
      <c r="F3738" s="22" t="str">
        <f>IF(OR(E3738="",E3738="!!!"),"",IF(NOT(ISNA(VLOOKUP(E3738,E$1:E3737,1,FALSE()))),"OLD",IF(AND(E3738&lt;&gt;"",E3738&lt;&gt;"!!!"),"NEW","")))</f>
        <v> </v>
      </c>
      <c r="G3738" s="23" t="str">
        <f>IF(OR(E3738="",E3738="!!!"),"",IF(OR(J3738=0,AND(J3738=1,K3738=1),AND(J3738=1,I3738="SBJ"),AND(J3738=1,I3738=0)),"?IN_FOCUS",IF(J3738&lt;=2,"?ACTIVATED",IF(J3738&lt;&gt;"","?FAMILIAR",IF(F3738="NEW",IF(ISNA(VLOOKUP(E3738,#REF!,1,FALSE())),"?TYPE_IDENTIFIABLE","?REFERENTIAL"),"_")))))</f>
        <v> </v>
      </c>
      <c r="H3738" s="24" t="str">
        <f>IF(J3738&lt;&gt;1,"",IF(I3738="SBJ","CB","?"))</f>
        <v> </v>
      </c>
      <c r="I3738" s="25" t="str">
        <f>IF(OR(E3738="",E3738="!!!",F3738="NEW"),"",INDEX(B3737:B$2,-1+SUMPRODUCT(MAX(ROW(E3737:E$2)*(E3738=E3737:E$2)))))</f>
        <v> </v>
      </c>
      <c r="J3738" s="25" t="str">
        <f>IF(OR(E3738="",E3738="!!!",F3738="NEW"),"",COUNTBLANK(OFFSET(A$1,,,SUMPRODUCT(MAX(ROW(E$2:E3738)*(E3738=E$2:E3738)))))-COUNTBLANK(OFFSET(A$1,,,SUMPRODUCT(MAX(ROW(E$1:E3737)*(E2=E$1:E3737))))))</f>
        <v> </v>
      </c>
      <c r="K3738" s="25" t="str">
        <f>IF(OR(E3738="",E3738="!!!",F3738="NEW"),"",INDEX(J$1:J3737,SUMPRODUCT(MAX(ROW(E$1:E3737)*(E3738=E$1:E3737)))))</f>
        <v> </v>
      </c>
      <c r="L3738" s="26"/>
    </row>
    <row r="3739" spans="1:12">
      <c r="A3739" s="20" t="s">
        <v>814</v>
      </c>
      <c r="E3739" s="21">
        <f>IF(D3739="?OLD","!!!","")</f>
        <v/>
      </c>
      <c r="F3739" s="22" t="str">
        <f>IF(OR(E3739="",E3739="!!!"),"",IF(NOT(ISNA(VLOOKUP(E3739,E$1:E3738,1,FALSE()))),"OLD",IF(AND(E3739&lt;&gt;"",E3739&lt;&gt;"!!!"),"NEW","")))</f>
        <v> </v>
      </c>
      <c r="G3739" s="23" t="str">
        <f>IF(OR(E3739="",E3739="!!!"),"",IF(OR(J3739=0,AND(J3739=1,K3739=1),AND(J3739=1,I3739="SBJ"),AND(J3739=1,I3739=0)),"?IN_FOCUS",IF(J3739&lt;=2,"?ACTIVATED",IF(J3739&lt;&gt;"","?FAMILIAR",IF(F3739="NEW",IF(ISNA(VLOOKUP(E3739,#REF!,1,FALSE())),"?TYPE_IDENTIFIABLE","?REFERENTIAL"),"_")))))</f>
        <v> </v>
      </c>
      <c r="H3739" s="24" t="str">
        <f>IF(J3739&lt;&gt;1,"",IF(I3739="SBJ","CB","?"))</f>
        <v> </v>
      </c>
      <c r="I3739" s="25" t="str">
        <f>IF(OR(E3739="",E3739="!!!",F3739="NEW"),"",INDEX(B3738:B$2,-1+SUMPRODUCT(MAX(ROW(E3738:E$2)*(E3739=E3738:E$2)))))</f>
        <v> </v>
      </c>
      <c r="J3739" s="25" t="str">
        <f>IF(OR(E3739="",E3739="!!!",F3739="NEW"),"",COUNTBLANK(OFFSET(A$1,,,SUMPRODUCT(MAX(ROW(E$2:E3739)*(E3739=E$2:E3739)))))-COUNTBLANK(OFFSET(A$1,,,SUMPRODUCT(MAX(ROW(E$1:E3738)*(E2=E$1:E3738))))))</f>
        <v> </v>
      </c>
      <c r="K3739" s="25" t="str">
        <f>IF(OR(E3739="",E3739="!!!",F3739="NEW"),"",INDEX(J$1:J3738,SUMPRODUCT(MAX(ROW(E$1:E3738)*(E3739=E$1:E3738)))))</f>
        <v> </v>
      </c>
      <c r="L3739" s="26"/>
    </row>
    <row r="3740" spans="1:12">
      <c r="A3740" s="20" t="s">
        <v>826</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712</v>
      </c>
      <c r="B3741" s="27" t="s">
        <v>698</v>
      </c>
      <c r="C3741" s="27" t="s">
        <v>776</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t="s">
        <v>725</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809</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803</v>
      </c>
      <c r="B3744" s="27" t="s">
        <v>823</v>
      </c>
      <c r="C3744" s="27" t="s">
        <v>733</v>
      </c>
      <c r="D3744" s="27" t="s">
        <v>694</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887</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t="s">
        <v>803</v>
      </c>
      <c r="B3746" s="27" t="s">
        <v>762</v>
      </c>
      <c r="C3746" s="27" t="s">
        <v>733</v>
      </c>
      <c r="D3746" s="27" t="s">
        <v>694</v>
      </c>
      <c r="E3746" s="21">
        <f>IF(D3746="?OLD","!!!","")</f>
        <v/>
      </c>
      <c r="F3746" s="22" t="str">
        <f>IF(OR(E3746="",E3746="!!!"),"",IF(NOT(ISNA(VLOOKUP(E3746,E$1:E3745,1,FALSE()))),"OLD",IF(AND(E3746&lt;&gt;"",E3746&lt;&gt;"!!!"),"NEW","")))</f>
        <v> </v>
      </c>
      <c r="G3746" s="23" t="str">
        <f>IF(OR(E3746="",E3746="!!!"),"",IF(OR(J3746=0,AND(J3746=1,K3746=1),AND(J3746=1,I3746="SBJ"),AND(J3746=1,I3746=0)),"?IN_FOCUS",IF(J3746&lt;=2,"?ACTIVATED",IF(J3746&lt;&gt;"","?FAMILIAR",IF(F3746="NEW",IF(ISNA(VLOOKUP(E3746,#REF!,1,FALSE())),"?TYPE_IDENTIFIABLE","?REFERENTIAL"),"_")))))</f>
        <v> </v>
      </c>
      <c r="H3746" s="24" t="str">
        <f>IF(J3746&lt;&gt;1,"",IF(I3746="SBJ","CB","?"))</f>
        <v> </v>
      </c>
      <c r="I3746" s="25" t="str">
        <f>IF(OR(E3746="",E3746="!!!",F3746="NEW"),"",INDEX(B3745:B$2,-1+SUMPRODUCT(MAX(ROW(E3745:E$2)*(E3746=E3745:E$2)))))</f>
        <v> </v>
      </c>
      <c r="J3746" s="25" t="str">
        <f>IF(OR(E3746="",E3746="!!!",F3746="NEW"),"",COUNTBLANK(OFFSET(A$1,,,SUMPRODUCT(MAX(ROW(E$2:E3746)*(E3746=E$2:E3746)))))-COUNTBLANK(OFFSET(A$1,,,SUMPRODUCT(MAX(ROW(E$1:E3745)*(E2=E$1:E3745))))))</f>
        <v> </v>
      </c>
      <c r="K3746" s="25" t="str">
        <f>IF(OR(E3746="",E3746="!!!",F3746="NEW"),"",INDEX(J$1:J3745,SUMPRODUCT(MAX(ROW(E$1:E3745)*(E3746=E$1:E3745)))))</f>
        <v> </v>
      </c>
      <c r="L3746" s="26"/>
    </row>
    <row r="3747" spans="1:12">
      <c r="A3747" s="20" t="s">
        <v>1651</v>
      </c>
      <c r="E3747" s="21">
        <f>IF(D3747="?OLD","!!!","")</f>
        <v/>
      </c>
      <c r="F3747" s="22" t="str">
        <f>IF(OR(E3747="",E3747="!!!"),"",IF(NOT(ISNA(VLOOKUP(E3747,E$1:E3746,1,FALSE()))),"OLD",IF(AND(E3747&lt;&gt;"",E3747&lt;&gt;"!!!"),"NEW","")))</f>
        <v> </v>
      </c>
      <c r="G3747" s="23" t="str">
        <f>IF(OR(E3747="",E3747="!!!"),"",IF(OR(J3747=0,AND(J3747=1,K3747=1),AND(J3747=1,I3747="SBJ"),AND(J3747=1,I3747=0)),"?IN_FOCUS",IF(J3747&lt;=2,"?ACTIVATED",IF(J3747&lt;&gt;"","?FAMILIAR",IF(F3747="NEW",IF(ISNA(VLOOKUP(E3747,#REF!,1,FALSE())),"?TYPE_IDENTIFIABLE","?REFERENTIAL"),"_")))))</f>
        <v> </v>
      </c>
      <c r="H3747" s="24" t="str">
        <f>IF(J3747&lt;&gt;1,"",IF(I3747="SBJ","CB","?"))</f>
        <v> </v>
      </c>
      <c r="I3747" s="25" t="str">
        <f>IF(OR(E3747="",E3747="!!!",F3747="NEW"),"",INDEX(B3746:B$2,-1+SUMPRODUCT(MAX(ROW(E3746:E$2)*(E3747=E3746:E$2)))))</f>
        <v> </v>
      </c>
      <c r="J3747" s="25" t="str">
        <f>IF(OR(E3747="",E3747="!!!",F3747="NEW"),"",COUNTBLANK(OFFSET(A$1,,,SUMPRODUCT(MAX(ROW(E$2:E3747)*(E3747=E$2:E3747)))))-COUNTBLANK(OFFSET(A$1,,,SUMPRODUCT(MAX(ROW(E$1:E3746)*(E2=E$1:E3746))))))</f>
        <v> </v>
      </c>
      <c r="K3747" s="25" t="str">
        <f>IF(OR(E3747="",E3747="!!!",F3747="NEW"),"",INDEX(J$1:J3746,SUMPRODUCT(MAX(ROW(E$1:E3746)*(E3747=E$1:E3746)))))</f>
        <v> </v>
      </c>
      <c r="L3747" s="26"/>
    </row>
    <row r="3748" spans="1:12">
      <c r="A3748" s="20" t="s">
        <v>1652</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1041</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t="s">
        <v>718</v>
      </c>
      <c r="E3750" s="21">
        <f>IF(D3750="?OLD","!!!","")</f>
        <v/>
      </c>
      <c r="F3750" s="22" t="str">
        <f>IF(OR(E3750="",E3750="!!!"),"",IF(NOT(ISNA(VLOOKUP(E3750,E$1:E3749,1,FALSE()))),"OLD",IF(AND(E3750&lt;&gt;"",E3750&lt;&gt;"!!!"),"NEW","")))</f>
        <v> </v>
      </c>
      <c r="G3750" s="23" t="str">
        <f>IF(OR(E3750="",E3750="!!!"),"",IF(OR(J3750=0,AND(J3750=1,K3750=1),AND(J3750=1,I3750="SBJ"),AND(J3750=1,I3750=0)),"?IN_FOCUS",IF(J3750&lt;=2,"?ACTIVATED",IF(J3750&lt;&gt;"","?FAMILIAR",IF(F3750="NEW",IF(ISNA(VLOOKUP(E3750,#REF!,1,FALSE())),"?TYPE_IDENTIFIABLE","?REFERENTIAL"),"_")))))</f>
        <v> </v>
      </c>
      <c r="H3750" s="24" t="str">
        <f>IF(J3750&lt;&gt;1,"",IF(I3750="SBJ","CB","?"))</f>
        <v> </v>
      </c>
      <c r="I3750" s="25" t="str">
        <f>IF(OR(E3750="",E3750="!!!",F3750="NEW"),"",INDEX(B3749:B$2,-1+SUMPRODUCT(MAX(ROW(E3749:E$2)*(E3750=E3749:E$2)))))</f>
        <v> </v>
      </c>
      <c r="J3750" s="25" t="str">
        <f>IF(OR(E3750="",E3750="!!!",F3750="NEW"),"",COUNTBLANK(OFFSET(A$1,,,SUMPRODUCT(MAX(ROW(E$2:E3750)*(E3750=E$2:E3750)))))-COUNTBLANK(OFFSET(A$1,,,SUMPRODUCT(MAX(ROW(E$1:E3749)*(E2=E$1:E3749))))))</f>
        <v> </v>
      </c>
      <c r="K3750" s="25" t="str">
        <f>IF(OR(E3750="",E3750="!!!",F3750="NEW"),"",INDEX(J$1:J3749,SUMPRODUCT(MAX(ROW(E$1:E3749)*(E3750=E$1:E3749)))))</f>
        <v> </v>
      </c>
      <c r="L3750" s="26"/>
    </row>
    <row r="3751" spans="1:12">
      <c r="A3751" s="20" t="s">
        <v>598</v>
      </c>
      <c r="E3751" s="21">
        <f>IF(D3751="?OLD","!!!","")</f>
        <v/>
      </c>
      <c r="F3751" s="22" t="str">
        <f>IF(OR(E3751="",E3751="!!!"),"",IF(NOT(ISNA(VLOOKUP(E3751,E$1:E3750,1,FALSE()))),"OLD",IF(AND(E3751&lt;&gt;"",E3751&lt;&gt;"!!!"),"NEW","")))</f>
        <v> </v>
      </c>
      <c r="G3751" s="23" t="str">
        <f>IF(OR(E3751="",E3751="!!!"),"",IF(OR(J3751=0,AND(J3751=1,K3751=1),AND(J3751=1,I3751="SBJ"),AND(J3751=1,I3751=0)),"?IN_FOCUS",IF(J3751&lt;=2,"?ACTIVATED",IF(J3751&lt;&gt;"","?FAMILIAR",IF(F3751="NEW",IF(ISNA(VLOOKUP(E3751,#REF!,1,FALSE())),"?TYPE_IDENTIFIABLE","?REFERENTIAL"),"_")))))</f>
        <v> </v>
      </c>
      <c r="H3751" s="24" t="str">
        <f>IF(J3751&lt;&gt;1,"",IF(I3751="SBJ","CB","?"))</f>
        <v> </v>
      </c>
      <c r="I3751" s="25" t="str">
        <f>IF(OR(E3751="",E3751="!!!",F3751="NEW"),"",INDEX(B3750:B$2,-1+SUMPRODUCT(MAX(ROW(E3750:E$2)*(E3751=E3750:E$2)))))</f>
        <v> </v>
      </c>
      <c r="J3751" s="25" t="str">
        <f>IF(OR(E3751="",E3751="!!!",F3751="NEW"),"",COUNTBLANK(OFFSET(A$1,,,SUMPRODUCT(MAX(ROW(E$2:E3751)*(E3751=E$2:E3751)))))-COUNTBLANK(OFFSET(A$1,,,SUMPRODUCT(MAX(ROW(E$1:E3750)*(E2=E$1:E3750))))))</f>
        <v> </v>
      </c>
      <c r="K3751" s="25" t="str">
        <f>IF(OR(E3751="",E3751="!!!",F3751="NEW"),"",INDEX(J$1:J3750,SUMPRODUCT(MAX(ROW(E$1:E3750)*(E3751=E$1:E3750)))))</f>
        <v> </v>
      </c>
      <c r="L3751" s="26"/>
    </row>
    <row r="3752" spans="1:12">
      <c r="A3752" s="20" t="s">
        <v>699</v>
      </c>
      <c r="E3752" s="21">
        <f>IF(D3752="?OLD","!!!","")</f>
        <v/>
      </c>
      <c r="F3752" s="22" t="str">
        <f>IF(OR(E3752="",E3752="!!!"),"",IF(NOT(ISNA(VLOOKUP(E3752,E$1:E3751,1,FALSE()))),"OLD",IF(AND(E3752&lt;&gt;"",E3752&lt;&gt;"!!!"),"NEW","")))</f>
        <v> </v>
      </c>
      <c r="G3752" s="23" t="str">
        <f>IF(OR(E3752="",E3752="!!!"),"",IF(OR(J3752=0,AND(J3752=1,K3752=1),AND(J3752=1,I3752="SBJ"),AND(J3752=1,I3752=0)),"?IN_FOCUS",IF(J3752&lt;=2,"?ACTIVATED",IF(J3752&lt;&gt;"","?FAMILIAR",IF(F3752="NEW",IF(ISNA(VLOOKUP(E3752,#REF!,1,FALSE())),"?TYPE_IDENTIFIABLE","?REFERENTIAL"),"_")))))</f>
        <v> </v>
      </c>
      <c r="H3752" s="24" t="str">
        <f>IF(J3752&lt;&gt;1,"",IF(I3752="SBJ","CB","?"))</f>
        <v> </v>
      </c>
      <c r="I3752" s="25" t="str">
        <f>IF(OR(E3752="",E3752="!!!",F3752="NEW"),"",INDEX(B3751:B$2,-1+SUMPRODUCT(MAX(ROW(E3751:E$2)*(E3752=E3751:E$2)))))</f>
        <v> </v>
      </c>
      <c r="J3752" s="25" t="str">
        <f>IF(OR(E3752="",E3752="!!!",F3752="NEW"),"",COUNTBLANK(OFFSET(A$1,,,SUMPRODUCT(MAX(ROW(E$2:E3752)*(E3752=E$2:E3752)))))-COUNTBLANK(OFFSET(A$1,,,SUMPRODUCT(MAX(ROW(E$1:E3751)*(E2=E$1:E3751))))))</f>
        <v> </v>
      </c>
      <c r="K3752" s="25" t="str">
        <f>IF(OR(E3752="",E3752="!!!",F3752="NEW"),"",INDEX(J$1:J3751,SUMPRODUCT(MAX(ROW(E$1:E3751)*(E3752=E$1:E3751)))))</f>
        <v> </v>
      </c>
      <c r="L3752" s="26"/>
    </row>
    <row r="3753" spans="1:12">
      <c r="A3753" s="20"/>
    </row>
    <row r="3754" spans="1:12">
      <c r="A3754" s="20" t="s">
        <v>700</v>
      </c>
      <c r="E3754" s="21">
        <f>IF(D3754="?OLD","!!!","")</f>
        <v/>
      </c>
      <c r="F3754" s="22" t="str">
        <f>IF(OR(E3754="",E3754="!!!"),"",IF(NOT(ISNA(VLOOKUP(E3754,E$1:E3753,1,FALSE()))),"OLD",IF(AND(E3754&lt;&gt;"",E3754&lt;&gt;"!!!"),"NEW","")))</f>
        <v> </v>
      </c>
      <c r="G3754" s="23" t="str">
        <f>IF(OR(E3754="",E3754="!!!"),"",IF(OR(J3754=0,AND(J3754=1,K3754=1),AND(J3754=1,I3754="SBJ"),AND(J3754=1,I3754=0)),"?IN_FOCUS",IF(J3754&lt;=2,"?ACTIVATED",IF(J3754&lt;&gt;"","?FAMILIAR",IF(F3754="NEW",IF(ISNA(VLOOKUP(E3754,#REF!,1,FALSE())),"?TYPE_IDENTIFIABLE","?REFERENTIAL"),"_")))))</f>
        <v> </v>
      </c>
      <c r="H3754" s="24" t="str">
        <f>IF(J3754&lt;&gt;1,"",IF(I3754="SBJ","CB","?"))</f>
        <v> </v>
      </c>
      <c r="I3754" s="25" t="str">
        <f>IF(OR(E3754="",E3754="!!!",F3754="NEW"),"",INDEX(B3753:B$2,-1+SUMPRODUCT(MAX(ROW(E3753:E$2)*(E3754=E3753:E$2)))))</f>
        <v> </v>
      </c>
      <c r="J3754" s="25" t="str">
        <f>IF(OR(E3754="",E3754="!!!",F3754="NEW"),"",COUNTBLANK(OFFSET(A$1,,,SUMPRODUCT(MAX(ROW(E$2:E3754)*(E3754=E$2:E3754)))))-COUNTBLANK(OFFSET(A$1,,,SUMPRODUCT(MAX(ROW(E$1:E3753)*(E2=E$1:E3753))))))</f>
        <v> </v>
      </c>
      <c r="K3754" s="25" t="str">
        <f>IF(OR(E3754="",E3754="!!!",F3754="NEW"),"",INDEX(J$1:J3753,SUMPRODUCT(MAX(ROW(E$1:E3753)*(E3754=E$1:E3753)))))</f>
        <v> </v>
      </c>
      <c r="L3754" s="26"/>
    </row>
    <row r="3755" spans="1:12">
      <c r="A3755" s="20" t="s">
        <v>1653</v>
      </c>
    </row>
    <row r="3756" spans="1:12">
      <c r="A3756" s="20" t="s">
        <v>1039</v>
      </c>
      <c r="B3756" s="27" t="s">
        <v>692</v>
      </c>
      <c r="C3756" s="27" t="s">
        <v>707</v>
      </c>
      <c r="D3756" s="27" t="s">
        <v>694</v>
      </c>
      <c r="E3756" s="21">
        <f>IF(D3756="?OLD","!!!","")</f>
        <v/>
      </c>
      <c r="F3756" s="22" t="str">
        <f>IF(OR(E3756="",E3756="!!!"),"",IF(NOT(ISNA(VLOOKUP(E3756,E$1:E3755,1,FALSE()))),"OLD",IF(AND(E3756&lt;&gt;"",E3756&lt;&gt;"!!!"),"NEW","")))</f>
        <v> </v>
      </c>
      <c r="G3756" s="23" t="str">
        <f>IF(OR(E3756="",E3756="!!!"),"",IF(OR(J3756=0,AND(J3756=1,K3756=1),AND(J3756=1,I3756="SBJ"),AND(J3756=1,I3756=0)),"?IN_FOCUS",IF(J3756&lt;=2,"?ACTIVATED",IF(J3756&lt;&gt;"","?FAMILIAR",IF(F3756="NEW",IF(ISNA(VLOOKUP(E3756,#REF!,1,FALSE())),"?TYPE_IDENTIFIABLE","?REFERENTIAL"),"_")))))</f>
        <v> </v>
      </c>
      <c r="H3756" s="24" t="str">
        <f>IF(J3756&lt;&gt;1,"",IF(I3756="SBJ","CB","?"))</f>
        <v> </v>
      </c>
      <c r="I3756" s="25" t="str">
        <f>IF(OR(E3756="",E3756="!!!",F3756="NEW"),"",INDEX(B3755:B$2,-1+SUMPRODUCT(MAX(ROW(E3755:E$2)*(E3756=E3755:E$2)))))</f>
        <v> </v>
      </c>
      <c r="J3756" s="25" t="str">
        <f>IF(OR(E3756="",E3756="!!!",F3756="NEW"),"",COUNTBLANK(OFFSET(A$1,,,SUMPRODUCT(MAX(ROW(E$2:E3756)*(E3756=E$2:E3756)))))-COUNTBLANK(OFFSET(A$1,,,SUMPRODUCT(MAX(ROW(E$1:E3755)*(E2=E$1:E3755))))))</f>
        <v> </v>
      </c>
      <c r="K3756" s="25" t="str">
        <f>IF(OR(E3756="",E3756="!!!",F3756="NEW"),"",INDEX(J$1:J3755,SUMPRODUCT(MAX(ROW(E$1:E3755)*(E3756=E$1:E3755)))))</f>
        <v> </v>
      </c>
      <c r="L3756" s="26"/>
    </row>
    <row r="3757" spans="1:12">
      <c r="A3757" s="20" t="s">
        <v>704</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1654</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906</v>
      </c>
      <c r="B3759" s="27" t="s">
        <v>706</v>
      </c>
      <c r="C3759" s="27" t="s">
        <v>819</v>
      </c>
      <c r="D3759" s="27" t="s">
        <v>694</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t="s">
        <v>718</v>
      </c>
      <c r="E3760" s="21">
        <f>IF(D3760="?OLD","!!!","")</f>
        <v/>
      </c>
      <c r="F3760" s="22" t="str">
        <f>IF(OR(E3760="",E3760="!!!"),"",IF(NOT(ISNA(VLOOKUP(E3760,E$1:E3759,1,FALSE()))),"OLD",IF(AND(E3760&lt;&gt;"",E3760&lt;&gt;"!!!"),"NEW","")))</f>
        <v> </v>
      </c>
      <c r="G3760" s="23" t="str">
        <f>IF(OR(E3760="",E3760="!!!"),"",IF(OR(J3760=0,AND(J3760=1,K3760=1),AND(J3760=1,I3760="SBJ"),AND(J3760=1,I3760=0)),"?IN_FOCUS",IF(J3760&lt;=2,"?ACTIVATED",IF(J3760&lt;&gt;"","?FAMILIAR",IF(F3760="NEW",IF(ISNA(VLOOKUP(E3760,#REF!,1,FALSE())),"?TYPE_IDENTIFIABLE","?REFERENTIAL"),"_")))))</f>
        <v> </v>
      </c>
      <c r="H3760" s="24" t="str">
        <f>IF(J3760&lt;&gt;1,"",IF(I3760="SBJ","CB","?"))</f>
        <v> </v>
      </c>
      <c r="I3760" s="25" t="str">
        <f>IF(OR(E3760="",E3760="!!!",F3760="NEW"),"",INDEX(B3759:B$2,-1+SUMPRODUCT(MAX(ROW(E3759:E$2)*(E3760=E3759:E$2)))))</f>
        <v> </v>
      </c>
      <c r="J3760" s="25" t="str">
        <f>IF(OR(E3760="",E3760="!!!",F3760="NEW"),"",COUNTBLANK(OFFSET(A$1,,,SUMPRODUCT(MAX(ROW(E$2:E3760)*(E3760=E$2:E3760)))))-COUNTBLANK(OFFSET(A$1,,,SUMPRODUCT(MAX(ROW(E$1:E3759)*(E2=E$1:E3759))))))</f>
        <v> </v>
      </c>
      <c r="K3760" s="25" t="str">
        <f>IF(OR(E3760="",E3760="!!!",F3760="NEW"),"",INDEX(J$1:J3759,SUMPRODUCT(MAX(ROW(E$1:E3759)*(E3760=E$1:E3759)))))</f>
        <v> </v>
      </c>
      <c r="L3760" s="26"/>
    </row>
    <row r="3761" spans="1:12">
      <c r="A3761" s="20" t="s">
        <v>1180</v>
      </c>
      <c r="B3761" s="27" t="s">
        <v>698</v>
      </c>
      <c r="C3761" s="27" t="s">
        <v>716</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t="s">
        <v>696</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690</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t="s">
        <v>697</v>
      </c>
      <c r="B3764" s="27" t="s">
        <v>737</v>
      </c>
      <c r="C3764" s="27" t="s">
        <v>782</v>
      </c>
      <c r="D3764" s="27" t="s">
        <v>694</v>
      </c>
      <c r="E3764" s="21">
        <f>IF(D3764="?OLD","!!!","")</f>
        <v/>
      </c>
      <c r="F3764" s="22" t="str">
        <f>IF(OR(E3764="",E3764="!!!"),"",IF(NOT(ISNA(VLOOKUP(E3764,E$1:E3763,1,FALSE()))),"OLD",IF(AND(E3764&lt;&gt;"",E3764&lt;&gt;"!!!"),"NEW","")))</f>
        <v> </v>
      </c>
      <c r="G3764" s="23" t="str">
        <f>IF(OR(E3764="",E3764="!!!"),"",IF(OR(J3764=0,AND(J3764=1,K3764=1),AND(J3764=1,I3764="SBJ"),AND(J3764=1,I3764=0)),"?IN_FOCUS",IF(J3764&lt;=2,"?ACTIVATED",IF(J3764&lt;&gt;"","?FAMILIAR",IF(F3764="NEW",IF(ISNA(VLOOKUP(E3764,#REF!,1,FALSE())),"?TYPE_IDENTIFIABLE","?REFERENTIAL"),"_")))))</f>
        <v> </v>
      </c>
      <c r="H3764" s="24" t="str">
        <f>IF(J3764&lt;&gt;1,"",IF(I3764="SBJ","CB","?"))</f>
        <v> </v>
      </c>
      <c r="I3764" s="25" t="str">
        <f>IF(OR(E3764="",E3764="!!!",F3764="NEW"),"",INDEX(B3763:B$2,-1+SUMPRODUCT(MAX(ROW(E3763:E$2)*(E3764=E3763:E$2)))))</f>
        <v> </v>
      </c>
      <c r="J3764" s="25" t="str">
        <f>IF(OR(E3764="",E3764="!!!",F3764="NEW"),"",COUNTBLANK(OFFSET(A$1,,,SUMPRODUCT(MAX(ROW(E$2:E3764)*(E3764=E$2:E3764)))))-COUNTBLANK(OFFSET(A$1,,,SUMPRODUCT(MAX(ROW(E$1:E3763)*(E2=E$1:E3763))))))</f>
        <v> </v>
      </c>
      <c r="K3764" s="25" t="str">
        <f>IF(OR(E3764="",E3764="!!!",F3764="NEW"),"",INDEX(J$1:J3763,SUMPRODUCT(MAX(ROW(E$1:E3763)*(E3764=E$1:E3763)))))</f>
        <v> </v>
      </c>
      <c r="L3764" s="26"/>
    </row>
    <row r="3765" spans="1:12">
      <c r="A3765" s="20" t="s">
        <v>696</v>
      </c>
      <c r="E3765" s="21">
        <f>IF(D3765="?OLD","!!!","")</f>
        <v/>
      </c>
      <c r="F3765" s="22" t="str">
        <f>IF(OR(E3765="",E3765="!!!"),"",IF(NOT(ISNA(VLOOKUP(E3765,E$1:E3764,1,FALSE()))),"OLD",IF(AND(E3765&lt;&gt;"",E3765&lt;&gt;"!!!"),"NEW","")))</f>
        <v> </v>
      </c>
      <c r="G3765" s="23" t="str">
        <f>IF(OR(E3765="",E3765="!!!"),"",IF(OR(J3765=0,AND(J3765=1,K3765=1),AND(J3765=1,I3765="SBJ"),AND(J3765=1,I3765=0)),"?IN_FOCUS",IF(J3765&lt;=2,"?ACTIVATED",IF(J3765&lt;&gt;"","?FAMILIAR",IF(F3765="NEW",IF(ISNA(VLOOKUP(E3765,#REF!,1,FALSE())),"?TYPE_IDENTIFIABLE","?REFERENTIAL"),"_")))))</f>
        <v> </v>
      </c>
      <c r="H3765" s="24" t="str">
        <f>IF(J3765&lt;&gt;1,"",IF(I3765="SBJ","CB","?"))</f>
        <v> </v>
      </c>
      <c r="I3765" s="25" t="str">
        <f>IF(OR(E3765="",E3765="!!!",F3765="NEW"),"",INDEX(B3764:B$2,-1+SUMPRODUCT(MAX(ROW(E3764:E$2)*(E3765=E3764:E$2)))))</f>
        <v> </v>
      </c>
      <c r="J3765" s="25" t="str">
        <f>IF(OR(E3765="",E3765="!!!",F3765="NEW"),"",COUNTBLANK(OFFSET(A$1,,,SUMPRODUCT(MAX(ROW(E$2:E3765)*(E3765=E$2:E3765)))))-COUNTBLANK(OFFSET(A$1,,,SUMPRODUCT(MAX(ROW(E$1:E3764)*(E2=E$1:E3764))))))</f>
        <v> </v>
      </c>
      <c r="K3765" s="25" t="str">
        <f>IF(OR(E3765="",E3765="!!!",F3765="NEW"),"",INDEX(J$1:J3764,SUMPRODUCT(MAX(ROW(E$1:E3764)*(E3765=E$1:E3764)))))</f>
        <v> </v>
      </c>
      <c r="L3765" s="26"/>
    </row>
    <row r="3766" spans="1:12">
      <c r="A3766" s="20" t="s">
        <v>690</v>
      </c>
      <c r="E3766" s="21">
        <f>IF(D3766="?OLD","!!!","")</f>
        <v/>
      </c>
      <c r="F3766" s="22" t="str">
        <f>IF(OR(E3766="",E3766="!!!"),"",IF(NOT(ISNA(VLOOKUP(E3766,E$1:E3765,1,FALSE()))),"OLD",IF(AND(E3766&lt;&gt;"",E3766&lt;&gt;"!!!"),"NEW","")))</f>
        <v> </v>
      </c>
      <c r="G3766" s="23" t="str">
        <f>IF(OR(E3766="",E3766="!!!"),"",IF(OR(J3766=0,AND(J3766=1,K3766=1),AND(J3766=1,I3766="SBJ"),AND(J3766=1,I3766=0)),"?IN_FOCUS",IF(J3766&lt;=2,"?ACTIVATED",IF(J3766&lt;&gt;"","?FAMILIAR",IF(F3766="NEW",IF(ISNA(VLOOKUP(E3766,#REF!,1,FALSE())),"?TYPE_IDENTIFIABLE","?REFERENTIAL"),"_")))))</f>
        <v> </v>
      </c>
      <c r="H3766" s="24" t="str">
        <f>IF(J3766&lt;&gt;1,"",IF(I3766="SBJ","CB","?"))</f>
        <v> </v>
      </c>
      <c r="I3766" s="25" t="str">
        <f>IF(OR(E3766="",E3766="!!!",F3766="NEW"),"",INDEX(B3765:B$2,-1+SUMPRODUCT(MAX(ROW(E3765:E$2)*(E3766=E3765:E$2)))))</f>
        <v> </v>
      </c>
      <c r="J3766" s="25" t="str">
        <f>IF(OR(E3766="",E3766="!!!",F3766="NEW"),"",COUNTBLANK(OFFSET(A$1,,,SUMPRODUCT(MAX(ROW(E$2:E3766)*(E3766=E$2:E3766)))))-COUNTBLANK(OFFSET(A$1,,,SUMPRODUCT(MAX(ROW(E$1:E3765)*(E2=E$1:E3765))))))</f>
        <v> </v>
      </c>
      <c r="K3766" s="25" t="str">
        <f>IF(OR(E3766="",E3766="!!!",F3766="NEW"),"",INDEX(J$1:J3765,SUMPRODUCT(MAX(ROW(E$1:E3765)*(E3766=E$1:E3765)))))</f>
        <v> </v>
      </c>
      <c r="L3766" s="26"/>
    </row>
    <row r="3767" spans="1:12">
      <c r="A3767" s="20" t="s">
        <v>730</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838</v>
      </c>
      <c r="B3768" s="27" t="s">
        <v>755</v>
      </c>
      <c r="C3768" s="27" t="s">
        <v>707</v>
      </c>
      <c r="D3768" s="27" t="s">
        <v>694</v>
      </c>
      <c r="E3768" s="21">
        <f>IF(D3768="?OLD","!!!","")</f>
        <v/>
      </c>
      <c r="F3768" s="22" t="str">
        <f>IF(OR(E3768="",E3768="!!!"),"",IF(NOT(ISNA(VLOOKUP(E3768,E$1:E3767,1,FALSE()))),"OLD",IF(AND(E3768&lt;&gt;"",E3768&lt;&gt;"!!!"),"NEW","")))</f>
        <v> </v>
      </c>
      <c r="G3768" s="23" t="str">
        <f>IF(OR(E3768="",E3768="!!!"),"",IF(OR(J3768=0,AND(J3768=1,K3768=1),AND(J3768=1,I3768="SBJ"),AND(J3768=1,I3768=0)),"?IN_FOCUS",IF(J3768&lt;=2,"?ACTIVATED",IF(J3768&lt;&gt;"","?FAMILIAR",IF(F3768="NEW",IF(ISNA(VLOOKUP(E3768,#REF!,1,FALSE())),"?TYPE_IDENTIFIABLE","?REFERENTIAL"),"_")))))</f>
        <v> </v>
      </c>
      <c r="H3768" s="24" t="str">
        <f>IF(J3768&lt;&gt;1,"",IF(I3768="SBJ","CB","?"))</f>
        <v> </v>
      </c>
      <c r="I3768" s="25" t="str">
        <f>IF(OR(E3768="",E3768="!!!",F3768="NEW"),"",INDEX(B3767:B$2,-1+SUMPRODUCT(MAX(ROW(E3767:E$2)*(E3768=E3767:E$2)))))</f>
        <v> </v>
      </c>
      <c r="J3768" s="25" t="str">
        <f>IF(OR(E3768="",E3768="!!!",F3768="NEW"),"",COUNTBLANK(OFFSET(A$1,,,SUMPRODUCT(MAX(ROW(E$2:E3768)*(E3768=E$2:E3768)))))-COUNTBLANK(OFFSET(A$1,,,SUMPRODUCT(MAX(ROW(E$1:E3767)*(E2=E$1:E3767))))))</f>
        <v> </v>
      </c>
      <c r="K3768" s="25" t="str">
        <f>IF(OR(E3768="",E3768="!!!",F3768="NEW"),"",INDEX(J$1:J3767,SUMPRODUCT(MAX(ROW(E$1:E3767)*(E3768=E$1:E3767)))))</f>
        <v> </v>
      </c>
      <c r="L3768" s="26"/>
    </row>
    <row r="3769" spans="1:12">
      <c r="A3769" s="20" t="s">
        <v>696</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829</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249</v>
      </c>
      <c r="B3771" s="27" t="s">
        <v>755</v>
      </c>
      <c r="C3771" s="27" t="s">
        <v>693</v>
      </c>
      <c r="D3771" s="27" t="s">
        <v>694</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730</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699</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row>
    <row r="3775" spans="1:12">
      <c r="A3775" s="20" t="s">
        <v>1655</v>
      </c>
    </row>
    <row r="3776" spans="1:12">
      <c r="A3776" s="20" t="s">
        <v>1577</v>
      </c>
      <c r="E3776" s="21">
        <f>IF(D3776="?OLD","!!!","")</f>
        <v/>
      </c>
      <c r="F3776" s="22" t="str">
        <f>IF(OR(E3776="",E3776="!!!"),"",IF(NOT(ISNA(VLOOKUP(E3776,E$1:E3775,1,FALSE()))),"OLD",IF(AND(E3776&lt;&gt;"",E3776&lt;&gt;"!!!"),"NEW","")))</f>
        <v> </v>
      </c>
      <c r="G3776" s="23" t="str">
        <f>IF(OR(E3776="",E3776="!!!"),"",IF(OR(J3776=0,AND(J3776=1,K3776=1),AND(J3776=1,I3776="SBJ"),AND(J3776=1,I3776=0)),"?IN_FOCUS",IF(J3776&lt;=2,"?ACTIVATED",IF(J3776&lt;&gt;"","?FAMILIAR",IF(F3776="NEW",IF(ISNA(VLOOKUP(E3776,#REF!,1,FALSE())),"?TYPE_IDENTIFIABLE","?REFERENTIAL"),"_")))))</f>
        <v> </v>
      </c>
      <c r="H3776" s="24" t="str">
        <f>IF(J3776&lt;&gt;1,"",IF(I3776="SBJ","CB","?"))</f>
        <v> </v>
      </c>
      <c r="I3776" s="25" t="str">
        <f>IF(OR(E3776="",E3776="!!!",F3776="NEW"),"",INDEX(B3775:B$2,-1+SUMPRODUCT(MAX(ROW(E3775:E$2)*(E3776=E3775:E$2)))))</f>
        <v> </v>
      </c>
      <c r="J3776" s="25" t="str">
        <f>IF(OR(E3776="",E3776="!!!",F3776="NEW"),"",COUNTBLANK(OFFSET(A$1,,,SUMPRODUCT(MAX(ROW(E$2:E3776)*(E3776=E$2:E3776)))))-COUNTBLANK(OFFSET(A$1,,,SUMPRODUCT(MAX(ROW(E$1:E3775)*(E2=E$1:E3775))))))</f>
        <v> </v>
      </c>
      <c r="K3776" s="25" t="str">
        <f>IF(OR(E3776="",E3776="!!!",F3776="NEW"),"",INDEX(J$1:J3775,SUMPRODUCT(MAX(ROW(E$1:E3775)*(E3776=E$1:E3775)))))</f>
        <v> </v>
      </c>
      <c r="L3776" s="26"/>
    </row>
    <row r="3777" spans="1:12">
      <c r="A3777" s="20" t="s">
        <v>803</v>
      </c>
      <c r="B3777" s="27" t="s">
        <v>762</v>
      </c>
      <c r="C3777" s="27" t="s">
        <v>733</v>
      </c>
      <c r="D3777" s="27" t="s">
        <v>694</v>
      </c>
      <c r="E3777" s="21">
        <f>IF(D3777="?OLD","!!!","")</f>
        <v/>
      </c>
      <c r="F3777" s="22" t="str">
        <f>IF(OR(E3777="",E3777="!!!"),"",IF(NOT(ISNA(VLOOKUP(E3777,E$1:E3776,1,FALSE()))),"OLD",IF(AND(E3777&lt;&gt;"",E3777&lt;&gt;"!!!"),"NEW","")))</f>
        <v> </v>
      </c>
      <c r="G3777" s="23" t="str">
        <f>IF(OR(E3777="",E3777="!!!"),"",IF(OR(J3777=0,AND(J3777=1,K3777=1),AND(J3777=1,I3777="SBJ"),AND(J3777=1,I3777=0)),"?IN_FOCUS",IF(J3777&lt;=2,"?ACTIVATED",IF(J3777&lt;&gt;"","?FAMILIAR",IF(F3777="NEW",IF(ISNA(VLOOKUP(E3777,#REF!,1,FALSE())),"?TYPE_IDENTIFIABLE","?REFERENTIAL"),"_")))))</f>
        <v> </v>
      </c>
      <c r="H3777" s="24" t="str">
        <f>IF(J3777&lt;&gt;1,"",IF(I3777="SBJ","CB","?"))</f>
        <v> </v>
      </c>
      <c r="I3777" s="25" t="str">
        <f>IF(OR(E3777="",E3777="!!!",F3777="NEW"),"",INDEX(B3776:B$2,-1+SUMPRODUCT(MAX(ROW(E3776:E$2)*(E3777=E3776:E$2)))))</f>
        <v> </v>
      </c>
      <c r="J3777" s="25" t="str">
        <f>IF(OR(E3777="",E3777="!!!",F3777="NEW"),"",COUNTBLANK(OFFSET(A$1,,,SUMPRODUCT(MAX(ROW(E$2:E3777)*(E3777=E$2:E3777)))))-COUNTBLANK(OFFSET(A$1,,,SUMPRODUCT(MAX(ROW(E$1:E3776)*(E2=E$1:E3776))))))</f>
        <v> </v>
      </c>
      <c r="K3777" s="25" t="str">
        <f>IF(OR(E3777="",E3777="!!!",F3777="NEW"),"",INDEX(J$1:J3776,SUMPRODUCT(MAX(ROW(E$1:E3776)*(E3777=E$1:E3776)))))</f>
        <v> </v>
      </c>
      <c r="L3777" s="26"/>
    </row>
    <row r="3778" spans="1:12">
      <c r="A3778" s="20" t="s">
        <v>1656</v>
      </c>
      <c r="E3778" s="21">
        <f>IF(D3778="?OLD","!!!","")</f>
        <v/>
      </c>
      <c r="F3778" s="22" t="str">
        <f>IF(OR(E3778="",E3778="!!!"),"",IF(NOT(ISNA(VLOOKUP(E3778,E$1:E3777,1,FALSE()))),"OLD",IF(AND(E3778&lt;&gt;"",E3778&lt;&gt;"!!!"),"NEW","")))</f>
        <v> </v>
      </c>
      <c r="G3778" s="23" t="str">
        <f>IF(OR(E3778="",E3778="!!!"),"",IF(OR(J3778=0,AND(J3778=1,K3778=1),AND(J3778=1,I3778="SBJ"),AND(J3778=1,I3778=0)),"?IN_FOCUS",IF(J3778&lt;=2,"?ACTIVATED",IF(J3778&lt;&gt;"","?FAMILIAR",IF(F3778="NEW",IF(ISNA(VLOOKUP(E3778,#REF!,1,FALSE())),"?TYPE_IDENTIFIABLE","?REFERENTIAL"),"_")))))</f>
        <v> </v>
      </c>
      <c r="H3778" s="24" t="str">
        <f>IF(J3778&lt;&gt;1,"",IF(I3778="SBJ","CB","?"))</f>
        <v> </v>
      </c>
      <c r="I3778" s="25" t="str">
        <f>IF(OR(E3778="",E3778="!!!",F3778="NEW"),"",INDEX(B3777:B$2,-1+SUMPRODUCT(MAX(ROW(E3777:E$2)*(E3778=E3777:E$2)))))</f>
        <v> </v>
      </c>
      <c r="J3778" s="25" t="str">
        <f>IF(OR(E3778="",E3778="!!!",F3778="NEW"),"",COUNTBLANK(OFFSET(A$1,,,SUMPRODUCT(MAX(ROW(E$2:E3778)*(E3778=E$2:E3778)))))-COUNTBLANK(OFFSET(A$1,,,SUMPRODUCT(MAX(ROW(E$1:E3777)*(E2=E$1:E3777))))))</f>
        <v> </v>
      </c>
      <c r="K3778" s="25" t="str">
        <f>IF(OR(E3778="",E3778="!!!",F3778="NEW"),"",INDEX(J$1:J3777,SUMPRODUCT(MAX(ROW(E$1:E3777)*(E3778=E$1:E3777)))))</f>
        <v> </v>
      </c>
      <c r="L3778" s="26"/>
    </row>
    <row r="3779" spans="1:12">
      <c r="A3779" s="20" t="s">
        <v>1110</v>
      </c>
      <c r="E3779" s="21">
        <f>IF(D3779="?OLD","!!!","")</f>
        <v/>
      </c>
      <c r="F3779" s="22" t="str">
        <f>IF(OR(E3779="",E3779="!!!"),"",IF(NOT(ISNA(VLOOKUP(E3779,E$1:E3778,1,FALSE()))),"OLD",IF(AND(E3779&lt;&gt;"",E3779&lt;&gt;"!!!"),"NEW","")))</f>
        <v> </v>
      </c>
      <c r="G3779" s="23" t="str">
        <f>IF(OR(E3779="",E3779="!!!"),"",IF(OR(J3779=0,AND(J3779=1,K3779=1),AND(J3779=1,I3779="SBJ"),AND(J3779=1,I3779=0)),"?IN_FOCUS",IF(J3779&lt;=2,"?ACTIVATED",IF(J3779&lt;&gt;"","?FAMILIAR",IF(F3779="NEW",IF(ISNA(VLOOKUP(E3779,#REF!,1,FALSE())),"?TYPE_IDENTIFIABLE","?REFERENTIAL"),"_")))))</f>
        <v> </v>
      </c>
      <c r="H3779" s="24" t="str">
        <f>IF(J3779&lt;&gt;1,"",IF(I3779="SBJ","CB","?"))</f>
        <v> </v>
      </c>
      <c r="I3779" s="25" t="str">
        <f>IF(OR(E3779="",E3779="!!!",F3779="NEW"),"",INDEX(B3778:B$2,-1+SUMPRODUCT(MAX(ROW(E3778:E$2)*(E3779=E3778:E$2)))))</f>
        <v> </v>
      </c>
      <c r="J3779" s="25" t="str">
        <f>IF(OR(E3779="",E3779="!!!",F3779="NEW"),"",COUNTBLANK(OFFSET(A$1,,,SUMPRODUCT(MAX(ROW(E$2:E3779)*(E3779=E$2:E3779)))))-COUNTBLANK(OFFSET(A$1,,,SUMPRODUCT(MAX(ROW(E$1:E3778)*(E2=E$1:E3778))))))</f>
        <v> </v>
      </c>
      <c r="K3779" s="25" t="str">
        <f>IF(OR(E3779="",E3779="!!!",F3779="NEW"),"",INDEX(J$1:J3778,SUMPRODUCT(MAX(ROW(E$1:E3778)*(E3779=E$1:E3778)))))</f>
        <v> </v>
      </c>
      <c r="L3779" s="26"/>
    </row>
    <row r="3780" spans="1:12">
      <c r="A3780" s="20" t="s">
        <v>690</v>
      </c>
      <c r="E3780" s="21">
        <f>IF(D3780="?OLD","!!!","")</f>
        <v/>
      </c>
      <c r="F3780" s="22" t="str">
        <f>IF(OR(E3780="",E3780="!!!"),"",IF(NOT(ISNA(VLOOKUP(E3780,E$1:E3779,1,FALSE()))),"OLD",IF(AND(E3780&lt;&gt;"",E3780&lt;&gt;"!!!"),"NEW","")))</f>
        <v> </v>
      </c>
      <c r="G3780" s="23" t="str">
        <f>IF(OR(E3780="",E3780="!!!"),"",IF(OR(J3780=0,AND(J3780=1,K3780=1),AND(J3780=1,I3780="SBJ"),AND(J3780=1,I3780=0)),"?IN_FOCUS",IF(J3780&lt;=2,"?ACTIVATED",IF(J3780&lt;&gt;"","?FAMILIAR",IF(F3780="NEW",IF(ISNA(VLOOKUP(E3780,#REF!,1,FALSE())),"?TYPE_IDENTIFIABLE","?REFERENTIAL"),"_")))))</f>
        <v> </v>
      </c>
      <c r="H3780" s="24" t="str">
        <f>IF(J3780&lt;&gt;1,"",IF(I3780="SBJ","CB","?"))</f>
        <v> </v>
      </c>
      <c r="I3780" s="25" t="str">
        <f>IF(OR(E3780="",E3780="!!!",F3780="NEW"),"",INDEX(B3779:B$2,-1+SUMPRODUCT(MAX(ROW(E3779:E$2)*(E3780=E3779:E$2)))))</f>
        <v> </v>
      </c>
      <c r="J3780" s="25" t="str">
        <f>IF(OR(E3780="",E3780="!!!",F3780="NEW"),"",COUNTBLANK(OFFSET(A$1,,,SUMPRODUCT(MAX(ROW(E$2:E3780)*(E3780=E$2:E3780)))))-COUNTBLANK(OFFSET(A$1,,,SUMPRODUCT(MAX(ROW(E$1:E3779)*(E2=E$1:E3779))))))</f>
        <v> </v>
      </c>
      <c r="K3780" s="25" t="str">
        <f>IF(OR(E3780="",E3780="!!!",F3780="NEW"),"",INDEX(J$1:J3779,SUMPRODUCT(MAX(ROW(E$1:E3779)*(E3780=E$1:E3779)))))</f>
        <v> </v>
      </c>
      <c r="L3780" s="26"/>
    </row>
    <row r="3781" spans="1:12">
      <c r="A3781" s="20" t="s">
        <v>697</v>
      </c>
      <c r="B3781" s="27" t="s">
        <v>692</v>
      </c>
      <c r="C3781" s="27" t="s">
        <v>693</v>
      </c>
      <c r="D3781" s="27" t="s">
        <v>694</v>
      </c>
      <c r="E3781" s="21">
        <f>IF(D3781="?OLD","!!!","")</f>
        <v/>
      </c>
      <c r="F3781" s="22" t="str">
        <f>IF(OR(E3781="",E3781="!!!"),"",IF(NOT(ISNA(VLOOKUP(E3781,E$1:E3780,1,FALSE()))),"OLD",IF(AND(E3781&lt;&gt;"",E3781&lt;&gt;"!!!"),"NEW","")))</f>
        <v> </v>
      </c>
      <c r="G3781" s="23" t="str">
        <f>IF(OR(E3781="",E3781="!!!"),"",IF(OR(J3781=0,AND(J3781=1,K3781=1),AND(J3781=1,I3781="SBJ"),AND(J3781=1,I3781=0)),"?IN_FOCUS",IF(J3781&lt;=2,"?ACTIVATED",IF(J3781&lt;&gt;"","?FAMILIAR",IF(F3781="NEW",IF(ISNA(VLOOKUP(E3781,#REF!,1,FALSE())),"?TYPE_IDENTIFIABLE","?REFERENTIAL"),"_")))))</f>
        <v> </v>
      </c>
      <c r="H3781" s="24" t="str">
        <f>IF(J3781&lt;&gt;1,"",IF(I3781="SBJ","CB","?"))</f>
        <v> </v>
      </c>
      <c r="I3781" s="25" t="str">
        <f>IF(OR(E3781="",E3781="!!!",F3781="NEW"),"",INDEX(B3780:B$2,-1+SUMPRODUCT(MAX(ROW(E3780:E$2)*(E3781=E3780:E$2)))))</f>
        <v> </v>
      </c>
      <c r="J3781" s="25" t="str">
        <f>IF(OR(E3781="",E3781="!!!",F3781="NEW"),"",COUNTBLANK(OFFSET(A$1,,,SUMPRODUCT(MAX(ROW(E$2:E3781)*(E3781=E$2:E3781)))))-COUNTBLANK(OFFSET(A$1,,,SUMPRODUCT(MAX(ROW(E$1:E3780)*(E2=E$1:E3780))))))</f>
        <v> </v>
      </c>
      <c r="K3781" s="25" t="str">
        <f>IF(OR(E3781="",E3781="!!!",F3781="NEW"),"",INDEX(J$1:J3780,SUMPRODUCT(MAX(ROW(E$1:E3780)*(E3781=E$1:E3780)))))</f>
        <v> </v>
      </c>
      <c r="L3781" s="26"/>
    </row>
    <row r="3782" spans="1:12">
      <c r="A3782" s="20" t="s">
        <v>1657</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t="s">
        <v>739</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1658</v>
      </c>
      <c r="B3784" s="27" t="s">
        <v>698</v>
      </c>
      <c r="C3784" s="27" t="s">
        <v>716</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696</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t="s">
        <v>721</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t="s">
        <v>1659</v>
      </c>
      <c r="B3787" s="27" t="s">
        <v>737</v>
      </c>
      <c r="C3787" s="27" t="s">
        <v>693</v>
      </c>
      <c r="D3787" s="27" t="s">
        <v>694</v>
      </c>
      <c r="E3787" s="21">
        <f>IF(D3787="?OLD","!!!","")</f>
        <v/>
      </c>
      <c r="F3787" s="22" t="str">
        <f>IF(OR(E3787="",E3787="!!!"),"",IF(NOT(ISNA(VLOOKUP(E3787,E$1:E3786,1,FALSE()))),"OLD",IF(AND(E3787&lt;&gt;"",E3787&lt;&gt;"!!!"),"NEW","")))</f>
        <v> </v>
      </c>
      <c r="G3787" s="23" t="str">
        <f>IF(OR(E3787="",E3787="!!!"),"",IF(OR(J3787=0,AND(J3787=1,K3787=1),AND(J3787=1,I3787="SBJ"),AND(J3787=1,I3787=0)),"?IN_FOCUS",IF(J3787&lt;=2,"?ACTIVATED",IF(J3787&lt;&gt;"","?FAMILIAR",IF(F3787="NEW",IF(ISNA(VLOOKUP(E3787,#REF!,1,FALSE())),"?TYPE_IDENTIFIABLE","?REFERENTIAL"),"_")))))</f>
        <v> </v>
      </c>
      <c r="H3787" s="24" t="str">
        <f>IF(J3787&lt;&gt;1,"",IF(I3787="SBJ","CB","?"))</f>
        <v> </v>
      </c>
      <c r="I3787" s="25" t="str">
        <f>IF(OR(E3787="",E3787="!!!",F3787="NEW"),"",INDEX(B3786:B$2,-1+SUMPRODUCT(MAX(ROW(E3786:E$2)*(E3787=E3786:E$2)))))</f>
        <v> </v>
      </c>
      <c r="J3787" s="25" t="str">
        <f>IF(OR(E3787="",E3787="!!!",F3787="NEW"),"",COUNTBLANK(OFFSET(A$1,,,SUMPRODUCT(MAX(ROW(E$2:E3787)*(E3787=E$2:E3787)))))-COUNTBLANK(OFFSET(A$1,,,SUMPRODUCT(MAX(ROW(E$1:E3786)*(E2=E$1:E3786))))))</f>
        <v> </v>
      </c>
      <c r="K3787" s="25" t="str">
        <f>IF(OR(E3787="",E3787="!!!",F3787="NEW"),"",INDEX(J$1:J3786,SUMPRODUCT(MAX(ROW(E$1:E3786)*(E3787=E$1:E3786)))))</f>
        <v> </v>
      </c>
      <c r="L3787" s="26"/>
    </row>
    <row r="3788" spans="1:12">
      <c r="A3788" s="20" t="s">
        <v>699</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row>
    <row r="3790" spans="1:12">
      <c r="A3790" s="20" t="s">
        <v>1660</v>
      </c>
    </row>
    <row r="3791" spans="1:12">
      <c r="A3791" s="20" t="s">
        <v>868</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t="s">
        <v>738</v>
      </c>
      <c r="B3792" s="27" t="s">
        <v>692</v>
      </c>
      <c r="C3792" s="27" t="s">
        <v>733</v>
      </c>
      <c r="D3792" s="27" t="s">
        <v>694</v>
      </c>
      <c r="E3792" s="21">
        <f>IF(D3792="?OLD","!!!","")</f>
        <v/>
      </c>
      <c r="F3792" s="22" t="str">
        <f>IF(OR(E3792="",E3792="!!!"),"",IF(NOT(ISNA(VLOOKUP(E3792,E$1:E3791,1,FALSE()))),"OLD",IF(AND(E3792&lt;&gt;"",E3792&lt;&gt;"!!!"),"NEW","")))</f>
        <v> </v>
      </c>
      <c r="G3792" s="23" t="str">
        <f>IF(OR(E3792="",E3792="!!!"),"",IF(OR(J3792=0,AND(J3792=1,K3792=1),AND(J3792=1,I3792="SBJ"),AND(J3792=1,I3792=0)),"?IN_FOCUS",IF(J3792&lt;=2,"?ACTIVATED",IF(J3792&lt;&gt;"","?FAMILIAR",IF(F3792="NEW",IF(ISNA(VLOOKUP(E3792,#REF!,1,FALSE())),"?TYPE_IDENTIFIABLE","?REFERENTIAL"),"_")))))</f>
        <v> </v>
      </c>
      <c r="H3792" s="24" t="str">
        <f>IF(J3792&lt;&gt;1,"",IF(I3792="SBJ","CB","?"))</f>
        <v> </v>
      </c>
      <c r="I3792" s="25" t="str">
        <f>IF(OR(E3792="",E3792="!!!",F3792="NEW"),"",INDEX(B3791:B$2,-1+SUMPRODUCT(MAX(ROW(E3791:E$2)*(E3792=E3791:E$2)))))</f>
        <v> </v>
      </c>
      <c r="J3792" s="25" t="str">
        <f>IF(OR(E3792="",E3792="!!!",F3792="NEW"),"",COUNTBLANK(OFFSET(A$1,,,SUMPRODUCT(MAX(ROW(E$2:E3792)*(E3792=E$2:E3792)))))-COUNTBLANK(OFFSET(A$1,,,SUMPRODUCT(MAX(ROW(E$1:E3791)*(E2=E$1:E3791))))))</f>
        <v> </v>
      </c>
      <c r="K3792" s="25" t="str">
        <f>IF(OR(E3792="",E3792="!!!",F3792="NEW"),"",INDEX(J$1:J3791,SUMPRODUCT(MAX(ROW(E$1:E3791)*(E3792=E$1:E3791)))))</f>
        <v> </v>
      </c>
      <c r="L3792" s="26"/>
    </row>
    <row r="3793" spans="1:12">
      <c r="A3793" s="20" t="s">
        <v>814</v>
      </c>
      <c r="E3793" s="21">
        <f>IF(D3793="?OLD","!!!","")</f>
        <v/>
      </c>
      <c r="F3793" s="22" t="str">
        <f>IF(OR(E3793="",E3793="!!!"),"",IF(NOT(ISNA(VLOOKUP(E3793,E$1:E3792,1,FALSE()))),"OLD",IF(AND(E3793&lt;&gt;"",E3793&lt;&gt;"!!!"),"NEW","")))</f>
        <v> </v>
      </c>
      <c r="G3793" s="23" t="str">
        <f>IF(OR(E3793="",E3793="!!!"),"",IF(OR(J3793=0,AND(J3793=1,K3793=1),AND(J3793=1,I3793="SBJ"),AND(J3793=1,I3793=0)),"?IN_FOCUS",IF(J3793&lt;=2,"?ACTIVATED",IF(J3793&lt;&gt;"","?FAMILIAR",IF(F3793="NEW",IF(ISNA(VLOOKUP(E3793,#REF!,1,FALSE())),"?TYPE_IDENTIFIABLE","?REFERENTIAL"),"_")))))</f>
        <v> </v>
      </c>
      <c r="H3793" s="24" t="str">
        <f>IF(J3793&lt;&gt;1,"",IF(I3793="SBJ","CB","?"))</f>
        <v> </v>
      </c>
      <c r="I3793" s="25" t="str">
        <f>IF(OR(E3793="",E3793="!!!",F3793="NEW"),"",INDEX(B3792:B$2,-1+SUMPRODUCT(MAX(ROW(E3792:E$2)*(E3793=E3792:E$2)))))</f>
        <v> </v>
      </c>
      <c r="J3793" s="25" t="str">
        <f>IF(OR(E3793="",E3793="!!!",F3793="NEW"),"",COUNTBLANK(OFFSET(A$1,,,SUMPRODUCT(MAX(ROW(E$2:E3793)*(E3793=E$2:E3793)))))-COUNTBLANK(OFFSET(A$1,,,SUMPRODUCT(MAX(ROW(E$1:E3792)*(E2=E$1:E3792))))))</f>
        <v> </v>
      </c>
      <c r="K3793" s="25" t="str">
        <f>IF(OR(E3793="",E3793="!!!",F3793="NEW"),"",INDEX(J$1:J3792,SUMPRODUCT(MAX(ROW(E$1:E3792)*(E3793=E$1:E3792)))))</f>
        <v> </v>
      </c>
      <c r="L3793" s="26"/>
    </row>
    <row r="3794" spans="1:12">
      <c r="A3794" s="20" t="s">
        <v>1661</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t="s">
        <v>851</v>
      </c>
      <c r="E3795" s="21">
        <f>IF(D3795="?OLD","!!!","")</f>
        <v/>
      </c>
      <c r="F3795" s="22" t="str">
        <f>IF(OR(E3795="",E3795="!!!"),"",IF(NOT(ISNA(VLOOKUP(E3795,E$1:E3794,1,FALSE()))),"OLD",IF(AND(E3795&lt;&gt;"",E3795&lt;&gt;"!!!"),"NEW","")))</f>
        <v> </v>
      </c>
      <c r="G3795" s="23" t="str">
        <f>IF(OR(E3795="",E3795="!!!"),"",IF(OR(J3795=0,AND(J3795=1,K3795=1),AND(J3795=1,I3795="SBJ"),AND(J3795=1,I3795=0)),"?IN_FOCUS",IF(J3795&lt;=2,"?ACTIVATED",IF(J3795&lt;&gt;"","?FAMILIAR",IF(F3795="NEW",IF(ISNA(VLOOKUP(E3795,#REF!,1,FALSE())),"?TYPE_IDENTIFIABLE","?REFERENTIAL"),"_")))))</f>
        <v> </v>
      </c>
      <c r="H3795" s="24" t="str">
        <f>IF(J3795&lt;&gt;1,"",IF(I3795="SBJ","CB","?"))</f>
        <v> </v>
      </c>
      <c r="I3795" s="25" t="str">
        <f>IF(OR(E3795="",E3795="!!!",F3795="NEW"),"",INDEX(B3794:B$2,-1+SUMPRODUCT(MAX(ROW(E3794:E$2)*(E3795=E3794:E$2)))))</f>
        <v> </v>
      </c>
      <c r="J3795" s="25" t="str">
        <f>IF(OR(E3795="",E3795="!!!",F3795="NEW"),"",COUNTBLANK(OFFSET(A$1,,,SUMPRODUCT(MAX(ROW(E$2:E3795)*(E3795=E$2:E3795)))))-COUNTBLANK(OFFSET(A$1,,,SUMPRODUCT(MAX(ROW(E$1:E3794)*(E2=E$1:E3794))))))</f>
        <v> </v>
      </c>
      <c r="K3795" s="25" t="str">
        <f>IF(OR(E3795="",E3795="!!!",F3795="NEW"),"",INDEX(J$1:J3794,SUMPRODUCT(MAX(ROW(E$1:E3794)*(E3795=E$1:E3794)))))</f>
        <v> </v>
      </c>
      <c r="L3795" s="26"/>
    </row>
    <row r="3796" spans="1:12">
      <c r="A3796" s="20" t="s">
        <v>739</v>
      </c>
      <c r="E3796" s="21">
        <f>IF(D3796="?OLD","!!!","")</f>
        <v/>
      </c>
      <c r="F3796" s="22" t="str">
        <f>IF(OR(E3796="",E3796="!!!"),"",IF(NOT(ISNA(VLOOKUP(E3796,E$1:E3795,1,FALSE()))),"OLD",IF(AND(E3796&lt;&gt;"",E3796&lt;&gt;"!!!"),"NEW","")))</f>
        <v> </v>
      </c>
      <c r="G3796" s="23" t="str">
        <f>IF(OR(E3796="",E3796="!!!"),"",IF(OR(J3796=0,AND(J3796=1,K3796=1),AND(J3796=1,I3796="SBJ"),AND(J3796=1,I3796=0)),"?IN_FOCUS",IF(J3796&lt;=2,"?ACTIVATED",IF(J3796&lt;&gt;"","?FAMILIAR",IF(F3796="NEW",IF(ISNA(VLOOKUP(E3796,#REF!,1,FALSE())),"?TYPE_IDENTIFIABLE","?REFERENTIAL"),"_")))))</f>
        <v> </v>
      </c>
      <c r="H3796" s="24" t="str">
        <f>IF(J3796&lt;&gt;1,"",IF(I3796="SBJ","CB","?"))</f>
        <v> </v>
      </c>
      <c r="I3796" s="25" t="str">
        <f>IF(OR(E3796="",E3796="!!!",F3796="NEW"),"",INDEX(B3795:B$2,-1+SUMPRODUCT(MAX(ROW(E3795:E$2)*(E3796=E3795:E$2)))))</f>
        <v> </v>
      </c>
      <c r="J3796" s="25" t="str">
        <f>IF(OR(E3796="",E3796="!!!",F3796="NEW"),"",COUNTBLANK(OFFSET(A$1,,,SUMPRODUCT(MAX(ROW(E$2:E3796)*(E3796=E$2:E3796)))))-COUNTBLANK(OFFSET(A$1,,,SUMPRODUCT(MAX(ROW(E$1:E3795)*(E2=E$1:E3795))))))</f>
        <v> </v>
      </c>
      <c r="K3796" s="25" t="str">
        <f>IF(OR(E3796="",E3796="!!!",F3796="NEW"),"",INDEX(J$1:J3795,SUMPRODUCT(MAX(ROW(E$1:E3795)*(E3796=E$1:E3795)))))</f>
        <v> </v>
      </c>
      <c r="L3796" s="26"/>
    </row>
    <row r="3797" spans="1:12">
      <c r="A3797" s="20" t="s">
        <v>1662</v>
      </c>
      <c r="B3797" s="27" t="s">
        <v>698</v>
      </c>
      <c r="C3797" s="27" t="s">
        <v>716</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696</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1663</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t="s">
        <v>1033</v>
      </c>
      <c r="E3800" s="21">
        <f>IF(D3800="?OLD","!!!","")</f>
        <v/>
      </c>
      <c r="F3800" s="22" t="str">
        <f>IF(OR(E3800="",E3800="!!!"),"",IF(NOT(ISNA(VLOOKUP(E3800,E$1:E3799,1,FALSE()))),"OLD",IF(AND(E3800&lt;&gt;"",E3800&lt;&gt;"!!!"),"NEW","")))</f>
        <v> </v>
      </c>
      <c r="G3800" s="23" t="str">
        <f>IF(OR(E3800="",E3800="!!!"),"",IF(OR(J3800=0,AND(J3800=1,K3800=1),AND(J3800=1,I3800="SBJ"),AND(J3800=1,I3800=0)),"?IN_FOCUS",IF(J3800&lt;=2,"?ACTIVATED",IF(J3800&lt;&gt;"","?FAMILIAR",IF(F3800="NEW",IF(ISNA(VLOOKUP(E3800,#REF!,1,FALSE())),"?TYPE_IDENTIFIABLE","?REFERENTIAL"),"_")))))</f>
        <v> </v>
      </c>
      <c r="H3800" s="24" t="str">
        <f>IF(J3800&lt;&gt;1,"",IF(I3800="SBJ","CB","?"))</f>
        <v> </v>
      </c>
      <c r="I3800" s="25" t="str">
        <f>IF(OR(E3800="",E3800="!!!",F3800="NEW"),"",INDEX(B3799:B$2,-1+SUMPRODUCT(MAX(ROW(E3799:E$2)*(E3800=E3799:E$2)))))</f>
        <v> </v>
      </c>
      <c r="J3800" s="25" t="str">
        <f>IF(OR(E3800="",E3800="!!!",F3800="NEW"),"",COUNTBLANK(OFFSET(A$1,,,SUMPRODUCT(MAX(ROW(E$2:E3800)*(E3800=E$2:E3800)))))-COUNTBLANK(OFFSET(A$1,,,SUMPRODUCT(MAX(ROW(E$1:E3799)*(E2=E$1:E3799))))))</f>
        <v> </v>
      </c>
      <c r="K3800" s="25" t="str">
        <f>IF(OR(E3800="",E3800="!!!",F3800="NEW"),"",INDEX(J$1:J3799,SUMPRODUCT(MAX(ROW(E$1:E3799)*(E3800=E$1:E3799)))))</f>
        <v> </v>
      </c>
      <c r="L3800" s="26"/>
    </row>
    <row r="3801" spans="1:12">
      <c r="A3801" s="20" t="s">
        <v>1664</v>
      </c>
      <c r="B3801" s="27" t="s">
        <v>755</v>
      </c>
      <c r="C3801" s="27" t="s">
        <v>716</v>
      </c>
      <c r="E3801" s="21">
        <f>IF(D3801="?OLD","!!!","")</f>
        <v/>
      </c>
      <c r="F3801" s="22" t="str">
        <f>IF(OR(E3801="",E3801="!!!"),"",IF(NOT(ISNA(VLOOKUP(E3801,E$1:E3800,1,FALSE()))),"OLD",IF(AND(E3801&lt;&gt;"",E3801&lt;&gt;"!!!"),"NEW","")))</f>
        <v> </v>
      </c>
      <c r="G3801" s="23" t="str">
        <f>IF(OR(E3801="",E3801="!!!"),"",IF(OR(J3801=0,AND(J3801=1,K3801=1),AND(J3801=1,I3801="SBJ"),AND(J3801=1,I3801=0)),"?IN_FOCUS",IF(J3801&lt;=2,"?ACTIVATED",IF(J3801&lt;&gt;"","?FAMILIAR",IF(F3801="NEW",IF(ISNA(VLOOKUP(E3801,#REF!,1,FALSE())),"?TYPE_IDENTIFIABLE","?REFERENTIAL"),"_")))))</f>
        <v> </v>
      </c>
      <c r="H3801" s="24" t="str">
        <f>IF(J3801&lt;&gt;1,"",IF(I3801="SBJ","CB","?"))</f>
        <v> </v>
      </c>
      <c r="I3801" s="25" t="str">
        <f>IF(OR(E3801="",E3801="!!!",F3801="NEW"),"",INDEX(B3800:B$2,-1+SUMPRODUCT(MAX(ROW(E3800:E$2)*(E3801=E3800:E$2)))))</f>
        <v> </v>
      </c>
      <c r="J3801" s="25" t="str">
        <f>IF(OR(E3801="",E3801="!!!",F3801="NEW"),"",COUNTBLANK(OFFSET(A$1,,,SUMPRODUCT(MAX(ROW(E$2:E3801)*(E3801=E$2:E3801)))))-COUNTBLANK(OFFSET(A$1,,,SUMPRODUCT(MAX(ROW(E$1:E3800)*(E2=E$1:E3800))))))</f>
        <v> </v>
      </c>
      <c r="K3801" s="25" t="str">
        <f>IF(OR(E3801="",E3801="!!!",F3801="NEW"),"",INDEX(J$1:J3800,SUMPRODUCT(MAX(ROW(E$1:E3800)*(E3801=E$1:E3800)))))</f>
        <v> </v>
      </c>
      <c r="L3801" s="26"/>
    </row>
    <row r="3802" spans="1:12">
      <c r="A3802" s="20" t="s">
        <v>725</v>
      </c>
      <c r="E3802" s="21">
        <f>IF(D3802="?OLD","!!!","")</f>
        <v/>
      </c>
      <c r="F3802" s="22" t="str">
        <f>IF(OR(E3802="",E3802="!!!"),"",IF(NOT(ISNA(VLOOKUP(E3802,E$1:E3801,1,FALSE()))),"OLD",IF(AND(E3802&lt;&gt;"",E3802&lt;&gt;"!!!"),"NEW","")))</f>
        <v> </v>
      </c>
      <c r="G3802" s="23" t="str">
        <f>IF(OR(E3802="",E3802="!!!"),"",IF(OR(J3802=0,AND(J3802=1,K3802=1),AND(J3802=1,I3802="SBJ"),AND(J3802=1,I3802=0)),"?IN_FOCUS",IF(J3802&lt;=2,"?ACTIVATED",IF(J3802&lt;&gt;"","?FAMILIAR",IF(F3802="NEW",IF(ISNA(VLOOKUP(E3802,#REF!,1,FALSE())),"?TYPE_IDENTIFIABLE","?REFERENTIAL"),"_")))))</f>
        <v> </v>
      </c>
      <c r="H3802" s="24" t="str">
        <f>IF(J3802&lt;&gt;1,"",IF(I3802="SBJ","CB","?"))</f>
        <v> </v>
      </c>
      <c r="I3802" s="25" t="str">
        <f>IF(OR(E3802="",E3802="!!!",F3802="NEW"),"",INDEX(B3801:B$2,-1+SUMPRODUCT(MAX(ROW(E3801:E$2)*(E3802=E3801:E$2)))))</f>
        <v> </v>
      </c>
      <c r="J3802" s="25" t="str">
        <f>IF(OR(E3802="",E3802="!!!",F3802="NEW"),"",COUNTBLANK(OFFSET(A$1,,,SUMPRODUCT(MAX(ROW(E$2:E3802)*(E3802=E$2:E3802)))))-COUNTBLANK(OFFSET(A$1,,,SUMPRODUCT(MAX(ROW(E$1:E3801)*(E2=E$1:E3801))))))</f>
        <v> </v>
      </c>
      <c r="K3802" s="25" t="str">
        <f>IF(OR(E3802="",E3802="!!!",F3802="NEW"),"",INDEX(J$1:J3801,SUMPRODUCT(MAX(ROW(E$1:E3801)*(E3802=E$1:E3801)))))</f>
        <v> </v>
      </c>
      <c r="L3802" s="26"/>
    </row>
    <row r="3803" spans="1:12">
      <c r="A3803" s="20" t="s">
        <v>832</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721</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1665</v>
      </c>
      <c r="B3805" s="27" t="s">
        <v>698</v>
      </c>
      <c r="C3805" s="27" t="s">
        <v>693</v>
      </c>
      <c r="D3805" s="27" t="s">
        <v>694</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725</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t="s">
        <v>846</v>
      </c>
      <c r="E3807" s="21">
        <f>IF(D3807="?OLD","!!!","")</f>
        <v/>
      </c>
      <c r="F3807" s="22" t="str">
        <f>IF(OR(E3807="",E3807="!!!"),"",IF(NOT(ISNA(VLOOKUP(E3807,E$1:E3806,1,FALSE()))),"OLD",IF(AND(E3807&lt;&gt;"",E3807&lt;&gt;"!!!"),"NEW","")))</f>
        <v> </v>
      </c>
      <c r="G3807" s="23" t="str">
        <f>IF(OR(E3807="",E3807="!!!"),"",IF(OR(J3807=0,AND(J3807=1,K3807=1),AND(J3807=1,I3807="SBJ"),AND(J3807=1,I3807=0)),"?IN_FOCUS",IF(J3807&lt;=2,"?ACTIVATED",IF(J3807&lt;&gt;"","?FAMILIAR",IF(F3807="NEW",IF(ISNA(VLOOKUP(E3807,#REF!,1,FALSE())),"?TYPE_IDENTIFIABLE","?REFERENTIAL"),"_")))))</f>
        <v> </v>
      </c>
      <c r="H3807" s="24" t="str">
        <f>IF(J3807&lt;&gt;1,"",IF(I3807="SBJ","CB","?"))</f>
        <v> </v>
      </c>
      <c r="I3807" s="25" t="str">
        <f>IF(OR(E3807="",E3807="!!!",F3807="NEW"),"",INDEX(B3806:B$2,-1+SUMPRODUCT(MAX(ROW(E3806:E$2)*(E3807=E3806:E$2)))))</f>
        <v> </v>
      </c>
      <c r="J3807" s="25" t="str">
        <f>IF(OR(E3807="",E3807="!!!",F3807="NEW"),"",COUNTBLANK(OFFSET(A$1,,,SUMPRODUCT(MAX(ROW(E$2:E3807)*(E3807=E$2:E3807)))))-COUNTBLANK(OFFSET(A$1,,,SUMPRODUCT(MAX(ROW(E$1:E3806)*(E2=E$1:E3806))))))</f>
        <v> </v>
      </c>
      <c r="K3807" s="25" t="str">
        <f>IF(OR(E3807="",E3807="!!!",F3807="NEW"),"",INDEX(J$1:J3806,SUMPRODUCT(MAX(ROW(E$1:E3806)*(E3807=E$1:E3806)))))</f>
        <v> </v>
      </c>
      <c r="L3807" s="26"/>
    </row>
    <row r="3808" spans="1:12">
      <c r="A3808" s="20" t="s">
        <v>844</v>
      </c>
      <c r="B3808" s="27" t="s">
        <v>823</v>
      </c>
      <c r="C3808" s="27" t="s">
        <v>819</v>
      </c>
      <c r="D3808" s="27" t="s">
        <v>694</v>
      </c>
      <c r="E3808" s="21">
        <f>IF(D3808="?OLD","!!!","")</f>
        <v/>
      </c>
      <c r="F3808" s="22" t="str">
        <f>IF(OR(E3808="",E3808="!!!"),"",IF(NOT(ISNA(VLOOKUP(E3808,E$1:E3807,1,FALSE()))),"OLD",IF(AND(E3808&lt;&gt;"",E3808&lt;&gt;"!!!"),"NEW","")))</f>
        <v> </v>
      </c>
      <c r="G3808" s="23" t="str">
        <f>IF(OR(E3808="",E3808="!!!"),"",IF(OR(J3808=0,AND(J3808=1,K3808=1),AND(J3808=1,I3808="SBJ"),AND(J3808=1,I3808=0)),"?IN_FOCUS",IF(J3808&lt;=2,"?ACTIVATED",IF(J3808&lt;&gt;"","?FAMILIAR",IF(F3808="NEW",IF(ISNA(VLOOKUP(E3808,#REF!,1,FALSE())),"?TYPE_IDENTIFIABLE","?REFERENTIAL"),"_")))))</f>
        <v> </v>
      </c>
      <c r="H3808" s="24" t="str">
        <f>IF(J3808&lt;&gt;1,"",IF(I3808="SBJ","CB","?"))</f>
        <v> </v>
      </c>
      <c r="I3808" s="25" t="str">
        <f>IF(OR(E3808="",E3808="!!!",F3808="NEW"),"",INDEX(B3807:B$2,-1+SUMPRODUCT(MAX(ROW(E3807:E$2)*(E3808=E3807:E$2)))))</f>
        <v> </v>
      </c>
      <c r="J3808" s="25" t="str">
        <f>IF(OR(E3808="",E3808="!!!",F3808="NEW"),"",COUNTBLANK(OFFSET(A$1,,,SUMPRODUCT(MAX(ROW(E$2:E3808)*(E3808=E$2:E3808)))))-COUNTBLANK(OFFSET(A$1,,,SUMPRODUCT(MAX(ROW(E$1:E3807)*(E2=E$1:E3807))))))</f>
        <v> </v>
      </c>
      <c r="K3808" s="25" t="str">
        <f>IF(OR(E3808="",E3808="!!!",F3808="NEW"),"",INDEX(J$1:J3807,SUMPRODUCT(MAX(ROW(E$1:E3807)*(E3808=E$1:E3807)))))</f>
        <v> </v>
      </c>
      <c r="L3808" s="26"/>
    </row>
    <row r="3809" spans="1:12">
      <c r="A3809" s="20" t="s">
        <v>928</v>
      </c>
      <c r="E3809" s="21">
        <f>IF(D3809="?OLD","!!!","")</f>
        <v/>
      </c>
      <c r="F3809" s="22" t="str">
        <f>IF(OR(E3809="",E3809="!!!"),"",IF(NOT(ISNA(VLOOKUP(E3809,E$1:E3808,1,FALSE()))),"OLD",IF(AND(E3809&lt;&gt;"",E3809&lt;&gt;"!!!"),"NEW","")))</f>
        <v> </v>
      </c>
      <c r="G3809" s="23" t="str">
        <f>IF(OR(E3809="",E3809="!!!"),"",IF(OR(J3809=0,AND(J3809=1,K3809=1),AND(J3809=1,I3809="SBJ"),AND(J3809=1,I3809=0)),"?IN_FOCUS",IF(J3809&lt;=2,"?ACTIVATED",IF(J3809&lt;&gt;"","?FAMILIAR",IF(F3809="NEW",IF(ISNA(VLOOKUP(E3809,#REF!,1,FALSE())),"?TYPE_IDENTIFIABLE","?REFERENTIAL"),"_")))))</f>
        <v> </v>
      </c>
      <c r="H3809" s="24" t="str">
        <f>IF(J3809&lt;&gt;1,"",IF(I3809="SBJ","CB","?"))</f>
        <v> </v>
      </c>
      <c r="I3809" s="25" t="str">
        <f>IF(OR(E3809="",E3809="!!!",F3809="NEW"),"",INDEX(B3808:B$2,-1+SUMPRODUCT(MAX(ROW(E3808:E$2)*(E3809=E3808:E$2)))))</f>
        <v> </v>
      </c>
      <c r="J3809" s="25" t="str">
        <f>IF(OR(E3809="",E3809="!!!",F3809="NEW"),"",COUNTBLANK(OFFSET(A$1,,,SUMPRODUCT(MAX(ROW(E$2:E3809)*(E3809=E$2:E3809)))))-COUNTBLANK(OFFSET(A$1,,,SUMPRODUCT(MAX(ROW(E$1:E3808)*(E2=E$1:E3808))))))</f>
        <v> </v>
      </c>
      <c r="K3809" s="25" t="str">
        <f>IF(OR(E3809="",E3809="!!!",F3809="NEW"),"",INDEX(J$1:J3808,SUMPRODUCT(MAX(ROW(E$1:E3808)*(E3809=E$1:E3808)))))</f>
        <v> </v>
      </c>
      <c r="L3809" s="26"/>
    </row>
    <row r="3810" spans="1:12">
      <c r="A3810" s="20" t="s">
        <v>826</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1666</v>
      </c>
      <c r="B3811" s="27" t="s">
        <v>698</v>
      </c>
      <c r="C3811" s="27" t="s">
        <v>776</v>
      </c>
      <c r="E3811" s="21">
        <f>IF(D3811="?OLD","!!!","")</f>
        <v/>
      </c>
      <c r="F3811" s="22" t="str">
        <f>IF(OR(E3811="",E3811="!!!"),"",IF(NOT(ISNA(VLOOKUP(E3811,E$1:E3810,1,FALSE()))),"OLD",IF(AND(E3811&lt;&gt;"",E3811&lt;&gt;"!!!"),"NEW","")))</f>
        <v> </v>
      </c>
      <c r="G3811" s="23" t="str">
        <f>IF(OR(E3811="",E3811="!!!"),"",IF(OR(J3811=0,AND(J3811=1,K3811=1),AND(J3811=1,I3811="SBJ"),AND(J3811=1,I3811=0)),"?IN_FOCUS",IF(J3811&lt;=2,"?ACTIVATED",IF(J3811&lt;&gt;"","?FAMILIAR",IF(F3811="NEW",IF(ISNA(VLOOKUP(E3811,#REF!,1,FALSE())),"?TYPE_IDENTIFIABLE","?REFERENTIAL"),"_")))))</f>
        <v> </v>
      </c>
      <c r="H3811" s="24" t="str">
        <f>IF(J3811&lt;&gt;1,"",IF(I3811="SBJ","CB","?"))</f>
        <v> </v>
      </c>
      <c r="I3811" s="25" t="str">
        <f>IF(OR(E3811="",E3811="!!!",F3811="NEW"),"",INDEX(B3810:B$2,-1+SUMPRODUCT(MAX(ROW(E3810:E$2)*(E3811=E3810:E$2)))))</f>
        <v> </v>
      </c>
      <c r="J3811" s="25" t="str">
        <f>IF(OR(E3811="",E3811="!!!",F3811="NEW"),"",COUNTBLANK(OFFSET(A$1,,,SUMPRODUCT(MAX(ROW(E$2:E3811)*(E3811=E$2:E3811)))))-COUNTBLANK(OFFSET(A$1,,,SUMPRODUCT(MAX(ROW(E$1:E3810)*(E2=E$1:E3810))))))</f>
        <v> </v>
      </c>
      <c r="K3811" s="25" t="str">
        <f>IF(OR(E3811="",E3811="!!!",F3811="NEW"),"",INDEX(J$1:J3810,SUMPRODUCT(MAX(ROW(E$1:E3810)*(E3811=E$1:E3810)))))</f>
        <v> </v>
      </c>
      <c r="L3811" s="26"/>
    </row>
    <row r="3812" spans="1:12">
      <c r="A3812" s="20" t="s">
        <v>872</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t="s">
        <v>1109</v>
      </c>
      <c r="E3813" s="21">
        <f>IF(D3813="?OLD","!!!","")</f>
        <v/>
      </c>
      <c r="F3813" s="22" t="str">
        <f>IF(OR(E3813="",E3813="!!!"),"",IF(NOT(ISNA(VLOOKUP(E3813,E$1:E3812,1,FALSE()))),"OLD",IF(AND(E3813&lt;&gt;"",E3813&lt;&gt;"!!!"),"NEW","")))</f>
        <v> </v>
      </c>
      <c r="G3813" s="23" t="str">
        <f>IF(OR(E3813="",E3813="!!!"),"",IF(OR(J3813=0,AND(J3813=1,K3813=1),AND(J3813=1,I3813="SBJ"),AND(J3813=1,I3813=0)),"?IN_FOCUS",IF(J3813&lt;=2,"?ACTIVATED",IF(J3813&lt;&gt;"","?FAMILIAR",IF(F3813="NEW",IF(ISNA(VLOOKUP(E3813,#REF!,1,FALSE())),"?TYPE_IDENTIFIABLE","?REFERENTIAL"),"_")))))</f>
        <v> </v>
      </c>
      <c r="H3813" s="24" t="str">
        <f>IF(J3813&lt;&gt;1,"",IF(I3813="SBJ","CB","?"))</f>
        <v> </v>
      </c>
      <c r="I3813" s="25" t="str">
        <f>IF(OR(E3813="",E3813="!!!",F3813="NEW"),"",INDEX(B3812:B$2,-1+SUMPRODUCT(MAX(ROW(E3812:E$2)*(E3813=E3812:E$2)))))</f>
        <v> </v>
      </c>
      <c r="J3813" s="25" t="str">
        <f>IF(OR(E3813="",E3813="!!!",F3813="NEW"),"",COUNTBLANK(OFFSET(A$1,,,SUMPRODUCT(MAX(ROW(E$2:E3813)*(E3813=E$2:E3813)))))-COUNTBLANK(OFFSET(A$1,,,SUMPRODUCT(MAX(ROW(E$1:E3812)*(E2=E$1:E3812))))))</f>
        <v> </v>
      </c>
      <c r="K3813" s="25" t="str">
        <f>IF(OR(E3813="",E3813="!!!",F3813="NEW"),"",INDEX(J$1:J3812,SUMPRODUCT(MAX(ROW(E$1:E3812)*(E3813=E$1:E3812)))))</f>
        <v> </v>
      </c>
      <c r="L3813" s="26"/>
    </row>
    <row r="3814" spans="1:12">
      <c r="A3814" s="20" t="s">
        <v>725</v>
      </c>
      <c r="E3814" s="21">
        <f>IF(D3814="?OLD","!!!","")</f>
        <v/>
      </c>
      <c r="F3814" s="22" t="str">
        <f>IF(OR(E3814="",E3814="!!!"),"",IF(NOT(ISNA(VLOOKUP(E3814,E$1:E3813,1,FALSE()))),"OLD",IF(AND(E3814&lt;&gt;"",E3814&lt;&gt;"!!!"),"NEW","")))</f>
        <v> </v>
      </c>
      <c r="G3814" s="23" t="str">
        <f>IF(OR(E3814="",E3814="!!!"),"",IF(OR(J3814=0,AND(J3814=1,K3814=1),AND(J3814=1,I3814="SBJ"),AND(J3814=1,I3814=0)),"?IN_FOCUS",IF(J3814&lt;=2,"?ACTIVATED",IF(J3814&lt;&gt;"","?FAMILIAR",IF(F3814="NEW",IF(ISNA(VLOOKUP(E3814,#REF!,1,FALSE())),"?TYPE_IDENTIFIABLE","?REFERENTIAL"),"_")))))</f>
        <v> </v>
      </c>
      <c r="H3814" s="24" t="str">
        <f>IF(J3814&lt;&gt;1,"",IF(I3814="SBJ","CB","?"))</f>
        <v> </v>
      </c>
      <c r="I3814" s="25" t="str">
        <f>IF(OR(E3814="",E3814="!!!",F3814="NEW"),"",INDEX(B3813:B$2,-1+SUMPRODUCT(MAX(ROW(E3813:E$2)*(E3814=E3813:E$2)))))</f>
        <v> </v>
      </c>
      <c r="J3814" s="25" t="str">
        <f>IF(OR(E3814="",E3814="!!!",F3814="NEW"),"",COUNTBLANK(OFFSET(A$1,,,SUMPRODUCT(MAX(ROW(E$2:E3814)*(E3814=E$2:E3814)))))-COUNTBLANK(OFFSET(A$1,,,SUMPRODUCT(MAX(ROW(E$1:E3813)*(E2=E$1:E3813))))))</f>
        <v> </v>
      </c>
      <c r="K3814" s="25" t="str">
        <f>IF(OR(E3814="",E3814="!!!",F3814="NEW"),"",INDEX(J$1:J3813,SUMPRODUCT(MAX(ROW(E$1:E3813)*(E3814=E$1:E3813)))))</f>
        <v> </v>
      </c>
      <c r="L3814" s="26"/>
    </row>
    <row r="3815" spans="1:12">
      <c r="A3815" s="20" t="s">
        <v>718</v>
      </c>
      <c r="E3815" s="21">
        <f>IF(D3815="?OLD","!!!","")</f>
        <v/>
      </c>
      <c r="F3815" s="22" t="str">
        <f>IF(OR(E3815="",E3815="!!!"),"",IF(NOT(ISNA(VLOOKUP(E3815,E$1:E3814,1,FALSE()))),"OLD",IF(AND(E3815&lt;&gt;"",E3815&lt;&gt;"!!!"),"NEW","")))</f>
        <v> </v>
      </c>
      <c r="G3815" s="23" t="str">
        <f>IF(OR(E3815="",E3815="!!!"),"",IF(OR(J3815=0,AND(J3815=1,K3815=1),AND(J3815=1,I3815="SBJ"),AND(J3815=1,I3815=0)),"?IN_FOCUS",IF(J3815&lt;=2,"?ACTIVATED",IF(J3815&lt;&gt;"","?FAMILIAR",IF(F3815="NEW",IF(ISNA(VLOOKUP(E3815,#REF!,1,FALSE())),"?TYPE_IDENTIFIABLE","?REFERENTIAL"),"_")))))</f>
        <v> </v>
      </c>
      <c r="H3815" s="24" t="str">
        <f>IF(J3815&lt;&gt;1,"",IF(I3815="SBJ","CB","?"))</f>
        <v> </v>
      </c>
      <c r="I3815" s="25" t="str">
        <f>IF(OR(E3815="",E3815="!!!",F3815="NEW"),"",INDEX(B3814:B$2,-1+SUMPRODUCT(MAX(ROW(E3814:E$2)*(E3815=E3814:E$2)))))</f>
        <v> </v>
      </c>
      <c r="J3815" s="25" t="str">
        <f>IF(OR(E3815="",E3815="!!!",F3815="NEW"),"",COUNTBLANK(OFFSET(A$1,,,SUMPRODUCT(MAX(ROW(E$2:E3815)*(E3815=E$2:E3815)))))-COUNTBLANK(OFFSET(A$1,,,SUMPRODUCT(MAX(ROW(E$1:E3814)*(E2=E$1:E3814))))))</f>
        <v> </v>
      </c>
      <c r="K3815" s="25" t="str">
        <f>IF(OR(E3815="",E3815="!!!",F3815="NEW"),"",INDEX(J$1:J3814,SUMPRODUCT(MAX(ROW(E$1:E3814)*(E3815=E$1:E3814)))))</f>
        <v> </v>
      </c>
      <c r="L3815" s="26"/>
    </row>
    <row r="3816" spans="1:12">
      <c r="A3816" s="20" t="s">
        <v>721</v>
      </c>
      <c r="E3816" s="21">
        <f>IF(D3816="?OLD","!!!","")</f>
        <v/>
      </c>
      <c r="F3816" s="22" t="str">
        <f>IF(OR(E3816="",E3816="!!!"),"",IF(NOT(ISNA(VLOOKUP(E3816,E$1:E3815,1,FALSE()))),"OLD",IF(AND(E3816&lt;&gt;"",E3816&lt;&gt;"!!!"),"NEW","")))</f>
        <v> </v>
      </c>
      <c r="G3816" s="23" t="str">
        <f>IF(OR(E3816="",E3816="!!!"),"",IF(OR(J3816=0,AND(J3816=1,K3816=1),AND(J3816=1,I3816="SBJ"),AND(J3816=1,I3816=0)),"?IN_FOCUS",IF(J3816&lt;=2,"?ACTIVATED",IF(J3816&lt;&gt;"","?FAMILIAR",IF(F3816="NEW",IF(ISNA(VLOOKUP(E3816,#REF!,1,FALSE())),"?TYPE_IDENTIFIABLE","?REFERENTIAL"),"_")))))</f>
        <v> </v>
      </c>
      <c r="H3816" s="24" t="str">
        <f>IF(J3816&lt;&gt;1,"",IF(I3816="SBJ","CB","?"))</f>
        <v> </v>
      </c>
      <c r="I3816" s="25" t="str">
        <f>IF(OR(E3816="",E3816="!!!",F3816="NEW"),"",INDEX(B3815:B$2,-1+SUMPRODUCT(MAX(ROW(E3815:E$2)*(E3816=E3815:E$2)))))</f>
        <v> </v>
      </c>
      <c r="J3816" s="25" t="str">
        <f>IF(OR(E3816="",E3816="!!!",F3816="NEW"),"",COUNTBLANK(OFFSET(A$1,,,SUMPRODUCT(MAX(ROW(E$2:E3816)*(E3816=E$2:E3816)))))-COUNTBLANK(OFFSET(A$1,,,SUMPRODUCT(MAX(ROW(E$1:E3815)*(E2=E$1:E3815))))))</f>
        <v> </v>
      </c>
      <c r="K3816" s="25" t="str">
        <f>IF(OR(E3816="",E3816="!!!",F3816="NEW"),"",INDEX(J$1:J3815,SUMPRODUCT(MAX(ROW(E$1:E3815)*(E3816=E$1:E3815)))))</f>
        <v> </v>
      </c>
      <c r="L3816" s="26"/>
    </row>
    <row r="3817" spans="1:12">
      <c r="A3817" s="20" t="s">
        <v>1667</v>
      </c>
      <c r="B3817" s="27" t="s">
        <v>737</v>
      </c>
      <c r="C3817" s="27" t="s">
        <v>693</v>
      </c>
      <c r="D3817" s="27" t="s">
        <v>694</v>
      </c>
      <c r="E3817" s="21">
        <f>IF(D3817="?OLD","!!!","")</f>
        <v/>
      </c>
      <c r="F3817" s="22" t="str">
        <f>IF(OR(E3817="",E3817="!!!"),"",IF(NOT(ISNA(VLOOKUP(E3817,E$1:E3816,1,FALSE()))),"OLD",IF(AND(E3817&lt;&gt;"",E3817&lt;&gt;"!!!"),"NEW","")))</f>
        <v> </v>
      </c>
      <c r="G3817" s="23" t="str">
        <f>IF(OR(E3817="",E3817="!!!"),"",IF(OR(J3817=0,AND(J3817=1,K3817=1),AND(J3817=1,I3817="SBJ"),AND(J3817=1,I3817=0)),"?IN_FOCUS",IF(J3817&lt;=2,"?ACTIVATED",IF(J3817&lt;&gt;"","?FAMILIAR",IF(F3817="NEW",IF(ISNA(VLOOKUP(E3817,#REF!,1,FALSE())),"?TYPE_IDENTIFIABLE","?REFERENTIAL"),"_")))))</f>
        <v> </v>
      </c>
      <c r="H3817" s="24" t="str">
        <f>IF(J3817&lt;&gt;1,"",IF(I3817="SBJ","CB","?"))</f>
        <v> </v>
      </c>
      <c r="I3817" s="25" t="str">
        <f>IF(OR(E3817="",E3817="!!!",F3817="NEW"),"",INDEX(B3816:B$2,-1+SUMPRODUCT(MAX(ROW(E3816:E$2)*(E3817=E3816:E$2)))))</f>
        <v> </v>
      </c>
      <c r="J3817" s="25" t="str">
        <f>IF(OR(E3817="",E3817="!!!",F3817="NEW"),"",COUNTBLANK(OFFSET(A$1,,,SUMPRODUCT(MAX(ROW(E$2:E3817)*(E3817=E$2:E3817)))))-COUNTBLANK(OFFSET(A$1,,,SUMPRODUCT(MAX(ROW(E$1:E3816)*(E2=E$1:E3816))))))</f>
        <v> </v>
      </c>
      <c r="K3817" s="25" t="str">
        <f>IF(OR(E3817="",E3817="!!!",F3817="NEW"),"",INDEX(J$1:J3816,SUMPRODUCT(MAX(ROW(E$1:E3816)*(E3817=E$1:E3816)))))</f>
        <v> </v>
      </c>
      <c r="L3817" s="26"/>
    </row>
    <row r="3818" spans="1:12">
      <c r="A3818" s="20" t="s">
        <v>696</v>
      </c>
      <c r="E3818" s="21">
        <f>IF(D3818="?OLD","!!!","")</f>
        <v/>
      </c>
      <c r="F3818" s="22" t="str">
        <f>IF(OR(E3818="",E3818="!!!"),"",IF(NOT(ISNA(VLOOKUP(E3818,E$1:E3817,1,FALSE()))),"OLD",IF(AND(E3818&lt;&gt;"",E3818&lt;&gt;"!!!"),"NEW","")))</f>
        <v> </v>
      </c>
      <c r="G3818" s="23" t="str">
        <f>IF(OR(E3818="",E3818="!!!"),"",IF(OR(J3818=0,AND(J3818=1,K3818=1),AND(J3818=1,I3818="SBJ"),AND(J3818=1,I3818=0)),"?IN_FOCUS",IF(J3818&lt;=2,"?ACTIVATED",IF(J3818&lt;&gt;"","?FAMILIAR",IF(F3818="NEW",IF(ISNA(VLOOKUP(E3818,#REF!,1,FALSE())),"?TYPE_IDENTIFIABLE","?REFERENTIAL"),"_")))))</f>
        <v> </v>
      </c>
      <c r="H3818" s="24" t="str">
        <f>IF(J3818&lt;&gt;1,"",IF(I3818="SBJ","CB","?"))</f>
        <v> </v>
      </c>
      <c r="I3818" s="25" t="str">
        <f>IF(OR(E3818="",E3818="!!!",F3818="NEW"),"",INDEX(B3817:B$2,-1+SUMPRODUCT(MAX(ROW(E3817:E$2)*(E3818=E3817:E$2)))))</f>
        <v> </v>
      </c>
      <c r="J3818" s="25" t="str">
        <f>IF(OR(E3818="",E3818="!!!",F3818="NEW"),"",COUNTBLANK(OFFSET(A$1,,,SUMPRODUCT(MAX(ROW(E$2:E3818)*(E3818=E$2:E3818)))))-COUNTBLANK(OFFSET(A$1,,,SUMPRODUCT(MAX(ROW(E$1:E3817)*(E2=E$1:E3817))))))</f>
        <v> </v>
      </c>
      <c r="K3818" s="25" t="str">
        <f>IF(OR(E3818="",E3818="!!!",F3818="NEW"),"",INDEX(J$1:J3817,SUMPRODUCT(MAX(ROW(E$1:E3817)*(E3818=E$1:E3817)))))</f>
        <v> </v>
      </c>
      <c r="L3818" s="26"/>
    </row>
    <row r="3819" spans="1:12">
      <c r="A3819" s="20" t="s">
        <v>1226</v>
      </c>
      <c r="E3819" s="21">
        <f>IF(D3819="?OLD","!!!","")</f>
        <v/>
      </c>
      <c r="F3819" s="22" t="str">
        <f>IF(OR(E3819="",E3819="!!!"),"",IF(NOT(ISNA(VLOOKUP(E3819,E$1:E3818,1,FALSE()))),"OLD",IF(AND(E3819&lt;&gt;"",E3819&lt;&gt;"!!!"),"NEW","")))</f>
        <v> </v>
      </c>
      <c r="G3819" s="23" t="str">
        <f>IF(OR(E3819="",E3819="!!!"),"",IF(OR(J3819=0,AND(J3819=1,K3819=1),AND(J3819=1,I3819="SBJ"),AND(J3819=1,I3819=0)),"?IN_FOCUS",IF(J3819&lt;=2,"?ACTIVATED",IF(J3819&lt;&gt;"","?FAMILIAR",IF(F3819="NEW",IF(ISNA(VLOOKUP(E3819,#REF!,1,FALSE())),"?TYPE_IDENTIFIABLE","?REFERENTIAL"),"_")))))</f>
        <v> </v>
      </c>
      <c r="H3819" s="24" t="str">
        <f>IF(J3819&lt;&gt;1,"",IF(I3819="SBJ","CB","?"))</f>
        <v> </v>
      </c>
      <c r="I3819" s="25" t="str">
        <f>IF(OR(E3819="",E3819="!!!",F3819="NEW"),"",INDEX(B3818:B$2,-1+SUMPRODUCT(MAX(ROW(E3818:E$2)*(E3819=E3818:E$2)))))</f>
        <v> </v>
      </c>
      <c r="J3819" s="25" t="str">
        <f>IF(OR(E3819="",E3819="!!!",F3819="NEW"),"",COUNTBLANK(OFFSET(A$1,,,SUMPRODUCT(MAX(ROW(E$2:E3819)*(E3819=E$2:E3819)))))-COUNTBLANK(OFFSET(A$1,,,SUMPRODUCT(MAX(ROW(E$1:E3818)*(E2=E$1:E3818))))))</f>
        <v> </v>
      </c>
      <c r="K3819" s="25" t="str">
        <f>IF(OR(E3819="",E3819="!!!",F3819="NEW"),"",INDEX(J$1:J3818,SUMPRODUCT(MAX(ROW(E$1:E3818)*(E3819=E$1:E3818)))))</f>
        <v> </v>
      </c>
      <c r="L3819" s="26"/>
    </row>
    <row r="3820" spans="1:12">
      <c r="A3820" s="20" t="s">
        <v>725</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t="s">
        <v>844</v>
      </c>
      <c r="B3821" s="27" t="s">
        <v>823</v>
      </c>
      <c r="C3821" s="27" t="s">
        <v>819</v>
      </c>
      <c r="D3821" s="27" t="s">
        <v>694</v>
      </c>
      <c r="E3821" s="21">
        <f>IF(D3821="?OLD","!!!","")</f>
        <v/>
      </c>
      <c r="F3821" s="22" t="str">
        <f>IF(OR(E3821="",E3821="!!!"),"",IF(NOT(ISNA(VLOOKUP(E3821,E$1:E3820,1,FALSE()))),"OLD",IF(AND(E3821&lt;&gt;"",E3821&lt;&gt;"!!!"),"NEW","")))</f>
        <v> </v>
      </c>
      <c r="G3821" s="23" t="str">
        <f>IF(OR(E3821="",E3821="!!!"),"",IF(OR(J3821=0,AND(J3821=1,K3821=1),AND(J3821=1,I3821="SBJ"),AND(J3821=1,I3821=0)),"?IN_FOCUS",IF(J3821&lt;=2,"?ACTIVATED",IF(J3821&lt;&gt;"","?FAMILIAR",IF(F3821="NEW",IF(ISNA(VLOOKUP(E3821,#REF!,1,FALSE())),"?TYPE_IDENTIFIABLE","?REFERENTIAL"),"_")))))</f>
        <v> </v>
      </c>
      <c r="H3821" s="24" t="str">
        <f>IF(J3821&lt;&gt;1,"",IF(I3821="SBJ","CB","?"))</f>
        <v> </v>
      </c>
      <c r="I3821" s="25" t="str">
        <f>IF(OR(E3821="",E3821="!!!",F3821="NEW"),"",INDEX(B3820:B$2,-1+SUMPRODUCT(MAX(ROW(E3820:E$2)*(E3821=E3820:E$2)))))</f>
        <v> </v>
      </c>
      <c r="J3821" s="25" t="str">
        <f>IF(OR(E3821="",E3821="!!!",F3821="NEW"),"",COUNTBLANK(OFFSET(A$1,,,SUMPRODUCT(MAX(ROW(E$2:E3821)*(E3821=E$2:E3821)))))-COUNTBLANK(OFFSET(A$1,,,SUMPRODUCT(MAX(ROW(E$1:E3820)*(E2=E$1:E3820))))))</f>
        <v> </v>
      </c>
      <c r="K3821" s="25" t="str">
        <f>IF(OR(E3821="",E3821="!!!",F3821="NEW"),"",INDEX(J$1:J3820,SUMPRODUCT(MAX(ROW(E$1:E3820)*(E3821=E$1:E3820)))))</f>
        <v> </v>
      </c>
      <c r="L3821" s="26"/>
    </row>
    <row r="3822" spans="1:12">
      <c r="A3822" s="20" t="s">
        <v>814</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t="s">
        <v>826</v>
      </c>
      <c r="E3823" s="21">
        <f>IF(D3823="?OLD","!!!","")</f>
        <v/>
      </c>
      <c r="F3823" s="22" t="str">
        <f>IF(OR(E3823="",E3823="!!!"),"",IF(NOT(ISNA(VLOOKUP(E3823,E$1:E3822,1,FALSE()))),"OLD",IF(AND(E3823&lt;&gt;"",E3823&lt;&gt;"!!!"),"NEW","")))</f>
        <v> </v>
      </c>
      <c r="G3823" s="23" t="str">
        <f>IF(OR(E3823="",E3823="!!!"),"",IF(OR(J3823=0,AND(J3823=1,K3823=1),AND(J3823=1,I3823="SBJ"),AND(J3823=1,I3823=0)),"?IN_FOCUS",IF(J3823&lt;=2,"?ACTIVATED",IF(J3823&lt;&gt;"","?FAMILIAR",IF(F3823="NEW",IF(ISNA(VLOOKUP(E3823,#REF!,1,FALSE())),"?TYPE_IDENTIFIABLE","?REFERENTIAL"),"_")))))</f>
        <v> </v>
      </c>
      <c r="H3823" s="24" t="str">
        <f>IF(J3823&lt;&gt;1,"",IF(I3823="SBJ","CB","?"))</f>
        <v> </v>
      </c>
      <c r="I3823" s="25" t="str">
        <f>IF(OR(E3823="",E3823="!!!",F3823="NEW"),"",INDEX(B3822:B$2,-1+SUMPRODUCT(MAX(ROW(E3822:E$2)*(E3823=E3822:E$2)))))</f>
        <v> </v>
      </c>
      <c r="J3823" s="25" t="str">
        <f>IF(OR(E3823="",E3823="!!!",F3823="NEW"),"",COUNTBLANK(OFFSET(A$1,,,SUMPRODUCT(MAX(ROW(E$2:E3823)*(E3823=E$2:E3823)))))-COUNTBLANK(OFFSET(A$1,,,SUMPRODUCT(MAX(ROW(E$1:E3822)*(E2=E$1:E3822))))))</f>
        <v> </v>
      </c>
      <c r="K3823" s="25" t="str">
        <f>IF(OR(E3823="",E3823="!!!",F3823="NEW"),"",INDEX(J$1:J3822,SUMPRODUCT(MAX(ROW(E$1:E3822)*(E3823=E$1:E3822)))))</f>
        <v> </v>
      </c>
      <c r="L3823" s="26"/>
    </row>
    <row r="3824" spans="1:12">
      <c r="A3824" s="20" t="s">
        <v>1666</v>
      </c>
      <c r="B3824" s="27" t="s">
        <v>698</v>
      </c>
      <c r="C3824" s="27" t="s">
        <v>776</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872</v>
      </c>
      <c r="E3825" s="21">
        <f>IF(D3825="?OLD","!!!","")</f>
        <v/>
      </c>
      <c r="F3825" s="22" t="str">
        <f>IF(OR(E3825="",E3825="!!!"),"",IF(NOT(ISNA(VLOOKUP(E3825,E$1:E3824,1,FALSE()))),"OLD",IF(AND(E3825&lt;&gt;"",E3825&lt;&gt;"!!!"),"NEW","")))</f>
        <v> </v>
      </c>
      <c r="G3825" s="23" t="str">
        <f>IF(OR(E3825="",E3825="!!!"),"",IF(OR(J3825=0,AND(J3825=1,K3825=1),AND(J3825=1,I3825="SBJ"),AND(J3825=1,I3825=0)),"?IN_FOCUS",IF(J3825&lt;=2,"?ACTIVATED",IF(J3825&lt;&gt;"","?FAMILIAR",IF(F3825="NEW",IF(ISNA(VLOOKUP(E3825,#REF!,1,FALSE())),"?TYPE_IDENTIFIABLE","?REFERENTIAL"),"_")))))</f>
        <v> </v>
      </c>
      <c r="H3825" s="24" t="str">
        <f>IF(J3825&lt;&gt;1,"",IF(I3825="SBJ","CB","?"))</f>
        <v> </v>
      </c>
      <c r="I3825" s="25" t="str">
        <f>IF(OR(E3825="",E3825="!!!",F3825="NEW"),"",INDEX(B3824:B$2,-1+SUMPRODUCT(MAX(ROW(E3824:E$2)*(E3825=E3824:E$2)))))</f>
        <v> </v>
      </c>
      <c r="J3825" s="25" t="str">
        <f>IF(OR(E3825="",E3825="!!!",F3825="NEW"),"",COUNTBLANK(OFFSET(A$1,,,SUMPRODUCT(MAX(ROW(E$2:E3825)*(E3825=E$2:E3825)))))-COUNTBLANK(OFFSET(A$1,,,SUMPRODUCT(MAX(ROW(E$1:E3824)*(E2=E$1:E3824))))))</f>
        <v> </v>
      </c>
      <c r="K3825" s="25" t="str">
        <f>IF(OR(E3825="",E3825="!!!",F3825="NEW"),"",INDEX(J$1:J3824,SUMPRODUCT(MAX(ROW(E$1:E3824)*(E3825=E$1:E3824)))))</f>
        <v> </v>
      </c>
      <c r="L3825" s="26"/>
    </row>
    <row r="3826" spans="1:12">
      <c r="A3826" s="20" t="s">
        <v>1378</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725</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739</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1662</v>
      </c>
      <c r="B3829" s="27" t="s">
        <v>737</v>
      </c>
      <c r="C3829" s="27" t="s">
        <v>716</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696</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1668</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1033</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t="s">
        <v>1664</v>
      </c>
      <c r="B3833" s="27" t="s">
        <v>756</v>
      </c>
      <c r="C3833" s="27" t="s">
        <v>716</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1116</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1669</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t="s">
        <v>860</v>
      </c>
      <c r="E3836" s="21">
        <f>IF(D3836="?OLD","!!!","")</f>
        <v/>
      </c>
      <c r="F3836" s="22" t="str">
        <f>IF(OR(E3836="",E3836="!!!"),"",IF(NOT(ISNA(VLOOKUP(E3836,E$1:E3835,1,FALSE()))),"OLD",IF(AND(E3836&lt;&gt;"",E3836&lt;&gt;"!!!"),"NEW","")))</f>
        <v> </v>
      </c>
      <c r="G3836" s="23" t="str">
        <f>IF(OR(E3836="",E3836="!!!"),"",IF(OR(J3836=0,AND(J3836=1,K3836=1),AND(J3836=1,I3836="SBJ"),AND(J3836=1,I3836=0)),"?IN_FOCUS",IF(J3836&lt;=2,"?ACTIVATED",IF(J3836&lt;&gt;"","?FAMILIAR",IF(F3836="NEW",IF(ISNA(VLOOKUP(E3836,#REF!,1,FALSE())),"?TYPE_IDENTIFIABLE","?REFERENTIAL"),"_")))))</f>
        <v> </v>
      </c>
      <c r="H3836" s="24" t="str">
        <f>IF(J3836&lt;&gt;1,"",IF(I3836="SBJ","CB","?"))</f>
        <v> </v>
      </c>
      <c r="I3836" s="25" t="str">
        <f>IF(OR(E3836="",E3836="!!!",F3836="NEW"),"",INDEX(B3835:B$2,-1+SUMPRODUCT(MAX(ROW(E3835:E$2)*(E3836=E3835:E$2)))))</f>
        <v> </v>
      </c>
      <c r="J3836" s="25" t="str">
        <f>IF(OR(E3836="",E3836="!!!",F3836="NEW"),"",COUNTBLANK(OFFSET(A$1,,,SUMPRODUCT(MAX(ROW(E$2:E3836)*(E3836=E$2:E3836)))))-COUNTBLANK(OFFSET(A$1,,,SUMPRODUCT(MAX(ROW(E$1:E3835)*(E2=E$1:E3835))))))</f>
        <v> </v>
      </c>
      <c r="K3836" s="25" t="str">
        <f>IF(OR(E3836="",E3836="!!!",F3836="NEW"),"",INDEX(J$1:J3835,SUMPRODUCT(MAX(ROW(E$1:E3835)*(E3836=E$1:E3835)))))</f>
        <v> </v>
      </c>
      <c r="L3836" s="26"/>
    </row>
    <row r="3837" spans="1:12">
      <c r="A3837" s="20" t="s">
        <v>1670</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635</v>
      </c>
      <c r="E3838" s="21">
        <f>IF(D3838="?OLD","!!!","")</f>
        <v/>
      </c>
      <c r="F3838" s="22" t="str">
        <f>IF(OR(E3838="",E3838="!!!"),"",IF(NOT(ISNA(VLOOKUP(E3838,E$1:E3837,1,FALSE()))),"OLD",IF(AND(E3838&lt;&gt;"",E3838&lt;&gt;"!!!"),"NEW","")))</f>
        <v> </v>
      </c>
      <c r="G3838" s="23" t="str">
        <f>IF(OR(E3838="",E3838="!!!"),"",IF(OR(J3838=0,AND(J3838=1,K3838=1),AND(J3838=1,I3838="SBJ"),AND(J3838=1,I3838=0)),"?IN_FOCUS",IF(J3838&lt;=2,"?ACTIVATED",IF(J3838&lt;&gt;"","?FAMILIAR",IF(F3838="NEW",IF(ISNA(VLOOKUP(E3838,#REF!,1,FALSE())),"?TYPE_IDENTIFIABLE","?REFERENTIAL"),"_")))))</f>
        <v> </v>
      </c>
      <c r="H3838" s="24" t="str">
        <f>IF(J3838&lt;&gt;1,"",IF(I3838="SBJ","CB","?"))</f>
        <v> </v>
      </c>
      <c r="I3838" s="25" t="str">
        <f>IF(OR(E3838="",E3838="!!!",F3838="NEW"),"",INDEX(B3837:B$2,-1+SUMPRODUCT(MAX(ROW(E3837:E$2)*(E3838=E3837:E$2)))))</f>
        <v> </v>
      </c>
      <c r="J3838" s="25" t="str">
        <f>IF(OR(E3838="",E3838="!!!",F3838="NEW"),"",COUNTBLANK(OFFSET(A$1,,,SUMPRODUCT(MAX(ROW(E$2:E3838)*(E3838=E$2:E3838)))))-COUNTBLANK(OFFSET(A$1,,,SUMPRODUCT(MAX(ROW(E$1:E3837)*(E2=E$1:E3837))))))</f>
        <v> </v>
      </c>
      <c r="K3838" s="25" t="str">
        <f>IF(OR(E3838="",E3838="!!!",F3838="NEW"),"",INDEX(J$1:J3837,SUMPRODUCT(MAX(ROW(E$1:E3837)*(E3838=E$1:E3837)))))</f>
        <v> </v>
      </c>
      <c r="L3838" s="26"/>
    </row>
    <row r="3839" spans="1:12">
      <c r="A3839" s="20" t="s">
        <v>860</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1671</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1033</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1664</v>
      </c>
      <c r="B3842" s="27" t="s">
        <v>755</v>
      </c>
      <c r="C3842" s="27" t="s">
        <v>716</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725</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721</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1578</v>
      </c>
      <c r="B3845" s="27" t="s">
        <v>709</v>
      </c>
      <c r="C3845" s="27" t="s">
        <v>693</v>
      </c>
      <c r="D3845" s="27" t="s">
        <v>694</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871</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t="s">
        <v>883</v>
      </c>
      <c r="E3847" s="21">
        <f>IF(D3847="?OLD","!!!","")</f>
        <v/>
      </c>
      <c r="F3847" s="22" t="str">
        <f>IF(OR(E3847="",E3847="!!!"),"",IF(NOT(ISNA(VLOOKUP(E3847,E$1:E3846,1,FALSE()))),"OLD",IF(AND(E3847&lt;&gt;"",E3847&lt;&gt;"!!!"),"NEW","")))</f>
        <v> </v>
      </c>
      <c r="G3847" s="23" t="str">
        <f>IF(OR(E3847="",E3847="!!!"),"",IF(OR(J3847=0,AND(J3847=1,K3847=1),AND(J3847=1,I3847="SBJ"),AND(J3847=1,I3847=0)),"?IN_FOCUS",IF(J3847&lt;=2,"?ACTIVATED",IF(J3847&lt;&gt;"","?FAMILIAR",IF(F3847="NEW",IF(ISNA(VLOOKUP(E3847,#REF!,1,FALSE())),"?TYPE_IDENTIFIABLE","?REFERENTIAL"),"_")))))</f>
        <v> </v>
      </c>
      <c r="H3847" s="24" t="str">
        <f>IF(J3847&lt;&gt;1,"",IF(I3847="SBJ","CB","?"))</f>
        <v> </v>
      </c>
      <c r="I3847" s="25" t="str">
        <f>IF(OR(E3847="",E3847="!!!",F3847="NEW"),"",INDEX(B3846:B$2,-1+SUMPRODUCT(MAX(ROW(E3846:E$2)*(E3847=E3846:E$2)))))</f>
        <v> </v>
      </c>
      <c r="J3847" s="25" t="str">
        <f>IF(OR(E3847="",E3847="!!!",F3847="NEW"),"",COUNTBLANK(OFFSET(A$1,,,SUMPRODUCT(MAX(ROW(E$2:E3847)*(E3847=E$2:E3847)))))-COUNTBLANK(OFFSET(A$1,,,SUMPRODUCT(MAX(ROW(E$1:E3846)*(E2=E$1:E3846))))))</f>
        <v> </v>
      </c>
      <c r="K3847" s="25" t="str">
        <f>IF(OR(E3847="",E3847="!!!",F3847="NEW"),"",INDEX(J$1:J3846,SUMPRODUCT(MAX(ROW(E$1:E3846)*(E3847=E$1:E3846)))))</f>
        <v> </v>
      </c>
      <c r="L3847" s="26"/>
    </row>
    <row r="3848" spans="1:12">
      <c r="A3848" s="20" t="s">
        <v>725</v>
      </c>
      <c r="E3848" s="21">
        <f>IF(D3848="?OLD","!!!","")</f>
        <v/>
      </c>
      <c r="F3848" s="22" t="str">
        <f>IF(OR(E3848="",E3848="!!!"),"",IF(NOT(ISNA(VLOOKUP(E3848,E$1:E3847,1,FALSE()))),"OLD",IF(AND(E3848&lt;&gt;"",E3848&lt;&gt;"!!!"),"NEW","")))</f>
        <v> </v>
      </c>
      <c r="G3848" s="23" t="str">
        <f>IF(OR(E3848="",E3848="!!!"),"",IF(OR(J3848=0,AND(J3848=1,K3848=1),AND(J3848=1,I3848="SBJ"),AND(J3848=1,I3848=0)),"?IN_FOCUS",IF(J3848&lt;=2,"?ACTIVATED",IF(J3848&lt;&gt;"","?FAMILIAR",IF(F3848="NEW",IF(ISNA(VLOOKUP(E3848,#REF!,1,FALSE())),"?TYPE_IDENTIFIABLE","?REFERENTIAL"),"_")))))</f>
        <v> </v>
      </c>
      <c r="H3848" s="24" t="str">
        <f>IF(J3848&lt;&gt;1,"",IF(I3848="SBJ","CB","?"))</f>
        <v> </v>
      </c>
      <c r="I3848" s="25" t="str">
        <f>IF(OR(E3848="",E3848="!!!",F3848="NEW"),"",INDEX(B3847:B$2,-1+SUMPRODUCT(MAX(ROW(E3847:E$2)*(E3848=E3847:E$2)))))</f>
        <v> </v>
      </c>
      <c r="J3848" s="25" t="str">
        <f>IF(OR(E3848="",E3848="!!!",F3848="NEW"),"",COUNTBLANK(OFFSET(A$1,,,SUMPRODUCT(MAX(ROW(E$2:E3848)*(E3848=E$2:E3848)))))-COUNTBLANK(OFFSET(A$1,,,SUMPRODUCT(MAX(ROW(E$1:E3847)*(E2=E$1:E3847))))))</f>
        <v> </v>
      </c>
      <c r="K3848" s="25" t="str">
        <f>IF(OR(E3848="",E3848="!!!",F3848="NEW"),"",INDEX(J$1:J3847,SUMPRODUCT(MAX(ROW(E$1:E3847)*(E3848=E$1:E3847)))))</f>
        <v> </v>
      </c>
      <c r="L3848" s="26"/>
    </row>
    <row r="3849" spans="1:12">
      <c r="A3849" s="20" t="s">
        <v>846</v>
      </c>
      <c r="E3849" s="21">
        <f>IF(D3849="?OLD","!!!","")</f>
        <v/>
      </c>
      <c r="F3849" s="22" t="str">
        <f>IF(OR(E3849="",E3849="!!!"),"",IF(NOT(ISNA(VLOOKUP(E3849,E$1:E3848,1,FALSE()))),"OLD",IF(AND(E3849&lt;&gt;"",E3849&lt;&gt;"!!!"),"NEW","")))</f>
        <v> </v>
      </c>
      <c r="G3849" s="23" t="str">
        <f>IF(OR(E3849="",E3849="!!!"),"",IF(OR(J3849=0,AND(J3849=1,K3849=1),AND(J3849=1,I3849="SBJ"),AND(J3849=1,I3849=0)),"?IN_FOCUS",IF(J3849&lt;=2,"?ACTIVATED",IF(J3849&lt;&gt;"","?FAMILIAR",IF(F3849="NEW",IF(ISNA(VLOOKUP(E3849,#REF!,1,FALSE())),"?TYPE_IDENTIFIABLE","?REFERENTIAL"),"_")))))</f>
        <v> </v>
      </c>
      <c r="H3849" s="24" t="str">
        <f>IF(J3849&lt;&gt;1,"",IF(I3849="SBJ","CB","?"))</f>
        <v> </v>
      </c>
      <c r="I3849" s="25" t="str">
        <f>IF(OR(E3849="",E3849="!!!",F3849="NEW"),"",INDEX(B3848:B$2,-1+SUMPRODUCT(MAX(ROW(E3848:E$2)*(E3849=E3848:E$2)))))</f>
        <v> </v>
      </c>
      <c r="J3849" s="25" t="str">
        <f>IF(OR(E3849="",E3849="!!!",F3849="NEW"),"",COUNTBLANK(OFFSET(A$1,,,SUMPRODUCT(MAX(ROW(E$2:E3849)*(E3849=E$2:E3849)))))-COUNTBLANK(OFFSET(A$1,,,SUMPRODUCT(MAX(ROW(E$1:E3848)*(E2=E$1:E3848))))))</f>
        <v> </v>
      </c>
      <c r="K3849" s="25" t="str">
        <f>IF(OR(E3849="",E3849="!!!",F3849="NEW"),"",INDEX(J$1:J3848,SUMPRODUCT(MAX(ROW(E$1:E3848)*(E3849=E$1:E3848)))))</f>
        <v> </v>
      </c>
      <c r="L3849" s="26"/>
    </row>
    <row r="3850" spans="1:12">
      <c r="A3850" s="20" t="s">
        <v>1166</v>
      </c>
      <c r="E3850" s="21">
        <f>IF(D3850="?OLD","!!!","")</f>
        <v/>
      </c>
      <c r="F3850" s="22" t="str">
        <f>IF(OR(E3850="",E3850="!!!"),"",IF(NOT(ISNA(VLOOKUP(E3850,E$1:E3849,1,FALSE()))),"OLD",IF(AND(E3850&lt;&gt;"",E3850&lt;&gt;"!!!"),"NEW","")))</f>
        <v> </v>
      </c>
      <c r="G3850" s="23" t="str">
        <f>IF(OR(E3850="",E3850="!!!"),"",IF(OR(J3850=0,AND(J3850=1,K3850=1),AND(J3850=1,I3850="SBJ"),AND(J3850=1,I3850=0)),"?IN_FOCUS",IF(J3850&lt;=2,"?ACTIVATED",IF(J3850&lt;&gt;"","?FAMILIAR",IF(F3850="NEW",IF(ISNA(VLOOKUP(E3850,#REF!,1,FALSE())),"?TYPE_IDENTIFIABLE","?REFERENTIAL"),"_")))))</f>
        <v> </v>
      </c>
      <c r="H3850" s="24" t="str">
        <f>IF(J3850&lt;&gt;1,"",IF(I3850="SBJ","CB","?"))</f>
        <v> </v>
      </c>
      <c r="I3850" s="25" t="str">
        <f>IF(OR(E3850="",E3850="!!!",F3850="NEW"),"",INDEX(B3849:B$2,-1+SUMPRODUCT(MAX(ROW(E3849:E$2)*(E3850=E3849:E$2)))))</f>
        <v> </v>
      </c>
      <c r="J3850" s="25" t="str">
        <f>IF(OR(E3850="",E3850="!!!",F3850="NEW"),"",COUNTBLANK(OFFSET(A$1,,,SUMPRODUCT(MAX(ROW(E$2:E3850)*(E3850=E$2:E3850)))))-COUNTBLANK(OFFSET(A$1,,,SUMPRODUCT(MAX(ROW(E$1:E3849)*(E2=E$1:E3849))))))</f>
        <v> </v>
      </c>
      <c r="K3850" s="25" t="str">
        <f>IF(OR(E3850="",E3850="!!!",F3850="NEW"),"",INDEX(J$1:J3849,SUMPRODUCT(MAX(ROW(E$1:E3849)*(E3850=E$1:E3849)))))</f>
        <v> </v>
      </c>
      <c r="L3850" s="26"/>
    </row>
    <row r="3851" spans="1:12">
      <c r="A3851" s="20" t="s">
        <v>874</v>
      </c>
      <c r="B3851" s="27" t="s">
        <v>709</v>
      </c>
      <c r="C3851" s="27" t="s">
        <v>733</v>
      </c>
      <c r="D3851" s="27" t="s">
        <v>694</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1672</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t="s">
        <v>742</v>
      </c>
      <c r="E3853" s="21">
        <f>IF(D3853="?OLD","!!!","")</f>
        <v/>
      </c>
      <c r="F3853" s="22" t="str">
        <f>IF(OR(E3853="",E3853="!!!"),"",IF(NOT(ISNA(VLOOKUP(E3853,E$1:E3852,1,FALSE()))),"OLD",IF(AND(E3853&lt;&gt;"",E3853&lt;&gt;"!!!"),"NEW","")))</f>
        <v> </v>
      </c>
      <c r="G3853" s="23" t="str">
        <f>IF(OR(E3853="",E3853="!!!"),"",IF(OR(J3853=0,AND(J3853=1,K3853=1),AND(J3853=1,I3853="SBJ"),AND(J3853=1,I3853=0)),"?IN_FOCUS",IF(J3853&lt;=2,"?ACTIVATED",IF(J3853&lt;&gt;"","?FAMILIAR",IF(F3853="NEW",IF(ISNA(VLOOKUP(E3853,#REF!,1,FALSE())),"?TYPE_IDENTIFIABLE","?REFERENTIAL"),"_")))))</f>
        <v> </v>
      </c>
      <c r="H3853" s="24" t="str">
        <f>IF(J3853&lt;&gt;1,"",IF(I3853="SBJ","CB","?"))</f>
        <v> </v>
      </c>
      <c r="I3853" s="25" t="str">
        <f>IF(OR(E3853="",E3853="!!!",F3853="NEW"),"",INDEX(B3852:B$2,-1+SUMPRODUCT(MAX(ROW(E3852:E$2)*(E3853=E3852:E$2)))))</f>
        <v> </v>
      </c>
      <c r="J3853" s="25" t="str">
        <f>IF(OR(E3853="",E3853="!!!",F3853="NEW"),"",COUNTBLANK(OFFSET(A$1,,,SUMPRODUCT(MAX(ROW(E$2:E3853)*(E3853=E$2:E3853)))))-COUNTBLANK(OFFSET(A$1,,,SUMPRODUCT(MAX(ROW(E$1:E3852)*(E2=E$1:E3852))))))</f>
        <v> </v>
      </c>
      <c r="K3853" s="25" t="str">
        <f>IF(OR(E3853="",E3853="!!!",F3853="NEW"),"",INDEX(J$1:J3852,SUMPRODUCT(MAX(ROW(E$1:E3852)*(E3853=E$1:E3852)))))</f>
        <v> </v>
      </c>
      <c r="L3853" s="26"/>
    </row>
    <row r="3854" spans="1:12">
      <c r="A3854" s="20" t="s">
        <v>874</v>
      </c>
      <c r="B3854" s="27" t="s">
        <v>886</v>
      </c>
      <c r="C3854" s="27" t="s">
        <v>733</v>
      </c>
      <c r="D3854" s="27" t="s">
        <v>694</v>
      </c>
      <c r="E3854" s="21">
        <f>IF(D3854="?OLD","!!!","")</f>
        <v/>
      </c>
      <c r="F3854" s="22" t="str">
        <f>IF(OR(E3854="",E3854="!!!"),"",IF(NOT(ISNA(VLOOKUP(E3854,E$1:E3853,1,FALSE()))),"OLD",IF(AND(E3854&lt;&gt;"",E3854&lt;&gt;"!!!"),"NEW","")))</f>
        <v> </v>
      </c>
      <c r="G3854" s="23" t="str">
        <f>IF(OR(E3854="",E3854="!!!"),"",IF(OR(J3854=0,AND(J3854=1,K3854=1),AND(J3854=1,I3854="SBJ"),AND(J3854=1,I3854=0)),"?IN_FOCUS",IF(J3854&lt;=2,"?ACTIVATED",IF(J3854&lt;&gt;"","?FAMILIAR",IF(F3854="NEW",IF(ISNA(VLOOKUP(E3854,#REF!,1,FALSE())),"?TYPE_IDENTIFIABLE","?REFERENTIAL"),"_")))))</f>
        <v> </v>
      </c>
      <c r="H3854" s="24" t="str">
        <f>IF(J3854&lt;&gt;1,"",IF(I3854="SBJ","CB","?"))</f>
        <v> </v>
      </c>
      <c r="I3854" s="25" t="str">
        <f>IF(OR(E3854="",E3854="!!!",F3854="NEW"),"",INDEX(B3853:B$2,-1+SUMPRODUCT(MAX(ROW(E3853:E$2)*(E3854=E3853:E$2)))))</f>
        <v> </v>
      </c>
      <c r="J3854" s="25" t="str">
        <f>IF(OR(E3854="",E3854="!!!",F3854="NEW"),"",COUNTBLANK(OFFSET(A$1,,,SUMPRODUCT(MAX(ROW(E$2:E3854)*(E3854=E$2:E3854)))))-COUNTBLANK(OFFSET(A$1,,,SUMPRODUCT(MAX(ROW(E$1:E3853)*(E2=E$1:E3853))))))</f>
        <v> </v>
      </c>
      <c r="K3854" s="25" t="str">
        <f>IF(OR(E3854="",E3854="!!!",F3854="NEW"),"",INDEX(J$1:J3853,SUMPRODUCT(MAX(ROW(E$1:E3853)*(E3854=E$1:E3853)))))</f>
        <v> </v>
      </c>
      <c r="L3854" s="26"/>
    </row>
    <row r="3855" spans="1:12">
      <c r="A3855" s="20" t="s">
        <v>871</v>
      </c>
      <c r="E3855" s="21">
        <f>IF(D3855="?OLD","!!!","")</f>
        <v/>
      </c>
      <c r="F3855" s="22" t="str">
        <f>IF(OR(E3855="",E3855="!!!"),"",IF(NOT(ISNA(VLOOKUP(E3855,E$1:E3854,1,FALSE()))),"OLD",IF(AND(E3855&lt;&gt;"",E3855&lt;&gt;"!!!"),"NEW","")))</f>
        <v> </v>
      </c>
      <c r="G3855" s="23" t="str">
        <f>IF(OR(E3855="",E3855="!!!"),"",IF(OR(J3855=0,AND(J3855=1,K3855=1),AND(J3855=1,I3855="SBJ"),AND(J3855=1,I3855=0)),"?IN_FOCUS",IF(J3855&lt;=2,"?ACTIVATED",IF(J3855&lt;&gt;"","?FAMILIAR",IF(F3855="NEW",IF(ISNA(VLOOKUP(E3855,#REF!,1,FALSE())),"?TYPE_IDENTIFIABLE","?REFERENTIAL"),"_")))))</f>
        <v> </v>
      </c>
      <c r="H3855" s="24" t="str">
        <f>IF(J3855&lt;&gt;1,"",IF(I3855="SBJ","CB","?"))</f>
        <v> </v>
      </c>
      <c r="I3855" s="25" t="str">
        <f>IF(OR(E3855="",E3855="!!!",F3855="NEW"),"",INDEX(B3854:B$2,-1+SUMPRODUCT(MAX(ROW(E3854:E$2)*(E3855=E3854:E$2)))))</f>
        <v> </v>
      </c>
      <c r="J3855" s="25" t="str">
        <f>IF(OR(E3855="",E3855="!!!",F3855="NEW"),"",COUNTBLANK(OFFSET(A$1,,,SUMPRODUCT(MAX(ROW(E$2:E3855)*(E3855=E$2:E3855)))))-COUNTBLANK(OFFSET(A$1,,,SUMPRODUCT(MAX(ROW(E$1:E3854)*(E2=E$1:E3854))))))</f>
        <v> </v>
      </c>
      <c r="K3855" s="25" t="str">
        <f>IF(OR(E3855="",E3855="!!!",F3855="NEW"),"",INDEX(J$1:J3854,SUMPRODUCT(MAX(ROW(E$1:E3854)*(E3855=E$1:E3854)))))</f>
        <v> </v>
      </c>
      <c r="L3855" s="26"/>
    </row>
    <row r="3856" spans="1:12">
      <c r="A3856" s="20" t="s">
        <v>883</v>
      </c>
      <c r="E3856" s="21">
        <f>IF(D3856="?OLD","!!!","")</f>
        <v/>
      </c>
      <c r="F3856" s="22" t="str">
        <f>IF(OR(E3856="",E3856="!!!"),"",IF(NOT(ISNA(VLOOKUP(E3856,E$1:E3855,1,FALSE()))),"OLD",IF(AND(E3856&lt;&gt;"",E3856&lt;&gt;"!!!"),"NEW","")))</f>
        <v> </v>
      </c>
      <c r="G3856" s="23" t="str">
        <f>IF(OR(E3856="",E3856="!!!"),"",IF(OR(J3856=0,AND(J3856=1,K3856=1),AND(J3856=1,I3856="SBJ"),AND(J3856=1,I3856=0)),"?IN_FOCUS",IF(J3856&lt;=2,"?ACTIVATED",IF(J3856&lt;&gt;"","?FAMILIAR",IF(F3856="NEW",IF(ISNA(VLOOKUP(E3856,#REF!,1,FALSE())),"?TYPE_IDENTIFIABLE","?REFERENTIAL"),"_")))))</f>
        <v> </v>
      </c>
      <c r="H3856" s="24" t="str">
        <f>IF(J3856&lt;&gt;1,"",IF(I3856="SBJ","CB","?"))</f>
        <v> </v>
      </c>
      <c r="I3856" s="25" t="str">
        <f>IF(OR(E3856="",E3856="!!!",F3856="NEW"),"",INDEX(B3855:B$2,-1+SUMPRODUCT(MAX(ROW(E3855:E$2)*(E3856=E3855:E$2)))))</f>
        <v> </v>
      </c>
      <c r="J3856" s="25" t="str">
        <f>IF(OR(E3856="",E3856="!!!",F3856="NEW"),"",COUNTBLANK(OFFSET(A$1,,,SUMPRODUCT(MAX(ROW(E$2:E3856)*(E3856=E$2:E3856)))))-COUNTBLANK(OFFSET(A$1,,,SUMPRODUCT(MAX(ROW(E$1:E3855)*(E2=E$1:E3855))))))</f>
        <v> </v>
      </c>
      <c r="K3856" s="25" t="str">
        <f>IF(OR(E3856="",E3856="!!!",F3856="NEW"),"",INDEX(J$1:J3855,SUMPRODUCT(MAX(ROW(E$1:E3855)*(E3856=E$1:E3855)))))</f>
        <v> </v>
      </c>
      <c r="L3856" s="26"/>
    </row>
    <row r="3857" spans="1:12">
      <c r="A3857" s="20" t="s">
        <v>699</v>
      </c>
      <c r="E3857" s="21">
        <f>IF(D3857="?OLD","!!!","")</f>
        <v/>
      </c>
      <c r="F3857" s="22" t="str">
        <f>IF(OR(E3857="",E3857="!!!"),"",IF(NOT(ISNA(VLOOKUP(E3857,E$1:E3856,1,FALSE()))),"OLD",IF(AND(E3857&lt;&gt;"",E3857&lt;&gt;"!!!"),"NEW","")))</f>
        <v> </v>
      </c>
      <c r="G3857" s="23" t="str">
        <f>IF(OR(E3857="",E3857="!!!"),"",IF(OR(J3857=0,AND(J3857=1,K3857=1),AND(J3857=1,I3857="SBJ"),AND(J3857=1,I3857=0)),"?IN_FOCUS",IF(J3857&lt;=2,"?ACTIVATED",IF(J3857&lt;&gt;"","?FAMILIAR",IF(F3857="NEW",IF(ISNA(VLOOKUP(E3857,#REF!,1,FALSE())),"?TYPE_IDENTIFIABLE","?REFERENTIAL"),"_")))))</f>
        <v> </v>
      </c>
      <c r="H3857" s="24" t="str">
        <f>IF(J3857&lt;&gt;1,"",IF(I3857="SBJ","CB","?"))</f>
        <v> </v>
      </c>
      <c r="I3857" s="25" t="str">
        <f>IF(OR(E3857="",E3857="!!!",F3857="NEW"),"",INDEX(B3856:B$2,-1+SUMPRODUCT(MAX(ROW(E3856:E$2)*(E3857=E3856:E$2)))))</f>
        <v> </v>
      </c>
      <c r="J3857" s="25" t="str">
        <f>IF(OR(E3857="",E3857="!!!",F3857="NEW"),"",COUNTBLANK(OFFSET(A$1,,,SUMPRODUCT(MAX(ROW(E$2:E3857)*(E3857=E$2:E3857)))))-COUNTBLANK(OFFSET(A$1,,,SUMPRODUCT(MAX(ROW(E$1:E3856)*(E2=E$1:E3856))))))</f>
        <v> </v>
      </c>
      <c r="K3857" s="25" t="str">
        <f>IF(OR(E3857="",E3857="!!!",F3857="NEW"),"",INDEX(J$1:J3856,SUMPRODUCT(MAX(ROW(E$1:E3856)*(E3857=E$1:E3856)))))</f>
        <v> </v>
      </c>
      <c r="L3857" s="26"/>
    </row>
    <row r="3858" spans="1:12">
      <c r="A3858" s="20"/>
    </row>
    <row r="3859" spans="1:12">
      <c r="A3859" s="20" t="s">
        <v>1673</v>
      </c>
    </row>
    <row r="3860" spans="1:12">
      <c r="A3860" s="20" t="s">
        <v>1096</v>
      </c>
      <c r="E3860" s="21">
        <f>IF(D3860="?OLD","!!!","")</f>
        <v/>
      </c>
      <c r="F3860" s="22" t="str">
        <f>IF(OR(E3860="",E3860="!!!"),"",IF(NOT(ISNA(VLOOKUP(E3860,E$1:E3859,1,FALSE()))),"OLD",IF(AND(E3860&lt;&gt;"",E3860&lt;&gt;"!!!"),"NEW","")))</f>
        <v> </v>
      </c>
      <c r="G3860" s="23" t="str">
        <f>IF(OR(E3860="",E3860="!!!"),"",IF(OR(J3860=0,AND(J3860=1,K3860=1),AND(J3860=1,I3860="SBJ"),AND(J3860=1,I3860=0)),"?IN_FOCUS",IF(J3860&lt;=2,"?ACTIVATED",IF(J3860&lt;&gt;"","?FAMILIAR",IF(F3860="NEW",IF(ISNA(VLOOKUP(E3860,#REF!,1,FALSE())),"?TYPE_IDENTIFIABLE","?REFERENTIAL"),"_")))))</f>
        <v> </v>
      </c>
      <c r="H3860" s="24" t="str">
        <f>IF(J3860&lt;&gt;1,"",IF(I3860="SBJ","CB","?"))</f>
        <v> </v>
      </c>
      <c r="I3860" s="25" t="str">
        <f>IF(OR(E3860="",E3860="!!!",F3860="NEW"),"",INDEX(B3859:B$2,-1+SUMPRODUCT(MAX(ROW(E3859:E$2)*(E3860=E3859:E$2)))))</f>
        <v> </v>
      </c>
      <c r="J3860" s="25" t="str">
        <f>IF(OR(E3860="",E3860="!!!",F3860="NEW"),"",COUNTBLANK(OFFSET(A$1,,,SUMPRODUCT(MAX(ROW(E$2:E3860)*(E3860=E$2:E3860)))))-COUNTBLANK(OFFSET(A$1,,,SUMPRODUCT(MAX(ROW(E$1:E3859)*(E2=E$1:E3859))))))</f>
        <v> </v>
      </c>
      <c r="K3860" s="25" t="str">
        <f>IF(OR(E3860="",E3860="!!!",F3860="NEW"),"",INDEX(J$1:J3859,SUMPRODUCT(MAX(ROW(E$1:E3859)*(E3860=E$1:E3859)))))</f>
        <v> </v>
      </c>
      <c r="L3860" s="26"/>
    </row>
    <row r="3861" spans="1:12">
      <c r="A3861" s="20" t="s">
        <v>690</v>
      </c>
      <c r="E3861" s="21">
        <f>IF(D3861="?OLD","!!!","")</f>
        <v/>
      </c>
      <c r="F3861" s="22" t="str">
        <f>IF(OR(E3861="",E3861="!!!"),"",IF(NOT(ISNA(VLOOKUP(E3861,E$1:E3860,1,FALSE()))),"OLD",IF(AND(E3861&lt;&gt;"",E3861&lt;&gt;"!!!"),"NEW","")))</f>
        <v> </v>
      </c>
      <c r="G3861" s="23" t="str">
        <f>IF(OR(E3861="",E3861="!!!"),"",IF(OR(J3861=0,AND(J3861=1,K3861=1),AND(J3861=1,I3861="SBJ"),AND(J3861=1,I3861=0)),"?IN_FOCUS",IF(J3861&lt;=2,"?ACTIVATED",IF(J3861&lt;&gt;"","?FAMILIAR",IF(F3861="NEW",IF(ISNA(VLOOKUP(E3861,#REF!,1,FALSE())),"?TYPE_IDENTIFIABLE","?REFERENTIAL"),"_")))))</f>
        <v> </v>
      </c>
      <c r="H3861" s="24" t="str">
        <f>IF(J3861&lt;&gt;1,"",IF(I3861="SBJ","CB","?"))</f>
        <v> </v>
      </c>
      <c r="I3861" s="25" t="str">
        <f>IF(OR(E3861="",E3861="!!!",F3861="NEW"),"",INDEX(B3860:B$2,-1+SUMPRODUCT(MAX(ROW(E3860:E$2)*(E3861=E3860:E$2)))))</f>
        <v> </v>
      </c>
      <c r="J3861" s="25" t="str">
        <f>IF(OR(E3861="",E3861="!!!",F3861="NEW"),"",COUNTBLANK(OFFSET(A$1,,,SUMPRODUCT(MAX(ROW(E$2:E3861)*(E3861=E$2:E3861)))))-COUNTBLANK(OFFSET(A$1,,,SUMPRODUCT(MAX(ROW(E$1:E3860)*(E2=E$1:E3860))))))</f>
        <v> </v>
      </c>
      <c r="K3861" s="25" t="str">
        <f>IF(OR(E3861="",E3861="!!!",F3861="NEW"),"",INDEX(J$1:J3860,SUMPRODUCT(MAX(ROW(E$1:E3860)*(E3861=E$1:E3860)))))</f>
        <v> </v>
      </c>
      <c r="L3861" s="26"/>
    </row>
    <row r="3862" spans="1:12">
      <c r="A3862" s="20" t="s">
        <v>1674</v>
      </c>
      <c r="B3862" s="27" t="s">
        <v>698</v>
      </c>
      <c r="C3862" s="27" t="s">
        <v>693</v>
      </c>
      <c r="D3862" s="27" t="s">
        <v>694</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t="s">
        <v>725</v>
      </c>
      <c r="E3863" s="21">
        <f>IF(D3863="?OLD","!!!","")</f>
        <v/>
      </c>
      <c r="F3863" s="22" t="str">
        <f>IF(OR(E3863="",E3863="!!!"),"",IF(NOT(ISNA(VLOOKUP(E3863,E$1:E3862,1,FALSE()))),"OLD",IF(AND(E3863&lt;&gt;"",E3863&lt;&gt;"!!!"),"NEW","")))</f>
        <v> </v>
      </c>
      <c r="G3863" s="23" t="str">
        <f>IF(OR(E3863="",E3863="!!!"),"",IF(OR(J3863=0,AND(J3863=1,K3863=1),AND(J3863=1,I3863="SBJ"),AND(J3863=1,I3863=0)),"?IN_FOCUS",IF(J3863&lt;=2,"?ACTIVATED",IF(J3863&lt;&gt;"","?FAMILIAR",IF(F3863="NEW",IF(ISNA(VLOOKUP(E3863,#REF!,1,FALSE())),"?TYPE_IDENTIFIABLE","?REFERENTIAL"),"_")))))</f>
        <v> </v>
      </c>
      <c r="H3863" s="24" t="str">
        <f>IF(J3863&lt;&gt;1,"",IF(I3863="SBJ","CB","?"))</f>
        <v> </v>
      </c>
      <c r="I3863" s="25" t="str">
        <f>IF(OR(E3863="",E3863="!!!",F3863="NEW"),"",INDEX(B3862:B$2,-1+SUMPRODUCT(MAX(ROW(E3862:E$2)*(E3863=E3862:E$2)))))</f>
        <v> </v>
      </c>
      <c r="J3863" s="25" t="str">
        <f>IF(OR(E3863="",E3863="!!!",F3863="NEW"),"",COUNTBLANK(OFFSET(A$1,,,SUMPRODUCT(MAX(ROW(E$2:E3863)*(E3863=E$2:E3863)))))-COUNTBLANK(OFFSET(A$1,,,SUMPRODUCT(MAX(ROW(E$1:E3862)*(E2=E$1:E3862))))))</f>
        <v> </v>
      </c>
      <c r="K3863" s="25" t="str">
        <f>IF(OR(E3863="",E3863="!!!",F3863="NEW"),"",INDEX(J$1:J3862,SUMPRODUCT(MAX(ROW(E$1:E3862)*(E3863=E$1:E3862)))))</f>
        <v> </v>
      </c>
      <c r="L3863" s="26"/>
    </row>
    <row r="3864" spans="1:12">
      <c r="A3864" s="20" t="s">
        <v>747</v>
      </c>
      <c r="E3864" s="21">
        <f>IF(D3864="?OLD","!!!","")</f>
        <v/>
      </c>
      <c r="F3864" s="22" t="str">
        <f>IF(OR(E3864="",E3864="!!!"),"",IF(NOT(ISNA(VLOOKUP(E3864,E$1:E3863,1,FALSE()))),"OLD",IF(AND(E3864&lt;&gt;"",E3864&lt;&gt;"!!!"),"NEW","")))</f>
        <v> </v>
      </c>
      <c r="G3864" s="23" t="str">
        <f>IF(OR(E3864="",E3864="!!!"),"",IF(OR(J3864=0,AND(J3864=1,K3864=1),AND(J3864=1,I3864="SBJ"),AND(J3864=1,I3864=0)),"?IN_FOCUS",IF(J3864&lt;=2,"?ACTIVATED",IF(J3864&lt;&gt;"","?FAMILIAR",IF(F3864="NEW",IF(ISNA(VLOOKUP(E3864,#REF!,1,FALSE())),"?TYPE_IDENTIFIABLE","?REFERENTIAL"),"_")))))</f>
        <v> </v>
      </c>
      <c r="H3864" s="24" t="str">
        <f>IF(J3864&lt;&gt;1,"",IF(I3864="SBJ","CB","?"))</f>
        <v> </v>
      </c>
      <c r="I3864" s="25" t="str">
        <f>IF(OR(E3864="",E3864="!!!",F3864="NEW"),"",INDEX(B3863:B$2,-1+SUMPRODUCT(MAX(ROW(E3863:E$2)*(E3864=E3863:E$2)))))</f>
        <v> </v>
      </c>
      <c r="J3864" s="25" t="str">
        <f>IF(OR(E3864="",E3864="!!!",F3864="NEW"),"",COUNTBLANK(OFFSET(A$1,,,SUMPRODUCT(MAX(ROW(E$2:E3864)*(E3864=E$2:E3864)))))-COUNTBLANK(OFFSET(A$1,,,SUMPRODUCT(MAX(ROW(E$1:E3863)*(E2=E$1:E3863))))))</f>
        <v> </v>
      </c>
      <c r="K3864" s="25" t="str">
        <f>IF(OR(E3864="",E3864="!!!",F3864="NEW"),"",INDEX(J$1:J3863,SUMPRODUCT(MAX(ROW(E$1:E3863)*(E3864=E$1:E3863)))))</f>
        <v> </v>
      </c>
      <c r="L3864" s="26"/>
    </row>
    <row r="3865" spans="1:12">
      <c r="A3865" s="20" t="s">
        <v>1675</v>
      </c>
      <c r="B3865" s="27" t="s">
        <v>692</v>
      </c>
      <c r="C3865" s="27" t="s">
        <v>693</v>
      </c>
      <c r="D3865" s="27" t="s">
        <v>694</v>
      </c>
      <c r="E3865" s="21">
        <f>IF(D3865="?OLD","!!!","")</f>
        <v/>
      </c>
      <c r="F3865" s="22" t="str">
        <f>IF(OR(E3865="",E3865="!!!"),"",IF(NOT(ISNA(VLOOKUP(E3865,E$1:E3864,1,FALSE()))),"OLD",IF(AND(E3865&lt;&gt;"",E3865&lt;&gt;"!!!"),"NEW","")))</f>
        <v> </v>
      </c>
      <c r="G3865" s="23" t="str">
        <f>IF(OR(E3865="",E3865="!!!"),"",IF(OR(J3865=0,AND(J3865=1,K3865=1),AND(J3865=1,I3865="SBJ"),AND(J3865=1,I3865=0)),"?IN_FOCUS",IF(J3865&lt;=2,"?ACTIVATED",IF(J3865&lt;&gt;"","?FAMILIAR",IF(F3865="NEW",IF(ISNA(VLOOKUP(E3865,#REF!,1,FALSE())),"?TYPE_IDENTIFIABLE","?REFERENTIAL"),"_")))))</f>
        <v> </v>
      </c>
      <c r="H3865" s="24" t="str">
        <f>IF(J3865&lt;&gt;1,"",IF(I3865="SBJ","CB","?"))</f>
        <v> </v>
      </c>
      <c r="I3865" s="25" t="str">
        <f>IF(OR(E3865="",E3865="!!!",F3865="NEW"),"",INDEX(B3864:B$2,-1+SUMPRODUCT(MAX(ROW(E3864:E$2)*(E3865=E3864:E$2)))))</f>
        <v> </v>
      </c>
      <c r="J3865" s="25" t="str">
        <f>IF(OR(E3865="",E3865="!!!",F3865="NEW"),"",COUNTBLANK(OFFSET(A$1,,,SUMPRODUCT(MAX(ROW(E$2:E3865)*(E3865=E$2:E3865)))))-COUNTBLANK(OFFSET(A$1,,,SUMPRODUCT(MAX(ROW(E$1:E3864)*(E2=E$1:E3864))))))</f>
        <v> </v>
      </c>
      <c r="K3865" s="25" t="str">
        <f>IF(OR(E3865="",E3865="!!!",F3865="NEW"),"",INDEX(J$1:J3864,SUMPRODUCT(MAX(ROW(E$1:E3864)*(E3865=E$1:E3864)))))</f>
        <v> </v>
      </c>
      <c r="L3865" s="26"/>
    </row>
    <row r="3866" spans="1:12">
      <c r="A3866" s="20" t="s">
        <v>696</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t="s">
        <v>697</v>
      </c>
      <c r="B3867" s="27" t="s">
        <v>737</v>
      </c>
      <c r="C3867" s="27" t="s">
        <v>716</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814</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1652</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t="s">
        <v>1676</v>
      </c>
      <c r="E3870" s="21">
        <f>IF(D3870="?OLD","!!!","")</f>
        <v/>
      </c>
      <c r="F3870" s="22" t="str">
        <f>IF(OR(E3870="",E3870="!!!"),"",IF(NOT(ISNA(VLOOKUP(E3870,E$1:E3869,1,FALSE()))),"OLD",IF(AND(E3870&lt;&gt;"",E3870&lt;&gt;"!!!"),"NEW","")))</f>
        <v> </v>
      </c>
      <c r="G3870" s="23" t="str">
        <f>IF(OR(E3870="",E3870="!!!"),"",IF(OR(J3870=0,AND(J3870=1,K3870=1),AND(J3870=1,I3870="SBJ"),AND(J3870=1,I3870=0)),"?IN_FOCUS",IF(J3870&lt;=2,"?ACTIVATED",IF(J3870&lt;&gt;"","?FAMILIAR",IF(F3870="NEW",IF(ISNA(VLOOKUP(E3870,#REF!,1,FALSE())),"?TYPE_IDENTIFIABLE","?REFERENTIAL"),"_")))))</f>
        <v> </v>
      </c>
      <c r="H3870" s="24" t="str">
        <f>IF(J3870&lt;&gt;1,"",IF(I3870="SBJ","CB","?"))</f>
        <v> </v>
      </c>
      <c r="I3870" s="25" t="str">
        <f>IF(OR(E3870="",E3870="!!!",F3870="NEW"),"",INDEX(B3869:B$2,-1+SUMPRODUCT(MAX(ROW(E3869:E$2)*(E3870=E3869:E$2)))))</f>
        <v> </v>
      </c>
      <c r="J3870" s="25" t="str">
        <f>IF(OR(E3870="",E3870="!!!",F3870="NEW"),"",COUNTBLANK(OFFSET(A$1,,,SUMPRODUCT(MAX(ROW(E$2:E3870)*(E3870=E$2:E3870)))))-COUNTBLANK(OFFSET(A$1,,,SUMPRODUCT(MAX(ROW(E$1:E3869)*(E2=E$1:E3869))))))</f>
        <v> </v>
      </c>
      <c r="K3870" s="25" t="str">
        <f>IF(OR(E3870="",E3870="!!!",F3870="NEW"),"",INDEX(J$1:J3869,SUMPRODUCT(MAX(ROW(E$1:E3869)*(E3870=E$1:E3869)))))</f>
        <v> </v>
      </c>
      <c r="L3870" s="26"/>
    </row>
    <row r="3871" spans="1:12">
      <c r="A3871" s="20" t="s">
        <v>699</v>
      </c>
      <c r="E3871" s="21">
        <f>IF(D3871="?OLD","!!!","")</f>
        <v/>
      </c>
      <c r="F3871" s="22" t="str">
        <f>IF(OR(E3871="",E3871="!!!"),"",IF(NOT(ISNA(VLOOKUP(E3871,E$1:E3870,1,FALSE()))),"OLD",IF(AND(E3871&lt;&gt;"",E3871&lt;&gt;"!!!"),"NEW","")))</f>
        <v> </v>
      </c>
      <c r="G3871" s="23" t="str">
        <f>IF(OR(E3871="",E3871="!!!"),"",IF(OR(J3871=0,AND(J3871=1,K3871=1),AND(J3871=1,I3871="SBJ"),AND(J3871=1,I3871=0)),"?IN_FOCUS",IF(J3871&lt;=2,"?ACTIVATED",IF(J3871&lt;&gt;"","?FAMILIAR",IF(F3871="NEW",IF(ISNA(VLOOKUP(E3871,#REF!,1,FALSE())),"?TYPE_IDENTIFIABLE","?REFERENTIAL"),"_")))))</f>
        <v> </v>
      </c>
      <c r="H3871" s="24" t="str">
        <f>IF(J3871&lt;&gt;1,"",IF(I3871="SBJ","CB","?"))</f>
        <v> </v>
      </c>
      <c r="I3871" s="25" t="str">
        <f>IF(OR(E3871="",E3871="!!!",F3871="NEW"),"",INDEX(B3870:B$2,-1+SUMPRODUCT(MAX(ROW(E3870:E$2)*(E3871=E3870:E$2)))))</f>
        <v> </v>
      </c>
      <c r="J3871" s="25" t="str">
        <f>IF(OR(E3871="",E3871="!!!",F3871="NEW"),"",COUNTBLANK(OFFSET(A$1,,,SUMPRODUCT(MAX(ROW(E$2:E3871)*(E3871=E$2:E3871)))))-COUNTBLANK(OFFSET(A$1,,,SUMPRODUCT(MAX(ROW(E$1:E3870)*(E2=E$1:E3870))))))</f>
        <v> </v>
      </c>
      <c r="K3871" s="25" t="str">
        <f>IF(OR(E3871="",E3871="!!!",F3871="NEW"),"",INDEX(J$1:J3870,SUMPRODUCT(MAX(ROW(E$1:E3870)*(E3871=E$1:E3870)))))</f>
        <v> </v>
      </c>
      <c r="L3871" s="26"/>
    </row>
    <row r="3872" spans="1:12">
      <c r="A3872" s="20"/>
    </row>
    <row r="3873" spans="1:12">
      <c r="A3873" s="20" t="s">
        <v>1677</v>
      </c>
    </row>
    <row r="3874" spans="1:12">
      <c r="A3874" s="20" t="s">
        <v>1678</v>
      </c>
      <c r="E3874" s="21">
        <f>IF(D3874="?OLD","!!!","")</f>
        <v/>
      </c>
      <c r="F3874" s="22" t="str">
        <f>IF(OR(E3874="",E3874="!!!"),"",IF(NOT(ISNA(VLOOKUP(E3874,E$1:E3873,1,FALSE()))),"OLD",IF(AND(E3874&lt;&gt;"",E3874&lt;&gt;"!!!"),"NEW","")))</f>
        <v> </v>
      </c>
      <c r="G3874" s="23" t="str">
        <f>IF(OR(E3874="",E3874="!!!"),"",IF(OR(J3874=0,AND(J3874=1,K3874=1),AND(J3874=1,I3874="SBJ"),AND(J3874=1,I3874=0)),"?IN_FOCUS",IF(J3874&lt;=2,"?ACTIVATED",IF(J3874&lt;&gt;"","?FAMILIAR",IF(F3874="NEW",IF(ISNA(VLOOKUP(E3874,#REF!,1,FALSE())),"?TYPE_IDENTIFIABLE","?REFERENTIAL"),"_")))))</f>
        <v> </v>
      </c>
      <c r="H3874" s="24" t="str">
        <f>IF(J3874&lt;&gt;1,"",IF(I3874="SBJ","CB","?"))</f>
        <v> </v>
      </c>
      <c r="I3874" s="25" t="str">
        <f>IF(OR(E3874="",E3874="!!!",F3874="NEW"),"",INDEX(B3873:B$2,-1+SUMPRODUCT(MAX(ROW(E3873:E$2)*(E3874=E3873:E$2)))))</f>
        <v> </v>
      </c>
      <c r="J3874" s="25" t="str">
        <f>IF(OR(E3874="",E3874="!!!",F3874="NEW"),"",COUNTBLANK(OFFSET(A$1,,,SUMPRODUCT(MAX(ROW(E$2:E3874)*(E3874=E$2:E3874)))))-COUNTBLANK(OFFSET(A$1,,,SUMPRODUCT(MAX(ROW(E$1:E3873)*(E2=E$1:E3873))))))</f>
        <v> </v>
      </c>
      <c r="K3874" s="25" t="str">
        <f>IF(OR(E3874="",E3874="!!!",F3874="NEW"),"",INDEX(J$1:J3873,SUMPRODUCT(MAX(ROW(E$1:E3873)*(E3874=E$1:E3873)))))</f>
        <v> </v>
      </c>
      <c r="L3874" s="26"/>
    </row>
    <row r="3875" spans="1:12">
      <c r="A3875" s="20" t="s">
        <v>725</v>
      </c>
      <c r="E3875" s="21">
        <f>IF(D3875="?OLD","!!!","")</f>
        <v/>
      </c>
      <c r="F3875" s="22" t="str">
        <f>IF(OR(E3875="",E3875="!!!"),"",IF(NOT(ISNA(VLOOKUP(E3875,E$1:E3874,1,FALSE()))),"OLD",IF(AND(E3875&lt;&gt;"",E3875&lt;&gt;"!!!"),"NEW","")))</f>
        <v> </v>
      </c>
      <c r="G3875" s="23" t="str">
        <f>IF(OR(E3875="",E3875="!!!"),"",IF(OR(J3875=0,AND(J3875=1,K3875=1),AND(J3875=1,I3875="SBJ"),AND(J3875=1,I3875=0)),"?IN_FOCUS",IF(J3875&lt;=2,"?ACTIVATED",IF(J3875&lt;&gt;"","?FAMILIAR",IF(F3875="NEW",IF(ISNA(VLOOKUP(E3875,#REF!,1,FALSE())),"?TYPE_IDENTIFIABLE","?REFERENTIAL"),"_")))))</f>
        <v> </v>
      </c>
      <c r="H3875" s="24" t="str">
        <f>IF(J3875&lt;&gt;1,"",IF(I3875="SBJ","CB","?"))</f>
        <v> </v>
      </c>
      <c r="I3875" s="25" t="str">
        <f>IF(OR(E3875="",E3875="!!!",F3875="NEW"),"",INDEX(B3874:B$2,-1+SUMPRODUCT(MAX(ROW(E3874:E$2)*(E3875=E3874:E$2)))))</f>
        <v> </v>
      </c>
      <c r="J3875" s="25" t="str">
        <f>IF(OR(E3875="",E3875="!!!",F3875="NEW"),"",COUNTBLANK(OFFSET(A$1,,,SUMPRODUCT(MAX(ROW(E$2:E3875)*(E3875=E$2:E3875)))))-COUNTBLANK(OFFSET(A$1,,,SUMPRODUCT(MAX(ROW(E$1:E3874)*(E2=E$1:E3874))))))</f>
        <v> </v>
      </c>
      <c r="K3875" s="25" t="str">
        <f>IF(OR(E3875="",E3875="!!!",F3875="NEW"),"",INDEX(J$1:J3874,SUMPRODUCT(MAX(ROW(E$1:E3874)*(E3875=E$1:E3874)))))</f>
        <v> </v>
      </c>
      <c r="L3875" s="26"/>
    </row>
    <row r="3876" spans="1:12">
      <c r="A3876" s="20" t="s">
        <v>904</v>
      </c>
      <c r="B3876" s="27" t="s">
        <v>692</v>
      </c>
      <c r="C3876" s="27" t="s">
        <v>733</v>
      </c>
      <c r="D3876" s="27" t="s">
        <v>694</v>
      </c>
      <c r="E3876" s="21">
        <f>IF(D3876="?OLD","!!!","")</f>
        <v/>
      </c>
      <c r="F3876" s="22" t="str">
        <f>IF(OR(E3876="",E3876="!!!"),"",IF(NOT(ISNA(VLOOKUP(E3876,E$1:E3875,1,FALSE()))),"OLD",IF(AND(E3876&lt;&gt;"",E3876&lt;&gt;"!!!"),"NEW","")))</f>
        <v> </v>
      </c>
      <c r="G3876" s="23" t="str">
        <f>IF(OR(E3876="",E3876="!!!"),"",IF(OR(J3876=0,AND(J3876=1,K3876=1),AND(J3876=1,I3876="SBJ"),AND(J3876=1,I3876=0)),"?IN_FOCUS",IF(J3876&lt;=2,"?ACTIVATED",IF(J3876&lt;&gt;"","?FAMILIAR",IF(F3876="NEW",IF(ISNA(VLOOKUP(E3876,#REF!,1,FALSE())),"?TYPE_IDENTIFIABLE","?REFERENTIAL"),"_")))))</f>
        <v> </v>
      </c>
      <c r="H3876" s="24" t="str">
        <f>IF(J3876&lt;&gt;1,"",IF(I3876="SBJ","CB","?"))</f>
        <v> </v>
      </c>
      <c r="I3876" s="25" t="str">
        <f>IF(OR(E3876="",E3876="!!!",F3876="NEW"),"",INDEX(B3875:B$2,-1+SUMPRODUCT(MAX(ROW(E3875:E$2)*(E3876=E3875:E$2)))))</f>
        <v> </v>
      </c>
      <c r="J3876" s="25" t="str">
        <f>IF(OR(E3876="",E3876="!!!",F3876="NEW"),"",COUNTBLANK(OFFSET(A$1,,,SUMPRODUCT(MAX(ROW(E$2:E3876)*(E3876=E$2:E3876)))))-COUNTBLANK(OFFSET(A$1,,,SUMPRODUCT(MAX(ROW(E$1:E3875)*(E2=E$1:E3875))))))</f>
        <v> </v>
      </c>
      <c r="K3876" s="25" t="str">
        <f>IF(OR(E3876="",E3876="!!!",F3876="NEW"),"",INDEX(J$1:J3875,SUMPRODUCT(MAX(ROW(E$1:E3875)*(E3876=E$1:E3875)))))</f>
        <v> </v>
      </c>
      <c r="L3876" s="26"/>
    </row>
    <row r="3877" spans="1:12">
      <c r="A3877" s="20" t="s">
        <v>824</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t="s">
        <v>1215</v>
      </c>
      <c r="E3878" s="21">
        <f>IF(D3878="?OLD","!!!","")</f>
        <v/>
      </c>
      <c r="F3878" s="22" t="str">
        <f>IF(OR(E3878="",E3878="!!!"),"",IF(NOT(ISNA(VLOOKUP(E3878,E$1:E3877,1,FALSE()))),"OLD",IF(AND(E3878&lt;&gt;"",E3878&lt;&gt;"!!!"),"NEW","")))</f>
        <v> </v>
      </c>
      <c r="G3878" s="23" t="str">
        <f>IF(OR(E3878="",E3878="!!!"),"",IF(OR(J3878=0,AND(J3878=1,K3878=1),AND(J3878=1,I3878="SBJ"),AND(J3878=1,I3878=0)),"?IN_FOCUS",IF(J3878&lt;=2,"?ACTIVATED",IF(J3878&lt;&gt;"","?FAMILIAR",IF(F3878="NEW",IF(ISNA(VLOOKUP(E3878,#REF!,1,FALSE())),"?TYPE_IDENTIFIABLE","?REFERENTIAL"),"_")))))</f>
        <v> </v>
      </c>
      <c r="H3878" s="24" t="str">
        <f>IF(J3878&lt;&gt;1,"",IF(I3878="SBJ","CB","?"))</f>
        <v> </v>
      </c>
      <c r="I3878" s="25" t="str">
        <f>IF(OR(E3878="",E3878="!!!",F3878="NEW"),"",INDEX(B3877:B$2,-1+SUMPRODUCT(MAX(ROW(E3877:E$2)*(E3878=E3877:E$2)))))</f>
        <v> </v>
      </c>
      <c r="J3878" s="25" t="str">
        <f>IF(OR(E3878="",E3878="!!!",F3878="NEW"),"",COUNTBLANK(OFFSET(A$1,,,SUMPRODUCT(MAX(ROW(E$2:E3878)*(E3878=E$2:E3878)))))-COUNTBLANK(OFFSET(A$1,,,SUMPRODUCT(MAX(ROW(E$1:E3877)*(E2=E$1:E3877))))))</f>
        <v> </v>
      </c>
      <c r="K3878" s="25" t="str">
        <f>IF(OR(E3878="",E3878="!!!",F3878="NEW"),"",INDEX(J$1:J3877,SUMPRODUCT(MAX(ROW(E$1:E3877)*(E3878=E$1:E3877)))))</f>
        <v> </v>
      </c>
      <c r="L3878" s="26"/>
    </row>
    <row r="3879" spans="1:12">
      <c r="A3879" s="20" t="s">
        <v>1210</v>
      </c>
      <c r="E3879" s="21">
        <f>IF(D3879="?OLD","!!!","")</f>
        <v/>
      </c>
      <c r="F3879" s="22" t="str">
        <f>IF(OR(E3879="",E3879="!!!"),"",IF(NOT(ISNA(VLOOKUP(E3879,E$1:E3878,1,FALSE()))),"OLD",IF(AND(E3879&lt;&gt;"",E3879&lt;&gt;"!!!"),"NEW","")))</f>
        <v> </v>
      </c>
      <c r="G3879" s="23" t="str">
        <f>IF(OR(E3879="",E3879="!!!"),"",IF(OR(J3879=0,AND(J3879=1,K3879=1),AND(J3879=1,I3879="SBJ"),AND(J3879=1,I3879=0)),"?IN_FOCUS",IF(J3879&lt;=2,"?ACTIVATED",IF(J3879&lt;&gt;"","?FAMILIAR",IF(F3879="NEW",IF(ISNA(VLOOKUP(E3879,#REF!,1,FALSE())),"?TYPE_IDENTIFIABLE","?REFERENTIAL"),"_")))))</f>
        <v> </v>
      </c>
      <c r="H3879" s="24" t="str">
        <f>IF(J3879&lt;&gt;1,"",IF(I3879="SBJ","CB","?"))</f>
        <v> </v>
      </c>
      <c r="I3879" s="25" t="str">
        <f>IF(OR(E3879="",E3879="!!!",F3879="NEW"),"",INDEX(B3878:B$2,-1+SUMPRODUCT(MAX(ROW(E3878:E$2)*(E3879=E3878:E$2)))))</f>
        <v> </v>
      </c>
      <c r="J3879" s="25" t="str">
        <f>IF(OR(E3879="",E3879="!!!",F3879="NEW"),"",COUNTBLANK(OFFSET(A$1,,,SUMPRODUCT(MAX(ROW(E$2:E3879)*(E3879=E$2:E3879)))))-COUNTBLANK(OFFSET(A$1,,,SUMPRODUCT(MAX(ROW(E$1:E3878)*(E2=E$1:E3878))))))</f>
        <v> </v>
      </c>
      <c r="K3879" s="25" t="str">
        <f>IF(OR(E3879="",E3879="!!!",F3879="NEW"),"",INDEX(J$1:J3878,SUMPRODUCT(MAX(ROW(E$1:E3878)*(E3879=E$1:E3878)))))</f>
        <v> </v>
      </c>
      <c r="L3879" s="26"/>
    </row>
    <row r="3880" spans="1:12">
      <c r="A3880" s="20" t="s">
        <v>1679</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774</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t="s">
        <v>1675</v>
      </c>
      <c r="B3882" s="27" t="s">
        <v>706</v>
      </c>
      <c r="C3882" s="27" t="s">
        <v>776</v>
      </c>
      <c r="E3882" s="21">
        <f>IF(D3882="?OLD","!!!","")</f>
        <v/>
      </c>
      <c r="F3882" s="22" t="str">
        <f>IF(OR(E3882="",E3882="!!!"),"",IF(NOT(ISNA(VLOOKUP(E3882,E$1:E3881,1,FALSE()))),"OLD",IF(AND(E3882&lt;&gt;"",E3882&lt;&gt;"!!!"),"NEW","")))</f>
        <v> </v>
      </c>
      <c r="G3882" s="23" t="str">
        <f>IF(OR(E3882="",E3882="!!!"),"",IF(OR(J3882=0,AND(J3882=1,K3882=1),AND(J3882=1,I3882="SBJ"),AND(J3882=1,I3882=0)),"?IN_FOCUS",IF(J3882&lt;=2,"?ACTIVATED",IF(J3882&lt;&gt;"","?FAMILIAR",IF(F3882="NEW",IF(ISNA(VLOOKUP(E3882,#REF!,1,FALSE())),"?TYPE_IDENTIFIABLE","?REFERENTIAL"),"_")))))</f>
        <v> </v>
      </c>
      <c r="H3882" s="24" t="str">
        <f>IF(J3882&lt;&gt;1,"",IF(I3882="SBJ","CB","?"))</f>
        <v> </v>
      </c>
      <c r="I3882" s="25" t="str">
        <f>IF(OR(E3882="",E3882="!!!",F3882="NEW"),"",INDEX(B3881:B$2,-1+SUMPRODUCT(MAX(ROW(E3881:E$2)*(E3882=E3881:E$2)))))</f>
        <v> </v>
      </c>
      <c r="J3882" s="25" t="str">
        <f>IF(OR(E3882="",E3882="!!!",F3882="NEW"),"",COUNTBLANK(OFFSET(A$1,,,SUMPRODUCT(MAX(ROW(E$2:E3882)*(E3882=E$2:E3882)))))-COUNTBLANK(OFFSET(A$1,,,SUMPRODUCT(MAX(ROW(E$1:E3881)*(E2=E$1:E3881))))))</f>
        <v> </v>
      </c>
      <c r="K3882" s="25" t="str">
        <f>IF(OR(E3882="",E3882="!!!",F3882="NEW"),"",INDEX(J$1:J3881,SUMPRODUCT(MAX(ROW(E$1:E3881)*(E3882=E$1:E3881)))))</f>
        <v> </v>
      </c>
      <c r="L3882" s="26"/>
    </row>
    <row r="3883" spans="1:12">
      <c r="A3883" s="20" t="s">
        <v>796</v>
      </c>
      <c r="E3883" s="21">
        <f>IF(D3883="?OLD","!!!","")</f>
        <v/>
      </c>
      <c r="F3883" s="22" t="str">
        <f>IF(OR(E3883="",E3883="!!!"),"",IF(NOT(ISNA(VLOOKUP(E3883,E$1:E3882,1,FALSE()))),"OLD",IF(AND(E3883&lt;&gt;"",E3883&lt;&gt;"!!!"),"NEW","")))</f>
        <v> </v>
      </c>
      <c r="G3883" s="23" t="str">
        <f>IF(OR(E3883="",E3883="!!!"),"",IF(OR(J3883=0,AND(J3883=1,K3883=1),AND(J3883=1,I3883="SBJ"),AND(J3883=1,I3883=0)),"?IN_FOCUS",IF(J3883&lt;=2,"?ACTIVATED",IF(J3883&lt;&gt;"","?FAMILIAR",IF(F3883="NEW",IF(ISNA(VLOOKUP(E3883,#REF!,1,FALSE())),"?TYPE_IDENTIFIABLE","?REFERENTIAL"),"_")))))</f>
        <v> </v>
      </c>
      <c r="H3883" s="24" t="str">
        <f>IF(J3883&lt;&gt;1,"",IF(I3883="SBJ","CB","?"))</f>
        <v> </v>
      </c>
      <c r="I3883" s="25" t="str">
        <f>IF(OR(E3883="",E3883="!!!",F3883="NEW"),"",INDEX(B3882:B$2,-1+SUMPRODUCT(MAX(ROW(E3882:E$2)*(E3883=E3882:E$2)))))</f>
        <v> </v>
      </c>
      <c r="J3883" s="25" t="str">
        <f>IF(OR(E3883="",E3883="!!!",F3883="NEW"),"",COUNTBLANK(OFFSET(A$1,,,SUMPRODUCT(MAX(ROW(E$2:E3883)*(E3883=E$2:E3883)))))-COUNTBLANK(OFFSET(A$1,,,SUMPRODUCT(MAX(ROW(E$1:E3882)*(E2=E$1:E3882))))))</f>
        <v> </v>
      </c>
      <c r="K3883" s="25" t="str">
        <f>IF(OR(E3883="",E3883="!!!",F3883="NEW"),"",INDEX(J$1:J3882,SUMPRODUCT(MAX(ROW(E$1:E3882)*(E3883=E$1:E3882)))))</f>
        <v> </v>
      </c>
      <c r="L3883" s="26"/>
    </row>
    <row r="3884" spans="1:12">
      <c r="A3884" s="20" t="s">
        <v>1676</v>
      </c>
      <c r="E3884" s="21">
        <f>IF(D3884="?OLD","!!!","")</f>
        <v/>
      </c>
      <c r="F3884" s="22" t="str">
        <f>IF(OR(E3884="",E3884="!!!"),"",IF(NOT(ISNA(VLOOKUP(E3884,E$1:E3883,1,FALSE()))),"OLD",IF(AND(E3884&lt;&gt;"",E3884&lt;&gt;"!!!"),"NEW","")))</f>
        <v> </v>
      </c>
      <c r="G3884" s="23" t="str">
        <f>IF(OR(E3884="",E3884="!!!"),"",IF(OR(J3884=0,AND(J3884=1,K3884=1),AND(J3884=1,I3884="SBJ"),AND(J3884=1,I3884=0)),"?IN_FOCUS",IF(J3884&lt;=2,"?ACTIVATED",IF(J3884&lt;&gt;"","?FAMILIAR",IF(F3884="NEW",IF(ISNA(VLOOKUP(E3884,#REF!,1,FALSE())),"?TYPE_IDENTIFIABLE","?REFERENTIAL"),"_")))))</f>
        <v> </v>
      </c>
      <c r="H3884" s="24" t="str">
        <f>IF(J3884&lt;&gt;1,"",IF(I3884="SBJ","CB","?"))</f>
        <v> </v>
      </c>
      <c r="I3884" s="25" t="str">
        <f>IF(OR(E3884="",E3884="!!!",F3884="NEW"),"",INDEX(B3883:B$2,-1+SUMPRODUCT(MAX(ROW(E3883:E$2)*(E3884=E3883:E$2)))))</f>
        <v> </v>
      </c>
      <c r="J3884" s="25" t="str">
        <f>IF(OR(E3884="",E3884="!!!",F3884="NEW"),"",COUNTBLANK(OFFSET(A$1,,,SUMPRODUCT(MAX(ROW(E$2:E3884)*(E3884=E$2:E3884)))))-COUNTBLANK(OFFSET(A$1,,,SUMPRODUCT(MAX(ROW(E$1:E3883)*(E2=E$1:E3883))))))</f>
        <v> </v>
      </c>
      <c r="K3884" s="25" t="str">
        <f>IF(OR(E3884="",E3884="!!!",F3884="NEW"),"",INDEX(J$1:J3883,SUMPRODUCT(MAX(ROW(E$1:E3883)*(E3884=E$1:E3883)))))</f>
        <v> </v>
      </c>
      <c r="L3884" s="26"/>
    </row>
    <row r="3885" spans="1:12">
      <c r="A3885" s="20" t="s">
        <v>699</v>
      </c>
      <c r="E3885" s="21">
        <f>IF(D3885="?OLD","!!!","")</f>
        <v/>
      </c>
      <c r="F3885" s="22" t="str">
        <f>IF(OR(E3885="",E3885="!!!"),"",IF(NOT(ISNA(VLOOKUP(E3885,E$1:E3884,1,FALSE()))),"OLD",IF(AND(E3885&lt;&gt;"",E3885&lt;&gt;"!!!"),"NEW","")))</f>
        <v> </v>
      </c>
      <c r="G3885" s="23" t="str">
        <f>IF(OR(E3885="",E3885="!!!"),"",IF(OR(J3885=0,AND(J3885=1,K3885=1),AND(J3885=1,I3885="SBJ"),AND(J3885=1,I3885=0)),"?IN_FOCUS",IF(J3885&lt;=2,"?ACTIVATED",IF(J3885&lt;&gt;"","?FAMILIAR",IF(F3885="NEW",IF(ISNA(VLOOKUP(E3885,#REF!,1,FALSE())),"?TYPE_IDENTIFIABLE","?REFERENTIAL"),"_")))))</f>
        <v> </v>
      </c>
      <c r="H3885" s="24" t="str">
        <f>IF(J3885&lt;&gt;1,"",IF(I3885="SBJ","CB","?"))</f>
        <v> </v>
      </c>
      <c r="I3885" s="25" t="str">
        <f>IF(OR(E3885="",E3885="!!!",F3885="NEW"),"",INDEX(B3884:B$2,-1+SUMPRODUCT(MAX(ROW(E3884:E$2)*(E3885=E3884:E$2)))))</f>
        <v> </v>
      </c>
      <c r="J3885" s="25" t="str">
        <f>IF(OR(E3885="",E3885="!!!",F3885="NEW"),"",COUNTBLANK(OFFSET(A$1,,,SUMPRODUCT(MAX(ROW(E$2:E3885)*(E3885=E$2:E3885)))))-COUNTBLANK(OFFSET(A$1,,,SUMPRODUCT(MAX(ROW(E$1:E3884)*(E2=E$1:E3884))))))</f>
        <v> </v>
      </c>
      <c r="K3885" s="25" t="str">
        <f>IF(OR(E3885="",E3885="!!!",F3885="NEW"),"",INDEX(J$1:J3884,SUMPRODUCT(MAX(ROW(E$1:E3884)*(E3885=E$1:E3884)))))</f>
        <v> </v>
      </c>
      <c r="L3885" s="26"/>
    </row>
    <row r="3886" spans="1:12">
      <c r="A3886" s="20"/>
    </row>
    <row r="3887" spans="1:12">
      <c r="A3887" s="20" t="s">
        <v>1680</v>
      </c>
    </row>
    <row r="3888" spans="1:12">
      <c r="A3888" s="20" t="s">
        <v>1039</v>
      </c>
      <c r="B3888" s="27" t="s">
        <v>692</v>
      </c>
      <c r="C3888" s="27" t="s">
        <v>707</v>
      </c>
      <c r="D3888" s="27" t="s">
        <v>694</v>
      </c>
      <c r="E3888" s="21">
        <f>IF(D3888="?OLD","!!!","")</f>
        <v/>
      </c>
      <c r="F3888" s="22" t="str">
        <f>IF(OR(E3888="",E3888="!!!"),"",IF(NOT(ISNA(VLOOKUP(E3888,E$1:E3887,1,FALSE()))),"OLD",IF(AND(E3888&lt;&gt;"",E3888&lt;&gt;"!!!"),"NEW","")))</f>
        <v> </v>
      </c>
      <c r="G3888" s="23" t="str">
        <f>IF(OR(E3888="",E3888="!!!"),"",IF(OR(J3888=0,AND(J3888=1,K3888=1),AND(J3888=1,I3888="SBJ"),AND(J3888=1,I3888=0)),"?IN_FOCUS",IF(J3888&lt;=2,"?ACTIVATED",IF(J3888&lt;&gt;"","?FAMILIAR",IF(F3888="NEW",IF(ISNA(VLOOKUP(E3888,#REF!,1,FALSE())),"?TYPE_IDENTIFIABLE","?REFERENTIAL"),"_")))))</f>
        <v> </v>
      </c>
      <c r="H3888" s="24" t="str">
        <f>IF(J3888&lt;&gt;1,"",IF(I3888="SBJ","CB","?"))</f>
        <v> </v>
      </c>
      <c r="I3888" s="25" t="str">
        <f>IF(OR(E3888="",E3888="!!!",F3888="NEW"),"",INDEX(B3887:B$2,-1+SUMPRODUCT(MAX(ROW(E3887:E$2)*(E3888=E3887:E$2)))))</f>
        <v> </v>
      </c>
      <c r="J3888" s="25" t="str">
        <f>IF(OR(E3888="",E3888="!!!",F3888="NEW"),"",COUNTBLANK(OFFSET(A$1,,,SUMPRODUCT(MAX(ROW(E$2:E3888)*(E3888=E$2:E3888)))))-COUNTBLANK(OFFSET(A$1,,,SUMPRODUCT(MAX(ROW(E$1:E3887)*(E2=E$1:E3887))))))</f>
        <v> </v>
      </c>
      <c r="K3888" s="25" t="str">
        <f>IF(OR(E3888="",E3888="!!!",F3888="NEW"),"",INDEX(J$1:J3887,SUMPRODUCT(MAX(ROW(E$1:E3887)*(E3888=E$1:E3887)))))</f>
        <v> </v>
      </c>
      <c r="L3888" s="26"/>
    </row>
    <row r="3889" spans="1:12">
      <c r="A3889" s="20" t="s">
        <v>1681</v>
      </c>
      <c r="E3889" s="21">
        <f>IF(D3889="?OLD","!!!","")</f>
        <v/>
      </c>
      <c r="F3889" s="22" t="str">
        <f>IF(OR(E3889="",E3889="!!!"),"",IF(NOT(ISNA(VLOOKUP(E3889,E$1:E3888,1,FALSE()))),"OLD",IF(AND(E3889&lt;&gt;"",E3889&lt;&gt;"!!!"),"NEW","")))</f>
        <v> </v>
      </c>
      <c r="G3889" s="23" t="str">
        <f>IF(OR(E3889="",E3889="!!!"),"",IF(OR(J3889=0,AND(J3889=1,K3889=1),AND(J3889=1,I3889="SBJ"),AND(J3889=1,I3889=0)),"?IN_FOCUS",IF(J3889&lt;=2,"?ACTIVATED",IF(J3889&lt;&gt;"","?FAMILIAR",IF(F3889="NEW",IF(ISNA(VLOOKUP(E3889,#REF!,1,FALSE())),"?TYPE_IDENTIFIABLE","?REFERENTIAL"),"_")))))</f>
        <v> </v>
      </c>
      <c r="H3889" s="24" t="str">
        <f>IF(J3889&lt;&gt;1,"",IF(I3889="SBJ","CB","?"))</f>
        <v> </v>
      </c>
      <c r="I3889" s="25" t="str">
        <f>IF(OR(E3889="",E3889="!!!",F3889="NEW"),"",INDEX(B3888:B$2,-1+SUMPRODUCT(MAX(ROW(E3888:E$2)*(E3889=E3888:E$2)))))</f>
        <v> </v>
      </c>
      <c r="J3889" s="25" t="str">
        <f>IF(OR(E3889="",E3889="!!!",F3889="NEW"),"",COUNTBLANK(OFFSET(A$1,,,SUMPRODUCT(MAX(ROW(E$2:E3889)*(E3889=E$2:E3889)))))-COUNTBLANK(OFFSET(A$1,,,SUMPRODUCT(MAX(ROW(E$1:E3888)*(E2=E$1:E3888))))))</f>
        <v> </v>
      </c>
      <c r="K3889" s="25" t="str">
        <f>IF(OR(E3889="",E3889="!!!",F3889="NEW"),"",INDEX(J$1:J3888,SUMPRODUCT(MAX(ROW(E$1:E3888)*(E3889=E$1:E3888)))))</f>
        <v> </v>
      </c>
      <c r="L3889" s="26"/>
    </row>
    <row r="3890" spans="1:12">
      <c r="A3890" s="20" t="s">
        <v>1147</v>
      </c>
      <c r="E3890" s="21">
        <f>IF(D3890="?OLD","!!!","")</f>
        <v/>
      </c>
      <c r="F3890" s="22" t="str">
        <f>IF(OR(E3890="",E3890="!!!"),"",IF(NOT(ISNA(VLOOKUP(E3890,E$1:E3889,1,FALSE()))),"OLD",IF(AND(E3890&lt;&gt;"",E3890&lt;&gt;"!!!"),"NEW","")))</f>
        <v> </v>
      </c>
      <c r="G3890" s="23" t="str">
        <f>IF(OR(E3890="",E3890="!!!"),"",IF(OR(J3890=0,AND(J3890=1,K3890=1),AND(J3890=1,I3890="SBJ"),AND(J3890=1,I3890=0)),"?IN_FOCUS",IF(J3890&lt;=2,"?ACTIVATED",IF(J3890&lt;&gt;"","?FAMILIAR",IF(F3890="NEW",IF(ISNA(VLOOKUP(E3890,#REF!,1,FALSE())),"?TYPE_IDENTIFIABLE","?REFERENTIAL"),"_")))))</f>
        <v> </v>
      </c>
      <c r="H3890" s="24" t="str">
        <f>IF(J3890&lt;&gt;1,"",IF(I3890="SBJ","CB","?"))</f>
        <v> </v>
      </c>
      <c r="I3890" s="25" t="str">
        <f>IF(OR(E3890="",E3890="!!!",F3890="NEW"),"",INDEX(B3889:B$2,-1+SUMPRODUCT(MAX(ROW(E3889:E$2)*(E3890=E3889:E$2)))))</f>
        <v> </v>
      </c>
      <c r="J3890" s="25" t="str">
        <f>IF(OR(E3890="",E3890="!!!",F3890="NEW"),"",COUNTBLANK(OFFSET(A$1,,,SUMPRODUCT(MAX(ROW(E$2:E3890)*(E3890=E$2:E3890)))))-COUNTBLANK(OFFSET(A$1,,,SUMPRODUCT(MAX(ROW(E$1:E3889)*(E2=E$1:E3889))))))</f>
        <v> </v>
      </c>
      <c r="K3890" s="25" t="str">
        <f>IF(OR(E3890="",E3890="!!!",F3890="NEW"),"",INDEX(J$1:J3889,SUMPRODUCT(MAX(ROW(E$1:E3889)*(E3890=E$1:E3889)))))</f>
        <v> </v>
      </c>
      <c r="L3890" s="26"/>
    </row>
    <row r="3891" spans="1:12">
      <c r="A3891" s="20" t="s">
        <v>809</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t="s">
        <v>829</v>
      </c>
      <c r="E3892" s="21">
        <f>IF(D3892="?OLD","!!!","")</f>
        <v/>
      </c>
      <c r="F3892" s="22" t="str">
        <f>IF(OR(E3892="",E3892="!!!"),"",IF(NOT(ISNA(VLOOKUP(E3892,E$1:E3891,1,FALSE()))),"OLD",IF(AND(E3892&lt;&gt;"",E3892&lt;&gt;"!!!"),"NEW","")))</f>
        <v> </v>
      </c>
      <c r="G3892" s="23" t="str">
        <f>IF(OR(E3892="",E3892="!!!"),"",IF(OR(J3892=0,AND(J3892=1,K3892=1),AND(J3892=1,I3892="SBJ"),AND(J3892=1,I3892=0)),"?IN_FOCUS",IF(J3892&lt;=2,"?ACTIVATED",IF(J3892&lt;&gt;"","?FAMILIAR",IF(F3892="NEW",IF(ISNA(VLOOKUP(E3892,#REF!,1,FALSE())),"?TYPE_IDENTIFIABLE","?REFERENTIAL"),"_")))))</f>
        <v> </v>
      </c>
      <c r="H3892" s="24" t="str">
        <f>IF(J3892&lt;&gt;1,"",IF(I3892="SBJ","CB","?"))</f>
        <v> </v>
      </c>
      <c r="I3892" s="25" t="str">
        <f>IF(OR(E3892="",E3892="!!!",F3892="NEW"),"",INDEX(B3891:B$2,-1+SUMPRODUCT(MAX(ROW(E3891:E$2)*(E3892=E3891:E$2)))))</f>
        <v> </v>
      </c>
      <c r="J3892" s="25" t="str">
        <f>IF(OR(E3892="",E3892="!!!",F3892="NEW"),"",COUNTBLANK(OFFSET(A$1,,,SUMPRODUCT(MAX(ROW(E$2:E3892)*(E3892=E$2:E3892)))))-COUNTBLANK(OFFSET(A$1,,,SUMPRODUCT(MAX(ROW(E$1:E3891)*(E2=E$1:E3891))))))</f>
        <v> </v>
      </c>
      <c r="K3892" s="25" t="str">
        <f>IF(OR(E3892="",E3892="!!!",F3892="NEW"),"",INDEX(J$1:J3891,SUMPRODUCT(MAX(ROW(E$1:E3891)*(E3892=E$1:E3891)))))</f>
        <v> </v>
      </c>
      <c r="L3892" s="26"/>
    </row>
    <row r="3893" spans="1:12">
      <c r="A3893" s="20" t="s">
        <v>1543</v>
      </c>
      <c r="B3893" s="27" t="s">
        <v>823</v>
      </c>
      <c r="C3893" s="27" t="s">
        <v>693</v>
      </c>
      <c r="D3893" s="27" t="s">
        <v>694</v>
      </c>
      <c r="E3893" s="21">
        <f>IF(D3893="?OLD","!!!","")</f>
        <v/>
      </c>
      <c r="F3893" s="22" t="str">
        <f>IF(OR(E3893="",E3893="!!!"),"",IF(NOT(ISNA(VLOOKUP(E3893,E$1:E3892,1,FALSE()))),"OLD",IF(AND(E3893&lt;&gt;"",E3893&lt;&gt;"!!!"),"NEW","")))</f>
        <v> </v>
      </c>
      <c r="G3893" s="23" t="str">
        <f>IF(OR(E3893="",E3893="!!!"),"",IF(OR(J3893=0,AND(J3893=1,K3893=1),AND(J3893=1,I3893="SBJ"),AND(J3893=1,I3893=0)),"?IN_FOCUS",IF(J3893&lt;=2,"?ACTIVATED",IF(J3893&lt;&gt;"","?FAMILIAR",IF(F3893="NEW",IF(ISNA(VLOOKUP(E3893,#REF!,1,FALSE())),"?TYPE_IDENTIFIABLE","?REFERENTIAL"),"_")))))</f>
        <v> </v>
      </c>
      <c r="H3893" s="24" t="str">
        <f>IF(J3893&lt;&gt;1,"",IF(I3893="SBJ","CB","?"))</f>
        <v> </v>
      </c>
      <c r="I3893" s="25" t="str">
        <f>IF(OR(E3893="",E3893="!!!",F3893="NEW"),"",INDEX(B3892:B$2,-1+SUMPRODUCT(MAX(ROW(E3892:E$2)*(E3893=E3892:E$2)))))</f>
        <v> </v>
      </c>
      <c r="J3893" s="25" t="str">
        <f>IF(OR(E3893="",E3893="!!!",F3893="NEW"),"",COUNTBLANK(OFFSET(A$1,,,SUMPRODUCT(MAX(ROW(E$2:E3893)*(E3893=E$2:E3893)))))-COUNTBLANK(OFFSET(A$1,,,SUMPRODUCT(MAX(ROW(E$1:E3892)*(E2=E$1:E3892))))))</f>
        <v> </v>
      </c>
      <c r="K3893" s="25" t="str">
        <f>IF(OR(E3893="",E3893="!!!",F3893="NEW"),"",INDEX(J$1:J3892,SUMPRODUCT(MAX(ROW(E$1:E3892)*(E3893=E$1:E3892)))))</f>
        <v> </v>
      </c>
      <c r="L3893" s="26"/>
    </row>
    <row r="3894" spans="1:12">
      <c r="A3894" s="20" t="s">
        <v>887</v>
      </c>
      <c r="E3894" s="21">
        <f>IF(D3894="?OLD","!!!","")</f>
        <v/>
      </c>
      <c r="F3894" s="22" t="str">
        <f>IF(OR(E3894="",E3894="!!!"),"",IF(NOT(ISNA(VLOOKUP(E3894,E$1:E3893,1,FALSE()))),"OLD",IF(AND(E3894&lt;&gt;"",E3894&lt;&gt;"!!!"),"NEW","")))</f>
        <v> </v>
      </c>
      <c r="G3894" s="23" t="str">
        <f>IF(OR(E3894="",E3894="!!!"),"",IF(OR(J3894=0,AND(J3894=1,K3894=1),AND(J3894=1,I3894="SBJ"),AND(J3894=1,I3894=0)),"?IN_FOCUS",IF(J3894&lt;=2,"?ACTIVATED",IF(J3894&lt;&gt;"","?FAMILIAR",IF(F3894="NEW",IF(ISNA(VLOOKUP(E3894,#REF!,1,FALSE())),"?TYPE_IDENTIFIABLE","?REFERENTIAL"),"_")))))</f>
        <v> </v>
      </c>
      <c r="H3894" s="24" t="str">
        <f>IF(J3894&lt;&gt;1,"",IF(I3894="SBJ","CB","?"))</f>
        <v> </v>
      </c>
      <c r="I3894" s="25" t="str">
        <f>IF(OR(E3894="",E3894="!!!",F3894="NEW"),"",INDEX(B3893:B$2,-1+SUMPRODUCT(MAX(ROW(E3893:E$2)*(E3894=E3893:E$2)))))</f>
        <v> </v>
      </c>
      <c r="J3894" s="25" t="str">
        <f>IF(OR(E3894="",E3894="!!!",F3894="NEW"),"",COUNTBLANK(OFFSET(A$1,,,SUMPRODUCT(MAX(ROW(E$2:E3894)*(E3894=E$2:E3894)))))-COUNTBLANK(OFFSET(A$1,,,SUMPRODUCT(MAX(ROW(E$1:E3893)*(E2=E$1:E3893))))))</f>
        <v> </v>
      </c>
      <c r="K3894" s="25" t="str">
        <f>IF(OR(E3894="",E3894="!!!",F3894="NEW"),"",INDEX(J$1:J3893,SUMPRODUCT(MAX(ROW(E$1:E3893)*(E3894=E$1:E3893)))))</f>
        <v> </v>
      </c>
      <c r="L3894" s="26"/>
    </row>
    <row r="3895" spans="1:12">
      <c r="A3895" s="20" t="s">
        <v>998</v>
      </c>
      <c r="B3895" s="27" t="s">
        <v>762</v>
      </c>
      <c r="C3895" s="27" t="s">
        <v>733</v>
      </c>
      <c r="D3895" s="27" t="s">
        <v>694</v>
      </c>
      <c r="E3895" s="21">
        <f>IF(D3895="?OLD","!!!","")</f>
        <v/>
      </c>
      <c r="F3895" s="22" t="str">
        <f>IF(OR(E3895="",E3895="!!!"),"",IF(NOT(ISNA(VLOOKUP(E3895,E$1:E3894,1,FALSE()))),"OLD",IF(AND(E3895&lt;&gt;"",E3895&lt;&gt;"!!!"),"NEW","")))</f>
        <v> </v>
      </c>
      <c r="G3895" s="23" t="str">
        <f>IF(OR(E3895="",E3895="!!!"),"",IF(OR(J3895=0,AND(J3895=1,K3895=1),AND(J3895=1,I3895="SBJ"),AND(J3895=1,I3895=0)),"?IN_FOCUS",IF(J3895&lt;=2,"?ACTIVATED",IF(J3895&lt;&gt;"","?FAMILIAR",IF(F3895="NEW",IF(ISNA(VLOOKUP(E3895,#REF!,1,FALSE())),"?TYPE_IDENTIFIABLE","?REFERENTIAL"),"_")))))</f>
        <v> </v>
      </c>
      <c r="H3895" s="24" t="str">
        <f>IF(J3895&lt;&gt;1,"",IF(I3895="SBJ","CB","?"))</f>
        <v> </v>
      </c>
      <c r="I3895" s="25" t="str">
        <f>IF(OR(E3895="",E3895="!!!",F3895="NEW"),"",INDEX(B3894:B$2,-1+SUMPRODUCT(MAX(ROW(E3894:E$2)*(E3895=E3894:E$2)))))</f>
        <v> </v>
      </c>
      <c r="J3895" s="25" t="str">
        <f>IF(OR(E3895="",E3895="!!!",F3895="NEW"),"",COUNTBLANK(OFFSET(A$1,,,SUMPRODUCT(MAX(ROW(E$2:E3895)*(E3895=E$2:E3895)))))-COUNTBLANK(OFFSET(A$1,,,SUMPRODUCT(MAX(ROW(E$1:E3894)*(E2=E$1:E3894))))))</f>
        <v> </v>
      </c>
      <c r="K3895" s="25" t="str">
        <f>IF(OR(E3895="",E3895="!!!",F3895="NEW"),"",INDEX(J$1:J3894,SUMPRODUCT(MAX(ROW(E$1:E3894)*(E3895=E$1:E3894)))))</f>
        <v> </v>
      </c>
      <c r="L3895" s="26"/>
    </row>
    <row r="3896" spans="1:12">
      <c r="A3896" s="20" t="s">
        <v>1682</v>
      </c>
      <c r="E3896" s="21">
        <f>IF(D3896="?OLD","!!!","")</f>
        <v/>
      </c>
      <c r="F3896" s="22" t="str">
        <f>IF(OR(E3896="",E3896="!!!"),"",IF(NOT(ISNA(VLOOKUP(E3896,E$1:E3895,1,FALSE()))),"OLD",IF(AND(E3896&lt;&gt;"",E3896&lt;&gt;"!!!"),"NEW","")))</f>
        <v> </v>
      </c>
      <c r="G3896" s="23" t="str">
        <f>IF(OR(E3896="",E3896="!!!"),"",IF(OR(J3896=0,AND(J3896=1,K3896=1),AND(J3896=1,I3896="SBJ"),AND(J3896=1,I3896=0)),"?IN_FOCUS",IF(J3896&lt;=2,"?ACTIVATED",IF(J3896&lt;&gt;"","?FAMILIAR",IF(F3896="NEW",IF(ISNA(VLOOKUP(E3896,#REF!,1,FALSE())),"?TYPE_IDENTIFIABLE","?REFERENTIAL"),"_")))))</f>
        <v> </v>
      </c>
      <c r="H3896" s="24" t="str">
        <f>IF(J3896&lt;&gt;1,"",IF(I3896="SBJ","CB","?"))</f>
        <v> </v>
      </c>
      <c r="I3896" s="25" t="str">
        <f>IF(OR(E3896="",E3896="!!!",F3896="NEW"),"",INDEX(B3895:B$2,-1+SUMPRODUCT(MAX(ROW(E3895:E$2)*(E3896=E3895:E$2)))))</f>
        <v> </v>
      </c>
      <c r="J3896" s="25" t="str">
        <f>IF(OR(E3896="",E3896="!!!",F3896="NEW"),"",COUNTBLANK(OFFSET(A$1,,,SUMPRODUCT(MAX(ROW(E$2:E3896)*(E3896=E$2:E3896)))))-COUNTBLANK(OFFSET(A$1,,,SUMPRODUCT(MAX(ROW(E$1:E3895)*(E2=E$1:E3895))))))</f>
        <v> </v>
      </c>
      <c r="K3896" s="25" t="str">
        <f>IF(OR(E3896="",E3896="!!!",F3896="NEW"),"",INDEX(J$1:J3895,SUMPRODUCT(MAX(ROW(E$1:E3895)*(E3896=E$1:E3895)))))</f>
        <v> </v>
      </c>
      <c r="L3896" s="26"/>
    </row>
    <row r="3897" spans="1:12">
      <c r="A3897" s="20" t="s">
        <v>1041</v>
      </c>
      <c r="E3897" s="21">
        <f>IF(D3897="?OLD","!!!","")</f>
        <v/>
      </c>
      <c r="F3897" s="22" t="str">
        <f>IF(OR(E3897="",E3897="!!!"),"",IF(NOT(ISNA(VLOOKUP(E3897,E$1:E3896,1,FALSE()))),"OLD",IF(AND(E3897&lt;&gt;"",E3897&lt;&gt;"!!!"),"NEW","")))</f>
        <v> </v>
      </c>
      <c r="G3897" s="23" t="str">
        <f>IF(OR(E3897="",E3897="!!!"),"",IF(OR(J3897=0,AND(J3897=1,K3897=1),AND(J3897=1,I3897="SBJ"),AND(J3897=1,I3897=0)),"?IN_FOCUS",IF(J3897&lt;=2,"?ACTIVATED",IF(J3897&lt;&gt;"","?FAMILIAR",IF(F3897="NEW",IF(ISNA(VLOOKUP(E3897,#REF!,1,FALSE())),"?TYPE_IDENTIFIABLE","?REFERENTIAL"),"_")))))</f>
        <v> </v>
      </c>
      <c r="H3897" s="24" t="str">
        <f>IF(J3897&lt;&gt;1,"",IF(I3897="SBJ","CB","?"))</f>
        <v> </v>
      </c>
      <c r="I3897" s="25" t="str">
        <f>IF(OR(E3897="",E3897="!!!",F3897="NEW"),"",INDEX(B3896:B$2,-1+SUMPRODUCT(MAX(ROW(E3896:E$2)*(E3897=E3896:E$2)))))</f>
        <v> </v>
      </c>
      <c r="J3897" s="25" t="str">
        <f>IF(OR(E3897="",E3897="!!!",F3897="NEW"),"",COUNTBLANK(OFFSET(A$1,,,SUMPRODUCT(MAX(ROW(E$2:E3897)*(E3897=E$2:E3897)))))-COUNTBLANK(OFFSET(A$1,,,SUMPRODUCT(MAX(ROW(E$1:E3896)*(E2=E$1:E3896))))))</f>
        <v> </v>
      </c>
      <c r="K3897" s="25" t="str">
        <f>IF(OR(E3897="",E3897="!!!",F3897="NEW"),"",INDEX(J$1:J3896,SUMPRODUCT(MAX(ROW(E$1:E3896)*(E3897=E$1:E3896)))))</f>
        <v> </v>
      </c>
      <c r="L3897" s="26"/>
    </row>
    <row r="3898" spans="1:12">
      <c r="A3898" s="20" t="s">
        <v>696</v>
      </c>
      <c r="E3898" s="21">
        <f>IF(D3898="?OLD","!!!","")</f>
        <v/>
      </c>
      <c r="F3898" s="22" t="str">
        <f>IF(OR(E3898="",E3898="!!!"),"",IF(NOT(ISNA(VLOOKUP(E3898,E$1:E3897,1,FALSE()))),"OLD",IF(AND(E3898&lt;&gt;"",E3898&lt;&gt;"!!!"),"NEW","")))</f>
        <v> </v>
      </c>
      <c r="G3898" s="23" t="str">
        <f>IF(OR(E3898="",E3898="!!!"),"",IF(OR(J3898=0,AND(J3898=1,K3898=1),AND(J3898=1,I3898="SBJ"),AND(J3898=1,I3898=0)),"?IN_FOCUS",IF(J3898&lt;=2,"?ACTIVATED",IF(J3898&lt;&gt;"","?FAMILIAR",IF(F3898="NEW",IF(ISNA(VLOOKUP(E3898,#REF!,1,FALSE())),"?TYPE_IDENTIFIABLE","?REFERENTIAL"),"_")))))</f>
        <v> </v>
      </c>
      <c r="H3898" s="24" t="str">
        <f>IF(J3898&lt;&gt;1,"",IF(I3898="SBJ","CB","?"))</f>
        <v> </v>
      </c>
      <c r="I3898" s="25" t="str">
        <f>IF(OR(E3898="",E3898="!!!",F3898="NEW"),"",INDEX(B3897:B$2,-1+SUMPRODUCT(MAX(ROW(E3897:E$2)*(E3898=E3897:E$2)))))</f>
        <v> </v>
      </c>
      <c r="J3898" s="25" t="str">
        <f>IF(OR(E3898="",E3898="!!!",F3898="NEW"),"",COUNTBLANK(OFFSET(A$1,,,SUMPRODUCT(MAX(ROW(E$2:E3898)*(E3898=E$2:E3898)))))-COUNTBLANK(OFFSET(A$1,,,SUMPRODUCT(MAX(ROW(E$1:E3897)*(E2=E$1:E3897))))))</f>
        <v> </v>
      </c>
      <c r="K3898" s="25" t="str">
        <f>IF(OR(E3898="",E3898="!!!",F3898="NEW"),"",INDEX(J$1:J3897,SUMPRODUCT(MAX(ROW(E$1:E3897)*(E3898=E$1:E3897)))))</f>
        <v> </v>
      </c>
      <c r="L3898" s="26"/>
    </row>
    <row r="3899" spans="1:12">
      <c r="A3899" s="20" t="s">
        <v>721</v>
      </c>
      <c r="E3899" s="21">
        <f>IF(D3899="?OLD","!!!","")</f>
        <v/>
      </c>
      <c r="F3899" s="22" t="str">
        <f>IF(OR(E3899="",E3899="!!!"),"",IF(NOT(ISNA(VLOOKUP(E3899,E$1:E3898,1,FALSE()))),"OLD",IF(AND(E3899&lt;&gt;"",E3899&lt;&gt;"!!!"),"NEW","")))</f>
        <v> </v>
      </c>
      <c r="G3899" s="23" t="str">
        <f>IF(OR(E3899="",E3899="!!!"),"",IF(OR(J3899=0,AND(J3899=1,K3899=1),AND(J3899=1,I3899="SBJ"),AND(J3899=1,I3899=0)),"?IN_FOCUS",IF(J3899&lt;=2,"?ACTIVATED",IF(J3899&lt;&gt;"","?FAMILIAR",IF(F3899="NEW",IF(ISNA(VLOOKUP(E3899,#REF!,1,FALSE())),"?TYPE_IDENTIFIABLE","?REFERENTIAL"),"_")))))</f>
        <v> </v>
      </c>
      <c r="H3899" s="24" t="str">
        <f>IF(J3899&lt;&gt;1,"",IF(I3899="SBJ","CB","?"))</f>
        <v> </v>
      </c>
      <c r="I3899" s="25" t="str">
        <f>IF(OR(E3899="",E3899="!!!",F3899="NEW"),"",INDEX(B3898:B$2,-1+SUMPRODUCT(MAX(ROW(E3898:E$2)*(E3899=E3898:E$2)))))</f>
        <v> </v>
      </c>
      <c r="J3899" s="25" t="str">
        <f>IF(OR(E3899="",E3899="!!!",F3899="NEW"),"",COUNTBLANK(OFFSET(A$1,,,SUMPRODUCT(MAX(ROW(E$2:E3899)*(E3899=E$2:E3899)))))-COUNTBLANK(OFFSET(A$1,,,SUMPRODUCT(MAX(ROW(E$1:E3898)*(E2=E$1:E3898))))))</f>
        <v> </v>
      </c>
      <c r="K3899" s="25" t="str">
        <f>IF(OR(E3899="",E3899="!!!",F3899="NEW"),"",INDEX(J$1:J3898,SUMPRODUCT(MAX(ROW(E$1:E3898)*(E3899=E$1:E3898)))))</f>
        <v> </v>
      </c>
      <c r="L3899" s="26"/>
    </row>
    <row r="3900" spans="1:12">
      <c r="A3900" s="20" t="s">
        <v>1113</v>
      </c>
      <c r="B3900" s="27" t="s">
        <v>737</v>
      </c>
      <c r="C3900" s="27" t="s">
        <v>693</v>
      </c>
      <c r="D3900" s="27" t="s">
        <v>694</v>
      </c>
      <c r="E3900" s="21">
        <f>IF(D3900="?OLD","!!!","")</f>
        <v/>
      </c>
      <c r="F3900" s="22" t="str">
        <f>IF(OR(E3900="",E3900="!!!"),"",IF(NOT(ISNA(VLOOKUP(E3900,E$1:E3899,1,FALSE()))),"OLD",IF(AND(E3900&lt;&gt;"",E3900&lt;&gt;"!!!"),"NEW","")))</f>
        <v> </v>
      </c>
      <c r="G3900" s="23" t="str">
        <f>IF(OR(E3900="",E3900="!!!"),"",IF(OR(J3900=0,AND(J3900=1,K3900=1),AND(J3900=1,I3900="SBJ"),AND(J3900=1,I3900=0)),"?IN_FOCUS",IF(J3900&lt;=2,"?ACTIVATED",IF(J3900&lt;&gt;"","?FAMILIAR",IF(F3900="NEW",IF(ISNA(VLOOKUP(E3900,#REF!,1,FALSE())),"?TYPE_IDENTIFIABLE","?REFERENTIAL"),"_")))))</f>
        <v> </v>
      </c>
      <c r="H3900" s="24" t="str">
        <f>IF(J3900&lt;&gt;1,"",IF(I3900="SBJ","CB","?"))</f>
        <v> </v>
      </c>
      <c r="I3900" s="25" t="str">
        <f>IF(OR(E3900="",E3900="!!!",F3900="NEW"),"",INDEX(B3899:B$2,-1+SUMPRODUCT(MAX(ROW(E3899:E$2)*(E3900=E3899:E$2)))))</f>
        <v> </v>
      </c>
      <c r="J3900" s="25" t="str">
        <f>IF(OR(E3900="",E3900="!!!",F3900="NEW"),"",COUNTBLANK(OFFSET(A$1,,,SUMPRODUCT(MAX(ROW(E$2:E3900)*(E3900=E$2:E3900)))))-COUNTBLANK(OFFSET(A$1,,,SUMPRODUCT(MAX(ROW(E$1:E3899)*(E2=E$1:E3899))))))</f>
        <v> </v>
      </c>
      <c r="K3900" s="25" t="str">
        <f>IF(OR(E3900="",E3900="!!!",F3900="NEW"),"",INDEX(J$1:J3899,SUMPRODUCT(MAX(ROW(E$1:E3899)*(E3900=E$1:E3899)))))</f>
        <v> </v>
      </c>
      <c r="L3900" s="26"/>
    </row>
    <row r="3901" spans="1:12">
      <c r="A3901" s="20" t="s">
        <v>1683</v>
      </c>
      <c r="E3901" s="21">
        <f>IF(D3901="?OLD","!!!","")</f>
        <v/>
      </c>
      <c r="F3901" s="22" t="str">
        <f>IF(OR(E3901="",E3901="!!!"),"",IF(NOT(ISNA(VLOOKUP(E3901,E$1:E3900,1,FALSE()))),"OLD",IF(AND(E3901&lt;&gt;"",E3901&lt;&gt;"!!!"),"NEW","")))</f>
        <v> </v>
      </c>
      <c r="G3901" s="23" t="str">
        <f>IF(OR(E3901="",E3901="!!!"),"",IF(OR(J3901=0,AND(J3901=1,K3901=1),AND(J3901=1,I3901="SBJ"),AND(J3901=1,I3901=0)),"?IN_FOCUS",IF(J3901&lt;=2,"?ACTIVATED",IF(J3901&lt;&gt;"","?FAMILIAR",IF(F3901="NEW",IF(ISNA(VLOOKUP(E3901,#REF!,1,FALSE())),"?TYPE_IDENTIFIABLE","?REFERENTIAL"),"_")))))</f>
        <v> </v>
      </c>
      <c r="H3901" s="24" t="str">
        <f>IF(J3901&lt;&gt;1,"",IF(I3901="SBJ","CB","?"))</f>
        <v> </v>
      </c>
      <c r="I3901" s="25" t="str">
        <f>IF(OR(E3901="",E3901="!!!",F3901="NEW"),"",INDEX(B3900:B$2,-1+SUMPRODUCT(MAX(ROW(E3900:E$2)*(E3901=E3900:E$2)))))</f>
        <v> </v>
      </c>
      <c r="J3901" s="25" t="str">
        <f>IF(OR(E3901="",E3901="!!!",F3901="NEW"),"",COUNTBLANK(OFFSET(A$1,,,SUMPRODUCT(MAX(ROW(E$2:E3901)*(E3901=E$2:E3901)))))-COUNTBLANK(OFFSET(A$1,,,SUMPRODUCT(MAX(ROW(E$1:E3900)*(E2=E$1:E3900))))))</f>
        <v> </v>
      </c>
      <c r="K3901" s="25" t="str">
        <f>IF(OR(E3901="",E3901="!!!",F3901="NEW"),"",INDEX(J$1:J3900,SUMPRODUCT(MAX(ROW(E$1:E3900)*(E3901=E$1:E3900)))))</f>
        <v> </v>
      </c>
      <c r="L3901" s="26"/>
    </row>
    <row r="3902" spans="1:12">
      <c r="A3902" s="20" t="s">
        <v>725</v>
      </c>
      <c r="E3902" s="21">
        <f>IF(D3902="?OLD","!!!","")</f>
        <v/>
      </c>
      <c r="F3902" s="22" t="str">
        <f>IF(OR(E3902="",E3902="!!!"),"",IF(NOT(ISNA(VLOOKUP(E3902,E$1:E3901,1,FALSE()))),"OLD",IF(AND(E3902&lt;&gt;"",E3902&lt;&gt;"!!!"),"NEW","")))</f>
        <v> </v>
      </c>
      <c r="G3902" s="23" t="str">
        <f>IF(OR(E3902="",E3902="!!!"),"",IF(OR(J3902=0,AND(J3902=1,K3902=1),AND(J3902=1,I3902="SBJ"),AND(J3902=1,I3902=0)),"?IN_FOCUS",IF(J3902&lt;=2,"?ACTIVATED",IF(J3902&lt;&gt;"","?FAMILIAR",IF(F3902="NEW",IF(ISNA(VLOOKUP(E3902,#REF!,1,FALSE())),"?TYPE_IDENTIFIABLE","?REFERENTIAL"),"_")))))</f>
        <v> </v>
      </c>
      <c r="H3902" s="24" t="str">
        <f>IF(J3902&lt;&gt;1,"",IF(I3902="SBJ","CB","?"))</f>
        <v> </v>
      </c>
      <c r="I3902" s="25" t="str">
        <f>IF(OR(E3902="",E3902="!!!",F3902="NEW"),"",INDEX(B3901:B$2,-1+SUMPRODUCT(MAX(ROW(E3901:E$2)*(E3902=E3901:E$2)))))</f>
        <v> </v>
      </c>
      <c r="J3902" s="25" t="str">
        <f>IF(OR(E3902="",E3902="!!!",F3902="NEW"),"",COUNTBLANK(OFFSET(A$1,,,SUMPRODUCT(MAX(ROW(E$2:E3902)*(E3902=E$2:E3902)))))-COUNTBLANK(OFFSET(A$1,,,SUMPRODUCT(MAX(ROW(E$1:E3901)*(E2=E$1:E3901))))))</f>
        <v> </v>
      </c>
      <c r="K3902" s="25" t="str">
        <f>IF(OR(E3902="",E3902="!!!",F3902="NEW"),"",INDEX(J$1:J3901,SUMPRODUCT(MAX(ROW(E$1:E3901)*(E3902=E$1:E3901)))))</f>
        <v> </v>
      </c>
      <c r="L3902" s="26"/>
    </row>
    <row r="3903" spans="1:12">
      <c r="A3903" s="20" t="s">
        <v>795</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t="s">
        <v>739</v>
      </c>
      <c r="E3904" s="21">
        <f>IF(D3904="?OLD","!!!","")</f>
        <v/>
      </c>
      <c r="F3904" s="22" t="str">
        <f>IF(OR(E3904="",E3904="!!!"),"",IF(NOT(ISNA(VLOOKUP(E3904,E$1:E3903,1,FALSE()))),"OLD",IF(AND(E3904&lt;&gt;"",E3904&lt;&gt;"!!!"),"NEW","")))</f>
        <v> </v>
      </c>
      <c r="G3904" s="23" t="str">
        <f>IF(OR(E3904="",E3904="!!!"),"",IF(OR(J3904=0,AND(J3904=1,K3904=1),AND(J3904=1,I3904="SBJ"),AND(J3904=1,I3904=0)),"?IN_FOCUS",IF(J3904&lt;=2,"?ACTIVATED",IF(J3904&lt;&gt;"","?FAMILIAR",IF(F3904="NEW",IF(ISNA(VLOOKUP(E3904,#REF!,1,FALSE())),"?TYPE_IDENTIFIABLE","?REFERENTIAL"),"_")))))</f>
        <v> </v>
      </c>
      <c r="H3904" s="24" t="str">
        <f>IF(J3904&lt;&gt;1,"",IF(I3904="SBJ","CB","?"))</f>
        <v> </v>
      </c>
      <c r="I3904" s="25" t="str">
        <f>IF(OR(E3904="",E3904="!!!",F3904="NEW"),"",INDEX(B3903:B$2,-1+SUMPRODUCT(MAX(ROW(E3903:E$2)*(E3904=E3903:E$2)))))</f>
        <v> </v>
      </c>
      <c r="J3904" s="25" t="str">
        <f>IF(OR(E3904="",E3904="!!!",F3904="NEW"),"",COUNTBLANK(OFFSET(A$1,,,SUMPRODUCT(MAX(ROW(E$2:E3904)*(E3904=E$2:E3904)))))-COUNTBLANK(OFFSET(A$1,,,SUMPRODUCT(MAX(ROW(E$1:E3903)*(E2=E$1:E3903))))))</f>
        <v> </v>
      </c>
      <c r="K3904" s="25" t="str">
        <f>IF(OR(E3904="",E3904="!!!",F3904="NEW"),"",INDEX(J$1:J3903,SUMPRODUCT(MAX(ROW(E$1:E3903)*(E3904=E$1:E3903)))))</f>
        <v> </v>
      </c>
      <c r="L3904" s="26"/>
    </row>
    <row r="3905" spans="1:12">
      <c r="A3905" s="20" t="s">
        <v>1684</v>
      </c>
      <c r="E3905" s="21">
        <f>IF(D3905="?OLD","!!!","")</f>
        <v/>
      </c>
      <c r="F3905" s="22" t="str">
        <f>IF(OR(E3905="",E3905="!!!"),"",IF(NOT(ISNA(VLOOKUP(E3905,E$1:E3904,1,FALSE()))),"OLD",IF(AND(E3905&lt;&gt;"",E3905&lt;&gt;"!!!"),"NEW","")))</f>
        <v> </v>
      </c>
      <c r="G3905" s="23" t="str">
        <f>IF(OR(E3905="",E3905="!!!"),"",IF(OR(J3905=0,AND(J3905=1,K3905=1),AND(J3905=1,I3905="SBJ"),AND(J3905=1,I3905=0)),"?IN_FOCUS",IF(J3905&lt;=2,"?ACTIVATED",IF(J3905&lt;&gt;"","?FAMILIAR",IF(F3905="NEW",IF(ISNA(VLOOKUP(E3905,#REF!,1,FALSE())),"?TYPE_IDENTIFIABLE","?REFERENTIAL"),"_")))))</f>
        <v> </v>
      </c>
      <c r="H3905" s="24" t="str">
        <f>IF(J3905&lt;&gt;1,"",IF(I3905="SBJ","CB","?"))</f>
        <v> </v>
      </c>
      <c r="I3905" s="25" t="str">
        <f>IF(OR(E3905="",E3905="!!!",F3905="NEW"),"",INDEX(B3904:B$2,-1+SUMPRODUCT(MAX(ROW(E3904:E$2)*(E3905=E3904:E$2)))))</f>
        <v> </v>
      </c>
      <c r="J3905" s="25" t="str">
        <f>IF(OR(E3905="",E3905="!!!",F3905="NEW"),"",COUNTBLANK(OFFSET(A$1,,,SUMPRODUCT(MAX(ROW(E$2:E3905)*(E3905=E$2:E3905)))))-COUNTBLANK(OFFSET(A$1,,,SUMPRODUCT(MAX(ROW(E$1:E3904)*(E2=E$1:E3904))))))</f>
        <v> </v>
      </c>
      <c r="K3905" s="25" t="str">
        <f>IF(OR(E3905="",E3905="!!!",F3905="NEW"),"",INDEX(J$1:J3904,SUMPRODUCT(MAX(ROW(E$1:E3904)*(E3905=E$1:E3904)))))</f>
        <v> </v>
      </c>
      <c r="L3905" s="26"/>
    </row>
    <row r="3906" spans="1:12">
      <c r="A3906" s="20" t="s">
        <v>998</v>
      </c>
      <c r="B3906" s="27" t="s">
        <v>886</v>
      </c>
      <c r="C3906" s="27" t="s">
        <v>733</v>
      </c>
      <c r="D3906" s="27" t="s">
        <v>694</v>
      </c>
      <c r="E3906" s="21">
        <f>IF(D3906="?OLD","!!!","")</f>
        <v/>
      </c>
      <c r="F3906" s="22" t="str">
        <f>IF(OR(E3906="",E3906="!!!"),"",IF(NOT(ISNA(VLOOKUP(E3906,E$1:E3905,1,FALSE()))),"OLD",IF(AND(E3906&lt;&gt;"",E3906&lt;&gt;"!!!"),"NEW","")))</f>
        <v> </v>
      </c>
      <c r="G3906" s="23" t="str">
        <f>IF(OR(E3906="",E3906="!!!"),"",IF(OR(J3906=0,AND(J3906=1,K3906=1),AND(J3906=1,I3906="SBJ"),AND(J3906=1,I3906=0)),"?IN_FOCUS",IF(J3906&lt;=2,"?ACTIVATED",IF(J3906&lt;&gt;"","?FAMILIAR",IF(F3906="NEW",IF(ISNA(VLOOKUP(E3906,#REF!,1,FALSE())),"?TYPE_IDENTIFIABLE","?REFERENTIAL"),"_")))))</f>
        <v> </v>
      </c>
      <c r="H3906" s="24" t="str">
        <f>IF(J3906&lt;&gt;1,"",IF(I3906="SBJ","CB","?"))</f>
        <v> </v>
      </c>
      <c r="I3906" s="25" t="str">
        <f>IF(OR(E3906="",E3906="!!!",F3906="NEW"),"",INDEX(B3905:B$2,-1+SUMPRODUCT(MAX(ROW(E3905:E$2)*(E3906=E3905:E$2)))))</f>
        <v> </v>
      </c>
      <c r="J3906" s="25" t="str">
        <f>IF(OR(E3906="",E3906="!!!",F3906="NEW"),"",COUNTBLANK(OFFSET(A$1,,,SUMPRODUCT(MAX(ROW(E$2:E3906)*(E3906=E$2:E3906)))))-COUNTBLANK(OFFSET(A$1,,,SUMPRODUCT(MAX(ROW(E$1:E3905)*(E2=E$1:E3905))))))</f>
        <v> </v>
      </c>
      <c r="K3906" s="25" t="str">
        <f>IF(OR(E3906="",E3906="!!!",F3906="NEW"),"",INDEX(J$1:J3905,SUMPRODUCT(MAX(ROW(E$1:E3905)*(E3906=E$1:E3905)))))</f>
        <v> </v>
      </c>
      <c r="L3906" s="26"/>
    </row>
    <row r="3907" spans="1:12">
      <c r="A3907" s="20" t="s">
        <v>1685</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718</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1686</v>
      </c>
      <c r="B3909" s="27" t="s">
        <v>715</v>
      </c>
      <c r="C3909" s="27" t="s">
        <v>716</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1646</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t="s">
        <v>747</v>
      </c>
      <c r="E3911" s="21">
        <f>IF(D3911="?OLD","!!!","")</f>
        <v/>
      </c>
      <c r="F3911" s="22" t="str">
        <f>IF(OR(E3911="",E3911="!!!"),"",IF(NOT(ISNA(VLOOKUP(E3911,E$1:E3910,1,FALSE()))),"OLD",IF(AND(E3911&lt;&gt;"",E3911&lt;&gt;"!!!"),"NEW","")))</f>
        <v> </v>
      </c>
      <c r="G3911" s="23" t="str">
        <f>IF(OR(E3911="",E3911="!!!"),"",IF(OR(J3911=0,AND(J3911=1,K3911=1),AND(J3911=1,I3911="SBJ"),AND(J3911=1,I3911=0)),"?IN_FOCUS",IF(J3911&lt;=2,"?ACTIVATED",IF(J3911&lt;&gt;"","?FAMILIAR",IF(F3911="NEW",IF(ISNA(VLOOKUP(E3911,#REF!,1,FALSE())),"?TYPE_IDENTIFIABLE","?REFERENTIAL"),"_")))))</f>
        <v> </v>
      </c>
      <c r="H3911" s="24" t="str">
        <f>IF(J3911&lt;&gt;1,"",IF(I3911="SBJ","CB","?"))</f>
        <v> </v>
      </c>
      <c r="I3911" s="25" t="str">
        <f>IF(OR(E3911="",E3911="!!!",F3911="NEW"),"",INDEX(B3910:B$2,-1+SUMPRODUCT(MAX(ROW(E3910:E$2)*(E3911=E3910:E$2)))))</f>
        <v> </v>
      </c>
      <c r="J3911" s="25" t="str">
        <f>IF(OR(E3911="",E3911="!!!",F3911="NEW"),"",COUNTBLANK(OFFSET(A$1,,,SUMPRODUCT(MAX(ROW(E$2:E3911)*(E3911=E$2:E3911)))))-COUNTBLANK(OFFSET(A$1,,,SUMPRODUCT(MAX(ROW(E$1:E3910)*(E2=E$1:E3910))))))</f>
        <v> </v>
      </c>
      <c r="K3911" s="25" t="str">
        <f>IF(OR(E3911="",E3911="!!!",F3911="NEW"),"",INDEX(J$1:J3910,SUMPRODUCT(MAX(ROW(E$1:E3910)*(E3911=E$1:E3910)))))</f>
        <v> </v>
      </c>
      <c r="L3911" s="26"/>
    </row>
    <row r="3912" spans="1:12">
      <c r="A3912" s="20" t="s">
        <v>1687</v>
      </c>
      <c r="B3912" s="27" t="s">
        <v>713</v>
      </c>
      <c r="C3912" s="27" t="s">
        <v>693</v>
      </c>
      <c r="D3912" s="27" t="s">
        <v>694</v>
      </c>
      <c r="E3912" s="21">
        <f>IF(D3912="?OLD","!!!","")</f>
        <v/>
      </c>
      <c r="F3912" s="22" t="str">
        <f>IF(OR(E3912="",E3912="!!!"),"",IF(NOT(ISNA(VLOOKUP(E3912,E$1:E3911,1,FALSE()))),"OLD",IF(AND(E3912&lt;&gt;"",E3912&lt;&gt;"!!!"),"NEW","")))</f>
        <v> </v>
      </c>
      <c r="G3912" s="23" t="str">
        <f>IF(OR(E3912="",E3912="!!!"),"",IF(OR(J3912=0,AND(J3912=1,K3912=1),AND(J3912=1,I3912="SBJ"),AND(J3912=1,I3912=0)),"?IN_FOCUS",IF(J3912&lt;=2,"?ACTIVATED",IF(J3912&lt;&gt;"","?FAMILIAR",IF(F3912="NEW",IF(ISNA(VLOOKUP(E3912,#REF!,1,FALSE())),"?TYPE_IDENTIFIABLE","?REFERENTIAL"),"_")))))</f>
        <v> </v>
      </c>
      <c r="H3912" s="24" t="str">
        <f>IF(J3912&lt;&gt;1,"",IF(I3912="SBJ","CB","?"))</f>
        <v> </v>
      </c>
      <c r="I3912" s="25" t="str">
        <f>IF(OR(E3912="",E3912="!!!",F3912="NEW"),"",INDEX(B3911:B$2,-1+SUMPRODUCT(MAX(ROW(E3911:E$2)*(E3912=E3911:E$2)))))</f>
        <v> </v>
      </c>
      <c r="J3912" s="25" t="str">
        <f>IF(OR(E3912="",E3912="!!!",F3912="NEW"),"",COUNTBLANK(OFFSET(A$1,,,SUMPRODUCT(MAX(ROW(E$2:E3912)*(E3912=E$2:E3912)))))-COUNTBLANK(OFFSET(A$1,,,SUMPRODUCT(MAX(ROW(E$1:E3911)*(E2=E$1:E3911))))))</f>
        <v> </v>
      </c>
      <c r="K3912" s="25" t="str">
        <f>IF(OR(E3912="",E3912="!!!",F3912="NEW"),"",INDEX(J$1:J3911,SUMPRODUCT(MAX(ROW(E$1:E3911)*(E3912=E$1:E3911)))))</f>
        <v> </v>
      </c>
      <c r="L3912" s="26"/>
    </row>
    <row r="3913" spans="1:12">
      <c r="A3913" s="20" t="s">
        <v>725</v>
      </c>
      <c r="E3913" s="21">
        <f>IF(D3913="?OLD","!!!","")</f>
        <v/>
      </c>
      <c r="F3913" s="22" t="str">
        <f>IF(OR(E3913="",E3913="!!!"),"",IF(NOT(ISNA(VLOOKUP(E3913,E$1:E3912,1,FALSE()))),"OLD",IF(AND(E3913&lt;&gt;"",E3913&lt;&gt;"!!!"),"NEW","")))</f>
        <v> </v>
      </c>
      <c r="G3913" s="23" t="str">
        <f>IF(OR(E3913="",E3913="!!!"),"",IF(OR(J3913=0,AND(J3913=1,K3913=1),AND(J3913=1,I3913="SBJ"),AND(J3913=1,I3913=0)),"?IN_FOCUS",IF(J3913&lt;=2,"?ACTIVATED",IF(J3913&lt;&gt;"","?FAMILIAR",IF(F3913="NEW",IF(ISNA(VLOOKUP(E3913,#REF!,1,FALSE())),"?TYPE_IDENTIFIABLE","?REFERENTIAL"),"_")))))</f>
        <v> </v>
      </c>
      <c r="H3913" s="24" t="str">
        <f>IF(J3913&lt;&gt;1,"",IF(I3913="SBJ","CB","?"))</f>
        <v> </v>
      </c>
      <c r="I3913" s="25" t="str">
        <f>IF(OR(E3913="",E3913="!!!",F3913="NEW"),"",INDEX(B3912:B$2,-1+SUMPRODUCT(MAX(ROW(E3912:E$2)*(E3913=E3912:E$2)))))</f>
        <v> </v>
      </c>
      <c r="J3913" s="25" t="str">
        <f>IF(OR(E3913="",E3913="!!!",F3913="NEW"),"",COUNTBLANK(OFFSET(A$1,,,SUMPRODUCT(MAX(ROW(E$2:E3913)*(E3913=E$2:E3913)))))-COUNTBLANK(OFFSET(A$1,,,SUMPRODUCT(MAX(ROW(E$1:E3912)*(E2=E$1:E3912))))))</f>
        <v> </v>
      </c>
      <c r="K3913" s="25" t="str">
        <f>IF(OR(E3913="",E3913="!!!",F3913="NEW"),"",INDEX(J$1:J3912,SUMPRODUCT(MAX(ROW(E$1:E3912)*(E3913=E$1:E3912)))))</f>
        <v> </v>
      </c>
      <c r="L3913" s="26"/>
    </row>
    <row r="3914" spans="1:12">
      <c r="A3914" s="20" t="s">
        <v>846</v>
      </c>
      <c r="E3914" s="21">
        <f>IF(D3914="?OLD","!!!","")</f>
        <v/>
      </c>
      <c r="F3914" s="22" t="str">
        <f>IF(OR(E3914="",E3914="!!!"),"",IF(NOT(ISNA(VLOOKUP(E3914,E$1:E3913,1,FALSE()))),"OLD",IF(AND(E3914&lt;&gt;"",E3914&lt;&gt;"!!!"),"NEW","")))</f>
        <v> </v>
      </c>
      <c r="G3914" s="23" t="str">
        <f>IF(OR(E3914="",E3914="!!!"),"",IF(OR(J3914=0,AND(J3914=1,K3914=1),AND(J3914=1,I3914="SBJ"),AND(J3914=1,I3914=0)),"?IN_FOCUS",IF(J3914&lt;=2,"?ACTIVATED",IF(J3914&lt;&gt;"","?FAMILIAR",IF(F3914="NEW",IF(ISNA(VLOOKUP(E3914,#REF!,1,FALSE())),"?TYPE_IDENTIFIABLE","?REFERENTIAL"),"_")))))</f>
        <v> </v>
      </c>
      <c r="H3914" s="24" t="str">
        <f>IF(J3914&lt;&gt;1,"",IF(I3914="SBJ","CB","?"))</f>
        <v> </v>
      </c>
      <c r="I3914" s="25" t="str">
        <f>IF(OR(E3914="",E3914="!!!",F3914="NEW"),"",INDEX(B3913:B$2,-1+SUMPRODUCT(MAX(ROW(E3913:E$2)*(E3914=E3913:E$2)))))</f>
        <v> </v>
      </c>
      <c r="J3914" s="25" t="str">
        <f>IF(OR(E3914="",E3914="!!!",F3914="NEW"),"",COUNTBLANK(OFFSET(A$1,,,SUMPRODUCT(MAX(ROW(E$2:E3914)*(E3914=E$2:E3914)))))-COUNTBLANK(OFFSET(A$1,,,SUMPRODUCT(MAX(ROW(E$1:E3913)*(E2=E$1:E3913))))))</f>
        <v> </v>
      </c>
      <c r="K3914" s="25" t="str">
        <f>IF(OR(E3914="",E3914="!!!",F3914="NEW"),"",INDEX(J$1:J3913,SUMPRODUCT(MAX(ROW(E$1:E3913)*(E3914=E$1:E3913)))))</f>
        <v> </v>
      </c>
      <c r="L3914" s="26"/>
    </row>
    <row r="3915" spans="1:12">
      <c r="A3915" s="20" t="s">
        <v>829</v>
      </c>
      <c r="B3915" s="27" t="s">
        <v>709</v>
      </c>
      <c r="E3915" s="21">
        <f>IF(D3915="?OLD","!!!","")</f>
        <v/>
      </c>
      <c r="F3915" s="22" t="str">
        <f>IF(OR(E3915="",E3915="!!!"),"",IF(NOT(ISNA(VLOOKUP(E3915,E$1:E3914,1,FALSE()))),"OLD",IF(AND(E3915&lt;&gt;"",E3915&lt;&gt;"!!!"),"NEW","")))</f>
        <v> </v>
      </c>
      <c r="G3915" s="23" t="str">
        <f>IF(OR(E3915="",E3915="!!!"),"",IF(OR(J3915=0,AND(J3915=1,K3915=1),AND(J3915=1,I3915="SBJ"),AND(J3915=1,I3915=0)),"?IN_FOCUS",IF(J3915&lt;=2,"?ACTIVATED",IF(J3915&lt;&gt;"","?FAMILIAR",IF(F3915="NEW",IF(ISNA(VLOOKUP(E3915,#REF!,1,FALSE())),"?TYPE_IDENTIFIABLE","?REFERENTIAL"),"_")))))</f>
        <v> </v>
      </c>
      <c r="H3915" s="24" t="str">
        <f>IF(J3915&lt;&gt;1,"",IF(I3915="SBJ","CB","?"))</f>
        <v> </v>
      </c>
      <c r="I3915" s="25" t="str">
        <f>IF(OR(E3915="",E3915="!!!",F3915="NEW"),"",INDEX(B3914:B$2,-1+SUMPRODUCT(MAX(ROW(E3914:E$2)*(E3915=E3914:E$2)))))</f>
        <v> </v>
      </c>
      <c r="J3915" s="25" t="str">
        <f>IF(OR(E3915="",E3915="!!!",F3915="NEW"),"",COUNTBLANK(OFFSET(A$1,,,SUMPRODUCT(MAX(ROW(E$2:E3915)*(E3915=E$2:E3915)))))-COUNTBLANK(OFFSET(A$1,,,SUMPRODUCT(MAX(ROW(E$1:E3914)*(E2=E$1:E3914))))))</f>
        <v> </v>
      </c>
      <c r="K3915" s="25" t="str">
        <f>IF(OR(E3915="",E3915="!!!",F3915="NEW"),"",INDEX(J$1:J3914,SUMPRODUCT(MAX(ROW(E$1:E3914)*(E3915=E$1:E3914)))))</f>
        <v> </v>
      </c>
      <c r="L3915" s="26"/>
    </row>
    <row r="3916" spans="1:12">
      <c r="A3916" s="20" t="s">
        <v>885</v>
      </c>
      <c r="B3916" s="27" t="s">
        <v>756</v>
      </c>
      <c r="C3916" s="27" t="s">
        <v>707</v>
      </c>
      <c r="D3916" s="27" t="s">
        <v>694</v>
      </c>
      <c r="E3916" s="21">
        <f>IF(D3916="?OLD","!!!","")</f>
        <v/>
      </c>
      <c r="F3916" s="22" t="str">
        <f>IF(OR(E3916="",E3916="!!!"),"",IF(NOT(ISNA(VLOOKUP(E3916,E$1:E3915,1,FALSE()))),"OLD",IF(AND(E3916&lt;&gt;"",E3916&lt;&gt;"!!!"),"NEW","")))</f>
        <v> </v>
      </c>
      <c r="G3916" s="23" t="str">
        <f>IF(OR(E3916="",E3916="!!!"),"",IF(OR(J3916=0,AND(J3916=1,K3916=1),AND(J3916=1,I3916="SBJ"),AND(J3916=1,I3916=0)),"?IN_FOCUS",IF(J3916&lt;=2,"?ACTIVATED",IF(J3916&lt;&gt;"","?FAMILIAR",IF(F3916="NEW",IF(ISNA(VLOOKUP(E3916,#REF!,1,FALSE())),"?TYPE_IDENTIFIABLE","?REFERENTIAL"),"_")))))</f>
        <v> </v>
      </c>
      <c r="H3916" s="24" t="str">
        <f>IF(J3916&lt;&gt;1,"",IF(I3916="SBJ","CB","?"))</f>
        <v> </v>
      </c>
      <c r="I3916" s="25" t="str">
        <f>IF(OR(E3916="",E3916="!!!",F3916="NEW"),"",INDEX(B3915:B$2,-1+SUMPRODUCT(MAX(ROW(E3915:E$2)*(E3916=E3915:E$2)))))</f>
        <v> </v>
      </c>
      <c r="J3916" s="25" t="str">
        <f>IF(OR(E3916="",E3916="!!!",F3916="NEW"),"",COUNTBLANK(OFFSET(A$1,,,SUMPRODUCT(MAX(ROW(E$2:E3916)*(E3916=E$2:E3916)))))-COUNTBLANK(OFFSET(A$1,,,SUMPRODUCT(MAX(ROW(E$1:E3915)*(E2=E$1:E3915))))))</f>
        <v> </v>
      </c>
      <c r="K3916" s="25" t="str">
        <f>IF(OR(E3916="",E3916="!!!",F3916="NEW"),"",INDEX(J$1:J3915,SUMPRODUCT(MAX(ROW(E$1:E3915)*(E3916=E$1:E3915)))))</f>
        <v> </v>
      </c>
      <c r="L3916" s="26"/>
    </row>
    <row r="3917" spans="1:12">
      <c r="A3917" s="20" t="s">
        <v>888</v>
      </c>
      <c r="E3917" s="21">
        <f>IF(D3917="?OLD","!!!","")</f>
        <v/>
      </c>
      <c r="F3917" s="22" t="str">
        <f>IF(OR(E3917="",E3917="!!!"),"",IF(NOT(ISNA(VLOOKUP(E3917,E$1:E3916,1,FALSE()))),"OLD",IF(AND(E3917&lt;&gt;"",E3917&lt;&gt;"!!!"),"NEW","")))</f>
        <v> </v>
      </c>
      <c r="G3917" s="23" t="str">
        <f>IF(OR(E3917="",E3917="!!!"),"",IF(OR(J3917=0,AND(J3917=1,K3917=1),AND(J3917=1,I3917="SBJ"),AND(J3917=1,I3917=0)),"?IN_FOCUS",IF(J3917&lt;=2,"?ACTIVATED",IF(J3917&lt;&gt;"","?FAMILIAR",IF(F3917="NEW",IF(ISNA(VLOOKUP(E3917,#REF!,1,FALSE())),"?TYPE_IDENTIFIABLE","?REFERENTIAL"),"_")))))</f>
        <v> </v>
      </c>
      <c r="H3917" s="24" t="str">
        <f>IF(J3917&lt;&gt;1,"",IF(I3917="SBJ","CB","?"))</f>
        <v> </v>
      </c>
      <c r="I3917" s="25" t="str">
        <f>IF(OR(E3917="",E3917="!!!",F3917="NEW"),"",INDEX(B3916:B$2,-1+SUMPRODUCT(MAX(ROW(E3916:E$2)*(E3917=E3916:E$2)))))</f>
        <v> </v>
      </c>
      <c r="J3917" s="25" t="str">
        <f>IF(OR(E3917="",E3917="!!!",F3917="NEW"),"",COUNTBLANK(OFFSET(A$1,,,SUMPRODUCT(MAX(ROW(E$2:E3917)*(E3917=E$2:E3917)))))-COUNTBLANK(OFFSET(A$1,,,SUMPRODUCT(MAX(ROW(E$1:E3916)*(E2=E$1:E3916))))))</f>
        <v> </v>
      </c>
      <c r="K3917" s="25" t="str">
        <f>IF(OR(E3917="",E3917="!!!",F3917="NEW"),"",INDEX(J$1:J3916,SUMPRODUCT(MAX(ROW(E$1:E3916)*(E3917=E$1:E3916)))))</f>
        <v> </v>
      </c>
      <c r="L3917" s="26"/>
    </row>
    <row r="3918" spans="1:12">
      <c r="A3918" s="20" t="s">
        <v>1450</v>
      </c>
      <c r="E3918" s="21">
        <f>IF(D3918="?OLD","!!!","")</f>
        <v/>
      </c>
      <c r="F3918" s="22" t="str">
        <f>IF(OR(E3918="",E3918="!!!"),"",IF(NOT(ISNA(VLOOKUP(E3918,E$1:E3917,1,FALSE()))),"OLD",IF(AND(E3918&lt;&gt;"",E3918&lt;&gt;"!!!"),"NEW","")))</f>
        <v> </v>
      </c>
      <c r="G3918" s="23" t="str">
        <f>IF(OR(E3918="",E3918="!!!"),"",IF(OR(J3918=0,AND(J3918=1,K3918=1),AND(J3918=1,I3918="SBJ"),AND(J3918=1,I3918=0)),"?IN_FOCUS",IF(J3918&lt;=2,"?ACTIVATED",IF(J3918&lt;&gt;"","?FAMILIAR",IF(F3918="NEW",IF(ISNA(VLOOKUP(E3918,#REF!,1,FALSE())),"?TYPE_IDENTIFIABLE","?REFERENTIAL"),"_")))))</f>
        <v> </v>
      </c>
      <c r="H3918" s="24" t="str">
        <f>IF(J3918&lt;&gt;1,"",IF(I3918="SBJ","CB","?"))</f>
        <v> </v>
      </c>
      <c r="I3918" s="25" t="str">
        <f>IF(OR(E3918="",E3918="!!!",F3918="NEW"),"",INDEX(B3917:B$2,-1+SUMPRODUCT(MAX(ROW(E3917:E$2)*(E3918=E3917:E$2)))))</f>
        <v> </v>
      </c>
      <c r="J3918" s="25" t="str">
        <f>IF(OR(E3918="",E3918="!!!",F3918="NEW"),"",COUNTBLANK(OFFSET(A$1,,,SUMPRODUCT(MAX(ROW(E$2:E3918)*(E3918=E$2:E3918)))))-COUNTBLANK(OFFSET(A$1,,,SUMPRODUCT(MAX(ROW(E$1:E3917)*(E2=E$1:E3917))))))</f>
        <v> </v>
      </c>
      <c r="K3918" s="25" t="str">
        <f>IF(OR(E3918="",E3918="!!!",F3918="NEW"),"",INDEX(J$1:J3917,SUMPRODUCT(MAX(ROW(E$1:E3917)*(E3918=E$1:E3917)))))</f>
        <v> </v>
      </c>
      <c r="L3918" s="26"/>
    </row>
    <row r="3919" spans="1:12">
      <c r="A3919" s="20" t="s">
        <v>950</v>
      </c>
      <c r="E3919" s="21">
        <f>IF(D3919="?OLD","!!!","")</f>
        <v/>
      </c>
      <c r="F3919" s="22" t="str">
        <f>IF(OR(E3919="",E3919="!!!"),"",IF(NOT(ISNA(VLOOKUP(E3919,E$1:E3918,1,FALSE()))),"OLD",IF(AND(E3919&lt;&gt;"",E3919&lt;&gt;"!!!"),"NEW","")))</f>
        <v> </v>
      </c>
      <c r="G3919" s="23" t="str">
        <f>IF(OR(E3919="",E3919="!!!"),"",IF(OR(J3919=0,AND(J3919=1,K3919=1),AND(J3919=1,I3919="SBJ"),AND(J3919=1,I3919=0)),"?IN_FOCUS",IF(J3919&lt;=2,"?ACTIVATED",IF(J3919&lt;&gt;"","?FAMILIAR",IF(F3919="NEW",IF(ISNA(VLOOKUP(E3919,#REF!,1,FALSE())),"?TYPE_IDENTIFIABLE","?REFERENTIAL"),"_")))))</f>
        <v> </v>
      </c>
      <c r="H3919" s="24" t="str">
        <f>IF(J3919&lt;&gt;1,"",IF(I3919="SBJ","CB","?"))</f>
        <v> </v>
      </c>
      <c r="I3919" s="25" t="str">
        <f>IF(OR(E3919="",E3919="!!!",F3919="NEW"),"",INDEX(B3918:B$2,-1+SUMPRODUCT(MAX(ROW(E3918:E$2)*(E3919=E3918:E$2)))))</f>
        <v> </v>
      </c>
      <c r="J3919" s="25" t="str">
        <f>IF(OR(E3919="",E3919="!!!",F3919="NEW"),"",COUNTBLANK(OFFSET(A$1,,,SUMPRODUCT(MAX(ROW(E$2:E3919)*(E3919=E$2:E3919)))))-COUNTBLANK(OFFSET(A$1,,,SUMPRODUCT(MAX(ROW(E$1:E3918)*(E2=E$1:E3918))))))</f>
        <v> </v>
      </c>
      <c r="K3919" s="25" t="str">
        <f>IF(OR(E3919="",E3919="!!!",F3919="NEW"),"",INDEX(J$1:J3918,SUMPRODUCT(MAX(ROW(E$1:E3918)*(E3919=E$1:E3918)))))</f>
        <v> </v>
      </c>
      <c r="L3919" s="26"/>
    </row>
    <row r="3920" spans="1:12">
      <c r="A3920" s="20" t="s">
        <v>1687</v>
      </c>
      <c r="B3920" s="27" t="s">
        <v>713</v>
      </c>
      <c r="C3920" s="27" t="s">
        <v>788</v>
      </c>
      <c r="D3920" s="27" t="s">
        <v>694</v>
      </c>
      <c r="E3920" s="21">
        <f>IF(D3920="?OLD","!!!","")</f>
        <v/>
      </c>
      <c r="F3920" s="22" t="str">
        <f>IF(OR(E3920="",E3920="!!!"),"",IF(NOT(ISNA(VLOOKUP(E3920,E$1:E3919,1,FALSE()))),"OLD",IF(AND(E3920&lt;&gt;"",E3920&lt;&gt;"!!!"),"NEW","")))</f>
        <v> </v>
      </c>
      <c r="G3920" s="23" t="str">
        <f>IF(OR(E3920="",E3920="!!!"),"",IF(OR(J3920=0,AND(J3920=1,K3920=1),AND(J3920=1,I3920="SBJ"),AND(J3920=1,I3920=0)),"?IN_FOCUS",IF(J3920&lt;=2,"?ACTIVATED",IF(J3920&lt;&gt;"","?FAMILIAR",IF(F3920="NEW",IF(ISNA(VLOOKUP(E3920,#REF!,1,FALSE())),"?TYPE_IDENTIFIABLE","?REFERENTIAL"),"_")))))</f>
        <v> </v>
      </c>
      <c r="H3920" s="24" t="str">
        <f>IF(J3920&lt;&gt;1,"",IF(I3920="SBJ","CB","?"))</f>
        <v> </v>
      </c>
      <c r="I3920" s="25" t="str">
        <f>IF(OR(E3920="",E3920="!!!",F3920="NEW"),"",INDEX(B3919:B$2,-1+SUMPRODUCT(MAX(ROW(E3919:E$2)*(E3920=E3919:E$2)))))</f>
        <v> </v>
      </c>
      <c r="J3920" s="25" t="str">
        <f>IF(OR(E3920="",E3920="!!!",F3920="NEW"),"",COUNTBLANK(OFFSET(A$1,,,SUMPRODUCT(MAX(ROW(E$2:E3920)*(E3920=E$2:E3920)))))-COUNTBLANK(OFFSET(A$1,,,SUMPRODUCT(MAX(ROW(E$1:E3919)*(E2=E$1:E3919))))))</f>
        <v> </v>
      </c>
      <c r="K3920" s="25" t="str">
        <f>IF(OR(E3920="",E3920="!!!",F3920="NEW"),"",INDEX(J$1:J3919,SUMPRODUCT(MAX(ROW(E$1:E3919)*(E3920=E$1:E3919)))))</f>
        <v> </v>
      </c>
      <c r="L3920" s="26"/>
    </row>
    <row r="3921" spans="1:12">
      <c r="A3921" s="20" t="s">
        <v>773</v>
      </c>
      <c r="E3921" s="21">
        <f>IF(D3921="?OLD","!!!","")</f>
        <v/>
      </c>
      <c r="F3921" s="22" t="str">
        <f>IF(OR(E3921="",E3921="!!!"),"",IF(NOT(ISNA(VLOOKUP(E3921,E$1:E3920,1,FALSE()))),"OLD",IF(AND(E3921&lt;&gt;"",E3921&lt;&gt;"!!!"),"NEW","")))</f>
        <v> </v>
      </c>
      <c r="G3921" s="23" t="str">
        <f>IF(OR(E3921="",E3921="!!!"),"",IF(OR(J3921=0,AND(J3921=1,K3921=1),AND(J3921=1,I3921="SBJ"),AND(J3921=1,I3921=0)),"?IN_FOCUS",IF(J3921&lt;=2,"?ACTIVATED",IF(J3921&lt;&gt;"","?FAMILIAR",IF(F3921="NEW",IF(ISNA(VLOOKUP(E3921,#REF!,1,FALSE())),"?TYPE_IDENTIFIABLE","?REFERENTIAL"),"_")))))</f>
        <v> </v>
      </c>
      <c r="H3921" s="24" t="str">
        <f>IF(J3921&lt;&gt;1,"",IF(I3921="SBJ","CB","?"))</f>
        <v> </v>
      </c>
      <c r="I3921" s="25" t="str">
        <f>IF(OR(E3921="",E3921="!!!",F3921="NEW"),"",INDEX(B3920:B$2,-1+SUMPRODUCT(MAX(ROW(E3920:E$2)*(E3921=E3920:E$2)))))</f>
        <v> </v>
      </c>
      <c r="J3921" s="25" t="str">
        <f>IF(OR(E3921="",E3921="!!!",F3921="NEW"),"",COUNTBLANK(OFFSET(A$1,,,SUMPRODUCT(MAX(ROW(E$2:E3921)*(E3921=E$2:E3921)))))-COUNTBLANK(OFFSET(A$1,,,SUMPRODUCT(MAX(ROW(E$1:E3920)*(E2=E$1:E3920))))))</f>
        <v> </v>
      </c>
      <c r="K3921" s="25" t="str">
        <f>IF(OR(E3921="",E3921="!!!",F3921="NEW"),"",INDEX(J$1:J3920,SUMPRODUCT(MAX(ROW(E$1:E3920)*(E3921=E$1:E3920)))))</f>
        <v> </v>
      </c>
      <c r="L3921" s="26"/>
    </row>
    <row r="3922" spans="1:12">
      <c r="A3922" s="20" t="s">
        <v>774</v>
      </c>
      <c r="E3922" s="21">
        <f>IF(D3922="?OLD","!!!","")</f>
        <v/>
      </c>
      <c r="F3922" s="22" t="str">
        <f>IF(OR(E3922="",E3922="!!!"),"",IF(NOT(ISNA(VLOOKUP(E3922,E$1:E3921,1,FALSE()))),"OLD",IF(AND(E3922&lt;&gt;"",E3922&lt;&gt;"!!!"),"NEW","")))</f>
        <v> </v>
      </c>
      <c r="G3922" s="23" t="str">
        <f>IF(OR(E3922="",E3922="!!!"),"",IF(OR(J3922=0,AND(J3922=1,K3922=1),AND(J3922=1,I3922="SBJ"),AND(J3922=1,I3922=0)),"?IN_FOCUS",IF(J3922&lt;=2,"?ACTIVATED",IF(J3922&lt;&gt;"","?FAMILIAR",IF(F3922="NEW",IF(ISNA(VLOOKUP(E3922,#REF!,1,FALSE())),"?TYPE_IDENTIFIABLE","?REFERENTIAL"),"_")))))</f>
        <v> </v>
      </c>
      <c r="H3922" s="24" t="str">
        <f>IF(J3922&lt;&gt;1,"",IF(I3922="SBJ","CB","?"))</f>
        <v> </v>
      </c>
      <c r="I3922" s="25" t="str">
        <f>IF(OR(E3922="",E3922="!!!",F3922="NEW"),"",INDEX(B3921:B$2,-1+SUMPRODUCT(MAX(ROW(E3921:E$2)*(E3922=E3921:E$2)))))</f>
        <v> </v>
      </c>
      <c r="J3922" s="25" t="str">
        <f>IF(OR(E3922="",E3922="!!!",F3922="NEW"),"",COUNTBLANK(OFFSET(A$1,,,SUMPRODUCT(MAX(ROW(E$2:E3922)*(E3922=E$2:E3922)))))-COUNTBLANK(OFFSET(A$1,,,SUMPRODUCT(MAX(ROW(E$1:E3921)*(E2=E$1:E3921))))))</f>
        <v> </v>
      </c>
      <c r="K3922" s="25" t="str">
        <f>IF(OR(E3922="",E3922="!!!",F3922="NEW"),"",INDEX(J$1:J3921,SUMPRODUCT(MAX(ROW(E$1:E3921)*(E3922=E$1:E3921)))))</f>
        <v> </v>
      </c>
      <c r="L3922" s="26"/>
    </row>
    <row r="3923" spans="1:12">
      <c r="A3923" s="20" t="s">
        <v>1688</v>
      </c>
      <c r="B3923" s="27" t="s">
        <v>715</v>
      </c>
      <c r="C3923" s="27" t="s">
        <v>776</v>
      </c>
      <c r="E3923" s="21">
        <f>IF(D3923="?OLD","!!!","")</f>
        <v/>
      </c>
      <c r="F3923" s="22" t="str">
        <f>IF(OR(E3923="",E3923="!!!"),"",IF(NOT(ISNA(VLOOKUP(E3923,E$1:E3922,1,FALSE()))),"OLD",IF(AND(E3923&lt;&gt;"",E3923&lt;&gt;"!!!"),"NEW","")))</f>
        <v> </v>
      </c>
      <c r="G3923" s="23" t="str">
        <f>IF(OR(E3923="",E3923="!!!"),"",IF(OR(J3923=0,AND(J3923=1,K3923=1),AND(J3923=1,I3923="SBJ"),AND(J3923=1,I3923=0)),"?IN_FOCUS",IF(J3923&lt;=2,"?ACTIVATED",IF(J3923&lt;&gt;"","?FAMILIAR",IF(F3923="NEW",IF(ISNA(VLOOKUP(E3923,#REF!,1,FALSE())),"?TYPE_IDENTIFIABLE","?REFERENTIAL"),"_")))))</f>
        <v> </v>
      </c>
      <c r="H3923" s="24" t="str">
        <f>IF(J3923&lt;&gt;1,"",IF(I3923="SBJ","CB","?"))</f>
        <v> </v>
      </c>
      <c r="I3923" s="25" t="str">
        <f>IF(OR(E3923="",E3923="!!!",F3923="NEW"),"",INDEX(B3922:B$2,-1+SUMPRODUCT(MAX(ROW(E3922:E$2)*(E3923=E3922:E$2)))))</f>
        <v> </v>
      </c>
      <c r="J3923" s="25" t="str">
        <f>IF(OR(E3923="",E3923="!!!",F3923="NEW"),"",COUNTBLANK(OFFSET(A$1,,,SUMPRODUCT(MAX(ROW(E$2:E3923)*(E3923=E$2:E3923)))))-COUNTBLANK(OFFSET(A$1,,,SUMPRODUCT(MAX(ROW(E$1:E3922)*(E2=E$1:E3922))))))</f>
        <v> </v>
      </c>
      <c r="K3923" s="25" t="str">
        <f>IF(OR(E3923="",E3923="!!!",F3923="NEW"),"",INDEX(J$1:J3922,SUMPRODUCT(MAX(ROW(E$1:E3922)*(E3923=E$1:E3922)))))</f>
        <v> </v>
      </c>
      <c r="L3923" s="26"/>
    </row>
    <row r="3924" spans="1:12">
      <c r="A3924" s="20" t="s">
        <v>872</v>
      </c>
      <c r="E3924" s="21">
        <f>IF(D3924="?OLD","!!!","")</f>
        <v/>
      </c>
      <c r="F3924" s="22" t="str">
        <f>IF(OR(E3924="",E3924="!!!"),"",IF(NOT(ISNA(VLOOKUP(E3924,E$1:E3923,1,FALSE()))),"OLD",IF(AND(E3924&lt;&gt;"",E3924&lt;&gt;"!!!"),"NEW","")))</f>
        <v> </v>
      </c>
      <c r="G3924" s="23" t="str">
        <f>IF(OR(E3924="",E3924="!!!"),"",IF(OR(J3924=0,AND(J3924=1,K3924=1),AND(J3924=1,I3924="SBJ"),AND(J3924=1,I3924=0)),"?IN_FOCUS",IF(J3924&lt;=2,"?ACTIVATED",IF(J3924&lt;&gt;"","?FAMILIAR",IF(F3924="NEW",IF(ISNA(VLOOKUP(E3924,#REF!,1,FALSE())),"?TYPE_IDENTIFIABLE","?REFERENTIAL"),"_")))))</f>
        <v> </v>
      </c>
      <c r="H3924" s="24" t="str">
        <f>IF(J3924&lt;&gt;1,"",IF(I3924="SBJ","CB","?"))</f>
        <v> </v>
      </c>
      <c r="I3924" s="25" t="str">
        <f>IF(OR(E3924="",E3924="!!!",F3924="NEW"),"",INDEX(B3923:B$2,-1+SUMPRODUCT(MAX(ROW(E3923:E$2)*(E3924=E3923:E$2)))))</f>
        <v> </v>
      </c>
      <c r="J3924" s="25" t="str">
        <f>IF(OR(E3924="",E3924="!!!",F3924="NEW"),"",COUNTBLANK(OFFSET(A$1,,,SUMPRODUCT(MAX(ROW(E$2:E3924)*(E3924=E$2:E3924)))))-COUNTBLANK(OFFSET(A$1,,,SUMPRODUCT(MAX(ROW(E$1:E3923)*(E2=E$1:E3923))))))</f>
        <v> </v>
      </c>
      <c r="K3924" s="25" t="str">
        <f>IF(OR(E3924="",E3924="!!!",F3924="NEW"),"",INDEX(J$1:J3923,SUMPRODUCT(MAX(ROW(E$1:E3923)*(E3924=E$1:E3923)))))</f>
        <v> </v>
      </c>
      <c r="L3924" s="26"/>
    </row>
    <row r="3925" spans="1:12">
      <c r="A3925" s="20" t="s">
        <v>1689</v>
      </c>
      <c r="E3925" s="21">
        <f>IF(D3925="?OLD","!!!","")</f>
        <v/>
      </c>
      <c r="F3925" s="22" t="str">
        <f>IF(OR(E3925="",E3925="!!!"),"",IF(NOT(ISNA(VLOOKUP(E3925,E$1:E3924,1,FALSE()))),"OLD",IF(AND(E3925&lt;&gt;"",E3925&lt;&gt;"!!!"),"NEW","")))</f>
        <v> </v>
      </c>
      <c r="G3925" s="23" t="str">
        <f>IF(OR(E3925="",E3925="!!!"),"",IF(OR(J3925=0,AND(J3925=1,K3925=1),AND(J3925=1,I3925="SBJ"),AND(J3925=1,I3925=0)),"?IN_FOCUS",IF(J3925&lt;=2,"?ACTIVATED",IF(J3925&lt;&gt;"","?FAMILIAR",IF(F3925="NEW",IF(ISNA(VLOOKUP(E3925,#REF!,1,FALSE())),"?TYPE_IDENTIFIABLE","?REFERENTIAL"),"_")))))</f>
        <v> </v>
      </c>
      <c r="H3925" s="24" t="str">
        <f>IF(J3925&lt;&gt;1,"",IF(I3925="SBJ","CB","?"))</f>
        <v> </v>
      </c>
      <c r="I3925" s="25" t="str">
        <f>IF(OR(E3925="",E3925="!!!",F3925="NEW"),"",INDEX(B3924:B$2,-1+SUMPRODUCT(MAX(ROW(E3924:E$2)*(E3925=E3924:E$2)))))</f>
        <v> </v>
      </c>
      <c r="J3925" s="25" t="str">
        <f>IF(OR(E3925="",E3925="!!!",F3925="NEW"),"",COUNTBLANK(OFFSET(A$1,,,SUMPRODUCT(MAX(ROW(E$2:E3925)*(E3925=E$2:E3925)))))-COUNTBLANK(OFFSET(A$1,,,SUMPRODUCT(MAX(ROW(E$1:E3924)*(E2=E$1:E3924))))))</f>
        <v> </v>
      </c>
      <c r="K3925" s="25" t="str">
        <f>IF(OR(E3925="",E3925="!!!",F3925="NEW"),"",INDEX(J$1:J3924,SUMPRODUCT(MAX(ROW(E$1:E3924)*(E3925=E$1:E3924)))))</f>
        <v> </v>
      </c>
      <c r="L3925" s="26"/>
    </row>
    <row r="3926" spans="1:12">
      <c r="A3926" s="20" t="s">
        <v>699</v>
      </c>
      <c r="E3926" s="21">
        <f>IF(D3926="?OLD","!!!","")</f>
        <v/>
      </c>
      <c r="F3926" s="22" t="str">
        <f>IF(OR(E3926="",E3926="!!!"),"",IF(NOT(ISNA(VLOOKUP(E3926,E$1:E3925,1,FALSE()))),"OLD",IF(AND(E3926&lt;&gt;"",E3926&lt;&gt;"!!!"),"NEW","")))</f>
        <v> </v>
      </c>
      <c r="G3926" s="23" t="str">
        <f>IF(OR(E3926="",E3926="!!!"),"",IF(OR(J3926=0,AND(J3926=1,K3926=1),AND(J3926=1,I3926="SBJ"),AND(J3926=1,I3926=0)),"?IN_FOCUS",IF(J3926&lt;=2,"?ACTIVATED",IF(J3926&lt;&gt;"","?FAMILIAR",IF(F3926="NEW",IF(ISNA(VLOOKUP(E3926,#REF!,1,FALSE())),"?TYPE_IDENTIFIABLE","?REFERENTIAL"),"_")))))</f>
        <v> </v>
      </c>
      <c r="H3926" s="24" t="str">
        <f>IF(J3926&lt;&gt;1,"",IF(I3926="SBJ","CB","?"))</f>
        <v> </v>
      </c>
      <c r="I3926" s="25" t="str">
        <f>IF(OR(E3926="",E3926="!!!",F3926="NEW"),"",INDEX(B3925:B$2,-1+SUMPRODUCT(MAX(ROW(E3925:E$2)*(E3926=E3925:E$2)))))</f>
        <v> </v>
      </c>
      <c r="J3926" s="25" t="str">
        <f>IF(OR(E3926="",E3926="!!!",F3926="NEW"),"",COUNTBLANK(OFFSET(A$1,,,SUMPRODUCT(MAX(ROW(E$2:E3926)*(E3926=E$2:E3926)))))-COUNTBLANK(OFFSET(A$1,,,SUMPRODUCT(MAX(ROW(E$1:E3925)*(E2=E$1:E3925))))))</f>
        <v> </v>
      </c>
      <c r="K3926" s="25" t="str">
        <f>IF(OR(E3926="",E3926="!!!",F3926="NEW"),"",INDEX(J$1:J3925,SUMPRODUCT(MAX(ROW(E$1:E3925)*(E3926=E$1:E3925)))))</f>
        <v> </v>
      </c>
      <c r="L3926" s="26"/>
    </row>
    <row r="3927" spans="1:12">
      <c r="A3927" s="20"/>
    </row>
    <row r="3928" spans="1:12">
      <c r="A3928" s="20" t="s">
        <v>700</v>
      </c>
      <c r="E3928" s="21">
        <f>IF(D3928="?OLD","!!!","")</f>
        <v/>
      </c>
      <c r="F3928" s="22" t="str">
        <f>IF(OR(E3928="",E3928="!!!"),"",IF(NOT(ISNA(VLOOKUP(E3928,E$1:E3927,1,FALSE()))),"OLD",IF(AND(E3928&lt;&gt;"",E3928&lt;&gt;"!!!"),"NEW","")))</f>
        <v> </v>
      </c>
      <c r="G3928" s="23" t="str">
        <f>IF(OR(E3928="",E3928="!!!"),"",IF(OR(J3928=0,AND(J3928=1,K3928=1),AND(J3928=1,I3928="SBJ"),AND(J3928=1,I3928=0)),"?IN_FOCUS",IF(J3928&lt;=2,"?ACTIVATED",IF(J3928&lt;&gt;"","?FAMILIAR",IF(F3928="NEW",IF(ISNA(VLOOKUP(E3928,#REF!,1,FALSE())),"?TYPE_IDENTIFIABLE","?REFERENTIAL"),"_")))))</f>
        <v> </v>
      </c>
      <c r="H3928" s="24" t="str">
        <f>IF(J3928&lt;&gt;1,"",IF(I3928="SBJ","CB","?"))</f>
        <v> </v>
      </c>
      <c r="I3928" s="25" t="str">
        <f>IF(OR(E3928="",E3928="!!!",F3928="NEW"),"",INDEX(B3927:B$2,-1+SUMPRODUCT(MAX(ROW(E3927:E$2)*(E3928=E3927:E$2)))))</f>
        <v> </v>
      </c>
      <c r="J3928" s="25" t="str">
        <f>IF(OR(E3928="",E3928="!!!",F3928="NEW"),"",COUNTBLANK(OFFSET(A$1,,,SUMPRODUCT(MAX(ROW(E$2:E3928)*(E3928=E$2:E3928)))))-COUNTBLANK(OFFSET(A$1,,,SUMPRODUCT(MAX(ROW(E$1:E3927)*(E2=E$1:E3927))))))</f>
        <v> </v>
      </c>
      <c r="K3928" s="25" t="str">
        <f>IF(OR(E3928="",E3928="!!!",F3928="NEW"),"",INDEX(J$1:J3927,SUMPRODUCT(MAX(ROW(E$1:E3927)*(E3928=E$1:E3927)))))</f>
        <v> </v>
      </c>
      <c r="L3928" s="26"/>
    </row>
    <row r="3929" spans="1:12">
      <c r="A3929" s="20" t="s">
        <v>1690</v>
      </c>
    </row>
    <row r="3930" spans="1:12">
      <c r="A3930" s="20" t="s">
        <v>1269</v>
      </c>
      <c r="E3930" s="21">
        <f>IF(D3930="?OLD","!!!","")</f>
        <v/>
      </c>
      <c r="F3930" s="22" t="str">
        <f>IF(OR(E3930="",E3930="!!!"),"",IF(NOT(ISNA(VLOOKUP(E3930,E$1:E3929,1,FALSE()))),"OLD",IF(AND(E3930&lt;&gt;"",E3930&lt;&gt;"!!!"),"NEW","")))</f>
        <v> </v>
      </c>
      <c r="G3930" s="23" t="str">
        <f>IF(OR(E3930="",E3930="!!!"),"",IF(OR(J3930=0,AND(J3930=1,K3930=1),AND(J3930=1,I3930="SBJ"),AND(J3930=1,I3930=0)),"?IN_FOCUS",IF(J3930&lt;=2,"?ACTIVATED",IF(J3930&lt;&gt;"","?FAMILIAR",IF(F3930="NEW",IF(ISNA(VLOOKUP(E3930,#REF!,1,FALSE())),"?TYPE_IDENTIFIABLE","?REFERENTIAL"),"_")))))</f>
        <v> </v>
      </c>
      <c r="H3930" s="24" t="str">
        <f>IF(J3930&lt;&gt;1,"",IF(I3930="SBJ","CB","?"))</f>
        <v> </v>
      </c>
      <c r="I3930" s="25" t="str">
        <f>IF(OR(E3930="",E3930="!!!",F3930="NEW"),"",INDEX(B3929:B$2,-1+SUMPRODUCT(MAX(ROW(E3929:E$2)*(E3930=E3929:E$2)))))</f>
        <v> </v>
      </c>
      <c r="J3930" s="25" t="str">
        <f>IF(OR(E3930="",E3930="!!!",F3930="NEW"),"",COUNTBLANK(OFFSET(A$1,,,SUMPRODUCT(MAX(ROW(E$2:E3930)*(E3930=E$2:E3930)))))-COUNTBLANK(OFFSET(A$1,,,SUMPRODUCT(MAX(ROW(E$1:E3929)*(E2=E$1:E3929))))))</f>
        <v> </v>
      </c>
      <c r="K3930" s="25" t="str">
        <f>IF(OR(E3930="",E3930="!!!",F3930="NEW"),"",INDEX(J$1:J3929,SUMPRODUCT(MAX(ROW(E$1:E3929)*(E3930=E$1:E3929)))))</f>
        <v> </v>
      </c>
      <c r="L3930" s="26"/>
    </row>
    <row r="3931" spans="1:12">
      <c r="A3931" s="20" t="s">
        <v>829</v>
      </c>
      <c r="E3931" s="21">
        <f>IF(D3931="?OLD","!!!","")</f>
        <v/>
      </c>
      <c r="F3931" s="22" t="str">
        <f>IF(OR(E3931="",E3931="!!!"),"",IF(NOT(ISNA(VLOOKUP(E3931,E$1:E3930,1,FALSE()))),"OLD",IF(AND(E3931&lt;&gt;"",E3931&lt;&gt;"!!!"),"NEW","")))</f>
        <v> </v>
      </c>
      <c r="G3931" s="23" t="str">
        <f>IF(OR(E3931="",E3931="!!!"),"",IF(OR(J3931=0,AND(J3931=1,K3931=1),AND(J3931=1,I3931="SBJ"),AND(J3931=1,I3931=0)),"?IN_FOCUS",IF(J3931&lt;=2,"?ACTIVATED",IF(J3931&lt;&gt;"","?FAMILIAR",IF(F3931="NEW",IF(ISNA(VLOOKUP(E3931,#REF!,1,FALSE())),"?TYPE_IDENTIFIABLE","?REFERENTIAL"),"_")))))</f>
        <v> </v>
      </c>
      <c r="H3931" s="24" t="str">
        <f>IF(J3931&lt;&gt;1,"",IF(I3931="SBJ","CB","?"))</f>
        <v> </v>
      </c>
      <c r="I3931" s="25" t="str">
        <f>IF(OR(E3931="",E3931="!!!",F3931="NEW"),"",INDEX(B3930:B$2,-1+SUMPRODUCT(MAX(ROW(E3930:E$2)*(E3931=E3930:E$2)))))</f>
        <v> </v>
      </c>
      <c r="J3931" s="25" t="str">
        <f>IF(OR(E3931="",E3931="!!!",F3931="NEW"),"",COUNTBLANK(OFFSET(A$1,,,SUMPRODUCT(MAX(ROW(E$2:E3931)*(E3931=E$2:E3931)))))-COUNTBLANK(OFFSET(A$1,,,SUMPRODUCT(MAX(ROW(E$1:E3930)*(E2=E$1:E3930))))))</f>
        <v> </v>
      </c>
      <c r="K3931" s="25" t="str">
        <f>IF(OR(E3931="",E3931="!!!",F3931="NEW"),"",INDEX(J$1:J3930,SUMPRODUCT(MAX(ROW(E$1:E3930)*(E3931=E$1:E3930)))))</f>
        <v> </v>
      </c>
      <c r="L3931" s="26"/>
    </row>
    <row r="3932" spans="1:12">
      <c r="A3932" s="20" t="s">
        <v>1120</v>
      </c>
      <c r="E3932" s="21">
        <f>IF(D3932="?OLD","!!!","")</f>
        <v/>
      </c>
      <c r="F3932" s="22" t="str">
        <f>IF(OR(E3932="",E3932="!!!"),"",IF(NOT(ISNA(VLOOKUP(E3932,E$1:E3931,1,FALSE()))),"OLD",IF(AND(E3932&lt;&gt;"",E3932&lt;&gt;"!!!"),"NEW","")))</f>
        <v> </v>
      </c>
      <c r="G3932" s="23" t="str">
        <f>IF(OR(E3932="",E3932="!!!"),"",IF(OR(J3932=0,AND(J3932=1,K3932=1),AND(J3932=1,I3932="SBJ"),AND(J3932=1,I3932=0)),"?IN_FOCUS",IF(J3932&lt;=2,"?ACTIVATED",IF(J3932&lt;&gt;"","?FAMILIAR",IF(F3932="NEW",IF(ISNA(VLOOKUP(E3932,#REF!,1,FALSE())),"?TYPE_IDENTIFIABLE","?REFERENTIAL"),"_")))))</f>
        <v> </v>
      </c>
      <c r="H3932" s="24" t="str">
        <f>IF(J3932&lt;&gt;1,"",IF(I3932="SBJ","CB","?"))</f>
        <v> </v>
      </c>
      <c r="I3932" s="25" t="str">
        <f>IF(OR(E3932="",E3932="!!!",F3932="NEW"),"",INDEX(B3931:B$2,-1+SUMPRODUCT(MAX(ROW(E3931:E$2)*(E3932=E3931:E$2)))))</f>
        <v> </v>
      </c>
      <c r="J3932" s="25" t="str">
        <f>IF(OR(E3932="",E3932="!!!",F3932="NEW"),"",COUNTBLANK(OFFSET(A$1,,,SUMPRODUCT(MAX(ROW(E$2:E3932)*(E3932=E$2:E3932)))))-COUNTBLANK(OFFSET(A$1,,,SUMPRODUCT(MAX(ROW(E$1:E3931)*(E2=E$1:E3931))))))</f>
        <v> </v>
      </c>
      <c r="K3932" s="25" t="str">
        <f>IF(OR(E3932="",E3932="!!!",F3932="NEW"),"",INDEX(J$1:J3931,SUMPRODUCT(MAX(ROW(E$1:E3931)*(E3932=E$1:E3931)))))</f>
        <v> </v>
      </c>
      <c r="L3932" s="26"/>
    </row>
    <row r="3933" spans="1:12">
      <c r="A3933" s="20" t="s">
        <v>1691</v>
      </c>
      <c r="B3933" s="27" t="s">
        <v>698</v>
      </c>
      <c r="C3933" s="27" t="s">
        <v>693</v>
      </c>
      <c r="D3933" s="27" t="s">
        <v>694</v>
      </c>
      <c r="E3933" s="21">
        <f>IF(D3933="?OLD","!!!","")</f>
        <v/>
      </c>
      <c r="F3933" s="22" t="str">
        <f>IF(OR(E3933="",E3933="!!!"),"",IF(NOT(ISNA(VLOOKUP(E3933,E$1:E3932,1,FALSE()))),"OLD",IF(AND(E3933&lt;&gt;"",E3933&lt;&gt;"!!!"),"NEW","")))</f>
        <v> </v>
      </c>
      <c r="G3933" s="23" t="str">
        <f>IF(OR(E3933="",E3933="!!!"),"",IF(OR(J3933=0,AND(J3933=1,K3933=1),AND(J3933=1,I3933="SBJ"),AND(J3933=1,I3933=0)),"?IN_FOCUS",IF(J3933&lt;=2,"?ACTIVATED",IF(J3933&lt;&gt;"","?FAMILIAR",IF(F3933="NEW",IF(ISNA(VLOOKUP(E3933,#REF!,1,FALSE())),"?TYPE_IDENTIFIABLE","?REFERENTIAL"),"_")))))</f>
        <v> </v>
      </c>
      <c r="H3933" s="24" t="str">
        <f>IF(J3933&lt;&gt;1,"",IF(I3933="SBJ","CB","?"))</f>
        <v> </v>
      </c>
      <c r="I3933" s="25" t="str">
        <f>IF(OR(E3933="",E3933="!!!",F3933="NEW"),"",INDEX(B3932:B$2,-1+SUMPRODUCT(MAX(ROW(E3932:E$2)*(E3933=E3932:E$2)))))</f>
        <v> </v>
      </c>
      <c r="J3933" s="25" t="str">
        <f>IF(OR(E3933="",E3933="!!!",F3933="NEW"),"",COUNTBLANK(OFFSET(A$1,,,SUMPRODUCT(MAX(ROW(E$2:E3933)*(E3933=E$2:E3933)))))-COUNTBLANK(OFFSET(A$1,,,SUMPRODUCT(MAX(ROW(E$1:E3932)*(E2=E$1:E3932))))))</f>
        <v> </v>
      </c>
      <c r="K3933" s="25" t="str">
        <f>IF(OR(E3933="",E3933="!!!",F3933="NEW"),"",INDEX(J$1:J3932,SUMPRODUCT(MAX(ROW(E$1:E3932)*(E3933=E$1:E3932)))))</f>
        <v> </v>
      </c>
      <c r="L3933" s="26"/>
    </row>
    <row r="3934" spans="1:12">
      <c r="A3934" s="20" t="s">
        <v>725</v>
      </c>
      <c r="E3934" s="21">
        <f>IF(D3934="?OLD","!!!","")</f>
        <v/>
      </c>
      <c r="F3934" s="22" t="str">
        <f>IF(OR(E3934="",E3934="!!!"),"",IF(NOT(ISNA(VLOOKUP(E3934,E$1:E3933,1,FALSE()))),"OLD",IF(AND(E3934&lt;&gt;"",E3934&lt;&gt;"!!!"),"NEW","")))</f>
        <v> </v>
      </c>
      <c r="G3934" s="23" t="str">
        <f>IF(OR(E3934="",E3934="!!!"),"",IF(OR(J3934=0,AND(J3934=1,K3934=1),AND(J3934=1,I3934="SBJ"),AND(J3934=1,I3934=0)),"?IN_FOCUS",IF(J3934&lt;=2,"?ACTIVATED",IF(J3934&lt;&gt;"","?FAMILIAR",IF(F3934="NEW",IF(ISNA(VLOOKUP(E3934,#REF!,1,FALSE())),"?TYPE_IDENTIFIABLE","?REFERENTIAL"),"_")))))</f>
        <v> </v>
      </c>
      <c r="H3934" s="24" t="str">
        <f>IF(J3934&lt;&gt;1,"",IF(I3934="SBJ","CB","?"))</f>
        <v> </v>
      </c>
      <c r="I3934" s="25" t="str">
        <f>IF(OR(E3934="",E3934="!!!",F3934="NEW"),"",INDEX(B3933:B$2,-1+SUMPRODUCT(MAX(ROW(E3933:E$2)*(E3934=E3933:E$2)))))</f>
        <v> </v>
      </c>
      <c r="J3934" s="25" t="str">
        <f>IF(OR(E3934="",E3934="!!!",F3934="NEW"),"",COUNTBLANK(OFFSET(A$1,,,SUMPRODUCT(MAX(ROW(E$2:E3934)*(E3934=E$2:E3934)))))-COUNTBLANK(OFFSET(A$1,,,SUMPRODUCT(MAX(ROW(E$1:E3933)*(E2=E$1:E3933))))))</f>
        <v> </v>
      </c>
      <c r="K3934" s="25" t="str">
        <f>IF(OR(E3934="",E3934="!!!",F3934="NEW"),"",INDEX(J$1:J3933,SUMPRODUCT(MAX(ROW(E$1:E3933)*(E3934=E$1:E3933)))))</f>
        <v> </v>
      </c>
      <c r="L3934" s="26"/>
    </row>
    <row r="3935" spans="1:12">
      <c r="A3935" s="20" t="s">
        <v>690</v>
      </c>
      <c r="E3935" s="21">
        <f>IF(D3935="?OLD","!!!","")</f>
        <v/>
      </c>
      <c r="F3935" s="22" t="str">
        <f>IF(OR(E3935="",E3935="!!!"),"",IF(NOT(ISNA(VLOOKUP(E3935,E$1:E3934,1,FALSE()))),"OLD",IF(AND(E3935&lt;&gt;"",E3935&lt;&gt;"!!!"),"NEW","")))</f>
        <v> </v>
      </c>
      <c r="G3935" s="23" t="str">
        <f>IF(OR(E3935="",E3935="!!!"),"",IF(OR(J3935=0,AND(J3935=1,K3935=1),AND(J3935=1,I3935="SBJ"),AND(J3935=1,I3935=0)),"?IN_FOCUS",IF(J3935&lt;=2,"?ACTIVATED",IF(J3935&lt;&gt;"","?FAMILIAR",IF(F3935="NEW",IF(ISNA(VLOOKUP(E3935,#REF!,1,FALSE())),"?TYPE_IDENTIFIABLE","?REFERENTIAL"),"_")))))</f>
        <v> </v>
      </c>
      <c r="H3935" s="24" t="str">
        <f>IF(J3935&lt;&gt;1,"",IF(I3935="SBJ","CB","?"))</f>
        <v> </v>
      </c>
      <c r="I3935" s="25" t="str">
        <f>IF(OR(E3935="",E3935="!!!",F3935="NEW"),"",INDEX(B3934:B$2,-1+SUMPRODUCT(MAX(ROW(E3934:E$2)*(E3935=E3934:E$2)))))</f>
        <v> </v>
      </c>
      <c r="J3935" s="25" t="str">
        <f>IF(OR(E3935="",E3935="!!!",F3935="NEW"),"",COUNTBLANK(OFFSET(A$1,,,SUMPRODUCT(MAX(ROW(E$2:E3935)*(E3935=E$2:E3935)))))-COUNTBLANK(OFFSET(A$1,,,SUMPRODUCT(MAX(ROW(E$1:E3934)*(E2=E$1:E3934))))))</f>
        <v> </v>
      </c>
      <c r="K3935" s="25" t="str">
        <f>IF(OR(E3935="",E3935="!!!",F3935="NEW"),"",INDEX(J$1:J3934,SUMPRODUCT(MAX(ROW(E$1:E3934)*(E3935=E$1:E3934)))))</f>
        <v> </v>
      </c>
      <c r="L3935" s="26"/>
    </row>
    <row r="3936" spans="1:12">
      <c r="A3936" s="20" t="s">
        <v>730</v>
      </c>
      <c r="E3936" s="21">
        <f>IF(D3936="?OLD","!!!","")</f>
        <v/>
      </c>
      <c r="F3936" s="22" t="str">
        <f>IF(OR(E3936="",E3936="!!!"),"",IF(NOT(ISNA(VLOOKUP(E3936,E$1:E3935,1,FALSE()))),"OLD",IF(AND(E3936&lt;&gt;"",E3936&lt;&gt;"!!!"),"NEW","")))</f>
        <v> </v>
      </c>
      <c r="G3936" s="23" t="str">
        <f>IF(OR(E3936="",E3936="!!!"),"",IF(OR(J3936=0,AND(J3936=1,K3936=1),AND(J3936=1,I3936="SBJ"),AND(J3936=1,I3936=0)),"?IN_FOCUS",IF(J3936&lt;=2,"?ACTIVATED",IF(J3936&lt;&gt;"","?FAMILIAR",IF(F3936="NEW",IF(ISNA(VLOOKUP(E3936,#REF!,1,FALSE())),"?TYPE_IDENTIFIABLE","?REFERENTIAL"),"_")))))</f>
        <v> </v>
      </c>
      <c r="H3936" s="24" t="str">
        <f>IF(J3936&lt;&gt;1,"",IF(I3936="SBJ","CB","?"))</f>
        <v> </v>
      </c>
      <c r="I3936" s="25" t="str">
        <f>IF(OR(E3936="",E3936="!!!",F3936="NEW"),"",INDEX(B3935:B$2,-1+SUMPRODUCT(MAX(ROW(E3935:E$2)*(E3936=E3935:E$2)))))</f>
        <v> </v>
      </c>
      <c r="J3936" s="25" t="str">
        <f>IF(OR(E3936="",E3936="!!!",F3936="NEW"),"",COUNTBLANK(OFFSET(A$1,,,SUMPRODUCT(MAX(ROW(E$2:E3936)*(E3936=E$2:E3936)))))-COUNTBLANK(OFFSET(A$1,,,SUMPRODUCT(MAX(ROW(E$1:E3935)*(E2=E$1:E3935))))))</f>
        <v> </v>
      </c>
      <c r="K3936" s="25" t="str">
        <f>IF(OR(E3936="",E3936="!!!",F3936="NEW"),"",INDEX(J$1:J3935,SUMPRODUCT(MAX(ROW(E$1:E3935)*(E3936=E$1:E3935)))))</f>
        <v> </v>
      </c>
      <c r="L3936" s="26"/>
    </row>
    <row r="3937" spans="1:12">
      <c r="A3937" s="20" t="s">
        <v>838</v>
      </c>
      <c r="B3937" s="27" t="s">
        <v>692</v>
      </c>
      <c r="C3937" s="27" t="s">
        <v>707</v>
      </c>
      <c r="D3937" s="27" t="s">
        <v>694</v>
      </c>
      <c r="E3937" s="21">
        <f>IF(D3937="?OLD","!!!","")</f>
        <v/>
      </c>
      <c r="F3937" s="22" t="str">
        <f>IF(OR(E3937="",E3937="!!!"),"",IF(NOT(ISNA(VLOOKUP(E3937,E$1:E3936,1,FALSE()))),"OLD",IF(AND(E3937&lt;&gt;"",E3937&lt;&gt;"!!!"),"NEW","")))</f>
        <v> </v>
      </c>
      <c r="G3937" s="23" t="str">
        <f>IF(OR(E3937="",E3937="!!!"),"",IF(OR(J3937=0,AND(J3937=1,K3937=1),AND(J3937=1,I3937="SBJ"),AND(J3937=1,I3937=0)),"?IN_FOCUS",IF(J3937&lt;=2,"?ACTIVATED",IF(J3937&lt;&gt;"","?FAMILIAR",IF(F3937="NEW",IF(ISNA(VLOOKUP(E3937,#REF!,1,FALSE())),"?TYPE_IDENTIFIABLE","?REFERENTIAL"),"_")))))</f>
        <v> </v>
      </c>
      <c r="H3937" s="24" t="str">
        <f>IF(J3937&lt;&gt;1,"",IF(I3937="SBJ","CB","?"))</f>
        <v> </v>
      </c>
      <c r="I3937" s="25" t="str">
        <f>IF(OR(E3937="",E3937="!!!",F3937="NEW"),"",INDEX(B3936:B$2,-1+SUMPRODUCT(MAX(ROW(E3936:E$2)*(E3937=E3936:E$2)))))</f>
        <v> </v>
      </c>
      <c r="J3937" s="25" t="str">
        <f>IF(OR(E3937="",E3937="!!!",F3937="NEW"),"",COUNTBLANK(OFFSET(A$1,,,SUMPRODUCT(MAX(ROW(E$2:E3937)*(E3937=E$2:E3937)))))-COUNTBLANK(OFFSET(A$1,,,SUMPRODUCT(MAX(ROW(E$1:E3936)*(E2=E$1:E3936))))))</f>
        <v> </v>
      </c>
      <c r="K3937" s="25" t="str">
        <f>IF(OR(E3937="",E3937="!!!",F3937="NEW"),"",INDEX(J$1:J3936,SUMPRODUCT(MAX(ROW(E$1:E3936)*(E3937=E$1:E3936)))))</f>
        <v> </v>
      </c>
      <c r="L3937" s="26"/>
    </row>
    <row r="3938" spans="1:12">
      <c r="A3938" s="20" t="s">
        <v>696</v>
      </c>
      <c r="E3938" s="21">
        <f>IF(D3938="?OLD","!!!","")</f>
        <v/>
      </c>
      <c r="F3938" s="22" t="str">
        <f>IF(OR(E3938="",E3938="!!!"),"",IF(NOT(ISNA(VLOOKUP(E3938,E$1:E3937,1,FALSE()))),"OLD",IF(AND(E3938&lt;&gt;"",E3938&lt;&gt;"!!!"),"NEW","")))</f>
        <v> </v>
      </c>
      <c r="G3938" s="23" t="str">
        <f>IF(OR(E3938="",E3938="!!!"),"",IF(OR(J3938=0,AND(J3938=1,K3938=1),AND(J3938=1,I3938="SBJ"),AND(J3938=1,I3938=0)),"?IN_FOCUS",IF(J3938&lt;=2,"?ACTIVATED",IF(J3938&lt;&gt;"","?FAMILIAR",IF(F3938="NEW",IF(ISNA(VLOOKUP(E3938,#REF!,1,FALSE())),"?TYPE_IDENTIFIABLE","?REFERENTIAL"),"_")))))</f>
        <v> </v>
      </c>
      <c r="H3938" s="24" t="str">
        <f>IF(J3938&lt;&gt;1,"",IF(I3938="SBJ","CB","?"))</f>
        <v> </v>
      </c>
      <c r="I3938" s="25" t="str">
        <f>IF(OR(E3938="",E3938="!!!",F3938="NEW"),"",INDEX(B3937:B$2,-1+SUMPRODUCT(MAX(ROW(E3937:E$2)*(E3938=E3937:E$2)))))</f>
        <v> </v>
      </c>
      <c r="J3938" s="25" t="str">
        <f>IF(OR(E3938="",E3938="!!!",F3938="NEW"),"",COUNTBLANK(OFFSET(A$1,,,SUMPRODUCT(MAX(ROW(E$2:E3938)*(E3938=E$2:E3938)))))-COUNTBLANK(OFFSET(A$1,,,SUMPRODUCT(MAX(ROW(E$1:E3937)*(E2=E$1:E3937))))))</f>
        <v> </v>
      </c>
      <c r="K3938" s="25" t="str">
        <f>IF(OR(E3938="",E3938="!!!",F3938="NEW"),"",INDEX(J$1:J3937,SUMPRODUCT(MAX(ROW(E$1:E3937)*(E3938=E$1:E3937)))))</f>
        <v> </v>
      </c>
      <c r="L3938" s="26"/>
    </row>
    <row r="3939" spans="1:12">
      <c r="A3939" s="20" t="s">
        <v>690</v>
      </c>
      <c r="E3939" s="21">
        <f>IF(D3939="?OLD","!!!","")</f>
        <v/>
      </c>
      <c r="F3939" s="22" t="str">
        <f>IF(OR(E3939="",E3939="!!!"),"",IF(NOT(ISNA(VLOOKUP(E3939,E$1:E3938,1,FALSE()))),"OLD",IF(AND(E3939&lt;&gt;"",E3939&lt;&gt;"!!!"),"NEW","")))</f>
        <v> </v>
      </c>
      <c r="G3939" s="23" t="str">
        <f>IF(OR(E3939="",E3939="!!!"),"",IF(OR(J3939=0,AND(J3939=1,K3939=1),AND(J3939=1,I3939="SBJ"),AND(J3939=1,I3939=0)),"?IN_FOCUS",IF(J3939&lt;=2,"?ACTIVATED",IF(J3939&lt;&gt;"","?FAMILIAR",IF(F3939="NEW",IF(ISNA(VLOOKUP(E3939,#REF!,1,FALSE())),"?TYPE_IDENTIFIABLE","?REFERENTIAL"),"_")))))</f>
        <v> </v>
      </c>
      <c r="H3939" s="24" t="str">
        <f>IF(J3939&lt;&gt;1,"",IF(I3939="SBJ","CB","?"))</f>
        <v> </v>
      </c>
      <c r="I3939" s="25" t="str">
        <f>IF(OR(E3939="",E3939="!!!",F3939="NEW"),"",INDEX(B3938:B$2,-1+SUMPRODUCT(MAX(ROW(E3938:E$2)*(E3939=E3938:E$2)))))</f>
        <v> </v>
      </c>
      <c r="J3939" s="25" t="str">
        <f>IF(OR(E3939="",E3939="!!!",F3939="NEW"),"",COUNTBLANK(OFFSET(A$1,,,SUMPRODUCT(MAX(ROW(E$2:E3939)*(E3939=E$2:E3939)))))-COUNTBLANK(OFFSET(A$1,,,SUMPRODUCT(MAX(ROW(E$1:E3938)*(E2=E$1:E3938))))))</f>
        <v> </v>
      </c>
      <c r="K3939" s="25" t="str">
        <f>IF(OR(E3939="",E3939="!!!",F3939="NEW"),"",INDEX(J$1:J3938,SUMPRODUCT(MAX(ROW(E$1:E3938)*(E3939=E$1:E3938)))))</f>
        <v> </v>
      </c>
      <c r="L3939" s="26"/>
    </row>
    <row r="3940" spans="1:12">
      <c r="A3940" s="20" t="s">
        <v>962</v>
      </c>
      <c r="B3940" s="27" t="s">
        <v>737</v>
      </c>
      <c r="C3940" s="27" t="s">
        <v>693</v>
      </c>
      <c r="D3940" s="27" t="s">
        <v>694</v>
      </c>
      <c r="E3940" s="21">
        <f>IF(D3940="?OLD","!!!","")</f>
        <v/>
      </c>
      <c r="F3940" s="22" t="str">
        <f>IF(OR(E3940="",E3940="!!!"),"",IF(NOT(ISNA(VLOOKUP(E3940,E$1:E3939,1,FALSE()))),"OLD",IF(AND(E3940&lt;&gt;"",E3940&lt;&gt;"!!!"),"NEW","")))</f>
        <v> </v>
      </c>
      <c r="G3940" s="23" t="str">
        <f>IF(OR(E3940="",E3940="!!!"),"",IF(OR(J3940=0,AND(J3940=1,K3940=1),AND(J3940=1,I3940="SBJ"),AND(J3940=1,I3940=0)),"?IN_FOCUS",IF(J3940&lt;=2,"?ACTIVATED",IF(J3940&lt;&gt;"","?FAMILIAR",IF(F3940="NEW",IF(ISNA(VLOOKUP(E3940,#REF!,1,FALSE())),"?TYPE_IDENTIFIABLE","?REFERENTIAL"),"_")))))</f>
        <v> </v>
      </c>
      <c r="H3940" s="24" t="str">
        <f>IF(J3940&lt;&gt;1,"",IF(I3940="SBJ","CB","?"))</f>
        <v> </v>
      </c>
      <c r="I3940" s="25" t="str">
        <f>IF(OR(E3940="",E3940="!!!",F3940="NEW"),"",INDEX(B3939:B$2,-1+SUMPRODUCT(MAX(ROW(E3939:E$2)*(E3940=E3939:E$2)))))</f>
        <v> </v>
      </c>
      <c r="J3940" s="25" t="str">
        <f>IF(OR(E3940="",E3940="!!!",F3940="NEW"),"",COUNTBLANK(OFFSET(A$1,,,SUMPRODUCT(MAX(ROW(E$2:E3940)*(E3940=E$2:E3940)))))-COUNTBLANK(OFFSET(A$1,,,SUMPRODUCT(MAX(ROW(E$1:E3939)*(E2=E$1:E3939))))))</f>
        <v> </v>
      </c>
      <c r="K3940" s="25" t="str">
        <f>IF(OR(E3940="",E3940="!!!",F3940="NEW"),"",INDEX(J$1:J3939,SUMPRODUCT(MAX(ROW(E$1:E3939)*(E3940=E$1:E3939)))))</f>
        <v> </v>
      </c>
      <c r="L3940" s="26"/>
    </row>
    <row r="3941" spans="1:12">
      <c r="A3941" s="20" t="s">
        <v>730</v>
      </c>
      <c r="E3941" s="21">
        <f>IF(D3941="?OLD","!!!","")</f>
        <v/>
      </c>
      <c r="F3941" s="22" t="str">
        <f>IF(OR(E3941="",E3941="!!!"),"",IF(NOT(ISNA(VLOOKUP(E3941,E$1:E3940,1,FALSE()))),"OLD",IF(AND(E3941&lt;&gt;"",E3941&lt;&gt;"!!!"),"NEW","")))</f>
        <v> </v>
      </c>
      <c r="G3941" s="23" t="str">
        <f>IF(OR(E3941="",E3941="!!!"),"",IF(OR(J3941=0,AND(J3941=1,K3941=1),AND(J3941=1,I3941="SBJ"),AND(J3941=1,I3941=0)),"?IN_FOCUS",IF(J3941&lt;=2,"?ACTIVATED",IF(J3941&lt;&gt;"","?FAMILIAR",IF(F3941="NEW",IF(ISNA(VLOOKUP(E3941,#REF!,1,FALSE())),"?TYPE_IDENTIFIABLE","?REFERENTIAL"),"_")))))</f>
        <v> </v>
      </c>
      <c r="H3941" s="24" t="str">
        <f>IF(J3941&lt;&gt;1,"",IF(I3941="SBJ","CB","?"))</f>
        <v> </v>
      </c>
      <c r="I3941" s="25" t="str">
        <f>IF(OR(E3941="",E3941="!!!",F3941="NEW"),"",INDEX(B3940:B$2,-1+SUMPRODUCT(MAX(ROW(E3940:E$2)*(E3941=E3940:E$2)))))</f>
        <v> </v>
      </c>
      <c r="J3941" s="25" t="str">
        <f>IF(OR(E3941="",E3941="!!!",F3941="NEW"),"",COUNTBLANK(OFFSET(A$1,,,SUMPRODUCT(MAX(ROW(E$2:E3941)*(E3941=E$2:E3941)))))-COUNTBLANK(OFFSET(A$1,,,SUMPRODUCT(MAX(ROW(E$1:E3940)*(E2=E$1:E3940))))))</f>
        <v> </v>
      </c>
      <c r="K3941" s="25" t="str">
        <f>IF(OR(E3941="",E3941="!!!",F3941="NEW"),"",INDEX(J$1:J3940,SUMPRODUCT(MAX(ROW(E$1:E3940)*(E3941=E$1:E3940)))))</f>
        <v> </v>
      </c>
      <c r="L3941" s="26"/>
    </row>
    <row r="3942" spans="1:12">
      <c r="A3942" s="20" t="s">
        <v>725</v>
      </c>
      <c r="E3942" s="21">
        <f>IF(D3942="?OLD","!!!","")</f>
        <v/>
      </c>
      <c r="F3942" s="22" t="str">
        <f>IF(OR(E3942="",E3942="!!!"),"",IF(NOT(ISNA(VLOOKUP(E3942,E$1:E3941,1,FALSE()))),"OLD",IF(AND(E3942&lt;&gt;"",E3942&lt;&gt;"!!!"),"NEW","")))</f>
        <v> </v>
      </c>
      <c r="G3942" s="23" t="str">
        <f>IF(OR(E3942="",E3942="!!!"),"",IF(OR(J3942=0,AND(J3942=1,K3942=1),AND(J3942=1,I3942="SBJ"),AND(J3942=1,I3942=0)),"?IN_FOCUS",IF(J3942&lt;=2,"?ACTIVATED",IF(J3942&lt;&gt;"","?FAMILIAR",IF(F3942="NEW",IF(ISNA(VLOOKUP(E3942,#REF!,1,FALSE())),"?TYPE_IDENTIFIABLE","?REFERENTIAL"),"_")))))</f>
        <v> </v>
      </c>
      <c r="H3942" s="24" t="str">
        <f>IF(J3942&lt;&gt;1,"",IF(I3942="SBJ","CB","?"))</f>
        <v> </v>
      </c>
      <c r="I3942" s="25" t="str">
        <f>IF(OR(E3942="",E3942="!!!",F3942="NEW"),"",INDEX(B3941:B$2,-1+SUMPRODUCT(MAX(ROW(E3941:E$2)*(E3942=E3941:E$2)))))</f>
        <v> </v>
      </c>
      <c r="J3942" s="25" t="str">
        <f>IF(OR(E3942="",E3942="!!!",F3942="NEW"),"",COUNTBLANK(OFFSET(A$1,,,SUMPRODUCT(MAX(ROW(E$2:E3942)*(E3942=E$2:E3942)))))-COUNTBLANK(OFFSET(A$1,,,SUMPRODUCT(MAX(ROW(E$1:E3941)*(E2=E$1:E3941))))))</f>
        <v> </v>
      </c>
      <c r="K3942" s="25" t="str">
        <f>IF(OR(E3942="",E3942="!!!",F3942="NEW"),"",INDEX(J$1:J3941,SUMPRODUCT(MAX(ROW(E$1:E3941)*(E3942=E$1:E3941)))))</f>
        <v> </v>
      </c>
      <c r="L3942" s="26"/>
    </row>
    <row r="3943" spans="1:12">
      <c r="A3943" s="20" t="s">
        <v>1692</v>
      </c>
      <c r="E3943" s="21">
        <f>IF(D3943="?OLD","!!!","")</f>
        <v/>
      </c>
      <c r="F3943" s="22" t="str">
        <f>IF(OR(E3943="",E3943="!!!"),"",IF(NOT(ISNA(VLOOKUP(E3943,E$1:E3942,1,FALSE()))),"OLD",IF(AND(E3943&lt;&gt;"",E3943&lt;&gt;"!!!"),"NEW","")))</f>
        <v> </v>
      </c>
      <c r="G3943" s="23" t="str">
        <f>IF(OR(E3943="",E3943="!!!"),"",IF(OR(J3943=0,AND(J3943=1,K3943=1),AND(J3943=1,I3943="SBJ"),AND(J3943=1,I3943=0)),"?IN_FOCUS",IF(J3943&lt;=2,"?ACTIVATED",IF(J3943&lt;&gt;"","?FAMILIAR",IF(F3943="NEW",IF(ISNA(VLOOKUP(E3943,#REF!,1,FALSE())),"?TYPE_IDENTIFIABLE","?REFERENTIAL"),"_")))))</f>
        <v> </v>
      </c>
      <c r="H3943" s="24" t="str">
        <f>IF(J3943&lt;&gt;1,"",IF(I3943="SBJ","CB","?"))</f>
        <v> </v>
      </c>
      <c r="I3943" s="25" t="str">
        <f>IF(OR(E3943="",E3943="!!!",F3943="NEW"),"",INDEX(B3942:B$2,-1+SUMPRODUCT(MAX(ROW(E3942:E$2)*(E3943=E3942:E$2)))))</f>
        <v> </v>
      </c>
      <c r="J3943" s="25" t="str">
        <f>IF(OR(E3943="",E3943="!!!",F3943="NEW"),"",COUNTBLANK(OFFSET(A$1,,,SUMPRODUCT(MAX(ROW(E$2:E3943)*(E3943=E$2:E3943)))))-COUNTBLANK(OFFSET(A$1,,,SUMPRODUCT(MAX(ROW(E$1:E3942)*(E2=E$1:E3942))))))</f>
        <v> </v>
      </c>
      <c r="K3943" s="25" t="str">
        <f>IF(OR(E3943="",E3943="!!!",F3943="NEW"),"",INDEX(J$1:J3942,SUMPRODUCT(MAX(ROW(E$1:E3942)*(E3943=E$1:E3942)))))</f>
        <v> </v>
      </c>
      <c r="L3943" s="26"/>
    </row>
    <row r="3944" spans="1:12">
      <c r="A3944" s="20" t="s">
        <v>998</v>
      </c>
      <c r="B3944" s="27" t="s">
        <v>692</v>
      </c>
      <c r="C3944" s="27" t="s">
        <v>733</v>
      </c>
      <c r="D3944" s="27" t="s">
        <v>694</v>
      </c>
      <c r="E3944" s="21">
        <f>IF(D3944="?OLD","!!!","")</f>
        <v/>
      </c>
      <c r="F3944" s="22" t="str">
        <f>IF(OR(E3944="",E3944="!!!"),"",IF(NOT(ISNA(VLOOKUP(E3944,E$1:E3943,1,FALSE()))),"OLD",IF(AND(E3944&lt;&gt;"",E3944&lt;&gt;"!!!"),"NEW","")))</f>
        <v> </v>
      </c>
      <c r="G3944" s="23" t="str">
        <f>IF(OR(E3944="",E3944="!!!"),"",IF(OR(J3944=0,AND(J3944=1,K3944=1),AND(J3944=1,I3944="SBJ"),AND(J3944=1,I3944=0)),"?IN_FOCUS",IF(J3944&lt;=2,"?ACTIVATED",IF(J3944&lt;&gt;"","?FAMILIAR",IF(F3944="NEW",IF(ISNA(VLOOKUP(E3944,#REF!,1,FALSE())),"?TYPE_IDENTIFIABLE","?REFERENTIAL"),"_")))))</f>
        <v> </v>
      </c>
      <c r="H3944" s="24" t="str">
        <f>IF(J3944&lt;&gt;1,"",IF(I3944="SBJ","CB","?"))</f>
        <v> </v>
      </c>
      <c r="I3944" s="25" t="str">
        <f>IF(OR(E3944="",E3944="!!!",F3944="NEW"),"",INDEX(B3943:B$2,-1+SUMPRODUCT(MAX(ROW(E3943:E$2)*(E3944=E3943:E$2)))))</f>
        <v> </v>
      </c>
      <c r="J3944" s="25" t="str">
        <f>IF(OR(E3944="",E3944="!!!",F3944="NEW"),"",COUNTBLANK(OFFSET(A$1,,,SUMPRODUCT(MAX(ROW(E$2:E3944)*(E3944=E$2:E3944)))))-COUNTBLANK(OFFSET(A$1,,,SUMPRODUCT(MAX(ROW(E$1:E3943)*(E2=E$1:E3943))))))</f>
        <v> </v>
      </c>
      <c r="K3944" s="25" t="str">
        <f>IF(OR(E3944="",E3944="!!!",F3944="NEW"),"",INDEX(J$1:J3943,SUMPRODUCT(MAX(ROW(E$1:E3943)*(E3944=E$1:E3943)))))</f>
        <v> </v>
      </c>
      <c r="L3944" s="26"/>
    </row>
    <row r="3945" spans="1:12">
      <c r="A3945" s="20" t="s">
        <v>1693</v>
      </c>
      <c r="E3945" s="21">
        <f>IF(D3945="?OLD","!!!","")</f>
        <v/>
      </c>
      <c r="F3945" s="22" t="str">
        <f>IF(OR(E3945="",E3945="!!!"),"",IF(NOT(ISNA(VLOOKUP(E3945,E$1:E3944,1,FALSE()))),"OLD",IF(AND(E3945&lt;&gt;"",E3945&lt;&gt;"!!!"),"NEW","")))</f>
        <v> </v>
      </c>
      <c r="G3945" s="23" t="str">
        <f>IF(OR(E3945="",E3945="!!!"),"",IF(OR(J3945=0,AND(J3945=1,K3945=1),AND(J3945=1,I3945="SBJ"),AND(J3945=1,I3945=0)),"?IN_FOCUS",IF(J3945&lt;=2,"?ACTIVATED",IF(J3945&lt;&gt;"","?FAMILIAR",IF(F3945="NEW",IF(ISNA(VLOOKUP(E3945,#REF!,1,FALSE())),"?TYPE_IDENTIFIABLE","?REFERENTIAL"),"_")))))</f>
        <v> </v>
      </c>
      <c r="H3945" s="24" t="str">
        <f>IF(J3945&lt;&gt;1,"",IF(I3945="SBJ","CB","?"))</f>
        <v> </v>
      </c>
      <c r="I3945" s="25" t="str">
        <f>IF(OR(E3945="",E3945="!!!",F3945="NEW"),"",INDEX(B3944:B$2,-1+SUMPRODUCT(MAX(ROW(E3944:E$2)*(E3945=E3944:E$2)))))</f>
        <v> </v>
      </c>
      <c r="J3945" s="25" t="str">
        <f>IF(OR(E3945="",E3945="!!!",F3945="NEW"),"",COUNTBLANK(OFFSET(A$1,,,SUMPRODUCT(MAX(ROW(E$2:E3945)*(E3945=E$2:E3945)))))-COUNTBLANK(OFFSET(A$1,,,SUMPRODUCT(MAX(ROW(E$1:E3944)*(E2=E$1:E3944))))))</f>
        <v> </v>
      </c>
      <c r="K3945" s="25" t="str">
        <f>IF(OR(E3945="",E3945="!!!",F3945="NEW"),"",INDEX(J$1:J3944,SUMPRODUCT(MAX(ROW(E$1:E3944)*(E3945=E$1:E3944)))))</f>
        <v> </v>
      </c>
      <c r="L3945" s="26"/>
    </row>
    <row r="3946" spans="1:12">
      <c r="A3946" s="20" t="s">
        <v>773</v>
      </c>
      <c r="E3946" s="21">
        <f>IF(D3946="?OLD","!!!","")</f>
        <v/>
      </c>
      <c r="F3946" s="22" t="str">
        <f>IF(OR(E3946="",E3946="!!!"),"",IF(NOT(ISNA(VLOOKUP(E3946,E$1:E3945,1,FALSE()))),"OLD",IF(AND(E3946&lt;&gt;"",E3946&lt;&gt;"!!!"),"NEW","")))</f>
        <v> </v>
      </c>
      <c r="G3946" s="23" t="str">
        <f>IF(OR(E3946="",E3946="!!!"),"",IF(OR(J3946=0,AND(J3946=1,K3946=1),AND(J3946=1,I3946="SBJ"),AND(J3946=1,I3946=0)),"?IN_FOCUS",IF(J3946&lt;=2,"?ACTIVATED",IF(J3946&lt;&gt;"","?FAMILIAR",IF(F3946="NEW",IF(ISNA(VLOOKUP(E3946,#REF!,1,FALSE())),"?TYPE_IDENTIFIABLE","?REFERENTIAL"),"_")))))</f>
        <v> </v>
      </c>
      <c r="H3946" s="24" t="str">
        <f>IF(J3946&lt;&gt;1,"",IF(I3946="SBJ","CB","?"))</f>
        <v> </v>
      </c>
      <c r="I3946" s="25" t="str">
        <f>IF(OR(E3946="",E3946="!!!",F3946="NEW"),"",INDEX(B3945:B$2,-1+SUMPRODUCT(MAX(ROW(E3945:E$2)*(E3946=E3945:E$2)))))</f>
        <v> </v>
      </c>
      <c r="J3946" s="25" t="str">
        <f>IF(OR(E3946="",E3946="!!!",F3946="NEW"),"",COUNTBLANK(OFFSET(A$1,,,SUMPRODUCT(MAX(ROW(E$2:E3946)*(E3946=E$2:E3946)))))-COUNTBLANK(OFFSET(A$1,,,SUMPRODUCT(MAX(ROW(E$1:E3945)*(E2=E$1:E3945))))))</f>
        <v> </v>
      </c>
      <c r="K3946" s="25" t="str">
        <f>IF(OR(E3946="",E3946="!!!",F3946="NEW"),"",INDEX(J$1:J3945,SUMPRODUCT(MAX(ROW(E$1:E3945)*(E3946=E$1:E3945)))))</f>
        <v> </v>
      </c>
      <c r="L3946" s="26"/>
    </row>
    <row r="3947" spans="1:12">
      <c r="A3947" s="20" t="s">
        <v>1543</v>
      </c>
      <c r="B3947" s="27" t="s">
        <v>698</v>
      </c>
      <c r="C3947" s="27" t="s">
        <v>716</v>
      </c>
      <c r="E3947" s="21">
        <f>IF(D3947="?OLD","!!!","")</f>
        <v/>
      </c>
      <c r="F3947" s="22" t="str">
        <f>IF(OR(E3947="",E3947="!!!"),"",IF(NOT(ISNA(VLOOKUP(E3947,E$1:E3946,1,FALSE()))),"OLD",IF(AND(E3947&lt;&gt;"",E3947&lt;&gt;"!!!"),"NEW","")))</f>
        <v> </v>
      </c>
      <c r="G3947" s="23" t="str">
        <f>IF(OR(E3947="",E3947="!!!"),"",IF(OR(J3947=0,AND(J3947=1,K3947=1),AND(J3947=1,I3947="SBJ"),AND(J3947=1,I3947=0)),"?IN_FOCUS",IF(J3947&lt;=2,"?ACTIVATED",IF(J3947&lt;&gt;"","?FAMILIAR",IF(F3947="NEW",IF(ISNA(VLOOKUP(E3947,#REF!,1,FALSE())),"?TYPE_IDENTIFIABLE","?REFERENTIAL"),"_")))))</f>
        <v> </v>
      </c>
      <c r="H3947" s="24" t="str">
        <f>IF(J3947&lt;&gt;1,"",IF(I3947="SBJ","CB","?"))</f>
        <v> </v>
      </c>
      <c r="I3947" s="25" t="str">
        <f>IF(OR(E3947="",E3947="!!!",F3947="NEW"),"",INDEX(B3946:B$2,-1+SUMPRODUCT(MAX(ROW(E3946:E$2)*(E3947=E3946:E$2)))))</f>
        <v> </v>
      </c>
      <c r="J3947" s="25" t="str">
        <f>IF(OR(E3947="",E3947="!!!",F3947="NEW"),"",COUNTBLANK(OFFSET(A$1,,,SUMPRODUCT(MAX(ROW(E$2:E3947)*(E3947=E$2:E3947)))))-COUNTBLANK(OFFSET(A$1,,,SUMPRODUCT(MAX(ROW(E$1:E3946)*(E2=E$1:E3946))))))</f>
        <v> </v>
      </c>
      <c r="K3947" s="25" t="str">
        <f>IF(OR(E3947="",E3947="!!!",F3947="NEW"),"",INDEX(J$1:J3946,SUMPRODUCT(MAX(ROW(E$1:E3946)*(E3947=E$1:E3946)))))</f>
        <v> </v>
      </c>
      <c r="L3947" s="26"/>
    </row>
    <row r="3948" spans="1:12">
      <c r="A3948" s="20" t="s">
        <v>725</v>
      </c>
      <c r="E3948" s="21">
        <f>IF(D3948="?OLD","!!!","")</f>
        <v/>
      </c>
      <c r="F3948" s="22" t="str">
        <f>IF(OR(E3948="",E3948="!!!"),"",IF(NOT(ISNA(VLOOKUP(E3948,E$1:E3947,1,FALSE()))),"OLD",IF(AND(E3948&lt;&gt;"",E3948&lt;&gt;"!!!"),"NEW","")))</f>
        <v> </v>
      </c>
      <c r="G3948" s="23" t="str">
        <f>IF(OR(E3948="",E3948="!!!"),"",IF(OR(J3948=0,AND(J3948=1,K3948=1),AND(J3948=1,I3948="SBJ"),AND(J3948=1,I3948=0)),"?IN_FOCUS",IF(J3948&lt;=2,"?ACTIVATED",IF(J3948&lt;&gt;"","?FAMILIAR",IF(F3948="NEW",IF(ISNA(VLOOKUP(E3948,#REF!,1,FALSE())),"?TYPE_IDENTIFIABLE","?REFERENTIAL"),"_")))))</f>
        <v> </v>
      </c>
      <c r="H3948" s="24" t="str">
        <f>IF(J3948&lt;&gt;1,"",IF(I3948="SBJ","CB","?"))</f>
        <v> </v>
      </c>
      <c r="I3948" s="25" t="str">
        <f>IF(OR(E3948="",E3948="!!!",F3948="NEW"),"",INDEX(B3947:B$2,-1+SUMPRODUCT(MAX(ROW(E3947:E$2)*(E3948=E3947:E$2)))))</f>
        <v> </v>
      </c>
      <c r="J3948" s="25" t="str">
        <f>IF(OR(E3948="",E3948="!!!",F3948="NEW"),"",COUNTBLANK(OFFSET(A$1,,,SUMPRODUCT(MAX(ROW(E$2:E3948)*(E3948=E$2:E3948)))))-COUNTBLANK(OFFSET(A$1,,,SUMPRODUCT(MAX(ROW(E$1:E3947)*(E2=E$1:E3947))))))</f>
        <v> </v>
      </c>
      <c r="K3948" s="25" t="str">
        <f>IF(OR(E3948="",E3948="!!!",F3948="NEW"),"",INDEX(J$1:J3947,SUMPRODUCT(MAX(ROW(E$1:E3947)*(E3948=E$1:E3947)))))</f>
        <v> </v>
      </c>
      <c r="L3948" s="26"/>
    </row>
    <row r="3949" spans="1:12">
      <c r="A3949" s="20" t="s">
        <v>742</v>
      </c>
      <c r="E3949" s="21">
        <f>IF(D3949="?OLD","!!!","")</f>
        <v/>
      </c>
      <c r="F3949" s="22" t="str">
        <f>IF(OR(E3949="",E3949="!!!"),"",IF(NOT(ISNA(VLOOKUP(E3949,E$1:E3948,1,FALSE()))),"OLD",IF(AND(E3949&lt;&gt;"",E3949&lt;&gt;"!!!"),"NEW","")))</f>
        <v> </v>
      </c>
      <c r="G3949" s="23" t="str">
        <f>IF(OR(E3949="",E3949="!!!"),"",IF(OR(J3949=0,AND(J3949=1,K3949=1),AND(J3949=1,I3949="SBJ"),AND(J3949=1,I3949=0)),"?IN_FOCUS",IF(J3949&lt;=2,"?ACTIVATED",IF(J3949&lt;&gt;"","?FAMILIAR",IF(F3949="NEW",IF(ISNA(VLOOKUP(E3949,#REF!,1,FALSE())),"?TYPE_IDENTIFIABLE","?REFERENTIAL"),"_")))))</f>
        <v> </v>
      </c>
      <c r="H3949" s="24" t="str">
        <f>IF(J3949&lt;&gt;1,"",IF(I3949="SBJ","CB","?"))</f>
        <v> </v>
      </c>
      <c r="I3949" s="25" t="str">
        <f>IF(OR(E3949="",E3949="!!!",F3949="NEW"),"",INDEX(B3948:B$2,-1+SUMPRODUCT(MAX(ROW(E3948:E$2)*(E3949=E3948:E$2)))))</f>
        <v> </v>
      </c>
      <c r="J3949" s="25" t="str">
        <f>IF(OR(E3949="",E3949="!!!",F3949="NEW"),"",COUNTBLANK(OFFSET(A$1,,,SUMPRODUCT(MAX(ROW(E$2:E3949)*(E3949=E$2:E3949)))))-COUNTBLANK(OFFSET(A$1,,,SUMPRODUCT(MAX(ROW(E$1:E3948)*(E2=E$1:E3948))))))</f>
        <v> </v>
      </c>
      <c r="K3949" s="25" t="str">
        <f>IF(OR(E3949="",E3949="!!!",F3949="NEW"),"",INDEX(J$1:J3948,SUMPRODUCT(MAX(ROW(E$1:E3948)*(E3949=E$1:E3948)))))</f>
        <v> </v>
      </c>
      <c r="L3949" s="26"/>
    </row>
    <row r="3950" spans="1:12">
      <c r="A3950" s="20" t="s">
        <v>998</v>
      </c>
      <c r="B3950" s="27" t="s">
        <v>823</v>
      </c>
      <c r="C3950" s="27" t="s">
        <v>733</v>
      </c>
      <c r="D3950" s="27" t="s">
        <v>694</v>
      </c>
      <c r="E3950" s="21">
        <f>IF(D3950="?OLD","!!!","")</f>
        <v/>
      </c>
      <c r="F3950" s="22" t="str">
        <f>IF(OR(E3950="",E3950="!!!"),"",IF(NOT(ISNA(VLOOKUP(E3950,E$1:E3949,1,FALSE()))),"OLD",IF(AND(E3950&lt;&gt;"",E3950&lt;&gt;"!!!"),"NEW","")))</f>
        <v> </v>
      </c>
      <c r="G3950" s="23" t="str">
        <f>IF(OR(E3950="",E3950="!!!"),"",IF(OR(J3950=0,AND(J3950=1,K3950=1),AND(J3950=1,I3950="SBJ"),AND(J3950=1,I3950=0)),"?IN_FOCUS",IF(J3950&lt;=2,"?ACTIVATED",IF(J3950&lt;&gt;"","?FAMILIAR",IF(F3950="NEW",IF(ISNA(VLOOKUP(E3950,#REF!,1,FALSE())),"?TYPE_IDENTIFIABLE","?REFERENTIAL"),"_")))))</f>
        <v> </v>
      </c>
      <c r="H3950" s="24" t="str">
        <f>IF(J3950&lt;&gt;1,"",IF(I3950="SBJ","CB","?"))</f>
        <v> </v>
      </c>
      <c r="I3950" s="25" t="str">
        <f>IF(OR(E3950="",E3950="!!!",F3950="NEW"),"",INDEX(B3949:B$2,-1+SUMPRODUCT(MAX(ROW(E3949:E$2)*(E3950=E3949:E$2)))))</f>
        <v> </v>
      </c>
      <c r="J3950" s="25" t="str">
        <f>IF(OR(E3950="",E3950="!!!",F3950="NEW"),"",COUNTBLANK(OFFSET(A$1,,,SUMPRODUCT(MAX(ROW(E$2:E3950)*(E3950=E$2:E3950)))))-COUNTBLANK(OFFSET(A$1,,,SUMPRODUCT(MAX(ROW(E$1:E3949)*(E2=E$1:E3949))))))</f>
        <v> </v>
      </c>
      <c r="K3950" s="25" t="str">
        <f>IF(OR(E3950="",E3950="!!!",F3950="NEW"),"",INDEX(J$1:J3949,SUMPRODUCT(MAX(ROW(E$1:E3949)*(E3950=E$1:E3949)))))</f>
        <v> </v>
      </c>
      <c r="L3950" s="26"/>
    </row>
    <row r="3951" spans="1:12">
      <c r="A3951" s="20" t="s">
        <v>1257</v>
      </c>
      <c r="E3951" s="21">
        <f>IF(D3951="?OLD","!!!","")</f>
        <v/>
      </c>
      <c r="F3951" s="22" t="str">
        <f>IF(OR(E3951="",E3951="!!!"),"",IF(NOT(ISNA(VLOOKUP(E3951,E$1:E3950,1,FALSE()))),"OLD",IF(AND(E3951&lt;&gt;"",E3951&lt;&gt;"!!!"),"NEW","")))</f>
        <v> </v>
      </c>
      <c r="G3951" s="23" t="str">
        <f>IF(OR(E3951="",E3951="!!!"),"",IF(OR(J3951=0,AND(J3951=1,K3951=1),AND(J3951=1,I3951="SBJ"),AND(J3951=1,I3951=0)),"?IN_FOCUS",IF(J3951&lt;=2,"?ACTIVATED",IF(J3951&lt;&gt;"","?FAMILIAR",IF(F3951="NEW",IF(ISNA(VLOOKUP(E3951,#REF!,1,FALSE())),"?TYPE_IDENTIFIABLE","?REFERENTIAL"),"_")))))</f>
        <v> </v>
      </c>
      <c r="H3951" s="24" t="str">
        <f>IF(J3951&lt;&gt;1,"",IF(I3951="SBJ","CB","?"))</f>
        <v> </v>
      </c>
      <c r="I3951" s="25" t="str">
        <f>IF(OR(E3951="",E3951="!!!",F3951="NEW"),"",INDEX(B3950:B$2,-1+SUMPRODUCT(MAX(ROW(E3950:E$2)*(E3951=E3950:E$2)))))</f>
        <v> </v>
      </c>
      <c r="J3951" s="25" t="str">
        <f>IF(OR(E3951="",E3951="!!!",F3951="NEW"),"",COUNTBLANK(OFFSET(A$1,,,SUMPRODUCT(MAX(ROW(E$2:E3951)*(E3951=E$2:E3951)))))-COUNTBLANK(OFFSET(A$1,,,SUMPRODUCT(MAX(ROW(E$1:E3950)*(E2=E$1:E3950))))))</f>
        <v> </v>
      </c>
      <c r="K3951" s="25" t="str">
        <f>IF(OR(E3951="",E3951="!!!",F3951="NEW"),"",INDEX(J$1:J3950,SUMPRODUCT(MAX(ROW(E$1:E3950)*(E3951=E$1:E3950)))))</f>
        <v> </v>
      </c>
      <c r="L3951" s="26"/>
    </row>
    <row r="3952" spans="1:12">
      <c r="A3952" s="20" t="s">
        <v>1460</v>
      </c>
      <c r="E3952" s="21">
        <f>IF(D3952="?OLD","!!!","")</f>
        <v/>
      </c>
      <c r="F3952" s="22" t="str">
        <f>IF(OR(E3952="",E3952="!!!"),"",IF(NOT(ISNA(VLOOKUP(E3952,E$1:E3951,1,FALSE()))),"OLD",IF(AND(E3952&lt;&gt;"",E3952&lt;&gt;"!!!"),"NEW","")))</f>
        <v> </v>
      </c>
      <c r="G3952" s="23" t="str">
        <f>IF(OR(E3952="",E3952="!!!"),"",IF(OR(J3952=0,AND(J3952=1,K3952=1),AND(J3952=1,I3952="SBJ"),AND(J3952=1,I3952=0)),"?IN_FOCUS",IF(J3952&lt;=2,"?ACTIVATED",IF(J3952&lt;&gt;"","?FAMILIAR",IF(F3952="NEW",IF(ISNA(VLOOKUP(E3952,#REF!,1,FALSE())),"?TYPE_IDENTIFIABLE","?REFERENTIAL"),"_")))))</f>
        <v> </v>
      </c>
      <c r="H3952" s="24" t="str">
        <f>IF(J3952&lt;&gt;1,"",IF(I3952="SBJ","CB","?"))</f>
        <v> </v>
      </c>
      <c r="I3952" s="25" t="str">
        <f>IF(OR(E3952="",E3952="!!!",F3952="NEW"),"",INDEX(B3951:B$2,-1+SUMPRODUCT(MAX(ROW(E3951:E$2)*(E3952=E3951:E$2)))))</f>
        <v> </v>
      </c>
      <c r="J3952" s="25" t="str">
        <f>IF(OR(E3952="",E3952="!!!",F3952="NEW"),"",COUNTBLANK(OFFSET(A$1,,,SUMPRODUCT(MAX(ROW(E$2:E3952)*(E3952=E$2:E3952)))))-COUNTBLANK(OFFSET(A$1,,,SUMPRODUCT(MAX(ROW(E$1:E3951)*(E2=E$1:E3951))))))</f>
        <v> </v>
      </c>
      <c r="K3952" s="25" t="str">
        <f>IF(OR(E3952="",E3952="!!!",F3952="NEW"),"",INDEX(J$1:J3951,SUMPRODUCT(MAX(ROW(E$1:E3951)*(E3952=E$1:E3951)))))</f>
        <v> </v>
      </c>
      <c r="L3952" s="26"/>
    </row>
    <row r="3953" spans="1:12">
      <c r="A3953" s="20" t="s">
        <v>699</v>
      </c>
      <c r="E3953" s="21">
        <f>IF(D3953="?OLD","!!!","")</f>
        <v/>
      </c>
      <c r="F3953" s="22" t="str">
        <f>IF(OR(E3953="",E3953="!!!"),"",IF(NOT(ISNA(VLOOKUP(E3953,E$1:E3952,1,FALSE()))),"OLD",IF(AND(E3953&lt;&gt;"",E3953&lt;&gt;"!!!"),"NEW","")))</f>
        <v> </v>
      </c>
      <c r="G3953" s="23" t="str">
        <f>IF(OR(E3953="",E3953="!!!"),"",IF(OR(J3953=0,AND(J3953=1,K3953=1),AND(J3953=1,I3953="SBJ"),AND(J3953=1,I3953=0)),"?IN_FOCUS",IF(J3953&lt;=2,"?ACTIVATED",IF(J3953&lt;&gt;"","?FAMILIAR",IF(F3953="NEW",IF(ISNA(VLOOKUP(E3953,#REF!,1,FALSE())),"?TYPE_IDENTIFIABLE","?REFERENTIAL"),"_")))))</f>
        <v> </v>
      </c>
      <c r="H3953" s="24" t="str">
        <f>IF(J3953&lt;&gt;1,"",IF(I3953="SBJ","CB","?"))</f>
        <v> </v>
      </c>
      <c r="I3953" s="25" t="str">
        <f>IF(OR(E3953="",E3953="!!!",F3953="NEW"),"",INDEX(B3952:B$2,-1+SUMPRODUCT(MAX(ROW(E3952:E$2)*(E3953=E3952:E$2)))))</f>
        <v> </v>
      </c>
      <c r="J3953" s="25" t="str">
        <f>IF(OR(E3953="",E3953="!!!",F3953="NEW"),"",COUNTBLANK(OFFSET(A$1,,,SUMPRODUCT(MAX(ROW(E$2:E3953)*(E3953=E$2:E3953)))))-COUNTBLANK(OFFSET(A$1,,,SUMPRODUCT(MAX(ROW(E$1:E3952)*(E2=E$1:E3952))))))</f>
        <v> </v>
      </c>
      <c r="K3953" s="25" t="str">
        <f>IF(OR(E3953="",E3953="!!!",F3953="NEW"),"",INDEX(J$1:J3952,SUMPRODUCT(MAX(ROW(E$1:E3952)*(E3953=E$1:E3952)))))</f>
        <v> </v>
      </c>
      <c r="L3953" s="26"/>
    </row>
    <row r="3954" spans="1:12">
      <c r="A3954" s="20"/>
    </row>
    <row r="3955" spans="1:12">
      <c r="A3955" s="20" t="s">
        <v>1694</v>
      </c>
    </row>
    <row r="3956" spans="1:12">
      <c r="A3956" s="20" t="s">
        <v>1368</v>
      </c>
      <c r="B3956" s="27" t="s">
        <v>692</v>
      </c>
      <c r="C3956" s="27" t="s">
        <v>819</v>
      </c>
      <c r="D3956" s="27" t="s">
        <v>694</v>
      </c>
      <c r="E3956" s="21">
        <f>IF(D3956="?OLD","!!!","")</f>
        <v/>
      </c>
      <c r="F3956" s="22" t="str">
        <f>IF(OR(E3956="",E3956="!!!"),"",IF(NOT(ISNA(VLOOKUP(E3956,E$1:E3955,1,FALSE()))),"OLD",IF(AND(E3956&lt;&gt;"",E3956&lt;&gt;"!!!"),"NEW","")))</f>
        <v> </v>
      </c>
      <c r="G3956" s="23" t="str">
        <f>IF(OR(E3956="",E3956="!!!"),"",IF(OR(J3956=0,AND(J3956=1,K3956=1),AND(J3956=1,I3956="SBJ"),AND(J3956=1,I3956=0)),"?IN_FOCUS",IF(J3956&lt;=2,"?ACTIVATED",IF(J3956&lt;&gt;"","?FAMILIAR",IF(F3956="NEW",IF(ISNA(VLOOKUP(E3956,#REF!,1,FALSE())),"?TYPE_IDENTIFIABLE","?REFERENTIAL"),"_")))))</f>
        <v> </v>
      </c>
      <c r="H3956" s="24" t="str">
        <f>IF(J3956&lt;&gt;1,"",IF(I3956="SBJ","CB","?"))</f>
        <v> </v>
      </c>
      <c r="I3956" s="25" t="str">
        <f>IF(OR(E3956="",E3956="!!!",F3956="NEW"),"",INDEX(B3955:B$2,-1+SUMPRODUCT(MAX(ROW(E3955:E$2)*(E3956=E3955:E$2)))))</f>
        <v> </v>
      </c>
      <c r="J3956" s="25" t="str">
        <f>IF(OR(E3956="",E3956="!!!",F3956="NEW"),"",COUNTBLANK(OFFSET(A$1,,,SUMPRODUCT(MAX(ROW(E$2:E3956)*(E3956=E$2:E3956)))))-COUNTBLANK(OFFSET(A$1,,,SUMPRODUCT(MAX(ROW(E$1:E3955)*(E2=E$1:E3955))))))</f>
        <v> </v>
      </c>
      <c r="K3956" s="25" t="str">
        <f>IF(OR(E3956="",E3956="!!!",F3956="NEW"),"",INDEX(J$1:J3955,SUMPRODUCT(MAX(ROW(E$1:E3955)*(E3956=E$1:E3955)))))</f>
        <v> </v>
      </c>
      <c r="L3956" s="26"/>
    </row>
    <row r="3957" spans="1:12">
      <c r="A3957" s="20" t="s">
        <v>887</v>
      </c>
      <c r="E3957" s="21">
        <f>IF(D3957="?OLD","!!!","")</f>
        <v/>
      </c>
      <c r="F3957" s="22" t="str">
        <f>IF(OR(E3957="",E3957="!!!"),"",IF(NOT(ISNA(VLOOKUP(E3957,E$1:E3956,1,FALSE()))),"OLD",IF(AND(E3957&lt;&gt;"",E3957&lt;&gt;"!!!"),"NEW","")))</f>
        <v> </v>
      </c>
      <c r="G3957" s="23" t="str">
        <f>IF(OR(E3957="",E3957="!!!"),"",IF(OR(J3957=0,AND(J3957=1,K3957=1),AND(J3957=1,I3957="SBJ"),AND(J3957=1,I3957=0)),"?IN_FOCUS",IF(J3957&lt;=2,"?ACTIVATED",IF(J3957&lt;&gt;"","?FAMILIAR",IF(F3957="NEW",IF(ISNA(VLOOKUP(E3957,#REF!,1,FALSE())),"?TYPE_IDENTIFIABLE","?REFERENTIAL"),"_")))))</f>
        <v> </v>
      </c>
      <c r="H3957" s="24" t="str">
        <f>IF(J3957&lt;&gt;1,"",IF(I3957="SBJ","CB","?"))</f>
        <v> </v>
      </c>
      <c r="I3957" s="25" t="str">
        <f>IF(OR(E3957="",E3957="!!!",F3957="NEW"),"",INDEX(B3956:B$2,-1+SUMPRODUCT(MAX(ROW(E3956:E$2)*(E3957=E3956:E$2)))))</f>
        <v> </v>
      </c>
      <c r="J3957" s="25" t="str">
        <f>IF(OR(E3957="",E3957="!!!",F3957="NEW"),"",COUNTBLANK(OFFSET(A$1,,,SUMPRODUCT(MAX(ROW(E$2:E3957)*(E3957=E$2:E3957)))))-COUNTBLANK(OFFSET(A$1,,,SUMPRODUCT(MAX(ROW(E$1:E3956)*(E2=E$1:E3956))))))</f>
        <v> </v>
      </c>
      <c r="K3957" s="25" t="str">
        <f>IF(OR(E3957="",E3957="!!!",F3957="NEW"),"",INDEX(J$1:J3956,SUMPRODUCT(MAX(ROW(E$1:E3956)*(E3957=E$1:E3956)))))</f>
        <v> </v>
      </c>
      <c r="L3957" s="26"/>
    </row>
    <row r="3958" spans="1:12">
      <c r="A3958" s="20" t="s">
        <v>1157</v>
      </c>
      <c r="E3958" s="21">
        <f>IF(D3958="?OLD","!!!","")</f>
        <v/>
      </c>
      <c r="F3958" s="22" t="str">
        <f>IF(OR(E3958="",E3958="!!!"),"",IF(NOT(ISNA(VLOOKUP(E3958,E$1:E3957,1,FALSE()))),"OLD",IF(AND(E3958&lt;&gt;"",E3958&lt;&gt;"!!!"),"NEW","")))</f>
        <v> </v>
      </c>
      <c r="G3958" s="23" t="str">
        <f>IF(OR(E3958="",E3958="!!!"),"",IF(OR(J3958=0,AND(J3958=1,K3958=1),AND(J3958=1,I3958="SBJ"),AND(J3958=1,I3958=0)),"?IN_FOCUS",IF(J3958&lt;=2,"?ACTIVATED",IF(J3958&lt;&gt;"","?FAMILIAR",IF(F3958="NEW",IF(ISNA(VLOOKUP(E3958,#REF!,1,FALSE())),"?TYPE_IDENTIFIABLE","?REFERENTIAL"),"_")))))</f>
        <v> </v>
      </c>
      <c r="H3958" s="24" t="str">
        <f>IF(J3958&lt;&gt;1,"",IF(I3958="SBJ","CB","?"))</f>
        <v> </v>
      </c>
      <c r="I3958" s="25" t="str">
        <f>IF(OR(E3958="",E3958="!!!",F3958="NEW"),"",INDEX(B3957:B$2,-1+SUMPRODUCT(MAX(ROW(E3957:E$2)*(E3958=E3957:E$2)))))</f>
        <v> </v>
      </c>
      <c r="J3958" s="25" t="str">
        <f>IF(OR(E3958="",E3958="!!!",F3958="NEW"),"",COUNTBLANK(OFFSET(A$1,,,SUMPRODUCT(MAX(ROW(E$2:E3958)*(E3958=E$2:E3958)))))-COUNTBLANK(OFFSET(A$1,,,SUMPRODUCT(MAX(ROW(E$1:E3957)*(E2=E$1:E3957))))))</f>
        <v> </v>
      </c>
      <c r="K3958" s="25" t="str">
        <f>IF(OR(E3958="",E3958="!!!",F3958="NEW"),"",INDEX(J$1:J3957,SUMPRODUCT(MAX(ROW(E$1:E3957)*(E3958=E$1:E3957)))))</f>
        <v> </v>
      </c>
      <c r="L3958" s="26"/>
    </row>
    <row r="3959" spans="1:12">
      <c r="A3959" s="20" t="s">
        <v>1041</v>
      </c>
      <c r="E3959" s="21">
        <f>IF(D3959="?OLD","!!!","")</f>
        <v/>
      </c>
      <c r="F3959" s="22" t="str">
        <f>IF(OR(E3959="",E3959="!!!"),"",IF(NOT(ISNA(VLOOKUP(E3959,E$1:E3958,1,FALSE()))),"OLD",IF(AND(E3959&lt;&gt;"",E3959&lt;&gt;"!!!"),"NEW","")))</f>
        <v> </v>
      </c>
      <c r="G3959" s="23" t="str">
        <f>IF(OR(E3959="",E3959="!!!"),"",IF(OR(J3959=0,AND(J3959=1,K3959=1),AND(J3959=1,I3959="SBJ"),AND(J3959=1,I3959=0)),"?IN_FOCUS",IF(J3959&lt;=2,"?ACTIVATED",IF(J3959&lt;&gt;"","?FAMILIAR",IF(F3959="NEW",IF(ISNA(VLOOKUP(E3959,#REF!,1,FALSE())),"?TYPE_IDENTIFIABLE","?REFERENTIAL"),"_")))))</f>
        <v> </v>
      </c>
      <c r="H3959" s="24" t="str">
        <f>IF(J3959&lt;&gt;1,"",IF(I3959="SBJ","CB","?"))</f>
        <v> </v>
      </c>
      <c r="I3959" s="25" t="str">
        <f>IF(OR(E3959="",E3959="!!!",F3959="NEW"),"",INDEX(B3958:B$2,-1+SUMPRODUCT(MAX(ROW(E3958:E$2)*(E3959=E3958:E$2)))))</f>
        <v> </v>
      </c>
      <c r="J3959" s="25" t="str">
        <f>IF(OR(E3959="",E3959="!!!",F3959="NEW"),"",COUNTBLANK(OFFSET(A$1,,,SUMPRODUCT(MAX(ROW(E$2:E3959)*(E3959=E$2:E3959)))))-COUNTBLANK(OFFSET(A$1,,,SUMPRODUCT(MAX(ROW(E$1:E3958)*(E2=E$1:E3958))))))</f>
        <v> </v>
      </c>
      <c r="K3959" s="25" t="str">
        <f>IF(OR(E3959="",E3959="!!!",F3959="NEW"),"",INDEX(J$1:J3958,SUMPRODUCT(MAX(ROW(E$1:E3958)*(E3959=E$1:E3958)))))</f>
        <v> </v>
      </c>
      <c r="L3959" s="26"/>
    </row>
    <row r="3960" spans="1:12">
      <c r="A3960" s="20" t="s">
        <v>832</v>
      </c>
      <c r="E3960" s="21">
        <f>IF(D3960="?OLD","!!!","")</f>
        <v/>
      </c>
      <c r="F3960" s="22" t="str">
        <f>IF(OR(E3960="",E3960="!!!"),"",IF(NOT(ISNA(VLOOKUP(E3960,E$1:E3959,1,FALSE()))),"OLD",IF(AND(E3960&lt;&gt;"",E3960&lt;&gt;"!!!"),"NEW","")))</f>
        <v> </v>
      </c>
      <c r="G3960" s="23" t="str">
        <f>IF(OR(E3960="",E3960="!!!"),"",IF(OR(J3960=0,AND(J3960=1,K3960=1),AND(J3960=1,I3960="SBJ"),AND(J3960=1,I3960=0)),"?IN_FOCUS",IF(J3960&lt;=2,"?ACTIVATED",IF(J3960&lt;&gt;"","?FAMILIAR",IF(F3960="NEW",IF(ISNA(VLOOKUP(E3960,#REF!,1,FALSE())),"?TYPE_IDENTIFIABLE","?REFERENTIAL"),"_")))))</f>
        <v> </v>
      </c>
      <c r="H3960" s="24" t="str">
        <f>IF(J3960&lt;&gt;1,"",IF(I3960="SBJ","CB","?"))</f>
        <v> </v>
      </c>
      <c r="I3960" s="25" t="str">
        <f>IF(OR(E3960="",E3960="!!!",F3960="NEW"),"",INDEX(B3959:B$2,-1+SUMPRODUCT(MAX(ROW(E3959:E$2)*(E3960=E3959:E$2)))))</f>
        <v> </v>
      </c>
      <c r="J3960" s="25" t="str">
        <f>IF(OR(E3960="",E3960="!!!",F3960="NEW"),"",COUNTBLANK(OFFSET(A$1,,,SUMPRODUCT(MAX(ROW(E$2:E3960)*(E3960=E$2:E3960)))))-COUNTBLANK(OFFSET(A$1,,,SUMPRODUCT(MAX(ROW(E$1:E3959)*(E2=E$1:E3959))))))</f>
        <v> </v>
      </c>
      <c r="K3960" s="25" t="str">
        <f>IF(OR(E3960="",E3960="!!!",F3960="NEW"),"",INDEX(J$1:J3959,SUMPRODUCT(MAX(ROW(E$1:E3959)*(E3960=E$1:E3959)))))</f>
        <v> </v>
      </c>
      <c r="L3960" s="26"/>
    </row>
    <row r="3961" spans="1:12">
      <c r="A3961" s="20" t="s">
        <v>721</v>
      </c>
      <c r="E3961" s="21">
        <f>IF(D3961="?OLD","!!!","")</f>
        <v/>
      </c>
      <c r="F3961" s="22" t="str">
        <f>IF(OR(E3961="",E3961="!!!"),"",IF(NOT(ISNA(VLOOKUP(E3961,E$1:E3960,1,FALSE()))),"OLD",IF(AND(E3961&lt;&gt;"",E3961&lt;&gt;"!!!"),"NEW","")))</f>
        <v> </v>
      </c>
      <c r="G3961" s="23" t="str">
        <f>IF(OR(E3961="",E3961="!!!"),"",IF(OR(J3961=0,AND(J3961=1,K3961=1),AND(J3961=1,I3961="SBJ"),AND(J3961=1,I3961=0)),"?IN_FOCUS",IF(J3961&lt;=2,"?ACTIVATED",IF(J3961&lt;&gt;"","?FAMILIAR",IF(F3961="NEW",IF(ISNA(VLOOKUP(E3961,#REF!,1,FALSE())),"?TYPE_IDENTIFIABLE","?REFERENTIAL"),"_")))))</f>
        <v> </v>
      </c>
      <c r="H3961" s="24" t="str">
        <f>IF(J3961&lt;&gt;1,"",IF(I3961="SBJ","CB","?"))</f>
        <v> </v>
      </c>
      <c r="I3961" s="25" t="str">
        <f>IF(OR(E3961="",E3961="!!!",F3961="NEW"),"",INDEX(B3960:B$2,-1+SUMPRODUCT(MAX(ROW(E3960:E$2)*(E3961=E3960:E$2)))))</f>
        <v> </v>
      </c>
      <c r="J3961" s="25" t="str">
        <f>IF(OR(E3961="",E3961="!!!",F3961="NEW"),"",COUNTBLANK(OFFSET(A$1,,,SUMPRODUCT(MAX(ROW(E$2:E3961)*(E3961=E$2:E3961)))))-COUNTBLANK(OFFSET(A$1,,,SUMPRODUCT(MAX(ROW(E$1:E3960)*(E2=E$1:E3960))))))</f>
        <v> </v>
      </c>
      <c r="K3961" s="25" t="str">
        <f>IF(OR(E3961="",E3961="!!!",F3961="NEW"),"",INDEX(J$1:J3960,SUMPRODUCT(MAX(ROW(E$1:E3960)*(E3961=E$1:E3960)))))</f>
        <v> </v>
      </c>
      <c r="L3961" s="26"/>
    </row>
    <row r="3962" spans="1:12">
      <c r="A3962" s="20" t="s">
        <v>1449</v>
      </c>
      <c r="B3962" s="27" t="s">
        <v>698</v>
      </c>
      <c r="C3962" s="27" t="s">
        <v>693</v>
      </c>
      <c r="D3962" s="27" t="s">
        <v>694</v>
      </c>
      <c r="E3962" s="21">
        <f>IF(D3962="?OLD","!!!","")</f>
        <v/>
      </c>
      <c r="F3962" s="22" t="str">
        <f>IF(OR(E3962="",E3962="!!!"),"",IF(NOT(ISNA(VLOOKUP(E3962,E$1:E3961,1,FALSE()))),"OLD",IF(AND(E3962&lt;&gt;"",E3962&lt;&gt;"!!!"),"NEW","")))</f>
        <v> </v>
      </c>
      <c r="G3962" s="23" t="str">
        <f>IF(OR(E3962="",E3962="!!!"),"",IF(OR(J3962=0,AND(J3962=1,K3962=1),AND(J3962=1,I3962="SBJ"),AND(J3962=1,I3962=0)),"?IN_FOCUS",IF(J3962&lt;=2,"?ACTIVATED",IF(J3962&lt;&gt;"","?FAMILIAR",IF(F3962="NEW",IF(ISNA(VLOOKUP(E3962,#REF!,1,FALSE())),"?TYPE_IDENTIFIABLE","?REFERENTIAL"),"_")))))</f>
        <v> </v>
      </c>
      <c r="H3962" s="24" t="str">
        <f>IF(J3962&lt;&gt;1,"",IF(I3962="SBJ","CB","?"))</f>
        <v> </v>
      </c>
      <c r="I3962" s="25" t="str">
        <f>IF(OR(E3962="",E3962="!!!",F3962="NEW"),"",INDEX(B3961:B$2,-1+SUMPRODUCT(MAX(ROW(E3961:E$2)*(E3962=E3961:E$2)))))</f>
        <v> </v>
      </c>
      <c r="J3962" s="25" t="str">
        <f>IF(OR(E3962="",E3962="!!!",F3962="NEW"),"",COUNTBLANK(OFFSET(A$1,,,SUMPRODUCT(MAX(ROW(E$2:E3962)*(E3962=E$2:E3962)))))-COUNTBLANK(OFFSET(A$1,,,SUMPRODUCT(MAX(ROW(E$1:E3961)*(E2=E$1:E3961))))))</f>
        <v> </v>
      </c>
      <c r="K3962" s="25" t="str">
        <f>IF(OR(E3962="",E3962="!!!",F3962="NEW"),"",INDEX(J$1:J3961,SUMPRODUCT(MAX(ROW(E$1:E3961)*(E3962=E$1:E3961)))))</f>
        <v> </v>
      </c>
      <c r="L3962" s="26"/>
    </row>
    <row r="3963" spans="1:12">
      <c r="A3963" s="20" t="s">
        <v>699</v>
      </c>
      <c r="E3963" s="21">
        <f>IF(D3963="?OLD","!!!","")</f>
        <v/>
      </c>
      <c r="F3963" s="22" t="str">
        <f>IF(OR(E3963="",E3963="!!!"),"",IF(NOT(ISNA(VLOOKUP(E3963,E$1:E3962,1,FALSE()))),"OLD",IF(AND(E3963&lt;&gt;"",E3963&lt;&gt;"!!!"),"NEW","")))</f>
        <v> </v>
      </c>
      <c r="G3963" s="23" t="str">
        <f>IF(OR(E3963="",E3963="!!!"),"",IF(OR(J3963=0,AND(J3963=1,K3963=1),AND(J3963=1,I3963="SBJ"),AND(J3963=1,I3963=0)),"?IN_FOCUS",IF(J3963&lt;=2,"?ACTIVATED",IF(J3963&lt;&gt;"","?FAMILIAR",IF(F3963="NEW",IF(ISNA(VLOOKUP(E3963,#REF!,1,FALSE())),"?TYPE_IDENTIFIABLE","?REFERENTIAL"),"_")))))</f>
        <v> </v>
      </c>
      <c r="H3963" s="24" t="str">
        <f>IF(J3963&lt;&gt;1,"",IF(I3963="SBJ","CB","?"))</f>
        <v> </v>
      </c>
      <c r="I3963" s="25" t="str">
        <f>IF(OR(E3963="",E3963="!!!",F3963="NEW"),"",INDEX(B3962:B$2,-1+SUMPRODUCT(MAX(ROW(E3962:E$2)*(E3963=E3962:E$2)))))</f>
        <v> </v>
      </c>
      <c r="J3963" s="25" t="str">
        <f>IF(OR(E3963="",E3963="!!!",F3963="NEW"),"",COUNTBLANK(OFFSET(A$1,,,SUMPRODUCT(MAX(ROW(E$2:E3963)*(E3963=E$2:E3963)))))-COUNTBLANK(OFFSET(A$1,,,SUMPRODUCT(MAX(ROW(E$1:E3962)*(E2=E$1:E3962))))))</f>
        <v> </v>
      </c>
      <c r="K3963" s="25" t="str">
        <f>IF(OR(E3963="",E3963="!!!",F3963="NEW"),"",INDEX(J$1:J3962,SUMPRODUCT(MAX(ROW(E$1:E3962)*(E3963=E$1:E3962)))))</f>
        <v> </v>
      </c>
      <c r="L3963" s="26"/>
    </row>
    <row r="3964" spans="1:12">
      <c r="A3964" s="20"/>
    </row>
    <row r="3965" spans="1:12">
      <c r="A3965" s="20" t="s">
        <v>1695</v>
      </c>
    </row>
    <row r="3966" spans="1:12">
      <c r="A3966" s="20" t="s">
        <v>1669</v>
      </c>
      <c r="B3966" s="27" t="s">
        <v>692</v>
      </c>
      <c r="C3966" s="27" t="s">
        <v>887</v>
      </c>
      <c r="D3966" s="27" t="s">
        <v>694</v>
      </c>
      <c r="E3966" s="21">
        <f>IF(D3966="?OLD","!!!","")</f>
        <v/>
      </c>
      <c r="F3966" s="22" t="str">
        <f>IF(OR(E3966="",E3966="!!!"),"",IF(NOT(ISNA(VLOOKUP(E3966,E$1:E3965,1,FALSE()))),"OLD",IF(AND(E3966&lt;&gt;"",E3966&lt;&gt;"!!!"),"NEW","")))</f>
        <v> </v>
      </c>
      <c r="G3966" s="23" t="str">
        <f>IF(OR(E3966="",E3966="!!!"),"",IF(OR(J3966=0,AND(J3966=1,K3966=1),AND(J3966=1,I3966="SBJ"),AND(J3966=1,I3966=0)),"?IN_FOCUS",IF(J3966&lt;=2,"?ACTIVATED",IF(J3966&lt;&gt;"","?FAMILIAR",IF(F3966="NEW",IF(ISNA(VLOOKUP(E3966,#REF!,1,FALSE())),"?TYPE_IDENTIFIABLE","?REFERENTIAL"),"_")))))</f>
        <v> </v>
      </c>
      <c r="H3966" s="24" t="str">
        <f>IF(J3966&lt;&gt;1,"",IF(I3966="SBJ","CB","?"))</f>
        <v> </v>
      </c>
      <c r="I3966" s="25" t="str">
        <f>IF(OR(E3966="",E3966="!!!",F3966="NEW"),"",INDEX(B3965:B$2,-1+SUMPRODUCT(MAX(ROW(E3965:E$2)*(E3966=E3965:E$2)))))</f>
        <v> </v>
      </c>
      <c r="J3966" s="25" t="str">
        <f>IF(OR(E3966="",E3966="!!!",F3966="NEW"),"",COUNTBLANK(OFFSET(A$1,,,SUMPRODUCT(MAX(ROW(E$2:E3966)*(E3966=E$2:E3966)))))-COUNTBLANK(OFFSET(A$1,,,SUMPRODUCT(MAX(ROW(E$1:E3965)*(E2=E$1:E3965))))))</f>
        <v> </v>
      </c>
      <c r="K3966" s="25" t="str">
        <f>IF(OR(E3966="",E3966="!!!",F3966="NEW"),"",INDEX(J$1:J3965,SUMPRODUCT(MAX(ROW(E$1:E3965)*(E3966=E$1:E3965)))))</f>
        <v> </v>
      </c>
      <c r="L3966" s="26"/>
    </row>
    <row r="3967" spans="1:12">
      <c r="A3967" s="20" t="s">
        <v>860</v>
      </c>
      <c r="E3967" s="21">
        <f>IF(D3967="?OLD","!!!","")</f>
        <v/>
      </c>
      <c r="F3967" s="22" t="str">
        <f>IF(OR(E3967="",E3967="!!!"),"",IF(NOT(ISNA(VLOOKUP(E3967,E$1:E3966,1,FALSE()))),"OLD",IF(AND(E3967&lt;&gt;"",E3967&lt;&gt;"!!!"),"NEW","")))</f>
        <v> </v>
      </c>
      <c r="G3967" s="23" t="str">
        <f>IF(OR(E3967="",E3967="!!!"),"",IF(OR(J3967=0,AND(J3967=1,K3967=1),AND(J3967=1,I3967="SBJ"),AND(J3967=1,I3967=0)),"?IN_FOCUS",IF(J3967&lt;=2,"?ACTIVATED",IF(J3967&lt;&gt;"","?FAMILIAR",IF(F3967="NEW",IF(ISNA(VLOOKUP(E3967,#REF!,1,FALSE())),"?TYPE_IDENTIFIABLE","?REFERENTIAL"),"_")))))</f>
        <v> </v>
      </c>
      <c r="H3967" s="24" t="str">
        <f>IF(J3967&lt;&gt;1,"",IF(I3967="SBJ","CB","?"))</f>
        <v> </v>
      </c>
      <c r="I3967" s="25" t="str">
        <f>IF(OR(E3967="",E3967="!!!",F3967="NEW"),"",INDEX(B3966:B$2,-1+SUMPRODUCT(MAX(ROW(E3966:E$2)*(E3967=E3966:E$2)))))</f>
        <v> </v>
      </c>
      <c r="J3967" s="25" t="str">
        <f>IF(OR(E3967="",E3967="!!!",F3967="NEW"),"",COUNTBLANK(OFFSET(A$1,,,SUMPRODUCT(MAX(ROW(E$2:E3967)*(E3967=E$2:E3967)))))-COUNTBLANK(OFFSET(A$1,,,SUMPRODUCT(MAX(ROW(E$1:E3966)*(E2=E$1:E3966))))))</f>
        <v> </v>
      </c>
      <c r="K3967" s="25" t="str">
        <f>IF(OR(E3967="",E3967="!!!",F3967="NEW"),"",INDEX(J$1:J3966,SUMPRODUCT(MAX(ROW(E$1:E3966)*(E3967=E$1:E3966)))))</f>
        <v> </v>
      </c>
      <c r="L3967" s="26"/>
    </row>
    <row r="3968" spans="1:12">
      <c r="A3968" s="20" t="s">
        <v>1696</v>
      </c>
      <c r="B3968" s="27" t="s">
        <v>737</v>
      </c>
      <c r="C3968" s="27" t="s">
        <v>887</v>
      </c>
      <c r="D3968" s="27" t="s">
        <v>694</v>
      </c>
      <c r="E3968" s="21">
        <f>IF(D3968="?OLD","!!!","")</f>
        <v/>
      </c>
      <c r="F3968" s="22" t="str">
        <f>IF(OR(E3968="",E3968="!!!"),"",IF(NOT(ISNA(VLOOKUP(E3968,E$1:E3967,1,FALSE()))),"OLD",IF(AND(E3968&lt;&gt;"",E3968&lt;&gt;"!!!"),"NEW","")))</f>
        <v> </v>
      </c>
      <c r="G3968" s="23" t="str">
        <f>IF(OR(E3968="",E3968="!!!"),"",IF(OR(J3968=0,AND(J3968=1,K3968=1),AND(J3968=1,I3968="SBJ"),AND(J3968=1,I3968=0)),"?IN_FOCUS",IF(J3968&lt;=2,"?ACTIVATED",IF(J3968&lt;&gt;"","?FAMILIAR",IF(F3968="NEW",IF(ISNA(VLOOKUP(E3968,#REF!,1,FALSE())),"?TYPE_IDENTIFIABLE","?REFERENTIAL"),"_")))))</f>
        <v> </v>
      </c>
      <c r="H3968" s="24" t="str">
        <f>IF(J3968&lt;&gt;1,"",IF(I3968="SBJ","CB","?"))</f>
        <v> </v>
      </c>
      <c r="I3968" s="25" t="str">
        <f>IF(OR(E3968="",E3968="!!!",F3968="NEW"),"",INDEX(B3967:B$2,-1+SUMPRODUCT(MAX(ROW(E3967:E$2)*(E3968=E3967:E$2)))))</f>
        <v> </v>
      </c>
      <c r="J3968" s="25" t="str">
        <f>IF(OR(E3968="",E3968="!!!",F3968="NEW"),"",COUNTBLANK(OFFSET(A$1,,,SUMPRODUCT(MAX(ROW(E$2:E3968)*(E3968=E$2:E3968)))))-COUNTBLANK(OFFSET(A$1,,,SUMPRODUCT(MAX(ROW(E$1:E3967)*(E2=E$1:E3967))))))</f>
        <v> </v>
      </c>
      <c r="K3968" s="25" t="str">
        <f>IF(OR(E3968="",E3968="!!!",F3968="NEW"),"",INDEX(J$1:J3967,SUMPRODUCT(MAX(ROW(E$1:E3967)*(E3968=E$1:E3967)))))</f>
        <v> </v>
      </c>
      <c r="L3968" s="26"/>
    </row>
    <row r="3969" spans="1:12">
      <c r="A3969" s="20" t="s">
        <v>725</v>
      </c>
      <c r="E3969" s="21">
        <f>IF(D3969="?OLD","!!!","")</f>
        <v/>
      </c>
      <c r="F3969" s="22" t="str">
        <f>IF(OR(E3969="",E3969="!!!"),"",IF(NOT(ISNA(VLOOKUP(E3969,E$1:E3968,1,FALSE()))),"OLD",IF(AND(E3969&lt;&gt;"",E3969&lt;&gt;"!!!"),"NEW","")))</f>
        <v> </v>
      </c>
      <c r="G3969" s="23" t="str">
        <f>IF(OR(E3969="",E3969="!!!"),"",IF(OR(J3969=0,AND(J3969=1,K3969=1),AND(J3969=1,I3969="SBJ"),AND(J3969=1,I3969=0)),"?IN_FOCUS",IF(J3969&lt;=2,"?ACTIVATED",IF(J3969&lt;&gt;"","?FAMILIAR",IF(F3969="NEW",IF(ISNA(VLOOKUP(E3969,#REF!,1,FALSE())),"?TYPE_IDENTIFIABLE","?REFERENTIAL"),"_")))))</f>
        <v> </v>
      </c>
      <c r="H3969" s="24" t="str">
        <f>IF(J3969&lt;&gt;1,"",IF(I3969="SBJ","CB","?"))</f>
        <v> </v>
      </c>
      <c r="I3969" s="25" t="str">
        <f>IF(OR(E3969="",E3969="!!!",F3969="NEW"),"",INDEX(B3968:B$2,-1+SUMPRODUCT(MAX(ROW(E3968:E$2)*(E3969=E3968:E$2)))))</f>
        <v> </v>
      </c>
      <c r="J3969" s="25" t="str">
        <f>IF(OR(E3969="",E3969="!!!",F3969="NEW"),"",COUNTBLANK(OFFSET(A$1,,,SUMPRODUCT(MAX(ROW(E$2:E3969)*(E3969=E$2:E3969)))))-COUNTBLANK(OFFSET(A$1,,,SUMPRODUCT(MAX(ROW(E$1:E3968)*(E2=E$1:E3968))))))</f>
        <v> </v>
      </c>
      <c r="K3969" s="25" t="str">
        <f>IF(OR(E3969="",E3969="!!!",F3969="NEW"),"",INDEX(J$1:J3968,SUMPRODUCT(MAX(ROW(E$1:E3968)*(E3969=E$1:E3968)))))</f>
        <v> </v>
      </c>
      <c r="L3969" s="26"/>
    </row>
    <row r="3970" spans="1:12">
      <c r="A3970" s="20" t="s">
        <v>690</v>
      </c>
      <c r="E3970" s="21">
        <f>IF(D3970="?OLD","!!!","")</f>
        <v/>
      </c>
      <c r="F3970" s="22" t="str">
        <f>IF(OR(E3970="",E3970="!!!"),"",IF(NOT(ISNA(VLOOKUP(E3970,E$1:E3969,1,FALSE()))),"OLD",IF(AND(E3970&lt;&gt;"",E3970&lt;&gt;"!!!"),"NEW","")))</f>
        <v> </v>
      </c>
      <c r="G3970" s="23" t="str">
        <f>IF(OR(E3970="",E3970="!!!"),"",IF(OR(J3970=0,AND(J3970=1,K3970=1),AND(J3970=1,I3970="SBJ"),AND(J3970=1,I3970=0)),"?IN_FOCUS",IF(J3970&lt;=2,"?ACTIVATED",IF(J3970&lt;&gt;"","?FAMILIAR",IF(F3970="NEW",IF(ISNA(VLOOKUP(E3970,#REF!,1,FALSE())),"?TYPE_IDENTIFIABLE","?REFERENTIAL"),"_")))))</f>
        <v> </v>
      </c>
      <c r="H3970" s="24" t="str">
        <f>IF(J3970&lt;&gt;1,"",IF(I3970="SBJ","CB","?"))</f>
        <v> </v>
      </c>
      <c r="I3970" s="25" t="str">
        <f>IF(OR(E3970="",E3970="!!!",F3970="NEW"),"",INDEX(B3969:B$2,-1+SUMPRODUCT(MAX(ROW(E3969:E$2)*(E3970=E3969:E$2)))))</f>
        <v> </v>
      </c>
      <c r="J3970" s="25" t="str">
        <f>IF(OR(E3970="",E3970="!!!",F3970="NEW"),"",COUNTBLANK(OFFSET(A$1,,,SUMPRODUCT(MAX(ROW(E$2:E3970)*(E3970=E$2:E3970)))))-COUNTBLANK(OFFSET(A$1,,,SUMPRODUCT(MAX(ROW(E$1:E3969)*(E2=E$1:E3969))))))</f>
        <v> </v>
      </c>
      <c r="K3970" s="25" t="str">
        <f>IF(OR(E3970="",E3970="!!!",F3970="NEW"),"",INDEX(J$1:J3969,SUMPRODUCT(MAX(ROW(E$1:E3969)*(E3970=E$1:E3969)))))</f>
        <v> </v>
      </c>
      <c r="L3970" s="26"/>
    </row>
    <row r="3971" spans="1:12">
      <c r="A3971" s="20" t="s">
        <v>1697</v>
      </c>
      <c r="B3971" s="27" t="s">
        <v>755</v>
      </c>
      <c r="C3971" s="27" t="s">
        <v>782</v>
      </c>
      <c r="D3971" s="27" t="s">
        <v>694</v>
      </c>
      <c r="E3971" s="21">
        <f>IF(D3971="?OLD","!!!","")</f>
        <v/>
      </c>
      <c r="F3971" s="22" t="str">
        <f>IF(OR(E3971="",E3971="!!!"),"",IF(NOT(ISNA(VLOOKUP(E3971,E$1:E3970,1,FALSE()))),"OLD",IF(AND(E3971&lt;&gt;"",E3971&lt;&gt;"!!!"),"NEW","")))</f>
        <v> </v>
      </c>
      <c r="G3971" s="23" t="str">
        <f>IF(OR(E3971="",E3971="!!!"),"",IF(OR(J3971=0,AND(J3971=1,K3971=1),AND(J3971=1,I3971="SBJ"),AND(J3971=1,I3971=0)),"?IN_FOCUS",IF(J3971&lt;=2,"?ACTIVATED",IF(J3971&lt;&gt;"","?FAMILIAR",IF(F3971="NEW",IF(ISNA(VLOOKUP(E3971,#REF!,1,FALSE())),"?TYPE_IDENTIFIABLE","?REFERENTIAL"),"_")))))</f>
        <v> </v>
      </c>
      <c r="H3971" s="24" t="str">
        <f>IF(J3971&lt;&gt;1,"",IF(I3971="SBJ","CB","?"))</f>
        <v> </v>
      </c>
      <c r="I3971" s="25" t="str">
        <f>IF(OR(E3971="",E3971="!!!",F3971="NEW"),"",INDEX(B3970:B$2,-1+SUMPRODUCT(MAX(ROW(E3970:E$2)*(E3971=E3970:E$2)))))</f>
        <v> </v>
      </c>
      <c r="J3971" s="25" t="str">
        <f>IF(OR(E3971="",E3971="!!!",F3971="NEW"),"",COUNTBLANK(OFFSET(A$1,,,SUMPRODUCT(MAX(ROW(E$2:E3971)*(E3971=E$2:E3971)))))-COUNTBLANK(OFFSET(A$1,,,SUMPRODUCT(MAX(ROW(E$1:E3970)*(E2=E$1:E3970))))))</f>
        <v> </v>
      </c>
      <c r="K3971" s="25" t="str">
        <f>IF(OR(E3971="",E3971="!!!",F3971="NEW"),"",INDEX(J$1:J3970,SUMPRODUCT(MAX(ROW(E$1:E3970)*(E3971=E$1:E3970)))))</f>
        <v> </v>
      </c>
      <c r="L3971" s="26"/>
    </row>
    <row r="3972" spans="1:12">
      <c r="A3972" s="20" t="s">
        <v>696</v>
      </c>
      <c r="E3972" s="21">
        <f>IF(D3972="?OLD","!!!","")</f>
        <v/>
      </c>
      <c r="F3972" s="22" t="str">
        <f>IF(OR(E3972="",E3972="!!!"),"",IF(NOT(ISNA(VLOOKUP(E3972,E$1:E3971,1,FALSE()))),"OLD",IF(AND(E3972&lt;&gt;"",E3972&lt;&gt;"!!!"),"NEW","")))</f>
        <v> </v>
      </c>
      <c r="G3972" s="23" t="str">
        <f>IF(OR(E3972="",E3972="!!!"),"",IF(OR(J3972=0,AND(J3972=1,K3972=1),AND(J3972=1,I3972="SBJ"),AND(J3972=1,I3972=0)),"?IN_FOCUS",IF(J3972&lt;=2,"?ACTIVATED",IF(J3972&lt;&gt;"","?FAMILIAR",IF(F3972="NEW",IF(ISNA(VLOOKUP(E3972,#REF!,1,FALSE())),"?TYPE_IDENTIFIABLE","?REFERENTIAL"),"_")))))</f>
        <v> </v>
      </c>
      <c r="H3972" s="24" t="str">
        <f>IF(J3972&lt;&gt;1,"",IF(I3972="SBJ","CB","?"))</f>
        <v> </v>
      </c>
      <c r="I3972" s="25" t="str">
        <f>IF(OR(E3972="",E3972="!!!",F3972="NEW"),"",INDEX(B3971:B$2,-1+SUMPRODUCT(MAX(ROW(E3971:E$2)*(E3972=E3971:E$2)))))</f>
        <v> </v>
      </c>
      <c r="J3972" s="25" t="str">
        <f>IF(OR(E3972="",E3972="!!!",F3972="NEW"),"",COUNTBLANK(OFFSET(A$1,,,SUMPRODUCT(MAX(ROW(E$2:E3972)*(E3972=E$2:E3972)))))-COUNTBLANK(OFFSET(A$1,,,SUMPRODUCT(MAX(ROW(E$1:E3971)*(E2=E$1:E3971))))))</f>
        <v> </v>
      </c>
      <c r="K3972" s="25" t="str">
        <f>IF(OR(E3972="",E3972="!!!",F3972="NEW"),"",INDEX(J$1:J3971,SUMPRODUCT(MAX(ROW(E$1:E3971)*(E3972=E$1:E3971)))))</f>
        <v> </v>
      </c>
      <c r="L3972" s="26"/>
    </row>
    <row r="3973" spans="1:12">
      <c r="A3973" s="20" t="s">
        <v>721</v>
      </c>
      <c r="E3973" s="21">
        <f>IF(D3973="?OLD","!!!","")</f>
        <v/>
      </c>
      <c r="F3973" s="22" t="str">
        <f>IF(OR(E3973="",E3973="!!!"),"",IF(NOT(ISNA(VLOOKUP(E3973,E$1:E3972,1,FALSE()))),"OLD",IF(AND(E3973&lt;&gt;"",E3973&lt;&gt;"!!!"),"NEW","")))</f>
        <v> </v>
      </c>
      <c r="G3973" s="23" t="str">
        <f>IF(OR(E3973="",E3973="!!!"),"",IF(OR(J3973=0,AND(J3973=1,K3973=1),AND(J3973=1,I3973="SBJ"),AND(J3973=1,I3973=0)),"?IN_FOCUS",IF(J3973&lt;=2,"?ACTIVATED",IF(J3973&lt;&gt;"","?FAMILIAR",IF(F3973="NEW",IF(ISNA(VLOOKUP(E3973,#REF!,1,FALSE())),"?TYPE_IDENTIFIABLE","?REFERENTIAL"),"_")))))</f>
        <v> </v>
      </c>
      <c r="H3973" s="24" t="str">
        <f>IF(J3973&lt;&gt;1,"",IF(I3973="SBJ","CB","?"))</f>
        <v> </v>
      </c>
      <c r="I3973" s="25" t="str">
        <f>IF(OR(E3973="",E3973="!!!",F3973="NEW"),"",INDEX(B3972:B$2,-1+SUMPRODUCT(MAX(ROW(E3972:E$2)*(E3973=E3972:E$2)))))</f>
        <v> </v>
      </c>
      <c r="J3973" s="25" t="str">
        <f>IF(OR(E3973="",E3973="!!!",F3973="NEW"),"",COUNTBLANK(OFFSET(A$1,,,SUMPRODUCT(MAX(ROW(E$2:E3973)*(E3973=E$2:E3973)))))-COUNTBLANK(OFFSET(A$1,,,SUMPRODUCT(MAX(ROW(E$1:E3972)*(E2=E$1:E3972))))))</f>
        <v> </v>
      </c>
      <c r="K3973" s="25" t="str">
        <f>IF(OR(E3973="",E3973="!!!",F3973="NEW"),"",INDEX(J$1:J3972,SUMPRODUCT(MAX(ROW(E$1:E3972)*(E3973=E$1:E3972)))))</f>
        <v> </v>
      </c>
      <c r="L3973" s="26"/>
    </row>
    <row r="3974" spans="1:12">
      <c r="A3974" s="20" t="s">
        <v>1698</v>
      </c>
      <c r="B3974" s="27" t="s">
        <v>756</v>
      </c>
      <c r="C3974" s="27" t="s">
        <v>887</v>
      </c>
      <c r="D3974" s="27" t="s">
        <v>694</v>
      </c>
      <c r="E3974" s="21">
        <f>IF(D3974="?OLD","!!!","")</f>
        <v/>
      </c>
      <c r="F3974" s="22" t="str">
        <f>IF(OR(E3974="",E3974="!!!"),"",IF(NOT(ISNA(VLOOKUP(E3974,E$1:E3973,1,FALSE()))),"OLD",IF(AND(E3974&lt;&gt;"",E3974&lt;&gt;"!!!"),"NEW","")))</f>
        <v> </v>
      </c>
      <c r="G3974" s="23" t="str">
        <f>IF(OR(E3974="",E3974="!!!"),"",IF(OR(J3974=0,AND(J3974=1,K3974=1),AND(J3974=1,I3974="SBJ"),AND(J3974=1,I3974=0)),"?IN_FOCUS",IF(J3974&lt;=2,"?ACTIVATED",IF(J3974&lt;&gt;"","?FAMILIAR",IF(F3974="NEW",IF(ISNA(VLOOKUP(E3974,#REF!,1,FALSE())),"?TYPE_IDENTIFIABLE","?REFERENTIAL"),"_")))))</f>
        <v> </v>
      </c>
      <c r="H3974" s="24" t="str">
        <f>IF(J3974&lt;&gt;1,"",IF(I3974="SBJ","CB","?"))</f>
        <v> </v>
      </c>
      <c r="I3974" s="25" t="str">
        <f>IF(OR(E3974="",E3974="!!!",F3974="NEW"),"",INDEX(B3973:B$2,-1+SUMPRODUCT(MAX(ROW(E3973:E$2)*(E3974=E3973:E$2)))))</f>
        <v> </v>
      </c>
      <c r="J3974" s="25" t="str">
        <f>IF(OR(E3974="",E3974="!!!",F3974="NEW"),"",COUNTBLANK(OFFSET(A$1,,,SUMPRODUCT(MAX(ROW(E$2:E3974)*(E3974=E$2:E3974)))))-COUNTBLANK(OFFSET(A$1,,,SUMPRODUCT(MAX(ROW(E$1:E3973)*(E2=E$1:E3973))))))</f>
        <v> </v>
      </c>
      <c r="K3974" s="25" t="str">
        <f>IF(OR(E3974="",E3974="!!!",F3974="NEW"),"",INDEX(J$1:J3973,SUMPRODUCT(MAX(ROW(E$1:E3973)*(E3974=E$1:E3973)))))</f>
        <v> </v>
      </c>
      <c r="L3974" s="26"/>
    </row>
    <row r="3975" spans="1:12">
      <c r="A3975" s="20" t="s">
        <v>814</v>
      </c>
      <c r="E3975" s="21">
        <f>IF(D3975="?OLD","!!!","")</f>
        <v/>
      </c>
      <c r="F3975" s="22" t="str">
        <f>IF(OR(E3975="",E3975="!!!"),"",IF(NOT(ISNA(VLOOKUP(E3975,E$1:E3974,1,FALSE()))),"OLD",IF(AND(E3975&lt;&gt;"",E3975&lt;&gt;"!!!"),"NEW","")))</f>
        <v> </v>
      </c>
      <c r="G3975" s="23" t="str">
        <f>IF(OR(E3975="",E3975="!!!"),"",IF(OR(J3975=0,AND(J3975=1,K3975=1),AND(J3975=1,I3975="SBJ"),AND(J3975=1,I3975=0)),"?IN_FOCUS",IF(J3975&lt;=2,"?ACTIVATED",IF(J3975&lt;&gt;"","?FAMILIAR",IF(F3975="NEW",IF(ISNA(VLOOKUP(E3975,#REF!,1,FALSE())),"?TYPE_IDENTIFIABLE","?REFERENTIAL"),"_")))))</f>
        <v> </v>
      </c>
      <c r="H3975" s="24" t="str">
        <f>IF(J3975&lt;&gt;1,"",IF(I3975="SBJ","CB","?"))</f>
        <v> </v>
      </c>
      <c r="I3975" s="25" t="str">
        <f>IF(OR(E3975="",E3975="!!!",F3975="NEW"),"",INDEX(B3974:B$2,-1+SUMPRODUCT(MAX(ROW(E3974:E$2)*(E3975=E3974:E$2)))))</f>
        <v> </v>
      </c>
      <c r="J3975" s="25" t="str">
        <f>IF(OR(E3975="",E3975="!!!",F3975="NEW"),"",COUNTBLANK(OFFSET(A$1,,,SUMPRODUCT(MAX(ROW(E$2:E3975)*(E3975=E$2:E3975)))))-COUNTBLANK(OFFSET(A$1,,,SUMPRODUCT(MAX(ROW(E$1:E3974)*(E2=E$1:E3974))))))</f>
        <v> </v>
      </c>
      <c r="K3975" s="25" t="str">
        <f>IF(OR(E3975="",E3975="!!!",F3975="NEW"),"",INDEX(J$1:J3974,SUMPRODUCT(MAX(ROW(E$1:E3974)*(E3975=E$1:E3974)))))</f>
        <v> </v>
      </c>
      <c r="L3975" s="26"/>
    </row>
    <row r="3976" spans="1:12">
      <c r="A3976" s="20" t="s">
        <v>1699</v>
      </c>
      <c r="E3976" s="21">
        <f>IF(D3976="?OLD","!!!","")</f>
        <v/>
      </c>
      <c r="F3976" s="22" t="str">
        <f>IF(OR(E3976="",E3976="!!!"),"",IF(NOT(ISNA(VLOOKUP(E3976,E$1:E3975,1,FALSE()))),"OLD",IF(AND(E3976&lt;&gt;"",E3976&lt;&gt;"!!!"),"NEW","")))</f>
        <v> </v>
      </c>
      <c r="G3976" s="23" t="str">
        <f>IF(OR(E3976="",E3976="!!!"),"",IF(OR(J3976=0,AND(J3976=1,K3976=1),AND(J3976=1,I3976="SBJ"),AND(J3976=1,I3976=0)),"?IN_FOCUS",IF(J3976&lt;=2,"?ACTIVATED",IF(J3976&lt;&gt;"","?FAMILIAR",IF(F3976="NEW",IF(ISNA(VLOOKUP(E3976,#REF!,1,FALSE())),"?TYPE_IDENTIFIABLE","?REFERENTIAL"),"_")))))</f>
        <v> </v>
      </c>
      <c r="H3976" s="24" t="str">
        <f>IF(J3976&lt;&gt;1,"",IF(I3976="SBJ","CB","?"))</f>
        <v> </v>
      </c>
      <c r="I3976" s="25" t="str">
        <f>IF(OR(E3976="",E3976="!!!",F3976="NEW"),"",INDEX(B3975:B$2,-1+SUMPRODUCT(MAX(ROW(E3975:E$2)*(E3976=E3975:E$2)))))</f>
        <v> </v>
      </c>
      <c r="J3976" s="25" t="str">
        <f>IF(OR(E3976="",E3976="!!!",F3976="NEW"),"",COUNTBLANK(OFFSET(A$1,,,SUMPRODUCT(MAX(ROW(E$2:E3976)*(E3976=E$2:E3976)))))-COUNTBLANK(OFFSET(A$1,,,SUMPRODUCT(MAX(ROW(E$1:E3975)*(E2=E$1:E3975))))))</f>
        <v> </v>
      </c>
      <c r="K3976" s="25" t="str">
        <f>IF(OR(E3976="",E3976="!!!",F3976="NEW"),"",INDEX(J$1:J3975,SUMPRODUCT(MAX(ROW(E$1:E3975)*(E3976=E$1:E3975)))))</f>
        <v> </v>
      </c>
      <c r="L3976" s="26"/>
    </row>
    <row r="3977" spans="1:12">
      <c r="A3977" s="20" t="s">
        <v>1700</v>
      </c>
      <c r="E3977" s="21">
        <f>IF(D3977="?OLD","!!!","")</f>
        <v/>
      </c>
      <c r="F3977" s="22" t="str">
        <f>IF(OR(E3977="",E3977="!!!"),"",IF(NOT(ISNA(VLOOKUP(E3977,E$1:E3976,1,FALSE()))),"OLD",IF(AND(E3977&lt;&gt;"",E3977&lt;&gt;"!!!"),"NEW","")))</f>
        <v> </v>
      </c>
      <c r="G3977" s="23" t="str">
        <f>IF(OR(E3977="",E3977="!!!"),"",IF(OR(J3977=0,AND(J3977=1,K3977=1),AND(J3977=1,I3977="SBJ"),AND(J3977=1,I3977=0)),"?IN_FOCUS",IF(J3977&lt;=2,"?ACTIVATED",IF(J3977&lt;&gt;"","?FAMILIAR",IF(F3977="NEW",IF(ISNA(VLOOKUP(E3977,#REF!,1,FALSE())),"?TYPE_IDENTIFIABLE","?REFERENTIAL"),"_")))))</f>
        <v> </v>
      </c>
      <c r="H3977" s="24" t="str">
        <f>IF(J3977&lt;&gt;1,"",IF(I3977="SBJ","CB","?"))</f>
        <v> </v>
      </c>
      <c r="I3977" s="25" t="str">
        <f>IF(OR(E3977="",E3977="!!!",F3977="NEW"),"",INDEX(B3976:B$2,-1+SUMPRODUCT(MAX(ROW(E3976:E$2)*(E3977=E3976:E$2)))))</f>
        <v> </v>
      </c>
      <c r="J3977" s="25" t="str">
        <f>IF(OR(E3977="",E3977="!!!",F3977="NEW"),"",COUNTBLANK(OFFSET(A$1,,,SUMPRODUCT(MAX(ROW(E$2:E3977)*(E3977=E$2:E3977)))))-COUNTBLANK(OFFSET(A$1,,,SUMPRODUCT(MAX(ROW(E$1:E3976)*(E2=E$1:E3976))))))</f>
        <v> </v>
      </c>
      <c r="K3977" s="25" t="str">
        <f>IF(OR(E3977="",E3977="!!!",F3977="NEW"),"",INDEX(J$1:J3976,SUMPRODUCT(MAX(ROW(E$1:E3976)*(E3977=E$1:E3976)))))</f>
        <v> </v>
      </c>
      <c r="L3977" s="26"/>
    </row>
    <row r="3978" spans="1:12">
      <c r="A3978" s="20" t="s">
        <v>786</v>
      </c>
      <c r="E3978" s="21">
        <f>IF(D3978="?OLD","!!!","")</f>
        <v/>
      </c>
      <c r="F3978" s="22" t="str">
        <f>IF(OR(E3978="",E3978="!!!"),"",IF(NOT(ISNA(VLOOKUP(E3978,E$1:E3977,1,FALSE()))),"OLD",IF(AND(E3978&lt;&gt;"",E3978&lt;&gt;"!!!"),"NEW","")))</f>
        <v> </v>
      </c>
      <c r="G3978" s="23" t="str">
        <f>IF(OR(E3978="",E3978="!!!"),"",IF(OR(J3978=0,AND(J3978=1,K3978=1),AND(J3978=1,I3978="SBJ"),AND(J3978=1,I3978=0)),"?IN_FOCUS",IF(J3978&lt;=2,"?ACTIVATED",IF(J3978&lt;&gt;"","?FAMILIAR",IF(F3978="NEW",IF(ISNA(VLOOKUP(E3978,#REF!,1,FALSE())),"?TYPE_IDENTIFIABLE","?REFERENTIAL"),"_")))))</f>
        <v> </v>
      </c>
      <c r="H3978" s="24" t="str">
        <f>IF(J3978&lt;&gt;1,"",IF(I3978="SBJ","CB","?"))</f>
        <v> </v>
      </c>
      <c r="I3978" s="25" t="str">
        <f>IF(OR(E3978="",E3978="!!!",F3978="NEW"),"",INDEX(B3977:B$2,-1+SUMPRODUCT(MAX(ROW(E3977:E$2)*(E3978=E3977:E$2)))))</f>
        <v> </v>
      </c>
      <c r="J3978" s="25" t="str">
        <f>IF(OR(E3978="",E3978="!!!",F3978="NEW"),"",COUNTBLANK(OFFSET(A$1,,,SUMPRODUCT(MAX(ROW(E$2:E3978)*(E3978=E$2:E3978)))))-COUNTBLANK(OFFSET(A$1,,,SUMPRODUCT(MAX(ROW(E$1:E3977)*(E2=E$1:E3977))))))</f>
        <v> </v>
      </c>
      <c r="K3978" s="25" t="str">
        <f>IF(OR(E3978="",E3978="!!!",F3978="NEW"),"",INDEX(J$1:J3977,SUMPRODUCT(MAX(ROW(E$1:E3977)*(E3978=E$1:E3977)))))</f>
        <v> </v>
      </c>
      <c r="L3978" s="26"/>
    </row>
    <row r="3979" spans="1:12">
      <c r="A3979" s="20" t="s">
        <v>747</v>
      </c>
      <c r="E3979" s="21">
        <f>IF(D3979="?OLD","!!!","")</f>
        <v/>
      </c>
      <c r="F3979" s="22" t="str">
        <f>IF(OR(E3979="",E3979="!!!"),"",IF(NOT(ISNA(VLOOKUP(E3979,E$1:E3978,1,FALSE()))),"OLD",IF(AND(E3979&lt;&gt;"",E3979&lt;&gt;"!!!"),"NEW","")))</f>
        <v> </v>
      </c>
      <c r="G3979" s="23" t="str">
        <f>IF(OR(E3979="",E3979="!!!"),"",IF(OR(J3979=0,AND(J3979=1,K3979=1),AND(J3979=1,I3979="SBJ"),AND(J3979=1,I3979=0)),"?IN_FOCUS",IF(J3979&lt;=2,"?ACTIVATED",IF(J3979&lt;&gt;"","?FAMILIAR",IF(F3979="NEW",IF(ISNA(VLOOKUP(E3979,#REF!,1,FALSE())),"?TYPE_IDENTIFIABLE","?REFERENTIAL"),"_")))))</f>
        <v> </v>
      </c>
      <c r="H3979" s="24" t="str">
        <f>IF(J3979&lt;&gt;1,"",IF(I3979="SBJ","CB","?"))</f>
        <v> </v>
      </c>
      <c r="I3979" s="25" t="str">
        <f>IF(OR(E3979="",E3979="!!!",F3979="NEW"),"",INDEX(B3978:B$2,-1+SUMPRODUCT(MAX(ROW(E3978:E$2)*(E3979=E3978:E$2)))))</f>
        <v> </v>
      </c>
      <c r="J3979" s="25" t="str">
        <f>IF(OR(E3979="",E3979="!!!",F3979="NEW"),"",COUNTBLANK(OFFSET(A$1,,,SUMPRODUCT(MAX(ROW(E$2:E3979)*(E3979=E$2:E3979)))))-COUNTBLANK(OFFSET(A$1,,,SUMPRODUCT(MAX(ROW(E$1:E3978)*(E2=E$1:E3978))))))</f>
        <v> </v>
      </c>
      <c r="K3979" s="25" t="str">
        <f>IF(OR(E3979="",E3979="!!!",F3979="NEW"),"",INDEX(J$1:J3978,SUMPRODUCT(MAX(ROW(E$1:E3978)*(E3979=E$1:E3978)))))</f>
        <v> </v>
      </c>
      <c r="L3979" s="26"/>
    </row>
    <row r="3980" spans="1:12">
      <c r="A3980" s="20" t="s">
        <v>864</v>
      </c>
      <c r="B3980" s="27" t="s">
        <v>698</v>
      </c>
      <c r="C3980" s="27" t="s">
        <v>693</v>
      </c>
      <c r="D3980" s="27" t="s">
        <v>694</v>
      </c>
      <c r="E3980" s="21">
        <f>IF(D3980="?OLD","!!!","")</f>
        <v/>
      </c>
      <c r="F3980" s="22" t="str">
        <f>IF(OR(E3980="",E3980="!!!"),"",IF(NOT(ISNA(VLOOKUP(E3980,E$1:E3979,1,FALSE()))),"OLD",IF(AND(E3980&lt;&gt;"",E3980&lt;&gt;"!!!"),"NEW","")))</f>
        <v> </v>
      </c>
      <c r="G3980" s="23" t="str">
        <f>IF(OR(E3980="",E3980="!!!"),"",IF(OR(J3980=0,AND(J3980=1,K3980=1),AND(J3980=1,I3980="SBJ"),AND(J3980=1,I3980=0)),"?IN_FOCUS",IF(J3980&lt;=2,"?ACTIVATED",IF(J3980&lt;&gt;"","?FAMILIAR",IF(F3980="NEW",IF(ISNA(VLOOKUP(E3980,#REF!,1,FALSE())),"?TYPE_IDENTIFIABLE","?REFERENTIAL"),"_")))))</f>
        <v> </v>
      </c>
      <c r="H3980" s="24" t="str">
        <f>IF(J3980&lt;&gt;1,"",IF(I3980="SBJ","CB","?"))</f>
        <v> </v>
      </c>
      <c r="I3980" s="25" t="str">
        <f>IF(OR(E3980="",E3980="!!!",F3980="NEW"),"",INDEX(B3979:B$2,-1+SUMPRODUCT(MAX(ROW(E3979:E$2)*(E3980=E3979:E$2)))))</f>
        <v> </v>
      </c>
      <c r="J3980" s="25" t="str">
        <f>IF(OR(E3980="",E3980="!!!",F3980="NEW"),"",COUNTBLANK(OFFSET(A$1,,,SUMPRODUCT(MAX(ROW(E$2:E3980)*(E3980=E$2:E3980)))))-COUNTBLANK(OFFSET(A$1,,,SUMPRODUCT(MAX(ROW(E$1:E3979)*(E2=E$1:E3979))))))</f>
        <v> </v>
      </c>
      <c r="K3980" s="25" t="str">
        <f>IF(OR(E3980="",E3980="!!!",F3980="NEW"),"",INDEX(J$1:J3979,SUMPRODUCT(MAX(ROW(E$1:E3979)*(E3980=E$1:E3979)))))</f>
        <v> </v>
      </c>
      <c r="L3980" s="26"/>
    </row>
    <row r="3981" spans="1:12">
      <c r="A3981" s="20" t="s">
        <v>725</v>
      </c>
      <c r="E3981" s="21">
        <f>IF(D3981="?OLD","!!!","")</f>
        <v/>
      </c>
      <c r="F3981" s="22" t="str">
        <f>IF(OR(E3981="",E3981="!!!"),"",IF(NOT(ISNA(VLOOKUP(E3981,E$1:E3980,1,FALSE()))),"OLD",IF(AND(E3981&lt;&gt;"",E3981&lt;&gt;"!!!"),"NEW","")))</f>
        <v> </v>
      </c>
      <c r="G3981" s="23" t="str">
        <f>IF(OR(E3981="",E3981="!!!"),"",IF(OR(J3981=0,AND(J3981=1,K3981=1),AND(J3981=1,I3981="SBJ"),AND(J3981=1,I3981=0)),"?IN_FOCUS",IF(J3981&lt;=2,"?ACTIVATED",IF(J3981&lt;&gt;"","?FAMILIAR",IF(F3981="NEW",IF(ISNA(VLOOKUP(E3981,#REF!,1,FALSE())),"?TYPE_IDENTIFIABLE","?REFERENTIAL"),"_")))))</f>
        <v> </v>
      </c>
      <c r="H3981" s="24" t="str">
        <f>IF(J3981&lt;&gt;1,"",IF(I3981="SBJ","CB","?"))</f>
        <v> </v>
      </c>
      <c r="I3981" s="25" t="str">
        <f>IF(OR(E3981="",E3981="!!!",F3981="NEW"),"",INDEX(B3980:B$2,-1+SUMPRODUCT(MAX(ROW(E3980:E$2)*(E3981=E3980:E$2)))))</f>
        <v> </v>
      </c>
      <c r="J3981" s="25" t="str">
        <f>IF(OR(E3981="",E3981="!!!",F3981="NEW"),"",COUNTBLANK(OFFSET(A$1,,,SUMPRODUCT(MAX(ROW(E$2:E3981)*(E3981=E$2:E3981)))))-COUNTBLANK(OFFSET(A$1,,,SUMPRODUCT(MAX(ROW(E$1:E3980)*(E2=E$1:E3980))))))</f>
        <v> </v>
      </c>
      <c r="K3981" s="25" t="str">
        <f>IF(OR(E3981="",E3981="!!!",F3981="NEW"),"",INDEX(J$1:J3980,SUMPRODUCT(MAX(ROW(E$1:E3980)*(E3981=E$1:E3980)))))</f>
        <v> </v>
      </c>
      <c r="L3981" s="26"/>
    </row>
    <row r="3982" spans="1:12">
      <c r="A3982" s="20" t="s">
        <v>747</v>
      </c>
      <c r="E3982" s="21">
        <f>IF(D3982="?OLD","!!!","")</f>
        <v/>
      </c>
      <c r="F3982" s="22" t="str">
        <f>IF(OR(E3982="",E3982="!!!"),"",IF(NOT(ISNA(VLOOKUP(E3982,E$1:E3981,1,FALSE()))),"OLD",IF(AND(E3982&lt;&gt;"",E3982&lt;&gt;"!!!"),"NEW","")))</f>
        <v> </v>
      </c>
      <c r="G3982" s="23" t="str">
        <f>IF(OR(E3982="",E3982="!!!"),"",IF(OR(J3982=0,AND(J3982=1,K3982=1),AND(J3982=1,I3982="SBJ"),AND(J3982=1,I3982=0)),"?IN_FOCUS",IF(J3982&lt;=2,"?ACTIVATED",IF(J3982&lt;&gt;"","?FAMILIAR",IF(F3982="NEW",IF(ISNA(VLOOKUP(E3982,#REF!,1,FALSE())),"?TYPE_IDENTIFIABLE","?REFERENTIAL"),"_")))))</f>
        <v> </v>
      </c>
      <c r="H3982" s="24" t="str">
        <f>IF(J3982&lt;&gt;1,"",IF(I3982="SBJ","CB","?"))</f>
        <v> </v>
      </c>
      <c r="I3982" s="25" t="str">
        <f>IF(OR(E3982="",E3982="!!!",F3982="NEW"),"",INDEX(B3981:B$2,-1+SUMPRODUCT(MAX(ROW(E3981:E$2)*(E3982=E3981:E$2)))))</f>
        <v> </v>
      </c>
      <c r="J3982" s="25" t="str">
        <f>IF(OR(E3982="",E3982="!!!",F3982="NEW"),"",COUNTBLANK(OFFSET(A$1,,,SUMPRODUCT(MAX(ROW(E$2:E3982)*(E3982=E$2:E3982)))))-COUNTBLANK(OFFSET(A$1,,,SUMPRODUCT(MAX(ROW(E$1:E3981)*(E2=E$1:E3981))))))</f>
        <v> </v>
      </c>
      <c r="K3982" s="25" t="str">
        <f>IF(OR(E3982="",E3982="!!!",F3982="NEW"),"",INDEX(J$1:J3981,SUMPRODUCT(MAX(ROW(E$1:E3981)*(E3982=E$1:E3981)))))</f>
        <v> </v>
      </c>
      <c r="L3982" s="26"/>
    </row>
    <row r="3983" spans="1:12">
      <c r="A3983" s="20" t="s">
        <v>1701</v>
      </c>
      <c r="B3983" s="27" t="s">
        <v>737</v>
      </c>
      <c r="C3983" s="27" t="s">
        <v>693</v>
      </c>
      <c r="D3983" s="27" t="s">
        <v>694</v>
      </c>
      <c r="E3983" s="21">
        <f>IF(D3983="?OLD","!!!","")</f>
        <v/>
      </c>
      <c r="F3983" s="22" t="str">
        <f>IF(OR(E3983="",E3983="!!!"),"",IF(NOT(ISNA(VLOOKUP(E3983,E$1:E3982,1,FALSE()))),"OLD",IF(AND(E3983&lt;&gt;"",E3983&lt;&gt;"!!!"),"NEW","")))</f>
        <v> </v>
      </c>
      <c r="G3983" s="23" t="str">
        <f>IF(OR(E3983="",E3983="!!!"),"",IF(OR(J3983=0,AND(J3983=1,K3983=1),AND(J3983=1,I3983="SBJ"),AND(J3983=1,I3983=0)),"?IN_FOCUS",IF(J3983&lt;=2,"?ACTIVATED",IF(J3983&lt;&gt;"","?FAMILIAR",IF(F3983="NEW",IF(ISNA(VLOOKUP(E3983,#REF!,1,FALSE())),"?TYPE_IDENTIFIABLE","?REFERENTIAL"),"_")))))</f>
        <v> </v>
      </c>
      <c r="H3983" s="24" t="str">
        <f>IF(J3983&lt;&gt;1,"",IF(I3983="SBJ","CB","?"))</f>
        <v> </v>
      </c>
      <c r="I3983" s="25" t="str">
        <f>IF(OR(E3983="",E3983="!!!",F3983="NEW"),"",INDEX(B3982:B$2,-1+SUMPRODUCT(MAX(ROW(E3982:E$2)*(E3983=E3982:E$2)))))</f>
        <v> </v>
      </c>
      <c r="J3983" s="25" t="str">
        <f>IF(OR(E3983="",E3983="!!!",F3983="NEW"),"",COUNTBLANK(OFFSET(A$1,,,SUMPRODUCT(MAX(ROW(E$2:E3983)*(E3983=E$2:E3983)))))-COUNTBLANK(OFFSET(A$1,,,SUMPRODUCT(MAX(ROW(E$1:E3982)*(E2=E$1:E3982))))))</f>
        <v> </v>
      </c>
      <c r="K3983" s="25" t="str">
        <f>IF(OR(E3983="",E3983="!!!",F3983="NEW"),"",INDEX(J$1:J3982,SUMPRODUCT(MAX(ROW(E$1:E3982)*(E3983=E$1:E3982)))))</f>
        <v> </v>
      </c>
      <c r="L3983" s="26"/>
    </row>
    <row r="3984" spans="1:12">
      <c r="A3984" s="20" t="s">
        <v>846</v>
      </c>
      <c r="E3984" s="21">
        <f>IF(D3984="?OLD","!!!","")</f>
        <v/>
      </c>
      <c r="F3984" s="22" t="str">
        <f>IF(OR(E3984="",E3984="!!!"),"",IF(NOT(ISNA(VLOOKUP(E3984,E$1:E3983,1,FALSE()))),"OLD",IF(AND(E3984&lt;&gt;"",E3984&lt;&gt;"!!!"),"NEW","")))</f>
        <v> </v>
      </c>
      <c r="G3984" s="23" t="str">
        <f>IF(OR(E3984="",E3984="!!!"),"",IF(OR(J3984=0,AND(J3984=1,K3984=1),AND(J3984=1,I3984="SBJ"),AND(J3984=1,I3984=0)),"?IN_FOCUS",IF(J3984&lt;=2,"?ACTIVATED",IF(J3984&lt;&gt;"","?FAMILIAR",IF(F3984="NEW",IF(ISNA(VLOOKUP(E3984,#REF!,1,FALSE())),"?TYPE_IDENTIFIABLE","?REFERENTIAL"),"_")))))</f>
        <v> </v>
      </c>
      <c r="H3984" s="24" t="str">
        <f>IF(J3984&lt;&gt;1,"",IF(I3984="SBJ","CB","?"))</f>
        <v> </v>
      </c>
      <c r="I3984" s="25" t="str">
        <f>IF(OR(E3984="",E3984="!!!",F3984="NEW"),"",INDEX(B3983:B$2,-1+SUMPRODUCT(MAX(ROW(E3983:E$2)*(E3984=E3983:E$2)))))</f>
        <v> </v>
      </c>
      <c r="J3984" s="25" t="str">
        <f>IF(OR(E3984="",E3984="!!!",F3984="NEW"),"",COUNTBLANK(OFFSET(A$1,,,SUMPRODUCT(MAX(ROW(E$2:E3984)*(E3984=E$2:E3984)))))-COUNTBLANK(OFFSET(A$1,,,SUMPRODUCT(MAX(ROW(E$1:E3983)*(E2=E$1:E3983))))))</f>
        <v> </v>
      </c>
      <c r="K3984" s="25" t="str">
        <f>IF(OR(E3984="",E3984="!!!",F3984="NEW"),"",INDEX(J$1:J3983,SUMPRODUCT(MAX(ROW(E$1:E3983)*(E3984=E$1:E3983)))))</f>
        <v> </v>
      </c>
      <c r="L3984" s="26"/>
    </row>
    <row r="3985" spans="1:12">
      <c r="A3985" s="20" t="s">
        <v>747</v>
      </c>
      <c r="E3985" s="21">
        <f>IF(D3985="?OLD","!!!","")</f>
        <v/>
      </c>
      <c r="F3985" s="22" t="str">
        <f>IF(OR(E3985="",E3985="!!!"),"",IF(NOT(ISNA(VLOOKUP(E3985,E$1:E3984,1,FALSE()))),"OLD",IF(AND(E3985&lt;&gt;"",E3985&lt;&gt;"!!!"),"NEW","")))</f>
        <v> </v>
      </c>
      <c r="G3985" s="23" t="str">
        <f>IF(OR(E3985="",E3985="!!!"),"",IF(OR(J3985=0,AND(J3985=1,K3985=1),AND(J3985=1,I3985="SBJ"),AND(J3985=1,I3985=0)),"?IN_FOCUS",IF(J3985&lt;=2,"?ACTIVATED",IF(J3985&lt;&gt;"","?FAMILIAR",IF(F3985="NEW",IF(ISNA(VLOOKUP(E3985,#REF!,1,FALSE())),"?TYPE_IDENTIFIABLE","?REFERENTIAL"),"_")))))</f>
        <v> </v>
      </c>
      <c r="H3985" s="24" t="str">
        <f>IF(J3985&lt;&gt;1,"",IF(I3985="SBJ","CB","?"))</f>
        <v> </v>
      </c>
      <c r="I3985" s="25" t="str">
        <f>IF(OR(E3985="",E3985="!!!",F3985="NEW"),"",INDEX(B3984:B$2,-1+SUMPRODUCT(MAX(ROW(E3984:E$2)*(E3985=E3984:E$2)))))</f>
        <v> </v>
      </c>
      <c r="J3985" s="25" t="str">
        <f>IF(OR(E3985="",E3985="!!!",F3985="NEW"),"",COUNTBLANK(OFFSET(A$1,,,SUMPRODUCT(MAX(ROW(E$2:E3985)*(E3985=E$2:E3985)))))-COUNTBLANK(OFFSET(A$1,,,SUMPRODUCT(MAX(ROW(E$1:E3984)*(E2=E$1:E3984))))))</f>
        <v> </v>
      </c>
      <c r="K3985" s="25" t="str">
        <f>IF(OR(E3985="",E3985="!!!",F3985="NEW"),"",INDEX(J$1:J3984,SUMPRODUCT(MAX(ROW(E$1:E3984)*(E3985=E$1:E3984)))))</f>
        <v> </v>
      </c>
      <c r="L3985" s="26"/>
    </row>
    <row r="3986" spans="1:12">
      <c r="A3986" s="20" t="s">
        <v>1702</v>
      </c>
      <c r="B3986" s="27" t="s">
        <v>737</v>
      </c>
      <c r="C3986" s="27" t="s">
        <v>693</v>
      </c>
      <c r="D3986" s="27" t="s">
        <v>694</v>
      </c>
      <c r="E3986" s="21">
        <f>IF(D3986="?OLD","!!!","")</f>
        <v/>
      </c>
      <c r="F3986" s="22" t="str">
        <f>IF(OR(E3986="",E3986="!!!"),"",IF(NOT(ISNA(VLOOKUP(E3986,E$1:E3985,1,FALSE()))),"OLD",IF(AND(E3986&lt;&gt;"",E3986&lt;&gt;"!!!"),"NEW","")))</f>
        <v> </v>
      </c>
      <c r="G3986" s="23" t="str">
        <f>IF(OR(E3986="",E3986="!!!"),"",IF(OR(J3986=0,AND(J3986=1,K3986=1),AND(J3986=1,I3986="SBJ"),AND(J3986=1,I3986=0)),"?IN_FOCUS",IF(J3986&lt;=2,"?ACTIVATED",IF(J3986&lt;&gt;"","?FAMILIAR",IF(F3986="NEW",IF(ISNA(VLOOKUP(E3986,#REF!,1,FALSE())),"?TYPE_IDENTIFIABLE","?REFERENTIAL"),"_")))))</f>
        <v> </v>
      </c>
      <c r="H3986" s="24" t="str">
        <f>IF(J3986&lt;&gt;1,"",IF(I3986="SBJ","CB","?"))</f>
        <v> </v>
      </c>
      <c r="I3986" s="25" t="str">
        <f>IF(OR(E3986="",E3986="!!!",F3986="NEW"),"",INDEX(B3985:B$2,-1+SUMPRODUCT(MAX(ROW(E3985:E$2)*(E3986=E3985:E$2)))))</f>
        <v> </v>
      </c>
      <c r="J3986" s="25" t="str">
        <f>IF(OR(E3986="",E3986="!!!",F3986="NEW"),"",COUNTBLANK(OFFSET(A$1,,,SUMPRODUCT(MAX(ROW(E$2:E3986)*(E3986=E$2:E3986)))))-COUNTBLANK(OFFSET(A$1,,,SUMPRODUCT(MAX(ROW(E$1:E3985)*(E2=E$1:E3985))))))</f>
        <v> </v>
      </c>
      <c r="K3986" s="25" t="str">
        <f>IF(OR(E3986="",E3986="!!!",F3986="NEW"),"",INDEX(J$1:J3985,SUMPRODUCT(MAX(ROW(E$1:E3985)*(E3986=E$1:E3985)))))</f>
        <v> </v>
      </c>
      <c r="L3986" s="26"/>
    </row>
    <row r="3987" spans="1:12">
      <c r="A3987" s="20" t="s">
        <v>696</v>
      </c>
      <c r="E3987" s="21">
        <f>IF(D3987="?OLD","!!!","")</f>
        <v/>
      </c>
      <c r="F3987" s="22" t="str">
        <f>IF(OR(E3987="",E3987="!!!"),"",IF(NOT(ISNA(VLOOKUP(E3987,E$1:E3986,1,FALSE()))),"OLD",IF(AND(E3987&lt;&gt;"",E3987&lt;&gt;"!!!"),"NEW","")))</f>
        <v> </v>
      </c>
      <c r="G3987" s="23" t="str">
        <f>IF(OR(E3987="",E3987="!!!"),"",IF(OR(J3987=0,AND(J3987=1,K3987=1),AND(J3987=1,I3987="SBJ"),AND(J3987=1,I3987=0)),"?IN_FOCUS",IF(J3987&lt;=2,"?ACTIVATED",IF(J3987&lt;&gt;"","?FAMILIAR",IF(F3987="NEW",IF(ISNA(VLOOKUP(E3987,#REF!,1,FALSE())),"?TYPE_IDENTIFIABLE","?REFERENTIAL"),"_")))))</f>
        <v> </v>
      </c>
      <c r="H3987" s="24" t="str">
        <f>IF(J3987&lt;&gt;1,"",IF(I3987="SBJ","CB","?"))</f>
        <v> </v>
      </c>
      <c r="I3987" s="25" t="str">
        <f>IF(OR(E3987="",E3987="!!!",F3987="NEW"),"",INDEX(B3986:B$2,-1+SUMPRODUCT(MAX(ROW(E3986:E$2)*(E3987=E3986:E$2)))))</f>
        <v> </v>
      </c>
      <c r="J3987" s="25" t="str">
        <f>IF(OR(E3987="",E3987="!!!",F3987="NEW"),"",COUNTBLANK(OFFSET(A$1,,,SUMPRODUCT(MAX(ROW(E$2:E3987)*(E3987=E$2:E3987)))))-COUNTBLANK(OFFSET(A$1,,,SUMPRODUCT(MAX(ROW(E$1:E3986)*(E2=E$1:E3986))))))</f>
        <v> </v>
      </c>
      <c r="K3987" s="25" t="str">
        <f>IF(OR(E3987="",E3987="!!!",F3987="NEW"),"",INDEX(J$1:J3986,SUMPRODUCT(MAX(ROW(E$1:E3986)*(E3987=E$1:E3986)))))</f>
        <v> </v>
      </c>
      <c r="L3987" s="26"/>
    </row>
    <row r="3988" spans="1:12">
      <c r="A3988" s="20" t="s">
        <v>690</v>
      </c>
      <c r="E3988" s="21">
        <f>IF(D3988="?OLD","!!!","")</f>
        <v/>
      </c>
      <c r="F3988" s="22" t="str">
        <f>IF(OR(E3988="",E3988="!!!"),"",IF(NOT(ISNA(VLOOKUP(E3988,E$1:E3987,1,FALSE()))),"OLD",IF(AND(E3988&lt;&gt;"",E3988&lt;&gt;"!!!"),"NEW","")))</f>
        <v> </v>
      </c>
      <c r="G3988" s="23" t="str">
        <f>IF(OR(E3988="",E3988="!!!"),"",IF(OR(J3988=0,AND(J3988=1,K3988=1),AND(J3988=1,I3988="SBJ"),AND(J3988=1,I3988=0)),"?IN_FOCUS",IF(J3988&lt;=2,"?ACTIVATED",IF(J3988&lt;&gt;"","?FAMILIAR",IF(F3988="NEW",IF(ISNA(VLOOKUP(E3988,#REF!,1,FALSE())),"?TYPE_IDENTIFIABLE","?REFERENTIAL"),"_")))))</f>
        <v> </v>
      </c>
      <c r="H3988" s="24" t="str">
        <f>IF(J3988&lt;&gt;1,"",IF(I3988="SBJ","CB","?"))</f>
        <v> </v>
      </c>
      <c r="I3988" s="25" t="str">
        <f>IF(OR(E3988="",E3988="!!!",F3988="NEW"),"",INDEX(B3987:B$2,-1+SUMPRODUCT(MAX(ROW(E3987:E$2)*(E3988=E3987:E$2)))))</f>
        <v> </v>
      </c>
      <c r="J3988" s="25" t="str">
        <f>IF(OR(E3988="",E3988="!!!",F3988="NEW"),"",COUNTBLANK(OFFSET(A$1,,,SUMPRODUCT(MAX(ROW(E$2:E3988)*(E3988=E$2:E3988)))))-COUNTBLANK(OFFSET(A$1,,,SUMPRODUCT(MAX(ROW(E$1:E3987)*(E2=E$1:E3987))))))</f>
        <v> </v>
      </c>
      <c r="K3988" s="25" t="str">
        <f>IF(OR(E3988="",E3988="!!!",F3988="NEW"),"",INDEX(J$1:J3987,SUMPRODUCT(MAX(ROW(E$1:E3987)*(E3988=E$1:E3987)))))</f>
        <v> </v>
      </c>
      <c r="L3988" s="26"/>
    </row>
    <row r="3989" spans="1:12">
      <c r="A3989" s="20" t="s">
        <v>697</v>
      </c>
      <c r="B3989" s="27" t="s">
        <v>755</v>
      </c>
      <c r="C3989" s="27" t="s">
        <v>693</v>
      </c>
      <c r="D3989" s="27" t="s">
        <v>694</v>
      </c>
      <c r="E3989" s="21">
        <f>IF(D3989="?OLD","!!!","")</f>
        <v/>
      </c>
      <c r="F3989" s="22" t="str">
        <f>IF(OR(E3989="",E3989="!!!"),"",IF(NOT(ISNA(VLOOKUP(E3989,E$1:E3988,1,FALSE()))),"OLD",IF(AND(E3989&lt;&gt;"",E3989&lt;&gt;"!!!"),"NEW","")))</f>
        <v> </v>
      </c>
      <c r="G3989" s="23" t="str">
        <f>IF(OR(E3989="",E3989="!!!"),"",IF(OR(J3989=0,AND(J3989=1,K3989=1),AND(J3989=1,I3989="SBJ"),AND(J3989=1,I3989=0)),"?IN_FOCUS",IF(J3989&lt;=2,"?ACTIVATED",IF(J3989&lt;&gt;"","?FAMILIAR",IF(F3989="NEW",IF(ISNA(VLOOKUP(E3989,#REF!,1,FALSE())),"?TYPE_IDENTIFIABLE","?REFERENTIAL"),"_")))))</f>
        <v> </v>
      </c>
      <c r="H3989" s="24" t="str">
        <f>IF(J3989&lt;&gt;1,"",IF(I3989="SBJ","CB","?"))</f>
        <v> </v>
      </c>
      <c r="I3989" s="25" t="str">
        <f>IF(OR(E3989="",E3989="!!!",F3989="NEW"),"",INDEX(B3988:B$2,-1+SUMPRODUCT(MAX(ROW(E3988:E$2)*(E3989=E3988:E$2)))))</f>
        <v> </v>
      </c>
      <c r="J3989" s="25" t="str">
        <f>IF(OR(E3989="",E3989="!!!",F3989="NEW"),"",COUNTBLANK(OFFSET(A$1,,,SUMPRODUCT(MAX(ROW(E$2:E3989)*(E3989=E$2:E3989)))))-COUNTBLANK(OFFSET(A$1,,,SUMPRODUCT(MAX(ROW(E$1:E3988)*(E2=E$1:E3988))))))</f>
        <v> </v>
      </c>
      <c r="K3989" s="25" t="str">
        <f>IF(OR(E3989="",E3989="!!!",F3989="NEW"),"",INDEX(J$1:J3988,SUMPRODUCT(MAX(ROW(E$1:E3988)*(E3989=E$1:E3988)))))</f>
        <v> </v>
      </c>
      <c r="L3989" s="26"/>
    </row>
    <row r="3990" spans="1:12">
      <c r="A3990" s="20" t="s">
        <v>699</v>
      </c>
      <c r="E3990" s="21">
        <f>IF(D3990="?OLD","!!!","")</f>
        <v/>
      </c>
      <c r="F3990" s="22" t="str">
        <f>IF(OR(E3990="",E3990="!!!"),"",IF(NOT(ISNA(VLOOKUP(E3990,E$1:E3989,1,FALSE()))),"OLD",IF(AND(E3990&lt;&gt;"",E3990&lt;&gt;"!!!"),"NEW","")))</f>
        <v> </v>
      </c>
      <c r="G3990" s="23" t="str">
        <f>IF(OR(E3990="",E3990="!!!"),"",IF(OR(J3990=0,AND(J3990=1,K3990=1),AND(J3990=1,I3990="SBJ"),AND(J3990=1,I3990=0)),"?IN_FOCUS",IF(J3990&lt;=2,"?ACTIVATED",IF(J3990&lt;&gt;"","?FAMILIAR",IF(F3990="NEW",IF(ISNA(VLOOKUP(E3990,#REF!,1,FALSE())),"?TYPE_IDENTIFIABLE","?REFERENTIAL"),"_")))))</f>
        <v> </v>
      </c>
      <c r="H3990" s="24" t="str">
        <f>IF(J3990&lt;&gt;1,"",IF(I3990="SBJ","CB","?"))</f>
        <v> </v>
      </c>
      <c r="I3990" s="25" t="str">
        <f>IF(OR(E3990="",E3990="!!!",F3990="NEW"),"",INDEX(B3989:B$2,-1+SUMPRODUCT(MAX(ROW(E3989:E$2)*(E3990=E3989:E$2)))))</f>
        <v> </v>
      </c>
      <c r="J3990" s="25" t="str">
        <f>IF(OR(E3990="",E3990="!!!",F3990="NEW"),"",COUNTBLANK(OFFSET(A$1,,,SUMPRODUCT(MAX(ROW(E$2:E3990)*(E3990=E$2:E3990)))))-COUNTBLANK(OFFSET(A$1,,,SUMPRODUCT(MAX(ROW(E$1:E3989)*(E2=E$1:E3989))))))</f>
        <v> </v>
      </c>
      <c r="K3990" s="25" t="str">
        <f>IF(OR(E3990="",E3990="!!!",F3990="NEW"),"",INDEX(J$1:J3989,SUMPRODUCT(MAX(ROW(E$1:E3989)*(E3990=E$1:E3989)))))</f>
        <v> </v>
      </c>
      <c r="L3990" s="26"/>
    </row>
    <row r="3991" spans="1:12">
      <c r="A3991" s="20"/>
    </row>
    <row r="3992" spans="1:12">
      <c r="A3992" s="20" t="s">
        <v>1703</v>
      </c>
    </row>
    <row r="3993" spans="1:12">
      <c r="A3993" s="20" t="s">
        <v>1455</v>
      </c>
      <c r="E3993" s="21">
        <f>IF(D3993="?OLD","!!!","")</f>
        <v/>
      </c>
      <c r="F3993" s="22" t="str">
        <f>IF(OR(E3993="",E3993="!!!"),"",IF(NOT(ISNA(VLOOKUP(E3993,E$1:E3992,1,FALSE()))),"OLD",IF(AND(E3993&lt;&gt;"",E3993&lt;&gt;"!!!"),"NEW","")))</f>
        <v> </v>
      </c>
      <c r="G3993" s="23" t="str">
        <f>IF(OR(E3993="",E3993="!!!"),"",IF(OR(J3993=0,AND(J3993=1,K3993=1),AND(J3993=1,I3993="SBJ"),AND(J3993=1,I3993=0)),"?IN_FOCUS",IF(J3993&lt;=2,"?ACTIVATED",IF(J3993&lt;&gt;"","?FAMILIAR",IF(F3993="NEW",IF(ISNA(VLOOKUP(E3993,#REF!,1,FALSE())),"?TYPE_IDENTIFIABLE","?REFERENTIAL"),"_")))))</f>
        <v> </v>
      </c>
      <c r="H3993" s="24" t="str">
        <f>IF(J3993&lt;&gt;1,"",IF(I3993="SBJ","CB","?"))</f>
        <v> </v>
      </c>
      <c r="I3993" s="25" t="str">
        <f>IF(OR(E3993="",E3993="!!!",F3993="NEW"),"",INDEX(B3992:B$2,-1+SUMPRODUCT(MAX(ROW(E3992:E$2)*(E3993=E3992:E$2)))))</f>
        <v> </v>
      </c>
      <c r="J3993" s="25" t="str">
        <f>IF(OR(E3993="",E3993="!!!",F3993="NEW"),"",COUNTBLANK(OFFSET(A$1,,,SUMPRODUCT(MAX(ROW(E$2:E3993)*(E3993=E$2:E3993)))))-COUNTBLANK(OFFSET(A$1,,,SUMPRODUCT(MAX(ROW(E$1:E3992)*(E2=E$1:E3992))))))</f>
        <v> </v>
      </c>
      <c r="K3993" s="25" t="str">
        <f>IF(OR(E3993="",E3993="!!!",F3993="NEW"),"",INDEX(J$1:J3992,SUMPRODUCT(MAX(ROW(E$1:E3992)*(E3993=E$1:E3992)))))</f>
        <v> </v>
      </c>
      <c r="L3993" s="26"/>
    </row>
    <row r="3994" spans="1:12">
      <c r="A3994" s="20" t="s">
        <v>885</v>
      </c>
      <c r="B3994" s="27" t="s">
        <v>823</v>
      </c>
      <c r="C3994" s="27" t="s">
        <v>707</v>
      </c>
      <c r="D3994" s="27" t="s">
        <v>694</v>
      </c>
      <c r="E3994" s="21">
        <f>IF(D3994="?OLD","!!!","")</f>
        <v/>
      </c>
      <c r="F3994" s="22" t="str">
        <f>IF(OR(E3994="",E3994="!!!"),"",IF(NOT(ISNA(VLOOKUP(E3994,E$1:E3993,1,FALSE()))),"OLD",IF(AND(E3994&lt;&gt;"",E3994&lt;&gt;"!!!"),"NEW","")))</f>
        <v> </v>
      </c>
      <c r="G3994" s="23" t="str">
        <f>IF(OR(E3994="",E3994="!!!"),"",IF(OR(J3994=0,AND(J3994=1,K3994=1),AND(J3994=1,I3994="SBJ"),AND(J3994=1,I3994=0)),"?IN_FOCUS",IF(J3994&lt;=2,"?ACTIVATED",IF(J3994&lt;&gt;"","?FAMILIAR",IF(F3994="NEW",IF(ISNA(VLOOKUP(E3994,#REF!,1,FALSE())),"?TYPE_IDENTIFIABLE","?REFERENTIAL"),"_")))))</f>
        <v> </v>
      </c>
      <c r="H3994" s="24" t="str">
        <f>IF(J3994&lt;&gt;1,"",IF(I3994="SBJ","CB","?"))</f>
        <v> </v>
      </c>
      <c r="I3994" s="25" t="str">
        <f>IF(OR(E3994="",E3994="!!!",F3994="NEW"),"",INDEX(B3993:B$2,-1+SUMPRODUCT(MAX(ROW(E3993:E$2)*(E3994=E3993:E$2)))))</f>
        <v> </v>
      </c>
      <c r="J3994" s="25" t="str">
        <f>IF(OR(E3994="",E3994="!!!",F3994="NEW"),"",COUNTBLANK(OFFSET(A$1,,,SUMPRODUCT(MAX(ROW(E$2:E3994)*(E3994=E$2:E3994)))))-COUNTBLANK(OFFSET(A$1,,,SUMPRODUCT(MAX(ROW(E$1:E3993)*(E2=E$1:E3993))))))</f>
        <v> </v>
      </c>
      <c r="K3994" s="25" t="str">
        <f>IF(OR(E3994="",E3994="!!!",F3994="NEW"),"",INDEX(J$1:J3993,SUMPRODUCT(MAX(ROW(E$1:E3993)*(E3994=E$1:E3993)))))</f>
        <v> </v>
      </c>
      <c r="L3994" s="26"/>
    </row>
    <row r="3995" spans="1:12">
      <c r="A3995" s="20" t="s">
        <v>1704</v>
      </c>
      <c r="E3995" s="21">
        <f>IF(D3995="?OLD","!!!","")</f>
        <v/>
      </c>
      <c r="F3995" s="22" t="str">
        <f>IF(OR(E3995="",E3995="!!!"),"",IF(NOT(ISNA(VLOOKUP(E3995,E$1:E3994,1,FALSE()))),"OLD",IF(AND(E3995&lt;&gt;"",E3995&lt;&gt;"!!!"),"NEW","")))</f>
        <v> </v>
      </c>
      <c r="G3995" s="23" t="str">
        <f>IF(OR(E3995="",E3995="!!!"),"",IF(OR(J3995=0,AND(J3995=1,K3995=1),AND(J3995=1,I3995="SBJ"),AND(J3995=1,I3995=0)),"?IN_FOCUS",IF(J3995&lt;=2,"?ACTIVATED",IF(J3995&lt;&gt;"","?FAMILIAR",IF(F3995="NEW",IF(ISNA(VLOOKUP(E3995,#REF!,1,FALSE())),"?TYPE_IDENTIFIABLE","?REFERENTIAL"),"_")))))</f>
        <v> </v>
      </c>
      <c r="H3995" s="24" t="str">
        <f>IF(J3995&lt;&gt;1,"",IF(I3995="SBJ","CB","?"))</f>
        <v> </v>
      </c>
      <c r="I3995" s="25" t="str">
        <f>IF(OR(E3995="",E3995="!!!",F3995="NEW"),"",INDEX(B3994:B$2,-1+SUMPRODUCT(MAX(ROW(E3994:E$2)*(E3995=E3994:E$2)))))</f>
        <v> </v>
      </c>
      <c r="J3995" s="25" t="str">
        <f>IF(OR(E3995="",E3995="!!!",F3995="NEW"),"",COUNTBLANK(OFFSET(A$1,,,SUMPRODUCT(MAX(ROW(E$2:E3995)*(E3995=E$2:E3995)))))-COUNTBLANK(OFFSET(A$1,,,SUMPRODUCT(MAX(ROW(E$1:E3994)*(E2=E$1:E3994))))))</f>
        <v> </v>
      </c>
      <c r="K3995" s="25" t="str">
        <f>IF(OR(E3995="",E3995="!!!",F3995="NEW"),"",INDEX(J$1:J3994,SUMPRODUCT(MAX(ROW(E$1:E3994)*(E3995=E$1:E3994)))))</f>
        <v> </v>
      </c>
      <c r="L3995" s="26"/>
    </row>
    <row r="3996" spans="1:12">
      <c r="A3996" s="20" t="s">
        <v>696</v>
      </c>
      <c r="E3996" s="21">
        <f>IF(D3996="?OLD","!!!","")</f>
        <v/>
      </c>
      <c r="F3996" s="22" t="str">
        <f>IF(OR(E3996="",E3996="!!!"),"",IF(NOT(ISNA(VLOOKUP(E3996,E$1:E3995,1,FALSE()))),"OLD",IF(AND(E3996&lt;&gt;"",E3996&lt;&gt;"!!!"),"NEW","")))</f>
        <v> </v>
      </c>
      <c r="G3996" s="23" t="str">
        <f>IF(OR(E3996="",E3996="!!!"),"",IF(OR(J3996=0,AND(J3996=1,K3996=1),AND(J3996=1,I3996="SBJ"),AND(J3996=1,I3996=0)),"?IN_FOCUS",IF(J3996&lt;=2,"?ACTIVATED",IF(J3996&lt;&gt;"","?FAMILIAR",IF(F3996="NEW",IF(ISNA(VLOOKUP(E3996,#REF!,1,FALSE())),"?TYPE_IDENTIFIABLE","?REFERENTIAL"),"_")))))</f>
        <v> </v>
      </c>
      <c r="H3996" s="24" t="str">
        <f>IF(J3996&lt;&gt;1,"",IF(I3996="SBJ","CB","?"))</f>
        <v> </v>
      </c>
      <c r="I3996" s="25" t="str">
        <f>IF(OR(E3996="",E3996="!!!",F3996="NEW"),"",INDEX(B3995:B$2,-1+SUMPRODUCT(MAX(ROW(E3995:E$2)*(E3996=E3995:E$2)))))</f>
        <v> </v>
      </c>
      <c r="J3996" s="25" t="str">
        <f>IF(OR(E3996="",E3996="!!!",F3996="NEW"),"",COUNTBLANK(OFFSET(A$1,,,SUMPRODUCT(MAX(ROW(E$2:E3996)*(E3996=E$2:E3996)))))-COUNTBLANK(OFFSET(A$1,,,SUMPRODUCT(MAX(ROW(E$1:E3995)*(E2=E$1:E3995))))))</f>
        <v> </v>
      </c>
      <c r="K3996" s="25" t="str">
        <f>IF(OR(E3996="",E3996="!!!",F3996="NEW"),"",INDEX(J$1:J3995,SUMPRODUCT(MAX(ROW(E$1:E3995)*(E3996=E$1:E3995)))))</f>
        <v> </v>
      </c>
      <c r="L3996" s="26"/>
    </row>
    <row r="3997" spans="1:12">
      <c r="A3997" s="20" t="s">
        <v>690</v>
      </c>
      <c r="E3997" s="21">
        <f>IF(D3997="?OLD","!!!","")</f>
        <v/>
      </c>
      <c r="F3997" s="22" t="str">
        <f>IF(OR(E3997="",E3997="!!!"),"",IF(NOT(ISNA(VLOOKUP(E3997,E$1:E3996,1,FALSE()))),"OLD",IF(AND(E3997&lt;&gt;"",E3997&lt;&gt;"!!!"),"NEW","")))</f>
        <v> </v>
      </c>
      <c r="G3997" s="23" t="str">
        <f>IF(OR(E3997="",E3997="!!!"),"",IF(OR(J3997=0,AND(J3997=1,K3997=1),AND(J3997=1,I3997="SBJ"),AND(J3997=1,I3997=0)),"?IN_FOCUS",IF(J3997&lt;=2,"?ACTIVATED",IF(J3997&lt;&gt;"","?FAMILIAR",IF(F3997="NEW",IF(ISNA(VLOOKUP(E3997,#REF!,1,FALSE())),"?TYPE_IDENTIFIABLE","?REFERENTIAL"),"_")))))</f>
        <v> </v>
      </c>
      <c r="H3997" s="24" t="str">
        <f>IF(J3997&lt;&gt;1,"",IF(I3997="SBJ","CB","?"))</f>
        <v> </v>
      </c>
      <c r="I3997" s="25" t="str">
        <f>IF(OR(E3997="",E3997="!!!",F3997="NEW"),"",INDEX(B3996:B$2,-1+SUMPRODUCT(MAX(ROW(E3996:E$2)*(E3997=E3996:E$2)))))</f>
        <v> </v>
      </c>
      <c r="J3997" s="25" t="str">
        <f>IF(OR(E3997="",E3997="!!!",F3997="NEW"),"",COUNTBLANK(OFFSET(A$1,,,SUMPRODUCT(MAX(ROW(E$2:E3997)*(E3997=E$2:E3997)))))-COUNTBLANK(OFFSET(A$1,,,SUMPRODUCT(MAX(ROW(E$1:E3996)*(E2=E$1:E3996))))))</f>
        <v> </v>
      </c>
      <c r="K3997" s="25" t="str">
        <f>IF(OR(E3997="",E3997="!!!",F3997="NEW"),"",INDEX(J$1:J3996,SUMPRODUCT(MAX(ROW(E$1:E3996)*(E3997=E$1:E3996)))))</f>
        <v> </v>
      </c>
      <c r="L3997" s="26"/>
    </row>
    <row r="3998" spans="1:12">
      <c r="A3998" s="20" t="s">
        <v>1705</v>
      </c>
      <c r="B3998" s="27" t="s">
        <v>737</v>
      </c>
      <c r="C3998" s="27" t="s">
        <v>693</v>
      </c>
      <c r="D3998" s="27" t="s">
        <v>694</v>
      </c>
      <c r="E3998" s="21">
        <f>IF(D3998="?OLD","!!!","")</f>
        <v/>
      </c>
      <c r="F3998" s="22" t="str">
        <f>IF(OR(E3998="",E3998="!!!"),"",IF(NOT(ISNA(VLOOKUP(E3998,E$1:E3997,1,FALSE()))),"OLD",IF(AND(E3998&lt;&gt;"",E3998&lt;&gt;"!!!"),"NEW","")))</f>
        <v> </v>
      </c>
      <c r="G3998" s="23" t="str">
        <f>IF(OR(E3998="",E3998="!!!"),"",IF(OR(J3998=0,AND(J3998=1,K3998=1),AND(J3998=1,I3998="SBJ"),AND(J3998=1,I3998=0)),"?IN_FOCUS",IF(J3998&lt;=2,"?ACTIVATED",IF(J3998&lt;&gt;"","?FAMILIAR",IF(F3998="NEW",IF(ISNA(VLOOKUP(E3998,#REF!,1,FALSE())),"?TYPE_IDENTIFIABLE","?REFERENTIAL"),"_")))))</f>
        <v> </v>
      </c>
      <c r="H3998" s="24" t="str">
        <f>IF(J3998&lt;&gt;1,"",IF(I3998="SBJ","CB","?"))</f>
        <v> </v>
      </c>
      <c r="I3998" s="25" t="str">
        <f>IF(OR(E3998="",E3998="!!!",F3998="NEW"),"",INDEX(B3997:B$2,-1+SUMPRODUCT(MAX(ROW(E3997:E$2)*(E3998=E3997:E$2)))))</f>
        <v> </v>
      </c>
      <c r="J3998" s="25" t="str">
        <f>IF(OR(E3998="",E3998="!!!",F3998="NEW"),"",COUNTBLANK(OFFSET(A$1,,,SUMPRODUCT(MAX(ROW(E$2:E3998)*(E3998=E$2:E3998)))))-COUNTBLANK(OFFSET(A$1,,,SUMPRODUCT(MAX(ROW(E$1:E3997)*(E2=E$1:E3997))))))</f>
        <v> </v>
      </c>
      <c r="K3998" s="25" t="str">
        <f>IF(OR(E3998="",E3998="!!!",F3998="NEW"),"",INDEX(J$1:J3997,SUMPRODUCT(MAX(ROW(E$1:E3997)*(E3998=E$1:E3997)))))</f>
        <v> </v>
      </c>
      <c r="L3998" s="26"/>
    </row>
    <row r="3999" spans="1:12">
      <c r="A3999" s="20" t="s">
        <v>718</v>
      </c>
      <c r="E3999" s="21">
        <f>IF(D3999="?OLD","!!!","")</f>
        <v/>
      </c>
      <c r="F3999" s="22" t="str">
        <f>IF(OR(E3999="",E3999="!!!"),"",IF(NOT(ISNA(VLOOKUP(E3999,E$1:E3998,1,FALSE()))),"OLD",IF(AND(E3999&lt;&gt;"",E3999&lt;&gt;"!!!"),"NEW","")))</f>
        <v> </v>
      </c>
      <c r="G3999" s="23" t="str">
        <f>IF(OR(E3999="",E3999="!!!"),"",IF(OR(J3999=0,AND(J3999=1,K3999=1),AND(J3999=1,I3999="SBJ"),AND(J3999=1,I3999=0)),"?IN_FOCUS",IF(J3999&lt;=2,"?ACTIVATED",IF(J3999&lt;&gt;"","?FAMILIAR",IF(F3999="NEW",IF(ISNA(VLOOKUP(E3999,#REF!,1,FALSE())),"?TYPE_IDENTIFIABLE","?REFERENTIAL"),"_")))))</f>
        <v> </v>
      </c>
      <c r="H3999" s="24" t="str">
        <f>IF(J3999&lt;&gt;1,"",IF(I3999="SBJ","CB","?"))</f>
        <v> </v>
      </c>
      <c r="I3999" s="25" t="str">
        <f>IF(OR(E3999="",E3999="!!!",F3999="NEW"),"",INDEX(B3998:B$2,-1+SUMPRODUCT(MAX(ROW(E3998:E$2)*(E3999=E3998:E$2)))))</f>
        <v> </v>
      </c>
      <c r="J3999" s="25" t="str">
        <f>IF(OR(E3999="",E3999="!!!",F3999="NEW"),"",COUNTBLANK(OFFSET(A$1,,,SUMPRODUCT(MAX(ROW(E$2:E3999)*(E3999=E$2:E3999)))))-COUNTBLANK(OFFSET(A$1,,,SUMPRODUCT(MAX(ROW(E$1:E3998)*(E2=E$1:E3998))))))</f>
        <v> </v>
      </c>
      <c r="K3999" s="25" t="str">
        <f>IF(OR(E3999="",E3999="!!!",F3999="NEW"),"",INDEX(J$1:J3998,SUMPRODUCT(MAX(ROW(E$1:E3998)*(E3999=E$1:E3998)))))</f>
        <v> </v>
      </c>
      <c r="L3999" s="26"/>
    </row>
    <row r="4000" spans="1:12">
      <c r="A4000" s="20" t="s">
        <v>787</v>
      </c>
      <c r="E4000" s="21">
        <f>IF(D4000="?OLD","!!!","")</f>
        <v/>
      </c>
      <c r="F4000" s="22" t="str">
        <f>IF(OR(E4000="",E4000="!!!"),"",IF(NOT(ISNA(VLOOKUP(E4000,E$1:E3999,1,FALSE()))),"OLD",IF(AND(E4000&lt;&gt;"",E4000&lt;&gt;"!!!"),"NEW","")))</f>
        <v> </v>
      </c>
      <c r="G4000" s="23" t="str">
        <f>IF(OR(E4000="",E4000="!!!"),"",IF(OR(J4000=0,AND(J4000=1,K4000=1),AND(J4000=1,I4000="SBJ"),AND(J4000=1,I4000=0)),"?IN_FOCUS",IF(J4000&lt;=2,"?ACTIVATED",IF(J4000&lt;&gt;"","?FAMILIAR",IF(F4000="NEW",IF(ISNA(VLOOKUP(E4000,#REF!,1,FALSE())),"?TYPE_IDENTIFIABLE","?REFERENTIAL"),"_")))))</f>
        <v> </v>
      </c>
      <c r="H4000" s="24" t="str">
        <f>IF(J4000&lt;&gt;1,"",IF(I4000="SBJ","CB","?"))</f>
        <v> </v>
      </c>
      <c r="I4000" s="25" t="str">
        <f>IF(OR(E4000="",E4000="!!!",F4000="NEW"),"",INDEX(B3999:B$2,-1+SUMPRODUCT(MAX(ROW(E3999:E$2)*(E4000=E3999:E$2)))))</f>
        <v> </v>
      </c>
      <c r="J4000" s="25" t="str">
        <f>IF(OR(E4000="",E4000="!!!",F4000="NEW"),"",COUNTBLANK(OFFSET(A$1,,,SUMPRODUCT(MAX(ROW(E$2:E4000)*(E4000=E$2:E4000)))))-COUNTBLANK(OFFSET(A$1,,,SUMPRODUCT(MAX(ROW(E$1:E3999)*(E2=E$1:E3999))))))</f>
        <v> </v>
      </c>
      <c r="K4000" s="25" t="str">
        <f>IF(OR(E4000="",E4000="!!!",F4000="NEW"),"",INDEX(J$1:J3999,SUMPRODUCT(MAX(ROW(E$1:E3999)*(E4000=E$1:E3999)))))</f>
        <v> </v>
      </c>
      <c r="L4000" s="26"/>
    </row>
    <row r="4001" spans="1:12">
      <c r="A4001" s="20" t="s">
        <v>1706</v>
      </c>
      <c r="B4001" s="27" t="s">
        <v>737</v>
      </c>
      <c r="C4001" s="27" t="s">
        <v>788</v>
      </c>
      <c r="D4001" s="27" t="s">
        <v>694</v>
      </c>
      <c r="E4001" s="21">
        <f>IF(D4001="?OLD","!!!","")</f>
        <v/>
      </c>
      <c r="F4001" s="22" t="str">
        <f>IF(OR(E4001="",E4001="!!!"),"",IF(NOT(ISNA(VLOOKUP(E4001,E$1:E4000,1,FALSE()))),"OLD",IF(AND(E4001&lt;&gt;"",E4001&lt;&gt;"!!!"),"NEW","")))</f>
        <v> </v>
      </c>
      <c r="G4001" s="23" t="str">
        <f>IF(OR(E4001="",E4001="!!!"),"",IF(OR(J4001=0,AND(J4001=1,K4001=1),AND(J4001=1,I4001="SBJ"),AND(J4001=1,I4001=0)),"?IN_FOCUS",IF(J4001&lt;=2,"?ACTIVATED",IF(J4001&lt;&gt;"","?FAMILIAR",IF(F4001="NEW",IF(ISNA(VLOOKUP(E4001,#REF!,1,FALSE())),"?TYPE_IDENTIFIABLE","?REFERENTIAL"),"_")))))</f>
        <v> </v>
      </c>
      <c r="H4001" s="24" t="str">
        <f>IF(J4001&lt;&gt;1,"",IF(I4001="SBJ","CB","?"))</f>
        <v> </v>
      </c>
      <c r="I4001" s="25" t="str">
        <f>IF(OR(E4001="",E4001="!!!",F4001="NEW"),"",INDEX(B4000:B$2,-1+SUMPRODUCT(MAX(ROW(E4000:E$2)*(E4001=E4000:E$2)))))</f>
        <v> </v>
      </c>
      <c r="J4001" s="25" t="str">
        <f>IF(OR(E4001="",E4001="!!!",F4001="NEW"),"",COUNTBLANK(OFFSET(A$1,,,SUMPRODUCT(MAX(ROW(E$2:E4001)*(E4001=E$2:E4001)))))-COUNTBLANK(OFFSET(A$1,,,SUMPRODUCT(MAX(ROW(E$1:E4000)*(E2=E$1:E4000))))))</f>
        <v> </v>
      </c>
      <c r="K4001" s="25" t="str">
        <f>IF(OR(E4001="",E4001="!!!",F4001="NEW"),"",INDEX(J$1:J4000,SUMPRODUCT(MAX(ROW(E$1:E4000)*(E4001=E$1:E4000)))))</f>
        <v> </v>
      </c>
      <c r="L4001" s="26"/>
    </row>
    <row r="4002" spans="1:12">
      <c r="A4002" s="20" t="s">
        <v>725</v>
      </c>
      <c r="E4002" s="21">
        <f>IF(D4002="?OLD","!!!","")</f>
        <v/>
      </c>
      <c r="F4002" s="22" t="str">
        <f>IF(OR(E4002="",E4002="!!!"),"",IF(NOT(ISNA(VLOOKUP(E4002,E$1:E4001,1,FALSE()))),"OLD",IF(AND(E4002&lt;&gt;"",E4002&lt;&gt;"!!!"),"NEW","")))</f>
        <v> </v>
      </c>
      <c r="G4002" s="23" t="str">
        <f>IF(OR(E4002="",E4002="!!!"),"",IF(OR(J4002=0,AND(J4002=1,K4002=1),AND(J4002=1,I4002="SBJ"),AND(J4002=1,I4002=0)),"?IN_FOCUS",IF(J4002&lt;=2,"?ACTIVATED",IF(J4002&lt;&gt;"","?FAMILIAR",IF(F4002="NEW",IF(ISNA(VLOOKUP(E4002,#REF!,1,FALSE())),"?TYPE_IDENTIFIABLE","?REFERENTIAL"),"_")))))</f>
        <v> </v>
      </c>
      <c r="H4002" s="24" t="str">
        <f>IF(J4002&lt;&gt;1,"",IF(I4002="SBJ","CB","?"))</f>
        <v> </v>
      </c>
      <c r="I4002" s="25" t="str">
        <f>IF(OR(E4002="",E4002="!!!",F4002="NEW"),"",INDEX(B4001:B$2,-1+SUMPRODUCT(MAX(ROW(E4001:E$2)*(E4002=E4001:E$2)))))</f>
        <v> </v>
      </c>
      <c r="J4002" s="25" t="str">
        <f>IF(OR(E4002="",E4002="!!!",F4002="NEW"),"",COUNTBLANK(OFFSET(A$1,,,SUMPRODUCT(MAX(ROW(E$2:E4002)*(E4002=E$2:E4002)))))-COUNTBLANK(OFFSET(A$1,,,SUMPRODUCT(MAX(ROW(E$1:E4001)*(E2=E$1:E4001))))))</f>
        <v> </v>
      </c>
      <c r="K4002" s="25" t="str">
        <f>IF(OR(E4002="",E4002="!!!",F4002="NEW"),"",INDEX(J$1:J4001,SUMPRODUCT(MAX(ROW(E$1:E4001)*(E4002=E$1:E4001)))))</f>
        <v> </v>
      </c>
      <c r="L4002" s="26"/>
    </row>
    <row r="4003" spans="1:12">
      <c r="A4003" s="20" t="s">
        <v>1111</v>
      </c>
      <c r="B4003" s="27" t="s">
        <v>692</v>
      </c>
      <c r="C4003" s="27" t="s">
        <v>733</v>
      </c>
      <c r="D4003" s="27" t="s">
        <v>694</v>
      </c>
      <c r="E4003" s="21">
        <f>IF(D4003="?OLD","!!!","")</f>
        <v/>
      </c>
      <c r="F4003" s="22" t="str">
        <f>IF(OR(E4003="",E4003="!!!"),"",IF(NOT(ISNA(VLOOKUP(E4003,E$1:E4002,1,FALSE()))),"OLD",IF(AND(E4003&lt;&gt;"",E4003&lt;&gt;"!!!"),"NEW","")))</f>
        <v> </v>
      </c>
      <c r="G4003" s="23" t="str">
        <f>IF(OR(E4003="",E4003="!!!"),"",IF(OR(J4003=0,AND(J4003=1,K4003=1),AND(J4003=1,I4003="SBJ"),AND(J4003=1,I4003=0)),"?IN_FOCUS",IF(J4003&lt;=2,"?ACTIVATED",IF(J4003&lt;&gt;"","?FAMILIAR",IF(F4003="NEW",IF(ISNA(VLOOKUP(E4003,#REF!,1,FALSE())),"?TYPE_IDENTIFIABLE","?REFERENTIAL"),"_")))))</f>
        <v> </v>
      </c>
      <c r="H4003" s="24" t="str">
        <f>IF(J4003&lt;&gt;1,"",IF(I4003="SBJ","CB","?"))</f>
        <v> </v>
      </c>
      <c r="I4003" s="25" t="str">
        <f>IF(OR(E4003="",E4003="!!!",F4003="NEW"),"",INDEX(B4002:B$2,-1+SUMPRODUCT(MAX(ROW(E4002:E$2)*(E4003=E4002:E$2)))))</f>
        <v> </v>
      </c>
      <c r="J4003" s="25" t="str">
        <f>IF(OR(E4003="",E4003="!!!",F4003="NEW"),"",COUNTBLANK(OFFSET(A$1,,,SUMPRODUCT(MAX(ROW(E$2:E4003)*(E4003=E$2:E4003)))))-COUNTBLANK(OFFSET(A$1,,,SUMPRODUCT(MAX(ROW(E$1:E4002)*(E2=E$1:E4002))))))</f>
        <v> </v>
      </c>
      <c r="K4003" s="25" t="str">
        <f>IF(OR(E4003="",E4003="!!!",F4003="NEW"),"",INDEX(J$1:J4002,SUMPRODUCT(MAX(ROW(E$1:E4002)*(E4003=E$1:E4002)))))</f>
        <v> </v>
      </c>
      <c r="L4003" s="26"/>
    </row>
    <row r="4004" spans="1:12">
      <c r="A4004" s="20" t="s">
        <v>1343</v>
      </c>
      <c r="E4004" s="21">
        <f>IF(D4004="?OLD","!!!","")</f>
        <v/>
      </c>
      <c r="F4004" s="22" t="str">
        <f>IF(OR(E4004="",E4004="!!!"),"",IF(NOT(ISNA(VLOOKUP(E4004,E$1:E4003,1,FALSE()))),"OLD",IF(AND(E4004&lt;&gt;"",E4004&lt;&gt;"!!!"),"NEW","")))</f>
        <v> </v>
      </c>
      <c r="G4004" s="23" t="str">
        <f>IF(OR(E4004="",E4004="!!!"),"",IF(OR(J4004=0,AND(J4004=1,K4004=1),AND(J4004=1,I4004="SBJ"),AND(J4004=1,I4004=0)),"?IN_FOCUS",IF(J4004&lt;=2,"?ACTIVATED",IF(J4004&lt;&gt;"","?FAMILIAR",IF(F4004="NEW",IF(ISNA(VLOOKUP(E4004,#REF!,1,FALSE())),"?TYPE_IDENTIFIABLE","?REFERENTIAL"),"_")))))</f>
        <v> </v>
      </c>
      <c r="H4004" s="24" t="str">
        <f>IF(J4004&lt;&gt;1,"",IF(I4004="SBJ","CB","?"))</f>
        <v> </v>
      </c>
      <c r="I4004" s="25" t="str">
        <f>IF(OR(E4004="",E4004="!!!",F4004="NEW"),"",INDEX(B4003:B$2,-1+SUMPRODUCT(MAX(ROW(E4003:E$2)*(E4004=E4003:E$2)))))</f>
        <v> </v>
      </c>
      <c r="J4004" s="25" t="str">
        <f>IF(OR(E4004="",E4004="!!!",F4004="NEW"),"",COUNTBLANK(OFFSET(A$1,,,SUMPRODUCT(MAX(ROW(E$2:E4004)*(E4004=E$2:E4004)))))-COUNTBLANK(OFFSET(A$1,,,SUMPRODUCT(MAX(ROW(E$1:E4003)*(E2=E$1:E4003))))))</f>
        <v> </v>
      </c>
      <c r="K4004" s="25" t="str">
        <f>IF(OR(E4004="",E4004="!!!",F4004="NEW"),"",INDEX(J$1:J4003,SUMPRODUCT(MAX(ROW(E$1:E4003)*(E4004=E$1:E4003)))))</f>
        <v> </v>
      </c>
      <c r="L4004" s="26"/>
    </row>
    <row r="4005" spans="1:12">
      <c r="A4005" s="20" t="s">
        <v>829</v>
      </c>
      <c r="E4005" s="21">
        <f>IF(D4005="?OLD","!!!","")</f>
        <v/>
      </c>
      <c r="F4005" s="22" t="str">
        <f>IF(OR(E4005="",E4005="!!!"),"",IF(NOT(ISNA(VLOOKUP(E4005,E$1:E4004,1,FALSE()))),"OLD",IF(AND(E4005&lt;&gt;"",E4005&lt;&gt;"!!!"),"NEW","")))</f>
        <v> </v>
      </c>
      <c r="G4005" s="23" t="str">
        <f>IF(OR(E4005="",E4005="!!!"),"",IF(OR(J4005=0,AND(J4005=1,K4005=1),AND(J4005=1,I4005="SBJ"),AND(J4005=1,I4005=0)),"?IN_FOCUS",IF(J4005&lt;=2,"?ACTIVATED",IF(J4005&lt;&gt;"","?FAMILIAR",IF(F4005="NEW",IF(ISNA(VLOOKUP(E4005,#REF!,1,FALSE())),"?TYPE_IDENTIFIABLE","?REFERENTIAL"),"_")))))</f>
        <v> </v>
      </c>
      <c r="H4005" s="24" t="str">
        <f>IF(J4005&lt;&gt;1,"",IF(I4005="SBJ","CB","?"))</f>
        <v> </v>
      </c>
      <c r="I4005" s="25" t="str">
        <f>IF(OR(E4005="",E4005="!!!",F4005="NEW"),"",INDEX(B4004:B$2,-1+SUMPRODUCT(MAX(ROW(E4004:E$2)*(E4005=E4004:E$2)))))</f>
        <v> </v>
      </c>
      <c r="J4005" s="25" t="str">
        <f>IF(OR(E4005="",E4005="!!!",F4005="NEW"),"",COUNTBLANK(OFFSET(A$1,,,SUMPRODUCT(MAX(ROW(E$2:E4005)*(E4005=E$2:E4005)))))-COUNTBLANK(OFFSET(A$1,,,SUMPRODUCT(MAX(ROW(E$1:E4004)*(E2=E$1:E4004))))))</f>
        <v> </v>
      </c>
      <c r="K4005" s="25" t="str">
        <f>IF(OR(E4005="",E4005="!!!",F4005="NEW"),"",INDEX(J$1:J4004,SUMPRODUCT(MAX(ROW(E$1:E4004)*(E4005=E$1:E4004)))))</f>
        <v> </v>
      </c>
      <c r="L4005" s="26"/>
    </row>
    <row r="4006" spans="1:12">
      <c r="A4006" s="20" t="s">
        <v>1707</v>
      </c>
      <c r="B4006" s="27" t="s">
        <v>706</v>
      </c>
      <c r="C4006" s="27" t="s">
        <v>693</v>
      </c>
      <c r="D4006" s="27" t="s">
        <v>694</v>
      </c>
      <c r="E4006" s="21">
        <f>IF(D4006="?OLD","!!!","")</f>
        <v/>
      </c>
      <c r="F4006" s="22" t="str">
        <f>IF(OR(E4006="",E4006="!!!"),"",IF(NOT(ISNA(VLOOKUP(E4006,E$1:E4005,1,FALSE()))),"OLD",IF(AND(E4006&lt;&gt;"",E4006&lt;&gt;"!!!"),"NEW","")))</f>
        <v> </v>
      </c>
      <c r="G4006" s="23" t="str">
        <f>IF(OR(E4006="",E4006="!!!"),"",IF(OR(J4006=0,AND(J4006=1,K4006=1),AND(J4006=1,I4006="SBJ"),AND(J4006=1,I4006=0)),"?IN_FOCUS",IF(J4006&lt;=2,"?ACTIVATED",IF(J4006&lt;&gt;"","?FAMILIAR",IF(F4006="NEW",IF(ISNA(VLOOKUP(E4006,#REF!,1,FALSE())),"?TYPE_IDENTIFIABLE","?REFERENTIAL"),"_")))))</f>
        <v> </v>
      </c>
      <c r="H4006" s="24" t="str">
        <f>IF(J4006&lt;&gt;1,"",IF(I4006="SBJ","CB","?"))</f>
        <v> </v>
      </c>
      <c r="I4006" s="25" t="str">
        <f>IF(OR(E4006="",E4006="!!!",F4006="NEW"),"",INDEX(B4005:B$2,-1+SUMPRODUCT(MAX(ROW(E4005:E$2)*(E4006=E4005:E$2)))))</f>
        <v> </v>
      </c>
      <c r="J4006" s="25" t="str">
        <f>IF(OR(E4006="",E4006="!!!",F4006="NEW"),"",COUNTBLANK(OFFSET(A$1,,,SUMPRODUCT(MAX(ROW(E$2:E4006)*(E4006=E$2:E4006)))))-COUNTBLANK(OFFSET(A$1,,,SUMPRODUCT(MAX(ROW(E$1:E4005)*(E2=E$1:E4005))))))</f>
        <v> </v>
      </c>
      <c r="K4006" s="25" t="str">
        <f>IF(OR(E4006="",E4006="!!!",F4006="NEW"),"",INDEX(J$1:J4005,SUMPRODUCT(MAX(ROW(E$1:E4005)*(E4006=E$1:E4005)))))</f>
        <v> </v>
      </c>
      <c r="L4006" s="26"/>
    </row>
    <row r="4007" spans="1:12">
      <c r="A4007" s="20" t="s">
        <v>773</v>
      </c>
      <c r="E4007" s="21">
        <f>IF(D4007="?OLD","!!!","")</f>
        <v/>
      </c>
      <c r="F4007" s="22" t="str">
        <f>IF(OR(E4007="",E4007="!!!"),"",IF(NOT(ISNA(VLOOKUP(E4007,E$1:E4006,1,FALSE()))),"OLD",IF(AND(E4007&lt;&gt;"",E4007&lt;&gt;"!!!"),"NEW","")))</f>
        <v> </v>
      </c>
      <c r="G4007" s="23" t="str">
        <f>IF(OR(E4007="",E4007="!!!"),"",IF(OR(J4007=0,AND(J4007=1,K4007=1),AND(J4007=1,I4007="SBJ"),AND(J4007=1,I4007=0)),"?IN_FOCUS",IF(J4007&lt;=2,"?ACTIVATED",IF(J4007&lt;&gt;"","?FAMILIAR",IF(F4007="NEW",IF(ISNA(VLOOKUP(E4007,#REF!,1,FALSE())),"?TYPE_IDENTIFIABLE","?REFERENTIAL"),"_")))))</f>
        <v> </v>
      </c>
      <c r="H4007" s="24" t="str">
        <f>IF(J4007&lt;&gt;1,"",IF(I4007="SBJ","CB","?"))</f>
        <v> </v>
      </c>
      <c r="I4007" s="25" t="str">
        <f>IF(OR(E4007="",E4007="!!!",F4007="NEW"),"",INDEX(B4006:B$2,-1+SUMPRODUCT(MAX(ROW(E4006:E$2)*(E4007=E4006:E$2)))))</f>
        <v> </v>
      </c>
      <c r="J4007" s="25" t="str">
        <f>IF(OR(E4007="",E4007="!!!",F4007="NEW"),"",COUNTBLANK(OFFSET(A$1,,,SUMPRODUCT(MAX(ROW(E$2:E4007)*(E4007=E$2:E4007)))))-COUNTBLANK(OFFSET(A$1,,,SUMPRODUCT(MAX(ROW(E$1:E4006)*(E2=E$1:E4006))))))</f>
        <v> </v>
      </c>
      <c r="K4007" s="25" t="str">
        <f>IF(OR(E4007="",E4007="!!!",F4007="NEW"),"",INDEX(J$1:J4006,SUMPRODUCT(MAX(ROW(E$1:E4006)*(E4007=E$1:E4006)))))</f>
        <v> </v>
      </c>
      <c r="L4007" s="26"/>
    </row>
    <row r="4008" spans="1:12">
      <c r="A4008" s="20" t="s">
        <v>84</v>
      </c>
      <c r="E4008" s="21">
        <f>IF(D4008="?OLD","!!!","")</f>
        <v/>
      </c>
      <c r="F4008" s="22" t="str">
        <f>IF(OR(E4008="",E4008="!!!"),"",IF(NOT(ISNA(VLOOKUP(E4008,E$1:E4007,1,FALSE()))),"OLD",IF(AND(E4008&lt;&gt;"",E4008&lt;&gt;"!!!"),"NEW","")))</f>
        <v> </v>
      </c>
      <c r="G4008" s="23" t="str">
        <f>IF(OR(E4008="",E4008="!!!"),"",IF(OR(J4008=0,AND(J4008=1,K4008=1),AND(J4008=1,I4008="SBJ"),AND(J4008=1,I4008=0)),"?IN_FOCUS",IF(J4008&lt;=2,"?ACTIVATED",IF(J4008&lt;&gt;"","?FAMILIAR",IF(F4008="NEW",IF(ISNA(VLOOKUP(E4008,#REF!,1,FALSE())),"?TYPE_IDENTIFIABLE","?REFERENTIAL"),"_")))))</f>
        <v> </v>
      </c>
      <c r="H4008" s="24" t="str">
        <f>IF(J4008&lt;&gt;1,"",IF(I4008="SBJ","CB","?"))</f>
        <v> </v>
      </c>
      <c r="I4008" s="25" t="str">
        <f>IF(OR(E4008="",E4008="!!!",F4008="NEW"),"",INDEX(B4007:B$2,-1+SUMPRODUCT(MAX(ROW(E4007:E$2)*(E4008=E4007:E$2)))))</f>
        <v> </v>
      </c>
      <c r="J4008" s="25" t="str">
        <f>IF(OR(E4008="",E4008="!!!",F4008="NEW"),"",COUNTBLANK(OFFSET(A$1,,,SUMPRODUCT(MAX(ROW(E$2:E4008)*(E4008=E$2:E4008)))))-COUNTBLANK(OFFSET(A$1,,,SUMPRODUCT(MAX(ROW(E$1:E4007)*(E2=E$1:E4007))))))</f>
        <v> </v>
      </c>
      <c r="K4008" s="25" t="str">
        <f>IF(OR(E4008="",E4008="!!!",F4008="NEW"),"",INDEX(J$1:J4007,SUMPRODUCT(MAX(ROW(E$1:E4007)*(E4008=E$1:E4007)))))</f>
        <v> </v>
      </c>
      <c r="L4008" s="26"/>
    </row>
    <row r="4009" spans="1:12">
      <c r="A4009" s="20" t="s">
        <v>718</v>
      </c>
      <c r="E4009" s="21">
        <f>IF(D4009="?OLD","!!!","")</f>
        <v/>
      </c>
      <c r="F4009" s="22" t="str">
        <f>IF(OR(E4009="",E4009="!!!"),"",IF(NOT(ISNA(VLOOKUP(E4009,E$1:E4008,1,FALSE()))),"OLD",IF(AND(E4009&lt;&gt;"",E4009&lt;&gt;"!!!"),"NEW","")))</f>
        <v> </v>
      </c>
      <c r="G4009" s="23" t="str">
        <f>IF(OR(E4009="",E4009="!!!"),"",IF(OR(J4009=0,AND(J4009=1,K4009=1),AND(J4009=1,I4009="SBJ"),AND(J4009=1,I4009=0)),"?IN_FOCUS",IF(J4009&lt;=2,"?ACTIVATED",IF(J4009&lt;&gt;"","?FAMILIAR",IF(F4009="NEW",IF(ISNA(VLOOKUP(E4009,#REF!,1,FALSE())),"?TYPE_IDENTIFIABLE","?REFERENTIAL"),"_")))))</f>
        <v> </v>
      </c>
      <c r="H4009" s="24" t="str">
        <f>IF(J4009&lt;&gt;1,"",IF(I4009="SBJ","CB","?"))</f>
        <v> </v>
      </c>
      <c r="I4009" s="25" t="str">
        <f>IF(OR(E4009="",E4009="!!!",F4009="NEW"),"",INDEX(B4008:B$2,-1+SUMPRODUCT(MAX(ROW(E4008:E$2)*(E4009=E4008:E$2)))))</f>
        <v> </v>
      </c>
      <c r="J4009" s="25" t="str">
        <f>IF(OR(E4009="",E4009="!!!",F4009="NEW"),"",COUNTBLANK(OFFSET(A$1,,,SUMPRODUCT(MAX(ROW(E$2:E4009)*(E4009=E$2:E4009)))))-COUNTBLANK(OFFSET(A$1,,,SUMPRODUCT(MAX(ROW(E$1:E4008)*(E2=E$1:E4008))))))</f>
        <v> </v>
      </c>
      <c r="K4009" s="25" t="str">
        <f>IF(OR(E4009="",E4009="!!!",F4009="NEW"),"",INDEX(J$1:J4008,SUMPRODUCT(MAX(ROW(E$1:E4008)*(E4009=E$1:E4008)))))</f>
        <v> </v>
      </c>
      <c r="L4009" s="26"/>
    </row>
    <row r="4010" spans="1:12">
      <c r="A4010" s="20" t="s">
        <v>1708</v>
      </c>
      <c r="B4010" s="27" t="s">
        <v>737</v>
      </c>
      <c r="C4010" s="27" t="s">
        <v>782</v>
      </c>
      <c r="D4010" s="27" t="s">
        <v>694</v>
      </c>
      <c r="E4010" s="21">
        <f>IF(D4010="?OLD","!!!","")</f>
        <v/>
      </c>
      <c r="F4010" s="22" t="str">
        <f>IF(OR(E4010="",E4010="!!!"),"",IF(NOT(ISNA(VLOOKUP(E4010,E$1:E4009,1,FALSE()))),"OLD",IF(AND(E4010&lt;&gt;"",E4010&lt;&gt;"!!!"),"NEW","")))</f>
        <v> </v>
      </c>
      <c r="G4010" s="23" t="str">
        <f>IF(OR(E4010="",E4010="!!!"),"",IF(OR(J4010=0,AND(J4010=1,K4010=1),AND(J4010=1,I4010="SBJ"),AND(J4010=1,I4010=0)),"?IN_FOCUS",IF(J4010&lt;=2,"?ACTIVATED",IF(J4010&lt;&gt;"","?FAMILIAR",IF(F4010="NEW",IF(ISNA(VLOOKUP(E4010,#REF!,1,FALSE())),"?TYPE_IDENTIFIABLE","?REFERENTIAL"),"_")))))</f>
        <v> </v>
      </c>
      <c r="H4010" s="24" t="str">
        <f>IF(J4010&lt;&gt;1,"",IF(I4010="SBJ","CB","?"))</f>
        <v> </v>
      </c>
      <c r="I4010" s="25" t="str">
        <f>IF(OR(E4010="",E4010="!!!",F4010="NEW"),"",INDEX(B4009:B$2,-1+SUMPRODUCT(MAX(ROW(E4009:E$2)*(E4010=E4009:E$2)))))</f>
        <v> </v>
      </c>
      <c r="J4010" s="25" t="str">
        <f>IF(OR(E4010="",E4010="!!!",F4010="NEW"),"",COUNTBLANK(OFFSET(A$1,,,SUMPRODUCT(MAX(ROW(E$2:E4010)*(E4010=E$2:E4010)))))-COUNTBLANK(OFFSET(A$1,,,SUMPRODUCT(MAX(ROW(E$1:E4009)*(E2=E$1:E4009))))))</f>
        <v> </v>
      </c>
      <c r="K4010" s="25" t="str">
        <f>IF(OR(E4010="",E4010="!!!",F4010="NEW"),"",INDEX(J$1:J4009,SUMPRODUCT(MAX(ROW(E$1:E4009)*(E4010=E$1:E4009)))))</f>
        <v> </v>
      </c>
      <c r="L4010" s="26"/>
    </row>
    <row r="4011" spans="1:12">
      <c r="A4011" s="20" t="s">
        <v>696</v>
      </c>
      <c r="E4011" s="21">
        <f>IF(D4011="?OLD","!!!","")</f>
        <v/>
      </c>
      <c r="F4011" s="22" t="str">
        <f>IF(OR(E4011="",E4011="!!!"),"",IF(NOT(ISNA(VLOOKUP(E4011,E$1:E4010,1,FALSE()))),"OLD",IF(AND(E4011&lt;&gt;"",E4011&lt;&gt;"!!!"),"NEW","")))</f>
        <v> </v>
      </c>
      <c r="G4011" s="23" t="str">
        <f>IF(OR(E4011="",E4011="!!!"),"",IF(OR(J4011=0,AND(J4011=1,K4011=1),AND(J4011=1,I4011="SBJ"),AND(J4011=1,I4011=0)),"?IN_FOCUS",IF(J4011&lt;=2,"?ACTIVATED",IF(J4011&lt;&gt;"","?FAMILIAR",IF(F4011="NEW",IF(ISNA(VLOOKUP(E4011,#REF!,1,FALSE())),"?TYPE_IDENTIFIABLE","?REFERENTIAL"),"_")))))</f>
        <v> </v>
      </c>
      <c r="H4011" s="24" t="str">
        <f>IF(J4011&lt;&gt;1,"",IF(I4011="SBJ","CB","?"))</f>
        <v> </v>
      </c>
      <c r="I4011" s="25" t="str">
        <f>IF(OR(E4011="",E4011="!!!",F4011="NEW"),"",INDEX(B4010:B$2,-1+SUMPRODUCT(MAX(ROW(E4010:E$2)*(E4011=E4010:E$2)))))</f>
        <v> </v>
      </c>
      <c r="J4011" s="25" t="str">
        <f>IF(OR(E4011="",E4011="!!!",F4011="NEW"),"",COUNTBLANK(OFFSET(A$1,,,SUMPRODUCT(MAX(ROW(E$2:E4011)*(E4011=E$2:E4011)))))-COUNTBLANK(OFFSET(A$1,,,SUMPRODUCT(MAX(ROW(E$1:E4010)*(E2=E$1:E4010))))))</f>
        <v> </v>
      </c>
      <c r="K4011" s="25" t="str">
        <f>IF(OR(E4011="",E4011="!!!",F4011="NEW"),"",INDEX(J$1:J4010,SUMPRODUCT(MAX(ROW(E$1:E4010)*(E4011=E$1:E4010)))))</f>
        <v> </v>
      </c>
      <c r="L4011" s="26"/>
    </row>
    <row r="4012" spans="1:12">
      <c r="A4012" s="20" t="s">
        <v>689</v>
      </c>
      <c r="E4012" s="21">
        <f>IF(D4012="?OLD","!!!","")</f>
        <v/>
      </c>
      <c r="F4012" s="22" t="str">
        <f>IF(OR(E4012="",E4012="!!!"),"",IF(NOT(ISNA(VLOOKUP(E4012,E$1:E4011,1,FALSE()))),"OLD",IF(AND(E4012&lt;&gt;"",E4012&lt;&gt;"!!!"),"NEW","")))</f>
        <v> </v>
      </c>
      <c r="G4012" s="23" t="str">
        <f>IF(OR(E4012="",E4012="!!!"),"",IF(OR(J4012=0,AND(J4012=1,K4012=1),AND(J4012=1,I4012="SBJ"),AND(J4012=1,I4012=0)),"?IN_FOCUS",IF(J4012&lt;=2,"?ACTIVATED",IF(J4012&lt;&gt;"","?FAMILIAR",IF(F4012="NEW",IF(ISNA(VLOOKUP(E4012,#REF!,1,FALSE())),"?TYPE_IDENTIFIABLE","?REFERENTIAL"),"_")))))</f>
        <v> </v>
      </c>
      <c r="H4012" s="24" t="str">
        <f>IF(J4012&lt;&gt;1,"",IF(I4012="SBJ","CB","?"))</f>
        <v> </v>
      </c>
      <c r="I4012" s="25" t="str">
        <f>IF(OR(E4012="",E4012="!!!",F4012="NEW"),"",INDEX(B4011:B$2,-1+SUMPRODUCT(MAX(ROW(E4011:E$2)*(E4012=E4011:E$2)))))</f>
        <v> </v>
      </c>
      <c r="J4012" s="25" t="str">
        <f>IF(OR(E4012="",E4012="!!!",F4012="NEW"),"",COUNTBLANK(OFFSET(A$1,,,SUMPRODUCT(MAX(ROW(E$2:E4012)*(E4012=E$2:E4012)))))-COUNTBLANK(OFFSET(A$1,,,SUMPRODUCT(MAX(ROW(E$1:E4011)*(E2=E$1:E4011))))))</f>
        <v> </v>
      </c>
      <c r="K4012" s="25" t="str">
        <f>IF(OR(E4012="",E4012="!!!",F4012="NEW"),"",INDEX(J$1:J4011,SUMPRODUCT(MAX(ROW(E$1:E4011)*(E4012=E$1:E4011)))))</f>
        <v> </v>
      </c>
      <c r="L4012" s="26"/>
    </row>
    <row r="4013" spans="1:12">
      <c r="A4013" s="20" t="s">
        <v>262</v>
      </c>
      <c r="B4013" s="27" t="s">
        <v>755</v>
      </c>
      <c r="C4013" s="27" t="s">
        <v>819</v>
      </c>
      <c r="D4013" s="27" t="s">
        <v>694</v>
      </c>
      <c r="E4013" s="21">
        <f>IF(D4013="?OLD","!!!","")</f>
        <v/>
      </c>
      <c r="F4013" s="22" t="str">
        <f>IF(OR(E4013="",E4013="!!!"),"",IF(NOT(ISNA(VLOOKUP(E4013,E$1:E4012,1,FALSE()))),"OLD",IF(AND(E4013&lt;&gt;"",E4013&lt;&gt;"!!!"),"NEW","")))</f>
        <v> </v>
      </c>
      <c r="G4013" s="23" t="str">
        <f>IF(OR(E4013="",E4013="!!!"),"",IF(OR(J4013=0,AND(J4013=1,K4013=1),AND(J4013=1,I4013="SBJ"),AND(J4013=1,I4013=0)),"?IN_FOCUS",IF(J4013&lt;=2,"?ACTIVATED",IF(J4013&lt;&gt;"","?FAMILIAR",IF(F4013="NEW",IF(ISNA(VLOOKUP(E4013,#REF!,1,FALSE())),"?TYPE_IDENTIFIABLE","?REFERENTIAL"),"_")))))</f>
        <v> </v>
      </c>
      <c r="H4013" s="24" t="str">
        <f>IF(J4013&lt;&gt;1,"",IF(I4013="SBJ","CB","?"))</f>
        <v> </v>
      </c>
      <c r="I4013" s="25" t="str">
        <f>IF(OR(E4013="",E4013="!!!",F4013="NEW"),"",INDEX(B4012:B$2,-1+SUMPRODUCT(MAX(ROW(E4012:E$2)*(E4013=E4012:E$2)))))</f>
        <v> </v>
      </c>
      <c r="J4013" s="25" t="str">
        <f>IF(OR(E4013="",E4013="!!!",F4013="NEW"),"",COUNTBLANK(OFFSET(A$1,,,SUMPRODUCT(MAX(ROW(E$2:E4013)*(E4013=E$2:E4013)))))-COUNTBLANK(OFFSET(A$1,,,SUMPRODUCT(MAX(ROW(E$1:E4012)*(E2=E$1:E4012))))))</f>
        <v> </v>
      </c>
      <c r="K4013" s="25" t="str">
        <f>IF(OR(E4013="",E4013="!!!",F4013="NEW"),"",INDEX(J$1:J4012,SUMPRODUCT(MAX(ROW(E$1:E4012)*(E4013=E$1:E4012)))))</f>
        <v> </v>
      </c>
      <c r="L4013" s="26"/>
    </row>
    <row r="4014" spans="1:12">
      <c r="A4014" s="20" t="s">
        <v>809</v>
      </c>
      <c r="B4014" s="27" t="s">
        <v>892</v>
      </c>
      <c r="E4014" s="21">
        <f>IF(D4014="?OLD","!!!","")</f>
        <v/>
      </c>
      <c r="F4014" s="22" t="str">
        <f>IF(OR(E4014="",E4014="!!!"),"",IF(NOT(ISNA(VLOOKUP(E4014,E$1:E4013,1,FALSE()))),"OLD",IF(AND(E4014&lt;&gt;"",E4014&lt;&gt;"!!!"),"NEW","")))</f>
        <v> </v>
      </c>
      <c r="G4014" s="23" t="str">
        <f>IF(OR(E4014="",E4014="!!!"),"",IF(OR(J4014=0,AND(J4014=1,K4014=1),AND(J4014=1,I4014="SBJ"),AND(J4014=1,I4014=0)),"?IN_FOCUS",IF(J4014&lt;=2,"?ACTIVATED",IF(J4014&lt;&gt;"","?FAMILIAR",IF(F4014="NEW",IF(ISNA(VLOOKUP(E4014,#REF!,1,FALSE())),"?TYPE_IDENTIFIABLE","?REFERENTIAL"),"_")))))</f>
        <v> </v>
      </c>
      <c r="H4014" s="24" t="str">
        <f>IF(J4014&lt;&gt;1,"",IF(I4014="SBJ","CB","?"))</f>
        <v> </v>
      </c>
      <c r="I4014" s="25" t="str">
        <f>IF(OR(E4014="",E4014="!!!",F4014="NEW"),"",INDEX(B4013:B$2,-1+SUMPRODUCT(MAX(ROW(E4013:E$2)*(E4014=E4013:E$2)))))</f>
        <v> </v>
      </c>
      <c r="J4014" s="25" t="str">
        <f>IF(OR(E4014="",E4014="!!!",F4014="NEW"),"",COUNTBLANK(OFFSET(A$1,,,SUMPRODUCT(MAX(ROW(E$2:E4014)*(E4014=E$2:E4014)))))-COUNTBLANK(OFFSET(A$1,,,SUMPRODUCT(MAX(ROW(E$1:E4013)*(E2=E$1:E4013))))))</f>
        <v> </v>
      </c>
      <c r="K4014" s="25" t="str">
        <f>IF(OR(E4014="",E4014="!!!",F4014="NEW"),"",INDEX(J$1:J4013,SUMPRODUCT(MAX(ROW(E$1:E4013)*(E4014=E$1:E4013)))))</f>
        <v> </v>
      </c>
      <c r="L4014" s="26"/>
    </row>
    <row r="4015" spans="1:12">
      <c r="A4015" s="20" t="s">
        <v>803</v>
      </c>
      <c r="B4015" s="27" t="s">
        <v>983</v>
      </c>
      <c r="C4015" s="27" t="s">
        <v>733</v>
      </c>
      <c r="D4015" s="27" t="s">
        <v>694</v>
      </c>
      <c r="E4015" s="21">
        <f>IF(D4015="?OLD","!!!","")</f>
        <v/>
      </c>
      <c r="F4015" s="22" t="str">
        <f>IF(OR(E4015="",E4015="!!!"),"",IF(NOT(ISNA(VLOOKUP(E4015,E$1:E4014,1,FALSE()))),"OLD",IF(AND(E4015&lt;&gt;"",E4015&lt;&gt;"!!!"),"NEW","")))</f>
        <v> </v>
      </c>
      <c r="G4015" s="23" t="str">
        <f>IF(OR(E4015="",E4015="!!!"),"",IF(OR(J4015=0,AND(J4015=1,K4015=1),AND(J4015=1,I4015="SBJ"),AND(J4015=1,I4015=0)),"?IN_FOCUS",IF(J4015&lt;=2,"?ACTIVATED",IF(J4015&lt;&gt;"","?FAMILIAR",IF(F4015="NEW",IF(ISNA(VLOOKUP(E4015,#REF!,1,FALSE())),"?TYPE_IDENTIFIABLE","?REFERENTIAL"),"_")))))</f>
        <v> </v>
      </c>
      <c r="H4015" s="24" t="str">
        <f>IF(J4015&lt;&gt;1,"",IF(I4015="SBJ","CB","?"))</f>
        <v> </v>
      </c>
      <c r="I4015" s="25" t="str">
        <f>IF(OR(E4015="",E4015="!!!",F4015="NEW"),"",INDEX(B4014:B$2,-1+SUMPRODUCT(MAX(ROW(E4014:E$2)*(E4015=E4014:E$2)))))</f>
        <v> </v>
      </c>
      <c r="J4015" s="25" t="str">
        <f>IF(OR(E4015="",E4015="!!!",F4015="NEW"),"",COUNTBLANK(OFFSET(A$1,,,SUMPRODUCT(MAX(ROW(E$2:E4015)*(E4015=E$2:E4015)))))-COUNTBLANK(OFFSET(A$1,,,SUMPRODUCT(MAX(ROW(E$1:E4014)*(E2=E$1:E4014))))))</f>
        <v> </v>
      </c>
      <c r="K4015" s="25" t="str">
        <f>IF(OR(E4015="",E4015="!!!",F4015="NEW"),"",INDEX(J$1:J4014,SUMPRODUCT(MAX(ROW(E$1:E4014)*(E4015=E$1:E4014)))))</f>
        <v> </v>
      </c>
      <c r="L4015" s="26"/>
    </row>
    <row r="4016" spans="1:12">
      <c r="A4016" s="20" t="s">
        <v>1709</v>
      </c>
      <c r="E4016" s="21">
        <f>IF(D4016="?OLD","!!!","")</f>
        <v/>
      </c>
      <c r="F4016" s="22" t="str">
        <f>IF(OR(E4016="",E4016="!!!"),"",IF(NOT(ISNA(VLOOKUP(E4016,E$1:E4015,1,FALSE()))),"OLD",IF(AND(E4016&lt;&gt;"",E4016&lt;&gt;"!!!"),"NEW","")))</f>
        <v> </v>
      </c>
      <c r="G4016" s="23" t="str">
        <f>IF(OR(E4016="",E4016="!!!"),"",IF(OR(J4016=0,AND(J4016=1,K4016=1),AND(J4016=1,I4016="SBJ"),AND(J4016=1,I4016=0)),"?IN_FOCUS",IF(J4016&lt;=2,"?ACTIVATED",IF(J4016&lt;&gt;"","?FAMILIAR",IF(F4016="NEW",IF(ISNA(VLOOKUP(E4016,#REF!,1,FALSE())),"?TYPE_IDENTIFIABLE","?REFERENTIAL"),"_")))))</f>
        <v> </v>
      </c>
      <c r="H4016" s="24" t="str">
        <f>IF(J4016&lt;&gt;1,"",IF(I4016="SBJ","CB","?"))</f>
        <v> </v>
      </c>
      <c r="I4016" s="25" t="str">
        <f>IF(OR(E4016="",E4016="!!!",F4016="NEW"),"",INDEX(B4015:B$2,-1+SUMPRODUCT(MAX(ROW(E4015:E$2)*(E4016=E4015:E$2)))))</f>
        <v> </v>
      </c>
      <c r="J4016" s="25" t="str">
        <f>IF(OR(E4016="",E4016="!!!",F4016="NEW"),"",COUNTBLANK(OFFSET(A$1,,,SUMPRODUCT(MAX(ROW(E$2:E4016)*(E4016=E$2:E4016)))))-COUNTBLANK(OFFSET(A$1,,,SUMPRODUCT(MAX(ROW(E$1:E4015)*(E2=E$1:E4015))))))</f>
        <v> </v>
      </c>
      <c r="K4016" s="25" t="str">
        <f>IF(OR(E4016="",E4016="!!!",F4016="NEW"),"",INDEX(J$1:J4015,SUMPRODUCT(MAX(ROW(E$1:E4015)*(E4016=E$1:E4015)))))</f>
        <v> </v>
      </c>
      <c r="L4016" s="26"/>
    </row>
    <row r="4017" spans="1:12">
      <c r="A4017" s="20" t="s">
        <v>725</v>
      </c>
      <c r="E4017" s="21">
        <f>IF(D4017="?OLD","!!!","")</f>
        <v/>
      </c>
      <c r="F4017" s="22" t="str">
        <f>IF(OR(E4017="",E4017="!!!"),"",IF(NOT(ISNA(VLOOKUP(E4017,E$1:E4016,1,FALSE()))),"OLD",IF(AND(E4017&lt;&gt;"",E4017&lt;&gt;"!!!"),"NEW","")))</f>
        <v> </v>
      </c>
      <c r="G4017" s="23" t="str">
        <f>IF(OR(E4017="",E4017="!!!"),"",IF(OR(J4017=0,AND(J4017=1,K4017=1),AND(J4017=1,I4017="SBJ"),AND(J4017=1,I4017=0)),"?IN_FOCUS",IF(J4017&lt;=2,"?ACTIVATED",IF(J4017&lt;&gt;"","?FAMILIAR",IF(F4017="NEW",IF(ISNA(VLOOKUP(E4017,#REF!,1,FALSE())),"?TYPE_IDENTIFIABLE","?REFERENTIAL"),"_")))))</f>
        <v> </v>
      </c>
      <c r="H4017" s="24" t="str">
        <f>IF(J4017&lt;&gt;1,"",IF(I4017="SBJ","CB","?"))</f>
        <v> </v>
      </c>
      <c r="I4017" s="25" t="str">
        <f>IF(OR(E4017="",E4017="!!!",F4017="NEW"),"",INDEX(B4016:B$2,-1+SUMPRODUCT(MAX(ROW(E4016:E$2)*(E4017=E4016:E$2)))))</f>
        <v> </v>
      </c>
      <c r="J4017" s="25" t="str">
        <f>IF(OR(E4017="",E4017="!!!",F4017="NEW"),"",COUNTBLANK(OFFSET(A$1,,,SUMPRODUCT(MAX(ROW(E$2:E4017)*(E4017=E$2:E4017)))))-COUNTBLANK(OFFSET(A$1,,,SUMPRODUCT(MAX(ROW(E$1:E4016)*(E2=E$1:E4016))))))</f>
        <v> </v>
      </c>
      <c r="K4017" s="25" t="str">
        <f>IF(OR(E4017="",E4017="!!!",F4017="NEW"),"",INDEX(J$1:J4016,SUMPRODUCT(MAX(ROW(E$1:E4016)*(E4017=E$1:E4016)))))</f>
        <v> </v>
      </c>
      <c r="L4017" s="26"/>
    </row>
    <row r="4018" spans="1:12">
      <c r="A4018" s="20" t="s">
        <v>1033</v>
      </c>
      <c r="E4018" s="21">
        <f>IF(D4018="?OLD","!!!","")</f>
        <v/>
      </c>
      <c r="F4018" s="22" t="str">
        <f>IF(OR(E4018="",E4018="!!!"),"",IF(NOT(ISNA(VLOOKUP(E4018,E$1:E4017,1,FALSE()))),"OLD",IF(AND(E4018&lt;&gt;"",E4018&lt;&gt;"!!!"),"NEW","")))</f>
        <v> </v>
      </c>
      <c r="G4018" s="23" t="str">
        <f>IF(OR(E4018="",E4018="!!!"),"",IF(OR(J4018=0,AND(J4018=1,K4018=1),AND(J4018=1,I4018="SBJ"),AND(J4018=1,I4018=0)),"?IN_FOCUS",IF(J4018&lt;=2,"?ACTIVATED",IF(J4018&lt;&gt;"","?FAMILIAR",IF(F4018="NEW",IF(ISNA(VLOOKUP(E4018,#REF!,1,FALSE())),"?TYPE_IDENTIFIABLE","?REFERENTIAL"),"_")))))</f>
        <v> </v>
      </c>
      <c r="H4018" s="24" t="str">
        <f>IF(J4018&lt;&gt;1,"",IF(I4018="SBJ","CB","?"))</f>
        <v> </v>
      </c>
      <c r="I4018" s="25" t="str">
        <f>IF(OR(E4018="",E4018="!!!",F4018="NEW"),"",INDEX(B4017:B$2,-1+SUMPRODUCT(MAX(ROW(E4017:E$2)*(E4018=E4017:E$2)))))</f>
        <v> </v>
      </c>
      <c r="J4018" s="25" t="str">
        <f>IF(OR(E4018="",E4018="!!!",F4018="NEW"),"",COUNTBLANK(OFFSET(A$1,,,SUMPRODUCT(MAX(ROW(E$2:E4018)*(E4018=E$2:E4018)))))-COUNTBLANK(OFFSET(A$1,,,SUMPRODUCT(MAX(ROW(E$1:E4017)*(E2=E$1:E4017))))))</f>
        <v> </v>
      </c>
      <c r="K4018" s="25" t="str">
        <f>IF(OR(E4018="",E4018="!!!",F4018="NEW"),"",INDEX(J$1:J4017,SUMPRODUCT(MAX(ROW(E$1:E4017)*(E4018=E$1:E4017)))))</f>
        <v> </v>
      </c>
      <c r="L4018" s="26"/>
    </row>
    <row r="4019" spans="1:12">
      <c r="A4019" s="20" t="s">
        <v>914</v>
      </c>
      <c r="B4019" s="27" t="s">
        <v>755</v>
      </c>
      <c r="C4019" s="27" t="s">
        <v>716</v>
      </c>
      <c r="E4019" s="21">
        <f>IF(D4019="?OLD","!!!","")</f>
        <v/>
      </c>
      <c r="F4019" s="22" t="str">
        <f>IF(OR(E4019="",E4019="!!!"),"",IF(NOT(ISNA(VLOOKUP(E4019,E$1:E4018,1,FALSE()))),"OLD",IF(AND(E4019&lt;&gt;"",E4019&lt;&gt;"!!!"),"NEW","")))</f>
        <v> </v>
      </c>
      <c r="G4019" s="23" t="str">
        <f>IF(OR(E4019="",E4019="!!!"),"",IF(OR(J4019=0,AND(J4019=1,K4019=1),AND(J4019=1,I4019="SBJ"),AND(J4019=1,I4019=0)),"?IN_FOCUS",IF(J4019&lt;=2,"?ACTIVATED",IF(J4019&lt;&gt;"","?FAMILIAR",IF(F4019="NEW",IF(ISNA(VLOOKUP(E4019,#REF!,1,FALSE())),"?TYPE_IDENTIFIABLE","?REFERENTIAL"),"_")))))</f>
        <v> </v>
      </c>
      <c r="H4019" s="24" t="str">
        <f>IF(J4019&lt;&gt;1,"",IF(I4019="SBJ","CB","?"))</f>
        <v> </v>
      </c>
      <c r="I4019" s="25" t="str">
        <f>IF(OR(E4019="",E4019="!!!",F4019="NEW"),"",INDEX(B4018:B$2,-1+SUMPRODUCT(MAX(ROW(E4018:E$2)*(E4019=E4018:E$2)))))</f>
        <v> </v>
      </c>
      <c r="J4019" s="25" t="str">
        <f>IF(OR(E4019="",E4019="!!!",F4019="NEW"),"",COUNTBLANK(OFFSET(A$1,,,SUMPRODUCT(MAX(ROW(E$2:E4019)*(E4019=E$2:E4019)))))-COUNTBLANK(OFFSET(A$1,,,SUMPRODUCT(MAX(ROW(E$1:E4018)*(E2=E$1:E4018))))))</f>
        <v> </v>
      </c>
      <c r="K4019" s="25" t="str">
        <f>IF(OR(E4019="",E4019="!!!",F4019="NEW"),"",INDEX(J$1:J4018,SUMPRODUCT(MAX(ROW(E$1:E4018)*(E4019=E$1:E4018)))))</f>
        <v> </v>
      </c>
      <c r="L4019" s="26"/>
    </row>
    <row r="4020" spans="1:12">
      <c r="A4020" s="20" t="s">
        <v>725</v>
      </c>
      <c r="E4020" s="21">
        <f>IF(D4020="?OLD","!!!","")</f>
        <v/>
      </c>
      <c r="F4020" s="22" t="str">
        <f>IF(OR(E4020="",E4020="!!!"),"",IF(NOT(ISNA(VLOOKUP(E4020,E$1:E4019,1,FALSE()))),"OLD",IF(AND(E4020&lt;&gt;"",E4020&lt;&gt;"!!!"),"NEW","")))</f>
        <v> </v>
      </c>
      <c r="G4020" s="23" t="str">
        <f>IF(OR(E4020="",E4020="!!!"),"",IF(OR(J4020=0,AND(J4020=1,K4020=1),AND(J4020=1,I4020="SBJ"),AND(J4020=1,I4020=0)),"?IN_FOCUS",IF(J4020&lt;=2,"?ACTIVATED",IF(J4020&lt;&gt;"","?FAMILIAR",IF(F4020="NEW",IF(ISNA(VLOOKUP(E4020,#REF!,1,FALSE())),"?TYPE_IDENTIFIABLE","?REFERENTIAL"),"_")))))</f>
        <v> </v>
      </c>
      <c r="H4020" s="24" t="str">
        <f>IF(J4020&lt;&gt;1,"",IF(I4020="SBJ","CB","?"))</f>
        <v> </v>
      </c>
      <c r="I4020" s="25" t="str">
        <f>IF(OR(E4020="",E4020="!!!",F4020="NEW"),"",INDEX(B4019:B$2,-1+SUMPRODUCT(MAX(ROW(E4019:E$2)*(E4020=E4019:E$2)))))</f>
        <v> </v>
      </c>
      <c r="J4020" s="25" t="str">
        <f>IF(OR(E4020="",E4020="!!!",F4020="NEW"),"",COUNTBLANK(OFFSET(A$1,,,SUMPRODUCT(MAX(ROW(E$2:E4020)*(E4020=E$2:E4020)))))-COUNTBLANK(OFFSET(A$1,,,SUMPRODUCT(MAX(ROW(E$1:E4019)*(E2=E$1:E4019))))))</f>
        <v> </v>
      </c>
      <c r="K4020" s="25" t="str">
        <f>IF(OR(E4020="",E4020="!!!",F4020="NEW"),"",INDEX(J$1:J4019,SUMPRODUCT(MAX(ROW(E$1:E4019)*(E4020=E$1:E4019)))))</f>
        <v> </v>
      </c>
      <c r="L4020" s="26"/>
    </row>
    <row r="4021" spans="1:12">
      <c r="A4021" s="20" t="s">
        <v>721</v>
      </c>
      <c r="E4021" s="21">
        <f>IF(D4021="?OLD","!!!","")</f>
        <v/>
      </c>
      <c r="F4021" s="22" t="str">
        <f>IF(OR(E4021="",E4021="!!!"),"",IF(NOT(ISNA(VLOOKUP(E4021,E$1:E4020,1,FALSE()))),"OLD",IF(AND(E4021&lt;&gt;"",E4021&lt;&gt;"!!!"),"NEW","")))</f>
        <v> </v>
      </c>
      <c r="G4021" s="23" t="str">
        <f>IF(OR(E4021="",E4021="!!!"),"",IF(OR(J4021=0,AND(J4021=1,K4021=1),AND(J4021=1,I4021="SBJ"),AND(J4021=1,I4021=0)),"?IN_FOCUS",IF(J4021&lt;=2,"?ACTIVATED",IF(J4021&lt;&gt;"","?FAMILIAR",IF(F4021="NEW",IF(ISNA(VLOOKUP(E4021,#REF!,1,FALSE())),"?TYPE_IDENTIFIABLE","?REFERENTIAL"),"_")))))</f>
        <v> </v>
      </c>
      <c r="H4021" s="24" t="str">
        <f>IF(J4021&lt;&gt;1,"",IF(I4021="SBJ","CB","?"))</f>
        <v> </v>
      </c>
      <c r="I4021" s="25" t="str">
        <f>IF(OR(E4021="",E4021="!!!",F4021="NEW"),"",INDEX(B4020:B$2,-1+SUMPRODUCT(MAX(ROW(E4020:E$2)*(E4021=E4020:E$2)))))</f>
        <v> </v>
      </c>
      <c r="J4021" s="25" t="str">
        <f>IF(OR(E4021="",E4021="!!!",F4021="NEW"),"",COUNTBLANK(OFFSET(A$1,,,SUMPRODUCT(MAX(ROW(E$2:E4021)*(E4021=E$2:E4021)))))-COUNTBLANK(OFFSET(A$1,,,SUMPRODUCT(MAX(ROW(E$1:E4020)*(E2=E$1:E4020))))))</f>
        <v> </v>
      </c>
      <c r="K4021" s="25" t="str">
        <f>IF(OR(E4021="",E4021="!!!",F4021="NEW"),"",INDEX(J$1:J4020,SUMPRODUCT(MAX(ROW(E$1:E4020)*(E4021=E$1:E4020)))))</f>
        <v> </v>
      </c>
      <c r="L4021" s="26"/>
    </row>
    <row r="4022" spans="1:12">
      <c r="A4022" s="20" t="s">
        <v>1710</v>
      </c>
      <c r="B4022" s="27" t="s">
        <v>762</v>
      </c>
      <c r="C4022" s="27" t="s">
        <v>693</v>
      </c>
      <c r="D4022" s="27" t="s">
        <v>694</v>
      </c>
      <c r="E4022" s="21">
        <f>IF(D4022="?OLD","!!!","")</f>
        <v/>
      </c>
      <c r="F4022" s="22" t="str">
        <f>IF(OR(E4022="",E4022="!!!"),"",IF(NOT(ISNA(VLOOKUP(E4022,E$1:E4021,1,FALSE()))),"OLD",IF(AND(E4022&lt;&gt;"",E4022&lt;&gt;"!!!"),"NEW","")))</f>
        <v> </v>
      </c>
      <c r="G4022" s="23" t="str">
        <f>IF(OR(E4022="",E4022="!!!"),"",IF(OR(J4022=0,AND(J4022=1,K4022=1),AND(J4022=1,I4022="SBJ"),AND(J4022=1,I4022=0)),"?IN_FOCUS",IF(J4022&lt;=2,"?ACTIVATED",IF(J4022&lt;&gt;"","?FAMILIAR",IF(F4022="NEW",IF(ISNA(VLOOKUP(E4022,#REF!,1,FALSE())),"?TYPE_IDENTIFIABLE","?REFERENTIAL"),"_")))))</f>
        <v> </v>
      </c>
      <c r="H4022" s="24" t="str">
        <f>IF(J4022&lt;&gt;1,"",IF(I4022="SBJ","CB","?"))</f>
        <v> </v>
      </c>
      <c r="I4022" s="25" t="str">
        <f>IF(OR(E4022="",E4022="!!!",F4022="NEW"),"",INDEX(B4021:B$2,-1+SUMPRODUCT(MAX(ROW(E4021:E$2)*(E4022=E4021:E$2)))))</f>
        <v> </v>
      </c>
      <c r="J4022" s="25" t="str">
        <f>IF(OR(E4022="",E4022="!!!",F4022="NEW"),"",COUNTBLANK(OFFSET(A$1,,,SUMPRODUCT(MAX(ROW(E$2:E4022)*(E4022=E$2:E4022)))))-COUNTBLANK(OFFSET(A$1,,,SUMPRODUCT(MAX(ROW(E$1:E4021)*(E2=E$1:E4021))))))</f>
        <v> </v>
      </c>
      <c r="K4022" s="25" t="str">
        <f>IF(OR(E4022="",E4022="!!!",F4022="NEW"),"",INDEX(J$1:J4021,SUMPRODUCT(MAX(ROW(E$1:E4021)*(E4022=E$1:E4021)))))</f>
        <v> </v>
      </c>
      <c r="L4022" s="26"/>
    </row>
    <row r="4023" spans="1:12">
      <c r="A4023" s="20" t="s">
        <v>846</v>
      </c>
      <c r="E4023" s="21">
        <f>IF(D4023="?OLD","!!!","")</f>
        <v/>
      </c>
      <c r="F4023" s="22" t="str">
        <f>IF(OR(E4023="",E4023="!!!"),"",IF(NOT(ISNA(VLOOKUP(E4023,E$1:E4022,1,FALSE()))),"OLD",IF(AND(E4023&lt;&gt;"",E4023&lt;&gt;"!!!"),"NEW","")))</f>
        <v> </v>
      </c>
      <c r="G4023" s="23" t="str">
        <f>IF(OR(E4023="",E4023="!!!"),"",IF(OR(J4023=0,AND(J4023=1,K4023=1),AND(J4023=1,I4023="SBJ"),AND(J4023=1,I4023=0)),"?IN_FOCUS",IF(J4023&lt;=2,"?ACTIVATED",IF(J4023&lt;&gt;"","?FAMILIAR",IF(F4023="NEW",IF(ISNA(VLOOKUP(E4023,#REF!,1,FALSE())),"?TYPE_IDENTIFIABLE","?REFERENTIAL"),"_")))))</f>
        <v> </v>
      </c>
      <c r="H4023" s="24" t="str">
        <f>IF(J4023&lt;&gt;1,"",IF(I4023="SBJ","CB","?"))</f>
        <v> </v>
      </c>
      <c r="I4023" s="25" t="str">
        <f>IF(OR(E4023="",E4023="!!!",F4023="NEW"),"",INDEX(B4022:B$2,-1+SUMPRODUCT(MAX(ROW(E4022:E$2)*(E4023=E4022:E$2)))))</f>
        <v> </v>
      </c>
      <c r="J4023" s="25" t="str">
        <f>IF(OR(E4023="",E4023="!!!",F4023="NEW"),"",COUNTBLANK(OFFSET(A$1,,,SUMPRODUCT(MAX(ROW(E$2:E4023)*(E4023=E$2:E4023)))))-COUNTBLANK(OFFSET(A$1,,,SUMPRODUCT(MAX(ROW(E$1:E4022)*(E2=E$1:E4022))))))</f>
        <v> </v>
      </c>
      <c r="K4023" s="25" t="str">
        <f>IF(OR(E4023="",E4023="!!!",F4023="NEW"),"",INDEX(J$1:J4022,SUMPRODUCT(MAX(ROW(E$1:E4022)*(E4023=E$1:E4022)))))</f>
        <v> </v>
      </c>
      <c r="L4023" s="26"/>
    </row>
    <row r="4024" spans="1:12">
      <c r="A4024" s="20" t="s">
        <v>1711</v>
      </c>
      <c r="E4024" s="21">
        <f>IF(D4024="?OLD","!!!","")</f>
        <v/>
      </c>
      <c r="F4024" s="22" t="str">
        <f>IF(OR(E4024="",E4024="!!!"),"",IF(NOT(ISNA(VLOOKUP(E4024,E$1:E4023,1,FALSE()))),"OLD",IF(AND(E4024&lt;&gt;"",E4024&lt;&gt;"!!!"),"NEW","")))</f>
        <v> </v>
      </c>
      <c r="G4024" s="23" t="str">
        <f>IF(OR(E4024="",E4024="!!!"),"",IF(OR(J4024=0,AND(J4024=1,K4024=1),AND(J4024=1,I4024="SBJ"),AND(J4024=1,I4024=0)),"?IN_FOCUS",IF(J4024&lt;=2,"?ACTIVATED",IF(J4024&lt;&gt;"","?FAMILIAR",IF(F4024="NEW",IF(ISNA(VLOOKUP(E4024,#REF!,1,FALSE())),"?TYPE_IDENTIFIABLE","?REFERENTIAL"),"_")))))</f>
        <v> </v>
      </c>
      <c r="H4024" s="24" t="str">
        <f>IF(J4024&lt;&gt;1,"",IF(I4024="SBJ","CB","?"))</f>
        <v> </v>
      </c>
      <c r="I4024" s="25" t="str">
        <f>IF(OR(E4024="",E4024="!!!",F4024="NEW"),"",INDEX(B4023:B$2,-1+SUMPRODUCT(MAX(ROW(E4023:E$2)*(E4024=E4023:E$2)))))</f>
        <v> </v>
      </c>
      <c r="J4024" s="25" t="str">
        <f>IF(OR(E4024="",E4024="!!!",F4024="NEW"),"",COUNTBLANK(OFFSET(A$1,,,SUMPRODUCT(MAX(ROW(E$2:E4024)*(E4024=E$2:E4024)))))-COUNTBLANK(OFFSET(A$1,,,SUMPRODUCT(MAX(ROW(E$1:E4023)*(E2=E$1:E4023))))))</f>
        <v> </v>
      </c>
      <c r="K4024" s="25" t="str">
        <f>IF(OR(E4024="",E4024="!!!",F4024="NEW"),"",INDEX(J$1:J4023,SUMPRODUCT(MAX(ROW(E$1:E4023)*(E4024=E$1:E4023)))))</f>
        <v> </v>
      </c>
      <c r="L4024" s="26"/>
    </row>
    <row r="4025" spans="1:12">
      <c r="A4025" s="20" t="s">
        <v>696</v>
      </c>
      <c r="E4025" s="21">
        <f>IF(D4025="?OLD","!!!","")</f>
        <v/>
      </c>
      <c r="F4025" s="22" t="str">
        <f>IF(OR(E4025="",E4025="!!!"),"",IF(NOT(ISNA(VLOOKUP(E4025,E$1:E4024,1,FALSE()))),"OLD",IF(AND(E4025&lt;&gt;"",E4025&lt;&gt;"!!!"),"NEW","")))</f>
        <v> </v>
      </c>
      <c r="G4025" s="23" t="str">
        <f>IF(OR(E4025="",E4025="!!!"),"",IF(OR(J4025=0,AND(J4025=1,K4025=1),AND(J4025=1,I4025="SBJ"),AND(J4025=1,I4025=0)),"?IN_FOCUS",IF(J4025&lt;=2,"?ACTIVATED",IF(J4025&lt;&gt;"","?FAMILIAR",IF(F4025="NEW",IF(ISNA(VLOOKUP(E4025,#REF!,1,FALSE())),"?TYPE_IDENTIFIABLE","?REFERENTIAL"),"_")))))</f>
        <v> </v>
      </c>
      <c r="H4025" s="24" t="str">
        <f>IF(J4025&lt;&gt;1,"",IF(I4025="SBJ","CB","?"))</f>
        <v> </v>
      </c>
      <c r="I4025" s="25" t="str">
        <f>IF(OR(E4025="",E4025="!!!",F4025="NEW"),"",INDEX(B4024:B$2,-1+SUMPRODUCT(MAX(ROW(E4024:E$2)*(E4025=E4024:E$2)))))</f>
        <v> </v>
      </c>
      <c r="J4025" s="25" t="str">
        <f>IF(OR(E4025="",E4025="!!!",F4025="NEW"),"",COUNTBLANK(OFFSET(A$1,,,SUMPRODUCT(MAX(ROW(E$2:E4025)*(E4025=E$2:E4025)))))-COUNTBLANK(OFFSET(A$1,,,SUMPRODUCT(MAX(ROW(E$1:E4024)*(E2=E$1:E4024))))))</f>
        <v> </v>
      </c>
      <c r="K4025" s="25" t="str">
        <f>IF(OR(E4025="",E4025="!!!",F4025="NEW"),"",INDEX(J$1:J4024,SUMPRODUCT(MAX(ROW(E$1:E4024)*(E4025=E$1:E4024)))))</f>
        <v> </v>
      </c>
      <c r="L4025" s="26"/>
    </row>
    <row r="4026" spans="1:12">
      <c r="A4026" s="20" t="s">
        <v>1712</v>
      </c>
      <c r="B4026" s="27" t="s">
        <v>755</v>
      </c>
      <c r="C4026" s="27" t="s">
        <v>716</v>
      </c>
      <c r="E4026" s="21">
        <f>IF(D4026="?OLD","!!!","")</f>
        <v/>
      </c>
      <c r="F4026" s="22" t="str">
        <f>IF(OR(E4026="",E4026="!!!"),"",IF(NOT(ISNA(VLOOKUP(E4026,E$1:E4025,1,FALSE()))),"OLD",IF(AND(E4026&lt;&gt;"",E4026&lt;&gt;"!!!"),"NEW","")))</f>
        <v> </v>
      </c>
      <c r="G4026" s="23" t="str">
        <f>IF(OR(E4026="",E4026="!!!"),"",IF(OR(J4026=0,AND(J4026=1,K4026=1),AND(J4026=1,I4026="SBJ"),AND(J4026=1,I4026=0)),"?IN_FOCUS",IF(J4026&lt;=2,"?ACTIVATED",IF(J4026&lt;&gt;"","?FAMILIAR",IF(F4026="NEW",IF(ISNA(VLOOKUP(E4026,#REF!,1,FALSE())),"?TYPE_IDENTIFIABLE","?REFERENTIAL"),"_")))))</f>
        <v> </v>
      </c>
      <c r="H4026" s="24" t="str">
        <f>IF(J4026&lt;&gt;1,"",IF(I4026="SBJ","CB","?"))</f>
        <v> </v>
      </c>
      <c r="I4026" s="25" t="str">
        <f>IF(OR(E4026="",E4026="!!!",F4026="NEW"),"",INDEX(B4025:B$2,-1+SUMPRODUCT(MAX(ROW(E4025:E$2)*(E4026=E4025:E$2)))))</f>
        <v> </v>
      </c>
      <c r="J4026" s="25" t="str">
        <f>IF(OR(E4026="",E4026="!!!",F4026="NEW"),"",COUNTBLANK(OFFSET(A$1,,,SUMPRODUCT(MAX(ROW(E$2:E4026)*(E4026=E$2:E4026)))))-COUNTBLANK(OFFSET(A$1,,,SUMPRODUCT(MAX(ROW(E$1:E4025)*(E2=E$1:E4025))))))</f>
        <v> </v>
      </c>
      <c r="K4026" s="25" t="str">
        <f>IF(OR(E4026="",E4026="!!!",F4026="NEW"),"",INDEX(J$1:J4025,SUMPRODUCT(MAX(ROW(E$1:E4025)*(E4026=E$1:E4025)))))</f>
        <v> </v>
      </c>
      <c r="L4026" s="26"/>
    </row>
    <row r="4027" spans="1:12">
      <c r="A4027" s="20" t="s">
        <v>699</v>
      </c>
      <c r="E4027" s="21">
        <f>IF(D4027="?OLD","!!!","")</f>
        <v/>
      </c>
      <c r="F4027" s="22" t="str">
        <f>IF(OR(E4027="",E4027="!!!"),"",IF(NOT(ISNA(VLOOKUP(E4027,E$1:E4026,1,FALSE()))),"OLD",IF(AND(E4027&lt;&gt;"",E4027&lt;&gt;"!!!"),"NEW","")))</f>
        <v> </v>
      </c>
      <c r="G4027" s="23" t="str">
        <f>IF(OR(E4027="",E4027="!!!"),"",IF(OR(J4027=0,AND(J4027=1,K4027=1),AND(J4027=1,I4027="SBJ"),AND(J4027=1,I4027=0)),"?IN_FOCUS",IF(J4027&lt;=2,"?ACTIVATED",IF(J4027&lt;&gt;"","?FAMILIAR",IF(F4027="NEW",IF(ISNA(VLOOKUP(E4027,#REF!,1,FALSE())),"?TYPE_IDENTIFIABLE","?REFERENTIAL"),"_")))))</f>
        <v> </v>
      </c>
      <c r="H4027" s="24" t="str">
        <f>IF(J4027&lt;&gt;1,"",IF(I4027="SBJ","CB","?"))</f>
        <v> </v>
      </c>
      <c r="I4027" s="25" t="str">
        <f>IF(OR(E4027="",E4027="!!!",F4027="NEW"),"",INDEX(B4026:B$2,-1+SUMPRODUCT(MAX(ROW(E4026:E$2)*(E4027=E4026:E$2)))))</f>
        <v> </v>
      </c>
      <c r="J4027" s="25" t="str">
        <f>IF(OR(E4027="",E4027="!!!",F4027="NEW"),"",COUNTBLANK(OFFSET(A$1,,,SUMPRODUCT(MAX(ROW(E$2:E4027)*(E4027=E$2:E4027)))))-COUNTBLANK(OFFSET(A$1,,,SUMPRODUCT(MAX(ROW(E$1:E4026)*(E2=E$1:E4026))))))</f>
        <v> </v>
      </c>
      <c r="K4027" s="25" t="str">
        <f>IF(OR(E4027="",E4027="!!!",F4027="NEW"),"",INDEX(J$1:J4026,SUMPRODUCT(MAX(ROW(E$1:E4026)*(E4027=E$1:E4026)))))</f>
        <v> </v>
      </c>
      <c r="L4027" s="26"/>
    </row>
    <row r="4028" spans="1:12">
      <c r="A4028" s="20"/>
    </row>
    <row r="4029" spans="1:12">
      <c r="A4029" s="20" t="s">
        <v>1713</v>
      </c>
    </row>
    <row r="4030" spans="1:12">
      <c r="A4030" s="20" t="s">
        <v>1714</v>
      </c>
      <c r="E4030" s="21">
        <f>IF(D4030="?OLD","!!!","")</f>
        <v/>
      </c>
      <c r="F4030" s="22" t="str">
        <f>IF(OR(E4030="",E4030="!!!"),"",IF(NOT(ISNA(VLOOKUP(E4030,E$1:E4029,1,FALSE()))),"OLD",IF(AND(E4030&lt;&gt;"",E4030&lt;&gt;"!!!"),"NEW","")))</f>
        <v> </v>
      </c>
      <c r="G4030" s="23" t="str">
        <f>IF(OR(E4030="",E4030="!!!"),"",IF(OR(J4030=0,AND(J4030=1,K4030=1),AND(J4030=1,I4030="SBJ"),AND(J4030=1,I4030=0)),"?IN_FOCUS",IF(J4030&lt;=2,"?ACTIVATED",IF(J4030&lt;&gt;"","?FAMILIAR",IF(F4030="NEW",IF(ISNA(VLOOKUP(E4030,#REF!,1,FALSE())),"?TYPE_IDENTIFIABLE","?REFERENTIAL"),"_")))))</f>
        <v> </v>
      </c>
      <c r="H4030" s="24" t="str">
        <f>IF(J4030&lt;&gt;1,"",IF(I4030="SBJ","CB","?"))</f>
        <v> </v>
      </c>
      <c r="I4030" s="25" t="str">
        <f>IF(OR(E4030="",E4030="!!!",F4030="NEW"),"",INDEX(B4029:B$2,-1+SUMPRODUCT(MAX(ROW(E4029:E$2)*(E4030=E4029:E$2)))))</f>
        <v> </v>
      </c>
      <c r="J4030" s="25" t="str">
        <f>IF(OR(E4030="",E4030="!!!",F4030="NEW"),"",COUNTBLANK(OFFSET(A$1,,,SUMPRODUCT(MAX(ROW(E$2:E4030)*(E4030=E$2:E4030)))))-COUNTBLANK(OFFSET(A$1,,,SUMPRODUCT(MAX(ROW(E$1:E4029)*(E2=E$1:E4029))))))</f>
        <v> </v>
      </c>
      <c r="K4030" s="25" t="str">
        <f>IF(OR(E4030="",E4030="!!!",F4030="NEW"),"",INDEX(J$1:J4029,SUMPRODUCT(MAX(ROW(E$1:E4029)*(E4030=E$1:E4029)))))</f>
        <v> </v>
      </c>
      <c r="L4030" s="26"/>
    </row>
    <row r="4031" spans="1:12">
      <c r="A4031" s="20" t="s">
        <v>704</v>
      </c>
      <c r="E4031" s="21">
        <f>IF(D4031="?OLD","!!!","")</f>
        <v/>
      </c>
      <c r="F4031" s="22" t="str">
        <f>IF(OR(E4031="",E4031="!!!"),"",IF(NOT(ISNA(VLOOKUP(E4031,E$1:E4030,1,FALSE()))),"OLD",IF(AND(E4031&lt;&gt;"",E4031&lt;&gt;"!!!"),"NEW","")))</f>
        <v> </v>
      </c>
      <c r="G4031" s="23" t="str">
        <f>IF(OR(E4031="",E4031="!!!"),"",IF(OR(J4031=0,AND(J4031=1,K4031=1),AND(J4031=1,I4031="SBJ"),AND(J4031=1,I4031=0)),"?IN_FOCUS",IF(J4031&lt;=2,"?ACTIVATED",IF(J4031&lt;&gt;"","?FAMILIAR",IF(F4031="NEW",IF(ISNA(VLOOKUP(E4031,#REF!,1,FALSE())),"?TYPE_IDENTIFIABLE","?REFERENTIAL"),"_")))))</f>
        <v> </v>
      </c>
      <c r="H4031" s="24" t="str">
        <f>IF(J4031&lt;&gt;1,"",IF(I4031="SBJ","CB","?"))</f>
        <v> </v>
      </c>
      <c r="I4031" s="25" t="str">
        <f>IF(OR(E4031="",E4031="!!!",F4031="NEW"),"",INDEX(B4030:B$2,-1+SUMPRODUCT(MAX(ROW(E4030:E$2)*(E4031=E4030:E$2)))))</f>
        <v> </v>
      </c>
      <c r="J4031" s="25" t="str">
        <f>IF(OR(E4031="",E4031="!!!",F4031="NEW"),"",COUNTBLANK(OFFSET(A$1,,,SUMPRODUCT(MAX(ROW(E$2:E4031)*(E4031=E$2:E4031)))))-COUNTBLANK(OFFSET(A$1,,,SUMPRODUCT(MAX(ROW(E$1:E4030)*(E2=E$1:E4030))))))</f>
        <v> </v>
      </c>
      <c r="K4031" s="25" t="str">
        <f>IF(OR(E4031="",E4031="!!!",F4031="NEW"),"",INDEX(J$1:J4030,SUMPRODUCT(MAX(ROW(E$1:E4030)*(E4031=E$1:E4030)))))</f>
        <v> </v>
      </c>
      <c r="L4031" s="26"/>
    </row>
    <row r="4032" spans="1:12">
      <c r="A4032" s="20" t="s">
        <v>1715</v>
      </c>
      <c r="B4032" s="27" t="s">
        <v>692</v>
      </c>
      <c r="C4032" s="27" t="s">
        <v>733</v>
      </c>
      <c r="D4032" s="27" t="s">
        <v>694</v>
      </c>
      <c r="E4032" s="21">
        <f>IF(D4032="?OLD","!!!","")</f>
        <v/>
      </c>
      <c r="F4032" s="22" t="str">
        <f>IF(OR(E4032="",E4032="!!!"),"",IF(NOT(ISNA(VLOOKUP(E4032,E$1:E4031,1,FALSE()))),"OLD",IF(AND(E4032&lt;&gt;"",E4032&lt;&gt;"!!!"),"NEW","")))</f>
        <v> </v>
      </c>
      <c r="G4032" s="23" t="str">
        <f>IF(OR(E4032="",E4032="!!!"),"",IF(OR(J4032=0,AND(J4032=1,K4032=1),AND(J4032=1,I4032="SBJ"),AND(J4032=1,I4032=0)),"?IN_FOCUS",IF(J4032&lt;=2,"?ACTIVATED",IF(J4032&lt;&gt;"","?FAMILIAR",IF(F4032="NEW",IF(ISNA(VLOOKUP(E4032,#REF!,1,FALSE())),"?TYPE_IDENTIFIABLE","?REFERENTIAL"),"_")))))</f>
        <v> </v>
      </c>
      <c r="H4032" s="24" t="str">
        <f>IF(J4032&lt;&gt;1,"",IF(I4032="SBJ","CB","?"))</f>
        <v> </v>
      </c>
      <c r="I4032" s="25" t="str">
        <f>IF(OR(E4032="",E4032="!!!",F4032="NEW"),"",INDEX(B4031:B$2,-1+SUMPRODUCT(MAX(ROW(E4031:E$2)*(E4032=E4031:E$2)))))</f>
        <v> </v>
      </c>
      <c r="J4032" s="25" t="str">
        <f>IF(OR(E4032="",E4032="!!!",F4032="NEW"),"",COUNTBLANK(OFFSET(A$1,,,SUMPRODUCT(MAX(ROW(E$2:E4032)*(E4032=E$2:E4032)))))-COUNTBLANK(OFFSET(A$1,,,SUMPRODUCT(MAX(ROW(E$1:E4031)*(E2=E$1:E4031))))))</f>
        <v> </v>
      </c>
      <c r="K4032" s="25" t="str">
        <f>IF(OR(E4032="",E4032="!!!",F4032="NEW"),"",INDEX(J$1:J4031,SUMPRODUCT(MAX(ROW(E$1:E4031)*(E4032=E$1:E4031)))))</f>
        <v> </v>
      </c>
      <c r="L4032" s="26"/>
    </row>
    <row r="4033" spans="1:12">
      <c r="A4033" s="20" t="s">
        <v>747</v>
      </c>
      <c r="E4033" s="21">
        <f>IF(D4033="?OLD","!!!","")</f>
        <v/>
      </c>
      <c r="F4033" s="22" t="str">
        <f>IF(OR(E4033="",E4033="!!!"),"",IF(NOT(ISNA(VLOOKUP(E4033,E$1:E4032,1,FALSE()))),"OLD",IF(AND(E4033&lt;&gt;"",E4033&lt;&gt;"!!!"),"NEW","")))</f>
        <v> </v>
      </c>
      <c r="G4033" s="23" t="str">
        <f>IF(OR(E4033="",E4033="!!!"),"",IF(OR(J4033=0,AND(J4033=1,K4033=1),AND(J4033=1,I4033="SBJ"),AND(J4033=1,I4033=0)),"?IN_FOCUS",IF(J4033&lt;=2,"?ACTIVATED",IF(J4033&lt;&gt;"","?FAMILIAR",IF(F4033="NEW",IF(ISNA(VLOOKUP(E4033,#REF!,1,FALSE())),"?TYPE_IDENTIFIABLE","?REFERENTIAL"),"_")))))</f>
        <v> </v>
      </c>
      <c r="H4033" s="24" t="str">
        <f>IF(J4033&lt;&gt;1,"",IF(I4033="SBJ","CB","?"))</f>
        <v> </v>
      </c>
      <c r="I4033" s="25" t="str">
        <f>IF(OR(E4033="",E4033="!!!",F4033="NEW"),"",INDEX(B4032:B$2,-1+SUMPRODUCT(MAX(ROW(E4032:E$2)*(E4033=E4032:E$2)))))</f>
        <v> </v>
      </c>
      <c r="J4033" s="25" t="str">
        <f>IF(OR(E4033="",E4033="!!!",F4033="NEW"),"",COUNTBLANK(OFFSET(A$1,,,SUMPRODUCT(MAX(ROW(E$2:E4033)*(E4033=E$2:E4033)))))-COUNTBLANK(OFFSET(A$1,,,SUMPRODUCT(MAX(ROW(E$1:E4032)*(E2=E$1:E4032))))))</f>
        <v> </v>
      </c>
      <c r="K4033" s="25" t="str">
        <f>IF(OR(E4033="",E4033="!!!",F4033="NEW"),"",INDEX(J$1:J4032,SUMPRODUCT(MAX(ROW(E$1:E4032)*(E4033=E$1:E4032)))))</f>
        <v> </v>
      </c>
      <c r="L4033" s="26"/>
    </row>
    <row r="4034" spans="1:12">
      <c r="A4034" s="20" t="s">
        <v>1716</v>
      </c>
      <c r="E4034" s="21">
        <f>IF(D4034="?OLD","!!!","")</f>
        <v/>
      </c>
      <c r="F4034" s="22" t="str">
        <f>IF(OR(E4034="",E4034="!!!"),"",IF(NOT(ISNA(VLOOKUP(E4034,E$1:E4033,1,FALSE()))),"OLD",IF(AND(E4034&lt;&gt;"",E4034&lt;&gt;"!!!"),"NEW","")))</f>
        <v> </v>
      </c>
      <c r="G4034" s="23" t="str">
        <f>IF(OR(E4034="",E4034="!!!"),"",IF(OR(J4034=0,AND(J4034=1,K4034=1),AND(J4034=1,I4034="SBJ"),AND(J4034=1,I4034=0)),"?IN_FOCUS",IF(J4034&lt;=2,"?ACTIVATED",IF(J4034&lt;&gt;"","?FAMILIAR",IF(F4034="NEW",IF(ISNA(VLOOKUP(E4034,#REF!,1,FALSE())),"?TYPE_IDENTIFIABLE","?REFERENTIAL"),"_")))))</f>
        <v> </v>
      </c>
      <c r="H4034" s="24" t="str">
        <f>IF(J4034&lt;&gt;1,"",IF(I4034="SBJ","CB","?"))</f>
        <v> </v>
      </c>
      <c r="I4034" s="25" t="str">
        <f>IF(OR(E4034="",E4034="!!!",F4034="NEW"),"",INDEX(B4033:B$2,-1+SUMPRODUCT(MAX(ROW(E4033:E$2)*(E4034=E4033:E$2)))))</f>
        <v> </v>
      </c>
      <c r="J4034" s="25" t="str">
        <f>IF(OR(E4034="",E4034="!!!",F4034="NEW"),"",COUNTBLANK(OFFSET(A$1,,,SUMPRODUCT(MAX(ROW(E$2:E4034)*(E4034=E$2:E4034)))))-COUNTBLANK(OFFSET(A$1,,,SUMPRODUCT(MAX(ROW(E$1:E4033)*(E2=E$1:E4033))))))</f>
        <v> </v>
      </c>
      <c r="K4034" s="25" t="str">
        <f>IF(OR(E4034="",E4034="!!!",F4034="NEW"),"",INDEX(J$1:J4033,SUMPRODUCT(MAX(ROW(E$1:E4033)*(E4034=E$1:E4033)))))</f>
        <v> </v>
      </c>
      <c r="L4034" s="26"/>
    </row>
    <row r="4035" spans="1:12">
      <c r="A4035" s="20" t="s">
        <v>1717</v>
      </c>
      <c r="B4035" s="27" t="s">
        <v>706</v>
      </c>
      <c r="C4035" s="27" t="s">
        <v>693</v>
      </c>
      <c r="D4035" s="27" t="s">
        <v>694</v>
      </c>
      <c r="E4035" s="21">
        <f>IF(D4035="?OLD","!!!","")</f>
        <v/>
      </c>
      <c r="F4035" s="22" t="str">
        <f>IF(OR(E4035="",E4035="!!!"),"",IF(NOT(ISNA(VLOOKUP(E4035,E$1:E4034,1,FALSE()))),"OLD",IF(AND(E4035&lt;&gt;"",E4035&lt;&gt;"!!!"),"NEW","")))</f>
        <v> </v>
      </c>
      <c r="G4035" s="23" t="str">
        <f>IF(OR(E4035="",E4035="!!!"),"",IF(OR(J4035=0,AND(J4035=1,K4035=1),AND(J4035=1,I4035="SBJ"),AND(J4035=1,I4035=0)),"?IN_FOCUS",IF(J4035&lt;=2,"?ACTIVATED",IF(J4035&lt;&gt;"","?FAMILIAR",IF(F4035="NEW",IF(ISNA(VLOOKUP(E4035,#REF!,1,FALSE())),"?TYPE_IDENTIFIABLE","?REFERENTIAL"),"_")))))</f>
        <v> </v>
      </c>
      <c r="H4035" s="24" t="str">
        <f>IF(J4035&lt;&gt;1,"",IF(I4035="SBJ","CB","?"))</f>
        <v> </v>
      </c>
      <c r="I4035" s="25" t="str">
        <f>IF(OR(E4035="",E4035="!!!",F4035="NEW"),"",INDEX(B4034:B$2,-1+SUMPRODUCT(MAX(ROW(E4034:E$2)*(E4035=E4034:E$2)))))</f>
        <v> </v>
      </c>
      <c r="J4035" s="25" t="str">
        <f>IF(OR(E4035="",E4035="!!!",F4035="NEW"),"",COUNTBLANK(OFFSET(A$1,,,SUMPRODUCT(MAX(ROW(E$2:E4035)*(E4035=E$2:E4035)))))-COUNTBLANK(OFFSET(A$1,,,SUMPRODUCT(MAX(ROW(E$1:E4034)*(E2=E$1:E4034))))))</f>
        <v> </v>
      </c>
      <c r="K4035" s="25" t="str">
        <f>IF(OR(E4035="",E4035="!!!",F4035="NEW"),"",INDEX(J$1:J4034,SUMPRODUCT(MAX(ROW(E$1:E4034)*(E4035=E$1:E4034)))))</f>
        <v> </v>
      </c>
      <c r="L4035" s="26"/>
    </row>
    <row r="4036" spans="1:12">
      <c r="A4036" s="20" t="s">
        <v>809</v>
      </c>
      <c r="E4036" s="21">
        <f>IF(D4036="?OLD","!!!","")</f>
        <v/>
      </c>
      <c r="F4036" s="22" t="str">
        <f>IF(OR(E4036="",E4036="!!!"),"",IF(NOT(ISNA(VLOOKUP(E4036,E$1:E4035,1,FALSE()))),"OLD",IF(AND(E4036&lt;&gt;"",E4036&lt;&gt;"!!!"),"NEW","")))</f>
        <v> </v>
      </c>
      <c r="G4036" s="23" t="str">
        <f>IF(OR(E4036="",E4036="!!!"),"",IF(OR(J4036=0,AND(J4036=1,K4036=1),AND(J4036=1,I4036="SBJ"),AND(J4036=1,I4036=0)),"?IN_FOCUS",IF(J4036&lt;=2,"?ACTIVATED",IF(J4036&lt;&gt;"","?FAMILIAR",IF(F4036="NEW",IF(ISNA(VLOOKUP(E4036,#REF!,1,FALSE())),"?TYPE_IDENTIFIABLE","?REFERENTIAL"),"_")))))</f>
        <v> </v>
      </c>
      <c r="H4036" s="24" t="str">
        <f>IF(J4036&lt;&gt;1,"",IF(I4036="SBJ","CB","?"))</f>
        <v> </v>
      </c>
      <c r="I4036" s="25" t="str">
        <f>IF(OR(E4036="",E4036="!!!",F4036="NEW"),"",INDEX(B4035:B$2,-1+SUMPRODUCT(MAX(ROW(E4035:E$2)*(E4036=E4035:E$2)))))</f>
        <v> </v>
      </c>
      <c r="J4036" s="25" t="str">
        <f>IF(OR(E4036="",E4036="!!!",F4036="NEW"),"",COUNTBLANK(OFFSET(A$1,,,SUMPRODUCT(MAX(ROW(E$2:E4036)*(E4036=E$2:E4036)))))-COUNTBLANK(OFFSET(A$1,,,SUMPRODUCT(MAX(ROW(E$1:E4035)*(E2=E$1:E4035))))))</f>
        <v> </v>
      </c>
      <c r="K4036" s="25" t="str">
        <f>IF(OR(E4036="",E4036="!!!",F4036="NEW"),"",INDEX(J$1:J4035,SUMPRODUCT(MAX(ROW(E$1:E4035)*(E4036=E$1:E4035)))))</f>
        <v> </v>
      </c>
      <c r="L4036" s="26"/>
    </row>
    <row r="4037" spans="1:12">
      <c r="A4037" s="20" t="s">
        <v>721</v>
      </c>
      <c r="E4037" s="21">
        <f>IF(D4037="?OLD","!!!","")</f>
        <v/>
      </c>
      <c r="F4037" s="22" t="str">
        <f>IF(OR(E4037="",E4037="!!!"),"",IF(NOT(ISNA(VLOOKUP(E4037,E$1:E4036,1,FALSE()))),"OLD",IF(AND(E4037&lt;&gt;"",E4037&lt;&gt;"!!!"),"NEW","")))</f>
        <v> </v>
      </c>
      <c r="G4037" s="23" t="str">
        <f>IF(OR(E4037="",E4037="!!!"),"",IF(OR(J4037=0,AND(J4037=1,K4037=1),AND(J4037=1,I4037="SBJ"),AND(J4037=1,I4037=0)),"?IN_FOCUS",IF(J4037&lt;=2,"?ACTIVATED",IF(J4037&lt;&gt;"","?FAMILIAR",IF(F4037="NEW",IF(ISNA(VLOOKUP(E4037,#REF!,1,FALSE())),"?TYPE_IDENTIFIABLE","?REFERENTIAL"),"_")))))</f>
        <v> </v>
      </c>
      <c r="H4037" s="24" t="str">
        <f>IF(J4037&lt;&gt;1,"",IF(I4037="SBJ","CB","?"))</f>
        <v> </v>
      </c>
      <c r="I4037" s="25" t="str">
        <f>IF(OR(E4037="",E4037="!!!",F4037="NEW"),"",INDEX(B4036:B$2,-1+SUMPRODUCT(MAX(ROW(E4036:E$2)*(E4037=E4036:E$2)))))</f>
        <v> </v>
      </c>
      <c r="J4037" s="25" t="str">
        <f>IF(OR(E4037="",E4037="!!!",F4037="NEW"),"",COUNTBLANK(OFFSET(A$1,,,SUMPRODUCT(MAX(ROW(E$2:E4037)*(E4037=E$2:E4037)))))-COUNTBLANK(OFFSET(A$1,,,SUMPRODUCT(MAX(ROW(E$1:E4036)*(E2=E$1:E4036))))))</f>
        <v> </v>
      </c>
      <c r="K4037" s="25" t="str">
        <f>IF(OR(E4037="",E4037="!!!",F4037="NEW"),"",INDEX(J$1:J4036,SUMPRODUCT(MAX(ROW(E$1:E4036)*(E4037=E$1:E4036)))))</f>
        <v> </v>
      </c>
      <c r="L4037" s="26"/>
    </row>
    <row r="4038" spans="1:12">
      <c r="A4038" s="20" t="s">
        <v>1718</v>
      </c>
      <c r="B4038" s="27" t="s">
        <v>737</v>
      </c>
      <c r="C4038" s="27" t="s">
        <v>693</v>
      </c>
      <c r="D4038" s="27" t="s">
        <v>694</v>
      </c>
      <c r="E4038" s="21">
        <f>IF(D4038="?OLD","!!!","")</f>
        <v/>
      </c>
      <c r="F4038" s="22" t="str">
        <f>IF(OR(E4038="",E4038="!!!"),"",IF(NOT(ISNA(VLOOKUP(E4038,E$1:E4037,1,FALSE()))),"OLD",IF(AND(E4038&lt;&gt;"",E4038&lt;&gt;"!!!"),"NEW","")))</f>
        <v> </v>
      </c>
      <c r="G4038" s="23" t="str">
        <f>IF(OR(E4038="",E4038="!!!"),"",IF(OR(J4038=0,AND(J4038=1,K4038=1),AND(J4038=1,I4038="SBJ"),AND(J4038=1,I4038=0)),"?IN_FOCUS",IF(J4038&lt;=2,"?ACTIVATED",IF(J4038&lt;&gt;"","?FAMILIAR",IF(F4038="NEW",IF(ISNA(VLOOKUP(E4038,#REF!,1,FALSE())),"?TYPE_IDENTIFIABLE","?REFERENTIAL"),"_")))))</f>
        <v> </v>
      </c>
      <c r="H4038" s="24" t="str">
        <f>IF(J4038&lt;&gt;1,"",IF(I4038="SBJ","CB","?"))</f>
        <v> </v>
      </c>
      <c r="I4038" s="25" t="str">
        <f>IF(OR(E4038="",E4038="!!!",F4038="NEW"),"",INDEX(B4037:B$2,-1+SUMPRODUCT(MAX(ROW(E4037:E$2)*(E4038=E4037:E$2)))))</f>
        <v> </v>
      </c>
      <c r="J4038" s="25" t="str">
        <f>IF(OR(E4038="",E4038="!!!",F4038="NEW"),"",COUNTBLANK(OFFSET(A$1,,,SUMPRODUCT(MAX(ROW(E$2:E4038)*(E4038=E$2:E4038)))))-COUNTBLANK(OFFSET(A$1,,,SUMPRODUCT(MAX(ROW(E$1:E4037)*(E2=E$1:E4037))))))</f>
        <v> </v>
      </c>
      <c r="K4038" s="25" t="str">
        <f>IF(OR(E4038="",E4038="!!!",F4038="NEW"),"",INDEX(J$1:J4037,SUMPRODUCT(MAX(ROW(E$1:E4037)*(E4038=E$1:E4037)))))</f>
        <v> </v>
      </c>
      <c r="L4038" s="26"/>
    </row>
    <row r="4039" spans="1:12">
      <c r="A4039" s="20" t="s">
        <v>725</v>
      </c>
      <c r="E4039" s="21">
        <f>IF(D4039="?OLD","!!!","")</f>
        <v/>
      </c>
      <c r="F4039" s="22" t="str">
        <f>IF(OR(E4039="",E4039="!!!"),"",IF(NOT(ISNA(VLOOKUP(E4039,E$1:E4038,1,FALSE()))),"OLD",IF(AND(E4039&lt;&gt;"",E4039&lt;&gt;"!!!"),"NEW","")))</f>
        <v> </v>
      </c>
      <c r="G4039" s="23" t="str">
        <f>IF(OR(E4039="",E4039="!!!"),"",IF(OR(J4039=0,AND(J4039=1,K4039=1),AND(J4039=1,I4039="SBJ"),AND(J4039=1,I4039=0)),"?IN_FOCUS",IF(J4039&lt;=2,"?ACTIVATED",IF(J4039&lt;&gt;"","?FAMILIAR",IF(F4039="NEW",IF(ISNA(VLOOKUP(E4039,#REF!,1,FALSE())),"?TYPE_IDENTIFIABLE","?REFERENTIAL"),"_")))))</f>
        <v> </v>
      </c>
      <c r="H4039" s="24" t="str">
        <f>IF(J4039&lt;&gt;1,"",IF(I4039="SBJ","CB","?"))</f>
        <v> </v>
      </c>
      <c r="I4039" s="25" t="str">
        <f>IF(OR(E4039="",E4039="!!!",F4039="NEW"),"",INDEX(B4038:B$2,-1+SUMPRODUCT(MAX(ROW(E4038:E$2)*(E4039=E4038:E$2)))))</f>
        <v> </v>
      </c>
      <c r="J4039" s="25" t="str">
        <f>IF(OR(E4039="",E4039="!!!",F4039="NEW"),"",COUNTBLANK(OFFSET(A$1,,,SUMPRODUCT(MAX(ROW(E$2:E4039)*(E4039=E$2:E4039)))))-COUNTBLANK(OFFSET(A$1,,,SUMPRODUCT(MAX(ROW(E$1:E4038)*(E2=E$1:E4038))))))</f>
        <v> </v>
      </c>
      <c r="K4039" s="25" t="str">
        <f>IF(OR(E4039="",E4039="!!!",F4039="NEW"),"",INDEX(J$1:J4038,SUMPRODUCT(MAX(ROW(E$1:E4038)*(E4039=E$1:E4038)))))</f>
        <v> </v>
      </c>
      <c r="L4039" s="26"/>
    </row>
    <row r="4040" spans="1:12">
      <c r="A4040" s="20" t="s">
        <v>809</v>
      </c>
      <c r="E4040" s="21">
        <f>IF(D4040="?OLD","!!!","")</f>
        <v/>
      </c>
      <c r="F4040" s="22" t="str">
        <f>IF(OR(E4040="",E4040="!!!"),"",IF(NOT(ISNA(VLOOKUP(E4040,E$1:E4039,1,FALSE()))),"OLD",IF(AND(E4040&lt;&gt;"",E4040&lt;&gt;"!!!"),"NEW","")))</f>
        <v> </v>
      </c>
      <c r="G4040" s="23" t="str">
        <f>IF(OR(E4040="",E4040="!!!"),"",IF(OR(J4040=0,AND(J4040=1,K4040=1),AND(J4040=1,I4040="SBJ"),AND(J4040=1,I4040=0)),"?IN_FOCUS",IF(J4040&lt;=2,"?ACTIVATED",IF(J4040&lt;&gt;"","?FAMILIAR",IF(F4040="NEW",IF(ISNA(VLOOKUP(E4040,#REF!,1,FALSE())),"?TYPE_IDENTIFIABLE","?REFERENTIAL"),"_")))))</f>
        <v> </v>
      </c>
      <c r="H4040" s="24" t="str">
        <f>IF(J4040&lt;&gt;1,"",IF(I4040="SBJ","CB","?"))</f>
        <v> </v>
      </c>
      <c r="I4040" s="25" t="str">
        <f>IF(OR(E4040="",E4040="!!!",F4040="NEW"),"",INDEX(B4039:B$2,-1+SUMPRODUCT(MAX(ROW(E4039:E$2)*(E4040=E4039:E$2)))))</f>
        <v> </v>
      </c>
      <c r="J4040" s="25" t="str">
        <f>IF(OR(E4040="",E4040="!!!",F4040="NEW"),"",COUNTBLANK(OFFSET(A$1,,,SUMPRODUCT(MAX(ROW(E$2:E4040)*(E4040=E$2:E4040)))))-COUNTBLANK(OFFSET(A$1,,,SUMPRODUCT(MAX(ROW(E$1:E4039)*(E2=E$1:E4039))))))</f>
        <v> </v>
      </c>
      <c r="K4040" s="25" t="str">
        <f>IF(OR(E4040="",E4040="!!!",F4040="NEW"),"",INDEX(J$1:J4039,SUMPRODUCT(MAX(ROW(E$1:E4039)*(E4040=E$1:E4039)))))</f>
        <v> </v>
      </c>
      <c r="L4040" s="26"/>
    </row>
    <row r="4041" spans="1:12">
      <c r="A4041" s="20" t="s">
        <v>690</v>
      </c>
      <c r="E4041" s="21">
        <f>IF(D4041="?OLD","!!!","")</f>
        <v/>
      </c>
      <c r="F4041" s="22" t="str">
        <f>IF(OR(E4041="",E4041="!!!"),"",IF(NOT(ISNA(VLOOKUP(E4041,E$1:E4040,1,FALSE()))),"OLD",IF(AND(E4041&lt;&gt;"",E4041&lt;&gt;"!!!"),"NEW","")))</f>
        <v> </v>
      </c>
      <c r="G4041" s="23" t="str">
        <f>IF(OR(E4041="",E4041="!!!"),"",IF(OR(J4041=0,AND(J4041=1,K4041=1),AND(J4041=1,I4041="SBJ"),AND(J4041=1,I4041=0)),"?IN_FOCUS",IF(J4041&lt;=2,"?ACTIVATED",IF(J4041&lt;&gt;"","?FAMILIAR",IF(F4041="NEW",IF(ISNA(VLOOKUP(E4041,#REF!,1,FALSE())),"?TYPE_IDENTIFIABLE","?REFERENTIAL"),"_")))))</f>
        <v> </v>
      </c>
      <c r="H4041" s="24" t="str">
        <f>IF(J4041&lt;&gt;1,"",IF(I4041="SBJ","CB","?"))</f>
        <v> </v>
      </c>
      <c r="I4041" s="25" t="str">
        <f>IF(OR(E4041="",E4041="!!!",F4041="NEW"),"",INDEX(B4040:B$2,-1+SUMPRODUCT(MAX(ROW(E4040:E$2)*(E4041=E4040:E$2)))))</f>
        <v> </v>
      </c>
      <c r="J4041" s="25" t="str">
        <f>IF(OR(E4041="",E4041="!!!",F4041="NEW"),"",COUNTBLANK(OFFSET(A$1,,,SUMPRODUCT(MAX(ROW(E$2:E4041)*(E4041=E$2:E4041)))))-COUNTBLANK(OFFSET(A$1,,,SUMPRODUCT(MAX(ROW(E$1:E4040)*(E2=E$1:E4040))))))</f>
        <v> </v>
      </c>
      <c r="K4041" s="25" t="str">
        <f>IF(OR(E4041="",E4041="!!!",F4041="NEW"),"",INDEX(J$1:J4040,SUMPRODUCT(MAX(ROW(E$1:E4040)*(E4041=E$1:E4040)))))</f>
        <v> </v>
      </c>
      <c r="L4041" s="26"/>
    </row>
    <row r="4042" spans="1:12">
      <c r="A4042" s="20" t="s">
        <v>1719</v>
      </c>
      <c r="B4042" s="27" t="s">
        <v>823</v>
      </c>
      <c r="C4042" s="27" t="s">
        <v>693</v>
      </c>
      <c r="D4042" s="27" t="s">
        <v>694</v>
      </c>
      <c r="E4042" s="21">
        <f>IF(D4042="?OLD","!!!","")</f>
        <v/>
      </c>
      <c r="F4042" s="22" t="str">
        <f>IF(OR(E4042="",E4042="!!!"),"",IF(NOT(ISNA(VLOOKUP(E4042,E$1:E4041,1,FALSE()))),"OLD",IF(AND(E4042&lt;&gt;"",E4042&lt;&gt;"!!!"),"NEW","")))</f>
        <v> </v>
      </c>
      <c r="G4042" s="23" t="str">
        <f>IF(OR(E4042="",E4042="!!!"),"",IF(OR(J4042=0,AND(J4042=1,K4042=1),AND(J4042=1,I4042="SBJ"),AND(J4042=1,I4042=0)),"?IN_FOCUS",IF(J4042&lt;=2,"?ACTIVATED",IF(J4042&lt;&gt;"","?FAMILIAR",IF(F4042="NEW",IF(ISNA(VLOOKUP(E4042,#REF!,1,FALSE())),"?TYPE_IDENTIFIABLE","?REFERENTIAL"),"_")))))</f>
        <v> </v>
      </c>
      <c r="H4042" s="24" t="str">
        <f>IF(J4042&lt;&gt;1,"",IF(I4042="SBJ","CB","?"))</f>
        <v> </v>
      </c>
      <c r="I4042" s="25" t="str">
        <f>IF(OR(E4042="",E4042="!!!",F4042="NEW"),"",INDEX(B4041:B$2,-1+SUMPRODUCT(MAX(ROW(E4041:E$2)*(E4042=E4041:E$2)))))</f>
        <v> </v>
      </c>
      <c r="J4042" s="25" t="str">
        <f>IF(OR(E4042="",E4042="!!!",F4042="NEW"),"",COUNTBLANK(OFFSET(A$1,,,SUMPRODUCT(MAX(ROW(E$2:E4042)*(E4042=E$2:E4042)))))-COUNTBLANK(OFFSET(A$1,,,SUMPRODUCT(MAX(ROW(E$1:E4041)*(E2=E$1:E4041))))))</f>
        <v> </v>
      </c>
      <c r="K4042" s="25" t="str">
        <f>IF(OR(E4042="",E4042="!!!",F4042="NEW"),"",INDEX(J$1:J4041,SUMPRODUCT(MAX(ROW(E$1:E4041)*(E4042=E$1:E4041)))))</f>
        <v> </v>
      </c>
      <c r="L4042" s="26"/>
    </row>
    <row r="4043" spans="1:12">
      <c r="A4043" s="20" t="s">
        <v>725</v>
      </c>
      <c r="E4043" s="21">
        <f>IF(D4043="?OLD","!!!","")</f>
        <v/>
      </c>
      <c r="F4043" s="22" t="str">
        <f>IF(OR(E4043="",E4043="!!!"),"",IF(NOT(ISNA(VLOOKUP(E4043,E$1:E4042,1,FALSE()))),"OLD",IF(AND(E4043&lt;&gt;"",E4043&lt;&gt;"!!!"),"NEW","")))</f>
        <v> </v>
      </c>
      <c r="G4043" s="23" t="str">
        <f>IF(OR(E4043="",E4043="!!!"),"",IF(OR(J4043=0,AND(J4043=1,K4043=1),AND(J4043=1,I4043="SBJ"),AND(J4043=1,I4043=0)),"?IN_FOCUS",IF(J4043&lt;=2,"?ACTIVATED",IF(J4043&lt;&gt;"","?FAMILIAR",IF(F4043="NEW",IF(ISNA(VLOOKUP(E4043,#REF!,1,FALSE())),"?TYPE_IDENTIFIABLE","?REFERENTIAL"),"_")))))</f>
        <v> </v>
      </c>
      <c r="H4043" s="24" t="str">
        <f>IF(J4043&lt;&gt;1,"",IF(I4043="SBJ","CB","?"))</f>
        <v> </v>
      </c>
      <c r="I4043" s="25" t="str">
        <f>IF(OR(E4043="",E4043="!!!",F4043="NEW"),"",INDEX(B4042:B$2,-1+SUMPRODUCT(MAX(ROW(E4042:E$2)*(E4043=E4042:E$2)))))</f>
        <v> </v>
      </c>
      <c r="J4043" s="25" t="str">
        <f>IF(OR(E4043="",E4043="!!!",F4043="NEW"),"",COUNTBLANK(OFFSET(A$1,,,SUMPRODUCT(MAX(ROW(E$2:E4043)*(E4043=E$2:E4043)))))-COUNTBLANK(OFFSET(A$1,,,SUMPRODUCT(MAX(ROW(E$1:E4042)*(E2=E$1:E4042))))))</f>
        <v> </v>
      </c>
      <c r="K4043" s="25" t="str">
        <f>IF(OR(E4043="",E4043="!!!",F4043="NEW"),"",INDEX(J$1:J4042,SUMPRODUCT(MAX(ROW(E$1:E4042)*(E4043=E$1:E4042)))))</f>
        <v> </v>
      </c>
      <c r="L4043" s="26"/>
    </row>
    <row r="4044" spans="1:12">
      <c r="A4044" s="20" t="s">
        <v>862</v>
      </c>
      <c r="E4044" s="21">
        <f>IF(D4044="?OLD","!!!","")</f>
        <v/>
      </c>
      <c r="F4044" s="22" t="str">
        <f>IF(OR(E4044="",E4044="!!!"),"",IF(NOT(ISNA(VLOOKUP(E4044,E$1:E4043,1,FALSE()))),"OLD",IF(AND(E4044&lt;&gt;"",E4044&lt;&gt;"!!!"),"NEW","")))</f>
        <v> </v>
      </c>
      <c r="G4044" s="23" t="str">
        <f>IF(OR(E4044="",E4044="!!!"),"",IF(OR(J4044=0,AND(J4044=1,K4044=1),AND(J4044=1,I4044="SBJ"),AND(J4044=1,I4044=0)),"?IN_FOCUS",IF(J4044&lt;=2,"?ACTIVATED",IF(J4044&lt;&gt;"","?FAMILIAR",IF(F4044="NEW",IF(ISNA(VLOOKUP(E4044,#REF!,1,FALSE())),"?TYPE_IDENTIFIABLE","?REFERENTIAL"),"_")))))</f>
        <v> </v>
      </c>
      <c r="H4044" s="24" t="str">
        <f>IF(J4044&lt;&gt;1,"",IF(I4044="SBJ","CB","?"))</f>
        <v> </v>
      </c>
      <c r="I4044" s="25" t="str">
        <f>IF(OR(E4044="",E4044="!!!",F4044="NEW"),"",INDEX(B4043:B$2,-1+SUMPRODUCT(MAX(ROW(E4043:E$2)*(E4044=E4043:E$2)))))</f>
        <v> </v>
      </c>
      <c r="J4044" s="25" t="str">
        <f>IF(OR(E4044="",E4044="!!!",F4044="NEW"),"",COUNTBLANK(OFFSET(A$1,,,SUMPRODUCT(MAX(ROW(E$2:E4044)*(E4044=E$2:E4044)))))-COUNTBLANK(OFFSET(A$1,,,SUMPRODUCT(MAX(ROW(E$1:E4043)*(E2=E$1:E4043))))))</f>
        <v> </v>
      </c>
      <c r="K4044" s="25" t="str">
        <f>IF(OR(E4044="",E4044="!!!",F4044="NEW"),"",INDEX(J$1:J4043,SUMPRODUCT(MAX(ROW(E$1:E4043)*(E4044=E$1:E4043)))))</f>
        <v> </v>
      </c>
      <c r="L4044" s="26"/>
    </row>
    <row r="4045" spans="1:12">
      <c r="A4045" s="20" t="s">
        <v>899</v>
      </c>
      <c r="B4045" s="27" t="s">
        <v>756</v>
      </c>
      <c r="C4045" s="27" t="s">
        <v>780</v>
      </c>
      <c r="D4045" s="27" t="s">
        <v>694</v>
      </c>
      <c r="E4045" s="21">
        <f>IF(D4045="?OLD","!!!","")</f>
        <v/>
      </c>
      <c r="F4045" s="22" t="str">
        <f>IF(OR(E4045="",E4045="!!!"),"",IF(NOT(ISNA(VLOOKUP(E4045,E$1:E4044,1,FALSE()))),"OLD",IF(AND(E4045&lt;&gt;"",E4045&lt;&gt;"!!!"),"NEW","")))</f>
        <v> </v>
      </c>
      <c r="G4045" s="23" t="str">
        <f>IF(OR(E4045="",E4045="!!!"),"",IF(OR(J4045=0,AND(J4045=1,K4045=1),AND(J4045=1,I4045="SBJ"),AND(J4045=1,I4045=0)),"?IN_FOCUS",IF(J4045&lt;=2,"?ACTIVATED",IF(J4045&lt;&gt;"","?FAMILIAR",IF(F4045="NEW",IF(ISNA(VLOOKUP(E4045,#REF!,1,FALSE())),"?TYPE_IDENTIFIABLE","?REFERENTIAL"),"_")))))</f>
        <v> </v>
      </c>
      <c r="H4045" s="24" t="str">
        <f>IF(J4045&lt;&gt;1,"",IF(I4045="SBJ","CB","?"))</f>
        <v> </v>
      </c>
      <c r="I4045" s="25" t="str">
        <f>IF(OR(E4045="",E4045="!!!",F4045="NEW"),"",INDEX(B4044:B$2,-1+SUMPRODUCT(MAX(ROW(E4044:E$2)*(E4045=E4044:E$2)))))</f>
        <v> </v>
      </c>
      <c r="J4045" s="25" t="str">
        <f>IF(OR(E4045="",E4045="!!!",F4045="NEW"),"",COUNTBLANK(OFFSET(A$1,,,SUMPRODUCT(MAX(ROW(E$2:E4045)*(E4045=E$2:E4045)))))-COUNTBLANK(OFFSET(A$1,,,SUMPRODUCT(MAX(ROW(E$1:E4044)*(E2=E$1:E4044))))))</f>
        <v> </v>
      </c>
      <c r="K4045" s="25" t="str">
        <f>IF(OR(E4045="",E4045="!!!",F4045="NEW"),"",INDEX(J$1:J4044,SUMPRODUCT(MAX(ROW(E$1:E4044)*(E4045=E$1:E4044)))))</f>
        <v> </v>
      </c>
      <c r="L4045" s="26"/>
    </row>
    <row r="4046" spans="1:12">
      <c r="A4046" s="20" t="s">
        <v>1720</v>
      </c>
      <c r="B4046" s="27" t="s">
        <v>755</v>
      </c>
      <c r="C4046" s="27" t="s">
        <v>782</v>
      </c>
      <c r="D4046" s="27" t="s">
        <v>694</v>
      </c>
      <c r="E4046" s="21">
        <f>IF(D4046="?OLD","!!!","")</f>
        <v/>
      </c>
      <c r="F4046" s="22" t="str">
        <f>IF(OR(E4046="",E4046="!!!"),"",IF(NOT(ISNA(VLOOKUP(E4046,E$1:E4045,1,FALSE()))),"OLD",IF(AND(E4046&lt;&gt;"",E4046&lt;&gt;"!!!"),"NEW","")))</f>
        <v> </v>
      </c>
      <c r="G4046" s="23" t="str">
        <f>IF(OR(E4046="",E4046="!!!"),"",IF(OR(J4046=0,AND(J4046=1,K4046=1),AND(J4046=1,I4046="SBJ"),AND(J4046=1,I4046=0)),"?IN_FOCUS",IF(J4046&lt;=2,"?ACTIVATED",IF(J4046&lt;&gt;"","?FAMILIAR",IF(F4046="NEW",IF(ISNA(VLOOKUP(E4046,#REF!,1,FALSE())),"?TYPE_IDENTIFIABLE","?REFERENTIAL"),"_")))))</f>
        <v> </v>
      </c>
      <c r="H4046" s="24" t="str">
        <f>IF(J4046&lt;&gt;1,"",IF(I4046="SBJ","CB","?"))</f>
        <v> </v>
      </c>
      <c r="I4046" s="25" t="str">
        <f>IF(OR(E4046="",E4046="!!!",F4046="NEW"),"",INDEX(B4045:B$2,-1+SUMPRODUCT(MAX(ROW(E4045:E$2)*(E4046=E4045:E$2)))))</f>
        <v> </v>
      </c>
      <c r="J4046" s="25" t="str">
        <f>IF(OR(E4046="",E4046="!!!",F4046="NEW"),"",COUNTBLANK(OFFSET(A$1,,,SUMPRODUCT(MAX(ROW(E$2:E4046)*(E4046=E$2:E4046)))))-COUNTBLANK(OFFSET(A$1,,,SUMPRODUCT(MAX(ROW(E$1:E4045)*(E2=E$1:E4045))))))</f>
        <v> </v>
      </c>
      <c r="K4046" s="25" t="str">
        <f>IF(OR(E4046="",E4046="!!!",F4046="NEW"),"",INDEX(J$1:J4045,SUMPRODUCT(MAX(ROW(E$1:E4045)*(E4046=E$1:E4045)))))</f>
        <v> </v>
      </c>
      <c r="L4046" s="26"/>
    </row>
    <row r="4047" spans="1:12">
      <c r="A4047" s="20" t="s">
        <v>725</v>
      </c>
      <c r="E4047" s="21">
        <f>IF(D4047="?OLD","!!!","")</f>
        <v/>
      </c>
      <c r="F4047" s="22" t="str">
        <f>IF(OR(E4047="",E4047="!!!"),"",IF(NOT(ISNA(VLOOKUP(E4047,E$1:E4046,1,FALSE()))),"OLD",IF(AND(E4047&lt;&gt;"",E4047&lt;&gt;"!!!"),"NEW","")))</f>
        <v> </v>
      </c>
      <c r="G4047" s="23" t="str">
        <f>IF(OR(E4047="",E4047="!!!"),"",IF(OR(J4047=0,AND(J4047=1,K4047=1),AND(J4047=1,I4047="SBJ"),AND(J4047=1,I4047=0)),"?IN_FOCUS",IF(J4047&lt;=2,"?ACTIVATED",IF(J4047&lt;&gt;"","?FAMILIAR",IF(F4047="NEW",IF(ISNA(VLOOKUP(E4047,#REF!,1,FALSE())),"?TYPE_IDENTIFIABLE","?REFERENTIAL"),"_")))))</f>
        <v> </v>
      </c>
      <c r="H4047" s="24" t="str">
        <f>IF(J4047&lt;&gt;1,"",IF(I4047="SBJ","CB","?"))</f>
        <v> </v>
      </c>
      <c r="I4047" s="25" t="str">
        <f>IF(OR(E4047="",E4047="!!!",F4047="NEW"),"",INDEX(B4046:B$2,-1+SUMPRODUCT(MAX(ROW(E4046:E$2)*(E4047=E4046:E$2)))))</f>
        <v> </v>
      </c>
      <c r="J4047" s="25" t="str">
        <f>IF(OR(E4047="",E4047="!!!",F4047="NEW"),"",COUNTBLANK(OFFSET(A$1,,,SUMPRODUCT(MAX(ROW(E$2:E4047)*(E4047=E$2:E4047)))))-COUNTBLANK(OFFSET(A$1,,,SUMPRODUCT(MAX(ROW(E$1:E4046)*(E2=E$1:E4046))))))</f>
        <v> </v>
      </c>
      <c r="K4047" s="25" t="str">
        <f>IF(OR(E4047="",E4047="!!!",F4047="NEW"),"",INDEX(J$1:J4046,SUMPRODUCT(MAX(ROW(E$1:E4046)*(E4047=E$1:E4046)))))</f>
        <v> </v>
      </c>
      <c r="L4047" s="26"/>
    </row>
    <row r="4048" spans="1:12">
      <c r="A4048" s="20" t="s">
        <v>1721</v>
      </c>
      <c r="E4048" s="21">
        <f>IF(D4048="?OLD","!!!","")</f>
        <v/>
      </c>
      <c r="F4048" s="22" t="str">
        <f>IF(OR(E4048="",E4048="!!!"),"",IF(NOT(ISNA(VLOOKUP(E4048,E$1:E4047,1,FALSE()))),"OLD",IF(AND(E4048&lt;&gt;"",E4048&lt;&gt;"!!!"),"NEW","")))</f>
        <v> </v>
      </c>
      <c r="G4048" s="23" t="str">
        <f>IF(OR(E4048="",E4048="!!!"),"",IF(OR(J4048=0,AND(J4048=1,K4048=1),AND(J4048=1,I4048="SBJ"),AND(J4048=1,I4048=0)),"?IN_FOCUS",IF(J4048&lt;=2,"?ACTIVATED",IF(J4048&lt;&gt;"","?FAMILIAR",IF(F4048="NEW",IF(ISNA(VLOOKUP(E4048,#REF!,1,FALSE())),"?TYPE_IDENTIFIABLE","?REFERENTIAL"),"_")))))</f>
        <v> </v>
      </c>
      <c r="H4048" s="24" t="str">
        <f>IF(J4048&lt;&gt;1,"",IF(I4048="SBJ","CB","?"))</f>
        <v> </v>
      </c>
      <c r="I4048" s="25" t="str">
        <f>IF(OR(E4048="",E4048="!!!",F4048="NEW"),"",INDEX(B4047:B$2,-1+SUMPRODUCT(MAX(ROW(E4047:E$2)*(E4048=E4047:E$2)))))</f>
        <v> </v>
      </c>
      <c r="J4048" s="25" t="str">
        <f>IF(OR(E4048="",E4048="!!!",F4048="NEW"),"",COUNTBLANK(OFFSET(A$1,,,SUMPRODUCT(MAX(ROW(E$2:E4048)*(E4048=E$2:E4048)))))-COUNTBLANK(OFFSET(A$1,,,SUMPRODUCT(MAX(ROW(E$1:E4047)*(E2=E$1:E4047))))))</f>
        <v> </v>
      </c>
      <c r="K4048" s="25" t="str">
        <f>IF(OR(E4048="",E4048="!!!",F4048="NEW"),"",INDEX(J$1:J4047,SUMPRODUCT(MAX(ROW(E$1:E4047)*(E4048=E$1:E4047)))))</f>
        <v> </v>
      </c>
      <c r="L4048" s="26"/>
    </row>
    <row r="4049" spans="1:12">
      <c r="A4049" s="20" t="s">
        <v>774</v>
      </c>
      <c r="E4049" s="21">
        <f>IF(D4049="?OLD","!!!","")</f>
        <v/>
      </c>
      <c r="F4049" s="22" t="str">
        <f>IF(OR(E4049="",E4049="!!!"),"",IF(NOT(ISNA(VLOOKUP(E4049,E$1:E4048,1,FALSE()))),"OLD",IF(AND(E4049&lt;&gt;"",E4049&lt;&gt;"!!!"),"NEW","")))</f>
        <v> </v>
      </c>
      <c r="G4049" s="23" t="str">
        <f>IF(OR(E4049="",E4049="!!!"),"",IF(OR(J4049=0,AND(J4049=1,K4049=1),AND(J4049=1,I4049="SBJ"),AND(J4049=1,I4049=0)),"?IN_FOCUS",IF(J4049&lt;=2,"?ACTIVATED",IF(J4049&lt;&gt;"","?FAMILIAR",IF(F4049="NEW",IF(ISNA(VLOOKUP(E4049,#REF!,1,FALSE())),"?TYPE_IDENTIFIABLE","?REFERENTIAL"),"_")))))</f>
        <v> </v>
      </c>
      <c r="H4049" s="24" t="str">
        <f>IF(J4049&lt;&gt;1,"",IF(I4049="SBJ","CB","?"))</f>
        <v> </v>
      </c>
      <c r="I4049" s="25" t="str">
        <f>IF(OR(E4049="",E4049="!!!",F4049="NEW"),"",INDEX(B4048:B$2,-1+SUMPRODUCT(MAX(ROW(E4048:E$2)*(E4049=E4048:E$2)))))</f>
        <v> </v>
      </c>
      <c r="J4049" s="25" t="str">
        <f>IF(OR(E4049="",E4049="!!!",F4049="NEW"),"",COUNTBLANK(OFFSET(A$1,,,SUMPRODUCT(MAX(ROW(E$2:E4049)*(E4049=E$2:E4049)))))-COUNTBLANK(OFFSET(A$1,,,SUMPRODUCT(MAX(ROW(E$1:E4048)*(E2=E$1:E4048))))))</f>
        <v> </v>
      </c>
      <c r="K4049" s="25" t="str">
        <f>IF(OR(E4049="",E4049="!!!",F4049="NEW"),"",INDEX(J$1:J4048,SUMPRODUCT(MAX(ROW(E$1:E4048)*(E4049=E$1:E4048)))))</f>
        <v> </v>
      </c>
      <c r="L4049" s="26"/>
    </row>
    <row r="4050" spans="1:12">
      <c r="A4050" s="20" t="s">
        <v>1722</v>
      </c>
      <c r="E4050" s="21">
        <f>IF(D4050="?OLD","!!!","")</f>
        <v/>
      </c>
      <c r="F4050" s="22" t="str">
        <f>IF(OR(E4050="",E4050="!!!"),"",IF(NOT(ISNA(VLOOKUP(E4050,E$1:E4049,1,FALSE()))),"OLD",IF(AND(E4050&lt;&gt;"",E4050&lt;&gt;"!!!"),"NEW","")))</f>
        <v> </v>
      </c>
      <c r="G4050" s="23" t="str">
        <f>IF(OR(E4050="",E4050="!!!"),"",IF(OR(J4050=0,AND(J4050=1,K4050=1),AND(J4050=1,I4050="SBJ"),AND(J4050=1,I4050=0)),"?IN_FOCUS",IF(J4050&lt;=2,"?ACTIVATED",IF(J4050&lt;&gt;"","?FAMILIAR",IF(F4050="NEW",IF(ISNA(VLOOKUP(E4050,#REF!,1,FALSE())),"?TYPE_IDENTIFIABLE","?REFERENTIAL"),"_")))))</f>
        <v> </v>
      </c>
      <c r="H4050" s="24" t="str">
        <f>IF(J4050&lt;&gt;1,"",IF(I4050="SBJ","CB","?"))</f>
        <v> </v>
      </c>
      <c r="I4050" s="25" t="str">
        <f>IF(OR(E4050="",E4050="!!!",F4050="NEW"),"",INDEX(B4049:B$2,-1+SUMPRODUCT(MAX(ROW(E4049:E$2)*(E4050=E4049:E$2)))))</f>
        <v> </v>
      </c>
      <c r="J4050" s="25" t="str">
        <f>IF(OR(E4050="",E4050="!!!",F4050="NEW"),"",COUNTBLANK(OFFSET(A$1,,,SUMPRODUCT(MAX(ROW(E$2:E4050)*(E4050=E$2:E4050)))))-COUNTBLANK(OFFSET(A$1,,,SUMPRODUCT(MAX(ROW(E$1:E4049)*(E2=E$1:E4049))))))</f>
        <v> </v>
      </c>
      <c r="K4050" s="25" t="str">
        <f>IF(OR(E4050="",E4050="!!!",F4050="NEW"),"",INDEX(J$1:J4049,SUMPRODUCT(MAX(ROW(E$1:E4049)*(E4050=E$1:E4049)))))</f>
        <v> </v>
      </c>
      <c r="L4050" s="26"/>
    </row>
    <row r="4051" spans="1:12">
      <c r="A4051" s="20" t="s">
        <v>1723</v>
      </c>
      <c r="B4051" s="27" t="s">
        <v>762</v>
      </c>
      <c r="C4051" s="27" t="s">
        <v>776</v>
      </c>
      <c r="E4051" s="21">
        <f>IF(D4051="?OLD","!!!","")</f>
        <v/>
      </c>
      <c r="F4051" s="22" t="str">
        <f>IF(OR(E4051="",E4051="!!!"),"",IF(NOT(ISNA(VLOOKUP(E4051,E$1:E4050,1,FALSE()))),"OLD",IF(AND(E4051&lt;&gt;"",E4051&lt;&gt;"!!!"),"NEW","")))</f>
        <v> </v>
      </c>
      <c r="G4051" s="23" t="str">
        <f>IF(OR(E4051="",E4051="!!!"),"",IF(OR(J4051=0,AND(J4051=1,K4051=1),AND(J4051=1,I4051="SBJ"),AND(J4051=1,I4051=0)),"?IN_FOCUS",IF(J4051&lt;=2,"?ACTIVATED",IF(J4051&lt;&gt;"","?FAMILIAR",IF(F4051="NEW",IF(ISNA(VLOOKUP(E4051,#REF!,1,FALSE())),"?TYPE_IDENTIFIABLE","?REFERENTIAL"),"_")))))</f>
        <v> </v>
      </c>
      <c r="H4051" s="24" t="str">
        <f>IF(J4051&lt;&gt;1,"",IF(I4051="SBJ","CB","?"))</f>
        <v> </v>
      </c>
      <c r="I4051" s="25" t="str">
        <f>IF(OR(E4051="",E4051="!!!",F4051="NEW"),"",INDEX(B4050:B$2,-1+SUMPRODUCT(MAX(ROW(E4050:E$2)*(E4051=E4050:E$2)))))</f>
        <v> </v>
      </c>
      <c r="J4051" s="25" t="str">
        <f>IF(OR(E4051="",E4051="!!!",F4051="NEW"),"",COUNTBLANK(OFFSET(A$1,,,SUMPRODUCT(MAX(ROW(E$2:E4051)*(E4051=E$2:E4051)))))-COUNTBLANK(OFFSET(A$1,,,SUMPRODUCT(MAX(ROW(E$1:E4050)*(E2=E$1:E4050))))))</f>
        <v> </v>
      </c>
      <c r="K4051" s="25" t="str">
        <f>IF(OR(E4051="",E4051="!!!",F4051="NEW"),"",INDEX(J$1:J4050,SUMPRODUCT(MAX(ROW(E$1:E4050)*(E4051=E$1:E4050)))))</f>
        <v> </v>
      </c>
      <c r="L4051" s="26"/>
    </row>
    <row r="4052" spans="1:12">
      <c r="A4052" s="20" t="s">
        <v>718</v>
      </c>
      <c r="E4052" s="21">
        <f>IF(D4052="?OLD","!!!","")</f>
        <v/>
      </c>
      <c r="F4052" s="22" t="str">
        <f>IF(OR(E4052="",E4052="!!!"),"",IF(NOT(ISNA(VLOOKUP(E4052,E$1:E4051,1,FALSE()))),"OLD",IF(AND(E4052&lt;&gt;"",E4052&lt;&gt;"!!!"),"NEW","")))</f>
        <v> </v>
      </c>
      <c r="G4052" s="23" t="str">
        <f>IF(OR(E4052="",E4052="!!!"),"",IF(OR(J4052=0,AND(J4052=1,K4052=1),AND(J4052=1,I4052="SBJ"),AND(J4052=1,I4052=0)),"?IN_FOCUS",IF(J4052&lt;=2,"?ACTIVATED",IF(J4052&lt;&gt;"","?FAMILIAR",IF(F4052="NEW",IF(ISNA(VLOOKUP(E4052,#REF!,1,FALSE())),"?TYPE_IDENTIFIABLE","?REFERENTIAL"),"_")))))</f>
        <v> </v>
      </c>
      <c r="H4052" s="24" t="str">
        <f>IF(J4052&lt;&gt;1,"",IF(I4052="SBJ","CB","?"))</f>
        <v> </v>
      </c>
      <c r="I4052" s="25" t="str">
        <f>IF(OR(E4052="",E4052="!!!",F4052="NEW"),"",INDEX(B4051:B$2,-1+SUMPRODUCT(MAX(ROW(E4051:E$2)*(E4052=E4051:E$2)))))</f>
        <v> </v>
      </c>
      <c r="J4052" s="25" t="str">
        <f>IF(OR(E4052="",E4052="!!!",F4052="NEW"),"",COUNTBLANK(OFFSET(A$1,,,SUMPRODUCT(MAX(ROW(E$2:E4052)*(E4052=E$2:E4052)))))-COUNTBLANK(OFFSET(A$1,,,SUMPRODUCT(MAX(ROW(E$1:E4051)*(E2=E$1:E4051))))))</f>
        <v> </v>
      </c>
      <c r="K4052" s="25" t="str">
        <f>IF(OR(E4052="",E4052="!!!",F4052="NEW"),"",INDEX(J$1:J4051,SUMPRODUCT(MAX(ROW(E$1:E4051)*(E4052=E$1:E4051)))))</f>
        <v> </v>
      </c>
      <c r="L4052" s="26"/>
    </row>
    <row r="4053" spans="1:12">
      <c r="A4053" s="20" t="s">
        <v>690</v>
      </c>
      <c r="E4053" s="21">
        <f>IF(D4053="?OLD","!!!","")</f>
        <v/>
      </c>
      <c r="F4053" s="22" t="str">
        <f>IF(OR(E4053="",E4053="!!!"),"",IF(NOT(ISNA(VLOOKUP(E4053,E$1:E4052,1,FALSE()))),"OLD",IF(AND(E4053&lt;&gt;"",E4053&lt;&gt;"!!!"),"NEW","")))</f>
        <v> </v>
      </c>
      <c r="G4053" s="23" t="str">
        <f>IF(OR(E4053="",E4053="!!!"),"",IF(OR(J4053=0,AND(J4053=1,K4053=1),AND(J4053=1,I4053="SBJ"),AND(J4053=1,I4053=0)),"?IN_FOCUS",IF(J4053&lt;=2,"?ACTIVATED",IF(J4053&lt;&gt;"","?FAMILIAR",IF(F4053="NEW",IF(ISNA(VLOOKUP(E4053,#REF!,1,FALSE())),"?TYPE_IDENTIFIABLE","?REFERENTIAL"),"_")))))</f>
        <v> </v>
      </c>
      <c r="H4053" s="24" t="str">
        <f>IF(J4053&lt;&gt;1,"",IF(I4053="SBJ","CB","?"))</f>
        <v> </v>
      </c>
      <c r="I4053" s="25" t="str">
        <f>IF(OR(E4053="",E4053="!!!",F4053="NEW"),"",INDEX(B4052:B$2,-1+SUMPRODUCT(MAX(ROW(E4052:E$2)*(E4053=E4052:E$2)))))</f>
        <v> </v>
      </c>
      <c r="J4053" s="25" t="str">
        <f>IF(OR(E4053="",E4053="!!!",F4053="NEW"),"",COUNTBLANK(OFFSET(A$1,,,SUMPRODUCT(MAX(ROW(E$2:E4053)*(E4053=E$2:E4053)))))-COUNTBLANK(OFFSET(A$1,,,SUMPRODUCT(MAX(ROW(E$1:E4052)*(E2=E$1:E4052))))))</f>
        <v> </v>
      </c>
      <c r="K4053" s="25" t="str">
        <f>IF(OR(E4053="",E4053="!!!",F4053="NEW"),"",INDEX(J$1:J4052,SUMPRODUCT(MAX(ROW(E$1:E4052)*(E4053=E$1:E4052)))))</f>
        <v> </v>
      </c>
      <c r="L4053" s="26"/>
    </row>
    <row r="4054" spans="1:12">
      <c r="A4054" s="20" t="s">
        <v>1724</v>
      </c>
      <c r="B4054" s="27" t="s">
        <v>737</v>
      </c>
      <c r="C4054" s="27" t="s">
        <v>693</v>
      </c>
      <c r="D4054" s="27" t="s">
        <v>694</v>
      </c>
      <c r="E4054" s="21">
        <f>IF(D4054="?OLD","!!!","")</f>
        <v/>
      </c>
      <c r="F4054" s="22" t="str">
        <f>IF(OR(E4054="",E4054="!!!"),"",IF(NOT(ISNA(VLOOKUP(E4054,E$1:E4053,1,FALSE()))),"OLD",IF(AND(E4054&lt;&gt;"",E4054&lt;&gt;"!!!"),"NEW","")))</f>
        <v> </v>
      </c>
      <c r="G4054" s="23" t="str">
        <f>IF(OR(E4054="",E4054="!!!"),"",IF(OR(J4054=0,AND(J4054=1,K4054=1),AND(J4054=1,I4054="SBJ"),AND(J4054=1,I4054=0)),"?IN_FOCUS",IF(J4054&lt;=2,"?ACTIVATED",IF(J4054&lt;&gt;"","?FAMILIAR",IF(F4054="NEW",IF(ISNA(VLOOKUP(E4054,#REF!,1,FALSE())),"?TYPE_IDENTIFIABLE","?REFERENTIAL"),"_")))))</f>
        <v> </v>
      </c>
      <c r="H4054" s="24" t="str">
        <f>IF(J4054&lt;&gt;1,"",IF(I4054="SBJ","CB","?"))</f>
        <v> </v>
      </c>
      <c r="I4054" s="25" t="str">
        <f>IF(OR(E4054="",E4054="!!!",F4054="NEW"),"",INDEX(B4053:B$2,-1+SUMPRODUCT(MAX(ROW(E4053:E$2)*(E4054=E4053:E$2)))))</f>
        <v> </v>
      </c>
      <c r="J4054" s="25" t="str">
        <f>IF(OR(E4054="",E4054="!!!",F4054="NEW"),"",COUNTBLANK(OFFSET(A$1,,,SUMPRODUCT(MAX(ROW(E$2:E4054)*(E4054=E$2:E4054)))))-COUNTBLANK(OFFSET(A$1,,,SUMPRODUCT(MAX(ROW(E$1:E4053)*(E2=E$1:E4053))))))</f>
        <v> </v>
      </c>
      <c r="K4054" s="25" t="str">
        <f>IF(OR(E4054="",E4054="!!!",F4054="NEW"),"",INDEX(J$1:J4053,SUMPRODUCT(MAX(ROW(E$1:E4053)*(E4054=E$1:E4053)))))</f>
        <v> </v>
      </c>
      <c r="L4054" s="26"/>
    </row>
    <row r="4055" spans="1:12">
      <c r="A4055" s="20" t="s">
        <v>846</v>
      </c>
      <c r="E4055" s="21">
        <f>IF(D4055="?OLD","!!!","")</f>
        <v/>
      </c>
      <c r="F4055" s="22" t="str">
        <f>IF(OR(E4055="",E4055="!!!"),"",IF(NOT(ISNA(VLOOKUP(E4055,E$1:E4054,1,FALSE()))),"OLD",IF(AND(E4055&lt;&gt;"",E4055&lt;&gt;"!!!"),"NEW","")))</f>
        <v> </v>
      </c>
      <c r="G4055" s="23" t="str">
        <f>IF(OR(E4055="",E4055="!!!"),"",IF(OR(J4055=0,AND(J4055=1,K4055=1),AND(J4055=1,I4055="SBJ"),AND(J4055=1,I4055=0)),"?IN_FOCUS",IF(J4055&lt;=2,"?ACTIVATED",IF(J4055&lt;&gt;"","?FAMILIAR",IF(F4055="NEW",IF(ISNA(VLOOKUP(E4055,#REF!,1,FALSE())),"?TYPE_IDENTIFIABLE","?REFERENTIAL"),"_")))))</f>
        <v> </v>
      </c>
      <c r="H4055" s="24" t="str">
        <f>IF(J4055&lt;&gt;1,"",IF(I4055="SBJ","CB","?"))</f>
        <v> </v>
      </c>
      <c r="I4055" s="25" t="str">
        <f>IF(OR(E4055="",E4055="!!!",F4055="NEW"),"",INDEX(B4054:B$2,-1+SUMPRODUCT(MAX(ROW(E4054:E$2)*(E4055=E4054:E$2)))))</f>
        <v> </v>
      </c>
      <c r="J4055" s="25" t="str">
        <f>IF(OR(E4055="",E4055="!!!",F4055="NEW"),"",COUNTBLANK(OFFSET(A$1,,,SUMPRODUCT(MAX(ROW(E$2:E4055)*(E4055=E$2:E4055)))))-COUNTBLANK(OFFSET(A$1,,,SUMPRODUCT(MAX(ROW(E$1:E4054)*(E2=E$1:E4054))))))</f>
        <v> </v>
      </c>
      <c r="K4055" s="25" t="str">
        <f>IF(OR(E4055="",E4055="!!!",F4055="NEW"),"",INDEX(J$1:J4054,SUMPRODUCT(MAX(ROW(E$1:E4054)*(E4055=E$1:E4054)))))</f>
        <v> </v>
      </c>
      <c r="L4055" s="26"/>
    </row>
    <row r="4056" spans="1:12">
      <c r="A4056" s="20" t="s">
        <v>1725</v>
      </c>
      <c r="E4056" s="21">
        <f>IF(D4056="?OLD","!!!","")</f>
        <v/>
      </c>
      <c r="F4056" s="22" t="str">
        <f>IF(OR(E4056="",E4056="!!!"),"",IF(NOT(ISNA(VLOOKUP(E4056,E$1:E4055,1,FALSE()))),"OLD",IF(AND(E4056&lt;&gt;"",E4056&lt;&gt;"!!!"),"NEW","")))</f>
        <v> </v>
      </c>
      <c r="G4056" s="23" t="str">
        <f>IF(OR(E4056="",E4056="!!!"),"",IF(OR(J4056=0,AND(J4056=1,K4056=1),AND(J4056=1,I4056="SBJ"),AND(J4056=1,I4056=0)),"?IN_FOCUS",IF(J4056&lt;=2,"?ACTIVATED",IF(J4056&lt;&gt;"","?FAMILIAR",IF(F4056="NEW",IF(ISNA(VLOOKUP(E4056,#REF!,1,FALSE())),"?TYPE_IDENTIFIABLE","?REFERENTIAL"),"_")))))</f>
        <v> </v>
      </c>
      <c r="H4056" s="24" t="str">
        <f>IF(J4056&lt;&gt;1,"",IF(I4056="SBJ","CB","?"))</f>
        <v> </v>
      </c>
      <c r="I4056" s="25" t="str">
        <f>IF(OR(E4056="",E4056="!!!",F4056="NEW"),"",INDEX(B4055:B$2,-1+SUMPRODUCT(MAX(ROW(E4055:E$2)*(E4056=E4055:E$2)))))</f>
        <v> </v>
      </c>
      <c r="J4056" s="25" t="str">
        <f>IF(OR(E4056="",E4056="!!!",F4056="NEW"),"",COUNTBLANK(OFFSET(A$1,,,SUMPRODUCT(MAX(ROW(E$2:E4056)*(E4056=E$2:E4056)))))-COUNTBLANK(OFFSET(A$1,,,SUMPRODUCT(MAX(ROW(E$1:E4055)*(E2=E$1:E4055))))))</f>
        <v> </v>
      </c>
      <c r="K4056" s="25" t="str">
        <f>IF(OR(E4056="",E4056="!!!",F4056="NEW"),"",INDEX(J$1:J4055,SUMPRODUCT(MAX(ROW(E$1:E4055)*(E4056=E$1:E4055)))))</f>
        <v> </v>
      </c>
      <c r="L4056" s="26"/>
    </row>
    <row r="4057" spans="1:12">
      <c r="A4057" s="20" t="s">
        <v>739</v>
      </c>
      <c r="E4057" s="21">
        <f>IF(D4057="?OLD","!!!","")</f>
        <v/>
      </c>
      <c r="F4057" s="22" t="str">
        <f>IF(OR(E4057="",E4057="!!!"),"",IF(NOT(ISNA(VLOOKUP(E4057,E$1:E4056,1,FALSE()))),"OLD",IF(AND(E4057&lt;&gt;"",E4057&lt;&gt;"!!!"),"NEW","")))</f>
        <v> </v>
      </c>
      <c r="G4057" s="23" t="str">
        <f>IF(OR(E4057="",E4057="!!!"),"",IF(OR(J4057=0,AND(J4057=1,K4057=1),AND(J4057=1,I4057="SBJ"),AND(J4057=1,I4057=0)),"?IN_FOCUS",IF(J4057&lt;=2,"?ACTIVATED",IF(J4057&lt;&gt;"","?FAMILIAR",IF(F4057="NEW",IF(ISNA(VLOOKUP(E4057,#REF!,1,FALSE())),"?TYPE_IDENTIFIABLE","?REFERENTIAL"),"_")))))</f>
        <v> </v>
      </c>
      <c r="H4057" s="24" t="str">
        <f>IF(J4057&lt;&gt;1,"",IF(I4057="SBJ","CB","?"))</f>
        <v> </v>
      </c>
      <c r="I4057" s="25" t="str">
        <f>IF(OR(E4057="",E4057="!!!",F4057="NEW"),"",INDEX(B4056:B$2,-1+SUMPRODUCT(MAX(ROW(E4056:E$2)*(E4057=E4056:E$2)))))</f>
        <v> </v>
      </c>
      <c r="J4057" s="25" t="str">
        <f>IF(OR(E4057="",E4057="!!!",F4057="NEW"),"",COUNTBLANK(OFFSET(A$1,,,SUMPRODUCT(MAX(ROW(E$2:E4057)*(E4057=E$2:E4057)))))-COUNTBLANK(OFFSET(A$1,,,SUMPRODUCT(MAX(ROW(E$1:E4056)*(E2=E$1:E4056))))))</f>
        <v> </v>
      </c>
      <c r="K4057" s="25" t="str">
        <f>IF(OR(E4057="",E4057="!!!",F4057="NEW"),"",INDEX(J$1:J4056,SUMPRODUCT(MAX(ROW(E$1:E4056)*(E4057=E$1:E4056)))))</f>
        <v> </v>
      </c>
      <c r="L4057" s="26"/>
    </row>
    <row r="4058" spans="1:12">
      <c r="A4058" s="20" t="s">
        <v>1726</v>
      </c>
      <c r="B4058" s="27" t="s">
        <v>755</v>
      </c>
      <c r="C4058" s="27" t="s">
        <v>716</v>
      </c>
      <c r="E4058" s="21">
        <f>IF(D4058="?OLD","!!!","")</f>
        <v/>
      </c>
      <c r="F4058" s="22" t="str">
        <f>IF(OR(E4058="",E4058="!!!"),"",IF(NOT(ISNA(VLOOKUP(E4058,E$1:E4057,1,FALSE()))),"OLD",IF(AND(E4058&lt;&gt;"",E4058&lt;&gt;"!!!"),"NEW","")))</f>
        <v> </v>
      </c>
      <c r="G4058" s="23" t="str">
        <f>IF(OR(E4058="",E4058="!!!"),"",IF(OR(J4058=0,AND(J4058=1,K4058=1),AND(J4058=1,I4058="SBJ"),AND(J4058=1,I4058=0)),"?IN_FOCUS",IF(J4058&lt;=2,"?ACTIVATED",IF(J4058&lt;&gt;"","?FAMILIAR",IF(F4058="NEW",IF(ISNA(VLOOKUP(E4058,#REF!,1,FALSE())),"?TYPE_IDENTIFIABLE","?REFERENTIAL"),"_")))))</f>
        <v> </v>
      </c>
      <c r="H4058" s="24" t="str">
        <f>IF(J4058&lt;&gt;1,"",IF(I4058="SBJ","CB","?"))</f>
        <v> </v>
      </c>
      <c r="I4058" s="25" t="str">
        <f>IF(OR(E4058="",E4058="!!!",F4058="NEW"),"",INDEX(B4057:B$2,-1+SUMPRODUCT(MAX(ROW(E4057:E$2)*(E4058=E4057:E$2)))))</f>
        <v> </v>
      </c>
      <c r="J4058" s="25" t="str">
        <f>IF(OR(E4058="",E4058="!!!",F4058="NEW"),"",COUNTBLANK(OFFSET(A$1,,,SUMPRODUCT(MAX(ROW(E$2:E4058)*(E4058=E$2:E4058)))))-COUNTBLANK(OFFSET(A$1,,,SUMPRODUCT(MAX(ROW(E$1:E4057)*(E2=E$1:E4057))))))</f>
        <v> </v>
      </c>
      <c r="K4058" s="25" t="str">
        <f>IF(OR(E4058="",E4058="!!!",F4058="NEW"),"",INDEX(J$1:J4057,SUMPRODUCT(MAX(ROW(E$1:E4057)*(E4058=E$1:E4057)))))</f>
        <v> </v>
      </c>
      <c r="L4058" s="26"/>
    </row>
    <row r="4059" spans="1:12">
      <c r="A4059" s="20" t="s">
        <v>696</v>
      </c>
      <c r="E4059" s="21">
        <f>IF(D4059="?OLD","!!!","")</f>
        <v/>
      </c>
      <c r="F4059" s="22" t="str">
        <f>IF(OR(E4059="",E4059="!!!"),"",IF(NOT(ISNA(VLOOKUP(E4059,E$1:E4058,1,FALSE()))),"OLD",IF(AND(E4059&lt;&gt;"",E4059&lt;&gt;"!!!"),"NEW","")))</f>
        <v> </v>
      </c>
      <c r="G4059" s="23" t="str">
        <f>IF(OR(E4059="",E4059="!!!"),"",IF(OR(J4059=0,AND(J4059=1,K4059=1),AND(J4059=1,I4059="SBJ"),AND(J4059=1,I4059=0)),"?IN_FOCUS",IF(J4059&lt;=2,"?ACTIVATED",IF(J4059&lt;&gt;"","?FAMILIAR",IF(F4059="NEW",IF(ISNA(VLOOKUP(E4059,#REF!,1,FALSE())),"?TYPE_IDENTIFIABLE","?REFERENTIAL"),"_")))))</f>
        <v> </v>
      </c>
      <c r="H4059" s="24" t="str">
        <f>IF(J4059&lt;&gt;1,"",IF(I4059="SBJ","CB","?"))</f>
        <v> </v>
      </c>
      <c r="I4059" s="25" t="str">
        <f>IF(OR(E4059="",E4059="!!!",F4059="NEW"),"",INDEX(B4058:B$2,-1+SUMPRODUCT(MAX(ROW(E4058:E$2)*(E4059=E4058:E$2)))))</f>
        <v> </v>
      </c>
      <c r="J4059" s="25" t="str">
        <f>IF(OR(E4059="",E4059="!!!",F4059="NEW"),"",COUNTBLANK(OFFSET(A$1,,,SUMPRODUCT(MAX(ROW(E$2:E4059)*(E4059=E$2:E4059)))))-COUNTBLANK(OFFSET(A$1,,,SUMPRODUCT(MAX(ROW(E$1:E4058)*(E2=E$1:E4058))))))</f>
        <v> </v>
      </c>
      <c r="K4059" s="25" t="str">
        <f>IF(OR(E4059="",E4059="!!!",F4059="NEW"),"",INDEX(J$1:J4058,SUMPRODUCT(MAX(ROW(E$1:E4058)*(E4059=E$1:E4058)))))</f>
        <v> </v>
      </c>
      <c r="L4059" s="26"/>
    </row>
    <row r="4060" spans="1:12">
      <c r="A4060" s="20" t="s">
        <v>721</v>
      </c>
      <c r="E4060" s="21">
        <f>IF(D4060="?OLD","!!!","")</f>
        <v/>
      </c>
      <c r="F4060" s="22" t="str">
        <f>IF(OR(E4060="",E4060="!!!"),"",IF(NOT(ISNA(VLOOKUP(E4060,E$1:E4059,1,FALSE()))),"OLD",IF(AND(E4060&lt;&gt;"",E4060&lt;&gt;"!!!"),"NEW","")))</f>
        <v> </v>
      </c>
      <c r="G4060" s="23" t="str">
        <f>IF(OR(E4060="",E4060="!!!"),"",IF(OR(J4060=0,AND(J4060=1,K4060=1),AND(J4060=1,I4060="SBJ"),AND(J4060=1,I4060=0)),"?IN_FOCUS",IF(J4060&lt;=2,"?ACTIVATED",IF(J4060&lt;&gt;"","?FAMILIAR",IF(F4060="NEW",IF(ISNA(VLOOKUP(E4060,#REF!,1,FALSE())),"?TYPE_IDENTIFIABLE","?REFERENTIAL"),"_")))))</f>
        <v> </v>
      </c>
      <c r="H4060" s="24" t="str">
        <f>IF(J4060&lt;&gt;1,"",IF(I4060="SBJ","CB","?"))</f>
        <v> </v>
      </c>
      <c r="I4060" s="25" t="str">
        <f>IF(OR(E4060="",E4060="!!!",F4060="NEW"),"",INDEX(B4059:B$2,-1+SUMPRODUCT(MAX(ROW(E4059:E$2)*(E4060=E4059:E$2)))))</f>
        <v> </v>
      </c>
      <c r="J4060" s="25" t="str">
        <f>IF(OR(E4060="",E4060="!!!",F4060="NEW"),"",COUNTBLANK(OFFSET(A$1,,,SUMPRODUCT(MAX(ROW(E$2:E4060)*(E4060=E$2:E4060)))))-COUNTBLANK(OFFSET(A$1,,,SUMPRODUCT(MAX(ROW(E$1:E4059)*(E2=E$1:E4059))))))</f>
        <v> </v>
      </c>
      <c r="K4060" s="25" t="str">
        <f>IF(OR(E4060="",E4060="!!!",F4060="NEW"),"",INDEX(J$1:J4059,SUMPRODUCT(MAX(ROW(E$1:E4059)*(E4060=E$1:E4059)))))</f>
        <v> </v>
      </c>
      <c r="L4060" s="26"/>
    </row>
    <row r="4061" spans="1:12">
      <c r="A4061" s="20" t="s">
        <v>1727</v>
      </c>
      <c r="B4061" s="27" t="s">
        <v>756</v>
      </c>
      <c r="C4061" s="27" t="s">
        <v>693</v>
      </c>
      <c r="D4061" s="27" t="s">
        <v>694</v>
      </c>
      <c r="E4061" s="21">
        <f>IF(D4061="?OLD","!!!","")</f>
        <v/>
      </c>
      <c r="F4061" s="22" t="str">
        <f>IF(OR(E4061="",E4061="!!!"),"",IF(NOT(ISNA(VLOOKUP(E4061,E$1:E4060,1,FALSE()))),"OLD",IF(AND(E4061&lt;&gt;"",E4061&lt;&gt;"!!!"),"NEW","")))</f>
        <v> </v>
      </c>
      <c r="G4061" s="23" t="str">
        <f>IF(OR(E4061="",E4061="!!!"),"",IF(OR(J4061=0,AND(J4061=1,K4061=1),AND(J4061=1,I4061="SBJ"),AND(J4061=1,I4061=0)),"?IN_FOCUS",IF(J4061&lt;=2,"?ACTIVATED",IF(J4061&lt;&gt;"","?FAMILIAR",IF(F4061="NEW",IF(ISNA(VLOOKUP(E4061,#REF!,1,FALSE())),"?TYPE_IDENTIFIABLE","?REFERENTIAL"),"_")))))</f>
        <v> </v>
      </c>
      <c r="H4061" s="24" t="str">
        <f>IF(J4061&lt;&gt;1,"",IF(I4061="SBJ","CB","?"))</f>
        <v> </v>
      </c>
      <c r="I4061" s="25" t="str">
        <f>IF(OR(E4061="",E4061="!!!",F4061="NEW"),"",INDEX(B4060:B$2,-1+SUMPRODUCT(MAX(ROW(E4060:E$2)*(E4061=E4060:E$2)))))</f>
        <v> </v>
      </c>
      <c r="J4061" s="25" t="str">
        <f>IF(OR(E4061="",E4061="!!!",F4061="NEW"),"",COUNTBLANK(OFFSET(A$1,,,SUMPRODUCT(MAX(ROW(E$2:E4061)*(E4061=E$2:E4061)))))-COUNTBLANK(OFFSET(A$1,,,SUMPRODUCT(MAX(ROW(E$1:E4060)*(E2=E$1:E4060))))))</f>
        <v> </v>
      </c>
      <c r="K4061" s="25" t="str">
        <f>IF(OR(E4061="",E4061="!!!",F4061="NEW"),"",INDEX(J$1:J4060,SUMPRODUCT(MAX(ROW(E$1:E4060)*(E4061=E$1:E4060)))))</f>
        <v> </v>
      </c>
      <c r="L4061" s="26"/>
    </row>
    <row r="4062" spans="1:12">
      <c r="A4062" s="20" t="s">
        <v>1728</v>
      </c>
      <c r="E4062" s="21">
        <f>IF(D4062="?OLD","!!!","")</f>
        <v/>
      </c>
      <c r="F4062" s="22" t="str">
        <f>IF(OR(E4062="",E4062="!!!"),"",IF(NOT(ISNA(VLOOKUP(E4062,E$1:E4061,1,FALSE()))),"OLD",IF(AND(E4062&lt;&gt;"",E4062&lt;&gt;"!!!"),"NEW","")))</f>
        <v> </v>
      </c>
      <c r="G4062" s="23" t="str">
        <f>IF(OR(E4062="",E4062="!!!"),"",IF(OR(J4062=0,AND(J4062=1,K4062=1),AND(J4062=1,I4062="SBJ"),AND(J4062=1,I4062=0)),"?IN_FOCUS",IF(J4062&lt;=2,"?ACTIVATED",IF(J4062&lt;&gt;"","?FAMILIAR",IF(F4062="NEW",IF(ISNA(VLOOKUP(E4062,#REF!,1,FALSE())),"?TYPE_IDENTIFIABLE","?REFERENTIAL"),"_")))))</f>
        <v> </v>
      </c>
      <c r="H4062" s="24" t="str">
        <f>IF(J4062&lt;&gt;1,"",IF(I4062="SBJ","CB","?"))</f>
        <v> </v>
      </c>
      <c r="I4062" s="25" t="str">
        <f>IF(OR(E4062="",E4062="!!!",F4062="NEW"),"",INDEX(B4061:B$2,-1+SUMPRODUCT(MAX(ROW(E4061:E$2)*(E4062=E4061:E$2)))))</f>
        <v> </v>
      </c>
      <c r="J4062" s="25" t="str">
        <f>IF(OR(E4062="",E4062="!!!",F4062="NEW"),"",COUNTBLANK(OFFSET(A$1,,,SUMPRODUCT(MAX(ROW(E$2:E4062)*(E4062=E$2:E4062)))))-COUNTBLANK(OFFSET(A$1,,,SUMPRODUCT(MAX(ROW(E$1:E4061)*(E2=E$1:E4061))))))</f>
        <v> </v>
      </c>
      <c r="K4062" s="25" t="str">
        <f>IF(OR(E4062="",E4062="!!!",F4062="NEW"),"",INDEX(J$1:J4061,SUMPRODUCT(MAX(ROW(E$1:E4061)*(E4062=E$1:E4061)))))</f>
        <v> </v>
      </c>
      <c r="L4062" s="26"/>
    </row>
    <row r="4063" spans="1:12">
      <c r="A4063" s="20" t="s">
        <v>1674</v>
      </c>
      <c r="E4063" s="21">
        <f>IF(D4063="?OLD","!!!","")</f>
        <v/>
      </c>
      <c r="F4063" s="22" t="str">
        <f>IF(OR(E4063="",E4063="!!!"),"",IF(NOT(ISNA(VLOOKUP(E4063,E$1:E4062,1,FALSE()))),"OLD",IF(AND(E4063&lt;&gt;"",E4063&lt;&gt;"!!!"),"NEW","")))</f>
        <v> </v>
      </c>
      <c r="G4063" s="23" t="str">
        <f>IF(OR(E4063="",E4063="!!!"),"",IF(OR(J4063=0,AND(J4063=1,K4063=1),AND(J4063=1,I4063="SBJ"),AND(J4063=1,I4063=0)),"?IN_FOCUS",IF(J4063&lt;=2,"?ACTIVATED",IF(J4063&lt;&gt;"","?FAMILIAR",IF(F4063="NEW",IF(ISNA(VLOOKUP(E4063,#REF!,1,FALSE())),"?TYPE_IDENTIFIABLE","?REFERENTIAL"),"_")))))</f>
        <v> </v>
      </c>
      <c r="H4063" s="24" t="str">
        <f>IF(J4063&lt;&gt;1,"",IF(I4063="SBJ","CB","?"))</f>
        <v> </v>
      </c>
      <c r="I4063" s="25" t="str">
        <f>IF(OR(E4063="",E4063="!!!",F4063="NEW"),"",INDEX(B4062:B$2,-1+SUMPRODUCT(MAX(ROW(E4062:E$2)*(E4063=E4062:E$2)))))</f>
        <v> </v>
      </c>
      <c r="J4063" s="25" t="str">
        <f>IF(OR(E4063="",E4063="!!!",F4063="NEW"),"",COUNTBLANK(OFFSET(A$1,,,SUMPRODUCT(MAX(ROW(E$2:E4063)*(E4063=E$2:E4063)))))-COUNTBLANK(OFFSET(A$1,,,SUMPRODUCT(MAX(ROW(E$1:E4062)*(E2=E$1:E4062))))))</f>
        <v> </v>
      </c>
      <c r="K4063" s="25" t="str">
        <f>IF(OR(E4063="",E4063="!!!",F4063="NEW"),"",INDEX(J$1:J4062,SUMPRODUCT(MAX(ROW(E$1:E4062)*(E4063=E$1:E4062)))))</f>
        <v> </v>
      </c>
      <c r="L4063" s="26"/>
    </row>
    <row r="4064" spans="1:12">
      <c r="A4064" s="20" t="s">
        <v>1001</v>
      </c>
      <c r="E4064" s="21">
        <f>IF(D4064="?OLD","!!!","")</f>
        <v/>
      </c>
      <c r="F4064" s="22" t="str">
        <f>IF(OR(E4064="",E4064="!!!"),"",IF(NOT(ISNA(VLOOKUP(E4064,E$1:E4063,1,FALSE()))),"OLD",IF(AND(E4064&lt;&gt;"",E4064&lt;&gt;"!!!"),"NEW","")))</f>
        <v> </v>
      </c>
      <c r="G4064" s="23" t="str">
        <f>IF(OR(E4064="",E4064="!!!"),"",IF(OR(J4064=0,AND(J4064=1,K4064=1),AND(J4064=1,I4064="SBJ"),AND(J4064=1,I4064=0)),"?IN_FOCUS",IF(J4064&lt;=2,"?ACTIVATED",IF(J4064&lt;&gt;"","?FAMILIAR",IF(F4064="NEW",IF(ISNA(VLOOKUP(E4064,#REF!,1,FALSE())),"?TYPE_IDENTIFIABLE","?REFERENTIAL"),"_")))))</f>
        <v> </v>
      </c>
      <c r="H4064" s="24" t="str">
        <f>IF(J4064&lt;&gt;1,"",IF(I4064="SBJ","CB","?"))</f>
        <v> </v>
      </c>
      <c r="I4064" s="25" t="str">
        <f>IF(OR(E4064="",E4064="!!!",F4064="NEW"),"",INDEX(B4063:B$2,-1+SUMPRODUCT(MAX(ROW(E4063:E$2)*(E4064=E4063:E$2)))))</f>
        <v> </v>
      </c>
      <c r="J4064" s="25" t="str">
        <f>IF(OR(E4064="",E4064="!!!",F4064="NEW"),"",COUNTBLANK(OFFSET(A$1,,,SUMPRODUCT(MAX(ROW(E$2:E4064)*(E4064=E$2:E4064)))))-COUNTBLANK(OFFSET(A$1,,,SUMPRODUCT(MAX(ROW(E$1:E4063)*(E2=E$1:E4063))))))</f>
        <v> </v>
      </c>
      <c r="K4064" s="25" t="str">
        <f>IF(OR(E4064="",E4064="!!!",F4064="NEW"),"",INDEX(J$1:J4063,SUMPRODUCT(MAX(ROW(E$1:E4063)*(E4064=E$1:E4063)))))</f>
        <v> </v>
      </c>
      <c r="L4064" s="26"/>
    </row>
    <row r="4065" spans="1:12">
      <c r="A4065" s="20"/>
    </row>
    <row r="4066" spans="1:12">
      <c r="A4066" s="20" t="s">
        <v>1729</v>
      </c>
    </row>
    <row r="4067" spans="1:12">
      <c r="A4067" s="20" t="s">
        <v>635</v>
      </c>
      <c r="B4067" s="27" t="s">
        <v>698</v>
      </c>
      <c r="C4067" s="27" t="s">
        <v>716</v>
      </c>
      <c r="E4067" s="21">
        <f>IF(D4067="?OLD","!!!","")</f>
        <v/>
      </c>
      <c r="F4067" s="22" t="str">
        <f>IF(OR(E4067="",E4067="!!!"),"",IF(NOT(ISNA(VLOOKUP(E4067,E$1:E4066,1,FALSE()))),"OLD",IF(AND(E4067&lt;&gt;"",E4067&lt;&gt;"!!!"),"NEW","")))</f>
        <v> </v>
      </c>
      <c r="G4067" s="23" t="str">
        <f>IF(OR(E4067="",E4067="!!!"),"",IF(OR(J4067=0,AND(J4067=1,K4067=1),AND(J4067=1,I4067="SBJ"),AND(J4067=1,I4067=0)),"?IN_FOCUS",IF(J4067&lt;=2,"?ACTIVATED",IF(J4067&lt;&gt;"","?FAMILIAR",IF(F4067="NEW",IF(ISNA(VLOOKUP(E4067,#REF!,1,FALSE())),"?TYPE_IDENTIFIABLE","?REFERENTIAL"),"_")))))</f>
        <v> </v>
      </c>
      <c r="H4067" s="24" t="str">
        <f>IF(J4067&lt;&gt;1,"",IF(I4067="SBJ","CB","?"))</f>
        <v> </v>
      </c>
      <c r="I4067" s="25" t="str">
        <f>IF(OR(E4067="",E4067="!!!",F4067="NEW"),"",INDEX(B4066:B$2,-1+SUMPRODUCT(MAX(ROW(E4066:E$2)*(E4067=E4066:E$2)))))</f>
        <v> </v>
      </c>
      <c r="J4067" s="25" t="str">
        <f>IF(OR(E4067="",E4067="!!!",F4067="NEW"),"",COUNTBLANK(OFFSET(A$1,,,SUMPRODUCT(MAX(ROW(E$2:E4067)*(E4067=E$2:E4067)))))-COUNTBLANK(OFFSET(A$1,,,SUMPRODUCT(MAX(ROW(E$1:E4066)*(E2=E$1:E4066))))))</f>
        <v> </v>
      </c>
      <c r="K4067" s="25" t="str">
        <f>IF(OR(E4067="",E4067="!!!",F4067="NEW"),"",INDEX(J$1:J4066,SUMPRODUCT(MAX(ROW(E$1:E4066)*(E4067=E$1:E4066)))))</f>
        <v> </v>
      </c>
      <c r="L4067" s="26"/>
    </row>
    <row r="4068" spans="1:12">
      <c r="A4068" s="20" t="s">
        <v>860</v>
      </c>
      <c r="E4068" s="21">
        <f>IF(D4068="?OLD","!!!","")</f>
        <v/>
      </c>
      <c r="F4068" s="22" t="str">
        <f>IF(OR(E4068="",E4068="!!!"),"",IF(NOT(ISNA(VLOOKUP(E4068,E$1:E4067,1,FALSE()))),"OLD",IF(AND(E4068&lt;&gt;"",E4068&lt;&gt;"!!!"),"NEW","")))</f>
        <v> </v>
      </c>
      <c r="G4068" s="23" t="str">
        <f>IF(OR(E4068="",E4068="!!!"),"",IF(OR(J4068=0,AND(J4068=1,K4068=1),AND(J4068=1,I4068="SBJ"),AND(J4068=1,I4068=0)),"?IN_FOCUS",IF(J4068&lt;=2,"?ACTIVATED",IF(J4068&lt;&gt;"","?FAMILIAR",IF(F4068="NEW",IF(ISNA(VLOOKUP(E4068,#REF!,1,FALSE())),"?TYPE_IDENTIFIABLE","?REFERENTIAL"),"_")))))</f>
        <v> </v>
      </c>
      <c r="H4068" s="24" t="str">
        <f>IF(J4068&lt;&gt;1,"",IF(I4068="SBJ","CB","?"))</f>
        <v> </v>
      </c>
      <c r="I4068" s="25" t="str">
        <f>IF(OR(E4068="",E4068="!!!",F4068="NEW"),"",INDEX(B4067:B$2,-1+SUMPRODUCT(MAX(ROW(E4067:E$2)*(E4068=E4067:E$2)))))</f>
        <v> </v>
      </c>
      <c r="J4068" s="25" t="str">
        <f>IF(OR(E4068="",E4068="!!!",F4068="NEW"),"",COUNTBLANK(OFFSET(A$1,,,SUMPRODUCT(MAX(ROW(E$2:E4068)*(E4068=E$2:E4068)))))-COUNTBLANK(OFFSET(A$1,,,SUMPRODUCT(MAX(ROW(E$1:E4067)*(E2=E$1:E4067))))))</f>
        <v> </v>
      </c>
      <c r="K4068" s="25" t="str">
        <f>IF(OR(E4068="",E4068="!!!",F4068="NEW"),"",INDEX(J$1:J4067,SUMPRODUCT(MAX(ROW(E$1:E4067)*(E4068=E$1:E4067)))))</f>
        <v> </v>
      </c>
      <c r="L4068" s="26"/>
    </row>
    <row r="4069" spans="1:12">
      <c r="A4069" s="20" t="s">
        <v>904</v>
      </c>
      <c r="B4069" s="27" t="s">
        <v>823</v>
      </c>
      <c r="C4069" s="27" t="s">
        <v>733</v>
      </c>
      <c r="D4069" s="27" t="s">
        <v>694</v>
      </c>
      <c r="E4069" s="21">
        <f>IF(D4069="?OLD","!!!","")</f>
        <v/>
      </c>
      <c r="F4069" s="22" t="str">
        <f>IF(OR(E4069="",E4069="!!!"),"",IF(NOT(ISNA(VLOOKUP(E4069,E$1:E4068,1,FALSE()))),"OLD",IF(AND(E4069&lt;&gt;"",E4069&lt;&gt;"!!!"),"NEW","")))</f>
        <v> </v>
      </c>
      <c r="G4069" s="23" t="str">
        <f>IF(OR(E4069="",E4069="!!!"),"",IF(OR(J4069=0,AND(J4069=1,K4069=1),AND(J4069=1,I4069="SBJ"),AND(J4069=1,I4069=0)),"?IN_FOCUS",IF(J4069&lt;=2,"?ACTIVATED",IF(J4069&lt;&gt;"","?FAMILIAR",IF(F4069="NEW",IF(ISNA(VLOOKUP(E4069,#REF!,1,FALSE())),"?TYPE_IDENTIFIABLE","?REFERENTIAL"),"_")))))</f>
        <v> </v>
      </c>
      <c r="H4069" s="24" t="str">
        <f>IF(J4069&lt;&gt;1,"",IF(I4069="SBJ","CB","?"))</f>
        <v> </v>
      </c>
      <c r="I4069" s="25" t="str">
        <f>IF(OR(E4069="",E4069="!!!",F4069="NEW"),"",INDEX(B4068:B$2,-1+SUMPRODUCT(MAX(ROW(E4068:E$2)*(E4069=E4068:E$2)))))</f>
        <v> </v>
      </c>
      <c r="J4069" s="25" t="str">
        <f>IF(OR(E4069="",E4069="!!!",F4069="NEW"),"",COUNTBLANK(OFFSET(A$1,,,SUMPRODUCT(MAX(ROW(E$2:E4069)*(E4069=E$2:E4069)))))-COUNTBLANK(OFFSET(A$1,,,SUMPRODUCT(MAX(ROW(E$1:E4068)*(E2=E$1:E4068))))))</f>
        <v> </v>
      </c>
      <c r="K4069" s="25" t="str">
        <f>IF(OR(E4069="",E4069="!!!",F4069="NEW"),"",INDEX(J$1:J4068,SUMPRODUCT(MAX(ROW(E$1:E4068)*(E4069=E$1:E4068)))))</f>
        <v> </v>
      </c>
      <c r="L4069" s="26"/>
    </row>
    <row r="4070" spans="1:12">
      <c r="A4070" s="20" t="s">
        <v>1329</v>
      </c>
      <c r="E4070" s="21">
        <f>IF(D4070="?OLD","!!!","")</f>
        <v/>
      </c>
      <c r="F4070" s="22" t="str">
        <f>IF(OR(E4070="",E4070="!!!"),"",IF(NOT(ISNA(VLOOKUP(E4070,E$1:E4069,1,FALSE()))),"OLD",IF(AND(E4070&lt;&gt;"",E4070&lt;&gt;"!!!"),"NEW","")))</f>
        <v> </v>
      </c>
      <c r="G4070" s="23" t="str">
        <f>IF(OR(E4070="",E4070="!!!"),"",IF(OR(J4070=0,AND(J4070=1,K4070=1),AND(J4070=1,I4070="SBJ"),AND(J4070=1,I4070=0)),"?IN_FOCUS",IF(J4070&lt;=2,"?ACTIVATED",IF(J4070&lt;&gt;"","?FAMILIAR",IF(F4070="NEW",IF(ISNA(VLOOKUP(E4070,#REF!,1,FALSE())),"?TYPE_IDENTIFIABLE","?REFERENTIAL"),"_")))))</f>
        <v> </v>
      </c>
      <c r="H4070" s="24" t="str">
        <f>IF(J4070&lt;&gt;1,"",IF(I4070="SBJ","CB","?"))</f>
        <v> </v>
      </c>
      <c r="I4070" s="25" t="str">
        <f>IF(OR(E4070="",E4070="!!!",F4070="NEW"),"",INDEX(B4069:B$2,-1+SUMPRODUCT(MAX(ROW(E4069:E$2)*(E4070=E4069:E$2)))))</f>
        <v> </v>
      </c>
      <c r="J4070" s="25" t="str">
        <f>IF(OR(E4070="",E4070="!!!",F4070="NEW"),"",COUNTBLANK(OFFSET(A$1,,,SUMPRODUCT(MAX(ROW(E$2:E4070)*(E4070=E$2:E4070)))))-COUNTBLANK(OFFSET(A$1,,,SUMPRODUCT(MAX(ROW(E$1:E4069)*(E2=E$1:E4069))))))</f>
        <v> </v>
      </c>
      <c r="K4070" s="25" t="str">
        <f>IF(OR(E4070="",E4070="!!!",F4070="NEW"),"",INDEX(J$1:J4069,SUMPRODUCT(MAX(ROW(E$1:E4069)*(E4070=E$1:E4069)))))</f>
        <v> </v>
      </c>
      <c r="L4070" s="26"/>
    </row>
    <row r="4071" spans="1:12">
      <c r="A4071" s="20" t="s">
        <v>809</v>
      </c>
      <c r="E4071" s="21">
        <f>IF(D4071="?OLD","!!!","")</f>
        <v/>
      </c>
      <c r="F4071" s="22" t="str">
        <f>IF(OR(E4071="",E4071="!!!"),"",IF(NOT(ISNA(VLOOKUP(E4071,E$1:E4070,1,FALSE()))),"OLD",IF(AND(E4071&lt;&gt;"",E4071&lt;&gt;"!!!"),"NEW","")))</f>
        <v> </v>
      </c>
      <c r="G4071" s="23" t="str">
        <f>IF(OR(E4071="",E4071="!!!"),"",IF(OR(J4071=0,AND(J4071=1,K4071=1),AND(J4071=1,I4071="SBJ"),AND(J4071=1,I4071=0)),"?IN_FOCUS",IF(J4071&lt;=2,"?ACTIVATED",IF(J4071&lt;&gt;"","?FAMILIAR",IF(F4071="NEW",IF(ISNA(VLOOKUP(E4071,#REF!,1,FALSE())),"?TYPE_IDENTIFIABLE","?REFERENTIAL"),"_")))))</f>
        <v> </v>
      </c>
      <c r="H4071" s="24" t="str">
        <f>IF(J4071&lt;&gt;1,"",IF(I4071="SBJ","CB","?"))</f>
        <v> </v>
      </c>
      <c r="I4071" s="25" t="str">
        <f>IF(OR(E4071="",E4071="!!!",F4071="NEW"),"",INDEX(B4070:B$2,-1+SUMPRODUCT(MAX(ROW(E4070:E$2)*(E4071=E4070:E$2)))))</f>
        <v> </v>
      </c>
      <c r="J4071" s="25" t="str">
        <f>IF(OR(E4071="",E4071="!!!",F4071="NEW"),"",COUNTBLANK(OFFSET(A$1,,,SUMPRODUCT(MAX(ROW(E$2:E4071)*(E4071=E$2:E4071)))))-COUNTBLANK(OFFSET(A$1,,,SUMPRODUCT(MAX(ROW(E$1:E4070)*(E2=E$1:E4070))))))</f>
        <v> </v>
      </c>
      <c r="K4071" s="25" t="str">
        <f>IF(OR(E4071="",E4071="!!!",F4071="NEW"),"",INDEX(J$1:J4070,SUMPRODUCT(MAX(ROW(E$1:E4070)*(E4071=E$1:E4070)))))</f>
        <v> </v>
      </c>
      <c r="L4071" s="26"/>
    </row>
    <row r="4072" spans="1:12">
      <c r="A4072" s="20" t="s">
        <v>690</v>
      </c>
      <c r="E4072" s="21">
        <f>IF(D4072="?OLD","!!!","")</f>
        <v/>
      </c>
      <c r="F4072" s="22" t="str">
        <f>IF(OR(E4072="",E4072="!!!"),"",IF(NOT(ISNA(VLOOKUP(E4072,E$1:E4071,1,FALSE()))),"OLD",IF(AND(E4072&lt;&gt;"",E4072&lt;&gt;"!!!"),"NEW","")))</f>
        <v> </v>
      </c>
      <c r="G4072" s="23" t="str">
        <f>IF(OR(E4072="",E4072="!!!"),"",IF(OR(J4072=0,AND(J4072=1,K4072=1),AND(J4072=1,I4072="SBJ"),AND(J4072=1,I4072=0)),"?IN_FOCUS",IF(J4072&lt;=2,"?ACTIVATED",IF(J4072&lt;&gt;"","?FAMILIAR",IF(F4072="NEW",IF(ISNA(VLOOKUP(E4072,#REF!,1,FALSE())),"?TYPE_IDENTIFIABLE","?REFERENTIAL"),"_")))))</f>
        <v> </v>
      </c>
      <c r="H4072" s="24" t="str">
        <f>IF(J4072&lt;&gt;1,"",IF(I4072="SBJ","CB","?"))</f>
        <v> </v>
      </c>
      <c r="I4072" s="25" t="str">
        <f>IF(OR(E4072="",E4072="!!!",F4072="NEW"),"",INDEX(B4071:B$2,-1+SUMPRODUCT(MAX(ROW(E4071:E$2)*(E4072=E4071:E$2)))))</f>
        <v> </v>
      </c>
      <c r="J4072" s="25" t="str">
        <f>IF(OR(E4072="",E4072="!!!",F4072="NEW"),"",COUNTBLANK(OFFSET(A$1,,,SUMPRODUCT(MAX(ROW(E$2:E4072)*(E4072=E$2:E4072)))))-COUNTBLANK(OFFSET(A$1,,,SUMPRODUCT(MAX(ROW(E$1:E4071)*(E2=E$1:E4071))))))</f>
        <v> </v>
      </c>
      <c r="K4072" s="25" t="str">
        <f>IF(OR(E4072="",E4072="!!!",F4072="NEW"),"",INDEX(J$1:J4071,SUMPRODUCT(MAX(ROW(E$1:E4071)*(E4072=E$1:E4071)))))</f>
        <v> </v>
      </c>
      <c r="L4072" s="26"/>
    </row>
    <row r="4073" spans="1:12">
      <c r="A4073" s="20" t="s">
        <v>1730</v>
      </c>
      <c r="B4073" s="27" t="s">
        <v>709</v>
      </c>
      <c r="C4073" s="27" t="s">
        <v>693</v>
      </c>
      <c r="D4073" s="27" t="s">
        <v>694</v>
      </c>
      <c r="E4073" s="21">
        <f>IF(D4073="?OLD","!!!","")</f>
        <v/>
      </c>
      <c r="F4073" s="22" t="str">
        <f>IF(OR(E4073="",E4073="!!!"),"",IF(NOT(ISNA(VLOOKUP(E4073,E$1:E4072,1,FALSE()))),"OLD",IF(AND(E4073&lt;&gt;"",E4073&lt;&gt;"!!!"),"NEW","")))</f>
        <v> </v>
      </c>
      <c r="G4073" s="23" t="str">
        <f>IF(OR(E4073="",E4073="!!!"),"",IF(OR(J4073=0,AND(J4073=1,K4073=1),AND(J4073=1,I4073="SBJ"),AND(J4073=1,I4073=0)),"?IN_FOCUS",IF(J4073&lt;=2,"?ACTIVATED",IF(J4073&lt;&gt;"","?FAMILIAR",IF(F4073="NEW",IF(ISNA(VLOOKUP(E4073,#REF!,1,FALSE())),"?TYPE_IDENTIFIABLE","?REFERENTIAL"),"_")))))</f>
        <v> </v>
      </c>
      <c r="H4073" s="24" t="str">
        <f>IF(J4073&lt;&gt;1,"",IF(I4073="SBJ","CB","?"))</f>
        <v> </v>
      </c>
      <c r="I4073" s="25" t="str">
        <f>IF(OR(E4073="",E4073="!!!",F4073="NEW"),"",INDEX(B4072:B$2,-1+SUMPRODUCT(MAX(ROW(E4072:E$2)*(E4073=E4072:E$2)))))</f>
        <v> </v>
      </c>
      <c r="J4073" s="25" t="str">
        <f>IF(OR(E4073="",E4073="!!!",F4073="NEW"),"",COUNTBLANK(OFFSET(A$1,,,SUMPRODUCT(MAX(ROW(E$2:E4073)*(E4073=E$2:E4073)))))-COUNTBLANK(OFFSET(A$1,,,SUMPRODUCT(MAX(ROW(E$1:E4072)*(E2=E$1:E4072))))))</f>
        <v> </v>
      </c>
      <c r="K4073" s="25" t="str">
        <f>IF(OR(E4073="",E4073="!!!",F4073="NEW"),"",INDEX(J$1:J4072,SUMPRODUCT(MAX(ROW(E$1:E4072)*(E4073=E$1:E4072)))))</f>
        <v> </v>
      </c>
      <c r="L4073" s="26"/>
    </row>
    <row r="4074" spans="1:12">
      <c r="A4074" s="20" t="s">
        <v>696</v>
      </c>
      <c r="E4074" s="21">
        <f>IF(D4074="?OLD","!!!","")</f>
        <v/>
      </c>
      <c r="F4074" s="22" t="str">
        <f>IF(OR(E4074="",E4074="!!!"),"",IF(NOT(ISNA(VLOOKUP(E4074,E$1:E4073,1,FALSE()))),"OLD",IF(AND(E4074&lt;&gt;"",E4074&lt;&gt;"!!!"),"NEW","")))</f>
        <v> </v>
      </c>
      <c r="G4074" s="23" t="str">
        <f>IF(OR(E4074="",E4074="!!!"),"",IF(OR(J4074=0,AND(J4074=1,K4074=1),AND(J4074=1,I4074="SBJ"),AND(J4074=1,I4074=0)),"?IN_FOCUS",IF(J4074&lt;=2,"?ACTIVATED",IF(J4074&lt;&gt;"","?FAMILIAR",IF(F4074="NEW",IF(ISNA(VLOOKUP(E4074,#REF!,1,FALSE())),"?TYPE_IDENTIFIABLE","?REFERENTIAL"),"_")))))</f>
        <v> </v>
      </c>
      <c r="H4074" s="24" t="str">
        <f>IF(J4074&lt;&gt;1,"",IF(I4074="SBJ","CB","?"))</f>
        <v> </v>
      </c>
      <c r="I4074" s="25" t="str">
        <f>IF(OR(E4074="",E4074="!!!",F4074="NEW"),"",INDEX(B4073:B$2,-1+SUMPRODUCT(MAX(ROW(E4073:E$2)*(E4074=E4073:E$2)))))</f>
        <v> </v>
      </c>
      <c r="J4074" s="25" t="str">
        <f>IF(OR(E4074="",E4074="!!!",F4074="NEW"),"",COUNTBLANK(OFFSET(A$1,,,SUMPRODUCT(MAX(ROW(E$2:E4074)*(E4074=E$2:E4074)))))-COUNTBLANK(OFFSET(A$1,,,SUMPRODUCT(MAX(ROW(E$1:E4073)*(E2=E$1:E4073))))))</f>
        <v> </v>
      </c>
      <c r="K4074" s="25" t="str">
        <f>IF(OR(E4074="",E4074="!!!",F4074="NEW"),"",INDEX(J$1:J4073,SUMPRODUCT(MAX(ROW(E$1:E4073)*(E4074=E$1:E4073)))))</f>
        <v> </v>
      </c>
      <c r="L4074" s="26"/>
    </row>
    <row r="4075" spans="1:12">
      <c r="A4075" s="20" t="s">
        <v>721</v>
      </c>
      <c r="E4075" s="21">
        <f>IF(D4075="?OLD","!!!","")</f>
        <v/>
      </c>
      <c r="F4075" s="22" t="str">
        <f>IF(OR(E4075="",E4075="!!!"),"",IF(NOT(ISNA(VLOOKUP(E4075,E$1:E4074,1,FALSE()))),"OLD",IF(AND(E4075&lt;&gt;"",E4075&lt;&gt;"!!!"),"NEW","")))</f>
        <v> </v>
      </c>
      <c r="G4075" s="23" t="str">
        <f>IF(OR(E4075="",E4075="!!!"),"",IF(OR(J4075=0,AND(J4075=1,K4075=1),AND(J4075=1,I4075="SBJ"),AND(J4075=1,I4075=0)),"?IN_FOCUS",IF(J4075&lt;=2,"?ACTIVATED",IF(J4075&lt;&gt;"","?FAMILIAR",IF(F4075="NEW",IF(ISNA(VLOOKUP(E4075,#REF!,1,FALSE())),"?TYPE_IDENTIFIABLE","?REFERENTIAL"),"_")))))</f>
        <v> </v>
      </c>
      <c r="H4075" s="24" t="str">
        <f>IF(J4075&lt;&gt;1,"",IF(I4075="SBJ","CB","?"))</f>
        <v> </v>
      </c>
      <c r="I4075" s="25" t="str">
        <f>IF(OR(E4075="",E4075="!!!",F4075="NEW"),"",INDEX(B4074:B$2,-1+SUMPRODUCT(MAX(ROW(E4074:E$2)*(E4075=E4074:E$2)))))</f>
        <v> </v>
      </c>
      <c r="J4075" s="25" t="str">
        <f>IF(OR(E4075="",E4075="!!!",F4075="NEW"),"",COUNTBLANK(OFFSET(A$1,,,SUMPRODUCT(MAX(ROW(E$2:E4075)*(E4075=E$2:E4075)))))-COUNTBLANK(OFFSET(A$1,,,SUMPRODUCT(MAX(ROW(E$1:E4074)*(E2=E$1:E4074))))))</f>
        <v> </v>
      </c>
      <c r="K4075" s="25" t="str">
        <f>IF(OR(E4075="",E4075="!!!",F4075="NEW"),"",INDEX(J$1:J4074,SUMPRODUCT(MAX(ROW(E$1:E4074)*(E4075=E$1:E4074)))))</f>
        <v> </v>
      </c>
      <c r="L4075" s="26"/>
    </row>
    <row r="4076" spans="1:12">
      <c r="A4076" s="20" t="s">
        <v>1706</v>
      </c>
      <c r="B4076" s="27" t="s">
        <v>756</v>
      </c>
      <c r="C4076" s="27" t="s">
        <v>693</v>
      </c>
      <c r="D4076" s="27" t="s">
        <v>694</v>
      </c>
      <c r="E4076" s="21">
        <f>IF(D4076="?OLD","!!!","")</f>
        <v/>
      </c>
      <c r="F4076" s="22" t="str">
        <f>IF(OR(E4076="",E4076="!!!"),"",IF(NOT(ISNA(VLOOKUP(E4076,E$1:E4075,1,FALSE()))),"OLD",IF(AND(E4076&lt;&gt;"",E4076&lt;&gt;"!!!"),"NEW","")))</f>
        <v> </v>
      </c>
      <c r="G4076" s="23" t="str">
        <f>IF(OR(E4076="",E4076="!!!"),"",IF(OR(J4076=0,AND(J4076=1,K4076=1),AND(J4076=1,I4076="SBJ"),AND(J4076=1,I4076=0)),"?IN_FOCUS",IF(J4076&lt;=2,"?ACTIVATED",IF(J4076&lt;&gt;"","?FAMILIAR",IF(F4076="NEW",IF(ISNA(VLOOKUP(E4076,#REF!,1,FALSE())),"?TYPE_IDENTIFIABLE","?REFERENTIAL"),"_")))))</f>
        <v> </v>
      </c>
      <c r="H4076" s="24" t="str">
        <f>IF(J4076&lt;&gt;1,"",IF(I4076="SBJ","CB","?"))</f>
        <v> </v>
      </c>
      <c r="I4076" s="25" t="str">
        <f>IF(OR(E4076="",E4076="!!!",F4076="NEW"),"",INDEX(B4075:B$2,-1+SUMPRODUCT(MAX(ROW(E4075:E$2)*(E4076=E4075:E$2)))))</f>
        <v> </v>
      </c>
      <c r="J4076" s="25" t="str">
        <f>IF(OR(E4076="",E4076="!!!",F4076="NEW"),"",COUNTBLANK(OFFSET(A$1,,,SUMPRODUCT(MAX(ROW(E$2:E4076)*(E4076=E$2:E4076)))))-COUNTBLANK(OFFSET(A$1,,,SUMPRODUCT(MAX(ROW(E$1:E4075)*(E2=E$1:E4075))))))</f>
        <v> </v>
      </c>
      <c r="K4076" s="25" t="str">
        <f>IF(OR(E4076="",E4076="!!!",F4076="NEW"),"",INDEX(J$1:J4075,SUMPRODUCT(MAX(ROW(E$1:E4075)*(E4076=E$1:E4075)))))</f>
        <v> </v>
      </c>
      <c r="L4076" s="26"/>
    </row>
    <row r="4077" spans="1:12">
      <c r="A4077" s="20" t="s">
        <v>786</v>
      </c>
      <c r="E4077" s="21">
        <f>IF(D4077="?OLD","!!!","")</f>
        <v/>
      </c>
      <c r="F4077" s="22" t="str">
        <f>IF(OR(E4077="",E4077="!!!"),"",IF(NOT(ISNA(VLOOKUP(E4077,E$1:E4076,1,FALSE()))),"OLD",IF(AND(E4077&lt;&gt;"",E4077&lt;&gt;"!!!"),"NEW","")))</f>
        <v> </v>
      </c>
      <c r="G4077" s="23" t="str">
        <f>IF(OR(E4077="",E4077="!!!"),"",IF(OR(J4077=0,AND(J4077=1,K4077=1),AND(J4077=1,I4077="SBJ"),AND(J4077=1,I4077=0)),"?IN_FOCUS",IF(J4077&lt;=2,"?ACTIVATED",IF(J4077&lt;&gt;"","?FAMILIAR",IF(F4077="NEW",IF(ISNA(VLOOKUP(E4077,#REF!,1,FALSE())),"?TYPE_IDENTIFIABLE","?REFERENTIAL"),"_")))))</f>
        <v> </v>
      </c>
      <c r="H4077" s="24" t="str">
        <f>IF(J4077&lt;&gt;1,"",IF(I4077="SBJ","CB","?"))</f>
        <v> </v>
      </c>
      <c r="I4077" s="25" t="str">
        <f>IF(OR(E4077="",E4077="!!!",F4077="NEW"),"",INDEX(B4076:B$2,-1+SUMPRODUCT(MAX(ROW(E4076:E$2)*(E4077=E4076:E$2)))))</f>
        <v> </v>
      </c>
      <c r="J4077" s="25" t="str">
        <f>IF(OR(E4077="",E4077="!!!",F4077="NEW"),"",COUNTBLANK(OFFSET(A$1,,,SUMPRODUCT(MAX(ROW(E$2:E4077)*(E4077=E$2:E4077)))))-COUNTBLANK(OFFSET(A$1,,,SUMPRODUCT(MAX(ROW(E$1:E4076)*(E2=E$1:E4076))))))</f>
        <v> </v>
      </c>
      <c r="K4077" s="25" t="str">
        <f>IF(OR(E4077="",E4077="!!!",F4077="NEW"),"",INDEX(J$1:J4076,SUMPRODUCT(MAX(ROW(E$1:E4076)*(E4077=E$1:E4076)))))</f>
        <v> </v>
      </c>
      <c r="L4077" s="26"/>
    </row>
    <row r="4078" spans="1:12">
      <c r="A4078" s="20" t="s">
        <v>690</v>
      </c>
      <c r="E4078" s="21">
        <f>IF(D4078="?OLD","!!!","")</f>
        <v/>
      </c>
      <c r="F4078" s="22" t="str">
        <f>IF(OR(E4078="",E4078="!!!"),"",IF(NOT(ISNA(VLOOKUP(E4078,E$1:E4077,1,FALSE()))),"OLD",IF(AND(E4078&lt;&gt;"",E4078&lt;&gt;"!!!"),"NEW","")))</f>
        <v> </v>
      </c>
      <c r="G4078" s="23" t="str">
        <f>IF(OR(E4078="",E4078="!!!"),"",IF(OR(J4078=0,AND(J4078=1,K4078=1),AND(J4078=1,I4078="SBJ"),AND(J4078=1,I4078=0)),"?IN_FOCUS",IF(J4078&lt;=2,"?ACTIVATED",IF(J4078&lt;&gt;"","?FAMILIAR",IF(F4078="NEW",IF(ISNA(VLOOKUP(E4078,#REF!,1,FALSE())),"?TYPE_IDENTIFIABLE","?REFERENTIAL"),"_")))))</f>
        <v> </v>
      </c>
      <c r="H4078" s="24" t="str">
        <f>IF(J4078&lt;&gt;1,"",IF(I4078="SBJ","CB","?"))</f>
        <v> </v>
      </c>
      <c r="I4078" s="25" t="str">
        <f>IF(OR(E4078="",E4078="!!!",F4078="NEW"),"",INDEX(B4077:B$2,-1+SUMPRODUCT(MAX(ROW(E4077:E$2)*(E4078=E4077:E$2)))))</f>
        <v> </v>
      </c>
      <c r="J4078" s="25" t="str">
        <f>IF(OR(E4078="",E4078="!!!",F4078="NEW"),"",COUNTBLANK(OFFSET(A$1,,,SUMPRODUCT(MAX(ROW(E$2:E4078)*(E4078=E$2:E4078)))))-COUNTBLANK(OFFSET(A$1,,,SUMPRODUCT(MAX(ROW(E$1:E4077)*(E2=E$1:E4077))))))</f>
        <v> </v>
      </c>
      <c r="K4078" s="25" t="str">
        <f>IF(OR(E4078="",E4078="!!!",F4078="NEW"),"",INDEX(J$1:J4077,SUMPRODUCT(MAX(ROW(E$1:E4077)*(E4078=E$1:E4077)))))</f>
        <v> </v>
      </c>
      <c r="L4078" s="26"/>
    </row>
    <row r="4079" spans="1:12">
      <c r="A4079" s="20" t="s">
        <v>697</v>
      </c>
      <c r="B4079" s="27" t="s">
        <v>715</v>
      </c>
      <c r="C4079" s="27" t="s">
        <v>693</v>
      </c>
      <c r="D4079" s="27" t="s">
        <v>694</v>
      </c>
      <c r="E4079" s="21">
        <f>IF(D4079="?OLD","!!!","")</f>
        <v/>
      </c>
      <c r="F4079" s="22" t="str">
        <f>IF(OR(E4079="",E4079="!!!"),"",IF(NOT(ISNA(VLOOKUP(E4079,E$1:E4078,1,FALSE()))),"OLD",IF(AND(E4079&lt;&gt;"",E4079&lt;&gt;"!!!"),"NEW","")))</f>
        <v> </v>
      </c>
      <c r="G4079" s="23" t="str">
        <f>IF(OR(E4079="",E4079="!!!"),"",IF(OR(J4079=0,AND(J4079=1,K4079=1),AND(J4079=1,I4079="SBJ"),AND(J4079=1,I4079=0)),"?IN_FOCUS",IF(J4079&lt;=2,"?ACTIVATED",IF(J4079&lt;&gt;"","?FAMILIAR",IF(F4079="NEW",IF(ISNA(VLOOKUP(E4079,#REF!,1,FALSE())),"?TYPE_IDENTIFIABLE","?REFERENTIAL"),"_")))))</f>
        <v> </v>
      </c>
      <c r="H4079" s="24" t="str">
        <f>IF(J4079&lt;&gt;1,"",IF(I4079="SBJ","CB","?"))</f>
        <v> </v>
      </c>
      <c r="I4079" s="25" t="str">
        <f>IF(OR(E4079="",E4079="!!!",F4079="NEW"),"",INDEX(B4078:B$2,-1+SUMPRODUCT(MAX(ROW(E4078:E$2)*(E4079=E4078:E$2)))))</f>
        <v> </v>
      </c>
      <c r="J4079" s="25" t="str">
        <f>IF(OR(E4079="",E4079="!!!",F4079="NEW"),"",COUNTBLANK(OFFSET(A$1,,,SUMPRODUCT(MAX(ROW(E$2:E4079)*(E4079=E$2:E4079)))))-COUNTBLANK(OFFSET(A$1,,,SUMPRODUCT(MAX(ROW(E$1:E4078)*(E2=E$1:E4078))))))</f>
        <v> </v>
      </c>
      <c r="K4079" s="25" t="str">
        <f>IF(OR(E4079="",E4079="!!!",F4079="NEW"),"",INDEX(J$1:J4078,SUMPRODUCT(MAX(ROW(E$1:E4078)*(E4079=E$1:E4078)))))</f>
        <v> </v>
      </c>
      <c r="L4079" s="26"/>
    </row>
    <row r="4080" spans="1:12">
      <c r="A4080" s="20" t="s">
        <v>871</v>
      </c>
      <c r="E4080" s="21">
        <f>IF(D4080="?OLD","!!!","")</f>
        <v/>
      </c>
      <c r="F4080" s="22" t="str">
        <f>IF(OR(E4080="",E4080="!!!"),"",IF(NOT(ISNA(VLOOKUP(E4080,E$1:E4079,1,FALSE()))),"OLD",IF(AND(E4080&lt;&gt;"",E4080&lt;&gt;"!!!"),"NEW","")))</f>
        <v> </v>
      </c>
      <c r="G4080" s="23" t="str">
        <f>IF(OR(E4080="",E4080="!!!"),"",IF(OR(J4080=0,AND(J4080=1,K4080=1),AND(J4080=1,I4080="SBJ"),AND(J4080=1,I4080=0)),"?IN_FOCUS",IF(J4080&lt;=2,"?ACTIVATED",IF(J4080&lt;&gt;"","?FAMILIAR",IF(F4080="NEW",IF(ISNA(VLOOKUP(E4080,#REF!,1,FALSE())),"?TYPE_IDENTIFIABLE","?REFERENTIAL"),"_")))))</f>
        <v> </v>
      </c>
      <c r="H4080" s="24" t="str">
        <f>IF(J4080&lt;&gt;1,"",IF(I4080="SBJ","CB","?"))</f>
        <v> </v>
      </c>
      <c r="I4080" s="25" t="str">
        <f>IF(OR(E4080="",E4080="!!!",F4080="NEW"),"",INDEX(B4079:B$2,-1+SUMPRODUCT(MAX(ROW(E4079:E$2)*(E4080=E4079:E$2)))))</f>
        <v> </v>
      </c>
      <c r="J4080" s="25" t="str">
        <f>IF(OR(E4080="",E4080="!!!",F4080="NEW"),"",COUNTBLANK(OFFSET(A$1,,,SUMPRODUCT(MAX(ROW(E$2:E4080)*(E4080=E$2:E4080)))))-COUNTBLANK(OFFSET(A$1,,,SUMPRODUCT(MAX(ROW(E$1:E4079)*(E2=E$1:E4079))))))</f>
        <v> </v>
      </c>
      <c r="K4080" s="25" t="str">
        <f>IF(OR(E4080="",E4080="!!!",F4080="NEW"),"",INDEX(J$1:J4079,SUMPRODUCT(MAX(ROW(E$1:E4079)*(E4080=E$1:E4079)))))</f>
        <v> </v>
      </c>
      <c r="L4080" s="26"/>
    </row>
    <row r="4081" spans="1:12">
      <c r="A4081" s="20" t="s">
        <v>1731</v>
      </c>
      <c r="E4081" s="21">
        <f>IF(D4081="?OLD","!!!","")</f>
        <v/>
      </c>
      <c r="F4081" s="22" t="str">
        <f>IF(OR(E4081="",E4081="!!!"),"",IF(NOT(ISNA(VLOOKUP(E4081,E$1:E4080,1,FALSE()))),"OLD",IF(AND(E4081&lt;&gt;"",E4081&lt;&gt;"!!!"),"NEW","")))</f>
        <v> </v>
      </c>
      <c r="G4081" s="23" t="str">
        <f>IF(OR(E4081="",E4081="!!!"),"",IF(OR(J4081=0,AND(J4081=1,K4081=1),AND(J4081=1,I4081="SBJ"),AND(J4081=1,I4081=0)),"?IN_FOCUS",IF(J4081&lt;=2,"?ACTIVATED",IF(J4081&lt;&gt;"","?FAMILIAR",IF(F4081="NEW",IF(ISNA(VLOOKUP(E4081,#REF!,1,FALSE())),"?TYPE_IDENTIFIABLE","?REFERENTIAL"),"_")))))</f>
        <v> </v>
      </c>
      <c r="H4081" s="24" t="str">
        <f>IF(J4081&lt;&gt;1,"",IF(I4081="SBJ","CB","?"))</f>
        <v> </v>
      </c>
      <c r="I4081" s="25" t="str">
        <f>IF(OR(E4081="",E4081="!!!",F4081="NEW"),"",INDEX(B4080:B$2,-1+SUMPRODUCT(MAX(ROW(E4080:E$2)*(E4081=E4080:E$2)))))</f>
        <v> </v>
      </c>
      <c r="J4081" s="25" t="str">
        <f>IF(OR(E4081="",E4081="!!!",F4081="NEW"),"",COUNTBLANK(OFFSET(A$1,,,SUMPRODUCT(MAX(ROW(E$2:E4081)*(E4081=E$2:E4081)))))-COUNTBLANK(OFFSET(A$1,,,SUMPRODUCT(MAX(ROW(E$1:E4080)*(E2=E$1:E4080))))))</f>
        <v> </v>
      </c>
      <c r="K4081" s="25" t="str">
        <f>IF(OR(E4081="",E4081="!!!",F4081="NEW"),"",INDEX(J$1:J4080,SUMPRODUCT(MAX(ROW(E$1:E4080)*(E4081=E$1:E4080)))))</f>
        <v> </v>
      </c>
      <c r="L4081" s="26"/>
    </row>
    <row r="4082" spans="1:12">
      <c r="A4082" s="20" t="s">
        <v>862</v>
      </c>
      <c r="E4082" s="21">
        <f>IF(D4082="?OLD","!!!","")</f>
        <v/>
      </c>
      <c r="F4082" s="22" t="str">
        <f>IF(OR(E4082="",E4082="!!!"),"",IF(NOT(ISNA(VLOOKUP(E4082,E$1:E4081,1,FALSE()))),"OLD",IF(AND(E4082&lt;&gt;"",E4082&lt;&gt;"!!!"),"NEW","")))</f>
        <v> </v>
      </c>
      <c r="G4082" s="23" t="str">
        <f>IF(OR(E4082="",E4082="!!!"),"",IF(OR(J4082=0,AND(J4082=1,K4082=1),AND(J4082=1,I4082="SBJ"),AND(J4082=1,I4082=0)),"?IN_FOCUS",IF(J4082&lt;=2,"?ACTIVATED",IF(J4082&lt;&gt;"","?FAMILIAR",IF(F4082="NEW",IF(ISNA(VLOOKUP(E4082,#REF!,1,FALSE())),"?TYPE_IDENTIFIABLE","?REFERENTIAL"),"_")))))</f>
        <v> </v>
      </c>
      <c r="H4082" s="24" t="str">
        <f>IF(J4082&lt;&gt;1,"",IF(I4082="SBJ","CB","?"))</f>
        <v> </v>
      </c>
      <c r="I4082" s="25" t="str">
        <f>IF(OR(E4082="",E4082="!!!",F4082="NEW"),"",INDEX(B4081:B$2,-1+SUMPRODUCT(MAX(ROW(E4081:E$2)*(E4082=E4081:E$2)))))</f>
        <v> </v>
      </c>
      <c r="J4082" s="25" t="str">
        <f>IF(OR(E4082="",E4082="!!!",F4082="NEW"),"",COUNTBLANK(OFFSET(A$1,,,SUMPRODUCT(MAX(ROW(E$2:E4082)*(E4082=E$2:E4082)))))-COUNTBLANK(OFFSET(A$1,,,SUMPRODUCT(MAX(ROW(E$1:E4081)*(E2=E$1:E4081))))))</f>
        <v> </v>
      </c>
      <c r="K4082" s="25" t="str">
        <f>IF(OR(E4082="",E4082="!!!",F4082="NEW"),"",INDEX(J$1:J4081,SUMPRODUCT(MAX(ROW(E$1:E4081)*(E4082=E$1:E4081)))))</f>
        <v> </v>
      </c>
      <c r="L4082" s="26"/>
    </row>
    <row r="4083" spans="1:12">
      <c r="A4083" s="20" t="s">
        <v>721</v>
      </c>
      <c r="E4083" s="21">
        <f>IF(D4083="?OLD","!!!","")</f>
        <v/>
      </c>
      <c r="F4083" s="22" t="str">
        <f>IF(OR(E4083="",E4083="!!!"),"",IF(NOT(ISNA(VLOOKUP(E4083,E$1:E4082,1,FALSE()))),"OLD",IF(AND(E4083&lt;&gt;"",E4083&lt;&gt;"!!!"),"NEW","")))</f>
        <v> </v>
      </c>
      <c r="G4083" s="23" t="str">
        <f>IF(OR(E4083="",E4083="!!!"),"",IF(OR(J4083=0,AND(J4083=1,K4083=1),AND(J4083=1,I4083="SBJ"),AND(J4083=1,I4083=0)),"?IN_FOCUS",IF(J4083&lt;=2,"?ACTIVATED",IF(J4083&lt;&gt;"","?FAMILIAR",IF(F4083="NEW",IF(ISNA(VLOOKUP(E4083,#REF!,1,FALSE())),"?TYPE_IDENTIFIABLE","?REFERENTIAL"),"_")))))</f>
        <v> </v>
      </c>
      <c r="H4083" s="24" t="str">
        <f>IF(J4083&lt;&gt;1,"",IF(I4083="SBJ","CB","?"))</f>
        <v> </v>
      </c>
      <c r="I4083" s="25" t="str">
        <f>IF(OR(E4083="",E4083="!!!",F4083="NEW"),"",INDEX(B4082:B$2,-1+SUMPRODUCT(MAX(ROW(E4082:E$2)*(E4083=E4082:E$2)))))</f>
        <v> </v>
      </c>
      <c r="J4083" s="25" t="str">
        <f>IF(OR(E4083="",E4083="!!!",F4083="NEW"),"",COUNTBLANK(OFFSET(A$1,,,SUMPRODUCT(MAX(ROW(E$2:E4083)*(E4083=E$2:E4083)))))-COUNTBLANK(OFFSET(A$1,,,SUMPRODUCT(MAX(ROW(E$1:E4082)*(E2=E$1:E4082))))))</f>
        <v> </v>
      </c>
      <c r="K4083" s="25" t="str">
        <f>IF(OR(E4083="",E4083="!!!",F4083="NEW"),"",INDEX(J$1:J4082,SUMPRODUCT(MAX(ROW(E$1:E4082)*(E4083=E$1:E4082)))))</f>
        <v> </v>
      </c>
      <c r="L4083" s="26"/>
    </row>
    <row r="4084" spans="1:12">
      <c r="A4084" s="20" t="s">
        <v>1727</v>
      </c>
      <c r="B4084" s="27" t="s">
        <v>755</v>
      </c>
      <c r="C4084" s="27" t="s">
        <v>693</v>
      </c>
      <c r="D4084" s="27" t="s">
        <v>694</v>
      </c>
      <c r="E4084" s="21">
        <f>IF(D4084="?OLD","!!!","")</f>
        <v/>
      </c>
      <c r="F4084" s="22" t="str">
        <f>IF(OR(E4084="",E4084="!!!"),"",IF(NOT(ISNA(VLOOKUP(E4084,E$1:E4083,1,FALSE()))),"OLD",IF(AND(E4084&lt;&gt;"",E4084&lt;&gt;"!!!"),"NEW","")))</f>
        <v> </v>
      </c>
      <c r="G4084" s="23" t="str">
        <f>IF(OR(E4084="",E4084="!!!"),"",IF(OR(J4084=0,AND(J4084=1,K4084=1),AND(J4084=1,I4084="SBJ"),AND(J4084=1,I4084=0)),"?IN_FOCUS",IF(J4084&lt;=2,"?ACTIVATED",IF(J4084&lt;&gt;"","?FAMILIAR",IF(F4084="NEW",IF(ISNA(VLOOKUP(E4084,#REF!,1,FALSE())),"?TYPE_IDENTIFIABLE","?REFERENTIAL"),"_")))))</f>
        <v> </v>
      </c>
      <c r="H4084" s="24" t="str">
        <f>IF(J4084&lt;&gt;1,"",IF(I4084="SBJ","CB","?"))</f>
        <v> </v>
      </c>
      <c r="I4084" s="25" t="str">
        <f>IF(OR(E4084="",E4084="!!!",F4084="NEW"),"",INDEX(B4083:B$2,-1+SUMPRODUCT(MAX(ROW(E4083:E$2)*(E4084=E4083:E$2)))))</f>
        <v> </v>
      </c>
      <c r="J4084" s="25" t="str">
        <f>IF(OR(E4084="",E4084="!!!",F4084="NEW"),"",COUNTBLANK(OFFSET(A$1,,,SUMPRODUCT(MAX(ROW(E$2:E4084)*(E4084=E$2:E4084)))))-COUNTBLANK(OFFSET(A$1,,,SUMPRODUCT(MAX(ROW(E$1:E4083)*(E2=E$1:E4083))))))</f>
        <v> </v>
      </c>
      <c r="K4084" s="25" t="str">
        <f>IF(OR(E4084="",E4084="!!!",F4084="NEW"),"",INDEX(J$1:J4083,SUMPRODUCT(MAX(ROW(E$1:E4083)*(E4084=E$1:E4083)))))</f>
        <v> </v>
      </c>
      <c r="L4084" s="26"/>
    </row>
    <row r="4085" spans="1:12">
      <c r="A4085" s="20" t="s">
        <v>1732</v>
      </c>
      <c r="E4085" s="21">
        <f>IF(D4085="?OLD","!!!","")</f>
        <v/>
      </c>
      <c r="F4085" s="22" t="str">
        <f>IF(OR(E4085="",E4085="!!!"),"",IF(NOT(ISNA(VLOOKUP(E4085,E$1:E4084,1,FALSE()))),"OLD",IF(AND(E4085&lt;&gt;"",E4085&lt;&gt;"!!!"),"NEW","")))</f>
        <v> </v>
      </c>
      <c r="G4085" s="23" t="str">
        <f>IF(OR(E4085="",E4085="!!!"),"",IF(OR(J4085=0,AND(J4085=1,K4085=1),AND(J4085=1,I4085="SBJ"),AND(J4085=1,I4085=0)),"?IN_FOCUS",IF(J4085&lt;=2,"?ACTIVATED",IF(J4085&lt;&gt;"","?FAMILIAR",IF(F4085="NEW",IF(ISNA(VLOOKUP(E4085,#REF!,1,FALSE())),"?TYPE_IDENTIFIABLE","?REFERENTIAL"),"_")))))</f>
        <v> </v>
      </c>
      <c r="H4085" s="24" t="str">
        <f>IF(J4085&lt;&gt;1,"",IF(I4085="SBJ","CB","?"))</f>
        <v> </v>
      </c>
      <c r="I4085" s="25" t="str">
        <f>IF(OR(E4085="",E4085="!!!",F4085="NEW"),"",INDEX(B4084:B$2,-1+SUMPRODUCT(MAX(ROW(E4084:E$2)*(E4085=E4084:E$2)))))</f>
        <v> </v>
      </c>
      <c r="J4085" s="25" t="str">
        <f>IF(OR(E4085="",E4085="!!!",F4085="NEW"),"",COUNTBLANK(OFFSET(A$1,,,SUMPRODUCT(MAX(ROW(E$2:E4085)*(E4085=E$2:E4085)))))-COUNTBLANK(OFFSET(A$1,,,SUMPRODUCT(MAX(ROW(E$1:E4084)*(E2=E$1:E4084))))))</f>
        <v> </v>
      </c>
      <c r="K4085" s="25" t="str">
        <f>IF(OR(E4085="",E4085="!!!",F4085="NEW"),"",INDEX(J$1:J4084,SUMPRODUCT(MAX(ROW(E$1:E4084)*(E4085=E$1:E4084)))))</f>
        <v> </v>
      </c>
      <c r="L4085" s="26"/>
    </row>
    <row r="4086" spans="1:12">
      <c r="A4086" s="20" t="s">
        <v>699</v>
      </c>
      <c r="E4086" s="21">
        <f>IF(D4086="?OLD","!!!","")</f>
        <v/>
      </c>
      <c r="F4086" s="22" t="str">
        <f>IF(OR(E4086="",E4086="!!!"),"",IF(NOT(ISNA(VLOOKUP(E4086,E$1:E4085,1,FALSE()))),"OLD",IF(AND(E4086&lt;&gt;"",E4086&lt;&gt;"!!!"),"NEW","")))</f>
        <v> </v>
      </c>
      <c r="G4086" s="23" t="str">
        <f>IF(OR(E4086="",E4086="!!!"),"",IF(OR(J4086=0,AND(J4086=1,K4086=1),AND(J4086=1,I4086="SBJ"),AND(J4086=1,I4086=0)),"?IN_FOCUS",IF(J4086&lt;=2,"?ACTIVATED",IF(J4086&lt;&gt;"","?FAMILIAR",IF(F4086="NEW",IF(ISNA(VLOOKUP(E4086,#REF!,1,FALSE())),"?TYPE_IDENTIFIABLE","?REFERENTIAL"),"_")))))</f>
        <v> </v>
      </c>
      <c r="H4086" s="24" t="str">
        <f>IF(J4086&lt;&gt;1,"",IF(I4086="SBJ","CB","?"))</f>
        <v> </v>
      </c>
      <c r="I4086" s="25" t="str">
        <f>IF(OR(E4086="",E4086="!!!",F4086="NEW"),"",INDEX(B4085:B$2,-1+SUMPRODUCT(MAX(ROW(E4085:E$2)*(E4086=E4085:E$2)))))</f>
        <v> </v>
      </c>
      <c r="J4086" s="25" t="str">
        <f>IF(OR(E4086="",E4086="!!!",F4086="NEW"),"",COUNTBLANK(OFFSET(A$1,,,SUMPRODUCT(MAX(ROW(E$2:E4086)*(E4086=E$2:E4086)))))-COUNTBLANK(OFFSET(A$1,,,SUMPRODUCT(MAX(ROW(E$1:E4085)*(E2=E$1:E4085))))))</f>
        <v> </v>
      </c>
      <c r="K4086" s="25" t="str">
        <f>IF(OR(E4086="",E4086="!!!",F4086="NEW"),"",INDEX(J$1:J4085,SUMPRODUCT(MAX(ROW(E$1:E4085)*(E4086=E$1:E4085)))))</f>
        <v> </v>
      </c>
      <c r="L4086" s="26"/>
    </row>
    <row r="4087" spans="1:12">
      <c r="A4087" s="20"/>
    </row>
    <row r="4088" spans="1:12">
      <c r="A4088" s="20" t="s">
        <v>1733</v>
      </c>
    </row>
    <row r="4089" spans="1:12">
      <c r="A4089" s="20" t="s">
        <v>1734</v>
      </c>
      <c r="E4089" s="21">
        <f>IF(D4089="?OLD","!!!","")</f>
        <v/>
      </c>
      <c r="F4089" s="22" t="str">
        <f>IF(OR(E4089="",E4089="!!!"),"",IF(NOT(ISNA(VLOOKUP(E4089,E$1:E4088,1,FALSE()))),"OLD",IF(AND(E4089&lt;&gt;"",E4089&lt;&gt;"!!!"),"NEW","")))</f>
        <v> </v>
      </c>
      <c r="G4089" s="23" t="str">
        <f>IF(OR(E4089="",E4089="!!!"),"",IF(OR(J4089=0,AND(J4089=1,K4089=1),AND(J4089=1,I4089="SBJ"),AND(J4089=1,I4089=0)),"?IN_FOCUS",IF(J4089&lt;=2,"?ACTIVATED",IF(J4089&lt;&gt;"","?FAMILIAR",IF(F4089="NEW",IF(ISNA(VLOOKUP(E4089,#REF!,1,FALSE())),"?TYPE_IDENTIFIABLE","?REFERENTIAL"),"_")))))</f>
        <v> </v>
      </c>
      <c r="H4089" s="24" t="str">
        <f>IF(J4089&lt;&gt;1,"",IF(I4089="SBJ","CB","?"))</f>
        <v> </v>
      </c>
      <c r="I4089" s="25" t="str">
        <f>IF(OR(E4089="",E4089="!!!",F4089="NEW"),"",INDEX(B4088:B$2,-1+SUMPRODUCT(MAX(ROW(E4088:E$2)*(E4089=E4088:E$2)))))</f>
        <v> </v>
      </c>
      <c r="J4089" s="25" t="str">
        <f>IF(OR(E4089="",E4089="!!!",F4089="NEW"),"",COUNTBLANK(OFFSET(A$1,,,SUMPRODUCT(MAX(ROW(E$2:E4089)*(E4089=E$2:E4089)))))-COUNTBLANK(OFFSET(A$1,,,SUMPRODUCT(MAX(ROW(E$1:E4088)*(E2=E$1:E4088))))))</f>
        <v> </v>
      </c>
      <c r="K4089" s="25" t="str">
        <f>IF(OR(E4089="",E4089="!!!",F4089="NEW"),"",INDEX(J$1:J4088,SUMPRODUCT(MAX(ROW(E$1:E4088)*(E4089=E$1:E4088)))))</f>
        <v> </v>
      </c>
      <c r="L4089" s="26"/>
    </row>
    <row r="4090" spans="1:12">
      <c r="A4090" s="20" t="s">
        <v>1735</v>
      </c>
      <c r="B4090" s="27" t="s">
        <v>692</v>
      </c>
      <c r="C4090" s="27" t="s">
        <v>788</v>
      </c>
      <c r="D4090" s="27" t="s">
        <v>694</v>
      </c>
      <c r="E4090" s="21">
        <f>IF(D4090="?OLD","!!!","")</f>
        <v/>
      </c>
      <c r="F4090" s="22" t="str">
        <f>IF(OR(E4090="",E4090="!!!"),"",IF(NOT(ISNA(VLOOKUP(E4090,E$1:E4089,1,FALSE()))),"OLD",IF(AND(E4090&lt;&gt;"",E4090&lt;&gt;"!!!"),"NEW","")))</f>
        <v> </v>
      </c>
      <c r="G4090" s="23" t="str">
        <f>IF(OR(E4090="",E4090="!!!"),"",IF(OR(J4090=0,AND(J4090=1,K4090=1),AND(J4090=1,I4090="SBJ"),AND(J4090=1,I4090=0)),"?IN_FOCUS",IF(J4090&lt;=2,"?ACTIVATED",IF(J4090&lt;&gt;"","?FAMILIAR",IF(F4090="NEW",IF(ISNA(VLOOKUP(E4090,#REF!,1,FALSE())),"?TYPE_IDENTIFIABLE","?REFERENTIAL"),"_")))))</f>
        <v> </v>
      </c>
      <c r="H4090" s="24" t="str">
        <f>IF(J4090&lt;&gt;1,"",IF(I4090="SBJ","CB","?"))</f>
        <v> </v>
      </c>
      <c r="I4090" s="25" t="str">
        <f>IF(OR(E4090="",E4090="!!!",F4090="NEW"),"",INDEX(B4089:B$2,-1+SUMPRODUCT(MAX(ROW(E4089:E$2)*(E4090=E4089:E$2)))))</f>
        <v> </v>
      </c>
      <c r="J4090" s="25" t="str">
        <f>IF(OR(E4090="",E4090="!!!",F4090="NEW"),"",COUNTBLANK(OFFSET(A$1,,,SUMPRODUCT(MAX(ROW(E$2:E4090)*(E4090=E$2:E4090)))))-COUNTBLANK(OFFSET(A$1,,,SUMPRODUCT(MAX(ROW(E$1:E4089)*(E2=E$1:E4089))))))</f>
        <v> </v>
      </c>
      <c r="K4090" s="25" t="str">
        <f>IF(OR(E4090="",E4090="!!!",F4090="NEW"),"",INDEX(J$1:J4089,SUMPRODUCT(MAX(ROW(E$1:E4089)*(E4090=E$1:E4089)))))</f>
        <v> </v>
      </c>
      <c r="L4090" s="26"/>
    </row>
    <row r="4091" spans="1:12">
      <c r="A4091" s="20" t="s">
        <v>814</v>
      </c>
      <c r="E4091" s="21">
        <f>IF(D4091="?OLD","!!!","")</f>
        <v/>
      </c>
      <c r="F4091" s="22" t="str">
        <f>IF(OR(E4091="",E4091="!!!"),"",IF(NOT(ISNA(VLOOKUP(E4091,E$1:E4090,1,FALSE()))),"OLD",IF(AND(E4091&lt;&gt;"",E4091&lt;&gt;"!!!"),"NEW","")))</f>
        <v> </v>
      </c>
      <c r="G4091" s="23" t="str">
        <f>IF(OR(E4091="",E4091="!!!"),"",IF(OR(J4091=0,AND(J4091=1,K4091=1),AND(J4091=1,I4091="SBJ"),AND(J4091=1,I4091=0)),"?IN_FOCUS",IF(J4091&lt;=2,"?ACTIVATED",IF(J4091&lt;&gt;"","?FAMILIAR",IF(F4091="NEW",IF(ISNA(VLOOKUP(E4091,#REF!,1,FALSE())),"?TYPE_IDENTIFIABLE","?REFERENTIAL"),"_")))))</f>
        <v> </v>
      </c>
      <c r="H4091" s="24" t="str">
        <f>IF(J4091&lt;&gt;1,"",IF(I4091="SBJ","CB","?"))</f>
        <v> </v>
      </c>
      <c r="I4091" s="25" t="str">
        <f>IF(OR(E4091="",E4091="!!!",F4091="NEW"),"",INDEX(B4090:B$2,-1+SUMPRODUCT(MAX(ROW(E4090:E$2)*(E4091=E4090:E$2)))))</f>
        <v> </v>
      </c>
      <c r="J4091" s="25" t="str">
        <f>IF(OR(E4091="",E4091="!!!",F4091="NEW"),"",COUNTBLANK(OFFSET(A$1,,,SUMPRODUCT(MAX(ROW(E$2:E4091)*(E4091=E$2:E4091)))))-COUNTBLANK(OFFSET(A$1,,,SUMPRODUCT(MAX(ROW(E$1:E4090)*(E2=E$1:E4090))))))</f>
        <v> </v>
      </c>
      <c r="K4091" s="25" t="str">
        <f>IF(OR(E4091="",E4091="!!!",F4091="NEW"),"",INDEX(J$1:J4090,SUMPRODUCT(MAX(ROW(E$1:E4090)*(E4091=E$1:E4090)))))</f>
        <v> </v>
      </c>
      <c r="L4091" s="26"/>
    </row>
    <row r="4092" spans="1:12">
      <c r="A4092" s="20" t="s">
        <v>1736</v>
      </c>
      <c r="E4092" s="21">
        <f>IF(D4092="?OLD","!!!","")</f>
        <v/>
      </c>
      <c r="F4092" s="22" t="str">
        <f>IF(OR(E4092="",E4092="!!!"),"",IF(NOT(ISNA(VLOOKUP(E4092,E$1:E4091,1,FALSE()))),"OLD",IF(AND(E4092&lt;&gt;"",E4092&lt;&gt;"!!!"),"NEW","")))</f>
        <v> </v>
      </c>
      <c r="G4092" s="23" t="str">
        <f>IF(OR(E4092="",E4092="!!!"),"",IF(OR(J4092=0,AND(J4092=1,K4092=1),AND(J4092=1,I4092="SBJ"),AND(J4092=1,I4092=0)),"?IN_FOCUS",IF(J4092&lt;=2,"?ACTIVATED",IF(J4092&lt;&gt;"","?FAMILIAR",IF(F4092="NEW",IF(ISNA(VLOOKUP(E4092,#REF!,1,FALSE())),"?TYPE_IDENTIFIABLE","?REFERENTIAL"),"_")))))</f>
        <v> </v>
      </c>
      <c r="H4092" s="24" t="str">
        <f>IF(J4092&lt;&gt;1,"",IF(I4092="SBJ","CB","?"))</f>
        <v> </v>
      </c>
      <c r="I4092" s="25" t="str">
        <f>IF(OR(E4092="",E4092="!!!",F4092="NEW"),"",INDEX(B4091:B$2,-1+SUMPRODUCT(MAX(ROW(E4091:E$2)*(E4092=E4091:E$2)))))</f>
        <v> </v>
      </c>
      <c r="J4092" s="25" t="str">
        <f>IF(OR(E4092="",E4092="!!!",F4092="NEW"),"",COUNTBLANK(OFFSET(A$1,,,SUMPRODUCT(MAX(ROW(E$2:E4092)*(E4092=E$2:E4092)))))-COUNTBLANK(OFFSET(A$1,,,SUMPRODUCT(MAX(ROW(E$1:E4091)*(E2=E$1:E4091))))))</f>
        <v> </v>
      </c>
      <c r="K4092" s="25" t="str">
        <f>IF(OR(E4092="",E4092="!!!",F4092="NEW"),"",INDEX(J$1:J4091,SUMPRODUCT(MAX(ROW(E$1:E4091)*(E4092=E$1:E4091)))))</f>
        <v> </v>
      </c>
      <c r="L4092" s="26"/>
    </row>
    <row r="4093" spans="1:12">
      <c r="A4093" s="20" t="s">
        <v>718</v>
      </c>
      <c r="E4093" s="21">
        <f>IF(D4093="?OLD","!!!","")</f>
        <v/>
      </c>
      <c r="F4093" s="22" t="str">
        <f>IF(OR(E4093="",E4093="!!!"),"",IF(NOT(ISNA(VLOOKUP(E4093,E$1:E4092,1,FALSE()))),"OLD",IF(AND(E4093&lt;&gt;"",E4093&lt;&gt;"!!!"),"NEW","")))</f>
        <v> </v>
      </c>
      <c r="G4093" s="23" t="str">
        <f>IF(OR(E4093="",E4093="!!!"),"",IF(OR(J4093=0,AND(J4093=1,K4093=1),AND(J4093=1,I4093="SBJ"),AND(J4093=1,I4093=0)),"?IN_FOCUS",IF(J4093&lt;=2,"?ACTIVATED",IF(J4093&lt;&gt;"","?FAMILIAR",IF(F4093="NEW",IF(ISNA(VLOOKUP(E4093,#REF!,1,FALSE())),"?TYPE_IDENTIFIABLE","?REFERENTIAL"),"_")))))</f>
        <v> </v>
      </c>
      <c r="H4093" s="24" t="str">
        <f>IF(J4093&lt;&gt;1,"",IF(I4093="SBJ","CB","?"))</f>
        <v> </v>
      </c>
      <c r="I4093" s="25" t="str">
        <f>IF(OR(E4093="",E4093="!!!",F4093="NEW"),"",INDEX(B4092:B$2,-1+SUMPRODUCT(MAX(ROW(E4092:E$2)*(E4093=E4092:E$2)))))</f>
        <v> </v>
      </c>
      <c r="J4093" s="25" t="str">
        <f>IF(OR(E4093="",E4093="!!!",F4093="NEW"),"",COUNTBLANK(OFFSET(A$1,,,SUMPRODUCT(MAX(ROW(E$2:E4093)*(E4093=E$2:E4093)))))-COUNTBLANK(OFFSET(A$1,,,SUMPRODUCT(MAX(ROW(E$1:E4092)*(E2=E$1:E4092))))))</f>
        <v> </v>
      </c>
      <c r="K4093" s="25" t="str">
        <f>IF(OR(E4093="",E4093="!!!",F4093="NEW"),"",INDEX(J$1:J4092,SUMPRODUCT(MAX(ROW(E$1:E4092)*(E4093=E$1:E4092)))))</f>
        <v> </v>
      </c>
      <c r="L4093" s="26"/>
    </row>
    <row r="4094" spans="1:12">
      <c r="A4094" s="20" t="s">
        <v>721</v>
      </c>
      <c r="E4094" s="21">
        <f>IF(D4094="?OLD","!!!","")</f>
        <v/>
      </c>
      <c r="F4094" s="22" t="str">
        <f>IF(OR(E4094="",E4094="!!!"),"",IF(NOT(ISNA(VLOOKUP(E4094,E$1:E4093,1,FALSE()))),"OLD",IF(AND(E4094&lt;&gt;"",E4094&lt;&gt;"!!!"),"NEW","")))</f>
        <v> </v>
      </c>
      <c r="G4094" s="23" t="str">
        <f>IF(OR(E4094="",E4094="!!!"),"",IF(OR(J4094=0,AND(J4094=1,K4094=1),AND(J4094=1,I4094="SBJ"),AND(J4094=1,I4094=0)),"?IN_FOCUS",IF(J4094&lt;=2,"?ACTIVATED",IF(J4094&lt;&gt;"","?FAMILIAR",IF(F4094="NEW",IF(ISNA(VLOOKUP(E4094,#REF!,1,FALSE())),"?TYPE_IDENTIFIABLE","?REFERENTIAL"),"_")))))</f>
        <v> </v>
      </c>
      <c r="H4094" s="24" t="str">
        <f>IF(J4094&lt;&gt;1,"",IF(I4094="SBJ","CB","?"))</f>
        <v> </v>
      </c>
      <c r="I4094" s="25" t="str">
        <f>IF(OR(E4094="",E4094="!!!",F4094="NEW"),"",INDEX(B4093:B$2,-1+SUMPRODUCT(MAX(ROW(E4093:E$2)*(E4094=E4093:E$2)))))</f>
        <v> </v>
      </c>
      <c r="J4094" s="25" t="str">
        <f>IF(OR(E4094="",E4094="!!!",F4094="NEW"),"",COUNTBLANK(OFFSET(A$1,,,SUMPRODUCT(MAX(ROW(E$2:E4094)*(E4094=E$2:E4094)))))-COUNTBLANK(OFFSET(A$1,,,SUMPRODUCT(MAX(ROW(E$1:E4093)*(E2=E$1:E4093))))))</f>
        <v> </v>
      </c>
      <c r="K4094" s="25" t="str">
        <f>IF(OR(E4094="",E4094="!!!",F4094="NEW"),"",INDEX(J$1:J4093,SUMPRODUCT(MAX(ROW(E$1:E4093)*(E4094=E$1:E4093)))))</f>
        <v> </v>
      </c>
      <c r="L4094" s="26"/>
    </row>
    <row r="4095" spans="1:12">
      <c r="A4095" s="20" t="s">
        <v>1698</v>
      </c>
      <c r="B4095" s="27" t="s">
        <v>698</v>
      </c>
      <c r="C4095" s="27" t="s">
        <v>887</v>
      </c>
      <c r="D4095" s="27" t="s">
        <v>694</v>
      </c>
      <c r="E4095" s="21">
        <f>IF(D4095="?OLD","!!!","")</f>
        <v/>
      </c>
      <c r="F4095" s="22" t="str">
        <f>IF(OR(E4095="",E4095="!!!"),"",IF(NOT(ISNA(VLOOKUP(E4095,E$1:E4094,1,FALSE()))),"OLD",IF(AND(E4095&lt;&gt;"",E4095&lt;&gt;"!!!"),"NEW","")))</f>
        <v> </v>
      </c>
      <c r="G4095" s="23" t="str">
        <f>IF(OR(E4095="",E4095="!!!"),"",IF(OR(J4095=0,AND(J4095=1,K4095=1),AND(J4095=1,I4095="SBJ"),AND(J4095=1,I4095=0)),"?IN_FOCUS",IF(J4095&lt;=2,"?ACTIVATED",IF(J4095&lt;&gt;"","?FAMILIAR",IF(F4095="NEW",IF(ISNA(VLOOKUP(E4095,#REF!,1,FALSE())),"?TYPE_IDENTIFIABLE","?REFERENTIAL"),"_")))))</f>
        <v> </v>
      </c>
      <c r="H4095" s="24" t="str">
        <f>IF(J4095&lt;&gt;1,"",IF(I4095="SBJ","CB","?"))</f>
        <v> </v>
      </c>
      <c r="I4095" s="25" t="str">
        <f>IF(OR(E4095="",E4095="!!!",F4095="NEW"),"",INDEX(B4094:B$2,-1+SUMPRODUCT(MAX(ROW(E4094:E$2)*(E4095=E4094:E$2)))))</f>
        <v> </v>
      </c>
      <c r="J4095" s="25" t="str">
        <f>IF(OR(E4095="",E4095="!!!",F4095="NEW"),"",COUNTBLANK(OFFSET(A$1,,,SUMPRODUCT(MAX(ROW(E$2:E4095)*(E4095=E$2:E4095)))))-COUNTBLANK(OFFSET(A$1,,,SUMPRODUCT(MAX(ROW(E$1:E4094)*(E2=E$1:E4094))))))</f>
        <v> </v>
      </c>
      <c r="K4095" s="25" t="str">
        <f>IF(OR(E4095="",E4095="!!!",F4095="NEW"),"",INDEX(J$1:J4094,SUMPRODUCT(MAX(ROW(E$1:E4094)*(E4095=E$1:E4094)))))</f>
        <v> </v>
      </c>
      <c r="L4095" s="26"/>
    </row>
    <row r="4096" spans="1:12">
      <c r="A4096" s="20" t="s">
        <v>725</v>
      </c>
      <c r="E4096" s="21">
        <f>IF(D4096="?OLD","!!!","")</f>
        <v/>
      </c>
      <c r="F4096" s="22" t="str">
        <f>IF(OR(E4096="",E4096="!!!"),"",IF(NOT(ISNA(VLOOKUP(E4096,E$1:E4095,1,FALSE()))),"OLD",IF(AND(E4096&lt;&gt;"",E4096&lt;&gt;"!!!"),"NEW","")))</f>
        <v> </v>
      </c>
      <c r="G4096" s="23" t="str">
        <f>IF(OR(E4096="",E4096="!!!"),"",IF(OR(J4096=0,AND(J4096=1,K4096=1),AND(J4096=1,I4096="SBJ"),AND(J4096=1,I4096=0)),"?IN_FOCUS",IF(J4096&lt;=2,"?ACTIVATED",IF(J4096&lt;&gt;"","?FAMILIAR",IF(F4096="NEW",IF(ISNA(VLOOKUP(E4096,#REF!,1,FALSE())),"?TYPE_IDENTIFIABLE","?REFERENTIAL"),"_")))))</f>
        <v> </v>
      </c>
      <c r="H4096" s="24" t="str">
        <f>IF(J4096&lt;&gt;1,"",IF(I4096="SBJ","CB","?"))</f>
        <v> </v>
      </c>
      <c r="I4096" s="25" t="str">
        <f>IF(OR(E4096="",E4096="!!!",F4096="NEW"),"",INDEX(B4095:B$2,-1+SUMPRODUCT(MAX(ROW(E4095:E$2)*(E4096=E4095:E$2)))))</f>
        <v> </v>
      </c>
      <c r="J4096" s="25" t="str">
        <f>IF(OR(E4096="",E4096="!!!",F4096="NEW"),"",COUNTBLANK(OFFSET(A$1,,,SUMPRODUCT(MAX(ROW(E$2:E4096)*(E4096=E$2:E4096)))))-COUNTBLANK(OFFSET(A$1,,,SUMPRODUCT(MAX(ROW(E$1:E4095)*(E2=E$1:E4095))))))</f>
        <v> </v>
      </c>
      <c r="K4096" s="25" t="str">
        <f>IF(OR(E4096="",E4096="!!!",F4096="NEW"),"",INDEX(J$1:J4095,SUMPRODUCT(MAX(ROW(E$1:E4095)*(E4096=E$1:E4095)))))</f>
        <v> </v>
      </c>
      <c r="L4096" s="26"/>
    </row>
    <row r="4097" spans="1:12">
      <c r="A4097" s="20" t="s">
        <v>844</v>
      </c>
      <c r="B4097" s="27" t="s">
        <v>823</v>
      </c>
      <c r="C4097" s="27" t="s">
        <v>819</v>
      </c>
      <c r="D4097" s="27" t="s">
        <v>694</v>
      </c>
      <c r="E4097" s="21">
        <f>IF(D4097="?OLD","!!!","")</f>
        <v/>
      </c>
      <c r="F4097" s="22" t="str">
        <f>IF(OR(E4097="",E4097="!!!"),"",IF(NOT(ISNA(VLOOKUP(E4097,E$1:E4096,1,FALSE()))),"OLD",IF(AND(E4097&lt;&gt;"",E4097&lt;&gt;"!!!"),"NEW","")))</f>
        <v> </v>
      </c>
      <c r="G4097" s="23" t="str">
        <f>IF(OR(E4097="",E4097="!!!"),"",IF(OR(J4097=0,AND(J4097=1,K4097=1),AND(J4097=1,I4097="SBJ"),AND(J4097=1,I4097=0)),"?IN_FOCUS",IF(J4097&lt;=2,"?ACTIVATED",IF(J4097&lt;&gt;"","?FAMILIAR",IF(F4097="NEW",IF(ISNA(VLOOKUP(E4097,#REF!,1,FALSE())),"?TYPE_IDENTIFIABLE","?REFERENTIAL"),"_")))))</f>
        <v> </v>
      </c>
      <c r="H4097" s="24" t="str">
        <f>IF(J4097&lt;&gt;1,"",IF(I4097="SBJ","CB","?"))</f>
        <v> </v>
      </c>
      <c r="I4097" s="25" t="str">
        <f>IF(OR(E4097="",E4097="!!!",F4097="NEW"),"",INDEX(B4096:B$2,-1+SUMPRODUCT(MAX(ROW(E4096:E$2)*(E4097=E4096:E$2)))))</f>
        <v> </v>
      </c>
      <c r="J4097" s="25" t="str">
        <f>IF(OR(E4097="",E4097="!!!",F4097="NEW"),"",COUNTBLANK(OFFSET(A$1,,,SUMPRODUCT(MAX(ROW(E$2:E4097)*(E4097=E$2:E4097)))))-COUNTBLANK(OFFSET(A$1,,,SUMPRODUCT(MAX(ROW(E$1:E4096)*(E2=E$1:E4096))))))</f>
        <v> </v>
      </c>
      <c r="K4097" s="25" t="str">
        <f>IF(OR(E4097="",E4097="!!!",F4097="NEW"),"",INDEX(J$1:J4096,SUMPRODUCT(MAX(ROW(E$1:E4096)*(E4097=E$1:E4096)))))</f>
        <v> </v>
      </c>
      <c r="L4097" s="26"/>
    </row>
    <row r="4098" spans="1:12">
      <c r="A4098" s="20" t="s">
        <v>814</v>
      </c>
      <c r="E4098" s="21">
        <f>IF(D4098="?OLD","!!!","")</f>
        <v/>
      </c>
      <c r="F4098" s="22" t="str">
        <f>IF(OR(E4098="",E4098="!!!"),"",IF(NOT(ISNA(VLOOKUP(E4098,E$1:E4097,1,FALSE()))),"OLD",IF(AND(E4098&lt;&gt;"",E4098&lt;&gt;"!!!"),"NEW","")))</f>
        <v> </v>
      </c>
      <c r="G4098" s="23" t="str">
        <f>IF(OR(E4098="",E4098="!!!"),"",IF(OR(J4098=0,AND(J4098=1,K4098=1),AND(J4098=1,I4098="SBJ"),AND(J4098=1,I4098=0)),"?IN_FOCUS",IF(J4098&lt;=2,"?ACTIVATED",IF(J4098&lt;&gt;"","?FAMILIAR",IF(F4098="NEW",IF(ISNA(VLOOKUP(E4098,#REF!,1,FALSE())),"?TYPE_IDENTIFIABLE","?REFERENTIAL"),"_")))))</f>
        <v> </v>
      </c>
      <c r="H4098" s="24" t="str">
        <f>IF(J4098&lt;&gt;1,"",IF(I4098="SBJ","CB","?"))</f>
        <v> </v>
      </c>
      <c r="I4098" s="25" t="str">
        <f>IF(OR(E4098="",E4098="!!!",F4098="NEW"),"",INDEX(B4097:B$2,-1+SUMPRODUCT(MAX(ROW(E4097:E$2)*(E4098=E4097:E$2)))))</f>
        <v> </v>
      </c>
      <c r="J4098" s="25" t="str">
        <f>IF(OR(E4098="",E4098="!!!",F4098="NEW"),"",COUNTBLANK(OFFSET(A$1,,,SUMPRODUCT(MAX(ROW(E$2:E4098)*(E4098=E$2:E4098)))))-COUNTBLANK(OFFSET(A$1,,,SUMPRODUCT(MAX(ROW(E$1:E4097)*(E2=E$1:E4097))))))</f>
        <v> </v>
      </c>
      <c r="K4098" s="25" t="str">
        <f>IF(OR(E4098="",E4098="!!!",F4098="NEW"),"",INDEX(J$1:J4097,SUMPRODUCT(MAX(ROW(E$1:E4097)*(E4098=E$1:E4097)))))</f>
        <v> </v>
      </c>
      <c r="L4098" s="26"/>
    </row>
    <row r="4099" spans="1:12">
      <c r="A4099" s="20" t="s">
        <v>1737</v>
      </c>
      <c r="E4099" s="21">
        <f>IF(D4099="?OLD","!!!","")</f>
        <v/>
      </c>
      <c r="F4099" s="22" t="str">
        <f>IF(OR(E4099="",E4099="!!!"),"",IF(NOT(ISNA(VLOOKUP(E4099,E$1:E4098,1,FALSE()))),"OLD",IF(AND(E4099&lt;&gt;"",E4099&lt;&gt;"!!!"),"NEW","")))</f>
        <v> </v>
      </c>
      <c r="G4099" s="23" t="str">
        <f>IF(OR(E4099="",E4099="!!!"),"",IF(OR(J4099=0,AND(J4099=1,K4099=1),AND(J4099=1,I4099="SBJ"),AND(J4099=1,I4099=0)),"?IN_FOCUS",IF(J4099&lt;=2,"?ACTIVATED",IF(J4099&lt;&gt;"","?FAMILIAR",IF(F4099="NEW",IF(ISNA(VLOOKUP(E4099,#REF!,1,FALSE())),"?TYPE_IDENTIFIABLE","?REFERENTIAL"),"_")))))</f>
        <v> </v>
      </c>
      <c r="H4099" s="24" t="str">
        <f>IF(J4099&lt;&gt;1,"",IF(I4099="SBJ","CB","?"))</f>
        <v> </v>
      </c>
      <c r="I4099" s="25" t="str">
        <f>IF(OR(E4099="",E4099="!!!",F4099="NEW"),"",INDEX(B4098:B$2,-1+SUMPRODUCT(MAX(ROW(E4098:E$2)*(E4099=E4098:E$2)))))</f>
        <v> </v>
      </c>
      <c r="J4099" s="25" t="str">
        <f>IF(OR(E4099="",E4099="!!!",F4099="NEW"),"",COUNTBLANK(OFFSET(A$1,,,SUMPRODUCT(MAX(ROW(E$2:E4099)*(E4099=E$2:E4099)))))-COUNTBLANK(OFFSET(A$1,,,SUMPRODUCT(MAX(ROW(E$1:E4098)*(E2=E$1:E4098))))))</f>
        <v> </v>
      </c>
      <c r="K4099" s="25" t="str">
        <f>IF(OR(E4099="",E4099="!!!",F4099="NEW"),"",INDEX(J$1:J4098,SUMPRODUCT(MAX(ROW(E$1:E4098)*(E4099=E$1:E4098)))))</f>
        <v> </v>
      </c>
      <c r="L4099" s="26"/>
    </row>
    <row r="4100" spans="1:12">
      <c r="A4100" s="20" t="s">
        <v>725</v>
      </c>
      <c r="E4100" s="21">
        <f>IF(D4100="?OLD","!!!","")</f>
        <v/>
      </c>
      <c r="F4100" s="22" t="str">
        <f>IF(OR(E4100="",E4100="!!!"),"",IF(NOT(ISNA(VLOOKUP(E4100,E$1:E4099,1,FALSE()))),"OLD",IF(AND(E4100&lt;&gt;"",E4100&lt;&gt;"!!!"),"NEW","")))</f>
        <v> </v>
      </c>
      <c r="G4100" s="23" t="str">
        <f>IF(OR(E4100="",E4100="!!!"),"",IF(OR(J4100=0,AND(J4100=1,K4100=1),AND(J4100=1,I4100="SBJ"),AND(J4100=1,I4100=0)),"?IN_FOCUS",IF(J4100&lt;=2,"?ACTIVATED",IF(J4100&lt;&gt;"","?FAMILIAR",IF(F4100="NEW",IF(ISNA(VLOOKUP(E4100,#REF!,1,FALSE())),"?TYPE_IDENTIFIABLE","?REFERENTIAL"),"_")))))</f>
        <v> </v>
      </c>
      <c r="H4100" s="24" t="str">
        <f>IF(J4100&lt;&gt;1,"",IF(I4100="SBJ","CB","?"))</f>
        <v> </v>
      </c>
      <c r="I4100" s="25" t="str">
        <f>IF(OR(E4100="",E4100="!!!",F4100="NEW"),"",INDEX(B4099:B$2,-1+SUMPRODUCT(MAX(ROW(E4099:E$2)*(E4100=E4099:E$2)))))</f>
        <v> </v>
      </c>
      <c r="J4100" s="25" t="str">
        <f>IF(OR(E4100="",E4100="!!!",F4100="NEW"),"",COUNTBLANK(OFFSET(A$1,,,SUMPRODUCT(MAX(ROW(E$2:E4100)*(E4100=E$2:E4100)))))-COUNTBLANK(OFFSET(A$1,,,SUMPRODUCT(MAX(ROW(E$1:E4099)*(E2=E$1:E4099))))))</f>
        <v> </v>
      </c>
      <c r="K4100" s="25" t="str">
        <f>IF(OR(E4100="",E4100="!!!",F4100="NEW"),"",INDEX(J$1:J4099,SUMPRODUCT(MAX(ROW(E$1:E4099)*(E4100=E$1:E4099)))))</f>
        <v> </v>
      </c>
      <c r="L4100" s="26"/>
    </row>
    <row r="4101" spans="1:12">
      <c r="A4101" s="20" t="s">
        <v>795</v>
      </c>
      <c r="E4101" s="21">
        <f>IF(D4101="?OLD","!!!","")</f>
        <v/>
      </c>
      <c r="F4101" s="22" t="str">
        <f>IF(OR(E4101="",E4101="!!!"),"",IF(NOT(ISNA(VLOOKUP(E4101,E$1:E4100,1,FALSE()))),"OLD",IF(AND(E4101&lt;&gt;"",E4101&lt;&gt;"!!!"),"NEW","")))</f>
        <v> </v>
      </c>
      <c r="G4101" s="23" t="str">
        <f>IF(OR(E4101="",E4101="!!!"),"",IF(OR(J4101=0,AND(J4101=1,K4101=1),AND(J4101=1,I4101="SBJ"),AND(J4101=1,I4101=0)),"?IN_FOCUS",IF(J4101&lt;=2,"?ACTIVATED",IF(J4101&lt;&gt;"","?FAMILIAR",IF(F4101="NEW",IF(ISNA(VLOOKUP(E4101,#REF!,1,FALSE())),"?TYPE_IDENTIFIABLE","?REFERENTIAL"),"_")))))</f>
        <v> </v>
      </c>
      <c r="H4101" s="24" t="str">
        <f>IF(J4101&lt;&gt;1,"",IF(I4101="SBJ","CB","?"))</f>
        <v> </v>
      </c>
      <c r="I4101" s="25" t="str">
        <f>IF(OR(E4101="",E4101="!!!",F4101="NEW"),"",INDEX(B4100:B$2,-1+SUMPRODUCT(MAX(ROW(E4100:E$2)*(E4101=E4100:E$2)))))</f>
        <v> </v>
      </c>
      <c r="J4101" s="25" t="str">
        <f>IF(OR(E4101="",E4101="!!!",F4101="NEW"),"",COUNTBLANK(OFFSET(A$1,,,SUMPRODUCT(MAX(ROW(E$2:E4101)*(E4101=E$2:E4101)))))-COUNTBLANK(OFFSET(A$1,,,SUMPRODUCT(MAX(ROW(E$1:E4100)*(E2=E$1:E4100))))))</f>
        <v> </v>
      </c>
      <c r="K4101" s="25" t="str">
        <f>IF(OR(E4101="",E4101="!!!",F4101="NEW"),"",INDEX(J$1:J4100,SUMPRODUCT(MAX(ROW(E$1:E4100)*(E4101=E$1:E4100)))))</f>
        <v> </v>
      </c>
      <c r="L4101" s="26"/>
    </row>
    <row r="4102" spans="1:12">
      <c r="A4102" s="20" t="s">
        <v>739</v>
      </c>
      <c r="E4102" s="21">
        <f>IF(D4102="?OLD","!!!","")</f>
        <v/>
      </c>
      <c r="F4102" s="22" t="str">
        <f>IF(OR(E4102="",E4102="!!!"),"",IF(NOT(ISNA(VLOOKUP(E4102,E$1:E4101,1,FALSE()))),"OLD",IF(AND(E4102&lt;&gt;"",E4102&lt;&gt;"!!!"),"NEW","")))</f>
        <v> </v>
      </c>
      <c r="G4102" s="23" t="str">
        <f>IF(OR(E4102="",E4102="!!!"),"",IF(OR(J4102=0,AND(J4102=1,K4102=1),AND(J4102=1,I4102="SBJ"),AND(J4102=1,I4102=0)),"?IN_FOCUS",IF(J4102&lt;=2,"?ACTIVATED",IF(J4102&lt;&gt;"","?FAMILIAR",IF(F4102="NEW",IF(ISNA(VLOOKUP(E4102,#REF!,1,FALSE())),"?TYPE_IDENTIFIABLE","?REFERENTIAL"),"_")))))</f>
        <v> </v>
      </c>
      <c r="H4102" s="24" t="str">
        <f>IF(J4102&lt;&gt;1,"",IF(I4102="SBJ","CB","?"))</f>
        <v> </v>
      </c>
      <c r="I4102" s="25" t="str">
        <f>IF(OR(E4102="",E4102="!!!",F4102="NEW"),"",INDEX(B4101:B$2,-1+SUMPRODUCT(MAX(ROW(E4101:E$2)*(E4102=E4101:E$2)))))</f>
        <v> </v>
      </c>
      <c r="J4102" s="25" t="str">
        <f>IF(OR(E4102="",E4102="!!!",F4102="NEW"),"",COUNTBLANK(OFFSET(A$1,,,SUMPRODUCT(MAX(ROW(E$2:E4102)*(E4102=E$2:E4102)))))-COUNTBLANK(OFFSET(A$1,,,SUMPRODUCT(MAX(ROW(E$1:E4101)*(E2=E$1:E4101))))))</f>
        <v> </v>
      </c>
      <c r="K4102" s="25" t="str">
        <f>IF(OR(E4102="",E4102="!!!",F4102="NEW"),"",INDEX(J$1:J4101,SUMPRODUCT(MAX(ROW(E$1:E4101)*(E4102=E$1:E4101)))))</f>
        <v> </v>
      </c>
      <c r="L4102" s="26"/>
    </row>
    <row r="4103" spans="1:12">
      <c r="A4103" s="20" t="s">
        <v>1738</v>
      </c>
      <c r="B4103" s="27" t="s">
        <v>698</v>
      </c>
      <c r="C4103" s="27" t="s">
        <v>887</v>
      </c>
      <c r="D4103" s="27" t="s">
        <v>694</v>
      </c>
      <c r="E4103" s="21">
        <f>IF(D4103="?OLD","!!!","")</f>
        <v/>
      </c>
      <c r="F4103" s="22" t="str">
        <f>IF(OR(E4103="",E4103="!!!"),"",IF(NOT(ISNA(VLOOKUP(E4103,E$1:E4102,1,FALSE()))),"OLD",IF(AND(E4103&lt;&gt;"",E4103&lt;&gt;"!!!"),"NEW","")))</f>
        <v> </v>
      </c>
      <c r="G4103" s="23" t="str">
        <f>IF(OR(E4103="",E4103="!!!"),"",IF(OR(J4103=0,AND(J4103=1,K4103=1),AND(J4103=1,I4103="SBJ"),AND(J4103=1,I4103=0)),"?IN_FOCUS",IF(J4103&lt;=2,"?ACTIVATED",IF(J4103&lt;&gt;"","?FAMILIAR",IF(F4103="NEW",IF(ISNA(VLOOKUP(E4103,#REF!,1,FALSE())),"?TYPE_IDENTIFIABLE","?REFERENTIAL"),"_")))))</f>
        <v> </v>
      </c>
      <c r="H4103" s="24" t="str">
        <f>IF(J4103&lt;&gt;1,"",IF(I4103="SBJ","CB","?"))</f>
        <v> </v>
      </c>
      <c r="I4103" s="25" t="str">
        <f>IF(OR(E4103="",E4103="!!!",F4103="NEW"),"",INDEX(B4102:B$2,-1+SUMPRODUCT(MAX(ROW(E4102:E$2)*(E4103=E4102:E$2)))))</f>
        <v> </v>
      </c>
      <c r="J4103" s="25" t="str">
        <f>IF(OR(E4103="",E4103="!!!",F4103="NEW"),"",COUNTBLANK(OFFSET(A$1,,,SUMPRODUCT(MAX(ROW(E$2:E4103)*(E4103=E$2:E4103)))))-COUNTBLANK(OFFSET(A$1,,,SUMPRODUCT(MAX(ROW(E$1:E4102)*(E2=E$1:E4102))))))</f>
        <v> </v>
      </c>
      <c r="K4103" s="25" t="str">
        <f>IF(OR(E4103="",E4103="!!!",F4103="NEW"),"",INDEX(J$1:J4102,SUMPRODUCT(MAX(ROW(E$1:E4102)*(E4103=E$1:E4102)))))</f>
        <v> </v>
      </c>
      <c r="L4103" s="26"/>
    </row>
    <row r="4104" spans="1:12">
      <c r="A4104" s="20" t="s">
        <v>725</v>
      </c>
      <c r="E4104" s="21">
        <f>IF(D4104="?OLD","!!!","")</f>
        <v/>
      </c>
      <c r="F4104" s="22" t="str">
        <f>IF(OR(E4104="",E4104="!!!"),"",IF(NOT(ISNA(VLOOKUP(E4104,E$1:E4103,1,FALSE()))),"OLD",IF(AND(E4104&lt;&gt;"",E4104&lt;&gt;"!!!"),"NEW","")))</f>
        <v> </v>
      </c>
      <c r="G4104" s="23" t="str">
        <f>IF(OR(E4104="",E4104="!!!"),"",IF(OR(J4104=0,AND(J4104=1,K4104=1),AND(J4104=1,I4104="SBJ"),AND(J4104=1,I4104=0)),"?IN_FOCUS",IF(J4104&lt;=2,"?ACTIVATED",IF(J4104&lt;&gt;"","?FAMILIAR",IF(F4104="NEW",IF(ISNA(VLOOKUP(E4104,#REF!,1,FALSE())),"?TYPE_IDENTIFIABLE","?REFERENTIAL"),"_")))))</f>
        <v> </v>
      </c>
      <c r="H4104" s="24" t="str">
        <f>IF(J4104&lt;&gt;1,"",IF(I4104="SBJ","CB","?"))</f>
        <v> </v>
      </c>
      <c r="I4104" s="25" t="str">
        <f>IF(OR(E4104="",E4104="!!!",F4104="NEW"),"",INDEX(B4103:B$2,-1+SUMPRODUCT(MAX(ROW(E4103:E$2)*(E4104=E4103:E$2)))))</f>
        <v> </v>
      </c>
      <c r="J4104" s="25" t="str">
        <f>IF(OR(E4104="",E4104="!!!",F4104="NEW"),"",COUNTBLANK(OFFSET(A$1,,,SUMPRODUCT(MAX(ROW(E$2:E4104)*(E4104=E$2:E4104)))))-COUNTBLANK(OFFSET(A$1,,,SUMPRODUCT(MAX(ROW(E$1:E4103)*(E2=E$1:E4103))))))</f>
        <v> </v>
      </c>
      <c r="K4104" s="25" t="str">
        <f>IF(OR(E4104="",E4104="!!!",F4104="NEW"),"",INDEX(J$1:J4103,SUMPRODUCT(MAX(ROW(E$1:E4103)*(E4104=E$1:E4103)))))</f>
        <v> </v>
      </c>
      <c r="L4104" s="26"/>
    </row>
    <row r="4105" spans="1:12">
      <c r="A4105" s="20" t="s">
        <v>844</v>
      </c>
      <c r="B4105" s="27" t="s">
        <v>823</v>
      </c>
      <c r="C4105" s="27" t="s">
        <v>819</v>
      </c>
      <c r="D4105" s="27" t="s">
        <v>694</v>
      </c>
      <c r="E4105" s="21">
        <f>IF(D4105="?OLD","!!!","")</f>
        <v/>
      </c>
      <c r="F4105" s="22" t="str">
        <f>IF(OR(E4105="",E4105="!!!"),"",IF(NOT(ISNA(VLOOKUP(E4105,E$1:E4104,1,FALSE()))),"OLD",IF(AND(E4105&lt;&gt;"",E4105&lt;&gt;"!!!"),"NEW","")))</f>
        <v> </v>
      </c>
      <c r="G4105" s="23" t="str">
        <f>IF(OR(E4105="",E4105="!!!"),"",IF(OR(J4105=0,AND(J4105=1,K4105=1),AND(J4105=1,I4105="SBJ"),AND(J4105=1,I4105=0)),"?IN_FOCUS",IF(J4105&lt;=2,"?ACTIVATED",IF(J4105&lt;&gt;"","?FAMILIAR",IF(F4105="NEW",IF(ISNA(VLOOKUP(E4105,#REF!,1,FALSE())),"?TYPE_IDENTIFIABLE","?REFERENTIAL"),"_")))))</f>
        <v> </v>
      </c>
      <c r="H4105" s="24" t="str">
        <f>IF(J4105&lt;&gt;1,"",IF(I4105="SBJ","CB","?"))</f>
        <v> </v>
      </c>
      <c r="I4105" s="25" t="str">
        <f>IF(OR(E4105="",E4105="!!!",F4105="NEW"),"",INDEX(B4104:B$2,-1+SUMPRODUCT(MAX(ROW(E4104:E$2)*(E4105=E4104:E$2)))))</f>
        <v> </v>
      </c>
      <c r="J4105" s="25" t="str">
        <f>IF(OR(E4105="",E4105="!!!",F4105="NEW"),"",COUNTBLANK(OFFSET(A$1,,,SUMPRODUCT(MAX(ROW(E$2:E4105)*(E4105=E$2:E4105)))))-COUNTBLANK(OFFSET(A$1,,,SUMPRODUCT(MAX(ROW(E$1:E4104)*(E2=E$1:E4104))))))</f>
        <v> </v>
      </c>
      <c r="K4105" s="25" t="str">
        <f>IF(OR(E4105="",E4105="!!!",F4105="NEW"),"",INDEX(J$1:J4104,SUMPRODUCT(MAX(ROW(E$1:E4104)*(E4105=E$1:E4104)))))</f>
        <v> </v>
      </c>
      <c r="L4105" s="26"/>
    </row>
    <row r="4106" spans="1:12">
      <c r="A4106" s="20" t="s">
        <v>814</v>
      </c>
      <c r="E4106" s="21">
        <f>IF(D4106="?OLD","!!!","")</f>
        <v/>
      </c>
      <c r="F4106" s="22" t="str">
        <f>IF(OR(E4106="",E4106="!!!"),"",IF(NOT(ISNA(VLOOKUP(E4106,E$1:E4105,1,FALSE()))),"OLD",IF(AND(E4106&lt;&gt;"",E4106&lt;&gt;"!!!"),"NEW","")))</f>
        <v> </v>
      </c>
      <c r="G4106" s="23" t="str">
        <f>IF(OR(E4106="",E4106="!!!"),"",IF(OR(J4106=0,AND(J4106=1,K4106=1),AND(J4106=1,I4106="SBJ"),AND(J4106=1,I4106=0)),"?IN_FOCUS",IF(J4106&lt;=2,"?ACTIVATED",IF(J4106&lt;&gt;"","?FAMILIAR",IF(F4106="NEW",IF(ISNA(VLOOKUP(E4106,#REF!,1,FALSE())),"?TYPE_IDENTIFIABLE","?REFERENTIAL"),"_")))))</f>
        <v> </v>
      </c>
      <c r="H4106" s="24" t="str">
        <f>IF(J4106&lt;&gt;1,"",IF(I4106="SBJ","CB","?"))</f>
        <v> </v>
      </c>
      <c r="I4106" s="25" t="str">
        <f>IF(OR(E4106="",E4106="!!!",F4106="NEW"),"",INDEX(B4105:B$2,-1+SUMPRODUCT(MAX(ROW(E4105:E$2)*(E4106=E4105:E$2)))))</f>
        <v> </v>
      </c>
      <c r="J4106" s="25" t="str">
        <f>IF(OR(E4106="",E4106="!!!",F4106="NEW"),"",COUNTBLANK(OFFSET(A$1,,,SUMPRODUCT(MAX(ROW(E$2:E4106)*(E4106=E$2:E4106)))))-COUNTBLANK(OFFSET(A$1,,,SUMPRODUCT(MAX(ROW(E$1:E4105)*(E2=E$1:E4105))))))</f>
        <v> </v>
      </c>
      <c r="K4106" s="25" t="str">
        <f>IF(OR(E4106="",E4106="!!!",F4106="NEW"),"",INDEX(J$1:J4105,SUMPRODUCT(MAX(ROW(E$1:E4105)*(E4106=E$1:E4105)))))</f>
        <v> </v>
      </c>
      <c r="L4106" s="26"/>
    </row>
    <row r="4107" spans="1:12">
      <c r="A4107" s="20" t="s">
        <v>739</v>
      </c>
      <c r="E4107" s="21">
        <f>IF(D4107="?OLD","!!!","")</f>
        <v/>
      </c>
      <c r="F4107" s="22" t="str">
        <f>IF(OR(E4107="",E4107="!!!"),"",IF(NOT(ISNA(VLOOKUP(E4107,E$1:E4106,1,FALSE()))),"OLD",IF(AND(E4107&lt;&gt;"",E4107&lt;&gt;"!!!"),"NEW","")))</f>
        <v> </v>
      </c>
      <c r="G4107" s="23" t="str">
        <f>IF(OR(E4107="",E4107="!!!"),"",IF(OR(J4107=0,AND(J4107=1,K4107=1),AND(J4107=1,I4107="SBJ"),AND(J4107=1,I4107=0)),"?IN_FOCUS",IF(J4107&lt;=2,"?ACTIVATED",IF(J4107&lt;&gt;"","?FAMILIAR",IF(F4107="NEW",IF(ISNA(VLOOKUP(E4107,#REF!,1,FALSE())),"?TYPE_IDENTIFIABLE","?REFERENTIAL"),"_")))))</f>
        <v> </v>
      </c>
      <c r="H4107" s="24" t="str">
        <f>IF(J4107&lt;&gt;1,"",IF(I4107="SBJ","CB","?"))</f>
        <v> </v>
      </c>
      <c r="I4107" s="25" t="str">
        <f>IF(OR(E4107="",E4107="!!!",F4107="NEW"),"",INDEX(B4106:B$2,-1+SUMPRODUCT(MAX(ROW(E4106:E$2)*(E4107=E4106:E$2)))))</f>
        <v> </v>
      </c>
      <c r="J4107" s="25" t="str">
        <f>IF(OR(E4107="",E4107="!!!",F4107="NEW"),"",COUNTBLANK(OFFSET(A$1,,,SUMPRODUCT(MAX(ROW(E$2:E4107)*(E4107=E$2:E4107)))))-COUNTBLANK(OFFSET(A$1,,,SUMPRODUCT(MAX(ROW(E$1:E4106)*(E2=E$1:E4106))))))</f>
        <v> </v>
      </c>
      <c r="K4107" s="25" t="str">
        <f>IF(OR(E4107="",E4107="!!!",F4107="NEW"),"",INDEX(J$1:J4106,SUMPRODUCT(MAX(ROW(E$1:E4106)*(E4107=E$1:E4106)))))</f>
        <v> </v>
      </c>
      <c r="L4107" s="26"/>
    </row>
    <row r="4108" spans="1:12">
      <c r="A4108" s="20" t="s">
        <v>1739</v>
      </c>
      <c r="B4108" s="27" t="s">
        <v>737</v>
      </c>
      <c r="C4108" s="27" t="s">
        <v>716</v>
      </c>
      <c r="E4108" s="21">
        <f>IF(D4108="?OLD","!!!","")</f>
        <v/>
      </c>
      <c r="F4108" s="22" t="str">
        <f>IF(OR(E4108="",E4108="!!!"),"",IF(NOT(ISNA(VLOOKUP(E4108,E$1:E4107,1,FALSE()))),"OLD",IF(AND(E4108&lt;&gt;"",E4108&lt;&gt;"!!!"),"NEW","")))</f>
        <v> </v>
      </c>
      <c r="G4108" s="23" t="str">
        <f>IF(OR(E4108="",E4108="!!!"),"",IF(OR(J4108=0,AND(J4108=1,K4108=1),AND(J4108=1,I4108="SBJ"),AND(J4108=1,I4108=0)),"?IN_FOCUS",IF(J4108&lt;=2,"?ACTIVATED",IF(J4108&lt;&gt;"","?FAMILIAR",IF(F4108="NEW",IF(ISNA(VLOOKUP(E4108,#REF!,1,FALSE())),"?TYPE_IDENTIFIABLE","?REFERENTIAL"),"_")))))</f>
        <v> </v>
      </c>
      <c r="H4108" s="24" t="str">
        <f>IF(J4108&lt;&gt;1,"",IF(I4108="SBJ","CB","?"))</f>
        <v> </v>
      </c>
      <c r="I4108" s="25" t="str">
        <f>IF(OR(E4108="",E4108="!!!",F4108="NEW"),"",INDEX(B4107:B$2,-1+SUMPRODUCT(MAX(ROW(E4107:E$2)*(E4108=E4107:E$2)))))</f>
        <v> </v>
      </c>
      <c r="J4108" s="25" t="str">
        <f>IF(OR(E4108="",E4108="!!!",F4108="NEW"),"",COUNTBLANK(OFFSET(A$1,,,SUMPRODUCT(MAX(ROW(E$2:E4108)*(E4108=E$2:E4108)))))-COUNTBLANK(OFFSET(A$1,,,SUMPRODUCT(MAX(ROW(E$1:E4107)*(E2=E$1:E4107))))))</f>
        <v> </v>
      </c>
      <c r="K4108" s="25" t="str">
        <f>IF(OR(E4108="",E4108="!!!",F4108="NEW"),"",INDEX(J$1:J4107,SUMPRODUCT(MAX(ROW(E$1:E4107)*(E4108=E$1:E4107)))))</f>
        <v> </v>
      </c>
      <c r="L4108" s="26"/>
    </row>
    <row r="4109" spans="1:12">
      <c r="A4109" s="20" t="s">
        <v>696</v>
      </c>
      <c r="E4109" s="21">
        <f>IF(D4109="?OLD","!!!","")</f>
        <v/>
      </c>
      <c r="F4109" s="22" t="str">
        <f>IF(OR(E4109="",E4109="!!!"),"",IF(NOT(ISNA(VLOOKUP(E4109,E$1:E4108,1,FALSE()))),"OLD",IF(AND(E4109&lt;&gt;"",E4109&lt;&gt;"!!!"),"NEW","")))</f>
        <v> </v>
      </c>
      <c r="G4109" s="23" t="str">
        <f>IF(OR(E4109="",E4109="!!!"),"",IF(OR(J4109=0,AND(J4109=1,K4109=1),AND(J4109=1,I4109="SBJ"),AND(J4109=1,I4109=0)),"?IN_FOCUS",IF(J4109&lt;=2,"?ACTIVATED",IF(J4109&lt;&gt;"","?FAMILIAR",IF(F4109="NEW",IF(ISNA(VLOOKUP(E4109,#REF!,1,FALSE())),"?TYPE_IDENTIFIABLE","?REFERENTIAL"),"_")))))</f>
        <v> </v>
      </c>
      <c r="H4109" s="24" t="str">
        <f>IF(J4109&lt;&gt;1,"",IF(I4109="SBJ","CB","?"))</f>
        <v> </v>
      </c>
      <c r="I4109" s="25" t="str">
        <f>IF(OR(E4109="",E4109="!!!",F4109="NEW"),"",INDEX(B4108:B$2,-1+SUMPRODUCT(MAX(ROW(E4108:E$2)*(E4109=E4108:E$2)))))</f>
        <v> </v>
      </c>
      <c r="J4109" s="25" t="str">
        <f>IF(OR(E4109="",E4109="!!!",F4109="NEW"),"",COUNTBLANK(OFFSET(A$1,,,SUMPRODUCT(MAX(ROW(E$2:E4109)*(E4109=E$2:E4109)))))-COUNTBLANK(OFFSET(A$1,,,SUMPRODUCT(MAX(ROW(E$1:E4108)*(E2=E$1:E4108))))))</f>
        <v> </v>
      </c>
      <c r="K4109" s="25" t="str">
        <f>IF(OR(E4109="",E4109="!!!",F4109="NEW"),"",INDEX(J$1:J4108,SUMPRODUCT(MAX(ROW(E$1:E4108)*(E4109=E$1:E4108)))))</f>
        <v> </v>
      </c>
      <c r="L4109" s="26"/>
    </row>
    <row r="4110" spans="1:12">
      <c r="A4110" s="20" t="s">
        <v>974</v>
      </c>
      <c r="E4110" s="21">
        <f>IF(D4110="?OLD","!!!","")</f>
        <v/>
      </c>
      <c r="F4110" s="22" t="str">
        <f>IF(OR(E4110="",E4110="!!!"),"",IF(NOT(ISNA(VLOOKUP(E4110,E$1:E4109,1,FALSE()))),"OLD",IF(AND(E4110&lt;&gt;"",E4110&lt;&gt;"!!!"),"NEW","")))</f>
        <v> </v>
      </c>
      <c r="G4110" s="23" t="str">
        <f>IF(OR(E4110="",E4110="!!!"),"",IF(OR(J4110=0,AND(J4110=1,K4110=1),AND(J4110=1,I4110="SBJ"),AND(J4110=1,I4110=0)),"?IN_FOCUS",IF(J4110&lt;=2,"?ACTIVATED",IF(J4110&lt;&gt;"","?FAMILIAR",IF(F4110="NEW",IF(ISNA(VLOOKUP(E4110,#REF!,1,FALSE())),"?TYPE_IDENTIFIABLE","?REFERENTIAL"),"_")))))</f>
        <v> </v>
      </c>
      <c r="H4110" s="24" t="str">
        <f>IF(J4110&lt;&gt;1,"",IF(I4110="SBJ","CB","?"))</f>
        <v> </v>
      </c>
      <c r="I4110" s="25" t="str">
        <f>IF(OR(E4110="",E4110="!!!",F4110="NEW"),"",INDEX(B4109:B$2,-1+SUMPRODUCT(MAX(ROW(E4109:E$2)*(E4110=E4109:E$2)))))</f>
        <v> </v>
      </c>
      <c r="J4110" s="25" t="str">
        <f>IF(OR(E4110="",E4110="!!!",F4110="NEW"),"",COUNTBLANK(OFFSET(A$1,,,SUMPRODUCT(MAX(ROW(E$2:E4110)*(E4110=E$2:E4110)))))-COUNTBLANK(OFFSET(A$1,,,SUMPRODUCT(MAX(ROW(E$1:E4109)*(E2=E$1:E4109))))))</f>
        <v> </v>
      </c>
      <c r="K4110" s="25" t="str">
        <f>IF(OR(E4110="",E4110="!!!",F4110="NEW"),"",INDEX(J$1:J4109,SUMPRODUCT(MAX(ROW(E$1:E4109)*(E4110=E$1:E4109)))))</f>
        <v> </v>
      </c>
      <c r="L4110" s="26"/>
    </row>
    <row r="4111" spans="1:12">
      <c r="A4111" s="20" t="s">
        <v>366</v>
      </c>
      <c r="E4111" s="21">
        <f>IF(D4111="?OLD","!!!","")</f>
        <v/>
      </c>
      <c r="F4111" s="22" t="str">
        <f>IF(OR(E4111="",E4111="!!!"),"",IF(NOT(ISNA(VLOOKUP(E4111,E$1:E4110,1,FALSE()))),"OLD",IF(AND(E4111&lt;&gt;"",E4111&lt;&gt;"!!!"),"NEW","")))</f>
        <v> </v>
      </c>
      <c r="G4111" s="23" t="str">
        <f>IF(OR(E4111="",E4111="!!!"),"",IF(OR(J4111=0,AND(J4111=1,K4111=1),AND(J4111=1,I4111="SBJ"),AND(J4111=1,I4111=0)),"?IN_FOCUS",IF(J4111&lt;=2,"?ACTIVATED",IF(J4111&lt;&gt;"","?FAMILIAR",IF(F4111="NEW",IF(ISNA(VLOOKUP(E4111,#REF!,1,FALSE())),"?TYPE_IDENTIFIABLE","?REFERENTIAL"),"_")))))</f>
        <v> </v>
      </c>
      <c r="H4111" s="24" t="str">
        <f>IF(J4111&lt;&gt;1,"",IF(I4111="SBJ","CB","?"))</f>
        <v> </v>
      </c>
      <c r="I4111" s="25" t="str">
        <f>IF(OR(E4111="",E4111="!!!",F4111="NEW"),"",INDEX(B4110:B$2,-1+SUMPRODUCT(MAX(ROW(E4110:E$2)*(E4111=E4110:E$2)))))</f>
        <v> </v>
      </c>
      <c r="J4111" s="25" t="str">
        <f>IF(OR(E4111="",E4111="!!!",F4111="NEW"),"",COUNTBLANK(OFFSET(A$1,,,SUMPRODUCT(MAX(ROW(E$2:E4111)*(E4111=E$2:E4111)))))-COUNTBLANK(OFFSET(A$1,,,SUMPRODUCT(MAX(ROW(E$1:E4110)*(E2=E$1:E4110))))))</f>
        <v> </v>
      </c>
      <c r="K4111" s="25" t="str">
        <f>IF(OR(E4111="",E4111="!!!",F4111="NEW"),"",INDEX(J$1:J4110,SUMPRODUCT(MAX(ROW(E$1:E4110)*(E4111=E$1:E4110)))))</f>
        <v> </v>
      </c>
      <c r="L4111" s="26"/>
    </row>
    <row r="4112" spans="1:12">
      <c r="A4112" s="20" t="s">
        <v>725</v>
      </c>
      <c r="E4112" s="21">
        <f>IF(D4112="?OLD","!!!","")</f>
        <v/>
      </c>
      <c r="F4112" s="22" t="str">
        <f>IF(OR(E4112="",E4112="!!!"),"",IF(NOT(ISNA(VLOOKUP(E4112,E$1:E4111,1,FALSE()))),"OLD",IF(AND(E4112&lt;&gt;"",E4112&lt;&gt;"!!!"),"NEW","")))</f>
        <v> </v>
      </c>
      <c r="G4112" s="23" t="str">
        <f>IF(OR(E4112="",E4112="!!!"),"",IF(OR(J4112=0,AND(J4112=1,K4112=1),AND(J4112=1,I4112="SBJ"),AND(J4112=1,I4112=0)),"?IN_FOCUS",IF(J4112&lt;=2,"?ACTIVATED",IF(J4112&lt;&gt;"","?FAMILIAR",IF(F4112="NEW",IF(ISNA(VLOOKUP(E4112,#REF!,1,FALSE())),"?TYPE_IDENTIFIABLE","?REFERENTIAL"),"_")))))</f>
        <v> </v>
      </c>
      <c r="H4112" s="24" t="str">
        <f>IF(J4112&lt;&gt;1,"",IF(I4112="SBJ","CB","?"))</f>
        <v> </v>
      </c>
      <c r="I4112" s="25" t="str">
        <f>IF(OR(E4112="",E4112="!!!",F4112="NEW"),"",INDEX(B4111:B$2,-1+SUMPRODUCT(MAX(ROW(E4111:E$2)*(E4112=E4111:E$2)))))</f>
        <v> </v>
      </c>
      <c r="J4112" s="25" t="str">
        <f>IF(OR(E4112="",E4112="!!!",F4112="NEW"),"",COUNTBLANK(OFFSET(A$1,,,SUMPRODUCT(MAX(ROW(E$2:E4112)*(E4112=E$2:E4112)))))-COUNTBLANK(OFFSET(A$1,,,SUMPRODUCT(MAX(ROW(E$1:E4111)*(E2=E$1:E4111))))))</f>
        <v> </v>
      </c>
      <c r="K4112" s="25" t="str">
        <f>IF(OR(E4112="",E4112="!!!",F4112="NEW"),"",INDEX(J$1:J4111,SUMPRODUCT(MAX(ROW(E$1:E4111)*(E4112=E$1:E4111)))))</f>
        <v> </v>
      </c>
      <c r="L4112" s="26"/>
    </row>
    <row r="4113" spans="1:12">
      <c r="A4113" s="20" t="s">
        <v>846</v>
      </c>
      <c r="E4113" s="21">
        <f>IF(D4113="?OLD","!!!","")</f>
        <v/>
      </c>
      <c r="F4113" s="22" t="str">
        <f>IF(OR(E4113="",E4113="!!!"),"",IF(NOT(ISNA(VLOOKUP(E4113,E$1:E4112,1,FALSE()))),"OLD",IF(AND(E4113&lt;&gt;"",E4113&lt;&gt;"!!!"),"NEW","")))</f>
        <v> </v>
      </c>
      <c r="G4113" s="23" t="str">
        <f>IF(OR(E4113="",E4113="!!!"),"",IF(OR(J4113=0,AND(J4113=1,K4113=1),AND(J4113=1,I4113="SBJ"),AND(J4113=1,I4113=0)),"?IN_FOCUS",IF(J4113&lt;=2,"?ACTIVATED",IF(J4113&lt;&gt;"","?FAMILIAR",IF(F4113="NEW",IF(ISNA(VLOOKUP(E4113,#REF!,1,FALSE())),"?TYPE_IDENTIFIABLE","?REFERENTIAL"),"_")))))</f>
        <v> </v>
      </c>
      <c r="H4113" s="24" t="str">
        <f>IF(J4113&lt;&gt;1,"",IF(I4113="SBJ","CB","?"))</f>
        <v> </v>
      </c>
      <c r="I4113" s="25" t="str">
        <f>IF(OR(E4113="",E4113="!!!",F4113="NEW"),"",INDEX(B4112:B$2,-1+SUMPRODUCT(MAX(ROW(E4112:E$2)*(E4113=E4112:E$2)))))</f>
        <v> </v>
      </c>
      <c r="J4113" s="25" t="str">
        <f>IF(OR(E4113="",E4113="!!!",F4113="NEW"),"",COUNTBLANK(OFFSET(A$1,,,SUMPRODUCT(MAX(ROW(E$2:E4113)*(E4113=E$2:E4113)))))-COUNTBLANK(OFFSET(A$1,,,SUMPRODUCT(MAX(ROW(E$1:E4112)*(E2=E$1:E4112))))))</f>
        <v> </v>
      </c>
      <c r="K4113" s="25" t="str">
        <f>IF(OR(E4113="",E4113="!!!",F4113="NEW"),"",INDEX(J$1:J4112,SUMPRODUCT(MAX(ROW(E$1:E4112)*(E4113=E$1:E4112)))))</f>
        <v> </v>
      </c>
      <c r="L4113" s="26"/>
    </row>
    <row r="4114" spans="1:12">
      <c r="A4114" s="20" t="s">
        <v>796</v>
      </c>
      <c r="E4114" s="21">
        <f>IF(D4114="?OLD","!!!","")</f>
        <v/>
      </c>
      <c r="F4114" s="22" t="str">
        <f>IF(OR(E4114="",E4114="!!!"),"",IF(NOT(ISNA(VLOOKUP(E4114,E$1:E4113,1,FALSE()))),"OLD",IF(AND(E4114&lt;&gt;"",E4114&lt;&gt;"!!!"),"NEW","")))</f>
        <v> </v>
      </c>
      <c r="G4114" s="23" t="str">
        <f>IF(OR(E4114="",E4114="!!!"),"",IF(OR(J4114=0,AND(J4114=1,K4114=1),AND(J4114=1,I4114="SBJ"),AND(J4114=1,I4114=0)),"?IN_FOCUS",IF(J4114&lt;=2,"?ACTIVATED",IF(J4114&lt;&gt;"","?FAMILIAR",IF(F4114="NEW",IF(ISNA(VLOOKUP(E4114,#REF!,1,FALSE())),"?TYPE_IDENTIFIABLE","?REFERENTIAL"),"_")))))</f>
        <v> </v>
      </c>
      <c r="H4114" s="24" t="str">
        <f>IF(J4114&lt;&gt;1,"",IF(I4114="SBJ","CB","?"))</f>
        <v> </v>
      </c>
      <c r="I4114" s="25" t="str">
        <f>IF(OR(E4114="",E4114="!!!",F4114="NEW"),"",INDEX(B4113:B$2,-1+SUMPRODUCT(MAX(ROW(E4113:E$2)*(E4114=E4113:E$2)))))</f>
        <v> </v>
      </c>
      <c r="J4114" s="25" t="str">
        <f>IF(OR(E4114="",E4114="!!!",F4114="NEW"),"",COUNTBLANK(OFFSET(A$1,,,SUMPRODUCT(MAX(ROW(E$2:E4114)*(E4114=E$2:E4114)))))-COUNTBLANK(OFFSET(A$1,,,SUMPRODUCT(MAX(ROW(E$1:E4113)*(E2=E$1:E4113))))))</f>
        <v> </v>
      </c>
      <c r="K4114" s="25" t="str">
        <f>IF(OR(E4114="",E4114="!!!",F4114="NEW"),"",INDEX(J$1:J4113,SUMPRODUCT(MAX(ROW(E$1:E4113)*(E4114=E$1:E4113)))))</f>
        <v> </v>
      </c>
      <c r="L4114" s="26"/>
    </row>
    <row r="4115" spans="1:12">
      <c r="A4115" s="20" t="s">
        <v>862</v>
      </c>
      <c r="E4115" s="21">
        <f>IF(D4115="?OLD","!!!","")</f>
        <v/>
      </c>
      <c r="F4115" s="22" t="str">
        <f>IF(OR(E4115="",E4115="!!!"),"",IF(NOT(ISNA(VLOOKUP(E4115,E$1:E4114,1,FALSE()))),"OLD",IF(AND(E4115&lt;&gt;"",E4115&lt;&gt;"!!!"),"NEW","")))</f>
        <v> </v>
      </c>
      <c r="G4115" s="23" t="str">
        <f>IF(OR(E4115="",E4115="!!!"),"",IF(OR(J4115=0,AND(J4115=1,K4115=1),AND(J4115=1,I4115="SBJ"),AND(J4115=1,I4115=0)),"?IN_FOCUS",IF(J4115&lt;=2,"?ACTIVATED",IF(J4115&lt;&gt;"","?FAMILIAR",IF(F4115="NEW",IF(ISNA(VLOOKUP(E4115,#REF!,1,FALSE())),"?TYPE_IDENTIFIABLE","?REFERENTIAL"),"_")))))</f>
        <v> </v>
      </c>
      <c r="H4115" s="24" t="str">
        <f>IF(J4115&lt;&gt;1,"",IF(I4115="SBJ","CB","?"))</f>
        <v> </v>
      </c>
      <c r="I4115" s="25" t="str">
        <f>IF(OR(E4115="",E4115="!!!",F4115="NEW"),"",INDEX(B4114:B$2,-1+SUMPRODUCT(MAX(ROW(E4114:E$2)*(E4115=E4114:E$2)))))</f>
        <v> </v>
      </c>
      <c r="J4115" s="25" t="str">
        <f>IF(OR(E4115="",E4115="!!!",F4115="NEW"),"",COUNTBLANK(OFFSET(A$1,,,SUMPRODUCT(MAX(ROW(E$2:E4115)*(E4115=E$2:E4115)))))-COUNTBLANK(OFFSET(A$1,,,SUMPRODUCT(MAX(ROW(E$1:E4114)*(E2=E$1:E4114))))))</f>
        <v> </v>
      </c>
      <c r="K4115" s="25" t="str">
        <f>IF(OR(E4115="",E4115="!!!",F4115="NEW"),"",INDEX(J$1:J4114,SUMPRODUCT(MAX(ROW(E$1:E4114)*(E4115=E$1:E4114)))))</f>
        <v> </v>
      </c>
      <c r="L4115" s="26"/>
    </row>
    <row r="4116" spans="1:12">
      <c r="A4116" s="20" t="s">
        <v>773</v>
      </c>
      <c r="E4116" s="21">
        <f>IF(D4116="?OLD","!!!","")</f>
        <v/>
      </c>
      <c r="F4116" s="22" t="str">
        <f>IF(OR(E4116="",E4116="!!!"),"",IF(NOT(ISNA(VLOOKUP(E4116,E$1:E4115,1,FALSE()))),"OLD",IF(AND(E4116&lt;&gt;"",E4116&lt;&gt;"!!!"),"NEW","")))</f>
        <v> </v>
      </c>
      <c r="G4116" s="23" t="str">
        <f>IF(OR(E4116="",E4116="!!!"),"",IF(OR(J4116=0,AND(J4116=1,K4116=1),AND(J4116=1,I4116="SBJ"),AND(J4116=1,I4116=0)),"?IN_FOCUS",IF(J4116&lt;=2,"?ACTIVATED",IF(J4116&lt;&gt;"","?FAMILIAR",IF(F4116="NEW",IF(ISNA(VLOOKUP(E4116,#REF!,1,FALSE())),"?TYPE_IDENTIFIABLE","?REFERENTIAL"),"_")))))</f>
        <v> </v>
      </c>
      <c r="H4116" s="24" t="str">
        <f>IF(J4116&lt;&gt;1,"",IF(I4116="SBJ","CB","?"))</f>
        <v> </v>
      </c>
      <c r="I4116" s="25" t="str">
        <f>IF(OR(E4116="",E4116="!!!",F4116="NEW"),"",INDEX(B4115:B$2,-1+SUMPRODUCT(MAX(ROW(E4115:E$2)*(E4116=E4115:E$2)))))</f>
        <v> </v>
      </c>
      <c r="J4116" s="25" t="str">
        <f>IF(OR(E4116="",E4116="!!!",F4116="NEW"),"",COUNTBLANK(OFFSET(A$1,,,SUMPRODUCT(MAX(ROW(E$2:E4116)*(E4116=E$2:E4116)))))-COUNTBLANK(OFFSET(A$1,,,SUMPRODUCT(MAX(ROW(E$1:E4115)*(E2=E$1:E4115))))))</f>
        <v> </v>
      </c>
      <c r="K4116" s="25" t="str">
        <f>IF(OR(E4116="",E4116="!!!",F4116="NEW"),"",INDEX(J$1:J4115,SUMPRODUCT(MAX(ROW(E$1:E4115)*(E4116=E$1:E4115)))))</f>
        <v> </v>
      </c>
      <c r="L4116" s="26"/>
    </row>
    <row r="4117" spans="1:12">
      <c r="A4117" s="20" t="s">
        <v>761</v>
      </c>
      <c r="E4117" s="21">
        <f>IF(D4117="?OLD","!!!","")</f>
        <v/>
      </c>
      <c r="F4117" s="22" t="str">
        <f>IF(OR(E4117="",E4117="!!!"),"",IF(NOT(ISNA(VLOOKUP(E4117,E$1:E4116,1,FALSE()))),"OLD",IF(AND(E4117&lt;&gt;"",E4117&lt;&gt;"!!!"),"NEW","")))</f>
        <v> </v>
      </c>
      <c r="G4117" s="23" t="str">
        <f>IF(OR(E4117="",E4117="!!!"),"",IF(OR(J4117=0,AND(J4117=1,K4117=1),AND(J4117=1,I4117="SBJ"),AND(J4117=1,I4117=0)),"?IN_FOCUS",IF(J4117&lt;=2,"?ACTIVATED",IF(J4117&lt;&gt;"","?FAMILIAR",IF(F4117="NEW",IF(ISNA(VLOOKUP(E4117,#REF!,1,FALSE())),"?TYPE_IDENTIFIABLE","?REFERENTIAL"),"_")))))</f>
        <v> </v>
      </c>
      <c r="H4117" s="24" t="str">
        <f>IF(J4117&lt;&gt;1,"",IF(I4117="SBJ","CB","?"))</f>
        <v> </v>
      </c>
      <c r="I4117" s="25" t="str">
        <f>IF(OR(E4117="",E4117="!!!",F4117="NEW"),"",INDEX(B4116:B$2,-1+SUMPRODUCT(MAX(ROW(E4116:E$2)*(E4117=E4116:E$2)))))</f>
        <v> </v>
      </c>
      <c r="J4117" s="25" t="str">
        <f>IF(OR(E4117="",E4117="!!!",F4117="NEW"),"",COUNTBLANK(OFFSET(A$1,,,SUMPRODUCT(MAX(ROW(E$2:E4117)*(E4117=E$2:E4117)))))-COUNTBLANK(OFFSET(A$1,,,SUMPRODUCT(MAX(ROW(E$1:E4116)*(E2=E$1:E4116))))))</f>
        <v> </v>
      </c>
      <c r="K4117" s="25" t="str">
        <f>IF(OR(E4117="",E4117="!!!",F4117="NEW"),"",INDEX(J$1:J4116,SUMPRODUCT(MAX(ROW(E$1:E4116)*(E4117=E$1:E4116)))))</f>
        <v> </v>
      </c>
      <c r="L4117" s="26"/>
    </row>
    <row r="4118" spans="1:12">
      <c r="A4118" s="20" t="s">
        <v>1719</v>
      </c>
      <c r="B4118" s="27" t="s">
        <v>737</v>
      </c>
      <c r="C4118" s="27" t="s">
        <v>776</v>
      </c>
      <c r="E4118" s="21">
        <f>IF(D4118="?OLD","!!!","")</f>
        <v/>
      </c>
      <c r="F4118" s="22" t="str">
        <f>IF(OR(E4118="",E4118="!!!"),"",IF(NOT(ISNA(VLOOKUP(E4118,E$1:E4117,1,FALSE()))),"OLD",IF(AND(E4118&lt;&gt;"",E4118&lt;&gt;"!!!"),"NEW","")))</f>
        <v> </v>
      </c>
      <c r="G4118" s="23" t="str">
        <f>IF(OR(E4118="",E4118="!!!"),"",IF(OR(J4118=0,AND(J4118=1,K4118=1),AND(J4118=1,I4118="SBJ"),AND(J4118=1,I4118=0)),"?IN_FOCUS",IF(J4118&lt;=2,"?ACTIVATED",IF(J4118&lt;&gt;"","?FAMILIAR",IF(F4118="NEW",IF(ISNA(VLOOKUP(E4118,#REF!,1,FALSE())),"?TYPE_IDENTIFIABLE","?REFERENTIAL"),"_")))))</f>
        <v> </v>
      </c>
      <c r="H4118" s="24" t="str">
        <f>IF(J4118&lt;&gt;1,"",IF(I4118="SBJ","CB","?"))</f>
        <v> </v>
      </c>
      <c r="I4118" s="25" t="str">
        <f>IF(OR(E4118="",E4118="!!!",F4118="NEW"),"",INDEX(B4117:B$2,-1+SUMPRODUCT(MAX(ROW(E4117:E$2)*(E4118=E4117:E$2)))))</f>
        <v> </v>
      </c>
      <c r="J4118" s="25" t="str">
        <f>IF(OR(E4118="",E4118="!!!",F4118="NEW"),"",COUNTBLANK(OFFSET(A$1,,,SUMPRODUCT(MAX(ROW(E$2:E4118)*(E4118=E$2:E4118)))))-COUNTBLANK(OFFSET(A$1,,,SUMPRODUCT(MAX(ROW(E$1:E4117)*(E2=E$1:E4117))))))</f>
        <v> </v>
      </c>
      <c r="K4118" s="25" t="str">
        <f>IF(OR(E4118="",E4118="!!!",F4118="NEW"),"",INDEX(J$1:J4117,SUMPRODUCT(MAX(ROW(E$1:E4117)*(E4118=E$1:E4117)))))</f>
        <v> </v>
      </c>
      <c r="L4118" s="26"/>
    </row>
    <row r="4119" spans="1:12">
      <c r="A4119" s="20" t="s">
        <v>699</v>
      </c>
      <c r="E4119" s="21">
        <f>IF(D4119="?OLD","!!!","")</f>
        <v/>
      </c>
      <c r="F4119" s="22" t="str">
        <f>IF(OR(E4119="",E4119="!!!"),"",IF(NOT(ISNA(VLOOKUP(E4119,E$1:E4118,1,FALSE()))),"OLD",IF(AND(E4119&lt;&gt;"",E4119&lt;&gt;"!!!"),"NEW","")))</f>
        <v> </v>
      </c>
      <c r="G4119" s="23" t="str">
        <f>IF(OR(E4119="",E4119="!!!"),"",IF(OR(J4119=0,AND(J4119=1,K4119=1),AND(J4119=1,I4119="SBJ"),AND(J4119=1,I4119=0)),"?IN_FOCUS",IF(J4119&lt;=2,"?ACTIVATED",IF(J4119&lt;&gt;"","?FAMILIAR",IF(F4119="NEW",IF(ISNA(VLOOKUP(E4119,#REF!,1,FALSE())),"?TYPE_IDENTIFIABLE","?REFERENTIAL"),"_")))))</f>
        <v> </v>
      </c>
      <c r="H4119" s="24" t="str">
        <f>IF(J4119&lt;&gt;1,"",IF(I4119="SBJ","CB","?"))</f>
        <v> </v>
      </c>
      <c r="I4119" s="25" t="str">
        <f>IF(OR(E4119="",E4119="!!!",F4119="NEW"),"",INDEX(B4118:B$2,-1+SUMPRODUCT(MAX(ROW(E4118:E$2)*(E4119=E4118:E$2)))))</f>
        <v> </v>
      </c>
      <c r="J4119" s="25" t="str">
        <f>IF(OR(E4119="",E4119="!!!",F4119="NEW"),"",COUNTBLANK(OFFSET(A$1,,,SUMPRODUCT(MAX(ROW(E$2:E4119)*(E4119=E$2:E4119)))))-COUNTBLANK(OFFSET(A$1,,,SUMPRODUCT(MAX(ROW(E$1:E4118)*(E2=E$1:E4118))))))</f>
        <v> </v>
      </c>
      <c r="K4119" s="25" t="str">
        <f>IF(OR(E4119="",E4119="!!!",F4119="NEW"),"",INDEX(J$1:J4118,SUMPRODUCT(MAX(ROW(E$1:E4118)*(E4119=E$1:E4118)))))</f>
        <v> </v>
      </c>
      <c r="L4119" s="26"/>
    </row>
    <row r="4120" spans="1:12">
      <c r="A4120" s="20"/>
    </row>
    <row r="4121" spans="1:12">
      <c r="A4121" s="20" t="s">
        <v>1740</v>
      </c>
    </row>
    <row r="4122" spans="1:12">
      <c r="A4122" s="20" t="s">
        <v>1431</v>
      </c>
      <c r="E4122" s="21">
        <f>IF(D4122="?OLD","!!!","")</f>
        <v/>
      </c>
      <c r="F4122" s="22" t="str">
        <f>IF(OR(E4122="",E4122="!!!"),"",IF(NOT(ISNA(VLOOKUP(E4122,E$1:E4121,1,FALSE()))),"OLD",IF(AND(E4122&lt;&gt;"",E4122&lt;&gt;"!!!"),"NEW","")))</f>
        <v> </v>
      </c>
      <c r="G4122" s="23" t="str">
        <f>IF(OR(E4122="",E4122="!!!"),"",IF(OR(J4122=0,AND(J4122=1,K4122=1),AND(J4122=1,I4122="SBJ"),AND(J4122=1,I4122=0)),"?IN_FOCUS",IF(J4122&lt;=2,"?ACTIVATED",IF(J4122&lt;&gt;"","?FAMILIAR",IF(F4122="NEW",IF(ISNA(VLOOKUP(E4122,#REF!,1,FALSE())),"?TYPE_IDENTIFIABLE","?REFERENTIAL"),"_")))))</f>
        <v> </v>
      </c>
      <c r="H4122" s="24" t="str">
        <f>IF(J4122&lt;&gt;1,"",IF(I4122="SBJ","CB","?"))</f>
        <v> </v>
      </c>
      <c r="I4122" s="25" t="str">
        <f>IF(OR(E4122="",E4122="!!!",F4122="NEW"),"",INDEX(B4121:B$2,-1+SUMPRODUCT(MAX(ROW(E4121:E$2)*(E4122=E4121:E$2)))))</f>
        <v> </v>
      </c>
      <c r="J4122" s="25" t="str">
        <f>IF(OR(E4122="",E4122="!!!",F4122="NEW"),"",COUNTBLANK(OFFSET(A$1,,,SUMPRODUCT(MAX(ROW(E$2:E4122)*(E4122=E$2:E4122)))))-COUNTBLANK(OFFSET(A$1,,,SUMPRODUCT(MAX(ROW(E$1:E4121)*(E2=E$1:E4121))))))</f>
        <v> </v>
      </c>
      <c r="K4122" s="25" t="str">
        <f>IF(OR(E4122="",E4122="!!!",F4122="NEW"),"",INDEX(J$1:J4121,SUMPRODUCT(MAX(ROW(E$1:E4121)*(E4122=E$1:E4121)))))</f>
        <v> </v>
      </c>
      <c r="L4122" s="26"/>
    </row>
    <row r="4123" spans="1:12">
      <c r="A4123" s="20" t="s">
        <v>1578</v>
      </c>
      <c r="B4123" s="27" t="s">
        <v>692</v>
      </c>
      <c r="C4123" s="27" t="s">
        <v>693</v>
      </c>
      <c r="D4123" s="27" t="s">
        <v>694</v>
      </c>
      <c r="E4123" s="21">
        <f>IF(D4123="?OLD","!!!","")</f>
        <v/>
      </c>
      <c r="F4123" s="22" t="str">
        <f>IF(OR(E4123="",E4123="!!!"),"",IF(NOT(ISNA(VLOOKUP(E4123,E$1:E4122,1,FALSE()))),"OLD",IF(AND(E4123&lt;&gt;"",E4123&lt;&gt;"!!!"),"NEW","")))</f>
        <v> </v>
      </c>
      <c r="G4123" s="23" t="str">
        <f>IF(OR(E4123="",E4123="!!!"),"",IF(OR(J4123=0,AND(J4123=1,K4123=1),AND(J4123=1,I4123="SBJ"),AND(J4123=1,I4123=0)),"?IN_FOCUS",IF(J4123&lt;=2,"?ACTIVATED",IF(J4123&lt;&gt;"","?FAMILIAR",IF(F4123="NEW",IF(ISNA(VLOOKUP(E4123,#REF!,1,FALSE())),"?TYPE_IDENTIFIABLE","?REFERENTIAL"),"_")))))</f>
        <v> </v>
      </c>
      <c r="H4123" s="24" t="str">
        <f>IF(J4123&lt;&gt;1,"",IF(I4123="SBJ","CB","?"))</f>
        <v> </v>
      </c>
      <c r="I4123" s="25" t="str">
        <f>IF(OR(E4123="",E4123="!!!",F4123="NEW"),"",INDEX(B4122:B$2,-1+SUMPRODUCT(MAX(ROW(E4122:E$2)*(E4123=E4122:E$2)))))</f>
        <v> </v>
      </c>
      <c r="J4123" s="25" t="str">
        <f>IF(OR(E4123="",E4123="!!!",F4123="NEW"),"",COUNTBLANK(OFFSET(A$1,,,SUMPRODUCT(MAX(ROW(E$2:E4123)*(E4123=E$2:E4123)))))-COUNTBLANK(OFFSET(A$1,,,SUMPRODUCT(MAX(ROW(E$1:E4122)*(E2=E$1:E4122))))))</f>
        <v> </v>
      </c>
      <c r="K4123" s="25" t="str">
        <f>IF(OR(E4123="",E4123="!!!",F4123="NEW"),"",INDEX(J$1:J4122,SUMPRODUCT(MAX(ROW(E$1:E4122)*(E4123=E$1:E4122)))))</f>
        <v> </v>
      </c>
      <c r="L4123" s="26"/>
    </row>
    <row r="4124" spans="1:12">
      <c r="A4124" s="20" t="s">
        <v>1741</v>
      </c>
      <c r="E4124" s="21">
        <f>IF(D4124="?OLD","!!!","")</f>
        <v/>
      </c>
      <c r="F4124" s="22" t="str">
        <f>IF(OR(E4124="",E4124="!!!"),"",IF(NOT(ISNA(VLOOKUP(E4124,E$1:E4123,1,FALSE()))),"OLD",IF(AND(E4124&lt;&gt;"",E4124&lt;&gt;"!!!"),"NEW","")))</f>
        <v> </v>
      </c>
      <c r="G4124" s="23" t="str">
        <f>IF(OR(E4124="",E4124="!!!"),"",IF(OR(J4124=0,AND(J4124=1,K4124=1),AND(J4124=1,I4124="SBJ"),AND(J4124=1,I4124=0)),"?IN_FOCUS",IF(J4124&lt;=2,"?ACTIVATED",IF(J4124&lt;&gt;"","?FAMILIAR",IF(F4124="NEW",IF(ISNA(VLOOKUP(E4124,#REF!,1,FALSE())),"?TYPE_IDENTIFIABLE","?REFERENTIAL"),"_")))))</f>
        <v> </v>
      </c>
      <c r="H4124" s="24" t="str">
        <f>IF(J4124&lt;&gt;1,"",IF(I4124="SBJ","CB","?"))</f>
        <v> </v>
      </c>
      <c r="I4124" s="25" t="str">
        <f>IF(OR(E4124="",E4124="!!!",F4124="NEW"),"",INDEX(B4123:B$2,-1+SUMPRODUCT(MAX(ROW(E4123:E$2)*(E4124=E4123:E$2)))))</f>
        <v> </v>
      </c>
      <c r="J4124" s="25" t="str">
        <f>IF(OR(E4124="",E4124="!!!",F4124="NEW"),"",COUNTBLANK(OFFSET(A$1,,,SUMPRODUCT(MAX(ROW(E$2:E4124)*(E4124=E$2:E4124)))))-COUNTBLANK(OFFSET(A$1,,,SUMPRODUCT(MAX(ROW(E$1:E4123)*(E2=E$1:E4123))))))</f>
        <v> </v>
      </c>
      <c r="K4124" s="25" t="str">
        <f>IF(OR(E4124="",E4124="!!!",F4124="NEW"),"",INDEX(J$1:J4123,SUMPRODUCT(MAX(ROW(E$1:E4123)*(E4124=E$1:E4123)))))</f>
        <v> </v>
      </c>
      <c r="L4124" s="26"/>
    </row>
    <row r="4125" spans="1:12">
      <c r="A4125" s="20" t="s">
        <v>851</v>
      </c>
      <c r="E4125" s="21">
        <f>IF(D4125="?OLD","!!!","")</f>
        <v/>
      </c>
      <c r="F4125" s="22" t="str">
        <f>IF(OR(E4125="",E4125="!!!"),"",IF(NOT(ISNA(VLOOKUP(E4125,E$1:E4124,1,FALSE()))),"OLD",IF(AND(E4125&lt;&gt;"",E4125&lt;&gt;"!!!"),"NEW","")))</f>
        <v> </v>
      </c>
      <c r="G4125" s="23" t="str">
        <f>IF(OR(E4125="",E4125="!!!"),"",IF(OR(J4125=0,AND(J4125=1,K4125=1),AND(J4125=1,I4125="SBJ"),AND(J4125=1,I4125=0)),"?IN_FOCUS",IF(J4125&lt;=2,"?ACTIVATED",IF(J4125&lt;&gt;"","?FAMILIAR",IF(F4125="NEW",IF(ISNA(VLOOKUP(E4125,#REF!,1,FALSE())),"?TYPE_IDENTIFIABLE","?REFERENTIAL"),"_")))))</f>
        <v> </v>
      </c>
      <c r="H4125" s="24" t="str">
        <f>IF(J4125&lt;&gt;1,"",IF(I4125="SBJ","CB","?"))</f>
        <v> </v>
      </c>
      <c r="I4125" s="25" t="str">
        <f>IF(OR(E4125="",E4125="!!!",F4125="NEW"),"",INDEX(B4124:B$2,-1+SUMPRODUCT(MAX(ROW(E4124:E$2)*(E4125=E4124:E$2)))))</f>
        <v> </v>
      </c>
      <c r="J4125" s="25" t="str">
        <f>IF(OR(E4125="",E4125="!!!",F4125="NEW"),"",COUNTBLANK(OFFSET(A$1,,,SUMPRODUCT(MAX(ROW(E$2:E4125)*(E4125=E$2:E4125)))))-COUNTBLANK(OFFSET(A$1,,,SUMPRODUCT(MAX(ROW(E$1:E4124)*(E2=E$1:E4124))))))</f>
        <v> </v>
      </c>
      <c r="K4125" s="25" t="str">
        <f>IF(OR(E4125="",E4125="!!!",F4125="NEW"),"",INDEX(J$1:J4124,SUMPRODUCT(MAX(ROW(E$1:E4124)*(E4125=E$1:E4124)))))</f>
        <v> </v>
      </c>
      <c r="L4125" s="26"/>
    </row>
    <row r="4126" spans="1:12">
      <c r="A4126" s="20" t="s">
        <v>874</v>
      </c>
      <c r="B4126" s="27" t="s">
        <v>823</v>
      </c>
      <c r="C4126" s="27" t="s">
        <v>733</v>
      </c>
      <c r="D4126" s="27" t="s">
        <v>694</v>
      </c>
      <c r="E4126" s="21">
        <f>IF(D4126="?OLD","!!!","")</f>
        <v/>
      </c>
      <c r="F4126" s="22" t="str">
        <f>IF(OR(E4126="",E4126="!!!"),"",IF(NOT(ISNA(VLOOKUP(E4126,E$1:E4125,1,FALSE()))),"OLD",IF(AND(E4126&lt;&gt;"",E4126&lt;&gt;"!!!"),"NEW","")))</f>
        <v> </v>
      </c>
      <c r="G4126" s="23" t="str">
        <f>IF(OR(E4126="",E4126="!!!"),"",IF(OR(J4126=0,AND(J4126=1,K4126=1),AND(J4126=1,I4126="SBJ"),AND(J4126=1,I4126=0)),"?IN_FOCUS",IF(J4126&lt;=2,"?ACTIVATED",IF(J4126&lt;&gt;"","?FAMILIAR",IF(F4126="NEW",IF(ISNA(VLOOKUP(E4126,#REF!,1,FALSE())),"?TYPE_IDENTIFIABLE","?REFERENTIAL"),"_")))))</f>
        <v> </v>
      </c>
      <c r="H4126" s="24" t="str">
        <f>IF(J4126&lt;&gt;1,"",IF(I4126="SBJ","CB","?"))</f>
        <v> </v>
      </c>
      <c r="I4126" s="25" t="str">
        <f>IF(OR(E4126="",E4126="!!!",F4126="NEW"),"",INDEX(B4125:B$2,-1+SUMPRODUCT(MAX(ROW(E4125:E$2)*(E4126=E4125:E$2)))))</f>
        <v> </v>
      </c>
      <c r="J4126" s="25" t="str">
        <f>IF(OR(E4126="",E4126="!!!",F4126="NEW"),"",COUNTBLANK(OFFSET(A$1,,,SUMPRODUCT(MAX(ROW(E$2:E4126)*(E4126=E$2:E4126)))))-COUNTBLANK(OFFSET(A$1,,,SUMPRODUCT(MAX(ROW(E$1:E4125)*(E2=E$1:E4125))))))</f>
        <v> </v>
      </c>
      <c r="K4126" s="25" t="str">
        <f>IF(OR(E4126="",E4126="!!!",F4126="NEW"),"",INDEX(J$1:J4125,SUMPRODUCT(MAX(ROW(E$1:E4125)*(E4126=E$1:E4125)))))</f>
        <v> </v>
      </c>
      <c r="L4126" s="26"/>
    </row>
    <row r="4127" spans="1:12">
      <c r="A4127" s="20" t="s">
        <v>871</v>
      </c>
      <c r="E4127" s="21">
        <f>IF(D4127="?OLD","!!!","")</f>
        <v/>
      </c>
      <c r="F4127" s="22" t="str">
        <f>IF(OR(E4127="",E4127="!!!"),"",IF(NOT(ISNA(VLOOKUP(E4127,E$1:E4126,1,FALSE()))),"OLD",IF(AND(E4127&lt;&gt;"",E4127&lt;&gt;"!!!"),"NEW","")))</f>
        <v> </v>
      </c>
      <c r="G4127" s="23" t="str">
        <f>IF(OR(E4127="",E4127="!!!"),"",IF(OR(J4127=0,AND(J4127=1,K4127=1),AND(J4127=1,I4127="SBJ"),AND(J4127=1,I4127=0)),"?IN_FOCUS",IF(J4127&lt;=2,"?ACTIVATED",IF(J4127&lt;&gt;"","?FAMILIAR",IF(F4127="NEW",IF(ISNA(VLOOKUP(E4127,#REF!,1,FALSE())),"?TYPE_IDENTIFIABLE","?REFERENTIAL"),"_")))))</f>
        <v> </v>
      </c>
      <c r="H4127" s="24" t="str">
        <f>IF(J4127&lt;&gt;1,"",IF(I4127="SBJ","CB","?"))</f>
        <v> </v>
      </c>
      <c r="I4127" s="25" t="str">
        <f>IF(OR(E4127="",E4127="!!!",F4127="NEW"),"",INDEX(B4126:B$2,-1+SUMPRODUCT(MAX(ROW(E4126:E$2)*(E4127=E4126:E$2)))))</f>
        <v> </v>
      </c>
      <c r="J4127" s="25" t="str">
        <f>IF(OR(E4127="",E4127="!!!",F4127="NEW"),"",COUNTBLANK(OFFSET(A$1,,,SUMPRODUCT(MAX(ROW(E$2:E4127)*(E4127=E$2:E4127)))))-COUNTBLANK(OFFSET(A$1,,,SUMPRODUCT(MAX(ROW(E$1:E4126)*(E2=E$1:E4126))))))</f>
        <v> </v>
      </c>
      <c r="K4127" s="25" t="str">
        <f>IF(OR(E4127="",E4127="!!!",F4127="NEW"),"",INDEX(J$1:J4126,SUMPRODUCT(MAX(ROW(E$1:E4126)*(E4127=E$1:E4126)))))</f>
        <v> </v>
      </c>
      <c r="L4127" s="26"/>
    </row>
    <row r="4128" spans="1:12">
      <c r="A4128" s="20" t="s">
        <v>1742</v>
      </c>
      <c r="E4128" s="21">
        <f>IF(D4128="?OLD","!!!","")</f>
        <v/>
      </c>
      <c r="F4128" s="22" t="str">
        <f>IF(OR(E4128="",E4128="!!!"),"",IF(NOT(ISNA(VLOOKUP(E4128,E$1:E4127,1,FALSE()))),"OLD",IF(AND(E4128&lt;&gt;"",E4128&lt;&gt;"!!!"),"NEW","")))</f>
        <v> </v>
      </c>
      <c r="G4128" s="23" t="str">
        <f>IF(OR(E4128="",E4128="!!!"),"",IF(OR(J4128=0,AND(J4128=1,K4128=1),AND(J4128=1,I4128="SBJ"),AND(J4128=1,I4128=0)),"?IN_FOCUS",IF(J4128&lt;=2,"?ACTIVATED",IF(J4128&lt;&gt;"","?FAMILIAR",IF(F4128="NEW",IF(ISNA(VLOOKUP(E4128,#REF!,1,FALSE())),"?TYPE_IDENTIFIABLE","?REFERENTIAL"),"_")))))</f>
        <v> </v>
      </c>
      <c r="H4128" s="24" t="str">
        <f>IF(J4128&lt;&gt;1,"",IF(I4128="SBJ","CB","?"))</f>
        <v> </v>
      </c>
      <c r="I4128" s="25" t="str">
        <f>IF(OR(E4128="",E4128="!!!",F4128="NEW"),"",INDEX(B4127:B$2,-1+SUMPRODUCT(MAX(ROW(E4127:E$2)*(E4128=E4127:E$2)))))</f>
        <v> </v>
      </c>
      <c r="J4128" s="25" t="str">
        <f>IF(OR(E4128="",E4128="!!!",F4128="NEW"),"",COUNTBLANK(OFFSET(A$1,,,SUMPRODUCT(MAX(ROW(E$2:E4128)*(E4128=E$2:E4128)))))-COUNTBLANK(OFFSET(A$1,,,SUMPRODUCT(MAX(ROW(E$1:E4127)*(E2=E$1:E4127))))))</f>
        <v> </v>
      </c>
      <c r="K4128" s="25" t="str">
        <f>IF(OR(E4128="",E4128="!!!",F4128="NEW"),"",INDEX(J$1:J4127,SUMPRODUCT(MAX(ROW(E$1:E4127)*(E4128=E$1:E4127)))))</f>
        <v> </v>
      </c>
      <c r="L4128" s="26"/>
    </row>
    <row r="4129" spans="1:12">
      <c r="A4129" s="20" t="s">
        <v>696</v>
      </c>
      <c r="E4129" s="21">
        <f>IF(D4129="?OLD","!!!","")</f>
        <v/>
      </c>
      <c r="F4129" s="22" t="str">
        <f>IF(OR(E4129="",E4129="!!!"),"",IF(NOT(ISNA(VLOOKUP(E4129,E$1:E4128,1,FALSE()))),"OLD",IF(AND(E4129&lt;&gt;"",E4129&lt;&gt;"!!!"),"NEW","")))</f>
        <v> </v>
      </c>
      <c r="G4129" s="23" t="str">
        <f>IF(OR(E4129="",E4129="!!!"),"",IF(OR(J4129=0,AND(J4129=1,K4129=1),AND(J4129=1,I4129="SBJ"),AND(J4129=1,I4129=0)),"?IN_FOCUS",IF(J4129&lt;=2,"?ACTIVATED",IF(J4129&lt;&gt;"","?FAMILIAR",IF(F4129="NEW",IF(ISNA(VLOOKUP(E4129,#REF!,1,FALSE())),"?TYPE_IDENTIFIABLE","?REFERENTIAL"),"_")))))</f>
        <v> </v>
      </c>
      <c r="H4129" s="24" t="str">
        <f>IF(J4129&lt;&gt;1,"",IF(I4129="SBJ","CB","?"))</f>
        <v> </v>
      </c>
      <c r="I4129" s="25" t="str">
        <f>IF(OR(E4129="",E4129="!!!",F4129="NEW"),"",INDEX(B4128:B$2,-1+SUMPRODUCT(MAX(ROW(E4128:E$2)*(E4129=E4128:E$2)))))</f>
        <v> </v>
      </c>
      <c r="J4129" s="25" t="str">
        <f>IF(OR(E4129="",E4129="!!!",F4129="NEW"),"",COUNTBLANK(OFFSET(A$1,,,SUMPRODUCT(MAX(ROW(E$2:E4129)*(E4129=E$2:E4129)))))-COUNTBLANK(OFFSET(A$1,,,SUMPRODUCT(MAX(ROW(E$1:E4128)*(E2=E$1:E4128))))))</f>
        <v> </v>
      </c>
      <c r="K4129" s="25" t="str">
        <f>IF(OR(E4129="",E4129="!!!",F4129="NEW"),"",INDEX(J$1:J4128,SUMPRODUCT(MAX(ROW(E$1:E4128)*(E4129=E$1:E4128)))))</f>
        <v> </v>
      </c>
      <c r="L4129" s="26"/>
    </row>
    <row r="4130" spans="1:12">
      <c r="A4130" s="20" t="s">
        <v>278</v>
      </c>
      <c r="E4130" s="21">
        <f>IF(D4130="?OLD","!!!","")</f>
        <v/>
      </c>
      <c r="F4130" s="22" t="str">
        <f>IF(OR(E4130="",E4130="!!!"),"",IF(NOT(ISNA(VLOOKUP(E4130,E$1:E4129,1,FALSE()))),"OLD",IF(AND(E4130&lt;&gt;"",E4130&lt;&gt;"!!!"),"NEW","")))</f>
        <v> </v>
      </c>
      <c r="G4130" s="23" t="str">
        <f>IF(OR(E4130="",E4130="!!!"),"",IF(OR(J4130=0,AND(J4130=1,K4130=1),AND(J4130=1,I4130="SBJ"),AND(J4130=1,I4130=0)),"?IN_FOCUS",IF(J4130&lt;=2,"?ACTIVATED",IF(J4130&lt;&gt;"","?FAMILIAR",IF(F4130="NEW",IF(ISNA(VLOOKUP(E4130,#REF!,1,FALSE())),"?TYPE_IDENTIFIABLE","?REFERENTIAL"),"_")))))</f>
        <v> </v>
      </c>
      <c r="H4130" s="24" t="str">
        <f>IF(J4130&lt;&gt;1,"",IF(I4130="SBJ","CB","?"))</f>
        <v> </v>
      </c>
      <c r="I4130" s="25" t="str">
        <f>IF(OR(E4130="",E4130="!!!",F4130="NEW"),"",INDEX(B4129:B$2,-1+SUMPRODUCT(MAX(ROW(E4129:E$2)*(E4130=E4129:E$2)))))</f>
        <v> </v>
      </c>
      <c r="J4130" s="25" t="str">
        <f>IF(OR(E4130="",E4130="!!!",F4130="NEW"),"",COUNTBLANK(OFFSET(A$1,,,SUMPRODUCT(MAX(ROW(E$2:E4130)*(E4130=E$2:E4130)))))-COUNTBLANK(OFFSET(A$1,,,SUMPRODUCT(MAX(ROW(E$1:E4129)*(E2=E$1:E4129))))))</f>
        <v> </v>
      </c>
      <c r="K4130" s="25" t="str">
        <f>IF(OR(E4130="",E4130="!!!",F4130="NEW"),"",INDEX(J$1:J4129,SUMPRODUCT(MAX(ROW(E$1:E4129)*(E4130=E$1:E4129)))))</f>
        <v> </v>
      </c>
      <c r="L4130" s="26"/>
    </row>
    <row r="4131" spans="1:12">
      <c r="A4131" s="20" t="s">
        <v>739</v>
      </c>
      <c r="E4131" s="21">
        <f>IF(D4131="?OLD","!!!","")</f>
        <v/>
      </c>
      <c r="F4131" s="22" t="str">
        <f>IF(OR(E4131="",E4131="!!!"),"",IF(NOT(ISNA(VLOOKUP(E4131,E$1:E4130,1,FALSE()))),"OLD",IF(AND(E4131&lt;&gt;"",E4131&lt;&gt;"!!!"),"NEW","")))</f>
        <v> </v>
      </c>
      <c r="G4131" s="23" t="str">
        <f>IF(OR(E4131="",E4131="!!!"),"",IF(OR(J4131=0,AND(J4131=1,K4131=1),AND(J4131=1,I4131="SBJ"),AND(J4131=1,I4131=0)),"?IN_FOCUS",IF(J4131&lt;=2,"?ACTIVATED",IF(J4131&lt;&gt;"","?FAMILIAR",IF(F4131="NEW",IF(ISNA(VLOOKUP(E4131,#REF!,1,FALSE())),"?TYPE_IDENTIFIABLE","?REFERENTIAL"),"_")))))</f>
        <v> </v>
      </c>
      <c r="H4131" s="24" t="str">
        <f>IF(J4131&lt;&gt;1,"",IF(I4131="SBJ","CB","?"))</f>
        <v> </v>
      </c>
      <c r="I4131" s="25" t="str">
        <f>IF(OR(E4131="",E4131="!!!",F4131="NEW"),"",INDEX(B4130:B$2,-1+SUMPRODUCT(MAX(ROW(E4130:E$2)*(E4131=E4130:E$2)))))</f>
        <v> </v>
      </c>
      <c r="J4131" s="25" t="str">
        <f>IF(OR(E4131="",E4131="!!!",F4131="NEW"),"",COUNTBLANK(OFFSET(A$1,,,SUMPRODUCT(MAX(ROW(E$2:E4131)*(E4131=E$2:E4131)))))-COUNTBLANK(OFFSET(A$1,,,SUMPRODUCT(MAX(ROW(E$1:E4130)*(E2=E$1:E4130))))))</f>
        <v> </v>
      </c>
      <c r="K4131" s="25" t="str">
        <f>IF(OR(E4131="",E4131="!!!",F4131="NEW"),"",INDEX(J$1:J4130,SUMPRODUCT(MAX(ROW(E$1:E4130)*(E4131=E$1:E4130)))))</f>
        <v> </v>
      </c>
      <c r="L4131" s="26"/>
    </row>
    <row r="4132" spans="1:12">
      <c r="A4132" s="20" t="s">
        <v>1743</v>
      </c>
      <c r="B4132" s="27" t="s">
        <v>755</v>
      </c>
      <c r="C4132" s="27" t="s">
        <v>716</v>
      </c>
      <c r="E4132" s="21">
        <f>IF(D4132="?OLD","!!!","")</f>
        <v/>
      </c>
      <c r="F4132" s="22" t="str">
        <f>IF(OR(E4132="",E4132="!!!"),"",IF(NOT(ISNA(VLOOKUP(E4132,E$1:E4131,1,FALSE()))),"OLD",IF(AND(E4132&lt;&gt;"",E4132&lt;&gt;"!!!"),"NEW","")))</f>
        <v> </v>
      </c>
      <c r="G4132" s="23" t="str">
        <f>IF(OR(E4132="",E4132="!!!"),"",IF(OR(J4132=0,AND(J4132=1,K4132=1),AND(J4132=1,I4132="SBJ"),AND(J4132=1,I4132=0)),"?IN_FOCUS",IF(J4132&lt;=2,"?ACTIVATED",IF(J4132&lt;&gt;"","?FAMILIAR",IF(F4132="NEW",IF(ISNA(VLOOKUP(E4132,#REF!,1,FALSE())),"?TYPE_IDENTIFIABLE","?REFERENTIAL"),"_")))))</f>
        <v> </v>
      </c>
      <c r="H4132" s="24" t="str">
        <f>IF(J4132&lt;&gt;1,"",IF(I4132="SBJ","CB","?"))</f>
        <v> </v>
      </c>
      <c r="I4132" s="25" t="str">
        <f>IF(OR(E4132="",E4132="!!!",F4132="NEW"),"",INDEX(B4131:B$2,-1+SUMPRODUCT(MAX(ROW(E4131:E$2)*(E4132=E4131:E$2)))))</f>
        <v> </v>
      </c>
      <c r="J4132" s="25" t="str">
        <f>IF(OR(E4132="",E4132="!!!",F4132="NEW"),"",COUNTBLANK(OFFSET(A$1,,,SUMPRODUCT(MAX(ROW(E$2:E4132)*(E4132=E$2:E4132)))))-COUNTBLANK(OFFSET(A$1,,,SUMPRODUCT(MAX(ROW(E$1:E4131)*(E2=E$1:E4131))))))</f>
        <v> </v>
      </c>
      <c r="K4132" s="25" t="str">
        <f>IF(OR(E4132="",E4132="!!!",F4132="NEW"),"",INDEX(J$1:J4131,SUMPRODUCT(MAX(ROW(E$1:E4131)*(E4132=E$1:E4131)))))</f>
        <v> </v>
      </c>
      <c r="L4132" s="26"/>
    </row>
    <row r="4133" spans="1:12">
      <c r="A4133" s="20" t="s">
        <v>690</v>
      </c>
      <c r="E4133" s="21">
        <f>IF(D4133="?OLD","!!!","")</f>
        <v/>
      </c>
      <c r="F4133" s="22" t="str">
        <f>IF(OR(E4133="",E4133="!!!"),"",IF(NOT(ISNA(VLOOKUP(E4133,E$1:E4132,1,FALSE()))),"OLD",IF(AND(E4133&lt;&gt;"",E4133&lt;&gt;"!!!"),"NEW","")))</f>
        <v> </v>
      </c>
      <c r="G4133" s="23" t="str">
        <f>IF(OR(E4133="",E4133="!!!"),"",IF(OR(J4133=0,AND(J4133=1,K4133=1),AND(J4133=1,I4133="SBJ"),AND(J4133=1,I4133=0)),"?IN_FOCUS",IF(J4133&lt;=2,"?ACTIVATED",IF(J4133&lt;&gt;"","?FAMILIAR",IF(F4133="NEW",IF(ISNA(VLOOKUP(E4133,#REF!,1,FALSE())),"?TYPE_IDENTIFIABLE","?REFERENTIAL"),"_")))))</f>
        <v> </v>
      </c>
      <c r="H4133" s="24" t="str">
        <f>IF(J4133&lt;&gt;1,"",IF(I4133="SBJ","CB","?"))</f>
        <v> </v>
      </c>
      <c r="I4133" s="25" t="str">
        <f>IF(OR(E4133="",E4133="!!!",F4133="NEW"),"",INDEX(B4132:B$2,-1+SUMPRODUCT(MAX(ROW(E4132:E$2)*(E4133=E4132:E$2)))))</f>
        <v> </v>
      </c>
      <c r="J4133" s="25" t="str">
        <f>IF(OR(E4133="",E4133="!!!",F4133="NEW"),"",COUNTBLANK(OFFSET(A$1,,,SUMPRODUCT(MAX(ROW(E$2:E4133)*(E4133=E$2:E4133)))))-COUNTBLANK(OFFSET(A$1,,,SUMPRODUCT(MAX(ROW(E$1:E4132)*(E2=E$1:E4132))))))</f>
        <v> </v>
      </c>
      <c r="K4133" s="25" t="str">
        <f>IF(OR(E4133="",E4133="!!!",F4133="NEW"),"",INDEX(J$1:J4132,SUMPRODUCT(MAX(ROW(E$1:E4132)*(E4133=E$1:E4132)))))</f>
        <v> </v>
      </c>
      <c r="L4133" s="26"/>
    </row>
    <row r="4134" spans="1:12">
      <c r="A4134" s="20" t="s">
        <v>697</v>
      </c>
      <c r="B4134" s="27" t="s">
        <v>830</v>
      </c>
      <c r="C4134" s="27" t="s">
        <v>693</v>
      </c>
      <c r="D4134" s="27" t="s">
        <v>694</v>
      </c>
      <c r="E4134" s="21">
        <f>IF(D4134="?OLD","!!!","")</f>
        <v/>
      </c>
      <c r="F4134" s="22" t="str">
        <f>IF(OR(E4134="",E4134="!!!"),"",IF(NOT(ISNA(VLOOKUP(E4134,E$1:E4133,1,FALSE()))),"OLD",IF(AND(E4134&lt;&gt;"",E4134&lt;&gt;"!!!"),"NEW","")))</f>
        <v> </v>
      </c>
      <c r="G4134" s="23" t="str">
        <f>IF(OR(E4134="",E4134="!!!"),"",IF(OR(J4134=0,AND(J4134=1,K4134=1),AND(J4134=1,I4134="SBJ"),AND(J4134=1,I4134=0)),"?IN_FOCUS",IF(J4134&lt;=2,"?ACTIVATED",IF(J4134&lt;&gt;"","?FAMILIAR",IF(F4134="NEW",IF(ISNA(VLOOKUP(E4134,#REF!,1,FALSE())),"?TYPE_IDENTIFIABLE","?REFERENTIAL"),"_")))))</f>
        <v> </v>
      </c>
      <c r="H4134" s="24" t="str">
        <f>IF(J4134&lt;&gt;1,"",IF(I4134="SBJ","CB","?"))</f>
        <v> </v>
      </c>
      <c r="I4134" s="25" t="str">
        <f>IF(OR(E4134="",E4134="!!!",F4134="NEW"),"",INDEX(B4133:B$2,-1+SUMPRODUCT(MAX(ROW(E4133:E$2)*(E4134=E4133:E$2)))))</f>
        <v> </v>
      </c>
      <c r="J4134" s="25" t="str">
        <f>IF(OR(E4134="",E4134="!!!",F4134="NEW"),"",COUNTBLANK(OFFSET(A$1,,,SUMPRODUCT(MAX(ROW(E$2:E4134)*(E4134=E$2:E4134)))))-COUNTBLANK(OFFSET(A$1,,,SUMPRODUCT(MAX(ROW(E$1:E4133)*(E2=E$1:E4133))))))</f>
        <v> </v>
      </c>
      <c r="K4134" s="25" t="str">
        <f>IF(OR(E4134="",E4134="!!!",F4134="NEW"),"",INDEX(J$1:J4133,SUMPRODUCT(MAX(ROW(E$1:E4133)*(E4134=E$1:E4133)))))</f>
        <v> </v>
      </c>
      <c r="L4134" s="26"/>
    </row>
    <row r="4135" spans="1:12">
      <c r="A4135" s="20" t="s">
        <v>1571</v>
      </c>
      <c r="E4135" s="21">
        <f>IF(D4135="?OLD","!!!","")</f>
        <v/>
      </c>
      <c r="F4135" s="22" t="str">
        <f>IF(OR(E4135="",E4135="!!!"),"",IF(NOT(ISNA(VLOOKUP(E4135,E$1:E4134,1,FALSE()))),"OLD",IF(AND(E4135&lt;&gt;"",E4135&lt;&gt;"!!!"),"NEW","")))</f>
        <v> </v>
      </c>
      <c r="G4135" s="23" t="str">
        <f>IF(OR(E4135="",E4135="!!!"),"",IF(OR(J4135=0,AND(J4135=1,K4135=1),AND(J4135=1,I4135="SBJ"),AND(J4135=1,I4135=0)),"?IN_FOCUS",IF(J4135&lt;=2,"?ACTIVATED",IF(J4135&lt;&gt;"","?FAMILIAR",IF(F4135="NEW",IF(ISNA(VLOOKUP(E4135,#REF!,1,FALSE())),"?TYPE_IDENTIFIABLE","?REFERENTIAL"),"_")))))</f>
        <v> </v>
      </c>
      <c r="H4135" s="24" t="str">
        <f>IF(J4135&lt;&gt;1,"",IF(I4135="SBJ","CB","?"))</f>
        <v> </v>
      </c>
      <c r="I4135" s="25" t="str">
        <f>IF(OR(E4135="",E4135="!!!",F4135="NEW"),"",INDEX(B4134:B$2,-1+SUMPRODUCT(MAX(ROW(E4134:E$2)*(E4135=E4134:E$2)))))</f>
        <v> </v>
      </c>
      <c r="J4135" s="25" t="str">
        <f>IF(OR(E4135="",E4135="!!!",F4135="NEW"),"",COUNTBLANK(OFFSET(A$1,,,SUMPRODUCT(MAX(ROW(E$2:E4135)*(E4135=E$2:E4135)))))-COUNTBLANK(OFFSET(A$1,,,SUMPRODUCT(MAX(ROW(E$1:E4134)*(E2=E$1:E4134))))))</f>
        <v> </v>
      </c>
      <c r="K4135" s="25" t="str">
        <f>IF(OR(E4135="",E4135="!!!",F4135="NEW"),"",INDEX(J$1:J4134,SUMPRODUCT(MAX(ROW(E$1:E4134)*(E4135=E$1:E4134)))))</f>
        <v> </v>
      </c>
      <c r="L4135" s="26"/>
    </row>
    <row r="4136" spans="1:12">
      <c r="A4136" s="20" t="s">
        <v>874</v>
      </c>
      <c r="B4136" s="27" t="s">
        <v>823</v>
      </c>
      <c r="C4136" s="27" t="s">
        <v>733</v>
      </c>
      <c r="D4136" s="27" t="s">
        <v>694</v>
      </c>
      <c r="E4136" s="21">
        <f>IF(D4136="?OLD","!!!","")</f>
        <v/>
      </c>
      <c r="F4136" s="22" t="str">
        <f>IF(OR(E4136="",E4136="!!!"),"",IF(NOT(ISNA(VLOOKUP(E4136,E$1:E4135,1,FALSE()))),"OLD",IF(AND(E4136&lt;&gt;"",E4136&lt;&gt;"!!!"),"NEW","")))</f>
        <v> </v>
      </c>
      <c r="G4136" s="23" t="str">
        <f>IF(OR(E4136="",E4136="!!!"),"",IF(OR(J4136=0,AND(J4136=1,K4136=1),AND(J4136=1,I4136="SBJ"),AND(J4136=1,I4136=0)),"?IN_FOCUS",IF(J4136&lt;=2,"?ACTIVATED",IF(J4136&lt;&gt;"","?FAMILIAR",IF(F4136="NEW",IF(ISNA(VLOOKUP(E4136,#REF!,1,FALSE())),"?TYPE_IDENTIFIABLE","?REFERENTIAL"),"_")))))</f>
        <v> </v>
      </c>
      <c r="H4136" s="24" t="str">
        <f>IF(J4136&lt;&gt;1,"",IF(I4136="SBJ","CB","?"))</f>
        <v> </v>
      </c>
      <c r="I4136" s="25" t="str">
        <f>IF(OR(E4136="",E4136="!!!",F4136="NEW"),"",INDEX(B4135:B$2,-1+SUMPRODUCT(MAX(ROW(E4135:E$2)*(E4136=E4135:E$2)))))</f>
        <v> </v>
      </c>
      <c r="J4136" s="25" t="str">
        <f>IF(OR(E4136="",E4136="!!!",F4136="NEW"),"",COUNTBLANK(OFFSET(A$1,,,SUMPRODUCT(MAX(ROW(E$2:E4136)*(E4136=E$2:E4136)))))-COUNTBLANK(OFFSET(A$1,,,SUMPRODUCT(MAX(ROW(E$1:E4135)*(E2=E$1:E4135))))))</f>
        <v> </v>
      </c>
      <c r="K4136" s="25" t="str">
        <f>IF(OR(E4136="",E4136="!!!",F4136="NEW"),"",INDEX(J$1:J4135,SUMPRODUCT(MAX(ROW(E$1:E4135)*(E4136=E$1:E4135)))))</f>
        <v> </v>
      </c>
      <c r="L4136" s="26"/>
    </row>
    <row r="4137" spans="1:12">
      <c r="A4137" s="20" t="s">
        <v>1744</v>
      </c>
      <c r="E4137" s="21">
        <f>IF(D4137="?OLD","!!!","")</f>
        <v/>
      </c>
      <c r="F4137" s="22" t="str">
        <f>IF(OR(E4137="",E4137="!!!"),"",IF(NOT(ISNA(VLOOKUP(E4137,E$1:E4136,1,FALSE()))),"OLD",IF(AND(E4137&lt;&gt;"",E4137&lt;&gt;"!!!"),"NEW","")))</f>
        <v> </v>
      </c>
      <c r="G4137" s="23" t="str">
        <f>IF(OR(E4137="",E4137="!!!"),"",IF(OR(J4137=0,AND(J4137=1,K4137=1),AND(J4137=1,I4137="SBJ"),AND(J4137=1,I4137=0)),"?IN_FOCUS",IF(J4137&lt;=2,"?ACTIVATED",IF(J4137&lt;&gt;"","?FAMILIAR",IF(F4137="NEW",IF(ISNA(VLOOKUP(E4137,#REF!,1,FALSE())),"?TYPE_IDENTIFIABLE","?REFERENTIAL"),"_")))))</f>
        <v> </v>
      </c>
      <c r="H4137" s="24" t="str">
        <f>IF(J4137&lt;&gt;1,"",IF(I4137="SBJ","CB","?"))</f>
        <v> </v>
      </c>
      <c r="I4137" s="25" t="str">
        <f>IF(OR(E4137="",E4137="!!!",F4137="NEW"),"",INDEX(B4136:B$2,-1+SUMPRODUCT(MAX(ROW(E4136:E$2)*(E4137=E4136:E$2)))))</f>
        <v> </v>
      </c>
      <c r="J4137" s="25" t="str">
        <f>IF(OR(E4137="",E4137="!!!",F4137="NEW"),"",COUNTBLANK(OFFSET(A$1,,,SUMPRODUCT(MAX(ROW(E$2:E4137)*(E4137=E$2:E4137)))))-COUNTBLANK(OFFSET(A$1,,,SUMPRODUCT(MAX(ROW(E$1:E4136)*(E2=E$1:E4136))))))</f>
        <v> </v>
      </c>
      <c r="K4137" s="25" t="str">
        <f>IF(OR(E4137="",E4137="!!!",F4137="NEW"),"",INDEX(J$1:J4136,SUMPRODUCT(MAX(ROW(E$1:E4136)*(E4137=E$1:E4136)))))</f>
        <v> </v>
      </c>
      <c r="L4137" s="26"/>
    </row>
    <row r="4138" spans="1:12">
      <c r="A4138" s="20" t="s">
        <v>696</v>
      </c>
      <c r="E4138" s="21">
        <f>IF(D4138="?OLD","!!!","")</f>
        <v/>
      </c>
      <c r="F4138" s="22" t="str">
        <f>IF(OR(E4138="",E4138="!!!"),"",IF(NOT(ISNA(VLOOKUP(E4138,E$1:E4137,1,FALSE()))),"OLD",IF(AND(E4138&lt;&gt;"",E4138&lt;&gt;"!!!"),"NEW","")))</f>
        <v> </v>
      </c>
      <c r="G4138" s="23" t="str">
        <f>IF(OR(E4138="",E4138="!!!"),"",IF(OR(J4138=0,AND(J4138=1,K4138=1),AND(J4138=1,I4138="SBJ"),AND(J4138=1,I4138=0)),"?IN_FOCUS",IF(J4138&lt;=2,"?ACTIVATED",IF(J4138&lt;&gt;"","?FAMILIAR",IF(F4138="NEW",IF(ISNA(VLOOKUP(E4138,#REF!,1,FALSE())),"?TYPE_IDENTIFIABLE","?REFERENTIAL"),"_")))))</f>
        <v> </v>
      </c>
      <c r="H4138" s="24" t="str">
        <f>IF(J4138&lt;&gt;1,"",IF(I4138="SBJ","CB","?"))</f>
        <v> </v>
      </c>
      <c r="I4138" s="25" t="str">
        <f>IF(OR(E4138="",E4138="!!!",F4138="NEW"),"",INDEX(B4137:B$2,-1+SUMPRODUCT(MAX(ROW(E4137:E$2)*(E4138=E4137:E$2)))))</f>
        <v> </v>
      </c>
      <c r="J4138" s="25" t="str">
        <f>IF(OR(E4138="",E4138="!!!",F4138="NEW"),"",COUNTBLANK(OFFSET(A$1,,,SUMPRODUCT(MAX(ROW(E$2:E4138)*(E4138=E$2:E4138)))))-COUNTBLANK(OFFSET(A$1,,,SUMPRODUCT(MAX(ROW(E$1:E4137)*(E2=E$1:E4137))))))</f>
        <v> </v>
      </c>
      <c r="K4138" s="25" t="str">
        <f>IF(OR(E4138="",E4138="!!!",F4138="NEW"),"",INDEX(J$1:J4137,SUMPRODUCT(MAX(ROW(E$1:E4137)*(E4138=E$1:E4137)))))</f>
        <v> </v>
      </c>
      <c r="L4138" s="26"/>
    </row>
    <row r="4139" spans="1:12">
      <c r="A4139" s="20" t="s">
        <v>721</v>
      </c>
      <c r="E4139" s="21">
        <f>IF(D4139="?OLD","!!!","")</f>
        <v/>
      </c>
      <c r="F4139" s="22" t="str">
        <f>IF(OR(E4139="",E4139="!!!"),"",IF(NOT(ISNA(VLOOKUP(E4139,E$1:E4138,1,FALSE()))),"OLD",IF(AND(E4139&lt;&gt;"",E4139&lt;&gt;"!!!"),"NEW","")))</f>
        <v> </v>
      </c>
      <c r="G4139" s="23" t="str">
        <f>IF(OR(E4139="",E4139="!!!"),"",IF(OR(J4139=0,AND(J4139=1,K4139=1),AND(J4139=1,I4139="SBJ"),AND(J4139=1,I4139=0)),"?IN_FOCUS",IF(J4139&lt;=2,"?ACTIVATED",IF(J4139&lt;&gt;"","?FAMILIAR",IF(F4139="NEW",IF(ISNA(VLOOKUP(E4139,#REF!,1,FALSE())),"?TYPE_IDENTIFIABLE","?REFERENTIAL"),"_")))))</f>
        <v> </v>
      </c>
      <c r="H4139" s="24" t="str">
        <f>IF(J4139&lt;&gt;1,"",IF(I4139="SBJ","CB","?"))</f>
        <v> </v>
      </c>
      <c r="I4139" s="25" t="str">
        <f>IF(OR(E4139="",E4139="!!!",F4139="NEW"),"",INDEX(B4138:B$2,-1+SUMPRODUCT(MAX(ROW(E4138:E$2)*(E4139=E4138:E$2)))))</f>
        <v> </v>
      </c>
      <c r="J4139" s="25" t="str">
        <f>IF(OR(E4139="",E4139="!!!",F4139="NEW"),"",COUNTBLANK(OFFSET(A$1,,,SUMPRODUCT(MAX(ROW(E$2:E4139)*(E4139=E$2:E4139)))))-COUNTBLANK(OFFSET(A$1,,,SUMPRODUCT(MAX(ROW(E$1:E4138)*(E2=E$1:E4138))))))</f>
        <v> </v>
      </c>
      <c r="K4139" s="25" t="str">
        <f>IF(OR(E4139="",E4139="!!!",F4139="NEW"),"",INDEX(J$1:J4138,SUMPRODUCT(MAX(ROW(E$1:E4138)*(E4139=E$1:E4138)))))</f>
        <v> </v>
      </c>
      <c r="L4139" s="26"/>
    </row>
    <row r="4140" spans="1:12">
      <c r="A4140" s="20" t="s">
        <v>1727</v>
      </c>
      <c r="B4140" s="27" t="s">
        <v>737</v>
      </c>
      <c r="C4140" s="27" t="s">
        <v>693</v>
      </c>
      <c r="D4140" s="27" t="s">
        <v>694</v>
      </c>
      <c r="E4140" s="21">
        <f>IF(D4140="?OLD","!!!","")</f>
        <v/>
      </c>
      <c r="F4140" s="22" t="str">
        <f>IF(OR(E4140="",E4140="!!!"),"",IF(NOT(ISNA(VLOOKUP(E4140,E$1:E4139,1,FALSE()))),"OLD",IF(AND(E4140&lt;&gt;"",E4140&lt;&gt;"!!!"),"NEW","")))</f>
        <v> </v>
      </c>
      <c r="G4140" s="23" t="str">
        <f>IF(OR(E4140="",E4140="!!!"),"",IF(OR(J4140=0,AND(J4140=1,K4140=1),AND(J4140=1,I4140="SBJ"),AND(J4140=1,I4140=0)),"?IN_FOCUS",IF(J4140&lt;=2,"?ACTIVATED",IF(J4140&lt;&gt;"","?FAMILIAR",IF(F4140="NEW",IF(ISNA(VLOOKUP(E4140,#REF!,1,FALSE())),"?TYPE_IDENTIFIABLE","?REFERENTIAL"),"_")))))</f>
        <v> </v>
      </c>
      <c r="H4140" s="24" t="str">
        <f>IF(J4140&lt;&gt;1,"",IF(I4140="SBJ","CB","?"))</f>
        <v> </v>
      </c>
      <c r="I4140" s="25" t="str">
        <f>IF(OR(E4140="",E4140="!!!",F4140="NEW"),"",INDEX(B4139:B$2,-1+SUMPRODUCT(MAX(ROW(E4139:E$2)*(E4140=E4139:E$2)))))</f>
        <v> </v>
      </c>
      <c r="J4140" s="25" t="str">
        <f>IF(OR(E4140="",E4140="!!!",F4140="NEW"),"",COUNTBLANK(OFFSET(A$1,,,SUMPRODUCT(MAX(ROW(E$2:E4140)*(E4140=E$2:E4140)))))-COUNTBLANK(OFFSET(A$1,,,SUMPRODUCT(MAX(ROW(E$1:E4139)*(E2=E$1:E4139))))))</f>
        <v> </v>
      </c>
      <c r="K4140" s="25" t="str">
        <f>IF(OR(E4140="",E4140="!!!",F4140="NEW"),"",INDEX(J$1:J4139,SUMPRODUCT(MAX(ROW(E$1:E4139)*(E4140=E$1:E4139)))))</f>
        <v> </v>
      </c>
      <c r="L4140" s="26"/>
    </row>
    <row r="4141" spans="1:12">
      <c r="A4141" s="20" t="s">
        <v>1732</v>
      </c>
      <c r="E4141" s="21">
        <f>IF(D4141="?OLD","!!!","")</f>
        <v/>
      </c>
      <c r="F4141" s="22" t="str">
        <f>IF(OR(E4141="",E4141="!!!"),"",IF(NOT(ISNA(VLOOKUP(E4141,E$1:E4140,1,FALSE()))),"OLD",IF(AND(E4141&lt;&gt;"",E4141&lt;&gt;"!!!"),"NEW","")))</f>
        <v> </v>
      </c>
      <c r="G4141" s="23" t="str">
        <f>IF(OR(E4141="",E4141="!!!"),"",IF(OR(J4141=0,AND(J4141=1,K4141=1),AND(J4141=1,I4141="SBJ"),AND(J4141=1,I4141=0)),"?IN_FOCUS",IF(J4141&lt;=2,"?ACTIVATED",IF(J4141&lt;&gt;"","?FAMILIAR",IF(F4141="NEW",IF(ISNA(VLOOKUP(E4141,#REF!,1,FALSE())),"?TYPE_IDENTIFIABLE","?REFERENTIAL"),"_")))))</f>
        <v> </v>
      </c>
      <c r="H4141" s="24" t="str">
        <f>IF(J4141&lt;&gt;1,"",IF(I4141="SBJ","CB","?"))</f>
        <v> </v>
      </c>
      <c r="I4141" s="25" t="str">
        <f>IF(OR(E4141="",E4141="!!!",F4141="NEW"),"",INDEX(B4140:B$2,-1+SUMPRODUCT(MAX(ROW(E4140:E$2)*(E4141=E4140:E$2)))))</f>
        <v> </v>
      </c>
      <c r="J4141" s="25" t="str">
        <f>IF(OR(E4141="",E4141="!!!",F4141="NEW"),"",COUNTBLANK(OFFSET(A$1,,,SUMPRODUCT(MAX(ROW(E$2:E4141)*(E4141=E$2:E4141)))))-COUNTBLANK(OFFSET(A$1,,,SUMPRODUCT(MAX(ROW(E$1:E4140)*(E2=E$1:E4140))))))</f>
        <v> </v>
      </c>
      <c r="K4141" s="25" t="str">
        <f>IF(OR(E4141="",E4141="!!!",F4141="NEW"),"",INDEX(J$1:J4140,SUMPRODUCT(MAX(ROW(E$1:E4140)*(E4141=E$1:E4140)))))</f>
        <v> </v>
      </c>
      <c r="L4141" s="26"/>
    </row>
    <row r="4142" spans="1:12">
      <c r="A4142" s="20" t="s">
        <v>699</v>
      </c>
      <c r="E4142" s="21">
        <f>IF(D4142="?OLD","!!!","")</f>
        <v/>
      </c>
      <c r="F4142" s="22" t="str">
        <f>IF(OR(E4142="",E4142="!!!"),"",IF(NOT(ISNA(VLOOKUP(E4142,E$1:E4141,1,FALSE()))),"OLD",IF(AND(E4142&lt;&gt;"",E4142&lt;&gt;"!!!"),"NEW","")))</f>
        <v> </v>
      </c>
      <c r="G4142" s="23" t="str">
        <f>IF(OR(E4142="",E4142="!!!"),"",IF(OR(J4142=0,AND(J4142=1,K4142=1),AND(J4142=1,I4142="SBJ"),AND(J4142=1,I4142=0)),"?IN_FOCUS",IF(J4142&lt;=2,"?ACTIVATED",IF(J4142&lt;&gt;"","?FAMILIAR",IF(F4142="NEW",IF(ISNA(VLOOKUP(E4142,#REF!,1,FALSE())),"?TYPE_IDENTIFIABLE","?REFERENTIAL"),"_")))))</f>
        <v> </v>
      </c>
      <c r="H4142" s="24" t="str">
        <f>IF(J4142&lt;&gt;1,"",IF(I4142="SBJ","CB","?"))</f>
        <v> </v>
      </c>
      <c r="I4142" s="25" t="str">
        <f>IF(OR(E4142="",E4142="!!!",F4142="NEW"),"",INDEX(B4141:B$2,-1+SUMPRODUCT(MAX(ROW(E4141:E$2)*(E4142=E4141:E$2)))))</f>
        <v> </v>
      </c>
      <c r="J4142" s="25" t="str">
        <f>IF(OR(E4142="",E4142="!!!",F4142="NEW"),"",COUNTBLANK(OFFSET(A$1,,,SUMPRODUCT(MAX(ROW(E$2:E4142)*(E4142=E$2:E4142)))))-COUNTBLANK(OFFSET(A$1,,,SUMPRODUCT(MAX(ROW(E$1:E4141)*(E2=E$1:E4141))))))</f>
        <v> </v>
      </c>
      <c r="K4142" s="25" t="str">
        <f>IF(OR(E4142="",E4142="!!!",F4142="NEW"),"",INDEX(J$1:J4141,SUMPRODUCT(MAX(ROW(E$1:E4141)*(E4142=E$1:E4141)))))</f>
        <v> </v>
      </c>
      <c r="L4142" s="26"/>
    </row>
    <row r="4143" spans="1:12">
      <c r="A4143" s="20"/>
    </row>
    <row r="4144" spans="1:12">
      <c r="A4144" s="20" t="s">
        <v>1745</v>
      </c>
    </row>
    <row r="4145" spans="1:12">
      <c r="A4145" s="20" t="s">
        <v>994</v>
      </c>
      <c r="B4145" s="27" t="s">
        <v>692</v>
      </c>
      <c r="C4145" s="27" t="s">
        <v>819</v>
      </c>
      <c r="D4145" s="27" t="s">
        <v>694</v>
      </c>
      <c r="E4145" s="21">
        <f>IF(D4145="?OLD","!!!","")</f>
        <v/>
      </c>
      <c r="F4145" s="22" t="str">
        <f>IF(OR(E4145="",E4145="!!!"),"",IF(NOT(ISNA(VLOOKUP(E4145,E$1:E4144,1,FALSE()))),"OLD",IF(AND(E4145&lt;&gt;"",E4145&lt;&gt;"!!!"),"NEW","")))</f>
        <v> </v>
      </c>
      <c r="G4145" s="23" t="str">
        <f>IF(OR(E4145="",E4145="!!!"),"",IF(OR(J4145=0,AND(J4145=1,K4145=1),AND(J4145=1,I4145="SBJ"),AND(J4145=1,I4145=0)),"?IN_FOCUS",IF(J4145&lt;=2,"?ACTIVATED",IF(J4145&lt;&gt;"","?FAMILIAR",IF(F4145="NEW",IF(ISNA(VLOOKUP(E4145,#REF!,1,FALSE())),"?TYPE_IDENTIFIABLE","?REFERENTIAL"),"_")))))</f>
        <v> </v>
      </c>
      <c r="H4145" s="24" t="str">
        <f>IF(J4145&lt;&gt;1,"",IF(I4145="SBJ","CB","?"))</f>
        <v> </v>
      </c>
      <c r="I4145" s="25" t="str">
        <f>IF(OR(E4145="",E4145="!!!",F4145="NEW"),"",INDEX(B4144:B$2,-1+SUMPRODUCT(MAX(ROW(E4144:E$2)*(E4145=E4144:E$2)))))</f>
        <v> </v>
      </c>
      <c r="J4145" s="25" t="str">
        <f>IF(OR(E4145="",E4145="!!!",F4145="NEW"),"",COUNTBLANK(OFFSET(A$1,,,SUMPRODUCT(MAX(ROW(E$2:E4145)*(E4145=E$2:E4145)))))-COUNTBLANK(OFFSET(A$1,,,SUMPRODUCT(MAX(ROW(E$1:E4144)*(E2=E$1:E4144))))))</f>
        <v> </v>
      </c>
      <c r="K4145" s="25" t="str">
        <f>IF(OR(E4145="",E4145="!!!",F4145="NEW"),"",INDEX(J$1:J4144,SUMPRODUCT(MAX(ROW(E$1:E4144)*(E4145=E$1:E4144)))))</f>
        <v> </v>
      </c>
      <c r="L4145" s="26"/>
    </row>
    <row r="4146" spans="1:12">
      <c r="A4146" s="20" t="s">
        <v>1746</v>
      </c>
      <c r="E4146" s="21">
        <f>IF(D4146="?OLD","!!!","")</f>
        <v/>
      </c>
      <c r="F4146" s="22" t="str">
        <f>IF(OR(E4146="",E4146="!!!"),"",IF(NOT(ISNA(VLOOKUP(E4146,E$1:E4145,1,FALSE()))),"OLD",IF(AND(E4146&lt;&gt;"",E4146&lt;&gt;"!!!"),"NEW","")))</f>
        <v> </v>
      </c>
      <c r="G4146" s="23" t="str">
        <f>IF(OR(E4146="",E4146="!!!"),"",IF(OR(J4146=0,AND(J4146=1,K4146=1),AND(J4146=1,I4146="SBJ"),AND(J4146=1,I4146=0)),"?IN_FOCUS",IF(J4146&lt;=2,"?ACTIVATED",IF(J4146&lt;&gt;"","?FAMILIAR",IF(F4146="NEW",IF(ISNA(VLOOKUP(E4146,#REF!,1,FALSE())),"?TYPE_IDENTIFIABLE","?REFERENTIAL"),"_")))))</f>
        <v> </v>
      </c>
      <c r="H4146" s="24" t="str">
        <f>IF(J4146&lt;&gt;1,"",IF(I4146="SBJ","CB","?"))</f>
        <v> </v>
      </c>
      <c r="I4146" s="25" t="str">
        <f>IF(OR(E4146="",E4146="!!!",F4146="NEW"),"",INDEX(B4145:B$2,-1+SUMPRODUCT(MAX(ROW(E4145:E$2)*(E4146=E4145:E$2)))))</f>
        <v> </v>
      </c>
      <c r="J4146" s="25" t="str">
        <f>IF(OR(E4146="",E4146="!!!",F4146="NEW"),"",COUNTBLANK(OFFSET(A$1,,,SUMPRODUCT(MAX(ROW(E$2:E4146)*(E4146=E$2:E4146)))))-COUNTBLANK(OFFSET(A$1,,,SUMPRODUCT(MAX(ROW(E$1:E4145)*(E2=E$1:E4145))))))</f>
        <v> </v>
      </c>
      <c r="K4146" s="25" t="str">
        <f>IF(OR(E4146="",E4146="!!!",F4146="NEW"),"",INDEX(J$1:J4145,SUMPRODUCT(MAX(ROW(E$1:E4145)*(E4146=E$1:E4145)))))</f>
        <v> </v>
      </c>
      <c r="L4146" s="26"/>
    </row>
    <row r="4147" spans="1:12">
      <c r="A4147" s="20" t="s">
        <v>278</v>
      </c>
      <c r="E4147" s="21">
        <f>IF(D4147="?OLD","!!!","")</f>
        <v/>
      </c>
      <c r="F4147" s="22" t="str">
        <f>IF(OR(E4147="",E4147="!!!"),"",IF(NOT(ISNA(VLOOKUP(E4147,E$1:E4146,1,FALSE()))),"OLD",IF(AND(E4147&lt;&gt;"",E4147&lt;&gt;"!!!"),"NEW","")))</f>
        <v> </v>
      </c>
      <c r="G4147" s="23" t="str">
        <f>IF(OR(E4147="",E4147="!!!"),"",IF(OR(J4147=0,AND(J4147=1,K4147=1),AND(J4147=1,I4147="SBJ"),AND(J4147=1,I4147=0)),"?IN_FOCUS",IF(J4147&lt;=2,"?ACTIVATED",IF(J4147&lt;&gt;"","?FAMILIAR",IF(F4147="NEW",IF(ISNA(VLOOKUP(E4147,#REF!,1,FALSE())),"?TYPE_IDENTIFIABLE","?REFERENTIAL"),"_")))))</f>
        <v> </v>
      </c>
      <c r="H4147" s="24" t="str">
        <f>IF(J4147&lt;&gt;1,"",IF(I4147="SBJ","CB","?"))</f>
        <v> </v>
      </c>
      <c r="I4147" s="25" t="str">
        <f>IF(OR(E4147="",E4147="!!!",F4147="NEW"),"",INDEX(B4146:B$2,-1+SUMPRODUCT(MAX(ROW(E4146:E$2)*(E4147=E4146:E$2)))))</f>
        <v> </v>
      </c>
      <c r="J4147" s="25" t="str">
        <f>IF(OR(E4147="",E4147="!!!",F4147="NEW"),"",COUNTBLANK(OFFSET(A$1,,,SUMPRODUCT(MAX(ROW(E$2:E4147)*(E4147=E$2:E4147)))))-COUNTBLANK(OFFSET(A$1,,,SUMPRODUCT(MAX(ROW(E$1:E4146)*(E2=E$1:E4146))))))</f>
        <v> </v>
      </c>
      <c r="K4147" s="25" t="str">
        <f>IF(OR(E4147="",E4147="!!!",F4147="NEW"),"",INDEX(J$1:J4146,SUMPRODUCT(MAX(ROW(E$1:E4146)*(E4147=E$1:E4146)))))</f>
        <v> </v>
      </c>
      <c r="L4147" s="26"/>
    </row>
    <row r="4148" spans="1:12">
      <c r="A4148" s="20" t="s">
        <v>696</v>
      </c>
      <c r="E4148" s="21">
        <f>IF(D4148="?OLD","!!!","")</f>
        <v/>
      </c>
      <c r="F4148" s="22" t="str">
        <f>IF(OR(E4148="",E4148="!!!"),"",IF(NOT(ISNA(VLOOKUP(E4148,E$1:E4147,1,FALSE()))),"OLD",IF(AND(E4148&lt;&gt;"",E4148&lt;&gt;"!!!"),"NEW","")))</f>
        <v> </v>
      </c>
      <c r="G4148" s="23" t="str">
        <f>IF(OR(E4148="",E4148="!!!"),"",IF(OR(J4148=0,AND(J4148=1,K4148=1),AND(J4148=1,I4148="SBJ"),AND(J4148=1,I4148=0)),"?IN_FOCUS",IF(J4148&lt;=2,"?ACTIVATED",IF(J4148&lt;&gt;"","?FAMILIAR",IF(F4148="NEW",IF(ISNA(VLOOKUP(E4148,#REF!,1,FALSE())),"?TYPE_IDENTIFIABLE","?REFERENTIAL"),"_")))))</f>
        <v> </v>
      </c>
      <c r="H4148" s="24" t="str">
        <f>IF(J4148&lt;&gt;1,"",IF(I4148="SBJ","CB","?"))</f>
        <v> </v>
      </c>
      <c r="I4148" s="25" t="str">
        <f>IF(OR(E4148="",E4148="!!!",F4148="NEW"),"",INDEX(B4147:B$2,-1+SUMPRODUCT(MAX(ROW(E4147:E$2)*(E4148=E4147:E$2)))))</f>
        <v> </v>
      </c>
      <c r="J4148" s="25" t="str">
        <f>IF(OR(E4148="",E4148="!!!",F4148="NEW"),"",COUNTBLANK(OFFSET(A$1,,,SUMPRODUCT(MAX(ROW(E$2:E4148)*(E4148=E$2:E4148)))))-COUNTBLANK(OFFSET(A$1,,,SUMPRODUCT(MAX(ROW(E$1:E4147)*(E2=E$1:E4147))))))</f>
        <v> </v>
      </c>
      <c r="K4148" s="25" t="str">
        <f>IF(OR(E4148="",E4148="!!!",F4148="NEW"),"",INDEX(J$1:J4147,SUMPRODUCT(MAX(ROW(E$1:E4147)*(E4148=E$1:E4147)))))</f>
        <v> </v>
      </c>
      <c r="L4148" s="26"/>
    </row>
    <row r="4149" spans="1:12">
      <c r="A4149" s="20" t="s">
        <v>690</v>
      </c>
      <c r="E4149" s="21">
        <f>IF(D4149="?OLD","!!!","")</f>
        <v/>
      </c>
      <c r="F4149" s="22" t="str">
        <f>IF(OR(E4149="",E4149="!!!"),"",IF(NOT(ISNA(VLOOKUP(E4149,E$1:E4148,1,FALSE()))),"OLD",IF(AND(E4149&lt;&gt;"",E4149&lt;&gt;"!!!"),"NEW","")))</f>
        <v> </v>
      </c>
      <c r="G4149" s="23" t="str">
        <f>IF(OR(E4149="",E4149="!!!"),"",IF(OR(J4149=0,AND(J4149=1,K4149=1),AND(J4149=1,I4149="SBJ"),AND(J4149=1,I4149=0)),"?IN_FOCUS",IF(J4149&lt;=2,"?ACTIVATED",IF(J4149&lt;&gt;"","?FAMILIAR",IF(F4149="NEW",IF(ISNA(VLOOKUP(E4149,#REF!,1,FALSE())),"?TYPE_IDENTIFIABLE","?REFERENTIAL"),"_")))))</f>
        <v> </v>
      </c>
      <c r="H4149" s="24" t="str">
        <f>IF(J4149&lt;&gt;1,"",IF(I4149="SBJ","CB","?"))</f>
        <v> </v>
      </c>
      <c r="I4149" s="25" t="str">
        <f>IF(OR(E4149="",E4149="!!!",F4149="NEW"),"",INDEX(B4148:B$2,-1+SUMPRODUCT(MAX(ROW(E4148:E$2)*(E4149=E4148:E$2)))))</f>
        <v> </v>
      </c>
      <c r="J4149" s="25" t="str">
        <f>IF(OR(E4149="",E4149="!!!",F4149="NEW"),"",COUNTBLANK(OFFSET(A$1,,,SUMPRODUCT(MAX(ROW(E$2:E4149)*(E4149=E$2:E4149)))))-COUNTBLANK(OFFSET(A$1,,,SUMPRODUCT(MAX(ROW(E$1:E4148)*(E2=E$1:E4148))))))</f>
        <v> </v>
      </c>
      <c r="K4149" s="25" t="str">
        <f>IF(OR(E4149="",E4149="!!!",F4149="NEW"),"",INDEX(J$1:J4148,SUMPRODUCT(MAX(ROW(E$1:E4148)*(E4149=E$1:E4148)))))</f>
        <v> </v>
      </c>
      <c r="L4149" s="26"/>
    </row>
    <row r="4150" spans="1:12">
      <c r="A4150" s="20" t="s">
        <v>1255</v>
      </c>
      <c r="B4150" s="27" t="s">
        <v>737</v>
      </c>
      <c r="C4150" s="27" t="s">
        <v>693</v>
      </c>
      <c r="D4150" s="27" t="s">
        <v>694</v>
      </c>
      <c r="E4150" s="21">
        <f>IF(D4150="?OLD","!!!","")</f>
        <v/>
      </c>
      <c r="F4150" s="22" t="str">
        <f>IF(OR(E4150="",E4150="!!!"),"",IF(NOT(ISNA(VLOOKUP(E4150,E$1:E4149,1,FALSE()))),"OLD",IF(AND(E4150&lt;&gt;"",E4150&lt;&gt;"!!!"),"NEW","")))</f>
        <v> </v>
      </c>
      <c r="G4150" s="23" t="str">
        <f>IF(OR(E4150="",E4150="!!!"),"",IF(OR(J4150=0,AND(J4150=1,K4150=1),AND(J4150=1,I4150="SBJ"),AND(J4150=1,I4150=0)),"?IN_FOCUS",IF(J4150&lt;=2,"?ACTIVATED",IF(J4150&lt;&gt;"","?FAMILIAR",IF(F4150="NEW",IF(ISNA(VLOOKUP(E4150,#REF!,1,FALSE())),"?TYPE_IDENTIFIABLE","?REFERENTIAL"),"_")))))</f>
        <v> </v>
      </c>
      <c r="H4150" s="24" t="str">
        <f>IF(J4150&lt;&gt;1,"",IF(I4150="SBJ","CB","?"))</f>
        <v> </v>
      </c>
      <c r="I4150" s="25" t="str">
        <f>IF(OR(E4150="",E4150="!!!",F4150="NEW"),"",INDEX(B4149:B$2,-1+SUMPRODUCT(MAX(ROW(E4149:E$2)*(E4150=E4149:E$2)))))</f>
        <v> </v>
      </c>
      <c r="J4150" s="25" t="str">
        <f>IF(OR(E4150="",E4150="!!!",F4150="NEW"),"",COUNTBLANK(OFFSET(A$1,,,SUMPRODUCT(MAX(ROW(E$2:E4150)*(E4150=E$2:E4150)))))-COUNTBLANK(OFFSET(A$1,,,SUMPRODUCT(MAX(ROW(E$1:E4149)*(E2=E$1:E4149))))))</f>
        <v> </v>
      </c>
      <c r="K4150" s="25" t="str">
        <f>IF(OR(E4150="",E4150="!!!",F4150="NEW"),"",INDEX(J$1:J4149,SUMPRODUCT(MAX(ROW(E$1:E4149)*(E4150=E$1:E4149)))))</f>
        <v> </v>
      </c>
      <c r="L4150" s="26"/>
    </row>
    <row r="4151" spans="1:12">
      <c r="A4151" s="20" t="s">
        <v>725</v>
      </c>
      <c r="E4151" s="21">
        <f>IF(D4151="?OLD","!!!","")</f>
        <v/>
      </c>
      <c r="F4151" s="22" t="str">
        <f>IF(OR(E4151="",E4151="!!!"),"",IF(NOT(ISNA(VLOOKUP(E4151,E$1:E4150,1,FALSE()))),"OLD",IF(AND(E4151&lt;&gt;"",E4151&lt;&gt;"!!!"),"NEW","")))</f>
        <v> </v>
      </c>
      <c r="G4151" s="23" t="str">
        <f>IF(OR(E4151="",E4151="!!!"),"",IF(OR(J4151=0,AND(J4151=1,K4151=1),AND(J4151=1,I4151="SBJ"),AND(J4151=1,I4151=0)),"?IN_FOCUS",IF(J4151&lt;=2,"?ACTIVATED",IF(J4151&lt;&gt;"","?FAMILIAR",IF(F4151="NEW",IF(ISNA(VLOOKUP(E4151,#REF!,1,FALSE())),"?TYPE_IDENTIFIABLE","?REFERENTIAL"),"_")))))</f>
        <v> </v>
      </c>
      <c r="H4151" s="24" t="str">
        <f>IF(J4151&lt;&gt;1,"",IF(I4151="SBJ","CB","?"))</f>
        <v> </v>
      </c>
      <c r="I4151" s="25" t="str">
        <f>IF(OR(E4151="",E4151="!!!",F4151="NEW"),"",INDEX(B4150:B$2,-1+SUMPRODUCT(MAX(ROW(E4150:E$2)*(E4151=E4150:E$2)))))</f>
        <v> </v>
      </c>
      <c r="J4151" s="25" t="str">
        <f>IF(OR(E4151="",E4151="!!!",F4151="NEW"),"",COUNTBLANK(OFFSET(A$1,,,SUMPRODUCT(MAX(ROW(E$2:E4151)*(E4151=E$2:E4151)))))-COUNTBLANK(OFFSET(A$1,,,SUMPRODUCT(MAX(ROW(E$1:E4150)*(E2=E$1:E4150))))))</f>
        <v> </v>
      </c>
      <c r="K4151" s="25" t="str">
        <f>IF(OR(E4151="",E4151="!!!",F4151="NEW"),"",INDEX(J$1:J4150,SUMPRODUCT(MAX(ROW(E$1:E4150)*(E4151=E$1:E4150)))))</f>
        <v> </v>
      </c>
      <c r="L4151" s="26"/>
    </row>
    <row r="4152" spans="1:12">
      <c r="A4152" s="20" t="s">
        <v>885</v>
      </c>
      <c r="B4152" s="27" t="s">
        <v>823</v>
      </c>
      <c r="C4152" s="27" t="s">
        <v>707</v>
      </c>
      <c r="D4152" s="27" t="s">
        <v>694</v>
      </c>
      <c r="E4152" s="21">
        <f>IF(D4152="?OLD","!!!","")</f>
        <v/>
      </c>
      <c r="F4152" s="22" t="str">
        <f>IF(OR(E4152="",E4152="!!!"),"",IF(NOT(ISNA(VLOOKUP(E4152,E$1:E4151,1,FALSE()))),"OLD",IF(AND(E4152&lt;&gt;"",E4152&lt;&gt;"!!!"),"NEW","")))</f>
        <v> </v>
      </c>
      <c r="G4152" s="23" t="str">
        <f>IF(OR(E4152="",E4152="!!!"),"",IF(OR(J4152=0,AND(J4152=1,K4152=1),AND(J4152=1,I4152="SBJ"),AND(J4152=1,I4152=0)),"?IN_FOCUS",IF(J4152&lt;=2,"?ACTIVATED",IF(J4152&lt;&gt;"","?FAMILIAR",IF(F4152="NEW",IF(ISNA(VLOOKUP(E4152,#REF!,1,FALSE())),"?TYPE_IDENTIFIABLE","?REFERENTIAL"),"_")))))</f>
        <v> </v>
      </c>
      <c r="H4152" s="24" t="str">
        <f>IF(J4152&lt;&gt;1,"",IF(I4152="SBJ","CB","?"))</f>
        <v> </v>
      </c>
      <c r="I4152" s="25" t="str">
        <f>IF(OR(E4152="",E4152="!!!",F4152="NEW"),"",INDEX(B4151:B$2,-1+SUMPRODUCT(MAX(ROW(E4151:E$2)*(E4152=E4151:E$2)))))</f>
        <v> </v>
      </c>
      <c r="J4152" s="25" t="str">
        <f>IF(OR(E4152="",E4152="!!!",F4152="NEW"),"",COUNTBLANK(OFFSET(A$1,,,SUMPRODUCT(MAX(ROW(E$2:E4152)*(E4152=E$2:E4152)))))-COUNTBLANK(OFFSET(A$1,,,SUMPRODUCT(MAX(ROW(E$1:E4151)*(E2=E$1:E4151))))))</f>
        <v> </v>
      </c>
      <c r="K4152" s="25" t="str">
        <f>IF(OR(E4152="",E4152="!!!",F4152="NEW"),"",INDEX(J$1:J4151,SUMPRODUCT(MAX(ROW(E$1:E4151)*(E4152=E$1:E4151)))))</f>
        <v> </v>
      </c>
      <c r="L4152" s="26"/>
    </row>
    <row r="4153" spans="1:12">
      <c r="A4153" s="20" t="s">
        <v>1746</v>
      </c>
      <c r="E4153" s="21">
        <f>IF(D4153="?OLD","!!!","")</f>
        <v/>
      </c>
      <c r="F4153" s="22" t="str">
        <f>IF(OR(E4153="",E4153="!!!"),"",IF(NOT(ISNA(VLOOKUP(E4153,E$1:E4152,1,FALSE()))),"OLD",IF(AND(E4153&lt;&gt;"",E4153&lt;&gt;"!!!"),"NEW","")))</f>
        <v> </v>
      </c>
      <c r="G4153" s="23" t="str">
        <f>IF(OR(E4153="",E4153="!!!"),"",IF(OR(J4153=0,AND(J4153=1,K4153=1),AND(J4153=1,I4153="SBJ"),AND(J4153=1,I4153=0)),"?IN_FOCUS",IF(J4153&lt;=2,"?ACTIVATED",IF(J4153&lt;&gt;"","?FAMILIAR",IF(F4153="NEW",IF(ISNA(VLOOKUP(E4153,#REF!,1,FALSE())),"?TYPE_IDENTIFIABLE","?REFERENTIAL"),"_")))))</f>
        <v> </v>
      </c>
      <c r="H4153" s="24" t="str">
        <f>IF(J4153&lt;&gt;1,"",IF(I4153="SBJ","CB","?"))</f>
        <v> </v>
      </c>
      <c r="I4153" s="25" t="str">
        <f>IF(OR(E4153="",E4153="!!!",F4153="NEW"),"",INDEX(B4152:B$2,-1+SUMPRODUCT(MAX(ROW(E4152:E$2)*(E4153=E4152:E$2)))))</f>
        <v> </v>
      </c>
      <c r="J4153" s="25" t="str">
        <f>IF(OR(E4153="",E4153="!!!",F4153="NEW"),"",COUNTBLANK(OFFSET(A$1,,,SUMPRODUCT(MAX(ROW(E$2:E4153)*(E4153=E$2:E4153)))))-COUNTBLANK(OFFSET(A$1,,,SUMPRODUCT(MAX(ROW(E$1:E4152)*(E2=E$1:E4152))))))</f>
        <v> </v>
      </c>
      <c r="K4153" s="25" t="str">
        <f>IF(OR(E4153="",E4153="!!!",F4153="NEW"),"",INDEX(J$1:J4152,SUMPRODUCT(MAX(ROW(E$1:E4152)*(E4153=E$1:E4152)))))</f>
        <v> </v>
      </c>
      <c r="L4153" s="26"/>
    </row>
    <row r="4154" spans="1:12">
      <c r="A4154" s="20" t="s">
        <v>739</v>
      </c>
      <c r="E4154" s="21">
        <f>IF(D4154="?OLD","!!!","")</f>
        <v/>
      </c>
      <c r="F4154" s="22" t="str">
        <f>IF(OR(E4154="",E4154="!!!"),"",IF(NOT(ISNA(VLOOKUP(E4154,E$1:E4153,1,FALSE()))),"OLD",IF(AND(E4154&lt;&gt;"",E4154&lt;&gt;"!!!"),"NEW","")))</f>
        <v> </v>
      </c>
      <c r="G4154" s="23" t="str">
        <f>IF(OR(E4154="",E4154="!!!"),"",IF(OR(J4154=0,AND(J4154=1,K4154=1),AND(J4154=1,I4154="SBJ"),AND(J4154=1,I4154=0)),"?IN_FOCUS",IF(J4154&lt;=2,"?ACTIVATED",IF(J4154&lt;&gt;"","?FAMILIAR",IF(F4154="NEW",IF(ISNA(VLOOKUP(E4154,#REF!,1,FALSE())),"?TYPE_IDENTIFIABLE","?REFERENTIAL"),"_")))))</f>
        <v> </v>
      </c>
      <c r="H4154" s="24" t="str">
        <f>IF(J4154&lt;&gt;1,"",IF(I4154="SBJ","CB","?"))</f>
        <v> </v>
      </c>
      <c r="I4154" s="25" t="str">
        <f>IF(OR(E4154="",E4154="!!!",F4154="NEW"),"",INDEX(B4153:B$2,-1+SUMPRODUCT(MAX(ROW(E4153:E$2)*(E4154=E4153:E$2)))))</f>
        <v> </v>
      </c>
      <c r="J4154" s="25" t="str">
        <f>IF(OR(E4154="",E4154="!!!",F4154="NEW"),"",COUNTBLANK(OFFSET(A$1,,,SUMPRODUCT(MAX(ROW(E$2:E4154)*(E4154=E$2:E4154)))))-COUNTBLANK(OFFSET(A$1,,,SUMPRODUCT(MAX(ROW(E$1:E4153)*(E2=E$1:E4153))))))</f>
        <v> </v>
      </c>
      <c r="K4154" s="25" t="str">
        <f>IF(OR(E4154="",E4154="!!!",F4154="NEW"),"",INDEX(J$1:J4153,SUMPRODUCT(MAX(ROW(E$1:E4153)*(E4154=E$1:E4153)))))</f>
        <v> </v>
      </c>
      <c r="L4154" s="26"/>
    </row>
    <row r="4155" spans="1:12">
      <c r="A4155" s="20" t="s">
        <v>1747</v>
      </c>
      <c r="E4155" s="21">
        <f>IF(D4155="?OLD","!!!","")</f>
        <v/>
      </c>
      <c r="F4155" s="22" t="str">
        <f>IF(OR(E4155="",E4155="!!!"),"",IF(NOT(ISNA(VLOOKUP(E4155,E$1:E4154,1,FALSE()))),"OLD",IF(AND(E4155&lt;&gt;"",E4155&lt;&gt;"!!!"),"NEW","")))</f>
        <v> </v>
      </c>
      <c r="G4155" s="23" t="str">
        <f>IF(OR(E4155="",E4155="!!!"),"",IF(OR(J4155=0,AND(J4155=1,K4155=1),AND(J4155=1,I4155="SBJ"),AND(J4155=1,I4155=0)),"?IN_FOCUS",IF(J4155&lt;=2,"?ACTIVATED",IF(J4155&lt;&gt;"","?FAMILIAR",IF(F4155="NEW",IF(ISNA(VLOOKUP(E4155,#REF!,1,FALSE())),"?TYPE_IDENTIFIABLE","?REFERENTIAL"),"_")))))</f>
        <v> </v>
      </c>
      <c r="H4155" s="24" t="str">
        <f>IF(J4155&lt;&gt;1,"",IF(I4155="SBJ","CB","?"))</f>
        <v> </v>
      </c>
      <c r="I4155" s="25" t="str">
        <f>IF(OR(E4155="",E4155="!!!",F4155="NEW"),"",INDEX(B4154:B$2,-1+SUMPRODUCT(MAX(ROW(E4154:E$2)*(E4155=E4154:E$2)))))</f>
        <v> </v>
      </c>
      <c r="J4155" s="25" t="str">
        <f>IF(OR(E4155="",E4155="!!!",F4155="NEW"),"",COUNTBLANK(OFFSET(A$1,,,SUMPRODUCT(MAX(ROW(E$2:E4155)*(E4155=E$2:E4155)))))-COUNTBLANK(OFFSET(A$1,,,SUMPRODUCT(MAX(ROW(E$1:E4154)*(E2=E$1:E4154))))))</f>
        <v> </v>
      </c>
      <c r="K4155" s="25" t="str">
        <f>IF(OR(E4155="",E4155="!!!",F4155="NEW"),"",INDEX(J$1:J4154,SUMPRODUCT(MAX(ROW(E$1:E4154)*(E4155=E$1:E4154)))))</f>
        <v> </v>
      </c>
      <c r="L4155" s="26"/>
    </row>
    <row r="4156" spans="1:12">
      <c r="A4156" s="20" t="s">
        <v>725</v>
      </c>
      <c r="E4156" s="21">
        <f>IF(D4156="?OLD","!!!","")</f>
        <v/>
      </c>
      <c r="F4156" s="22" t="str">
        <f>IF(OR(E4156="",E4156="!!!"),"",IF(NOT(ISNA(VLOOKUP(E4156,E$1:E4155,1,FALSE()))),"OLD",IF(AND(E4156&lt;&gt;"",E4156&lt;&gt;"!!!"),"NEW","")))</f>
        <v> </v>
      </c>
      <c r="G4156" s="23" t="str">
        <f>IF(OR(E4156="",E4156="!!!"),"",IF(OR(J4156=0,AND(J4156=1,K4156=1),AND(J4156=1,I4156="SBJ"),AND(J4156=1,I4156=0)),"?IN_FOCUS",IF(J4156&lt;=2,"?ACTIVATED",IF(J4156&lt;&gt;"","?FAMILIAR",IF(F4156="NEW",IF(ISNA(VLOOKUP(E4156,#REF!,1,FALSE())),"?TYPE_IDENTIFIABLE","?REFERENTIAL"),"_")))))</f>
        <v> </v>
      </c>
      <c r="H4156" s="24" t="str">
        <f>IF(J4156&lt;&gt;1,"",IF(I4156="SBJ","CB","?"))</f>
        <v> </v>
      </c>
      <c r="I4156" s="25" t="str">
        <f>IF(OR(E4156="",E4156="!!!",F4156="NEW"),"",INDEX(B4155:B$2,-1+SUMPRODUCT(MAX(ROW(E4155:E$2)*(E4156=E4155:E$2)))))</f>
        <v> </v>
      </c>
      <c r="J4156" s="25" t="str">
        <f>IF(OR(E4156="",E4156="!!!",F4156="NEW"),"",COUNTBLANK(OFFSET(A$1,,,SUMPRODUCT(MAX(ROW(E$2:E4156)*(E4156=E$2:E4156)))))-COUNTBLANK(OFFSET(A$1,,,SUMPRODUCT(MAX(ROW(E$1:E4155)*(E2=E$1:E4155))))))</f>
        <v> </v>
      </c>
      <c r="K4156" s="25" t="str">
        <f>IF(OR(E4156="",E4156="!!!",F4156="NEW"),"",INDEX(J$1:J4155,SUMPRODUCT(MAX(ROW(E$1:E4155)*(E4156=E$1:E4155)))))</f>
        <v> </v>
      </c>
      <c r="L4156" s="26"/>
    </row>
    <row r="4157" spans="1:12">
      <c r="A4157" s="20" t="s">
        <v>996</v>
      </c>
      <c r="E4157" s="21">
        <f>IF(D4157="?OLD","!!!","")</f>
        <v/>
      </c>
      <c r="F4157" s="22" t="str">
        <f>IF(OR(E4157="",E4157="!!!"),"",IF(NOT(ISNA(VLOOKUP(E4157,E$1:E4156,1,FALSE()))),"OLD",IF(AND(E4157&lt;&gt;"",E4157&lt;&gt;"!!!"),"NEW","")))</f>
        <v> </v>
      </c>
      <c r="G4157" s="23" t="str">
        <f>IF(OR(E4157="",E4157="!!!"),"",IF(OR(J4157=0,AND(J4157=1,K4157=1),AND(J4157=1,I4157="SBJ"),AND(J4157=1,I4157=0)),"?IN_FOCUS",IF(J4157&lt;=2,"?ACTIVATED",IF(J4157&lt;&gt;"","?FAMILIAR",IF(F4157="NEW",IF(ISNA(VLOOKUP(E4157,#REF!,1,FALSE())),"?TYPE_IDENTIFIABLE","?REFERENTIAL"),"_")))))</f>
        <v> </v>
      </c>
      <c r="H4157" s="24" t="str">
        <f>IF(J4157&lt;&gt;1,"",IF(I4157="SBJ","CB","?"))</f>
        <v> </v>
      </c>
      <c r="I4157" s="25" t="str">
        <f>IF(OR(E4157="",E4157="!!!",F4157="NEW"),"",INDEX(B4156:B$2,-1+SUMPRODUCT(MAX(ROW(E4156:E$2)*(E4157=E4156:E$2)))))</f>
        <v> </v>
      </c>
      <c r="J4157" s="25" t="str">
        <f>IF(OR(E4157="",E4157="!!!",F4157="NEW"),"",COUNTBLANK(OFFSET(A$1,,,SUMPRODUCT(MAX(ROW(E$2:E4157)*(E4157=E$2:E4157)))))-COUNTBLANK(OFFSET(A$1,,,SUMPRODUCT(MAX(ROW(E$1:E4156)*(E2=E$1:E4156))))))</f>
        <v> </v>
      </c>
      <c r="K4157" s="25" t="str">
        <f>IF(OR(E4157="",E4157="!!!",F4157="NEW"),"",INDEX(J$1:J4156,SUMPRODUCT(MAX(ROW(E$1:E4156)*(E4157=E$1:E4156)))))</f>
        <v> </v>
      </c>
      <c r="L4157" s="26"/>
    </row>
    <row r="4158" spans="1:12">
      <c r="A4158" s="20" t="s">
        <v>885</v>
      </c>
      <c r="B4158" s="27" t="s">
        <v>709</v>
      </c>
      <c r="C4158" s="27" t="s">
        <v>707</v>
      </c>
      <c r="D4158" s="27" t="s">
        <v>694</v>
      </c>
      <c r="E4158" s="21">
        <f>IF(D4158="?OLD","!!!","")</f>
        <v/>
      </c>
      <c r="F4158" s="22" t="str">
        <f>IF(OR(E4158="",E4158="!!!"),"",IF(NOT(ISNA(VLOOKUP(E4158,E$1:E4157,1,FALSE()))),"OLD",IF(AND(E4158&lt;&gt;"",E4158&lt;&gt;"!!!"),"NEW","")))</f>
        <v> </v>
      </c>
      <c r="G4158" s="23" t="str">
        <f>IF(OR(E4158="",E4158="!!!"),"",IF(OR(J4158=0,AND(J4158=1,K4158=1),AND(J4158=1,I4158="SBJ"),AND(J4158=1,I4158=0)),"?IN_FOCUS",IF(J4158&lt;=2,"?ACTIVATED",IF(J4158&lt;&gt;"","?FAMILIAR",IF(F4158="NEW",IF(ISNA(VLOOKUP(E4158,#REF!,1,FALSE())),"?TYPE_IDENTIFIABLE","?REFERENTIAL"),"_")))))</f>
        <v> </v>
      </c>
      <c r="H4158" s="24" t="str">
        <f>IF(J4158&lt;&gt;1,"",IF(I4158="SBJ","CB","?"))</f>
        <v> </v>
      </c>
      <c r="I4158" s="25" t="str">
        <f>IF(OR(E4158="",E4158="!!!",F4158="NEW"),"",INDEX(B4157:B$2,-1+SUMPRODUCT(MAX(ROW(E4157:E$2)*(E4158=E4157:E$2)))))</f>
        <v> </v>
      </c>
      <c r="J4158" s="25" t="str">
        <f>IF(OR(E4158="",E4158="!!!",F4158="NEW"),"",COUNTBLANK(OFFSET(A$1,,,SUMPRODUCT(MAX(ROW(E$2:E4158)*(E4158=E$2:E4158)))))-COUNTBLANK(OFFSET(A$1,,,SUMPRODUCT(MAX(ROW(E$1:E4157)*(E2=E$1:E4157))))))</f>
        <v> </v>
      </c>
      <c r="K4158" s="25" t="str">
        <f>IF(OR(E4158="",E4158="!!!",F4158="NEW"),"",INDEX(J$1:J4157,SUMPRODUCT(MAX(ROW(E$1:E4157)*(E4158=E$1:E4157)))))</f>
        <v> </v>
      </c>
      <c r="L4158" s="26"/>
    </row>
    <row r="4159" spans="1:12">
      <c r="A4159" s="20" t="s">
        <v>759</v>
      </c>
      <c r="E4159" s="21">
        <f>IF(D4159="?OLD","!!!","")</f>
        <v/>
      </c>
      <c r="F4159" s="22" t="str">
        <f>IF(OR(E4159="",E4159="!!!"),"",IF(NOT(ISNA(VLOOKUP(E4159,E$1:E4158,1,FALSE()))),"OLD",IF(AND(E4159&lt;&gt;"",E4159&lt;&gt;"!!!"),"NEW","")))</f>
        <v> </v>
      </c>
      <c r="G4159" s="23" t="str">
        <f>IF(OR(E4159="",E4159="!!!"),"",IF(OR(J4159=0,AND(J4159=1,K4159=1),AND(J4159=1,I4159="SBJ"),AND(J4159=1,I4159=0)),"?IN_FOCUS",IF(J4159&lt;=2,"?ACTIVATED",IF(J4159&lt;&gt;"","?FAMILIAR",IF(F4159="NEW",IF(ISNA(VLOOKUP(E4159,#REF!,1,FALSE())),"?TYPE_IDENTIFIABLE","?REFERENTIAL"),"_")))))</f>
        <v> </v>
      </c>
      <c r="H4159" s="24" t="str">
        <f>IF(J4159&lt;&gt;1,"",IF(I4159="SBJ","CB","?"))</f>
        <v> </v>
      </c>
      <c r="I4159" s="25" t="str">
        <f>IF(OR(E4159="",E4159="!!!",F4159="NEW"),"",INDEX(B4158:B$2,-1+SUMPRODUCT(MAX(ROW(E4158:E$2)*(E4159=E4158:E$2)))))</f>
        <v> </v>
      </c>
      <c r="J4159" s="25" t="str">
        <f>IF(OR(E4159="",E4159="!!!",F4159="NEW"),"",COUNTBLANK(OFFSET(A$1,,,SUMPRODUCT(MAX(ROW(E$2:E4159)*(E4159=E$2:E4159)))))-COUNTBLANK(OFFSET(A$1,,,SUMPRODUCT(MAX(ROW(E$1:E4158)*(E2=E$1:E4158))))))</f>
        <v> </v>
      </c>
      <c r="K4159" s="25" t="str">
        <f>IF(OR(E4159="",E4159="!!!",F4159="NEW"),"",INDEX(J$1:J4158,SUMPRODUCT(MAX(ROW(E$1:E4158)*(E4159=E$1:E4158)))))</f>
        <v> </v>
      </c>
      <c r="L4159" s="26"/>
    </row>
    <row r="4160" spans="1:12">
      <c r="A4160" s="20" t="s">
        <v>266</v>
      </c>
      <c r="E4160" s="21">
        <f>IF(D4160="?OLD","!!!","")</f>
        <v/>
      </c>
      <c r="F4160" s="22" t="str">
        <f>IF(OR(E4160="",E4160="!!!"),"",IF(NOT(ISNA(VLOOKUP(E4160,E$1:E4159,1,FALSE()))),"OLD",IF(AND(E4160&lt;&gt;"",E4160&lt;&gt;"!!!"),"NEW","")))</f>
        <v> </v>
      </c>
      <c r="G4160" s="23" t="str">
        <f>IF(OR(E4160="",E4160="!!!"),"",IF(OR(J4160=0,AND(J4160=1,K4160=1),AND(J4160=1,I4160="SBJ"),AND(J4160=1,I4160=0)),"?IN_FOCUS",IF(J4160&lt;=2,"?ACTIVATED",IF(J4160&lt;&gt;"","?FAMILIAR",IF(F4160="NEW",IF(ISNA(VLOOKUP(E4160,#REF!,1,FALSE())),"?TYPE_IDENTIFIABLE","?REFERENTIAL"),"_")))))</f>
        <v> </v>
      </c>
      <c r="H4160" s="24" t="str">
        <f>IF(J4160&lt;&gt;1,"",IF(I4160="SBJ","CB","?"))</f>
        <v> </v>
      </c>
      <c r="I4160" s="25" t="str">
        <f>IF(OR(E4160="",E4160="!!!",F4160="NEW"),"",INDEX(B4159:B$2,-1+SUMPRODUCT(MAX(ROW(E4159:E$2)*(E4160=E4159:E$2)))))</f>
        <v> </v>
      </c>
      <c r="J4160" s="25" t="str">
        <f>IF(OR(E4160="",E4160="!!!",F4160="NEW"),"",COUNTBLANK(OFFSET(A$1,,,SUMPRODUCT(MAX(ROW(E$2:E4160)*(E4160=E$2:E4160)))))-COUNTBLANK(OFFSET(A$1,,,SUMPRODUCT(MAX(ROW(E$1:E4159)*(E2=E$1:E4159))))))</f>
        <v> </v>
      </c>
      <c r="K4160" s="25" t="str">
        <f>IF(OR(E4160="",E4160="!!!",F4160="NEW"),"",INDEX(J$1:J4159,SUMPRODUCT(MAX(ROW(E$1:E4159)*(E4160=E$1:E4159)))))</f>
        <v> </v>
      </c>
      <c r="L4160" s="26"/>
    </row>
    <row r="4161" spans="1:12">
      <c r="A4161" s="20" t="s">
        <v>696</v>
      </c>
      <c r="E4161" s="21">
        <f>IF(D4161="?OLD","!!!","")</f>
        <v/>
      </c>
      <c r="F4161" s="22" t="str">
        <f>IF(OR(E4161="",E4161="!!!"),"",IF(NOT(ISNA(VLOOKUP(E4161,E$1:E4160,1,FALSE()))),"OLD",IF(AND(E4161&lt;&gt;"",E4161&lt;&gt;"!!!"),"NEW","")))</f>
        <v> </v>
      </c>
      <c r="G4161" s="23" t="str">
        <f>IF(OR(E4161="",E4161="!!!"),"",IF(OR(J4161=0,AND(J4161=1,K4161=1),AND(J4161=1,I4161="SBJ"),AND(J4161=1,I4161=0)),"?IN_FOCUS",IF(J4161&lt;=2,"?ACTIVATED",IF(J4161&lt;&gt;"","?FAMILIAR",IF(F4161="NEW",IF(ISNA(VLOOKUP(E4161,#REF!,1,FALSE())),"?TYPE_IDENTIFIABLE","?REFERENTIAL"),"_")))))</f>
        <v> </v>
      </c>
      <c r="H4161" s="24" t="str">
        <f>IF(J4161&lt;&gt;1,"",IF(I4161="SBJ","CB","?"))</f>
        <v> </v>
      </c>
      <c r="I4161" s="25" t="str">
        <f>IF(OR(E4161="",E4161="!!!",F4161="NEW"),"",INDEX(B4160:B$2,-1+SUMPRODUCT(MAX(ROW(E4160:E$2)*(E4161=E4160:E$2)))))</f>
        <v> </v>
      </c>
      <c r="J4161" s="25" t="str">
        <f>IF(OR(E4161="",E4161="!!!",F4161="NEW"),"",COUNTBLANK(OFFSET(A$1,,,SUMPRODUCT(MAX(ROW(E$2:E4161)*(E4161=E$2:E4161)))))-COUNTBLANK(OFFSET(A$1,,,SUMPRODUCT(MAX(ROW(E$1:E4160)*(E2=E$1:E4160))))))</f>
        <v> </v>
      </c>
      <c r="K4161" s="25" t="str">
        <f>IF(OR(E4161="",E4161="!!!",F4161="NEW"),"",INDEX(J$1:J4160,SUMPRODUCT(MAX(ROW(E$1:E4160)*(E4161=E$1:E4160)))))</f>
        <v> </v>
      </c>
      <c r="L4161" s="26"/>
    </row>
    <row r="4162" spans="1:12">
      <c r="A4162" s="20" t="s">
        <v>721</v>
      </c>
      <c r="E4162" s="21">
        <f>IF(D4162="?OLD","!!!","")</f>
        <v/>
      </c>
      <c r="F4162" s="22" t="str">
        <f>IF(OR(E4162="",E4162="!!!"),"",IF(NOT(ISNA(VLOOKUP(E4162,E$1:E4161,1,FALSE()))),"OLD",IF(AND(E4162&lt;&gt;"",E4162&lt;&gt;"!!!"),"NEW","")))</f>
        <v> </v>
      </c>
      <c r="G4162" s="23" t="str">
        <f>IF(OR(E4162="",E4162="!!!"),"",IF(OR(J4162=0,AND(J4162=1,K4162=1),AND(J4162=1,I4162="SBJ"),AND(J4162=1,I4162=0)),"?IN_FOCUS",IF(J4162&lt;=2,"?ACTIVATED",IF(J4162&lt;&gt;"","?FAMILIAR",IF(F4162="NEW",IF(ISNA(VLOOKUP(E4162,#REF!,1,FALSE())),"?TYPE_IDENTIFIABLE","?REFERENTIAL"),"_")))))</f>
        <v> </v>
      </c>
      <c r="H4162" s="24" t="str">
        <f>IF(J4162&lt;&gt;1,"",IF(I4162="SBJ","CB","?"))</f>
        <v> </v>
      </c>
      <c r="I4162" s="25" t="str">
        <f>IF(OR(E4162="",E4162="!!!",F4162="NEW"),"",INDEX(B4161:B$2,-1+SUMPRODUCT(MAX(ROW(E4161:E$2)*(E4162=E4161:E$2)))))</f>
        <v> </v>
      </c>
      <c r="J4162" s="25" t="str">
        <f>IF(OR(E4162="",E4162="!!!",F4162="NEW"),"",COUNTBLANK(OFFSET(A$1,,,SUMPRODUCT(MAX(ROW(E$2:E4162)*(E4162=E$2:E4162)))))-COUNTBLANK(OFFSET(A$1,,,SUMPRODUCT(MAX(ROW(E$1:E4161)*(E2=E$1:E4161))))))</f>
        <v> </v>
      </c>
      <c r="K4162" s="25" t="str">
        <f>IF(OR(E4162="",E4162="!!!",F4162="NEW"),"",INDEX(J$1:J4161,SUMPRODUCT(MAX(ROW(E$1:E4161)*(E4162=E$1:E4161)))))</f>
        <v> </v>
      </c>
      <c r="L4162" s="26"/>
    </row>
    <row r="4163" spans="1:12">
      <c r="A4163" s="20" t="s">
        <v>1113</v>
      </c>
      <c r="B4163" s="27" t="s">
        <v>756</v>
      </c>
      <c r="C4163" s="27" t="s">
        <v>693</v>
      </c>
      <c r="D4163" s="27" t="s">
        <v>694</v>
      </c>
      <c r="E4163" s="21">
        <f>IF(D4163="?OLD","!!!","")</f>
        <v/>
      </c>
      <c r="F4163" s="22" t="str">
        <f>IF(OR(E4163="",E4163="!!!"),"",IF(NOT(ISNA(VLOOKUP(E4163,E$1:E4162,1,FALSE()))),"OLD",IF(AND(E4163&lt;&gt;"",E4163&lt;&gt;"!!!"),"NEW","")))</f>
        <v> </v>
      </c>
      <c r="G4163" s="23" t="str">
        <f>IF(OR(E4163="",E4163="!!!"),"",IF(OR(J4163=0,AND(J4163=1,K4163=1),AND(J4163=1,I4163="SBJ"),AND(J4163=1,I4163=0)),"?IN_FOCUS",IF(J4163&lt;=2,"?ACTIVATED",IF(J4163&lt;&gt;"","?FAMILIAR",IF(F4163="NEW",IF(ISNA(VLOOKUP(E4163,#REF!,1,FALSE())),"?TYPE_IDENTIFIABLE","?REFERENTIAL"),"_")))))</f>
        <v> </v>
      </c>
      <c r="H4163" s="24" t="str">
        <f>IF(J4163&lt;&gt;1,"",IF(I4163="SBJ","CB","?"))</f>
        <v> </v>
      </c>
      <c r="I4163" s="25" t="str">
        <f>IF(OR(E4163="",E4163="!!!",F4163="NEW"),"",INDEX(B4162:B$2,-1+SUMPRODUCT(MAX(ROW(E4162:E$2)*(E4163=E4162:E$2)))))</f>
        <v> </v>
      </c>
      <c r="J4163" s="25" t="str">
        <f>IF(OR(E4163="",E4163="!!!",F4163="NEW"),"",COUNTBLANK(OFFSET(A$1,,,SUMPRODUCT(MAX(ROW(E$2:E4163)*(E4163=E$2:E4163)))))-COUNTBLANK(OFFSET(A$1,,,SUMPRODUCT(MAX(ROW(E$1:E4162)*(E2=E$1:E4162))))))</f>
        <v> </v>
      </c>
      <c r="K4163" s="25" t="str">
        <f>IF(OR(E4163="",E4163="!!!",F4163="NEW"),"",INDEX(J$1:J4162,SUMPRODUCT(MAX(ROW(E$1:E4162)*(E4163=E$1:E4162)))))</f>
        <v> </v>
      </c>
      <c r="L4163" s="26"/>
    </row>
    <row r="4164" spans="1:12">
      <c r="A4164" s="20" t="s">
        <v>832</v>
      </c>
      <c r="E4164" s="21">
        <f>IF(D4164="?OLD","!!!","")</f>
        <v/>
      </c>
      <c r="F4164" s="22" t="str">
        <f>IF(OR(E4164="",E4164="!!!"),"",IF(NOT(ISNA(VLOOKUP(E4164,E$1:E4163,1,FALSE()))),"OLD",IF(AND(E4164&lt;&gt;"",E4164&lt;&gt;"!!!"),"NEW","")))</f>
        <v> </v>
      </c>
      <c r="G4164" s="23" t="str">
        <f>IF(OR(E4164="",E4164="!!!"),"",IF(OR(J4164=0,AND(J4164=1,K4164=1),AND(J4164=1,I4164="SBJ"),AND(J4164=1,I4164=0)),"?IN_FOCUS",IF(J4164&lt;=2,"?ACTIVATED",IF(J4164&lt;&gt;"","?FAMILIAR",IF(F4164="NEW",IF(ISNA(VLOOKUP(E4164,#REF!,1,FALSE())),"?TYPE_IDENTIFIABLE","?REFERENTIAL"),"_")))))</f>
        <v> </v>
      </c>
      <c r="H4164" s="24" t="str">
        <f>IF(J4164&lt;&gt;1,"",IF(I4164="SBJ","CB","?"))</f>
        <v> </v>
      </c>
      <c r="I4164" s="25" t="str">
        <f>IF(OR(E4164="",E4164="!!!",F4164="NEW"),"",INDEX(B4163:B$2,-1+SUMPRODUCT(MAX(ROW(E4163:E$2)*(E4164=E4163:E$2)))))</f>
        <v> </v>
      </c>
      <c r="J4164" s="25" t="str">
        <f>IF(OR(E4164="",E4164="!!!",F4164="NEW"),"",COUNTBLANK(OFFSET(A$1,,,SUMPRODUCT(MAX(ROW(E$2:E4164)*(E4164=E$2:E4164)))))-COUNTBLANK(OFFSET(A$1,,,SUMPRODUCT(MAX(ROW(E$1:E4163)*(E2=E$1:E4163))))))</f>
        <v> </v>
      </c>
      <c r="K4164" s="25" t="str">
        <f>IF(OR(E4164="",E4164="!!!",F4164="NEW"),"",INDEX(J$1:J4163,SUMPRODUCT(MAX(ROW(E$1:E4163)*(E4164=E$1:E4163)))))</f>
        <v> </v>
      </c>
      <c r="L4164" s="26"/>
    </row>
    <row r="4165" spans="1:12">
      <c r="A4165" s="20" t="s">
        <v>1748</v>
      </c>
      <c r="E4165" s="21">
        <f>IF(D4165="?OLD","!!!","")</f>
        <v/>
      </c>
      <c r="F4165" s="22" t="str">
        <f>IF(OR(E4165="",E4165="!!!"),"",IF(NOT(ISNA(VLOOKUP(E4165,E$1:E4164,1,FALSE()))),"OLD",IF(AND(E4165&lt;&gt;"",E4165&lt;&gt;"!!!"),"NEW","")))</f>
        <v> </v>
      </c>
      <c r="G4165" s="23" t="str">
        <f>IF(OR(E4165="",E4165="!!!"),"",IF(OR(J4165=0,AND(J4165=1,K4165=1),AND(J4165=1,I4165="SBJ"),AND(J4165=1,I4165=0)),"?IN_FOCUS",IF(J4165&lt;=2,"?ACTIVATED",IF(J4165&lt;&gt;"","?FAMILIAR",IF(F4165="NEW",IF(ISNA(VLOOKUP(E4165,#REF!,1,FALSE())),"?TYPE_IDENTIFIABLE","?REFERENTIAL"),"_")))))</f>
        <v> </v>
      </c>
      <c r="H4165" s="24" t="str">
        <f>IF(J4165&lt;&gt;1,"",IF(I4165="SBJ","CB","?"))</f>
        <v> </v>
      </c>
      <c r="I4165" s="25" t="str">
        <f>IF(OR(E4165="",E4165="!!!",F4165="NEW"),"",INDEX(B4164:B$2,-1+SUMPRODUCT(MAX(ROW(E4164:E$2)*(E4165=E4164:E$2)))))</f>
        <v> </v>
      </c>
      <c r="J4165" s="25" t="str">
        <f>IF(OR(E4165="",E4165="!!!",F4165="NEW"),"",COUNTBLANK(OFFSET(A$1,,,SUMPRODUCT(MAX(ROW(E$2:E4165)*(E4165=E$2:E4165)))))-COUNTBLANK(OFFSET(A$1,,,SUMPRODUCT(MAX(ROW(E$1:E4164)*(E2=E$1:E4164))))))</f>
        <v> </v>
      </c>
      <c r="K4165" s="25" t="str">
        <f>IF(OR(E4165="",E4165="!!!",F4165="NEW"),"",INDEX(J$1:J4164,SUMPRODUCT(MAX(ROW(E$1:E4164)*(E4165=E$1:E4164)))))</f>
        <v> </v>
      </c>
      <c r="L4165" s="26"/>
    </row>
    <row r="4166" spans="1:12">
      <c r="A4166" s="20" t="s">
        <v>690</v>
      </c>
      <c r="E4166" s="21">
        <f>IF(D4166="?OLD","!!!","")</f>
        <v/>
      </c>
      <c r="F4166" s="22" t="str">
        <f>IF(OR(E4166="",E4166="!!!"),"",IF(NOT(ISNA(VLOOKUP(E4166,E$1:E4165,1,FALSE()))),"OLD",IF(AND(E4166&lt;&gt;"",E4166&lt;&gt;"!!!"),"NEW","")))</f>
        <v> </v>
      </c>
      <c r="G4166" s="23" t="str">
        <f>IF(OR(E4166="",E4166="!!!"),"",IF(OR(J4166=0,AND(J4166=1,K4166=1),AND(J4166=1,I4166="SBJ"),AND(J4166=1,I4166=0)),"?IN_FOCUS",IF(J4166&lt;=2,"?ACTIVATED",IF(J4166&lt;&gt;"","?FAMILIAR",IF(F4166="NEW",IF(ISNA(VLOOKUP(E4166,#REF!,1,FALSE())),"?TYPE_IDENTIFIABLE","?REFERENTIAL"),"_")))))</f>
        <v> </v>
      </c>
      <c r="H4166" s="24" t="str">
        <f>IF(J4166&lt;&gt;1,"",IF(I4166="SBJ","CB","?"))</f>
        <v> </v>
      </c>
      <c r="I4166" s="25" t="str">
        <f>IF(OR(E4166="",E4166="!!!",F4166="NEW"),"",INDEX(B4165:B$2,-1+SUMPRODUCT(MAX(ROW(E4165:E$2)*(E4166=E4165:E$2)))))</f>
        <v> </v>
      </c>
      <c r="J4166" s="25" t="str">
        <f>IF(OR(E4166="",E4166="!!!",F4166="NEW"),"",COUNTBLANK(OFFSET(A$1,,,SUMPRODUCT(MAX(ROW(E$2:E4166)*(E4166=E$2:E4166)))))-COUNTBLANK(OFFSET(A$1,,,SUMPRODUCT(MAX(ROW(E$1:E4165)*(E2=E$1:E4165))))))</f>
        <v> </v>
      </c>
      <c r="K4166" s="25" t="str">
        <f>IF(OR(E4166="",E4166="!!!",F4166="NEW"),"",INDEX(J$1:J4165,SUMPRODUCT(MAX(ROW(E$1:E4165)*(E4166=E$1:E4165)))))</f>
        <v> </v>
      </c>
      <c r="L4166" s="26"/>
    </row>
    <row r="4167" spans="1:12">
      <c r="A4167" s="20" t="s">
        <v>697</v>
      </c>
      <c r="B4167" s="27" t="s">
        <v>892</v>
      </c>
      <c r="C4167" s="27" t="s">
        <v>693</v>
      </c>
      <c r="D4167" s="27" t="s">
        <v>694</v>
      </c>
      <c r="E4167" s="21">
        <f>IF(D4167="?OLD","!!!","")</f>
        <v/>
      </c>
      <c r="F4167" s="22" t="str">
        <f>IF(OR(E4167="",E4167="!!!"),"",IF(NOT(ISNA(VLOOKUP(E4167,E$1:E4166,1,FALSE()))),"OLD",IF(AND(E4167&lt;&gt;"",E4167&lt;&gt;"!!!"),"NEW","")))</f>
        <v> </v>
      </c>
      <c r="G4167" s="23" t="str">
        <f>IF(OR(E4167="",E4167="!!!"),"",IF(OR(J4167=0,AND(J4167=1,K4167=1),AND(J4167=1,I4167="SBJ"),AND(J4167=1,I4167=0)),"?IN_FOCUS",IF(J4167&lt;=2,"?ACTIVATED",IF(J4167&lt;&gt;"","?FAMILIAR",IF(F4167="NEW",IF(ISNA(VLOOKUP(E4167,#REF!,1,FALSE())),"?TYPE_IDENTIFIABLE","?REFERENTIAL"),"_")))))</f>
        <v> </v>
      </c>
      <c r="H4167" s="24" t="str">
        <f>IF(J4167&lt;&gt;1,"",IF(I4167="SBJ","CB","?"))</f>
        <v> </v>
      </c>
      <c r="I4167" s="25" t="str">
        <f>IF(OR(E4167="",E4167="!!!",F4167="NEW"),"",INDEX(B4166:B$2,-1+SUMPRODUCT(MAX(ROW(E4166:E$2)*(E4167=E4166:E$2)))))</f>
        <v> </v>
      </c>
      <c r="J4167" s="25" t="str">
        <f>IF(OR(E4167="",E4167="!!!",F4167="NEW"),"",COUNTBLANK(OFFSET(A$1,,,SUMPRODUCT(MAX(ROW(E$2:E4167)*(E4167=E$2:E4167)))))-COUNTBLANK(OFFSET(A$1,,,SUMPRODUCT(MAX(ROW(E$1:E4166)*(E2=E$1:E4166))))))</f>
        <v> </v>
      </c>
      <c r="K4167" s="25" t="str">
        <f>IF(OR(E4167="",E4167="!!!",F4167="NEW"),"",INDEX(J$1:J4166,SUMPRODUCT(MAX(ROW(E$1:E4166)*(E4167=E$1:E4166)))))</f>
        <v> </v>
      </c>
      <c r="L4167" s="26"/>
    </row>
    <row r="4168" spans="1:12">
      <c r="A4168" s="20" t="s">
        <v>725</v>
      </c>
      <c r="E4168" s="21">
        <f>IF(D4168="?OLD","!!!","")</f>
        <v/>
      </c>
      <c r="F4168" s="22" t="str">
        <f>IF(OR(E4168="",E4168="!!!"),"",IF(NOT(ISNA(VLOOKUP(E4168,E$1:E4167,1,FALSE()))),"OLD",IF(AND(E4168&lt;&gt;"",E4168&lt;&gt;"!!!"),"NEW","")))</f>
        <v> </v>
      </c>
      <c r="G4168" s="23" t="str">
        <f>IF(OR(E4168="",E4168="!!!"),"",IF(OR(J4168=0,AND(J4168=1,K4168=1),AND(J4168=1,I4168="SBJ"),AND(J4168=1,I4168=0)),"?IN_FOCUS",IF(J4168&lt;=2,"?ACTIVATED",IF(J4168&lt;&gt;"","?FAMILIAR",IF(F4168="NEW",IF(ISNA(VLOOKUP(E4168,#REF!,1,FALSE())),"?TYPE_IDENTIFIABLE","?REFERENTIAL"),"_")))))</f>
        <v> </v>
      </c>
      <c r="H4168" s="24" t="str">
        <f>IF(J4168&lt;&gt;1,"",IF(I4168="SBJ","CB","?"))</f>
        <v> </v>
      </c>
      <c r="I4168" s="25" t="str">
        <f>IF(OR(E4168="",E4168="!!!",F4168="NEW"),"",INDEX(B4167:B$2,-1+SUMPRODUCT(MAX(ROW(E4167:E$2)*(E4168=E4167:E$2)))))</f>
        <v> </v>
      </c>
      <c r="J4168" s="25" t="str">
        <f>IF(OR(E4168="",E4168="!!!",F4168="NEW"),"",COUNTBLANK(OFFSET(A$1,,,SUMPRODUCT(MAX(ROW(E$2:E4168)*(E4168=E$2:E4168)))))-COUNTBLANK(OFFSET(A$1,,,SUMPRODUCT(MAX(ROW(E$1:E4167)*(E2=E$1:E4167))))))</f>
        <v> </v>
      </c>
      <c r="K4168" s="25" t="str">
        <f>IF(OR(E4168="",E4168="!!!",F4168="NEW"),"",INDEX(J$1:J4167,SUMPRODUCT(MAX(ROW(E$1:E4167)*(E4168=E$1:E4167)))))</f>
        <v> </v>
      </c>
      <c r="L4168" s="26"/>
    </row>
    <row r="4169" spans="1:12">
      <c r="A4169" s="20" t="s">
        <v>865</v>
      </c>
      <c r="E4169" s="21">
        <f>IF(D4169="?OLD","!!!","")</f>
        <v/>
      </c>
      <c r="F4169" s="22" t="str">
        <f>IF(OR(E4169="",E4169="!!!"),"",IF(NOT(ISNA(VLOOKUP(E4169,E$1:E4168,1,FALSE()))),"OLD",IF(AND(E4169&lt;&gt;"",E4169&lt;&gt;"!!!"),"NEW","")))</f>
        <v> </v>
      </c>
      <c r="G4169" s="23" t="str">
        <f>IF(OR(E4169="",E4169="!!!"),"",IF(OR(J4169=0,AND(J4169=1,K4169=1),AND(J4169=1,I4169="SBJ"),AND(J4169=1,I4169=0)),"?IN_FOCUS",IF(J4169&lt;=2,"?ACTIVATED",IF(J4169&lt;&gt;"","?FAMILIAR",IF(F4169="NEW",IF(ISNA(VLOOKUP(E4169,#REF!,1,FALSE())),"?TYPE_IDENTIFIABLE","?REFERENTIAL"),"_")))))</f>
        <v> </v>
      </c>
      <c r="H4169" s="24" t="str">
        <f>IF(J4169&lt;&gt;1,"",IF(I4169="SBJ","CB","?"))</f>
        <v> </v>
      </c>
      <c r="I4169" s="25" t="str">
        <f>IF(OR(E4169="",E4169="!!!",F4169="NEW"),"",INDEX(B4168:B$2,-1+SUMPRODUCT(MAX(ROW(E4168:E$2)*(E4169=E4168:E$2)))))</f>
        <v> </v>
      </c>
      <c r="J4169" s="25" t="str">
        <f>IF(OR(E4169="",E4169="!!!",F4169="NEW"),"",COUNTBLANK(OFFSET(A$1,,,SUMPRODUCT(MAX(ROW(E$2:E4169)*(E4169=E$2:E4169)))))-COUNTBLANK(OFFSET(A$1,,,SUMPRODUCT(MAX(ROW(E$1:E4168)*(E2=E$1:E4168))))))</f>
        <v> </v>
      </c>
      <c r="K4169" s="25" t="str">
        <f>IF(OR(E4169="",E4169="!!!",F4169="NEW"),"",INDEX(J$1:J4168,SUMPRODUCT(MAX(ROW(E$1:E4168)*(E4169=E$1:E4168)))))</f>
        <v> </v>
      </c>
      <c r="L4169" s="26"/>
    </row>
    <row r="4170" spans="1:12">
      <c r="A4170" s="20" t="s">
        <v>741</v>
      </c>
      <c r="E4170" s="21">
        <f>IF(D4170="?OLD","!!!","")</f>
        <v/>
      </c>
      <c r="F4170" s="22" t="str">
        <f>IF(OR(E4170="",E4170="!!!"),"",IF(NOT(ISNA(VLOOKUP(E4170,E$1:E4169,1,FALSE()))),"OLD",IF(AND(E4170&lt;&gt;"",E4170&lt;&gt;"!!!"),"NEW","")))</f>
        <v> </v>
      </c>
      <c r="G4170" s="23" t="str">
        <f>IF(OR(E4170="",E4170="!!!"),"",IF(OR(J4170=0,AND(J4170=1,K4170=1),AND(J4170=1,I4170="SBJ"),AND(J4170=1,I4170=0)),"?IN_FOCUS",IF(J4170&lt;=2,"?ACTIVATED",IF(J4170&lt;&gt;"","?FAMILIAR",IF(F4170="NEW",IF(ISNA(VLOOKUP(E4170,#REF!,1,FALSE())),"?TYPE_IDENTIFIABLE","?REFERENTIAL"),"_")))))</f>
        <v> </v>
      </c>
      <c r="H4170" s="24" t="str">
        <f>IF(J4170&lt;&gt;1,"",IF(I4170="SBJ","CB","?"))</f>
        <v> </v>
      </c>
      <c r="I4170" s="25" t="str">
        <f>IF(OR(E4170="",E4170="!!!",F4170="NEW"),"",INDEX(B4169:B$2,-1+SUMPRODUCT(MAX(ROW(E4169:E$2)*(E4170=E4169:E$2)))))</f>
        <v> </v>
      </c>
      <c r="J4170" s="25" t="str">
        <f>IF(OR(E4170="",E4170="!!!",F4170="NEW"),"",COUNTBLANK(OFFSET(A$1,,,SUMPRODUCT(MAX(ROW(E$2:E4170)*(E4170=E$2:E4170)))))-COUNTBLANK(OFFSET(A$1,,,SUMPRODUCT(MAX(ROW(E$1:E4169)*(E2=E$1:E4169))))))</f>
        <v> </v>
      </c>
      <c r="K4170" s="25" t="str">
        <f>IF(OR(E4170="",E4170="!!!",F4170="NEW"),"",INDEX(J$1:J4169,SUMPRODUCT(MAX(ROW(E$1:E4169)*(E4170=E$1:E4169)))))</f>
        <v> </v>
      </c>
      <c r="L4170" s="26"/>
    </row>
    <row r="4171" spans="1:12">
      <c r="A4171" s="20" t="s">
        <v>996</v>
      </c>
      <c r="E4171" s="21">
        <f>IF(D4171="?OLD","!!!","")</f>
        <v/>
      </c>
      <c r="F4171" s="22" t="str">
        <f>IF(OR(E4171="",E4171="!!!"),"",IF(NOT(ISNA(VLOOKUP(E4171,E$1:E4170,1,FALSE()))),"OLD",IF(AND(E4171&lt;&gt;"",E4171&lt;&gt;"!!!"),"NEW","")))</f>
        <v> </v>
      </c>
      <c r="G4171" s="23" t="str">
        <f>IF(OR(E4171="",E4171="!!!"),"",IF(OR(J4171=0,AND(J4171=1,K4171=1),AND(J4171=1,I4171="SBJ"),AND(J4171=1,I4171=0)),"?IN_FOCUS",IF(J4171&lt;=2,"?ACTIVATED",IF(J4171&lt;&gt;"","?FAMILIAR",IF(F4171="NEW",IF(ISNA(VLOOKUP(E4171,#REF!,1,FALSE())),"?TYPE_IDENTIFIABLE","?REFERENTIAL"),"_")))))</f>
        <v> </v>
      </c>
      <c r="H4171" s="24" t="str">
        <f>IF(J4171&lt;&gt;1,"",IF(I4171="SBJ","CB","?"))</f>
        <v> </v>
      </c>
      <c r="I4171" s="25" t="str">
        <f>IF(OR(E4171="",E4171="!!!",F4171="NEW"),"",INDEX(B4170:B$2,-1+SUMPRODUCT(MAX(ROW(E4170:E$2)*(E4171=E4170:E$2)))))</f>
        <v> </v>
      </c>
      <c r="J4171" s="25" t="str">
        <f>IF(OR(E4171="",E4171="!!!",F4171="NEW"),"",COUNTBLANK(OFFSET(A$1,,,SUMPRODUCT(MAX(ROW(E$2:E4171)*(E4171=E$2:E4171)))))-COUNTBLANK(OFFSET(A$1,,,SUMPRODUCT(MAX(ROW(E$1:E4170)*(E2=E$1:E4170))))))</f>
        <v> </v>
      </c>
      <c r="K4171" s="25" t="str">
        <f>IF(OR(E4171="",E4171="!!!",F4171="NEW"),"",INDEX(J$1:J4170,SUMPRODUCT(MAX(ROW(E$1:E4170)*(E4171=E$1:E4170)))))</f>
        <v> </v>
      </c>
      <c r="L4171" s="26"/>
    </row>
    <row r="4172" spans="1:12">
      <c r="A4172" s="20" t="s">
        <v>885</v>
      </c>
      <c r="B4172" s="27" t="s">
        <v>804</v>
      </c>
      <c r="C4172" s="27" t="s">
        <v>707</v>
      </c>
      <c r="D4172" s="27" t="s">
        <v>694</v>
      </c>
      <c r="E4172" s="21">
        <f>IF(D4172="?OLD","!!!","")</f>
        <v/>
      </c>
      <c r="F4172" s="22" t="str">
        <f>IF(OR(E4172="",E4172="!!!"),"",IF(NOT(ISNA(VLOOKUP(E4172,E$1:E4171,1,FALSE()))),"OLD",IF(AND(E4172&lt;&gt;"",E4172&lt;&gt;"!!!"),"NEW","")))</f>
        <v> </v>
      </c>
      <c r="G4172" s="23" t="str">
        <f>IF(OR(E4172="",E4172="!!!"),"",IF(OR(J4172=0,AND(J4172=1,K4172=1),AND(J4172=1,I4172="SBJ"),AND(J4172=1,I4172=0)),"?IN_FOCUS",IF(J4172&lt;=2,"?ACTIVATED",IF(J4172&lt;&gt;"","?FAMILIAR",IF(F4172="NEW",IF(ISNA(VLOOKUP(E4172,#REF!,1,FALSE())),"?TYPE_IDENTIFIABLE","?REFERENTIAL"),"_")))))</f>
        <v> </v>
      </c>
      <c r="H4172" s="24" t="str">
        <f>IF(J4172&lt;&gt;1,"",IF(I4172="SBJ","CB","?"))</f>
        <v> </v>
      </c>
      <c r="I4172" s="25" t="str">
        <f>IF(OR(E4172="",E4172="!!!",F4172="NEW"),"",INDEX(B4171:B$2,-1+SUMPRODUCT(MAX(ROW(E4171:E$2)*(E4172=E4171:E$2)))))</f>
        <v> </v>
      </c>
      <c r="J4172" s="25" t="str">
        <f>IF(OR(E4172="",E4172="!!!",F4172="NEW"),"",COUNTBLANK(OFFSET(A$1,,,SUMPRODUCT(MAX(ROW(E$2:E4172)*(E4172=E$2:E4172)))))-COUNTBLANK(OFFSET(A$1,,,SUMPRODUCT(MAX(ROW(E$1:E4171)*(E2=E$1:E4171))))))</f>
        <v> </v>
      </c>
      <c r="K4172" s="25" t="str">
        <f>IF(OR(E4172="",E4172="!!!",F4172="NEW"),"",INDEX(J$1:J4171,SUMPRODUCT(MAX(ROW(E$1:E4171)*(E4172=E$1:E4171)))))</f>
        <v> </v>
      </c>
      <c r="L4172" s="26"/>
    </row>
    <row r="4173" spans="1:12">
      <c r="A4173" s="20" t="s">
        <v>759</v>
      </c>
      <c r="E4173" s="21">
        <f>IF(D4173="?OLD","!!!","")</f>
        <v/>
      </c>
      <c r="F4173" s="22" t="str">
        <f>IF(OR(E4173="",E4173="!!!"),"",IF(NOT(ISNA(VLOOKUP(E4173,E$1:E4172,1,FALSE()))),"OLD",IF(AND(E4173&lt;&gt;"",E4173&lt;&gt;"!!!"),"NEW","")))</f>
        <v> </v>
      </c>
      <c r="G4173" s="23" t="str">
        <f>IF(OR(E4173="",E4173="!!!"),"",IF(OR(J4173=0,AND(J4173=1,K4173=1),AND(J4173=1,I4173="SBJ"),AND(J4173=1,I4173=0)),"?IN_FOCUS",IF(J4173&lt;=2,"?ACTIVATED",IF(J4173&lt;&gt;"","?FAMILIAR",IF(F4173="NEW",IF(ISNA(VLOOKUP(E4173,#REF!,1,FALSE())),"?TYPE_IDENTIFIABLE","?REFERENTIAL"),"_")))))</f>
        <v> </v>
      </c>
      <c r="H4173" s="24" t="str">
        <f>IF(J4173&lt;&gt;1,"",IF(I4173="SBJ","CB","?"))</f>
        <v> </v>
      </c>
      <c r="I4173" s="25" t="str">
        <f>IF(OR(E4173="",E4173="!!!",F4173="NEW"),"",INDEX(B4172:B$2,-1+SUMPRODUCT(MAX(ROW(E4172:E$2)*(E4173=E4172:E$2)))))</f>
        <v> </v>
      </c>
      <c r="J4173" s="25" t="str">
        <f>IF(OR(E4173="",E4173="!!!",F4173="NEW"),"",COUNTBLANK(OFFSET(A$1,,,SUMPRODUCT(MAX(ROW(E$2:E4173)*(E4173=E$2:E4173)))))-COUNTBLANK(OFFSET(A$1,,,SUMPRODUCT(MAX(ROW(E$1:E4172)*(E2=E$1:E4172))))))</f>
        <v> </v>
      </c>
      <c r="K4173" s="25" t="str">
        <f>IF(OR(E4173="",E4173="!!!",F4173="NEW"),"",INDEX(J$1:J4172,SUMPRODUCT(MAX(ROW(E$1:E4172)*(E4173=E$1:E4172)))))</f>
        <v> </v>
      </c>
      <c r="L4173" s="26"/>
    </row>
    <row r="4174" spans="1:12">
      <c r="A4174" s="20" t="s">
        <v>696</v>
      </c>
      <c r="E4174" s="21">
        <f>IF(D4174="?OLD","!!!","")</f>
        <v/>
      </c>
      <c r="F4174" s="22" t="str">
        <f>IF(OR(E4174="",E4174="!!!"),"",IF(NOT(ISNA(VLOOKUP(E4174,E$1:E4173,1,FALSE()))),"OLD",IF(AND(E4174&lt;&gt;"",E4174&lt;&gt;"!!!"),"NEW","")))</f>
        <v> </v>
      </c>
      <c r="G4174" s="23" t="str">
        <f>IF(OR(E4174="",E4174="!!!"),"",IF(OR(J4174=0,AND(J4174=1,K4174=1),AND(J4174=1,I4174="SBJ"),AND(J4174=1,I4174=0)),"?IN_FOCUS",IF(J4174&lt;=2,"?ACTIVATED",IF(J4174&lt;&gt;"","?FAMILIAR",IF(F4174="NEW",IF(ISNA(VLOOKUP(E4174,#REF!,1,FALSE())),"?TYPE_IDENTIFIABLE","?REFERENTIAL"),"_")))))</f>
        <v> </v>
      </c>
      <c r="H4174" s="24" t="str">
        <f>IF(J4174&lt;&gt;1,"",IF(I4174="SBJ","CB","?"))</f>
        <v> </v>
      </c>
      <c r="I4174" s="25" t="str">
        <f>IF(OR(E4174="",E4174="!!!",F4174="NEW"),"",INDEX(B4173:B$2,-1+SUMPRODUCT(MAX(ROW(E4173:E$2)*(E4174=E4173:E$2)))))</f>
        <v> </v>
      </c>
      <c r="J4174" s="25" t="str">
        <f>IF(OR(E4174="",E4174="!!!",F4174="NEW"),"",COUNTBLANK(OFFSET(A$1,,,SUMPRODUCT(MAX(ROW(E$2:E4174)*(E4174=E$2:E4174)))))-COUNTBLANK(OFFSET(A$1,,,SUMPRODUCT(MAX(ROW(E$1:E4173)*(E2=E$1:E4173))))))</f>
        <v> </v>
      </c>
      <c r="K4174" s="25" t="str">
        <f>IF(OR(E4174="",E4174="!!!",F4174="NEW"),"",INDEX(J$1:J4173,SUMPRODUCT(MAX(ROW(E$1:E4173)*(E4174=E$1:E4173)))))</f>
        <v> </v>
      </c>
      <c r="L4174" s="26"/>
    </row>
    <row r="4175" spans="1:12">
      <c r="A4175" s="20" t="s">
        <v>721</v>
      </c>
      <c r="E4175" s="21">
        <f>IF(D4175="?OLD","!!!","")</f>
        <v/>
      </c>
      <c r="F4175" s="22" t="str">
        <f>IF(OR(E4175="",E4175="!!!"),"",IF(NOT(ISNA(VLOOKUP(E4175,E$1:E4174,1,FALSE()))),"OLD",IF(AND(E4175&lt;&gt;"",E4175&lt;&gt;"!!!"),"NEW","")))</f>
        <v> </v>
      </c>
      <c r="G4175" s="23" t="str">
        <f>IF(OR(E4175="",E4175="!!!"),"",IF(OR(J4175=0,AND(J4175=1,K4175=1),AND(J4175=1,I4175="SBJ"),AND(J4175=1,I4175=0)),"?IN_FOCUS",IF(J4175&lt;=2,"?ACTIVATED",IF(J4175&lt;&gt;"","?FAMILIAR",IF(F4175="NEW",IF(ISNA(VLOOKUP(E4175,#REF!,1,FALSE())),"?TYPE_IDENTIFIABLE","?REFERENTIAL"),"_")))))</f>
        <v> </v>
      </c>
      <c r="H4175" s="24" t="str">
        <f>IF(J4175&lt;&gt;1,"",IF(I4175="SBJ","CB","?"))</f>
        <v> </v>
      </c>
      <c r="I4175" s="25" t="str">
        <f>IF(OR(E4175="",E4175="!!!",F4175="NEW"),"",INDEX(B4174:B$2,-1+SUMPRODUCT(MAX(ROW(E4174:E$2)*(E4175=E4174:E$2)))))</f>
        <v> </v>
      </c>
      <c r="J4175" s="25" t="str">
        <f>IF(OR(E4175="",E4175="!!!",F4175="NEW"),"",COUNTBLANK(OFFSET(A$1,,,SUMPRODUCT(MAX(ROW(E$2:E4175)*(E4175=E$2:E4175)))))-COUNTBLANK(OFFSET(A$1,,,SUMPRODUCT(MAX(ROW(E$1:E4174)*(E2=E$1:E4174))))))</f>
        <v> </v>
      </c>
      <c r="K4175" s="25" t="str">
        <f>IF(OR(E4175="",E4175="!!!",F4175="NEW"),"",INDEX(J$1:J4174,SUMPRODUCT(MAX(ROW(E$1:E4174)*(E4175=E$1:E4174)))))</f>
        <v> </v>
      </c>
      <c r="L4175" s="26"/>
    </row>
    <row r="4176" spans="1:12">
      <c r="A4176" s="20" t="s">
        <v>1749</v>
      </c>
      <c r="B4176" s="27" t="s">
        <v>720</v>
      </c>
      <c r="C4176" s="27" t="s">
        <v>693</v>
      </c>
      <c r="D4176" s="27" t="s">
        <v>694</v>
      </c>
      <c r="E4176" s="21">
        <f>IF(D4176="?OLD","!!!","")</f>
        <v/>
      </c>
      <c r="F4176" s="22" t="str">
        <f>IF(OR(E4176="",E4176="!!!"),"",IF(NOT(ISNA(VLOOKUP(E4176,E$1:E4175,1,FALSE()))),"OLD",IF(AND(E4176&lt;&gt;"",E4176&lt;&gt;"!!!"),"NEW","")))</f>
        <v> </v>
      </c>
      <c r="G4176" s="23" t="str">
        <f>IF(OR(E4176="",E4176="!!!"),"",IF(OR(J4176=0,AND(J4176=1,K4176=1),AND(J4176=1,I4176="SBJ"),AND(J4176=1,I4176=0)),"?IN_FOCUS",IF(J4176&lt;=2,"?ACTIVATED",IF(J4176&lt;&gt;"","?FAMILIAR",IF(F4176="NEW",IF(ISNA(VLOOKUP(E4176,#REF!,1,FALSE())),"?TYPE_IDENTIFIABLE","?REFERENTIAL"),"_")))))</f>
        <v> </v>
      </c>
      <c r="H4176" s="24" t="str">
        <f>IF(J4176&lt;&gt;1,"",IF(I4176="SBJ","CB","?"))</f>
        <v> </v>
      </c>
      <c r="I4176" s="25" t="str">
        <f>IF(OR(E4176="",E4176="!!!",F4176="NEW"),"",INDEX(B4175:B$2,-1+SUMPRODUCT(MAX(ROW(E4175:E$2)*(E4176=E4175:E$2)))))</f>
        <v> </v>
      </c>
      <c r="J4176" s="25" t="str">
        <f>IF(OR(E4176="",E4176="!!!",F4176="NEW"),"",COUNTBLANK(OFFSET(A$1,,,SUMPRODUCT(MAX(ROW(E$2:E4176)*(E4176=E$2:E4176)))))-COUNTBLANK(OFFSET(A$1,,,SUMPRODUCT(MAX(ROW(E$1:E4175)*(E2=E$1:E4175))))))</f>
        <v> </v>
      </c>
      <c r="K4176" s="25" t="str">
        <f>IF(OR(E4176="",E4176="!!!",F4176="NEW"),"",INDEX(J$1:J4175,SUMPRODUCT(MAX(ROW(E$1:E4175)*(E4176=E$1:E4175)))))</f>
        <v> </v>
      </c>
      <c r="L4176" s="26"/>
    </row>
    <row r="4177" spans="1:12">
      <c r="A4177" s="20" t="s">
        <v>786</v>
      </c>
      <c r="E4177" s="21">
        <f>IF(D4177="?OLD","!!!","")</f>
        <v/>
      </c>
      <c r="F4177" s="22" t="str">
        <f>IF(OR(E4177="",E4177="!!!"),"",IF(NOT(ISNA(VLOOKUP(E4177,E$1:E4176,1,FALSE()))),"OLD",IF(AND(E4177&lt;&gt;"",E4177&lt;&gt;"!!!"),"NEW","")))</f>
        <v> </v>
      </c>
      <c r="G4177" s="23" t="str">
        <f>IF(OR(E4177="",E4177="!!!"),"",IF(OR(J4177=0,AND(J4177=1,K4177=1),AND(J4177=1,I4177="SBJ"),AND(J4177=1,I4177=0)),"?IN_FOCUS",IF(J4177&lt;=2,"?ACTIVATED",IF(J4177&lt;&gt;"","?FAMILIAR",IF(F4177="NEW",IF(ISNA(VLOOKUP(E4177,#REF!,1,FALSE())),"?TYPE_IDENTIFIABLE","?REFERENTIAL"),"_")))))</f>
        <v> </v>
      </c>
      <c r="H4177" s="24" t="str">
        <f>IF(J4177&lt;&gt;1,"",IF(I4177="SBJ","CB","?"))</f>
        <v> </v>
      </c>
      <c r="I4177" s="25" t="str">
        <f>IF(OR(E4177="",E4177="!!!",F4177="NEW"),"",INDEX(B4176:B$2,-1+SUMPRODUCT(MAX(ROW(E4176:E$2)*(E4177=E4176:E$2)))))</f>
        <v> </v>
      </c>
      <c r="J4177" s="25" t="str">
        <f>IF(OR(E4177="",E4177="!!!",F4177="NEW"),"",COUNTBLANK(OFFSET(A$1,,,SUMPRODUCT(MAX(ROW(E$2:E4177)*(E4177=E$2:E4177)))))-COUNTBLANK(OFFSET(A$1,,,SUMPRODUCT(MAX(ROW(E$1:E4176)*(E2=E$1:E4176))))))</f>
        <v> </v>
      </c>
      <c r="K4177" s="25" t="str">
        <f>IF(OR(E4177="",E4177="!!!",F4177="NEW"),"",INDEX(J$1:J4176,SUMPRODUCT(MAX(ROW(E$1:E4176)*(E4177=E$1:E4176)))))</f>
        <v> </v>
      </c>
      <c r="L4177" s="26"/>
    </row>
    <row r="4178" spans="1:12">
      <c r="A4178" s="20" t="s">
        <v>829</v>
      </c>
      <c r="E4178" s="21">
        <f>IF(D4178="?OLD","!!!","")</f>
        <v/>
      </c>
      <c r="F4178" s="22" t="str">
        <f>IF(OR(E4178="",E4178="!!!"),"",IF(NOT(ISNA(VLOOKUP(E4178,E$1:E4177,1,FALSE()))),"OLD",IF(AND(E4178&lt;&gt;"",E4178&lt;&gt;"!!!"),"NEW","")))</f>
        <v> </v>
      </c>
      <c r="G4178" s="23" t="str">
        <f>IF(OR(E4178="",E4178="!!!"),"",IF(OR(J4178=0,AND(J4178=1,K4178=1),AND(J4178=1,I4178="SBJ"),AND(J4178=1,I4178=0)),"?IN_FOCUS",IF(J4178&lt;=2,"?ACTIVATED",IF(J4178&lt;&gt;"","?FAMILIAR",IF(F4178="NEW",IF(ISNA(VLOOKUP(E4178,#REF!,1,FALSE())),"?TYPE_IDENTIFIABLE","?REFERENTIAL"),"_")))))</f>
        <v> </v>
      </c>
      <c r="H4178" s="24" t="str">
        <f>IF(J4178&lt;&gt;1,"",IF(I4178="SBJ","CB","?"))</f>
        <v> </v>
      </c>
      <c r="I4178" s="25" t="str">
        <f>IF(OR(E4178="",E4178="!!!",F4178="NEW"),"",INDEX(B4177:B$2,-1+SUMPRODUCT(MAX(ROW(E4177:E$2)*(E4178=E4177:E$2)))))</f>
        <v> </v>
      </c>
      <c r="J4178" s="25" t="str">
        <f>IF(OR(E4178="",E4178="!!!",F4178="NEW"),"",COUNTBLANK(OFFSET(A$1,,,SUMPRODUCT(MAX(ROW(E$2:E4178)*(E4178=E$2:E4178)))))-COUNTBLANK(OFFSET(A$1,,,SUMPRODUCT(MAX(ROW(E$1:E4177)*(E2=E$1:E4177))))))</f>
        <v> </v>
      </c>
      <c r="K4178" s="25" t="str">
        <f>IF(OR(E4178="",E4178="!!!",F4178="NEW"),"",INDEX(J$1:J4177,SUMPRODUCT(MAX(ROW(E$1:E4177)*(E4178=E$1:E4177)))))</f>
        <v> </v>
      </c>
      <c r="L4178" s="26"/>
    </row>
    <row r="4179" spans="1:12">
      <c r="A4179" s="20" t="s">
        <v>1750</v>
      </c>
      <c r="B4179" s="27" t="s">
        <v>720</v>
      </c>
      <c r="C4179" s="27" t="s">
        <v>693</v>
      </c>
      <c r="D4179" s="27" t="s">
        <v>694</v>
      </c>
      <c r="E4179" s="21">
        <f>IF(D4179="?OLD","!!!","")</f>
        <v/>
      </c>
      <c r="F4179" s="22" t="str">
        <f>IF(OR(E4179="",E4179="!!!"),"",IF(NOT(ISNA(VLOOKUP(E4179,E$1:E4178,1,FALSE()))),"OLD",IF(AND(E4179&lt;&gt;"",E4179&lt;&gt;"!!!"),"NEW","")))</f>
        <v> </v>
      </c>
      <c r="G4179" s="23" t="str">
        <f>IF(OR(E4179="",E4179="!!!"),"",IF(OR(J4179=0,AND(J4179=1,K4179=1),AND(J4179=1,I4179="SBJ"),AND(J4179=1,I4179=0)),"?IN_FOCUS",IF(J4179&lt;=2,"?ACTIVATED",IF(J4179&lt;&gt;"","?FAMILIAR",IF(F4179="NEW",IF(ISNA(VLOOKUP(E4179,#REF!,1,FALSE())),"?TYPE_IDENTIFIABLE","?REFERENTIAL"),"_")))))</f>
        <v> </v>
      </c>
      <c r="H4179" s="24" t="str">
        <f>IF(J4179&lt;&gt;1,"",IF(I4179="SBJ","CB","?"))</f>
        <v> </v>
      </c>
      <c r="I4179" s="25" t="str">
        <f>IF(OR(E4179="",E4179="!!!",F4179="NEW"),"",INDEX(B4178:B$2,-1+SUMPRODUCT(MAX(ROW(E4178:E$2)*(E4179=E4178:E$2)))))</f>
        <v> </v>
      </c>
      <c r="J4179" s="25" t="str">
        <f>IF(OR(E4179="",E4179="!!!",F4179="NEW"),"",COUNTBLANK(OFFSET(A$1,,,SUMPRODUCT(MAX(ROW(E$2:E4179)*(E4179=E$2:E4179)))))-COUNTBLANK(OFFSET(A$1,,,SUMPRODUCT(MAX(ROW(E$1:E4178)*(E2=E$1:E4178))))))</f>
        <v> </v>
      </c>
      <c r="K4179" s="25" t="str">
        <f>IF(OR(E4179="",E4179="!!!",F4179="NEW"),"",INDEX(J$1:J4178,SUMPRODUCT(MAX(ROW(E$1:E4178)*(E4179=E$1:E4178)))))</f>
        <v> </v>
      </c>
      <c r="L4179" s="26"/>
    </row>
    <row r="4180" spans="1:12">
      <c r="A4180" s="20" t="s">
        <v>696</v>
      </c>
      <c r="E4180" s="21">
        <f>IF(D4180="?OLD","!!!","")</f>
        <v/>
      </c>
      <c r="F4180" s="22" t="str">
        <f>IF(OR(E4180="",E4180="!!!"),"",IF(NOT(ISNA(VLOOKUP(E4180,E$1:E4179,1,FALSE()))),"OLD",IF(AND(E4180&lt;&gt;"",E4180&lt;&gt;"!!!"),"NEW","")))</f>
        <v> </v>
      </c>
      <c r="G4180" s="23" t="str">
        <f>IF(OR(E4180="",E4180="!!!"),"",IF(OR(J4180=0,AND(J4180=1,K4180=1),AND(J4180=1,I4180="SBJ"),AND(J4180=1,I4180=0)),"?IN_FOCUS",IF(J4180&lt;=2,"?ACTIVATED",IF(J4180&lt;&gt;"","?FAMILIAR",IF(F4180="NEW",IF(ISNA(VLOOKUP(E4180,#REF!,1,FALSE())),"?TYPE_IDENTIFIABLE","?REFERENTIAL"),"_")))))</f>
        <v> </v>
      </c>
      <c r="H4180" s="24" t="str">
        <f>IF(J4180&lt;&gt;1,"",IF(I4180="SBJ","CB","?"))</f>
        <v> </v>
      </c>
      <c r="I4180" s="25" t="str">
        <f>IF(OR(E4180="",E4180="!!!",F4180="NEW"),"",INDEX(B4179:B$2,-1+SUMPRODUCT(MAX(ROW(E4179:E$2)*(E4180=E4179:E$2)))))</f>
        <v> </v>
      </c>
      <c r="J4180" s="25" t="str">
        <f>IF(OR(E4180="",E4180="!!!",F4180="NEW"),"",COUNTBLANK(OFFSET(A$1,,,SUMPRODUCT(MAX(ROW(E$2:E4180)*(E4180=E$2:E4180)))))-COUNTBLANK(OFFSET(A$1,,,SUMPRODUCT(MAX(ROW(E$1:E4179)*(E2=E$1:E4179))))))</f>
        <v> </v>
      </c>
      <c r="K4180" s="25" t="str">
        <f>IF(OR(E4180="",E4180="!!!",F4180="NEW"),"",INDEX(J$1:J4179,SUMPRODUCT(MAX(ROW(E$1:E4179)*(E4180=E$1:E4179)))))</f>
        <v> </v>
      </c>
      <c r="L4180" s="26"/>
    </row>
    <row r="4181" spans="1:12">
      <c r="A4181" s="20" t="s">
        <v>747</v>
      </c>
      <c r="E4181" s="21">
        <f>IF(D4181="?OLD","!!!","")</f>
        <v/>
      </c>
      <c r="F4181" s="22" t="str">
        <f>IF(OR(E4181="",E4181="!!!"),"",IF(NOT(ISNA(VLOOKUP(E4181,E$1:E4180,1,FALSE()))),"OLD",IF(AND(E4181&lt;&gt;"",E4181&lt;&gt;"!!!"),"NEW","")))</f>
        <v> </v>
      </c>
      <c r="G4181" s="23" t="str">
        <f>IF(OR(E4181="",E4181="!!!"),"",IF(OR(J4181=0,AND(J4181=1,K4181=1),AND(J4181=1,I4181="SBJ"),AND(J4181=1,I4181=0)),"?IN_FOCUS",IF(J4181&lt;=2,"?ACTIVATED",IF(J4181&lt;&gt;"","?FAMILIAR",IF(F4181="NEW",IF(ISNA(VLOOKUP(E4181,#REF!,1,FALSE())),"?TYPE_IDENTIFIABLE","?REFERENTIAL"),"_")))))</f>
        <v> </v>
      </c>
      <c r="H4181" s="24" t="str">
        <f>IF(J4181&lt;&gt;1,"",IF(I4181="SBJ","CB","?"))</f>
        <v> </v>
      </c>
      <c r="I4181" s="25" t="str">
        <f>IF(OR(E4181="",E4181="!!!",F4181="NEW"),"",INDEX(B4180:B$2,-1+SUMPRODUCT(MAX(ROW(E4180:E$2)*(E4181=E4180:E$2)))))</f>
        <v> </v>
      </c>
      <c r="J4181" s="25" t="str">
        <f>IF(OR(E4181="",E4181="!!!",F4181="NEW"),"",COUNTBLANK(OFFSET(A$1,,,SUMPRODUCT(MAX(ROW(E$2:E4181)*(E4181=E$2:E4181)))))-COUNTBLANK(OFFSET(A$1,,,SUMPRODUCT(MAX(ROW(E$1:E4180)*(E2=E$1:E4180))))))</f>
        <v> </v>
      </c>
      <c r="K4181" s="25" t="str">
        <f>IF(OR(E4181="",E4181="!!!",F4181="NEW"),"",INDEX(J$1:J4180,SUMPRODUCT(MAX(ROW(E$1:E4180)*(E4181=E$1:E4180)))))</f>
        <v> </v>
      </c>
      <c r="L4181" s="26"/>
    </row>
    <row r="4182" spans="1:12">
      <c r="A4182" s="20" t="s">
        <v>864</v>
      </c>
      <c r="B4182" s="27" t="s">
        <v>724</v>
      </c>
      <c r="C4182" s="27" t="s">
        <v>693</v>
      </c>
      <c r="D4182" s="27" t="s">
        <v>694</v>
      </c>
      <c r="E4182" s="21">
        <f>IF(D4182="?OLD","!!!","")</f>
        <v/>
      </c>
      <c r="F4182" s="22" t="str">
        <f>IF(OR(E4182="",E4182="!!!"),"",IF(NOT(ISNA(VLOOKUP(E4182,E$1:E4181,1,FALSE()))),"OLD",IF(AND(E4182&lt;&gt;"",E4182&lt;&gt;"!!!"),"NEW","")))</f>
        <v> </v>
      </c>
      <c r="G4182" s="23" t="str">
        <f>IF(OR(E4182="",E4182="!!!"),"",IF(OR(J4182=0,AND(J4182=1,K4182=1),AND(J4182=1,I4182="SBJ"),AND(J4182=1,I4182=0)),"?IN_FOCUS",IF(J4182&lt;=2,"?ACTIVATED",IF(J4182&lt;&gt;"","?FAMILIAR",IF(F4182="NEW",IF(ISNA(VLOOKUP(E4182,#REF!,1,FALSE())),"?TYPE_IDENTIFIABLE","?REFERENTIAL"),"_")))))</f>
        <v> </v>
      </c>
      <c r="H4182" s="24" t="str">
        <f>IF(J4182&lt;&gt;1,"",IF(I4182="SBJ","CB","?"))</f>
        <v> </v>
      </c>
      <c r="I4182" s="25" t="str">
        <f>IF(OR(E4182="",E4182="!!!",F4182="NEW"),"",INDEX(B4181:B$2,-1+SUMPRODUCT(MAX(ROW(E4181:E$2)*(E4182=E4181:E$2)))))</f>
        <v> </v>
      </c>
      <c r="J4182" s="25" t="str">
        <f>IF(OR(E4182="",E4182="!!!",F4182="NEW"),"",COUNTBLANK(OFFSET(A$1,,,SUMPRODUCT(MAX(ROW(E$2:E4182)*(E4182=E$2:E4182)))))-COUNTBLANK(OFFSET(A$1,,,SUMPRODUCT(MAX(ROW(E$1:E4181)*(E2=E$1:E4181))))))</f>
        <v> </v>
      </c>
      <c r="K4182" s="25" t="str">
        <f>IF(OR(E4182="",E4182="!!!",F4182="NEW"),"",INDEX(J$1:J4181,SUMPRODUCT(MAX(ROW(E$1:E4181)*(E4182=E$1:E4181)))))</f>
        <v> </v>
      </c>
      <c r="L4182" s="26"/>
    </row>
    <row r="4183" spans="1:12">
      <c r="A4183" s="20" t="s">
        <v>699</v>
      </c>
      <c r="E4183" s="21">
        <f>IF(D4183="?OLD","!!!","")</f>
        <v/>
      </c>
      <c r="F4183" s="22" t="str">
        <f>IF(OR(E4183="",E4183="!!!"),"",IF(NOT(ISNA(VLOOKUP(E4183,E$1:E4182,1,FALSE()))),"OLD",IF(AND(E4183&lt;&gt;"",E4183&lt;&gt;"!!!"),"NEW","")))</f>
        <v> </v>
      </c>
      <c r="G4183" s="23" t="str">
        <f>IF(OR(E4183="",E4183="!!!"),"",IF(OR(J4183=0,AND(J4183=1,K4183=1),AND(J4183=1,I4183="SBJ"),AND(J4183=1,I4183=0)),"?IN_FOCUS",IF(J4183&lt;=2,"?ACTIVATED",IF(J4183&lt;&gt;"","?FAMILIAR",IF(F4183="NEW",IF(ISNA(VLOOKUP(E4183,#REF!,1,FALSE())),"?TYPE_IDENTIFIABLE","?REFERENTIAL"),"_")))))</f>
        <v> </v>
      </c>
      <c r="H4183" s="24" t="str">
        <f>IF(J4183&lt;&gt;1,"",IF(I4183="SBJ","CB","?"))</f>
        <v> </v>
      </c>
      <c r="I4183" s="25" t="str">
        <f>IF(OR(E4183="",E4183="!!!",F4183="NEW"),"",INDEX(B4182:B$2,-1+SUMPRODUCT(MAX(ROW(E4182:E$2)*(E4183=E4182:E$2)))))</f>
        <v> </v>
      </c>
      <c r="J4183" s="25" t="str">
        <f>IF(OR(E4183="",E4183="!!!",F4183="NEW"),"",COUNTBLANK(OFFSET(A$1,,,SUMPRODUCT(MAX(ROW(E$2:E4183)*(E4183=E$2:E4183)))))-COUNTBLANK(OFFSET(A$1,,,SUMPRODUCT(MAX(ROW(E$1:E4182)*(E2=E$1:E4182))))))</f>
        <v> </v>
      </c>
      <c r="K4183" s="25" t="str">
        <f>IF(OR(E4183="",E4183="!!!",F4183="NEW"),"",INDEX(J$1:J4182,SUMPRODUCT(MAX(ROW(E$1:E4182)*(E4183=E$1:E4182)))))</f>
        <v> </v>
      </c>
      <c r="L4183" s="26"/>
    </row>
    <row r="4184" spans="1:12">
      <c r="A4184" s="20"/>
    </row>
    <row r="4185" spans="1:12">
      <c r="A4185" s="20" t="s">
        <v>1751</v>
      </c>
    </row>
    <row r="4186" spans="1:12">
      <c r="A4186" s="20" t="s">
        <v>1312</v>
      </c>
      <c r="B4186" s="27" t="s">
        <v>692</v>
      </c>
      <c r="C4186" s="27" t="s">
        <v>733</v>
      </c>
      <c r="D4186" s="27" t="s">
        <v>694</v>
      </c>
      <c r="E4186" s="21">
        <f>IF(D4186="?OLD","!!!","")</f>
        <v/>
      </c>
      <c r="F4186" s="22" t="str">
        <f>IF(OR(E4186="",E4186="!!!"),"",IF(NOT(ISNA(VLOOKUP(E4186,E$1:E4185,1,FALSE()))),"OLD",IF(AND(E4186&lt;&gt;"",E4186&lt;&gt;"!!!"),"NEW","")))</f>
        <v> </v>
      </c>
      <c r="G4186" s="23" t="str">
        <f>IF(OR(E4186="",E4186="!!!"),"",IF(OR(J4186=0,AND(J4186=1,K4186=1),AND(J4186=1,I4186="SBJ"),AND(J4186=1,I4186=0)),"?IN_FOCUS",IF(J4186&lt;=2,"?ACTIVATED",IF(J4186&lt;&gt;"","?FAMILIAR",IF(F4186="NEW",IF(ISNA(VLOOKUP(E4186,#REF!,1,FALSE())),"?TYPE_IDENTIFIABLE","?REFERENTIAL"),"_")))))</f>
        <v> </v>
      </c>
      <c r="H4186" s="24" t="str">
        <f>IF(J4186&lt;&gt;1,"",IF(I4186="SBJ","CB","?"))</f>
        <v> </v>
      </c>
      <c r="I4186" s="25" t="str">
        <f>IF(OR(E4186="",E4186="!!!",F4186="NEW"),"",INDEX(B4185:B$2,-1+SUMPRODUCT(MAX(ROW(E4185:E$2)*(E4186=E4185:E$2)))))</f>
        <v> </v>
      </c>
      <c r="J4186" s="25" t="str">
        <f>IF(OR(E4186="",E4186="!!!",F4186="NEW"),"",COUNTBLANK(OFFSET(A$1,,,SUMPRODUCT(MAX(ROW(E$2:E4186)*(E4186=E$2:E4186)))))-COUNTBLANK(OFFSET(A$1,,,SUMPRODUCT(MAX(ROW(E$1:E4185)*(E2=E$1:E4185))))))</f>
        <v> </v>
      </c>
      <c r="K4186" s="25" t="str">
        <f>IF(OR(E4186="",E4186="!!!",F4186="NEW"),"",INDEX(J$1:J4185,SUMPRODUCT(MAX(ROW(E$1:E4185)*(E4186=E$1:E4185)))))</f>
        <v> </v>
      </c>
      <c r="L4186" s="26"/>
    </row>
    <row r="4187" spans="1:12">
      <c r="A4187" s="20" t="s">
        <v>1133</v>
      </c>
      <c r="E4187" s="21">
        <f>IF(D4187="?OLD","!!!","")</f>
        <v/>
      </c>
      <c r="F4187" s="22" t="str">
        <f>IF(OR(E4187="",E4187="!!!"),"",IF(NOT(ISNA(VLOOKUP(E4187,E$1:E4186,1,FALSE()))),"OLD",IF(AND(E4187&lt;&gt;"",E4187&lt;&gt;"!!!"),"NEW","")))</f>
        <v> </v>
      </c>
      <c r="G4187" s="23" t="str">
        <f>IF(OR(E4187="",E4187="!!!"),"",IF(OR(J4187=0,AND(J4187=1,K4187=1),AND(J4187=1,I4187="SBJ"),AND(J4187=1,I4187=0)),"?IN_FOCUS",IF(J4187&lt;=2,"?ACTIVATED",IF(J4187&lt;&gt;"","?FAMILIAR",IF(F4187="NEW",IF(ISNA(VLOOKUP(E4187,#REF!,1,FALSE())),"?TYPE_IDENTIFIABLE","?REFERENTIAL"),"_")))))</f>
        <v> </v>
      </c>
      <c r="H4187" s="24" t="str">
        <f>IF(J4187&lt;&gt;1,"",IF(I4187="SBJ","CB","?"))</f>
        <v> </v>
      </c>
      <c r="I4187" s="25" t="str">
        <f>IF(OR(E4187="",E4187="!!!",F4187="NEW"),"",INDEX(B4186:B$2,-1+SUMPRODUCT(MAX(ROW(E4186:E$2)*(E4187=E4186:E$2)))))</f>
        <v> </v>
      </c>
      <c r="J4187" s="25" t="str">
        <f>IF(OR(E4187="",E4187="!!!",F4187="NEW"),"",COUNTBLANK(OFFSET(A$1,,,SUMPRODUCT(MAX(ROW(E$2:E4187)*(E4187=E$2:E4187)))))-COUNTBLANK(OFFSET(A$1,,,SUMPRODUCT(MAX(ROW(E$1:E4186)*(E2=E$1:E4186))))))</f>
        <v> </v>
      </c>
      <c r="K4187" s="25" t="str">
        <f>IF(OR(E4187="",E4187="!!!",F4187="NEW"),"",INDEX(J$1:J4186,SUMPRODUCT(MAX(ROW(E$1:E4186)*(E4187=E$1:E4186)))))</f>
        <v> </v>
      </c>
      <c r="L4187" s="26"/>
    </row>
    <row r="4188" spans="1:12">
      <c r="A4188" s="20" t="s">
        <v>1752</v>
      </c>
      <c r="B4188" s="27" t="s">
        <v>698</v>
      </c>
      <c r="C4188" s="27" t="s">
        <v>716</v>
      </c>
      <c r="E4188" s="21">
        <f>IF(D4188="?OLD","!!!","")</f>
        <v/>
      </c>
      <c r="F4188" s="22" t="str">
        <f>IF(OR(E4188="",E4188="!!!"),"",IF(NOT(ISNA(VLOOKUP(E4188,E$1:E4187,1,FALSE()))),"OLD",IF(AND(E4188&lt;&gt;"",E4188&lt;&gt;"!!!"),"NEW","")))</f>
        <v> </v>
      </c>
      <c r="G4188" s="23" t="str">
        <f>IF(OR(E4188="",E4188="!!!"),"",IF(OR(J4188=0,AND(J4188=1,K4188=1),AND(J4188=1,I4188="SBJ"),AND(J4188=1,I4188=0)),"?IN_FOCUS",IF(J4188&lt;=2,"?ACTIVATED",IF(J4188&lt;&gt;"","?FAMILIAR",IF(F4188="NEW",IF(ISNA(VLOOKUP(E4188,#REF!,1,FALSE())),"?TYPE_IDENTIFIABLE","?REFERENTIAL"),"_")))))</f>
        <v> </v>
      </c>
      <c r="H4188" s="24" t="str">
        <f>IF(J4188&lt;&gt;1,"",IF(I4188="SBJ","CB","?"))</f>
        <v> </v>
      </c>
      <c r="I4188" s="25" t="str">
        <f>IF(OR(E4188="",E4188="!!!",F4188="NEW"),"",INDEX(B4187:B$2,-1+SUMPRODUCT(MAX(ROW(E4187:E$2)*(E4188=E4187:E$2)))))</f>
        <v> </v>
      </c>
      <c r="J4188" s="25" t="str">
        <f>IF(OR(E4188="",E4188="!!!",F4188="NEW"),"",COUNTBLANK(OFFSET(A$1,,,SUMPRODUCT(MAX(ROW(E$2:E4188)*(E4188=E$2:E4188)))))-COUNTBLANK(OFFSET(A$1,,,SUMPRODUCT(MAX(ROW(E$1:E4187)*(E2=E$1:E4187))))))</f>
        <v> </v>
      </c>
      <c r="K4188" s="25" t="str">
        <f>IF(OR(E4188="",E4188="!!!",F4188="NEW"),"",INDEX(J$1:J4187,SUMPRODUCT(MAX(ROW(E$1:E4187)*(E4188=E$1:E4187)))))</f>
        <v> </v>
      </c>
      <c r="L4188" s="26"/>
    </row>
    <row r="4189" spans="1:12">
      <c r="A4189" s="20" t="s">
        <v>696</v>
      </c>
      <c r="E4189" s="21">
        <f>IF(D4189="?OLD","!!!","")</f>
        <v/>
      </c>
      <c r="F4189" s="22" t="str">
        <f>IF(OR(E4189="",E4189="!!!"),"",IF(NOT(ISNA(VLOOKUP(E4189,E$1:E4188,1,FALSE()))),"OLD",IF(AND(E4189&lt;&gt;"",E4189&lt;&gt;"!!!"),"NEW","")))</f>
        <v> </v>
      </c>
      <c r="G4189" s="23" t="str">
        <f>IF(OR(E4189="",E4189="!!!"),"",IF(OR(J4189=0,AND(J4189=1,K4189=1),AND(J4189=1,I4189="SBJ"),AND(J4189=1,I4189=0)),"?IN_FOCUS",IF(J4189&lt;=2,"?ACTIVATED",IF(J4189&lt;&gt;"","?FAMILIAR",IF(F4189="NEW",IF(ISNA(VLOOKUP(E4189,#REF!,1,FALSE())),"?TYPE_IDENTIFIABLE","?REFERENTIAL"),"_")))))</f>
        <v> </v>
      </c>
      <c r="H4189" s="24" t="str">
        <f>IF(J4189&lt;&gt;1,"",IF(I4189="SBJ","CB","?"))</f>
        <v> </v>
      </c>
      <c r="I4189" s="25" t="str">
        <f>IF(OR(E4189="",E4189="!!!",F4189="NEW"),"",INDEX(B4188:B$2,-1+SUMPRODUCT(MAX(ROW(E4188:E$2)*(E4189=E4188:E$2)))))</f>
        <v> </v>
      </c>
      <c r="J4189" s="25" t="str">
        <f>IF(OR(E4189="",E4189="!!!",F4189="NEW"),"",COUNTBLANK(OFFSET(A$1,,,SUMPRODUCT(MAX(ROW(E$2:E4189)*(E4189=E$2:E4189)))))-COUNTBLANK(OFFSET(A$1,,,SUMPRODUCT(MAX(ROW(E$1:E4188)*(E2=E$1:E4188))))))</f>
        <v> </v>
      </c>
      <c r="K4189" s="25" t="str">
        <f>IF(OR(E4189="",E4189="!!!",F4189="NEW"),"",INDEX(J$1:J4188,SUMPRODUCT(MAX(ROW(E$1:E4188)*(E4189=E$1:E4188)))))</f>
        <v> </v>
      </c>
      <c r="L4189" s="26"/>
    </row>
    <row r="4190" spans="1:12">
      <c r="A4190" s="20" t="s">
        <v>145</v>
      </c>
      <c r="E4190" s="21">
        <f>IF(D4190="?OLD","!!!","")</f>
        <v/>
      </c>
      <c r="F4190" s="22" t="str">
        <f>IF(OR(E4190="",E4190="!!!"),"",IF(NOT(ISNA(VLOOKUP(E4190,E$1:E4189,1,FALSE()))),"OLD",IF(AND(E4190&lt;&gt;"",E4190&lt;&gt;"!!!"),"NEW","")))</f>
        <v> </v>
      </c>
      <c r="G4190" s="23" t="str">
        <f>IF(OR(E4190="",E4190="!!!"),"",IF(OR(J4190=0,AND(J4190=1,K4190=1),AND(J4190=1,I4190="SBJ"),AND(J4190=1,I4190=0)),"?IN_FOCUS",IF(J4190&lt;=2,"?ACTIVATED",IF(J4190&lt;&gt;"","?FAMILIAR",IF(F4190="NEW",IF(ISNA(VLOOKUP(E4190,#REF!,1,FALSE())),"?TYPE_IDENTIFIABLE","?REFERENTIAL"),"_")))))</f>
        <v> </v>
      </c>
      <c r="H4190" s="24" t="str">
        <f>IF(J4190&lt;&gt;1,"",IF(I4190="SBJ","CB","?"))</f>
        <v> </v>
      </c>
      <c r="I4190" s="25" t="str">
        <f>IF(OR(E4190="",E4190="!!!",F4190="NEW"),"",INDEX(B4189:B$2,-1+SUMPRODUCT(MAX(ROW(E4189:E$2)*(E4190=E4189:E$2)))))</f>
        <v> </v>
      </c>
      <c r="J4190" s="25" t="str">
        <f>IF(OR(E4190="",E4190="!!!",F4190="NEW"),"",COUNTBLANK(OFFSET(A$1,,,SUMPRODUCT(MAX(ROW(E$2:E4190)*(E4190=E$2:E4190)))))-COUNTBLANK(OFFSET(A$1,,,SUMPRODUCT(MAX(ROW(E$1:E4189)*(E2=E$1:E4189))))))</f>
        <v> </v>
      </c>
      <c r="K4190" s="25" t="str">
        <f>IF(OR(E4190="",E4190="!!!",F4190="NEW"),"",INDEX(J$1:J4189,SUMPRODUCT(MAX(ROW(E$1:E4189)*(E4190=E$1:E4189)))))</f>
        <v> </v>
      </c>
      <c r="L4190" s="26"/>
    </row>
    <row r="4191" spans="1:12">
      <c r="A4191" s="20" t="s">
        <v>262</v>
      </c>
      <c r="E4191" s="21">
        <f>IF(D4191="?OLD","!!!","")</f>
        <v/>
      </c>
      <c r="F4191" s="22" t="str">
        <f>IF(OR(E4191="",E4191="!!!"),"",IF(NOT(ISNA(VLOOKUP(E4191,E$1:E4190,1,FALSE()))),"OLD",IF(AND(E4191&lt;&gt;"",E4191&lt;&gt;"!!!"),"NEW","")))</f>
        <v> </v>
      </c>
      <c r="G4191" s="23" t="str">
        <f>IF(OR(E4191="",E4191="!!!"),"",IF(OR(J4191=0,AND(J4191=1,K4191=1),AND(J4191=1,I4191="SBJ"),AND(J4191=1,I4191=0)),"?IN_FOCUS",IF(J4191&lt;=2,"?ACTIVATED",IF(J4191&lt;&gt;"","?FAMILIAR",IF(F4191="NEW",IF(ISNA(VLOOKUP(E4191,#REF!,1,FALSE())),"?TYPE_IDENTIFIABLE","?REFERENTIAL"),"_")))))</f>
        <v> </v>
      </c>
      <c r="H4191" s="24" t="str">
        <f>IF(J4191&lt;&gt;1,"",IF(I4191="SBJ","CB","?"))</f>
        <v> </v>
      </c>
      <c r="I4191" s="25" t="str">
        <f>IF(OR(E4191="",E4191="!!!",F4191="NEW"),"",INDEX(B4190:B$2,-1+SUMPRODUCT(MAX(ROW(E4190:E$2)*(E4191=E4190:E$2)))))</f>
        <v> </v>
      </c>
      <c r="J4191" s="25" t="str">
        <f>IF(OR(E4191="",E4191="!!!",F4191="NEW"),"",COUNTBLANK(OFFSET(A$1,,,SUMPRODUCT(MAX(ROW(E$2:E4191)*(E4191=E$2:E4191)))))-COUNTBLANK(OFFSET(A$1,,,SUMPRODUCT(MAX(ROW(E$1:E4190)*(E2=E$1:E4190))))))</f>
        <v> </v>
      </c>
      <c r="K4191" s="25" t="str">
        <f>IF(OR(E4191="",E4191="!!!",F4191="NEW"),"",INDEX(J$1:J4190,SUMPRODUCT(MAX(ROW(E$1:E4190)*(E4191=E$1:E4190)))))</f>
        <v> </v>
      </c>
      <c r="L4191" s="26"/>
    </row>
    <row r="4192" spans="1:12">
      <c r="A4192" s="20" t="s">
        <v>1753</v>
      </c>
      <c r="B4192" s="27" t="s">
        <v>762</v>
      </c>
      <c r="C4192" s="27" t="s">
        <v>788</v>
      </c>
      <c r="D4192" s="27" t="s">
        <v>694</v>
      </c>
      <c r="E4192" s="21">
        <f>IF(D4192="?OLD","!!!","")</f>
        <v/>
      </c>
      <c r="F4192" s="22" t="str">
        <f>IF(OR(E4192="",E4192="!!!"),"",IF(NOT(ISNA(VLOOKUP(E4192,E$1:E4191,1,FALSE()))),"OLD",IF(AND(E4192&lt;&gt;"",E4192&lt;&gt;"!!!"),"NEW","")))</f>
        <v> </v>
      </c>
      <c r="G4192" s="23" t="str">
        <f>IF(OR(E4192="",E4192="!!!"),"",IF(OR(J4192=0,AND(J4192=1,K4192=1),AND(J4192=1,I4192="SBJ"),AND(J4192=1,I4192=0)),"?IN_FOCUS",IF(J4192&lt;=2,"?ACTIVATED",IF(J4192&lt;&gt;"","?FAMILIAR",IF(F4192="NEW",IF(ISNA(VLOOKUP(E4192,#REF!,1,FALSE())),"?TYPE_IDENTIFIABLE","?REFERENTIAL"),"_")))))</f>
        <v> </v>
      </c>
      <c r="H4192" s="24" t="str">
        <f>IF(J4192&lt;&gt;1,"",IF(I4192="SBJ","CB","?"))</f>
        <v> </v>
      </c>
      <c r="I4192" s="25" t="str">
        <f>IF(OR(E4192="",E4192="!!!",F4192="NEW"),"",INDEX(B4191:B$2,-1+SUMPRODUCT(MAX(ROW(E4191:E$2)*(E4192=E4191:E$2)))))</f>
        <v> </v>
      </c>
      <c r="J4192" s="25" t="str">
        <f>IF(OR(E4192="",E4192="!!!",F4192="NEW"),"",COUNTBLANK(OFFSET(A$1,,,SUMPRODUCT(MAX(ROW(E$2:E4192)*(E4192=E$2:E4192)))))-COUNTBLANK(OFFSET(A$1,,,SUMPRODUCT(MAX(ROW(E$1:E4191)*(E2=E$1:E4191))))))</f>
        <v> </v>
      </c>
      <c r="K4192" s="25" t="str">
        <f>IF(OR(E4192="",E4192="!!!",F4192="NEW"),"",INDEX(J$1:J4191,SUMPRODUCT(MAX(ROW(E$1:E4191)*(E4192=E$1:E4191)))))</f>
        <v> </v>
      </c>
      <c r="L4192" s="26"/>
    </row>
    <row r="4193" spans="1:12">
      <c r="A4193" s="20" t="s">
        <v>1754</v>
      </c>
      <c r="E4193" s="21">
        <f>IF(D4193="?OLD","!!!","")</f>
        <v/>
      </c>
      <c r="F4193" s="22" t="str">
        <f>IF(OR(E4193="",E4193="!!!"),"",IF(NOT(ISNA(VLOOKUP(E4193,E$1:E4192,1,FALSE()))),"OLD",IF(AND(E4193&lt;&gt;"",E4193&lt;&gt;"!!!"),"NEW","")))</f>
        <v> </v>
      </c>
      <c r="G4193" s="23" t="str">
        <f>IF(OR(E4193="",E4193="!!!"),"",IF(OR(J4193=0,AND(J4193=1,K4193=1),AND(J4193=1,I4193="SBJ"),AND(J4193=1,I4193=0)),"?IN_FOCUS",IF(J4193&lt;=2,"?ACTIVATED",IF(J4193&lt;&gt;"","?FAMILIAR",IF(F4193="NEW",IF(ISNA(VLOOKUP(E4193,#REF!,1,FALSE())),"?TYPE_IDENTIFIABLE","?REFERENTIAL"),"_")))))</f>
        <v> </v>
      </c>
      <c r="H4193" s="24" t="str">
        <f>IF(J4193&lt;&gt;1,"",IF(I4193="SBJ","CB","?"))</f>
        <v> </v>
      </c>
      <c r="I4193" s="25" t="str">
        <f>IF(OR(E4193="",E4193="!!!",F4193="NEW"),"",INDEX(B4192:B$2,-1+SUMPRODUCT(MAX(ROW(E4192:E$2)*(E4193=E4192:E$2)))))</f>
        <v> </v>
      </c>
      <c r="J4193" s="25" t="str">
        <f>IF(OR(E4193="",E4193="!!!",F4193="NEW"),"",COUNTBLANK(OFFSET(A$1,,,SUMPRODUCT(MAX(ROW(E$2:E4193)*(E4193=E$2:E4193)))))-COUNTBLANK(OFFSET(A$1,,,SUMPRODUCT(MAX(ROW(E$1:E4192)*(E2=E$1:E4192))))))</f>
        <v> </v>
      </c>
      <c r="K4193" s="25" t="str">
        <f>IF(OR(E4193="",E4193="!!!",F4193="NEW"),"",INDEX(J$1:J4192,SUMPRODUCT(MAX(ROW(E$1:E4192)*(E4193=E$1:E4192)))))</f>
        <v> </v>
      </c>
      <c r="L4193" s="26"/>
    </row>
    <row r="4194" spans="1:12">
      <c r="A4194" s="20" t="s">
        <v>699</v>
      </c>
      <c r="E4194" s="21">
        <f>IF(D4194="?OLD","!!!","")</f>
        <v/>
      </c>
      <c r="F4194" s="22" t="str">
        <f>IF(OR(E4194="",E4194="!!!"),"",IF(NOT(ISNA(VLOOKUP(E4194,E$1:E4193,1,FALSE()))),"OLD",IF(AND(E4194&lt;&gt;"",E4194&lt;&gt;"!!!"),"NEW","")))</f>
        <v> </v>
      </c>
      <c r="G4194" s="23" t="str">
        <f>IF(OR(E4194="",E4194="!!!"),"",IF(OR(J4194=0,AND(J4194=1,K4194=1),AND(J4194=1,I4194="SBJ"),AND(J4194=1,I4194=0)),"?IN_FOCUS",IF(J4194&lt;=2,"?ACTIVATED",IF(J4194&lt;&gt;"","?FAMILIAR",IF(F4194="NEW",IF(ISNA(VLOOKUP(E4194,#REF!,1,FALSE())),"?TYPE_IDENTIFIABLE","?REFERENTIAL"),"_")))))</f>
        <v> </v>
      </c>
      <c r="H4194" s="24" t="str">
        <f>IF(J4194&lt;&gt;1,"",IF(I4194="SBJ","CB","?"))</f>
        <v> </v>
      </c>
      <c r="I4194" s="25" t="str">
        <f>IF(OR(E4194="",E4194="!!!",F4194="NEW"),"",INDEX(B4193:B$2,-1+SUMPRODUCT(MAX(ROW(E4193:E$2)*(E4194=E4193:E$2)))))</f>
        <v> </v>
      </c>
      <c r="J4194" s="25" t="str">
        <f>IF(OR(E4194="",E4194="!!!",F4194="NEW"),"",COUNTBLANK(OFFSET(A$1,,,SUMPRODUCT(MAX(ROW(E$2:E4194)*(E4194=E$2:E4194)))))-COUNTBLANK(OFFSET(A$1,,,SUMPRODUCT(MAX(ROW(E$1:E4193)*(E2=E$1:E4193))))))</f>
        <v> </v>
      </c>
      <c r="K4194" s="25" t="str">
        <f>IF(OR(E4194="",E4194="!!!",F4194="NEW"),"",INDEX(J$1:J4193,SUMPRODUCT(MAX(ROW(E$1:E4193)*(E4194=E$1:E4193)))))</f>
        <v> </v>
      </c>
      <c r="L4194" s="26"/>
    </row>
    <row r="4195" spans="1:12">
      <c r="A4195" s="20"/>
    </row>
    <row r="4196" spans="1:12">
      <c r="A4196" s="20" t="s">
        <v>700</v>
      </c>
      <c r="E4196" s="21">
        <f>IF(D4196="?OLD","!!!","")</f>
        <v/>
      </c>
      <c r="F4196" s="22" t="str">
        <f>IF(OR(E4196="",E4196="!!!"),"",IF(NOT(ISNA(VLOOKUP(E4196,E$1:E4195,1,FALSE()))),"OLD",IF(AND(E4196&lt;&gt;"",E4196&lt;&gt;"!!!"),"NEW","")))</f>
        <v> </v>
      </c>
      <c r="G4196" s="23" t="str">
        <f>IF(OR(E4196="",E4196="!!!"),"",IF(OR(J4196=0,AND(J4196=1,K4196=1),AND(J4196=1,I4196="SBJ"),AND(J4196=1,I4196=0)),"?IN_FOCUS",IF(J4196&lt;=2,"?ACTIVATED",IF(J4196&lt;&gt;"","?FAMILIAR",IF(F4196="NEW",IF(ISNA(VLOOKUP(E4196,#REF!,1,FALSE())),"?TYPE_IDENTIFIABLE","?REFERENTIAL"),"_")))))</f>
        <v> </v>
      </c>
      <c r="H4196" s="24" t="str">
        <f>IF(J4196&lt;&gt;1,"",IF(I4196="SBJ","CB","?"))</f>
        <v> </v>
      </c>
      <c r="I4196" s="25" t="str">
        <f>IF(OR(E4196="",E4196="!!!",F4196="NEW"),"",INDEX(B4195:B$2,-1+SUMPRODUCT(MAX(ROW(E4195:E$2)*(E4196=E4195:E$2)))))</f>
        <v> </v>
      </c>
      <c r="J4196" s="25" t="str">
        <f>IF(OR(E4196="",E4196="!!!",F4196="NEW"),"",COUNTBLANK(OFFSET(A$1,,,SUMPRODUCT(MAX(ROW(E$2:E4196)*(E4196=E$2:E4196)))))-COUNTBLANK(OFFSET(A$1,,,SUMPRODUCT(MAX(ROW(E$1:E4195)*(E2=E$1:E4195))))))</f>
        <v> </v>
      </c>
      <c r="K4196" s="25" t="str">
        <f>IF(OR(E4196="",E4196="!!!",F4196="NEW"),"",INDEX(J$1:J4195,SUMPRODUCT(MAX(ROW(E$1:E4195)*(E4196=E$1:E4195)))))</f>
        <v> </v>
      </c>
      <c r="L4196" s="26"/>
    </row>
    <row r="4197" spans="1:12">
      <c r="A4197" s="20" t="s">
        <v>1755</v>
      </c>
    </row>
    <row r="4198" spans="1:12">
      <c r="A4198" s="20" t="s">
        <v>1009</v>
      </c>
      <c r="E4198" s="21">
        <f>IF(D4198="?OLD","!!!","")</f>
        <v/>
      </c>
      <c r="F4198" s="22" t="str">
        <f>IF(OR(E4198="",E4198="!!!"),"",IF(NOT(ISNA(VLOOKUP(E4198,E$1:E4197,1,FALSE()))),"OLD",IF(AND(E4198&lt;&gt;"",E4198&lt;&gt;"!!!"),"NEW","")))</f>
        <v> </v>
      </c>
      <c r="G4198" s="23" t="str">
        <f>IF(OR(E4198="",E4198="!!!"),"",IF(OR(J4198=0,AND(J4198=1,K4198=1),AND(J4198=1,I4198="SBJ"),AND(J4198=1,I4198=0)),"?IN_FOCUS",IF(J4198&lt;=2,"?ACTIVATED",IF(J4198&lt;&gt;"","?FAMILIAR",IF(F4198="NEW",IF(ISNA(VLOOKUP(E4198,#REF!,1,FALSE())),"?TYPE_IDENTIFIABLE","?REFERENTIAL"),"_")))))</f>
        <v> </v>
      </c>
      <c r="H4198" s="24" t="str">
        <f>IF(J4198&lt;&gt;1,"",IF(I4198="SBJ","CB","?"))</f>
        <v> </v>
      </c>
      <c r="I4198" s="25" t="str">
        <f>IF(OR(E4198="",E4198="!!!",F4198="NEW"),"",INDEX(B4197:B$2,-1+SUMPRODUCT(MAX(ROW(E4197:E$2)*(E4198=E4197:E$2)))))</f>
        <v> </v>
      </c>
      <c r="J4198" s="25" t="str">
        <f>IF(OR(E4198="",E4198="!!!",F4198="NEW"),"",COUNTBLANK(OFFSET(A$1,,,SUMPRODUCT(MAX(ROW(E$2:E4198)*(E4198=E$2:E4198)))))-COUNTBLANK(OFFSET(A$1,,,SUMPRODUCT(MAX(ROW(E$1:E4197)*(E2=E$1:E4197))))))</f>
        <v> </v>
      </c>
      <c r="K4198" s="25" t="str">
        <f>IF(OR(E4198="",E4198="!!!",F4198="NEW"),"",INDEX(J$1:J4197,SUMPRODUCT(MAX(ROW(E$1:E4197)*(E4198=E$1:E4197)))))</f>
        <v> </v>
      </c>
      <c r="L4198" s="26"/>
    </row>
    <row r="4199" spans="1:12">
      <c r="A4199" s="20" t="s">
        <v>1756</v>
      </c>
      <c r="E4199" s="21">
        <f>IF(D4199="?OLD","!!!","")</f>
        <v/>
      </c>
      <c r="F4199" s="22" t="str">
        <f>IF(OR(E4199="",E4199="!!!"),"",IF(NOT(ISNA(VLOOKUP(E4199,E$1:E4198,1,FALSE()))),"OLD",IF(AND(E4199&lt;&gt;"",E4199&lt;&gt;"!!!"),"NEW","")))</f>
        <v> </v>
      </c>
      <c r="G4199" s="23" t="str">
        <f>IF(OR(E4199="",E4199="!!!"),"",IF(OR(J4199=0,AND(J4199=1,K4199=1),AND(J4199=1,I4199="SBJ"),AND(J4199=1,I4199=0)),"?IN_FOCUS",IF(J4199&lt;=2,"?ACTIVATED",IF(J4199&lt;&gt;"","?FAMILIAR",IF(F4199="NEW",IF(ISNA(VLOOKUP(E4199,#REF!,1,FALSE())),"?TYPE_IDENTIFIABLE","?REFERENTIAL"),"_")))))</f>
        <v> </v>
      </c>
      <c r="H4199" s="24" t="str">
        <f>IF(J4199&lt;&gt;1,"",IF(I4199="SBJ","CB","?"))</f>
        <v> </v>
      </c>
      <c r="I4199" s="25" t="str">
        <f>IF(OR(E4199="",E4199="!!!",F4199="NEW"),"",INDEX(B4198:B$2,-1+SUMPRODUCT(MAX(ROW(E4198:E$2)*(E4199=E4198:E$2)))))</f>
        <v> </v>
      </c>
      <c r="J4199" s="25" t="str">
        <f>IF(OR(E4199="",E4199="!!!",F4199="NEW"),"",COUNTBLANK(OFFSET(A$1,,,SUMPRODUCT(MAX(ROW(E$2:E4199)*(E4199=E$2:E4199)))))-COUNTBLANK(OFFSET(A$1,,,SUMPRODUCT(MAX(ROW(E$1:E4198)*(E2=E$1:E4198))))))</f>
        <v> </v>
      </c>
      <c r="K4199" s="25" t="str">
        <f>IF(OR(E4199="",E4199="!!!",F4199="NEW"),"",INDEX(J$1:J4198,SUMPRODUCT(MAX(ROW(E$1:E4198)*(E4199=E$1:E4198)))))</f>
        <v> </v>
      </c>
      <c r="L4199" s="26"/>
    </row>
    <row r="4200" spans="1:12">
      <c r="A4200" s="20" t="s">
        <v>690</v>
      </c>
      <c r="E4200" s="21">
        <f>IF(D4200="?OLD","!!!","")</f>
        <v/>
      </c>
      <c r="F4200" s="22" t="str">
        <f>IF(OR(E4200="",E4200="!!!"),"",IF(NOT(ISNA(VLOOKUP(E4200,E$1:E4199,1,FALSE()))),"OLD",IF(AND(E4200&lt;&gt;"",E4200&lt;&gt;"!!!"),"NEW","")))</f>
        <v> </v>
      </c>
      <c r="G4200" s="23" t="str">
        <f>IF(OR(E4200="",E4200="!!!"),"",IF(OR(J4200=0,AND(J4200=1,K4200=1),AND(J4200=1,I4200="SBJ"),AND(J4200=1,I4200=0)),"?IN_FOCUS",IF(J4200&lt;=2,"?ACTIVATED",IF(J4200&lt;&gt;"","?FAMILIAR",IF(F4200="NEW",IF(ISNA(VLOOKUP(E4200,#REF!,1,FALSE())),"?TYPE_IDENTIFIABLE","?REFERENTIAL"),"_")))))</f>
        <v> </v>
      </c>
      <c r="H4200" s="24" t="str">
        <f>IF(J4200&lt;&gt;1,"",IF(I4200="SBJ","CB","?"))</f>
        <v> </v>
      </c>
      <c r="I4200" s="25" t="str">
        <f>IF(OR(E4200="",E4200="!!!",F4200="NEW"),"",INDEX(B4199:B$2,-1+SUMPRODUCT(MAX(ROW(E4199:E$2)*(E4200=E4199:E$2)))))</f>
        <v> </v>
      </c>
      <c r="J4200" s="25" t="str">
        <f>IF(OR(E4200="",E4200="!!!",F4200="NEW"),"",COUNTBLANK(OFFSET(A$1,,,SUMPRODUCT(MAX(ROW(E$2:E4200)*(E4200=E$2:E4200)))))-COUNTBLANK(OFFSET(A$1,,,SUMPRODUCT(MAX(ROW(E$1:E4199)*(E2=E$1:E4199))))))</f>
        <v> </v>
      </c>
      <c r="K4200" s="25" t="str">
        <f>IF(OR(E4200="",E4200="!!!",F4200="NEW"),"",INDEX(J$1:J4199,SUMPRODUCT(MAX(ROW(E$1:E4199)*(E4200=E$1:E4199)))))</f>
        <v> </v>
      </c>
      <c r="L4200" s="26"/>
    </row>
    <row r="4201" spans="1:12">
      <c r="A4201" s="20" t="s">
        <v>697</v>
      </c>
      <c r="B4201" s="27" t="s">
        <v>692</v>
      </c>
      <c r="C4201" s="27" t="s">
        <v>693</v>
      </c>
      <c r="D4201" s="27" t="s">
        <v>694</v>
      </c>
      <c r="E4201" s="21">
        <f>IF(D4201="?OLD","!!!","")</f>
        <v/>
      </c>
      <c r="F4201" s="22" t="str">
        <f>IF(OR(E4201="",E4201="!!!"),"",IF(NOT(ISNA(VLOOKUP(E4201,E$1:E4200,1,FALSE()))),"OLD",IF(AND(E4201&lt;&gt;"",E4201&lt;&gt;"!!!"),"NEW","")))</f>
        <v> </v>
      </c>
      <c r="G4201" s="23" t="str">
        <f>IF(OR(E4201="",E4201="!!!"),"",IF(OR(J4201=0,AND(J4201=1,K4201=1),AND(J4201=1,I4201="SBJ"),AND(J4201=1,I4201=0)),"?IN_FOCUS",IF(J4201&lt;=2,"?ACTIVATED",IF(J4201&lt;&gt;"","?FAMILIAR",IF(F4201="NEW",IF(ISNA(VLOOKUP(E4201,#REF!,1,FALSE())),"?TYPE_IDENTIFIABLE","?REFERENTIAL"),"_")))))</f>
        <v> </v>
      </c>
      <c r="H4201" s="24" t="str">
        <f>IF(J4201&lt;&gt;1,"",IF(I4201="SBJ","CB","?"))</f>
        <v> </v>
      </c>
      <c r="I4201" s="25" t="str">
        <f>IF(OR(E4201="",E4201="!!!",F4201="NEW"),"",INDEX(B4200:B$2,-1+SUMPRODUCT(MAX(ROW(E4200:E$2)*(E4201=E4200:E$2)))))</f>
        <v> </v>
      </c>
      <c r="J4201" s="25" t="str">
        <f>IF(OR(E4201="",E4201="!!!",F4201="NEW"),"",COUNTBLANK(OFFSET(A$1,,,SUMPRODUCT(MAX(ROW(E$2:E4201)*(E4201=E$2:E4201)))))-COUNTBLANK(OFFSET(A$1,,,SUMPRODUCT(MAX(ROW(E$1:E4200)*(E2=E$1:E4200))))))</f>
        <v> </v>
      </c>
      <c r="K4201" s="25" t="str">
        <f>IF(OR(E4201="",E4201="!!!",F4201="NEW"),"",INDEX(J$1:J4200,SUMPRODUCT(MAX(ROW(E$1:E4200)*(E4201=E$1:E4200)))))</f>
        <v> </v>
      </c>
      <c r="L4201" s="26"/>
    </row>
    <row r="4202" spans="1:12">
      <c r="A4202" s="20" t="s">
        <v>888</v>
      </c>
      <c r="E4202" s="21">
        <f>IF(D4202="?OLD","!!!","")</f>
        <v/>
      </c>
      <c r="F4202" s="22" t="str">
        <f>IF(OR(E4202="",E4202="!!!"),"",IF(NOT(ISNA(VLOOKUP(E4202,E$1:E4201,1,FALSE()))),"OLD",IF(AND(E4202&lt;&gt;"",E4202&lt;&gt;"!!!"),"NEW","")))</f>
        <v> </v>
      </c>
      <c r="G4202" s="23" t="str">
        <f>IF(OR(E4202="",E4202="!!!"),"",IF(OR(J4202=0,AND(J4202=1,K4202=1),AND(J4202=1,I4202="SBJ"),AND(J4202=1,I4202=0)),"?IN_FOCUS",IF(J4202&lt;=2,"?ACTIVATED",IF(J4202&lt;&gt;"","?FAMILIAR",IF(F4202="NEW",IF(ISNA(VLOOKUP(E4202,#REF!,1,FALSE())),"?TYPE_IDENTIFIABLE","?REFERENTIAL"),"_")))))</f>
        <v> </v>
      </c>
      <c r="H4202" s="24" t="str">
        <f>IF(J4202&lt;&gt;1,"",IF(I4202="SBJ","CB","?"))</f>
        <v> </v>
      </c>
      <c r="I4202" s="25" t="str">
        <f>IF(OR(E4202="",E4202="!!!",F4202="NEW"),"",INDEX(B4201:B$2,-1+SUMPRODUCT(MAX(ROW(E4201:E$2)*(E4202=E4201:E$2)))))</f>
        <v> </v>
      </c>
      <c r="J4202" s="25" t="str">
        <f>IF(OR(E4202="",E4202="!!!",F4202="NEW"),"",COUNTBLANK(OFFSET(A$1,,,SUMPRODUCT(MAX(ROW(E$2:E4202)*(E4202=E$2:E4202)))))-COUNTBLANK(OFFSET(A$1,,,SUMPRODUCT(MAX(ROW(E$1:E4201)*(E2=E$1:E4201))))))</f>
        <v> </v>
      </c>
      <c r="K4202" s="25" t="str">
        <f>IF(OR(E4202="",E4202="!!!",F4202="NEW"),"",INDEX(J$1:J4201,SUMPRODUCT(MAX(ROW(E$1:E4201)*(E4202=E$1:E4201)))))</f>
        <v> </v>
      </c>
      <c r="L4202" s="26"/>
    </row>
    <row r="4203" spans="1:12">
      <c r="A4203" s="20" t="s">
        <v>366</v>
      </c>
      <c r="E4203" s="21">
        <f>IF(D4203="?OLD","!!!","")</f>
        <v/>
      </c>
      <c r="F4203" s="22" t="str">
        <f>IF(OR(E4203="",E4203="!!!"),"",IF(NOT(ISNA(VLOOKUP(E4203,E$1:E4202,1,FALSE()))),"OLD",IF(AND(E4203&lt;&gt;"",E4203&lt;&gt;"!!!"),"NEW","")))</f>
        <v> </v>
      </c>
      <c r="G4203" s="23" t="str">
        <f>IF(OR(E4203="",E4203="!!!"),"",IF(OR(J4203=0,AND(J4203=1,K4203=1),AND(J4203=1,I4203="SBJ"),AND(J4203=1,I4203=0)),"?IN_FOCUS",IF(J4203&lt;=2,"?ACTIVATED",IF(J4203&lt;&gt;"","?FAMILIAR",IF(F4203="NEW",IF(ISNA(VLOOKUP(E4203,#REF!,1,FALSE())),"?TYPE_IDENTIFIABLE","?REFERENTIAL"),"_")))))</f>
        <v> </v>
      </c>
      <c r="H4203" s="24" t="str">
        <f>IF(J4203&lt;&gt;1,"",IF(I4203="SBJ","CB","?"))</f>
        <v> </v>
      </c>
      <c r="I4203" s="25" t="str">
        <f>IF(OR(E4203="",E4203="!!!",F4203="NEW"),"",INDEX(B4202:B$2,-1+SUMPRODUCT(MAX(ROW(E4202:E$2)*(E4203=E4202:E$2)))))</f>
        <v> </v>
      </c>
      <c r="J4203" s="25" t="str">
        <f>IF(OR(E4203="",E4203="!!!",F4203="NEW"),"",COUNTBLANK(OFFSET(A$1,,,SUMPRODUCT(MAX(ROW(E$2:E4203)*(E4203=E$2:E4203)))))-COUNTBLANK(OFFSET(A$1,,,SUMPRODUCT(MAX(ROW(E$1:E4202)*(E2=E$1:E4202))))))</f>
        <v> </v>
      </c>
      <c r="K4203" s="25" t="str">
        <f>IF(OR(E4203="",E4203="!!!",F4203="NEW"),"",INDEX(J$1:J4202,SUMPRODUCT(MAX(ROW(E$1:E4202)*(E4203=E$1:E4202)))))</f>
        <v> </v>
      </c>
      <c r="L4203" s="26"/>
    </row>
    <row r="4204" spans="1:12">
      <c r="A4204" s="20" t="s">
        <v>1033</v>
      </c>
      <c r="E4204" s="21">
        <f>IF(D4204="?OLD","!!!","")</f>
        <v/>
      </c>
      <c r="F4204" s="22" t="str">
        <f>IF(OR(E4204="",E4204="!!!"),"",IF(NOT(ISNA(VLOOKUP(E4204,E$1:E4203,1,FALSE()))),"OLD",IF(AND(E4204&lt;&gt;"",E4204&lt;&gt;"!!!"),"NEW","")))</f>
        <v> </v>
      </c>
      <c r="G4204" s="23" t="str">
        <f>IF(OR(E4204="",E4204="!!!"),"",IF(OR(J4204=0,AND(J4204=1,K4204=1),AND(J4204=1,I4204="SBJ"),AND(J4204=1,I4204=0)),"?IN_FOCUS",IF(J4204&lt;=2,"?ACTIVATED",IF(J4204&lt;&gt;"","?FAMILIAR",IF(F4204="NEW",IF(ISNA(VLOOKUP(E4204,#REF!,1,FALSE())),"?TYPE_IDENTIFIABLE","?REFERENTIAL"),"_")))))</f>
        <v> </v>
      </c>
      <c r="H4204" s="24" t="str">
        <f>IF(J4204&lt;&gt;1,"",IF(I4204="SBJ","CB","?"))</f>
        <v> </v>
      </c>
      <c r="I4204" s="25" t="str">
        <f>IF(OR(E4204="",E4204="!!!",F4204="NEW"),"",INDEX(B4203:B$2,-1+SUMPRODUCT(MAX(ROW(E4203:E$2)*(E4204=E4203:E$2)))))</f>
        <v> </v>
      </c>
      <c r="J4204" s="25" t="str">
        <f>IF(OR(E4204="",E4204="!!!",F4204="NEW"),"",COUNTBLANK(OFFSET(A$1,,,SUMPRODUCT(MAX(ROW(E$2:E4204)*(E4204=E$2:E4204)))))-COUNTBLANK(OFFSET(A$1,,,SUMPRODUCT(MAX(ROW(E$1:E4203)*(E2=E$1:E4203))))))</f>
        <v> </v>
      </c>
      <c r="K4204" s="25" t="str">
        <f>IF(OR(E4204="",E4204="!!!",F4204="NEW"),"",INDEX(J$1:J4203,SUMPRODUCT(MAX(ROW(E$1:E4203)*(E4204=E$1:E4203)))))</f>
        <v> </v>
      </c>
      <c r="L4204" s="26"/>
    </row>
    <row r="4205" spans="1:12">
      <c r="A4205" s="20" t="s">
        <v>873</v>
      </c>
      <c r="E4205" s="21">
        <f>IF(D4205="?OLD","!!!","")</f>
        <v/>
      </c>
      <c r="F4205" s="22" t="str">
        <f>IF(OR(E4205="",E4205="!!!"),"",IF(NOT(ISNA(VLOOKUP(E4205,E$1:E4204,1,FALSE()))),"OLD",IF(AND(E4205&lt;&gt;"",E4205&lt;&gt;"!!!"),"NEW","")))</f>
        <v> </v>
      </c>
      <c r="G4205" s="23" t="str">
        <f>IF(OR(E4205="",E4205="!!!"),"",IF(OR(J4205=0,AND(J4205=1,K4205=1),AND(J4205=1,I4205="SBJ"),AND(J4205=1,I4205=0)),"?IN_FOCUS",IF(J4205&lt;=2,"?ACTIVATED",IF(J4205&lt;&gt;"","?FAMILIAR",IF(F4205="NEW",IF(ISNA(VLOOKUP(E4205,#REF!,1,FALSE())),"?TYPE_IDENTIFIABLE","?REFERENTIAL"),"_")))))</f>
        <v> </v>
      </c>
      <c r="H4205" s="24" t="str">
        <f>IF(J4205&lt;&gt;1,"",IF(I4205="SBJ","CB","?"))</f>
        <v> </v>
      </c>
      <c r="I4205" s="25" t="str">
        <f>IF(OR(E4205="",E4205="!!!",F4205="NEW"),"",INDEX(B4204:B$2,-1+SUMPRODUCT(MAX(ROW(E4204:E$2)*(E4205=E4204:E$2)))))</f>
        <v> </v>
      </c>
      <c r="J4205" s="25" t="str">
        <f>IF(OR(E4205="",E4205="!!!",F4205="NEW"),"",COUNTBLANK(OFFSET(A$1,,,SUMPRODUCT(MAX(ROW(E$2:E4205)*(E4205=E$2:E4205)))))-COUNTBLANK(OFFSET(A$1,,,SUMPRODUCT(MAX(ROW(E$1:E4204)*(E2=E$1:E4204))))))</f>
        <v> </v>
      </c>
      <c r="K4205" s="25" t="str">
        <f>IF(OR(E4205="",E4205="!!!",F4205="NEW"),"",INDEX(J$1:J4204,SUMPRODUCT(MAX(ROW(E$1:E4204)*(E4205=E$1:E4204)))))</f>
        <v> </v>
      </c>
      <c r="L4205" s="26"/>
    </row>
    <row r="4206" spans="1:12">
      <c r="A4206" s="20" t="s">
        <v>1757</v>
      </c>
      <c r="B4206" s="27" t="s">
        <v>737</v>
      </c>
      <c r="C4206" s="27" t="s">
        <v>893</v>
      </c>
      <c r="E4206" s="21">
        <f>IF(D4206="?OLD","!!!","")</f>
        <v/>
      </c>
      <c r="F4206" s="22" t="str">
        <f>IF(OR(E4206="",E4206="!!!"),"",IF(NOT(ISNA(VLOOKUP(E4206,E$1:E4205,1,FALSE()))),"OLD",IF(AND(E4206&lt;&gt;"",E4206&lt;&gt;"!!!"),"NEW","")))</f>
        <v> </v>
      </c>
      <c r="G4206" s="23" t="str">
        <f>IF(OR(E4206="",E4206="!!!"),"",IF(OR(J4206=0,AND(J4206=1,K4206=1),AND(J4206=1,I4206="SBJ"),AND(J4206=1,I4206=0)),"?IN_FOCUS",IF(J4206&lt;=2,"?ACTIVATED",IF(J4206&lt;&gt;"","?FAMILIAR",IF(F4206="NEW",IF(ISNA(VLOOKUP(E4206,#REF!,1,FALSE())),"?TYPE_IDENTIFIABLE","?REFERENTIAL"),"_")))))</f>
        <v> </v>
      </c>
      <c r="H4206" s="24" t="str">
        <f>IF(J4206&lt;&gt;1,"",IF(I4206="SBJ","CB","?"))</f>
        <v> </v>
      </c>
      <c r="I4206" s="25" t="str">
        <f>IF(OR(E4206="",E4206="!!!",F4206="NEW"),"",INDEX(B4205:B$2,-1+SUMPRODUCT(MAX(ROW(E4205:E$2)*(E4206=E4205:E$2)))))</f>
        <v> </v>
      </c>
      <c r="J4206" s="25" t="str">
        <f>IF(OR(E4206="",E4206="!!!",F4206="NEW"),"",COUNTBLANK(OFFSET(A$1,,,SUMPRODUCT(MAX(ROW(E$2:E4206)*(E4206=E$2:E4206)))))-COUNTBLANK(OFFSET(A$1,,,SUMPRODUCT(MAX(ROW(E$1:E4205)*(E2=E$1:E4205))))))</f>
        <v> </v>
      </c>
      <c r="K4206" s="25" t="str">
        <f>IF(OR(E4206="",E4206="!!!",F4206="NEW"),"",INDEX(J$1:J4205,SUMPRODUCT(MAX(ROW(E$1:E4205)*(E4206=E$1:E4205)))))</f>
        <v> </v>
      </c>
      <c r="L4206" s="26"/>
    </row>
    <row r="4207" spans="1:12">
      <c r="A4207" s="20" t="s">
        <v>1758</v>
      </c>
      <c r="E4207" s="21">
        <f>IF(D4207="?OLD","!!!","")</f>
        <v/>
      </c>
      <c r="F4207" s="22" t="str">
        <f>IF(OR(E4207="",E4207="!!!"),"",IF(NOT(ISNA(VLOOKUP(E4207,E$1:E4206,1,FALSE()))),"OLD",IF(AND(E4207&lt;&gt;"",E4207&lt;&gt;"!!!"),"NEW","")))</f>
        <v> </v>
      </c>
      <c r="G4207" s="23" t="str">
        <f>IF(OR(E4207="",E4207="!!!"),"",IF(OR(J4207=0,AND(J4207=1,K4207=1),AND(J4207=1,I4207="SBJ"),AND(J4207=1,I4207=0)),"?IN_FOCUS",IF(J4207&lt;=2,"?ACTIVATED",IF(J4207&lt;&gt;"","?FAMILIAR",IF(F4207="NEW",IF(ISNA(VLOOKUP(E4207,#REF!,1,FALSE())),"?TYPE_IDENTIFIABLE","?REFERENTIAL"),"_")))))</f>
        <v> </v>
      </c>
      <c r="H4207" s="24" t="str">
        <f>IF(J4207&lt;&gt;1,"",IF(I4207="SBJ","CB","?"))</f>
        <v> </v>
      </c>
      <c r="I4207" s="25" t="str">
        <f>IF(OR(E4207="",E4207="!!!",F4207="NEW"),"",INDEX(B4206:B$2,-1+SUMPRODUCT(MAX(ROW(E4206:E$2)*(E4207=E4206:E$2)))))</f>
        <v> </v>
      </c>
      <c r="J4207" s="25" t="str">
        <f>IF(OR(E4207="",E4207="!!!",F4207="NEW"),"",COUNTBLANK(OFFSET(A$1,,,SUMPRODUCT(MAX(ROW(E$2:E4207)*(E4207=E$2:E4207)))))-COUNTBLANK(OFFSET(A$1,,,SUMPRODUCT(MAX(ROW(E$1:E4206)*(E2=E$1:E4206))))))</f>
        <v> </v>
      </c>
      <c r="K4207" s="25" t="str">
        <f>IF(OR(E4207="",E4207="!!!",F4207="NEW"),"",INDEX(J$1:J4206,SUMPRODUCT(MAX(ROW(E$1:E4206)*(E4207=E$1:E4206)))))</f>
        <v> </v>
      </c>
      <c r="L4207" s="26"/>
    </row>
    <row r="4208" spans="1:12">
      <c r="A4208" s="20" t="s">
        <v>747</v>
      </c>
      <c r="E4208" s="21">
        <f>IF(D4208="?OLD","!!!","")</f>
        <v/>
      </c>
      <c r="F4208" s="22" t="str">
        <f>IF(OR(E4208="",E4208="!!!"),"",IF(NOT(ISNA(VLOOKUP(E4208,E$1:E4207,1,FALSE()))),"OLD",IF(AND(E4208&lt;&gt;"",E4208&lt;&gt;"!!!"),"NEW","")))</f>
        <v> </v>
      </c>
      <c r="G4208" s="23" t="str">
        <f>IF(OR(E4208="",E4208="!!!"),"",IF(OR(J4208=0,AND(J4208=1,K4208=1),AND(J4208=1,I4208="SBJ"),AND(J4208=1,I4208=0)),"?IN_FOCUS",IF(J4208&lt;=2,"?ACTIVATED",IF(J4208&lt;&gt;"","?FAMILIAR",IF(F4208="NEW",IF(ISNA(VLOOKUP(E4208,#REF!,1,FALSE())),"?TYPE_IDENTIFIABLE","?REFERENTIAL"),"_")))))</f>
        <v> </v>
      </c>
      <c r="H4208" s="24" t="str">
        <f>IF(J4208&lt;&gt;1,"",IF(I4208="SBJ","CB","?"))</f>
        <v> </v>
      </c>
      <c r="I4208" s="25" t="str">
        <f>IF(OR(E4208="",E4208="!!!",F4208="NEW"),"",INDEX(B4207:B$2,-1+SUMPRODUCT(MAX(ROW(E4207:E$2)*(E4208=E4207:E$2)))))</f>
        <v> </v>
      </c>
      <c r="J4208" s="25" t="str">
        <f>IF(OR(E4208="",E4208="!!!",F4208="NEW"),"",COUNTBLANK(OFFSET(A$1,,,SUMPRODUCT(MAX(ROW(E$2:E4208)*(E4208=E$2:E4208)))))-COUNTBLANK(OFFSET(A$1,,,SUMPRODUCT(MAX(ROW(E$1:E4207)*(E2=E$1:E4207))))))</f>
        <v> </v>
      </c>
      <c r="K4208" s="25" t="str">
        <f>IF(OR(E4208="",E4208="!!!",F4208="NEW"),"",INDEX(J$1:J4207,SUMPRODUCT(MAX(ROW(E$1:E4207)*(E4208=E$1:E4207)))))</f>
        <v> </v>
      </c>
      <c r="L4208" s="26"/>
    </row>
    <row r="4209" spans="1:12">
      <c r="A4209" s="20" t="s">
        <v>1688</v>
      </c>
      <c r="B4209" s="27" t="s">
        <v>755</v>
      </c>
      <c r="C4209" s="27" t="s">
        <v>693</v>
      </c>
      <c r="D4209" s="27" t="s">
        <v>694</v>
      </c>
      <c r="E4209" s="21">
        <f>IF(D4209="?OLD","!!!","")</f>
        <v/>
      </c>
      <c r="F4209" s="22" t="str">
        <f>IF(OR(E4209="",E4209="!!!"),"",IF(NOT(ISNA(VLOOKUP(E4209,E$1:E4208,1,FALSE()))),"OLD",IF(AND(E4209&lt;&gt;"",E4209&lt;&gt;"!!!"),"NEW","")))</f>
        <v> </v>
      </c>
      <c r="G4209" s="23" t="str">
        <f>IF(OR(E4209="",E4209="!!!"),"",IF(OR(J4209=0,AND(J4209=1,K4209=1),AND(J4209=1,I4209="SBJ"),AND(J4209=1,I4209=0)),"?IN_FOCUS",IF(J4209&lt;=2,"?ACTIVATED",IF(J4209&lt;&gt;"","?FAMILIAR",IF(F4209="NEW",IF(ISNA(VLOOKUP(E4209,#REF!,1,FALSE())),"?TYPE_IDENTIFIABLE","?REFERENTIAL"),"_")))))</f>
        <v> </v>
      </c>
      <c r="H4209" s="24" t="str">
        <f>IF(J4209&lt;&gt;1,"",IF(I4209="SBJ","CB","?"))</f>
        <v> </v>
      </c>
      <c r="I4209" s="25" t="str">
        <f>IF(OR(E4209="",E4209="!!!",F4209="NEW"),"",INDEX(B4208:B$2,-1+SUMPRODUCT(MAX(ROW(E4208:E$2)*(E4209=E4208:E$2)))))</f>
        <v> </v>
      </c>
      <c r="J4209" s="25" t="str">
        <f>IF(OR(E4209="",E4209="!!!",F4209="NEW"),"",COUNTBLANK(OFFSET(A$1,,,SUMPRODUCT(MAX(ROW(E$2:E4209)*(E4209=E$2:E4209)))))-COUNTBLANK(OFFSET(A$1,,,SUMPRODUCT(MAX(ROW(E$1:E4208)*(E2=E$1:E4208))))))</f>
        <v> </v>
      </c>
      <c r="K4209" s="25" t="str">
        <f>IF(OR(E4209="",E4209="!!!",F4209="NEW"),"",INDEX(J$1:J4208,SUMPRODUCT(MAX(ROW(E$1:E4208)*(E4209=E$1:E4208)))))</f>
        <v> </v>
      </c>
      <c r="L4209" s="26"/>
    </row>
    <row r="4210" spans="1:12">
      <c r="A4210" s="20" t="s">
        <v>696</v>
      </c>
      <c r="E4210" s="21">
        <f>IF(D4210="?OLD","!!!","")</f>
        <v/>
      </c>
      <c r="F4210" s="22" t="str">
        <f>IF(OR(E4210="",E4210="!!!"),"",IF(NOT(ISNA(VLOOKUP(E4210,E$1:E4209,1,FALSE()))),"OLD",IF(AND(E4210&lt;&gt;"",E4210&lt;&gt;"!!!"),"NEW","")))</f>
        <v> </v>
      </c>
      <c r="G4210" s="23" t="str">
        <f>IF(OR(E4210="",E4210="!!!"),"",IF(OR(J4210=0,AND(J4210=1,K4210=1),AND(J4210=1,I4210="SBJ"),AND(J4210=1,I4210=0)),"?IN_FOCUS",IF(J4210&lt;=2,"?ACTIVATED",IF(J4210&lt;&gt;"","?FAMILIAR",IF(F4210="NEW",IF(ISNA(VLOOKUP(E4210,#REF!,1,FALSE())),"?TYPE_IDENTIFIABLE","?REFERENTIAL"),"_")))))</f>
        <v> </v>
      </c>
      <c r="H4210" s="24" t="str">
        <f>IF(J4210&lt;&gt;1,"",IF(I4210="SBJ","CB","?"))</f>
        <v> </v>
      </c>
      <c r="I4210" s="25" t="str">
        <f>IF(OR(E4210="",E4210="!!!",F4210="NEW"),"",INDEX(B4209:B$2,-1+SUMPRODUCT(MAX(ROW(E4209:E$2)*(E4210=E4209:E$2)))))</f>
        <v> </v>
      </c>
      <c r="J4210" s="25" t="str">
        <f>IF(OR(E4210="",E4210="!!!",F4210="NEW"),"",COUNTBLANK(OFFSET(A$1,,,SUMPRODUCT(MAX(ROW(E$2:E4210)*(E4210=E$2:E4210)))))-COUNTBLANK(OFFSET(A$1,,,SUMPRODUCT(MAX(ROW(E$1:E4209)*(E2=E$1:E4209))))))</f>
        <v> </v>
      </c>
      <c r="K4210" s="25" t="str">
        <f>IF(OR(E4210="",E4210="!!!",F4210="NEW"),"",INDEX(J$1:J4209,SUMPRODUCT(MAX(ROW(E$1:E4209)*(E4210=E$1:E4209)))))</f>
        <v> </v>
      </c>
      <c r="L4210" s="26"/>
    </row>
    <row r="4211" spans="1:12">
      <c r="A4211" s="20" t="s">
        <v>337</v>
      </c>
      <c r="E4211" s="21">
        <f>IF(D4211="?OLD","!!!","")</f>
        <v/>
      </c>
      <c r="F4211" s="22" t="str">
        <f>IF(OR(E4211="",E4211="!!!"),"",IF(NOT(ISNA(VLOOKUP(E4211,E$1:E4210,1,FALSE()))),"OLD",IF(AND(E4211&lt;&gt;"",E4211&lt;&gt;"!!!"),"NEW","")))</f>
        <v> </v>
      </c>
      <c r="G4211" s="23" t="str">
        <f>IF(OR(E4211="",E4211="!!!"),"",IF(OR(J4211=0,AND(J4211=1,K4211=1),AND(J4211=1,I4211="SBJ"),AND(J4211=1,I4211=0)),"?IN_FOCUS",IF(J4211&lt;=2,"?ACTIVATED",IF(J4211&lt;&gt;"","?FAMILIAR",IF(F4211="NEW",IF(ISNA(VLOOKUP(E4211,#REF!,1,FALSE())),"?TYPE_IDENTIFIABLE","?REFERENTIAL"),"_")))))</f>
        <v> </v>
      </c>
      <c r="H4211" s="24" t="str">
        <f>IF(J4211&lt;&gt;1,"",IF(I4211="SBJ","CB","?"))</f>
        <v> </v>
      </c>
      <c r="I4211" s="25" t="str">
        <f>IF(OR(E4211="",E4211="!!!",F4211="NEW"),"",INDEX(B4210:B$2,-1+SUMPRODUCT(MAX(ROW(E4210:E$2)*(E4211=E4210:E$2)))))</f>
        <v> </v>
      </c>
      <c r="J4211" s="25" t="str">
        <f>IF(OR(E4211="",E4211="!!!",F4211="NEW"),"",COUNTBLANK(OFFSET(A$1,,,SUMPRODUCT(MAX(ROW(E$2:E4211)*(E4211=E$2:E4211)))))-COUNTBLANK(OFFSET(A$1,,,SUMPRODUCT(MAX(ROW(E$1:E4210)*(E2=E$1:E4210))))))</f>
        <v> </v>
      </c>
      <c r="K4211" s="25" t="str">
        <f>IF(OR(E4211="",E4211="!!!",F4211="NEW"),"",INDEX(J$1:J4210,SUMPRODUCT(MAX(ROW(E$1:E4210)*(E4211=E$1:E4210)))))</f>
        <v> </v>
      </c>
      <c r="L4211" s="26"/>
    </row>
    <row r="4212" spans="1:12">
      <c r="A4212" s="20" t="s">
        <v>846</v>
      </c>
      <c r="E4212" s="21">
        <f>IF(D4212="?OLD","!!!","")</f>
        <v/>
      </c>
      <c r="F4212" s="22" t="str">
        <f>IF(OR(E4212="",E4212="!!!"),"",IF(NOT(ISNA(VLOOKUP(E4212,E$1:E4211,1,FALSE()))),"OLD",IF(AND(E4212&lt;&gt;"",E4212&lt;&gt;"!!!"),"NEW","")))</f>
        <v> </v>
      </c>
      <c r="G4212" s="23" t="str">
        <f>IF(OR(E4212="",E4212="!!!"),"",IF(OR(J4212=0,AND(J4212=1,K4212=1),AND(J4212=1,I4212="SBJ"),AND(J4212=1,I4212=0)),"?IN_FOCUS",IF(J4212&lt;=2,"?ACTIVATED",IF(J4212&lt;&gt;"","?FAMILIAR",IF(F4212="NEW",IF(ISNA(VLOOKUP(E4212,#REF!,1,FALSE())),"?TYPE_IDENTIFIABLE","?REFERENTIAL"),"_")))))</f>
        <v> </v>
      </c>
      <c r="H4212" s="24" t="str">
        <f>IF(J4212&lt;&gt;1,"",IF(I4212="SBJ","CB","?"))</f>
        <v> </v>
      </c>
      <c r="I4212" s="25" t="str">
        <f>IF(OR(E4212="",E4212="!!!",F4212="NEW"),"",INDEX(B4211:B$2,-1+SUMPRODUCT(MAX(ROW(E4211:E$2)*(E4212=E4211:E$2)))))</f>
        <v> </v>
      </c>
      <c r="J4212" s="25" t="str">
        <f>IF(OR(E4212="",E4212="!!!",F4212="NEW"),"",COUNTBLANK(OFFSET(A$1,,,SUMPRODUCT(MAX(ROW(E$2:E4212)*(E4212=E$2:E4212)))))-COUNTBLANK(OFFSET(A$1,,,SUMPRODUCT(MAX(ROW(E$1:E4211)*(E2=E$1:E4211))))))</f>
        <v> </v>
      </c>
      <c r="K4212" s="25" t="str">
        <f>IF(OR(E4212="",E4212="!!!",F4212="NEW"),"",INDEX(J$1:J4211,SUMPRODUCT(MAX(ROW(E$1:E4211)*(E4212=E$1:E4211)))))</f>
        <v> </v>
      </c>
      <c r="L4212" s="26"/>
    </row>
    <row r="4213" spans="1:12">
      <c r="A4213" s="20" t="s">
        <v>996</v>
      </c>
      <c r="E4213" s="21">
        <f>IF(D4213="?OLD","!!!","")</f>
        <v/>
      </c>
      <c r="F4213" s="22" t="str">
        <f>IF(OR(E4213="",E4213="!!!"),"",IF(NOT(ISNA(VLOOKUP(E4213,E$1:E4212,1,FALSE()))),"OLD",IF(AND(E4213&lt;&gt;"",E4213&lt;&gt;"!!!"),"NEW","")))</f>
        <v> </v>
      </c>
      <c r="G4213" s="23" t="str">
        <f>IF(OR(E4213="",E4213="!!!"),"",IF(OR(J4213=0,AND(J4213=1,K4213=1),AND(J4213=1,I4213="SBJ"),AND(J4213=1,I4213=0)),"?IN_FOCUS",IF(J4213&lt;=2,"?ACTIVATED",IF(J4213&lt;&gt;"","?FAMILIAR",IF(F4213="NEW",IF(ISNA(VLOOKUP(E4213,#REF!,1,FALSE())),"?TYPE_IDENTIFIABLE","?REFERENTIAL"),"_")))))</f>
        <v> </v>
      </c>
      <c r="H4213" s="24" t="str">
        <f>IF(J4213&lt;&gt;1,"",IF(I4213="SBJ","CB","?"))</f>
        <v> </v>
      </c>
      <c r="I4213" s="25" t="str">
        <f>IF(OR(E4213="",E4213="!!!",F4213="NEW"),"",INDEX(B4212:B$2,-1+SUMPRODUCT(MAX(ROW(E4212:E$2)*(E4213=E4212:E$2)))))</f>
        <v> </v>
      </c>
      <c r="J4213" s="25" t="str">
        <f>IF(OR(E4213="",E4213="!!!",F4213="NEW"),"",COUNTBLANK(OFFSET(A$1,,,SUMPRODUCT(MAX(ROW(E$2:E4213)*(E4213=E$2:E4213)))))-COUNTBLANK(OFFSET(A$1,,,SUMPRODUCT(MAX(ROW(E$1:E4212)*(E2=E$1:E4212))))))</f>
        <v> </v>
      </c>
      <c r="K4213" s="25" t="str">
        <f>IF(OR(E4213="",E4213="!!!",F4213="NEW"),"",INDEX(J$1:J4212,SUMPRODUCT(MAX(ROW(E$1:E4212)*(E4213=E$1:E4212)))))</f>
        <v> </v>
      </c>
      <c r="L4213" s="26"/>
    </row>
    <row r="4214" spans="1:12">
      <c r="A4214" s="20" t="s">
        <v>998</v>
      </c>
      <c r="B4214" s="27" t="s">
        <v>823</v>
      </c>
      <c r="C4214" s="27" t="s">
        <v>733</v>
      </c>
      <c r="D4214" s="27" t="s">
        <v>694</v>
      </c>
      <c r="E4214" s="21">
        <f>IF(D4214="?OLD","!!!","")</f>
        <v/>
      </c>
      <c r="F4214" s="22" t="str">
        <f>IF(OR(E4214="",E4214="!!!"),"",IF(NOT(ISNA(VLOOKUP(E4214,E$1:E4213,1,FALSE()))),"OLD",IF(AND(E4214&lt;&gt;"",E4214&lt;&gt;"!!!"),"NEW","")))</f>
        <v> </v>
      </c>
      <c r="G4214" s="23" t="str">
        <f>IF(OR(E4214="",E4214="!!!"),"",IF(OR(J4214=0,AND(J4214=1,K4214=1),AND(J4214=1,I4214="SBJ"),AND(J4214=1,I4214=0)),"?IN_FOCUS",IF(J4214&lt;=2,"?ACTIVATED",IF(J4214&lt;&gt;"","?FAMILIAR",IF(F4214="NEW",IF(ISNA(VLOOKUP(E4214,#REF!,1,FALSE())),"?TYPE_IDENTIFIABLE","?REFERENTIAL"),"_")))))</f>
        <v> </v>
      </c>
      <c r="H4214" s="24" t="str">
        <f>IF(J4214&lt;&gt;1,"",IF(I4214="SBJ","CB","?"))</f>
        <v> </v>
      </c>
      <c r="I4214" s="25" t="str">
        <f>IF(OR(E4214="",E4214="!!!",F4214="NEW"),"",INDEX(B4213:B$2,-1+SUMPRODUCT(MAX(ROW(E4213:E$2)*(E4214=E4213:E$2)))))</f>
        <v> </v>
      </c>
      <c r="J4214" s="25" t="str">
        <f>IF(OR(E4214="",E4214="!!!",F4214="NEW"),"",COUNTBLANK(OFFSET(A$1,,,SUMPRODUCT(MAX(ROW(E$2:E4214)*(E4214=E$2:E4214)))))-COUNTBLANK(OFFSET(A$1,,,SUMPRODUCT(MAX(ROW(E$1:E4213)*(E2=E$1:E4213))))))</f>
        <v> </v>
      </c>
      <c r="K4214" s="25" t="str">
        <f>IF(OR(E4214="",E4214="!!!",F4214="NEW"),"",INDEX(J$1:J4213,SUMPRODUCT(MAX(ROW(E$1:E4213)*(E4214=E$1:E4213)))))</f>
        <v> </v>
      </c>
      <c r="L4214" s="26"/>
    </row>
    <row r="4215" spans="1:12">
      <c r="A4215" s="20" t="s">
        <v>1418</v>
      </c>
      <c r="E4215" s="21">
        <f>IF(D4215="?OLD","!!!","")</f>
        <v/>
      </c>
      <c r="F4215" s="22" t="str">
        <f>IF(OR(E4215="",E4215="!!!"),"",IF(NOT(ISNA(VLOOKUP(E4215,E$1:E4214,1,FALSE()))),"OLD",IF(AND(E4215&lt;&gt;"",E4215&lt;&gt;"!!!"),"NEW","")))</f>
        <v> </v>
      </c>
      <c r="G4215" s="23" t="str">
        <f>IF(OR(E4215="",E4215="!!!"),"",IF(OR(J4215=0,AND(J4215=1,K4215=1),AND(J4215=1,I4215="SBJ"),AND(J4215=1,I4215=0)),"?IN_FOCUS",IF(J4215&lt;=2,"?ACTIVATED",IF(J4215&lt;&gt;"","?FAMILIAR",IF(F4215="NEW",IF(ISNA(VLOOKUP(E4215,#REF!,1,FALSE())),"?TYPE_IDENTIFIABLE","?REFERENTIAL"),"_")))))</f>
        <v> </v>
      </c>
      <c r="H4215" s="24" t="str">
        <f>IF(J4215&lt;&gt;1,"",IF(I4215="SBJ","CB","?"))</f>
        <v> </v>
      </c>
      <c r="I4215" s="25" t="str">
        <f>IF(OR(E4215="",E4215="!!!",F4215="NEW"),"",INDEX(B4214:B$2,-1+SUMPRODUCT(MAX(ROW(E4214:E$2)*(E4215=E4214:E$2)))))</f>
        <v> </v>
      </c>
      <c r="J4215" s="25" t="str">
        <f>IF(OR(E4215="",E4215="!!!",F4215="NEW"),"",COUNTBLANK(OFFSET(A$1,,,SUMPRODUCT(MAX(ROW(E$2:E4215)*(E4215=E$2:E4215)))))-COUNTBLANK(OFFSET(A$1,,,SUMPRODUCT(MAX(ROW(E$1:E4214)*(E2=E$1:E4214))))))</f>
        <v> </v>
      </c>
      <c r="K4215" s="25" t="str">
        <f>IF(OR(E4215="",E4215="!!!",F4215="NEW"),"",INDEX(J$1:J4214,SUMPRODUCT(MAX(ROW(E$1:E4214)*(E4215=E$1:E4214)))))</f>
        <v> </v>
      </c>
      <c r="L4215" s="26"/>
    </row>
    <row r="4216" spans="1:12">
      <c r="A4216" s="20" t="s">
        <v>718</v>
      </c>
      <c r="E4216" s="21">
        <f>IF(D4216="?OLD","!!!","")</f>
        <v/>
      </c>
      <c r="F4216" s="22" t="str">
        <f>IF(OR(E4216="",E4216="!!!"),"",IF(NOT(ISNA(VLOOKUP(E4216,E$1:E4215,1,FALSE()))),"OLD",IF(AND(E4216&lt;&gt;"",E4216&lt;&gt;"!!!"),"NEW","")))</f>
        <v> </v>
      </c>
      <c r="G4216" s="23" t="str">
        <f>IF(OR(E4216="",E4216="!!!"),"",IF(OR(J4216=0,AND(J4216=1,K4216=1),AND(J4216=1,I4216="SBJ"),AND(J4216=1,I4216=0)),"?IN_FOCUS",IF(J4216&lt;=2,"?ACTIVATED",IF(J4216&lt;&gt;"","?FAMILIAR",IF(F4216="NEW",IF(ISNA(VLOOKUP(E4216,#REF!,1,FALSE())),"?TYPE_IDENTIFIABLE","?REFERENTIAL"),"_")))))</f>
        <v> </v>
      </c>
      <c r="H4216" s="24" t="str">
        <f>IF(J4216&lt;&gt;1,"",IF(I4216="SBJ","CB","?"))</f>
        <v> </v>
      </c>
      <c r="I4216" s="25" t="str">
        <f>IF(OR(E4216="",E4216="!!!",F4216="NEW"),"",INDEX(B4215:B$2,-1+SUMPRODUCT(MAX(ROW(E4215:E$2)*(E4216=E4215:E$2)))))</f>
        <v> </v>
      </c>
      <c r="J4216" s="25" t="str">
        <f>IF(OR(E4216="",E4216="!!!",F4216="NEW"),"",COUNTBLANK(OFFSET(A$1,,,SUMPRODUCT(MAX(ROW(E$2:E4216)*(E4216=E$2:E4216)))))-COUNTBLANK(OFFSET(A$1,,,SUMPRODUCT(MAX(ROW(E$1:E4215)*(E2=E$1:E4215))))))</f>
        <v> </v>
      </c>
      <c r="K4216" s="25" t="str">
        <f>IF(OR(E4216="",E4216="!!!",F4216="NEW"),"",INDEX(J$1:J4215,SUMPRODUCT(MAX(ROW(E$1:E4215)*(E4216=E$1:E4215)))))</f>
        <v> </v>
      </c>
      <c r="L4216" s="26"/>
    </row>
    <row r="4217" spans="1:12">
      <c r="A4217" s="20" t="s">
        <v>721</v>
      </c>
      <c r="E4217" s="21">
        <f>IF(D4217="?OLD","!!!","")</f>
        <v/>
      </c>
      <c r="F4217" s="22" t="str">
        <f>IF(OR(E4217="",E4217="!!!"),"",IF(NOT(ISNA(VLOOKUP(E4217,E$1:E4216,1,FALSE()))),"OLD",IF(AND(E4217&lt;&gt;"",E4217&lt;&gt;"!!!"),"NEW","")))</f>
        <v> </v>
      </c>
      <c r="G4217" s="23" t="str">
        <f>IF(OR(E4217="",E4217="!!!"),"",IF(OR(J4217=0,AND(J4217=1,K4217=1),AND(J4217=1,I4217="SBJ"),AND(J4217=1,I4217=0)),"?IN_FOCUS",IF(J4217&lt;=2,"?ACTIVATED",IF(J4217&lt;&gt;"","?FAMILIAR",IF(F4217="NEW",IF(ISNA(VLOOKUP(E4217,#REF!,1,FALSE())),"?TYPE_IDENTIFIABLE","?REFERENTIAL"),"_")))))</f>
        <v> </v>
      </c>
      <c r="H4217" s="24" t="str">
        <f>IF(J4217&lt;&gt;1,"",IF(I4217="SBJ","CB","?"))</f>
        <v> </v>
      </c>
      <c r="I4217" s="25" t="str">
        <f>IF(OR(E4217="",E4217="!!!",F4217="NEW"),"",INDEX(B4216:B$2,-1+SUMPRODUCT(MAX(ROW(E4216:E$2)*(E4217=E4216:E$2)))))</f>
        <v> </v>
      </c>
      <c r="J4217" s="25" t="str">
        <f>IF(OR(E4217="",E4217="!!!",F4217="NEW"),"",COUNTBLANK(OFFSET(A$1,,,SUMPRODUCT(MAX(ROW(E$2:E4217)*(E4217=E$2:E4217)))))-COUNTBLANK(OFFSET(A$1,,,SUMPRODUCT(MAX(ROW(E$1:E4216)*(E2=E$1:E4216))))))</f>
        <v> </v>
      </c>
      <c r="K4217" s="25" t="str">
        <f>IF(OR(E4217="",E4217="!!!",F4217="NEW"),"",INDEX(J$1:J4216,SUMPRODUCT(MAX(ROW(E$1:E4216)*(E4217=E$1:E4216)))))</f>
        <v> </v>
      </c>
      <c r="L4217" s="26"/>
    </row>
    <row r="4218" spans="1:12">
      <c r="A4218" s="20" t="s">
        <v>730</v>
      </c>
      <c r="E4218" s="21">
        <f>IF(D4218="?OLD","!!!","")</f>
        <v/>
      </c>
      <c r="F4218" s="22" t="str">
        <f>IF(OR(E4218="",E4218="!!!"),"",IF(NOT(ISNA(VLOOKUP(E4218,E$1:E4217,1,FALSE()))),"OLD",IF(AND(E4218&lt;&gt;"",E4218&lt;&gt;"!!!"),"NEW","")))</f>
        <v> </v>
      </c>
      <c r="G4218" s="23" t="str">
        <f>IF(OR(E4218="",E4218="!!!"),"",IF(OR(J4218=0,AND(J4218=1,K4218=1),AND(J4218=1,I4218="SBJ"),AND(J4218=1,I4218=0)),"?IN_FOCUS",IF(J4218&lt;=2,"?ACTIVATED",IF(J4218&lt;&gt;"","?FAMILIAR",IF(F4218="NEW",IF(ISNA(VLOOKUP(E4218,#REF!,1,FALSE())),"?TYPE_IDENTIFIABLE","?REFERENTIAL"),"_")))))</f>
        <v> </v>
      </c>
      <c r="H4218" s="24" t="str">
        <f>IF(J4218&lt;&gt;1,"",IF(I4218="SBJ","CB","?"))</f>
        <v> </v>
      </c>
      <c r="I4218" s="25" t="str">
        <f>IF(OR(E4218="",E4218="!!!",F4218="NEW"),"",INDEX(B4217:B$2,-1+SUMPRODUCT(MAX(ROW(E4217:E$2)*(E4218=E4217:E$2)))))</f>
        <v> </v>
      </c>
      <c r="J4218" s="25" t="str">
        <f>IF(OR(E4218="",E4218="!!!",F4218="NEW"),"",COUNTBLANK(OFFSET(A$1,,,SUMPRODUCT(MAX(ROW(E$2:E4218)*(E4218=E$2:E4218)))))-COUNTBLANK(OFFSET(A$1,,,SUMPRODUCT(MAX(ROW(E$1:E4217)*(E2=E$1:E4217))))))</f>
        <v> </v>
      </c>
      <c r="K4218" s="25" t="str">
        <f>IF(OR(E4218="",E4218="!!!",F4218="NEW"),"",INDEX(J$1:J4217,SUMPRODUCT(MAX(ROW(E$1:E4217)*(E4218=E$1:E4217)))))</f>
        <v> </v>
      </c>
      <c r="L4218" s="26"/>
    </row>
    <row r="4219" spans="1:12">
      <c r="A4219" s="20" t="s">
        <v>838</v>
      </c>
      <c r="B4219" s="27" t="s">
        <v>737</v>
      </c>
      <c r="C4219" s="27" t="s">
        <v>707</v>
      </c>
      <c r="D4219" s="27" t="s">
        <v>694</v>
      </c>
      <c r="E4219" s="21">
        <f>IF(D4219="?OLD","!!!","")</f>
        <v/>
      </c>
      <c r="F4219" s="22" t="str">
        <f>IF(OR(E4219="",E4219="!!!"),"",IF(NOT(ISNA(VLOOKUP(E4219,E$1:E4218,1,FALSE()))),"OLD",IF(AND(E4219&lt;&gt;"",E4219&lt;&gt;"!!!"),"NEW","")))</f>
        <v> </v>
      </c>
      <c r="G4219" s="23" t="str">
        <f>IF(OR(E4219="",E4219="!!!"),"",IF(OR(J4219=0,AND(J4219=1,K4219=1),AND(J4219=1,I4219="SBJ"),AND(J4219=1,I4219=0)),"?IN_FOCUS",IF(J4219&lt;=2,"?ACTIVATED",IF(J4219&lt;&gt;"","?FAMILIAR",IF(F4219="NEW",IF(ISNA(VLOOKUP(E4219,#REF!,1,FALSE())),"?TYPE_IDENTIFIABLE","?REFERENTIAL"),"_")))))</f>
        <v> </v>
      </c>
      <c r="H4219" s="24" t="str">
        <f>IF(J4219&lt;&gt;1,"",IF(I4219="SBJ","CB","?"))</f>
        <v> </v>
      </c>
      <c r="I4219" s="25" t="str">
        <f>IF(OR(E4219="",E4219="!!!",F4219="NEW"),"",INDEX(B4218:B$2,-1+SUMPRODUCT(MAX(ROW(E4218:E$2)*(E4219=E4218:E$2)))))</f>
        <v> </v>
      </c>
      <c r="J4219" s="25" t="str">
        <f>IF(OR(E4219="",E4219="!!!",F4219="NEW"),"",COUNTBLANK(OFFSET(A$1,,,SUMPRODUCT(MAX(ROW(E$2:E4219)*(E4219=E$2:E4219)))))-COUNTBLANK(OFFSET(A$1,,,SUMPRODUCT(MAX(ROW(E$1:E4218)*(E2=E$1:E4218))))))</f>
        <v> </v>
      </c>
      <c r="K4219" s="25" t="str">
        <f>IF(OR(E4219="",E4219="!!!",F4219="NEW"),"",INDEX(J$1:J4218,SUMPRODUCT(MAX(ROW(E$1:E4218)*(E4219=E$1:E4218)))))</f>
        <v> </v>
      </c>
      <c r="L4219" s="26"/>
    </row>
    <row r="4220" spans="1:12">
      <c r="A4220" s="20" t="s">
        <v>696</v>
      </c>
      <c r="E4220" s="21">
        <f>IF(D4220="?OLD","!!!","")</f>
        <v/>
      </c>
      <c r="F4220" s="22" t="str">
        <f>IF(OR(E4220="",E4220="!!!"),"",IF(NOT(ISNA(VLOOKUP(E4220,E$1:E4219,1,FALSE()))),"OLD",IF(AND(E4220&lt;&gt;"",E4220&lt;&gt;"!!!"),"NEW","")))</f>
        <v> </v>
      </c>
      <c r="G4220" s="23" t="str">
        <f>IF(OR(E4220="",E4220="!!!"),"",IF(OR(J4220=0,AND(J4220=1,K4220=1),AND(J4220=1,I4220="SBJ"),AND(J4220=1,I4220=0)),"?IN_FOCUS",IF(J4220&lt;=2,"?ACTIVATED",IF(J4220&lt;&gt;"","?FAMILIAR",IF(F4220="NEW",IF(ISNA(VLOOKUP(E4220,#REF!,1,FALSE())),"?TYPE_IDENTIFIABLE","?REFERENTIAL"),"_")))))</f>
        <v> </v>
      </c>
      <c r="H4220" s="24" t="str">
        <f>IF(J4220&lt;&gt;1,"",IF(I4220="SBJ","CB","?"))</f>
        <v> </v>
      </c>
      <c r="I4220" s="25" t="str">
        <f>IF(OR(E4220="",E4220="!!!",F4220="NEW"),"",INDEX(B4219:B$2,-1+SUMPRODUCT(MAX(ROW(E4219:E$2)*(E4220=E4219:E$2)))))</f>
        <v> </v>
      </c>
      <c r="J4220" s="25" t="str">
        <f>IF(OR(E4220="",E4220="!!!",F4220="NEW"),"",COUNTBLANK(OFFSET(A$1,,,SUMPRODUCT(MAX(ROW(E$2:E4220)*(E4220=E$2:E4220)))))-COUNTBLANK(OFFSET(A$1,,,SUMPRODUCT(MAX(ROW(E$1:E4219)*(E2=E$1:E4219))))))</f>
        <v> </v>
      </c>
      <c r="K4220" s="25" t="str">
        <f>IF(OR(E4220="",E4220="!!!",F4220="NEW"),"",INDEX(J$1:J4219,SUMPRODUCT(MAX(ROW(E$1:E4219)*(E4220=E$1:E4219)))))</f>
        <v> </v>
      </c>
      <c r="L4220" s="26"/>
    </row>
    <row r="4221" spans="1:12">
      <c r="A4221" s="20" t="s">
        <v>690</v>
      </c>
      <c r="E4221" s="21">
        <f>IF(D4221="?OLD","!!!","")</f>
        <v/>
      </c>
      <c r="F4221" s="22" t="str">
        <f>IF(OR(E4221="",E4221="!!!"),"",IF(NOT(ISNA(VLOOKUP(E4221,E$1:E4220,1,FALSE()))),"OLD",IF(AND(E4221&lt;&gt;"",E4221&lt;&gt;"!!!"),"NEW","")))</f>
        <v> </v>
      </c>
      <c r="G4221" s="23" t="str">
        <f>IF(OR(E4221="",E4221="!!!"),"",IF(OR(J4221=0,AND(J4221=1,K4221=1),AND(J4221=1,I4221="SBJ"),AND(J4221=1,I4221=0)),"?IN_FOCUS",IF(J4221&lt;=2,"?ACTIVATED",IF(J4221&lt;&gt;"","?FAMILIAR",IF(F4221="NEW",IF(ISNA(VLOOKUP(E4221,#REF!,1,FALSE())),"?TYPE_IDENTIFIABLE","?REFERENTIAL"),"_")))))</f>
        <v> </v>
      </c>
      <c r="H4221" s="24" t="str">
        <f>IF(J4221&lt;&gt;1,"",IF(I4221="SBJ","CB","?"))</f>
        <v> </v>
      </c>
      <c r="I4221" s="25" t="str">
        <f>IF(OR(E4221="",E4221="!!!",F4221="NEW"),"",INDEX(B4220:B$2,-1+SUMPRODUCT(MAX(ROW(E4220:E$2)*(E4221=E4220:E$2)))))</f>
        <v> </v>
      </c>
      <c r="J4221" s="25" t="str">
        <f>IF(OR(E4221="",E4221="!!!",F4221="NEW"),"",COUNTBLANK(OFFSET(A$1,,,SUMPRODUCT(MAX(ROW(E$2:E4221)*(E4221=E$2:E4221)))))-COUNTBLANK(OFFSET(A$1,,,SUMPRODUCT(MAX(ROW(E$1:E4220)*(E2=E$1:E4220))))))</f>
        <v> </v>
      </c>
      <c r="K4221" s="25" t="str">
        <f>IF(OR(E4221="",E4221="!!!",F4221="NEW"),"",INDEX(J$1:J4220,SUMPRODUCT(MAX(ROW(E$1:E4220)*(E4221=E$1:E4220)))))</f>
        <v> </v>
      </c>
      <c r="L4221" s="26"/>
    </row>
    <row r="4222" spans="1:12">
      <c r="A4222" s="20" t="s">
        <v>962</v>
      </c>
      <c r="B4222" s="27" t="s">
        <v>755</v>
      </c>
      <c r="C4222" s="27" t="s">
        <v>693</v>
      </c>
      <c r="D4222" s="27" t="s">
        <v>694</v>
      </c>
      <c r="E4222" s="21">
        <f>IF(D4222="?OLD","!!!","")</f>
        <v/>
      </c>
      <c r="F4222" s="22" t="str">
        <f>IF(OR(E4222="",E4222="!!!"),"",IF(NOT(ISNA(VLOOKUP(E4222,E$1:E4221,1,FALSE()))),"OLD",IF(AND(E4222&lt;&gt;"",E4222&lt;&gt;"!!!"),"NEW","")))</f>
        <v> </v>
      </c>
      <c r="G4222" s="23" t="str">
        <f>IF(OR(E4222="",E4222="!!!"),"",IF(OR(J4222=0,AND(J4222=1,K4222=1),AND(J4222=1,I4222="SBJ"),AND(J4222=1,I4222=0)),"?IN_FOCUS",IF(J4222&lt;=2,"?ACTIVATED",IF(J4222&lt;&gt;"","?FAMILIAR",IF(F4222="NEW",IF(ISNA(VLOOKUP(E4222,#REF!,1,FALSE())),"?TYPE_IDENTIFIABLE","?REFERENTIAL"),"_")))))</f>
        <v> </v>
      </c>
      <c r="H4222" s="24" t="str">
        <f>IF(J4222&lt;&gt;1,"",IF(I4222="SBJ","CB","?"))</f>
        <v> </v>
      </c>
      <c r="I4222" s="25" t="str">
        <f>IF(OR(E4222="",E4222="!!!",F4222="NEW"),"",INDEX(B4221:B$2,-1+SUMPRODUCT(MAX(ROW(E4221:E$2)*(E4222=E4221:E$2)))))</f>
        <v> </v>
      </c>
      <c r="J4222" s="25" t="str">
        <f>IF(OR(E4222="",E4222="!!!",F4222="NEW"),"",COUNTBLANK(OFFSET(A$1,,,SUMPRODUCT(MAX(ROW(E$2:E4222)*(E4222=E$2:E4222)))))-COUNTBLANK(OFFSET(A$1,,,SUMPRODUCT(MAX(ROW(E$1:E4221)*(E2=E$1:E4221))))))</f>
        <v> </v>
      </c>
      <c r="K4222" s="25" t="str">
        <f>IF(OR(E4222="",E4222="!!!",F4222="NEW"),"",INDEX(J$1:J4221,SUMPRODUCT(MAX(ROW(E$1:E4221)*(E4222=E$1:E4221)))))</f>
        <v> </v>
      </c>
      <c r="L4222" s="26"/>
    </row>
    <row r="4223" spans="1:12">
      <c r="A4223" s="20" t="s">
        <v>730</v>
      </c>
      <c r="E4223" s="21">
        <f>IF(D4223="?OLD","!!!","")</f>
        <v/>
      </c>
      <c r="F4223" s="22" t="str">
        <f>IF(OR(E4223="",E4223="!!!"),"",IF(NOT(ISNA(VLOOKUP(E4223,E$1:E4222,1,FALSE()))),"OLD",IF(AND(E4223&lt;&gt;"",E4223&lt;&gt;"!!!"),"NEW","")))</f>
        <v> </v>
      </c>
      <c r="G4223" s="23" t="str">
        <f>IF(OR(E4223="",E4223="!!!"),"",IF(OR(J4223=0,AND(J4223=1,K4223=1),AND(J4223=1,I4223="SBJ"),AND(J4223=1,I4223=0)),"?IN_FOCUS",IF(J4223&lt;=2,"?ACTIVATED",IF(J4223&lt;&gt;"","?FAMILIAR",IF(F4223="NEW",IF(ISNA(VLOOKUP(E4223,#REF!,1,FALSE())),"?TYPE_IDENTIFIABLE","?REFERENTIAL"),"_")))))</f>
        <v> </v>
      </c>
      <c r="H4223" s="24" t="str">
        <f>IF(J4223&lt;&gt;1,"",IF(I4223="SBJ","CB","?"))</f>
        <v> </v>
      </c>
      <c r="I4223" s="25" t="str">
        <f>IF(OR(E4223="",E4223="!!!",F4223="NEW"),"",INDEX(B4222:B$2,-1+SUMPRODUCT(MAX(ROW(E4222:E$2)*(E4223=E4222:E$2)))))</f>
        <v> </v>
      </c>
      <c r="J4223" s="25" t="str">
        <f>IF(OR(E4223="",E4223="!!!",F4223="NEW"),"",COUNTBLANK(OFFSET(A$1,,,SUMPRODUCT(MAX(ROW(E$2:E4223)*(E4223=E$2:E4223)))))-COUNTBLANK(OFFSET(A$1,,,SUMPRODUCT(MAX(ROW(E$1:E4222)*(E2=E$1:E4222))))))</f>
        <v> </v>
      </c>
      <c r="K4223" s="25" t="str">
        <f>IF(OR(E4223="",E4223="!!!",F4223="NEW"),"",INDEX(J$1:J4222,SUMPRODUCT(MAX(ROW(E$1:E4222)*(E4223=E$1:E4222)))))</f>
        <v> </v>
      </c>
      <c r="L4223" s="26"/>
    </row>
    <row r="4224" spans="1:12">
      <c r="A4224" s="20" t="s">
        <v>865</v>
      </c>
      <c r="E4224" s="21">
        <f>IF(D4224="?OLD","!!!","")</f>
        <v/>
      </c>
      <c r="F4224" s="22" t="str">
        <f>IF(OR(E4224="",E4224="!!!"),"",IF(NOT(ISNA(VLOOKUP(E4224,E$1:E4223,1,FALSE()))),"OLD",IF(AND(E4224&lt;&gt;"",E4224&lt;&gt;"!!!"),"NEW","")))</f>
        <v> </v>
      </c>
      <c r="G4224" s="23" t="str">
        <f>IF(OR(E4224="",E4224="!!!"),"",IF(OR(J4224=0,AND(J4224=1,K4224=1),AND(J4224=1,I4224="SBJ"),AND(J4224=1,I4224=0)),"?IN_FOCUS",IF(J4224&lt;=2,"?ACTIVATED",IF(J4224&lt;&gt;"","?FAMILIAR",IF(F4224="NEW",IF(ISNA(VLOOKUP(E4224,#REF!,1,FALSE())),"?TYPE_IDENTIFIABLE","?REFERENTIAL"),"_")))))</f>
        <v> </v>
      </c>
      <c r="H4224" s="24" t="str">
        <f>IF(J4224&lt;&gt;1,"",IF(I4224="SBJ","CB","?"))</f>
        <v> </v>
      </c>
      <c r="I4224" s="25" t="str">
        <f>IF(OR(E4224="",E4224="!!!",F4224="NEW"),"",INDEX(B4223:B$2,-1+SUMPRODUCT(MAX(ROW(E4223:E$2)*(E4224=E4223:E$2)))))</f>
        <v> </v>
      </c>
      <c r="J4224" s="25" t="str">
        <f>IF(OR(E4224="",E4224="!!!",F4224="NEW"),"",COUNTBLANK(OFFSET(A$1,,,SUMPRODUCT(MAX(ROW(E$2:E4224)*(E4224=E$2:E4224)))))-COUNTBLANK(OFFSET(A$1,,,SUMPRODUCT(MAX(ROW(E$1:E4223)*(E2=E$1:E4223))))))</f>
        <v> </v>
      </c>
      <c r="K4224" s="25" t="str">
        <f>IF(OR(E4224="",E4224="!!!",F4224="NEW"),"",INDEX(J$1:J4223,SUMPRODUCT(MAX(ROW(E$1:E4223)*(E4224=E$1:E4223)))))</f>
        <v> </v>
      </c>
      <c r="L4224" s="26"/>
    </row>
    <row r="4225" spans="1:12">
      <c r="A4225" s="20" t="s">
        <v>718</v>
      </c>
      <c r="E4225" s="21">
        <f>IF(D4225="?OLD","!!!","")</f>
        <v/>
      </c>
      <c r="F4225" s="22" t="str">
        <f>IF(OR(E4225="",E4225="!!!"),"",IF(NOT(ISNA(VLOOKUP(E4225,E$1:E4224,1,FALSE()))),"OLD",IF(AND(E4225&lt;&gt;"",E4225&lt;&gt;"!!!"),"NEW","")))</f>
        <v> </v>
      </c>
      <c r="G4225" s="23" t="str">
        <f>IF(OR(E4225="",E4225="!!!"),"",IF(OR(J4225=0,AND(J4225=1,K4225=1),AND(J4225=1,I4225="SBJ"),AND(J4225=1,I4225=0)),"?IN_FOCUS",IF(J4225&lt;=2,"?ACTIVATED",IF(J4225&lt;&gt;"","?FAMILIAR",IF(F4225="NEW",IF(ISNA(VLOOKUP(E4225,#REF!,1,FALSE())),"?TYPE_IDENTIFIABLE","?REFERENTIAL"),"_")))))</f>
        <v> </v>
      </c>
      <c r="H4225" s="24" t="str">
        <f>IF(J4225&lt;&gt;1,"",IF(I4225="SBJ","CB","?"))</f>
        <v> </v>
      </c>
      <c r="I4225" s="25" t="str">
        <f>IF(OR(E4225="",E4225="!!!",F4225="NEW"),"",INDEX(B4224:B$2,-1+SUMPRODUCT(MAX(ROW(E4224:E$2)*(E4225=E4224:E$2)))))</f>
        <v> </v>
      </c>
      <c r="J4225" s="25" t="str">
        <f>IF(OR(E4225="",E4225="!!!",F4225="NEW"),"",COUNTBLANK(OFFSET(A$1,,,SUMPRODUCT(MAX(ROW(E$2:E4225)*(E4225=E$2:E4225)))))-COUNTBLANK(OFFSET(A$1,,,SUMPRODUCT(MAX(ROW(E$1:E4224)*(E2=E$1:E4224))))))</f>
        <v> </v>
      </c>
      <c r="K4225" s="25" t="str">
        <f>IF(OR(E4225="",E4225="!!!",F4225="NEW"),"",INDEX(J$1:J4224,SUMPRODUCT(MAX(ROW(E$1:E4224)*(E4225=E$1:E4224)))))</f>
        <v> </v>
      </c>
      <c r="L4225" s="26"/>
    </row>
    <row r="4226" spans="1:12">
      <c r="A4226" s="20" t="s">
        <v>690</v>
      </c>
      <c r="E4226" s="21">
        <f>IF(D4226="?OLD","!!!","")</f>
        <v/>
      </c>
      <c r="F4226" s="22" t="str">
        <f>IF(OR(E4226="",E4226="!!!"),"",IF(NOT(ISNA(VLOOKUP(E4226,E$1:E4225,1,FALSE()))),"OLD",IF(AND(E4226&lt;&gt;"",E4226&lt;&gt;"!!!"),"NEW","")))</f>
        <v> </v>
      </c>
      <c r="G4226" s="23" t="str">
        <f>IF(OR(E4226="",E4226="!!!"),"",IF(OR(J4226=0,AND(J4226=1,K4226=1),AND(J4226=1,I4226="SBJ"),AND(J4226=1,I4226=0)),"?IN_FOCUS",IF(J4226&lt;=2,"?ACTIVATED",IF(J4226&lt;&gt;"","?FAMILIAR",IF(F4226="NEW",IF(ISNA(VLOOKUP(E4226,#REF!,1,FALSE())),"?TYPE_IDENTIFIABLE","?REFERENTIAL"),"_")))))</f>
        <v> </v>
      </c>
      <c r="H4226" s="24" t="str">
        <f>IF(J4226&lt;&gt;1,"",IF(I4226="SBJ","CB","?"))</f>
        <v> </v>
      </c>
      <c r="I4226" s="25" t="str">
        <f>IF(OR(E4226="",E4226="!!!",F4226="NEW"),"",INDEX(B4225:B$2,-1+SUMPRODUCT(MAX(ROW(E4225:E$2)*(E4226=E4225:E$2)))))</f>
        <v> </v>
      </c>
      <c r="J4226" s="25" t="str">
        <f>IF(OR(E4226="",E4226="!!!",F4226="NEW"),"",COUNTBLANK(OFFSET(A$1,,,SUMPRODUCT(MAX(ROW(E$2:E4226)*(E4226=E$2:E4226)))))-COUNTBLANK(OFFSET(A$1,,,SUMPRODUCT(MAX(ROW(E$1:E4225)*(E2=E$1:E4225))))))</f>
        <v> </v>
      </c>
      <c r="K4226" s="25" t="str">
        <f>IF(OR(E4226="",E4226="!!!",F4226="NEW"),"",INDEX(J$1:J4225,SUMPRODUCT(MAX(ROW(E$1:E4225)*(E4226=E$1:E4225)))))</f>
        <v> </v>
      </c>
      <c r="L4226" s="26"/>
    </row>
    <row r="4227" spans="1:12">
      <c r="A4227" s="20" t="s">
        <v>730</v>
      </c>
      <c r="E4227" s="21">
        <f>IF(D4227="?OLD","!!!","")</f>
        <v/>
      </c>
      <c r="F4227" s="22" t="str">
        <f>IF(OR(E4227="",E4227="!!!"),"",IF(NOT(ISNA(VLOOKUP(E4227,E$1:E4226,1,FALSE()))),"OLD",IF(AND(E4227&lt;&gt;"",E4227&lt;&gt;"!!!"),"NEW","")))</f>
        <v> </v>
      </c>
      <c r="G4227" s="23" t="str">
        <f>IF(OR(E4227="",E4227="!!!"),"",IF(OR(J4227=0,AND(J4227=1,K4227=1),AND(J4227=1,I4227="SBJ"),AND(J4227=1,I4227=0)),"?IN_FOCUS",IF(J4227&lt;=2,"?ACTIVATED",IF(J4227&lt;&gt;"","?FAMILIAR",IF(F4227="NEW",IF(ISNA(VLOOKUP(E4227,#REF!,1,FALSE())),"?TYPE_IDENTIFIABLE","?REFERENTIAL"),"_")))))</f>
        <v> </v>
      </c>
      <c r="H4227" s="24" t="str">
        <f>IF(J4227&lt;&gt;1,"",IF(I4227="SBJ","CB","?"))</f>
        <v> </v>
      </c>
      <c r="I4227" s="25" t="str">
        <f>IF(OR(E4227="",E4227="!!!",F4227="NEW"),"",INDEX(B4226:B$2,-1+SUMPRODUCT(MAX(ROW(E4226:E$2)*(E4227=E4226:E$2)))))</f>
        <v> </v>
      </c>
      <c r="J4227" s="25" t="str">
        <f>IF(OR(E4227="",E4227="!!!",F4227="NEW"),"",COUNTBLANK(OFFSET(A$1,,,SUMPRODUCT(MAX(ROW(E$2:E4227)*(E4227=E$2:E4227)))))-COUNTBLANK(OFFSET(A$1,,,SUMPRODUCT(MAX(ROW(E$1:E4226)*(E2=E$1:E4226))))))</f>
        <v> </v>
      </c>
      <c r="K4227" s="25" t="str">
        <f>IF(OR(E4227="",E4227="!!!",F4227="NEW"),"",INDEX(J$1:J4226,SUMPRODUCT(MAX(ROW(E$1:E4226)*(E4227=E$1:E4226)))))</f>
        <v> </v>
      </c>
      <c r="L4227" s="26"/>
    </row>
    <row r="4228" spans="1:12">
      <c r="A4228" s="20" t="s">
        <v>838</v>
      </c>
      <c r="B4228" s="27" t="s">
        <v>755</v>
      </c>
      <c r="C4228" s="27" t="s">
        <v>707</v>
      </c>
      <c r="D4228" s="27" t="s">
        <v>694</v>
      </c>
      <c r="E4228" s="21">
        <f>IF(D4228="?OLD","!!!","")</f>
        <v/>
      </c>
      <c r="F4228" s="22" t="str">
        <f>IF(OR(E4228="",E4228="!!!"),"",IF(NOT(ISNA(VLOOKUP(E4228,E$1:E4227,1,FALSE()))),"OLD",IF(AND(E4228&lt;&gt;"",E4228&lt;&gt;"!!!"),"NEW","")))</f>
        <v> </v>
      </c>
      <c r="G4228" s="23" t="str">
        <f>IF(OR(E4228="",E4228="!!!"),"",IF(OR(J4228=0,AND(J4228=1,K4228=1),AND(J4228=1,I4228="SBJ"),AND(J4228=1,I4228=0)),"?IN_FOCUS",IF(J4228&lt;=2,"?ACTIVATED",IF(J4228&lt;&gt;"","?FAMILIAR",IF(F4228="NEW",IF(ISNA(VLOOKUP(E4228,#REF!,1,FALSE())),"?TYPE_IDENTIFIABLE","?REFERENTIAL"),"_")))))</f>
        <v> </v>
      </c>
      <c r="H4228" s="24" t="str">
        <f>IF(J4228&lt;&gt;1,"",IF(I4228="SBJ","CB","?"))</f>
        <v> </v>
      </c>
      <c r="I4228" s="25" t="str">
        <f>IF(OR(E4228="",E4228="!!!",F4228="NEW"),"",INDEX(B4227:B$2,-1+SUMPRODUCT(MAX(ROW(E4227:E$2)*(E4228=E4227:E$2)))))</f>
        <v> </v>
      </c>
      <c r="J4228" s="25" t="str">
        <f>IF(OR(E4228="",E4228="!!!",F4228="NEW"),"",COUNTBLANK(OFFSET(A$1,,,SUMPRODUCT(MAX(ROW(E$2:E4228)*(E4228=E$2:E4228)))))-COUNTBLANK(OFFSET(A$1,,,SUMPRODUCT(MAX(ROW(E$1:E4227)*(E2=E$1:E4227))))))</f>
        <v> </v>
      </c>
      <c r="K4228" s="25" t="str">
        <f>IF(OR(E4228="",E4228="!!!",F4228="NEW"),"",INDEX(J$1:J4227,SUMPRODUCT(MAX(ROW(E$1:E4227)*(E4228=E$1:E4227)))))</f>
        <v> </v>
      </c>
      <c r="L4228" s="26"/>
    </row>
    <row r="4229" spans="1:12">
      <c r="A4229" s="20" t="s">
        <v>696</v>
      </c>
      <c r="E4229" s="21">
        <f>IF(D4229="?OLD","!!!","")</f>
        <v/>
      </c>
      <c r="F4229" s="22" t="str">
        <f>IF(OR(E4229="",E4229="!!!"),"",IF(NOT(ISNA(VLOOKUP(E4229,E$1:E4228,1,FALSE()))),"OLD",IF(AND(E4229&lt;&gt;"",E4229&lt;&gt;"!!!"),"NEW","")))</f>
        <v> </v>
      </c>
      <c r="G4229" s="23" t="str">
        <f>IF(OR(E4229="",E4229="!!!"),"",IF(OR(J4229=0,AND(J4229=1,K4229=1),AND(J4229=1,I4229="SBJ"),AND(J4229=1,I4229=0)),"?IN_FOCUS",IF(J4229&lt;=2,"?ACTIVATED",IF(J4229&lt;&gt;"","?FAMILIAR",IF(F4229="NEW",IF(ISNA(VLOOKUP(E4229,#REF!,1,FALSE())),"?TYPE_IDENTIFIABLE","?REFERENTIAL"),"_")))))</f>
        <v> </v>
      </c>
      <c r="H4229" s="24" t="str">
        <f>IF(J4229&lt;&gt;1,"",IF(I4229="SBJ","CB","?"))</f>
        <v> </v>
      </c>
      <c r="I4229" s="25" t="str">
        <f>IF(OR(E4229="",E4229="!!!",F4229="NEW"),"",INDEX(B4228:B$2,-1+SUMPRODUCT(MAX(ROW(E4228:E$2)*(E4229=E4228:E$2)))))</f>
        <v> </v>
      </c>
      <c r="J4229" s="25" t="str">
        <f>IF(OR(E4229="",E4229="!!!",F4229="NEW"),"",COUNTBLANK(OFFSET(A$1,,,SUMPRODUCT(MAX(ROW(E$2:E4229)*(E4229=E$2:E4229)))))-COUNTBLANK(OFFSET(A$1,,,SUMPRODUCT(MAX(ROW(E$1:E4228)*(E2=E$1:E4228))))))</f>
        <v> </v>
      </c>
      <c r="K4229" s="25" t="str">
        <f>IF(OR(E4229="",E4229="!!!",F4229="NEW"),"",INDEX(J$1:J4228,SUMPRODUCT(MAX(ROW(E$1:E4228)*(E4229=E$1:E4228)))))</f>
        <v> </v>
      </c>
      <c r="L4229" s="26"/>
    </row>
    <row r="4230" spans="1:12">
      <c r="A4230" s="20" t="s">
        <v>829</v>
      </c>
      <c r="E4230" s="21">
        <f>IF(D4230="?OLD","!!!","")</f>
        <v/>
      </c>
      <c r="F4230" s="22" t="str">
        <f>IF(OR(E4230="",E4230="!!!"),"",IF(NOT(ISNA(VLOOKUP(E4230,E$1:E4229,1,FALSE()))),"OLD",IF(AND(E4230&lt;&gt;"",E4230&lt;&gt;"!!!"),"NEW","")))</f>
        <v> </v>
      </c>
      <c r="G4230" s="23" t="str">
        <f>IF(OR(E4230="",E4230="!!!"),"",IF(OR(J4230=0,AND(J4230=1,K4230=1),AND(J4230=1,I4230="SBJ"),AND(J4230=1,I4230=0)),"?IN_FOCUS",IF(J4230&lt;=2,"?ACTIVATED",IF(J4230&lt;&gt;"","?FAMILIAR",IF(F4230="NEW",IF(ISNA(VLOOKUP(E4230,#REF!,1,FALSE())),"?TYPE_IDENTIFIABLE","?REFERENTIAL"),"_")))))</f>
        <v> </v>
      </c>
      <c r="H4230" s="24" t="str">
        <f>IF(J4230&lt;&gt;1,"",IF(I4230="SBJ","CB","?"))</f>
        <v> </v>
      </c>
      <c r="I4230" s="25" t="str">
        <f>IF(OR(E4230="",E4230="!!!",F4230="NEW"),"",INDEX(B4229:B$2,-1+SUMPRODUCT(MAX(ROW(E4229:E$2)*(E4230=E4229:E$2)))))</f>
        <v> </v>
      </c>
      <c r="J4230" s="25" t="str">
        <f>IF(OR(E4230="",E4230="!!!",F4230="NEW"),"",COUNTBLANK(OFFSET(A$1,,,SUMPRODUCT(MAX(ROW(E$2:E4230)*(E4230=E$2:E4230)))))-COUNTBLANK(OFFSET(A$1,,,SUMPRODUCT(MAX(ROW(E$1:E4229)*(E2=E$1:E4229))))))</f>
        <v> </v>
      </c>
      <c r="K4230" s="25" t="str">
        <f>IF(OR(E4230="",E4230="!!!",F4230="NEW"),"",INDEX(J$1:J4229,SUMPRODUCT(MAX(ROW(E$1:E4229)*(E4230=E$1:E4229)))))</f>
        <v> </v>
      </c>
      <c r="L4230" s="26"/>
    </row>
    <row r="4231" spans="1:12">
      <c r="A4231" s="20" t="s">
        <v>249</v>
      </c>
      <c r="B4231" s="27" t="s">
        <v>737</v>
      </c>
      <c r="C4231" s="27" t="s">
        <v>693</v>
      </c>
      <c r="D4231" s="27" t="s">
        <v>694</v>
      </c>
      <c r="E4231" s="21">
        <f>IF(D4231="?OLD","!!!","")</f>
        <v/>
      </c>
      <c r="F4231" s="22" t="str">
        <f>IF(OR(E4231="",E4231="!!!"),"",IF(NOT(ISNA(VLOOKUP(E4231,E$1:E4230,1,FALSE()))),"OLD",IF(AND(E4231&lt;&gt;"",E4231&lt;&gt;"!!!"),"NEW","")))</f>
        <v> </v>
      </c>
      <c r="G4231" s="23" t="str">
        <f>IF(OR(E4231="",E4231="!!!"),"",IF(OR(J4231=0,AND(J4231=1,K4231=1),AND(J4231=1,I4231="SBJ"),AND(J4231=1,I4231=0)),"?IN_FOCUS",IF(J4231&lt;=2,"?ACTIVATED",IF(J4231&lt;&gt;"","?FAMILIAR",IF(F4231="NEW",IF(ISNA(VLOOKUP(E4231,#REF!,1,FALSE())),"?TYPE_IDENTIFIABLE","?REFERENTIAL"),"_")))))</f>
        <v> </v>
      </c>
      <c r="H4231" s="24" t="str">
        <f>IF(J4231&lt;&gt;1,"",IF(I4231="SBJ","CB","?"))</f>
        <v> </v>
      </c>
      <c r="I4231" s="25" t="str">
        <f>IF(OR(E4231="",E4231="!!!",F4231="NEW"),"",INDEX(B4230:B$2,-1+SUMPRODUCT(MAX(ROW(E4230:E$2)*(E4231=E4230:E$2)))))</f>
        <v> </v>
      </c>
      <c r="J4231" s="25" t="str">
        <f>IF(OR(E4231="",E4231="!!!",F4231="NEW"),"",COUNTBLANK(OFFSET(A$1,,,SUMPRODUCT(MAX(ROW(E$2:E4231)*(E4231=E$2:E4231)))))-COUNTBLANK(OFFSET(A$1,,,SUMPRODUCT(MAX(ROW(E$1:E4230)*(E2=E$1:E4230))))))</f>
        <v> </v>
      </c>
      <c r="K4231" s="25" t="str">
        <f>IF(OR(E4231="",E4231="!!!",F4231="NEW"),"",INDEX(J$1:J4230,SUMPRODUCT(MAX(ROW(E$1:E4230)*(E4231=E$1:E4230)))))</f>
        <v> </v>
      </c>
      <c r="L4231" s="26"/>
    </row>
    <row r="4232" spans="1:12">
      <c r="A4232" s="20" t="s">
        <v>730</v>
      </c>
      <c r="E4232" s="21">
        <f>IF(D4232="?OLD","!!!","")</f>
        <v/>
      </c>
      <c r="F4232" s="22" t="str">
        <f>IF(OR(E4232="",E4232="!!!"),"",IF(NOT(ISNA(VLOOKUP(E4232,E$1:E4231,1,FALSE()))),"OLD",IF(AND(E4232&lt;&gt;"",E4232&lt;&gt;"!!!"),"NEW","")))</f>
        <v> </v>
      </c>
      <c r="G4232" s="23" t="str">
        <f>IF(OR(E4232="",E4232="!!!"),"",IF(OR(J4232=0,AND(J4232=1,K4232=1),AND(J4232=1,I4232="SBJ"),AND(J4232=1,I4232=0)),"?IN_FOCUS",IF(J4232&lt;=2,"?ACTIVATED",IF(J4232&lt;&gt;"","?FAMILIAR",IF(F4232="NEW",IF(ISNA(VLOOKUP(E4232,#REF!,1,FALSE())),"?TYPE_IDENTIFIABLE","?REFERENTIAL"),"_")))))</f>
        <v> </v>
      </c>
      <c r="H4232" s="24" t="str">
        <f>IF(J4232&lt;&gt;1,"",IF(I4232="SBJ","CB","?"))</f>
        <v> </v>
      </c>
      <c r="I4232" s="25" t="str">
        <f>IF(OR(E4232="",E4232="!!!",F4232="NEW"),"",INDEX(B4231:B$2,-1+SUMPRODUCT(MAX(ROW(E4231:E$2)*(E4232=E4231:E$2)))))</f>
        <v> </v>
      </c>
      <c r="J4232" s="25" t="str">
        <f>IF(OR(E4232="",E4232="!!!",F4232="NEW"),"",COUNTBLANK(OFFSET(A$1,,,SUMPRODUCT(MAX(ROW(E$2:E4232)*(E4232=E$2:E4232)))))-COUNTBLANK(OFFSET(A$1,,,SUMPRODUCT(MAX(ROW(E$1:E4231)*(E2=E$1:E4231))))))</f>
        <v> </v>
      </c>
      <c r="K4232" s="25" t="str">
        <f>IF(OR(E4232="",E4232="!!!",F4232="NEW"),"",INDEX(J$1:J4231,SUMPRODUCT(MAX(ROW(E$1:E4231)*(E4232=E$1:E4231)))))</f>
        <v> </v>
      </c>
      <c r="L4232" s="26"/>
    </row>
    <row r="4233" spans="1:12">
      <c r="A4233" s="20" t="s">
        <v>699</v>
      </c>
      <c r="E4233" s="21">
        <f>IF(D4233="?OLD","!!!","")</f>
        <v/>
      </c>
      <c r="F4233" s="22" t="str">
        <f>IF(OR(E4233="",E4233="!!!"),"",IF(NOT(ISNA(VLOOKUP(E4233,E$1:E4232,1,FALSE()))),"OLD",IF(AND(E4233&lt;&gt;"",E4233&lt;&gt;"!!!"),"NEW","")))</f>
        <v> </v>
      </c>
      <c r="G4233" s="23" t="str">
        <f>IF(OR(E4233="",E4233="!!!"),"",IF(OR(J4233=0,AND(J4233=1,K4233=1),AND(J4233=1,I4233="SBJ"),AND(J4233=1,I4233=0)),"?IN_FOCUS",IF(J4233&lt;=2,"?ACTIVATED",IF(J4233&lt;&gt;"","?FAMILIAR",IF(F4233="NEW",IF(ISNA(VLOOKUP(E4233,#REF!,1,FALSE())),"?TYPE_IDENTIFIABLE","?REFERENTIAL"),"_")))))</f>
        <v> </v>
      </c>
      <c r="H4233" s="24" t="str">
        <f>IF(J4233&lt;&gt;1,"",IF(I4233="SBJ","CB","?"))</f>
        <v> </v>
      </c>
      <c r="I4233" s="25" t="str">
        <f>IF(OR(E4233="",E4233="!!!",F4233="NEW"),"",INDEX(B4232:B$2,-1+SUMPRODUCT(MAX(ROW(E4232:E$2)*(E4233=E4232:E$2)))))</f>
        <v> </v>
      </c>
      <c r="J4233" s="25" t="str">
        <f>IF(OR(E4233="",E4233="!!!",F4233="NEW"),"",COUNTBLANK(OFFSET(A$1,,,SUMPRODUCT(MAX(ROW(E$2:E4233)*(E4233=E$2:E4233)))))-COUNTBLANK(OFFSET(A$1,,,SUMPRODUCT(MAX(ROW(E$1:E4232)*(E2=E$1:E4232))))))</f>
        <v> </v>
      </c>
      <c r="K4233" s="25" t="str">
        <f>IF(OR(E4233="",E4233="!!!",F4233="NEW"),"",INDEX(J$1:J4232,SUMPRODUCT(MAX(ROW(E$1:E4232)*(E4233=E$1:E4232)))))</f>
        <v> </v>
      </c>
      <c r="L4233" s="26"/>
    </row>
    <row r="4234" spans="1:12">
      <c r="A4234" s="20"/>
    </row>
    <row r="4235" spans="1:12">
      <c r="A4235" s="20" t="s">
        <v>1759</v>
      </c>
    </row>
    <row r="4236" spans="1:12">
      <c r="A4236" s="20" t="s">
        <v>818</v>
      </c>
      <c r="B4236" s="27" t="s">
        <v>692</v>
      </c>
      <c r="C4236" s="27" t="s">
        <v>819</v>
      </c>
      <c r="D4236" s="27" t="s">
        <v>694</v>
      </c>
      <c r="E4236" s="21">
        <f>IF(D4236="?OLD","!!!","")</f>
        <v/>
      </c>
      <c r="F4236" s="22" t="str">
        <f>IF(OR(E4236="",E4236="!!!"),"",IF(NOT(ISNA(VLOOKUP(E4236,E$1:E4235,1,FALSE()))),"OLD",IF(AND(E4236&lt;&gt;"",E4236&lt;&gt;"!!!"),"NEW","")))</f>
        <v> </v>
      </c>
      <c r="G4236" s="23" t="str">
        <f>IF(OR(E4236="",E4236="!!!"),"",IF(OR(J4236=0,AND(J4236=1,K4236=1),AND(J4236=1,I4236="SBJ"),AND(J4236=1,I4236=0)),"?IN_FOCUS",IF(J4236&lt;=2,"?ACTIVATED",IF(J4236&lt;&gt;"","?FAMILIAR",IF(F4236="NEW",IF(ISNA(VLOOKUP(E4236,#REF!,1,FALSE())),"?TYPE_IDENTIFIABLE","?REFERENTIAL"),"_")))))</f>
        <v> </v>
      </c>
      <c r="H4236" s="24" t="str">
        <f>IF(J4236&lt;&gt;1,"",IF(I4236="SBJ","CB","?"))</f>
        <v> </v>
      </c>
      <c r="I4236" s="25" t="str">
        <f>IF(OR(E4236="",E4236="!!!",F4236="NEW"),"",INDEX(B4235:B$2,-1+SUMPRODUCT(MAX(ROW(E4235:E$2)*(E4236=E4235:E$2)))))</f>
        <v> </v>
      </c>
      <c r="J4236" s="25" t="str">
        <f>IF(OR(E4236="",E4236="!!!",F4236="NEW"),"",COUNTBLANK(OFFSET(A$1,,,SUMPRODUCT(MAX(ROW(E$2:E4236)*(E4236=E$2:E4236)))))-COUNTBLANK(OFFSET(A$1,,,SUMPRODUCT(MAX(ROW(E$1:E4235)*(E2=E$1:E4235))))))</f>
        <v> </v>
      </c>
      <c r="K4236" s="25" t="str">
        <f>IF(OR(E4236="",E4236="!!!",F4236="NEW"),"",INDEX(J$1:J4235,SUMPRODUCT(MAX(ROW(E$1:E4235)*(E4236=E$1:E4235)))))</f>
        <v> </v>
      </c>
      <c r="L4236" s="26"/>
    </row>
    <row r="4237" spans="1:12">
      <c r="A4237" s="20" t="s">
        <v>1746</v>
      </c>
      <c r="E4237" s="21">
        <f>IF(D4237="?OLD","!!!","")</f>
        <v/>
      </c>
      <c r="F4237" s="22" t="str">
        <f>IF(OR(E4237="",E4237="!!!"),"",IF(NOT(ISNA(VLOOKUP(E4237,E$1:E4236,1,FALSE()))),"OLD",IF(AND(E4237&lt;&gt;"",E4237&lt;&gt;"!!!"),"NEW","")))</f>
        <v> </v>
      </c>
      <c r="G4237" s="23" t="str">
        <f>IF(OR(E4237="",E4237="!!!"),"",IF(OR(J4237=0,AND(J4237=1,K4237=1),AND(J4237=1,I4237="SBJ"),AND(J4237=1,I4237=0)),"?IN_FOCUS",IF(J4237&lt;=2,"?ACTIVATED",IF(J4237&lt;&gt;"","?FAMILIAR",IF(F4237="NEW",IF(ISNA(VLOOKUP(E4237,#REF!,1,FALSE())),"?TYPE_IDENTIFIABLE","?REFERENTIAL"),"_")))))</f>
        <v> </v>
      </c>
      <c r="H4237" s="24" t="str">
        <f>IF(J4237&lt;&gt;1,"",IF(I4237="SBJ","CB","?"))</f>
        <v> </v>
      </c>
      <c r="I4237" s="25" t="str">
        <f>IF(OR(E4237="",E4237="!!!",F4237="NEW"),"",INDEX(B4236:B$2,-1+SUMPRODUCT(MAX(ROW(E4236:E$2)*(E4237=E4236:E$2)))))</f>
        <v> </v>
      </c>
      <c r="J4237" s="25" t="str">
        <f>IF(OR(E4237="",E4237="!!!",F4237="NEW"),"",COUNTBLANK(OFFSET(A$1,,,SUMPRODUCT(MAX(ROW(E$2:E4237)*(E4237=E$2:E4237)))))-COUNTBLANK(OFFSET(A$1,,,SUMPRODUCT(MAX(ROW(E$1:E4236)*(E2=E$1:E4236))))))</f>
        <v> </v>
      </c>
      <c r="K4237" s="25" t="str">
        <f>IF(OR(E4237="",E4237="!!!",F4237="NEW"),"",INDEX(J$1:J4236,SUMPRODUCT(MAX(ROW(E$1:E4236)*(E4237=E$1:E4236)))))</f>
        <v> </v>
      </c>
      <c r="L4237" s="26"/>
    </row>
    <row r="4238" spans="1:12">
      <c r="A4238" s="20" t="s">
        <v>1760</v>
      </c>
      <c r="E4238" s="21">
        <f>IF(D4238="?OLD","!!!","")</f>
        <v/>
      </c>
      <c r="F4238" s="22" t="str">
        <f>IF(OR(E4238="",E4238="!!!"),"",IF(NOT(ISNA(VLOOKUP(E4238,E$1:E4237,1,FALSE()))),"OLD",IF(AND(E4238&lt;&gt;"",E4238&lt;&gt;"!!!"),"NEW","")))</f>
        <v> </v>
      </c>
      <c r="G4238" s="23" t="str">
        <f>IF(OR(E4238="",E4238="!!!"),"",IF(OR(J4238=0,AND(J4238=1,K4238=1),AND(J4238=1,I4238="SBJ"),AND(J4238=1,I4238=0)),"?IN_FOCUS",IF(J4238&lt;=2,"?ACTIVATED",IF(J4238&lt;&gt;"","?FAMILIAR",IF(F4238="NEW",IF(ISNA(VLOOKUP(E4238,#REF!,1,FALSE())),"?TYPE_IDENTIFIABLE","?REFERENTIAL"),"_")))))</f>
        <v> </v>
      </c>
      <c r="H4238" s="24" t="str">
        <f>IF(J4238&lt;&gt;1,"",IF(I4238="SBJ","CB","?"))</f>
        <v> </v>
      </c>
      <c r="I4238" s="25" t="str">
        <f>IF(OR(E4238="",E4238="!!!",F4238="NEW"),"",INDEX(B4237:B$2,-1+SUMPRODUCT(MAX(ROW(E4237:E$2)*(E4238=E4237:E$2)))))</f>
        <v> </v>
      </c>
      <c r="J4238" s="25" t="str">
        <f>IF(OR(E4238="",E4238="!!!",F4238="NEW"),"",COUNTBLANK(OFFSET(A$1,,,SUMPRODUCT(MAX(ROW(E$2:E4238)*(E4238=E$2:E4238)))))-COUNTBLANK(OFFSET(A$1,,,SUMPRODUCT(MAX(ROW(E$1:E4237)*(E2=E$1:E4237))))))</f>
        <v> </v>
      </c>
      <c r="K4238" s="25" t="str">
        <f>IF(OR(E4238="",E4238="!!!",F4238="NEW"),"",INDEX(J$1:J4237,SUMPRODUCT(MAX(ROW(E$1:E4237)*(E4238=E$1:E4237)))))</f>
        <v> </v>
      </c>
      <c r="L4238" s="26"/>
    </row>
    <row r="4239" spans="1:12">
      <c r="A4239" s="20" t="s">
        <v>721</v>
      </c>
      <c r="E4239" s="21">
        <f>IF(D4239="?OLD","!!!","")</f>
        <v/>
      </c>
      <c r="F4239" s="22" t="str">
        <f>IF(OR(E4239="",E4239="!!!"),"",IF(NOT(ISNA(VLOOKUP(E4239,E$1:E4238,1,FALSE()))),"OLD",IF(AND(E4239&lt;&gt;"",E4239&lt;&gt;"!!!"),"NEW","")))</f>
        <v> </v>
      </c>
      <c r="G4239" s="23" t="str">
        <f>IF(OR(E4239="",E4239="!!!"),"",IF(OR(J4239=0,AND(J4239=1,K4239=1),AND(J4239=1,I4239="SBJ"),AND(J4239=1,I4239=0)),"?IN_FOCUS",IF(J4239&lt;=2,"?ACTIVATED",IF(J4239&lt;&gt;"","?FAMILIAR",IF(F4239="NEW",IF(ISNA(VLOOKUP(E4239,#REF!,1,FALSE())),"?TYPE_IDENTIFIABLE","?REFERENTIAL"),"_")))))</f>
        <v> </v>
      </c>
      <c r="H4239" s="24" t="str">
        <f>IF(J4239&lt;&gt;1,"",IF(I4239="SBJ","CB","?"))</f>
        <v> </v>
      </c>
      <c r="I4239" s="25" t="str">
        <f>IF(OR(E4239="",E4239="!!!",F4239="NEW"),"",INDEX(B4238:B$2,-1+SUMPRODUCT(MAX(ROW(E4238:E$2)*(E4239=E4238:E$2)))))</f>
        <v> </v>
      </c>
      <c r="J4239" s="25" t="str">
        <f>IF(OR(E4239="",E4239="!!!",F4239="NEW"),"",COUNTBLANK(OFFSET(A$1,,,SUMPRODUCT(MAX(ROW(E$2:E4239)*(E4239=E$2:E4239)))))-COUNTBLANK(OFFSET(A$1,,,SUMPRODUCT(MAX(ROW(E$1:E4238)*(E2=E$1:E4238))))))</f>
        <v> </v>
      </c>
      <c r="K4239" s="25" t="str">
        <f>IF(OR(E4239="",E4239="!!!",F4239="NEW"),"",INDEX(J$1:J4238,SUMPRODUCT(MAX(ROW(E$1:E4238)*(E4239=E$1:E4238)))))</f>
        <v> </v>
      </c>
      <c r="L4239" s="26"/>
    </row>
    <row r="4240" spans="1:12">
      <c r="A4240" s="20" t="s">
        <v>1289</v>
      </c>
      <c r="B4240" s="27" t="s">
        <v>762</v>
      </c>
      <c r="C4240" s="27" t="s">
        <v>693</v>
      </c>
      <c r="D4240" s="27" t="s">
        <v>694</v>
      </c>
      <c r="E4240" s="21">
        <f>IF(D4240="?OLD","!!!","")</f>
        <v/>
      </c>
      <c r="F4240" s="22" t="str">
        <f>IF(OR(E4240="",E4240="!!!"),"",IF(NOT(ISNA(VLOOKUP(E4240,E$1:E4239,1,FALSE()))),"OLD",IF(AND(E4240&lt;&gt;"",E4240&lt;&gt;"!!!"),"NEW","")))</f>
        <v> </v>
      </c>
      <c r="G4240" s="23" t="str">
        <f>IF(OR(E4240="",E4240="!!!"),"",IF(OR(J4240=0,AND(J4240=1,K4240=1),AND(J4240=1,I4240="SBJ"),AND(J4240=1,I4240=0)),"?IN_FOCUS",IF(J4240&lt;=2,"?ACTIVATED",IF(J4240&lt;&gt;"","?FAMILIAR",IF(F4240="NEW",IF(ISNA(VLOOKUP(E4240,#REF!,1,FALSE())),"?TYPE_IDENTIFIABLE","?REFERENTIAL"),"_")))))</f>
        <v> </v>
      </c>
      <c r="H4240" s="24" t="str">
        <f>IF(J4240&lt;&gt;1,"",IF(I4240="SBJ","CB","?"))</f>
        <v> </v>
      </c>
      <c r="I4240" s="25" t="str">
        <f>IF(OR(E4240="",E4240="!!!",F4240="NEW"),"",INDEX(B4239:B$2,-1+SUMPRODUCT(MAX(ROW(E4239:E$2)*(E4240=E4239:E$2)))))</f>
        <v> </v>
      </c>
      <c r="J4240" s="25" t="str">
        <f>IF(OR(E4240="",E4240="!!!",F4240="NEW"),"",COUNTBLANK(OFFSET(A$1,,,SUMPRODUCT(MAX(ROW(E$2:E4240)*(E4240=E$2:E4240)))))-COUNTBLANK(OFFSET(A$1,,,SUMPRODUCT(MAX(ROW(E$1:E4239)*(E2=E$1:E4239))))))</f>
        <v> </v>
      </c>
      <c r="K4240" s="25" t="str">
        <f>IF(OR(E4240="",E4240="!!!",F4240="NEW"),"",INDEX(J$1:J4239,SUMPRODUCT(MAX(ROW(E$1:E4239)*(E4240=E$1:E4239)))))</f>
        <v> </v>
      </c>
      <c r="L4240" s="26"/>
    </row>
    <row r="4241" spans="1:12">
      <c r="A4241" s="20" t="s">
        <v>1727</v>
      </c>
      <c r="E4241" s="21">
        <f>IF(D4241="?OLD","!!!","")</f>
        <v/>
      </c>
      <c r="F4241" s="22" t="str">
        <f>IF(OR(E4241="",E4241="!!!"),"",IF(NOT(ISNA(VLOOKUP(E4241,E$1:E4240,1,FALSE()))),"OLD",IF(AND(E4241&lt;&gt;"",E4241&lt;&gt;"!!!"),"NEW","")))</f>
        <v> </v>
      </c>
      <c r="G4241" s="23" t="str">
        <f>IF(OR(E4241="",E4241="!!!"),"",IF(OR(J4241=0,AND(J4241=1,K4241=1),AND(J4241=1,I4241="SBJ"),AND(J4241=1,I4241=0)),"?IN_FOCUS",IF(J4241&lt;=2,"?ACTIVATED",IF(J4241&lt;&gt;"","?FAMILIAR",IF(F4241="NEW",IF(ISNA(VLOOKUP(E4241,#REF!,1,FALSE())),"?TYPE_IDENTIFIABLE","?REFERENTIAL"),"_")))))</f>
        <v> </v>
      </c>
      <c r="H4241" s="24" t="str">
        <f>IF(J4241&lt;&gt;1,"",IF(I4241="SBJ","CB","?"))</f>
        <v> </v>
      </c>
      <c r="I4241" s="25" t="str">
        <f>IF(OR(E4241="",E4241="!!!",F4241="NEW"),"",INDEX(B4240:B$2,-1+SUMPRODUCT(MAX(ROW(E4240:E$2)*(E4241=E4240:E$2)))))</f>
        <v> </v>
      </c>
      <c r="J4241" s="25" t="str">
        <f>IF(OR(E4241="",E4241="!!!",F4241="NEW"),"",COUNTBLANK(OFFSET(A$1,,,SUMPRODUCT(MAX(ROW(E$2:E4241)*(E4241=E$2:E4241)))))-COUNTBLANK(OFFSET(A$1,,,SUMPRODUCT(MAX(ROW(E$1:E4240)*(E2=E$1:E4240))))))</f>
        <v> </v>
      </c>
      <c r="K4241" s="25" t="str">
        <f>IF(OR(E4241="",E4241="!!!",F4241="NEW"),"",INDEX(J$1:J4240,SUMPRODUCT(MAX(ROW(E$1:E4240)*(E4241=E$1:E4240)))))</f>
        <v> </v>
      </c>
      <c r="L4241" s="26"/>
    </row>
    <row r="4242" spans="1:12">
      <c r="A4242" s="20" t="s">
        <v>725</v>
      </c>
      <c r="E4242" s="21">
        <f>IF(D4242="?OLD","!!!","")</f>
        <v/>
      </c>
      <c r="F4242" s="22" t="str">
        <f>IF(OR(E4242="",E4242="!!!"),"",IF(NOT(ISNA(VLOOKUP(E4242,E$1:E4241,1,FALSE()))),"OLD",IF(AND(E4242&lt;&gt;"",E4242&lt;&gt;"!!!"),"NEW","")))</f>
        <v> </v>
      </c>
      <c r="G4242" s="23" t="str">
        <f>IF(OR(E4242="",E4242="!!!"),"",IF(OR(J4242=0,AND(J4242=1,K4242=1),AND(J4242=1,I4242="SBJ"),AND(J4242=1,I4242=0)),"?IN_FOCUS",IF(J4242&lt;=2,"?ACTIVATED",IF(J4242&lt;&gt;"","?FAMILIAR",IF(F4242="NEW",IF(ISNA(VLOOKUP(E4242,#REF!,1,FALSE())),"?TYPE_IDENTIFIABLE","?REFERENTIAL"),"_")))))</f>
        <v> </v>
      </c>
      <c r="H4242" s="24" t="str">
        <f>IF(J4242&lt;&gt;1,"",IF(I4242="SBJ","CB","?"))</f>
        <v> </v>
      </c>
      <c r="I4242" s="25" t="str">
        <f>IF(OR(E4242="",E4242="!!!",F4242="NEW"),"",INDEX(B4241:B$2,-1+SUMPRODUCT(MAX(ROW(E4241:E$2)*(E4242=E4241:E$2)))))</f>
        <v> </v>
      </c>
      <c r="J4242" s="25" t="str">
        <f>IF(OR(E4242="",E4242="!!!",F4242="NEW"),"",COUNTBLANK(OFFSET(A$1,,,SUMPRODUCT(MAX(ROW(E$2:E4242)*(E4242=E$2:E4242)))))-COUNTBLANK(OFFSET(A$1,,,SUMPRODUCT(MAX(ROW(E$1:E4241)*(E2=E$1:E4241))))))</f>
        <v> </v>
      </c>
      <c r="K4242" s="25" t="str">
        <f>IF(OR(E4242="",E4242="!!!",F4242="NEW"),"",INDEX(J$1:J4241,SUMPRODUCT(MAX(ROW(E$1:E4241)*(E4242=E$1:E4241)))))</f>
        <v> </v>
      </c>
      <c r="L4242" s="26"/>
    </row>
    <row r="4243" spans="1:12">
      <c r="A4243" s="20" t="s">
        <v>997</v>
      </c>
      <c r="B4243" s="27" t="s">
        <v>823</v>
      </c>
      <c r="C4243" s="27" t="s">
        <v>733</v>
      </c>
      <c r="D4243" s="27" t="s">
        <v>694</v>
      </c>
      <c r="E4243" s="21">
        <f>IF(D4243="?OLD","!!!","")</f>
        <v/>
      </c>
      <c r="F4243" s="22" t="str">
        <f>IF(OR(E4243="",E4243="!!!"),"",IF(NOT(ISNA(VLOOKUP(E4243,E$1:E4242,1,FALSE()))),"OLD",IF(AND(E4243&lt;&gt;"",E4243&lt;&gt;"!!!"),"NEW","")))</f>
        <v> </v>
      </c>
      <c r="G4243" s="23" t="str">
        <f>IF(OR(E4243="",E4243="!!!"),"",IF(OR(J4243=0,AND(J4243=1,K4243=1),AND(J4243=1,I4243="SBJ"),AND(J4243=1,I4243=0)),"?IN_FOCUS",IF(J4243&lt;=2,"?ACTIVATED",IF(J4243&lt;&gt;"","?FAMILIAR",IF(F4243="NEW",IF(ISNA(VLOOKUP(E4243,#REF!,1,FALSE())),"?TYPE_IDENTIFIABLE","?REFERENTIAL"),"_")))))</f>
        <v> </v>
      </c>
      <c r="H4243" s="24" t="str">
        <f>IF(J4243&lt;&gt;1,"",IF(I4243="SBJ","CB","?"))</f>
        <v> </v>
      </c>
      <c r="I4243" s="25" t="str">
        <f>IF(OR(E4243="",E4243="!!!",F4243="NEW"),"",INDEX(B4242:B$2,-1+SUMPRODUCT(MAX(ROW(E4242:E$2)*(E4243=E4242:E$2)))))</f>
        <v> </v>
      </c>
      <c r="J4243" s="25" t="str">
        <f>IF(OR(E4243="",E4243="!!!",F4243="NEW"),"",COUNTBLANK(OFFSET(A$1,,,SUMPRODUCT(MAX(ROW(E$2:E4243)*(E4243=E$2:E4243)))))-COUNTBLANK(OFFSET(A$1,,,SUMPRODUCT(MAX(ROW(E$1:E4242)*(E2=E$1:E4242))))))</f>
        <v> </v>
      </c>
      <c r="K4243" s="25" t="str">
        <f>IF(OR(E4243="",E4243="!!!",F4243="NEW"),"",INDEX(J$1:J4242,SUMPRODUCT(MAX(ROW(E$1:E4242)*(E4243=E$1:E4242)))))</f>
        <v> </v>
      </c>
      <c r="L4243" s="26"/>
    </row>
    <row r="4244" spans="1:12">
      <c r="A4244" s="20" t="s">
        <v>690</v>
      </c>
      <c r="B4244" s="27" t="s">
        <v>762</v>
      </c>
      <c r="C4244" s="27" t="s">
        <v>733</v>
      </c>
      <c r="D4244" s="27" t="s">
        <v>694</v>
      </c>
      <c r="E4244" s="21">
        <f>IF(D4244="?OLD","!!!","")</f>
        <v/>
      </c>
      <c r="F4244" s="22" t="str">
        <f>IF(OR(E4244="",E4244="!!!"),"",IF(NOT(ISNA(VLOOKUP(E4244,E$1:E4243,1,FALSE()))),"OLD",IF(AND(E4244&lt;&gt;"",E4244&lt;&gt;"!!!"),"NEW","")))</f>
        <v> </v>
      </c>
      <c r="G4244" s="23" t="str">
        <f>IF(OR(E4244="",E4244="!!!"),"",IF(OR(J4244=0,AND(J4244=1,K4244=1),AND(J4244=1,I4244="SBJ"),AND(J4244=1,I4244=0)),"?IN_FOCUS",IF(J4244&lt;=2,"?ACTIVATED",IF(J4244&lt;&gt;"","?FAMILIAR",IF(F4244="NEW",IF(ISNA(VLOOKUP(E4244,#REF!,1,FALSE())),"?TYPE_IDENTIFIABLE","?REFERENTIAL"),"_")))))</f>
        <v> </v>
      </c>
      <c r="H4244" s="24" t="str">
        <f>IF(J4244&lt;&gt;1,"",IF(I4244="SBJ","CB","?"))</f>
        <v> </v>
      </c>
      <c r="I4244" s="25" t="str">
        <f>IF(OR(E4244="",E4244="!!!",F4244="NEW"),"",INDEX(B4243:B$2,-1+SUMPRODUCT(MAX(ROW(E4243:E$2)*(E4244=E4243:E$2)))))</f>
        <v> </v>
      </c>
      <c r="J4244" s="25" t="str">
        <f>IF(OR(E4244="",E4244="!!!",F4244="NEW"),"",COUNTBLANK(OFFSET(A$1,,,SUMPRODUCT(MAX(ROW(E$2:E4244)*(E4244=E$2:E4244)))))-COUNTBLANK(OFFSET(A$1,,,SUMPRODUCT(MAX(ROW(E$1:E4243)*(E2=E$1:E4243))))))</f>
        <v> </v>
      </c>
      <c r="K4244" s="25" t="str">
        <f>IF(OR(E4244="",E4244="!!!",F4244="NEW"),"",INDEX(J$1:J4243,SUMPRODUCT(MAX(ROW(E$1:E4243)*(E4244=E$1:E4243)))))</f>
        <v> </v>
      </c>
      <c r="L4244" s="26"/>
    </row>
    <row r="4245" spans="1:12">
      <c r="A4245" s="20" t="s">
        <v>1761</v>
      </c>
      <c r="E4245" s="21">
        <f>IF(D4245="?OLD","!!!","")</f>
        <v/>
      </c>
      <c r="F4245" s="22" t="str">
        <f>IF(OR(E4245="",E4245="!!!"),"",IF(NOT(ISNA(VLOOKUP(E4245,E$1:E4244,1,FALSE()))),"OLD",IF(AND(E4245&lt;&gt;"",E4245&lt;&gt;"!!!"),"NEW","")))</f>
        <v> </v>
      </c>
      <c r="G4245" s="23" t="str">
        <f>IF(OR(E4245="",E4245="!!!"),"",IF(OR(J4245=0,AND(J4245=1,K4245=1),AND(J4245=1,I4245="SBJ"),AND(J4245=1,I4245=0)),"?IN_FOCUS",IF(J4245&lt;=2,"?ACTIVATED",IF(J4245&lt;&gt;"","?FAMILIAR",IF(F4245="NEW",IF(ISNA(VLOOKUP(E4245,#REF!,1,FALSE())),"?TYPE_IDENTIFIABLE","?REFERENTIAL"),"_")))))</f>
        <v> </v>
      </c>
      <c r="H4245" s="24" t="str">
        <f>IF(J4245&lt;&gt;1,"",IF(I4245="SBJ","CB","?"))</f>
        <v> </v>
      </c>
      <c r="I4245" s="25" t="str">
        <f>IF(OR(E4245="",E4245="!!!",F4245="NEW"),"",INDEX(B4244:B$2,-1+SUMPRODUCT(MAX(ROW(E4244:E$2)*(E4245=E4244:E$2)))))</f>
        <v> </v>
      </c>
      <c r="J4245" s="25" t="str">
        <f>IF(OR(E4245="",E4245="!!!",F4245="NEW"),"",COUNTBLANK(OFFSET(A$1,,,SUMPRODUCT(MAX(ROW(E$2:E4245)*(E4245=E$2:E4245)))))-COUNTBLANK(OFFSET(A$1,,,SUMPRODUCT(MAX(ROW(E$1:E4244)*(E2=E$1:E4244))))))</f>
        <v> </v>
      </c>
      <c r="K4245" s="25" t="str">
        <f>IF(OR(E4245="",E4245="!!!",F4245="NEW"),"",INDEX(J$1:J4244,SUMPRODUCT(MAX(ROW(E$1:E4244)*(E4245=E$1:E4244)))))</f>
        <v> </v>
      </c>
      <c r="L4245" s="26"/>
    </row>
    <row r="4246" spans="1:12">
      <c r="A4246" s="20" t="s">
        <v>725</v>
      </c>
      <c r="E4246" s="21">
        <f>IF(D4246="?OLD","!!!","")</f>
        <v/>
      </c>
      <c r="F4246" s="22" t="str">
        <f>IF(OR(E4246="",E4246="!!!"),"",IF(NOT(ISNA(VLOOKUP(E4246,E$1:E4245,1,FALSE()))),"OLD",IF(AND(E4246&lt;&gt;"",E4246&lt;&gt;"!!!"),"NEW","")))</f>
        <v> </v>
      </c>
      <c r="G4246" s="23" t="str">
        <f>IF(OR(E4246="",E4246="!!!"),"",IF(OR(J4246=0,AND(J4246=1,K4246=1),AND(J4246=1,I4246="SBJ"),AND(J4246=1,I4246=0)),"?IN_FOCUS",IF(J4246&lt;=2,"?ACTIVATED",IF(J4246&lt;&gt;"","?FAMILIAR",IF(F4246="NEW",IF(ISNA(VLOOKUP(E4246,#REF!,1,FALSE())),"?TYPE_IDENTIFIABLE","?REFERENTIAL"),"_")))))</f>
        <v> </v>
      </c>
      <c r="H4246" s="24" t="str">
        <f>IF(J4246&lt;&gt;1,"",IF(I4246="SBJ","CB","?"))</f>
        <v> </v>
      </c>
      <c r="I4246" s="25" t="str">
        <f>IF(OR(E4246="",E4246="!!!",F4246="NEW"),"",INDEX(B4245:B$2,-1+SUMPRODUCT(MAX(ROW(E4245:E$2)*(E4246=E4245:E$2)))))</f>
        <v> </v>
      </c>
      <c r="J4246" s="25" t="str">
        <f>IF(OR(E4246="",E4246="!!!",F4246="NEW"),"",COUNTBLANK(OFFSET(A$1,,,SUMPRODUCT(MAX(ROW(E$2:E4246)*(E4246=E$2:E4246)))))-COUNTBLANK(OFFSET(A$1,,,SUMPRODUCT(MAX(ROW(E$1:E4245)*(E2=E$1:E4245))))))</f>
        <v> </v>
      </c>
      <c r="K4246" s="25" t="str">
        <f>IF(OR(E4246="",E4246="!!!",F4246="NEW"),"",INDEX(J$1:J4245,SUMPRODUCT(MAX(ROW(E$1:E4245)*(E4246=E$1:E4245)))))</f>
        <v> </v>
      </c>
      <c r="L4246" s="26"/>
    </row>
    <row r="4247" spans="1:12">
      <c r="A4247" s="20" t="s">
        <v>862</v>
      </c>
      <c r="E4247" s="21">
        <f>IF(D4247="?OLD","!!!","")</f>
        <v/>
      </c>
      <c r="F4247" s="22" t="str">
        <f>IF(OR(E4247="",E4247="!!!"),"",IF(NOT(ISNA(VLOOKUP(E4247,E$1:E4246,1,FALSE()))),"OLD",IF(AND(E4247&lt;&gt;"",E4247&lt;&gt;"!!!"),"NEW","")))</f>
        <v> </v>
      </c>
      <c r="G4247" s="23" t="str">
        <f>IF(OR(E4247="",E4247="!!!"),"",IF(OR(J4247=0,AND(J4247=1,K4247=1),AND(J4247=1,I4247="SBJ"),AND(J4247=1,I4247=0)),"?IN_FOCUS",IF(J4247&lt;=2,"?ACTIVATED",IF(J4247&lt;&gt;"","?FAMILIAR",IF(F4247="NEW",IF(ISNA(VLOOKUP(E4247,#REF!,1,FALSE())),"?TYPE_IDENTIFIABLE","?REFERENTIAL"),"_")))))</f>
        <v> </v>
      </c>
      <c r="H4247" s="24" t="str">
        <f>IF(J4247&lt;&gt;1,"",IF(I4247="SBJ","CB","?"))</f>
        <v> </v>
      </c>
      <c r="I4247" s="25" t="str">
        <f>IF(OR(E4247="",E4247="!!!",F4247="NEW"),"",INDEX(B4246:B$2,-1+SUMPRODUCT(MAX(ROW(E4246:E$2)*(E4247=E4246:E$2)))))</f>
        <v> </v>
      </c>
      <c r="J4247" s="25" t="str">
        <f>IF(OR(E4247="",E4247="!!!",F4247="NEW"),"",COUNTBLANK(OFFSET(A$1,,,SUMPRODUCT(MAX(ROW(E$2:E4247)*(E4247=E$2:E4247)))))-COUNTBLANK(OFFSET(A$1,,,SUMPRODUCT(MAX(ROW(E$1:E4246)*(E2=E$1:E4246))))))</f>
        <v> </v>
      </c>
      <c r="K4247" s="25" t="str">
        <f>IF(OR(E4247="",E4247="!!!",F4247="NEW"),"",INDEX(J$1:J4246,SUMPRODUCT(MAX(ROW(E$1:E4246)*(E4247=E$1:E4246)))))</f>
        <v> </v>
      </c>
      <c r="L4247" s="26"/>
    </row>
    <row r="4248" spans="1:12">
      <c r="A4248" s="20" t="s">
        <v>721</v>
      </c>
      <c r="E4248" s="21">
        <f>IF(D4248="?OLD","!!!","")</f>
        <v/>
      </c>
      <c r="F4248" s="22" t="str">
        <f>IF(OR(E4248="",E4248="!!!"),"",IF(NOT(ISNA(VLOOKUP(E4248,E$1:E4247,1,FALSE()))),"OLD",IF(AND(E4248&lt;&gt;"",E4248&lt;&gt;"!!!"),"NEW","")))</f>
        <v> </v>
      </c>
      <c r="G4248" s="23" t="str">
        <f>IF(OR(E4248="",E4248="!!!"),"",IF(OR(J4248=0,AND(J4248=1,K4248=1),AND(J4248=1,I4248="SBJ"),AND(J4248=1,I4248=0)),"?IN_FOCUS",IF(J4248&lt;=2,"?ACTIVATED",IF(J4248&lt;&gt;"","?FAMILIAR",IF(F4248="NEW",IF(ISNA(VLOOKUP(E4248,#REF!,1,FALSE())),"?TYPE_IDENTIFIABLE","?REFERENTIAL"),"_")))))</f>
        <v> </v>
      </c>
      <c r="H4248" s="24" t="str">
        <f>IF(J4248&lt;&gt;1,"",IF(I4248="SBJ","CB","?"))</f>
        <v> </v>
      </c>
      <c r="I4248" s="25" t="str">
        <f>IF(OR(E4248="",E4248="!!!",F4248="NEW"),"",INDEX(B4247:B$2,-1+SUMPRODUCT(MAX(ROW(E4247:E$2)*(E4248=E4247:E$2)))))</f>
        <v> </v>
      </c>
      <c r="J4248" s="25" t="str">
        <f>IF(OR(E4248="",E4248="!!!",F4248="NEW"),"",COUNTBLANK(OFFSET(A$1,,,SUMPRODUCT(MAX(ROW(E$2:E4248)*(E4248=E$2:E4248)))))-COUNTBLANK(OFFSET(A$1,,,SUMPRODUCT(MAX(ROW(E$1:E4247)*(E2=E$1:E4247))))))</f>
        <v> </v>
      </c>
      <c r="K4248" s="25" t="str">
        <f>IF(OR(E4248="",E4248="!!!",F4248="NEW"),"",INDEX(J$1:J4247,SUMPRODUCT(MAX(ROW(E$1:E4247)*(E4248=E$1:E4247)))))</f>
        <v> </v>
      </c>
      <c r="L4248" s="26"/>
    </row>
    <row r="4249" spans="1:12">
      <c r="A4249" s="20" t="s">
        <v>723</v>
      </c>
      <c r="B4249" s="27" t="s">
        <v>737</v>
      </c>
      <c r="C4249" s="27" t="s">
        <v>693</v>
      </c>
      <c r="D4249" s="27" t="s">
        <v>694</v>
      </c>
      <c r="E4249" s="21">
        <f>IF(D4249="?OLD","!!!","")</f>
        <v/>
      </c>
      <c r="F4249" s="22" t="str">
        <f>IF(OR(E4249="",E4249="!!!"),"",IF(NOT(ISNA(VLOOKUP(E4249,E$1:E4248,1,FALSE()))),"OLD",IF(AND(E4249&lt;&gt;"",E4249&lt;&gt;"!!!"),"NEW","")))</f>
        <v> </v>
      </c>
      <c r="G4249" s="23" t="str">
        <f>IF(OR(E4249="",E4249="!!!"),"",IF(OR(J4249=0,AND(J4249=1,K4249=1),AND(J4249=1,I4249="SBJ"),AND(J4249=1,I4249=0)),"?IN_FOCUS",IF(J4249&lt;=2,"?ACTIVATED",IF(J4249&lt;&gt;"","?FAMILIAR",IF(F4249="NEW",IF(ISNA(VLOOKUP(E4249,#REF!,1,FALSE())),"?TYPE_IDENTIFIABLE","?REFERENTIAL"),"_")))))</f>
        <v> </v>
      </c>
      <c r="H4249" s="24" t="str">
        <f>IF(J4249&lt;&gt;1,"",IF(I4249="SBJ","CB","?"))</f>
        <v> </v>
      </c>
      <c r="I4249" s="25" t="str">
        <f>IF(OR(E4249="",E4249="!!!",F4249="NEW"),"",INDEX(B4248:B$2,-1+SUMPRODUCT(MAX(ROW(E4248:E$2)*(E4249=E4248:E$2)))))</f>
        <v> </v>
      </c>
      <c r="J4249" s="25" t="str">
        <f>IF(OR(E4249="",E4249="!!!",F4249="NEW"),"",COUNTBLANK(OFFSET(A$1,,,SUMPRODUCT(MAX(ROW(E$2:E4249)*(E4249=E$2:E4249)))))-COUNTBLANK(OFFSET(A$1,,,SUMPRODUCT(MAX(ROW(E$1:E4248)*(E2=E$1:E4248))))))</f>
        <v> </v>
      </c>
      <c r="K4249" s="25" t="str">
        <f>IF(OR(E4249="",E4249="!!!",F4249="NEW"),"",INDEX(J$1:J4248,SUMPRODUCT(MAX(ROW(E$1:E4248)*(E4249=E$1:E4248)))))</f>
        <v> </v>
      </c>
      <c r="L4249" s="26"/>
    </row>
    <row r="4250" spans="1:12">
      <c r="A4250" s="20" t="s">
        <v>708</v>
      </c>
      <c r="B4250" s="27" t="s">
        <v>886</v>
      </c>
      <c r="E4250" s="21">
        <f>IF(D4250="?OLD","!!!","")</f>
        <v/>
      </c>
      <c r="F4250" s="22" t="str">
        <f>IF(OR(E4250="",E4250="!!!"),"",IF(NOT(ISNA(VLOOKUP(E4250,E$1:E4249,1,FALSE()))),"OLD",IF(AND(E4250&lt;&gt;"",E4250&lt;&gt;"!!!"),"NEW","")))</f>
        <v> </v>
      </c>
      <c r="G4250" s="23" t="str">
        <f>IF(OR(E4250="",E4250="!!!"),"",IF(OR(J4250=0,AND(J4250=1,K4250=1),AND(J4250=1,I4250="SBJ"),AND(J4250=1,I4250=0)),"?IN_FOCUS",IF(J4250&lt;=2,"?ACTIVATED",IF(J4250&lt;&gt;"","?FAMILIAR",IF(F4250="NEW",IF(ISNA(VLOOKUP(E4250,#REF!,1,FALSE())),"?TYPE_IDENTIFIABLE","?REFERENTIAL"),"_")))))</f>
        <v> </v>
      </c>
      <c r="H4250" s="24" t="str">
        <f>IF(J4250&lt;&gt;1,"",IF(I4250="SBJ","CB","?"))</f>
        <v> </v>
      </c>
      <c r="I4250" s="25" t="str">
        <f>IF(OR(E4250="",E4250="!!!",F4250="NEW"),"",INDEX(B4249:B$2,-1+SUMPRODUCT(MAX(ROW(E4249:E$2)*(E4250=E4249:E$2)))))</f>
        <v> </v>
      </c>
      <c r="J4250" s="25" t="str">
        <f>IF(OR(E4250="",E4250="!!!",F4250="NEW"),"",COUNTBLANK(OFFSET(A$1,,,SUMPRODUCT(MAX(ROW(E$2:E4250)*(E4250=E$2:E4250)))))-COUNTBLANK(OFFSET(A$1,,,SUMPRODUCT(MAX(ROW(E$1:E4249)*(E2=E$1:E4249))))))</f>
        <v> </v>
      </c>
      <c r="K4250" s="25" t="str">
        <f>IF(OR(E4250="",E4250="!!!",F4250="NEW"),"",INDEX(J$1:J4249,SUMPRODUCT(MAX(ROW(E$1:E4249)*(E4250=E$1:E4249)))))</f>
        <v> </v>
      </c>
      <c r="L4250" s="26"/>
    </row>
    <row r="4251" spans="1:12">
      <c r="A4251" s="20" t="s">
        <v>1762</v>
      </c>
      <c r="E4251" s="21">
        <f>IF(D4251="?OLD","!!!","")</f>
        <v/>
      </c>
      <c r="F4251" s="22" t="str">
        <f>IF(OR(E4251="",E4251="!!!"),"",IF(NOT(ISNA(VLOOKUP(E4251,E$1:E4250,1,FALSE()))),"OLD",IF(AND(E4251&lt;&gt;"",E4251&lt;&gt;"!!!"),"NEW","")))</f>
        <v> </v>
      </c>
      <c r="G4251" s="23" t="str">
        <f>IF(OR(E4251="",E4251="!!!"),"",IF(OR(J4251=0,AND(J4251=1,K4251=1),AND(J4251=1,I4251="SBJ"),AND(J4251=1,I4251=0)),"?IN_FOCUS",IF(J4251&lt;=2,"?ACTIVATED",IF(J4251&lt;&gt;"","?FAMILIAR",IF(F4251="NEW",IF(ISNA(VLOOKUP(E4251,#REF!,1,FALSE())),"?TYPE_IDENTIFIABLE","?REFERENTIAL"),"_")))))</f>
        <v> </v>
      </c>
      <c r="H4251" s="24" t="str">
        <f>IF(J4251&lt;&gt;1,"",IF(I4251="SBJ","CB","?"))</f>
        <v> </v>
      </c>
      <c r="I4251" s="25" t="str">
        <f>IF(OR(E4251="",E4251="!!!",F4251="NEW"),"",INDEX(B4250:B$2,-1+SUMPRODUCT(MAX(ROW(E4250:E$2)*(E4251=E4250:E$2)))))</f>
        <v> </v>
      </c>
      <c r="J4251" s="25" t="str">
        <f>IF(OR(E4251="",E4251="!!!",F4251="NEW"),"",COUNTBLANK(OFFSET(A$1,,,SUMPRODUCT(MAX(ROW(E$2:E4251)*(E4251=E$2:E4251)))))-COUNTBLANK(OFFSET(A$1,,,SUMPRODUCT(MAX(ROW(E$1:E4250)*(E2=E$1:E4250))))))</f>
        <v> </v>
      </c>
      <c r="K4251" s="25" t="str">
        <f>IF(OR(E4251="",E4251="!!!",F4251="NEW"),"",INDEX(J$1:J4250,SUMPRODUCT(MAX(ROW(E$1:E4250)*(E4251=E$1:E4250)))))</f>
        <v> </v>
      </c>
      <c r="L4251" s="26"/>
    </row>
    <row r="4252" spans="1:12">
      <c r="A4252" s="20" t="s">
        <v>699</v>
      </c>
      <c r="E4252" s="21">
        <f>IF(D4252="?OLD","!!!","")</f>
        <v/>
      </c>
      <c r="F4252" s="22" t="str">
        <f>IF(OR(E4252="",E4252="!!!"),"",IF(NOT(ISNA(VLOOKUP(E4252,E$1:E4251,1,FALSE()))),"OLD",IF(AND(E4252&lt;&gt;"",E4252&lt;&gt;"!!!"),"NEW","")))</f>
        <v> </v>
      </c>
      <c r="G4252" s="23" t="str">
        <f>IF(OR(E4252="",E4252="!!!"),"",IF(OR(J4252=0,AND(J4252=1,K4252=1),AND(J4252=1,I4252="SBJ"),AND(J4252=1,I4252=0)),"?IN_FOCUS",IF(J4252&lt;=2,"?ACTIVATED",IF(J4252&lt;&gt;"","?FAMILIAR",IF(F4252="NEW",IF(ISNA(VLOOKUP(E4252,#REF!,1,FALSE())),"?TYPE_IDENTIFIABLE","?REFERENTIAL"),"_")))))</f>
        <v> </v>
      </c>
      <c r="H4252" s="24" t="str">
        <f>IF(J4252&lt;&gt;1,"",IF(I4252="SBJ","CB","?"))</f>
        <v> </v>
      </c>
      <c r="I4252" s="25" t="str">
        <f>IF(OR(E4252="",E4252="!!!",F4252="NEW"),"",INDEX(B4251:B$2,-1+SUMPRODUCT(MAX(ROW(E4251:E$2)*(E4252=E4251:E$2)))))</f>
        <v> </v>
      </c>
      <c r="J4252" s="25" t="str">
        <f>IF(OR(E4252="",E4252="!!!",F4252="NEW"),"",COUNTBLANK(OFFSET(A$1,,,SUMPRODUCT(MAX(ROW(E$2:E4252)*(E4252=E$2:E4252)))))-COUNTBLANK(OFFSET(A$1,,,SUMPRODUCT(MAX(ROW(E$1:E4251)*(E2=E$1:E4251))))))</f>
        <v> </v>
      </c>
      <c r="K4252" s="25" t="str">
        <f>IF(OR(E4252="",E4252="!!!",F4252="NEW"),"",INDEX(J$1:J4251,SUMPRODUCT(MAX(ROW(E$1:E4251)*(E4252=E$1:E4251)))))</f>
        <v> </v>
      </c>
      <c r="L4252" s="26"/>
    </row>
    <row r="4253" spans="1:12">
      <c r="A4253" s="20"/>
    </row>
    <row r="4254" spans="1:12">
      <c r="A4254" s="20" t="s">
        <v>1763</v>
      </c>
    </row>
    <row r="4255" spans="1:12">
      <c r="A4255" s="20" t="s">
        <v>1096</v>
      </c>
      <c r="E4255" s="21">
        <f>IF(D4255="?OLD","!!!","")</f>
        <v/>
      </c>
      <c r="F4255" s="22" t="str">
        <f>IF(OR(E4255="",E4255="!!!"),"",IF(NOT(ISNA(VLOOKUP(E4255,E$1:E4254,1,FALSE()))),"OLD",IF(AND(E4255&lt;&gt;"",E4255&lt;&gt;"!!!"),"NEW","")))</f>
        <v> </v>
      </c>
      <c r="G4255" s="23" t="str">
        <f>IF(OR(E4255="",E4255="!!!"),"",IF(OR(J4255=0,AND(J4255=1,K4255=1),AND(J4255=1,I4255="SBJ"),AND(J4255=1,I4255=0)),"?IN_FOCUS",IF(J4255&lt;=2,"?ACTIVATED",IF(J4255&lt;&gt;"","?FAMILIAR",IF(F4255="NEW",IF(ISNA(VLOOKUP(E4255,#REF!,1,FALSE())),"?TYPE_IDENTIFIABLE","?REFERENTIAL"),"_")))))</f>
        <v> </v>
      </c>
      <c r="H4255" s="24" t="str">
        <f>IF(J4255&lt;&gt;1,"",IF(I4255="SBJ","CB","?"))</f>
        <v> </v>
      </c>
      <c r="I4255" s="25" t="str">
        <f>IF(OR(E4255="",E4255="!!!",F4255="NEW"),"",INDEX(B4254:B$2,-1+SUMPRODUCT(MAX(ROW(E4254:E$2)*(E4255=E4254:E$2)))))</f>
        <v> </v>
      </c>
      <c r="J4255" s="25" t="str">
        <f>IF(OR(E4255="",E4255="!!!",F4255="NEW"),"",COUNTBLANK(OFFSET(A$1,,,SUMPRODUCT(MAX(ROW(E$2:E4255)*(E4255=E$2:E4255)))))-COUNTBLANK(OFFSET(A$1,,,SUMPRODUCT(MAX(ROW(E$1:E4254)*(E2=E$1:E4254))))))</f>
        <v> </v>
      </c>
      <c r="K4255" s="25" t="str">
        <f>IF(OR(E4255="",E4255="!!!",F4255="NEW"),"",INDEX(J$1:J4254,SUMPRODUCT(MAX(ROW(E$1:E4254)*(E4255=E$1:E4254)))))</f>
        <v> </v>
      </c>
      <c r="L4255" s="26"/>
    </row>
    <row r="4256" spans="1:12">
      <c r="A4256" s="20" t="s">
        <v>721</v>
      </c>
      <c r="E4256" s="21">
        <f>IF(D4256="?OLD","!!!","")</f>
        <v/>
      </c>
      <c r="F4256" s="22" t="str">
        <f>IF(OR(E4256="",E4256="!!!"),"",IF(NOT(ISNA(VLOOKUP(E4256,E$1:E4255,1,FALSE()))),"OLD",IF(AND(E4256&lt;&gt;"",E4256&lt;&gt;"!!!"),"NEW","")))</f>
        <v> </v>
      </c>
      <c r="G4256" s="23" t="str">
        <f>IF(OR(E4256="",E4256="!!!"),"",IF(OR(J4256=0,AND(J4256=1,K4256=1),AND(J4256=1,I4256="SBJ"),AND(J4256=1,I4256=0)),"?IN_FOCUS",IF(J4256&lt;=2,"?ACTIVATED",IF(J4256&lt;&gt;"","?FAMILIAR",IF(F4256="NEW",IF(ISNA(VLOOKUP(E4256,#REF!,1,FALSE())),"?TYPE_IDENTIFIABLE","?REFERENTIAL"),"_")))))</f>
        <v> </v>
      </c>
      <c r="H4256" s="24" t="str">
        <f>IF(J4256&lt;&gt;1,"",IF(I4256="SBJ","CB","?"))</f>
        <v> </v>
      </c>
      <c r="I4256" s="25" t="str">
        <f>IF(OR(E4256="",E4256="!!!",F4256="NEW"),"",INDEX(B4255:B$2,-1+SUMPRODUCT(MAX(ROW(E4255:E$2)*(E4256=E4255:E$2)))))</f>
        <v> </v>
      </c>
      <c r="J4256" s="25" t="str">
        <f>IF(OR(E4256="",E4256="!!!",F4256="NEW"),"",COUNTBLANK(OFFSET(A$1,,,SUMPRODUCT(MAX(ROW(E$2:E4256)*(E4256=E$2:E4256)))))-COUNTBLANK(OFFSET(A$1,,,SUMPRODUCT(MAX(ROW(E$1:E4255)*(E2=E$1:E4255))))))</f>
        <v> </v>
      </c>
      <c r="K4256" s="25" t="str">
        <f>IF(OR(E4256="",E4256="!!!",F4256="NEW"),"",INDEX(J$1:J4255,SUMPRODUCT(MAX(ROW(E$1:E4255)*(E4256=E$1:E4255)))))</f>
        <v> </v>
      </c>
      <c r="L4256" s="26"/>
    </row>
    <row r="4257" spans="1:12">
      <c r="A4257" s="20" t="s">
        <v>1698</v>
      </c>
      <c r="B4257" s="27" t="s">
        <v>698</v>
      </c>
      <c r="C4257" s="27" t="s">
        <v>887</v>
      </c>
      <c r="D4257" s="27" t="s">
        <v>694</v>
      </c>
      <c r="E4257" s="21">
        <f>IF(D4257="?OLD","!!!","")</f>
        <v/>
      </c>
      <c r="F4257" s="22" t="str">
        <f>IF(OR(E4257="",E4257="!!!"),"",IF(NOT(ISNA(VLOOKUP(E4257,E$1:E4256,1,FALSE()))),"OLD",IF(AND(E4257&lt;&gt;"",E4257&lt;&gt;"!!!"),"NEW","")))</f>
        <v> </v>
      </c>
      <c r="G4257" s="23" t="str">
        <f>IF(OR(E4257="",E4257="!!!"),"",IF(OR(J4257=0,AND(J4257=1,K4257=1),AND(J4257=1,I4257="SBJ"),AND(J4257=1,I4257=0)),"?IN_FOCUS",IF(J4257&lt;=2,"?ACTIVATED",IF(J4257&lt;&gt;"","?FAMILIAR",IF(F4257="NEW",IF(ISNA(VLOOKUP(E4257,#REF!,1,FALSE())),"?TYPE_IDENTIFIABLE","?REFERENTIAL"),"_")))))</f>
        <v> </v>
      </c>
      <c r="H4257" s="24" t="str">
        <f>IF(J4257&lt;&gt;1,"",IF(I4257="SBJ","CB","?"))</f>
        <v> </v>
      </c>
      <c r="I4257" s="25" t="str">
        <f>IF(OR(E4257="",E4257="!!!",F4257="NEW"),"",INDEX(B4256:B$2,-1+SUMPRODUCT(MAX(ROW(E4256:E$2)*(E4257=E4256:E$2)))))</f>
        <v> </v>
      </c>
      <c r="J4257" s="25" t="str">
        <f>IF(OR(E4257="",E4257="!!!",F4257="NEW"),"",COUNTBLANK(OFFSET(A$1,,,SUMPRODUCT(MAX(ROW(E$2:E4257)*(E4257=E$2:E4257)))))-COUNTBLANK(OFFSET(A$1,,,SUMPRODUCT(MAX(ROW(E$1:E4256)*(E2=E$1:E4256))))))</f>
        <v> </v>
      </c>
      <c r="K4257" s="25" t="str">
        <f>IF(OR(E4257="",E4257="!!!",F4257="NEW"),"",INDEX(J$1:J4256,SUMPRODUCT(MAX(ROW(E$1:E4256)*(E4257=E$1:E4256)))))</f>
        <v> </v>
      </c>
      <c r="L4257" s="26"/>
    </row>
    <row r="4258" spans="1:12">
      <c r="A4258" s="20" t="s">
        <v>725</v>
      </c>
      <c r="E4258" s="21">
        <f>IF(D4258="?OLD","!!!","")</f>
        <v/>
      </c>
      <c r="F4258" s="22" t="str">
        <f>IF(OR(E4258="",E4258="!!!"),"",IF(NOT(ISNA(VLOOKUP(E4258,E$1:E4257,1,FALSE()))),"OLD",IF(AND(E4258&lt;&gt;"",E4258&lt;&gt;"!!!"),"NEW","")))</f>
        <v> </v>
      </c>
      <c r="G4258" s="23" t="str">
        <f>IF(OR(E4258="",E4258="!!!"),"",IF(OR(J4258=0,AND(J4258=1,K4258=1),AND(J4258=1,I4258="SBJ"),AND(J4258=1,I4258=0)),"?IN_FOCUS",IF(J4258&lt;=2,"?ACTIVATED",IF(J4258&lt;&gt;"","?FAMILIAR",IF(F4258="NEW",IF(ISNA(VLOOKUP(E4258,#REF!,1,FALSE())),"?TYPE_IDENTIFIABLE","?REFERENTIAL"),"_")))))</f>
        <v> </v>
      </c>
      <c r="H4258" s="24" t="str">
        <f>IF(J4258&lt;&gt;1,"",IF(I4258="SBJ","CB","?"))</f>
        <v> </v>
      </c>
      <c r="I4258" s="25" t="str">
        <f>IF(OR(E4258="",E4258="!!!",F4258="NEW"),"",INDEX(B4257:B$2,-1+SUMPRODUCT(MAX(ROW(E4257:E$2)*(E4258=E4257:E$2)))))</f>
        <v> </v>
      </c>
      <c r="J4258" s="25" t="str">
        <f>IF(OR(E4258="",E4258="!!!",F4258="NEW"),"",COUNTBLANK(OFFSET(A$1,,,SUMPRODUCT(MAX(ROW(E$2:E4258)*(E4258=E$2:E4258)))))-COUNTBLANK(OFFSET(A$1,,,SUMPRODUCT(MAX(ROW(E$1:E4257)*(E2=E$1:E4257))))))</f>
        <v> </v>
      </c>
      <c r="K4258" s="25" t="str">
        <f>IF(OR(E4258="",E4258="!!!",F4258="NEW"),"",INDEX(J$1:J4257,SUMPRODUCT(MAX(ROW(E$1:E4257)*(E4258=E$1:E4257)))))</f>
        <v> </v>
      </c>
      <c r="L4258" s="26"/>
    </row>
    <row r="4259" spans="1:12">
      <c r="A4259" s="20" t="s">
        <v>696</v>
      </c>
      <c r="E4259" s="21">
        <f>IF(D4259="?OLD","!!!","")</f>
        <v/>
      </c>
      <c r="F4259" s="22" t="str">
        <f>IF(OR(E4259="",E4259="!!!"),"",IF(NOT(ISNA(VLOOKUP(E4259,E$1:E4258,1,FALSE()))),"OLD",IF(AND(E4259&lt;&gt;"",E4259&lt;&gt;"!!!"),"NEW","")))</f>
        <v> </v>
      </c>
      <c r="G4259" s="23" t="str">
        <f>IF(OR(E4259="",E4259="!!!"),"",IF(OR(J4259=0,AND(J4259=1,K4259=1),AND(J4259=1,I4259="SBJ"),AND(J4259=1,I4259=0)),"?IN_FOCUS",IF(J4259&lt;=2,"?ACTIVATED",IF(J4259&lt;&gt;"","?FAMILIAR",IF(F4259="NEW",IF(ISNA(VLOOKUP(E4259,#REF!,1,FALSE())),"?TYPE_IDENTIFIABLE","?REFERENTIAL"),"_")))))</f>
        <v> </v>
      </c>
      <c r="H4259" s="24" t="str">
        <f>IF(J4259&lt;&gt;1,"",IF(I4259="SBJ","CB","?"))</f>
        <v> </v>
      </c>
      <c r="I4259" s="25" t="str">
        <f>IF(OR(E4259="",E4259="!!!",F4259="NEW"),"",INDEX(B4258:B$2,-1+SUMPRODUCT(MAX(ROW(E4258:E$2)*(E4259=E4258:E$2)))))</f>
        <v> </v>
      </c>
      <c r="J4259" s="25" t="str">
        <f>IF(OR(E4259="",E4259="!!!",F4259="NEW"),"",COUNTBLANK(OFFSET(A$1,,,SUMPRODUCT(MAX(ROW(E$2:E4259)*(E4259=E$2:E4259)))))-COUNTBLANK(OFFSET(A$1,,,SUMPRODUCT(MAX(ROW(E$1:E4258)*(E2=E$1:E4258))))))</f>
        <v> </v>
      </c>
      <c r="K4259" s="25" t="str">
        <f>IF(OR(E4259="",E4259="!!!",F4259="NEW"),"",INDEX(J$1:J4258,SUMPRODUCT(MAX(ROW(E$1:E4258)*(E4259=E$1:E4258)))))</f>
        <v> </v>
      </c>
      <c r="L4259" s="26"/>
    </row>
    <row r="4260" spans="1:12">
      <c r="A4260" s="20" t="s">
        <v>721</v>
      </c>
      <c r="E4260" s="21">
        <f>IF(D4260="?OLD","!!!","")</f>
        <v/>
      </c>
      <c r="F4260" s="22" t="str">
        <f>IF(OR(E4260="",E4260="!!!"),"",IF(NOT(ISNA(VLOOKUP(E4260,E$1:E4259,1,FALSE()))),"OLD",IF(AND(E4260&lt;&gt;"",E4260&lt;&gt;"!!!"),"NEW","")))</f>
        <v> </v>
      </c>
      <c r="G4260" s="23" t="str">
        <f>IF(OR(E4260="",E4260="!!!"),"",IF(OR(J4260=0,AND(J4260=1,K4260=1),AND(J4260=1,I4260="SBJ"),AND(J4260=1,I4260=0)),"?IN_FOCUS",IF(J4260&lt;=2,"?ACTIVATED",IF(J4260&lt;&gt;"","?FAMILIAR",IF(F4260="NEW",IF(ISNA(VLOOKUP(E4260,#REF!,1,FALSE())),"?TYPE_IDENTIFIABLE","?REFERENTIAL"),"_")))))</f>
        <v> </v>
      </c>
      <c r="H4260" s="24" t="str">
        <f>IF(J4260&lt;&gt;1,"",IF(I4260="SBJ","CB","?"))</f>
        <v> </v>
      </c>
      <c r="I4260" s="25" t="str">
        <f>IF(OR(E4260="",E4260="!!!",F4260="NEW"),"",INDEX(B4259:B$2,-1+SUMPRODUCT(MAX(ROW(E4259:E$2)*(E4260=E4259:E$2)))))</f>
        <v> </v>
      </c>
      <c r="J4260" s="25" t="str">
        <f>IF(OR(E4260="",E4260="!!!",F4260="NEW"),"",COUNTBLANK(OFFSET(A$1,,,SUMPRODUCT(MAX(ROW(E$2:E4260)*(E4260=E$2:E4260)))))-COUNTBLANK(OFFSET(A$1,,,SUMPRODUCT(MAX(ROW(E$1:E4259)*(E2=E$1:E4259))))))</f>
        <v> </v>
      </c>
      <c r="K4260" s="25" t="str">
        <f>IF(OR(E4260="",E4260="!!!",F4260="NEW"),"",INDEX(J$1:J4259,SUMPRODUCT(MAX(ROW(E$1:E4259)*(E4260=E$1:E4259)))))</f>
        <v> </v>
      </c>
      <c r="L4260" s="26"/>
    </row>
    <row r="4261" spans="1:12">
      <c r="A4261" s="20" t="s">
        <v>1764</v>
      </c>
      <c r="B4261" s="27" t="s">
        <v>692</v>
      </c>
      <c r="C4261" s="27" t="s">
        <v>693</v>
      </c>
      <c r="D4261" s="27" t="s">
        <v>694</v>
      </c>
      <c r="E4261" s="21">
        <f>IF(D4261="?OLD","!!!","")</f>
        <v/>
      </c>
      <c r="F4261" s="22" t="str">
        <f>IF(OR(E4261="",E4261="!!!"),"",IF(NOT(ISNA(VLOOKUP(E4261,E$1:E4260,1,FALSE()))),"OLD",IF(AND(E4261&lt;&gt;"",E4261&lt;&gt;"!!!"),"NEW","")))</f>
        <v> </v>
      </c>
      <c r="G4261" s="23" t="str">
        <f>IF(OR(E4261="",E4261="!!!"),"",IF(OR(J4261=0,AND(J4261=1,K4261=1),AND(J4261=1,I4261="SBJ"),AND(J4261=1,I4261=0)),"?IN_FOCUS",IF(J4261&lt;=2,"?ACTIVATED",IF(J4261&lt;&gt;"","?FAMILIAR",IF(F4261="NEW",IF(ISNA(VLOOKUP(E4261,#REF!,1,FALSE())),"?TYPE_IDENTIFIABLE","?REFERENTIAL"),"_")))))</f>
        <v> </v>
      </c>
      <c r="H4261" s="24" t="str">
        <f>IF(J4261&lt;&gt;1,"",IF(I4261="SBJ","CB","?"))</f>
        <v> </v>
      </c>
      <c r="I4261" s="25" t="str">
        <f>IF(OR(E4261="",E4261="!!!",F4261="NEW"),"",INDEX(B4260:B$2,-1+SUMPRODUCT(MAX(ROW(E4260:E$2)*(E4261=E4260:E$2)))))</f>
        <v> </v>
      </c>
      <c r="J4261" s="25" t="str">
        <f>IF(OR(E4261="",E4261="!!!",F4261="NEW"),"",COUNTBLANK(OFFSET(A$1,,,SUMPRODUCT(MAX(ROW(E$2:E4261)*(E4261=E$2:E4261)))))-COUNTBLANK(OFFSET(A$1,,,SUMPRODUCT(MAX(ROW(E$1:E4260)*(E2=E$1:E4260))))))</f>
        <v> </v>
      </c>
      <c r="K4261" s="25" t="str">
        <f>IF(OR(E4261="",E4261="!!!",F4261="NEW"),"",INDEX(J$1:J4260,SUMPRODUCT(MAX(ROW(E$1:E4260)*(E4261=E$1:E4260)))))</f>
        <v> </v>
      </c>
      <c r="L4261" s="26"/>
    </row>
    <row r="4262" spans="1:12">
      <c r="A4262" s="20" t="s">
        <v>871</v>
      </c>
      <c r="E4262" s="21">
        <f>IF(D4262="?OLD","!!!","")</f>
        <v/>
      </c>
      <c r="F4262" s="22" t="str">
        <f>IF(OR(E4262="",E4262="!!!"),"",IF(NOT(ISNA(VLOOKUP(E4262,E$1:E4261,1,FALSE()))),"OLD",IF(AND(E4262&lt;&gt;"",E4262&lt;&gt;"!!!"),"NEW","")))</f>
        <v> </v>
      </c>
      <c r="G4262" s="23" t="str">
        <f>IF(OR(E4262="",E4262="!!!"),"",IF(OR(J4262=0,AND(J4262=1,K4262=1),AND(J4262=1,I4262="SBJ"),AND(J4262=1,I4262=0)),"?IN_FOCUS",IF(J4262&lt;=2,"?ACTIVATED",IF(J4262&lt;&gt;"","?FAMILIAR",IF(F4262="NEW",IF(ISNA(VLOOKUP(E4262,#REF!,1,FALSE())),"?TYPE_IDENTIFIABLE","?REFERENTIAL"),"_")))))</f>
        <v> </v>
      </c>
      <c r="H4262" s="24" t="str">
        <f>IF(J4262&lt;&gt;1,"",IF(I4262="SBJ","CB","?"))</f>
        <v> </v>
      </c>
      <c r="I4262" s="25" t="str">
        <f>IF(OR(E4262="",E4262="!!!",F4262="NEW"),"",INDEX(B4261:B$2,-1+SUMPRODUCT(MAX(ROW(E4261:E$2)*(E4262=E4261:E$2)))))</f>
        <v> </v>
      </c>
      <c r="J4262" s="25" t="str">
        <f>IF(OR(E4262="",E4262="!!!",F4262="NEW"),"",COUNTBLANK(OFFSET(A$1,,,SUMPRODUCT(MAX(ROW(E$2:E4262)*(E4262=E$2:E4262)))))-COUNTBLANK(OFFSET(A$1,,,SUMPRODUCT(MAX(ROW(E$1:E4261)*(E2=E$1:E4261))))))</f>
        <v> </v>
      </c>
      <c r="K4262" s="25" t="str">
        <f>IF(OR(E4262="",E4262="!!!",F4262="NEW"),"",INDEX(J$1:J4261,SUMPRODUCT(MAX(ROW(E$1:E4261)*(E4262=E$1:E4261)))))</f>
        <v> </v>
      </c>
      <c r="L4262" s="26"/>
    </row>
    <row r="4263" spans="1:12">
      <c r="A4263" s="20" t="s">
        <v>1765</v>
      </c>
      <c r="E4263" s="21">
        <f>IF(D4263="?OLD","!!!","")</f>
        <v/>
      </c>
      <c r="F4263" s="22" t="str">
        <f>IF(OR(E4263="",E4263="!!!"),"",IF(NOT(ISNA(VLOOKUP(E4263,E$1:E4262,1,FALSE()))),"OLD",IF(AND(E4263&lt;&gt;"",E4263&lt;&gt;"!!!"),"NEW","")))</f>
        <v> </v>
      </c>
      <c r="G4263" s="23" t="str">
        <f>IF(OR(E4263="",E4263="!!!"),"",IF(OR(J4263=0,AND(J4263=1,K4263=1),AND(J4263=1,I4263="SBJ"),AND(J4263=1,I4263=0)),"?IN_FOCUS",IF(J4263&lt;=2,"?ACTIVATED",IF(J4263&lt;&gt;"","?FAMILIAR",IF(F4263="NEW",IF(ISNA(VLOOKUP(E4263,#REF!,1,FALSE())),"?TYPE_IDENTIFIABLE","?REFERENTIAL"),"_")))))</f>
        <v> </v>
      </c>
      <c r="H4263" s="24" t="str">
        <f>IF(J4263&lt;&gt;1,"",IF(I4263="SBJ","CB","?"))</f>
        <v> </v>
      </c>
      <c r="I4263" s="25" t="str">
        <f>IF(OR(E4263="",E4263="!!!",F4263="NEW"),"",INDEX(B4262:B$2,-1+SUMPRODUCT(MAX(ROW(E4262:E$2)*(E4263=E4262:E$2)))))</f>
        <v> </v>
      </c>
      <c r="J4263" s="25" t="str">
        <f>IF(OR(E4263="",E4263="!!!",F4263="NEW"),"",COUNTBLANK(OFFSET(A$1,,,SUMPRODUCT(MAX(ROW(E$2:E4263)*(E4263=E$2:E4263)))))-COUNTBLANK(OFFSET(A$1,,,SUMPRODUCT(MAX(ROW(E$1:E4262)*(E2=E$1:E4262))))))</f>
        <v> </v>
      </c>
      <c r="K4263" s="25" t="str">
        <f>IF(OR(E4263="",E4263="!!!",F4263="NEW"),"",INDEX(J$1:J4262,SUMPRODUCT(MAX(ROW(E$1:E4262)*(E4263=E$1:E4262)))))</f>
        <v> </v>
      </c>
      <c r="L4263" s="26"/>
    </row>
    <row r="4264" spans="1:12">
      <c r="A4264" s="20" t="s">
        <v>1481</v>
      </c>
      <c r="E4264" s="21">
        <f>IF(D4264="?OLD","!!!","")</f>
        <v/>
      </c>
      <c r="F4264" s="22" t="str">
        <f>IF(OR(E4264="",E4264="!!!"),"",IF(NOT(ISNA(VLOOKUP(E4264,E$1:E4263,1,FALSE()))),"OLD",IF(AND(E4264&lt;&gt;"",E4264&lt;&gt;"!!!"),"NEW","")))</f>
        <v> </v>
      </c>
      <c r="G4264" s="23" t="str">
        <f>IF(OR(E4264="",E4264="!!!"),"",IF(OR(J4264=0,AND(J4264=1,K4264=1),AND(J4264=1,I4264="SBJ"),AND(J4264=1,I4264=0)),"?IN_FOCUS",IF(J4264&lt;=2,"?ACTIVATED",IF(J4264&lt;&gt;"","?FAMILIAR",IF(F4264="NEW",IF(ISNA(VLOOKUP(E4264,#REF!,1,FALSE())),"?TYPE_IDENTIFIABLE","?REFERENTIAL"),"_")))))</f>
        <v> </v>
      </c>
      <c r="H4264" s="24" t="str">
        <f>IF(J4264&lt;&gt;1,"",IF(I4264="SBJ","CB","?"))</f>
        <v> </v>
      </c>
      <c r="I4264" s="25" t="str">
        <f>IF(OR(E4264="",E4264="!!!",F4264="NEW"),"",INDEX(B4263:B$2,-1+SUMPRODUCT(MAX(ROW(E4263:E$2)*(E4264=E4263:E$2)))))</f>
        <v> </v>
      </c>
      <c r="J4264" s="25" t="str">
        <f>IF(OR(E4264="",E4264="!!!",F4264="NEW"),"",COUNTBLANK(OFFSET(A$1,,,SUMPRODUCT(MAX(ROW(E$2:E4264)*(E4264=E$2:E4264)))))-COUNTBLANK(OFFSET(A$1,,,SUMPRODUCT(MAX(ROW(E$1:E4263)*(E2=E$1:E4263))))))</f>
        <v> </v>
      </c>
      <c r="K4264" s="25" t="str">
        <f>IF(OR(E4264="",E4264="!!!",F4264="NEW"),"",INDEX(J$1:J4263,SUMPRODUCT(MAX(ROW(E$1:E4263)*(E4264=E$1:E4263)))))</f>
        <v> </v>
      </c>
      <c r="L4264" s="26"/>
    </row>
    <row r="4265" spans="1:12">
      <c r="A4265" s="20" t="s">
        <v>696</v>
      </c>
      <c r="E4265" s="21">
        <f>IF(D4265="?OLD","!!!","")</f>
        <v/>
      </c>
      <c r="F4265" s="22" t="str">
        <f>IF(OR(E4265="",E4265="!!!"),"",IF(NOT(ISNA(VLOOKUP(E4265,E$1:E4264,1,FALSE()))),"OLD",IF(AND(E4265&lt;&gt;"",E4265&lt;&gt;"!!!"),"NEW","")))</f>
        <v> </v>
      </c>
      <c r="G4265" s="23" t="str">
        <f>IF(OR(E4265="",E4265="!!!"),"",IF(OR(J4265=0,AND(J4265=1,K4265=1),AND(J4265=1,I4265="SBJ"),AND(J4265=1,I4265=0)),"?IN_FOCUS",IF(J4265&lt;=2,"?ACTIVATED",IF(J4265&lt;&gt;"","?FAMILIAR",IF(F4265="NEW",IF(ISNA(VLOOKUP(E4265,#REF!,1,FALSE())),"?TYPE_IDENTIFIABLE","?REFERENTIAL"),"_")))))</f>
        <v> </v>
      </c>
      <c r="H4265" s="24" t="str">
        <f>IF(J4265&lt;&gt;1,"",IF(I4265="SBJ","CB","?"))</f>
        <v> </v>
      </c>
      <c r="I4265" s="25" t="str">
        <f>IF(OR(E4265="",E4265="!!!",F4265="NEW"),"",INDEX(B4264:B$2,-1+SUMPRODUCT(MAX(ROW(E4264:E$2)*(E4265=E4264:E$2)))))</f>
        <v> </v>
      </c>
      <c r="J4265" s="25" t="str">
        <f>IF(OR(E4265="",E4265="!!!",F4265="NEW"),"",COUNTBLANK(OFFSET(A$1,,,SUMPRODUCT(MAX(ROW(E$2:E4265)*(E4265=E$2:E4265)))))-COUNTBLANK(OFFSET(A$1,,,SUMPRODUCT(MAX(ROW(E$1:E4264)*(E2=E$1:E4264))))))</f>
        <v> </v>
      </c>
      <c r="K4265" s="25" t="str">
        <f>IF(OR(E4265="",E4265="!!!",F4265="NEW"),"",INDEX(J$1:J4264,SUMPRODUCT(MAX(ROW(E$1:E4264)*(E4265=E$1:E4264)))))</f>
        <v> </v>
      </c>
      <c r="L4265" s="26"/>
    </row>
    <row r="4266" spans="1:12">
      <c r="A4266" s="20" t="s">
        <v>1482</v>
      </c>
      <c r="E4266" s="21">
        <f>IF(D4266="?OLD","!!!","")</f>
        <v/>
      </c>
      <c r="F4266" s="22" t="str">
        <f>IF(OR(E4266="",E4266="!!!"),"",IF(NOT(ISNA(VLOOKUP(E4266,E$1:E4265,1,FALSE()))),"OLD",IF(AND(E4266&lt;&gt;"",E4266&lt;&gt;"!!!"),"NEW","")))</f>
        <v> </v>
      </c>
      <c r="G4266" s="23" t="str">
        <f>IF(OR(E4266="",E4266="!!!"),"",IF(OR(J4266=0,AND(J4266=1,K4266=1),AND(J4266=1,I4266="SBJ"),AND(J4266=1,I4266=0)),"?IN_FOCUS",IF(J4266&lt;=2,"?ACTIVATED",IF(J4266&lt;&gt;"","?FAMILIAR",IF(F4266="NEW",IF(ISNA(VLOOKUP(E4266,#REF!,1,FALSE())),"?TYPE_IDENTIFIABLE","?REFERENTIAL"),"_")))))</f>
        <v> </v>
      </c>
      <c r="H4266" s="24" t="str">
        <f>IF(J4266&lt;&gt;1,"",IF(I4266="SBJ","CB","?"))</f>
        <v> </v>
      </c>
      <c r="I4266" s="25" t="str">
        <f>IF(OR(E4266="",E4266="!!!",F4266="NEW"),"",INDEX(B4265:B$2,-1+SUMPRODUCT(MAX(ROW(E4265:E$2)*(E4266=E4265:E$2)))))</f>
        <v> </v>
      </c>
      <c r="J4266" s="25" t="str">
        <f>IF(OR(E4266="",E4266="!!!",F4266="NEW"),"",COUNTBLANK(OFFSET(A$1,,,SUMPRODUCT(MAX(ROW(E$2:E4266)*(E4266=E$2:E4266)))))-COUNTBLANK(OFFSET(A$1,,,SUMPRODUCT(MAX(ROW(E$1:E4265)*(E2=E$1:E4265))))))</f>
        <v> </v>
      </c>
      <c r="K4266" s="25" t="str">
        <f>IF(OR(E4266="",E4266="!!!",F4266="NEW"),"",INDEX(J$1:J4265,SUMPRODUCT(MAX(ROW(E$1:E4265)*(E4266=E$1:E4265)))))</f>
        <v> </v>
      </c>
      <c r="L4266" s="26"/>
    </row>
    <row r="4267" spans="1:12">
      <c r="A4267" s="20" t="s">
        <v>690</v>
      </c>
      <c r="E4267" s="21">
        <f>IF(D4267="?OLD","!!!","")</f>
        <v/>
      </c>
      <c r="F4267" s="22" t="str">
        <f>IF(OR(E4267="",E4267="!!!"),"",IF(NOT(ISNA(VLOOKUP(E4267,E$1:E4266,1,FALSE()))),"OLD",IF(AND(E4267&lt;&gt;"",E4267&lt;&gt;"!!!"),"NEW","")))</f>
        <v> </v>
      </c>
      <c r="G4267" s="23" t="str">
        <f>IF(OR(E4267="",E4267="!!!"),"",IF(OR(J4267=0,AND(J4267=1,K4267=1),AND(J4267=1,I4267="SBJ"),AND(J4267=1,I4267=0)),"?IN_FOCUS",IF(J4267&lt;=2,"?ACTIVATED",IF(J4267&lt;&gt;"","?FAMILIAR",IF(F4267="NEW",IF(ISNA(VLOOKUP(E4267,#REF!,1,FALSE())),"?TYPE_IDENTIFIABLE","?REFERENTIAL"),"_")))))</f>
        <v> </v>
      </c>
      <c r="H4267" s="24" t="str">
        <f>IF(J4267&lt;&gt;1,"",IF(I4267="SBJ","CB","?"))</f>
        <v> </v>
      </c>
      <c r="I4267" s="25" t="str">
        <f>IF(OR(E4267="",E4267="!!!",F4267="NEW"),"",INDEX(B4266:B$2,-1+SUMPRODUCT(MAX(ROW(E4266:E$2)*(E4267=E4266:E$2)))))</f>
        <v> </v>
      </c>
      <c r="J4267" s="25" t="str">
        <f>IF(OR(E4267="",E4267="!!!",F4267="NEW"),"",COUNTBLANK(OFFSET(A$1,,,SUMPRODUCT(MAX(ROW(E$2:E4267)*(E4267=E$2:E4267)))))-COUNTBLANK(OFFSET(A$1,,,SUMPRODUCT(MAX(ROW(E$1:E4266)*(E2=E$1:E4266))))))</f>
        <v> </v>
      </c>
      <c r="K4267" s="25" t="str">
        <f>IF(OR(E4267="",E4267="!!!",F4267="NEW"),"",INDEX(J$1:J4266,SUMPRODUCT(MAX(ROW(E$1:E4266)*(E4267=E$1:E4266)))))</f>
        <v> </v>
      </c>
      <c r="L4267" s="26"/>
    </row>
    <row r="4268" spans="1:12">
      <c r="A4268" s="20" t="s">
        <v>697</v>
      </c>
      <c r="B4268" s="27" t="s">
        <v>830</v>
      </c>
      <c r="C4268" s="27" t="s">
        <v>693</v>
      </c>
      <c r="D4268" s="27" t="s">
        <v>694</v>
      </c>
      <c r="E4268" s="21">
        <f>IF(D4268="?OLD","!!!","")</f>
        <v/>
      </c>
      <c r="F4268" s="22" t="str">
        <f>IF(OR(E4268="",E4268="!!!"),"",IF(NOT(ISNA(VLOOKUP(E4268,E$1:E4267,1,FALSE()))),"OLD",IF(AND(E4268&lt;&gt;"",E4268&lt;&gt;"!!!"),"NEW","")))</f>
        <v> </v>
      </c>
      <c r="G4268" s="23" t="str">
        <f>IF(OR(E4268="",E4268="!!!"),"",IF(OR(J4268=0,AND(J4268=1,K4268=1),AND(J4268=1,I4268="SBJ"),AND(J4268=1,I4268=0)),"?IN_FOCUS",IF(J4268&lt;=2,"?ACTIVATED",IF(J4268&lt;&gt;"","?FAMILIAR",IF(F4268="NEW",IF(ISNA(VLOOKUP(E4268,#REF!,1,FALSE())),"?TYPE_IDENTIFIABLE","?REFERENTIAL"),"_")))))</f>
        <v> </v>
      </c>
      <c r="H4268" s="24" t="str">
        <f>IF(J4268&lt;&gt;1,"",IF(I4268="SBJ","CB","?"))</f>
        <v> </v>
      </c>
      <c r="I4268" s="25" t="str">
        <f>IF(OR(E4268="",E4268="!!!",F4268="NEW"),"",INDEX(B4267:B$2,-1+SUMPRODUCT(MAX(ROW(E4267:E$2)*(E4268=E4267:E$2)))))</f>
        <v> </v>
      </c>
      <c r="J4268" s="25" t="str">
        <f>IF(OR(E4268="",E4268="!!!",F4268="NEW"),"",COUNTBLANK(OFFSET(A$1,,,SUMPRODUCT(MAX(ROW(E$2:E4268)*(E4268=E$2:E4268)))))-COUNTBLANK(OFFSET(A$1,,,SUMPRODUCT(MAX(ROW(E$1:E4267)*(E2=E$1:E4267))))))</f>
        <v> </v>
      </c>
      <c r="K4268" s="25" t="str">
        <f>IF(OR(E4268="",E4268="!!!",F4268="NEW"),"",INDEX(J$1:J4267,SUMPRODUCT(MAX(ROW(E$1:E4267)*(E4268=E$1:E4267)))))</f>
        <v> </v>
      </c>
      <c r="L4268" s="26"/>
    </row>
    <row r="4269" spans="1:12">
      <c r="A4269" s="20" t="s">
        <v>858</v>
      </c>
      <c r="E4269" s="21">
        <f>IF(D4269="?OLD","!!!","")</f>
        <v/>
      </c>
      <c r="F4269" s="22" t="str">
        <f>IF(OR(E4269="",E4269="!!!"),"",IF(NOT(ISNA(VLOOKUP(E4269,E$1:E4268,1,FALSE()))),"OLD",IF(AND(E4269&lt;&gt;"",E4269&lt;&gt;"!!!"),"NEW","")))</f>
        <v> </v>
      </c>
      <c r="G4269" s="23" t="str">
        <f>IF(OR(E4269="",E4269="!!!"),"",IF(OR(J4269=0,AND(J4269=1,K4269=1),AND(J4269=1,I4269="SBJ"),AND(J4269=1,I4269=0)),"?IN_FOCUS",IF(J4269&lt;=2,"?ACTIVATED",IF(J4269&lt;&gt;"","?FAMILIAR",IF(F4269="NEW",IF(ISNA(VLOOKUP(E4269,#REF!,1,FALSE())),"?TYPE_IDENTIFIABLE","?REFERENTIAL"),"_")))))</f>
        <v> </v>
      </c>
      <c r="H4269" s="24" t="str">
        <f>IF(J4269&lt;&gt;1,"",IF(I4269="SBJ","CB","?"))</f>
        <v> </v>
      </c>
      <c r="I4269" s="25" t="str">
        <f>IF(OR(E4269="",E4269="!!!",F4269="NEW"),"",INDEX(B4268:B$2,-1+SUMPRODUCT(MAX(ROW(E4268:E$2)*(E4269=E4268:E$2)))))</f>
        <v> </v>
      </c>
      <c r="J4269" s="25" t="str">
        <f>IF(OR(E4269="",E4269="!!!",F4269="NEW"),"",COUNTBLANK(OFFSET(A$1,,,SUMPRODUCT(MAX(ROW(E$2:E4269)*(E4269=E$2:E4269)))))-COUNTBLANK(OFFSET(A$1,,,SUMPRODUCT(MAX(ROW(E$1:E4268)*(E2=E$1:E4268))))))</f>
        <v> </v>
      </c>
      <c r="K4269" s="25" t="str">
        <f>IF(OR(E4269="",E4269="!!!",F4269="NEW"),"",INDEX(J$1:J4268,SUMPRODUCT(MAX(ROW(E$1:E4268)*(E4269=E$1:E4268)))))</f>
        <v> </v>
      </c>
      <c r="L4269" s="26"/>
    </row>
    <row r="4270" spans="1:12">
      <c r="A4270" s="20" t="s">
        <v>696</v>
      </c>
      <c r="E4270" s="21">
        <f>IF(D4270="?OLD","!!!","")</f>
        <v/>
      </c>
      <c r="F4270" s="22" t="str">
        <f>IF(OR(E4270="",E4270="!!!"),"",IF(NOT(ISNA(VLOOKUP(E4270,E$1:E4269,1,FALSE()))),"OLD",IF(AND(E4270&lt;&gt;"",E4270&lt;&gt;"!!!"),"NEW","")))</f>
        <v> </v>
      </c>
      <c r="G4270" s="23" t="str">
        <f>IF(OR(E4270="",E4270="!!!"),"",IF(OR(J4270=0,AND(J4270=1,K4270=1),AND(J4270=1,I4270="SBJ"),AND(J4270=1,I4270=0)),"?IN_FOCUS",IF(J4270&lt;=2,"?ACTIVATED",IF(J4270&lt;&gt;"","?FAMILIAR",IF(F4270="NEW",IF(ISNA(VLOOKUP(E4270,#REF!,1,FALSE())),"?TYPE_IDENTIFIABLE","?REFERENTIAL"),"_")))))</f>
        <v> </v>
      </c>
      <c r="H4270" s="24" t="str">
        <f>IF(J4270&lt;&gt;1,"",IF(I4270="SBJ","CB","?"))</f>
        <v> </v>
      </c>
      <c r="I4270" s="25" t="str">
        <f>IF(OR(E4270="",E4270="!!!",F4270="NEW"),"",INDEX(B4269:B$2,-1+SUMPRODUCT(MAX(ROW(E4269:E$2)*(E4270=E4269:E$2)))))</f>
        <v> </v>
      </c>
      <c r="J4270" s="25" t="str">
        <f>IF(OR(E4270="",E4270="!!!",F4270="NEW"),"",COUNTBLANK(OFFSET(A$1,,,SUMPRODUCT(MAX(ROW(E$2:E4270)*(E4270=E$2:E4270)))))-COUNTBLANK(OFFSET(A$1,,,SUMPRODUCT(MAX(ROW(E$1:E4269)*(E2=E$1:E4269))))))</f>
        <v> </v>
      </c>
      <c r="K4270" s="25" t="str">
        <f>IF(OR(E4270="",E4270="!!!",F4270="NEW"),"",INDEX(J$1:J4269,SUMPRODUCT(MAX(ROW(E$1:E4269)*(E4270=E$1:E4269)))))</f>
        <v> </v>
      </c>
      <c r="L4270" s="26"/>
    </row>
    <row r="4271" spans="1:12">
      <c r="A4271" s="20" t="s">
        <v>747</v>
      </c>
      <c r="E4271" s="21">
        <f>IF(D4271="?OLD","!!!","")</f>
        <v/>
      </c>
      <c r="F4271" s="22" t="str">
        <f>IF(OR(E4271="",E4271="!!!"),"",IF(NOT(ISNA(VLOOKUP(E4271,E$1:E4270,1,FALSE()))),"OLD",IF(AND(E4271&lt;&gt;"",E4271&lt;&gt;"!!!"),"NEW","")))</f>
        <v> </v>
      </c>
      <c r="G4271" s="23" t="str">
        <f>IF(OR(E4271="",E4271="!!!"),"",IF(OR(J4271=0,AND(J4271=1,K4271=1),AND(J4271=1,I4271="SBJ"),AND(J4271=1,I4271=0)),"?IN_FOCUS",IF(J4271&lt;=2,"?ACTIVATED",IF(J4271&lt;&gt;"","?FAMILIAR",IF(F4271="NEW",IF(ISNA(VLOOKUP(E4271,#REF!,1,FALSE())),"?TYPE_IDENTIFIABLE","?REFERENTIAL"),"_")))))</f>
        <v> </v>
      </c>
      <c r="H4271" s="24" t="str">
        <f>IF(J4271&lt;&gt;1,"",IF(I4271="SBJ","CB","?"))</f>
        <v> </v>
      </c>
      <c r="I4271" s="25" t="str">
        <f>IF(OR(E4271="",E4271="!!!",F4271="NEW"),"",INDEX(B4270:B$2,-1+SUMPRODUCT(MAX(ROW(E4270:E$2)*(E4271=E4270:E$2)))))</f>
        <v> </v>
      </c>
      <c r="J4271" s="25" t="str">
        <f>IF(OR(E4271="",E4271="!!!",F4271="NEW"),"",COUNTBLANK(OFFSET(A$1,,,SUMPRODUCT(MAX(ROW(E$2:E4271)*(E4271=E$2:E4271)))))-COUNTBLANK(OFFSET(A$1,,,SUMPRODUCT(MAX(ROW(E$1:E4270)*(E2=E$1:E4270))))))</f>
        <v> </v>
      </c>
      <c r="K4271" s="25" t="str">
        <f>IF(OR(E4271="",E4271="!!!",F4271="NEW"),"",INDEX(J$1:J4270,SUMPRODUCT(MAX(ROW(E$1:E4270)*(E4271=E$1:E4270)))))</f>
        <v> </v>
      </c>
      <c r="L4271" s="26"/>
    </row>
    <row r="4272" spans="1:12">
      <c r="A4272" s="20" t="s">
        <v>1766</v>
      </c>
      <c r="B4272" s="27" t="s">
        <v>756</v>
      </c>
      <c r="C4272" s="27" t="s">
        <v>693</v>
      </c>
      <c r="D4272" s="27" t="s">
        <v>694</v>
      </c>
      <c r="E4272" s="21">
        <f>IF(D4272="?OLD","!!!","")</f>
        <v/>
      </c>
      <c r="F4272" s="22" t="str">
        <f>IF(OR(E4272="",E4272="!!!"),"",IF(NOT(ISNA(VLOOKUP(E4272,E$1:E4271,1,FALSE()))),"OLD",IF(AND(E4272&lt;&gt;"",E4272&lt;&gt;"!!!"),"NEW","")))</f>
        <v> </v>
      </c>
      <c r="G4272" s="23" t="str">
        <f>IF(OR(E4272="",E4272="!!!"),"",IF(OR(J4272=0,AND(J4272=1,K4272=1),AND(J4272=1,I4272="SBJ"),AND(J4272=1,I4272=0)),"?IN_FOCUS",IF(J4272&lt;=2,"?ACTIVATED",IF(J4272&lt;&gt;"","?FAMILIAR",IF(F4272="NEW",IF(ISNA(VLOOKUP(E4272,#REF!,1,FALSE())),"?TYPE_IDENTIFIABLE","?REFERENTIAL"),"_")))))</f>
        <v> </v>
      </c>
      <c r="H4272" s="24" t="str">
        <f>IF(J4272&lt;&gt;1,"",IF(I4272="SBJ","CB","?"))</f>
        <v> </v>
      </c>
      <c r="I4272" s="25" t="str">
        <f>IF(OR(E4272="",E4272="!!!",F4272="NEW"),"",INDEX(B4271:B$2,-1+SUMPRODUCT(MAX(ROW(E4271:E$2)*(E4272=E4271:E$2)))))</f>
        <v> </v>
      </c>
      <c r="J4272" s="25" t="str">
        <f>IF(OR(E4272="",E4272="!!!",F4272="NEW"),"",COUNTBLANK(OFFSET(A$1,,,SUMPRODUCT(MAX(ROW(E$2:E4272)*(E4272=E$2:E4272)))))-COUNTBLANK(OFFSET(A$1,,,SUMPRODUCT(MAX(ROW(E$1:E4271)*(E2=E$1:E4271))))))</f>
        <v> </v>
      </c>
      <c r="K4272" s="25" t="str">
        <f>IF(OR(E4272="",E4272="!!!",F4272="NEW"),"",INDEX(J$1:J4271,SUMPRODUCT(MAX(ROW(E$1:E4271)*(E4272=E$1:E4271)))))</f>
        <v> </v>
      </c>
      <c r="L4272" s="26"/>
    </row>
    <row r="4273" spans="1:12">
      <c r="A4273" s="20" t="s">
        <v>699</v>
      </c>
      <c r="E4273" s="21">
        <f>IF(D4273="?OLD","!!!","")</f>
        <v/>
      </c>
      <c r="F4273" s="22" t="str">
        <f>IF(OR(E4273="",E4273="!!!"),"",IF(NOT(ISNA(VLOOKUP(E4273,E$1:E4272,1,FALSE()))),"OLD",IF(AND(E4273&lt;&gt;"",E4273&lt;&gt;"!!!"),"NEW","")))</f>
        <v> </v>
      </c>
      <c r="G4273" s="23" t="str">
        <f>IF(OR(E4273="",E4273="!!!"),"",IF(OR(J4273=0,AND(J4273=1,K4273=1),AND(J4273=1,I4273="SBJ"),AND(J4273=1,I4273=0)),"?IN_FOCUS",IF(J4273&lt;=2,"?ACTIVATED",IF(J4273&lt;&gt;"","?FAMILIAR",IF(F4273="NEW",IF(ISNA(VLOOKUP(E4273,#REF!,1,FALSE())),"?TYPE_IDENTIFIABLE","?REFERENTIAL"),"_")))))</f>
        <v> </v>
      </c>
      <c r="H4273" s="24" t="str">
        <f>IF(J4273&lt;&gt;1,"",IF(I4273="SBJ","CB","?"))</f>
        <v> </v>
      </c>
      <c r="I4273" s="25" t="str">
        <f>IF(OR(E4273="",E4273="!!!",F4273="NEW"),"",INDEX(B4272:B$2,-1+SUMPRODUCT(MAX(ROW(E4272:E$2)*(E4273=E4272:E$2)))))</f>
        <v> </v>
      </c>
      <c r="J4273" s="25" t="str">
        <f>IF(OR(E4273="",E4273="!!!",F4273="NEW"),"",COUNTBLANK(OFFSET(A$1,,,SUMPRODUCT(MAX(ROW(E$2:E4273)*(E4273=E$2:E4273)))))-COUNTBLANK(OFFSET(A$1,,,SUMPRODUCT(MAX(ROW(E$1:E4272)*(E2=E$1:E4272))))))</f>
        <v> </v>
      </c>
      <c r="K4273" s="25" t="str">
        <f>IF(OR(E4273="",E4273="!!!",F4273="NEW"),"",INDEX(J$1:J4272,SUMPRODUCT(MAX(ROW(E$1:E4272)*(E4273=E$1:E4272)))))</f>
        <v> </v>
      </c>
      <c r="L4273" s="26"/>
    </row>
    <row r="4274" spans="1:12">
      <c r="A4274" s="20"/>
    </row>
    <row r="4275" spans="1:12">
      <c r="A4275" s="20" t="s">
        <v>1767</v>
      </c>
    </row>
    <row r="4276" spans="1:12">
      <c r="A4276" s="20" t="s">
        <v>994</v>
      </c>
      <c r="B4276" s="27" t="s">
        <v>692</v>
      </c>
      <c r="C4276" s="27" t="s">
        <v>819</v>
      </c>
      <c r="D4276" s="27" t="s">
        <v>694</v>
      </c>
      <c r="E4276" s="21">
        <f>IF(D4276="?OLD","!!!","")</f>
        <v/>
      </c>
      <c r="F4276" s="22" t="str">
        <f>IF(OR(E4276="",E4276="!!!"),"",IF(NOT(ISNA(VLOOKUP(E4276,E$1:E4275,1,FALSE()))),"OLD",IF(AND(E4276&lt;&gt;"",E4276&lt;&gt;"!!!"),"NEW","")))</f>
        <v> </v>
      </c>
      <c r="G4276" s="23" t="str">
        <f>IF(OR(E4276="",E4276="!!!"),"",IF(OR(J4276=0,AND(J4276=1,K4276=1),AND(J4276=1,I4276="SBJ"),AND(J4276=1,I4276=0)),"?IN_FOCUS",IF(J4276&lt;=2,"?ACTIVATED",IF(J4276&lt;&gt;"","?FAMILIAR",IF(F4276="NEW",IF(ISNA(VLOOKUP(E4276,#REF!,1,FALSE())),"?TYPE_IDENTIFIABLE","?REFERENTIAL"),"_")))))</f>
        <v> </v>
      </c>
      <c r="H4276" s="24" t="str">
        <f>IF(J4276&lt;&gt;1,"",IF(I4276="SBJ","CB","?"))</f>
        <v> </v>
      </c>
      <c r="I4276" s="25" t="str">
        <f>IF(OR(E4276="",E4276="!!!",F4276="NEW"),"",INDEX(B4275:B$2,-1+SUMPRODUCT(MAX(ROW(E4275:E$2)*(E4276=E4275:E$2)))))</f>
        <v> </v>
      </c>
      <c r="J4276" s="25" t="str">
        <f>IF(OR(E4276="",E4276="!!!",F4276="NEW"),"",COUNTBLANK(OFFSET(A$1,,,SUMPRODUCT(MAX(ROW(E$2:E4276)*(E4276=E$2:E4276)))))-COUNTBLANK(OFFSET(A$1,,,SUMPRODUCT(MAX(ROW(E$1:E4275)*(E2=E$1:E4275))))))</f>
        <v> </v>
      </c>
      <c r="K4276" s="25" t="str">
        <f>IF(OR(E4276="",E4276="!!!",F4276="NEW"),"",INDEX(J$1:J4275,SUMPRODUCT(MAX(ROW(E$1:E4275)*(E4276=E$1:E4275)))))</f>
        <v> </v>
      </c>
      <c r="L4276" s="26"/>
    </row>
    <row r="4277" spans="1:12">
      <c r="A4277" s="20" t="s">
        <v>1270</v>
      </c>
      <c r="B4277" s="27" t="s">
        <v>698</v>
      </c>
      <c r="C4277" s="27" t="s">
        <v>782</v>
      </c>
      <c r="D4277" s="27" t="s">
        <v>694</v>
      </c>
      <c r="E4277" s="21">
        <f>IF(D4277="?OLD","!!!","")</f>
        <v/>
      </c>
      <c r="F4277" s="22" t="str">
        <f>IF(OR(E4277="",E4277="!!!"),"",IF(NOT(ISNA(VLOOKUP(E4277,E$1:E4276,1,FALSE()))),"OLD",IF(AND(E4277&lt;&gt;"",E4277&lt;&gt;"!!!"),"NEW","")))</f>
        <v> </v>
      </c>
      <c r="G4277" s="23" t="str">
        <f>IF(OR(E4277="",E4277="!!!"),"",IF(OR(J4277=0,AND(J4277=1,K4277=1),AND(J4277=1,I4277="SBJ"),AND(J4277=1,I4277=0)),"?IN_FOCUS",IF(J4277&lt;=2,"?ACTIVATED",IF(J4277&lt;&gt;"","?FAMILIAR",IF(F4277="NEW",IF(ISNA(VLOOKUP(E4277,#REF!,1,FALSE())),"?TYPE_IDENTIFIABLE","?REFERENTIAL"),"_")))))</f>
        <v> </v>
      </c>
      <c r="H4277" s="24" t="str">
        <f>IF(J4277&lt;&gt;1,"",IF(I4277="SBJ","CB","?"))</f>
        <v> </v>
      </c>
      <c r="I4277" s="25" t="str">
        <f>IF(OR(E4277="",E4277="!!!",F4277="NEW"),"",INDEX(B4276:B$2,-1+SUMPRODUCT(MAX(ROW(E4276:E$2)*(E4277=E4276:E$2)))))</f>
        <v> </v>
      </c>
      <c r="J4277" s="25" t="str">
        <f>IF(OR(E4277="",E4277="!!!",F4277="NEW"),"",COUNTBLANK(OFFSET(A$1,,,SUMPRODUCT(MAX(ROW(E$2:E4277)*(E4277=E$2:E4277)))))-COUNTBLANK(OFFSET(A$1,,,SUMPRODUCT(MAX(ROW(E$1:E4276)*(E2=E$1:E4276))))))</f>
        <v> </v>
      </c>
      <c r="K4277" s="25" t="str">
        <f>IF(OR(E4277="",E4277="!!!",F4277="NEW"),"",INDEX(J$1:J4276,SUMPRODUCT(MAX(ROW(E$1:E4276)*(E4277=E$1:E4276)))))</f>
        <v> </v>
      </c>
      <c r="L4277" s="26"/>
    </row>
    <row r="4278" spans="1:12">
      <c r="A4278" s="20" t="s">
        <v>725</v>
      </c>
      <c r="E4278" s="21">
        <f>IF(D4278="?OLD","!!!","")</f>
        <v/>
      </c>
      <c r="F4278" s="22" t="str">
        <f>IF(OR(E4278="",E4278="!!!"),"",IF(NOT(ISNA(VLOOKUP(E4278,E$1:E4277,1,FALSE()))),"OLD",IF(AND(E4278&lt;&gt;"",E4278&lt;&gt;"!!!"),"NEW","")))</f>
        <v> </v>
      </c>
      <c r="G4278" s="23" t="str">
        <f>IF(OR(E4278="",E4278="!!!"),"",IF(OR(J4278=0,AND(J4278=1,K4278=1),AND(J4278=1,I4278="SBJ"),AND(J4278=1,I4278=0)),"?IN_FOCUS",IF(J4278&lt;=2,"?ACTIVATED",IF(J4278&lt;&gt;"","?FAMILIAR",IF(F4278="NEW",IF(ISNA(VLOOKUP(E4278,#REF!,1,FALSE())),"?TYPE_IDENTIFIABLE","?REFERENTIAL"),"_")))))</f>
        <v> </v>
      </c>
      <c r="H4278" s="24" t="str">
        <f>IF(J4278&lt;&gt;1,"",IF(I4278="SBJ","CB","?"))</f>
        <v> </v>
      </c>
      <c r="I4278" s="25" t="str">
        <f>IF(OR(E4278="",E4278="!!!",F4278="NEW"),"",INDEX(B4277:B$2,-1+SUMPRODUCT(MAX(ROW(E4277:E$2)*(E4278=E4277:E$2)))))</f>
        <v> </v>
      </c>
      <c r="J4278" s="25" t="str">
        <f>IF(OR(E4278="",E4278="!!!",F4278="NEW"),"",COUNTBLANK(OFFSET(A$1,,,SUMPRODUCT(MAX(ROW(E$2:E4278)*(E4278=E$2:E4278)))))-COUNTBLANK(OFFSET(A$1,,,SUMPRODUCT(MAX(ROW(E$1:E4277)*(E2=E$1:E4277))))))</f>
        <v> </v>
      </c>
      <c r="K4278" s="25" t="str">
        <f>IF(OR(E4278="",E4278="!!!",F4278="NEW"),"",INDEX(J$1:J4277,SUMPRODUCT(MAX(ROW(E$1:E4277)*(E4278=E$1:E4277)))))</f>
        <v> </v>
      </c>
      <c r="L4278" s="26"/>
    </row>
    <row r="4279" spans="1:12">
      <c r="A4279" s="20" t="s">
        <v>773</v>
      </c>
      <c r="E4279" s="21">
        <f>IF(D4279="?OLD","!!!","")</f>
        <v/>
      </c>
      <c r="F4279" s="22" t="str">
        <f>IF(OR(E4279="",E4279="!!!"),"",IF(NOT(ISNA(VLOOKUP(E4279,E$1:E4278,1,FALSE()))),"OLD",IF(AND(E4279&lt;&gt;"",E4279&lt;&gt;"!!!"),"NEW","")))</f>
        <v> </v>
      </c>
      <c r="G4279" s="23" t="str">
        <f>IF(OR(E4279="",E4279="!!!"),"",IF(OR(J4279=0,AND(J4279=1,K4279=1),AND(J4279=1,I4279="SBJ"),AND(J4279=1,I4279=0)),"?IN_FOCUS",IF(J4279&lt;=2,"?ACTIVATED",IF(J4279&lt;&gt;"","?FAMILIAR",IF(F4279="NEW",IF(ISNA(VLOOKUP(E4279,#REF!,1,FALSE())),"?TYPE_IDENTIFIABLE","?REFERENTIAL"),"_")))))</f>
        <v> </v>
      </c>
      <c r="H4279" s="24" t="str">
        <f>IF(J4279&lt;&gt;1,"",IF(I4279="SBJ","CB","?"))</f>
        <v> </v>
      </c>
      <c r="I4279" s="25" t="str">
        <f>IF(OR(E4279="",E4279="!!!",F4279="NEW"),"",INDEX(B4278:B$2,-1+SUMPRODUCT(MAX(ROW(E4278:E$2)*(E4279=E4278:E$2)))))</f>
        <v> </v>
      </c>
      <c r="J4279" s="25" t="str">
        <f>IF(OR(E4279="",E4279="!!!",F4279="NEW"),"",COUNTBLANK(OFFSET(A$1,,,SUMPRODUCT(MAX(ROW(E$2:E4279)*(E4279=E$2:E4279)))))-COUNTBLANK(OFFSET(A$1,,,SUMPRODUCT(MAX(ROW(E$1:E4278)*(E2=E$1:E4278))))))</f>
        <v> </v>
      </c>
      <c r="K4279" s="25" t="str">
        <f>IF(OR(E4279="",E4279="!!!",F4279="NEW"),"",INDEX(J$1:J4278,SUMPRODUCT(MAX(ROW(E$1:E4278)*(E4279=E$1:E4278)))))</f>
        <v> </v>
      </c>
      <c r="L4279" s="26"/>
    </row>
    <row r="4280" spans="1:12">
      <c r="A4280" s="20" t="s">
        <v>837</v>
      </c>
      <c r="E4280" s="21">
        <f>IF(D4280="?OLD","!!!","")</f>
        <v/>
      </c>
      <c r="F4280" s="22" t="str">
        <f>IF(OR(E4280="",E4280="!!!"),"",IF(NOT(ISNA(VLOOKUP(E4280,E$1:E4279,1,FALSE()))),"OLD",IF(AND(E4280&lt;&gt;"",E4280&lt;&gt;"!!!"),"NEW","")))</f>
        <v> </v>
      </c>
      <c r="G4280" s="23" t="str">
        <f>IF(OR(E4280="",E4280="!!!"),"",IF(OR(J4280=0,AND(J4280=1,K4280=1),AND(J4280=1,I4280="SBJ"),AND(J4280=1,I4280=0)),"?IN_FOCUS",IF(J4280&lt;=2,"?ACTIVATED",IF(J4280&lt;&gt;"","?FAMILIAR",IF(F4280="NEW",IF(ISNA(VLOOKUP(E4280,#REF!,1,FALSE())),"?TYPE_IDENTIFIABLE","?REFERENTIAL"),"_")))))</f>
        <v> </v>
      </c>
      <c r="H4280" s="24" t="str">
        <f>IF(J4280&lt;&gt;1,"",IF(I4280="SBJ","CB","?"))</f>
        <v> </v>
      </c>
      <c r="I4280" s="25" t="str">
        <f>IF(OR(E4280="",E4280="!!!",F4280="NEW"),"",INDEX(B4279:B$2,-1+SUMPRODUCT(MAX(ROW(E4279:E$2)*(E4280=E4279:E$2)))))</f>
        <v> </v>
      </c>
      <c r="J4280" s="25" t="str">
        <f>IF(OR(E4280="",E4280="!!!",F4280="NEW"),"",COUNTBLANK(OFFSET(A$1,,,SUMPRODUCT(MAX(ROW(E$2:E4280)*(E4280=E$2:E4280)))))-COUNTBLANK(OFFSET(A$1,,,SUMPRODUCT(MAX(ROW(E$1:E4279)*(E2=E$1:E4279))))))</f>
        <v> </v>
      </c>
      <c r="K4280" s="25" t="str">
        <f>IF(OR(E4280="",E4280="!!!",F4280="NEW"),"",INDEX(J$1:J4279,SUMPRODUCT(MAX(ROW(E$1:E4279)*(E4280=E$1:E4279)))))</f>
        <v> </v>
      </c>
      <c r="L4280" s="26"/>
    </row>
    <row r="4281" spans="1:12">
      <c r="A4281" s="20" t="s">
        <v>838</v>
      </c>
      <c r="B4281" s="27" t="s">
        <v>737</v>
      </c>
      <c r="C4281" s="27" t="s">
        <v>707</v>
      </c>
      <c r="D4281" s="27" t="s">
        <v>694</v>
      </c>
      <c r="E4281" s="21">
        <f>IF(D4281="?OLD","!!!","")</f>
        <v/>
      </c>
      <c r="F4281" s="22" t="str">
        <f>IF(OR(E4281="",E4281="!!!"),"",IF(NOT(ISNA(VLOOKUP(E4281,E$1:E4280,1,FALSE()))),"OLD",IF(AND(E4281&lt;&gt;"",E4281&lt;&gt;"!!!"),"NEW","")))</f>
        <v> </v>
      </c>
      <c r="G4281" s="23" t="str">
        <f>IF(OR(E4281="",E4281="!!!"),"",IF(OR(J4281=0,AND(J4281=1,K4281=1),AND(J4281=1,I4281="SBJ"),AND(J4281=1,I4281=0)),"?IN_FOCUS",IF(J4281&lt;=2,"?ACTIVATED",IF(J4281&lt;&gt;"","?FAMILIAR",IF(F4281="NEW",IF(ISNA(VLOOKUP(E4281,#REF!,1,FALSE())),"?TYPE_IDENTIFIABLE","?REFERENTIAL"),"_")))))</f>
        <v> </v>
      </c>
      <c r="H4281" s="24" t="str">
        <f>IF(J4281&lt;&gt;1,"",IF(I4281="SBJ","CB","?"))</f>
        <v> </v>
      </c>
      <c r="I4281" s="25" t="str">
        <f>IF(OR(E4281="",E4281="!!!",F4281="NEW"),"",INDEX(B4280:B$2,-1+SUMPRODUCT(MAX(ROW(E4280:E$2)*(E4281=E4280:E$2)))))</f>
        <v> </v>
      </c>
      <c r="J4281" s="25" t="str">
        <f>IF(OR(E4281="",E4281="!!!",F4281="NEW"),"",COUNTBLANK(OFFSET(A$1,,,SUMPRODUCT(MAX(ROW(E$2:E4281)*(E4281=E$2:E4281)))))-COUNTBLANK(OFFSET(A$1,,,SUMPRODUCT(MAX(ROW(E$1:E4280)*(E2=E$1:E4280))))))</f>
        <v> </v>
      </c>
      <c r="K4281" s="25" t="str">
        <f>IF(OR(E4281="",E4281="!!!",F4281="NEW"),"",INDEX(J$1:J4280,SUMPRODUCT(MAX(ROW(E$1:E4280)*(E4281=E$1:E4280)))))</f>
        <v> </v>
      </c>
      <c r="L4281" s="26"/>
    </row>
    <row r="4282" spans="1:12">
      <c r="A4282" s="20" t="s">
        <v>725</v>
      </c>
      <c r="E4282" s="21">
        <f>IF(D4282="?OLD","!!!","")</f>
        <v/>
      </c>
      <c r="F4282" s="22" t="str">
        <f>IF(OR(E4282="",E4282="!!!"),"",IF(NOT(ISNA(VLOOKUP(E4282,E$1:E4281,1,FALSE()))),"OLD",IF(AND(E4282&lt;&gt;"",E4282&lt;&gt;"!!!"),"NEW","")))</f>
        <v> </v>
      </c>
      <c r="G4282" s="23" t="str">
        <f>IF(OR(E4282="",E4282="!!!"),"",IF(OR(J4282=0,AND(J4282=1,K4282=1),AND(J4282=1,I4282="SBJ"),AND(J4282=1,I4282=0)),"?IN_FOCUS",IF(J4282&lt;=2,"?ACTIVATED",IF(J4282&lt;&gt;"","?FAMILIAR",IF(F4282="NEW",IF(ISNA(VLOOKUP(E4282,#REF!,1,FALSE())),"?TYPE_IDENTIFIABLE","?REFERENTIAL"),"_")))))</f>
        <v> </v>
      </c>
      <c r="H4282" s="24" t="str">
        <f>IF(J4282&lt;&gt;1,"",IF(I4282="SBJ","CB","?"))</f>
        <v> </v>
      </c>
      <c r="I4282" s="25" t="str">
        <f>IF(OR(E4282="",E4282="!!!",F4282="NEW"),"",INDEX(B4281:B$2,-1+SUMPRODUCT(MAX(ROW(E4281:E$2)*(E4282=E4281:E$2)))))</f>
        <v> </v>
      </c>
      <c r="J4282" s="25" t="str">
        <f>IF(OR(E4282="",E4282="!!!",F4282="NEW"),"",COUNTBLANK(OFFSET(A$1,,,SUMPRODUCT(MAX(ROW(E$2:E4282)*(E4282=E$2:E4282)))))-COUNTBLANK(OFFSET(A$1,,,SUMPRODUCT(MAX(ROW(E$1:E4281)*(E2=E$1:E4281))))))</f>
        <v> </v>
      </c>
      <c r="K4282" s="25" t="str">
        <f>IF(OR(E4282="",E4282="!!!",F4282="NEW"),"",INDEX(J$1:J4281,SUMPRODUCT(MAX(ROW(E$1:E4281)*(E4282=E$1:E4281)))))</f>
        <v> </v>
      </c>
      <c r="L4282" s="26"/>
    </row>
    <row r="4283" spans="1:12">
      <c r="A4283" s="20" t="s">
        <v>862</v>
      </c>
      <c r="E4283" s="21">
        <f>IF(D4283="?OLD","!!!","")</f>
        <v/>
      </c>
      <c r="F4283" s="22" t="str">
        <f>IF(OR(E4283="",E4283="!!!"),"",IF(NOT(ISNA(VLOOKUP(E4283,E$1:E4282,1,FALSE()))),"OLD",IF(AND(E4283&lt;&gt;"",E4283&lt;&gt;"!!!"),"NEW","")))</f>
        <v> </v>
      </c>
      <c r="G4283" s="23" t="str">
        <f>IF(OR(E4283="",E4283="!!!"),"",IF(OR(J4283=0,AND(J4283=1,K4283=1),AND(J4283=1,I4283="SBJ"),AND(J4283=1,I4283=0)),"?IN_FOCUS",IF(J4283&lt;=2,"?ACTIVATED",IF(J4283&lt;&gt;"","?FAMILIAR",IF(F4283="NEW",IF(ISNA(VLOOKUP(E4283,#REF!,1,FALSE())),"?TYPE_IDENTIFIABLE","?REFERENTIAL"),"_")))))</f>
        <v> </v>
      </c>
      <c r="H4283" s="24" t="str">
        <f>IF(J4283&lt;&gt;1,"",IF(I4283="SBJ","CB","?"))</f>
        <v> </v>
      </c>
      <c r="I4283" s="25" t="str">
        <f>IF(OR(E4283="",E4283="!!!",F4283="NEW"),"",INDEX(B4282:B$2,-1+SUMPRODUCT(MAX(ROW(E4282:E$2)*(E4283=E4282:E$2)))))</f>
        <v> </v>
      </c>
      <c r="J4283" s="25" t="str">
        <f>IF(OR(E4283="",E4283="!!!",F4283="NEW"),"",COUNTBLANK(OFFSET(A$1,,,SUMPRODUCT(MAX(ROW(E$2:E4283)*(E4283=E$2:E4283)))))-COUNTBLANK(OFFSET(A$1,,,SUMPRODUCT(MAX(ROW(E$1:E4282)*(E2=E$1:E4282))))))</f>
        <v> </v>
      </c>
      <c r="K4283" s="25" t="str">
        <f>IF(OR(E4283="",E4283="!!!",F4283="NEW"),"",INDEX(J$1:J4282,SUMPRODUCT(MAX(ROW(E$1:E4282)*(E4283=E$1:E4282)))))</f>
        <v> </v>
      </c>
      <c r="L4283" s="26"/>
    </row>
    <row r="4284" spans="1:12">
      <c r="A4284" s="20" t="s">
        <v>37</v>
      </c>
      <c r="E4284" s="21">
        <f>IF(D4284="?OLD","!!!","")</f>
        <v/>
      </c>
      <c r="F4284" s="22" t="str">
        <f>IF(OR(E4284="",E4284="!!!"),"",IF(NOT(ISNA(VLOOKUP(E4284,E$1:E4283,1,FALSE()))),"OLD",IF(AND(E4284&lt;&gt;"",E4284&lt;&gt;"!!!"),"NEW","")))</f>
        <v> </v>
      </c>
      <c r="G4284" s="23" t="str">
        <f>IF(OR(E4284="",E4284="!!!"),"",IF(OR(J4284=0,AND(J4284=1,K4284=1),AND(J4284=1,I4284="SBJ"),AND(J4284=1,I4284=0)),"?IN_FOCUS",IF(J4284&lt;=2,"?ACTIVATED",IF(J4284&lt;&gt;"","?FAMILIAR",IF(F4284="NEW",IF(ISNA(VLOOKUP(E4284,#REF!,1,FALSE())),"?TYPE_IDENTIFIABLE","?REFERENTIAL"),"_")))))</f>
        <v> </v>
      </c>
      <c r="H4284" s="24" t="str">
        <f>IF(J4284&lt;&gt;1,"",IF(I4284="SBJ","CB","?"))</f>
        <v> </v>
      </c>
      <c r="I4284" s="25" t="str">
        <f>IF(OR(E4284="",E4284="!!!",F4284="NEW"),"",INDEX(B4283:B$2,-1+SUMPRODUCT(MAX(ROW(E4283:E$2)*(E4284=E4283:E$2)))))</f>
        <v> </v>
      </c>
      <c r="J4284" s="25" t="str">
        <f>IF(OR(E4284="",E4284="!!!",F4284="NEW"),"",COUNTBLANK(OFFSET(A$1,,,SUMPRODUCT(MAX(ROW(E$2:E4284)*(E4284=E$2:E4284)))))-COUNTBLANK(OFFSET(A$1,,,SUMPRODUCT(MAX(ROW(E$1:E4283)*(E2=E$1:E4283))))))</f>
        <v> </v>
      </c>
      <c r="K4284" s="25" t="str">
        <f>IF(OR(E4284="",E4284="!!!",F4284="NEW"),"",INDEX(J$1:J4283,SUMPRODUCT(MAX(ROW(E$1:E4283)*(E4284=E$1:E4283)))))</f>
        <v> </v>
      </c>
      <c r="L4284" s="26"/>
    </row>
    <row r="4285" spans="1:12">
      <c r="A4285" s="20" t="s">
        <v>865</v>
      </c>
      <c r="E4285" s="21">
        <f>IF(D4285="?OLD","!!!","")</f>
        <v/>
      </c>
      <c r="F4285" s="22" t="str">
        <f>IF(OR(E4285="",E4285="!!!"),"",IF(NOT(ISNA(VLOOKUP(E4285,E$1:E4284,1,FALSE()))),"OLD",IF(AND(E4285&lt;&gt;"",E4285&lt;&gt;"!!!"),"NEW","")))</f>
        <v> </v>
      </c>
      <c r="G4285" s="23" t="str">
        <f>IF(OR(E4285="",E4285="!!!"),"",IF(OR(J4285=0,AND(J4285=1,K4285=1),AND(J4285=1,I4285="SBJ"),AND(J4285=1,I4285=0)),"?IN_FOCUS",IF(J4285&lt;=2,"?ACTIVATED",IF(J4285&lt;&gt;"","?FAMILIAR",IF(F4285="NEW",IF(ISNA(VLOOKUP(E4285,#REF!,1,FALSE())),"?TYPE_IDENTIFIABLE","?REFERENTIAL"),"_")))))</f>
        <v> </v>
      </c>
      <c r="H4285" s="24" t="str">
        <f>IF(J4285&lt;&gt;1,"",IF(I4285="SBJ","CB","?"))</f>
        <v> </v>
      </c>
      <c r="I4285" s="25" t="str">
        <f>IF(OR(E4285="",E4285="!!!",F4285="NEW"),"",INDEX(B4284:B$2,-1+SUMPRODUCT(MAX(ROW(E4284:E$2)*(E4285=E4284:E$2)))))</f>
        <v> </v>
      </c>
      <c r="J4285" s="25" t="str">
        <f>IF(OR(E4285="",E4285="!!!",F4285="NEW"),"",COUNTBLANK(OFFSET(A$1,,,SUMPRODUCT(MAX(ROW(E$2:E4285)*(E4285=E$2:E4285)))))-COUNTBLANK(OFFSET(A$1,,,SUMPRODUCT(MAX(ROW(E$1:E4284)*(E2=E$1:E4284))))))</f>
        <v> </v>
      </c>
      <c r="K4285" s="25" t="str">
        <f>IF(OR(E4285="",E4285="!!!",F4285="NEW"),"",INDEX(J$1:J4284,SUMPRODUCT(MAX(ROW(E$1:E4284)*(E4285=E$1:E4284)))))</f>
        <v> </v>
      </c>
      <c r="L4285" s="26"/>
    </row>
    <row r="4286" spans="1:12">
      <c r="A4286" s="20" t="s">
        <v>91</v>
      </c>
      <c r="E4286" s="21">
        <f>IF(D4286="?OLD","!!!","")</f>
        <v/>
      </c>
      <c r="F4286" s="22" t="str">
        <f>IF(OR(E4286="",E4286="!!!"),"",IF(NOT(ISNA(VLOOKUP(E4286,E$1:E4285,1,FALSE()))),"OLD",IF(AND(E4286&lt;&gt;"",E4286&lt;&gt;"!!!"),"NEW","")))</f>
        <v> </v>
      </c>
      <c r="G4286" s="23" t="str">
        <f>IF(OR(E4286="",E4286="!!!"),"",IF(OR(J4286=0,AND(J4286=1,K4286=1),AND(J4286=1,I4286="SBJ"),AND(J4286=1,I4286=0)),"?IN_FOCUS",IF(J4286&lt;=2,"?ACTIVATED",IF(J4286&lt;&gt;"","?FAMILIAR",IF(F4286="NEW",IF(ISNA(VLOOKUP(E4286,#REF!,1,FALSE())),"?TYPE_IDENTIFIABLE","?REFERENTIAL"),"_")))))</f>
        <v> </v>
      </c>
      <c r="H4286" s="24" t="str">
        <f>IF(J4286&lt;&gt;1,"",IF(I4286="SBJ","CB","?"))</f>
        <v> </v>
      </c>
      <c r="I4286" s="25" t="str">
        <f>IF(OR(E4286="",E4286="!!!",F4286="NEW"),"",INDEX(B4285:B$2,-1+SUMPRODUCT(MAX(ROW(E4285:E$2)*(E4286=E4285:E$2)))))</f>
        <v> </v>
      </c>
      <c r="J4286" s="25" t="str">
        <f>IF(OR(E4286="",E4286="!!!",F4286="NEW"),"",COUNTBLANK(OFFSET(A$1,,,SUMPRODUCT(MAX(ROW(E$2:E4286)*(E4286=E$2:E4286)))))-COUNTBLANK(OFFSET(A$1,,,SUMPRODUCT(MAX(ROW(E$1:E4285)*(E2=E$1:E4285))))))</f>
        <v> </v>
      </c>
      <c r="K4286" s="25" t="str">
        <f>IF(OR(E4286="",E4286="!!!",F4286="NEW"),"",INDEX(J$1:J4285,SUMPRODUCT(MAX(ROW(E$1:E4285)*(E4286=E$1:E4285)))))</f>
        <v> </v>
      </c>
      <c r="L4286" s="26"/>
    </row>
    <row r="4287" spans="1:12">
      <c r="A4287" s="20" t="s">
        <v>1356</v>
      </c>
      <c r="B4287" s="27" t="s">
        <v>698</v>
      </c>
      <c r="C4287" s="27" t="s">
        <v>953</v>
      </c>
      <c r="E4287" s="21">
        <f>IF(D4287="?OLD","!!!","")</f>
        <v/>
      </c>
      <c r="F4287" s="22" t="str">
        <f>IF(OR(E4287="",E4287="!!!"),"",IF(NOT(ISNA(VLOOKUP(E4287,E$1:E4286,1,FALSE()))),"OLD",IF(AND(E4287&lt;&gt;"",E4287&lt;&gt;"!!!"),"NEW","")))</f>
        <v> </v>
      </c>
      <c r="G4287" s="23" t="str">
        <f>IF(OR(E4287="",E4287="!!!"),"",IF(OR(J4287=0,AND(J4287=1,K4287=1),AND(J4287=1,I4287="SBJ"),AND(J4287=1,I4287=0)),"?IN_FOCUS",IF(J4287&lt;=2,"?ACTIVATED",IF(J4287&lt;&gt;"","?FAMILIAR",IF(F4287="NEW",IF(ISNA(VLOOKUP(E4287,#REF!,1,FALSE())),"?TYPE_IDENTIFIABLE","?REFERENTIAL"),"_")))))</f>
        <v> </v>
      </c>
      <c r="H4287" s="24" t="str">
        <f>IF(J4287&lt;&gt;1,"",IF(I4287="SBJ","CB","?"))</f>
        <v> </v>
      </c>
      <c r="I4287" s="25" t="str">
        <f>IF(OR(E4287="",E4287="!!!",F4287="NEW"),"",INDEX(B4286:B$2,-1+SUMPRODUCT(MAX(ROW(E4286:E$2)*(E4287=E4286:E$2)))))</f>
        <v> </v>
      </c>
      <c r="J4287" s="25" t="str">
        <f>IF(OR(E4287="",E4287="!!!",F4287="NEW"),"",COUNTBLANK(OFFSET(A$1,,,SUMPRODUCT(MAX(ROW(E$2:E4287)*(E4287=E$2:E4287)))))-COUNTBLANK(OFFSET(A$1,,,SUMPRODUCT(MAX(ROW(E$1:E4286)*(E2=E$1:E4286))))))</f>
        <v> </v>
      </c>
      <c r="K4287" s="25" t="str">
        <f>IF(OR(E4287="",E4287="!!!",F4287="NEW"),"",INDEX(J$1:J4286,SUMPRODUCT(MAX(ROW(E$1:E4286)*(E4287=E$1:E4286)))))</f>
        <v> </v>
      </c>
      <c r="L4287" s="26"/>
    </row>
    <row r="4288" spans="1:12">
      <c r="A4288" s="20" t="s">
        <v>725</v>
      </c>
      <c r="E4288" s="21">
        <f>IF(D4288="?OLD","!!!","")</f>
        <v/>
      </c>
      <c r="F4288" s="22" t="str">
        <f>IF(OR(E4288="",E4288="!!!"),"",IF(NOT(ISNA(VLOOKUP(E4288,E$1:E4287,1,FALSE()))),"OLD",IF(AND(E4288&lt;&gt;"",E4288&lt;&gt;"!!!"),"NEW","")))</f>
        <v> </v>
      </c>
      <c r="G4288" s="23" t="str">
        <f>IF(OR(E4288="",E4288="!!!"),"",IF(OR(J4288=0,AND(J4288=1,K4288=1),AND(J4288=1,I4288="SBJ"),AND(J4288=1,I4288=0)),"?IN_FOCUS",IF(J4288&lt;=2,"?ACTIVATED",IF(J4288&lt;&gt;"","?FAMILIAR",IF(F4288="NEW",IF(ISNA(VLOOKUP(E4288,#REF!,1,FALSE())),"?TYPE_IDENTIFIABLE","?REFERENTIAL"),"_")))))</f>
        <v> </v>
      </c>
      <c r="H4288" s="24" t="str">
        <f>IF(J4288&lt;&gt;1,"",IF(I4288="SBJ","CB","?"))</f>
        <v> </v>
      </c>
      <c r="I4288" s="25" t="str">
        <f>IF(OR(E4288="",E4288="!!!",F4288="NEW"),"",INDEX(B4287:B$2,-1+SUMPRODUCT(MAX(ROW(E4287:E$2)*(E4288=E4287:E$2)))))</f>
        <v> </v>
      </c>
      <c r="J4288" s="25" t="str">
        <f>IF(OR(E4288="",E4288="!!!",F4288="NEW"),"",COUNTBLANK(OFFSET(A$1,,,SUMPRODUCT(MAX(ROW(E$2:E4288)*(E4288=E$2:E4288)))))-COUNTBLANK(OFFSET(A$1,,,SUMPRODUCT(MAX(ROW(E$1:E4287)*(E2=E$1:E4287))))))</f>
        <v> </v>
      </c>
      <c r="K4288" s="25" t="str">
        <f>IF(OR(E4288="",E4288="!!!",F4288="NEW"),"",INDEX(J$1:J4287,SUMPRODUCT(MAX(ROW(E$1:E4287)*(E4288=E$1:E4287)))))</f>
        <v> </v>
      </c>
      <c r="L4288" s="26"/>
    </row>
    <row r="4289" spans="1:12">
      <c r="A4289" s="20" t="s">
        <v>1768</v>
      </c>
      <c r="E4289" s="21">
        <f>IF(D4289="?OLD","!!!","")</f>
        <v/>
      </c>
      <c r="F4289" s="22" t="str">
        <f>IF(OR(E4289="",E4289="!!!"),"",IF(NOT(ISNA(VLOOKUP(E4289,E$1:E4288,1,FALSE()))),"OLD",IF(AND(E4289&lt;&gt;"",E4289&lt;&gt;"!!!"),"NEW","")))</f>
        <v> </v>
      </c>
      <c r="G4289" s="23" t="str">
        <f>IF(OR(E4289="",E4289="!!!"),"",IF(OR(J4289=0,AND(J4289=1,K4289=1),AND(J4289=1,I4289="SBJ"),AND(J4289=1,I4289=0)),"?IN_FOCUS",IF(J4289&lt;=2,"?ACTIVATED",IF(J4289&lt;&gt;"","?FAMILIAR",IF(F4289="NEW",IF(ISNA(VLOOKUP(E4289,#REF!,1,FALSE())),"?TYPE_IDENTIFIABLE","?REFERENTIAL"),"_")))))</f>
        <v> </v>
      </c>
      <c r="H4289" s="24" t="str">
        <f>IF(J4289&lt;&gt;1,"",IF(I4289="SBJ","CB","?"))</f>
        <v> </v>
      </c>
      <c r="I4289" s="25" t="str">
        <f>IF(OR(E4289="",E4289="!!!",F4289="NEW"),"",INDEX(B4288:B$2,-1+SUMPRODUCT(MAX(ROW(E4288:E$2)*(E4289=E4288:E$2)))))</f>
        <v> </v>
      </c>
      <c r="J4289" s="25" t="str">
        <f>IF(OR(E4289="",E4289="!!!",F4289="NEW"),"",COUNTBLANK(OFFSET(A$1,,,SUMPRODUCT(MAX(ROW(E$2:E4289)*(E4289=E$2:E4289)))))-COUNTBLANK(OFFSET(A$1,,,SUMPRODUCT(MAX(ROW(E$1:E4288)*(E2=E$1:E4288))))))</f>
        <v> </v>
      </c>
      <c r="K4289" s="25" t="str">
        <f>IF(OR(E4289="",E4289="!!!",F4289="NEW"),"",INDEX(J$1:J4288,SUMPRODUCT(MAX(ROW(E$1:E4288)*(E4289=E$1:E4288)))))</f>
        <v> </v>
      </c>
      <c r="L4289" s="26"/>
    </row>
    <row r="4290" spans="1:12">
      <c r="A4290" s="20" t="s">
        <v>862</v>
      </c>
      <c r="E4290" s="21">
        <f>IF(D4290="?OLD","!!!","")</f>
        <v/>
      </c>
      <c r="F4290" s="22" t="str">
        <f>IF(OR(E4290="",E4290="!!!"),"",IF(NOT(ISNA(VLOOKUP(E4290,E$1:E4289,1,FALSE()))),"OLD",IF(AND(E4290&lt;&gt;"",E4290&lt;&gt;"!!!"),"NEW","")))</f>
        <v> </v>
      </c>
      <c r="G4290" s="23" t="str">
        <f>IF(OR(E4290="",E4290="!!!"),"",IF(OR(J4290=0,AND(J4290=1,K4290=1),AND(J4290=1,I4290="SBJ"),AND(J4290=1,I4290=0)),"?IN_FOCUS",IF(J4290&lt;=2,"?ACTIVATED",IF(J4290&lt;&gt;"","?FAMILIAR",IF(F4290="NEW",IF(ISNA(VLOOKUP(E4290,#REF!,1,FALSE())),"?TYPE_IDENTIFIABLE","?REFERENTIAL"),"_")))))</f>
        <v> </v>
      </c>
      <c r="H4290" s="24" t="str">
        <f>IF(J4290&lt;&gt;1,"",IF(I4290="SBJ","CB","?"))</f>
        <v> </v>
      </c>
      <c r="I4290" s="25" t="str">
        <f>IF(OR(E4290="",E4290="!!!",F4290="NEW"),"",INDEX(B4289:B$2,-1+SUMPRODUCT(MAX(ROW(E4289:E$2)*(E4290=E4289:E$2)))))</f>
        <v> </v>
      </c>
      <c r="J4290" s="25" t="str">
        <f>IF(OR(E4290="",E4290="!!!",F4290="NEW"),"",COUNTBLANK(OFFSET(A$1,,,SUMPRODUCT(MAX(ROW(E$2:E4290)*(E4290=E$2:E4290)))))-COUNTBLANK(OFFSET(A$1,,,SUMPRODUCT(MAX(ROW(E$1:E4289)*(E2=E$1:E4289))))))</f>
        <v> </v>
      </c>
      <c r="K4290" s="25" t="str">
        <f>IF(OR(E4290="",E4290="!!!",F4290="NEW"),"",INDEX(J$1:J4289,SUMPRODUCT(MAX(ROW(E$1:E4289)*(E4290=E$1:E4289)))))</f>
        <v> </v>
      </c>
      <c r="L4290" s="26"/>
    </row>
    <row r="4291" spans="1:12">
      <c r="A4291" s="20" t="s">
        <v>721</v>
      </c>
      <c r="E4291" s="21">
        <f>IF(D4291="?OLD","!!!","")</f>
        <v/>
      </c>
      <c r="F4291" s="22" t="str">
        <f>IF(OR(E4291="",E4291="!!!"),"",IF(NOT(ISNA(VLOOKUP(E4291,E$1:E4290,1,FALSE()))),"OLD",IF(AND(E4291&lt;&gt;"",E4291&lt;&gt;"!!!"),"NEW","")))</f>
        <v> </v>
      </c>
      <c r="G4291" s="23" t="str">
        <f>IF(OR(E4291="",E4291="!!!"),"",IF(OR(J4291=0,AND(J4291=1,K4291=1),AND(J4291=1,I4291="SBJ"),AND(J4291=1,I4291=0)),"?IN_FOCUS",IF(J4291&lt;=2,"?ACTIVATED",IF(J4291&lt;&gt;"","?FAMILIAR",IF(F4291="NEW",IF(ISNA(VLOOKUP(E4291,#REF!,1,FALSE())),"?TYPE_IDENTIFIABLE","?REFERENTIAL"),"_")))))</f>
        <v> </v>
      </c>
      <c r="H4291" s="24" t="str">
        <f>IF(J4291&lt;&gt;1,"",IF(I4291="SBJ","CB","?"))</f>
        <v> </v>
      </c>
      <c r="I4291" s="25" t="str">
        <f>IF(OR(E4291="",E4291="!!!",F4291="NEW"),"",INDEX(B4290:B$2,-1+SUMPRODUCT(MAX(ROW(E4290:E$2)*(E4291=E4290:E$2)))))</f>
        <v> </v>
      </c>
      <c r="J4291" s="25" t="str">
        <f>IF(OR(E4291="",E4291="!!!",F4291="NEW"),"",COUNTBLANK(OFFSET(A$1,,,SUMPRODUCT(MAX(ROW(E$2:E4291)*(E4291=E$2:E4291)))))-COUNTBLANK(OFFSET(A$1,,,SUMPRODUCT(MAX(ROW(E$1:E4290)*(E2=E$1:E4290))))))</f>
        <v> </v>
      </c>
      <c r="K4291" s="25" t="str">
        <f>IF(OR(E4291="",E4291="!!!",F4291="NEW"),"",INDEX(J$1:J4290,SUMPRODUCT(MAX(ROW(E$1:E4290)*(E4291=E$1:E4290)))))</f>
        <v> </v>
      </c>
      <c r="L4291" s="26"/>
    </row>
    <row r="4292" spans="1:12">
      <c r="A4292" s="20" t="s">
        <v>1769</v>
      </c>
      <c r="B4292" s="27" t="s">
        <v>737</v>
      </c>
      <c r="C4292" s="27" t="s">
        <v>693</v>
      </c>
      <c r="D4292" s="27" t="s">
        <v>694</v>
      </c>
      <c r="E4292" s="21">
        <f>IF(D4292="?OLD","!!!","")</f>
        <v/>
      </c>
      <c r="F4292" s="22" t="str">
        <f>IF(OR(E4292="",E4292="!!!"),"",IF(NOT(ISNA(VLOOKUP(E4292,E$1:E4291,1,FALSE()))),"OLD",IF(AND(E4292&lt;&gt;"",E4292&lt;&gt;"!!!"),"NEW","")))</f>
        <v> </v>
      </c>
      <c r="G4292" s="23" t="str">
        <f>IF(OR(E4292="",E4292="!!!"),"",IF(OR(J4292=0,AND(J4292=1,K4292=1),AND(J4292=1,I4292="SBJ"),AND(J4292=1,I4292=0)),"?IN_FOCUS",IF(J4292&lt;=2,"?ACTIVATED",IF(J4292&lt;&gt;"","?FAMILIAR",IF(F4292="NEW",IF(ISNA(VLOOKUP(E4292,#REF!,1,FALSE())),"?TYPE_IDENTIFIABLE","?REFERENTIAL"),"_")))))</f>
        <v> </v>
      </c>
      <c r="H4292" s="24" t="str">
        <f>IF(J4292&lt;&gt;1,"",IF(I4292="SBJ","CB","?"))</f>
        <v> </v>
      </c>
      <c r="I4292" s="25" t="str">
        <f>IF(OR(E4292="",E4292="!!!",F4292="NEW"),"",INDEX(B4291:B$2,-1+SUMPRODUCT(MAX(ROW(E4291:E$2)*(E4292=E4291:E$2)))))</f>
        <v> </v>
      </c>
      <c r="J4292" s="25" t="str">
        <f>IF(OR(E4292="",E4292="!!!",F4292="NEW"),"",COUNTBLANK(OFFSET(A$1,,,SUMPRODUCT(MAX(ROW(E$2:E4292)*(E4292=E$2:E4292)))))-COUNTBLANK(OFFSET(A$1,,,SUMPRODUCT(MAX(ROW(E$1:E4291)*(E2=E$1:E4291))))))</f>
        <v> </v>
      </c>
      <c r="K4292" s="25" t="str">
        <f>IF(OR(E4292="",E4292="!!!",F4292="NEW"),"",INDEX(J$1:J4291,SUMPRODUCT(MAX(ROW(E$1:E4291)*(E4292=E$1:E4291)))))</f>
        <v> </v>
      </c>
      <c r="L4292" s="26"/>
    </row>
    <row r="4293" spans="1:12">
      <c r="A4293" s="20" t="s">
        <v>1770</v>
      </c>
      <c r="E4293" s="21">
        <f>IF(D4293="?OLD","!!!","")</f>
        <v/>
      </c>
      <c r="F4293" s="22" t="str">
        <f>IF(OR(E4293="",E4293="!!!"),"",IF(NOT(ISNA(VLOOKUP(E4293,E$1:E4292,1,FALSE()))),"OLD",IF(AND(E4293&lt;&gt;"",E4293&lt;&gt;"!!!"),"NEW","")))</f>
        <v> </v>
      </c>
      <c r="G4293" s="23" t="str">
        <f>IF(OR(E4293="",E4293="!!!"),"",IF(OR(J4293=0,AND(J4293=1,K4293=1),AND(J4293=1,I4293="SBJ"),AND(J4293=1,I4293=0)),"?IN_FOCUS",IF(J4293&lt;=2,"?ACTIVATED",IF(J4293&lt;&gt;"","?FAMILIAR",IF(F4293="NEW",IF(ISNA(VLOOKUP(E4293,#REF!,1,FALSE())),"?TYPE_IDENTIFIABLE","?REFERENTIAL"),"_")))))</f>
        <v> </v>
      </c>
      <c r="H4293" s="24" t="str">
        <f>IF(J4293&lt;&gt;1,"",IF(I4293="SBJ","CB","?"))</f>
        <v> </v>
      </c>
      <c r="I4293" s="25" t="str">
        <f>IF(OR(E4293="",E4293="!!!",F4293="NEW"),"",INDEX(B4292:B$2,-1+SUMPRODUCT(MAX(ROW(E4292:E$2)*(E4293=E4292:E$2)))))</f>
        <v> </v>
      </c>
      <c r="J4293" s="25" t="str">
        <f>IF(OR(E4293="",E4293="!!!",F4293="NEW"),"",COUNTBLANK(OFFSET(A$1,,,SUMPRODUCT(MAX(ROW(E$2:E4293)*(E4293=E$2:E4293)))))-COUNTBLANK(OFFSET(A$1,,,SUMPRODUCT(MAX(ROW(E$1:E4292)*(E2=E$1:E4292))))))</f>
        <v> </v>
      </c>
      <c r="K4293" s="25" t="str">
        <f>IF(OR(E4293="",E4293="!!!",F4293="NEW"),"",INDEX(J$1:J4292,SUMPRODUCT(MAX(ROW(E$1:E4292)*(E4293=E$1:E4292)))))</f>
        <v> </v>
      </c>
      <c r="L4293" s="26"/>
    </row>
    <row r="4294" spans="1:12">
      <c r="A4294" s="20" t="s">
        <v>699</v>
      </c>
      <c r="E4294" s="21">
        <f>IF(D4294="?OLD","!!!","")</f>
        <v/>
      </c>
      <c r="F4294" s="22" t="str">
        <f>IF(OR(E4294="",E4294="!!!"),"",IF(NOT(ISNA(VLOOKUP(E4294,E$1:E4293,1,FALSE()))),"OLD",IF(AND(E4294&lt;&gt;"",E4294&lt;&gt;"!!!"),"NEW","")))</f>
        <v> </v>
      </c>
      <c r="G4294" s="23" t="str">
        <f>IF(OR(E4294="",E4294="!!!"),"",IF(OR(J4294=0,AND(J4294=1,K4294=1),AND(J4294=1,I4294="SBJ"),AND(J4294=1,I4294=0)),"?IN_FOCUS",IF(J4294&lt;=2,"?ACTIVATED",IF(J4294&lt;&gt;"","?FAMILIAR",IF(F4294="NEW",IF(ISNA(VLOOKUP(E4294,#REF!,1,FALSE())),"?TYPE_IDENTIFIABLE","?REFERENTIAL"),"_")))))</f>
        <v> </v>
      </c>
      <c r="H4294" s="24" t="str">
        <f>IF(J4294&lt;&gt;1,"",IF(I4294="SBJ","CB","?"))</f>
        <v> </v>
      </c>
      <c r="I4294" s="25" t="str">
        <f>IF(OR(E4294="",E4294="!!!",F4294="NEW"),"",INDEX(B4293:B$2,-1+SUMPRODUCT(MAX(ROW(E4293:E$2)*(E4294=E4293:E$2)))))</f>
        <v> </v>
      </c>
      <c r="J4294" s="25" t="str">
        <f>IF(OR(E4294="",E4294="!!!",F4294="NEW"),"",COUNTBLANK(OFFSET(A$1,,,SUMPRODUCT(MAX(ROW(E$2:E4294)*(E4294=E$2:E4294)))))-COUNTBLANK(OFFSET(A$1,,,SUMPRODUCT(MAX(ROW(E$1:E4293)*(E2=E$1:E4293))))))</f>
        <v> </v>
      </c>
      <c r="K4294" s="25" t="str">
        <f>IF(OR(E4294="",E4294="!!!",F4294="NEW"),"",INDEX(J$1:J4293,SUMPRODUCT(MAX(ROW(E$1:E4293)*(E4294=E$1:E4293)))))</f>
        <v> </v>
      </c>
      <c r="L4294" s="26"/>
    </row>
    <row r="4295" spans="1:12">
      <c r="A4295" s="20"/>
    </row>
    <row r="4296" spans="1:12">
      <c r="A4296" s="20" t="s">
        <v>1771</v>
      </c>
    </row>
    <row r="4297" spans="1:12">
      <c r="A4297" s="20" t="s">
        <v>664</v>
      </c>
      <c r="E4297" s="21">
        <f>IF(D4297="?OLD","!!!","")</f>
        <v/>
      </c>
      <c r="F4297" s="22" t="str">
        <f>IF(OR(E4297="",E4297="!!!"),"",IF(NOT(ISNA(VLOOKUP(E4297,E$1:E4296,1,FALSE()))),"OLD",IF(AND(E4297&lt;&gt;"",E4297&lt;&gt;"!!!"),"NEW","")))</f>
        <v> </v>
      </c>
      <c r="G4297" s="23" t="str">
        <f>IF(OR(E4297="",E4297="!!!"),"",IF(OR(J4297=0,AND(J4297=1,K4297=1),AND(J4297=1,I4297="SBJ"),AND(J4297=1,I4297=0)),"?IN_FOCUS",IF(J4297&lt;=2,"?ACTIVATED",IF(J4297&lt;&gt;"","?FAMILIAR",IF(F4297="NEW",IF(ISNA(VLOOKUP(E4297,#REF!,1,FALSE())),"?TYPE_IDENTIFIABLE","?REFERENTIAL"),"_")))))</f>
        <v> </v>
      </c>
      <c r="H4297" s="24" t="str">
        <f>IF(J4297&lt;&gt;1,"",IF(I4297="SBJ","CB","?"))</f>
        <v> </v>
      </c>
      <c r="I4297" s="25" t="str">
        <f>IF(OR(E4297="",E4297="!!!",F4297="NEW"),"",INDEX(B4296:B$2,-1+SUMPRODUCT(MAX(ROW(E4296:E$2)*(E4297=E4296:E$2)))))</f>
        <v> </v>
      </c>
      <c r="J4297" s="25" t="str">
        <f>IF(OR(E4297="",E4297="!!!",F4297="NEW"),"",COUNTBLANK(OFFSET(A$1,,,SUMPRODUCT(MAX(ROW(E$2:E4297)*(E4297=E$2:E4297)))))-COUNTBLANK(OFFSET(A$1,,,SUMPRODUCT(MAX(ROW(E$1:E4296)*(E2=E$1:E4296))))))</f>
        <v> </v>
      </c>
      <c r="K4297" s="25" t="str">
        <f>IF(OR(E4297="",E4297="!!!",F4297="NEW"),"",INDEX(J$1:J4296,SUMPRODUCT(MAX(ROW(E$1:E4296)*(E4297=E$1:E4296)))))</f>
        <v> </v>
      </c>
      <c r="L4297" s="26"/>
    </row>
    <row r="4298" spans="1:12">
      <c r="A4298" s="20"/>
    </row>
    <row r="4299" spans="1:12">
      <c r="A4299" s="20" t="s">
        <v>1772</v>
      </c>
    </row>
    <row r="4300" spans="1:12">
      <c r="A4300" s="20" t="s">
        <v>1773</v>
      </c>
      <c r="E4300" s="21">
        <f>IF(D4300="?OLD","!!!","")</f>
        <v/>
      </c>
      <c r="F4300" s="22" t="str">
        <f>IF(OR(E4300="",E4300="!!!"),"",IF(NOT(ISNA(VLOOKUP(E4300,E$1:E4299,1,FALSE()))),"OLD",IF(AND(E4300&lt;&gt;"",E4300&lt;&gt;"!!!"),"NEW","")))</f>
        <v> </v>
      </c>
      <c r="G4300" s="23" t="str">
        <f>IF(OR(E4300="",E4300="!!!"),"",IF(OR(J4300=0,AND(J4300=1,K4300=1),AND(J4300=1,I4300="SBJ"),AND(J4300=1,I4300=0)),"?IN_FOCUS",IF(J4300&lt;=2,"?ACTIVATED",IF(J4300&lt;&gt;"","?FAMILIAR",IF(F4300="NEW",IF(ISNA(VLOOKUP(E4300,#REF!,1,FALSE())),"?TYPE_IDENTIFIABLE","?REFERENTIAL"),"_")))))</f>
        <v> </v>
      </c>
      <c r="H4300" s="24" t="str">
        <f>IF(J4300&lt;&gt;1,"",IF(I4300="SBJ","CB","?"))</f>
        <v> </v>
      </c>
      <c r="I4300" s="25" t="str">
        <f>IF(OR(E4300="",E4300="!!!",F4300="NEW"),"",INDEX(B4299:B$2,-1+SUMPRODUCT(MAX(ROW(E4299:E$2)*(E4300=E4299:E$2)))))</f>
        <v> </v>
      </c>
      <c r="J4300" s="25" t="str">
        <f>IF(OR(E4300="",E4300="!!!",F4300="NEW"),"",COUNTBLANK(OFFSET(A$1,,,SUMPRODUCT(MAX(ROW(E$2:E4300)*(E4300=E$2:E4300)))))-COUNTBLANK(OFFSET(A$1,,,SUMPRODUCT(MAX(ROW(E$1:E4299)*(E2=E$1:E4299))))))</f>
        <v> </v>
      </c>
      <c r="K4300" s="25" t="str">
        <f>IF(OR(E4300="",E4300="!!!",F4300="NEW"),"",INDEX(J$1:J4299,SUMPRODUCT(MAX(ROW(E$1:E4299)*(E4300=E$1:E4299)))))</f>
        <v> </v>
      </c>
      <c r="L4300" s="26"/>
    </row>
    <row r="4301" spans="1:12">
      <c r="A4301" s="20" t="s">
        <v>860</v>
      </c>
      <c r="E4301" s="21">
        <f>IF(D4301="?OLD","!!!","")</f>
        <v/>
      </c>
      <c r="F4301" s="22" t="str">
        <f>IF(OR(E4301="",E4301="!!!"),"",IF(NOT(ISNA(VLOOKUP(E4301,E$1:E4300,1,FALSE()))),"OLD",IF(AND(E4301&lt;&gt;"",E4301&lt;&gt;"!!!"),"NEW","")))</f>
        <v> </v>
      </c>
      <c r="G4301" s="23" t="str">
        <f>IF(OR(E4301="",E4301="!!!"),"",IF(OR(J4301=0,AND(J4301=1,K4301=1),AND(J4301=1,I4301="SBJ"),AND(J4301=1,I4301=0)),"?IN_FOCUS",IF(J4301&lt;=2,"?ACTIVATED",IF(J4301&lt;&gt;"","?FAMILIAR",IF(F4301="NEW",IF(ISNA(VLOOKUP(E4301,#REF!,1,FALSE())),"?TYPE_IDENTIFIABLE","?REFERENTIAL"),"_")))))</f>
        <v> </v>
      </c>
      <c r="H4301" s="24" t="str">
        <f>IF(J4301&lt;&gt;1,"",IF(I4301="SBJ","CB","?"))</f>
        <v> </v>
      </c>
      <c r="I4301" s="25" t="str">
        <f>IF(OR(E4301="",E4301="!!!",F4301="NEW"),"",INDEX(B4300:B$2,-1+SUMPRODUCT(MAX(ROW(E4300:E$2)*(E4301=E4300:E$2)))))</f>
        <v> </v>
      </c>
      <c r="J4301" s="25" t="str">
        <f>IF(OR(E4301="",E4301="!!!",F4301="NEW"),"",COUNTBLANK(OFFSET(A$1,,,SUMPRODUCT(MAX(ROW(E$2:E4301)*(E4301=E$2:E4301)))))-COUNTBLANK(OFFSET(A$1,,,SUMPRODUCT(MAX(ROW(E$1:E4300)*(E2=E$1:E4300))))))</f>
        <v> </v>
      </c>
      <c r="K4301" s="25" t="str">
        <f>IF(OR(E4301="",E4301="!!!",F4301="NEW"),"",INDEX(J$1:J4300,SUMPRODUCT(MAX(ROW(E$1:E4300)*(E4301=E$1:E4300)))))</f>
        <v> </v>
      </c>
      <c r="L4301" s="26"/>
    </row>
    <row r="4302" spans="1:12">
      <c r="A4302" s="20" t="s">
        <v>1645</v>
      </c>
      <c r="E4302" s="21">
        <f>IF(D4302="?OLD","!!!","")</f>
        <v/>
      </c>
      <c r="F4302" s="22" t="str">
        <f>IF(OR(E4302="",E4302="!!!"),"",IF(NOT(ISNA(VLOOKUP(E4302,E$1:E4301,1,FALSE()))),"OLD",IF(AND(E4302&lt;&gt;"",E4302&lt;&gt;"!!!"),"NEW","")))</f>
        <v> </v>
      </c>
      <c r="G4302" s="23" t="str">
        <f>IF(OR(E4302="",E4302="!!!"),"",IF(OR(J4302=0,AND(J4302=1,K4302=1),AND(J4302=1,I4302="SBJ"),AND(J4302=1,I4302=0)),"?IN_FOCUS",IF(J4302&lt;=2,"?ACTIVATED",IF(J4302&lt;&gt;"","?FAMILIAR",IF(F4302="NEW",IF(ISNA(VLOOKUP(E4302,#REF!,1,FALSE())),"?TYPE_IDENTIFIABLE","?REFERENTIAL"),"_")))))</f>
        <v> </v>
      </c>
      <c r="H4302" s="24" t="str">
        <f>IF(J4302&lt;&gt;1,"",IF(I4302="SBJ","CB","?"))</f>
        <v> </v>
      </c>
      <c r="I4302" s="25" t="str">
        <f>IF(OR(E4302="",E4302="!!!",F4302="NEW"),"",INDEX(B4301:B$2,-1+SUMPRODUCT(MAX(ROW(E4301:E$2)*(E4302=E4301:E$2)))))</f>
        <v> </v>
      </c>
      <c r="J4302" s="25" t="str">
        <f>IF(OR(E4302="",E4302="!!!",F4302="NEW"),"",COUNTBLANK(OFFSET(A$1,,,SUMPRODUCT(MAX(ROW(E$2:E4302)*(E4302=E$2:E4302)))))-COUNTBLANK(OFFSET(A$1,,,SUMPRODUCT(MAX(ROW(E$1:E4301)*(E2=E$1:E4301))))))</f>
        <v> </v>
      </c>
      <c r="K4302" s="25" t="str">
        <f>IF(OR(E4302="",E4302="!!!",F4302="NEW"),"",INDEX(J$1:J4301,SUMPRODUCT(MAX(ROW(E$1:E4301)*(E4302=E$1:E4301)))))</f>
        <v> </v>
      </c>
      <c r="L4302" s="26"/>
    </row>
    <row r="4303" spans="1:12">
      <c r="A4303" s="20" t="s">
        <v>725</v>
      </c>
      <c r="E4303" s="21">
        <f>IF(D4303="?OLD","!!!","")</f>
        <v/>
      </c>
      <c r="F4303" s="22" t="str">
        <f>IF(OR(E4303="",E4303="!!!"),"",IF(NOT(ISNA(VLOOKUP(E4303,E$1:E4302,1,FALSE()))),"OLD",IF(AND(E4303&lt;&gt;"",E4303&lt;&gt;"!!!"),"NEW","")))</f>
        <v> </v>
      </c>
      <c r="G4303" s="23" t="str">
        <f>IF(OR(E4303="",E4303="!!!"),"",IF(OR(J4303=0,AND(J4303=1,K4303=1),AND(J4303=1,I4303="SBJ"),AND(J4303=1,I4303=0)),"?IN_FOCUS",IF(J4303&lt;=2,"?ACTIVATED",IF(J4303&lt;&gt;"","?FAMILIAR",IF(F4303="NEW",IF(ISNA(VLOOKUP(E4303,#REF!,1,FALSE())),"?TYPE_IDENTIFIABLE","?REFERENTIAL"),"_")))))</f>
        <v> </v>
      </c>
      <c r="H4303" s="24" t="str">
        <f>IF(J4303&lt;&gt;1,"",IF(I4303="SBJ","CB","?"))</f>
        <v> </v>
      </c>
      <c r="I4303" s="25" t="str">
        <f>IF(OR(E4303="",E4303="!!!",F4303="NEW"),"",INDEX(B4302:B$2,-1+SUMPRODUCT(MAX(ROW(E4302:E$2)*(E4303=E4302:E$2)))))</f>
        <v> </v>
      </c>
      <c r="J4303" s="25" t="str">
        <f>IF(OR(E4303="",E4303="!!!",F4303="NEW"),"",COUNTBLANK(OFFSET(A$1,,,SUMPRODUCT(MAX(ROW(E$2:E4303)*(E4303=E$2:E4303)))))-COUNTBLANK(OFFSET(A$1,,,SUMPRODUCT(MAX(ROW(E$1:E4302)*(E2=E$1:E4302))))))</f>
        <v> </v>
      </c>
      <c r="K4303" s="25" t="str">
        <f>IF(OR(E4303="",E4303="!!!",F4303="NEW"),"",INDEX(J$1:J4302,SUMPRODUCT(MAX(ROW(E$1:E4302)*(E4303=E$1:E4302)))))</f>
        <v> </v>
      </c>
      <c r="L4303" s="26"/>
    </row>
    <row r="4304" spans="1:12">
      <c r="A4304" s="20" t="s">
        <v>738</v>
      </c>
      <c r="E4304" s="21">
        <f>IF(D4304="?OLD","!!!","")</f>
        <v/>
      </c>
      <c r="F4304" s="22" t="str">
        <f>IF(OR(E4304="",E4304="!!!"),"",IF(NOT(ISNA(VLOOKUP(E4304,E$1:E4303,1,FALSE()))),"OLD",IF(AND(E4304&lt;&gt;"",E4304&lt;&gt;"!!!"),"NEW","")))</f>
        <v> </v>
      </c>
      <c r="G4304" s="23" t="str">
        <f>IF(OR(E4304="",E4304="!!!"),"",IF(OR(J4304=0,AND(J4304=1,K4304=1),AND(J4304=1,I4304="SBJ"),AND(J4304=1,I4304=0)),"?IN_FOCUS",IF(J4304&lt;=2,"?ACTIVATED",IF(J4304&lt;&gt;"","?FAMILIAR",IF(F4304="NEW",IF(ISNA(VLOOKUP(E4304,#REF!,1,FALSE())),"?TYPE_IDENTIFIABLE","?REFERENTIAL"),"_")))))</f>
        <v> </v>
      </c>
      <c r="H4304" s="24" t="str">
        <f>IF(J4304&lt;&gt;1,"",IF(I4304="SBJ","CB","?"))</f>
        <v> </v>
      </c>
      <c r="I4304" s="25" t="str">
        <f>IF(OR(E4304="",E4304="!!!",F4304="NEW"),"",INDEX(B4303:B$2,-1+SUMPRODUCT(MAX(ROW(E4303:E$2)*(E4304=E4303:E$2)))))</f>
        <v> </v>
      </c>
      <c r="J4304" s="25" t="str">
        <f>IF(OR(E4304="",E4304="!!!",F4304="NEW"),"",COUNTBLANK(OFFSET(A$1,,,SUMPRODUCT(MAX(ROW(E$2:E4304)*(E4304=E$2:E4304)))))-COUNTBLANK(OFFSET(A$1,,,SUMPRODUCT(MAX(ROW(E$1:E4303)*(E2=E$1:E4303))))))</f>
        <v> </v>
      </c>
      <c r="K4304" s="25" t="str">
        <f>IF(OR(E4304="",E4304="!!!",F4304="NEW"),"",INDEX(J$1:J4303,SUMPRODUCT(MAX(ROW(E$1:E4303)*(E4304=E$1:E4303)))))</f>
        <v> </v>
      </c>
      <c r="L4304" s="26"/>
    </row>
    <row r="4305" spans="1:12">
      <c r="A4305" s="20" t="s">
        <v>1636</v>
      </c>
      <c r="B4305" s="27" t="s">
        <v>706</v>
      </c>
      <c r="C4305" s="27" t="s">
        <v>733</v>
      </c>
      <c r="D4305" s="27" t="s">
        <v>694</v>
      </c>
      <c r="E4305" s="21">
        <f>IF(D4305="?OLD","!!!","")</f>
        <v/>
      </c>
      <c r="F4305" s="22" t="str">
        <f>IF(OR(E4305="",E4305="!!!"),"",IF(NOT(ISNA(VLOOKUP(E4305,E$1:E4304,1,FALSE()))),"OLD",IF(AND(E4305&lt;&gt;"",E4305&lt;&gt;"!!!"),"NEW","")))</f>
        <v> </v>
      </c>
      <c r="G4305" s="23" t="str">
        <f>IF(OR(E4305="",E4305="!!!"),"",IF(OR(J4305=0,AND(J4305=1,K4305=1),AND(J4305=1,I4305="SBJ"),AND(J4305=1,I4305=0)),"?IN_FOCUS",IF(J4305&lt;=2,"?ACTIVATED",IF(J4305&lt;&gt;"","?FAMILIAR",IF(F4305="NEW",IF(ISNA(VLOOKUP(E4305,#REF!,1,FALSE())),"?TYPE_IDENTIFIABLE","?REFERENTIAL"),"_")))))</f>
        <v> </v>
      </c>
      <c r="H4305" s="24" t="str">
        <f>IF(J4305&lt;&gt;1,"",IF(I4305="SBJ","CB","?"))</f>
        <v> </v>
      </c>
      <c r="I4305" s="25" t="str">
        <f>IF(OR(E4305="",E4305="!!!",F4305="NEW"),"",INDEX(B4304:B$2,-1+SUMPRODUCT(MAX(ROW(E4304:E$2)*(E4305=E4304:E$2)))))</f>
        <v> </v>
      </c>
      <c r="J4305" s="25" t="str">
        <f>IF(OR(E4305="",E4305="!!!",F4305="NEW"),"",COUNTBLANK(OFFSET(A$1,,,SUMPRODUCT(MAX(ROW(E$2:E4305)*(E4305=E$2:E4305)))))-COUNTBLANK(OFFSET(A$1,,,SUMPRODUCT(MAX(ROW(E$1:E4304)*(E2=E$1:E4304))))))</f>
        <v> </v>
      </c>
      <c r="K4305" s="25" t="str">
        <f>IF(OR(E4305="",E4305="!!!",F4305="NEW"),"",INDEX(J$1:J4304,SUMPRODUCT(MAX(ROW(E$1:E4304)*(E4305=E$1:E4304)))))</f>
        <v> </v>
      </c>
      <c r="L4305" s="26"/>
    </row>
    <row r="4306" spans="1:12">
      <c r="A4306" s="20" t="s">
        <v>1774</v>
      </c>
      <c r="E4306" s="21">
        <f>IF(D4306="?OLD","!!!","")</f>
        <v/>
      </c>
      <c r="F4306" s="22" t="str">
        <f>IF(OR(E4306="",E4306="!!!"),"",IF(NOT(ISNA(VLOOKUP(E4306,E$1:E4305,1,FALSE()))),"OLD",IF(AND(E4306&lt;&gt;"",E4306&lt;&gt;"!!!"),"NEW","")))</f>
        <v> </v>
      </c>
      <c r="G4306" s="23" t="str">
        <f>IF(OR(E4306="",E4306="!!!"),"",IF(OR(J4306=0,AND(J4306=1,K4306=1),AND(J4306=1,I4306="SBJ"),AND(J4306=1,I4306=0)),"?IN_FOCUS",IF(J4306&lt;=2,"?ACTIVATED",IF(J4306&lt;&gt;"","?FAMILIAR",IF(F4306="NEW",IF(ISNA(VLOOKUP(E4306,#REF!,1,FALSE())),"?TYPE_IDENTIFIABLE","?REFERENTIAL"),"_")))))</f>
        <v> </v>
      </c>
      <c r="H4306" s="24" t="str">
        <f>IF(J4306&lt;&gt;1,"",IF(I4306="SBJ","CB","?"))</f>
        <v> </v>
      </c>
      <c r="I4306" s="25" t="str">
        <f>IF(OR(E4306="",E4306="!!!",F4306="NEW"),"",INDEX(B4305:B$2,-1+SUMPRODUCT(MAX(ROW(E4305:E$2)*(E4306=E4305:E$2)))))</f>
        <v> </v>
      </c>
      <c r="J4306" s="25" t="str">
        <f>IF(OR(E4306="",E4306="!!!",F4306="NEW"),"",COUNTBLANK(OFFSET(A$1,,,SUMPRODUCT(MAX(ROW(E$2:E4306)*(E4306=E$2:E4306)))))-COUNTBLANK(OFFSET(A$1,,,SUMPRODUCT(MAX(ROW(E$1:E4305)*(E2=E$1:E4305))))))</f>
        <v> </v>
      </c>
      <c r="K4306" s="25" t="str">
        <f>IF(OR(E4306="",E4306="!!!",F4306="NEW"),"",INDEX(J$1:J4305,SUMPRODUCT(MAX(ROW(E$1:E4305)*(E4306=E$1:E4305)))))</f>
        <v> </v>
      </c>
      <c r="L4306" s="26"/>
    </row>
    <row r="4307" spans="1:12">
      <c r="A4307" s="20" t="s">
        <v>809</v>
      </c>
      <c r="E4307" s="21">
        <f>IF(D4307="?OLD","!!!","")</f>
        <v/>
      </c>
      <c r="F4307" s="22" t="str">
        <f>IF(OR(E4307="",E4307="!!!"),"",IF(NOT(ISNA(VLOOKUP(E4307,E$1:E4306,1,FALSE()))),"OLD",IF(AND(E4307&lt;&gt;"",E4307&lt;&gt;"!!!"),"NEW","")))</f>
        <v> </v>
      </c>
      <c r="G4307" s="23" t="str">
        <f>IF(OR(E4307="",E4307="!!!"),"",IF(OR(J4307=0,AND(J4307=1,K4307=1),AND(J4307=1,I4307="SBJ"),AND(J4307=1,I4307=0)),"?IN_FOCUS",IF(J4307&lt;=2,"?ACTIVATED",IF(J4307&lt;&gt;"","?FAMILIAR",IF(F4307="NEW",IF(ISNA(VLOOKUP(E4307,#REF!,1,FALSE())),"?TYPE_IDENTIFIABLE","?REFERENTIAL"),"_")))))</f>
        <v> </v>
      </c>
      <c r="H4307" s="24" t="str">
        <f>IF(J4307&lt;&gt;1,"",IF(I4307="SBJ","CB","?"))</f>
        <v> </v>
      </c>
      <c r="I4307" s="25" t="str">
        <f>IF(OR(E4307="",E4307="!!!",F4307="NEW"),"",INDEX(B4306:B$2,-1+SUMPRODUCT(MAX(ROW(E4306:E$2)*(E4307=E4306:E$2)))))</f>
        <v> </v>
      </c>
      <c r="J4307" s="25" t="str">
        <f>IF(OR(E4307="",E4307="!!!",F4307="NEW"),"",COUNTBLANK(OFFSET(A$1,,,SUMPRODUCT(MAX(ROW(E$2:E4307)*(E4307=E$2:E4307)))))-COUNTBLANK(OFFSET(A$1,,,SUMPRODUCT(MAX(ROW(E$1:E4306)*(E2=E$1:E4306))))))</f>
        <v> </v>
      </c>
      <c r="K4307" s="25" t="str">
        <f>IF(OR(E4307="",E4307="!!!",F4307="NEW"),"",INDEX(J$1:J4306,SUMPRODUCT(MAX(ROW(E$1:E4306)*(E4307=E$1:E4306)))))</f>
        <v> </v>
      </c>
      <c r="L4307" s="26"/>
    </row>
    <row r="4308" spans="1:12">
      <c r="A4308" s="20" t="s">
        <v>262</v>
      </c>
      <c r="E4308" s="21">
        <f>IF(D4308="?OLD","!!!","")</f>
        <v/>
      </c>
      <c r="F4308" s="22" t="str">
        <f>IF(OR(E4308="",E4308="!!!"),"",IF(NOT(ISNA(VLOOKUP(E4308,E$1:E4307,1,FALSE()))),"OLD",IF(AND(E4308&lt;&gt;"",E4308&lt;&gt;"!!!"),"NEW","")))</f>
        <v> </v>
      </c>
      <c r="G4308" s="23" t="str">
        <f>IF(OR(E4308="",E4308="!!!"),"",IF(OR(J4308=0,AND(J4308=1,K4308=1),AND(J4308=1,I4308="SBJ"),AND(J4308=1,I4308=0)),"?IN_FOCUS",IF(J4308&lt;=2,"?ACTIVATED",IF(J4308&lt;&gt;"","?FAMILIAR",IF(F4308="NEW",IF(ISNA(VLOOKUP(E4308,#REF!,1,FALSE())),"?TYPE_IDENTIFIABLE","?REFERENTIAL"),"_")))))</f>
        <v> </v>
      </c>
      <c r="H4308" s="24" t="str">
        <f>IF(J4308&lt;&gt;1,"",IF(I4308="SBJ","CB","?"))</f>
        <v> </v>
      </c>
      <c r="I4308" s="25" t="str">
        <f>IF(OR(E4308="",E4308="!!!",F4308="NEW"),"",INDEX(B4307:B$2,-1+SUMPRODUCT(MAX(ROW(E4307:E$2)*(E4308=E4307:E$2)))))</f>
        <v> </v>
      </c>
      <c r="J4308" s="25" t="str">
        <f>IF(OR(E4308="",E4308="!!!",F4308="NEW"),"",COUNTBLANK(OFFSET(A$1,,,SUMPRODUCT(MAX(ROW(E$2:E4308)*(E4308=E$2:E4308)))))-COUNTBLANK(OFFSET(A$1,,,SUMPRODUCT(MAX(ROW(E$1:E4307)*(E2=E$1:E4307))))))</f>
        <v> </v>
      </c>
      <c r="K4308" s="25" t="str">
        <f>IF(OR(E4308="",E4308="!!!",F4308="NEW"),"",INDEX(J$1:J4307,SUMPRODUCT(MAX(ROW(E$1:E4307)*(E4308=E$1:E4307)))))</f>
        <v> </v>
      </c>
      <c r="L4308" s="26"/>
    </row>
    <row r="4309" spans="1:12">
      <c r="A4309" s="20" t="s">
        <v>1026</v>
      </c>
      <c r="B4309" s="27" t="s">
        <v>823</v>
      </c>
      <c r="C4309" s="27" t="s">
        <v>788</v>
      </c>
      <c r="D4309" s="27" t="s">
        <v>694</v>
      </c>
      <c r="E4309" s="21">
        <f>IF(D4309="?OLD","!!!","")</f>
        <v/>
      </c>
      <c r="F4309" s="22" t="str">
        <f>IF(OR(E4309="",E4309="!!!"),"",IF(NOT(ISNA(VLOOKUP(E4309,E$1:E4308,1,FALSE()))),"OLD",IF(AND(E4309&lt;&gt;"",E4309&lt;&gt;"!!!"),"NEW","")))</f>
        <v> </v>
      </c>
      <c r="G4309" s="23" t="str">
        <f>IF(OR(E4309="",E4309="!!!"),"",IF(OR(J4309=0,AND(J4309=1,K4309=1),AND(J4309=1,I4309="SBJ"),AND(J4309=1,I4309=0)),"?IN_FOCUS",IF(J4309&lt;=2,"?ACTIVATED",IF(J4309&lt;&gt;"","?FAMILIAR",IF(F4309="NEW",IF(ISNA(VLOOKUP(E4309,#REF!,1,FALSE())),"?TYPE_IDENTIFIABLE","?REFERENTIAL"),"_")))))</f>
        <v> </v>
      </c>
      <c r="H4309" s="24" t="str">
        <f>IF(J4309&lt;&gt;1,"",IF(I4309="SBJ","CB","?"))</f>
        <v> </v>
      </c>
      <c r="I4309" s="25" t="str">
        <f>IF(OR(E4309="",E4309="!!!",F4309="NEW"),"",INDEX(B4308:B$2,-1+SUMPRODUCT(MAX(ROW(E4308:E$2)*(E4309=E4308:E$2)))))</f>
        <v> </v>
      </c>
      <c r="J4309" s="25" t="str">
        <f>IF(OR(E4309="",E4309="!!!",F4309="NEW"),"",COUNTBLANK(OFFSET(A$1,,,SUMPRODUCT(MAX(ROW(E$2:E4309)*(E4309=E$2:E4309)))))-COUNTBLANK(OFFSET(A$1,,,SUMPRODUCT(MAX(ROW(E$1:E4308)*(E2=E$1:E4308))))))</f>
        <v> </v>
      </c>
      <c r="K4309" s="25" t="str">
        <f>IF(OR(E4309="",E4309="!!!",F4309="NEW"),"",INDEX(J$1:J4308,SUMPRODUCT(MAX(ROW(E$1:E4308)*(E4309=E$1:E4308)))))</f>
        <v> </v>
      </c>
      <c r="L4309" s="26"/>
    </row>
    <row r="4310" spans="1:12">
      <c r="A4310" s="20" t="s">
        <v>1270</v>
      </c>
      <c r="E4310" s="21">
        <f>IF(D4310="?OLD","!!!","")</f>
        <v/>
      </c>
      <c r="F4310" s="22" t="str">
        <f>IF(OR(E4310="",E4310="!!!"),"",IF(NOT(ISNA(VLOOKUP(E4310,E$1:E4309,1,FALSE()))),"OLD",IF(AND(E4310&lt;&gt;"",E4310&lt;&gt;"!!!"),"NEW","")))</f>
        <v> </v>
      </c>
      <c r="G4310" s="23" t="str">
        <f>IF(OR(E4310="",E4310="!!!"),"",IF(OR(J4310=0,AND(J4310=1,K4310=1),AND(J4310=1,I4310="SBJ"),AND(J4310=1,I4310=0)),"?IN_FOCUS",IF(J4310&lt;=2,"?ACTIVATED",IF(J4310&lt;&gt;"","?FAMILIAR",IF(F4310="NEW",IF(ISNA(VLOOKUP(E4310,#REF!,1,FALSE())),"?TYPE_IDENTIFIABLE","?REFERENTIAL"),"_")))))</f>
        <v> </v>
      </c>
      <c r="H4310" s="24" t="str">
        <f>IF(J4310&lt;&gt;1,"",IF(I4310="SBJ","CB","?"))</f>
        <v> </v>
      </c>
      <c r="I4310" s="25" t="str">
        <f>IF(OR(E4310="",E4310="!!!",F4310="NEW"),"",INDEX(B4309:B$2,-1+SUMPRODUCT(MAX(ROW(E4309:E$2)*(E4310=E4309:E$2)))))</f>
        <v> </v>
      </c>
      <c r="J4310" s="25" t="str">
        <f>IF(OR(E4310="",E4310="!!!",F4310="NEW"),"",COUNTBLANK(OFFSET(A$1,,,SUMPRODUCT(MAX(ROW(E$2:E4310)*(E4310=E$2:E4310)))))-COUNTBLANK(OFFSET(A$1,,,SUMPRODUCT(MAX(ROW(E$1:E4309)*(E2=E$1:E4309))))))</f>
        <v> </v>
      </c>
      <c r="K4310" s="25" t="str">
        <f>IF(OR(E4310="",E4310="!!!",F4310="NEW"),"",INDEX(J$1:J4309,SUMPRODUCT(MAX(ROW(E$1:E4309)*(E4310=E$1:E4309)))))</f>
        <v> </v>
      </c>
      <c r="L4310" s="26"/>
    </row>
    <row r="4311" spans="1:12">
      <c r="A4311" s="20" t="s">
        <v>725</v>
      </c>
      <c r="E4311" s="21">
        <f>IF(D4311="?OLD","!!!","")</f>
        <v/>
      </c>
      <c r="F4311" s="22" t="str">
        <f>IF(OR(E4311="",E4311="!!!"),"",IF(NOT(ISNA(VLOOKUP(E4311,E$1:E4310,1,FALSE()))),"OLD",IF(AND(E4311&lt;&gt;"",E4311&lt;&gt;"!!!"),"NEW","")))</f>
        <v> </v>
      </c>
      <c r="G4311" s="23" t="str">
        <f>IF(OR(E4311="",E4311="!!!"),"",IF(OR(J4311=0,AND(J4311=1,K4311=1),AND(J4311=1,I4311="SBJ"),AND(J4311=1,I4311=0)),"?IN_FOCUS",IF(J4311&lt;=2,"?ACTIVATED",IF(J4311&lt;&gt;"","?FAMILIAR",IF(F4311="NEW",IF(ISNA(VLOOKUP(E4311,#REF!,1,FALSE())),"?TYPE_IDENTIFIABLE","?REFERENTIAL"),"_")))))</f>
        <v> </v>
      </c>
      <c r="H4311" s="24" t="str">
        <f>IF(J4311&lt;&gt;1,"",IF(I4311="SBJ","CB","?"))</f>
        <v> </v>
      </c>
      <c r="I4311" s="25" t="str">
        <f>IF(OR(E4311="",E4311="!!!",F4311="NEW"),"",INDEX(B4310:B$2,-1+SUMPRODUCT(MAX(ROW(E4310:E$2)*(E4311=E4310:E$2)))))</f>
        <v> </v>
      </c>
      <c r="J4311" s="25" t="str">
        <f>IF(OR(E4311="",E4311="!!!",F4311="NEW"),"",COUNTBLANK(OFFSET(A$1,,,SUMPRODUCT(MAX(ROW(E$2:E4311)*(E4311=E$2:E4311)))))-COUNTBLANK(OFFSET(A$1,,,SUMPRODUCT(MAX(ROW(E$1:E4310)*(E2=E$1:E4310))))))</f>
        <v> </v>
      </c>
      <c r="K4311" s="25" t="str">
        <f>IF(OR(E4311="",E4311="!!!",F4311="NEW"),"",INDEX(J$1:J4310,SUMPRODUCT(MAX(ROW(E$1:E4310)*(E4311=E$1:E4310)))))</f>
        <v> </v>
      </c>
      <c r="L4311" s="26"/>
    </row>
    <row r="4312" spans="1:12">
      <c r="A4312" s="20" t="s">
        <v>865</v>
      </c>
      <c r="E4312" s="21">
        <f>IF(D4312="?OLD","!!!","")</f>
        <v/>
      </c>
      <c r="F4312" s="22" t="str">
        <f>IF(OR(E4312="",E4312="!!!"),"",IF(NOT(ISNA(VLOOKUP(E4312,E$1:E4311,1,FALSE()))),"OLD",IF(AND(E4312&lt;&gt;"",E4312&lt;&gt;"!!!"),"NEW","")))</f>
        <v> </v>
      </c>
      <c r="G4312" s="23" t="str">
        <f>IF(OR(E4312="",E4312="!!!"),"",IF(OR(J4312=0,AND(J4312=1,K4312=1),AND(J4312=1,I4312="SBJ"),AND(J4312=1,I4312=0)),"?IN_FOCUS",IF(J4312&lt;=2,"?ACTIVATED",IF(J4312&lt;&gt;"","?FAMILIAR",IF(F4312="NEW",IF(ISNA(VLOOKUP(E4312,#REF!,1,FALSE())),"?TYPE_IDENTIFIABLE","?REFERENTIAL"),"_")))))</f>
        <v> </v>
      </c>
      <c r="H4312" s="24" t="str">
        <f>IF(J4312&lt;&gt;1,"",IF(I4312="SBJ","CB","?"))</f>
        <v> </v>
      </c>
      <c r="I4312" s="25" t="str">
        <f>IF(OR(E4312="",E4312="!!!",F4312="NEW"),"",INDEX(B4311:B$2,-1+SUMPRODUCT(MAX(ROW(E4311:E$2)*(E4312=E4311:E$2)))))</f>
        <v> </v>
      </c>
      <c r="J4312" s="25" t="str">
        <f>IF(OR(E4312="",E4312="!!!",F4312="NEW"),"",COUNTBLANK(OFFSET(A$1,,,SUMPRODUCT(MAX(ROW(E$2:E4312)*(E4312=E$2:E4312)))))-COUNTBLANK(OFFSET(A$1,,,SUMPRODUCT(MAX(ROW(E$1:E4311)*(E2=E$1:E4311))))))</f>
        <v> </v>
      </c>
      <c r="K4312" s="25" t="str">
        <f>IF(OR(E4312="",E4312="!!!",F4312="NEW"),"",INDEX(J$1:J4311,SUMPRODUCT(MAX(ROW(E$1:E4311)*(E4312=E$1:E4311)))))</f>
        <v> </v>
      </c>
      <c r="L4312" s="26"/>
    </row>
    <row r="4313" spans="1:12">
      <c r="A4313" s="20" t="s">
        <v>696</v>
      </c>
      <c r="E4313" s="21">
        <f>IF(D4313="?OLD","!!!","")</f>
        <v/>
      </c>
      <c r="F4313" s="22" t="str">
        <f>IF(OR(E4313="",E4313="!!!"),"",IF(NOT(ISNA(VLOOKUP(E4313,E$1:E4312,1,FALSE()))),"OLD",IF(AND(E4313&lt;&gt;"",E4313&lt;&gt;"!!!"),"NEW","")))</f>
        <v> </v>
      </c>
      <c r="G4313" s="23" t="str">
        <f>IF(OR(E4313="",E4313="!!!"),"",IF(OR(J4313=0,AND(J4313=1,K4313=1),AND(J4313=1,I4313="SBJ"),AND(J4313=1,I4313=0)),"?IN_FOCUS",IF(J4313&lt;=2,"?ACTIVATED",IF(J4313&lt;&gt;"","?FAMILIAR",IF(F4313="NEW",IF(ISNA(VLOOKUP(E4313,#REF!,1,FALSE())),"?TYPE_IDENTIFIABLE","?REFERENTIAL"),"_")))))</f>
        <v> </v>
      </c>
      <c r="H4313" s="24" t="str">
        <f>IF(J4313&lt;&gt;1,"",IF(I4313="SBJ","CB","?"))</f>
        <v> </v>
      </c>
      <c r="I4313" s="25" t="str">
        <f>IF(OR(E4313="",E4313="!!!",F4313="NEW"),"",INDEX(B4312:B$2,-1+SUMPRODUCT(MAX(ROW(E4312:E$2)*(E4313=E4312:E$2)))))</f>
        <v> </v>
      </c>
      <c r="J4313" s="25" t="str">
        <f>IF(OR(E4313="",E4313="!!!",F4313="NEW"),"",COUNTBLANK(OFFSET(A$1,,,SUMPRODUCT(MAX(ROW(E$2:E4313)*(E4313=E$2:E4313)))))-COUNTBLANK(OFFSET(A$1,,,SUMPRODUCT(MAX(ROW(E$1:E4312)*(E2=E$1:E4312))))))</f>
        <v> </v>
      </c>
      <c r="K4313" s="25" t="str">
        <f>IF(OR(E4313="",E4313="!!!",F4313="NEW"),"",INDEX(J$1:J4312,SUMPRODUCT(MAX(ROW(E$1:E4312)*(E4313=E$1:E4312)))))</f>
        <v> </v>
      </c>
      <c r="L4313" s="26"/>
    </row>
    <row r="4314" spans="1:12">
      <c r="A4314" s="20" t="s">
        <v>690</v>
      </c>
      <c r="E4314" s="21">
        <f>IF(D4314="?OLD","!!!","")</f>
        <v/>
      </c>
      <c r="F4314" s="22" t="str">
        <f>IF(OR(E4314="",E4314="!!!"),"",IF(NOT(ISNA(VLOOKUP(E4314,E$1:E4313,1,FALSE()))),"OLD",IF(AND(E4314&lt;&gt;"",E4314&lt;&gt;"!!!"),"NEW","")))</f>
        <v> </v>
      </c>
      <c r="G4314" s="23" t="str">
        <f>IF(OR(E4314="",E4314="!!!"),"",IF(OR(J4314=0,AND(J4314=1,K4314=1),AND(J4314=1,I4314="SBJ"),AND(J4314=1,I4314=0)),"?IN_FOCUS",IF(J4314&lt;=2,"?ACTIVATED",IF(J4314&lt;&gt;"","?FAMILIAR",IF(F4314="NEW",IF(ISNA(VLOOKUP(E4314,#REF!,1,FALSE())),"?TYPE_IDENTIFIABLE","?REFERENTIAL"),"_")))))</f>
        <v> </v>
      </c>
      <c r="H4314" s="24" t="str">
        <f>IF(J4314&lt;&gt;1,"",IF(I4314="SBJ","CB","?"))</f>
        <v> </v>
      </c>
      <c r="I4314" s="25" t="str">
        <f>IF(OR(E4314="",E4314="!!!",F4314="NEW"),"",INDEX(B4313:B$2,-1+SUMPRODUCT(MAX(ROW(E4313:E$2)*(E4314=E4313:E$2)))))</f>
        <v> </v>
      </c>
      <c r="J4314" s="25" t="str">
        <f>IF(OR(E4314="",E4314="!!!",F4314="NEW"),"",COUNTBLANK(OFFSET(A$1,,,SUMPRODUCT(MAX(ROW(E$2:E4314)*(E4314=E$2:E4314)))))-COUNTBLANK(OFFSET(A$1,,,SUMPRODUCT(MAX(ROW(E$1:E4313)*(E2=E$1:E4313))))))</f>
        <v> </v>
      </c>
      <c r="K4314" s="25" t="str">
        <f>IF(OR(E4314="",E4314="!!!",F4314="NEW"),"",INDEX(J$1:J4313,SUMPRODUCT(MAX(ROW(E$1:E4313)*(E4314=E$1:E4313)))))</f>
        <v> </v>
      </c>
      <c r="L4314" s="26"/>
    </row>
    <row r="4315" spans="1:12">
      <c r="A4315" s="20" t="s">
        <v>1166</v>
      </c>
      <c r="E4315" s="21">
        <f>IF(D4315="?OLD","!!!","")</f>
        <v/>
      </c>
      <c r="F4315" s="22" t="str">
        <f>IF(OR(E4315="",E4315="!!!"),"",IF(NOT(ISNA(VLOOKUP(E4315,E$1:E4314,1,FALSE()))),"OLD",IF(AND(E4315&lt;&gt;"",E4315&lt;&gt;"!!!"),"NEW","")))</f>
        <v> </v>
      </c>
      <c r="G4315" s="23" t="str">
        <f>IF(OR(E4315="",E4315="!!!"),"",IF(OR(J4315=0,AND(J4315=1,K4315=1),AND(J4315=1,I4315="SBJ"),AND(J4315=1,I4315=0)),"?IN_FOCUS",IF(J4315&lt;=2,"?ACTIVATED",IF(J4315&lt;&gt;"","?FAMILIAR",IF(F4315="NEW",IF(ISNA(VLOOKUP(E4315,#REF!,1,FALSE())),"?TYPE_IDENTIFIABLE","?REFERENTIAL"),"_")))))</f>
        <v> </v>
      </c>
      <c r="H4315" s="24" t="str">
        <f>IF(J4315&lt;&gt;1,"",IF(I4315="SBJ","CB","?"))</f>
        <v> </v>
      </c>
      <c r="I4315" s="25" t="str">
        <f>IF(OR(E4315="",E4315="!!!",F4315="NEW"),"",INDEX(B4314:B$2,-1+SUMPRODUCT(MAX(ROW(E4314:E$2)*(E4315=E4314:E$2)))))</f>
        <v> </v>
      </c>
      <c r="J4315" s="25" t="str">
        <f>IF(OR(E4315="",E4315="!!!",F4315="NEW"),"",COUNTBLANK(OFFSET(A$1,,,SUMPRODUCT(MAX(ROW(E$2:E4315)*(E4315=E$2:E4315)))))-COUNTBLANK(OFFSET(A$1,,,SUMPRODUCT(MAX(ROW(E$1:E4314)*(E2=E$1:E4314))))))</f>
        <v> </v>
      </c>
      <c r="K4315" s="25" t="str">
        <f>IF(OR(E4315="",E4315="!!!",F4315="NEW"),"",INDEX(J$1:J4314,SUMPRODUCT(MAX(ROW(E$1:E4314)*(E4315=E$1:E4314)))))</f>
        <v> </v>
      </c>
      <c r="L4315" s="26"/>
    </row>
    <row r="4316" spans="1:12">
      <c r="A4316" s="20" t="s">
        <v>1775</v>
      </c>
      <c r="E4316" s="21">
        <f>IF(D4316="?OLD","!!!","")</f>
        <v/>
      </c>
      <c r="F4316" s="22" t="str">
        <f>IF(OR(E4316="",E4316="!!!"),"",IF(NOT(ISNA(VLOOKUP(E4316,E$1:E4315,1,FALSE()))),"OLD",IF(AND(E4316&lt;&gt;"",E4316&lt;&gt;"!!!"),"NEW","")))</f>
        <v> </v>
      </c>
      <c r="G4316" s="23" t="str">
        <f>IF(OR(E4316="",E4316="!!!"),"",IF(OR(J4316=0,AND(J4316=1,K4316=1),AND(J4316=1,I4316="SBJ"),AND(J4316=1,I4316=0)),"?IN_FOCUS",IF(J4316&lt;=2,"?ACTIVATED",IF(J4316&lt;&gt;"","?FAMILIAR",IF(F4316="NEW",IF(ISNA(VLOOKUP(E4316,#REF!,1,FALSE())),"?TYPE_IDENTIFIABLE","?REFERENTIAL"),"_")))))</f>
        <v> </v>
      </c>
      <c r="H4316" s="24" t="str">
        <f>IF(J4316&lt;&gt;1,"",IF(I4316="SBJ","CB","?"))</f>
        <v> </v>
      </c>
      <c r="I4316" s="25" t="str">
        <f>IF(OR(E4316="",E4316="!!!",F4316="NEW"),"",INDEX(B4315:B$2,-1+SUMPRODUCT(MAX(ROW(E4315:E$2)*(E4316=E4315:E$2)))))</f>
        <v> </v>
      </c>
      <c r="J4316" s="25" t="str">
        <f>IF(OR(E4316="",E4316="!!!",F4316="NEW"),"",COUNTBLANK(OFFSET(A$1,,,SUMPRODUCT(MAX(ROW(E$2:E4316)*(E4316=E$2:E4316)))))-COUNTBLANK(OFFSET(A$1,,,SUMPRODUCT(MAX(ROW(E$1:E4315)*(E2=E$1:E4315))))))</f>
        <v> </v>
      </c>
      <c r="K4316" s="25" t="str">
        <f>IF(OR(E4316="",E4316="!!!",F4316="NEW"),"",INDEX(J$1:J4315,SUMPRODUCT(MAX(ROW(E$1:E4315)*(E4316=E$1:E4315)))))</f>
        <v> </v>
      </c>
      <c r="L4316" s="26"/>
    </row>
    <row r="4317" spans="1:12">
      <c r="A4317" s="20" t="s">
        <v>258</v>
      </c>
      <c r="E4317" s="21">
        <f>IF(D4317="?OLD","!!!","")</f>
        <v/>
      </c>
      <c r="F4317" s="22" t="str">
        <f>IF(OR(E4317="",E4317="!!!"),"",IF(NOT(ISNA(VLOOKUP(E4317,E$1:E4316,1,FALSE()))),"OLD",IF(AND(E4317&lt;&gt;"",E4317&lt;&gt;"!!!"),"NEW","")))</f>
        <v> </v>
      </c>
      <c r="G4317" s="23" t="str">
        <f>IF(OR(E4317="",E4317="!!!"),"",IF(OR(J4317=0,AND(J4317=1,K4317=1),AND(J4317=1,I4317="SBJ"),AND(J4317=1,I4317=0)),"?IN_FOCUS",IF(J4317&lt;=2,"?ACTIVATED",IF(J4317&lt;&gt;"","?FAMILIAR",IF(F4317="NEW",IF(ISNA(VLOOKUP(E4317,#REF!,1,FALSE())),"?TYPE_IDENTIFIABLE","?REFERENTIAL"),"_")))))</f>
        <v> </v>
      </c>
      <c r="H4317" s="24" t="str">
        <f>IF(J4317&lt;&gt;1,"",IF(I4317="SBJ","CB","?"))</f>
        <v> </v>
      </c>
      <c r="I4317" s="25" t="str">
        <f>IF(OR(E4317="",E4317="!!!",F4317="NEW"),"",INDEX(B4316:B$2,-1+SUMPRODUCT(MAX(ROW(E4316:E$2)*(E4317=E4316:E$2)))))</f>
        <v> </v>
      </c>
      <c r="J4317" s="25" t="str">
        <f>IF(OR(E4317="",E4317="!!!",F4317="NEW"),"",COUNTBLANK(OFFSET(A$1,,,SUMPRODUCT(MAX(ROW(E$2:E4317)*(E4317=E$2:E4317)))))-COUNTBLANK(OFFSET(A$1,,,SUMPRODUCT(MAX(ROW(E$1:E4316)*(E2=E$1:E4316))))))</f>
        <v> </v>
      </c>
      <c r="K4317" s="25" t="str">
        <f>IF(OR(E4317="",E4317="!!!",F4317="NEW"),"",INDEX(J$1:J4316,SUMPRODUCT(MAX(ROW(E$1:E4316)*(E4317=E$1:E4316)))))</f>
        <v> </v>
      </c>
      <c r="L4317" s="26"/>
    </row>
    <row r="4318" spans="1:12">
      <c r="A4318" s="20" t="s">
        <v>725</v>
      </c>
      <c r="E4318" s="21">
        <f>IF(D4318="?OLD","!!!","")</f>
        <v/>
      </c>
      <c r="F4318" s="22" t="str">
        <f>IF(OR(E4318="",E4318="!!!"),"",IF(NOT(ISNA(VLOOKUP(E4318,E$1:E4317,1,FALSE()))),"OLD",IF(AND(E4318&lt;&gt;"",E4318&lt;&gt;"!!!"),"NEW","")))</f>
        <v> </v>
      </c>
      <c r="G4318" s="23" t="str">
        <f>IF(OR(E4318="",E4318="!!!"),"",IF(OR(J4318=0,AND(J4318=1,K4318=1),AND(J4318=1,I4318="SBJ"),AND(J4318=1,I4318=0)),"?IN_FOCUS",IF(J4318&lt;=2,"?ACTIVATED",IF(J4318&lt;&gt;"","?FAMILIAR",IF(F4318="NEW",IF(ISNA(VLOOKUP(E4318,#REF!,1,FALSE())),"?TYPE_IDENTIFIABLE","?REFERENTIAL"),"_")))))</f>
        <v> </v>
      </c>
      <c r="H4318" s="24" t="str">
        <f>IF(J4318&lt;&gt;1,"",IF(I4318="SBJ","CB","?"))</f>
        <v> </v>
      </c>
      <c r="I4318" s="25" t="str">
        <f>IF(OR(E4318="",E4318="!!!",F4318="NEW"),"",INDEX(B4317:B$2,-1+SUMPRODUCT(MAX(ROW(E4317:E$2)*(E4318=E4317:E$2)))))</f>
        <v> </v>
      </c>
      <c r="J4318" s="25" t="str">
        <f>IF(OR(E4318="",E4318="!!!",F4318="NEW"),"",COUNTBLANK(OFFSET(A$1,,,SUMPRODUCT(MAX(ROW(E$2:E4318)*(E4318=E$2:E4318)))))-COUNTBLANK(OFFSET(A$1,,,SUMPRODUCT(MAX(ROW(E$1:E4317)*(E2=E$1:E4317))))))</f>
        <v> </v>
      </c>
      <c r="K4318" s="25" t="str">
        <f>IF(OR(E4318="",E4318="!!!",F4318="NEW"),"",INDEX(J$1:J4317,SUMPRODUCT(MAX(ROW(E$1:E4317)*(E4318=E$1:E4317)))))</f>
        <v> </v>
      </c>
      <c r="L4318" s="26"/>
    </row>
    <row r="4319" spans="1:12">
      <c r="A4319" s="20" t="s">
        <v>690</v>
      </c>
      <c r="E4319" s="21">
        <f>IF(D4319="?OLD","!!!","")</f>
        <v/>
      </c>
      <c r="F4319" s="22" t="str">
        <f>IF(OR(E4319="",E4319="!!!"),"",IF(NOT(ISNA(VLOOKUP(E4319,E$1:E4318,1,FALSE()))),"OLD",IF(AND(E4319&lt;&gt;"",E4319&lt;&gt;"!!!"),"NEW","")))</f>
        <v> </v>
      </c>
      <c r="G4319" s="23" t="str">
        <f>IF(OR(E4319="",E4319="!!!"),"",IF(OR(J4319=0,AND(J4319=1,K4319=1),AND(J4319=1,I4319="SBJ"),AND(J4319=1,I4319=0)),"?IN_FOCUS",IF(J4319&lt;=2,"?ACTIVATED",IF(J4319&lt;&gt;"","?FAMILIAR",IF(F4319="NEW",IF(ISNA(VLOOKUP(E4319,#REF!,1,FALSE())),"?TYPE_IDENTIFIABLE","?REFERENTIAL"),"_")))))</f>
        <v> </v>
      </c>
      <c r="H4319" s="24" t="str">
        <f>IF(J4319&lt;&gt;1,"",IF(I4319="SBJ","CB","?"))</f>
        <v> </v>
      </c>
      <c r="I4319" s="25" t="str">
        <f>IF(OR(E4319="",E4319="!!!",F4319="NEW"),"",INDEX(B4318:B$2,-1+SUMPRODUCT(MAX(ROW(E4318:E$2)*(E4319=E4318:E$2)))))</f>
        <v> </v>
      </c>
      <c r="J4319" s="25" t="str">
        <f>IF(OR(E4319="",E4319="!!!",F4319="NEW"),"",COUNTBLANK(OFFSET(A$1,,,SUMPRODUCT(MAX(ROW(E$2:E4319)*(E4319=E$2:E4319)))))-COUNTBLANK(OFFSET(A$1,,,SUMPRODUCT(MAX(ROW(E$1:E4318)*(E2=E$1:E4318))))))</f>
        <v> </v>
      </c>
      <c r="K4319" s="25" t="str">
        <f>IF(OR(E4319="",E4319="!!!",F4319="NEW"),"",INDEX(J$1:J4318,SUMPRODUCT(MAX(ROW(E$1:E4318)*(E4319=E$1:E4318)))))</f>
        <v> </v>
      </c>
      <c r="L4319" s="26"/>
    </row>
    <row r="4320" spans="1:12">
      <c r="A4320" s="20" t="s">
        <v>1753</v>
      </c>
      <c r="B4320" s="27" t="s">
        <v>737</v>
      </c>
      <c r="C4320" s="27" t="s">
        <v>693</v>
      </c>
      <c r="D4320" s="27" t="s">
        <v>694</v>
      </c>
      <c r="E4320" s="21">
        <f>IF(D4320="?OLD","!!!","")</f>
        <v/>
      </c>
      <c r="F4320" s="22" t="str">
        <f>IF(OR(E4320="",E4320="!!!"),"",IF(NOT(ISNA(VLOOKUP(E4320,E$1:E4319,1,FALSE()))),"OLD",IF(AND(E4320&lt;&gt;"",E4320&lt;&gt;"!!!"),"NEW","")))</f>
        <v> </v>
      </c>
      <c r="G4320" s="23" t="str">
        <f>IF(OR(E4320="",E4320="!!!"),"",IF(OR(J4320=0,AND(J4320=1,K4320=1),AND(J4320=1,I4320="SBJ"),AND(J4320=1,I4320=0)),"?IN_FOCUS",IF(J4320&lt;=2,"?ACTIVATED",IF(J4320&lt;&gt;"","?FAMILIAR",IF(F4320="NEW",IF(ISNA(VLOOKUP(E4320,#REF!,1,FALSE())),"?TYPE_IDENTIFIABLE","?REFERENTIAL"),"_")))))</f>
        <v> </v>
      </c>
      <c r="H4320" s="24" t="str">
        <f>IF(J4320&lt;&gt;1,"",IF(I4320="SBJ","CB","?"))</f>
        <v> </v>
      </c>
      <c r="I4320" s="25" t="str">
        <f>IF(OR(E4320="",E4320="!!!",F4320="NEW"),"",INDEX(B4319:B$2,-1+SUMPRODUCT(MAX(ROW(E4319:E$2)*(E4320=E4319:E$2)))))</f>
        <v> </v>
      </c>
      <c r="J4320" s="25" t="str">
        <f>IF(OR(E4320="",E4320="!!!",F4320="NEW"),"",COUNTBLANK(OFFSET(A$1,,,SUMPRODUCT(MAX(ROW(E$2:E4320)*(E4320=E$2:E4320)))))-COUNTBLANK(OFFSET(A$1,,,SUMPRODUCT(MAX(ROW(E$1:E4319)*(E2=E$1:E4319))))))</f>
        <v> </v>
      </c>
      <c r="K4320" s="25" t="str">
        <f>IF(OR(E4320="",E4320="!!!",F4320="NEW"),"",INDEX(J$1:J4319,SUMPRODUCT(MAX(ROW(E$1:E4319)*(E4320=E$1:E4319)))))</f>
        <v> </v>
      </c>
      <c r="L4320" s="26"/>
    </row>
    <row r="4321" spans="1:12">
      <c r="A4321" s="20" t="s">
        <v>1776</v>
      </c>
      <c r="E4321" s="21">
        <f>IF(D4321="?OLD","!!!","")</f>
        <v/>
      </c>
      <c r="F4321" s="22" t="str">
        <f>IF(OR(E4321="",E4321="!!!"),"",IF(NOT(ISNA(VLOOKUP(E4321,E$1:E4320,1,FALSE()))),"OLD",IF(AND(E4321&lt;&gt;"",E4321&lt;&gt;"!!!"),"NEW","")))</f>
        <v> </v>
      </c>
      <c r="G4321" s="23" t="str">
        <f>IF(OR(E4321="",E4321="!!!"),"",IF(OR(J4321=0,AND(J4321=1,K4321=1),AND(J4321=1,I4321="SBJ"),AND(J4321=1,I4321=0)),"?IN_FOCUS",IF(J4321&lt;=2,"?ACTIVATED",IF(J4321&lt;&gt;"","?FAMILIAR",IF(F4321="NEW",IF(ISNA(VLOOKUP(E4321,#REF!,1,FALSE())),"?TYPE_IDENTIFIABLE","?REFERENTIAL"),"_")))))</f>
        <v> </v>
      </c>
      <c r="H4321" s="24" t="str">
        <f>IF(J4321&lt;&gt;1,"",IF(I4321="SBJ","CB","?"))</f>
        <v> </v>
      </c>
      <c r="I4321" s="25" t="str">
        <f>IF(OR(E4321="",E4321="!!!",F4321="NEW"),"",INDEX(B4320:B$2,-1+SUMPRODUCT(MAX(ROW(E4320:E$2)*(E4321=E4320:E$2)))))</f>
        <v> </v>
      </c>
      <c r="J4321" s="25" t="str">
        <f>IF(OR(E4321="",E4321="!!!",F4321="NEW"),"",COUNTBLANK(OFFSET(A$1,,,SUMPRODUCT(MAX(ROW(E$2:E4321)*(E4321=E$2:E4321)))))-COUNTBLANK(OFFSET(A$1,,,SUMPRODUCT(MAX(ROW(E$1:E4320)*(E2=E$1:E4320))))))</f>
        <v> </v>
      </c>
      <c r="K4321" s="25" t="str">
        <f>IF(OR(E4321="",E4321="!!!",F4321="NEW"),"",INDEX(J$1:J4320,SUMPRODUCT(MAX(ROW(E$1:E4320)*(E4321=E$1:E4320)))))</f>
        <v> </v>
      </c>
      <c r="L4321" s="26"/>
    </row>
    <row r="4322" spans="1:12">
      <c r="A4322" s="20" t="s">
        <v>690</v>
      </c>
      <c r="E4322" s="21">
        <f>IF(D4322="?OLD","!!!","")</f>
        <v/>
      </c>
      <c r="F4322" s="22" t="str">
        <f>IF(OR(E4322="",E4322="!!!"),"",IF(NOT(ISNA(VLOOKUP(E4322,E$1:E4321,1,FALSE()))),"OLD",IF(AND(E4322&lt;&gt;"",E4322&lt;&gt;"!!!"),"NEW","")))</f>
        <v> </v>
      </c>
      <c r="G4322" s="23" t="str">
        <f>IF(OR(E4322="",E4322="!!!"),"",IF(OR(J4322=0,AND(J4322=1,K4322=1),AND(J4322=1,I4322="SBJ"),AND(J4322=1,I4322=0)),"?IN_FOCUS",IF(J4322&lt;=2,"?ACTIVATED",IF(J4322&lt;&gt;"","?FAMILIAR",IF(F4322="NEW",IF(ISNA(VLOOKUP(E4322,#REF!,1,FALSE())),"?TYPE_IDENTIFIABLE","?REFERENTIAL"),"_")))))</f>
        <v> </v>
      </c>
      <c r="H4322" s="24" t="str">
        <f>IF(J4322&lt;&gt;1,"",IF(I4322="SBJ","CB","?"))</f>
        <v> </v>
      </c>
      <c r="I4322" s="25" t="str">
        <f>IF(OR(E4322="",E4322="!!!",F4322="NEW"),"",INDEX(B4321:B$2,-1+SUMPRODUCT(MAX(ROW(E4321:E$2)*(E4322=E4321:E$2)))))</f>
        <v> </v>
      </c>
      <c r="J4322" s="25" t="str">
        <f>IF(OR(E4322="",E4322="!!!",F4322="NEW"),"",COUNTBLANK(OFFSET(A$1,,,SUMPRODUCT(MAX(ROW(E$2:E4322)*(E4322=E$2:E4322)))))-COUNTBLANK(OFFSET(A$1,,,SUMPRODUCT(MAX(ROW(E$1:E4321)*(E2=E$1:E4321))))))</f>
        <v> </v>
      </c>
      <c r="K4322" s="25" t="str">
        <f>IF(OR(E4322="",E4322="!!!",F4322="NEW"),"",INDEX(J$1:J4321,SUMPRODUCT(MAX(ROW(E$1:E4321)*(E4322=E$1:E4321)))))</f>
        <v> </v>
      </c>
      <c r="L4322" s="26"/>
    </row>
    <row r="4323" spans="1:12">
      <c r="A4323" s="20" t="s">
        <v>742</v>
      </c>
      <c r="E4323" s="21">
        <f>IF(D4323="?OLD","!!!","")</f>
        <v/>
      </c>
      <c r="F4323" s="22" t="str">
        <f>IF(OR(E4323="",E4323="!!!"),"",IF(NOT(ISNA(VLOOKUP(E4323,E$1:E4322,1,FALSE()))),"OLD",IF(AND(E4323&lt;&gt;"",E4323&lt;&gt;"!!!"),"NEW","")))</f>
        <v> </v>
      </c>
      <c r="G4323" s="23" t="str">
        <f>IF(OR(E4323="",E4323="!!!"),"",IF(OR(J4323=0,AND(J4323=1,K4323=1),AND(J4323=1,I4323="SBJ"),AND(J4323=1,I4323=0)),"?IN_FOCUS",IF(J4323&lt;=2,"?ACTIVATED",IF(J4323&lt;&gt;"","?FAMILIAR",IF(F4323="NEW",IF(ISNA(VLOOKUP(E4323,#REF!,1,FALSE())),"?TYPE_IDENTIFIABLE","?REFERENTIAL"),"_")))))</f>
        <v> </v>
      </c>
      <c r="H4323" s="24" t="str">
        <f>IF(J4323&lt;&gt;1,"",IF(I4323="SBJ","CB","?"))</f>
        <v> </v>
      </c>
      <c r="I4323" s="25" t="str">
        <f>IF(OR(E4323="",E4323="!!!",F4323="NEW"),"",INDEX(B4322:B$2,-1+SUMPRODUCT(MAX(ROW(E4322:E$2)*(E4323=E4322:E$2)))))</f>
        <v> </v>
      </c>
      <c r="J4323" s="25" t="str">
        <f>IF(OR(E4323="",E4323="!!!",F4323="NEW"),"",COUNTBLANK(OFFSET(A$1,,,SUMPRODUCT(MAX(ROW(E$2:E4323)*(E4323=E$2:E4323)))))-COUNTBLANK(OFFSET(A$1,,,SUMPRODUCT(MAX(ROW(E$1:E4322)*(E2=E$1:E4322))))))</f>
        <v> </v>
      </c>
      <c r="K4323" s="25" t="str">
        <f>IF(OR(E4323="",E4323="!!!",F4323="NEW"),"",INDEX(J$1:J4322,SUMPRODUCT(MAX(ROW(E$1:E4322)*(E4323=E$1:E4322)))))</f>
        <v> </v>
      </c>
      <c r="L4323" s="26"/>
    </row>
    <row r="4324" spans="1:12">
      <c r="A4324" s="20" t="s">
        <v>1598</v>
      </c>
      <c r="E4324" s="21">
        <f>IF(D4324="?OLD","!!!","")</f>
        <v/>
      </c>
      <c r="F4324" s="22" t="str">
        <f>IF(OR(E4324="",E4324="!!!"),"",IF(NOT(ISNA(VLOOKUP(E4324,E$1:E4323,1,FALSE()))),"OLD",IF(AND(E4324&lt;&gt;"",E4324&lt;&gt;"!!!"),"NEW","")))</f>
        <v> </v>
      </c>
      <c r="G4324" s="23" t="str">
        <f>IF(OR(E4324="",E4324="!!!"),"",IF(OR(J4324=0,AND(J4324=1,K4324=1),AND(J4324=1,I4324="SBJ"),AND(J4324=1,I4324=0)),"?IN_FOCUS",IF(J4324&lt;=2,"?ACTIVATED",IF(J4324&lt;&gt;"","?FAMILIAR",IF(F4324="NEW",IF(ISNA(VLOOKUP(E4324,#REF!,1,FALSE())),"?TYPE_IDENTIFIABLE","?REFERENTIAL"),"_")))))</f>
        <v> </v>
      </c>
      <c r="H4324" s="24" t="str">
        <f>IF(J4324&lt;&gt;1,"",IF(I4324="SBJ","CB","?"))</f>
        <v> </v>
      </c>
      <c r="I4324" s="25" t="str">
        <f>IF(OR(E4324="",E4324="!!!",F4324="NEW"),"",INDEX(B4323:B$2,-1+SUMPRODUCT(MAX(ROW(E4323:E$2)*(E4324=E4323:E$2)))))</f>
        <v> </v>
      </c>
      <c r="J4324" s="25" t="str">
        <f>IF(OR(E4324="",E4324="!!!",F4324="NEW"),"",COUNTBLANK(OFFSET(A$1,,,SUMPRODUCT(MAX(ROW(E$2:E4324)*(E4324=E$2:E4324)))))-COUNTBLANK(OFFSET(A$1,,,SUMPRODUCT(MAX(ROW(E$1:E4323)*(E2=E$1:E4323))))))</f>
        <v> </v>
      </c>
      <c r="K4324" s="25" t="str">
        <f>IF(OR(E4324="",E4324="!!!",F4324="NEW"),"",INDEX(J$1:J4323,SUMPRODUCT(MAX(ROW(E$1:E4323)*(E4324=E$1:E4323)))))</f>
        <v> </v>
      </c>
      <c r="L4324" s="26"/>
    </row>
    <row r="4325" spans="1:12">
      <c r="A4325" s="20" t="s">
        <v>718</v>
      </c>
      <c r="E4325" s="21">
        <f>IF(D4325="?OLD","!!!","")</f>
        <v/>
      </c>
      <c r="F4325" s="22" t="str">
        <f>IF(OR(E4325="",E4325="!!!"),"",IF(NOT(ISNA(VLOOKUP(E4325,E$1:E4324,1,FALSE()))),"OLD",IF(AND(E4325&lt;&gt;"",E4325&lt;&gt;"!!!"),"NEW","")))</f>
        <v> </v>
      </c>
      <c r="G4325" s="23" t="str">
        <f>IF(OR(E4325="",E4325="!!!"),"",IF(OR(J4325=0,AND(J4325=1,K4325=1),AND(J4325=1,I4325="SBJ"),AND(J4325=1,I4325=0)),"?IN_FOCUS",IF(J4325&lt;=2,"?ACTIVATED",IF(J4325&lt;&gt;"","?FAMILIAR",IF(F4325="NEW",IF(ISNA(VLOOKUP(E4325,#REF!,1,FALSE())),"?TYPE_IDENTIFIABLE","?REFERENTIAL"),"_")))))</f>
        <v> </v>
      </c>
      <c r="H4325" s="24" t="str">
        <f>IF(J4325&lt;&gt;1,"",IF(I4325="SBJ","CB","?"))</f>
        <v> </v>
      </c>
      <c r="I4325" s="25" t="str">
        <f>IF(OR(E4325="",E4325="!!!",F4325="NEW"),"",INDEX(B4324:B$2,-1+SUMPRODUCT(MAX(ROW(E4324:E$2)*(E4325=E4324:E$2)))))</f>
        <v> </v>
      </c>
      <c r="J4325" s="25" t="str">
        <f>IF(OR(E4325="",E4325="!!!",F4325="NEW"),"",COUNTBLANK(OFFSET(A$1,,,SUMPRODUCT(MAX(ROW(E$2:E4325)*(E4325=E$2:E4325)))))-COUNTBLANK(OFFSET(A$1,,,SUMPRODUCT(MAX(ROW(E$1:E4324)*(E2=E$1:E4324))))))</f>
        <v> </v>
      </c>
      <c r="K4325" s="25" t="str">
        <f>IF(OR(E4325="",E4325="!!!",F4325="NEW"),"",INDEX(J$1:J4324,SUMPRODUCT(MAX(ROW(E$1:E4324)*(E4325=E$1:E4324)))))</f>
        <v> </v>
      </c>
      <c r="L4325" s="26"/>
    </row>
    <row r="4326" spans="1:12">
      <c r="A4326" s="20" t="s">
        <v>1599</v>
      </c>
      <c r="E4326" s="21">
        <f>IF(D4326="?OLD","!!!","")</f>
        <v/>
      </c>
      <c r="F4326" s="22" t="str">
        <f>IF(OR(E4326="",E4326="!!!"),"",IF(NOT(ISNA(VLOOKUP(E4326,E$1:E4325,1,FALSE()))),"OLD",IF(AND(E4326&lt;&gt;"",E4326&lt;&gt;"!!!"),"NEW","")))</f>
        <v> </v>
      </c>
      <c r="G4326" s="23" t="str">
        <f>IF(OR(E4326="",E4326="!!!"),"",IF(OR(J4326=0,AND(J4326=1,K4326=1),AND(J4326=1,I4326="SBJ"),AND(J4326=1,I4326=0)),"?IN_FOCUS",IF(J4326&lt;=2,"?ACTIVATED",IF(J4326&lt;&gt;"","?FAMILIAR",IF(F4326="NEW",IF(ISNA(VLOOKUP(E4326,#REF!,1,FALSE())),"?TYPE_IDENTIFIABLE","?REFERENTIAL"),"_")))))</f>
        <v> </v>
      </c>
      <c r="H4326" s="24" t="str">
        <f>IF(J4326&lt;&gt;1,"",IF(I4326="SBJ","CB","?"))</f>
        <v> </v>
      </c>
      <c r="I4326" s="25" t="str">
        <f>IF(OR(E4326="",E4326="!!!",F4326="NEW"),"",INDEX(B4325:B$2,-1+SUMPRODUCT(MAX(ROW(E4325:E$2)*(E4326=E4325:E$2)))))</f>
        <v> </v>
      </c>
      <c r="J4326" s="25" t="str">
        <f>IF(OR(E4326="",E4326="!!!",F4326="NEW"),"",COUNTBLANK(OFFSET(A$1,,,SUMPRODUCT(MAX(ROW(E$2:E4326)*(E4326=E$2:E4326)))))-COUNTBLANK(OFFSET(A$1,,,SUMPRODUCT(MAX(ROW(E$1:E4325)*(E2=E$1:E4325))))))</f>
        <v> </v>
      </c>
      <c r="K4326" s="25" t="str">
        <f>IF(OR(E4326="",E4326="!!!",F4326="NEW"),"",INDEX(J$1:J4325,SUMPRODUCT(MAX(ROW(E$1:E4325)*(E4326=E$1:E4325)))))</f>
        <v> </v>
      </c>
      <c r="L4326" s="26"/>
    </row>
    <row r="4327" spans="1:12">
      <c r="A4327" s="20" t="s">
        <v>862</v>
      </c>
      <c r="E4327" s="21">
        <f>IF(D4327="?OLD","!!!","")</f>
        <v/>
      </c>
      <c r="F4327" s="22" t="str">
        <f>IF(OR(E4327="",E4327="!!!"),"",IF(NOT(ISNA(VLOOKUP(E4327,E$1:E4326,1,FALSE()))),"OLD",IF(AND(E4327&lt;&gt;"",E4327&lt;&gt;"!!!"),"NEW","")))</f>
        <v> </v>
      </c>
      <c r="G4327" s="23" t="str">
        <f>IF(OR(E4327="",E4327="!!!"),"",IF(OR(J4327=0,AND(J4327=1,K4327=1),AND(J4327=1,I4327="SBJ"),AND(J4327=1,I4327=0)),"?IN_FOCUS",IF(J4327&lt;=2,"?ACTIVATED",IF(J4327&lt;&gt;"","?FAMILIAR",IF(F4327="NEW",IF(ISNA(VLOOKUP(E4327,#REF!,1,FALSE())),"?TYPE_IDENTIFIABLE","?REFERENTIAL"),"_")))))</f>
        <v> </v>
      </c>
      <c r="H4327" s="24" t="str">
        <f>IF(J4327&lt;&gt;1,"",IF(I4327="SBJ","CB","?"))</f>
        <v> </v>
      </c>
      <c r="I4327" s="25" t="str">
        <f>IF(OR(E4327="",E4327="!!!",F4327="NEW"),"",INDEX(B4326:B$2,-1+SUMPRODUCT(MAX(ROW(E4326:E$2)*(E4327=E4326:E$2)))))</f>
        <v> </v>
      </c>
      <c r="J4327" s="25" t="str">
        <f>IF(OR(E4327="",E4327="!!!",F4327="NEW"),"",COUNTBLANK(OFFSET(A$1,,,SUMPRODUCT(MAX(ROW(E$2:E4327)*(E4327=E$2:E4327)))))-COUNTBLANK(OFFSET(A$1,,,SUMPRODUCT(MAX(ROW(E$1:E4326)*(E2=E$1:E4326))))))</f>
        <v> </v>
      </c>
      <c r="K4327" s="25" t="str">
        <f>IF(OR(E4327="",E4327="!!!",F4327="NEW"),"",INDEX(J$1:J4326,SUMPRODUCT(MAX(ROW(E$1:E4326)*(E4327=E$1:E4326)))))</f>
        <v> </v>
      </c>
      <c r="L4327" s="26"/>
    </row>
    <row r="4328" spans="1:12">
      <c r="A4328" s="20" t="s">
        <v>721</v>
      </c>
      <c r="E4328" s="21">
        <f>IF(D4328="?OLD","!!!","")</f>
        <v/>
      </c>
      <c r="F4328" s="22" t="str">
        <f>IF(OR(E4328="",E4328="!!!"),"",IF(NOT(ISNA(VLOOKUP(E4328,E$1:E4327,1,FALSE()))),"OLD",IF(AND(E4328&lt;&gt;"",E4328&lt;&gt;"!!!"),"NEW","")))</f>
        <v> </v>
      </c>
      <c r="G4328" s="23" t="str">
        <f>IF(OR(E4328="",E4328="!!!"),"",IF(OR(J4328=0,AND(J4328=1,K4328=1),AND(J4328=1,I4328="SBJ"),AND(J4328=1,I4328=0)),"?IN_FOCUS",IF(J4328&lt;=2,"?ACTIVATED",IF(J4328&lt;&gt;"","?FAMILIAR",IF(F4328="NEW",IF(ISNA(VLOOKUP(E4328,#REF!,1,FALSE())),"?TYPE_IDENTIFIABLE","?REFERENTIAL"),"_")))))</f>
        <v> </v>
      </c>
      <c r="H4328" s="24" t="str">
        <f>IF(J4328&lt;&gt;1,"",IF(I4328="SBJ","CB","?"))</f>
        <v> </v>
      </c>
      <c r="I4328" s="25" t="str">
        <f>IF(OR(E4328="",E4328="!!!",F4328="NEW"),"",INDEX(B4327:B$2,-1+SUMPRODUCT(MAX(ROW(E4327:E$2)*(E4328=E4327:E$2)))))</f>
        <v> </v>
      </c>
      <c r="J4328" s="25" t="str">
        <f>IF(OR(E4328="",E4328="!!!",F4328="NEW"),"",COUNTBLANK(OFFSET(A$1,,,SUMPRODUCT(MAX(ROW(E$2:E4328)*(E4328=E$2:E4328)))))-COUNTBLANK(OFFSET(A$1,,,SUMPRODUCT(MAX(ROW(E$1:E4327)*(E2=E$1:E4327))))))</f>
        <v> </v>
      </c>
      <c r="K4328" s="25" t="str">
        <f>IF(OR(E4328="",E4328="!!!",F4328="NEW"),"",INDEX(J$1:J4327,SUMPRODUCT(MAX(ROW(E$1:E4327)*(E4328=E$1:E4327)))))</f>
        <v> </v>
      </c>
      <c r="L4328" s="26"/>
    </row>
    <row r="4329" spans="1:12">
      <c r="A4329" s="20" t="s">
        <v>1397</v>
      </c>
      <c r="E4329" s="21">
        <f>IF(D4329="?OLD","!!!","")</f>
        <v/>
      </c>
      <c r="F4329" s="22" t="str">
        <f>IF(OR(E4329="",E4329="!!!"),"",IF(NOT(ISNA(VLOOKUP(E4329,E$1:E4328,1,FALSE()))),"OLD",IF(AND(E4329&lt;&gt;"",E4329&lt;&gt;"!!!"),"NEW","")))</f>
        <v> </v>
      </c>
      <c r="G4329" s="23" t="str">
        <f>IF(OR(E4329="",E4329="!!!"),"",IF(OR(J4329=0,AND(J4329=1,K4329=1),AND(J4329=1,I4329="SBJ"),AND(J4329=1,I4329=0)),"?IN_FOCUS",IF(J4329&lt;=2,"?ACTIVATED",IF(J4329&lt;&gt;"","?FAMILIAR",IF(F4329="NEW",IF(ISNA(VLOOKUP(E4329,#REF!,1,FALSE())),"?TYPE_IDENTIFIABLE","?REFERENTIAL"),"_")))))</f>
        <v> </v>
      </c>
      <c r="H4329" s="24" t="str">
        <f>IF(J4329&lt;&gt;1,"",IF(I4329="SBJ","CB","?"))</f>
        <v> </v>
      </c>
      <c r="I4329" s="25" t="str">
        <f>IF(OR(E4329="",E4329="!!!",F4329="NEW"),"",INDEX(B4328:B$2,-1+SUMPRODUCT(MAX(ROW(E4328:E$2)*(E4329=E4328:E$2)))))</f>
        <v> </v>
      </c>
      <c r="J4329" s="25" t="str">
        <f>IF(OR(E4329="",E4329="!!!",F4329="NEW"),"",COUNTBLANK(OFFSET(A$1,,,SUMPRODUCT(MAX(ROW(E$2:E4329)*(E4329=E$2:E4329)))))-COUNTBLANK(OFFSET(A$1,,,SUMPRODUCT(MAX(ROW(E$1:E4328)*(E2=E$1:E4328))))))</f>
        <v> </v>
      </c>
      <c r="K4329" s="25" t="str">
        <f>IF(OR(E4329="",E4329="!!!",F4329="NEW"),"",INDEX(J$1:J4328,SUMPRODUCT(MAX(ROW(E$1:E4328)*(E4329=E$1:E4328)))))</f>
        <v> </v>
      </c>
      <c r="L4329" s="26"/>
    </row>
    <row r="4330" spans="1:12">
      <c r="A4330" s="20" t="s">
        <v>723</v>
      </c>
      <c r="B4330" s="27" t="s">
        <v>756</v>
      </c>
      <c r="C4330" s="27" t="s">
        <v>693</v>
      </c>
      <c r="D4330" s="27" t="s">
        <v>694</v>
      </c>
      <c r="E4330" s="21">
        <f>IF(D4330="?OLD","!!!","")</f>
        <v/>
      </c>
      <c r="F4330" s="22" t="str">
        <f>IF(OR(E4330="",E4330="!!!"),"",IF(NOT(ISNA(VLOOKUP(E4330,E$1:E4329,1,FALSE()))),"OLD",IF(AND(E4330&lt;&gt;"",E4330&lt;&gt;"!!!"),"NEW","")))</f>
        <v> </v>
      </c>
      <c r="G4330" s="23" t="str">
        <f>IF(OR(E4330="",E4330="!!!"),"",IF(OR(J4330=0,AND(J4330=1,K4330=1),AND(J4330=1,I4330="SBJ"),AND(J4330=1,I4330=0)),"?IN_FOCUS",IF(J4330&lt;=2,"?ACTIVATED",IF(J4330&lt;&gt;"","?FAMILIAR",IF(F4330="NEW",IF(ISNA(VLOOKUP(E4330,#REF!,1,FALSE())),"?TYPE_IDENTIFIABLE","?REFERENTIAL"),"_")))))</f>
        <v> </v>
      </c>
      <c r="H4330" s="24" t="str">
        <f>IF(J4330&lt;&gt;1,"",IF(I4330="SBJ","CB","?"))</f>
        <v> </v>
      </c>
      <c r="I4330" s="25" t="str">
        <f>IF(OR(E4330="",E4330="!!!",F4330="NEW"),"",INDEX(B4329:B$2,-1+SUMPRODUCT(MAX(ROW(E4329:E$2)*(E4330=E4329:E$2)))))</f>
        <v> </v>
      </c>
      <c r="J4330" s="25" t="str">
        <f>IF(OR(E4330="",E4330="!!!",F4330="NEW"),"",COUNTBLANK(OFFSET(A$1,,,SUMPRODUCT(MAX(ROW(E$2:E4330)*(E4330=E$2:E4330)))))-COUNTBLANK(OFFSET(A$1,,,SUMPRODUCT(MAX(ROW(E$1:E4329)*(E2=E$1:E4329))))))</f>
        <v> </v>
      </c>
      <c r="K4330" s="25" t="str">
        <f>IF(OR(E4330="",E4330="!!!",F4330="NEW"),"",INDEX(J$1:J4329,SUMPRODUCT(MAX(ROW(E$1:E4329)*(E4330=E$1:E4329)))))</f>
        <v> </v>
      </c>
      <c r="L4330" s="26"/>
    </row>
    <row r="4331" spans="1:12">
      <c r="A4331" s="20" t="s">
        <v>699</v>
      </c>
      <c r="E4331" s="21">
        <f>IF(D4331="?OLD","!!!","")</f>
        <v/>
      </c>
      <c r="F4331" s="22" t="str">
        <f>IF(OR(E4331="",E4331="!!!"),"",IF(NOT(ISNA(VLOOKUP(E4331,E$1:E4330,1,FALSE()))),"OLD",IF(AND(E4331&lt;&gt;"",E4331&lt;&gt;"!!!"),"NEW","")))</f>
        <v> </v>
      </c>
      <c r="G4331" s="23" t="str">
        <f>IF(OR(E4331="",E4331="!!!"),"",IF(OR(J4331=0,AND(J4331=1,K4331=1),AND(J4331=1,I4331="SBJ"),AND(J4331=1,I4331=0)),"?IN_FOCUS",IF(J4331&lt;=2,"?ACTIVATED",IF(J4331&lt;&gt;"","?FAMILIAR",IF(F4331="NEW",IF(ISNA(VLOOKUP(E4331,#REF!,1,FALSE())),"?TYPE_IDENTIFIABLE","?REFERENTIAL"),"_")))))</f>
        <v> </v>
      </c>
      <c r="H4331" s="24" t="str">
        <f>IF(J4331&lt;&gt;1,"",IF(I4331="SBJ","CB","?"))</f>
        <v> </v>
      </c>
      <c r="I4331" s="25" t="str">
        <f>IF(OR(E4331="",E4331="!!!",F4331="NEW"),"",INDEX(B4330:B$2,-1+SUMPRODUCT(MAX(ROW(E4330:E$2)*(E4331=E4330:E$2)))))</f>
        <v> </v>
      </c>
      <c r="J4331" s="25" t="str">
        <f>IF(OR(E4331="",E4331="!!!",F4331="NEW"),"",COUNTBLANK(OFFSET(A$1,,,SUMPRODUCT(MAX(ROW(E$2:E4331)*(E4331=E$2:E4331)))))-COUNTBLANK(OFFSET(A$1,,,SUMPRODUCT(MAX(ROW(E$1:E4330)*(E2=E$1:E4330))))))</f>
        <v> </v>
      </c>
      <c r="K4331" s="25" t="str">
        <f>IF(OR(E4331="",E4331="!!!",F4331="NEW"),"",INDEX(J$1:J4330,SUMPRODUCT(MAX(ROW(E$1:E4330)*(E4331=E$1:E4330)))))</f>
        <v> </v>
      </c>
      <c r="L4331" s="26"/>
    </row>
    <row r="4332" spans="1:12">
      <c r="A4332" s="20"/>
    </row>
    <row r="4333" spans="1:12">
      <c r="A4333" s="20" t="s">
        <v>1777</v>
      </c>
    </row>
    <row r="4334" spans="1:12">
      <c r="A4334" s="20" t="s">
        <v>1625</v>
      </c>
      <c r="E4334" s="21">
        <f>IF(D4334="?OLD","!!!","")</f>
        <v/>
      </c>
      <c r="F4334" s="22" t="str">
        <f>IF(OR(E4334="",E4334="!!!"),"",IF(NOT(ISNA(VLOOKUP(E4334,E$1:E4333,1,FALSE()))),"OLD",IF(AND(E4334&lt;&gt;"",E4334&lt;&gt;"!!!"),"NEW","")))</f>
        <v> </v>
      </c>
      <c r="G4334" s="23" t="str">
        <f>IF(OR(E4334="",E4334="!!!"),"",IF(OR(J4334=0,AND(J4334=1,K4334=1),AND(J4334=1,I4334="SBJ"),AND(J4334=1,I4334=0)),"?IN_FOCUS",IF(J4334&lt;=2,"?ACTIVATED",IF(J4334&lt;&gt;"","?FAMILIAR",IF(F4334="NEW",IF(ISNA(VLOOKUP(E4334,#REF!,1,FALSE())),"?TYPE_IDENTIFIABLE","?REFERENTIAL"),"_")))))</f>
        <v> </v>
      </c>
      <c r="H4334" s="24" t="str">
        <f>IF(J4334&lt;&gt;1,"",IF(I4334="SBJ","CB","?"))</f>
        <v> </v>
      </c>
      <c r="I4334" s="25" t="str">
        <f>IF(OR(E4334="",E4334="!!!",F4334="NEW"),"",INDEX(B4333:B$2,-1+SUMPRODUCT(MAX(ROW(E4333:E$2)*(E4334=E4333:E$2)))))</f>
        <v> </v>
      </c>
      <c r="J4334" s="25" t="str">
        <f>IF(OR(E4334="",E4334="!!!",F4334="NEW"),"",COUNTBLANK(OFFSET(A$1,,,SUMPRODUCT(MAX(ROW(E$2:E4334)*(E4334=E$2:E4334)))))-COUNTBLANK(OFFSET(A$1,,,SUMPRODUCT(MAX(ROW(E$1:E4333)*(E2=E$1:E4333))))))</f>
        <v> </v>
      </c>
      <c r="K4334" s="25" t="str">
        <f>IF(OR(E4334="",E4334="!!!",F4334="NEW"),"",INDEX(J$1:J4333,SUMPRODUCT(MAX(ROW(E$1:E4333)*(E4334=E$1:E4333)))))</f>
        <v> </v>
      </c>
      <c r="L4334" s="26"/>
    </row>
    <row r="4335" spans="1:12">
      <c r="A4335" s="20" t="s">
        <v>1632</v>
      </c>
      <c r="E4335" s="21">
        <f>IF(D4335="?OLD","!!!","")</f>
        <v/>
      </c>
      <c r="F4335" s="22" t="str">
        <f>IF(OR(E4335="",E4335="!!!"),"",IF(NOT(ISNA(VLOOKUP(E4335,E$1:E4334,1,FALSE()))),"OLD",IF(AND(E4335&lt;&gt;"",E4335&lt;&gt;"!!!"),"NEW","")))</f>
        <v> </v>
      </c>
      <c r="G4335" s="23" t="str">
        <f>IF(OR(E4335="",E4335="!!!"),"",IF(OR(J4335=0,AND(J4335=1,K4335=1),AND(J4335=1,I4335="SBJ"),AND(J4335=1,I4335=0)),"?IN_FOCUS",IF(J4335&lt;=2,"?ACTIVATED",IF(J4335&lt;&gt;"","?FAMILIAR",IF(F4335="NEW",IF(ISNA(VLOOKUP(E4335,#REF!,1,FALSE())),"?TYPE_IDENTIFIABLE","?REFERENTIAL"),"_")))))</f>
        <v> </v>
      </c>
      <c r="H4335" s="24" t="str">
        <f>IF(J4335&lt;&gt;1,"",IF(I4335="SBJ","CB","?"))</f>
        <v> </v>
      </c>
      <c r="I4335" s="25" t="str">
        <f>IF(OR(E4335="",E4335="!!!",F4335="NEW"),"",INDEX(B4334:B$2,-1+SUMPRODUCT(MAX(ROW(E4334:E$2)*(E4335=E4334:E$2)))))</f>
        <v> </v>
      </c>
      <c r="J4335" s="25" t="str">
        <f>IF(OR(E4335="",E4335="!!!",F4335="NEW"),"",COUNTBLANK(OFFSET(A$1,,,SUMPRODUCT(MAX(ROW(E$2:E4335)*(E4335=E$2:E4335)))))-COUNTBLANK(OFFSET(A$1,,,SUMPRODUCT(MAX(ROW(E$1:E4334)*(E2=E$1:E4334))))))</f>
        <v> </v>
      </c>
      <c r="K4335" s="25" t="str">
        <f>IF(OR(E4335="",E4335="!!!",F4335="NEW"),"",INDEX(J$1:J4334,SUMPRODUCT(MAX(ROW(E$1:E4334)*(E4335=E$1:E4334)))))</f>
        <v> </v>
      </c>
      <c r="L4335" s="26"/>
    </row>
    <row r="4336" spans="1:12">
      <c r="A4336" s="20" t="s">
        <v>832</v>
      </c>
      <c r="E4336" s="21">
        <f>IF(D4336="?OLD","!!!","")</f>
        <v/>
      </c>
      <c r="F4336" s="22" t="str">
        <f>IF(OR(E4336="",E4336="!!!"),"",IF(NOT(ISNA(VLOOKUP(E4336,E$1:E4335,1,FALSE()))),"OLD",IF(AND(E4336&lt;&gt;"",E4336&lt;&gt;"!!!"),"NEW","")))</f>
        <v> </v>
      </c>
      <c r="G4336" s="23" t="str">
        <f>IF(OR(E4336="",E4336="!!!"),"",IF(OR(J4336=0,AND(J4336=1,K4336=1),AND(J4336=1,I4336="SBJ"),AND(J4336=1,I4336=0)),"?IN_FOCUS",IF(J4336&lt;=2,"?ACTIVATED",IF(J4336&lt;&gt;"","?FAMILIAR",IF(F4336="NEW",IF(ISNA(VLOOKUP(E4336,#REF!,1,FALSE())),"?TYPE_IDENTIFIABLE","?REFERENTIAL"),"_")))))</f>
        <v> </v>
      </c>
      <c r="H4336" s="24" t="str">
        <f>IF(J4336&lt;&gt;1,"",IF(I4336="SBJ","CB","?"))</f>
        <v> </v>
      </c>
      <c r="I4336" s="25" t="str">
        <f>IF(OR(E4336="",E4336="!!!",F4336="NEW"),"",INDEX(B4335:B$2,-1+SUMPRODUCT(MAX(ROW(E4335:E$2)*(E4336=E4335:E$2)))))</f>
        <v> </v>
      </c>
      <c r="J4336" s="25" t="str">
        <f>IF(OR(E4336="",E4336="!!!",F4336="NEW"),"",COUNTBLANK(OFFSET(A$1,,,SUMPRODUCT(MAX(ROW(E$2:E4336)*(E4336=E$2:E4336)))))-COUNTBLANK(OFFSET(A$1,,,SUMPRODUCT(MAX(ROW(E$1:E4335)*(E2=E$1:E4335))))))</f>
        <v> </v>
      </c>
      <c r="K4336" s="25" t="str">
        <f>IF(OR(E4336="",E4336="!!!",F4336="NEW"),"",INDEX(J$1:J4335,SUMPRODUCT(MAX(ROW(E$1:E4335)*(E4336=E$1:E4335)))))</f>
        <v> </v>
      </c>
      <c r="L4336" s="26"/>
    </row>
    <row r="4337" spans="1:12">
      <c r="A4337" s="20" t="s">
        <v>829</v>
      </c>
      <c r="E4337" s="21">
        <f>IF(D4337="?OLD","!!!","")</f>
        <v/>
      </c>
      <c r="F4337" s="22" t="str">
        <f>IF(OR(E4337="",E4337="!!!"),"",IF(NOT(ISNA(VLOOKUP(E4337,E$1:E4336,1,FALSE()))),"OLD",IF(AND(E4337&lt;&gt;"",E4337&lt;&gt;"!!!"),"NEW","")))</f>
        <v> </v>
      </c>
      <c r="G4337" s="23" t="str">
        <f>IF(OR(E4337="",E4337="!!!"),"",IF(OR(J4337=0,AND(J4337=1,K4337=1),AND(J4337=1,I4337="SBJ"),AND(J4337=1,I4337=0)),"?IN_FOCUS",IF(J4337&lt;=2,"?ACTIVATED",IF(J4337&lt;&gt;"","?FAMILIAR",IF(F4337="NEW",IF(ISNA(VLOOKUP(E4337,#REF!,1,FALSE())),"?TYPE_IDENTIFIABLE","?REFERENTIAL"),"_")))))</f>
        <v> </v>
      </c>
      <c r="H4337" s="24" t="str">
        <f>IF(J4337&lt;&gt;1,"",IF(I4337="SBJ","CB","?"))</f>
        <v> </v>
      </c>
      <c r="I4337" s="25" t="str">
        <f>IF(OR(E4337="",E4337="!!!",F4337="NEW"),"",INDEX(B4336:B$2,-1+SUMPRODUCT(MAX(ROW(E4336:E$2)*(E4337=E4336:E$2)))))</f>
        <v> </v>
      </c>
      <c r="J4337" s="25" t="str">
        <f>IF(OR(E4337="",E4337="!!!",F4337="NEW"),"",COUNTBLANK(OFFSET(A$1,,,SUMPRODUCT(MAX(ROW(E$2:E4337)*(E4337=E$2:E4337)))))-COUNTBLANK(OFFSET(A$1,,,SUMPRODUCT(MAX(ROW(E$1:E4336)*(E2=E$1:E4336))))))</f>
        <v> </v>
      </c>
      <c r="K4337" s="25" t="str">
        <f>IF(OR(E4337="",E4337="!!!",F4337="NEW"),"",INDEX(J$1:J4336,SUMPRODUCT(MAX(ROW(E$1:E4336)*(E4337=E$1:E4336)))))</f>
        <v> </v>
      </c>
      <c r="L4337" s="26"/>
    </row>
    <row r="4338" spans="1:12">
      <c r="A4338" s="20" t="s">
        <v>1778</v>
      </c>
      <c r="B4338" s="27" t="s">
        <v>698</v>
      </c>
      <c r="C4338" s="27" t="s">
        <v>693</v>
      </c>
      <c r="D4338" s="27" t="s">
        <v>694</v>
      </c>
      <c r="E4338" s="21">
        <f>IF(D4338="?OLD","!!!","")</f>
        <v/>
      </c>
      <c r="F4338" s="22" t="str">
        <f>IF(OR(E4338="",E4338="!!!"),"",IF(NOT(ISNA(VLOOKUP(E4338,E$1:E4337,1,FALSE()))),"OLD",IF(AND(E4338&lt;&gt;"",E4338&lt;&gt;"!!!"),"NEW","")))</f>
        <v> </v>
      </c>
      <c r="G4338" s="23" t="str">
        <f>IF(OR(E4338="",E4338="!!!"),"",IF(OR(J4338=0,AND(J4338=1,K4338=1),AND(J4338=1,I4338="SBJ"),AND(J4338=1,I4338=0)),"?IN_FOCUS",IF(J4338&lt;=2,"?ACTIVATED",IF(J4338&lt;&gt;"","?FAMILIAR",IF(F4338="NEW",IF(ISNA(VLOOKUP(E4338,#REF!,1,FALSE())),"?TYPE_IDENTIFIABLE","?REFERENTIAL"),"_")))))</f>
        <v> </v>
      </c>
      <c r="H4338" s="24" t="str">
        <f>IF(J4338&lt;&gt;1,"",IF(I4338="SBJ","CB","?"))</f>
        <v> </v>
      </c>
      <c r="I4338" s="25" t="str">
        <f>IF(OR(E4338="",E4338="!!!",F4338="NEW"),"",INDEX(B4337:B$2,-1+SUMPRODUCT(MAX(ROW(E4337:E$2)*(E4338=E4337:E$2)))))</f>
        <v> </v>
      </c>
      <c r="J4338" s="25" t="str">
        <f>IF(OR(E4338="",E4338="!!!",F4338="NEW"),"",COUNTBLANK(OFFSET(A$1,,,SUMPRODUCT(MAX(ROW(E$2:E4338)*(E4338=E$2:E4338)))))-COUNTBLANK(OFFSET(A$1,,,SUMPRODUCT(MAX(ROW(E$1:E4337)*(E2=E$1:E4337))))))</f>
        <v> </v>
      </c>
      <c r="K4338" s="25" t="str">
        <f>IF(OR(E4338="",E4338="!!!",F4338="NEW"),"",INDEX(J$1:J4337,SUMPRODUCT(MAX(ROW(E$1:E4337)*(E4338=E$1:E4337)))))</f>
        <v> </v>
      </c>
      <c r="L4338" s="26"/>
    </row>
    <row r="4339" spans="1:12">
      <c r="A4339" s="20" t="s">
        <v>696</v>
      </c>
      <c r="E4339" s="21">
        <f>IF(D4339="?OLD","!!!","")</f>
        <v/>
      </c>
      <c r="F4339" s="22" t="str">
        <f>IF(OR(E4339="",E4339="!!!"),"",IF(NOT(ISNA(VLOOKUP(E4339,E$1:E4338,1,FALSE()))),"OLD",IF(AND(E4339&lt;&gt;"",E4339&lt;&gt;"!!!"),"NEW","")))</f>
        <v> </v>
      </c>
      <c r="G4339" s="23" t="str">
        <f>IF(OR(E4339="",E4339="!!!"),"",IF(OR(J4339=0,AND(J4339=1,K4339=1),AND(J4339=1,I4339="SBJ"),AND(J4339=1,I4339=0)),"?IN_FOCUS",IF(J4339&lt;=2,"?ACTIVATED",IF(J4339&lt;&gt;"","?FAMILIAR",IF(F4339="NEW",IF(ISNA(VLOOKUP(E4339,#REF!,1,FALSE())),"?TYPE_IDENTIFIABLE","?REFERENTIAL"),"_")))))</f>
        <v> </v>
      </c>
      <c r="H4339" s="24" t="str">
        <f>IF(J4339&lt;&gt;1,"",IF(I4339="SBJ","CB","?"))</f>
        <v> </v>
      </c>
      <c r="I4339" s="25" t="str">
        <f>IF(OR(E4339="",E4339="!!!",F4339="NEW"),"",INDEX(B4338:B$2,-1+SUMPRODUCT(MAX(ROW(E4338:E$2)*(E4339=E4338:E$2)))))</f>
        <v> </v>
      </c>
      <c r="J4339" s="25" t="str">
        <f>IF(OR(E4339="",E4339="!!!",F4339="NEW"),"",COUNTBLANK(OFFSET(A$1,,,SUMPRODUCT(MAX(ROW(E$2:E4339)*(E4339=E$2:E4339)))))-COUNTBLANK(OFFSET(A$1,,,SUMPRODUCT(MAX(ROW(E$1:E4338)*(E2=E$1:E4338))))))</f>
        <v> </v>
      </c>
      <c r="K4339" s="25" t="str">
        <f>IF(OR(E4339="",E4339="!!!",F4339="NEW"),"",INDEX(J$1:J4338,SUMPRODUCT(MAX(ROW(E$1:E4338)*(E4339=E$1:E4338)))))</f>
        <v> </v>
      </c>
      <c r="L4339" s="26"/>
    </row>
    <row r="4340" spans="1:12">
      <c r="A4340" s="20" t="s">
        <v>829</v>
      </c>
      <c r="E4340" s="21">
        <f>IF(D4340="?OLD","!!!","")</f>
        <v/>
      </c>
      <c r="F4340" s="22" t="str">
        <f>IF(OR(E4340="",E4340="!!!"),"",IF(NOT(ISNA(VLOOKUP(E4340,E$1:E4339,1,FALSE()))),"OLD",IF(AND(E4340&lt;&gt;"",E4340&lt;&gt;"!!!"),"NEW","")))</f>
        <v> </v>
      </c>
      <c r="G4340" s="23" t="str">
        <f>IF(OR(E4340="",E4340="!!!"),"",IF(OR(J4340=0,AND(J4340=1,K4340=1),AND(J4340=1,I4340="SBJ"),AND(J4340=1,I4340=0)),"?IN_FOCUS",IF(J4340&lt;=2,"?ACTIVATED",IF(J4340&lt;&gt;"","?FAMILIAR",IF(F4340="NEW",IF(ISNA(VLOOKUP(E4340,#REF!,1,FALSE())),"?TYPE_IDENTIFIABLE","?REFERENTIAL"),"_")))))</f>
        <v> </v>
      </c>
      <c r="H4340" s="24" t="str">
        <f>IF(J4340&lt;&gt;1,"",IF(I4340="SBJ","CB","?"))</f>
        <v> </v>
      </c>
      <c r="I4340" s="25" t="str">
        <f>IF(OR(E4340="",E4340="!!!",F4340="NEW"),"",INDEX(B4339:B$2,-1+SUMPRODUCT(MAX(ROW(E4339:E$2)*(E4340=E4339:E$2)))))</f>
        <v> </v>
      </c>
      <c r="J4340" s="25" t="str">
        <f>IF(OR(E4340="",E4340="!!!",F4340="NEW"),"",COUNTBLANK(OFFSET(A$1,,,SUMPRODUCT(MAX(ROW(E$2:E4340)*(E4340=E$2:E4340)))))-COUNTBLANK(OFFSET(A$1,,,SUMPRODUCT(MAX(ROW(E$1:E4339)*(E2=E$1:E4339))))))</f>
        <v> </v>
      </c>
      <c r="K4340" s="25" t="str">
        <f>IF(OR(E4340="",E4340="!!!",F4340="NEW"),"",INDEX(J$1:J4339,SUMPRODUCT(MAX(ROW(E$1:E4339)*(E4340=E$1:E4339)))))</f>
        <v> </v>
      </c>
      <c r="L4340" s="26"/>
    </row>
    <row r="4341" spans="1:12">
      <c r="A4341" s="20" t="s">
        <v>1779</v>
      </c>
      <c r="B4341" s="27" t="s">
        <v>737</v>
      </c>
      <c r="C4341" s="27" t="s">
        <v>693</v>
      </c>
      <c r="D4341" s="27" t="s">
        <v>694</v>
      </c>
      <c r="E4341" s="21">
        <f>IF(D4341="?OLD","!!!","")</f>
        <v/>
      </c>
      <c r="F4341" s="22" t="str">
        <f>IF(OR(E4341="",E4341="!!!"),"",IF(NOT(ISNA(VLOOKUP(E4341,E$1:E4340,1,FALSE()))),"OLD",IF(AND(E4341&lt;&gt;"",E4341&lt;&gt;"!!!"),"NEW","")))</f>
        <v> </v>
      </c>
      <c r="G4341" s="23" t="str">
        <f>IF(OR(E4341="",E4341="!!!"),"",IF(OR(J4341=0,AND(J4341=1,K4341=1),AND(J4341=1,I4341="SBJ"),AND(J4341=1,I4341=0)),"?IN_FOCUS",IF(J4341&lt;=2,"?ACTIVATED",IF(J4341&lt;&gt;"","?FAMILIAR",IF(F4341="NEW",IF(ISNA(VLOOKUP(E4341,#REF!,1,FALSE())),"?TYPE_IDENTIFIABLE","?REFERENTIAL"),"_")))))</f>
        <v> </v>
      </c>
      <c r="H4341" s="24" t="str">
        <f>IF(J4341&lt;&gt;1,"",IF(I4341="SBJ","CB","?"))</f>
        <v> </v>
      </c>
      <c r="I4341" s="25" t="str">
        <f>IF(OR(E4341="",E4341="!!!",F4341="NEW"),"",INDEX(B4340:B$2,-1+SUMPRODUCT(MAX(ROW(E4340:E$2)*(E4341=E4340:E$2)))))</f>
        <v> </v>
      </c>
      <c r="J4341" s="25" t="str">
        <f>IF(OR(E4341="",E4341="!!!",F4341="NEW"),"",COUNTBLANK(OFFSET(A$1,,,SUMPRODUCT(MAX(ROW(E$2:E4341)*(E4341=E$2:E4341)))))-COUNTBLANK(OFFSET(A$1,,,SUMPRODUCT(MAX(ROW(E$1:E4340)*(E2=E$1:E4340))))))</f>
        <v> </v>
      </c>
      <c r="K4341" s="25" t="str">
        <f>IF(OR(E4341="",E4341="!!!",F4341="NEW"),"",INDEX(J$1:J4340,SUMPRODUCT(MAX(ROW(E$1:E4340)*(E4341=E$1:E4340)))))</f>
        <v> </v>
      </c>
      <c r="L4341" s="26"/>
    </row>
    <row r="4342" spans="1:12">
      <c r="A4342" s="20" t="s">
        <v>1780</v>
      </c>
      <c r="E4342" s="21">
        <f>IF(D4342="?OLD","!!!","")</f>
        <v/>
      </c>
      <c r="F4342" s="22" t="str">
        <f>IF(OR(E4342="",E4342="!!!"),"",IF(NOT(ISNA(VLOOKUP(E4342,E$1:E4341,1,FALSE()))),"OLD",IF(AND(E4342&lt;&gt;"",E4342&lt;&gt;"!!!"),"NEW","")))</f>
        <v> </v>
      </c>
      <c r="G4342" s="23" t="str">
        <f>IF(OR(E4342="",E4342="!!!"),"",IF(OR(J4342=0,AND(J4342=1,K4342=1),AND(J4342=1,I4342="SBJ"),AND(J4342=1,I4342=0)),"?IN_FOCUS",IF(J4342&lt;=2,"?ACTIVATED",IF(J4342&lt;&gt;"","?FAMILIAR",IF(F4342="NEW",IF(ISNA(VLOOKUP(E4342,#REF!,1,FALSE())),"?TYPE_IDENTIFIABLE","?REFERENTIAL"),"_")))))</f>
        <v> </v>
      </c>
      <c r="H4342" s="24" t="str">
        <f>IF(J4342&lt;&gt;1,"",IF(I4342="SBJ","CB","?"))</f>
        <v> </v>
      </c>
      <c r="I4342" s="25" t="str">
        <f>IF(OR(E4342="",E4342="!!!",F4342="NEW"),"",INDEX(B4341:B$2,-1+SUMPRODUCT(MAX(ROW(E4341:E$2)*(E4342=E4341:E$2)))))</f>
        <v> </v>
      </c>
      <c r="J4342" s="25" t="str">
        <f>IF(OR(E4342="",E4342="!!!",F4342="NEW"),"",COUNTBLANK(OFFSET(A$1,,,SUMPRODUCT(MAX(ROW(E$2:E4342)*(E4342=E$2:E4342)))))-COUNTBLANK(OFFSET(A$1,,,SUMPRODUCT(MAX(ROW(E$1:E4341)*(E2=E$1:E4341))))))</f>
        <v> </v>
      </c>
      <c r="K4342" s="25" t="str">
        <f>IF(OR(E4342="",E4342="!!!",F4342="NEW"),"",INDEX(J$1:J4341,SUMPRODUCT(MAX(ROW(E$1:E4341)*(E4342=E$1:E4341)))))</f>
        <v> </v>
      </c>
      <c r="L4342" s="26"/>
    </row>
    <row r="4343" spans="1:12">
      <c r="A4343" s="20" t="s">
        <v>699</v>
      </c>
      <c r="E4343" s="21">
        <f>IF(D4343="?OLD","!!!","")</f>
        <v/>
      </c>
      <c r="F4343" s="22" t="str">
        <f>IF(OR(E4343="",E4343="!!!"),"",IF(NOT(ISNA(VLOOKUP(E4343,E$1:E4342,1,FALSE()))),"OLD",IF(AND(E4343&lt;&gt;"",E4343&lt;&gt;"!!!"),"NEW","")))</f>
        <v> </v>
      </c>
      <c r="G4343" s="23" t="str">
        <f>IF(OR(E4343="",E4343="!!!"),"",IF(OR(J4343=0,AND(J4343=1,K4343=1),AND(J4343=1,I4343="SBJ"),AND(J4343=1,I4343=0)),"?IN_FOCUS",IF(J4343&lt;=2,"?ACTIVATED",IF(J4343&lt;&gt;"","?FAMILIAR",IF(F4343="NEW",IF(ISNA(VLOOKUP(E4343,#REF!,1,FALSE())),"?TYPE_IDENTIFIABLE","?REFERENTIAL"),"_")))))</f>
        <v> </v>
      </c>
      <c r="H4343" s="24" t="str">
        <f>IF(J4343&lt;&gt;1,"",IF(I4343="SBJ","CB","?"))</f>
        <v> </v>
      </c>
      <c r="I4343" s="25" t="str">
        <f>IF(OR(E4343="",E4343="!!!",F4343="NEW"),"",INDEX(B4342:B$2,-1+SUMPRODUCT(MAX(ROW(E4342:E$2)*(E4343=E4342:E$2)))))</f>
        <v> </v>
      </c>
      <c r="J4343" s="25" t="str">
        <f>IF(OR(E4343="",E4343="!!!",F4343="NEW"),"",COUNTBLANK(OFFSET(A$1,,,SUMPRODUCT(MAX(ROW(E$2:E4343)*(E4343=E$2:E4343)))))-COUNTBLANK(OFFSET(A$1,,,SUMPRODUCT(MAX(ROW(E$1:E4342)*(E2=E$1:E4342))))))</f>
        <v> </v>
      </c>
      <c r="K4343" s="25" t="str">
        <f>IF(OR(E4343="",E4343="!!!",F4343="NEW"),"",INDEX(J$1:J4342,SUMPRODUCT(MAX(ROW(E$1:E4342)*(E4343=E$1:E4342)))))</f>
        <v> </v>
      </c>
      <c r="L4343" s="26"/>
    </row>
    <row r="4344" spans="1:12">
      <c r="A4344" s="20"/>
    </row>
    <row r="4345" spans="1:12">
      <c r="A4345" s="20" t="s">
        <v>1781</v>
      </c>
    </row>
    <row r="4346" spans="1:12">
      <c r="A4346" s="20" t="s">
        <v>1625</v>
      </c>
      <c r="E4346" s="21">
        <f>IF(D4346="?OLD","!!!","")</f>
        <v/>
      </c>
      <c r="F4346" s="22" t="str">
        <f>IF(OR(E4346="",E4346="!!!"),"",IF(NOT(ISNA(VLOOKUP(E4346,E$1:E4345,1,FALSE()))),"OLD",IF(AND(E4346&lt;&gt;"",E4346&lt;&gt;"!!!"),"NEW","")))</f>
        <v> </v>
      </c>
      <c r="G4346" s="23" t="str">
        <f>IF(OR(E4346="",E4346="!!!"),"",IF(OR(J4346=0,AND(J4346=1,K4346=1),AND(J4346=1,I4346="SBJ"),AND(J4346=1,I4346=0)),"?IN_FOCUS",IF(J4346&lt;=2,"?ACTIVATED",IF(J4346&lt;&gt;"","?FAMILIAR",IF(F4346="NEW",IF(ISNA(VLOOKUP(E4346,#REF!,1,FALSE())),"?TYPE_IDENTIFIABLE","?REFERENTIAL"),"_")))))</f>
        <v> </v>
      </c>
      <c r="H4346" s="24" t="str">
        <f>IF(J4346&lt;&gt;1,"",IF(I4346="SBJ","CB","?"))</f>
        <v> </v>
      </c>
      <c r="I4346" s="25" t="str">
        <f>IF(OR(E4346="",E4346="!!!",F4346="NEW"),"",INDEX(B4345:B$2,-1+SUMPRODUCT(MAX(ROW(E4345:E$2)*(E4346=E4345:E$2)))))</f>
        <v> </v>
      </c>
      <c r="J4346" s="25" t="str">
        <f>IF(OR(E4346="",E4346="!!!",F4346="NEW"),"",COUNTBLANK(OFFSET(A$1,,,SUMPRODUCT(MAX(ROW(E$2:E4346)*(E4346=E$2:E4346)))))-COUNTBLANK(OFFSET(A$1,,,SUMPRODUCT(MAX(ROW(E$1:E4345)*(E2=E$1:E4345))))))</f>
        <v> </v>
      </c>
      <c r="K4346" s="25" t="str">
        <f>IF(OR(E4346="",E4346="!!!",F4346="NEW"),"",INDEX(J$1:J4345,SUMPRODUCT(MAX(ROW(E$1:E4345)*(E4346=E$1:E4345)))))</f>
        <v> </v>
      </c>
      <c r="L4346" s="26"/>
    </row>
    <row r="4347" spans="1:12">
      <c r="A4347" s="20" t="s">
        <v>588</v>
      </c>
      <c r="B4347" s="27" t="s">
        <v>698</v>
      </c>
      <c r="C4347" s="27" t="s">
        <v>887</v>
      </c>
      <c r="D4347" s="27" t="s">
        <v>694</v>
      </c>
      <c r="E4347" s="21">
        <f>IF(D4347="?OLD","!!!","")</f>
        <v/>
      </c>
      <c r="F4347" s="22" t="str">
        <f>IF(OR(E4347="",E4347="!!!"),"",IF(NOT(ISNA(VLOOKUP(E4347,E$1:E4346,1,FALSE()))),"OLD",IF(AND(E4347&lt;&gt;"",E4347&lt;&gt;"!!!"),"NEW","")))</f>
        <v> </v>
      </c>
      <c r="G4347" s="23" t="str">
        <f>IF(OR(E4347="",E4347="!!!"),"",IF(OR(J4347=0,AND(J4347=1,K4347=1),AND(J4347=1,I4347="SBJ"),AND(J4347=1,I4347=0)),"?IN_FOCUS",IF(J4347&lt;=2,"?ACTIVATED",IF(J4347&lt;&gt;"","?FAMILIAR",IF(F4347="NEW",IF(ISNA(VLOOKUP(E4347,#REF!,1,FALSE())),"?TYPE_IDENTIFIABLE","?REFERENTIAL"),"_")))))</f>
        <v> </v>
      </c>
      <c r="H4347" s="24" t="str">
        <f>IF(J4347&lt;&gt;1,"",IF(I4347="SBJ","CB","?"))</f>
        <v> </v>
      </c>
      <c r="I4347" s="25" t="str">
        <f>IF(OR(E4347="",E4347="!!!",F4347="NEW"),"",INDEX(B4346:B$2,-1+SUMPRODUCT(MAX(ROW(E4346:E$2)*(E4347=E4346:E$2)))))</f>
        <v> </v>
      </c>
      <c r="J4347" s="25" t="str">
        <f>IF(OR(E4347="",E4347="!!!",F4347="NEW"),"",COUNTBLANK(OFFSET(A$1,,,SUMPRODUCT(MAX(ROW(E$2:E4347)*(E4347=E$2:E4347)))))-COUNTBLANK(OFFSET(A$1,,,SUMPRODUCT(MAX(ROW(E$1:E4346)*(E2=E$1:E4346))))))</f>
        <v> </v>
      </c>
      <c r="K4347" s="25" t="str">
        <f>IF(OR(E4347="",E4347="!!!",F4347="NEW"),"",INDEX(J$1:J4346,SUMPRODUCT(MAX(ROW(E$1:E4346)*(E4347=E$1:E4346)))))</f>
        <v> </v>
      </c>
      <c r="L4347" s="26"/>
    </row>
    <row r="4348" spans="1:12">
      <c r="A4348" s="20" t="s">
        <v>1644</v>
      </c>
      <c r="B4348" s="27" t="s">
        <v>698</v>
      </c>
      <c r="C4348" s="27" t="s">
        <v>887</v>
      </c>
      <c r="D4348" s="27" t="s">
        <v>694</v>
      </c>
      <c r="E4348" s="21">
        <f>IF(D4348="?OLD","!!!","")</f>
        <v/>
      </c>
      <c r="F4348" s="22" t="str">
        <f>IF(OR(E4348="",E4348="!!!"),"",IF(NOT(ISNA(VLOOKUP(E4348,E$1:E4347,1,FALSE()))),"OLD",IF(AND(E4348&lt;&gt;"",E4348&lt;&gt;"!!!"),"NEW","")))</f>
        <v> </v>
      </c>
      <c r="G4348" s="23" t="str">
        <f>IF(OR(E4348="",E4348="!!!"),"",IF(OR(J4348=0,AND(J4348=1,K4348=1),AND(J4348=1,I4348="SBJ"),AND(J4348=1,I4348=0)),"?IN_FOCUS",IF(J4348&lt;=2,"?ACTIVATED",IF(J4348&lt;&gt;"","?FAMILIAR",IF(F4348="NEW",IF(ISNA(VLOOKUP(E4348,#REF!,1,FALSE())),"?TYPE_IDENTIFIABLE","?REFERENTIAL"),"_")))))</f>
        <v> </v>
      </c>
      <c r="H4348" s="24" t="str">
        <f>IF(J4348&lt;&gt;1,"",IF(I4348="SBJ","CB","?"))</f>
        <v> </v>
      </c>
      <c r="I4348" s="25" t="str">
        <f>IF(OR(E4348="",E4348="!!!",F4348="NEW"),"",INDEX(B4347:B$2,-1+SUMPRODUCT(MAX(ROW(E4347:E$2)*(E4348=E4347:E$2)))))</f>
        <v> </v>
      </c>
      <c r="J4348" s="25" t="str">
        <f>IF(OR(E4348="",E4348="!!!",F4348="NEW"),"",COUNTBLANK(OFFSET(A$1,,,SUMPRODUCT(MAX(ROW(E$2:E4348)*(E4348=E$2:E4348)))))-COUNTBLANK(OFFSET(A$1,,,SUMPRODUCT(MAX(ROW(E$1:E4347)*(E2=E$1:E4347))))))</f>
        <v> </v>
      </c>
      <c r="K4348" s="25" t="str">
        <f>IF(OR(E4348="",E4348="!!!",F4348="NEW"),"",INDEX(J$1:J4347,SUMPRODUCT(MAX(ROW(E$1:E4347)*(E4348=E$1:E4347)))))</f>
        <v> </v>
      </c>
      <c r="L4348" s="26"/>
    </row>
    <row r="4349" spans="1:12">
      <c r="A4349" s="20" t="s">
        <v>699</v>
      </c>
      <c r="E4349" s="21">
        <f>IF(D4349="?OLD","!!!","")</f>
        <v/>
      </c>
      <c r="F4349" s="22" t="str">
        <f>IF(OR(E4349="",E4349="!!!"),"",IF(NOT(ISNA(VLOOKUP(E4349,E$1:E4348,1,FALSE()))),"OLD",IF(AND(E4349&lt;&gt;"",E4349&lt;&gt;"!!!"),"NEW","")))</f>
        <v> </v>
      </c>
      <c r="G4349" s="23" t="str">
        <f>IF(OR(E4349="",E4349="!!!"),"",IF(OR(J4349=0,AND(J4349=1,K4349=1),AND(J4349=1,I4349="SBJ"),AND(J4349=1,I4349=0)),"?IN_FOCUS",IF(J4349&lt;=2,"?ACTIVATED",IF(J4349&lt;&gt;"","?FAMILIAR",IF(F4349="NEW",IF(ISNA(VLOOKUP(E4349,#REF!,1,FALSE())),"?TYPE_IDENTIFIABLE","?REFERENTIAL"),"_")))))</f>
        <v> </v>
      </c>
      <c r="H4349" s="24" t="str">
        <f>IF(J4349&lt;&gt;1,"",IF(I4349="SBJ","CB","?"))</f>
        <v> </v>
      </c>
      <c r="I4349" s="25" t="str">
        <f>IF(OR(E4349="",E4349="!!!",F4349="NEW"),"",INDEX(B4348:B$2,-1+SUMPRODUCT(MAX(ROW(E4348:E$2)*(E4349=E4348:E$2)))))</f>
        <v> </v>
      </c>
      <c r="J4349" s="25" t="str">
        <f>IF(OR(E4349="",E4349="!!!",F4349="NEW"),"",COUNTBLANK(OFFSET(A$1,,,SUMPRODUCT(MAX(ROW(E$2:E4349)*(E4349=E$2:E4349)))))-COUNTBLANK(OFFSET(A$1,,,SUMPRODUCT(MAX(ROW(E$1:E4348)*(E2=E$1:E4348))))))</f>
        <v> </v>
      </c>
      <c r="K4349" s="25" t="str">
        <f>IF(OR(E4349="",E4349="!!!",F4349="NEW"),"",INDEX(J$1:J4348,SUMPRODUCT(MAX(ROW(E$1:E4348)*(E4349=E$1:E4348)))))</f>
        <v> </v>
      </c>
      <c r="L4349" s="26"/>
    </row>
    <row r="4350" spans="1:12">
      <c r="A4350"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2024-12-05T18:00:39Z</dcterms:created>
  <dcterms:modified xsi:type="dcterms:W3CDTF">2024-12-05T18:00:39Z</dcterms:modified>
</cp:coreProperties>
</file>