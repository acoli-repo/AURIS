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<sst xmlns="http://schemas.openxmlformats.org/spreadsheetml/2006/main" count="4354" uniqueCount="966">
  <si>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</si>
  <si>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</si>
  <si>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</si>
  <si>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</si>
  <si>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</si>
  <si>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</si>
  <si>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</si>
  <si>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</si>
  <si>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</si>
  <si>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</si>
  <si>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</si>
  <si>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</si>
  <si>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talkid: 1927</t>
  </si>
  <si>
    <t xml:space="preserve">talkid</t>
  </si>
  <si>
    <t xml:space="preserve">other</t>
  </si>
  <si>
    <t xml:space="preserve">indef-np.quant</t>
  </si>
  <si>
    <t xml:space="preserve">:</t>
  </si>
  <si>
    <t xml:space="preserve"># text = Chris McKnett:</t>
  </si>
  <si>
    <t xml:space="preserve">Chris</t>
  </si>
  <si>
    <t xml:space="preserve">ne</t>
  </si>
  <si>
    <t xml:space="preserve">?OLD</t>
  </si>
  <si>
    <t xml:space="preserve">author</t>
  </si>
  <si>
    <t xml:space="preserve">McKnett</t>
  </si>
  <si>
    <t xml:space="preserve"># text = The investment logic for sustainability</t>
  </si>
  <si>
    <t xml:space="preserve">The</t>
  </si>
  <si>
    <t xml:space="preserve">investment</t>
  </si>
  <si>
    <t xml:space="preserve">logic</t>
  </si>
  <si>
    <t xml:space="preserve">def-np.the</t>
  </si>
  <si>
    <t xml:space="preserve">headline</t>
  </si>
  <si>
    <t xml:space="preserve">for</t>
  </si>
  <si>
    <t xml:space="preserve">sustainability</t>
  </si>
  <si>
    <t xml:space="preserve">indef-np.bare</t>
  </si>
  <si>
    <t xml:space="preserve"># text = The world is changing in some really profound ways, and I worry that investors aren't paying enough attention to some of the biggest drivers of change, especially when it comes to sustainability.</t>
  </si>
  <si>
    <t xml:space="preserve">world</t>
  </si>
  <si>
    <t xml:space="preserve">SBJ</t>
  </si>
  <si>
    <t xml:space="preserve">SIT</t>
  </si>
  <si>
    <t xml:space="preserve">FAMILIAR</t>
  </si>
  <si>
    <t xml:space="preserve">is</t>
  </si>
  <si>
    <t xml:space="preserve">changing</t>
  </si>
  <si>
    <t xml:space="preserve">in</t>
  </si>
  <si>
    <t xml:space="preserve">some</t>
  </si>
  <si>
    <t xml:space="preserve">really</t>
  </si>
  <si>
    <t xml:space="preserve">profound</t>
  </si>
  <si>
    <t xml:space="preserve">ways</t>
  </si>
  <si>
    <t xml:space="preserve">,</t>
  </si>
  <si>
    <t xml:space="preserve">and</t>
  </si>
  <si>
    <t xml:space="preserve">I</t>
  </si>
  <si>
    <t xml:space="preserve">SBJ_2</t>
  </si>
  <si>
    <t xml:space="preserve">pron.pper</t>
  </si>
  <si>
    <t xml:space="preserve">mcknett</t>
  </si>
  <si>
    <t xml:space="preserve">worry</t>
  </si>
  <si>
    <t xml:space="preserve">that</t>
  </si>
  <si>
    <t xml:space="preserve">investors</t>
  </si>
  <si>
    <t xml:space="preserve">SBJ_3</t>
  </si>
  <si>
    <t xml:space="preserve">are</t>
  </si>
  <si>
    <t xml:space="preserve">n't</t>
  </si>
  <si>
    <t xml:space="preserve">paying</t>
  </si>
  <si>
    <t xml:space="preserve">enough</t>
  </si>
  <si>
    <t xml:space="preserve">attention</t>
  </si>
  <si>
    <t xml:space="preserve">OBJ_3</t>
  </si>
  <si>
    <t xml:space="preserve">to</t>
  </si>
  <si>
    <t xml:space="preserve">of</t>
  </si>
  <si>
    <t xml:space="preserve">the</t>
  </si>
  <si>
    <t xml:space="preserve">biggest</t>
  </si>
  <si>
    <t xml:space="preserve">drivers</t>
  </si>
  <si>
    <t xml:space="preserve">other_4</t>
  </si>
  <si>
    <t xml:space="preserve">drivers_of_change</t>
  </si>
  <si>
    <t xml:space="preserve">REFERENTIAL</t>
  </si>
  <si>
    <t xml:space="preserve">change</t>
  </si>
  <si>
    <t xml:space="preserve">other_5</t>
  </si>
  <si>
    <t xml:space="preserve">especially</t>
  </si>
  <si>
    <t xml:space="preserve">when</t>
  </si>
  <si>
    <t xml:space="preserve">it</t>
  </si>
  <si>
    <t xml:space="preserve">EXPL</t>
  </si>
  <si>
    <t xml:space="preserve">comes</t>
  </si>
  <si>
    <t xml:space="preserve">other_2</t>
  </si>
  <si>
    <t xml:space="preserve">.</t>
  </si>
  <si>
    <t xml:space="preserve"># text = And by sustainability, I mean the really juicy things, like environmental and social issues and corporate governance.</t>
  </si>
  <si>
    <t xml:space="preserve">And</t>
  </si>
  <si>
    <t xml:space="preserve">by</t>
  </si>
  <si>
    <t xml:space="preserve">ACTIVATED</t>
  </si>
  <si>
    <t xml:space="preserve">syntactically higher than sustainability</t>
  </si>
  <si>
    <t xml:space="preserve">mean</t>
  </si>
  <si>
    <t xml:space="preserve">juicy</t>
  </si>
  <si>
    <t xml:space="preserve">things</t>
  </si>
  <si>
    <t xml:space="preserve">OBJ</t>
  </si>
  <si>
    <t xml:space="preserve">PRED</t>
  </si>
  <si>
    <t xml:space="preserve">FOCUS</t>
  </si>
  <si>
    <t xml:space="preserve">like</t>
  </si>
  <si>
    <t xml:space="preserve">environmental</t>
  </si>
  <si>
    <t xml:space="preserve">environmental_issues</t>
  </si>
  <si>
    <t xml:space="preserve">social</t>
  </si>
  <si>
    <t xml:space="preserve">issues</t>
  </si>
  <si>
    <t xml:space="preserve">social_issues</t>
  </si>
  <si>
    <t xml:space="preserve">corporate</t>
  </si>
  <si>
    <t xml:space="preserve">governance</t>
  </si>
  <si>
    <t xml:space="preserve">other_3</t>
  </si>
  <si>
    <t xml:space="preserve">corporate_governance</t>
  </si>
  <si>
    <t xml:space="preserve"># text = I think it's reckless to ignore these things, because doing so can jeopardize future long-term returns.</t>
  </si>
  <si>
    <t xml:space="preserve">think</t>
  </si>
  <si>
    <t xml:space="preserve">'s</t>
  </si>
  <si>
    <t xml:space="preserve">reckless</t>
  </si>
  <si>
    <t xml:space="preserve">ignore</t>
  </si>
  <si>
    <t xml:space="preserve">these</t>
  </si>
  <si>
    <t xml:space="preserve">def-np.dem</t>
  </si>
  <si>
    <t xml:space="preserve">OLD</t>
  </si>
  <si>
    <t xml:space="preserve">because</t>
  </si>
  <si>
    <t xml:space="preserve">doing</t>
  </si>
  <si>
    <t xml:space="preserve">so</t>
  </si>
  <si>
    <t xml:space="preserve">can</t>
  </si>
  <si>
    <t xml:space="preserve">jeopardize</t>
  </si>
  <si>
    <t xml:space="preserve">future</t>
  </si>
  <si>
    <t xml:space="preserve">long</t>
  </si>
  <si>
    <t xml:space="preserve">_</t>
  </si>
  <si>
    <t xml:space="preserve">term</t>
  </si>
  <si>
    <t xml:space="preserve">returns</t>
  </si>
  <si>
    <t xml:space="preserve">OBJ_4</t>
  </si>
  <si>
    <t xml:space="preserve"># text = And here's something that may surprise you: the balance of power to really influence sustainability rests with institutional investors, the large investors like pension funds, foundations and endowments.</t>
  </si>
  <si>
    <t xml:space="preserve">here</t>
  </si>
  <si>
    <t xml:space="preserve">pron.padv</t>
  </si>
  <si>
    <t xml:space="preserve">something</t>
  </si>
  <si>
    <t xml:space="preserve">pron</t>
  </si>
  <si>
    <t xml:space="preserve">power_rests_with_investors</t>
  </si>
  <si>
    <t xml:space="preserve">CAT</t>
  </si>
  <si>
    <t xml:space="preserve">because it is the controller, we need to annotate rest below</t>
  </si>
  <si>
    <t xml:space="preserve">may</t>
  </si>
  <si>
    <t xml:space="preserve">surprise</t>
  </si>
  <si>
    <t xml:space="preserve">you</t>
  </si>
  <si>
    <t xml:space="preserve">reader</t>
  </si>
  <si>
    <t xml:space="preserve">balance</t>
  </si>
  <si>
    <t xml:space="preserve">balance_of_power</t>
  </si>
  <si>
    <t xml:space="preserve">TYPE</t>
  </si>
  <si>
    <t xml:space="preserve">power</t>
  </si>
  <si>
    <t xml:space="preserve">power_to_influence_sustainability</t>
  </si>
  <si>
    <t xml:space="preserve">influence</t>
  </si>
  <si>
    <t xml:space="preserve">annotation error: this is an indef. np</t>
  </si>
  <si>
    <t xml:space="preserve">rests</t>
  </si>
  <si>
    <t xml:space="preserve">NEW</t>
  </si>
  <si>
    <t xml:space="preserve">annotation error: this is a verb</t>
  </si>
  <si>
    <t xml:space="preserve">with</t>
  </si>
  <si>
    <t xml:space="preserve">institutional</t>
  </si>
  <si>
    <t xml:space="preserve">large</t>
  </si>
  <si>
    <t xml:space="preserve">pension</t>
  </si>
  <si>
    <t xml:space="preserve">funds</t>
  </si>
  <si>
    <t xml:space="preserve">we need a part_of relation</t>
  </si>
  <si>
    <t xml:space="preserve">foundations</t>
  </si>
  <si>
    <t xml:space="preserve">endowments</t>
  </si>
  <si>
    <t xml:space="preserve"># text = I believe that sustainable investing is less complicated than you think, better-performing than you believe, and more important than we can imagine.</t>
  </si>
  <si>
    <t xml:space="preserve">believe</t>
  </si>
  <si>
    <t xml:space="preserve">sustainable</t>
  </si>
  <si>
    <t xml:space="preserve">investing</t>
  </si>
  <si>
    <t xml:space="preserve">sustainable_investment</t>
  </si>
  <si>
    <t xml:space="preserve">less</t>
  </si>
  <si>
    <t xml:space="preserve">complicated</t>
  </si>
  <si>
    <t xml:space="preserve">than</t>
  </si>
  <si>
    <t xml:space="preserve">only CB candidate</t>
  </si>
  <si>
    <t xml:space="preserve">better</t>
  </si>
  <si>
    <t xml:space="preserve">performing</t>
  </si>
  <si>
    <t xml:space="preserve">SBJ_5</t>
  </si>
  <si>
    <t xml:space="preserve">more</t>
  </si>
  <si>
    <t xml:space="preserve">important</t>
  </si>
  <si>
    <t xml:space="preserve">we</t>
  </si>
  <si>
    <t xml:space="preserve">SBJ_6</t>
  </si>
  <si>
    <t xml:space="preserve">we&gt;mcknett,reader</t>
  </si>
  <si>
    <t xml:space="preserve">GROUP</t>
  </si>
  <si>
    <t xml:space="preserve">imagine</t>
  </si>
  <si>
    <t xml:space="preserve"># text = Let me remind you what we already know.</t>
  </si>
  <si>
    <t xml:space="preserve">Let</t>
  </si>
  <si>
    <t xml:space="preserve">me</t>
  </si>
  <si>
    <t xml:space="preserve">remind</t>
  </si>
  <si>
    <t xml:space="preserve">OBJ_2</t>
  </si>
  <si>
    <t xml:space="preserve">what</t>
  </si>
  <si>
    <t xml:space="preserve">pron.pint</t>
  </si>
  <si>
    <t xml:space="preserve">SBJ_4</t>
  </si>
  <si>
    <t xml:space="preserve">already</t>
  </si>
  <si>
    <t xml:space="preserve">know</t>
  </si>
  <si>
    <t xml:space="preserve">#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</si>
  <si>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 xml:space="preserve">We</t>
  </si>
  <si>
    <t xml:space="preserve">have</t>
  </si>
  <si>
    <t xml:space="preserve">a</t>
  </si>
  <si>
    <t xml:space="preserve">population</t>
  </si>
  <si>
    <t xml:space="preserve">indef-np.a</t>
  </si>
  <si>
    <t xml:space="preserve">both</t>
  </si>
  <si>
    <t xml:space="preserve">growing</t>
  </si>
  <si>
    <t xml:space="preserve">aging</t>
  </si>
  <si>
    <t xml:space="preserve">;</t>
  </si>
  <si>
    <t xml:space="preserve">seven</t>
  </si>
  <si>
    <t xml:space="preserve">billion</t>
  </si>
  <si>
    <t xml:space="preserve">souls</t>
  </si>
  <si>
    <t xml:space="preserve">today</t>
  </si>
  <si>
    <t xml:space="preserve">heading</t>
  </si>
  <si>
    <t xml:space="preserve">at</t>
  </si>
  <si>
    <t xml:space="preserve">end</t>
  </si>
  <si>
    <t xml:space="preserve">end_of_century</t>
  </si>
  <si>
    <t xml:space="preserve">century</t>
  </si>
  <si>
    <t xml:space="preserve">consume</t>
  </si>
  <si>
    <t xml:space="preserve">consumption_of_resources</t>
  </si>
  <si>
    <t xml:space="preserve">antecedent of these below</t>
  </si>
  <si>
    <t xml:space="preserve">natural</t>
  </si>
  <si>
    <t xml:space="preserve">resources</t>
  </si>
  <si>
    <t xml:space="preserve">natural_resources</t>
  </si>
  <si>
    <t xml:space="preserve">faster</t>
  </si>
  <si>
    <t xml:space="preserve">they</t>
  </si>
  <si>
    <t xml:space="preserve">be</t>
  </si>
  <si>
    <t xml:space="preserve">replenished</t>
  </si>
  <si>
    <t xml:space="preserve">emissions</t>
  </si>
  <si>
    <t xml:space="preserve">mainly</t>
  </si>
  <si>
    <t xml:space="preserve">responsible</t>
  </si>
  <si>
    <t xml:space="preserve">climate</t>
  </si>
  <si>
    <t xml:space="preserve">just</t>
  </si>
  <si>
    <t xml:space="preserve">keep</t>
  </si>
  <si>
    <t xml:space="preserve">increasing</t>
  </si>
  <si>
    <t xml:space="preserve"># text = Now clearly, these are environmental and social issues, but that's not all.</t>
  </si>
  <si>
    <t xml:space="preserve">Now</t>
  </si>
  <si>
    <t xml:space="preserve">clearly</t>
  </si>
  <si>
    <t xml:space="preserve">pron.pds</t>
  </si>
  <si>
    <t xml:space="preserve">issues&gt;emissions,consumption_of_resources</t>
  </si>
  <si>
    <t xml:space="preserve">issues_are_environmental_and_social_issues</t>
  </si>
  <si>
    <t xml:space="preserve">but</t>
  </si>
  <si>
    <t xml:space="preserve">not</t>
  </si>
  <si>
    <t xml:space="preserve">all</t>
  </si>
  <si>
    <t xml:space="preserve"># text = They're economic issues, and that makes them relevant to risk and return.</t>
  </si>
  <si>
    <t xml:space="preserve">They</t>
  </si>
  <si>
    <t xml:space="preserve">'re</t>
  </si>
  <si>
    <t xml:space="preserve">issues_are_economic</t>
  </si>
  <si>
    <t xml:space="preserve">economic</t>
  </si>
  <si>
    <t xml:space="preserve">economic_issues</t>
  </si>
  <si>
    <t xml:space="preserve">makes</t>
  </si>
  <si>
    <t xml:space="preserve">them</t>
  </si>
  <si>
    <t xml:space="preserve">relevant</t>
  </si>
  <si>
    <t xml:space="preserve">risk</t>
  </si>
  <si>
    <t xml:space="preserve">return</t>
  </si>
  <si>
    <t xml:space="preserve"># text = And they are really complex and they can seem really far off, that the temptation may be to do this: bury our heads in the sand and not think about it.</t>
  </si>
  <si>
    <t xml:space="preserve">complex</t>
  </si>
  <si>
    <t xml:space="preserve">seem</t>
  </si>
  <si>
    <t xml:space="preserve">far</t>
  </si>
  <si>
    <t xml:space="preserve">off</t>
  </si>
  <si>
    <t xml:space="preserve">temptation</t>
  </si>
  <si>
    <t xml:space="preserve">GEN</t>
  </si>
  <si>
    <t xml:space="preserve">do</t>
  </si>
  <si>
    <t xml:space="preserve">this</t>
  </si>
  <si>
    <t xml:space="preserve">bury_our_heads</t>
  </si>
  <si>
    <t xml:space="preserve">bury</t>
  </si>
  <si>
    <t xml:space="preserve">our</t>
  </si>
  <si>
    <t xml:space="preserve">pron.ppos</t>
  </si>
  <si>
    <t xml:space="preserve">heads</t>
  </si>
  <si>
    <t xml:space="preserve">def-np.poss</t>
  </si>
  <si>
    <t xml:space="preserve">IDIOM</t>
  </si>
  <si>
    <t xml:space="preserve">sand</t>
  </si>
  <si>
    <t xml:space="preserve">about</t>
  </si>
  <si>
    <t xml:space="preserve"># text = Resist this, if you can.</t>
  </si>
  <si>
    <t xml:space="preserve">Resist</t>
  </si>
  <si>
    <t xml:space="preserve">if</t>
  </si>
  <si>
    <t xml:space="preserve"># text = Don't do this at home.</t>
  </si>
  <si>
    <t xml:space="preserve">Do</t>
  </si>
  <si>
    <t xml:space="preserve">home</t>
  </si>
  <si>
    <t xml:space="preserve"># text = (Laughter)</t>
  </si>
  <si>
    <t xml:space="preserve">(</t>
  </si>
  <si>
    <t xml:space="preserve">Laughter</t>
  </si>
  <si>
    <t xml:space="preserve">not part of text</t>
  </si>
  <si>
    <t xml:space="preserve">)</t>
  </si>
  <si>
    <t xml:space="preserve"># text = But it makes me wonder if the investment rules of today are fit for purpose tomorrow.</t>
  </si>
  <si>
    <t xml:space="preserve">But</t>
  </si>
  <si>
    <t xml:space="preserve">wonder</t>
  </si>
  <si>
    <t xml:space="preserve">rules</t>
  </si>
  <si>
    <t xml:space="preserve">investment_rules</t>
  </si>
  <si>
    <t xml:space="preserve">fit</t>
  </si>
  <si>
    <t xml:space="preserve">purpose</t>
  </si>
  <si>
    <t xml:space="preserve">tomorrow</t>
  </si>
  <si>
    <t xml:space="preserve"># text = We know that investors, when they look at a company and decide whether to invest, they look at financial data, metrics like sales growth, cash flow, market share, valuation -- you know, the really sexy stuff.</t>
  </si>
  <si>
    <t xml:space="preserve">look</t>
  </si>
  <si>
    <t xml:space="preserve">company</t>
  </si>
  <si>
    <t xml:space="preserve">decide</t>
  </si>
  <si>
    <t xml:space="preserve">whether</t>
  </si>
  <si>
    <t xml:space="preserve">invest</t>
  </si>
  <si>
    <t xml:space="preserve">financial</t>
  </si>
  <si>
    <t xml:space="preserve">data</t>
  </si>
  <si>
    <t xml:space="preserve">financial_data</t>
  </si>
  <si>
    <t xml:space="preserve">metrics</t>
  </si>
  <si>
    <t xml:space="preserve">sales</t>
  </si>
  <si>
    <t xml:space="preserve">growth</t>
  </si>
  <si>
    <t xml:space="preserve">cash</t>
  </si>
  <si>
    <t xml:space="preserve">flow</t>
  </si>
  <si>
    <t xml:space="preserve">market</t>
  </si>
  <si>
    <t xml:space="preserve">share</t>
  </si>
  <si>
    <t xml:space="preserve">valuation</t>
  </si>
  <si>
    <t xml:space="preserve">sexy</t>
  </si>
  <si>
    <t xml:space="preserve">stuff</t>
  </si>
  <si>
    <t xml:space="preserve"># text = And these things are fundamental, of course, but they're not enough.</t>
  </si>
  <si>
    <t xml:space="preserve">fundamental</t>
  </si>
  <si>
    <t xml:space="preserve">course</t>
  </si>
  <si>
    <t xml:space="preserve"># text = Investors should also look at performance metrics in what we call ESG: environment, social and governance.</t>
  </si>
  <si>
    <t xml:space="preserve">Investors</t>
  </si>
  <si>
    <t xml:space="preserve">should</t>
  </si>
  <si>
    <t xml:space="preserve">also</t>
  </si>
  <si>
    <t xml:space="preserve">performance</t>
  </si>
  <si>
    <t xml:space="preserve">there is an inclusive we and an exclusive we, I assume it’s inclusive</t>
  </si>
  <si>
    <t xml:space="preserve">call</t>
  </si>
  <si>
    <t xml:space="preserve">ESG</t>
  </si>
  <si>
    <t xml:space="preserve">annotation error: not a pronoun</t>
  </si>
  <si>
    <t xml:space="preserve">environment</t>
  </si>
  <si>
    <t xml:space="preserve"># text = Environment includes energy consumption, water availability, waste and pollution, just making efficient uses of resources.</t>
  </si>
  <si>
    <t xml:space="preserve">Environment</t>
  </si>
  <si>
    <t xml:space="preserve">includes</t>
  </si>
  <si>
    <t xml:space="preserve">energy</t>
  </si>
  <si>
    <t xml:space="preserve">consumption</t>
  </si>
  <si>
    <t xml:space="preserve">water</t>
  </si>
  <si>
    <t xml:space="preserve">availability</t>
  </si>
  <si>
    <t xml:space="preserve">waste</t>
  </si>
  <si>
    <t xml:space="preserve">pollution</t>
  </si>
  <si>
    <t xml:space="preserve">making</t>
  </si>
  <si>
    <t xml:space="preserve">efficient</t>
  </si>
  <si>
    <t xml:space="preserve">uses</t>
  </si>
  <si>
    <t xml:space="preserve"># text = Social includes human capital, things like employee engagement and innovation capacity, as well as supply chain management and labor rights and human rights.</t>
  </si>
  <si>
    <t xml:space="preserve">Social</t>
  </si>
  <si>
    <t xml:space="preserve">CB, if preceding utterance is U_n-2</t>
  </si>
  <si>
    <t xml:space="preserve">human</t>
  </si>
  <si>
    <t xml:space="preserve">capital</t>
  </si>
  <si>
    <t xml:space="preserve">employee</t>
  </si>
  <si>
    <t xml:space="preserve">engagement</t>
  </si>
  <si>
    <t xml:space="preserve">innovation</t>
  </si>
  <si>
    <t xml:space="preserve">capacity</t>
  </si>
  <si>
    <t xml:space="preserve">as</t>
  </si>
  <si>
    <t xml:space="preserve">well</t>
  </si>
  <si>
    <t xml:space="preserve">supply</t>
  </si>
  <si>
    <t xml:space="preserve">chain</t>
  </si>
  <si>
    <t xml:space="preserve">management</t>
  </si>
  <si>
    <t xml:space="preserve">labor</t>
  </si>
  <si>
    <t xml:space="preserve">rights</t>
  </si>
  <si>
    <t xml:space="preserve"># text = And governance relates to the oversight of companies by their boards and investors.</t>
  </si>
  <si>
    <t xml:space="preserve">relates</t>
  </si>
  <si>
    <t xml:space="preserve">oversight</t>
  </si>
  <si>
    <t xml:space="preserve">oversight_of_companies</t>
  </si>
  <si>
    <t xml:space="preserve">companies</t>
  </si>
  <si>
    <t xml:space="preserve">their</t>
  </si>
  <si>
    <t xml:space="preserve">boards</t>
  </si>
  <si>
    <t xml:space="preserve">company_boards</t>
  </si>
  <si>
    <t xml:space="preserve"># text = See, I told you this is the really juicy stuff.</t>
  </si>
  <si>
    <t xml:space="preserve">See</t>
  </si>
  <si>
    <t xml:space="preserve">told</t>
  </si>
  <si>
    <t xml:space="preserve"># text = But ESG is the measure of sustainability, and sustainable investing incorporates ESG factors with financial factors into the investment process.</t>
  </si>
  <si>
    <t xml:space="preserve">measure</t>
  </si>
  <si>
    <t xml:space="preserve">incorporates</t>
  </si>
  <si>
    <t xml:space="preserve">factors</t>
  </si>
  <si>
    <t xml:space="preserve">into</t>
  </si>
  <si>
    <t xml:space="preserve">process</t>
  </si>
  <si>
    <t xml:space="preserve"># text = It means limiting future risk by minimizing harm to people and planet, and it means providing capital to users who deploy it towards productive and sustainable outcomes.</t>
  </si>
  <si>
    <t xml:space="preserve">It</t>
  </si>
  <si>
    <t xml:space="preserve">means</t>
  </si>
  <si>
    <t xml:space="preserve">limiting</t>
  </si>
  <si>
    <t xml:space="preserve">minimizing</t>
  </si>
  <si>
    <t xml:space="preserve">harm</t>
  </si>
  <si>
    <t xml:space="preserve">people</t>
  </si>
  <si>
    <t xml:space="preserve">planet</t>
  </si>
  <si>
    <t xml:space="preserve">providing</t>
  </si>
  <si>
    <t xml:space="preserve">users</t>
  </si>
  <si>
    <t xml:space="preserve">who</t>
  </si>
  <si>
    <t xml:space="preserve">deploy</t>
  </si>
  <si>
    <t xml:space="preserve">OBJ_5</t>
  </si>
  <si>
    <t xml:space="preserve">towards</t>
  </si>
  <si>
    <t xml:space="preserve">productive</t>
  </si>
  <si>
    <t xml:space="preserve">outcomes</t>
  </si>
  <si>
    <t xml:space="preserve"># text = So if sustainability matters financially today, and all signs indicate more tomorrow, is the private sector paying attention?</t>
  </si>
  <si>
    <t xml:space="preserve">So</t>
  </si>
  <si>
    <t xml:space="preserve">matters</t>
  </si>
  <si>
    <t xml:space="preserve">financially</t>
  </si>
  <si>
    <t xml:space="preserve">signs</t>
  </si>
  <si>
    <t xml:space="preserve">indicate</t>
  </si>
  <si>
    <t xml:space="preserve">private</t>
  </si>
  <si>
    <t xml:space="preserve">sector</t>
  </si>
  <si>
    <t xml:space="preserve">?</t>
  </si>
  <si>
    <t xml:space="preserve"># text = Well, the really cool thing is that most CEOs are.</t>
  </si>
  <si>
    <t xml:space="preserve">Well</t>
  </si>
  <si>
    <t xml:space="preserve">cool</t>
  </si>
  <si>
    <t xml:space="preserve">thing</t>
  </si>
  <si>
    <t xml:space="preserve">most</t>
  </si>
  <si>
    <t xml:space="preserve">CEOs</t>
  </si>
  <si>
    <t xml:space="preserve">within this text, CEO and investors seem to be exchangeable</t>
  </si>
  <si>
    <t xml:space="preserve"># text = They started to see sustainability not just as important but crucial to business success.</t>
  </si>
  <si>
    <t xml:space="preserve">started</t>
  </si>
  <si>
    <t xml:space="preserve">see</t>
  </si>
  <si>
    <t xml:space="preserve">crucial</t>
  </si>
  <si>
    <t xml:space="preserve">business</t>
  </si>
  <si>
    <t xml:space="preserve">success</t>
  </si>
  <si>
    <t xml:space="preserve"># text = About 80 percent of global CEOs see sustainability as the root to growth in innovation and leading to competitive advantage in their industries.</t>
  </si>
  <si>
    <t xml:space="preserve">About</t>
  </si>
  <si>
    <t xml:space="preserve">percent</t>
  </si>
  <si>
    <t xml:space="preserve">80_percent_of_CEOs</t>
  </si>
  <si>
    <t xml:space="preserve">we don’t know these 80%, we need a part_of relation</t>
  </si>
  <si>
    <t xml:space="preserve">global</t>
  </si>
  <si>
    <t xml:space="preserve">root</t>
  </si>
  <si>
    <t xml:space="preserve">leading</t>
  </si>
  <si>
    <t xml:space="preserve">competitive</t>
  </si>
  <si>
    <t xml:space="preserve">advantage</t>
  </si>
  <si>
    <t xml:space="preserve">industries</t>
  </si>
  <si>
    <t xml:space="preserve"># text = But 93 percent see ESG as the future, or as important to the future of their business.</t>
  </si>
  <si>
    <t xml:space="preserve">93_percent_of_CEOs</t>
  </si>
  <si>
    <t xml:space="preserve">or</t>
  </si>
  <si>
    <t xml:space="preserve">businesses</t>
  </si>
  <si>
    <t xml:space="preserve"># text = So the views of CEOs are clear.</t>
  </si>
  <si>
    <t xml:space="preserve">views</t>
  </si>
  <si>
    <t xml:space="preserve">could be CB if “of CEOs” is taken to be part of the “93 %”</t>
  </si>
  <si>
    <t xml:space="preserve">clear</t>
  </si>
  <si>
    <t xml:space="preserve"># text = There's tremendous opportunity in sustainability.</t>
  </si>
  <si>
    <t xml:space="preserve">There</t>
  </si>
  <si>
    <t xml:space="preserve">tremendous</t>
  </si>
  <si>
    <t xml:space="preserve">opportunity</t>
  </si>
  <si>
    <t xml:space="preserve"># text = So how are companies actually leveraging ESG to drive hard business results?</t>
  </si>
  <si>
    <t xml:space="preserve">how</t>
  </si>
  <si>
    <t xml:space="preserve">actually</t>
  </si>
  <si>
    <t xml:space="preserve">leveraging</t>
  </si>
  <si>
    <t xml:space="preserve">drive</t>
  </si>
  <si>
    <t xml:space="preserve">hard</t>
  </si>
  <si>
    <t xml:space="preserve">results</t>
  </si>
  <si>
    <t xml:space="preserve"># text = One example is near and dear to our hearts.</t>
  </si>
  <si>
    <t xml:space="preserve">One</t>
  </si>
  <si>
    <t xml:space="preserve">example</t>
  </si>
  <si>
    <t xml:space="preserve">example_of_ESG</t>
  </si>
  <si>
    <t xml:space="preserve">near</t>
  </si>
  <si>
    <t xml:space="preserve">dear</t>
  </si>
  <si>
    <t xml:space="preserve">state_street</t>
  </si>
  <si>
    <t xml:space="preserve">see following sentence</t>
  </si>
  <si>
    <t xml:space="preserve">hearts</t>
  </si>
  <si>
    <t xml:space="preserve"># text = In 2012, State Street migrated 54 applications to the cloud environment, and we retired another 85.</t>
  </si>
  <si>
    <t xml:space="preserve">In</t>
  </si>
  <si>
    <t xml:space="preserve">State</t>
  </si>
  <si>
    <t xml:space="preserve">Street</t>
  </si>
  <si>
    <t xml:space="preserve">migrated</t>
  </si>
  <si>
    <t xml:space="preserve">migration</t>
  </si>
  <si>
    <t xml:space="preserve">applications</t>
  </si>
  <si>
    <t xml:space="preserve">cloud</t>
  </si>
  <si>
    <t xml:space="preserve">cloud_environment</t>
  </si>
  <si>
    <t xml:space="preserve">so, this is the exclusive we</t>
  </si>
  <si>
    <t xml:space="preserve">retired</t>
  </si>
  <si>
    <t xml:space="preserve">another</t>
  </si>
  <si>
    <t xml:space="preserve"># text = We virtualized our operating system environments, and we completed numerous automation projects.</t>
  </si>
  <si>
    <t xml:space="preserve">virtualized</t>
  </si>
  <si>
    <t xml:space="preserve">virtualization</t>
  </si>
  <si>
    <t xml:space="preserve">operating</t>
  </si>
  <si>
    <t xml:space="preserve">system</t>
  </si>
  <si>
    <t xml:space="preserve">environments</t>
  </si>
  <si>
    <t xml:space="preserve">state_street_OS</t>
  </si>
  <si>
    <t xml:space="preserve">completed</t>
  </si>
  <si>
    <t xml:space="preserve">numerous</t>
  </si>
  <si>
    <t xml:space="preserve">automation</t>
  </si>
  <si>
    <t xml:space="preserve">projects</t>
  </si>
  <si>
    <t xml:space="preserve"># text = Now these initiatives create a more mobile workplace, and they reduce our real estate footprint, and they yield savings of 23 million dollars in operating costs annually, and avoid the emissions of a 100,000 metric tons of carbon.</t>
  </si>
  <si>
    <t xml:space="preserve">initiatives</t>
  </si>
  <si>
    <t xml:space="preserve">initiatives&gt;migration,virtualization,automatization</t>
  </si>
  <si>
    <t xml:space="preserve">create</t>
  </si>
  <si>
    <t xml:space="preserve">mobile</t>
  </si>
  <si>
    <t xml:space="preserve">workplace</t>
  </si>
  <si>
    <t xml:space="preserve">reduce</t>
  </si>
  <si>
    <t xml:space="preserve">real</t>
  </si>
  <si>
    <t xml:space="preserve">estate</t>
  </si>
  <si>
    <t xml:space="preserve">footprint</t>
  </si>
  <si>
    <t xml:space="preserve">yield</t>
  </si>
  <si>
    <t xml:space="preserve">savings</t>
  </si>
  <si>
    <t xml:space="preserve">million</t>
  </si>
  <si>
    <t xml:space="preserve">dollars</t>
  </si>
  <si>
    <t xml:space="preserve">costs</t>
  </si>
  <si>
    <t xml:space="preserve">annually</t>
  </si>
  <si>
    <t xml:space="preserve">avoid</t>
  </si>
  <si>
    <t xml:space="preserve">state_street_emission_reduction</t>
  </si>
  <si>
    <t xml:space="preserve">metric</t>
  </si>
  <si>
    <t xml:space="preserve">tons</t>
  </si>
  <si>
    <t xml:space="preserve">carbon</t>
  </si>
  <si>
    <t xml:space="preserve"># text = That's the equivalent of taking 21,000 cars off the road.</t>
  </si>
  <si>
    <t xml:space="preserve">That</t>
  </si>
  <si>
    <t xml:space="preserve">equivalent</t>
  </si>
  <si>
    <t xml:space="preserve">taking</t>
  </si>
  <si>
    <t xml:space="preserve">cars</t>
  </si>
  <si>
    <t xml:space="preserve">road</t>
  </si>
  <si>
    <t xml:space="preserve"># text = So awesome, right?</t>
  </si>
  <si>
    <t xml:space="preserve">awesome</t>
  </si>
  <si>
    <t xml:space="preserve">right</t>
  </si>
  <si>
    <t xml:space="preserve"># text = Another example is Pentair.</t>
  </si>
  <si>
    <t xml:space="preserve">Another</t>
  </si>
  <si>
    <t xml:space="preserve">example_of_ESG_2</t>
  </si>
  <si>
    <t xml:space="preserve">Pentair</t>
  </si>
  <si>
    <t xml:space="preserve">pentair</t>
  </si>
  <si>
    <t xml:space="preserve"># text = Pentair is a U.S. industrial conglomerate, and about a decade ago, they sold their core power tools business and reinvested those proceeds in a water business.</t>
  </si>
  <si>
    <t xml:space="preserve">U.S.</t>
  </si>
  <si>
    <t xml:space="preserve">industrial</t>
  </si>
  <si>
    <t xml:space="preserve">conglomerate</t>
  </si>
  <si>
    <t xml:space="preserve">decade</t>
  </si>
  <si>
    <t xml:space="preserve">ago</t>
  </si>
  <si>
    <t xml:space="preserve">sold</t>
  </si>
  <si>
    <t xml:space="preserve">pentair_selling_power_tools_business</t>
  </si>
  <si>
    <t xml:space="preserve">core</t>
  </si>
  <si>
    <t xml:space="preserve">tools</t>
  </si>
  <si>
    <t xml:space="preserve">pentair_power_tools</t>
  </si>
  <si>
    <t xml:space="preserve">reinvested</t>
  </si>
  <si>
    <t xml:space="preserve">pentair_invest_in_water_business</t>
  </si>
  <si>
    <t xml:space="preserve">those</t>
  </si>
  <si>
    <t xml:space="preserve">proceeds</t>
  </si>
  <si>
    <t xml:space="preserve">pentair_water_business</t>
  </si>
  <si>
    <t xml:space="preserve"># text = That's a really big bet.</t>
  </si>
  <si>
    <t xml:space="preserve">big</t>
  </si>
  <si>
    <t xml:space="preserve">bet</t>
  </si>
  <si>
    <t xml:space="preserve"># text = Why did they do that?</t>
  </si>
  <si>
    <t xml:space="preserve">Why</t>
  </si>
  <si>
    <t xml:space="preserve">did</t>
  </si>
  <si>
    <t xml:space="preserve">--</t>
  </si>
  <si>
    <t xml:space="preserve"># text = Well, with apologies to the Home Improvement fans, there's more growth in water than in power tools, and this company has their sights set on what they call "the new New World."</t>
  </si>
  <si>
    <t xml:space="preserve">apologies</t>
  </si>
  <si>
    <t xml:space="preserve">Home</t>
  </si>
  <si>
    <t xml:space="preserve">Improvement</t>
  </si>
  <si>
    <t xml:space="preserve">fans</t>
  </si>
  <si>
    <t xml:space="preserve">home_improvement_fans</t>
  </si>
  <si>
    <t xml:space="preserve">UNIQUE</t>
  </si>
  <si>
    <t xml:space="preserve">there</t>
  </si>
  <si>
    <t xml:space="preserve">has</t>
  </si>
  <si>
    <t xml:space="preserve">sights</t>
  </si>
  <si>
    <t xml:space="preserve">set</t>
  </si>
  <si>
    <t xml:space="preserve">on</t>
  </si>
  <si>
    <t xml:space="preserve">&amp;quot;</t>
  </si>
  <si>
    <t xml:space="preserve">new</t>
  </si>
  <si>
    <t xml:space="preserve">New</t>
  </si>
  <si>
    <t xml:space="preserve">World</t>
  </si>
  <si>
    <t xml:space="preserve">pentairs_new_world</t>
  </si>
  <si>
    <t xml:space="preserve"># text = That's four billion middle class people demanding food, energy and water.</t>
  </si>
  <si>
    <t xml:space="preserve">four</t>
  </si>
  <si>
    <t xml:space="preserve">middle</t>
  </si>
  <si>
    <t xml:space="preserve">class</t>
  </si>
  <si>
    <t xml:space="preserve">demanding</t>
  </si>
  <si>
    <t xml:space="preserve">food</t>
  </si>
  <si>
    <t xml:space="preserve"># text = Now, you may be asking yourself, are these just isolated cases?</t>
  </si>
  <si>
    <t xml:space="preserve">asking</t>
  </si>
  <si>
    <t xml:space="preserve">yourself</t>
  </si>
  <si>
    <t xml:space="preserve">examples_of_ESG&gt;example_of_ESG,example_of_ESG_2</t>
  </si>
  <si>
    <t xml:space="preserve">isolated</t>
  </si>
  <si>
    <t xml:space="preserve">cases</t>
  </si>
  <si>
    <t xml:space="preserve">indef_np.bare</t>
  </si>
  <si>
    <t xml:space="preserve">annotation error: no possessive</t>
  </si>
  <si>
    <t xml:space="preserve"># text = I mean, come on, really?</t>
  </si>
  <si>
    <t xml:space="preserve">come</t>
  </si>
  <si>
    <t xml:space="preserve"># text = Do companies that take sustainability into account really do well financially?</t>
  </si>
  <si>
    <t xml:space="preserve">do_ESG_companies_well</t>
  </si>
  <si>
    <t xml:space="preserve">take</t>
  </si>
  <si>
    <t xml:space="preserve">account</t>
  </si>
  <si>
    <t xml:space="preserve"># text = The answer that may surprise you is yes.</t>
  </si>
  <si>
    <t xml:space="preserve">answer</t>
  </si>
  <si>
    <t xml:space="preserve">yes</t>
  </si>
  <si>
    <t xml:space="preserve"># text = The data shows that stocks with better ESG performance perform just as well as others.</t>
  </si>
  <si>
    <t xml:space="preserve">parsing error: the data is NP</t>
  </si>
  <si>
    <t xml:space="preserve">shows</t>
  </si>
  <si>
    <t xml:space="preserve">BOUND</t>
  </si>
  <si>
    <t xml:space="preserve">parsing error: subordinating conjunction</t>
  </si>
  <si>
    <t xml:space="preserve">stocks</t>
  </si>
  <si>
    <t xml:space="preserve">ESG_performance</t>
  </si>
  <si>
    <t xml:space="preserve">parsing error: perform is verb</t>
  </si>
  <si>
    <t xml:space="preserve">perform</t>
  </si>
  <si>
    <t xml:space="preserve">others</t>
  </si>
  <si>
    <t xml:space="preserve"># text = In blue, we see the MSCI World.</t>
  </si>
  <si>
    <t xml:space="preserve">blue</t>
  </si>
  <si>
    <t xml:space="preserve">inclusive we</t>
  </si>
  <si>
    <t xml:space="preserve">MSCI</t>
  </si>
  <si>
    <t xml:space="preserve">MSCI_world</t>
  </si>
  <si>
    <t xml:space="preserve"># text = It's an index of large companies from developed markets across the world.</t>
  </si>
  <si>
    <t xml:space="preserve">an</t>
  </si>
  <si>
    <t xml:space="preserve">index</t>
  </si>
  <si>
    <t xml:space="preserve">from</t>
  </si>
  <si>
    <t xml:space="preserve">developed</t>
  </si>
  <si>
    <t xml:space="preserve">markets</t>
  </si>
  <si>
    <t xml:space="preserve">across</t>
  </si>
  <si>
    <t xml:space="preserve"># text = And in gold, we see a subset of companies rated as having the best ESG performance.</t>
  </si>
  <si>
    <t xml:space="preserve">gold</t>
  </si>
  <si>
    <t xml:space="preserve">subset</t>
  </si>
  <si>
    <t xml:space="preserve">rated</t>
  </si>
  <si>
    <t xml:space="preserve">having</t>
  </si>
  <si>
    <t xml:space="preserve">best</t>
  </si>
  <si>
    <t xml:space="preserve"># text = Over three plus years, no performance tradeoff.</t>
  </si>
  <si>
    <t xml:space="preserve">Over</t>
  </si>
  <si>
    <t xml:space="preserve">three</t>
  </si>
  <si>
    <t xml:space="preserve">plus</t>
  </si>
  <si>
    <t xml:space="preserve">years</t>
  </si>
  <si>
    <t xml:space="preserve">no</t>
  </si>
  <si>
    <t xml:space="preserve">tradeoff</t>
  </si>
  <si>
    <t xml:space="preserve">no_tradeoff_in_3_years</t>
  </si>
  <si>
    <t xml:space="preserve"># text = So that's okay, right?</t>
  </si>
  <si>
    <t xml:space="preserve">okay</t>
  </si>
  <si>
    <t xml:space="preserve"># text = We want more.</t>
  </si>
  <si>
    <t xml:space="preserve">want</t>
  </si>
  <si>
    <t xml:space="preserve"># text = I want more.</t>
  </si>
  <si>
    <t xml:space="preserve"># text = In some cases, there may be outperformance from ESG.</t>
  </si>
  <si>
    <t xml:space="preserve">outperformance</t>
  </si>
  <si>
    <t xml:space="preserve"># text = In blue, we see the performance of the 500 largest global companies, and in gold, we see a subset of companies with best practice in climate change strategy and risk management.</t>
  </si>
  <si>
    <t xml:space="preserve">largest</t>
  </si>
  <si>
    <t xml:space="preserve">def-np.quant</t>
  </si>
  <si>
    <t xml:space="preserve">top_500_companies</t>
  </si>
  <si>
    <t xml:space="preserve">top_500_companies_subset</t>
  </si>
  <si>
    <t xml:space="preserve">practice</t>
  </si>
  <si>
    <t xml:space="preserve">strategy</t>
  </si>
  <si>
    <t xml:space="preserve"># text = Now over almost eight years, they've outperformed by about two thirds.</t>
  </si>
  <si>
    <t xml:space="preserve">over</t>
  </si>
  <si>
    <t xml:space="preserve">almost</t>
  </si>
  <si>
    <t xml:space="preserve">eight</t>
  </si>
  <si>
    <t xml:space="preserve">'ve</t>
  </si>
  <si>
    <t xml:space="preserve">outperformed</t>
  </si>
  <si>
    <t xml:space="preserve">two</t>
  </si>
  <si>
    <t xml:space="preserve">thirds</t>
  </si>
  <si>
    <t xml:space="preserve">two_thirds_outperformance</t>
  </si>
  <si>
    <t xml:space="preserve"># text = So yes, this is correlation.</t>
  </si>
  <si>
    <t xml:space="preserve">correlation</t>
  </si>
  <si>
    <t xml:space="preserve"># text = It's not causation.</t>
  </si>
  <si>
    <t xml:space="preserve">causation</t>
  </si>
  <si>
    <t xml:space="preserve"># text = But it does illustrate that environmental leadership is compatible with good returns.</t>
  </si>
  <si>
    <t xml:space="preserve">does</t>
  </si>
  <si>
    <t xml:space="preserve">illustrate</t>
  </si>
  <si>
    <t xml:space="preserve">leadership</t>
  </si>
  <si>
    <t xml:space="preserve">subsitutable</t>
  </si>
  <si>
    <t xml:space="preserve">compatible</t>
  </si>
  <si>
    <t xml:space="preserve">good</t>
  </si>
  <si>
    <t xml:space="preserve">annotated becauise of the allusion in the following sentence</t>
  </si>
  <si>
    <t xml:space="preserve"># text = So if the returns are the same or better and the planet benefits, wouldn't this be the norm?</t>
  </si>
  <si>
    <t xml:space="preserve">ESG_returns</t>
  </si>
  <si>
    <t xml:space="preserve">same</t>
  </si>
  <si>
    <t xml:space="preserve">benefits</t>
  </si>
  <si>
    <t xml:space="preserve">would</t>
  </si>
  <si>
    <t xml:space="preserve">norm</t>
  </si>
  <si>
    <t xml:space="preserve"># text = Are investors, particularly institutional investors, engaged?</t>
  </si>
  <si>
    <t xml:space="preserve">Are</t>
  </si>
  <si>
    <t xml:space="preserve">particularly</t>
  </si>
  <si>
    <t xml:space="preserve">treated throughout the text as substitutable with investors</t>
  </si>
  <si>
    <t xml:space="preserve">engaged</t>
  </si>
  <si>
    <t xml:space="preserve"># text = Well, some are, and a few are really at the vanguard.</t>
  </si>
  <si>
    <t xml:space="preserve">sustainable_investors</t>
  </si>
  <si>
    <t xml:space="preserve">few</t>
  </si>
  <si>
    <t xml:space="preserve">vanguard_investors</t>
  </si>
  <si>
    <t xml:space="preserve">vanguard</t>
  </si>
  <si>
    <t xml:space="preserve"># text = Hesta.</t>
  </si>
  <si>
    <t xml:space="preserve">Hesta</t>
  </si>
  <si>
    <t xml:space="preserve">hesta</t>
  </si>
  <si>
    <t xml:space="preserve">single-word utterance. this is a topic-marking device</t>
  </si>
  <si>
    <t xml:space="preserve"># text = Hesta is a retirement fund for health and community services employees in Australia, with assets of 22 billion [dollars].</t>
  </si>
  <si>
    <t xml:space="preserve">retirement</t>
  </si>
  <si>
    <t xml:space="preserve">fund</t>
  </si>
  <si>
    <t xml:space="preserve">health</t>
  </si>
  <si>
    <t xml:space="preserve">community</t>
  </si>
  <si>
    <t xml:space="preserve">services</t>
  </si>
  <si>
    <t xml:space="preserve">employees</t>
  </si>
  <si>
    <t xml:space="preserve">Australia</t>
  </si>
  <si>
    <t xml:space="preserve">australia</t>
  </si>
  <si>
    <t xml:space="preserve">assets</t>
  </si>
  <si>
    <t xml:space="preserve">[</t>
  </si>
  <si>
    <t xml:space="preserve">]</t>
  </si>
  <si>
    <t xml:space="preserve"># text = They believe that ESG has the potential to impact risks and returns, so incorporating it into the investment process is core to their duty to act in the best interest of fund members, core to their duty.</t>
  </si>
  <si>
    <t xml:space="preserve">potential</t>
  </si>
  <si>
    <t xml:space="preserve">impact</t>
  </si>
  <si>
    <t xml:space="preserve">risks</t>
  </si>
  <si>
    <t xml:space="preserve">incorporating</t>
  </si>
  <si>
    <t xml:space="preserve">duty</t>
  </si>
  <si>
    <t xml:space="preserve">hestas_duty</t>
  </si>
  <si>
    <t xml:space="preserve">act</t>
  </si>
  <si>
    <t xml:space="preserve">interest</t>
  </si>
  <si>
    <t xml:space="preserve">members</t>
  </si>
  <si>
    <t xml:space="preserve">other_6</t>
  </si>
  <si>
    <t xml:space="preserve"># text = You gotta love the Aussies, right?</t>
  </si>
  <si>
    <t xml:space="preserve">You</t>
  </si>
  <si>
    <t xml:space="preserve">got</t>
  </si>
  <si>
    <t xml:space="preserve">ta</t>
  </si>
  <si>
    <t xml:space="preserve">love</t>
  </si>
  <si>
    <t xml:space="preserve">Aussies</t>
  </si>
  <si>
    <t xml:space="preserve">australians</t>
  </si>
  <si>
    <t xml:space="preserve"># text = CalPERS is another example.</t>
  </si>
  <si>
    <t xml:space="preserve">CalPERS</t>
  </si>
  <si>
    <t xml:space="preserve"># text = CalPERS is the pension fund for public employees in California, and with assets of 244 billion [dollars], they are the second largest in the U.S. and the sixth largest in the world.</t>
  </si>
  <si>
    <t xml:space="preserve">public</t>
  </si>
  <si>
    <t xml:space="preserve">California</t>
  </si>
  <si>
    <t xml:space="preserve">california</t>
  </si>
  <si>
    <t xml:space="preserve">second</t>
  </si>
  <si>
    <t xml:space="preserve">US</t>
  </si>
  <si>
    <t xml:space="preserve">sixth</t>
  </si>
  <si>
    <t xml:space="preserve"># text = Now, they're moving toward 100 percent sustainable investment by systematically integrated ESG across the entire fund.</t>
  </si>
  <si>
    <t xml:space="preserve">moving</t>
  </si>
  <si>
    <t xml:space="preserve">toward</t>
  </si>
  <si>
    <t xml:space="preserve">systematically</t>
  </si>
  <si>
    <t xml:space="preserve">integrated</t>
  </si>
  <si>
    <t xml:space="preserve">entire</t>
  </si>
  <si>
    <t xml:space="preserve">CalPERS_fund</t>
  </si>
  <si>
    <t xml:space="preserve"># text = Why?</t>
  </si>
  <si>
    <t xml:space="preserve">rhetorical questions can be ignored for adjacency in GH and CT annotations</t>
  </si>
  <si>
    <t xml:space="preserve"># text = They believe it's critical to superior long-term returns, full stop.</t>
  </si>
  <si>
    <t xml:space="preserve">critical</t>
  </si>
  <si>
    <t xml:space="preserve">superior</t>
  </si>
  <si>
    <t xml:space="preserve">full</t>
  </si>
  <si>
    <t xml:space="preserve">stop</t>
  </si>
  <si>
    <t xml:space="preserve"># text = In their own words, "long-term value creation requires the effective management of three forms of capital: financial, human, and physical.</t>
  </si>
  <si>
    <t xml:space="preserve">own</t>
  </si>
  <si>
    <t xml:space="preserve">words</t>
  </si>
  <si>
    <t xml:space="preserve">value</t>
  </si>
  <si>
    <t xml:space="preserve">creation</t>
  </si>
  <si>
    <t xml:space="preserve">requires</t>
  </si>
  <si>
    <t xml:space="preserve">effective</t>
  </si>
  <si>
    <t xml:space="preserve">effective_management</t>
  </si>
  <si>
    <t xml:space="preserve">forms</t>
  </si>
  <si>
    <t xml:space="preserve">physical</t>
  </si>
  <si>
    <t xml:space="preserve"># text = This is why we are concerned with ESG."</t>
  </si>
  <si>
    <t xml:space="preserve">This</t>
  </si>
  <si>
    <t xml:space="preserve">why</t>
  </si>
  <si>
    <t xml:space="preserve">concerned</t>
  </si>
  <si>
    <t xml:space="preserve"># text = Now, I do speak to a lot of investors as part of my job, and not all of them see it this way.</t>
  </si>
  <si>
    <t xml:space="preserve">speak</t>
  </si>
  <si>
    <t xml:space="preserve">lot</t>
  </si>
  <si>
    <t xml:space="preserve">mcknetts_clients</t>
  </si>
  <si>
    <t xml:space="preserve">part</t>
  </si>
  <si>
    <t xml:space="preserve">my</t>
  </si>
  <si>
    <t xml:space="preserve">job</t>
  </si>
  <si>
    <t xml:space="preserve">mcknetts_job</t>
  </si>
  <si>
    <t xml:space="preserve">all_mcknetts_clients</t>
  </si>
  <si>
    <t xml:space="preserve">way</t>
  </si>
  <si>
    <t xml:space="preserve"># text = Often I hear, "We are required to maximize returns, so we don't do that here," or, "We don't want to use the portfolio to make policy statements."</t>
  </si>
  <si>
    <t xml:space="preserve">Often</t>
  </si>
  <si>
    <t xml:space="preserve">hear</t>
  </si>
  <si>
    <t xml:space="preserve">one_of_mcknetts_clients</t>
  </si>
  <si>
    <t xml:space="preserve">required</t>
  </si>
  <si>
    <t xml:space="preserve">maximize</t>
  </si>
  <si>
    <t xml:space="preserve">no CB, because McKnett is syntactically higher-ranked</t>
  </si>
  <si>
    <t xml:space="preserve">another_client</t>
  </si>
  <si>
    <t xml:space="preserve">use</t>
  </si>
  <si>
    <t xml:space="preserve">portfolio</t>
  </si>
  <si>
    <t xml:space="preserve">another_clients_portfolio</t>
  </si>
  <si>
    <t xml:space="preserve">make</t>
  </si>
  <si>
    <t xml:space="preserve">policy</t>
  </si>
  <si>
    <t xml:space="preserve">statements</t>
  </si>
  <si>
    <t xml:space="preserve"># text = The one that just really gets under my skin is,</t>
  </si>
  <si>
    <t xml:space="preserve">one</t>
  </si>
  <si>
    <t xml:space="preserve">yet_another_response</t>
  </si>
  <si>
    <t xml:space="preserve">gets</t>
  </si>
  <si>
    <t xml:space="preserve">under</t>
  </si>
  <si>
    <t xml:space="preserve">skin</t>
  </si>
  <si>
    <t xml:space="preserve"># text = "If you want to do something about that, just make money, give the profits to charities."</t>
  </si>
  <si>
    <t xml:space="preserve">If</t>
  </si>
  <si>
    <t xml:space="preserve">money</t>
  </si>
  <si>
    <t xml:space="preserve">hypothetical_profits</t>
  </si>
  <si>
    <t xml:space="preserve">give</t>
  </si>
  <si>
    <t xml:space="preserve">profits</t>
  </si>
  <si>
    <t xml:space="preserve">charities</t>
  </si>
  <si>
    <t xml:space="preserve"># text = It's eyes rolling, eyes rolling.</t>
  </si>
  <si>
    <t xml:space="preserve">eyes</t>
  </si>
  <si>
    <t xml:space="preserve">rolling</t>
  </si>
  <si>
    <t xml:space="preserve"># text = I mean, let me clarify something right here.</t>
  </si>
  <si>
    <t xml:space="preserve">let</t>
  </si>
  <si>
    <t xml:space="preserve">clarify</t>
  </si>
  <si>
    <t xml:space="preserve"># text = Companies and investors are not singularly responsible for the fate of the planet.</t>
  </si>
  <si>
    <t xml:space="preserve">Companies</t>
  </si>
  <si>
    <t xml:space="preserve">singularly</t>
  </si>
  <si>
    <t xml:space="preserve">fate</t>
  </si>
  <si>
    <t xml:space="preserve"># text = They don't have indefinite social obligations, and prudent investing and finance theory aren't subordinate to sustainability.</t>
  </si>
  <si>
    <t xml:space="preserve">companies_and_investors&gt;companies,investors</t>
  </si>
  <si>
    <t xml:space="preserve">indefinite</t>
  </si>
  <si>
    <t xml:space="preserve">obligations</t>
  </si>
  <si>
    <t xml:space="preserve">prudent</t>
  </si>
  <si>
    <t xml:space="preserve">finance</t>
  </si>
  <si>
    <t xml:space="preserve">theory</t>
  </si>
  <si>
    <t xml:space="preserve">finance_theory</t>
  </si>
  <si>
    <t xml:space="preserve">subordinate</t>
  </si>
  <si>
    <t xml:space="preserve"># text = They're compatible.</t>
  </si>
  <si>
    <t xml:space="preserve">investing_finance_theory_sustainability&gt;investing,finance_theory,sustainability</t>
  </si>
  <si>
    <t xml:space="preserve"># text = So I'm not talking about tradeoffs here.</t>
  </si>
  <si>
    <t xml:space="preserve">'m</t>
  </si>
  <si>
    <t xml:space="preserve">talking</t>
  </si>
  <si>
    <t xml:space="preserve">tradeoffs</t>
  </si>
  <si>
    <t xml:space="preserve"># text = But institutional investors are the x-factor in sustainability.</t>
  </si>
  <si>
    <t xml:space="preserve">x</t>
  </si>
  <si>
    <t xml:space="preserve">factor</t>
  </si>
  <si>
    <t xml:space="preserve"># text = Why do they hold the key?</t>
  </si>
  <si>
    <t xml:space="preserve">hold</t>
  </si>
  <si>
    <t xml:space="preserve">why_do_they_hold_the_key</t>
  </si>
  <si>
    <t xml:space="preserve">key</t>
  </si>
  <si>
    <t xml:space="preserve"># text = The answer, quite simply, is, they have the money.</t>
  </si>
  <si>
    <t xml:space="preserve">quite</t>
  </si>
  <si>
    <t xml:space="preserve">simply</t>
  </si>
  <si>
    <t xml:space="preserve">the_money</t>
  </si>
  <si>
    <t xml:space="preserve">no part of text</t>
  </si>
  <si>
    <t xml:space="preserve"># text = A lot of it.</t>
  </si>
  <si>
    <t xml:space="preserve">A</t>
  </si>
  <si>
    <t xml:space="preserve"># text = I mean, a really lot of it.</t>
  </si>
  <si>
    <t xml:space="preserve"># text = The global stock market is worth 55 trillion dollars.</t>
  </si>
  <si>
    <t xml:space="preserve">stock</t>
  </si>
  <si>
    <t xml:space="preserve">global_stock_market</t>
  </si>
  <si>
    <t xml:space="preserve">worth</t>
  </si>
  <si>
    <t xml:space="preserve">trillion</t>
  </si>
  <si>
    <t xml:space="preserve"># text = The global bond market, 78 trillion.</t>
  </si>
  <si>
    <t xml:space="preserve">bond</t>
  </si>
  <si>
    <t xml:space="preserve">global_bond_market</t>
  </si>
  <si>
    <t xml:space="preserve"># text = That's 133 trillion combined.</t>
  </si>
  <si>
    <t xml:space="preserve">global_market&gt;global_stock_marked,global_bond_market</t>
  </si>
  <si>
    <t xml:space="preserve">combined</t>
  </si>
  <si>
    <t xml:space="preserve"># text = That's eight and a half times the GDP of the U.S. That's the world's largest economy.</t>
  </si>
  <si>
    <t xml:space="preserve">global_market</t>
  </si>
  <si>
    <t xml:space="preserve">half</t>
  </si>
  <si>
    <t xml:space="preserve">times</t>
  </si>
  <si>
    <t xml:space="preserve">GDP</t>
  </si>
  <si>
    <t xml:space="preserve">US_GDP</t>
  </si>
  <si>
    <t xml:space="preserve">segmentation error, we operate with the current segmentation for CB assessment, but not for GH</t>
  </si>
  <si>
    <t xml:space="preserve">economy</t>
  </si>
  <si>
    <t xml:space="preserve"># text = That's some serious freaking firepower.</t>
  </si>
  <si>
    <t xml:space="preserve">serious</t>
  </si>
  <si>
    <t xml:space="preserve">freaking</t>
  </si>
  <si>
    <t xml:space="preserve">firepower</t>
  </si>
  <si>
    <t xml:space="preserve"># text = So we can reconsider some of these pressing challenges, like fresh water, clean air, feeding 10 billion mouths, if institutional investors integrated ESG into investment.</t>
  </si>
  <si>
    <t xml:space="preserve">reconsider</t>
  </si>
  <si>
    <t xml:space="preserve">some_issues</t>
  </si>
  <si>
    <t xml:space="preserve">pressing</t>
  </si>
  <si>
    <t xml:space="preserve">challenges</t>
  </si>
  <si>
    <t xml:space="preserve">fresh</t>
  </si>
  <si>
    <t xml:space="preserve">clean</t>
  </si>
  <si>
    <t xml:space="preserve">air</t>
  </si>
  <si>
    <t xml:space="preserve">feeding</t>
  </si>
  <si>
    <t xml:space="preserve">mouths</t>
  </si>
  <si>
    <t xml:space="preserve"># text = What if they used that firepower to allocate more of their capital to companies working the hardest at solving these challenges or at least not exacerbating them?</t>
  </si>
  <si>
    <t xml:space="preserve">What</t>
  </si>
  <si>
    <t xml:space="preserve">used</t>
  </si>
  <si>
    <t xml:space="preserve">allocate</t>
  </si>
  <si>
    <t xml:space="preserve">working</t>
  </si>
  <si>
    <t xml:space="preserve">hardest</t>
  </si>
  <si>
    <t xml:space="preserve">solving</t>
  </si>
  <si>
    <t xml:space="preserve">OBJ_7</t>
  </si>
  <si>
    <t xml:space="preserve">least</t>
  </si>
  <si>
    <t xml:space="preserve">exacerbating</t>
  </si>
  <si>
    <t xml:space="preserve">OBJ_9</t>
  </si>
  <si>
    <t xml:space="preserve"># text = What if we work and save and invest, only to find that the world we retire into is more stressed and less secure than it is now?</t>
  </si>
  <si>
    <t xml:space="preserve">work</t>
  </si>
  <si>
    <t xml:space="preserve">save</t>
  </si>
  <si>
    <t xml:space="preserve">only</t>
  </si>
  <si>
    <t xml:space="preserve">find</t>
  </si>
  <si>
    <t xml:space="preserve">not future_world, because it is referred to with it without future</t>
  </si>
  <si>
    <t xml:space="preserve">retire</t>
  </si>
  <si>
    <t xml:space="preserve">stressed</t>
  </si>
  <si>
    <t xml:space="preserve">secure</t>
  </si>
  <si>
    <t xml:space="preserve">now</t>
  </si>
  <si>
    <t xml:space="preserve"># text = What if there isn't enough clean air and fresh water?</t>
  </si>
  <si>
    <t xml:space="preserve">parser: expletive, but doesn’t have to be</t>
  </si>
  <si>
    <t xml:space="preserve"># text = Now a fair question might be, what if all this sustainability risk stuff is exaggerated, overstated, it's not urgent, something for virtuous consumers or lifestyle choice?</t>
  </si>
  <si>
    <t xml:space="preserve">fair</t>
  </si>
  <si>
    <t xml:space="preserve">question</t>
  </si>
  <si>
    <t xml:space="preserve">might</t>
  </si>
  <si>
    <t xml:space="preserve">exaggerated</t>
  </si>
  <si>
    <t xml:space="preserve">exaggerated_risks</t>
  </si>
  <si>
    <t xml:space="preserve">overstated</t>
  </si>
  <si>
    <t xml:space="preserve">urgent</t>
  </si>
  <si>
    <t xml:space="preserve">it is something for …</t>
  </si>
  <si>
    <t xml:space="preserve">virtuous</t>
  </si>
  <si>
    <t xml:space="preserve">consumers</t>
  </si>
  <si>
    <t xml:space="preserve">lifestyle</t>
  </si>
  <si>
    <t xml:space="preserve">choice</t>
  </si>
  <si>
    <t xml:space="preserve"># text = Well, President John F. Kennedy said something about this that is just spot on: "There are risks and costs to a program of action, but they are far less than the long-range risks and costs of comfortable inaction."</t>
  </si>
  <si>
    <t xml:space="preserve">President</t>
  </si>
  <si>
    <t xml:space="preserve">John</t>
  </si>
  <si>
    <t xml:space="preserve">F</t>
  </si>
  <si>
    <t xml:space="preserve">Kennedy</t>
  </si>
  <si>
    <t xml:space="preserve">kennedy</t>
  </si>
  <si>
    <t xml:space="preserve">said</t>
  </si>
  <si>
    <t xml:space="preserve">kennedy_quote</t>
  </si>
  <si>
    <t xml:space="preserve">spot</t>
  </si>
  <si>
    <t xml:space="preserve">risks_of_action</t>
  </si>
  <si>
    <t xml:space="preserve">costs_of_action</t>
  </si>
  <si>
    <t xml:space="preserve">program</t>
  </si>
  <si>
    <t xml:space="preserve">action</t>
  </si>
  <si>
    <t xml:space="preserve">issues_of_action&gt;risks_of_action,costs_of_action</t>
  </si>
  <si>
    <t xml:space="preserve">range</t>
  </si>
  <si>
    <t xml:space="preserve">risks_of_inaction</t>
  </si>
  <si>
    <t xml:space="preserve">costs_of_inaction</t>
  </si>
  <si>
    <t xml:space="preserve">comfortable</t>
  </si>
  <si>
    <t xml:space="preserve">inaction</t>
  </si>
  <si>
    <t xml:space="preserve"># text = I can appreciate that there is estimation risk in this, but since this is based on widespread scientific consensus, the odds that it's not completely wrong are better than the odds that our house will burn down or we'll get in a car accident.</t>
  </si>
  <si>
    <t xml:space="preserve">appreciate</t>
  </si>
  <si>
    <t xml:space="preserve">estimation</t>
  </si>
  <si>
    <t xml:space="preserve">estimation_risk</t>
  </si>
  <si>
    <t xml:space="preserve">estimation risk is that different methods produce different values for the same parameter, type of risks (we need a part_of relationship)</t>
  </si>
  <si>
    <t xml:space="preserve">since</t>
  </si>
  <si>
    <t xml:space="preserve">based</t>
  </si>
  <si>
    <t xml:space="preserve">widespread</t>
  </si>
  <si>
    <t xml:space="preserve">scientific</t>
  </si>
  <si>
    <t xml:space="preserve">consensus</t>
  </si>
  <si>
    <t xml:space="preserve">odds</t>
  </si>
  <si>
    <t xml:space="preserve">completely</t>
  </si>
  <si>
    <t xml:space="preserve">wrong</t>
  </si>
  <si>
    <t xml:space="preserve">house</t>
  </si>
  <si>
    <t xml:space="preserve">will</t>
  </si>
  <si>
    <t xml:space="preserve">burn</t>
  </si>
  <si>
    <t xml:space="preserve">fire</t>
  </si>
  <si>
    <t xml:space="preserve">down</t>
  </si>
  <si>
    <t xml:space="preserve">'ll</t>
  </si>
  <si>
    <t xml:space="preserve">get</t>
  </si>
  <si>
    <t xml:space="preserve">car</t>
  </si>
  <si>
    <t xml:space="preserve">accident</t>
  </si>
  <si>
    <t xml:space="preserve">cat_accident</t>
  </si>
  <si>
    <t xml:space="preserve"># text = Well, maybe not if you live in Boston.</t>
  </si>
  <si>
    <t xml:space="preserve">maybe</t>
  </si>
  <si>
    <t xml:space="preserve">live</t>
  </si>
  <si>
    <t xml:space="preserve">Boston</t>
  </si>
  <si>
    <t xml:space="preserve">boston</t>
  </si>
  <si>
    <t xml:space="preserve"># text = But my point is that we buy insurance to protect ourselves financially in case those things happen, right?</t>
  </si>
  <si>
    <t xml:space="preserve">mcknett &gt; we &gt; accident</t>
  </si>
  <si>
    <t xml:space="preserve">point</t>
  </si>
  <si>
    <t xml:space="preserve">mcknetts_point</t>
  </si>
  <si>
    <t xml:space="preserve">buy</t>
  </si>
  <si>
    <t xml:space="preserve">insurance</t>
  </si>
  <si>
    <t xml:space="preserve">not coreferential with ensurance later on</t>
  </si>
  <si>
    <t xml:space="preserve">protect</t>
  </si>
  <si>
    <t xml:space="preserve">ourselves</t>
  </si>
  <si>
    <t xml:space="preserve">case</t>
  </si>
  <si>
    <t xml:space="preserve">accident&gt;fire,car_accident</t>
  </si>
  <si>
    <t xml:space="preserve">happen</t>
  </si>
  <si>
    <t xml:space="preserve"># text = So by investing sustainably we're doing two things.</t>
  </si>
  <si>
    <t xml:space="preserve">sustainably</t>
  </si>
  <si>
    <t xml:space="preserve">yields_of_sustainability&gt;insurance,performance</t>
  </si>
  <si>
    <t xml:space="preserve"># text = We're creating insurance, reducing the risk to our planet and to our economy, and at the same time, in the short term, we're not sacrificing performance.</t>
  </si>
  <si>
    <t xml:space="preserve">creating</t>
  </si>
  <si>
    <t xml:space="preserve">reducing</t>
  </si>
  <si>
    <t xml:space="preserve">time</t>
  </si>
  <si>
    <t xml:space="preserve">short</t>
  </si>
  <si>
    <t xml:space="preserve">sacrificing</t>
  </si>
  <si>
    <t xml:space="preserve"># text = [Man in comic:</t>
  </si>
  <si>
    <t xml:space="preserve">Man</t>
  </si>
  <si>
    <t xml:space="preserve">comic</t>
  </si>
  <si>
    <t xml:space="preserve"># text = \"What if it's a big hoax and we create a better world for nothing?\"]</t>
  </si>
  <si>
    <t xml:space="preserve">part of text = presentation</t>
  </si>
  <si>
    <t xml:space="preserve">hoax</t>
  </si>
  <si>
    <t xml:space="preserve">skip last sentence as metadata</t>
  </si>
  <si>
    <t xml:space="preserve">nothing</t>
  </si>
  <si>
    <t xml:space="preserve">nothing is non-referring</t>
  </si>
  <si>
    <t xml:space="preserve"># text = Good, you like it.</t>
  </si>
  <si>
    <t xml:space="preserve">Good</t>
  </si>
  <si>
    <r>
      <rPr>
        <sz val="10"/>
        <rFont val="Arial"/>
        <family val="2"/>
        <charset val="1"/>
      </rPr>
      <t xml:space="preserve">in focus because that relates to the last </t>
    </r>
    <r>
      <rPr>
        <b val="true"/>
        <sz val="10"/>
        <rFont val="Arial"/>
        <family val="2"/>
        <charset val="1"/>
      </rPr>
      <t xml:space="preserve">spoken</t>
    </r>
    <r>
      <rPr>
        <sz val="10"/>
        <rFont val="Arial"/>
        <family val="2"/>
        <charset val="1"/>
      </rPr>
      <t xml:space="preserve"> utterance</t>
    </r>
  </si>
  <si>
    <t xml:space="preserve">visually activated, cf. condition 3</t>
  </si>
  <si>
    <t xml:space="preserve"># text = I like it too.</t>
  </si>
  <si>
    <t xml:space="preserve">IS: sentence-final position is syntactic focus marker</t>
  </si>
  <si>
    <t xml:space="preserve">too</t>
  </si>
  <si>
    <t xml:space="preserve"># text = I like it because it pokes fun at both sides of the climate change issue.</t>
  </si>
  <si>
    <t xml:space="preserve">we follow CT ranking, intuitively, topic would be it</t>
  </si>
  <si>
    <t xml:space="preserve">pokes</t>
  </si>
  <si>
    <t xml:space="preserve">fun</t>
  </si>
  <si>
    <t xml:space="preserve">sides</t>
  </si>
  <si>
    <t xml:space="preserve">both_sides_of_climate_change_issue</t>
  </si>
  <si>
    <t xml:space="preserve">environmentalists and investors, not group because environmentalists haven’t been explicitly mentioned</t>
  </si>
  <si>
    <t xml:space="preserve">issue</t>
  </si>
  <si>
    <t xml:space="preserve"># text = I bet you can't guess which side I'm on.</t>
  </si>
  <si>
    <t xml:space="preserve">ca</t>
  </si>
  <si>
    <t xml:space="preserve">guess</t>
  </si>
  <si>
    <t xml:space="preserve">which</t>
  </si>
  <si>
    <t xml:space="preserve">side</t>
  </si>
  <si>
    <t xml:space="preserve">indef-np</t>
  </si>
  <si>
    <t xml:space="preserve"># text = But what I really like about it is that it reminds me of something Mark Twain said, which is, \"Plan for the future, because that's where you're going to spend the rest of your life.\"</t>
  </si>
  <si>
    <t xml:space="preserve">reminds</t>
  </si>
  <si>
    <t xml:space="preserve">Mark</t>
  </si>
  <si>
    <t xml:space="preserve">mark_twain</t>
  </si>
  <si>
    <t xml:space="preserve">Twain</t>
  </si>
  <si>
    <t xml:space="preserve">Plan</t>
  </si>
  <si>
    <t xml:space="preserve">where</t>
  </si>
  <si>
    <t xml:space="preserve">of course, Mark Twain cannot refer to the audience, but McKnett implies that by using that quote here.</t>
  </si>
  <si>
    <t xml:space="preserve">going</t>
  </si>
  <si>
    <t xml:space="preserve">spend</t>
  </si>
  <si>
    <t xml:space="preserve">rest</t>
  </si>
  <si>
    <t xml:space="preserve">OBJ_6</t>
  </si>
  <si>
    <t xml:space="preserve">rest_of_your_life</t>
  </si>
  <si>
    <t xml:space="preserve">your</t>
  </si>
  <si>
    <t xml:space="preserve">other_8</t>
  </si>
  <si>
    <t xml:space="preserve">life</t>
  </si>
  <si>
    <t xml:space="preserve">other_7</t>
  </si>
  <si>
    <t xml:space="preserve">readers_life</t>
  </si>
  <si>
    <t xml:space="preserve"># text = Thank you.</t>
  </si>
  <si>
    <t xml:space="preserve">Thank</t>
  </si>
</sst>
</file>

<file path=xl/styles.xml><?xml version="1.0" encoding="utf-8"?>
<styleSheet xmlns="http://schemas.openxmlformats.org/spreadsheetml/2006/main">
  <numFmts count="2">
    <numFmt numFmtId="164" formatCode="General"/>
    <numFmt numFmtId="165" formatCode="General"/>
  </numFmts>
  <fonts count="6">
    <font>
      <sz val="10"/>
      <name val="Arial"/>
      <family val="2"/>
      <charset val="1"/>
    </font>
    <font>
      <sz val="10"/>
      <name val="Arial"/>
      <family val="0"/>
    </font>
    <font>
      <sz val="10"/>
      <name val="Arial"/>
      <family val="0"/>
    </font>
    <font>
      <sz val="10"/>
      <name val="Arial"/>
      <family val="0"/>
    </font>
    <font>
      <sz val="10"/>
      <name val="Arial"/>
      <family val="2"/>
    </font>
    <font>
      <b val="true"/>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5" fontId="0" fillId="5" borderId="0" xfId="0" applyFont="false" applyBorder="false" applyAlignment="true" applyProtection="false">
      <alignment horizontal="center" vertical="bottom" textRotation="0" wrapText="false" indent="0" shrinkToFit="false"/>
      <protection locked="true" hidden="false"/>
    </xf>
    <xf numFmtId="165" fontId="0" fillId="6" borderId="4" xfId="0" applyFont="fals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1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187" activePane="bottomRight" state="frozen"/>
      <selection pane="topLeft" activeCell="A1" activeCellId="0" sqref="A1"/>
      <selection pane="topRight" activeCell="B1" activeCellId="0" sqref="B1"/>
      <selection pane="bottomLeft" activeCell="A2187" activeCellId="0" sqref="A2187"/>
      <selection pane="bottomRight" activeCell="F2209" activeCellId="0" sqref="F2209"/>
    </sheetView>
  </sheetViews>
  <sheetFormatPr defaultColWidth="11.55078125" defaultRowHeight="12.8" zeroHeight="false" outlineLevelRow="0" outlineLevelCol="0"/>
  <cols>
    <col collapsed="false" customWidth="true" hidden="false" outlineLevel="0" max="5" min="5" style="0" width="16.11"/>
    <col collapsed="false" customWidth="false" hidden="true" outlineLevel="0" max="10" min="9" style="0" width="11.54"/>
    <col collapsed="false" customWidth="true" hidden="true" outlineLevel="0" max="11" min="11" style="0" width="18.89"/>
    <col collapsed="false" customWidth="true" hidden="false" outlineLevel="0" max="12" min="12" style="0" width="46.68"/>
  </cols>
  <sheetData>
    <row r="1" customFormat="false" ht="12.8"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8" hidden="false" customHeight="false" outlineLevel="0" collapsed="false">
      <c r="B2" s="9"/>
      <c r="E2" s="10" t="str">
        <f aca="false">IF(D2="?OLD","!!!","")</f>
        <v/>
      </c>
      <c r="F2" s="11" t="str">
        <f aca="false">IF(OR(E2="",E2="!!!"),"",IF(NOT(ISNA(VLOOKUP(E2,E$1:E1,1,FALSE()))),"OLD",IF(AND(E2&lt;&gt;"",E2&lt;&gt;"!!!"),"NEW","")))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IF(OR(E2="",E2="!!!",F2="NEW"),"",INDEX(B1:B$2,-1+SUMPRODUCT(MAX(ROW(E1:E$2)*(E2=E1:E$2)))))</f>
        <v/>
      </c>
      <c r="J2" s="15" t="str">
        <f aca="true">IF(OR(E2="",E2="!!!",F2="NEW"),"",COUNTBLANK(OFFSET(A$1,,,SUMPRODUCT(MAX(ROW(E$2:E2)*(E2=E$2:E2)))))-COUNTBLANK(OFFSET(A$1,,,SUMPRODUCT(MAX(ROW(E$1:E1)*(E2=E$1:E1))))))</f>
        <v/>
      </c>
      <c r="K2" s="15" t="str">
        <f aca="false">IF(OR(E2="",E2="!!!",F2="NEW"),"",INDEX(J$1:J1,SUMPRODUCT(MAX(ROW(E$1:E1)*(E2=E$1:E1)))))</f>
        <v/>
      </c>
      <c r="L2" s="16"/>
    </row>
    <row r="3" customFormat="false" ht="12.8" hidden="false" customHeight="false" outlineLevel="0" collapsed="false">
      <c r="B3" s="9"/>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IF(OR(E3="",E3="!!!",F3="NEW"),"",INDEX(B$2:B2,-1+SUMPRODUCT(MAX(ROW(E$2:E2)*(E3=E$2:E2)))))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0" t="s">
        <v>12</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8" hidden="false" customHeight="false" outlineLevel="0" collapsed="false">
      <c r="A5" s="0" t="s">
        <v>13</v>
      </c>
      <c r="B5" s="0" t="s">
        <v>14</v>
      </c>
      <c r="C5" s="0"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8" hidden="false" customHeight="false" outlineLevel="0" collapsed="false">
      <c r="A6" s="0" t="s">
        <v>16</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8" hidden="false" customHeight="false" outlineLevel="0" collapsed="false">
      <c r="A7" s="0" t="n">
        <v>1927</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8" hidden="false" customHeight="false" outlineLevel="0" collapsed="false">
      <c r="E8" s="10" t="str">
        <f aca="false">IF(D8="?OLD","!!!","")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8" hidden="false" customHeight="false" outlineLevel="0" collapsed="false">
      <c r="A9" s="0" t="s">
        <v>17</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8" hidden="false" customHeight="false" outlineLevel="0" collapsed="false">
      <c r="A10" s="0" t="s">
        <v>18</v>
      </c>
      <c r="B10" s="0" t="s">
        <v>14</v>
      </c>
      <c r="C10" s="0" t="s">
        <v>19</v>
      </c>
      <c r="D10" s="0" t="s">
        <v>20</v>
      </c>
      <c r="E10" s="10"/>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t="s">
        <v>21</v>
      </c>
    </row>
    <row r="11" customFormat="false" ht="12.8" hidden="false" customHeight="false" outlineLevel="0" collapsed="false">
      <c r="A11" s="0" t="s">
        <v>22</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0" t="s">
        <v>16</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8" hidden="false" customHeight="false" outlineLevel="0" collapsed="false">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0" t="s">
        <v>23</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8" hidden="false" customHeight="false" outlineLevel="0" collapsed="false">
      <c r="A15" s="0" t="s">
        <v>24</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8" hidden="false" customHeight="false" outlineLevel="0" collapsed="false">
      <c r="A16" s="0" t="s">
        <v>25</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0" t="s">
        <v>26</v>
      </c>
      <c r="B17" s="0" t="s">
        <v>14</v>
      </c>
      <c r="C17" s="0" t="s">
        <v>27</v>
      </c>
      <c r="D17" s="0" t="s">
        <v>20</v>
      </c>
      <c r="E17" s="10"/>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t="s">
        <v>28</v>
      </c>
    </row>
    <row r="18" customFormat="false" ht="12.8" hidden="false" customHeight="false" outlineLevel="0" collapsed="false">
      <c r="A18" s="0" t="s">
        <v>29</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8" hidden="false" customHeight="false" outlineLevel="0" collapsed="false">
      <c r="A19" s="0" t="s">
        <v>30</v>
      </c>
      <c r="B19" s="0" t="s">
        <v>14</v>
      </c>
      <c r="C19" s="0" t="s">
        <v>31</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8" hidden="false" customHeight="false" outlineLevel="0" collapsed="false">
      <c r="A21" s="0" t="s">
        <v>32</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0" t="s">
        <v>24</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0" t="s">
        <v>33</v>
      </c>
      <c r="B23" s="0" t="s">
        <v>34</v>
      </c>
      <c r="C23" s="0" t="s">
        <v>27</v>
      </c>
      <c r="D23" s="0" t="s">
        <v>20</v>
      </c>
      <c r="E23" s="10" t="s">
        <v>33</v>
      </c>
      <c r="F23" s="11" t="s">
        <v>35</v>
      </c>
      <c r="G23" s="12" t="s">
        <v>36</v>
      </c>
      <c r="H23" s="13"/>
      <c r="I23" s="14" t="e">
        <f aca="false">IF(OR(E23="",E23="!!!",F23="NEW"),"",INDEX(B$2:B22,-1+SUMPRODUCT(MAX(ROW(E$2:E22)*(E23=E$2:E22)))))</f>
        <v>#VALUE!</v>
      </c>
      <c r="J23" s="15" t="e">
        <f aca="true">IF(OR(E23="",E23="!!!",F23="NEW"),"",COUNTBLANK(OFFSET(A$1,,,SUMPRODUCT(MAX(ROW(E$2:E23)*(E23=E$2:E23)))))-COUNTBLANK(OFFSET(A$1,,,SUMPRODUCT(MAX(ROW(E$1:E22)*(E23=E$1:E22))))))</f>
        <v>#VALUE!</v>
      </c>
      <c r="K23" s="15" t="e">
        <f aca="false">IF(OR(E23="",E23="!!!",F23="NEW"),"",INDEX(J$1:J22,SUMPRODUCT(MAX(ROW(E$1:E22)*(E23=E$1:E22)))))</f>
        <v>#VALUE!</v>
      </c>
      <c r="L23" s="16"/>
    </row>
    <row r="24" customFormat="false" ht="12.8" hidden="false" customHeight="false" outlineLevel="0" collapsed="false">
      <c r="A24" s="0" t="s">
        <v>37</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8" hidden="false" customHeight="false" outlineLevel="0" collapsed="false">
      <c r="A25" s="0" t="s">
        <v>38</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0" t="s">
        <v>39</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8" hidden="false" customHeight="false" outlineLevel="0" collapsed="false">
      <c r="A27" s="0" t="s">
        <v>40</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8" hidden="false" customHeight="false" outlineLevel="0" collapsed="false">
      <c r="A28" s="0" t="s">
        <v>41</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8" hidden="false" customHeight="false" outlineLevel="0" collapsed="false">
      <c r="A29" s="0" t="s">
        <v>42</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0" t="s">
        <v>43</v>
      </c>
      <c r="B30" s="0" t="s">
        <v>14</v>
      </c>
      <c r="C30" s="0" t="s">
        <v>15</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0" t="s">
        <v>44</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8" hidden="false" customHeight="false" outlineLevel="0" collapsed="false">
      <c r="A32" s="0" t="s">
        <v>45</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8" hidden="false" customHeight="false" outlineLevel="0" collapsed="false">
      <c r="A33" s="0" t="s">
        <v>46</v>
      </c>
      <c r="B33" s="0" t="s">
        <v>47</v>
      </c>
      <c r="C33" s="0" t="s">
        <v>48</v>
      </c>
      <c r="D33" s="0" t="s">
        <v>20</v>
      </c>
      <c r="E33" s="10" t="s">
        <v>49</v>
      </c>
      <c r="F33" s="11" t="s">
        <v>35</v>
      </c>
      <c r="G33" s="12" t="s">
        <v>36</v>
      </c>
      <c r="H33" s="13"/>
      <c r="I33" s="14" t="e">
        <f aca="false">IF(OR(E33="",E33="!!!",F33="NEW"),"",INDEX(B$2:B32,-1+SUMPRODUCT(MAX(ROW(E$2:E32)*(E33=E$2:E32)))))</f>
        <v>#VALUE!</v>
      </c>
      <c r="J33" s="15" t="e">
        <f aca="true">IF(OR(E33="",E33="!!!",F33="NEW"),"",COUNTBLANK(OFFSET(A$1,,,SUMPRODUCT(MAX(ROW(E$2:E33)*(E33=E$2:E33)))))-COUNTBLANK(OFFSET(A$1,,,SUMPRODUCT(MAX(ROW(E$1:E32)*(E33=E$1:E32))))))</f>
        <v>#VALUE!</v>
      </c>
      <c r="K33" s="15" t="e">
        <f aca="false">IF(OR(E33="",E33="!!!",F33="NEW"),"",INDEX(J$1:J32,SUMPRODUCT(MAX(ROW(E$1:E32)*(E33=E$1:E32)))))</f>
        <v>#VALUE!</v>
      </c>
      <c r="L33" s="16"/>
    </row>
    <row r="34" customFormat="false" ht="12.8" hidden="false" customHeight="false" outlineLevel="0" collapsed="false">
      <c r="A34" s="0" t="s">
        <v>50</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8" hidden="false" customHeight="false" outlineLevel="0" collapsed="false">
      <c r="A35" s="0" t="s">
        <v>51</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8" hidden="false" customHeight="false" outlineLevel="0" collapsed="false">
      <c r="A36" s="0" t="s">
        <v>52</v>
      </c>
      <c r="B36" s="0" t="s">
        <v>53</v>
      </c>
      <c r="C36" s="0" t="s">
        <v>31</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0" t="s">
        <v>54</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A38" s="0" t="s">
        <v>55</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8" hidden="false" customHeight="false" outlineLevel="0" collapsed="false">
      <c r="A39" s="0" t="s">
        <v>56</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0" t="s">
        <v>57</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8" hidden="false" customHeight="false" outlineLevel="0" collapsed="false">
      <c r="A41" s="0" t="s">
        <v>58</v>
      </c>
      <c r="B41" s="0" t="s">
        <v>59</v>
      </c>
      <c r="C41" s="0" t="s">
        <v>31</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0" t="s">
        <v>60</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8" hidden="false" customHeight="false" outlineLevel="0" collapsed="false">
      <c r="A43" s="0" t="s">
        <v>40</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0" t="s">
        <v>61</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0" t="s">
        <v>62</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0" t="s">
        <v>63</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A47" s="0" t="s">
        <v>64</v>
      </c>
      <c r="B47" s="0" t="s">
        <v>65</v>
      </c>
      <c r="C47" s="0" t="s">
        <v>27</v>
      </c>
      <c r="D47" s="0" t="s">
        <v>20</v>
      </c>
      <c r="E47" s="10" t="s">
        <v>66</v>
      </c>
      <c r="F47" s="11" t="str">
        <f aca="false">IF(OR(E47="",E47="!!!"),"",IF(NOT(ISNA(VLOOKUP(E47,E$1:E46,1,FALSE()))),"OLD",IF(AND(E47&lt;&gt;"",E47&lt;&gt;"!!!"),"NEW","")))</f>
        <v>NEW</v>
      </c>
      <c r="G47" s="12" t="s">
        <v>67</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8" hidden="false" customHeight="false" outlineLevel="0" collapsed="false">
      <c r="A48" s="0" t="s">
        <v>61</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0" t="s">
        <v>68</v>
      </c>
      <c r="B49" s="0" t="s">
        <v>69</v>
      </c>
      <c r="C49" s="0" t="s">
        <v>31</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A50" s="0" t="s">
        <v>44</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0" t="s">
        <v>70</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8" hidden="false" customHeight="false" outlineLevel="0" collapsed="false">
      <c r="A52" s="0" t="s">
        <v>71</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0" t="s">
        <v>72</v>
      </c>
      <c r="B53" s="0" t="s">
        <v>47</v>
      </c>
      <c r="C53" s="0" t="s">
        <v>48</v>
      </c>
      <c r="D53" s="0" t="s">
        <v>20</v>
      </c>
      <c r="E53" s="10"/>
      <c r="F53" s="11" t="s">
        <v>73</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8" hidden="false" customHeight="false" outlineLevel="0" collapsed="false">
      <c r="A54" s="0" t="s">
        <v>74</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8" hidden="false" customHeight="false" outlineLevel="0" collapsed="false">
      <c r="A55" s="0" t="s">
        <v>60</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0" t="s">
        <v>30</v>
      </c>
      <c r="B56" s="0" t="s">
        <v>75</v>
      </c>
      <c r="C56" s="0" t="s">
        <v>31</v>
      </c>
      <c r="E56" s="10" t="s">
        <v>30</v>
      </c>
      <c r="F56" s="11" t="str">
        <f aca="false">IF(OR(E56="",E56="!!!"),"",IF(NOT(ISNA(VLOOKUP(E56,E$1:E55,1,FALSE()))),"OLD",IF(AND(E56&lt;&gt;"",E56&lt;&gt;"!!!"),"NEW","")))</f>
        <v>NEW</v>
      </c>
      <c r="G56" s="12" t="s">
        <v>67</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8" hidden="false" customHeight="false" outlineLevel="0" collapsed="false">
      <c r="A57" s="0" t="s">
        <v>76</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8" hidden="false" customHeight="false" outlineLevel="0" collapsed="false">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0" t="s">
        <v>77</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0" t="s">
        <v>78</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8" hidden="false" customHeight="false" outlineLevel="0" collapsed="false">
      <c r="A61" s="0" t="s">
        <v>79</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8" hidden="false" customHeight="false" outlineLevel="0" collapsed="false">
      <c r="A62" s="0" t="s">
        <v>30</v>
      </c>
      <c r="B62" s="0" t="s">
        <v>14</v>
      </c>
      <c r="C62" s="0" t="s">
        <v>31</v>
      </c>
      <c r="E62" s="10" t="s">
        <v>30</v>
      </c>
      <c r="F62" s="11" t="str">
        <f aca="false">IF(OR(E62="",E62="!!!"),"",IF(NOT(ISNA(VLOOKUP(E62,E$1:E61,1,FALSE()))),"OLD",IF(AND(E62&lt;&gt;"",E62&lt;&gt;"!!!"),"NEW","")))</f>
        <v>OLD</v>
      </c>
      <c r="G62" s="12" t="s">
        <v>80</v>
      </c>
      <c r="H62" s="13"/>
      <c r="I62" s="14" t="str">
        <f aca="false">IF(OR(E62="",E62="!!!",F62="NEW"),"",INDEX(B$2:B61,-1+SUMPRODUCT(MAX(ROW(E$2:E61)*(E62=E$2:E61)))))</f>
        <v>other_2</v>
      </c>
      <c r="J62" s="15" t="n">
        <f aca="true">IF(OR(E62="",E62="!!!",F62="NEW"),"",COUNTBLANK(OFFSET(A$1,,,SUMPRODUCT(MAX(ROW(E$2:E62)*(E62=E$2:E62)))))-COUNTBLANK(OFFSET(A$1,,,SUMPRODUCT(MAX(ROW(E$1:E61)*(E62=E$1:E61))))))</f>
        <v>1</v>
      </c>
      <c r="K62" s="15" t="str">
        <f aca="false">IF(OR(E62="",E62="!!!",F62="NEW"),"",INDEX(J$1:J61,SUMPRODUCT(MAX(ROW(E$1:E61)*(E62=E$1:E61)))))</f>
        <v/>
      </c>
      <c r="L62" s="16"/>
    </row>
    <row r="63" customFormat="false" ht="12.8" hidden="false" customHeight="false" outlineLevel="0" collapsed="false">
      <c r="A63" s="0" t="s">
        <v>44</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0" t="s">
        <v>46</v>
      </c>
      <c r="B64" s="0" t="s">
        <v>34</v>
      </c>
      <c r="C64" s="0" t="s">
        <v>48</v>
      </c>
      <c r="D64" s="0" t="s">
        <v>20</v>
      </c>
      <c r="E64" s="10" t="s">
        <v>49</v>
      </c>
      <c r="F64" s="11" t="str">
        <f aca="false">IF(OR(E64="",E64="!!!"),"",IF(NOT(ISNA(VLOOKUP(E64,E$1:E63,1,FALSE()))),"OLD",IF(AND(E64&lt;&gt;"",E64&lt;&gt;"!!!"),"NEW","")))</f>
        <v>OLD</v>
      </c>
      <c r="G64" s="12" t="s">
        <v>80</v>
      </c>
      <c r="H64" s="13" t="s">
        <v>7</v>
      </c>
      <c r="I64" s="14" t="str">
        <f aca="false">IF(OR(E64="",E64="!!!",F64="NEW"),"",INDEX(B$2:B63,-1+SUMPRODUCT(MAX(ROW(E$2:E63)*(E64=E$2:E63)))))</f>
        <v>SBJ_2</v>
      </c>
      <c r="J64" s="15" t="n">
        <f aca="true">IF(OR(E64="",E64="!!!",F64="NEW"),"",COUNTBLANK(OFFSET(A$1,,,SUMPRODUCT(MAX(ROW(E$2:E64)*(E64=E$2:E64)))))-COUNTBLANK(OFFSET(A$1,,,SUMPRODUCT(MAX(ROW(E$1:E63)*(E64=E$1:E63))))))</f>
        <v>1</v>
      </c>
      <c r="K64" s="15" t="e">
        <f aca="false">IF(OR(E64="",E64="!!!",F64="NEW"),"",INDEX(J$1:J63,SUMPRODUCT(MAX(ROW(E$1:E63)*(E64=E$1:E63)))))</f>
        <v>#VALUE!</v>
      </c>
      <c r="L64" s="16" t="s">
        <v>81</v>
      </c>
    </row>
    <row r="65" customFormat="false" ht="12.8" hidden="false" customHeight="false" outlineLevel="0" collapsed="false">
      <c r="A65" s="0" t="s">
        <v>82</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8" hidden="false" customHeight="false" outlineLevel="0" collapsed="false">
      <c r="A66" s="0" t="s">
        <v>62</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A67" s="0" t="s">
        <v>41</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8" hidden="false" customHeight="false" outlineLevel="0" collapsed="false">
      <c r="A68" s="0" t="s">
        <v>83</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23.85" hidden="false" customHeight="false" outlineLevel="0" collapsed="false">
      <c r="A69" s="0" t="s">
        <v>84</v>
      </c>
      <c r="B69" s="0" t="s">
        <v>85</v>
      </c>
      <c r="C69" s="0" t="s">
        <v>27</v>
      </c>
      <c r="D69" s="0" t="s">
        <v>20</v>
      </c>
      <c r="E69" s="10" t="s">
        <v>30</v>
      </c>
      <c r="F69" s="11" t="s">
        <v>86</v>
      </c>
      <c r="G69" s="12" t="s">
        <v>87</v>
      </c>
      <c r="H69" s="13"/>
      <c r="I69" s="14" t="str">
        <f aca="false">IF(OR(E69="",E69="!!!",F69="NEW"),"",INDEX(B$2:B68,-1+SUMPRODUCT(MAX(ROW(E$2:E68)*(E69=E$2:E68)))))</f>
        <v>other</v>
      </c>
      <c r="J69" s="15" t="n">
        <f aca="true">IF(OR(E69="",E69="!!!",F69="NEW"),"",COUNTBLANK(OFFSET(A$1,,,SUMPRODUCT(MAX(ROW(E$2:E69)*(E69=E$2:E69)))))-COUNTBLANK(OFFSET(A$1,,,SUMPRODUCT(MAX(ROW(E$1:E68)*(E69=E$1:E68))))))</f>
        <v>0</v>
      </c>
      <c r="K69" s="15" t="n">
        <f aca="false">IF(OR(E69="",E69="!!!",F69="NEW"),"",INDEX(J$1:J68,SUMPRODUCT(MAX(ROW(E$1:E68)*(E69=E$1:E68)))))</f>
        <v>1</v>
      </c>
      <c r="L69" s="16"/>
    </row>
    <row r="70" customFormat="false" ht="12.8" hidden="false" customHeight="false" outlineLevel="0" collapsed="false">
      <c r="A70" s="0" t="s">
        <v>44</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8" hidden="false" customHeight="false" outlineLevel="0" collapsed="false">
      <c r="A71" s="0" t="s">
        <v>88</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8" hidden="false" customHeight="false" outlineLevel="0" collapsed="false">
      <c r="A72" s="0" t="s">
        <v>89</v>
      </c>
      <c r="E72" s="10" t="s">
        <v>90</v>
      </c>
      <c r="F72" s="11" t="str">
        <f aca="false">IF(OR(E72="",E72="!!!"),"",IF(NOT(ISNA(VLOOKUP(E72,E$1:E71,1,FALSE()))),"OLD",IF(AND(E72&lt;&gt;"",E72&lt;&gt;"!!!"),"NEW","")))</f>
        <v>NEW</v>
      </c>
      <c r="G72" s="12" t="s">
        <v>67</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0" t="s">
        <v>45</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8" hidden="false" customHeight="false" outlineLevel="0" collapsed="false">
      <c r="A74" s="0" t="s">
        <v>91</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23.85" hidden="false" customHeight="false" outlineLevel="0" collapsed="false">
      <c r="A75" s="0" t="s">
        <v>92</v>
      </c>
      <c r="B75" s="0" t="s">
        <v>75</v>
      </c>
      <c r="C75" s="0" t="s">
        <v>31</v>
      </c>
      <c r="E75" s="10" t="s">
        <v>93</v>
      </c>
      <c r="F75" s="11" t="str">
        <f aca="false">IF(OR(E75="",E75="!!!"),"",IF(NOT(ISNA(VLOOKUP(E75,E$1:E74,1,FALSE()))),"OLD",IF(AND(E75&lt;&gt;"",E75&lt;&gt;"!!!"),"NEW","")))</f>
        <v>NEW</v>
      </c>
      <c r="G75" s="12" t="s">
        <v>67</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8" hidden="false" customHeight="false" outlineLevel="0" collapsed="false">
      <c r="A76" s="0" t="s">
        <v>45</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A77" s="0" t="s">
        <v>94</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23.85" hidden="false" customHeight="false" outlineLevel="0" collapsed="false">
      <c r="A78" s="0" t="s">
        <v>95</v>
      </c>
      <c r="B78" s="0" t="s">
        <v>96</v>
      </c>
      <c r="C78" s="0" t="s">
        <v>31</v>
      </c>
      <c r="E78" s="10" t="s">
        <v>97</v>
      </c>
      <c r="F78" s="11" t="str">
        <f aca="false">IF(OR(E78="",E78="!!!"),"",IF(NOT(ISNA(VLOOKUP(E78,E$1:E77,1,FALSE()))),"OLD",IF(AND(E78&lt;&gt;"",E78&lt;&gt;"!!!"),"NEW","")))</f>
        <v>NEW</v>
      </c>
      <c r="G78" s="12" t="s">
        <v>67</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A79" s="0" t="s">
        <v>76</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8" hidden="false" customHeight="false" outlineLevel="0" collapsed="false">
      <c r="A81" s="0" t="s">
        <v>98</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8" hidden="false" customHeight="false" outlineLevel="0" collapsed="false">
      <c r="A82" s="0" t="s">
        <v>46</v>
      </c>
      <c r="B82" s="0" t="s">
        <v>34</v>
      </c>
      <c r="C82" s="0" t="s">
        <v>48</v>
      </c>
      <c r="D82" s="0" t="s">
        <v>20</v>
      </c>
      <c r="E82" s="10" t="s">
        <v>49</v>
      </c>
      <c r="F82" s="11" t="str">
        <f aca="false">IF(OR(E82="",E82="!!!"),"",IF(NOT(ISNA(VLOOKUP(E82,E$1:E81,1,FALSE()))),"OLD",IF(AND(E82&lt;&gt;"",E82&lt;&gt;"!!!"),"NEW","")))</f>
        <v>OLD</v>
      </c>
      <c r="G82" s="12" t="s">
        <v>87</v>
      </c>
      <c r="H82" s="13" t="str">
        <f aca="false">IF(J82&lt;&gt;1,"",IF(I82="SBJ","CB","?"))</f>
        <v>CB</v>
      </c>
      <c r="I82" s="14" t="str">
        <f aca="false">IF(OR(E82="",E82="!!!",F82="NEW"),"",INDEX(B$2:B81,-1+SUMPRODUCT(MAX(ROW(E$2:E81)*(E82=E$2:E81)))))</f>
        <v>SBJ</v>
      </c>
      <c r="J82" s="15" t="n">
        <f aca="true">IF(OR(E82="",E82="!!!",F82="NEW"),"",COUNTBLANK(OFFSET(A$1,,,SUMPRODUCT(MAX(ROW(E$2:E82)*(E82=E$2:E82)))))-COUNTBLANK(OFFSET(A$1,,,SUMPRODUCT(MAX(ROW(E$1:E81)*(E82=E$1:E81))))))</f>
        <v>1</v>
      </c>
      <c r="K82" s="15" t="n">
        <f aca="false">IF(OR(E82="",E82="!!!",F82="NEW"),"",INDEX(J$1:J81,SUMPRODUCT(MAX(ROW(E$1:E81)*(E82=E$1:E81)))))</f>
        <v>1</v>
      </c>
      <c r="L82" s="16"/>
    </row>
    <row r="83" customFormat="false" ht="12.8" hidden="false" customHeight="false" outlineLevel="0" collapsed="false">
      <c r="A83" s="0" t="s">
        <v>99</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8" hidden="false" customHeight="false" outlineLevel="0" collapsed="false">
      <c r="A84" s="0" t="s">
        <v>72</v>
      </c>
      <c r="B84" s="0" t="s">
        <v>47</v>
      </c>
      <c r="C84" s="0" t="s">
        <v>48</v>
      </c>
      <c r="D84" s="0" t="s">
        <v>20</v>
      </c>
      <c r="E84" s="10"/>
      <c r="F84" s="11" t="s">
        <v>73</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A85" s="0" t="s">
        <v>100</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A86" s="0" t="s">
        <v>101</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0" t="s">
        <v>60</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0" t="s">
        <v>102</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8" hidden="false" customHeight="false" outlineLevel="0" collapsed="false">
      <c r="A89" s="0" t="s">
        <v>103</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23.85" hidden="false" customHeight="false" outlineLevel="0" collapsed="false">
      <c r="A90" s="0" t="s">
        <v>84</v>
      </c>
      <c r="B90" s="0" t="s">
        <v>59</v>
      </c>
      <c r="C90" s="0" t="s">
        <v>104</v>
      </c>
      <c r="D90" s="0" t="s">
        <v>20</v>
      </c>
      <c r="E90" s="10" t="s">
        <v>30</v>
      </c>
      <c r="F90" s="11" t="s">
        <v>105</v>
      </c>
      <c r="G90" s="12" t="s">
        <v>80</v>
      </c>
      <c r="H90" s="13"/>
      <c r="I90" s="14" t="str">
        <f aca="false">IF(OR(E90="",E90="!!!",F90="NEW"),"",INDEX(B$2:B89,-1+SUMPRODUCT(MAX(ROW(E$2:E89)*(E90=E$2:E89)))))</f>
        <v>OBJ</v>
      </c>
      <c r="J90" s="15" t="n">
        <f aca="true">IF(OR(E90="",E90="!!!",F90="NEW"),"",COUNTBLANK(OFFSET(A$1,,,SUMPRODUCT(MAX(ROW(E$2:E90)*(E90=E$2:E90)))))-COUNTBLANK(OFFSET(A$1,,,SUMPRODUCT(MAX(ROW(E$1:E89)*(E90=E$1:E89))))))</f>
        <v>1</v>
      </c>
      <c r="K90" s="15" t="n">
        <f aca="false">IF(OR(E90="",E90="!!!",F90="NEW"),"",INDEX(J$1:J89,SUMPRODUCT(MAX(ROW(E$1:E89)*(E90=E$1:E89)))))</f>
        <v>0</v>
      </c>
      <c r="L90" s="16"/>
    </row>
    <row r="91" customFormat="false" ht="12.8" hidden="false" customHeight="false" outlineLevel="0" collapsed="false">
      <c r="A91" s="0" t="s">
        <v>44</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0" t="s">
        <v>106</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0" t="s">
        <v>107</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0" t="s">
        <v>108</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0" t="s">
        <v>109</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8" hidden="false" customHeight="false" outlineLevel="0" collapsed="false">
      <c r="A96" s="0" t="s">
        <v>110</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8" hidden="false" customHeight="false" outlineLevel="0" collapsed="false">
      <c r="A97" s="0" t="s">
        <v>111</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8" hidden="false" customHeight="false" outlineLevel="0" collapsed="false">
      <c r="A98" s="0" t="s">
        <v>112</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8" hidden="false" customHeight="false" outlineLevel="0" collapsed="false">
      <c r="A99" s="0" t="s">
        <v>113</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8" hidden="false" customHeight="false" outlineLevel="0" collapsed="false">
      <c r="A100" s="0" t="s">
        <v>114</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8" hidden="false" customHeight="false" outlineLevel="0" collapsed="false">
      <c r="A101" s="0" t="s">
        <v>115</v>
      </c>
      <c r="B101" s="0" t="s">
        <v>116</v>
      </c>
      <c r="C101" s="0" t="s">
        <v>31</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8" hidden="false" customHeight="false" outlineLevel="0" collapsed="false">
      <c r="A102" s="0" t="s">
        <v>76</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8" hidden="false" customHeight="false" outlineLevel="0" collapsed="false">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8" hidden="false" customHeight="false" outlineLevel="0" collapsed="false">
      <c r="A104" s="0" t="s">
        <v>117</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8" hidden="false" customHeight="false" outlineLevel="0" collapsed="false">
      <c r="A105" s="0" t="s">
        <v>78</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0" t="s">
        <v>118</v>
      </c>
      <c r="B106" s="0" t="s">
        <v>14</v>
      </c>
      <c r="C106" s="0" t="s">
        <v>119</v>
      </c>
      <c r="D106" s="0" t="s">
        <v>20</v>
      </c>
      <c r="E106" s="10" t="s">
        <v>118</v>
      </c>
      <c r="F106" s="11" t="s">
        <v>35</v>
      </c>
      <c r="G106" s="12" t="s">
        <v>36</v>
      </c>
      <c r="H106" s="13"/>
      <c r="I106" s="14" t="e">
        <f aca="false">IF(OR(E106="",E106="!!!",F106="NEW"),"",INDEX(B$2:B105,-1+SUMPRODUCT(MAX(ROW(E$2:E105)*(E106=E$2:E105)))))</f>
        <v>#VALUE!</v>
      </c>
      <c r="J106" s="15" t="e">
        <f aca="true">IF(OR(E106="",E106="!!!",F106="NEW"),"",COUNTBLANK(OFFSET(A$1,,,SUMPRODUCT(MAX(ROW(E$2:E106)*(E106=E$2:E106)))))-COUNTBLANK(OFFSET(A$1,,,SUMPRODUCT(MAX(ROW(E$1:E105)*(E106=E$1:E105))))))</f>
        <v>#VALUE!</v>
      </c>
      <c r="K106" s="15" t="e">
        <f aca="false">IF(OR(E106="",E106="!!!",F106="NEW"),"",INDEX(J$1:J105,SUMPRODUCT(MAX(ROW(E$1:E105)*(E106=E$1:E105)))))</f>
        <v>#VALUE!</v>
      </c>
      <c r="L106" s="16"/>
    </row>
    <row r="107" customFormat="false" ht="12.8" hidden="false" customHeight="false" outlineLevel="0" collapsed="false">
      <c r="A107" s="0" t="s">
        <v>100</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23.85" hidden="false" customHeight="false" outlineLevel="0" collapsed="false">
      <c r="A108" s="0" t="s">
        <v>120</v>
      </c>
      <c r="B108" s="0" t="s">
        <v>34</v>
      </c>
      <c r="C108" s="0" t="s">
        <v>121</v>
      </c>
      <c r="D108" s="0" t="s">
        <v>20</v>
      </c>
      <c r="E108" s="10" t="s">
        <v>122</v>
      </c>
      <c r="F108" s="11" t="s">
        <v>123</v>
      </c>
      <c r="G108" s="12" t="s">
        <v>67</v>
      </c>
      <c r="H108" s="13"/>
      <c r="I108" s="14" t="e">
        <f aca="false">IF(OR(E108="",E108="!!!",F108="NEW"),"",INDEX(B$2:B107,-1+SUMPRODUCT(MAX(ROW(E$2:E107)*(E108=E$2:E107)))))</f>
        <v>#VALUE!</v>
      </c>
      <c r="J108" s="15" t="e">
        <f aca="true">IF(OR(E108="",E108="!!!",F108="NEW"),"",COUNTBLANK(OFFSET(A$1,,,SUMPRODUCT(MAX(ROW(E$2:E108)*(E108=E$2:E108)))))-COUNTBLANK(OFFSET(A$1,,,SUMPRODUCT(MAX(ROW(E$1:E107)*(E108=E$1:E107))))))</f>
        <v>#VALUE!</v>
      </c>
      <c r="K108" s="15" t="e">
        <f aca="false">IF(OR(E108="",E108="!!!",F108="NEW"),"",INDEX(J$1:J107,SUMPRODUCT(MAX(ROW(E$1:E107)*(E108=E$1:E107)))))</f>
        <v>#VALUE!</v>
      </c>
      <c r="L108" s="16" t="s">
        <v>124</v>
      </c>
    </row>
    <row r="109" customFormat="false" ht="12.8" hidden="false" customHeight="false" outlineLevel="0" collapsed="false">
      <c r="A109" s="0" t="s">
        <v>51</v>
      </c>
      <c r="B109" s="0" t="s">
        <v>53</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A110" s="0" t="s">
        <v>125</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0" t="s">
        <v>126</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0" t="s">
        <v>127</v>
      </c>
      <c r="B112" s="0" t="s">
        <v>59</v>
      </c>
      <c r="C112" s="0" t="s">
        <v>48</v>
      </c>
      <c r="D112" s="0" t="s">
        <v>20</v>
      </c>
      <c r="E112" s="10" t="s">
        <v>128</v>
      </c>
      <c r="F112" s="11" t="s">
        <v>35</v>
      </c>
      <c r="G112" s="12" t="s">
        <v>36</v>
      </c>
      <c r="H112" s="13"/>
      <c r="I112" s="14" t="e">
        <f aca="false">IF(OR(E112="",E112="!!!",F112="NEW"),"",INDEX(B$2:B111,-1+SUMPRODUCT(MAX(ROW(E$2:E111)*(E112=E$2:E111)))))</f>
        <v>#VALUE!</v>
      </c>
      <c r="J112" s="15" t="e">
        <f aca="true">IF(OR(E112="",E112="!!!",F112="NEW"),"",COUNTBLANK(OFFSET(A$1,,,SUMPRODUCT(MAX(ROW(E$2:E112)*(E112=E$2:E112)))))-COUNTBLANK(OFFSET(A$1,,,SUMPRODUCT(MAX(ROW(E$1:E111)*(E112=E$1:E111))))))</f>
        <v>#VALUE!</v>
      </c>
      <c r="K112" s="15" t="e">
        <f aca="false">IF(OR(E112="",E112="!!!",F112="NEW"),"",INDEX(J$1:J111,SUMPRODUCT(MAX(ROW(E$1:E111)*(E112=E$1:E111)))))</f>
        <v>#VALUE!</v>
      </c>
      <c r="L112" s="16"/>
    </row>
    <row r="113" customFormat="false" ht="12.8" hidden="false" customHeight="false" outlineLevel="0" collapsed="false">
      <c r="A113" s="0" t="s">
        <v>16</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8" hidden="false" customHeight="false" outlineLevel="0" collapsed="false">
      <c r="A114" s="0" t="s">
        <v>62</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0" t="s">
        <v>129</v>
      </c>
      <c r="B115" s="0" t="s">
        <v>65</v>
      </c>
      <c r="C115" s="0" t="s">
        <v>27</v>
      </c>
      <c r="D115" s="0" t="s">
        <v>20</v>
      </c>
      <c r="E115" s="10" t="s">
        <v>130</v>
      </c>
      <c r="F115" s="11" t="str">
        <f aca="false">IF(OR(E115="",E115="!!!"),"",IF(NOT(ISNA(VLOOKUP(E115,E$1:E114,1,FALSE()))),"OLD",IF(AND(E115&lt;&gt;"",E115&lt;&gt;"!!!"),"NEW","")))</f>
        <v>NEW</v>
      </c>
      <c r="G115" s="12" t="s">
        <v>131</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8" hidden="false" customHeight="false" outlineLevel="0" collapsed="false">
      <c r="A116" s="0" t="s">
        <v>61</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8" hidden="false" customHeight="false" outlineLevel="0" collapsed="false">
      <c r="A117" s="0" t="s">
        <v>132</v>
      </c>
      <c r="B117" s="0" t="s">
        <v>69</v>
      </c>
      <c r="C117" s="0" t="s">
        <v>31</v>
      </c>
      <c r="E117" s="10" t="s">
        <v>133</v>
      </c>
      <c r="F117" s="11" t="str">
        <f aca="false">IF(OR(E117="",E117="!!!"),"",IF(NOT(ISNA(VLOOKUP(E117,E$1:E116,1,FALSE()))),"OLD",IF(AND(E117&lt;&gt;"",E117&lt;&gt;"!!!"),"NEW","")))</f>
        <v>NEW</v>
      </c>
      <c r="G117" s="12" t="s">
        <v>131</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8" hidden="false" customHeight="false" outlineLevel="0" collapsed="false">
      <c r="A118" s="0" t="s">
        <v>60</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8" hidden="false" customHeight="false" outlineLevel="0" collapsed="false">
      <c r="A119" s="0" t="s">
        <v>41</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8" hidden="false" customHeight="false" outlineLevel="0" collapsed="false">
      <c r="A120" s="0" t="s">
        <v>134</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0" t="s">
        <v>30</v>
      </c>
      <c r="B121" s="0" t="s">
        <v>116</v>
      </c>
      <c r="C121" s="0" t="s">
        <v>31</v>
      </c>
      <c r="E121" s="10" t="s">
        <v>30</v>
      </c>
      <c r="F121" s="11" t="str">
        <f aca="false">IF(OR(E121="",E121="!!!"),"",IF(NOT(ISNA(VLOOKUP(E121,E$1:E120,1,FALSE()))),"OLD",IF(AND(E121&lt;&gt;"",E121&lt;&gt;"!!!"),"NEW","")))</f>
        <v>OLD</v>
      </c>
      <c r="G121" s="12" t="s">
        <v>87</v>
      </c>
      <c r="H121" s="13" t="s">
        <v>7</v>
      </c>
      <c r="I121" s="14" t="str">
        <f aca="false">IF(OR(E121="",E121="!!!",F121="NEW"),"",INDEX(B$2:B120,-1+SUMPRODUCT(MAX(ROW(E$2:E120)*(E121=E$2:E120)))))</f>
        <v>OBJ_3</v>
      </c>
      <c r="J121" s="15" t="n">
        <f aca="true">IF(OR(E121="",E121="!!!",F121="NEW"),"",COUNTBLANK(OFFSET(A$1,,,SUMPRODUCT(MAX(ROW(E$2:E121)*(E121=E$2:E121)))))-COUNTBLANK(OFFSET(A$1,,,SUMPRODUCT(MAX(ROW(E$1:E120)*(E121=E$1:E120))))))</f>
        <v>1</v>
      </c>
      <c r="K121" s="15" t="n">
        <f aca="false">IF(OR(E121="",E121="!!!",F121="NEW"),"",INDEX(J$1:J120,SUMPRODUCT(MAX(ROW(E$1:E120)*(E121=E$1:E120)))))</f>
        <v>1</v>
      </c>
      <c r="L121" s="16" t="s">
        <v>135</v>
      </c>
    </row>
    <row r="122" customFormat="false" ht="12.8" hidden="false" customHeight="false" outlineLevel="0" collapsed="false">
      <c r="A122" s="0" t="s">
        <v>136</v>
      </c>
      <c r="E122" s="17" t="s">
        <v>122</v>
      </c>
      <c r="F122" s="11" t="str">
        <f aca="false">IF(OR(E122="",E122="!!!"),"",IF(NOT(ISNA(VLOOKUP(E122,E$1:E121,1,FALSE()))),"OLD",IF(AND(E122&lt;&gt;"",E122&lt;&gt;"!!!"),"NEW","")))</f>
        <v>OLD</v>
      </c>
      <c r="G122" s="12" t="s">
        <v>137</v>
      </c>
      <c r="H122" s="13" t="str">
        <f aca="false">IF(J122&lt;&gt;1,"",IF(I122="SBJ","CB","?"))</f>
        <v/>
      </c>
      <c r="I122" s="14" t="str">
        <f aca="false">IF(OR(E122="",E122="!!!",F122="NEW"),"",INDEX(B$2:B121,-1+SUMPRODUCT(MAX(ROW(E$2:E121)*(E122=E$2:E121)))))</f>
        <v>SBJ</v>
      </c>
      <c r="J122" s="15" t="n">
        <f aca="true">IF(OR(E122="",E122="!!!",F122="NEW"),"",COUNTBLANK(OFFSET(A$1,,,SUMPRODUCT(MAX(ROW(E$2:E122)*(E122=E$2:E122)))))-COUNTBLANK(OFFSET(A$1,,,SUMPRODUCT(MAX(ROW(E$1:E121)*(E122=E$1:E121))))))</f>
        <v>0</v>
      </c>
      <c r="K122" s="15" t="e">
        <f aca="false">IF(OR(E122="",E122="!!!",F122="NEW"),"",INDEX(J$1:J121,SUMPRODUCT(MAX(ROW(E$1:E121)*(E122=E$1:E121)))))</f>
        <v>#VALUE!</v>
      </c>
      <c r="L122" s="16" t="s">
        <v>138</v>
      </c>
    </row>
    <row r="123" customFormat="false" ht="12.8" hidden="false" customHeight="false" outlineLevel="0" collapsed="false">
      <c r="A123" s="0" t="s">
        <v>139</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0" t="s">
        <v>140</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8" hidden="false" customHeight="false" outlineLevel="0" collapsed="false">
      <c r="A125" s="0" t="s">
        <v>52</v>
      </c>
      <c r="B125" s="0" t="s">
        <v>69</v>
      </c>
      <c r="C125" s="0" t="s">
        <v>31</v>
      </c>
      <c r="E125" s="10" t="s">
        <v>52</v>
      </c>
      <c r="F125" s="11" t="str">
        <f aca="false">IF(OR(E125="",E125="!!!"),"",IF(NOT(ISNA(VLOOKUP(E125,E$1:E124,1,FALSE()))),"OLD",IF(AND(E125&lt;&gt;"",E125&lt;&gt;"!!!"),"NEW","")))</f>
        <v>NEW</v>
      </c>
      <c r="G125" s="12" t="s">
        <v>67</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8" hidden="false" customHeight="false" outlineLevel="0" collapsed="false">
      <c r="A126" s="0" t="s">
        <v>44</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0" t="s">
        <v>62</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8" hidden="false" customHeight="false" outlineLevel="0" collapsed="false">
      <c r="A128" s="0" t="s">
        <v>141</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0" t="s">
        <v>52</v>
      </c>
      <c r="B129" s="0" t="s">
        <v>14</v>
      </c>
      <c r="C129" s="0" t="s">
        <v>27</v>
      </c>
      <c r="D129" s="0" t="s">
        <v>20</v>
      </c>
      <c r="E129" s="10" t="s">
        <v>52</v>
      </c>
      <c r="F129" s="11" t="s">
        <v>86</v>
      </c>
      <c r="G129" s="12" t="s">
        <v>87</v>
      </c>
      <c r="H129" s="13" t="str">
        <f aca="false">IF(J129&lt;&gt;1,"",IF(I129="SBJ","CB","?"))</f>
        <v/>
      </c>
      <c r="I129" s="14" t="str">
        <f aca="false">IF(OR(E129="",E129="!!!",F129="NEW"),"",INDEX(B$2:B128,-1+SUMPRODUCT(MAX(ROW(E$2:E128)*(E129=E$2:E128)))))</f>
        <v>other_5</v>
      </c>
      <c r="J129" s="15" t="n">
        <f aca="true">IF(OR(E129="",E129="!!!",F129="NEW"),"",COUNTBLANK(OFFSET(A$1,,,SUMPRODUCT(MAX(ROW(E$2:E129)*(E129=E$2:E129)))))-COUNTBLANK(OFFSET(A$1,,,SUMPRODUCT(MAX(ROW(E$1:E128)*(E129=E$1:E128))))))</f>
        <v>0</v>
      </c>
      <c r="K129" s="15" t="str">
        <f aca="false">IF(OR(E129="",E129="!!!",F129="NEW"),"",INDEX(J$1:J128,SUMPRODUCT(MAX(ROW(E$1:E128)*(E129=E$1:E128)))))</f>
        <v/>
      </c>
      <c r="L129" s="16"/>
    </row>
    <row r="130" customFormat="false" ht="12.8" hidden="false" customHeight="false" outlineLevel="0" collapsed="false">
      <c r="A130" s="0" t="s">
        <v>88</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8" hidden="false" customHeight="false" outlineLevel="0" collapsed="false">
      <c r="A131" s="0" t="s">
        <v>142</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8" hidden="false" customHeight="false" outlineLevel="0" collapsed="false">
      <c r="A132" s="0" t="s">
        <v>143</v>
      </c>
      <c r="B132" s="0" t="s">
        <v>75</v>
      </c>
      <c r="C132" s="0" t="s">
        <v>31</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t="s">
        <v>144</v>
      </c>
    </row>
    <row r="133" customFormat="false" ht="12.8" hidden="false" customHeight="false" outlineLevel="0" collapsed="false">
      <c r="A133" s="0" t="s">
        <v>44</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8" hidden="false" customHeight="false" outlineLevel="0" collapsed="false">
      <c r="A134" s="0" t="s">
        <v>145</v>
      </c>
      <c r="B134" s="0" t="s">
        <v>96</v>
      </c>
      <c r="C134" s="0" t="s">
        <v>31</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8" hidden="false" customHeight="false" outlineLevel="0" collapsed="false">
      <c r="A135" s="0" t="s">
        <v>45</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8" hidden="false" customHeight="false" outlineLevel="0" collapsed="false">
      <c r="A136" s="0" t="s">
        <v>146</v>
      </c>
      <c r="B136" s="0" t="s">
        <v>96</v>
      </c>
      <c r="C136" s="0" t="s">
        <v>31</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0" t="s">
        <v>76</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8" hidden="false" customHeight="false" outlineLevel="0" collapsed="false">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0" t="s">
        <v>147</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8" hidden="false" customHeight="false" outlineLevel="0" collapsed="false">
      <c r="A140" s="0" t="s">
        <v>46</v>
      </c>
      <c r="B140" s="0" t="s">
        <v>34</v>
      </c>
      <c r="C140" s="0" t="s">
        <v>48</v>
      </c>
      <c r="D140" s="0" t="s">
        <v>20</v>
      </c>
      <c r="E140" s="10" t="s">
        <v>49</v>
      </c>
      <c r="F140" s="11" t="str">
        <f aca="false">IF(OR(E140="",E140="!!!"),"",IF(NOT(ISNA(VLOOKUP(E140,E$1:E139,1,FALSE()))),"OLD",IF(AND(E140&lt;&gt;"",E140&lt;&gt;"!!!"),"NEW","")))</f>
        <v>OLD</v>
      </c>
      <c r="G140" s="12" t="s">
        <v>80</v>
      </c>
      <c r="H140" s="13" t="str">
        <f aca="false">IF(J140&lt;&gt;1,"",IF(I140="SBJ","CB","?"))</f>
        <v/>
      </c>
      <c r="I140" s="14" t="str">
        <f aca="false">IF(OR(E140="",E140="!!!",F140="NEW"),"",INDEX(B$2:B139,-1+SUMPRODUCT(MAX(ROW(E$2:E139)*(E140=E$2:E139)))))</f>
        <v>SBJ</v>
      </c>
      <c r="J140" s="15" t="n">
        <f aca="true">IF(OR(E140="",E140="!!!",F140="NEW"),"",COUNTBLANK(OFFSET(A$1,,,SUMPRODUCT(MAX(ROW(E$2:E140)*(E140=E$2:E140)))))-COUNTBLANK(OFFSET(A$1,,,SUMPRODUCT(MAX(ROW(E$1:E139)*(E140=E$1:E139))))))</f>
        <v>2</v>
      </c>
      <c r="K140" s="15" t="n">
        <f aca="false">IF(OR(E140="",E140="!!!",F140="NEW"),"",INDEX(J$1:J139,SUMPRODUCT(MAX(ROW(E$1:E139)*(E140=E$1:E139)))))</f>
        <v>1</v>
      </c>
      <c r="L140" s="16"/>
    </row>
    <row r="141" customFormat="false" ht="12.8" hidden="false" customHeight="false" outlineLevel="0" collapsed="false">
      <c r="A141" s="0" t="s">
        <v>148</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0" t="s">
        <v>51</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8" hidden="false" customHeight="false" outlineLevel="0" collapsed="false">
      <c r="A143" s="0" t="s">
        <v>149</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0" t="s">
        <v>150</v>
      </c>
      <c r="B144" s="0" t="s">
        <v>47</v>
      </c>
      <c r="C144" s="0" t="s">
        <v>31</v>
      </c>
      <c r="E144" s="10" t="s">
        <v>151</v>
      </c>
      <c r="F144" s="11" t="str">
        <f aca="false">IF(OR(E144="",E144="!!!"),"",IF(NOT(ISNA(VLOOKUP(E144,E$1:E143,1,FALSE()))),"OLD",IF(AND(E144&lt;&gt;"",E144&lt;&gt;"!!!"),"NEW","")))</f>
        <v>NEW</v>
      </c>
      <c r="G144" s="12" t="s">
        <v>67</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0" t="s">
        <v>37</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8" hidden="false" customHeight="false" outlineLevel="0" collapsed="false">
      <c r="A146" s="0" t="s">
        <v>152</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8" hidden="false" customHeight="false" outlineLevel="0" collapsed="false">
      <c r="A147" s="0" t="s">
        <v>153</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A148" s="0" t="s">
        <v>154</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8" hidden="false" customHeight="false" outlineLevel="0" collapsed="false">
      <c r="A149" s="0" t="s">
        <v>127</v>
      </c>
      <c r="B149" s="0" t="s">
        <v>53</v>
      </c>
      <c r="C149" s="0" t="s">
        <v>48</v>
      </c>
      <c r="D149" s="0" t="s">
        <v>20</v>
      </c>
      <c r="E149" s="10" t="s">
        <v>128</v>
      </c>
      <c r="F149" s="11" t="str">
        <f aca="false">IF(OR(E149="",E149="!!!"),"",IF(NOT(ISNA(VLOOKUP(E149,E$1:E148,1,FALSE()))),"OLD",IF(AND(E149&lt;&gt;"",E149&lt;&gt;"!!!"),"NEW","")))</f>
        <v>OLD</v>
      </c>
      <c r="G149" s="12" t="s">
        <v>80</v>
      </c>
      <c r="H149" s="13" t="s">
        <v>7</v>
      </c>
      <c r="I149" s="14" t="str">
        <f aca="false">IF(OR(E149="",E149="!!!",F149="NEW"),"",INDEX(B$2:B148,-1+SUMPRODUCT(MAX(ROW(E$2:E148)*(E149=E$2:E148)))))</f>
        <v>OBJ_3</v>
      </c>
      <c r="J149" s="15" t="n">
        <f aca="true">IF(OR(E149="",E149="!!!",F149="NEW"),"",COUNTBLANK(OFFSET(A$1,,,SUMPRODUCT(MAX(ROW(E$2:E149)*(E149=E$2:E149)))))-COUNTBLANK(OFFSET(A$1,,,SUMPRODUCT(MAX(ROW(E$1:E148)*(E149=E$1:E148))))))</f>
        <v>1</v>
      </c>
      <c r="K149" s="15" t="e">
        <f aca="false">IF(OR(E149="",E149="!!!",F149="NEW"),"",INDEX(J$1:J148,SUMPRODUCT(MAX(ROW(E$1:E148)*(E149=E$1:E148)))))</f>
        <v>#VALUE!</v>
      </c>
      <c r="L149" s="16" t="s">
        <v>155</v>
      </c>
    </row>
    <row r="150" customFormat="false" ht="12.8" hidden="false" customHeight="false" outlineLevel="0" collapsed="false">
      <c r="A150" s="0" t="s">
        <v>99</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0" t="s">
        <v>44</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8" hidden="false" customHeight="false" outlineLevel="0" collapsed="false">
      <c r="A152" s="0" t="s">
        <v>156</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8" hidden="false" customHeight="false" outlineLevel="0" collapsed="false">
      <c r="A153" s="0" t="s">
        <v>113</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8" hidden="false" customHeight="false" outlineLevel="0" collapsed="false">
      <c r="A154" s="0" t="s">
        <v>157</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8" hidden="false" customHeight="false" outlineLevel="0" collapsed="false">
      <c r="A155" s="0" t="s">
        <v>154</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8" hidden="false" customHeight="false" outlineLevel="0" collapsed="false">
      <c r="A156" s="0" t="s">
        <v>127</v>
      </c>
      <c r="B156" s="0" t="s">
        <v>158</v>
      </c>
      <c r="C156" s="0" t="s">
        <v>48</v>
      </c>
      <c r="D156" s="0" t="s">
        <v>20</v>
      </c>
      <c r="E156" s="10" t="s">
        <v>128</v>
      </c>
      <c r="F156" s="11" t="str">
        <f aca="false">IF(OR(E156="",E156="!!!"),"",IF(NOT(ISNA(VLOOKUP(E156,E$1:E155,1,FALSE()))),"OLD",IF(AND(E156&lt;&gt;"",E156&lt;&gt;"!!!"),"NEW","")))</f>
        <v>OLD</v>
      </c>
      <c r="G156" s="12" t="s">
        <v>87</v>
      </c>
      <c r="H156" s="13" t="str">
        <f aca="false">IF(J156&lt;&gt;1,"",IF(I156="SBJ","CB","?"))</f>
        <v/>
      </c>
      <c r="I156" s="14" t="str">
        <f aca="false">IF(OR(E156="",E156="!!!",F156="NEW"),"",INDEX(B$2:B155,-1+SUMPRODUCT(MAX(ROW(E$2:E155)*(E156=E$2:E155)))))</f>
        <v>SBJ_3</v>
      </c>
      <c r="J156" s="15" t="n">
        <f aca="true">IF(OR(E156="",E156="!!!",F156="NEW"),"",COUNTBLANK(OFFSET(A$1,,,SUMPRODUCT(MAX(ROW(E$2:E156)*(E156=E$2:E156)))))-COUNTBLANK(OFFSET(A$1,,,SUMPRODUCT(MAX(ROW(E$1:E155)*(E156=E$1:E155))))))</f>
        <v>0</v>
      </c>
      <c r="K156" s="15" t="n">
        <f aca="false">IF(OR(E156="",E156="!!!",F156="NEW"),"",INDEX(J$1:J155,SUMPRODUCT(MAX(ROW(E$1:E155)*(E156=E$1:E155)))))</f>
        <v>1</v>
      </c>
      <c r="L156" s="16"/>
    </row>
    <row r="157" customFormat="false" ht="12.8" hidden="false" customHeight="false" outlineLevel="0" collapsed="false">
      <c r="A157" s="0" t="s">
        <v>148</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8" hidden="false" customHeight="false" outlineLevel="0" collapsed="false">
      <c r="A158" s="0" t="s">
        <v>44</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8" hidden="false" customHeight="false" outlineLevel="0" collapsed="false">
      <c r="A159" s="0" t="s">
        <v>45</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8" hidden="false" customHeight="false" outlineLevel="0" collapsed="false">
      <c r="A160" s="0" t="s">
        <v>159</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8" hidden="false" customHeight="false" outlineLevel="0" collapsed="false">
      <c r="A161" s="0" t="s">
        <v>160</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0" t="s">
        <v>154</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0" t="s">
        <v>161</v>
      </c>
      <c r="B163" s="0" t="s">
        <v>162</v>
      </c>
      <c r="C163" s="0" t="s">
        <v>48</v>
      </c>
      <c r="D163" s="0" t="s">
        <v>20</v>
      </c>
      <c r="E163" s="10" t="s">
        <v>163</v>
      </c>
      <c r="F163" s="11" t="s">
        <v>164</v>
      </c>
      <c r="G163" s="12" t="s">
        <v>80</v>
      </c>
      <c r="H163" s="13"/>
      <c r="I163" s="14" t="e">
        <f aca="false">IF(OR(E163="",E163="!!!",F163="NEW"),"",INDEX(B$2:B162,-1+SUMPRODUCT(MAX(ROW(E$2:E162)*(E163=E$2:E162)))))</f>
        <v>#VALUE!</v>
      </c>
      <c r="J163" s="15" t="e">
        <f aca="true">IF(OR(E163="",E163="!!!",F163="NEW"),"",COUNTBLANK(OFFSET(A$1,,,SUMPRODUCT(MAX(ROW(E$2:E163)*(E163=E$2:E163)))))-COUNTBLANK(OFFSET(A$1,,,SUMPRODUCT(MAX(ROW(E$1:E162)*(E163=E$1:E162))))))</f>
        <v>#VALUE!</v>
      </c>
      <c r="K163" s="15" t="e">
        <f aca="false">IF(OR(E163="",E163="!!!",F163="NEW"),"",INDEX(J$1:J162,SUMPRODUCT(MAX(ROW(E$1:E162)*(E163=E$1:E162)))))</f>
        <v>#VALUE!</v>
      </c>
      <c r="L163" s="16"/>
    </row>
    <row r="164" customFormat="false" ht="12.8" hidden="false" customHeight="false" outlineLevel="0" collapsed="false">
      <c r="A164" s="0" t="s">
        <v>109</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8" hidden="false" customHeight="false" outlineLevel="0" collapsed="false">
      <c r="A165" s="0" t="s">
        <v>165</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0" t="s">
        <v>76</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8" hidden="false" customHeight="false" outlineLevel="0" collapsed="false">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0" t="s">
        <v>166</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8" hidden="false" customHeight="false" outlineLevel="0" collapsed="false">
      <c r="A169" s="0" t="s">
        <v>167</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8" hidden="false" customHeight="false" outlineLevel="0" collapsed="false">
      <c r="A170" s="0" t="s">
        <v>168</v>
      </c>
      <c r="B170" s="0" t="s">
        <v>85</v>
      </c>
      <c r="C170" s="0" t="s">
        <v>48</v>
      </c>
      <c r="D170" s="0" t="s">
        <v>20</v>
      </c>
      <c r="E170" s="10" t="s">
        <v>49</v>
      </c>
      <c r="F170" s="11" t="str">
        <f aca="false">IF(OR(E170="",E170="!!!"),"",IF(NOT(ISNA(VLOOKUP(E170,E$1:E169,1,FALSE()))),"OLD",IF(AND(E170&lt;&gt;"",E170&lt;&gt;"!!!"),"NEW","")))</f>
        <v>OLD</v>
      </c>
      <c r="G170" s="12" t="s">
        <v>87</v>
      </c>
      <c r="H170" s="13" t="str">
        <f aca="false">IF(J170&lt;&gt;1,"",IF(I170="SBJ","CB","?"))</f>
        <v>CB</v>
      </c>
      <c r="I170" s="14" t="str">
        <f aca="false">IF(OR(E170="",E170="!!!",F170="NEW"),"",INDEX(B$2:B169,-1+SUMPRODUCT(MAX(ROW(E$2:E169)*(E170=E$2:E169)))))</f>
        <v>SBJ</v>
      </c>
      <c r="J170" s="15" t="n">
        <f aca="true">IF(OR(E170="",E170="!!!",F170="NEW"),"",COUNTBLANK(OFFSET(A$1,,,SUMPRODUCT(MAX(ROW(E$2:E170)*(E170=E$2:E170)))))-COUNTBLANK(OFFSET(A$1,,,SUMPRODUCT(MAX(ROW(E$1:E169)*(E170=E$1:E169))))))</f>
        <v>1</v>
      </c>
      <c r="K170" s="15" t="n">
        <f aca="false">IF(OR(E170="",E170="!!!",F170="NEW"),"",INDEX(J$1:J169,SUMPRODUCT(MAX(ROW(E$1:E169)*(E170=E$1:E169)))))</f>
        <v>2</v>
      </c>
      <c r="L170" s="16"/>
    </row>
    <row r="171" customFormat="false" ht="12.8" hidden="false" customHeight="false" outlineLevel="0" collapsed="false">
      <c r="A171" s="0" t="s">
        <v>169</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8" hidden="false" customHeight="false" outlineLevel="0" collapsed="false">
      <c r="A172" s="0" t="s">
        <v>127</v>
      </c>
      <c r="B172" s="0" t="s">
        <v>170</v>
      </c>
      <c r="C172" s="0" t="s">
        <v>48</v>
      </c>
      <c r="D172" s="0" t="s">
        <v>20</v>
      </c>
      <c r="E172" s="10" t="s">
        <v>128</v>
      </c>
      <c r="F172" s="11" t="str">
        <f aca="false">IF(OR(E172="",E172="!!!"),"",IF(NOT(ISNA(VLOOKUP(E172,E$1:E171,1,FALSE()))),"OLD",IF(AND(E172&lt;&gt;"",E172&lt;&gt;"!!!"),"NEW","")))</f>
        <v>OLD</v>
      </c>
      <c r="G172" s="12" t="s">
        <v>80</v>
      </c>
      <c r="H172" s="13"/>
      <c r="I172" s="14" t="str">
        <f aca="false">IF(OR(E172="",E172="!!!",F172="NEW"),"",INDEX(B$2:B171,-1+SUMPRODUCT(MAX(ROW(E$2:E171)*(E172=E$2:E171)))))</f>
        <v>SBJ_5</v>
      </c>
      <c r="J172" s="15" t="n">
        <f aca="true">IF(OR(E172="",E172="!!!",F172="NEW"),"",COUNTBLANK(OFFSET(A$1,,,SUMPRODUCT(MAX(ROW(E$2:E172)*(E172=E$2:E172)))))-COUNTBLANK(OFFSET(A$1,,,SUMPRODUCT(MAX(ROW(E$1:E171)*(E172=E$1:E171))))))</f>
        <v>1</v>
      </c>
      <c r="K172" s="15" t="n">
        <f aca="false">IF(OR(E172="",E172="!!!",F172="NEW"),"",INDEX(J$1:J171,SUMPRODUCT(MAX(ROW(E$1:E171)*(E172=E$1:E171)))))</f>
        <v>0</v>
      </c>
      <c r="L172" s="16"/>
    </row>
    <row r="173" customFormat="false" ht="12.8" hidden="false" customHeight="false" outlineLevel="0" collapsed="false">
      <c r="A173" s="0" t="s">
        <v>171</v>
      </c>
      <c r="B173" s="0" t="s">
        <v>170</v>
      </c>
      <c r="C173" s="0" t="s">
        <v>172</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8" hidden="false" customHeight="false" outlineLevel="0" collapsed="false">
      <c r="A174" s="0" t="s">
        <v>161</v>
      </c>
      <c r="B174" s="0" t="s">
        <v>173</v>
      </c>
      <c r="C174" s="0" t="s">
        <v>48</v>
      </c>
      <c r="D174" s="0" t="s">
        <v>20</v>
      </c>
      <c r="E174" s="10" t="s">
        <v>161</v>
      </c>
      <c r="F174" s="11" t="s">
        <v>105</v>
      </c>
      <c r="G174" s="12" t="s">
        <v>80</v>
      </c>
      <c r="H174" s="13"/>
      <c r="I174" s="14" t="e">
        <f aca="false">IF(OR(E174="",E174="!!!",F174="NEW"),"",INDEX(B$2:B173,-1+SUMPRODUCT(MAX(ROW(E$2:E173)*(E174=E$2:E173)))))</f>
        <v>#VALUE!</v>
      </c>
      <c r="J174" s="15" t="e">
        <f aca="true">IF(OR(E174="",E174="!!!",F174="NEW"),"",COUNTBLANK(OFFSET(A$1,,,SUMPRODUCT(MAX(ROW(E$2:E174)*(E174=E$2:E174)))))-COUNTBLANK(OFFSET(A$1,,,SUMPRODUCT(MAX(ROW(E$1:E173)*(E174=E$1:E173))))))</f>
        <v>#VALUE!</v>
      </c>
      <c r="K174" s="15" t="e">
        <f aca="false">IF(OR(E174="",E174="!!!",F174="NEW"),"",INDEX(J$1:J173,SUMPRODUCT(MAX(ROW(E$1:E173)*(E174=E$1:E173)))))</f>
        <v>#VALUE!</v>
      </c>
      <c r="L174" s="16"/>
    </row>
    <row r="175" customFormat="false" ht="12.8" hidden="false" customHeight="false" outlineLevel="0" collapsed="false">
      <c r="A175" s="0" t="s">
        <v>174</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0" t="s">
        <v>175</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8" hidden="false" customHeight="false" outlineLevel="0" collapsed="false">
      <c r="A177" s="0" t="s">
        <v>76</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8" hidden="false" customHeight="false" outlineLevel="0" collapsed="false">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8" hidden="false" customHeight="false" outlineLevel="0" collapsed="false">
      <c r="A179" s="0" t="s">
        <v>176</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8" hidden="false" customHeight="false" outlineLevel="0" collapsed="false">
      <c r="A180" s="0" t="s">
        <v>177</v>
      </c>
      <c r="B180" s="0" t="s">
        <v>34</v>
      </c>
      <c r="C180" s="0" t="s">
        <v>48</v>
      </c>
      <c r="D180" s="0" t="s">
        <v>20</v>
      </c>
      <c r="E180" s="10" t="s">
        <v>161</v>
      </c>
      <c r="F180" s="11" t="str">
        <f aca="false">IF(OR(E180="",E180="!!!"),"",IF(NOT(ISNA(VLOOKUP(E180,E$1:E179,1,FALSE()))),"OLD",IF(AND(E180&lt;&gt;"",E180&lt;&gt;"!!!"),"NEW","")))</f>
        <v>OLD</v>
      </c>
      <c r="G180" s="12" t="s">
        <v>80</v>
      </c>
      <c r="H180" s="13" t="s">
        <v>7</v>
      </c>
      <c r="I180" s="14" t="str">
        <f aca="false">IF(OR(E180="",E180="!!!",F180="NEW"),"",INDEX(B$2:B179,-1+SUMPRODUCT(MAX(ROW(E$2:E179)*(E180=E$2:E179)))))</f>
        <v>SBJ_4</v>
      </c>
      <c r="J180" s="15" t="n">
        <f aca="true">IF(OR(E180="",E180="!!!",F180="NEW"),"",COUNTBLANK(OFFSET(A$1,,,SUMPRODUCT(MAX(ROW(E$2:E180)*(E180=E$2:E180)))))-COUNTBLANK(OFFSET(A$1,,,SUMPRODUCT(MAX(ROW(E$1:E179)*(E180=E$1:E179))))))</f>
        <v>1</v>
      </c>
      <c r="K180" s="15" t="e">
        <f aca="false">IF(OR(E180="",E180="!!!",F180="NEW"),"",INDEX(J$1:J179,SUMPRODUCT(MAX(ROW(E$1:E179)*(E180=E$1:E179)))))</f>
        <v>#VALUE!</v>
      </c>
      <c r="L180" s="16"/>
    </row>
    <row r="181" customFormat="false" ht="12.8" hidden="false" customHeight="false" outlineLevel="0" collapsed="false">
      <c r="A181" s="0" t="s">
        <v>178</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0" t="s">
        <v>179</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0" t="s">
        <v>180</v>
      </c>
      <c r="B183" s="0" t="s">
        <v>85</v>
      </c>
      <c r="C183" s="0" t="s">
        <v>181</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8" hidden="false" customHeight="false" outlineLevel="0" collapsed="false">
      <c r="A184" s="0" t="s">
        <v>51</v>
      </c>
      <c r="B184" s="0" t="s">
        <v>53</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8" hidden="false" customHeight="false" outlineLevel="0" collapsed="false">
      <c r="A185" s="0" t="s">
        <v>100</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0" t="s">
        <v>182</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8" hidden="false" customHeight="false" outlineLevel="0" collapsed="false">
      <c r="A187" s="0" t="s">
        <v>183</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A188" s="0" t="s">
        <v>45</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8" hidden="false" customHeight="false" outlineLevel="0" collapsed="false">
      <c r="A189" s="0" t="s">
        <v>184</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0" t="s">
        <v>185</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A191" s="0" t="s">
        <v>161</v>
      </c>
      <c r="B191" s="0" t="s">
        <v>47</v>
      </c>
      <c r="C191" s="0" t="s">
        <v>48</v>
      </c>
      <c r="D191" s="0" t="s">
        <v>20</v>
      </c>
      <c r="E191" s="10" t="s">
        <v>161</v>
      </c>
      <c r="F191" s="11" t="str">
        <f aca="false">IF(OR(E191="",E191="!!!"),"",IF(NOT(ISNA(VLOOKUP(E191,E$1:E190,1,FALSE()))),"OLD",IF(AND(E191&lt;&gt;"",E191&lt;&gt;"!!!"),"NEW","")))</f>
        <v>OLD</v>
      </c>
      <c r="G191" s="12" t="s">
        <v>87</v>
      </c>
      <c r="H191" s="13" t="str">
        <f aca="false">IF(J191&lt;&gt;1,"",IF(I191="SBJ","CB","?"))</f>
        <v/>
      </c>
      <c r="I191" s="14" t="str">
        <f aca="false">IF(OR(E191="",E191="!!!",F191="NEW"),"",INDEX(B$2:B190,-1+SUMPRODUCT(MAX(ROW(E$2:E190)*(E191=E$2:E190)))))</f>
        <v>SBJ</v>
      </c>
      <c r="J191" s="15" t="n">
        <f aca="true">IF(OR(E191="",E191="!!!",F191="NEW"),"",COUNTBLANK(OFFSET(A$1,,,SUMPRODUCT(MAX(ROW(E$2:E191)*(E191=E$2:E191)))))-COUNTBLANK(OFFSET(A$1,,,SUMPRODUCT(MAX(ROW(E$1:E190)*(E191=E$1:E190))))))</f>
        <v>0</v>
      </c>
      <c r="K191" s="15" t="n">
        <f aca="false">IF(OR(E191="",E191="!!!",F191="NEW"),"",INDEX(J$1:J190,SUMPRODUCT(MAX(ROW(E$1:E190)*(E191=E$1:E190)))))</f>
        <v>1</v>
      </c>
      <c r="L191" s="16"/>
    </row>
    <row r="192" customFormat="false" ht="12.8" hidden="false" customHeight="false" outlineLevel="0" collapsed="false">
      <c r="A192" s="0" t="s">
        <v>178</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8" hidden="false" customHeight="false" outlineLevel="0" collapsed="false">
      <c r="A193" s="0" t="s">
        <v>186</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8" hidden="false" customHeight="false" outlineLevel="0" collapsed="false">
      <c r="A194" s="0" t="s">
        <v>187</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8" hidden="false" customHeight="false" outlineLevel="0" collapsed="false">
      <c r="A195" s="0" t="s">
        <v>188</v>
      </c>
      <c r="B195" s="0" t="s">
        <v>170</v>
      </c>
      <c r="C195" s="0" t="s">
        <v>15</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0" t="s">
        <v>189</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8" hidden="false" customHeight="false" outlineLevel="0" collapsed="false">
      <c r="A197" s="0" t="s">
        <v>190</v>
      </c>
      <c r="B197" s="0" t="s">
        <v>75</v>
      </c>
      <c r="C197" s="0" t="s">
        <v>31</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8" hidden="false" customHeight="false" outlineLevel="0" collapsed="false">
      <c r="A198" s="0" t="s">
        <v>60</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8" hidden="false" customHeight="false" outlineLevel="0" collapsed="false">
      <c r="A199" s="0" t="n">
        <v>10</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8" hidden="false" customHeight="false" outlineLevel="0" collapsed="false">
      <c r="A200" s="0" t="s">
        <v>187</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0" t="s">
        <v>191</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0" t="s">
        <v>62</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8" hidden="false" customHeight="false" outlineLevel="0" collapsed="false">
      <c r="A203" s="0" t="s">
        <v>192</v>
      </c>
      <c r="B203" s="0" t="s">
        <v>75</v>
      </c>
      <c r="C203" s="0" t="s">
        <v>27</v>
      </c>
      <c r="D203" s="0" t="s">
        <v>20</v>
      </c>
      <c r="E203" s="10" t="s">
        <v>193</v>
      </c>
      <c r="F203" s="11" t="str">
        <f aca="false">IF(OR(E203="",E203="!!!"),"",IF(NOT(ISNA(VLOOKUP(E203,E$1:E202,1,FALSE()))),"OLD",IF(AND(E203&lt;&gt;"",E203&lt;&gt;"!!!"),"NEW","")))</f>
        <v>NEW</v>
      </c>
      <c r="G203" s="12" t="s">
        <v>131</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0" t="s">
        <v>61</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8" hidden="false" customHeight="false" outlineLevel="0" collapsed="false">
      <c r="A205" s="0" t="s">
        <v>62</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8" hidden="false" customHeight="false" outlineLevel="0" collapsed="false">
      <c r="A206" s="0" t="s">
        <v>194</v>
      </c>
      <c r="B206" s="0" t="s">
        <v>96</v>
      </c>
      <c r="C206" s="0" t="s">
        <v>27</v>
      </c>
      <c r="D206" s="0" t="s">
        <v>20</v>
      </c>
      <c r="E206" s="10" t="s">
        <v>194</v>
      </c>
      <c r="F206" s="11" t="s">
        <v>35</v>
      </c>
      <c r="G206" s="12" t="s">
        <v>36</v>
      </c>
      <c r="H206" s="13"/>
      <c r="I206" s="14" t="e">
        <f aca="false">IF(OR(E206="",E206="!!!",F206="NEW"),"",INDEX(B$2:B205,-1+SUMPRODUCT(MAX(ROW(E$2:E205)*(E206=E$2:E205)))))</f>
        <v>#VALUE!</v>
      </c>
      <c r="J206" s="15" t="e">
        <f aca="true">IF(OR(E206="",E206="!!!",F206="NEW"),"",COUNTBLANK(OFFSET(A$1,,,SUMPRODUCT(MAX(ROW(E$2:E206)*(E206=E$2:E206)))))-COUNTBLANK(OFFSET(A$1,,,SUMPRODUCT(MAX(ROW(E$1:E205)*(E206=E$1:E205))))))</f>
        <v>#VALUE!</v>
      </c>
      <c r="K206" s="15" t="e">
        <f aca="false">IF(OR(E206="",E206="!!!",F206="NEW"),"",INDEX(J$1:J205,SUMPRODUCT(MAX(ROW(E$1:E205)*(E206=E$1:E205)))))</f>
        <v>#VALUE!</v>
      </c>
      <c r="L206" s="16"/>
    </row>
    <row r="207" customFormat="false" ht="12.8" hidden="false" customHeight="false" outlineLevel="0" collapsed="false">
      <c r="A207" s="0" t="s">
        <v>185</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8" hidden="false" customHeight="false" outlineLevel="0" collapsed="false">
      <c r="A208" s="0" t="s">
        <v>161</v>
      </c>
      <c r="B208" s="0" t="s">
        <v>47</v>
      </c>
      <c r="C208" s="0" t="s">
        <v>48</v>
      </c>
      <c r="D208" s="0" t="s">
        <v>20</v>
      </c>
      <c r="E208" s="10" t="s">
        <v>161</v>
      </c>
      <c r="F208" s="11" t="str">
        <f aca="false">IF(OR(E208="",E208="!!!"),"",IF(NOT(ISNA(VLOOKUP(E208,E$1:E207,1,FALSE()))),"OLD",IF(AND(E208&lt;&gt;"",E208&lt;&gt;"!!!"),"NEW","")))</f>
        <v>OLD</v>
      </c>
      <c r="G208" s="12" t="s">
        <v>87</v>
      </c>
      <c r="H208" s="13" t="str">
        <f aca="false">IF(J208&lt;&gt;1,"",IF(I208="SBJ","CB","?"))</f>
        <v/>
      </c>
      <c r="I208" s="14" t="str">
        <f aca="false">IF(OR(E208="",E208="!!!",F208="NEW"),"",INDEX(B$2:B207,-1+SUMPRODUCT(MAX(ROW(E$2:E207)*(E208=E$2:E207)))))</f>
        <v>SBJ_2</v>
      </c>
      <c r="J208" s="15" t="n">
        <f aca="true">IF(OR(E208="",E208="!!!",F208="NEW"),"",COUNTBLANK(OFFSET(A$1,,,SUMPRODUCT(MAX(ROW(E$2:E208)*(E208=E$2:E208)))))-COUNTBLANK(OFFSET(A$1,,,SUMPRODUCT(MAX(ROW(E$1:E207)*(E208=E$1:E207))))))</f>
        <v>0</v>
      </c>
      <c r="K208" s="15" t="n">
        <f aca="false">IF(OR(E208="",E208="!!!",F208="NEW"),"",INDEX(J$1:J207,SUMPRODUCT(MAX(ROW(E$1:E207)*(E208=E$1:E207)))))</f>
        <v>0</v>
      </c>
      <c r="L208" s="16"/>
    </row>
    <row r="209" customFormat="false" ht="12.8" hidden="false" customHeight="false" outlineLevel="0" collapsed="false">
      <c r="A209" s="0" t="s">
        <v>195</v>
      </c>
      <c r="E209" s="10" t="s">
        <v>196</v>
      </c>
      <c r="F209" s="11" t="str">
        <f aca="false">IF(OR(E209="",E209="!!!"),"",IF(NOT(ISNA(VLOOKUP(E209,E$1:E208,1,FALSE()))),"OLD",IF(AND(E209&lt;&gt;"",E209&lt;&gt;"!!!"),"NEW","")))</f>
        <v>NEW</v>
      </c>
      <c r="G209" s="12" t="s">
        <v>67</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t="s">
        <v>197</v>
      </c>
    </row>
    <row r="210" customFormat="false" ht="12.8" hidden="false" customHeight="false" outlineLevel="0" collapsed="false">
      <c r="A210" s="0" t="s">
        <v>198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0" t="s">
        <v>199</v>
      </c>
      <c r="B211" s="0" t="s">
        <v>170</v>
      </c>
      <c r="C211" s="0" t="s">
        <v>31</v>
      </c>
      <c r="E211" s="10" t="s">
        <v>200</v>
      </c>
      <c r="F211" s="11" t="str">
        <f aca="false">IF(OR(E211="",E211="!!!"),"",IF(NOT(ISNA(VLOOKUP(E211,E$1:E210,1,FALSE()))),"OLD",IF(AND(E211&lt;&gt;"",E211&lt;&gt;"!!!"),"NEW","")))</f>
        <v>NEW</v>
      </c>
      <c r="G211" s="12" t="s">
        <v>131</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8" hidden="false" customHeight="false" outlineLevel="0" collapsed="false">
      <c r="A212" s="0" t="s">
        <v>201</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8" hidden="false" customHeight="false" outlineLevel="0" collapsed="false">
      <c r="A213" s="0" t="s">
        <v>154</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8" hidden="false" customHeight="false" outlineLevel="0" collapsed="false">
      <c r="A214" s="0" t="s">
        <v>202</v>
      </c>
      <c r="B214" s="0" t="s">
        <v>53</v>
      </c>
      <c r="C214" s="0" t="s">
        <v>48</v>
      </c>
      <c r="D214" s="0" t="s">
        <v>20</v>
      </c>
      <c r="E214" s="10" t="s">
        <v>200</v>
      </c>
      <c r="F214" s="11" t="str">
        <f aca="false">IF(OR(E214="",E214="!!!"),"",IF(NOT(ISNA(VLOOKUP(E214,E$1:E213,1,FALSE()))),"OLD",IF(AND(E214&lt;&gt;"",E214&lt;&gt;"!!!"),"NEW","")))</f>
        <v>OLD</v>
      </c>
      <c r="G214" s="12" t="s">
        <v>87</v>
      </c>
      <c r="H214" s="13" t="str">
        <f aca="false">IF(J214&lt;&gt;1,"",IF(I214="SBJ","CB","?"))</f>
        <v/>
      </c>
      <c r="I214" s="14" t="str">
        <f aca="false">IF(OR(E214="",E214="!!!",F214="NEW"),"",INDEX(B$2:B213,-1+SUMPRODUCT(MAX(ROW(E$2:E213)*(E214=E$2:E213)))))</f>
        <v>OBJ_2</v>
      </c>
      <c r="J214" s="15" t="n">
        <f aca="true">IF(OR(E214="",E214="!!!",F214="NEW"),"",COUNTBLANK(OFFSET(A$1,,,SUMPRODUCT(MAX(ROW(E$2:E214)*(E214=E$2:E214)))))-COUNTBLANK(OFFSET(A$1,,,SUMPRODUCT(MAX(ROW(E$1:E213)*(E214=E$1:E213))))))</f>
        <v>0</v>
      </c>
      <c r="K214" s="15" t="str">
        <f aca="false">IF(OR(E214="",E214="!!!",F214="NEW"),"",INDEX(J$1:J213,SUMPRODUCT(MAX(ROW(E$1:E213)*(E214=E$1:E213)))))</f>
        <v/>
      </c>
      <c r="L214" s="16"/>
    </row>
    <row r="215" customFormat="false" ht="12.8" hidden="false" customHeight="false" outlineLevel="0" collapsed="false">
      <c r="A215" s="0" t="s">
        <v>109</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A216" s="0" t="s">
        <v>203</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0" t="s">
        <v>204</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8" hidden="false" customHeight="false" outlineLevel="0" collapsed="false">
      <c r="A218" s="0" t="s">
        <v>185</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8" hidden="false" customHeight="false" outlineLevel="0" collapsed="false">
      <c r="A219" s="0" t="s">
        <v>45</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8" hidden="false" customHeight="false" outlineLevel="0" collapsed="false">
      <c r="A220" s="0" t="s">
        <v>62</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8" hidden="false" customHeight="false" outlineLevel="0" collapsed="false">
      <c r="A221" s="0" t="s">
        <v>205</v>
      </c>
      <c r="B221" s="0" t="s">
        <v>47</v>
      </c>
      <c r="C221" s="0" t="s">
        <v>27</v>
      </c>
      <c r="D221" s="0" t="s">
        <v>20</v>
      </c>
      <c r="E221" s="10" t="s">
        <v>205</v>
      </c>
      <c r="F221" s="11" t="str">
        <f aca="false">IF(OR(E221="",E221="!!!"),"",IF(NOT(ISNA(VLOOKUP(E221,E$1:E220,1,FALSE()))),"OLD",IF(AND(E221&lt;&gt;"",E221&lt;&gt;"!!!"),"NEW","")))</f>
        <v>NEW</v>
      </c>
      <c r="G221" s="12" t="s">
        <v>131</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0" t="s">
        <v>51</v>
      </c>
      <c r="B222" s="0" t="s">
        <v>173</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8" hidden="false" customHeight="false" outlineLevel="0" collapsed="false">
      <c r="A223" s="0" t="s">
        <v>54</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8" hidden="false" customHeight="false" outlineLevel="0" collapsed="false">
      <c r="A224" s="0" t="s">
        <v>206</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8" hidden="false" customHeight="false" outlineLevel="0" collapsed="false">
      <c r="A225" s="0" t="s">
        <v>207</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8" hidden="false" customHeight="false" outlineLevel="0" collapsed="false">
      <c r="A226" s="0" t="s">
        <v>29</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8" hidden="false" customHeight="false" outlineLevel="0" collapsed="false">
      <c r="A227" s="0" t="s">
        <v>208</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0" t="s">
        <v>68</v>
      </c>
      <c r="B228" s="0" t="s">
        <v>65</v>
      </c>
      <c r="C228" s="0" t="s">
        <v>31</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8" hidden="false" customHeight="false" outlineLevel="0" collapsed="false">
      <c r="A229" s="0" t="s">
        <v>209</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8" hidden="false" customHeight="false" outlineLevel="0" collapsed="false">
      <c r="A230" s="0" t="s">
        <v>210</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A231" s="0" t="s">
        <v>211</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0" t="s">
        <v>76</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8" hidden="false" customHeight="false" outlineLevel="0" collapsed="false">
      <c r="A234" s="0" t="s">
        <v>212</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8" hidden="false" customHeight="false" outlineLevel="0" collapsed="false">
      <c r="A235" s="0" t="s">
        <v>213</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8" hidden="false" customHeight="false" outlineLevel="0" collapsed="false">
      <c r="A236" s="0" t="s">
        <v>214</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A237" s="0" t="s">
        <v>44</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0" t="s">
        <v>103</v>
      </c>
      <c r="B238" s="0" t="s">
        <v>34</v>
      </c>
      <c r="C238" s="0" t="s">
        <v>215</v>
      </c>
      <c r="D238" s="0" t="s">
        <v>20</v>
      </c>
      <c r="E238" s="10" t="s">
        <v>216</v>
      </c>
      <c r="F238" s="11" t="s">
        <v>164</v>
      </c>
      <c r="G238" s="12" t="s">
        <v>80</v>
      </c>
      <c r="H238" s="13" t="s">
        <v>7</v>
      </c>
      <c r="I238" s="14" t="e">
        <f aca="false">IF(OR(E238="",E238="!!!",F238="NEW"),"",INDEX(B$2:B237,-1+SUMPRODUCT(MAX(ROW(E$2:E237)*(E238=E$2:E237)))))</f>
        <v>#VALUE!</v>
      </c>
      <c r="J238" s="15" t="e">
        <f aca="true">IF(OR(E238="",E238="!!!",F238="NEW"),"",COUNTBLANK(OFFSET(A$1,,,SUMPRODUCT(MAX(ROW(E$2:E238)*(E238=E$2:E238)))))-COUNTBLANK(OFFSET(A$1,,,SUMPRODUCT(MAX(ROW(E$1:E237)*(E238=E$1:E237))))))</f>
        <v>#VALUE!</v>
      </c>
      <c r="K238" s="15" t="e">
        <f aca="false">IF(OR(E238="",E238="!!!",F238="NEW"),"",INDEX(J$1:J237,SUMPRODUCT(MAX(ROW(E$1:E237)*(E238=E$1:E237)))))</f>
        <v>#VALUE!</v>
      </c>
      <c r="L238" s="16"/>
    </row>
    <row r="239" customFormat="false" ht="12.8" hidden="false" customHeight="false" outlineLevel="0" collapsed="false">
      <c r="A239" s="0" t="s">
        <v>54</v>
      </c>
      <c r="E239" s="10" t="s">
        <v>217</v>
      </c>
      <c r="F239" s="11" t="str">
        <f aca="false">IF(OR(E239="",E239="!!!"),"",IF(NOT(ISNA(VLOOKUP(E239,E$1:E238,1,FALSE()))),"OLD",IF(AND(E239&lt;&gt;"",E239&lt;&gt;"!!!"),"NEW","")))</f>
        <v>NEW</v>
      </c>
      <c r="G239" s="12" t="s">
        <v>67</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8" hidden="false" customHeight="false" outlineLevel="0" collapsed="false">
      <c r="A240" s="0" t="s">
        <v>89</v>
      </c>
      <c r="E240" s="10" t="s">
        <v>90</v>
      </c>
      <c r="F240" s="11" t="str">
        <f aca="false">IF(OR(E240="",E240="!!!"),"",IF(NOT(ISNA(VLOOKUP(E240,E$1:E239,1,FALSE()))),"OLD",IF(AND(E240&lt;&gt;"",E240&lt;&gt;"!!!"),"NEW","")))</f>
        <v>OLD</v>
      </c>
      <c r="G240" s="12" t="s">
        <v>36</v>
      </c>
      <c r="H240" s="13" t="str">
        <f aca="false">IF(J240&lt;&gt;1,"",IF(I240="SBJ","CB","?"))</f>
        <v/>
      </c>
      <c r="I240" s="14" t="n">
        <f aca="false">IF(OR(E240="",E240="!!!",F240="NEW"),"",INDEX(B$2:B239,-1+SUMPRODUCT(MAX(ROW(E$2:E239)*(E240=E$2:E239)))))</f>
        <v>0</v>
      </c>
      <c r="J240" s="15" t="n">
        <f aca="true">IF(OR(E240="",E240="!!!",F240="NEW"),"",COUNTBLANK(OFFSET(A$1,,,SUMPRODUCT(MAX(ROW(E$2:E240)*(E240=E$2:E240)))))-COUNTBLANK(OFFSET(A$1,,,SUMPRODUCT(MAX(ROW(E$1:E239)*(E240=E$1:E239))))))</f>
        <v>6</v>
      </c>
      <c r="K240" s="15" t="str">
        <f aca="false">IF(OR(E240="",E240="!!!",F240="NEW"),"",INDEX(J$1:J239,SUMPRODUCT(MAX(ROW(E$1:E239)*(E240=E$1:E239)))))</f>
        <v/>
      </c>
      <c r="L240" s="16"/>
    </row>
    <row r="241" customFormat="false" ht="12.8" hidden="false" customHeight="false" outlineLevel="0" collapsed="false">
      <c r="A241" s="0" t="s">
        <v>45</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8" hidden="false" customHeight="false" outlineLevel="0" collapsed="false">
      <c r="A242" s="0" t="s">
        <v>91</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8" hidden="false" customHeight="false" outlineLevel="0" collapsed="false">
      <c r="A243" s="0" t="s">
        <v>92</v>
      </c>
      <c r="B243" s="0" t="s">
        <v>14</v>
      </c>
      <c r="C243" s="0" t="s">
        <v>31</v>
      </c>
      <c r="E243" s="10" t="s">
        <v>93</v>
      </c>
      <c r="F243" s="11" t="str">
        <f aca="false">IF(OR(E243="",E243="!!!"),"",IF(NOT(ISNA(VLOOKUP(E243,E$1:E242,1,FALSE()))),"OLD",IF(AND(E243&lt;&gt;"",E243&lt;&gt;"!!!"),"NEW","")))</f>
        <v>OLD</v>
      </c>
      <c r="G243" s="12" t="s">
        <v>36</v>
      </c>
      <c r="H243" s="13" t="str">
        <f aca="false">IF(J243&lt;&gt;1,"",IF(I243="SBJ","CB","?"))</f>
        <v/>
      </c>
      <c r="I243" s="14" t="str">
        <f aca="false">IF(OR(E243="",E243="!!!",F243="NEW"),"",INDEX(B$2:B242,-1+SUMPRODUCT(MAX(ROW(E$2:E242)*(E243=E$2:E242)))))</f>
        <v>other_2</v>
      </c>
      <c r="J243" s="15" t="n">
        <f aca="true">IF(OR(E243="",E243="!!!",F243="NEW"),"",COUNTBLANK(OFFSET(A$1,,,SUMPRODUCT(MAX(ROW(E$2:E243)*(E243=E$2:E243)))))-COUNTBLANK(OFFSET(A$1,,,SUMPRODUCT(MAX(ROW(E$1:E242)*(E243=E$1:E242))))))</f>
        <v>6</v>
      </c>
      <c r="K243" s="15" t="str">
        <f aca="false">IF(OR(E243="",E243="!!!",F243="NEW"),"",INDEX(J$1:J242,SUMPRODUCT(MAX(ROW(E$1:E242)*(E243=E$1:E242)))))</f>
        <v/>
      </c>
      <c r="L243" s="16"/>
    </row>
    <row r="244" customFormat="false" ht="12.8" hidden="false" customHeight="false" outlineLevel="0" collapsed="false">
      <c r="A244" s="0" t="s">
        <v>44</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8" hidden="false" customHeight="false" outlineLevel="0" collapsed="false">
      <c r="A245" s="0" t="s">
        <v>218</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8" hidden="false" customHeight="false" outlineLevel="0" collapsed="false">
      <c r="A246" s="0" t="s">
        <v>51</v>
      </c>
      <c r="B246" s="0" t="s">
        <v>47</v>
      </c>
      <c r="C246" s="0" t="s">
        <v>215</v>
      </c>
      <c r="D246" s="0" t="s">
        <v>20</v>
      </c>
      <c r="E246" s="10" t="s">
        <v>217</v>
      </c>
      <c r="F246" s="11" t="str">
        <f aca="false">IF(OR(E246="",E246="!!!"),"",IF(NOT(ISNA(VLOOKUP(E246,E$1:E245,1,FALSE()))),"OLD",IF(AND(E246&lt;&gt;"",E246&lt;&gt;"!!!"),"NEW","")))</f>
        <v>OLD</v>
      </c>
      <c r="G246" s="12" t="s">
        <v>87</v>
      </c>
      <c r="H246" s="13" t="str">
        <f aca="false">IF(J246&lt;&gt;1,"",IF(I246="SBJ","CB","?"))</f>
        <v/>
      </c>
      <c r="I246" s="14" t="n">
        <f aca="false">IF(OR(E246="",E246="!!!",F246="NEW"),"",INDEX(B$2:B245,-1+SUMPRODUCT(MAX(ROW(E$2:E245)*(E246=E$2:E245)))))</f>
        <v>0</v>
      </c>
      <c r="J246" s="15" t="n">
        <f aca="true">IF(OR(E246="",E246="!!!",F246="NEW"),"",COUNTBLANK(OFFSET(A$1,,,SUMPRODUCT(MAX(ROW(E$2:E246)*(E246=E$2:E246)))))-COUNTBLANK(OFFSET(A$1,,,SUMPRODUCT(MAX(ROW(E$1:E245)*(E246=E$1:E245))))))</f>
        <v>0</v>
      </c>
      <c r="K246" s="15" t="str">
        <f aca="false">IF(OR(E246="",E246="!!!",F246="NEW"),"",INDEX(J$1:J245,SUMPRODUCT(MAX(ROW(E$1:E245)*(E246=E$1:E245)))))</f>
        <v/>
      </c>
      <c r="L246" s="16"/>
    </row>
    <row r="247" customFormat="false" ht="12.8" hidden="false" customHeight="false" outlineLevel="0" collapsed="false">
      <c r="A247" s="0" t="s">
        <v>100</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8" hidden="false" customHeight="false" outlineLevel="0" collapsed="false">
      <c r="A248" s="0" t="s">
        <v>219</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8" hidden="false" customHeight="false" outlineLevel="0" collapsed="false">
      <c r="A249" s="0" t="s">
        <v>220</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8" hidden="false" customHeight="false" outlineLevel="0" collapsed="false">
      <c r="A250" s="0" t="s">
        <v>76</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8" hidden="false" customHeight="false" outlineLevel="0" collapsed="false">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0" t="s">
        <v>221</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0" t="s">
        <v>222</v>
      </c>
      <c r="B253" s="0" t="s">
        <v>34</v>
      </c>
      <c r="C253" s="0" t="s">
        <v>48</v>
      </c>
      <c r="D253" s="0" t="s">
        <v>20</v>
      </c>
      <c r="E253" s="10" t="s">
        <v>92</v>
      </c>
      <c r="F253" s="11" t="s">
        <v>105</v>
      </c>
      <c r="G253" s="12" t="s">
        <v>87</v>
      </c>
      <c r="H253" s="13" t="s">
        <v>7</v>
      </c>
      <c r="I253" s="14" t="e">
        <f aca="false">IF(OR(E253="",E253="!!!",F253="NEW"),"",INDEX(B$2:B252,-1+SUMPRODUCT(MAX(ROW(E$2:E252)*(E253=E$2:E252)))))</f>
        <v>#VALUE!</v>
      </c>
      <c r="J253" s="15" t="e">
        <f aca="true">IF(OR(E253="",E253="!!!",F253="NEW"),"",COUNTBLANK(OFFSET(A$1,,,SUMPRODUCT(MAX(ROW(E$2:E253)*(E253=E$2:E253)))))-COUNTBLANK(OFFSET(A$1,,,SUMPRODUCT(MAX(ROW(E$1:E252)*(E253=E$1:E252))))))</f>
        <v>#VALUE!</v>
      </c>
      <c r="K253" s="15" t="e">
        <f aca="false">IF(OR(E253="",E253="!!!",F253="NEW"),"",INDEX(J$1:J252,SUMPRODUCT(MAX(ROW(E$1:E252)*(E253=E$1:E252)))))</f>
        <v>#VALUE!</v>
      </c>
      <c r="L253" s="16"/>
    </row>
    <row r="254" customFormat="false" ht="12.8" hidden="false" customHeight="false" outlineLevel="0" collapsed="false">
      <c r="A254" s="0" t="s">
        <v>223</v>
      </c>
      <c r="E254" s="10" t="s">
        <v>224</v>
      </c>
      <c r="F254" s="11" t="str">
        <f aca="false">IF(OR(E254="",E254="!!!"),"",IF(NOT(ISNA(VLOOKUP(E254,E$1:E253,1,FALSE()))),"OLD",IF(AND(E254&lt;&gt;"",E254&lt;&gt;"!!!"),"NEW","")))</f>
        <v>NEW</v>
      </c>
      <c r="G254" s="12" t="s">
        <v>67</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8" hidden="false" customHeight="false" outlineLevel="0" collapsed="false">
      <c r="A255" s="0" t="s">
        <v>225</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8" hidden="false" customHeight="false" outlineLevel="0" collapsed="false">
      <c r="A256" s="0" t="s">
        <v>92</v>
      </c>
      <c r="B256" s="0" t="s">
        <v>14</v>
      </c>
      <c r="C256" s="0" t="s">
        <v>31</v>
      </c>
      <c r="E256" s="10" t="s">
        <v>226</v>
      </c>
      <c r="F256" s="11" t="str">
        <f aca="false">IF(OR(E256="",E256="!!!"),"",IF(NOT(ISNA(VLOOKUP(E256,E$1:E255,1,FALSE()))),"OLD",IF(AND(E256&lt;&gt;"",E256&lt;&gt;"!!!"),"NEW","")))</f>
        <v>NEW</v>
      </c>
      <c r="G256" s="12" t="s">
        <v>131</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8" hidden="false" customHeight="false" outlineLevel="0" collapsed="false">
      <c r="A257" s="0" t="s">
        <v>44</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8" hidden="false" customHeight="false" outlineLevel="0" collapsed="false">
      <c r="A258" s="0" t="s">
        <v>45</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A259" s="0" t="s">
        <v>51</v>
      </c>
      <c r="B259" s="0" t="s">
        <v>47</v>
      </c>
      <c r="C259" s="0" t="s">
        <v>215</v>
      </c>
      <c r="D259" s="0" t="s">
        <v>20</v>
      </c>
      <c r="E259" s="10" t="s">
        <v>224</v>
      </c>
      <c r="F259" s="11" t="str">
        <f aca="false">IF(OR(E259="",E259="!!!"),"",IF(NOT(ISNA(VLOOKUP(E259,E$1:E258,1,FALSE()))),"OLD",IF(AND(E259&lt;&gt;"",E259&lt;&gt;"!!!"),"NEW","")))</f>
        <v>OLD</v>
      </c>
      <c r="G259" s="12" t="s">
        <v>87</v>
      </c>
      <c r="H259" s="13" t="str">
        <f aca="false">IF(J259&lt;&gt;1,"",IF(I259="SBJ","CB","?"))</f>
        <v/>
      </c>
      <c r="I259" s="14" t="n">
        <f aca="false">IF(OR(E259="",E259="!!!",F259="NEW"),"",INDEX(B$2:B258,-1+SUMPRODUCT(MAX(ROW(E$2:E258)*(E259=E$2:E258)))))</f>
        <v>0</v>
      </c>
      <c r="J259" s="15" t="n">
        <f aca="true">IF(OR(E259="",E259="!!!",F259="NEW"),"",COUNTBLANK(OFFSET(A$1,,,SUMPRODUCT(MAX(ROW(E$2:E259)*(E259=E$2:E259)))))-COUNTBLANK(OFFSET(A$1,,,SUMPRODUCT(MAX(ROW(E$1:E258)*(E259=E$1:E258))))))</f>
        <v>0</v>
      </c>
      <c r="K259" s="15" t="str">
        <f aca="false">IF(OR(E259="",E259="!!!",F259="NEW"),"",INDEX(J$1:J258,SUMPRODUCT(MAX(ROW(E$1:E258)*(E259=E$1:E258)))))</f>
        <v/>
      </c>
      <c r="L259" s="16"/>
    </row>
    <row r="260" customFormat="false" ht="12.8" hidden="false" customHeight="false" outlineLevel="0" collapsed="false">
      <c r="A260" s="0" t="s">
        <v>227</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8" hidden="false" customHeight="false" outlineLevel="0" collapsed="false">
      <c r="A261" s="0" t="s">
        <v>228</v>
      </c>
      <c r="B261" s="0" t="s">
        <v>170</v>
      </c>
      <c r="C261" s="0" t="s">
        <v>48</v>
      </c>
      <c r="D261" s="0" t="s">
        <v>20</v>
      </c>
      <c r="E261" s="10" t="s">
        <v>92</v>
      </c>
      <c r="F261" s="11" t="str">
        <f aca="false">IF(OR(E261="",E261="!!!"),"",IF(NOT(ISNA(VLOOKUP(E261,E$1:E260,1,FALSE()))),"OLD",IF(AND(E261&lt;&gt;"",E261&lt;&gt;"!!!"),"NEW","")))</f>
        <v>OLD</v>
      </c>
      <c r="G261" s="12" t="s">
        <v>87</v>
      </c>
      <c r="H261" s="13" t="str">
        <f aca="false">IF(J261&lt;&gt;1,"",IF(I261="SBJ","CB","?"))</f>
        <v/>
      </c>
      <c r="I261" s="14" t="str">
        <f aca="false">IF(OR(E261="",E261="!!!",F261="NEW"),"",INDEX(B$2:B260,-1+SUMPRODUCT(MAX(ROW(E$2:E260)*(E261=E$2:E260)))))</f>
        <v>SBJ</v>
      </c>
      <c r="J261" s="15" t="n">
        <f aca="true">IF(OR(E261="",E261="!!!",F261="NEW"),"",COUNTBLANK(OFFSET(A$1,,,SUMPRODUCT(MAX(ROW(E$2:E261)*(E261=E$2:E261)))))-COUNTBLANK(OFFSET(A$1,,,SUMPRODUCT(MAX(ROW(E$1:E260)*(E261=E$1:E260))))))</f>
        <v>0</v>
      </c>
      <c r="K261" s="15" t="e">
        <f aca="false">IF(OR(E261="",E261="!!!",F261="NEW"),"",INDEX(J$1:J260,SUMPRODUCT(MAX(ROW(E$1:E260)*(E261=E$1:E260)))))</f>
        <v>#VALUE!</v>
      </c>
      <c r="L261" s="16"/>
    </row>
    <row r="262" customFormat="false" ht="12.8" hidden="false" customHeight="false" outlineLevel="0" collapsed="false">
      <c r="A262" s="0" t="s">
        <v>229</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0" t="s">
        <v>60</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8" hidden="false" customHeight="false" outlineLevel="0" collapsed="false">
      <c r="A264" s="0" t="s">
        <v>230</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0" t="s">
        <v>45</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8" hidden="false" customHeight="false" outlineLevel="0" collapsed="false">
      <c r="A266" s="0" t="s">
        <v>231</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8" hidden="false" customHeight="false" outlineLevel="0" collapsed="false">
      <c r="A267" s="0" t="s">
        <v>76</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8" hidden="false" customHeight="false" outlineLevel="0" collapsed="false">
      <c r="A269" s="0" t="s">
        <v>232</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0" t="s">
        <v>78</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0" t="s">
        <v>202</v>
      </c>
      <c r="B271" s="0" t="s">
        <v>34</v>
      </c>
      <c r="C271" s="0" t="s">
        <v>48</v>
      </c>
      <c r="D271" s="0" t="s">
        <v>20</v>
      </c>
      <c r="E271" s="10" t="s">
        <v>92</v>
      </c>
      <c r="F271" s="11" t="str">
        <f aca="false">IF(OR(E271="",E271="!!!"),"",IF(NOT(ISNA(VLOOKUP(E271,E$1:E270,1,FALSE()))),"OLD",IF(AND(E271&lt;&gt;"",E271&lt;&gt;"!!!"),"NEW","")))</f>
        <v>OLD</v>
      </c>
      <c r="G271" s="12" t="s">
        <v>87</v>
      </c>
      <c r="H271" s="13" t="s">
        <v>7</v>
      </c>
      <c r="I271" s="14" t="str">
        <f aca="false">IF(OR(E271="",E271="!!!",F271="NEW"),"",INDEX(B$2:B270,-1+SUMPRODUCT(MAX(ROW(E$2:E270)*(E271=E$2:E270)))))</f>
        <v>OBJ_2</v>
      </c>
      <c r="J271" s="15" t="n">
        <f aca="true">IF(OR(E271="",E271="!!!",F271="NEW"),"",COUNTBLANK(OFFSET(A$1,,,SUMPRODUCT(MAX(ROW(E$2:E271)*(E271=E$2:E271)))))-COUNTBLANK(OFFSET(A$1,,,SUMPRODUCT(MAX(ROW(E$1:E270)*(E271=E$1:E270))))))</f>
        <v>1</v>
      </c>
      <c r="K271" s="15" t="n">
        <f aca="false">IF(OR(E271="",E271="!!!",F271="NEW"),"",INDEX(J$1:J270,SUMPRODUCT(MAX(ROW(E$1:E270)*(E271=E$1:E270)))))</f>
        <v>0</v>
      </c>
      <c r="L271" s="16"/>
    </row>
    <row r="272" customFormat="false" ht="12.8" hidden="false" customHeight="false" outlineLevel="0" collapsed="false">
      <c r="A272" s="0" t="s">
        <v>54</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8" hidden="false" customHeight="false" outlineLevel="0" collapsed="false">
      <c r="A273" s="0" t="s">
        <v>41</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A274" s="0" t="s">
        <v>233</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A275" s="0" t="s">
        <v>45</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0" t="s">
        <v>202</v>
      </c>
      <c r="B276" s="0" t="s">
        <v>47</v>
      </c>
      <c r="C276" s="0" t="s">
        <v>48</v>
      </c>
      <c r="D276" s="0" t="s">
        <v>20</v>
      </c>
      <c r="E276" s="10" t="s">
        <v>92</v>
      </c>
      <c r="F276" s="11" t="str">
        <f aca="false">IF(OR(E276="",E276="!!!"),"",IF(NOT(ISNA(VLOOKUP(E276,E$1:E275,1,FALSE()))),"OLD",IF(AND(E276&lt;&gt;"",E276&lt;&gt;"!!!"),"NEW","")))</f>
        <v>OLD</v>
      </c>
      <c r="G276" s="12" t="s">
        <v>87</v>
      </c>
      <c r="H276" s="13" t="str">
        <f aca="false">IF(J276&lt;&gt;1,"",IF(I276="SBJ","CB","?"))</f>
        <v/>
      </c>
      <c r="I276" s="14" t="str">
        <f aca="false">IF(OR(E276="",E276="!!!",F276="NEW"),"",INDEX(B$2:B275,-1+SUMPRODUCT(MAX(ROW(E$2:E275)*(E276=E$2:E275)))))</f>
        <v>SBJ</v>
      </c>
      <c r="J276" s="15" t="n">
        <f aca="true">IF(OR(E276="",E276="!!!",F276="NEW"),"",COUNTBLANK(OFFSET(A$1,,,SUMPRODUCT(MAX(ROW(E$2:E276)*(E276=E$2:E276)))))-COUNTBLANK(OFFSET(A$1,,,SUMPRODUCT(MAX(ROW(E$1:E275)*(E276=E$1:E275))))))</f>
        <v>0</v>
      </c>
      <c r="K276" s="15" t="n">
        <f aca="false">IF(OR(E276="",E276="!!!",F276="NEW"),"",INDEX(J$1:J275,SUMPRODUCT(MAX(ROW(E$1:E275)*(E276=E$1:E275)))))</f>
        <v>1</v>
      </c>
      <c r="L276" s="16"/>
    </row>
    <row r="277" customFormat="false" ht="12.8" hidden="false" customHeight="false" outlineLevel="0" collapsed="false">
      <c r="A277" s="0" t="s">
        <v>109</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8" hidden="false" customHeight="false" outlineLevel="0" collapsed="false">
      <c r="A278" s="0" t="s">
        <v>234</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A279" s="0" t="s">
        <v>41</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8" hidden="false" customHeight="false" outlineLevel="0" collapsed="false">
      <c r="A280" s="0" t="s">
        <v>235</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8" hidden="false" customHeight="false" outlineLevel="0" collapsed="false">
      <c r="A281" s="0" t="s">
        <v>236</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0" t="s">
        <v>44</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8" hidden="false" customHeight="false" outlineLevel="0" collapsed="false">
      <c r="A283" s="0" t="s">
        <v>51</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8" hidden="false" customHeight="false" outlineLevel="0" collapsed="false">
      <c r="A284" s="0" t="s">
        <v>62</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0" t="s">
        <v>237</v>
      </c>
      <c r="B285" s="0" t="s">
        <v>53</v>
      </c>
      <c r="C285" s="0" t="s">
        <v>27</v>
      </c>
      <c r="D285" s="0" t="s">
        <v>20</v>
      </c>
      <c r="E285" s="10"/>
      <c r="F285" s="11" t="s">
        <v>238</v>
      </c>
      <c r="G285" s="12"/>
      <c r="H285" s="13"/>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8" hidden="false" customHeight="false" outlineLevel="0" collapsed="false">
      <c r="A286" s="0" t="s">
        <v>125</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8" hidden="false" customHeight="false" outlineLevel="0" collapsed="false">
      <c r="A287" s="0" t="s">
        <v>203</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8" hidden="false" customHeight="false" outlineLevel="0" collapsed="false">
      <c r="A288" s="0" t="s">
        <v>60</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0" t="s">
        <v>239</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8" hidden="false" customHeight="false" outlineLevel="0" collapsed="false">
      <c r="A290" s="0" t="s">
        <v>240</v>
      </c>
      <c r="B290" s="0" t="s">
        <v>116</v>
      </c>
      <c r="C290" s="0" t="s">
        <v>215</v>
      </c>
      <c r="D290" s="0" t="s">
        <v>20</v>
      </c>
      <c r="E290" s="10" t="s">
        <v>241</v>
      </c>
      <c r="F290" s="11" t="s">
        <v>123</v>
      </c>
      <c r="G290" s="12" t="s">
        <v>67</v>
      </c>
      <c r="H290" s="13"/>
      <c r="I290" s="14" t="e">
        <f aca="false">IF(OR(E290="",E290="!!!",F290="NEW"),"",INDEX(B$2:B289,-1+SUMPRODUCT(MAX(ROW(E$2:E289)*(E290=E$2:E289)))))</f>
        <v>#VALUE!</v>
      </c>
      <c r="J290" s="15" t="e">
        <f aca="true">IF(OR(E290="",E290="!!!",F290="NEW"),"",COUNTBLANK(OFFSET(A$1,,,SUMPRODUCT(MAX(ROW(E$2:E290)*(E290=E$2:E290)))))-COUNTBLANK(OFFSET(A$1,,,SUMPRODUCT(MAX(ROW(E$1:E289)*(E290=E$1:E289))))))</f>
        <v>#VALUE!</v>
      </c>
      <c r="K290" s="15" t="e">
        <f aca="false">IF(OR(E290="",E290="!!!",F290="NEW"),"",INDEX(J$1:J289,SUMPRODUCT(MAX(ROW(E$1:E289)*(E290=E$1:E289)))))</f>
        <v>#VALUE!</v>
      </c>
      <c r="L290" s="16"/>
    </row>
    <row r="291" customFormat="false" ht="12.8" hidden="false" customHeight="false" outlineLevel="0" collapsed="false">
      <c r="A291" s="0" t="s">
        <v>16</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0" t="s">
        <v>242</v>
      </c>
      <c r="E292" s="10" t="s">
        <v>241</v>
      </c>
      <c r="F292" s="11" t="s">
        <v>137</v>
      </c>
      <c r="G292" s="12"/>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0" t="s">
        <v>243</v>
      </c>
      <c r="B293" s="0" t="s">
        <v>96</v>
      </c>
      <c r="C293" s="0" t="s">
        <v>244</v>
      </c>
      <c r="D293" s="0" t="s">
        <v>20</v>
      </c>
      <c r="E293" s="10" t="s">
        <v>161</v>
      </c>
      <c r="F293" s="11" t="str">
        <f aca="false">IF(OR(E293="",E293="!!!"),"",IF(NOT(ISNA(VLOOKUP(E293,E$1:E292,1,FALSE()))),"OLD",IF(AND(E293&lt;&gt;"",E293&lt;&gt;"!!!"),"NEW","")))</f>
        <v>OLD</v>
      </c>
      <c r="G293" s="12" t="s">
        <v>36</v>
      </c>
      <c r="H293" s="13" t="str">
        <f aca="false">IF(J293&lt;&gt;1,"",IF(I293="SBJ","CB","?"))</f>
        <v/>
      </c>
      <c r="I293" s="14" t="str">
        <f aca="false">IF(OR(E293="",E293="!!!",F293="NEW"),"",INDEX(B$2:B292,-1+SUMPRODUCT(MAX(ROW(E$2:E292)*(E293=E$2:E292)))))</f>
        <v>SBJ_2</v>
      </c>
      <c r="J293" s="15" t="n">
        <f aca="true">IF(OR(E293="",E293="!!!",F293="NEW"),"",COUNTBLANK(OFFSET(A$1,,,SUMPRODUCT(MAX(ROW(E$2:E293)*(E293=E$2:E293)))))-COUNTBLANK(OFFSET(A$1,,,SUMPRODUCT(MAX(ROW(E$1:E292)*(E293=E$1:E292))))))</f>
        <v>3</v>
      </c>
      <c r="K293" s="15" t="n">
        <f aca="false">IF(OR(E293="",E293="!!!",F293="NEW"),"",INDEX(J$1:J292,SUMPRODUCT(MAX(ROW(E$1:E292)*(E293=E$1:E292)))))</f>
        <v>0</v>
      </c>
      <c r="L293" s="16"/>
    </row>
    <row r="294" customFormat="false" ht="12.8" hidden="false" customHeight="false" outlineLevel="0" collapsed="false">
      <c r="A294" s="0" t="s">
        <v>245</v>
      </c>
      <c r="B294" s="0" t="s">
        <v>170</v>
      </c>
      <c r="C294" s="0" t="s">
        <v>246</v>
      </c>
      <c r="D294" s="0" t="s">
        <v>20</v>
      </c>
      <c r="E294" s="10"/>
      <c r="F294" s="11" t="s">
        <v>247</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8" hidden="false" customHeight="false" outlineLevel="0" collapsed="false">
      <c r="A295" s="0" t="s">
        <v>39</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0" t="s">
        <v>62</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8" hidden="false" customHeight="false" outlineLevel="0" collapsed="false">
      <c r="A297" s="0" t="s">
        <v>248</v>
      </c>
      <c r="B297" s="0" t="s">
        <v>75</v>
      </c>
      <c r="C297" s="0" t="s">
        <v>27</v>
      </c>
      <c r="D297" s="0" t="s">
        <v>20</v>
      </c>
      <c r="E297" s="10"/>
      <c r="F297" s="11" t="s">
        <v>247</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0" t="s">
        <v>45</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8" hidden="false" customHeight="false" outlineLevel="0" collapsed="false">
      <c r="A299" s="0" t="s">
        <v>219</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0" t="s">
        <v>99</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8" hidden="false" customHeight="false" outlineLevel="0" collapsed="false">
      <c r="A301" s="0" t="s">
        <v>249</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0" t="s">
        <v>72</v>
      </c>
      <c r="B302" s="0" t="s">
        <v>96</v>
      </c>
      <c r="C302" s="0" t="s">
        <v>48</v>
      </c>
      <c r="D302" s="0" t="s">
        <v>20</v>
      </c>
      <c r="E302" s="10" t="s">
        <v>92</v>
      </c>
      <c r="F302" s="11" t="str">
        <f aca="false">IF(OR(E302="",E302="!!!"),"",IF(NOT(ISNA(VLOOKUP(E302,E$1:E301,1,FALSE()))),"OLD",IF(AND(E302&lt;&gt;"",E302&lt;&gt;"!!!"),"NEW","")))</f>
        <v>OLD</v>
      </c>
      <c r="G302" s="12" t="s">
        <v>87</v>
      </c>
      <c r="H302" s="13" t="str">
        <f aca="false">IF(J302&lt;&gt;1,"",IF(I302="SBJ","CB","?"))</f>
        <v/>
      </c>
      <c r="I302" s="14" t="str">
        <f aca="false">IF(OR(E302="",E302="!!!",F302="NEW"),"",INDEX(B$2:B301,-1+SUMPRODUCT(MAX(ROW(E$2:E301)*(E302=E$2:E301)))))</f>
        <v>SBJ_2</v>
      </c>
      <c r="J302" s="15" t="n">
        <f aca="true">IF(OR(E302="",E302="!!!",F302="NEW"),"",COUNTBLANK(OFFSET(A$1,,,SUMPRODUCT(MAX(ROW(E$2:E302)*(E302=E$2:E302)))))-COUNTBLANK(OFFSET(A$1,,,SUMPRODUCT(MAX(ROW(E$1:E301)*(E302=E$1:E301))))))</f>
        <v>0</v>
      </c>
      <c r="K302" s="15" t="n">
        <f aca="false">IF(OR(E302="",E302="!!!",F302="NEW"),"",INDEX(J$1:J301,SUMPRODUCT(MAX(ROW(E$1:E301)*(E302=E$1:E301)))))</f>
        <v>0</v>
      </c>
      <c r="L302" s="16"/>
    </row>
    <row r="303" customFormat="false" ht="12.8" hidden="false" customHeight="false" outlineLevel="0" collapsed="false">
      <c r="A303" s="0" t="s">
        <v>76</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8" hidden="false" customHeight="false" outlineLevel="0" collapsed="false">
      <c r="A305" s="0" t="s">
        <v>250</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8" hidden="false" customHeight="false" outlineLevel="0" collapsed="false">
      <c r="A306" s="0" t="s">
        <v>251</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0" t="s">
        <v>240</v>
      </c>
      <c r="B307" s="0" t="s">
        <v>85</v>
      </c>
      <c r="C307" s="0" t="s">
        <v>215</v>
      </c>
      <c r="D307" s="0" t="s">
        <v>20</v>
      </c>
      <c r="E307" s="10" t="s">
        <v>241</v>
      </c>
      <c r="F307" s="11" t="str">
        <f aca="false">IF(OR(E307="",E307="!!!"),"",IF(NOT(ISNA(VLOOKUP(E307,E$1:E306,1,FALSE()))),"OLD",IF(AND(E307&lt;&gt;"",E307&lt;&gt;"!!!"),"NEW","")))</f>
        <v>OLD</v>
      </c>
      <c r="G307" s="12" t="s">
        <v>87</v>
      </c>
      <c r="H307" s="13" t="s">
        <v>7</v>
      </c>
      <c r="I307" s="14" t="n">
        <f aca="false">IF(OR(E307="",E307="!!!",F307="NEW"),"",INDEX(B$2:B306,-1+SUMPRODUCT(MAX(ROW(E$2:E306)*(E307=E$2:E306)))))</f>
        <v>0</v>
      </c>
      <c r="J307" s="15" t="n">
        <f aca="true">IF(OR(E307="",E307="!!!",F307="NEW"),"",COUNTBLANK(OFFSET(A$1,,,SUMPRODUCT(MAX(ROW(E$2:E307)*(E307=E$2:E307)))))-COUNTBLANK(OFFSET(A$1,,,SUMPRODUCT(MAX(ROW(E$1:E306)*(E307=E$1:E306))))))</f>
        <v>1</v>
      </c>
      <c r="K307" s="15" t="str">
        <f aca="false">IF(OR(E307="",E307="!!!",F307="NEW"),"",INDEX(J$1:J306,SUMPRODUCT(MAX(ROW(E$1:E306)*(E307=E$1:E306)))))</f>
        <v/>
      </c>
      <c r="L307" s="16"/>
    </row>
    <row r="308" customFormat="false" ht="12.8" hidden="false" customHeight="false" outlineLevel="0" collapsed="false">
      <c r="A308" s="0" t="s">
        <v>44</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8" hidden="false" customHeight="false" outlineLevel="0" collapsed="false">
      <c r="A309" s="0" t="s">
        <v>252</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8" hidden="false" customHeight="false" outlineLevel="0" collapsed="false">
      <c r="A310" s="0" t="s">
        <v>127</v>
      </c>
      <c r="B310" s="0" t="s">
        <v>47</v>
      </c>
      <c r="C310" s="0" t="s">
        <v>48</v>
      </c>
      <c r="D310" s="0" t="s">
        <v>20</v>
      </c>
      <c r="E310" s="10" t="s">
        <v>128</v>
      </c>
      <c r="F310" s="11" t="str">
        <f aca="false">IF(OR(E310="",E310="!!!"),"",IF(NOT(ISNA(VLOOKUP(E310,E$1:E309,1,FALSE()))),"OLD",IF(AND(E310&lt;&gt;"",E310&lt;&gt;"!!!"),"NEW","")))</f>
        <v>OLD</v>
      </c>
      <c r="G310" s="12" t="s">
        <v>80</v>
      </c>
      <c r="H310" s="13" t="str">
        <f aca="false">IF(J310&lt;&gt;1,"",IF(I310="SBJ","CB","?"))</f>
        <v/>
      </c>
      <c r="I310" s="14" t="str">
        <f aca="false">IF(OR(E310="",E310="!!!",F310="NEW"),"",INDEX(B$2:B309,-1+SUMPRODUCT(MAX(ROW(E$2:E309)*(E310=E$2:E309)))))</f>
        <v>OBJ_2</v>
      </c>
      <c r="J310" s="15" t="n">
        <f aca="true">IF(OR(E310="",E310="!!!",F310="NEW"),"",COUNTBLANK(OFFSET(A$1,,,SUMPRODUCT(MAX(ROW(E$2:E310)*(E310=E$2:E310)))))-COUNTBLANK(OFFSET(A$1,,,SUMPRODUCT(MAX(ROW(E$1:E309)*(E310=E$1:E309))))))</f>
        <v>5</v>
      </c>
      <c r="K310" s="15" t="n">
        <f aca="false">IF(OR(E310="",E310="!!!",F310="NEW"),"",INDEX(J$1:J309,SUMPRODUCT(MAX(ROW(E$1:E309)*(E310=E$1:E309)))))</f>
        <v>1</v>
      </c>
      <c r="L310" s="16"/>
    </row>
    <row r="311" customFormat="false" ht="12.8" hidden="false" customHeight="false" outlineLevel="0" collapsed="false">
      <c r="A311" s="0" t="s">
        <v>109</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0" t="s">
        <v>76</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8" hidden="false" customHeight="false" outlineLevel="0" collapsed="false">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8" hidden="false" customHeight="false" outlineLevel="0" collapsed="false">
      <c r="A314" s="0" t="s">
        <v>253</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0" t="s">
        <v>254</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8" hidden="false" customHeight="false" outlineLevel="0" collapsed="false">
      <c r="A316" s="0" t="s">
        <v>55</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A317" s="0" t="s">
        <v>239</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8" hidden="false" customHeight="false" outlineLevel="0" collapsed="false">
      <c r="A318" s="0" t="s">
        <v>240</v>
      </c>
      <c r="B318" s="0" t="s">
        <v>85</v>
      </c>
      <c r="C318" s="0" t="s">
        <v>215</v>
      </c>
      <c r="D318" s="0" t="s">
        <v>20</v>
      </c>
      <c r="E318" s="10" t="s">
        <v>241</v>
      </c>
      <c r="F318" s="11" t="str">
        <f aca="false">IF(OR(E318="",E318="!!!"),"",IF(NOT(ISNA(VLOOKUP(E318,E$1:E317,1,FALSE()))),"OLD",IF(AND(E318&lt;&gt;"",E318&lt;&gt;"!!!"),"NEW","")))</f>
        <v>OLD</v>
      </c>
      <c r="G318" s="12" t="s">
        <v>87</v>
      </c>
      <c r="H318" s="13" t="s">
        <v>7</v>
      </c>
      <c r="I318" s="14" t="str">
        <f aca="false">IF(OR(E318="",E318="!!!",F318="NEW"),"",INDEX(B$2:B317,-1+SUMPRODUCT(MAX(ROW(E$2:E317)*(E318=E$2:E317)))))</f>
        <v>OBJ</v>
      </c>
      <c r="J318" s="15" t="n">
        <f aca="true">IF(OR(E318="",E318="!!!",F318="NEW"),"",COUNTBLANK(OFFSET(A$1,,,SUMPRODUCT(MAX(ROW(E$2:E318)*(E318=E$2:E318)))))-COUNTBLANK(OFFSET(A$1,,,SUMPRODUCT(MAX(ROW(E$1:E317)*(E318=E$1:E317))))))</f>
        <v>1</v>
      </c>
      <c r="K318" s="15" t="n">
        <f aca="false">IF(OR(E318="",E318="!!!",F318="NEW"),"",INDEX(J$1:J317,SUMPRODUCT(MAX(ROW(E$1:E317)*(E318=E$1:E317)))))</f>
        <v>1</v>
      </c>
      <c r="L318" s="16"/>
    </row>
    <row r="319" customFormat="false" ht="12.8" hidden="false" customHeight="false" outlineLevel="0" collapsed="false">
      <c r="A319" s="0" t="s">
        <v>191</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A320" s="0" t="s">
        <v>255</v>
      </c>
      <c r="B320" s="0" t="s">
        <v>14</v>
      </c>
      <c r="C320" s="0" t="s">
        <v>31</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8" hidden="false" customHeight="false" outlineLevel="0" collapsed="false">
      <c r="A321" s="0" t="s">
        <v>76</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8" hidden="false" customHeight="false" outlineLevel="0" collapsed="false">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8" hidden="false" customHeight="false" outlineLevel="0" collapsed="false">
      <c r="A323" s="0" t="s">
        <v>256</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8" hidden="false" customHeight="false" outlineLevel="0" collapsed="false">
      <c r="A324" s="0" t="s">
        <v>257</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8" hidden="false" customHeight="false" outlineLevel="0" collapsed="false">
      <c r="A325" s="0" t="s">
        <v>258</v>
      </c>
      <c r="B325" s="0" t="s">
        <v>14</v>
      </c>
      <c r="C325" s="0" t="s">
        <v>19</v>
      </c>
      <c r="D325" s="0" t="s">
        <v>20</v>
      </c>
      <c r="E325" s="10"/>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t="s">
        <v>259</v>
      </c>
    </row>
    <row r="326" customFormat="false" ht="12.8" hidden="false" customHeight="false" outlineLevel="0" collapsed="false">
      <c r="A326" s="0" t="s">
        <v>260</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8" hidden="false" customHeight="false" outlineLevel="0" collapsed="false">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8" hidden="false" customHeight="false" outlineLevel="0" collapsed="false">
      <c r="A328" s="0" t="s">
        <v>261</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8" hidden="false" customHeight="false" outlineLevel="0" collapsed="false">
      <c r="A329" s="0" t="s">
        <v>262</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8" hidden="false" customHeight="false" outlineLevel="0" collapsed="false">
      <c r="A330" s="0" t="s">
        <v>72</v>
      </c>
      <c r="B330" s="0" t="s">
        <v>34</v>
      </c>
      <c r="C330" s="0" t="s">
        <v>48</v>
      </c>
      <c r="D330" s="0" t="s">
        <v>20</v>
      </c>
      <c r="E330" s="10"/>
      <c r="F330" s="11" t="s">
        <v>73</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8" hidden="false" customHeight="false" outlineLevel="0" collapsed="false">
      <c r="A331" s="0" t="s">
        <v>227</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8" hidden="false" customHeight="false" outlineLevel="0" collapsed="false">
      <c r="A332" s="0" t="s">
        <v>168</v>
      </c>
      <c r="B332" s="0" t="s">
        <v>85</v>
      </c>
      <c r="C332" s="0" t="s">
        <v>48</v>
      </c>
      <c r="D332" s="0" t="s">
        <v>20</v>
      </c>
      <c r="E332" s="10" t="s">
        <v>49</v>
      </c>
      <c r="F332" s="11" t="str">
        <f aca="false">IF(OR(E332="",E332="!!!"),"",IF(NOT(ISNA(VLOOKUP(E332,E$1:E331,1,FALSE()))),"OLD",IF(AND(E332&lt;&gt;"",E332&lt;&gt;"!!!"),"NEW","")))</f>
        <v>OLD</v>
      </c>
      <c r="G332" s="12" t="s">
        <v>80</v>
      </c>
      <c r="H332" s="13" t="str">
        <f aca="false">IF(J332&lt;&gt;1,"",IF(I332="SBJ","CB","?"))</f>
        <v/>
      </c>
      <c r="I332" s="14" t="str">
        <f aca="false">IF(OR(E332="",E332="!!!",F332="NEW"),"",INDEX(B$2:B331,-1+SUMPRODUCT(MAX(ROW(E$2:E331)*(E332=E$2:E331)))))</f>
        <v>OBJ</v>
      </c>
      <c r="J332" s="15" t="n">
        <f aca="true">IF(OR(E332="",E332="!!!",F332="NEW"),"",COUNTBLANK(OFFSET(A$1,,,SUMPRODUCT(MAX(ROW(E$2:E332)*(E332=E$2:E332)))))-COUNTBLANK(OFFSET(A$1,,,SUMPRODUCT(MAX(ROW(E$1:E331)*(E332=E$1:E331))))))</f>
        <v>8</v>
      </c>
      <c r="K332" s="15" t="n">
        <f aca="false">IF(OR(E332="",E332="!!!",F332="NEW"),"",INDEX(J$1:J331,SUMPRODUCT(MAX(ROW(E$1:E331)*(E332=E$1:E331)))))</f>
        <v>1</v>
      </c>
      <c r="L332" s="16"/>
    </row>
    <row r="333" customFormat="false" ht="12.8" hidden="false" customHeight="false" outlineLevel="0" collapsed="false">
      <c r="A333" s="0" t="s">
        <v>263</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8" hidden="false" customHeight="false" outlineLevel="0" collapsed="false">
      <c r="A334" s="0" t="s">
        <v>252</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8" hidden="false" customHeight="false" outlineLevel="0" collapsed="false">
      <c r="A335" s="0" t="s">
        <v>62</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8" hidden="false" customHeight="false" outlineLevel="0" collapsed="false">
      <c r="A336" s="0" t="s">
        <v>25</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A337" s="0" t="s">
        <v>264</v>
      </c>
      <c r="B337" s="0" t="s">
        <v>53</v>
      </c>
      <c r="C337" s="0" t="s">
        <v>27</v>
      </c>
      <c r="D337" s="0" t="s">
        <v>20</v>
      </c>
      <c r="E337" s="10" t="s">
        <v>265</v>
      </c>
      <c r="F337" s="11" t="str">
        <f aca="false">IF(OR(E337="",E337="!!!"),"",IF(NOT(ISNA(VLOOKUP(E337,E$1:E336,1,FALSE()))),"OLD",IF(AND(E337&lt;&gt;"",E337&lt;&gt;"!!!"),"NEW","")))</f>
        <v>NEW</v>
      </c>
      <c r="G337" s="12" t="s">
        <v>131</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0" t="s">
        <v>61</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8" hidden="false" customHeight="false" outlineLevel="0" collapsed="false">
      <c r="A339" s="0" t="s">
        <v>189</v>
      </c>
      <c r="B339" s="0" t="s">
        <v>65</v>
      </c>
      <c r="C339" s="0" t="s">
        <v>31</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0" t="s">
        <v>54</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0" t="s">
        <v>266</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8" hidden="false" customHeight="false" outlineLevel="0" collapsed="false">
      <c r="A342" s="0" t="s">
        <v>29</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8" hidden="false" customHeight="false" outlineLevel="0" collapsed="false">
      <c r="A343" s="0" t="s">
        <v>267</v>
      </c>
      <c r="B343" s="0" t="s">
        <v>96</v>
      </c>
      <c r="C343" s="0" t="s">
        <v>31</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8" hidden="false" customHeight="false" outlineLevel="0" collapsed="false">
      <c r="A344" s="0" t="s">
        <v>268</v>
      </c>
      <c r="B344" s="0" t="s">
        <v>96</v>
      </c>
      <c r="C344" s="0" t="s">
        <v>31</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8" hidden="false" customHeight="false" outlineLevel="0" collapsed="false">
      <c r="A345" s="0" t="s">
        <v>76</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8" hidden="false" customHeight="false" outlineLevel="0" collapsed="false">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8" hidden="false" customHeight="false" outlineLevel="0" collapsed="false">
      <c r="A347" s="0" t="s">
        <v>269</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8" hidden="false" customHeight="false" outlineLevel="0" collapsed="false">
      <c r="A348" s="0" t="s">
        <v>177</v>
      </c>
      <c r="B348" s="0" t="s">
        <v>34</v>
      </c>
      <c r="C348" s="0" t="s">
        <v>48</v>
      </c>
      <c r="D348" s="0" t="s">
        <v>20</v>
      </c>
      <c r="E348" s="10" t="s">
        <v>161</v>
      </c>
      <c r="F348" s="11" t="str">
        <f aca="false">IF(OR(E348="",E348="!!!"),"",IF(NOT(ISNA(VLOOKUP(E348,E$1:E347,1,FALSE()))),"OLD",IF(AND(E348&lt;&gt;"",E348&lt;&gt;"!!!"),"NEW","")))</f>
        <v>OLD</v>
      </c>
      <c r="G348" s="12" t="s">
        <v>80</v>
      </c>
      <c r="H348" s="13" t="str">
        <f aca="false">IF(J348&lt;&gt;1,"",IF(I348="SBJ","CB","?"))</f>
        <v/>
      </c>
      <c r="I348" s="14" t="str">
        <f aca="false">IF(OR(E348="",E348="!!!",F348="NEW"),"",INDEX(B$2:B347,-1+SUMPRODUCT(MAX(ROW(E$2:E347)*(E348=E$2:E347)))))</f>
        <v>other_3</v>
      </c>
      <c r="J348" s="15" t="n">
        <f aca="true">IF(OR(E348="",E348="!!!",F348="NEW"),"",COUNTBLANK(OFFSET(A$1,,,SUMPRODUCT(MAX(ROW(E$2:E348)*(E348=E$2:E348)))))-COUNTBLANK(OFFSET(A$1,,,SUMPRODUCT(MAX(ROW(E$1:E347)*(E348=E$1:E347))))))</f>
        <v>5</v>
      </c>
      <c r="K348" s="15" t="n">
        <f aca="false">IF(OR(E348="",E348="!!!",F348="NEW"),"",INDEX(J$1:J347,SUMPRODUCT(MAX(ROW(E$1:E347)*(E348=E$1:E347)))))</f>
        <v>3</v>
      </c>
      <c r="L348" s="16"/>
    </row>
    <row r="349" customFormat="false" ht="12.8" hidden="false" customHeight="false" outlineLevel="0" collapsed="false">
      <c r="A349" s="0" t="s">
        <v>175</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8" hidden="false" customHeight="false" outlineLevel="0" collapsed="false">
      <c r="A350" s="0" t="s">
        <v>51</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8" hidden="false" customHeight="false" outlineLevel="0" collapsed="false">
      <c r="A351" s="0" t="s">
        <v>52</v>
      </c>
      <c r="B351" s="0" t="s">
        <v>47</v>
      </c>
      <c r="C351" s="0" t="s">
        <v>31</v>
      </c>
      <c r="E351" s="10" t="s">
        <v>52</v>
      </c>
      <c r="F351" s="11" t="str">
        <f aca="false">IF(OR(E351="",E351="!!!"),"",IF(NOT(ISNA(VLOOKUP(E351,E$1:E350,1,FALSE()))),"OLD",IF(AND(E351&lt;&gt;"",E351&lt;&gt;"!!!"),"NEW","")))</f>
        <v>OLD</v>
      </c>
      <c r="G351" s="12" t="s">
        <v>67</v>
      </c>
      <c r="H351" s="13" t="str">
        <f aca="false">IF(J351&lt;&gt;1,"",IF(I351="SBJ","CB","?"))</f>
        <v/>
      </c>
      <c r="I351" s="14" t="str">
        <f aca="false">IF(OR(E351="",E351="!!!",F351="NEW"),"",INDEX(B$2:B350,-1+SUMPRODUCT(MAX(ROW(E$2:E350)*(E351=E$2:E350)))))</f>
        <v>other</v>
      </c>
      <c r="J351" s="15" t="n">
        <f aca="true">IF(OR(E351="",E351="!!!",F351="NEW"),"",COUNTBLANK(OFFSET(A$1,,,SUMPRODUCT(MAX(ROW(E$2:E351)*(E351=E$2:E351)))))-COUNTBLANK(OFFSET(A$1,,,SUMPRODUCT(MAX(ROW(E$1:E350)*(E351=E$1:E350))))))</f>
        <v>11</v>
      </c>
      <c r="K351" s="15" t="n">
        <f aca="false">IF(OR(E351="",E351="!!!",F351="NEW"),"",INDEX(J$1:J350,SUMPRODUCT(MAX(ROW(E$1:E350)*(E351=E$1:E350)))))</f>
        <v>0</v>
      </c>
      <c r="L351" s="16"/>
    </row>
    <row r="352" customFormat="false" ht="12.8" hidden="false" customHeight="false" outlineLevel="0" collapsed="false">
      <c r="A352" s="0" t="s">
        <v>44</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8" hidden="false" customHeight="false" outlineLevel="0" collapsed="false">
      <c r="A353" s="0" t="s">
        <v>71</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8" hidden="false" customHeight="false" outlineLevel="0" collapsed="false">
      <c r="A354" s="0" t="s">
        <v>202</v>
      </c>
      <c r="B354" s="0" t="s">
        <v>53</v>
      </c>
      <c r="C354" s="0" t="s">
        <v>48</v>
      </c>
      <c r="D354" s="0" t="s">
        <v>20</v>
      </c>
      <c r="E354" s="10" t="s">
        <v>52</v>
      </c>
      <c r="F354" s="11" t="str">
        <f aca="false">IF(OR(E354="",E354="!!!"),"",IF(NOT(ISNA(VLOOKUP(E354,E$1:E353,1,FALSE()))),"OLD",IF(AND(E354&lt;&gt;"",E354&lt;&gt;"!!!"),"NEW","")))</f>
        <v>OLD</v>
      </c>
      <c r="G354" s="12" t="s">
        <v>87</v>
      </c>
      <c r="H354" s="13" t="str">
        <f aca="false">IF(J354&lt;&gt;1,"",IF(I354="SBJ","CB","?"))</f>
        <v/>
      </c>
      <c r="I354" s="14" t="str">
        <f aca="false">IF(OR(E354="",E354="!!!",F354="NEW"),"",INDEX(B$2:B353,-1+SUMPRODUCT(MAX(ROW(E$2:E353)*(E354=E$2:E353)))))</f>
        <v>SBJ_2</v>
      </c>
      <c r="J354" s="15" t="n">
        <f aca="true">IF(OR(E354="",E354="!!!",F354="NEW"),"",COUNTBLANK(OFFSET(A$1,,,SUMPRODUCT(MAX(ROW(E$2:E354)*(E354=E$2:E354)))))-COUNTBLANK(OFFSET(A$1,,,SUMPRODUCT(MAX(ROW(E$1:E353)*(E354=E$1:E353))))))</f>
        <v>0</v>
      </c>
      <c r="K354" s="15" t="n">
        <f aca="false">IF(OR(E354="",E354="!!!",F354="NEW"),"",INDEX(J$1:J353,SUMPRODUCT(MAX(ROW(E$1:E353)*(E354=E$1:E353)))))</f>
        <v>11</v>
      </c>
      <c r="L354" s="16"/>
    </row>
    <row r="355" customFormat="false" ht="12.8" hidden="false" customHeight="false" outlineLevel="0" collapsed="false">
      <c r="A355" s="0" t="s">
        <v>270</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8" hidden="false" customHeight="false" outlineLevel="0" collapsed="false">
      <c r="A356" s="0" t="s">
        <v>191</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8" hidden="false" customHeight="false" outlineLevel="0" collapsed="false">
      <c r="A357" s="0" t="s">
        <v>179</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8" hidden="false" customHeight="false" outlineLevel="0" collapsed="false">
      <c r="A358" s="0" t="s">
        <v>271</v>
      </c>
      <c r="B358" s="0" t="s">
        <v>96</v>
      </c>
      <c r="C358" s="0" t="s">
        <v>181</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8" hidden="false" customHeight="false" outlineLevel="0" collapsed="false">
      <c r="A359" s="0" t="s">
        <v>45</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8" hidden="false" customHeight="false" outlineLevel="0" collapsed="false">
      <c r="A360" s="0" t="s">
        <v>272</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8" hidden="false" customHeight="false" outlineLevel="0" collapsed="false">
      <c r="A361" s="0" t="s">
        <v>273</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8" hidden="false" customHeight="false" outlineLevel="0" collapsed="false">
      <c r="A362" s="0" t="s">
        <v>60</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8" hidden="false" customHeight="false" outlineLevel="0" collapsed="false">
      <c r="A363" s="0" t="s">
        <v>274</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A364" s="0" t="s">
        <v>44</v>
      </c>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8" hidden="false" customHeight="false" outlineLevel="0" collapsed="false">
      <c r="A365" s="0" t="s">
        <v>202</v>
      </c>
      <c r="B365" s="0" t="s">
        <v>47</v>
      </c>
      <c r="C365" s="0" t="s">
        <v>48</v>
      </c>
      <c r="D365" s="0" t="s">
        <v>20</v>
      </c>
      <c r="E365" s="10" t="s">
        <v>52</v>
      </c>
      <c r="F365" s="11" t="str">
        <f aca="false">IF(OR(E365="",E365="!!!"),"",IF(NOT(ISNA(VLOOKUP(E365,E$1:E364,1,FALSE()))),"OLD",IF(AND(E365&lt;&gt;"",E365&lt;&gt;"!!!"),"NEW","")))</f>
        <v>OLD</v>
      </c>
      <c r="G365" s="12" t="s">
        <v>87</v>
      </c>
      <c r="H365" s="13" t="str">
        <f aca="false">IF(J365&lt;&gt;1,"",IF(I365="SBJ","CB","?"))</f>
        <v/>
      </c>
      <c r="I365" s="14" t="str">
        <f aca="false">IF(OR(E365="",E365="!!!",F365="NEW"),"",INDEX(B$2:B364,-1+SUMPRODUCT(MAX(ROW(E$2:E364)*(E365=E$2:E364)))))</f>
        <v>SBJ_3</v>
      </c>
      <c r="J365" s="15" t="n">
        <f aca="true">IF(OR(E365="",E365="!!!",F365="NEW"),"",COUNTBLANK(OFFSET(A$1,,,SUMPRODUCT(MAX(ROW(E$2:E365)*(E365=E$2:E365)))))-COUNTBLANK(OFFSET(A$1,,,SUMPRODUCT(MAX(ROW(E$1:E364)*(E365=E$1:E364))))))</f>
        <v>0</v>
      </c>
      <c r="K365" s="15" t="n">
        <f aca="false">IF(OR(E365="",E365="!!!",F365="NEW"),"",INDEX(J$1:J364,SUMPRODUCT(MAX(ROW(E$1:E364)*(E365=E$1:E364)))))</f>
        <v>0</v>
      </c>
      <c r="L365" s="16"/>
    </row>
    <row r="366" customFormat="false" ht="12.8" hidden="false" customHeight="false" outlineLevel="0" collapsed="false">
      <c r="A366" s="0" t="s">
        <v>270</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0" t="s">
        <v>191</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0" t="s">
        <v>275</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8" hidden="false" customHeight="false" outlineLevel="0" collapsed="false">
      <c r="A369" s="0" t="s">
        <v>276</v>
      </c>
      <c r="B369" s="0" t="s">
        <v>75</v>
      </c>
      <c r="C369" s="0" t="s">
        <v>31</v>
      </c>
      <c r="E369" s="10" t="s">
        <v>277</v>
      </c>
      <c r="F369" s="11" t="str">
        <f aca="false">IF(OR(E369="",E369="!!!"),"",IF(NOT(ISNA(VLOOKUP(E369,E$1:E368,1,FALSE()))),"OLD",IF(AND(E369&lt;&gt;"",E369&lt;&gt;"!!!"),"NEW","")))</f>
        <v>NEW</v>
      </c>
      <c r="G369" s="12" t="s">
        <v>67</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8" hidden="false" customHeight="false" outlineLevel="0" collapsed="false">
      <c r="A370" s="0" t="s">
        <v>44</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8" hidden="false" customHeight="false" outlineLevel="0" collapsed="false">
      <c r="A371" s="0" t="s">
        <v>278</v>
      </c>
      <c r="B371" s="0" t="s">
        <v>170</v>
      </c>
      <c r="C371" s="0" t="s">
        <v>31</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8" hidden="false" customHeight="false" outlineLevel="0" collapsed="false">
      <c r="A372" s="0" t="s">
        <v>88</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8" hidden="false" customHeight="false" outlineLevel="0" collapsed="false">
      <c r="A373" s="0" t="s">
        <v>279</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0" t="s">
        <v>280</v>
      </c>
      <c r="B374" s="0" t="s">
        <v>96</v>
      </c>
      <c r="C374" s="0" t="s">
        <v>31</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8" hidden="false" customHeight="false" outlineLevel="0" collapsed="false">
      <c r="A375" s="0" t="s">
        <v>44</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0" t="s">
        <v>281</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8" hidden="false" customHeight="false" outlineLevel="0" collapsed="false">
      <c r="A377" s="0" t="s">
        <v>282</v>
      </c>
      <c r="B377" s="0" t="s">
        <v>65</v>
      </c>
      <c r="C377" s="0" t="s">
        <v>31</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A378" s="0" t="s">
        <v>44</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0" t="s">
        <v>283</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0" t="s">
        <v>284</v>
      </c>
      <c r="B380" s="0" t="s">
        <v>65</v>
      </c>
      <c r="C380" s="0" t="s">
        <v>31</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0" t="s">
        <v>44</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8" hidden="false" customHeight="false" outlineLevel="0" collapsed="false">
      <c r="A382" s="0" t="s">
        <v>285</v>
      </c>
      <c r="B382" s="0" t="s">
        <v>65</v>
      </c>
      <c r="C382" s="0" t="s">
        <v>31</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8" hidden="false" customHeight="false" outlineLevel="0" collapsed="false">
      <c r="A383" s="0" t="s">
        <v>113</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A384" s="0" t="s">
        <v>127</v>
      </c>
      <c r="B384" s="0" t="s">
        <v>47</v>
      </c>
      <c r="C384" s="0" t="s">
        <v>48</v>
      </c>
      <c r="D384" s="0" t="s">
        <v>20</v>
      </c>
      <c r="E384" s="10" t="s">
        <v>128</v>
      </c>
      <c r="F384" s="11" t="str">
        <f aca="false">IF(OR(E384="",E384="!!!"),"",IF(NOT(ISNA(VLOOKUP(E384,E$1:E383,1,FALSE()))),"OLD",IF(AND(E384&lt;&gt;"",E384&lt;&gt;"!!!"),"NEW","")))</f>
        <v>OLD</v>
      </c>
      <c r="G384" s="12" t="s">
        <v>80</v>
      </c>
      <c r="H384" s="13" t="str">
        <f aca="false">IF(J384&lt;&gt;1,"",IF(I384="SBJ","CB","?"))</f>
        <v/>
      </c>
      <c r="I384" s="14" t="str">
        <f aca="false">IF(OR(E384="",E384="!!!",F384="NEW"),"",INDEX(B$2:B383,-1+SUMPRODUCT(MAX(ROW(E$2:E383)*(E384=E$2:E383)))))</f>
        <v>SBJ_2</v>
      </c>
      <c r="J384" s="15" t="n">
        <f aca="true">IF(OR(E384="",E384="!!!",F384="NEW"),"",COUNTBLANK(OFFSET(A$1,,,SUMPRODUCT(MAX(ROW(E$2:E384)*(E384=E$2:E384)))))-COUNTBLANK(OFFSET(A$1,,,SUMPRODUCT(MAX(ROW(E$1:E383)*(E384=E$1:E383))))))</f>
        <v>4</v>
      </c>
      <c r="K384" s="15" t="n">
        <f aca="false">IF(OR(E384="",E384="!!!",F384="NEW"),"",INDEX(J$1:J383,SUMPRODUCT(MAX(ROW(E$1:E383)*(E384=E$1:E383)))))</f>
        <v>5</v>
      </c>
      <c r="L384" s="16"/>
    </row>
    <row r="385" customFormat="false" ht="12.8" hidden="false" customHeight="false" outlineLevel="0" collapsed="false">
      <c r="A385" s="0" t="s">
        <v>175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0" t="s">
        <v>44</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8" hidden="false" customHeight="false" outlineLevel="0" collapsed="false">
      <c r="A387" s="0" t="s">
        <v>62</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0" t="s">
        <v>41</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0" t="s">
        <v>286</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0" t="s">
        <v>287</v>
      </c>
      <c r="B390" s="0" t="s">
        <v>85</v>
      </c>
      <c r="C390" s="0" t="s">
        <v>27</v>
      </c>
      <c r="D390" s="0" t="s">
        <v>20</v>
      </c>
      <c r="E390" s="10" t="s">
        <v>277</v>
      </c>
      <c r="F390" s="11" t="s">
        <v>86</v>
      </c>
      <c r="G390" s="12" t="s">
        <v>87</v>
      </c>
      <c r="H390" s="13" t="str">
        <f aca="false">IF(J390&lt;&gt;1,"",IF(I390="SBJ","CB","?"))</f>
        <v/>
      </c>
      <c r="I390" s="14" t="str">
        <f aca="false">IF(OR(E390="",E390="!!!",F390="NEW"),"",INDEX(B$2:B389,-1+SUMPRODUCT(MAX(ROW(E$2:E389)*(E390=E$2:E389)))))</f>
        <v>other_2</v>
      </c>
      <c r="J390" s="15" t="n">
        <f aca="true">IF(OR(E390="",E390="!!!",F390="NEW"),"",COUNTBLANK(OFFSET(A$1,,,SUMPRODUCT(MAX(ROW(E$2:E390)*(E390=E$2:E390)))))-COUNTBLANK(OFFSET(A$1,,,SUMPRODUCT(MAX(ROW(E$1:E389)*(E390=E$1:E389))))))</f>
        <v>0</v>
      </c>
      <c r="K390" s="15" t="str">
        <f aca="false">IF(OR(E390="",E390="!!!",F390="NEW"),"",INDEX(J$1:J389,SUMPRODUCT(MAX(ROW(E$1:E389)*(E390=E$1:E389)))))</f>
        <v/>
      </c>
      <c r="L390" s="16"/>
    </row>
    <row r="391" customFormat="false" ht="12.8" hidden="false" customHeight="false" outlineLevel="0" collapsed="false">
      <c r="A391" s="0" t="s">
        <v>76</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8" hidden="false" customHeight="false" outlineLevel="0" collapsed="false">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0" t="s">
        <v>288</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0" t="s">
        <v>78</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0" t="s">
        <v>103</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8" hidden="false" customHeight="false" outlineLevel="0" collapsed="false">
      <c r="A396" s="0" t="s">
        <v>84</v>
      </c>
      <c r="B396" s="0" t="s">
        <v>34</v>
      </c>
      <c r="C396" s="0" t="s">
        <v>104</v>
      </c>
      <c r="D396" s="0" t="s">
        <v>20</v>
      </c>
      <c r="E396" s="10" t="s">
        <v>277</v>
      </c>
      <c r="F396" s="11" t="str">
        <f aca="false">IF(OR(E396="",E396="!!!"),"",IF(NOT(ISNA(VLOOKUP(E396,E$1:E395,1,FALSE()))),"OLD",IF(AND(E396&lt;&gt;"",E396&lt;&gt;"!!!"),"NEW","")))</f>
        <v>OLD</v>
      </c>
      <c r="G396" s="12" t="s">
        <v>80</v>
      </c>
      <c r="H396" s="13" t="s">
        <v>7</v>
      </c>
      <c r="I396" s="14" t="str">
        <f aca="false">IF(OR(E396="",E396="!!!",F396="NEW"),"",INDEX(B$2:B395,-1+SUMPRODUCT(MAX(ROW(E$2:E395)*(E396=E$2:E395)))))</f>
        <v>OBJ</v>
      </c>
      <c r="J396" s="15" t="n">
        <f aca="true">IF(OR(E396="",E396="!!!",F396="NEW"),"",COUNTBLANK(OFFSET(A$1,,,SUMPRODUCT(MAX(ROW(E$2:E396)*(E396=E$2:E396)))))-COUNTBLANK(OFFSET(A$1,,,SUMPRODUCT(MAX(ROW(E$1:E395)*(E396=E$1:E395))))))</f>
        <v>1</v>
      </c>
      <c r="K396" s="15" t="n">
        <f aca="false">IF(OR(E396="",E396="!!!",F396="NEW"),"",INDEX(J$1:J395,SUMPRODUCT(MAX(ROW(E$1:E395)*(E396=E$1:E395)))))</f>
        <v>0</v>
      </c>
      <c r="L396" s="16"/>
    </row>
    <row r="397" customFormat="false" ht="12.8" hidden="false" customHeight="false" outlineLevel="0" collapsed="false">
      <c r="A397" s="0" t="s">
        <v>54</v>
      </c>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8" hidden="false" customHeight="false" outlineLevel="0" collapsed="false">
      <c r="A398" s="0" t="s">
        <v>289</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8" hidden="false" customHeight="false" outlineLevel="0" collapsed="false">
      <c r="A399" s="0" t="s">
        <v>44</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8" hidden="false" customHeight="false" outlineLevel="0" collapsed="false">
      <c r="A400" s="0" t="s">
        <v>61</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8" hidden="false" customHeight="false" outlineLevel="0" collapsed="false">
      <c r="A401" s="0" t="s">
        <v>290</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0" t="s">
        <v>44</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8" hidden="false" customHeight="false" outlineLevel="0" collapsed="false">
      <c r="A403" s="0" t="s">
        <v>218</v>
      </c>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8" hidden="false" customHeight="false" outlineLevel="0" collapsed="false">
      <c r="A404" s="0" t="s">
        <v>202</v>
      </c>
      <c r="B404" s="0" t="s">
        <v>47</v>
      </c>
      <c r="C404" s="0" t="s">
        <v>48</v>
      </c>
      <c r="D404" s="0" t="s">
        <v>20</v>
      </c>
      <c r="E404" s="10" t="s">
        <v>277</v>
      </c>
      <c r="F404" s="11" t="str">
        <f aca="false">IF(OR(E404="",E404="!!!"),"",IF(NOT(ISNA(VLOOKUP(E404,E$1:E403,1,FALSE()))),"OLD",IF(AND(E404&lt;&gt;"",E404&lt;&gt;"!!!"),"NEW","")))</f>
        <v>OLD</v>
      </c>
      <c r="G404" s="12" t="s">
        <v>87</v>
      </c>
      <c r="H404" s="13" t="str">
        <f aca="false">IF(J404&lt;&gt;1,"",IF(I404="SBJ","CB","?"))</f>
        <v/>
      </c>
      <c r="I404" s="14" t="str">
        <f aca="false">IF(OR(E404="",E404="!!!",F404="NEW"),"",INDEX(B$2:B403,-1+SUMPRODUCT(MAX(ROW(E$2:E403)*(E404=E$2:E403)))))</f>
        <v>SBJ</v>
      </c>
      <c r="J404" s="15" t="n">
        <f aca="true">IF(OR(E404="",E404="!!!",F404="NEW"),"",COUNTBLANK(OFFSET(A$1,,,SUMPRODUCT(MAX(ROW(E$2:E404)*(E404=E$2:E404)))))-COUNTBLANK(OFFSET(A$1,,,SUMPRODUCT(MAX(ROW(E$1:E403)*(E404=E$1:E403))))))</f>
        <v>0</v>
      </c>
      <c r="K404" s="15" t="n">
        <f aca="false">IF(OR(E404="",E404="!!!",F404="NEW"),"",INDEX(J$1:J403,SUMPRODUCT(MAX(ROW(E$1:E403)*(E404=E$1:E403)))))</f>
        <v>1</v>
      </c>
      <c r="L404" s="16"/>
    </row>
    <row r="405" customFormat="false" ht="12.8" hidden="false" customHeight="false" outlineLevel="0" collapsed="false">
      <c r="A405" s="0" t="s">
        <v>223</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8" hidden="false" customHeight="false" outlineLevel="0" collapsed="false">
      <c r="A406" s="0" t="s">
        <v>219</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8" hidden="false" customHeight="false" outlineLevel="0" collapsed="false">
      <c r="A407" s="0" t="s">
        <v>57</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8" hidden="false" customHeight="false" outlineLevel="0" collapsed="false">
      <c r="A408" s="0" t="s">
        <v>76</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8" hidden="false" customHeight="false" outlineLevel="0" collapsed="false">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8" hidden="false" customHeight="false" outlineLevel="0" collapsed="false">
      <c r="A410" s="0" t="s">
        <v>291</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8" hidden="false" customHeight="false" outlineLevel="0" collapsed="false">
      <c r="A411" s="0" t="s">
        <v>292</v>
      </c>
      <c r="B411" s="0" t="s">
        <v>34</v>
      </c>
      <c r="C411" s="0" t="s">
        <v>31</v>
      </c>
      <c r="E411" s="10" t="s">
        <v>52</v>
      </c>
      <c r="F411" s="11" t="str">
        <f aca="false">IF(OR(E411="",E411="!!!"),"",IF(NOT(ISNA(VLOOKUP(E411,E$1:E410,1,FALSE()))),"OLD",IF(AND(E411&lt;&gt;"",E411&lt;&gt;"!!!"),"NEW","")))</f>
        <v>OLD</v>
      </c>
      <c r="G411" s="12" t="s">
        <v>80</v>
      </c>
      <c r="H411" s="13" t="str">
        <f aca="false">IF(J411&lt;&gt;1,"",IF(I411="SBJ","CB","?"))</f>
        <v/>
      </c>
      <c r="I411" s="14" t="str">
        <f aca="false">IF(OR(E411="",E411="!!!",F411="NEW"),"",INDEX(B$2:B410,-1+SUMPRODUCT(MAX(ROW(E$2:E410)*(E411=E$2:E410)))))</f>
        <v>SBJ_2</v>
      </c>
      <c r="J411" s="15" t="n">
        <f aca="true">IF(OR(E411="",E411="!!!",F411="NEW"),"",COUNTBLANK(OFFSET(A$1,,,SUMPRODUCT(MAX(ROW(E$2:E411)*(E411=E$2:E411)))))-COUNTBLANK(OFFSET(A$1,,,SUMPRODUCT(MAX(ROW(E$1:E410)*(E411=E$1:E410))))))</f>
        <v>2</v>
      </c>
      <c r="K411" s="15" t="n">
        <f aca="false">IF(OR(E411="",E411="!!!",F411="NEW"),"",INDEX(J$1:J410,SUMPRODUCT(MAX(ROW(E$1:E410)*(E411=E$1:E410)))))</f>
        <v>0</v>
      </c>
      <c r="L411" s="16"/>
    </row>
    <row r="412" customFormat="false" ht="12.8" hidden="false" customHeight="false" outlineLevel="0" collapsed="false">
      <c r="A412" s="0" t="s">
        <v>293</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8" hidden="false" customHeight="false" outlineLevel="0" collapsed="false">
      <c r="A413" s="0" t="s">
        <v>294</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0" t="s">
        <v>270</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8" hidden="false" customHeight="false" outlineLevel="0" collapsed="false">
      <c r="A415" s="0" t="s">
        <v>191</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8" hidden="false" customHeight="false" outlineLevel="0" collapsed="false">
      <c r="A416" s="0" t="s">
        <v>295</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8" hidden="false" customHeight="false" outlineLevel="0" collapsed="false">
      <c r="A417" s="0" t="s">
        <v>278</v>
      </c>
      <c r="B417" s="0" t="s">
        <v>14</v>
      </c>
      <c r="C417" s="0" t="s">
        <v>31</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8" hidden="false" customHeight="false" outlineLevel="0" collapsed="false">
      <c r="A418" s="0" t="s">
        <v>39</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8" hidden="false" customHeight="false" outlineLevel="0" collapsed="false">
      <c r="A419" s="0" t="s">
        <v>171</v>
      </c>
      <c r="B419" s="0" t="s">
        <v>14</v>
      </c>
      <c r="C419" s="0" t="s">
        <v>172</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23.85" hidden="false" customHeight="false" outlineLevel="0" collapsed="false">
      <c r="A420" s="0" t="s">
        <v>161</v>
      </c>
      <c r="B420" s="0" t="s">
        <v>53</v>
      </c>
      <c r="C420" s="0" t="s">
        <v>48</v>
      </c>
      <c r="D420" s="0" t="s">
        <v>20</v>
      </c>
      <c r="E420" s="10" t="s">
        <v>161</v>
      </c>
      <c r="F420" s="11" t="str">
        <f aca="false">IF(OR(E420="",E420="!!!"),"",IF(NOT(ISNA(VLOOKUP(E420,E$1:E419,1,FALSE()))),"OLD",IF(AND(E420&lt;&gt;"",E420&lt;&gt;"!!!"),"NEW","")))</f>
        <v>OLD</v>
      </c>
      <c r="G420" s="12" t="str">
        <f aca="false">IF(OR(E420="",E420="!!!"),"",IF(OR(J420=0,AND(J420=1,K420=1),AND(J420=1,I420="SBJ"),AND(J420=1,I420=0)),"?IN_FOCUS",IF(J420&lt;=2,"?ACTIVATED",IF(J420&lt;&gt;"","?FAMILIAR",IF(F420="NEW",IF(ISNA(VLOOKUP(E420,#REF!,1,FALSE())),"?TYPE_IDENTIFIABLE","?REFERENTIAL"),"_")))))</f>
        <v>?ACTIVATED</v>
      </c>
      <c r="H420" s="13" t="str">
        <f aca="false">IF(J420&lt;&gt;1,"",IF(I420="SBJ","CB","?"))</f>
        <v/>
      </c>
      <c r="I420" s="14" t="str">
        <f aca="false">IF(OR(E420="",E420="!!!",F420="NEW"),"",INDEX(B$2:B419,-1+SUMPRODUCT(MAX(ROW(E$2:E419)*(E420=E$2:E419)))))</f>
        <v>SBJ</v>
      </c>
      <c r="J420" s="15" t="n">
        <f aca="true">IF(OR(E420="",E420="!!!",F420="NEW"),"",COUNTBLANK(OFFSET(A$1,,,SUMPRODUCT(MAX(ROW(E$2:E420)*(E420=E$2:E420)))))-COUNTBLANK(OFFSET(A$1,,,SUMPRODUCT(MAX(ROW(E$1:E419)*(E420=E$1:E419))))))</f>
        <v>2</v>
      </c>
      <c r="K420" s="15" t="n">
        <f aca="false">IF(OR(E420="",E420="!!!",F420="NEW"),"",INDEX(J$1:J419,SUMPRODUCT(MAX(ROW(E$1:E419)*(E420=E$1:E419)))))</f>
        <v>5</v>
      </c>
      <c r="L420" s="16" t="s">
        <v>296</v>
      </c>
    </row>
    <row r="421" customFormat="false" ht="12.8" hidden="false" customHeight="false" outlineLevel="0" collapsed="false">
      <c r="A421" s="0" t="s">
        <v>297</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0" t="s">
        <v>298</v>
      </c>
      <c r="B422" s="0" t="s">
        <v>59</v>
      </c>
      <c r="C422" s="0" t="s">
        <v>19</v>
      </c>
      <c r="D422" s="0" t="s">
        <v>20</v>
      </c>
      <c r="E422" s="10" t="s">
        <v>298</v>
      </c>
      <c r="F422" s="11" t="str">
        <f aca="false">IF(OR(E422="",E422="!!!"),"",IF(NOT(ISNA(VLOOKUP(E422,E$1:E421,1,FALSE()))),"OLD",IF(AND(E422&lt;&gt;"",E422&lt;&gt;"!!!"),"NEW","")))</f>
        <v>NEW</v>
      </c>
      <c r="G422" s="12" t="s">
        <v>67</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t="s">
        <v>299</v>
      </c>
    </row>
    <row r="423" customFormat="false" ht="12.8" hidden="false" customHeight="false" outlineLevel="0" collapsed="false">
      <c r="A423" s="0" t="s">
        <v>16</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0" t="s">
        <v>300</v>
      </c>
      <c r="B424" s="0" t="s">
        <v>65</v>
      </c>
      <c r="C424" s="0" t="s">
        <v>31</v>
      </c>
      <c r="E424" s="10" t="s">
        <v>90</v>
      </c>
      <c r="F424" s="11" t="s">
        <v>105</v>
      </c>
      <c r="G424" s="12" t="s">
        <v>36</v>
      </c>
      <c r="H424" s="13" t="str">
        <f aca="false">IF(J424&lt;&gt;1,"",IF(I424="SBJ","CB","?"))</f>
        <v/>
      </c>
      <c r="I424" s="14" t="n">
        <f aca="false">IF(OR(E424="",E424="!!!",F424="NEW"),"",INDEX(B$2:B423,-1+SUMPRODUCT(MAX(ROW(E$2:E423)*(E424=E$2:E423)))))</f>
        <v>0</v>
      </c>
      <c r="J424" s="15" t="n">
        <f aca="true">IF(OR(E424="",E424="!!!",F424="NEW"),"",COUNTBLANK(OFFSET(A$1,,,SUMPRODUCT(MAX(ROW(E$2:E424)*(E424=E$2:E424)))))-COUNTBLANK(OFFSET(A$1,,,SUMPRODUCT(MAX(ROW(E$1:E423)*(E424=E$1:E423))))))</f>
        <v>9</v>
      </c>
      <c r="K424" s="15" t="n">
        <f aca="false">IF(OR(E424="",E424="!!!",F424="NEW"),"",INDEX(J$1:J423,SUMPRODUCT(MAX(ROW(E$1:E423)*(E424=E$1:E423)))))</f>
        <v>6</v>
      </c>
      <c r="L424" s="16" t="s">
        <v>144</v>
      </c>
    </row>
    <row r="425" customFormat="false" ht="12.8" hidden="false" customHeight="false" outlineLevel="0" collapsed="false">
      <c r="A425" s="0" t="s">
        <v>44</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A426" s="0" t="s">
        <v>91</v>
      </c>
      <c r="E426" s="10" t="s">
        <v>93</v>
      </c>
      <c r="F426" s="11" t="s">
        <v>105</v>
      </c>
      <c r="G426" s="12" t="s">
        <v>36</v>
      </c>
      <c r="H426" s="13" t="str">
        <f aca="false">IF(J426&lt;&gt;1,"",IF(I426="SBJ","CB","?"))</f>
        <v/>
      </c>
      <c r="I426" s="14" t="str">
        <f aca="false">IF(OR(E426="",E426="!!!",F426="NEW"),"",INDEX(B$2:B425,-1+SUMPRODUCT(MAX(ROW(E$2:E425)*(E426=E$2:E425)))))</f>
        <v>other</v>
      </c>
      <c r="J426" s="15" t="n">
        <f aca="true">IF(OR(E426="",E426="!!!",F426="NEW"),"",COUNTBLANK(OFFSET(A$1,,,SUMPRODUCT(MAX(ROW(E$2:E426)*(E426=E$2:E426)))))-COUNTBLANK(OFFSET(A$1,,,SUMPRODUCT(MAX(ROW(E$1:E425)*(E426=E$1:E425))))))</f>
        <v>9</v>
      </c>
      <c r="K426" s="15" t="n">
        <f aca="false">IF(OR(E426="",E426="!!!",F426="NEW"),"",INDEX(J$1:J425,SUMPRODUCT(MAX(ROW(E$1:E425)*(E426=E$1:E425)))))</f>
        <v>6</v>
      </c>
      <c r="L426" s="16"/>
    </row>
    <row r="427" customFormat="false" ht="12.8" hidden="false" customHeight="false" outlineLevel="0" collapsed="false">
      <c r="A427" s="0" t="s">
        <v>45</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0" t="s">
        <v>95</v>
      </c>
      <c r="B428" s="0" t="s">
        <v>69</v>
      </c>
      <c r="C428" s="0" t="s">
        <v>31</v>
      </c>
      <c r="E428" s="10" t="s">
        <v>97</v>
      </c>
      <c r="F428" s="11" t="str">
        <f aca="false">IF(OR(E428="",E428="!!!"),"",IF(NOT(ISNA(VLOOKUP(E428,E$1:E427,1,FALSE()))),"OLD",IF(AND(E428&lt;&gt;"",E428&lt;&gt;"!!!"),"NEW","")))</f>
        <v>OLD</v>
      </c>
      <c r="G428" s="12" t="s">
        <v>36</v>
      </c>
      <c r="H428" s="13" t="str">
        <f aca="false">IF(J428&lt;&gt;1,"",IF(I428="SBJ","CB","?"))</f>
        <v/>
      </c>
      <c r="I428" s="14" t="str">
        <f aca="false">IF(OR(E428="",E428="!!!",F428="NEW"),"",INDEX(B$2:B427,-1+SUMPRODUCT(MAX(ROW(E$2:E427)*(E428=E$2:E427)))))</f>
        <v>other_3</v>
      </c>
      <c r="J428" s="15" t="n">
        <f aca="true">IF(OR(E428="",E428="!!!",F428="NEW"),"",COUNTBLANK(OFFSET(A$1,,,SUMPRODUCT(MAX(ROW(E$2:E428)*(E428=E$2:E428)))))-COUNTBLANK(OFFSET(A$1,,,SUMPRODUCT(MAX(ROW(E$1:E427)*(E428=E$1:E427))))))</f>
        <v>15</v>
      </c>
      <c r="K428" s="15" t="str">
        <f aca="false">IF(OR(E428="",E428="!!!",F428="NEW"),"",INDEX(J$1:J427,SUMPRODUCT(MAX(ROW(E$1:E427)*(E428=E$1:E427)))))</f>
        <v/>
      </c>
      <c r="L428" s="16"/>
    </row>
    <row r="429" customFormat="false" ht="12.8" hidden="false" customHeight="false" outlineLevel="0" collapsed="false">
      <c r="A429" s="0" t="s">
        <v>76</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8" hidden="false" customHeight="false" outlineLevel="0" collapsed="false">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8" hidden="false" customHeight="false" outlineLevel="0" collapsed="false">
      <c r="A431" s="0" t="s">
        <v>301</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0" t="s">
        <v>302</v>
      </c>
      <c r="B432" s="0" t="s">
        <v>34</v>
      </c>
      <c r="C432" s="0" t="s">
        <v>31</v>
      </c>
      <c r="E432" s="10" t="s">
        <v>90</v>
      </c>
      <c r="F432" s="11" t="str">
        <f aca="false">IF(OR(E432="",E432="!!!"),"",IF(NOT(ISNA(VLOOKUP(E432,E$1:E431,1,FALSE()))),"OLD",IF(AND(E432&lt;&gt;"",E432&lt;&gt;"!!!"),"NEW","")))</f>
        <v>OLD</v>
      </c>
      <c r="G432" s="12" t="s">
        <v>87</v>
      </c>
      <c r="H432" s="13" t="s">
        <v>7</v>
      </c>
      <c r="I432" s="14" t="str">
        <f aca="false">IF(OR(E432="",E432="!!!",F432="NEW"),"",INDEX(B$2:B431,-1+SUMPRODUCT(MAX(ROW(E$2:E431)*(E432=E$2:E431)))))</f>
        <v>other_4</v>
      </c>
      <c r="J432" s="15" t="n">
        <f aca="true">IF(OR(E432="",E432="!!!",F432="NEW"),"",COUNTBLANK(OFFSET(A$1,,,SUMPRODUCT(MAX(ROW(E$2:E432)*(E432=E$2:E432)))))-COUNTBLANK(OFFSET(A$1,,,SUMPRODUCT(MAX(ROW(E$1:E431)*(E432=E$1:E431))))))</f>
        <v>1</v>
      </c>
      <c r="K432" s="15" t="n">
        <f aca="false">IF(OR(E432="",E432="!!!",F432="NEW"),"",INDEX(J$1:J431,SUMPRODUCT(MAX(ROW(E$1:E431)*(E432=E$1:E431)))))</f>
        <v>9</v>
      </c>
      <c r="L432" s="16"/>
    </row>
    <row r="433" customFormat="false" ht="12.8" hidden="false" customHeight="false" outlineLevel="0" collapsed="false">
      <c r="A433" s="0" t="s">
        <v>303</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0" t="s">
        <v>304</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8" hidden="false" customHeight="false" outlineLevel="0" collapsed="false">
      <c r="A435" s="0" t="s">
        <v>305</v>
      </c>
      <c r="B435" s="0" t="s">
        <v>85</v>
      </c>
      <c r="C435" s="0" t="s">
        <v>31</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0" t="s">
        <v>44</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8" hidden="false" customHeight="false" outlineLevel="0" collapsed="false">
      <c r="A437" s="0" t="s">
        <v>306</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8" hidden="false" customHeight="false" outlineLevel="0" collapsed="false">
      <c r="A438" s="0" t="s">
        <v>307</v>
      </c>
      <c r="B438" s="0" t="s">
        <v>75</v>
      </c>
      <c r="C438" s="0" t="s">
        <v>31</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0" t="s">
        <v>44</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A440" s="0" t="s">
        <v>308</v>
      </c>
      <c r="B440" s="0" t="s">
        <v>75</v>
      </c>
      <c r="C440" s="0" t="s">
        <v>31</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8" hidden="false" customHeight="false" outlineLevel="0" collapsed="false">
      <c r="A441" s="0" t="s">
        <v>45</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8" hidden="false" customHeight="false" outlineLevel="0" collapsed="false">
      <c r="A442" s="0" t="s">
        <v>309</v>
      </c>
      <c r="B442" s="0" t="s">
        <v>75</v>
      </c>
      <c r="C442" s="0" t="s">
        <v>31</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8" hidden="false" customHeight="false" outlineLevel="0" collapsed="false">
      <c r="A443" s="0" t="s">
        <v>44</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8" hidden="false" customHeight="false" outlineLevel="0" collapsed="false">
      <c r="A444" s="0" t="s">
        <v>209</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8" hidden="false" customHeight="false" outlineLevel="0" collapsed="false">
      <c r="A445" s="0" t="s">
        <v>310</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0" t="s">
        <v>311</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8" hidden="false" customHeight="false" outlineLevel="0" collapsed="false">
      <c r="A447" s="0" t="s">
        <v>312</v>
      </c>
      <c r="B447" s="0" t="s">
        <v>170</v>
      </c>
      <c r="C447" s="0" t="s">
        <v>31</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0" t="s">
        <v>61</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8" hidden="false" customHeight="false" outlineLevel="0" collapsed="false">
      <c r="A449" s="0" t="s">
        <v>199</v>
      </c>
      <c r="B449" s="0" t="s">
        <v>96</v>
      </c>
      <c r="C449" s="0" t="s">
        <v>31</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8" hidden="false" customHeight="false" outlineLevel="0" collapsed="false">
      <c r="A450" s="0" t="s">
        <v>76</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12.8" hidden="false" customHeight="false" outlineLevel="0" collapsed="false">
      <c r="A452" s="0" t="s">
        <v>313</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8" hidden="false" customHeight="false" outlineLevel="0" collapsed="false">
      <c r="A453" s="0" t="s">
        <v>314</v>
      </c>
      <c r="B453" s="0" t="s">
        <v>34</v>
      </c>
      <c r="C453" s="0" t="s">
        <v>19</v>
      </c>
      <c r="D453" s="0" t="s">
        <v>20</v>
      </c>
      <c r="E453" s="10" t="s">
        <v>93</v>
      </c>
      <c r="F453" s="11" t="str">
        <f aca="false">IF(OR(E453="",E453="!!!"),"",IF(NOT(ISNA(VLOOKUP(E453,E$1:E452,1,FALSE()))),"OLD",IF(AND(E453&lt;&gt;"",E453&lt;&gt;"!!!"),"NEW","")))</f>
        <v>OLD</v>
      </c>
      <c r="G453" s="12" t="s">
        <v>80</v>
      </c>
      <c r="H453" s="13" t="s">
        <v>7</v>
      </c>
      <c r="I453" s="14" t="n">
        <f aca="false">IF(OR(E453="",E453="!!!",F453="NEW"),"",INDEX(B$2:B452,-1+SUMPRODUCT(MAX(ROW(E$2:E452)*(E453=E$2:E452)))))</f>
        <v>0</v>
      </c>
      <c r="J453" s="15" t="n">
        <f aca="true">IF(OR(E453="",E453="!!!",F453="NEW"),"",COUNTBLANK(OFFSET(A$1,,,SUMPRODUCT(MAX(ROW(E$2:E453)*(E453=E$2:E453)))))-COUNTBLANK(OFFSET(A$1,,,SUMPRODUCT(MAX(ROW(E$1:E452)*(E453=E$1:E452))))))</f>
        <v>2</v>
      </c>
      <c r="K453" s="15" t="n">
        <f aca="false">IF(OR(E453="",E453="!!!",F453="NEW"),"",INDEX(J$1:J452,SUMPRODUCT(MAX(ROW(E$1:E452)*(E453=E$1:E452)))))</f>
        <v>9</v>
      </c>
      <c r="L453" s="16" t="s">
        <v>315</v>
      </c>
    </row>
    <row r="454" customFormat="false" ht="12.8" hidden="false" customHeight="false" outlineLevel="0" collapsed="false">
      <c r="A454" s="0" t="s">
        <v>303</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8" hidden="false" customHeight="false" outlineLevel="0" collapsed="false">
      <c r="A455" s="0" t="s">
        <v>316</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A456" s="0" t="s">
        <v>317</v>
      </c>
      <c r="B456" s="0" t="s">
        <v>85</v>
      </c>
      <c r="C456" s="0" t="s">
        <v>31</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8" hidden="false" customHeight="false" outlineLevel="0" collapsed="false">
      <c r="A457" s="0" t="s">
        <v>44</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0" t="s">
        <v>84</v>
      </c>
      <c r="B458" s="0" t="s">
        <v>14</v>
      </c>
      <c r="C458" s="0" t="s">
        <v>31</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8" hidden="false" customHeight="false" outlineLevel="0" collapsed="false">
      <c r="A459" s="0" t="s">
        <v>88</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A460" s="0" t="s">
        <v>318</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0" t="s">
        <v>319</v>
      </c>
      <c r="B461" s="0" t="s">
        <v>75</v>
      </c>
      <c r="C461" s="0" t="s">
        <v>31</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0" t="s">
        <v>45</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0" t="s">
        <v>320</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0" t="s">
        <v>321</v>
      </c>
      <c r="B464" s="0" t="s">
        <v>96</v>
      </c>
      <c r="C464" s="0" t="s">
        <v>31</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0" t="s">
        <v>44</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8" hidden="false" customHeight="false" outlineLevel="0" collapsed="false">
      <c r="A466" s="0" t="s">
        <v>322</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8" hidden="false" customHeight="false" outlineLevel="0" collapsed="false">
      <c r="A467" s="0" t="s">
        <v>323</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8" hidden="false" customHeight="false" outlineLevel="0" collapsed="false">
      <c r="A468" s="0" t="s">
        <v>322</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8" hidden="false" customHeight="false" outlineLevel="0" collapsed="false">
      <c r="A469" s="0" t="s">
        <v>324</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8" hidden="false" customHeight="false" outlineLevel="0" collapsed="false">
      <c r="A470" s="0" t="s">
        <v>325</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8" hidden="false" customHeight="false" outlineLevel="0" collapsed="false">
      <c r="A471" s="0" t="s">
        <v>326</v>
      </c>
      <c r="B471" s="0" t="s">
        <v>96</v>
      </c>
      <c r="C471" s="0" t="s">
        <v>31</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8" hidden="false" customHeight="false" outlineLevel="0" collapsed="false">
      <c r="A472" s="0" t="s">
        <v>45</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8" hidden="false" customHeight="false" outlineLevel="0" collapsed="false">
      <c r="A473" s="0" t="s">
        <v>327</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0" t="s">
        <v>328</v>
      </c>
      <c r="B474" s="0" t="s">
        <v>96</v>
      </c>
      <c r="C474" s="0" t="s">
        <v>31</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8" hidden="false" customHeight="false" outlineLevel="0" collapsed="false">
      <c r="A475" s="0" t="s">
        <v>45</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8" hidden="false" customHeight="false" outlineLevel="0" collapsed="false">
      <c r="A476" s="0" t="s">
        <v>316</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8" hidden="false" customHeight="false" outlineLevel="0" collapsed="false">
      <c r="A477" s="0" t="s">
        <v>328</v>
      </c>
      <c r="B477" s="0" t="s">
        <v>96</v>
      </c>
      <c r="C477" s="0" t="s">
        <v>31</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8" hidden="false" customHeight="false" outlineLevel="0" collapsed="false">
      <c r="A478" s="0" t="s">
        <v>76</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8" hidden="false" customHeight="false" outlineLevel="0" collapsed="false">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8" hidden="false" customHeight="false" outlineLevel="0" collapsed="false">
      <c r="A480" s="0" t="s">
        <v>329</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0" t="s">
        <v>78</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A482" s="0" t="s">
        <v>95</v>
      </c>
      <c r="B482" s="0" t="s">
        <v>34</v>
      </c>
      <c r="C482" s="0" t="s">
        <v>31</v>
      </c>
      <c r="E482" s="10" t="s">
        <v>97</v>
      </c>
      <c r="F482" s="11" t="str">
        <f aca="false">IF(OR(E482="",E482="!!!"),"",IF(NOT(ISNA(VLOOKUP(E482,E$1:E481,1,FALSE()))),"OLD",IF(AND(E482&lt;&gt;"",E482&lt;&gt;"!!!"),"NEW","")))</f>
        <v>OLD</v>
      </c>
      <c r="G482" s="12" t="s">
        <v>36</v>
      </c>
      <c r="H482" s="13" t="s">
        <v>7</v>
      </c>
      <c r="I482" s="14" t="str">
        <f aca="false">IF(OR(E482="",E482="!!!",F482="NEW"),"",INDEX(B$2:B481,-1+SUMPRODUCT(MAX(ROW(E$2:E481)*(E482=E$2:E481)))))</f>
        <v>other_5</v>
      </c>
      <c r="J482" s="15" t="n">
        <f aca="true">IF(OR(E482="",E482="!!!",F482="NEW"),"",COUNTBLANK(OFFSET(A$1,,,SUMPRODUCT(MAX(ROW(E$2:E482)*(E482=E$2:E482)))))-COUNTBLANK(OFFSET(A$1,,,SUMPRODUCT(MAX(ROW(E$1:E481)*(E482=E$1:E481))))))</f>
        <v>3</v>
      </c>
      <c r="K482" s="15" t="n">
        <f aca="false">IF(OR(E482="",E482="!!!",F482="NEW"),"",INDEX(J$1:J481,SUMPRODUCT(MAX(ROW(E$1:E481)*(E482=E$1:E481)))))</f>
        <v>15</v>
      </c>
      <c r="L482" s="16" t="s">
        <v>315</v>
      </c>
    </row>
    <row r="483" customFormat="false" ht="12.8" hidden="false" customHeight="false" outlineLevel="0" collapsed="false">
      <c r="A483" s="0" t="s">
        <v>330</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0" t="s">
        <v>60</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8" hidden="false" customHeight="false" outlineLevel="0" collapsed="false">
      <c r="A485" s="0" t="s">
        <v>62</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8" hidden="false" customHeight="false" outlineLevel="0" collapsed="false">
      <c r="A486" s="0" t="s">
        <v>331</v>
      </c>
      <c r="B486" s="0" t="s">
        <v>14</v>
      </c>
      <c r="C486" s="0" t="s">
        <v>27</v>
      </c>
      <c r="D486" s="0" t="s">
        <v>20</v>
      </c>
      <c r="E486" s="10" t="s">
        <v>332</v>
      </c>
      <c r="F486" s="11" t="str">
        <f aca="false">IF(OR(E486="",E486="!!!"),"",IF(NOT(ISNA(VLOOKUP(E486,E$1:E485,1,FALSE()))),"OLD",IF(AND(E486&lt;&gt;"",E486&lt;&gt;"!!!"),"NEW","")))</f>
        <v>NEW</v>
      </c>
      <c r="G486" s="12" t="s">
        <v>131</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8" hidden="false" customHeight="false" outlineLevel="0" collapsed="false">
      <c r="A487" s="0" t="s">
        <v>61</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A488" s="0" t="s">
        <v>333</v>
      </c>
      <c r="B488" s="0" t="s">
        <v>75</v>
      </c>
      <c r="C488" s="0" t="s">
        <v>31</v>
      </c>
      <c r="E488" s="10" t="s">
        <v>333</v>
      </c>
      <c r="F488" s="11" t="str">
        <f aca="false">IF(OR(E488="",E488="!!!"),"",IF(NOT(ISNA(VLOOKUP(E488,E$1:E487,1,FALSE()))),"OLD",IF(AND(E488&lt;&gt;"",E488&lt;&gt;"!!!"),"NEW","")))</f>
        <v>NEW</v>
      </c>
      <c r="G488" s="12" t="s">
        <v>67</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8" hidden="false" customHeight="false" outlineLevel="0" collapsed="false">
      <c r="A489" s="0" t="s">
        <v>79</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A490" s="0" t="s">
        <v>334</v>
      </c>
      <c r="B490" s="0" t="s">
        <v>75</v>
      </c>
      <c r="C490" s="0" t="s">
        <v>244</v>
      </c>
      <c r="D490" s="0" t="s">
        <v>20</v>
      </c>
      <c r="E490" s="10" t="s">
        <v>333</v>
      </c>
      <c r="F490" s="11" t="str">
        <f aca="false">IF(OR(E490="",E490="!!!"),"",IF(NOT(ISNA(VLOOKUP(E490,E$1:E489,1,FALSE()))),"OLD",IF(AND(E490&lt;&gt;"",E490&lt;&gt;"!!!"),"NEW","")))</f>
        <v>OLD</v>
      </c>
      <c r="G490" s="12" t="s">
        <v>87</v>
      </c>
      <c r="H490" s="13" t="str">
        <f aca="false">IF(J490&lt;&gt;1,"",IF(I490="SBJ","CB","?"))</f>
        <v/>
      </c>
      <c r="I490" s="14" t="str">
        <f aca="false">IF(OR(E490="",E490="!!!",F490="NEW"),"",INDEX(B$2:B489,-1+SUMPRODUCT(MAX(ROW(E$2:E489)*(E490=E$2:E489)))))</f>
        <v>other_2</v>
      </c>
      <c r="J490" s="15" t="n">
        <f aca="true">IF(OR(E490="",E490="!!!",F490="NEW"),"",COUNTBLANK(OFFSET(A$1,,,SUMPRODUCT(MAX(ROW(E$2:E490)*(E490=E$2:E490)))))-COUNTBLANK(OFFSET(A$1,,,SUMPRODUCT(MAX(ROW(E$1:E489)*(E490=E$1:E489))))))</f>
        <v>0</v>
      </c>
      <c r="K490" s="15" t="str">
        <f aca="false">IF(OR(E490="",E490="!!!",F490="NEW"),"",INDEX(J$1:J489,SUMPRODUCT(MAX(ROW(E$1:E489)*(E490=E$1:E489)))))</f>
        <v/>
      </c>
      <c r="L490" s="16"/>
    </row>
    <row r="491" customFormat="false" ht="12.8" hidden="false" customHeight="false" outlineLevel="0" collapsed="false">
      <c r="A491" s="0" t="s">
        <v>335</v>
      </c>
      <c r="B491" s="0" t="s">
        <v>14</v>
      </c>
      <c r="C491" s="0" t="s">
        <v>246</v>
      </c>
      <c r="D491" s="0" t="s">
        <v>20</v>
      </c>
      <c r="E491" s="10" t="s">
        <v>336</v>
      </c>
      <c r="F491" s="11" t="str">
        <f aca="false">IF(OR(E491="",E491="!!!"),"",IF(NOT(ISNA(VLOOKUP(E491,E$1:E490,1,FALSE()))),"OLD",IF(AND(E491&lt;&gt;"",E491&lt;&gt;"!!!"),"NEW","")))</f>
        <v>NEW</v>
      </c>
      <c r="G491" s="12" t="s">
        <v>131</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8" hidden="false" customHeight="false" outlineLevel="0" collapsed="false">
      <c r="A492" s="0" t="s">
        <v>45</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A493" s="0" t="s">
        <v>52</v>
      </c>
      <c r="B493" s="0" t="s">
        <v>75</v>
      </c>
      <c r="C493" s="0" t="s">
        <v>31</v>
      </c>
      <c r="E493" s="10" t="s">
        <v>52</v>
      </c>
      <c r="F493" s="11" t="str">
        <f aca="false">IF(OR(E493="",E493="!!!"),"",IF(NOT(ISNA(VLOOKUP(E493,E$1:E492,1,FALSE()))),"OLD",IF(AND(E493&lt;&gt;"",E493&lt;&gt;"!!!"),"NEW","")))</f>
        <v>OLD</v>
      </c>
      <c r="G493" s="12" t="s">
        <v>36</v>
      </c>
      <c r="H493" s="13" t="str">
        <f aca="false">IF(J493&lt;&gt;1,"",IF(I493="SBJ","CB","?"))</f>
        <v/>
      </c>
      <c r="I493" s="14" t="str">
        <f aca="false">IF(OR(E493="",E493="!!!",F493="NEW"),"",INDEX(B$2:B492,-1+SUMPRODUCT(MAX(ROW(E$2:E492)*(E493=E$2:E492)))))</f>
        <v>SBJ</v>
      </c>
      <c r="J493" s="15" t="n">
        <f aca="true">IF(OR(E493="",E493="!!!",F493="NEW"),"",COUNTBLANK(OFFSET(A$1,,,SUMPRODUCT(MAX(ROW(E$2:E493)*(E493=E$2:E493)))))-COUNTBLANK(OFFSET(A$1,,,SUMPRODUCT(MAX(ROW(E$1:E492)*(E493=E$1:E492))))))</f>
        <v>3</v>
      </c>
      <c r="K493" s="15" t="n">
        <f aca="false">IF(OR(E493="",E493="!!!",F493="NEW"),"",INDEX(J$1:J492,SUMPRODUCT(MAX(ROW(E$1:E492)*(E493=E$1:E492)))))</f>
        <v>2</v>
      </c>
      <c r="L493" s="16"/>
    </row>
    <row r="494" customFormat="false" ht="12.8" hidden="false" customHeight="false" outlineLevel="0" collapsed="false">
      <c r="A494" s="0" t="s">
        <v>76</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8" hidden="false" customHeight="false" outlineLevel="0" collapsed="false">
      <c r="A496" s="0" t="s">
        <v>337</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8" hidden="false" customHeight="false" outlineLevel="0" collapsed="false">
      <c r="A497" s="0" t="s">
        <v>338</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8" hidden="false" customHeight="false" outlineLevel="0" collapsed="false">
      <c r="A498" s="0" t="s">
        <v>44</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0" t="s">
        <v>46</v>
      </c>
      <c r="B499" s="0" t="s">
        <v>47</v>
      </c>
      <c r="C499" s="0" t="s">
        <v>48</v>
      </c>
      <c r="D499" s="0" t="s">
        <v>20</v>
      </c>
      <c r="E499" s="10" t="s">
        <v>49</v>
      </c>
      <c r="F499" s="11" t="str">
        <f aca="false">IF(OR(E499="",E499="!!!"),"",IF(NOT(ISNA(VLOOKUP(E499,E$1:E498,1,FALSE()))),"OLD",IF(AND(E499&lt;&gt;"",E499&lt;&gt;"!!!"),"NEW","")))</f>
        <v>OLD</v>
      </c>
      <c r="G499" s="12" t="s">
        <v>36</v>
      </c>
      <c r="H499" s="13" t="str">
        <f aca="false">IF(J499&lt;&gt;1,"",IF(I499="SBJ","CB","?"))</f>
        <v/>
      </c>
      <c r="I499" s="14" t="str">
        <f aca="false">IF(OR(E499="",E499="!!!",F499="NEW"),"",INDEX(B$2:B498,-1+SUMPRODUCT(MAX(ROW(E$2:E498)*(E499=E$2:E498)))))</f>
        <v>OBJ</v>
      </c>
      <c r="J499" s="15" t="n">
        <f aca="true">IF(OR(E499="",E499="!!!",F499="NEW"),"",COUNTBLANK(OFFSET(A$1,,,SUMPRODUCT(MAX(ROW(E$2:E499)*(E499=E$2:E499)))))-COUNTBLANK(OFFSET(A$1,,,SUMPRODUCT(MAX(ROW(E$1:E498)*(E499=E$1:E498))))))</f>
        <v>7</v>
      </c>
      <c r="K499" s="15" t="n">
        <f aca="false">IF(OR(E499="",E499="!!!",F499="NEW"),"",INDEX(J$1:J498,SUMPRODUCT(MAX(ROW(E$1:E498)*(E499=E$1:E498)))))</f>
        <v>8</v>
      </c>
      <c r="L499" s="16"/>
    </row>
    <row r="500" customFormat="false" ht="12.8" hidden="false" customHeight="false" outlineLevel="0" collapsed="false">
      <c r="A500" s="0" t="s">
        <v>339</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8" hidden="false" customHeight="false" outlineLevel="0" collapsed="false">
      <c r="A501" s="0" t="s">
        <v>127</v>
      </c>
      <c r="B501" s="0" t="s">
        <v>170</v>
      </c>
      <c r="C501" s="0" t="s">
        <v>48</v>
      </c>
      <c r="D501" s="0" t="s">
        <v>20</v>
      </c>
      <c r="E501" s="10" t="s">
        <v>128</v>
      </c>
      <c r="F501" s="11" t="str">
        <f aca="false">IF(OR(E501="",E501="!!!"),"",IF(NOT(ISNA(VLOOKUP(E501,E$1:E500,1,FALSE()))),"OLD",IF(AND(E501&lt;&gt;"",E501&lt;&gt;"!!!"),"NEW","")))</f>
        <v>OLD</v>
      </c>
      <c r="G501" s="12" t="s">
        <v>36</v>
      </c>
      <c r="H501" s="13" t="str">
        <f aca="false">IF(J501&lt;&gt;1,"",IF(I501="SBJ","CB","?"))</f>
        <v/>
      </c>
      <c r="I501" s="14" t="str">
        <f aca="false">IF(OR(E501="",E501="!!!",F501="NEW"),"",INDEX(B$2:B500,-1+SUMPRODUCT(MAX(ROW(E$2:E500)*(E501=E$2:E500)))))</f>
        <v>SBJ_2</v>
      </c>
      <c r="J501" s="15" t="n">
        <f aca="true">IF(OR(E501="",E501="!!!",F501="NEW"),"",COUNTBLANK(OFFSET(A$1,,,SUMPRODUCT(MAX(ROW(E$2:E501)*(E501=E$2:E501)))))-COUNTBLANK(OFFSET(A$1,,,SUMPRODUCT(MAX(ROW(E$1:E500)*(E501=E$1:E500))))))</f>
        <v>6</v>
      </c>
      <c r="K501" s="15" t="n">
        <f aca="false">IF(OR(E501="",E501="!!!",F501="NEW"),"",INDEX(J$1:J500,SUMPRODUCT(MAX(ROW(E$1:E500)*(E501=E$1:E500)))))</f>
        <v>4</v>
      </c>
      <c r="L501" s="16"/>
    </row>
    <row r="502" customFormat="false" ht="12.8" hidden="false" customHeight="false" outlineLevel="0" collapsed="false">
      <c r="A502" s="0" t="s">
        <v>240</v>
      </c>
      <c r="B502" s="0" t="s">
        <v>53</v>
      </c>
      <c r="C502" s="0" t="s">
        <v>215</v>
      </c>
      <c r="D502" s="0" t="s">
        <v>20</v>
      </c>
      <c r="E502" s="10" t="s">
        <v>298</v>
      </c>
      <c r="F502" s="11" t="str">
        <f aca="false">IF(OR(E502="",E502="!!!"),"",IF(NOT(ISNA(VLOOKUP(E502,E$1:E501,1,FALSE()))),"OLD",IF(AND(E502&lt;&gt;"",E502&lt;&gt;"!!!"),"NEW","")))</f>
        <v>OLD</v>
      </c>
      <c r="G502" s="12" t="s">
        <v>36</v>
      </c>
      <c r="H502" s="13" t="str">
        <f aca="false">IF(J502&lt;&gt;1,"",IF(I502="SBJ","CB","?"))</f>
        <v/>
      </c>
      <c r="I502" s="14" t="str">
        <f aca="false">IF(OR(E502="",E502="!!!",F502="NEW"),"",INDEX(B$2:B501,-1+SUMPRODUCT(MAX(ROW(E$2:E501)*(E502=E$2:E501)))))</f>
        <v>OBJ_3</v>
      </c>
      <c r="J502" s="15" t="n">
        <f aca="true">IF(OR(E502="",E502="!!!",F502="NEW"),"",COUNTBLANK(OFFSET(A$1,,,SUMPRODUCT(MAX(ROW(E$2:E502)*(E502=E$2:E502)))))-COUNTBLANK(OFFSET(A$1,,,SUMPRODUCT(MAX(ROW(E$1:E501)*(E502=E$1:E501))))))</f>
        <v>4</v>
      </c>
      <c r="K502" s="15" t="str">
        <f aca="false">IF(OR(E502="",E502="!!!",F502="NEW"),"",INDEX(J$1:J501,SUMPRODUCT(MAX(ROW(E$1:E501)*(E502=E$1:E501)))))</f>
        <v/>
      </c>
      <c r="L502" s="16"/>
    </row>
    <row r="503" customFormat="false" ht="12.8" hidden="false" customHeight="false" outlineLevel="0" collapsed="false">
      <c r="A503" s="0" t="s">
        <v>37</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0" t="s">
        <v>62</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8" hidden="false" customHeight="false" outlineLevel="0" collapsed="false">
      <c r="A505" s="0" t="s">
        <v>41</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8" hidden="false" customHeight="false" outlineLevel="0" collapsed="false">
      <c r="A506" s="0" t="s">
        <v>83</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8" hidden="false" customHeight="false" outlineLevel="0" collapsed="false">
      <c r="A507" s="0" t="s">
        <v>287</v>
      </c>
      <c r="B507" s="0" t="s">
        <v>75</v>
      </c>
      <c r="C507" s="0" t="s">
        <v>27</v>
      </c>
      <c r="D507" s="0" t="s">
        <v>20</v>
      </c>
      <c r="E507" s="10"/>
      <c r="F507" s="11" t="s">
        <v>86</v>
      </c>
      <c r="G507" s="12"/>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0" t="s">
        <v>76</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0" t="s">
        <v>340</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8" hidden="false" customHeight="false" outlineLevel="0" collapsed="false">
      <c r="A511" s="0" t="s">
        <v>262</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0" t="s">
        <v>298</v>
      </c>
      <c r="B512" s="0" t="s">
        <v>34</v>
      </c>
      <c r="C512" s="0" t="s">
        <v>19</v>
      </c>
      <c r="D512" s="0" t="s">
        <v>20</v>
      </c>
      <c r="E512" s="10" t="s">
        <v>298</v>
      </c>
      <c r="F512" s="11" t="str">
        <f aca="false">IF(OR(E512="",E512="!!!"),"",IF(NOT(ISNA(VLOOKUP(E512,E$1:E511,1,FALSE()))),"OLD",IF(AND(E512&lt;&gt;"",E512&lt;&gt;"!!!"),"NEW","")))</f>
        <v>OLD</v>
      </c>
      <c r="G512" s="12" t="s">
        <v>87</v>
      </c>
      <c r="H512" s="13" t="s">
        <v>7</v>
      </c>
      <c r="I512" s="14" t="str">
        <f aca="false">IF(OR(E512="",E512="!!!",F512="NEW"),"",INDEX(B$2:B511,-1+SUMPRODUCT(MAX(ROW(E$2:E511)*(E512=E$2:E511)))))</f>
        <v>SBJ_3</v>
      </c>
      <c r="J512" s="15" t="n">
        <f aca="true">IF(OR(E512="",E512="!!!",F512="NEW"),"",COUNTBLANK(OFFSET(A$1,,,SUMPRODUCT(MAX(ROW(E$2:E512)*(E512=E$2:E512)))))-COUNTBLANK(OFFSET(A$1,,,SUMPRODUCT(MAX(ROW(E$1:E511)*(E512=E$1:E511))))))</f>
        <v>1</v>
      </c>
      <c r="K512" s="15" t="n">
        <f aca="false">IF(OR(E512="",E512="!!!",F512="NEW"),"",INDEX(J$1:J511,SUMPRODUCT(MAX(ROW(E$1:E511)*(E512=E$1:E511)))))</f>
        <v>4</v>
      </c>
      <c r="L512" s="16"/>
    </row>
    <row r="513" customFormat="false" ht="12.8" hidden="false" customHeight="false" outlineLevel="0" collapsed="false">
      <c r="A513" s="0" t="s">
        <v>37</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8" hidden="false" customHeight="false" outlineLevel="0" collapsed="false">
      <c r="A514" s="0" t="s">
        <v>62</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0" t="s">
        <v>341</v>
      </c>
      <c r="B515" s="0" t="s">
        <v>14</v>
      </c>
      <c r="C515" s="0" t="s">
        <v>27</v>
      </c>
      <c r="D515" s="0" t="s">
        <v>20</v>
      </c>
      <c r="E515" s="10"/>
      <c r="F515" s="11" t="s">
        <v>86</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8" hidden="false" customHeight="false" outlineLevel="0" collapsed="false">
      <c r="A516" s="0" t="s">
        <v>61</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8" hidden="false" customHeight="false" outlineLevel="0" collapsed="false">
      <c r="A517" s="0" t="s">
        <v>30</v>
      </c>
      <c r="B517" s="0" t="s">
        <v>14</v>
      </c>
      <c r="C517" s="0" t="s">
        <v>31</v>
      </c>
      <c r="E517" s="10" t="s">
        <v>30</v>
      </c>
      <c r="F517" s="11" t="str">
        <f aca="false">IF(OR(E517="",E517="!!!"),"",IF(NOT(ISNA(VLOOKUP(E517,E$1:E516,1,FALSE()))),"OLD",IF(AND(E517&lt;&gt;"",E517&lt;&gt;"!!!"),"NEW","")))</f>
        <v>OLD</v>
      </c>
      <c r="G517" s="12" t="s">
        <v>36</v>
      </c>
      <c r="H517" s="13" t="str">
        <f aca="false">IF(J517&lt;&gt;1,"",IF(I517="SBJ","CB","?"))</f>
        <v/>
      </c>
      <c r="I517" s="14" t="str">
        <f aca="false">IF(OR(E517="",E517="!!!",F517="NEW"),"",INDEX(B$2:B516,-1+SUMPRODUCT(MAX(ROW(E$2:E516)*(E517=E$2:E516)))))</f>
        <v>OBJ_4</v>
      </c>
      <c r="J517" s="15" t="n">
        <f aca="true">IF(OR(E517="",E517="!!!",F517="NEW"),"",COUNTBLANK(OFFSET(A$1,,,SUMPRODUCT(MAX(ROW(E$2:E517)*(E517=E$2:E517)))))-COUNTBLANK(OFFSET(A$1,,,SUMPRODUCT(MAX(ROW(E$1:E516)*(E517=E$1:E516))))))</f>
        <v>18</v>
      </c>
      <c r="K517" s="15" t="n">
        <f aca="false">IF(OR(E517="",E517="!!!",F517="NEW"),"",INDEX(J$1:J516,SUMPRODUCT(MAX(ROW(E$1:E516)*(E517=E$1:E516)))))</f>
        <v>1</v>
      </c>
      <c r="L517" s="16"/>
    </row>
    <row r="518" customFormat="false" ht="12.8" hidden="false" customHeight="false" outlineLevel="0" collapsed="false">
      <c r="A518" s="0" t="s">
        <v>44</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8" hidden="false" customHeight="false" outlineLevel="0" collapsed="false">
      <c r="A519" s="0" t="s">
        <v>45</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8" hidden="false" customHeight="false" outlineLevel="0" collapsed="false">
      <c r="A520" s="0" t="s">
        <v>149</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8" hidden="false" customHeight="false" outlineLevel="0" collapsed="false">
      <c r="A521" s="0" t="s">
        <v>150</v>
      </c>
      <c r="B521" s="0" t="s">
        <v>47</v>
      </c>
      <c r="C521" s="0" t="s">
        <v>31</v>
      </c>
      <c r="E521" s="10" t="s">
        <v>151</v>
      </c>
      <c r="F521" s="11" t="str">
        <f aca="false">IF(OR(E521="",E521="!!!"),"",IF(NOT(ISNA(VLOOKUP(E521,E$1:E520,1,FALSE()))),"OLD",IF(AND(E521&lt;&gt;"",E521&lt;&gt;"!!!"),"NEW","")))</f>
        <v>OLD</v>
      </c>
      <c r="G521" s="12" t="s">
        <v>36</v>
      </c>
      <c r="H521" s="13" t="str">
        <f aca="false">IF(J521&lt;&gt;1,"",IF(I521="SBJ","CB","?"))</f>
        <v/>
      </c>
      <c r="I521" s="14" t="str">
        <f aca="false">IF(OR(E521="",E521="!!!",F521="NEW"),"",INDEX(B$2:B520,-1+SUMPRODUCT(MAX(ROW(E$2:E520)*(E521=E$2:E520)))))</f>
        <v>SBJ_2</v>
      </c>
      <c r="J521" s="15" t="n">
        <f aca="true">IF(OR(E521="",E521="!!!",F521="NEW"),"",COUNTBLANK(OFFSET(A$1,,,SUMPRODUCT(MAX(ROW(E$2:E521)*(E521=E$2:E521)))))-COUNTBLANK(OFFSET(A$1,,,SUMPRODUCT(MAX(ROW(E$1:E520)*(E521=E$1:E520))))))</f>
        <v>17</v>
      </c>
      <c r="K521" s="15" t="str">
        <f aca="false">IF(OR(E521="",E521="!!!",F521="NEW"),"",INDEX(J$1:J520,SUMPRODUCT(MAX(ROW(E$1:E520)*(E521=E$1:E520)))))</f>
        <v/>
      </c>
      <c r="L521" s="16"/>
    </row>
    <row r="522" customFormat="false" ht="12.8" hidden="false" customHeight="false" outlineLevel="0" collapsed="false">
      <c r="A522" s="0" t="s">
        <v>342</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8" hidden="false" customHeight="false" outlineLevel="0" collapsed="false">
      <c r="A523" s="0" t="s">
        <v>298</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8" hidden="false" customHeight="false" outlineLevel="0" collapsed="false">
      <c r="A524" s="0" t="s">
        <v>343</v>
      </c>
      <c r="B524" s="0" t="s">
        <v>170</v>
      </c>
      <c r="C524" s="0" t="s">
        <v>31</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8" hidden="false" customHeight="false" outlineLevel="0" collapsed="false">
      <c r="A525" s="0" t="s">
        <v>139</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8" hidden="false" customHeight="false" outlineLevel="0" collapsed="false">
      <c r="A526" s="0" t="s">
        <v>275</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8" hidden="false" customHeight="false" outlineLevel="0" collapsed="false">
      <c r="A527" s="0" t="s">
        <v>343</v>
      </c>
      <c r="B527" s="0" t="s">
        <v>96</v>
      </c>
      <c r="C527" s="0" t="s">
        <v>31</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8" hidden="false" customHeight="false" outlineLevel="0" collapsed="false">
      <c r="A528" s="0" t="s">
        <v>344</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8" hidden="false" customHeight="false" outlineLevel="0" collapsed="false">
      <c r="A529" s="0" t="s">
        <v>62</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8" hidden="false" customHeight="false" outlineLevel="0" collapsed="false">
      <c r="A530" s="0" t="s">
        <v>25</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8" hidden="false" customHeight="false" outlineLevel="0" collapsed="false">
      <c r="A531" s="0" t="s">
        <v>345</v>
      </c>
      <c r="B531" s="0" t="s">
        <v>75</v>
      </c>
      <c r="C531" s="0" t="s">
        <v>27</v>
      </c>
      <c r="D531" s="0" t="s">
        <v>20</v>
      </c>
      <c r="E531" s="10" t="s">
        <v>265</v>
      </c>
      <c r="F531" s="11" t="str">
        <f aca="false">IF(OR(E531="",E531="!!!"),"",IF(NOT(ISNA(VLOOKUP(E531,E$1:E530,1,FALSE()))),"OLD",IF(AND(E531&lt;&gt;"",E531&lt;&gt;"!!!"),"NEW","")))</f>
        <v>OLD</v>
      </c>
      <c r="G531" s="12" t="s">
        <v>36</v>
      </c>
      <c r="H531" s="13" t="str">
        <f aca="false">IF(J531&lt;&gt;1,"",IF(I531="SBJ","CB","?"))</f>
        <v/>
      </c>
      <c r="I531" s="14" t="str">
        <f aca="false">IF(OR(E531="",E531="!!!",F531="NEW"),"",INDEX(B$2:B530,-1+SUMPRODUCT(MAX(ROW(E$2:E530)*(E531=E$2:E530)))))</f>
        <v>SBJ_3</v>
      </c>
      <c r="J531" s="15" t="n">
        <f aca="true">IF(OR(E531="",E531="!!!",F531="NEW"),"",COUNTBLANK(OFFSET(A$1,,,SUMPRODUCT(MAX(ROW(E$2:E531)*(E531=E$2:E531)))))-COUNTBLANK(OFFSET(A$1,,,SUMPRODUCT(MAX(ROW(E$1:E530)*(E531=E$1:E530))))))</f>
        <v>8</v>
      </c>
      <c r="K531" s="15" t="str">
        <f aca="false">IF(OR(E531="",E531="!!!",F531="NEW"),"",INDEX(J$1:J530,SUMPRODUCT(MAX(ROW(E$1:E530)*(E531=E$1:E530)))))</f>
        <v/>
      </c>
      <c r="L531" s="16"/>
    </row>
    <row r="532" customFormat="false" ht="12.8" hidden="false" customHeight="false" outlineLevel="0" collapsed="false">
      <c r="A532" s="0" t="s">
        <v>76</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8" hidden="false" customHeight="false" outlineLevel="0" collapsed="false">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8" hidden="false" customHeight="false" outlineLevel="0" collapsed="false">
      <c r="A534" s="0" t="s">
        <v>346</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8" hidden="false" customHeight="false" outlineLevel="0" collapsed="false">
      <c r="A535" s="0" t="s">
        <v>347</v>
      </c>
      <c r="B535" s="0" t="s">
        <v>34</v>
      </c>
      <c r="C535" s="0" t="s">
        <v>48</v>
      </c>
      <c r="D535" s="0" t="s">
        <v>20</v>
      </c>
      <c r="E535" s="10" t="s">
        <v>151</v>
      </c>
      <c r="F535" s="11" t="str">
        <f aca="false">IF(OR(E535="",E535="!!!"),"",IF(NOT(ISNA(VLOOKUP(E535,E$1:E534,1,FALSE()))),"OLD",IF(AND(E535&lt;&gt;"",E535&lt;&gt;"!!!"),"NEW","")))</f>
        <v>OLD</v>
      </c>
      <c r="G535" s="12" t="s">
        <v>80</v>
      </c>
      <c r="H535" s="13" t="s">
        <v>7</v>
      </c>
      <c r="I535" s="14" t="str">
        <f aca="false">IF(OR(E535="",E535="!!!",F535="NEW"),"",INDEX(B$2:B534,-1+SUMPRODUCT(MAX(ROW(E$2:E534)*(E535=E$2:E534)))))</f>
        <v>SBJ_2</v>
      </c>
      <c r="J535" s="15" t="n">
        <f aca="true">IF(OR(E535="",E535="!!!",F535="NEW"),"",COUNTBLANK(OFFSET(A$1,,,SUMPRODUCT(MAX(ROW(E$2:E535)*(E535=E$2:E535)))))-COUNTBLANK(OFFSET(A$1,,,SUMPRODUCT(MAX(ROW(E$1:E534)*(E535=E$1:E534))))))</f>
        <v>1</v>
      </c>
      <c r="K535" s="15" t="n">
        <f aca="false">IF(OR(E535="",E535="!!!",F535="NEW"),"",INDEX(J$1:J534,SUMPRODUCT(MAX(ROW(E$1:E534)*(E535=E$1:E534)))))</f>
        <v>17</v>
      </c>
      <c r="L535" s="16"/>
    </row>
    <row r="536" customFormat="false" ht="12.8" hidden="false" customHeight="false" outlineLevel="0" collapsed="false">
      <c r="A536" s="0" t="s">
        <v>348</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8" hidden="false" customHeight="false" outlineLevel="0" collapsed="false">
      <c r="A537" s="0" t="s">
        <v>349</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8" hidden="false" customHeight="false" outlineLevel="0" collapsed="false">
      <c r="A538" s="0" t="s">
        <v>111</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8" hidden="false" customHeight="false" outlineLevel="0" collapsed="false">
      <c r="A539" s="0" t="s">
        <v>230</v>
      </c>
      <c r="B539" s="0" t="s">
        <v>170</v>
      </c>
      <c r="C539" s="0" t="s">
        <v>31</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8" hidden="false" customHeight="false" outlineLevel="0" collapsed="false">
      <c r="A540" s="0" t="s">
        <v>79</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8" hidden="false" customHeight="false" outlineLevel="0" collapsed="false">
      <c r="A541" s="0" t="s">
        <v>350</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8" hidden="false" customHeight="false" outlineLevel="0" collapsed="false">
      <c r="A542" s="0" t="s">
        <v>351</v>
      </c>
      <c r="B542" s="0" t="s">
        <v>59</v>
      </c>
      <c r="C542" s="0" t="s">
        <v>31</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8" hidden="false" customHeight="false" outlineLevel="0" collapsed="false">
      <c r="A543" s="0" t="s">
        <v>60</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8" hidden="false" customHeight="false" outlineLevel="0" collapsed="false">
      <c r="A544" s="0" t="s">
        <v>352</v>
      </c>
      <c r="B544" s="0" t="s">
        <v>65</v>
      </c>
      <c r="C544" s="0" t="s">
        <v>31</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8" hidden="false" customHeight="false" outlineLevel="0" collapsed="false">
      <c r="A545" s="0" t="s">
        <v>45</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8" hidden="false" customHeight="false" outlineLevel="0" collapsed="false">
      <c r="A546" s="0" t="s">
        <v>353</v>
      </c>
      <c r="B546" s="0" t="s">
        <v>69</v>
      </c>
      <c r="C546" s="0" t="s">
        <v>31</v>
      </c>
      <c r="E546" s="10" t="s">
        <v>33</v>
      </c>
      <c r="F546" s="11" t="str">
        <f aca="false">IF(OR(E546="",E546="!!!"),"",IF(NOT(ISNA(VLOOKUP(E546,E$1:E545,1,FALSE()))),"OLD",IF(AND(E546&lt;&gt;"",E546&lt;&gt;"!!!"),"NEW","")))</f>
        <v>OLD</v>
      </c>
      <c r="G546" s="12" t="s">
        <v>36</v>
      </c>
      <c r="H546" s="13" t="str">
        <f aca="false">IF(J546&lt;&gt;1,"",IF(I546="SBJ","CB","?"))</f>
        <v/>
      </c>
      <c r="I546" s="14" t="str">
        <f aca="false">IF(OR(E546="",E546="!!!",F546="NEW"),"",INDEX(B$2:B545,-1+SUMPRODUCT(MAX(ROW(E$2:E545)*(E546=E$2:E545)))))</f>
        <v>SBJ</v>
      </c>
      <c r="J546" s="15" t="n">
        <f aca="true">IF(OR(E546="",E546="!!!",F546="NEW"),"",COUNTBLANK(OFFSET(A$1,,,SUMPRODUCT(MAX(ROW(E$2:E546)*(E546=E$2:E546)))))-COUNTBLANK(OFFSET(A$1,,,SUMPRODUCT(MAX(ROW(E$1:E545)*(E546=E$1:E545))))))</f>
        <v>22</v>
      </c>
      <c r="K546" s="15" t="e">
        <f aca="false">IF(OR(E546="",E546="!!!",F546="NEW"),"",INDEX(J$1:J545,SUMPRODUCT(MAX(ROW(E$1:E545)*(E546=E$1:E545)))))</f>
        <v>#VALUE!</v>
      </c>
      <c r="L546" s="16"/>
    </row>
    <row r="547" customFormat="false" ht="12.8" hidden="false" customHeight="false" outlineLevel="0" collapsed="false">
      <c r="A547" s="0" t="s">
        <v>44</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8" hidden="false" customHeight="false" outlineLevel="0" collapsed="false">
      <c r="A548" s="0" t="s">
        <v>45</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8" hidden="false" customHeight="false" outlineLevel="0" collapsed="false">
      <c r="A549" s="0" t="s">
        <v>72</v>
      </c>
      <c r="B549" s="0" t="s">
        <v>47</v>
      </c>
      <c r="C549" s="0" t="s">
        <v>48</v>
      </c>
      <c r="D549" s="0" t="s">
        <v>20</v>
      </c>
      <c r="E549" s="10" t="s">
        <v>151</v>
      </c>
      <c r="F549" s="11" t="str">
        <f aca="false">IF(OR(E549="",E549="!!!"),"",IF(NOT(ISNA(VLOOKUP(E549,E$1:E548,1,FALSE()))),"OLD",IF(AND(E549&lt;&gt;"",E549&lt;&gt;"!!!"),"NEW","")))</f>
        <v>OLD</v>
      </c>
      <c r="G549" s="12" t="s">
        <v>87</v>
      </c>
      <c r="H549" s="13" t="str">
        <f aca="false">IF(J549&lt;&gt;1,"",IF(I549="SBJ","CB","?"))</f>
        <v/>
      </c>
      <c r="I549" s="14" t="str">
        <f aca="false">IF(OR(E549="",E549="!!!",F549="NEW"),"",INDEX(B$2:B548,-1+SUMPRODUCT(MAX(ROW(E$2:E548)*(E549=E$2:E548)))))</f>
        <v>SBJ</v>
      </c>
      <c r="J549" s="15" t="n">
        <f aca="true">IF(OR(E549="",E549="!!!",F549="NEW"),"",COUNTBLANK(OFFSET(A$1,,,SUMPRODUCT(MAX(ROW(E$2:E549)*(E549=E$2:E549)))))-COUNTBLANK(OFFSET(A$1,,,SUMPRODUCT(MAX(ROW(E$1:E548)*(E549=E$1:E548))))))</f>
        <v>0</v>
      </c>
      <c r="K549" s="15" t="n">
        <f aca="false">IF(OR(E549="",E549="!!!",F549="NEW"),"",INDEX(J$1:J548,SUMPRODUCT(MAX(ROW(E$1:E548)*(E549=E$1:E548)))))</f>
        <v>1</v>
      </c>
      <c r="L549" s="16"/>
    </row>
    <row r="550" customFormat="false" ht="12.8" hidden="false" customHeight="false" outlineLevel="0" collapsed="false">
      <c r="A550" s="0" t="s">
        <v>348</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8" hidden="false" customHeight="false" outlineLevel="0" collapsed="false">
      <c r="A551" s="0" t="s">
        <v>354</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8" hidden="false" customHeight="false" outlineLevel="0" collapsed="false">
      <c r="A552" s="0" t="s">
        <v>317</v>
      </c>
      <c r="B552" s="0" t="s">
        <v>59</v>
      </c>
      <c r="C552" s="0" t="s">
        <v>31</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8" hidden="false" customHeight="false" outlineLevel="0" collapsed="false">
      <c r="A553" s="0" t="s">
        <v>60</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8" hidden="false" customHeight="false" outlineLevel="0" collapsed="false">
      <c r="A554" s="0" t="s">
        <v>355</v>
      </c>
      <c r="B554" s="0" t="s">
        <v>96</v>
      </c>
      <c r="C554" s="0" t="s">
        <v>31</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8" hidden="false" customHeight="false" outlineLevel="0" collapsed="false">
      <c r="A555" s="0" t="s">
        <v>356</v>
      </c>
      <c r="B555" s="0" t="s">
        <v>158</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8" hidden="false" customHeight="false" outlineLevel="0" collapsed="false">
      <c r="A556" s="0" t="s">
        <v>357</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8" hidden="false" customHeight="false" outlineLevel="0" collapsed="false">
      <c r="A557" s="0" t="s">
        <v>72</v>
      </c>
      <c r="B557" s="0" t="s">
        <v>358</v>
      </c>
      <c r="C557" s="0" t="s">
        <v>48</v>
      </c>
      <c r="D557" s="0" t="s">
        <v>20</v>
      </c>
      <c r="E557" s="10" t="s">
        <v>151</v>
      </c>
      <c r="F557" s="11" t="str">
        <f aca="false">IF(OR(E557="",E557="!!!"),"",IF(NOT(ISNA(VLOOKUP(E557,E$1:E556,1,FALSE()))),"OLD",IF(AND(E557&lt;&gt;"",E557&lt;&gt;"!!!"),"NEW","")))</f>
        <v>OLD</v>
      </c>
      <c r="G557" s="12" t="s">
        <v>87</v>
      </c>
      <c r="H557" s="13" t="str">
        <f aca="false">IF(J557&lt;&gt;1,"",IF(I557="SBJ","CB","?"))</f>
        <v/>
      </c>
      <c r="I557" s="14" t="str">
        <f aca="false">IF(OR(E557="",E557="!!!",F557="NEW"),"",INDEX(B$2:B556,-1+SUMPRODUCT(MAX(ROW(E$2:E556)*(E557=E$2:E556)))))</f>
        <v>SBJ_2</v>
      </c>
      <c r="J557" s="15" t="n">
        <f aca="true">IF(OR(E557="",E557="!!!",F557="NEW"),"",COUNTBLANK(OFFSET(A$1,,,SUMPRODUCT(MAX(ROW(E$2:E557)*(E557=E$2:E557)))))-COUNTBLANK(OFFSET(A$1,,,SUMPRODUCT(MAX(ROW(E$1:E556)*(E557=E$1:E556))))))</f>
        <v>0</v>
      </c>
      <c r="K557" s="15" t="n">
        <f aca="false">IF(OR(E557="",E557="!!!",F557="NEW"),"",INDEX(J$1:J556,SUMPRODUCT(MAX(ROW(E$1:E556)*(E557=E$1:E556)))))</f>
        <v>0</v>
      </c>
      <c r="L557" s="16"/>
    </row>
    <row r="558" customFormat="false" ht="12.8" hidden="false" customHeight="false" outlineLevel="0" collapsed="false">
      <c r="A558" s="0" t="s">
        <v>359</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8" hidden="false" customHeight="false" outlineLevel="0" collapsed="false">
      <c r="A559" s="0" t="s">
        <v>360</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8" hidden="false" customHeight="false" outlineLevel="0" collapsed="false">
      <c r="A560" s="0" t="s">
        <v>45</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8" hidden="false" customHeight="false" outlineLevel="0" collapsed="false">
      <c r="A561" s="0" t="s">
        <v>149</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8" hidden="false" customHeight="false" outlineLevel="0" collapsed="false">
      <c r="A562" s="0" t="s">
        <v>361</v>
      </c>
      <c r="B562" s="0" t="s">
        <v>69</v>
      </c>
      <c r="C562" s="0" t="s">
        <v>31</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8" hidden="false" customHeight="false" outlineLevel="0" collapsed="false">
      <c r="A563" s="0" t="s">
        <v>76</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8" hidden="false" customHeight="false" outlineLevel="0" collapsed="false">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8" hidden="false" customHeight="false" outlineLevel="0" collapsed="false">
      <c r="A565" s="0" t="s">
        <v>362</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8" hidden="false" customHeight="false" outlineLevel="0" collapsed="false">
      <c r="A566" s="0" t="s">
        <v>363</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8" hidden="false" customHeight="false" outlineLevel="0" collapsed="false">
      <c r="A567" s="0" t="s">
        <v>252</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8" hidden="false" customHeight="false" outlineLevel="0" collapsed="false">
      <c r="A568" s="0" t="s">
        <v>30</v>
      </c>
      <c r="E568" s="10" t="s">
        <v>30</v>
      </c>
      <c r="F568" s="11" t="str">
        <f aca="false">IF(OR(E568="",E568="!!!"),"",IF(NOT(ISNA(VLOOKUP(E568,E$1:E567,1,FALSE()))),"OLD",IF(AND(E568&lt;&gt;"",E568&lt;&gt;"!!!"),"NEW","")))</f>
        <v>OLD</v>
      </c>
      <c r="G568" s="12" t="s">
        <v>80</v>
      </c>
      <c r="H568" s="13" t="str">
        <f aca="false">IF(J568&lt;&gt;1,"",IF(I568="SBJ","CB","?"))</f>
        <v/>
      </c>
      <c r="I568" s="14" t="str">
        <f aca="false">IF(OR(E568="",E568="!!!",F568="NEW"),"",INDEX(B$2:B567,-1+SUMPRODUCT(MAX(ROW(E$2:E567)*(E568=E$2:E567)))))</f>
        <v>other</v>
      </c>
      <c r="J568" s="15" t="n">
        <f aca="true">IF(OR(E568="",E568="!!!",F568="NEW"),"",COUNTBLANK(OFFSET(A$1,,,SUMPRODUCT(MAX(ROW(E$2:E568)*(E568=E$2:E568)))))-COUNTBLANK(OFFSET(A$1,,,SUMPRODUCT(MAX(ROW(E$1:E567)*(E568=E$1:E567))))))</f>
        <v>2</v>
      </c>
      <c r="K568" s="15" t="n">
        <f aca="false">IF(OR(E568="",E568="!!!",F568="NEW"),"",INDEX(J$1:J567,SUMPRODUCT(MAX(ROW(E$1:E567)*(E568=E$1:E567)))))</f>
        <v>18</v>
      </c>
      <c r="L568" s="16"/>
    </row>
    <row r="569" customFormat="false" ht="12.8" hidden="false" customHeight="false" outlineLevel="0" collapsed="false">
      <c r="A569" s="0" t="s">
        <v>364</v>
      </c>
      <c r="B569" s="0" t="s">
        <v>14</v>
      </c>
      <c r="C569" s="0" t="s">
        <v>31</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8" hidden="false" customHeight="false" outlineLevel="0" collapsed="false">
      <c r="A570" s="0" t="s">
        <v>365</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8" hidden="false" customHeight="false" outlineLevel="0" collapsed="false">
      <c r="A571" s="0" t="s">
        <v>189</v>
      </c>
      <c r="B571" s="0" t="s">
        <v>14</v>
      </c>
      <c r="C571" s="0" t="s">
        <v>31</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8" hidden="false" customHeight="false" outlineLevel="0" collapsed="false">
      <c r="A572" s="0" t="s">
        <v>44</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8" hidden="false" customHeight="false" outlineLevel="0" collapsed="false">
      <c r="A573" s="0" t="s">
        <v>45</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8" hidden="false" customHeight="false" outlineLevel="0" collapsed="false">
      <c r="A574" s="0" t="s">
        <v>220</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8" hidden="false" customHeight="false" outlineLevel="0" collapsed="false">
      <c r="A575" s="0" t="s">
        <v>366</v>
      </c>
      <c r="B575" s="0" t="s">
        <v>47</v>
      </c>
      <c r="C575" s="0" t="s">
        <v>181</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8" hidden="false" customHeight="false" outlineLevel="0" collapsed="false">
      <c r="A576" s="0" t="s">
        <v>367</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8" hidden="false" customHeight="false" outlineLevel="0" collapsed="false">
      <c r="A577" s="0" t="s">
        <v>159</v>
      </c>
      <c r="B577" s="0" t="s">
        <v>170</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8" hidden="false" customHeight="false" outlineLevel="0" collapsed="false">
      <c r="A578" s="0" t="s">
        <v>268</v>
      </c>
      <c r="B578" s="0" t="s">
        <v>75</v>
      </c>
      <c r="C578" s="0" t="s">
        <v>31</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8" hidden="false" customHeight="false" outlineLevel="0" collapsed="false">
      <c r="A579" s="0" t="s">
        <v>44</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8" hidden="false" customHeight="false" outlineLevel="0" collapsed="false">
      <c r="A580" s="0" t="s">
        <v>37</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8" hidden="false" customHeight="false" outlineLevel="0" collapsed="false">
      <c r="A581" s="0" t="s">
        <v>62</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8" hidden="false" customHeight="false" outlineLevel="0" collapsed="false">
      <c r="A582" s="0" t="s">
        <v>368</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8" hidden="false" customHeight="false" outlineLevel="0" collapsed="false">
      <c r="A583" s="0" t="s">
        <v>369</v>
      </c>
      <c r="B583" s="0" t="s">
        <v>14</v>
      </c>
      <c r="C583" s="0" t="s">
        <v>27</v>
      </c>
      <c r="D583" s="0" t="s">
        <v>20</v>
      </c>
      <c r="E583" s="10" t="s">
        <v>52</v>
      </c>
      <c r="F583" s="11" t="str">
        <f aca="false">IF(OR(E583="",E583="!!!"),"",IF(NOT(ISNA(VLOOKUP(E583,E$1:E582,1,FALSE()))),"OLD",IF(AND(E583&lt;&gt;"",E583&lt;&gt;"!!!"),"NEW","")))</f>
        <v>OLD</v>
      </c>
      <c r="G583" s="12" t="s">
        <v>36</v>
      </c>
      <c r="H583" s="13" t="str">
        <f aca="false">IF(J583&lt;&gt;1,"",IF(I583="SBJ","CB","?"))</f>
        <v/>
      </c>
      <c r="I583" s="14" t="str">
        <f aca="false">IF(OR(E583="",E583="!!!",F583="NEW"),"",INDEX(B$2:B582,-1+SUMPRODUCT(MAX(ROW(E$2:E582)*(E583=E$2:E582)))))</f>
        <v>other_2</v>
      </c>
      <c r="J583" s="15" t="n">
        <f aca="true">IF(OR(E583="",E583="!!!",F583="NEW"),"",COUNTBLANK(OFFSET(A$1,,,SUMPRODUCT(MAX(ROW(E$2:E583)*(E583=E$2:E583)))))-COUNTBLANK(OFFSET(A$1,,,SUMPRODUCT(MAX(ROW(E$1:E582)*(E583=E$1:E582))))))</f>
        <v>4</v>
      </c>
      <c r="K583" s="15" t="n">
        <f aca="false">IF(OR(E583="",E583="!!!",F583="NEW"),"",INDEX(J$1:J582,SUMPRODUCT(MAX(ROW(E$1:E582)*(E583=E$1:E582)))))</f>
        <v>3</v>
      </c>
      <c r="L583" s="16"/>
    </row>
    <row r="584" customFormat="false" ht="12.8" hidden="false" customHeight="false" outlineLevel="0" collapsed="false">
      <c r="A584" s="0" t="s">
        <v>56</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8" hidden="false" customHeight="false" outlineLevel="0" collapsed="false">
      <c r="A585" s="0" t="s">
        <v>58</v>
      </c>
      <c r="B585" s="0" t="s">
        <v>59</v>
      </c>
      <c r="C585" s="0" t="s">
        <v>31</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8" hidden="false" customHeight="false" outlineLevel="0" collapsed="false">
      <c r="A586" s="0" t="s">
        <v>370</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8" hidden="false" customHeight="false" outlineLevel="0" collapsed="false">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8" hidden="false" customHeight="false" outlineLevel="0" collapsed="false">
      <c r="A588" s="0" t="s">
        <v>371</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8" hidden="false" customHeight="false" outlineLevel="0" collapsed="false">
      <c r="A589" s="0" t="s">
        <v>372</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8" hidden="false" customHeight="false" outlineLevel="0" collapsed="false">
      <c r="A590" s="0" t="s">
        <v>44</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8" hidden="false" customHeight="false" outlineLevel="0" collapsed="false">
      <c r="A591" s="0" t="s">
        <v>62</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8" hidden="false" customHeight="false" outlineLevel="0" collapsed="false">
      <c r="A592" s="0" t="s">
        <v>41</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8" hidden="false" customHeight="false" outlineLevel="0" collapsed="false">
      <c r="A593" s="0" t="s">
        <v>373</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8" hidden="false" customHeight="false" outlineLevel="0" collapsed="false">
      <c r="A594" s="0" t="s">
        <v>374</v>
      </c>
      <c r="B594" s="0" t="s">
        <v>34</v>
      </c>
      <c r="C594" s="0" t="s">
        <v>27</v>
      </c>
      <c r="D594" s="0" t="s">
        <v>20</v>
      </c>
      <c r="E594" s="10"/>
      <c r="F594" s="11" t="s">
        <v>86</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8" hidden="false" customHeight="false" outlineLevel="0" collapsed="false">
      <c r="A595" s="0" t="s">
        <v>37</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8" hidden="false" customHeight="false" outlineLevel="0" collapsed="false">
      <c r="A596" s="0" t="s">
        <v>51</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8" hidden="false" customHeight="false" outlineLevel="0" collapsed="false">
      <c r="A597" s="0" t="s">
        <v>375</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23.85" hidden="false" customHeight="false" outlineLevel="0" collapsed="false">
      <c r="A598" s="0" t="s">
        <v>376</v>
      </c>
      <c r="B598" s="0" t="s">
        <v>47</v>
      </c>
      <c r="C598" s="0" t="s">
        <v>31</v>
      </c>
      <c r="E598" s="10" t="s">
        <v>52</v>
      </c>
      <c r="F598" s="11" t="str">
        <f aca="false">IF(OR(E598="",E598="!!!"),"",IF(NOT(ISNA(VLOOKUP(E598,E$1:E597,1,FALSE()))),"OLD",IF(AND(E598&lt;&gt;"",E598&lt;&gt;"!!!"),"NEW","")))</f>
        <v>OLD</v>
      </c>
      <c r="G598" s="12" t="s">
        <v>80</v>
      </c>
      <c r="H598" s="13" t="s">
        <v>7</v>
      </c>
      <c r="I598" s="14" t="str">
        <f aca="false">IF(OR(E598="",E598="!!!",F598="NEW"),"",INDEX(B$2:B597,-1+SUMPRODUCT(MAX(ROW(E$2:E597)*(E598=E$2:E597)))))</f>
        <v>other</v>
      </c>
      <c r="J598" s="15" t="n">
        <f aca="true">IF(OR(E598="",E598="!!!",F598="NEW"),"",COUNTBLANK(OFFSET(A$1,,,SUMPRODUCT(MAX(ROW(E$2:E598)*(E598=E$2:E598)))))-COUNTBLANK(OFFSET(A$1,,,SUMPRODUCT(MAX(ROW(E$1:E597)*(E598=E$1:E597))))))</f>
        <v>1</v>
      </c>
      <c r="K598" s="15" t="n">
        <f aca="false">IF(OR(E598="",E598="!!!",F598="NEW"),"",INDEX(J$1:J597,SUMPRODUCT(MAX(ROW(E$1:E597)*(E598=E$1:E597)))))</f>
        <v>4</v>
      </c>
      <c r="L598" s="16" t="s">
        <v>377</v>
      </c>
    </row>
    <row r="599" customFormat="false" ht="12.8" hidden="false" customHeight="false" outlineLevel="0" collapsed="false">
      <c r="A599" s="0" t="s">
        <v>54</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8" hidden="false" customHeight="false" outlineLevel="0" collapsed="false">
      <c r="A600" s="0" t="s">
        <v>76</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8" hidden="false" customHeight="false" outlineLevel="0" collapsed="false">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8" hidden="false" customHeight="false" outlineLevel="0" collapsed="false">
      <c r="A602" s="0" t="s">
        <v>378</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8" hidden="false" customHeight="false" outlineLevel="0" collapsed="false">
      <c r="A603" s="0" t="s">
        <v>222</v>
      </c>
      <c r="B603" s="0" t="s">
        <v>34</v>
      </c>
      <c r="C603" s="0" t="s">
        <v>48</v>
      </c>
      <c r="D603" s="0" t="s">
        <v>20</v>
      </c>
      <c r="E603" s="10" t="s">
        <v>52</v>
      </c>
      <c r="F603" s="11" t="str">
        <f aca="false">IF(OR(E603="",E603="!!!"),"",IF(NOT(ISNA(VLOOKUP(E603,E$1:E602,1,FALSE()))),"OLD",IF(AND(E603&lt;&gt;"",E603&lt;&gt;"!!!"),"NEW","")))</f>
        <v>OLD</v>
      </c>
      <c r="G603" s="12" t="s">
        <v>87</v>
      </c>
      <c r="H603" s="13" t="s">
        <v>7</v>
      </c>
      <c r="I603" s="14" t="str">
        <f aca="false">IF(OR(E603="",E603="!!!",F603="NEW"),"",INDEX(B$2:B602,-1+SUMPRODUCT(MAX(ROW(E$2:E602)*(E603=E$2:E602)))))</f>
        <v>SBJ_2</v>
      </c>
      <c r="J603" s="15" t="n">
        <f aca="true">IF(OR(E603="",E603="!!!",F603="NEW"),"",COUNTBLANK(OFFSET(A$1,,,SUMPRODUCT(MAX(ROW(E$2:E603)*(E603=E$2:E603)))))-COUNTBLANK(OFFSET(A$1,,,SUMPRODUCT(MAX(ROW(E$1:E602)*(E603=E$1:E602))))))</f>
        <v>1</v>
      </c>
      <c r="K603" s="15" t="n">
        <f aca="false">IF(OR(E603="",E603="!!!",F603="NEW"),"",INDEX(J$1:J602,SUMPRODUCT(MAX(ROW(E$1:E602)*(E603=E$1:E602)))))</f>
        <v>1</v>
      </c>
      <c r="L603" s="16"/>
    </row>
    <row r="604" customFormat="false" ht="12.8" hidden="false" customHeight="false" outlineLevel="0" collapsed="false">
      <c r="A604" s="0" t="s">
        <v>379</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8" hidden="false" customHeight="false" outlineLevel="0" collapsed="false">
      <c r="A605" s="0" t="s">
        <v>60</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8" hidden="false" customHeight="false" outlineLevel="0" collapsed="false">
      <c r="A606" s="0" t="s">
        <v>380</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8" hidden="false" customHeight="false" outlineLevel="0" collapsed="false">
      <c r="A607" s="0" t="s">
        <v>30</v>
      </c>
      <c r="B607" s="0" t="s">
        <v>170</v>
      </c>
      <c r="C607" s="0" t="s">
        <v>31</v>
      </c>
      <c r="E607" s="10" t="s">
        <v>30</v>
      </c>
      <c r="F607" s="11" t="str">
        <f aca="false">IF(OR(E607="",E607="!!!"),"",IF(NOT(ISNA(VLOOKUP(E607,E$1:E606,1,FALSE()))),"OLD",IF(AND(E607&lt;&gt;"",E607&lt;&gt;"!!!"),"NEW","")))</f>
        <v>OLD</v>
      </c>
      <c r="G607" s="12" t="s">
        <v>80</v>
      </c>
      <c r="H607" s="13" t="str">
        <f aca="false">IF(J607&lt;&gt;1,"",IF(I607="SBJ","CB","?"))</f>
        <v/>
      </c>
      <c r="I607" s="14" t="n">
        <f aca="false">IF(OR(E607="",E607="!!!",F607="NEW"),"",INDEX(B$2:B606,-1+SUMPRODUCT(MAX(ROW(E$2:E606)*(E607=E$2:E606)))))</f>
        <v>0</v>
      </c>
      <c r="J607" s="15" t="n">
        <f aca="true">IF(OR(E607="",E607="!!!",F607="NEW"),"",COUNTBLANK(OFFSET(A$1,,,SUMPRODUCT(MAX(ROW(E$2:E607)*(E607=E$2:E607)))))-COUNTBLANK(OFFSET(A$1,,,SUMPRODUCT(MAX(ROW(E$1:E606)*(E607=E$1:E606))))))</f>
        <v>2</v>
      </c>
      <c r="K607" s="15" t="n">
        <f aca="false">IF(OR(E607="",E607="!!!",F607="NEW"),"",INDEX(J$1:J606,SUMPRODUCT(MAX(ROW(E$1:E606)*(E607=E$1:E606)))))</f>
        <v>2</v>
      </c>
      <c r="L607" s="16"/>
    </row>
    <row r="608" customFormat="false" ht="12.8" hidden="false" customHeight="false" outlineLevel="0" collapsed="false">
      <c r="A608" s="0" t="s">
        <v>219</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8" hidden="false" customHeight="false" outlineLevel="0" collapsed="false">
      <c r="A609" s="0" t="s">
        <v>209</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8" hidden="false" customHeight="false" outlineLevel="0" collapsed="false">
      <c r="A610" s="0" t="s">
        <v>322</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8" hidden="false" customHeight="false" outlineLevel="0" collapsed="false">
      <c r="A611" s="0" t="s">
        <v>160</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8" hidden="false" customHeight="false" outlineLevel="0" collapsed="false">
      <c r="A612" s="0" t="s">
        <v>218</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8" hidden="false" customHeight="false" outlineLevel="0" collapsed="false">
      <c r="A613" s="0" t="s">
        <v>381</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8" hidden="false" customHeight="false" outlineLevel="0" collapsed="false">
      <c r="A614" s="0" t="s">
        <v>60</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8" hidden="false" customHeight="false" outlineLevel="0" collapsed="false">
      <c r="A615" s="0" t="s">
        <v>382</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8" hidden="false" customHeight="false" outlineLevel="0" collapsed="false">
      <c r="A616" s="0" t="s">
        <v>383</v>
      </c>
      <c r="B616" s="0" t="s">
        <v>69</v>
      </c>
      <c r="C616" s="0" t="s">
        <v>31</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8" hidden="false" customHeight="false" outlineLevel="0" collapsed="false">
      <c r="A617" s="0" t="s">
        <v>76</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8" hidden="false" customHeight="false" outlineLevel="0" collapsed="false">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8" hidden="false" customHeight="false" outlineLevel="0" collapsed="false">
      <c r="A619" s="0" t="s">
        <v>384</v>
      </c>
      <c r="E619" s="10" t="str">
        <f aca="false">IF(D619="?OLD","!!!","")</f>
        <v/>
      </c>
      <c r="F619" s="11" t="str">
        <f aca="false">IF(OR(E619="",E619="!!!"),"",IF(NOT(ISNA(VLOOKUP(E619,E$1:E618,1,FALSE()))),"OLD",IF(AND(E619&lt;&gt;"",E619&lt;&gt;"!!!"),"NEW","")))</f>
        <v/>
      </c>
      <c r="G619" s="12" t="str">
        <f aca="false">IF(OR(E619="",E619="!!!"),"",IF(OR(J619=0,AND(J619=1,K619=1),AND(J619=1,I619="SBJ"),AND(J619=1,I619=0)),"?IN_FOCUS",IF(J619&lt;=2,"?ACTIVATED",IF(J619&lt;&gt;"","?FAMILIAR",IF(F619="NEW",IF(ISNA(VLOOKUP(E619,#REF!,1,FALSE())),"?TYPE_IDENTIFIABLE","?REFERENTIAL"),"_")))))</f>
        <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row>
    <row r="620" customFormat="false" ht="12.8" hidden="false" customHeight="false" outlineLevel="0" collapsed="false">
      <c r="A620" s="0" t="s">
        <v>385</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8" hidden="false" customHeight="false" outlineLevel="0" collapsed="false">
      <c r="A621" s="0" t="n">
        <v>80</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8" hidden="false" customHeight="false" outlineLevel="0" collapsed="false">
      <c r="A622" s="0" t="s">
        <v>386</v>
      </c>
      <c r="B622" s="0" t="s">
        <v>34</v>
      </c>
      <c r="C622" s="0" t="s">
        <v>15</v>
      </c>
      <c r="E622" s="10" t="s">
        <v>387</v>
      </c>
      <c r="F622" s="11" t="s">
        <v>105</v>
      </c>
      <c r="G622" s="12" t="s">
        <v>131</v>
      </c>
      <c r="H622" s="13"/>
      <c r="I622" s="14" t="e">
        <f aca="false">IF(OR(E622="",E622="!!!",F622="NEW"),"",INDEX(B$2:B621,-1+SUMPRODUCT(MAX(ROW(E$2:E621)*(E622=E$2:E621)))))</f>
        <v>#VALUE!</v>
      </c>
      <c r="J622" s="15" t="e">
        <f aca="true">IF(OR(E622="",E622="!!!",F622="NEW"),"",COUNTBLANK(OFFSET(A$1,,,SUMPRODUCT(MAX(ROW(E$2:E622)*(E622=E$2:E622)))))-COUNTBLANK(OFFSET(A$1,,,SUMPRODUCT(MAX(ROW(E$1:E621)*(E622=E$1:E621))))))</f>
        <v>#VALUE!</v>
      </c>
      <c r="K622" s="15" t="e">
        <f aca="false">IF(OR(E622="",E622="!!!",F622="NEW"),"",INDEX(J$1:J621,SUMPRODUCT(MAX(ROW(E$1:E621)*(E622=E$1:E621)))))</f>
        <v>#VALUE!</v>
      </c>
      <c r="L622" s="16" t="s">
        <v>388</v>
      </c>
    </row>
    <row r="623" customFormat="false" ht="12.8" hidden="false" customHeight="false" outlineLevel="0" collapsed="false">
      <c r="A623" s="0" t="s">
        <v>61</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8" hidden="false" customHeight="false" outlineLevel="0" collapsed="false">
      <c r="A624" s="0" t="s">
        <v>389</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8" hidden="false" customHeight="false" outlineLevel="0" collapsed="false">
      <c r="A625" s="0" t="s">
        <v>376</v>
      </c>
      <c r="B625" s="0" t="s">
        <v>75</v>
      </c>
      <c r="C625" s="0" t="s">
        <v>31</v>
      </c>
      <c r="E625" s="10" t="s">
        <v>52</v>
      </c>
      <c r="F625" s="11" t="str">
        <f aca="false">IF(OR(E625="",E625="!!!"),"",IF(NOT(ISNA(VLOOKUP(E625,E$1:E624,1,FALSE()))),"OLD",IF(AND(E625&lt;&gt;"",E625&lt;&gt;"!!!"),"NEW","")))</f>
        <v>OLD</v>
      </c>
      <c r="G625" s="12" t="s">
        <v>87</v>
      </c>
      <c r="H625" s="13" t="str">
        <f aca="false">IF(J625&lt;&gt;1,"",IF(I625="SBJ","CB","?"))</f>
        <v>CB</v>
      </c>
      <c r="I625" s="14" t="str">
        <f aca="false">IF(OR(E625="",E625="!!!",F625="NEW"),"",INDEX(B$2:B624,-1+SUMPRODUCT(MAX(ROW(E$2:E624)*(E625=E$2:E624)))))</f>
        <v>SBJ</v>
      </c>
      <c r="J625" s="15" t="n">
        <f aca="true">IF(OR(E625="",E625="!!!",F625="NEW"),"",COUNTBLANK(OFFSET(A$1,,,SUMPRODUCT(MAX(ROW(E$2:E625)*(E625=E$2:E625)))))-COUNTBLANK(OFFSET(A$1,,,SUMPRODUCT(MAX(ROW(E$1:E624)*(E625=E$1:E624))))))</f>
        <v>1</v>
      </c>
      <c r="K625" s="15" t="n">
        <f aca="false">IF(OR(E625="",E625="!!!",F625="NEW"),"",INDEX(J$1:J624,SUMPRODUCT(MAX(ROW(E$1:E624)*(E625=E$1:E624)))))</f>
        <v>1</v>
      </c>
      <c r="L625" s="16"/>
    </row>
    <row r="626" customFormat="false" ht="12.8" hidden="false" customHeight="false" outlineLevel="0" collapsed="false">
      <c r="A626" s="0" t="s">
        <v>380</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8" hidden="false" customHeight="false" outlineLevel="0" collapsed="false">
      <c r="A627" s="0" t="s">
        <v>30</v>
      </c>
      <c r="B627" s="0" t="s">
        <v>85</v>
      </c>
      <c r="C627" s="0" t="s">
        <v>31</v>
      </c>
      <c r="E627" s="10" t="s">
        <v>30</v>
      </c>
      <c r="F627" s="11" t="str">
        <f aca="false">IF(OR(E627="",E627="!!!"),"",IF(NOT(ISNA(VLOOKUP(E627,E$1:E626,1,FALSE()))),"OLD",IF(AND(E627&lt;&gt;"",E627&lt;&gt;"!!!"),"NEW","")))</f>
        <v>OLD</v>
      </c>
      <c r="G627" s="12" t="s">
        <v>80</v>
      </c>
      <c r="H627" s="13"/>
      <c r="I627" s="14" t="str">
        <f aca="false">IF(OR(E627="",E627="!!!",F627="NEW"),"",INDEX(B$2:B626,-1+SUMPRODUCT(MAX(ROW(E$2:E626)*(E627=E$2:E626)))))</f>
        <v>OBJ_2</v>
      </c>
      <c r="J627" s="15" t="n">
        <f aca="true">IF(OR(E627="",E627="!!!",F627="NEW"),"",COUNTBLANK(OFFSET(A$1,,,SUMPRODUCT(MAX(ROW(E$2:E627)*(E627=E$2:E627)))))-COUNTBLANK(OFFSET(A$1,,,SUMPRODUCT(MAX(ROW(E$1:E626)*(E627=E$1:E626))))))</f>
        <v>1</v>
      </c>
      <c r="K627" s="15" t="n">
        <f aca="false">IF(OR(E627="",E627="!!!",F627="NEW"),"",INDEX(J$1:J626,SUMPRODUCT(MAX(ROW(E$1:E626)*(E627=E$1:E626)))))</f>
        <v>2</v>
      </c>
      <c r="L627" s="16"/>
    </row>
    <row r="628" customFormat="false" ht="12.8" hidden="false" customHeight="false" outlineLevel="0" collapsed="false">
      <c r="A628" s="0" t="s">
        <v>322</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8" hidden="false" customHeight="false" outlineLevel="0" collapsed="false">
      <c r="A629" s="0" t="s">
        <v>62</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8" hidden="false" customHeight="false" outlineLevel="0" collapsed="false">
      <c r="A630" s="0" t="s">
        <v>390</v>
      </c>
      <c r="B630" s="0" t="s">
        <v>14</v>
      </c>
      <c r="C630" s="0" t="s">
        <v>27</v>
      </c>
      <c r="D630" s="0" t="s">
        <v>20</v>
      </c>
      <c r="E630" s="10"/>
      <c r="F630" s="11" t="s">
        <v>86</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8" hidden="false" customHeight="false" outlineLevel="0" collapsed="false">
      <c r="A631" s="0" t="s">
        <v>60</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8" hidden="false" customHeight="false" outlineLevel="0" collapsed="false">
      <c r="A632" s="0" t="s">
        <v>280</v>
      </c>
      <c r="B632" s="0" t="s">
        <v>75</v>
      </c>
      <c r="C632" s="0" t="s">
        <v>31</v>
      </c>
      <c r="E632" s="10" t="str">
        <f aca="false">IF(D632="?OLD","!!!","")</f>
        <v/>
      </c>
      <c r="F632" s="11" t="str">
        <f aca="false">IF(OR(E632="",E632="!!!"),"",IF(NOT(ISNA(VLOOKUP(E632,E$1:E631,1,FALSE()))),"OLD",IF(AND(E632&lt;&gt;"",E632&lt;&gt;"!!!"),"NEW","")))</f>
        <v/>
      </c>
      <c r="G632" s="12" t="str">
        <f aca="false">IF(OR(E632="",E632="!!!"),"",IF(OR(J632=0,AND(J632=1,K632=1),AND(J632=1,I632="SBJ"),AND(J632=1,I632=0)),"?IN_FOCUS",IF(J632&lt;=2,"?ACTIVATED",IF(J632&lt;&gt;"","?FAMILIAR",IF(F632="NEW",IF(ISNA(VLOOKUP(E632,#REF!,1,FALSE())),"?TYPE_IDENTIFIABLE","?REFERENTIAL"),"_")))))</f>
        <v/>
      </c>
      <c r="H632" s="13" t="str">
        <f aca="false">IF(J632&lt;&gt;1,"",IF(I632="SBJ","CB","?"))</f>
        <v/>
      </c>
      <c r="I632" s="14" t="str">
        <f aca="false">IF(OR(E632="",E632="!!!",F632="NEW"),"",INDEX(B$2:B631,-1+SUMPRODUCT(MAX(ROW(E$2:E631)*(E632=E$2:E631)))))</f>
        <v/>
      </c>
      <c r="J632" s="15" t="str">
        <f aca="true">IF(OR(E632="",E632="!!!",F632="NEW"),"",COUNTBLANK(OFFSET(A$1,,,SUMPRODUCT(MAX(ROW(E$2:E632)*(E632=E$2:E632)))))-COUNTBLANK(OFFSET(A$1,,,SUMPRODUCT(MAX(ROW(E$1:E631)*(E632=E$1:E631))))))</f>
        <v/>
      </c>
      <c r="K632" s="15" t="str">
        <f aca="false">IF(OR(E632="",E632="!!!",F632="NEW"),"",INDEX(J$1:J631,SUMPRODUCT(MAX(ROW(E$1:E631)*(E632=E$1:E631)))))</f>
        <v/>
      </c>
      <c r="L632" s="16"/>
    </row>
    <row r="633" customFormat="false" ht="12.8" hidden="false" customHeight="false" outlineLevel="0" collapsed="false">
      <c r="A633" s="0" t="s">
        <v>39</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8" hidden="false" customHeight="false" outlineLevel="0" collapsed="false">
      <c r="A634" s="0" t="s">
        <v>320</v>
      </c>
      <c r="B634" s="0" t="s">
        <v>96</v>
      </c>
      <c r="C634" s="0" t="s">
        <v>31</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8" hidden="false" customHeight="false" outlineLevel="0" collapsed="false">
      <c r="A635" s="0" t="s">
        <v>45</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8" hidden="false" customHeight="false" outlineLevel="0" collapsed="false">
      <c r="A636" s="0" t="s">
        <v>391</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8" hidden="false" customHeight="false" outlineLevel="0" collapsed="false">
      <c r="A637" s="0" t="s">
        <v>60</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8" hidden="false" customHeight="false" outlineLevel="0" collapsed="false">
      <c r="A638" s="0" t="s">
        <v>392</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8" hidden="false" customHeight="false" outlineLevel="0" collapsed="false">
      <c r="A639" s="0" t="s">
        <v>393</v>
      </c>
      <c r="B639" s="0" t="s">
        <v>75</v>
      </c>
      <c r="C639" s="0" t="s">
        <v>31</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8" hidden="false" customHeight="false" outlineLevel="0" collapsed="false">
      <c r="A640" s="0" t="s">
        <v>39</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8" hidden="false" customHeight="false" outlineLevel="0" collapsed="false">
      <c r="A641" s="0" t="s">
        <v>334</v>
      </c>
      <c r="B641" s="0" t="s">
        <v>96</v>
      </c>
      <c r="C641" s="0" t="s">
        <v>244</v>
      </c>
      <c r="D641" s="0" t="s">
        <v>20</v>
      </c>
      <c r="E641" s="10" t="s">
        <v>387</v>
      </c>
      <c r="F641" s="11" t="str">
        <f aca="false">IF(OR(E641="",E641="!!!"),"",IF(NOT(ISNA(VLOOKUP(E641,E$1:E640,1,FALSE()))),"OLD",IF(AND(E641&lt;&gt;"",E641&lt;&gt;"!!!"),"NEW","")))</f>
        <v>OLD</v>
      </c>
      <c r="G641" s="12" t="s">
        <v>87</v>
      </c>
      <c r="H641" s="13" t="str">
        <f aca="false">IF(J641&lt;&gt;1,"",IF(I641="SBJ","CB","?"))</f>
        <v/>
      </c>
      <c r="I641" s="14" t="str">
        <f aca="false">IF(OR(E641="",E641="!!!",F641="NEW"),"",INDEX(B$2:B640,-1+SUMPRODUCT(MAX(ROW(E$2:E640)*(E641=E$2:E640)))))</f>
        <v>SBJ</v>
      </c>
      <c r="J641" s="15" t="n">
        <f aca="true">IF(OR(E641="",E641="!!!",F641="NEW"),"",COUNTBLANK(OFFSET(A$1,,,SUMPRODUCT(MAX(ROW(E$2:E641)*(E641=E$2:E641)))))-COUNTBLANK(OFFSET(A$1,,,SUMPRODUCT(MAX(ROW(E$1:E640)*(E641=E$1:E640))))))</f>
        <v>0</v>
      </c>
      <c r="K641" s="15" t="e">
        <f aca="false">IF(OR(E641="",E641="!!!",F641="NEW"),"",INDEX(J$1:J640,SUMPRODUCT(MAX(ROW(E$1:E640)*(E641=E$1:E640)))))</f>
        <v>#VALUE!</v>
      </c>
      <c r="L641" s="16"/>
    </row>
    <row r="642" customFormat="false" ht="12.8" hidden="false" customHeight="false" outlineLevel="0" collapsed="false">
      <c r="A642" s="0" t="s">
        <v>394</v>
      </c>
      <c r="B642" s="0" t="s">
        <v>75</v>
      </c>
      <c r="C642" s="0" t="s">
        <v>246</v>
      </c>
      <c r="D642" s="0" t="s">
        <v>20</v>
      </c>
      <c r="E642" s="10" t="s">
        <v>394</v>
      </c>
      <c r="F642" s="11" t="str">
        <f aca="false">IF(OR(E642="",E642="!!!"),"",IF(NOT(ISNA(VLOOKUP(E642,E$1:E641,1,FALSE()))),"OLD",IF(AND(E642&lt;&gt;"",E642&lt;&gt;"!!!"),"NEW","")))</f>
        <v>NEW</v>
      </c>
      <c r="G642" s="12" t="s">
        <v>131</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8" hidden="false" customHeight="false" outlineLevel="0" collapsed="false">
      <c r="A643" s="0" t="s">
        <v>76</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8" hidden="false" customHeight="false" outlineLevel="0" collapsed="false">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8" hidden="false" customHeight="false" outlineLevel="0" collapsed="false">
      <c r="A645" s="0" t="s">
        <v>395</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8" hidden="false" customHeight="false" outlineLevel="0" collapsed="false">
      <c r="A646" s="0" t="s">
        <v>262</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8" hidden="false" customHeight="false" outlineLevel="0" collapsed="false">
      <c r="A647" s="0" t="n">
        <v>93</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8" hidden="false" customHeight="false" outlineLevel="0" collapsed="false">
      <c r="A648" s="0" t="s">
        <v>386</v>
      </c>
      <c r="B648" s="0" t="s">
        <v>34</v>
      </c>
      <c r="C648" s="0" t="s">
        <v>15</v>
      </c>
      <c r="E648" s="10" t="s">
        <v>396</v>
      </c>
      <c r="F648" s="11" t="str">
        <f aca="false">IF(OR(E648="",E648="!!!"),"",IF(NOT(ISNA(VLOOKUP(E648,E$1:E647,1,FALSE()))),"OLD",IF(AND(E648&lt;&gt;"",E648&lt;&gt;"!!!"),"NEW","")))</f>
        <v>NEW</v>
      </c>
      <c r="G648" s="12" t="s">
        <v>131</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8" hidden="false" customHeight="false" outlineLevel="0" collapsed="false">
      <c r="A649" s="0" t="s">
        <v>380</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8" hidden="false" customHeight="false" outlineLevel="0" collapsed="false">
      <c r="A650" s="0" t="s">
        <v>298</v>
      </c>
      <c r="B650" s="0" t="s">
        <v>85</v>
      </c>
      <c r="C650" s="0" t="s">
        <v>121</v>
      </c>
      <c r="D650" s="0" t="s">
        <v>20</v>
      </c>
      <c r="E650" s="10" t="s">
        <v>298</v>
      </c>
      <c r="F650" s="11" t="str">
        <f aca="false">IF(OR(E650="",E650="!!!"),"",IF(NOT(ISNA(VLOOKUP(E650,E$1:E649,1,FALSE()))),"OLD",IF(AND(E650&lt;&gt;"",E650&lt;&gt;"!!!"),"NEW","")))</f>
        <v>OLD</v>
      </c>
      <c r="G650" s="12" t="s">
        <v>36</v>
      </c>
      <c r="H650" s="13" t="str">
        <f aca="false">IF(J650&lt;&gt;1,"",IF(I650="SBJ","CB","?"))</f>
        <v/>
      </c>
      <c r="I650" s="14" t="str">
        <f aca="false">IF(OR(E650="",E650="!!!",F650="NEW"),"",INDEX(B$2:B649,-1+SUMPRODUCT(MAX(ROW(E$2:E649)*(E650=E$2:E649)))))</f>
        <v>SBJ</v>
      </c>
      <c r="J650" s="15" t="n">
        <f aca="true">IF(OR(E650="",E650="!!!",F650="NEW"),"",COUNTBLANK(OFFSET(A$1,,,SUMPRODUCT(MAX(ROW(E$2:E650)*(E650=E$2:E650)))))-COUNTBLANK(OFFSET(A$1,,,SUMPRODUCT(MAX(ROW(E$1:E649)*(E650=E$1:E649))))))</f>
        <v>6</v>
      </c>
      <c r="K650" s="15" t="n">
        <f aca="false">IF(OR(E650="",E650="!!!",F650="NEW"),"",INDEX(J$1:J649,SUMPRODUCT(MAX(ROW(E$1:E649)*(E650=E$1:E649)))))</f>
        <v>1</v>
      </c>
      <c r="L650" s="16"/>
    </row>
    <row r="651" customFormat="false" ht="12.8" hidden="false" customHeight="false" outlineLevel="0" collapsed="false">
      <c r="A651" s="0" t="s">
        <v>322</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8" hidden="false" customHeight="false" outlineLevel="0" collapsed="false">
      <c r="A652" s="0" t="s">
        <v>62</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8" hidden="false" customHeight="false" outlineLevel="0" collapsed="false">
      <c r="A653" s="0" t="s">
        <v>111</v>
      </c>
      <c r="B653" s="0" t="s">
        <v>14</v>
      </c>
      <c r="C653" s="0" t="s">
        <v>27</v>
      </c>
      <c r="D653" s="0" t="s">
        <v>20</v>
      </c>
      <c r="E653" s="10" t="s">
        <v>111</v>
      </c>
      <c r="F653" s="11" t="s">
        <v>35</v>
      </c>
      <c r="G653" s="12" t="s">
        <v>36</v>
      </c>
      <c r="H653" s="13"/>
      <c r="I653" s="14" t="e">
        <f aca="false">IF(OR(E653="",E653="!!!",F653="NEW"),"",INDEX(B$2:B652,-1+SUMPRODUCT(MAX(ROW(E$2:E652)*(E653=E$2:E652)))))</f>
        <v>#VALUE!</v>
      </c>
      <c r="J653" s="15" t="e">
        <f aca="true">IF(OR(E653="",E653="!!!",F653="NEW"),"",COUNTBLANK(OFFSET(A$1,,,SUMPRODUCT(MAX(ROW(E$2:E653)*(E653=E$2:E653)))))-COUNTBLANK(OFFSET(A$1,,,SUMPRODUCT(MAX(ROW(E$1:E652)*(E653=E$1:E652))))))</f>
        <v>#VALUE!</v>
      </c>
      <c r="K653" s="15" t="e">
        <f aca="false">IF(OR(E653="",E653="!!!",F653="NEW"),"",INDEX(J$1:J652,SUMPRODUCT(MAX(ROW(E$1:E652)*(E653=E$1:E652)))))</f>
        <v>#VALUE!</v>
      </c>
      <c r="L653" s="16"/>
    </row>
    <row r="654" customFormat="false" ht="12.8" hidden="false" customHeight="false" outlineLevel="0" collapsed="false">
      <c r="A654" s="0" t="s">
        <v>44</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8" hidden="false" customHeight="false" outlineLevel="0" collapsed="false">
      <c r="A655" s="0" t="s">
        <v>397</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8" hidden="false" customHeight="false" outlineLevel="0" collapsed="false">
      <c r="A656" s="0" t="s">
        <v>322</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8" hidden="false" customHeight="false" outlineLevel="0" collapsed="false">
      <c r="A657" s="0" t="s">
        <v>160</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8" hidden="false" customHeight="false" outlineLevel="0" collapsed="false">
      <c r="A658" s="0" t="s">
        <v>60</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8" hidden="false" customHeight="false" outlineLevel="0" collapsed="false">
      <c r="A659" s="0" t="s">
        <v>62</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8" hidden="false" customHeight="false" outlineLevel="0" collapsed="false">
      <c r="A660" s="0" t="s">
        <v>111</v>
      </c>
      <c r="B660" s="0" t="s">
        <v>75</v>
      </c>
      <c r="C660" s="0" t="s">
        <v>246</v>
      </c>
      <c r="D660" s="0" t="s">
        <v>20</v>
      </c>
      <c r="E660" s="10" t="s">
        <v>111</v>
      </c>
      <c r="F660" s="11" t="str">
        <f aca="false">IF(OR(E660="",E660="!!!"),"",IF(NOT(ISNA(VLOOKUP(E660,E$1:E659,1,FALSE()))),"OLD",IF(AND(E660&lt;&gt;"",E660&lt;&gt;"!!!"),"NEW","")))</f>
        <v>OLD</v>
      </c>
      <c r="G660" s="12" t="s">
        <v>87</v>
      </c>
      <c r="H660" s="13" t="str">
        <f aca="false">IF(J660&lt;&gt;1,"",IF(I660="SBJ","CB","?"))</f>
        <v/>
      </c>
      <c r="I660" s="14" t="str">
        <f aca="false">IF(OR(E660="",E660="!!!",F660="NEW"),"",INDEX(B$2:B659,-1+SUMPRODUCT(MAX(ROW(E$2:E659)*(E660=E$2:E659)))))</f>
        <v>other</v>
      </c>
      <c r="J660" s="15" t="n">
        <f aca="true">IF(OR(E660="",E660="!!!",F660="NEW"),"",COUNTBLANK(OFFSET(A$1,,,SUMPRODUCT(MAX(ROW(E$2:E660)*(E660=E$2:E660)))))-COUNTBLANK(OFFSET(A$1,,,SUMPRODUCT(MAX(ROW(E$1:E659)*(E660=E$1:E659))))))</f>
        <v>0</v>
      </c>
      <c r="K660" s="15" t="e">
        <f aca="false">IF(OR(E660="",E660="!!!",F660="NEW"),"",INDEX(J$1:J659,SUMPRODUCT(MAX(ROW(E$1:E659)*(E660=E$1:E659)))))</f>
        <v>#VALUE!</v>
      </c>
      <c r="L660" s="16"/>
    </row>
    <row r="661" customFormat="false" ht="12.8" hidden="false" customHeight="false" outlineLevel="0" collapsed="false">
      <c r="A661" s="0" t="s">
        <v>61</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8" hidden="false" customHeight="false" outlineLevel="0" collapsed="false">
      <c r="A662" s="0" t="s">
        <v>334</v>
      </c>
      <c r="B662" s="0" t="s">
        <v>65</v>
      </c>
      <c r="C662" s="0" t="s">
        <v>244</v>
      </c>
      <c r="D662" s="0" t="s">
        <v>20</v>
      </c>
      <c r="E662" s="10" t="s">
        <v>396</v>
      </c>
      <c r="F662" s="11" t="str">
        <f aca="false">IF(OR(E662="",E662="!!!"),"",IF(NOT(ISNA(VLOOKUP(E662,E$1:E661,1,FALSE()))),"OLD",IF(AND(E662&lt;&gt;"",E662&lt;&gt;"!!!"),"NEW","")))</f>
        <v>OLD</v>
      </c>
      <c r="G662" s="12" t="s">
        <v>87</v>
      </c>
      <c r="H662" s="13" t="str">
        <f aca="false">IF(J662&lt;&gt;1,"",IF(I662="SBJ","CB","?"))</f>
        <v/>
      </c>
      <c r="I662" s="14" t="str">
        <f aca="false">IF(OR(E662="",E662="!!!",F662="NEW"),"",INDEX(B$2:B661,-1+SUMPRODUCT(MAX(ROW(E$2:E661)*(E662=E$2:E661)))))</f>
        <v>SBJ</v>
      </c>
      <c r="J662" s="15" t="n">
        <f aca="true">IF(OR(E662="",E662="!!!",F662="NEW"),"",COUNTBLANK(OFFSET(A$1,,,SUMPRODUCT(MAX(ROW(E$2:E662)*(E662=E$2:E662)))))-COUNTBLANK(OFFSET(A$1,,,SUMPRODUCT(MAX(ROW(E$1:E661)*(E662=E$1:E661))))))</f>
        <v>0</v>
      </c>
      <c r="K662" s="15" t="str">
        <f aca="false">IF(OR(E662="",E662="!!!",F662="NEW"),"",INDEX(J$1:J661,SUMPRODUCT(MAX(ROW(E$1:E661)*(E662=E$1:E661)))))</f>
        <v/>
      </c>
      <c r="L662" s="16"/>
    </row>
    <row r="663" customFormat="false" ht="12.8" hidden="false" customHeight="false" outlineLevel="0" collapsed="false">
      <c r="A663" s="0" t="s">
        <v>382</v>
      </c>
      <c r="B663" s="0" t="s">
        <v>96</v>
      </c>
      <c r="C663" s="0" t="s">
        <v>246</v>
      </c>
      <c r="D663" s="0" t="s">
        <v>20</v>
      </c>
      <c r="E663" s="10" t="s">
        <v>398</v>
      </c>
      <c r="F663" s="11" t="str">
        <f aca="false">IF(OR(E663="",E663="!!!"),"",IF(NOT(ISNA(VLOOKUP(E663,E$1:E662,1,FALSE()))),"OLD",IF(AND(E663&lt;&gt;"",E663&lt;&gt;"!!!"),"NEW","")))</f>
        <v>NEW</v>
      </c>
      <c r="G663" s="12" t="s">
        <v>131</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8" hidden="false" customHeight="false" outlineLevel="0" collapsed="false">
      <c r="A664" s="0" t="s">
        <v>76</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8" hidden="false" customHeight="false" outlineLevel="0" collapsed="false">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8" hidden="false" customHeight="false" outlineLevel="0" collapsed="false">
      <c r="A666" s="0" t="s">
        <v>399</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8" hidden="false" customHeight="false" outlineLevel="0" collapsed="false">
      <c r="A667" s="0" t="s">
        <v>363</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8" hidden="false" customHeight="false" outlineLevel="0" collapsed="false">
      <c r="A668" s="0" t="s">
        <v>62</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8" hidden="false" customHeight="false" outlineLevel="0" collapsed="false">
      <c r="A669" s="0" t="s">
        <v>400</v>
      </c>
      <c r="B669" s="0" t="s">
        <v>34</v>
      </c>
      <c r="C669" s="0" t="s">
        <v>27</v>
      </c>
      <c r="D669" s="0" t="s">
        <v>20</v>
      </c>
      <c r="E669" s="10"/>
      <c r="F669" s="11" t="s">
        <v>238</v>
      </c>
      <c r="G669" s="12"/>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8" hidden="false" customHeight="false" outlineLevel="0" collapsed="false">
      <c r="A670" s="0" t="s">
        <v>61</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23.85" hidden="false" customHeight="false" outlineLevel="0" collapsed="false">
      <c r="A671" s="0" t="s">
        <v>376</v>
      </c>
      <c r="B671" s="0" t="s">
        <v>75</v>
      </c>
      <c r="C671" s="0" t="s">
        <v>31</v>
      </c>
      <c r="E671" s="10" t="s">
        <v>52</v>
      </c>
      <c r="F671" s="11" t="str">
        <f aca="false">IF(OR(E671="",E671="!!!"),"",IF(NOT(ISNA(VLOOKUP(E671,E$1:E670,1,FALSE()))),"OLD",IF(AND(E671&lt;&gt;"",E671&lt;&gt;"!!!"),"NEW","")))</f>
        <v>OLD</v>
      </c>
      <c r="G671" s="12" t="s">
        <v>80</v>
      </c>
      <c r="H671" s="13" t="s">
        <v>7</v>
      </c>
      <c r="I671" s="14" t="str">
        <f aca="false">IF(OR(E671="",E671="!!!",F671="NEW"),"",INDEX(B$2:B670,-1+SUMPRODUCT(MAX(ROW(E$2:E670)*(E671=E$2:E670)))))</f>
        <v>other_2</v>
      </c>
      <c r="J671" s="15" t="n">
        <f aca="true">IF(OR(E671="",E671="!!!",F671="NEW"),"",COUNTBLANK(OFFSET(A$1,,,SUMPRODUCT(MAX(ROW(E$2:E671)*(E671=E$2:E671)))))-COUNTBLANK(OFFSET(A$1,,,SUMPRODUCT(MAX(ROW(E$1:E670)*(E671=E$1:E670))))))</f>
        <v>2</v>
      </c>
      <c r="K671" s="15" t="n">
        <f aca="false">IF(OR(E671="",E671="!!!",F671="NEW"),"",INDEX(J$1:J670,SUMPRODUCT(MAX(ROW(E$1:E670)*(E671=E$1:E670)))))</f>
        <v>1</v>
      </c>
      <c r="L671" s="16" t="s">
        <v>401</v>
      </c>
    </row>
    <row r="672" customFormat="false" ht="12.8" hidden="false" customHeight="false" outlineLevel="0" collapsed="false">
      <c r="A672" s="0" t="s">
        <v>54</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8" hidden="false" customHeight="false" outlineLevel="0" collapsed="false">
      <c r="A673" s="0" t="s">
        <v>402</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8" hidden="false" customHeight="false" outlineLevel="0" collapsed="false">
      <c r="A674" s="0" t="s">
        <v>76</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8" hidden="false" customHeight="false" outlineLevel="0" collapsed="false">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8" hidden="false" customHeight="false" outlineLevel="0" collapsed="false">
      <c r="A676" s="0" t="s">
        <v>403</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8" hidden="false" customHeight="false" outlineLevel="0" collapsed="false">
      <c r="A677" s="0" t="s">
        <v>404</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8" hidden="false" customHeight="false" outlineLevel="0" collapsed="false">
      <c r="A678" s="0" t="s">
        <v>100</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8" hidden="false" customHeight="false" outlineLevel="0" collapsed="false">
      <c r="A679" s="0" t="s">
        <v>405</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8" hidden="false" customHeight="false" outlineLevel="0" collapsed="false">
      <c r="A680" s="0" t="s">
        <v>406</v>
      </c>
      <c r="B680" s="0" t="s">
        <v>34</v>
      </c>
      <c r="C680" s="0" t="s">
        <v>31</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8" hidden="false" customHeight="false" outlineLevel="0" collapsed="false">
      <c r="A681" s="0" t="s">
        <v>39</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8" hidden="false" customHeight="false" outlineLevel="0" collapsed="false">
      <c r="A682" s="0" t="s">
        <v>30</v>
      </c>
      <c r="B682" s="0" t="s">
        <v>75</v>
      </c>
      <c r="C682" s="0" t="s">
        <v>31</v>
      </c>
      <c r="E682" s="10" t="s">
        <v>30</v>
      </c>
      <c r="F682" s="11" t="str">
        <f aca="false">IF(OR(E682="",E682="!!!"),"",IF(NOT(ISNA(VLOOKUP(E682,E$1:E681,1,FALSE()))),"OLD",IF(AND(E682&lt;&gt;"",E682&lt;&gt;"!!!"),"NEW","")))</f>
        <v>OLD</v>
      </c>
      <c r="G682" s="12" t="s">
        <v>36</v>
      </c>
      <c r="H682" s="13" t="str">
        <f aca="false">IF(J682&lt;&gt;1,"",IF(I682="SBJ","CB","?"))</f>
        <v/>
      </c>
      <c r="I682" s="14" t="str">
        <f aca="false">IF(OR(E682="",E682="!!!",F682="NEW"),"",INDEX(B$2:B681,-1+SUMPRODUCT(MAX(ROW(E$2:E681)*(E682=E$2:E681)))))</f>
        <v>OBJ</v>
      </c>
      <c r="J682" s="15" t="n">
        <f aca="true">IF(OR(E682="",E682="!!!",F682="NEW"),"",COUNTBLANK(OFFSET(A$1,,,SUMPRODUCT(MAX(ROW(E$2:E682)*(E682=E$2:E682)))))-COUNTBLANK(OFFSET(A$1,,,SUMPRODUCT(MAX(ROW(E$1:E681)*(E682=E$1:E681))))))</f>
        <v>3</v>
      </c>
      <c r="K682" s="15" t="n">
        <f aca="false">IF(OR(E682="",E682="!!!",F682="NEW"),"",INDEX(J$1:J681,SUMPRODUCT(MAX(ROW(E$1:E681)*(E682=E$1:E681)))))</f>
        <v>1</v>
      </c>
      <c r="L682" s="16"/>
    </row>
    <row r="683" customFormat="false" ht="12.8" hidden="false" customHeight="false" outlineLevel="0" collapsed="false">
      <c r="A683" s="0" t="s">
        <v>76</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8" hidden="false" customHeight="false" outlineLevel="0" collapsed="false">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8" hidden="false" customHeight="false" outlineLevel="0" collapsed="false">
      <c r="A685" s="0" t="s">
        <v>407</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8" hidden="false" customHeight="false" outlineLevel="0" collapsed="false">
      <c r="A686" s="0" t="s">
        <v>363</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8" hidden="false" customHeight="false" outlineLevel="0" collapsed="false">
      <c r="A687" s="0" t="s">
        <v>408</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8" hidden="false" customHeight="false" outlineLevel="0" collapsed="false">
      <c r="A688" s="0" t="s">
        <v>54</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8" hidden="false" customHeight="false" outlineLevel="0" collapsed="false">
      <c r="A689" s="0" t="s">
        <v>333</v>
      </c>
      <c r="B689" s="0" t="s">
        <v>34</v>
      </c>
      <c r="C689" s="0" t="s">
        <v>31</v>
      </c>
      <c r="E689" s="10" t="s">
        <v>333</v>
      </c>
      <c r="F689" s="11" t="str">
        <f aca="false">IF(OR(E689="",E689="!!!"),"",IF(NOT(ISNA(VLOOKUP(E689,E$1:E688,1,FALSE()))),"OLD",IF(AND(E689&lt;&gt;"",E689&lt;&gt;"!!!"),"NEW","")))</f>
        <v>OLD</v>
      </c>
      <c r="G689" s="12" t="s">
        <v>36</v>
      </c>
      <c r="H689" s="13" t="str">
        <f aca="false">IF(J689&lt;&gt;1,"",IF(I689="SBJ","CB","?"))</f>
        <v/>
      </c>
      <c r="I689" s="14" t="str">
        <f aca="false">IF(OR(E689="",E689="!!!",F689="NEW"),"",INDEX(B$2:B688,-1+SUMPRODUCT(MAX(ROW(E$2:E688)*(E689=E$2:E688)))))</f>
        <v>other_2</v>
      </c>
      <c r="J689" s="15" t="n">
        <f aca="true">IF(OR(E689="",E689="!!!",F689="NEW"),"",COUNTBLANK(OFFSET(A$1,,,SUMPRODUCT(MAX(ROW(E$2:E689)*(E689=E$2:E689)))))-COUNTBLANK(OFFSET(A$1,,,SUMPRODUCT(MAX(ROW(E$1:E688)*(E689=E$1:E688))))))</f>
        <v>11</v>
      </c>
      <c r="K689" s="15" t="n">
        <f aca="false">IF(OR(E689="",E689="!!!",F689="NEW"),"",INDEX(J$1:J688,SUMPRODUCT(MAX(ROW(E$1:E688)*(E689=E$1:E688)))))</f>
        <v>0</v>
      </c>
      <c r="L689" s="16"/>
    </row>
    <row r="690" customFormat="false" ht="12.8" hidden="false" customHeight="false" outlineLevel="0" collapsed="false">
      <c r="A690" s="0" t="s">
        <v>409</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8" hidden="false" customHeight="false" outlineLevel="0" collapsed="false">
      <c r="A691" s="0" t="s">
        <v>410</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8" hidden="false" customHeight="false" outlineLevel="0" collapsed="false">
      <c r="A692" s="0" t="s">
        <v>298</v>
      </c>
      <c r="B692" s="0" t="s">
        <v>85</v>
      </c>
      <c r="C692" s="0" t="s">
        <v>19</v>
      </c>
      <c r="D692" s="0" t="s">
        <v>20</v>
      </c>
      <c r="E692" s="10" t="s">
        <v>298</v>
      </c>
      <c r="F692" s="11" t="str">
        <f aca="false">IF(OR(E692="",E692="!!!"),"",IF(NOT(ISNA(VLOOKUP(E692,E$1:E691,1,FALSE()))),"OLD",IF(AND(E692&lt;&gt;"",E692&lt;&gt;"!!!"),"NEW","")))</f>
        <v>OLD</v>
      </c>
      <c r="G692" s="12" t="s">
        <v>36</v>
      </c>
      <c r="H692" s="13" t="str">
        <f aca="false">IF(J692&lt;&gt;1,"",IF(I692="SBJ","CB","?"))</f>
        <v/>
      </c>
      <c r="I692" s="14" t="str">
        <f aca="false">IF(OR(E692="",E692="!!!",F692="NEW"),"",INDEX(B$2:B691,-1+SUMPRODUCT(MAX(ROW(E$2:E691)*(E692=E$2:E691)))))</f>
        <v>OBJ</v>
      </c>
      <c r="J692" s="15" t="n">
        <f aca="true">IF(OR(E692="",E692="!!!",F692="NEW"),"",COUNTBLANK(OFFSET(A$1,,,SUMPRODUCT(MAX(ROW(E$2:E692)*(E692=E$2:E692)))))-COUNTBLANK(OFFSET(A$1,,,SUMPRODUCT(MAX(ROW(E$1:E691)*(E692=E$1:E691))))))</f>
        <v>3</v>
      </c>
      <c r="K692" s="15" t="n">
        <f aca="false">IF(OR(E692="",E692="!!!",F692="NEW"),"",INDEX(J$1:J691,SUMPRODUCT(MAX(ROW(E$1:E691)*(E692=E$1:E691)))))</f>
        <v>6</v>
      </c>
      <c r="L692" s="16"/>
    </row>
    <row r="693" customFormat="false" ht="12.8" hidden="false" customHeight="false" outlineLevel="0" collapsed="false">
      <c r="A693" s="0" t="s">
        <v>60</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8" hidden="false" customHeight="false" outlineLevel="0" collapsed="false">
      <c r="A694" s="0" t="s">
        <v>411</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8" hidden="false" customHeight="false" outlineLevel="0" collapsed="false">
      <c r="A695" s="0" t="s">
        <v>412</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8" hidden="false" customHeight="false" outlineLevel="0" collapsed="false">
      <c r="A696" s="0" t="s">
        <v>382</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8" hidden="false" customHeight="false" outlineLevel="0" collapsed="false">
      <c r="A697" s="0" t="s">
        <v>413</v>
      </c>
      <c r="B697" s="0" t="s">
        <v>170</v>
      </c>
      <c r="C697" s="0" t="s">
        <v>31</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8" hidden="false" customHeight="false" outlineLevel="0" collapsed="false">
      <c r="A698" s="0" t="s">
        <v>370</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8" hidden="false" customHeight="false" outlineLevel="0" collapsed="false">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8" hidden="false" customHeight="false" outlineLevel="0" collapsed="false">
      <c r="A700" s="0" t="s">
        <v>414</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8" hidden="false" customHeight="false" outlineLevel="0" collapsed="false">
      <c r="A701" s="0" t="s">
        <v>415</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8" hidden="false" customHeight="false" outlineLevel="0" collapsed="false">
      <c r="A702" s="0" t="s">
        <v>416</v>
      </c>
      <c r="B702" s="0" t="s">
        <v>34</v>
      </c>
      <c r="C702" s="0" t="s">
        <v>15</v>
      </c>
      <c r="E702" s="10" t="s">
        <v>417</v>
      </c>
      <c r="F702" s="11" t="s">
        <v>123</v>
      </c>
      <c r="G702" s="12" t="s">
        <v>67</v>
      </c>
      <c r="H702" s="13"/>
      <c r="I702" s="14" t="e">
        <f aca="false">IF(OR(E702="",E702="!!!",F702="NEW"),"",INDEX(B$2:B701,-1+SUMPRODUCT(MAX(ROW(E$2:E701)*(E702=E$2:E701)))))</f>
        <v>#VALUE!</v>
      </c>
      <c r="J702" s="15" t="e">
        <f aca="true">IF(OR(E702="",E702="!!!",F702="NEW"),"",COUNTBLANK(OFFSET(A$1,,,SUMPRODUCT(MAX(ROW(E$2:E702)*(E702=E$2:E702)))))-COUNTBLANK(OFFSET(A$1,,,SUMPRODUCT(MAX(ROW(E$1:E701)*(E702=E$1:E701))))))</f>
        <v>#VALUE!</v>
      </c>
      <c r="K702" s="15" t="e">
        <f aca="false">IF(OR(E702="",E702="!!!",F702="NEW"),"",INDEX(J$1:J701,SUMPRODUCT(MAX(ROW(E$1:E701)*(E702=E$1:E701)))))</f>
        <v>#VALUE!</v>
      </c>
      <c r="L702" s="16"/>
    </row>
    <row r="703" customFormat="false" ht="12.8" hidden="false" customHeight="false" outlineLevel="0" collapsed="false">
      <c r="A703" s="0" t="s">
        <v>37</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8" hidden="false" customHeight="false" outlineLevel="0" collapsed="false">
      <c r="A704" s="0" t="s">
        <v>418</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8" hidden="false" customHeight="false" outlineLevel="0" collapsed="false">
      <c r="A705" s="0" t="s">
        <v>45</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8" hidden="false" customHeight="false" outlineLevel="0" collapsed="false">
      <c r="A706" s="0" t="s">
        <v>419</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8" hidden="false" customHeight="false" outlineLevel="0" collapsed="false">
      <c r="A707" s="0" t="s">
        <v>60</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8" hidden="false" customHeight="false" outlineLevel="0" collapsed="false">
      <c r="A708" s="0" t="s">
        <v>243</v>
      </c>
      <c r="B708" s="0" t="s">
        <v>75</v>
      </c>
      <c r="C708" s="0" t="s">
        <v>244</v>
      </c>
      <c r="D708" s="0" t="s">
        <v>20</v>
      </c>
      <c r="E708" s="10" t="s">
        <v>420</v>
      </c>
      <c r="F708" s="11" t="s">
        <v>123</v>
      </c>
      <c r="G708" s="12" t="s">
        <v>67</v>
      </c>
      <c r="H708" s="13"/>
      <c r="I708" s="14" t="e">
        <f aca="false">IF(OR(E708="",E708="!!!",F708="NEW"),"",INDEX(B$2:B707,-1+SUMPRODUCT(MAX(ROW(E$2:E707)*(E708=E$2:E707)))))</f>
        <v>#VALUE!</v>
      </c>
      <c r="J708" s="15" t="e">
        <f aca="true">IF(OR(E708="",E708="!!!",F708="NEW"),"",COUNTBLANK(OFFSET(A$1,,,SUMPRODUCT(MAX(ROW(E$2:E708)*(E708=E$2:E708)))))-COUNTBLANK(OFFSET(A$1,,,SUMPRODUCT(MAX(ROW(E$1:E707)*(E708=E$1:E707))))))</f>
        <v>#VALUE!</v>
      </c>
      <c r="K708" s="15" t="e">
        <f aca="false">IF(OR(E708="",E708="!!!",F708="NEW"),"",INDEX(J$1:J707,SUMPRODUCT(MAX(ROW(E$1:E707)*(E708=E$1:E707)))))</f>
        <v>#VALUE!</v>
      </c>
      <c r="L708" s="16" t="s">
        <v>421</v>
      </c>
    </row>
    <row r="709" customFormat="false" ht="12.8" hidden="false" customHeight="false" outlineLevel="0" collapsed="false">
      <c r="A709" s="0" t="s">
        <v>422</v>
      </c>
      <c r="B709" s="0" t="s">
        <v>14</v>
      </c>
      <c r="C709" s="0" t="s">
        <v>246</v>
      </c>
      <c r="D709" s="0" t="s">
        <v>20</v>
      </c>
      <c r="E709" s="10"/>
      <c r="F709" s="11" t="s">
        <v>247</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8" hidden="false" customHeight="false" outlineLevel="0" collapsed="false">
      <c r="A710" s="0" t="s">
        <v>76</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8" hidden="false" customHeight="false" outlineLevel="0" collapsed="false">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8" hidden="false" customHeight="false" outlineLevel="0" collapsed="false">
      <c r="A712" s="0" t="s">
        <v>423</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8" hidden="false" customHeight="false" outlineLevel="0" collapsed="false">
      <c r="A713" s="0" t="s">
        <v>424</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8" hidden="false" customHeight="false" outlineLevel="0" collapsed="false">
      <c r="A714" s="0" t="n">
        <v>2012</v>
      </c>
      <c r="E714" s="10" t="n">
        <v>2012</v>
      </c>
      <c r="F714" s="11" t="s">
        <v>35</v>
      </c>
      <c r="G714" s="12" t="s">
        <v>67</v>
      </c>
      <c r="H714" s="13"/>
      <c r="I714" s="14" t="e">
        <f aca="false">IF(OR(E714="",E714="!!!",F714="NEW"),"",INDEX(B$2:B713,-1+SUMPRODUCT(MAX(ROW(E$2:E713)*(E714=E$2:E713)))))</f>
        <v>#VALUE!</v>
      </c>
      <c r="J714" s="15" t="e">
        <f aca="true">IF(OR(E714="",E714="!!!",F714="NEW"),"",COUNTBLANK(OFFSET(A$1,,,SUMPRODUCT(MAX(ROW(E$2:E714)*(E714=E$2:E714)))))-COUNTBLANK(OFFSET(A$1,,,SUMPRODUCT(MAX(ROW(E$1:E713)*(E714=E$1:E713))))))</f>
        <v>#VALUE!</v>
      </c>
      <c r="K714" s="15" t="e">
        <f aca="false">IF(OR(E714="",E714="!!!",F714="NEW"),"",INDEX(J$1:J713,SUMPRODUCT(MAX(ROW(E$1:E713)*(E714=E$1:E713)))))</f>
        <v>#VALUE!</v>
      </c>
      <c r="L714" s="16"/>
    </row>
    <row r="715" customFormat="false" ht="12.8" hidden="false" customHeight="false" outlineLevel="0" collapsed="false">
      <c r="A715" s="0" t="s">
        <v>44</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8" hidden="false" customHeight="false" outlineLevel="0" collapsed="false">
      <c r="A716" s="0" t="s">
        <v>425</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8" hidden="false" customHeight="false" outlineLevel="0" collapsed="false">
      <c r="A717" s="0" t="s">
        <v>426</v>
      </c>
      <c r="B717" s="0" t="s">
        <v>34</v>
      </c>
      <c r="C717" s="0" t="s">
        <v>19</v>
      </c>
      <c r="D717" s="0" t="s">
        <v>20</v>
      </c>
      <c r="E717" s="10" t="s">
        <v>420</v>
      </c>
      <c r="F717" s="11" t="str">
        <f aca="false">IF(OR(E717="",E717="!!!"),"",IF(NOT(ISNA(VLOOKUP(E717,E$1:E716,1,FALSE()))),"OLD",IF(AND(E717&lt;&gt;"",E717&lt;&gt;"!!!"),"NEW","")))</f>
        <v>OLD</v>
      </c>
      <c r="G717" s="12" t="s">
        <v>67</v>
      </c>
      <c r="H717" s="13" t="s">
        <v>7</v>
      </c>
      <c r="I717" s="14" t="str">
        <f aca="false">IF(OR(E717="",E717="!!!",F717="NEW"),"",INDEX(B$2:B716,-1+SUMPRODUCT(MAX(ROW(E$2:E716)*(E717=E$2:E716)))))</f>
        <v>other_2</v>
      </c>
      <c r="J717" s="15" t="n">
        <f aca="true">IF(OR(E717="",E717="!!!",F717="NEW"),"",COUNTBLANK(OFFSET(A$1,,,SUMPRODUCT(MAX(ROW(E$2:E717)*(E717=E$2:E717)))))-COUNTBLANK(OFFSET(A$1,,,SUMPRODUCT(MAX(ROW(E$1:E716)*(E717=E$1:E716))))))</f>
        <v>1</v>
      </c>
      <c r="K717" s="15" t="e">
        <f aca="false">IF(OR(E717="",E717="!!!",F717="NEW"),"",INDEX(J$1:J716,SUMPRODUCT(MAX(ROW(E$1:E716)*(E717=E$1:E716)))))</f>
        <v>#VALUE!</v>
      </c>
      <c r="L717" s="16"/>
    </row>
    <row r="718" customFormat="false" ht="12.8" hidden="false" customHeight="false" outlineLevel="0" collapsed="false">
      <c r="A718" s="0" t="s">
        <v>427</v>
      </c>
      <c r="E718" s="10" t="s">
        <v>428</v>
      </c>
      <c r="F718" s="11" t="str">
        <f aca="false">IF(OR(E718="",E718="!!!"),"",IF(NOT(ISNA(VLOOKUP(E718,E$1:E717,1,FALSE()))),"OLD",IF(AND(E718&lt;&gt;"",E718&lt;&gt;"!!!"),"NEW","")))</f>
        <v>NEW</v>
      </c>
      <c r="G718" s="12" t="s">
        <v>67</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8" hidden="false" customHeight="false" outlineLevel="0" collapsed="false">
      <c r="A719" s="0" t="n">
        <v>54</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8" hidden="false" customHeight="false" outlineLevel="0" collapsed="false">
      <c r="A720" s="0" t="s">
        <v>429</v>
      </c>
      <c r="B720" s="0" t="s">
        <v>85</v>
      </c>
      <c r="C720" s="0" t="s">
        <v>15</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8" hidden="false" customHeight="false" outlineLevel="0" collapsed="false">
      <c r="A721" s="0" t="s">
        <v>60</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8" hidden="false" customHeight="false" outlineLevel="0" collapsed="false">
      <c r="A722" s="0" t="s">
        <v>62</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8" hidden="false" customHeight="false" outlineLevel="0" collapsed="false">
      <c r="A723" s="0" t="s">
        <v>430</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8" hidden="false" customHeight="false" outlineLevel="0" collapsed="false">
      <c r="A724" s="0" t="s">
        <v>300</v>
      </c>
      <c r="B724" s="0" t="s">
        <v>14</v>
      </c>
      <c r="C724" s="0" t="s">
        <v>27</v>
      </c>
      <c r="D724" s="0" t="s">
        <v>20</v>
      </c>
      <c r="E724" s="10" t="s">
        <v>431</v>
      </c>
      <c r="F724" s="11" t="str">
        <f aca="false">IF(OR(E724="",E724="!!!"),"",IF(NOT(ISNA(VLOOKUP(E724,E$1:E723,1,FALSE()))),"OLD",IF(AND(E724&lt;&gt;"",E724&lt;&gt;"!!!"),"NEW","")))</f>
        <v>NEW</v>
      </c>
      <c r="G724" s="12" t="s">
        <v>131</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8" hidden="false" customHeight="false" outlineLevel="0" collapsed="false">
      <c r="A725" s="0" t="s">
        <v>44</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8" hidden="false" customHeight="false" outlineLevel="0" collapsed="false">
      <c r="A726" s="0" t="s">
        <v>45</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8" hidden="false" customHeight="false" outlineLevel="0" collapsed="false">
      <c r="A727" s="0" t="s">
        <v>161</v>
      </c>
      <c r="B727" s="0" t="s">
        <v>47</v>
      </c>
      <c r="C727" s="0" t="s">
        <v>48</v>
      </c>
      <c r="D727" s="0" t="s">
        <v>20</v>
      </c>
      <c r="E727" s="10" t="s">
        <v>420</v>
      </c>
      <c r="F727" s="11" t="str">
        <f aca="false">IF(OR(E727="",E727="!!!"),"",IF(NOT(ISNA(VLOOKUP(E727,E$1:E726,1,FALSE()))),"OLD",IF(AND(E727&lt;&gt;"",E727&lt;&gt;"!!!"),"NEW","")))</f>
        <v>OLD</v>
      </c>
      <c r="G727" s="12" t="s">
        <v>87</v>
      </c>
      <c r="H727" s="13" t="str">
        <f aca="false">IF(J727&lt;&gt;1,"",IF(I727="SBJ","CB","?"))</f>
        <v/>
      </c>
      <c r="I727" s="14" t="str">
        <f aca="false">IF(OR(E727="",E727="!!!",F727="NEW"),"",INDEX(B$2:B726,-1+SUMPRODUCT(MAX(ROW(E$2:E726)*(E727=E$2:E726)))))</f>
        <v>SBJ</v>
      </c>
      <c r="J727" s="15" t="n">
        <f aca="true">IF(OR(E727="",E727="!!!",F727="NEW"),"",COUNTBLANK(OFFSET(A$1,,,SUMPRODUCT(MAX(ROW(E$2:E727)*(E727=E$2:E727)))))-COUNTBLANK(OFFSET(A$1,,,SUMPRODUCT(MAX(ROW(E$1:E726)*(E727=E$1:E726))))))</f>
        <v>0</v>
      </c>
      <c r="K727" s="15" t="n">
        <f aca="false">IF(OR(E727="",E727="!!!",F727="NEW"),"",INDEX(J$1:J726,SUMPRODUCT(MAX(ROW(E$1:E726)*(E727=E$1:E726)))))</f>
        <v>1</v>
      </c>
      <c r="L727" s="16" t="s">
        <v>432</v>
      </c>
    </row>
    <row r="728" customFormat="false" ht="12.8" hidden="false" customHeight="false" outlineLevel="0" collapsed="false">
      <c r="A728" s="0" t="s">
        <v>433</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8" hidden="false" customHeight="false" outlineLevel="0" collapsed="false">
      <c r="A729" s="0" t="s">
        <v>434</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8" hidden="false" customHeight="false" outlineLevel="0" collapsed="false">
      <c r="A730" s="0" t="n">
        <v>85</v>
      </c>
      <c r="B730" s="0" t="s">
        <v>170</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8" hidden="false" customHeight="false" outlineLevel="0" collapsed="false">
      <c r="A731" s="0" t="s">
        <v>76</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8" hidden="false" customHeight="false" outlineLevel="0" collapsed="false">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8" hidden="false" customHeight="false" outlineLevel="0" collapsed="false">
      <c r="A733" s="0" t="s">
        <v>435</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8" hidden="false" customHeight="false" outlineLevel="0" collapsed="false">
      <c r="A734" s="0" t="s">
        <v>177</v>
      </c>
      <c r="B734" s="0" t="s">
        <v>34</v>
      </c>
      <c r="C734" s="0" t="s">
        <v>48</v>
      </c>
      <c r="D734" s="0" t="s">
        <v>20</v>
      </c>
      <c r="E734" s="10" t="s">
        <v>420</v>
      </c>
      <c r="F734" s="11" t="str">
        <f aca="false">IF(OR(E734="",E734="!!!"),"",IF(NOT(ISNA(VLOOKUP(E734,E$1:E733,1,FALSE()))),"OLD",IF(AND(E734&lt;&gt;"",E734&lt;&gt;"!!!"),"NEW","")))</f>
        <v>OLD</v>
      </c>
      <c r="G734" s="12" t="s">
        <v>87</v>
      </c>
      <c r="H734" s="13" t="s">
        <v>7</v>
      </c>
      <c r="I734" s="14" t="str">
        <f aca="false">IF(OR(E734="",E734="!!!",F734="NEW"),"",INDEX(B$2:B733,-1+SUMPRODUCT(MAX(ROW(E$2:E733)*(E734=E$2:E733)))))</f>
        <v>SBJ_2</v>
      </c>
      <c r="J734" s="15" t="n">
        <f aca="true">IF(OR(E734="",E734="!!!",F734="NEW"),"",COUNTBLANK(OFFSET(A$1,,,SUMPRODUCT(MAX(ROW(E$2:E734)*(E734=E$2:E734)))))-COUNTBLANK(OFFSET(A$1,,,SUMPRODUCT(MAX(ROW(E$1:E733)*(E734=E$1:E733))))))</f>
        <v>1</v>
      </c>
      <c r="K734" s="15" t="n">
        <f aca="false">IF(OR(E734="",E734="!!!",F734="NEW"),"",INDEX(J$1:J733,SUMPRODUCT(MAX(ROW(E$1:E733)*(E734=E$1:E733)))))</f>
        <v>0</v>
      </c>
      <c r="L734" s="16"/>
    </row>
    <row r="735" customFormat="false" ht="12.8" hidden="false" customHeight="false" outlineLevel="0" collapsed="false">
      <c r="A735" s="0" t="s">
        <v>436</v>
      </c>
      <c r="E735" s="10" t="s">
        <v>437</v>
      </c>
      <c r="F735" s="11" t="str">
        <f aca="false">IF(OR(E735="",E735="!!!"),"",IF(NOT(ISNA(VLOOKUP(E735,E$1:E734,1,FALSE()))),"OLD",IF(AND(E735&lt;&gt;"",E735&lt;&gt;"!!!"),"NEW","")))</f>
        <v>NEW</v>
      </c>
      <c r="G735" s="12" t="s">
        <v>67</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8" hidden="false" customHeight="false" outlineLevel="0" collapsed="false">
      <c r="A736" s="0" t="s">
        <v>243</v>
      </c>
      <c r="B736" s="0" t="s">
        <v>75</v>
      </c>
      <c r="C736" s="0" t="s">
        <v>244</v>
      </c>
      <c r="D736" s="0" t="s">
        <v>20</v>
      </c>
      <c r="E736" s="10" t="s">
        <v>420</v>
      </c>
      <c r="F736" s="11" t="str">
        <f aca="false">IF(OR(E736="",E736="!!!"),"",IF(NOT(ISNA(VLOOKUP(E736,E$1:E735,1,FALSE()))),"OLD",IF(AND(E736&lt;&gt;"",E736&lt;&gt;"!!!"),"NEW","")))</f>
        <v>OLD</v>
      </c>
      <c r="G736" s="12" t="s">
        <v>87</v>
      </c>
      <c r="H736" s="13" t="str">
        <f aca="false">IF(J736&lt;&gt;1,"",IF(I736="SBJ","CB","?"))</f>
        <v/>
      </c>
      <c r="I736" s="14" t="str">
        <f aca="false">IF(OR(E736="",E736="!!!",F736="NEW"),"",INDEX(B$2:B735,-1+SUMPRODUCT(MAX(ROW(E$2:E735)*(E736=E$2:E735)))))</f>
        <v>SBJ</v>
      </c>
      <c r="J736" s="15" t="n">
        <f aca="true">IF(OR(E736="",E736="!!!",F736="NEW"),"",COUNTBLANK(OFFSET(A$1,,,SUMPRODUCT(MAX(ROW(E$2:E736)*(E736=E$2:E736)))))-COUNTBLANK(OFFSET(A$1,,,SUMPRODUCT(MAX(ROW(E$1:E735)*(E736=E$1:E735))))))</f>
        <v>0</v>
      </c>
      <c r="K736" s="15" t="n">
        <f aca="false">IF(OR(E736="",E736="!!!",F736="NEW"),"",INDEX(J$1:J735,SUMPRODUCT(MAX(ROW(E$1:E735)*(E736=E$1:E735)))))</f>
        <v>1</v>
      </c>
      <c r="L736" s="16"/>
    </row>
    <row r="737" customFormat="false" ht="12.8" hidden="false" customHeight="false" outlineLevel="0" collapsed="false">
      <c r="A737" s="0" t="s">
        <v>438</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8" hidden="false" customHeight="false" outlineLevel="0" collapsed="false">
      <c r="A738" s="0" t="s">
        <v>439</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8" hidden="false" customHeight="false" outlineLevel="0" collapsed="false">
      <c r="A739" s="0" t="s">
        <v>440</v>
      </c>
      <c r="B739" s="0" t="s">
        <v>85</v>
      </c>
      <c r="C739" s="0" t="s">
        <v>246</v>
      </c>
      <c r="D739" s="0" t="s">
        <v>20</v>
      </c>
      <c r="E739" s="10" t="s">
        <v>441</v>
      </c>
      <c r="F739" s="11" t="str">
        <f aca="false">IF(OR(E739="",E739="!!!"),"",IF(NOT(ISNA(VLOOKUP(E739,E$1:E738,1,FALSE()))),"OLD",IF(AND(E739&lt;&gt;"",E739&lt;&gt;"!!!"),"NEW","")))</f>
        <v>NEW</v>
      </c>
      <c r="G739" s="12" t="s">
        <v>131</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8" hidden="false" customHeight="false" outlineLevel="0" collapsed="false">
      <c r="A740" s="0" t="s">
        <v>44</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8" hidden="false" customHeight="false" outlineLevel="0" collapsed="false">
      <c r="A741" s="0" t="s">
        <v>45</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8" hidden="false" customHeight="false" outlineLevel="0" collapsed="false">
      <c r="A742" s="0" t="s">
        <v>161</v>
      </c>
      <c r="B742" s="0" t="s">
        <v>47</v>
      </c>
      <c r="C742" s="0" t="s">
        <v>48</v>
      </c>
      <c r="D742" s="0" t="s">
        <v>20</v>
      </c>
      <c r="E742" s="10" t="s">
        <v>420</v>
      </c>
      <c r="F742" s="11" t="str">
        <f aca="false">IF(OR(E742="",E742="!!!"),"",IF(NOT(ISNA(VLOOKUP(E742,E$1:E741,1,FALSE()))),"OLD",IF(AND(E742&lt;&gt;"",E742&lt;&gt;"!!!"),"NEW","")))</f>
        <v>OLD</v>
      </c>
      <c r="G742" s="12" t="s">
        <v>87</v>
      </c>
      <c r="H742" s="13" t="str">
        <f aca="false">IF(J742&lt;&gt;1,"",IF(I742="SBJ","CB","?"))</f>
        <v/>
      </c>
      <c r="I742" s="14" t="str">
        <f aca="false">IF(OR(E742="",E742="!!!",F742="NEW"),"",INDEX(B$2:B741,-1+SUMPRODUCT(MAX(ROW(E$2:E741)*(E742=E$2:E741)))))</f>
        <v>other_2</v>
      </c>
      <c r="J742" s="15" t="n">
        <f aca="true">IF(OR(E742="",E742="!!!",F742="NEW"),"",COUNTBLANK(OFFSET(A$1,,,SUMPRODUCT(MAX(ROW(E$2:E742)*(E742=E$2:E742)))))-COUNTBLANK(OFFSET(A$1,,,SUMPRODUCT(MAX(ROW(E$1:E741)*(E742=E$1:E741))))))</f>
        <v>0</v>
      </c>
      <c r="K742" s="15" t="n">
        <f aca="false">IF(OR(E742="",E742="!!!",F742="NEW"),"",INDEX(J$1:J741,SUMPRODUCT(MAX(ROW(E$1:E741)*(E742=E$1:E741)))))</f>
        <v>0</v>
      </c>
      <c r="L742" s="16"/>
    </row>
    <row r="743" customFormat="false" ht="12.8" hidden="false" customHeight="false" outlineLevel="0" collapsed="false">
      <c r="A743" s="0" t="s">
        <v>442</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8" hidden="false" customHeight="false" outlineLevel="0" collapsed="false">
      <c r="A744" s="0" t="s">
        <v>443</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8" hidden="false" customHeight="false" outlineLevel="0" collapsed="false">
      <c r="A745" s="0" t="s">
        <v>444</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8" hidden="false" customHeight="false" outlineLevel="0" collapsed="false">
      <c r="A746" s="0" t="s">
        <v>445</v>
      </c>
      <c r="B746" s="0" t="s">
        <v>170</v>
      </c>
      <c r="C746" s="0" t="s">
        <v>31</v>
      </c>
      <c r="E746" s="10" t="s">
        <v>444</v>
      </c>
      <c r="F746" s="11" t="str">
        <f aca="false">IF(OR(E746="",E746="!!!"),"",IF(NOT(ISNA(VLOOKUP(E746,E$1:E745,1,FALSE()))),"OLD",IF(AND(E746&lt;&gt;"",E746&lt;&gt;"!!!"),"NEW","")))</f>
        <v>NEW</v>
      </c>
      <c r="G746" s="12" t="s">
        <v>67</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8" hidden="false" customHeight="false" outlineLevel="0" collapsed="false">
      <c r="A747" s="0" t="s">
        <v>76</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8" hidden="false" customHeight="false" outlineLevel="0" collapsed="false">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8" hidden="false" customHeight="false" outlineLevel="0" collapsed="false">
      <c r="A749" s="0" t="s">
        <v>446</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8" hidden="false" customHeight="false" outlineLevel="0" collapsed="false">
      <c r="A750" s="0" t="s">
        <v>213</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8" hidden="false" customHeight="false" outlineLevel="0" collapsed="false">
      <c r="A751" s="0" t="s">
        <v>103</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8" hidden="false" customHeight="false" outlineLevel="0" collapsed="false">
      <c r="A752" s="0" t="s">
        <v>447</v>
      </c>
      <c r="B752" s="0" t="s">
        <v>34</v>
      </c>
      <c r="C752" s="0" t="s">
        <v>104</v>
      </c>
      <c r="D752" s="0" t="s">
        <v>20</v>
      </c>
      <c r="E752" s="10" t="s">
        <v>448</v>
      </c>
      <c r="F752" s="11" t="s">
        <v>164</v>
      </c>
      <c r="G752" s="12" t="s">
        <v>87</v>
      </c>
      <c r="H752" s="13" t="s">
        <v>7</v>
      </c>
      <c r="I752" s="14" t="e">
        <f aca="false">IF(OR(E752="",E752="!!!",F752="NEW"),"",INDEX(B$2:B751,-1+SUMPRODUCT(MAX(ROW(E$2:E751)*(E752=E$2:E751)))))</f>
        <v>#VALUE!</v>
      </c>
      <c r="J752" s="15" t="e">
        <f aca="true">IF(OR(E752="",E752="!!!",F752="NEW"),"",COUNTBLANK(OFFSET(A$1,,,SUMPRODUCT(MAX(ROW(E$2:E752)*(E752=E$2:E752)))))-COUNTBLANK(OFFSET(A$1,,,SUMPRODUCT(MAX(ROW(E$1:E751)*(E752=E$1:E751))))))</f>
        <v>#VALUE!</v>
      </c>
      <c r="K752" s="15" t="e">
        <f aca="false">IF(OR(E752="",E752="!!!",F752="NEW"),"",INDEX(J$1:J751,SUMPRODUCT(MAX(ROW(E$1:E751)*(E752=E$1:E751)))))</f>
        <v>#VALUE!</v>
      </c>
      <c r="L752" s="16"/>
    </row>
    <row r="753" customFormat="false" ht="12.8" hidden="false" customHeight="false" outlineLevel="0" collapsed="false">
      <c r="A753" s="0" t="s">
        <v>449</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8" hidden="false" customHeight="false" outlineLevel="0" collapsed="false">
      <c r="A754" s="0" t="s">
        <v>179</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8" hidden="false" customHeight="false" outlineLevel="0" collapsed="false">
      <c r="A755" s="0" t="s">
        <v>159</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8" hidden="false" customHeight="false" outlineLevel="0" collapsed="false">
      <c r="A756" s="0" t="s">
        <v>450</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8" hidden="false" customHeight="false" outlineLevel="0" collapsed="false">
      <c r="A757" s="0" t="s">
        <v>451</v>
      </c>
      <c r="B757" s="0" t="s">
        <v>85</v>
      </c>
      <c r="C757" s="0" t="s">
        <v>181</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8" hidden="false" customHeight="false" outlineLevel="0" collapsed="false">
      <c r="A758" s="0" t="s">
        <v>44</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8" hidden="false" customHeight="false" outlineLevel="0" collapsed="false">
      <c r="A759" s="0" t="s">
        <v>45</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8" hidden="false" customHeight="false" outlineLevel="0" collapsed="false">
      <c r="A760" s="0" t="s">
        <v>202</v>
      </c>
      <c r="B760" s="0" t="s">
        <v>47</v>
      </c>
      <c r="C760" s="0" t="s">
        <v>48</v>
      </c>
      <c r="D760" s="0" t="s">
        <v>20</v>
      </c>
      <c r="E760" s="10" t="s">
        <v>447</v>
      </c>
      <c r="F760" s="11" t="s">
        <v>105</v>
      </c>
      <c r="G760" s="12" t="s">
        <v>87</v>
      </c>
      <c r="H760" s="13"/>
      <c r="I760" s="14" t="e">
        <f aca="false">IF(OR(E760="",E760="!!!",F760="NEW"),"",INDEX(B$2:B759,-1+SUMPRODUCT(MAX(ROW(E$2:E759)*(E760=E$2:E759)))))</f>
        <v>#VALUE!</v>
      </c>
      <c r="J760" s="15" t="e">
        <f aca="true">IF(OR(E760="",E760="!!!",F760="NEW"),"",COUNTBLANK(OFFSET(A$1,,,SUMPRODUCT(MAX(ROW(E$2:E760)*(E760=E$2:E760)))))-COUNTBLANK(OFFSET(A$1,,,SUMPRODUCT(MAX(ROW(E$1:E759)*(E760=E$1:E759))))))</f>
        <v>#VALUE!</v>
      </c>
      <c r="K760" s="15" t="e">
        <f aca="false">IF(OR(E760="",E760="!!!",F760="NEW"),"",INDEX(J$1:J759,SUMPRODUCT(MAX(ROW(E$1:E759)*(E760=E$1:E759)))))</f>
        <v>#VALUE!</v>
      </c>
      <c r="L760" s="16"/>
    </row>
    <row r="761" customFormat="false" ht="12.8" hidden="false" customHeight="false" outlineLevel="0" collapsed="false">
      <c r="A761" s="0" t="s">
        <v>452</v>
      </c>
      <c r="E761" s="10" t="str">
        <f aca="false">IF(D761="?OLD","!!!","")</f>
        <v/>
      </c>
      <c r="F761" s="11" t="str">
        <f aca="false">IF(OR(E761="",E761="!!!"),"",IF(NOT(ISNA(VLOOKUP(E761,E$1:E760,1,FALSE()))),"OLD",IF(AND(E761&lt;&gt;"",E761&lt;&gt;"!!!"),"NEW","")))</f>
        <v/>
      </c>
      <c r="G761" s="12" t="str">
        <f aca="false">IF(OR(E761="",E761="!!!"),"",IF(OR(J761=0,AND(J761=1,K761=1),AND(J761=1,I761="SBJ"),AND(J761=1,I761=0)),"?IN_FOCUS",IF(J761&lt;=2,"?ACTIVATED",IF(J761&lt;&gt;"","?FAMILIAR",IF(F761="NEW",IF(ISNA(VLOOKUP(E761,#REF!,1,FALSE())),"?TYPE_IDENTIFIABLE","?REFERENTIAL"),"_")))))</f>
        <v/>
      </c>
      <c r="H761" s="13" t="str">
        <f aca="false">IF(J761&lt;&gt;1,"",IF(I761="SBJ","CB","?"))</f>
        <v/>
      </c>
      <c r="I761" s="14" t="str">
        <f aca="false">IF(OR(E761="",E761="!!!",F761="NEW"),"",INDEX(B$2:B760,-1+SUMPRODUCT(MAX(ROW(E$2:E760)*(E761=E$2:E760)))))</f>
        <v/>
      </c>
      <c r="J761" s="15" t="str">
        <f aca="true">IF(OR(E761="",E761="!!!",F761="NEW"),"",COUNTBLANK(OFFSET(A$1,,,SUMPRODUCT(MAX(ROW(E$2:E761)*(E761=E$2:E761)))))-COUNTBLANK(OFFSET(A$1,,,SUMPRODUCT(MAX(ROW(E$1:E760)*(E761=E$1:E760))))))</f>
        <v/>
      </c>
      <c r="K761" s="15" t="str">
        <f aca="false">IF(OR(E761="",E761="!!!",F761="NEW"),"",INDEX(J$1:J760,SUMPRODUCT(MAX(ROW(E$1:E760)*(E761=E$1:E760)))))</f>
        <v/>
      </c>
      <c r="L761" s="16"/>
    </row>
    <row r="762" customFormat="false" ht="12.8" hidden="false" customHeight="false" outlineLevel="0" collapsed="false">
      <c r="A762" s="0" t="s">
        <v>243</v>
      </c>
      <c r="B762" s="0" t="s">
        <v>96</v>
      </c>
      <c r="C762" s="0" t="s">
        <v>244</v>
      </c>
      <c r="D762" s="0" t="s">
        <v>20</v>
      </c>
      <c r="E762" s="10" t="s">
        <v>420</v>
      </c>
      <c r="F762" s="11" t="str">
        <f aca="false">IF(OR(E762="",E762="!!!"),"",IF(NOT(ISNA(VLOOKUP(E762,E$1:E761,1,FALSE()))),"OLD",IF(AND(E762&lt;&gt;"",E762&lt;&gt;"!!!"),"NEW","")))</f>
        <v>OLD</v>
      </c>
      <c r="G762" s="12" t="s">
        <v>80</v>
      </c>
      <c r="H762" s="13"/>
      <c r="I762" s="14" t="str">
        <f aca="false">IF(OR(E762="",E762="!!!",F762="NEW"),"",INDEX(B$2:B761,-1+SUMPRODUCT(MAX(ROW(E$2:E761)*(E762=E$2:E761)))))</f>
        <v>SBJ_2</v>
      </c>
      <c r="J762" s="15" t="n">
        <f aca="true">IF(OR(E762="",E762="!!!",F762="NEW"),"",COUNTBLANK(OFFSET(A$1,,,SUMPRODUCT(MAX(ROW(E$2:E762)*(E762=E$2:E762)))))-COUNTBLANK(OFFSET(A$1,,,SUMPRODUCT(MAX(ROW(E$1:E761)*(E762=E$1:E761))))))</f>
        <v>1</v>
      </c>
      <c r="K762" s="15" t="n">
        <f aca="false">IF(OR(E762="",E762="!!!",F762="NEW"),"",INDEX(J$1:J761,SUMPRODUCT(MAX(ROW(E$1:E761)*(E762=E$1:E761)))))</f>
        <v>0</v>
      </c>
      <c r="L762" s="16"/>
    </row>
    <row r="763" customFormat="false" ht="12.8" hidden="false" customHeight="false" outlineLevel="0" collapsed="false">
      <c r="A763" s="0" t="s">
        <v>453</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8" hidden="false" customHeight="false" outlineLevel="0" collapsed="false">
      <c r="A764" s="0" t="s">
        <v>454</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8" hidden="false" customHeight="false" outlineLevel="0" collapsed="false">
      <c r="A765" s="0" t="s">
        <v>455</v>
      </c>
      <c r="B765" s="0" t="s">
        <v>170</v>
      </c>
      <c r="C765" s="0" t="s">
        <v>246</v>
      </c>
      <c r="D765" s="0" t="s">
        <v>20</v>
      </c>
      <c r="E765" s="10" t="s">
        <v>455</v>
      </c>
      <c r="F765" s="11" t="str">
        <f aca="false">IF(OR(E765="",E765="!!!"),"",IF(NOT(ISNA(VLOOKUP(E765,E$1:E764,1,FALSE()))),"OLD",IF(AND(E765&lt;&gt;"",E765&lt;&gt;"!!!"),"NEW","")))</f>
        <v>NEW</v>
      </c>
      <c r="G765" s="12" t="s">
        <v>131</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8" hidden="false" customHeight="false" outlineLevel="0" collapsed="false">
      <c r="A766" s="0" t="s">
        <v>44</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8" hidden="false" customHeight="false" outlineLevel="0" collapsed="false">
      <c r="A767" s="0" t="s">
        <v>45</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8" hidden="false" customHeight="false" outlineLevel="0" collapsed="false">
      <c r="A768" s="0" t="s">
        <v>202</v>
      </c>
      <c r="B768" s="0" t="s">
        <v>47</v>
      </c>
      <c r="C768" s="0" t="s">
        <v>48</v>
      </c>
      <c r="D768" s="0" t="s">
        <v>20</v>
      </c>
      <c r="E768" s="10" t="s">
        <v>447</v>
      </c>
      <c r="F768" s="11" t="str">
        <f aca="false">IF(OR(E768="",E768="!!!"),"",IF(NOT(ISNA(VLOOKUP(E768,E$1:E767,1,FALSE()))),"OLD",IF(AND(E768&lt;&gt;"",E768&lt;&gt;"!!!"),"NEW","")))</f>
        <v>OLD</v>
      </c>
      <c r="G768" s="12" t="s">
        <v>87</v>
      </c>
      <c r="H768" s="13" t="str">
        <f aca="false">IF(J768&lt;&gt;1,"",IF(I768="SBJ","CB","?"))</f>
        <v/>
      </c>
      <c r="I768" s="14" t="str">
        <f aca="false">IF(OR(E768="",E768="!!!",F768="NEW"),"",INDEX(B$2:B767,-1+SUMPRODUCT(MAX(ROW(E$2:E767)*(E768=E$2:E767)))))</f>
        <v>SBJ_2</v>
      </c>
      <c r="J768" s="15" t="n">
        <f aca="true">IF(OR(E768="",E768="!!!",F768="NEW"),"",COUNTBLANK(OFFSET(A$1,,,SUMPRODUCT(MAX(ROW(E$2:E768)*(E768=E$2:E768)))))-COUNTBLANK(OFFSET(A$1,,,SUMPRODUCT(MAX(ROW(E$1:E767)*(E768=E$1:E767))))))</f>
        <v>0</v>
      </c>
      <c r="K768" s="15" t="e">
        <f aca="false">IF(OR(E768="",E768="!!!",F768="NEW"),"",INDEX(J$1:J767,SUMPRODUCT(MAX(ROW(E$1:E767)*(E768=E$1:E767)))))</f>
        <v>#VALUE!</v>
      </c>
      <c r="L768" s="16"/>
    </row>
    <row r="769" customFormat="false" ht="12.8" hidden="false" customHeight="false" outlineLevel="0" collapsed="false">
      <c r="A769" s="0" t="s">
        <v>456</v>
      </c>
      <c r="E769" s="10" t="str">
        <f aca="false">IF(D769="?OLD","!!!","")</f>
        <v/>
      </c>
      <c r="F769" s="11" t="str">
        <f aca="false">IF(OR(E769="",E769="!!!"),"",IF(NOT(ISNA(VLOOKUP(E769,E$1:E768,1,FALSE()))),"OLD",IF(AND(E769&lt;&gt;"",E769&lt;&gt;"!!!"),"NEW","")))</f>
        <v/>
      </c>
      <c r="G769" s="12" t="str">
        <f aca="false">IF(OR(E769="",E769="!!!"),"",IF(OR(J769=0,AND(J769=1,K769=1),AND(J769=1,I769="SBJ"),AND(J769=1,I769=0)),"?IN_FOCUS",IF(J769&lt;=2,"?ACTIVATED",IF(J769&lt;&gt;"","?FAMILIAR",IF(F769="NEW",IF(ISNA(VLOOKUP(E769,#REF!,1,FALSE())),"?TYPE_IDENTIFIABLE","?REFERENTIAL"),"_")))))</f>
        <v/>
      </c>
      <c r="H769" s="13" t="str">
        <f aca="false">IF(J769&lt;&gt;1,"",IF(I769="SBJ","CB","?"))</f>
        <v/>
      </c>
      <c r="I769" s="14" t="str">
        <f aca="false">IF(OR(E769="",E769="!!!",F769="NEW"),"",INDEX(B$2:B768,-1+SUMPRODUCT(MAX(ROW(E$2:E768)*(E769=E$2:E768)))))</f>
        <v/>
      </c>
      <c r="J769" s="15" t="str">
        <f aca="true">IF(OR(E769="",E769="!!!",F769="NEW"),"",COUNTBLANK(OFFSET(A$1,,,SUMPRODUCT(MAX(ROW(E$2:E769)*(E769=E$2:E769)))))-COUNTBLANK(OFFSET(A$1,,,SUMPRODUCT(MAX(ROW(E$1:E768)*(E769=E$1:E768))))))</f>
        <v/>
      </c>
      <c r="K769" s="15" t="str">
        <f aca="false">IF(OR(E769="",E769="!!!",F769="NEW"),"",INDEX(J$1:J768,SUMPRODUCT(MAX(ROW(E$1:E768)*(E769=E$1:E768)))))</f>
        <v/>
      </c>
      <c r="L769" s="16"/>
    </row>
    <row r="770" customFormat="false" ht="12.8" hidden="false" customHeight="false" outlineLevel="0" collapsed="false">
      <c r="A770" s="0" t="s">
        <v>457</v>
      </c>
      <c r="B770" s="0" t="s">
        <v>170</v>
      </c>
      <c r="C770" s="0" t="s">
        <v>31</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8" hidden="false" customHeight="false" outlineLevel="0" collapsed="false">
      <c r="A771" s="0" t="s">
        <v>61</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8" hidden="false" customHeight="false" outlineLevel="0" collapsed="false">
      <c r="A772" s="0" t="n">
        <v>23</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8" hidden="false" customHeight="false" outlineLevel="0" collapsed="false">
      <c r="A773" s="0" t="s">
        <v>458</v>
      </c>
      <c r="E773" s="10" t="str">
        <f aca="false">IF(D773="?OLD","!!!","")</f>
        <v/>
      </c>
      <c r="F773" s="11" t="str">
        <f aca="false">IF(OR(E773="",E773="!!!"),"",IF(NOT(ISNA(VLOOKUP(E773,E$1:E772,1,FALSE()))),"OLD",IF(AND(E773&lt;&gt;"",E773&lt;&gt;"!!!"),"NEW","")))</f>
        <v/>
      </c>
      <c r="G773" s="12" t="str">
        <f aca="false">IF(OR(E773="",E773="!!!"),"",IF(OR(J773=0,AND(J773=1,K773=1),AND(J773=1,I773="SBJ"),AND(J773=1,I773=0)),"?IN_FOCUS",IF(J773&lt;=2,"?ACTIVATED",IF(J773&lt;&gt;"","?FAMILIAR",IF(F773="NEW",IF(ISNA(VLOOKUP(E773,#REF!,1,FALSE())),"?TYPE_IDENTIFIABLE","?REFERENTIAL"),"_")))))</f>
        <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8" hidden="false" customHeight="false" outlineLevel="0" collapsed="false">
      <c r="A774" s="0" t="s">
        <v>459</v>
      </c>
      <c r="B774" s="0" t="s">
        <v>96</v>
      </c>
      <c r="C774" s="0" t="s">
        <v>15</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8" hidden="false" customHeight="false" outlineLevel="0" collapsed="false">
      <c r="A775" s="0" t="s">
        <v>39</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8" hidden="false" customHeight="false" outlineLevel="0" collapsed="false">
      <c r="A776" s="0" t="s">
        <v>438</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8" hidden="false" customHeight="false" outlineLevel="0" collapsed="false">
      <c r="A777" s="0" t="s">
        <v>460</v>
      </c>
      <c r="B777" s="0" t="s">
        <v>65</v>
      </c>
      <c r="C777" s="0" t="s">
        <v>31</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8" hidden="false" customHeight="false" outlineLevel="0" collapsed="false">
      <c r="A778" s="0" t="s">
        <v>461</v>
      </c>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8" hidden="false" customHeight="false" outlineLevel="0" collapsed="false">
      <c r="A779" s="0" t="s">
        <v>44</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8" hidden="false" customHeight="false" outlineLevel="0" collapsed="false">
      <c r="A780" s="0" t="s">
        <v>45</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8" hidden="false" customHeight="false" outlineLevel="0" collapsed="false">
      <c r="A781" s="0" t="s">
        <v>462</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8" hidden="false" customHeight="false" outlineLevel="0" collapsed="false">
      <c r="A782" s="0" t="s">
        <v>62</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8" hidden="false" customHeight="false" outlineLevel="0" collapsed="false">
      <c r="A783" s="0" t="s">
        <v>205</v>
      </c>
      <c r="B783" s="0" t="s">
        <v>170</v>
      </c>
      <c r="C783" s="0" t="s">
        <v>27</v>
      </c>
      <c r="D783" s="0" t="s">
        <v>20</v>
      </c>
      <c r="E783" s="10" t="s">
        <v>463</v>
      </c>
      <c r="F783" s="11" t="str">
        <f aca="false">IF(OR(E783="",E783="!!!"),"",IF(NOT(ISNA(VLOOKUP(E783,E$1:E782,1,FALSE()))),"OLD",IF(AND(E783&lt;&gt;"",E783&lt;&gt;"!!!"),"NEW","")))</f>
        <v>NEW</v>
      </c>
      <c r="G783" s="12" t="s">
        <v>131</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8" hidden="false" customHeight="false" outlineLevel="0" collapsed="false">
      <c r="A784" s="0" t="s">
        <v>61</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8" hidden="false" customHeight="false" outlineLevel="0" collapsed="false">
      <c r="A785" s="0" t="s">
        <v>179</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8" hidden="false" customHeight="false" outlineLevel="0" collapsed="false">
      <c r="A786" s="0" t="n">
        <v>100000</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8" hidden="false" customHeight="false" outlineLevel="0" collapsed="false">
      <c r="A787" s="0" t="s">
        <v>464</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8" hidden="false" customHeight="false" outlineLevel="0" collapsed="false">
      <c r="A788" s="0" t="s">
        <v>465</v>
      </c>
      <c r="B788" s="0" t="s">
        <v>96</v>
      </c>
      <c r="C788" s="0" t="s">
        <v>181</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8" hidden="false" customHeight="false" outlineLevel="0" collapsed="false">
      <c r="A789" s="0" t="s">
        <v>61</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8" hidden="false" customHeight="false" outlineLevel="0" collapsed="false">
      <c r="A790" s="0" t="s">
        <v>466</v>
      </c>
      <c r="B790" s="0" t="s">
        <v>65</v>
      </c>
      <c r="C790" s="0" t="s">
        <v>31</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8" hidden="false" customHeight="false" outlineLevel="0" collapsed="false">
      <c r="A791" s="0" t="s">
        <v>76</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8" hidden="false" customHeight="false" outlineLevel="0" collapsed="false">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8" hidden="false" customHeight="false" outlineLevel="0" collapsed="false">
      <c r="A793" s="0" t="s">
        <v>467</v>
      </c>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8" hidden="false" customHeight="false" outlineLevel="0" collapsed="false">
      <c r="A794" s="0" t="s">
        <v>468</v>
      </c>
      <c r="B794" s="0" t="s">
        <v>34</v>
      </c>
      <c r="C794" s="0" t="s">
        <v>215</v>
      </c>
      <c r="D794" s="0" t="s">
        <v>20</v>
      </c>
      <c r="E794" s="10" t="s">
        <v>463</v>
      </c>
      <c r="F794" s="11" t="str">
        <f aca="false">IF(OR(E794="",E794="!!!"),"",IF(NOT(ISNA(VLOOKUP(E794,E$1:E793,1,FALSE()))),"OLD",IF(AND(E794&lt;&gt;"",E794&lt;&gt;"!!!"),"NEW","")))</f>
        <v>OLD</v>
      </c>
      <c r="G794" s="12" t="s">
        <v>80</v>
      </c>
      <c r="H794" s="13" t="s">
        <v>7</v>
      </c>
      <c r="I794" s="14" t="str">
        <f aca="false">IF(OR(E794="",E794="!!!",F794="NEW"),"",INDEX(B$2:B793,-1+SUMPRODUCT(MAX(ROW(E$2:E793)*(E794=E$2:E793)))))</f>
        <v>OBJ_2</v>
      </c>
      <c r="J794" s="15" t="n">
        <f aca="true">IF(OR(E794="",E794="!!!",F794="NEW"),"",COUNTBLANK(OFFSET(A$1,,,SUMPRODUCT(MAX(ROW(E$2:E794)*(E794=E$2:E794)))))-COUNTBLANK(OFFSET(A$1,,,SUMPRODUCT(MAX(ROW(E$1:E793)*(E794=E$1:E793))))))</f>
        <v>1</v>
      </c>
      <c r="K794" s="15" t="str">
        <f aca="false">IF(OR(E794="",E794="!!!",F794="NEW"),"",INDEX(J$1:J793,SUMPRODUCT(MAX(ROW(E$1:E793)*(E794=E$1:E793)))))</f>
        <v/>
      </c>
      <c r="L794" s="16"/>
    </row>
    <row r="795" customFormat="false" ht="12.8" hidden="false" customHeight="false" outlineLevel="0" collapsed="false">
      <c r="A795" s="0" t="s">
        <v>100</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8" hidden="false" customHeight="false" outlineLevel="0" collapsed="false">
      <c r="A796" s="0" t="s">
        <v>62</v>
      </c>
      <c r="E796" s="10" t="str">
        <f aca="false">IF(D796="?OLD","!!!","")</f>
        <v/>
      </c>
      <c r="F796" s="11" t="str">
        <f aca="false">IF(OR(E796="",E796="!!!"),"",IF(NOT(ISNA(VLOOKUP(E796,E$1:E795,1,FALSE()))),"OLD",IF(AND(E796&lt;&gt;"",E796&lt;&gt;"!!!"),"NEW","")))</f>
        <v/>
      </c>
      <c r="G796" s="12" t="str">
        <f aca="false">IF(OR(E796="",E796="!!!"),"",IF(OR(J796=0,AND(J796=1,K796=1),AND(J796=1,I796="SBJ"),AND(J796=1,I796=0)),"?IN_FOCUS",IF(J796&lt;=2,"?ACTIVATED",IF(J796&lt;&gt;"","?FAMILIAR",IF(F796="NEW",IF(ISNA(VLOOKUP(E796,#REF!,1,FALSE())),"?TYPE_IDENTIFIABLE","?REFERENTIAL"),"_")))))</f>
        <v/>
      </c>
      <c r="H796" s="13" t="str">
        <f aca="false">IF(J796&lt;&gt;1,"",IF(I796="SBJ","CB","?"))</f>
        <v/>
      </c>
      <c r="I796" s="14" t="str">
        <f aca="false">IF(OR(E796="",E796="!!!",F796="NEW"),"",INDEX(B$2:B795,-1+SUMPRODUCT(MAX(ROW(E$2:E795)*(E796=E$2:E795)))))</f>
        <v/>
      </c>
      <c r="J796" s="15" t="str">
        <f aca="true">IF(OR(E796="",E796="!!!",F796="NEW"),"",COUNTBLANK(OFFSET(A$1,,,SUMPRODUCT(MAX(ROW(E$2:E796)*(E796=E$2:E796)))))-COUNTBLANK(OFFSET(A$1,,,SUMPRODUCT(MAX(ROW(E$1:E795)*(E796=E$1:E795))))))</f>
        <v/>
      </c>
      <c r="K796" s="15" t="str">
        <f aca="false">IF(OR(E796="",E796="!!!",F796="NEW"),"",INDEX(J$1:J795,SUMPRODUCT(MAX(ROW(E$1:E795)*(E796=E$1:E795)))))</f>
        <v/>
      </c>
      <c r="L796" s="16"/>
    </row>
    <row r="797" customFormat="false" ht="12.8" hidden="false" customHeight="false" outlineLevel="0" collapsed="false">
      <c r="A797" s="0" t="s">
        <v>469</v>
      </c>
      <c r="B797" s="0" t="s">
        <v>14</v>
      </c>
      <c r="C797" s="0" t="s">
        <v>27</v>
      </c>
      <c r="D797" s="0" t="s">
        <v>20</v>
      </c>
      <c r="E797" s="10"/>
      <c r="F797" s="11" t="s">
        <v>86</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8" hidden="false" customHeight="false" outlineLevel="0" collapsed="false">
      <c r="A798" s="0" t="s">
        <v>61</v>
      </c>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8" hidden="false" customHeight="false" outlineLevel="0" collapsed="false">
      <c r="A799" s="0" t="s">
        <v>470</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8" hidden="false" customHeight="false" outlineLevel="0" collapsed="false">
      <c r="A800" s="0" t="n">
        <v>21000</v>
      </c>
      <c r="E800" s="10" t="str">
        <f aca="false">IF(D800="?OLD","!!!","")</f>
        <v/>
      </c>
      <c r="F800" s="11" t="str">
        <f aca="false">IF(OR(E800="",E800="!!!"),"",IF(NOT(ISNA(VLOOKUP(E800,E$1:E799,1,FALSE()))),"OLD",IF(AND(E800&lt;&gt;"",E800&lt;&gt;"!!!"),"NEW","")))</f>
        <v/>
      </c>
      <c r="G800" s="12" t="str">
        <f aca="false">IF(OR(E800="",E800="!!!"),"",IF(OR(J800=0,AND(J800=1,K800=1),AND(J800=1,I800="SBJ"),AND(J800=1,I800=0)),"?IN_FOCUS",IF(J800&lt;=2,"?ACTIVATED",IF(J800&lt;&gt;"","?FAMILIAR",IF(F800="NEW",IF(ISNA(VLOOKUP(E800,#REF!,1,FALSE())),"?TYPE_IDENTIFIABLE","?REFERENTIAL"),"_")))))</f>
        <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8" hidden="false" customHeight="false" outlineLevel="0" collapsed="false">
      <c r="A801" s="0" t="s">
        <v>471</v>
      </c>
      <c r="B801" s="0" t="s">
        <v>170</v>
      </c>
      <c r="C801" s="0" t="s">
        <v>15</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8" hidden="false" customHeight="false" outlineLevel="0" collapsed="false">
      <c r="A802" s="0" t="s">
        <v>236</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8" hidden="false" customHeight="false" outlineLevel="0" collapsed="false">
      <c r="A803" s="0" t="s">
        <v>62</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8" hidden="false" customHeight="false" outlineLevel="0" collapsed="false">
      <c r="A804" s="0" t="s">
        <v>472</v>
      </c>
      <c r="B804" s="0" t="s">
        <v>75</v>
      </c>
      <c r="C804" s="0" t="s">
        <v>27</v>
      </c>
      <c r="D804" s="0" t="s">
        <v>20</v>
      </c>
      <c r="E804" s="10"/>
      <c r="F804" s="11" t="s">
        <v>247</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8" hidden="false" customHeight="false" outlineLevel="0" collapsed="false">
      <c r="A805" s="0" t="s">
        <v>76</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8" hidden="false" customHeight="false" outlineLevel="0" collapsed="false">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8" hidden="false" customHeight="false" outlineLevel="0" collapsed="false">
      <c r="A807" s="0" t="s">
        <v>473</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8" hidden="false" customHeight="false" outlineLevel="0" collapsed="false">
      <c r="A808" s="0" t="s">
        <v>363</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8" hidden="false" customHeight="false" outlineLevel="0" collapsed="false">
      <c r="A809" s="0" t="s">
        <v>474</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8" hidden="false" customHeight="false" outlineLevel="0" collapsed="false">
      <c r="A810" s="0" t="s">
        <v>44</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8" hidden="false" customHeight="false" outlineLevel="0" collapsed="false">
      <c r="A811" s="0" t="s">
        <v>475</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8" hidden="false" customHeight="false" outlineLevel="0" collapsed="false">
      <c r="A812" s="0" t="s">
        <v>370</v>
      </c>
      <c r="E812" s="10" t="str">
        <f aca="false">IF(D812="?OLD","!!!","")</f>
        <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8" hidden="false" customHeight="false" outlineLevel="0" collapsed="false">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8" hidden="false" customHeight="false" outlineLevel="0" collapsed="false">
      <c r="A814" s="0" t="s">
        <v>476</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8" hidden="false" customHeight="false" outlineLevel="0" collapsed="false">
      <c r="A815" s="0" t="s">
        <v>477</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8" hidden="false" customHeight="false" outlineLevel="0" collapsed="false">
      <c r="A816" s="0" t="s">
        <v>416</v>
      </c>
      <c r="B816" s="0" t="s">
        <v>34</v>
      </c>
      <c r="C816" s="0" t="s">
        <v>181</v>
      </c>
      <c r="E816" s="10" t="s">
        <v>478</v>
      </c>
      <c r="F816" s="11" t="s">
        <v>123</v>
      </c>
      <c r="G816" s="12" t="s">
        <v>67</v>
      </c>
      <c r="H816" s="13"/>
      <c r="I816" s="14" t="e">
        <f aca="false">IF(OR(E816="",E816="!!!",F816="NEW"),"",INDEX(B$2:B815,-1+SUMPRODUCT(MAX(ROW(E$2:E815)*(E816=E$2:E815)))))</f>
        <v>#VALUE!</v>
      </c>
      <c r="J816" s="15" t="e">
        <f aca="true">IF(OR(E816="",E816="!!!",F816="NEW"),"",COUNTBLANK(OFFSET(A$1,,,SUMPRODUCT(MAX(ROW(E$2:E816)*(E816=E$2:E816)))))-COUNTBLANK(OFFSET(A$1,,,SUMPRODUCT(MAX(ROW(E$1:E815)*(E816=E$1:E815))))))</f>
        <v>#VALUE!</v>
      </c>
      <c r="K816" s="15" t="e">
        <f aca="false">IF(OR(E816="",E816="!!!",F816="NEW"),"",INDEX(J$1:J815,SUMPRODUCT(MAX(ROW(E$1:E815)*(E816=E$1:E815)))))</f>
        <v>#VALUE!</v>
      </c>
      <c r="L816" s="16"/>
    </row>
    <row r="817" customFormat="false" ht="12.8" hidden="false" customHeight="false" outlineLevel="0" collapsed="false">
      <c r="A817" s="0" t="s">
        <v>37</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8" hidden="false" customHeight="false" outlineLevel="0" collapsed="false">
      <c r="A818" s="0" t="s">
        <v>479</v>
      </c>
      <c r="B818" s="0" t="s">
        <v>14</v>
      </c>
      <c r="C818" s="0" t="s">
        <v>19</v>
      </c>
      <c r="D818" s="0" t="s">
        <v>20</v>
      </c>
      <c r="E818" s="10" t="s">
        <v>480</v>
      </c>
      <c r="F818" s="11" t="str">
        <f aca="false">IF(OR(E818="",E818="!!!"),"",IF(NOT(ISNA(VLOOKUP(E818,E$1:E817,1,FALSE()))),"OLD",IF(AND(E818&lt;&gt;"",E818&lt;&gt;"!!!"),"NEW","")))</f>
        <v>NEW</v>
      </c>
      <c r="G818" s="12" t="s">
        <v>67</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8" hidden="false" customHeight="false" outlineLevel="0" collapsed="false">
      <c r="A819" s="0" t="s">
        <v>76</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8" hidden="false" customHeight="false" outlineLevel="0" collapsed="false">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8" hidden="false" customHeight="false" outlineLevel="0" collapsed="false">
      <c r="A821" s="0" t="s">
        <v>481</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8" hidden="false" customHeight="false" outlineLevel="0" collapsed="false">
      <c r="A822" s="0" t="s">
        <v>479</v>
      </c>
      <c r="B822" s="0" t="s">
        <v>34</v>
      </c>
      <c r="C822" s="0" t="s">
        <v>19</v>
      </c>
      <c r="D822" s="0" t="s">
        <v>20</v>
      </c>
      <c r="E822" s="10" t="s">
        <v>480</v>
      </c>
      <c r="F822" s="11" t="str">
        <f aca="false">IF(OR(E822="",E822="!!!"),"",IF(NOT(ISNA(VLOOKUP(E822,E$1:E821,1,FALSE()))),"OLD",IF(AND(E822&lt;&gt;"",E822&lt;&gt;"!!!"),"NEW","")))</f>
        <v>OLD</v>
      </c>
      <c r="G822" s="12" t="s">
        <v>87</v>
      </c>
      <c r="H822" s="13" t="s">
        <v>7</v>
      </c>
      <c r="I822" s="14" t="str">
        <f aca="false">IF(OR(E822="",E822="!!!",F822="NEW"),"",INDEX(B$2:B821,-1+SUMPRODUCT(MAX(ROW(E$2:E821)*(E822=E$2:E821)))))</f>
        <v>other</v>
      </c>
      <c r="J822" s="15" t="n">
        <f aca="true">IF(OR(E822="",E822="!!!",F822="NEW"),"",COUNTBLANK(OFFSET(A$1,,,SUMPRODUCT(MAX(ROW(E$2:E822)*(E822=E$2:E822)))))-COUNTBLANK(OFFSET(A$1,,,SUMPRODUCT(MAX(ROW(E$1:E821)*(E822=E$1:E821))))))</f>
        <v>1</v>
      </c>
      <c r="K822" s="15" t="str">
        <f aca="false">IF(OR(E822="",E822="!!!",F822="NEW"),"",INDEX(J$1:J821,SUMPRODUCT(MAX(ROW(E$1:E821)*(E822=E$1:E821)))))</f>
        <v/>
      </c>
      <c r="L822" s="16"/>
    </row>
    <row r="823" customFormat="false" ht="12.8" hidden="false" customHeight="false" outlineLevel="0" collapsed="false">
      <c r="A823" s="0" t="s">
        <v>37</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8" hidden="false" customHeight="false" outlineLevel="0" collapsed="false">
      <c r="A824" s="0" t="s">
        <v>179</v>
      </c>
      <c r="E824" s="10" t="str">
        <f aca="false">IF(D824="?OLD","!!!","")</f>
        <v/>
      </c>
      <c r="F824" s="11" t="str">
        <f aca="false">IF(OR(E824="",E824="!!!"),"",IF(NOT(ISNA(VLOOKUP(E824,E$1:E823,1,FALSE()))),"OLD",IF(AND(E824&lt;&gt;"",E824&lt;&gt;"!!!"),"NEW","")))</f>
        <v/>
      </c>
      <c r="G824" s="12" t="str">
        <f aca="false">IF(OR(E824="",E824="!!!"),"",IF(OR(J824=0,AND(J824=1,K824=1),AND(J824=1,I824="SBJ"),AND(J824=1,I824=0)),"?IN_FOCUS",IF(J824&lt;=2,"?ACTIVATED",IF(J824&lt;&gt;"","?FAMILIAR",IF(F824="NEW",IF(ISNA(VLOOKUP(E824,#REF!,1,FALSE())),"?TYPE_IDENTIFIABLE","?REFERENTIAL"),"_")))))</f>
        <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8" hidden="false" customHeight="false" outlineLevel="0" collapsed="false">
      <c r="A825" s="0" t="s">
        <v>482</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8" hidden="false" customHeight="false" outlineLevel="0" collapsed="false">
      <c r="A826" s="0" t="s">
        <v>483</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8" hidden="false" customHeight="false" outlineLevel="0" collapsed="false">
      <c r="A827" s="0" t="s">
        <v>484</v>
      </c>
      <c r="B827" s="0" t="s">
        <v>14</v>
      </c>
      <c r="C827" s="0" t="s">
        <v>181</v>
      </c>
      <c r="E827" s="10" t="str">
        <f aca="false">IF(D827="?OLD","!!!","")</f>
        <v/>
      </c>
      <c r="F827" s="11" t="s">
        <v>86</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8" hidden="false" customHeight="false" outlineLevel="0" collapsed="false">
      <c r="A828" s="0" t="s">
        <v>44</v>
      </c>
      <c r="E828" s="10" t="str">
        <f aca="false">IF(D828="?OLD","!!!","")</f>
        <v/>
      </c>
      <c r="F828" s="11" t="str">
        <f aca="false">IF(OR(E828="",E828="!!!"),"",IF(NOT(ISNA(VLOOKUP(E828,E$1:E827,1,FALSE()))),"OLD",IF(AND(E828&lt;&gt;"",E828&lt;&gt;"!!!"),"NEW","")))</f>
        <v/>
      </c>
      <c r="G828" s="12" t="str">
        <f aca="false">IF(OR(E828="",E828="!!!"),"",IF(OR(J828=0,AND(J828=1,K828=1),AND(J828=1,I828="SBJ"),AND(J828=1,I828=0)),"?IN_FOCUS",IF(J828&lt;=2,"?ACTIVATED",IF(J828&lt;&gt;"","?FAMILIAR",IF(F828="NEW",IF(ISNA(VLOOKUP(E828,#REF!,1,FALSE())),"?TYPE_IDENTIFIABLE","?REFERENTIAL"),"_")))))</f>
        <v/>
      </c>
      <c r="H828" s="13" t="str">
        <f aca="false">IF(J828&lt;&gt;1,"",IF(I828="SBJ","CB","?"))</f>
        <v/>
      </c>
      <c r="I828" s="14" t="str">
        <f aca="false">IF(OR(E828="",E828="!!!",F828="NEW"),"",INDEX(B$2:B827,-1+SUMPRODUCT(MAX(ROW(E$2:E827)*(E828=E$2:E827)))))</f>
        <v/>
      </c>
      <c r="J828" s="15" t="str">
        <f aca="true">IF(OR(E828="",E828="!!!",F828="NEW"),"",COUNTBLANK(OFFSET(A$1,,,SUMPRODUCT(MAX(ROW(E$2:E828)*(E828=E$2:E828)))))-COUNTBLANK(OFFSET(A$1,,,SUMPRODUCT(MAX(ROW(E$1:E827)*(E828=E$1:E827))))))</f>
        <v/>
      </c>
      <c r="K828" s="15" t="str">
        <f aca="false">IF(OR(E828="",E828="!!!",F828="NEW"),"",INDEX(J$1:J827,SUMPRODUCT(MAX(ROW(E$1:E827)*(E828=E$1:E827)))))</f>
        <v/>
      </c>
      <c r="L828" s="16"/>
    </row>
    <row r="829" customFormat="false" ht="12.8" hidden="false" customHeight="false" outlineLevel="0" collapsed="false">
      <c r="A829" s="0" t="s">
        <v>45</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8" hidden="false" customHeight="false" outlineLevel="0" collapsed="false">
      <c r="A830" s="0" t="s">
        <v>249</v>
      </c>
      <c r="E830" s="10" t="str">
        <f aca="false">IF(D830="?OLD","!!!","")</f>
        <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8" hidden="false" customHeight="false" outlineLevel="0" collapsed="false">
      <c r="A831" s="0" t="s">
        <v>179</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8" hidden="false" customHeight="false" outlineLevel="0" collapsed="false">
      <c r="A832" s="0" t="s">
        <v>485</v>
      </c>
      <c r="B832" s="0" t="s">
        <v>14</v>
      </c>
      <c r="C832" s="0" t="s">
        <v>181</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8" hidden="false" customHeight="false" outlineLevel="0" collapsed="false">
      <c r="A833" s="0" t="s">
        <v>486</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8" hidden="false" customHeight="false" outlineLevel="0" collapsed="false">
      <c r="A834" s="0" t="s">
        <v>44</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8" hidden="false" customHeight="false" outlineLevel="0" collapsed="false">
      <c r="A835" s="0" t="s">
        <v>202</v>
      </c>
      <c r="B835" s="0" t="s">
        <v>47</v>
      </c>
      <c r="C835" s="0" t="s">
        <v>48</v>
      </c>
      <c r="D835" s="0" t="s">
        <v>20</v>
      </c>
      <c r="E835" s="10" t="s">
        <v>480</v>
      </c>
      <c r="F835" s="11" t="str">
        <f aca="false">IF(OR(E835="",E835="!!!"),"",IF(NOT(ISNA(VLOOKUP(E835,E$1:E834,1,FALSE()))),"OLD",IF(AND(E835&lt;&gt;"",E835&lt;&gt;"!!!"),"NEW","")))</f>
        <v>OLD</v>
      </c>
      <c r="G835" s="12" t="s">
        <v>87</v>
      </c>
      <c r="H835" s="13" t="str">
        <f aca="false">IF(J835&lt;&gt;1,"",IF(I835="SBJ","CB","?"))</f>
        <v/>
      </c>
      <c r="I835" s="14" t="str">
        <f aca="false">IF(OR(E835="",E835="!!!",F835="NEW"),"",INDEX(B$2:B834,-1+SUMPRODUCT(MAX(ROW(E$2:E834)*(E835=E$2:E834)))))</f>
        <v>SBJ</v>
      </c>
      <c r="J835" s="15" t="n">
        <f aca="true">IF(OR(E835="",E835="!!!",F835="NEW"),"",COUNTBLANK(OFFSET(A$1,,,SUMPRODUCT(MAX(ROW(E$2:E835)*(E835=E$2:E835)))))-COUNTBLANK(OFFSET(A$1,,,SUMPRODUCT(MAX(ROW(E$1:E834)*(E835=E$1:E834))))))</f>
        <v>0</v>
      </c>
      <c r="K835" s="15" t="n">
        <f aca="false">IF(OR(E835="",E835="!!!",F835="NEW"),"",INDEX(J$1:J834,SUMPRODUCT(MAX(ROW(E$1:E834)*(E835=E$1:E834)))))</f>
        <v>1</v>
      </c>
      <c r="L835" s="16"/>
    </row>
    <row r="836" customFormat="false" ht="12.8" hidden="false" customHeight="false" outlineLevel="0" collapsed="false">
      <c r="A836" s="0" t="s">
        <v>487</v>
      </c>
      <c r="E836" s="10" t="s">
        <v>488</v>
      </c>
      <c r="F836" s="11" t="str">
        <f aca="false">IF(OR(E836="",E836="!!!"),"",IF(NOT(ISNA(VLOOKUP(E836,E$1:E835,1,FALSE()))),"OLD",IF(AND(E836&lt;&gt;"",E836&lt;&gt;"!!!"),"NEW","")))</f>
        <v>NEW</v>
      </c>
      <c r="G836" s="12" t="s">
        <v>67</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8" hidden="false" customHeight="false" outlineLevel="0" collapsed="false">
      <c r="A837" s="0" t="s">
        <v>334</v>
      </c>
      <c r="B837" s="0" t="s">
        <v>96</v>
      </c>
      <c r="C837" s="0" t="s">
        <v>244</v>
      </c>
      <c r="D837" s="0" t="s">
        <v>20</v>
      </c>
      <c r="E837" s="10" t="s">
        <v>480</v>
      </c>
      <c r="F837" s="11" t="str">
        <f aca="false">IF(OR(E837="",E837="!!!"),"",IF(NOT(ISNA(VLOOKUP(E837,E$1:E836,1,FALSE()))),"OLD",IF(AND(E837&lt;&gt;"",E837&lt;&gt;"!!!"),"NEW","")))</f>
        <v>OLD</v>
      </c>
      <c r="G837" s="12" t="s">
        <v>87</v>
      </c>
      <c r="H837" s="13" t="str">
        <f aca="false">IF(J837&lt;&gt;1,"",IF(I837="SBJ","CB","?"))</f>
        <v/>
      </c>
      <c r="I837" s="14" t="str">
        <f aca="false">IF(OR(E837="",E837="!!!",F837="NEW"),"",INDEX(B$2:B836,-1+SUMPRODUCT(MAX(ROW(E$2:E836)*(E837=E$2:E836)))))</f>
        <v>SBJ_2</v>
      </c>
      <c r="J837" s="15" t="n">
        <f aca="true">IF(OR(E837="",E837="!!!",F837="NEW"),"",COUNTBLANK(OFFSET(A$1,,,SUMPRODUCT(MAX(ROW(E$2:E837)*(E837=E$2:E837)))))-COUNTBLANK(OFFSET(A$1,,,SUMPRODUCT(MAX(ROW(E$1:E836)*(E837=E$1:E836))))))</f>
        <v>0</v>
      </c>
      <c r="K837" s="15" t="n">
        <f aca="false">IF(OR(E837="",E837="!!!",F837="NEW"),"",INDEX(J$1:J836,SUMPRODUCT(MAX(ROW(E$1:E836)*(E837=E$1:E836)))))</f>
        <v>0</v>
      </c>
      <c r="L837" s="16"/>
    </row>
    <row r="838" customFormat="false" ht="12.8" hidden="false" customHeight="false" outlineLevel="0" collapsed="false">
      <c r="A838" s="0" t="s">
        <v>489</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8" hidden="false" customHeight="false" outlineLevel="0" collapsed="false">
      <c r="A839" s="0" t="s">
        <v>132</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8" hidden="false" customHeight="false" outlineLevel="0" collapsed="false">
      <c r="A840" s="0" t="s">
        <v>490</v>
      </c>
      <c r="E840" s="10" t="str">
        <f aca="false">IF(D840="?OLD","!!!","")</f>
        <v/>
      </c>
      <c r="F840" s="11" t="str">
        <f aca="false">IF(OR(E840="",E840="!!!"),"",IF(NOT(ISNA(VLOOKUP(E840,E$1:E839,1,FALSE()))),"OLD",IF(AND(E840&lt;&gt;"",E840&lt;&gt;"!!!"),"NEW","")))</f>
        <v/>
      </c>
      <c r="G840" s="12" t="str">
        <f aca="false">IF(OR(E840="",E840="!!!"),"",IF(OR(J840=0,AND(J840=1,K840=1),AND(J840=1,I840="SBJ"),AND(J840=1,I840=0)),"?IN_FOCUS",IF(J840&lt;=2,"?ACTIVATED",IF(J840&lt;&gt;"","?FAMILIAR",IF(F840="NEW",IF(ISNA(VLOOKUP(E840,#REF!,1,FALSE())),"?TYPE_IDENTIFIABLE","?REFERENTIAL"),"_")))))</f>
        <v/>
      </c>
      <c r="H840" s="13" t="str">
        <f aca="false">IF(J840&lt;&gt;1,"",IF(I840="SBJ","CB","?"))</f>
        <v/>
      </c>
      <c r="I840" s="14" t="str">
        <f aca="false">IF(OR(E840="",E840="!!!",F840="NEW"),"",INDEX(B$2:B839,-1+SUMPRODUCT(MAX(ROW(E$2:E839)*(E840=E$2:E839)))))</f>
        <v/>
      </c>
      <c r="J840" s="15" t="str">
        <f aca="true">IF(OR(E840="",E840="!!!",F840="NEW"),"",COUNTBLANK(OFFSET(A$1,,,SUMPRODUCT(MAX(ROW(E$2:E840)*(E840=E$2:E840)))))-COUNTBLANK(OFFSET(A$1,,,SUMPRODUCT(MAX(ROW(E$1:E839)*(E840=E$1:E839))))))</f>
        <v/>
      </c>
      <c r="K840" s="15" t="str">
        <f aca="false">IF(OR(E840="",E840="!!!",F840="NEW"),"",INDEX(J$1:J839,SUMPRODUCT(MAX(ROW(E$1:E839)*(E840=E$1:E839)))))</f>
        <v/>
      </c>
      <c r="L840" s="16"/>
    </row>
    <row r="841" customFormat="false" ht="12.8" hidden="false" customHeight="false" outlineLevel="0" collapsed="false">
      <c r="A841" s="0" t="s">
        <v>382</v>
      </c>
      <c r="B841" s="0" t="s">
        <v>170</v>
      </c>
      <c r="C841" s="0" t="s">
        <v>246</v>
      </c>
      <c r="D841" s="0" t="s">
        <v>20</v>
      </c>
      <c r="E841" s="10" t="s">
        <v>491</v>
      </c>
      <c r="F841" s="11" t="str">
        <f aca="false">IF(OR(E841="",E841="!!!"),"",IF(NOT(ISNA(VLOOKUP(E841,E$1:E840,1,FALSE()))),"OLD",IF(AND(E841&lt;&gt;"",E841&lt;&gt;"!!!"),"NEW","")))</f>
        <v>NEW</v>
      </c>
      <c r="G841" s="12" t="s">
        <v>131</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8" hidden="false" customHeight="false" outlineLevel="0" collapsed="false">
      <c r="A842" s="0" t="s">
        <v>45</v>
      </c>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8" hidden="false" customHeight="false" outlineLevel="0" collapsed="false">
      <c r="A843" s="0" t="s">
        <v>492</v>
      </c>
      <c r="E843" s="10" t="s">
        <v>493</v>
      </c>
      <c r="F843" s="11" t="str">
        <f aca="false">IF(OR(E843="",E843="!!!"),"",IF(NOT(ISNA(VLOOKUP(E843,E$1:E842,1,FALSE()))),"OLD",IF(AND(E843&lt;&gt;"",E843&lt;&gt;"!!!"),"NEW","")))</f>
        <v>NEW</v>
      </c>
      <c r="G843" s="12" t="s">
        <v>67</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8" hidden="false" customHeight="false" outlineLevel="0" collapsed="false">
      <c r="A844" s="0" t="s">
        <v>494</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8" hidden="false" customHeight="false" outlineLevel="0" collapsed="false">
      <c r="A845" s="0" t="s">
        <v>495</v>
      </c>
      <c r="B845" s="0" t="s">
        <v>59</v>
      </c>
      <c r="C845" s="0" t="s">
        <v>104</v>
      </c>
      <c r="D845" s="0" t="s">
        <v>20</v>
      </c>
      <c r="E845" s="10" t="s">
        <v>488</v>
      </c>
      <c r="F845" s="11" t="str">
        <f aca="false">IF(OR(E845="",E845="!!!"),"",IF(NOT(ISNA(VLOOKUP(E845,E$1:E844,1,FALSE()))),"OLD",IF(AND(E845&lt;&gt;"",E845&lt;&gt;"!!!"),"NEW","")))</f>
        <v>OLD</v>
      </c>
      <c r="G845" s="12" t="s">
        <v>87</v>
      </c>
      <c r="H845" s="13" t="str">
        <f aca="false">IF(J845&lt;&gt;1,"",IF(I845="SBJ","CB","?"))</f>
        <v/>
      </c>
      <c r="I845" s="14" t="n">
        <f aca="false">IF(OR(E845="",E845="!!!",F845="NEW"),"",INDEX(B$2:B844,-1+SUMPRODUCT(MAX(ROW(E$2:E844)*(E845=E$2:E844)))))</f>
        <v>0</v>
      </c>
      <c r="J845" s="15" t="n">
        <f aca="true">IF(OR(E845="",E845="!!!",F845="NEW"),"",COUNTBLANK(OFFSET(A$1,,,SUMPRODUCT(MAX(ROW(E$2:E845)*(E845=E$2:E845)))))-COUNTBLANK(OFFSET(A$1,,,SUMPRODUCT(MAX(ROW(E$1:E844)*(E845=E$1:E844))))))</f>
        <v>0</v>
      </c>
      <c r="K845" s="15" t="str">
        <f aca="false">IF(OR(E845="",E845="!!!",F845="NEW"),"",INDEX(J$1:J844,SUMPRODUCT(MAX(ROW(E$1:E844)*(E845=E$1:E844)))))</f>
        <v/>
      </c>
      <c r="L845" s="16"/>
    </row>
    <row r="846" customFormat="false" ht="12.8" hidden="false" customHeight="false" outlineLevel="0" collapsed="false">
      <c r="A846" s="0" t="s">
        <v>39</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8" hidden="false" customHeight="false" outlineLevel="0" collapsed="false">
      <c r="A847" s="0" t="s">
        <v>179</v>
      </c>
      <c r="E847" s="10" t="str">
        <f aca="false">IF(D847="?OLD","!!!","")</f>
        <v/>
      </c>
      <c r="F847" s="11" t="str">
        <f aca="false">IF(OR(E847="",E847="!!!"),"",IF(NOT(ISNA(VLOOKUP(E847,E$1:E846,1,FALSE()))),"OLD",IF(AND(E847&lt;&gt;"",E847&lt;&gt;"!!!"),"NEW","")))</f>
        <v/>
      </c>
      <c r="G847" s="12" t="str">
        <f aca="false">IF(OR(E847="",E847="!!!"),"",IF(OR(J847=0,AND(J847=1,K847=1),AND(J847=1,I847="SBJ"),AND(J847=1,I847=0)),"?IN_FOCUS",IF(J847&lt;=2,"?ACTIVATED",IF(J847&lt;&gt;"","?FAMILIAR",IF(F847="NEW",IF(ISNA(VLOOKUP(E847,#REF!,1,FALSE())),"?TYPE_IDENTIFIABLE","?REFERENTIAL"),"_")))))</f>
        <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8" hidden="false" customHeight="false" outlineLevel="0" collapsed="false">
      <c r="A848" s="0" t="s">
        <v>306</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8" hidden="false" customHeight="false" outlineLevel="0" collapsed="false">
      <c r="A849" s="0" t="s">
        <v>382</v>
      </c>
      <c r="B849" s="0" t="s">
        <v>96</v>
      </c>
      <c r="C849" s="0" t="s">
        <v>181</v>
      </c>
      <c r="E849" s="10" t="s">
        <v>496</v>
      </c>
      <c r="F849" s="11" t="str">
        <f aca="false">IF(OR(E849="",E849="!!!"),"",IF(NOT(ISNA(VLOOKUP(E849,E$1:E848,1,FALSE()))),"OLD",IF(AND(E849&lt;&gt;"",E849&lt;&gt;"!!!"),"NEW","")))</f>
        <v>NEW</v>
      </c>
      <c r="G849" s="12" t="s">
        <v>67</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8" hidden="false" customHeight="false" outlineLevel="0" collapsed="false">
      <c r="A850" s="0" t="s">
        <v>76</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8" hidden="false" customHeight="false" outlineLevel="0" collapsed="false">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8" hidden="false" customHeight="false" outlineLevel="0" collapsed="false">
      <c r="A852" s="0" t="s">
        <v>497</v>
      </c>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8" hidden="false" customHeight="false" outlineLevel="0" collapsed="false">
      <c r="A853" s="0" t="s">
        <v>468</v>
      </c>
      <c r="B853" s="0" t="s">
        <v>34</v>
      </c>
      <c r="C853" s="0" t="s">
        <v>215</v>
      </c>
      <c r="D853" s="0" t="s">
        <v>20</v>
      </c>
      <c r="E853" s="10" t="s">
        <v>493</v>
      </c>
      <c r="F853" s="11" t="str">
        <f aca="false">IF(OR(E853="",E853="!!!"),"",IF(NOT(ISNA(VLOOKUP(E853,E$1:E852,1,FALSE()))),"OLD",IF(AND(E853&lt;&gt;"",E853&lt;&gt;"!!!"),"NEW","")))</f>
        <v>OLD</v>
      </c>
      <c r="G853" s="12" t="s">
        <v>80</v>
      </c>
      <c r="H853" s="13" t="s">
        <v>7</v>
      </c>
      <c r="I853" s="14" t="n">
        <f aca="false">IF(OR(E853="",E853="!!!",F853="NEW"),"",INDEX(B$2:B852,-1+SUMPRODUCT(MAX(ROW(E$2:E852)*(E853=E$2:E852)))))</f>
        <v>0</v>
      </c>
      <c r="J853" s="15" t="n">
        <f aca="true">IF(OR(E853="",E853="!!!",F853="NEW"),"",COUNTBLANK(OFFSET(A$1,,,SUMPRODUCT(MAX(ROW(E$2:E853)*(E853=E$2:E853)))))-COUNTBLANK(OFFSET(A$1,,,SUMPRODUCT(MAX(ROW(E$1:E852)*(E853=E$1:E852))))))</f>
        <v>1</v>
      </c>
      <c r="K853" s="15" t="str">
        <f aca="false">IF(OR(E853="",E853="!!!",F853="NEW"),"",INDEX(J$1:J852,SUMPRODUCT(MAX(ROW(E$1:E852)*(E853=E$1:E852)))))</f>
        <v/>
      </c>
      <c r="L853" s="16"/>
    </row>
    <row r="854" customFormat="false" ht="12.8" hidden="false" customHeight="false" outlineLevel="0" collapsed="false">
      <c r="A854" s="0" t="s">
        <v>100</v>
      </c>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8" hidden="false" customHeight="false" outlineLevel="0" collapsed="false">
      <c r="A855" s="0" t="s">
        <v>179</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8" hidden="false" customHeight="false" outlineLevel="0" collapsed="false">
      <c r="A856" s="0" t="s">
        <v>41</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8" hidden="false" customHeight="false" outlineLevel="0" collapsed="false">
      <c r="A857" s="0" t="s">
        <v>498</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8" hidden="false" customHeight="false" outlineLevel="0" collapsed="false">
      <c r="A858" s="0" t="s">
        <v>499</v>
      </c>
      <c r="B858" s="0" t="s">
        <v>14</v>
      </c>
      <c r="C858" s="0" t="s">
        <v>181</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8" hidden="false" customHeight="false" outlineLevel="0" collapsed="false">
      <c r="A859" s="0" t="s">
        <v>76</v>
      </c>
      <c r="E859" s="10" t="str">
        <f aca="false">IF(D859="?OLD","!!!","")</f>
        <v/>
      </c>
      <c r="F859" s="11" t="str">
        <f aca="false">IF(OR(E859="",E859="!!!"),"",IF(NOT(ISNA(VLOOKUP(E859,E$1:E858,1,FALSE()))),"OLD",IF(AND(E859&lt;&gt;"",E859&lt;&gt;"!!!"),"NEW","")))</f>
        <v/>
      </c>
      <c r="G859" s="12" t="str">
        <f aca="false">IF(OR(E859="",E859="!!!"),"",IF(OR(J859=0,AND(J859=1,K859=1),AND(J859=1,I859="SBJ"),AND(J859=1,I859=0)),"?IN_FOCUS",IF(J859&lt;=2,"?ACTIVATED",IF(J859&lt;&gt;"","?FAMILIAR",IF(F859="NEW",IF(ISNA(VLOOKUP(E859,#REF!,1,FALSE())),"?TYPE_IDENTIFIABLE","?REFERENTIAL"),"_")))))</f>
        <v/>
      </c>
      <c r="H859" s="13" t="str">
        <f aca="false">IF(J859&lt;&gt;1,"",IF(I859="SBJ","CB","?"))</f>
        <v/>
      </c>
      <c r="I859" s="14" t="str">
        <f aca="false">IF(OR(E859="",E859="!!!",F859="NEW"),"",INDEX(B$2:B858,-1+SUMPRODUCT(MAX(ROW(E$2:E858)*(E859=E$2:E858)))))</f>
        <v/>
      </c>
      <c r="J859" s="15" t="str">
        <f aca="true">IF(OR(E859="",E859="!!!",F859="NEW"),"",COUNTBLANK(OFFSET(A$1,,,SUMPRODUCT(MAX(ROW(E$2:E859)*(E859=E$2:E859)))))-COUNTBLANK(OFFSET(A$1,,,SUMPRODUCT(MAX(ROW(E$1:E858)*(E859=E$1:E858))))))</f>
        <v/>
      </c>
      <c r="K859" s="15" t="str">
        <f aca="false">IF(OR(E859="",E859="!!!",F859="NEW"),"",INDEX(J$1:J858,SUMPRODUCT(MAX(ROW(E$1:E858)*(E859=E$1:E858)))))</f>
        <v/>
      </c>
      <c r="L859" s="16"/>
    </row>
    <row r="860" customFormat="false" ht="12.8" hidden="false" customHeight="false" outlineLevel="0" collapsed="false">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8" hidden="false" customHeight="false" outlineLevel="0" collapsed="false">
      <c r="A861" s="0" t="s">
        <v>500</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8" hidden="false" customHeight="false" outlineLevel="0" collapsed="false">
      <c r="A862" s="0" t="s">
        <v>501</v>
      </c>
      <c r="E862" s="10" t="str">
        <f aca="false">IF(D862="?OLD","!!!","")</f>
        <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8" hidden="false" customHeight="false" outlineLevel="0" collapsed="false">
      <c r="A863" s="0" t="s">
        <v>502</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8" hidden="false" customHeight="false" outlineLevel="0" collapsed="false">
      <c r="A864" s="0" t="s">
        <v>202</v>
      </c>
      <c r="B864" s="0" t="s">
        <v>34</v>
      </c>
      <c r="C864" s="0" t="s">
        <v>48</v>
      </c>
      <c r="D864" s="0" t="s">
        <v>20</v>
      </c>
      <c r="E864" s="10" t="s">
        <v>480</v>
      </c>
      <c r="F864" s="11" t="str">
        <f aca="false">IF(OR(E864="",E864="!!!"),"",IF(NOT(ISNA(VLOOKUP(E864,E$1:E863,1,FALSE()))),"OLD",IF(AND(E864&lt;&gt;"",E864&lt;&gt;"!!!"),"NEW","")))</f>
        <v>OLD</v>
      </c>
      <c r="G864" s="12" t="s">
        <v>80</v>
      </c>
      <c r="H864" s="13" t="str">
        <f aca="false">IF(J864&lt;&gt;1,"",IF(I864="SBJ","CB","?"))</f>
        <v/>
      </c>
      <c r="I864" s="14" t="str">
        <f aca="false">IF(OR(E864="",E864="!!!",F864="NEW"),"",INDEX(B$2:B863,-1+SUMPRODUCT(MAX(ROW(E$2:E863)*(E864=E$2:E863)))))</f>
        <v>other_3</v>
      </c>
      <c r="J864" s="15" t="n">
        <f aca="true">IF(OR(E864="",E864="!!!",F864="NEW"),"",COUNTBLANK(OFFSET(A$1,,,SUMPRODUCT(MAX(ROW(E$2:E864)*(E864=E$2:E864)))))-COUNTBLANK(OFFSET(A$1,,,SUMPRODUCT(MAX(ROW(E$1:E863)*(E864=E$1:E863))))))</f>
        <v>2</v>
      </c>
      <c r="K864" s="15" t="n">
        <f aca="false">IF(OR(E864="",E864="!!!",F864="NEW"),"",INDEX(J$1:J863,SUMPRODUCT(MAX(ROW(E$1:E863)*(E864=E$1:E863)))))</f>
        <v>0</v>
      </c>
      <c r="L864" s="16"/>
    </row>
    <row r="865" customFormat="false" ht="12.8" hidden="false" customHeight="false" outlineLevel="0" collapsed="false">
      <c r="A865" s="0" t="s">
        <v>239</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8" hidden="false" customHeight="false" outlineLevel="0" collapsed="false">
      <c r="A866" s="0" t="s">
        <v>51</v>
      </c>
      <c r="B866" s="0" t="s">
        <v>85</v>
      </c>
      <c r="C866" s="0" t="s">
        <v>215</v>
      </c>
      <c r="D866" s="0" t="s">
        <v>20</v>
      </c>
      <c r="E866" s="10" t="s">
        <v>493</v>
      </c>
      <c r="F866" s="11" t="str">
        <f aca="false">IF(OR(E866="",E866="!!!"),"",IF(NOT(ISNA(VLOOKUP(E866,E$1:E865,1,FALSE()))),"OLD",IF(AND(E866&lt;&gt;"",E866&lt;&gt;"!!!"),"NEW","")))</f>
        <v>OLD</v>
      </c>
      <c r="G866" s="12" t="s">
        <v>87</v>
      </c>
      <c r="H866" s="13" t="str">
        <f aca="false">IF(J866&lt;&gt;1,"",IF(I866="SBJ","CB","?"))</f>
        <v>CB</v>
      </c>
      <c r="I866" s="14" t="str">
        <f aca="false">IF(OR(E866="",E866="!!!",F866="NEW"),"",INDEX(B$2:B865,-1+SUMPRODUCT(MAX(ROW(E$2:E865)*(E866=E$2:E865)))))</f>
        <v>SBJ</v>
      </c>
      <c r="J866" s="15" t="n">
        <f aca="true">IF(OR(E866="",E866="!!!",F866="NEW"),"",COUNTBLANK(OFFSET(A$1,,,SUMPRODUCT(MAX(ROW(E$2:E866)*(E866=E$2:E866)))))-COUNTBLANK(OFFSET(A$1,,,SUMPRODUCT(MAX(ROW(E$1:E865)*(E866=E$1:E865))))))</f>
        <v>1</v>
      </c>
      <c r="K866" s="15" t="n">
        <f aca="false">IF(OR(E866="",E866="!!!",F866="NEW"),"",INDEX(J$1:J865,SUMPRODUCT(MAX(ROW(E$1:E865)*(E866=E$1:E865)))))</f>
        <v>1</v>
      </c>
      <c r="L866" s="16"/>
    </row>
    <row r="867" customFormat="false" ht="12.8" hidden="false" customHeight="false" outlineLevel="0" collapsed="false">
      <c r="A867" s="0" t="s">
        <v>370</v>
      </c>
      <c r="E867" s="10" t="str">
        <f aca="false">IF(D867="?OLD","!!!","")</f>
        <v/>
      </c>
      <c r="F867" s="11" t="str">
        <f aca="false">IF(OR(E867="",E867="!!!"),"",IF(NOT(ISNA(VLOOKUP(E867,E$1:E866,1,FALSE()))),"OLD",IF(AND(E867&lt;&gt;"",E867&lt;&gt;"!!!"),"NEW","")))</f>
        <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8" hidden="false" customHeight="false" outlineLevel="0" collapsed="false">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8" hidden="false" customHeight="false" outlineLevel="0" collapsed="false">
      <c r="A869" s="0" t="s">
        <v>503</v>
      </c>
      <c r="E869" s="10" t="str">
        <f aca="false">IF(D869="?OLD","!!!","")</f>
        <v/>
      </c>
      <c r="F869" s="11" t="str">
        <f aca="false">IF(OR(E869="",E869="!!!"),"",IF(NOT(ISNA(VLOOKUP(E869,E$1:E868,1,FALSE()))),"OLD",IF(AND(E869&lt;&gt;"",E869&lt;&gt;"!!!"),"NEW","")))</f>
        <v/>
      </c>
      <c r="G869" s="12" t="str">
        <f aca="false">IF(OR(E869="",E869="!!!"),"",IF(OR(J869=0,AND(J869=1,K869=1),AND(J869=1,I869="SBJ"),AND(J869=1,I869=0)),"?IN_FOCUS",IF(J869&lt;=2,"?ACTIVATED",IF(J869&lt;&gt;"","?FAMILIAR",IF(F869="NEW",IF(ISNA(VLOOKUP(E869,#REF!,1,FALSE())),"?TYPE_IDENTIFIABLE","?REFERENTIAL"),"_")))))</f>
        <v/>
      </c>
      <c r="H869" s="13" t="str">
        <f aca="false">IF(J869&lt;&gt;1,"",IF(I869="SBJ","CB","?"))</f>
        <v/>
      </c>
      <c r="I869" s="14" t="str">
        <f aca="false">IF(OR(E869="",E869="!!!",F869="NEW"),"",INDEX(B$2:B868,-1+SUMPRODUCT(MAX(ROW(E$2:E868)*(E869=E$2:E868)))))</f>
        <v/>
      </c>
      <c r="J869" s="15" t="str">
        <f aca="true">IF(OR(E869="",E869="!!!",F869="NEW"),"",COUNTBLANK(OFFSET(A$1,,,SUMPRODUCT(MAX(ROW(E$2:E869)*(E869=E$2:E869)))))-COUNTBLANK(OFFSET(A$1,,,SUMPRODUCT(MAX(ROW(E$1:E868)*(E869=E$1:E868))))))</f>
        <v/>
      </c>
      <c r="K869" s="15" t="str">
        <f aca="false">IF(OR(E869="",E869="!!!",F869="NEW"),"",INDEX(J$1:J868,SUMPRODUCT(MAX(ROW(E$1:E868)*(E869=E$1:E868)))))</f>
        <v/>
      </c>
      <c r="L869" s="16"/>
    </row>
    <row r="870" customFormat="false" ht="12.8" hidden="false" customHeight="false" outlineLevel="0" collapsed="false">
      <c r="A870" s="0" t="s">
        <v>504</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8" hidden="false" customHeight="false" outlineLevel="0" collapsed="false">
      <c r="A871" s="0" t="s">
        <v>372</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8" hidden="false" customHeight="false" outlineLevel="0" collapsed="false">
      <c r="A872" s="0" t="s">
        <v>44</v>
      </c>
      <c r="E872" s="10" t="str">
        <f aca="false">IF(D872="?OLD","!!!","")</f>
        <v/>
      </c>
      <c r="F872" s="11" t="str">
        <f aca="false">IF(OR(E872="",E872="!!!"),"",IF(NOT(ISNA(VLOOKUP(E872,E$1:E871,1,FALSE()))),"OLD",IF(AND(E872&lt;&gt;"",E872&lt;&gt;"!!!"),"NEW","")))</f>
        <v/>
      </c>
      <c r="G872" s="12" t="str">
        <f aca="false">IF(OR(E872="",E872="!!!"),"",IF(OR(J872=0,AND(J872=1,K872=1),AND(J872=1,I872="SBJ"),AND(J872=1,I872=0)),"?IN_FOCUS",IF(J872&lt;=2,"?ACTIVATED",IF(J872&lt;&gt;"","?FAMILIAR",IF(F872="NEW",IF(ISNA(VLOOKUP(E872,#REF!,1,FALSE())),"?TYPE_IDENTIFIABLE","?REFERENTIAL"),"_")))))</f>
        <v/>
      </c>
      <c r="H872" s="13" t="str">
        <f aca="false">IF(J872&lt;&gt;1,"",IF(I872="SBJ","CB","?"))</f>
        <v/>
      </c>
      <c r="I872" s="14" t="str">
        <f aca="false">IF(OR(E872="",E872="!!!",F872="NEW"),"",INDEX(B$2:B871,-1+SUMPRODUCT(MAX(ROW(E$2:E871)*(E872=E$2:E871)))))</f>
        <v/>
      </c>
      <c r="J872" s="15" t="str">
        <f aca="true">IF(OR(E872="",E872="!!!",F872="NEW"),"",COUNTBLANK(OFFSET(A$1,,,SUMPRODUCT(MAX(ROW(E$2:E872)*(E872=E$2:E872)))))-COUNTBLANK(OFFSET(A$1,,,SUMPRODUCT(MAX(ROW(E$1:E871)*(E872=E$1:E871))))))</f>
        <v/>
      </c>
      <c r="K872" s="15" t="str">
        <f aca="false">IF(OR(E872="",E872="!!!",F872="NEW"),"",INDEX(J$1:J871,SUMPRODUCT(MAX(ROW(E$1:E871)*(E872=E$1:E871)))))</f>
        <v/>
      </c>
      <c r="L872" s="16"/>
    </row>
    <row r="873" customFormat="false" ht="12.8" hidden="false" customHeight="false" outlineLevel="0" collapsed="false">
      <c r="A873" s="0" t="s">
        <v>139</v>
      </c>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8" hidden="false" customHeight="false" outlineLevel="0" collapsed="false">
      <c r="A874" s="0" t="s">
        <v>505</v>
      </c>
      <c r="B874" s="0" t="s">
        <v>14</v>
      </c>
      <c r="C874" s="0" t="s">
        <v>31</v>
      </c>
      <c r="E874" s="10" t="str">
        <f aca="false">IF(D874="?OLD","!!!","")</f>
        <v/>
      </c>
      <c r="F874" s="11" t="str">
        <f aca="false">IF(OR(E874="",E874="!!!"),"",IF(NOT(ISNA(VLOOKUP(E874,E$1:E873,1,FALSE()))),"OLD",IF(AND(E874&lt;&gt;"",E874&lt;&gt;"!!!"),"NEW","")))</f>
        <v/>
      </c>
      <c r="G874" s="12" t="str">
        <f aca="false">IF(OR(E874="",E874="!!!"),"",IF(OR(J874=0,AND(J874=1,K874=1),AND(J874=1,I874="SBJ"),AND(J874=1,I874=0)),"?IN_FOCUS",IF(J874&lt;=2,"?ACTIVATED",IF(J874&lt;&gt;"","?FAMILIAR",IF(F874="NEW",IF(ISNA(VLOOKUP(E874,#REF!,1,FALSE())),"?TYPE_IDENTIFIABLE","?REFERENTIAL"),"_")))))</f>
        <v/>
      </c>
      <c r="H874" s="13" t="str">
        <f aca="false">IF(J874&lt;&gt;1,"",IF(I874="SBJ","CB","?"))</f>
        <v/>
      </c>
      <c r="I874" s="14" t="str">
        <f aca="false">IF(OR(E874="",E874="!!!",F874="NEW"),"",INDEX(B$2:B873,-1+SUMPRODUCT(MAX(ROW(E$2:E873)*(E874=E$2:E873)))))</f>
        <v/>
      </c>
      <c r="J874" s="15" t="str">
        <f aca="true">IF(OR(E874="",E874="!!!",F874="NEW"),"",COUNTBLANK(OFFSET(A$1,,,SUMPRODUCT(MAX(ROW(E$2:E874)*(E874=E$2:E874)))))-COUNTBLANK(OFFSET(A$1,,,SUMPRODUCT(MAX(ROW(E$1:E873)*(E874=E$1:E873))))))</f>
        <v/>
      </c>
      <c r="K874" s="15" t="str">
        <f aca="false">IF(OR(E874="",E874="!!!",F874="NEW"),"",INDEX(J$1:J873,SUMPRODUCT(MAX(ROW(E$1:E873)*(E874=E$1:E873)))))</f>
        <v/>
      </c>
      <c r="L874" s="16"/>
    </row>
    <row r="875" customFormat="false" ht="12.8" hidden="false" customHeight="false" outlineLevel="0" collapsed="false">
      <c r="A875" s="0" t="s">
        <v>60</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8" hidden="false" customHeight="false" outlineLevel="0" collapsed="false">
      <c r="A876" s="0" t="s">
        <v>62</v>
      </c>
      <c r="E876" s="10" t="str">
        <f aca="false">IF(D876="?OLD","!!!","")</f>
        <v/>
      </c>
      <c r="F876" s="11" t="str">
        <f aca="false">IF(OR(E876="",E876="!!!"),"",IF(NOT(ISNA(VLOOKUP(E876,E$1:E875,1,FALSE()))),"OLD",IF(AND(E876&lt;&gt;"",E876&lt;&gt;"!!!"),"NEW","")))</f>
        <v/>
      </c>
      <c r="G876" s="12" t="str">
        <f aca="false">IF(OR(E876="",E876="!!!"),"",IF(OR(J876=0,AND(J876=1,K876=1),AND(J876=1,I876="SBJ"),AND(J876=1,I876=0)),"?IN_FOCUS",IF(J876&lt;=2,"?ACTIVATED",IF(J876&lt;&gt;"","?FAMILIAR",IF(F876="NEW",IF(ISNA(VLOOKUP(E876,#REF!,1,FALSE())),"?TYPE_IDENTIFIABLE","?REFERENTIAL"),"_")))))</f>
        <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8" hidden="false" customHeight="false" outlineLevel="0" collapsed="false">
      <c r="A877" s="0" t="s">
        <v>506</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8" hidden="false" customHeight="false" outlineLevel="0" collapsed="false">
      <c r="A878" s="0" t="s">
        <v>507</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8" hidden="false" customHeight="false" outlineLevel="0" collapsed="false">
      <c r="A879" s="0" t="s">
        <v>508</v>
      </c>
      <c r="B879" s="0" t="s">
        <v>75</v>
      </c>
      <c r="C879" s="0" t="s">
        <v>19</v>
      </c>
      <c r="D879" s="0" t="s">
        <v>20</v>
      </c>
      <c r="E879" s="10" t="s">
        <v>509</v>
      </c>
      <c r="F879" s="11" t="str">
        <f aca="false">IF(OR(E879="",E879="!!!"),"",IF(NOT(ISNA(VLOOKUP(E879,E$1:E878,1,FALSE()))),"OLD",IF(AND(E879&lt;&gt;"",E879&lt;&gt;"!!!"),"NEW","")))</f>
        <v>NEW</v>
      </c>
      <c r="G879" s="12" t="s">
        <v>510</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8" hidden="false" customHeight="false" outlineLevel="0" collapsed="false">
      <c r="A880" s="0" t="s">
        <v>44</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8" hidden="false" customHeight="false" outlineLevel="0" collapsed="false">
      <c r="A881" s="0" t="s">
        <v>511</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8" hidden="false" customHeight="false" outlineLevel="0" collapsed="false">
      <c r="A882" s="0" t="s">
        <v>100</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8" hidden="false" customHeight="false" outlineLevel="0" collapsed="false">
      <c r="A883" s="0" t="s">
        <v>159</v>
      </c>
      <c r="E883" s="10" t="str">
        <f aca="false">IF(D883="?OLD","!!!","")</f>
        <v/>
      </c>
      <c r="F883" s="11" t="str">
        <f aca="false">IF(OR(E883="",E883="!!!"),"",IF(NOT(ISNA(VLOOKUP(E883,E$1:E882,1,FALSE()))),"OLD",IF(AND(E883&lt;&gt;"",E883&lt;&gt;"!!!"),"NEW","")))</f>
        <v/>
      </c>
      <c r="G883" s="12" t="str">
        <f aca="false">IF(OR(E883="",E883="!!!"),"",IF(OR(J883=0,AND(J883=1,K883=1),AND(J883=1,I883="SBJ"),AND(J883=1,I883=0)),"?IN_FOCUS",IF(J883&lt;=2,"?ACTIVATED",IF(J883&lt;&gt;"","?FAMILIAR",IF(F883="NEW",IF(ISNA(VLOOKUP(E883,#REF!,1,FALSE())),"?TYPE_IDENTIFIABLE","?REFERENTIAL"),"_")))))</f>
        <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8" hidden="false" customHeight="false" outlineLevel="0" collapsed="false">
      <c r="A884" s="0" t="s">
        <v>280</v>
      </c>
      <c r="B884" s="0" t="s">
        <v>34</v>
      </c>
      <c r="C884" s="0" t="s">
        <v>31</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8" hidden="false" customHeight="false" outlineLevel="0" collapsed="false">
      <c r="A885" s="0" t="s">
        <v>39</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8" hidden="false" customHeight="false" outlineLevel="0" collapsed="false">
      <c r="A886" s="0" t="s">
        <v>306</v>
      </c>
      <c r="B886" s="0" t="s">
        <v>75</v>
      </c>
      <c r="C886" s="0" t="s">
        <v>31</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8" hidden="false" customHeight="false" outlineLevel="0" collapsed="false">
      <c r="A887" s="0" t="s">
        <v>154</v>
      </c>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8" hidden="false" customHeight="false" outlineLevel="0" collapsed="false">
      <c r="A888" s="0" t="s">
        <v>39</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8" hidden="false" customHeight="false" outlineLevel="0" collapsed="false">
      <c r="A889" s="0" t="s">
        <v>132</v>
      </c>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8" hidden="false" customHeight="false" outlineLevel="0" collapsed="false">
      <c r="A890" s="0" t="s">
        <v>490</v>
      </c>
      <c r="B890" s="0" t="s">
        <v>14</v>
      </c>
      <c r="C890" s="0" t="s">
        <v>31</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8" hidden="false" customHeight="false" outlineLevel="0" collapsed="false">
      <c r="A891" s="0" t="s">
        <v>44</v>
      </c>
      <c r="E891" s="10" t="str">
        <f aca="false">IF(D891="?OLD","!!!","")</f>
        <v/>
      </c>
      <c r="F891" s="11" t="str">
        <f aca="false">IF(OR(E891="",E891="!!!"),"",IF(NOT(ISNA(VLOOKUP(E891,E$1:E890,1,FALSE()))),"OLD",IF(AND(E891&lt;&gt;"",E891&lt;&gt;"!!!"),"NEW","")))</f>
        <v/>
      </c>
      <c r="G891" s="12" t="str">
        <f aca="false">IF(OR(E891="",E891="!!!"),"",IF(OR(J891=0,AND(J891=1,K891=1),AND(J891=1,I891="SBJ"),AND(J891=1,I891=0)),"?IN_FOCUS",IF(J891&lt;=2,"?ACTIVATED",IF(J891&lt;&gt;"","?FAMILIAR",IF(F891="NEW",IF(ISNA(VLOOKUP(E891,#REF!,1,FALSE())),"?TYPE_IDENTIFIABLE","?REFERENTIAL"),"_")))))</f>
        <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8" hidden="false" customHeight="false" outlineLevel="0" collapsed="false">
      <c r="A892" s="0" t="s">
        <v>45</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8" hidden="false" customHeight="false" outlineLevel="0" collapsed="false">
      <c r="A893" s="0" t="s">
        <v>240</v>
      </c>
      <c r="E893" s="10" t="str">
        <f aca="false">IF(D893="?OLD","!!!","")</f>
        <v/>
      </c>
      <c r="F893" s="11" t="str">
        <f aca="false">IF(OR(E893="",E893="!!!"),"",IF(NOT(ISNA(VLOOKUP(E893,E$1:E892,1,FALSE()))),"OLD",IF(AND(E893&lt;&gt;"",E893&lt;&gt;"!!!"),"NEW","")))</f>
        <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8" hidden="false" customHeight="false" outlineLevel="0" collapsed="false">
      <c r="A894" s="0" t="s">
        <v>271</v>
      </c>
      <c r="B894" s="0" t="s">
        <v>47</v>
      </c>
      <c r="C894" s="0" t="s">
        <v>104</v>
      </c>
      <c r="D894" s="0" t="s">
        <v>20</v>
      </c>
      <c r="E894" s="10" t="s">
        <v>480</v>
      </c>
      <c r="F894" s="11" t="str">
        <f aca="false">IF(OR(E894="",E894="!!!"),"",IF(NOT(ISNA(VLOOKUP(E894,E$1:E893,1,FALSE()))),"OLD",IF(AND(E894&lt;&gt;"",E894&lt;&gt;"!!!"),"NEW","")))</f>
        <v>OLD</v>
      </c>
      <c r="G894" s="12" t="s">
        <v>87</v>
      </c>
      <c r="H894" s="13" t="str">
        <f aca="false">IF(J894&lt;&gt;1,"",IF(I894="SBJ","CB","?"))</f>
        <v>CB</v>
      </c>
      <c r="I894" s="14" t="str">
        <f aca="false">IF(OR(E894="",E894="!!!",F894="NEW"),"",INDEX(B$2:B893,-1+SUMPRODUCT(MAX(ROW(E$2:E893)*(E894=E$2:E893)))))</f>
        <v>SBJ</v>
      </c>
      <c r="J894" s="15" t="n">
        <f aca="true">IF(OR(E894="",E894="!!!",F894="NEW"),"",COUNTBLANK(OFFSET(A$1,,,SUMPRODUCT(MAX(ROW(E$2:E894)*(E894=E$2:E894)))))-COUNTBLANK(OFFSET(A$1,,,SUMPRODUCT(MAX(ROW(E$1:E893)*(E894=E$1:E893))))))</f>
        <v>1</v>
      </c>
      <c r="K894" s="15" t="n">
        <f aca="false">IF(OR(E894="",E894="!!!",F894="NEW"),"",INDEX(J$1:J893,SUMPRODUCT(MAX(ROW(E$1:E893)*(E894=E$1:E893)))))</f>
        <v>2</v>
      </c>
      <c r="L894" s="16"/>
    </row>
    <row r="895" customFormat="false" ht="12.8" hidden="false" customHeight="false" outlineLevel="0" collapsed="false">
      <c r="A895" s="0" t="s">
        <v>512</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8" hidden="false" customHeight="false" outlineLevel="0" collapsed="false">
      <c r="A896" s="0" t="s">
        <v>334</v>
      </c>
      <c r="B896" s="0" t="s">
        <v>65</v>
      </c>
      <c r="C896" s="0" t="s">
        <v>244</v>
      </c>
      <c r="D896" s="0" t="s">
        <v>20</v>
      </c>
      <c r="E896" s="10" t="s">
        <v>480</v>
      </c>
      <c r="F896" s="11" t="str">
        <f aca="false">IF(OR(E896="",E896="!!!"),"",IF(NOT(ISNA(VLOOKUP(E896,E$1:E895,1,FALSE()))),"OLD",IF(AND(E896&lt;&gt;"",E896&lt;&gt;"!!!"),"NEW","")))</f>
        <v>OLD</v>
      </c>
      <c r="G896" s="12" t="s">
        <v>87</v>
      </c>
      <c r="H896" s="13" t="str">
        <f aca="false">IF(J896&lt;&gt;1,"",IF(I896="SBJ","CB","?"))</f>
        <v/>
      </c>
      <c r="I896" s="14" t="str">
        <f aca="false">IF(OR(E896="",E896="!!!",F896="NEW"),"",INDEX(B$2:B895,-1+SUMPRODUCT(MAX(ROW(E$2:E895)*(E896=E$2:E895)))))</f>
        <v>SBJ_2</v>
      </c>
      <c r="J896" s="15" t="n">
        <f aca="true">IF(OR(E896="",E896="!!!",F896="NEW"),"",COUNTBLANK(OFFSET(A$1,,,SUMPRODUCT(MAX(ROW(E$2:E896)*(E896=E$2:E896)))))-COUNTBLANK(OFFSET(A$1,,,SUMPRODUCT(MAX(ROW(E$1:E895)*(E896=E$1:E895))))))</f>
        <v>0</v>
      </c>
      <c r="K896" s="15" t="n">
        <f aca="false">IF(OR(E896="",E896="!!!",F896="NEW"),"",INDEX(J$1:J895,SUMPRODUCT(MAX(ROW(E$1:E895)*(E896=E$1:E895)))))</f>
        <v>1</v>
      </c>
      <c r="L896" s="16"/>
    </row>
    <row r="897" customFormat="false" ht="12.8" hidden="false" customHeight="false" outlineLevel="0" collapsed="false">
      <c r="A897" s="0" t="s">
        <v>513</v>
      </c>
      <c r="B897" s="0" t="s">
        <v>53</v>
      </c>
      <c r="C897" s="0" t="s">
        <v>246</v>
      </c>
      <c r="D897" s="0" t="s">
        <v>20</v>
      </c>
      <c r="E897" s="10"/>
      <c r="F897" s="11" t="s">
        <v>247</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8" hidden="false" customHeight="false" outlineLevel="0" collapsed="false">
      <c r="A898" s="0" t="s">
        <v>514</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8" hidden="false" customHeight="false" outlineLevel="0" collapsed="false">
      <c r="A899" s="0" t="s">
        <v>515</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8" hidden="false" customHeight="false" outlineLevel="0" collapsed="false">
      <c r="A900" s="0" t="s">
        <v>171</v>
      </c>
      <c r="B900" s="0" t="s">
        <v>59</v>
      </c>
      <c r="C900" s="0" t="s">
        <v>172</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8" hidden="false" customHeight="false" outlineLevel="0" collapsed="false">
      <c r="A901" s="0" t="s">
        <v>202</v>
      </c>
      <c r="B901" s="0" t="s">
        <v>158</v>
      </c>
      <c r="C901" s="0" t="s">
        <v>48</v>
      </c>
      <c r="D901" s="0" t="s">
        <v>20</v>
      </c>
      <c r="E901" s="10" t="s">
        <v>480</v>
      </c>
      <c r="F901" s="11" t="str">
        <f aca="false">IF(OR(E901="",E901="!!!"),"",IF(NOT(ISNA(VLOOKUP(E901,E$1:E900,1,FALSE()))),"OLD",IF(AND(E901&lt;&gt;"",E901&lt;&gt;"!!!"),"NEW","")))</f>
        <v>OLD</v>
      </c>
      <c r="G901" s="12" t="s">
        <v>87</v>
      </c>
      <c r="H901" s="13" t="str">
        <f aca="false">IF(J901&lt;&gt;1,"",IF(I901="SBJ","CB","?"))</f>
        <v/>
      </c>
      <c r="I901" s="14" t="str">
        <f aca="false">IF(OR(E901="",E901="!!!",F901="NEW"),"",INDEX(B$2:B900,-1+SUMPRODUCT(MAX(ROW(E$2:E900)*(E901=E$2:E900)))))</f>
        <v>other_4</v>
      </c>
      <c r="J901" s="15" t="n">
        <f aca="true">IF(OR(E901="",E901="!!!",F901="NEW"),"",COUNTBLANK(OFFSET(A$1,,,SUMPRODUCT(MAX(ROW(E$2:E901)*(E901=E$2:E901)))))-COUNTBLANK(OFFSET(A$1,,,SUMPRODUCT(MAX(ROW(E$1:E900)*(E901=E$1:E900))))))</f>
        <v>0</v>
      </c>
      <c r="K901" s="15" t="n">
        <f aca="false">IF(OR(E901="",E901="!!!",F901="NEW"),"",INDEX(J$1:J900,SUMPRODUCT(MAX(ROW(E$1:E900)*(E901=E$1:E900)))))</f>
        <v>0</v>
      </c>
      <c r="L901" s="16"/>
    </row>
    <row r="902" customFormat="false" ht="12.8" hidden="false" customHeight="false" outlineLevel="0" collapsed="false">
      <c r="A902" s="0" t="s">
        <v>297</v>
      </c>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8" hidden="false" customHeight="false" outlineLevel="0" collapsed="false">
      <c r="A903" s="0" t="s">
        <v>516</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8" hidden="false" customHeight="false" outlineLevel="0" collapsed="false">
      <c r="A904" s="0" t="s">
        <v>62</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8" hidden="false" customHeight="false" outlineLevel="0" collapsed="false">
      <c r="A905" s="0" t="s">
        <v>517</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8" hidden="false" customHeight="false" outlineLevel="0" collapsed="false">
      <c r="A906" s="0" t="s">
        <v>518</v>
      </c>
      <c r="E906" s="10" t="str">
        <f aca="false">IF(D906="?OLD","!!!","")</f>
        <v/>
      </c>
      <c r="F906" s="11" t="str">
        <f aca="false">IF(OR(E906="",E906="!!!"),"",IF(NOT(ISNA(VLOOKUP(E906,E$1:E905,1,FALSE()))),"OLD",IF(AND(E906&lt;&gt;"",E906&lt;&gt;"!!!"),"NEW","")))</f>
        <v/>
      </c>
      <c r="G906" s="12" t="str">
        <f aca="false">IF(OR(E906="",E906="!!!"),"",IF(OR(J906=0,AND(J906=1,K906=1),AND(J906=1,I906="SBJ"),AND(J906=1,I906=0)),"?IN_FOCUS",IF(J906&lt;=2,"?ACTIVATED",IF(J906&lt;&gt;"","?FAMILIAR",IF(F906="NEW",IF(ISNA(VLOOKUP(E906,#REF!,1,FALSE())),"?TYPE_IDENTIFIABLE","?REFERENTIAL"),"_")))))</f>
        <v/>
      </c>
      <c r="H906" s="13" t="str">
        <f aca="false">IF(J906&lt;&gt;1,"",IF(I906="SBJ","CB","?"))</f>
        <v/>
      </c>
      <c r="I906" s="14" t="str">
        <f aca="false">IF(OR(E906="",E906="!!!",F906="NEW"),"",INDEX(B$2:B905,-1+SUMPRODUCT(MAX(ROW(E$2:E905)*(E906=E$2:E905)))))</f>
        <v/>
      </c>
      <c r="J906" s="15" t="str">
        <f aca="true">IF(OR(E906="",E906="!!!",F906="NEW"),"",COUNTBLANK(OFFSET(A$1,,,SUMPRODUCT(MAX(ROW(E$2:E906)*(E906=E$2:E906)))))-COUNTBLANK(OFFSET(A$1,,,SUMPRODUCT(MAX(ROW(E$1:E905)*(E906=E$1:E905))))))</f>
        <v/>
      </c>
      <c r="K906" s="15" t="str">
        <f aca="false">IF(OR(E906="",E906="!!!",F906="NEW"),"",INDEX(J$1:J905,SUMPRODUCT(MAX(ROW(E$1:E905)*(E906=E$1:E905)))))</f>
        <v/>
      </c>
      <c r="L906" s="16"/>
    </row>
    <row r="907" customFormat="false" ht="12.8" hidden="false" customHeight="false" outlineLevel="0" collapsed="false">
      <c r="A907" s="0" t="s">
        <v>519</v>
      </c>
      <c r="B907" s="0" t="s">
        <v>34</v>
      </c>
      <c r="C907" s="0" t="s">
        <v>19</v>
      </c>
      <c r="D907" s="0" t="s">
        <v>20</v>
      </c>
      <c r="E907" s="10" t="s">
        <v>520</v>
      </c>
      <c r="F907" s="11" t="str">
        <f aca="false">IF(OR(E907="",E907="!!!"),"",IF(NOT(ISNA(VLOOKUP(E907,E$1:E906,1,FALSE()))),"OLD",IF(AND(E907&lt;&gt;"",E907&lt;&gt;"!!!"),"NEW","")))</f>
        <v>NEW</v>
      </c>
      <c r="G907" s="12" t="s">
        <v>67</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8" hidden="false" customHeight="false" outlineLevel="0" collapsed="false">
      <c r="A908" s="0" t="s">
        <v>76</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8" hidden="false" customHeight="false" outlineLevel="0" collapsed="false">
      <c r="A909" s="0" t="s">
        <v>516</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8" hidden="false" customHeight="false" outlineLevel="0" collapsed="false">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8" hidden="false" customHeight="false" outlineLevel="0" collapsed="false">
      <c r="A911" s="0" t="s">
        <v>521</v>
      </c>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8" hidden="false" customHeight="false" outlineLevel="0" collapsed="false">
      <c r="A912" s="0" t="s">
        <v>468</v>
      </c>
      <c r="B912" s="0" t="s">
        <v>34</v>
      </c>
      <c r="C912" s="0" t="s">
        <v>215</v>
      </c>
      <c r="D912" s="0" t="s">
        <v>20</v>
      </c>
      <c r="E912" s="10" t="s">
        <v>520</v>
      </c>
      <c r="F912" s="11" t="str">
        <f aca="false">IF(OR(E912="",E912="!!!"),"",IF(NOT(ISNA(VLOOKUP(E912,E$1:E911,1,FALSE()))),"OLD",IF(AND(E912&lt;&gt;"",E912&lt;&gt;"!!!"),"NEW","")))</f>
        <v>OLD</v>
      </c>
      <c r="G912" s="12" t="s">
        <v>87</v>
      </c>
      <c r="H912" s="13" t="str">
        <f aca="false">IF(J912&lt;&gt;1,"",IF(I912="SBJ","CB","?"))</f>
        <v>CB</v>
      </c>
      <c r="I912" s="14" t="str">
        <f aca="false">IF(OR(E912="",E912="!!!",F912="NEW"),"",INDEX(B$2:B911,-1+SUMPRODUCT(MAX(ROW(E$2:E911)*(E912=E$2:E911)))))</f>
        <v>SBJ</v>
      </c>
      <c r="J912" s="15" t="n">
        <f aca="true">IF(OR(E912="",E912="!!!",F912="NEW"),"",COUNTBLANK(OFFSET(A$1,,,SUMPRODUCT(MAX(ROW(E$2:E912)*(E912=E$2:E912)))))-COUNTBLANK(OFFSET(A$1,,,SUMPRODUCT(MAX(ROW(E$1:E911)*(E912=E$1:E911))))))</f>
        <v>1</v>
      </c>
      <c r="K912" s="15" t="str">
        <f aca="false">IF(OR(E912="",E912="!!!",F912="NEW"),"",INDEX(J$1:J911,SUMPRODUCT(MAX(ROW(E$1:E911)*(E912=E$1:E911)))))</f>
        <v/>
      </c>
      <c r="L912" s="16"/>
    </row>
    <row r="913" customFormat="false" ht="12.8" hidden="false" customHeight="false" outlineLevel="0" collapsed="false">
      <c r="A913" s="0" t="s">
        <v>100</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8" hidden="false" customHeight="false" outlineLevel="0" collapsed="false">
      <c r="A914" s="0" t="s">
        <v>522</v>
      </c>
      <c r="E914" s="10" t="str">
        <f aca="false">IF(D914="?OLD","!!!","")</f>
        <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8" hidden="false" customHeight="false" outlineLevel="0" collapsed="false">
      <c r="A915" s="0" t="s">
        <v>187</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8" hidden="false" customHeight="false" outlineLevel="0" collapsed="false">
      <c r="A916" s="0" t="s">
        <v>523</v>
      </c>
      <c r="E916" s="10" t="str">
        <f aca="false">IF(D916="?OLD","!!!","")</f>
        <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8" hidden="false" customHeight="false" outlineLevel="0" collapsed="false">
      <c r="A917" s="0" t="s">
        <v>524</v>
      </c>
      <c r="B917" s="0" t="s">
        <v>14</v>
      </c>
      <c r="C917" s="0" t="s">
        <v>15</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8" hidden="false" customHeight="false" outlineLevel="0" collapsed="false">
      <c r="A918" s="0" t="s">
        <v>352</v>
      </c>
      <c r="B918" s="0" t="s">
        <v>14</v>
      </c>
      <c r="C918" s="0" t="s">
        <v>31</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8" hidden="false" customHeight="false" outlineLevel="0" collapsed="false">
      <c r="A919" s="0" t="s">
        <v>525</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8" hidden="false" customHeight="false" outlineLevel="0" collapsed="false">
      <c r="A920" s="0" t="s">
        <v>526</v>
      </c>
      <c r="B920" s="0" t="s">
        <v>59</v>
      </c>
      <c r="C920" s="0" t="s">
        <v>31</v>
      </c>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8" hidden="false" customHeight="false" outlineLevel="0" collapsed="false">
      <c r="A921" s="0" t="s">
        <v>44</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8" hidden="false" customHeight="false" outlineLevel="0" collapsed="false">
      <c r="A922" s="0" t="s">
        <v>304</v>
      </c>
      <c r="B922" s="0" t="s">
        <v>65</v>
      </c>
      <c r="C922" s="0" t="s">
        <v>31</v>
      </c>
      <c r="E922" s="10" t="str">
        <f aca="false">IF(D922="?OLD","!!!","")</f>
        <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8" hidden="false" customHeight="false" outlineLevel="0" collapsed="false">
      <c r="A923" s="0" t="s">
        <v>45</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8" hidden="false" customHeight="false" outlineLevel="0" collapsed="false">
      <c r="A924" s="0" t="s">
        <v>306</v>
      </c>
      <c r="B924" s="0" t="s">
        <v>65</v>
      </c>
      <c r="C924" s="0" t="s">
        <v>31</v>
      </c>
      <c r="E924" s="10" t="str">
        <f aca="false">IF(D924="?OLD","!!!","")</f>
        <v/>
      </c>
      <c r="F924" s="11" t="str">
        <f aca="false">IF(OR(E924="",E924="!!!"),"",IF(NOT(ISNA(VLOOKUP(E924,E$1:E923,1,FALSE()))),"OLD",IF(AND(E924&lt;&gt;"",E924&lt;&gt;"!!!"),"NEW","")))</f>
        <v/>
      </c>
      <c r="G924" s="12" t="str">
        <f aca="false">IF(OR(E924="",E924="!!!"),"",IF(OR(J924=0,AND(J924=1,K924=1),AND(J924=1,I924="SBJ"),AND(J924=1,I924=0)),"?IN_FOCUS",IF(J924&lt;=2,"?ACTIVATED",IF(J924&lt;&gt;"","?FAMILIAR",IF(F924="NEW",IF(ISNA(VLOOKUP(E924,#REF!,1,FALSE())),"?TYPE_IDENTIFIABLE","?REFERENTIAL"),"_")))))</f>
        <v/>
      </c>
      <c r="H924" s="13" t="str">
        <f aca="false">IF(J924&lt;&gt;1,"",IF(I924="SBJ","CB","?"))</f>
        <v/>
      </c>
      <c r="I924" s="14" t="str">
        <f aca="false">IF(OR(E924="",E924="!!!",F924="NEW"),"",INDEX(B$2:B923,-1+SUMPRODUCT(MAX(ROW(E$2:E923)*(E924=E$2:E923)))))</f>
        <v/>
      </c>
      <c r="J924" s="15" t="str">
        <f aca="true">IF(OR(E924="",E924="!!!",F924="NEW"),"",COUNTBLANK(OFFSET(A$1,,,SUMPRODUCT(MAX(ROW(E$2:E924)*(E924=E$2:E924)))))-COUNTBLANK(OFFSET(A$1,,,SUMPRODUCT(MAX(ROW(E$1:E923)*(E924=E$1:E923))))))</f>
        <v/>
      </c>
      <c r="K924" s="15" t="str">
        <f aca="false">IF(OR(E924="",E924="!!!",F924="NEW"),"",INDEX(J$1:J923,SUMPRODUCT(MAX(ROW(E$1:E923)*(E924=E$1:E923)))))</f>
        <v/>
      </c>
      <c r="L924" s="16"/>
    </row>
    <row r="925" customFormat="false" ht="12.8" hidden="false" customHeight="false" outlineLevel="0" collapsed="false">
      <c r="A925" s="0" t="s">
        <v>76</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8" hidden="false" customHeight="false" outlineLevel="0" collapsed="false">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8" hidden="false" customHeight="false" outlineLevel="0" collapsed="false">
      <c r="A927" s="0" t="s">
        <v>527</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8" hidden="false" customHeight="false" outlineLevel="0" collapsed="false">
      <c r="A928" s="0" t="s">
        <v>213</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8" hidden="false" customHeight="false" outlineLevel="0" collapsed="false">
      <c r="A929" s="0" t="s">
        <v>44</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8" hidden="false" customHeight="false" outlineLevel="0" collapsed="false">
      <c r="A930" s="0" t="s">
        <v>127</v>
      </c>
      <c r="B930" s="0" t="s">
        <v>34</v>
      </c>
      <c r="C930" s="0" t="s">
        <v>48</v>
      </c>
      <c r="D930" s="0" t="s">
        <v>20</v>
      </c>
      <c r="E930" s="10" t="s">
        <v>128</v>
      </c>
      <c r="F930" s="11" t="str">
        <f aca="false">IF(OR(E930="",E930="!!!"),"",IF(NOT(ISNA(VLOOKUP(E930,E$1:E929,1,FALSE()))),"OLD",IF(AND(E930&lt;&gt;"",E930&lt;&gt;"!!!"),"NEW","")))</f>
        <v>OLD</v>
      </c>
      <c r="G930" s="12" t="s">
        <v>36</v>
      </c>
      <c r="H930" s="13" t="str">
        <f aca="false">IF(J930&lt;&gt;1,"",IF(I930="SBJ","CB","?"))</f>
        <v/>
      </c>
      <c r="I930" s="14" t="str">
        <f aca="false">IF(OR(E930="",E930="!!!",F930="NEW"),"",INDEX(B$2:B929,-1+SUMPRODUCT(MAX(ROW(E$2:E929)*(E930=E$2:E929)))))</f>
        <v>OBJ_2</v>
      </c>
      <c r="J930" s="15" t="n">
        <f aca="true">IF(OR(E930="",E930="!!!",F930="NEW"),"",COUNTBLANK(OFFSET(A$1,,,SUMPRODUCT(MAX(ROW(E$2:E930)*(E930=E$2:E930)))))-COUNTBLANK(OFFSET(A$1,,,SUMPRODUCT(MAX(ROW(E$1:E929)*(E930=E$1:E929))))))</f>
        <v>23</v>
      </c>
      <c r="K930" s="15" t="n">
        <f aca="false">IF(OR(E930="",E930="!!!",F930="NEW"),"",INDEX(J$1:J929,SUMPRODUCT(MAX(ROW(E$1:E929)*(E930=E$1:E929)))))</f>
        <v>6</v>
      </c>
      <c r="L930" s="16"/>
    </row>
    <row r="931" customFormat="false" ht="12.8" hidden="false" customHeight="false" outlineLevel="0" collapsed="false">
      <c r="A931" s="0" t="s">
        <v>125</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8" hidden="false" customHeight="false" outlineLevel="0" collapsed="false">
      <c r="A932" s="0" t="s">
        <v>203</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8" hidden="false" customHeight="false" outlineLevel="0" collapsed="false">
      <c r="A933" s="0" t="s">
        <v>528</v>
      </c>
      <c r="E933" s="10" t="str">
        <f aca="false">IF(D933="?OLD","!!!","")</f>
        <v/>
      </c>
      <c r="F933" s="11" t="str">
        <f aca="false">IF(OR(E933="",E933="!!!"),"",IF(NOT(ISNA(VLOOKUP(E933,E$1:E932,1,FALSE()))),"OLD",IF(AND(E933&lt;&gt;"",E933&lt;&gt;"!!!"),"NEW","")))</f>
        <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row>
    <row r="934" customFormat="false" ht="12.8" hidden="false" customHeight="false" outlineLevel="0" collapsed="false">
      <c r="A934" s="0" t="s">
        <v>529</v>
      </c>
      <c r="B934" s="0" t="s">
        <v>85</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8" hidden="false" customHeight="false" outlineLevel="0" collapsed="false">
      <c r="A935" s="0" t="s">
        <v>44</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8" hidden="false" customHeight="false" outlineLevel="0" collapsed="false">
      <c r="A936" s="0" t="s">
        <v>54</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8" hidden="false" customHeight="false" outlineLevel="0" collapsed="false">
      <c r="A937" s="0" t="s">
        <v>103</v>
      </c>
      <c r="B937" s="0" t="s">
        <v>75</v>
      </c>
      <c r="C937" s="0" t="s">
        <v>244</v>
      </c>
      <c r="D937" s="0" t="s">
        <v>20</v>
      </c>
      <c r="E937" s="10" t="s">
        <v>530</v>
      </c>
      <c r="F937" s="11" t="s">
        <v>164</v>
      </c>
      <c r="G937" s="12" t="e">
        <f aca="false">IF(OR(E937="",E937="!!!"),"",IF(OR(J937=0,AND(J937=1,K937=1),AND(J937=1,I937="SBJ"),AND(J937=1,I937=0)),"?IN_FOCUS",IF(J937&lt;=2,"?ACTIVATED",IF(J937&lt;&gt;"","?FAMILIAR",IF(F937="NEW",IF(ISNA(VLOOKUP(E937,#REF!,1,FALSE())),"?TYPE_IDENTIFIABLE","?REFERENTIAL"),"_")))))</f>
        <v>#VALUE!</v>
      </c>
      <c r="H937" s="13" t="e">
        <f aca="false">IF(J937&lt;&gt;1,"",IF(I937="SBJ","CB","?"))</f>
        <v>#VALUE!</v>
      </c>
      <c r="I937" s="14" t="e">
        <f aca="false">IF(OR(E937="",E937="!!!",F937="NEW"),"",INDEX(B$2:B936,-1+SUMPRODUCT(MAX(ROW(E$2:E936)*(E937=E$2:E936)))))</f>
        <v>#VALUE!</v>
      </c>
      <c r="J937" s="15" t="e">
        <f aca="true">IF(OR(E937="",E937="!!!",F937="NEW"),"",COUNTBLANK(OFFSET(A$1,,,SUMPRODUCT(MAX(ROW(E$2:E937)*(E937=E$2:E937)))))-COUNTBLANK(OFFSET(A$1,,,SUMPRODUCT(MAX(ROW(E$1:E936)*(E937=E$1:E936))))))</f>
        <v>#VALUE!</v>
      </c>
      <c r="K937" s="15" t="e">
        <f aca="false">IF(OR(E937="",E937="!!!",F937="NEW"),"",INDEX(J$1:J936,SUMPRODUCT(MAX(ROW(E$1:E936)*(E937=E$1:E936)))))</f>
        <v>#VALUE!</v>
      </c>
      <c r="L937" s="16"/>
    </row>
    <row r="938" customFormat="false" ht="12.8" hidden="false" customHeight="false" outlineLevel="0" collapsed="false">
      <c r="A938" s="0" t="s">
        <v>209</v>
      </c>
      <c r="E938" s="10"/>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8" hidden="false" customHeight="false" outlineLevel="0" collapsed="false">
      <c r="A939" s="0" t="s">
        <v>531</v>
      </c>
      <c r="E939" s="10" t="str">
        <f aca="false">IF(D939="?OLD","!!!","")</f>
        <v/>
      </c>
      <c r="F939" s="11" t="str">
        <f aca="false">IF(OR(E939="",E939="!!!"),"",IF(NOT(ISNA(VLOOKUP(E939,E$1:E938,1,FALSE()))),"OLD",IF(AND(E939&lt;&gt;"",E939&lt;&gt;"!!!"),"NEW","")))</f>
        <v/>
      </c>
      <c r="G939" s="12" t="str">
        <f aca="false">IF(OR(E939="",E939="!!!"),"",IF(OR(J939=0,AND(J939=1,K939=1),AND(J939=1,I939="SBJ"),AND(J939=1,I939=0)),"?IN_FOCUS",IF(J939&lt;=2,"?ACTIVATED",IF(J939&lt;&gt;"","?FAMILIAR",IF(F939="NEW",IF(ISNA(VLOOKUP(E939,#REF!,1,FALSE())),"?TYPE_IDENTIFIABLE","?REFERENTIAL"),"_")))))</f>
        <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8" hidden="false" customHeight="false" outlineLevel="0" collapsed="false">
      <c r="A940" s="0" t="s">
        <v>532</v>
      </c>
      <c r="B940" s="0" t="s">
        <v>85</v>
      </c>
      <c r="C940" s="0" t="s">
        <v>533</v>
      </c>
      <c r="E940" s="10" t="str">
        <f aca="false">IF(D940="?OLD","!!!","")</f>
        <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t="s">
        <v>534</v>
      </c>
    </row>
    <row r="941" customFormat="false" ht="12.8" hidden="false" customHeight="false" outlineLevel="0" collapsed="false">
      <c r="A941" s="0" t="s">
        <v>370</v>
      </c>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8" hidden="false" customHeight="false" outlineLevel="0" collapsed="false">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8" hidden="false" customHeight="false" outlineLevel="0" collapsed="false">
      <c r="A943" s="0" t="s">
        <v>535</v>
      </c>
      <c r="E943" s="10" t="str">
        <f aca="false">IF(D943="?OLD","!!!","")</f>
        <v/>
      </c>
      <c r="F943" s="11" t="str">
        <f aca="false">IF(OR(E943="",E943="!!!"),"",IF(NOT(ISNA(VLOOKUP(E943,E$1:E942,1,FALSE()))),"OLD",IF(AND(E943&lt;&gt;"",E943&lt;&gt;"!!!"),"NEW","")))</f>
        <v/>
      </c>
      <c r="G943" s="12" t="str">
        <f aca="false">IF(OR(E943="",E943="!!!"),"",IF(OR(J943=0,AND(J943=1,K943=1),AND(J943=1,I943="SBJ"),AND(J943=1,I943=0)),"?IN_FOCUS",IF(J943&lt;=2,"?ACTIVATED",IF(J943&lt;&gt;"","?FAMILIAR",IF(F943="NEW",IF(ISNA(VLOOKUP(E943,#REF!,1,FALSE())),"?TYPE_IDENTIFIABLE","?REFERENTIAL"),"_")))))</f>
        <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8" hidden="false" customHeight="false" outlineLevel="0" collapsed="false">
      <c r="A944" s="0" t="s">
        <v>46</v>
      </c>
      <c r="B944" s="0" t="s">
        <v>47</v>
      </c>
      <c r="C944" s="0" t="s">
        <v>48</v>
      </c>
      <c r="D944" s="0" t="s">
        <v>20</v>
      </c>
      <c r="E944" s="10" t="s">
        <v>49</v>
      </c>
      <c r="F944" s="11" t="str">
        <f aca="false">IF(OR(E944="",E944="!!!"),"",IF(NOT(ISNA(VLOOKUP(E944,E$1:E943,1,FALSE()))),"OLD",IF(AND(E944&lt;&gt;"",E944&lt;&gt;"!!!"),"NEW","")))</f>
        <v>OLD</v>
      </c>
      <c r="G944" s="12" t="s">
        <v>36</v>
      </c>
      <c r="H944" s="13" t="str">
        <f aca="false">IF(J944&lt;&gt;1,"",IF(I944="SBJ","CB","?"))</f>
        <v/>
      </c>
      <c r="I944" s="14" t="str">
        <f aca="false">IF(OR(E944="",E944="!!!",F944="NEW"),"",INDEX(B$2:B943,-1+SUMPRODUCT(MAX(ROW(E$2:E943)*(E944=E$2:E943)))))</f>
        <v>SBJ_2</v>
      </c>
      <c r="J944" s="15" t="n">
        <f aca="true">IF(OR(E944="",E944="!!!",F944="NEW"),"",COUNTBLANK(OFFSET(A$1,,,SUMPRODUCT(MAX(ROW(E$2:E944)*(E944=E$2:E944)))))-COUNTBLANK(OFFSET(A$1,,,SUMPRODUCT(MAX(ROW(E$1:E943)*(E944=E$1:E943))))))</f>
        <v>24</v>
      </c>
      <c r="K944" s="15" t="n">
        <f aca="false">IF(OR(E944="",E944="!!!",F944="NEW"),"",INDEX(J$1:J943,SUMPRODUCT(MAX(ROW(E$1:E943)*(E944=E$1:E943)))))</f>
        <v>7</v>
      </c>
      <c r="L944" s="16"/>
    </row>
    <row r="945" customFormat="false" ht="12.8" hidden="false" customHeight="false" outlineLevel="0" collapsed="false">
      <c r="A945" s="0" t="s">
        <v>82</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8" hidden="false" customHeight="false" outlineLevel="0" collapsed="false">
      <c r="A946" s="0" t="s">
        <v>44</v>
      </c>
      <c r="E946" s="10" t="str">
        <f aca="false">IF(D946="?OLD","!!!","")</f>
        <v/>
      </c>
      <c r="F946" s="11" t="str">
        <f aca="false">IF(OR(E946="",E946="!!!"),"",IF(NOT(ISNA(VLOOKUP(E946,E$1:E945,1,FALSE()))),"OLD",IF(AND(E946&lt;&gt;"",E946&lt;&gt;"!!!"),"NEW","")))</f>
        <v/>
      </c>
      <c r="G946" s="12" t="str">
        <f aca="false">IF(OR(E946="",E946="!!!"),"",IF(OR(J946=0,AND(J946=1,K946=1),AND(J946=1,I946="SBJ"),AND(J946=1,I946=0)),"?IN_FOCUS",IF(J946&lt;=2,"?ACTIVATED",IF(J946&lt;&gt;"","?FAMILIAR",IF(F946="NEW",IF(ISNA(VLOOKUP(E946,#REF!,1,FALSE())),"?TYPE_IDENTIFIABLE","?REFERENTIAL"),"_")))))</f>
        <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8" hidden="false" customHeight="false" outlineLevel="0" collapsed="false">
      <c r="A947" s="0" t="s">
        <v>536</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8" hidden="false" customHeight="false" outlineLevel="0" collapsed="false">
      <c r="A948" s="0" t="s">
        <v>515</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8" hidden="false" customHeight="false" outlineLevel="0" collapsed="false">
      <c r="A949" s="0" t="s">
        <v>44</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8" hidden="false" customHeight="false" outlineLevel="0" collapsed="false">
      <c r="A950" s="0" t="s">
        <v>41</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8" hidden="false" customHeight="false" outlineLevel="0" collapsed="false">
      <c r="A951" s="0" t="s">
        <v>370</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8" hidden="false" customHeight="false" outlineLevel="0" collapsed="false">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8" hidden="false" customHeight="false" outlineLevel="0" collapsed="false">
      <c r="A953" s="0" t="s">
        <v>537</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8" hidden="false" customHeight="false" outlineLevel="0" collapsed="false">
      <c r="A954" s="0" t="s">
        <v>254</v>
      </c>
      <c r="E954" s="10" t="s">
        <v>538</v>
      </c>
      <c r="F954" s="11" t="s">
        <v>123</v>
      </c>
      <c r="G954" s="12" t="s">
        <v>67</v>
      </c>
      <c r="H954" s="13"/>
      <c r="I954" s="14" t="e">
        <f aca="false">IF(OR(E954="",E954="!!!",F954="NEW"),"",INDEX(B$2:B953,-1+SUMPRODUCT(MAX(ROW(E$2:E953)*(E954=E$2:E953)))))</f>
        <v>#VALUE!</v>
      </c>
      <c r="J954" s="15" t="e">
        <f aca="true">IF(OR(E954="",E954="!!!",F954="NEW"),"",COUNTBLANK(OFFSET(A$1,,,SUMPRODUCT(MAX(ROW(E$2:E954)*(E954=E$2:E954)))))-COUNTBLANK(OFFSET(A$1,,,SUMPRODUCT(MAX(ROW(E$1:E953)*(E954=E$1:E953))))))</f>
        <v>#VALUE!</v>
      </c>
      <c r="K954" s="15" t="e">
        <f aca="false">IF(OR(E954="",E954="!!!",F954="NEW"),"",INDEX(J$1:J953,SUMPRODUCT(MAX(ROW(E$1:E953)*(E954=E$1:E953)))))</f>
        <v>#VALUE!</v>
      </c>
      <c r="L954" s="16"/>
    </row>
    <row r="955" customFormat="false" ht="12.8" hidden="false" customHeight="false" outlineLevel="0" collapsed="false">
      <c r="A955" s="0" t="s">
        <v>333</v>
      </c>
      <c r="B955" s="0" t="s">
        <v>14</v>
      </c>
      <c r="C955" s="0" t="s">
        <v>31</v>
      </c>
      <c r="E955" s="10" t="s">
        <v>333</v>
      </c>
      <c r="F955" s="11" t="str">
        <f aca="false">IF(OR(E955="",E955="!!!"),"",IF(NOT(ISNA(VLOOKUP(E955,E$1:E954,1,FALSE()))),"OLD",IF(AND(E955&lt;&gt;"",E955&lt;&gt;"!!!"),"NEW","")))</f>
        <v>OLD</v>
      </c>
      <c r="G955" s="12" t="s">
        <v>36</v>
      </c>
      <c r="H955" s="13" t="str">
        <f aca="false">IF(J955&lt;&gt;1,"",IF(I955="SBJ","CB","?"))</f>
        <v/>
      </c>
      <c r="I955" s="14" t="str">
        <f aca="false">IF(OR(E955="",E955="!!!",F955="NEW"),"",INDEX(B$2:B954,-1+SUMPRODUCT(MAX(ROW(E$2:E954)*(E955=E$2:E954)))))</f>
        <v>SBJ</v>
      </c>
      <c r="J955" s="15" t="n">
        <f aca="true">IF(OR(E955="",E955="!!!",F955="NEW"),"",COUNTBLANK(OFFSET(A$1,,,SUMPRODUCT(MAX(ROW(E$2:E955)*(E955=E$2:E955)))))-COUNTBLANK(OFFSET(A$1,,,SUMPRODUCT(MAX(ROW(E$1:E954)*(E955=E$1:E954))))))</f>
        <v>15</v>
      </c>
      <c r="K955" s="15" t="n">
        <f aca="false">IF(OR(E955="",E955="!!!",F955="NEW"),"",INDEX(J$1:J954,SUMPRODUCT(MAX(ROW(E$1:E954)*(E955=E$1:E954)))))</f>
        <v>11</v>
      </c>
      <c r="L955" s="16"/>
    </row>
    <row r="956" customFormat="false" ht="12.8" hidden="false" customHeight="false" outlineLevel="0" collapsed="false">
      <c r="A956" s="0" t="s">
        <v>51</v>
      </c>
      <c r="B956" s="0" t="s">
        <v>47</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8" hidden="false" customHeight="false" outlineLevel="0" collapsed="false">
      <c r="A957" s="0" t="s">
        <v>539</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8" hidden="false" customHeight="false" outlineLevel="0" collapsed="false">
      <c r="A958" s="0" t="s">
        <v>30</v>
      </c>
      <c r="B958" s="0" t="s">
        <v>170</v>
      </c>
      <c r="C958" s="0" t="s">
        <v>31</v>
      </c>
      <c r="E958" s="10" t="s">
        <v>30</v>
      </c>
      <c r="F958" s="11" t="str">
        <f aca="false">IF(OR(E958="",E958="!!!"),"",IF(NOT(ISNA(VLOOKUP(E958,E$1:E957,1,FALSE()))),"OLD",IF(AND(E958&lt;&gt;"",E958&lt;&gt;"!!!"),"NEW","")))</f>
        <v>OLD</v>
      </c>
      <c r="G958" s="12" t="s">
        <v>36</v>
      </c>
      <c r="H958" s="13" t="str">
        <f aca="false">IF(J958&lt;&gt;1,"",IF(I958="SBJ","CB","?"))</f>
        <v/>
      </c>
      <c r="I958" s="14" t="str">
        <f aca="false">IF(OR(E958="",E958="!!!",F958="NEW"),"",INDEX(B$2:B957,-1+SUMPRODUCT(MAX(ROW(E$2:E957)*(E958=E$2:E957)))))</f>
        <v>other_2</v>
      </c>
      <c r="J958" s="15" t="n">
        <f aca="true">IF(OR(E958="",E958="!!!",F958="NEW"),"",COUNTBLANK(OFFSET(A$1,,,SUMPRODUCT(MAX(ROW(E$2:E958)*(E958=E$2:E958)))))-COUNTBLANK(OFFSET(A$1,,,SUMPRODUCT(MAX(ROW(E$1:E957)*(E958=E$1:E957))))))</f>
        <v>16</v>
      </c>
      <c r="K958" s="15" t="n">
        <f aca="false">IF(OR(E958="",E958="!!!",F958="NEW"),"",INDEX(J$1:J957,SUMPRODUCT(MAX(ROW(E$1:E957)*(E958=E$1:E957)))))</f>
        <v>3</v>
      </c>
      <c r="L958" s="16"/>
    </row>
    <row r="959" customFormat="false" ht="12.8" hidden="false" customHeight="false" outlineLevel="0" collapsed="false">
      <c r="A959" s="0" t="s">
        <v>344</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8" hidden="false" customHeight="false" outlineLevel="0" collapsed="false">
      <c r="A960" s="0" t="s">
        <v>540</v>
      </c>
      <c r="B960" s="0" t="s">
        <v>75</v>
      </c>
      <c r="C960" s="0" t="s">
        <v>31</v>
      </c>
      <c r="E960" s="10" t="str">
        <f aca="false">IF(D960="?OLD","!!!","")</f>
        <v/>
      </c>
      <c r="F960" s="11" t="str">
        <f aca="false">IF(OR(E960="",E960="!!!"),"",IF(NOT(ISNA(VLOOKUP(E960,E$1:E959,1,FALSE()))),"OLD",IF(AND(E960&lt;&gt;"",E960&lt;&gt;"!!!"),"NEW","")))</f>
        <v/>
      </c>
      <c r="G960" s="12" t="str">
        <f aca="false">IF(OR(E960="",E960="!!!"),"",IF(OR(J960=0,AND(J960=1,K960=1),AND(J960=1,I960="SBJ"),AND(J960=1,I960=0)),"?IN_FOCUS",IF(J960&lt;=2,"?ACTIVATED",IF(J960&lt;&gt;"","?FAMILIAR",IF(F960="NEW",IF(ISNA(VLOOKUP(E960,#REF!,1,FALSE())),"?TYPE_IDENTIFIABLE","?REFERENTIAL"),"_")))))</f>
        <v/>
      </c>
      <c r="H960" s="13" t="str">
        <f aca="false">IF(J960&lt;&gt;1,"",IF(I960="SBJ","CB","?"))</f>
        <v/>
      </c>
      <c r="I960" s="14" t="str">
        <f aca="false">IF(OR(E960="",E960="!!!",F960="NEW"),"",INDEX(B$2:B959,-1+SUMPRODUCT(MAX(ROW(E$2:E959)*(E960=E$2:E959)))))</f>
        <v/>
      </c>
      <c r="J960" s="15" t="str">
        <f aca="true">IF(OR(E960="",E960="!!!",F960="NEW"),"",COUNTBLANK(OFFSET(A$1,,,SUMPRODUCT(MAX(ROW(E$2:E960)*(E960=E$2:E960)))))-COUNTBLANK(OFFSET(A$1,,,SUMPRODUCT(MAX(ROW(E$1:E959)*(E960=E$1:E959))))))</f>
        <v/>
      </c>
      <c r="K960" s="15" t="str">
        <f aca="false">IF(OR(E960="",E960="!!!",F960="NEW"),"",INDEX(J$1:J959,SUMPRODUCT(MAX(ROW(E$1:E959)*(E960=E$1:E959)))))</f>
        <v/>
      </c>
      <c r="L960" s="16"/>
    </row>
    <row r="961" customFormat="false" ht="12.8" hidden="false" customHeight="false" outlineLevel="0" collapsed="false">
      <c r="A961" s="0" t="s">
        <v>41</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8" hidden="false" customHeight="false" outlineLevel="0" collapsed="false">
      <c r="A962" s="0" t="s">
        <v>239</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8" hidden="false" customHeight="false" outlineLevel="0" collapsed="false">
      <c r="A963" s="0" t="s">
        <v>323</v>
      </c>
      <c r="E963" s="10" t="str">
        <f aca="false">IF(D963="?OLD","!!!","")</f>
        <v/>
      </c>
      <c r="F963" s="11" t="str">
        <f aca="false">IF(OR(E963="",E963="!!!"),"",IF(NOT(ISNA(VLOOKUP(E963,E$1:E962,1,FALSE()))),"OLD",IF(AND(E963&lt;&gt;"",E963&lt;&gt;"!!!"),"NEW","")))</f>
        <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8" hidden="false" customHeight="false" outlineLevel="0" collapsed="false">
      <c r="A964" s="0" t="s">
        <v>365</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8" hidden="false" customHeight="false" outlineLevel="0" collapsed="false">
      <c r="A965" s="0" t="s">
        <v>370</v>
      </c>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8" hidden="false" customHeight="false" outlineLevel="0" collapsed="false">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8" hidden="false" customHeight="false" outlineLevel="0" collapsed="false">
      <c r="A967" s="0" t="s">
        <v>541</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8" hidden="false" customHeight="false" outlineLevel="0" collapsed="false">
      <c r="A968" s="0" t="s">
        <v>24</v>
      </c>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8" hidden="false" customHeight="false" outlineLevel="0" collapsed="false">
      <c r="A969" s="0" t="s">
        <v>542</v>
      </c>
      <c r="B969" s="0" t="s">
        <v>34</v>
      </c>
      <c r="C969" s="0" t="s">
        <v>27</v>
      </c>
      <c r="D969" s="0" t="s">
        <v>20</v>
      </c>
      <c r="E969" s="10" t="s">
        <v>538</v>
      </c>
      <c r="F969" s="11" t="s">
        <v>137</v>
      </c>
      <c r="G969" s="12" t="s">
        <v>510</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8" hidden="false" customHeight="false" outlineLevel="0" collapsed="false">
      <c r="A970" s="0" t="s">
        <v>51</v>
      </c>
      <c r="B970" s="0" t="s">
        <v>53</v>
      </c>
      <c r="E970" s="10" t="str">
        <f aca="false">IF(D970="?OLD","!!!","")</f>
        <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8" hidden="false" customHeight="false" outlineLevel="0" collapsed="false">
      <c r="A971" s="0" t="s">
        <v>125</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8" hidden="false" customHeight="false" outlineLevel="0" collapsed="false">
      <c r="A972" s="0" t="s">
        <v>126</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8" hidden="false" customHeight="false" outlineLevel="0" collapsed="false">
      <c r="A973" s="0" t="s">
        <v>127</v>
      </c>
      <c r="B973" s="0" t="s">
        <v>59</v>
      </c>
      <c r="C973" s="0" t="s">
        <v>48</v>
      </c>
      <c r="D973" s="0" t="s">
        <v>20</v>
      </c>
      <c r="E973" s="10" t="s">
        <v>128</v>
      </c>
      <c r="F973" s="11" t="str">
        <f aca="false">IF(OR(E973="",E973="!!!"),"",IF(NOT(ISNA(VLOOKUP(E973,E$1:E972,1,FALSE()))),"OLD",IF(AND(E973&lt;&gt;"",E973&lt;&gt;"!!!"),"NEW","")))</f>
        <v>OLD</v>
      </c>
      <c r="G973" s="12" t="s">
        <v>36</v>
      </c>
      <c r="H973" s="13" t="str">
        <f aca="false">IF(J973&lt;&gt;1,"",IF(I973="SBJ","CB","?"))</f>
        <v/>
      </c>
      <c r="I973" s="14" t="str">
        <f aca="false">IF(OR(E973="",E973="!!!",F973="NEW"),"",INDEX(B$2:B972,-1+SUMPRODUCT(MAX(ROW(E$2:E972)*(E973=E$2:E972)))))</f>
        <v>SBJ</v>
      </c>
      <c r="J973" s="15" t="n">
        <f aca="true">IF(OR(E973="",E973="!!!",F973="NEW"),"",COUNTBLANK(OFFSET(A$1,,,SUMPRODUCT(MAX(ROW(E$2:E973)*(E973=E$2:E973)))))-COUNTBLANK(OFFSET(A$1,,,SUMPRODUCT(MAX(ROW(E$1:E972)*(E973=E$1:E972))))))</f>
        <v>3</v>
      </c>
      <c r="K973" s="15" t="n">
        <f aca="false">IF(OR(E973="",E973="!!!",F973="NEW"),"",INDEX(J$1:J972,SUMPRODUCT(MAX(ROW(E$1:E972)*(E973=E$1:E972)))))</f>
        <v>23</v>
      </c>
      <c r="L973" s="16"/>
    </row>
    <row r="974" customFormat="false" ht="12.8" hidden="false" customHeight="false" outlineLevel="0" collapsed="false">
      <c r="A974" s="0" t="s">
        <v>37</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8" hidden="false" customHeight="false" outlineLevel="0" collapsed="false">
      <c r="A975" s="0" t="s">
        <v>543</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8" hidden="false" customHeight="false" outlineLevel="0" collapsed="false">
      <c r="A976" s="0" t="s">
        <v>76</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8" hidden="false" customHeight="false" outlineLevel="0" collapsed="false">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8" hidden="false" customHeight="false" outlineLevel="0" collapsed="false">
      <c r="A978" s="0" t="s">
        <v>544</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8" hidden="false" customHeight="false" outlineLevel="0" collapsed="false">
      <c r="A979" s="0" t="s">
        <v>24</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8" hidden="false" customHeight="false" outlineLevel="0" collapsed="false">
      <c r="A980" s="0" t="s">
        <v>276</v>
      </c>
      <c r="B980" s="0" t="s">
        <v>34</v>
      </c>
      <c r="C980" s="0" t="s">
        <v>27</v>
      </c>
      <c r="E980" s="10" t="s">
        <v>277</v>
      </c>
      <c r="F980" s="11" t="str">
        <f aca="false">IF(OR(E980="",E980="!!!"),"",IF(NOT(ISNA(VLOOKUP(E980,E$1:E979,1,FALSE()))),"OLD",IF(AND(E980&lt;&gt;"",E980&lt;&gt;"!!!"),"NEW","")))</f>
        <v>OLD</v>
      </c>
      <c r="G980" s="12" t="s">
        <v>36</v>
      </c>
      <c r="H980" s="13" t="str">
        <f aca="false">IF(J980&lt;&gt;1,"",IF(I980="SBJ","CB","?"))</f>
        <v/>
      </c>
      <c r="I980" s="14" t="str">
        <f aca="false">IF(OR(E980="",E980="!!!",F980="NEW"),"",INDEX(B$2:B979,-1+SUMPRODUCT(MAX(ROW(E$2:E979)*(E980=E$2:E979)))))</f>
        <v>SBJ_2</v>
      </c>
      <c r="J980" s="15" t="n">
        <f aca="true">IF(OR(E980="",E980="!!!",F980="NEW"),"",COUNTBLANK(OFFSET(A$1,,,SUMPRODUCT(MAX(ROW(E$2:E980)*(E980=E$2:E980)))))-COUNTBLANK(OFFSET(A$1,,,SUMPRODUCT(MAX(ROW(E$1:E979)*(E980=E$1:E979))))))</f>
        <v>32</v>
      </c>
      <c r="K980" s="15" t="n">
        <f aca="false">IF(OR(E980="",E980="!!!",F980="NEW"),"",INDEX(J$1:J979,SUMPRODUCT(MAX(ROW(E$1:E979)*(E980=E$1:E979)))))</f>
        <v>0</v>
      </c>
      <c r="L980" s="16" t="s">
        <v>545</v>
      </c>
    </row>
    <row r="981" customFormat="false" ht="12.8" hidden="false" customHeight="false" outlineLevel="0" collapsed="false">
      <c r="A981" s="0" t="s">
        <v>546</v>
      </c>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8" hidden="false" customHeight="false" outlineLevel="0" collapsed="false">
      <c r="A982" s="0" t="s">
        <v>51</v>
      </c>
      <c r="B982" s="0" t="s">
        <v>47</v>
      </c>
      <c r="E982" s="10" t="str">
        <f aca="false">IF(D982="?OLD","!!!","")</f>
        <v/>
      </c>
      <c r="F982" s="11" t="s">
        <v>547</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t="s">
        <v>548</v>
      </c>
    </row>
    <row r="983" customFormat="false" ht="12.8" hidden="false" customHeight="false" outlineLevel="0" collapsed="false">
      <c r="A983" s="0" t="s">
        <v>549</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8" hidden="false" customHeight="false" outlineLevel="0" collapsed="false">
      <c r="A984" s="0" t="s">
        <v>139</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8" hidden="false" customHeight="false" outlineLevel="0" collapsed="false">
      <c r="A985" s="0" t="s">
        <v>156</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8" hidden="false" customHeight="false" outlineLevel="0" collapsed="false">
      <c r="A986" s="0" t="s">
        <v>298</v>
      </c>
      <c r="E986" s="10" t="s">
        <v>298</v>
      </c>
      <c r="F986" s="11" t="str">
        <f aca="false">IF(OR(E986="",E986="!!!"),"",IF(NOT(ISNA(VLOOKUP(E986,E$1:E985,1,FALSE()))),"OLD",IF(AND(E986&lt;&gt;"",E986&lt;&gt;"!!!"),"NEW","")))</f>
        <v>OLD</v>
      </c>
      <c r="G986" s="12" t="s">
        <v>36</v>
      </c>
      <c r="H986" s="13" t="str">
        <f aca="false">IF(J986&lt;&gt;1,"",IF(I986="SBJ","CB","?"))</f>
        <v/>
      </c>
      <c r="I986" s="14" t="str">
        <f aca="false">IF(OR(E986="",E986="!!!",F986="NEW"),"",INDEX(B$2:B985,-1+SUMPRODUCT(MAX(ROW(E$2:E985)*(E986=E$2:E985)))))</f>
        <v>OBJ</v>
      </c>
      <c r="J986" s="15" t="n">
        <f aca="true">IF(OR(E986="",E986="!!!",F986="NEW"),"",COUNTBLANK(OFFSET(A$1,,,SUMPRODUCT(MAX(ROW(E$2:E986)*(E986=E$2:E986)))))-COUNTBLANK(OFFSET(A$1,,,SUMPRODUCT(MAX(ROW(E$1:E985)*(E986=E$1:E985))))))</f>
        <v>17</v>
      </c>
      <c r="K986" s="15" t="n">
        <f aca="false">IF(OR(E986="",E986="!!!",F986="NEW"),"",INDEX(J$1:J985,SUMPRODUCT(MAX(ROW(E$1:E985)*(E986=E$1:E985)))))</f>
        <v>3</v>
      </c>
      <c r="L986" s="16"/>
    </row>
    <row r="987" customFormat="false" ht="12.8" hidden="false" customHeight="false" outlineLevel="0" collapsed="false">
      <c r="A987" s="0" t="s">
        <v>295</v>
      </c>
      <c r="B987" s="0" t="s">
        <v>75</v>
      </c>
      <c r="C987" s="0" t="s">
        <v>246</v>
      </c>
      <c r="E987" s="10" t="s">
        <v>550</v>
      </c>
      <c r="F987" s="11" t="str">
        <f aca="false">IF(OR(E987="",E987="!!!"),"",IF(NOT(ISNA(VLOOKUP(E987,E$1:E986,1,FALSE()))),"OLD",IF(AND(E987&lt;&gt;"",E987&lt;&gt;"!!!"),"NEW","")))</f>
        <v>NEW</v>
      </c>
      <c r="G987" s="12" t="s">
        <v>131</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t="s">
        <v>551</v>
      </c>
    </row>
    <row r="988" customFormat="false" ht="12.8" hidden="false" customHeight="false" outlineLevel="0" collapsed="false">
      <c r="A988" s="0" t="s">
        <v>552</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8" hidden="false" customHeight="false" outlineLevel="0" collapsed="false">
      <c r="A989" s="0" t="s">
        <v>209</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8" hidden="false" customHeight="false" outlineLevel="0" collapsed="false">
      <c r="A990" s="0" t="s">
        <v>322</v>
      </c>
      <c r="E990" s="10" t="str">
        <f aca="false">IF(D990="?OLD","!!!","")</f>
        <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8" hidden="false" customHeight="false" outlineLevel="0" collapsed="false">
      <c r="A991" s="0" t="s">
        <v>323</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8" hidden="false" customHeight="false" outlineLevel="0" collapsed="false">
      <c r="A992" s="0" t="s">
        <v>322</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8" hidden="false" customHeight="false" outlineLevel="0" collapsed="false">
      <c r="A993" s="0" t="s">
        <v>553</v>
      </c>
      <c r="B993" s="0" t="s">
        <v>14</v>
      </c>
      <c r="C993" s="0" t="s">
        <v>31</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8" hidden="false" customHeight="false" outlineLevel="0" collapsed="false">
      <c r="A994" s="0" t="s">
        <v>76</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8" hidden="false" customHeight="false" outlineLevel="0" collapsed="false">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8" hidden="false" customHeight="false" outlineLevel="0" collapsed="false">
      <c r="A996" s="0" t="s">
        <v>554</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8" hidden="false" customHeight="false" outlineLevel="0" collapsed="false">
      <c r="A997" s="0" t="s">
        <v>424</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8" hidden="false" customHeight="false" outlineLevel="0" collapsed="false">
      <c r="A998" s="0" t="s">
        <v>555</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8" hidden="false" customHeight="false" outlineLevel="0" collapsed="false">
      <c r="A999" s="0" t="s">
        <v>44</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8" hidden="false" customHeight="false" outlineLevel="0" collapsed="false">
      <c r="A1000" s="0" t="s">
        <v>161</v>
      </c>
      <c r="B1000" s="0" t="s">
        <v>34</v>
      </c>
      <c r="C1000" s="0" t="s">
        <v>48</v>
      </c>
      <c r="D1000" s="0" t="s">
        <v>20</v>
      </c>
      <c r="E1000" s="10" t="s">
        <v>161</v>
      </c>
      <c r="F1000" s="11" t="str">
        <f aca="false">IF(OR(E1000="",E1000="!!!"),"",IF(NOT(ISNA(VLOOKUP(E1000,E$1:E999,1,FALSE()))),"OLD",IF(AND(E1000&lt;&gt;"",E1000&lt;&gt;"!!!"),"NEW","")))</f>
        <v>OLD</v>
      </c>
      <c r="G1000" s="12" t="s">
        <v>36</v>
      </c>
      <c r="H1000" s="13" t="str">
        <f aca="false">IF(J1000&lt;&gt;1,"",IF(I1000="SBJ","CB","?"))</f>
        <v/>
      </c>
      <c r="I1000" s="14" t="str">
        <f aca="false">IF(OR(E1000="",E1000="!!!",F1000="NEW"),"",INDEX(B$2:B999,-1+SUMPRODUCT(MAX(ROW(E$2:E999)*(E1000=E$2:E999)))))</f>
        <v>SBJ_3</v>
      </c>
      <c r="J1000" s="15" t="n">
        <f aca="true">IF(OR(E1000="",E1000="!!!",F1000="NEW"),"",COUNTBLANK(OFFSET(A$1,,,SUMPRODUCT(MAX(ROW(E$2:E1000)*(E1000=E$2:E1000)))))-COUNTBLANK(OFFSET(A$1,,,SUMPRODUCT(MAX(ROW(E$1:E999)*(E1000=E$1:E999))))))</f>
        <v>32</v>
      </c>
      <c r="K1000" s="15" t="n">
        <f aca="false">IF(OR(E1000="",E1000="!!!",F1000="NEW"),"",INDEX(J$1:J999,SUMPRODUCT(MAX(ROW(E$1:E999)*(E1000=E$1:E999)))))</f>
        <v>2</v>
      </c>
      <c r="L1000" s="16" t="s">
        <v>556</v>
      </c>
    </row>
    <row r="1001" customFormat="false" ht="12.8" hidden="false" customHeight="false" outlineLevel="0" collapsed="false">
      <c r="A1001" s="0" t="s">
        <v>380</v>
      </c>
      <c r="E1001" s="10" t="str">
        <f aca="false">IF(D1001="?OLD","!!!","")</f>
        <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8" hidden="false" customHeight="false" outlineLevel="0" collapsed="false">
      <c r="A1002" s="0" t="s">
        <v>62</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8" hidden="false" customHeight="false" outlineLevel="0" collapsed="false">
      <c r="A1003" s="0" t="s">
        <v>557</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8" hidden="false" customHeight="false" outlineLevel="0" collapsed="false">
      <c r="A1004" s="0" t="s">
        <v>519</v>
      </c>
      <c r="B1004" s="0" t="s">
        <v>85</v>
      </c>
      <c r="C1004" s="0" t="s">
        <v>19</v>
      </c>
      <c r="D1004" s="0" t="s">
        <v>20</v>
      </c>
      <c r="E1004" s="10" t="s">
        <v>558</v>
      </c>
      <c r="F1004" s="11" t="str">
        <f aca="false">IF(OR(E1004="",E1004="!!!"),"",IF(NOT(ISNA(VLOOKUP(E1004,E$1:E1003,1,FALSE()))),"OLD",IF(AND(E1004&lt;&gt;"",E1004&lt;&gt;"!!!"),"NEW","")))</f>
        <v>NEW</v>
      </c>
      <c r="G1004" s="12" t="s">
        <v>67</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8" hidden="false" customHeight="false" outlineLevel="0" collapsed="false">
      <c r="A1005" s="0" t="s">
        <v>76</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8" hidden="false" customHeight="false" outlineLevel="0" collapsed="false">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8" hidden="false" customHeight="false" outlineLevel="0" collapsed="false">
      <c r="A1007" s="0" t="s">
        <v>559</v>
      </c>
      <c r="E1007" s="10" t="str">
        <f aca="false">IF(D1007="?OLD","!!!","")</f>
        <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I1007" s="14" t="str">
        <f aca="false">IF(OR(E1007="",E1007="!!!",F1007="NEW"),"",INDEX(B$2:B1006,-1+SUMPRODUCT(MAX(ROW(E$2:E1006)*(E1007=E$2:E1006)))))</f>
        <v/>
      </c>
      <c r="J1007" s="15" t="str">
        <f aca="true">IF(OR(E1007="",E1007="!!!",F1007="NEW"),"",COUNTBLANK(OFFSET(A$1,,,SUMPRODUCT(MAX(ROW(E$2:E1007)*(E1007=E$2:E1007)))))-COUNTBLANK(OFFSET(A$1,,,SUMPRODUCT(MAX(ROW(E$1:E1006)*(E1007=E$1:E1006))))))</f>
        <v/>
      </c>
      <c r="K1007" s="15" t="str">
        <f aca="false">IF(OR(E1007="",E1007="!!!",F1007="NEW"),"",INDEX(J$1:J1006,SUMPRODUCT(MAX(ROW(E$1:E1006)*(E1007=E$1:E1006)))))</f>
        <v/>
      </c>
      <c r="L1007" s="16"/>
    </row>
    <row r="1008" customFormat="false" ht="12.8" hidden="false" customHeight="false" outlineLevel="0" collapsed="false">
      <c r="A1008" s="0" t="s">
        <v>347</v>
      </c>
      <c r="B1008" s="0" t="s">
        <v>34</v>
      </c>
      <c r="C1008" s="0" t="s">
        <v>48</v>
      </c>
      <c r="D1008" s="0" t="s">
        <v>20</v>
      </c>
      <c r="E1008" s="10" t="s">
        <v>558</v>
      </c>
      <c r="F1008" s="11" t="str">
        <f aca="false">IF(OR(E1008="",E1008="!!!"),"",IF(NOT(ISNA(VLOOKUP(E1008,E$1:E1007,1,FALSE()))),"OLD",IF(AND(E1008&lt;&gt;"",E1008&lt;&gt;"!!!"),"NEW","")))</f>
        <v>OLD</v>
      </c>
      <c r="G1008" s="12" t="s">
        <v>87</v>
      </c>
      <c r="H1008" s="13" t="s">
        <v>7</v>
      </c>
      <c r="I1008" s="14" t="str">
        <f aca="false">IF(OR(E1008="",E1008="!!!",F1008="NEW"),"",INDEX(B$2:B1007,-1+SUMPRODUCT(MAX(ROW(E$2:E1007)*(E1008=E$2:E1007)))))</f>
        <v>OBJ</v>
      </c>
      <c r="J1008" s="15" t="n">
        <f aca="true">IF(OR(E1008="",E1008="!!!",F1008="NEW"),"",COUNTBLANK(OFFSET(A$1,,,SUMPRODUCT(MAX(ROW(E$2:E1008)*(E1008=E$2:E1008)))))-COUNTBLANK(OFFSET(A$1,,,SUMPRODUCT(MAX(ROW(E$1:E1007)*(E1008=E$1:E1007))))))</f>
        <v>1</v>
      </c>
      <c r="K1008" s="15" t="str">
        <f aca="false">IF(OR(E1008="",E1008="!!!",F1008="NEW"),"",INDEX(J$1:J1007,SUMPRODUCT(MAX(ROW(E$1:E1007)*(E1008=E$1:E1007)))))</f>
        <v/>
      </c>
      <c r="L1008" s="16"/>
    </row>
    <row r="1009" customFormat="false" ht="12.8" hidden="false" customHeight="false" outlineLevel="0" collapsed="false">
      <c r="A1009" s="0" t="s">
        <v>100</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8" hidden="false" customHeight="false" outlineLevel="0" collapsed="false">
      <c r="A1010" s="0" t="s">
        <v>560</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8" hidden="false" customHeight="false" outlineLevel="0" collapsed="false">
      <c r="A1011" s="0" t="s">
        <v>561</v>
      </c>
      <c r="B1011" s="0" t="s">
        <v>14</v>
      </c>
      <c r="C1011" s="0" t="s">
        <v>181</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8" hidden="false" customHeight="false" outlineLevel="0" collapsed="false">
      <c r="A1012" s="0" t="s">
        <v>61</v>
      </c>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8" hidden="false" customHeight="false" outlineLevel="0" collapsed="false">
      <c r="A1013" s="0" t="s">
        <v>141</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8" hidden="false" customHeight="false" outlineLevel="0" collapsed="false">
      <c r="A1014" s="0" t="s">
        <v>333</v>
      </c>
      <c r="B1014" s="0" t="s">
        <v>14</v>
      </c>
      <c r="C1014" s="0" t="s">
        <v>31</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8" hidden="false" customHeight="false" outlineLevel="0" collapsed="false">
      <c r="A1015" s="0" t="s">
        <v>562</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8" hidden="false" customHeight="false" outlineLevel="0" collapsed="false">
      <c r="A1016" s="0" t="s">
        <v>563</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8" hidden="false" customHeight="false" outlineLevel="0" collapsed="false">
      <c r="A1017" s="0" t="s">
        <v>564</v>
      </c>
      <c r="B1017" s="0" t="s">
        <v>75</v>
      </c>
      <c r="C1017" s="0" t="s">
        <v>31</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8" hidden="false" customHeight="false" outlineLevel="0" collapsed="false">
      <c r="A1018" s="0" t="s">
        <v>565</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8" hidden="false" customHeight="false" outlineLevel="0" collapsed="false">
      <c r="A1019" s="0" t="s">
        <v>62</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8" hidden="false" customHeight="false" outlineLevel="0" collapsed="false">
      <c r="A1020" s="0" t="s">
        <v>33</v>
      </c>
      <c r="B1020" s="0" t="s">
        <v>75</v>
      </c>
      <c r="C1020" s="0" t="s">
        <v>27</v>
      </c>
      <c r="D1020" s="0" t="s">
        <v>20</v>
      </c>
      <c r="E1020" s="10" t="s">
        <v>33</v>
      </c>
      <c r="F1020" s="11" t="str">
        <f aca="false">IF(OR(E1020="",E1020="!!!"),"",IF(NOT(ISNA(VLOOKUP(E1020,E$1:E1019,1,FALSE()))),"OLD",IF(AND(E1020&lt;&gt;"",E1020&lt;&gt;"!!!"),"NEW","")))</f>
        <v>OLD</v>
      </c>
      <c r="G1020" s="12" t="s">
        <v>36</v>
      </c>
      <c r="H1020" s="13" t="str">
        <f aca="false">IF(J1020&lt;&gt;1,"",IF(I1020="SBJ","CB","?"))</f>
        <v/>
      </c>
      <c r="I1020" s="14" t="str">
        <f aca="false">IF(OR(E1020="",E1020="!!!",F1020="NEW"),"",INDEX(B$2:B1019,-1+SUMPRODUCT(MAX(ROW(E$2:E1019)*(E1020=E$2:E1019)))))</f>
        <v>other_5</v>
      </c>
      <c r="J1020" s="15" t="n">
        <f aca="true">IF(OR(E1020="",E1020="!!!",F1020="NEW"),"",COUNTBLANK(OFFSET(A$1,,,SUMPRODUCT(MAX(ROW(E$2:E1020)*(E1020=E$2:E1020)))))-COUNTBLANK(OFFSET(A$1,,,SUMPRODUCT(MAX(ROW(E$1:E1019)*(E1020=E$1:E1019))))))</f>
        <v>27</v>
      </c>
      <c r="K1020" s="15" t="n">
        <f aca="false">IF(OR(E1020="",E1020="!!!",F1020="NEW"),"",INDEX(J$1:J1019,SUMPRODUCT(MAX(ROW(E$1:E1019)*(E1020=E$1:E1019)))))</f>
        <v>22</v>
      </c>
      <c r="L1020" s="16"/>
    </row>
    <row r="1021" customFormat="false" ht="12.8" hidden="false" customHeight="false" outlineLevel="0" collapsed="false">
      <c r="A1021" s="0" t="s">
        <v>76</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8" hidden="false" customHeight="false" outlineLevel="0" collapsed="false">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8" hidden="false" customHeight="false" outlineLevel="0" collapsed="false">
      <c r="A1023" s="0" t="s">
        <v>566</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8" hidden="false" customHeight="false" outlineLevel="0" collapsed="false">
      <c r="A1024" s="0" t="s">
        <v>78</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8" hidden="false" customHeight="false" outlineLevel="0" collapsed="false">
      <c r="A1025" s="0" t="s">
        <v>39</v>
      </c>
      <c r="E1025" s="10" t="str">
        <f aca="false">IF(D1025="?OLD","!!!","")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I1025" s="14" t="str">
        <f aca="false">IF(OR(E1025="",E1025="!!!",F1025="NEW"),"",INDEX(B$2:B1024,-1+SUMPRODUCT(MAX(ROW(E$2:E1024)*(E1025=E$2:E1024)))))</f>
        <v/>
      </c>
      <c r="J1025" s="15" t="str">
        <f aca="true">IF(OR(E1025="",E1025="!!!",F1025="NEW"),"",COUNTBLANK(OFFSET(A$1,,,SUMPRODUCT(MAX(ROW(E$2:E1025)*(E1025=E$2:E1025)))))-COUNTBLANK(OFFSET(A$1,,,SUMPRODUCT(MAX(ROW(E$1:E1024)*(E1025=E$1:E1024))))))</f>
        <v/>
      </c>
      <c r="K1025" s="15" t="str">
        <f aca="false">IF(OR(E1025="",E1025="!!!",F1025="NEW"),"",INDEX(J$1:J1024,SUMPRODUCT(MAX(ROW(E$1:E1024)*(E1025=E$1:E1024)))))</f>
        <v/>
      </c>
      <c r="L1025" s="16"/>
    </row>
    <row r="1026" customFormat="false" ht="12.8" hidden="false" customHeight="false" outlineLevel="0" collapsed="false">
      <c r="A1026" s="0" t="s">
        <v>567</v>
      </c>
      <c r="B1026" s="0" t="s">
        <v>14</v>
      </c>
      <c r="C1026" s="0" t="s">
        <v>31</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row>
    <row r="1027" customFormat="false" ht="12.8" hidden="false" customHeight="false" outlineLevel="0" collapsed="false">
      <c r="A1027" s="0" t="s">
        <v>44</v>
      </c>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8" hidden="false" customHeight="false" outlineLevel="0" collapsed="false">
      <c r="A1028" s="0" t="s">
        <v>161</v>
      </c>
      <c r="B1028" s="0" t="s">
        <v>34</v>
      </c>
      <c r="C1028" s="0" t="s">
        <v>48</v>
      </c>
      <c r="D1028" s="0" t="s">
        <v>20</v>
      </c>
      <c r="E1028" s="10" t="s">
        <v>161</v>
      </c>
      <c r="F1028" s="11" t="str">
        <f aca="false">IF(OR(E1028="",E1028="!!!"),"",IF(NOT(ISNA(VLOOKUP(E1028,E$1:E1027,1,FALSE()))),"OLD",IF(AND(E1028&lt;&gt;"",E1028&lt;&gt;"!!!"),"NEW","")))</f>
        <v>OLD</v>
      </c>
      <c r="G1028" s="12" t="s">
        <v>80</v>
      </c>
      <c r="H1028" s="13" t="str">
        <f aca="false">IF(J1028&lt;&gt;1,"",IF(I1028="SBJ","CB","?"))</f>
        <v/>
      </c>
      <c r="I1028" s="14" t="str">
        <f aca="false">IF(OR(E1028="",E1028="!!!",F1028="NEW"),"",INDEX(B$2:B1027,-1+SUMPRODUCT(MAX(ROW(E$2:E1027)*(E1028=E$2:E1027)))))</f>
        <v>SBJ</v>
      </c>
      <c r="J1028" s="15" t="n">
        <f aca="true">IF(OR(E1028="",E1028="!!!",F1028="NEW"),"",COUNTBLANK(OFFSET(A$1,,,SUMPRODUCT(MAX(ROW(E$2:E1028)*(E1028=E$2:E1028)))))-COUNTBLANK(OFFSET(A$1,,,SUMPRODUCT(MAX(ROW(E$1:E1027)*(E1028=E$1:E1027))))))</f>
        <v>2</v>
      </c>
      <c r="K1028" s="15" t="n">
        <f aca="false">IF(OR(E1028="",E1028="!!!",F1028="NEW"),"",INDEX(J$1:J1027,SUMPRODUCT(MAX(ROW(E$1:E1027)*(E1028=E$1:E1027)))))</f>
        <v>32</v>
      </c>
      <c r="L1028" s="16"/>
    </row>
    <row r="1029" customFormat="false" ht="12.8" hidden="false" customHeight="false" outlineLevel="0" collapsed="false">
      <c r="A1029" s="0" t="s">
        <v>380</v>
      </c>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8" hidden="false" customHeight="false" outlineLevel="0" collapsed="false">
      <c r="A1030" s="0" t="s">
        <v>179</v>
      </c>
      <c r="E1030" s="10" t="str">
        <f aca="false">IF(D1030="?OLD","!!!","")</f>
        <v/>
      </c>
      <c r="F1030" s="11" t="str">
        <f aca="false">IF(OR(E1030="",E1030="!!!"),"",IF(NOT(ISNA(VLOOKUP(E1030,E$1:E1029,1,FALSE()))),"OLD",IF(AND(E1030&lt;&gt;"",E1030&lt;&gt;"!!!"),"NEW","")))</f>
        <v/>
      </c>
      <c r="G1030" s="12" t="str">
        <f aca="false">IF(OR(E1030="",E1030="!!!"),"",IF(OR(J1030=0,AND(J1030=1,K1030=1),AND(J1030=1,I1030="SBJ"),AND(J1030=1,I1030=0)),"?IN_FOCUS",IF(J1030&lt;=2,"?ACTIVATED",IF(J1030&lt;&gt;"","?FAMILIAR",IF(F1030="NEW",IF(ISNA(VLOOKUP(E1030,#REF!,1,FALSE())),"?TYPE_IDENTIFIABLE","?REFERENTIAL"),"_")))))</f>
        <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8" hidden="false" customHeight="false" outlineLevel="0" collapsed="false">
      <c r="A1031" s="0" t="s">
        <v>568</v>
      </c>
      <c r="B1031" s="0" t="s">
        <v>85</v>
      </c>
      <c r="C1031" s="0" t="s">
        <v>181</v>
      </c>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8" hidden="false" customHeight="false" outlineLevel="0" collapsed="false">
      <c r="A1032" s="0" t="s">
        <v>61</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8" hidden="false" customHeight="false" outlineLevel="0" collapsed="false">
      <c r="A1033" s="0" t="s">
        <v>333</v>
      </c>
      <c r="B1033" s="0" t="s">
        <v>75</v>
      </c>
      <c r="C1033" s="0" t="s">
        <v>31</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8" hidden="false" customHeight="false" outlineLevel="0" collapsed="false">
      <c r="A1034" s="0" t="s">
        <v>569</v>
      </c>
      <c r="E1034" s="10" t="str">
        <f aca="false">IF(D1034="?OLD","!!!","")</f>
        <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I1034" s="14" t="str">
        <f aca="false">IF(OR(E1034="",E1034="!!!",F1034="NEW"),"",INDEX(B$2:B1033,-1+SUMPRODUCT(MAX(ROW(E$2:E1033)*(E1034=E$2:E1033)))))</f>
        <v/>
      </c>
      <c r="J1034" s="15" t="str">
        <f aca="true">IF(OR(E1034="",E1034="!!!",F1034="NEW"),"",COUNTBLANK(OFFSET(A$1,,,SUMPRODUCT(MAX(ROW(E$2:E1034)*(E1034=E$2:E1034)))))-COUNTBLANK(OFFSET(A$1,,,SUMPRODUCT(MAX(ROW(E$1:E1033)*(E1034=E$1:E1033))))))</f>
        <v/>
      </c>
      <c r="K1034" s="15" t="str">
        <f aca="false">IF(OR(E1034="",E1034="!!!",F1034="NEW"),"",INDEX(J$1:J1033,SUMPRODUCT(MAX(ROW(E$1:E1033)*(E1034=E$1:E1033)))))</f>
        <v/>
      </c>
      <c r="L1034" s="16"/>
    </row>
    <row r="1035" customFormat="false" ht="12.8" hidden="false" customHeight="false" outlineLevel="0" collapsed="false">
      <c r="A1035" s="0" t="s">
        <v>322</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8" hidden="false" customHeight="false" outlineLevel="0" collapsed="false">
      <c r="A1036" s="0" t="s">
        <v>570</v>
      </c>
      <c r="E1036" s="10" t="str">
        <f aca="false">IF(D1036="?OLD","!!!","")</f>
        <v/>
      </c>
      <c r="F1036" s="11" t="str">
        <f aca="false">IF(OR(E1036="",E1036="!!!"),"",IF(NOT(ISNA(VLOOKUP(E1036,E$1:E1035,1,FALSE()))),"OLD",IF(AND(E1036&lt;&gt;"",E1036&lt;&gt;"!!!"),"NEW","")))</f>
        <v/>
      </c>
      <c r="G1036" s="12" t="str">
        <f aca="false">IF(OR(E1036="",E1036="!!!"),"",IF(OR(J1036=0,AND(J1036=1,K1036=1),AND(J1036=1,I1036="SBJ"),AND(J1036=1,I1036=0)),"?IN_FOCUS",IF(J1036&lt;=2,"?ACTIVATED",IF(J1036&lt;&gt;"","?FAMILIAR",IF(F1036="NEW",IF(ISNA(VLOOKUP(E1036,#REF!,1,FALSE())),"?TYPE_IDENTIFIABLE","?REFERENTIAL"),"_")))))</f>
        <v/>
      </c>
      <c r="H1036" s="13" t="str">
        <f aca="false">IF(J1036&lt;&gt;1,"",IF(I1036="SBJ","CB","?"))</f>
        <v/>
      </c>
      <c r="I1036" s="14" t="str">
        <f aca="false">IF(OR(E1036="",E1036="!!!",F1036="NEW"),"",INDEX(B$2:B1035,-1+SUMPRODUCT(MAX(ROW(E$2:E1035)*(E1036=E$2:E1035)))))</f>
        <v/>
      </c>
      <c r="J1036" s="15" t="str">
        <f aca="true">IF(OR(E1036="",E1036="!!!",F1036="NEW"),"",COUNTBLANK(OFFSET(A$1,,,SUMPRODUCT(MAX(ROW(E$2:E1036)*(E1036=E$2:E1036)))))-COUNTBLANK(OFFSET(A$1,,,SUMPRODUCT(MAX(ROW(E$1:E1035)*(E1036=E$1:E1035))))))</f>
        <v/>
      </c>
      <c r="K1036" s="15" t="str">
        <f aca="false">IF(OR(E1036="",E1036="!!!",F1036="NEW"),"",INDEX(J$1:J1035,SUMPRODUCT(MAX(ROW(E$1:E1035)*(E1036=E$1:E1035)))))</f>
        <v/>
      </c>
      <c r="L1036" s="16"/>
    </row>
    <row r="1037" customFormat="false" ht="12.8" hidden="false" customHeight="false" outlineLevel="0" collapsed="false">
      <c r="A1037" s="0" t="s">
        <v>62</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8" hidden="false" customHeight="false" outlineLevel="0" collapsed="false">
      <c r="A1038" s="0" t="s">
        <v>571</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8" hidden="false" customHeight="false" outlineLevel="0" collapsed="false">
      <c r="A1039" s="0" t="s">
        <v>298</v>
      </c>
      <c r="E1039" s="10" t="s">
        <v>298</v>
      </c>
      <c r="F1039" s="11" t="str">
        <f aca="false">IF(OR(E1039="",E1039="!!!"),"",IF(NOT(ISNA(VLOOKUP(E1039,E$1:E1038,1,FALSE()))),"OLD",IF(AND(E1039&lt;&gt;"",E1039&lt;&gt;"!!!"),"NEW","")))</f>
        <v>OLD</v>
      </c>
      <c r="G1039" s="12" t="s">
        <v>36</v>
      </c>
      <c r="H1039" s="13" t="str">
        <f aca="false">IF(J1039&lt;&gt;1,"",IF(I1039="SBJ","CB","?"))</f>
        <v/>
      </c>
      <c r="I1039" s="14" t="n">
        <f aca="false">IF(OR(E1039="",E1039="!!!",F1039="NEW"),"",INDEX(B$2:B1038,-1+SUMPRODUCT(MAX(ROW(E$2:E1038)*(E1039=E$2:E1038)))))</f>
        <v>0</v>
      </c>
      <c r="J1039" s="15" t="n">
        <f aca="true">IF(OR(E1039="",E1039="!!!",F1039="NEW"),"",COUNTBLANK(OFFSET(A$1,,,SUMPRODUCT(MAX(ROW(E$2:E1039)*(E1039=E$2:E1039)))))-COUNTBLANK(OFFSET(A$1,,,SUMPRODUCT(MAX(ROW(E$1:E1038)*(E1039=E$1:E1038))))))</f>
        <v>3</v>
      </c>
      <c r="K1039" s="15" t="n">
        <f aca="false">IF(OR(E1039="",E1039="!!!",F1039="NEW"),"",INDEX(J$1:J1038,SUMPRODUCT(MAX(ROW(E$1:E1038)*(E1039=E$1:E1038)))))</f>
        <v>17</v>
      </c>
      <c r="L1039" s="16"/>
    </row>
    <row r="1040" customFormat="false" ht="12.8" hidden="false" customHeight="false" outlineLevel="0" collapsed="false">
      <c r="A1040" s="0" t="s">
        <v>295</v>
      </c>
      <c r="B1040" s="0" t="s">
        <v>59</v>
      </c>
      <c r="C1040" s="0" t="s">
        <v>27</v>
      </c>
      <c r="D1040" s="0" t="s">
        <v>20</v>
      </c>
      <c r="E1040" s="10"/>
      <c r="F1040" s="11" t="s">
        <v>86</v>
      </c>
      <c r="G1040" s="12" t="str">
        <f aca="false">IF(OR(E1040="",E1040="!!!"),"",IF(OR(J1040=0,AND(J1040=1,K1040=1),AND(J1040=1,I1040="SBJ"),AND(J1040=1,I1040=0)),"?IN_FOCUS",IF(J1040&lt;=2,"?ACTIVATED",IF(J1040&lt;&gt;"","?FAMILIAR",IF(F1040="NEW",IF(ISNA(VLOOKUP(E1040,#REF!,1,FALSE())),"?TYPE_IDENTIFIABLE","?REFERENTIAL"),"_")))))</f>
        <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8" hidden="false" customHeight="false" outlineLevel="0" collapsed="false">
      <c r="A1041" s="0" t="s">
        <v>76</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8" hidden="false" customHeight="false" outlineLevel="0" collapsed="false">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8" hidden="false" customHeight="false" outlineLevel="0" collapsed="false">
      <c r="A1043" s="0" t="s">
        <v>572</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8" hidden="false" customHeight="false" outlineLevel="0" collapsed="false">
      <c r="A1044" s="0" t="s">
        <v>573</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8" hidden="false" customHeight="false" outlineLevel="0" collapsed="false">
      <c r="A1045" s="0" t="s">
        <v>574</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8" hidden="false" customHeight="false" outlineLevel="0" collapsed="false">
      <c r="A1046" s="0" t="s">
        <v>575</v>
      </c>
      <c r="E1046" s="10" t="str">
        <f aca="false">IF(D1046="?OLD","!!!","")</f>
        <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8" hidden="false" customHeight="false" outlineLevel="0" collapsed="false">
      <c r="A1047" s="0" t="s">
        <v>576</v>
      </c>
      <c r="B1047" s="0" t="s">
        <v>14</v>
      </c>
      <c r="C1047" s="0" t="s">
        <v>15</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8" hidden="false" customHeight="false" outlineLevel="0" collapsed="false">
      <c r="A1048" s="0" t="s">
        <v>44</v>
      </c>
      <c r="E1048" s="10" t="str">
        <f aca="false">IF(D1048="?OLD","!!!","")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8" hidden="false" customHeight="false" outlineLevel="0" collapsed="false">
      <c r="A1049" s="0" t="s">
        <v>577</v>
      </c>
      <c r="E1049" s="10" t="str">
        <f aca="false">IF(D1049="?OLD","!!!","")</f>
        <v/>
      </c>
      <c r="F1049" s="11" t="str">
        <f aca="false">IF(OR(E1049="",E1049="!!!"),"",IF(NOT(ISNA(VLOOKUP(E1049,E$1:E1048,1,FALSE()))),"OLD",IF(AND(E1049&lt;&gt;"",E1049&lt;&gt;"!!!"),"NEW","")))</f>
        <v/>
      </c>
      <c r="G1049" s="12" t="str">
        <f aca="false">IF(OR(E1049="",E1049="!!!"),"",IF(OR(J1049=0,AND(J1049=1,K1049=1),AND(J1049=1,I1049="SBJ"),AND(J1049=1,I1049=0)),"?IN_FOCUS",IF(J1049&lt;=2,"?ACTIVATED",IF(J1049&lt;&gt;"","?FAMILIAR",IF(F1049="NEW",IF(ISNA(VLOOKUP(E1049,#REF!,1,FALSE())),"?TYPE_IDENTIFIABLE","?REFERENTIAL"),"_")))))</f>
        <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8" hidden="false" customHeight="false" outlineLevel="0" collapsed="false">
      <c r="A1050" s="0" t="s">
        <v>295</v>
      </c>
      <c r="E1050" s="10" t="str">
        <f aca="false">IF(D1050="?OLD","!!!","")</f>
        <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8" hidden="false" customHeight="false" outlineLevel="0" collapsed="false">
      <c r="A1051" s="0" t="s">
        <v>578</v>
      </c>
      <c r="B1051" s="0" t="s">
        <v>14</v>
      </c>
      <c r="C1051" s="0" t="s">
        <v>15</v>
      </c>
      <c r="E1051" s="10" t="s">
        <v>579</v>
      </c>
      <c r="F1051" s="11" t="str">
        <f aca="false">IF(OR(E1051="",E1051="!!!"),"",IF(NOT(ISNA(VLOOKUP(E1051,E$1:E1050,1,FALSE()))),"OLD",IF(AND(E1051&lt;&gt;"",E1051&lt;&gt;"!!!"),"NEW","")))</f>
        <v>NEW</v>
      </c>
      <c r="G1051" s="12" t="s">
        <v>67</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8" hidden="false" customHeight="false" outlineLevel="0" collapsed="false">
      <c r="A1052" s="0" t="s">
        <v>76</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8" hidden="false" customHeight="false" outlineLevel="0" collapsed="false">
      <c r="E1053" s="10" t="str">
        <f aca="false">IF(D1053="?OLD","!!!","")</f>
        <v/>
      </c>
      <c r="F1053" s="11" t="str">
        <f aca="false">IF(OR(E1053="",E1053="!!!"),"",IF(NOT(ISNA(VLOOKUP(E1053,E$1:E1052,1,FALSE()))),"OLD",IF(AND(E1053&lt;&gt;"",E1053&lt;&gt;"!!!"),"NEW","")))</f>
        <v/>
      </c>
      <c r="G1053" s="12" t="str">
        <f aca="false">IF(OR(E1053="",E1053="!!!"),"",IF(OR(J1053=0,AND(J1053=1,K1053=1),AND(J1053=1,I1053="SBJ"),AND(J1053=1,I1053=0)),"?IN_FOCUS",IF(J1053&lt;=2,"?ACTIVATED",IF(J1053&lt;&gt;"","?FAMILIAR",IF(F1053="NEW",IF(ISNA(VLOOKUP(E1053,#REF!,1,FALSE())),"?TYPE_IDENTIFIABLE","?REFERENTIAL"),"_")))))</f>
        <v/>
      </c>
      <c r="H1053" s="13" t="str">
        <f aca="false">IF(J1053&lt;&gt;1,"",IF(I1053="SBJ","CB","?"))</f>
        <v/>
      </c>
      <c r="I1053" s="14" t="str">
        <f aca="false">IF(OR(E1053="",E1053="!!!",F1053="NEW"),"",INDEX(B$2:B1052,-1+SUMPRODUCT(MAX(ROW(E$2:E1052)*(E1053=E$2:E1052)))))</f>
        <v/>
      </c>
      <c r="J1053" s="15" t="str">
        <f aca="true">IF(OR(E1053="",E1053="!!!",F1053="NEW"),"",COUNTBLANK(OFFSET(A$1,,,SUMPRODUCT(MAX(ROW(E$2:E1053)*(E1053=E$2:E1053)))))-COUNTBLANK(OFFSET(A$1,,,SUMPRODUCT(MAX(ROW(E$1:E1052)*(E1053=E$1:E1052))))))</f>
        <v/>
      </c>
      <c r="K1053" s="15" t="str">
        <f aca="false">IF(OR(E1053="",E1053="!!!",F1053="NEW"),"",INDEX(J$1:J1052,SUMPRODUCT(MAX(ROW(E$1:E1052)*(E1053=E$1:E1052)))))</f>
        <v/>
      </c>
      <c r="L1053" s="16"/>
    </row>
    <row r="1054" customFormat="false" ht="12.8" hidden="false" customHeight="false" outlineLevel="0" collapsed="false">
      <c r="A1054" s="0" t="s">
        <v>580</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8" hidden="false" customHeight="false" outlineLevel="0" collapsed="false">
      <c r="A1055" s="0" t="s">
        <v>363</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8" hidden="false" customHeight="false" outlineLevel="0" collapsed="false">
      <c r="A1056" s="0" t="s">
        <v>51</v>
      </c>
      <c r="B1056" s="0" t="s">
        <v>34</v>
      </c>
      <c r="C1056" s="0" t="s">
        <v>215</v>
      </c>
      <c r="D1056" s="0" t="s">
        <v>20</v>
      </c>
      <c r="E1056" s="10" t="s">
        <v>579</v>
      </c>
      <c r="F1056" s="11" t="str">
        <f aca="false">IF(OR(E1056="",E1056="!!!"),"",IF(NOT(ISNA(VLOOKUP(E1056,E$1:E1055,1,FALSE()))),"OLD",IF(AND(E1056&lt;&gt;"",E1056&lt;&gt;"!!!"),"NEW","")))</f>
        <v>OLD</v>
      </c>
      <c r="G1056" s="12" t="s">
        <v>87</v>
      </c>
      <c r="H1056" s="13" t="s">
        <v>7</v>
      </c>
      <c r="I1056" s="14" t="str">
        <f aca="false">IF(OR(E1056="",E1056="!!!",F1056="NEW"),"",INDEX(B$2:B1055,-1+SUMPRODUCT(MAX(ROW(E$2:E1055)*(E1056=E$2:E1055)))))</f>
        <v>other</v>
      </c>
      <c r="J1056" s="15" t="n">
        <f aca="true">IF(OR(E1056="",E1056="!!!",F1056="NEW"),"",COUNTBLANK(OFFSET(A$1,,,SUMPRODUCT(MAX(ROW(E$2:E1056)*(E1056=E$2:E1056)))))-COUNTBLANK(OFFSET(A$1,,,SUMPRODUCT(MAX(ROW(E$1:E1055)*(E1056=E$1:E1055))))))</f>
        <v>1</v>
      </c>
      <c r="K1056" s="15" t="str">
        <f aca="false">IF(OR(E1056="",E1056="!!!",F1056="NEW"),"",INDEX(J$1:J1055,SUMPRODUCT(MAX(ROW(E$1:E1055)*(E1056=E$1:E1055)))))</f>
        <v/>
      </c>
      <c r="L1056" s="16"/>
    </row>
    <row r="1057" customFormat="false" ht="12.8" hidden="false" customHeight="false" outlineLevel="0" collapsed="false">
      <c r="A1057" s="0" t="s">
        <v>100</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8" hidden="false" customHeight="false" outlineLevel="0" collapsed="false">
      <c r="A1058" s="0" t="s">
        <v>581</v>
      </c>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8" hidden="false" customHeight="false" outlineLevel="0" collapsed="false">
      <c r="A1059" s="0" t="s">
        <v>44</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8" hidden="false" customHeight="false" outlineLevel="0" collapsed="false">
      <c r="A1060" s="0" t="s">
        <v>475</v>
      </c>
      <c r="E1060" s="10" t="str">
        <f aca="false">IF(D1060="?OLD","!!!","")</f>
        <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8" hidden="false" customHeight="false" outlineLevel="0" collapsed="false">
      <c r="A1061" s="0" t="s">
        <v>370</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8" hidden="false" customHeight="false" outlineLevel="0" collapsed="false">
      <c r="E1062" s="10" t="str">
        <f aca="false">IF(D1062="?OLD","!!!","")</f>
        <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8" hidden="false" customHeight="false" outlineLevel="0" collapsed="false">
      <c r="A1063" s="0" t="s">
        <v>582</v>
      </c>
      <c r="E1063" s="10" t="str">
        <f aca="false">IF(D1063="?OLD","!!!","")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8" hidden="false" customHeight="false" outlineLevel="0" collapsed="false">
      <c r="A1064" s="0" t="s">
        <v>177</v>
      </c>
      <c r="B1064" s="0" t="s">
        <v>34</v>
      </c>
      <c r="C1064" s="0" t="s">
        <v>48</v>
      </c>
      <c r="D1064" s="0" t="s">
        <v>20</v>
      </c>
      <c r="E1064" s="10" t="s">
        <v>161</v>
      </c>
      <c r="F1064" s="11" t="str">
        <f aca="false">IF(OR(E1064="",E1064="!!!"),"",IF(NOT(ISNA(VLOOKUP(E1064,E$1:E1063,1,FALSE()))),"OLD",IF(AND(E1064&lt;&gt;"",E1064&lt;&gt;"!!!"),"NEW","")))</f>
        <v>OLD</v>
      </c>
      <c r="G1064" s="12" t="s">
        <v>36</v>
      </c>
      <c r="H1064" s="13" t="str">
        <f aca="false">IF(J1064&lt;&gt;1,"",IF(I1064="SBJ","CB","?"))</f>
        <v/>
      </c>
      <c r="I1064" s="14" t="str">
        <f aca="false">IF(OR(E1064="",E1064="!!!",F1064="NEW"),"",INDEX(B$2:B1063,-1+SUMPRODUCT(MAX(ROW(E$2:E1063)*(E1064=E$2:E1063)))))</f>
        <v>SBJ</v>
      </c>
      <c r="J1064" s="15" t="n">
        <f aca="true">IF(OR(E1064="",E1064="!!!",F1064="NEW"),"",COUNTBLANK(OFFSET(A$1,,,SUMPRODUCT(MAX(ROW(E$2:E1064)*(E1064=E$2:E1064)))))-COUNTBLANK(OFFSET(A$1,,,SUMPRODUCT(MAX(ROW(E$1:E1063)*(E1064=E$1:E1063))))))</f>
        <v>3</v>
      </c>
      <c r="K1064" s="15" t="n">
        <f aca="false">IF(OR(E1064="",E1064="!!!",F1064="NEW"),"",INDEX(J$1:J1063,SUMPRODUCT(MAX(ROW(E$1:E1063)*(E1064=E$1:E1063)))))</f>
        <v>2</v>
      </c>
      <c r="L1064" s="16"/>
    </row>
    <row r="1065" customFormat="false" ht="12.8" hidden="false" customHeight="false" outlineLevel="0" collapsed="false">
      <c r="A1065" s="0" t="s">
        <v>583</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8" hidden="false" customHeight="false" outlineLevel="0" collapsed="false">
      <c r="A1066" s="0" t="s">
        <v>159</v>
      </c>
      <c r="B1066" s="0" t="s">
        <v>85</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8" hidden="false" customHeight="false" outlineLevel="0" collapsed="false">
      <c r="A1067" s="0" t="s">
        <v>76</v>
      </c>
      <c r="E1067" s="10" t="str">
        <f aca="false">IF(D1067="?OLD","!!!","")</f>
        <v/>
      </c>
      <c r="F1067" s="11" t="str">
        <f aca="false">IF(OR(E1067="",E1067="!!!"),"",IF(NOT(ISNA(VLOOKUP(E1067,E$1:E1066,1,FALSE()))),"OLD",IF(AND(E1067&lt;&gt;"",E1067&lt;&gt;"!!!"),"NEW","")))</f>
        <v/>
      </c>
      <c r="G1067" s="12" t="str">
        <f aca="false">IF(OR(E1067="",E1067="!!!"),"",IF(OR(J1067=0,AND(J1067=1,K1067=1),AND(J1067=1,I1067="SBJ"),AND(J1067=1,I1067=0)),"?IN_FOCUS",IF(J1067&lt;=2,"?ACTIVATED",IF(J1067&lt;&gt;"","?FAMILIAR",IF(F1067="NEW",IF(ISNA(VLOOKUP(E1067,#REF!,1,FALSE())),"?TYPE_IDENTIFIABLE","?REFERENTIAL"),"_")))))</f>
        <v/>
      </c>
      <c r="H1067" s="13" t="str">
        <f aca="false">IF(J1067&lt;&gt;1,"",IF(I1067="SBJ","CB","?"))</f>
        <v/>
      </c>
      <c r="I1067" s="14" t="str">
        <f aca="false">IF(OR(E1067="",E1067="!!!",F1067="NEW"),"",INDEX(B$2:B1066,-1+SUMPRODUCT(MAX(ROW(E$2:E1066)*(E1067=E$2:E1066)))))</f>
        <v/>
      </c>
      <c r="J1067" s="15" t="str">
        <f aca="true">IF(OR(E1067="",E1067="!!!",F1067="NEW"),"",COUNTBLANK(OFFSET(A$1,,,SUMPRODUCT(MAX(ROW(E$2:E1067)*(E1067=E$2:E1067)))))-COUNTBLANK(OFFSET(A$1,,,SUMPRODUCT(MAX(ROW(E$1:E1066)*(E1067=E$1:E1066))))))</f>
        <v/>
      </c>
      <c r="K1067" s="15" t="str">
        <f aca="false">IF(OR(E1067="",E1067="!!!",F1067="NEW"),"",INDEX(J$1:J1066,SUMPRODUCT(MAX(ROW(E$1:E1066)*(E1067=E$1:E1066)))))</f>
        <v/>
      </c>
      <c r="L1067" s="16"/>
    </row>
    <row r="1068" customFormat="false" ht="12.8" hidden="false" customHeight="false" outlineLevel="0" collapsed="false">
      <c r="E1068" s="10" t="str">
        <f aca="false">IF(D1068="?OLD","!!!","")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8" hidden="false" customHeight="false" outlineLevel="0" collapsed="false">
      <c r="A1069" s="0" t="s">
        <v>584</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8" hidden="false" customHeight="false" outlineLevel="0" collapsed="false">
      <c r="A1070" s="0" t="s">
        <v>46</v>
      </c>
      <c r="B1070" s="0" t="s">
        <v>34</v>
      </c>
      <c r="C1070" s="0" t="s">
        <v>48</v>
      </c>
      <c r="D1070" s="0" t="s">
        <v>20</v>
      </c>
      <c r="E1070" s="10" t="s">
        <v>49</v>
      </c>
      <c r="F1070" s="11" t="str">
        <f aca="false">IF(OR(E1070="",E1070="!!!"),"",IF(NOT(ISNA(VLOOKUP(E1070,E$1:E1069,1,FALSE()))),"OLD",IF(AND(E1070&lt;&gt;"",E1070&lt;&gt;"!!!"),"NEW","")))</f>
        <v>OLD</v>
      </c>
      <c r="G1070" s="12" t="s">
        <v>36</v>
      </c>
      <c r="H1070" s="13" t="str">
        <f aca="false">IF(J1070&lt;&gt;1,"",IF(I1070="SBJ","CB","?"))</f>
        <v/>
      </c>
      <c r="I1070" s="14" t="str">
        <f aca="false">IF(OR(E1070="",E1070="!!!",F1070="NEW"),"",INDEX(B$2:B1069,-1+SUMPRODUCT(MAX(ROW(E$2:E1069)*(E1070=E$2:E1069)))))</f>
        <v>SBJ_2</v>
      </c>
      <c r="J1070" s="15" t="n">
        <f aca="true">IF(OR(E1070="",E1070="!!!",F1070="NEW"),"",COUNTBLANK(OFFSET(A$1,,,SUMPRODUCT(MAX(ROW(E$2:E1070)*(E1070=E$2:E1070)))))-COUNTBLANK(OFFSET(A$1,,,SUMPRODUCT(MAX(ROW(E$1:E1069)*(E1070=E$1:E1069))))))</f>
        <v>10</v>
      </c>
      <c r="K1070" s="15" t="n">
        <f aca="false">IF(OR(E1070="",E1070="!!!",F1070="NEW"),"",INDEX(J$1:J1069,SUMPRODUCT(MAX(ROW(E$1:E1069)*(E1070=E$1:E1069)))))</f>
        <v>24</v>
      </c>
      <c r="L1070" s="16"/>
    </row>
    <row r="1071" customFormat="false" ht="12.8" hidden="false" customHeight="false" outlineLevel="0" collapsed="false">
      <c r="A1071" s="0" t="s">
        <v>583</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8" hidden="false" customHeight="false" outlineLevel="0" collapsed="false">
      <c r="A1072" s="0" t="s">
        <v>159</v>
      </c>
      <c r="B1072" s="0" t="s">
        <v>85</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8" hidden="false" customHeight="false" outlineLevel="0" collapsed="false">
      <c r="A1073" s="0" t="s">
        <v>76</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8" hidden="false" customHeight="false" outlineLevel="0" collapsed="false">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8" hidden="false" customHeight="false" outlineLevel="0" collapsed="false">
      <c r="A1075" s="0" t="s">
        <v>585</v>
      </c>
      <c r="E1075" s="10" t="str">
        <f aca="false">IF(D1075="?OLD","!!!","")</f>
        <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8" hidden="false" customHeight="false" outlineLevel="0" collapsed="false">
      <c r="A1076" s="0" t="s">
        <v>424</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I1076" s="14" t="str">
        <f aca="false">IF(OR(E1076="",E1076="!!!",F1076="NEW"),"",INDEX(B$2:B1075,-1+SUMPRODUCT(MAX(ROW(E$2:E1075)*(E1076=E$2:E1075)))))</f>
        <v/>
      </c>
      <c r="J1076" s="15" t="str">
        <f aca="true">IF(OR(E1076="",E1076="!!!",F1076="NEW"),"",COUNTBLANK(OFFSET(A$1,,,SUMPRODUCT(MAX(ROW(E$2:E1076)*(E1076=E$2:E1076)))))-COUNTBLANK(OFFSET(A$1,,,SUMPRODUCT(MAX(ROW(E$1:E1075)*(E1076=E$1:E1075))))))</f>
        <v/>
      </c>
      <c r="K1076" s="15" t="str">
        <f aca="false">IF(OR(E1076="",E1076="!!!",F1076="NEW"),"",INDEX(J$1:J1075,SUMPRODUCT(MAX(ROW(E$1:E1075)*(E1076=E$1:E1075)))))</f>
        <v/>
      </c>
      <c r="L1076" s="16"/>
    </row>
    <row r="1077" customFormat="false" ht="12.8" hidden="false" customHeight="false" outlineLevel="0" collapsed="false">
      <c r="A1077" s="0" t="s">
        <v>40</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8" hidden="false" customHeight="false" outlineLevel="0" collapsed="false">
      <c r="A1078" s="0" t="s">
        <v>532</v>
      </c>
      <c r="B1078" s="0" t="s">
        <v>14</v>
      </c>
      <c r="C1078" s="0" t="s">
        <v>15</v>
      </c>
      <c r="E1078" s="10" t="str">
        <f aca="false">IF(D1078="?OLD","!!!","")</f>
        <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8" hidden="false" customHeight="false" outlineLevel="0" collapsed="false">
      <c r="A1079" s="0" t="s">
        <v>44</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8" hidden="false" customHeight="false" outlineLevel="0" collapsed="false">
      <c r="A1080" s="0" t="s">
        <v>511</v>
      </c>
      <c r="E1080" s="10" t="str">
        <f aca="false">IF(D1080="?OLD","!!!","")</f>
        <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8" hidden="false" customHeight="false" outlineLevel="0" collapsed="false">
      <c r="A1081" s="0" t="s">
        <v>125</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8" hidden="false" customHeight="false" outlineLevel="0" collapsed="false">
      <c r="A1082" s="0" t="s">
        <v>203</v>
      </c>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8" hidden="false" customHeight="false" outlineLevel="0" collapsed="false">
      <c r="A1083" s="0" t="s">
        <v>586</v>
      </c>
      <c r="E1083" s="10" t="str">
        <f aca="false">IF(D1083="?OLD","!!!","")</f>
        <v/>
      </c>
      <c r="F1083" s="11" t="str">
        <f aca="false">IF(OR(E1083="",E1083="!!!"),"",IF(NOT(ISNA(VLOOKUP(E1083,E$1:E1082,1,FALSE()))),"OLD",IF(AND(E1083&lt;&gt;"",E1083&lt;&gt;"!!!"),"NEW","")))</f>
        <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I1083" s="14" t="str">
        <f aca="false">IF(OR(E1083="",E1083="!!!",F1083="NEW"),"",INDEX(B$2:B1082,-1+SUMPRODUCT(MAX(ROW(E$2:E1082)*(E1083=E$2:E1082)))))</f>
        <v/>
      </c>
      <c r="J1083" s="15" t="str">
        <f aca="true">IF(OR(E1083="",E1083="!!!",F1083="NEW"),"",COUNTBLANK(OFFSET(A$1,,,SUMPRODUCT(MAX(ROW(E$2:E1083)*(E1083=E$2:E1083)))))-COUNTBLANK(OFFSET(A$1,,,SUMPRODUCT(MAX(ROW(E$1:E1082)*(E1083=E$1:E1082))))))</f>
        <v/>
      </c>
      <c r="K1083" s="15" t="str">
        <f aca="false">IF(OR(E1083="",E1083="!!!",F1083="NEW"),"",INDEX(J$1:J1082,SUMPRODUCT(MAX(ROW(E$1:E1082)*(E1083=E$1:E1082)))))</f>
        <v/>
      </c>
      <c r="L1083" s="16"/>
    </row>
    <row r="1084" customFormat="false" ht="12.8" hidden="false" customHeight="false" outlineLevel="0" collapsed="false">
      <c r="A1084" s="0" t="s">
        <v>562</v>
      </c>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I1084" s="14" t="str">
        <f aca="false">IF(OR(E1084="",E1084="!!!",F1084="NEW"),"",INDEX(B$2:B1083,-1+SUMPRODUCT(MAX(ROW(E$2:E1083)*(E1084=E$2:E1083)))))</f>
        <v/>
      </c>
      <c r="J1084" s="15" t="str">
        <f aca="true">IF(OR(E1084="",E1084="!!!",F1084="NEW"),"",COUNTBLANK(OFFSET(A$1,,,SUMPRODUCT(MAX(ROW(E$2:E1084)*(E1084=E$2:E1084)))))-COUNTBLANK(OFFSET(A$1,,,SUMPRODUCT(MAX(ROW(E$1:E1083)*(E1084=E$1:E1083))))))</f>
        <v/>
      </c>
      <c r="K1084" s="15" t="str">
        <f aca="false">IF(OR(E1084="",E1084="!!!",F1084="NEW"),"",INDEX(J$1:J1083,SUMPRODUCT(MAX(ROW(E$1:E1083)*(E1084=E$1:E1083)))))</f>
        <v/>
      </c>
      <c r="L1084" s="16"/>
    </row>
    <row r="1085" customFormat="false" ht="12.8" hidden="false" customHeight="false" outlineLevel="0" collapsed="false">
      <c r="A1085" s="0" t="s">
        <v>298</v>
      </c>
      <c r="B1085" s="0" t="s">
        <v>14</v>
      </c>
      <c r="C1085" s="0" t="s">
        <v>19</v>
      </c>
      <c r="D1085" s="0" t="s">
        <v>20</v>
      </c>
      <c r="E1085" s="10" t="s">
        <v>298</v>
      </c>
      <c r="F1085" s="11" t="str">
        <f aca="false">IF(OR(E1085="",E1085="!!!"),"",IF(NOT(ISNA(VLOOKUP(E1085,E$1:E1084,1,FALSE()))),"OLD",IF(AND(E1085&lt;&gt;"",E1085&lt;&gt;"!!!"),"NEW","")))</f>
        <v>OLD</v>
      </c>
      <c r="G1085" s="12" t="s">
        <v>36</v>
      </c>
      <c r="H1085" s="13" t="str">
        <f aca="false">IF(J1085&lt;&gt;1,"",IF(I1085="SBJ","CB","?"))</f>
        <v/>
      </c>
      <c r="I1085" s="14" t="n">
        <f aca="false">IF(OR(E1085="",E1085="!!!",F1085="NEW"),"",INDEX(B$2:B1084,-1+SUMPRODUCT(MAX(ROW(E$2:E1084)*(E1085=E$2:E1084)))))</f>
        <v>0</v>
      </c>
      <c r="J1085" s="15" t="n">
        <f aca="true">IF(OR(E1085="",E1085="!!!",F1085="NEW"),"",COUNTBLANK(OFFSET(A$1,,,SUMPRODUCT(MAX(ROW(E$2:E1085)*(E1085=E$2:E1085)))))-COUNTBLANK(OFFSET(A$1,,,SUMPRODUCT(MAX(ROW(E$1:E1084)*(E1085=E$1:E1084))))))</f>
        <v>5</v>
      </c>
      <c r="K1085" s="15" t="n">
        <f aca="false">IF(OR(E1085="",E1085="!!!",F1085="NEW"),"",INDEX(J$1:J1084,SUMPRODUCT(MAX(ROW(E$1:E1084)*(E1085=E$1:E1084)))))</f>
        <v>3</v>
      </c>
      <c r="L1085" s="16"/>
    </row>
    <row r="1086" customFormat="false" ht="12.8" hidden="false" customHeight="false" outlineLevel="0" collapsed="false">
      <c r="A1086" s="0" t="s">
        <v>76</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8" hidden="false" customHeight="false" outlineLevel="0" collapsed="false">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8" hidden="false" customHeight="false" outlineLevel="0" collapsed="false">
      <c r="A1088" s="0" t="s">
        <v>587</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8" hidden="false" customHeight="false" outlineLevel="0" collapsed="false">
      <c r="A1089" s="0" t="s">
        <v>424</v>
      </c>
      <c r="E1089" s="10" t="str">
        <f aca="false">IF(D1089="?OLD","!!!","")</f>
        <v/>
      </c>
      <c r="F1089" s="11" t="str">
        <f aca="false">IF(OR(E1089="",E1089="!!!"),"",IF(NOT(ISNA(VLOOKUP(E1089,E$1:E1088,1,FALSE()))),"OLD",IF(AND(E1089&lt;&gt;"",E1089&lt;&gt;"!!!"),"NEW","")))</f>
        <v/>
      </c>
      <c r="G1089" s="12" t="str">
        <f aca="false">IF(OR(E1089="",E1089="!!!"),"",IF(OR(J1089=0,AND(J1089=1,K1089=1),AND(J1089=1,I1089="SBJ"),AND(J1089=1,I1089=0)),"?IN_FOCUS",IF(J1089&lt;=2,"?ACTIVATED",IF(J1089&lt;&gt;"","?FAMILIAR",IF(F1089="NEW",IF(ISNA(VLOOKUP(E1089,#REF!,1,FALSE())),"?TYPE_IDENTIFIABLE","?REFERENTIAL"),"_")))))</f>
        <v/>
      </c>
      <c r="H1089" s="13" t="str">
        <f aca="false">IF(J1089&lt;&gt;1,"",IF(I1089="SBJ","CB","?"))</f>
        <v/>
      </c>
      <c r="I1089" s="14" t="str">
        <f aca="false">IF(OR(E1089="",E1089="!!!",F1089="NEW"),"",INDEX(B$2:B1088,-1+SUMPRODUCT(MAX(ROW(E$2:E1088)*(E1089=E$2:E1088)))))</f>
        <v/>
      </c>
      <c r="J1089" s="15" t="str">
        <f aca="true">IF(OR(E1089="",E1089="!!!",F1089="NEW"),"",COUNTBLANK(OFFSET(A$1,,,SUMPRODUCT(MAX(ROW(E$2:E1089)*(E1089=E$2:E1089)))))-COUNTBLANK(OFFSET(A$1,,,SUMPRODUCT(MAX(ROW(E$1:E1088)*(E1089=E$1:E1088))))))</f>
        <v/>
      </c>
      <c r="K1089" s="15" t="str">
        <f aca="false">IF(OR(E1089="",E1089="!!!",F1089="NEW"),"",INDEX(J$1:J1088,SUMPRODUCT(MAX(ROW(E$1:E1088)*(E1089=E$1:E1088)))))</f>
        <v/>
      </c>
      <c r="L1089" s="16"/>
    </row>
    <row r="1090" customFormat="false" ht="12.8" hidden="false" customHeight="false" outlineLevel="0" collapsed="false">
      <c r="A1090" s="0" t="s">
        <v>555</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8" hidden="false" customHeight="false" outlineLevel="0" collapsed="false">
      <c r="A1091" s="0" t="s">
        <v>44</v>
      </c>
      <c r="E1091" s="10" t="str">
        <f aca="false">IF(D1091="?OLD","!!!","")</f>
        <v/>
      </c>
      <c r="F1091" s="11" t="str">
        <f aca="false">IF(OR(E1091="",E1091="!!!"),"",IF(NOT(ISNA(VLOOKUP(E1091,E$1:E1090,1,FALSE()))),"OLD",IF(AND(E1091&lt;&gt;"",E1091&lt;&gt;"!!!"),"NEW","")))</f>
        <v/>
      </c>
      <c r="G1091" s="12" t="str">
        <f aca="false">IF(OR(E1091="",E1091="!!!"),"",IF(OR(J1091=0,AND(J1091=1,K1091=1),AND(J1091=1,I1091="SBJ"),AND(J1091=1,I1091=0)),"?IN_FOCUS",IF(J1091&lt;=2,"?ACTIVATED",IF(J1091&lt;&gt;"","?FAMILIAR",IF(F1091="NEW",IF(ISNA(VLOOKUP(E1091,#REF!,1,FALSE())),"?TYPE_IDENTIFIABLE","?REFERENTIAL"),"_")))))</f>
        <v/>
      </c>
      <c r="H1091" s="13" t="str">
        <f aca="false">IF(J1091&lt;&gt;1,"",IF(I1091="SBJ","CB","?"))</f>
        <v/>
      </c>
      <c r="I1091" s="14" t="str">
        <f aca="false">IF(OR(E1091="",E1091="!!!",F1091="NEW"),"",INDEX(B$2:B1090,-1+SUMPRODUCT(MAX(ROW(E$2:E1090)*(E1091=E$2:E1090)))))</f>
        <v/>
      </c>
      <c r="J1091" s="15" t="str">
        <f aca="true">IF(OR(E1091="",E1091="!!!",F1091="NEW"),"",COUNTBLANK(OFFSET(A$1,,,SUMPRODUCT(MAX(ROW(E$2:E1091)*(E1091=E$2:E1091)))))-COUNTBLANK(OFFSET(A$1,,,SUMPRODUCT(MAX(ROW(E$1:E1090)*(E1091=E$1:E1090))))))</f>
        <v/>
      </c>
      <c r="K1091" s="15" t="str">
        <f aca="false">IF(OR(E1091="",E1091="!!!",F1091="NEW"),"",INDEX(J$1:J1090,SUMPRODUCT(MAX(ROW(E$1:E1090)*(E1091=E$1:E1090)))))</f>
        <v/>
      </c>
      <c r="L1091" s="16"/>
    </row>
    <row r="1092" customFormat="false" ht="12.8" hidden="false" customHeight="false" outlineLevel="0" collapsed="false">
      <c r="A1092" s="0" t="s">
        <v>161</v>
      </c>
      <c r="B1092" s="0" t="s">
        <v>34</v>
      </c>
      <c r="C1092" s="0" t="s">
        <v>48</v>
      </c>
      <c r="D1092" s="0" t="s">
        <v>20</v>
      </c>
      <c r="E1092" s="10" t="s">
        <v>161</v>
      </c>
      <c r="F1092" s="11" t="str">
        <f aca="false">IF(OR(E1092="",E1092="!!!"),"",IF(NOT(ISNA(VLOOKUP(E1092,E$1:E1091,1,FALSE()))),"OLD",IF(AND(E1092&lt;&gt;"",E1092&lt;&gt;"!!!"),"NEW","")))</f>
        <v>OLD</v>
      </c>
      <c r="G1092" s="12" t="s">
        <v>36</v>
      </c>
      <c r="H1092" s="13" t="str">
        <f aca="false">IF(J1092&lt;&gt;1,"",IF(I1092="SBJ","CB","?"))</f>
        <v/>
      </c>
      <c r="I1092" s="14" t="str">
        <f aca="false">IF(OR(E1092="",E1092="!!!",F1092="NEW"),"",INDEX(B$2:B1091,-1+SUMPRODUCT(MAX(ROW(E$2:E1091)*(E1092=E$2:E1091)))))</f>
        <v>SBJ</v>
      </c>
      <c r="J1092" s="15" t="n">
        <f aca="true">IF(OR(E1092="",E1092="!!!",F1092="NEW"),"",COUNTBLANK(OFFSET(A$1,,,SUMPRODUCT(MAX(ROW(E$2:E1092)*(E1092=E$2:E1092)))))-COUNTBLANK(OFFSET(A$1,,,SUMPRODUCT(MAX(ROW(E$1:E1091)*(E1092=E$1:E1091))))))</f>
        <v>3</v>
      </c>
      <c r="K1092" s="15" t="n">
        <f aca="false">IF(OR(E1092="",E1092="!!!",F1092="NEW"),"",INDEX(J$1:J1091,SUMPRODUCT(MAX(ROW(E$1:E1091)*(E1092=E$1:E1091)))))</f>
        <v>3</v>
      </c>
      <c r="L1092" s="16"/>
    </row>
    <row r="1093" customFormat="false" ht="12.8" hidden="false" customHeight="false" outlineLevel="0" collapsed="false">
      <c r="A1093" s="0" t="s">
        <v>380</v>
      </c>
      <c r="E1093" s="10" t="str">
        <f aca="false">IF(D1093="?OLD","!!!","")</f>
        <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8" hidden="false" customHeight="false" outlineLevel="0" collapsed="false">
      <c r="A1094" s="0" t="s">
        <v>62</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8" hidden="false" customHeight="false" outlineLevel="0" collapsed="false">
      <c r="A1095" s="0" t="s">
        <v>295</v>
      </c>
      <c r="B1095" s="0" t="s">
        <v>85</v>
      </c>
      <c r="C1095" s="0" t="s">
        <v>27</v>
      </c>
      <c r="D1095" s="0" t="s">
        <v>20</v>
      </c>
      <c r="E1095" s="10"/>
      <c r="F1095" s="11" t="s">
        <v>86</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row>
    <row r="1096" customFormat="false" ht="12.8" hidden="false" customHeight="false" outlineLevel="0" collapsed="false">
      <c r="A1096" s="0" t="s">
        <v>61</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8" hidden="false" customHeight="false" outlineLevel="0" collapsed="false">
      <c r="A1097" s="0" t="s">
        <v>62</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8" hidden="false" customHeight="false" outlineLevel="0" collapsed="false">
      <c r="A1098" s="0" t="n">
        <v>500</v>
      </c>
      <c r="E1098" s="10" t="str">
        <f aca="false">IF(D1098="?OLD","!!!","")</f>
        <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8" hidden="false" customHeight="false" outlineLevel="0" collapsed="false">
      <c r="A1099" s="0" t="s">
        <v>588</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I1099" s="14" t="str">
        <f aca="false">IF(OR(E1099="",E1099="!!!",F1099="NEW"),"",INDEX(B$2:B1098,-1+SUMPRODUCT(MAX(ROW(E$2:E1098)*(E1099=E$2:E1098)))))</f>
        <v/>
      </c>
      <c r="J1099" s="15" t="str">
        <f aca="true">IF(OR(E1099="",E1099="!!!",F1099="NEW"),"",COUNTBLANK(OFFSET(A$1,,,SUMPRODUCT(MAX(ROW(E$2:E1099)*(E1099=E$2:E1099)))))-COUNTBLANK(OFFSET(A$1,,,SUMPRODUCT(MAX(ROW(E$1:E1098)*(E1099=E$1:E1098))))))</f>
        <v/>
      </c>
      <c r="K1099" s="15" t="str">
        <f aca="false">IF(OR(E1099="",E1099="!!!",F1099="NEW"),"",INDEX(J$1:J1098,SUMPRODUCT(MAX(ROW(E$1:E1098)*(E1099=E$1:E1098)))))</f>
        <v/>
      </c>
      <c r="L1099" s="16"/>
    </row>
    <row r="1100" customFormat="false" ht="12.8" hidden="false" customHeight="false" outlineLevel="0" collapsed="false">
      <c r="A1100" s="0" t="s">
        <v>389</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8" hidden="false" customHeight="false" outlineLevel="0" collapsed="false">
      <c r="A1101" s="0" t="s">
        <v>333</v>
      </c>
      <c r="B1101" s="0" t="s">
        <v>75</v>
      </c>
      <c r="C1101" s="0" t="s">
        <v>589</v>
      </c>
      <c r="D1101" s="0" t="s">
        <v>20</v>
      </c>
      <c r="E1101" s="10" t="s">
        <v>590</v>
      </c>
      <c r="F1101" s="11" t="str">
        <f aca="false">IF(OR(E1101="",E1101="!!!"),"",IF(NOT(ISNA(VLOOKUP(E1101,E$1:E1100,1,FALSE()))),"OLD",IF(AND(E1101&lt;&gt;"",E1101&lt;&gt;"!!!"),"NEW","")))</f>
        <v>NEW</v>
      </c>
      <c r="G1101" s="12" t="s">
        <v>67</v>
      </c>
      <c r="H1101" s="13" t="str">
        <f aca="false">IF(J1101&lt;&gt;1,"",IF(I1101="SBJ","CB","?"))</f>
        <v/>
      </c>
      <c r="I1101" s="14" t="str">
        <f aca="false">IF(OR(E1101="",E1101="!!!",F1101="NEW"),"",INDEX(B$2:B1100,-1+SUMPRODUCT(MAX(ROW(E$2:E1100)*(E1101=E$2:E1100)))))</f>
        <v/>
      </c>
      <c r="J1101" s="15" t="str">
        <f aca="true">IF(OR(E1101="",E1101="!!!",F1101="NEW"),"",COUNTBLANK(OFFSET(A$1,,,SUMPRODUCT(MAX(ROW(E$2:E1101)*(E1101=E$2:E1101)))))-COUNTBLANK(OFFSET(A$1,,,SUMPRODUCT(MAX(ROW(E$1:E1100)*(E1101=E$1:E1100))))))</f>
        <v/>
      </c>
      <c r="K1101" s="15" t="str">
        <f aca="false">IF(OR(E1101="",E1101="!!!",F1101="NEW"),"",INDEX(J$1:J1100,SUMPRODUCT(MAX(ROW(E$1:E1100)*(E1101=E$1:E1100)))))</f>
        <v/>
      </c>
      <c r="L1101" s="16"/>
    </row>
    <row r="1102" customFormat="false" ht="12.8" hidden="false" customHeight="false" outlineLevel="0" collapsed="false">
      <c r="A1102" s="0" t="s">
        <v>44</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I1102" s="14" t="str">
        <f aca="false">IF(OR(E1102="",E1102="!!!",F1102="NEW"),"",INDEX(B$2:B1101,-1+SUMPRODUCT(MAX(ROW(E$2:E1101)*(E1102=E$2:E1101)))))</f>
        <v/>
      </c>
      <c r="J1102" s="15" t="str">
        <f aca="true">IF(OR(E1102="",E1102="!!!",F1102="NEW"),"",COUNTBLANK(OFFSET(A$1,,,SUMPRODUCT(MAX(ROW(E$2:E1102)*(E1102=E$2:E1102)))))-COUNTBLANK(OFFSET(A$1,,,SUMPRODUCT(MAX(ROW(E$1:E1101)*(E1102=E$1:E1101))))))</f>
        <v/>
      </c>
      <c r="K1102" s="15" t="str">
        <f aca="false">IF(OR(E1102="",E1102="!!!",F1102="NEW"),"",INDEX(J$1:J1101,SUMPRODUCT(MAX(ROW(E$1:E1101)*(E1102=E$1:E1101)))))</f>
        <v/>
      </c>
      <c r="L1102" s="16"/>
    </row>
    <row r="1103" customFormat="false" ht="12.8" hidden="false" customHeight="false" outlineLevel="0" collapsed="false">
      <c r="A1103" s="0" t="s">
        <v>45</v>
      </c>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8" hidden="false" customHeight="false" outlineLevel="0" collapsed="false">
      <c r="A1104" s="0" t="s">
        <v>39</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I1104" s="14" t="str">
        <f aca="false">IF(OR(E1104="",E1104="!!!",F1104="NEW"),"",INDEX(B$2:B1103,-1+SUMPRODUCT(MAX(ROW(E$2:E1103)*(E1104=E$2:E1103)))))</f>
        <v/>
      </c>
      <c r="J1104" s="15" t="str">
        <f aca="true">IF(OR(E1104="",E1104="!!!",F1104="NEW"),"",COUNTBLANK(OFFSET(A$1,,,SUMPRODUCT(MAX(ROW(E$2:E1104)*(E1104=E$2:E1104)))))-COUNTBLANK(OFFSET(A$1,,,SUMPRODUCT(MAX(ROW(E$1:E1103)*(E1104=E$1:E1103))))))</f>
        <v/>
      </c>
      <c r="K1104" s="15" t="str">
        <f aca="false">IF(OR(E1104="",E1104="!!!",F1104="NEW"),"",INDEX(J$1:J1103,SUMPRODUCT(MAX(ROW(E$1:E1103)*(E1104=E$1:E1103)))))</f>
        <v/>
      </c>
      <c r="L1104" s="16"/>
    </row>
    <row r="1105" customFormat="false" ht="12.8" hidden="false" customHeight="false" outlineLevel="0" collapsed="false">
      <c r="A1105" s="0" t="s">
        <v>567</v>
      </c>
      <c r="B1105" s="0" t="s">
        <v>75</v>
      </c>
      <c r="C1105" s="0" t="s">
        <v>31</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8" hidden="false" customHeight="false" outlineLevel="0" collapsed="false">
      <c r="A1106" s="0" t="s">
        <v>44</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8" hidden="false" customHeight="false" outlineLevel="0" collapsed="false">
      <c r="A1107" s="0" t="s">
        <v>161</v>
      </c>
      <c r="B1107" s="0" t="s">
        <v>47</v>
      </c>
      <c r="C1107" s="0" t="s">
        <v>48</v>
      </c>
      <c r="D1107" s="0" t="s">
        <v>20</v>
      </c>
      <c r="E1107" s="10" t="s">
        <v>161</v>
      </c>
      <c r="F1107" s="11" t="str">
        <f aca="false">IF(OR(E1107="",E1107="!!!"),"",IF(NOT(ISNA(VLOOKUP(E1107,E$1:E1106,1,FALSE()))),"OLD",IF(AND(E1107&lt;&gt;"",E1107&lt;&gt;"!!!"),"NEW","")))</f>
        <v>OLD</v>
      </c>
      <c r="G1107" s="12" t="s">
        <v>87</v>
      </c>
      <c r="H1107" s="13" t="str">
        <f aca="false">IF(J1107&lt;&gt;1,"",IF(I1107="SBJ","CB","?"))</f>
        <v/>
      </c>
      <c r="I1107" s="14" t="str">
        <f aca="false">IF(OR(E1107="",E1107="!!!",F1107="NEW"),"",INDEX(B$2:B1106,-1+SUMPRODUCT(MAX(ROW(E$2:E1106)*(E1107=E$2:E1106)))))</f>
        <v>SBJ</v>
      </c>
      <c r="J1107" s="15" t="n">
        <f aca="true">IF(OR(E1107="",E1107="!!!",F1107="NEW"),"",COUNTBLANK(OFFSET(A$1,,,SUMPRODUCT(MAX(ROW(E$2:E1107)*(E1107=E$2:E1107)))))-COUNTBLANK(OFFSET(A$1,,,SUMPRODUCT(MAX(ROW(E$1:E1106)*(E1107=E$1:E1106))))))</f>
        <v>0</v>
      </c>
      <c r="K1107" s="15" t="n">
        <f aca="false">IF(OR(E1107="",E1107="!!!",F1107="NEW"),"",INDEX(J$1:J1106,SUMPRODUCT(MAX(ROW(E$1:E1106)*(E1107=E$1:E1106)))))</f>
        <v>3</v>
      </c>
      <c r="L1107" s="16"/>
    </row>
    <row r="1108" customFormat="false" ht="12.8" hidden="false" customHeight="false" outlineLevel="0" collapsed="false">
      <c r="A1108" s="0" t="s">
        <v>380</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8" hidden="false" customHeight="false" outlineLevel="0" collapsed="false">
      <c r="A1109" s="0" t="s">
        <v>179</v>
      </c>
      <c r="E1109" s="10" t="str">
        <f aca="false">IF(D1109="?OLD","!!!","")</f>
        <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I1109" s="14" t="str">
        <f aca="false">IF(OR(E1109="",E1109="!!!",F1109="NEW"),"",INDEX(B$2:B1108,-1+SUMPRODUCT(MAX(ROW(E$2:E1108)*(E1109=E$2:E1108)))))</f>
        <v/>
      </c>
      <c r="J1109" s="15" t="str">
        <f aca="true">IF(OR(E1109="",E1109="!!!",F1109="NEW"),"",COUNTBLANK(OFFSET(A$1,,,SUMPRODUCT(MAX(ROW(E$2:E1109)*(E1109=E$2:E1109)))))-COUNTBLANK(OFFSET(A$1,,,SUMPRODUCT(MAX(ROW(E$1:E1108)*(E1109=E$1:E1108))))))</f>
        <v/>
      </c>
      <c r="K1109" s="15" t="str">
        <f aca="false">IF(OR(E1109="",E1109="!!!",F1109="NEW"),"",INDEX(J$1:J1108,SUMPRODUCT(MAX(ROW(E$1:E1108)*(E1109=E$1:E1108)))))</f>
        <v/>
      </c>
      <c r="L1109" s="16"/>
    </row>
    <row r="1110" customFormat="false" ht="12.8" hidden="false" customHeight="false" outlineLevel="0" collapsed="false">
      <c r="A1110" s="0" t="s">
        <v>568</v>
      </c>
      <c r="B1110" s="0" t="s">
        <v>170</v>
      </c>
      <c r="C1110" s="0" t="s">
        <v>181</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8" hidden="false" customHeight="false" outlineLevel="0" collapsed="false">
      <c r="A1111" s="0" t="s">
        <v>61</v>
      </c>
      <c r="E1111" s="10" t="str">
        <f aca="false">IF(D1111="?OLD","!!!","")</f>
        <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8" hidden="false" customHeight="false" outlineLevel="0" collapsed="false">
      <c r="A1112" s="0" t="s">
        <v>333</v>
      </c>
      <c r="B1112" s="0" t="s">
        <v>96</v>
      </c>
      <c r="C1112" s="0" t="s">
        <v>31</v>
      </c>
      <c r="E1112" s="10" t="s">
        <v>591</v>
      </c>
      <c r="F1112" s="11" t="str">
        <f aca="false">IF(OR(E1112="",E1112="!!!"),"",IF(NOT(ISNA(VLOOKUP(E1112,E$1:E1111,1,FALSE()))),"OLD",IF(AND(E1112&lt;&gt;"",E1112&lt;&gt;"!!!"),"NEW","")))</f>
        <v>NEW</v>
      </c>
      <c r="G1112" s="12" t="s">
        <v>510</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8" hidden="false" customHeight="false" outlineLevel="0" collapsed="false">
      <c r="A1113" s="0" t="s">
        <v>139</v>
      </c>
      <c r="E1113" s="10" t="str">
        <f aca="false">IF(D1113="?OLD","!!!","")</f>
        <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I1113" s="14" t="str">
        <f aca="false">IF(OR(E1113="",E1113="!!!",F1113="NEW"),"",INDEX(B$2:B1112,-1+SUMPRODUCT(MAX(ROW(E$2:E1112)*(E1113=E$2:E1112)))))</f>
        <v/>
      </c>
      <c r="J1113" s="15" t="str">
        <f aca="true">IF(OR(E1113="",E1113="!!!",F1113="NEW"),"",COUNTBLANK(OFFSET(A$1,,,SUMPRODUCT(MAX(ROW(E$2:E1113)*(E1113=E$2:E1113)))))-COUNTBLANK(OFFSET(A$1,,,SUMPRODUCT(MAX(ROW(E$1:E1112)*(E1113=E$1:E1112))))))</f>
        <v/>
      </c>
      <c r="K1113" s="15" t="str">
        <f aca="false">IF(OR(E1113="",E1113="!!!",F1113="NEW"),"",INDEX(J$1:J1112,SUMPRODUCT(MAX(ROW(E$1:E1112)*(E1113=E$1:E1112)))))</f>
        <v/>
      </c>
      <c r="L1113" s="16"/>
    </row>
    <row r="1114" customFormat="false" ht="12.8" hidden="false" customHeight="false" outlineLevel="0" collapsed="false">
      <c r="A1114" s="0" t="s">
        <v>571</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8" hidden="false" customHeight="false" outlineLevel="0" collapsed="false">
      <c r="A1115" s="0" t="s">
        <v>592</v>
      </c>
      <c r="B1115" s="0" t="s">
        <v>75</v>
      </c>
      <c r="C1115" s="0" t="s">
        <v>31</v>
      </c>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8" hidden="false" customHeight="false" outlineLevel="0" collapsed="false">
      <c r="A1116" s="0" t="s">
        <v>39</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8" hidden="false" customHeight="false" outlineLevel="0" collapsed="false">
      <c r="A1117" s="0" t="s">
        <v>208</v>
      </c>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8" hidden="false" customHeight="false" outlineLevel="0" collapsed="false">
      <c r="A1118" s="0" t="s">
        <v>68</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8" hidden="false" customHeight="false" outlineLevel="0" collapsed="false">
      <c r="A1119" s="0" t="s">
        <v>593</v>
      </c>
      <c r="B1119" s="0" t="s">
        <v>96</v>
      </c>
      <c r="C1119" s="0" t="s">
        <v>31</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8" hidden="false" customHeight="false" outlineLevel="0" collapsed="false">
      <c r="A1120" s="0" t="s">
        <v>45</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I1120" s="14" t="str">
        <f aca="false">IF(OR(E1120="",E1120="!!!",F1120="NEW"),"",INDEX(B$2:B1119,-1+SUMPRODUCT(MAX(ROW(E$2:E1119)*(E1120=E$2:E1119)))))</f>
        <v/>
      </c>
      <c r="J1120" s="15" t="str">
        <f aca="true">IF(OR(E1120="",E1120="!!!",F1120="NEW"),"",COUNTBLANK(OFFSET(A$1,,,SUMPRODUCT(MAX(ROW(E$2:E1120)*(E1120=E$2:E1120)))))-COUNTBLANK(OFFSET(A$1,,,SUMPRODUCT(MAX(ROW(E$1:E1119)*(E1120=E$1:E1119))))))</f>
        <v/>
      </c>
      <c r="K1120" s="15" t="str">
        <f aca="false">IF(OR(E1120="",E1120="!!!",F1120="NEW"),"",INDEX(J$1:J1119,SUMPRODUCT(MAX(ROW(E$1:E1119)*(E1120=E$1:E1119)))))</f>
        <v/>
      </c>
      <c r="L1120" s="16"/>
    </row>
    <row r="1121" customFormat="false" ht="12.8" hidden="false" customHeight="false" outlineLevel="0" collapsed="false">
      <c r="A1121" s="0" t="s">
        <v>230</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8" hidden="false" customHeight="false" outlineLevel="0" collapsed="false">
      <c r="A1122" s="0" t="s">
        <v>326</v>
      </c>
      <c r="B1122" s="0" t="s">
        <v>65</v>
      </c>
      <c r="C1122" s="0" t="s">
        <v>31</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8" hidden="false" customHeight="false" outlineLevel="0" collapsed="false">
      <c r="A1123" s="0" t="s">
        <v>76</v>
      </c>
      <c r="E1123" s="10" t="str">
        <f aca="false">IF(D1123="?OLD","!!!","")</f>
        <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8" hidden="false" customHeight="false" outlineLevel="0" collapsed="false">
      <c r="E1124" s="10" t="str">
        <f aca="false">IF(D1124="?OLD","!!!","")</f>
        <v/>
      </c>
      <c r="F1124" s="11" t="str">
        <f aca="false">IF(OR(E1124="",E1124="!!!"),"",IF(NOT(ISNA(VLOOKUP(E1124,E$1:E1123,1,FALSE()))),"OLD",IF(AND(E1124&lt;&gt;"",E1124&lt;&gt;"!!!"),"NEW","")))</f>
        <v/>
      </c>
      <c r="G1124" s="12" t="str">
        <f aca="false">IF(OR(E1124="",E1124="!!!"),"",IF(OR(J1124=0,AND(J1124=1,K1124=1),AND(J1124=1,I1124="SBJ"),AND(J1124=1,I1124=0)),"?IN_FOCUS",IF(J1124&lt;=2,"?ACTIVATED",IF(J1124&lt;&gt;"","?FAMILIAR",IF(F1124="NEW",IF(ISNA(VLOOKUP(E1124,#REF!,1,FALSE())),"?TYPE_IDENTIFIABLE","?REFERENTIAL"),"_")))))</f>
        <v/>
      </c>
      <c r="H1124" s="13" t="str">
        <f aca="false">IF(J1124&lt;&gt;1,"",IF(I1124="SBJ","CB","?"))</f>
        <v/>
      </c>
      <c r="I1124" s="14" t="str">
        <f aca="false">IF(OR(E1124="",E1124="!!!",F1124="NEW"),"",INDEX(B$2:B1123,-1+SUMPRODUCT(MAX(ROW(E$2:E1123)*(E1124=E$2:E1123)))))</f>
        <v/>
      </c>
      <c r="J1124" s="15" t="str">
        <f aca="true">IF(OR(E1124="",E1124="!!!",F1124="NEW"),"",COUNTBLANK(OFFSET(A$1,,,SUMPRODUCT(MAX(ROW(E$2:E1124)*(E1124=E$2:E1124)))))-COUNTBLANK(OFFSET(A$1,,,SUMPRODUCT(MAX(ROW(E$1:E1123)*(E1124=E$1:E1123))))))</f>
        <v/>
      </c>
      <c r="K1124" s="15" t="str">
        <f aca="false">IF(OR(E1124="",E1124="!!!",F1124="NEW"),"",INDEX(J$1:J1123,SUMPRODUCT(MAX(ROW(E$1:E1123)*(E1124=E$1:E1123)))))</f>
        <v/>
      </c>
      <c r="L1124" s="16"/>
    </row>
    <row r="1125" customFormat="false" ht="12.8" hidden="false" customHeight="false" outlineLevel="0" collapsed="false">
      <c r="A1125" s="0" t="s">
        <v>594</v>
      </c>
      <c r="E1125" s="10" t="str">
        <f aca="false">IF(D1125="?OLD","!!!","")</f>
        <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8" hidden="false" customHeight="false" outlineLevel="0" collapsed="false">
      <c r="A1126" s="0" t="s">
        <v>213</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8" hidden="false" customHeight="false" outlineLevel="0" collapsed="false">
      <c r="A1127" s="0" t="s">
        <v>595</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8" hidden="false" customHeight="false" outlineLevel="0" collapsed="false">
      <c r="A1128" s="0" t="s">
        <v>596</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I1128" s="14" t="str">
        <f aca="false">IF(OR(E1128="",E1128="!!!",F1128="NEW"),"",INDEX(B$2:B1127,-1+SUMPRODUCT(MAX(ROW(E$2:E1127)*(E1128=E$2:E1127)))))</f>
        <v/>
      </c>
      <c r="J1128" s="15" t="str">
        <f aca="true">IF(OR(E1128="",E1128="!!!",F1128="NEW"),"",COUNTBLANK(OFFSET(A$1,,,SUMPRODUCT(MAX(ROW(E$2:E1128)*(E1128=E$2:E1128)))))-COUNTBLANK(OFFSET(A$1,,,SUMPRODUCT(MAX(ROW(E$1:E1127)*(E1128=E$1:E1127))))))</f>
        <v/>
      </c>
      <c r="K1128" s="15" t="str">
        <f aca="false">IF(OR(E1128="",E1128="!!!",F1128="NEW"),"",INDEX(J$1:J1127,SUMPRODUCT(MAX(ROW(E$1:E1127)*(E1128=E$1:E1127)))))</f>
        <v/>
      </c>
      <c r="L1128" s="16"/>
    </row>
    <row r="1129" customFormat="false" ht="12.8" hidden="false" customHeight="false" outlineLevel="0" collapsed="false">
      <c r="A1129" s="0" t="s">
        <v>597</v>
      </c>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8" hidden="false" customHeight="false" outlineLevel="0" collapsed="false">
      <c r="A1130" s="0" t="s">
        <v>576</v>
      </c>
      <c r="B1130" s="0" t="s">
        <v>75</v>
      </c>
      <c r="C1130" s="0" t="s">
        <v>15</v>
      </c>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I1130" s="14" t="str">
        <f aca="false">IF(OR(E1130="",E1130="!!!",F1130="NEW"),"",INDEX(B$2:B1129,-1+SUMPRODUCT(MAX(ROW(E$2:E1129)*(E1130=E$2:E1129)))))</f>
        <v/>
      </c>
      <c r="J1130" s="15" t="str">
        <f aca="true">IF(OR(E1130="",E1130="!!!",F1130="NEW"),"",COUNTBLANK(OFFSET(A$1,,,SUMPRODUCT(MAX(ROW(E$2:E1130)*(E1130=E$2:E1130)))))-COUNTBLANK(OFFSET(A$1,,,SUMPRODUCT(MAX(ROW(E$1:E1129)*(E1130=E$1:E1129))))))</f>
        <v/>
      </c>
      <c r="K1130" s="15" t="str">
        <f aca="false">IF(OR(E1130="",E1130="!!!",F1130="NEW"),"",INDEX(J$1:J1129,SUMPRODUCT(MAX(ROW(E$1:E1129)*(E1130=E$1:E1129)))))</f>
        <v/>
      </c>
      <c r="L1130" s="16"/>
    </row>
    <row r="1131" customFormat="false" ht="12.8" hidden="false" customHeight="false" outlineLevel="0" collapsed="false">
      <c r="A1131" s="0" t="s">
        <v>44</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8" hidden="false" customHeight="false" outlineLevel="0" collapsed="false">
      <c r="A1132" s="0" t="s">
        <v>202</v>
      </c>
      <c r="B1132" s="0" t="s">
        <v>34</v>
      </c>
      <c r="C1132" s="0" t="s">
        <v>48</v>
      </c>
      <c r="D1132" s="0" t="s">
        <v>20</v>
      </c>
      <c r="E1132" s="10" t="s">
        <v>591</v>
      </c>
      <c r="F1132" s="11" t="str">
        <f aca="false">IF(OR(E1132="",E1132="!!!"),"",IF(NOT(ISNA(VLOOKUP(E1132,E$1:E1131,1,FALSE()))),"OLD",IF(AND(E1132&lt;&gt;"",E1132&lt;&gt;"!!!"),"NEW","")))</f>
        <v>OLD</v>
      </c>
      <c r="G1132" s="12" t="s">
        <v>80</v>
      </c>
      <c r="H1132" s="13" t="s">
        <v>7</v>
      </c>
      <c r="I1132" s="14" t="str">
        <f aca="false">IF(OR(E1132="",E1132="!!!",F1132="NEW"),"",INDEX(B$2:B1131,-1+SUMPRODUCT(MAX(ROW(E$2:E1131)*(E1132=E$2:E1131)))))</f>
        <v>other_3</v>
      </c>
      <c r="J1132" s="15" t="n">
        <f aca="true">IF(OR(E1132="",E1132="!!!",F1132="NEW"),"",COUNTBLANK(OFFSET(A$1,,,SUMPRODUCT(MAX(ROW(E$2:E1132)*(E1132=E$2:E1132)))))-COUNTBLANK(OFFSET(A$1,,,SUMPRODUCT(MAX(ROW(E$1:E1131)*(E1132=E$1:E1131))))))</f>
        <v>1</v>
      </c>
      <c r="K1132" s="15" t="str">
        <f aca="false">IF(OR(E1132="",E1132="!!!",F1132="NEW"),"",INDEX(J$1:J1131,SUMPRODUCT(MAX(ROW(E$1:E1131)*(E1132=E$1:E1131)))))</f>
        <v/>
      </c>
      <c r="L1132" s="16"/>
    </row>
    <row r="1133" customFormat="false" ht="12.8" hidden="false" customHeight="false" outlineLevel="0" collapsed="false">
      <c r="A1133" s="0" t="s">
        <v>598</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I1133" s="14" t="str">
        <f aca="false">IF(OR(E1133="",E1133="!!!",F1133="NEW"),"",INDEX(B$2:B1132,-1+SUMPRODUCT(MAX(ROW(E$2:E1132)*(E1133=E$2:E1132)))))</f>
        <v/>
      </c>
      <c r="J1133" s="15" t="str">
        <f aca="true">IF(OR(E1133="",E1133="!!!",F1133="NEW"),"",COUNTBLANK(OFFSET(A$1,,,SUMPRODUCT(MAX(ROW(E$2:E1133)*(E1133=E$2:E1133)))))-COUNTBLANK(OFFSET(A$1,,,SUMPRODUCT(MAX(ROW(E$1:E1132)*(E1133=E$1:E1132))))))</f>
        <v/>
      </c>
      <c r="K1133" s="15" t="str">
        <f aca="false">IF(OR(E1133="",E1133="!!!",F1133="NEW"),"",INDEX(J$1:J1132,SUMPRODUCT(MAX(ROW(E$1:E1132)*(E1133=E$1:E1132)))))</f>
        <v/>
      </c>
      <c r="L1133" s="16"/>
    </row>
    <row r="1134" customFormat="false" ht="12.8" hidden="false" customHeight="false" outlineLevel="0" collapsed="false">
      <c r="A1134" s="0" t="s">
        <v>599</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12.8" hidden="false" customHeight="false" outlineLevel="0" collapsed="false">
      <c r="A1135" s="0" t="s">
        <v>79</v>
      </c>
      <c r="E1135" s="10" t="str">
        <f aca="false">IF(D1135="?OLD","!!!","")</f>
        <v/>
      </c>
      <c r="F1135" s="11" t="str">
        <f aca="false">IF(OR(E1135="",E1135="!!!"),"",IF(NOT(ISNA(VLOOKUP(E1135,E$1:E1134,1,FALSE()))),"OLD",IF(AND(E1135&lt;&gt;"",E1135&lt;&gt;"!!!"),"NEW","")))</f>
        <v/>
      </c>
      <c r="G1135" s="12" t="str">
        <f aca="false">IF(OR(E1135="",E1135="!!!"),"",IF(OR(J1135=0,AND(J1135=1,K1135=1),AND(J1135=1,I1135="SBJ"),AND(J1135=1,I1135=0)),"?IN_FOCUS",IF(J1135&lt;=2,"?ACTIVATED",IF(J1135&lt;&gt;"","?FAMILIAR",IF(F1135="NEW",IF(ISNA(VLOOKUP(E1135,#REF!,1,FALSE())),"?TYPE_IDENTIFIABLE","?REFERENTIAL"),"_")))))</f>
        <v/>
      </c>
      <c r="H1135" s="13" t="str">
        <f aca="false">IF(J1135&lt;&gt;1,"",IF(I1135="SBJ","CB","?"))</f>
        <v/>
      </c>
      <c r="I1135" s="14" t="str">
        <f aca="false">IF(OR(E1135="",E1135="!!!",F1135="NEW"),"",INDEX(B$2:B1134,-1+SUMPRODUCT(MAX(ROW(E$2:E1134)*(E1135=E$2:E1134)))))</f>
        <v/>
      </c>
      <c r="J1135" s="15" t="str">
        <f aca="true">IF(OR(E1135="",E1135="!!!",F1135="NEW"),"",COUNTBLANK(OFFSET(A$1,,,SUMPRODUCT(MAX(ROW(E$2:E1135)*(E1135=E$2:E1135)))))-COUNTBLANK(OFFSET(A$1,,,SUMPRODUCT(MAX(ROW(E$1:E1134)*(E1135=E$1:E1134))))))</f>
        <v/>
      </c>
      <c r="K1135" s="15" t="str">
        <f aca="false">IF(OR(E1135="",E1135="!!!",F1135="NEW"),"",INDEX(J$1:J1134,SUMPRODUCT(MAX(ROW(E$1:E1134)*(E1135=E$1:E1134)))))</f>
        <v/>
      </c>
      <c r="L1135" s="16"/>
    </row>
    <row r="1136" customFormat="false" ht="12.8" hidden="false" customHeight="false" outlineLevel="0" collapsed="false">
      <c r="A1136" s="0" t="s">
        <v>249</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8" hidden="false" customHeight="false" outlineLevel="0" collapsed="false">
      <c r="A1137" s="0" t="s">
        <v>600</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8" hidden="false" customHeight="false" outlineLevel="0" collapsed="false">
      <c r="A1138" s="0" t="s">
        <v>601</v>
      </c>
      <c r="B1138" s="0" t="s">
        <v>14</v>
      </c>
      <c r="C1138" s="0" t="s">
        <v>15</v>
      </c>
      <c r="E1138" s="10" t="s">
        <v>602</v>
      </c>
      <c r="F1138" s="11" t="str">
        <f aca="false">IF(OR(E1138="",E1138="!!!"),"",IF(NOT(ISNA(VLOOKUP(E1138,E$1:E1137,1,FALSE()))),"OLD",IF(AND(E1138&lt;&gt;"",E1138&lt;&gt;"!!!"),"NEW","")))</f>
        <v>NEW</v>
      </c>
      <c r="G1138" s="12" t="s">
        <v>67</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8" hidden="false" customHeight="false" outlineLevel="0" collapsed="false">
      <c r="A1139" s="0" t="s">
        <v>76</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8" hidden="false" customHeight="false" outlineLevel="0" collapsed="false">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I1140" s="14" t="str">
        <f aca="false">IF(OR(E1140="",E1140="!!!",F1140="NEW"),"",INDEX(B$2:B1139,-1+SUMPRODUCT(MAX(ROW(E$2:E1139)*(E1140=E$2:E1139)))))</f>
        <v/>
      </c>
      <c r="J1140" s="15" t="str">
        <f aca="true">IF(OR(E1140="",E1140="!!!",F1140="NEW"),"",COUNTBLANK(OFFSET(A$1,,,SUMPRODUCT(MAX(ROW(E$2:E1140)*(E1140=E$2:E1140)))))-COUNTBLANK(OFFSET(A$1,,,SUMPRODUCT(MAX(ROW(E$1:E1139)*(E1140=E$1:E1139))))))</f>
        <v/>
      </c>
      <c r="K1140" s="15" t="str">
        <f aca="false">IF(OR(E1140="",E1140="!!!",F1140="NEW"),"",INDEX(J$1:J1139,SUMPRODUCT(MAX(ROW(E$1:E1139)*(E1140=E$1:E1139)))))</f>
        <v/>
      </c>
      <c r="L1140" s="16"/>
    </row>
    <row r="1141" customFormat="false" ht="12.8" hidden="false" customHeight="false" outlineLevel="0" collapsed="false">
      <c r="A1141" s="0" t="s">
        <v>603</v>
      </c>
      <c r="E1141" s="10" t="str">
        <f aca="false">IF(D1141="?OLD","!!!","")</f>
        <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I1141" s="14" t="str">
        <f aca="false">IF(OR(E1141="",E1141="!!!",F1141="NEW"),"",INDEX(B$2:B1140,-1+SUMPRODUCT(MAX(ROW(E$2:E1140)*(E1141=E$2:E1140)))))</f>
        <v/>
      </c>
      <c r="J1141" s="15" t="str">
        <f aca="true">IF(OR(E1141="",E1141="!!!",F1141="NEW"),"",COUNTBLANK(OFFSET(A$1,,,SUMPRODUCT(MAX(ROW(E$2:E1141)*(E1141=E$2:E1141)))))-COUNTBLANK(OFFSET(A$1,,,SUMPRODUCT(MAX(ROW(E$1:E1140)*(E1141=E$1:E1140))))))</f>
        <v/>
      </c>
      <c r="K1141" s="15" t="str">
        <f aca="false">IF(OR(E1141="",E1141="!!!",F1141="NEW"),"",INDEX(J$1:J1140,SUMPRODUCT(MAX(ROW(E$1:E1140)*(E1141=E$1:E1140)))))</f>
        <v/>
      </c>
      <c r="L1141" s="16"/>
    </row>
    <row r="1142" customFormat="false" ht="12.8" hidden="false" customHeight="false" outlineLevel="0" collapsed="false">
      <c r="A1142" s="0" t="s">
        <v>363</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8" hidden="false" customHeight="false" outlineLevel="0" collapsed="false">
      <c r="A1143" s="0" t="s">
        <v>543</v>
      </c>
      <c r="E1143" s="10" t="str">
        <f aca="false">IF(D1143="?OLD","!!!","")</f>
        <v/>
      </c>
      <c r="F1143" s="11" t="str">
        <f aca="false">IF(OR(E1143="",E1143="!!!"),"",IF(NOT(ISNA(VLOOKUP(E1143,E$1:E1142,1,FALSE()))),"OLD",IF(AND(E1143&lt;&gt;"",E1143&lt;&gt;"!!!"),"NEW","")))</f>
        <v/>
      </c>
      <c r="G1143" s="12" t="str">
        <f aca="false">IF(OR(E1143="",E1143="!!!"),"",IF(OR(J1143=0,AND(J1143=1,K1143=1),AND(J1143=1,I1143="SBJ"),AND(J1143=1,I1143=0)),"?IN_FOCUS",IF(J1143&lt;=2,"?ACTIVATED",IF(J1143&lt;&gt;"","?FAMILIAR",IF(F1143="NEW",IF(ISNA(VLOOKUP(E1143,#REF!,1,FALSE())),"?TYPE_IDENTIFIABLE","?REFERENTIAL"),"_")))))</f>
        <v/>
      </c>
      <c r="H1143" s="13" t="str">
        <f aca="false">IF(J1143&lt;&gt;1,"",IF(I1143="SBJ","CB","?"))</f>
        <v/>
      </c>
      <c r="I1143" s="14" t="str">
        <f aca="false">IF(OR(E1143="",E1143="!!!",F1143="NEW"),"",INDEX(B$2:B1142,-1+SUMPRODUCT(MAX(ROW(E$2:E1142)*(E1143=E$2:E1142)))))</f>
        <v/>
      </c>
      <c r="J1143" s="15" t="str">
        <f aca="true">IF(OR(E1143="",E1143="!!!",F1143="NEW"),"",COUNTBLANK(OFFSET(A$1,,,SUMPRODUCT(MAX(ROW(E$2:E1143)*(E1143=E$2:E1143)))))-COUNTBLANK(OFFSET(A$1,,,SUMPRODUCT(MAX(ROW(E$1:E1142)*(E1143=E$1:E1142))))))</f>
        <v/>
      </c>
      <c r="K1143" s="15" t="str">
        <f aca="false">IF(OR(E1143="",E1143="!!!",F1143="NEW"),"",INDEX(J$1:J1142,SUMPRODUCT(MAX(ROW(E$1:E1142)*(E1143=E$1:E1142)))))</f>
        <v/>
      </c>
      <c r="L1143" s="16"/>
    </row>
    <row r="1144" customFormat="false" ht="12.8" hidden="false" customHeight="false" outlineLevel="0" collapsed="false">
      <c r="A1144" s="0" t="s">
        <v>44</v>
      </c>
      <c r="E1144" s="10" t="str">
        <f aca="false">IF(D1144="?OLD","!!!","")</f>
        <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I1144" s="14" t="str">
        <f aca="false">IF(OR(E1144="",E1144="!!!",F1144="NEW"),"",INDEX(B$2:B1143,-1+SUMPRODUCT(MAX(ROW(E$2:E1143)*(E1144=E$2:E1143)))))</f>
        <v/>
      </c>
      <c r="J1144" s="15" t="str">
        <f aca="true">IF(OR(E1144="",E1144="!!!",F1144="NEW"),"",COUNTBLANK(OFFSET(A$1,,,SUMPRODUCT(MAX(ROW(E$2:E1144)*(E1144=E$2:E1144)))))-COUNTBLANK(OFFSET(A$1,,,SUMPRODUCT(MAX(ROW(E$1:E1143)*(E1144=E$1:E1143))))))</f>
        <v/>
      </c>
      <c r="K1144" s="15" t="str">
        <f aca="false">IF(OR(E1144="",E1144="!!!",F1144="NEW"),"",INDEX(J$1:J1143,SUMPRODUCT(MAX(ROW(E$1:E1143)*(E1144=E$1:E1143)))))</f>
        <v/>
      </c>
      <c r="L1144" s="16"/>
    </row>
    <row r="1145" customFormat="false" ht="12.8" hidden="false" customHeight="false" outlineLevel="0" collapsed="false">
      <c r="A1145" s="0" t="s">
        <v>240</v>
      </c>
      <c r="B1145" s="0" t="s">
        <v>34</v>
      </c>
      <c r="C1145" s="0" t="s">
        <v>215</v>
      </c>
      <c r="D1145" s="0" t="s">
        <v>20</v>
      </c>
      <c r="E1145" s="10" t="s">
        <v>602</v>
      </c>
      <c r="F1145" s="11" t="str">
        <f aca="false">IF(OR(E1145="",E1145="!!!"),"",IF(NOT(ISNA(VLOOKUP(E1145,E$1:E1144,1,FALSE()))),"OLD",IF(AND(E1145&lt;&gt;"",E1145&lt;&gt;"!!!"),"NEW","")))</f>
        <v>OLD</v>
      </c>
      <c r="G1145" s="12" t="s">
        <v>80</v>
      </c>
      <c r="H1145" s="13" t="s">
        <v>7</v>
      </c>
      <c r="I1145" s="14" t="str">
        <f aca="false">IF(OR(E1145="",E1145="!!!",F1145="NEW"),"",INDEX(B$2:B1144,-1+SUMPRODUCT(MAX(ROW(E$2:E1144)*(E1145=E$2:E1144)))))</f>
        <v>other</v>
      </c>
      <c r="J1145" s="15" t="n">
        <f aca="true">IF(OR(E1145="",E1145="!!!",F1145="NEW"),"",COUNTBLANK(OFFSET(A$1,,,SUMPRODUCT(MAX(ROW(E$2:E1145)*(E1145=E$2:E1145)))))-COUNTBLANK(OFFSET(A$1,,,SUMPRODUCT(MAX(ROW(E$1:E1144)*(E1145=E$1:E1144))))))</f>
        <v>1</v>
      </c>
      <c r="K1145" s="15" t="str">
        <f aca="false">IF(OR(E1145="",E1145="!!!",F1145="NEW"),"",INDEX(J$1:J1144,SUMPRODUCT(MAX(ROW(E$1:E1144)*(E1145=E$1:E1144)))))</f>
        <v/>
      </c>
      <c r="L1145" s="16"/>
    </row>
    <row r="1146" customFormat="false" ht="12.8" hidden="false" customHeight="false" outlineLevel="0" collapsed="false">
      <c r="A1146" s="0" t="s">
        <v>37</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8" hidden="false" customHeight="false" outlineLevel="0" collapsed="false">
      <c r="A1147" s="0" t="s">
        <v>604</v>
      </c>
      <c r="B1147" s="0" t="s">
        <v>14</v>
      </c>
      <c r="C1147" s="0" t="s">
        <v>31</v>
      </c>
      <c r="E1147" s="10" t="str">
        <f aca="false">IF(D1147="?OLD","!!!","")</f>
        <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8" hidden="false" customHeight="false" outlineLevel="0" collapsed="false">
      <c r="A1148" s="0" t="s">
        <v>76</v>
      </c>
      <c r="E1148" s="10" t="str">
        <f aca="false">IF(D1148="?OLD","!!!","")</f>
        <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I1148" s="14" t="str">
        <f aca="false">IF(OR(E1148="",E1148="!!!",F1148="NEW"),"",INDEX(B$2:B1147,-1+SUMPRODUCT(MAX(ROW(E$2:E1147)*(E1148=E$2:E1147)))))</f>
        <v/>
      </c>
      <c r="J1148" s="15" t="str">
        <f aca="true">IF(OR(E1148="",E1148="!!!",F1148="NEW"),"",COUNTBLANK(OFFSET(A$1,,,SUMPRODUCT(MAX(ROW(E$2:E1148)*(E1148=E$2:E1148)))))-COUNTBLANK(OFFSET(A$1,,,SUMPRODUCT(MAX(ROW(E$1:E1147)*(E1148=E$1:E1147))))))</f>
        <v/>
      </c>
      <c r="K1148" s="15" t="str">
        <f aca="false">IF(OR(E1148="",E1148="!!!",F1148="NEW"),"",INDEX(J$1:J1147,SUMPRODUCT(MAX(ROW(E$1:E1147)*(E1148=E$1:E1147)))))</f>
        <v/>
      </c>
      <c r="L1148" s="16"/>
    </row>
    <row r="1149" customFormat="false" ht="12.8" hidden="false" customHeight="false" outlineLevel="0" collapsed="false">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8" hidden="false" customHeight="false" outlineLevel="0" collapsed="false">
      <c r="A1150" s="0" t="s">
        <v>605</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8" hidden="false" customHeight="false" outlineLevel="0" collapsed="false">
      <c r="A1151" s="0" t="s">
        <v>347</v>
      </c>
      <c r="B1151" s="0" t="s">
        <v>34</v>
      </c>
      <c r="C1151" s="0" t="s">
        <v>48</v>
      </c>
      <c r="D1151" s="0" t="s">
        <v>20</v>
      </c>
      <c r="E1151" s="10" t="s">
        <v>602</v>
      </c>
      <c r="F1151" s="11" t="str">
        <f aca="false">IF(OR(E1151="",E1151="!!!"),"",IF(NOT(ISNA(VLOOKUP(E1151,E$1:E1150,1,FALSE()))),"OLD",IF(AND(E1151&lt;&gt;"",E1151&lt;&gt;"!!!"),"NEW","")))</f>
        <v>OLD</v>
      </c>
      <c r="G1151" s="12" t="s">
        <v>87</v>
      </c>
      <c r="H1151" s="13" t="str">
        <f aca="false">IF(J1151&lt;&gt;1,"",IF(I1151="SBJ","CB","?"))</f>
        <v>CB</v>
      </c>
      <c r="I1151" s="14" t="str">
        <f aca="false">IF(OR(E1151="",E1151="!!!",F1151="NEW"),"",INDEX(B$2:B1150,-1+SUMPRODUCT(MAX(ROW(E$2:E1150)*(E1151=E$2:E1150)))))</f>
        <v>SBJ</v>
      </c>
      <c r="J1151" s="15" t="n">
        <f aca="true">IF(OR(E1151="",E1151="!!!",F1151="NEW"),"",COUNTBLANK(OFFSET(A$1,,,SUMPRODUCT(MAX(ROW(E$2:E1151)*(E1151=E$2:E1151)))))-COUNTBLANK(OFFSET(A$1,,,SUMPRODUCT(MAX(ROW(E$1:E1150)*(E1151=E$1:E1150))))))</f>
        <v>1</v>
      </c>
      <c r="K1151" s="15" t="n">
        <f aca="false">IF(OR(E1151="",E1151="!!!",F1151="NEW"),"",INDEX(J$1:J1150,SUMPRODUCT(MAX(ROW(E$1:E1150)*(E1151=E$1:E1150)))))</f>
        <v>1</v>
      </c>
      <c r="L1151" s="16"/>
    </row>
    <row r="1152" customFormat="false" ht="12.8" hidden="false" customHeight="false" outlineLevel="0" collapsed="false">
      <c r="A1152" s="0" t="s">
        <v>100</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8" hidden="false" customHeight="false" outlineLevel="0" collapsed="false">
      <c r="A1153" s="0" t="s">
        <v>219</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8" hidden="false" customHeight="false" outlineLevel="0" collapsed="false">
      <c r="A1154" s="0" t="s">
        <v>606</v>
      </c>
      <c r="B1154" s="0" t="s">
        <v>14</v>
      </c>
      <c r="C1154" s="0" t="s">
        <v>31</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8" hidden="false" customHeight="false" outlineLevel="0" collapsed="false">
      <c r="A1155" s="0" t="s">
        <v>76</v>
      </c>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8" hidden="false" customHeight="false" outlineLevel="0" collapsed="false">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8" hidden="false" customHeight="false" outlineLevel="0" collapsed="false">
      <c r="A1157" s="0" t="s">
        <v>607</v>
      </c>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8" hidden="false" customHeight="false" outlineLevel="0" collapsed="false">
      <c r="A1158" s="0" t="s">
        <v>262</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8" hidden="false" customHeight="false" outlineLevel="0" collapsed="false">
      <c r="A1159" s="0" t="s">
        <v>72</v>
      </c>
      <c r="B1159" s="0" t="s">
        <v>34</v>
      </c>
      <c r="C1159" s="0" t="s">
        <v>48</v>
      </c>
      <c r="D1159" s="0" t="s">
        <v>20</v>
      </c>
      <c r="E1159" s="10" t="s">
        <v>602</v>
      </c>
      <c r="F1159" s="11" t="str">
        <f aca="false">IF(OR(E1159="",E1159="!!!"),"",IF(NOT(ISNA(VLOOKUP(E1159,E$1:E1158,1,FALSE()))),"OLD",IF(AND(E1159&lt;&gt;"",E1159&lt;&gt;"!!!"),"NEW","")))</f>
        <v>OLD</v>
      </c>
      <c r="G1159" s="12" t="s">
        <v>87</v>
      </c>
      <c r="H1159" s="13" t="str">
        <f aca="false">IF(J1159&lt;&gt;1,"",IF(I1159="SBJ","CB","?"))</f>
        <v>CB</v>
      </c>
      <c r="I1159" s="14" t="str">
        <f aca="false">IF(OR(E1159="",E1159="!!!",F1159="NEW"),"",INDEX(B$2:B1158,-1+SUMPRODUCT(MAX(ROW(E$2:E1158)*(E1159=E$2:E1158)))))</f>
        <v>SBJ</v>
      </c>
      <c r="J1159" s="15" t="n">
        <f aca="true">IF(OR(E1159="",E1159="!!!",F1159="NEW"),"",COUNTBLANK(OFFSET(A$1,,,SUMPRODUCT(MAX(ROW(E$2:E1159)*(E1159=E$2:E1159)))))-COUNTBLANK(OFFSET(A$1,,,SUMPRODUCT(MAX(ROW(E$1:E1158)*(E1159=E$1:E1158))))))</f>
        <v>1</v>
      </c>
      <c r="K1159" s="15" t="n">
        <f aca="false">IF(OR(E1159="",E1159="!!!",F1159="NEW"),"",INDEX(J$1:J1158,SUMPRODUCT(MAX(ROW(E$1:E1158)*(E1159=E$1:E1158)))))</f>
        <v>1</v>
      </c>
      <c r="L1159" s="16"/>
    </row>
    <row r="1160" customFormat="false" ht="12.8" hidden="false" customHeight="false" outlineLevel="0" collapsed="false">
      <c r="A1160" s="0" t="s">
        <v>608</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8" hidden="false" customHeight="false" outlineLevel="0" collapsed="false">
      <c r="A1161" s="0" t="s">
        <v>609</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I1161" s="14" t="str">
        <f aca="false">IF(OR(E1161="",E1161="!!!",F1161="NEW"),"",INDEX(B$2:B1160,-1+SUMPRODUCT(MAX(ROW(E$2:E1160)*(E1161=E$2:E1160)))))</f>
        <v/>
      </c>
      <c r="J1161" s="15" t="str">
        <f aca="true">IF(OR(E1161="",E1161="!!!",F1161="NEW"),"",COUNTBLANK(OFFSET(A$1,,,SUMPRODUCT(MAX(ROW(E$2:E1161)*(E1161=E$2:E1161)))))-COUNTBLANK(OFFSET(A$1,,,SUMPRODUCT(MAX(ROW(E$1:E1160)*(E1161=E$1:E1160))))))</f>
        <v/>
      </c>
      <c r="K1161" s="15" t="str">
        <f aca="false">IF(OR(E1161="",E1161="!!!",F1161="NEW"),"",INDEX(J$1:J1160,SUMPRODUCT(MAX(ROW(E$1:E1160)*(E1161=E$1:E1160)))))</f>
        <v/>
      </c>
      <c r="L1161" s="16"/>
    </row>
    <row r="1162" customFormat="false" ht="12.8" hidden="false" customHeight="false" outlineLevel="0" collapsed="false">
      <c r="A1162" s="0" t="s">
        <v>51</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8" hidden="false" customHeight="false" outlineLevel="0" collapsed="false">
      <c r="A1163" s="0" t="s">
        <v>89</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8" hidden="false" customHeight="false" outlineLevel="0" collapsed="false">
      <c r="A1164" s="0" t="s">
        <v>610</v>
      </c>
      <c r="B1164" s="0" t="s">
        <v>47</v>
      </c>
      <c r="C1164" s="0" t="s">
        <v>31</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8" hidden="false" customHeight="false" outlineLevel="0" collapsed="false">
      <c r="A1165" s="0" t="s">
        <v>37</v>
      </c>
      <c r="E1165" s="10" t="s">
        <v>151</v>
      </c>
      <c r="F1165" s="11" t="str">
        <f aca="false">IF(OR(E1165="",E1165="!!!"),"",IF(NOT(ISNA(VLOOKUP(E1165,E$1:E1164,1,FALSE()))),"OLD",IF(AND(E1165&lt;&gt;"",E1165&lt;&gt;"!!!"),"NEW","")))</f>
        <v>OLD</v>
      </c>
      <c r="G1165" s="12" t="s">
        <v>36</v>
      </c>
      <c r="H1165" s="13" t="str">
        <f aca="false">IF(J1165&lt;&gt;1,"",IF(I1165="SBJ","CB","?"))</f>
        <v/>
      </c>
      <c r="I1165" s="14" t="str">
        <f aca="false">IF(OR(E1165="",E1165="!!!",F1165="NEW"),"",INDEX(B$2:B1164,-1+SUMPRODUCT(MAX(ROW(E$2:E1164)*(E1165=E$2:E1164)))))</f>
        <v>OBJ_5</v>
      </c>
      <c r="J1165" s="15" t="n">
        <f aca="true">IF(OR(E1165="",E1165="!!!",F1165="NEW"),"",COUNTBLANK(OFFSET(A$1,,,SUMPRODUCT(MAX(ROW(E$2:E1165)*(E1165=E$2:E1165)))))-COUNTBLANK(OFFSET(A$1,,,SUMPRODUCT(MAX(ROW(E$1:E1164)*(E1165=E$1:E1164))))))</f>
        <v>38</v>
      </c>
      <c r="K1165" s="15" t="n">
        <f aca="false">IF(OR(E1165="",E1165="!!!",F1165="NEW"),"",INDEX(J$1:J1164,SUMPRODUCT(MAX(ROW(E$1:E1164)*(E1165=E$1:E1164)))))</f>
        <v>0</v>
      </c>
      <c r="L1165" s="16" t="s">
        <v>611</v>
      </c>
    </row>
    <row r="1166" customFormat="false" ht="12.8" hidden="false" customHeight="false" outlineLevel="0" collapsed="false">
      <c r="A1166" s="0" t="s">
        <v>612</v>
      </c>
      <c r="E1166" s="10" t="str">
        <f aca="false">IF(D1166="?OLD","!!!","")</f>
        <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row>
    <row r="1167" customFormat="false" ht="12.8" hidden="false" customHeight="false" outlineLevel="0" collapsed="false">
      <c r="A1167" s="0" t="s">
        <v>139</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8" hidden="false" customHeight="false" outlineLevel="0" collapsed="false">
      <c r="A1168" s="0" t="s">
        <v>613</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23.85" hidden="false" customHeight="false" outlineLevel="0" collapsed="false">
      <c r="A1169" s="0" t="s">
        <v>115</v>
      </c>
      <c r="B1169" s="0" t="s">
        <v>75</v>
      </c>
      <c r="C1169" s="0" t="s">
        <v>31</v>
      </c>
      <c r="E1169" s="10" t="s">
        <v>115</v>
      </c>
      <c r="F1169" s="11" t="s">
        <v>238</v>
      </c>
      <c r="G1169" s="12"/>
      <c r="H1169" s="13"/>
      <c r="I1169" s="14" t="e">
        <f aca="false">IF(OR(E1169="",E1169="!!!",F1169="NEW"),"",INDEX(B$2:B1168,-1+SUMPRODUCT(MAX(ROW(E$2:E1168)*(E1169=E$2:E1168)))))</f>
        <v>#VALUE!</v>
      </c>
      <c r="J1169" s="15" t="e">
        <f aca="true">IF(OR(E1169="",E1169="!!!",F1169="NEW"),"",COUNTBLANK(OFFSET(A$1,,,SUMPRODUCT(MAX(ROW(E$2:E1169)*(E1169=E$2:E1169)))))-COUNTBLANK(OFFSET(A$1,,,SUMPRODUCT(MAX(ROW(E$1:E1168)*(E1169=E$1:E1168))))))</f>
        <v>#VALUE!</v>
      </c>
      <c r="K1169" s="15" t="e">
        <f aca="false">IF(OR(E1169="",E1169="!!!",F1169="NEW"),"",INDEX(J$1:J1168,SUMPRODUCT(MAX(ROW(E$1:E1168)*(E1169=E$1:E1168)))))</f>
        <v>#VALUE!</v>
      </c>
      <c r="L1169" s="16" t="s">
        <v>614</v>
      </c>
    </row>
    <row r="1170" customFormat="false" ht="12.8" hidden="false" customHeight="false" outlineLevel="0" collapsed="false">
      <c r="A1170" s="0" t="s">
        <v>76</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I1170" s="14" t="str">
        <f aca="false">IF(OR(E1170="",E1170="!!!",F1170="NEW"),"",INDEX(B$2:B1169,-1+SUMPRODUCT(MAX(ROW(E$2:E1169)*(E1170=E$2:E1169)))))</f>
        <v/>
      </c>
      <c r="J1170" s="15" t="str">
        <f aca="true">IF(OR(E1170="",E1170="!!!",F1170="NEW"),"",COUNTBLANK(OFFSET(A$1,,,SUMPRODUCT(MAX(ROW(E$2:E1170)*(E1170=E$2:E1170)))))-COUNTBLANK(OFFSET(A$1,,,SUMPRODUCT(MAX(ROW(E$1:E1169)*(E1170=E$1:E1169))))))</f>
        <v/>
      </c>
      <c r="K1170" s="15" t="str">
        <f aca="false">IF(OR(E1170="",E1170="!!!",F1170="NEW"),"",INDEX(J$1:J1169,SUMPRODUCT(MAX(ROW(E$1:E1169)*(E1170=E$1:E1169)))))</f>
        <v/>
      </c>
      <c r="L1170" s="16"/>
    </row>
    <row r="1171" customFormat="false" ht="12.8" hidden="false" customHeight="false" outlineLevel="0" collapsed="false">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I1171" s="14" t="str">
        <f aca="false">IF(OR(E1171="",E1171="!!!",F1171="NEW"),"",INDEX(B$2:B1170,-1+SUMPRODUCT(MAX(ROW(E$2:E1170)*(E1171=E$2:E1170)))))</f>
        <v/>
      </c>
      <c r="J1171" s="15" t="str">
        <f aca="true">IF(OR(E1171="",E1171="!!!",F1171="NEW"),"",COUNTBLANK(OFFSET(A$1,,,SUMPRODUCT(MAX(ROW(E$2:E1171)*(E1171=E$2:E1171)))))-COUNTBLANK(OFFSET(A$1,,,SUMPRODUCT(MAX(ROW(E$1:E1170)*(E1171=E$1:E1170))))))</f>
        <v/>
      </c>
      <c r="K1171" s="15" t="str">
        <f aca="false">IF(OR(E1171="",E1171="!!!",F1171="NEW"),"",INDEX(J$1:J1170,SUMPRODUCT(MAX(ROW(E$1:E1170)*(E1171=E$1:E1170)))))</f>
        <v/>
      </c>
      <c r="L1171" s="16"/>
    </row>
    <row r="1172" customFormat="false" ht="12.8" hidden="false" customHeight="false" outlineLevel="0" collapsed="false">
      <c r="A1172" s="0" t="s">
        <v>615</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row>
    <row r="1173" customFormat="false" ht="12.8" hidden="false" customHeight="false" outlineLevel="0" collapsed="false">
      <c r="A1173" s="0" t="s">
        <v>363</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I1173" s="14" t="str">
        <f aca="false">IF(OR(E1173="",E1173="!!!",F1173="NEW"),"",INDEX(B$2:B1172,-1+SUMPRODUCT(MAX(ROW(E$2:E1172)*(E1173=E$2:E1172)))))</f>
        <v/>
      </c>
      <c r="J1173" s="15" t="str">
        <f aca="true">IF(OR(E1173="",E1173="!!!",F1173="NEW"),"",COUNTBLANK(OFFSET(A$1,,,SUMPRODUCT(MAX(ROW(E$2:E1173)*(E1173=E$2:E1173)))))-COUNTBLANK(OFFSET(A$1,,,SUMPRODUCT(MAX(ROW(E$1:E1172)*(E1173=E$1:E1172))))))</f>
        <v/>
      </c>
      <c r="K1173" s="15" t="str">
        <f aca="false">IF(OR(E1173="",E1173="!!!",F1173="NEW"),"",INDEX(J$1:J1172,SUMPRODUCT(MAX(ROW(E$1:E1172)*(E1173=E$1:E1172)))))</f>
        <v/>
      </c>
      <c r="L1173" s="16"/>
    </row>
    <row r="1174" customFormat="false" ht="12.8" hidden="false" customHeight="false" outlineLevel="0" collapsed="false">
      <c r="A1174" s="0" t="s">
        <v>252</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8" hidden="false" customHeight="false" outlineLevel="0" collapsed="false">
      <c r="A1175" s="0" t="s">
        <v>62</v>
      </c>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I1175" s="14" t="str">
        <f aca="false">IF(OR(E1175="",E1175="!!!",F1175="NEW"),"",INDEX(B$2:B1174,-1+SUMPRODUCT(MAX(ROW(E$2:E1174)*(E1175=E$2:E1174)))))</f>
        <v/>
      </c>
      <c r="J1175" s="15" t="str">
        <f aca="true">IF(OR(E1175="",E1175="!!!",F1175="NEW"),"",COUNTBLANK(OFFSET(A$1,,,SUMPRODUCT(MAX(ROW(E$2:E1175)*(E1175=E$2:E1175)))))-COUNTBLANK(OFFSET(A$1,,,SUMPRODUCT(MAX(ROW(E$1:E1174)*(E1175=E$1:E1174))))))</f>
        <v/>
      </c>
      <c r="K1175" s="15" t="str">
        <f aca="false">IF(OR(E1175="",E1175="!!!",F1175="NEW"),"",INDEX(J$1:J1174,SUMPRODUCT(MAX(ROW(E$1:E1174)*(E1175=E$1:E1174)))))</f>
        <v/>
      </c>
      <c r="L1175" s="16"/>
    </row>
    <row r="1176" customFormat="false" ht="12.8" hidden="false" customHeight="false" outlineLevel="0" collapsed="false">
      <c r="A1176" s="0" t="s">
        <v>115</v>
      </c>
      <c r="B1176" s="0" t="s">
        <v>34</v>
      </c>
      <c r="C1176" s="0" t="s">
        <v>27</v>
      </c>
      <c r="D1176" s="0" t="s">
        <v>20</v>
      </c>
      <c r="E1176" s="10" t="s">
        <v>616</v>
      </c>
      <c r="F1176" s="11" t="str">
        <f aca="false">IF(OR(E1176="",E1176="!!!"),"",IF(NOT(ISNA(VLOOKUP(E1176,E$1:E1175,1,FALSE()))),"OLD",IF(AND(E1176&lt;&gt;"",E1176&lt;&gt;"!!!"),"NEW","")))</f>
        <v>NEW</v>
      </c>
      <c r="G1176" s="12" t="s">
        <v>131</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12.8" hidden="false" customHeight="false" outlineLevel="0" collapsed="false">
      <c r="A1177" s="0" t="s">
        <v>54</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I1177" s="14" t="str">
        <f aca="false">IF(OR(E1177="",E1177="!!!",F1177="NEW"),"",INDEX(B$2:B1176,-1+SUMPRODUCT(MAX(ROW(E$2:E1176)*(E1177=E$2:E1176)))))</f>
        <v/>
      </c>
      <c r="J1177" s="15" t="str">
        <f aca="true">IF(OR(E1177="",E1177="!!!",F1177="NEW"),"",COUNTBLANK(OFFSET(A$1,,,SUMPRODUCT(MAX(ROW(E$2:E1177)*(E1177=E$2:E1177)))))-COUNTBLANK(OFFSET(A$1,,,SUMPRODUCT(MAX(ROW(E$1:E1176)*(E1177=E$1:E1176))))))</f>
        <v/>
      </c>
      <c r="K1177" s="15" t="str">
        <f aca="false">IF(OR(E1177="",E1177="!!!",F1177="NEW"),"",INDEX(J$1:J1176,SUMPRODUCT(MAX(ROW(E$1:E1176)*(E1177=E$1:E1176)))))</f>
        <v/>
      </c>
      <c r="L1177" s="16"/>
    </row>
    <row r="1178" customFormat="false" ht="12.8" hidden="false" customHeight="false" outlineLevel="0" collapsed="false">
      <c r="A1178" s="0" t="s">
        <v>62</v>
      </c>
      <c r="E1178" s="10" t="str">
        <f aca="false">IF(D1178="?OLD","!!!","")</f>
        <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8" hidden="false" customHeight="false" outlineLevel="0" collapsed="false">
      <c r="A1179" s="0" t="s">
        <v>617</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I1179" s="14" t="str">
        <f aca="false">IF(OR(E1179="",E1179="!!!",F1179="NEW"),"",INDEX(B$2:B1178,-1+SUMPRODUCT(MAX(ROW(E$2:E1178)*(E1179=E$2:E1178)))))</f>
        <v/>
      </c>
      <c r="J1179" s="15" t="str">
        <f aca="true">IF(OR(E1179="",E1179="!!!",F1179="NEW"),"",COUNTBLANK(OFFSET(A$1,,,SUMPRODUCT(MAX(ROW(E$2:E1179)*(E1179=E$2:E1179)))))-COUNTBLANK(OFFSET(A$1,,,SUMPRODUCT(MAX(ROW(E$1:E1178)*(E1179=E$1:E1178))))))</f>
        <v/>
      </c>
      <c r="K1179" s="15" t="str">
        <f aca="false">IF(OR(E1179="",E1179="!!!",F1179="NEW"),"",INDEX(J$1:J1178,SUMPRODUCT(MAX(ROW(E$1:E1178)*(E1179=E$1:E1178)))))</f>
        <v/>
      </c>
      <c r="L1179" s="16"/>
    </row>
    <row r="1180" customFormat="false" ht="12.8" hidden="false" customHeight="false" outlineLevel="0" collapsed="false">
      <c r="A1180" s="0" t="s">
        <v>397</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I1180" s="14" t="str">
        <f aca="false">IF(OR(E1180="",E1180="!!!",F1180="NEW"),"",INDEX(B$2:B1179,-1+SUMPRODUCT(MAX(ROW(E$2:E1179)*(E1180=E$2:E1179)))))</f>
        <v/>
      </c>
      <c r="J1180" s="15" t="str">
        <f aca="true">IF(OR(E1180="",E1180="!!!",F1180="NEW"),"",COUNTBLANK(OFFSET(A$1,,,SUMPRODUCT(MAX(ROW(E$2:E1180)*(E1180=E$2:E1180)))))-COUNTBLANK(OFFSET(A$1,,,SUMPRODUCT(MAX(ROW(E$1:E1179)*(E1180=E$1:E1179))))))</f>
        <v/>
      </c>
      <c r="K1180" s="15" t="str">
        <f aca="false">IF(OR(E1180="",E1180="!!!",F1180="NEW"),"",INDEX(J$1:J1179,SUMPRODUCT(MAX(ROW(E$1:E1179)*(E1180=E$1:E1179)))))</f>
        <v/>
      </c>
      <c r="L1180" s="16"/>
    </row>
    <row r="1181" customFormat="false" ht="12.8" hidden="false" customHeight="false" outlineLevel="0" collapsed="false">
      <c r="A1181" s="0" t="s">
        <v>156</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8" hidden="false" customHeight="false" outlineLevel="0" collapsed="false">
      <c r="A1182" s="0" t="s">
        <v>45</v>
      </c>
      <c r="E1182" s="10" t="str">
        <f aca="false">IF(D1182="?OLD","!!!","")</f>
        <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I1182" s="14" t="str">
        <f aca="false">IF(OR(E1182="",E1182="!!!",F1182="NEW"),"",INDEX(B$2:B1181,-1+SUMPRODUCT(MAX(ROW(E$2:E1181)*(E1182=E$2:E1181)))))</f>
        <v/>
      </c>
      <c r="J1182" s="15" t="str">
        <f aca="true">IF(OR(E1182="",E1182="!!!",F1182="NEW"),"",COUNTBLANK(OFFSET(A$1,,,SUMPRODUCT(MAX(ROW(E$2:E1182)*(E1182=E$2:E1182)))))-COUNTBLANK(OFFSET(A$1,,,SUMPRODUCT(MAX(ROW(E$1:E1181)*(E1182=E$1:E1181))))))</f>
        <v/>
      </c>
      <c r="K1182" s="15" t="str">
        <f aca="false">IF(OR(E1182="",E1182="!!!",F1182="NEW"),"",INDEX(J$1:J1181,SUMPRODUCT(MAX(ROW(E$1:E1181)*(E1182=E$1:E1181)))))</f>
        <v/>
      </c>
      <c r="L1182" s="16"/>
    </row>
    <row r="1183" customFormat="false" ht="12.8" hidden="false" customHeight="false" outlineLevel="0" collapsed="false">
      <c r="A1183" s="0" t="s">
        <v>62</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8" hidden="false" customHeight="false" outlineLevel="0" collapsed="false">
      <c r="A1184" s="0" t="s">
        <v>353</v>
      </c>
      <c r="E1184" s="10" t="s">
        <v>33</v>
      </c>
      <c r="F1184" s="11" t="str">
        <f aca="false">IF(OR(E1184="",E1184="!!!"),"",IF(NOT(ISNA(VLOOKUP(E1184,E$1:E1183,1,FALSE()))),"OLD",IF(AND(E1184&lt;&gt;"",E1184&lt;&gt;"!!!"),"NEW","")))</f>
        <v>OLD</v>
      </c>
      <c r="G1184" s="12" t="s">
        <v>36</v>
      </c>
      <c r="H1184" s="13" t="str">
        <f aca="false">IF(J1184&lt;&gt;1,"",IF(I1184="SBJ","CB","?"))</f>
        <v/>
      </c>
      <c r="I1184" s="14" t="str">
        <f aca="false">IF(OR(E1184="",E1184="!!!",F1184="NEW"),"",INDEX(B$2:B1183,-1+SUMPRODUCT(MAX(ROW(E$2:E1183)*(E1184=E$2:E1183)))))</f>
        <v>other_2</v>
      </c>
      <c r="J1184" s="15" t="n">
        <f aca="true">IF(OR(E1184="",E1184="!!!",F1184="NEW"),"",COUNTBLANK(OFFSET(A$1,,,SUMPRODUCT(MAX(ROW(E$2:E1184)*(E1184=E$2:E1184)))))-COUNTBLANK(OFFSET(A$1,,,SUMPRODUCT(MAX(ROW(E$1:E1183)*(E1184=E$1:E1183))))))</f>
        <v>12</v>
      </c>
      <c r="K1184" s="15" t="n">
        <f aca="false">IF(OR(E1184="",E1184="!!!",F1184="NEW"),"",INDEX(J$1:J1183,SUMPRODUCT(MAX(ROW(E$1:E1183)*(E1184=E$1:E1183)))))</f>
        <v>27</v>
      </c>
      <c r="L1184" s="16"/>
    </row>
    <row r="1185" customFormat="false" ht="12.8" hidden="false" customHeight="false" outlineLevel="0" collapsed="false">
      <c r="A1185" s="0" t="s">
        <v>618</v>
      </c>
      <c r="B1185" s="0" t="s">
        <v>14</v>
      </c>
      <c r="C1185" s="0" t="s">
        <v>27</v>
      </c>
      <c r="D1185" s="0" t="s">
        <v>20</v>
      </c>
      <c r="E1185" s="10" t="str">
        <f aca="false">IF(D1185="?OLD","!!!","")</f>
        <v>!!!</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I1185" s="14" t="str">
        <f aca="false">IF(OR(E1185="",E1185="!!!",F1185="NEW"),"",INDEX(B$2:B1184,-1+SUMPRODUCT(MAX(ROW(E$2:E1184)*(E1185=E$2:E1184)))))</f>
        <v/>
      </c>
      <c r="J1185" s="15" t="str">
        <f aca="true">IF(OR(E1185="",E1185="!!!",F1185="NEW"),"",COUNTBLANK(OFFSET(A$1,,,SUMPRODUCT(MAX(ROW(E$2:E1185)*(E1185=E$2:E1185)))))-COUNTBLANK(OFFSET(A$1,,,SUMPRODUCT(MAX(ROW(E$1:E1184)*(E1185=E$1:E1184))))))</f>
        <v/>
      </c>
      <c r="K1185" s="15" t="str">
        <f aca="false">IF(OR(E1185="",E1185="!!!",F1185="NEW"),"",INDEX(J$1:J1184,SUMPRODUCT(MAX(ROW(E$1:E1184)*(E1185=E$1:E1184)))))</f>
        <v/>
      </c>
      <c r="L1185" s="16"/>
    </row>
    <row r="1186" customFormat="false" ht="12.8" hidden="false" customHeight="false" outlineLevel="0" collapsed="false">
      <c r="A1186" s="0" t="s">
        <v>44</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8" hidden="false" customHeight="false" outlineLevel="0" collapsed="false">
      <c r="A1187" s="0" t="s">
        <v>619</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I1187" s="14" t="str">
        <f aca="false">IF(OR(E1187="",E1187="!!!",F1187="NEW"),"",INDEX(B$2:B1186,-1+SUMPRODUCT(MAX(ROW(E$2:E1186)*(E1187=E$2:E1186)))))</f>
        <v/>
      </c>
      <c r="J1187" s="15" t="str">
        <f aca="true">IF(OR(E1187="",E1187="!!!",F1187="NEW"),"",COUNTBLANK(OFFSET(A$1,,,SUMPRODUCT(MAX(ROW(E$2:E1187)*(E1187=E$2:E1187)))))-COUNTBLANK(OFFSET(A$1,,,SUMPRODUCT(MAX(ROW(E$1:E1186)*(E1187=E$1:E1186))))))</f>
        <v/>
      </c>
      <c r="K1187" s="15" t="str">
        <f aca="false">IF(OR(E1187="",E1187="!!!",F1187="NEW"),"",INDEX(J$1:J1186,SUMPRODUCT(MAX(ROW(E$1:E1186)*(E1187=E$1:E1186)))))</f>
        <v/>
      </c>
      <c r="L1187" s="16"/>
    </row>
    <row r="1188" customFormat="false" ht="12.8" hidden="false" customHeight="false" outlineLevel="0" collapsed="false">
      <c r="A1188" s="0" t="s">
        <v>55</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8" hidden="false" customHeight="false" outlineLevel="0" collapsed="false">
      <c r="A1189" s="0" t="s">
        <v>240</v>
      </c>
      <c r="B1189" s="0" t="s">
        <v>47</v>
      </c>
      <c r="C1189" s="0" t="s">
        <v>215</v>
      </c>
      <c r="D1189" s="0" t="s">
        <v>20</v>
      </c>
      <c r="E1189" s="10" t="s">
        <v>151</v>
      </c>
      <c r="F1189" s="11" t="str">
        <f aca="false">IF(OR(E1189="",E1189="!!!"),"",IF(NOT(ISNA(VLOOKUP(E1189,E$1:E1188,1,FALSE()))),"OLD",IF(AND(E1189&lt;&gt;"",E1189&lt;&gt;"!!!"),"NEW","")))</f>
        <v>OLD</v>
      </c>
      <c r="G1189" s="12" t="s">
        <v>87</v>
      </c>
      <c r="H1189" s="13" t="s">
        <v>7</v>
      </c>
      <c r="I1189" s="14" t="n">
        <f aca="false">IF(OR(E1189="",E1189="!!!",F1189="NEW"),"",INDEX(B$2:B1188,-1+SUMPRODUCT(MAX(ROW(E$2:E1188)*(E1189=E$2:E1188)))))</f>
        <v>0</v>
      </c>
      <c r="J1189" s="15" t="n">
        <f aca="true">IF(OR(E1189="",E1189="!!!",F1189="NEW"),"",COUNTBLANK(OFFSET(A$1,,,SUMPRODUCT(MAX(ROW(E$2:E1189)*(E1189=E$2:E1189)))))-COUNTBLANK(OFFSET(A$1,,,SUMPRODUCT(MAX(ROW(E$1:E1188)*(E1189=E$1:E1188))))))</f>
        <v>1</v>
      </c>
      <c r="K1189" s="15" t="n">
        <f aca="false">IF(OR(E1189="",E1189="!!!",F1189="NEW"),"",INDEX(J$1:J1188,SUMPRODUCT(MAX(ROW(E$1:E1188)*(E1189=E$1:E1188)))))</f>
        <v>38</v>
      </c>
      <c r="L1189" s="16"/>
    </row>
    <row r="1190" customFormat="false" ht="12.8" hidden="false" customHeight="false" outlineLevel="0" collapsed="false">
      <c r="A1190" s="0" t="s">
        <v>203</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8" hidden="false" customHeight="false" outlineLevel="0" collapsed="false">
      <c r="A1191" s="0" t="s">
        <v>62</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8" hidden="false" customHeight="false" outlineLevel="0" collapsed="false">
      <c r="A1192" s="0" t="s">
        <v>620</v>
      </c>
      <c r="B1192" s="0" t="s">
        <v>14</v>
      </c>
      <c r="C1192" s="0" t="s">
        <v>27</v>
      </c>
      <c r="D1192" s="0" t="s">
        <v>20</v>
      </c>
      <c r="E1192" s="10"/>
      <c r="F1192" s="11" t="s">
        <v>247</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8" hidden="false" customHeight="false" outlineLevel="0" collapsed="false">
      <c r="A1193" s="0" t="s">
        <v>370</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8" hidden="false" customHeight="false" outlineLevel="0" collapsed="false">
      <c r="E1194" s="10" t="str">
        <f aca="false">IF(D1194="?OLD","!!!","")</f>
        <v/>
      </c>
      <c r="F1194" s="11" t="str">
        <f aca="false">IF(OR(E1194="",E1194="!!!"),"",IF(NOT(ISNA(VLOOKUP(E1194,E$1:E1193,1,FALSE()))),"OLD",IF(AND(E1194&lt;&gt;"",E1194&lt;&gt;"!!!"),"NEW","")))</f>
        <v/>
      </c>
      <c r="G1194" s="12" t="str">
        <f aca="false">IF(OR(E1194="",E1194="!!!"),"",IF(OR(J1194=0,AND(J1194=1,K1194=1),AND(J1194=1,I1194="SBJ"),AND(J1194=1,I1194=0)),"?IN_FOCUS",IF(J1194&lt;=2,"?ACTIVATED",IF(J1194&lt;&gt;"","?FAMILIAR",IF(F1194="NEW",IF(ISNA(VLOOKUP(E1194,#REF!,1,FALSE())),"?TYPE_IDENTIFIABLE","?REFERENTIAL"),"_")))))</f>
        <v/>
      </c>
      <c r="H1194" s="13" t="str">
        <f aca="false">IF(J1194&lt;&gt;1,"",IF(I1194="SBJ","CB","?"))</f>
        <v/>
      </c>
      <c r="I1194" s="14" t="str">
        <f aca="false">IF(OR(E1194="",E1194="!!!",F1194="NEW"),"",INDEX(B$2:B1193,-1+SUMPRODUCT(MAX(ROW(E$2:E1193)*(E1194=E$2:E1193)))))</f>
        <v/>
      </c>
      <c r="J1194" s="15" t="str">
        <f aca="true">IF(OR(E1194="",E1194="!!!",F1194="NEW"),"",COUNTBLANK(OFFSET(A$1,,,SUMPRODUCT(MAX(ROW(E$2:E1194)*(E1194=E$2:E1194)))))-COUNTBLANK(OFFSET(A$1,,,SUMPRODUCT(MAX(ROW(E$1:E1193)*(E1194=E$1:E1193))))))</f>
        <v/>
      </c>
      <c r="K1194" s="15" t="str">
        <f aca="false">IF(OR(E1194="",E1194="!!!",F1194="NEW"),"",INDEX(J$1:J1193,SUMPRODUCT(MAX(ROW(E$1:E1193)*(E1194=E$1:E1193)))))</f>
        <v/>
      </c>
      <c r="L1194" s="16"/>
    </row>
    <row r="1195" customFormat="false" ht="12.8" hidden="false" customHeight="false" outlineLevel="0" collapsed="false">
      <c r="A1195" s="0" t="s">
        <v>621</v>
      </c>
      <c r="E1195" s="10" t="str">
        <f aca="false">IF(D1195="?OLD","!!!","")</f>
        <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8" hidden="false" customHeight="false" outlineLevel="0" collapsed="false">
      <c r="A1196" s="0" t="s">
        <v>622</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8" hidden="false" customHeight="false" outlineLevel="0" collapsed="false">
      <c r="A1197" s="0" t="s">
        <v>52</v>
      </c>
      <c r="B1197" s="0" t="s">
        <v>34</v>
      </c>
      <c r="C1197" s="0" t="s">
        <v>31</v>
      </c>
      <c r="E1197" s="10" t="s">
        <v>52</v>
      </c>
      <c r="F1197" s="11" t="str">
        <f aca="false">IF(OR(E1197="",E1197="!!!"),"",IF(NOT(ISNA(VLOOKUP(E1197,E$1:E1196,1,FALSE()))),"OLD",IF(AND(E1197&lt;&gt;"",E1197&lt;&gt;"!!!"),"NEW","")))</f>
        <v>OLD</v>
      </c>
      <c r="G1197" s="12" t="s">
        <v>36</v>
      </c>
      <c r="H1197" s="13" t="str">
        <f aca="false">IF(J1197&lt;&gt;1,"",IF(I1197="SBJ","CB","?"))</f>
        <v/>
      </c>
      <c r="I1197" s="14" t="str">
        <f aca="false">IF(OR(E1197="",E1197="!!!",F1197="NEW"),"",INDEX(B$2:B1196,-1+SUMPRODUCT(MAX(ROW(E$2:E1196)*(E1197=E$2:E1196)))))</f>
        <v>other_2</v>
      </c>
      <c r="J1197" s="15" t="n">
        <f aca="true">IF(OR(E1197="",E1197="!!!",F1197="NEW"),"",COUNTBLANK(OFFSET(A$1,,,SUMPRODUCT(MAX(ROW(E$2:E1197)*(E1197=E$2:E1197)))))-COUNTBLANK(OFFSET(A$1,,,SUMPRODUCT(MAX(ROW(E$1:E1196)*(E1197=E$1:E1196))))))</f>
        <v>34</v>
      </c>
      <c r="K1197" s="15" t="n">
        <f aca="false">IF(OR(E1197="",E1197="!!!",F1197="NEW"),"",INDEX(J$1:J1196,SUMPRODUCT(MAX(ROW(E$1:E1196)*(E1197=E$1:E1196)))))</f>
        <v>2</v>
      </c>
      <c r="L1197" s="16"/>
    </row>
    <row r="1198" customFormat="false" ht="12.8" hidden="false" customHeight="false" outlineLevel="0" collapsed="false">
      <c r="A1198" s="0" t="s">
        <v>44</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8" hidden="false" customHeight="false" outlineLevel="0" collapsed="false">
      <c r="A1199" s="0" t="s">
        <v>623</v>
      </c>
      <c r="E1199" s="10" t="str">
        <f aca="false">IF(D1199="?OLD","!!!","")</f>
        <v/>
      </c>
      <c r="F1199" s="11" t="str">
        <f aca="false">IF(OR(E1199="",E1199="!!!"),"",IF(NOT(ISNA(VLOOKUP(E1199,E$1:E1198,1,FALSE()))),"OLD",IF(AND(E1199&lt;&gt;"",E1199&lt;&gt;"!!!"),"NEW","")))</f>
        <v/>
      </c>
      <c r="G1199" s="12" t="str">
        <f aca="false">IF(OR(E1199="",E1199="!!!"),"",IF(OR(J1199=0,AND(J1199=1,K1199=1),AND(J1199=1,I1199="SBJ"),AND(J1199=1,I1199=0)),"?IN_FOCUS",IF(J1199&lt;=2,"?ACTIVATED",IF(J1199&lt;&gt;"","?FAMILIAR",IF(F1199="NEW",IF(ISNA(VLOOKUP(E1199,#REF!,1,FALSE())),"?TYPE_IDENTIFIABLE","?REFERENTIAL"),"_")))))</f>
        <v/>
      </c>
      <c r="H1199" s="13" t="str">
        <f aca="false">IF(J1199&lt;&gt;1,"",IF(I1199="SBJ","CB","?"))</f>
        <v/>
      </c>
      <c r="I1199" s="14" t="str">
        <f aca="false">IF(OR(E1199="",E1199="!!!",F1199="NEW"),"",INDEX(B$2:B1198,-1+SUMPRODUCT(MAX(ROW(E$2:E1198)*(E1199=E$2:E1198)))))</f>
        <v/>
      </c>
      <c r="J1199" s="15" t="str">
        <f aca="true">IF(OR(E1199="",E1199="!!!",F1199="NEW"),"",COUNTBLANK(OFFSET(A$1,,,SUMPRODUCT(MAX(ROW(E$2:E1199)*(E1199=E$2:E1199)))))-COUNTBLANK(OFFSET(A$1,,,SUMPRODUCT(MAX(ROW(E$1:E1198)*(E1199=E$1:E1198))))))</f>
        <v/>
      </c>
      <c r="K1199" s="15" t="str">
        <f aca="false">IF(OR(E1199="",E1199="!!!",F1199="NEW"),"",INDEX(J$1:J1198,SUMPRODUCT(MAX(ROW(E$1:E1198)*(E1199=E$1:E1198)))))</f>
        <v/>
      </c>
      <c r="L1199" s="16"/>
    </row>
    <row r="1200" customFormat="false" ht="12.8" hidden="false" customHeight="false" outlineLevel="0" collapsed="false">
      <c r="A1200" s="0" t="s">
        <v>140</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23.85" hidden="false" customHeight="false" outlineLevel="0" collapsed="false">
      <c r="A1201" s="0" t="s">
        <v>52</v>
      </c>
      <c r="B1201" s="0" t="s">
        <v>75</v>
      </c>
      <c r="C1201" s="0" t="s">
        <v>31</v>
      </c>
      <c r="E1201" s="10"/>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I1201" s="14" t="str">
        <f aca="false">IF(OR(E1201="",E1201="!!!",F1201="NEW"),"",INDEX(B$2:B1200,-1+SUMPRODUCT(MAX(ROW(E$2:E1200)*(E1201=E$2:E1200)))))</f>
        <v/>
      </c>
      <c r="J1201" s="15" t="str">
        <f aca="true">IF(OR(E1201="",E1201="!!!",F1201="NEW"),"",COUNTBLANK(OFFSET(A$1,,,SUMPRODUCT(MAX(ROW(E$2:E1201)*(E1201=E$2:E1201)))))-COUNTBLANK(OFFSET(A$1,,,SUMPRODUCT(MAX(ROW(E$1:E1200)*(E1201=E$1:E1200))))))</f>
        <v/>
      </c>
      <c r="K1201" s="15" t="str">
        <f aca="false">IF(OR(E1201="",E1201="!!!",F1201="NEW"),"",INDEX(J$1:J1200,SUMPRODUCT(MAX(ROW(E$1:E1200)*(E1201=E$1:E1200)))))</f>
        <v/>
      </c>
      <c r="L1201" s="16" t="s">
        <v>624</v>
      </c>
    </row>
    <row r="1202" customFormat="false" ht="12.8" hidden="false" customHeight="false" outlineLevel="0" collapsed="false">
      <c r="A1202" s="0" t="s">
        <v>44</v>
      </c>
      <c r="E1202" s="10" t="str">
        <f aca="false">IF(D1202="?OLD","!!!","")</f>
        <v/>
      </c>
      <c r="F1202" s="11" t="str">
        <f aca="false">IF(OR(E1202="",E1202="!!!"),"",IF(NOT(ISNA(VLOOKUP(E1202,E$1:E1201,1,FALSE()))),"OLD",IF(AND(E1202&lt;&gt;"",E1202&lt;&gt;"!!!"),"NEW","")))</f>
        <v/>
      </c>
      <c r="G1202" s="12" t="str">
        <f aca="false">IF(OR(E1202="",E1202="!!!"),"",IF(OR(J1202=0,AND(J1202=1,K1202=1),AND(J1202=1,I1202="SBJ"),AND(J1202=1,I1202=0)),"?IN_FOCUS",IF(J1202&lt;=2,"?ACTIVATED",IF(J1202&lt;&gt;"","?FAMILIAR",IF(F1202="NEW",IF(ISNA(VLOOKUP(E1202,#REF!,1,FALSE())),"?TYPE_IDENTIFIABLE","?REFERENTIAL"),"_")))))</f>
        <v/>
      </c>
      <c r="H1202" s="13" t="str">
        <f aca="false">IF(J1202&lt;&gt;1,"",IF(I1202="SBJ","CB","?"))</f>
        <v/>
      </c>
      <c r="I1202" s="14" t="str">
        <f aca="false">IF(OR(E1202="",E1202="!!!",F1202="NEW"),"",INDEX(B$2:B1201,-1+SUMPRODUCT(MAX(ROW(E$2:E1201)*(E1202=E$2:E1201)))))</f>
        <v/>
      </c>
      <c r="J1202" s="15" t="str">
        <f aca="true">IF(OR(E1202="",E1202="!!!",F1202="NEW"),"",COUNTBLANK(OFFSET(A$1,,,SUMPRODUCT(MAX(ROW(E$2:E1202)*(E1202=E$2:E1202)))))-COUNTBLANK(OFFSET(A$1,,,SUMPRODUCT(MAX(ROW(E$1:E1201)*(E1202=E$1:E1201))))))</f>
        <v/>
      </c>
      <c r="K1202" s="15" t="str">
        <f aca="false">IF(OR(E1202="",E1202="!!!",F1202="NEW"),"",INDEX(J$1:J1201,SUMPRODUCT(MAX(ROW(E$1:E1201)*(E1202=E$1:E1201)))))</f>
        <v/>
      </c>
      <c r="L1202" s="16"/>
    </row>
    <row r="1203" customFormat="false" ht="12.8" hidden="false" customHeight="false" outlineLevel="0" collapsed="false">
      <c r="A1203" s="0" t="s">
        <v>625</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8" hidden="false" customHeight="false" outlineLevel="0" collapsed="false">
      <c r="A1204" s="0" t="s">
        <v>370</v>
      </c>
      <c r="E1204" s="10" t="str">
        <f aca="false">IF(D1204="?OLD","!!!","")</f>
        <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I1204" s="14" t="str">
        <f aca="false">IF(OR(E1204="",E1204="!!!",F1204="NEW"),"",INDEX(B$2:B1203,-1+SUMPRODUCT(MAX(ROW(E$2:E1203)*(E1204=E$2:E1203)))))</f>
        <v/>
      </c>
      <c r="J1204" s="15" t="str">
        <f aca="true">IF(OR(E1204="",E1204="!!!",F1204="NEW"),"",COUNTBLANK(OFFSET(A$1,,,SUMPRODUCT(MAX(ROW(E$2:E1204)*(E1204=E$2:E1204)))))-COUNTBLANK(OFFSET(A$1,,,SUMPRODUCT(MAX(ROW(E$1:E1203)*(E1204=E$1:E1203))))))</f>
        <v/>
      </c>
      <c r="K1204" s="15" t="str">
        <f aca="false">IF(OR(E1204="",E1204="!!!",F1204="NEW"),"",INDEX(J$1:J1203,SUMPRODUCT(MAX(ROW(E$1:E1203)*(E1204=E$1:E1203)))))</f>
        <v/>
      </c>
      <c r="L1204" s="16"/>
    </row>
    <row r="1205" customFormat="false" ht="12.8" hidden="false" customHeight="false" outlineLevel="0" collapsed="false">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8" hidden="false" customHeight="false" outlineLevel="0" collapsed="false">
      <c r="A1206" s="0" t="s">
        <v>626</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8" hidden="false" customHeight="false" outlineLevel="0" collapsed="false">
      <c r="A1207" s="0" t="s">
        <v>372</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8" hidden="false" customHeight="false" outlineLevel="0" collapsed="false">
      <c r="A1208" s="0" t="s">
        <v>44</v>
      </c>
      <c r="E1208" s="10" t="str">
        <f aca="false">IF(D1208="?OLD","!!!","")</f>
        <v/>
      </c>
      <c r="F1208" s="11" t="str">
        <f aca="false">IF(OR(E1208="",E1208="!!!"),"",IF(NOT(ISNA(VLOOKUP(E1208,E$1:E1207,1,FALSE()))),"OLD",IF(AND(E1208&lt;&gt;"",E1208&lt;&gt;"!!!"),"NEW","")))</f>
        <v/>
      </c>
      <c r="G1208" s="12" t="str">
        <f aca="false">IF(OR(E1208="",E1208="!!!"),"",IF(OR(J1208=0,AND(J1208=1,K1208=1),AND(J1208=1,I1208="SBJ"),AND(J1208=1,I1208=0)),"?IN_FOCUS",IF(J1208&lt;=2,"?ACTIVATED",IF(J1208&lt;&gt;"","?FAMILIAR",IF(F1208="NEW",IF(ISNA(VLOOKUP(E1208,#REF!,1,FALSE())),"?TYPE_IDENTIFIABLE","?REFERENTIAL"),"_")))))</f>
        <v/>
      </c>
      <c r="H1208" s="13" t="str">
        <f aca="false">IF(J1208&lt;&gt;1,"",IF(I1208="SBJ","CB","?"))</f>
        <v/>
      </c>
      <c r="I1208" s="14" t="str">
        <f aca="false">IF(OR(E1208="",E1208="!!!",F1208="NEW"),"",INDEX(B$2:B1207,-1+SUMPRODUCT(MAX(ROW(E$2:E1207)*(E1208=E$2:E1207)))))</f>
        <v/>
      </c>
      <c r="J1208" s="15" t="str">
        <f aca="true">IF(OR(E1208="",E1208="!!!",F1208="NEW"),"",COUNTBLANK(OFFSET(A$1,,,SUMPRODUCT(MAX(ROW(E$2:E1208)*(E1208=E$2:E1208)))))-COUNTBLANK(OFFSET(A$1,,,SUMPRODUCT(MAX(ROW(E$1:E1207)*(E1208=E$1:E1207))))))</f>
        <v/>
      </c>
      <c r="K1208" s="15" t="str">
        <f aca="false">IF(OR(E1208="",E1208="!!!",F1208="NEW"),"",INDEX(J$1:J1207,SUMPRODUCT(MAX(ROW(E$1:E1207)*(E1208=E$1:E1207)))))</f>
        <v/>
      </c>
      <c r="L1208" s="16"/>
    </row>
    <row r="1209" customFormat="false" ht="12.8" hidden="false" customHeight="false" outlineLevel="0" collapsed="false">
      <c r="A1209" s="0" t="s">
        <v>40</v>
      </c>
      <c r="B1209" s="0" t="s">
        <v>34</v>
      </c>
      <c r="E1209" s="10" t="s">
        <v>627</v>
      </c>
      <c r="F1209" s="11" t="s">
        <v>137</v>
      </c>
      <c r="G1209" s="12" t="s">
        <v>131</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8" hidden="false" customHeight="false" outlineLevel="0" collapsed="false">
      <c r="A1210" s="0" t="s">
        <v>54</v>
      </c>
      <c r="E1210" s="10" t="str">
        <f aca="false">IF(D1210="?OLD","!!!","")</f>
        <v/>
      </c>
      <c r="F1210" s="11" t="str">
        <f aca="false">IF(OR(E1210="",E1210="!!!"),"",IF(NOT(ISNA(VLOOKUP(E1210,E$1:E1209,1,FALSE()))),"OLD",IF(AND(E1210&lt;&gt;"",E1210&lt;&gt;"!!!"),"NEW","")))</f>
        <v/>
      </c>
      <c r="G1210" s="12" t="str">
        <f aca="false">IF(OR(E1210="",E1210="!!!"),"",IF(OR(J1210=0,AND(J1210=1,K1210=1),AND(J1210=1,I1210="SBJ"),AND(J1210=1,I1210=0)),"?IN_FOCUS",IF(J1210&lt;=2,"?ACTIVATED",IF(J1210&lt;&gt;"","?FAMILIAR",IF(F1210="NEW",IF(ISNA(VLOOKUP(E1210,#REF!,1,FALSE())),"?TYPE_IDENTIFIABLE","?REFERENTIAL"),"_")))))</f>
        <v/>
      </c>
      <c r="H1210" s="13" t="str">
        <f aca="false">IF(J1210&lt;&gt;1,"",IF(I1210="SBJ","CB","?"))</f>
        <v/>
      </c>
      <c r="I1210" s="14" t="str">
        <f aca="false">IF(OR(E1210="",E1210="!!!",F1210="NEW"),"",INDEX(B$2:B1209,-1+SUMPRODUCT(MAX(ROW(E$2:E1209)*(E1210=E$2:E1209)))))</f>
        <v/>
      </c>
      <c r="J1210" s="15" t="str">
        <f aca="true">IF(OR(E1210="",E1210="!!!",F1210="NEW"),"",COUNTBLANK(OFFSET(A$1,,,SUMPRODUCT(MAX(ROW(E$2:E1210)*(E1210=E$2:E1210)))))-COUNTBLANK(OFFSET(A$1,,,SUMPRODUCT(MAX(ROW(E$1:E1209)*(E1210=E$1:E1209))))))</f>
        <v/>
      </c>
      <c r="K1210" s="15" t="str">
        <f aca="false">IF(OR(E1210="",E1210="!!!",F1210="NEW"),"",INDEX(J$1:J1209,SUMPRODUCT(MAX(ROW(E$1:E1209)*(E1210=E$1:E1209)))))</f>
        <v/>
      </c>
      <c r="L1210" s="16"/>
    </row>
    <row r="1211" customFormat="false" ht="12.8" hidden="false" customHeight="false" outlineLevel="0" collapsed="false">
      <c r="A1211" s="0" t="s">
        <v>44</v>
      </c>
      <c r="E1211" s="10" t="str">
        <f aca="false">IF(D1211="?OLD","!!!","")</f>
        <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8" hidden="false" customHeight="false" outlineLevel="0" collapsed="false">
      <c r="A1212" s="0" t="s">
        <v>45</v>
      </c>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I1212" s="14" t="str">
        <f aca="false">IF(OR(E1212="",E1212="!!!",F1212="NEW"),"",INDEX(B$2:B1211,-1+SUMPRODUCT(MAX(ROW(E$2:E1211)*(E1212=E$2:E1211)))))</f>
        <v/>
      </c>
      <c r="J1212" s="15" t="str">
        <f aca="true">IF(OR(E1212="",E1212="!!!",F1212="NEW"),"",COUNTBLANK(OFFSET(A$1,,,SUMPRODUCT(MAX(ROW(E$2:E1212)*(E1212=E$2:E1212)))))-COUNTBLANK(OFFSET(A$1,,,SUMPRODUCT(MAX(ROW(E$1:E1211)*(E1212=E$1:E1211))))))</f>
        <v/>
      </c>
      <c r="K1212" s="15" t="str">
        <f aca="false">IF(OR(E1212="",E1212="!!!",F1212="NEW"),"",INDEX(J$1:J1211,SUMPRODUCT(MAX(ROW(E$1:E1211)*(E1212=E$1:E1211)))))</f>
        <v/>
      </c>
      <c r="L1212" s="16"/>
    </row>
    <row r="1213" customFormat="false" ht="12.8" hidden="false" customHeight="false" outlineLevel="0" collapsed="false">
      <c r="A1213" s="0" t="s">
        <v>179</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8" hidden="false" customHeight="false" outlineLevel="0" collapsed="false">
      <c r="A1214" s="0" t="s">
        <v>628</v>
      </c>
      <c r="B1214" s="0" t="s">
        <v>47</v>
      </c>
      <c r="E1214" s="10" t="s">
        <v>629</v>
      </c>
      <c r="F1214" s="11" t="s">
        <v>137</v>
      </c>
      <c r="G1214" s="12" t="s">
        <v>131</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8" hidden="false" customHeight="false" outlineLevel="0" collapsed="false">
      <c r="A1215" s="0" t="s">
        <v>54</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I1215" s="14" t="str">
        <f aca="false">IF(OR(E1215="",E1215="!!!",F1215="NEW"),"",INDEX(B$2:B1214,-1+SUMPRODUCT(MAX(ROW(E$2:E1214)*(E1215=E$2:E1214)))))</f>
        <v/>
      </c>
      <c r="J1215" s="15" t="str">
        <f aca="true">IF(OR(E1215="",E1215="!!!",F1215="NEW"),"",COUNTBLANK(OFFSET(A$1,,,SUMPRODUCT(MAX(ROW(E$2:E1215)*(E1215=E$2:E1215)))))-COUNTBLANK(OFFSET(A$1,,,SUMPRODUCT(MAX(ROW(E$1:E1214)*(E1215=E$1:E1214))))))</f>
        <v/>
      </c>
      <c r="K1215" s="15" t="str">
        <f aca="false">IF(OR(E1215="",E1215="!!!",F1215="NEW"),"",INDEX(J$1:J1214,SUMPRODUCT(MAX(ROW(E$1:E1214)*(E1215=E$1:E1214)))))</f>
        <v/>
      </c>
      <c r="L1215" s="16"/>
    </row>
    <row r="1216" customFormat="false" ht="12.8" hidden="false" customHeight="false" outlineLevel="0" collapsed="false">
      <c r="A1216" s="0" t="s">
        <v>41</v>
      </c>
      <c r="E1216" s="10" t="str">
        <f aca="false">IF(D1216="?OLD","!!!","")</f>
        <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I1216" s="14" t="str">
        <f aca="false">IF(OR(E1216="",E1216="!!!",F1216="NEW"),"",INDEX(B$2:B1215,-1+SUMPRODUCT(MAX(ROW(E$2:E1215)*(E1216=E$2:E1215)))))</f>
        <v/>
      </c>
      <c r="J1216" s="15" t="str">
        <f aca="true">IF(OR(E1216="",E1216="!!!",F1216="NEW"),"",COUNTBLANK(OFFSET(A$1,,,SUMPRODUCT(MAX(ROW(E$2:E1216)*(E1216=E$2:E1216)))))-COUNTBLANK(OFFSET(A$1,,,SUMPRODUCT(MAX(ROW(E$1:E1215)*(E1216=E$1:E1215))))))</f>
        <v/>
      </c>
      <c r="K1216" s="15" t="str">
        <f aca="false">IF(OR(E1216="",E1216="!!!",F1216="NEW"),"",INDEX(J$1:J1215,SUMPRODUCT(MAX(ROW(E$1:E1215)*(E1216=E$1:E1215)))))</f>
        <v/>
      </c>
      <c r="L1216" s="16"/>
    </row>
    <row r="1217" customFormat="false" ht="12.8" hidden="false" customHeight="false" outlineLevel="0" collapsed="false">
      <c r="A1217" s="0" t="s">
        <v>191</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8" hidden="false" customHeight="false" outlineLevel="0" collapsed="false">
      <c r="A1218" s="0" t="s">
        <v>62</v>
      </c>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8" hidden="false" customHeight="false" outlineLevel="0" collapsed="false">
      <c r="A1219" s="0" t="s">
        <v>630</v>
      </c>
      <c r="B1219" s="0" t="s">
        <v>14</v>
      </c>
      <c r="C1219" s="0" t="s">
        <v>27</v>
      </c>
      <c r="D1219" s="0" t="s">
        <v>20</v>
      </c>
      <c r="E1219" s="10"/>
      <c r="F1219" s="11" t="s">
        <v>247</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8" hidden="false" customHeight="false" outlineLevel="0" collapsed="false">
      <c r="A1220" s="0" t="s">
        <v>76</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8" hidden="false" customHeight="false" outlineLevel="0" collapsed="false">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I1221" s="14" t="str">
        <f aca="false">IF(OR(E1221="",E1221="!!!",F1221="NEW"),"",INDEX(B$2:B1220,-1+SUMPRODUCT(MAX(ROW(E$2:E1220)*(E1221=E$2:E1220)))))</f>
        <v/>
      </c>
      <c r="J1221" s="15" t="str">
        <f aca="true">IF(OR(E1221="",E1221="!!!",F1221="NEW"),"",COUNTBLANK(OFFSET(A$1,,,SUMPRODUCT(MAX(ROW(E$2:E1221)*(E1221=E$2:E1221)))))-COUNTBLANK(OFFSET(A$1,,,SUMPRODUCT(MAX(ROW(E$1:E1220)*(E1221=E$1:E1220))))))</f>
        <v/>
      </c>
      <c r="K1221" s="15" t="str">
        <f aca="false">IF(OR(E1221="",E1221="!!!",F1221="NEW"),"",INDEX(J$1:J1220,SUMPRODUCT(MAX(ROW(E$1:E1220)*(E1221=E$1:E1220)))))</f>
        <v/>
      </c>
      <c r="L1221" s="16"/>
    </row>
    <row r="1222" customFormat="false" ht="12.8" hidden="false" customHeight="false" outlineLevel="0" collapsed="false">
      <c r="A1222" s="0" t="s">
        <v>631</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8" hidden="false" customHeight="false" outlineLevel="0" collapsed="false">
      <c r="A1223" s="0" t="s">
        <v>632</v>
      </c>
      <c r="B1223" s="0" t="s">
        <v>14</v>
      </c>
      <c r="C1223" s="0" t="s">
        <v>19</v>
      </c>
      <c r="D1223" s="0" t="s">
        <v>20</v>
      </c>
      <c r="E1223" s="10" t="s">
        <v>633</v>
      </c>
      <c r="F1223" s="11" t="str">
        <f aca="false">IF(OR(E1223="",E1223="!!!"),"",IF(NOT(ISNA(VLOOKUP(E1223,E$1:E1222,1,FALSE()))),"OLD",IF(AND(E1223&lt;&gt;"",E1223&lt;&gt;"!!!"),"NEW","")))</f>
        <v>NEW</v>
      </c>
      <c r="G1223" s="12" t="s">
        <v>67</v>
      </c>
      <c r="H1223" s="13" t="str">
        <f aca="false">IF(J1223&lt;&gt;1,"",IF(I1223="SBJ","CB","?"))</f>
        <v/>
      </c>
      <c r="I1223" s="14" t="str">
        <f aca="false">IF(OR(E1223="",E1223="!!!",F1223="NEW"),"",INDEX(B$2:B1222,-1+SUMPRODUCT(MAX(ROW(E$2:E1222)*(E1223=E$2:E1222)))))</f>
        <v/>
      </c>
      <c r="J1223" s="15" t="str">
        <f aca="true">IF(OR(E1223="",E1223="!!!",F1223="NEW"),"",COUNTBLANK(OFFSET(A$1,,,SUMPRODUCT(MAX(ROW(E$2:E1223)*(E1223=E$2:E1223)))))-COUNTBLANK(OFFSET(A$1,,,SUMPRODUCT(MAX(ROW(E$1:E1222)*(E1223=E$1:E1222))))))</f>
        <v/>
      </c>
      <c r="K1223" s="15" t="str">
        <f aca="false">IF(OR(E1223="",E1223="!!!",F1223="NEW"),"",INDEX(J$1:J1222,SUMPRODUCT(MAX(ROW(E$1:E1222)*(E1223=E$1:E1222)))))</f>
        <v/>
      </c>
      <c r="L1223" s="16" t="s">
        <v>634</v>
      </c>
    </row>
    <row r="1224" customFormat="false" ht="12.8" hidden="false" customHeight="false" outlineLevel="0" collapsed="false">
      <c r="A1224" s="0" t="s">
        <v>76</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8" hidden="false" customHeight="false" outlineLevel="0" collapsed="false">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I1225" s="14" t="str">
        <f aca="false">IF(OR(E1225="",E1225="!!!",F1225="NEW"),"",INDEX(B$2:B1224,-1+SUMPRODUCT(MAX(ROW(E$2:E1224)*(E1225=E$2:E1224)))))</f>
        <v/>
      </c>
      <c r="J1225" s="15" t="str">
        <f aca="true">IF(OR(E1225="",E1225="!!!",F1225="NEW"),"",COUNTBLANK(OFFSET(A$1,,,SUMPRODUCT(MAX(ROW(E$2:E1225)*(E1225=E$2:E1225)))))-COUNTBLANK(OFFSET(A$1,,,SUMPRODUCT(MAX(ROW(E$1:E1224)*(E1225=E$1:E1224))))))</f>
        <v/>
      </c>
      <c r="K1225" s="15" t="str">
        <f aca="false">IF(OR(E1225="",E1225="!!!",F1225="NEW"),"",INDEX(J$1:J1224,SUMPRODUCT(MAX(ROW(E$1:E1224)*(E1225=E$1:E1224)))))</f>
        <v/>
      </c>
      <c r="L1225" s="16"/>
    </row>
    <row r="1226" customFormat="false" ht="12.8" hidden="false" customHeight="false" outlineLevel="0" collapsed="false">
      <c r="A1226" s="0" t="s">
        <v>635</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8" hidden="false" customHeight="false" outlineLevel="0" collapsed="false">
      <c r="A1227" s="0" t="s">
        <v>632</v>
      </c>
      <c r="B1227" s="0" t="s">
        <v>34</v>
      </c>
      <c r="C1227" s="0" t="s">
        <v>19</v>
      </c>
      <c r="D1227" s="0" t="s">
        <v>20</v>
      </c>
      <c r="E1227" s="10" t="s">
        <v>633</v>
      </c>
      <c r="F1227" s="11" t="str">
        <f aca="false">IF(OR(E1227="",E1227="!!!"),"",IF(NOT(ISNA(VLOOKUP(E1227,E$1:E1226,1,FALSE()))),"OLD",IF(AND(E1227&lt;&gt;"",E1227&lt;&gt;"!!!"),"NEW","")))</f>
        <v>OLD</v>
      </c>
      <c r="G1227" s="12" t="s">
        <v>87</v>
      </c>
      <c r="H1227" s="13" t="s">
        <v>7</v>
      </c>
      <c r="I1227" s="14" t="str">
        <f aca="false">IF(OR(E1227="",E1227="!!!",F1227="NEW"),"",INDEX(B$2:B1226,-1+SUMPRODUCT(MAX(ROW(E$2:E1226)*(E1227=E$2:E1226)))))</f>
        <v>other</v>
      </c>
      <c r="J1227" s="15" t="n">
        <f aca="true">IF(OR(E1227="",E1227="!!!",F1227="NEW"),"",COUNTBLANK(OFFSET(A$1,,,SUMPRODUCT(MAX(ROW(E$2:E1227)*(E1227=E$2:E1227)))))-COUNTBLANK(OFFSET(A$1,,,SUMPRODUCT(MAX(ROW(E$1:E1226)*(E1227=E$1:E1226))))))</f>
        <v>1</v>
      </c>
      <c r="K1227" s="15" t="str">
        <f aca="false">IF(OR(E1227="",E1227="!!!",F1227="NEW"),"",INDEX(J$1:J1226,SUMPRODUCT(MAX(ROW(E$1:E1226)*(E1227=E$1:E1226)))))</f>
        <v/>
      </c>
      <c r="L1227" s="16"/>
    </row>
    <row r="1228" customFormat="false" ht="12.8" hidden="false" customHeight="false" outlineLevel="0" collapsed="false">
      <c r="A1228" s="0" t="s">
        <v>37</v>
      </c>
      <c r="E1228" s="10" t="str">
        <f aca="false">IF(D1228="?OLD","!!!","")</f>
        <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I1228" s="14" t="str">
        <f aca="false">IF(OR(E1228="",E1228="!!!",F1228="NEW"),"",INDEX(B$2:B1227,-1+SUMPRODUCT(MAX(ROW(E$2:E1227)*(E1228=E$2:E1227)))))</f>
        <v/>
      </c>
      <c r="J1228" s="15" t="str">
        <f aca="true">IF(OR(E1228="",E1228="!!!",F1228="NEW"),"",COUNTBLANK(OFFSET(A$1,,,SUMPRODUCT(MAX(ROW(E$2:E1228)*(E1228=E$2:E1228)))))-COUNTBLANK(OFFSET(A$1,,,SUMPRODUCT(MAX(ROW(E$1:E1227)*(E1228=E$1:E1227))))))</f>
        <v/>
      </c>
      <c r="K1228" s="15" t="str">
        <f aca="false">IF(OR(E1228="",E1228="!!!",F1228="NEW"),"",INDEX(J$1:J1227,SUMPRODUCT(MAX(ROW(E$1:E1227)*(E1228=E$1:E1227)))))</f>
        <v/>
      </c>
      <c r="L1228" s="16"/>
    </row>
    <row r="1229" customFormat="false" ht="12.8" hidden="false" customHeight="false" outlineLevel="0" collapsed="false">
      <c r="A1229" s="0" t="s">
        <v>179</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8" hidden="false" customHeight="false" outlineLevel="0" collapsed="false">
      <c r="A1230" s="0" t="s">
        <v>636</v>
      </c>
      <c r="E1230" s="10" t="str">
        <f aca="false">IF(D1230="?OLD","!!!","")</f>
        <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8" hidden="false" customHeight="false" outlineLevel="0" collapsed="false">
      <c r="A1231" s="0" t="s">
        <v>637</v>
      </c>
      <c r="B1231" s="0" t="s">
        <v>14</v>
      </c>
      <c r="C1231" s="0" t="s">
        <v>181</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8" hidden="false" customHeight="false" outlineLevel="0" collapsed="false">
      <c r="A1232" s="0" t="s">
        <v>29</v>
      </c>
      <c r="E1232" s="10" t="str">
        <f aca="false">IF(D1232="?OLD","!!!","")</f>
        <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I1232" s="14" t="str">
        <f aca="false">IF(OR(E1232="",E1232="!!!",F1232="NEW"),"",INDEX(B$2:B1231,-1+SUMPRODUCT(MAX(ROW(E$2:E1231)*(E1232=E$2:E1231)))))</f>
        <v/>
      </c>
      <c r="J1232" s="15" t="str">
        <f aca="true">IF(OR(E1232="",E1232="!!!",F1232="NEW"),"",COUNTBLANK(OFFSET(A$1,,,SUMPRODUCT(MAX(ROW(E$2:E1232)*(E1232=E$2:E1232)))))-COUNTBLANK(OFFSET(A$1,,,SUMPRODUCT(MAX(ROW(E$1:E1231)*(E1232=E$1:E1231))))))</f>
        <v/>
      </c>
      <c r="K1232" s="15" t="str">
        <f aca="false">IF(OR(E1232="",E1232="!!!",F1232="NEW"),"",INDEX(J$1:J1231,SUMPRODUCT(MAX(ROW(E$1:E1231)*(E1232=E$1:E1231)))))</f>
        <v/>
      </c>
      <c r="L1232" s="16"/>
    </row>
    <row r="1233" customFormat="false" ht="12.8" hidden="false" customHeight="false" outlineLevel="0" collapsed="false">
      <c r="A1233" s="0" t="s">
        <v>638</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I1233" s="14" t="str">
        <f aca="false">IF(OR(E1233="",E1233="!!!",F1233="NEW"),"",INDEX(B$2:B1232,-1+SUMPRODUCT(MAX(ROW(E$2:E1232)*(E1233=E$2:E1232)))))</f>
        <v/>
      </c>
      <c r="J1233" s="15" t="str">
        <f aca="true">IF(OR(E1233="",E1233="!!!",F1233="NEW"),"",COUNTBLANK(OFFSET(A$1,,,SUMPRODUCT(MAX(ROW(E$2:E1233)*(E1233=E$2:E1233)))))-COUNTBLANK(OFFSET(A$1,,,SUMPRODUCT(MAX(ROW(E$1:E1232)*(E1233=E$1:E1232))))))</f>
        <v/>
      </c>
      <c r="K1233" s="15" t="str">
        <f aca="false">IF(OR(E1233="",E1233="!!!",F1233="NEW"),"",INDEX(J$1:J1232,SUMPRODUCT(MAX(ROW(E$1:E1232)*(E1233=E$1:E1232)))))</f>
        <v/>
      </c>
      <c r="L1233" s="16"/>
    </row>
    <row r="1234" customFormat="false" ht="12.8" hidden="false" customHeight="false" outlineLevel="0" collapsed="false">
      <c r="A1234" s="0" t="s">
        <v>45</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8" hidden="false" customHeight="false" outlineLevel="0" collapsed="false">
      <c r="A1235" s="0" t="s">
        <v>639</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8" hidden="false" customHeight="false" outlineLevel="0" collapsed="false">
      <c r="A1236" s="0" t="s">
        <v>640</v>
      </c>
      <c r="B1236" s="0" t="s">
        <v>96</v>
      </c>
      <c r="C1236" s="0" t="s">
        <v>31</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8" hidden="false" customHeight="false" outlineLevel="0" collapsed="false">
      <c r="A1237" s="0" t="s">
        <v>641</v>
      </c>
      <c r="B1237" s="0" t="s">
        <v>14</v>
      </c>
      <c r="C1237" s="0" t="s">
        <v>31</v>
      </c>
      <c r="E1237" s="10" t="str">
        <f aca="false">IF(D1237="?OLD","!!!","")</f>
        <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8" hidden="false" customHeight="false" outlineLevel="0" collapsed="false">
      <c r="A1238" s="0" t="s">
        <v>39</v>
      </c>
      <c r="E1238" s="10" t="str">
        <f aca="false">IF(D1238="?OLD","!!!","")</f>
        <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8" hidden="false" customHeight="false" outlineLevel="0" collapsed="false">
      <c r="A1239" s="0" t="s">
        <v>642</v>
      </c>
      <c r="B1239" s="0" t="s">
        <v>14</v>
      </c>
      <c r="C1239" s="0" t="s">
        <v>19</v>
      </c>
      <c r="D1239" s="0" t="s">
        <v>20</v>
      </c>
      <c r="E1239" s="10" t="s">
        <v>643</v>
      </c>
      <c r="F1239" s="11" t="str">
        <f aca="false">IF(OR(E1239="",E1239="!!!"),"",IF(NOT(ISNA(VLOOKUP(E1239,E$1:E1238,1,FALSE()))),"OLD",IF(AND(E1239&lt;&gt;"",E1239&lt;&gt;"!!!"),"NEW","")))</f>
        <v>NEW</v>
      </c>
      <c r="G1239" s="12" t="s">
        <v>36</v>
      </c>
      <c r="H1239" s="13" t="str">
        <f aca="false">IF(J1239&lt;&gt;1,"",IF(I1239="SBJ","CB","?"))</f>
        <v/>
      </c>
      <c r="I1239" s="14" t="str">
        <f aca="false">IF(OR(E1239="",E1239="!!!",F1239="NEW"),"",INDEX(B$2:B1238,-1+SUMPRODUCT(MAX(ROW(E$2:E1238)*(E1239=E$2:E1238)))))</f>
        <v/>
      </c>
      <c r="J1239" s="15" t="str">
        <f aca="true">IF(OR(E1239="",E1239="!!!",F1239="NEW"),"",COUNTBLANK(OFFSET(A$1,,,SUMPRODUCT(MAX(ROW(E$2:E1239)*(E1239=E$2:E1239)))))-COUNTBLANK(OFFSET(A$1,,,SUMPRODUCT(MAX(ROW(E$1:E1238)*(E1239=E$1:E1238))))))</f>
        <v/>
      </c>
      <c r="K1239" s="15" t="str">
        <f aca="false">IF(OR(E1239="",E1239="!!!",F1239="NEW"),"",INDEX(J$1:J1238,SUMPRODUCT(MAX(ROW(E$1:E1238)*(E1239=E$1:E1238)))))</f>
        <v/>
      </c>
      <c r="L1239" s="16"/>
    </row>
    <row r="1240" customFormat="false" ht="12.8" hidden="false" customHeight="false" outlineLevel="0" collapsed="false">
      <c r="A1240" s="0" t="s">
        <v>44</v>
      </c>
      <c r="E1240" s="10" t="str">
        <f aca="false">IF(D1240="?OLD","!!!","")</f>
        <v/>
      </c>
      <c r="F1240" s="11" t="str">
        <f aca="false">IF(OR(E1240="",E1240="!!!"),"",IF(NOT(ISNA(VLOOKUP(E1240,E$1:E1239,1,FALSE()))),"OLD",IF(AND(E1240&lt;&gt;"",E1240&lt;&gt;"!!!"),"NEW","")))</f>
        <v/>
      </c>
      <c r="G1240" s="12" t="str">
        <f aca="false">IF(OR(E1240="",E1240="!!!"),"",IF(OR(J1240=0,AND(J1240=1,K1240=1),AND(J1240=1,I1240="SBJ"),AND(J1240=1,I1240=0)),"?IN_FOCUS",IF(J1240&lt;=2,"?ACTIVATED",IF(J1240&lt;&gt;"","?FAMILIAR",IF(F1240="NEW",IF(ISNA(VLOOKUP(E1240,#REF!,1,FALSE())),"?TYPE_IDENTIFIABLE","?REFERENTIAL"),"_")))))</f>
        <v/>
      </c>
      <c r="H1240" s="13" t="str">
        <f aca="false">IF(J1240&lt;&gt;1,"",IF(I1240="SBJ","CB","?"))</f>
        <v/>
      </c>
      <c r="I1240" s="14" t="str">
        <f aca="false">IF(OR(E1240="",E1240="!!!",F1240="NEW"),"",INDEX(B$2:B1239,-1+SUMPRODUCT(MAX(ROW(E$2:E1239)*(E1240=E$2:E1239)))))</f>
        <v/>
      </c>
      <c r="J1240" s="15" t="str">
        <f aca="true">IF(OR(E1240="",E1240="!!!",F1240="NEW"),"",COUNTBLANK(OFFSET(A$1,,,SUMPRODUCT(MAX(ROW(E$2:E1240)*(E1240=E$2:E1240)))))-COUNTBLANK(OFFSET(A$1,,,SUMPRODUCT(MAX(ROW(E$1:E1239)*(E1240=E$1:E1239))))))</f>
        <v/>
      </c>
      <c r="K1240" s="15" t="str">
        <f aca="false">IF(OR(E1240="",E1240="!!!",F1240="NEW"),"",INDEX(J$1:J1239,SUMPRODUCT(MAX(ROW(E$1:E1239)*(E1240=E$1:E1239)))))</f>
        <v/>
      </c>
      <c r="L1240" s="16"/>
    </row>
    <row r="1241" customFormat="false" ht="12.8" hidden="false" customHeight="false" outlineLevel="0" collapsed="false">
      <c r="A1241" s="0" t="s">
        <v>139</v>
      </c>
      <c r="E1241" s="10" t="str">
        <f aca="false">IF(D1241="?OLD","!!!","")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I1241" s="14" t="str">
        <f aca="false">IF(OR(E1241="",E1241="!!!",F1241="NEW"),"",INDEX(B$2:B1240,-1+SUMPRODUCT(MAX(ROW(E$2:E1240)*(E1241=E$2:E1240)))))</f>
        <v/>
      </c>
      <c r="J1241" s="15" t="str">
        <f aca="true">IF(OR(E1241="",E1241="!!!",F1241="NEW"),"",COUNTBLANK(OFFSET(A$1,,,SUMPRODUCT(MAX(ROW(E$2:E1241)*(E1241=E$2:E1241)))))-COUNTBLANK(OFFSET(A$1,,,SUMPRODUCT(MAX(ROW(E$1:E1240)*(E1241=E$1:E1240))))))</f>
        <v/>
      </c>
      <c r="K1241" s="15" t="str">
        <f aca="false">IF(OR(E1241="",E1241="!!!",F1241="NEW"),"",INDEX(J$1:J1240,SUMPRODUCT(MAX(ROW(E$1:E1240)*(E1241=E$1:E1240)))))</f>
        <v/>
      </c>
      <c r="L1241" s="16"/>
    </row>
    <row r="1242" customFormat="false" ht="12.8" hidden="false" customHeight="false" outlineLevel="0" collapsed="false">
      <c r="A1242" s="0" t="s">
        <v>644</v>
      </c>
      <c r="B1242" s="0" t="s">
        <v>14</v>
      </c>
      <c r="C1242" s="0" t="s">
        <v>31</v>
      </c>
      <c r="E1242" s="10" t="str">
        <f aca="false">IF(D1242="?OLD","!!!","")</f>
        <v/>
      </c>
      <c r="F1242" s="11" t="str">
        <f aca="false">IF(OR(E1242="",E1242="!!!"),"",IF(NOT(ISNA(VLOOKUP(E1242,E$1:E1241,1,FALSE()))),"OLD",IF(AND(E1242&lt;&gt;"",E1242&lt;&gt;"!!!"),"NEW","")))</f>
        <v/>
      </c>
      <c r="G1242" s="12" t="str">
        <f aca="false">IF(OR(E1242="",E1242="!!!"),"",IF(OR(J1242=0,AND(J1242=1,K1242=1),AND(J1242=1,I1242="SBJ"),AND(J1242=1,I1242=0)),"?IN_FOCUS",IF(J1242&lt;=2,"?ACTIVATED",IF(J1242&lt;&gt;"","?FAMILIAR",IF(F1242="NEW",IF(ISNA(VLOOKUP(E1242,#REF!,1,FALSE())),"?TYPE_IDENTIFIABLE","?REFERENTIAL"),"_")))))</f>
        <v/>
      </c>
      <c r="H1242" s="13" t="str">
        <f aca="false">IF(J1242&lt;&gt;1,"",IF(I1242="SBJ","CB","?"))</f>
        <v/>
      </c>
      <c r="I1242" s="14" t="str">
        <f aca="false">IF(OR(E1242="",E1242="!!!",F1242="NEW"),"",INDEX(B$2:B1241,-1+SUMPRODUCT(MAX(ROW(E$2:E1241)*(E1242=E$2:E1241)))))</f>
        <v/>
      </c>
      <c r="J1242" s="15" t="str">
        <f aca="true">IF(OR(E1242="",E1242="!!!",F1242="NEW"),"",COUNTBLANK(OFFSET(A$1,,,SUMPRODUCT(MAX(ROW(E$2:E1242)*(E1242=E$2:E1242)))))-COUNTBLANK(OFFSET(A$1,,,SUMPRODUCT(MAX(ROW(E$1:E1241)*(E1242=E$1:E1241))))))</f>
        <v/>
      </c>
      <c r="K1242" s="15" t="str">
        <f aca="false">IF(OR(E1242="",E1242="!!!",F1242="NEW"),"",INDEX(J$1:J1241,SUMPRODUCT(MAX(ROW(E$1:E1241)*(E1242=E$1:E1241)))))</f>
        <v/>
      </c>
      <c r="L1242" s="16"/>
    </row>
    <row r="1243" customFormat="false" ht="12.8" hidden="false" customHeight="false" outlineLevel="0" collapsed="false">
      <c r="A1243" s="0" t="s">
        <v>61</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8" hidden="false" customHeight="false" outlineLevel="0" collapsed="false">
      <c r="A1244" s="0" t="n">
        <v>22</v>
      </c>
      <c r="E1244" s="10" t="str">
        <f aca="false">IF(D1244="?OLD","!!!","")</f>
        <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I1244" s="14" t="str">
        <f aca="false">IF(OR(E1244="",E1244="!!!",F1244="NEW"),"",INDEX(B$2:B1243,-1+SUMPRODUCT(MAX(ROW(E$2:E1243)*(E1244=E$2:E1243)))))</f>
        <v/>
      </c>
      <c r="J1244" s="15" t="str">
        <f aca="true">IF(OR(E1244="",E1244="!!!",F1244="NEW"),"",COUNTBLANK(OFFSET(A$1,,,SUMPRODUCT(MAX(ROW(E$2:E1244)*(E1244=E$2:E1244)))))-COUNTBLANK(OFFSET(A$1,,,SUMPRODUCT(MAX(ROW(E$1:E1243)*(E1244=E$1:E1243))))))</f>
        <v/>
      </c>
      <c r="K1244" s="15" t="str">
        <f aca="false">IF(OR(E1244="",E1244="!!!",F1244="NEW"),"",INDEX(J$1:J1243,SUMPRODUCT(MAX(ROW(E$1:E1243)*(E1244=E$1:E1243)))))</f>
        <v/>
      </c>
      <c r="L1244" s="16"/>
    </row>
    <row r="1245" customFormat="false" ht="12.8" hidden="false" customHeight="false" outlineLevel="0" collapsed="false">
      <c r="A1245" s="0" t="s">
        <v>187</v>
      </c>
      <c r="E1245" s="10" t="str">
        <f aca="false">IF(D1245="?OLD","!!!","")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I1245" s="14" t="str">
        <f aca="false">IF(OR(E1245="",E1245="!!!",F1245="NEW"),"",INDEX(B$2:B1244,-1+SUMPRODUCT(MAX(ROW(E$2:E1244)*(E1245=E$2:E1244)))))</f>
        <v/>
      </c>
      <c r="J1245" s="15" t="str">
        <f aca="true">IF(OR(E1245="",E1245="!!!",F1245="NEW"),"",COUNTBLANK(OFFSET(A$1,,,SUMPRODUCT(MAX(ROW(E$2:E1245)*(E1245=E$2:E1245)))))-COUNTBLANK(OFFSET(A$1,,,SUMPRODUCT(MAX(ROW(E$1:E1244)*(E1245=E$1:E1244))))))</f>
        <v/>
      </c>
      <c r="K1245" s="15" t="str">
        <f aca="false">IF(OR(E1245="",E1245="!!!",F1245="NEW"),"",INDEX(J$1:J1244,SUMPRODUCT(MAX(ROW(E$1:E1244)*(E1245=E$1:E1244)))))</f>
        <v/>
      </c>
      <c r="L1245" s="16"/>
    </row>
    <row r="1246" customFormat="false" ht="12.8" hidden="false" customHeight="false" outlineLevel="0" collapsed="false">
      <c r="A1246" s="0" t="s">
        <v>645</v>
      </c>
      <c r="E1246" s="10" t="str">
        <f aca="false">IF(D1246="?OLD","!!!","")</f>
        <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8" hidden="false" customHeight="false" outlineLevel="0" collapsed="false">
      <c r="A1247" s="0" t="s">
        <v>459</v>
      </c>
      <c r="B1247" s="0" t="s">
        <v>75</v>
      </c>
      <c r="C1247" s="0" t="s">
        <v>15</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8" hidden="false" customHeight="false" outlineLevel="0" collapsed="false">
      <c r="A1248" s="0" t="s">
        <v>646</v>
      </c>
      <c r="E1248" s="10" t="str">
        <f aca="false">IF(D1248="?OLD","!!!","")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8" hidden="false" customHeight="false" outlineLevel="0" collapsed="false">
      <c r="A1249" s="0" t="s">
        <v>76</v>
      </c>
      <c r="E1249" s="10" t="str">
        <f aca="false">IF(D1249="?OLD","!!!","")</f>
        <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I1249" s="14" t="str">
        <f aca="false">IF(OR(E1249="",E1249="!!!",F1249="NEW"),"",INDEX(B$2:B1248,-1+SUMPRODUCT(MAX(ROW(E$2:E1248)*(E1249=E$2:E1248)))))</f>
        <v/>
      </c>
      <c r="J1249" s="15" t="str">
        <f aca="true">IF(OR(E1249="",E1249="!!!",F1249="NEW"),"",COUNTBLANK(OFFSET(A$1,,,SUMPRODUCT(MAX(ROW(E$2:E1249)*(E1249=E$2:E1249)))))-COUNTBLANK(OFFSET(A$1,,,SUMPRODUCT(MAX(ROW(E$1:E1248)*(E1249=E$1:E1248))))))</f>
        <v/>
      </c>
      <c r="K1249" s="15" t="str">
        <f aca="false">IF(OR(E1249="",E1249="!!!",F1249="NEW"),"",INDEX(J$1:J1248,SUMPRODUCT(MAX(ROW(E$1:E1248)*(E1249=E$1:E1248)))))</f>
        <v/>
      </c>
      <c r="L1249" s="16"/>
    </row>
    <row r="1250" customFormat="false" ht="12.8" hidden="false" customHeight="false" outlineLevel="0" collapsed="false">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8" hidden="false" customHeight="false" outlineLevel="0" collapsed="false">
      <c r="A1251" s="0" t="s">
        <v>647</v>
      </c>
      <c r="E1251" s="10" t="str">
        <f aca="false">IF(D1251="?OLD","!!!","")</f>
        <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I1251" s="14" t="str">
        <f aca="false">IF(OR(E1251="",E1251="!!!",F1251="NEW"),"",INDEX(B$2:B1250,-1+SUMPRODUCT(MAX(ROW(E$2:E1250)*(E1251=E$2:E1250)))))</f>
        <v/>
      </c>
      <c r="J1251" s="15" t="str">
        <f aca="true">IF(OR(E1251="",E1251="!!!",F1251="NEW"),"",COUNTBLANK(OFFSET(A$1,,,SUMPRODUCT(MAX(ROW(E$2:E1251)*(E1251=E$2:E1251)))))-COUNTBLANK(OFFSET(A$1,,,SUMPRODUCT(MAX(ROW(E$1:E1250)*(E1251=E$1:E1250))))))</f>
        <v/>
      </c>
      <c r="K1251" s="15" t="str">
        <f aca="false">IF(OR(E1251="",E1251="!!!",F1251="NEW"),"",INDEX(J$1:J1250,SUMPRODUCT(MAX(ROW(E$1:E1250)*(E1251=E$1:E1250)))))</f>
        <v/>
      </c>
      <c r="L1251" s="16"/>
    </row>
    <row r="1252" customFormat="false" ht="12.8" hidden="false" customHeight="false" outlineLevel="0" collapsed="false">
      <c r="A1252" s="0" t="s">
        <v>222</v>
      </c>
      <c r="B1252" s="0" t="s">
        <v>34</v>
      </c>
      <c r="C1252" s="0" t="s">
        <v>48</v>
      </c>
      <c r="D1252" s="0" t="s">
        <v>20</v>
      </c>
      <c r="E1252" s="10" t="s">
        <v>633</v>
      </c>
      <c r="F1252" s="11" t="str">
        <f aca="false">IF(OR(E1252="",E1252="!!!"),"",IF(NOT(ISNA(VLOOKUP(E1252,E$1:E1251,1,FALSE()))),"OLD",IF(AND(E1252&lt;&gt;"",E1252&lt;&gt;"!!!"),"NEW","")))</f>
        <v>OLD</v>
      </c>
      <c r="G1252" s="12" t="s">
        <v>87</v>
      </c>
      <c r="H1252" s="13" t="str">
        <f aca="false">IF(J1252&lt;&gt;1,"",IF(I1252="SBJ","CB","?"))</f>
        <v>CB</v>
      </c>
      <c r="I1252" s="14" t="str">
        <f aca="false">IF(OR(E1252="",E1252="!!!",F1252="NEW"),"",INDEX(B$2:B1251,-1+SUMPRODUCT(MAX(ROW(E$2:E1251)*(E1252=E$2:E1251)))))</f>
        <v>SBJ</v>
      </c>
      <c r="J1252" s="15" t="n">
        <f aca="true">IF(OR(E1252="",E1252="!!!",F1252="NEW"),"",COUNTBLANK(OFFSET(A$1,,,SUMPRODUCT(MAX(ROW(E$2:E1252)*(E1252=E$2:E1252)))))-COUNTBLANK(OFFSET(A$1,,,SUMPRODUCT(MAX(ROW(E$1:E1251)*(E1252=E$1:E1251))))))</f>
        <v>1</v>
      </c>
      <c r="K1252" s="15" t="n">
        <f aca="false">IF(OR(E1252="",E1252="!!!",F1252="NEW"),"",INDEX(J$1:J1251,SUMPRODUCT(MAX(ROW(E$1:E1251)*(E1252=E$1:E1251)))))</f>
        <v>1</v>
      </c>
      <c r="L1252" s="16"/>
    </row>
    <row r="1253" customFormat="false" ht="12.8" hidden="false" customHeight="false" outlineLevel="0" collapsed="false">
      <c r="A1253" s="0" t="s">
        <v>148</v>
      </c>
      <c r="E1253" s="10" t="str">
        <f aca="false">IF(D1253="?OLD","!!!","")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8" hidden="false" customHeight="false" outlineLevel="0" collapsed="false">
      <c r="A1254" s="0" t="s">
        <v>51</v>
      </c>
      <c r="E1254" s="10" t="str">
        <f aca="false">IF(D1254="?OLD","!!!","")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I1254" s="14" t="str">
        <f aca="false">IF(OR(E1254="",E1254="!!!",F1254="NEW"),"",INDEX(B$2:B1253,-1+SUMPRODUCT(MAX(ROW(E$2:E1253)*(E1254=E$2:E1253)))))</f>
        <v/>
      </c>
      <c r="J1254" s="15" t="str">
        <f aca="true">IF(OR(E1254="",E1254="!!!",F1254="NEW"),"",COUNTBLANK(OFFSET(A$1,,,SUMPRODUCT(MAX(ROW(E$2:E1254)*(E1254=E$2:E1254)))))-COUNTBLANK(OFFSET(A$1,,,SUMPRODUCT(MAX(ROW(E$1:E1253)*(E1254=E$1:E1253))))))</f>
        <v/>
      </c>
      <c r="K1254" s="15" t="str">
        <f aca="false">IF(OR(E1254="",E1254="!!!",F1254="NEW"),"",INDEX(J$1:J1253,SUMPRODUCT(MAX(ROW(E$1:E1253)*(E1254=E$1:E1253)))))</f>
        <v/>
      </c>
      <c r="L1254" s="16"/>
    </row>
    <row r="1255" customFormat="false" ht="12.8" hidden="false" customHeight="false" outlineLevel="0" collapsed="false">
      <c r="A1255" s="0" t="s">
        <v>298</v>
      </c>
      <c r="B1255" s="0" t="s">
        <v>47</v>
      </c>
      <c r="C1255" s="0" t="s">
        <v>19</v>
      </c>
      <c r="D1255" s="0" t="s">
        <v>20</v>
      </c>
      <c r="E1255" s="10" t="s">
        <v>298</v>
      </c>
      <c r="F1255" s="11" t="str">
        <f aca="false">IF(OR(E1255="",E1255="!!!"),"",IF(NOT(ISNA(VLOOKUP(E1255,E$1:E1254,1,FALSE()))),"OLD",IF(AND(E1255&lt;&gt;"",E1255&lt;&gt;"!!!"),"NEW","")))</f>
        <v>OLD</v>
      </c>
      <c r="G1255" s="12" t="s">
        <v>36</v>
      </c>
      <c r="H1255" s="13" t="str">
        <f aca="false">IF(J1255&lt;&gt;1,"",IF(I1255="SBJ","CB","?"))</f>
        <v/>
      </c>
      <c r="I1255" s="14" t="str">
        <f aca="false">IF(OR(E1255="",E1255="!!!",F1255="NEW"),"",INDEX(B$2:B1254,-1+SUMPRODUCT(MAX(ROW(E$2:E1254)*(E1255=E$2:E1254)))))</f>
        <v>other</v>
      </c>
      <c r="J1255" s="15" t="n">
        <f aca="true">IF(OR(E1255="",E1255="!!!",F1255="NEW"),"",COUNTBLANK(OFFSET(A$1,,,SUMPRODUCT(MAX(ROW(E$2:E1255)*(E1255=E$2:E1255)))))-COUNTBLANK(OFFSET(A$1,,,SUMPRODUCT(MAX(ROW(E$1:E1254)*(E1255=E$1:E1254))))))</f>
        <v>11</v>
      </c>
      <c r="K1255" s="15" t="n">
        <f aca="false">IF(OR(E1255="",E1255="!!!",F1255="NEW"),"",INDEX(J$1:J1254,SUMPRODUCT(MAX(ROW(E$1:E1254)*(E1255=E$1:E1254)))))</f>
        <v>5</v>
      </c>
      <c r="L1255" s="16"/>
    </row>
    <row r="1256" customFormat="false" ht="12.8" hidden="false" customHeight="false" outlineLevel="0" collapsed="false">
      <c r="A1256" s="0" t="s">
        <v>512</v>
      </c>
      <c r="E1256" s="10" t="str">
        <f aca="false">IF(D1256="?OLD","!!!","")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8" hidden="false" customHeight="false" outlineLevel="0" collapsed="false">
      <c r="A1257" s="0" t="s">
        <v>62</v>
      </c>
      <c r="E1257" s="10" t="str">
        <f aca="false">IF(D1257="?OLD","!!!","")</f>
        <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I1257" s="14" t="str">
        <f aca="false">IF(OR(E1257="",E1257="!!!",F1257="NEW"),"",INDEX(B$2:B1256,-1+SUMPRODUCT(MAX(ROW(E$2:E1256)*(E1257=E$2:E1256)))))</f>
        <v/>
      </c>
      <c r="J1257" s="15" t="str">
        <f aca="true">IF(OR(E1257="",E1257="!!!",F1257="NEW"),"",COUNTBLANK(OFFSET(A$1,,,SUMPRODUCT(MAX(ROW(E$2:E1257)*(E1257=E$2:E1257)))))-COUNTBLANK(OFFSET(A$1,,,SUMPRODUCT(MAX(ROW(E$1:E1256)*(E1257=E$1:E1256))))))</f>
        <v/>
      </c>
      <c r="K1257" s="15" t="str">
        <f aca="false">IF(OR(E1257="",E1257="!!!",F1257="NEW"),"",INDEX(J$1:J1256,SUMPRODUCT(MAX(ROW(E$1:E1256)*(E1257=E$1:E1256)))))</f>
        <v/>
      </c>
      <c r="L1257" s="16"/>
    </row>
    <row r="1258" customFormat="false" ht="12.8" hidden="false" customHeight="false" outlineLevel="0" collapsed="false">
      <c r="A1258" s="0" t="s">
        <v>648</v>
      </c>
      <c r="B1258" s="0" t="s">
        <v>170</v>
      </c>
      <c r="C1258" s="0" t="s">
        <v>27</v>
      </c>
      <c r="D1258" s="0" t="s">
        <v>20</v>
      </c>
      <c r="E1258" s="10"/>
      <c r="F1258" s="11" t="s">
        <v>86</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8" hidden="false" customHeight="false" outlineLevel="0" collapsed="false">
      <c r="A1259" s="0" t="s">
        <v>60</v>
      </c>
      <c r="E1259" s="10" t="str">
        <f aca="false">IF(D1259="?OLD","!!!","")</f>
        <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8" hidden="false" customHeight="false" outlineLevel="0" collapsed="false">
      <c r="A1260" s="0" t="s">
        <v>649</v>
      </c>
      <c r="E1260" s="10" t="str">
        <f aca="false">IF(D1260="?OLD","!!!","")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I1260" s="14" t="str">
        <f aca="false">IF(OR(E1260="",E1260="!!!",F1260="NEW"),"",INDEX(B$2:B1259,-1+SUMPRODUCT(MAX(ROW(E$2:E1259)*(E1260=E$2:E1259)))))</f>
        <v/>
      </c>
      <c r="J1260" s="15" t="str">
        <f aca="true">IF(OR(E1260="",E1260="!!!",F1260="NEW"),"",COUNTBLANK(OFFSET(A$1,,,SUMPRODUCT(MAX(ROW(E$2:E1260)*(E1260=E$2:E1260)))))-COUNTBLANK(OFFSET(A$1,,,SUMPRODUCT(MAX(ROW(E$1:E1259)*(E1260=E$1:E1259))))))</f>
        <v/>
      </c>
      <c r="K1260" s="15" t="str">
        <f aca="false">IF(OR(E1260="",E1260="!!!",F1260="NEW"),"",INDEX(J$1:J1259,SUMPRODUCT(MAX(ROW(E$1:E1259)*(E1260=E$1:E1259)))))</f>
        <v/>
      </c>
      <c r="L1260" s="16"/>
    </row>
    <row r="1261" customFormat="false" ht="12.8" hidden="false" customHeight="false" outlineLevel="0" collapsed="false">
      <c r="A1261" s="0" t="s">
        <v>650</v>
      </c>
      <c r="B1261" s="0" t="s">
        <v>96</v>
      </c>
      <c r="C1261" s="0" t="s">
        <v>31</v>
      </c>
      <c r="E1261" s="10" t="str">
        <f aca="false">IF(D1261="?OLD","!!!","")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8" hidden="false" customHeight="false" outlineLevel="0" collapsed="false">
      <c r="A1262" s="0" t="s">
        <v>45</v>
      </c>
      <c r="E1262" s="10" t="str">
        <f aca="false">IF(D1262="?OLD","!!!","")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8" hidden="false" customHeight="false" outlineLevel="0" collapsed="false">
      <c r="A1263" s="0" t="s">
        <v>115</v>
      </c>
      <c r="B1263" s="0" t="s">
        <v>65</v>
      </c>
      <c r="C1263" s="0" t="s">
        <v>31</v>
      </c>
      <c r="E1263" s="10" t="str">
        <f aca="false">IF(D1263="?OLD","!!!","")</f>
        <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I1263" s="14" t="str">
        <f aca="false">IF(OR(E1263="",E1263="!!!",F1263="NEW"),"",INDEX(B$2:B1262,-1+SUMPRODUCT(MAX(ROW(E$2:E1262)*(E1263=E$2:E1262)))))</f>
        <v/>
      </c>
      <c r="J1263" s="15" t="str">
        <f aca="true">IF(OR(E1263="",E1263="!!!",F1263="NEW"),"",COUNTBLANK(OFFSET(A$1,,,SUMPRODUCT(MAX(ROW(E$2:E1263)*(E1263=E$2:E1263)))))-COUNTBLANK(OFFSET(A$1,,,SUMPRODUCT(MAX(ROW(E$1:E1262)*(E1263=E$1:E1262))))))</f>
        <v/>
      </c>
      <c r="K1263" s="15" t="str">
        <f aca="false">IF(OR(E1263="",E1263="!!!",F1263="NEW"),"",INDEX(J$1:J1262,SUMPRODUCT(MAX(ROW(E$1:E1262)*(E1263=E$1:E1262)))))</f>
        <v/>
      </c>
      <c r="L1263" s="16"/>
    </row>
    <row r="1264" customFormat="false" ht="12.8" hidden="false" customHeight="false" outlineLevel="0" collapsed="false">
      <c r="A1264" s="0" t="s">
        <v>44</v>
      </c>
      <c r="E1264" s="10" t="str">
        <f aca="false">IF(D1264="?OLD","!!!","")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I1264" s="14" t="str">
        <f aca="false">IF(OR(E1264="",E1264="!!!",F1264="NEW"),"",INDEX(B$2:B1263,-1+SUMPRODUCT(MAX(ROW(E$2:E1263)*(E1264=E$2:E1263)))))</f>
        <v/>
      </c>
      <c r="J1264" s="15" t="str">
        <f aca="true">IF(OR(E1264="",E1264="!!!",F1264="NEW"),"",COUNTBLANK(OFFSET(A$1,,,SUMPRODUCT(MAX(ROW(E$2:E1264)*(E1264=E$2:E1264)))))-COUNTBLANK(OFFSET(A$1,,,SUMPRODUCT(MAX(ROW(E$1:E1263)*(E1264=E$1:E1263))))))</f>
        <v/>
      </c>
      <c r="K1264" s="15" t="str">
        <f aca="false">IF(OR(E1264="",E1264="!!!",F1264="NEW"),"",INDEX(J$1:J1263,SUMPRODUCT(MAX(ROW(E$1:E1263)*(E1264=E$1:E1263)))))</f>
        <v/>
      </c>
      <c r="L1264" s="16"/>
    </row>
    <row r="1265" customFormat="false" ht="12.8" hidden="false" customHeight="false" outlineLevel="0" collapsed="false">
      <c r="A1265" s="0" t="s">
        <v>108</v>
      </c>
      <c r="E1265" s="10" t="str">
        <f aca="false">IF(D1265="?OLD","!!!","")</f>
        <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I1265" s="14" t="str">
        <f aca="false">IF(OR(E1265="",E1265="!!!",F1265="NEW"),"",INDEX(B$2:B1264,-1+SUMPRODUCT(MAX(ROW(E$2:E1264)*(E1265=E$2:E1264)))))</f>
        <v/>
      </c>
      <c r="J1265" s="15" t="str">
        <f aca="true">IF(OR(E1265="",E1265="!!!",F1265="NEW"),"",COUNTBLANK(OFFSET(A$1,,,SUMPRODUCT(MAX(ROW(E$2:E1265)*(E1265=E$2:E1265)))))-COUNTBLANK(OFFSET(A$1,,,SUMPRODUCT(MAX(ROW(E$1:E1264)*(E1265=E$1:E1264))))))</f>
        <v/>
      </c>
      <c r="K1265" s="15" t="str">
        <f aca="false">IF(OR(E1265="",E1265="!!!",F1265="NEW"),"",INDEX(J$1:J1264,SUMPRODUCT(MAX(ROW(E$1:E1264)*(E1265=E$1:E1264)))))</f>
        <v/>
      </c>
      <c r="L1265" s="16"/>
    </row>
    <row r="1266" customFormat="false" ht="12.8" hidden="false" customHeight="false" outlineLevel="0" collapsed="false">
      <c r="A1266" s="0" t="s">
        <v>651</v>
      </c>
      <c r="E1266" s="10" t="str">
        <f aca="false">IF(D1266="?OLD","!!!","")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8" hidden="false" customHeight="false" outlineLevel="0" collapsed="false">
      <c r="A1267" s="0" t="s">
        <v>72</v>
      </c>
      <c r="B1267" s="0" t="s">
        <v>170</v>
      </c>
      <c r="C1267" s="0" t="s">
        <v>48</v>
      </c>
      <c r="D1267" s="0" t="s">
        <v>20</v>
      </c>
      <c r="E1267" s="10" t="s">
        <v>298</v>
      </c>
      <c r="F1267" s="11" t="str">
        <f aca="false">IF(OR(E1267="",E1267="!!!"),"",IF(NOT(ISNA(VLOOKUP(E1267,E$1:E1266,1,FALSE()))),"OLD",IF(AND(E1267&lt;&gt;"",E1267&lt;&gt;"!!!"),"NEW","")))</f>
        <v>OLD</v>
      </c>
      <c r="G1267" s="12" t="s">
        <v>87</v>
      </c>
      <c r="H1267" s="13" t="str">
        <f aca="false">IF(J1267&lt;&gt;1,"",IF(I1267="SBJ","CB","?"))</f>
        <v/>
      </c>
      <c r="I1267" s="14" t="str">
        <f aca="false">IF(OR(E1267="",E1267="!!!",F1267="NEW"),"",INDEX(B$2:B1266,-1+SUMPRODUCT(MAX(ROW(E$2:E1266)*(E1267=E$2:E1266)))))</f>
        <v>SBJ_2</v>
      </c>
      <c r="J1267" s="15" t="n">
        <f aca="true">IF(OR(E1267="",E1267="!!!",F1267="NEW"),"",COUNTBLANK(OFFSET(A$1,,,SUMPRODUCT(MAX(ROW(E$2:E1267)*(E1267=E$2:E1267)))))-COUNTBLANK(OFFSET(A$1,,,SUMPRODUCT(MAX(ROW(E$1:E1266)*(E1267=E$1:E1266))))))</f>
        <v>0</v>
      </c>
      <c r="K1267" s="15" t="n">
        <f aca="false">IF(OR(E1267="",E1267="!!!",F1267="NEW"),"",INDEX(J$1:J1266,SUMPRODUCT(MAX(ROW(E$1:E1266)*(E1267=E$1:E1266)))))</f>
        <v>11</v>
      </c>
      <c r="L1267" s="16"/>
    </row>
    <row r="1268" customFormat="false" ht="12.8" hidden="false" customHeight="false" outlineLevel="0" collapsed="false">
      <c r="A1268" s="0" t="s">
        <v>344</v>
      </c>
      <c r="E1268" s="10" t="str">
        <f aca="false">IF(D1268="?OLD","!!!","")</f>
        <v/>
      </c>
      <c r="F1268" s="11" t="str">
        <f aca="false">IF(OR(E1268="",E1268="!!!"),"",IF(NOT(ISNA(VLOOKUP(E1268,E$1:E1267,1,FALSE()))),"OLD",IF(AND(E1268&lt;&gt;"",E1268&lt;&gt;"!!!"),"NEW","")))</f>
        <v/>
      </c>
      <c r="G1268" s="12" t="str">
        <f aca="false">IF(OR(E1268="",E1268="!!!"),"",IF(OR(J1268=0,AND(J1268=1,K1268=1),AND(J1268=1,I1268="SBJ"),AND(J1268=1,I1268=0)),"?IN_FOCUS",IF(J1268&lt;=2,"?ACTIVATED",IF(J1268&lt;&gt;"","?FAMILIAR",IF(F1268="NEW",IF(ISNA(VLOOKUP(E1268,#REF!,1,FALSE())),"?TYPE_IDENTIFIABLE","?REFERENTIAL"),"_")))))</f>
        <v/>
      </c>
      <c r="H1268" s="13" t="str">
        <f aca="false">IF(J1268&lt;&gt;1,"",IF(I1268="SBJ","CB","?"))</f>
        <v/>
      </c>
      <c r="I1268" s="14" t="str">
        <f aca="false">IF(OR(E1268="",E1268="!!!",F1268="NEW"),"",INDEX(B$2:B1267,-1+SUMPRODUCT(MAX(ROW(E$2:E1267)*(E1268=E$2:E1267)))))</f>
        <v/>
      </c>
      <c r="J1268" s="15" t="str">
        <f aca="true">IF(OR(E1268="",E1268="!!!",F1268="NEW"),"",COUNTBLANK(OFFSET(A$1,,,SUMPRODUCT(MAX(ROW(E$2:E1268)*(E1268=E$2:E1268)))))-COUNTBLANK(OFFSET(A$1,,,SUMPRODUCT(MAX(ROW(E$1:E1267)*(E1268=E$1:E1267))))))</f>
        <v/>
      </c>
      <c r="K1268" s="15" t="str">
        <f aca="false">IF(OR(E1268="",E1268="!!!",F1268="NEW"),"",INDEX(J$1:J1267,SUMPRODUCT(MAX(ROW(E$1:E1267)*(E1268=E$1:E1267)))))</f>
        <v/>
      </c>
      <c r="L1268" s="16"/>
    </row>
    <row r="1269" customFormat="false" ht="12.8" hidden="false" customHeight="false" outlineLevel="0" collapsed="false">
      <c r="A1269" s="0" t="s">
        <v>62</v>
      </c>
      <c r="E1269" s="10" t="str">
        <f aca="false">IF(D1269="?OLD","!!!","")</f>
        <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I1269" s="14" t="str">
        <f aca="false">IF(OR(E1269="",E1269="!!!",F1269="NEW"),"",INDEX(B$2:B1268,-1+SUMPRODUCT(MAX(ROW(E$2:E1268)*(E1269=E$2:E1268)))))</f>
        <v/>
      </c>
      <c r="J1269" s="15" t="str">
        <f aca="true">IF(OR(E1269="",E1269="!!!",F1269="NEW"),"",COUNTBLANK(OFFSET(A$1,,,SUMPRODUCT(MAX(ROW(E$2:E1269)*(E1269=E$2:E1269)))))-COUNTBLANK(OFFSET(A$1,,,SUMPRODUCT(MAX(ROW(E$1:E1268)*(E1269=E$1:E1268))))))</f>
        <v/>
      </c>
      <c r="K1269" s="15" t="str">
        <f aca="false">IF(OR(E1269="",E1269="!!!",F1269="NEW"),"",INDEX(J$1:J1268,SUMPRODUCT(MAX(ROW(E$1:E1268)*(E1269=E$1:E1268)))))</f>
        <v/>
      </c>
      <c r="L1269" s="16"/>
    </row>
    <row r="1270" customFormat="false" ht="12.8" hidden="false" customHeight="false" outlineLevel="0" collapsed="false">
      <c r="A1270" s="0" t="s">
        <v>25</v>
      </c>
      <c r="E1270" s="10" t="str">
        <f aca="false">IF(D1270="?OLD","!!!","")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8" hidden="false" customHeight="false" outlineLevel="0" collapsed="false">
      <c r="A1271" s="0" t="s">
        <v>345</v>
      </c>
      <c r="B1271" s="0" t="s">
        <v>75</v>
      </c>
      <c r="C1271" s="0" t="s">
        <v>27</v>
      </c>
      <c r="D1271" s="0" t="s">
        <v>20</v>
      </c>
      <c r="E1271" s="10" t="s">
        <v>265</v>
      </c>
      <c r="F1271" s="11" t="str">
        <f aca="false">IF(OR(E1271="",E1271="!!!"),"",IF(NOT(ISNA(VLOOKUP(E1271,E$1:E1270,1,FALSE()))),"OLD",IF(AND(E1271&lt;&gt;"",E1271&lt;&gt;"!!!"),"NEW","")))</f>
        <v>OLD</v>
      </c>
      <c r="G1271" s="12" t="s">
        <v>36</v>
      </c>
      <c r="H1271" s="13" t="str">
        <f aca="false">IF(J1271&lt;&gt;1,"",IF(I1271="SBJ","CB","?"))</f>
        <v/>
      </c>
      <c r="I1271" s="14" t="str">
        <f aca="false">IF(OR(E1271="",E1271="!!!",F1271="NEW"),"",INDEX(B$2:B1270,-1+SUMPRODUCT(MAX(ROW(E$2:E1270)*(E1271=E$2:E1270)))))</f>
        <v>other_2</v>
      </c>
      <c r="J1271" s="15" t="n">
        <f aca="true">IF(OR(E1271="",E1271="!!!",F1271="NEW"),"",COUNTBLANK(OFFSET(A$1,,,SUMPRODUCT(MAX(ROW(E$2:E1271)*(E1271=E$2:E1271)))))-COUNTBLANK(OFFSET(A$1,,,SUMPRODUCT(MAX(ROW(E$1:E1270)*(E1271=E$1:E1270))))))</f>
        <v>45</v>
      </c>
      <c r="K1271" s="15" t="n">
        <f aca="false">IF(OR(E1271="",E1271="!!!",F1271="NEW"),"",INDEX(J$1:J1270,SUMPRODUCT(MAX(ROW(E$1:E1270)*(E1271=E$1:E1270)))))</f>
        <v>8</v>
      </c>
      <c r="L1271" s="16"/>
    </row>
    <row r="1272" customFormat="false" ht="12.8" hidden="false" customHeight="false" outlineLevel="0" collapsed="false">
      <c r="A1272" s="0" t="s">
        <v>37</v>
      </c>
      <c r="E1272" s="10" t="str">
        <f aca="false">IF(D1272="?OLD","!!!","")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8" hidden="false" customHeight="false" outlineLevel="0" collapsed="false">
      <c r="A1273" s="0" t="s">
        <v>489</v>
      </c>
      <c r="E1273" s="10" t="str">
        <f aca="false">IF(D1273="?OLD","!!!","")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8" hidden="false" customHeight="false" outlineLevel="0" collapsed="false">
      <c r="A1274" s="0" t="s">
        <v>60</v>
      </c>
      <c r="E1274" s="10" t="str">
        <f aca="false">IF(D1274="?OLD","!!!","")</f>
        <v/>
      </c>
      <c r="F1274" s="11" t="str">
        <f aca="false">IF(OR(E1274="",E1274="!!!"),"",IF(NOT(ISNA(VLOOKUP(E1274,E$1:E1273,1,FALSE()))),"OLD",IF(AND(E1274&lt;&gt;"",E1274&lt;&gt;"!!!"),"NEW","")))</f>
        <v/>
      </c>
      <c r="G1274" s="12" t="str">
        <f aca="false">IF(OR(E1274="",E1274="!!!"),"",IF(OR(J1274=0,AND(J1274=1,K1274=1),AND(J1274=1,I1274="SBJ"),AND(J1274=1,I1274=0)),"?IN_FOCUS",IF(J1274&lt;=2,"?ACTIVATED",IF(J1274&lt;&gt;"","?FAMILIAR",IF(F1274="NEW",IF(ISNA(VLOOKUP(E1274,#REF!,1,FALSE())),"?TYPE_IDENTIFIABLE","?REFERENTIAL"),"_")))))</f>
        <v/>
      </c>
      <c r="H1274" s="13" t="str">
        <f aca="false">IF(J1274&lt;&gt;1,"",IF(I1274="SBJ","CB","?"))</f>
        <v/>
      </c>
      <c r="I1274" s="14" t="str">
        <f aca="false">IF(OR(E1274="",E1274="!!!",F1274="NEW"),"",INDEX(B$2:B1273,-1+SUMPRODUCT(MAX(ROW(E$2:E1273)*(E1274=E$2:E1273)))))</f>
        <v/>
      </c>
      <c r="J1274" s="15" t="str">
        <f aca="true">IF(OR(E1274="",E1274="!!!",F1274="NEW"),"",COUNTBLANK(OFFSET(A$1,,,SUMPRODUCT(MAX(ROW(E$2:E1274)*(E1274=E$2:E1274)))))-COUNTBLANK(OFFSET(A$1,,,SUMPRODUCT(MAX(ROW(E$1:E1273)*(E1274=E$1:E1273))))))</f>
        <v/>
      </c>
      <c r="K1274" s="15" t="str">
        <f aca="false">IF(OR(E1274="",E1274="!!!",F1274="NEW"),"",INDEX(J$1:J1273,SUMPRODUCT(MAX(ROW(E$1:E1273)*(E1274=E$1:E1273)))))</f>
        <v/>
      </c>
      <c r="L1274" s="16"/>
    </row>
    <row r="1275" customFormat="false" ht="12.8" hidden="false" customHeight="false" outlineLevel="0" collapsed="false">
      <c r="A1275" s="0" t="s">
        <v>334</v>
      </c>
      <c r="B1275" s="0" t="s">
        <v>96</v>
      </c>
      <c r="C1275" s="0" t="s">
        <v>244</v>
      </c>
      <c r="D1275" s="0" t="s">
        <v>20</v>
      </c>
      <c r="E1275" s="10" t="s">
        <v>633</v>
      </c>
      <c r="F1275" s="11" t="str">
        <f aca="false">IF(OR(E1275="",E1275="!!!"),"",IF(NOT(ISNA(VLOOKUP(E1275,E$1:E1274,1,FALSE()))),"OLD",IF(AND(E1275&lt;&gt;"",E1275&lt;&gt;"!!!"),"NEW","")))</f>
        <v>OLD</v>
      </c>
      <c r="G1275" s="12" t="s">
        <v>87</v>
      </c>
      <c r="H1275" s="13" t="str">
        <f aca="false">IF(J1275&lt;&gt;1,"",IF(I1275="SBJ","CB","?"))</f>
        <v/>
      </c>
      <c r="I1275" s="14" t="str">
        <f aca="false">IF(OR(E1275="",E1275="!!!",F1275="NEW"),"",INDEX(B$2:B1274,-1+SUMPRODUCT(MAX(ROW(E$2:E1274)*(E1275=E$2:E1274)))))</f>
        <v>SBJ</v>
      </c>
      <c r="J1275" s="15" t="n">
        <f aca="true">IF(OR(E1275="",E1275="!!!",F1275="NEW"),"",COUNTBLANK(OFFSET(A$1,,,SUMPRODUCT(MAX(ROW(E$2:E1275)*(E1275=E$2:E1275)))))-COUNTBLANK(OFFSET(A$1,,,SUMPRODUCT(MAX(ROW(E$1:E1274)*(E1275=E$1:E1274))))))</f>
        <v>0</v>
      </c>
      <c r="K1275" s="15" t="n">
        <f aca="false">IF(OR(E1275="",E1275="!!!",F1275="NEW"),"",INDEX(J$1:J1274,SUMPRODUCT(MAX(ROW(E$1:E1274)*(E1275=E$1:E1274)))))</f>
        <v>1</v>
      </c>
      <c r="L1275" s="16"/>
    </row>
    <row r="1276" customFormat="false" ht="12.8" hidden="false" customHeight="false" outlineLevel="0" collapsed="false">
      <c r="A1276" s="0" t="s">
        <v>652</v>
      </c>
      <c r="B1276" s="0" t="s">
        <v>75</v>
      </c>
      <c r="C1276" s="0" t="s">
        <v>246</v>
      </c>
      <c r="D1276" s="0" t="s">
        <v>20</v>
      </c>
      <c r="E1276" s="10" t="s">
        <v>653</v>
      </c>
      <c r="F1276" s="11" t="str">
        <f aca="false">IF(OR(E1276="",E1276="!!!"),"",IF(NOT(ISNA(VLOOKUP(E1276,E$1:E1275,1,FALSE()))),"OLD",IF(AND(E1276&lt;&gt;"",E1276&lt;&gt;"!!!"),"NEW","")))</f>
        <v>NEW</v>
      </c>
      <c r="G1276" s="12" t="s">
        <v>510</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8" hidden="false" customHeight="false" outlineLevel="0" collapsed="false">
      <c r="A1277" s="0" t="s">
        <v>60</v>
      </c>
      <c r="E1277" s="10" t="str">
        <f aca="false">IF(D1277="?OLD","!!!","")</f>
        <v/>
      </c>
      <c r="F1277" s="11" t="str">
        <f aca="false">IF(OR(E1277="",E1277="!!!"),"",IF(NOT(ISNA(VLOOKUP(E1277,E$1:E1276,1,FALSE()))),"OLD",IF(AND(E1277&lt;&gt;"",E1277&lt;&gt;"!!!"),"NEW","")))</f>
        <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I1277" s="14" t="str">
        <f aca="false">IF(OR(E1277="",E1277="!!!",F1277="NEW"),"",INDEX(B$2:B1276,-1+SUMPRODUCT(MAX(ROW(E$2:E1276)*(E1277=E$2:E1276)))))</f>
        <v/>
      </c>
      <c r="J1277" s="15" t="str">
        <f aca="true">IF(OR(E1277="",E1277="!!!",F1277="NEW"),"",COUNTBLANK(OFFSET(A$1,,,SUMPRODUCT(MAX(ROW(E$2:E1277)*(E1277=E$2:E1277)))))-COUNTBLANK(OFFSET(A$1,,,SUMPRODUCT(MAX(ROW(E$1:E1276)*(E1277=E$1:E1276))))))</f>
        <v/>
      </c>
      <c r="K1277" s="15" t="str">
        <f aca="false">IF(OR(E1277="",E1277="!!!",F1277="NEW"),"",INDEX(J$1:J1276,SUMPRODUCT(MAX(ROW(E$1:E1276)*(E1277=E$1:E1276)))))</f>
        <v/>
      </c>
      <c r="L1277" s="16"/>
    </row>
    <row r="1278" customFormat="false" ht="12.8" hidden="false" customHeight="false" outlineLevel="0" collapsed="false">
      <c r="A1278" s="0" t="s">
        <v>654</v>
      </c>
      <c r="E1278" s="10" t="str">
        <f aca="false">IF(D1278="?OLD","!!!","")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279" customFormat="false" ht="12.8" hidden="false" customHeight="false" outlineLevel="0" collapsed="false">
      <c r="A1279" s="0" t="s">
        <v>39</v>
      </c>
      <c r="E1279" s="10" t="str">
        <f aca="false">IF(D1279="?OLD","!!!","")</f>
        <v/>
      </c>
      <c r="F1279" s="11" t="str">
        <f aca="false">IF(OR(E1279="",E1279="!!!"),"",IF(NOT(ISNA(VLOOKUP(E1279,E$1:E1278,1,FALSE()))),"OLD",IF(AND(E1279&lt;&gt;"",E1279&lt;&gt;"!!!"),"NEW","")))</f>
        <v/>
      </c>
      <c r="G1279" s="12" t="str">
        <f aca="false">IF(OR(E1279="",E1279="!!!"),"",IF(OR(J1279=0,AND(J1279=1,K1279=1),AND(J1279=1,I1279="SBJ"),AND(J1279=1,I1279=0)),"?IN_FOCUS",IF(J1279&lt;=2,"?ACTIVATED",IF(J1279&lt;&gt;"","?FAMILIAR",IF(F1279="NEW",IF(ISNA(VLOOKUP(E1279,#REF!,1,FALSE())),"?TYPE_IDENTIFIABLE","?REFERENTIAL"),"_")))))</f>
        <v/>
      </c>
      <c r="H1279" s="13" t="str">
        <f aca="false">IF(J1279&lt;&gt;1,"",IF(I1279="SBJ","CB","?"))</f>
        <v/>
      </c>
      <c r="I1279" s="14" t="str">
        <f aca="false">IF(OR(E1279="",E1279="!!!",F1279="NEW"),"",INDEX(B$2:B1278,-1+SUMPRODUCT(MAX(ROW(E$2:E1278)*(E1279=E$2:E1278)))))</f>
        <v/>
      </c>
      <c r="J1279" s="15" t="str">
        <f aca="true">IF(OR(E1279="",E1279="!!!",F1279="NEW"),"",COUNTBLANK(OFFSET(A$1,,,SUMPRODUCT(MAX(ROW(E$2:E1279)*(E1279=E$2:E1279)))))-COUNTBLANK(OFFSET(A$1,,,SUMPRODUCT(MAX(ROW(E$1:E1278)*(E1279=E$1:E1278))))))</f>
        <v/>
      </c>
      <c r="K1279" s="15" t="str">
        <f aca="false">IF(OR(E1279="",E1279="!!!",F1279="NEW"),"",INDEX(J$1:J1278,SUMPRODUCT(MAX(ROW(E$1:E1278)*(E1279=E$1:E1278)))))</f>
        <v/>
      </c>
      <c r="L1279" s="16"/>
    </row>
    <row r="1280" customFormat="false" ht="12.8" hidden="false" customHeight="false" outlineLevel="0" collapsed="false">
      <c r="A1280" s="0" t="s">
        <v>62</v>
      </c>
      <c r="E1280" s="10" t="str">
        <f aca="false">IF(D1280="?OLD","!!!","")</f>
        <v/>
      </c>
      <c r="F1280" s="11" t="str">
        <f aca="false">IF(OR(E1280="",E1280="!!!"),"",IF(NOT(ISNA(VLOOKUP(E1280,E$1:E1279,1,FALSE()))),"OLD",IF(AND(E1280&lt;&gt;"",E1280&lt;&gt;"!!!"),"NEW","")))</f>
        <v/>
      </c>
      <c r="G1280" s="12" t="str">
        <f aca="false">IF(OR(E1280="",E1280="!!!"),"",IF(OR(J1280=0,AND(J1280=1,K1280=1),AND(J1280=1,I1280="SBJ"),AND(J1280=1,I1280=0)),"?IN_FOCUS",IF(J1280&lt;=2,"?ACTIVATED",IF(J1280&lt;&gt;"","?FAMILIAR",IF(F1280="NEW",IF(ISNA(VLOOKUP(E1280,#REF!,1,FALSE())),"?TYPE_IDENTIFIABLE","?REFERENTIAL"),"_")))))</f>
        <v/>
      </c>
      <c r="H1280" s="13" t="str">
        <f aca="false">IF(J1280&lt;&gt;1,"",IF(I1280="SBJ","CB","?"))</f>
        <v/>
      </c>
      <c r="I1280" s="14" t="str">
        <f aca="false">IF(OR(E1280="",E1280="!!!",F1280="NEW"),"",INDEX(B$2:B1279,-1+SUMPRODUCT(MAX(ROW(E$2:E1279)*(E1280=E$2:E1279)))))</f>
        <v/>
      </c>
      <c r="J1280" s="15" t="str">
        <f aca="true">IF(OR(E1280="",E1280="!!!",F1280="NEW"),"",COUNTBLANK(OFFSET(A$1,,,SUMPRODUCT(MAX(ROW(E$2:E1280)*(E1280=E$2:E1280)))))-COUNTBLANK(OFFSET(A$1,,,SUMPRODUCT(MAX(ROW(E$1:E1279)*(E1280=E$1:E1279))))))</f>
        <v/>
      </c>
      <c r="K1280" s="15" t="str">
        <f aca="false">IF(OR(E1280="",E1280="!!!",F1280="NEW"),"",INDEX(J$1:J1279,SUMPRODUCT(MAX(ROW(E$1:E1279)*(E1280=E$1:E1279)))))</f>
        <v/>
      </c>
      <c r="L1280" s="16"/>
    </row>
    <row r="1281" customFormat="false" ht="12.8" hidden="false" customHeight="false" outlineLevel="0" collapsed="false">
      <c r="A1281" s="0" t="s">
        <v>571</v>
      </c>
      <c r="E1281" s="10" t="str">
        <f aca="false">IF(D1281="?OLD","!!!","")</f>
        <v/>
      </c>
      <c r="F1281" s="11" t="str">
        <f aca="false">IF(OR(E1281="",E1281="!!!"),"",IF(NOT(ISNA(VLOOKUP(E1281,E$1:E1280,1,FALSE()))),"OLD",IF(AND(E1281&lt;&gt;"",E1281&lt;&gt;"!!!"),"NEW","")))</f>
        <v/>
      </c>
      <c r="G1281" s="12" t="str">
        <f aca="false">IF(OR(E1281="",E1281="!!!"),"",IF(OR(J1281=0,AND(J1281=1,K1281=1),AND(J1281=1,I1281="SBJ"),AND(J1281=1,I1281=0)),"?IN_FOCUS",IF(J1281&lt;=2,"?ACTIVATED",IF(J1281&lt;&gt;"","?FAMILIAR",IF(F1281="NEW",IF(ISNA(VLOOKUP(E1281,#REF!,1,FALSE())),"?TYPE_IDENTIFIABLE","?REFERENTIAL"),"_")))))</f>
        <v/>
      </c>
      <c r="H1281" s="13" t="str">
        <f aca="false">IF(J1281&lt;&gt;1,"",IF(I1281="SBJ","CB","?"))</f>
        <v/>
      </c>
      <c r="I1281" s="14" t="str">
        <f aca="false">IF(OR(E1281="",E1281="!!!",F1281="NEW"),"",INDEX(B$2:B1280,-1+SUMPRODUCT(MAX(ROW(E$2:E1280)*(E1281=E$2:E1280)))))</f>
        <v/>
      </c>
      <c r="J1281" s="15" t="str">
        <f aca="true">IF(OR(E1281="",E1281="!!!",F1281="NEW"),"",COUNTBLANK(OFFSET(A$1,,,SUMPRODUCT(MAX(ROW(E$2:E1281)*(E1281=E$2:E1281)))))-COUNTBLANK(OFFSET(A$1,,,SUMPRODUCT(MAX(ROW(E$1:E1280)*(E1281=E$1:E1280))))))</f>
        <v/>
      </c>
      <c r="K1281" s="15" t="str">
        <f aca="false">IF(OR(E1281="",E1281="!!!",F1281="NEW"),"",INDEX(J$1:J1280,SUMPRODUCT(MAX(ROW(E$1:E1280)*(E1281=E$1:E1280)))))</f>
        <v/>
      </c>
      <c r="L1281" s="16"/>
    </row>
    <row r="1282" customFormat="false" ht="12.8" hidden="false" customHeight="false" outlineLevel="0" collapsed="false">
      <c r="A1282" s="0" t="s">
        <v>655</v>
      </c>
      <c r="B1282" s="0" t="s">
        <v>96</v>
      </c>
      <c r="C1282" s="0" t="s">
        <v>27</v>
      </c>
      <c r="D1282" s="0" t="s">
        <v>20</v>
      </c>
      <c r="E1282" s="10"/>
      <c r="F1282" s="11" t="s">
        <v>86</v>
      </c>
      <c r="G1282" s="12" t="str">
        <f aca="false">IF(OR(E1282="",E1282="!!!"),"",IF(OR(J1282=0,AND(J1282=1,K1282=1),AND(J1282=1,I1282="SBJ"),AND(J1282=1,I1282=0)),"?IN_FOCUS",IF(J1282&lt;=2,"?ACTIVATED",IF(J1282&lt;&gt;"","?FAMILIAR",IF(F1282="NEW",IF(ISNA(VLOOKUP(E1282,#REF!,1,FALSE())),"?TYPE_IDENTIFIABLE","?REFERENTIAL"),"_")))))</f>
        <v/>
      </c>
      <c r="H1282" s="13" t="str">
        <f aca="false">IF(J1282&lt;&gt;1,"",IF(I1282="SBJ","CB","?"))</f>
        <v/>
      </c>
      <c r="I1282" s="14" t="str">
        <f aca="false">IF(OR(E1282="",E1282="!!!",F1282="NEW"),"",INDEX(B$2:B1281,-1+SUMPRODUCT(MAX(ROW(E$2:E1281)*(E1282=E$2:E1281)))))</f>
        <v/>
      </c>
      <c r="J1282" s="15" t="str">
        <f aca="true">IF(OR(E1282="",E1282="!!!",F1282="NEW"),"",COUNTBLANK(OFFSET(A$1,,,SUMPRODUCT(MAX(ROW(E$2:E1282)*(E1282=E$2:E1282)))))-COUNTBLANK(OFFSET(A$1,,,SUMPRODUCT(MAX(ROW(E$1:E1281)*(E1282=E$1:E1281))))))</f>
        <v/>
      </c>
      <c r="K1282" s="15" t="str">
        <f aca="false">IF(OR(E1282="",E1282="!!!",F1282="NEW"),"",INDEX(J$1:J1281,SUMPRODUCT(MAX(ROW(E$1:E1281)*(E1282=E$1:E1281)))))</f>
        <v/>
      </c>
      <c r="L1282" s="16"/>
    </row>
    <row r="1283" customFormat="false" ht="12.8" hidden="false" customHeight="false" outlineLevel="0" collapsed="false">
      <c r="A1283" s="0" t="s">
        <v>61</v>
      </c>
      <c r="E1283" s="10" t="str">
        <f aca="false">IF(D1283="?OLD","!!!","")</f>
        <v/>
      </c>
      <c r="F1283" s="11" t="str">
        <f aca="false">IF(OR(E1283="",E1283="!!!"),"",IF(NOT(ISNA(VLOOKUP(E1283,E$1:E1282,1,FALSE()))),"OLD",IF(AND(E1283&lt;&gt;"",E1283&lt;&gt;"!!!"),"NEW","")))</f>
        <v/>
      </c>
      <c r="G1283" s="12" t="str">
        <f aca="false">IF(OR(E1283="",E1283="!!!"),"",IF(OR(J1283=0,AND(J1283=1,K1283=1),AND(J1283=1,I1283="SBJ"),AND(J1283=1,I1283=0)),"?IN_FOCUS",IF(J1283&lt;=2,"?ACTIVATED",IF(J1283&lt;&gt;"","?FAMILIAR",IF(F1283="NEW",IF(ISNA(VLOOKUP(E1283,#REF!,1,FALSE())),"?TYPE_IDENTIFIABLE","?REFERENTIAL"),"_")))))</f>
        <v/>
      </c>
      <c r="H1283" s="13" t="str">
        <f aca="false">IF(J1283&lt;&gt;1,"",IF(I1283="SBJ","CB","?"))</f>
        <v/>
      </c>
      <c r="I1283" s="14" t="str">
        <f aca="false">IF(OR(E1283="",E1283="!!!",F1283="NEW"),"",INDEX(B$2:B1282,-1+SUMPRODUCT(MAX(ROW(E$2:E1282)*(E1283=E$2:E1282)))))</f>
        <v/>
      </c>
      <c r="J1283" s="15" t="str">
        <f aca="true">IF(OR(E1283="",E1283="!!!",F1283="NEW"),"",COUNTBLANK(OFFSET(A$1,,,SUMPRODUCT(MAX(ROW(E$2:E1283)*(E1283=E$2:E1283)))))-COUNTBLANK(OFFSET(A$1,,,SUMPRODUCT(MAX(ROW(E$1:E1282)*(E1283=E$1:E1282))))))</f>
        <v/>
      </c>
      <c r="K1283" s="15" t="str">
        <f aca="false">IF(OR(E1283="",E1283="!!!",F1283="NEW"),"",INDEX(J$1:J1282,SUMPRODUCT(MAX(ROW(E$1:E1282)*(E1283=E$1:E1282)))))</f>
        <v/>
      </c>
      <c r="L1283" s="16"/>
    </row>
    <row r="1284" customFormat="false" ht="12.8" hidden="false" customHeight="false" outlineLevel="0" collapsed="false">
      <c r="A1284" s="0" t="s">
        <v>637</v>
      </c>
      <c r="E1284" s="10" t="str">
        <f aca="false">IF(D1284="?OLD","!!!","")</f>
        <v/>
      </c>
      <c r="F1284" s="11" t="str">
        <f aca="false">IF(OR(E1284="",E1284="!!!"),"",IF(NOT(ISNA(VLOOKUP(E1284,E$1:E1283,1,FALSE()))),"OLD",IF(AND(E1284&lt;&gt;"",E1284&lt;&gt;"!!!"),"NEW","")))</f>
        <v/>
      </c>
      <c r="G1284" s="12" t="str">
        <f aca="false">IF(OR(E1284="",E1284="!!!"),"",IF(OR(J1284=0,AND(J1284=1,K1284=1),AND(J1284=1,I1284="SBJ"),AND(J1284=1,I1284=0)),"?IN_FOCUS",IF(J1284&lt;=2,"?ACTIVATED",IF(J1284&lt;&gt;"","?FAMILIAR",IF(F1284="NEW",IF(ISNA(VLOOKUP(E1284,#REF!,1,FALSE())),"?TYPE_IDENTIFIABLE","?REFERENTIAL"),"_")))))</f>
        <v/>
      </c>
      <c r="H1284" s="13" t="str">
        <f aca="false">IF(J1284&lt;&gt;1,"",IF(I1284="SBJ","CB","?"))</f>
        <v/>
      </c>
      <c r="I1284" s="14" t="str">
        <f aca="false">IF(OR(E1284="",E1284="!!!",F1284="NEW"),"",INDEX(B$2:B1283,-1+SUMPRODUCT(MAX(ROW(E$2:E1283)*(E1284=E$2:E1283)))))</f>
        <v/>
      </c>
      <c r="J1284" s="15" t="str">
        <f aca="true">IF(OR(E1284="",E1284="!!!",F1284="NEW"),"",COUNTBLANK(OFFSET(A$1,,,SUMPRODUCT(MAX(ROW(E$2:E1284)*(E1284=E$2:E1284)))))-COUNTBLANK(OFFSET(A$1,,,SUMPRODUCT(MAX(ROW(E$1:E1283)*(E1284=E$1:E1283))))))</f>
        <v/>
      </c>
      <c r="K1284" s="15" t="str">
        <f aca="false">IF(OR(E1284="",E1284="!!!",F1284="NEW"),"",INDEX(J$1:J1283,SUMPRODUCT(MAX(ROW(E$1:E1283)*(E1284=E$1:E1283)))))</f>
        <v/>
      </c>
      <c r="L1284" s="16"/>
    </row>
    <row r="1285" customFormat="false" ht="12.8" hidden="false" customHeight="false" outlineLevel="0" collapsed="false">
      <c r="A1285" s="0" t="s">
        <v>656</v>
      </c>
      <c r="B1285" s="0" t="s">
        <v>65</v>
      </c>
      <c r="C1285" s="0" t="s">
        <v>31</v>
      </c>
      <c r="E1285" s="10" t="str">
        <f aca="false">IF(D1285="?OLD","!!!","")</f>
        <v/>
      </c>
      <c r="F1285" s="11" t="str">
        <f aca="false">IF(OR(E1285="",E1285="!!!"),"",IF(NOT(ISNA(VLOOKUP(E1285,E$1:E1284,1,FALSE()))),"OLD",IF(AND(E1285&lt;&gt;"",E1285&lt;&gt;"!!!"),"NEW","")))</f>
        <v/>
      </c>
      <c r="G1285" s="12" t="str">
        <f aca="false">IF(OR(E1285="",E1285="!!!"),"",IF(OR(J1285=0,AND(J1285=1,K1285=1),AND(J1285=1,I1285="SBJ"),AND(J1285=1,I1285=0)),"?IN_FOCUS",IF(J1285&lt;=2,"?ACTIVATED",IF(J1285&lt;&gt;"","?FAMILIAR",IF(F1285="NEW",IF(ISNA(VLOOKUP(E1285,#REF!,1,FALSE())),"?TYPE_IDENTIFIABLE","?REFERENTIAL"),"_")))))</f>
        <v/>
      </c>
      <c r="H1285" s="13" t="str">
        <f aca="false">IF(J1285&lt;&gt;1,"",IF(I1285="SBJ","CB","?"))</f>
        <v/>
      </c>
      <c r="I1285" s="14" t="str">
        <f aca="false">IF(OR(E1285="",E1285="!!!",F1285="NEW"),"",INDEX(B$2:B1284,-1+SUMPRODUCT(MAX(ROW(E$2:E1284)*(E1285=E$2:E1284)))))</f>
        <v/>
      </c>
      <c r="J1285" s="15" t="str">
        <f aca="true">IF(OR(E1285="",E1285="!!!",F1285="NEW"),"",COUNTBLANK(OFFSET(A$1,,,SUMPRODUCT(MAX(ROW(E$2:E1285)*(E1285=E$2:E1285)))))-COUNTBLANK(OFFSET(A$1,,,SUMPRODUCT(MAX(ROW(E$1:E1284)*(E1285=E$1:E1284))))))</f>
        <v/>
      </c>
      <c r="K1285" s="15" t="str">
        <f aca="false">IF(OR(E1285="",E1285="!!!",F1285="NEW"),"",INDEX(J$1:J1284,SUMPRODUCT(MAX(ROW(E$1:E1284)*(E1285=E$1:E1284)))))</f>
        <v/>
      </c>
      <c r="L1285" s="16"/>
    </row>
    <row r="1286" customFormat="false" ht="12.8" hidden="false" customHeight="false" outlineLevel="0" collapsed="false">
      <c r="A1286" s="0" t="s">
        <v>44</v>
      </c>
      <c r="E1286" s="10" t="str">
        <f aca="false">IF(D1286="?OLD","!!!","")</f>
        <v/>
      </c>
      <c r="F1286" s="11" t="str">
        <f aca="false">IF(OR(E1286="",E1286="!!!"),"",IF(NOT(ISNA(VLOOKUP(E1286,E$1:E1285,1,FALSE()))),"OLD",IF(AND(E1286&lt;&gt;"",E1286&lt;&gt;"!!!"),"NEW","")))</f>
        <v/>
      </c>
      <c r="G1286" s="12" t="str">
        <f aca="false">IF(OR(E1286="",E1286="!!!"),"",IF(OR(J1286=0,AND(J1286=1,K1286=1),AND(J1286=1,I1286="SBJ"),AND(J1286=1,I1286=0)),"?IN_FOCUS",IF(J1286&lt;=2,"?ACTIVATED",IF(J1286&lt;&gt;"","?FAMILIAR",IF(F1286="NEW",IF(ISNA(VLOOKUP(E1286,#REF!,1,FALSE())),"?TYPE_IDENTIFIABLE","?REFERENTIAL"),"_")))))</f>
        <v/>
      </c>
      <c r="H1286" s="13" t="str">
        <f aca="false">IF(J1286&lt;&gt;1,"",IF(I1286="SBJ","CB","?"))</f>
        <v/>
      </c>
      <c r="I1286" s="14" t="str">
        <f aca="false">IF(OR(E1286="",E1286="!!!",F1286="NEW"),"",INDEX(B$2:B1285,-1+SUMPRODUCT(MAX(ROW(E$2:E1285)*(E1286=E$2:E1285)))))</f>
        <v/>
      </c>
      <c r="J1286" s="15" t="str">
        <f aca="true">IF(OR(E1286="",E1286="!!!",F1286="NEW"),"",COUNTBLANK(OFFSET(A$1,,,SUMPRODUCT(MAX(ROW(E$2:E1286)*(E1286=E$2:E1286)))))-COUNTBLANK(OFFSET(A$1,,,SUMPRODUCT(MAX(ROW(E$1:E1285)*(E1286=E$1:E1285))))))</f>
        <v/>
      </c>
      <c r="K1286" s="15" t="str">
        <f aca="false">IF(OR(E1286="",E1286="!!!",F1286="NEW"),"",INDEX(J$1:J1285,SUMPRODUCT(MAX(ROW(E$1:E1285)*(E1286=E$1:E1285)))))</f>
        <v/>
      </c>
      <c r="L1286" s="16"/>
    </row>
    <row r="1287" customFormat="false" ht="12.8" hidden="false" customHeight="false" outlineLevel="0" collapsed="false">
      <c r="A1287" s="0" t="s">
        <v>489</v>
      </c>
      <c r="B1287" s="0" t="s">
        <v>65</v>
      </c>
      <c r="C1287" s="0" t="s">
        <v>31</v>
      </c>
      <c r="E1287" s="10" t="str">
        <f aca="false">IF(D1287="?OLD","!!!","")</f>
        <v/>
      </c>
      <c r="F1287" s="11" t="str">
        <f aca="false">IF(OR(E1287="",E1287="!!!"),"",IF(NOT(ISNA(VLOOKUP(E1287,E$1:E1286,1,FALSE()))),"OLD",IF(AND(E1287&lt;&gt;"",E1287&lt;&gt;"!!!"),"NEW","")))</f>
        <v/>
      </c>
      <c r="G1287" s="12" t="str">
        <f aca="false">IF(OR(E1287="",E1287="!!!"),"",IF(OR(J1287=0,AND(J1287=1,K1287=1),AND(J1287=1,I1287="SBJ"),AND(J1287=1,I1287=0)),"?IN_FOCUS",IF(J1287&lt;=2,"?ACTIVATED",IF(J1287&lt;&gt;"","?FAMILIAR",IF(F1287="NEW",IF(ISNA(VLOOKUP(E1287,#REF!,1,FALSE())),"?TYPE_IDENTIFIABLE","?REFERENTIAL"),"_")))))</f>
        <v/>
      </c>
      <c r="H1287" s="13" t="str">
        <f aca="false">IF(J1287&lt;&gt;1,"",IF(I1287="SBJ","CB","?"))</f>
        <v/>
      </c>
      <c r="I1287" s="14" t="str">
        <f aca="false">IF(OR(E1287="",E1287="!!!",F1287="NEW"),"",INDEX(B$2:B1286,-1+SUMPRODUCT(MAX(ROW(E$2:E1286)*(E1287=E$2:E1286)))))</f>
        <v/>
      </c>
      <c r="J1287" s="15" t="str">
        <f aca="true">IF(OR(E1287="",E1287="!!!",F1287="NEW"),"",COUNTBLANK(OFFSET(A$1,,,SUMPRODUCT(MAX(ROW(E$2:E1287)*(E1287=E$2:E1287)))))-COUNTBLANK(OFFSET(A$1,,,SUMPRODUCT(MAX(ROW(E$1:E1286)*(E1287=E$1:E1286))))))</f>
        <v/>
      </c>
      <c r="K1287" s="15" t="str">
        <f aca="false">IF(OR(E1287="",E1287="!!!",F1287="NEW"),"",INDEX(J$1:J1286,SUMPRODUCT(MAX(ROW(E$1:E1286)*(E1287=E$1:E1286)))))</f>
        <v/>
      </c>
      <c r="L1287" s="16"/>
    </row>
    <row r="1288" customFormat="false" ht="12.8" hidden="false" customHeight="false" outlineLevel="0" collapsed="false">
      <c r="A1288" s="0" t="s">
        <v>60</v>
      </c>
      <c r="E1288" s="10" t="str">
        <f aca="false">IF(D1288="?OLD","!!!","")</f>
        <v/>
      </c>
      <c r="F1288" s="11" t="str">
        <f aca="false">IF(OR(E1288="",E1288="!!!"),"",IF(NOT(ISNA(VLOOKUP(E1288,E$1:E1287,1,FALSE()))),"OLD",IF(AND(E1288&lt;&gt;"",E1288&lt;&gt;"!!!"),"NEW","")))</f>
        <v/>
      </c>
      <c r="G1288" s="12" t="str">
        <f aca="false">IF(OR(E1288="",E1288="!!!"),"",IF(OR(J1288=0,AND(J1288=1,K1288=1),AND(J1288=1,I1288="SBJ"),AND(J1288=1,I1288=0)),"?IN_FOCUS",IF(J1288&lt;=2,"?ACTIVATED",IF(J1288&lt;&gt;"","?FAMILIAR",IF(F1288="NEW",IF(ISNA(VLOOKUP(E1288,#REF!,1,FALSE())),"?TYPE_IDENTIFIABLE","?REFERENTIAL"),"_")))))</f>
        <v/>
      </c>
      <c r="H1288" s="13" t="str">
        <f aca="false">IF(J1288&lt;&gt;1,"",IF(I1288="SBJ","CB","?"))</f>
        <v/>
      </c>
      <c r="I1288" s="14" t="str">
        <f aca="false">IF(OR(E1288="",E1288="!!!",F1288="NEW"),"",INDEX(B$2:B1287,-1+SUMPRODUCT(MAX(ROW(E$2:E1287)*(E1288=E$2:E1287)))))</f>
        <v/>
      </c>
      <c r="J1288" s="15" t="str">
        <f aca="true">IF(OR(E1288="",E1288="!!!",F1288="NEW"),"",COUNTBLANK(OFFSET(A$1,,,SUMPRODUCT(MAX(ROW(E$2:E1288)*(E1288=E$2:E1288)))))-COUNTBLANK(OFFSET(A$1,,,SUMPRODUCT(MAX(ROW(E$1:E1287)*(E1288=E$1:E1287))))))</f>
        <v/>
      </c>
      <c r="K1288" s="15" t="str">
        <f aca="false">IF(OR(E1288="",E1288="!!!",F1288="NEW"),"",INDEX(J$1:J1287,SUMPRODUCT(MAX(ROW(E$1:E1287)*(E1288=E$1:E1287)))))</f>
        <v/>
      </c>
      <c r="L1288" s="16"/>
    </row>
    <row r="1289" customFormat="false" ht="12.8" hidden="false" customHeight="false" outlineLevel="0" collapsed="false">
      <c r="A1289" s="0" t="s">
        <v>334</v>
      </c>
      <c r="B1289" s="0" t="s">
        <v>657</v>
      </c>
      <c r="C1289" s="0" t="s">
        <v>244</v>
      </c>
      <c r="D1289" s="0" t="s">
        <v>20</v>
      </c>
      <c r="E1289" s="10" t="s">
        <v>633</v>
      </c>
      <c r="F1289" s="11" t="str">
        <f aca="false">IF(OR(E1289="",E1289="!!!"),"",IF(NOT(ISNA(VLOOKUP(E1289,E$1:E1288,1,FALSE()))),"OLD",IF(AND(E1289&lt;&gt;"",E1289&lt;&gt;"!!!"),"NEW","")))</f>
        <v>OLD</v>
      </c>
      <c r="G1289" s="12" t="s">
        <v>87</v>
      </c>
      <c r="H1289" s="13" t="str">
        <f aca="false">IF(J1289&lt;&gt;1,"",IF(I1289="SBJ","CB","?"))</f>
        <v/>
      </c>
      <c r="I1289" s="14" t="str">
        <f aca="false">IF(OR(E1289="",E1289="!!!",F1289="NEW"),"",INDEX(B$2:B1288,-1+SUMPRODUCT(MAX(ROW(E$2:E1288)*(E1289=E$2:E1288)))))</f>
        <v>other_3</v>
      </c>
      <c r="J1289" s="15" t="n">
        <f aca="true">IF(OR(E1289="",E1289="!!!",F1289="NEW"),"",COUNTBLANK(OFFSET(A$1,,,SUMPRODUCT(MAX(ROW(E$2:E1289)*(E1289=E$2:E1289)))))-COUNTBLANK(OFFSET(A$1,,,SUMPRODUCT(MAX(ROW(E$1:E1288)*(E1289=E$1:E1288))))))</f>
        <v>0</v>
      </c>
      <c r="K1289" s="15" t="n">
        <f aca="false">IF(OR(E1289="",E1289="!!!",F1289="NEW"),"",INDEX(J$1:J1288,SUMPRODUCT(MAX(ROW(E$1:E1288)*(E1289=E$1:E1288)))))</f>
        <v>0</v>
      </c>
      <c r="L1289" s="16"/>
    </row>
    <row r="1290" customFormat="false" ht="12.8" hidden="false" customHeight="false" outlineLevel="0" collapsed="false">
      <c r="A1290" s="0" t="s">
        <v>652</v>
      </c>
      <c r="B1290" s="0" t="s">
        <v>69</v>
      </c>
      <c r="C1290" s="0" t="s">
        <v>246</v>
      </c>
      <c r="D1290" s="0" t="s">
        <v>20</v>
      </c>
      <c r="E1290" s="10" t="s">
        <v>653</v>
      </c>
      <c r="F1290" s="11" t="str">
        <f aca="false">IF(OR(E1290="",E1290="!!!"),"",IF(NOT(ISNA(VLOOKUP(E1290,E$1:E1289,1,FALSE()))),"OLD",IF(AND(E1290&lt;&gt;"",E1290&lt;&gt;"!!!"),"NEW","")))</f>
        <v>OLD</v>
      </c>
      <c r="G1290" s="12" t="s">
        <v>87</v>
      </c>
      <c r="H1290" s="13" t="str">
        <f aca="false">IF(J1290&lt;&gt;1,"",IF(I1290="SBJ","CB","?"))</f>
        <v/>
      </c>
      <c r="I1290" s="14" t="str">
        <f aca="false">IF(OR(E1290="",E1290="!!!",F1290="NEW"),"",INDEX(B$2:B1289,-1+SUMPRODUCT(MAX(ROW(E$2:E1289)*(E1290=E$2:E1289)))))</f>
        <v>other_2</v>
      </c>
      <c r="J1290" s="15" t="n">
        <f aca="true">IF(OR(E1290="",E1290="!!!",F1290="NEW"),"",COUNTBLANK(OFFSET(A$1,,,SUMPRODUCT(MAX(ROW(E$2:E1290)*(E1290=E$2:E1290)))))-COUNTBLANK(OFFSET(A$1,,,SUMPRODUCT(MAX(ROW(E$1:E1289)*(E1290=E$1:E1289))))))</f>
        <v>0</v>
      </c>
      <c r="K1290" s="15" t="str">
        <f aca="false">IF(OR(E1290="",E1290="!!!",F1290="NEW"),"",INDEX(J$1:J1289,SUMPRODUCT(MAX(ROW(E$1:E1289)*(E1290=E$1:E1289)))))</f>
        <v/>
      </c>
      <c r="L1290" s="16"/>
    </row>
    <row r="1291" customFormat="false" ht="12.8" hidden="false" customHeight="false" outlineLevel="0" collapsed="false">
      <c r="A1291" s="0" t="s">
        <v>76</v>
      </c>
      <c r="E1291" s="10" t="str">
        <f aca="false">IF(D1291="?OLD","!!!","")</f>
        <v/>
      </c>
      <c r="F1291" s="11" t="str">
        <f aca="false">IF(OR(E1291="",E1291="!!!"),"",IF(NOT(ISNA(VLOOKUP(E1291,E$1:E1290,1,FALSE()))),"OLD",IF(AND(E1291&lt;&gt;"",E1291&lt;&gt;"!!!"),"NEW","")))</f>
        <v/>
      </c>
      <c r="G1291" s="12" t="str">
        <f aca="false">IF(OR(E1291="",E1291="!!!"),"",IF(OR(J1291=0,AND(J1291=1,K1291=1),AND(J1291=1,I1291="SBJ"),AND(J1291=1,I1291=0)),"?IN_FOCUS",IF(J1291&lt;=2,"?ACTIVATED",IF(J1291&lt;&gt;"","?FAMILIAR",IF(F1291="NEW",IF(ISNA(VLOOKUP(E1291,#REF!,1,FALSE())),"?TYPE_IDENTIFIABLE","?REFERENTIAL"),"_")))))</f>
        <v/>
      </c>
      <c r="H1291" s="13" t="str">
        <f aca="false">IF(J1291&lt;&gt;1,"",IF(I1291="SBJ","CB","?"))</f>
        <v/>
      </c>
      <c r="I1291" s="14" t="str">
        <f aca="false">IF(OR(E1291="",E1291="!!!",F1291="NEW"),"",INDEX(B$2:B1290,-1+SUMPRODUCT(MAX(ROW(E$2:E1290)*(E1291=E$2:E1290)))))</f>
        <v/>
      </c>
      <c r="J1291" s="15" t="str">
        <f aca="true">IF(OR(E1291="",E1291="!!!",F1291="NEW"),"",COUNTBLANK(OFFSET(A$1,,,SUMPRODUCT(MAX(ROW(E$2:E1291)*(E1291=E$2:E1291)))))-COUNTBLANK(OFFSET(A$1,,,SUMPRODUCT(MAX(ROW(E$1:E1290)*(E1291=E$1:E1290))))))</f>
        <v/>
      </c>
      <c r="K1291" s="15" t="str">
        <f aca="false">IF(OR(E1291="",E1291="!!!",F1291="NEW"),"",INDEX(J$1:J1290,SUMPRODUCT(MAX(ROW(E$1:E1290)*(E1291=E$1:E1290)))))</f>
        <v/>
      </c>
      <c r="L1291" s="16"/>
    </row>
    <row r="1292" customFormat="false" ht="12.8" hidden="false" customHeight="false" outlineLevel="0" collapsed="false">
      <c r="E1292" s="10" t="str">
        <f aca="false">IF(D1292="?OLD","!!!","")</f>
        <v/>
      </c>
      <c r="F1292" s="11" t="str">
        <f aca="false">IF(OR(E1292="",E1292="!!!"),"",IF(NOT(ISNA(VLOOKUP(E1292,E$1:E1291,1,FALSE()))),"OLD",IF(AND(E1292&lt;&gt;"",E1292&lt;&gt;"!!!"),"NEW","")))</f>
        <v/>
      </c>
      <c r="G1292" s="12" t="str">
        <f aca="false">IF(OR(E1292="",E1292="!!!"),"",IF(OR(J1292=0,AND(J1292=1,K1292=1),AND(J1292=1,I1292="SBJ"),AND(J1292=1,I1292=0)),"?IN_FOCUS",IF(J1292&lt;=2,"?ACTIVATED",IF(J1292&lt;&gt;"","?FAMILIAR",IF(F1292="NEW",IF(ISNA(VLOOKUP(E1292,#REF!,1,FALSE())),"?TYPE_IDENTIFIABLE","?REFERENTIAL"),"_")))))</f>
        <v/>
      </c>
      <c r="H1292" s="13" t="str">
        <f aca="false">IF(J1292&lt;&gt;1,"",IF(I1292="SBJ","CB","?"))</f>
        <v/>
      </c>
      <c r="I1292" s="14" t="str">
        <f aca="false">IF(OR(E1292="",E1292="!!!",F1292="NEW"),"",INDEX(B$2:B1291,-1+SUMPRODUCT(MAX(ROW(E$2:E1291)*(E1292=E$2:E1291)))))</f>
        <v/>
      </c>
      <c r="J1292" s="15" t="str">
        <f aca="true">IF(OR(E1292="",E1292="!!!",F1292="NEW"),"",COUNTBLANK(OFFSET(A$1,,,SUMPRODUCT(MAX(ROW(E$2:E1292)*(E1292=E$2:E1292)))))-COUNTBLANK(OFFSET(A$1,,,SUMPRODUCT(MAX(ROW(E$1:E1291)*(E1292=E$1:E1291))))))</f>
        <v/>
      </c>
      <c r="K1292" s="15" t="str">
        <f aca="false">IF(OR(E1292="",E1292="!!!",F1292="NEW"),"",INDEX(J$1:J1291,SUMPRODUCT(MAX(ROW(E$1:E1291)*(E1292=E$1:E1291)))))</f>
        <v/>
      </c>
      <c r="L1292" s="16"/>
    </row>
    <row r="1293" customFormat="false" ht="12.8" hidden="false" customHeight="false" outlineLevel="0" collapsed="false">
      <c r="A1293" s="0" t="s">
        <v>658</v>
      </c>
      <c r="E1293" s="10" t="str">
        <f aca="false">IF(D1293="?OLD","!!!","")</f>
        <v/>
      </c>
      <c r="F1293" s="11" t="str">
        <f aca="false">IF(OR(E1293="",E1293="!!!"),"",IF(NOT(ISNA(VLOOKUP(E1293,E$1:E1292,1,FALSE()))),"OLD",IF(AND(E1293&lt;&gt;"",E1293&lt;&gt;"!!!"),"NEW","")))</f>
        <v/>
      </c>
      <c r="G1293" s="12" t="str">
        <f aca="false">IF(OR(E1293="",E1293="!!!"),"",IF(OR(J1293=0,AND(J1293=1,K1293=1),AND(J1293=1,I1293="SBJ"),AND(J1293=1,I1293=0)),"?IN_FOCUS",IF(J1293&lt;=2,"?ACTIVATED",IF(J1293&lt;&gt;"","?FAMILIAR",IF(F1293="NEW",IF(ISNA(VLOOKUP(E1293,#REF!,1,FALSE())),"?TYPE_IDENTIFIABLE","?REFERENTIAL"),"_")))))</f>
        <v/>
      </c>
      <c r="H1293" s="13" t="str">
        <f aca="false">IF(J1293&lt;&gt;1,"",IF(I1293="SBJ","CB","?"))</f>
        <v/>
      </c>
      <c r="I1293" s="14" t="str">
        <f aca="false">IF(OR(E1293="",E1293="!!!",F1293="NEW"),"",INDEX(B$2:B1292,-1+SUMPRODUCT(MAX(ROW(E$2:E1292)*(E1293=E$2:E1292)))))</f>
        <v/>
      </c>
      <c r="J1293" s="15" t="str">
        <f aca="true">IF(OR(E1293="",E1293="!!!",F1293="NEW"),"",COUNTBLANK(OFFSET(A$1,,,SUMPRODUCT(MAX(ROW(E$2:E1293)*(E1293=E$2:E1293)))))-COUNTBLANK(OFFSET(A$1,,,SUMPRODUCT(MAX(ROW(E$1:E1292)*(E1293=E$1:E1292))))))</f>
        <v/>
      </c>
      <c r="K1293" s="15" t="str">
        <f aca="false">IF(OR(E1293="",E1293="!!!",F1293="NEW"),"",INDEX(J$1:J1292,SUMPRODUCT(MAX(ROW(E$1:E1292)*(E1293=E$1:E1292)))))</f>
        <v/>
      </c>
      <c r="L1293" s="16"/>
    </row>
    <row r="1294" customFormat="false" ht="12.8" hidden="false" customHeight="false" outlineLevel="0" collapsed="false">
      <c r="A1294" s="0" t="s">
        <v>659</v>
      </c>
      <c r="B1294" s="0" t="s">
        <v>34</v>
      </c>
      <c r="C1294" s="0" t="s">
        <v>48</v>
      </c>
      <c r="D1294" s="0" t="s">
        <v>20</v>
      </c>
      <c r="E1294" s="10" t="s">
        <v>128</v>
      </c>
      <c r="F1294" s="11" t="str">
        <f aca="false">IF(OR(E1294="",E1294="!!!"),"",IF(NOT(ISNA(VLOOKUP(E1294,E$1:E1293,1,FALSE()))),"OLD",IF(AND(E1294&lt;&gt;"",E1294&lt;&gt;"!!!"),"NEW","")))</f>
        <v>OLD</v>
      </c>
      <c r="G1294" s="12" t="s">
        <v>36</v>
      </c>
      <c r="H1294" s="13" t="str">
        <f aca="false">IF(J1294&lt;&gt;1,"",IF(I1294="SBJ","CB","?"))</f>
        <v/>
      </c>
      <c r="I1294" s="14" t="str">
        <f aca="false">IF(OR(E1294="",E1294="!!!",F1294="NEW"),"",INDEX(B$2:B1293,-1+SUMPRODUCT(MAX(ROW(E$2:E1293)*(E1294=E$2:E1293)))))</f>
        <v>OBJ_3</v>
      </c>
      <c r="J1294" s="15" t="n">
        <f aca="true">IF(OR(E1294="",E1294="!!!",F1294="NEW"),"",COUNTBLANK(OFFSET(A$1,,,SUMPRODUCT(MAX(ROW(E$2:E1294)*(E1294=E$2:E1294)))))-COUNTBLANK(OFFSET(A$1,,,SUMPRODUCT(MAX(ROW(E$1:E1293)*(E1294=E$1:E1293))))))</f>
        <v>21</v>
      </c>
      <c r="K1294" s="15" t="n">
        <f aca="false">IF(OR(E1294="",E1294="!!!",F1294="NEW"),"",INDEX(J$1:J1293,SUMPRODUCT(MAX(ROW(E$1:E1293)*(E1294=E$1:E1293)))))</f>
        <v>3</v>
      </c>
      <c r="L1294" s="16"/>
    </row>
    <row r="1295" customFormat="false" ht="12.8" hidden="false" customHeight="false" outlineLevel="0" collapsed="false">
      <c r="A1295" s="0" t="s">
        <v>660</v>
      </c>
      <c r="E1295" s="10" t="str">
        <f aca="false">IF(D1295="?OLD","!!!","")</f>
        <v/>
      </c>
      <c r="F1295" s="11" t="str">
        <f aca="false">IF(OR(E1295="",E1295="!!!"),"",IF(NOT(ISNA(VLOOKUP(E1295,E$1:E1294,1,FALSE()))),"OLD",IF(AND(E1295&lt;&gt;"",E1295&lt;&gt;"!!!"),"NEW","")))</f>
        <v/>
      </c>
      <c r="G1295" s="12" t="str">
        <f aca="false">IF(OR(E1295="",E1295="!!!"),"",IF(OR(J1295=0,AND(J1295=1,K1295=1),AND(J1295=1,I1295="SBJ"),AND(J1295=1,I1295=0)),"?IN_FOCUS",IF(J1295&lt;=2,"?ACTIVATED",IF(J1295&lt;&gt;"","?FAMILIAR",IF(F1295="NEW",IF(ISNA(VLOOKUP(E1295,#REF!,1,FALSE())),"?TYPE_IDENTIFIABLE","?REFERENTIAL"),"_")))))</f>
        <v/>
      </c>
      <c r="H1295" s="13" t="str">
        <f aca="false">IF(J1295&lt;&gt;1,"",IF(I1295="SBJ","CB","?"))</f>
        <v/>
      </c>
      <c r="I1295" s="14" t="str">
        <f aca="false">IF(OR(E1295="",E1295="!!!",F1295="NEW"),"",INDEX(B$2:B1294,-1+SUMPRODUCT(MAX(ROW(E$2:E1294)*(E1295=E$2:E1294)))))</f>
        <v/>
      </c>
      <c r="J1295" s="15" t="str">
        <f aca="true">IF(OR(E1295="",E1295="!!!",F1295="NEW"),"",COUNTBLANK(OFFSET(A$1,,,SUMPRODUCT(MAX(ROW(E$2:E1295)*(E1295=E$2:E1295)))))-COUNTBLANK(OFFSET(A$1,,,SUMPRODUCT(MAX(ROW(E$1:E1294)*(E1295=E$1:E1294))))))</f>
        <v/>
      </c>
      <c r="K1295" s="15" t="str">
        <f aca="false">IF(OR(E1295="",E1295="!!!",F1295="NEW"),"",INDEX(J$1:J1294,SUMPRODUCT(MAX(ROW(E$1:E1294)*(E1295=E$1:E1294)))))</f>
        <v/>
      </c>
      <c r="L1295" s="16"/>
    </row>
    <row r="1296" customFormat="false" ht="12.8" hidden="false" customHeight="false" outlineLevel="0" collapsed="false">
      <c r="A1296" s="0" t="s">
        <v>661</v>
      </c>
      <c r="E1296" s="10" t="str">
        <f aca="false">IF(D1296="?OLD","!!!","")</f>
        <v/>
      </c>
      <c r="F1296" s="11" t="str">
        <f aca="false">IF(OR(E1296="",E1296="!!!"),"",IF(NOT(ISNA(VLOOKUP(E1296,E$1:E1295,1,FALSE()))),"OLD",IF(AND(E1296&lt;&gt;"",E1296&lt;&gt;"!!!"),"NEW","")))</f>
        <v/>
      </c>
      <c r="G1296" s="12" t="str">
        <f aca="false">IF(OR(E1296="",E1296="!!!"),"",IF(OR(J1296=0,AND(J1296=1,K1296=1),AND(J1296=1,I1296="SBJ"),AND(J1296=1,I1296=0)),"?IN_FOCUS",IF(J1296&lt;=2,"?ACTIVATED",IF(J1296&lt;&gt;"","?FAMILIAR",IF(F1296="NEW",IF(ISNA(VLOOKUP(E1296,#REF!,1,FALSE())),"?TYPE_IDENTIFIABLE","?REFERENTIAL"),"_")))))</f>
        <v/>
      </c>
      <c r="H1296" s="13" t="str">
        <f aca="false">IF(J1296&lt;&gt;1,"",IF(I1296="SBJ","CB","?"))</f>
        <v/>
      </c>
      <c r="I1296" s="14" t="str">
        <f aca="false">IF(OR(E1296="",E1296="!!!",F1296="NEW"),"",INDEX(B$2:B1295,-1+SUMPRODUCT(MAX(ROW(E$2:E1295)*(E1296=E$2:E1295)))))</f>
        <v/>
      </c>
      <c r="J1296" s="15" t="str">
        <f aca="true">IF(OR(E1296="",E1296="!!!",F1296="NEW"),"",COUNTBLANK(OFFSET(A$1,,,SUMPRODUCT(MAX(ROW(E$2:E1296)*(E1296=E$2:E1296)))))-COUNTBLANK(OFFSET(A$1,,,SUMPRODUCT(MAX(ROW(E$1:E1295)*(E1296=E$1:E1295))))))</f>
        <v/>
      </c>
      <c r="K1296" s="15" t="str">
        <f aca="false">IF(OR(E1296="",E1296="!!!",F1296="NEW"),"",INDEX(J$1:J1295,SUMPRODUCT(MAX(ROW(E$1:E1295)*(E1296=E$1:E1295)))))</f>
        <v/>
      </c>
      <c r="L1296" s="16"/>
    </row>
    <row r="1297" customFormat="false" ht="12.8" hidden="false" customHeight="false" outlineLevel="0" collapsed="false">
      <c r="A1297" s="0" t="s">
        <v>662</v>
      </c>
      <c r="E1297" s="10" t="str">
        <f aca="false">IF(D1297="?OLD","!!!","")</f>
        <v/>
      </c>
      <c r="F1297" s="11" t="str">
        <f aca="false">IF(OR(E1297="",E1297="!!!"),"",IF(NOT(ISNA(VLOOKUP(E1297,E$1:E1296,1,FALSE()))),"OLD",IF(AND(E1297&lt;&gt;"",E1297&lt;&gt;"!!!"),"NEW","")))</f>
        <v/>
      </c>
      <c r="G1297" s="12" t="str">
        <f aca="false">IF(OR(E1297="",E1297="!!!"),"",IF(OR(J1297=0,AND(J1297=1,K1297=1),AND(J1297=1,I1297="SBJ"),AND(J1297=1,I1297=0)),"?IN_FOCUS",IF(J1297&lt;=2,"?ACTIVATED",IF(J1297&lt;&gt;"","?FAMILIAR",IF(F1297="NEW",IF(ISNA(VLOOKUP(E1297,#REF!,1,FALSE())),"?TYPE_IDENTIFIABLE","?REFERENTIAL"),"_")))))</f>
        <v/>
      </c>
      <c r="H1297" s="13" t="str">
        <f aca="false">IF(J1297&lt;&gt;1,"",IF(I1297="SBJ","CB","?"))</f>
        <v/>
      </c>
      <c r="I1297" s="14" t="str">
        <f aca="false">IF(OR(E1297="",E1297="!!!",F1297="NEW"),"",INDEX(B$2:B1296,-1+SUMPRODUCT(MAX(ROW(E$2:E1296)*(E1297=E$2:E1296)))))</f>
        <v/>
      </c>
      <c r="J1297" s="15" t="str">
        <f aca="true">IF(OR(E1297="",E1297="!!!",F1297="NEW"),"",COUNTBLANK(OFFSET(A$1,,,SUMPRODUCT(MAX(ROW(E$2:E1297)*(E1297=E$2:E1297)))))-COUNTBLANK(OFFSET(A$1,,,SUMPRODUCT(MAX(ROW(E$1:E1296)*(E1297=E$1:E1296))))))</f>
        <v/>
      </c>
      <c r="K1297" s="15" t="str">
        <f aca="false">IF(OR(E1297="",E1297="!!!",F1297="NEW"),"",INDEX(J$1:J1296,SUMPRODUCT(MAX(ROW(E$1:E1296)*(E1297=E$1:E1296)))))</f>
        <v/>
      </c>
      <c r="L1297" s="16"/>
    </row>
    <row r="1298" customFormat="false" ht="12.8" hidden="false" customHeight="false" outlineLevel="0" collapsed="false">
      <c r="A1298" s="0" t="s">
        <v>62</v>
      </c>
      <c r="E1298" s="10" t="str">
        <f aca="false">IF(D1298="?OLD","!!!","")</f>
        <v/>
      </c>
      <c r="F1298" s="11" t="str">
        <f aca="false">IF(OR(E1298="",E1298="!!!"),"",IF(NOT(ISNA(VLOOKUP(E1298,E$1:E1297,1,FALSE()))),"OLD",IF(AND(E1298&lt;&gt;"",E1298&lt;&gt;"!!!"),"NEW","")))</f>
        <v/>
      </c>
      <c r="G1298" s="12" t="str">
        <f aca="false">IF(OR(E1298="",E1298="!!!"),"",IF(OR(J1298=0,AND(J1298=1,K1298=1),AND(J1298=1,I1298="SBJ"),AND(J1298=1,I1298=0)),"?IN_FOCUS",IF(J1298&lt;=2,"?ACTIVATED",IF(J1298&lt;&gt;"","?FAMILIAR",IF(F1298="NEW",IF(ISNA(VLOOKUP(E1298,#REF!,1,FALSE())),"?TYPE_IDENTIFIABLE","?REFERENTIAL"),"_")))))</f>
        <v/>
      </c>
      <c r="H1298" s="13" t="str">
        <f aca="false">IF(J1298&lt;&gt;1,"",IF(I1298="SBJ","CB","?"))</f>
        <v/>
      </c>
      <c r="I1298" s="14" t="str">
        <f aca="false">IF(OR(E1298="",E1298="!!!",F1298="NEW"),"",INDEX(B$2:B1297,-1+SUMPRODUCT(MAX(ROW(E$2:E1297)*(E1298=E$2:E1297)))))</f>
        <v/>
      </c>
      <c r="J1298" s="15" t="str">
        <f aca="true">IF(OR(E1298="",E1298="!!!",F1298="NEW"),"",COUNTBLANK(OFFSET(A$1,,,SUMPRODUCT(MAX(ROW(E$2:E1298)*(E1298=E$2:E1298)))))-COUNTBLANK(OFFSET(A$1,,,SUMPRODUCT(MAX(ROW(E$1:E1297)*(E1298=E$1:E1297))))))</f>
        <v/>
      </c>
      <c r="K1298" s="15" t="str">
        <f aca="false">IF(OR(E1298="",E1298="!!!",F1298="NEW"),"",INDEX(J$1:J1297,SUMPRODUCT(MAX(ROW(E$1:E1297)*(E1298=E$1:E1297)))))</f>
        <v/>
      </c>
      <c r="L1298" s="16"/>
    </row>
    <row r="1299" customFormat="false" ht="12.8" hidden="false" customHeight="false" outlineLevel="0" collapsed="false">
      <c r="A1299" s="0" t="s">
        <v>663</v>
      </c>
      <c r="B1299" s="0" t="s">
        <v>170</v>
      </c>
      <c r="C1299" s="0" t="s">
        <v>27</v>
      </c>
      <c r="D1299" s="0" t="s">
        <v>20</v>
      </c>
      <c r="E1299" s="10" t="s">
        <v>664</v>
      </c>
      <c r="F1299" s="11" t="str">
        <f aca="false">IF(OR(E1299="",E1299="!!!"),"",IF(NOT(ISNA(VLOOKUP(E1299,E$1:E1298,1,FALSE()))),"OLD",IF(AND(E1299&lt;&gt;"",E1299&lt;&gt;"!!!"),"NEW","")))</f>
        <v>NEW</v>
      </c>
      <c r="G1299" s="12" t="s">
        <v>36</v>
      </c>
      <c r="H1299" s="13" t="str">
        <f aca="false">IF(J1299&lt;&gt;1,"",IF(I1299="SBJ","CB","?"))</f>
        <v/>
      </c>
      <c r="I1299" s="14" t="str">
        <f aca="false">IF(OR(E1299="",E1299="!!!",F1299="NEW"),"",INDEX(B$2:B1298,-1+SUMPRODUCT(MAX(ROW(E$2:E1298)*(E1299=E$2:E1298)))))</f>
        <v/>
      </c>
      <c r="J1299" s="15" t="str">
        <f aca="true">IF(OR(E1299="",E1299="!!!",F1299="NEW"),"",COUNTBLANK(OFFSET(A$1,,,SUMPRODUCT(MAX(ROW(E$2:E1299)*(E1299=E$2:E1299)))))-COUNTBLANK(OFFSET(A$1,,,SUMPRODUCT(MAX(ROW(E$1:E1298)*(E1299=E$1:E1298))))))</f>
        <v/>
      </c>
      <c r="K1299" s="15" t="str">
        <f aca="false">IF(OR(E1299="",E1299="!!!",F1299="NEW"),"",INDEX(J$1:J1298,SUMPRODUCT(MAX(ROW(E$1:E1298)*(E1299=E$1:E1298)))))</f>
        <v/>
      </c>
      <c r="L1299" s="16"/>
    </row>
    <row r="1300" customFormat="false" ht="12.8" hidden="false" customHeight="false" outlineLevel="0" collapsed="false">
      <c r="A1300" s="0" t="s">
        <v>44</v>
      </c>
      <c r="E1300" s="10" t="str">
        <f aca="false">IF(D1300="?OLD","!!!","")</f>
        <v/>
      </c>
      <c r="F1300" s="11" t="str">
        <f aca="false">IF(OR(E1300="",E1300="!!!"),"",IF(NOT(ISNA(VLOOKUP(E1300,E$1:E1299,1,FALSE()))),"OLD",IF(AND(E1300&lt;&gt;"",E1300&lt;&gt;"!!!"),"NEW","")))</f>
        <v/>
      </c>
      <c r="G1300" s="12" t="str">
        <f aca="false">IF(OR(E1300="",E1300="!!!"),"",IF(OR(J1300=0,AND(J1300=1,K1300=1),AND(J1300=1,I1300="SBJ"),AND(J1300=1,I1300=0)),"?IN_FOCUS",IF(J1300&lt;=2,"?ACTIVATED",IF(J1300&lt;&gt;"","?FAMILIAR",IF(F1300="NEW",IF(ISNA(VLOOKUP(E1300,#REF!,1,FALSE())),"?TYPE_IDENTIFIABLE","?REFERENTIAL"),"_")))))</f>
        <v/>
      </c>
      <c r="H1300" s="13" t="str">
        <f aca="false">IF(J1300&lt;&gt;1,"",IF(I1300="SBJ","CB","?"))</f>
        <v/>
      </c>
      <c r="I1300" s="14" t="str">
        <f aca="false">IF(OR(E1300="",E1300="!!!",F1300="NEW"),"",INDEX(B$2:B1299,-1+SUMPRODUCT(MAX(ROW(E$2:E1299)*(E1300=E$2:E1299)))))</f>
        <v/>
      </c>
      <c r="J1300" s="15" t="str">
        <f aca="true">IF(OR(E1300="",E1300="!!!",F1300="NEW"),"",COUNTBLANK(OFFSET(A$1,,,SUMPRODUCT(MAX(ROW(E$2:E1300)*(E1300=E$2:E1300)))))-COUNTBLANK(OFFSET(A$1,,,SUMPRODUCT(MAX(ROW(E$1:E1299)*(E1300=E$1:E1299))))))</f>
        <v/>
      </c>
      <c r="K1300" s="15" t="str">
        <f aca="false">IF(OR(E1300="",E1300="!!!",F1300="NEW"),"",INDEX(J$1:J1299,SUMPRODUCT(MAX(ROW(E$1:E1299)*(E1300=E$1:E1299)))))</f>
        <v/>
      </c>
      <c r="L1300" s="16"/>
    </row>
    <row r="1301" customFormat="false" ht="12.8" hidden="false" customHeight="false" outlineLevel="0" collapsed="false">
      <c r="A1301" s="0" t="s">
        <v>475</v>
      </c>
      <c r="E1301" s="10" t="str">
        <f aca="false">IF(D1301="?OLD","!!!","")</f>
        <v/>
      </c>
      <c r="F1301" s="11" t="str">
        <f aca="false">IF(OR(E1301="",E1301="!!!"),"",IF(NOT(ISNA(VLOOKUP(E1301,E$1:E1300,1,FALSE()))),"OLD",IF(AND(E1301&lt;&gt;"",E1301&lt;&gt;"!!!"),"NEW","")))</f>
        <v/>
      </c>
      <c r="G1301" s="12" t="str">
        <f aca="false">IF(OR(E1301="",E1301="!!!"),"",IF(OR(J1301=0,AND(J1301=1,K1301=1),AND(J1301=1,I1301="SBJ"),AND(J1301=1,I1301=0)),"?IN_FOCUS",IF(J1301&lt;=2,"?ACTIVATED",IF(J1301&lt;&gt;"","?FAMILIAR",IF(F1301="NEW",IF(ISNA(VLOOKUP(E1301,#REF!,1,FALSE())),"?TYPE_IDENTIFIABLE","?REFERENTIAL"),"_")))))</f>
        <v/>
      </c>
      <c r="H1301" s="13" t="str">
        <f aca="false">IF(J1301&lt;&gt;1,"",IF(I1301="SBJ","CB","?"))</f>
        <v/>
      </c>
      <c r="I1301" s="14" t="str">
        <f aca="false">IF(OR(E1301="",E1301="!!!",F1301="NEW"),"",INDEX(B$2:B1300,-1+SUMPRODUCT(MAX(ROW(E$2:E1300)*(E1301=E$2:E1300)))))</f>
        <v/>
      </c>
      <c r="J1301" s="15" t="str">
        <f aca="true">IF(OR(E1301="",E1301="!!!",F1301="NEW"),"",COUNTBLANK(OFFSET(A$1,,,SUMPRODUCT(MAX(ROW(E$2:E1301)*(E1301=E$2:E1301)))))-COUNTBLANK(OFFSET(A$1,,,SUMPRODUCT(MAX(ROW(E$1:E1300)*(E1301=E$1:E1300))))))</f>
        <v/>
      </c>
      <c r="K1301" s="15" t="str">
        <f aca="false">IF(OR(E1301="",E1301="!!!",F1301="NEW"),"",INDEX(J$1:J1300,SUMPRODUCT(MAX(ROW(E$1:E1300)*(E1301=E$1:E1300)))))</f>
        <v/>
      </c>
      <c r="L1301" s="16"/>
    </row>
    <row r="1302" customFormat="false" ht="12.8" hidden="false" customHeight="false" outlineLevel="0" collapsed="false">
      <c r="A1302" s="0" t="s">
        <v>370</v>
      </c>
      <c r="E1302" s="10" t="str">
        <f aca="false">IF(D1302="?OLD","!!!","")</f>
        <v/>
      </c>
      <c r="F1302" s="11" t="str">
        <f aca="false">IF(OR(E1302="",E1302="!!!"),"",IF(NOT(ISNA(VLOOKUP(E1302,E$1:E1301,1,FALSE()))),"OLD",IF(AND(E1302&lt;&gt;"",E1302&lt;&gt;"!!!"),"NEW","")))</f>
        <v/>
      </c>
      <c r="G1302" s="12" t="str">
        <f aca="false">IF(OR(E1302="",E1302="!!!"),"",IF(OR(J1302=0,AND(J1302=1,K1302=1),AND(J1302=1,I1302="SBJ"),AND(J1302=1,I1302=0)),"?IN_FOCUS",IF(J1302&lt;=2,"?ACTIVATED",IF(J1302&lt;&gt;"","?FAMILIAR",IF(F1302="NEW",IF(ISNA(VLOOKUP(E1302,#REF!,1,FALSE())),"?TYPE_IDENTIFIABLE","?REFERENTIAL"),"_")))))</f>
        <v/>
      </c>
      <c r="H1302" s="13" t="str">
        <f aca="false">IF(J1302&lt;&gt;1,"",IF(I1302="SBJ","CB","?"))</f>
        <v/>
      </c>
      <c r="I1302" s="14" t="str">
        <f aca="false">IF(OR(E1302="",E1302="!!!",F1302="NEW"),"",INDEX(B$2:B1301,-1+SUMPRODUCT(MAX(ROW(E$2:E1301)*(E1302=E$2:E1301)))))</f>
        <v/>
      </c>
      <c r="J1302" s="15" t="str">
        <f aca="true">IF(OR(E1302="",E1302="!!!",F1302="NEW"),"",COUNTBLANK(OFFSET(A$1,,,SUMPRODUCT(MAX(ROW(E$2:E1302)*(E1302=E$2:E1302)))))-COUNTBLANK(OFFSET(A$1,,,SUMPRODUCT(MAX(ROW(E$1:E1301)*(E1302=E$1:E1301))))))</f>
        <v/>
      </c>
      <c r="K1302" s="15" t="str">
        <f aca="false">IF(OR(E1302="",E1302="!!!",F1302="NEW"),"",INDEX(J$1:J1301,SUMPRODUCT(MAX(ROW(E$1:E1301)*(E1302=E$1:E1301)))))</f>
        <v/>
      </c>
      <c r="L1302" s="16"/>
    </row>
    <row r="1303" customFormat="false" ht="12.8" hidden="false" customHeight="false" outlineLevel="0" collapsed="false">
      <c r="E1303" s="10" t="str">
        <f aca="false">IF(D1303="?OLD","!!!","")</f>
        <v/>
      </c>
      <c r="F1303" s="11" t="str">
        <f aca="false">IF(OR(E1303="",E1303="!!!"),"",IF(NOT(ISNA(VLOOKUP(E1303,E$1:E1302,1,FALSE()))),"OLD",IF(AND(E1303&lt;&gt;"",E1303&lt;&gt;"!!!"),"NEW","")))</f>
        <v/>
      </c>
      <c r="G1303" s="12" t="str">
        <f aca="false">IF(OR(E1303="",E1303="!!!"),"",IF(OR(J1303=0,AND(J1303=1,K1303=1),AND(J1303=1,I1303="SBJ"),AND(J1303=1,I1303=0)),"?IN_FOCUS",IF(J1303&lt;=2,"?ACTIVATED",IF(J1303&lt;&gt;"","?FAMILIAR",IF(F1303="NEW",IF(ISNA(VLOOKUP(E1303,#REF!,1,FALSE())),"?TYPE_IDENTIFIABLE","?REFERENTIAL"),"_")))))</f>
        <v/>
      </c>
      <c r="H1303" s="13" t="str">
        <f aca="false">IF(J1303&lt;&gt;1,"",IF(I1303="SBJ","CB","?"))</f>
        <v/>
      </c>
      <c r="I1303" s="14" t="str">
        <f aca="false">IF(OR(E1303="",E1303="!!!",F1303="NEW"),"",INDEX(B$2:B1302,-1+SUMPRODUCT(MAX(ROW(E$2:E1302)*(E1303=E$2:E1302)))))</f>
        <v/>
      </c>
      <c r="J1303" s="15" t="str">
        <f aca="true">IF(OR(E1303="",E1303="!!!",F1303="NEW"),"",COUNTBLANK(OFFSET(A$1,,,SUMPRODUCT(MAX(ROW(E$2:E1303)*(E1303=E$2:E1303)))))-COUNTBLANK(OFFSET(A$1,,,SUMPRODUCT(MAX(ROW(E$1:E1302)*(E1303=E$1:E1302))))))</f>
        <v/>
      </c>
      <c r="K1303" s="15" t="str">
        <f aca="false">IF(OR(E1303="",E1303="!!!",F1303="NEW"),"",INDEX(J$1:J1302,SUMPRODUCT(MAX(ROW(E$1:E1302)*(E1303=E$1:E1302)))))</f>
        <v/>
      </c>
      <c r="L1303" s="16"/>
    </row>
    <row r="1304" customFormat="false" ht="12.8" hidden="false" customHeight="false" outlineLevel="0" collapsed="false">
      <c r="A1304" s="0" t="s">
        <v>665</v>
      </c>
      <c r="E1304" s="10" t="str">
        <f aca="false">IF(D1304="?OLD","!!!","")</f>
        <v/>
      </c>
      <c r="F1304" s="11" t="str">
        <f aca="false">IF(OR(E1304="",E1304="!!!"),"",IF(NOT(ISNA(VLOOKUP(E1304,E$1:E1303,1,FALSE()))),"OLD",IF(AND(E1304&lt;&gt;"",E1304&lt;&gt;"!!!"),"NEW","")))</f>
        <v/>
      </c>
      <c r="G1304" s="12" t="str">
        <f aca="false">IF(OR(E1304="",E1304="!!!"),"",IF(OR(J1304=0,AND(J1304=1,K1304=1),AND(J1304=1,I1304="SBJ"),AND(J1304=1,I1304=0)),"?IN_FOCUS",IF(J1304&lt;=2,"?ACTIVATED",IF(J1304&lt;&gt;"","?FAMILIAR",IF(F1304="NEW",IF(ISNA(VLOOKUP(E1304,#REF!,1,FALSE())),"?TYPE_IDENTIFIABLE","?REFERENTIAL"),"_")))))</f>
        <v/>
      </c>
      <c r="H1304" s="13" t="str">
        <f aca="false">IF(J1304&lt;&gt;1,"",IF(I1304="SBJ","CB","?"))</f>
        <v/>
      </c>
      <c r="I1304" s="14" t="str">
        <f aca="false">IF(OR(E1304="",E1304="!!!",F1304="NEW"),"",INDEX(B$2:B1303,-1+SUMPRODUCT(MAX(ROW(E$2:E1303)*(E1304=E$2:E1303)))))</f>
        <v/>
      </c>
      <c r="J1304" s="15" t="str">
        <f aca="true">IF(OR(E1304="",E1304="!!!",F1304="NEW"),"",COUNTBLANK(OFFSET(A$1,,,SUMPRODUCT(MAX(ROW(E$2:E1304)*(E1304=E$2:E1304)))))-COUNTBLANK(OFFSET(A$1,,,SUMPRODUCT(MAX(ROW(E$1:E1303)*(E1304=E$1:E1303))))))</f>
        <v/>
      </c>
      <c r="K1304" s="15" t="str">
        <f aca="false">IF(OR(E1304="",E1304="!!!",F1304="NEW"),"",INDEX(J$1:J1303,SUMPRODUCT(MAX(ROW(E$1:E1303)*(E1304=E$1:E1303)))))</f>
        <v/>
      </c>
      <c r="L1304" s="16"/>
    </row>
    <row r="1305" customFormat="false" ht="12.8" hidden="false" customHeight="false" outlineLevel="0" collapsed="false">
      <c r="A1305" s="0" t="s">
        <v>666</v>
      </c>
      <c r="B1305" s="0" t="s">
        <v>34</v>
      </c>
      <c r="C1305" s="0" t="s">
        <v>31</v>
      </c>
      <c r="E1305" s="17" t="s">
        <v>666</v>
      </c>
      <c r="F1305" s="11" t="str">
        <f aca="false">IF(OR(E1305="",E1305="!!!"),"",IF(NOT(ISNA(VLOOKUP(E1305,E$1:E1304,1,FALSE()))),"OLD",IF(AND(E1305&lt;&gt;"",E1305&lt;&gt;"!!!"),"NEW","")))</f>
        <v>NEW</v>
      </c>
      <c r="G1305" s="12" t="s">
        <v>67</v>
      </c>
      <c r="H1305" s="13" t="str">
        <f aca="false">IF(J1305&lt;&gt;1,"",IF(I1305="SBJ","CB","?"))</f>
        <v/>
      </c>
      <c r="I1305" s="14" t="str">
        <f aca="false">IF(OR(E1305="",E1305="!!!",F1305="NEW"),"",INDEX(B$2:B1304,-1+SUMPRODUCT(MAX(ROW(E$2:E1304)*(E1305=E$2:E1304)))))</f>
        <v/>
      </c>
      <c r="J1305" s="15" t="str">
        <f aca="true">IF(OR(E1305="",E1305="!!!",F1305="NEW"),"",COUNTBLANK(OFFSET(A$1,,,SUMPRODUCT(MAX(ROW(E$2:E1305)*(E1305=E$2:E1305)))))-COUNTBLANK(OFFSET(A$1,,,SUMPRODUCT(MAX(ROW(E$1:E1304)*(E1305=E$1:E1304))))))</f>
        <v/>
      </c>
      <c r="K1305" s="15" t="str">
        <f aca="false">IF(OR(E1305="",E1305="!!!",F1305="NEW"),"",INDEX(J$1:J1304,SUMPRODUCT(MAX(ROW(E$1:E1304)*(E1305=E$1:E1304)))))</f>
        <v/>
      </c>
      <c r="L1305" s="16"/>
    </row>
    <row r="1306" customFormat="false" ht="12.8" hidden="false" customHeight="false" outlineLevel="0" collapsed="false">
      <c r="A1306" s="0" t="s">
        <v>37</v>
      </c>
      <c r="E1306" s="10" t="str">
        <f aca="false">IF(D1306="?OLD","!!!","")</f>
        <v/>
      </c>
      <c r="F1306" s="11" t="str">
        <f aca="false">IF(OR(E1306="",E1306="!!!"),"",IF(NOT(ISNA(VLOOKUP(E1306,E$1:E1305,1,FALSE()))),"OLD",IF(AND(E1306&lt;&gt;"",E1306&lt;&gt;"!!!"),"NEW","")))</f>
        <v/>
      </c>
      <c r="G1306" s="12" t="str">
        <f aca="false">IF(OR(E1306="",E1306="!!!"),"",IF(OR(J1306=0,AND(J1306=1,K1306=1),AND(J1306=1,I1306="SBJ"),AND(J1306=1,I1306=0)),"?IN_FOCUS",IF(J1306&lt;=2,"?ACTIVATED",IF(J1306&lt;&gt;"","?FAMILIAR",IF(F1306="NEW",IF(ISNA(VLOOKUP(E1306,#REF!,1,FALSE())),"?TYPE_IDENTIFIABLE","?REFERENTIAL"),"_")))))</f>
        <v/>
      </c>
      <c r="H1306" s="13" t="str">
        <f aca="false">IF(J1306&lt;&gt;1,"",IF(I1306="SBJ","CB","?"))</f>
        <v/>
      </c>
      <c r="I1306" s="14" t="str">
        <f aca="false">IF(OR(E1306="",E1306="!!!",F1306="NEW"),"",INDEX(B$2:B1305,-1+SUMPRODUCT(MAX(ROW(E$2:E1305)*(E1306=E$2:E1305)))))</f>
        <v/>
      </c>
      <c r="J1306" s="15" t="str">
        <f aca="true">IF(OR(E1306="",E1306="!!!",F1306="NEW"),"",COUNTBLANK(OFFSET(A$1,,,SUMPRODUCT(MAX(ROW(E$2:E1306)*(E1306=E$2:E1306)))))-COUNTBLANK(OFFSET(A$1,,,SUMPRODUCT(MAX(ROW(E$1:E1305)*(E1306=E$1:E1305))))))</f>
        <v/>
      </c>
      <c r="K1306" s="15" t="str">
        <f aca="false">IF(OR(E1306="",E1306="!!!",F1306="NEW"),"",INDEX(J$1:J1305,SUMPRODUCT(MAX(ROW(E$1:E1305)*(E1306=E$1:E1305)))))</f>
        <v/>
      </c>
      <c r="L1306" s="16"/>
    </row>
    <row r="1307" customFormat="false" ht="12.8" hidden="false" customHeight="false" outlineLevel="0" collapsed="false">
      <c r="A1307" s="0" t="s">
        <v>434</v>
      </c>
      <c r="E1307" s="10" t="str">
        <f aca="false">IF(D1307="?OLD","!!!","")</f>
        <v/>
      </c>
      <c r="F1307" s="11" t="str">
        <f aca="false">IF(OR(E1307="",E1307="!!!"),"",IF(NOT(ISNA(VLOOKUP(E1307,E$1:E1306,1,FALSE()))),"OLD",IF(AND(E1307&lt;&gt;"",E1307&lt;&gt;"!!!"),"NEW","")))</f>
        <v/>
      </c>
      <c r="G1307" s="12" t="str">
        <f aca="false">IF(OR(E1307="",E1307="!!!"),"",IF(OR(J1307=0,AND(J1307=1,K1307=1),AND(J1307=1,I1307="SBJ"),AND(J1307=1,I1307=0)),"?IN_FOCUS",IF(J1307&lt;=2,"?ACTIVATED",IF(J1307&lt;&gt;"","?FAMILIAR",IF(F1307="NEW",IF(ISNA(VLOOKUP(E1307,#REF!,1,FALSE())),"?TYPE_IDENTIFIABLE","?REFERENTIAL"),"_")))))</f>
        <v/>
      </c>
      <c r="H1307" s="13" t="str">
        <f aca="false">IF(J1307&lt;&gt;1,"",IF(I1307="SBJ","CB","?"))</f>
        <v/>
      </c>
      <c r="I1307" s="14" t="str">
        <f aca="false">IF(OR(E1307="",E1307="!!!",F1307="NEW"),"",INDEX(B$2:B1306,-1+SUMPRODUCT(MAX(ROW(E$2:E1306)*(E1307=E$2:E1306)))))</f>
        <v/>
      </c>
      <c r="J1307" s="15" t="str">
        <f aca="true">IF(OR(E1307="",E1307="!!!",F1307="NEW"),"",COUNTBLANK(OFFSET(A$1,,,SUMPRODUCT(MAX(ROW(E$2:E1307)*(E1307=E$2:E1307)))))-COUNTBLANK(OFFSET(A$1,,,SUMPRODUCT(MAX(ROW(E$1:E1306)*(E1307=E$1:E1306))))))</f>
        <v/>
      </c>
      <c r="K1307" s="15" t="str">
        <f aca="false">IF(OR(E1307="",E1307="!!!",F1307="NEW"),"",INDEX(J$1:J1306,SUMPRODUCT(MAX(ROW(E$1:E1306)*(E1307=E$1:E1306)))))</f>
        <v/>
      </c>
      <c r="L1307" s="16"/>
    </row>
    <row r="1308" customFormat="false" ht="12.8" hidden="false" customHeight="false" outlineLevel="0" collapsed="false">
      <c r="A1308" s="0" t="s">
        <v>416</v>
      </c>
      <c r="B1308" s="0" t="s">
        <v>14</v>
      </c>
      <c r="C1308" s="0" t="s">
        <v>181</v>
      </c>
      <c r="E1308" s="10" t="str">
        <f aca="false">IF(D1308="?OLD","!!!","")</f>
        <v/>
      </c>
      <c r="F1308" s="11" t="str">
        <f aca="false">IF(OR(E1308="",E1308="!!!"),"",IF(NOT(ISNA(VLOOKUP(E1308,E$1:E1307,1,FALSE()))),"OLD",IF(AND(E1308&lt;&gt;"",E1308&lt;&gt;"!!!"),"NEW","")))</f>
        <v/>
      </c>
      <c r="G1308" s="12" t="str">
        <f aca="false">IF(OR(E1308="",E1308="!!!"),"",IF(OR(J1308=0,AND(J1308=1,K1308=1),AND(J1308=1,I1308="SBJ"),AND(J1308=1,I1308=0)),"?IN_FOCUS",IF(J1308&lt;=2,"?ACTIVATED",IF(J1308&lt;&gt;"","?FAMILIAR",IF(F1308="NEW",IF(ISNA(VLOOKUP(E1308,#REF!,1,FALSE())),"?TYPE_IDENTIFIABLE","?REFERENTIAL"),"_")))))</f>
        <v/>
      </c>
      <c r="H1308" s="13" t="str">
        <f aca="false">IF(J1308&lt;&gt;1,"",IF(I1308="SBJ","CB","?"))</f>
        <v/>
      </c>
      <c r="I1308" s="14" t="str">
        <f aca="false">IF(OR(E1308="",E1308="!!!",F1308="NEW"),"",INDEX(B$2:B1307,-1+SUMPRODUCT(MAX(ROW(E$2:E1307)*(E1308=E$2:E1307)))))</f>
        <v/>
      </c>
      <c r="J1308" s="15" t="str">
        <f aca="true">IF(OR(E1308="",E1308="!!!",F1308="NEW"),"",COUNTBLANK(OFFSET(A$1,,,SUMPRODUCT(MAX(ROW(E$2:E1308)*(E1308=E$2:E1308)))))-COUNTBLANK(OFFSET(A$1,,,SUMPRODUCT(MAX(ROW(E$1:E1307)*(E1308=E$1:E1307))))))</f>
        <v/>
      </c>
      <c r="K1308" s="15" t="str">
        <f aca="false">IF(OR(E1308="",E1308="!!!",F1308="NEW"),"",INDEX(J$1:J1307,SUMPRODUCT(MAX(ROW(E$1:E1307)*(E1308=E$1:E1307)))))</f>
        <v/>
      </c>
      <c r="L1308" s="16"/>
    </row>
    <row r="1309" customFormat="false" ht="12.8" hidden="false" customHeight="false" outlineLevel="0" collapsed="false">
      <c r="A1309" s="0" t="s">
        <v>76</v>
      </c>
      <c r="E1309" s="10" t="str">
        <f aca="false">IF(D1309="?OLD","!!!","")</f>
        <v/>
      </c>
      <c r="F1309" s="11" t="str">
        <f aca="false">IF(OR(E1309="",E1309="!!!"),"",IF(NOT(ISNA(VLOOKUP(E1309,E$1:E1308,1,FALSE()))),"OLD",IF(AND(E1309&lt;&gt;"",E1309&lt;&gt;"!!!"),"NEW","")))</f>
        <v/>
      </c>
      <c r="G1309" s="12" t="str">
        <f aca="false">IF(OR(E1309="",E1309="!!!"),"",IF(OR(J1309=0,AND(J1309=1,K1309=1),AND(J1309=1,I1309="SBJ"),AND(J1309=1,I1309=0)),"?IN_FOCUS",IF(J1309&lt;=2,"?ACTIVATED",IF(J1309&lt;&gt;"","?FAMILIAR",IF(F1309="NEW",IF(ISNA(VLOOKUP(E1309,#REF!,1,FALSE())),"?TYPE_IDENTIFIABLE","?REFERENTIAL"),"_")))))</f>
        <v/>
      </c>
      <c r="H1309" s="13" t="str">
        <f aca="false">IF(J1309&lt;&gt;1,"",IF(I1309="SBJ","CB","?"))</f>
        <v/>
      </c>
      <c r="I1309" s="14" t="str">
        <f aca="false">IF(OR(E1309="",E1309="!!!",F1309="NEW"),"",INDEX(B$2:B1308,-1+SUMPRODUCT(MAX(ROW(E$2:E1308)*(E1309=E$2:E1308)))))</f>
        <v/>
      </c>
      <c r="J1309" s="15" t="str">
        <f aca="true">IF(OR(E1309="",E1309="!!!",F1309="NEW"),"",COUNTBLANK(OFFSET(A$1,,,SUMPRODUCT(MAX(ROW(E$2:E1309)*(E1309=E$2:E1309)))))-COUNTBLANK(OFFSET(A$1,,,SUMPRODUCT(MAX(ROW(E$1:E1308)*(E1309=E$1:E1308))))))</f>
        <v/>
      </c>
      <c r="K1309" s="15" t="str">
        <f aca="false">IF(OR(E1309="",E1309="!!!",F1309="NEW"),"",INDEX(J$1:J1308,SUMPRODUCT(MAX(ROW(E$1:E1308)*(E1309=E$1:E1308)))))</f>
        <v/>
      </c>
      <c r="L1309" s="16"/>
    </row>
    <row r="1310" customFormat="false" ht="12.8" hidden="false" customHeight="false" outlineLevel="0" collapsed="false">
      <c r="E1310" s="10" t="str">
        <f aca="false">IF(D1310="?OLD","!!!","")</f>
        <v/>
      </c>
      <c r="F1310" s="11" t="str">
        <f aca="false">IF(OR(E1310="",E1310="!!!"),"",IF(NOT(ISNA(VLOOKUP(E1310,E$1:E1309,1,FALSE()))),"OLD",IF(AND(E1310&lt;&gt;"",E1310&lt;&gt;"!!!"),"NEW","")))</f>
        <v/>
      </c>
      <c r="G1310" s="12" t="str">
        <f aca="false">IF(OR(E1310="",E1310="!!!"),"",IF(OR(J1310=0,AND(J1310=1,K1310=1),AND(J1310=1,I1310="SBJ"),AND(J1310=1,I1310=0)),"?IN_FOCUS",IF(J1310&lt;=2,"?ACTIVATED",IF(J1310&lt;&gt;"","?FAMILIAR",IF(F1310="NEW",IF(ISNA(VLOOKUP(E1310,#REF!,1,FALSE())),"?TYPE_IDENTIFIABLE","?REFERENTIAL"),"_")))))</f>
        <v/>
      </c>
      <c r="H1310" s="13" t="str">
        <f aca="false">IF(J1310&lt;&gt;1,"",IF(I1310="SBJ","CB","?"))</f>
        <v/>
      </c>
      <c r="I1310" s="14" t="str">
        <f aca="false">IF(OR(E1310="",E1310="!!!",F1310="NEW"),"",INDEX(B$2:B1309,-1+SUMPRODUCT(MAX(ROW(E$2:E1309)*(E1310=E$2:E1309)))))</f>
        <v/>
      </c>
      <c r="J1310" s="15" t="str">
        <f aca="true">IF(OR(E1310="",E1310="!!!",F1310="NEW"),"",COUNTBLANK(OFFSET(A$1,,,SUMPRODUCT(MAX(ROW(E$2:E1310)*(E1310=E$2:E1310)))))-COUNTBLANK(OFFSET(A$1,,,SUMPRODUCT(MAX(ROW(E$1:E1309)*(E1310=E$1:E1309))))))</f>
        <v/>
      </c>
      <c r="K1310" s="15" t="str">
        <f aca="false">IF(OR(E1310="",E1310="!!!",F1310="NEW"),"",INDEX(J$1:J1309,SUMPRODUCT(MAX(ROW(E$1:E1309)*(E1310=E$1:E1309)))))</f>
        <v/>
      </c>
      <c r="L1310" s="16"/>
    </row>
    <row r="1311" customFormat="false" ht="12.8" hidden="false" customHeight="false" outlineLevel="0" collapsed="false">
      <c r="A1311" s="0" t="s">
        <v>667</v>
      </c>
      <c r="E1311" s="10" t="str">
        <f aca="false">IF(D1311="?OLD","!!!","")</f>
        <v/>
      </c>
      <c r="F1311" s="11" t="str">
        <f aca="false">IF(OR(E1311="",E1311="!!!"),"",IF(NOT(ISNA(VLOOKUP(E1311,E$1:E1310,1,FALSE()))),"OLD",IF(AND(E1311&lt;&gt;"",E1311&lt;&gt;"!!!"),"NEW","")))</f>
        <v/>
      </c>
      <c r="G1311" s="12" t="str">
        <f aca="false">IF(OR(E1311="",E1311="!!!"),"",IF(OR(J1311=0,AND(J1311=1,K1311=1),AND(J1311=1,I1311="SBJ"),AND(J1311=1,I1311=0)),"?IN_FOCUS",IF(J1311&lt;=2,"?ACTIVATED",IF(J1311&lt;&gt;"","?FAMILIAR",IF(F1311="NEW",IF(ISNA(VLOOKUP(E1311,#REF!,1,FALSE())),"?TYPE_IDENTIFIABLE","?REFERENTIAL"),"_")))))</f>
        <v/>
      </c>
      <c r="H1311" s="13" t="str">
        <f aca="false">IF(J1311&lt;&gt;1,"",IF(I1311="SBJ","CB","?"))</f>
        <v/>
      </c>
      <c r="I1311" s="14" t="str">
        <f aca="false">IF(OR(E1311="",E1311="!!!",F1311="NEW"),"",INDEX(B$2:B1310,-1+SUMPRODUCT(MAX(ROW(E$2:E1310)*(E1311=E$2:E1310)))))</f>
        <v/>
      </c>
      <c r="J1311" s="15" t="str">
        <f aca="true">IF(OR(E1311="",E1311="!!!",F1311="NEW"),"",COUNTBLANK(OFFSET(A$1,,,SUMPRODUCT(MAX(ROW(E$2:E1311)*(E1311=E$2:E1311)))))-COUNTBLANK(OFFSET(A$1,,,SUMPRODUCT(MAX(ROW(E$1:E1310)*(E1311=E$1:E1310))))))</f>
        <v/>
      </c>
      <c r="K1311" s="15" t="str">
        <f aca="false">IF(OR(E1311="",E1311="!!!",F1311="NEW"),"",INDEX(J$1:J1310,SUMPRODUCT(MAX(ROW(E$1:E1310)*(E1311=E$1:E1310)))))</f>
        <v/>
      </c>
      <c r="L1311" s="16"/>
    </row>
    <row r="1312" customFormat="false" ht="12.8" hidden="false" customHeight="false" outlineLevel="0" collapsed="false">
      <c r="A1312" s="0" t="s">
        <v>666</v>
      </c>
      <c r="B1312" s="0" t="s">
        <v>34</v>
      </c>
      <c r="C1312" s="0" t="s">
        <v>31</v>
      </c>
      <c r="E1312" s="10" t="s">
        <v>666</v>
      </c>
      <c r="F1312" s="11" t="str">
        <f aca="false">IF(OR(E1312="",E1312="!!!"),"",IF(NOT(ISNA(VLOOKUP(E1312,E$1:E1311,1,FALSE()))),"OLD",IF(AND(E1312&lt;&gt;"",E1312&lt;&gt;"!!!"),"NEW","")))</f>
        <v>OLD</v>
      </c>
      <c r="G1312" s="12" t="s">
        <v>87</v>
      </c>
      <c r="H1312" s="13" t="str">
        <f aca="false">IF(J1312&lt;&gt;1,"",IF(I1312="SBJ","CB","?"))</f>
        <v>CB</v>
      </c>
      <c r="I1312" s="14" t="str">
        <f aca="false">IF(OR(E1312="",E1312="!!!",F1312="NEW"),"",INDEX(B$2:B1311,-1+SUMPRODUCT(MAX(ROW(E$2:E1311)*(E1312=E$2:E1311)))))</f>
        <v>SBJ</v>
      </c>
      <c r="J1312" s="15" t="n">
        <f aca="true">IF(OR(E1312="",E1312="!!!",F1312="NEW"),"",COUNTBLANK(OFFSET(A$1,,,SUMPRODUCT(MAX(ROW(E$2:E1312)*(E1312=E$2:E1312)))))-COUNTBLANK(OFFSET(A$1,,,SUMPRODUCT(MAX(ROW(E$1:E1311)*(E1312=E$1:E1311))))))</f>
        <v>1</v>
      </c>
      <c r="K1312" s="15" t="str">
        <f aca="false">IF(OR(E1312="",E1312="!!!",F1312="NEW"),"",INDEX(J$1:J1311,SUMPRODUCT(MAX(ROW(E$1:E1311)*(E1312=E$1:E1311)))))</f>
        <v/>
      </c>
      <c r="L1312" s="16"/>
    </row>
    <row r="1313" customFormat="false" ht="12.8" hidden="false" customHeight="false" outlineLevel="0" collapsed="false">
      <c r="A1313" s="0" t="s">
        <v>37</v>
      </c>
      <c r="E1313" s="10" t="str">
        <f aca="false">IF(D1313="?OLD","!!!","")</f>
        <v/>
      </c>
      <c r="F1313" s="11" t="str">
        <f aca="false">IF(OR(E1313="",E1313="!!!"),"",IF(NOT(ISNA(VLOOKUP(E1313,E$1:E1312,1,FALSE()))),"OLD",IF(AND(E1313&lt;&gt;"",E1313&lt;&gt;"!!!"),"NEW","")))</f>
        <v/>
      </c>
      <c r="G1313" s="12" t="str">
        <f aca="false">IF(OR(E1313="",E1313="!!!"),"",IF(OR(J1313=0,AND(J1313=1,K1313=1),AND(J1313=1,I1313="SBJ"),AND(J1313=1,I1313=0)),"?IN_FOCUS",IF(J1313&lt;=2,"?ACTIVATED",IF(J1313&lt;&gt;"","?FAMILIAR",IF(F1313="NEW",IF(ISNA(VLOOKUP(E1313,#REF!,1,FALSE())),"?TYPE_IDENTIFIABLE","?REFERENTIAL"),"_")))))</f>
        <v/>
      </c>
      <c r="H1313" s="13" t="str">
        <f aca="false">IF(J1313&lt;&gt;1,"",IF(I1313="SBJ","CB","?"))</f>
        <v/>
      </c>
      <c r="I1313" s="14" t="str">
        <f aca="false">IF(OR(E1313="",E1313="!!!",F1313="NEW"),"",INDEX(B$2:B1312,-1+SUMPRODUCT(MAX(ROW(E$2:E1312)*(E1313=E$2:E1312)))))</f>
        <v/>
      </c>
      <c r="J1313" s="15" t="str">
        <f aca="true">IF(OR(E1313="",E1313="!!!",F1313="NEW"),"",COUNTBLANK(OFFSET(A$1,,,SUMPRODUCT(MAX(ROW(E$2:E1313)*(E1313=E$2:E1313)))))-COUNTBLANK(OFFSET(A$1,,,SUMPRODUCT(MAX(ROW(E$1:E1312)*(E1313=E$1:E1312))))))</f>
        <v/>
      </c>
      <c r="K1313" s="15" t="str">
        <f aca="false">IF(OR(E1313="",E1313="!!!",F1313="NEW"),"",INDEX(J$1:J1312,SUMPRODUCT(MAX(ROW(E$1:E1312)*(E1313=E$1:E1312)))))</f>
        <v/>
      </c>
      <c r="L1313" s="16"/>
    </row>
    <row r="1314" customFormat="false" ht="12.8" hidden="false" customHeight="false" outlineLevel="0" collapsed="false">
      <c r="A1314" s="0" t="s">
        <v>62</v>
      </c>
      <c r="E1314" s="10" t="str">
        <f aca="false">IF(D1314="?OLD","!!!","")</f>
        <v/>
      </c>
      <c r="F1314" s="11" t="str">
        <f aca="false">IF(OR(E1314="",E1314="!!!"),"",IF(NOT(ISNA(VLOOKUP(E1314,E$1:E1313,1,FALSE()))),"OLD",IF(AND(E1314&lt;&gt;"",E1314&lt;&gt;"!!!"),"NEW","")))</f>
        <v/>
      </c>
      <c r="G1314" s="12" t="str">
        <f aca="false">IF(OR(E1314="",E1314="!!!"),"",IF(OR(J1314=0,AND(J1314=1,K1314=1),AND(J1314=1,I1314="SBJ"),AND(J1314=1,I1314=0)),"?IN_FOCUS",IF(J1314&lt;=2,"?ACTIVATED",IF(J1314&lt;&gt;"","?FAMILIAR",IF(F1314="NEW",IF(ISNA(VLOOKUP(E1314,#REF!,1,FALSE())),"?TYPE_IDENTIFIABLE","?REFERENTIAL"),"_")))))</f>
        <v/>
      </c>
      <c r="H1314" s="13" t="str">
        <f aca="false">IF(J1314&lt;&gt;1,"",IF(I1314="SBJ","CB","?"))</f>
        <v/>
      </c>
      <c r="I1314" s="14" t="str">
        <f aca="false">IF(OR(E1314="",E1314="!!!",F1314="NEW"),"",INDEX(B$2:B1313,-1+SUMPRODUCT(MAX(ROW(E$2:E1313)*(E1314=E$2:E1313)))))</f>
        <v/>
      </c>
      <c r="J1314" s="15" t="str">
        <f aca="true">IF(OR(E1314="",E1314="!!!",F1314="NEW"),"",COUNTBLANK(OFFSET(A$1,,,SUMPRODUCT(MAX(ROW(E$2:E1314)*(E1314=E$2:E1314)))))-COUNTBLANK(OFFSET(A$1,,,SUMPRODUCT(MAX(ROW(E$1:E1313)*(E1314=E$1:E1313))))))</f>
        <v/>
      </c>
      <c r="K1314" s="15" t="str">
        <f aca="false">IF(OR(E1314="",E1314="!!!",F1314="NEW"),"",INDEX(J$1:J1313,SUMPRODUCT(MAX(ROW(E$1:E1313)*(E1314=E$1:E1313)))))</f>
        <v/>
      </c>
      <c r="L1314" s="16"/>
    </row>
    <row r="1315" customFormat="false" ht="12.8" hidden="false" customHeight="false" outlineLevel="0" collapsed="false">
      <c r="A1315" s="0" t="s">
        <v>142</v>
      </c>
      <c r="E1315" s="10" t="str">
        <f aca="false">IF(D1315="?OLD","!!!","")</f>
        <v/>
      </c>
      <c r="F1315" s="11" t="str">
        <f aca="false">IF(OR(E1315="",E1315="!!!"),"",IF(NOT(ISNA(VLOOKUP(E1315,E$1:E1314,1,FALSE()))),"OLD",IF(AND(E1315&lt;&gt;"",E1315&lt;&gt;"!!!"),"NEW","")))</f>
        <v/>
      </c>
      <c r="G1315" s="12" t="str">
        <f aca="false">IF(OR(E1315="",E1315="!!!"),"",IF(OR(J1315=0,AND(J1315=1,K1315=1),AND(J1315=1,I1315="SBJ"),AND(J1315=1,I1315=0)),"?IN_FOCUS",IF(J1315&lt;=2,"?ACTIVATED",IF(J1315&lt;&gt;"","?FAMILIAR",IF(F1315="NEW",IF(ISNA(VLOOKUP(E1315,#REF!,1,FALSE())),"?TYPE_IDENTIFIABLE","?REFERENTIAL"),"_")))))</f>
        <v/>
      </c>
      <c r="H1315" s="13" t="str">
        <f aca="false">IF(J1315&lt;&gt;1,"",IF(I1315="SBJ","CB","?"))</f>
        <v/>
      </c>
      <c r="I1315" s="14" t="str">
        <f aca="false">IF(OR(E1315="",E1315="!!!",F1315="NEW"),"",INDEX(B$2:B1314,-1+SUMPRODUCT(MAX(ROW(E$2:E1314)*(E1315=E$2:E1314)))))</f>
        <v/>
      </c>
      <c r="J1315" s="15" t="str">
        <f aca="true">IF(OR(E1315="",E1315="!!!",F1315="NEW"),"",COUNTBLANK(OFFSET(A$1,,,SUMPRODUCT(MAX(ROW(E$2:E1315)*(E1315=E$2:E1315)))))-COUNTBLANK(OFFSET(A$1,,,SUMPRODUCT(MAX(ROW(E$1:E1314)*(E1315=E$1:E1314))))))</f>
        <v/>
      </c>
      <c r="K1315" s="15" t="str">
        <f aca="false">IF(OR(E1315="",E1315="!!!",F1315="NEW"),"",INDEX(J$1:J1314,SUMPRODUCT(MAX(ROW(E$1:E1314)*(E1315=E$1:E1314)))))</f>
        <v/>
      </c>
      <c r="L1315" s="16"/>
    </row>
    <row r="1316" customFormat="false" ht="12.8" hidden="false" customHeight="false" outlineLevel="0" collapsed="false">
      <c r="A1316" s="0" t="s">
        <v>637</v>
      </c>
      <c r="B1316" s="0" t="s">
        <v>14</v>
      </c>
      <c r="C1316" s="0" t="s">
        <v>27</v>
      </c>
      <c r="D1316" s="0" t="s">
        <v>20</v>
      </c>
      <c r="E1316" s="10"/>
      <c r="F1316" s="11" t="s">
        <v>86</v>
      </c>
      <c r="G1316" s="12" t="str">
        <f aca="false">IF(OR(E1316="",E1316="!!!"),"",IF(OR(J1316=0,AND(J1316=1,K1316=1),AND(J1316=1,I1316="SBJ"),AND(J1316=1,I1316=0)),"?IN_FOCUS",IF(J1316&lt;=2,"?ACTIVATED",IF(J1316&lt;&gt;"","?FAMILIAR",IF(F1316="NEW",IF(ISNA(VLOOKUP(E1316,#REF!,1,FALSE())),"?TYPE_IDENTIFIABLE","?REFERENTIAL"),"_")))))</f>
        <v/>
      </c>
      <c r="H1316" s="13" t="str">
        <f aca="false">IF(J1316&lt;&gt;1,"",IF(I1316="SBJ","CB","?"))</f>
        <v/>
      </c>
      <c r="I1316" s="14" t="str">
        <f aca="false">IF(OR(E1316="",E1316="!!!",F1316="NEW"),"",INDEX(B$2:B1315,-1+SUMPRODUCT(MAX(ROW(E$2:E1315)*(E1316=E$2:E1315)))))</f>
        <v/>
      </c>
      <c r="J1316" s="15" t="str">
        <f aca="true">IF(OR(E1316="",E1316="!!!",F1316="NEW"),"",COUNTBLANK(OFFSET(A$1,,,SUMPRODUCT(MAX(ROW(E$2:E1316)*(E1316=E$2:E1316)))))-COUNTBLANK(OFFSET(A$1,,,SUMPRODUCT(MAX(ROW(E$1:E1315)*(E1316=E$1:E1315))))))</f>
        <v/>
      </c>
      <c r="K1316" s="15" t="str">
        <f aca="false">IF(OR(E1316="",E1316="!!!",F1316="NEW"),"",INDEX(J$1:J1315,SUMPRODUCT(MAX(ROW(E$1:E1315)*(E1316=E$1:E1315)))))</f>
        <v/>
      </c>
      <c r="L1316" s="16"/>
    </row>
    <row r="1317" customFormat="false" ht="12.8" hidden="false" customHeight="false" outlineLevel="0" collapsed="false">
      <c r="A1317" s="0" t="s">
        <v>29</v>
      </c>
      <c r="E1317" s="10" t="str">
        <f aca="false">IF(D1317="?OLD","!!!","")</f>
        <v/>
      </c>
      <c r="F1317" s="11" t="str">
        <f aca="false">IF(OR(E1317="",E1317="!!!"),"",IF(NOT(ISNA(VLOOKUP(E1317,E$1:E1316,1,FALSE()))),"OLD",IF(AND(E1317&lt;&gt;"",E1317&lt;&gt;"!!!"),"NEW","")))</f>
        <v/>
      </c>
      <c r="G1317" s="12" t="str">
        <f aca="false">IF(OR(E1317="",E1317="!!!"),"",IF(OR(J1317=0,AND(J1317=1,K1317=1),AND(J1317=1,I1317="SBJ"),AND(J1317=1,I1317=0)),"?IN_FOCUS",IF(J1317&lt;=2,"?ACTIVATED",IF(J1317&lt;&gt;"","?FAMILIAR",IF(F1317="NEW",IF(ISNA(VLOOKUP(E1317,#REF!,1,FALSE())),"?TYPE_IDENTIFIABLE","?REFERENTIAL"),"_")))))</f>
        <v/>
      </c>
      <c r="H1317" s="13" t="str">
        <f aca="false">IF(J1317&lt;&gt;1,"",IF(I1317="SBJ","CB","?"))</f>
        <v/>
      </c>
      <c r="I1317" s="14" t="str">
        <f aca="false">IF(OR(E1317="",E1317="!!!",F1317="NEW"),"",INDEX(B$2:B1316,-1+SUMPRODUCT(MAX(ROW(E$2:E1316)*(E1317=E$2:E1316)))))</f>
        <v/>
      </c>
      <c r="J1317" s="15" t="str">
        <f aca="true">IF(OR(E1317="",E1317="!!!",F1317="NEW"),"",COUNTBLANK(OFFSET(A$1,,,SUMPRODUCT(MAX(ROW(E$2:E1317)*(E1317=E$2:E1317)))))-COUNTBLANK(OFFSET(A$1,,,SUMPRODUCT(MAX(ROW(E$1:E1316)*(E1317=E$1:E1316))))))</f>
        <v/>
      </c>
      <c r="K1317" s="15" t="str">
        <f aca="false">IF(OR(E1317="",E1317="!!!",F1317="NEW"),"",INDEX(J$1:J1316,SUMPRODUCT(MAX(ROW(E$1:E1316)*(E1317=E$1:E1316)))))</f>
        <v/>
      </c>
      <c r="L1317" s="16"/>
    </row>
    <row r="1318" customFormat="false" ht="12.8" hidden="false" customHeight="false" outlineLevel="0" collapsed="false">
      <c r="A1318" s="0" t="s">
        <v>668</v>
      </c>
      <c r="E1318" s="10" t="str">
        <f aca="false">IF(D1318="?OLD","!!!","")</f>
        <v/>
      </c>
      <c r="F1318" s="11" t="str">
        <f aca="false">IF(OR(E1318="",E1318="!!!"),"",IF(NOT(ISNA(VLOOKUP(E1318,E$1:E1317,1,FALSE()))),"OLD",IF(AND(E1318&lt;&gt;"",E1318&lt;&gt;"!!!"),"NEW","")))</f>
        <v/>
      </c>
      <c r="G1318" s="12" t="str">
        <f aca="false">IF(OR(E1318="",E1318="!!!"),"",IF(OR(J1318=0,AND(J1318=1,K1318=1),AND(J1318=1,I1318="SBJ"),AND(J1318=1,I1318=0)),"?IN_FOCUS",IF(J1318&lt;=2,"?ACTIVATED",IF(J1318&lt;&gt;"","?FAMILIAR",IF(F1318="NEW",IF(ISNA(VLOOKUP(E1318,#REF!,1,FALSE())),"?TYPE_IDENTIFIABLE","?REFERENTIAL"),"_")))))</f>
        <v/>
      </c>
      <c r="H1318" s="13" t="str">
        <f aca="false">IF(J1318&lt;&gt;1,"",IF(I1318="SBJ","CB","?"))</f>
        <v/>
      </c>
      <c r="I1318" s="14" t="str">
        <f aca="false">IF(OR(E1318="",E1318="!!!",F1318="NEW"),"",INDEX(B$2:B1317,-1+SUMPRODUCT(MAX(ROW(E$2:E1317)*(E1318=E$2:E1317)))))</f>
        <v/>
      </c>
      <c r="J1318" s="15" t="str">
        <f aca="true">IF(OR(E1318="",E1318="!!!",F1318="NEW"),"",COUNTBLANK(OFFSET(A$1,,,SUMPRODUCT(MAX(ROW(E$2:E1318)*(E1318=E$2:E1318)))))-COUNTBLANK(OFFSET(A$1,,,SUMPRODUCT(MAX(ROW(E$1:E1317)*(E1318=E$1:E1317))))))</f>
        <v/>
      </c>
      <c r="K1318" s="15" t="str">
        <f aca="false">IF(OR(E1318="",E1318="!!!",F1318="NEW"),"",INDEX(J$1:J1317,SUMPRODUCT(MAX(ROW(E$1:E1317)*(E1318=E$1:E1317)))))</f>
        <v/>
      </c>
      <c r="L1318" s="16"/>
    </row>
    <row r="1319" customFormat="false" ht="12.8" hidden="false" customHeight="false" outlineLevel="0" collapsed="false">
      <c r="A1319" s="0" t="s">
        <v>641</v>
      </c>
      <c r="B1319" s="0" t="s">
        <v>14</v>
      </c>
      <c r="C1319" s="0" t="s">
        <v>31</v>
      </c>
      <c r="E1319" s="10" t="str">
        <f aca="false">IF(D1319="?OLD","!!!","")</f>
        <v/>
      </c>
      <c r="F1319" s="11" t="str">
        <f aca="false">IF(OR(E1319="",E1319="!!!"),"",IF(NOT(ISNA(VLOOKUP(E1319,E$1:E1318,1,FALSE()))),"OLD",IF(AND(E1319&lt;&gt;"",E1319&lt;&gt;"!!!"),"NEW","")))</f>
        <v/>
      </c>
      <c r="G1319" s="12" t="str">
        <f aca="false">IF(OR(E1319="",E1319="!!!"),"",IF(OR(J1319=0,AND(J1319=1,K1319=1),AND(J1319=1,I1319="SBJ"),AND(J1319=1,I1319=0)),"?IN_FOCUS",IF(J1319&lt;=2,"?ACTIVATED",IF(J1319&lt;&gt;"","?FAMILIAR",IF(F1319="NEW",IF(ISNA(VLOOKUP(E1319,#REF!,1,FALSE())),"?TYPE_IDENTIFIABLE","?REFERENTIAL"),"_")))))</f>
        <v/>
      </c>
      <c r="H1319" s="13" t="str">
        <f aca="false">IF(J1319&lt;&gt;1,"",IF(I1319="SBJ","CB","?"))</f>
        <v/>
      </c>
      <c r="I1319" s="14" t="str">
        <f aca="false">IF(OR(E1319="",E1319="!!!",F1319="NEW"),"",INDEX(B$2:B1318,-1+SUMPRODUCT(MAX(ROW(E$2:E1318)*(E1319=E$2:E1318)))))</f>
        <v/>
      </c>
      <c r="J1319" s="15" t="str">
        <f aca="true">IF(OR(E1319="",E1319="!!!",F1319="NEW"),"",COUNTBLANK(OFFSET(A$1,,,SUMPRODUCT(MAX(ROW(E$2:E1319)*(E1319=E$2:E1319)))))-COUNTBLANK(OFFSET(A$1,,,SUMPRODUCT(MAX(ROW(E$1:E1318)*(E1319=E$1:E1318))))))</f>
        <v/>
      </c>
      <c r="K1319" s="15" t="str">
        <f aca="false">IF(OR(E1319="",E1319="!!!",F1319="NEW"),"",INDEX(J$1:J1318,SUMPRODUCT(MAX(ROW(E$1:E1318)*(E1319=E$1:E1318)))))</f>
        <v/>
      </c>
      <c r="L1319" s="16"/>
    </row>
    <row r="1320" customFormat="false" ht="12.8" hidden="false" customHeight="false" outlineLevel="0" collapsed="false">
      <c r="A1320" s="0" t="s">
        <v>39</v>
      </c>
      <c r="E1320" s="10" t="str">
        <f aca="false">IF(D1320="?OLD","!!!","")</f>
        <v/>
      </c>
      <c r="F1320" s="11" t="str">
        <f aca="false">IF(OR(E1320="",E1320="!!!"),"",IF(NOT(ISNA(VLOOKUP(E1320,E$1:E1319,1,FALSE()))),"OLD",IF(AND(E1320&lt;&gt;"",E1320&lt;&gt;"!!!"),"NEW","")))</f>
        <v/>
      </c>
      <c r="G1320" s="12" t="str">
        <f aca="false">IF(OR(E1320="",E1320="!!!"),"",IF(OR(J1320=0,AND(J1320=1,K1320=1),AND(J1320=1,I1320="SBJ"),AND(J1320=1,I1320=0)),"?IN_FOCUS",IF(J1320&lt;=2,"?ACTIVATED",IF(J1320&lt;&gt;"","?FAMILIAR",IF(F1320="NEW",IF(ISNA(VLOOKUP(E1320,#REF!,1,FALSE())),"?TYPE_IDENTIFIABLE","?REFERENTIAL"),"_")))))</f>
        <v/>
      </c>
      <c r="H1320" s="13" t="str">
        <f aca="false">IF(J1320&lt;&gt;1,"",IF(I1320="SBJ","CB","?"))</f>
        <v/>
      </c>
      <c r="I1320" s="14" t="str">
        <f aca="false">IF(OR(E1320="",E1320="!!!",F1320="NEW"),"",INDEX(B$2:B1319,-1+SUMPRODUCT(MAX(ROW(E$2:E1319)*(E1320=E$2:E1319)))))</f>
        <v/>
      </c>
      <c r="J1320" s="15" t="str">
        <f aca="true">IF(OR(E1320="",E1320="!!!",F1320="NEW"),"",COUNTBLANK(OFFSET(A$1,,,SUMPRODUCT(MAX(ROW(E$2:E1320)*(E1320=E$2:E1320)))))-COUNTBLANK(OFFSET(A$1,,,SUMPRODUCT(MAX(ROW(E$1:E1319)*(E1320=E$1:E1319))))))</f>
        <v/>
      </c>
      <c r="K1320" s="15" t="str">
        <f aca="false">IF(OR(E1320="",E1320="!!!",F1320="NEW"),"",INDEX(J$1:J1319,SUMPRODUCT(MAX(ROW(E$1:E1319)*(E1320=E$1:E1319)))))</f>
        <v/>
      </c>
      <c r="L1320" s="16"/>
    </row>
    <row r="1321" customFormat="false" ht="12.8" hidden="false" customHeight="false" outlineLevel="0" collapsed="false">
      <c r="A1321" s="0" t="s">
        <v>669</v>
      </c>
      <c r="B1321" s="0" t="s">
        <v>75</v>
      </c>
      <c r="C1321" s="0" t="s">
        <v>19</v>
      </c>
      <c r="D1321" s="0" t="s">
        <v>20</v>
      </c>
      <c r="E1321" s="10" t="s">
        <v>670</v>
      </c>
      <c r="F1321" s="11" t="str">
        <f aca="false">IF(OR(E1321="",E1321="!!!"),"",IF(NOT(ISNA(VLOOKUP(E1321,E$1:E1320,1,FALSE()))),"OLD",IF(AND(E1321&lt;&gt;"",E1321&lt;&gt;"!!!"),"NEW","")))</f>
        <v>NEW</v>
      </c>
      <c r="G1321" s="12" t="s">
        <v>36</v>
      </c>
      <c r="H1321" s="13" t="str">
        <f aca="false">IF(J1321&lt;&gt;1,"",IF(I1321="SBJ","CB","?"))</f>
        <v/>
      </c>
      <c r="I1321" s="14" t="str">
        <f aca="false">IF(OR(E1321="",E1321="!!!",F1321="NEW"),"",INDEX(B$2:B1320,-1+SUMPRODUCT(MAX(ROW(E$2:E1320)*(E1321=E$2:E1320)))))</f>
        <v/>
      </c>
      <c r="J1321" s="15" t="str">
        <f aca="true">IF(OR(E1321="",E1321="!!!",F1321="NEW"),"",COUNTBLANK(OFFSET(A$1,,,SUMPRODUCT(MAX(ROW(E$2:E1321)*(E1321=E$2:E1321)))))-COUNTBLANK(OFFSET(A$1,,,SUMPRODUCT(MAX(ROW(E$1:E1320)*(E1321=E$1:E1320))))))</f>
        <v/>
      </c>
      <c r="K1321" s="15" t="str">
        <f aca="false">IF(OR(E1321="",E1321="!!!",F1321="NEW"),"",INDEX(J$1:J1320,SUMPRODUCT(MAX(ROW(E$1:E1320)*(E1321=E$1:E1320)))))</f>
        <v/>
      </c>
      <c r="L1321" s="16"/>
    </row>
    <row r="1322" customFormat="false" ht="12.8" hidden="false" customHeight="false" outlineLevel="0" collapsed="false">
      <c r="A1322" s="0" t="s">
        <v>44</v>
      </c>
      <c r="E1322" s="10" t="str">
        <f aca="false">IF(D1322="?OLD","!!!","")</f>
        <v/>
      </c>
      <c r="F1322" s="11" t="str">
        <f aca="false">IF(OR(E1322="",E1322="!!!"),"",IF(NOT(ISNA(VLOOKUP(E1322,E$1:E1321,1,FALSE()))),"OLD",IF(AND(E1322&lt;&gt;"",E1322&lt;&gt;"!!!"),"NEW","")))</f>
        <v/>
      </c>
      <c r="G1322" s="12" t="str">
        <f aca="false">IF(OR(E1322="",E1322="!!!"),"",IF(OR(J1322=0,AND(J1322=1,K1322=1),AND(J1322=1,I1322="SBJ"),AND(J1322=1,I1322=0)),"?IN_FOCUS",IF(J1322&lt;=2,"?ACTIVATED",IF(J1322&lt;&gt;"","?FAMILIAR",IF(F1322="NEW",IF(ISNA(VLOOKUP(E1322,#REF!,1,FALSE())),"?TYPE_IDENTIFIABLE","?REFERENTIAL"),"_")))))</f>
        <v/>
      </c>
      <c r="H1322" s="13" t="str">
        <f aca="false">IF(J1322&lt;&gt;1,"",IF(I1322="SBJ","CB","?"))</f>
        <v/>
      </c>
      <c r="I1322" s="14" t="str">
        <f aca="false">IF(OR(E1322="",E1322="!!!",F1322="NEW"),"",INDEX(B$2:B1321,-1+SUMPRODUCT(MAX(ROW(E$2:E1321)*(E1322=E$2:E1321)))))</f>
        <v/>
      </c>
      <c r="J1322" s="15" t="str">
        <f aca="true">IF(OR(E1322="",E1322="!!!",F1322="NEW"),"",COUNTBLANK(OFFSET(A$1,,,SUMPRODUCT(MAX(ROW(E$2:E1322)*(E1322=E$2:E1322)))))-COUNTBLANK(OFFSET(A$1,,,SUMPRODUCT(MAX(ROW(E$1:E1321)*(E1322=E$1:E1321))))))</f>
        <v/>
      </c>
      <c r="K1322" s="15" t="str">
        <f aca="false">IF(OR(E1322="",E1322="!!!",F1322="NEW"),"",INDEX(J$1:J1321,SUMPRODUCT(MAX(ROW(E$1:E1321)*(E1322=E$1:E1321)))))</f>
        <v/>
      </c>
      <c r="L1322" s="16"/>
    </row>
    <row r="1323" customFormat="false" ht="12.8" hidden="false" customHeight="false" outlineLevel="0" collapsed="false">
      <c r="A1323" s="0" t="s">
        <v>45</v>
      </c>
      <c r="E1323" s="10" t="str">
        <f aca="false">IF(D1323="?OLD","!!!","")</f>
        <v/>
      </c>
      <c r="F1323" s="11" t="str">
        <f aca="false">IF(OR(E1323="",E1323="!!!"),"",IF(NOT(ISNA(VLOOKUP(E1323,E$1:E1322,1,FALSE()))),"OLD",IF(AND(E1323&lt;&gt;"",E1323&lt;&gt;"!!!"),"NEW","")))</f>
        <v/>
      </c>
      <c r="G1323" s="12" t="str">
        <f aca="false">IF(OR(E1323="",E1323="!!!"),"",IF(OR(J1323=0,AND(J1323=1,K1323=1),AND(J1323=1,I1323="SBJ"),AND(J1323=1,I1323=0)),"?IN_FOCUS",IF(J1323&lt;=2,"?ACTIVATED",IF(J1323&lt;&gt;"","?FAMILIAR",IF(F1323="NEW",IF(ISNA(VLOOKUP(E1323,#REF!,1,FALSE())),"?TYPE_IDENTIFIABLE","?REFERENTIAL"),"_")))))</f>
        <v/>
      </c>
      <c r="H1323" s="13" t="str">
        <f aca="false">IF(J1323&lt;&gt;1,"",IF(I1323="SBJ","CB","?"))</f>
        <v/>
      </c>
      <c r="I1323" s="14" t="str">
        <f aca="false">IF(OR(E1323="",E1323="!!!",F1323="NEW"),"",INDEX(B$2:B1322,-1+SUMPRODUCT(MAX(ROW(E$2:E1322)*(E1323=E$2:E1322)))))</f>
        <v/>
      </c>
      <c r="J1323" s="15" t="str">
        <f aca="true">IF(OR(E1323="",E1323="!!!",F1323="NEW"),"",COUNTBLANK(OFFSET(A$1,,,SUMPRODUCT(MAX(ROW(E$2:E1323)*(E1323=E$2:E1323)))))-COUNTBLANK(OFFSET(A$1,,,SUMPRODUCT(MAX(ROW(E$1:E1322)*(E1323=E$1:E1322))))))</f>
        <v/>
      </c>
      <c r="K1323" s="15" t="str">
        <f aca="false">IF(OR(E1323="",E1323="!!!",F1323="NEW"),"",INDEX(J$1:J1322,SUMPRODUCT(MAX(ROW(E$1:E1322)*(E1323=E$1:E1322)))))</f>
        <v/>
      </c>
      <c r="L1323" s="16"/>
    </row>
    <row r="1324" customFormat="false" ht="12.8" hidden="false" customHeight="false" outlineLevel="0" collapsed="false">
      <c r="A1324" s="0" t="s">
        <v>139</v>
      </c>
      <c r="E1324" s="10" t="str">
        <f aca="false">IF(D1324="?OLD","!!!","")</f>
        <v/>
      </c>
      <c r="F1324" s="11" t="str">
        <f aca="false">IF(OR(E1324="",E1324="!!!"),"",IF(NOT(ISNA(VLOOKUP(E1324,E$1:E1323,1,FALSE()))),"OLD",IF(AND(E1324&lt;&gt;"",E1324&lt;&gt;"!!!"),"NEW","")))</f>
        <v/>
      </c>
      <c r="G1324" s="12" t="str">
        <f aca="false">IF(OR(E1324="",E1324="!!!"),"",IF(OR(J1324=0,AND(J1324=1,K1324=1),AND(J1324=1,I1324="SBJ"),AND(J1324=1,I1324=0)),"?IN_FOCUS",IF(J1324&lt;=2,"?ACTIVATED",IF(J1324&lt;&gt;"","?FAMILIAR",IF(F1324="NEW",IF(ISNA(VLOOKUP(E1324,#REF!,1,FALSE())),"?TYPE_IDENTIFIABLE","?REFERENTIAL"),"_")))))</f>
        <v/>
      </c>
      <c r="H1324" s="13" t="str">
        <f aca="false">IF(J1324&lt;&gt;1,"",IF(I1324="SBJ","CB","?"))</f>
        <v/>
      </c>
      <c r="I1324" s="14" t="str">
        <f aca="false">IF(OR(E1324="",E1324="!!!",F1324="NEW"),"",INDEX(B$2:B1323,-1+SUMPRODUCT(MAX(ROW(E$2:E1323)*(E1324=E$2:E1323)))))</f>
        <v/>
      </c>
      <c r="J1324" s="15" t="str">
        <f aca="true">IF(OR(E1324="",E1324="!!!",F1324="NEW"),"",COUNTBLANK(OFFSET(A$1,,,SUMPRODUCT(MAX(ROW(E$2:E1324)*(E1324=E$2:E1324)))))-COUNTBLANK(OFFSET(A$1,,,SUMPRODUCT(MAX(ROW(E$1:E1323)*(E1324=E$1:E1323))))))</f>
        <v/>
      </c>
      <c r="K1324" s="15" t="str">
        <f aca="false">IF(OR(E1324="",E1324="!!!",F1324="NEW"),"",INDEX(J$1:J1323,SUMPRODUCT(MAX(ROW(E$1:E1323)*(E1324=E$1:E1323)))))</f>
        <v/>
      </c>
      <c r="L1324" s="16"/>
    </row>
    <row r="1325" customFormat="false" ht="12.8" hidden="false" customHeight="false" outlineLevel="0" collapsed="false">
      <c r="A1325" s="0" t="s">
        <v>644</v>
      </c>
      <c r="B1325" s="0" t="s">
        <v>14</v>
      </c>
      <c r="C1325" s="0" t="s">
        <v>31</v>
      </c>
      <c r="E1325" s="10" t="str">
        <f aca="false">IF(D1325="?OLD","!!!","")</f>
        <v/>
      </c>
      <c r="F1325" s="11" t="str">
        <f aca="false">IF(OR(E1325="",E1325="!!!"),"",IF(NOT(ISNA(VLOOKUP(E1325,E$1:E1324,1,FALSE()))),"OLD",IF(AND(E1325&lt;&gt;"",E1325&lt;&gt;"!!!"),"NEW","")))</f>
        <v/>
      </c>
      <c r="G1325" s="12" t="str">
        <f aca="false">IF(OR(E1325="",E1325="!!!"),"",IF(OR(J1325=0,AND(J1325=1,K1325=1),AND(J1325=1,I1325="SBJ"),AND(J1325=1,I1325=0)),"?IN_FOCUS",IF(J1325&lt;=2,"?ACTIVATED",IF(J1325&lt;&gt;"","?FAMILIAR",IF(F1325="NEW",IF(ISNA(VLOOKUP(E1325,#REF!,1,FALSE())),"?TYPE_IDENTIFIABLE","?REFERENTIAL"),"_")))))</f>
        <v/>
      </c>
      <c r="H1325" s="13" t="str">
        <f aca="false">IF(J1325&lt;&gt;1,"",IF(I1325="SBJ","CB","?"))</f>
        <v/>
      </c>
      <c r="I1325" s="14" t="str">
        <f aca="false">IF(OR(E1325="",E1325="!!!",F1325="NEW"),"",INDEX(B$2:B1324,-1+SUMPRODUCT(MAX(ROW(E$2:E1324)*(E1325=E$2:E1324)))))</f>
        <v/>
      </c>
      <c r="J1325" s="15" t="str">
        <f aca="true">IF(OR(E1325="",E1325="!!!",F1325="NEW"),"",COUNTBLANK(OFFSET(A$1,,,SUMPRODUCT(MAX(ROW(E$2:E1325)*(E1325=E$2:E1325)))))-COUNTBLANK(OFFSET(A$1,,,SUMPRODUCT(MAX(ROW(E$1:E1324)*(E1325=E$1:E1324))))))</f>
        <v/>
      </c>
      <c r="K1325" s="15" t="str">
        <f aca="false">IF(OR(E1325="",E1325="!!!",F1325="NEW"),"",INDEX(J$1:J1324,SUMPRODUCT(MAX(ROW(E$1:E1324)*(E1325=E$1:E1324)))))</f>
        <v/>
      </c>
      <c r="L1325" s="16"/>
    </row>
    <row r="1326" customFormat="false" ht="12.8" hidden="false" customHeight="false" outlineLevel="0" collapsed="false">
      <c r="A1326" s="0" t="s">
        <v>61</v>
      </c>
      <c r="E1326" s="10" t="str">
        <f aca="false">IF(D1326="?OLD","!!!","")</f>
        <v/>
      </c>
      <c r="F1326" s="11" t="str">
        <f aca="false">IF(OR(E1326="",E1326="!!!"),"",IF(NOT(ISNA(VLOOKUP(E1326,E$1:E1325,1,FALSE()))),"OLD",IF(AND(E1326&lt;&gt;"",E1326&lt;&gt;"!!!"),"NEW","")))</f>
        <v/>
      </c>
      <c r="G1326" s="12" t="str">
        <f aca="false">IF(OR(E1326="",E1326="!!!"),"",IF(OR(J1326=0,AND(J1326=1,K1326=1),AND(J1326=1,I1326="SBJ"),AND(J1326=1,I1326=0)),"?IN_FOCUS",IF(J1326&lt;=2,"?ACTIVATED",IF(J1326&lt;&gt;"","?FAMILIAR",IF(F1326="NEW",IF(ISNA(VLOOKUP(E1326,#REF!,1,FALSE())),"?TYPE_IDENTIFIABLE","?REFERENTIAL"),"_")))))</f>
        <v/>
      </c>
      <c r="H1326" s="13" t="str">
        <f aca="false">IF(J1326&lt;&gt;1,"",IF(I1326="SBJ","CB","?"))</f>
        <v/>
      </c>
      <c r="I1326" s="14" t="str">
        <f aca="false">IF(OR(E1326="",E1326="!!!",F1326="NEW"),"",INDEX(B$2:B1325,-1+SUMPRODUCT(MAX(ROW(E$2:E1325)*(E1326=E$2:E1325)))))</f>
        <v/>
      </c>
      <c r="J1326" s="15" t="str">
        <f aca="true">IF(OR(E1326="",E1326="!!!",F1326="NEW"),"",COUNTBLANK(OFFSET(A$1,,,SUMPRODUCT(MAX(ROW(E$2:E1326)*(E1326=E$2:E1326)))))-COUNTBLANK(OFFSET(A$1,,,SUMPRODUCT(MAX(ROW(E$1:E1325)*(E1326=E$1:E1325))))))</f>
        <v/>
      </c>
      <c r="K1326" s="15" t="str">
        <f aca="false">IF(OR(E1326="",E1326="!!!",F1326="NEW"),"",INDEX(J$1:J1325,SUMPRODUCT(MAX(ROW(E$1:E1325)*(E1326=E$1:E1325)))))</f>
        <v/>
      </c>
      <c r="L1326" s="16"/>
    </row>
    <row r="1327" customFormat="false" ht="12.8" hidden="false" customHeight="false" outlineLevel="0" collapsed="false">
      <c r="A1327" s="0" t="n">
        <v>244</v>
      </c>
      <c r="E1327" s="10" t="str">
        <f aca="false">IF(D1327="?OLD","!!!","")</f>
        <v/>
      </c>
      <c r="F1327" s="11" t="str">
        <f aca="false">IF(OR(E1327="",E1327="!!!"),"",IF(NOT(ISNA(VLOOKUP(E1327,E$1:E1326,1,FALSE()))),"OLD",IF(AND(E1327&lt;&gt;"",E1327&lt;&gt;"!!!"),"NEW","")))</f>
        <v/>
      </c>
      <c r="G1327" s="12" t="str">
        <f aca="false">IF(OR(E1327="",E1327="!!!"),"",IF(OR(J1327=0,AND(J1327=1,K1327=1),AND(J1327=1,I1327="SBJ"),AND(J1327=1,I1327=0)),"?IN_FOCUS",IF(J1327&lt;=2,"?ACTIVATED",IF(J1327&lt;&gt;"","?FAMILIAR",IF(F1327="NEW",IF(ISNA(VLOOKUP(E1327,#REF!,1,FALSE())),"?TYPE_IDENTIFIABLE","?REFERENTIAL"),"_")))))</f>
        <v/>
      </c>
      <c r="H1327" s="13" t="str">
        <f aca="false">IF(J1327&lt;&gt;1,"",IF(I1327="SBJ","CB","?"))</f>
        <v/>
      </c>
      <c r="I1327" s="14" t="str">
        <f aca="false">IF(OR(E1327="",E1327="!!!",F1327="NEW"),"",INDEX(B$2:B1326,-1+SUMPRODUCT(MAX(ROW(E$2:E1326)*(E1327=E$2:E1326)))))</f>
        <v/>
      </c>
      <c r="J1327" s="15" t="str">
        <f aca="true">IF(OR(E1327="",E1327="!!!",F1327="NEW"),"",COUNTBLANK(OFFSET(A$1,,,SUMPRODUCT(MAX(ROW(E$2:E1327)*(E1327=E$2:E1327)))))-COUNTBLANK(OFFSET(A$1,,,SUMPRODUCT(MAX(ROW(E$1:E1326)*(E1327=E$1:E1326))))))</f>
        <v/>
      </c>
      <c r="K1327" s="15" t="str">
        <f aca="false">IF(OR(E1327="",E1327="!!!",F1327="NEW"),"",INDEX(J$1:J1326,SUMPRODUCT(MAX(ROW(E$1:E1326)*(E1327=E$1:E1326)))))</f>
        <v/>
      </c>
      <c r="L1327" s="16"/>
    </row>
    <row r="1328" customFormat="false" ht="12.8" hidden="false" customHeight="false" outlineLevel="0" collapsed="false">
      <c r="A1328" s="0" t="s">
        <v>187</v>
      </c>
      <c r="E1328" s="10" t="str">
        <f aca="false">IF(D1328="?OLD","!!!","")</f>
        <v/>
      </c>
      <c r="F1328" s="11" t="str">
        <f aca="false">IF(OR(E1328="",E1328="!!!"),"",IF(NOT(ISNA(VLOOKUP(E1328,E$1:E1327,1,FALSE()))),"OLD",IF(AND(E1328&lt;&gt;"",E1328&lt;&gt;"!!!"),"NEW","")))</f>
        <v/>
      </c>
      <c r="G1328" s="12" t="str">
        <f aca="false">IF(OR(E1328="",E1328="!!!"),"",IF(OR(J1328=0,AND(J1328=1,K1328=1),AND(J1328=1,I1328="SBJ"),AND(J1328=1,I1328=0)),"?IN_FOCUS",IF(J1328&lt;=2,"?ACTIVATED",IF(J1328&lt;&gt;"","?FAMILIAR",IF(F1328="NEW",IF(ISNA(VLOOKUP(E1328,#REF!,1,FALSE())),"?TYPE_IDENTIFIABLE","?REFERENTIAL"),"_")))))</f>
        <v/>
      </c>
      <c r="H1328" s="13" t="str">
        <f aca="false">IF(J1328&lt;&gt;1,"",IF(I1328="SBJ","CB","?"))</f>
        <v/>
      </c>
      <c r="I1328" s="14" t="str">
        <f aca="false">IF(OR(E1328="",E1328="!!!",F1328="NEW"),"",INDEX(B$2:B1327,-1+SUMPRODUCT(MAX(ROW(E$2:E1327)*(E1328=E$2:E1327)))))</f>
        <v/>
      </c>
      <c r="J1328" s="15" t="str">
        <f aca="true">IF(OR(E1328="",E1328="!!!",F1328="NEW"),"",COUNTBLANK(OFFSET(A$1,,,SUMPRODUCT(MAX(ROW(E$2:E1328)*(E1328=E$2:E1328)))))-COUNTBLANK(OFFSET(A$1,,,SUMPRODUCT(MAX(ROW(E$1:E1327)*(E1328=E$1:E1327))))))</f>
        <v/>
      </c>
      <c r="K1328" s="15" t="str">
        <f aca="false">IF(OR(E1328="",E1328="!!!",F1328="NEW"),"",INDEX(J$1:J1327,SUMPRODUCT(MAX(ROW(E$1:E1327)*(E1328=E$1:E1327)))))</f>
        <v/>
      </c>
      <c r="L1328" s="16"/>
    </row>
    <row r="1329" customFormat="false" ht="12.8" hidden="false" customHeight="false" outlineLevel="0" collapsed="false">
      <c r="A1329" s="0" t="s">
        <v>645</v>
      </c>
      <c r="E1329" s="10" t="str">
        <f aca="false">IF(D1329="?OLD","!!!","")</f>
        <v/>
      </c>
      <c r="F1329" s="11" t="str">
        <f aca="false">IF(OR(E1329="",E1329="!!!"),"",IF(NOT(ISNA(VLOOKUP(E1329,E$1:E1328,1,FALSE()))),"OLD",IF(AND(E1329&lt;&gt;"",E1329&lt;&gt;"!!!"),"NEW","")))</f>
        <v/>
      </c>
      <c r="G1329" s="12" t="str">
        <f aca="false">IF(OR(E1329="",E1329="!!!"),"",IF(OR(J1329=0,AND(J1329=1,K1329=1),AND(J1329=1,I1329="SBJ"),AND(J1329=1,I1329=0)),"?IN_FOCUS",IF(J1329&lt;=2,"?ACTIVATED",IF(J1329&lt;&gt;"","?FAMILIAR",IF(F1329="NEW",IF(ISNA(VLOOKUP(E1329,#REF!,1,FALSE())),"?TYPE_IDENTIFIABLE","?REFERENTIAL"),"_")))))</f>
        <v/>
      </c>
      <c r="H1329" s="13" t="str">
        <f aca="false">IF(J1329&lt;&gt;1,"",IF(I1329="SBJ","CB","?"))</f>
        <v/>
      </c>
      <c r="I1329" s="14" t="str">
        <f aca="false">IF(OR(E1329="",E1329="!!!",F1329="NEW"),"",INDEX(B$2:B1328,-1+SUMPRODUCT(MAX(ROW(E$2:E1328)*(E1329=E$2:E1328)))))</f>
        <v/>
      </c>
      <c r="J1329" s="15" t="str">
        <f aca="true">IF(OR(E1329="",E1329="!!!",F1329="NEW"),"",COUNTBLANK(OFFSET(A$1,,,SUMPRODUCT(MAX(ROW(E$2:E1329)*(E1329=E$2:E1329)))))-COUNTBLANK(OFFSET(A$1,,,SUMPRODUCT(MAX(ROW(E$1:E1328)*(E1329=E$1:E1328))))))</f>
        <v/>
      </c>
      <c r="K1329" s="15" t="str">
        <f aca="false">IF(OR(E1329="",E1329="!!!",F1329="NEW"),"",INDEX(J$1:J1328,SUMPRODUCT(MAX(ROW(E$1:E1328)*(E1329=E$1:E1328)))))</f>
        <v/>
      </c>
      <c r="L1329" s="16"/>
    </row>
    <row r="1330" customFormat="false" ht="12.8" hidden="false" customHeight="false" outlineLevel="0" collapsed="false">
      <c r="A1330" s="0" t="s">
        <v>459</v>
      </c>
      <c r="B1330" s="0" t="s">
        <v>75</v>
      </c>
      <c r="C1330" s="0" t="s">
        <v>15</v>
      </c>
      <c r="E1330" s="10" t="str">
        <f aca="false">IF(D1330="?OLD","!!!","")</f>
        <v/>
      </c>
      <c r="F1330" s="11" t="str">
        <f aca="false">IF(OR(E1330="",E1330="!!!"),"",IF(NOT(ISNA(VLOOKUP(E1330,E$1:E1329,1,FALSE()))),"OLD",IF(AND(E1330&lt;&gt;"",E1330&lt;&gt;"!!!"),"NEW","")))</f>
        <v/>
      </c>
      <c r="G1330" s="12" t="str">
        <f aca="false">IF(OR(E1330="",E1330="!!!"),"",IF(OR(J1330=0,AND(J1330=1,K1330=1),AND(J1330=1,I1330="SBJ"),AND(J1330=1,I1330=0)),"?IN_FOCUS",IF(J1330&lt;=2,"?ACTIVATED",IF(J1330&lt;&gt;"","?FAMILIAR",IF(F1330="NEW",IF(ISNA(VLOOKUP(E1330,#REF!,1,FALSE())),"?TYPE_IDENTIFIABLE","?REFERENTIAL"),"_")))))</f>
        <v/>
      </c>
      <c r="H1330" s="13" t="str">
        <f aca="false">IF(J1330&lt;&gt;1,"",IF(I1330="SBJ","CB","?"))</f>
        <v/>
      </c>
      <c r="I1330" s="14" t="str">
        <f aca="false">IF(OR(E1330="",E1330="!!!",F1330="NEW"),"",INDEX(B$2:B1329,-1+SUMPRODUCT(MAX(ROW(E$2:E1329)*(E1330=E$2:E1329)))))</f>
        <v/>
      </c>
      <c r="J1330" s="15" t="str">
        <f aca="true">IF(OR(E1330="",E1330="!!!",F1330="NEW"),"",COUNTBLANK(OFFSET(A$1,,,SUMPRODUCT(MAX(ROW(E$2:E1330)*(E1330=E$2:E1330)))))-COUNTBLANK(OFFSET(A$1,,,SUMPRODUCT(MAX(ROW(E$1:E1329)*(E1330=E$1:E1329))))))</f>
        <v/>
      </c>
      <c r="K1330" s="15" t="str">
        <f aca="false">IF(OR(E1330="",E1330="!!!",F1330="NEW"),"",INDEX(J$1:J1329,SUMPRODUCT(MAX(ROW(E$1:E1329)*(E1330=E$1:E1329)))))</f>
        <v/>
      </c>
      <c r="L1330" s="16"/>
    </row>
    <row r="1331" customFormat="false" ht="12.8" hidden="false" customHeight="false" outlineLevel="0" collapsed="false">
      <c r="A1331" s="0" t="s">
        <v>646</v>
      </c>
      <c r="E1331" s="10" t="str">
        <f aca="false">IF(D1331="?OLD","!!!","")</f>
        <v/>
      </c>
      <c r="F1331" s="11" t="str">
        <f aca="false">IF(OR(E1331="",E1331="!!!"),"",IF(NOT(ISNA(VLOOKUP(E1331,E$1:E1330,1,FALSE()))),"OLD",IF(AND(E1331&lt;&gt;"",E1331&lt;&gt;"!!!"),"NEW","")))</f>
        <v/>
      </c>
      <c r="G1331" s="12" t="str">
        <f aca="false">IF(OR(E1331="",E1331="!!!"),"",IF(OR(J1331=0,AND(J1331=1,K1331=1),AND(J1331=1,I1331="SBJ"),AND(J1331=1,I1331=0)),"?IN_FOCUS",IF(J1331&lt;=2,"?ACTIVATED",IF(J1331&lt;&gt;"","?FAMILIAR",IF(F1331="NEW",IF(ISNA(VLOOKUP(E1331,#REF!,1,FALSE())),"?TYPE_IDENTIFIABLE","?REFERENTIAL"),"_")))))</f>
        <v/>
      </c>
      <c r="H1331" s="13" t="str">
        <f aca="false">IF(J1331&lt;&gt;1,"",IF(I1331="SBJ","CB","?"))</f>
        <v/>
      </c>
      <c r="I1331" s="14" t="str">
        <f aca="false">IF(OR(E1331="",E1331="!!!",F1331="NEW"),"",INDEX(B$2:B1330,-1+SUMPRODUCT(MAX(ROW(E$2:E1330)*(E1331=E$2:E1330)))))</f>
        <v/>
      </c>
      <c r="J1331" s="15" t="str">
        <f aca="true">IF(OR(E1331="",E1331="!!!",F1331="NEW"),"",COUNTBLANK(OFFSET(A$1,,,SUMPRODUCT(MAX(ROW(E$2:E1331)*(E1331=E$2:E1331)))))-COUNTBLANK(OFFSET(A$1,,,SUMPRODUCT(MAX(ROW(E$1:E1330)*(E1331=E$1:E1330))))))</f>
        <v/>
      </c>
      <c r="K1331" s="15" t="str">
        <f aca="false">IF(OR(E1331="",E1331="!!!",F1331="NEW"),"",INDEX(J$1:J1330,SUMPRODUCT(MAX(ROW(E$1:E1330)*(E1331=E$1:E1330)))))</f>
        <v/>
      </c>
      <c r="L1331" s="16"/>
    </row>
    <row r="1332" customFormat="false" ht="12.8" hidden="false" customHeight="false" outlineLevel="0" collapsed="false">
      <c r="A1332" s="0" t="s">
        <v>44</v>
      </c>
      <c r="E1332" s="10" t="str">
        <f aca="false">IF(D1332="?OLD","!!!","")</f>
        <v/>
      </c>
      <c r="F1332" s="11" t="str">
        <f aca="false">IF(OR(E1332="",E1332="!!!"),"",IF(NOT(ISNA(VLOOKUP(E1332,E$1:E1331,1,FALSE()))),"OLD",IF(AND(E1332&lt;&gt;"",E1332&lt;&gt;"!!!"),"NEW","")))</f>
        <v/>
      </c>
      <c r="G1332" s="12" t="str">
        <f aca="false">IF(OR(E1332="",E1332="!!!"),"",IF(OR(J1332=0,AND(J1332=1,K1332=1),AND(J1332=1,I1332="SBJ"),AND(J1332=1,I1332=0)),"?IN_FOCUS",IF(J1332&lt;=2,"?ACTIVATED",IF(J1332&lt;&gt;"","?FAMILIAR",IF(F1332="NEW",IF(ISNA(VLOOKUP(E1332,#REF!,1,FALSE())),"?TYPE_IDENTIFIABLE","?REFERENTIAL"),"_")))))</f>
        <v/>
      </c>
      <c r="H1332" s="13" t="str">
        <f aca="false">IF(J1332&lt;&gt;1,"",IF(I1332="SBJ","CB","?"))</f>
        <v/>
      </c>
      <c r="I1332" s="14" t="str">
        <f aca="false">IF(OR(E1332="",E1332="!!!",F1332="NEW"),"",INDEX(B$2:B1331,-1+SUMPRODUCT(MAX(ROW(E$2:E1331)*(E1332=E$2:E1331)))))</f>
        <v/>
      </c>
      <c r="J1332" s="15" t="str">
        <f aca="true">IF(OR(E1332="",E1332="!!!",F1332="NEW"),"",COUNTBLANK(OFFSET(A$1,,,SUMPRODUCT(MAX(ROW(E$2:E1332)*(E1332=E$2:E1332)))))-COUNTBLANK(OFFSET(A$1,,,SUMPRODUCT(MAX(ROW(E$1:E1331)*(E1332=E$1:E1331))))))</f>
        <v/>
      </c>
      <c r="K1332" s="15" t="str">
        <f aca="false">IF(OR(E1332="",E1332="!!!",F1332="NEW"),"",INDEX(J$1:J1331,SUMPRODUCT(MAX(ROW(E$1:E1331)*(E1332=E$1:E1331)))))</f>
        <v/>
      </c>
      <c r="L1332" s="16"/>
    </row>
    <row r="1333" customFormat="false" ht="12.8" hidden="false" customHeight="false" outlineLevel="0" collapsed="false">
      <c r="A1333" s="0" t="s">
        <v>202</v>
      </c>
      <c r="B1333" s="0" t="s">
        <v>47</v>
      </c>
      <c r="C1333" s="0" t="s">
        <v>48</v>
      </c>
      <c r="D1333" s="0" t="s">
        <v>20</v>
      </c>
      <c r="E1333" s="10" t="s">
        <v>666</v>
      </c>
      <c r="F1333" s="11" t="str">
        <f aca="false">IF(OR(E1333="",E1333="!!!"),"",IF(NOT(ISNA(VLOOKUP(E1333,E$1:E1332,1,FALSE()))),"OLD",IF(AND(E1333&lt;&gt;"",E1333&lt;&gt;"!!!"),"NEW","")))</f>
        <v>OLD</v>
      </c>
      <c r="G1333" s="12" t="s">
        <v>87</v>
      </c>
      <c r="H1333" s="13" t="str">
        <f aca="false">IF(J1333&lt;&gt;1,"",IF(I1333="SBJ","CB","?"))</f>
        <v/>
      </c>
      <c r="I1333" s="14" t="str">
        <f aca="false">IF(OR(E1333="",E1333="!!!",F1333="NEW"),"",INDEX(B$2:B1332,-1+SUMPRODUCT(MAX(ROW(E$2:E1332)*(E1333=E$2:E1332)))))</f>
        <v>SBJ</v>
      </c>
      <c r="J1333" s="15" t="n">
        <f aca="true">IF(OR(E1333="",E1333="!!!",F1333="NEW"),"",COUNTBLANK(OFFSET(A$1,,,SUMPRODUCT(MAX(ROW(E$2:E1333)*(E1333=E$2:E1333)))))-COUNTBLANK(OFFSET(A$1,,,SUMPRODUCT(MAX(ROW(E$1:E1332)*(E1333=E$1:E1332))))))</f>
        <v>0</v>
      </c>
      <c r="K1333" s="15" t="n">
        <f aca="false">IF(OR(E1333="",E1333="!!!",F1333="NEW"),"",INDEX(J$1:J1332,SUMPRODUCT(MAX(ROW(E$1:E1332)*(E1333=E$1:E1332)))))</f>
        <v>1</v>
      </c>
      <c r="L1333" s="16"/>
    </row>
    <row r="1334" customFormat="false" ht="12.8" hidden="false" customHeight="false" outlineLevel="0" collapsed="false">
      <c r="A1334" s="0" t="s">
        <v>54</v>
      </c>
      <c r="E1334" s="10" t="str">
        <f aca="false">IF(D1334="?OLD","!!!","")</f>
        <v/>
      </c>
      <c r="F1334" s="11" t="str">
        <f aca="false">IF(OR(E1334="",E1334="!!!"),"",IF(NOT(ISNA(VLOOKUP(E1334,E$1:E1333,1,FALSE()))),"OLD",IF(AND(E1334&lt;&gt;"",E1334&lt;&gt;"!!!"),"NEW","")))</f>
        <v/>
      </c>
      <c r="G1334" s="12" t="str">
        <f aca="false">IF(OR(E1334="",E1334="!!!"),"",IF(OR(J1334=0,AND(J1334=1,K1334=1),AND(J1334=1,I1334="SBJ"),AND(J1334=1,I1334=0)),"?IN_FOCUS",IF(J1334&lt;=2,"?ACTIVATED",IF(J1334&lt;&gt;"","?FAMILIAR",IF(F1334="NEW",IF(ISNA(VLOOKUP(E1334,#REF!,1,FALSE())),"?TYPE_IDENTIFIABLE","?REFERENTIAL"),"_")))))</f>
        <v/>
      </c>
      <c r="H1334" s="13" t="str">
        <f aca="false">IF(J1334&lt;&gt;1,"",IF(I1334="SBJ","CB","?"))</f>
        <v/>
      </c>
      <c r="I1334" s="14" t="str">
        <f aca="false">IF(OR(E1334="",E1334="!!!",F1334="NEW"),"",INDEX(B$2:B1333,-1+SUMPRODUCT(MAX(ROW(E$2:E1333)*(E1334=E$2:E1333)))))</f>
        <v/>
      </c>
      <c r="J1334" s="15" t="str">
        <f aca="true">IF(OR(E1334="",E1334="!!!",F1334="NEW"),"",COUNTBLANK(OFFSET(A$1,,,SUMPRODUCT(MAX(ROW(E$2:E1334)*(E1334=E$2:E1334)))))-COUNTBLANK(OFFSET(A$1,,,SUMPRODUCT(MAX(ROW(E$1:E1333)*(E1334=E$1:E1333))))))</f>
        <v/>
      </c>
      <c r="K1334" s="15" t="str">
        <f aca="false">IF(OR(E1334="",E1334="!!!",F1334="NEW"),"",INDEX(J$1:J1333,SUMPRODUCT(MAX(ROW(E$1:E1333)*(E1334=E$1:E1333)))))</f>
        <v/>
      </c>
      <c r="L1334" s="16"/>
    </row>
    <row r="1335" customFormat="false" ht="12.8" hidden="false" customHeight="false" outlineLevel="0" collapsed="false">
      <c r="A1335" s="0" t="s">
        <v>62</v>
      </c>
      <c r="E1335" s="10" t="str">
        <f aca="false">IF(D1335="?OLD","!!!","")</f>
        <v/>
      </c>
      <c r="F1335" s="11" t="str">
        <f aca="false">IF(OR(E1335="",E1335="!!!"),"",IF(NOT(ISNA(VLOOKUP(E1335,E$1:E1334,1,FALSE()))),"OLD",IF(AND(E1335&lt;&gt;"",E1335&lt;&gt;"!!!"),"NEW","")))</f>
        <v/>
      </c>
      <c r="G1335" s="12" t="str">
        <f aca="false">IF(OR(E1335="",E1335="!!!"),"",IF(OR(J1335=0,AND(J1335=1,K1335=1),AND(J1335=1,I1335="SBJ"),AND(J1335=1,I1335=0)),"?IN_FOCUS",IF(J1335&lt;=2,"?ACTIVATED",IF(J1335&lt;&gt;"","?FAMILIAR",IF(F1335="NEW",IF(ISNA(VLOOKUP(E1335,#REF!,1,FALSE())),"?TYPE_IDENTIFIABLE","?REFERENTIAL"),"_")))))</f>
        <v/>
      </c>
      <c r="H1335" s="13" t="str">
        <f aca="false">IF(J1335&lt;&gt;1,"",IF(I1335="SBJ","CB","?"))</f>
        <v/>
      </c>
      <c r="I1335" s="14" t="str">
        <f aca="false">IF(OR(E1335="",E1335="!!!",F1335="NEW"),"",INDEX(B$2:B1334,-1+SUMPRODUCT(MAX(ROW(E$2:E1334)*(E1335=E$2:E1334)))))</f>
        <v/>
      </c>
      <c r="J1335" s="15" t="str">
        <f aca="true">IF(OR(E1335="",E1335="!!!",F1335="NEW"),"",COUNTBLANK(OFFSET(A$1,,,SUMPRODUCT(MAX(ROW(E$2:E1335)*(E1335=E$2:E1335)))))-COUNTBLANK(OFFSET(A$1,,,SUMPRODUCT(MAX(ROW(E$1:E1334)*(E1335=E$1:E1334))))))</f>
        <v/>
      </c>
      <c r="K1335" s="15" t="str">
        <f aca="false">IF(OR(E1335="",E1335="!!!",F1335="NEW"),"",INDEX(J$1:J1334,SUMPRODUCT(MAX(ROW(E$1:E1334)*(E1335=E$1:E1334)))))</f>
        <v/>
      </c>
      <c r="L1335" s="16"/>
    </row>
    <row r="1336" customFormat="false" ht="12.8" hidden="false" customHeight="false" outlineLevel="0" collapsed="false">
      <c r="A1336" s="0" t="s">
        <v>671</v>
      </c>
      <c r="E1336" s="10" t="str">
        <f aca="false">IF(D1336="?OLD","!!!","")</f>
        <v/>
      </c>
      <c r="F1336" s="11" t="str">
        <f aca="false">IF(OR(E1336="",E1336="!!!"),"",IF(NOT(ISNA(VLOOKUP(E1336,E$1:E1335,1,FALSE()))),"OLD",IF(AND(E1336&lt;&gt;"",E1336&lt;&gt;"!!!"),"NEW","")))</f>
        <v/>
      </c>
      <c r="G1336" s="12" t="str">
        <f aca="false">IF(OR(E1336="",E1336="!!!"),"",IF(OR(J1336=0,AND(J1336=1,K1336=1),AND(J1336=1,I1336="SBJ"),AND(J1336=1,I1336=0)),"?IN_FOCUS",IF(J1336&lt;=2,"?ACTIVATED",IF(J1336&lt;&gt;"","?FAMILIAR",IF(F1336="NEW",IF(ISNA(VLOOKUP(E1336,#REF!,1,FALSE())),"?TYPE_IDENTIFIABLE","?REFERENTIAL"),"_")))))</f>
        <v/>
      </c>
      <c r="H1336" s="13" t="str">
        <f aca="false">IF(J1336&lt;&gt;1,"",IF(I1336="SBJ","CB","?"))</f>
        <v/>
      </c>
      <c r="I1336" s="14" t="str">
        <f aca="false">IF(OR(E1336="",E1336="!!!",F1336="NEW"),"",INDEX(B$2:B1335,-1+SUMPRODUCT(MAX(ROW(E$2:E1335)*(E1336=E$2:E1335)))))</f>
        <v/>
      </c>
      <c r="J1336" s="15" t="str">
        <f aca="true">IF(OR(E1336="",E1336="!!!",F1336="NEW"),"",COUNTBLANK(OFFSET(A$1,,,SUMPRODUCT(MAX(ROW(E$2:E1336)*(E1336=E$2:E1336)))))-COUNTBLANK(OFFSET(A$1,,,SUMPRODUCT(MAX(ROW(E$1:E1335)*(E1336=E$1:E1335))))))</f>
        <v/>
      </c>
      <c r="K1336" s="15" t="str">
        <f aca="false">IF(OR(E1336="",E1336="!!!",F1336="NEW"),"",INDEX(J$1:J1335,SUMPRODUCT(MAX(ROW(E$1:E1335)*(E1336=E$1:E1335)))))</f>
        <v/>
      </c>
      <c r="L1336" s="16"/>
    </row>
    <row r="1337" customFormat="false" ht="12.8" hidden="false" customHeight="false" outlineLevel="0" collapsed="false">
      <c r="A1337" s="0" t="s">
        <v>588</v>
      </c>
      <c r="E1337" s="10" t="str">
        <f aca="false">IF(D1337="?OLD","!!!","")</f>
        <v/>
      </c>
      <c r="F1337" s="11" t="str">
        <f aca="false">IF(OR(E1337="",E1337="!!!"),"",IF(NOT(ISNA(VLOOKUP(E1337,E$1:E1336,1,FALSE()))),"OLD",IF(AND(E1337&lt;&gt;"",E1337&lt;&gt;"!!!"),"NEW","")))</f>
        <v/>
      </c>
      <c r="G1337" s="12" t="str">
        <f aca="false">IF(OR(E1337="",E1337="!!!"),"",IF(OR(J1337=0,AND(J1337=1,K1337=1),AND(J1337=1,I1337="SBJ"),AND(J1337=1,I1337=0)),"?IN_FOCUS",IF(J1337&lt;=2,"?ACTIVATED",IF(J1337&lt;&gt;"","?FAMILIAR",IF(F1337="NEW",IF(ISNA(VLOOKUP(E1337,#REF!,1,FALSE())),"?TYPE_IDENTIFIABLE","?REFERENTIAL"),"_")))))</f>
        <v/>
      </c>
      <c r="H1337" s="13" t="str">
        <f aca="false">IF(J1337&lt;&gt;1,"",IF(I1337="SBJ","CB","?"))</f>
        <v/>
      </c>
      <c r="I1337" s="14" t="str">
        <f aca="false">IF(OR(E1337="",E1337="!!!",F1337="NEW"),"",INDEX(B$2:B1336,-1+SUMPRODUCT(MAX(ROW(E$2:E1336)*(E1337=E$2:E1336)))))</f>
        <v/>
      </c>
      <c r="J1337" s="15" t="str">
        <f aca="true">IF(OR(E1337="",E1337="!!!",F1337="NEW"),"",COUNTBLANK(OFFSET(A$1,,,SUMPRODUCT(MAX(ROW(E$2:E1337)*(E1337=E$2:E1337)))))-COUNTBLANK(OFFSET(A$1,,,SUMPRODUCT(MAX(ROW(E$1:E1336)*(E1337=E$1:E1336))))))</f>
        <v/>
      </c>
      <c r="K1337" s="15" t="str">
        <f aca="false">IF(OR(E1337="",E1337="!!!",F1337="NEW"),"",INDEX(J$1:J1336,SUMPRODUCT(MAX(ROW(E$1:E1336)*(E1337=E$1:E1336)))))</f>
        <v/>
      </c>
      <c r="L1337" s="16"/>
    </row>
    <row r="1338" customFormat="false" ht="12.8" hidden="false" customHeight="false" outlineLevel="0" collapsed="false">
      <c r="A1338" s="0" t="s">
        <v>39</v>
      </c>
      <c r="E1338" s="10" t="str">
        <f aca="false">IF(D1338="?OLD","!!!","")</f>
        <v/>
      </c>
      <c r="F1338" s="11" t="str">
        <f aca="false">IF(OR(E1338="",E1338="!!!"),"",IF(NOT(ISNA(VLOOKUP(E1338,E$1:E1337,1,FALSE()))),"OLD",IF(AND(E1338&lt;&gt;"",E1338&lt;&gt;"!!!"),"NEW","")))</f>
        <v/>
      </c>
      <c r="G1338" s="12" t="str">
        <f aca="false">IF(OR(E1338="",E1338="!!!"),"",IF(OR(J1338=0,AND(J1338=1,K1338=1),AND(J1338=1,I1338="SBJ"),AND(J1338=1,I1338=0)),"?IN_FOCUS",IF(J1338&lt;=2,"?ACTIVATED",IF(J1338&lt;&gt;"","?FAMILIAR",IF(F1338="NEW",IF(ISNA(VLOOKUP(E1338,#REF!,1,FALSE())),"?TYPE_IDENTIFIABLE","?REFERENTIAL"),"_")))))</f>
        <v/>
      </c>
      <c r="H1338" s="13" t="str">
        <f aca="false">IF(J1338&lt;&gt;1,"",IF(I1338="SBJ","CB","?"))</f>
        <v/>
      </c>
      <c r="I1338" s="14" t="str">
        <f aca="false">IF(OR(E1338="",E1338="!!!",F1338="NEW"),"",INDEX(B$2:B1337,-1+SUMPRODUCT(MAX(ROW(E$2:E1337)*(E1338=E$2:E1337)))))</f>
        <v/>
      </c>
      <c r="J1338" s="15" t="str">
        <f aca="true">IF(OR(E1338="",E1338="!!!",F1338="NEW"),"",COUNTBLANK(OFFSET(A$1,,,SUMPRODUCT(MAX(ROW(E$2:E1338)*(E1338=E$2:E1338)))))-COUNTBLANK(OFFSET(A$1,,,SUMPRODUCT(MAX(ROW(E$1:E1337)*(E1338=E$1:E1337))))))</f>
        <v/>
      </c>
      <c r="K1338" s="15" t="str">
        <f aca="false">IF(OR(E1338="",E1338="!!!",F1338="NEW"),"",INDEX(J$1:J1337,SUMPRODUCT(MAX(ROW(E$1:E1337)*(E1338=E$1:E1337)))))</f>
        <v/>
      </c>
      <c r="L1338" s="16"/>
    </row>
    <row r="1339" customFormat="false" ht="12.8" hidden="false" customHeight="false" outlineLevel="0" collapsed="false">
      <c r="A1339" s="0" t="s">
        <v>62</v>
      </c>
      <c r="E1339" s="10" t="str">
        <f aca="false">IF(D1339="?OLD","!!!","")</f>
        <v/>
      </c>
      <c r="F1339" s="11" t="str">
        <f aca="false">IF(OR(E1339="",E1339="!!!"),"",IF(NOT(ISNA(VLOOKUP(E1339,E$1:E1338,1,FALSE()))),"OLD",IF(AND(E1339&lt;&gt;"",E1339&lt;&gt;"!!!"),"NEW","")))</f>
        <v/>
      </c>
      <c r="G1339" s="12" t="str">
        <f aca="false">IF(OR(E1339="",E1339="!!!"),"",IF(OR(J1339=0,AND(J1339=1,K1339=1),AND(J1339=1,I1339="SBJ"),AND(J1339=1,I1339=0)),"?IN_FOCUS",IF(J1339&lt;=2,"?ACTIVATED",IF(J1339&lt;&gt;"","?FAMILIAR",IF(F1339="NEW",IF(ISNA(VLOOKUP(E1339,#REF!,1,FALSE())),"?TYPE_IDENTIFIABLE","?REFERENTIAL"),"_")))))</f>
        <v/>
      </c>
      <c r="H1339" s="13" t="str">
        <f aca="false">IF(J1339&lt;&gt;1,"",IF(I1339="SBJ","CB","?"))</f>
        <v/>
      </c>
      <c r="I1339" s="14" t="str">
        <f aca="false">IF(OR(E1339="",E1339="!!!",F1339="NEW"),"",INDEX(B$2:B1338,-1+SUMPRODUCT(MAX(ROW(E$2:E1338)*(E1339=E$2:E1338)))))</f>
        <v/>
      </c>
      <c r="J1339" s="15" t="str">
        <f aca="true">IF(OR(E1339="",E1339="!!!",F1339="NEW"),"",COUNTBLANK(OFFSET(A$1,,,SUMPRODUCT(MAX(ROW(E$2:E1339)*(E1339=E$2:E1339)))))-COUNTBLANK(OFFSET(A$1,,,SUMPRODUCT(MAX(ROW(E$1:E1338)*(E1339=E$1:E1338))))))</f>
        <v/>
      </c>
      <c r="K1339" s="15" t="str">
        <f aca="false">IF(OR(E1339="",E1339="!!!",F1339="NEW"),"",INDEX(J$1:J1338,SUMPRODUCT(MAX(ROW(E$1:E1338)*(E1339=E$1:E1338)))))</f>
        <v/>
      </c>
      <c r="L1339" s="16"/>
    </row>
    <row r="1340" customFormat="false" ht="12.8" hidden="false" customHeight="false" outlineLevel="0" collapsed="false">
      <c r="A1340" s="0" t="s">
        <v>482</v>
      </c>
      <c r="B1340" s="0" t="s">
        <v>75</v>
      </c>
      <c r="C1340" s="0" t="s">
        <v>19</v>
      </c>
      <c r="D1340" s="0" t="s">
        <v>20</v>
      </c>
      <c r="E1340" s="10" t="s">
        <v>672</v>
      </c>
      <c r="F1340" s="11" t="str">
        <f aca="false">IF(OR(E1340="",E1340="!!!"),"",IF(NOT(ISNA(VLOOKUP(E1340,E$1:E1339,1,FALSE()))),"OLD",IF(AND(E1340&lt;&gt;"",E1340&lt;&gt;"!!!"),"NEW","")))</f>
        <v>NEW</v>
      </c>
      <c r="G1340" s="12" t="s">
        <v>36</v>
      </c>
      <c r="H1340" s="13" t="str">
        <f aca="false">IF(J1340&lt;&gt;1,"",IF(I1340="SBJ","CB","?"))</f>
        <v/>
      </c>
      <c r="I1340" s="14" t="str">
        <f aca="false">IF(OR(E1340="",E1340="!!!",F1340="NEW"),"",INDEX(B$2:B1339,-1+SUMPRODUCT(MAX(ROW(E$2:E1339)*(E1340=E$2:E1339)))))</f>
        <v/>
      </c>
      <c r="J1340" s="15" t="str">
        <f aca="true">IF(OR(E1340="",E1340="!!!",F1340="NEW"),"",COUNTBLANK(OFFSET(A$1,,,SUMPRODUCT(MAX(ROW(E$2:E1340)*(E1340=E$2:E1340)))))-COUNTBLANK(OFFSET(A$1,,,SUMPRODUCT(MAX(ROW(E$1:E1339)*(E1340=E$1:E1339))))))</f>
        <v/>
      </c>
      <c r="K1340" s="15" t="str">
        <f aca="false">IF(OR(E1340="",E1340="!!!",F1340="NEW"),"",INDEX(J$1:J1339,SUMPRODUCT(MAX(ROW(E$1:E1339)*(E1340=E$1:E1339)))))</f>
        <v/>
      </c>
      <c r="L1340" s="16"/>
    </row>
    <row r="1341" customFormat="false" ht="12.8" hidden="false" customHeight="false" outlineLevel="0" collapsed="false">
      <c r="A1341" s="0" t="s">
        <v>45</v>
      </c>
      <c r="E1341" s="10" t="str">
        <f aca="false">IF(D1341="?OLD","!!!","")</f>
        <v/>
      </c>
      <c r="F1341" s="11" t="str">
        <f aca="false">IF(OR(E1341="",E1341="!!!"),"",IF(NOT(ISNA(VLOOKUP(E1341,E$1:E1340,1,FALSE()))),"OLD",IF(AND(E1341&lt;&gt;"",E1341&lt;&gt;"!!!"),"NEW","")))</f>
        <v/>
      </c>
      <c r="G1341" s="12" t="str">
        <f aca="false">IF(OR(E1341="",E1341="!!!"),"",IF(OR(J1341=0,AND(J1341=1,K1341=1),AND(J1341=1,I1341="SBJ"),AND(J1341=1,I1341=0)),"?IN_FOCUS",IF(J1341&lt;=2,"?ACTIVATED",IF(J1341&lt;&gt;"","?FAMILIAR",IF(F1341="NEW",IF(ISNA(VLOOKUP(E1341,#REF!,1,FALSE())),"?TYPE_IDENTIFIABLE","?REFERENTIAL"),"_")))))</f>
        <v/>
      </c>
      <c r="H1341" s="13" t="str">
        <f aca="false">IF(J1341&lt;&gt;1,"",IF(I1341="SBJ","CB","?"))</f>
        <v/>
      </c>
      <c r="I1341" s="14" t="str">
        <f aca="false">IF(OR(E1341="",E1341="!!!",F1341="NEW"),"",INDEX(B$2:B1340,-1+SUMPRODUCT(MAX(ROW(E$2:E1340)*(E1341=E$2:E1340)))))</f>
        <v/>
      </c>
      <c r="J1341" s="15" t="str">
        <f aca="true">IF(OR(E1341="",E1341="!!!",F1341="NEW"),"",COUNTBLANK(OFFSET(A$1,,,SUMPRODUCT(MAX(ROW(E$2:E1341)*(E1341=E$2:E1341)))))-COUNTBLANK(OFFSET(A$1,,,SUMPRODUCT(MAX(ROW(E$1:E1340)*(E1341=E$1:E1340))))))</f>
        <v/>
      </c>
      <c r="K1341" s="15" t="str">
        <f aca="false">IF(OR(E1341="",E1341="!!!",F1341="NEW"),"",INDEX(J$1:J1340,SUMPRODUCT(MAX(ROW(E$1:E1340)*(E1341=E$1:E1340)))))</f>
        <v/>
      </c>
      <c r="L1341" s="16"/>
    </row>
    <row r="1342" customFormat="false" ht="12.8" hidden="false" customHeight="false" outlineLevel="0" collapsed="false">
      <c r="A1342" s="0" t="s">
        <v>62</v>
      </c>
      <c r="E1342" s="10" t="str">
        <f aca="false">IF(D1342="?OLD","!!!","")</f>
        <v/>
      </c>
      <c r="F1342" s="11" t="str">
        <f aca="false">IF(OR(E1342="",E1342="!!!"),"",IF(NOT(ISNA(VLOOKUP(E1342,E$1:E1341,1,FALSE()))),"OLD",IF(AND(E1342&lt;&gt;"",E1342&lt;&gt;"!!!"),"NEW","")))</f>
        <v/>
      </c>
      <c r="G1342" s="12" t="str">
        <f aca="false">IF(OR(E1342="",E1342="!!!"),"",IF(OR(J1342=0,AND(J1342=1,K1342=1),AND(J1342=1,I1342="SBJ"),AND(J1342=1,I1342=0)),"?IN_FOCUS",IF(J1342&lt;=2,"?ACTIVATED",IF(J1342&lt;&gt;"","?FAMILIAR",IF(F1342="NEW",IF(ISNA(VLOOKUP(E1342,#REF!,1,FALSE())),"?TYPE_IDENTIFIABLE","?REFERENTIAL"),"_")))))</f>
        <v/>
      </c>
      <c r="H1342" s="13" t="str">
        <f aca="false">IF(J1342&lt;&gt;1,"",IF(I1342="SBJ","CB","?"))</f>
        <v/>
      </c>
      <c r="I1342" s="14" t="str">
        <f aca="false">IF(OR(E1342="",E1342="!!!",F1342="NEW"),"",INDEX(B$2:B1341,-1+SUMPRODUCT(MAX(ROW(E$2:E1341)*(E1342=E$2:E1341)))))</f>
        <v/>
      </c>
      <c r="J1342" s="15" t="str">
        <f aca="true">IF(OR(E1342="",E1342="!!!",F1342="NEW"),"",COUNTBLANK(OFFSET(A$1,,,SUMPRODUCT(MAX(ROW(E$2:E1342)*(E1342=E$2:E1342)))))-COUNTBLANK(OFFSET(A$1,,,SUMPRODUCT(MAX(ROW(E$1:E1341)*(E1342=E$1:E1341))))))</f>
        <v/>
      </c>
      <c r="K1342" s="15" t="str">
        <f aca="false">IF(OR(E1342="",E1342="!!!",F1342="NEW"),"",INDEX(J$1:J1341,SUMPRODUCT(MAX(ROW(E$1:E1341)*(E1342=E$1:E1341)))))</f>
        <v/>
      </c>
      <c r="L1342" s="16"/>
    </row>
    <row r="1343" customFormat="false" ht="12.8" hidden="false" customHeight="false" outlineLevel="0" collapsed="false">
      <c r="A1343" s="0" t="s">
        <v>673</v>
      </c>
      <c r="E1343" s="10" t="str">
        <f aca="false">IF(D1343="?OLD","!!!","")</f>
        <v/>
      </c>
      <c r="F1343" s="11" t="str">
        <f aca="false">IF(OR(E1343="",E1343="!!!"),"",IF(NOT(ISNA(VLOOKUP(E1343,E$1:E1342,1,FALSE()))),"OLD",IF(AND(E1343&lt;&gt;"",E1343&lt;&gt;"!!!"),"NEW","")))</f>
        <v/>
      </c>
      <c r="G1343" s="12" t="str">
        <f aca="false">IF(OR(E1343="",E1343="!!!"),"",IF(OR(J1343=0,AND(J1343=1,K1343=1),AND(J1343=1,I1343="SBJ"),AND(J1343=1,I1343=0)),"?IN_FOCUS",IF(J1343&lt;=2,"?ACTIVATED",IF(J1343&lt;&gt;"","?FAMILIAR",IF(F1343="NEW",IF(ISNA(VLOOKUP(E1343,#REF!,1,FALSE())),"?TYPE_IDENTIFIABLE","?REFERENTIAL"),"_")))))</f>
        <v/>
      </c>
      <c r="H1343" s="13" t="str">
        <f aca="false">IF(J1343&lt;&gt;1,"",IF(I1343="SBJ","CB","?"))</f>
        <v/>
      </c>
      <c r="I1343" s="14" t="str">
        <f aca="false">IF(OR(E1343="",E1343="!!!",F1343="NEW"),"",INDEX(B$2:B1342,-1+SUMPRODUCT(MAX(ROW(E$2:E1342)*(E1343=E$2:E1342)))))</f>
        <v/>
      </c>
      <c r="J1343" s="15" t="str">
        <f aca="true">IF(OR(E1343="",E1343="!!!",F1343="NEW"),"",COUNTBLANK(OFFSET(A$1,,,SUMPRODUCT(MAX(ROW(E$2:E1343)*(E1343=E$2:E1343)))))-COUNTBLANK(OFFSET(A$1,,,SUMPRODUCT(MAX(ROW(E$1:E1342)*(E1343=E$1:E1342))))))</f>
        <v/>
      </c>
      <c r="K1343" s="15" t="str">
        <f aca="false">IF(OR(E1343="",E1343="!!!",F1343="NEW"),"",INDEX(J$1:J1342,SUMPRODUCT(MAX(ROW(E$1:E1342)*(E1343=E$1:E1342)))))</f>
        <v/>
      </c>
      <c r="L1343" s="16"/>
    </row>
    <row r="1344" customFormat="false" ht="12.8" hidden="false" customHeight="false" outlineLevel="0" collapsed="false">
      <c r="A1344" s="0" t="s">
        <v>588</v>
      </c>
      <c r="E1344" s="10" t="str">
        <f aca="false">IF(D1344="?OLD","!!!","")</f>
        <v/>
      </c>
      <c r="F1344" s="11" t="str">
        <f aca="false">IF(OR(E1344="",E1344="!!!"),"",IF(NOT(ISNA(VLOOKUP(E1344,E$1:E1343,1,FALSE()))),"OLD",IF(AND(E1344&lt;&gt;"",E1344&lt;&gt;"!!!"),"NEW","")))</f>
        <v/>
      </c>
      <c r="G1344" s="12" t="str">
        <f aca="false">IF(OR(E1344="",E1344="!!!"),"",IF(OR(J1344=0,AND(J1344=1,K1344=1),AND(J1344=1,I1344="SBJ"),AND(J1344=1,I1344=0)),"?IN_FOCUS",IF(J1344&lt;=2,"?ACTIVATED",IF(J1344&lt;&gt;"","?FAMILIAR",IF(F1344="NEW",IF(ISNA(VLOOKUP(E1344,#REF!,1,FALSE())),"?TYPE_IDENTIFIABLE","?REFERENTIAL"),"_")))))</f>
        <v/>
      </c>
      <c r="H1344" s="13" t="str">
        <f aca="false">IF(J1344&lt;&gt;1,"",IF(I1344="SBJ","CB","?"))</f>
        <v/>
      </c>
      <c r="I1344" s="14" t="str">
        <f aca="false">IF(OR(E1344="",E1344="!!!",F1344="NEW"),"",INDEX(B$2:B1343,-1+SUMPRODUCT(MAX(ROW(E$2:E1343)*(E1344=E$2:E1343)))))</f>
        <v/>
      </c>
      <c r="J1344" s="15" t="str">
        <f aca="true">IF(OR(E1344="",E1344="!!!",F1344="NEW"),"",COUNTBLANK(OFFSET(A$1,,,SUMPRODUCT(MAX(ROW(E$2:E1344)*(E1344=E$2:E1344)))))-COUNTBLANK(OFFSET(A$1,,,SUMPRODUCT(MAX(ROW(E$1:E1343)*(E1344=E$1:E1343))))))</f>
        <v/>
      </c>
      <c r="K1344" s="15" t="str">
        <f aca="false">IF(OR(E1344="",E1344="!!!",F1344="NEW"),"",INDEX(J$1:J1343,SUMPRODUCT(MAX(ROW(E$1:E1343)*(E1344=E$1:E1343)))))</f>
        <v/>
      </c>
      <c r="L1344" s="16"/>
    </row>
    <row r="1345" customFormat="false" ht="12.8" hidden="false" customHeight="false" outlineLevel="0" collapsed="false">
      <c r="A1345" s="0" t="s">
        <v>39</v>
      </c>
      <c r="E1345" s="10" t="str">
        <f aca="false">IF(D1345="?OLD","!!!","")</f>
        <v/>
      </c>
      <c r="F1345" s="11" t="str">
        <f aca="false">IF(OR(E1345="",E1345="!!!"),"",IF(NOT(ISNA(VLOOKUP(E1345,E$1:E1344,1,FALSE()))),"OLD",IF(AND(E1345&lt;&gt;"",E1345&lt;&gt;"!!!"),"NEW","")))</f>
        <v/>
      </c>
      <c r="G1345" s="12" t="str">
        <f aca="false">IF(OR(E1345="",E1345="!!!"),"",IF(OR(J1345=0,AND(J1345=1,K1345=1),AND(J1345=1,I1345="SBJ"),AND(J1345=1,I1345=0)),"?IN_FOCUS",IF(J1345&lt;=2,"?ACTIVATED",IF(J1345&lt;&gt;"","?FAMILIAR",IF(F1345="NEW",IF(ISNA(VLOOKUP(E1345,#REF!,1,FALSE())),"?TYPE_IDENTIFIABLE","?REFERENTIAL"),"_")))))</f>
        <v/>
      </c>
      <c r="H1345" s="13" t="str">
        <f aca="false">IF(J1345&lt;&gt;1,"",IF(I1345="SBJ","CB","?"))</f>
        <v/>
      </c>
      <c r="I1345" s="14" t="str">
        <f aca="false">IF(OR(E1345="",E1345="!!!",F1345="NEW"),"",INDEX(B$2:B1344,-1+SUMPRODUCT(MAX(ROW(E$2:E1344)*(E1345=E$2:E1344)))))</f>
        <v/>
      </c>
      <c r="J1345" s="15" t="str">
        <f aca="true">IF(OR(E1345="",E1345="!!!",F1345="NEW"),"",COUNTBLANK(OFFSET(A$1,,,SUMPRODUCT(MAX(ROW(E$2:E1345)*(E1345=E$2:E1345)))))-COUNTBLANK(OFFSET(A$1,,,SUMPRODUCT(MAX(ROW(E$1:E1344)*(E1345=E$1:E1344))))))</f>
        <v/>
      </c>
      <c r="K1345" s="15" t="str">
        <f aca="false">IF(OR(E1345="",E1345="!!!",F1345="NEW"),"",INDEX(J$1:J1344,SUMPRODUCT(MAX(ROW(E$1:E1344)*(E1345=E$1:E1344)))))</f>
        <v/>
      </c>
      <c r="L1345" s="16"/>
    </row>
    <row r="1346" customFormat="false" ht="12.8" hidden="false" customHeight="false" outlineLevel="0" collapsed="false">
      <c r="A1346" s="0" t="s">
        <v>62</v>
      </c>
      <c r="E1346" s="10" t="str">
        <f aca="false">IF(D1346="?OLD","!!!","")</f>
        <v/>
      </c>
      <c r="F1346" s="11" t="str">
        <f aca="false">IF(OR(E1346="",E1346="!!!"),"",IF(NOT(ISNA(VLOOKUP(E1346,E$1:E1345,1,FALSE()))),"OLD",IF(AND(E1346&lt;&gt;"",E1346&lt;&gt;"!!!"),"NEW","")))</f>
        <v/>
      </c>
      <c r="G1346" s="12" t="str">
        <f aca="false">IF(OR(E1346="",E1346="!!!"),"",IF(OR(J1346=0,AND(J1346=1,K1346=1),AND(J1346=1,I1346="SBJ"),AND(J1346=1,I1346=0)),"?IN_FOCUS",IF(J1346&lt;=2,"?ACTIVATED",IF(J1346&lt;&gt;"","?FAMILIAR",IF(F1346="NEW",IF(ISNA(VLOOKUP(E1346,#REF!,1,FALSE())),"?TYPE_IDENTIFIABLE","?REFERENTIAL"),"_")))))</f>
        <v/>
      </c>
      <c r="H1346" s="13" t="str">
        <f aca="false">IF(J1346&lt;&gt;1,"",IF(I1346="SBJ","CB","?"))</f>
        <v/>
      </c>
      <c r="I1346" s="14" t="str">
        <f aca="false">IF(OR(E1346="",E1346="!!!",F1346="NEW"),"",INDEX(B$2:B1345,-1+SUMPRODUCT(MAX(ROW(E$2:E1345)*(E1346=E$2:E1345)))))</f>
        <v/>
      </c>
      <c r="J1346" s="15" t="str">
        <f aca="true">IF(OR(E1346="",E1346="!!!",F1346="NEW"),"",COUNTBLANK(OFFSET(A$1,,,SUMPRODUCT(MAX(ROW(E$2:E1346)*(E1346=E$2:E1346)))))-COUNTBLANK(OFFSET(A$1,,,SUMPRODUCT(MAX(ROW(E$1:E1345)*(E1346=E$1:E1345))))))</f>
        <v/>
      </c>
      <c r="K1346" s="15" t="str">
        <f aca="false">IF(OR(E1346="",E1346="!!!",F1346="NEW"),"",INDEX(J$1:J1345,SUMPRODUCT(MAX(ROW(E$1:E1345)*(E1346=E$1:E1345)))))</f>
        <v/>
      </c>
      <c r="L1346" s="16"/>
    </row>
    <row r="1347" customFormat="false" ht="12.8" hidden="false" customHeight="false" outlineLevel="0" collapsed="false">
      <c r="A1347" s="0" t="s">
        <v>33</v>
      </c>
      <c r="B1347" s="0" t="s">
        <v>65</v>
      </c>
      <c r="C1347" s="0" t="s">
        <v>27</v>
      </c>
      <c r="D1347" s="0" t="s">
        <v>20</v>
      </c>
      <c r="E1347" s="10" t="s">
        <v>33</v>
      </c>
      <c r="F1347" s="11" t="str">
        <f aca="false">IF(OR(E1347="",E1347="!!!"),"",IF(NOT(ISNA(VLOOKUP(E1347,E$1:E1346,1,FALSE()))),"OLD",IF(AND(E1347&lt;&gt;"",E1347&lt;&gt;"!!!"),"NEW","")))</f>
        <v>OLD</v>
      </c>
      <c r="G1347" s="12" t="s">
        <v>36</v>
      </c>
      <c r="H1347" s="13" t="str">
        <f aca="false">IF(J1347&lt;&gt;1,"",IF(I1347="SBJ","CB","?"))</f>
        <v/>
      </c>
      <c r="I1347" s="14" t="n">
        <f aca="false">IF(OR(E1347="",E1347="!!!",F1347="NEW"),"",INDEX(B$2:B1346,-1+SUMPRODUCT(MAX(ROW(E$2:E1346)*(E1347=E$2:E1346)))))</f>
        <v>0</v>
      </c>
      <c r="J1347" s="15" t="n">
        <f aca="true">IF(OR(E1347="",E1347="!!!",F1347="NEW"),"",COUNTBLANK(OFFSET(A$1,,,SUMPRODUCT(MAX(ROW(E$2:E1347)*(E1347=E$2:E1347)))))-COUNTBLANK(OFFSET(A$1,,,SUMPRODUCT(MAX(ROW(E$1:E1346)*(E1347=E$1:E1346))))))</f>
        <v>8</v>
      </c>
      <c r="K1347" s="15" t="n">
        <f aca="false">IF(OR(E1347="",E1347="!!!",F1347="NEW"),"",INDEX(J$1:J1346,SUMPRODUCT(MAX(ROW(E$1:E1346)*(E1347=E$1:E1346)))))</f>
        <v>12</v>
      </c>
      <c r="L1347" s="16"/>
    </row>
    <row r="1348" customFormat="false" ht="12.8" hidden="false" customHeight="false" outlineLevel="0" collapsed="false">
      <c r="A1348" s="0" t="s">
        <v>76</v>
      </c>
      <c r="E1348" s="10" t="str">
        <f aca="false">IF(D1348="?OLD","!!!","")</f>
        <v/>
      </c>
      <c r="F1348" s="11" t="str">
        <f aca="false">IF(OR(E1348="",E1348="!!!"),"",IF(NOT(ISNA(VLOOKUP(E1348,E$1:E1347,1,FALSE()))),"OLD",IF(AND(E1348&lt;&gt;"",E1348&lt;&gt;"!!!"),"NEW","")))</f>
        <v/>
      </c>
      <c r="G1348" s="12" t="str">
        <f aca="false">IF(OR(E1348="",E1348="!!!"),"",IF(OR(J1348=0,AND(J1348=1,K1348=1),AND(J1348=1,I1348="SBJ"),AND(J1348=1,I1348=0)),"?IN_FOCUS",IF(J1348&lt;=2,"?ACTIVATED",IF(J1348&lt;&gt;"","?FAMILIAR",IF(F1348="NEW",IF(ISNA(VLOOKUP(E1348,#REF!,1,FALSE())),"?TYPE_IDENTIFIABLE","?REFERENTIAL"),"_")))))</f>
        <v/>
      </c>
      <c r="H1348" s="13" t="str">
        <f aca="false">IF(J1348&lt;&gt;1,"",IF(I1348="SBJ","CB","?"))</f>
        <v/>
      </c>
      <c r="I1348" s="14" t="str">
        <f aca="false">IF(OR(E1348="",E1348="!!!",F1348="NEW"),"",INDEX(B$2:B1347,-1+SUMPRODUCT(MAX(ROW(E$2:E1347)*(E1348=E$2:E1347)))))</f>
        <v/>
      </c>
      <c r="J1348" s="15" t="str">
        <f aca="true">IF(OR(E1348="",E1348="!!!",F1348="NEW"),"",COUNTBLANK(OFFSET(A$1,,,SUMPRODUCT(MAX(ROW(E$2:E1348)*(E1348=E$2:E1348)))))-COUNTBLANK(OFFSET(A$1,,,SUMPRODUCT(MAX(ROW(E$1:E1347)*(E1348=E$1:E1347))))))</f>
        <v/>
      </c>
      <c r="K1348" s="15" t="str">
        <f aca="false">IF(OR(E1348="",E1348="!!!",F1348="NEW"),"",INDEX(J$1:J1347,SUMPRODUCT(MAX(ROW(E$1:E1347)*(E1348=E$1:E1347)))))</f>
        <v/>
      </c>
      <c r="L1348" s="16"/>
    </row>
    <row r="1349" customFormat="false" ht="12.8" hidden="false" customHeight="false" outlineLevel="0" collapsed="false">
      <c r="E1349" s="10" t="str">
        <f aca="false">IF(D1349="?OLD","!!!","")</f>
        <v/>
      </c>
      <c r="F1349" s="11" t="str">
        <f aca="false">IF(OR(E1349="",E1349="!!!"),"",IF(NOT(ISNA(VLOOKUP(E1349,E$1:E1348,1,FALSE()))),"OLD",IF(AND(E1349&lt;&gt;"",E1349&lt;&gt;"!!!"),"NEW","")))</f>
        <v/>
      </c>
      <c r="G1349" s="12" t="str">
        <f aca="false">IF(OR(E1349="",E1349="!!!"),"",IF(OR(J1349=0,AND(J1349=1,K1349=1),AND(J1349=1,I1349="SBJ"),AND(J1349=1,I1349=0)),"?IN_FOCUS",IF(J1349&lt;=2,"?ACTIVATED",IF(J1349&lt;&gt;"","?FAMILIAR",IF(F1349="NEW",IF(ISNA(VLOOKUP(E1349,#REF!,1,FALSE())),"?TYPE_IDENTIFIABLE","?REFERENTIAL"),"_")))))</f>
        <v/>
      </c>
      <c r="H1349" s="13" t="str">
        <f aca="false">IF(J1349&lt;&gt;1,"",IF(I1349="SBJ","CB","?"))</f>
        <v/>
      </c>
      <c r="I1349" s="14" t="str">
        <f aca="false">IF(OR(E1349="",E1349="!!!",F1349="NEW"),"",INDEX(B$2:B1348,-1+SUMPRODUCT(MAX(ROW(E$2:E1348)*(E1349=E$2:E1348)))))</f>
        <v/>
      </c>
      <c r="J1349" s="15" t="str">
        <f aca="true">IF(OR(E1349="",E1349="!!!",F1349="NEW"),"",COUNTBLANK(OFFSET(A$1,,,SUMPRODUCT(MAX(ROW(E$2:E1349)*(E1349=E$2:E1349)))))-COUNTBLANK(OFFSET(A$1,,,SUMPRODUCT(MAX(ROW(E$1:E1348)*(E1349=E$1:E1348))))))</f>
        <v/>
      </c>
      <c r="K1349" s="15" t="str">
        <f aca="false">IF(OR(E1349="",E1349="!!!",F1349="NEW"),"",INDEX(J$1:J1348,SUMPRODUCT(MAX(ROW(E$1:E1348)*(E1349=E$1:E1348)))))</f>
        <v/>
      </c>
      <c r="L1349" s="16"/>
    </row>
    <row r="1350" customFormat="false" ht="12.8" hidden="false" customHeight="false" outlineLevel="0" collapsed="false">
      <c r="A1350" s="0" t="s">
        <v>674</v>
      </c>
      <c r="E1350" s="10" t="str">
        <f aca="false">IF(D1350="?OLD","!!!","")</f>
        <v/>
      </c>
      <c r="F1350" s="11" t="str">
        <f aca="false">IF(OR(E1350="",E1350="!!!"),"",IF(NOT(ISNA(VLOOKUP(E1350,E$1:E1349,1,FALSE()))),"OLD",IF(AND(E1350&lt;&gt;"",E1350&lt;&gt;"!!!"),"NEW","")))</f>
        <v/>
      </c>
      <c r="G1350" s="12" t="str">
        <f aca="false">IF(OR(E1350="",E1350="!!!"),"",IF(OR(J1350=0,AND(J1350=1,K1350=1),AND(J1350=1,I1350="SBJ"),AND(J1350=1,I1350=0)),"?IN_FOCUS",IF(J1350&lt;=2,"?ACTIVATED",IF(J1350&lt;&gt;"","?FAMILIAR",IF(F1350="NEW",IF(ISNA(VLOOKUP(E1350,#REF!,1,FALSE())),"?TYPE_IDENTIFIABLE","?REFERENTIAL"),"_")))))</f>
        <v/>
      </c>
      <c r="H1350" s="13" t="str">
        <f aca="false">IF(J1350&lt;&gt;1,"",IF(I1350="SBJ","CB","?"))</f>
        <v/>
      </c>
      <c r="I1350" s="14" t="str">
        <f aca="false">IF(OR(E1350="",E1350="!!!",F1350="NEW"),"",INDEX(B$2:B1349,-1+SUMPRODUCT(MAX(ROW(E$2:E1349)*(E1350=E$2:E1349)))))</f>
        <v/>
      </c>
      <c r="J1350" s="15" t="str">
        <f aca="true">IF(OR(E1350="",E1350="!!!",F1350="NEW"),"",COUNTBLANK(OFFSET(A$1,,,SUMPRODUCT(MAX(ROW(E$2:E1350)*(E1350=E$2:E1350)))))-COUNTBLANK(OFFSET(A$1,,,SUMPRODUCT(MAX(ROW(E$1:E1349)*(E1350=E$1:E1349))))))</f>
        <v/>
      </c>
      <c r="K1350" s="15" t="str">
        <f aca="false">IF(OR(E1350="",E1350="!!!",F1350="NEW"),"",INDEX(J$1:J1349,SUMPRODUCT(MAX(ROW(E$1:E1349)*(E1350=E$1:E1349)))))</f>
        <v/>
      </c>
      <c r="L1350" s="16"/>
    </row>
    <row r="1351" customFormat="false" ht="12.8" hidden="false" customHeight="false" outlineLevel="0" collapsed="false">
      <c r="A1351" s="0" t="s">
        <v>213</v>
      </c>
      <c r="E1351" s="10" t="str">
        <f aca="false">IF(D1351="?OLD","!!!","")</f>
        <v/>
      </c>
      <c r="F1351" s="11" t="str">
        <f aca="false">IF(OR(E1351="",E1351="!!!"),"",IF(NOT(ISNA(VLOOKUP(E1351,E$1:E1350,1,FALSE()))),"OLD",IF(AND(E1351&lt;&gt;"",E1351&lt;&gt;"!!!"),"NEW","")))</f>
        <v/>
      </c>
      <c r="G1351" s="12" t="str">
        <f aca="false">IF(OR(E1351="",E1351="!!!"),"",IF(OR(J1351=0,AND(J1351=1,K1351=1),AND(J1351=1,I1351="SBJ"),AND(J1351=1,I1351=0)),"?IN_FOCUS",IF(J1351&lt;=2,"?ACTIVATED",IF(J1351&lt;&gt;"","?FAMILIAR",IF(F1351="NEW",IF(ISNA(VLOOKUP(E1351,#REF!,1,FALSE())),"?TYPE_IDENTIFIABLE","?REFERENTIAL"),"_")))))</f>
        <v/>
      </c>
      <c r="H1351" s="13" t="str">
        <f aca="false">IF(J1351&lt;&gt;1,"",IF(I1351="SBJ","CB","?"))</f>
        <v/>
      </c>
      <c r="I1351" s="14" t="str">
        <f aca="false">IF(OR(E1351="",E1351="!!!",F1351="NEW"),"",INDEX(B$2:B1350,-1+SUMPRODUCT(MAX(ROW(E$2:E1350)*(E1351=E$2:E1350)))))</f>
        <v/>
      </c>
      <c r="J1351" s="15" t="str">
        <f aca="true">IF(OR(E1351="",E1351="!!!",F1351="NEW"),"",COUNTBLANK(OFFSET(A$1,,,SUMPRODUCT(MAX(ROW(E$2:E1351)*(E1351=E$2:E1351)))))-COUNTBLANK(OFFSET(A$1,,,SUMPRODUCT(MAX(ROW(E$1:E1350)*(E1351=E$1:E1350))))))</f>
        <v/>
      </c>
      <c r="K1351" s="15" t="str">
        <f aca="false">IF(OR(E1351="",E1351="!!!",F1351="NEW"),"",INDEX(J$1:J1350,SUMPRODUCT(MAX(ROW(E$1:E1350)*(E1351=E$1:E1350)))))</f>
        <v/>
      </c>
      <c r="L1351" s="16"/>
    </row>
    <row r="1352" customFormat="false" ht="12.8" hidden="false" customHeight="false" outlineLevel="0" collapsed="false">
      <c r="A1352" s="0" t="s">
        <v>44</v>
      </c>
      <c r="E1352" s="10" t="str">
        <f aca="false">IF(D1352="?OLD","!!!","")</f>
        <v/>
      </c>
      <c r="F1352" s="11" t="str">
        <f aca="false">IF(OR(E1352="",E1352="!!!"),"",IF(NOT(ISNA(VLOOKUP(E1352,E$1:E1351,1,FALSE()))),"OLD",IF(AND(E1352&lt;&gt;"",E1352&lt;&gt;"!!!"),"NEW","")))</f>
        <v/>
      </c>
      <c r="G1352" s="12" t="str">
        <f aca="false">IF(OR(E1352="",E1352="!!!"),"",IF(OR(J1352=0,AND(J1352=1,K1352=1),AND(J1352=1,I1352="SBJ"),AND(J1352=1,I1352=0)),"?IN_FOCUS",IF(J1352&lt;=2,"?ACTIVATED",IF(J1352&lt;&gt;"","?FAMILIAR",IF(F1352="NEW",IF(ISNA(VLOOKUP(E1352,#REF!,1,FALSE())),"?TYPE_IDENTIFIABLE","?REFERENTIAL"),"_")))))</f>
        <v/>
      </c>
      <c r="H1352" s="13" t="str">
        <f aca="false">IF(J1352&lt;&gt;1,"",IF(I1352="SBJ","CB","?"))</f>
        <v/>
      </c>
      <c r="I1352" s="14" t="str">
        <f aca="false">IF(OR(E1352="",E1352="!!!",F1352="NEW"),"",INDEX(B$2:B1351,-1+SUMPRODUCT(MAX(ROW(E$2:E1351)*(E1352=E$2:E1351)))))</f>
        <v/>
      </c>
      <c r="J1352" s="15" t="str">
        <f aca="true">IF(OR(E1352="",E1352="!!!",F1352="NEW"),"",COUNTBLANK(OFFSET(A$1,,,SUMPRODUCT(MAX(ROW(E$2:E1352)*(E1352=E$2:E1352)))))-COUNTBLANK(OFFSET(A$1,,,SUMPRODUCT(MAX(ROW(E$1:E1351)*(E1352=E$1:E1351))))))</f>
        <v/>
      </c>
      <c r="K1352" s="15" t="str">
        <f aca="false">IF(OR(E1352="",E1352="!!!",F1352="NEW"),"",INDEX(J$1:J1351,SUMPRODUCT(MAX(ROW(E$1:E1351)*(E1352=E$1:E1351)))))</f>
        <v/>
      </c>
      <c r="L1352" s="16"/>
    </row>
    <row r="1353" customFormat="false" ht="12.8" hidden="false" customHeight="false" outlineLevel="0" collapsed="false">
      <c r="A1353" s="0" t="s">
        <v>202</v>
      </c>
      <c r="B1353" s="0" t="s">
        <v>34</v>
      </c>
      <c r="C1353" s="0" t="s">
        <v>48</v>
      </c>
      <c r="D1353" s="0" t="s">
        <v>20</v>
      </c>
      <c r="E1353" s="10" t="s">
        <v>666</v>
      </c>
      <c r="F1353" s="11" t="str">
        <f aca="false">IF(OR(E1353="",E1353="!!!"),"",IF(NOT(ISNA(VLOOKUP(E1353,E$1:E1352,1,FALSE()))),"OLD",IF(AND(E1353&lt;&gt;"",E1353&lt;&gt;"!!!"),"NEW","")))</f>
        <v>OLD</v>
      </c>
      <c r="G1353" s="12" t="s">
        <v>87</v>
      </c>
      <c r="H1353" s="13" t="s">
        <v>7</v>
      </c>
      <c r="I1353" s="14" t="str">
        <f aca="false">IF(OR(E1353="",E1353="!!!",F1353="NEW"),"",INDEX(B$2:B1352,-1+SUMPRODUCT(MAX(ROW(E$2:E1352)*(E1353=E$2:E1352)))))</f>
        <v>SBJ_2</v>
      </c>
      <c r="J1353" s="15" t="n">
        <f aca="true">IF(OR(E1353="",E1353="!!!",F1353="NEW"),"",COUNTBLANK(OFFSET(A$1,,,SUMPRODUCT(MAX(ROW(E$2:E1353)*(E1353=E$2:E1353)))))-COUNTBLANK(OFFSET(A$1,,,SUMPRODUCT(MAX(ROW(E$1:E1352)*(E1353=E$1:E1352))))))</f>
        <v>1</v>
      </c>
      <c r="K1353" s="15" t="n">
        <f aca="false">IF(OR(E1353="",E1353="!!!",F1353="NEW"),"",INDEX(J$1:J1352,SUMPRODUCT(MAX(ROW(E$1:E1352)*(E1353=E$1:E1352)))))</f>
        <v>0</v>
      </c>
      <c r="L1353" s="16"/>
    </row>
    <row r="1354" customFormat="false" ht="12.8" hidden="false" customHeight="false" outlineLevel="0" collapsed="false">
      <c r="A1354" s="0" t="s">
        <v>223</v>
      </c>
      <c r="E1354" s="10" t="str">
        <f aca="false">IF(D1354="?OLD","!!!","")</f>
        <v/>
      </c>
      <c r="F1354" s="11" t="str">
        <f aca="false">IF(OR(E1354="",E1354="!!!"),"",IF(NOT(ISNA(VLOOKUP(E1354,E$1:E1353,1,FALSE()))),"OLD",IF(AND(E1354&lt;&gt;"",E1354&lt;&gt;"!!!"),"NEW","")))</f>
        <v/>
      </c>
      <c r="G1354" s="12" t="str">
        <f aca="false">IF(OR(E1354="",E1354="!!!"),"",IF(OR(J1354=0,AND(J1354=1,K1354=1),AND(J1354=1,I1354="SBJ"),AND(J1354=1,I1354=0)),"?IN_FOCUS",IF(J1354&lt;=2,"?ACTIVATED",IF(J1354&lt;&gt;"","?FAMILIAR",IF(F1354="NEW",IF(ISNA(VLOOKUP(E1354,#REF!,1,FALSE())),"?TYPE_IDENTIFIABLE","?REFERENTIAL"),"_")))))</f>
        <v/>
      </c>
      <c r="H1354" s="13" t="str">
        <f aca="false">IF(J1354&lt;&gt;1,"",IF(I1354="SBJ","CB","?"))</f>
        <v/>
      </c>
      <c r="I1354" s="14" t="str">
        <f aca="false">IF(OR(E1354="",E1354="!!!",F1354="NEW"),"",INDEX(B$2:B1353,-1+SUMPRODUCT(MAX(ROW(E$2:E1353)*(E1354=E$2:E1353)))))</f>
        <v/>
      </c>
      <c r="J1354" s="15" t="str">
        <f aca="true">IF(OR(E1354="",E1354="!!!",F1354="NEW"),"",COUNTBLANK(OFFSET(A$1,,,SUMPRODUCT(MAX(ROW(E$2:E1354)*(E1354=E$2:E1354)))))-COUNTBLANK(OFFSET(A$1,,,SUMPRODUCT(MAX(ROW(E$1:E1353)*(E1354=E$1:E1353))))))</f>
        <v/>
      </c>
      <c r="K1354" s="15" t="str">
        <f aca="false">IF(OR(E1354="",E1354="!!!",F1354="NEW"),"",INDEX(J$1:J1353,SUMPRODUCT(MAX(ROW(E$1:E1353)*(E1354=E$1:E1353)))))</f>
        <v/>
      </c>
      <c r="L1354" s="16"/>
    </row>
    <row r="1355" customFormat="false" ht="12.8" hidden="false" customHeight="false" outlineLevel="0" collapsed="false">
      <c r="A1355" s="0" t="s">
        <v>675</v>
      </c>
      <c r="E1355" s="10" t="str">
        <f aca="false">IF(D1355="?OLD","!!!","")</f>
        <v/>
      </c>
      <c r="F1355" s="11" t="str">
        <f aca="false">IF(OR(E1355="",E1355="!!!"),"",IF(NOT(ISNA(VLOOKUP(E1355,E$1:E1354,1,FALSE()))),"OLD",IF(AND(E1355&lt;&gt;"",E1355&lt;&gt;"!!!"),"NEW","")))</f>
        <v/>
      </c>
      <c r="G1355" s="12" t="str">
        <f aca="false">IF(OR(E1355="",E1355="!!!"),"",IF(OR(J1355=0,AND(J1355=1,K1355=1),AND(J1355=1,I1355="SBJ"),AND(J1355=1,I1355=0)),"?IN_FOCUS",IF(J1355&lt;=2,"?ACTIVATED",IF(J1355&lt;&gt;"","?FAMILIAR",IF(F1355="NEW",IF(ISNA(VLOOKUP(E1355,#REF!,1,FALSE())),"?TYPE_IDENTIFIABLE","?REFERENTIAL"),"_")))))</f>
        <v/>
      </c>
      <c r="H1355" s="13" t="str">
        <f aca="false">IF(J1355&lt;&gt;1,"",IF(I1355="SBJ","CB","?"))</f>
        <v/>
      </c>
      <c r="I1355" s="14" t="str">
        <f aca="false">IF(OR(E1355="",E1355="!!!",F1355="NEW"),"",INDEX(B$2:B1354,-1+SUMPRODUCT(MAX(ROW(E$2:E1354)*(E1355=E$2:E1354)))))</f>
        <v/>
      </c>
      <c r="J1355" s="15" t="str">
        <f aca="true">IF(OR(E1355="",E1355="!!!",F1355="NEW"),"",COUNTBLANK(OFFSET(A$1,,,SUMPRODUCT(MAX(ROW(E$2:E1355)*(E1355=E$2:E1355)))))-COUNTBLANK(OFFSET(A$1,,,SUMPRODUCT(MAX(ROW(E$1:E1354)*(E1355=E$1:E1354))))))</f>
        <v/>
      </c>
      <c r="K1355" s="15" t="str">
        <f aca="false">IF(OR(E1355="",E1355="!!!",F1355="NEW"),"",INDEX(J$1:J1354,SUMPRODUCT(MAX(ROW(E$1:E1354)*(E1355=E$1:E1354)))))</f>
        <v/>
      </c>
      <c r="L1355" s="16"/>
    </row>
    <row r="1356" customFormat="false" ht="12.8" hidden="false" customHeight="false" outlineLevel="0" collapsed="false">
      <c r="A1356" s="0" t="s">
        <v>676</v>
      </c>
      <c r="E1356" s="10" t="str">
        <f aca="false">IF(D1356="?OLD","!!!","")</f>
        <v/>
      </c>
      <c r="F1356" s="11" t="str">
        <f aca="false">IF(OR(E1356="",E1356="!!!"),"",IF(NOT(ISNA(VLOOKUP(E1356,E$1:E1355,1,FALSE()))),"OLD",IF(AND(E1356&lt;&gt;"",E1356&lt;&gt;"!!!"),"NEW","")))</f>
        <v/>
      </c>
      <c r="G1356" s="12" t="str">
        <f aca="false">IF(OR(E1356="",E1356="!!!"),"",IF(OR(J1356=0,AND(J1356=1,K1356=1),AND(J1356=1,I1356="SBJ"),AND(J1356=1,I1356=0)),"?IN_FOCUS",IF(J1356&lt;=2,"?ACTIVATED",IF(J1356&lt;&gt;"","?FAMILIAR",IF(F1356="NEW",IF(ISNA(VLOOKUP(E1356,#REF!,1,FALSE())),"?TYPE_IDENTIFIABLE","?REFERENTIAL"),"_")))))</f>
        <v/>
      </c>
      <c r="H1356" s="13" t="str">
        <f aca="false">IF(J1356&lt;&gt;1,"",IF(I1356="SBJ","CB","?"))</f>
        <v/>
      </c>
      <c r="I1356" s="14" t="str">
        <f aca="false">IF(OR(E1356="",E1356="!!!",F1356="NEW"),"",INDEX(B$2:B1355,-1+SUMPRODUCT(MAX(ROW(E$2:E1355)*(E1356=E$2:E1355)))))</f>
        <v/>
      </c>
      <c r="J1356" s="15" t="str">
        <f aca="true">IF(OR(E1356="",E1356="!!!",F1356="NEW"),"",COUNTBLANK(OFFSET(A$1,,,SUMPRODUCT(MAX(ROW(E$2:E1356)*(E1356=E$2:E1356)))))-COUNTBLANK(OFFSET(A$1,,,SUMPRODUCT(MAX(ROW(E$1:E1355)*(E1356=E$1:E1355))))))</f>
        <v/>
      </c>
      <c r="K1356" s="15" t="str">
        <f aca="false">IF(OR(E1356="",E1356="!!!",F1356="NEW"),"",INDEX(J$1:J1355,SUMPRODUCT(MAX(ROW(E$1:E1355)*(E1356=E$1:E1355)))))</f>
        <v/>
      </c>
      <c r="L1356" s="16"/>
    </row>
    <row r="1357" customFormat="false" ht="12.8" hidden="false" customHeight="false" outlineLevel="0" collapsed="false">
      <c r="A1357" s="0" t="n">
        <v>100</v>
      </c>
      <c r="E1357" s="10" t="str">
        <f aca="false">IF(D1357="?OLD","!!!","")</f>
        <v/>
      </c>
      <c r="F1357" s="11" t="str">
        <f aca="false">IF(OR(E1357="",E1357="!!!"),"",IF(NOT(ISNA(VLOOKUP(E1357,E$1:E1356,1,FALSE()))),"OLD",IF(AND(E1357&lt;&gt;"",E1357&lt;&gt;"!!!"),"NEW","")))</f>
        <v/>
      </c>
      <c r="G1357" s="12" t="str">
        <f aca="false">IF(OR(E1357="",E1357="!!!"),"",IF(OR(J1357=0,AND(J1357=1,K1357=1),AND(J1357=1,I1357="SBJ"),AND(J1357=1,I1357=0)),"?IN_FOCUS",IF(J1357&lt;=2,"?ACTIVATED",IF(J1357&lt;&gt;"","?FAMILIAR",IF(F1357="NEW",IF(ISNA(VLOOKUP(E1357,#REF!,1,FALSE())),"?TYPE_IDENTIFIABLE","?REFERENTIAL"),"_")))))</f>
        <v/>
      </c>
      <c r="H1357" s="13" t="str">
        <f aca="false">IF(J1357&lt;&gt;1,"",IF(I1357="SBJ","CB","?"))</f>
        <v/>
      </c>
      <c r="I1357" s="14" t="str">
        <f aca="false">IF(OR(E1357="",E1357="!!!",F1357="NEW"),"",INDEX(B$2:B1356,-1+SUMPRODUCT(MAX(ROW(E$2:E1356)*(E1357=E$2:E1356)))))</f>
        <v/>
      </c>
      <c r="J1357" s="15" t="str">
        <f aca="true">IF(OR(E1357="",E1357="!!!",F1357="NEW"),"",COUNTBLANK(OFFSET(A$1,,,SUMPRODUCT(MAX(ROW(E$2:E1357)*(E1357=E$2:E1357)))))-COUNTBLANK(OFFSET(A$1,,,SUMPRODUCT(MAX(ROW(E$1:E1356)*(E1357=E$1:E1356))))))</f>
        <v/>
      </c>
      <c r="K1357" s="15" t="str">
        <f aca="false">IF(OR(E1357="",E1357="!!!",F1357="NEW"),"",INDEX(J$1:J1356,SUMPRODUCT(MAX(ROW(E$1:E1356)*(E1357=E$1:E1356)))))</f>
        <v/>
      </c>
      <c r="L1357" s="16"/>
    </row>
    <row r="1358" customFormat="false" ht="12.8" hidden="false" customHeight="false" outlineLevel="0" collapsed="false">
      <c r="A1358" s="0" t="s">
        <v>386</v>
      </c>
      <c r="E1358" s="10" t="str">
        <f aca="false">IF(D1358="?OLD","!!!","")</f>
        <v/>
      </c>
      <c r="F1358" s="11" t="str">
        <f aca="false">IF(OR(E1358="",E1358="!!!"),"",IF(NOT(ISNA(VLOOKUP(E1358,E$1:E1357,1,FALSE()))),"OLD",IF(AND(E1358&lt;&gt;"",E1358&lt;&gt;"!!!"),"NEW","")))</f>
        <v/>
      </c>
      <c r="G1358" s="12" t="str">
        <f aca="false">IF(OR(E1358="",E1358="!!!"),"",IF(OR(J1358=0,AND(J1358=1,K1358=1),AND(J1358=1,I1358="SBJ"),AND(J1358=1,I1358=0)),"?IN_FOCUS",IF(J1358&lt;=2,"?ACTIVATED",IF(J1358&lt;&gt;"","?FAMILIAR",IF(F1358="NEW",IF(ISNA(VLOOKUP(E1358,#REF!,1,FALSE())),"?TYPE_IDENTIFIABLE","?REFERENTIAL"),"_")))))</f>
        <v/>
      </c>
      <c r="H1358" s="13" t="str">
        <f aca="false">IF(J1358&lt;&gt;1,"",IF(I1358="SBJ","CB","?"))</f>
        <v/>
      </c>
      <c r="I1358" s="14" t="str">
        <f aca="false">IF(OR(E1358="",E1358="!!!",F1358="NEW"),"",INDEX(B$2:B1357,-1+SUMPRODUCT(MAX(ROW(E$2:E1357)*(E1358=E$2:E1357)))))</f>
        <v/>
      </c>
      <c r="J1358" s="15" t="str">
        <f aca="true">IF(OR(E1358="",E1358="!!!",F1358="NEW"),"",COUNTBLANK(OFFSET(A$1,,,SUMPRODUCT(MAX(ROW(E$2:E1358)*(E1358=E$2:E1358)))))-COUNTBLANK(OFFSET(A$1,,,SUMPRODUCT(MAX(ROW(E$1:E1357)*(E1358=E$1:E1357))))))</f>
        <v/>
      </c>
      <c r="K1358" s="15" t="str">
        <f aca="false">IF(OR(E1358="",E1358="!!!",F1358="NEW"),"",INDEX(J$1:J1357,SUMPRODUCT(MAX(ROW(E$1:E1357)*(E1358=E$1:E1357)))))</f>
        <v/>
      </c>
      <c r="L1358" s="16"/>
    </row>
    <row r="1359" customFormat="false" ht="12.8" hidden="false" customHeight="false" outlineLevel="0" collapsed="false">
      <c r="A1359" s="0" t="s">
        <v>149</v>
      </c>
      <c r="E1359" s="10" t="str">
        <f aca="false">IF(D1359="?OLD","!!!","")</f>
        <v/>
      </c>
      <c r="F1359" s="11" t="str">
        <f aca="false">IF(OR(E1359="",E1359="!!!"),"",IF(NOT(ISNA(VLOOKUP(E1359,E$1:E1358,1,FALSE()))),"OLD",IF(AND(E1359&lt;&gt;"",E1359&lt;&gt;"!!!"),"NEW","")))</f>
        <v/>
      </c>
      <c r="G1359" s="12" t="str">
        <f aca="false">IF(OR(E1359="",E1359="!!!"),"",IF(OR(J1359=0,AND(J1359=1,K1359=1),AND(J1359=1,I1359="SBJ"),AND(J1359=1,I1359=0)),"?IN_FOCUS",IF(J1359&lt;=2,"?ACTIVATED",IF(J1359&lt;&gt;"","?FAMILIAR",IF(F1359="NEW",IF(ISNA(VLOOKUP(E1359,#REF!,1,FALSE())),"?TYPE_IDENTIFIABLE","?REFERENTIAL"),"_")))))</f>
        <v/>
      </c>
      <c r="H1359" s="13" t="str">
        <f aca="false">IF(J1359&lt;&gt;1,"",IF(I1359="SBJ","CB","?"))</f>
        <v/>
      </c>
      <c r="I1359" s="14" t="str">
        <f aca="false">IF(OR(E1359="",E1359="!!!",F1359="NEW"),"",INDEX(B$2:B1358,-1+SUMPRODUCT(MAX(ROW(E$2:E1358)*(E1359=E$2:E1358)))))</f>
        <v/>
      </c>
      <c r="J1359" s="15" t="str">
        <f aca="true">IF(OR(E1359="",E1359="!!!",F1359="NEW"),"",COUNTBLANK(OFFSET(A$1,,,SUMPRODUCT(MAX(ROW(E$2:E1359)*(E1359=E$2:E1359)))))-COUNTBLANK(OFFSET(A$1,,,SUMPRODUCT(MAX(ROW(E$1:E1358)*(E1359=E$1:E1358))))))</f>
        <v/>
      </c>
      <c r="K1359" s="15" t="str">
        <f aca="false">IF(OR(E1359="",E1359="!!!",F1359="NEW"),"",INDEX(J$1:J1358,SUMPRODUCT(MAX(ROW(E$1:E1358)*(E1359=E$1:E1358)))))</f>
        <v/>
      </c>
      <c r="L1359" s="16"/>
    </row>
    <row r="1360" customFormat="false" ht="12.8" hidden="false" customHeight="false" outlineLevel="0" collapsed="false">
      <c r="A1360" s="0" t="s">
        <v>25</v>
      </c>
      <c r="B1360" s="0" t="s">
        <v>14</v>
      </c>
      <c r="C1360" s="0" t="s">
        <v>31</v>
      </c>
      <c r="E1360" s="10" t="str">
        <f aca="false">IF(D1360="?OLD","!!!","")</f>
        <v/>
      </c>
      <c r="F1360" s="11" t="str">
        <f aca="false">IF(OR(E1360="",E1360="!!!"),"",IF(NOT(ISNA(VLOOKUP(E1360,E$1:E1359,1,FALSE()))),"OLD",IF(AND(E1360&lt;&gt;"",E1360&lt;&gt;"!!!"),"NEW","")))</f>
        <v/>
      </c>
      <c r="G1360" s="12" t="str">
        <f aca="false">IF(OR(E1360="",E1360="!!!"),"",IF(OR(J1360=0,AND(J1360=1,K1360=1),AND(J1360=1,I1360="SBJ"),AND(J1360=1,I1360=0)),"?IN_FOCUS",IF(J1360&lt;=2,"?ACTIVATED",IF(J1360&lt;&gt;"","?FAMILIAR",IF(F1360="NEW",IF(ISNA(VLOOKUP(E1360,#REF!,1,FALSE())),"?TYPE_IDENTIFIABLE","?REFERENTIAL"),"_")))))</f>
        <v/>
      </c>
      <c r="H1360" s="13" t="str">
        <f aca="false">IF(J1360&lt;&gt;1,"",IF(I1360="SBJ","CB","?"))</f>
        <v/>
      </c>
      <c r="I1360" s="14" t="str">
        <f aca="false">IF(OR(E1360="",E1360="!!!",F1360="NEW"),"",INDEX(B$2:B1359,-1+SUMPRODUCT(MAX(ROW(E$2:E1359)*(E1360=E$2:E1359)))))</f>
        <v/>
      </c>
      <c r="J1360" s="15" t="str">
        <f aca="true">IF(OR(E1360="",E1360="!!!",F1360="NEW"),"",COUNTBLANK(OFFSET(A$1,,,SUMPRODUCT(MAX(ROW(E$2:E1360)*(E1360=E$2:E1360)))))-COUNTBLANK(OFFSET(A$1,,,SUMPRODUCT(MAX(ROW(E$1:E1359)*(E1360=E$1:E1359))))))</f>
        <v/>
      </c>
      <c r="K1360" s="15" t="str">
        <f aca="false">IF(OR(E1360="",E1360="!!!",F1360="NEW"),"",INDEX(J$1:J1359,SUMPRODUCT(MAX(ROW(E$1:E1359)*(E1360=E$1:E1359)))))</f>
        <v/>
      </c>
      <c r="L1360" s="16"/>
    </row>
    <row r="1361" customFormat="false" ht="12.8" hidden="false" customHeight="false" outlineLevel="0" collapsed="false">
      <c r="A1361" s="0" t="s">
        <v>79</v>
      </c>
      <c r="E1361" s="10" t="str">
        <f aca="false">IF(D1361="?OLD","!!!","")</f>
        <v/>
      </c>
      <c r="F1361" s="11" t="str">
        <f aca="false">IF(OR(E1361="",E1361="!!!"),"",IF(NOT(ISNA(VLOOKUP(E1361,E$1:E1360,1,FALSE()))),"OLD",IF(AND(E1361&lt;&gt;"",E1361&lt;&gt;"!!!"),"NEW","")))</f>
        <v/>
      </c>
      <c r="G1361" s="12" t="str">
        <f aca="false">IF(OR(E1361="",E1361="!!!"),"",IF(OR(J1361=0,AND(J1361=1,K1361=1),AND(J1361=1,I1361="SBJ"),AND(J1361=1,I1361=0)),"?IN_FOCUS",IF(J1361&lt;=2,"?ACTIVATED",IF(J1361&lt;&gt;"","?FAMILIAR",IF(F1361="NEW",IF(ISNA(VLOOKUP(E1361,#REF!,1,FALSE())),"?TYPE_IDENTIFIABLE","?REFERENTIAL"),"_")))))</f>
        <v/>
      </c>
      <c r="H1361" s="13" t="str">
        <f aca="false">IF(J1361&lt;&gt;1,"",IF(I1361="SBJ","CB","?"))</f>
        <v/>
      </c>
      <c r="I1361" s="14" t="str">
        <f aca="false">IF(OR(E1361="",E1361="!!!",F1361="NEW"),"",INDEX(B$2:B1360,-1+SUMPRODUCT(MAX(ROW(E$2:E1360)*(E1361=E$2:E1360)))))</f>
        <v/>
      </c>
      <c r="J1361" s="15" t="str">
        <f aca="true">IF(OR(E1361="",E1361="!!!",F1361="NEW"),"",COUNTBLANK(OFFSET(A$1,,,SUMPRODUCT(MAX(ROW(E$2:E1361)*(E1361=E$2:E1361)))))-COUNTBLANK(OFFSET(A$1,,,SUMPRODUCT(MAX(ROW(E$1:E1360)*(E1361=E$1:E1360))))))</f>
        <v/>
      </c>
      <c r="K1361" s="15" t="str">
        <f aca="false">IF(OR(E1361="",E1361="!!!",F1361="NEW"),"",INDEX(J$1:J1360,SUMPRODUCT(MAX(ROW(E$1:E1360)*(E1361=E$1:E1360)))))</f>
        <v/>
      </c>
      <c r="L1361" s="16"/>
    </row>
    <row r="1362" customFormat="false" ht="12.8" hidden="false" customHeight="false" outlineLevel="0" collapsed="false">
      <c r="A1362" s="0" t="s">
        <v>677</v>
      </c>
      <c r="E1362" s="10" t="str">
        <f aca="false">IF(D1362="?OLD","!!!","")</f>
        <v/>
      </c>
      <c r="F1362" s="11" t="str">
        <f aca="false">IF(OR(E1362="",E1362="!!!"),"",IF(NOT(ISNA(VLOOKUP(E1362,E$1:E1361,1,FALSE()))),"OLD",IF(AND(E1362&lt;&gt;"",E1362&lt;&gt;"!!!"),"NEW","")))</f>
        <v/>
      </c>
      <c r="G1362" s="12" t="str">
        <f aca="false">IF(OR(E1362="",E1362="!!!"),"",IF(OR(J1362=0,AND(J1362=1,K1362=1),AND(J1362=1,I1362="SBJ"),AND(J1362=1,I1362=0)),"?IN_FOCUS",IF(J1362&lt;=2,"?ACTIVATED",IF(J1362&lt;&gt;"","?FAMILIAR",IF(F1362="NEW",IF(ISNA(VLOOKUP(E1362,#REF!,1,FALSE())),"?TYPE_IDENTIFIABLE","?REFERENTIAL"),"_")))))</f>
        <v/>
      </c>
      <c r="H1362" s="13" t="str">
        <f aca="false">IF(J1362&lt;&gt;1,"",IF(I1362="SBJ","CB","?"))</f>
        <v/>
      </c>
      <c r="I1362" s="14" t="str">
        <f aca="false">IF(OR(E1362="",E1362="!!!",F1362="NEW"),"",INDEX(B$2:B1361,-1+SUMPRODUCT(MAX(ROW(E$2:E1361)*(E1362=E$2:E1361)))))</f>
        <v/>
      </c>
      <c r="J1362" s="15" t="str">
        <f aca="true">IF(OR(E1362="",E1362="!!!",F1362="NEW"),"",COUNTBLANK(OFFSET(A$1,,,SUMPRODUCT(MAX(ROW(E$2:E1362)*(E1362=E$2:E1362)))))-COUNTBLANK(OFFSET(A$1,,,SUMPRODUCT(MAX(ROW(E$1:E1361)*(E1362=E$1:E1361))))))</f>
        <v/>
      </c>
      <c r="K1362" s="15" t="str">
        <f aca="false">IF(OR(E1362="",E1362="!!!",F1362="NEW"),"",INDEX(J$1:J1361,SUMPRODUCT(MAX(ROW(E$1:E1361)*(E1362=E$1:E1361)))))</f>
        <v/>
      </c>
      <c r="L1362" s="16"/>
    </row>
    <row r="1363" customFormat="false" ht="12.8" hidden="false" customHeight="false" outlineLevel="0" collapsed="false">
      <c r="A1363" s="0" t="s">
        <v>678</v>
      </c>
      <c r="E1363" s="10" t="str">
        <f aca="false">IF(D1363="?OLD","!!!","")</f>
        <v/>
      </c>
      <c r="F1363" s="11" t="str">
        <f aca="false">IF(OR(E1363="",E1363="!!!"),"",IF(NOT(ISNA(VLOOKUP(E1363,E$1:E1362,1,FALSE()))),"OLD",IF(AND(E1363&lt;&gt;"",E1363&lt;&gt;"!!!"),"NEW","")))</f>
        <v/>
      </c>
      <c r="G1363" s="12" t="str">
        <f aca="false">IF(OR(E1363="",E1363="!!!"),"",IF(OR(J1363=0,AND(J1363=1,K1363=1),AND(J1363=1,I1363="SBJ"),AND(J1363=1,I1363=0)),"?IN_FOCUS",IF(J1363&lt;=2,"?ACTIVATED",IF(J1363&lt;&gt;"","?FAMILIAR",IF(F1363="NEW",IF(ISNA(VLOOKUP(E1363,#REF!,1,FALSE())),"?TYPE_IDENTIFIABLE","?REFERENTIAL"),"_")))))</f>
        <v/>
      </c>
      <c r="H1363" s="13" t="str">
        <f aca="false">IF(J1363&lt;&gt;1,"",IF(I1363="SBJ","CB","?"))</f>
        <v/>
      </c>
      <c r="I1363" s="14" t="str">
        <f aca="false">IF(OR(E1363="",E1363="!!!",F1363="NEW"),"",INDEX(B$2:B1362,-1+SUMPRODUCT(MAX(ROW(E$2:E1362)*(E1363=E$2:E1362)))))</f>
        <v/>
      </c>
      <c r="J1363" s="15" t="str">
        <f aca="true">IF(OR(E1363="",E1363="!!!",F1363="NEW"),"",COUNTBLANK(OFFSET(A$1,,,SUMPRODUCT(MAX(ROW(E$2:E1363)*(E1363=E$2:E1363)))))-COUNTBLANK(OFFSET(A$1,,,SUMPRODUCT(MAX(ROW(E$1:E1362)*(E1363=E$1:E1362))))))</f>
        <v/>
      </c>
      <c r="K1363" s="15" t="str">
        <f aca="false">IF(OR(E1363="",E1363="!!!",F1363="NEW"),"",INDEX(J$1:J1362,SUMPRODUCT(MAX(ROW(E$1:E1362)*(E1363=E$1:E1362)))))</f>
        <v/>
      </c>
      <c r="L1363" s="16"/>
    </row>
    <row r="1364" customFormat="false" ht="12.8" hidden="false" customHeight="false" outlineLevel="0" collapsed="false">
      <c r="A1364" s="0" t="s">
        <v>298</v>
      </c>
      <c r="B1364" s="0" t="s">
        <v>75</v>
      </c>
      <c r="C1364" s="0" t="s">
        <v>19</v>
      </c>
      <c r="D1364" s="0" t="s">
        <v>20</v>
      </c>
      <c r="E1364" s="10" t="s">
        <v>298</v>
      </c>
      <c r="F1364" s="11" t="str">
        <f aca="false">IF(OR(E1364="",E1364="!!!"),"",IF(NOT(ISNA(VLOOKUP(E1364,E$1:E1363,1,FALSE()))),"OLD",IF(AND(E1364&lt;&gt;"",E1364&lt;&gt;"!!!"),"NEW","")))</f>
        <v>OLD</v>
      </c>
      <c r="G1364" s="12" t="s">
        <v>36</v>
      </c>
      <c r="H1364" s="13" t="str">
        <f aca="false">IF(J1364&lt;&gt;1,"",IF(I1364="SBJ","CB","?"))</f>
        <v/>
      </c>
      <c r="I1364" s="14" t="str">
        <f aca="false">IF(OR(E1364="",E1364="!!!",F1364="NEW"),"",INDEX(B$2:B1363,-1+SUMPRODUCT(MAX(ROW(E$2:E1363)*(E1364=E$2:E1363)))))</f>
        <v>OBJ_2</v>
      </c>
      <c r="J1364" s="15" t="n">
        <f aca="true">IF(OR(E1364="",E1364="!!!",F1364="NEW"),"",COUNTBLANK(OFFSET(A$1,,,SUMPRODUCT(MAX(ROW(E$2:E1364)*(E1364=E$2:E1364)))))-COUNTBLANK(OFFSET(A$1,,,SUMPRODUCT(MAX(ROW(E$1:E1363)*(E1364=E$1:E1363))))))</f>
        <v>4</v>
      </c>
      <c r="K1364" s="15" t="n">
        <f aca="false">IF(OR(E1364="",E1364="!!!",F1364="NEW"),"",INDEX(J$1:J1363,SUMPRODUCT(MAX(ROW(E$1:E1363)*(E1364=E$1:E1363)))))</f>
        <v>0</v>
      </c>
      <c r="L1364" s="16"/>
    </row>
    <row r="1365" customFormat="false" ht="12.8" hidden="false" customHeight="false" outlineLevel="0" collapsed="false">
      <c r="A1365" s="0" t="s">
        <v>565</v>
      </c>
      <c r="E1365" s="10" t="str">
        <f aca="false">IF(D1365="?OLD","!!!","")</f>
        <v/>
      </c>
      <c r="F1365" s="11" t="str">
        <f aca="false">IF(OR(E1365="",E1365="!!!"),"",IF(NOT(ISNA(VLOOKUP(E1365,E$1:E1364,1,FALSE()))),"OLD",IF(AND(E1365&lt;&gt;"",E1365&lt;&gt;"!!!"),"NEW","")))</f>
        <v/>
      </c>
      <c r="G1365" s="12" t="str">
        <f aca="false">IF(OR(E1365="",E1365="!!!"),"",IF(OR(J1365=0,AND(J1365=1,K1365=1),AND(J1365=1,I1365="SBJ"),AND(J1365=1,I1365=0)),"?IN_FOCUS",IF(J1365&lt;=2,"?ACTIVATED",IF(J1365&lt;&gt;"","?FAMILIAR",IF(F1365="NEW",IF(ISNA(VLOOKUP(E1365,#REF!,1,FALSE())),"?TYPE_IDENTIFIABLE","?REFERENTIAL"),"_")))))</f>
        <v/>
      </c>
      <c r="H1365" s="13" t="str">
        <f aca="false">IF(J1365&lt;&gt;1,"",IF(I1365="SBJ","CB","?"))</f>
        <v/>
      </c>
      <c r="I1365" s="14" t="str">
        <f aca="false">IF(OR(E1365="",E1365="!!!",F1365="NEW"),"",INDEX(B$2:B1364,-1+SUMPRODUCT(MAX(ROW(E$2:E1364)*(E1365=E$2:E1364)))))</f>
        <v/>
      </c>
      <c r="J1365" s="15" t="str">
        <f aca="true">IF(OR(E1365="",E1365="!!!",F1365="NEW"),"",COUNTBLANK(OFFSET(A$1,,,SUMPRODUCT(MAX(ROW(E$2:E1365)*(E1365=E$2:E1365)))))-COUNTBLANK(OFFSET(A$1,,,SUMPRODUCT(MAX(ROW(E$1:E1364)*(E1365=E$1:E1364))))))</f>
        <v/>
      </c>
      <c r="K1365" s="15" t="str">
        <f aca="false">IF(OR(E1365="",E1365="!!!",F1365="NEW"),"",INDEX(J$1:J1364,SUMPRODUCT(MAX(ROW(E$1:E1364)*(E1365=E$1:E1364)))))</f>
        <v/>
      </c>
      <c r="L1365" s="16"/>
    </row>
    <row r="1366" customFormat="false" ht="12.8" hidden="false" customHeight="false" outlineLevel="0" collapsed="false">
      <c r="A1366" s="0" t="s">
        <v>62</v>
      </c>
      <c r="E1366" s="10" t="str">
        <f aca="false">IF(D1366="?OLD","!!!","")</f>
        <v/>
      </c>
      <c r="F1366" s="11" t="str">
        <f aca="false">IF(OR(E1366="",E1366="!!!"),"",IF(NOT(ISNA(VLOOKUP(E1366,E$1:E1365,1,FALSE()))),"OLD",IF(AND(E1366&lt;&gt;"",E1366&lt;&gt;"!!!"),"NEW","")))</f>
        <v/>
      </c>
      <c r="G1366" s="12" t="str">
        <f aca="false">IF(OR(E1366="",E1366="!!!"),"",IF(OR(J1366=0,AND(J1366=1,K1366=1),AND(J1366=1,I1366="SBJ"),AND(J1366=1,I1366=0)),"?IN_FOCUS",IF(J1366&lt;=2,"?ACTIVATED",IF(J1366&lt;&gt;"","?FAMILIAR",IF(F1366="NEW",IF(ISNA(VLOOKUP(E1366,#REF!,1,FALSE())),"?TYPE_IDENTIFIABLE","?REFERENTIAL"),"_")))))</f>
        <v/>
      </c>
      <c r="H1366" s="13" t="str">
        <f aca="false">IF(J1366&lt;&gt;1,"",IF(I1366="SBJ","CB","?"))</f>
        <v/>
      </c>
      <c r="I1366" s="14" t="str">
        <f aca="false">IF(OR(E1366="",E1366="!!!",F1366="NEW"),"",INDEX(B$2:B1365,-1+SUMPRODUCT(MAX(ROW(E$2:E1365)*(E1366=E$2:E1365)))))</f>
        <v/>
      </c>
      <c r="J1366" s="15" t="str">
        <f aca="true">IF(OR(E1366="",E1366="!!!",F1366="NEW"),"",COUNTBLANK(OFFSET(A$1,,,SUMPRODUCT(MAX(ROW(E$2:E1366)*(E1366=E$2:E1366)))))-COUNTBLANK(OFFSET(A$1,,,SUMPRODUCT(MAX(ROW(E$1:E1365)*(E1366=E$1:E1365))))))</f>
        <v/>
      </c>
      <c r="K1366" s="15" t="str">
        <f aca="false">IF(OR(E1366="",E1366="!!!",F1366="NEW"),"",INDEX(J$1:J1365,SUMPRODUCT(MAX(ROW(E$1:E1365)*(E1366=E$1:E1365)))))</f>
        <v/>
      </c>
      <c r="L1366" s="16"/>
    </row>
    <row r="1367" customFormat="false" ht="12.8" hidden="false" customHeight="false" outlineLevel="0" collapsed="false">
      <c r="A1367" s="0" t="s">
        <v>679</v>
      </c>
      <c r="E1367" s="10" t="str">
        <f aca="false">IF(D1367="?OLD","!!!","")</f>
        <v/>
      </c>
      <c r="F1367" s="11" t="str">
        <f aca="false">IF(OR(E1367="",E1367="!!!"),"",IF(NOT(ISNA(VLOOKUP(E1367,E$1:E1366,1,FALSE()))),"OLD",IF(AND(E1367&lt;&gt;"",E1367&lt;&gt;"!!!"),"NEW","")))</f>
        <v/>
      </c>
      <c r="G1367" s="12" t="str">
        <f aca="false">IF(OR(E1367="",E1367="!!!"),"",IF(OR(J1367=0,AND(J1367=1,K1367=1),AND(J1367=1,I1367="SBJ"),AND(J1367=1,I1367=0)),"?IN_FOCUS",IF(J1367&lt;=2,"?ACTIVATED",IF(J1367&lt;&gt;"","?FAMILIAR",IF(F1367="NEW",IF(ISNA(VLOOKUP(E1367,#REF!,1,FALSE())),"?TYPE_IDENTIFIABLE","?REFERENTIAL"),"_")))))</f>
        <v/>
      </c>
      <c r="H1367" s="13" t="str">
        <f aca="false">IF(J1367&lt;&gt;1,"",IF(I1367="SBJ","CB","?"))</f>
        <v/>
      </c>
      <c r="I1367" s="14" t="str">
        <f aca="false">IF(OR(E1367="",E1367="!!!",F1367="NEW"),"",INDEX(B$2:B1366,-1+SUMPRODUCT(MAX(ROW(E$2:E1366)*(E1367=E$2:E1366)))))</f>
        <v/>
      </c>
      <c r="J1367" s="15" t="str">
        <f aca="true">IF(OR(E1367="",E1367="!!!",F1367="NEW"),"",COUNTBLANK(OFFSET(A$1,,,SUMPRODUCT(MAX(ROW(E$2:E1367)*(E1367=E$2:E1367)))))-COUNTBLANK(OFFSET(A$1,,,SUMPRODUCT(MAX(ROW(E$1:E1366)*(E1367=E$1:E1366))))))</f>
        <v/>
      </c>
      <c r="K1367" s="15" t="str">
        <f aca="false">IF(OR(E1367="",E1367="!!!",F1367="NEW"),"",INDEX(J$1:J1366,SUMPRODUCT(MAX(ROW(E$1:E1366)*(E1367=E$1:E1366)))))</f>
        <v/>
      </c>
      <c r="L1367" s="16"/>
    </row>
    <row r="1368" customFormat="false" ht="12.8" hidden="false" customHeight="false" outlineLevel="0" collapsed="false">
      <c r="A1368" s="0" t="s">
        <v>637</v>
      </c>
      <c r="B1368" s="0" t="s">
        <v>75</v>
      </c>
      <c r="C1368" s="0" t="s">
        <v>27</v>
      </c>
      <c r="D1368" s="0" t="s">
        <v>20</v>
      </c>
      <c r="E1368" s="10" t="s">
        <v>680</v>
      </c>
      <c r="F1368" s="11" t="str">
        <f aca="false">IF(OR(E1368="",E1368="!!!"),"",IF(NOT(ISNA(VLOOKUP(E1368,E$1:E1367,1,FALSE()))),"OLD",IF(AND(E1368&lt;&gt;"",E1368&lt;&gt;"!!!"),"NEW","")))</f>
        <v>NEW</v>
      </c>
      <c r="G1368" s="12" t="s">
        <v>510</v>
      </c>
      <c r="H1368" s="13" t="str">
        <f aca="false">IF(J1368&lt;&gt;1,"",IF(I1368="SBJ","CB","?"))</f>
        <v/>
      </c>
      <c r="I1368" s="14" t="str">
        <f aca="false">IF(OR(E1368="",E1368="!!!",F1368="NEW"),"",INDEX(B$2:B1367,-1+SUMPRODUCT(MAX(ROW(E$2:E1367)*(E1368=E$2:E1367)))))</f>
        <v/>
      </c>
      <c r="J1368" s="15" t="str">
        <f aca="true">IF(OR(E1368="",E1368="!!!",F1368="NEW"),"",COUNTBLANK(OFFSET(A$1,,,SUMPRODUCT(MAX(ROW(E$2:E1368)*(E1368=E$2:E1368)))))-COUNTBLANK(OFFSET(A$1,,,SUMPRODUCT(MAX(ROW(E$1:E1367)*(E1368=E$1:E1367))))))</f>
        <v/>
      </c>
      <c r="K1368" s="15" t="str">
        <f aca="false">IF(OR(E1368="",E1368="!!!",F1368="NEW"),"",INDEX(J$1:J1367,SUMPRODUCT(MAX(ROW(E$1:E1367)*(E1368=E$1:E1367)))))</f>
        <v/>
      </c>
      <c r="L1368" s="16"/>
    </row>
    <row r="1369" customFormat="false" ht="12.8" hidden="false" customHeight="false" outlineLevel="0" collapsed="false">
      <c r="A1369" s="0" t="s">
        <v>76</v>
      </c>
      <c r="E1369" s="10" t="str">
        <f aca="false">IF(D1369="?OLD","!!!","")</f>
        <v/>
      </c>
      <c r="F1369" s="11" t="str">
        <f aca="false">IF(OR(E1369="",E1369="!!!"),"",IF(NOT(ISNA(VLOOKUP(E1369,E$1:E1368,1,FALSE()))),"OLD",IF(AND(E1369&lt;&gt;"",E1369&lt;&gt;"!!!"),"NEW","")))</f>
        <v/>
      </c>
      <c r="G1369" s="12" t="str">
        <f aca="false">IF(OR(E1369="",E1369="!!!"),"",IF(OR(J1369=0,AND(J1369=1,K1369=1),AND(J1369=1,I1369="SBJ"),AND(J1369=1,I1369=0)),"?IN_FOCUS",IF(J1369&lt;=2,"?ACTIVATED",IF(J1369&lt;&gt;"","?FAMILIAR",IF(F1369="NEW",IF(ISNA(VLOOKUP(E1369,#REF!,1,FALSE())),"?TYPE_IDENTIFIABLE","?REFERENTIAL"),"_")))))</f>
        <v/>
      </c>
      <c r="H1369" s="13" t="str">
        <f aca="false">IF(J1369&lt;&gt;1,"",IF(I1369="SBJ","CB","?"))</f>
        <v/>
      </c>
      <c r="I1369" s="14" t="str">
        <f aca="false">IF(OR(E1369="",E1369="!!!",F1369="NEW"),"",INDEX(B$2:B1368,-1+SUMPRODUCT(MAX(ROW(E$2:E1368)*(E1369=E$2:E1368)))))</f>
        <v/>
      </c>
      <c r="J1369" s="15" t="str">
        <f aca="true">IF(OR(E1369="",E1369="!!!",F1369="NEW"),"",COUNTBLANK(OFFSET(A$1,,,SUMPRODUCT(MAX(ROW(E$2:E1369)*(E1369=E$2:E1369)))))-COUNTBLANK(OFFSET(A$1,,,SUMPRODUCT(MAX(ROW(E$1:E1368)*(E1369=E$1:E1368))))))</f>
        <v/>
      </c>
      <c r="K1369" s="15" t="str">
        <f aca="false">IF(OR(E1369="",E1369="!!!",F1369="NEW"),"",INDEX(J$1:J1368,SUMPRODUCT(MAX(ROW(E$1:E1368)*(E1369=E$1:E1368)))))</f>
        <v/>
      </c>
      <c r="L1369" s="16"/>
    </row>
    <row r="1370" customFormat="false" ht="12.8" hidden="false" customHeight="false" outlineLevel="0" collapsed="false">
      <c r="E1370" s="10" t="str">
        <f aca="false">IF(D1370="?OLD","!!!","")</f>
        <v/>
      </c>
      <c r="F1370" s="11" t="str">
        <f aca="false">IF(OR(E1370="",E1370="!!!"),"",IF(NOT(ISNA(VLOOKUP(E1370,E$1:E1369,1,FALSE()))),"OLD",IF(AND(E1370&lt;&gt;"",E1370&lt;&gt;"!!!"),"NEW","")))</f>
        <v/>
      </c>
      <c r="G1370" s="12" t="str">
        <f aca="false">IF(OR(E1370="",E1370="!!!"),"",IF(OR(J1370=0,AND(J1370=1,K1370=1),AND(J1370=1,I1370="SBJ"),AND(J1370=1,I1370=0)),"?IN_FOCUS",IF(J1370&lt;=2,"?ACTIVATED",IF(J1370&lt;&gt;"","?FAMILIAR",IF(F1370="NEW",IF(ISNA(VLOOKUP(E1370,#REF!,1,FALSE())),"?TYPE_IDENTIFIABLE","?REFERENTIAL"),"_")))))</f>
        <v/>
      </c>
      <c r="H1370" s="13" t="str">
        <f aca="false">IF(J1370&lt;&gt;1,"",IF(I1370="SBJ","CB","?"))</f>
        <v/>
      </c>
      <c r="I1370" s="14" t="str">
        <f aca="false">IF(OR(E1370="",E1370="!!!",F1370="NEW"),"",INDEX(B$2:B1369,-1+SUMPRODUCT(MAX(ROW(E$2:E1369)*(E1370=E$2:E1369)))))</f>
        <v/>
      </c>
      <c r="J1370" s="15" t="str">
        <f aca="true">IF(OR(E1370="",E1370="!!!",F1370="NEW"),"",COUNTBLANK(OFFSET(A$1,,,SUMPRODUCT(MAX(ROW(E$2:E1370)*(E1370=E$2:E1370)))))-COUNTBLANK(OFFSET(A$1,,,SUMPRODUCT(MAX(ROW(E$1:E1369)*(E1370=E$1:E1369))))))</f>
        <v/>
      </c>
      <c r="K1370" s="15" t="str">
        <f aca="false">IF(OR(E1370="",E1370="!!!",F1370="NEW"),"",INDEX(J$1:J1369,SUMPRODUCT(MAX(ROW(E$1:E1369)*(E1370=E$1:E1369)))))</f>
        <v/>
      </c>
      <c r="L1370" s="16"/>
    </row>
    <row r="1371" customFormat="false" ht="12.8" hidden="false" customHeight="false" outlineLevel="0" collapsed="false">
      <c r="A1371" s="0" t="s">
        <v>681</v>
      </c>
      <c r="E1371" s="10" t="str">
        <f aca="false">IF(D1371="?OLD","!!!","")</f>
        <v/>
      </c>
      <c r="F1371" s="11" t="str">
        <f aca="false">IF(OR(E1371="",E1371="!!!"),"",IF(NOT(ISNA(VLOOKUP(E1371,E$1:E1370,1,FALSE()))),"OLD",IF(AND(E1371&lt;&gt;"",E1371&lt;&gt;"!!!"),"NEW","")))</f>
        <v/>
      </c>
      <c r="G1371" s="12" t="str">
        <f aca="false">IF(OR(E1371="",E1371="!!!"),"",IF(OR(J1371=0,AND(J1371=1,K1371=1),AND(J1371=1,I1371="SBJ"),AND(J1371=1,I1371=0)),"?IN_FOCUS",IF(J1371&lt;=2,"?ACTIVATED",IF(J1371&lt;&gt;"","?FAMILIAR",IF(F1371="NEW",IF(ISNA(VLOOKUP(E1371,#REF!,1,FALSE())),"?TYPE_IDENTIFIABLE","?REFERENTIAL"),"_")))))</f>
        <v/>
      </c>
      <c r="H1371" s="13" t="str">
        <f aca="false">IF(J1371&lt;&gt;1,"",IF(I1371="SBJ","CB","?"))</f>
        <v/>
      </c>
      <c r="I1371" s="14" t="str">
        <f aca="false">IF(OR(E1371="",E1371="!!!",F1371="NEW"),"",INDEX(B$2:B1370,-1+SUMPRODUCT(MAX(ROW(E$2:E1370)*(E1371=E$2:E1370)))))</f>
        <v/>
      </c>
      <c r="J1371" s="15" t="str">
        <f aca="true">IF(OR(E1371="",E1371="!!!",F1371="NEW"),"",COUNTBLANK(OFFSET(A$1,,,SUMPRODUCT(MAX(ROW(E$2:E1371)*(E1371=E$2:E1371)))))-COUNTBLANK(OFFSET(A$1,,,SUMPRODUCT(MAX(ROW(E$1:E1370)*(E1371=E$1:E1370))))))</f>
        <v/>
      </c>
      <c r="K1371" s="15" t="str">
        <f aca="false">IF(OR(E1371="",E1371="!!!",F1371="NEW"),"",INDEX(J$1:J1370,SUMPRODUCT(MAX(ROW(E$1:E1370)*(E1371=E$1:E1370)))))</f>
        <v/>
      </c>
      <c r="L1371" s="16"/>
    </row>
    <row r="1372" customFormat="false" ht="23.85" hidden="false" customHeight="false" outlineLevel="0" collapsed="false">
      <c r="A1372" s="0" t="s">
        <v>501</v>
      </c>
      <c r="B1372" s="0" t="s">
        <v>14</v>
      </c>
      <c r="C1372" s="0" t="s">
        <v>172</v>
      </c>
      <c r="E1372" s="10" t="str">
        <f aca="false">IF(D1372="?OLD","!!!","")</f>
        <v/>
      </c>
      <c r="F1372" s="11" t="str">
        <f aca="false">IF(OR(E1372="",E1372="!!!"),"",IF(NOT(ISNA(VLOOKUP(E1372,E$1:E1371,1,FALSE()))),"OLD",IF(AND(E1372&lt;&gt;"",E1372&lt;&gt;"!!!"),"NEW","")))</f>
        <v/>
      </c>
      <c r="G1372" s="12" t="str">
        <f aca="false">IF(OR(E1372="",E1372="!!!"),"",IF(OR(J1372=0,AND(J1372=1,K1372=1),AND(J1372=1,I1372="SBJ"),AND(J1372=1,I1372=0)),"?IN_FOCUS",IF(J1372&lt;=2,"?ACTIVATED",IF(J1372&lt;&gt;"","?FAMILIAR",IF(F1372="NEW",IF(ISNA(VLOOKUP(E1372,#REF!,1,FALSE())),"?TYPE_IDENTIFIABLE","?REFERENTIAL"),"_")))))</f>
        <v/>
      </c>
      <c r="H1372" s="13" t="str">
        <f aca="false">IF(J1372&lt;&gt;1,"",IF(I1372="SBJ","CB","?"))</f>
        <v/>
      </c>
      <c r="I1372" s="14" t="str">
        <f aca="false">IF(OR(E1372="",E1372="!!!",F1372="NEW"),"",INDEX(B$2:B1371,-1+SUMPRODUCT(MAX(ROW(E$2:E1371)*(E1372=E$2:E1371)))))</f>
        <v/>
      </c>
      <c r="J1372" s="15" t="str">
        <f aca="true">IF(OR(E1372="",E1372="!!!",F1372="NEW"),"",COUNTBLANK(OFFSET(A$1,,,SUMPRODUCT(MAX(ROW(E$2:E1372)*(E1372=E$2:E1372)))))-COUNTBLANK(OFFSET(A$1,,,SUMPRODUCT(MAX(ROW(E$1:E1371)*(E1372=E$1:E1371))))))</f>
        <v/>
      </c>
      <c r="K1372" s="15" t="str">
        <f aca="false">IF(OR(E1372="",E1372="!!!",F1372="NEW"),"",INDEX(J$1:J1371,SUMPRODUCT(MAX(ROW(E$1:E1371)*(E1372=E$1:E1371)))))</f>
        <v/>
      </c>
      <c r="L1372" s="16" t="s">
        <v>682</v>
      </c>
    </row>
    <row r="1373" customFormat="false" ht="12.8" hidden="false" customHeight="false" outlineLevel="0" collapsed="false">
      <c r="A1373" s="0" t="s">
        <v>370</v>
      </c>
      <c r="E1373" s="10" t="str">
        <f aca="false">IF(D1373="?OLD","!!!","")</f>
        <v/>
      </c>
      <c r="F1373" s="11" t="str">
        <f aca="false">IF(OR(E1373="",E1373="!!!"),"",IF(NOT(ISNA(VLOOKUP(E1373,E$1:E1372,1,FALSE()))),"OLD",IF(AND(E1373&lt;&gt;"",E1373&lt;&gt;"!!!"),"NEW","")))</f>
        <v/>
      </c>
      <c r="G1373" s="12" t="str">
        <f aca="false">IF(OR(E1373="",E1373="!!!"),"",IF(OR(J1373=0,AND(J1373=1,K1373=1),AND(J1373=1,I1373="SBJ"),AND(J1373=1,I1373=0)),"?IN_FOCUS",IF(J1373&lt;=2,"?ACTIVATED",IF(J1373&lt;&gt;"","?FAMILIAR",IF(F1373="NEW",IF(ISNA(VLOOKUP(E1373,#REF!,1,FALSE())),"?TYPE_IDENTIFIABLE","?REFERENTIAL"),"_")))))</f>
        <v/>
      </c>
      <c r="H1373" s="13" t="str">
        <f aca="false">IF(J1373&lt;&gt;1,"",IF(I1373="SBJ","CB","?"))</f>
        <v/>
      </c>
      <c r="I1373" s="14" t="str">
        <f aca="false">IF(OR(E1373="",E1373="!!!",F1373="NEW"),"",INDEX(B$2:B1372,-1+SUMPRODUCT(MAX(ROW(E$2:E1372)*(E1373=E$2:E1372)))))</f>
        <v/>
      </c>
      <c r="J1373" s="15" t="str">
        <f aca="true">IF(OR(E1373="",E1373="!!!",F1373="NEW"),"",COUNTBLANK(OFFSET(A$1,,,SUMPRODUCT(MAX(ROW(E$2:E1373)*(E1373=E$2:E1373)))))-COUNTBLANK(OFFSET(A$1,,,SUMPRODUCT(MAX(ROW(E$1:E1372)*(E1373=E$1:E1372))))))</f>
        <v/>
      </c>
      <c r="K1373" s="15" t="str">
        <f aca="false">IF(OR(E1373="",E1373="!!!",F1373="NEW"),"",INDEX(J$1:J1372,SUMPRODUCT(MAX(ROW(E$1:E1372)*(E1373=E$1:E1372)))))</f>
        <v/>
      </c>
      <c r="L1373" s="16"/>
    </row>
    <row r="1374" customFormat="false" ht="12.8" hidden="false" customHeight="false" outlineLevel="0" collapsed="false">
      <c r="E1374" s="10" t="str">
        <f aca="false">IF(D1374="?OLD","!!!","")</f>
        <v/>
      </c>
      <c r="F1374" s="11" t="str">
        <f aca="false">IF(OR(E1374="",E1374="!!!"),"",IF(NOT(ISNA(VLOOKUP(E1374,E$1:E1373,1,FALSE()))),"OLD",IF(AND(E1374&lt;&gt;"",E1374&lt;&gt;"!!!"),"NEW","")))</f>
        <v/>
      </c>
      <c r="G1374" s="12" t="str">
        <f aca="false">IF(OR(E1374="",E1374="!!!"),"",IF(OR(J1374=0,AND(J1374=1,K1374=1),AND(J1374=1,I1374="SBJ"),AND(J1374=1,I1374=0)),"?IN_FOCUS",IF(J1374&lt;=2,"?ACTIVATED",IF(J1374&lt;&gt;"","?FAMILIAR",IF(F1374="NEW",IF(ISNA(VLOOKUP(E1374,#REF!,1,FALSE())),"?TYPE_IDENTIFIABLE","?REFERENTIAL"),"_")))))</f>
        <v/>
      </c>
      <c r="H1374" s="13" t="str">
        <f aca="false">IF(J1374&lt;&gt;1,"",IF(I1374="SBJ","CB","?"))</f>
        <v/>
      </c>
      <c r="I1374" s="14" t="str">
        <f aca="false">IF(OR(E1374="",E1374="!!!",F1374="NEW"),"",INDEX(B$2:B1373,-1+SUMPRODUCT(MAX(ROW(E$2:E1373)*(E1374=E$2:E1373)))))</f>
        <v/>
      </c>
      <c r="J1374" s="15" t="str">
        <f aca="true">IF(OR(E1374="",E1374="!!!",F1374="NEW"),"",COUNTBLANK(OFFSET(A$1,,,SUMPRODUCT(MAX(ROW(E$2:E1374)*(E1374=E$2:E1374)))))-COUNTBLANK(OFFSET(A$1,,,SUMPRODUCT(MAX(ROW(E$1:E1373)*(E1374=E$1:E1373))))))</f>
        <v/>
      </c>
      <c r="K1374" s="15" t="str">
        <f aca="false">IF(OR(E1374="",E1374="!!!",F1374="NEW"),"",INDEX(J$1:J1373,SUMPRODUCT(MAX(ROW(E$1:E1373)*(E1374=E$1:E1373)))))</f>
        <v/>
      </c>
      <c r="L1374" s="16"/>
    </row>
    <row r="1375" customFormat="false" ht="12.8" hidden="false" customHeight="false" outlineLevel="0" collapsed="false">
      <c r="A1375" s="0" t="s">
        <v>683</v>
      </c>
      <c r="E1375" s="10" t="str">
        <f aca="false">IF(D1375="?OLD","!!!","")</f>
        <v/>
      </c>
      <c r="F1375" s="11" t="str">
        <f aca="false">IF(OR(E1375="",E1375="!!!"),"",IF(NOT(ISNA(VLOOKUP(E1375,E$1:E1374,1,FALSE()))),"OLD",IF(AND(E1375&lt;&gt;"",E1375&lt;&gt;"!!!"),"NEW","")))</f>
        <v/>
      </c>
      <c r="G1375" s="12" t="str">
        <f aca="false">IF(OR(E1375="",E1375="!!!"),"",IF(OR(J1375=0,AND(J1375=1,K1375=1),AND(J1375=1,I1375="SBJ"),AND(J1375=1,I1375=0)),"?IN_FOCUS",IF(J1375&lt;=2,"?ACTIVATED",IF(J1375&lt;&gt;"","?FAMILIAR",IF(F1375="NEW",IF(ISNA(VLOOKUP(E1375,#REF!,1,FALSE())),"?TYPE_IDENTIFIABLE","?REFERENTIAL"),"_")))))</f>
        <v/>
      </c>
      <c r="H1375" s="13" t="str">
        <f aca="false">IF(J1375&lt;&gt;1,"",IF(I1375="SBJ","CB","?"))</f>
        <v/>
      </c>
      <c r="I1375" s="14" t="str">
        <f aca="false">IF(OR(E1375="",E1375="!!!",F1375="NEW"),"",INDEX(B$2:B1374,-1+SUMPRODUCT(MAX(ROW(E$2:E1374)*(E1375=E$2:E1374)))))</f>
        <v/>
      </c>
      <c r="J1375" s="15" t="str">
        <f aca="true">IF(OR(E1375="",E1375="!!!",F1375="NEW"),"",COUNTBLANK(OFFSET(A$1,,,SUMPRODUCT(MAX(ROW(E$2:E1375)*(E1375=E$2:E1375)))))-COUNTBLANK(OFFSET(A$1,,,SUMPRODUCT(MAX(ROW(E$1:E1374)*(E1375=E$1:E1374))))))</f>
        <v/>
      </c>
      <c r="K1375" s="15" t="str">
        <f aca="false">IF(OR(E1375="",E1375="!!!",F1375="NEW"),"",INDEX(J$1:J1374,SUMPRODUCT(MAX(ROW(E$1:E1374)*(E1375=E$1:E1374)))))</f>
        <v/>
      </c>
      <c r="L1375" s="16"/>
    </row>
    <row r="1376" customFormat="false" ht="12.8" hidden="false" customHeight="false" outlineLevel="0" collapsed="false">
      <c r="A1376" s="0" t="s">
        <v>222</v>
      </c>
      <c r="B1376" s="0" t="s">
        <v>34</v>
      </c>
      <c r="C1376" s="0" t="s">
        <v>48</v>
      </c>
      <c r="D1376" s="0" t="s">
        <v>20</v>
      </c>
      <c r="E1376" s="10" t="s">
        <v>666</v>
      </c>
      <c r="F1376" s="11" t="str">
        <f aca="false">IF(OR(E1376="",E1376="!!!"),"",IF(NOT(ISNA(VLOOKUP(E1376,E$1:E1375,1,FALSE()))),"OLD",IF(AND(E1376&lt;&gt;"",E1376&lt;&gt;"!!!"),"NEW","")))</f>
        <v>OLD</v>
      </c>
      <c r="G1376" s="12" t="s">
        <v>87</v>
      </c>
      <c r="H1376" s="13" t="s">
        <v>7</v>
      </c>
      <c r="I1376" s="14" t="str">
        <f aca="false">IF(OR(E1376="",E1376="!!!",F1376="NEW"),"",INDEX(B$2:B1375,-1+SUMPRODUCT(MAX(ROW(E$2:E1375)*(E1376=E$2:E1375)))))</f>
        <v>SBJ</v>
      </c>
      <c r="J1376" s="15" t="n">
        <f aca="true">IF(OR(E1376="",E1376="!!!",F1376="NEW"),"",COUNTBLANK(OFFSET(A$1,,,SUMPRODUCT(MAX(ROW(E$2:E1376)*(E1376=E$2:E1376)))))-COUNTBLANK(OFFSET(A$1,,,SUMPRODUCT(MAX(ROW(E$1:E1375)*(E1376=E$1:E1375))))))</f>
        <v>2</v>
      </c>
      <c r="K1376" s="15" t="n">
        <f aca="false">IF(OR(E1376="",E1376="!!!",F1376="NEW"),"",INDEX(J$1:J1375,SUMPRODUCT(MAX(ROW(E$1:E1375)*(E1376=E$1:E1375)))))</f>
        <v>1</v>
      </c>
      <c r="L1376" s="16"/>
    </row>
    <row r="1377" customFormat="false" ht="12.8" hidden="false" customHeight="false" outlineLevel="0" collapsed="false">
      <c r="A1377" s="0" t="s">
        <v>148</v>
      </c>
      <c r="E1377" s="10" t="str">
        <f aca="false">IF(D1377="?OLD","!!!","")</f>
        <v/>
      </c>
      <c r="F1377" s="11" t="str">
        <f aca="false">IF(OR(E1377="",E1377="!!!"),"",IF(NOT(ISNA(VLOOKUP(E1377,E$1:E1376,1,FALSE()))),"OLD",IF(AND(E1377&lt;&gt;"",E1377&lt;&gt;"!!!"),"NEW","")))</f>
        <v/>
      </c>
      <c r="G1377" s="12" t="str">
        <f aca="false">IF(OR(E1377="",E1377="!!!"),"",IF(OR(J1377=0,AND(J1377=1,K1377=1),AND(J1377=1,I1377="SBJ"),AND(J1377=1,I1377=0)),"?IN_FOCUS",IF(J1377&lt;=2,"?ACTIVATED",IF(J1377&lt;&gt;"","?FAMILIAR",IF(F1377="NEW",IF(ISNA(VLOOKUP(E1377,#REF!,1,FALSE())),"?TYPE_IDENTIFIABLE","?REFERENTIAL"),"_")))))</f>
        <v/>
      </c>
      <c r="H1377" s="13" t="str">
        <f aca="false">IF(J1377&lt;&gt;1,"",IF(I1377="SBJ","CB","?"))</f>
        <v/>
      </c>
      <c r="I1377" s="14" t="str">
        <f aca="false">IF(OR(E1377="",E1377="!!!",F1377="NEW"),"",INDEX(B$2:B1376,-1+SUMPRODUCT(MAX(ROW(E$2:E1376)*(E1377=E$2:E1376)))))</f>
        <v/>
      </c>
      <c r="J1377" s="15" t="str">
        <f aca="true">IF(OR(E1377="",E1377="!!!",F1377="NEW"),"",COUNTBLANK(OFFSET(A$1,,,SUMPRODUCT(MAX(ROW(E$2:E1377)*(E1377=E$2:E1377)))))-COUNTBLANK(OFFSET(A$1,,,SUMPRODUCT(MAX(ROW(E$1:E1376)*(E1377=E$1:E1376))))))</f>
        <v/>
      </c>
      <c r="K1377" s="15" t="str">
        <f aca="false">IF(OR(E1377="",E1377="!!!",F1377="NEW"),"",INDEX(J$1:J1376,SUMPRODUCT(MAX(ROW(E$1:E1376)*(E1377=E$1:E1376)))))</f>
        <v/>
      </c>
      <c r="L1377" s="16"/>
    </row>
    <row r="1378" customFormat="false" ht="12.8" hidden="false" customHeight="false" outlineLevel="0" collapsed="false">
      <c r="A1378" s="0" t="s">
        <v>72</v>
      </c>
      <c r="B1378" s="0" t="s">
        <v>47</v>
      </c>
      <c r="C1378" s="0" t="s">
        <v>48</v>
      </c>
      <c r="D1378" s="0" t="s">
        <v>20</v>
      </c>
      <c r="E1378" s="10"/>
      <c r="F1378" s="11" t="s">
        <v>73</v>
      </c>
      <c r="G1378" s="12" t="str">
        <f aca="false">IF(OR(E1378="",E1378="!!!"),"",IF(OR(J1378=0,AND(J1378=1,K1378=1),AND(J1378=1,I1378="SBJ"),AND(J1378=1,I1378=0)),"?IN_FOCUS",IF(J1378&lt;=2,"?ACTIVATED",IF(J1378&lt;&gt;"","?FAMILIAR",IF(F1378="NEW",IF(ISNA(VLOOKUP(E1378,#REF!,1,FALSE())),"?TYPE_IDENTIFIABLE","?REFERENTIAL"),"_")))))</f>
        <v/>
      </c>
      <c r="H1378" s="13" t="str">
        <f aca="false">IF(J1378&lt;&gt;1,"",IF(I1378="SBJ","CB","?"))</f>
        <v/>
      </c>
      <c r="I1378" s="14" t="str">
        <f aca="false">IF(OR(E1378="",E1378="!!!",F1378="NEW"),"",INDEX(B$2:B1377,-1+SUMPRODUCT(MAX(ROW(E$2:E1377)*(E1378=E$2:E1377)))))</f>
        <v/>
      </c>
      <c r="J1378" s="15" t="str">
        <f aca="true">IF(OR(E1378="",E1378="!!!",F1378="NEW"),"",COUNTBLANK(OFFSET(A$1,,,SUMPRODUCT(MAX(ROW(E$2:E1378)*(E1378=E$2:E1378)))))-COUNTBLANK(OFFSET(A$1,,,SUMPRODUCT(MAX(ROW(E$1:E1377)*(E1378=E$1:E1377))))))</f>
        <v/>
      </c>
      <c r="K1378" s="15" t="str">
        <f aca="false">IF(OR(E1378="",E1378="!!!",F1378="NEW"),"",INDEX(J$1:J1377,SUMPRODUCT(MAX(ROW(E$1:E1377)*(E1378=E$1:E1377)))))</f>
        <v/>
      </c>
      <c r="L1378" s="16"/>
    </row>
    <row r="1379" customFormat="false" ht="12.8" hidden="false" customHeight="false" outlineLevel="0" collapsed="false">
      <c r="A1379" s="0" t="s">
        <v>100</v>
      </c>
      <c r="E1379" s="10" t="str">
        <f aca="false">IF(D1379="?OLD","!!!","")</f>
        <v/>
      </c>
      <c r="F1379" s="11" t="str">
        <f aca="false">IF(OR(E1379="",E1379="!!!"),"",IF(NOT(ISNA(VLOOKUP(E1379,E$1:E1378,1,FALSE()))),"OLD",IF(AND(E1379&lt;&gt;"",E1379&lt;&gt;"!!!"),"NEW","")))</f>
        <v/>
      </c>
      <c r="G1379" s="12" t="str">
        <f aca="false">IF(OR(E1379="",E1379="!!!"),"",IF(OR(J1379=0,AND(J1379=1,K1379=1),AND(J1379=1,I1379="SBJ"),AND(J1379=1,I1379=0)),"?IN_FOCUS",IF(J1379&lt;=2,"?ACTIVATED",IF(J1379&lt;&gt;"","?FAMILIAR",IF(F1379="NEW",IF(ISNA(VLOOKUP(E1379,#REF!,1,FALSE())),"?TYPE_IDENTIFIABLE","?REFERENTIAL"),"_")))))</f>
        <v/>
      </c>
      <c r="H1379" s="13" t="str">
        <f aca="false">IF(J1379&lt;&gt;1,"",IF(I1379="SBJ","CB","?"))</f>
        <v/>
      </c>
      <c r="I1379" s="14" t="str">
        <f aca="false">IF(OR(E1379="",E1379="!!!",F1379="NEW"),"",INDEX(B$2:B1378,-1+SUMPRODUCT(MAX(ROW(E$2:E1378)*(E1379=E$2:E1378)))))</f>
        <v/>
      </c>
      <c r="J1379" s="15" t="str">
        <f aca="true">IF(OR(E1379="",E1379="!!!",F1379="NEW"),"",COUNTBLANK(OFFSET(A$1,,,SUMPRODUCT(MAX(ROW(E$2:E1379)*(E1379=E$2:E1379)))))-COUNTBLANK(OFFSET(A$1,,,SUMPRODUCT(MAX(ROW(E$1:E1378)*(E1379=E$1:E1378))))))</f>
        <v/>
      </c>
      <c r="K1379" s="15" t="str">
        <f aca="false">IF(OR(E1379="",E1379="!!!",F1379="NEW"),"",INDEX(J$1:J1378,SUMPRODUCT(MAX(ROW(E$1:E1378)*(E1379=E$1:E1378)))))</f>
        <v/>
      </c>
      <c r="L1379" s="16"/>
    </row>
    <row r="1380" customFormat="false" ht="12.8" hidden="false" customHeight="false" outlineLevel="0" collapsed="false">
      <c r="A1380" s="0" t="s">
        <v>684</v>
      </c>
      <c r="E1380" s="10" t="str">
        <f aca="false">IF(D1380="?OLD","!!!","")</f>
        <v/>
      </c>
      <c r="F1380" s="11" t="str">
        <f aca="false">IF(OR(E1380="",E1380="!!!"),"",IF(NOT(ISNA(VLOOKUP(E1380,E$1:E1379,1,FALSE()))),"OLD",IF(AND(E1380&lt;&gt;"",E1380&lt;&gt;"!!!"),"NEW","")))</f>
        <v/>
      </c>
      <c r="G1380" s="12" t="str">
        <f aca="false">IF(OR(E1380="",E1380="!!!"),"",IF(OR(J1380=0,AND(J1380=1,K1380=1),AND(J1380=1,I1380="SBJ"),AND(J1380=1,I1380=0)),"?IN_FOCUS",IF(J1380&lt;=2,"?ACTIVATED",IF(J1380&lt;&gt;"","?FAMILIAR",IF(F1380="NEW",IF(ISNA(VLOOKUP(E1380,#REF!,1,FALSE())),"?TYPE_IDENTIFIABLE","?REFERENTIAL"),"_")))))</f>
        <v/>
      </c>
      <c r="H1380" s="13" t="str">
        <f aca="false">IF(J1380&lt;&gt;1,"",IF(I1380="SBJ","CB","?"))</f>
        <v/>
      </c>
      <c r="I1380" s="14" t="str">
        <f aca="false">IF(OR(E1380="",E1380="!!!",F1380="NEW"),"",INDEX(B$2:B1379,-1+SUMPRODUCT(MAX(ROW(E$2:E1379)*(E1380=E$2:E1379)))))</f>
        <v/>
      </c>
      <c r="J1380" s="15" t="str">
        <f aca="true">IF(OR(E1380="",E1380="!!!",F1380="NEW"),"",COUNTBLANK(OFFSET(A$1,,,SUMPRODUCT(MAX(ROW(E$2:E1380)*(E1380=E$2:E1380)))))-COUNTBLANK(OFFSET(A$1,,,SUMPRODUCT(MAX(ROW(E$1:E1379)*(E1380=E$1:E1379))))))</f>
        <v/>
      </c>
      <c r="K1380" s="15" t="str">
        <f aca="false">IF(OR(E1380="",E1380="!!!",F1380="NEW"),"",INDEX(J$1:J1379,SUMPRODUCT(MAX(ROW(E$1:E1379)*(E1380=E$1:E1379)))))</f>
        <v/>
      </c>
      <c r="L1380" s="16"/>
    </row>
    <row r="1381" customFormat="false" ht="12.8" hidden="false" customHeight="false" outlineLevel="0" collapsed="false">
      <c r="A1381" s="0" t="s">
        <v>60</v>
      </c>
      <c r="E1381" s="10" t="str">
        <f aca="false">IF(D1381="?OLD","!!!","")</f>
        <v/>
      </c>
      <c r="F1381" s="11" t="str">
        <f aca="false">IF(OR(E1381="",E1381="!!!"),"",IF(NOT(ISNA(VLOOKUP(E1381,E$1:E1380,1,FALSE()))),"OLD",IF(AND(E1381&lt;&gt;"",E1381&lt;&gt;"!!!"),"NEW","")))</f>
        <v/>
      </c>
      <c r="G1381" s="12" t="str">
        <f aca="false">IF(OR(E1381="",E1381="!!!"),"",IF(OR(J1381=0,AND(J1381=1,K1381=1),AND(J1381=1,I1381="SBJ"),AND(J1381=1,I1381=0)),"?IN_FOCUS",IF(J1381&lt;=2,"?ACTIVATED",IF(J1381&lt;&gt;"","?FAMILIAR",IF(F1381="NEW",IF(ISNA(VLOOKUP(E1381,#REF!,1,FALSE())),"?TYPE_IDENTIFIABLE","?REFERENTIAL"),"_")))))</f>
        <v/>
      </c>
      <c r="H1381" s="13" t="str">
        <f aca="false">IF(J1381&lt;&gt;1,"",IF(I1381="SBJ","CB","?"))</f>
        <v/>
      </c>
      <c r="I1381" s="14" t="str">
        <f aca="false">IF(OR(E1381="",E1381="!!!",F1381="NEW"),"",INDEX(B$2:B1380,-1+SUMPRODUCT(MAX(ROW(E$2:E1380)*(E1381=E$2:E1380)))))</f>
        <v/>
      </c>
      <c r="J1381" s="15" t="str">
        <f aca="true">IF(OR(E1381="",E1381="!!!",F1381="NEW"),"",COUNTBLANK(OFFSET(A$1,,,SUMPRODUCT(MAX(ROW(E$2:E1381)*(E1381=E$2:E1381)))))-COUNTBLANK(OFFSET(A$1,,,SUMPRODUCT(MAX(ROW(E$1:E1380)*(E1381=E$1:E1380))))))</f>
        <v/>
      </c>
      <c r="K1381" s="15" t="str">
        <f aca="false">IF(OR(E1381="",E1381="!!!",F1381="NEW"),"",INDEX(J$1:J1380,SUMPRODUCT(MAX(ROW(E$1:E1380)*(E1381=E$1:E1380)))))</f>
        <v/>
      </c>
      <c r="L1381" s="16"/>
    </row>
    <row r="1382" customFormat="false" ht="12.8" hidden="false" customHeight="false" outlineLevel="0" collapsed="false">
      <c r="A1382" s="0" t="s">
        <v>685</v>
      </c>
      <c r="E1382" s="10" t="str">
        <f aca="false">IF(D1382="?OLD","!!!","")</f>
        <v/>
      </c>
      <c r="F1382" s="11" t="str">
        <f aca="false">IF(OR(E1382="",E1382="!!!"),"",IF(NOT(ISNA(VLOOKUP(E1382,E$1:E1381,1,FALSE()))),"OLD",IF(AND(E1382&lt;&gt;"",E1382&lt;&gt;"!!!"),"NEW","")))</f>
        <v/>
      </c>
      <c r="G1382" s="12" t="str">
        <f aca="false">IF(OR(E1382="",E1382="!!!"),"",IF(OR(J1382=0,AND(J1382=1,K1382=1),AND(J1382=1,I1382="SBJ"),AND(J1382=1,I1382=0)),"?IN_FOCUS",IF(J1382&lt;=2,"?ACTIVATED",IF(J1382&lt;&gt;"","?FAMILIAR",IF(F1382="NEW",IF(ISNA(VLOOKUP(E1382,#REF!,1,FALSE())),"?TYPE_IDENTIFIABLE","?REFERENTIAL"),"_")))))</f>
        <v/>
      </c>
      <c r="H1382" s="13" t="str">
        <f aca="false">IF(J1382&lt;&gt;1,"",IF(I1382="SBJ","CB","?"))</f>
        <v/>
      </c>
      <c r="I1382" s="14" t="str">
        <f aca="false">IF(OR(E1382="",E1382="!!!",F1382="NEW"),"",INDEX(B$2:B1381,-1+SUMPRODUCT(MAX(ROW(E$2:E1381)*(E1382=E$2:E1381)))))</f>
        <v/>
      </c>
      <c r="J1382" s="15" t="str">
        <f aca="true">IF(OR(E1382="",E1382="!!!",F1382="NEW"),"",COUNTBLANK(OFFSET(A$1,,,SUMPRODUCT(MAX(ROW(E$2:E1382)*(E1382=E$2:E1382)))))-COUNTBLANK(OFFSET(A$1,,,SUMPRODUCT(MAX(ROW(E$1:E1381)*(E1382=E$1:E1381))))))</f>
        <v/>
      </c>
      <c r="K1382" s="15" t="str">
        <f aca="false">IF(OR(E1382="",E1382="!!!",F1382="NEW"),"",INDEX(J$1:J1381,SUMPRODUCT(MAX(ROW(E$1:E1381)*(E1382=E$1:E1381)))))</f>
        <v/>
      </c>
      <c r="L1382" s="16"/>
    </row>
    <row r="1383" customFormat="false" ht="12.8" hidden="false" customHeight="false" outlineLevel="0" collapsed="false">
      <c r="A1383" s="0" t="s">
        <v>112</v>
      </c>
      <c r="E1383" s="10" t="str">
        <f aca="false">IF(D1383="?OLD","!!!","")</f>
        <v/>
      </c>
      <c r="F1383" s="11" t="str">
        <f aca="false">IF(OR(E1383="",E1383="!!!"),"",IF(NOT(ISNA(VLOOKUP(E1383,E$1:E1382,1,FALSE()))),"OLD",IF(AND(E1383&lt;&gt;"",E1383&lt;&gt;"!!!"),"NEW","")))</f>
        <v/>
      </c>
      <c r="G1383" s="12" t="str">
        <f aca="false">IF(OR(E1383="",E1383="!!!"),"",IF(OR(J1383=0,AND(J1383=1,K1383=1),AND(J1383=1,I1383="SBJ"),AND(J1383=1,I1383=0)),"?IN_FOCUS",IF(J1383&lt;=2,"?ACTIVATED",IF(J1383&lt;&gt;"","?FAMILIAR",IF(F1383="NEW",IF(ISNA(VLOOKUP(E1383,#REF!,1,FALSE())),"?TYPE_IDENTIFIABLE","?REFERENTIAL"),"_")))))</f>
        <v/>
      </c>
      <c r="H1383" s="13" t="str">
        <f aca="false">IF(J1383&lt;&gt;1,"",IF(I1383="SBJ","CB","?"))</f>
        <v/>
      </c>
      <c r="I1383" s="14" t="str">
        <f aca="false">IF(OR(E1383="",E1383="!!!",F1383="NEW"),"",INDEX(B$2:B1382,-1+SUMPRODUCT(MAX(ROW(E$2:E1382)*(E1383=E$2:E1382)))))</f>
        <v/>
      </c>
      <c r="J1383" s="15" t="str">
        <f aca="true">IF(OR(E1383="",E1383="!!!",F1383="NEW"),"",COUNTBLANK(OFFSET(A$1,,,SUMPRODUCT(MAX(ROW(E$2:E1383)*(E1383=E$2:E1383)))))-COUNTBLANK(OFFSET(A$1,,,SUMPRODUCT(MAX(ROW(E$1:E1382)*(E1383=E$1:E1382))))))</f>
        <v/>
      </c>
      <c r="K1383" s="15" t="str">
        <f aca="false">IF(OR(E1383="",E1383="!!!",F1383="NEW"),"",INDEX(J$1:J1382,SUMPRODUCT(MAX(ROW(E$1:E1382)*(E1383=E$1:E1382)))))</f>
        <v/>
      </c>
      <c r="L1383" s="16"/>
    </row>
    <row r="1384" customFormat="false" ht="12.8" hidden="false" customHeight="false" outlineLevel="0" collapsed="false">
      <c r="A1384" s="0" t="s">
        <v>113</v>
      </c>
      <c r="E1384" s="10" t="str">
        <f aca="false">IF(D1384="?OLD","!!!","")</f>
        <v/>
      </c>
      <c r="F1384" s="11" t="str">
        <f aca="false">IF(OR(E1384="",E1384="!!!"),"",IF(NOT(ISNA(VLOOKUP(E1384,E$1:E1383,1,FALSE()))),"OLD",IF(AND(E1384&lt;&gt;"",E1384&lt;&gt;"!!!"),"NEW","")))</f>
        <v/>
      </c>
      <c r="G1384" s="12" t="str">
        <f aca="false">IF(OR(E1384="",E1384="!!!"),"",IF(OR(J1384=0,AND(J1384=1,K1384=1),AND(J1384=1,I1384="SBJ"),AND(J1384=1,I1384=0)),"?IN_FOCUS",IF(J1384&lt;=2,"?ACTIVATED",IF(J1384&lt;&gt;"","?FAMILIAR",IF(F1384="NEW",IF(ISNA(VLOOKUP(E1384,#REF!,1,FALSE())),"?TYPE_IDENTIFIABLE","?REFERENTIAL"),"_")))))</f>
        <v/>
      </c>
      <c r="H1384" s="13" t="str">
        <f aca="false">IF(J1384&lt;&gt;1,"",IF(I1384="SBJ","CB","?"))</f>
        <v/>
      </c>
      <c r="I1384" s="14" t="str">
        <f aca="false">IF(OR(E1384="",E1384="!!!",F1384="NEW"),"",INDEX(B$2:B1383,-1+SUMPRODUCT(MAX(ROW(E$2:E1383)*(E1384=E$2:E1383)))))</f>
        <v/>
      </c>
      <c r="J1384" s="15" t="str">
        <f aca="true">IF(OR(E1384="",E1384="!!!",F1384="NEW"),"",COUNTBLANK(OFFSET(A$1,,,SUMPRODUCT(MAX(ROW(E$2:E1384)*(E1384=E$2:E1384)))))-COUNTBLANK(OFFSET(A$1,,,SUMPRODUCT(MAX(ROW(E$1:E1383)*(E1384=E$1:E1383))))))</f>
        <v/>
      </c>
      <c r="K1384" s="15" t="str">
        <f aca="false">IF(OR(E1384="",E1384="!!!",F1384="NEW"),"",INDEX(J$1:J1383,SUMPRODUCT(MAX(ROW(E$1:E1383)*(E1384=E$1:E1383)))))</f>
        <v/>
      </c>
      <c r="L1384" s="16"/>
    </row>
    <row r="1385" customFormat="false" ht="12.8" hidden="false" customHeight="false" outlineLevel="0" collapsed="false">
      <c r="A1385" s="0" t="s">
        <v>114</v>
      </c>
      <c r="E1385" s="10" t="str">
        <f aca="false">IF(D1385="?OLD","!!!","")</f>
        <v/>
      </c>
      <c r="F1385" s="11" t="str">
        <f aca="false">IF(OR(E1385="",E1385="!!!"),"",IF(NOT(ISNA(VLOOKUP(E1385,E$1:E1384,1,FALSE()))),"OLD",IF(AND(E1385&lt;&gt;"",E1385&lt;&gt;"!!!"),"NEW","")))</f>
        <v/>
      </c>
      <c r="G1385" s="12" t="str">
        <f aca="false">IF(OR(E1385="",E1385="!!!"),"",IF(OR(J1385=0,AND(J1385=1,K1385=1),AND(J1385=1,I1385="SBJ"),AND(J1385=1,I1385=0)),"?IN_FOCUS",IF(J1385&lt;=2,"?ACTIVATED",IF(J1385&lt;&gt;"","?FAMILIAR",IF(F1385="NEW",IF(ISNA(VLOOKUP(E1385,#REF!,1,FALSE())),"?TYPE_IDENTIFIABLE","?REFERENTIAL"),"_")))))</f>
        <v/>
      </c>
      <c r="H1385" s="13" t="str">
        <f aca="false">IF(J1385&lt;&gt;1,"",IF(I1385="SBJ","CB","?"))</f>
        <v/>
      </c>
      <c r="I1385" s="14" t="str">
        <f aca="false">IF(OR(E1385="",E1385="!!!",F1385="NEW"),"",INDEX(B$2:B1384,-1+SUMPRODUCT(MAX(ROW(E$2:E1384)*(E1385=E$2:E1384)))))</f>
        <v/>
      </c>
      <c r="J1385" s="15" t="str">
        <f aca="true">IF(OR(E1385="",E1385="!!!",F1385="NEW"),"",COUNTBLANK(OFFSET(A$1,,,SUMPRODUCT(MAX(ROW(E$2:E1385)*(E1385=E$2:E1385)))))-COUNTBLANK(OFFSET(A$1,,,SUMPRODUCT(MAX(ROW(E$1:E1384)*(E1385=E$1:E1384))))))</f>
        <v/>
      </c>
      <c r="K1385" s="15" t="str">
        <f aca="false">IF(OR(E1385="",E1385="!!!",F1385="NEW"),"",INDEX(J$1:J1384,SUMPRODUCT(MAX(ROW(E$1:E1384)*(E1385=E$1:E1384)))))</f>
        <v/>
      </c>
      <c r="L1385" s="16"/>
    </row>
    <row r="1386" customFormat="false" ht="12.8" hidden="false" customHeight="false" outlineLevel="0" collapsed="false">
      <c r="A1386" s="0" t="s">
        <v>115</v>
      </c>
      <c r="B1386" s="0" t="s">
        <v>59</v>
      </c>
      <c r="C1386" s="0" t="s">
        <v>31</v>
      </c>
      <c r="E1386" s="10" t="str">
        <f aca="false">IF(D1386="?OLD","!!!","")</f>
        <v/>
      </c>
      <c r="F1386" s="11" t="str">
        <f aca="false">IF(OR(E1386="",E1386="!!!"),"",IF(NOT(ISNA(VLOOKUP(E1386,E$1:E1385,1,FALSE()))),"OLD",IF(AND(E1386&lt;&gt;"",E1386&lt;&gt;"!!!"),"NEW","")))</f>
        <v/>
      </c>
      <c r="G1386" s="12" t="str">
        <f aca="false">IF(OR(E1386="",E1386="!!!"),"",IF(OR(J1386=0,AND(J1386=1,K1386=1),AND(J1386=1,I1386="SBJ"),AND(J1386=1,I1386=0)),"?IN_FOCUS",IF(J1386&lt;=2,"?ACTIVATED",IF(J1386&lt;&gt;"","?FAMILIAR",IF(F1386="NEW",IF(ISNA(VLOOKUP(E1386,#REF!,1,FALSE())),"?TYPE_IDENTIFIABLE","?REFERENTIAL"),"_")))))</f>
        <v/>
      </c>
      <c r="H1386" s="13" t="str">
        <f aca="false">IF(J1386&lt;&gt;1,"",IF(I1386="SBJ","CB","?"))</f>
        <v/>
      </c>
      <c r="I1386" s="14" t="str">
        <f aca="false">IF(OR(E1386="",E1386="!!!",F1386="NEW"),"",INDEX(B$2:B1385,-1+SUMPRODUCT(MAX(ROW(E$2:E1385)*(E1386=E$2:E1385)))))</f>
        <v/>
      </c>
      <c r="J1386" s="15" t="str">
        <f aca="true">IF(OR(E1386="",E1386="!!!",F1386="NEW"),"",COUNTBLANK(OFFSET(A$1,,,SUMPRODUCT(MAX(ROW(E$2:E1386)*(E1386=E$2:E1386)))))-COUNTBLANK(OFFSET(A$1,,,SUMPRODUCT(MAX(ROW(E$1:E1385)*(E1386=E$1:E1385))))))</f>
        <v/>
      </c>
      <c r="K1386" s="15" t="str">
        <f aca="false">IF(OR(E1386="",E1386="!!!",F1386="NEW"),"",INDEX(J$1:J1385,SUMPRODUCT(MAX(ROW(E$1:E1385)*(E1386=E$1:E1385)))))</f>
        <v/>
      </c>
      <c r="L1386" s="16"/>
    </row>
    <row r="1387" customFormat="false" ht="12.8" hidden="false" customHeight="false" outlineLevel="0" collapsed="false">
      <c r="A1387" s="0" t="s">
        <v>44</v>
      </c>
      <c r="E1387" s="10" t="str">
        <f aca="false">IF(D1387="?OLD","!!!","")</f>
        <v/>
      </c>
      <c r="F1387" s="11" t="str">
        <f aca="false">IF(OR(E1387="",E1387="!!!"),"",IF(NOT(ISNA(VLOOKUP(E1387,E$1:E1386,1,FALSE()))),"OLD",IF(AND(E1387&lt;&gt;"",E1387&lt;&gt;"!!!"),"NEW","")))</f>
        <v/>
      </c>
      <c r="G1387" s="12" t="str">
        <f aca="false">IF(OR(E1387="",E1387="!!!"),"",IF(OR(J1387=0,AND(J1387=1,K1387=1),AND(J1387=1,I1387="SBJ"),AND(J1387=1,I1387=0)),"?IN_FOCUS",IF(J1387&lt;=2,"?ACTIVATED",IF(J1387&lt;&gt;"","?FAMILIAR",IF(F1387="NEW",IF(ISNA(VLOOKUP(E1387,#REF!,1,FALSE())),"?TYPE_IDENTIFIABLE","?REFERENTIAL"),"_")))))</f>
        <v/>
      </c>
      <c r="H1387" s="13" t="str">
        <f aca="false">IF(J1387&lt;&gt;1,"",IF(I1387="SBJ","CB","?"))</f>
        <v/>
      </c>
      <c r="I1387" s="14" t="str">
        <f aca="false">IF(OR(E1387="",E1387="!!!",F1387="NEW"),"",INDEX(B$2:B1386,-1+SUMPRODUCT(MAX(ROW(E$2:E1386)*(E1387=E$2:E1386)))))</f>
        <v/>
      </c>
      <c r="J1387" s="15" t="str">
        <f aca="true">IF(OR(E1387="",E1387="!!!",F1387="NEW"),"",COUNTBLANK(OFFSET(A$1,,,SUMPRODUCT(MAX(ROW(E$2:E1387)*(E1387=E$2:E1387)))))-COUNTBLANK(OFFSET(A$1,,,SUMPRODUCT(MAX(ROW(E$1:E1386)*(E1387=E$1:E1386))))))</f>
        <v/>
      </c>
      <c r="K1387" s="15" t="str">
        <f aca="false">IF(OR(E1387="",E1387="!!!",F1387="NEW"),"",INDEX(J$1:J1386,SUMPRODUCT(MAX(ROW(E$1:E1386)*(E1387=E$1:E1386)))))</f>
        <v/>
      </c>
      <c r="L1387" s="16"/>
    </row>
    <row r="1388" customFormat="false" ht="12.8" hidden="false" customHeight="false" outlineLevel="0" collapsed="false">
      <c r="A1388" s="0" t="s">
        <v>686</v>
      </c>
      <c r="E1388" s="10" t="str">
        <f aca="false">IF(D1388="?OLD","!!!","")</f>
        <v/>
      </c>
      <c r="F1388" s="11" t="str">
        <f aca="false">IF(OR(E1388="",E1388="!!!"),"",IF(NOT(ISNA(VLOOKUP(E1388,E$1:E1387,1,FALSE()))),"OLD",IF(AND(E1388&lt;&gt;"",E1388&lt;&gt;"!!!"),"NEW","")))</f>
        <v/>
      </c>
      <c r="G1388" s="12" t="str">
        <f aca="false">IF(OR(E1388="",E1388="!!!"),"",IF(OR(J1388=0,AND(J1388=1,K1388=1),AND(J1388=1,I1388="SBJ"),AND(J1388=1,I1388=0)),"?IN_FOCUS",IF(J1388&lt;=2,"?ACTIVATED",IF(J1388&lt;&gt;"","?FAMILIAR",IF(F1388="NEW",IF(ISNA(VLOOKUP(E1388,#REF!,1,FALSE())),"?TYPE_IDENTIFIABLE","?REFERENTIAL"),"_")))))</f>
        <v/>
      </c>
      <c r="H1388" s="13" t="str">
        <f aca="false">IF(J1388&lt;&gt;1,"",IF(I1388="SBJ","CB","?"))</f>
        <v/>
      </c>
      <c r="I1388" s="14" t="str">
        <f aca="false">IF(OR(E1388="",E1388="!!!",F1388="NEW"),"",INDEX(B$2:B1387,-1+SUMPRODUCT(MAX(ROW(E$2:E1387)*(E1388=E$2:E1387)))))</f>
        <v/>
      </c>
      <c r="J1388" s="15" t="str">
        <f aca="true">IF(OR(E1388="",E1388="!!!",F1388="NEW"),"",COUNTBLANK(OFFSET(A$1,,,SUMPRODUCT(MAX(ROW(E$2:E1388)*(E1388=E$2:E1388)))))-COUNTBLANK(OFFSET(A$1,,,SUMPRODUCT(MAX(ROW(E$1:E1387)*(E1388=E$1:E1387))))))</f>
        <v/>
      </c>
      <c r="K1388" s="15" t="str">
        <f aca="false">IF(OR(E1388="",E1388="!!!",F1388="NEW"),"",INDEX(J$1:J1387,SUMPRODUCT(MAX(ROW(E$1:E1387)*(E1388=E$1:E1387)))))</f>
        <v/>
      </c>
      <c r="L1388" s="16"/>
    </row>
    <row r="1389" customFormat="false" ht="12.8" hidden="false" customHeight="false" outlineLevel="0" collapsed="false">
      <c r="A1389" s="0" t="s">
        <v>687</v>
      </c>
      <c r="B1389" s="0" t="s">
        <v>65</v>
      </c>
      <c r="C1389" s="0" t="s">
        <v>31</v>
      </c>
      <c r="E1389" s="10" t="str">
        <f aca="false">IF(D1389="?OLD","!!!","")</f>
        <v/>
      </c>
      <c r="F1389" s="11" t="str">
        <f aca="false">IF(OR(E1389="",E1389="!!!"),"",IF(NOT(ISNA(VLOOKUP(E1389,E$1:E1388,1,FALSE()))),"OLD",IF(AND(E1389&lt;&gt;"",E1389&lt;&gt;"!!!"),"NEW","")))</f>
        <v/>
      </c>
      <c r="G1389" s="12" t="str">
        <f aca="false">IF(OR(E1389="",E1389="!!!"),"",IF(OR(J1389=0,AND(J1389=1,K1389=1),AND(J1389=1,I1389="SBJ"),AND(J1389=1,I1389=0)),"?IN_FOCUS",IF(J1389&lt;=2,"?ACTIVATED",IF(J1389&lt;&gt;"","?FAMILIAR",IF(F1389="NEW",IF(ISNA(VLOOKUP(E1389,#REF!,1,FALSE())),"?TYPE_IDENTIFIABLE","?REFERENTIAL"),"_")))))</f>
        <v/>
      </c>
      <c r="H1389" s="13" t="str">
        <f aca="false">IF(J1389&lt;&gt;1,"",IF(I1389="SBJ","CB","?"))</f>
        <v/>
      </c>
      <c r="I1389" s="14" t="str">
        <f aca="false">IF(OR(E1389="",E1389="!!!",F1389="NEW"),"",INDEX(B$2:B1388,-1+SUMPRODUCT(MAX(ROW(E$2:E1388)*(E1389=E$2:E1388)))))</f>
        <v/>
      </c>
      <c r="J1389" s="15" t="str">
        <f aca="true">IF(OR(E1389="",E1389="!!!",F1389="NEW"),"",COUNTBLANK(OFFSET(A$1,,,SUMPRODUCT(MAX(ROW(E$2:E1389)*(E1389=E$2:E1389)))))-COUNTBLANK(OFFSET(A$1,,,SUMPRODUCT(MAX(ROW(E$1:E1388)*(E1389=E$1:E1388))))))</f>
        <v/>
      </c>
      <c r="K1389" s="15" t="str">
        <f aca="false">IF(OR(E1389="",E1389="!!!",F1389="NEW"),"",INDEX(J$1:J1388,SUMPRODUCT(MAX(ROW(E$1:E1388)*(E1389=E$1:E1388)))))</f>
        <v/>
      </c>
      <c r="L1389" s="16"/>
    </row>
    <row r="1390" customFormat="false" ht="12.8" hidden="false" customHeight="false" outlineLevel="0" collapsed="false">
      <c r="A1390" s="0" t="s">
        <v>76</v>
      </c>
      <c r="E1390" s="10" t="str">
        <f aca="false">IF(D1390="?OLD","!!!","")</f>
        <v/>
      </c>
      <c r="F1390" s="11" t="str">
        <f aca="false">IF(OR(E1390="",E1390="!!!"),"",IF(NOT(ISNA(VLOOKUP(E1390,E$1:E1389,1,FALSE()))),"OLD",IF(AND(E1390&lt;&gt;"",E1390&lt;&gt;"!!!"),"NEW","")))</f>
        <v/>
      </c>
      <c r="G1390" s="12" t="str">
        <f aca="false">IF(OR(E1390="",E1390="!!!"),"",IF(OR(J1390=0,AND(J1390=1,K1390=1),AND(J1390=1,I1390="SBJ"),AND(J1390=1,I1390=0)),"?IN_FOCUS",IF(J1390&lt;=2,"?ACTIVATED",IF(J1390&lt;&gt;"","?FAMILIAR",IF(F1390="NEW",IF(ISNA(VLOOKUP(E1390,#REF!,1,FALSE())),"?TYPE_IDENTIFIABLE","?REFERENTIAL"),"_")))))</f>
        <v/>
      </c>
      <c r="H1390" s="13" t="str">
        <f aca="false">IF(J1390&lt;&gt;1,"",IF(I1390="SBJ","CB","?"))</f>
        <v/>
      </c>
      <c r="I1390" s="14" t="str">
        <f aca="false">IF(OR(E1390="",E1390="!!!",F1390="NEW"),"",INDEX(B$2:B1389,-1+SUMPRODUCT(MAX(ROW(E$2:E1389)*(E1390=E$2:E1389)))))</f>
        <v/>
      </c>
      <c r="J1390" s="15" t="str">
        <f aca="true">IF(OR(E1390="",E1390="!!!",F1390="NEW"),"",COUNTBLANK(OFFSET(A$1,,,SUMPRODUCT(MAX(ROW(E$2:E1390)*(E1390=E$2:E1390)))))-COUNTBLANK(OFFSET(A$1,,,SUMPRODUCT(MAX(ROW(E$1:E1389)*(E1390=E$1:E1389))))))</f>
        <v/>
      </c>
      <c r="K1390" s="15" t="str">
        <f aca="false">IF(OR(E1390="",E1390="!!!",F1390="NEW"),"",INDEX(J$1:J1389,SUMPRODUCT(MAX(ROW(E$1:E1389)*(E1390=E$1:E1389)))))</f>
        <v/>
      </c>
      <c r="L1390" s="16"/>
    </row>
    <row r="1391" customFormat="false" ht="12.8" hidden="false" customHeight="false" outlineLevel="0" collapsed="false">
      <c r="E1391" s="10" t="str">
        <f aca="false">IF(D1391="?OLD","!!!","")</f>
        <v/>
      </c>
      <c r="F1391" s="11" t="str">
        <f aca="false">IF(OR(E1391="",E1391="!!!"),"",IF(NOT(ISNA(VLOOKUP(E1391,E$1:E1390,1,FALSE()))),"OLD",IF(AND(E1391&lt;&gt;"",E1391&lt;&gt;"!!!"),"NEW","")))</f>
        <v/>
      </c>
      <c r="G1391" s="12" t="str">
        <f aca="false">IF(OR(E1391="",E1391="!!!"),"",IF(OR(J1391=0,AND(J1391=1,K1391=1),AND(J1391=1,I1391="SBJ"),AND(J1391=1,I1391=0)),"?IN_FOCUS",IF(J1391&lt;=2,"?ACTIVATED",IF(J1391&lt;&gt;"","?FAMILIAR",IF(F1391="NEW",IF(ISNA(VLOOKUP(E1391,#REF!,1,FALSE())),"?TYPE_IDENTIFIABLE","?REFERENTIAL"),"_")))))</f>
        <v/>
      </c>
      <c r="H1391" s="13" t="str">
        <f aca="false">IF(J1391&lt;&gt;1,"",IF(I1391="SBJ","CB","?"))</f>
        <v/>
      </c>
      <c r="I1391" s="14" t="str">
        <f aca="false">IF(OR(E1391="",E1391="!!!",F1391="NEW"),"",INDEX(B$2:B1390,-1+SUMPRODUCT(MAX(ROW(E$2:E1390)*(E1391=E$2:E1390)))))</f>
        <v/>
      </c>
      <c r="J1391" s="15" t="str">
        <f aca="true">IF(OR(E1391="",E1391="!!!",F1391="NEW"),"",COUNTBLANK(OFFSET(A$1,,,SUMPRODUCT(MAX(ROW(E$2:E1391)*(E1391=E$2:E1391)))))-COUNTBLANK(OFFSET(A$1,,,SUMPRODUCT(MAX(ROW(E$1:E1390)*(E1391=E$1:E1390))))))</f>
        <v/>
      </c>
      <c r="K1391" s="15" t="str">
        <f aca="false">IF(OR(E1391="",E1391="!!!",F1391="NEW"),"",INDEX(J$1:J1390,SUMPRODUCT(MAX(ROW(E$1:E1390)*(E1391=E$1:E1390)))))</f>
        <v/>
      </c>
      <c r="L1391" s="16"/>
    </row>
    <row r="1392" customFormat="false" ht="12.8" hidden="false" customHeight="false" outlineLevel="0" collapsed="false">
      <c r="A1392" s="0" t="s">
        <v>503</v>
      </c>
      <c r="E1392" s="10" t="str">
        <f aca="false">IF(D1392="?OLD","!!!","")</f>
        <v/>
      </c>
      <c r="F1392" s="11" t="str">
        <f aca="false">IF(OR(E1392="",E1392="!!!"),"",IF(NOT(ISNA(VLOOKUP(E1392,E$1:E1391,1,FALSE()))),"OLD",IF(AND(E1392&lt;&gt;"",E1392&lt;&gt;"!!!"),"NEW","")))</f>
        <v/>
      </c>
      <c r="G1392" s="12" t="str">
        <f aca="false">IF(OR(E1392="",E1392="!!!"),"",IF(OR(J1392=0,AND(J1392=1,K1392=1),AND(J1392=1,I1392="SBJ"),AND(J1392=1,I1392=0)),"?IN_FOCUS",IF(J1392&lt;=2,"?ACTIVATED",IF(J1392&lt;&gt;"","?FAMILIAR",IF(F1392="NEW",IF(ISNA(VLOOKUP(E1392,#REF!,1,FALSE())),"?TYPE_IDENTIFIABLE","?REFERENTIAL"),"_")))))</f>
        <v/>
      </c>
      <c r="H1392" s="13" t="str">
        <f aca="false">IF(J1392&lt;&gt;1,"",IF(I1392="SBJ","CB","?"))</f>
        <v/>
      </c>
      <c r="I1392" s="14" t="str">
        <f aca="false">IF(OR(E1392="",E1392="!!!",F1392="NEW"),"",INDEX(B$2:B1391,-1+SUMPRODUCT(MAX(ROW(E$2:E1391)*(E1392=E$2:E1391)))))</f>
        <v/>
      </c>
      <c r="J1392" s="15" t="str">
        <f aca="true">IF(OR(E1392="",E1392="!!!",F1392="NEW"),"",COUNTBLANK(OFFSET(A$1,,,SUMPRODUCT(MAX(ROW(E$2:E1392)*(E1392=E$2:E1392)))))-COUNTBLANK(OFFSET(A$1,,,SUMPRODUCT(MAX(ROW(E$1:E1391)*(E1392=E$1:E1391))))))</f>
        <v/>
      </c>
      <c r="K1392" s="15" t="str">
        <f aca="false">IF(OR(E1392="",E1392="!!!",F1392="NEW"),"",INDEX(J$1:J1391,SUMPRODUCT(MAX(ROW(E$1:E1391)*(E1392=E$1:E1391)))))</f>
        <v/>
      </c>
      <c r="L1392" s="16"/>
    </row>
    <row r="1393" customFormat="false" ht="12.8" hidden="false" customHeight="false" outlineLevel="0" collapsed="false">
      <c r="A1393" s="0" t="s">
        <v>688</v>
      </c>
      <c r="E1393" s="10" t="str">
        <f aca="false">IF(D1393="?OLD","!!!","")</f>
        <v/>
      </c>
      <c r="F1393" s="11" t="str">
        <f aca="false">IF(OR(E1393="",E1393="!!!"),"",IF(NOT(ISNA(VLOOKUP(E1393,E$1:E1392,1,FALSE()))),"OLD",IF(AND(E1393&lt;&gt;"",E1393&lt;&gt;"!!!"),"NEW","")))</f>
        <v/>
      </c>
      <c r="G1393" s="12" t="str">
        <f aca="false">IF(OR(E1393="",E1393="!!!"),"",IF(OR(J1393=0,AND(J1393=1,K1393=1),AND(J1393=1,I1393="SBJ"),AND(J1393=1,I1393=0)),"?IN_FOCUS",IF(J1393&lt;=2,"?ACTIVATED",IF(J1393&lt;&gt;"","?FAMILIAR",IF(F1393="NEW",IF(ISNA(VLOOKUP(E1393,#REF!,1,FALSE())),"?TYPE_IDENTIFIABLE","?REFERENTIAL"),"_")))))</f>
        <v/>
      </c>
      <c r="H1393" s="13" t="str">
        <f aca="false">IF(J1393&lt;&gt;1,"",IF(I1393="SBJ","CB","?"))</f>
        <v/>
      </c>
      <c r="I1393" s="14" t="str">
        <f aca="false">IF(OR(E1393="",E1393="!!!",F1393="NEW"),"",INDEX(B$2:B1392,-1+SUMPRODUCT(MAX(ROW(E$2:E1392)*(E1393=E$2:E1392)))))</f>
        <v/>
      </c>
      <c r="J1393" s="15" t="str">
        <f aca="true">IF(OR(E1393="",E1393="!!!",F1393="NEW"),"",COUNTBLANK(OFFSET(A$1,,,SUMPRODUCT(MAX(ROW(E$2:E1393)*(E1393=E$2:E1393)))))-COUNTBLANK(OFFSET(A$1,,,SUMPRODUCT(MAX(ROW(E$1:E1392)*(E1393=E$1:E1392))))))</f>
        <v/>
      </c>
      <c r="K1393" s="15" t="str">
        <f aca="false">IF(OR(E1393="",E1393="!!!",F1393="NEW"),"",INDEX(J$1:J1392,SUMPRODUCT(MAX(ROW(E$1:E1392)*(E1393=E$1:E1392)))))</f>
        <v/>
      </c>
      <c r="L1393" s="16"/>
    </row>
    <row r="1394" customFormat="false" ht="12.8" hidden="false" customHeight="false" outlineLevel="0" collapsed="false">
      <c r="A1394" s="0" t="s">
        <v>424</v>
      </c>
      <c r="E1394" s="10" t="str">
        <f aca="false">IF(D1394="?OLD","!!!","")</f>
        <v/>
      </c>
      <c r="F1394" s="11" t="str">
        <f aca="false">IF(OR(E1394="",E1394="!!!"),"",IF(NOT(ISNA(VLOOKUP(E1394,E$1:E1393,1,FALSE()))),"OLD",IF(AND(E1394&lt;&gt;"",E1394&lt;&gt;"!!!"),"NEW","")))</f>
        <v/>
      </c>
      <c r="G1394" s="12" t="str">
        <f aca="false">IF(OR(E1394="",E1394="!!!"),"",IF(OR(J1394=0,AND(J1394=1,K1394=1),AND(J1394=1,I1394="SBJ"),AND(J1394=1,I1394=0)),"?IN_FOCUS",IF(J1394&lt;=2,"?ACTIVATED",IF(J1394&lt;&gt;"","?FAMILIAR",IF(F1394="NEW",IF(ISNA(VLOOKUP(E1394,#REF!,1,FALSE())),"?TYPE_IDENTIFIABLE","?REFERENTIAL"),"_")))))</f>
        <v/>
      </c>
      <c r="H1394" s="13" t="str">
        <f aca="false">IF(J1394&lt;&gt;1,"",IF(I1394="SBJ","CB","?"))</f>
        <v/>
      </c>
      <c r="I1394" s="14" t="str">
        <f aca="false">IF(OR(E1394="",E1394="!!!",F1394="NEW"),"",INDEX(B$2:B1393,-1+SUMPRODUCT(MAX(ROW(E$2:E1393)*(E1394=E$2:E1393)))))</f>
        <v/>
      </c>
      <c r="J1394" s="15" t="str">
        <f aca="true">IF(OR(E1394="",E1394="!!!",F1394="NEW"),"",COUNTBLANK(OFFSET(A$1,,,SUMPRODUCT(MAX(ROW(E$2:E1394)*(E1394=E$2:E1394)))))-COUNTBLANK(OFFSET(A$1,,,SUMPRODUCT(MAX(ROW(E$1:E1393)*(E1394=E$1:E1393))))))</f>
        <v/>
      </c>
      <c r="K1394" s="15" t="str">
        <f aca="false">IF(OR(E1394="",E1394="!!!",F1394="NEW"),"",INDEX(J$1:J1393,SUMPRODUCT(MAX(ROW(E$1:E1393)*(E1394=E$1:E1393)))))</f>
        <v/>
      </c>
      <c r="L1394" s="16"/>
    </row>
    <row r="1395" customFormat="false" ht="12.8" hidden="false" customHeight="false" outlineLevel="0" collapsed="false">
      <c r="A1395" s="0" t="s">
        <v>334</v>
      </c>
      <c r="B1395" s="0" t="s">
        <v>75</v>
      </c>
      <c r="C1395" s="0" t="s">
        <v>244</v>
      </c>
      <c r="D1395" s="0" t="s">
        <v>20</v>
      </c>
      <c r="E1395" s="10" t="s">
        <v>666</v>
      </c>
      <c r="F1395" s="11" t="str">
        <f aca="false">IF(OR(E1395="",E1395="!!!"),"",IF(NOT(ISNA(VLOOKUP(E1395,E$1:E1394,1,FALSE()))),"OLD",IF(AND(E1395&lt;&gt;"",E1395&lt;&gt;"!!!"),"NEW","")))</f>
        <v>OLD</v>
      </c>
      <c r="G1395" s="12" t="s">
        <v>87</v>
      </c>
      <c r="H1395" s="13" t="str">
        <f aca="false">IF(J1395&lt;&gt;1,"",IF(I1395="SBJ","CB","?"))</f>
        <v>CB</v>
      </c>
      <c r="I1395" s="14" t="str">
        <f aca="false">IF(OR(E1395="",E1395="!!!",F1395="NEW"),"",INDEX(B$2:B1394,-1+SUMPRODUCT(MAX(ROW(E$2:E1394)*(E1395=E$2:E1394)))))</f>
        <v>SBJ</v>
      </c>
      <c r="J1395" s="15" t="n">
        <f aca="true">IF(OR(E1395="",E1395="!!!",F1395="NEW"),"",COUNTBLANK(OFFSET(A$1,,,SUMPRODUCT(MAX(ROW(E$2:E1395)*(E1395=E$2:E1395)))))-COUNTBLANK(OFFSET(A$1,,,SUMPRODUCT(MAX(ROW(E$1:E1394)*(E1395=E$1:E1394))))))</f>
        <v>1</v>
      </c>
      <c r="K1395" s="15" t="n">
        <f aca="false">IF(OR(E1395="",E1395="!!!",F1395="NEW"),"",INDEX(J$1:J1394,SUMPRODUCT(MAX(ROW(E$1:E1394)*(E1395=E$1:E1394)))))</f>
        <v>2</v>
      </c>
      <c r="L1395" s="16"/>
    </row>
    <row r="1396" customFormat="false" ht="12.8" hidden="false" customHeight="false" outlineLevel="0" collapsed="false">
      <c r="A1396" s="0" t="s">
        <v>689</v>
      </c>
      <c r="E1396" s="10" t="str">
        <f aca="false">IF(D1396="?OLD","!!!","")</f>
        <v/>
      </c>
      <c r="F1396" s="11" t="str">
        <f aca="false">IF(OR(E1396="",E1396="!!!"),"",IF(NOT(ISNA(VLOOKUP(E1396,E$1:E1395,1,FALSE()))),"OLD",IF(AND(E1396&lt;&gt;"",E1396&lt;&gt;"!!!"),"NEW","")))</f>
        <v/>
      </c>
      <c r="G1396" s="12" t="str">
        <f aca="false">IF(OR(E1396="",E1396="!!!"),"",IF(OR(J1396=0,AND(J1396=1,K1396=1),AND(J1396=1,I1396="SBJ"),AND(J1396=1,I1396=0)),"?IN_FOCUS",IF(J1396&lt;=2,"?ACTIVATED",IF(J1396&lt;&gt;"","?FAMILIAR",IF(F1396="NEW",IF(ISNA(VLOOKUP(E1396,#REF!,1,FALSE())),"?TYPE_IDENTIFIABLE","?REFERENTIAL"),"_")))))</f>
        <v/>
      </c>
      <c r="H1396" s="13" t="str">
        <f aca="false">IF(J1396&lt;&gt;1,"",IF(I1396="SBJ","CB","?"))</f>
        <v/>
      </c>
      <c r="I1396" s="14" t="str">
        <f aca="false">IF(OR(E1396="",E1396="!!!",F1396="NEW"),"",INDEX(B$2:B1395,-1+SUMPRODUCT(MAX(ROW(E$2:E1395)*(E1396=E$2:E1395)))))</f>
        <v/>
      </c>
      <c r="J1396" s="15" t="str">
        <f aca="true">IF(OR(E1396="",E1396="!!!",F1396="NEW"),"",COUNTBLANK(OFFSET(A$1,,,SUMPRODUCT(MAX(ROW(E$2:E1396)*(E1396=E$2:E1396)))))-COUNTBLANK(OFFSET(A$1,,,SUMPRODUCT(MAX(ROW(E$1:E1395)*(E1396=E$1:E1395))))))</f>
        <v/>
      </c>
      <c r="K1396" s="15" t="str">
        <f aca="false">IF(OR(E1396="",E1396="!!!",F1396="NEW"),"",INDEX(J$1:J1395,SUMPRODUCT(MAX(ROW(E$1:E1395)*(E1396=E$1:E1395)))))</f>
        <v/>
      </c>
      <c r="L1396" s="16"/>
    </row>
    <row r="1397" customFormat="false" ht="12.8" hidden="false" customHeight="false" outlineLevel="0" collapsed="false">
      <c r="A1397" s="0" t="s">
        <v>690</v>
      </c>
      <c r="B1397" s="0" t="s">
        <v>14</v>
      </c>
      <c r="C1397" s="0" t="s">
        <v>246</v>
      </c>
      <c r="D1397" s="0" t="s">
        <v>20</v>
      </c>
      <c r="E1397" s="10"/>
      <c r="F1397" s="11" t="s">
        <v>247</v>
      </c>
      <c r="G1397" s="12"/>
      <c r="H1397" s="13" t="str">
        <f aca="false">IF(J1397&lt;&gt;1,"",IF(I1397="SBJ","CB","?"))</f>
        <v/>
      </c>
      <c r="I1397" s="14" t="str">
        <f aca="false">IF(OR(E1397="",E1397="!!!",F1397="NEW"),"",INDEX(B$2:B1396,-1+SUMPRODUCT(MAX(ROW(E$2:E1396)*(E1397=E$2:E1396)))))</f>
        <v/>
      </c>
      <c r="J1397" s="15" t="str">
        <f aca="true">IF(OR(E1397="",E1397="!!!",F1397="NEW"),"",COUNTBLANK(OFFSET(A$1,,,SUMPRODUCT(MAX(ROW(E$2:E1397)*(E1397=E$2:E1397)))))-COUNTBLANK(OFFSET(A$1,,,SUMPRODUCT(MAX(ROW(E$1:E1396)*(E1397=E$1:E1396))))))</f>
        <v/>
      </c>
      <c r="K1397" s="15" t="str">
        <f aca="false">IF(OR(E1397="",E1397="!!!",F1397="NEW"),"",INDEX(J$1:J1396,SUMPRODUCT(MAX(ROW(E$1:E1396)*(E1397=E$1:E1396)))))</f>
        <v/>
      </c>
      <c r="L1397" s="16"/>
    </row>
    <row r="1398" customFormat="false" ht="12.8" hidden="false" customHeight="false" outlineLevel="0" collapsed="false">
      <c r="A1398" s="0" t="s">
        <v>44</v>
      </c>
      <c r="E1398" s="10" t="str">
        <f aca="false">IF(D1398="?OLD","!!!","")</f>
        <v/>
      </c>
      <c r="F1398" s="11" t="str">
        <f aca="false">IF(OR(E1398="",E1398="!!!"),"",IF(NOT(ISNA(VLOOKUP(E1398,E$1:E1397,1,FALSE()))),"OLD",IF(AND(E1398&lt;&gt;"",E1398&lt;&gt;"!!!"),"NEW","")))</f>
        <v/>
      </c>
      <c r="G1398" s="12" t="str">
        <f aca="false">IF(OR(E1398="",E1398="!!!"),"",IF(OR(J1398=0,AND(J1398=1,K1398=1),AND(J1398=1,I1398="SBJ"),AND(J1398=1,I1398=0)),"?IN_FOCUS",IF(J1398&lt;=2,"?ACTIVATED",IF(J1398&lt;&gt;"","?FAMILIAR",IF(F1398="NEW",IF(ISNA(VLOOKUP(E1398,#REF!,1,FALSE())),"?TYPE_IDENTIFIABLE","?REFERENTIAL"),"_")))))</f>
        <v/>
      </c>
      <c r="H1398" s="13" t="str">
        <f aca="false">IF(J1398&lt;&gt;1,"",IF(I1398="SBJ","CB","?"))</f>
        <v/>
      </c>
      <c r="I1398" s="14" t="str">
        <f aca="false">IF(OR(E1398="",E1398="!!!",F1398="NEW"),"",INDEX(B$2:B1397,-1+SUMPRODUCT(MAX(ROW(E$2:E1397)*(E1398=E$2:E1397)))))</f>
        <v/>
      </c>
      <c r="J1398" s="15" t="str">
        <f aca="true">IF(OR(E1398="",E1398="!!!",F1398="NEW"),"",COUNTBLANK(OFFSET(A$1,,,SUMPRODUCT(MAX(ROW(E$2:E1398)*(E1398=E$2:E1398)))))-COUNTBLANK(OFFSET(A$1,,,SUMPRODUCT(MAX(ROW(E$1:E1397)*(E1398=E$1:E1397))))))</f>
        <v/>
      </c>
      <c r="K1398" s="15" t="str">
        <f aca="false">IF(OR(E1398="",E1398="!!!",F1398="NEW"),"",INDEX(J$1:J1397,SUMPRODUCT(MAX(ROW(E$1:E1397)*(E1398=E$1:E1397)))))</f>
        <v/>
      </c>
      <c r="L1398" s="16"/>
    </row>
    <row r="1399" customFormat="false" ht="12.8" hidden="false" customHeight="false" outlineLevel="0" collapsed="false">
      <c r="A1399" s="0" t="s">
        <v>516</v>
      </c>
      <c r="E1399" s="10" t="str">
        <f aca="false">IF(D1399="?OLD","!!!","")</f>
        <v/>
      </c>
      <c r="F1399" s="11" t="str">
        <f aca="false">IF(OR(E1399="",E1399="!!!"),"",IF(NOT(ISNA(VLOOKUP(E1399,E$1:E1398,1,FALSE()))),"OLD",IF(AND(E1399&lt;&gt;"",E1399&lt;&gt;"!!!"),"NEW","")))</f>
        <v/>
      </c>
      <c r="G1399" s="12" t="str">
        <f aca="false">IF(OR(E1399="",E1399="!!!"),"",IF(OR(J1399=0,AND(J1399=1,K1399=1),AND(J1399=1,I1399="SBJ"),AND(J1399=1,I1399=0)),"?IN_FOCUS",IF(J1399&lt;=2,"?ACTIVATED",IF(J1399&lt;&gt;"","?FAMILIAR",IF(F1399="NEW",IF(ISNA(VLOOKUP(E1399,#REF!,1,FALSE())),"?TYPE_IDENTIFIABLE","?REFERENTIAL"),"_")))))</f>
        <v/>
      </c>
      <c r="H1399" s="13" t="str">
        <f aca="false">IF(J1399&lt;&gt;1,"",IF(I1399="SBJ","CB","?"))</f>
        <v/>
      </c>
      <c r="I1399" s="14" t="str">
        <f aca="false">IF(OR(E1399="",E1399="!!!",F1399="NEW"),"",INDEX(B$2:B1398,-1+SUMPRODUCT(MAX(ROW(E$2:E1398)*(E1399=E$2:E1398)))))</f>
        <v/>
      </c>
      <c r="J1399" s="15" t="str">
        <f aca="true">IF(OR(E1399="",E1399="!!!",F1399="NEW"),"",COUNTBLANK(OFFSET(A$1,,,SUMPRODUCT(MAX(ROW(E$2:E1399)*(E1399=E$2:E1399)))))-COUNTBLANK(OFFSET(A$1,,,SUMPRODUCT(MAX(ROW(E$1:E1398)*(E1399=E$1:E1398))))))</f>
        <v/>
      </c>
      <c r="K1399" s="15" t="str">
        <f aca="false">IF(OR(E1399="",E1399="!!!",F1399="NEW"),"",INDEX(J$1:J1398,SUMPRODUCT(MAX(ROW(E$1:E1398)*(E1399=E$1:E1398)))))</f>
        <v/>
      </c>
      <c r="L1399" s="16"/>
    </row>
    <row r="1400" customFormat="false" ht="12.8" hidden="false" customHeight="false" outlineLevel="0" collapsed="false">
      <c r="A1400" s="0" t="s">
        <v>112</v>
      </c>
      <c r="E1400" s="10" t="str">
        <f aca="false">IF(D1400="?OLD","!!!","")</f>
        <v/>
      </c>
      <c r="F1400" s="11" t="str">
        <f aca="false">IF(OR(E1400="",E1400="!!!"),"",IF(NOT(ISNA(VLOOKUP(E1400,E$1:E1399,1,FALSE()))),"OLD",IF(AND(E1400&lt;&gt;"",E1400&lt;&gt;"!!!"),"NEW","")))</f>
        <v/>
      </c>
      <c r="G1400" s="12" t="str">
        <f aca="false">IF(OR(E1400="",E1400="!!!"),"",IF(OR(J1400=0,AND(J1400=1,K1400=1),AND(J1400=1,I1400="SBJ"),AND(J1400=1,I1400=0)),"?IN_FOCUS",IF(J1400&lt;=2,"?ACTIVATED",IF(J1400&lt;&gt;"","?FAMILIAR",IF(F1400="NEW",IF(ISNA(VLOOKUP(E1400,#REF!,1,FALSE())),"?TYPE_IDENTIFIABLE","?REFERENTIAL"),"_")))))</f>
        <v/>
      </c>
      <c r="H1400" s="13" t="str">
        <f aca="false">IF(J1400&lt;&gt;1,"",IF(I1400="SBJ","CB","?"))</f>
        <v/>
      </c>
      <c r="I1400" s="14" t="str">
        <f aca="false">IF(OR(E1400="",E1400="!!!",F1400="NEW"),"",INDEX(B$2:B1399,-1+SUMPRODUCT(MAX(ROW(E$2:E1399)*(E1400=E$2:E1399)))))</f>
        <v/>
      </c>
      <c r="J1400" s="15" t="str">
        <f aca="true">IF(OR(E1400="",E1400="!!!",F1400="NEW"),"",COUNTBLANK(OFFSET(A$1,,,SUMPRODUCT(MAX(ROW(E$2:E1400)*(E1400=E$2:E1400)))))-COUNTBLANK(OFFSET(A$1,,,SUMPRODUCT(MAX(ROW(E$1:E1399)*(E1400=E$1:E1399))))))</f>
        <v/>
      </c>
      <c r="K1400" s="15" t="str">
        <f aca="false">IF(OR(E1400="",E1400="!!!",F1400="NEW"),"",INDEX(J$1:J1399,SUMPRODUCT(MAX(ROW(E$1:E1399)*(E1400=E$1:E1399)))))</f>
        <v/>
      </c>
      <c r="L1400" s="16"/>
    </row>
    <row r="1401" customFormat="false" ht="12.8" hidden="false" customHeight="false" outlineLevel="0" collapsed="false">
      <c r="A1401" s="0" t="s">
        <v>113</v>
      </c>
      <c r="E1401" s="10" t="str">
        <f aca="false">IF(D1401="?OLD","!!!","")</f>
        <v/>
      </c>
      <c r="F1401" s="11" t="str">
        <f aca="false">IF(OR(E1401="",E1401="!!!"),"",IF(NOT(ISNA(VLOOKUP(E1401,E$1:E1400,1,FALSE()))),"OLD",IF(AND(E1401&lt;&gt;"",E1401&lt;&gt;"!!!"),"NEW","")))</f>
        <v/>
      </c>
      <c r="G1401" s="12" t="str">
        <f aca="false">IF(OR(E1401="",E1401="!!!"),"",IF(OR(J1401=0,AND(J1401=1,K1401=1),AND(J1401=1,I1401="SBJ"),AND(J1401=1,I1401=0)),"?IN_FOCUS",IF(J1401&lt;=2,"?ACTIVATED",IF(J1401&lt;&gt;"","?FAMILIAR",IF(F1401="NEW",IF(ISNA(VLOOKUP(E1401,#REF!,1,FALSE())),"?TYPE_IDENTIFIABLE","?REFERENTIAL"),"_")))))</f>
        <v/>
      </c>
      <c r="H1401" s="13" t="str">
        <f aca="false">IF(J1401&lt;&gt;1,"",IF(I1401="SBJ","CB","?"))</f>
        <v/>
      </c>
      <c r="I1401" s="14" t="str">
        <f aca="false">IF(OR(E1401="",E1401="!!!",F1401="NEW"),"",INDEX(B$2:B1400,-1+SUMPRODUCT(MAX(ROW(E$2:E1400)*(E1401=E$2:E1400)))))</f>
        <v/>
      </c>
      <c r="J1401" s="15" t="str">
        <f aca="true">IF(OR(E1401="",E1401="!!!",F1401="NEW"),"",COUNTBLANK(OFFSET(A$1,,,SUMPRODUCT(MAX(ROW(E$2:E1401)*(E1401=E$2:E1401)))))-COUNTBLANK(OFFSET(A$1,,,SUMPRODUCT(MAX(ROW(E$1:E1400)*(E1401=E$1:E1400))))))</f>
        <v/>
      </c>
      <c r="K1401" s="15" t="str">
        <f aca="false">IF(OR(E1401="",E1401="!!!",F1401="NEW"),"",INDEX(J$1:J1400,SUMPRODUCT(MAX(ROW(E$1:E1400)*(E1401=E$1:E1400)))))</f>
        <v/>
      </c>
      <c r="L1401" s="16"/>
    </row>
    <row r="1402" customFormat="false" ht="12.8" hidden="false" customHeight="false" outlineLevel="0" collapsed="false">
      <c r="A1402" s="0" t="s">
        <v>114</v>
      </c>
      <c r="E1402" s="10" t="str">
        <f aca="false">IF(D1402="?OLD","!!!","")</f>
        <v/>
      </c>
      <c r="F1402" s="11" t="str">
        <f aca="false">IF(OR(E1402="",E1402="!!!"),"",IF(NOT(ISNA(VLOOKUP(E1402,E$1:E1401,1,FALSE()))),"OLD",IF(AND(E1402&lt;&gt;"",E1402&lt;&gt;"!!!"),"NEW","")))</f>
        <v/>
      </c>
      <c r="G1402" s="12" t="str">
        <f aca="false">IF(OR(E1402="",E1402="!!!"),"",IF(OR(J1402=0,AND(J1402=1,K1402=1),AND(J1402=1,I1402="SBJ"),AND(J1402=1,I1402=0)),"?IN_FOCUS",IF(J1402&lt;=2,"?ACTIVATED",IF(J1402&lt;&gt;"","?FAMILIAR",IF(F1402="NEW",IF(ISNA(VLOOKUP(E1402,#REF!,1,FALSE())),"?TYPE_IDENTIFIABLE","?REFERENTIAL"),"_")))))</f>
        <v/>
      </c>
      <c r="H1402" s="13" t="str">
        <f aca="false">IF(J1402&lt;&gt;1,"",IF(I1402="SBJ","CB","?"))</f>
        <v/>
      </c>
      <c r="I1402" s="14" t="str">
        <f aca="false">IF(OR(E1402="",E1402="!!!",F1402="NEW"),"",INDEX(B$2:B1401,-1+SUMPRODUCT(MAX(ROW(E$2:E1401)*(E1402=E$2:E1401)))))</f>
        <v/>
      </c>
      <c r="J1402" s="15" t="str">
        <f aca="true">IF(OR(E1402="",E1402="!!!",F1402="NEW"),"",COUNTBLANK(OFFSET(A$1,,,SUMPRODUCT(MAX(ROW(E$2:E1402)*(E1402=E$2:E1402)))))-COUNTBLANK(OFFSET(A$1,,,SUMPRODUCT(MAX(ROW(E$1:E1401)*(E1402=E$1:E1401))))))</f>
        <v/>
      </c>
      <c r="K1402" s="15" t="str">
        <f aca="false">IF(OR(E1402="",E1402="!!!",F1402="NEW"),"",INDEX(J$1:J1401,SUMPRODUCT(MAX(ROW(E$1:E1401)*(E1402=E$1:E1401)))))</f>
        <v/>
      </c>
      <c r="L1402" s="16"/>
    </row>
    <row r="1403" customFormat="false" ht="12.8" hidden="false" customHeight="false" outlineLevel="0" collapsed="false">
      <c r="A1403" s="0" t="s">
        <v>691</v>
      </c>
      <c r="E1403" s="10" t="str">
        <f aca="false">IF(D1403="?OLD","!!!","")</f>
        <v/>
      </c>
      <c r="F1403" s="11" t="str">
        <f aca="false">IF(OR(E1403="",E1403="!!!"),"",IF(NOT(ISNA(VLOOKUP(E1403,E$1:E1402,1,FALSE()))),"OLD",IF(AND(E1403&lt;&gt;"",E1403&lt;&gt;"!!!"),"NEW","")))</f>
        <v/>
      </c>
      <c r="G1403" s="12" t="str">
        <f aca="false">IF(OR(E1403="",E1403="!!!"),"",IF(OR(J1403=0,AND(J1403=1,K1403=1),AND(J1403=1,I1403="SBJ"),AND(J1403=1,I1403=0)),"?IN_FOCUS",IF(J1403&lt;=2,"?ACTIVATED",IF(J1403&lt;&gt;"","?FAMILIAR",IF(F1403="NEW",IF(ISNA(VLOOKUP(E1403,#REF!,1,FALSE())),"?TYPE_IDENTIFIABLE","?REFERENTIAL"),"_")))))</f>
        <v/>
      </c>
      <c r="H1403" s="13" t="str">
        <f aca="false">IF(J1403&lt;&gt;1,"",IF(I1403="SBJ","CB","?"))</f>
        <v/>
      </c>
      <c r="I1403" s="14" t="str">
        <f aca="false">IF(OR(E1403="",E1403="!!!",F1403="NEW"),"",INDEX(B$2:B1402,-1+SUMPRODUCT(MAX(ROW(E$2:E1402)*(E1403=E$2:E1402)))))</f>
        <v/>
      </c>
      <c r="J1403" s="15" t="str">
        <f aca="true">IF(OR(E1403="",E1403="!!!",F1403="NEW"),"",COUNTBLANK(OFFSET(A$1,,,SUMPRODUCT(MAX(ROW(E$2:E1403)*(E1403=E$2:E1403)))))-COUNTBLANK(OFFSET(A$1,,,SUMPRODUCT(MAX(ROW(E$1:E1402)*(E1403=E$1:E1402))))))</f>
        <v/>
      </c>
      <c r="K1403" s="15" t="str">
        <f aca="false">IF(OR(E1403="",E1403="!!!",F1403="NEW"),"",INDEX(J$1:J1402,SUMPRODUCT(MAX(ROW(E$1:E1402)*(E1403=E$1:E1402)))))</f>
        <v/>
      </c>
      <c r="L1403" s="16"/>
    </row>
    <row r="1404" customFormat="false" ht="12.8" hidden="false" customHeight="false" outlineLevel="0" collapsed="false">
      <c r="A1404" s="0" t="s">
        <v>692</v>
      </c>
      <c r="B1404" s="0" t="s">
        <v>34</v>
      </c>
      <c r="C1404" s="0" t="s">
        <v>31</v>
      </c>
      <c r="E1404" s="10" t="str">
        <f aca="false">IF(D1404="?OLD","!!!","")</f>
        <v/>
      </c>
      <c r="F1404" s="11" t="str">
        <f aca="false">IF(OR(E1404="",E1404="!!!"),"",IF(NOT(ISNA(VLOOKUP(E1404,E$1:E1403,1,FALSE()))),"OLD",IF(AND(E1404&lt;&gt;"",E1404&lt;&gt;"!!!"),"NEW","")))</f>
        <v/>
      </c>
      <c r="G1404" s="12" t="str">
        <f aca="false">IF(OR(E1404="",E1404="!!!"),"",IF(OR(J1404=0,AND(J1404=1,K1404=1),AND(J1404=1,I1404="SBJ"),AND(J1404=1,I1404=0)),"?IN_FOCUS",IF(J1404&lt;=2,"?ACTIVATED",IF(J1404&lt;&gt;"","?FAMILIAR",IF(F1404="NEW",IF(ISNA(VLOOKUP(E1404,#REF!,1,FALSE())),"?TYPE_IDENTIFIABLE","?REFERENTIAL"),"_")))))</f>
        <v/>
      </c>
      <c r="H1404" s="13" t="str">
        <f aca="false">IF(J1404&lt;&gt;1,"",IF(I1404="SBJ","CB","?"))</f>
        <v/>
      </c>
      <c r="I1404" s="14" t="str">
        <f aca="false">IF(OR(E1404="",E1404="!!!",F1404="NEW"),"",INDEX(B$2:B1403,-1+SUMPRODUCT(MAX(ROW(E$2:E1403)*(E1404=E$2:E1403)))))</f>
        <v/>
      </c>
      <c r="J1404" s="15" t="str">
        <f aca="true">IF(OR(E1404="",E1404="!!!",F1404="NEW"),"",COUNTBLANK(OFFSET(A$1,,,SUMPRODUCT(MAX(ROW(E$2:E1404)*(E1404=E$2:E1404)))))-COUNTBLANK(OFFSET(A$1,,,SUMPRODUCT(MAX(ROW(E$1:E1403)*(E1404=E$1:E1403))))))</f>
        <v/>
      </c>
      <c r="K1404" s="15" t="str">
        <f aca="false">IF(OR(E1404="",E1404="!!!",F1404="NEW"),"",INDEX(J$1:J1403,SUMPRODUCT(MAX(ROW(E$1:E1403)*(E1404=E$1:E1403)))))</f>
        <v/>
      </c>
      <c r="L1404" s="16"/>
    </row>
    <row r="1405" customFormat="false" ht="12.8" hidden="false" customHeight="false" outlineLevel="0" collapsed="false">
      <c r="A1405" s="0" t="s">
        <v>693</v>
      </c>
      <c r="E1405" s="10" t="str">
        <f aca="false">IF(D1405="?OLD","!!!","")</f>
        <v/>
      </c>
      <c r="F1405" s="11" t="str">
        <f aca="false">IF(OR(E1405="",E1405="!!!"),"",IF(NOT(ISNA(VLOOKUP(E1405,E$1:E1404,1,FALSE()))),"OLD",IF(AND(E1405&lt;&gt;"",E1405&lt;&gt;"!!!"),"NEW","")))</f>
        <v/>
      </c>
      <c r="G1405" s="12" t="str">
        <f aca="false">IF(OR(E1405="",E1405="!!!"),"",IF(OR(J1405=0,AND(J1405=1,K1405=1),AND(J1405=1,I1405="SBJ"),AND(J1405=1,I1405=0)),"?IN_FOCUS",IF(J1405&lt;=2,"?ACTIVATED",IF(J1405&lt;&gt;"","?FAMILIAR",IF(F1405="NEW",IF(ISNA(VLOOKUP(E1405,#REF!,1,FALSE())),"?TYPE_IDENTIFIABLE","?REFERENTIAL"),"_")))))</f>
        <v/>
      </c>
      <c r="H1405" s="13" t="str">
        <f aca="false">IF(J1405&lt;&gt;1,"",IF(I1405="SBJ","CB","?"))</f>
        <v/>
      </c>
      <c r="I1405" s="14" t="str">
        <f aca="false">IF(OR(E1405="",E1405="!!!",F1405="NEW"),"",INDEX(B$2:B1404,-1+SUMPRODUCT(MAX(ROW(E$2:E1404)*(E1405=E$2:E1404)))))</f>
        <v/>
      </c>
      <c r="J1405" s="15" t="str">
        <f aca="true">IF(OR(E1405="",E1405="!!!",F1405="NEW"),"",COUNTBLANK(OFFSET(A$1,,,SUMPRODUCT(MAX(ROW(E$2:E1405)*(E1405=E$2:E1405)))))-COUNTBLANK(OFFSET(A$1,,,SUMPRODUCT(MAX(ROW(E$1:E1404)*(E1405=E$1:E1404))))))</f>
        <v/>
      </c>
      <c r="K1405" s="15" t="str">
        <f aca="false">IF(OR(E1405="",E1405="!!!",F1405="NEW"),"",INDEX(J$1:J1404,SUMPRODUCT(MAX(ROW(E$1:E1404)*(E1405=E$1:E1404)))))</f>
        <v/>
      </c>
      <c r="L1405" s="16"/>
    </row>
    <row r="1406" customFormat="false" ht="12.8" hidden="false" customHeight="false" outlineLevel="0" collapsed="false">
      <c r="A1406" s="0" t="s">
        <v>62</v>
      </c>
      <c r="E1406" s="10" t="str">
        <f aca="false">IF(D1406="?OLD","!!!","")</f>
        <v/>
      </c>
      <c r="F1406" s="11" t="str">
        <f aca="false">IF(OR(E1406="",E1406="!!!"),"",IF(NOT(ISNA(VLOOKUP(E1406,E$1:E1405,1,FALSE()))),"OLD",IF(AND(E1406&lt;&gt;"",E1406&lt;&gt;"!!!"),"NEW","")))</f>
        <v/>
      </c>
      <c r="G1406" s="12" t="str">
        <f aca="false">IF(OR(E1406="",E1406="!!!"),"",IF(OR(J1406=0,AND(J1406=1,K1406=1),AND(J1406=1,I1406="SBJ"),AND(J1406=1,I1406=0)),"?IN_FOCUS",IF(J1406&lt;=2,"?ACTIVATED",IF(J1406&lt;&gt;"","?FAMILIAR",IF(F1406="NEW",IF(ISNA(VLOOKUP(E1406,#REF!,1,FALSE())),"?TYPE_IDENTIFIABLE","?REFERENTIAL"),"_")))))</f>
        <v/>
      </c>
      <c r="H1406" s="13" t="str">
        <f aca="false">IF(J1406&lt;&gt;1,"",IF(I1406="SBJ","CB","?"))</f>
        <v/>
      </c>
      <c r="I1406" s="14" t="str">
        <f aca="false">IF(OR(E1406="",E1406="!!!",F1406="NEW"),"",INDEX(B$2:B1405,-1+SUMPRODUCT(MAX(ROW(E$2:E1405)*(E1406=E$2:E1405)))))</f>
        <v/>
      </c>
      <c r="J1406" s="15" t="str">
        <f aca="true">IF(OR(E1406="",E1406="!!!",F1406="NEW"),"",COUNTBLANK(OFFSET(A$1,,,SUMPRODUCT(MAX(ROW(E$2:E1406)*(E1406=E$2:E1406)))))-COUNTBLANK(OFFSET(A$1,,,SUMPRODUCT(MAX(ROW(E$1:E1405)*(E1406=E$1:E1405))))))</f>
        <v/>
      </c>
      <c r="K1406" s="15" t="str">
        <f aca="false">IF(OR(E1406="",E1406="!!!",F1406="NEW"),"",INDEX(J$1:J1405,SUMPRODUCT(MAX(ROW(E$1:E1405)*(E1406=E$1:E1405)))))</f>
        <v/>
      </c>
      <c r="L1406" s="16"/>
    </row>
    <row r="1407" customFormat="false" ht="12.8" hidden="false" customHeight="false" outlineLevel="0" collapsed="false">
      <c r="A1407" s="0" t="s">
        <v>694</v>
      </c>
      <c r="E1407" s="10" t="str">
        <f aca="false">IF(D1407="?OLD","!!!","")</f>
        <v/>
      </c>
      <c r="F1407" s="11" t="str">
        <f aca="false">IF(OR(E1407="",E1407="!!!"),"",IF(NOT(ISNA(VLOOKUP(E1407,E$1:E1406,1,FALSE()))),"OLD",IF(AND(E1407&lt;&gt;"",E1407&lt;&gt;"!!!"),"NEW","")))</f>
        <v/>
      </c>
      <c r="G1407" s="12" t="str">
        <f aca="false">IF(OR(E1407="",E1407="!!!"),"",IF(OR(J1407=0,AND(J1407=1,K1407=1),AND(J1407=1,I1407="SBJ"),AND(J1407=1,I1407=0)),"?IN_FOCUS",IF(J1407&lt;=2,"?ACTIVATED",IF(J1407&lt;&gt;"","?FAMILIAR",IF(F1407="NEW",IF(ISNA(VLOOKUP(E1407,#REF!,1,FALSE())),"?TYPE_IDENTIFIABLE","?REFERENTIAL"),"_")))))</f>
        <v/>
      </c>
      <c r="H1407" s="13" t="str">
        <f aca="false">IF(J1407&lt;&gt;1,"",IF(I1407="SBJ","CB","?"))</f>
        <v/>
      </c>
      <c r="I1407" s="14" t="str">
        <f aca="false">IF(OR(E1407="",E1407="!!!",F1407="NEW"),"",INDEX(B$2:B1406,-1+SUMPRODUCT(MAX(ROW(E$2:E1406)*(E1407=E$2:E1406)))))</f>
        <v/>
      </c>
      <c r="J1407" s="15" t="str">
        <f aca="true">IF(OR(E1407="",E1407="!!!",F1407="NEW"),"",COUNTBLANK(OFFSET(A$1,,,SUMPRODUCT(MAX(ROW(E$2:E1407)*(E1407=E$2:E1407)))))-COUNTBLANK(OFFSET(A$1,,,SUMPRODUCT(MAX(ROW(E$1:E1406)*(E1407=E$1:E1406))))))</f>
        <v/>
      </c>
      <c r="K1407" s="15" t="str">
        <f aca="false">IF(OR(E1407="",E1407="!!!",F1407="NEW"),"",INDEX(J$1:J1406,SUMPRODUCT(MAX(ROW(E$1:E1406)*(E1407=E$1:E1406)))))</f>
        <v/>
      </c>
      <c r="L1407" s="16"/>
    </row>
    <row r="1408" customFormat="false" ht="12.8" hidden="false" customHeight="false" outlineLevel="0" collapsed="false">
      <c r="A1408" s="0" t="s">
        <v>326</v>
      </c>
      <c r="B1408" s="0" t="s">
        <v>85</v>
      </c>
      <c r="C1408" s="0" t="s">
        <v>27</v>
      </c>
      <c r="D1408" s="0" t="s">
        <v>20</v>
      </c>
      <c r="E1408" s="10" t="s">
        <v>695</v>
      </c>
      <c r="F1408" s="11" t="s">
        <v>137</v>
      </c>
      <c r="G1408" s="12" t="s">
        <v>131</v>
      </c>
      <c r="H1408" s="13"/>
      <c r="I1408" s="14" t="str">
        <f aca="false">IF(OR(E1408="",E1408="!!!",F1408="NEW"),"",INDEX(B$2:B1407,-1+SUMPRODUCT(MAX(ROW(E$2:E1407)*(E1408=E$2:E1407)))))</f>
        <v/>
      </c>
      <c r="J1408" s="15" t="str">
        <f aca="true">IF(OR(E1408="",E1408="!!!",F1408="NEW"),"",COUNTBLANK(OFFSET(A$1,,,SUMPRODUCT(MAX(ROW(E$2:E1408)*(E1408=E$2:E1408)))))-COUNTBLANK(OFFSET(A$1,,,SUMPRODUCT(MAX(ROW(E$1:E1407)*(E1408=E$1:E1407))))))</f>
        <v/>
      </c>
      <c r="K1408" s="15" t="str">
        <f aca="false">IF(OR(E1408="",E1408="!!!",F1408="NEW"),"",INDEX(J$1:J1407,SUMPRODUCT(MAX(ROW(E$1:E1407)*(E1408=E$1:E1407)))))</f>
        <v/>
      </c>
      <c r="L1408" s="16"/>
    </row>
    <row r="1409" customFormat="false" ht="12.8" hidden="false" customHeight="false" outlineLevel="0" collapsed="false">
      <c r="A1409" s="0" t="s">
        <v>61</v>
      </c>
      <c r="E1409" s="10" t="str">
        <f aca="false">IF(D1409="?OLD","!!!","")</f>
        <v/>
      </c>
      <c r="F1409" s="11" t="str">
        <f aca="false">IF(OR(E1409="",E1409="!!!"),"",IF(NOT(ISNA(VLOOKUP(E1409,E$1:E1408,1,FALSE()))),"OLD",IF(AND(E1409&lt;&gt;"",E1409&lt;&gt;"!!!"),"NEW","")))</f>
        <v/>
      </c>
      <c r="G1409" s="12" t="str">
        <f aca="false">IF(OR(E1409="",E1409="!!!"),"",IF(OR(J1409=0,AND(J1409=1,K1409=1),AND(J1409=1,I1409="SBJ"),AND(J1409=1,I1409=0)),"?IN_FOCUS",IF(J1409&lt;=2,"?ACTIVATED",IF(J1409&lt;&gt;"","?FAMILIAR",IF(F1409="NEW",IF(ISNA(VLOOKUP(E1409,#REF!,1,FALSE())),"?TYPE_IDENTIFIABLE","?REFERENTIAL"),"_")))))</f>
        <v/>
      </c>
      <c r="H1409" s="13" t="str">
        <f aca="false">IF(J1409&lt;&gt;1,"",IF(I1409="SBJ","CB","?"))</f>
        <v/>
      </c>
      <c r="I1409" s="14" t="str">
        <f aca="false">IF(OR(E1409="",E1409="!!!",F1409="NEW"),"",INDEX(B$2:B1408,-1+SUMPRODUCT(MAX(ROW(E$2:E1408)*(E1409=E$2:E1408)))))</f>
        <v/>
      </c>
      <c r="J1409" s="15" t="str">
        <f aca="true">IF(OR(E1409="",E1409="!!!",F1409="NEW"),"",COUNTBLANK(OFFSET(A$1,,,SUMPRODUCT(MAX(ROW(E$2:E1409)*(E1409=E$2:E1409)))))-COUNTBLANK(OFFSET(A$1,,,SUMPRODUCT(MAX(ROW(E$1:E1408)*(E1409=E$1:E1408))))))</f>
        <v/>
      </c>
      <c r="K1409" s="15" t="str">
        <f aca="false">IF(OR(E1409="",E1409="!!!",F1409="NEW"),"",INDEX(J$1:J1408,SUMPRODUCT(MAX(ROW(E$1:E1408)*(E1409=E$1:E1408)))))</f>
        <v/>
      </c>
      <c r="L1409" s="16"/>
    </row>
    <row r="1410" customFormat="false" ht="12.8" hidden="false" customHeight="false" outlineLevel="0" collapsed="false">
      <c r="A1410" s="0" t="s">
        <v>574</v>
      </c>
      <c r="E1410" s="10" t="str">
        <f aca="false">IF(D1410="?OLD","!!!","")</f>
        <v/>
      </c>
      <c r="F1410" s="11" t="str">
        <f aca="false">IF(OR(E1410="",E1410="!!!"),"",IF(NOT(ISNA(VLOOKUP(E1410,E$1:E1409,1,FALSE()))),"OLD",IF(AND(E1410&lt;&gt;"",E1410&lt;&gt;"!!!"),"NEW","")))</f>
        <v/>
      </c>
      <c r="G1410" s="12" t="str">
        <f aca="false">IF(OR(E1410="",E1410="!!!"),"",IF(OR(J1410=0,AND(J1410=1,K1410=1),AND(J1410=1,I1410="SBJ"),AND(J1410=1,I1410=0)),"?IN_FOCUS",IF(J1410&lt;=2,"?ACTIVATED",IF(J1410&lt;&gt;"","?FAMILIAR",IF(F1410="NEW",IF(ISNA(VLOOKUP(E1410,#REF!,1,FALSE())),"?TYPE_IDENTIFIABLE","?REFERENTIAL"),"_")))))</f>
        <v/>
      </c>
      <c r="H1410" s="13" t="str">
        <f aca="false">IF(J1410&lt;&gt;1,"",IF(I1410="SBJ","CB","?"))</f>
        <v/>
      </c>
      <c r="I1410" s="14" t="str">
        <f aca="false">IF(OR(E1410="",E1410="!!!",F1410="NEW"),"",INDEX(B$2:B1409,-1+SUMPRODUCT(MAX(ROW(E$2:E1409)*(E1410=E$2:E1409)))))</f>
        <v/>
      </c>
      <c r="J1410" s="15" t="str">
        <f aca="true">IF(OR(E1410="",E1410="!!!",F1410="NEW"),"",COUNTBLANK(OFFSET(A$1,,,SUMPRODUCT(MAX(ROW(E$2:E1410)*(E1410=E$2:E1410)))))-COUNTBLANK(OFFSET(A$1,,,SUMPRODUCT(MAX(ROW(E$1:E1409)*(E1410=E$1:E1409))))))</f>
        <v/>
      </c>
      <c r="K1410" s="15" t="str">
        <f aca="false">IF(OR(E1410="",E1410="!!!",F1410="NEW"),"",INDEX(J$1:J1409,SUMPRODUCT(MAX(ROW(E$1:E1409)*(E1410=E$1:E1409)))))</f>
        <v/>
      </c>
      <c r="L1410" s="16"/>
    </row>
    <row r="1411" customFormat="false" ht="12.8" hidden="false" customHeight="false" outlineLevel="0" collapsed="false">
      <c r="A1411" s="0" t="s">
        <v>696</v>
      </c>
      <c r="B1411" s="0" t="s">
        <v>75</v>
      </c>
      <c r="C1411" s="0" t="s">
        <v>15</v>
      </c>
      <c r="E1411" s="10" t="str">
        <f aca="false">IF(D1411="?OLD","!!!","")</f>
        <v/>
      </c>
      <c r="F1411" s="11" t="str">
        <f aca="false">IF(OR(E1411="",E1411="!!!"),"",IF(NOT(ISNA(VLOOKUP(E1411,E$1:E1410,1,FALSE()))),"OLD",IF(AND(E1411&lt;&gt;"",E1411&lt;&gt;"!!!"),"NEW","")))</f>
        <v/>
      </c>
      <c r="G1411" s="12" t="str">
        <f aca="false">IF(OR(E1411="",E1411="!!!"),"",IF(OR(J1411=0,AND(J1411=1,K1411=1),AND(J1411=1,I1411="SBJ"),AND(J1411=1,I1411=0)),"?IN_FOCUS",IF(J1411&lt;=2,"?ACTIVATED",IF(J1411&lt;&gt;"","?FAMILIAR",IF(F1411="NEW",IF(ISNA(VLOOKUP(E1411,#REF!,1,FALSE())),"?TYPE_IDENTIFIABLE","?REFERENTIAL"),"_")))))</f>
        <v/>
      </c>
      <c r="H1411" s="13" t="str">
        <f aca="false">IF(J1411&lt;&gt;1,"",IF(I1411="SBJ","CB","?"))</f>
        <v/>
      </c>
      <c r="I1411" s="14" t="str">
        <f aca="false">IF(OR(E1411="",E1411="!!!",F1411="NEW"),"",INDEX(B$2:B1410,-1+SUMPRODUCT(MAX(ROW(E$2:E1410)*(E1411=E$2:E1410)))))</f>
        <v/>
      </c>
      <c r="J1411" s="15" t="str">
        <f aca="true">IF(OR(E1411="",E1411="!!!",F1411="NEW"),"",COUNTBLANK(OFFSET(A$1,,,SUMPRODUCT(MAX(ROW(E$2:E1411)*(E1411=E$2:E1411)))))-COUNTBLANK(OFFSET(A$1,,,SUMPRODUCT(MAX(ROW(E$1:E1410)*(E1411=E$1:E1410))))))</f>
        <v/>
      </c>
      <c r="K1411" s="15" t="str">
        <f aca="false">IF(OR(E1411="",E1411="!!!",F1411="NEW"),"",INDEX(J$1:J1410,SUMPRODUCT(MAX(ROW(E$1:E1410)*(E1411=E$1:E1410)))))</f>
        <v/>
      </c>
      <c r="L1411" s="16"/>
    </row>
    <row r="1412" customFormat="false" ht="12.8" hidden="false" customHeight="false" outlineLevel="0" collapsed="false">
      <c r="A1412" s="0" t="s">
        <v>61</v>
      </c>
      <c r="E1412" s="10" t="str">
        <f aca="false">IF(D1412="?OLD","!!!","")</f>
        <v/>
      </c>
      <c r="F1412" s="11" t="str">
        <f aca="false">IF(OR(E1412="",E1412="!!!"),"",IF(NOT(ISNA(VLOOKUP(E1412,E$1:E1411,1,FALSE()))),"OLD",IF(AND(E1412&lt;&gt;"",E1412&lt;&gt;"!!!"),"NEW","")))</f>
        <v/>
      </c>
      <c r="G1412" s="12" t="str">
        <f aca="false">IF(OR(E1412="",E1412="!!!"),"",IF(OR(J1412=0,AND(J1412=1,K1412=1),AND(J1412=1,I1412="SBJ"),AND(J1412=1,I1412=0)),"?IN_FOCUS",IF(J1412&lt;=2,"?ACTIVATED",IF(J1412&lt;&gt;"","?FAMILIAR",IF(F1412="NEW",IF(ISNA(VLOOKUP(E1412,#REF!,1,FALSE())),"?TYPE_IDENTIFIABLE","?REFERENTIAL"),"_")))))</f>
        <v/>
      </c>
      <c r="H1412" s="13" t="str">
        <f aca="false">IF(J1412&lt;&gt;1,"",IF(I1412="SBJ","CB","?"))</f>
        <v/>
      </c>
      <c r="I1412" s="14" t="str">
        <f aca="false">IF(OR(E1412="",E1412="!!!",F1412="NEW"),"",INDEX(B$2:B1411,-1+SUMPRODUCT(MAX(ROW(E$2:E1411)*(E1412=E$2:E1411)))))</f>
        <v/>
      </c>
      <c r="J1412" s="15" t="str">
        <f aca="true">IF(OR(E1412="",E1412="!!!",F1412="NEW"),"",COUNTBLANK(OFFSET(A$1,,,SUMPRODUCT(MAX(ROW(E$2:E1412)*(E1412=E$2:E1412)))))-COUNTBLANK(OFFSET(A$1,,,SUMPRODUCT(MAX(ROW(E$1:E1411)*(E1412=E$1:E1411))))))</f>
        <v/>
      </c>
      <c r="K1412" s="15" t="str">
        <f aca="false">IF(OR(E1412="",E1412="!!!",F1412="NEW"),"",INDEX(J$1:J1411,SUMPRODUCT(MAX(ROW(E$1:E1411)*(E1412=E$1:E1411)))))</f>
        <v/>
      </c>
      <c r="L1412" s="16"/>
    </row>
    <row r="1413" customFormat="false" ht="12.8" hidden="false" customHeight="false" outlineLevel="0" collapsed="false">
      <c r="A1413" s="0" t="s">
        <v>317</v>
      </c>
      <c r="B1413" s="0" t="s">
        <v>96</v>
      </c>
      <c r="C1413" s="0" t="s">
        <v>31</v>
      </c>
      <c r="E1413" s="10" t="str">
        <f aca="false">IF(D1413="?OLD","!!!","")</f>
        <v/>
      </c>
      <c r="F1413" s="11" t="str">
        <f aca="false">IF(OR(E1413="",E1413="!!!"),"",IF(NOT(ISNA(VLOOKUP(E1413,E$1:E1412,1,FALSE()))),"OLD",IF(AND(E1413&lt;&gt;"",E1413&lt;&gt;"!!!"),"NEW","")))</f>
        <v/>
      </c>
      <c r="G1413" s="12" t="str">
        <f aca="false">IF(OR(E1413="",E1413="!!!"),"",IF(OR(J1413=0,AND(J1413=1,K1413=1),AND(J1413=1,I1413="SBJ"),AND(J1413=1,I1413=0)),"?IN_FOCUS",IF(J1413&lt;=2,"?ACTIVATED",IF(J1413&lt;&gt;"","?FAMILIAR",IF(F1413="NEW",IF(ISNA(VLOOKUP(E1413,#REF!,1,FALSE())),"?TYPE_IDENTIFIABLE","?REFERENTIAL"),"_")))))</f>
        <v/>
      </c>
      <c r="H1413" s="13" t="str">
        <f aca="false">IF(J1413&lt;&gt;1,"",IF(I1413="SBJ","CB","?"))</f>
        <v/>
      </c>
      <c r="I1413" s="14" t="str">
        <f aca="false">IF(OR(E1413="",E1413="!!!",F1413="NEW"),"",INDEX(B$2:B1412,-1+SUMPRODUCT(MAX(ROW(E$2:E1412)*(E1413=E$2:E1412)))))</f>
        <v/>
      </c>
      <c r="J1413" s="15" t="str">
        <f aca="true">IF(OR(E1413="",E1413="!!!",F1413="NEW"),"",COUNTBLANK(OFFSET(A$1,,,SUMPRODUCT(MAX(ROW(E$2:E1413)*(E1413=E$2:E1413)))))-COUNTBLANK(OFFSET(A$1,,,SUMPRODUCT(MAX(ROW(E$1:E1412)*(E1413=E$1:E1412))))))</f>
        <v/>
      </c>
      <c r="K1413" s="15" t="str">
        <f aca="false">IF(OR(E1413="",E1413="!!!",F1413="NEW"),"",INDEX(J$1:J1412,SUMPRODUCT(MAX(ROW(E$1:E1412)*(E1413=E$1:E1412)))))</f>
        <v/>
      </c>
      <c r="L1413" s="16"/>
    </row>
    <row r="1414" customFormat="false" ht="12.8" hidden="false" customHeight="false" outlineLevel="0" collapsed="false">
      <c r="A1414" s="0" t="s">
        <v>16</v>
      </c>
      <c r="E1414" s="10" t="str">
        <f aca="false">IF(D1414="?OLD","!!!","")</f>
        <v/>
      </c>
      <c r="F1414" s="11" t="str">
        <f aca="false">IF(OR(E1414="",E1414="!!!"),"",IF(NOT(ISNA(VLOOKUP(E1414,E$1:E1413,1,FALSE()))),"OLD",IF(AND(E1414&lt;&gt;"",E1414&lt;&gt;"!!!"),"NEW","")))</f>
        <v/>
      </c>
      <c r="G1414" s="12" t="str">
        <f aca="false">IF(OR(E1414="",E1414="!!!"),"",IF(OR(J1414=0,AND(J1414=1,K1414=1),AND(J1414=1,I1414="SBJ"),AND(J1414=1,I1414=0)),"?IN_FOCUS",IF(J1414&lt;=2,"?ACTIVATED",IF(J1414&lt;&gt;"","?FAMILIAR",IF(F1414="NEW",IF(ISNA(VLOOKUP(E1414,#REF!,1,FALSE())),"?TYPE_IDENTIFIABLE","?REFERENTIAL"),"_")))))</f>
        <v/>
      </c>
      <c r="H1414" s="13" t="str">
        <f aca="false">IF(J1414&lt;&gt;1,"",IF(I1414="SBJ","CB","?"))</f>
        <v/>
      </c>
      <c r="I1414" s="14" t="str">
        <f aca="false">IF(OR(E1414="",E1414="!!!",F1414="NEW"),"",INDEX(B$2:B1413,-1+SUMPRODUCT(MAX(ROW(E$2:E1413)*(E1414=E$2:E1413)))))</f>
        <v/>
      </c>
      <c r="J1414" s="15" t="str">
        <f aca="true">IF(OR(E1414="",E1414="!!!",F1414="NEW"),"",COUNTBLANK(OFFSET(A$1,,,SUMPRODUCT(MAX(ROW(E$2:E1414)*(E1414=E$2:E1414)))))-COUNTBLANK(OFFSET(A$1,,,SUMPRODUCT(MAX(ROW(E$1:E1413)*(E1414=E$1:E1413))))))</f>
        <v/>
      </c>
      <c r="K1414" s="15" t="str">
        <f aca="false">IF(OR(E1414="",E1414="!!!",F1414="NEW"),"",INDEX(J$1:J1413,SUMPRODUCT(MAX(ROW(E$1:E1413)*(E1414=E$1:E1413)))))</f>
        <v/>
      </c>
      <c r="L1414" s="16"/>
    </row>
    <row r="1415" customFormat="false" ht="12.8" hidden="false" customHeight="false" outlineLevel="0" collapsed="false">
      <c r="A1415" s="0" t="s">
        <v>275</v>
      </c>
      <c r="E1415" s="10" t="str">
        <f aca="false">IF(D1415="?OLD","!!!","")</f>
        <v/>
      </c>
      <c r="F1415" s="11" t="str">
        <f aca="false">IF(OR(E1415="",E1415="!!!"),"",IF(NOT(ISNA(VLOOKUP(E1415,E$1:E1414,1,FALSE()))),"OLD",IF(AND(E1415&lt;&gt;"",E1415&lt;&gt;"!!!"),"NEW","")))</f>
        <v/>
      </c>
      <c r="G1415" s="12" t="str">
        <f aca="false">IF(OR(E1415="",E1415="!!!"),"",IF(OR(J1415=0,AND(J1415=1,K1415=1),AND(J1415=1,I1415="SBJ"),AND(J1415=1,I1415=0)),"?IN_FOCUS",IF(J1415&lt;=2,"?ACTIVATED",IF(J1415&lt;&gt;"","?FAMILIAR",IF(F1415="NEW",IF(ISNA(VLOOKUP(E1415,#REF!,1,FALSE())),"?TYPE_IDENTIFIABLE","?REFERENTIAL"),"_")))))</f>
        <v/>
      </c>
      <c r="H1415" s="13" t="str">
        <f aca="false">IF(J1415&lt;&gt;1,"",IF(I1415="SBJ","CB","?"))</f>
        <v/>
      </c>
      <c r="I1415" s="14" t="str">
        <f aca="false">IF(OR(E1415="",E1415="!!!",F1415="NEW"),"",INDEX(B$2:B1414,-1+SUMPRODUCT(MAX(ROW(E$2:E1414)*(E1415=E$2:E1414)))))</f>
        <v/>
      </c>
      <c r="J1415" s="15" t="str">
        <f aca="true">IF(OR(E1415="",E1415="!!!",F1415="NEW"),"",COUNTBLANK(OFFSET(A$1,,,SUMPRODUCT(MAX(ROW(E$2:E1415)*(E1415=E$2:E1415)))))-COUNTBLANK(OFFSET(A$1,,,SUMPRODUCT(MAX(ROW(E$1:E1414)*(E1415=E$1:E1414))))))</f>
        <v/>
      </c>
      <c r="K1415" s="15" t="str">
        <f aca="false">IF(OR(E1415="",E1415="!!!",F1415="NEW"),"",INDEX(J$1:J1414,SUMPRODUCT(MAX(ROW(E$1:E1414)*(E1415=E$1:E1414)))))</f>
        <v/>
      </c>
      <c r="L1415" s="16"/>
    </row>
    <row r="1416" customFormat="false" ht="12.8" hidden="false" customHeight="false" outlineLevel="0" collapsed="false">
      <c r="A1416" s="0" t="s">
        <v>44</v>
      </c>
      <c r="E1416" s="10" t="str">
        <f aca="false">IF(D1416="?OLD","!!!","")</f>
        <v/>
      </c>
      <c r="F1416" s="11" t="str">
        <f aca="false">IF(OR(E1416="",E1416="!!!"),"",IF(NOT(ISNA(VLOOKUP(E1416,E$1:E1415,1,FALSE()))),"OLD",IF(AND(E1416&lt;&gt;"",E1416&lt;&gt;"!!!"),"NEW","")))</f>
        <v/>
      </c>
      <c r="G1416" s="12" t="str">
        <f aca="false">IF(OR(E1416="",E1416="!!!"),"",IF(OR(J1416=0,AND(J1416=1,K1416=1),AND(J1416=1,I1416="SBJ"),AND(J1416=1,I1416=0)),"?IN_FOCUS",IF(J1416&lt;=2,"?ACTIVATED",IF(J1416&lt;&gt;"","?FAMILIAR",IF(F1416="NEW",IF(ISNA(VLOOKUP(E1416,#REF!,1,FALSE())),"?TYPE_IDENTIFIABLE","?REFERENTIAL"),"_")))))</f>
        <v/>
      </c>
      <c r="H1416" s="13" t="str">
        <f aca="false">IF(J1416&lt;&gt;1,"",IF(I1416="SBJ","CB","?"))</f>
        <v/>
      </c>
      <c r="I1416" s="14" t="str">
        <f aca="false">IF(OR(E1416="",E1416="!!!",F1416="NEW"),"",INDEX(B$2:B1415,-1+SUMPRODUCT(MAX(ROW(E$2:E1415)*(E1416=E$2:E1415)))))</f>
        <v/>
      </c>
      <c r="J1416" s="15" t="str">
        <f aca="true">IF(OR(E1416="",E1416="!!!",F1416="NEW"),"",COUNTBLANK(OFFSET(A$1,,,SUMPRODUCT(MAX(ROW(E$2:E1416)*(E1416=E$2:E1416)))))-COUNTBLANK(OFFSET(A$1,,,SUMPRODUCT(MAX(ROW(E$1:E1415)*(E1416=E$1:E1415))))))</f>
        <v/>
      </c>
      <c r="K1416" s="15" t="str">
        <f aca="false">IF(OR(E1416="",E1416="!!!",F1416="NEW"),"",INDEX(J$1:J1415,SUMPRODUCT(MAX(ROW(E$1:E1415)*(E1416=E$1:E1415)))))</f>
        <v/>
      </c>
      <c r="L1416" s="16"/>
    </row>
    <row r="1417" customFormat="false" ht="12.8" hidden="false" customHeight="false" outlineLevel="0" collapsed="false">
      <c r="A1417" s="0" t="s">
        <v>316</v>
      </c>
      <c r="E1417" s="10" t="str">
        <f aca="false">IF(D1417="?OLD","!!!","")</f>
        <v/>
      </c>
      <c r="F1417" s="11" t="str">
        <f aca="false">IF(OR(E1417="",E1417="!!!"),"",IF(NOT(ISNA(VLOOKUP(E1417,E$1:E1416,1,FALSE()))),"OLD",IF(AND(E1417&lt;&gt;"",E1417&lt;&gt;"!!!"),"NEW","")))</f>
        <v/>
      </c>
      <c r="G1417" s="12" t="str">
        <f aca="false">IF(OR(E1417="",E1417="!!!"),"",IF(OR(J1417=0,AND(J1417=1,K1417=1),AND(J1417=1,I1417="SBJ"),AND(J1417=1,I1417=0)),"?IN_FOCUS",IF(J1417&lt;=2,"?ACTIVATED",IF(J1417&lt;&gt;"","?FAMILIAR",IF(F1417="NEW",IF(ISNA(VLOOKUP(E1417,#REF!,1,FALSE())),"?TYPE_IDENTIFIABLE","?REFERENTIAL"),"_")))))</f>
        <v/>
      </c>
      <c r="H1417" s="13" t="str">
        <f aca="false">IF(J1417&lt;&gt;1,"",IF(I1417="SBJ","CB","?"))</f>
        <v/>
      </c>
      <c r="I1417" s="14" t="str">
        <f aca="false">IF(OR(E1417="",E1417="!!!",F1417="NEW"),"",INDEX(B$2:B1416,-1+SUMPRODUCT(MAX(ROW(E$2:E1416)*(E1417=E$2:E1416)))))</f>
        <v/>
      </c>
      <c r="J1417" s="15" t="str">
        <f aca="true">IF(OR(E1417="",E1417="!!!",F1417="NEW"),"",COUNTBLANK(OFFSET(A$1,,,SUMPRODUCT(MAX(ROW(E$2:E1417)*(E1417=E$2:E1417)))))-COUNTBLANK(OFFSET(A$1,,,SUMPRODUCT(MAX(ROW(E$1:E1416)*(E1417=E$1:E1416))))))</f>
        <v/>
      </c>
      <c r="K1417" s="15" t="str">
        <f aca="false">IF(OR(E1417="",E1417="!!!",F1417="NEW"),"",INDEX(J$1:J1416,SUMPRODUCT(MAX(ROW(E$1:E1416)*(E1417=E$1:E1416)))))</f>
        <v/>
      </c>
      <c r="L1417" s="16"/>
    </row>
    <row r="1418" customFormat="false" ht="12.8" hidden="false" customHeight="false" outlineLevel="0" collapsed="false">
      <c r="A1418" s="0" t="s">
        <v>44</v>
      </c>
      <c r="E1418" s="10" t="str">
        <f aca="false">IF(D1418="?OLD","!!!","")</f>
        <v/>
      </c>
      <c r="F1418" s="11" t="str">
        <f aca="false">IF(OR(E1418="",E1418="!!!"),"",IF(NOT(ISNA(VLOOKUP(E1418,E$1:E1417,1,FALSE()))),"OLD",IF(AND(E1418&lt;&gt;"",E1418&lt;&gt;"!!!"),"NEW","")))</f>
        <v/>
      </c>
      <c r="G1418" s="12" t="str">
        <f aca="false">IF(OR(E1418="",E1418="!!!"),"",IF(OR(J1418=0,AND(J1418=1,K1418=1),AND(J1418=1,I1418="SBJ"),AND(J1418=1,I1418=0)),"?IN_FOCUS",IF(J1418&lt;=2,"?ACTIVATED",IF(J1418&lt;&gt;"","?FAMILIAR",IF(F1418="NEW",IF(ISNA(VLOOKUP(E1418,#REF!,1,FALSE())),"?TYPE_IDENTIFIABLE","?REFERENTIAL"),"_")))))</f>
        <v/>
      </c>
      <c r="H1418" s="13" t="str">
        <f aca="false">IF(J1418&lt;&gt;1,"",IF(I1418="SBJ","CB","?"))</f>
        <v/>
      </c>
      <c r="I1418" s="14" t="str">
        <f aca="false">IF(OR(E1418="",E1418="!!!",F1418="NEW"),"",INDEX(B$2:B1417,-1+SUMPRODUCT(MAX(ROW(E$2:E1417)*(E1418=E$2:E1417)))))</f>
        <v/>
      </c>
      <c r="J1418" s="15" t="str">
        <f aca="true">IF(OR(E1418="",E1418="!!!",F1418="NEW"),"",COUNTBLANK(OFFSET(A$1,,,SUMPRODUCT(MAX(ROW(E$2:E1418)*(E1418=E$2:E1418)))))-COUNTBLANK(OFFSET(A$1,,,SUMPRODUCT(MAX(ROW(E$1:E1417)*(E1418=E$1:E1417))))))</f>
        <v/>
      </c>
      <c r="K1418" s="15" t="str">
        <f aca="false">IF(OR(E1418="",E1418="!!!",F1418="NEW"),"",INDEX(J$1:J1417,SUMPRODUCT(MAX(ROW(E$1:E1417)*(E1418=E$1:E1417)))))</f>
        <v/>
      </c>
      <c r="L1418" s="16"/>
    </row>
    <row r="1419" customFormat="false" ht="12.8" hidden="false" customHeight="false" outlineLevel="0" collapsed="false">
      <c r="A1419" s="0" t="s">
        <v>45</v>
      </c>
      <c r="E1419" s="10" t="str">
        <f aca="false">IF(D1419="?OLD","!!!","")</f>
        <v/>
      </c>
      <c r="F1419" s="11" t="str">
        <f aca="false">IF(OR(E1419="",E1419="!!!"),"",IF(NOT(ISNA(VLOOKUP(E1419,E$1:E1418,1,FALSE()))),"OLD",IF(AND(E1419&lt;&gt;"",E1419&lt;&gt;"!!!"),"NEW","")))</f>
        <v/>
      </c>
      <c r="G1419" s="12" t="str">
        <f aca="false">IF(OR(E1419="",E1419="!!!"),"",IF(OR(J1419=0,AND(J1419=1,K1419=1),AND(J1419=1,I1419="SBJ"),AND(J1419=1,I1419=0)),"?IN_FOCUS",IF(J1419&lt;=2,"?ACTIVATED",IF(J1419&lt;&gt;"","?FAMILIAR",IF(F1419="NEW",IF(ISNA(VLOOKUP(E1419,#REF!,1,FALSE())),"?TYPE_IDENTIFIABLE","?REFERENTIAL"),"_")))))</f>
        <v/>
      </c>
      <c r="H1419" s="13" t="str">
        <f aca="false">IF(J1419&lt;&gt;1,"",IF(I1419="SBJ","CB","?"))</f>
        <v/>
      </c>
      <c r="I1419" s="14" t="str">
        <f aca="false">IF(OR(E1419="",E1419="!!!",F1419="NEW"),"",INDEX(B$2:B1418,-1+SUMPRODUCT(MAX(ROW(E$2:E1418)*(E1419=E$2:E1418)))))</f>
        <v/>
      </c>
      <c r="J1419" s="15" t="str">
        <f aca="true">IF(OR(E1419="",E1419="!!!",F1419="NEW"),"",COUNTBLANK(OFFSET(A$1,,,SUMPRODUCT(MAX(ROW(E$2:E1419)*(E1419=E$2:E1419)))))-COUNTBLANK(OFFSET(A$1,,,SUMPRODUCT(MAX(ROW(E$1:E1418)*(E1419=E$1:E1418))))))</f>
        <v/>
      </c>
      <c r="K1419" s="15" t="str">
        <f aca="false">IF(OR(E1419="",E1419="!!!",F1419="NEW"),"",INDEX(J$1:J1418,SUMPRODUCT(MAX(ROW(E$1:E1418)*(E1419=E$1:E1418)))))</f>
        <v/>
      </c>
      <c r="L1419" s="16"/>
    </row>
    <row r="1420" customFormat="false" ht="12.8" hidden="false" customHeight="false" outlineLevel="0" collapsed="false">
      <c r="A1420" s="0" t="s">
        <v>697</v>
      </c>
      <c r="E1420" s="10" t="str">
        <f aca="false">IF(D1420="?OLD","!!!","")</f>
        <v/>
      </c>
      <c r="F1420" s="11" t="str">
        <f aca="false">IF(OR(E1420="",E1420="!!!"),"",IF(NOT(ISNA(VLOOKUP(E1420,E$1:E1419,1,FALSE()))),"OLD",IF(AND(E1420&lt;&gt;"",E1420&lt;&gt;"!!!"),"NEW","")))</f>
        <v/>
      </c>
      <c r="G1420" s="12" t="str">
        <f aca="false">IF(OR(E1420="",E1420="!!!"),"",IF(OR(J1420=0,AND(J1420=1,K1420=1),AND(J1420=1,I1420="SBJ"),AND(J1420=1,I1420=0)),"?IN_FOCUS",IF(J1420&lt;=2,"?ACTIVATED",IF(J1420&lt;&gt;"","?FAMILIAR",IF(F1420="NEW",IF(ISNA(VLOOKUP(E1420,#REF!,1,FALSE())),"?TYPE_IDENTIFIABLE","?REFERENTIAL"),"_")))))</f>
        <v/>
      </c>
      <c r="H1420" s="13" t="str">
        <f aca="false">IF(J1420&lt;&gt;1,"",IF(I1420="SBJ","CB","?"))</f>
        <v/>
      </c>
      <c r="I1420" s="14" t="str">
        <f aca="false">IF(OR(E1420="",E1420="!!!",F1420="NEW"),"",INDEX(B$2:B1419,-1+SUMPRODUCT(MAX(ROW(E$2:E1419)*(E1420=E$2:E1419)))))</f>
        <v/>
      </c>
      <c r="J1420" s="15" t="str">
        <f aca="true">IF(OR(E1420="",E1420="!!!",F1420="NEW"),"",COUNTBLANK(OFFSET(A$1,,,SUMPRODUCT(MAX(ROW(E$2:E1420)*(E1420=E$2:E1420)))))-COUNTBLANK(OFFSET(A$1,,,SUMPRODUCT(MAX(ROW(E$1:E1419)*(E1420=E$1:E1419))))))</f>
        <v/>
      </c>
      <c r="K1420" s="15" t="str">
        <f aca="false">IF(OR(E1420="",E1420="!!!",F1420="NEW"),"",INDEX(J$1:J1419,SUMPRODUCT(MAX(ROW(E$1:E1419)*(E1420=E$1:E1419)))))</f>
        <v/>
      </c>
      <c r="L1420" s="16"/>
    </row>
    <row r="1421" customFormat="false" ht="12.8" hidden="false" customHeight="false" outlineLevel="0" collapsed="false">
      <c r="A1421" s="0" t="s">
        <v>76</v>
      </c>
      <c r="E1421" s="10" t="str">
        <f aca="false">IF(D1421="?OLD","!!!","")</f>
        <v/>
      </c>
      <c r="F1421" s="11" t="str">
        <f aca="false">IF(OR(E1421="",E1421="!!!"),"",IF(NOT(ISNA(VLOOKUP(E1421,E$1:E1420,1,FALSE()))),"OLD",IF(AND(E1421&lt;&gt;"",E1421&lt;&gt;"!!!"),"NEW","")))</f>
        <v/>
      </c>
      <c r="G1421" s="12" t="str">
        <f aca="false">IF(OR(E1421="",E1421="!!!"),"",IF(OR(J1421=0,AND(J1421=1,K1421=1),AND(J1421=1,I1421="SBJ"),AND(J1421=1,I1421=0)),"?IN_FOCUS",IF(J1421&lt;=2,"?ACTIVATED",IF(J1421&lt;&gt;"","?FAMILIAR",IF(F1421="NEW",IF(ISNA(VLOOKUP(E1421,#REF!,1,FALSE())),"?TYPE_IDENTIFIABLE","?REFERENTIAL"),"_")))))</f>
        <v/>
      </c>
      <c r="H1421" s="13" t="str">
        <f aca="false">IF(J1421&lt;&gt;1,"",IF(I1421="SBJ","CB","?"))</f>
        <v/>
      </c>
      <c r="I1421" s="14" t="str">
        <f aca="false">IF(OR(E1421="",E1421="!!!",F1421="NEW"),"",INDEX(B$2:B1420,-1+SUMPRODUCT(MAX(ROW(E$2:E1420)*(E1421=E$2:E1420)))))</f>
        <v/>
      </c>
      <c r="J1421" s="15" t="str">
        <f aca="true">IF(OR(E1421="",E1421="!!!",F1421="NEW"),"",COUNTBLANK(OFFSET(A$1,,,SUMPRODUCT(MAX(ROW(E$2:E1421)*(E1421=E$2:E1421)))))-COUNTBLANK(OFFSET(A$1,,,SUMPRODUCT(MAX(ROW(E$1:E1420)*(E1421=E$1:E1420))))))</f>
        <v/>
      </c>
      <c r="K1421" s="15" t="str">
        <f aca="false">IF(OR(E1421="",E1421="!!!",F1421="NEW"),"",INDEX(J$1:J1420,SUMPRODUCT(MAX(ROW(E$1:E1420)*(E1421=E$1:E1420)))))</f>
        <v/>
      </c>
      <c r="L1421" s="16"/>
    </row>
    <row r="1422" customFormat="false" ht="12.8" hidden="false" customHeight="false" outlineLevel="0" collapsed="false">
      <c r="E1422" s="10" t="str">
        <f aca="false">IF(D1422="?OLD","!!!","")</f>
        <v/>
      </c>
      <c r="F1422" s="11" t="str">
        <f aca="false">IF(OR(E1422="",E1422="!!!"),"",IF(NOT(ISNA(VLOOKUP(E1422,E$1:E1421,1,FALSE()))),"OLD",IF(AND(E1422&lt;&gt;"",E1422&lt;&gt;"!!!"),"NEW","")))</f>
        <v/>
      </c>
      <c r="G1422" s="12" t="str">
        <f aca="false">IF(OR(E1422="",E1422="!!!"),"",IF(OR(J1422=0,AND(J1422=1,K1422=1),AND(J1422=1,I1422="SBJ"),AND(J1422=1,I1422=0)),"?IN_FOCUS",IF(J1422&lt;=2,"?ACTIVATED",IF(J1422&lt;&gt;"","?FAMILIAR",IF(F1422="NEW",IF(ISNA(VLOOKUP(E1422,#REF!,1,FALSE())),"?TYPE_IDENTIFIABLE","?REFERENTIAL"),"_")))))</f>
        <v/>
      </c>
      <c r="H1422" s="13" t="str">
        <f aca="false">IF(J1422&lt;&gt;1,"",IF(I1422="SBJ","CB","?"))</f>
        <v/>
      </c>
      <c r="I1422" s="14" t="str">
        <f aca="false">IF(OR(E1422="",E1422="!!!",F1422="NEW"),"",INDEX(B$2:B1421,-1+SUMPRODUCT(MAX(ROW(E$2:E1421)*(E1422=E$2:E1421)))))</f>
        <v/>
      </c>
      <c r="J1422" s="15" t="str">
        <f aca="true">IF(OR(E1422="",E1422="!!!",F1422="NEW"),"",COUNTBLANK(OFFSET(A$1,,,SUMPRODUCT(MAX(ROW(E$2:E1422)*(E1422=E$2:E1422)))))-COUNTBLANK(OFFSET(A$1,,,SUMPRODUCT(MAX(ROW(E$1:E1421)*(E1422=E$1:E1421))))))</f>
        <v/>
      </c>
      <c r="K1422" s="15" t="str">
        <f aca="false">IF(OR(E1422="",E1422="!!!",F1422="NEW"),"",INDEX(J$1:J1421,SUMPRODUCT(MAX(ROW(E$1:E1421)*(E1422=E$1:E1421)))))</f>
        <v/>
      </c>
      <c r="L1422" s="16"/>
    </row>
    <row r="1423" customFormat="false" ht="12.8" hidden="false" customHeight="false" outlineLevel="0" collapsed="false">
      <c r="A1423" s="0" t="s">
        <v>503</v>
      </c>
      <c r="E1423" s="10" t="str">
        <f aca="false">IF(D1423="?OLD","!!!","")</f>
        <v/>
      </c>
      <c r="F1423" s="11" t="str">
        <f aca="false">IF(OR(E1423="",E1423="!!!"),"",IF(NOT(ISNA(VLOOKUP(E1423,E$1:E1422,1,FALSE()))),"OLD",IF(AND(E1423&lt;&gt;"",E1423&lt;&gt;"!!!"),"NEW","")))</f>
        <v/>
      </c>
      <c r="G1423" s="12" t="str">
        <f aca="false">IF(OR(E1423="",E1423="!!!"),"",IF(OR(J1423=0,AND(J1423=1,K1423=1),AND(J1423=1,I1423="SBJ"),AND(J1423=1,I1423=0)),"?IN_FOCUS",IF(J1423&lt;=2,"?ACTIVATED",IF(J1423&lt;&gt;"","?FAMILIAR",IF(F1423="NEW",IF(ISNA(VLOOKUP(E1423,#REF!,1,FALSE())),"?TYPE_IDENTIFIABLE","?REFERENTIAL"),"_")))))</f>
        <v/>
      </c>
      <c r="H1423" s="13" t="str">
        <f aca="false">IF(J1423&lt;&gt;1,"",IF(I1423="SBJ","CB","?"))</f>
        <v/>
      </c>
      <c r="I1423" s="14" t="str">
        <f aca="false">IF(OR(E1423="",E1423="!!!",F1423="NEW"),"",INDEX(B$2:B1422,-1+SUMPRODUCT(MAX(ROW(E$2:E1422)*(E1423=E$2:E1422)))))</f>
        <v/>
      </c>
      <c r="J1423" s="15" t="str">
        <f aca="true">IF(OR(E1423="",E1423="!!!",F1423="NEW"),"",COUNTBLANK(OFFSET(A$1,,,SUMPRODUCT(MAX(ROW(E$2:E1423)*(E1423=E$2:E1423)))))-COUNTBLANK(OFFSET(A$1,,,SUMPRODUCT(MAX(ROW(E$1:E1422)*(E1423=E$1:E1422))))))</f>
        <v/>
      </c>
      <c r="K1423" s="15" t="str">
        <f aca="false">IF(OR(E1423="",E1423="!!!",F1423="NEW"),"",INDEX(J$1:J1422,SUMPRODUCT(MAX(ROW(E$1:E1422)*(E1423=E$1:E1422)))))</f>
        <v/>
      </c>
      <c r="L1423" s="16"/>
    </row>
    <row r="1424" customFormat="false" ht="12.8" hidden="false" customHeight="false" outlineLevel="0" collapsed="false">
      <c r="A1424" s="0" t="s">
        <v>698</v>
      </c>
      <c r="E1424" s="10" t="str">
        <f aca="false">IF(D1424="?OLD","!!!","")</f>
        <v/>
      </c>
      <c r="F1424" s="11" t="str">
        <f aca="false">IF(OR(E1424="",E1424="!!!"),"",IF(NOT(ISNA(VLOOKUP(E1424,E$1:E1423,1,FALSE()))),"OLD",IF(AND(E1424&lt;&gt;"",E1424&lt;&gt;"!!!"),"NEW","")))</f>
        <v/>
      </c>
      <c r="G1424" s="12" t="str">
        <f aca="false">IF(OR(E1424="",E1424="!!!"),"",IF(OR(J1424=0,AND(J1424=1,K1424=1),AND(J1424=1,I1424="SBJ"),AND(J1424=1,I1424=0)),"?IN_FOCUS",IF(J1424&lt;=2,"?ACTIVATED",IF(J1424&lt;&gt;"","?FAMILIAR",IF(F1424="NEW",IF(ISNA(VLOOKUP(E1424,#REF!,1,FALSE())),"?TYPE_IDENTIFIABLE","?REFERENTIAL"),"_")))))</f>
        <v/>
      </c>
      <c r="H1424" s="13" t="str">
        <f aca="false">IF(J1424&lt;&gt;1,"",IF(I1424="SBJ","CB","?"))</f>
        <v/>
      </c>
      <c r="I1424" s="14" t="str">
        <f aca="false">IF(OR(E1424="",E1424="!!!",F1424="NEW"),"",INDEX(B$2:B1423,-1+SUMPRODUCT(MAX(ROW(E$2:E1423)*(E1424=E$2:E1423)))))</f>
        <v/>
      </c>
      <c r="J1424" s="15" t="str">
        <f aca="true">IF(OR(E1424="",E1424="!!!",F1424="NEW"),"",COUNTBLANK(OFFSET(A$1,,,SUMPRODUCT(MAX(ROW(E$2:E1424)*(E1424=E$2:E1424)))))-COUNTBLANK(OFFSET(A$1,,,SUMPRODUCT(MAX(ROW(E$1:E1423)*(E1424=E$1:E1423))))))</f>
        <v/>
      </c>
      <c r="K1424" s="15" t="str">
        <f aca="false">IF(OR(E1424="",E1424="!!!",F1424="NEW"),"",INDEX(J$1:J1423,SUMPRODUCT(MAX(ROW(E$1:E1423)*(E1424=E$1:E1423)))))</f>
        <v/>
      </c>
      <c r="L1424" s="16"/>
    </row>
    <row r="1425" customFormat="false" ht="12.8" hidden="false" customHeight="false" outlineLevel="0" collapsed="false">
      <c r="A1425" s="0" t="s">
        <v>699</v>
      </c>
      <c r="B1425" s="0" t="s">
        <v>47</v>
      </c>
      <c r="C1425" s="0" t="s">
        <v>215</v>
      </c>
      <c r="D1425" s="0" t="s">
        <v>20</v>
      </c>
      <c r="E1425" s="10" t="s">
        <v>695</v>
      </c>
      <c r="F1425" s="11" t="str">
        <f aca="false">IF(OR(E1425="",E1425="!!!"),"",IF(NOT(ISNA(VLOOKUP(E1425,E$1:E1424,1,FALSE()))),"OLD",IF(AND(E1425&lt;&gt;"",E1425&lt;&gt;"!!!"),"NEW","")))</f>
        <v>OLD</v>
      </c>
      <c r="G1425" s="12" t="s">
        <v>87</v>
      </c>
      <c r="H1425" s="13" t="s">
        <v>7</v>
      </c>
      <c r="I1425" s="14" t="str">
        <f aca="false">IF(OR(E1425="",E1425="!!!",F1425="NEW"),"",INDEX(B$2:B1424,-1+SUMPRODUCT(MAX(ROW(E$2:E1424)*(E1425=E$2:E1424)))))</f>
        <v>OBJ</v>
      </c>
      <c r="J1425" s="15" t="n">
        <f aca="true">IF(OR(E1425="",E1425="!!!",F1425="NEW"),"",COUNTBLANK(OFFSET(A$1,,,SUMPRODUCT(MAX(ROW(E$2:E1425)*(E1425=E$2:E1425)))))-COUNTBLANK(OFFSET(A$1,,,SUMPRODUCT(MAX(ROW(E$1:E1424)*(E1425=E$1:E1424))))))</f>
        <v>1</v>
      </c>
      <c r="K1425" s="15" t="str">
        <f aca="false">IF(OR(E1425="",E1425="!!!",F1425="NEW"),"",INDEX(J$1:J1424,SUMPRODUCT(MAX(ROW(E$1:E1424)*(E1425=E$1:E1424)))))</f>
        <v/>
      </c>
      <c r="L1425" s="16"/>
    </row>
    <row r="1426" customFormat="false" ht="12.8" hidden="false" customHeight="false" outlineLevel="0" collapsed="false">
      <c r="A1426" s="0" t="s">
        <v>37</v>
      </c>
      <c r="E1426" s="10" t="str">
        <f aca="false">IF(D1426="?OLD","!!!","")</f>
        <v/>
      </c>
      <c r="F1426" s="11" t="str">
        <f aca="false">IF(OR(E1426="",E1426="!!!"),"",IF(NOT(ISNA(VLOOKUP(E1426,E$1:E1425,1,FALSE()))),"OLD",IF(AND(E1426&lt;&gt;"",E1426&lt;&gt;"!!!"),"NEW","")))</f>
        <v/>
      </c>
      <c r="G1426" s="12" t="str">
        <f aca="false">IF(OR(E1426="",E1426="!!!"),"",IF(OR(J1426=0,AND(J1426=1,K1426=1),AND(J1426=1,I1426="SBJ"),AND(J1426=1,I1426=0)),"?IN_FOCUS",IF(J1426&lt;=2,"?ACTIVATED",IF(J1426&lt;&gt;"","?FAMILIAR",IF(F1426="NEW",IF(ISNA(VLOOKUP(E1426,#REF!,1,FALSE())),"?TYPE_IDENTIFIABLE","?REFERENTIAL"),"_")))))</f>
        <v/>
      </c>
      <c r="H1426" s="13" t="str">
        <f aca="false">IF(J1426&lt;&gt;1,"",IF(I1426="SBJ","CB","?"))</f>
        <v/>
      </c>
      <c r="I1426" s="14" t="str">
        <f aca="false">IF(OR(E1426="",E1426="!!!",F1426="NEW"),"",INDEX(B$2:B1425,-1+SUMPRODUCT(MAX(ROW(E$2:E1425)*(E1426=E$2:E1425)))))</f>
        <v/>
      </c>
      <c r="J1426" s="15" t="str">
        <f aca="true">IF(OR(E1426="",E1426="!!!",F1426="NEW"),"",COUNTBLANK(OFFSET(A$1,,,SUMPRODUCT(MAX(ROW(E$2:E1426)*(E1426=E$2:E1426)))))-COUNTBLANK(OFFSET(A$1,,,SUMPRODUCT(MAX(ROW(E$1:E1425)*(E1426=E$1:E1425))))))</f>
        <v/>
      </c>
      <c r="K1426" s="15" t="str">
        <f aca="false">IF(OR(E1426="",E1426="!!!",F1426="NEW"),"",INDEX(J$1:J1425,SUMPRODUCT(MAX(ROW(E$1:E1425)*(E1426=E$1:E1425)))))</f>
        <v/>
      </c>
      <c r="L1426" s="16"/>
    </row>
    <row r="1427" customFormat="false" ht="12.8" hidden="false" customHeight="false" outlineLevel="0" collapsed="false">
      <c r="A1427" s="0" t="s">
        <v>700</v>
      </c>
      <c r="E1427" s="10" t="str">
        <f aca="false">IF(D1427="?OLD","!!!","")</f>
        <v/>
      </c>
      <c r="F1427" s="11" t="str">
        <f aca="false">IF(OR(E1427="",E1427="!!!"),"",IF(NOT(ISNA(VLOOKUP(E1427,E$1:E1426,1,FALSE()))),"OLD",IF(AND(E1427&lt;&gt;"",E1427&lt;&gt;"!!!"),"NEW","")))</f>
        <v/>
      </c>
      <c r="G1427" s="12" t="str">
        <f aca="false">IF(OR(E1427="",E1427="!!!"),"",IF(OR(J1427=0,AND(J1427=1,K1427=1),AND(J1427=1,I1427="SBJ"),AND(J1427=1,I1427=0)),"?IN_FOCUS",IF(J1427&lt;=2,"?ACTIVATED",IF(J1427&lt;&gt;"","?FAMILIAR",IF(F1427="NEW",IF(ISNA(VLOOKUP(E1427,#REF!,1,FALSE())),"?TYPE_IDENTIFIABLE","?REFERENTIAL"),"_")))))</f>
        <v/>
      </c>
      <c r="H1427" s="13" t="str">
        <f aca="false">IF(J1427&lt;&gt;1,"",IF(I1427="SBJ","CB","?"))</f>
        <v/>
      </c>
      <c r="I1427" s="14" t="str">
        <f aca="false">IF(OR(E1427="",E1427="!!!",F1427="NEW"),"",INDEX(B$2:B1426,-1+SUMPRODUCT(MAX(ROW(E$2:E1426)*(E1427=E$2:E1426)))))</f>
        <v/>
      </c>
      <c r="J1427" s="15" t="str">
        <f aca="true">IF(OR(E1427="",E1427="!!!",F1427="NEW"),"",COUNTBLANK(OFFSET(A$1,,,SUMPRODUCT(MAX(ROW(E$2:E1427)*(E1427=E$2:E1427)))))-COUNTBLANK(OFFSET(A$1,,,SUMPRODUCT(MAX(ROW(E$1:E1426)*(E1427=E$1:E1426))))))</f>
        <v/>
      </c>
      <c r="K1427" s="15" t="str">
        <f aca="false">IF(OR(E1427="",E1427="!!!",F1427="NEW"),"",INDEX(J$1:J1426,SUMPRODUCT(MAX(ROW(E$1:E1426)*(E1427=E$1:E1426)))))</f>
        <v/>
      </c>
      <c r="L1427" s="16"/>
    </row>
    <row r="1428" customFormat="false" ht="12.8" hidden="false" customHeight="false" outlineLevel="0" collapsed="false">
      <c r="A1428" s="0" t="s">
        <v>161</v>
      </c>
      <c r="B1428" s="0" t="s">
        <v>34</v>
      </c>
      <c r="C1428" s="0" t="s">
        <v>48</v>
      </c>
      <c r="D1428" s="0" t="s">
        <v>20</v>
      </c>
      <c r="E1428" s="10" t="s">
        <v>666</v>
      </c>
      <c r="F1428" s="11" t="str">
        <f aca="false">IF(OR(E1428="",E1428="!!!"),"",IF(NOT(ISNA(VLOOKUP(E1428,E$1:E1427,1,FALSE()))),"OLD",IF(AND(E1428&lt;&gt;"",E1428&lt;&gt;"!!!"),"NEW","")))</f>
        <v>OLD</v>
      </c>
      <c r="G1428" s="12" t="s">
        <v>87</v>
      </c>
      <c r="H1428" s="13"/>
      <c r="I1428" s="14" t="str">
        <f aca="false">IF(OR(E1428="",E1428="!!!",F1428="NEW"),"",INDEX(B$2:B1427,-1+SUMPRODUCT(MAX(ROW(E$2:E1427)*(E1428=E$2:E1427)))))</f>
        <v>other_2</v>
      </c>
      <c r="J1428" s="15" t="n">
        <f aca="true">IF(OR(E1428="",E1428="!!!",F1428="NEW"),"",COUNTBLANK(OFFSET(A$1,,,SUMPRODUCT(MAX(ROW(E$2:E1428)*(E1428=E$2:E1428)))))-COUNTBLANK(OFFSET(A$1,,,SUMPRODUCT(MAX(ROW(E$1:E1427)*(E1428=E$1:E1427))))))</f>
        <v>1</v>
      </c>
      <c r="K1428" s="15" t="n">
        <f aca="false">IF(OR(E1428="",E1428="!!!",F1428="NEW"),"",INDEX(J$1:J1427,SUMPRODUCT(MAX(ROW(E$1:E1427)*(E1428=E$1:E1427)))))</f>
        <v>1</v>
      </c>
      <c r="L1428" s="16"/>
    </row>
    <row r="1429" customFormat="false" ht="12.8" hidden="false" customHeight="false" outlineLevel="0" collapsed="false">
      <c r="A1429" s="0" t="s">
        <v>54</v>
      </c>
      <c r="E1429" s="10" t="str">
        <f aca="false">IF(D1429="?OLD","!!!","")</f>
        <v/>
      </c>
      <c r="F1429" s="11" t="str">
        <f aca="false">IF(OR(E1429="",E1429="!!!"),"",IF(NOT(ISNA(VLOOKUP(E1429,E$1:E1428,1,FALSE()))),"OLD",IF(AND(E1429&lt;&gt;"",E1429&lt;&gt;"!!!"),"NEW","")))</f>
        <v/>
      </c>
      <c r="G1429" s="12" t="str">
        <f aca="false">IF(OR(E1429="",E1429="!!!"),"",IF(OR(J1429=0,AND(J1429=1,K1429=1),AND(J1429=1,I1429="SBJ"),AND(J1429=1,I1429=0)),"?IN_FOCUS",IF(J1429&lt;=2,"?ACTIVATED",IF(J1429&lt;&gt;"","?FAMILIAR",IF(F1429="NEW",IF(ISNA(VLOOKUP(E1429,#REF!,1,FALSE())),"?TYPE_IDENTIFIABLE","?REFERENTIAL"),"_")))))</f>
        <v/>
      </c>
      <c r="H1429" s="13" t="str">
        <f aca="false">IF(J1429&lt;&gt;1,"",IF(I1429="SBJ","CB","?"))</f>
        <v/>
      </c>
      <c r="I1429" s="14" t="str">
        <f aca="false">IF(OR(E1429="",E1429="!!!",F1429="NEW"),"",INDEX(B$2:B1428,-1+SUMPRODUCT(MAX(ROW(E$2:E1428)*(E1429=E$2:E1428)))))</f>
        <v/>
      </c>
      <c r="J1429" s="15" t="str">
        <f aca="true">IF(OR(E1429="",E1429="!!!",F1429="NEW"),"",COUNTBLANK(OFFSET(A$1,,,SUMPRODUCT(MAX(ROW(E$2:E1429)*(E1429=E$2:E1429)))))-COUNTBLANK(OFFSET(A$1,,,SUMPRODUCT(MAX(ROW(E$1:E1428)*(E1429=E$1:E1428))))))</f>
        <v/>
      </c>
      <c r="K1429" s="15" t="str">
        <f aca="false">IF(OR(E1429="",E1429="!!!",F1429="NEW"),"",INDEX(J$1:J1428,SUMPRODUCT(MAX(ROW(E$1:E1428)*(E1429=E$1:E1428)))))</f>
        <v/>
      </c>
      <c r="L1429" s="16"/>
    </row>
    <row r="1430" customFormat="false" ht="12.8" hidden="false" customHeight="false" outlineLevel="0" collapsed="false">
      <c r="A1430" s="0" t="s">
        <v>701</v>
      </c>
      <c r="E1430" s="10" t="str">
        <f aca="false">IF(D1430="?OLD","!!!","")</f>
        <v/>
      </c>
      <c r="F1430" s="11" t="str">
        <f aca="false">IF(OR(E1430="",E1430="!!!"),"",IF(NOT(ISNA(VLOOKUP(E1430,E$1:E1429,1,FALSE()))),"OLD",IF(AND(E1430&lt;&gt;"",E1430&lt;&gt;"!!!"),"NEW","")))</f>
        <v/>
      </c>
      <c r="G1430" s="12" t="str">
        <f aca="false">IF(OR(E1430="",E1430="!!!"),"",IF(OR(J1430=0,AND(J1430=1,K1430=1),AND(J1430=1,I1430="SBJ"),AND(J1430=1,I1430=0)),"?IN_FOCUS",IF(J1430&lt;=2,"?ACTIVATED",IF(J1430&lt;&gt;"","?FAMILIAR",IF(F1430="NEW",IF(ISNA(VLOOKUP(E1430,#REF!,1,FALSE())),"?TYPE_IDENTIFIABLE","?REFERENTIAL"),"_")))))</f>
        <v/>
      </c>
      <c r="H1430" s="13" t="str">
        <f aca="false">IF(J1430&lt;&gt;1,"",IF(I1430="SBJ","CB","?"))</f>
        <v/>
      </c>
      <c r="I1430" s="14" t="str">
        <f aca="false">IF(OR(E1430="",E1430="!!!",F1430="NEW"),"",INDEX(B$2:B1429,-1+SUMPRODUCT(MAX(ROW(E$2:E1429)*(E1430=E$2:E1429)))))</f>
        <v/>
      </c>
      <c r="J1430" s="15" t="str">
        <f aca="true">IF(OR(E1430="",E1430="!!!",F1430="NEW"),"",COUNTBLANK(OFFSET(A$1,,,SUMPRODUCT(MAX(ROW(E$2:E1430)*(E1430=E$2:E1430)))))-COUNTBLANK(OFFSET(A$1,,,SUMPRODUCT(MAX(ROW(E$1:E1429)*(E1430=E$1:E1429))))))</f>
        <v/>
      </c>
      <c r="K1430" s="15" t="str">
        <f aca="false">IF(OR(E1430="",E1430="!!!",F1430="NEW"),"",INDEX(J$1:J1429,SUMPRODUCT(MAX(ROW(E$1:E1429)*(E1430=E$1:E1429)))))</f>
        <v/>
      </c>
      <c r="L1430" s="16"/>
    </row>
    <row r="1431" customFormat="false" ht="12.8" hidden="false" customHeight="false" outlineLevel="0" collapsed="false">
      <c r="A1431" s="0" t="s">
        <v>139</v>
      </c>
      <c r="E1431" s="10" t="str">
        <f aca="false">IF(D1431="?OLD","!!!","")</f>
        <v/>
      </c>
      <c r="F1431" s="11" t="str">
        <f aca="false">IF(OR(E1431="",E1431="!!!"),"",IF(NOT(ISNA(VLOOKUP(E1431,E$1:E1430,1,FALSE()))),"OLD",IF(AND(E1431&lt;&gt;"",E1431&lt;&gt;"!!!"),"NEW","")))</f>
        <v/>
      </c>
      <c r="G1431" s="12" t="str">
        <f aca="false">IF(OR(E1431="",E1431="!!!"),"",IF(OR(J1431=0,AND(J1431=1,K1431=1),AND(J1431=1,I1431="SBJ"),AND(J1431=1,I1431=0)),"?IN_FOCUS",IF(J1431&lt;=2,"?ACTIVATED",IF(J1431&lt;&gt;"","?FAMILIAR",IF(F1431="NEW",IF(ISNA(VLOOKUP(E1431,#REF!,1,FALSE())),"?TYPE_IDENTIFIABLE","?REFERENTIAL"),"_")))))</f>
        <v/>
      </c>
      <c r="H1431" s="13" t="str">
        <f aca="false">IF(J1431&lt;&gt;1,"",IF(I1431="SBJ","CB","?"))</f>
        <v/>
      </c>
      <c r="I1431" s="14" t="str">
        <f aca="false">IF(OR(E1431="",E1431="!!!",F1431="NEW"),"",INDEX(B$2:B1430,-1+SUMPRODUCT(MAX(ROW(E$2:E1430)*(E1431=E$2:E1430)))))</f>
        <v/>
      </c>
      <c r="J1431" s="15" t="str">
        <f aca="true">IF(OR(E1431="",E1431="!!!",F1431="NEW"),"",COUNTBLANK(OFFSET(A$1,,,SUMPRODUCT(MAX(ROW(E$2:E1431)*(E1431=E$2:E1431)))))-COUNTBLANK(OFFSET(A$1,,,SUMPRODUCT(MAX(ROW(E$1:E1430)*(E1431=E$1:E1430))))))</f>
        <v/>
      </c>
      <c r="K1431" s="15" t="str">
        <f aca="false">IF(OR(E1431="",E1431="!!!",F1431="NEW"),"",INDEX(J$1:J1430,SUMPRODUCT(MAX(ROW(E$1:E1430)*(E1431=E$1:E1430)))))</f>
        <v/>
      </c>
      <c r="L1431" s="16"/>
    </row>
    <row r="1432" customFormat="false" ht="12.8" hidden="false" customHeight="false" outlineLevel="0" collapsed="false">
      <c r="A1432" s="0" t="s">
        <v>298</v>
      </c>
      <c r="B1432" s="0" t="s">
        <v>14</v>
      </c>
      <c r="C1432" s="0" t="s">
        <v>19</v>
      </c>
      <c r="D1432" s="0" t="s">
        <v>20</v>
      </c>
      <c r="E1432" s="10" t="s">
        <v>298</v>
      </c>
      <c r="F1432" s="11" t="str">
        <f aca="false">IF(OR(E1432="",E1432="!!!"),"",IF(NOT(ISNA(VLOOKUP(E1432,E$1:E1431,1,FALSE()))),"OLD",IF(AND(E1432&lt;&gt;"",E1432&lt;&gt;"!!!"),"NEW","")))</f>
        <v>OLD</v>
      </c>
      <c r="G1432" s="12" t="s">
        <v>36</v>
      </c>
      <c r="H1432" s="13" t="str">
        <f aca="false">IF(J1432&lt;&gt;1,"",IF(I1432="SBJ","CB","?"))</f>
        <v/>
      </c>
      <c r="I1432" s="14" t="str">
        <f aca="false">IF(OR(E1432="",E1432="!!!",F1432="NEW"),"",INDEX(B$2:B1431,-1+SUMPRODUCT(MAX(ROW(E$2:E1431)*(E1432=E$2:E1431)))))</f>
        <v>other_2</v>
      </c>
      <c r="J1432" s="15" t="n">
        <f aca="true">IF(OR(E1432="",E1432="!!!",F1432="NEW"),"",COUNTBLANK(OFFSET(A$1,,,SUMPRODUCT(MAX(ROW(E$2:E1432)*(E1432=E$2:E1432)))))-COUNTBLANK(OFFSET(A$1,,,SUMPRODUCT(MAX(ROW(E$1:E1431)*(E1432=E$1:E1431))))))</f>
        <v>4</v>
      </c>
      <c r="K1432" s="15" t="n">
        <f aca="false">IF(OR(E1432="",E1432="!!!",F1432="NEW"),"",INDEX(J$1:J1431,SUMPRODUCT(MAX(ROW(E$1:E1431)*(E1432=E$1:E1431)))))</f>
        <v>4</v>
      </c>
      <c r="L1432" s="16"/>
    </row>
    <row r="1433" customFormat="false" ht="12.8" hidden="false" customHeight="false" outlineLevel="0" collapsed="false">
      <c r="A1433" s="0" t="s">
        <v>76</v>
      </c>
      <c r="E1433" s="10" t="str">
        <f aca="false">IF(D1433="?OLD","!!!","")</f>
        <v/>
      </c>
      <c r="F1433" s="11" t="str">
        <f aca="false">IF(OR(E1433="",E1433="!!!"),"",IF(NOT(ISNA(VLOOKUP(E1433,E$1:E1432,1,FALSE()))),"OLD",IF(AND(E1433&lt;&gt;"",E1433&lt;&gt;"!!!"),"NEW","")))</f>
        <v/>
      </c>
      <c r="G1433" s="12" t="str">
        <f aca="false">IF(OR(E1433="",E1433="!!!"),"",IF(OR(J1433=0,AND(J1433=1,K1433=1),AND(J1433=1,I1433="SBJ"),AND(J1433=1,I1433=0)),"?IN_FOCUS",IF(J1433&lt;=2,"?ACTIVATED",IF(J1433&lt;&gt;"","?FAMILIAR",IF(F1433="NEW",IF(ISNA(VLOOKUP(E1433,#REF!,1,FALSE())),"?TYPE_IDENTIFIABLE","?REFERENTIAL"),"_")))))</f>
        <v/>
      </c>
      <c r="H1433" s="13" t="str">
        <f aca="false">IF(J1433&lt;&gt;1,"",IF(I1433="SBJ","CB","?"))</f>
        <v/>
      </c>
      <c r="I1433" s="14" t="str">
        <f aca="false">IF(OR(E1433="",E1433="!!!",F1433="NEW"),"",INDEX(B$2:B1432,-1+SUMPRODUCT(MAX(ROW(E$2:E1432)*(E1433=E$2:E1432)))))</f>
        <v/>
      </c>
      <c r="J1433" s="15" t="str">
        <f aca="true">IF(OR(E1433="",E1433="!!!",F1433="NEW"),"",COUNTBLANK(OFFSET(A$1,,,SUMPRODUCT(MAX(ROW(E$2:E1433)*(E1433=E$2:E1433)))))-COUNTBLANK(OFFSET(A$1,,,SUMPRODUCT(MAX(ROW(E$1:E1432)*(E1433=E$1:E1432))))))</f>
        <v/>
      </c>
      <c r="K1433" s="15" t="str">
        <f aca="false">IF(OR(E1433="",E1433="!!!",F1433="NEW"),"",INDEX(J$1:J1432,SUMPRODUCT(MAX(ROW(E$1:E1432)*(E1433=E$1:E1432)))))</f>
        <v/>
      </c>
      <c r="L1433" s="16"/>
    </row>
    <row r="1434" customFormat="false" ht="12.8" hidden="false" customHeight="false" outlineLevel="0" collapsed="false">
      <c r="A1434" s="0" t="s">
        <v>516</v>
      </c>
      <c r="E1434" s="10" t="str">
        <f aca="false">IF(D1434="?OLD","!!!","")</f>
        <v/>
      </c>
      <c r="F1434" s="11" t="str">
        <f aca="false">IF(OR(E1434="",E1434="!!!"),"",IF(NOT(ISNA(VLOOKUP(E1434,E$1:E1433,1,FALSE()))),"OLD",IF(AND(E1434&lt;&gt;"",E1434&lt;&gt;"!!!"),"NEW","")))</f>
        <v/>
      </c>
      <c r="G1434" s="12" t="str">
        <f aca="false">IF(OR(E1434="",E1434="!!!"),"",IF(OR(J1434=0,AND(J1434=1,K1434=1),AND(J1434=1,I1434="SBJ"),AND(J1434=1,I1434=0)),"?IN_FOCUS",IF(J1434&lt;=2,"?ACTIVATED",IF(J1434&lt;&gt;"","?FAMILIAR",IF(F1434="NEW",IF(ISNA(VLOOKUP(E1434,#REF!,1,FALSE())),"?TYPE_IDENTIFIABLE","?REFERENTIAL"),"_")))))</f>
        <v/>
      </c>
      <c r="H1434" s="13" t="str">
        <f aca="false">IF(J1434&lt;&gt;1,"",IF(I1434="SBJ","CB","?"))</f>
        <v/>
      </c>
      <c r="I1434" s="14" t="str">
        <f aca="false">IF(OR(E1434="",E1434="!!!",F1434="NEW"),"",INDEX(B$2:B1433,-1+SUMPRODUCT(MAX(ROW(E$2:E1433)*(E1434=E$2:E1433)))))</f>
        <v/>
      </c>
      <c r="J1434" s="15" t="str">
        <f aca="true">IF(OR(E1434="",E1434="!!!",F1434="NEW"),"",COUNTBLANK(OFFSET(A$1,,,SUMPRODUCT(MAX(ROW(E$2:E1434)*(E1434=E$2:E1434)))))-COUNTBLANK(OFFSET(A$1,,,SUMPRODUCT(MAX(ROW(E$1:E1433)*(E1434=E$1:E1433))))))</f>
        <v/>
      </c>
      <c r="K1434" s="15" t="str">
        <f aca="false">IF(OR(E1434="",E1434="!!!",F1434="NEW"),"",INDEX(J$1:J1433,SUMPRODUCT(MAX(ROW(E$1:E1433)*(E1434=E$1:E1433)))))</f>
        <v/>
      </c>
      <c r="L1434" s="16"/>
    </row>
    <row r="1435" customFormat="false" ht="12.8" hidden="false" customHeight="false" outlineLevel="0" collapsed="false">
      <c r="E1435" s="10" t="str">
        <f aca="false">IF(D1435="?OLD","!!!","")</f>
        <v/>
      </c>
      <c r="F1435" s="11" t="str">
        <f aca="false">IF(OR(E1435="",E1435="!!!"),"",IF(NOT(ISNA(VLOOKUP(E1435,E$1:E1434,1,FALSE()))),"OLD",IF(AND(E1435&lt;&gt;"",E1435&lt;&gt;"!!!"),"NEW","")))</f>
        <v/>
      </c>
      <c r="G1435" s="12" t="str">
        <f aca="false">IF(OR(E1435="",E1435="!!!"),"",IF(OR(J1435=0,AND(J1435=1,K1435=1),AND(J1435=1,I1435="SBJ"),AND(J1435=1,I1435=0)),"?IN_FOCUS",IF(J1435&lt;=2,"?ACTIVATED",IF(J1435&lt;&gt;"","?FAMILIAR",IF(F1435="NEW",IF(ISNA(VLOOKUP(E1435,#REF!,1,FALSE())),"?TYPE_IDENTIFIABLE","?REFERENTIAL"),"_")))))</f>
        <v/>
      </c>
      <c r="H1435" s="13" t="str">
        <f aca="false">IF(J1435&lt;&gt;1,"",IF(I1435="SBJ","CB","?"))</f>
        <v/>
      </c>
      <c r="I1435" s="14" t="str">
        <f aca="false">IF(OR(E1435="",E1435="!!!",F1435="NEW"),"",INDEX(B$2:B1434,-1+SUMPRODUCT(MAX(ROW(E$2:E1434)*(E1435=E$2:E1434)))))</f>
        <v/>
      </c>
      <c r="J1435" s="15" t="str">
        <f aca="true">IF(OR(E1435="",E1435="!!!",F1435="NEW"),"",COUNTBLANK(OFFSET(A$1,,,SUMPRODUCT(MAX(ROW(E$2:E1435)*(E1435=E$2:E1435)))))-COUNTBLANK(OFFSET(A$1,,,SUMPRODUCT(MAX(ROW(E$1:E1434)*(E1435=E$1:E1434))))))</f>
        <v/>
      </c>
      <c r="K1435" s="15" t="str">
        <f aca="false">IF(OR(E1435="",E1435="!!!",F1435="NEW"),"",INDEX(J$1:J1434,SUMPRODUCT(MAX(ROW(E$1:E1434)*(E1435=E$1:E1434)))))</f>
        <v/>
      </c>
      <c r="L1435" s="16"/>
    </row>
    <row r="1436" customFormat="false" ht="12.8" hidden="false" customHeight="false" outlineLevel="0" collapsed="false">
      <c r="A1436" s="0" t="s">
        <v>702</v>
      </c>
      <c r="E1436" s="10" t="str">
        <f aca="false">IF(D1436="?OLD","!!!","")</f>
        <v/>
      </c>
      <c r="F1436" s="11" t="str">
        <f aca="false">IF(OR(E1436="",E1436="!!!"),"",IF(NOT(ISNA(VLOOKUP(E1436,E$1:E1435,1,FALSE()))),"OLD",IF(AND(E1436&lt;&gt;"",E1436&lt;&gt;"!!!"),"NEW","")))</f>
        <v/>
      </c>
      <c r="G1436" s="12" t="str">
        <f aca="false">IF(OR(E1436="",E1436="!!!"),"",IF(OR(J1436=0,AND(J1436=1,K1436=1),AND(J1436=1,I1436="SBJ"),AND(J1436=1,I1436=0)),"?IN_FOCUS",IF(J1436&lt;=2,"?ACTIVATED",IF(J1436&lt;&gt;"","?FAMILIAR",IF(F1436="NEW",IF(ISNA(VLOOKUP(E1436,#REF!,1,FALSE())),"?TYPE_IDENTIFIABLE","?REFERENTIAL"),"_")))))</f>
        <v/>
      </c>
      <c r="H1436" s="13" t="str">
        <f aca="false">IF(J1436&lt;&gt;1,"",IF(I1436="SBJ","CB","?"))</f>
        <v/>
      </c>
      <c r="I1436" s="14" t="str">
        <f aca="false">IF(OR(E1436="",E1436="!!!",F1436="NEW"),"",INDEX(B$2:B1435,-1+SUMPRODUCT(MAX(ROW(E$2:E1435)*(E1436=E$2:E1435)))))</f>
        <v/>
      </c>
      <c r="J1436" s="15" t="str">
        <f aca="true">IF(OR(E1436="",E1436="!!!",F1436="NEW"),"",COUNTBLANK(OFFSET(A$1,,,SUMPRODUCT(MAX(ROW(E$2:E1436)*(E1436=E$2:E1436)))))-COUNTBLANK(OFFSET(A$1,,,SUMPRODUCT(MAX(ROW(E$1:E1435)*(E1436=E$1:E1435))))))</f>
        <v/>
      </c>
      <c r="K1436" s="15" t="str">
        <f aca="false">IF(OR(E1436="",E1436="!!!",F1436="NEW"),"",INDEX(J$1:J1435,SUMPRODUCT(MAX(ROW(E$1:E1435)*(E1436=E$1:E1435)))))</f>
        <v/>
      </c>
      <c r="L1436" s="16"/>
    </row>
    <row r="1437" customFormat="false" ht="12.8" hidden="false" customHeight="false" outlineLevel="0" collapsed="false">
      <c r="A1437" s="0" t="s">
        <v>213</v>
      </c>
      <c r="E1437" s="10" t="str">
        <f aca="false">IF(D1437="?OLD","!!!","")</f>
        <v/>
      </c>
      <c r="F1437" s="11" t="str">
        <f aca="false">IF(OR(E1437="",E1437="!!!"),"",IF(NOT(ISNA(VLOOKUP(E1437,E$1:E1436,1,FALSE()))),"OLD",IF(AND(E1437&lt;&gt;"",E1437&lt;&gt;"!!!"),"NEW","")))</f>
        <v/>
      </c>
      <c r="G1437" s="12" t="str">
        <f aca="false">IF(OR(E1437="",E1437="!!!"),"",IF(OR(J1437=0,AND(J1437=1,K1437=1),AND(J1437=1,I1437="SBJ"),AND(J1437=1,I1437=0)),"?IN_FOCUS",IF(J1437&lt;=2,"?ACTIVATED",IF(J1437&lt;&gt;"","?FAMILIAR",IF(F1437="NEW",IF(ISNA(VLOOKUP(E1437,#REF!,1,FALSE())),"?TYPE_IDENTIFIABLE","?REFERENTIAL"),"_")))))</f>
        <v/>
      </c>
      <c r="H1437" s="13" t="str">
        <f aca="false">IF(J1437&lt;&gt;1,"",IF(I1437="SBJ","CB","?"))</f>
        <v/>
      </c>
      <c r="I1437" s="14" t="str">
        <f aca="false">IF(OR(E1437="",E1437="!!!",F1437="NEW"),"",INDEX(B$2:B1436,-1+SUMPRODUCT(MAX(ROW(E$2:E1436)*(E1437=E$2:E1436)))))</f>
        <v/>
      </c>
      <c r="J1437" s="15" t="str">
        <f aca="true">IF(OR(E1437="",E1437="!!!",F1437="NEW"),"",COUNTBLANK(OFFSET(A$1,,,SUMPRODUCT(MAX(ROW(E$2:E1437)*(E1437=E$2:E1437)))))-COUNTBLANK(OFFSET(A$1,,,SUMPRODUCT(MAX(ROW(E$1:E1436)*(E1437=E$1:E1436))))))</f>
        <v/>
      </c>
      <c r="K1437" s="15" t="str">
        <f aca="false">IF(OR(E1437="",E1437="!!!",F1437="NEW"),"",INDEX(J$1:J1436,SUMPRODUCT(MAX(ROW(E$1:E1436)*(E1437=E$1:E1436)))))</f>
        <v/>
      </c>
      <c r="L1437" s="16"/>
    </row>
    <row r="1438" customFormat="false" ht="12.8" hidden="false" customHeight="false" outlineLevel="0" collapsed="false">
      <c r="A1438" s="0" t="s">
        <v>44</v>
      </c>
      <c r="E1438" s="10" t="str">
        <f aca="false">IF(D1438="?OLD","!!!","")</f>
        <v/>
      </c>
      <c r="F1438" s="11" t="str">
        <f aca="false">IF(OR(E1438="",E1438="!!!"),"",IF(NOT(ISNA(VLOOKUP(E1438,E$1:E1437,1,FALSE()))),"OLD",IF(AND(E1438&lt;&gt;"",E1438&lt;&gt;"!!!"),"NEW","")))</f>
        <v/>
      </c>
      <c r="G1438" s="12" t="str">
        <f aca="false">IF(OR(E1438="",E1438="!!!"),"",IF(OR(J1438=0,AND(J1438=1,K1438=1),AND(J1438=1,I1438="SBJ"),AND(J1438=1,I1438=0)),"?IN_FOCUS",IF(J1438&lt;=2,"?ACTIVATED",IF(J1438&lt;&gt;"","?FAMILIAR",IF(F1438="NEW",IF(ISNA(VLOOKUP(E1438,#REF!,1,FALSE())),"?TYPE_IDENTIFIABLE","?REFERENTIAL"),"_")))))</f>
        <v/>
      </c>
      <c r="H1438" s="13" t="str">
        <f aca="false">IF(J1438&lt;&gt;1,"",IF(I1438="SBJ","CB","?"))</f>
        <v/>
      </c>
      <c r="I1438" s="14" t="str">
        <f aca="false">IF(OR(E1438="",E1438="!!!",F1438="NEW"),"",INDEX(B$2:B1437,-1+SUMPRODUCT(MAX(ROW(E$2:E1437)*(E1438=E$2:E1437)))))</f>
        <v/>
      </c>
      <c r="J1438" s="15" t="str">
        <f aca="true">IF(OR(E1438="",E1438="!!!",F1438="NEW"),"",COUNTBLANK(OFFSET(A$1,,,SUMPRODUCT(MAX(ROW(E$2:E1438)*(E1438=E$2:E1438)))))-COUNTBLANK(OFFSET(A$1,,,SUMPRODUCT(MAX(ROW(E$1:E1437)*(E1438=E$1:E1437))))))</f>
        <v/>
      </c>
      <c r="K1438" s="15" t="str">
        <f aca="false">IF(OR(E1438="",E1438="!!!",F1438="NEW"),"",INDEX(J$1:J1437,SUMPRODUCT(MAX(ROW(E$1:E1437)*(E1438=E$1:E1437)))))</f>
        <v/>
      </c>
      <c r="L1438" s="16"/>
    </row>
    <row r="1439" customFormat="false" ht="12.8" hidden="false" customHeight="false" outlineLevel="0" collapsed="false">
      <c r="A1439" s="0" t="s">
        <v>46</v>
      </c>
      <c r="B1439" s="0" t="s">
        <v>34</v>
      </c>
      <c r="C1439" s="0" t="s">
        <v>48</v>
      </c>
      <c r="D1439" s="0" t="s">
        <v>20</v>
      </c>
      <c r="E1439" s="10" t="s">
        <v>49</v>
      </c>
      <c r="F1439" s="11" t="str">
        <f aca="false">IF(OR(E1439="",E1439="!!!"),"",IF(NOT(ISNA(VLOOKUP(E1439,E$1:E1438,1,FALSE()))),"OLD",IF(AND(E1439&lt;&gt;"",E1439&lt;&gt;"!!!"),"NEW","")))</f>
        <v>OLD</v>
      </c>
      <c r="G1439" s="12" t="s">
        <v>36</v>
      </c>
      <c r="H1439" s="13" t="str">
        <f aca="false">IF(J1439&lt;&gt;1,"",IF(I1439="SBJ","CB","?"))</f>
        <v/>
      </c>
      <c r="I1439" s="14" t="str">
        <f aca="false">IF(OR(E1439="",E1439="!!!",F1439="NEW"),"",INDEX(B$2:B1438,-1+SUMPRODUCT(MAX(ROW(E$2:E1438)*(E1439=E$2:E1438)))))</f>
        <v>SBJ</v>
      </c>
      <c r="J1439" s="15" t="n">
        <f aca="true">IF(OR(E1439="",E1439="!!!",F1439="NEW"),"",COUNTBLANK(OFFSET(A$1,,,SUMPRODUCT(MAX(ROW(E$2:E1439)*(E1439=E$2:E1439)))))-COUNTBLANK(OFFSET(A$1,,,SUMPRODUCT(MAX(ROW(E$1:E1438)*(E1439=E$1:E1438))))))</f>
        <v>21</v>
      </c>
      <c r="K1439" s="15" t="n">
        <f aca="false">IF(OR(E1439="",E1439="!!!",F1439="NEW"),"",INDEX(J$1:J1438,SUMPRODUCT(MAX(ROW(E$1:E1438)*(E1439=E$1:E1438)))))</f>
        <v>10</v>
      </c>
      <c r="L1439" s="16"/>
    </row>
    <row r="1440" customFormat="false" ht="12.8" hidden="false" customHeight="false" outlineLevel="0" collapsed="false">
      <c r="A1440" s="0" t="s">
        <v>239</v>
      </c>
      <c r="E1440" s="10" t="str">
        <f aca="false">IF(D1440="?OLD","!!!","")</f>
        <v/>
      </c>
      <c r="F1440" s="11" t="str">
        <f aca="false">IF(OR(E1440="",E1440="!!!"),"",IF(NOT(ISNA(VLOOKUP(E1440,E$1:E1439,1,FALSE()))),"OLD",IF(AND(E1440&lt;&gt;"",E1440&lt;&gt;"!!!"),"NEW","")))</f>
        <v/>
      </c>
      <c r="G1440" s="12" t="str">
        <f aca="false">IF(OR(E1440="",E1440="!!!"),"",IF(OR(J1440=0,AND(J1440=1,K1440=1),AND(J1440=1,I1440="SBJ"),AND(J1440=1,I1440=0)),"?IN_FOCUS",IF(J1440&lt;=2,"?ACTIVATED",IF(J1440&lt;&gt;"","?FAMILIAR",IF(F1440="NEW",IF(ISNA(VLOOKUP(E1440,#REF!,1,FALSE())),"?TYPE_IDENTIFIABLE","?REFERENTIAL"),"_")))))</f>
        <v/>
      </c>
      <c r="H1440" s="13" t="str">
        <f aca="false">IF(J1440&lt;&gt;1,"",IF(I1440="SBJ","CB","?"))</f>
        <v/>
      </c>
      <c r="I1440" s="14" t="str">
        <f aca="false">IF(OR(E1440="",E1440="!!!",F1440="NEW"),"",INDEX(B$2:B1439,-1+SUMPRODUCT(MAX(ROW(E$2:E1439)*(E1440=E$2:E1439)))))</f>
        <v/>
      </c>
      <c r="J1440" s="15" t="str">
        <f aca="true">IF(OR(E1440="",E1440="!!!",F1440="NEW"),"",COUNTBLANK(OFFSET(A$1,,,SUMPRODUCT(MAX(ROW(E$2:E1440)*(E1440=E$2:E1440)))))-COUNTBLANK(OFFSET(A$1,,,SUMPRODUCT(MAX(ROW(E$1:E1439)*(E1440=E$1:E1439))))))</f>
        <v/>
      </c>
      <c r="K1440" s="15" t="str">
        <f aca="false">IF(OR(E1440="",E1440="!!!",F1440="NEW"),"",INDEX(J$1:J1439,SUMPRODUCT(MAX(ROW(E$1:E1439)*(E1440=E$1:E1439)))))</f>
        <v/>
      </c>
      <c r="L1440" s="16"/>
    </row>
    <row r="1441" customFormat="false" ht="12.8" hidden="false" customHeight="false" outlineLevel="0" collapsed="false">
      <c r="A1441" s="0" t="s">
        <v>703</v>
      </c>
      <c r="E1441" s="10" t="str">
        <f aca="false">IF(D1441="?OLD","!!!","")</f>
        <v/>
      </c>
      <c r="F1441" s="11" t="str">
        <f aca="false">IF(OR(E1441="",E1441="!!!"),"",IF(NOT(ISNA(VLOOKUP(E1441,E$1:E1440,1,FALSE()))),"OLD",IF(AND(E1441&lt;&gt;"",E1441&lt;&gt;"!!!"),"NEW","")))</f>
        <v/>
      </c>
      <c r="G1441" s="12" t="str">
        <f aca="false">IF(OR(E1441="",E1441="!!!"),"",IF(OR(J1441=0,AND(J1441=1,K1441=1),AND(J1441=1,I1441="SBJ"),AND(J1441=1,I1441=0)),"?IN_FOCUS",IF(J1441&lt;=2,"?ACTIVATED",IF(J1441&lt;&gt;"","?FAMILIAR",IF(F1441="NEW",IF(ISNA(VLOOKUP(E1441,#REF!,1,FALSE())),"?TYPE_IDENTIFIABLE","?REFERENTIAL"),"_")))))</f>
        <v/>
      </c>
      <c r="H1441" s="13" t="str">
        <f aca="false">IF(J1441&lt;&gt;1,"",IF(I1441="SBJ","CB","?"))</f>
        <v/>
      </c>
      <c r="I1441" s="14" t="str">
        <f aca="false">IF(OR(E1441="",E1441="!!!",F1441="NEW"),"",INDEX(B$2:B1440,-1+SUMPRODUCT(MAX(ROW(E$2:E1440)*(E1441=E$2:E1440)))))</f>
        <v/>
      </c>
      <c r="J1441" s="15" t="str">
        <f aca="true">IF(OR(E1441="",E1441="!!!",F1441="NEW"),"",COUNTBLANK(OFFSET(A$1,,,SUMPRODUCT(MAX(ROW(E$2:E1441)*(E1441=E$2:E1441)))))-COUNTBLANK(OFFSET(A$1,,,SUMPRODUCT(MAX(ROW(E$1:E1440)*(E1441=E$1:E1440))))))</f>
        <v/>
      </c>
      <c r="K1441" s="15" t="str">
        <f aca="false">IF(OR(E1441="",E1441="!!!",F1441="NEW"),"",INDEX(J$1:J1440,SUMPRODUCT(MAX(ROW(E$1:E1440)*(E1441=E$1:E1440)))))</f>
        <v/>
      </c>
      <c r="L1441" s="16"/>
    </row>
    <row r="1442" customFormat="false" ht="12.8" hidden="false" customHeight="false" outlineLevel="0" collapsed="false">
      <c r="A1442" s="0" t="s">
        <v>60</v>
      </c>
      <c r="E1442" s="10" t="str">
        <f aca="false">IF(D1442="?OLD","!!!","")</f>
        <v/>
      </c>
      <c r="F1442" s="11" t="str">
        <f aca="false">IF(OR(E1442="",E1442="!!!"),"",IF(NOT(ISNA(VLOOKUP(E1442,E$1:E1441,1,FALSE()))),"OLD",IF(AND(E1442&lt;&gt;"",E1442&lt;&gt;"!!!"),"NEW","")))</f>
        <v/>
      </c>
      <c r="G1442" s="12" t="str">
        <f aca="false">IF(OR(E1442="",E1442="!!!"),"",IF(OR(J1442=0,AND(J1442=1,K1442=1),AND(J1442=1,I1442="SBJ"),AND(J1442=1,I1442=0)),"?IN_FOCUS",IF(J1442&lt;=2,"?ACTIVATED",IF(J1442&lt;&gt;"","?FAMILIAR",IF(F1442="NEW",IF(ISNA(VLOOKUP(E1442,#REF!,1,FALSE())),"?TYPE_IDENTIFIABLE","?REFERENTIAL"),"_")))))</f>
        <v/>
      </c>
      <c r="H1442" s="13" t="str">
        <f aca="false">IF(J1442&lt;&gt;1,"",IF(I1442="SBJ","CB","?"))</f>
        <v/>
      </c>
      <c r="I1442" s="14" t="str">
        <f aca="false">IF(OR(E1442="",E1442="!!!",F1442="NEW"),"",INDEX(B$2:B1441,-1+SUMPRODUCT(MAX(ROW(E$2:E1441)*(E1442=E$2:E1441)))))</f>
        <v/>
      </c>
      <c r="J1442" s="15" t="str">
        <f aca="true">IF(OR(E1442="",E1442="!!!",F1442="NEW"),"",COUNTBLANK(OFFSET(A$1,,,SUMPRODUCT(MAX(ROW(E$2:E1442)*(E1442=E$2:E1442)))))-COUNTBLANK(OFFSET(A$1,,,SUMPRODUCT(MAX(ROW(E$1:E1441)*(E1442=E$1:E1441))))))</f>
        <v/>
      </c>
      <c r="K1442" s="15" t="str">
        <f aca="false">IF(OR(E1442="",E1442="!!!",F1442="NEW"),"",INDEX(J$1:J1441,SUMPRODUCT(MAX(ROW(E$1:E1441)*(E1442=E$1:E1441)))))</f>
        <v/>
      </c>
      <c r="L1442" s="16"/>
    </row>
    <row r="1443" customFormat="false" ht="12.8" hidden="false" customHeight="false" outlineLevel="0" collapsed="false">
      <c r="A1443" s="0" t="s">
        <v>179</v>
      </c>
      <c r="E1443" s="10" t="str">
        <f aca="false">IF(D1443="?OLD","!!!","")</f>
        <v/>
      </c>
      <c r="F1443" s="11" t="str">
        <f aca="false">IF(OR(E1443="",E1443="!!!"),"",IF(NOT(ISNA(VLOOKUP(E1443,E$1:E1442,1,FALSE()))),"OLD",IF(AND(E1443&lt;&gt;"",E1443&lt;&gt;"!!!"),"NEW","")))</f>
        <v/>
      </c>
      <c r="G1443" s="12" t="str">
        <f aca="false">IF(OR(E1443="",E1443="!!!"),"",IF(OR(J1443=0,AND(J1443=1,K1443=1),AND(J1443=1,I1443="SBJ"),AND(J1443=1,I1443=0)),"?IN_FOCUS",IF(J1443&lt;=2,"?ACTIVATED",IF(J1443&lt;&gt;"","?FAMILIAR",IF(F1443="NEW",IF(ISNA(VLOOKUP(E1443,#REF!,1,FALSE())),"?TYPE_IDENTIFIABLE","?REFERENTIAL"),"_")))))</f>
        <v/>
      </c>
      <c r="H1443" s="13" t="str">
        <f aca="false">IF(J1443&lt;&gt;1,"",IF(I1443="SBJ","CB","?"))</f>
        <v/>
      </c>
      <c r="I1443" s="14" t="str">
        <f aca="false">IF(OR(E1443="",E1443="!!!",F1443="NEW"),"",INDEX(B$2:B1442,-1+SUMPRODUCT(MAX(ROW(E$2:E1442)*(E1443=E$2:E1442)))))</f>
        <v/>
      </c>
      <c r="J1443" s="15" t="str">
        <f aca="true">IF(OR(E1443="",E1443="!!!",F1443="NEW"),"",COUNTBLANK(OFFSET(A$1,,,SUMPRODUCT(MAX(ROW(E$2:E1443)*(E1443=E$2:E1443)))))-COUNTBLANK(OFFSET(A$1,,,SUMPRODUCT(MAX(ROW(E$1:E1442)*(E1443=E$1:E1442))))))</f>
        <v/>
      </c>
      <c r="K1443" s="15" t="str">
        <f aca="false">IF(OR(E1443="",E1443="!!!",F1443="NEW"),"",INDEX(J$1:J1442,SUMPRODUCT(MAX(ROW(E$1:E1442)*(E1443=E$1:E1442)))))</f>
        <v/>
      </c>
      <c r="L1443" s="16"/>
    </row>
    <row r="1444" customFormat="false" ht="12.8" hidden="false" customHeight="false" outlineLevel="0" collapsed="false">
      <c r="A1444" s="0" t="s">
        <v>704</v>
      </c>
      <c r="B1444" s="0" t="s">
        <v>14</v>
      </c>
      <c r="C1444" s="0" t="s">
        <v>181</v>
      </c>
      <c r="E1444" s="10" t="str">
        <f aca="false">IF(D1444="?OLD","!!!","")</f>
        <v/>
      </c>
      <c r="F1444" s="11" t="str">
        <f aca="false">IF(OR(E1444="",E1444="!!!"),"",IF(NOT(ISNA(VLOOKUP(E1444,E$1:E1443,1,FALSE()))),"OLD",IF(AND(E1444&lt;&gt;"",E1444&lt;&gt;"!!!"),"NEW","")))</f>
        <v/>
      </c>
      <c r="G1444" s="12" t="str">
        <f aca="false">IF(OR(E1444="",E1444="!!!"),"",IF(OR(J1444=0,AND(J1444=1,K1444=1),AND(J1444=1,I1444="SBJ"),AND(J1444=1,I1444=0)),"?IN_FOCUS",IF(J1444&lt;=2,"?ACTIVATED",IF(J1444&lt;&gt;"","?FAMILIAR",IF(F1444="NEW",IF(ISNA(VLOOKUP(E1444,#REF!,1,FALSE())),"?TYPE_IDENTIFIABLE","?REFERENTIAL"),"_")))))</f>
        <v/>
      </c>
      <c r="H1444" s="13" t="str">
        <f aca="false">IF(J1444&lt;&gt;1,"",IF(I1444="SBJ","CB","?"))</f>
        <v/>
      </c>
      <c r="I1444" s="14" t="str">
        <f aca="false">IF(OR(E1444="",E1444="!!!",F1444="NEW"),"",INDEX(B$2:B1443,-1+SUMPRODUCT(MAX(ROW(E$2:E1443)*(E1444=E$2:E1443)))))</f>
        <v/>
      </c>
      <c r="J1444" s="15" t="str">
        <f aca="true">IF(OR(E1444="",E1444="!!!",F1444="NEW"),"",COUNTBLANK(OFFSET(A$1,,,SUMPRODUCT(MAX(ROW(E$2:E1444)*(E1444=E$2:E1444)))))-COUNTBLANK(OFFSET(A$1,,,SUMPRODUCT(MAX(ROW(E$1:E1443)*(E1444=E$1:E1443))))))</f>
        <v/>
      </c>
      <c r="K1444" s="15" t="str">
        <f aca="false">IF(OR(E1444="",E1444="!!!",F1444="NEW"),"",INDEX(J$1:J1443,SUMPRODUCT(MAX(ROW(E$1:E1443)*(E1444=E$1:E1443)))))</f>
        <v/>
      </c>
      <c r="L1444" s="16"/>
    </row>
    <row r="1445" customFormat="false" ht="12.8" hidden="false" customHeight="false" outlineLevel="0" collapsed="false">
      <c r="A1445" s="0" t="s">
        <v>61</v>
      </c>
      <c r="E1445" s="10" t="str">
        <f aca="false">IF(D1445="?OLD","!!!","")</f>
        <v/>
      </c>
      <c r="F1445" s="11" t="str">
        <f aca="false">IF(OR(E1445="",E1445="!!!"),"",IF(NOT(ISNA(VLOOKUP(E1445,E$1:E1444,1,FALSE()))),"OLD",IF(AND(E1445&lt;&gt;"",E1445&lt;&gt;"!!!"),"NEW","")))</f>
        <v/>
      </c>
      <c r="G1445" s="12" t="str">
        <f aca="false">IF(OR(E1445="",E1445="!!!"),"",IF(OR(J1445=0,AND(J1445=1,K1445=1),AND(J1445=1,I1445="SBJ"),AND(J1445=1,I1445=0)),"?IN_FOCUS",IF(J1445&lt;=2,"?ACTIVATED",IF(J1445&lt;&gt;"","?FAMILIAR",IF(F1445="NEW",IF(ISNA(VLOOKUP(E1445,#REF!,1,FALSE())),"?TYPE_IDENTIFIABLE","?REFERENTIAL"),"_")))))</f>
        <v/>
      </c>
      <c r="H1445" s="13" t="str">
        <f aca="false">IF(J1445&lt;&gt;1,"",IF(I1445="SBJ","CB","?"))</f>
        <v/>
      </c>
      <c r="I1445" s="14" t="str">
        <f aca="false">IF(OR(E1445="",E1445="!!!",F1445="NEW"),"",INDEX(B$2:B1444,-1+SUMPRODUCT(MAX(ROW(E$2:E1444)*(E1445=E$2:E1444)))))</f>
        <v/>
      </c>
      <c r="J1445" s="15" t="str">
        <f aca="true">IF(OR(E1445="",E1445="!!!",F1445="NEW"),"",COUNTBLANK(OFFSET(A$1,,,SUMPRODUCT(MAX(ROW(E$2:E1445)*(E1445=E$2:E1445)))))-COUNTBLANK(OFFSET(A$1,,,SUMPRODUCT(MAX(ROW(E$1:E1444)*(E1445=E$1:E1444))))))</f>
        <v/>
      </c>
      <c r="K1445" s="15" t="str">
        <f aca="false">IF(OR(E1445="",E1445="!!!",F1445="NEW"),"",INDEX(J$1:J1444,SUMPRODUCT(MAX(ROW(E$1:E1444)*(E1445=E$1:E1444)))))</f>
        <v/>
      </c>
      <c r="L1445" s="16"/>
    </row>
    <row r="1446" customFormat="false" ht="12.8" hidden="false" customHeight="false" outlineLevel="0" collapsed="false">
      <c r="A1446" s="0" t="s">
        <v>52</v>
      </c>
      <c r="B1446" s="0" t="s">
        <v>75</v>
      </c>
      <c r="C1446" s="0" t="s">
        <v>31</v>
      </c>
      <c r="E1446" s="10" t="s">
        <v>705</v>
      </c>
      <c r="F1446" s="11" t="str">
        <f aca="false">IF(OR(E1446="",E1446="!!!"),"",IF(NOT(ISNA(VLOOKUP(E1446,E$1:E1445,1,FALSE()))),"OLD",IF(AND(E1446&lt;&gt;"",E1446&lt;&gt;"!!!"),"NEW","")))</f>
        <v>NEW</v>
      </c>
      <c r="G1446" s="12" t="s">
        <v>510</v>
      </c>
      <c r="H1446" s="13" t="str">
        <f aca="false">IF(J1446&lt;&gt;1,"",IF(I1446="SBJ","CB","?"))</f>
        <v/>
      </c>
      <c r="I1446" s="14" t="str">
        <f aca="false">IF(OR(E1446="",E1446="!!!",F1446="NEW"),"",INDEX(B$2:B1445,-1+SUMPRODUCT(MAX(ROW(E$2:E1445)*(E1446=E$2:E1445)))))</f>
        <v/>
      </c>
      <c r="J1446" s="15" t="str">
        <f aca="true">IF(OR(E1446="",E1446="!!!",F1446="NEW"),"",COUNTBLANK(OFFSET(A$1,,,SUMPRODUCT(MAX(ROW(E$2:E1446)*(E1446=E$2:E1446)))))-COUNTBLANK(OFFSET(A$1,,,SUMPRODUCT(MAX(ROW(E$1:E1445)*(E1446=E$1:E1445))))))</f>
        <v/>
      </c>
      <c r="K1446" s="15" t="str">
        <f aca="false">IF(OR(E1446="",E1446="!!!",F1446="NEW"),"",INDEX(J$1:J1445,SUMPRODUCT(MAX(ROW(E$1:E1445)*(E1446=E$1:E1445)))))</f>
        <v/>
      </c>
      <c r="L1446" s="16"/>
    </row>
    <row r="1447" customFormat="false" ht="12.8" hidden="false" customHeight="false" outlineLevel="0" collapsed="false">
      <c r="A1447" s="0" t="s">
        <v>322</v>
      </c>
      <c r="E1447" s="10" t="str">
        <f aca="false">IF(D1447="?OLD","!!!","")</f>
        <v/>
      </c>
      <c r="F1447" s="11" t="str">
        <f aca="false">IF(OR(E1447="",E1447="!!!"),"",IF(NOT(ISNA(VLOOKUP(E1447,E$1:E1446,1,FALSE()))),"OLD",IF(AND(E1447&lt;&gt;"",E1447&lt;&gt;"!!!"),"NEW","")))</f>
        <v/>
      </c>
      <c r="G1447" s="12" t="str">
        <f aca="false">IF(OR(E1447="",E1447="!!!"),"",IF(OR(J1447=0,AND(J1447=1,K1447=1),AND(J1447=1,I1447="SBJ"),AND(J1447=1,I1447=0)),"?IN_FOCUS",IF(J1447&lt;=2,"?ACTIVATED",IF(J1447&lt;&gt;"","?FAMILIAR",IF(F1447="NEW",IF(ISNA(VLOOKUP(E1447,#REF!,1,FALSE())),"?TYPE_IDENTIFIABLE","?REFERENTIAL"),"_")))))</f>
        <v/>
      </c>
      <c r="H1447" s="13" t="str">
        <f aca="false">IF(J1447&lt;&gt;1,"",IF(I1447="SBJ","CB","?"))</f>
        <v/>
      </c>
      <c r="I1447" s="14" t="str">
        <f aca="false">IF(OR(E1447="",E1447="!!!",F1447="NEW"),"",INDEX(B$2:B1446,-1+SUMPRODUCT(MAX(ROW(E$2:E1446)*(E1447=E$2:E1446)))))</f>
        <v/>
      </c>
      <c r="J1447" s="15" t="str">
        <f aca="true">IF(OR(E1447="",E1447="!!!",F1447="NEW"),"",COUNTBLANK(OFFSET(A$1,,,SUMPRODUCT(MAX(ROW(E$2:E1447)*(E1447=E$2:E1447)))))-COUNTBLANK(OFFSET(A$1,,,SUMPRODUCT(MAX(ROW(E$1:E1446)*(E1447=E$1:E1446))))))</f>
        <v/>
      </c>
      <c r="K1447" s="15" t="str">
        <f aca="false">IF(OR(E1447="",E1447="!!!",F1447="NEW"),"",INDEX(J$1:J1446,SUMPRODUCT(MAX(ROW(E$1:E1446)*(E1447=E$1:E1446)))))</f>
        <v/>
      </c>
      <c r="L1447" s="16"/>
    </row>
    <row r="1448" customFormat="false" ht="12.8" hidden="false" customHeight="false" outlineLevel="0" collapsed="false">
      <c r="A1448" s="0" t="s">
        <v>706</v>
      </c>
      <c r="B1448" s="0" t="s">
        <v>14</v>
      </c>
      <c r="C1448" s="0" t="s">
        <v>246</v>
      </c>
      <c r="D1448" s="0" t="s">
        <v>20</v>
      </c>
      <c r="E1448" s="10"/>
      <c r="F1448" s="11" t="s">
        <v>86</v>
      </c>
      <c r="G1448" s="12" t="str">
        <f aca="false">IF(OR(E1448="",E1448="!!!"),"",IF(OR(J1448=0,AND(J1448=1,K1448=1),AND(J1448=1,I1448="SBJ"),AND(J1448=1,I1448=0)),"?IN_FOCUS",IF(J1448&lt;=2,"?ACTIVATED",IF(J1448&lt;&gt;"","?FAMILIAR",IF(F1448="NEW",IF(ISNA(VLOOKUP(E1448,#REF!,1,FALSE())),"?TYPE_IDENTIFIABLE","?REFERENTIAL"),"_")))))</f>
        <v/>
      </c>
      <c r="H1448" s="13" t="str">
        <f aca="false">IF(J1448&lt;&gt;1,"",IF(I1448="SBJ","CB","?"))</f>
        <v/>
      </c>
      <c r="I1448" s="14" t="str">
        <f aca="false">IF(OR(E1448="",E1448="!!!",F1448="NEW"),"",INDEX(B$2:B1447,-1+SUMPRODUCT(MAX(ROW(E$2:E1447)*(E1448=E$2:E1447)))))</f>
        <v/>
      </c>
      <c r="J1448" s="15" t="str">
        <f aca="true">IF(OR(E1448="",E1448="!!!",F1448="NEW"),"",COUNTBLANK(OFFSET(A$1,,,SUMPRODUCT(MAX(ROW(E$2:E1448)*(E1448=E$2:E1448)))))-COUNTBLANK(OFFSET(A$1,,,SUMPRODUCT(MAX(ROW(E$1:E1447)*(E1448=E$1:E1447))))))</f>
        <v/>
      </c>
      <c r="K1448" s="15" t="str">
        <f aca="false">IF(OR(E1448="",E1448="!!!",F1448="NEW"),"",INDEX(J$1:J1447,SUMPRODUCT(MAX(ROW(E$1:E1447)*(E1448=E$1:E1447)))))</f>
        <v/>
      </c>
      <c r="L1448" s="16"/>
    </row>
    <row r="1449" customFormat="false" ht="12.8" hidden="false" customHeight="false" outlineLevel="0" collapsed="false">
      <c r="A1449" s="0" t="s">
        <v>61</v>
      </c>
      <c r="E1449" s="10" t="str">
        <f aca="false">IF(D1449="?OLD","!!!","")</f>
        <v/>
      </c>
      <c r="F1449" s="11" t="str">
        <f aca="false">IF(OR(E1449="",E1449="!!!"),"",IF(NOT(ISNA(VLOOKUP(E1449,E$1:E1448,1,FALSE()))),"OLD",IF(AND(E1449&lt;&gt;"",E1449&lt;&gt;"!!!"),"NEW","")))</f>
        <v/>
      </c>
      <c r="G1449" s="12" t="str">
        <f aca="false">IF(OR(E1449="",E1449="!!!"),"",IF(OR(J1449=0,AND(J1449=1,K1449=1),AND(J1449=1,I1449="SBJ"),AND(J1449=1,I1449=0)),"?IN_FOCUS",IF(J1449&lt;=2,"?ACTIVATED",IF(J1449&lt;&gt;"","?FAMILIAR",IF(F1449="NEW",IF(ISNA(VLOOKUP(E1449,#REF!,1,FALSE())),"?TYPE_IDENTIFIABLE","?REFERENTIAL"),"_")))))</f>
        <v/>
      </c>
      <c r="H1449" s="13" t="str">
        <f aca="false">IF(J1449&lt;&gt;1,"",IF(I1449="SBJ","CB","?"))</f>
        <v/>
      </c>
      <c r="I1449" s="14" t="str">
        <f aca="false">IF(OR(E1449="",E1449="!!!",F1449="NEW"),"",INDEX(B$2:B1448,-1+SUMPRODUCT(MAX(ROW(E$2:E1448)*(E1449=E$2:E1448)))))</f>
        <v/>
      </c>
      <c r="J1449" s="15" t="str">
        <f aca="true">IF(OR(E1449="",E1449="!!!",F1449="NEW"),"",COUNTBLANK(OFFSET(A$1,,,SUMPRODUCT(MAX(ROW(E$2:E1449)*(E1449=E$2:E1449)))))-COUNTBLANK(OFFSET(A$1,,,SUMPRODUCT(MAX(ROW(E$1:E1448)*(E1449=E$1:E1448))))))</f>
        <v/>
      </c>
      <c r="K1449" s="15" t="str">
        <f aca="false">IF(OR(E1449="",E1449="!!!",F1449="NEW"),"",INDEX(J$1:J1448,SUMPRODUCT(MAX(ROW(E$1:E1448)*(E1449=E$1:E1448)))))</f>
        <v/>
      </c>
      <c r="L1449" s="16"/>
    </row>
    <row r="1450" customFormat="false" ht="12.8" hidden="false" customHeight="false" outlineLevel="0" collapsed="false">
      <c r="A1450" s="0" t="s">
        <v>707</v>
      </c>
      <c r="B1450" s="0" t="s">
        <v>96</v>
      </c>
      <c r="C1450" s="0" t="s">
        <v>244</v>
      </c>
      <c r="D1450" s="0" t="s">
        <v>20</v>
      </c>
      <c r="E1450" s="10" t="s">
        <v>49</v>
      </c>
      <c r="F1450" s="11" t="str">
        <f aca="false">IF(OR(E1450="",E1450="!!!"),"",IF(NOT(ISNA(VLOOKUP(E1450,E$1:E1449,1,FALSE()))),"OLD",IF(AND(E1450&lt;&gt;"",E1450&lt;&gt;"!!!"),"NEW","")))</f>
        <v>OLD</v>
      </c>
      <c r="G1450" s="12" t="s">
        <v>87</v>
      </c>
      <c r="H1450" s="13" t="str">
        <f aca="false">IF(J1450&lt;&gt;1,"",IF(I1450="SBJ","CB","?"))</f>
        <v/>
      </c>
      <c r="I1450" s="14" t="str">
        <f aca="false">IF(OR(E1450="",E1450="!!!",F1450="NEW"),"",INDEX(B$2:B1449,-1+SUMPRODUCT(MAX(ROW(E$2:E1449)*(E1450=E$2:E1449)))))</f>
        <v>SBJ</v>
      </c>
      <c r="J1450" s="15" t="n">
        <f aca="true">IF(OR(E1450="",E1450="!!!",F1450="NEW"),"",COUNTBLANK(OFFSET(A$1,,,SUMPRODUCT(MAX(ROW(E$2:E1450)*(E1450=E$2:E1450)))))-COUNTBLANK(OFFSET(A$1,,,SUMPRODUCT(MAX(ROW(E$1:E1449)*(E1450=E$1:E1449))))))</f>
        <v>0</v>
      </c>
      <c r="K1450" s="15" t="n">
        <f aca="false">IF(OR(E1450="",E1450="!!!",F1450="NEW"),"",INDEX(J$1:J1449,SUMPRODUCT(MAX(ROW(E$1:E1449)*(E1450=E$1:E1449)))))</f>
        <v>21</v>
      </c>
      <c r="L1450" s="16"/>
    </row>
    <row r="1451" customFormat="false" ht="12.8" hidden="false" customHeight="false" outlineLevel="0" collapsed="false">
      <c r="A1451" s="0" t="s">
        <v>708</v>
      </c>
      <c r="B1451" s="0" t="s">
        <v>75</v>
      </c>
      <c r="C1451" s="0" t="s">
        <v>246</v>
      </c>
      <c r="D1451" s="0" t="s">
        <v>20</v>
      </c>
      <c r="E1451" s="10" t="s">
        <v>709</v>
      </c>
      <c r="F1451" s="11" t="str">
        <f aca="false">IF(OR(E1451="",E1451="!!!"),"",IF(NOT(ISNA(VLOOKUP(E1451,E$1:E1450,1,FALSE()))),"OLD",IF(AND(E1451&lt;&gt;"",E1451&lt;&gt;"!!!"),"NEW","")))</f>
        <v>NEW</v>
      </c>
      <c r="G1451" s="12" t="s">
        <v>510</v>
      </c>
      <c r="H1451" s="13" t="str">
        <f aca="false">IF(J1451&lt;&gt;1,"",IF(I1451="SBJ","CB","?"))</f>
        <v/>
      </c>
      <c r="I1451" s="14" t="str">
        <f aca="false">IF(OR(E1451="",E1451="!!!",F1451="NEW"),"",INDEX(B$2:B1450,-1+SUMPRODUCT(MAX(ROW(E$2:E1450)*(E1451=E$2:E1450)))))</f>
        <v/>
      </c>
      <c r="J1451" s="15" t="str">
        <f aca="true">IF(OR(E1451="",E1451="!!!",F1451="NEW"),"",COUNTBLANK(OFFSET(A$1,,,SUMPRODUCT(MAX(ROW(E$2:E1451)*(E1451=E$2:E1451)))))-COUNTBLANK(OFFSET(A$1,,,SUMPRODUCT(MAX(ROW(E$1:E1450)*(E1451=E$1:E1450))))))</f>
        <v/>
      </c>
      <c r="K1451" s="15" t="str">
        <f aca="false">IF(OR(E1451="",E1451="!!!",F1451="NEW"),"",INDEX(J$1:J1450,SUMPRODUCT(MAX(ROW(E$1:E1450)*(E1451=E$1:E1450)))))</f>
        <v/>
      </c>
      <c r="L1451" s="16"/>
    </row>
    <row r="1452" customFormat="false" ht="12.8" hidden="false" customHeight="false" outlineLevel="0" collapsed="false">
      <c r="A1452" s="0" t="s">
        <v>44</v>
      </c>
      <c r="E1452" s="10" t="str">
        <f aca="false">IF(D1452="?OLD","!!!","")</f>
        <v/>
      </c>
      <c r="F1452" s="11" t="str">
        <f aca="false">IF(OR(E1452="",E1452="!!!"),"",IF(NOT(ISNA(VLOOKUP(E1452,E$1:E1451,1,FALSE()))),"OLD",IF(AND(E1452&lt;&gt;"",E1452&lt;&gt;"!!!"),"NEW","")))</f>
        <v/>
      </c>
      <c r="G1452" s="12" t="str">
        <f aca="false">IF(OR(E1452="",E1452="!!!"),"",IF(OR(J1452=0,AND(J1452=1,K1452=1),AND(J1452=1,I1452="SBJ"),AND(J1452=1,I1452=0)),"?IN_FOCUS",IF(J1452&lt;=2,"?ACTIVATED",IF(J1452&lt;&gt;"","?FAMILIAR",IF(F1452="NEW",IF(ISNA(VLOOKUP(E1452,#REF!,1,FALSE())),"?TYPE_IDENTIFIABLE","?REFERENTIAL"),"_")))))</f>
        <v/>
      </c>
      <c r="H1452" s="13" t="str">
        <f aca="false">IF(J1452&lt;&gt;1,"",IF(I1452="SBJ","CB","?"))</f>
        <v/>
      </c>
      <c r="I1452" s="14" t="str">
        <f aca="false">IF(OR(E1452="",E1452="!!!",F1452="NEW"),"",INDEX(B$2:B1451,-1+SUMPRODUCT(MAX(ROW(E$2:E1451)*(E1452=E$2:E1451)))))</f>
        <v/>
      </c>
      <c r="J1452" s="15" t="str">
        <f aca="true">IF(OR(E1452="",E1452="!!!",F1452="NEW"),"",COUNTBLANK(OFFSET(A$1,,,SUMPRODUCT(MAX(ROW(E$2:E1452)*(E1452=E$2:E1452)))))-COUNTBLANK(OFFSET(A$1,,,SUMPRODUCT(MAX(ROW(E$1:E1451)*(E1452=E$1:E1451))))))</f>
        <v/>
      </c>
      <c r="K1452" s="15" t="str">
        <f aca="false">IF(OR(E1452="",E1452="!!!",F1452="NEW"),"",INDEX(J$1:J1451,SUMPRODUCT(MAX(ROW(E$1:E1451)*(E1452=E$1:E1451)))))</f>
        <v/>
      </c>
      <c r="L1452" s="16"/>
    </row>
    <row r="1453" customFormat="false" ht="12.8" hidden="false" customHeight="false" outlineLevel="0" collapsed="false">
      <c r="A1453" s="0" t="s">
        <v>45</v>
      </c>
      <c r="E1453" s="10" t="str">
        <f aca="false">IF(D1453="?OLD","!!!","")</f>
        <v/>
      </c>
      <c r="F1453" s="11" t="str">
        <f aca="false">IF(OR(E1453="",E1453="!!!"),"",IF(NOT(ISNA(VLOOKUP(E1453,E$1:E1452,1,FALSE()))),"OLD",IF(AND(E1453&lt;&gt;"",E1453&lt;&gt;"!!!"),"NEW","")))</f>
        <v/>
      </c>
      <c r="G1453" s="12" t="str">
        <f aca="false">IF(OR(E1453="",E1453="!!!"),"",IF(OR(J1453=0,AND(J1453=1,K1453=1),AND(J1453=1,I1453="SBJ"),AND(J1453=1,I1453=0)),"?IN_FOCUS",IF(J1453&lt;=2,"?ACTIVATED",IF(J1453&lt;&gt;"","?FAMILIAR",IF(F1453="NEW",IF(ISNA(VLOOKUP(E1453,#REF!,1,FALSE())),"?TYPE_IDENTIFIABLE","?REFERENTIAL"),"_")))))</f>
        <v/>
      </c>
      <c r="H1453" s="13" t="str">
        <f aca="false">IF(J1453&lt;&gt;1,"",IF(I1453="SBJ","CB","?"))</f>
        <v/>
      </c>
      <c r="I1453" s="14" t="str">
        <f aca="false">IF(OR(E1453="",E1453="!!!",F1453="NEW"),"",INDEX(B$2:B1452,-1+SUMPRODUCT(MAX(ROW(E$2:E1452)*(E1453=E$2:E1452)))))</f>
        <v/>
      </c>
      <c r="J1453" s="15" t="str">
        <f aca="true">IF(OR(E1453="",E1453="!!!",F1453="NEW"),"",COUNTBLANK(OFFSET(A$1,,,SUMPRODUCT(MAX(ROW(E$2:E1453)*(E1453=E$2:E1453)))))-COUNTBLANK(OFFSET(A$1,,,SUMPRODUCT(MAX(ROW(E$1:E1452)*(E1453=E$1:E1452))))))</f>
        <v/>
      </c>
      <c r="K1453" s="15" t="str">
        <f aca="false">IF(OR(E1453="",E1453="!!!",F1453="NEW"),"",INDEX(J$1:J1452,SUMPRODUCT(MAX(ROW(E$1:E1452)*(E1453=E$1:E1452)))))</f>
        <v/>
      </c>
      <c r="L1453" s="16"/>
    </row>
    <row r="1454" customFormat="false" ht="12.8" hidden="false" customHeight="false" outlineLevel="0" collapsed="false">
      <c r="A1454" s="0" t="s">
        <v>219</v>
      </c>
      <c r="E1454" s="10" t="str">
        <f aca="false">IF(D1454="?OLD","!!!","")</f>
        <v/>
      </c>
      <c r="F1454" s="11" t="str">
        <f aca="false">IF(OR(E1454="",E1454="!!!"),"",IF(NOT(ISNA(VLOOKUP(E1454,E$1:E1453,1,FALSE()))),"OLD",IF(AND(E1454&lt;&gt;"",E1454&lt;&gt;"!!!"),"NEW","")))</f>
        <v/>
      </c>
      <c r="G1454" s="12" t="str">
        <f aca="false">IF(OR(E1454="",E1454="!!!"),"",IF(OR(J1454=0,AND(J1454=1,K1454=1),AND(J1454=1,I1454="SBJ"),AND(J1454=1,I1454=0)),"?IN_FOCUS",IF(J1454&lt;=2,"?ACTIVATED",IF(J1454&lt;&gt;"","?FAMILIAR",IF(F1454="NEW",IF(ISNA(VLOOKUP(E1454,#REF!,1,FALSE())),"?TYPE_IDENTIFIABLE","?REFERENTIAL"),"_")))))</f>
        <v/>
      </c>
      <c r="H1454" s="13" t="str">
        <f aca="false">IF(J1454&lt;&gt;1,"",IF(I1454="SBJ","CB","?"))</f>
        <v/>
      </c>
      <c r="I1454" s="14" t="str">
        <f aca="false">IF(OR(E1454="",E1454="!!!",F1454="NEW"),"",INDEX(B$2:B1453,-1+SUMPRODUCT(MAX(ROW(E$2:E1453)*(E1454=E$2:E1453)))))</f>
        <v/>
      </c>
      <c r="J1454" s="15" t="str">
        <f aca="true">IF(OR(E1454="",E1454="!!!",F1454="NEW"),"",COUNTBLANK(OFFSET(A$1,,,SUMPRODUCT(MAX(ROW(E$2:E1454)*(E1454=E$2:E1454)))))-COUNTBLANK(OFFSET(A$1,,,SUMPRODUCT(MAX(ROW(E$1:E1453)*(E1454=E$1:E1453))))))</f>
        <v/>
      </c>
      <c r="K1454" s="15" t="str">
        <f aca="false">IF(OR(E1454="",E1454="!!!",F1454="NEW"),"",INDEX(J$1:J1453,SUMPRODUCT(MAX(ROW(E$1:E1453)*(E1454=E$1:E1453)))))</f>
        <v/>
      </c>
      <c r="L1454" s="16"/>
    </row>
    <row r="1455" customFormat="false" ht="12.8" hidden="false" customHeight="false" outlineLevel="0" collapsed="false">
      <c r="A1455" s="0" t="s">
        <v>220</v>
      </c>
      <c r="B1455" s="0" t="s">
        <v>47</v>
      </c>
      <c r="C1455" s="0" t="s">
        <v>246</v>
      </c>
      <c r="D1455" s="0" t="s">
        <v>20</v>
      </c>
      <c r="E1455" s="10" t="s">
        <v>710</v>
      </c>
      <c r="F1455" s="11" t="str">
        <f aca="false">IF(OR(E1455="",E1455="!!!"),"",IF(NOT(ISNA(VLOOKUP(E1455,E$1:E1454,1,FALSE()))),"OLD",IF(AND(E1455&lt;&gt;"",E1455&lt;&gt;"!!!"),"NEW","")))</f>
        <v>NEW</v>
      </c>
      <c r="G1455" s="12" t="s">
        <v>510</v>
      </c>
      <c r="H1455" s="13" t="str">
        <f aca="false">IF(J1455&lt;&gt;1,"",IF(I1455="SBJ","CB","?"))</f>
        <v/>
      </c>
      <c r="I1455" s="14" t="str">
        <f aca="false">IF(OR(E1455="",E1455="!!!",F1455="NEW"),"",INDEX(B$2:B1454,-1+SUMPRODUCT(MAX(ROW(E$2:E1454)*(E1455=E$2:E1454)))))</f>
        <v/>
      </c>
      <c r="J1455" s="15" t="str">
        <f aca="true">IF(OR(E1455="",E1455="!!!",F1455="NEW"),"",COUNTBLANK(OFFSET(A$1,,,SUMPRODUCT(MAX(ROW(E$2:E1455)*(E1455=E$2:E1455)))))-COUNTBLANK(OFFSET(A$1,,,SUMPRODUCT(MAX(ROW(E$1:E1454)*(E1455=E$1:E1454))))))</f>
        <v/>
      </c>
      <c r="K1455" s="15" t="str">
        <f aca="false">IF(OR(E1455="",E1455="!!!",F1455="NEW"),"",INDEX(J$1:J1454,SUMPRODUCT(MAX(ROW(E$1:E1454)*(E1455=E$1:E1454)))))</f>
        <v/>
      </c>
      <c r="L1455" s="16"/>
    </row>
    <row r="1456" customFormat="false" ht="12.8" hidden="false" customHeight="false" outlineLevel="0" collapsed="false">
      <c r="A1456" s="0" t="s">
        <v>61</v>
      </c>
      <c r="E1456" s="10" t="str">
        <f aca="false">IF(D1456="?OLD","!!!","")</f>
        <v/>
      </c>
      <c r="F1456" s="11" t="str">
        <f aca="false">IF(OR(E1456="",E1456="!!!"),"",IF(NOT(ISNA(VLOOKUP(E1456,E$1:E1455,1,FALSE()))),"OLD",IF(AND(E1456&lt;&gt;"",E1456&lt;&gt;"!!!"),"NEW","")))</f>
        <v/>
      </c>
      <c r="G1456" s="12" t="str">
        <f aca="false">IF(OR(E1456="",E1456="!!!"),"",IF(OR(J1456=0,AND(J1456=1,K1456=1),AND(J1456=1,I1456="SBJ"),AND(J1456=1,I1456=0)),"?IN_FOCUS",IF(J1456&lt;=2,"?ACTIVATED",IF(J1456&lt;&gt;"","?FAMILIAR",IF(F1456="NEW",IF(ISNA(VLOOKUP(E1456,#REF!,1,FALSE())),"?TYPE_IDENTIFIABLE","?REFERENTIAL"),"_")))))</f>
        <v/>
      </c>
      <c r="H1456" s="13" t="str">
        <f aca="false">IF(J1456&lt;&gt;1,"",IF(I1456="SBJ","CB","?"))</f>
        <v/>
      </c>
      <c r="I1456" s="14" t="str">
        <f aca="false">IF(OR(E1456="",E1456="!!!",F1456="NEW"),"",INDEX(B$2:B1455,-1+SUMPRODUCT(MAX(ROW(E$2:E1455)*(E1456=E$2:E1455)))))</f>
        <v/>
      </c>
      <c r="J1456" s="15" t="str">
        <f aca="true">IF(OR(E1456="",E1456="!!!",F1456="NEW"),"",COUNTBLANK(OFFSET(A$1,,,SUMPRODUCT(MAX(ROW(E$2:E1456)*(E1456=E$2:E1456)))))-COUNTBLANK(OFFSET(A$1,,,SUMPRODUCT(MAX(ROW(E$1:E1455)*(E1456=E$1:E1455))))))</f>
        <v/>
      </c>
      <c r="K1456" s="15" t="str">
        <f aca="false">IF(OR(E1456="",E1456="!!!",F1456="NEW"),"",INDEX(J$1:J1455,SUMPRODUCT(MAX(ROW(E$1:E1455)*(E1456=E$1:E1455)))))</f>
        <v/>
      </c>
      <c r="L1456" s="16"/>
    </row>
    <row r="1457" customFormat="false" ht="12.8" hidden="false" customHeight="false" outlineLevel="0" collapsed="false">
      <c r="A1457" s="0" t="s">
        <v>228</v>
      </c>
      <c r="B1457" s="0" t="s">
        <v>96</v>
      </c>
      <c r="C1457" s="0" t="s">
        <v>48</v>
      </c>
      <c r="D1457" s="0" t="s">
        <v>20</v>
      </c>
      <c r="E1457" s="10" t="s">
        <v>705</v>
      </c>
      <c r="F1457" s="11" t="str">
        <f aca="false">IF(OR(E1457="",E1457="!!!"),"",IF(NOT(ISNA(VLOOKUP(E1457,E$1:E1456,1,FALSE()))),"OLD",IF(AND(E1457&lt;&gt;"",E1457&lt;&gt;"!!!"),"NEW","")))</f>
        <v>OLD</v>
      </c>
      <c r="G1457" s="12" t="s">
        <v>87</v>
      </c>
      <c r="H1457" s="13" t="str">
        <f aca="false">IF(J1457&lt;&gt;1,"",IF(I1457="SBJ","CB","?"))</f>
        <v/>
      </c>
      <c r="I1457" s="14" t="str">
        <f aca="false">IF(OR(E1457="",E1457="!!!",F1457="NEW"),"",INDEX(B$2:B1456,-1+SUMPRODUCT(MAX(ROW(E$2:E1456)*(E1457=E$2:E1456)))))</f>
        <v>other_2</v>
      </c>
      <c r="J1457" s="15" t="n">
        <f aca="true">IF(OR(E1457="",E1457="!!!",F1457="NEW"),"",COUNTBLANK(OFFSET(A$1,,,SUMPRODUCT(MAX(ROW(E$2:E1457)*(E1457=E$2:E1457)))))-COUNTBLANK(OFFSET(A$1,,,SUMPRODUCT(MAX(ROW(E$1:E1456)*(E1457=E$1:E1456))))))</f>
        <v>0</v>
      </c>
      <c r="K1457" s="15" t="str">
        <f aca="false">IF(OR(E1457="",E1457="!!!",F1457="NEW"),"",INDEX(J$1:J1456,SUMPRODUCT(MAX(ROW(E$1:E1456)*(E1457=E$1:E1456)))))</f>
        <v/>
      </c>
      <c r="L1457" s="16"/>
    </row>
    <row r="1458" customFormat="false" ht="12.8" hidden="false" customHeight="false" outlineLevel="0" collapsed="false">
      <c r="A1458" s="0" t="s">
        <v>380</v>
      </c>
      <c r="E1458" s="10" t="str">
        <f aca="false">IF(D1458="?OLD","!!!","")</f>
        <v/>
      </c>
      <c r="F1458" s="11" t="str">
        <f aca="false">IF(OR(E1458="",E1458="!!!"),"",IF(NOT(ISNA(VLOOKUP(E1458,E$1:E1457,1,FALSE()))),"OLD",IF(AND(E1458&lt;&gt;"",E1458&lt;&gt;"!!!"),"NEW","")))</f>
        <v/>
      </c>
      <c r="G1458" s="12" t="str">
        <f aca="false">IF(OR(E1458="",E1458="!!!"),"",IF(OR(J1458=0,AND(J1458=1,K1458=1),AND(J1458=1,I1458="SBJ"),AND(J1458=1,I1458=0)),"?IN_FOCUS",IF(J1458&lt;=2,"?ACTIVATED",IF(J1458&lt;&gt;"","?FAMILIAR",IF(F1458="NEW",IF(ISNA(VLOOKUP(E1458,#REF!,1,FALSE())),"?TYPE_IDENTIFIABLE","?REFERENTIAL"),"_")))))</f>
        <v/>
      </c>
      <c r="H1458" s="13" t="str">
        <f aca="false">IF(J1458&lt;&gt;1,"",IF(I1458="SBJ","CB","?"))</f>
        <v/>
      </c>
      <c r="I1458" s="14" t="str">
        <f aca="false">IF(OR(E1458="",E1458="!!!",F1458="NEW"),"",INDEX(B$2:B1457,-1+SUMPRODUCT(MAX(ROW(E$2:E1457)*(E1458=E$2:E1457)))))</f>
        <v/>
      </c>
      <c r="J1458" s="15" t="str">
        <f aca="true">IF(OR(E1458="",E1458="!!!",F1458="NEW"),"",COUNTBLANK(OFFSET(A$1,,,SUMPRODUCT(MAX(ROW(E$2:E1458)*(E1458=E$2:E1458)))))-COUNTBLANK(OFFSET(A$1,,,SUMPRODUCT(MAX(ROW(E$1:E1457)*(E1458=E$1:E1457))))))</f>
        <v/>
      </c>
      <c r="K1458" s="15" t="str">
        <f aca="false">IF(OR(E1458="",E1458="!!!",F1458="NEW"),"",INDEX(J$1:J1457,SUMPRODUCT(MAX(ROW(E$1:E1457)*(E1458=E$1:E1457)))))</f>
        <v/>
      </c>
      <c r="L1458" s="16"/>
    </row>
    <row r="1459" customFormat="false" ht="12.8" hidden="false" customHeight="false" outlineLevel="0" collapsed="false">
      <c r="A1459" s="0" t="s">
        <v>72</v>
      </c>
      <c r="B1459" s="0" t="s">
        <v>170</v>
      </c>
      <c r="C1459" s="0" t="s">
        <v>48</v>
      </c>
      <c r="D1459" s="0" t="s">
        <v>20</v>
      </c>
      <c r="E1459" s="10" t="s">
        <v>298</v>
      </c>
      <c r="F1459" s="11" t="str">
        <f aca="false">IF(OR(E1459="",E1459="!!!"),"",IF(NOT(ISNA(VLOOKUP(E1459,E$1:E1458,1,FALSE()))),"OLD",IF(AND(E1459&lt;&gt;"",E1459&lt;&gt;"!!!"),"NEW","")))</f>
        <v>OLD</v>
      </c>
      <c r="G1459" s="12" t="s">
        <v>80</v>
      </c>
      <c r="H1459" s="13" t="s">
        <v>7</v>
      </c>
      <c r="I1459" s="14" t="str">
        <f aca="false">IF(OR(E1459="",E1459="!!!",F1459="NEW"),"",INDEX(B$2:B1458,-1+SUMPRODUCT(MAX(ROW(E$2:E1458)*(E1459=E$2:E1458)))))</f>
        <v>other</v>
      </c>
      <c r="J1459" s="15" t="n">
        <f aca="true">IF(OR(E1459="",E1459="!!!",F1459="NEW"),"",COUNTBLANK(OFFSET(A$1,,,SUMPRODUCT(MAX(ROW(E$2:E1459)*(E1459=E$2:E1459)))))-COUNTBLANK(OFFSET(A$1,,,SUMPRODUCT(MAX(ROW(E$1:E1458)*(E1459=E$1:E1458))))))</f>
        <v>1</v>
      </c>
      <c r="K1459" s="15" t="n">
        <f aca="false">IF(OR(E1459="",E1459="!!!",F1459="NEW"),"",INDEX(J$1:J1458,SUMPRODUCT(MAX(ROW(E$1:E1458)*(E1459=E$1:E1458)))))</f>
        <v>4</v>
      </c>
      <c r="L1459" s="16"/>
    </row>
    <row r="1460" customFormat="false" ht="12.8" hidden="false" customHeight="false" outlineLevel="0" collapsed="false">
      <c r="A1460" s="0" t="s">
        <v>240</v>
      </c>
      <c r="E1460" s="10" t="str">
        <f aca="false">IF(D1460="?OLD","!!!","")</f>
        <v/>
      </c>
      <c r="F1460" s="11" t="str">
        <f aca="false">IF(OR(E1460="",E1460="!!!"),"",IF(NOT(ISNA(VLOOKUP(E1460,E$1:E1459,1,FALSE()))),"OLD",IF(AND(E1460&lt;&gt;"",E1460&lt;&gt;"!!!"),"NEW","")))</f>
        <v/>
      </c>
      <c r="G1460" s="12" t="str">
        <f aca="false">IF(OR(E1460="",E1460="!!!"),"",IF(OR(J1460=0,AND(J1460=1,K1460=1),AND(J1460=1,I1460="SBJ"),AND(J1460=1,I1460=0)),"?IN_FOCUS",IF(J1460&lt;=2,"?ACTIVATED",IF(J1460&lt;&gt;"","?FAMILIAR",IF(F1460="NEW",IF(ISNA(VLOOKUP(E1460,#REF!,1,FALSE())),"?TYPE_IDENTIFIABLE","?REFERENTIAL"),"_")))))</f>
        <v/>
      </c>
      <c r="H1460" s="13" t="str">
        <f aca="false">IF(J1460&lt;&gt;1,"",IF(I1460="SBJ","CB","?"))</f>
        <v/>
      </c>
      <c r="I1460" s="14" t="str">
        <f aca="false">IF(OR(E1460="",E1460="!!!",F1460="NEW"),"",INDEX(B$2:B1459,-1+SUMPRODUCT(MAX(ROW(E$2:E1459)*(E1460=E$2:E1459)))))</f>
        <v/>
      </c>
      <c r="J1460" s="15" t="str">
        <f aca="true">IF(OR(E1460="",E1460="!!!",F1460="NEW"),"",COUNTBLANK(OFFSET(A$1,,,SUMPRODUCT(MAX(ROW(E$2:E1460)*(E1460=E$2:E1460)))))-COUNTBLANK(OFFSET(A$1,,,SUMPRODUCT(MAX(ROW(E$1:E1459)*(E1460=E$1:E1459))))))</f>
        <v/>
      </c>
      <c r="K1460" s="15" t="str">
        <f aca="false">IF(OR(E1460="",E1460="!!!",F1460="NEW"),"",INDEX(J$1:J1459,SUMPRODUCT(MAX(ROW(E$1:E1459)*(E1460=E$1:E1459)))))</f>
        <v/>
      </c>
      <c r="L1460" s="16"/>
    </row>
    <row r="1461" customFormat="false" ht="12.8" hidden="false" customHeight="false" outlineLevel="0" collapsed="false">
      <c r="A1461" s="0" t="s">
        <v>711</v>
      </c>
      <c r="B1461" s="0" t="s">
        <v>75</v>
      </c>
      <c r="C1461" s="0" t="s">
        <v>104</v>
      </c>
      <c r="D1461" s="0" t="s">
        <v>20</v>
      </c>
      <c r="E1461" s="10"/>
      <c r="F1461" s="11" t="s">
        <v>247</v>
      </c>
      <c r="G1461" s="12" t="str">
        <f aca="false">IF(OR(E1461="",E1461="!!!"),"",IF(OR(J1461=0,AND(J1461=1,K1461=1),AND(J1461=1,I1461="SBJ"),AND(J1461=1,I1461=0)),"?IN_FOCUS",IF(J1461&lt;=2,"?ACTIVATED",IF(J1461&lt;&gt;"","?FAMILIAR",IF(F1461="NEW",IF(ISNA(VLOOKUP(E1461,#REF!,1,FALSE())),"?TYPE_IDENTIFIABLE","?REFERENTIAL"),"_")))))</f>
        <v/>
      </c>
      <c r="H1461" s="13" t="str">
        <f aca="false">IF(J1461&lt;&gt;1,"",IF(I1461="SBJ","CB","?"))</f>
        <v/>
      </c>
      <c r="I1461" s="14" t="str">
        <f aca="false">IF(OR(E1461="",E1461="!!!",F1461="NEW"),"",INDEX(B$2:B1460,-1+SUMPRODUCT(MAX(ROW(E$2:E1460)*(E1461=E$2:E1460)))))</f>
        <v/>
      </c>
      <c r="J1461" s="15" t="str">
        <f aca="true">IF(OR(E1461="",E1461="!!!",F1461="NEW"),"",COUNTBLANK(OFFSET(A$1,,,SUMPRODUCT(MAX(ROW(E$2:E1461)*(E1461=E$2:E1461)))))-COUNTBLANK(OFFSET(A$1,,,SUMPRODUCT(MAX(ROW(E$1:E1460)*(E1461=E$1:E1460))))))</f>
        <v/>
      </c>
      <c r="K1461" s="15" t="str">
        <f aca="false">IF(OR(E1461="",E1461="!!!",F1461="NEW"),"",INDEX(J$1:J1460,SUMPRODUCT(MAX(ROW(E$1:E1460)*(E1461=E$1:E1460)))))</f>
        <v/>
      </c>
      <c r="L1461" s="16"/>
    </row>
    <row r="1462" customFormat="false" ht="12.8" hidden="false" customHeight="false" outlineLevel="0" collapsed="false">
      <c r="A1462" s="0" t="s">
        <v>76</v>
      </c>
      <c r="E1462" s="10" t="str">
        <f aca="false">IF(D1462="?OLD","!!!","")</f>
        <v/>
      </c>
      <c r="F1462" s="11" t="str">
        <f aca="false">IF(OR(E1462="",E1462="!!!"),"",IF(NOT(ISNA(VLOOKUP(E1462,E$1:E1461,1,FALSE()))),"OLD",IF(AND(E1462&lt;&gt;"",E1462&lt;&gt;"!!!"),"NEW","")))</f>
        <v/>
      </c>
      <c r="G1462" s="12" t="str">
        <f aca="false">IF(OR(E1462="",E1462="!!!"),"",IF(OR(J1462=0,AND(J1462=1,K1462=1),AND(J1462=1,I1462="SBJ"),AND(J1462=1,I1462=0)),"?IN_FOCUS",IF(J1462&lt;=2,"?ACTIVATED",IF(J1462&lt;&gt;"","?FAMILIAR",IF(F1462="NEW",IF(ISNA(VLOOKUP(E1462,#REF!,1,FALSE())),"?TYPE_IDENTIFIABLE","?REFERENTIAL"),"_")))))</f>
        <v/>
      </c>
      <c r="H1462" s="13" t="str">
        <f aca="false">IF(J1462&lt;&gt;1,"",IF(I1462="SBJ","CB","?"))</f>
        <v/>
      </c>
      <c r="I1462" s="14" t="str">
        <f aca="false">IF(OR(E1462="",E1462="!!!",F1462="NEW"),"",INDEX(B$2:B1461,-1+SUMPRODUCT(MAX(ROW(E$2:E1461)*(E1462=E$2:E1461)))))</f>
        <v/>
      </c>
      <c r="J1462" s="15" t="str">
        <f aca="true">IF(OR(E1462="",E1462="!!!",F1462="NEW"),"",COUNTBLANK(OFFSET(A$1,,,SUMPRODUCT(MAX(ROW(E$2:E1462)*(E1462=E$2:E1462)))))-COUNTBLANK(OFFSET(A$1,,,SUMPRODUCT(MAX(ROW(E$1:E1461)*(E1462=E$1:E1461))))))</f>
        <v/>
      </c>
      <c r="K1462" s="15" t="str">
        <f aca="false">IF(OR(E1462="",E1462="!!!",F1462="NEW"),"",INDEX(J$1:J1461,SUMPRODUCT(MAX(ROW(E$1:E1461)*(E1462=E$1:E1461)))))</f>
        <v/>
      </c>
      <c r="L1462" s="16"/>
    </row>
    <row r="1463" customFormat="false" ht="12.8" hidden="false" customHeight="false" outlineLevel="0" collapsed="false">
      <c r="E1463" s="10" t="str">
        <f aca="false">IF(D1463="?OLD","!!!","")</f>
        <v/>
      </c>
      <c r="F1463" s="11" t="str">
        <f aca="false">IF(OR(E1463="",E1463="!!!"),"",IF(NOT(ISNA(VLOOKUP(E1463,E$1:E1462,1,FALSE()))),"OLD",IF(AND(E1463&lt;&gt;"",E1463&lt;&gt;"!!!"),"NEW","")))</f>
        <v/>
      </c>
      <c r="G1463" s="12" t="str">
        <f aca="false">IF(OR(E1463="",E1463="!!!"),"",IF(OR(J1463=0,AND(J1463=1,K1463=1),AND(J1463=1,I1463="SBJ"),AND(J1463=1,I1463=0)),"?IN_FOCUS",IF(J1463&lt;=2,"?ACTIVATED",IF(J1463&lt;&gt;"","?FAMILIAR",IF(F1463="NEW",IF(ISNA(VLOOKUP(E1463,#REF!,1,FALSE())),"?TYPE_IDENTIFIABLE","?REFERENTIAL"),"_")))))</f>
        <v/>
      </c>
      <c r="H1463" s="13" t="str">
        <f aca="false">IF(J1463&lt;&gt;1,"",IF(I1463="SBJ","CB","?"))</f>
        <v/>
      </c>
      <c r="I1463" s="14" t="str">
        <f aca="false">IF(OR(E1463="",E1463="!!!",F1463="NEW"),"",INDEX(B$2:B1462,-1+SUMPRODUCT(MAX(ROW(E$2:E1462)*(E1463=E$2:E1462)))))</f>
        <v/>
      </c>
      <c r="J1463" s="15" t="str">
        <f aca="true">IF(OR(E1463="",E1463="!!!",F1463="NEW"),"",COUNTBLANK(OFFSET(A$1,,,SUMPRODUCT(MAX(ROW(E$2:E1463)*(E1463=E$2:E1463)))))-COUNTBLANK(OFFSET(A$1,,,SUMPRODUCT(MAX(ROW(E$1:E1462)*(E1463=E$1:E1462))))))</f>
        <v/>
      </c>
      <c r="K1463" s="15" t="str">
        <f aca="false">IF(OR(E1463="",E1463="!!!",F1463="NEW"),"",INDEX(J$1:J1462,SUMPRODUCT(MAX(ROW(E$1:E1462)*(E1463=E$1:E1462)))))</f>
        <v/>
      </c>
      <c r="L1463" s="16"/>
    </row>
    <row r="1464" customFormat="false" ht="12.8" hidden="false" customHeight="false" outlineLevel="0" collapsed="false">
      <c r="A1464" s="0" t="s">
        <v>503</v>
      </c>
      <c r="E1464" s="10" t="str">
        <f aca="false">IF(D1464="?OLD","!!!","")</f>
        <v/>
      </c>
      <c r="F1464" s="11" t="str">
        <f aca="false">IF(OR(E1464="",E1464="!!!"),"",IF(NOT(ISNA(VLOOKUP(E1464,E$1:E1463,1,FALSE()))),"OLD",IF(AND(E1464&lt;&gt;"",E1464&lt;&gt;"!!!"),"NEW","")))</f>
        <v/>
      </c>
      <c r="G1464" s="12" t="str">
        <f aca="false">IF(OR(E1464="",E1464="!!!"),"",IF(OR(J1464=0,AND(J1464=1,K1464=1),AND(J1464=1,I1464="SBJ"),AND(J1464=1,I1464=0)),"?IN_FOCUS",IF(J1464&lt;=2,"?ACTIVATED",IF(J1464&lt;&gt;"","?FAMILIAR",IF(F1464="NEW",IF(ISNA(VLOOKUP(E1464,#REF!,1,FALSE())),"?TYPE_IDENTIFIABLE","?REFERENTIAL"),"_")))))</f>
        <v/>
      </c>
      <c r="H1464" s="13" t="str">
        <f aca="false">IF(J1464&lt;&gt;1,"",IF(I1464="SBJ","CB","?"))</f>
        <v/>
      </c>
      <c r="I1464" s="14" t="str">
        <f aca="false">IF(OR(E1464="",E1464="!!!",F1464="NEW"),"",INDEX(B$2:B1463,-1+SUMPRODUCT(MAX(ROW(E$2:E1463)*(E1464=E$2:E1463)))))</f>
        <v/>
      </c>
      <c r="J1464" s="15" t="str">
        <f aca="true">IF(OR(E1464="",E1464="!!!",F1464="NEW"),"",COUNTBLANK(OFFSET(A$1,,,SUMPRODUCT(MAX(ROW(E$2:E1464)*(E1464=E$2:E1464)))))-COUNTBLANK(OFFSET(A$1,,,SUMPRODUCT(MAX(ROW(E$1:E1463)*(E1464=E$1:E1463))))))</f>
        <v/>
      </c>
      <c r="K1464" s="15" t="str">
        <f aca="false">IF(OR(E1464="",E1464="!!!",F1464="NEW"),"",INDEX(J$1:J1463,SUMPRODUCT(MAX(ROW(E$1:E1463)*(E1464=E$1:E1463)))))</f>
        <v/>
      </c>
      <c r="L1464" s="16"/>
    </row>
    <row r="1465" customFormat="false" ht="12.8" hidden="false" customHeight="false" outlineLevel="0" collapsed="false">
      <c r="A1465" s="0" t="s">
        <v>712</v>
      </c>
      <c r="E1465" s="10" t="str">
        <f aca="false">IF(D1465="?OLD","!!!","")</f>
        <v/>
      </c>
      <c r="F1465" s="11" t="str">
        <f aca="false">IF(OR(E1465="",E1465="!!!"),"",IF(NOT(ISNA(VLOOKUP(E1465,E$1:E1464,1,FALSE()))),"OLD",IF(AND(E1465&lt;&gt;"",E1465&lt;&gt;"!!!"),"NEW","")))</f>
        <v/>
      </c>
      <c r="G1465" s="12" t="str">
        <f aca="false">IF(OR(E1465="",E1465="!!!"),"",IF(OR(J1465=0,AND(J1465=1,K1465=1),AND(J1465=1,I1465="SBJ"),AND(J1465=1,I1465=0)),"?IN_FOCUS",IF(J1465&lt;=2,"?ACTIVATED",IF(J1465&lt;&gt;"","?FAMILIAR",IF(F1465="NEW",IF(ISNA(VLOOKUP(E1465,#REF!,1,FALSE())),"?TYPE_IDENTIFIABLE","?REFERENTIAL"),"_")))))</f>
        <v/>
      </c>
      <c r="H1465" s="13" t="str">
        <f aca="false">IF(J1465&lt;&gt;1,"",IF(I1465="SBJ","CB","?"))</f>
        <v/>
      </c>
      <c r="I1465" s="14" t="str">
        <f aca="false">IF(OR(E1465="",E1465="!!!",F1465="NEW"),"",INDEX(B$2:B1464,-1+SUMPRODUCT(MAX(ROW(E$2:E1464)*(E1465=E$2:E1464)))))</f>
        <v/>
      </c>
      <c r="J1465" s="15" t="str">
        <f aca="true">IF(OR(E1465="",E1465="!!!",F1465="NEW"),"",COUNTBLANK(OFFSET(A$1,,,SUMPRODUCT(MAX(ROW(E$2:E1465)*(E1465=E$2:E1465)))))-COUNTBLANK(OFFSET(A$1,,,SUMPRODUCT(MAX(ROW(E$1:E1464)*(E1465=E$1:E1464))))))</f>
        <v/>
      </c>
      <c r="K1465" s="15" t="str">
        <f aca="false">IF(OR(E1465="",E1465="!!!",F1465="NEW"),"",INDEX(J$1:J1464,SUMPRODUCT(MAX(ROW(E$1:E1464)*(E1465=E$1:E1464)))))</f>
        <v/>
      </c>
      <c r="L1465" s="16"/>
    </row>
    <row r="1466" customFormat="false" ht="12.8" hidden="false" customHeight="false" outlineLevel="0" collapsed="false">
      <c r="A1466" s="0" t="s">
        <v>713</v>
      </c>
      <c r="E1466" s="10" t="str">
        <f aca="false">IF(D1466="?OLD","!!!","")</f>
        <v/>
      </c>
      <c r="F1466" s="11" t="str">
        <f aca="false">IF(OR(E1466="",E1466="!!!"),"",IF(NOT(ISNA(VLOOKUP(E1466,E$1:E1465,1,FALSE()))),"OLD",IF(AND(E1466&lt;&gt;"",E1466&lt;&gt;"!!!"),"NEW","")))</f>
        <v/>
      </c>
      <c r="G1466" s="12" t="str">
        <f aca="false">IF(OR(E1466="",E1466="!!!"),"",IF(OR(J1466=0,AND(J1466=1,K1466=1),AND(J1466=1,I1466="SBJ"),AND(J1466=1,I1466=0)),"?IN_FOCUS",IF(J1466&lt;=2,"?ACTIVATED",IF(J1466&lt;&gt;"","?FAMILIAR",IF(F1466="NEW",IF(ISNA(VLOOKUP(E1466,#REF!,1,FALSE())),"?TYPE_IDENTIFIABLE","?REFERENTIAL"),"_")))))</f>
        <v/>
      </c>
      <c r="H1466" s="13" t="str">
        <f aca="false">IF(J1466&lt;&gt;1,"",IF(I1466="SBJ","CB","?"))</f>
        <v/>
      </c>
      <c r="I1466" s="14" t="str">
        <f aca="false">IF(OR(E1466="",E1466="!!!",F1466="NEW"),"",INDEX(B$2:B1465,-1+SUMPRODUCT(MAX(ROW(E$2:E1465)*(E1466=E$2:E1465)))))</f>
        <v/>
      </c>
      <c r="J1466" s="15" t="str">
        <f aca="true">IF(OR(E1466="",E1466="!!!",F1466="NEW"),"",COUNTBLANK(OFFSET(A$1,,,SUMPRODUCT(MAX(ROW(E$2:E1466)*(E1466=E$2:E1466)))))-COUNTBLANK(OFFSET(A$1,,,SUMPRODUCT(MAX(ROW(E$1:E1465)*(E1466=E$1:E1465))))))</f>
        <v/>
      </c>
      <c r="K1466" s="15" t="str">
        <f aca="false">IF(OR(E1466="",E1466="!!!",F1466="NEW"),"",INDEX(J$1:J1465,SUMPRODUCT(MAX(ROW(E$1:E1465)*(E1466=E$1:E1465)))))</f>
        <v/>
      </c>
      <c r="L1466" s="16"/>
    </row>
    <row r="1467" customFormat="false" ht="12.8" hidden="false" customHeight="false" outlineLevel="0" collapsed="false">
      <c r="A1467" s="0" t="s">
        <v>46</v>
      </c>
      <c r="B1467" s="0" t="s">
        <v>34</v>
      </c>
      <c r="C1467" s="0" t="s">
        <v>48</v>
      </c>
      <c r="D1467" s="0" t="s">
        <v>20</v>
      </c>
      <c r="E1467" s="10" t="s">
        <v>49</v>
      </c>
      <c r="F1467" s="11" t="str">
        <f aca="false">IF(OR(E1467="",E1467="!!!"),"",IF(NOT(ISNA(VLOOKUP(E1467,E$1:E1466,1,FALSE()))),"OLD",IF(AND(E1467&lt;&gt;"",E1467&lt;&gt;"!!!"),"NEW","")))</f>
        <v>OLD</v>
      </c>
      <c r="G1467" s="12" t="s">
        <v>87</v>
      </c>
      <c r="H1467" s="13" t="s">
        <v>7</v>
      </c>
      <c r="I1467" s="14" t="str">
        <f aca="false">IF(OR(E1467="",E1467="!!!",F1467="NEW"),"",INDEX(B$2:B1466,-1+SUMPRODUCT(MAX(ROW(E$2:E1466)*(E1467=E$2:E1466)))))</f>
        <v>other_3</v>
      </c>
      <c r="J1467" s="15" t="n">
        <f aca="true">IF(OR(E1467="",E1467="!!!",F1467="NEW"),"",COUNTBLANK(OFFSET(A$1,,,SUMPRODUCT(MAX(ROW(E$2:E1467)*(E1467=E$2:E1467)))))-COUNTBLANK(OFFSET(A$1,,,SUMPRODUCT(MAX(ROW(E$1:E1466)*(E1467=E$1:E1466))))))</f>
        <v>1</v>
      </c>
      <c r="K1467" s="15" t="n">
        <f aca="false">IF(OR(E1467="",E1467="!!!",F1467="NEW"),"",INDEX(J$1:J1466,SUMPRODUCT(MAX(ROW(E$1:E1466)*(E1467=E$1:E1466)))))</f>
        <v>0</v>
      </c>
      <c r="L1467" s="16"/>
    </row>
    <row r="1468" customFormat="false" ht="12.8" hidden="false" customHeight="false" outlineLevel="0" collapsed="false">
      <c r="A1468" s="0" t="s">
        <v>714</v>
      </c>
      <c r="E1468" s="10" t="str">
        <f aca="false">IF(D1468="?OLD","!!!","")</f>
        <v/>
      </c>
      <c r="F1468" s="11" t="str">
        <f aca="false">IF(OR(E1468="",E1468="!!!"),"",IF(NOT(ISNA(VLOOKUP(E1468,E$1:E1467,1,FALSE()))),"OLD",IF(AND(E1468&lt;&gt;"",E1468&lt;&gt;"!!!"),"NEW","")))</f>
        <v/>
      </c>
      <c r="G1468" s="12" t="str">
        <f aca="false">IF(OR(E1468="",E1468="!!!"),"",IF(OR(J1468=0,AND(J1468=1,K1468=1),AND(J1468=1,I1468="SBJ"),AND(J1468=1,I1468=0)),"?IN_FOCUS",IF(J1468&lt;=2,"?ACTIVATED",IF(J1468&lt;&gt;"","?FAMILIAR",IF(F1468="NEW",IF(ISNA(VLOOKUP(E1468,#REF!,1,FALSE())),"?TYPE_IDENTIFIABLE","?REFERENTIAL"),"_")))))</f>
        <v/>
      </c>
      <c r="H1468" s="13" t="str">
        <f aca="false">IF(J1468&lt;&gt;1,"",IF(I1468="SBJ","CB","?"))</f>
        <v/>
      </c>
      <c r="I1468" s="14" t="str">
        <f aca="false">IF(OR(E1468="",E1468="!!!",F1468="NEW"),"",INDEX(B$2:B1467,-1+SUMPRODUCT(MAX(ROW(E$2:E1467)*(E1468=E$2:E1467)))))</f>
        <v/>
      </c>
      <c r="J1468" s="15" t="str">
        <f aca="true">IF(OR(E1468="",E1468="!!!",F1468="NEW"),"",COUNTBLANK(OFFSET(A$1,,,SUMPRODUCT(MAX(ROW(E$2:E1468)*(E1468=E$2:E1468)))))-COUNTBLANK(OFFSET(A$1,,,SUMPRODUCT(MAX(ROW(E$1:E1467)*(E1468=E$1:E1467))))))</f>
        <v/>
      </c>
      <c r="K1468" s="15" t="str">
        <f aca="false">IF(OR(E1468="",E1468="!!!",F1468="NEW"),"",INDEX(J$1:J1467,SUMPRODUCT(MAX(ROW(E$1:E1467)*(E1468=E$1:E1467)))))</f>
        <v/>
      </c>
      <c r="L1468" s="16"/>
    </row>
    <row r="1469" customFormat="false" ht="12.8" hidden="false" customHeight="false" outlineLevel="0" collapsed="false">
      <c r="A1469" s="0" t="s">
        <v>44</v>
      </c>
      <c r="E1469" s="10" t="str">
        <f aca="false">IF(D1469="?OLD","!!!","")</f>
        <v/>
      </c>
      <c r="F1469" s="11" t="str">
        <f aca="false">IF(OR(E1469="",E1469="!!!"),"",IF(NOT(ISNA(VLOOKUP(E1469,E$1:E1468,1,FALSE()))),"OLD",IF(AND(E1469&lt;&gt;"",E1469&lt;&gt;"!!!"),"NEW","")))</f>
        <v/>
      </c>
      <c r="G1469" s="12" t="str">
        <f aca="false">IF(OR(E1469="",E1469="!!!"),"",IF(OR(J1469=0,AND(J1469=1,K1469=1),AND(J1469=1,I1469="SBJ"),AND(J1469=1,I1469=0)),"?IN_FOCUS",IF(J1469&lt;=2,"?ACTIVATED",IF(J1469&lt;&gt;"","?FAMILIAR",IF(F1469="NEW",IF(ISNA(VLOOKUP(E1469,#REF!,1,FALSE())),"?TYPE_IDENTIFIABLE","?REFERENTIAL"),"_")))))</f>
        <v/>
      </c>
      <c r="H1469" s="13" t="str">
        <f aca="false">IF(J1469&lt;&gt;1,"",IF(I1469="SBJ","CB","?"))</f>
        <v/>
      </c>
      <c r="I1469" s="14" t="str">
        <f aca="false">IF(OR(E1469="",E1469="!!!",F1469="NEW"),"",INDEX(B$2:B1468,-1+SUMPRODUCT(MAX(ROW(E$2:E1468)*(E1469=E$2:E1468)))))</f>
        <v/>
      </c>
      <c r="J1469" s="15" t="str">
        <f aca="true">IF(OR(E1469="",E1469="!!!",F1469="NEW"),"",COUNTBLANK(OFFSET(A$1,,,SUMPRODUCT(MAX(ROW(E$2:E1469)*(E1469=E$2:E1469)))))-COUNTBLANK(OFFSET(A$1,,,SUMPRODUCT(MAX(ROW(E$1:E1468)*(E1469=E$1:E1468))))))</f>
        <v/>
      </c>
      <c r="K1469" s="15" t="str">
        <f aca="false">IF(OR(E1469="",E1469="!!!",F1469="NEW"),"",INDEX(J$1:J1468,SUMPRODUCT(MAX(ROW(E$1:E1468)*(E1469=E$1:E1468)))))</f>
        <v/>
      </c>
      <c r="L1469" s="16"/>
    </row>
    <row r="1470" customFormat="false" ht="12.8" hidden="false" customHeight="false" outlineLevel="0" collapsed="false">
      <c r="A1470" s="0" t="s">
        <v>516</v>
      </c>
      <c r="E1470" s="10" t="str">
        <f aca="false">IF(D1470="?OLD","!!!","")</f>
        <v/>
      </c>
      <c r="F1470" s="11" t="str">
        <f aca="false">IF(OR(E1470="",E1470="!!!"),"",IF(NOT(ISNA(VLOOKUP(E1470,E$1:E1469,1,FALSE()))),"OLD",IF(AND(E1470&lt;&gt;"",E1470&lt;&gt;"!!!"),"NEW","")))</f>
        <v/>
      </c>
      <c r="G1470" s="12" t="str">
        <f aca="false">IF(OR(E1470="",E1470="!!!"),"",IF(OR(J1470=0,AND(J1470=1,K1470=1),AND(J1470=1,I1470="SBJ"),AND(J1470=1,I1470=0)),"?IN_FOCUS",IF(J1470&lt;=2,"?ACTIVATED",IF(J1470&lt;&gt;"","?FAMILIAR",IF(F1470="NEW",IF(ISNA(VLOOKUP(E1470,#REF!,1,FALSE())),"?TYPE_IDENTIFIABLE","?REFERENTIAL"),"_")))))</f>
        <v/>
      </c>
      <c r="H1470" s="13" t="str">
        <f aca="false">IF(J1470&lt;&gt;1,"",IF(I1470="SBJ","CB","?"))</f>
        <v/>
      </c>
      <c r="I1470" s="14" t="str">
        <f aca="false">IF(OR(E1470="",E1470="!!!",F1470="NEW"),"",INDEX(B$2:B1469,-1+SUMPRODUCT(MAX(ROW(E$2:E1469)*(E1470=E$2:E1469)))))</f>
        <v/>
      </c>
      <c r="J1470" s="15" t="str">
        <f aca="true">IF(OR(E1470="",E1470="!!!",F1470="NEW"),"",COUNTBLANK(OFFSET(A$1,,,SUMPRODUCT(MAX(ROW(E$2:E1470)*(E1470=E$2:E1470)))))-COUNTBLANK(OFFSET(A$1,,,SUMPRODUCT(MAX(ROW(E$1:E1469)*(E1470=E$1:E1469))))))</f>
        <v/>
      </c>
      <c r="K1470" s="15" t="str">
        <f aca="false">IF(OR(E1470="",E1470="!!!",F1470="NEW"),"",INDEX(J$1:J1469,SUMPRODUCT(MAX(ROW(E$1:E1469)*(E1470=E$1:E1469)))))</f>
        <v/>
      </c>
      <c r="L1470" s="16"/>
    </row>
    <row r="1471" customFormat="false" ht="12.8" hidden="false" customHeight="false" outlineLevel="0" collapsed="false">
      <c r="A1471" s="0" t="s">
        <v>177</v>
      </c>
      <c r="B1471" s="0" t="s">
        <v>47</v>
      </c>
      <c r="C1471" s="0" t="s">
        <v>48</v>
      </c>
      <c r="D1471" s="0" t="s">
        <v>20</v>
      </c>
      <c r="E1471" s="10" t="s">
        <v>715</v>
      </c>
      <c r="F1471" s="11" t="str">
        <f aca="false">IF(OR(E1471="",E1471="!!!"),"",IF(NOT(ISNA(VLOOKUP(E1471,E$1:E1470,1,FALSE()))),"OLD",IF(AND(E1471&lt;&gt;"",E1471&lt;&gt;"!!!"),"NEW","")))</f>
        <v>NEW</v>
      </c>
      <c r="G1471" s="12" t="s">
        <v>67</v>
      </c>
      <c r="H1471" s="13" t="str">
        <f aca="false">IF(J1471&lt;&gt;1,"",IF(I1471="SBJ","CB","?"))</f>
        <v/>
      </c>
      <c r="I1471" s="14" t="str">
        <f aca="false">IF(OR(E1471="",E1471="!!!",F1471="NEW"),"",INDEX(B$2:B1470,-1+SUMPRODUCT(MAX(ROW(E$2:E1470)*(E1471=E$2:E1470)))))</f>
        <v/>
      </c>
      <c r="J1471" s="15" t="str">
        <f aca="true">IF(OR(E1471="",E1471="!!!",F1471="NEW"),"",COUNTBLANK(OFFSET(A$1,,,SUMPRODUCT(MAX(ROW(E$2:E1471)*(E1471=E$2:E1471)))))-COUNTBLANK(OFFSET(A$1,,,SUMPRODUCT(MAX(ROW(E$1:E1470)*(E1471=E$1:E1470))))))</f>
        <v/>
      </c>
      <c r="K1471" s="15" t="str">
        <f aca="false">IF(OR(E1471="",E1471="!!!",F1471="NEW"),"",INDEX(J$1:J1470,SUMPRODUCT(MAX(ROW(E$1:E1470)*(E1471=E$1:E1470)))))</f>
        <v/>
      </c>
      <c r="L1471" s="16"/>
    </row>
    <row r="1472" customFormat="false" ht="12.8" hidden="false" customHeight="false" outlineLevel="0" collapsed="false">
      <c r="A1472" s="0" t="s">
        <v>54</v>
      </c>
      <c r="E1472" s="10" t="str">
        <f aca="false">IF(D1472="?OLD","!!!","")</f>
        <v/>
      </c>
      <c r="F1472" s="11" t="str">
        <f aca="false">IF(OR(E1472="",E1472="!!!"),"",IF(NOT(ISNA(VLOOKUP(E1472,E$1:E1471,1,FALSE()))),"OLD",IF(AND(E1472&lt;&gt;"",E1472&lt;&gt;"!!!"),"NEW","")))</f>
        <v/>
      </c>
      <c r="G1472" s="12" t="str">
        <f aca="false">IF(OR(E1472="",E1472="!!!"),"",IF(OR(J1472=0,AND(J1472=1,K1472=1),AND(J1472=1,I1472="SBJ"),AND(J1472=1,I1472=0)),"?IN_FOCUS",IF(J1472&lt;=2,"?ACTIVATED",IF(J1472&lt;&gt;"","?FAMILIAR",IF(F1472="NEW",IF(ISNA(VLOOKUP(E1472,#REF!,1,FALSE())),"?TYPE_IDENTIFIABLE","?REFERENTIAL"),"_")))))</f>
        <v/>
      </c>
      <c r="H1472" s="13" t="str">
        <f aca="false">IF(J1472&lt;&gt;1,"",IF(I1472="SBJ","CB","?"))</f>
        <v/>
      </c>
      <c r="I1472" s="14" t="str">
        <f aca="false">IF(OR(E1472="",E1472="!!!",F1472="NEW"),"",INDEX(B$2:B1471,-1+SUMPRODUCT(MAX(ROW(E$2:E1471)*(E1472=E$2:E1471)))))</f>
        <v/>
      </c>
      <c r="J1472" s="15" t="str">
        <f aca="true">IF(OR(E1472="",E1472="!!!",F1472="NEW"),"",COUNTBLANK(OFFSET(A$1,,,SUMPRODUCT(MAX(ROW(E$2:E1472)*(E1472=E$2:E1472)))))-COUNTBLANK(OFFSET(A$1,,,SUMPRODUCT(MAX(ROW(E$1:E1471)*(E1472=E$1:E1471))))))</f>
        <v/>
      </c>
      <c r="K1472" s="15" t="str">
        <f aca="false">IF(OR(E1472="",E1472="!!!",F1472="NEW"),"",INDEX(J$1:J1471,SUMPRODUCT(MAX(ROW(E$1:E1471)*(E1472=E$1:E1471)))))</f>
        <v/>
      </c>
      <c r="L1472" s="16"/>
    </row>
    <row r="1473" customFormat="false" ht="12.8" hidden="false" customHeight="false" outlineLevel="0" collapsed="false">
      <c r="A1473" s="0" t="s">
        <v>716</v>
      </c>
      <c r="E1473" s="10" t="str">
        <f aca="false">IF(D1473="?OLD","!!!","")</f>
        <v/>
      </c>
      <c r="F1473" s="11" t="str">
        <f aca="false">IF(OR(E1473="",E1473="!!!"),"",IF(NOT(ISNA(VLOOKUP(E1473,E$1:E1472,1,FALSE()))),"OLD",IF(AND(E1473&lt;&gt;"",E1473&lt;&gt;"!!!"),"NEW","")))</f>
        <v/>
      </c>
      <c r="G1473" s="12" t="str">
        <f aca="false">IF(OR(E1473="",E1473="!!!"),"",IF(OR(J1473=0,AND(J1473=1,K1473=1),AND(J1473=1,I1473="SBJ"),AND(J1473=1,I1473=0)),"?IN_FOCUS",IF(J1473&lt;=2,"?ACTIVATED",IF(J1473&lt;&gt;"","?FAMILIAR",IF(F1473="NEW",IF(ISNA(VLOOKUP(E1473,#REF!,1,FALSE())),"?TYPE_IDENTIFIABLE","?REFERENTIAL"),"_")))))</f>
        <v/>
      </c>
      <c r="H1473" s="13" t="str">
        <f aca="false">IF(J1473&lt;&gt;1,"",IF(I1473="SBJ","CB","?"))</f>
        <v/>
      </c>
      <c r="I1473" s="14" t="str">
        <f aca="false">IF(OR(E1473="",E1473="!!!",F1473="NEW"),"",INDEX(B$2:B1472,-1+SUMPRODUCT(MAX(ROW(E$2:E1472)*(E1473=E$2:E1472)))))</f>
        <v/>
      </c>
      <c r="J1473" s="15" t="str">
        <f aca="true">IF(OR(E1473="",E1473="!!!",F1473="NEW"),"",COUNTBLANK(OFFSET(A$1,,,SUMPRODUCT(MAX(ROW(E$2:E1473)*(E1473=E$2:E1473)))))-COUNTBLANK(OFFSET(A$1,,,SUMPRODUCT(MAX(ROW(E$1:E1472)*(E1473=E$1:E1472))))))</f>
        <v/>
      </c>
      <c r="K1473" s="15" t="str">
        <f aca="false">IF(OR(E1473="",E1473="!!!",F1473="NEW"),"",INDEX(J$1:J1472,SUMPRODUCT(MAX(ROW(E$1:E1472)*(E1473=E$1:E1472)))))</f>
        <v/>
      </c>
      <c r="L1473" s="16"/>
    </row>
    <row r="1474" customFormat="false" ht="12.8" hidden="false" customHeight="false" outlineLevel="0" collapsed="false">
      <c r="A1474" s="0" t="s">
        <v>60</v>
      </c>
      <c r="E1474" s="10" t="str">
        <f aca="false">IF(D1474="?OLD","!!!","")</f>
        <v/>
      </c>
      <c r="F1474" s="11" t="str">
        <f aca="false">IF(OR(E1474="",E1474="!!!"),"",IF(NOT(ISNA(VLOOKUP(E1474,E$1:E1473,1,FALSE()))),"OLD",IF(AND(E1474&lt;&gt;"",E1474&lt;&gt;"!!!"),"NEW","")))</f>
        <v/>
      </c>
      <c r="G1474" s="12" t="str">
        <f aca="false">IF(OR(E1474="",E1474="!!!"),"",IF(OR(J1474=0,AND(J1474=1,K1474=1),AND(J1474=1,I1474="SBJ"),AND(J1474=1,I1474=0)),"?IN_FOCUS",IF(J1474&lt;=2,"?ACTIVATED",IF(J1474&lt;&gt;"","?FAMILIAR",IF(F1474="NEW",IF(ISNA(VLOOKUP(E1474,#REF!,1,FALSE())),"?TYPE_IDENTIFIABLE","?REFERENTIAL"),"_")))))</f>
        <v/>
      </c>
      <c r="H1474" s="13" t="str">
        <f aca="false">IF(J1474&lt;&gt;1,"",IF(I1474="SBJ","CB","?"))</f>
        <v/>
      </c>
      <c r="I1474" s="14" t="str">
        <f aca="false">IF(OR(E1474="",E1474="!!!",F1474="NEW"),"",INDEX(B$2:B1473,-1+SUMPRODUCT(MAX(ROW(E$2:E1473)*(E1474=E$2:E1473)))))</f>
        <v/>
      </c>
      <c r="J1474" s="15" t="str">
        <f aca="true">IF(OR(E1474="",E1474="!!!",F1474="NEW"),"",COUNTBLANK(OFFSET(A$1,,,SUMPRODUCT(MAX(ROW(E$2:E1474)*(E1474=E$2:E1474)))))-COUNTBLANK(OFFSET(A$1,,,SUMPRODUCT(MAX(ROW(E$1:E1473)*(E1474=E$1:E1473))))))</f>
        <v/>
      </c>
      <c r="K1474" s="15" t="str">
        <f aca="false">IF(OR(E1474="",E1474="!!!",F1474="NEW"),"",INDEX(J$1:J1473,SUMPRODUCT(MAX(ROW(E$1:E1473)*(E1474=E$1:E1473)))))</f>
        <v/>
      </c>
      <c r="L1474" s="16"/>
    </row>
    <row r="1475" customFormat="false" ht="12.8" hidden="false" customHeight="false" outlineLevel="0" collapsed="false">
      <c r="A1475" s="0" t="s">
        <v>717</v>
      </c>
      <c r="E1475" s="10" t="str">
        <f aca="false">IF(D1475="?OLD","!!!","")</f>
        <v/>
      </c>
      <c r="F1475" s="11" t="str">
        <f aca="false">IF(OR(E1475="",E1475="!!!"),"",IF(NOT(ISNA(VLOOKUP(E1475,E$1:E1474,1,FALSE()))),"OLD",IF(AND(E1475&lt;&gt;"",E1475&lt;&gt;"!!!"),"NEW","")))</f>
        <v/>
      </c>
      <c r="G1475" s="12" t="str">
        <f aca="false">IF(OR(E1475="",E1475="!!!"),"",IF(OR(J1475=0,AND(J1475=1,K1475=1),AND(J1475=1,I1475="SBJ"),AND(J1475=1,I1475=0)),"?IN_FOCUS",IF(J1475&lt;=2,"?ACTIVATED",IF(J1475&lt;&gt;"","?FAMILIAR",IF(F1475="NEW",IF(ISNA(VLOOKUP(E1475,#REF!,1,FALSE())),"?TYPE_IDENTIFIABLE","?REFERENTIAL"),"_")))))</f>
        <v/>
      </c>
      <c r="H1475" s="13" t="str">
        <f aca="false">IF(J1475&lt;&gt;1,"",IF(I1475="SBJ","CB","?"))</f>
        <v/>
      </c>
      <c r="I1475" s="14" t="str">
        <f aca="false">IF(OR(E1475="",E1475="!!!",F1475="NEW"),"",INDEX(B$2:B1474,-1+SUMPRODUCT(MAX(ROW(E$2:E1474)*(E1475=E$2:E1474)))))</f>
        <v/>
      </c>
      <c r="J1475" s="15" t="str">
        <f aca="true">IF(OR(E1475="",E1475="!!!",F1475="NEW"),"",COUNTBLANK(OFFSET(A$1,,,SUMPRODUCT(MAX(ROW(E$2:E1475)*(E1475=E$2:E1475)))))-COUNTBLANK(OFFSET(A$1,,,SUMPRODUCT(MAX(ROW(E$1:E1474)*(E1475=E$1:E1474))))))</f>
        <v/>
      </c>
      <c r="K1475" s="15" t="str">
        <f aca="false">IF(OR(E1475="",E1475="!!!",F1475="NEW"),"",INDEX(J$1:J1474,SUMPRODUCT(MAX(ROW(E$1:E1474)*(E1475=E$1:E1474)))))</f>
        <v/>
      </c>
      <c r="L1475" s="16"/>
    </row>
    <row r="1476" customFormat="false" ht="12.8" hidden="false" customHeight="false" outlineLevel="0" collapsed="false">
      <c r="A1476" s="0" t="s">
        <v>115</v>
      </c>
      <c r="B1476" s="0" t="s">
        <v>59</v>
      </c>
      <c r="C1476" s="0" t="s">
        <v>31</v>
      </c>
      <c r="E1476" s="10" t="str">
        <f aca="false">IF(D1476="?OLD","!!!","")</f>
        <v/>
      </c>
      <c r="F1476" s="11" t="str">
        <f aca="false">IF(OR(E1476="",E1476="!!!"),"",IF(NOT(ISNA(VLOOKUP(E1476,E$1:E1475,1,FALSE()))),"OLD",IF(AND(E1476&lt;&gt;"",E1476&lt;&gt;"!!!"),"NEW","")))</f>
        <v/>
      </c>
      <c r="G1476" s="12" t="str">
        <f aca="false">IF(OR(E1476="",E1476="!!!"),"",IF(OR(J1476=0,AND(J1476=1,K1476=1),AND(J1476=1,I1476="SBJ"),AND(J1476=1,I1476=0)),"?IN_FOCUS",IF(J1476&lt;=2,"?ACTIVATED",IF(J1476&lt;&gt;"","?FAMILIAR",IF(F1476="NEW",IF(ISNA(VLOOKUP(E1476,#REF!,1,FALSE())),"?TYPE_IDENTIFIABLE","?REFERENTIAL"),"_")))))</f>
        <v/>
      </c>
      <c r="H1476" s="13" t="str">
        <f aca="false">IF(J1476&lt;&gt;1,"",IF(I1476="SBJ","CB","?"))</f>
        <v/>
      </c>
      <c r="I1476" s="14" t="str">
        <f aca="false">IF(OR(E1476="",E1476="!!!",F1476="NEW"),"",INDEX(B$2:B1475,-1+SUMPRODUCT(MAX(ROW(E$2:E1475)*(E1476=E$2:E1475)))))</f>
        <v/>
      </c>
      <c r="J1476" s="15" t="str">
        <f aca="true">IF(OR(E1476="",E1476="!!!",F1476="NEW"),"",COUNTBLANK(OFFSET(A$1,,,SUMPRODUCT(MAX(ROW(E$2:E1476)*(E1476=E$2:E1476)))))-COUNTBLANK(OFFSET(A$1,,,SUMPRODUCT(MAX(ROW(E$1:E1475)*(E1476=E$1:E1475))))))</f>
        <v/>
      </c>
      <c r="K1476" s="15" t="str">
        <f aca="false">IF(OR(E1476="",E1476="!!!",F1476="NEW"),"",INDEX(J$1:J1475,SUMPRODUCT(MAX(ROW(E$1:E1475)*(E1476=E$1:E1475)))))</f>
        <v/>
      </c>
      <c r="L1476" s="16"/>
    </row>
    <row r="1477" customFormat="false" ht="12.8" hidden="false" customHeight="false" outlineLevel="0" collapsed="false">
      <c r="A1477" s="0" t="s">
        <v>44</v>
      </c>
      <c r="E1477" s="10" t="str">
        <f aca="false">IF(D1477="?OLD","!!!","")</f>
        <v/>
      </c>
      <c r="F1477" s="11" t="str">
        <f aca="false">IF(OR(E1477="",E1477="!!!"),"",IF(NOT(ISNA(VLOOKUP(E1477,E$1:E1476,1,FALSE()))),"OLD",IF(AND(E1477&lt;&gt;"",E1477&lt;&gt;"!!!"),"NEW","")))</f>
        <v/>
      </c>
      <c r="G1477" s="12" t="str">
        <f aca="false">IF(OR(E1477="",E1477="!!!"),"",IF(OR(J1477=0,AND(J1477=1,K1477=1),AND(J1477=1,I1477="SBJ"),AND(J1477=1,I1477=0)),"?IN_FOCUS",IF(J1477&lt;=2,"?ACTIVATED",IF(J1477&lt;&gt;"","?FAMILIAR",IF(F1477="NEW",IF(ISNA(VLOOKUP(E1477,#REF!,1,FALSE())),"?TYPE_IDENTIFIABLE","?REFERENTIAL"),"_")))))</f>
        <v/>
      </c>
      <c r="H1477" s="13" t="str">
        <f aca="false">IF(J1477&lt;&gt;1,"",IF(I1477="SBJ","CB","?"))</f>
        <v/>
      </c>
      <c r="I1477" s="14" t="str">
        <f aca="false">IF(OR(E1477="",E1477="!!!",F1477="NEW"),"",INDEX(B$2:B1476,-1+SUMPRODUCT(MAX(ROW(E$2:E1476)*(E1477=E$2:E1476)))))</f>
        <v/>
      </c>
      <c r="J1477" s="15" t="str">
        <f aca="true">IF(OR(E1477="",E1477="!!!",F1477="NEW"),"",COUNTBLANK(OFFSET(A$1,,,SUMPRODUCT(MAX(ROW(E$2:E1477)*(E1477=E$2:E1477)))))-COUNTBLANK(OFFSET(A$1,,,SUMPRODUCT(MAX(ROW(E$1:E1476)*(E1477=E$1:E1476))))))</f>
        <v/>
      </c>
      <c r="K1477" s="15" t="str">
        <f aca="false">IF(OR(E1477="",E1477="!!!",F1477="NEW"),"",INDEX(J$1:J1476,SUMPRODUCT(MAX(ROW(E$1:E1476)*(E1477=E$1:E1476)))))</f>
        <v/>
      </c>
      <c r="L1477" s="16"/>
    </row>
    <row r="1478" customFormat="false" ht="12.8" hidden="false" customHeight="false" outlineLevel="0" collapsed="false">
      <c r="A1478" s="0" t="s">
        <v>108</v>
      </c>
      <c r="E1478" s="10" t="str">
        <f aca="false">IF(D1478="?OLD","!!!","")</f>
        <v/>
      </c>
      <c r="F1478" s="11" t="str">
        <f aca="false">IF(OR(E1478="",E1478="!!!"),"",IF(NOT(ISNA(VLOOKUP(E1478,E$1:E1477,1,FALSE()))),"OLD",IF(AND(E1478&lt;&gt;"",E1478&lt;&gt;"!!!"),"NEW","")))</f>
        <v/>
      </c>
      <c r="G1478" s="12" t="str">
        <f aca="false">IF(OR(E1478="",E1478="!!!"),"",IF(OR(J1478=0,AND(J1478=1,K1478=1),AND(J1478=1,I1478="SBJ"),AND(J1478=1,I1478=0)),"?IN_FOCUS",IF(J1478&lt;=2,"?ACTIVATED",IF(J1478&lt;&gt;"","?FAMILIAR",IF(F1478="NEW",IF(ISNA(VLOOKUP(E1478,#REF!,1,FALSE())),"?TYPE_IDENTIFIABLE","?REFERENTIAL"),"_")))))</f>
        <v/>
      </c>
      <c r="H1478" s="13" t="str">
        <f aca="false">IF(J1478&lt;&gt;1,"",IF(I1478="SBJ","CB","?"))</f>
        <v/>
      </c>
      <c r="I1478" s="14" t="str">
        <f aca="false">IF(OR(E1478="",E1478="!!!",F1478="NEW"),"",INDEX(B$2:B1477,-1+SUMPRODUCT(MAX(ROW(E$2:E1477)*(E1478=E$2:E1477)))))</f>
        <v/>
      </c>
      <c r="J1478" s="15" t="str">
        <f aca="true">IF(OR(E1478="",E1478="!!!",F1478="NEW"),"",COUNTBLANK(OFFSET(A$1,,,SUMPRODUCT(MAX(ROW(E$2:E1478)*(E1478=E$2:E1478)))))-COUNTBLANK(OFFSET(A$1,,,SUMPRODUCT(MAX(ROW(E$1:E1477)*(E1478=E$1:E1477))))))</f>
        <v/>
      </c>
      <c r="K1478" s="15" t="str">
        <f aca="false">IF(OR(E1478="",E1478="!!!",F1478="NEW"),"",INDEX(J$1:J1477,SUMPRODUCT(MAX(ROW(E$1:E1477)*(E1478=E$1:E1477)))))</f>
        <v/>
      </c>
      <c r="L1478" s="16"/>
    </row>
    <row r="1479" customFormat="false" ht="12.8" hidden="false" customHeight="false" outlineLevel="0" collapsed="false">
      <c r="A1479" s="0" t="s">
        <v>161</v>
      </c>
      <c r="B1479" s="0" t="s">
        <v>53</v>
      </c>
      <c r="C1479" s="0" t="s">
        <v>48</v>
      </c>
      <c r="D1479" s="0" t="s">
        <v>20</v>
      </c>
      <c r="E1479" s="10" t="s">
        <v>715</v>
      </c>
      <c r="F1479" s="11" t="str">
        <f aca="false">IF(OR(E1479="",E1479="!!!"),"",IF(NOT(ISNA(VLOOKUP(E1479,E$1:E1478,1,FALSE()))),"OLD",IF(AND(E1479&lt;&gt;"",E1479&lt;&gt;"!!!"),"NEW","")))</f>
        <v>OLD</v>
      </c>
      <c r="G1479" s="12" t="s">
        <v>87</v>
      </c>
      <c r="H1479" s="13" t="str">
        <f aca="false">IF(J1479&lt;&gt;1,"",IF(I1479="SBJ","CB","?"))</f>
        <v/>
      </c>
      <c r="I1479" s="14" t="str">
        <f aca="false">IF(OR(E1479="",E1479="!!!",F1479="NEW"),"",INDEX(B$2:B1478,-1+SUMPRODUCT(MAX(ROW(E$2:E1478)*(E1479=E$2:E1478)))))</f>
        <v>SBJ_2</v>
      </c>
      <c r="J1479" s="15" t="n">
        <f aca="true">IF(OR(E1479="",E1479="!!!",F1479="NEW"),"",COUNTBLANK(OFFSET(A$1,,,SUMPRODUCT(MAX(ROW(E$2:E1479)*(E1479=E$2:E1479)))))-COUNTBLANK(OFFSET(A$1,,,SUMPRODUCT(MAX(ROW(E$1:E1478)*(E1479=E$1:E1478))))))</f>
        <v>0</v>
      </c>
      <c r="K1479" s="15" t="str">
        <f aca="false">IF(OR(E1479="",E1479="!!!",F1479="NEW"),"",INDEX(J$1:J1478,SUMPRODUCT(MAX(ROW(E$1:E1478)*(E1479=E$1:E1478)))))</f>
        <v/>
      </c>
      <c r="L1479" s="16"/>
    </row>
    <row r="1480" customFormat="false" ht="12.8" hidden="false" customHeight="false" outlineLevel="0" collapsed="false">
      <c r="A1480" s="0" t="s">
        <v>239</v>
      </c>
      <c r="E1480" s="10" t="str">
        <f aca="false">IF(D1480="?OLD","!!!","")</f>
        <v/>
      </c>
      <c r="F1480" s="11" t="str">
        <f aca="false">IF(OR(E1480="",E1480="!!!"),"",IF(NOT(ISNA(VLOOKUP(E1480,E$1:E1479,1,FALSE()))),"OLD",IF(AND(E1480&lt;&gt;"",E1480&lt;&gt;"!!!"),"NEW","")))</f>
        <v/>
      </c>
      <c r="G1480" s="12" t="str">
        <f aca="false">IF(OR(E1480="",E1480="!!!"),"",IF(OR(J1480=0,AND(J1480=1,K1480=1),AND(J1480=1,I1480="SBJ"),AND(J1480=1,I1480=0)),"?IN_FOCUS",IF(J1480&lt;=2,"?ACTIVATED",IF(J1480&lt;&gt;"","?FAMILIAR",IF(F1480="NEW",IF(ISNA(VLOOKUP(E1480,#REF!,1,FALSE())),"?TYPE_IDENTIFIABLE","?REFERENTIAL"),"_")))))</f>
        <v/>
      </c>
      <c r="H1480" s="13" t="str">
        <f aca="false">IF(J1480&lt;&gt;1,"",IF(I1480="SBJ","CB","?"))</f>
        <v/>
      </c>
      <c r="I1480" s="14" t="str">
        <f aca="false">IF(OR(E1480="",E1480="!!!",F1480="NEW"),"",INDEX(B$2:B1479,-1+SUMPRODUCT(MAX(ROW(E$2:E1479)*(E1480=E$2:E1479)))))</f>
        <v/>
      </c>
      <c r="J1480" s="15" t="str">
        <f aca="true">IF(OR(E1480="",E1480="!!!",F1480="NEW"),"",COUNTBLANK(OFFSET(A$1,,,SUMPRODUCT(MAX(ROW(E$2:E1480)*(E1480=E$2:E1480)))))-COUNTBLANK(OFFSET(A$1,,,SUMPRODUCT(MAX(ROW(E$1:E1479)*(E1480=E$1:E1479))))))</f>
        <v/>
      </c>
      <c r="K1480" s="15" t="str">
        <f aca="false">IF(OR(E1480="",E1480="!!!",F1480="NEW"),"",INDEX(J$1:J1479,SUMPRODUCT(MAX(ROW(E$1:E1479)*(E1480=E$1:E1479)))))</f>
        <v/>
      </c>
      <c r="L1480" s="16"/>
    </row>
    <row r="1481" customFormat="false" ht="12.8" hidden="false" customHeight="false" outlineLevel="0" collapsed="false">
      <c r="A1481" s="0" t="s">
        <v>55</v>
      </c>
      <c r="E1481" s="10" t="str">
        <f aca="false">IF(D1481="?OLD","!!!","")</f>
        <v/>
      </c>
      <c r="F1481" s="11" t="str">
        <f aca="false">IF(OR(E1481="",E1481="!!!"),"",IF(NOT(ISNA(VLOOKUP(E1481,E$1:E1480,1,FALSE()))),"OLD",IF(AND(E1481&lt;&gt;"",E1481&lt;&gt;"!!!"),"NEW","")))</f>
        <v/>
      </c>
      <c r="G1481" s="12" t="str">
        <f aca="false">IF(OR(E1481="",E1481="!!!"),"",IF(OR(J1481=0,AND(J1481=1,K1481=1),AND(J1481=1,I1481="SBJ"),AND(J1481=1,I1481=0)),"?IN_FOCUS",IF(J1481&lt;=2,"?ACTIVATED",IF(J1481&lt;&gt;"","?FAMILIAR",IF(F1481="NEW",IF(ISNA(VLOOKUP(E1481,#REF!,1,FALSE())),"?TYPE_IDENTIFIABLE","?REFERENTIAL"),"_")))))</f>
        <v/>
      </c>
      <c r="H1481" s="13" t="str">
        <f aca="false">IF(J1481&lt;&gt;1,"",IF(I1481="SBJ","CB","?"))</f>
        <v/>
      </c>
      <c r="I1481" s="14" t="str">
        <f aca="false">IF(OR(E1481="",E1481="!!!",F1481="NEW"),"",INDEX(B$2:B1480,-1+SUMPRODUCT(MAX(ROW(E$2:E1480)*(E1481=E$2:E1480)))))</f>
        <v/>
      </c>
      <c r="J1481" s="15" t="str">
        <f aca="true">IF(OR(E1481="",E1481="!!!",F1481="NEW"),"",COUNTBLANK(OFFSET(A$1,,,SUMPRODUCT(MAX(ROW(E$2:E1481)*(E1481=E$2:E1481)))))-COUNTBLANK(OFFSET(A$1,,,SUMPRODUCT(MAX(ROW(E$1:E1480)*(E1481=E$1:E1480))))))</f>
        <v/>
      </c>
      <c r="K1481" s="15" t="str">
        <f aca="false">IF(OR(E1481="",E1481="!!!",F1481="NEW"),"",INDEX(J$1:J1480,SUMPRODUCT(MAX(ROW(E$1:E1480)*(E1481=E$1:E1480)))))</f>
        <v/>
      </c>
      <c r="L1481" s="16"/>
    </row>
    <row r="1482" customFormat="false" ht="12.8" hidden="false" customHeight="false" outlineLevel="0" collapsed="false">
      <c r="A1482" s="0" t="s">
        <v>239</v>
      </c>
      <c r="E1482" s="10" t="str">
        <f aca="false">IF(D1482="?OLD","!!!","")</f>
        <v/>
      </c>
      <c r="F1482" s="11" t="str">
        <f aca="false">IF(OR(E1482="",E1482="!!!"),"",IF(NOT(ISNA(VLOOKUP(E1482,E$1:E1481,1,FALSE()))),"OLD",IF(AND(E1482&lt;&gt;"",E1482&lt;&gt;"!!!"),"NEW","")))</f>
        <v/>
      </c>
      <c r="G1482" s="12" t="str">
        <f aca="false">IF(OR(E1482="",E1482="!!!"),"",IF(OR(J1482=0,AND(J1482=1,K1482=1),AND(J1482=1,I1482="SBJ"),AND(J1482=1,I1482=0)),"?IN_FOCUS",IF(J1482&lt;=2,"?ACTIVATED",IF(J1482&lt;&gt;"","?FAMILIAR",IF(F1482="NEW",IF(ISNA(VLOOKUP(E1482,#REF!,1,FALSE())),"?TYPE_IDENTIFIABLE","?REFERENTIAL"),"_")))))</f>
        <v/>
      </c>
      <c r="H1482" s="13" t="str">
        <f aca="false">IF(J1482&lt;&gt;1,"",IF(I1482="SBJ","CB","?"))</f>
        <v/>
      </c>
      <c r="I1482" s="14" t="str">
        <f aca="false">IF(OR(E1482="",E1482="!!!",F1482="NEW"),"",INDEX(B$2:B1481,-1+SUMPRODUCT(MAX(ROW(E$2:E1481)*(E1482=E$2:E1481)))))</f>
        <v/>
      </c>
      <c r="J1482" s="15" t="str">
        <f aca="true">IF(OR(E1482="",E1482="!!!",F1482="NEW"),"",COUNTBLANK(OFFSET(A$1,,,SUMPRODUCT(MAX(ROW(E$2:E1482)*(E1482=E$2:E1482)))))-COUNTBLANK(OFFSET(A$1,,,SUMPRODUCT(MAX(ROW(E$1:E1481)*(E1482=E$1:E1481))))))</f>
        <v/>
      </c>
      <c r="K1482" s="15" t="str">
        <f aca="false">IF(OR(E1482="",E1482="!!!",F1482="NEW"),"",INDEX(J$1:J1481,SUMPRODUCT(MAX(ROW(E$1:E1481)*(E1482=E$1:E1481)))))</f>
        <v/>
      </c>
      <c r="L1482" s="16"/>
    </row>
    <row r="1483" customFormat="false" ht="12.8" hidden="false" customHeight="false" outlineLevel="0" collapsed="false">
      <c r="A1483" s="0" t="s">
        <v>51</v>
      </c>
      <c r="B1483" s="0" t="s">
        <v>59</v>
      </c>
      <c r="C1483" s="0" t="s">
        <v>215</v>
      </c>
      <c r="D1483" s="0" t="s">
        <v>20</v>
      </c>
      <c r="E1483" s="10" t="s">
        <v>298</v>
      </c>
      <c r="F1483" s="11" t="str">
        <f aca="false">IF(OR(E1483="",E1483="!!!"),"",IF(NOT(ISNA(VLOOKUP(E1483,E$1:E1482,1,FALSE()))),"OLD",IF(AND(E1483&lt;&gt;"",E1483&lt;&gt;"!!!"),"NEW","")))</f>
        <v>OLD</v>
      </c>
      <c r="G1483" s="12" t="s">
        <v>87</v>
      </c>
      <c r="H1483" s="13"/>
      <c r="I1483" s="14" t="str">
        <f aca="false">IF(OR(E1483="",E1483="!!!",F1483="NEW"),"",INDEX(B$2:B1482,-1+SUMPRODUCT(MAX(ROW(E$2:E1482)*(E1483=E$2:E1482)))))</f>
        <v>OBJ_2</v>
      </c>
      <c r="J1483" s="15" t="n">
        <f aca="true">IF(OR(E1483="",E1483="!!!",F1483="NEW"),"",COUNTBLANK(OFFSET(A$1,,,SUMPRODUCT(MAX(ROW(E$2:E1483)*(E1483=E$2:E1483)))))-COUNTBLANK(OFFSET(A$1,,,SUMPRODUCT(MAX(ROW(E$1:E1482)*(E1483=E$1:E1482))))))</f>
        <v>1</v>
      </c>
      <c r="K1483" s="15" t="n">
        <f aca="false">IF(OR(E1483="",E1483="!!!",F1483="NEW"),"",INDEX(J$1:J1482,SUMPRODUCT(MAX(ROW(E$1:E1482)*(E1483=E$1:E1482)))))</f>
        <v>1</v>
      </c>
      <c r="L1483" s="16" t="s">
        <v>718</v>
      </c>
    </row>
    <row r="1484" customFormat="false" ht="12.8" hidden="false" customHeight="false" outlineLevel="0" collapsed="false">
      <c r="A1484" s="0" t="s">
        <v>118</v>
      </c>
      <c r="E1484" s="10" t="str">
        <f aca="false">IF(D1484="?OLD","!!!","")</f>
        <v/>
      </c>
      <c r="F1484" s="11" t="str">
        <f aca="false">IF(OR(E1484="",E1484="!!!"),"",IF(NOT(ISNA(VLOOKUP(E1484,E$1:E1483,1,FALSE()))),"OLD",IF(AND(E1484&lt;&gt;"",E1484&lt;&gt;"!!!"),"NEW","")))</f>
        <v/>
      </c>
      <c r="G1484" s="12" t="str">
        <f aca="false">IF(OR(E1484="",E1484="!!!"),"",IF(OR(J1484=0,AND(J1484=1,K1484=1),AND(J1484=1,I1484="SBJ"),AND(J1484=1,I1484=0)),"?IN_FOCUS",IF(J1484&lt;=2,"?ACTIVATED",IF(J1484&lt;&gt;"","?FAMILIAR",IF(F1484="NEW",IF(ISNA(VLOOKUP(E1484,#REF!,1,FALSE())),"?TYPE_IDENTIFIABLE","?REFERENTIAL"),"_")))))</f>
        <v/>
      </c>
      <c r="H1484" s="13" t="str">
        <f aca="false">IF(J1484&lt;&gt;1,"",IF(I1484="SBJ","CB","?"))</f>
        <v/>
      </c>
      <c r="I1484" s="14" t="str">
        <f aca="false">IF(OR(E1484="",E1484="!!!",F1484="NEW"),"",INDEX(B$2:B1483,-1+SUMPRODUCT(MAX(ROW(E$2:E1483)*(E1484=E$2:E1483)))))</f>
        <v/>
      </c>
      <c r="J1484" s="15" t="str">
        <f aca="true">IF(OR(E1484="",E1484="!!!",F1484="NEW"),"",COUNTBLANK(OFFSET(A$1,,,SUMPRODUCT(MAX(ROW(E$2:E1484)*(E1484=E$2:E1484)))))-COUNTBLANK(OFFSET(A$1,,,SUMPRODUCT(MAX(ROW(E$1:E1483)*(E1484=E$1:E1483))))))</f>
        <v/>
      </c>
      <c r="K1484" s="15" t="str">
        <f aca="false">IF(OR(E1484="",E1484="!!!",F1484="NEW"),"",INDEX(J$1:J1483,SUMPRODUCT(MAX(ROW(E$1:E1483)*(E1484=E$1:E1483)))))</f>
        <v/>
      </c>
      <c r="L1484" s="16"/>
    </row>
    <row r="1485" customFormat="false" ht="12.8" hidden="false" customHeight="false" outlineLevel="0" collapsed="false">
      <c r="A1485" s="0" t="s">
        <v>44</v>
      </c>
      <c r="E1485" s="10" t="str">
        <f aca="false">IF(D1485="?OLD","!!!","")</f>
        <v/>
      </c>
      <c r="F1485" s="11" t="str">
        <f aca="false">IF(OR(E1485="",E1485="!!!"),"",IF(NOT(ISNA(VLOOKUP(E1485,E$1:E1484,1,FALSE()))),"OLD",IF(AND(E1485&lt;&gt;"",E1485&lt;&gt;"!!!"),"NEW","")))</f>
        <v/>
      </c>
      <c r="G1485" s="12" t="str">
        <f aca="false">IF(OR(E1485="",E1485="!!!"),"",IF(OR(J1485=0,AND(J1485=1,K1485=1),AND(J1485=1,I1485="SBJ"),AND(J1485=1,I1485=0)),"?IN_FOCUS",IF(J1485&lt;=2,"?ACTIVATED",IF(J1485&lt;&gt;"","?FAMILIAR",IF(F1485="NEW",IF(ISNA(VLOOKUP(E1485,#REF!,1,FALSE())),"?TYPE_IDENTIFIABLE","?REFERENTIAL"),"_")))))</f>
        <v/>
      </c>
      <c r="H1485" s="13" t="str">
        <f aca="false">IF(J1485&lt;&gt;1,"",IF(I1485="SBJ","CB","?"))</f>
        <v/>
      </c>
      <c r="I1485" s="14" t="str">
        <f aca="false">IF(OR(E1485="",E1485="!!!",F1485="NEW"),"",INDEX(B$2:B1484,-1+SUMPRODUCT(MAX(ROW(E$2:E1484)*(E1485=E$2:E1484)))))</f>
        <v/>
      </c>
      <c r="J1485" s="15" t="str">
        <f aca="true">IF(OR(E1485="",E1485="!!!",F1485="NEW"),"",COUNTBLANK(OFFSET(A$1,,,SUMPRODUCT(MAX(ROW(E$2:E1485)*(E1485=E$2:E1485)))))-COUNTBLANK(OFFSET(A$1,,,SUMPRODUCT(MAX(ROW(E$1:E1484)*(E1485=E$1:E1484))))))</f>
        <v/>
      </c>
      <c r="K1485" s="15" t="str">
        <f aca="false">IF(OR(E1485="",E1485="!!!",F1485="NEW"),"",INDEX(J$1:J1484,SUMPRODUCT(MAX(ROW(E$1:E1484)*(E1485=E$1:E1484)))))</f>
        <v/>
      </c>
      <c r="L1485" s="16"/>
    </row>
    <row r="1486" customFormat="false" ht="12.8" hidden="false" customHeight="false" outlineLevel="0" collapsed="false">
      <c r="A1486" s="0" t="s">
        <v>516</v>
      </c>
      <c r="E1486" s="10" t="str">
        <f aca="false">IF(D1486="?OLD","!!!","")</f>
        <v/>
      </c>
      <c r="F1486" s="11" t="str">
        <f aca="false">IF(OR(E1486="",E1486="!!!"),"",IF(NOT(ISNA(VLOOKUP(E1486,E$1:E1485,1,FALSE()))),"OLD",IF(AND(E1486&lt;&gt;"",E1486&lt;&gt;"!!!"),"NEW","")))</f>
        <v/>
      </c>
      <c r="G1486" s="12" t="str">
        <f aca="false">IF(OR(E1486="",E1486="!!!"),"",IF(OR(J1486=0,AND(J1486=1,K1486=1),AND(J1486=1,I1486="SBJ"),AND(J1486=1,I1486=0)),"?IN_FOCUS",IF(J1486&lt;=2,"?ACTIVATED",IF(J1486&lt;&gt;"","?FAMILIAR",IF(F1486="NEW",IF(ISNA(VLOOKUP(E1486,#REF!,1,FALSE())),"?TYPE_IDENTIFIABLE","?REFERENTIAL"),"_")))))</f>
        <v/>
      </c>
      <c r="H1486" s="13" t="str">
        <f aca="false">IF(J1486&lt;&gt;1,"",IF(I1486="SBJ","CB","?"))</f>
        <v/>
      </c>
      <c r="I1486" s="14" t="str">
        <f aca="false">IF(OR(E1486="",E1486="!!!",F1486="NEW"),"",INDEX(B$2:B1485,-1+SUMPRODUCT(MAX(ROW(E$2:E1485)*(E1486=E$2:E1485)))))</f>
        <v/>
      </c>
      <c r="J1486" s="15" t="str">
        <f aca="true">IF(OR(E1486="",E1486="!!!",F1486="NEW"),"",COUNTBLANK(OFFSET(A$1,,,SUMPRODUCT(MAX(ROW(E$2:E1486)*(E1486=E$2:E1486)))))-COUNTBLANK(OFFSET(A$1,,,SUMPRODUCT(MAX(ROW(E$1:E1485)*(E1486=E$1:E1485))))))</f>
        <v/>
      </c>
      <c r="K1486" s="15" t="str">
        <f aca="false">IF(OR(E1486="",E1486="!!!",F1486="NEW"),"",INDEX(J$1:J1485,SUMPRODUCT(MAX(ROW(E$1:E1485)*(E1486=E$1:E1485)))))</f>
        <v/>
      </c>
      <c r="L1486" s="16"/>
    </row>
    <row r="1487" customFormat="false" ht="12.8" hidden="false" customHeight="false" outlineLevel="0" collapsed="false">
      <c r="A1487" s="0" t="s">
        <v>397</v>
      </c>
      <c r="E1487" s="10" t="str">
        <f aca="false">IF(D1487="?OLD","!!!","")</f>
        <v/>
      </c>
      <c r="F1487" s="11" t="str">
        <f aca="false">IF(OR(E1487="",E1487="!!!"),"",IF(NOT(ISNA(VLOOKUP(E1487,E$1:E1486,1,FALSE()))),"OLD",IF(AND(E1487&lt;&gt;"",E1487&lt;&gt;"!!!"),"NEW","")))</f>
        <v/>
      </c>
      <c r="G1487" s="12" t="str">
        <f aca="false">IF(OR(E1487="",E1487="!!!"),"",IF(OR(J1487=0,AND(J1487=1,K1487=1),AND(J1487=1,I1487="SBJ"),AND(J1487=1,I1487=0)),"?IN_FOCUS",IF(J1487&lt;=2,"?ACTIVATED",IF(J1487&lt;&gt;"","?FAMILIAR",IF(F1487="NEW",IF(ISNA(VLOOKUP(E1487,#REF!,1,FALSE())),"?TYPE_IDENTIFIABLE","?REFERENTIAL"),"_")))))</f>
        <v/>
      </c>
      <c r="H1487" s="13" t="str">
        <f aca="false">IF(J1487&lt;&gt;1,"",IF(I1487="SBJ","CB","?"))</f>
        <v/>
      </c>
      <c r="I1487" s="14" t="str">
        <f aca="false">IF(OR(E1487="",E1487="!!!",F1487="NEW"),"",INDEX(B$2:B1486,-1+SUMPRODUCT(MAX(ROW(E$2:E1486)*(E1487=E$2:E1486)))))</f>
        <v/>
      </c>
      <c r="J1487" s="15" t="str">
        <f aca="true">IF(OR(E1487="",E1487="!!!",F1487="NEW"),"",COUNTBLANK(OFFSET(A$1,,,SUMPRODUCT(MAX(ROW(E$2:E1487)*(E1487=E$2:E1487)))))-COUNTBLANK(OFFSET(A$1,,,SUMPRODUCT(MAX(ROW(E$1:E1486)*(E1487=E$1:E1486))))))</f>
        <v/>
      </c>
      <c r="K1487" s="15" t="str">
        <f aca="false">IF(OR(E1487="",E1487="!!!",F1487="NEW"),"",INDEX(J$1:J1486,SUMPRODUCT(MAX(ROW(E$1:E1486)*(E1487=E$1:E1486)))))</f>
        <v/>
      </c>
      <c r="L1487" s="16"/>
    </row>
    <row r="1488" customFormat="false" ht="12.8" hidden="false" customHeight="false" outlineLevel="0" collapsed="false">
      <c r="A1488" s="0" t="s">
        <v>44</v>
      </c>
      <c r="E1488" s="10" t="str">
        <f aca="false">IF(D1488="?OLD","!!!","")</f>
        <v/>
      </c>
      <c r="F1488" s="11" t="str">
        <f aca="false">IF(OR(E1488="",E1488="!!!"),"",IF(NOT(ISNA(VLOOKUP(E1488,E$1:E1487,1,FALSE()))),"OLD",IF(AND(E1488&lt;&gt;"",E1488&lt;&gt;"!!!"),"NEW","")))</f>
        <v/>
      </c>
      <c r="G1488" s="12" t="str">
        <f aca="false">IF(OR(E1488="",E1488="!!!"),"",IF(OR(J1488=0,AND(J1488=1,K1488=1),AND(J1488=1,I1488="SBJ"),AND(J1488=1,I1488=0)),"?IN_FOCUS",IF(J1488&lt;=2,"?ACTIVATED",IF(J1488&lt;&gt;"","?FAMILIAR",IF(F1488="NEW",IF(ISNA(VLOOKUP(E1488,#REF!,1,FALSE())),"?TYPE_IDENTIFIABLE","?REFERENTIAL"),"_")))))</f>
        <v/>
      </c>
      <c r="H1488" s="13" t="str">
        <f aca="false">IF(J1488&lt;&gt;1,"",IF(I1488="SBJ","CB","?"))</f>
        <v/>
      </c>
      <c r="I1488" s="14" t="str">
        <f aca="false">IF(OR(E1488="",E1488="!!!",F1488="NEW"),"",INDEX(B$2:B1487,-1+SUMPRODUCT(MAX(ROW(E$2:E1487)*(E1488=E$2:E1487)))))</f>
        <v/>
      </c>
      <c r="J1488" s="15" t="str">
        <f aca="true">IF(OR(E1488="",E1488="!!!",F1488="NEW"),"",COUNTBLANK(OFFSET(A$1,,,SUMPRODUCT(MAX(ROW(E$2:E1488)*(E1488=E$2:E1488)))))-COUNTBLANK(OFFSET(A$1,,,SUMPRODUCT(MAX(ROW(E$1:E1487)*(E1488=E$1:E1487))))))</f>
        <v/>
      </c>
      <c r="K1488" s="15" t="str">
        <f aca="false">IF(OR(E1488="",E1488="!!!",F1488="NEW"),"",INDEX(J$1:J1487,SUMPRODUCT(MAX(ROW(E$1:E1487)*(E1488=E$1:E1487)))))</f>
        <v/>
      </c>
      <c r="L1488" s="16"/>
    </row>
    <row r="1489" customFormat="false" ht="12.8" hidden="false" customHeight="false" outlineLevel="0" collapsed="false">
      <c r="A1489" s="0" t="s">
        <v>516</v>
      </c>
      <c r="E1489" s="10" t="str">
        <f aca="false">IF(D1489="?OLD","!!!","")</f>
        <v/>
      </c>
      <c r="F1489" s="11" t="str">
        <f aca="false">IF(OR(E1489="",E1489="!!!"),"",IF(NOT(ISNA(VLOOKUP(E1489,E$1:E1488,1,FALSE()))),"OLD",IF(AND(E1489&lt;&gt;"",E1489&lt;&gt;"!!!"),"NEW","")))</f>
        <v/>
      </c>
      <c r="G1489" s="12" t="str">
        <f aca="false">IF(OR(E1489="",E1489="!!!"),"",IF(OR(J1489=0,AND(J1489=1,K1489=1),AND(J1489=1,I1489="SBJ"),AND(J1489=1,I1489=0)),"?IN_FOCUS",IF(J1489&lt;=2,"?ACTIVATED",IF(J1489&lt;&gt;"","?FAMILIAR",IF(F1489="NEW",IF(ISNA(VLOOKUP(E1489,#REF!,1,FALSE())),"?TYPE_IDENTIFIABLE","?REFERENTIAL"),"_")))))</f>
        <v/>
      </c>
      <c r="H1489" s="13" t="str">
        <f aca="false">IF(J1489&lt;&gt;1,"",IF(I1489="SBJ","CB","?"))</f>
        <v/>
      </c>
      <c r="I1489" s="14" t="str">
        <f aca="false">IF(OR(E1489="",E1489="!!!",F1489="NEW"),"",INDEX(B$2:B1488,-1+SUMPRODUCT(MAX(ROW(E$2:E1488)*(E1489=E$2:E1488)))))</f>
        <v/>
      </c>
      <c r="J1489" s="15" t="str">
        <f aca="true">IF(OR(E1489="",E1489="!!!",F1489="NEW"),"",COUNTBLANK(OFFSET(A$1,,,SUMPRODUCT(MAX(ROW(E$2:E1489)*(E1489=E$2:E1489)))))-COUNTBLANK(OFFSET(A$1,,,SUMPRODUCT(MAX(ROW(E$1:E1488)*(E1489=E$1:E1488))))))</f>
        <v/>
      </c>
      <c r="K1489" s="15" t="str">
        <f aca="false">IF(OR(E1489="",E1489="!!!",F1489="NEW"),"",INDEX(J$1:J1488,SUMPRODUCT(MAX(ROW(E$1:E1488)*(E1489=E$1:E1488)))))</f>
        <v/>
      </c>
      <c r="L1489" s="16"/>
    </row>
    <row r="1490" customFormat="false" ht="12.8" hidden="false" customHeight="false" outlineLevel="0" collapsed="false">
      <c r="A1490" s="0" t="s">
        <v>177</v>
      </c>
      <c r="B1490" s="0" t="s">
        <v>47</v>
      </c>
      <c r="C1490" s="0" t="s">
        <v>48</v>
      </c>
      <c r="D1490" s="0" t="s">
        <v>20</v>
      </c>
      <c r="E1490" s="10" t="s">
        <v>719</v>
      </c>
      <c r="F1490" s="11" t="str">
        <f aca="false">IF(OR(E1490="",E1490="!!!"),"",IF(NOT(ISNA(VLOOKUP(E1490,E$1:E1489,1,FALSE()))),"OLD",IF(AND(E1490&lt;&gt;"",E1490&lt;&gt;"!!!"),"NEW","")))</f>
        <v>NEW</v>
      </c>
      <c r="G1490" s="12" t="s">
        <v>131</v>
      </c>
      <c r="H1490" s="13" t="str">
        <f aca="false">IF(J1490&lt;&gt;1,"",IF(I1490="SBJ","CB","?"))</f>
        <v/>
      </c>
      <c r="I1490" s="14" t="str">
        <f aca="false">IF(OR(E1490="",E1490="!!!",F1490="NEW"),"",INDEX(B$2:B1489,-1+SUMPRODUCT(MAX(ROW(E$2:E1489)*(E1490=E$2:E1489)))))</f>
        <v/>
      </c>
      <c r="J1490" s="15" t="str">
        <f aca="true">IF(OR(E1490="",E1490="!!!",F1490="NEW"),"",COUNTBLANK(OFFSET(A$1,,,SUMPRODUCT(MAX(ROW(E$2:E1490)*(E1490=E$2:E1490)))))-COUNTBLANK(OFFSET(A$1,,,SUMPRODUCT(MAX(ROW(E$1:E1489)*(E1490=E$1:E1489))))))</f>
        <v/>
      </c>
      <c r="K1490" s="15" t="str">
        <f aca="false">IF(OR(E1490="",E1490="!!!",F1490="NEW"),"",INDEX(J$1:J1489,SUMPRODUCT(MAX(ROW(E$1:E1489)*(E1490=E$1:E1489)))))</f>
        <v/>
      </c>
      <c r="L1490" s="16"/>
    </row>
    <row r="1491" customFormat="false" ht="12.8" hidden="false" customHeight="false" outlineLevel="0" collapsed="false">
      <c r="A1491" s="0" t="s">
        <v>239</v>
      </c>
      <c r="E1491" s="10" t="str">
        <f aca="false">IF(D1491="?OLD","!!!","")</f>
        <v/>
      </c>
      <c r="F1491" s="11" t="str">
        <f aca="false">IF(OR(E1491="",E1491="!!!"),"",IF(NOT(ISNA(VLOOKUP(E1491,E$1:E1490,1,FALSE()))),"OLD",IF(AND(E1491&lt;&gt;"",E1491&lt;&gt;"!!!"),"NEW","")))</f>
        <v/>
      </c>
      <c r="G1491" s="12" t="str">
        <f aca="false">IF(OR(E1491="",E1491="!!!"),"",IF(OR(J1491=0,AND(J1491=1,K1491=1),AND(J1491=1,I1491="SBJ"),AND(J1491=1,I1491=0)),"?IN_FOCUS",IF(J1491&lt;=2,"?ACTIVATED",IF(J1491&lt;&gt;"","?FAMILIAR",IF(F1491="NEW",IF(ISNA(VLOOKUP(E1491,#REF!,1,FALSE())),"?TYPE_IDENTIFIABLE","?REFERENTIAL"),"_")))))</f>
        <v/>
      </c>
      <c r="H1491" s="13" t="str">
        <f aca="false">IF(J1491&lt;&gt;1,"",IF(I1491="SBJ","CB","?"))</f>
        <v/>
      </c>
      <c r="I1491" s="14" t="str">
        <f aca="false">IF(OR(E1491="",E1491="!!!",F1491="NEW"),"",INDEX(B$2:B1490,-1+SUMPRODUCT(MAX(ROW(E$2:E1490)*(E1491=E$2:E1490)))))</f>
        <v/>
      </c>
      <c r="J1491" s="15" t="str">
        <f aca="true">IF(OR(E1491="",E1491="!!!",F1491="NEW"),"",COUNTBLANK(OFFSET(A$1,,,SUMPRODUCT(MAX(ROW(E$2:E1491)*(E1491=E$2:E1491)))))-COUNTBLANK(OFFSET(A$1,,,SUMPRODUCT(MAX(ROW(E$1:E1490)*(E1491=E$1:E1490))))))</f>
        <v/>
      </c>
      <c r="K1491" s="15" t="str">
        <f aca="false">IF(OR(E1491="",E1491="!!!",F1491="NEW"),"",INDEX(J$1:J1490,SUMPRODUCT(MAX(ROW(E$1:E1490)*(E1491=E$1:E1490)))))</f>
        <v/>
      </c>
      <c r="L1491" s="16"/>
    </row>
    <row r="1492" customFormat="false" ht="12.8" hidden="false" customHeight="false" outlineLevel="0" collapsed="false">
      <c r="A1492" s="0" t="s">
        <v>55</v>
      </c>
      <c r="E1492" s="10" t="str">
        <f aca="false">IF(D1492="?OLD","!!!","")</f>
        <v/>
      </c>
      <c r="F1492" s="11" t="str">
        <f aca="false">IF(OR(E1492="",E1492="!!!"),"",IF(NOT(ISNA(VLOOKUP(E1492,E$1:E1491,1,FALSE()))),"OLD",IF(AND(E1492&lt;&gt;"",E1492&lt;&gt;"!!!"),"NEW","")))</f>
        <v/>
      </c>
      <c r="G1492" s="12" t="str">
        <f aca="false">IF(OR(E1492="",E1492="!!!"),"",IF(OR(J1492=0,AND(J1492=1,K1492=1),AND(J1492=1,I1492="SBJ"),AND(J1492=1,I1492=0)),"?IN_FOCUS",IF(J1492&lt;=2,"?ACTIVATED",IF(J1492&lt;&gt;"","?FAMILIAR",IF(F1492="NEW",IF(ISNA(VLOOKUP(E1492,#REF!,1,FALSE())),"?TYPE_IDENTIFIABLE","?REFERENTIAL"),"_")))))</f>
        <v/>
      </c>
      <c r="H1492" s="13" t="str">
        <f aca="false">IF(J1492&lt;&gt;1,"",IF(I1492="SBJ","CB","?"))</f>
        <v/>
      </c>
      <c r="I1492" s="14" t="str">
        <f aca="false">IF(OR(E1492="",E1492="!!!",F1492="NEW"),"",INDEX(B$2:B1491,-1+SUMPRODUCT(MAX(ROW(E$2:E1491)*(E1492=E$2:E1491)))))</f>
        <v/>
      </c>
      <c r="J1492" s="15" t="str">
        <f aca="true">IF(OR(E1492="",E1492="!!!",F1492="NEW"),"",COUNTBLANK(OFFSET(A$1,,,SUMPRODUCT(MAX(ROW(E$2:E1492)*(E1492=E$2:E1492)))))-COUNTBLANK(OFFSET(A$1,,,SUMPRODUCT(MAX(ROW(E$1:E1491)*(E1492=E$1:E1491))))))</f>
        <v/>
      </c>
      <c r="K1492" s="15" t="str">
        <f aca="false">IF(OR(E1492="",E1492="!!!",F1492="NEW"),"",INDEX(J$1:J1491,SUMPRODUCT(MAX(ROW(E$1:E1491)*(E1492=E$1:E1491)))))</f>
        <v/>
      </c>
      <c r="L1492" s="16"/>
    </row>
    <row r="1493" customFormat="false" ht="12.8" hidden="false" customHeight="false" outlineLevel="0" collapsed="false">
      <c r="A1493" s="0" t="s">
        <v>583</v>
      </c>
      <c r="E1493" s="10" t="str">
        <f aca="false">IF(D1493="?OLD","!!!","")</f>
        <v/>
      </c>
      <c r="F1493" s="11" t="str">
        <f aca="false">IF(OR(E1493="",E1493="!!!"),"",IF(NOT(ISNA(VLOOKUP(E1493,E$1:E1492,1,FALSE()))),"OLD",IF(AND(E1493&lt;&gt;"",E1493&lt;&gt;"!!!"),"NEW","")))</f>
        <v/>
      </c>
      <c r="G1493" s="12" t="str">
        <f aca="false">IF(OR(E1493="",E1493="!!!"),"",IF(OR(J1493=0,AND(J1493=1,K1493=1),AND(J1493=1,I1493="SBJ"),AND(J1493=1,I1493=0)),"?IN_FOCUS",IF(J1493&lt;=2,"?ACTIVATED",IF(J1493&lt;&gt;"","?FAMILIAR",IF(F1493="NEW",IF(ISNA(VLOOKUP(E1493,#REF!,1,FALSE())),"?TYPE_IDENTIFIABLE","?REFERENTIAL"),"_")))))</f>
        <v/>
      </c>
      <c r="H1493" s="13" t="str">
        <f aca="false">IF(J1493&lt;&gt;1,"",IF(I1493="SBJ","CB","?"))</f>
        <v/>
      </c>
      <c r="I1493" s="14" t="str">
        <f aca="false">IF(OR(E1493="",E1493="!!!",F1493="NEW"),"",INDEX(B$2:B1492,-1+SUMPRODUCT(MAX(ROW(E$2:E1492)*(E1493=E$2:E1492)))))</f>
        <v/>
      </c>
      <c r="J1493" s="15" t="str">
        <f aca="true">IF(OR(E1493="",E1493="!!!",F1493="NEW"),"",COUNTBLANK(OFFSET(A$1,,,SUMPRODUCT(MAX(ROW(E$2:E1493)*(E1493=E$2:E1493)))))-COUNTBLANK(OFFSET(A$1,,,SUMPRODUCT(MAX(ROW(E$1:E1492)*(E1493=E$1:E1492))))))</f>
        <v/>
      </c>
      <c r="K1493" s="15" t="str">
        <f aca="false">IF(OR(E1493="",E1493="!!!",F1493="NEW"),"",INDEX(J$1:J1492,SUMPRODUCT(MAX(ROW(E$1:E1492)*(E1493=E$1:E1492)))))</f>
        <v/>
      </c>
      <c r="L1493" s="16"/>
    </row>
    <row r="1494" customFormat="false" ht="12.8" hidden="false" customHeight="false" outlineLevel="0" collapsed="false">
      <c r="A1494" s="0" t="s">
        <v>60</v>
      </c>
      <c r="E1494" s="10" t="str">
        <f aca="false">IF(D1494="?OLD","!!!","")</f>
        <v/>
      </c>
      <c r="F1494" s="11" t="str">
        <f aca="false">IF(OR(E1494="",E1494="!!!"),"",IF(NOT(ISNA(VLOOKUP(E1494,E$1:E1493,1,FALSE()))),"OLD",IF(AND(E1494&lt;&gt;"",E1494&lt;&gt;"!!!"),"NEW","")))</f>
        <v/>
      </c>
      <c r="G1494" s="12" t="str">
        <f aca="false">IF(OR(E1494="",E1494="!!!"),"",IF(OR(J1494=0,AND(J1494=1,K1494=1),AND(J1494=1,I1494="SBJ"),AND(J1494=1,I1494=0)),"?IN_FOCUS",IF(J1494&lt;=2,"?ACTIVATED",IF(J1494&lt;&gt;"","?FAMILIAR",IF(F1494="NEW",IF(ISNA(VLOOKUP(E1494,#REF!,1,FALSE())),"?TYPE_IDENTIFIABLE","?REFERENTIAL"),"_")))))</f>
        <v/>
      </c>
      <c r="H1494" s="13" t="str">
        <f aca="false">IF(J1494&lt;&gt;1,"",IF(I1494="SBJ","CB","?"))</f>
        <v/>
      </c>
      <c r="I1494" s="14" t="str">
        <f aca="false">IF(OR(E1494="",E1494="!!!",F1494="NEW"),"",INDEX(B$2:B1493,-1+SUMPRODUCT(MAX(ROW(E$2:E1493)*(E1494=E$2:E1493)))))</f>
        <v/>
      </c>
      <c r="J1494" s="15" t="str">
        <f aca="true">IF(OR(E1494="",E1494="!!!",F1494="NEW"),"",COUNTBLANK(OFFSET(A$1,,,SUMPRODUCT(MAX(ROW(E$2:E1494)*(E1494=E$2:E1494)))))-COUNTBLANK(OFFSET(A$1,,,SUMPRODUCT(MAX(ROW(E$1:E1493)*(E1494=E$1:E1493))))))</f>
        <v/>
      </c>
      <c r="K1494" s="15" t="str">
        <f aca="false">IF(OR(E1494="",E1494="!!!",F1494="NEW"),"",INDEX(J$1:J1493,SUMPRODUCT(MAX(ROW(E$1:E1493)*(E1494=E$1:E1493)))))</f>
        <v/>
      </c>
      <c r="L1494" s="16"/>
    </row>
    <row r="1495" customFormat="false" ht="12.8" hidden="false" customHeight="false" outlineLevel="0" collapsed="false">
      <c r="A1495" s="0" t="s">
        <v>720</v>
      </c>
      <c r="E1495" s="10" t="str">
        <f aca="false">IF(D1495="?OLD","!!!","")</f>
        <v/>
      </c>
      <c r="F1495" s="11" t="str">
        <f aca="false">IF(OR(E1495="",E1495="!!!"),"",IF(NOT(ISNA(VLOOKUP(E1495,E$1:E1494,1,FALSE()))),"OLD",IF(AND(E1495&lt;&gt;"",E1495&lt;&gt;"!!!"),"NEW","")))</f>
        <v/>
      </c>
      <c r="G1495" s="12" t="str">
        <f aca="false">IF(OR(E1495="",E1495="!!!"),"",IF(OR(J1495=0,AND(J1495=1,K1495=1),AND(J1495=1,I1495="SBJ"),AND(J1495=1,I1495=0)),"?IN_FOCUS",IF(J1495&lt;=2,"?ACTIVATED",IF(J1495&lt;&gt;"","?FAMILIAR",IF(F1495="NEW",IF(ISNA(VLOOKUP(E1495,#REF!,1,FALSE())),"?TYPE_IDENTIFIABLE","?REFERENTIAL"),"_")))))</f>
        <v/>
      </c>
      <c r="H1495" s="13" t="str">
        <f aca="false">IF(J1495&lt;&gt;1,"",IF(I1495="SBJ","CB","?"))</f>
        <v/>
      </c>
      <c r="I1495" s="14" t="str">
        <f aca="false">IF(OR(E1495="",E1495="!!!",F1495="NEW"),"",INDEX(B$2:B1494,-1+SUMPRODUCT(MAX(ROW(E$2:E1494)*(E1495=E$2:E1494)))))</f>
        <v/>
      </c>
      <c r="J1495" s="15" t="str">
        <f aca="true">IF(OR(E1495="",E1495="!!!",F1495="NEW"),"",COUNTBLANK(OFFSET(A$1,,,SUMPRODUCT(MAX(ROW(E$2:E1495)*(E1495=E$2:E1495)))))-COUNTBLANK(OFFSET(A$1,,,SUMPRODUCT(MAX(ROW(E$1:E1494)*(E1495=E$1:E1494))))))</f>
        <v/>
      </c>
      <c r="K1495" s="15" t="str">
        <f aca="false">IF(OR(E1495="",E1495="!!!",F1495="NEW"),"",INDEX(J$1:J1494,SUMPRODUCT(MAX(ROW(E$1:E1494)*(E1495=E$1:E1494)))))</f>
        <v/>
      </c>
      <c r="L1495" s="16"/>
    </row>
    <row r="1496" customFormat="false" ht="12.8" hidden="false" customHeight="false" outlineLevel="0" collapsed="false">
      <c r="A1496" s="0" t="s">
        <v>62</v>
      </c>
      <c r="E1496" s="10" t="str">
        <f aca="false">IF(D1496="?OLD","!!!","")</f>
        <v/>
      </c>
      <c r="F1496" s="11" t="str">
        <f aca="false">IF(OR(E1496="",E1496="!!!"),"",IF(NOT(ISNA(VLOOKUP(E1496,E$1:E1495,1,FALSE()))),"OLD",IF(AND(E1496&lt;&gt;"",E1496&lt;&gt;"!!!"),"NEW","")))</f>
        <v/>
      </c>
      <c r="G1496" s="12" t="str">
        <f aca="false">IF(OR(E1496="",E1496="!!!"),"",IF(OR(J1496=0,AND(J1496=1,K1496=1),AND(J1496=1,I1496="SBJ"),AND(J1496=1,I1496=0)),"?IN_FOCUS",IF(J1496&lt;=2,"?ACTIVATED",IF(J1496&lt;&gt;"","?FAMILIAR",IF(F1496="NEW",IF(ISNA(VLOOKUP(E1496,#REF!,1,FALSE())),"?TYPE_IDENTIFIABLE","?REFERENTIAL"),"_")))))</f>
        <v/>
      </c>
      <c r="H1496" s="13" t="str">
        <f aca="false">IF(J1496&lt;&gt;1,"",IF(I1496="SBJ","CB","?"))</f>
        <v/>
      </c>
      <c r="I1496" s="14" t="str">
        <f aca="false">IF(OR(E1496="",E1496="!!!",F1496="NEW"),"",INDEX(B$2:B1495,-1+SUMPRODUCT(MAX(ROW(E$2:E1495)*(E1496=E$2:E1495)))))</f>
        <v/>
      </c>
      <c r="J1496" s="15" t="str">
        <f aca="true">IF(OR(E1496="",E1496="!!!",F1496="NEW"),"",COUNTBLANK(OFFSET(A$1,,,SUMPRODUCT(MAX(ROW(E$2:E1496)*(E1496=E$2:E1496)))))-COUNTBLANK(OFFSET(A$1,,,SUMPRODUCT(MAX(ROW(E$1:E1495)*(E1496=E$1:E1495))))))</f>
        <v/>
      </c>
      <c r="K1496" s="15" t="str">
        <f aca="false">IF(OR(E1496="",E1496="!!!",F1496="NEW"),"",INDEX(J$1:J1495,SUMPRODUCT(MAX(ROW(E$1:E1495)*(E1496=E$1:E1495)))))</f>
        <v/>
      </c>
      <c r="L1496" s="16"/>
    </row>
    <row r="1497" customFormat="false" ht="12.8" hidden="false" customHeight="false" outlineLevel="0" collapsed="false">
      <c r="A1497" s="0" t="s">
        <v>721</v>
      </c>
      <c r="B1497" s="0" t="s">
        <v>59</v>
      </c>
      <c r="C1497" s="0" t="s">
        <v>27</v>
      </c>
      <c r="D1497" s="0" t="s">
        <v>20</v>
      </c>
      <c r="E1497" s="10" t="s">
        <v>722</v>
      </c>
      <c r="F1497" s="11" t="str">
        <f aca="false">IF(OR(E1497="",E1497="!!!"),"",IF(NOT(ISNA(VLOOKUP(E1497,E$1:E1496,1,FALSE()))),"OLD",IF(AND(E1497&lt;&gt;"",E1497&lt;&gt;"!!!"),"NEW","")))</f>
        <v>NEW</v>
      </c>
      <c r="G1497" s="12" t="s">
        <v>510</v>
      </c>
      <c r="H1497" s="13" t="str">
        <f aca="false">IF(J1497&lt;&gt;1,"",IF(I1497="SBJ","CB","?"))</f>
        <v/>
      </c>
      <c r="I1497" s="14" t="str">
        <f aca="false">IF(OR(E1497="",E1497="!!!",F1497="NEW"),"",INDEX(B$2:B1496,-1+SUMPRODUCT(MAX(ROW(E$2:E1496)*(E1497=E$2:E1496)))))</f>
        <v/>
      </c>
      <c r="J1497" s="15" t="str">
        <f aca="true">IF(OR(E1497="",E1497="!!!",F1497="NEW"),"",COUNTBLANK(OFFSET(A$1,,,SUMPRODUCT(MAX(ROW(E$2:E1497)*(E1497=E$2:E1497)))))-COUNTBLANK(OFFSET(A$1,,,SUMPRODUCT(MAX(ROW(E$1:E1496)*(E1497=E$1:E1496))))))</f>
        <v/>
      </c>
      <c r="K1497" s="15" t="str">
        <f aca="false">IF(OR(E1497="",E1497="!!!",F1497="NEW"),"",INDEX(J$1:J1496,SUMPRODUCT(MAX(ROW(E$1:E1496)*(E1497=E$1:E1496)))))</f>
        <v/>
      </c>
      <c r="L1497" s="16"/>
    </row>
    <row r="1498" customFormat="false" ht="12.8" hidden="false" customHeight="false" outlineLevel="0" collapsed="false">
      <c r="A1498" s="0" t="s">
        <v>60</v>
      </c>
      <c r="E1498" s="10" t="str">
        <f aca="false">IF(D1498="?OLD","!!!","")</f>
        <v/>
      </c>
      <c r="F1498" s="11" t="str">
        <f aca="false">IF(OR(E1498="",E1498="!!!"),"",IF(NOT(ISNA(VLOOKUP(E1498,E$1:E1497,1,FALSE()))),"OLD",IF(AND(E1498&lt;&gt;"",E1498&lt;&gt;"!!!"),"NEW","")))</f>
        <v/>
      </c>
      <c r="G1498" s="12" t="str">
        <f aca="false">IF(OR(E1498="",E1498="!!!"),"",IF(OR(J1498=0,AND(J1498=1,K1498=1),AND(J1498=1,I1498="SBJ"),AND(J1498=1,I1498=0)),"?IN_FOCUS",IF(J1498&lt;=2,"?ACTIVATED",IF(J1498&lt;&gt;"","?FAMILIAR",IF(F1498="NEW",IF(ISNA(VLOOKUP(E1498,#REF!,1,FALSE())),"?TYPE_IDENTIFIABLE","?REFERENTIAL"),"_")))))</f>
        <v/>
      </c>
      <c r="H1498" s="13" t="str">
        <f aca="false">IF(J1498&lt;&gt;1,"",IF(I1498="SBJ","CB","?"))</f>
        <v/>
      </c>
      <c r="I1498" s="14" t="str">
        <f aca="false">IF(OR(E1498="",E1498="!!!",F1498="NEW"),"",INDEX(B$2:B1497,-1+SUMPRODUCT(MAX(ROW(E$2:E1497)*(E1498=E$2:E1497)))))</f>
        <v/>
      </c>
      <c r="J1498" s="15" t="str">
        <f aca="true">IF(OR(E1498="",E1498="!!!",F1498="NEW"),"",COUNTBLANK(OFFSET(A$1,,,SUMPRODUCT(MAX(ROW(E$2:E1498)*(E1498=E$2:E1498)))))-COUNTBLANK(OFFSET(A$1,,,SUMPRODUCT(MAX(ROW(E$1:E1497)*(E1498=E$1:E1497))))))</f>
        <v/>
      </c>
      <c r="K1498" s="15" t="str">
        <f aca="false">IF(OR(E1498="",E1498="!!!",F1498="NEW"),"",INDEX(J$1:J1497,SUMPRODUCT(MAX(ROW(E$1:E1497)*(E1498=E$1:E1497)))))</f>
        <v/>
      </c>
      <c r="L1498" s="16"/>
    </row>
    <row r="1499" customFormat="false" ht="12.8" hidden="false" customHeight="false" outlineLevel="0" collapsed="false">
      <c r="A1499" s="0" t="s">
        <v>723</v>
      </c>
      <c r="E1499" s="10" t="str">
        <f aca="false">IF(D1499="?OLD","!!!","")</f>
        <v/>
      </c>
      <c r="F1499" s="11" t="str">
        <f aca="false">IF(OR(E1499="",E1499="!!!"),"",IF(NOT(ISNA(VLOOKUP(E1499,E$1:E1498,1,FALSE()))),"OLD",IF(AND(E1499&lt;&gt;"",E1499&lt;&gt;"!!!"),"NEW","")))</f>
        <v/>
      </c>
      <c r="G1499" s="12" t="str">
        <f aca="false">IF(OR(E1499="",E1499="!!!"),"",IF(OR(J1499=0,AND(J1499=1,K1499=1),AND(J1499=1,I1499="SBJ"),AND(J1499=1,I1499=0)),"?IN_FOCUS",IF(J1499&lt;=2,"?ACTIVATED",IF(J1499&lt;&gt;"","?FAMILIAR",IF(F1499="NEW",IF(ISNA(VLOOKUP(E1499,#REF!,1,FALSE())),"?TYPE_IDENTIFIABLE","?REFERENTIAL"),"_")))))</f>
        <v/>
      </c>
      <c r="H1499" s="13" t="str">
        <f aca="false">IF(J1499&lt;&gt;1,"",IF(I1499="SBJ","CB","?"))</f>
        <v/>
      </c>
      <c r="I1499" s="14" t="str">
        <f aca="false">IF(OR(E1499="",E1499="!!!",F1499="NEW"),"",INDEX(B$2:B1498,-1+SUMPRODUCT(MAX(ROW(E$2:E1498)*(E1499=E$2:E1498)))))</f>
        <v/>
      </c>
      <c r="J1499" s="15" t="str">
        <f aca="true">IF(OR(E1499="",E1499="!!!",F1499="NEW"),"",COUNTBLANK(OFFSET(A$1,,,SUMPRODUCT(MAX(ROW(E$2:E1499)*(E1499=E$2:E1499)))))-COUNTBLANK(OFFSET(A$1,,,SUMPRODUCT(MAX(ROW(E$1:E1498)*(E1499=E$1:E1498))))))</f>
        <v/>
      </c>
      <c r="K1499" s="15" t="str">
        <f aca="false">IF(OR(E1499="",E1499="!!!",F1499="NEW"),"",INDEX(J$1:J1498,SUMPRODUCT(MAX(ROW(E$1:E1498)*(E1499=E$1:E1498)))))</f>
        <v/>
      </c>
      <c r="L1499" s="16"/>
    </row>
    <row r="1500" customFormat="false" ht="12.8" hidden="false" customHeight="false" outlineLevel="0" collapsed="false">
      <c r="A1500" s="0" t="s">
        <v>724</v>
      </c>
      <c r="E1500" s="10" t="str">
        <f aca="false">IF(D1500="?OLD","!!!","")</f>
        <v/>
      </c>
      <c r="F1500" s="11" t="str">
        <f aca="false">IF(OR(E1500="",E1500="!!!"),"",IF(NOT(ISNA(VLOOKUP(E1500,E$1:E1499,1,FALSE()))),"OLD",IF(AND(E1500&lt;&gt;"",E1500&lt;&gt;"!!!"),"NEW","")))</f>
        <v/>
      </c>
      <c r="G1500" s="12" t="str">
        <f aca="false">IF(OR(E1500="",E1500="!!!"),"",IF(OR(J1500=0,AND(J1500=1,K1500=1),AND(J1500=1,I1500="SBJ"),AND(J1500=1,I1500=0)),"?IN_FOCUS",IF(J1500&lt;=2,"?ACTIVATED",IF(J1500&lt;&gt;"","?FAMILIAR",IF(F1500="NEW",IF(ISNA(VLOOKUP(E1500,#REF!,1,FALSE())),"?TYPE_IDENTIFIABLE","?REFERENTIAL"),"_")))))</f>
        <v/>
      </c>
      <c r="H1500" s="13" t="str">
        <f aca="false">IF(J1500&lt;&gt;1,"",IF(I1500="SBJ","CB","?"))</f>
        <v/>
      </c>
      <c r="I1500" s="14" t="str">
        <f aca="false">IF(OR(E1500="",E1500="!!!",F1500="NEW"),"",INDEX(B$2:B1499,-1+SUMPRODUCT(MAX(ROW(E$2:E1499)*(E1500=E$2:E1499)))))</f>
        <v/>
      </c>
      <c r="J1500" s="15" t="str">
        <f aca="true">IF(OR(E1500="",E1500="!!!",F1500="NEW"),"",COUNTBLANK(OFFSET(A$1,,,SUMPRODUCT(MAX(ROW(E$2:E1500)*(E1500=E$2:E1500)))))-COUNTBLANK(OFFSET(A$1,,,SUMPRODUCT(MAX(ROW(E$1:E1499)*(E1500=E$1:E1499))))))</f>
        <v/>
      </c>
      <c r="K1500" s="15" t="str">
        <f aca="false">IF(OR(E1500="",E1500="!!!",F1500="NEW"),"",INDEX(J$1:J1499,SUMPRODUCT(MAX(ROW(E$1:E1499)*(E1500=E$1:E1499)))))</f>
        <v/>
      </c>
      <c r="L1500" s="16"/>
    </row>
    <row r="1501" customFormat="false" ht="12.8" hidden="false" customHeight="false" outlineLevel="0" collapsed="false">
      <c r="A1501" s="0" t="s">
        <v>725</v>
      </c>
      <c r="B1501" s="0" t="s">
        <v>116</v>
      </c>
      <c r="C1501" s="0" t="s">
        <v>31</v>
      </c>
      <c r="E1501" s="10" t="str">
        <f aca="false">IF(D1501="?OLD","!!!","")</f>
        <v/>
      </c>
      <c r="F1501" s="11" t="str">
        <f aca="false">IF(OR(E1501="",E1501="!!!"),"",IF(NOT(ISNA(VLOOKUP(E1501,E$1:E1500,1,FALSE()))),"OLD",IF(AND(E1501&lt;&gt;"",E1501&lt;&gt;"!!!"),"NEW","")))</f>
        <v/>
      </c>
      <c r="G1501" s="12" t="str">
        <f aca="false">IF(OR(E1501="",E1501="!!!"),"",IF(OR(J1501=0,AND(J1501=1,K1501=1),AND(J1501=1,I1501="SBJ"),AND(J1501=1,I1501=0)),"?IN_FOCUS",IF(J1501&lt;=2,"?ACTIVATED",IF(J1501&lt;&gt;"","?FAMILIAR",IF(F1501="NEW",IF(ISNA(VLOOKUP(E1501,#REF!,1,FALSE())),"?TYPE_IDENTIFIABLE","?REFERENTIAL"),"_")))))</f>
        <v/>
      </c>
      <c r="H1501" s="13" t="str">
        <f aca="false">IF(J1501&lt;&gt;1,"",IF(I1501="SBJ","CB","?"))</f>
        <v/>
      </c>
      <c r="I1501" s="14" t="str">
        <f aca="false">IF(OR(E1501="",E1501="!!!",F1501="NEW"),"",INDEX(B$2:B1500,-1+SUMPRODUCT(MAX(ROW(E$2:E1500)*(E1501=E$2:E1500)))))</f>
        <v/>
      </c>
      <c r="J1501" s="15" t="str">
        <f aca="true">IF(OR(E1501="",E1501="!!!",F1501="NEW"),"",COUNTBLANK(OFFSET(A$1,,,SUMPRODUCT(MAX(ROW(E$2:E1501)*(E1501=E$2:E1501)))))-COUNTBLANK(OFFSET(A$1,,,SUMPRODUCT(MAX(ROW(E$1:E1500)*(E1501=E$1:E1500))))))</f>
        <v/>
      </c>
      <c r="K1501" s="15" t="str">
        <f aca="false">IF(OR(E1501="",E1501="!!!",F1501="NEW"),"",INDEX(J$1:J1500,SUMPRODUCT(MAX(ROW(E$1:E1500)*(E1501=E$1:E1500)))))</f>
        <v/>
      </c>
      <c r="L1501" s="16"/>
    </row>
    <row r="1502" customFormat="false" ht="12.8" hidden="false" customHeight="false" outlineLevel="0" collapsed="false">
      <c r="A1502" s="0" t="s">
        <v>76</v>
      </c>
      <c r="E1502" s="10" t="str">
        <f aca="false">IF(D1502="?OLD","!!!","")</f>
        <v/>
      </c>
      <c r="F1502" s="11" t="str">
        <f aca="false">IF(OR(E1502="",E1502="!!!"),"",IF(NOT(ISNA(VLOOKUP(E1502,E$1:E1501,1,FALSE()))),"OLD",IF(AND(E1502&lt;&gt;"",E1502&lt;&gt;"!!!"),"NEW","")))</f>
        <v/>
      </c>
      <c r="G1502" s="12" t="str">
        <f aca="false">IF(OR(E1502="",E1502="!!!"),"",IF(OR(J1502=0,AND(J1502=1,K1502=1),AND(J1502=1,I1502="SBJ"),AND(J1502=1,I1502=0)),"?IN_FOCUS",IF(J1502&lt;=2,"?ACTIVATED",IF(J1502&lt;&gt;"","?FAMILIAR",IF(F1502="NEW",IF(ISNA(VLOOKUP(E1502,#REF!,1,FALSE())),"?TYPE_IDENTIFIABLE","?REFERENTIAL"),"_")))))</f>
        <v/>
      </c>
      <c r="H1502" s="13" t="str">
        <f aca="false">IF(J1502&lt;&gt;1,"",IF(I1502="SBJ","CB","?"))</f>
        <v/>
      </c>
      <c r="I1502" s="14" t="str">
        <f aca="false">IF(OR(E1502="",E1502="!!!",F1502="NEW"),"",INDEX(B$2:B1501,-1+SUMPRODUCT(MAX(ROW(E$2:E1501)*(E1502=E$2:E1501)))))</f>
        <v/>
      </c>
      <c r="J1502" s="15" t="str">
        <f aca="true">IF(OR(E1502="",E1502="!!!",F1502="NEW"),"",COUNTBLANK(OFFSET(A$1,,,SUMPRODUCT(MAX(ROW(E$2:E1502)*(E1502=E$2:E1502)))))-COUNTBLANK(OFFSET(A$1,,,SUMPRODUCT(MAX(ROW(E$1:E1501)*(E1502=E$1:E1501))))))</f>
        <v/>
      </c>
      <c r="K1502" s="15" t="str">
        <f aca="false">IF(OR(E1502="",E1502="!!!",F1502="NEW"),"",INDEX(J$1:J1501,SUMPRODUCT(MAX(ROW(E$1:E1501)*(E1502=E$1:E1501)))))</f>
        <v/>
      </c>
      <c r="L1502" s="16"/>
    </row>
    <row r="1503" customFormat="false" ht="12.8" hidden="false" customHeight="false" outlineLevel="0" collapsed="false">
      <c r="A1503" s="0" t="s">
        <v>516</v>
      </c>
      <c r="E1503" s="10" t="str">
        <f aca="false">IF(D1503="?OLD","!!!","")</f>
        <v/>
      </c>
      <c r="F1503" s="11" t="str">
        <f aca="false">IF(OR(E1503="",E1503="!!!"),"",IF(NOT(ISNA(VLOOKUP(E1503,E$1:E1502,1,FALSE()))),"OLD",IF(AND(E1503&lt;&gt;"",E1503&lt;&gt;"!!!"),"NEW","")))</f>
        <v/>
      </c>
      <c r="G1503" s="12" t="str">
        <f aca="false">IF(OR(E1503="",E1503="!!!"),"",IF(OR(J1503=0,AND(J1503=1,K1503=1),AND(J1503=1,I1503="SBJ"),AND(J1503=1,I1503=0)),"?IN_FOCUS",IF(J1503&lt;=2,"?ACTIVATED",IF(J1503&lt;&gt;"","?FAMILIAR",IF(F1503="NEW",IF(ISNA(VLOOKUP(E1503,#REF!,1,FALSE())),"?TYPE_IDENTIFIABLE","?REFERENTIAL"),"_")))))</f>
        <v/>
      </c>
      <c r="H1503" s="13" t="str">
        <f aca="false">IF(J1503&lt;&gt;1,"",IF(I1503="SBJ","CB","?"))</f>
        <v/>
      </c>
      <c r="I1503" s="14" t="str">
        <f aca="false">IF(OR(E1503="",E1503="!!!",F1503="NEW"),"",INDEX(B$2:B1502,-1+SUMPRODUCT(MAX(ROW(E$2:E1502)*(E1503=E$2:E1502)))))</f>
        <v/>
      </c>
      <c r="J1503" s="15" t="str">
        <f aca="true">IF(OR(E1503="",E1503="!!!",F1503="NEW"),"",COUNTBLANK(OFFSET(A$1,,,SUMPRODUCT(MAX(ROW(E$2:E1503)*(E1503=E$2:E1503)))))-COUNTBLANK(OFFSET(A$1,,,SUMPRODUCT(MAX(ROW(E$1:E1502)*(E1503=E$1:E1502))))))</f>
        <v/>
      </c>
      <c r="K1503" s="15" t="str">
        <f aca="false">IF(OR(E1503="",E1503="!!!",F1503="NEW"),"",INDEX(J$1:J1502,SUMPRODUCT(MAX(ROW(E$1:E1502)*(E1503=E$1:E1502)))))</f>
        <v/>
      </c>
      <c r="L1503" s="16"/>
    </row>
    <row r="1504" customFormat="false" ht="12.8" hidden="false" customHeight="false" outlineLevel="0" collapsed="false">
      <c r="E1504" s="10" t="str">
        <f aca="false">IF(D1504="?OLD","!!!","")</f>
        <v/>
      </c>
      <c r="F1504" s="11" t="str">
        <f aca="false">IF(OR(E1504="",E1504="!!!"),"",IF(NOT(ISNA(VLOOKUP(E1504,E$1:E1503,1,FALSE()))),"OLD",IF(AND(E1504&lt;&gt;"",E1504&lt;&gt;"!!!"),"NEW","")))</f>
        <v/>
      </c>
      <c r="G1504" s="12" t="str">
        <f aca="false">IF(OR(E1504="",E1504="!!!"),"",IF(OR(J1504=0,AND(J1504=1,K1504=1),AND(J1504=1,I1504="SBJ"),AND(J1504=1,I1504=0)),"?IN_FOCUS",IF(J1504&lt;=2,"?ACTIVATED",IF(J1504&lt;&gt;"","?FAMILIAR",IF(F1504="NEW",IF(ISNA(VLOOKUP(E1504,#REF!,1,FALSE())),"?TYPE_IDENTIFIABLE","?REFERENTIAL"),"_")))))</f>
        <v/>
      </c>
      <c r="H1504" s="13" t="str">
        <f aca="false">IF(J1504&lt;&gt;1,"",IF(I1504="SBJ","CB","?"))</f>
        <v/>
      </c>
      <c r="I1504" s="14" t="str">
        <f aca="false">IF(OR(E1504="",E1504="!!!",F1504="NEW"),"",INDEX(B$2:B1503,-1+SUMPRODUCT(MAX(ROW(E$2:E1503)*(E1504=E$2:E1503)))))</f>
        <v/>
      </c>
      <c r="J1504" s="15" t="str">
        <f aca="true">IF(OR(E1504="",E1504="!!!",F1504="NEW"),"",COUNTBLANK(OFFSET(A$1,,,SUMPRODUCT(MAX(ROW(E$2:E1504)*(E1504=E$2:E1504)))))-COUNTBLANK(OFFSET(A$1,,,SUMPRODUCT(MAX(ROW(E$1:E1503)*(E1504=E$1:E1503))))))</f>
        <v/>
      </c>
      <c r="K1504" s="15" t="str">
        <f aca="false">IF(OR(E1504="",E1504="!!!",F1504="NEW"),"",INDEX(J$1:J1503,SUMPRODUCT(MAX(ROW(E$1:E1503)*(E1504=E$1:E1503)))))</f>
        <v/>
      </c>
      <c r="L1504" s="16"/>
    </row>
    <row r="1505" customFormat="false" ht="12.8" hidden="false" customHeight="false" outlineLevel="0" collapsed="false">
      <c r="A1505" s="0" t="s">
        <v>726</v>
      </c>
      <c r="E1505" s="10" t="str">
        <f aca="false">IF(D1505="?OLD","!!!","")</f>
        <v/>
      </c>
      <c r="F1505" s="11" t="str">
        <f aca="false">IF(OR(E1505="",E1505="!!!"),"",IF(NOT(ISNA(VLOOKUP(E1505,E$1:E1504,1,FALSE()))),"OLD",IF(AND(E1505&lt;&gt;"",E1505&lt;&gt;"!!!"),"NEW","")))</f>
        <v/>
      </c>
      <c r="G1505" s="12" t="str">
        <f aca="false">IF(OR(E1505="",E1505="!!!"),"",IF(OR(J1505=0,AND(J1505=1,K1505=1),AND(J1505=1,I1505="SBJ"),AND(J1505=1,I1505=0)),"?IN_FOCUS",IF(J1505&lt;=2,"?ACTIVATED",IF(J1505&lt;&gt;"","?FAMILIAR",IF(F1505="NEW",IF(ISNA(VLOOKUP(E1505,#REF!,1,FALSE())),"?TYPE_IDENTIFIABLE","?REFERENTIAL"),"_")))))</f>
        <v/>
      </c>
      <c r="H1505" s="13" t="str">
        <f aca="false">IF(J1505&lt;&gt;1,"",IF(I1505="SBJ","CB","?"))</f>
        <v/>
      </c>
      <c r="I1505" s="14" t="str">
        <f aca="false">IF(OR(E1505="",E1505="!!!",F1505="NEW"),"",INDEX(B$2:B1504,-1+SUMPRODUCT(MAX(ROW(E$2:E1504)*(E1505=E$2:E1504)))))</f>
        <v/>
      </c>
      <c r="J1505" s="15" t="str">
        <f aca="true">IF(OR(E1505="",E1505="!!!",F1505="NEW"),"",COUNTBLANK(OFFSET(A$1,,,SUMPRODUCT(MAX(ROW(E$2:E1505)*(E1505=E$2:E1505)))))-COUNTBLANK(OFFSET(A$1,,,SUMPRODUCT(MAX(ROW(E$1:E1504)*(E1505=E$1:E1504))))))</f>
        <v/>
      </c>
      <c r="K1505" s="15" t="str">
        <f aca="false">IF(OR(E1505="",E1505="!!!",F1505="NEW"),"",INDEX(J$1:J1504,SUMPRODUCT(MAX(ROW(E$1:E1504)*(E1505=E$1:E1504)))))</f>
        <v/>
      </c>
      <c r="L1505" s="16"/>
    </row>
    <row r="1506" customFormat="false" ht="12.8" hidden="false" customHeight="false" outlineLevel="0" collapsed="false">
      <c r="A1506" s="0" t="s">
        <v>24</v>
      </c>
      <c r="E1506" s="10" t="str">
        <f aca="false">IF(D1506="?OLD","!!!","")</f>
        <v/>
      </c>
      <c r="F1506" s="11" t="str">
        <f aca="false">IF(OR(E1506="",E1506="!!!"),"",IF(NOT(ISNA(VLOOKUP(E1506,E$1:E1505,1,FALSE()))),"OLD",IF(AND(E1506&lt;&gt;"",E1506&lt;&gt;"!!!"),"NEW","")))</f>
        <v/>
      </c>
      <c r="G1506" s="12" t="str">
        <f aca="false">IF(OR(E1506="",E1506="!!!"),"",IF(OR(J1506=0,AND(J1506=1,K1506=1),AND(J1506=1,I1506="SBJ"),AND(J1506=1,I1506=0)),"?IN_FOCUS",IF(J1506&lt;=2,"?ACTIVATED",IF(J1506&lt;&gt;"","?FAMILIAR",IF(F1506="NEW",IF(ISNA(VLOOKUP(E1506,#REF!,1,FALSE())),"?TYPE_IDENTIFIABLE","?REFERENTIAL"),"_")))))</f>
        <v/>
      </c>
      <c r="H1506" s="13" t="str">
        <f aca="false">IF(J1506&lt;&gt;1,"",IF(I1506="SBJ","CB","?"))</f>
        <v/>
      </c>
      <c r="I1506" s="14" t="str">
        <f aca="false">IF(OR(E1506="",E1506="!!!",F1506="NEW"),"",INDEX(B$2:B1505,-1+SUMPRODUCT(MAX(ROW(E$2:E1505)*(E1506=E$2:E1505)))))</f>
        <v/>
      </c>
      <c r="J1506" s="15" t="str">
        <f aca="true">IF(OR(E1506="",E1506="!!!",F1506="NEW"),"",COUNTBLANK(OFFSET(A$1,,,SUMPRODUCT(MAX(ROW(E$2:E1506)*(E1506=E$2:E1506)))))-COUNTBLANK(OFFSET(A$1,,,SUMPRODUCT(MAX(ROW(E$1:E1505)*(E1506=E$1:E1505))))))</f>
        <v/>
      </c>
      <c r="K1506" s="15" t="str">
        <f aca="false">IF(OR(E1506="",E1506="!!!",F1506="NEW"),"",INDEX(J$1:J1505,SUMPRODUCT(MAX(ROW(E$1:E1505)*(E1506=E$1:E1505)))))</f>
        <v/>
      </c>
      <c r="L1506" s="16"/>
    </row>
    <row r="1507" customFormat="false" ht="12.8" hidden="false" customHeight="false" outlineLevel="0" collapsed="false">
      <c r="A1507" s="0" t="s">
        <v>727</v>
      </c>
      <c r="B1507" s="0" t="s">
        <v>34</v>
      </c>
      <c r="C1507" s="0" t="s">
        <v>27</v>
      </c>
      <c r="D1507" s="0" t="s">
        <v>20</v>
      </c>
      <c r="E1507" s="10" t="s">
        <v>728</v>
      </c>
      <c r="F1507" s="11" t="str">
        <f aca="false">IF(OR(E1507="",E1507="!!!"),"",IF(NOT(ISNA(VLOOKUP(E1507,E$1:E1506,1,FALSE()))),"OLD",IF(AND(E1507&lt;&gt;"",E1507&lt;&gt;"!!!"),"NEW","")))</f>
        <v>NEW</v>
      </c>
      <c r="G1507" s="12" t="s">
        <v>67</v>
      </c>
      <c r="H1507" s="13" t="str">
        <f aca="false">IF(J1507&lt;&gt;1,"",IF(I1507="SBJ","CB","?"))</f>
        <v/>
      </c>
      <c r="I1507" s="14" t="str">
        <f aca="false">IF(OR(E1507="",E1507="!!!",F1507="NEW"),"",INDEX(B$2:B1506,-1+SUMPRODUCT(MAX(ROW(E$2:E1506)*(E1507=E$2:E1506)))))</f>
        <v/>
      </c>
      <c r="J1507" s="15" t="str">
        <f aca="true">IF(OR(E1507="",E1507="!!!",F1507="NEW"),"",COUNTBLANK(OFFSET(A$1,,,SUMPRODUCT(MAX(ROW(E$2:E1507)*(E1507=E$2:E1507)))))-COUNTBLANK(OFFSET(A$1,,,SUMPRODUCT(MAX(ROW(E$1:E1506)*(E1507=E$1:E1506))))))</f>
        <v/>
      </c>
      <c r="K1507" s="15" t="str">
        <f aca="false">IF(OR(E1507="",E1507="!!!",F1507="NEW"),"",INDEX(J$1:J1506,SUMPRODUCT(MAX(ROW(E$1:E1506)*(E1507=E$1:E1506)))))</f>
        <v/>
      </c>
      <c r="L1507" s="16"/>
    </row>
    <row r="1508" customFormat="false" ht="12.8" hidden="false" customHeight="false" outlineLevel="0" collapsed="false">
      <c r="A1508" s="0" t="s">
        <v>51</v>
      </c>
      <c r="B1508" s="0" t="s">
        <v>53</v>
      </c>
      <c r="E1508" s="10" t="str">
        <f aca="false">IF(D1508="?OLD","!!!","")</f>
        <v/>
      </c>
      <c r="F1508" s="11" t="str">
        <f aca="false">IF(OR(E1508="",E1508="!!!"),"",IF(NOT(ISNA(VLOOKUP(E1508,E$1:E1507,1,FALSE()))),"OLD",IF(AND(E1508&lt;&gt;"",E1508&lt;&gt;"!!!"),"NEW","")))</f>
        <v/>
      </c>
      <c r="G1508" s="12" t="str">
        <f aca="false">IF(OR(E1508="",E1508="!!!"),"",IF(OR(J1508=0,AND(J1508=1,K1508=1),AND(J1508=1,I1508="SBJ"),AND(J1508=1,I1508=0)),"?IN_FOCUS",IF(J1508&lt;=2,"?ACTIVATED",IF(J1508&lt;&gt;"","?FAMILIAR",IF(F1508="NEW",IF(ISNA(VLOOKUP(E1508,#REF!,1,FALSE())),"?TYPE_IDENTIFIABLE","?REFERENTIAL"),"_")))))</f>
        <v/>
      </c>
      <c r="H1508" s="13" t="str">
        <f aca="false">IF(J1508&lt;&gt;1,"",IF(I1508="SBJ","CB","?"))</f>
        <v/>
      </c>
      <c r="I1508" s="14" t="str">
        <f aca="false">IF(OR(E1508="",E1508="!!!",F1508="NEW"),"",INDEX(B$2:B1507,-1+SUMPRODUCT(MAX(ROW(E$2:E1507)*(E1508=E$2:E1507)))))</f>
        <v/>
      </c>
      <c r="J1508" s="15" t="str">
        <f aca="true">IF(OR(E1508="",E1508="!!!",F1508="NEW"),"",COUNTBLANK(OFFSET(A$1,,,SUMPRODUCT(MAX(ROW(E$2:E1508)*(E1508=E$2:E1508)))))-COUNTBLANK(OFFSET(A$1,,,SUMPRODUCT(MAX(ROW(E$1:E1507)*(E1508=E$1:E1507))))))</f>
        <v/>
      </c>
      <c r="K1508" s="15" t="str">
        <f aca="false">IF(OR(E1508="",E1508="!!!",F1508="NEW"),"",INDEX(J$1:J1507,SUMPRODUCT(MAX(ROW(E$1:E1507)*(E1508=E$1:E1507)))))</f>
        <v/>
      </c>
      <c r="L1508" s="16"/>
    </row>
    <row r="1509" customFormat="false" ht="12.8" hidden="false" customHeight="false" outlineLevel="0" collapsed="false">
      <c r="A1509" s="0" t="s">
        <v>209</v>
      </c>
      <c r="E1509" s="10" t="str">
        <f aca="false">IF(D1509="?OLD","!!!","")</f>
        <v/>
      </c>
      <c r="F1509" s="11" t="str">
        <f aca="false">IF(OR(E1509="",E1509="!!!"),"",IF(NOT(ISNA(VLOOKUP(E1509,E$1:E1508,1,FALSE()))),"OLD",IF(AND(E1509&lt;&gt;"",E1509&lt;&gt;"!!!"),"NEW","")))</f>
        <v/>
      </c>
      <c r="G1509" s="12" t="str">
        <f aca="false">IF(OR(E1509="",E1509="!!!"),"",IF(OR(J1509=0,AND(J1509=1,K1509=1),AND(J1509=1,I1509="SBJ"),AND(J1509=1,I1509=0)),"?IN_FOCUS",IF(J1509&lt;=2,"?ACTIVATED",IF(J1509&lt;&gt;"","?FAMILIAR",IF(F1509="NEW",IF(ISNA(VLOOKUP(E1509,#REF!,1,FALSE())),"?TYPE_IDENTIFIABLE","?REFERENTIAL"),"_")))))</f>
        <v/>
      </c>
      <c r="H1509" s="13" t="str">
        <f aca="false">IF(J1509&lt;&gt;1,"",IF(I1509="SBJ","CB","?"))</f>
        <v/>
      </c>
      <c r="I1509" s="14" t="str">
        <f aca="false">IF(OR(E1509="",E1509="!!!",F1509="NEW"),"",INDEX(B$2:B1508,-1+SUMPRODUCT(MAX(ROW(E$2:E1508)*(E1509=E$2:E1508)))))</f>
        <v/>
      </c>
      <c r="J1509" s="15" t="str">
        <f aca="true">IF(OR(E1509="",E1509="!!!",F1509="NEW"),"",COUNTBLANK(OFFSET(A$1,,,SUMPRODUCT(MAX(ROW(E$2:E1509)*(E1509=E$2:E1509)))))-COUNTBLANK(OFFSET(A$1,,,SUMPRODUCT(MAX(ROW(E$1:E1508)*(E1509=E$1:E1508))))))</f>
        <v/>
      </c>
      <c r="K1509" s="15" t="str">
        <f aca="false">IF(OR(E1509="",E1509="!!!",F1509="NEW"),"",INDEX(J$1:J1508,SUMPRODUCT(MAX(ROW(E$1:E1508)*(E1509=E$1:E1508)))))</f>
        <v/>
      </c>
      <c r="L1509" s="16"/>
    </row>
    <row r="1510" customFormat="false" ht="12.8" hidden="false" customHeight="false" outlineLevel="0" collapsed="false">
      <c r="A1510" s="0" t="s">
        <v>41</v>
      </c>
      <c r="E1510" s="10" t="str">
        <f aca="false">IF(D1510="?OLD","!!!","")</f>
        <v/>
      </c>
      <c r="F1510" s="11" t="str">
        <f aca="false">IF(OR(E1510="",E1510="!!!"),"",IF(NOT(ISNA(VLOOKUP(E1510,E$1:E1509,1,FALSE()))),"OLD",IF(AND(E1510&lt;&gt;"",E1510&lt;&gt;"!!!"),"NEW","")))</f>
        <v/>
      </c>
      <c r="G1510" s="12" t="str">
        <f aca="false">IF(OR(E1510="",E1510="!!!"),"",IF(OR(J1510=0,AND(J1510=1,K1510=1),AND(J1510=1,I1510="SBJ"),AND(J1510=1,I1510=0)),"?IN_FOCUS",IF(J1510&lt;=2,"?ACTIVATED",IF(J1510&lt;&gt;"","?FAMILIAR",IF(F1510="NEW",IF(ISNA(VLOOKUP(E1510,#REF!,1,FALSE())),"?TYPE_IDENTIFIABLE","?REFERENTIAL"),"_")))))</f>
        <v/>
      </c>
      <c r="H1510" s="13" t="str">
        <f aca="false">IF(J1510&lt;&gt;1,"",IF(I1510="SBJ","CB","?"))</f>
        <v/>
      </c>
      <c r="I1510" s="14" t="str">
        <f aca="false">IF(OR(E1510="",E1510="!!!",F1510="NEW"),"",INDEX(B$2:B1509,-1+SUMPRODUCT(MAX(ROW(E$2:E1509)*(E1510=E$2:E1509)))))</f>
        <v/>
      </c>
      <c r="J1510" s="15" t="str">
        <f aca="true">IF(OR(E1510="",E1510="!!!",F1510="NEW"),"",COUNTBLANK(OFFSET(A$1,,,SUMPRODUCT(MAX(ROW(E$2:E1510)*(E1510=E$2:E1510)))))-COUNTBLANK(OFFSET(A$1,,,SUMPRODUCT(MAX(ROW(E$1:E1509)*(E1510=E$1:E1509))))))</f>
        <v/>
      </c>
      <c r="K1510" s="15" t="str">
        <f aca="false">IF(OR(E1510="",E1510="!!!",F1510="NEW"),"",INDEX(J$1:J1509,SUMPRODUCT(MAX(ROW(E$1:E1509)*(E1510=E$1:E1509)))))</f>
        <v/>
      </c>
      <c r="L1510" s="16"/>
    </row>
    <row r="1511" customFormat="false" ht="12.8" hidden="false" customHeight="false" outlineLevel="0" collapsed="false">
      <c r="A1511" s="0" t="s">
        <v>729</v>
      </c>
      <c r="E1511" s="10" t="str">
        <f aca="false">IF(D1511="?OLD","!!!","")</f>
        <v/>
      </c>
      <c r="F1511" s="11" t="str">
        <f aca="false">IF(OR(E1511="",E1511="!!!"),"",IF(NOT(ISNA(VLOOKUP(E1511,E$1:E1510,1,FALSE()))),"OLD",IF(AND(E1511&lt;&gt;"",E1511&lt;&gt;"!!!"),"NEW","")))</f>
        <v/>
      </c>
      <c r="G1511" s="12" t="str">
        <f aca="false">IF(OR(E1511="",E1511="!!!"),"",IF(OR(J1511=0,AND(J1511=1,K1511=1),AND(J1511=1,I1511="SBJ"),AND(J1511=1,I1511=0)),"?IN_FOCUS",IF(J1511&lt;=2,"?ACTIVATED",IF(J1511&lt;&gt;"","?FAMILIAR",IF(F1511="NEW",IF(ISNA(VLOOKUP(E1511,#REF!,1,FALSE())),"?TYPE_IDENTIFIABLE","?REFERENTIAL"),"_")))))</f>
        <v/>
      </c>
      <c r="H1511" s="13" t="str">
        <f aca="false">IF(J1511&lt;&gt;1,"",IF(I1511="SBJ","CB","?"))</f>
        <v/>
      </c>
      <c r="I1511" s="14" t="str">
        <f aca="false">IF(OR(E1511="",E1511="!!!",F1511="NEW"),"",INDEX(B$2:B1510,-1+SUMPRODUCT(MAX(ROW(E$2:E1510)*(E1511=E$2:E1510)))))</f>
        <v/>
      </c>
      <c r="J1511" s="15" t="str">
        <f aca="true">IF(OR(E1511="",E1511="!!!",F1511="NEW"),"",COUNTBLANK(OFFSET(A$1,,,SUMPRODUCT(MAX(ROW(E$2:E1511)*(E1511=E$2:E1511)))))-COUNTBLANK(OFFSET(A$1,,,SUMPRODUCT(MAX(ROW(E$1:E1510)*(E1511=E$1:E1510))))))</f>
        <v/>
      </c>
      <c r="K1511" s="15" t="str">
        <f aca="false">IF(OR(E1511="",E1511="!!!",F1511="NEW"),"",INDEX(J$1:J1510,SUMPRODUCT(MAX(ROW(E$1:E1510)*(E1511=E$1:E1510)))))</f>
        <v/>
      </c>
      <c r="L1511" s="16"/>
    </row>
    <row r="1512" customFormat="false" ht="12.8" hidden="false" customHeight="false" outlineLevel="0" collapsed="false">
      <c r="A1512" s="0" t="s">
        <v>730</v>
      </c>
      <c r="E1512" s="10" t="str">
        <f aca="false">IF(D1512="?OLD","!!!","")</f>
        <v/>
      </c>
      <c r="F1512" s="11" t="str">
        <f aca="false">IF(OR(E1512="",E1512="!!!"),"",IF(NOT(ISNA(VLOOKUP(E1512,E$1:E1511,1,FALSE()))),"OLD",IF(AND(E1512&lt;&gt;"",E1512&lt;&gt;"!!!"),"NEW","")))</f>
        <v/>
      </c>
      <c r="G1512" s="12" t="str">
        <f aca="false">IF(OR(E1512="",E1512="!!!"),"",IF(OR(J1512=0,AND(J1512=1,K1512=1),AND(J1512=1,I1512="SBJ"),AND(J1512=1,I1512=0)),"?IN_FOCUS",IF(J1512&lt;=2,"?ACTIVATED",IF(J1512&lt;&gt;"","?FAMILIAR",IF(F1512="NEW",IF(ISNA(VLOOKUP(E1512,#REF!,1,FALSE())),"?TYPE_IDENTIFIABLE","?REFERENTIAL"),"_")))))</f>
        <v/>
      </c>
      <c r="H1512" s="13" t="str">
        <f aca="false">IF(J1512&lt;&gt;1,"",IF(I1512="SBJ","CB","?"))</f>
        <v/>
      </c>
      <c r="I1512" s="14" t="str">
        <f aca="false">IF(OR(E1512="",E1512="!!!",F1512="NEW"),"",INDEX(B$2:B1511,-1+SUMPRODUCT(MAX(ROW(E$2:E1511)*(E1512=E$2:E1511)))))</f>
        <v/>
      </c>
      <c r="J1512" s="15" t="str">
        <f aca="true">IF(OR(E1512="",E1512="!!!",F1512="NEW"),"",COUNTBLANK(OFFSET(A$1,,,SUMPRODUCT(MAX(ROW(E$2:E1512)*(E1512=E$2:E1512)))))-COUNTBLANK(OFFSET(A$1,,,SUMPRODUCT(MAX(ROW(E$1:E1511)*(E1512=E$1:E1511))))))</f>
        <v/>
      </c>
      <c r="K1512" s="15" t="str">
        <f aca="false">IF(OR(E1512="",E1512="!!!",F1512="NEW"),"",INDEX(J$1:J1511,SUMPRODUCT(MAX(ROW(E$1:E1511)*(E1512=E$1:E1511)))))</f>
        <v/>
      </c>
      <c r="L1512" s="16"/>
    </row>
    <row r="1513" customFormat="false" ht="12.8" hidden="false" customHeight="false" outlineLevel="0" collapsed="false">
      <c r="A1513" s="0" t="s">
        <v>707</v>
      </c>
      <c r="B1513" s="0" t="s">
        <v>65</v>
      </c>
      <c r="C1513" s="0" t="s">
        <v>244</v>
      </c>
      <c r="D1513" s="0" t="s">
        <v>20</v>
      </c>
      <c r="E1513" s="10" t="s">
        <v>49</v>
      </c>
      <c r="F1513" s="11" t="str">
        <f aca="false">IF(OR(E1513="",E1513="!!!"),"",IF(NOT(ISNA(VLOOKUP(E1513,E$1:E1512,1,FALSE()))),"OLD",IF(AND(E1513&lt;&gt;"",E1513&lt;&gt;"!!!"),"NEW","")))</f>
        <v>OLD</v>
      </c>
      <c r="G1513" s="12" t="s">
        <v>87</v>
      </c>
      <c r="H1513" s="13" t="str">
        <f aca="false">IF(J1513&lt;&gt;1,"",IF(I1513="SBJ","CB","?"))</f>
        <v>CB</v>
      </c>
      <c r="I1513" s="14" t="str">
        <f aca="false">IF(OR(E1513="",E1513="!!!",F1513="NEW"),"",INDEX(B$2:B1512,-1+SUMPRODUCT(MAX(ROW(E$2:E1512)*(E1513=E$2:E1512)))))</f>
        <v>SBJ</v>
      </c>
      <c r="J1513" s="15" t="n">
        <f aca="true">IF(OR(E1513="",E1513="!!!",F1513="NEW"),"",COUNTBLANK(OFFSET(A$1,,,SUMPRODUCT(MAX(ROW(E$2:E1513)*(E1513=E$2:E1513)))))-COUNTBLANK(OFFSET(A$1,,,SUMPRODUCT(MAX(ROW(E$1:E1512)*(E1513=E$1:E1512))))))</f>
        <v>1</v>
      </c>
      <c r="K1513" s="15" t="n">
        <f aca="false">IF(OR(E1513="",E1513="!!!",F1513="NEW"),"",INDEX(J$1:J1512,SUMPRODUCT(MAX(ROW(E$1:E1512)*(E1513=E$1:E1512)))))</f>
        <v>1</v>
      </c>
      <c r="L1513" s="16"/>
    </row>
    <row r="1514" customFormat="false" ht="12.8" hidden="false" customHeight="false" outlineLevel="0" collapsed="false">
      <c r="A1514" s="0" t="s">
        <v>731</v>
      </c>
      <c r="B1514" s="0" t="s">
        <v>96</v>
      </c>
      <c r="C1514" s="0" t="s">
        <v>246</v>
      </c>
      <c r="D1514" s="0" t="s">
        <v>20</v>
      </c>
      <c r="E1514" s="10"/>
      <c r="F1514" s="11" t="s">
        <v>247</v>
      </c>
      <c r="G1514" s="12" t="str">
        <f aca="false">IF(OR(E1514="",E1514="!!!"),"",IF(OR(J1514=0,AND(J1514=1,K1514=1),AND(J1514=1,I1514="SBJ"),AND(J1514=1,I1514=0)),"?IN_FOCUS",IF(J1514&lt;=2,"?ACTIVATED",IF(J1514&lt;&gt;"","?FAMILIAR",IF(F1514="NEW",IF(ISNA(VLOOKUP(E1514,#REF!,1,FALSE())),"?TYPE_IDENTIFIABLE","?REFERENTIAL"),"_")))))</f>
        <v/>
      </c>
      <c r="H1514" s="13" t="str">
        <f aca="false">IF(J1514&lt;&gt;1,"",IF(I1514="SBJ","CB","?"))</f>
        <v/>
      </c>
      <c r="I1514" s="14" t="str">
        <f aca="false">IF(OR(E1514="",E1514="!!!",F1514="NEW"),"",INDEX(B$2:B1513,-1+SUMPRODUCT(MAX(ROW(E$2:E1513)*(E1514=E$2:E1513)))))</f>
        <v/>
      </c>
      <c r="J1514" s="15" t="str">
        <f aca="true">IF(OR(E1514="",E1514="!!!",F1514="NEW"),"",COUNTBLANK(OFFSET(A$1,,,SUMPRODUCT(MAX(ROW(E$2:E1514)*(E1514=E$2:E1514)))))-COUNTBLANK(OFFSET(A$1,,,SUMPRODUCT(MAX(ROW(E$1:E1513)*(E1514=E$1:E1513))))))</f>
        <v/>
      </c>
      <c r="K1514" s="15" t="str">
        <f aca="false">IF(OR(E1514="",E1514="!!!",F1514="NEW"),"",INDEX(J$1:J1513,SUMPRODUCT(MAX(ROW(E$1:E1513)*(E1514=E$1:E1513)))))</f>
        <v/>
      </c>
      <c r="L1514" s="16"/>
    </row>
    <row r="1515" customFormat="false" ht="12.8" hidden="false" customHeight="false" outlineLevel="0" collapsed="false">
      <c r="A1515" s="0" t="s">
        <v>37</v>
      </c>
      <c r="E1515" s="10" t="str">
        <f aca="false">IF(D1515="?OLD","!!!","")</f>
        <v/>
      </c>
      <c r="F1515" s="11" t="str">
        <f aca="false">IF(OR(E1515="",E1515="!!!"),"",IF(NOT(ISNA(VLOOKUP(E1515,E$1:E1514,1,FALSE()))),"OLD",IF(AND(E1515&lt;&gt;"",E1515&lt;&gt;"!!!"),"NEW","")))</f>
        <v/>
      </c>
      <c r="G1515" s="12" t="str">
        <f aca="false">IF(OR(E1515="",E1515="!!!"),"",IF(OR(J1515=0,AND(J1515=1,K1515=1),AND(J1515=1,I1515="SBJ"),AND(J1515=1,I1515=0)),"?IN_FOCUS",IF(J1515&lt;=2,"?ACTIVATED",IF(J1515&lt;&gt;"","?FAMILIAR",IF(F1515="NEW",IF(ISNA(VLOOKUP(E1515,#REF!,1,FALSE())),"?TYPE_IDENTIFIABLE","?REFERENTIAL"),"_")))))</f>
        <v/>
      </c>
      <c r="H1515" s="13" t="str">
        <f aca="false">IF(J1515&lt;&gt;1,"",IF(I1515="SBJ","CB","?"))</f>
        <v/>
      </c>
      <c r="I1515" s="14" t="str">
        <f aca="false">IF(OR(E1515="",E1515="!!!",F1515="NEW"),"",INDEX(B$2:B1514,-1+SUMPRODUCT(MAX(ROW(E$2:E1514)*(E1515=E$2:E1514)))))</f>
        <v/>
      </c>
      <c r="J1515" s="15" t="str">
        <f aca="true">IF(OR(E1515="",E1515="!!!",F1515="NEW"),"",COUNTBLANK(OFFSET(A$1,,,SUMPRODUCT(MAX(ROW(E$2:E1515)*(E1515=E$2:E1515)))))-COUNTBLANK(OFFSET(A$1,,,SUMPRODUCT(MAX(ROW(E$1:E1514)*(E1515=E$1:E1514))))))</f>
        <v/>
      </c>
      <c r="K1515" s="15" t="str">
        <f aca="false">IF(OR(E1515="",E1515="!!!",F1515="NEW"),"",INDEX(J$1:J1514,SUMPRODUCT(MAX(ROW(E$1:E1514)*(E1515=E$1:E1514)))))</f>
        <v/>
      </c>
      <c r="L1515" s="16"/>
    </row>
    <row r="1516" customFormat="false" ht="12.8" hidden="false" customHeight="false" outlineLevel="0" collapsed="false">
      <c r="A1516" s="0" t="s">
        <v>44</v>
      </c>
      <c r="E1516" s="10" t="str">
        <f aca="false">IF(D1516="?OLD","!!!","")</f>
        <v/>
      </c>
      <c r="F1516" s="11" t="str">
        <f aca="false">IF(OR(E1516="",E1516="!!!"),"",IF(NOT(ISNA(VLOOKUP(E1516,E$1:E1515,1,FALSE()))),"OLD",IF(AND(E1516&lt;&gt;"",E1516&lt;&gt;"!!!"),"NEW","")))</f>
        <v/>
      </c>
      <c r="G1516" s="12" t="str">
        <f aca="false">IF(OR(E1516="",E1516="!!!"),"",IF(OR(J1516=0,AND(J1516=1,K1516=1),AND(J1516=1,I1516="SBJ"),AND(J1516=1,I1516=0)),"?IN_FOCUS",IF(J1516&lt;=2,"?ACTIVATED",IF(J1516&lt;&gt;"","?FAMILIAR",IF(F1516="NEW",IF(ISNA(VLOOKUP(E1516,#REF!,1,FALSE())),"?TYPE_IDENTIFIABLE","?REFERENTIAL"),"_")))))</f>
        <v/>
      </c>
      <c r="H1516" s="13" t="str">
        <f aca="false">IF(J1516&lt;&gt;1,"",IF(I1516="SBJ","CB","?"))</f>
        <v/>
      </c>
      <c r="I1516" s="14" t="str">
        <f aca="false">IF(OR(E1516="",E1516="!!!",F1516="NEW"),"",INDEX(B$2:B1515,-1+SUMPRODUCT(MAX(ROW(E$2:E1515)*(E1516=E$2:E1515)))))</f>
        <v/>
      </c>
      <c r="J1516" s="15" t="str">
        <f aca="true">IF(OR(E1516="",E1516="!!!",F1516="NEW"),"",COUNTBLANK(OFFSET(A$1,,,SUMPRODUCT(MAX(ROW(E$2:E1516)*(E1516=E$2:E1516)))))-COUNTBLANK(OFFSET(A$1,,,SUMPRODUCT(MAX(ROW(E$1:E1515)*(E1516=E$1:E1515))))))</f>
        <v/>
      </c>
      <c r="K1516" s="15" t="str">
        <f aca="false">IF(OR(E1516="",E1516="!!!",F1516="NEW"),"",INDEX(J$1:J1515,SUMPRODUCT(MAX(ROW(E$1:E1515)*(E1516=E$1:E1515)))))</f>
        <v/>
      </c>
      <c r="L1516" s="16"/>
    </row>
    <row r="1517" customFormat="false" ht="12.8" hidden="false" customHeight="false" outlineLevel="0" collapsed="false">
      <c r="E1517" s="10" t="str">
        <f aca="false">IF(D1517="?OLD","!!!","")</f>
        <v/>
      </c>
      <c r="F1517" s="11" t="str">
        <f aca="false">IF(OR(E1517="",E1517="!!!"),"",IF(NOT(ISNA(VLOOKUP(E1517,E$1:E1516,1,FALSE()))),"OLD",IF(AND(E1517&lt;&gt;"",E1517&lt;&gt;"!!!"),"NEW","")))</f>
        <v/>
      </c>
      <c r="G1517" s="12" t="str">
        <f aca="false">IF(OR(E1517="",E1517="!!!"),"",IF(OR(J1517=0,AND(J1517=1,K1517=1),AND(J1517=1,I1517="SBJ"),AND(J1517=1,I1517=0)),"?IN_FOCUS",IF(J1517&lt;=2,"?ACTIVATED",IF(J1517&lt;&gt;"","?FAMILIAR",IF(F1517="NEW",IF(ISNA(VLOOKUP(E1517,#REF!,1,FALSE())),"?TYPE_IDENTIFIABLE","?REFERENTIAL"),"_")))))</f>
        <v/>
      </c>
      <c r="H1517" s="13" t="str">
        <f aca="false">IF(J1517&lt;&gt;1,"",IF(I1517="SBJ","CB","?"))</f>
        <v/>
      </c>
      <c r="I1517" s="14" t="str">
        <f aca="false">IF(OR(E1517="",E1517="!!!",F1517="NEW"),"",INDEX(B$2:B1516,-1+SUMPRODUCT(MAX(ROW(E$2:E1516)*(E1517=E$2:E1516)))))</f>
        <v/>
      </c>
      <c r="J1517" s="15" t="str">
        <f aca="true">IF(OR(E1517="",E1517="!!!",F1517="NEW"),"",COUNTBLANK(OFFSET(A$1,,,SUMPRODUCT(MAX(ROW(E$2:E1517)*(E1517=E$2:E1517)))))-COUNTBLANK(OFFSET(A$1,,,SUMPRODUCT(MAX(ROW(E$1:E1516)*(E1517=E$1:E1516))))))</f>
        <v/>
      </c>
      <c r="K1517" s="15" t="str">
        <f aca="false">IF(OR(E1517="",E1517="!!!",F1517="NEW"),"",INDEX(J$1:J1516,SUMPRODUCT(MAX(ROW(E$1:E1516)*(E1517=E$1:E1516)))))</f>
        <v/>
      </c>
      <c r="L1517" s="16"/>
    </row>
    <row r="1518" customFormat="false" ht="12.8" hidden="false" customHeight="false" outlineLevel="0" collapsed="false">
      <c r="A1518" s="0" t="s">
        <v>503</v>
      </c>
      <c r="E1518" s="10" t="str">
        <f aca="false">IF(D1518="?OLD","!!!","")</f>
        <v/>
      </c>
      <c r="F1518" s="11" t="str">
        <f aca="false">IF(OR(E1518="",E1518="!!!"),"",IF(NOT(ISNA(VLOOKUP(E1518,E$1:E1517,1,FALSE()))),"OLD",IF(AND(E1518&lt;&gt;"",E1518&lt;&gt;"!!!"),"NEW","")))</f>
        <v/>
      </c>
      <c r="G1518" s="12" t="str">
        <f aca="false">IF(OR(E1518="",E1518="!!!"),"",IF(OR(J1518=0,AND(J1518=1,K1518=1),AND(J1518=1,I1518="SBJ"),AND(J1518=1,I1518=0)),"?IN_FOCUS",IF(J1518&lt;=2,"?ACTIVATED",IF(J1518&lt;&gt;"","?FAMILIAR",IF(F1518="NEW",IF(ISNA(VLOOKUP(E1518,#REF!,1,FALSE())),"?TYPE_IDENTIFIABLE","?REFERENTIAL"),"_")))))</f>
        <v/>
      </c>
      <c r="H1518" s="13" t="str">
        <f aca="false">IF(J1518&lt;&gt;1,"",IF(I1518="SBJ","CB","?"))</f>
        <v/>
      </c>
      <c r="I1518" s="14" t="str">
        <f aca="false">IF(OR(E1518="",E1518="!!!",F1518="NEW"),"",INDEX(B$2:B1517,-1+SUMPRODUCT(MAX(ROW(E$2:E1517)*(E1518=E$2:E1517)))))</f>
        <v/>
      </c>
      <c r="J1518" s="15" t="str">
        <f aca="true">IF(OR(E1518="",E1518="!!!",F1518="NEW"),"",COUNTBLANK(OFFSET(A$1,,,SUMPRODUCT(MAX(ROW(E$2:E1518)*(E1518=E$2:E1518)))))-COUNTBLANK(OFFSET(A$1,,,SUMPRODUCT(MAX(ROW(E$1:E1517)*(E1518=E$1:E1517))))))</f>
        <v/>
      </c>
      <c r="K1518" s="15" t="str">
        <f aca="false">IF(OR(E1518="",E1518="!!!",F1518="NEW"),"",INDEX(J$1:J1517,SUMPRODUCT(MAX(ROW(E$1:E1517)*(E1518=E$1:E1517)))))</f>
        <v/>
      </c>
      <c r="L1518" s="16"/>
    </row>
    <row r="1519" customFormat="false" ht="12.8" hidden="false" customHeight="false" outlineLevel="0" collapsed="false">
      <c r="A1519" s="0" t="s">
        <v>732</v>
      </c>
      <c r="E1519" s="10" t="str">
        <f aca="false">IF(D1519="?OLD","!!!","")</f>
        <v/>
      </c>
      <c r="F1519" s="11" t="str">
        <f aca="false">IF(OR(E1519="",E1519="!!!"),"",IF(NOT(ISNA(VLOOKUP(E1519,E$1:E1518,1,FALSE()))),"OLD",IF(AND(E1519&lt;&gt;"",E1519&lt;&gt;"!!!"),"NEW","")))</f>
        <v/>
      </c>
      <c r="G1519" s="12" t="str">
        <f aca="false">IF(OR(E1519="",E1519="!!!"),"",IF(OR(J1519=0,AND(J1519=1,K1519=1),AND(J1519=1,I1519="SBJ"),AND(J1519=1,I1519=0)),"?IN_FOCUS",IF(J1519&lt;=2,"?ACTIVATED",IF(J1519&lt;&gt;"","?FAMILIAR",IF(F1519="NEW",IF(ISNA(VLOOKUP(E1519,#REF!,1,FALSE())),"?TYPE_IDENTIFIABLE","?REFERENTIAL"),"_")))))</f>
        <v/>
      </c>
      <c r="H1519" s="13" t="str">
        <f aca="false">IF(J1519&lt;&gt;1,"",IF(I1519="SBJ","CB","?"))</f>
        <v/>
      </c>
      <c r="I1519" s="14" t="str">
        <f aca="false">IF(OR(E1519="",E1519="!!!",F1519="NEW"),"",INDEX(B$2:B1518,-1+SUMPRODUCT(MAX(ROW(E$2:E1518)*(E1519=E$2:E1518)))))</f>
        <v/>
      </c>
      <c r="J1519" s="15" t="str">
        <f aca="true">IF(OR(E1519="",E1519="!!!",F1519="NEW"),"",COUNTBLANK(OFFSET(A$1,,,SUMPRODUCT(MAX(ROW(E$2:E1519)*(E1519=E$2:E1519)))))-COUNTBLANK(OFFSET(A$1,,,SUMPRODUCT(MAX(ROW(E$1:E1518)*(E1519=E$1:E1518))))))</f>
        <v/>
      </c>
      <c r="K1519" s="15" t="str">
        <f aca="false">IF(OR(E1519="",E1519="!!!",F1519="NEW"),"",INDEX(J$1:J1518,SUMPRODUCT(MAX(ROW(E$1:E1518)*(E1519=E$1:E1518)))))</f>
        <v/>
      </c>
      <c r="L1519" s="16"/>
    </row>
    <row r="1520" customFormat="false" ht="12.8" hidden="false" customHeight="false" outlineLevel="0" collapsed="false">
      <c r="A1520" s="0" t="s">
        <v>516</v>
      </c>
      <c r="E1520" s="10" t="str">
        <f aca="false">IF(D1520="?OLD","!!!","")</f>
        <v/>
      </c>
      <c r="F1520" s="11" t="str">
        <f aca="false">IF(OR(E1520="",E1520="!!!"),"",IF(NOT(ISNA(VLOOKUP(E1520,E$1:E1519,1,FALSE()))),"OLD",IF(AND(E1520&lt;&gt;"",E1520&lt;&gt;"!!!"),"NEW","")))</f>
        <v/>
      </c>
      <c r="G1520" s="12" t="str">
        <f aca="false">IF(OR(E1520="",E1520="!!!"),"",IF(OR(J1520=0,AND(J1520=1,K1520=1),AND(J1520=1,I1520="SBJ"),AND(J1520=1,I1520=0)),"?IN_FOCUS",IF(J1520&lt;=2,"?ACTIVATED",IF(J1520&lt;&gt;"","?FAMILIAR",IF(F1520="NEW",IF(ISNA(VLOOKUP(E1520,#REF!,1,FALSE())),"?TYPE_IDENTIFIABLE","?REFERENTIAL"),"_")))))</f>
        <v/>
      </c>
      <c r="H1520" s="13" t="str">
        <f aca="false">IF(J1520&lt;&gt;1,"",IF(I1520="SBJ","CB","?"))</f>
        <v/>
      </c>
      <c r="I1520" s="14" t="str">
        <f aca="false">IF(OR(E1520="",E1520="!!!",F1520="NEW"),"",INDEX(B$2:B1519,-1+SUMPRODUCT(MAX(ROW(E$2:E1519)*(E1520=E$2:E1519)))))</f>
        <v/>
      </c>
      <c r="J1520" s="15" t="str">
        <f aca="true">IF(OR(E1520="",E1520="!!!",F1520="NEW"),"",COUNTBLANK(OFFSET(A$1,,,SUMPRODUCT(MAX(ROW(E$2:E1520)*(E1520=E$2:E1520)))))-COUNTBLANK(OFFSET(A$1,,,SUMPRODUCT(MAX(ROW(E$1:E1519)*(E1520=E$1:E1519))))))</f>
        <v/>
      </c>
      <c r="K1520" s="15" t="str">
        <f aca="false">IF(OR(E1520="",E1520="!!!",F1520="NEW"),"",INDEX(J$1:J1519,SUMPRODUCT(MAX(ROW(E$1:E1519)*(E1520=E$1:E1519)))))</f>
        <v/>
      </c>
      <c r="L1520" s="16"/>
    </row>
    <row r="1521" customFormat="false" ht="12.8" hidden="false" customHeight="false" outlineLevel="0" collapsed="false">
      <c r="A1521" s="0" t="s">
        <v>733</v>
      </c>
      <c r="E1521" s="10" t="str">
        <f aca="false">IF(D1521="?OLD","!!!","")</f>
        <v/>
      </c>
      <c r="F1521" s="11" t="str">
        <f aca="false">IF(OR(E1521="",E1521="!!!"),"",IF(NOT(ISNA(VLOOKUP(E1521,E$1:E1520,1,FALSE()))),"OLD",IF(AND(E1521&lt;&gt;"",E1521&lt;&gt;"!!!"),"NEW","")))</f>
        <v/>
      </c>
      <c r="G1521" s="12" t="str">
        <f aca="false">IF(OR(E1521="",E1521="!!!"),"",IF(OR(J1521=0,AND(J1521=1,K1521=1),AND(J1521=1,I1521="SBJ"),AND(J1521=1,I1521=0)),"?IN_FOCUS",IF(J1521&lt;=2,"?ACTIVATED",IF(J1521&lt;&gt;"","?FAMILIAR",IF(F1521="NEW",IF(ISNA(VLOOKUP(E1521,#REF!,1,FALSE())),"?TYPE_IDENTIFIABLE","?REFERENTIAL"),"_")))))</f>
        <v/>
      </c>
      <c r="H1521" s="13" t="str">
        <f aca="false">IF(J1521&lt;&gt;1,"",IF(I1521="SBJ","CB","?"))</f>
        <v/>
      </c>
      <c r="I1521" s="14" t="str">
        <f aca="false">IF(OR(E1521="",E1521="!!!",F1521="NEW"),"",INDEX(B$2:B1520,-1+SUMPRODUCT(MAX(ROW(E$2:E1520)*(E1521=E$2:E1520)))))</f>
        <v/>
      </c>
      <c r="J1521" s="15" t="str">
        <f aca="true">IF(OR(E1521="",E1521="!!!",F1521="NEW"),"",COUNTBLANK(OFFSET(A$1,,,SUMPRODUCT(MAX(ROW(E$2:E1521)*(E1521=E$2:E1521)))))-COUNTBLANK(OFFSET(A$1,,,SUMPRODUCT(MAX(ROW(E$1:E1520)*(E1521=E$1:E1520))))))</f>
        <v/>
      </c>
      <c r="K1521" s="15" t="str">
        <f aca="false">IF(OR(E1521="",E1521="!!!",F1521="NEW"),"",INDEX(J$1:J1520,SUMPRODUCT(MAX(ROW(E$1:E1520)*(E1521=E$1:E1520)))))</f>
        <v/>
      </c>
      <c r="L1521" s="16"/>
    </row>
    <row r="1522" customFormat="false" ht="12.8" hidden="false" customHeight="false" outlineLevel="0" collapsed="false">
      <c r="A1522" s="0" t="s">
        <v>127</v>
      </c>
      <c r="B1522" s="0" t="s">
        <v>47</v>
      </c>
      <c r="C1522" s="0" t="s">
        <v>48</v>
      </c>
      <c r="D1522" s="0" t="s">
        <v>20</v>
      </c>
      <c r="E1522" s="10" t="s">
        <v>49</v>
      </c>
      <c r="F1522" s="11" t="str">
        <f aca="false">IF(OR(E1522="",E1522="!!!"),"",IF(NOT(ISNA(VLOOKUP(E1522,E$1:E1521,1,FALSE()))),"OLD",IF(AND(E1522&lt;&gt;"",E1522&lt;&gt;"!!!"),"NEW","")))</f>
        <v>OLD</v>
      </c>
      <c r="G1522" s="12" t="s">
        <v>87</v>
      </c>
      <c r="H1522" s="13" t="s">
        <v>7</v>
      </c>
      <c r="I1522" s="14" t="str">
        <f aca="false">IF(OR(E1522="",E1522="!!!",F1522="NEW"),"",INDEX(B$2:B1521,-1+SUMPRODUCT(MAX(ROW(E$2:E1521)*(E1522=E$2:E1521)))))</f>
        <v>other_4</v>
      </c>
      <c r="J1522" s="15" t="n">
        <f aca="true">IF(OR(E1522="",E1522="!!!",F1522="NEW"),"",COUNTBLANK(OFFSET(A$1,,,SUMPRODUCT(MAX(ROW(E$2:E1522)*(E1522=E$2:E1522)))))-COUNTBLANK(OFFSET(A$1,,,SUMPRODUCT(MAX(ROW(E$1:E1521)*(E1522=E$1:E1521))))))</f>
        <v>1</v>
      </c>
      <c r="K1522" s="15" t="n">
        <f aca="false">IF(OR(E1522="",E1522="!!!",F1522="NEW"),"",INDEX(J$1:J1521,SUMPRODUCT(MAX(ROW(E$1:E1521)*(E1522=E$1:E1521)))))</f>
        <v>1</v>
      </c>
      <c r="L1522" s="16"/>
    </row>
    <row r="1523" customFormat="false" ht="12.8" hidden="false" customHeight="false" outlineLevel="0" collapsed="false">
      <c r="A1523" s="0" t="s">
        <v>583</v>
      </c>
      <c r="E1523" s="10" t="str">
        <f aca="false">IF(D1523="?OLD","!!!","")</f>
        <v/>
      </c>
      <c r="F1523" s="11" t="str">
        <f aca="false">IF(OR(E1523="",E1523="!!!"),"",IF(NOT(ISNA(VLOOKUP(E1523,E$1:E1522,1,FALSE()))),"OLD",IF(AND(E1523&lt;&gt;"",E1523&lt;&gt;"!!!"),"NEW","")))</f>
        <v/>
      </c>
      <c r="G1523" s="12" t="str">
        <f aca="false">IF(OR(E1523="",E1523="!!!"),"",IF(OR(J1523=0,AND(J1523=1,K1523=1),AND(J1523=1,I1523="SBJ"),AND(J1523=1,I1523=0)),"?IN_FOCUS",IF(J1523&lt;=2,"?ACTIVATED",IF(J1523&lt;&gt;"","?FAMILIAR",IF(F1523="NEW",IF(ISNA(VLOOKUP(E1523,#REF!,1,FALSE())),"?TYPE_IDENTIFIABLE","?REFERENTIAL"),"_")))))</f>
        <v/>
      </c>
      <c r="H1523" s="13" t="str">
        <f aca="false">IF(J1523&lt;&gt;1,"",IF(I1523="SBJ","CB","?"))</f>
        <v/>
      </c>
      <c r="I1523" s="14" t="str">
        <f aca="false">IF(OR(E1523="",E1523="!!!",F1523="NEW"),"",INDEX(B$2:B1522,-1+SUMPRODUCT(MAX(ROW(E$2:E1522)*(E1523=E$2:E1522)))))</f>
        <v/>
      </c>
      <c r="J1523" s="15" t="str">
        <f aca="true">IF(OR(E1523="",E1523="!!!",F1523="NEW"),"",COUNTBLANK(OFFSET(A$1,,,SUMPRODUCT(MAX(ROW(E$2:E1523)*(E1523=E$2:E1523)))))-COUNTBLANK(OFFSET(A$1,,,SUMPRODUCT(MAX(ROW(E$1:E1522)*(E1523=E$1:E1522))))))</f>
        <v/>
      </c>
      <c r="K1523" s="15" t="str">
        <f aca="false">IF(OR(E1523="",E1523="!!!",F1523="NEW"),"",INDEX(J$1:J1522,SUMPRODUCT(MAX(ROW(E$1:E1522)*(E1523=E$1:E1522)))))</f>
        <v/>
      </c>
      <c r="L1523" s="16"/>
    </row>
    <row r="1524" customFormat="false" ht="12.8" hidden="false" customHeight="false" outlineLevel="0" collapsed="false">
      <c r="A1524" s="0" t="s">
        <v>60</v>
      </c>
      <c r="E1524" s="10" t="str">
        <f aca="false">IF(D1524="?OLD","!!!","")</f>
        <v/>
      </c>
      <c r="F1524" s="11" t="str">
        <f aca="false">IF(OR(E1524="",E1524="!!!"),"",IF(NOT(ISNA(VLOOKUP(E1524,E$1:E1523,1,FALSE()))),"OLD",IF(AND(E1524&lt;&gt;"",E1524&lt;&gt;"!!!"),"NEW","")))</f>
        <v/>
      </c>
      <c r="G1524" s="12" t="str">
        <f aca="false">IF(OR(E1524="",E1524="!!!"),"",IF(OR(J1524=0,AND(J1524=1,K1524=1),AND(J1524=1,I1524="SBJ"),AND(J1524=1,I1524=0)),"?IN_FOCUS",IF(J1524&lt;=2,"?ACTIVATED",IF(J1524&lt;&gt;"","?FAMILIAR",IF(F1524="NEW",IF(ISNA(VLOOKUP(E1524,#REF!,1,FALSE())),"?TYPE_IDENTIFIABLE","?REFERENTIAL"),"_")))))</f>
        <v/>
      </c>
      <c r="H1524" s="13" t="str">
        <f aca="false">IF(J1524&lt;&gt;1,"",IF(I1524="SBJ","CB","?"))</f>
        <v/>
      </c>
      <c r="I1524" s="14" t="str">
        <f aca="false">IF(OR(E1524="",E1524="!!!",F1524="NEW"),"",INDEX(B$2:B1523,-1+SUMPRODUCT(MAX(ROW(E$2:E1523)*(E1524=E$2:E1523)))))</f>
        <v/>
      </c>
      <c r="J1524" s="15" t="str">
        <f aca="true">IF(OR(E1524="",E1524="!!!",F1524="NEW"),"",COUNTBLANK(OFFSET(A$1,,,SUMPRODUCT(MAX(ROW(E$2:E1524)*(E1524=E$2:E1524)))))-COUNTBLANK(OFFSET(A$1,,,SUMPRODUCT(MAX(ROW(E$1:E1523)*(E1524=E$1:E1523))))))</f>
        <v/>
      </c>
      <c r="K1524" s="15" t="str">
        <f aca="false">IF(OR(E1524="",E1524="!!!",F1524="NEW"),"",INDEX(J$1:J1523,SUMPRODUCT(MAX(ROW(E$1:E1523)*(E1524=E$1:E1523)))))</f>
        <v/>
      </c>
      <c r="L1524" s="16"/>
    </row>
    <row r="1525" customFormat="false" ht="12.8" hidden="false" customHeight="false" outlineLevel="0" collapsed="false">
      <c r="A1525" s="0" t="s">
        <v>239</v>
      </c>
      <c r="E1525" s="10" t="str">
        <f aca="false">IF(D1525="?OLD","!!!","")</f>
        <v/>
      </c>
      <c r="F1525" s="11" t="str">
        <f aca="false">IF(OR(E1525="",E1525="!!!"),"",IF(NOT(ISNA(VLOOKUP(E1525,E$1:E1524,1,FALSE()))),"OLD",IF(AND(E1525&lt;&gt;"",E1525&lt;&gt;"!!!"),"NEW","")))</f>
        <v/>
      </c>
      <c r="G1525" s="12" t="str">
        <f aca="false">IF(OR(E1525="",E1525="!!!"),"",IF(OR(J1525=0,AND(J1525=1,K1525=1),AND(J1525=1,I1525="SBJ"),AND(J1525=1,I1525=0)),"?IN_FOCUS",IF(J1525&lt;=2,"?ACTIVATED",IF(J1525&lt;&gt;"","?FAMILIAR",IF(F1525="NEW",IF(ISNA(VLOOKUP(E1525,#REF!,1,FALSE())),"?TYPE_IDENTIFIABLE","?REFERENTIAL"),"_")))))</f>
        <v/>
      </c>
      <c r="H1525" s="13" t="str">
        <f aca="false">IF(J1525&lt;&gt;1,"",IF(I1525="SBJ","CB","?"))</f>
        <v/>
      </c>
      <c r="I1525" s="14" t="str">
        <f aca="false">IF(OR(E1525="",E1525="!!!",F1525="NEW"),"",INDEX(B$2:B1524,-1+SUMPRODUCT(MAX(ROW(E$2:E1524)*(E1525=E$2:E1524)))))</f>
        <v/>
      </c>
      <c r="J1525" s="15" t="str">
        <f aca="true">IF(OR(E1525="",E1525="!!!",F1525="NEW"),"",COUNTBLANK(OFFSET(A$1,,,SUMPRODUCT(MAX(ROW(E$2:E1525)*(E1525=E$2:E1525)))))-COUNTBLANK(OFFSET(A$1,,,SUMPRODUCT(MAX(ROW(E$1:E1524)*(E1525=E$1:E1524))))))</f>
        <v/>
      </c>
      <c r="K1525" s="15" t="str">
        <f aca="false">IF(OR(E1525="",E1525="!!!",F1525="NEW"),"",INDEX(J$1:J1524,SUMPRODUCT(MAX(ROW(E$1:E1524)*(E1525=E$1:E1524)))))</f>
        <v/>
      </c>
      <c r="L1525" s="16"/>
    </row>
    <row r="1526" customFormat="false" ht="12.8" hidden="false" customHeight="false" outlineLevel="0" collapsed="false">
      <c r="A1526" s="0" t="s">
        <v>120</v>
      </c>
      <c r="B1526" s="0" t="s">
        <v>59</v>
      </c>
      <c r="C1526" s="0" t="s">
        <v>121</v>
      </c>
      <c r="D1526" s="0" t="s">
        <v>20</v>
      </c>
      <c r="E1526" s="10"/>
      <c r="F1526" s="11" t="s">
        <v>238</v>
      </c>
      <c r="G1526" s="12" t="str">
        <f aca="false">IF(OR(E1526="",E1526="!!!"),"",IF(OR(J1526=0,AND(J1526=1,K1526=1),AND(J1526=1,I1526="SBJ"),AND(J1526=1,I1526=0)),"?IN_FOCUS",IF(J1526&lt;=2,"?ACTIVATED",IF(J1526&lt;&gt;"","?FAMILIAR",IF(F1526="NEW",IF(ISNA(VLOOKUP(E1526,#REF!,1,FALSE())),"?TYPE_IDENTIFIABLE","?REFERENTIAL"),"_")))))</f>
        <v/>
      </c>
      <c r="H1526" s="13" t="str">
        <f aca="false">IF(J1526&lt;&gt;1,"",IF(I1526="SBJ","CB","?"))</f>
        <v/>
      </c>
      <c r="I1526" s="14" t="str">
        <f aca="false">IF(OR(E1526="",E1526="!!!",F1526="NEW"),"",INDEX(B$2:B1525,-1+SUMPRODUCT(MAX(ROW(E$2:E1525)*(E1526=E$2:E1525)))))</f>
        <v/>
      </c>
      <c r="J1526" s="15" t="str">
        <f aca="true">IF(OR(E1526="",E1526="!!!",F1526="NEW"),"",COUNTBLANK(OFFSET(A$1,,,SUMPRODUCT(MAX(ROW(E$2:E1526)*(E1526=E$2:E1526)))))-COUNTBLANK(OFFSET(A$1,,,SUMPRODUCT(MAX(ROW(E$1:E1525)*(E1526=E$1:E1525))))))</f>
        <v/>
      </c>
      <c r="K1526" s="15" t="str">
        <f aca="false">IF(OR(E1526="",E1526="!!!",F1526="NEW"),"",INDEX(J$1:J1525,SUMPRODUCT(MAX(ROW(E$1:E1525)*(E1526=E$1:E1525)))))</f>
        <v/>
      </c>
      <c r="L1526" s="16"/>
    </row>
    <row r="1527" customFormat="false" ht="12.8" hidden="false" customHeight="false" outlineLevel="0" collapsed="false">
      <c r="A1527" s="0" t="s">
        <v>249</v>
      </c>
      <c r="E1527" s="10" t="str">
        <f aca="false">IF(D1527="?OLD","!!!","")</f>
        <v/>
      </c>
      <c r="F1527" s="11" t="str">
        <f aca="false">IF(OR(E1527="",E1527="!!!"),"",IF(NOT(ISNA(VLOOKUP(E1527,E$1:E1526,1,FALSE()))),"OLD",IF(AND(E1527&lt;&gt;"",E1527&lt;&gt;"!!!"),"NEW","")))</f>
        <v/>
      </c>
      <c r="G1527" s="12" t="str">
        <f aca="false">IF(OR(E1527="",E1527="!!!"),"",IF(OR(J1527=0,AND(J1527=1,K1527=1),AND(J1527=1,I1527="SBJ"),AND(J1527=1,I1527=0)),"?IN_FOCUS",IF(J1527&lt;=2,"?ACTIVATED",IF(J1527&lt;&gt;"","?FAMILIAR",IF(F1527="NEW",IF(ISNA(VLOOKUP(E1527,#REF!,1,FALSE())),"?TYPE_IDENTIFIABLE","?REFERENTIAL"),"_")))))</f>
        <v/>
      </c>
      <c r="H1527" s="13" t="str">
        <f aca="false">IF(J1527&lt;&gt;1,"",IF(I1527="SBJ","CB","?"))</f>
        <v/>
      </c>
      <c r="I1527" s="14" t="str">
        <f aca="false">IF(OR(E1527="",E1527="!!!",F1527="NEW"),"",INDEX(B$2:B1526,-1+SUMPRODUCT(MAX(ROW(E$2:E1526)*(E1527=E$2:E1526)))))</f>
        <v/>
      </c>
      <c r="J1527" s="15" t="str">
        <f aca="true">IF(OR(E1527="",E1527="!!!",F1527="NEW"),"",COUNTBLANK(OFFSET(A$1,,,SUMPRODUCT(MAX(ROW(E$2:E1527)*(E1527=E$2:E1527)))))-COUNTBLANK(OFFSET(A$1,,,SUMPRODUCT(MAX(ROW(E$1:E1526)*(E1527=E$1:E1526))))))</f>
        <v/>
      </c>
      <c r="K1527" s="15" t="str">
        <f aca="false">IF(OR(E1527="",E1527="!!!",F1527="NEW"),"",INDEX(J$1:J1526,SUMPRODUCT(MAX(ROW(E$1:E1526)*(E1527=E$1:E1526)))))</f>
        <v/>
      </c>
      <c r="L1527" s="16"/>
    </row>
    <row r="1528" customFormat="false" ht="12.8" hidden="false" customHeight="false" outlineLevel="0" collapsed="false">
      <c r="A1528" s="0" t="s">
        <v>51</v>
      </c>
      <c r="B1528" s="0" t="s">
        <v>65</v>
      </c>
      <c r="C1528" s="0" t="s">
        <v>215</v>
      </c>
      <c r="D1528" s="0" t="s">
        <v>20</v>
      </c>
      <c r="E1528" s="10" t="s">
        <v>151</v>
      </c>
      <c r="F1528" s="11" t="str">
        <f aca="false">IF(OR(E1528="",E1528="!!!"),"",IF(NOT(ISNA(VLOOKUP(E1528,E$1:E1527,1,FALSE()))),"OLD",IF(AND(E1528&lt;&gt;"",E1528&lt;&gt;"!!!"),"NEW","")))</f>
        <v>OLD</v>
      </c>
      <c r="G1528" s="12" t="s">
        <v>36</v>
      </c>
      <c r="H1528" s="13" t="str">
        <f aca="false">IF(J1528&lt;&gt;1,"",IF(I1528="SBJ","CB","?"))</f>
        <v/>
      </c>
      <c r="I1528" s="14" t="str">
        <f aca="false">IF(OR(E1528="",E1528="!!!",F1528="NEW"),"",INDEX(B$2:B1527,-1+SUMPRODUCT(MAX(ROW(E$2:E1527)*(E1528=E$2:E1527)))))</f>
        <v>SBJ_2</v>
      </c>
      <c r="J1528" s="15" t="n">
        <f aca="true">IF(OR(E1528="",E1528="!!!",F1528="NEW"),"",COUNTBLANK(OFFSET(A$1,,,SUMPRODUCT(MAX(ROW(E$2:E1528)*(E1528=E$2:E1528)))))-COUNTBLANK(OFFSET(A$1,,,SUMPRODUCT(MAX(ROW(E$1:E1527)*(E1528=E$1:E1527))))))</f>
        <v>17</v>
      </c>
      <c r="K1528" s="15" t="n">
        <f aca="false">IF(OR(E1528="",E1528="!!!",F1528="NEW"),"",INDEX(J$1:J1527,SUMPRODUCT(MAX(ROW(E$1:E1527)*(E1528=E$1:E1527)))))</f>
        <v>1</v>
      </c>
      <c r="L1528" s="16"/>
    </row>
    <row r="1529" customFormat="false" ht="12.8" hidden="false" customHeight="false" outlineLevel="0" collapsed="false">
      <c r="A1529" s="0" t="s">
        <v>44</v>
      </c>
      <c r="E1529" s="10" t="str">
        <f aca="false">IF(D1529="?OLD","!!!","")</f>
        <v/>
      </c>
      <c r="F1529" s="11" t="str">
        <f aca="false">IF(OR(E1529="",E1529="!!!"),"",IF(NOT(ISNA(VLOOKUP(E1529,E$1:E1528,1,FALSE()))),"OLD",IF(AND(E1529&lt;&gt;"",E1529&lt;&gt;"!!!"),"NEW","")))</f>
        <v/>
      </c>
      <c r="G1529" s="12" t="str">
        <f aca="false">IF(OR(E1529="",E1529="!!!"),"",IF(OR(J1529=0,AND(J1529=1,K1529=1),AND(J1529=1,I1529="SBJ"),AND(J1529=1,I1529=0)),"?IN_FOCUS",IF(J1529&lt;=2,"?ACTIVATED",IF(J1529&lt;&gt;"","?FAMILIAR",IF(F1529="NEW",IF(ISNA(VLOOKUP(E1529,#REF!,1,FALSE())),"?TYPE_IDENTIFIABLE","?REFERENTIAL"),"_")))))</f>
        <v/>
      </c>
      <c r="H1529" s="13" t="str">
        <f aca="false">IF(J1529&lt;&gt;1,"",IF(I1529="SBJ","CB","?"))</f>
        <v/>
      </c>
      <c r="I1529" s="14" t="str">
        <f aca="false">IF(OR(E1529="",E1529="!!!",F1529="NEW"),"",INDEX(B$2:B1528,-1+SUMPRODUCT(MAX(ROW(E$2:E1528)*(E1529=E$2:E1528)))))</f>
        <v/>
      </c>
      <c r="J1529" s="15" t="str">
        <f aca="true">IF(OR(E1529="",E1529="!!!",F1529="NEW"),"",COUNTBLANK(OFFSET(A$1,,,SUMPRODUCT(MAX(ROW(E$2:E1529)*(E1529=E$2:E1529)))))-COUNTBLANK(OFFSET(A$1,,,SUMPRODUCT(MAX(ROW(E$1:E1528)*(E1529=E$1:E1528))))))</f>
        <v/>
      </c>
      <c r="K1529" s="15" t="str">
        <f aca="false">IF(OR(E1529="",E1529="!!!",F1529="NEW"),"",INDEX(J$1:J1528,SUMPRODUCT(MAX(ROW(E$1:E1528)*(E1529=E$1:E1528)))))</f>
        <v/>
      </c>
      <c r="L1529" s="16"/>
    </row>
    <row r="1530" customFormat="false" ht="12.8" hidden="false" customHeight="false" outlineLevel="0" collapsed="false">
      <c r="A1530" s="0" t="s">
        <v>209</v>
      </c>
      <c r="E1530" s="10" t="str">
        <f aca="false">IF(D1530="?OLD","!!!","")</f>
        <v/>
      </c>
      <c r="F1530" s="11" t="str">
        <f aca="false">IF(OR(E1530="",E1530="!!!"),"",IF(NOT(ISNA(VLOOKUP(E1530,E$1:E1529,1,FALSE()))),"OLD",IF(AND(E1530&lt;&gt;"",E1530&lt;&gt;"!!!"),"NEW","")))</f>
        <v/>
      </c>
      <c r="G1530" s="12" t="str">
        <f aca="false">IF(OR(E1530="",E1530="!!!"),"",IF(OR(J1530=0,AND(J1530=1,K1530=1),AND(J1530=1,I1530="SBJ"),AND(J1530=1,I1530=0)),"?IN_FOCUS",IF(J1530&lt;=2,"?ACTIVATED",IF(J1530&lt;&gt;"","?FAMILIAR",IF(F1530="NEW",IF(ISNA(VLOOKUP(E1530,#REF!,1,FALSE())),"?TYPE_IDENTIFIABLE","?REFERENTIAL"),"_")))))</f>
        <v/>
      </c>
      <c r="H1530" s="13" t="str">
        <f aca="false">IF(J1530&lt;&gt;1,"",IF(I1530="SBJ","CB","?"))</f>
        <v/>
      </c>
      <c r="I1530" s="14" t="str">
        <f aca="false">IF(OR(E1530="",E1530="!!!",F1530="NEW"),"",INDEX(B$2:B1529,-1+SUMPRODUCT(MAX(ROW(E$2:E1529)*(E1530=E$2:E1529)))))</f>
        <v/>
      </c>
      <c r="J1530" s="15" t="str">
        <f aca="true">IF(OR(E1530="",E1530="!!!",F1530="NEW"),"",COUNTBLANK(OFFSET(A$1,,,SUMPRODUCT(MAX(ROW(E$2:E1530)*(E1530=E$2:E1530)))))-COUNTBLANK(OFFSET(A$1,,,SUMPRODUCT(MAX(ROW(E$1:E1529)*(E1530=E$1:E1529))))))</f>
        <v/>
      </c>
      <c r="K1530" s="15" t="str">
        <f aca="false">IF(OR(E1530="",E1530="!!!",F1530="NEW"),"",INDEX(J$1:J1529,SUMPRODUCT(MAX(ROW(E$1:E1529)*(E1530=E$1:E1529)))))</f>
        <v/>
      </c>
      <c r="L1530" s="16"/>
    </row>
    <row r="1531" customFormat="false" ht="12.8" hidden="false" customHeight="false" outlineLevel="0" collapsed="false">
      <c r="A1531" s="0" t="s">
        <v>723</v>
      </c>
      <c r="E1531" s="10" t="str">
        <f aca="false">IF(D1531="?OLD","!!!","")</f>
        <v/>
      </c>
      <c r="F1531" s="11" t="str">
        <f aca="false">IF(OR(E1531="",E1531="!!!"),"",IF(NOT(ISNA(VLOOKUP(E1531,E$1:E1530,1,FALSE()))),"OLD",IF(AND(E1531&lt;&gt;"",E1531&lt;&gt;"!!!"),"NEW","")))</f>
        <v/>
      </c>
      <c r="G1531" s="12" t="str">
        <f aca="false">IF(OR(E1531="",E1531="!!!"),"",IF(OR(J1531=0,AND(J1531=1,K1531=1),AND(J1531=1,I1531="SBJ"),AND(J1531=1,I1531=0)),"?IN_FOCUS",IF(J1531&lt;=2,"?ACTIVATED",IF(J1531&lt;&gt;"","?FAMILIAR",IF(F1531="NEW",IF(ISNA(VLOOKUP(E1531,#REF!,1,FALSE())),"?TYPE_IDENTIFIABLE","?REFERENTIAL"),"_")))))</f>
        <v/>
      </c>
      <c r="H1531" s="13" t="str">
        <f aca="false">IF(J1531&lt;&gt;1,"",IF(I1531="SBJ","CB","?"))</f>
        <v/>
      </c>
      <c r="I1531" s="14" t="str">
        <f aca="false">IF(OR(E1531="",E1531="!!!",F1531="NEW"),"",INDEX(B$2:B1530,-1+SUMPRODUCT(MAX(ROW(E$2:E1530)*(E1531=E$2:E1530)))))</f>
        <v/>
      </c>
      <c r="J1531" s="15" t="str">
        <f aca="true">IF(OR(E1531="",E1531="!!!",F1531="NEW"),"",COUNTBLANK(OFFSET(A$1,,,SUMPRODUCT(MAX(ROW(E$2:E1531)*(E1531=E$2:E1531)))))-COUNTBLANK(OFFSET(A$1,,,SUMPRODUCT(MAX(ROW(E$1:E1530)*(E1531=E$1:E1530))))))</f>
        <v/>
      </c>
      <c r="K1531" s="15" t="str">
        <f aca="false">IF(OR(E1531="",E1531="!!!",F1531="NEW"),"",INDEX(J$1:J1530,SUMPRODUCT(MAX(ROW(E$1:E1530)*(E1531=E$1:E1530)))))</f>
        <v/>
      </c>
      <c r="L1531" s="16"/>
    </row>
    <row r="1532" customFormat="false" ht="12.8" hidden="false" customHeight="false" outlineLevel="0" collapsed="false">
      <c r="A1532" s="0" t="s">
        <v>734</v>
      </c>
      <c r="B1532" s="0" t="s">
        <v>85</v>
      </c>
      <c r="C1532" s="0" t="s">
        <v>31</v>
      </c>
      <c r="E1532" s="10" t="s">
        <v>735</v>
      </c>
      <c r="F1532" s="11" t="str">
        <f aca="false">IF(OR(E1532="",E1532="!!!"),"",IF(NOT(ISNA(VLOOKUP(E1532,E$1:E1531,1,FALSE()))),"OLD",IF(AND(E1532&lt;&gt;"",E1532&lt;&gt;"!!!"),"NEW","")))</f>
        <v>NEW</v>
      </c>
      <c r="G1532" s="12" t="s">
        <v>67</v>
      </c>
      <c r="H1532" s="13" t="str">
        <f aca="false">IF(J1532&lt;&gt;1,"",IF(I1532="SBJ","CB","?"))</f>
        <v/>
      </c>
      <c r="I1532" s="14" t="str">
        <f aca="false">IF(OR(E1532="",E1532="!!!",F1532="NEW"),"",INDEX(B$2:B1531,-1+SUMPRODUCT(MAX(ROW(E$2:E1531)*(E1532=E$2:E1531)))))</f>
        <v/>
      </c>
      <c r="J1532" s="15" t="str">
        <f aca="true">IF(OR(E1532="",E1532="!!!",F1532="NEW"),"",COUNTBLANK(OFFSET(A$1,,,SUMPRODUCT(MAX(ROW(E$2:E1532)*(E1532=E$2:E1532)))))-COUNTBLANK(OFFSET(A$1,,,SUMPRODUCT(MAX(ROW(E$1:E1531)*(E1532=E$1:E1531))))))</f>
        <v/>
      </c>
      <c r="K1532" s="15" t="str">
        <f aca="false">IF(OR(E1532="",E1532="!!!",F1532="NEW"),"",INDEX(J$1:J1531,SUMPRODUCT(MAX(ROW(E$1:E1531)*(E1532=E$1:E1531)))))</f>
        <v/>
      </c>
      <c r="L1532" s="16"/>
    </row>
    <row r="1533" customFormat="false" ht="12.8" hidden="false" customHeight="false" outlineLevel="0" collapsed="false">
      <c r="A1533" s="0" t="s">
        <v>44</v>
      </c>
      <c r="E1533" s="10" t="str">
        <f aca="false">IF(D1533="?OLD","!!!","")</f>
        <v/>
      </c>
      <c r="F1533" s="11" t="str">
        <f aca="false">IF(OR(E1533="",E1533="!!!"),"",IF(NOT(ISNA(VLOOKUP(E1533,E$1:E1532,1,FALSE()))),"OLD",IF(AND(E1533&lt;&gt;"",E1533&lt;&gt;"!!!"),"NEW","")))</f>
        <v/>
      </c>
      <c r="G1533" s="12" t="str">
        <f aca="false">IF(OR(E1533="",E1533="!!!"),"",IF(OR(J1533=0,AND(J1533=1,K1533=1),AND(J1533=1,I1533="SBJ"),AND(J1533=1,I1533=0)),"?IN_FOCUS",IF(J1533&lt;=2,"?ACTIVATED",IF(J1533&lt;&gt;"","?FAMILIAR",IF(F1533="NEW",IF(ISNA(VLOOKUP(E1533,#REF!,1,FALSE())),"?TYPE_IDENTIFIABLE","?REFERENTIAL"),"_")))))</f>
        <v/>
      </c>
      <c r="H1533" s="13" t="str">
        <f aca="false">IF(J1533&lt;&gt;1,"",IF(I1533="SBJ","CB","?"))</f>
        <v/>
      </c>
      <c r="I1533" s="14" t="str">
        <f aca="false">IF(OR(E1533="",E1533="!!!",F1533="NEW"),"",INDEX(B$2:B1532,-1+SUMPRODUCT(MAX(ROW(E$2:E1532)*(E1533=E$2:E1532)))))</f>
        <v/>
      </c>
      <c r="J1533" s="15" t="str">
        <f aca="true">IF(OR(E1533="",E1533="!!!",F1533="NEW"),"",COUNTBLANK(OFFSET(A$1,,,SUMPRODUCT(MAX(ROW(E$2:E1533)*(E1533=E$2:E1533)))))-COUNTBLANK(OFFSET(A$1,,,SUMPRODUCT(MAX(ROW(E$1:E1532)*(E1533=E$1:E1532))))))</f>
        <v/>
      </c>
      <c r="K1533" s="15" t="str">
        <f aca="false">IF(OR(E1533="",E1533="!!!",F1533="NEW"),"",INDEX(J$1:J1532,SUMPRODUCT(MAX(ROW(E$1:E1532)*(E1533=E$1:E1532)))))</f>
        <v/>
      </c>
      <c r="L1533" s="16"/>
    </row>
    <row r="1534" customFormat="false" ht="12.8" hidden="false" customHeight="false" outlineLevel="0" collapsed="false">
      <c r="A1534" s="0" t="s">
        <v>736</v>
      </c>
      <c r="E1534" s="10" t="str">
        <f aca="false">IF(D1534="?OLD","!!!","")</f>
        <v/>
      </c>
      <c r="F1534" s="11" t="str">
        <f aca="false">IF(OR(E1534="",E1534="!!!"),"",IF(NOT(ISNA(VLOOKUP(E1534,E$1:E1533,1,FALSE()))),"OLD",IF(AND(E1534&lt;&gt;"",E1534&lt;&gt;"!!!"),"NEW","")))</f>
        <v/>
      </c>
      <c r="G1534" s="12" t="str">
        <f aca="false">IF(OR(E1534="",E1534="!!!"),"",IF(OR(J1534=0,AND(J1534=1,K1534=1),AND(J1534=1,I1534="SBJ"),AND(J1534=1,I1534=0)),"?IN_FOCUS",IF(J1534&lt;=2,"?ACTIVATED",IF(J1534&lt;&gt;"","?FAMILIAR",IF(F1534="NEW",IF(ISNA(VLOOKUP(E1534,#REF!,1,FALSE())),"?TYPE_IDENTIFIABLE","?REFERENTIAL"),"_")))))</f>
        <v/>
      </c>
      <c r="H1534" s="13" t="str">
        <f aca="false">IF(J1534&lt;&gt;1,"",IF(I1534="SBJ","CB","?"))</f>
        <v/>
      </c>
      <c r="I1534" s="14" t="str">
        <f aca="false">IF(OR(E1534="",E1534="!!!",F1534="NEW"),"",INDEX(B$2:B1533,-1+SUMPRODUCT(MAX(ROW(E$2:E1533)*(E1534=E$2:E1533)))))</f>
        <v/>
      </c>
      <c r="J1534" s="15" t="str">
        <f aca="true">IF(OR(E1534="",E1534="!!!",F1534="NEW"),"",COUNTBLANK(OFFSET(A$1,,,SUMPRODUCT(MAX(ROW(E$2:E1534)*(E1534=E$2:E1534)))))-COUNTBLANK(OFFSET(A$1,,,SUMPRODUCT(MAX(ROW(E$1:E1533)*(E1534=E$1:E1533))))))</f>
        <v/>
      </c>
      <c r="K1534" s="15" t="str">
        <f aca="false">IF(OR(E1534="",E1534="!!!",F1534="NEW"),"",INDEX(J$1:J1533,SUMPRODUCT(MAX(ROW(E$1:E1533)*(E1534=E$1:E1533)))))</f>
        <v/>
      </c>
      <c r="L1534" s="16"/>
    </row>
    <row r="1535" customFormat="false" ht="12.8" hidden="false" customHeight="false" outlineLevel="0" collapsed="false">
      <c r="A1535" s="0" t="s">
        <v>62</v>
      </c>
      <c r="E1535" s="10" t="str">
        <f aca="false">IF(D1535="?OLD","!!!","")</f>
        <v/>
      </c>
      <c r="F1535" s="11" t="str">
        <f aca="false">IF(OR(E1535="",E1535="!!!"),"",IF(NOT(ISNA(VLOOKUP(E1535,E$1:E1534,1,FALSE()))),"OLD",IF(AND(E1535&lt;&gt;"",E1535&lt;&gt;"!!!"),"NEW","")))</f>
        <v/>
      </c>
      <c r="G1535" s="12" t="str">
        <f aca="false">IF(OR(E1535="",E1535="!!!"),"",IF(OR(J1535=0,AND(J1535=1,K1535=1),AND(J1535=1,I1535="SBJ"),AND(J1535=1,I1535=0)),"?IN_FOCUS",IF(J1535&lt;=2,"?ACTIVATED",IF(J1535&lt;&gt;"","?FAMILIAR",IF(F1535="NEW",IF(ISNA(VLOOKUP(E1535,#REF!,1,FALSE())),"?TYPE_IDENTIFIABLE","?REFERENTIAL"),"_")))))</f>
        <v/>
      </c>
      <c r="H1535" s="13" t="str">
        <f aca="false">IF(J1535&lt;&gt;1,"",IF(I1535="SBJ","CB","?"))</f>
        <v/>
      </c>
      <c r="I1535" s="14" t="str">
        <f aca="false">IF(OR(E1535="",E1535="!!!",F1535="NEW"),"",INDEX(B$2:B1534,-1+SUMPRODUCT(MAX(ROW(E$2:E1534)*(E1535=E$2:E1534)))))</f>
        <v/>
      </c>
      <c r="J1535" s="15" t="str">
        <f aca="true">IF(OR(E1535="",E1535="!!!",F1535="NEW"),"",COUNTBLANK(OFFSET(A$1,,,SUMPRODUCT(MAX(ROW(E$2:E1535)*(E1535=E$2:E1535)))))-COUNTBLANK(OFFSET(A$1,,,SUMPRODUCT(MAX(ROW(E$1:E1534)*(E1535=E$1:E1534))))))</f>
        <v/>
      </c>
      <c r="K1535" s="15" t="str">
        <f aca="false">IF(OR(E1535="",E1535="!!!",F1535="NEW"),"",INDEX(J$1:J1534,SUMPRODUCT(MAX(ROW(E$1:E1534)*(E1535=E$1:E1534)))))</f>
        <v/>
      </c>
      <c r="L1535" s="16"/>
    </row>
    <row r="1536" customFormat="false" ht="12.8" hidden="false" customHeight="false" outlineLevel="0" collapsed="false">
      <c r="A1536" s="0" t="s">
        <v>737</v>
      </c>
      <c r="B1536" s="0" t="s">
        <v>170</v>
      </c>
      <c r="C1536" s="0" t="s">
        <v>27</v>
      </c>
      <c r="D1536" s="0" t="s">
        <v>20</v>
      </c>
      <c r="E1536" s="10" t="s">
        <v>735</v>
      </c>
      <c r="F1536" s="11" t="str">
        <f aca="false">IF(OR(E1536="",E1536="!!!"),"",IF(NOT(ISNA(VLOOKUP(E1536,E$1:E1535,1,FALSE()))),"OLD",IF(AND(E1536&lt;&gt;"",E1536&lt;&gt;"!!!"),"NEW","")))</f>
        <v>OLD</v>
      </c>
      <c r="G1536" s="12" t="s">
        <v>87</v>
      </c>
      <c r="H1536" s="13" t="str">
        <f aca="false">IF(J1536&lt;&gt;1,"",IF(I1536="SBJ","CB","?"))</f>
        <v/>
      </c>
      <c r="I1536" s="14" t="str">
        <f aca="false">IF(OR(E1536="",E1536="!!!",F1536="NEW"),"",INDEX(B$2:B1535,-1+SUMPRODUCT(MAX(ROW(E$2:E1535)*(E1536=E$2:E1535)))))</f>
        <v>OBJ</v>
      </c>
      <c r="J1536" s="15" t="n">
        <f aca="true">IF(OR(E1536="",E1536="!!!",F1536="NEW"),"",COUNTBLANK(OFFSET(A$1,,,SUMPRODUCT(MAX(ROW(E$2:E1536)*(E1536=E$2:E1536)))))-COUNTBLANK(OFFSET(A$1,,,SUMPRODUCT(MAX(ROW(E$1:E1535)*(E1536=E$1:E1535))))))</f>
        <v>0</v>
      </c>
      <c r="K1536" s="15" t="str">
        <f aca="false">IF(OR(E1536="",E1536="!!!",F1536="NEW"),"",INDEX(J$1:J1535,SUMPRODUCT(MAX(ROW(E$1:E1535)*(E1536=E$1:E1535)))))</f>
        <v/>
      </c>
      <c r="L1536" s="16"/>
    </row>
    <row r="1537" customFormat="false" ht="12.8" hidden="false" customHeight="false" outlineLevel="0" collapsed="false">
      <c r="A1537" s="0" t="s">
        <v>60</v>
      </c>
      <c r="E1537" s="10" t="str">
        <f aca="false">IF(D1537="?OLD","!!!","")</f>
        <v/>
      </c>
      <c r="F1537" s="11" t="str">
        <f aca="false">IF(OR(E1537="",E1537="!!!"),"",IF(NOT(ISNA(VLOOKUP(E1537,E$1:E1536,1,FALSE()))),"OLD",IF(AND(E1537&lt;&gt;"",E1537&lt;&gt;"!!!"),"NEW","")))</f>
        <v/>
      </c>
      <c r="G1537" s="12" t="str">
        <f aca="false">IF(OR(E1537="",E1537="!!!"),"",IF(OR(J1537=0,AND(J1537=1,K1537=1),AND(J1537=1,I1537="SBJ"),AND(J1537=1,I1537=0)),"?IN_FOCUS",IF(J1537&lt;=2,"?ACTIVATED",IF(J1537&lt;&gt;"","?FAMILIAR",IF(F1537="NEW",IF(ISNA(VLOOKUP(E1537,#REF!,1,FALSE())),"?TYPE_IDENTIFIABLE","?REFERENTIAL"),"_")))))</f>
        <v/>
      </c>
      <c r="H1537" s="13" t="str">
        <f aca="false">IF(J1537&lt;&gt;1,"",IF(I1537="SBJ","CB","?"))</f>
        <v/>
      </c>
      <c r="I1537" s="14" t="str">
        <f aca="false">IF(OR(E1537="",E1537="!!!",F1537="NEW"),"",INDEX(B$2:B1536,-1+SUMPRODUCT(MAX(ROW(E$2:E1536)*(E1537=E$2:E1536)))))</f>
        <v/>
      </c>
      <c r="J1537" s="15" t="str">
        <f aca="true">IF(OR(E1537="",E1537="!!!",F1537="NEW"),"",COUNTBLANK(OFFSET(A$1,,,SUMPRODUCT(MAX(ROW(E$2:E1537)*(E1537=E$2:E1537)))))-COUNTBLANK(OFFSET(A$1,,,SUMPRODUCT(MAX(ROW(E$1:E1536)*(E1537=E$1:E1536))))))</f>
        <v/>
      </c>
      <c r="K1537" s="15" t="str">
        <f aca="false">IF(OR(E1537="",E1537="!!!",F1537="NEW"),"",INDEX(J$1:J1536,SUMPRODUCT(MAX(ROW(E$1:E1536)*(E1537=E$1:E1536)))))</f>
        <v/>
      </c>
      <c r="L1537" s="16"/>
    </row>
    <row r="1538" customFormat="false" ht="12.8" hidden="false" customHeight="false" outlineLevel="0" collapsed="false">
      <c r="A1538" s="0" t="s">
        <v>738</v>
      </c>
      <c r="B1538" s="0" t="s">
        <v>96</v>
      </c>
      <c r="C1538" s="0" t="s">
        <v>31</v>
      </c>
      <c r="E1538" s="10" t="str">
        <f aca="false">IF(D1538="?OLD","!!!","")</f>
        <v/>
      </c>
      <c r="F1538" s="11" t="str">
        <f aca="false">IF(OR(E1538="",E1538="!!!"),"",IF(NOT(ISNA(VLOOKUP(E1538,E$1:E1537,1,FALSE()))),"OLD",IF(AND(E1538&lt;&gt;"",E1538&lt;&gt;"!!!"),"NEW","")))</f>
        <v/>
      </c>
      <c r="G1538" s="12" t="str">
        <f aca="false">IF(OR(E1538="",E1538="!!!"),"",IF(OR(J1538=0,AND(J1538=1,K1538=1),AND(J1538=1,I1538="SBJ"),AND(J1538=1,I1538=0)),"?IN_FOCUS",IF(J1538&lt;=2,"?ACTIVATED",IF(J1538&lt;&gt;"","?FAMILIAR",IF(F1538="NEW",IF(ISNA(VLOOKUP(E1538,#REF!,1,FALSE())),"?TYPE_IDENTIFIABLE","?REFERENTIAL"),"_")))))</f>
        <v/>
      </c>
      <c r="H1538" s="13" t="str">
        <f aca="false">IF(J1538&lt;&gt;1,"",IF(I1538="SBJ","CB","?"))</f>
        <v/>
      </c>
      <c r="I1538" s="14" t="str">
        <f aca="false">IF(OR(E1538="",E1538="!!!",F1538="NEW"),"",INDEX(B$2:B1537,-1+SUMPRODUCT(MAX(ROW(E$2:E1537)*(E1538=E$2:E1537)))))</f>
        <v/>
      </c>
      <c r="J1538" s="15" t="str">
        <f aca="true">IF(OR(E1538="",E1538="!!!",F1538="NEW"),"",COUNTBLANK(OFFSET(A$1,,,SUMPRODUCT(MAX(ROW(E$2:E1538)*(E1538=E$2:E1538)))))-COUNTBLANK(OFFSET(A$1,,,SUMPRODUCT(MAX(ROW(E$1:E1537)*(E1538=E$1:E1537))))))</f>
        <v/>
      </c>
      <c r="K1538" s="15" t="str">
        <f aca="false">IF(OR(E1538="",E1538="!!!",F1538="NEW"),"",INDEX(J$1:J1537,SUMPRODUCT(MAX(ROW(E$1:E1537)*(E1538=E$1:E1537)))))</f>
        <v/>
      </c>
      <c r="L1538" s="16"/>
    </row>
    <row r="1539" customFormat="false" ht="12.8" hidden="false" customHeight="false" outlineLevel="0" collapsed="false">
      <c r="A1539" s="0" t="s">
        <v>76</v>
      </c>
      <c r="E1539" s="10" t="str">
        <f aca="false">IF(D1539="?OLD","!!!","")</f>
        <v/>
      </c>
      <c r="F1539" s="11" t="str">
        <f aca="false">IF(OR(E1539="",E1539="!!!"),"",IF(NOT(ISNA(VLOOKUP(E1539,E$1:E1538,1,FALSE()))),"OLD",IF(AND(E1539&lt;&gt;"",E1539&lt;&gt;"!!!"),"NEW","")))</f>
        <v/>
      </c>
      <c r="G1539" s="12" t="str">
        <f aca="false">IF(OR(E1539="",E1539="!!!"),"",IF(OR(J1539=0,AND(J1539=1,K1539=1),AND(J1539=1,I1539="SBJ"),AND(J1539=1,I1539=0)),"?IN_FOCUS",IF(J1539&lt;=2,"?ACTIVATED",IF(J1539&lt;&gt;"","?FAMILIAR",IF(F1539="NEW",IF(ISNA(VLOOKUP(E1539,#REF!,1,FALSE())),"?TYPE_IDENTIFIABLE","?REFERENTIAL"),"_")))))</f>
        <v/>
      </c>
      <c r="H1539" s="13" t="str">
        <f aca="false">IF(J1539&lt;&gt;1,"",IF(I1539="SBJ","CB","?"))</f>
        <v/>
      </c>
      <c r="I1539" s="14" t="str">
        <f aca="false">IF(OR(E1539="",E1539="!!!",F1539="NEW"),"",INDEX(B$2:B1538,-1+SUMPRODUCT(MAX(ROW(E$2:E1538)*(E1539=E$2:E1538)))))</f>
        <v/>
      </c>
      <c r="J1539" s="15" t="str">
        <f aca="true">IF(OR(E1539="",E1539="!!!",F1539="NEW"),"",COUNTBLANK(OFFSET(A$1,,,SUMPRODUCT(MAX(ROW(E$2:E1539)*(E1539=E$2:E1539)))))-COUNTBLANK(OFFSET(A$1,,,SUMPRODUCT(MAX(ROW(E$1:E1538)*(E1539=E$1:E1538))))))</f>
        <v/>
      </c>
      <c r="K1539" s="15" t="str">
        <f aca="false">IF(OR(E1539="",E1539="!!!",F1539="NEW"),"",INDEX(J$1:J1538,SUMPRODUCT(MAX(ROW(E$1:E1538)*(E1539=E$1:E1538)))))</f>
        <v/>
      </c>
      <c r="L1539" s="16"/>
    </row>
    <row r="1540" customFormat="false" ht="12.8" hidden="false" customHeight="false" outlineLevel="0" collapsed="false">
      <c r="A1540" s="0" t="s">
        <v>516</v>
      </c>
      <c r="E1540" s="10" t="str">
        <f aca="false">IF(D1540="?OLD","!!!","")</f>
        <v/>
      </c>
      <c r="F1540" s="11" t="str">
        <f aca="false">IF(OR(E1540="",E1540="!!!"),"",IF(NOT(ISNA(VLOOKUP(E1540,E$1:E1539,1,FALSE()))),"OLD",IF(AND(E1540&lt;&gt;"",E1540&lt;&gt;"!!!"),"NEW","")))</f>
        <v/>
      </c>
      <c r="G1540" s="12" t="str">
        <f aca="false">IF(OR(E1540="",E1540="!!!"),"",IF(OR(J1540=0,AND(J1540=1,K1540=1),AND(J1540=1,I1540="SBJ"),AND(J1540=1,I1540=0)),"?IN_FOCUS",IF(J1540&lt;=2,"?ACTIVATED",IF(J1540&lt;&gt;"","?FAMILIAR",IF(F1540="NEW",IF(ISNA(VLOOKUP(E1540,#REF!,1,FALSE())),"?TYPE_IDENTIFIABLE","?REFERENTIAL"),"_")))))</f>
        <v/>
      </c>
      <c r="H1540" s="13" t="str">
        <f aca="false">IF(J1540&lt;&gt;1,"",IF(I1540="SBJ","CB","?"))</f>
        <v/>
      </c>
      <c r="I1540" s="14" t="str">
        <f aca="false">IF(OR(E1540="",E1540="!!!",F1540="NEW"),"",INDEX(B$2:B1539,-1+SUMPRODUCT(MAX(ROW(E$2:E1539)*(E1540=E$2:E1539)))))</f>
        <v/>
      </c>
      <c r="J1540" s="15" t="str">
        <f aca="true">IF(OR(E1540="",E1540="!!!",F1540="NEW"),"",COUNTBLANK(OFFSET(A$1,,,SUMPRODUCT(MAX(ROW(E$2:E1540)*(E1540=E$2:E1540)))))-COUNTBLANK(OFFSET(A$1,,,SUMPRODUCT(MAX(ROW(E$1:E1539)*(E1540=E$1:E1539))))))</f>
        <v/>
      </c>
      <c r="K1540" s="15" t="str">
        <f aca="false">IF(OR(E1540="",E1540="!!!",F1540="NEW"),"",INDEX(J$1:J1539,SUMPRODUCT(MAX(ROW(E$1:E1539)*(E1540=E$1:E1539)))))</f>
        <v/>
      </c>
      <c r="L1540" s="16"/>
    </row>
    <row r="1541" customFormat="false" ht="12.8" hidden="false" customHeight="false" outlineLevel="0" collapsed="false">
      <c r="E1541" s="10" t="str">
        <f aca="false">IF(D1541="?OLD","!!!","")</f>
        <v/>
      </c>
      <c r="F1541" s="11" t="str">
        <f aca="false">IF(OR(E1541="",E1541="!!!"),"",IF(NOT(ISNA(VLOOKUP(E1541,E$1:E1540,1,FALSE()))),"OLD",IF(AND(E1541&lt;&gt;"",E1541&lt;&gt;"!!!"),"NEW","")))</f>
        <v/>
      </c>
      <c r="G1541" s="12" t="str">
        <f aca="false">IF(OR(E1541="",E1541="!!!"),"",IF(OR(J1541=0,AND(J1541=1,K1541=1),AND(J1541=1,I1541="SBJ"),AND(J1541=1,I1541=0)),"?IN_FOCUS",IF(J1541&lt;=2,"?ACTIVATED",IF(J1541&lt;&gt;"","?FAMILIAR",IF(F1541="NEW",IF(ISNA(VLOOKUP(E1541,#REF!,1,FALSE())),"?TYPE_IDENTIFIABLE","?REFERENTIAL"),"_")))))</f>
        <v/>
      </c>
      <c r="H1541" s="13" t="str">
        <f aca="false">IF(J1541&lt;&gt;1,"",IF(I1541="SBJ","CB","?"))</f>
        <v/>
      </c>
      <c r="I1541" s="14" t="str">
        <f aca="false">IF(OR(E1541="",E1541="!!!",F1541="NEW"),"",INDEX(B$2:B1540,-1+SUMPRODUCT(MAX(ROW(E$2:E1540)*(E1541=E$2:E1540)))))</f>
        <v/>
      </c>
      <c r="J1541" s="15" t="str">
        <f aca="true">IF(OR(E1541="",E1541="!!!",F1541="NEW"),"",COUNTBLANK(OFFSET(A$1,,,SUMPRODUCT(MAX(ROW(E$2:E1541)*(E1541=E$2:E1541)))))-COUNTBLANK(OFFSET(A$1,,,SUMPRODUCT(MAX(ROW(E$1:E1540)*(E1541=E$1:E1540))))))</f>
        <v/>
      </c>
      <c r="K1541" s="15" t="str">
        <f aca="false">IF(OR(E1541="",E1541="!!!",F1541="NEW"),"",INDEX(J$1:J1540,SUMPRODUCT(MAX(ROW(E$1:E1540)*(E1541=E$1:E1540)))))</f>
        <v/>
      </c>
      <c r="L1541" s="16"/>
    </row>
    <row r="1542" customFormat="false" ht="12.8" hidden="false" customHeight="false" outlineLevel="0" collapsed="false">
      <c r="A1542" s="0" t="s">
        <v>739</v>
      </c>
      <c r="E1542" s="10" t="str">
        <f aca="false">IF(D1542="?OLD","!!!","")</f>
        <v/>
      </c>
      <c r="F1542" s="11" t="str">
        <f aca="false">IF(OR(E1542="",E1542="!!!"),"",IF(NOT(ISNA(VLOOKUP(E1542,E$1:E1541,1,FALSE()))),"OLD",IF(AND(E1542&lt;&gt;"",E1542&lt;&gt;"!!!"),"NEW","")))</f>
        <v/>
      </c>
      <c r="G1542" s="12" t="str">
        <f aca="false">IF(OR(E1542="",E1542="!!!"),"",IF(OR(J1542=0,AND(J1542=1,K1542=1),AND(J1542=1,I1542="SBJ"),AND(J1542=1,I1542=0)),"?IN_FOCUS",IF(J1542&lt;=2,"?ACTIVATED",IF(J1542&lt;&gt;"","?FAMILIAR",IF(F1542="NEW",IF(ISNA(VLOOKUP(E1542,#REF!,1,FALSE())),"?TYPE_IDENTIFIABLE","?REFERENTIAL"),"_")))))</f>
        <v/>
      </c>
      <c r="H1542" s="13" t="str">
        <f aca="false">IF(J1542&lt;&gt;1,"",IF(I1542="SBJ","CB","?"))</f>
        <v/>
      </c>
      <c r="I1542" s="14" t="str">
        <f aca="false">IF(OR(E1542="",E1542="!!!",F1542="NEW"),"",INDEX(B$2:B1541,-1+SUMPRODUCT(MAX(ROW(E$2:E1541)*(E1542=E$2:E1541)))))</f>
        <v/>
      </c>
      <c r="J1542" s="15" t="str">
        <f aca="true">IF(OR(E1542="",E1542="!!!",F1542="NEW"),"",COUNTBLANK(OFFSET(A$1,,,SUMPRODUCT(MAX(ROW(E$2:E1542)*(E1542=E$2:E1542)))))-COUNTBLANK(OFFSET(A$1,,,SUMPRODUCT(MAX(ROW(E$1:E1541)*(E1542=E$1:E1541))))))</f>
        <v/>
      </c>
      <c r="K1542" s="15" t="str">
        <f aca="false">IF(OR(E1542="",E1542="!!!",F1542="NEW"),"",INDEX(J$1:J1541,SUMPRODUCT(MAX(ROW(E$1:E1541)*(E1542=E$1:E1541)))))</f>
        <v/>
      </c>
      <c r="L1542" s="16"/>
    </row>
    <row r="1543" customFormat="false" ht="12.8" hidden="false" customHeight="false" outlineLevel="0" collapsed="false">
      <c r="A1543" s="0" t="s">
        <v>347</v>
      </c>
      <c r="B1543" s="0" t="s">
        <v>34</v>
      </c>
      <c r="C1543" s="0" t="s">
        <v>48</v>
      </c>
      <c r="D1543" s="0" t="s">
        <v>20</v>
      </c>
      <c r="E1543" s="10" t="s">
        <v>728</v>
      </c>
      <c r="F1543" s="11" t="str">
        <f aca="false">IF(OR(E1543="",E1543="!!!"),"",IF(NOT(ISNA(VLOOKUP(E1543,E$1:E1542,1,FALSE()))),"OLD",IF(AND(E1543&lt;&gt;"",E1543&lt;&gt;"!!!"),"NEW","")))</f>
        <v>OLD</v>
      </c>
      <c r="G1543" s="12" t="s">
        <v>80</v>
      </c>
      <c r="H1543" s="13" t="str">
        <f aca="false">IF(J1543&lt;&gt;1,"",IF(I1543="SBJ","CB","?"))</f>
        <v/>
      </c>
      <c r="I1543" s="14" t="str">
        <f aca="false">IF(OR(E1543="",E1543="!!!",F1543="NEW"),"",INDEX(B$2:B1542,-1+SUMPRODUCT(MAX(ROW(E$2:E1542)*(E1543=E$2:E1542)))))</f>
        <v>SBJ</v>
      </c>
      <c r="J1543" s="15" t="n">
        <f aca="true">IF(OR(E1543="",E1543="!!!",F1543="NEW"),"",COUNTBLANK(OFFSET(A$1,,,SUMPRODUCT(MAX(ROW(E$2:E1543)*(E1543=E$2:E1543)))))-COUNTBLANK(OFFSET(A$1,,,SUMPRODUCT(MAX(ROW(E$1:E1542)*(E1543=E$1:E1542))))))</f>
        <v>2</v>
      </c>
      <c r="K1543" s="15" t="str">
        <f aca="false">IF(OR(E1543="",E1543="!!!",F1543="NEW"),"",INDEX(J$1:J1542,SUMPRODUCT(MAX(ROW(E$1:E1542)*(E1543=E$1:E1542)))))</f>
        <v/>
      </c>
      <c r="L1543" s="16"/>
    </row>
    <row r="1544" customFormat="false" ht="12.8" hidden="false" customHeight="false" outlineLevel="0" collapsed="false">
      <c r="A1544" s="0" t="s">
        <v>100</v>
      </c>
      <c r="E1544" s="10" t="str">
        <f aca="false">IF(D1544="?OLD","!!!","")</f>
        <v/>
      </c>
      <c r="F1544" s="11" t="str">
        <f aca="false">IF(OR(E1544="",E1544="!!!"),"",IF(NOT(ISNA(VLOOKUP(E1544,E$1:E1543,1,FALSE()))),"OLD",IF(AND(E1544&lt;&gt;"",E1544&lt;&gt;"!!!"),"NEW","")))</f>
        <v/>
      </c>
      <c r="G1544" s="12" t="str">
        <f aca="false">IF(OR(E1544="",E1544="!!!"),"",IF(OR(J1544=0,AND(J1544=1,K1544=1),AND(J1544=1,I1544="SBJ"),AND(J1544=1,I1544=0)),"?IN_FOCUS",IF(J1544&lt;=2,"?ACTIVATED",IF(J1544&lt;&gt;"","?FAMILIAR",IF(F1544="NEW",IF(ISNA(VLOOKUP(E1544,#REF!,1,FALSE())),"?TYPE_IDENTIFIABLE","?REFERENTIAL"),"_")))))</f>
        <v/>
      </c>
      <c r="H1544" s="13" t="str">
        <f aca="false">IF(J1544&lt;&gt;1,"",IF(I1544="SBJ","CB","?"))</f>
        <v/>
      </c>
      <c r="I1544" s="14" t="str">
        <f aca="false">IF(OR(E1544="",E1544="!!!",F1544="NEW"),"",INDEX(B$2:B1543,-1+SUMPRODUCT(MAX(ROW(E$2:E1543)*(E1544=E$2:E1543)))))</f>
        <v/>
      </c>
      <c r="J1544" s="15" t="str">
        <f aca="true">IF(OR(E1544="",E1544="!!!",F1544="NEW"),"",COUNTBLANK(OFFSET(A$1,,,SUMPRODUCT(MAX(ROW(E$2:E1544)*(E1544=E$2:E1544)))))-COUNTBLANK(OFFSET(A$1,,,SUMPRODUCT(MAX(ROW(E$1:E1543)*(E1544=E$1:E1543))))))</f>
        <v/>
      </c>
      <c r="K1544" s="15" t="str">
        <f aca="false">IF(OR(E1544="",E1544="!!!",F1544="NEW"),"",INDEX(J$1:J1543,SUMPRODUCT(MAX(ROW(E$1:E1543)*(E1544=E$1:E1543)))))</f>
        <v/>
      </c>
      <c r="L1544" s="16"/>
    </row>
    <row r="1545" customFormat="false" ht="12.8" hidden="false" customHeight="false" outlineLevel="0" collapsed="false">
      <c r="A1545" s="0" t="s">
        <v>740</v>
      </c>
      <c r="E1545" s="10" t="str">
        <f aca="false">IF(D1545="?OLD","!!!","")</f>
        <v/>
      </c>
      <c r="F1545" s="11" t="str">
        <f aca="false">IF(OR(E1545="",E1545="!!!"),"",IF(NOT(ISNA(VLOOKUP(E1545,E$1:E1544,1,FALSE()))),"OLD",IF(AND(E1545&lt;&gt;"",E1545&lt;&gt;"!!!"),"NEW","")))</f>
        <v/>
      </c>
      <c r="G1545" s="12" t="str">
        <f aca="false">IF(OR(E1545="",E1545="!!!"),"",IF(OR(J1545=0,AND(J1545=1,K1545=1),AND(J1545=1,I1545="SBJ"),AND(J1545=1,I1545=0)),"?IN_FOCUS",IF(J1545&lt;=2,"?ACTIVATED",IF(J1545&lt;&gt;"","?FAMILIAR",IF(F1545="NEW",IF(ISNA(VLOOKUP(E1545,#REF!,1,FALSE())),"?TYPE_IDENTIFIABLE","?REFERENTIAL"),"_")))))</f>
        <v/>
      </c>
      <c r="H1545" s="13" t="str">
        <f aca="false">IF(J1545&lt;&gt;1,"",IF(I1545="SBJ","CB","?"))</f>
        <v/>
      </c>
      <c r="I1545" s="14" t="str">
        <f aca="false">IF(OR(E1545="",E1545="!!!",F1545="NEW"),"",INDEX(B$2:B1544,-1+SUMPRODUCT(MAX(ROW(E$2:E1544)*(E1545=E$2:E1544)))))</f>
        <v/>
      </c>
      <c r="J1545" s="15" t="str">
        <f aca="true">IF(OR(E1545="",E1545="!!!",F1545="NEW"),"",COUNTBLANK(OFFSET(A$1,,,SUMPRODUCT(MAX(ROW(E$2:E1545)*(E1545=E$2:E1545)))))-COUNTBLANK(OFFSET(A$1,,,SUMPRODUCT(MAX(ROW(E$1:E1544)*(E1545=E$1:E1544))))))</f>
        <v/>
      </c>
      <c r="K1545" s="15" t="str">
        <f aca="false">IF(OR(E1545="",E1545="!!!",F1545="NEW"),"",INDEX(J$1:J1544,SUMPRODUCT(MAX(ROW(E$1:E1544)*(E1545=E$1:E1544)))))</f>
        <v/>
      </c>
      <c r="L1545" s="16"/>
    </row>
    <row r="1546" customFormat="false" ht="12.8" hidden="false" customHeight="false" outlineLevel="0" collapsed="false">
      <c r="A1546" s="0" t="s">
        <v>741</v>
      </c>
      <c r="B1546" s="0" t="s">
        <v>14</v>
      </c>
      <c r="C1546" s="0" t="s">
        <v>31</v>
      </c>
      <c r="E1546" s="10" t="str">
        <f aca="false">IF(D1546="?OLD","!!!","")</f>
        <v/>
      </c>
      <c r="F1546" s="11" t="str">
        <f aca="false">IF(OR(E1546="",E1546="!!!"),"",IF(NOT(ISNA(VLOOKUP(E1546,E$1:E1545,1,FALSE()))),"OLD",IF(AND(E1546&lt;&gt;"",E1546&lt;&gt;"!!!"),"NEW","")))</f>
        <v/>
      </c>
      <c r="G1546" s="12" t="str">
        <f aca="false">IF(OR(E1546="",E1546="!!!"),"",IF(OR(J1546=0,AND(J1546=1,K1546=1),AND(J1546=1,I1546="SBJ"),AND(J1546=1,I1546=0)),"?IN_FOCUS",IF(J1546&lt;=2,"?ACTIVATED",IF(J1546&lt;&gt;"","?FAMILIAR",IF(F1546="NEW",IF(ISNA(VLOOKUP(E1546,#REF!,1,FALSE())),"?TYPE_IDENTIFIABLE","?REFERENTIAL"),"_")))))</f>
        <v/>
      </c>
      <c r="H1546" s="13" t="str">
        <f aca="false">IF(J1546&lt;&gt;1,"",IF(I1546="SBJ","CB","?"))</f>
        <v/>
      </c>
      <c r="I1546" s="14" t="str">
        <f aca="false">IF(OR(E1546="",E1546="!!!",F1546="NEW"),"",INDEX(B$2:B1545,-1+SUMPRODUCT(MAX(ROW(E$2:E1545)*(E1546=E$2:E1545)))))</f>
        <v/>
      </c>
      <c r="J1546" s="15" t="str">
        <f aca="true">IF(OR(E1546="",E1546="!!!",F1546="NEW"),"",COUNTBLANK(OFFSET(A$1,,,SUMPRODUCT(MAX(ROW(E$2:E1546)*(E1546=E$2:E1546)))))-COUNTBLANK(OFFSET(A$1,,,SUMPRODUCT(MAX(ROW(E$1:E1545)*(E1546=E$1:E1545))))))</f>
        <v/>
      </c>
      <c r="K1546" s="15" t="str">
        <f aca="false">IF(OR(E1546="",E1546="!!!",F1546="NEW"),"",INDEX(J$1:J1545,SUMPRODUCT(MAX(ROW(E$1:E1545)*(E1546=E$1:E1545)))))</f>
        <v/>
      </c>
      <c r="L1546" s="16"/>
    </row>
    <row r="1547" customFormat="false" ht="12.8" hidden="false" customHeight="false" outlineLevel="0" collapsed="false">
      <c r="A1547" s="0" t="s">
        <v>44</v>
      </c>
      <c r="E1547" s="10" t="str">
        <f aca="false">IF(D1547="?OLD","!!!","")</f>
        <v/>
      </c>
      <c r="F1547" s="11" t="str">
        <f aca="false">IF(OR(E1547="",E1547="!!!"),"",IF(NOT(ISNA(VLOOKUP(E1547,E$1:E1546,1,FALSE()))),"OLD",IF(AND(E1547&lt;&gt;"",E1547&lt;&gt;"!!!"),"NEW","")))</f>
        <v/>
      </c>
      <c r="G1547" s="12" t="str">
        <f aca="false">IF(OR(E1547="",E1547="!!!"),"",IF(OR(J1547=0,AND(J1547=1,K1547=1),AND(J1547=1,I1547="SBJ"),AND(J1547=1,I1547=0)),"?IN_FOCUS",IF(J1547&lt;=2,"?ACTIVATED",IF(J1547&lt;&gt;"","?FAMILIAR",IF(F1547="NEW",IF(ISNA(VLOOKUP(E1547,#REF!,1,FALSE())),"?TYPE_IDENTIFIABLE","?REFERENTIAL"),"_")))))</f>
        <v/>
      </c>
      <c r="H1547" s="13" t="str">
        <f aca="false">IF(J1547&lt;&gt;1,"",IF(I1547="SBJ","CB","?"))</f>
        <v/>
      </c>
      <c r="I1547" s="14" t="str">
        <f aca="false">IF(OR(E1547="",E1547="!!!",F1547="NEW"),"",INDEX(B$2:B1546,-1+SUMPRODUCT(MAX(ROW(E$2:E1546)*(E1547=E$2:E1546)))))</f>
        <v/>
      </c>
      <c r="J1547" s="15" t="str">
        <f aca="true">IF(OR(E1547="",E1547="!!!",F1547="NEW"),"",COUNTBLANK(OFFSET(A$1,,,SUMPRODUCT(MAX(ROW(E$2:E1547)*(E1547=E$2:E1547)))))-COUNTBLANK(OFFSET(A$1,,,SUMPRODUCT(MAX(ROW(E$1:E1546)*(E1547=E$1:E1546))))))</f>
        <v/>
      </c>
      <c r="K1547" s="15" t="str">
        <f aca="false">IF(OR(E1547="",E1547="!!!",F1547="NEW"),"",INDEX(J$1:J1546,SUMPRODUCT(MAX(ROW(E$1:E1546)*(E1547=E$1:E1546)))))</f>
        <v/>
      </c>
      <c r="L1547" s="16"/>
    </row>
    <row r="1548" customFormat="false" ht="12.8" hidden="false" customHeight="false" outlineLevel="0" collapsed="false">
      <c r="A1548" s="0" t="s">
        <v>740</v>
      </c>
      <c r="E1548" s="10" t="str">
        <f aca="false">IF(D1548="?OLD","!!!","")</f>
        <v/>
      </c>
      <c r="F1548" s="11" t="str">
        <f aca="false">IF(OR(E1548="",E1548="!!!"),"",IF(NOT(ISNA(VLOOKUP(E1548,E$1:E1547,1,FALSE()))),"OLD",IF(AND(E1548&lt;&gt;"",E1548&lt;&gt;"!!!"),"NEW","")))</f>
        <v/>
      </c>
      <c r="G1548" s="12" t="str">
        <f aca="false">IF(OR(E1548="",E1548="!!!"),"",IF(OR(J1548=0,AND(J1548=1,K1548=1),AND(J1548=1,I1548="SBJ"),AND(J1548=1,I1548=0)),"?IN_FOCUS",IF(J1548&lt;=2,"?ACTIVATED",IF(J1548&lt;&gt;"","?FAMILIAR",IF(F1548="NEW",IF(ISNA(VLOOKUP(E1548,#REF!,1,FALSE())),"?TYPE_IDENTIFIABLE","?REFERENTIAL"),"_")))))</f>
        <v/>
      </c>
      <c r="H1548" s="13" t="str">
        <f aca="false">IF(J1548&lt;&gt;1,"",IF(I1548="SBJ","CB","?"))</f>
        <v/>
      </c>
      <c r="I1548" s="14" t="str">
        <f aca="false">IF(OR(E1548="",E1548="!!!",F1548="NEW"),"",INDEX(B$2:B1547,-1+SUMPRODUCT(MAX(ROW(E$2:E1547)*(E1548=E$2:E1547)))))</f>
        <v/>
      </c>
      <c r="J1548" s="15" t="str">
        <f aca="true">IF(OR(E1548="",E1548="!!!",F1548="NEW"),"",COUNTBLANK(OFFSET(A$1,,,SUMPRODUCT(MAX(ROW(E$2:E1548)*(E1548=E$2:E1548)))))-COUNTBLANK(OFFSET(A$1,,,SUMPRODUCT(MAX(ROW(E$1:E1547)*(E1548=E$1:E1547))))))</f>
        <v/>
      </c>
      <c r="K1548" s="15" t="str">
        <f aca="false">IF(OR(E1548="",E1548="!!!",F1548="NEW"),"",INDEX(J$1:J1547,SUMPRODUCT(MAX(ROW(E$1:E1547)*(E1548=E$1:E1547)))))</f>
        <v/>
      </c>
      <c r="L1548" s="16"/>
    </row>
    <row r="1549" customFormat="false" ht="12.8" hidden="false" customHeight="false" outlineLevel="0" collapsed="false">
      <c r="A1549" s="0" t="s">
        <v>741</v>
      </c>
      <c r="B1549" s="0" t="s">
        <v>14</v>
      </c>
      <c r="C1549" s="0" t="s">
        <v>31</v>
      </c>
      <c r="E1549" s="10" t="str">
        <f aca="false">IF(D1549="?OLD","!!!","")</f>
        <v/>
      </c>
      <c r="F1549" s="11" t="str">
        <f aca="false">IF(OR(E1549="",E1549="!!!"),"",IF(NOT(ISNA(VLOOKUP(E1549,E$1:E1548,1,FALSE()))),"OLD",IF(AND(E1549&lt;&gt;"",E1549&lt;&gt;"!!!"),"NEW","")))</f>
        <v/>
      </c>
      <c r="G1549" s="12" t="str">
        <f aca="false">IF(OR(E1549="",E1549="!!!"),"",IF(OR(J1549=0,AND(J1549=1,K1549=1),AND(J1549=1,I1549="SBJ"),AND(J1549=1,I1549=0)),"?IN_FOCUS",IF(J1549&lt;=2,"?ACTIVATED",IF(J1549&lt;&gt;"","?FAMILIAR",IF(F1549="NEW",IF(ISNA(VLOOKUP(E1549,#REF!,1,FALSE())),"?TYPE_IDENTIFIABLE","?REFERENTIAL"),"_")))))</f>
        <v/>
      </c>
      <c r="H1549" s="13" t="str">
        <f aca="false">IF(J1549&lt;&gt;1,"",IF(I1549="SBJ","CB","?"))</f>
        <v/>
      </c>
      <c r="I1549" s="14" t="str">
        <f aca="false">IF(OR(E1549="",E1549="!!!",F1549="NEW"),"",INDEX(B$2:B1548,-1+SUMPRODUCT(MAX(ROW(E$2:E1548)*(E1549=E$2:E1548)))))</f>
        <v/>
      </c>
      <c r="J1549" s="15" t="str">
        <f aca="true">IF(OR(E1549="",E1549="!!!",F1549="NEW"),"",COUNTBLANK(OFFSET(A$1,,,SUMPRODUCT(MAX(ROW(E$2:E1549)*(E1549=E$2:E1549)))))-COUNTBLANK(OFFSET(A$1,,,SUMPRODUCT(MAX(ROW(E$1:E1548)*(E1549=E$1:E1548))))))</f>
        <v/>
      </c>
      <c r="K1549" s="15" t="str">
        <f aca="false">IF(OR(E1549="",E1549="!!!",F1549="NEW"),"",INDEX(J$1:J1548,SUMPRODUCT(MAX(ROW(E$1:E1548)*(E1549=E$1:E1548)))))</f>
        <v/>
      </c>
      <c r="L1549" s="16"/>
    </row>
    <row r="1550" customFormat="false" ht="12.8" hidden="false" customHeight="false" outlineLevel="0" collapsed="false">
      <c r="A1550" s="0" t="s">
        <v>76</v>
      </c>
      <c r="E1550" s="10" t="str">
        <f aca="false">IF(D1550="?OLD","!!!","")</f>
        <v/>
      </c>
      <c r="F1550" s="11" t="str">
        <f aca="false">IF(OR(E1550="",E1550="!!!"),"",IF(NOT(ISNA(VLOOKUP(E1550,E$1:E1549,1,FALSE()))),"OLD",IF(AND(E1550&lt;&gt;"",E1550&lt;&gt;"!!!"),"NEW","")))</f>
        <v/>
      </c>
      <c r="G1550" s="12" t="str">
        <f aca="false">IF(OR(E1550="",E1550="!!!"),"",IF(OR(J1550=0,AND(J1550=1,K1550=1),AND(J1550=1,I1550="SBJ"),AND(J1550=1,I1550=0)),"?IN_FOCUS",IF(J1550&lt;=2,"?ACTIVATED",IF(J1550&lt;&gt;"","?FAMILIAR",IF(F1550="NEW",IF(ISNA(VLOOKUP(E1550,#REF!,1,FALSE())),"?TYPE_IDENTIFIABLE","?REFERENTIAL"),"_")))))</f>
        <v/>
      </c>
      <c r="H1550" s="13" t="str">
        <f aca="false">IF(J1550&lt;&gt;1,"",IF(I1550="SBJ","CB","?"))</f>
        <v/>
      </c>
      <c r="I1550" s="14" t="str">
        <f aca="false">IF(OR(E1550="",E1550="!!!",F1550="NEW"),"",INDEX(B$2:B1549,-1+SUMPRODUCT(MAX(ROW(E$2:E1549)*(E1550=E$2:E1549)))))</f>
        <v/>
      </c>
      <c r="J1550" s="15" t="str">
        <f aca="true">IF(OR(E1550="",E1550="!!!",F1550="NEW"),"",COUNTBLANK(OFFSET(A$1,,,SUMPRODUCT(MAX(ROW(E$2:E1550)*(E1550=E$2:E1550)))))-COUNTBLANK(OFFSET(A$1,,,SUMPRODUCT(MAX(ROW(E$1:E1549)*(E1550=E$1:E1549))))))</f>
        <v/>
      </c>
      <c r="K1550" s="15" t="str">
        <f aca="false">IF(OR(E1550="",E1550="!!!",F1550="NEW"),"",INDEX(J$1:J1549,SUMPRODUCT(MAX(ROW(E$1:E1549)*(E1550=E$1:E1549)))))</f>
        <v/>
      </c>
      <c r="L1550" s="16"/>
    </row>
    <row r="1551" customFormat="false" ht="12.8" hidden="false" customHeight="false" outlineLevel="0" collapsed="false">
      <c r="E1551" s="10" t="str">
        <f aca="false">IF(D1551="?OLD","!!!","")</f>
        <v/>
      </c>
      <c r="F1551" s="11" t="str">
        <f aca="false">IF(OR(E1551="",E1551="!!!"),"",IF(NOT(ISNA(VLOOKUP(E1551,E$1:E1550,1,FALSE()))),"OLD",IF(AND(E1551&lt;&gt;"",E1551&lt;&gt;"!!!"),"NEW","")))</f>
        <v/>
      </c>
      <c r="G1551" s="12" t="str">
        <f aca="false">IF(OR(E1551="",E1551="!!!"),"",IF(OR(J1551=0,AND(J1551=1,K1551=1),AND(J1551=1,I1551="SBJ"),AND(J1551=1,I1551=0)),"?IN_FOCUS",IF(J1551&lt;=2,"?ACTIVATED",IF(J1551&lt;&gt;"","?FAMILIAR",IF(F1551="NEW",IF(ISNA(VLOOKUP(E1551,#REF!,1,FALSE())),"?TYPE_IDENTIFIABLE","?REFERENTIAL"),"_")))))</f>
        <v/>
      </c>
      <c r="H1551" s="13" t="str">
        <f aca="false">IF(J1551&lt;&gt;1,"",IF(I1551="SBJ","CB","?"))</f>
        <v/>
      </c>
      <c r="I1551" s="14" t="str">
        <f aca="false">IF(OR(E1551="",E1551="!!!",F1551="NEW"),"",INDEX(B$2:B1550,-1+SUMPRODUCT(MAX(ROW(E$2:E1550)*(E1551=E$2:E1550)))))</f>
        <v/>
      </c>
      <c r="J1551" s="15" t="str">
        <f aca="true">IF(OR(E1551="",E1551="!!!",F1551="NEW"),"",COUNTBLANK(OFFSET(A$1,,,SUMPRODUCT(MAX(ROW(E$2:E1551)*(E1551=E$2:E1551)))))-COUNTBLANK(OFFSET(A$1,,,SUMPRODUCT(MAX(ROW(E$1:E1550)*(E1551=E$1:E1550))))))</f>
        <v/>
      </c>
      <c r="K1551" s="15" t="str">
        <f aca="false">IF(OR(E1551="",E1551="!!!",F1551="NEW"),"",INDEX(J$1:J1550,SUMPRODUCT(MAX(ROW(E$1:E1550)*(E1551=E$1:E1550)))))</f>
        <v/>
      </c>
      <c r="L1551" s="16"/>
    </row>
    <row r="1552" customFormat="false" ht="12.8" hidden="false" customHeight="false" outlineLevel="0" collapsed="false">
      <c r="A1552" s="0" t="s">
        <v>742</v>
      </c>
      <c r="E1552" s="10" t="str">
        <f aca="false">IF(D1552="?OLD","!!!","")</f>
        <v/>
      </c>
      <c r="F1552" s="11" t="str">
        <f aca="false">IF(OR(E1552="",E1552="!!!"),"",IF(NOT(ISNA(VLOOKUP(E1552,E$1:E1551,1,FALSE()))),"OLD",IF(AND(E1552&lt;&gt;"",E1552&lt;&gt;"!!!"),"NEW","")))</f>
        <v/>
      </c>
      <c r="G1552" s="12" t="str">
        <f aca="false">IF(OR(E1552="",E1552="!!!"),"",IF(OR(J1552=0,AND(J1552=1,K1552=1),AND(J1552=1,I1552="SBJ"),AND(J1552=1,I1552=0)),"?IN_FOCUS",IF(J1552&lt;=2,"?ACTIVATED",IF(J1552&lt;&gt;"","?FAMILIAR",IF(F1552="NEW",IF(ISNA(VLOOKUP(E1552,#REF!,1,FALSE())),"?TYPE_IDENTIFIABLE","?REFERENTIAL"),"_")))))</f>
        <v/>
      </c>
      <c r="H1552" s="13" t="str">
        <f aca="false">IF(J1552&lt;&gt;1,"",IF(I1552="SBJ","CB","?"))</f>
        <v/>
      </c>
      <c r="I1552" s="14" t="str">
        <f aca="false">IF(OR(E1552="",E1552="!!!",F1552="NEW"),"",INDEX(B$2:B1551,-1+SUMPRODUCT(MAX(ROW(E$2:E1551)*(E1552=E$2:E1551)))))</f>
        <v/>
      </c>
      <c r="J1552" s="15" t="str">
        <f aca="true">IF(OR(E1552="",E1552="!!!",F1552="NEW"),"",COUNTBLANK(OFFSET(A$1,,,SUMPRODUCT(MAX(ROW(E$2:E1552)*(E1552=E$2:E1552)))))-COUNTBLANK(OFFSET(A$1,,,SUMPRODUCT(MAX(ROW(E$1:E1551)*(E1552=E$1:E1551))))))</f>
        <v/>
      </c>
      <c r="K1552" s="15" t="str">
        <f aca="false">IF(OR(E1552="",E1552="!!!",F1552="NEW"),"",INDEX(J$1:J1551,SUMPRODUCT(MAX(ROW(E$1:E1551)*(E1552=E$1:E1551)))))</f>
        <v/>
      </c>
      <c r="L1552" s="16"/>
    </row>
    <row r="1553" customFormat="false" ht="12.8" hidden="false" customHeight="false" outlineLevel="0" collapsed="false">
      <c r="A1553" s="0" t="s">
        <v>46</v>
      </c>
      <c r="B1553" s="0" t="s">
        <v>34</v>
      </c>
      <c r="C1553" s="0" t="s">
        <v>48</v>
      </c>
      <c r="D1553" s="0" t="s">
        <v>20</v>
      </c>
      <c r="E1553" s="10" t="s">
        <v>49</v>
      </c>
      <c r="F1553" s="11" t="str">
        <f aca="false">IF(OR(E1553="",E1553="!!!"),"",IF(NOT(ISNA(VLOOKUP(E1553,E$1:E1552,1,FALSE()))),"OLD",IF(AND(E1553&lt;&gt;"",E1553&lt;&gt;"!!!"),"NEW","")))</f>
        <v>OLD</v>
      </c>
      <c r="G1553" s="12" t="s">
        <v>80</v>
      </c>
      <c r="H1553" s="13" t="str">
        <f aca="false">IF(J1553&lt;&gt;1,"",IF(I1553="SBJ","CB","?"))</f>
        <v/>
      </c>
      <c r="I1553" s="14" t="str">
        <f aca="false">IF(OR(E1553="",E1553="!!!",F1553="NEW"),"",INDEX(B$2:B1552,-1+SUMPRODUCT(MAX(ROW(E$2:E1552)*(E1553=E$2:E1552)))))</f>
        <v>SBJ_2</v>
      </c>
      <c r="J1553" s="15" t="n">
        <f aca="true">IF(OR(E1553="",E1553="!!!",F1553="NEW"),"",COUNTBLANK(OFFSET(A$1,,,SUMPRODUCT(MAX(ROW(E$2:E1553)*(E1553=E$2:E1553)))))-COUNTBLANK(OFFSET(A$1,,,SUMPRODUCT(MAX(ROW(E$1:E1552)*(E1553=E$1:E1552))))))</f>
        <v>2</v>
      </c>
      <c r="K1553" s="15" t="n">
        <f aca="false">IF(OR(E1553="",E1553="!!!",F1553="NEW"),"",INDEX(J$1:J1552,SUMPRODUCT(MAX(ROW(E$1:E1552)*(E1553=E$1:E1552)))))</f>
        <v>1</v>
      </c>
      <c r="L1553" s="16"/>
    </row>
    <row r="1554" customFormat="false" ht="12.8" hidden="false" customHeight="false" outlineLevel="0" collapsed="false">
      <c r="A1554" s="0" t="s">
        <v>82</v>
      </c>
      <c r="E1554" s="10" t="str">
        <f aca="false">IF(D1554="?OLD","!!!","")</f>
        <v/>
      </c>
      <c r="F1554" s="11" t="str">
        <f aca="false">IF(OR(E1554="",E1554="!!!"),"",IF(NOT(ISNA(VLOOKUP(E1554,E$1:E1553,1,FALSE()))),"OLD",IF(AND(E1554&lt;&gt;"",E1554&lt;&gt;"!!!"),"NEW","")))</f>
        <v/>
      </c>
      <c r="G1554" s="12" t="str">
        <f aca="false">IF(OR(E1554="",E1554="!!!"),"",IF(OR(J1554=0,AND(J1554=1,K1554=1),AND(J1554=1,I1554="SBJ"),AND(J1554=1,I1554=0)),"?IN_FOCUS",IF(J1554&lt;=2,"?ACTIVATED",IF(J1554&lt;&gt;"","?FAMILIAR",IF(F1554="NEW",IF(ISNA(VLOOKUP(E1554,#REF!,1,FALSE())),"?TYPE_IDENTIFIABLE","?REFERENTIAL"),"_")))))</f>
        <v/>
      </c>
      <c r="H1554" s="13" t="str">
        <f aca="false">IF(J1554&lt;&gt;1,"",IF(I1554="SBJ","CB","?"))</f>
        <v/>
      </c>
      <c r="I1554" s="14" t="str">
        <f aca="false">IF(OR(E1554="",E1554="!!!",F1554="NEW"),"",INDEX(B$2:B1553,-1+SUMPRODUCT(MAX(ROW(E$2:E1553)*(E1554=E$2:E1553)))))</f>
        <v/>
      </c>
      <c r="J1554" s="15" t="str">
        <f aca="true">IF(OR(E1554="",E1554="!!!",F1554="NEW"),"",COUNTBLANK(OFFSET(A$1,,,SUMPRODUCT(MAX(ROW(E$2:E1554)*(E1554=E$2:E1554)))))-COUNTBLANK(OFFSET(A$1,,,SUMPRODUCT(MAX(ROW(E$1:E1553)*(E1554=E$1:E1553))))))</f>
        <v/>
      </c>
      <c r="K1554" s="15" t="str">
        <f aca="false">IF(OR(E1554="",E1554="!!!",F1554="NEW"),"",INDEX(J$1:J1553,SUMPRODUCT(MAX(ROW(E$1:E1553)*(E1554=E$1:E1553)))))</f>
        <v/>
      </c>
      <c r="L1554" s="16"/>
    </row>
    <row r="1555" customFormat="false" ht="12.8" hidden="false" customHeight="false" outlineLevel="0" collapsed="false">
      <c r="A1555" s="0" t="s">
        <v>44</v>
      </c>
      <c r="E1555" s="10" t="str">
        <f aca="false">IF(D1555="?OLD","!!!","")</f>
        <v/>
      </c>
      <c r="F1555" s="11" t="str">
        <f aca="false">IF(OR(E1555="",E1555="!!!"),"",IF(NOT(ISNA(VLOOKUP(E1555,E$1:E1554,1,FALSE()))),"OLD",IF(AND(E1555&lt;&gt;"",E1555&lt;&gt;"!!!"),"NEW","")))</f>
        <v/>
      </c>
      <c r="G1555" s="12" t="str">
        <f aca="false">IF(OR(E1555="",E1555="!!!"),"",IF(OR(J1555=0,AND(J1555=1,K1555=1),AND(J1555=1,I1555="SBJ"),AND(J1555=1,I1555=0)),"?IN_FOCUS",IF(J1555&lt;=2,"?ACTIVATED",IF(J1555&lt;&gt;"","?FAMILIAR",IF(F1555="NEW",IF(ISNA(VLOOKUP(E1555,#REF!,1,FALSE())),"?TYPE_IDENTIFIABLE","?REFERENTIAL"),"_")))))</f>
        <v/>
      </c>
      <c r="H1555" s="13" t="str">
        <f aca="false">IF(J1555&lt;&gt;1,"",IF(I1555="SBJ","CB","?"))</f>
        <v/>
      </c>
      <c r="I1555" s="14" t="str">
        <f aca="false">IF(OR(E1555="",E1555="!!!",F1555="NEW"),"",INDEX(B$2:B1554,-1+SUMPRODUCT(MAX(ROW(E$2:E1554)*(E1555=E$2:E1554)))))</f>
        <v/>
      </c>
      <c r="J1555" s="15" t="str">
        <f aca="true">IF(OR(E1555="",E1555="!!!",F1555="NEW"),"",COUNTBLANK(OFFSET(A$1,,,SUMPRODUCT(MAX(ROW(E$2:E1555)*(E1555=E$2:E1555)))))-COUNTBLANK(OFFSET(A$1,,,SUMPRODUCT(MAX(ROW(E$1:E1554)*(E1555=E$1:E1554))))))</f>
        <v/>
      </c>
      <c r="K1555" s="15" t="str">
        <f aca="false">IF(OR(E1555="",E1555="!!!",F1555="NEW"),"",INDEX(J$1:J1554,SUMPRODUCT(MAX(ROW(E$1:E1554)*(E1555=E$1:E1554)))))</f>
        <v/>
      </c>
      <c r="L1555" s="16"/>
    </row>
    <row r="1556" customFormat="false" ht="12.8" hidden="false" customHeight="false" outlineLevel="0" collapsed="false">
      <c r="A1556" s="0" t="s">
        <v>743</v>
      </c>
      <c r="E1556" s="10" t="str">
        <f aca="false">IF(D1556="?OLD","!!!","")</f>
        <v/>
      </c>
      <c r="F1556" s="11" t="str">
        <f aca="false">IF(OR(E1556="",E1556="!!!"),"",IF(NOT(ISNA(VLOOKUP(E1556,E$1:E1555,1,FALSE()))),"OLD",IF(AND(E1556&lt;&gt;"",E1556&lt;&gt;"!!!"),"NEW","")))</f>
        <v/>
      </c>
      <c r="G1556" s="12" t="str">
        <f aca="false">IF(OR(E1556="",E1556="!!!"),"",IF(OR(J1556=0,AND(J1556=1,K1556=1),AND(J1556=1,I1556="SBJ"),AND(J1556=1,I1556=0)),"?IN_FOCUS",IF(J1556&lt;=2,"?ACTIVATED",IF(J1556&lt;&gt;"","?FAMILIAR",IF(F1556="NEW",IF(ISNA(VLOOKUP(E1556,#REF!,1,FALSE())),"?TYPE_IDENTIFIABLE","?REFERENTIAL"),"_")))))</f>
        <v/>
      </c>
      <c r="H1556" s="13" t="str">
        <f aca="false">IF(J1556&lt;&gt;1,"",IF(I1556="SBJ","CB","?"))</f>
        <v/>
      </c>
      <c r="I1556" s="14" t="str">
        <f aca="false">IF(OR(E1556="",E1556="!!!",F1556="NEW"),"",INDEX(B$2:B1555,-1+SUMPRODUCT(MAX(ROW(E$2:E1555)*(E1556=E$2:E1555)))))</f>
        <v/>
      </c>
      <c r="J1556" s="15" t="str">
        <f aca="true">IF(OR(E1556="",E1556="!!!",F1556="NEW"),"",COUNTBLANK(OFFSET(A$1,,,SUMPRODUCT(MAX(ROW(E$2:E1556)*(E1556=E$2:E1556)))))-COUNTBLANK(OFFSET(A$1,,,SUMPRODUCT(MAX(ROW(E$1:E1555)*(E1556=E$1:E1555))))))</f>
        <v/>
      </c>
      <c r="K1556" s="15" t="str">
        <f aca="false">IF(OR(E1556="",E1556="!!!",F1556="NEW"),"",INDEX(J$1:J1555,SUMPRODUCT(MAX(ROW(E$1:E1555)*(E1556=E$1:E1555)))))</f>
        <v/>
      </c>
      <c r="L1556" s="16"/>
    </row>
    <row r="1557" customFormat="false" ht="12.8" hidden="false" customHeight="false" outlineLevel="0" collapsed="false">
      <c r="A1557" s="0" t="s">
        <v>168</v>
      </c>
      <c r="B1557" s="0" t="s">
        <v>170</v>
      </c>
      <c r="C1557" s="0" t="s">
        <v>48</v>
      </c>
      <c r="D1557" s="0" t="s">
        <v>20</v>
      </c>
      <c r="E1557" s="10" t="s">
        <v>49</v>
      </c>
      <c r="F1557" s="11" t="str">
        <f aca="false">IF(OR(E1557="",E1557="!!!"),"",IF(NOT(ISNA(VLOOKUP(E1557,E$1:E1556,1,FALSE()))),"OLD",IF(AND(E1557&lt;&gt;"",E1557&lt;&gt;"!!!"),"NEW","")))</f>
        <v>OLD</v>
      </c>
      <c r="G1557" s="12" t="s">
        <v>87</v>
      </c>
      <c r="H1557" s="13" t="str">
        <f aca="false">IF(J1557&lt;&gt;1,"",IF(I1557="SBJ","CB","?"))</f>
        <v/>
      </c>
      <c r="I1557" s="14" t="str">
        <f aca="false">IF(OR(E1557="",E1557="!!!",F1557="NEW"),"",INDEX(B$2:B1556,-1+SUMPRODUCT(MAX(ROW(E$2:E1556)*(E1557=E$2:E1556)))))</f>
        <v>SBJ</v>
      </c>
      <c r="J1557" s="15" t="n">
        <f aca="true">IF(OR(E1557="",E1557="!!!",F1557="NEW"),"",COUNTBLANK(OFFSET(A$1,,,SUMPRODUCT(MAX(ROW(E$2:E1557)*(E1557=E$2:E1557)))))-COUNTBLANK(OFFSET(A$1,,,SUMPRODUCT(MAX(ROW(E$1:E1556)*(E1557=E$1:E1556))))))</f>
        <v>0</v>
      </c>
      <c r="K1557" s="15" t="n">
        <f aca="false">IF(OR(E1557="",E1557="!!!",F1557="NEW"),"",INDEX(J$1:J1556,SUMPRODUCT(MAX(ROW(E$1:E1556)*(E1557=E$1:E1556)))))</f>
        <v>2</v>
      </c>
      <c r="L1557" s="16"/>
    </row>
    <row r="1558" customFormat="false" ht="12.8" hidden="false" customHeight="false" outlineLevel="0" collapsed="false">
      <c r="A1558" s="0" t="s">
        <v>744</v>
      </c>
      <c r="E1558" s="10" t="str">
        <f aca="false">IF(D1558="?OLD","!!!","")</f>
        <v/>
      </c>
      <c r="F1558" s="11" t="str">
        <f aca="false">IF(OR(E1558="",E1558="!!!"),"",IF(NOT(ISNA(VLOOKUP(E1558,E$1:E1557,1,FALSE()))),"OLD",IF(AND(E1558&lt;&gt;"",E1558&lt;&gt;"!!!"),"NEW","")))</f>
        <v/>
      </c>
      <c r="G1558" s="12" t="str">
        <f aca="false">IF(OR(E1558="",E1558="!!!"),"",IF(OR(J1558=0,AND(J1558=1,K1558=1),AND(J1558=1,I1558="SBJ"),AND(J1558=1,I1558=0)),"?IN_FOCUS",IF(J1558&lt;=2,"?ACTIVATED",IF(J1558&lt;&gt;"","?FAMILIAR",IF(F1558="NEW",IF(ISNA(VLOOKUP(E1558,#REF!,1,FALSE())),"?TYPE_IDENTIFIABLE","?REFERENTIAL"),"_")))))</f>
        <v/>
      </c>
      <c r="H1558" s="13" t="str">
        <f aca="false">IF(J1558&lt;&gt;1,"",IF(I1558="SBJ","CB","?"))</f>
        <v/>
      </c>
      <c r="I1558" s="14" t="str">
        <f aca="false">IF(OR(E1558="",E1558="!!!",F1558="NEW"),"",INDEX(B$2:B1557,-1+SUMPRODUCT(MAX(ROW(E$2:E1557)*(E1558=E$2:E1557)))))</f>
        <v/>
      </c>
      <c r="J1558" s="15" t="str">
        <f aca="true">IF(OR(E1558="",E1558="!!!",F1558="NEW"),"",COUNTBLANK(OFFSET(A$1,,,SUMPRODUCT(MAX(ROW(E$2:E1558)*(E1558=E$2:E1558)))))-COUNTBLANK(OFFSET(A$1,,,SUMPRODUCT(MAX(ROW(E$1:E1557)*(E1558=E$1:E1557))))))</f>
        <v/>
      </c>
      <c r="K1558" s="15" t="str">
        <f aca="false">IF(OR(E1558="",E1558="!!!",F1558="NEW"),"",INDEX(J$1:J1557,SUMPRODUCT(MAX(ROW(E$1:E1557)*(E1558=E$1:E1557)))))</f>
        <v/>
      </c>
      <c r="L1558" s="16"/>
    </row>
    <row r="1559" customFormat="false" ht="12.8" hidden="false" customHeight="false" outlineLevel="0" collapsed="false">
      <c r="A1559" s="0" t="s">
        <v>120</v>
      </c>
      <c r="B1559" s="0" t="s">
        <v>59</v>
      </c>
      <c r="C1559" s="0" t="s">
        <v>121</v>
      </c>
      <c r="D1559" s="0" t="s">
        <v>20</v>
      </c>
      <c r="E1559" s="10"/>
      <c r="F1559" s="11" t="s">
        <v>238</v>
      </c>
      <c r="G1559" s="12" t="str">
        <f aca="false">IF(OR(E1559="",E1559="!!!"),"",IF(OR(J1559=0,AND(J1559=1,K1559=1),AND(J1559=1,I1559="SBJ"),AND(J1559=1,I1559=0)),"?IN_FOCUS",IF(J1559&lt;=2,"?ACTIVATED",IF(J1559&lt;&gt;"","?FAMILIAR",IF(F1559="NEW",IF(ISNA(VLOOKUP(E1559,#REF!,1,FALSE())),"?TYPE_IDENTIFIABLE","?REFERENTIAL"),"_")))))</f>
        <v/>
      </c>
      <c r="H1559" s="13" t="str">
        <f aca="false">IF(J1559&lt;&gt;1,"",IF(I1559="SBJ","CB","?"))</f>
        <v/>
      </c>
      <c r="I1559" s="14" t="str">
        <f aca="false">IF(OR(E1559="",E1559="!!!",F1559="NEW"),"",INDEX(B$2:B1558,-1+SUMPRODUCT(MAX(ROW(E$2:E1558)*(E1559=E$2:E1558)))))</f>
        <v/>
      </c>
      <c r="J1559" s="15" t="str">
        <f aca="true">IF(OR(E1559="",E1559="!!!",F1559="NEW"),"",COUNTBLANK(OFFSET(A$1,,,SUMPRODUCT(MAX(ROW(E$2:E1559)*(E1559=E$2:E1559)))))-COUNTBLANK(OFFSET(A$1,,,SUMPRODUCT(MAX(ROW(E$1:E1558)*(E1559=E$1:E1558))))))</f>
        <v/>
      </c>
      <c r="K1559" s="15" t="str">
        <f aca="false">IF(OR(E1559="",E1559="!!!",F1559="NEW"),"",INDEX(J$1:J1558,SUMPRODUCT(MAX(ROW(E$1:E1558)*(E1559=E$1:E1558)))))</f>
        <v/>
      </c>
      <c r="L1559" s="16"/>
    </row>
    <row r="1560" customFormat="false" ht="12.8" hidden="false" customHeight="false" outlineLevel="0" collapsed="false">
      <c r="A1560" s="0" t="s">
        <v>475</v>
      </c>
      <c r="E1560" s="10" t="str">
        <f aca="false">IF(D1560="?OLD","!!!","")</f>
        <v/>
      </c>
      <c r="F1560" s="11" t="str">
        <f aca="false">IF(OR(E1560="",E1560="!!!"),"",IF(NOT(ISNA(VLOOKUP(E1560,E$1:E1559,1,FALSE()))),"OLD",IF(AND(E1560&lt;&gt;"",E1560&lt;&gt;"!!!"),"NEW","")))</f>
        <v/>
      </c>
      <c r="G1560" s="12" t="str">
        <f aca="false">IF(OR(E1560="",E1560="!!!"),"",IF(OR(J1560=0,AND(J1560=1,K1560=1),AND(J1560=1,I1560="SBJ"),AND(J1560=1,I1560=0)),"?IN_FOCUS",IF(J1560&lt;=2,"?ACTIVATED",IF(J1560&lt;&gt;"","?FAMILIAR",IF(F1560="NEW",IF(ISNA(VLOOKUP(E1560,#REF!,1,FALSE())),"?TYPE_IDENTIFIABLE","?REFERENTIAL"),"_")))))</f>
        <v/>
      </c>
      <c r="H1560" s="13" t="str">
        <f aca="false">IF(J1560&lt;&gt;1,"",IF(I1560="SBJ","CB","?"))</f>
        <v/>
      </c>
      <c r="I1560" s="14" t="str">
        <f aca="false">IF(OR(E1560="",E1560="!!!",F1560="NEW"),"",INDEX(B$2:B1559,-1+SUMPRODUCT(MAX(ROW(E$2:E1559)*(E1560=E$2:E1559)))))</f>
        <v/>
      </c>
      <c r="J1560" s="15" t="str">
        <f aca="true">IF(OR(E1560="",E1560="!!!",F1560="NEW"),"",COUNTBLANK(OFFSET(A$1,,,SUMPRODUCT(MAX(ROW(E$2:E1560)*(E1560=E$2:E1560)))))-COUNTBLANK(OFFSET(A$1,,,SUMPRODUCT(MAX(ROW(E$1:E1559)*(E1560=E$1:E1559))))))</f>
        <v/>
      </c>
      <c r="K1560" s="15" t="str">
        <f aca="false">IF(OR(E1560="",E1560="!!!",F1560="NEW"),"",INDEX(J$1:J1559,SUMPRODUCT(MAX(ROW(E$1:E1559)*(E1560=E$1:E1559)))))</f>
        <v/>
      </c>
      <c r="L1560" s="16"/>
    </row>
    <row r="1561" customFormat="false" ht="12.8" hidden="false" customHeight="false" outlineLevel="0" collapsed="false">
      <c r="A1561" s="0" t="s">
        <v>118</v>
      </c>
      <c r="E1561" s="10" t="str">
        <f aca="false">IF(D1561="?OLD","!!!","")</f>
        <v/>
      </c>
      <c r="F1561" s="11" t="str">
        <f aca="false">IF(OR(E1561="",E1561="!!!"),"",IF(NOT(ISNA(VLOOKUP(E1561,E$1:E1560,1,FALSE()))),"OLD",IF(AND(E1561&lt;&gt;"",E1561&lt;&gt;"!!!"),"NEW","")))</f>
        <v/>
      </c>
      <c r="G1561" s="12" t="str">
        <f aca="false">IF(OR(E1561="",E1561="!!!"),"",IF(OR(J1561=0,AND(J1561=1,K1561=1),AND(J1561=1,I1561="SBJ"),AND(J1561=1,I1561=0)),"?IN_FOCUS",IF(J1561&lt;=2,"?ACTIVATED",IF(J1561&lt;&gt;"","?FAMILIAR",IF(F1561="NEW",IF(ISNA(VLOOKUP(E1561,#REF!,1,FALSE())),"?TYPE_IDENTIFIABLE","?REFERENTIAL"),"_")))))</f>
        <v/>
      </c>
      <c r="H1561" s="13" t="str">
        <f aca="false">IF(J1561&lt;&gt;1,"",IF(I1561="SBJ","CB","?"))</f>
        <v/>
      </c>
      <c r="I1561" s="14" t="str">
        <f aca="false">IF(OR(E1561="",E1561="!!!",F1561="NEW"),"",INDEX(B$2:B1560,-1+SUMPRODUCT(MAX(ROW(E$2:E1560)*(E1561=E$2:E1560)))))</f>
        <v/>
      </c>
      <c r="J1561" s="15" t="str">
        <f aca="true">IF(OR(E1561="",E1561="!!!",F1561="NEW"),"",COUNTBLANK(OFFSET(A$1,,,SUMPRODUCT(MAX(ROW(E$2:E1561)*(E1561=E$2:E1561)))))-COUNTBLANK(OFFSET(A$1,,,SUMPRODUCT(MAX(ROW(E$1:E1560)*(E1561=E$1:E1560))))))</f>
        <v/>
      </c>
      <c r="K1561" s="15" t="str">
        <f aca="false">IF(OR(E1561="",E1561="!!!",F1561="NEW"),"",INDEX(J$1:J1560,SUMPRODUCT(MAX(ROW(E$1:E1560)*(E1561=E$1:E1560)))))</f>
        <v/>
      </c>
      <c r="L1561" s="16"/>
    </row>
    <row r="1562" customFormat="false" ht="12.8" hidden="false" customHeight="false" outlineLevel="0" collapsed="false">
      <c r="A1562" s="0" t="s">
        <v>76</v>
      </c>
      <c r="E1562" s="10" t="str">
        <f aca="false">IF(D1562="?OLD","!!!","")</f>
        <v/>
      </c>
      <c r="F1562" s="11" t="str">
        <f aca="false">IF(OR(E1562="",E1562="!!!"),"",IF(NOT(ISNA(VLOOKUP(E1562,E$1:E1561,1,FALSE()))),"OLD",IF(AND(E1562&lt;&gt;"",E1562&lt;&gt;"!!!"),"NEW","")))</f>
        <v/>
      </c>
      <c r="G1562" s="12" t="str">
        <f aca="false">IF(OR(E1562="",E1562="!!!"),"",IF(OR(J1562=0,AND(J1562=1,K1562=1),AND(J1562=1,I1562="SBJ"),AND(J1562=1,I1562=0)),"?IN_FOCUS",IF(J1562&lt;=2,"?ACTIVATED",IF(J1562&lt;&gt;"","?FAMILIAR",IF(F1562="NEW",IF(ISNA(VLOOKUP(E1562,#REF!,1,FALSE())),"?TYPE_IDENTIFIABLE","?REFERENTIAL"),"_")))))</f>
        <v/>
      </c>
      <c r="H1562" s="13" t="str">
        <f aca="false">IF(J1562&lt;&gt;1,"",IF(I1562="SBJ","CB","?"))</f>
        <v/>
      </c>
      <c r="I1562" s="14" t="str">
        <f aca="false">IF(OR(E1562="",E1562="!!!",F1562="NEW"),"",INDEX(B$2:B1561,-1+SUMPRODUCT(MAX(ROW(E$2:E1561)*(E1562=E$2:E1561)))))</f>
        <v/>
      </c>
      <c r="J1562" s="15" t="str">
        <f aca="true">IF(OR(E1562="",E1562="!!!",F1562="NEW"),"",COUNTBLANK(OFFSET(A$1,,,SUMPRODUCT(MAX(ROW(E$2:E1562)*(E1562=E$2:E1562)))))-COUNTBLANK(OFFSET(A$1,,,SUMPRODUCT(MAX(ROW(E$1:E1561)*(E1562=E$1:E1561))))))</f>
        <v/>
      </c>
      <c r="K1562" s="15" t="str">
        <f aca="false">IF(OR(E1562="",E1562="!!!",F1562="NEW"),"",INDEX(J$1:J1561,SUMPRODUCT(MAX(ROW(E$1:E1561)*(E1562=E$1:E1561)))))</f>
        <v/>
      </c>
      <c r="L1562" s="16"/>
    </row>
    <row r="1563" customFormat="false" ht="12.8" hidden="false" customHeight="false" outlineLevel="0" collapsed="false">
      <c r="E1563" s="10" t="str">
        <f aca="false">IF(D1563="?OLD","!!!","")</f>
        <v/>
      </c>
      <c r="F1563" s="11" t="str">
        <f aca="false">IF(OR(E1563="",E1563="!!!"),"",IF(NOT(ISNA(VLOOKUP(E1563,E$1:E1562,1,FALSE()))),"OLD",IF(AND(E1563&lt;&gt;"",E1563&lt;&gt;"!!!"),"NEW","")))</f>
        <v/>
      </c>
      <c r="G1563" s="12" t="str">
        <f aca="false">IF(OR(E1563="",E1563="!!!"),"",IF(OR(J1563=0,AND(J1563=1,K1563=1),AND(J1563=1,I1563="SBJ"),AND(J1563=1,I1563=0)),"?IN_FOCUS",IF(J1563&lt;=2,"?ACTIVATED",IF(J1563&lt;&gt;"","?FAMILIAR",IF(F1563="NEW",IF(ISNA(VLOOKUP(E1563,#REF!,1,FALSE())),"?TYPE_IDENTIFIABLE","?REFERENTIAL"),"_")))))</f>
        <v/>
      </c>
      <c r="H1563" s="13" t="str">
        <f aca="false">IF(J1563&lt;&gt;1,"",IF(I1563="SBJ","CB","?"))</f>
        <v/>
      </c>
      <c r="I1563" s="14" t="str">
        <f aca="false">IF(OR(E1563="",E1563="!!!",F1563="NEW"),"",INDEX(B$2:B1562,-1+SUMPRODUCT(MAX(ROW(E$2:E1562)*(E1563=E$2:E1562)))))</f>
        <v/>
      </c>
      <c r="J1563" s="15" t="str">
        <f aca="true">IF(OR(E1563="",E1563="!!!",F1563="NEW"),"",COUNTBLANK(OFFSET(A$1,,,SUMPRODUCT(MAX(ROW(E$2:E1563)*(E1563=E$2:E1563)))))-COUNTBLANK(OFFSET(A$1,,,SUMPRODUCT(MAX(ROW(E$1:E1562)*(E1563=E$1:E1562))))))</f>
        <v/>
      </c>
      <c r="K1563" s="15" t="str">
        <f aca="false">IF(OR(E1563="",E1563="!!!",F1563="NEW"),"",INDEX(J$1:J1562,SUMPRODUCT(MAX(ROW(E$1:E1562)*(E1563=E$1:E1562)))))</f>
        <v/>
      </c>
      <c r="L1563" s="16"/>
    </row>
    <row r="1564" customFormat="false" ht="12.8" hidden="false" customHeight="false" outlineLevel="0" collapsed="false">
      <c r="A1564" s="0" t="s">
        <v>745</v>
      </c>
      <c r="E1564" s="10" t="str">
        <f aca="false">IF(D1564="?OLD","!!!","")</f>
        <v/>
      </c>
      <c r="F1564" s="11" t="str">
        <f aca="false">IF(OR(E1564="",E1564="!!!"),"",IF(NOT(ISNA(VLOOKUP(E1564,E$1:E1563,1,FALSE()))),"OLD",IF(AND(E1564&lt;&gt;"",E1564&lt;&gt;"!!!"),"NEW","")))</f>
        <v/>
      </c>
      <c r="G1564" s="12" t="str">
        <f aca="false">IF(OR(E1564="",E1564="!!!"),"",IF(OR(J1564=0,AND(J1564=1,K1564=1),AND(J1564=1,I1564="SBJ"),AND(J1564=1,I1564=0)),"?IN_FOCUS",IF(J1564&lt;=2,"?ACTIVATED",IF(J1564&lt;&gt;"","?FAMILIAR",IF(F1564="NEW",IF(ISNA(VLOOKUP(E1564,#REF!,1,FALSE())),"?TYPE_IDENTIFIABLE","?REFERENTIAL"),"_")))))</f>
        <v/>
      </c>
      <c r="H1564" s="13" t="str">
        <f aca="false">IF(J1564&lt;&gt;1,"",IF(I1564="SBJ","CB","?"))</f>
        <v/>
      </c>
      <c r="I1564" s="14" t="str">
        <f aca="false">IF(OR(E1564="",E1564="!!!",F1564="NEW"),"",INDEX(B$2:B1563,-1+SUMPRODUCT(MAX(ROW(E$2:E1563)*(E1564=E$2:E1563)))))</f>
        <v/>
      </c>
      <c r="J1564" s="15" t="str">
        <f aca="true">IF(OR(E1564="",E1564="!!!",F1564="NEW"),"",COUNTBLANK(OFFSET(A$1,,,SUMPRODUCT(MAX(ROW(E$2:E1564)*(E1564=E$2:E1564)))))-COUNTBLANK(OFFSET(A$1,,,SUMPRODUCT(MAX(ROW(E$1:E1563)*(E1564=E$1:E1563))))))</f>
        <v/>
      </c>
      <c r="K1564" s="15" t="str">
        <f aca="false">IF(OR(E1564="",E1564="!!!",F1564="NEW"),"",INDEX(J$1:J1563,SUMPRODUCT(MAX(ROW(E$1:E1563)*(E1564=E$1:E1563)))))</f>
        <v/>
      </c>
      <c r="L1564" s="16"/>
    </row>
    <row r="1565" customFormat="false" ht="12.8" hidden="false" customHeight="false" outlineLevel="0" collapsed="false">
      <c r="A1565" s="0" t="s">
        <v>746</v>
      </c>
      <c r="B1565" s="0" t="s">
        <v>34</v>
      </c>
      <c r="C1565" s="0" t="s">
        <v>31</v>
      </c>
      <c r="E1565" s="10" t="s">
        <v>333</v>
      </c>
      <c r="F1565" s="11" t="str">
        <f aca="false">IF(OR(E1565="",E1565="!!!"),"",IF(NOT(ISNA(VLOOKUP(E1565,E$1:E1564,1,FALSE()))),"OLD",IF(AND(E1565&lt;&gt;"",E1565&lt;&gt;"!!!"),"NEW","")))</f>
        <v>OLD</v>
      </c>
      <c r="G1565" s="12" t="s">
        <v>36</v>
      </c>
      <c r="H1565" s="13" t="str">
        <f aca="false">IF(J1565&lt;&gt;1,"",IF(I1565="SBJ","CB","?"))</f>
        <v/>
      </c>
      <c r="I1565" s="14" t="str">
        <f aca="false">IF(OR(E1565="",E1565="!!!",F1565="NEW"),"",INDEX(B$2:B1564,-1+SUMPRODUCT(MAX(ROW(E$2:E1564)*(E1565=E$2:E1564)))))</f>
        <v>other</v>
      </c>
      <c r="J1565" s="15" t="n">
        <f aca="true">IF(OR(E1565="",E1565="!!!",F1565="NEW"),"",COUNTBLANK(OFFSET(A$1,,,SUMPRODUCT(MAX(ROW(E$2:E1565)*(E1565=E$2:E1565)))))-COUNTBLANK(OFFSET(A$1,,,SUMPRODUCT(MAX(ROW(E$1:E1564)*(E1565=E$1:E1564))))))</f>
        <v>36</v>
      </c>
      <c r="K1565" s="15" t="n">
        <f aca="false">IF(OR(E1565="",E1565="!!!",F1565="NEW"),"",INDEX(J$1:J1564,SUMPRODUCT(MAX(ROW(E$1:E1564)*(E1565=E$1:E1564)))))</f>
        <v>15</v>
      </c>
      <c r="L1565" s="16"/>
    </row>
    <row r="1566" customFormat="false" ht="12.8" hidden="false" customHeight="false" outlineLevel="0" collapsed="false">
      <c r="A1566" s="0" t="s">
        <v>45</v>
      </c>
      <c r="E1566" s="10" t="str">
        <f aca="false">IF(D1566="?OLD","!!!","")</f>
        <v/>
      </c>
      <c r="F1566" s="11" t="str">
        <f aca="false">IF(OR(E1566="",E1566="!!!"),"",IF(NOT(ISNA(VLOOKUP(E1566,E$1:E1565,1,FALSE()))),"OLD",IF(AND(E1566&lt;&gt;"",E1566&lt;&gt;"!!!"),"NEW","")))</f>
        <v/>
      </c>
      <c r="G1566" s="12" t="str">
        <f aca="false">IF(OR(E1566="",E1566="!!!"),"",IF(OR(J1566=0,AND(J1566=1,K1566=1),AND(J1566=1,I1566="SBJ"),AND(J1566=1,I1566=0)),"?IN_FOCUS",IF(J1566&lt;=2,"?ACTIVATED",IF(J1566&lt;&gt;"","?FAMILIAR",IF(F1566="NEW",IF(ISNA(VLOOKUP(E1566,#REF!,1,FALSE())),"?TYPE_IDENTIFIABLE","?REFERENTIAL"),"_")))))</f>
        <v/>
      </c>
      <c r="H1566" s="13" t="str">
        <f aca="false">IF(J1566&lt;&gt;1,"",IF(I1566="SBJ","CB","?"))</f>
        <v/>
      </c>
      <c r="I1566" s="14" t="str">
        <f aca="false">IF(OR(E1566="",E1566="!!!",F1566="NEW"),"",INDEX(B$2:B1565,-1+SUMPRODUCT(MAX(ROW(E$2:E1565)*(E1566=E$2:E1565)))))</f>
        <v/>
      </c>
      <c r="J1566" s="15" t="str">
        <f aca="true">IF(OR(E1566="",E1566="!!!",F1566="NEW"),"",COUNTBLANK(OFFSET(A$1,,,SUMPRODUCT(MAX(ROW(E$2:E1566)*(E1566=E$2:E1566)))))-COUNTBLANK(OFFSET(A$1,,,SUMPRODUCT(MAX(ROW(E$1:E1565)*(E1566=E$1:E1565))))))</f>
        <v/>
      </c>
      <c r="K1566" s="15" t="str">
        <f aca="false">IF(OR(E1566="",E1566="!!!",F1566="NEW"),"",INDEX(J$1:J1565,SUMPRODUCT(MAX(ROW(E$1:E1565)*(E1566=E$1:E1565)))))</f>
        <v/>
      </c>
      <c r="L1566" s="16"/>
    </row>
    <row r="1567" customFormat="false" ht="12.8" hidden="false" customHeight="false" outlineLevel="0" collapsed="false">
      <c r="A1567" s="0" t="s">
        <v>52</v>
      </c>
      <c r="B1567" s="0" t="s">
        <v>75</v>
      </c>
      <c r="C1567" s="0" t="s">
        <v>31</v>
      </c>
      <c r="E1567" s="10" t="s">
        <v>52</v>
      </c>
      <c r="F1567" s="11" t="str">
        <f aca="false">IF(OR(E1567="",E1567="!!!"),"",IF(NOT(ISNA(VLOOKUP(E1567,E$1:E1566,1,FALSE()))),"OLD",IF(AND(E1567&lt;&gt;"",E1567&lt;&gt;"!!!"),"NEW","")))</f>
        <v>OLD</v>
      </c>
      <c r="G1567" s="12" t="s">
        <v>36</v>
      </c>
      <c r="H1567" s="13" t="str">
        <f aca="false">IF(J1567&lt;&gt;1,"",IF(I1567="SBJ","CB","?"))</f>
        <v/>
      </c>
      <c r="I1567" s="14" t="str">
        <f aca="false">IF(OR(E1567="",E1567="!!!",F1567="NEW"),"",INDEX(B$2:B1566,-1+SUMPRODUCT(MAX(ROW(E$2:E1566)*(E1567=E$2:E1566)))))</f>
        <v>SBJ</v>
      </c>
      <c r="J1567" s="15" t="n">
        <f aca="true">IF(OR(E1567="",E1567="!!!",F1567="NEW"),"",COUNTBLANK(OFFSET(A$1,,,SUMPRODUCT(MAX(ROW(E$2:E1567)*(E1567=E$2:E1567)))))-COUNTBLANK(OFFSET(A$1,,,SUMPRODUCT(MAX(ROW(E$1:E1566)*(E1567=E$1:E1566))))))</f>
        <v>19</v>
      </c>
      <c r="K1567" s="15" t="n">
        <f aca="false">IF(OR(E1567="",E1567="!!!",F1567="NEW"),"",INDEX(J$1:J1566,SUMPRODUCT(MAX(ROW(E$1:E1566)*(E1567=E$1:E1566)))))</f>
        <v>34</v>
      </c>
      <c r="L1567" s="16"/>
    </row>
    <row r="1568" customFormat="false" ht="12.8" hidden="false" customHeight="false" outlineLevel="0" collapsed="false">
      <c r="A1568" s="0" t="s">
        <v>54</v>
      </c>
      <c r="E1568" s="10" t="str">
        <f aca="false">IF(D1568="?OLD","!!!","")</f>
        <v/>
      </c>
      <c r="F1568" s="11" t="str">
        <f aca="false">IF(OR(E1568="",E1568="!!!"),"",IF(NOT(ISNA(VLOOKUP(E1568,E$1:E1567,1,FALSE()))),"OLD",IF(AND(E1568&lt;&gt;"",E1568&lt;&gt;"!!!"),"NEW","")))</f>
        <v/>
      </c>
      <c r="G1568" s="12" t="str">
        <f aca="false">IF(OR(E1568="",E1568="!!!"),"",IF(OR(J1568=0,AND(J1568=1,K1568=1),AND(J1568=1,I1568="SBJ"),AND(J1568=1,I1568=0)),"?IN_FOCUS",IF(J1568&lt;=2,"?ACTIVATED",IF(J1568&lt;&gt;"","?FAMILIAR",IF(F1568="NEW",IF(ISNA(VLOOKUP(E1568,#REF!,1,FALSE())),"?TYPE_IDENTIFIABLE","?REFERENTIAL"),"_")))))</f>
        <v/>
      </c>
      <c r="H1568" s="13" t="str">
        <f aca="false">IF(J1568&lt;&gt;1,"",IF(I1568="SBJ","CB","?"))</f>
        <v/>
      </c>
      <c r="I1568" s="14" t="str">
        <f aca="false">IF(OR(E1568="",E1568="!!!",F1568="NEW"),"",INDEX(B$2:B1567,-1+SUMPRODUCT(MAX(ROW(E$2:E1567)*(E1568=E$2:E1567)))))</f>
        <v/>
      </c>
      <c r="J1568" s="15" t="str">
        <f aca="true">IF(OR(E1568="",E1568="!!!",F1568="NEW"),"",COUNTBLANK(OFFSET(A$1,,,SUMPRODUCT(MAX(ROW(E$2:E1568)*(E1568=E$2:E1568)))))-COUNTBLANK(OFFSET(A$1,,,SUMPRODUCT(MAX(ROW(E$1:E1567)*(E1568=E$1:E1567))))))</f>
        <v/>
      </c>
      <c r="K1568" s="15" t="str">
        <f aca="false">IF(OR(E1568="",E1568="!!!",F1568="NEW"),"",INDEX(J$1:J1567,SUMPRODUCT(MAX(ROW(E$1:E1567)*(E1568=E$1:E1567)))))</f>
        <v/>
      </c>
      <c r="L1568" s="16"/>
    </row>
    <row r="1569" customFormat="false" ht="12.8" hidden="false" customHeight="false" outlineLevel="0" collapsed="false">
      <c r="A1569" s="0" t="s">
        <v>219</v>
      </c>
      <c r="E1569" s="10" t="str">
        <f aca="false">IF(D1569="?OLD","!!!","")</f>
        <v/>
      </c>
      <c r="F1569" s="11" t="str">
        <f aca="false">IF(OR(E1569="",E1569="!!!"),"",IF(NOT(ISNA(VLOOKUP(E1569,E$1:E1568,1,FALSE()))),"OLD",IF(AND(E1569&lt;&gt;"",E1569&lt;&gt;"!!!"),"NEW","")))</f>
        <v/>
      </c>
      <c r="G1569" s="12" t="str">
        <f aca="false">IF(OR(E1569="",E1569="!!!"),"",IF(OR(J1569=0,AND(J1569=1,K1569=1),AND(J1569=1,I1569="SBJ"),AND(J1569=1,I1569=0)),"?IN_FOCUS",IF(J1569&lt;=2,"?ACTIVATED",IF(J1569&lt;&gt;"","?FAMILIAR",IF(F1569="NEW",IF(ISNA(VLOOKUP(E1569,#REF!,1,FALSE())),"?TYPE_IDENTIFIABLE","?REFERENTIAL"),"_")))))</f>
        <v/>
      </c>
      <c r="H1569" s="13" t="str">
        <f aca="false">IF(J1569&lt;&gt;1,"",IF(I1569="SBJ","CB","?"))</f>
        <v/>
      </c>
      <c r="I1569" s="14" t="str">
        <f aca="false">IF(OR(E1569="",E1569="!!!",F1569="NEW"),"",INDEX(B$2:B1568,-1+SUMPRODUCT(MAX(ROW(E$2:E1568)*(E1569=E$2:E1568)))))</f>
        <v/>
      </c>
      <c r="J1569" s="15" t="str">
        <f aca="true">IF(OR(E1569="",E1569="!!!",F1569="NEW"),"",COUNTBLANK(OFFSET(A$1,,,SUMPRODUCT(MAX(ROW(E$2:E1569)*(E1569=E$2:E1569)))))-COUNTBLANK(OFFSET(A$1,,,SUMPRODUCT(MAX(ROW(E$1:E1568)*(E1569=E$1:E1568))))))</f>
        <v/>
      </c>
      <c r="K1569" s="15" t="str">
        <f aca="false">IF(OR(E1569="",E1569="!!!",F1569="NEW"),"",INDEX(J$1:J1568,SUMPRODUCT(MAX(ROW(E$1:E1568)*(E1569=E$1:E1568)))))</f>
        <v/>
      </c>
      <c r="L1569" s="16"/>
    </row>
    <row r="1570" customFormat="false" ht="12.8" hidden="false" customHeight="false" outlineLevel="0" collapsed="false">
      <c r="A1570" s="0" t="s">
        <v>747</v>
      </c>
      <c r="E1570" s="10" t="str">
        <f aca="false">IF(D1570="?OLD","!!!","")</f>
        <v/>
      </c>
      <c r="F1570" s="11" t="str">
        <f aca="false">IF(OR(E1570="",E1570="!!!"),"",IF(NOT(ISNA(VLOOKUP(E1570,E$1:E1569,1,FALSE()))),"OLD",IF(AND(E1570&lt;&gt;"",E1570&lt;&gt;"!!!"),"NEW","")))</f>
        <v/>
      </c>
      <c r="G1570" s="12" t="str">
        <f aca="false">IF(OR(E1570="",E1570="!!!"),"",IF(OR(J1570=0,AND(J1570=1,K1570=1),AND(J1570=1,I1570="SBJ"),AND(J1570=1,I1570=0)),"?IN_FOCUS",IF(J1570&lt;=2,"?ACTIVATED",IF(J1570&lt;&gt;"","?FAMILIAR",IF(F1570="NEW",IF(ISNA(VLOOKUP(E1570,#REF!,1,FALSE())),"?TYPE_IDENTIFIABLE","?REFERENTIAL"),"_")))))</f>
        <v/>
      </c>
      <c r="H1570" s="13" t="str">
        <f aca="false">IF(J1570&lt;&gt;1,"",IF(I1570="SBJ","CB","?"))</f>
        <v/>
      </c>
      <c r="I1570" s="14" t="str">
        <f aca="false">IF(OR(E1570="",E1570="!!!",F1570="NEW"),"",INDEX(B$2:B1569,-1+SUMPRODUCT(MAX(ROW(E$2:E1569)*(E1570=E$2:E1569)))))</f>
        <v/>
      </c>
      <c r="J1570" s="15" t="str">
        <f aca="true">IF(OR(E1570="",E1570="!!!",F1570="NEW"),"",COUNTBLANK(OFFSET(A$1,,,SUMPRODUCT(MAX(ROW(E$2:E1570)*(E1570=E$2:E1570)))))-COUNTBLANK(OFFSET(A$1,,,SUMPRODUCT(MAX(ROW(E$1:E1569)*(E1570=E$1:E1569))))))</f>
        <v/>
      </c>
      <c r="K1570" s="15" t="str">
        <f aca="false">IF(OR(E1570="",E1570="!!!",F1570="NEW"),"",INDEX(J$1:J1569,SUMPRODUCT(MAX(ROW(E$1:E1569)*(E1570=E$1:E1569)))))</f>
        <v/>
      </c>
      <c r="L1570" s="16"/>
    </row>
    <row r="1571" customFormat="false" ht="12.8" hidden="false" customHeight="false" outlineLevel="0" collapsed="false">
      <c r="A1571" s="0" t="s">
        <v>207</v>
      </c>
      <c r="E1571" s="10" t="str">
        <f aca="false">IF(D1571="?OLD","!!!","")</f>
        <v/>
      </c>
      <c r="F1571" s="11" t="str">
        <f aca="false">IF(OR(E1571="",E1571="!!!"),"",IF(NOT(ISNA(VLOOKUP(E1571,E$1:E1570,1,FALSE()))),"OLD",IF(AND(E1571&lt;&gt;"",E1571&lt;&gt;"!!!"),"NEW","")))</f>
        <v/>
      </c>
      <c r="G1571" s="12" t="str">
        <f aca="false">IF(OR(E1571="",E1571="!!!"),"",IF(OR(J1571=0,AND(J1571=1,K1571=1),AND(J1571=1,I1571="SBJ"),AND(J1571=1,I1571=0)),"?IN_FOCUS",IF(J1571&lt;=2,"?ACTIVATED",IF(J1571&lt;&gt;"","?FAMILIAR",IF(F1571="NEW",IF(ISNA(VLOOKUP(E1571,#REF!,1,FALSE())),"?TYPE_IDENTIFIABLE","?REFERENTIAL"),"_")))))</f>
        <v/>
      </c>
      <c r="H1571" s="13" t="str">
        <f aca="false">IF(J1571&lt;&gt;1,"",IF(I1571="SBJ","CB","?"))</f>
        <v/>
      </c>
      <c r="I1571" s="14" t="str">
        <f aca="false">IF(OR(E1571="",E1571="!!!",F1571="NEW"),"",INDEX(B$2:B1570,-1+SUMPRODUCT(MAX(ROW(E$2:E1570)*(E1571=E$2:E1570)))))</f>
        <v/>
      </c>
      <c r="J1571" s="15" t="str">
        <f aca="true">IF(OR(E1571="",E1571="!!!",F1571="NEW"),"",COUNTBLANK(OFFSET(A$1,,,SUMPRODUCT(MAX(ROW(E$2:E1571)*(E1571=E$2:E1571)))))-COUNTBLANK(OFFSET(A$1,,,SUMPRODUCT(MAX(ROW(E$1:E1570)*(E1571=E$1:E1570))))))</f>
        <v/>
      </c>
      <c r="K1571" s="15" t="str">
        <f aca="false">IF(OR(E1571="",E1571="!!!",F1571="NEW"),"",INDEX(J$1:J1570,SUMPRODUCT(MAX(ROW(E$1:E1570)*(E1571=E$1:E1570)))))</f>
        <v/>
      </c>
      <c r="L1571" s="16"/>
    </row>
    <row r="1572" customFormat="false" ht="12.8" hidden="false" customHeight="false" outlineLevel="0" collapsed="false">
      <c r="A1572" s="0" t="s">
        <v>29</v>
      </c>
      <c r="E1572" s="10" t="str">
        <f aca="false">IF(D1572="?OLD","!!!","")</f>
        <v/>
      </c>
      <c r="F1572" s="11" t="str">
        <f aca="false">IF(OR(E1572="",E1572="!!!"),"",IF(NOT(ISNA(VLOOKUP(E1572,E$1:E1571,1,FALSE()))),"OLD",IF(AND(E1572&lt;&gt;"",E1572&lt;&gt;"!!!"),"NEW","")))</f>
        <v/>
      </c>
      <c r="G1572" s="12" t="str">
        <f aca="false">IF(OR(E1572="",E1572="!!!"),"",IF(OR(J1572=0,AND(J1572=1,K1572=1),AND(J1572=1,I1572="SBJ"),AND(J1572=1,I1572=0)),"?IN_FOCUS",IF(J1572&lt;=2,"?ACTIVATED",IF(J1572&lt;&gt;"","?FAMILIAR",IF(F1572="NEW",IF(ISNA(VLOOKUP(E1572,#REF!,1,FALSE())),"?TYPE_IDENTIFIABLE","?REFERENTIAL"),"_")))))</f>
        <v/>
      </c>
      <c r="H1572" s="13" t="str">
        <f aca="false">IF(J1572&lt;&gt;1,"",IF(I1572="SBJ","CB","?"))</f>
        <v/>
      </c>
      <c r="I1572" s="14" t="str">
        <f aca="false">IF(OR(E1572="",E1572="!!!",F1572="NEW"),"",INDEX(B$2:B1571,-1+SUMPRODUCT(MAX(ROW(E$2:E1571)*(E1572=E$2:E1571)))))</f>
        <v/>
      </c>
      <c r="J1572" s="15" t="str">
        <f aca="true">IF(OR(E1572="",E1572="!!!",F1572="NEW"),"",COUNTBLANK(OFFSET(A$1,,,SUMPRODUCT(MAX(ROW(E$2:E1572)*(E1572=E$2:E1572)))))-COUNTBLANK(OFFSET(A$1,,,SUMPRODUCT(MAX(ROW(E$1:E1571)*(E1572=E$1:E1571))))))</f>
        <v/>
      </c>
      <c r="K1572" s="15" t="str">
        <f aca="false">IF(OR(E1572="",E1572="!!!",F1572="NEW"),"",INDEX(J$1:J1571,SUMPRODUCT(MAX(ROW(E$1:E1571)*(E1572=E$1:E1571)))))</f>
        <v/>
      </c>
      <c r="L1572" s="16"/>
    </row>
    <row r="1573" customFormat="false" ht="12.8" hidden="false" customHeight="false" outlineLevel="0" collapsed="false">
      <c r="A1573" s="0" t="s">
        <v>62</v>
      </c>
      <c r="E1573" s="10" t="str">
        <f aca="false">IF(D1573="?OLD","!!!","")</f>
        <v/>
      </c>
      <c r="F1573" s="11" t="str">
        <f aca="false">IF(OR(E1573="",E1573="!!!"),"",IF(NOT(ISNA(VLOOKUP(E1573,E$1:E1572,1,FALSE()))),"OLD",IF(AND(E1573&lt;&gt;"",E1573&lt;&gt;"!!!"),"NEW","")))</f>
        <v/>
      </c>
      <c r="G1573" s="12" t="str">
        <f aca="false">IF(OR(E1573="",E1573="!!!"),"",IF(OR(J1573=0,AND(J1573=1,K1573=1),AND(J1573=1,I1573="SBJ"),AND(J1573=1,I1573=0)),"?IN_FOCUS",IF(J1573&lt;=2,"?ACTIVATED",IF(J1573&lt;&gt;"","?FAMILIAR",IF(F1573="NEW",IF(ISNA(VLOOKUP(E1573,#REF!,1,FALSE())),"?TYPE_IDENTIFIABLE","?REFERENTIAL"),"_")))))</f>
        <v/>
      </c>
      <c r="H1573" s="13" t="str">
        <f aca="false">IF(J1573&lt;&gt;1,"",IF(I1573="SBJ","CB","?"))</f>
        <v/>
      </c>
      <c r="I1573" s="14" t="str">
        <f aca="false">IF(OR(E1573="",E1573="!!!",F1573="NEW"),"",INDEX(B$2:B1572,-1+SUMPRODUCT(MAX(ROW(E$2:E1572)*(E1573=E$2:E1572)))))</f>
        <v/>
      </c>
      <c r="J1573" s="15" t="str">
        <f aca="true">IF(OR(E1573="",E1573="!!!",F1573="NEW"),"",COUNTBLANK(OFFSET(A$1,,,SUMPRODUCT(MAX(ROW(E$2:E1573)*(E1573=E$2:E1573)))))-COUNTBLANK(OFFSET(A$1,,,SUMPRODUCT(MAX(ROW(E$1:E1572)*(E1573=E$1:E1572))))))</f>
        <v/>
      </c>
      <c r="K1573" s="15" t="str">
        <f aca="false">IF(OR(E1573="",E1573="!!!",F1573="NEW"),"",INDEX(J$1:J1572,SUMPRODUCT(MAX(ROW(E$1:E1572)*(E1573=E$1:E1572)))))</f>
        <v/>
      </c>
      <c r="L1573" s="16"/>
    </row>
    <row r="1574" customFormat="false" ht="12.8" hidden="false" customHeight="false" outlineLevel="0" collapsed="false">
      <c r="A1574" s="0" t="s">
        <v>748</v>
      </c>
      <c r="B1574" s="0" t="s">
        <v>14</v>
      </c>
      <c r="C1574" s="0" t="s">
        <v>27</v>
      </c>
      <c r="D1574" s="0" t="s">
        <v>20</v>
      </c>
      <c r="E1574" s="10"/>
      <c r="F1574" s="11" t="s">
        <v>247</v>
      </c>
      <c r="G1574" s="12" t="str">
        <f aca="false">IF(OR(E1574="",E1574="!!!"),"",IF(OR(J1574=0,AND(J1574=1,K1574=1),AND(J1574=1,I1574="SBJ"),AND(J1574=1,I1574=0)),"?IN_FOCUS",IF(J1574&lt;=2,"?ACTIVATED",IF(J1574&lt;&gt;"","?FAMILIAR",IF(F1574="NEW",IF(ISNA(VLOOKUP(E1574,#REF!,1,FALSE())),"?TYPE_IDENTIFIABLE","?REFERENTIAL"),"_")))))</f>
        <v/>
      </c>
      <c r="H1574" s="13" t="str">
        <f aca="false">IF(J1574&lt;&gt;1,"",IF(I1574="SBJ","CB","?"))</f>
        <v/>
      </c>
      <c r="I1574" s="14" t="str">
        <f aca="false">IF(OR(E1574="",E1574="!!!",F1574="NEW"),"",INDEX(B$2:B1573,-1+SUMPRODUCT(MAX(ROW(E$2:E1573)*(E1574=E$2:E1573)))))</f>
        <v/>
      </c>
      <c r="J1574" s="15" t="str">
        <f aca="true">IF(OR(E1574="",E1574="!!!",F1574="NEW"),"",COUNTBLANK(OFFSET(A$1,,,SUMPRODUCT(MAX(ROW(E$2:E1574)*(E1574=E$2:E1574)))))-COUNTBLANK(OFFSET(A$1,,,SUMPRODUCT(MAX(ROW(E$1:E1573)*(E1574=E$1:E1573))))))</f>
        <v/>
      </c>
      <c r="K1574" s="15" t="str">
        <f aca="false">IF(OR(E1574="",E1574="!!!",F1574="NEW"),"",INDEX(J$1:J1573,SUMPRODUCT(MAX(ROW(E$1:E1573)*(E1574=E$1:E1573)))))</f>
        <v/>
      </c>
      <c r="L1574" s="16"/>
    </row>
    <row r="1575" customFormat="false" ht="12.8" hidden="false" customHeight="false" outlineLevel="0" collapsed="false">
      <c r="A1575" s="0" t="s">
        <v>61</v>
      </c>
      <c r="E1575" s="10" t="str">
        <f aca="false">IF(D1575="?OLD","!!!","")</f>
        <v/>
      </c>
      <c r="F1575" s="11" t="str">
        <f aca="false">IF(OR(E1575="",E1575="!!!"),"",IF(NOT(ISNA(VLOOKUP(E1575,E$1:E1574,1,FALSE()))),"OLD",IF(AND(E1575&lt;&gt;"",E1575&lt;&gt;"!!!"),"NEW","")))</f>
        <v/>
      </c>
      <c r="G1575" s="12" t="str">
        <f aca="false">IF(OR(E1575="",E1575="!!!"),"",IF(OR(J1575=0,AND(J1575=1,K1575=1),AND(J1575=1,I1575="SBJ"),AND(J1575=1,I1575=0)),"?IN_FOCUS",IF(J1575&lt;=2,"?ACTIVATED",IF(J1575&lt;&gt;"","?FAMILIAR",IF(F1575="NEW",IF(ISNA(VLOOKUP(E1575,#REF!,1,FALSE())),"?TYPE_IDENTIFIABLE","?REFERENTIAL"),"_")))))</f>
        <v/>
      </c>
      <c r="H1575" s="13" t="str">
        <f aca="false">IF(J1575&lt;&gt;1,"",IF(I1575="SBJ","CB","?"))</f>
        <v/>
      </c>
      <c r="I1575" s="14" t="str">
        <f aca="false">IF(OR(E1575="",E1575="!!!",F1575="NEW"),"",INDEX(B$2:B1574,-1+SUMPRODUCT(MAX(ROW(E$2:E1574)*(E1575=E$2:E1574)))))</f>
        <v/>
      </c>
      <c r="J1575" s="15" t="str">
        <f aca="true">IF(OR(E1575="",E1575="!!!",F1575="NEW"),"",COUNTBLANK(OFFSET(A$1,,,SUMPRODUCT(MAX(ROW(E$2:E1575)*(E1575=E$2:E1575)))))-COUNTBLANK(OFFSET(A$1,,,SUMPRODUCT(MAX(ROW(E$1:E1574)*(E1575=E$1:E1574))))))</f>
        <v/>
      </c>
      <c r="K1575" s="15" t="str">
        <f aca="false">IF(OR(E1575="",E1575="!!!",F1575="NEW"),"",INDEX(J$1:J1574,SUMPRODUCT(MAX(ROW(E$1:E1574)*(E1575=E$1:E1574)))))</f>
        <v/>
      </c>
      <c r="L1575" s="16"/>
    </row>
    <row r="1576" customFormat="false" ht="12.8" hidden="false" customHeight="false" outlineLevel="0" collapsed="false">
      <c r="A1576" s="0" t="s">
        <v>62</v>
      </c>
      <c r="E1576" s="10" t="str">
        <f aca="false">IF(D1576="?OLD","!!!","")</f>
        <v/>
      </c>
      <c r="F1576" s="11" t="str">
        <f aca="false">IF(OR(E1576="",E1576="!!!"),"",IF(NOT(ISNA(VLOOKUP(E1576,E$1:E1575,1,FALSE()))),"OLD",IF(AND(E1576&lt;&gt;"",E1576&lt;&gt;"!!!"),"NEW","")))</f>
        <v/>
      </c>
      <c r="G1576" s="12" t="str">
        <f aca="false">IF(OR(E1576="",E1576="!!!"),"",IF(OR(J1576=0,AND(J1576=1,K1576=1),AND(J1576=1,I1576="SBJ"),AND(J1576=1,I1576=0)),"?IN_FOCUS",IF(J1576&lt;=2,"?ACTIVATED",IF(J1576&lt;&gt;"","?FAMILIAR",IF(F1576="NEW",IF(ISNA(VLOOKUP(E1576,#REF!,1,FALSE())),"?TYPE_IDENTIFIABLE","?REFERENTIAL"),"_")))))</f>
        <v/>
      </c>
      <c r="H1576" s="13" t="str">
        <f aca="false">IF(J1576&lt;&gt;1,"",IF(I1576="SBJ","CB","?"))</f>
        <v/>
      </c>
      <c r="I1576" s="14" t="str">
        <f aca="false">IF(OR(E1576="",E1576="!!!",F1576="NEW"),"",INDEX(B$2:B1575,-1+SUMPRODUCT(MAX(ROW(E$2:E1575)*(E1576=E$2:E1575)))))</f>
        <v/>
      </c>
      <c r="J1576" s="15" t="str">
        <f aca="true">IF(OR(E1576="",E1576="!!!",F1576="NEW"),"",COUNTBLANK(OFFSET(A$1,,,SUMPRODUCT(MAX(ROW(E$2:E1576)*(E1576=E$2:E1576)))))-COUNTBLANK(OFFSET(A$1,,,SUMPRODUCT(MAX(ROW(E$1:E1575)*(E1576=E$1:E1575))))))</f>
        <v/>
      </c>
      <c r="K1576" s="15" t="str">
        <f aca="false">IF(OR(E1576="",E1576="!!!",F1576="NEW"),"",INDEX(J$1:J1575,SUMPRODUCT(MAX(ROW(E$1:E1575)*(E1576=E$1:E1575)))))</f>
        <v/>
      </c>
      <c r="L1576" s="16"/>
    </row>
    <row r="1577" customFormat="false" ht="12.8" hidden="false" customHeight="false" outlineLevel="0" collapsed="false">
      <c r="A1577" s="0" t="s">
        <v>353</v>
      </c>
      <c r="B1577" s="0" t="s">
        <v>75</v>
      </c>
      <c r="C1577" s="0" t="s">
        <v>27</v>
      </c>
      <c r="D1577" s="0" t="s">
        <v>20</v>
      </c>
      <c r="E1577" s="10" t="s">
        <v>33</v>
      </c>
      <c r="F1577" s="11" t="str">
        <f aca="false">IF(OR(E1577="",E1577="!!!"),"",IF(NOT(ISNA(VLOOKUP(E1577,E$1:E1576,1,FALSE()))),"OLD",IF(AND(E1577&lt;&gt;"",E1577&lt;&gt;"!!!"),"NEW","")))</f>
        <v>OLD</v>
      </c>
      <c r="G1577" s="12" t="s">
        <v>36</v>
      </c>
      <c r="H1577" s="13" t="str">
        <f aca="false">IF(J1577&lt;&gt;1,"",IF(I1577="SBJ","CB","?"))</f>
        <v/>
      </c>
      <c r="I1577" s="14" t="str">
        <f aca="false">IF(OR(E1577="",E1577="!!!",F1577="NEW"),"",INDEX(B$2:B1576,-1+SUMPRODUCT(MAX(ROW(E$2:E1576)*(E1577=E$2:E1576)))))</f>
        <v>other_4</v>
      </c>
      <c r="J1577" s="15" t="n">
        <f aca="true">IF(OR(E1577="",E1577="!!!",F1577="NEW"),"",COUNTBLANK(OFFSET(A$1,,,SUMPRODUCT(MAX(ROW(E$2:E1577)*(E1577=E$2:E1577)))))-COUNTBLANK(OFFSET(A$1,,,SUMPRODUCT(MAX(ROW(E$1:E1576)*(E1577=E$1:E1576))))))</f>
        <v>12</v>
      </c>
      <c r="K1577" s="15" t="n">
        <f aca="false">IF(OR(E1577="",E1577="!!!",F1577="NEW"),"",INDEX(J$1:J1576,SUMPRODUCT(MAX(ROW(E$1:E1576)*(E1577=E$1:E1576)))))</f>
        <v>8</v>
      </c>
      <c r="L1577" s="16"/>
    </row>
    <row r="1578" customFormat="false" ht="12.8" hidden="false" customHeight="false" outlineLevel="0" collapsed="false">
      <c r="A1578" s="0" t="s">
        <v>76</v>
      </c>
      <c r="E1578" s="10" t="str">
        <f aca="false">IF(D1578="?OLD","!!!","")</f>
        <v/>
      </c>
      <c r="F1578" s="11" t="str">
        <f aca="false">IF(OR(E1578="",E1578="!!!"),"",IF(NOT(ISNA(VLOOKUP(E1578,E$1:E1577,1,FALSE()))),"OLD",IF(AND(E1578&lt;&gt;"",E1578&lt;&gt;"!!!"),"NEW","")))</f>
        <v/>
      </c>
      <c r="G1578" s="12" t="str">
        <f aca="false">IF(OR(E1578="",E1578="!!!"),"",IF(OR(J1578=0,AND(J1578=1,K1578=1),AND(J1578=1,I1578="SBJ"),AND(J1578=1,I1578=0)),"?IN_FOCUS",IF(J1578&lt;=2,"?ACTIVATED",IF(J1578&lt;&gt;"","?FAMILIAR",IF(F1578="NEW",IF(ISNA(VLOOKUP(E1578,#REF!,1,FALSE())),"?TYPE_IDENTIFIABLE","?REFERENTIAL"),"_")))))</f>
        <v/>
      </c>
      <c r="H1578" s="13" t="str">
        <f aca="false">IF(J1578&lt;&gt;1,"",IF(I1578="SBJ","CB","?"))</f>
        <v/>
      </c>
      <c r="I1578" s="14" t="str">
        <f aca="false">IF(OR(E1578="",E1578="!!!",F1578="NEW"),"",INDEX(B$2:B1577,-1+SUMPRODUCT(MAX(ROW(E$2:E1577)*(E1578=E$2:E1577)))))</f>
        <v/>
      </c>
      <c r="J1578" s="15" t="str">
        <f aca="true">IF(OR(E1578="",E1578="!!!",F1578="NEW"),"",COUNTBLANK(OFFSET(A$1,,,SUMPRODUCT(MAX(ROW(E$2:E1578)*(E1578=E$2:E1578)))))-COUNTBLANK(OFFSET(A$1,,,SUMPRODUCT(MAX(ROW(E$1:E1577)*(E1578=E$1:E1577))))))</f>
        <v/>
      </c>
      <c r="K1578" s="15" t="str">
        <f aca="false">IF(OR(E1578="",E1578="!!!",F1578="NEW"),"",INDEX(J$1:J1577,SUMPRODUCT(MAX(ROW(E$1:E1577)*(E1578=E$1:E1577)))))</f>
        <v/>
      </c>
      <c r="L1578" s="16"/>
    </row>
    <row r="1579" customFormat="false" ht="12.8" hidden="false" customHeight="false" outlineLevel="0" collapsed="false">
      <c r="E1579" s="10" t="str">
        <f aca="false">IF(D1579="?OLD","!!!","")</f>
        <v/>
      </c>
      <c r="F1579" s="11" t="str">
        <f aca="false">IF(OR(E1579="",E1579="!!!"),"",IF(NOT(ISNA(VLOOKUP(E1579,E$1:E1578,1,FALSE()))),"OLD",IF(AND(E1579&lt;&gt;"",E1579&lt;&gt;"!!!"),"NEW","")))</f>
        <v/>
      </c>
      <c r="G1579" s="12" t="str">
        <f aca="false">IF(OR(E1579="",E1579="!!!"),"",IF(OR(J1579=0,AND(J1579=1,K1579=1),AND(J1579=1,I1579="SBJ"),AND(J1579=1,I1579=0)),"?IN_FOCUS",IF(J1579&lt;=2,"?ACTIVATED",IF(J1579&lt;&gt;"","?FAMILIAR",IF(F1579="NEW",IF(ISNA(VLOOKUP(E1579,#REF!,1,FALSE())),"?TYPE_IDENTIFIABLE","?REFERENTIAL"),"_")))))</f>
        <v/>
      </c>
      <c r="H1579" s="13" t="str">
        <f aca="false">IF(J1579&lt;&gt;1,"",IF(I1579="SBJ","CB","?"))</f>
        <v/>
      </c>
      <c r="I1579" s="14" t="str">
        <f aca="false">IF(OR(E1579="",E1579="!!!",F1579="NEW"),"",INDEX(B$2:B1578,-1+SUMPRODUCT(MAX(ROW(E$2:E1578)*(E1579=E$2:E1578)))))</f>
        <v/>
      </c>
      <c r="J1579" s="15" t="str">
        <f aca="true">IF(OR(E1579="",E1579="!!!",F1579="NEW"),"",COUNTBLANK(OFFSET(A$1,,,SUMPRODUCT(MAX(ROW(E$2:E1579)*(E1579=E$2:E1579)))))-COUNTBLANK(OFFSET(A$1,,,SUMPRODUCT(MAX(ROW(E$1:E1578)*(E1579=E$1:E1578))))))</f>
        <v/>
      </c>
      <c r="K1579" s="15" t="str">
        <f aca="false">IF(OR(E1579="",E1579="!!!",F1579="NEW"),"",INDEX(J$1:J1578,SUMPRODUCT(MAX(ROW(E$1:E1578)*(E1579=E$1:E1578)))))</f>
        <v/>
      </c>
      <c r="L1579" s="16"/>
    </row>
    <row r="1580" customFormat="false" ht="12.8" hidden="false" customHeight="false" outlineLevel="0" collapsed="false">
      <c r="A1580" s="0" t="s">
        <v>749</v>
      </c>
      <c r="E1580" s="10" t="str">
        <f aca="false">IF(D1580="?OLD","!!!","")</f>
        <v/>
      </c>
      <c r="F1580" s="11" t="str">
        <f aca="false">IF(OR(E1580="",E1580="!!!"),"",IF(NOT(ISNA(VLOOKUP(E1580,E$1:E1579,1,FALSE()))),"OLD",IF(AND(E1580&lt;&gt;"",E1580&lt;&gt;"!!!"),"NEW","")))</f>
        <v/>
      </c>
      <c r="G1580" s="12" t="str">
        <f aca="false">IF(OR(E1580="",E1580="!!!"),"",IF(OR(J1580=0,AND(J1580=1,K1580=1),AND(J1580=1,I1580="SBJ"),AND(J1580=1,I1580=0)),"?IN_FOCUS",IF(J1580&lt;=2,"?ACTIVATED",IF(J1580&lt;&gt;"","?FAMILIAR",IF(F1580="NEW",IF(ISNA(VLOOKUP(E1580,#REF!,1,FALSE())),"?TYPE_IDENTIFIABLE","?REFERENTIAL"),"_")))))</f>
        <v/>
      </c>
      <c r="H1580" s="13" t="str">
        <f aca="false">IF(J1580&lt;&gt;1,"",IF(I1580="SBJ","CB","?"))</f>
        <v/>
      </c>
      <c r="I1580" s="14" t="str">
        <f aca="false">IF(OR(E1580="",E1580="!!!",F1580="NEW"),"",INDEX(B$2:B1579,-1+SUMPRODUCT(MAX(ROW(E$2:E1579)*(E1580=E$2:E1579)))))</f>
        <v/>
      </c>
      <c r="J1580" s="15" t="str">
        <f aca="true">IF(OR(E1580="",E1580="!!!",F1580="NEW"),"",COUNTBLANK(OFFSET(A$1,,,SUMPRODUCT(MAX(ROW(E$2:E1580)*(E1580=E$2:E1580)))))-COUNTBLANK(OFFSET(A$1,,,SUMPRODUCT(MAX(ROW(E$1:E1579)*(E1580=E$1:E1579))))))</f>
        <v/>
      </c>
      <c r="K1580" s="15" t="str">
        <f aca="false">IF(OR(E1580="",E1580="!!!",F1580="NEW"),"",INDEX(J$1:J1579,SUMPRODUCT(MAX(ROW(E$1:E1579)*(E1580=E$1:E1579)))))</f>
        <v/>
      </c>
      <c r="L1580" s="16"/>
    </row>
    <row r="1581" customFormat="false" ht="12.8" hidden="false" customHeight="false" outlineLevel="0" collapsed="false">
      <c r="A1581" s="0" t="s">
        <v>222</v>
      </c>
      <c r="B1581" s="0" t="s">
        <v>34</v>
      </c>
      <c r="C1581" s="0" t="s">
        <v>48</v>
      </c>
      <c r="D1581" s="0" t="s">
        <v>20</v>
      </c>
      <c r="E1581" s="10" t="s">
        <v>750</v>
      </c>
      <c r="F1581" s="11" t="s">
        <v>164</v>
      </c>
      <c r="G1581" s="12" t="s">
        <v>87</v>
      </c>
      <c r="H1581" s="13" t="s">
        <v>7</v>
      </c>
      <c r="I1581" s="14" t="e">
        <f aca="false">IF(OR(E1581="",E1581="!!!",F1581="NEW"),"",INDEX(B$2:B1580,-1+SUMPRODUCT(MAX(ROW(E$2:E1580)*(E1581=E$2:E1580)))))</f>
        <v>#VALUE!</v>
      </c>
      <c r="J1581" s="15" t="e">
        <f aca="true">IF(OR(E1581="",E1581="!!!",F1581="NEW"),"",COUNTBLANK(OFFSET(A$1,,,SUMPRODUCT(MAX(ROW(E$2:E1581)*(E1581=E$2:E1581)))))-COUNTBLANK(OFFSET(A$1,,,SUMPRODUCT(MAX(ROW(E$1:E1580)*(E1581=E$1:E1580))))))</f>
        <v>#VALUE!</v>
      </c>
      <c r="K1581" s="15" t="e">
        <f aca="false">IF(OR(E1581="",E1581="!!!",F1581="NEW"),"",INDEX(J$1:J1580,SUMPRODUCT(MAX(ROW(E$1:E1580)*(E1581=E$1:E1580)))))</f>
        <v>#VALUE!</v>
      </c>
      <c r="L1581" s="16"/>
    </row>
    <row r="1582" customFormat="false" ht="12.8" hidden="false" customHeight="false" outlineLevel="0" collapsed="false">
      <c r="A1582" s="0" t="s">
        <v>239</v>
      </c>
      <c r="E1582" s="10" t="str">
        <f aca="false">IF(D1582="?OLD","!!!","")</f>
        <v/>
      </c>
      <c r="F1582" s="11" t="str">
        <f aca="false">IF(OR(E1582="",E1582="!!!"),"",IF(NOT(ISNA(VLOOKUP(E1582,E$1:E1581,1,FALSE()))),"OLD",IF(AND(E1582&lt;&gt;"",E1582&lt;&gt;"!!!"),"NEW","")))</f>
        <v/>
      </c>
      <c r="G1582" s="12" t="str">
        <f aca="false">IF(OR(E1582="",E1582="!!!"),"",IF(OR(J1582=0,AND(J1582=1,K1582=1),AND(J1582=1,I1582="SBJ"),AND(J1582=1,I1582=0)),"?IN_FOCUS",IF(J1582&lt;=2,"?ACTIVATED",IF(J1582&lt;&gt;"","?FAMILIAR",IF(F1582="NEW",IF(ISNA(VLOOKUP(E1582,#REF!,1,FALSE())),"?TYPE_IDENTIFIABLE","?REFERENTIAL"),"_")))))</f>
        <v/>
      </c>
      <c r="H1582" s="13" t="str">
        <f aca="false">IF(J1582&lt;&gt;1,"",IF(I1582="SBJ","CB","?"))</f>
        <v/>
      </c>
      <c r="I1582" s="14" t="str">
        <f aca="false">IF(OR(E1582="",E1582="!!!",F1582="NEW"),"",INDEX(B$2:B1581,-1+SUMPRODUCT(MAX(ROW(E$2:E1581)*(E1582=E$2:E1581)))))</f>
        <v/>
      </c>
      <c r="J1582" s="15" t="str">
        <f aca="true">IF(OR(E1582="",E1582="!!!",F1582="NEW"),"",COUNTBLANK(OFFSET(A$1,,,SUMPRODUCT(MAX(ROW(E$2:E1582)*(E1582=E$2:E1582)))))-COUNTBLANK(OFFSET(A$1,,,SUMPRODUCT(MAX(ROW(E$1:E1581)*(E1582=E$1:E1581))))))</f>
        <v/>
      </c>
      <c r="K1582" s="15" t="str">
        <f aca="false">IF(OR(E1582="",E1582="!!!",F1582="NEW"),"",INDEX(J$1:J1581,SUMPRODUCT(MAX(ROW(E$1:E1581)*(E1582=E$1:E1581)))))</f>
        <v/>
      </c>
      <c r="L1582" s="16"/>
    </row>
    <row r="1583" customFormat="false" ht="12.8" hidden="false" customHeight="false" outlineLevel="0" collapsed="false">
      <c r="A1583" s="0" t="s">
        <v>55</v>
      </c>
      <c r="E1583" s="10" t="str">
        <f aca="false">IF(D1583="?OLD","!!!","")</f>
        <v/>
      </c>
      <c r="F1583" s="11" t="str">
        <f aca="false">IF(OR(E1583="",E1583="!!!"),"",IF(NOT(ISNA(VLOOKUP(E1583,E$1:E1582,1,FALSE()))),"OLD",IF(AND(E1583&lt;&gt;"",E1583&lt;&gt;"!!!"),"NEW","")))</f>
        <v/>
      </c>
      <c r="G1583" s="12" t="str">
        <f aca="false">IF(OR(E1583="",E1583="!!!"),"",IF(OR(J1583=0,AND(J1583=1,K1583=1),AND(J1583=1,I1583="SBJ"),AND(J1583=1,I1583=0)),"?IN_FOCUS",IF(J1583&lt;=2,"?ACTIVATED",IF(J1583&lt;&gt;"","?FAMILIAR",IF(F1583="NEW",IF(ISNA(VLOOKUP(E1583,#REF!,1,FALSE())),"?TYPE_IDENTIFIABLE","?REFERENTIAL"),"_")))))</f>
        <v/>
      </c>
      <c r="H1583" s="13" t="str">
        <f aca="false">IF(J1583&lt;&gt;1,"",IF(I1583="SBJ","CB","?"))</f>
        <v/>
      </c>
      <c r="I1583" s="14" t="str">
        <f aca="false">IF(OR(E1583="",E1583="!!!",F1583="NEW"),"",INDEX(B$2:B1582,-1+SUMPRODUCT(MAX(ROW(E$2:E1582)*(E1583=E$2:E1582)))))</f>
        <v/>
      </c>
      <c r="J1583" s="15" t="str">
        <f aca="true">IF(OR(E1583="",E1583="!!!",F1583="NEW"),"",COUNTBLANK(OFFSET(A$1,,,SUMPRODUCT(MAX(ROW(E$2:E1583)*(E1583=E$2:E1583)))))-COUNTBLANK(OFFSET(A$1,,,SUMPRODUCT(MAX(ROW(E$1:E1582)*(E1583=E$1:E1582))))))</f>
        <v/>
      </c>
      <c r="K1583" s="15" t="str">
        <f aca="false">IF(OR(E1583="",E1583="!!!",F1583="NEW"),"",INDEX(J$1:J1582,SUMPRODUCT(MAX(ROW(E$1:E1582)*(E1583=E$1:E1582)))))</f>
        <v/>
      </c>
      <c r="L1583" s="16"/>
    </row>
    <row r="1584" customFormat="false" ht="12.8" hidden="false" customHeight="false" outlineLevel="0" collapsed="false">
      <c r="A1584" s="0" t="s">
        <v>178</v>
      </c>
      <c r="E1584" s="10" t="str">
        <f aca="false">IF(D1584="?OLD","!!!","")</f>
        <v/>
      </c>
      <c r="F1584" s="11" t="str">
        <f aca="false">IF(OR(E1584="",E1584="!!!"),"",IF(NOT(ISNA(VLOOKUP(E1584,E$1:E1583,1,FALSE()))),"OLD",IF(AND(E1584&lt;&gt;"",E1584&lt;&gt;"!!!"),"NEW","")))</f>
        <v/>
      </c>
      <c r="G1584" s="12" t="str">
        <f aca="false">IF(OR(E1584="",E1584="!!!"),"",IF(OR(J1584=0,AND(J1584=1,K1584=1),AND(J1584=1,I1584="SBJ"),AND(J1584=1,I1584=0)),"?IN_FOCUS",IF(J1584&lt;=2,"?ACTIVATED",IF(J1584&lt;&gt;"","?FAMILIAR",IF(F1584="NEW",IF(ISNA(VLOOKUP(E1584,#REF!,1,FALSE())),"?TYPE_IDENTIFIABLE","?REFERENTIAL"),"_")))))</f>
        <v/>
      </c>
      <c r="H1584" s="13" t="str">
        <f aca="false">IF(J1584&lt;&gt;1,"",IF(I1584="SBJ","CB","?"))</f>
        <v/>
      </c>
      <c r="I1584" s="14" t="str">
        <f aca="false">IF(OR(E1584="",E1584="!!!",F1584="NEW"),"",INDEX(B$2:B1583,-1+SUMPRODUCT(MAX(ROW(E$2:E1583)*(E1584=E$2:E1583)))))</f>
        <v/>
      </c>
      <c r="J1584" s="15" t="str">
        <f aca="true">IF(OR(E1584="",E1584="!!!",F1584="NEW"),"",COUNTBLANK(OFFSET(A$1,,,SUMPRODUCT(MAX(ROW(E$2:E1584)*(E1584=E$2:E1584)))))-COUNTBLANK(OFFSET(A$1,,,SUMPRODUCT(MAX(ROW(E$1:E1583)*(E1584=E$1:E1583))))))</f>
        <v/>
      </c>
      <c r="K1584" s="15" t="str">
        <f aca="false">IF(OR(E1584="",E1584="!!!",F1584="NEW"),"",INDEX(J$1:J1583,SUMPRODUCT(MAX(ROW(E$1:E1583)*(E1584=E$1:E1583)))))</f>
        <v/>
      </c>
      <c r="L1584" s="16"/>
    </row>
    <row r="1585" customFormat="false" ht="12.8" hidden="false" customHeight="false" outlineLevel="0" collapsed="false">
      <c r="A1585" s="0" t="s">
        <v>751</v>
      </c>
      <c r="E1585" s="10" t="str">
        <f aca="false">IF(D1585="?OLD","!!!","")</f>
        <v/>
      </c>
      <c r="F1585" s="11" t="str">
        <f aca="false">IF(OR(E1585="",E1585="!!!"),"",IF(NOT(ISNA(VLOOKUP(E1585,E$1:E1584,1,FALSE()))),"OLD",IF(AND(E1585&lt;&gt;"",E1585&lt;&gt;"!!!"),"NEW","")))</f>
        <v/>
      </c>
      <c r="G1585" s="12" t="str">
        <f aca="false">IF(OR(E1585="",E1585="!!!"),"",IF(OR(J1585=0,AND(J1585=1,K1585=1),AND(J1585=1,I1585="SBJ"),AND(J1585=1,I1585=0)),"?IN_FOCUS",IF(J1585&lt;=2,"?ACTIVATED",IF(J1585&lt;&gt;"","?FAMILIAR",IF(F1585="NEW",IF(ISNA(VLOOKUP(E1585,#REF!,1,FALSE())),"?TYPE_IDENTIFIABLE","?REFERENTIAL"),"_")))))</f>
        <v/>
      </c>
      <c r="H1585" s="13" t="str">
        <f aca="false">IF(J1585&lt;&gt;1,"",IF(I1585="SBJ","CB","?"))</f>
        <v/>
      </c>
      <c r="I1585" s="14" t="str">
        <f aca="false">IF(OR(E1585="",E1585="!!!",F1585="NEW"),"",INDEX(B$2:B1584,-1+SUMPRODUCT(MAX(ROW(E$2:E1584)*(E1585=E$2:E1584)))))</f>
        <v/>
      </c>
      <c r="J1585" s="15" t="str">
        <f aca="true">IF(OR(E1585="",E1585="!!!",F1585="NEW"),"",COUNTBLANK(OFFSET(A$1,,,SUMPRODUCT(MAX(ROW(E$2:E1585)*(E1585=E$2:E1585)))))-COUNTBLANK(OFFSET(A$1,,,SUMPRODUCT(MAX(ROW(E$1:E1584)*(E1585=E$1:E1584))))))</f>
        <v/>
      </c>
      <c r="K1585" s="15" t="str">
        <f aca="false">IF(OR(E1585="",E1585="!!!",F1585="NEW"),"",INDEX(J$1:J1584,SUMPRODUCT(MAX(ROW(E$1:E1584)*(E1585=E$1:E1584)))))</f>
        <v/>
      </c>
      <c r="L1585" s="16"/>
    </row>
    <row r="1586" customFormat="false" ht="12.8" hidden="false" customHeight="false" outlineLevel="0" collapsed="false">
      <c r="A1586" s="0" t="s">
        <v>91</v>
      </c>
      <c r="E1586" s="10" t="str">
        <f aca="false">IF(D1586="?OLD","!!!","")</f>
        <v/>
      </c>
      <c r="F1586" s="11" t="str">
        <f aca="false">IF(OR(E1586="",E1586="!!!"),"",IF(NOT(ISNA(VLOOKUP(E1586,E$1:E1585,1,FALSE()))),"OLD",IF(AND(E1586&lt;&gt;"",E1586&lt;&gt;"!!!"),"NEW","")))</f>
        <v/>
      </c>
      <c r="G1586" s="12" t="str">
        <f aca="false">IF(OR(E1586="",E1586="!!!"),"",IF(OR(J1586=0,AND(J1586=1,K1586=1),AND(J1586=1,I1586="SBJ"),AND(J1586=1,I1586=0)),"?IN_FOCUS",IF(J1586&lt;=2,"?ACTIVATED",IF(J1586&lt;&gt;"","?FAMILIAR",IF(F1586="NEW",IF(ISNA(VLOOKUP(E1586,#REF!,1,FALSE())),"?TYPE_IDENTIFIABLE","?REFERENTIAL"),"_")))))</f>
        <v/>
      </c>
      <c r="H1586" s="13" t="str">
        <f aca="false">IF(J1586&lt;&gt;1,"",IF(I1586="SBJ","CB","?"))</f>
        <v/>
      </c>
      <c r="I1586" s="14" t="str">
        <f aca="false">IF(OR(E1586="",E1586="!!!",F1586="NEW"),"",INDEX(B$2:B1585,-1+SUMPRODUCT(MAX(ROW(E$2:E1585)*(E1586=E$2:E1585)))))</f>
        <v/>
      </c>
      <c r="J1586" s="15" t="str">
        <f aca="true">IF(OR(E1586="",E1586="!!!",F1586="NEW"),"",COUNTBLANK(OFFSET(A$1,,,SUMPRODUCT(MAX(ROW(E$2:E1586)*(E1586=E$2:E1586)))))-COUNTBLANK(OFFSET(A$1,,,SUMPRODUCT(MAX(ROW(E$1:E1585)*(E1586=E$1:E1585))))))</f>
        <v/>
      </c>
      <c r="K1586" s="15" t="str">
        <f aca="false">IF(OR(E1586="",E1586="!!!",F1586="NEW"),"",INDEX(J$1:J1585,SUMPRODUCT(MAX(ROW(E$1:E1585)*(E1586=E$1:E1585)))))</f>
        <v/>
      </c>
      <c r="L1586" s="16"/>
    </row>
    <row r="1587" customFormat="false" ht="12.8" hidden="false" customHeight="false" outlineLevel="0" collapsed="false">
      <c r="A1587" s="0" t="s">
        <v>752</v>
      </c>
      <c r="B1587" s="0" t="s">
        <v>85</v>
      </c>
      <c r="C1587" s="0" t="s">
        <v>31</v>
      </c>
      <c r="E1587" s="10" t="str">
        <f aca="false">IF(D1587="?OLD","!!!","")</f>
        <v/>
      </c>
      <c r="F1587" s="11" t="str">
        <f aca="false">IF(OR(E1587="",E1587="!!!"),"",IF(NOT(ISNA(VLOOKUP(E1587,E$1:E1586,1,FALSE()))),"OLD",IF(AND(E1587&lt;&gt;"",E1587&lt;&gt;"!!!"),"NEW","")))</f>
        <v/>
      </c>
      <c r="G1587" s="12" t="str">
        <f aca="false">IF(OR(E1587="",E1587="!!!"),"",IF(OR(J1587=0,AND(J1587=1,K1587=1),AND(J1587=1,I1587="SBJ"),AND(J1587=1,I1587=0)),"?IN_FOCUS",IF(J1587&lt;=2,"?ACTIVATED",IF(J1587&lt;&gt;"","?FAMILIAR",IF(F1587="NEW",IF(ISNA(VLOOKUP(E1587,#REF!,1,FALSE())),"?TYPE_IDENTIFIABLE","?REFERENTIAL"),"_")))))</f>
        <v/>
      </c>
      <c r="H1587" s="13" t="str">
        <f aca="false">IF(J1587&lt;&gt;1,"",IF(I1587="SBJ","CB","?"))</f>
        <v/>
      </c>
      <c r="I1587" s="14" t="str">
        <f aca="false">IF(OR(E1587="",E1587="!!!",F1587="NEW"),"",INDEX(B$2:B1586,-1+SUMPRODUCT(MAX(ROW(E$2:E1586)*(E1587=E$2:E1586)))))</f>
        <v/>
      </c>
      <c r="J1587" s="15" t="str">
        <f aca="true">IF(OR(E1587="",E1587="!!!",F1587="NEW"),"",COUNTBLANK(OFFSET(A$1,,,SUMPRODUCT(MAX(ROW(E$2:E1587)*(E1587=E$2:E1587)))))-COUNTBLANK(OFFSET(A$1,,,SUMPRODUCT(MAX(ROW(E$1:E1586)*(E1587=E$1:E1586))))))</f>
        <v/>
      </c>
      <c r="K1587" s="15" t="str">
        <f aca="false">IF(OR(E1587="",E1587="!!!",F1587="NEW"),"",INDEX(J$1:J1586,SUMPRODUCT(MAX(ROW(E$1:E1586)*(E1587=E$1:E1586)))))</f>
        <v/>
      </c>
      <c r="L1587" s="16"/>
    </row>
    <row r="1588" customFormat="false" ht="12.8" hidden="false" customHeight="false" outlineLevel="0" collapsed="false">
      <c r="A1588" s="0" t="s">
        <v>44</v>
      </c>
      <c r="E1588" s="10" t="str">
        <f aca="false">IF(D1588="?OLD","!!!","")</f>
        <v/>
      </c>
      <c r="F1588" s="11" t="str">
        <f aca="false">IF(OR(E1588="",E1588="!!!"),"",IF(NOT(ISNA(VLOOKUP(E1588,E$1:E1587,1,FALSE()))),"OLD",IF(AND(E1588&lt;&gt;"",E1588&lt;&gt;"!!!"),"NEW","")))</f>
        <v/>
      </c>
      <c r="G1588" s="12" t="str">
        <f aca="false">IF(OR(E1588="",E1588="!!!"),"",IF(OR(J1588=0,AND(J1588=1,K1588=1),AND(J1588=1,I1588="SBJ"),AND(J1588=1,I1588=0)),"?IN_FOCUS",IF(J1588&lt;=2,"?ACTIVATED",IF(J1588&lt;&gt;"","?FAMILIAR",IF(F1588="NEW",IF(ISNA(VLOOKUP(E1588,#REF!,1,FALSE())),"?TYPE_IDENTIFIABLE","?REFERENTIAL"),"_")))))</f>
        <v/>
      </c>
      <c r="H1588" s="13" t="str">
        <f aca="false">IF(J1588&lt;&gt;1,"",IF(I1588="SBJ","CB","?"))</f>
        <v/>
      </c>
      <c r="I1588" s="14" t="str">
        <f aca="false">IF(OR(E1588="",E1588="!!!",F1588="NEW"),"",INDEX(B$2:B1587,-1+SUMPRODUCT(MAX(ROW(E$2:E1587)*(E1588=E$2:E1587)))))</f>
        <v/>
      </c>
      <c r="J1588" s="15" t="str">
        <f aca="true">IF(OR(E1588="",E1588="!!!",F1588="NEW"),"",COUNTBLANK(OFFSET(A$1,,,SUMPRODUCT(MAX(ROW(E$2:E1588)*(E1588=E$2:E1588)))))-COUNTBLANK(OFFSET(A$1,,,SUMPRODUCT(MAX(ROW(E$1:E1587)*(E1588=E$1:E1587))))))</f>
        <v/>
      </c>
      <c r="K1588" s="15" t="str">
        <f aca="false">IF(OR(E1588="",E1588="!!!",F1588="NEW"),"",INDEX(J$1:J1587,SUMPRODUCT(MAX(ROW(E$1:E1587)*(E1588=E$1:E1587)))))</f>
        <v/>
      </c>
      <c r="L1588" s="16"/>
    </row>
    <row r="1589" customFormat="false" ht="12.8" hidden="false" customHeight="false" outlineLevel="0" collapsed="false">
      <c r="A1589" s="0" t="s">
        <v>45</v>
      </c>
      <c r="E1589" s="10" t="str">
        <f aca="false">IF(D1589="?OLD","!!!","")</f>
        <v/>
      </c>
      <c r="F1589" s="11" t="str">
        <f aca="false">IF(OR(E1589="",E1589="!!!"),"",IF(NOT(ISNA(VLOOKUP(E1589,E$1:E1588,1,FALSE()))),"OLD",IF(AND(E1589&lt;&gt;"",E1589&lt;&gt;"!!!"),"NEW","")))</f>
        <v/>
      </c>
      <c r="G1589" s="12" t="str">
        <f aca="false">IF(OR(E1589="",E1589="!!!"),"",IF(OR(J1589=0,AND(J1589=1,K1589=1),AND(J1589=1,I1589="SBJ"),AND(J1589=1,I1589=0)),"?IN_FOCUS",IF(J1589&lt;=2,"?ACTIVATED",IF(J1589&lt;&gt;"","?FAMILIAR",IF(F1589="NEW",IF(ISNA(VLOOKUP(E1589,#REF!,1,FALSE())),"?TYPE_IDENTIFIABLE","?REFERENTIAL"),"_")))))</f>
        <v/>
      </c>
      <c r="H1589" s="13" t="str">
        <f aca="false">IF(J1589&lt;&gt;1,"",IF(I1589="SBJ","CB","?"))</f>
        <v/>
      </c>
      <c r="I1589" s="14" t="str">
        <f aca="false">IF(OR(E1589="",E1589="!!!",F1589="NEW"),"",INDEX(B$2:B1588,-1+SUMPRODUCT(MAX(ROW(E$2:E1588)*(E1589=E$2:E1588)))))</f>
        <v/>
      </c>
      <c r="J1589" s="15" t="str">
        <f aca="true">IF(OR(E1589="",E1589="!!!",F1589="NEW"),"",COUNTBLANK(OFFSET(A$1,,,SUMPRODUCT(MAX(ROW(E$2:E1589)*(E1589=E$2:E1589)))))-COUNTBLANK(OFFSET(A$1,,,SUMPRODUCT(MAX(ROW(E$1:E1588)*(E1589=E$1:E1588))))))</f>
        <v/>
      </c>
      <c r="K1589" s="15" t="str">
        <f aca="false">IF(OR(E1589="",E1589="!!!",F1589="NEW"),"",INDEX(J$1:J1588,SUMPRODUCT(MAX(ROW(E$1:E1588)*(E1589=E$1:E1588)))))</f>
        <v/>
      </c>
      <c r="L1589" s="16"/>
    </row>
    <row r="1590" customFormat="false" ht="12.8" hidden="false" customHeight="false" outlineLevel="0" collapsed="false">
      <c r="A1590" s="0" t="s">
        <v>753</v>
      </c>
      <c r="E1590" s="10" t="str">
        <f aca="false">IF(D1590="?OLD","!!!","")</f>
        <v/>
      </c>
      <c r="F1590" s="11" t="str">
        <f aca="false">IF(OR(E1590="",E1590="!!!"),"",IF(NOT(ISNA(VLOOKUP(E1590,E$1:E1589,1,FALSE()))),"OLD",IF(AND(E1590&lt;&gt;"",E1590&lt;&gt;"!!!"),"NEW","")))</f>
        <v/>
      </c>
      <c r="G1590" s="12" t="str">
        <f aca="false">IF(OR(E1590="",E1590="!!!"),"",IF(OR(J1590=0,AND(J1590=1,K1590=1),AND(J1590=1,I1590="SBJ"),AND(J1590=1,I1590=0)),"?IN_FOCUS",IF(J1590&lt;=2,"?ACTIVATED",IF(J1590&lt;&gt;"","?FAMILIAR",IF(F1590="NEW",IF(ISNA(VLOOKUP(E1590,#REF!,1,FALSE())),"?TYPE_IDENTIFIABLE","?REFERENTIAL"),"_")))))</f>
        <v/>
      </c>
      <c r="H1590" s="13" t="str">
        <f aca="false">IF(J1590&lt;&gt;1,"",IF(I1590="SBJ","CB","?"))</f>
        <v/>
      </c>
      <c r="I1590" s="14" t="str">
        <f aca="false">IF(OR(E1590="",E1590="!!!",F1590="NEW"),"",INDEX(B$2:B1589,-1+SUMPRODUCT(MAX(ROW(E$2:E1589)*(E1590=E$2:E1589)))))</f>
        <v/>
      </c>
      <c r="J1590" s="15" t="str">
        <f aca="true">IF(OR(E1590="",E1590="!!!",F1590="NEW"),"",COUNTBLANK(OFFSET(A$1,,,SUMPRODUCT(MAX(ROW(E$2:E1590)*(E1590=E$2:E1590)))))-COUNTBLANK(OFFSET(A$1,,,SUMPRODUCT(MAX(ROW(E$1:E1589)*(E1590=E$1:E1589))))))</f>
        <v/>
      </c>
      <c r="K1590" s="15" t="str">
        <f aca="false">IF(OR(E1590="",E1590="!!!",F1590="NEW"),"",INDEX(J$1:J1589,SUMPRODUCT(MAX(ROW(E$1:E1589)*(E1590=E$1:E1589)))))</f>
        <v/>
      </c>
      <c r="L1590" s="16"/>
    </row>
    <row r="1591" customFormat="false" ht="12.8" hidden="false" customHeight="false" outlineLevel="0" collapsed="false">
      <c r="A1591" s="0" t="s">
        <v>150</v>
      </c>
      <c r="B1591" s="0" t="s">
        <v>14</v>
      </c>
      <c r="C1591" s="0" t="s">
        <v>31</v>
      </c>
      <c r="E1591" s="10" t="s">
        <v>150</v>
      </c>
      <c r="F1591" s="11" t="str">
        <f aca="false">IF(OR(E1591="",E1591="!!!"),"",IF(NOT(ISNA(VLOOKUP(E1591,E$1:E1590,1,FALSE()))),"OLD",IF(AND(E1591&lt;&gt;"",E1591&lt;&gt;"!!!"),"NEW","")))</f>
        <v>NEW</v>
      </c>
      <c r="G1591" s="12" t="s">
        <v>67</v>
      </c>
      <c r="H1591" s="13" t="str">
        <f aca="false">IF(J1591&lt;&gt;1,"",IF(I1591="SBJ","CB","?"))</f>
        <v/>
      </c>
      <c r="I1591" s="14" t="str">
        <f aca="false">IF(OR(E1591="",E1591="!!!",F1591="NEW"),"",INDEX(B$2:B1590,-1+SUMPRODUCT(MAX(ROW(E$2:E1590)*(E1591=E$2:E1590)))))</f>
        <v/>
      </c>
      <c r="J1591" s="15" t="str">
        <f aca="true">IF(OR(E1591="",E1591="!!!",F1591="NEW"),"",COUNTBLANK(OFFSET(A$1,,,SUMPRODUCT(MAX(ROW(E$2:E1591)*(E1591=E$2:E1591)))))-COUNTBLANK(OFFSET(A$1,,,SUMPRODUCT(MAX(ROW(E$1:E1590)*(E1591=E$1:E1590))))))</f>
        <v/>
      </c>
      <c r="K1591" s="15" t="str">
        <f aca="false">IF(OR(E1591="",E1591="!!!",F1591="NEW"),"",INDEX(J$1:J1590,SUMPRODUCT(MAX(ROW(E$1:E1590)*(E1591=E$1:E1590)))))</f>
        <v/>
      </c>
      <c r="L1591" s="16"/>
    </row>
    <row r="1592" customFormat="false" ht="12.8" hidden="false" customHeight="false" outlineLevel="0" collapsed="false">
      <c r="A1592" s="0" t="s">
        <v>45</v>
      </c>
      <c r="E1592" s="10" t="str">
        <f aca="false">IF(D1592="?OLD","!!!","")</f>
        <v/>
      </c>
      <c r="F1592" s="11" t="str">
        <f aca="false">IF(OR(E1592="",E1592="!!!"),"",IF(NOT(ISNA(VLOOKUP(E1592,E$1:E1591,1,FALSE()))),"OLD",IF(AND(E1592&lt;&gt;"",E1592&lt;&gt;"!!!"),"NEW","")))</f>
        <v/>
      </c>
      <c r="G1592" s="12" t="str">
        <f aca="false">IF(OR(E1592="",E1592="!!!"),"",IF(OR(J1592=0,AND(J1592=1,K1592=1),AND(J1592=1,I1592="SBJ"),AND(J1592=1,I1592=0)),"?IN_FOCUS",IF(J1592&lt;=2,"?ACTIVATED",IF(J1592&lt;&gt;"","?FAMILIAR",IF(F1592="NEW",IF(ISNA(VLOOKUP(E1592,#REF!,1,FALSE())),"?TYPE_IDENTIFIABLE","?REFERENTIAL"),"_")))))</f>
        <v/>
      </c>
      <c r="H1592" s="13" t="str">
        <f aca="false">IF(J1592&lt;&gt;1,"",IF(I1592="SBJ","CB","?"))</f>
        <v/>
      </c>
      <c r="I1592" s="14" t="str">
        <f aca="false">IF(OR(E1592="",E1592="!!!",F1592="NEW"),"",INDEX(B$2:B1591,-1+SUMPRODUCT(MAX(ROW(E$2:E1591)*(E1592=E$2:E1591)))))</f>
        <v/>
      </c>
      <c r="J1592" s="15" t="str">
        <f aca="true">IF(OR(E1592="",E1592="!!!",F1592="NEW"),"",COUNTBLANK(OFFSET(A$1,,,SUMPRODUCT(MAX(ROW(E$2:E1592)*(E1592=E$2:E1592)))))-COUNTBLANK(OFFSET(A$1,,,SUMPRODUCT(MAX(ROW(E$1:E1591)*(E1592=E$1:E1591))))))</f>
        <v/>
      </c>
      <c r="K1592" s="15" t="str">
        <f aca="false">IF(OR(E1592="",E1592="!!!",F1592="NEW"),"",INDEX(J$1:J1591,SUMPRODUCT(MAX(ROW(E$1:E1591)*(E1592=E$1:E1591)))))</f>
        <v/>
      </c>
      <c r="L1592" s="16"/>
    </row>
    <row r="1593" customFormat="false" ht="12.8" hidden="false" customHeight="false" outlineLevel="0" collapsed="false">
      <c r="A1593" s="0" t="s">
        <v>754</v>
      </c>
      <c r="E1593" s="10"/>
      <c r="F1593" s="11" t="str">
        <f aca="false">IF(OR(E1593="",E1593="!!!"),"",IF(NOT(ISNA(VLOOKUP(E1593,E$1:E1592,1,FALSE()))),"OLD",IF(AND(E1593&lt;&gt;"",E1593&lt;&gt;"!!!"),"NEW","")))</f>
        <v/>
      </c>
      <c r="G1593" s="12" t="str">
        <f aca="false">IF(OR(E1593="",E1593="!!!"),"",IF(OR(J1593=0,AND(J1593=1,K1593=1),AND(J1593=1,I1593="SBJ"),AND(J1593=1,I1593=0)),"?IN_FOCUS",IF(J1593&lt;=2,"?ACTIVATED",IF(J1593&lt;&gt;"","?FAMILIAR",IF(F1593="NEW",IF(ISNA(VLOOKUP(E1593,#REF!,1,FALSE())),"?TYPE_IDENTIFIABLE","?REFERENTIAL"),"_")))))</f>
        <v/>
      </c>
      <c r="H1593" s="13" t="str">
        <f aca="false">IF(J1593&lt;&gt;1,"",IF(I1593="SBJ","CB","?"))</f>
        <v/>
      </c>
      <c r="I1593" s="14" t="str">
        <f aca="false">IF(OR(E1593="",E1593="!!!",F1593="NEW"),"",INDEX(B$2:B1592,-1+SUMPRODUCT(MAX(ROW(E$2:E1592)*(E1593=E$2:E1592)))))</f>
        <v/>
      </c>
      <c r="J1593" s="15" t="str">
        <f aca="true">IF(OR(E1593="",E1593="!!!",F1593="NEW"),"",COUNTBLANK(OFFSET(A$1,,,SUMPRODUCT(MAX(ROW(E$2:E1593)*(E1593=E$2:E1593)))))-COUNTBLANK(OFFSET(A$1,,,SUMPRODUCT(MAX(ROW(E$1:E1592)*(E1593=E$1:E1592))))))</f>
        <v/>
      </c>
      <c r="K1593" s="15" t="str">
        <f aca="false">IF(OR(E1593="",E1593="!!!",F1593="NEW"),"",INDEX(J$1:J1592,SUMPRODUCT(MAX(ROW(E$1:E1592)*(E1593=E$1:E1592)))))</f>
        <v/>
      </c>
      <c r="L1593" s="16"/>
    </row>
    <row r="1594" customFormat="false" ht="12.8" hidden="false" customHeight="false" outlineLevel="0" collapsed="false">
      <c r="A1594" s="0" t="s">
        <v>755</v>
      </c>
      <c r="B1594" s="0" t="s">
        <v>75</v>
      </c>
      <c r="C1594" s="0" t="s">
        <v>31</v>
      </c>
      <c r="E1594" s="10" t="s">
        <v>756</v>
      </c>
      <c r="F1594" s="11" t="str">
        <f aca="false">IF(OR(E1594="",E1594="!!!"),"",IF(NOT(ISNA(VLOOKUP(E1594,E$1:E1593,1,FALSE()))),"OLD",IF(AND(E1594&lt;&gt;"",E1594&lt;&gt;"!!!"),"NEW","")))</f>
        <v>NEW</v>
      </c>
      <c r="G1594" s="12" t="s">
        <v>67</v>
      </c>
      <c r="H1594" s="13" t="str">
        <f aca="false">IF(J1594&lt;&gt;1,"",IF(I1594="SBJ","CB","?"))</f>
        <v/>
      </c>
      <c r="I1594" s="14" t="str">
        <f aca="false">IF(OR(E1594="",E1594="!!!",F1594="NEW"),"",INDEX(B$2:B1593,-1+SUMPRODUCT(MAX(ROW(E$2:E1593)*(E1594=E$2:E1593)))))</f>
        <v/>
      </c>
      <c r="J1594" s="15" t="str">
        <f aca="true">IF(OR(E1594="",E1594="!!!",F1594="NEW"),"",COUNTBLANK(OFFSET(A$1,,,SUMPRODUCT(MAX(ROW(E$2:E1594)*(E1594=E$2:E1594)))))-COUNTBLANK(OFFSET(A$1,,,SUMPRODUCT(MAX(ROW(E$1:E1593)*(E1594=E$1:E1593))))))</f>
        <v/>
      </c>
      <c r="K1594" s="15" t="str">
        <f aca="false">IF(OR(E1594="",E1594="!!!",F1594="NEW"),"",INDEX(J$1:J1593,SUMPRODUCT(MAX(ROW(E$1:E1593)*(E1594=E$1:E1593)))))</f>
        <v/>
      </c>
      <c r="L1594" s="16"/>
    </row>
    <row r="1595" customFormat="false" ht="12.8" hidden="false" customHeight="false" outlineLevel="0" collapsed="false">
      <c r="A1595" s="0" t="s">
        <v>54</v>
      </c>
      <c r="E1595" s="10" t="str">
        <f aca="false">IF(D1595="?OLD","!!!","")</f>
        <v/>
      </c>
      <c r="F1595" s="11" t="str">
        <f aca="false">IF(OR(E1595="",E1595="!!!"),"",IF(NOT(ISNA(VLOOKUP(E1595,E$1:E1594,1,FALSE()))),"OLD",IF(AND(E1595&lt;&gt;"",E1595&lt;&gt;"!!!"),"NEW","")))</f>
        <v/>
      </c>
      <c r="G1595" s="12" t="str">
        <f aca="false">IF(OR(E1595="",E1595="!!!"),"",IF(OR(J1595=0,AND(J1595=1,K1595=1),AND(J1595=1,I1595="SBJ"),AND(J1595=1,I1595=0)),"?IN_FOCUS",IF(J1595&lt;=2,"?ACTIVATED",IF(J1595&lt;&gt;"","?FAMILIAR",IF(F1595="NEW",IF(ISNA(VLOOKUP(E1595,#REF!,1,FALSE())),"?TYPE_IDENTIFIABLE","?REFERENTIAL"),"_")))))</f>
        <v/>
      </c>
      <c r="H1595" s="13" t="str">
        <f aca="false">IF(J1595&lt;&gt;1,"",IF(I1595="SBJ","CB","?"))</f>
        <v/>
      </c>
      <c r="I1595" s="14" t="str">
        <f aca="false">IF(OR(E1595="",E1595="!!!",F1595="NEW"),"",INDEX(B$2:B1594,-1+SUMPRODUCT(MAX(ROW(E$2:E1594)*(E1595=E$2:E1594)))))</f>
        <v/>
      </c>
      <c r="J1595" s="15" t="str">
        <f aca="true">IF(OR(E1595="",E1595="!!!",F1595="NEW"),"",COUNTBLANK(OFFSET(A$1,,,SUMPRODUCT(MAX(ROW(E$2:E1595)*(E1595=E$2:E1595)))))-COUNTBLANK(OFFSET(A$1,,,SUMPRODUCT(MAX(ROW(E$1:E1594)*(E1595=E$1:E1594))))))</f>
        <v/>
      </c>
      <c r="K1595" s="15" t="str">
        <f aca="false">IF(OR(E1595="",E1595="!!!",F1595="NEW"),"",INDEX(J$1:J1594,SUMPRODUCT(MAX(ROW(E$1:E1594)*(E1595=E$1:E1594)))))</f>
        <v/>
      </c>
      <c r="L1595" s="16"/>
    </row>
    <row r="1596" customFormat="false" ht="12.8" hidden="false" customHeight="false" outlineLevel="0" collapsed="false">
      <c r="A1596" s="0" t="s">
        <v>55</v>
      </c>
      <c r="E1596" s="10" t="str">
        <f aca="false">IF(D1596="?OLD","!!!","")</f>
        <v/>
      </c>
      <c r="F1596" s="11" t="str">
        <f aca="false">IF(OR(E1596="",E1596="!!!"),"",IF(NOT(ISNA(VLOOKUP(E1596,E$1:E1595,1,FALSE()))),"OLD",IF(AND(E1596&lt;&gt;"",E1596&lt;&gt;"!!!"),"NEW","")))</f>
        <v/>
      </c>
      <c r="G1596" s="12" t="str">
        <f aca="false">IF(OR(E1596="",E1596="!!!"),"",IF(OR(J1596=0,AND(J1596=1,K1596=1),AND(J1596=1,I1596="SBJ"),AND(J1596=1,I1596=0)),"?IN_FOCUS",IF(J1596&lt;=2,"?ACTIVATED",IF(J1596&lt;&gt;"","?FAMILIAR",IF(F1596="NEW",IF(ISNA(VLOOKUP(E1596,#REF!,1,FALSE())),"?TYPE_IDENTIFIABLE","?REFERENTIAL"),"_")))))</f>
        <v/>
      </c>
      <c r="H1596" s="13" t="str">
        <f aca="false">IF(J1596&lt;&gt;1,"",IF(I1596="SBJ","CB","?"))</f>
        <v/>
      </c>
      <c r="I1596" s="14" t="str">
        <f aca="false">IF(OR(E1596="",E1596="!!!",F1596="NEW"),"",INDEX(B$2:B1595,-1+SUMPRODUCT(MAX(ROW(E$2:E1595)*(E1596=E$2:E1595)))))</f>
        <v/>
      </c>
      <c r="J1596" s="15" t="str">
        <f aca="true">IF(OR(E1596="",E1596="!!!",F1596="NEW"),"",COUNTBLANK(OFFSET(A$1,,,SUMPRODUCT(MAX(ROW(E$2:E1596)*(E1596=E$2:E1596)))))-COUNTBLANK(OFFSET(A$1,,,SUMPRODUCT(MAX(ROW(E$1:E1595)*(E1596=E$1:E1595))))))</f>
        <v/>
      </c>
      <c r="K1596" s="15" t="str">
        <f aca="false">IF(OR(E1596="",E1596="!!!",F1596="NEW"),"",INDEX(J$1:J1595,SUMPRODUCT(MAX(ROW(E$1:E1595)*(E1596=E$1:E1595)))))</f>
        <v/>
      </c>
      <c r="L1596" s="16"/>
    </row>
    <row r="1597" customFormat="false" ht="12.8" hidden="false" customHeight="false" outlineLevel="0" collapsed="false">
      <c r="A1597" s="0" t="s">
        <v>757</v>
      </c>
      <c r="E1597" s="10" t="str">
        <f aca="false">IF(D1597="?OLD","!!!","")</f>
        <v/>
      </c>
      <c r="F1597" s="11" t="str">
        <f aca="false">IF(OR(E1597="",E1597="!!!"),"",IF(NOT(ISNA(VLOOKUP(E1597,E$1:E1596,1,FALSE()))),"OLD",IF(AND(E1597&lt;&gt;"",E1597&lt;&gt;"!!!"),"NEW","")))</f>
        <v/>
      </c>
      <c r="G1597" s="12" t="str">
        <f aca="false">IF(OR(E1597="",E1597="!!!"),"",IF(OR(J1597=0,AND(J1597=1,K1597=1),AND(J1597=1,I1597="SBJ"),AND(J1597=1,I1597=0)),"?IN_FOCUS",IF(J1597&lt;=2,"?ACTIVATED",IF(J1597&lt;&gt;"","?FAMILIAR",IF(F1597="NEW",IF(ISNA(VLOOKUP(E1597,#REF!,1,FALSE())),"?TYPE_IDENTIFIABLE","?REFERENTIAL"),"_")))))</f>
        <v/>
      </c>
      <c r="H1597" s="13" t="str">
        <f aca="false">IF(J1597&lt;&gt;1,"",IF(I1597="SBJ","CB","?"))</f>
        <v/>
      </c>
      <c r="I1597" s="14" t="str">
        <f aca="false">IF(OR(E1597="",E1597="!!!",F1597="NEW"),"",INDEX(B$2:B1596,-1+SUMPRODUCT(MAX(ROW(E$2:E1596)*(E1597=E$2:E1596)))))</f>
        <v/>
      </c>
      <c r="J1597" s="15" t="str">
        <f aca="true">IF(OR(E1597="",E1597="!!!",F1597="NEW"),"",COUNTBLANK(OFFSET(A$1,,,SUMPRODUCT(MAX(ROW(E$2:E1597)*(E1597=E$2:E1597)))))-COUNTBLANK(OFFSET(A$1,,,SUMPRODUCT(MAX(ROW(E$1:E1596)*(E1597=E$1:E1596))))))</f>
        <v/>
      </c>
      <c r="K1597" s="15" t="str">
        <f aca="false">IF(OR(E1597="",E1597="!!!",F1597="NEW"),"",INDEX(J$1:J1596,SUMPRODUCT(MAX(ROW(E$1:E1596)*(E1597=E$1:E1596)))))</f>
        <v/>
      </c>
      <c r="L1597" s="16"/>
    </row>
    <row r="1598" customFormat="false" ht="12.8" hidden="false" customHeight="false" outlineLevel="0" collapsed="false">
      <c r="A1598" s="0" t="s">
        <v>60</v>
      </c>
      <c r="E1598" s="10" t="str">
        <f aca="false">IF(D1598="?OLD","!!!","")</f>
        <v/>
      </c>
      <c r="F1598" s="11" t="str">
        <f aca="false">IF(OR(E1598="",E1598="!!!"),"",IF(NOT(ISNA(VLOOKUP(E1598,E$1:E1597,1,FALSE()))),"OLD",IF(AND(E1598&lt;&gt;"",E1598&lt;&gt;"!!!"),"NEW","")))</f>
        <v/>
      </c>
      <c r="G1598" s="12" t="str">
        <f aca="false">IF(OR(E1598="",E1598="!!!"),"",IF(OR(J1598=0,AND(J1598=1,K1598=1),AND(J1598=1,I1598="SBJ"),AND(J1598=1,I1598=0)),"?IN_FOCUS",IF(J1598&lt;=2,"?ACTIVATED",IF(J1598&lt;&gt;"","?FAMILIAR",IF(F1598="NEW",IF(ISNA(VLOOKUP(E1598,#REF!,1,FALSE())),"?TYPE_IDENTIFIABLE","?REFERENTIAL"),"_")))))</f>
        <v/>
      </c>
      <c r="H1598" s="13" t="str">
        <f aca="false">IF(J1598&lt;&gt;1,"",IF(I1598="SBJ","CB","?"))</f>
        <v/>
      </c>
      <c r="I1598" s="14" t="str">
        <f aca="false">IF(OR(E1598="",E1598="!!!",F1598="NEW"),"",INDEX(B$2:B1597,-1+SUMPRODUCT(MAX(ROW(E$2:E1597)*(E1598=E$2:E1597)))))</f>
        <v/>
      </c>
      <c r="J1598" s="15" t="str">
        <f aca="true">IF(OR(E1598="",E1598="!!!",F1598="NEW"),"",COUNTBLANK(OFFSET(A$1,,,SUMPRODUCT(MAX(ROW(E$2:E1598)*(E1598=E$2:E1598)))))-COUNTBLANK(OFFSET(A$1,,,SUMPRODUCT(MAX(ROW(E$1:E1597)*(E1598=E$1:E1597))))))</f>
        <v/>
      </c>
      <c r="K1598" s="15" t="str">
        <f aca="false">IF(OR(E1598="",E1598="!!!",F1598="NEW"),"",INDEX(J$1:J1597,SUMPRODUCT(MAX(ROW(E$1:E1597)*(E1598=E$1:E1597)))))</f>
        <v/>
      </c>
      <c r="L1598" s="16"/>
    </row>
    <row r="1599" customFormat="false" ht="12.8" hidden="false" customHeight="false" outlineLevel="0" collapsed="false">
      <c r="A1599" s="0" t="s">
        <v>30</v>
      </c>
      <c r="B1599" s="0" t="s">
        <v>75</v>
      </c>
      <c r="C1599" s="0" t="s">
        <v>31</v>
      </c>
      <c r="E1599" s="10" t="s">
        <v>30</v>
      </c>
      <c r="F1599" s="11" t="str">
        <f aca="false">IF(OR(E1599="",E1599="!!!"),"",IF(NOT(ISNA(VLOOKUP(E1599,E$1:E1598,1,FALSE()))),"OLD",IF(AND(E1599&lt;&gt;"",E1599&lt;&gt;"!!!"),"NEW","")))</f>
        <v>OLD</v>
      </c>
      <c r="G1599" s="12" t="s">
        <v>36</v>
      </c>
      <c r="H1599" s="13" t="str">
        <f aca="false">IF(J1599&lt;&gt;1,"",IF(I1599="SBJ","CB","?"))</f>
        <v/>
      </c>
      <c r="I1599" s="14" t="str">
        <f aca="false">IF(OR(E1599="",E1599="!!!",F1599="NEW"),"",INDEX(B$2:B1598,-1+SUMPRODUCT(MAX(ROW(E$2:E1598)*(E1599=E$2:E1598)))))</f>
        <v>OBJ_2</v>
      </c>
      <c r="J1599" s="15" t="n">
        <f aca="true">IF(OR(E1599="",E1599="!!!",F1599="NEW"),"",COUNTBLANK(OFFSET(A$1,,,SUMPRODUCT(MAX(ROW(E$2:E1599)*(E1599=E$2:E1599)))))-COUNTBLANK(OFFSET(A$1,,,SUMPRODUCT(MAX(ROW(E$1:E1598)*(E1599=E$1:E1598))))))</f>
        <v>37</v>
      </c>
      <c r="K1599" s="15" t="n">
        <f aca="false">IF(OR(E1599="",E1599="!!!",F1599="NEW"),"",INDEX(J$1:J1598,SUMPRODUCT(MAX(ROW(E$1:E1598)*(E1599=E$1:E1598)))))</f>
        <v>16</v>
      </c>
      <c r="L1599" s="16"/>
    </row>
    <row r="1600" customFormat="false" ht="12.8" hidden="false" customHeight="false" outlineLevel="0" collapsed="false">
      <c r="A1600" s="0" t="s">
        <v>76</v>
      </c>
      <c r="E1600" s="10" t="str">
        <f aca="false">IF(D1600="?OLD","!!!","")</f>
        <v/>
      </c>
      <c r="F1600" s="11" t="str">
        <f aca="false">IF(OR(E1600="",E1600="!!!"),"",IF(NOT(ISNA(VLOOKUP(E1600,E$1:E1599,1,FALSE()))),"OLD",IF(AND(E1600&lt;&gt;"",E1600&lt;&gt;"!!!"),"NEW","")))</f>
        <v/>
      </c>
      <c r="G1600" s="12" t="str">
        <f aca="false">IF(OR(E1600="",E1600="!!!"),"",IF(OR(J1600=0,AND(J1600=1,K1600=1),AND(J1600=1,I1600="SBJ"),AND(J1600=1,I1600=0)),"?IN_FOCUS",IF(J1600&lt;=2,"?ACTIVATED",IF(J1600&lt;&gt;"","?FAMILIAR",IF(F1600="NEW",IF(ISNA(VLOOKUP(E1600,#REF!,1,FALSE())),"?TYPE_IDENTIFIABLE","?REFERENTIAL"),"_")))))</f>
        <v/>
      </c>
      <c r="H1600" s="13" t="str">
        <f aca="false">IF(J1600&lt;&gt;1,"",IF(I1600="SBJ","CB","?"))</f>
        <v/>
      </c>
      <c r="I1600" s="14" t="str">
        <f aca="false">IF(OR(E1600="",E1600="!!!",F1600="NEW"),"",INDEX(B$2:B1599,-1+SUMPRODUCT(MAX(ROW(E$2:E1599)*(E1600=E$2:E1599)))))</f>
        <v/>
      </c>
      <c r="J1600" s="15" t="str">
        <f aca="true">IF(OR(E1600="",E1600="!!!",F1600="NEW"),"",COUNTBLANK(OFFSET(A$1,,,SUMPRODUCT(MAX(ROW(E$2:E1600)*(E1600=E$2:E1600)))))-COUNTBLANK(OFFSET(A$1,,,SUMPRODUCT(MAX(ROW(E$1:E1599)*(E1600=E$1:E1599))))))</f>
        <v/>
      </c>
      <c r="K1600" s="15" t="str">
        <f aca="false">IF(OR(E1600="",E1600="!!!",F1600="NEW"),"",INDEX(J$1:J1599,SUMPRODUCT(MAX(ROW(E$1:E1599)*(E1600=E$1:E1599)))))</f>
        <v/>
      </c>
      <c r="L1600" s="16"/>
    </row>
    <row r="1601" customFormat="false" ht="12.8" hidden="false" customHeight="false" outlineLevel="0" collapsed="false">
      <c r="E1601" s="10" t="str">
        <f aca="false">IF(D1601="?OLD","!!!","")</f>
        <v/>
      </c>
      <c r="F1601" s="11" t="str">
        <f aca="false">IF(OR(E1601="",E1601="!!!"),"",IF(NOT(ISNA(VLOOKUP(E1601,E$1:E1600,1,FALSE()))),"OLD",IF(AND(E1601&lt;&gt;"",E1601&lt;&gt;"!!!"),"NEW","")))</f>
        <v/>
      </c>
      <c r="G1601" s="12" t="str">
        <f aca="false">IF(OR(E1601="",E1601="!!!"),"",IF(OR(J1601=0,AND(J1601=1,K1601=1),AND(J1601=1,I1601="SBJ"),AND(J1601=1,I1601=0)),"?IN_FOCUS",IF(J1601&lt;=2,"?ACTIVATED",IF(J1601&lt;&gt;"","?FAMILIAR",IF(F1601="NEW",IF(ISNA(VLOOKUP(E1601,#REF!,1,FALSE())),"?TYPE_IDENTIFIABLE","?REFERENTIAL"),"_")))))</f>
        <v/>
      </c>
      <c r="H1601" s="13" t="str">
        <f aca="false">IF(J1601&lt;&gt;1,"",IF(I1601="SBJ","CB","?"))</f>
        <v/>
      </c>
      <c r="I1601" s="14" t="str">
        <f aca="false">IF(OR(E1601="",E1601="!!!",F1601="NEW"),"",INDEX(B$2:B1600,-1+SUMPRODUCT(MAX(ROW(E$2:E1600)*(E1601=E$2:E1600)))))</f>
        <v/>
      </c>
      <c r="J1601" s="15" t="str">
        <f aca="true">IF(OR(E1601="",E1601="!!!",F1601="NEW"),"",COUNTBLANK(OFFSET(A$1,,,SUMPRODUCT(MAX(ROW(E$2:E1601)*(E1601=E$2:E1601)))))-COUNTBLANK(OFFSET(A$1,,,SUMPRODUCT(MAX(ROW(E$1:E1600)*(E1601=E$1:E1600))))))</f>
        <v/>
      </c>
      <c r="K1601" s="15" t="str">
        <f aca="false">IF(OR(E1601="",E1601="!!!",F1601="NEW"),"",INDEX(J$1:J1600,SUMPRODUCT(MAX(ROW(E$1:E1600)*(E1601=E$1:E1600)))))</f>
        <v/>
      </c>
      <c r="L1601" s="16"/>
    </row>
    <row r="1602" customFormat="false" ht="12.8" hidden="false" customHeight="false" outlineLevel="0" collapsed="false">
      <c r="A1602" s="0" t="s">
        <v>758</v>
      </c>
      <c r="E1602" s="10" t="str">
        <f aca="false">IF(D1602="?OLD","!!!","")</f>
        <v/>
      </c>
      <c r="F1602" s="11" t="str">
        <f aca="false">IF(OR(E1602="",E1602="!!!"),"",IF(NOT(ISNA(VLOOKUP(E1602,E$1:E1601,1,FALSE()))),"OLD",IF(AND(E1602&lt;&gt;"",E1602&lt;&gt;"!!!"),"NEW","")))</f>
        <v/>
      </c>
      <c r="G1602" s="12" t="str">
        <f aca="false">IF(OR(E1602="",E1602="!!!"),"",IF(OR(J1602=0,AND(J1602=1,K1602=1),AND(J1602=1,I1602="SBJ"),AND(J1602=1,I1602=0)),"?IN_FOCUS",IF(J1602&lt;=2,"?ACTIVATED",IF(J1602&lt;&gt;"","?FAMILIAR",IF(F1602="NEW",IF(ISNA(VLOOKUP(E1602,#REF!,1,FALSE())),"?TYPE_IDENTIFIABLE","?REFERENTIAL"),"_")))))</f>
        <v/>
      </c>
      <c r="H1602" s="13" t="str">
        <f aca="false">IF(J1602&lt;&gt;1,"",IF(I1602="SBJ","CB","?"))</f>
        <v/>
      </c>
      <c r="I1602" s="14" t="str">
        <f aca="false">IF(OR(E1602="",E1602="!!!",F1602="NEW"),"",INDEX(B$2:B1601,-1+SUMPRODUCT(MAX(ROW(E$2:E1601)*(E1602=E$2:E1601)))))</f>
        <v/>
      </c>
      <c r="J1602" s="15" t="str">
        <f aca="true">IF(OR(E1602="",E1602="!!!",F1602="NEW"),"",COUNTBLANK(OFFSET(A$1,,,SUMPRODUCT(MAX(ROW(E$2:E1602)*(E1602=E$2:E1602)))))-COUNTBLANK(OFFSET(A$1,,,SUMPRODUCT(MAX(ROW(E$1:E1601)*(E1602=E$1:E1601))))))</f>
        <v/>
      </c>
      <c r="K1602" s="15" t="str">
        <f aca="false">IF(OR(E1602="",E1602="!!!",F1602="NEW"),"",INDEX(J$1:J1601,SUMPRODUCT(MAX(ROW(E$1:E1601)*(E1602=E$1:E1601)))))</f>
        <v/>
      </c>
      <c r="L1602" s="16"/>
    </row>
    <row r="1603" customFormat="false" ht="12.8" hidden="false" customHeight="false" outlineLevel="0" collapsed="false">
      <c r="A1603" s="0" t="s">
        <v>222</v>
      </c>
      <c r="B1603" s="0" t="s">
        <v>34</v>
      </c>
      <c r="C1603" s="0" t="s">
        <v>48</v>
      </c>
      <c r="D1603" s="0" t="s">
        <v>20</v>
      </c>
      <c r="E1603" s="10" t="s">
        <v>759</v>
      </c>
      <c r="F1603" s="11" t="s">
        <v>164</v>
      </c>
      <c r="G1603" s="12" t="s">
        <v>80</v>
      </c>
      <c r="H1603" s="13" t="s">
        <v>7</v>
      </c>
      <c r="I1603" s="14" t="e">
        <f aca="false">IF(OR(E1603="",E1603="!!!",F1603="NEW"),"",INDEX(B$2:B1602,-1+SUMPRODUCT(MAX(ROW(E$2:E1602)*(E1603=E$2:E1602)))))</f>
        <v>#VALUE!</v>
      </c>
      <c r="J1603" s="15" t="e">
        <f aca="true">IF(OR(E1603="",E1603="!!!",F1603="NEW"),"",COUNTBLANK(OFFSET(A$1,,,SUMPRODUCT(MAX(ROW(E$2:E1603)*(E1603=E$2:E1603)))))-COUNTBLANK(OFFSET(A$1,,,SUMPRODUCT(MAX(ROW(E$1:E1602)*(E1603=E$1:E1602))))))</f>
        <v>#VALUE!</v>
      </c>
      <c r="K1603" s="15" t="e">
        <f aca="false">IF(OR(E1603="",E1603="!!!",F1603="NEW"),"",INDEX(J$1:J1602,SUMPRODUCT(MAX(ROW(E$1:E1602)*(E1603=E$1:E1602)))))</f>
        <v>#VALUE!</v>
      </c>
      <c r="L1603" s="16"/>
    </row>
    <row r="1604" customFormat="false" ht="12.8" hidden="false" customHeight="false" outlineLevel="0" collapsed="false">
      <c r="A1604" s="0" t="s">
        <v>223</v>
      </c>
      <c r="E1604" s="10" t="str">
        <f aca="false">IF(D1604="?OLD","!!!","")</f>
        <v/>
      </c>
      <c r="F1604" s="11" t="str">
        <f aca="false">IF(OR(E1604="",E1604="!!!"),"",IF(NOT(ISNA(VLOOKUP(E1604,E$1:E1603,1,FALSE()))),"OLD",IF(AND(E1604&lt;&gt;"",E1604&lt;&gt;"!!!"),"NEW","")))</f>
        <v/>
      </c>
      <c r="G1604" s="12" t="str">
        <f aca="false">IF(OR(E1604="",E1604="!!!"),"",IF(OR(J1604=0,AND(J1604=1,K1604=1),AND(J1604=1,I1604="SBJ"),AND(J1604=1,I1604=0)),"?IN_FOCUS",IF(J1604&lt;=2,"?ACTIVATED",IF(J1604&lt;&gt;"","?FAMILIAR",IF(F1604="NEW",IF(ISNA(VLOOKUP(E1604,#REF!,1,FALSE())),"?TYPE_IDENTIFIABLE","?REFERENTIAL"),"_")))))</f>
        <v/>
      </c>
      <c r="H1604" s="13" t="str">
        <f aca="false">IF(J1604&lt;&gt;1,"",IF(I1604="SBJ","CB","?"))</f>
        <v/>
      </c>
      <c r="I1604" s="14" t="str">
        <f aca="false">IF(OR(E1604="",E1604="!!!",F1604="NEW"),"",INDEX(B$2:B1603,-1+SUMPRODUCT(MAX(ROW(E$2:E1603)*(E1604=E$2:E1603)))))</f>
        <v/>
      </c>
      <c r="J1604" s="15" t="str">
        <f aca="true">IF(OR(E1604="",E1604="!!!",F1604="NEW"),"",COUNTBLANK(OFFSET(A$1,,,SUMPRODUCT(MAX(ROW(E$2:E1604)*(E1604=E$2:E1604)))))-COUNTBLANK(OFFSET(A$1,,,SUMPRODUCT(MAX(ROW(E$1:E1603)*(E1604=E$1:E1603))))))</f>
        <v/>
      </c>
      <c r="K1604" s="15" t="str">
        <f aca="false">IF(OR(E1604="",E1604="!!!",F1604="NEW"),"",INDEX(J$1:J1603,SUMPRODUCT(MAX(ROW(E$1:E1603)*(E1604=E$1:E1603)))))</f>
        <v/>
      </c>
      <c r="L1604" s="16"/>
    </row>
    <row r="1605" customFormat="false" ht="12.8" hidden="false" customHeight="false" outlineLevel="0" collapsed="false">
      <c r="A1605" s="0" t="s">
        <v>612</v>
      </c>
      <c r="E1605" s="10" t="str">
        <f aca="false">IF(D1605="?OLD","!!!","")</f>
        <v/>
      </c>
      <c r="F1605" s="11" t="str">
        <f aca="false">IF(OR(E1605="",E1605="!!!"),"",IF(NOT(ISNA(VLOOKUP(E1605,E$1:E1604,1,FALSE()))),"OLD",IF(AND(E1605&lt;&gt;"",E1605&lt;&gt;"!!!"),"NEW","")))</f>
        <v/>
      </c>
      <c r="G1605" s="12" t="str">
        <f aca="false">IF(OR(E1605="",E1605="!!!"),"",IF(OR(J1605=0,AND(J1605=1,K1605=1),AND(J1605=1,I1605="SBJ"),AND(J1605=1,I1605=0)),"?IN_FOCUS",IF(J1605&lt;=2,"?ACTIVATED",IF(J1605&lt;&gt;"","?FAMILIAR",IF(F1605="NEW",IF(ISNA(VLOOKUP(E1605,#REF!,1,FALSE())),"?TYPE_IDENTIFIABLE","?REFERENTIAL"),"_")))))</f>
        <v/>
      </c>
      <c r="H1605" s="13" t="str">
        <f aca="false">IF(J1605&lt;&gt;1,"",IF(I1605="SBJ","CB","?"))</f>
        <v/>
      </c>
      <c r="I1605" s="14" t="str">
        <f aca="false">IF(OR(E1605="",E1605="!!!",F1605="NEW"),"",INDEX(B$2:B1604,-1+SUMPRODUCT(MAX(ROW(E$2:E1604)*(E1605=E$2:E1604)))))</f>
        <v/>
      </c>
      <c r="J1605" s="15" t="str">
        <f aca="true">IF(OR(E1605="",E1605="!!!",F1605="NEW"),"",COUNTBLANK(OFFSET(A$1,,,SUMPRODUCT(MAX(ROW(E$2:E1605)*(E1605=E$2:E1605)))))-COUNTBLANK(OFFSET(A$1,,,SUMPRODUCT(MAX(ROW(E$1:E1604)*(E1605=E$1:E1604))))))</f>
        <v/>
      </c>
      <c r="K1605" s="15" t="str">
        <f aca="false">IF(OR(E1605="",E1605="!!!",F1605="NEW"),"",INDEX(J$1:J1604,SUMPRODUCT(MAX(ROW(E$1:E1604)*(E1605=E$1:E1604)))))</f>
        <v/>
      </c>
      <c r="L1605" s="16"/>
    </row>
    <row r="1606" customFormat="false" ht="12.8" hidden="false" customHeight="false" outlineLevel="0" collapsed="false">
      <c r="A1606" s="0" t="s">
        <v>76</v>
      </c>
      <c r="E1606" s="10" t="str">
        <f aca="false">IF(D1606="?OLD","!!!","")</f>
        <v/>
      </c>
      <c r="F1606" s="11" t="str">
        <f aca="false">IF(OR(E1606="",E1606="!!!"),"",IF(NOT(ISNA(VLOOKUP(E1606,E$1:E1605,1,FALSE()))),"OLD",IF(AND(E1606&lt;&gt;"",E1606&lt;&gt;"!!!"),"NEW","")))</f>
        <v/>
      </c>
      <c r="G1606" s="12" t="str">
        <f aca="false">IF(OR(E1606="",E1606="!!!"),"",IF(OR(J1606=0,AND(J1606=1,K1606=1),AND(J1606=1,I1606="SBJ"),AND(J1606=1,I1606=0)),"?IN_FOCUS",IF(J1606&lt;=2,"?ACTIVATED",IF(J1606&lt;&gt;"","?FAMILIAR",IF(F1606="NEW",IF(ISNA(VLOOKUP(E1606,#REF!,1,FALSE())),"?TYPE_IDENTIFIABLE","?REFERENTIAL"),"_")))))</f>
        <v/>
      </c>
      <c r="H1606" s="13" t="str">
        <f aca="false">IF(J1606&lt;&gt;1,"",IF(I1606="SBJ","CB","?"))</f>
        <v/>
      </c>
      <c r="I1606" s="14" t="str">
        <f aca="false">IF(OR(E1606="",E1606="!!!",F1606="NEW"),"",INDEX(B$2:B1605,-1+SUMPRODUCT(MAX(ROW(E$2:E1605)*(E1606=E$2:E1605)))))</f>
        <v/>
      </c>
      <c r="J1606" s="15" t="str">
        <f aca="true">IF(OR(E1606="",E1606="!!!",F1606="NEW"),"",COUNTBLANK(OFFSET(A$1,,,SUMPRODUCT(MAX(ROW(E$2:E1606)*(E1606=E$2:E1606)))))-COUNTBLANK(OFFSET(A$1,,,SUMPRODUCT(MAX(ROW(E$1:E1605)*(E1606=E$1:E1605))))))</f>
        <v/>
      </c>
      <c r="K1606" s="15" t="str">
        <f aca="false">IF(OR(E1606="",E1606="!!!",F1606="NEW"),"",INDEX(J$1:J1605,SUMPRODUCT(MAX(ROW(E$1:E1605)*(E1606=E$1:E1605)))))</f>
        <v/>
      </c>
      <c r="L1606" s="16"/>
    </row>
    <row r="1607" customFormat="false" ht="12.8" hidden="false" customHeight="false" outlineLevel="0" collapsed="false">
      <c r="E1607" s="10" t="str">
        <f aca="false">IF(D1607="?OLD","!!!","")</f>
        <v/>
      </c>
      <c r="F1607" s="11" t="str">
        <f aca="false">IF(OR(E1607="",E1607="!!!"),"",IF(NOT(ISNA(VLOOKUP(E1607,E$1:E1606,1,FALSE()))),"OLD",IF(AND(E1607&lt;&gt;"",E1607&lt;&gt;"!!!"),"NEW","")))</f>
        <v/>
      </c>
      <c r="G1607" s="12" t="str">
        <f aca="false">IF(OR(E1607="",E1607="!!!"),"",IF(OR(J1607=0,AND(J1607=1,K1607=1),AND(J1607=1,I1607="SBJ"),AND(J1607=1,I1607=0)),"?IN_FOCUS",IF(J1607&lt;=2,"?ACTIVATED",IF(J1607&lt;&gt;"","?FAMILIAR",IF(F1607="NEW",IF(ISNA(VLOOKUP(E1607,#REF!,1,FALSE())),"?TYPE_IDENTIFIABLE","?REFERENTIAL"),"_")))))</f>
        <v/>
      </c>
      <c r="H1607" s="13" t="str">
        <f aca="false">IF(J1607&lt;&gt;1,"",IF(I1607="SBJ","CB","?"))</f>
        <v/>
      </c>
      <c r="I1607" s="14" t="str">
        <f aca="false">IF(OR(E1607="",E1607="!!!",F1607="NEW"),"",INDEX(B$2:B1606,-1+SUMPRODUCT(MAX(ROW(E$2:E1606)*(E1607=E$2:E1606)))))</f>
        <v/>
      </c>
      <c r="J1607" s="15" t="str">
        <f aca="true">IF(OR(E1607="",E1607="!!!",F1607="NEW"),"",COUNTBLANK(OFFSET(A$1,,,SUMPRODUCT(MAX(ROW(E$2:E1607)*(E1607=E$2:E1607)))))-COUNTBLANK(OFFSET(A$1,,,SUMPRODUCT(MAX(ROW(E$1:E1606)*(E1607=E$1:E1606))))))</f>
        <v/>
      </c>
      <c r="K1607" s="15" t="str">
        <f aca="false">IF(OR(E1607="",E1607="!!!",F1607="NEW"),"",INDEX(J$1:J1606,SUMPRODUCT(MAX(ROW(E$1:E1606)*(E1607=E$1:E1606)))))</f>
        <v/>
      </c>
      <c r="L1607" s="16"/>
    </row>
    <row r="1608" customFormat="false" ht="12.8" hidden="false" customHeight="false" outlineLevel="0" collapsed="false">
      <c r="A1608" s="0" t="s">
        <v>760</v>
      </c>
      <c r="E1608" s="10" t="str">
        <f aca="false">IF(D1608="?OLD","!!!","")</f>
        <v/>
      </c>
      <c r="F1608" s="11" t="str">
        <f aca="false">IF(OR(E1608="",E1608="!!!"),"",IF(NOT(ISNA(VLOOKUP(E1608,E$1:E1607,1,FALSE()))),"OLD",IF(AND(E1608&lt;&gt;"",E1608&lt;&gt;"!!!"),"NEW","")))</f>
        <v/>
      </c>
      <c r="G1608" s="12" t="str">
        <f aca="false">IF(OR(E1608="",E1608="!!!"),"",IF(OR(J1608=0,AND(J1608=1,K1608=1),AND(J1608=1,I1608="SBJ"),AND(J1608=1,I1608=0)),"?IN_FOCUS",IF(J1608&lt;=2,"?ACTIVATED",IF(J1608&lt;&gt;"","?FAMILIAR",IF(F1608="NEW",IF(ISNA(VLOOKUP(E1608,#REF!,1,FALSE())),"?TYPE_IDENTIFIABLE","?REFERENTIAL"),"_")))))</f>
        <v/>
      </c>
      <c r="H1608" s="13" t="str">
        <f aca="false">IF(J1608&lt;&gt;1,"",IF(I1608="SBJ","CB","?"))</f>
        <v/>
      </c>
      <c r="I1608" s="14" t="str">
        <f aca="false">IF(OR(E1608="",E1608="!!!",F1608="NEW"),"",INDEX(B$2:B1607,-1+SUMPRODUCT(MAX(ROW(E$2:E1607)*(E1608=E$2:E1607)))))</f>
        <v/>
      </c>
      <c r="J1608" s="15" t="str">
        <f aca="true">IF(OR(E1608="",E1608="!!!",F1608="NEW"),"",COUNTBLANK(OFFSET(A$1,,,SUMPRODUCT(MAX(ROW(E$2:E1608)*(E1608=E$2:E1608)))))-COUNTBLANK(OFFSET(A$1,,,SUMPRODUCT(MAX(ROW(E$1:E1607)*(E1608=E$1:E1607))))))</f>
        <v/>
      </c>
      <c r="K1608" s="15" t="str">
        <f aca="false">IF(OR(E1608="",E1608="!!!",F1608="NEW"),"",INDEX(J$1:J1607,SUMPRODUCT(MAX(ROW(E$1:E1607)*(E1608=E$1:E1607)))))</f>
        <v/>
      </c>
      <c r="L1608" s="16"/>
    </row>
    <row r="1609" customFormat="false" ht="12.8" hidden="false" customHeight="false" outlineLevel="0" collapsed="false">
      <c r="A1609" s="0" t="s">
        <v>363</v>
      </c>
      <c r="E1609" s="10" t="str">
        <f aca="false">IF(D1609="?OLD","!!!","")</f>
        <v/>
      </c>
      <c r="F1609" s="11" t="str">
        <f aca="false">IF(OR(E1609="",E1609="!!!"),"",IF(NOT(ISNA(VLOOKUP(E1609,E$1:E1608,1,FALSE()))),"OLD",IF(AND(E1609&lt;&gt;"",E1609&lt;&gt;"!!!"),"NEW","")))</f>
        <v/>
      </c>
      <c r="G1609" s="12" t="str">
        <f aca="false">IF(OR(E1609="",E1609="!!!"),"",IF(OR(J1609=0,AND(J1609=1,K1609=1),AND(J1609=1,I1609="SBJ"),AND(J1609=1,I1609=0)),"?IN_FOCUS",IF(J1609&lt;=2,"?ACTIVATED",IF(J1609&lt;&gt;"","?FAMILIAR",IF(F1609="NEW",IF(ISNA(VLOOKUP(E1609,#REF!,1,FALSE())),"?TYPE_IDENTIFIABLE","?REFERENTIAL"),"_")))))</f>
        <v/>
      </c>
      <c r="H1609" s="13" t="str">
        <f aca="false">IF(J1609&lt;&gt;1,"",IF(I1609="SBJ","CB","?"))</f>
        <v/>
      </c>
      <c r="I1609" s="14" t="str">
        <f aca="false">IF(OR(E1609="",E1609="!!!",F1609="NEW"),"",INDEX(B$2:B1608,-1+SUMPRODUCT(MAX(ROW(E$2:E1608)*(E1609=E$2:E1608)))))</f>
        <v/>
      </c>
      <c r="J1609" s="15" t="str">
        <f aca="true">IF(OR(E1609="",E1609="!!!",F1609="NEW"),"",COUNTBLANK(OFFSET(A$1,,,SUMPRODUCT(MAX(ROW(E$2:E1609)*(E1609=E$2:E1609)))))-COUNTBLANK(OFFSET(A$1,,,SUMPRODUCT(MAX(ROW(E$1:E1608)*(E1609=E$1:E1608))))))</f>
        <v/>
      </c>
      <c r="K1609" s="15" t="str">
        <f aca="false">IF(OR(E1609="",E1609="!!!",F1609="NEW"),"",INDEX(J$1:J1608,SUMPRODUCT(MAX(ROW(E$1:E1608)*(E1609=E$1:E1608)))))</f>
        <v/>
      </c>
      <c r="L1609" s="16"/>
    </row>
    <row r="1610" customFormat="false" ht="12.8" hidden="false" customHeight="false" outlineLevel="0" collapsed="false">
      <c r="A1610" s="0" t="s">
        <v>46</v>
      </c>
      <c r="B1610" s="0" t="s">
        <v>34</v>
      </c>
      <c r="C1610" s="0" t="s">
        <v>48</v>
      </c>
      <c r="D1610" s="0" t="s">
        <v>20</v>
      </c>
      <c r="E1610" s="10" t="s">
        <v>49</v>
      </c>
      <c r="F1610" s="11" t="str">
        <f aca="false">IF(OR(E1610="",E1610="!!!"),"",IF(NOT(ISNA(VLOOKUP(E1610,E$1:E1609,1,FALSE()))),"OLD",IF(AND(E1610&lt;&gt;"",E1610&lt;&gt;"!!!"),"NEW","")))</f>
        <v>OLD</v>
      </c>
      <c r="G1610" s="12" t="s">
        <v>36</v>
      </c>
      <c r="H1610" s="13" t="str">
        <f aca="false">IF(J1610&lt;&gt;1,"",IF(I1610="SBJ","CB","?"))</f>
        <v/>
      </c>
      <c r="I1610" s="14" t="str">
        <f aca="false">IF(OR(E1610="",E1610="!!!",F1610="NEW"),"",INDEX(B$2:B1609,-1+SUMPRODUCT(MAX(ROW(E$2:E1609)*(E1610=E$2:E1609)))))</f>
        <v>OBJ_2</v>
      </c>
      <c r="J1610" s="15" t="n">
        <f aca="true">IF(OR(E1610="",E1610="!!!",F1610="NEW"),"",COUNTBLANK(OFFSET(A$1,,,SUMPRODUCT(MAX(ROW(E$2:E1610)*(E1610=E$2:E1610)))))-COUNTBLANK(OFFSET(A$1,,,SUMPRODUCT(MAX(ROW(E$1:E1609)*(E1610=E$1:E1609))))))</f>
        <v>4</v>
      </c>
      <c r="K1610" s="15" t="n">
        <f aca="false">IF(OR(E1610="",E1610="!!!",F1610="NEW"),"",INDEX(J$1:J1609,SUMPRODUCT(MAX(ROW(E$1:E1609)*(E1610=E$1:E1609)))))</f>
        <v>0</v>
      </c>
      <c r="L1610" s="16"/>
    </row>
    <row r="1611" customFormat="false" ht="12.8" hidden="false" customHeight="false" outlineLevel="0" collapsed="false">
      <c r="A1611" s="0" t="s">
        <v>761</v>
      </c>
      <c r="E1611" s="10" t="str">
        <f aca="false">IF(D1611="?OLD","!!!","")</f>
        <v/>
      </c>
      <c r="F1611" s="11" t="str">
        <f aca="false">IF(OR(E1611="",E1611="!!!"),"",IF(NOT(ISNA(VLOOKUP(E1611,E$1:E1610,1,FALSE()))),"OLD",IF(AND(E1611&lt;&gt;"",E1611&lt;&gt;"!!!"),"NEW","")))</f>
        <v/>
      </c>
      <c r="G1611" s="12" t="str">
        <f aca="false">IF(OR(E1611="",E1611="!!!"),"",IF(OR(J1611=0,AND(J1611=1,K1611=1),AND(J1611=1,I1611="SBJ"),AND(J1611=1,I1611=0)),"?IN_FOCUS",IF(J1611&lt;=2,"?ACTIVATED",IF(J1611&lt;&gt;"","?FAMILIAR",IF(F1611="NEW",IF(ISNA(VLOOKUP(E1611,#REF!,1,FALSE())),"?TYPE_IDENTIFIABLE","?REFERENTIAL"),"_")))))</f>
        <v/>
      </c>
      <c r="H1611" s="13" t="str">
        <f aca="false">IF(J1611&lt;&gt;1,"",IF(I1611="SBJ","CB","?"))</f>
        <v/>
      </c>
      <c r="I1611" s="14" t="str">
        <f aca="false">IF(OR(E1611="",E1611="!!!",F1611="NEW"),"",INDEX(B$2:B1610,-1+SUMPRODUCT(MAX(ROW(E$2:E1610)*(E1611=E$2:E1610)))))</f>
        <v/>
      </c>
      <c r="J1611" s="15" t="str">
        <f aca="true">IF(OR(E1611="",E1611="!!!",F1611="NEW"),"",COUNTBLANK(OFFSET(A$1,,,SUMPRODUCT(MAX(ROW(E$2:E1611)*(E1611=E$2:E1611)))))-COUNTBLANK(OFFSET(A$1,,,SUMPRODUCT(MAX(ROW(E$1:E1610)*(E1611=E$1:E1610))))))</f>
        <v/>
      </c>
      <c r="K1611" s="15" t="str">
        <f aca="false">IF(OR(E1611="",E1611="!!!",F1611="NEW"),"",INDEX(J$1:J1610,SUMPRODUCT(MAX(ROW(E$1:E1610)*(E1611=E$1:E1610)))))</f>
        <v/>
      </c>
      <c r="L1611" s="16"/>
    </row>
    <row r="1612" customFormat="false" ht="12.8" hidden="false" customHeight="false" outlineLevel="0" collapsed="false">
      <c r="A1612" s="0" t="s">
        <v>219</v>
      </c>
      <c r="E1612" s="10" t="str">
        <f aca="false">IF(D1612="?OLD","!!!","")</f>
        <v/>
      </c>
      <c r="F1612" s="11" t="str">
        <f aca="false">IF(OR(E1612="",E1612="!!!"),"",IF(NOT(ISNA(VLOOKUP(E1612,E$1:E1611,1,FALSE()))),"OLD",IF(AND(E1612&lt;&gt;"",E1612&lt;&gt;"!!!"),"NEW","")))</f>
        <v/>
      </c>
      <c r="G1612" s="12" t="str">
        <f aca="false">IF(OR(E1612="",E1612="!!!"),"",IF(OR(J1612=0,AND(J1612=1,K1612=1),AND(J1612=1,I1612="SBJ"),AND(J1612=1,I1612=0)),"?IN_FOCUS",IF(J1612&lt;=2,"?ACTIVATED",IF(J1612&lt;&gt;"","?FAMILIAR",IF(F1612="NEW",IF(ISNA(VLOOKUP(E1612,#REF!,1,FALSE())),"?TYPE_IDENTIFIABLE","?REFERENTIAL"),"_")))))</f>
        <v/>
      </c>
      <c r="H1612" s="13" t="str">
        <f aca="false">IF(J1612&lt;&gt;1,"",IF(I1612="SBJ","CB","?"))</f>
        <v/>
      </c>
      <c r="I1612" s="14" t="str">
        <f aca="false">IF(OR(E1612="",E1612="!!!",F1612="NEW"),"",INDEX(B$2:B1611,-1+SUMPRODUCT(MAX(ROW(E$2:E1611)*(E1612=E$2:E1611)))))</f>
        <v/>
      </c>
      <c r="J1612" s="15" t="str">
        <f aca="true">IF(OR(E1612="",E1612="!!!",F1612="NEW"),"",COUNTBLANK(OFFSET(A$1,,,SUMPRODUCT(MAX(ROW(E$2:E1612)*(E1612=E$2:E1612)))))-COUNTBLANK(OFFSET(A$1,,,SUMPRODUCT(MAX(ROW(E$1:E1611)*(E1612=E$1:E1611))))))</f>
        <v/>
      </c>
      <c r="K1612" s="15" t="str">
        <f aca="false">IF(OR(E1612="",E1612="!!!",F1612="NEW"),"",INDEX(J$1:J1611,SUMPRODUCT(MAX(ROW(E$1:E1611)*(E1612=E$1:E1611)))))</f>
        <v/>
      </c>
      <c r="L1612" s="16"/>
    </row>
    <row r="1613" customFormat="false" ht="12.8" hidden="false" customHeight="false" outlineLevel="0" collapsed="false">
      <c r="A1613" s="0" t="s">
        <v>762</v>
      </c>
      <c r="E1613" s="10" t="str">
        <f aca="false">IF(D1613="?OLD","!!!","")</f>
        <v/>
      </c>
      <c r="F1613" s="11" t="str">
        <f aca="false">IF(OR(E1613="",E1613="!!!"),"",IF(NOT(ISNA(VLOOKUP(E1613,E$1:E1612,1,FALSE()))),"OLD",IF(AND(E1613&lt;&gt;"",E1613&lt;&gt;"!!!"),"NEW","")))</f>
        <v/>
      </c>
      <c r="G1613" s="12" t="str">
        <f aca="false">IF(OR(E1613="",E1613="!!!"),"",IF(OR(J1613=0,AND(J1613=1,K1613=1),AND(J1613=1,I1613="SBJ"),AND(J1613=1,I1613=0)),"?IN_FOCUS",IF(J1613&lt;=2,"?ACTIVATED",IF(J1613&lt;&gt;"","?FAMILIAR",IF(F1613="NEW",IF(ISNA(VLOOKUP(E1613,#REF!,1,FALSE())),"?TYPE_IDENTIFIABLE","?REFERENTIAL"),"_")))))</f>
        <v/>
      </c>
      <c r="H1613" s="13" t="str">
        <f aca="false">IF(J1613&lt;&gt;1,"",IF(I1613="SBJ","CB","?"))</f>
        <v/>
      </c>
      <c r="I1613" s="14" t="str">
        <f aca="false">IF(OR(E1613="",E1613="!!!",F1613="NEW"),"",INDEX(B$2:B1612,-1+SUMPRODUCT(MAX(ROW(E$2:E1612)*(E1613=E$2:E1612)))))</f>
        <v/>
      </c>
      <c r="J1613" s="15" t="str">
        <f aca="true">IF(OR(E1613="",E1613="!!!",F1613="NEW"),"",COUNTBLANK(OFFSET(A$1,,,SUMPRODUCT(MAX(ROW(E$2:E1613)*(E1613=E$2:E1613)))))-COUNTBLANK(OFFSET(A$1,,,SUMPRODUCT(MAX(ROW(E$1:E1612)*(E1613=E$1:E1612))))))</f>
        <v/>
      </c>
      <c r="K1613" s="15" t="str">
        <f aca="false">IF(OR(E1613="",E1613="!!!",F1613="NEW"),"",INDEX(J$1:J1612,SUMPRODUCT(MAX(ROW(E$1:E1612)*(E1613=E$1:E1612)))))</f>
        <v/>
      </c>
      <c r="L1613" s="16"/>
    </row>
    <row r="1614" customFormat="false" ht="12.8" hidden="false" customHeight="false" outlineLevel="0" collapsed="false">
      <c r="A1614" s="0" t="s">
        <v>249</v>
      </c>
      <c r="E1614" s="10" t="str">
        <f aca="false">IF(D1614="?OLD","!!!","")</f>
        <v/>
      </c>
      <c r="F1614" s="11" t="str">
        <f aca="false">IF(OR(E1614="",E1614="!!!"),"",IF(NOT(ISNA(VLOOKUP(E1614,E$1:E1613,1,FALSE()))),"OLD",IF(AND(E1614&lt;&gt;"",E1614&lt;&gt;"!!!"),"NEW","")))</f>
        <v/>
      </c>
      <c r="G1614" s="12" t="str">
        <f aca="false">IF(OR(E1614="",E1614="!!!"),"",IF(OR(J1614=0,AND(J1614=1,K1614=1),AND(J1614=1,I1614="SBJ"),AND(J1614=1,I1614=0)),"?IN_FOCUS",IF(J1614&lt;=2,"?ACTIVATED",IF(J1614&lt;&gt;"","?FAMILIAR",IF(F1614="NEW",IF(ISNA(VLOOKUP(E1614,#REF!,1,FALSE())),"?TYPE_IDENTIFIABLE","?REFERENTIAL"),"_")))))</f>
        <v/>
      </c>
      <c r="H1614" s="13" t="str">
        <f aca="false">IF(J1614&lt;&gt;1,"",IF(I1614="SBJ","CB","?"))</f>
        <v/>
      </c>
      <c r="I1614" s="14" t="str">
        <f aca="false">IF(OR(E1614="",E1614="!!!",F1614="NEW"),"",INDEX(B$2:B1613,-1+SUMPRODUCT(MAX(ROW(E$2:E1613)*(E1614=E$2:E1613)))))</f>
        <v/>
      </c>
      <c r="J1614" s="15" t="str">
        <f aca="true">IF(OR(E1614="",E1614="!!!",F1614="NEW"),"",COUNTBLANK(OFFSET(A$1,,,SUMPRODUCT(MAX(ROW(E$2:E1614)*(E1614=E$2:E1614)))))-COUNTBLANK(OFFSET(A$1,,,SUMPRODUCT(MAX(ROW(E$1:E1613)*(E1614=E$1:E1613))))))</f>
        <v/>
      </c>
      <c r="K1614" s="15" t="str">
        <f aca="false">IF(OR(E1614="",E1614="!!!",F1614="NEW"),"",INDEX(J$1:J1613,SUMPRODUCT(MAX(ROW(E$1:E1613)*(E1614=E$1:E1613)))))</f>
        <v/>
      </c>
      <c r="L1614" s="16"/>
    </row>
    <row r="1615" customFormat="false" ht="12.8" hidden="false" customHeight="false" outlineLevel="0" collapsed="false">
      <c r="A1615" s="0" t="s">
        <v>763</v>
      </c>
      <c r="B1615" s="0" t="s">
        <v>14</v>
      </c>
      <c r="C1615" s="0" t="s">
        <v>31</v>
      </c>
      <c r="E1615" s="10" t="str">
        <f aca="false">IF(D1615="?OLD","!!!","")</f>
        <v/>
      </c>
      <c r="F1615" s="11" t="str">
        <f aca="false">IF(OR(E1615="",E1615="!!!"),"",IF(NOT(ISNA(VLOOKUP(E1615,E$1:E1614,1,FALSE()))),"OLD",IF(AND(E1615&lt;&gt;"",E1615&lt;&gt;"!!!"),"NEW","")))</f>
        <v/>
      </c>
      <c r="G1615" s="12" t="str">
        <f aca="false">IF(OR(E1615="",E1615="!!!"),"",IF(OR(J1615=0,AND(J1615=1,K1615=1),AND(J1615=1,I1615="SBJ"),AND(J1615=1,I1615=0)),"?IN_FOCUS",IF(J1615&lt;=2,"?ACTIVATED",IF(J1615&lt;&gt;"","?FAMILIAR",IF(F1615="NEW",IF(ISNA(VLOOKUP(E1615,#REF!,1,FALSE())),"?TYPE_IDENTIFIABLE","?REFERENTIAL"),"_")))))</f>
        <v/>
      </c>
      <c r="H1615" s="13" t="str">
        <f aca="false">IF(J1615&lt;&gt;1,"",IF(I1615="SBJ","CB","?"))</f>
        <v/>
      </c>
      <c r="I1615" s="14" t="str">
        <f aca="false">IF(OR(E1615="",E1615="!!!",F1615="NEW"),"",INDEX(B$2:B1614,-1+SUMPRODUCT(MAX(ROW(E$2:E1614)*(E1615=E$2:E1614)))))</f>
        <v/>
      </c>
      <c r="J1615" s="15" t="str">
        <f aca="true">IF(OR(E1615="",E1615="!!!",F1615="NEW"),"",COUNTBLANK(OFFSET(A$1,,,SUMPRODUCT(MAX(ROW(E$2:E1615)*(E1615=E$2:E1615)))))-COUNTBLANK(OFFSET(A$1,,,SUMPRODUCT(MAX(ROW(E$1:E1614)*(E1615=E$1:E1614))))))</f>
        <v/>
      </c>
      <c r="K1615" s="15" t="str">
        <f aca="false">IF(OR(E1615="",E1615="!!!",F1615="NEW"),"",INDEX(J$1:J1614,SUMPRODUCT(MAX(ROW(E$1:E1614)*(E1615=E$1:E1614)))))</f>
        <v/>
      </c>
      <c r="L1615" s="16"/>
    </row>
    <row r="1616" customFormat="false" ht="12.8" hidden="false" customHeight="false" outlineLevel="0" collapsed="false">
      <c r="A1616" s="0" t="s">
        <v>118</v>
      </c>
      <c r="E1616" s="10" t="str">
        <f aca="false">IF(D1616="?OLD","!!!","")</f>
        <v/>
      </c>
      <c r="F1616" s="11" t="str">
        <f aca="false">IF(OR(E1616="",E1616="!!!"),"",IF(NOT(ISNA(VLOOKUP(E1616,E$1:E1615,1,FALSE()))),"OLD",IF(AND(E1616&lt;&gt;"",E1616&lt;&gt;"!!!"),"NEW","")))</f>
        <v/>
      </c>
      <c r="G1616" s="12" t="str">
        <f aca="false">IF(OR(E1616="",E1616="!!!"),"",IF(OR(J1616=0,AND(J1616=1,K1616=1),AND(J1616=1,I1616="SBJ"),AND(J1616=1,I1616=0)),"?IN_FOCUS",IF(J1616&lt;=2,"?ACTIVATED",IF(J1616&lt;&gt;"","?FAMILIAR",IF(F1616="NEW",IF(ISNA(VLOOKUP(E1616,#REF!,1,FALSE())),"?TYPE_IDENTIFIABLE","?REFERENTIAL"),"_")))))</f>
        <v/>
      </c>
      <c r="H1616" s="13" t="str">
        <f aca="false">IF(J1616&lt;&gt;1,"",IF(I1616="SBJ","CB","?"))</f>
        <v/>
      </c>
      <c r="I1616" s="14" t="str">
        <f aca="false">IF(OR(E1616="",E1616="!!!",F1616="NEW"),"",INDEX(B$2:B1615,-1+SUMPRODUCT(MAX(ROW(E$2:E1615)*(E1616=E$2:E1615)))))</f>
        <v/>
      </c>
      <c r="J1616" s="15" t="str">
        <f aca="true">IF(OR(E1616="",E1616="!!!",F1616="NEW"),"",COUNTBLANK(OFFSET(A$1,,,SUMPRODUCT(MAX(ROW(E$2:E1616)*(E1616=E$2:E1616)))))-COUNTBLANK(OFFSET(A$1,,,SUMPRODUCT(MAX(ROW(E$1:E1615)*(E1616=E$1:E1615))))))</f>
        <v/>
      </c>
      <c r="K1616" s="15" t="str">
        <f aca="false">IF(OR(E1616="",E1616="!!!",F1616="NEW"),"",INDEX(J$1:J1615,SUMPRODUCT(MAX(ROW(E$1:E1615)*(E1616=E$1:E1615)))))</f>
        <v/>
      </c>
      <c r="L1616" s="16"/>
    </row>
    <row r="1617" customFormat="false" ht="12.8" hidden="false" customHeight="false" outlineLevel="0" collapsed="false">
      <c r="A1617" s="0" t="s">
        <v>76</v>
      </c>
      <c r="E1617" s="10" t="str">
        <f aca="false">IF(D1617="?OLD","!!!","")</f>
        <v/>
      </c>
      <c r="F1617" s="11" t="str">
        <f aca="false">IF(OR(E1617="",E1617="!!!"),"",IF(NOT(ISNA(VLOOKUP(E1617,E$1:E1616,1,FALSE()))),"OLD",IF(AND(E1617&lt;&gt;"",E1617&lt;&gt;"!!!"),"NEW","")))</f>
        <v/>
      </c>
      <c r="G1617" s="12" t="str">
        <f aca="false">IF(OR(E1617="",E1617="!!!"),"",IF(OR(J1617=0,AND(J1617=1,K1617=1),AND(J1617=1,I1617="SBJ"),AND(J1617=1,I1617=0)),"?IN_FOCUS",IF(J1617&lt;=2,"?ACTIVATED",IF(J1617&lt;&gt;"","?FAMILIAR",IF(F1617="NEW",IF(ISNA(VLOOKUP(E1617,#REF!,1,FALSE())),"?TYPE_IDENTIFIABLE","?REFERENTIAL"),"_")))))</f>
        <v/>
      </c>
      <c r="H1617" s="13" t="str">
        <f aca="false">IF(J1617&lt;&gt;1,"",IF(I1617="SBJ","CB","?"))</f>
        <v/>
      </c>
      <c r="I1617" s="14" t="str">
        <f aca="false">IF(OR(E1617="",E1617="!!!",F1617="NEW"),"",INDEX(B$2:B1616,-1+SUMPRODUCT(MAX(ROW(E$2:E1616)*(E1617=E$2:E1616)))))</f>
        <v/>
      </c>
      <c r="J1617" s="15" t="str">
        <f aca="true">IF(OR(E1617="",E1617="!!!",F1617="NEW"),"",COUNTBLANK(OFFSET(A$1,,,SUMPRODUCT(MAX(ROW(E$2:E1617)*(E1617=E$2:E1617)))))-COUNTBLANK(OFFSET(A$1,,,SUMPRODUCT(MAX(ROW(E$1:E1616)*(E1617=E$1:E1616))))))</f>
        <v/>
      </c>
      <c r="K1617" s="15" t="str">
        <f aca="false">IF(OR(E1617="",E1617="!!!",F1617="NEW"),"",INDEX(J$1:J1616,SUMPRODUCT(MAX(ROW(E$1:E1616)*(E1617=E$1:E1616)))))</f>
        <v/>
      </c>
      <c r="L1617" s="16"/>
    </row>
    <row r="1618" customFormat="false" ht="12.8" hidden="false" customHeight="false" outlineLevel="0" collapsed="false">
      <c r="E1618" s="10" t="str">
        <f aca="false">IF(D1618="?OLD","!!!","")</f>
        <v/>
      </c>
      <c r="F1618" s="11" t="str">
        <f aca="false">IF(OR(E1618="",E1618="!!!"),"",IF(NOT(ISNA(VLOOKUP(E1618,E$1:E1617,1,FALSE()))),"OLD",IF(AND(E1618&lt;&gt;"",E1618&lt;&gt;"!!!"),"NEW","")))</f>
        <v/>
      </c>
      <c r="G1618" s="12" t="str">
        <f aca="false">IF(OR(E1618="",E1618="!!!"),"",IF(OR(J1618=0,AND(J1618=1,K1618=1),AND(J1618=1,I1618="SBJ"),AND(J1618=1,I1618=0)),"?IN_FOCUS",IF(J1618&lt;=2,"?ACTIVATED",IF(J1618&lt;&gt;"","?FAMILIAR",IF(F1618="NEW",IF(ISNA(VLOOKUP(E1618,#REF!,1,FALSE())),"?TYPE_IDENTIFIABLE","?REFERENTIAL"),"_")))))</f>
        <v/>
      </c>
      <c r="H1618" s="13" t="str">
        <f aca="false">IF(J1618&lt;&gt;1,"",IF(I1618="SBJ","CB","?"))</f>
        <v/>
      </c>
      <c r="I1618" s="14" t="str">
        <f aca="false">IF(OR(E1618="",E1618="!!!",F1618="NEW"),"",INDEX(B$2:B1617,-1+SUMPRODUCT(MAX(ROW(E$2:E1617)*(E1618=E$2:E1617)))))</f>
        <v/>
      </c>
      <c r="J1618" s="15" t="str">
        <f aca="true">IF(OR(E1618="",E1618="!!!",F1618="NEW"),"",COUNTBLANK(OFFSET(A$1,,,SUMPRODUCT(MAX(ROW(E$2:E1618)*(E1618=E$2:E1618)))))-COUNTBLANK(OFFSET(A$1,,,SUMPRODUCT(MAX(ROW(E$1:E1617)*(E1618=E$1:E1617))))))</f>
        <v/>
      </c>
      <c r="K1618" s="15" t="str">
        <f aca="false">IF(OR(E1618="",E1618="!!!",F1618="NEW"),"",INDEX(J$1:J1617,SUMPRODUCT(MAX(ROW(E$1:E1617)*(E1618=E$1:E1617)))))</f>
        <v/>
      </c>
      <c r="L1618" s="16"/>
    </row>
    <row r="1619" customFormat="false" ht="12.8" hidden="false" customHeight="false" outlineLevel="0" collapsed="false">
      <c r="A1619" s="0" t="s">
        <v>764</v>
      </c>
      <c r="E1619" s="10" t="str">
        <f aca="false">IF(D1619="?OLD","!!!","")</f>
        <v/>
      </c>
      <c r="F1619" s="11" t="str">
        <f aca="false">IF(OR(E1619="",E1619="!!!"),"",IF(NOT(ISNA(VLOOKUP(E1619,E$1:E1618,1,FALSE()))),"OLD",IF(AND(E1619&lt;&gt;"",E1619&lt;&gt;"!!!"),"NEW","")))</f>
        <v/>
      </c>
      <c r="G1619" s="12" t="str">
        <f aca="false">IF(OR(E1619="",E1619="!!!"),"",IF(OR(J1619=0,AND(J1619=1,K1619=1),AND(J1619=1,I1619="SBJ"),AND(J1619=1,I1619=0)),"?IN_FOCUS",IF(J1619&lt;=2,"?ACTIVATED",IF(J1619&lt;&gt;"","?FAMILIAR",IF(F1619="NEW",IF(ISNA(VLOOKUP(E1619,#REF!,1,FALSE())),"?TYPE_IDENTIFIABLE","?REFERENTIAL"),"_")))))</f>
        <v/>
      </c>
      <c r="H1619" s="13" t="str">
        <f aca="false">IF(J1619&lt;&gt;1,"",IF(I1619="SBJ","CB","?"))</f>
        <v/>
      </c>
      <c r="I1619" s="14" t="str">
        <f aca="false">IF(OR(E1619="",E1619="!!!",F1619="NEW"),"",INDEX(B$2:B1618,-1+SUMPRODUCT(MAX(ROW(E$2:E1618)*(E1619=E$2:E1618)))))</f>
        <v/>
      </c>
      <c r="J1619" s="15" t="str">
        <f aca="true">IF(OR(E1619="",E1619="!!!",F1619="NEW"),"",COUNTBLANK(OFFSET(A$1,,,SUMPRODUCT(MAX(ROW(E$2:E1619)*(E1619=E$2:E1619)))))-COUNTBLANK(OFFSET(A$1,,,SUMPRODUCT(MAX(ROW(E$1:E1618)*(E1619=E$1:E1618))))))</f>
        <v/>
      </c>
      <c r="K1619" s="15" t="str">
        <f aca="false">IF(OR(E1619="",E1619="!!!",F1619="NEW"),"",INDEX(J$1:J1618,SUMPRODUCT(MAX(ROW(E$1:E1618)*(E1619=E$1:E1618)))))</f>
        <v/>
      </c>
      <c r="L1619" s="16"/>
    </row>
    <row r="1620" customFormat="false" ht="12.8" hidden="false" customHeight="false" outlineLevel="0" collapsed="false">
      <c r="A1620" s="0" t="s">
        <v>262</v>
      </c>
      <c r="E1620" s="10" t="str">
        <f aca="false">IF(D1620="?OLD","!!!","")</f>
        <v/>
      </c>
      <c r="F1620" s="11" t="str">
        <f aca="false">IF(OR(E1620="",E1620="!!!"),"",IF(NOT(ISNA(VLOOKUP(E1620,E$1:E1619,1,FALSE()))),"OLD",IF(AND(E1620&lt;&gt;"",E1620&lt;&gt;"!!!"),"NEW","")))</f>
        <v/>
      </c>
      <c r="G1620" s="12" t="str">
        <f aca="false">IF(OR(E1620="",E1620="!!!"),"",IF(OR(J1620=0,AND(J1620=1,K1620=1),AND(J1620=1,I1620="SBJ"),AND(J1620=1,I1620=0)),"?IN_FOCUS",IF(J1620&lt;=2,"?ACTIVATED",IF(J1620&lt;&gt;"","?FAMILIAR",IF(F1620="NEW",IF(ISNA(VLOOKUP(E1620,#REF!,1,FALSE())),"?TYPE_IDENTIFIABLE","?REFERENTIAL"),"_")))))</f>
        <v/>
      </c>
      <c r="H1620" s="13" t="str">
        <f aca="false">IF(J1620&lt;&gt;1,"",IF(I1620="SBJ","CB","?"))</f>
        <v/>
      </c>
      <c r="I1620" s="14" t="str">
        <f aca="false">IF(OR(E1620="",E1620="!!!",F1620="NEW"),"",INDEX(B$2:B1619,-1+SUMPRODUCT(MAX(ROW(E$2:E1619)*(E1620=E$2:E1619)))))</f>
        <v/>
      </c>
      <c r="J1620" s="15" t="str">
        <f aca="true">IF(OR(E1620="",E1620="!!!",F1620="NEW"),"",COUNTBLANK(OFFSET(A$1,,,SUMPRODUCT(MAX(ROW(E$2:E1620)*(E1620=E$2:E1620)))))-COUNTBLANK(OFFSET(A$1,,,SUMPRODUCT(MAX(ROW(E$1:E1619)*(E1620=E$1:E1619))))))</f>
        <v/>
      </c>
      <c r="K1620" s="15" t="str">
        <f aca="false">IF(OR(E1620="",E1620="!!!",F1620="NEW"),"",INDEX(J$1:J1619,SUMPRODUCT(MAX(ROW(E$1:E1619)*(E1620=E$1:E1619)))))</f>
        <v/>
      </c>
      <c r="L1620" s="16"/>
    </row>
    <row r="1621" customFormat="false" ht="12.8" hidden="false" customHeight="false" outlineLevel="0" collapsed="false">
      <c r="A1621" s="0" t="s">
        <v>140</v>
      </c>
      <c r="E1621" s="10" t="str">
        <f aca="false">IF(D1621="?OLD","!!!","")</f>
        <v/>
      </c>
      <c r="F1621" s="11" t="str">
        <f aca="false">IF(OR(E1621="",E1621="!!!"),"",IF(NOT(ISNA(VLOOKUP(E1621,E$1:E1620,1,FALSE()))),"OLD",IF(AND(E1621&lt;&gt;"",E1621&lt;&gt;"!!!"),"NEW","")))</f>
        <v/>
      </c>
      <c r="G1621" s="12" t="str">
        <f aca="false">IF(OR(E1621="",E1621="!!!"),"",IF(OR(J1621=0,AND(J1621=1,K1621=1),AND(J1621=1,I1621="SBJ"),AND(J1621=1,I1621=0)),"?IN_FOCUS",IF(J1621&lt;=2,"?ACTIVATED",IF(J1621&lt;&gt;"","?FAMILIAR",IF(F1621="NEW",IF(ISNA(VLOOKUP(E1621,#REF!,1,FALSE())),"?TYPE_IDENTIFIABLE","?REFERENTIAL"),"_")))))</f>
        <v/>
      </c>
      <c r="H1621" s="13" t="str">
        <f aca="false">IF(J1621&lt;&gt;1,"",IF(I1621="SBJ","CB","?"))</f>
        <v/>
      </c>
      <c r="I1621" s="14" t="str">
        <f aca="false">IF(OR(E1621="",E1621="!!!",F1621="NEW"),"",INDEX(B$2:B1620,-1+SUMPRODUCT(MAX(ROW(E$2:E1620)*(E1621=E$2:E1620)))))</f>
        <v/>
      </c>
      <c r="J1621" s="15" t="str">
        <f aca="true">IF(OR(E1621="",E1621="!!!",F1621="NEW"),"",COUNTBLANK(OFFSET(A$1,,,SUMPRODUCT(MAX(ROW(E$2:E1621)*(E1621=E$2:E1621)))))-COUNTBLANK(OFFSET(A$1,,,SUMPRODUCT(MAX(ROW(E$1:E1620)*(E1621=E$1:E1620))))))</f>
        <v/>
      </c>
      <c r="K1621" s="15" t="str">
        <f aca="false">IF(OR(E1621="",E1621="!!!",F1621="NEW"),"",INDEX(J$1:J1620,SUMPRODUCT(MAX(ROW(E$1:E1620)*(E1621=E$1:E1620)))))</f>
        <v/>
      </c>
      <c r="L1621" s="16"/>
    </row>
    <row r="1622" customFormat="false" ht="12.8" hidden="false" customHeight="false" outlineLevel="0" collapsed="false">
      <c r="A1622" s="0" t="s">
        <v>52</v>
      </c>
      <c r="B1622" s="0" t="s">
        <v>34</v>
      </c>
      <c r="C1622" s="0" t="s">
        <v>31</v>
      </c>
      <c r="E1622" s="10" t="s">
        <v>52</v>
      </c>
      <c r="F1622" s="11" t="str">
        <f aca="false">IF(OR(E1622="",E1622="!!!"),"",IF(NOT(ISNA(VLOOKUP(E1622,E$1:E1621,1,FALSE()))),"OLD",IF(AND(E1622&lt;&gt;"",E1622&lt;&gt;"!!!"),"NEW","")))</f>
        <v>OLD</v>
      </c>
      <c r="G1622" s="12" t="s">
        <v>36</v>
      </c>
      <c r="H1622" s="13" t="str">
        <f aca="false">IF(J1622&lt;&gt;1,"",IF(I1622="SBJ","CB","?"))</f>
        <v/>
      </c>
      <c r="I1622" s="14" t="str">
        <f aca="false">IF(OR(E1622="",E1622="!!!",F1622="NEW"),"",INDEX(B$2:B1621,-1+SUMPRODUCT(MAX(ROW(E$2:E1621)*(E1622=E$2:E1621)))))</f>
        <v>other_2</v>
      </c>
      <c r="J1622" s="15" t="n">
        <f aca="true">IF(OR(E1622="",E1622="!!!",F1622="NEW"),"",COUNTBLANK(OFFSET(A$1,,,SUMPRODUCT(MAX(ROW(E$2:E1622)*(E1622=E$2:E1622)))))-COUNTBLANK(OFFSET(A$1,,,SUMPRODUCT(MAX(ROW(E$1:E1621)*(E1622=E$1:E1621))))))</f>
        <v>4</v>
      </c>
      <c r="K1622" s="15" t="n">
        <f aca="false">IF(OR(E1622="",E1622="!!!",F1622="NEW"),"",INDEX(J$1:J1621,SUMPRODUCT(MAX(ROW(E$1:E1621)*(E1622=E$1:E1621)))))</f>
        <v>19</v>
      </c>
      <c r="L1622" s="16"/>
    </row>
    <row r="1623" customFormat="false" ht="12.8" hidden="false" customHeight="false" outlineLevel="0" collapsed="false">
      <c r="A1623" s="0" t="s">
        <v>54</v>
      </c>
      <c r="E1623" s="10" t="str">
        <f aca="false">IF(D1623="?OLD","!!!","")</f>
        <v/>
      </c>
      <c r="F1623" s="11" t="str">
        <f aca="false">IF(OR(E1623="",E1623="!!!"),"",IF(NOT(ISNA(VLOOKUP(E1623,E$1:E1622,1,FALSE()))),"OLD",IF(AND(E1623&lt;&gt;"",E1623&lt;&gt;"!!!"),"NEW","")))</f>
        <v/>
      </c>
      <c r="G1623" s="12" t="str">
        <f aca="false">IF(OR(E1623="",E1623="!!!"),"",IF(OR(J1623=0,AND(J1623=1,K1623=1),AND(J1623=1,I1623="SBJ"),AND(J1623=1,I1623=0)),"?IN_FOCUS",IF(J1623&lt;=2,"?ACTIVATED",IF(J1623&lt;&gt;"","?FAMILIAR",IF(F1623="NEW",IF(ISNA(VLOOKUP(E1623,#REF!,1,FALSE())),"?TYPE_IDENTIFIABLE","?REFERENTIAL"),"_")))))</f>
        <v/>
      </c>
      <c r="H1623" s="13" t="str">
        <f aca="false">IF(J1623&lt;&gt;1,"",IF(I1623="SBJ","CB","?"))</f>
        <v/>
      </c>
      <c r="I1623" s="14" t="str">
        <f aca="false">IF(OR(E1623="",E1623="!!!",F1623="NEW"),"",INDEX(B$2:B1622,-1+SUMPRODUCT(MAX(ROW(E$2:E1622)*(E1623=E$2:E1622)))))</f>
        <v/>
      </c>
      <c r="J1623" s="15" t="str">
        <f aca="true">IF(OR(E1623="",E1623="!!!",F1623="NEW"),"",COUNTBLANK(OFFSET(A$1,,,SUMPRODUCT(MAX(ROW(E$2:E1623)*(E1623=E$2:E1623)))))-COUNTBLANK(OFFSET(A$1,,,SUMPRODUCT(MAX(ROW(E$1:E1622)*(E1623=E$1:E1622))))))</f>
        <v/>
      </c>
      <c r="K1623" s="15" t="str">
        <f aca="false">IF(OR(E1623="",E1623="!!!",F1623="NEW"),"",INDEX(J$1:J1622,SUMPRODUCT(MAX(ROW(E$1:E1622)*(E1623=E$1:E1622)))))</f>
        <v/>
      </c>
      <c r="L1623" s="16"/>
    </row>
    <row r="1624" customFormat="false" ht="12.8" hidden="false" customHeight="false" outlineLevel="0" collapsed="false">
      <c r="A1624" s="0" t="s">
        <v>62</v>
      </c>
      <c r="E1624" s="10" t="str">
        <f aca="false">IF(D1624="?OLD","!!!","")</f>
        <v/>
      </c>
      <c r="F1624" s="11" t="str">
        <f aca="false">IF(OR(E1624="",E1624="!!!"),"",IF(NOT(ISNA(VLOOKUP(E1624,E$1:E1623,1,FALSE()))),"OLD",IF(AND(E1624&lt;&gt;"",E1624&lt;&gt;"!!!"),"NEW","")))</f>
        <v/>
      </c>
      <c r="G1624" s="12" t="str">
        <f aca="false">IF(OR(E1624="",E1624="!!!"),"",IF(OR(J1624=0,AND(J1624=1,K1624=1),AND(J1624=1,I1624="SBJ"),AND(J1624=1,I1624=0)),"?IN_FOCUS",IF(J1624&lt;=2,"?ACTIVATED",IF(J1624&lt;&gt;"","?FAMILIAR",IF(F1624="NEW",IF(ISNA(VLOOKUP(E1624,#REF!,1,FALSE())),"?TYPE_IDENTIFIABLE","?REFERENTIAL"),"_")))))</f>
        <v/>
      </c>
      <c r="H1624" s="13" t="str">
        <f aca="false">IF(J1624&lt;&gt;1,"",IF(I1624="SBJ","CB","?"))</f>
        <v/>
      </c>
      <c r="I1624" s="14" t="str">
        <f aca="false">IF(OR(E1624="",E1624="!!!",F1624="NEW"),"",INDEX(B$2:B1623,-1+SUMPRODUCT(MAX(ROW(E$2:E1623)*(E1624=E$2:E1623)))))</f>
        <v/>
      </c>
      <c r="J1624" s="15" t="str">
        <f aca="true">IF(OR(E1624="",E1624="!!!",F1624="NEW"),"",COUNTBLANK(OFFSET(A$1,,,SUMPRODUCT(MAX(ROW(E$2:E1624)*(E1624=E$2:E1624)))))-COUNTBLANK(OFFSET(A$1,,,SUMPRODUCT(MAX(ROW(E$1:E1623)*(E1624=E$1:E1623))))))</f>
        <v/>
      </c>
      <c r="K1624" s="15" t="str">
        <f aca="false">IF(OR(E1624="",E1624="!!!",F1624="NEW"),"",INDEX(J$1:J1623,SUMPRODUCT(MAX(ROW(E$1:E1623)*(E1624=E$1:E1623)))))</f>
        <v/>
      </c>
      <c r="L1624" s="16"/>
    </row>
    <row r="1625" customFormat="false" ht="12.8" hidden="false" customHeight="false" outlineLevel="0" collapsed="false">
      <c r="A1625" s="0" t="s">
        <v>765</v>
      </c>
      <c r="E1625" s="10" t="str">
        <f aca="false">IF(D1625="?OLD","!!!","")</f>
        <v/>
      </c>
      <c r="F1625" s="11" t="str">
        <f aca="false">IF(OR(E1625="",E1625="!!!"),"",IF(NOT(ISNA(VLOOKUP(E1625,E$1:E1624,1,FALSE()))),"OLD",IF(AND(E1625&lt;&gt;"",E1625&lt;&gt;"!!!"),"NEW","")))</f>
        <v/>
      </c>
      <c r="G1625" s="12" t="str">
        <f aca="false">IF(OR(E1625="",E1625="!!!"),"",IF(OR(J1625=0,AND(J1625=1,K1625=1),AND(J1625=1,I1625="SBJ"),AND(J1625=1,I1625=0)),"?IN_FOCUS",IF(J1625&lt;=2,"?ACTIVATED",IF(J1625&lt;&gt;"","?FAMILIAR",IF(F1625="NEW",IF(ISNA(VLOOKUP(E1625,#REF!,1,FALSE())),"?TYPE_IDENTIFIABLE","?REFERENTIAL"),"_")))))</f>
        <v/>
      </c>
      <c r="H1625" s="13" t="str">
        <f aca="false">IF(J1625&lt;&gt;1,"",IF(I1625="SBJ","CB","?"))</f>
        <v/>
      </c>
      <c r="I1625" s="14" t="str">
        <f aca="false">IF(OR(E1625="",E1625="!!!",F1625="NEW"),"",INDEX(B$2:B1624,-1+SUMPRODUCT(MAX(ROW(E$2:E1624)*(E1625=E$2:E1624)))))</f>
        <v/>
      </c>
      <c r="J1625" s="15" t="str">
        <f aca="true">IF(OR(E1625="",E1625="!!!",F1625="NEW"),"",COUNTBLANK(OFFSET(A$1,,,SUMPRODUCT(MAX(ROW(E$2:E1625)*(E1625=E$2:E1625)))))-COUNTBLANK(OFFSET(A$1,,,SUMPRODUCT(MAX(ROW(E$1:E1624)*(E1625=E$1:E1624))))))</f>
        <v/>
      </c>
      <c r="K1625" s="15" t="str">
        <f aca="false">IF(OR(E1625="",E1625="!!!",F1625="NEW"),"",INDEX(J$1:J1624,SUMPRODUCT(MAX(ROW(E$1:E1624)*(E1625=E$1:E1624)))))</f>
        <v/>
      </c>
      <c r="L1625" s="16"/>
    </row>
    <row r="1626" customFormat="false" ht="12.8" hidden="false" customHeight="false" outlineLevel="0" collapsed="false">
      <c r="A1626" s="0" t="s">
        <v>113</v>
      </c>
      <c r="E1626" s="10" t="str">
        <f aca="false">IF(D1626="?OLD","!!!","")</f>
        <v/>
      </c>
      <c r="F1626" s="11" t="str">
        <f aca="false">IF(OR(E1626="",E1626="!!!"),"",IF(NOT(ISNA(VLOOKUP(E1626,E$1:E1625,1,FALSE()))),"OLD",IF(AND(E1626&lt;&gt;"",E1626&lt;&gt;"!!!"),"NEW","")))</f>
        <v/>
      </c>
      <c r="G1626" s="12" t="str">
        <f aca="false">IF(OR(E1626="",E1626="!!!"),"",IF(OR(J1626=0,AND(J1626=1,K1626=1),AND(J1626=1,I1626="SBJ"),AND(J1626=1,I1626=0)),"?IN_FOCUS",IF(J1626&lt;=2,"?ACTIVATED",IF(J1626&lt;&gt;"","?FAMILIAR",IF(F1626="NEW",IF(ISNA(VLOOKUP(E1626,#REF!,1,FALSE())),"?TYPE_IDENTIFIABLE","?REFERENTIAL"),"_")))))</f>
        <v/>
      </c>
      <c r="H1626" s="13" t="str">
        <f aca="false">IF(J1626&lt;&gt;1,"",IF(I1626="SBJ","CB","?"))</f>
        <v/>
      </c>
      <c r="I1626" s="14" t="str">
        <f aca="false">IF(OR(E1626="",E1626="!!!",F1626="NEW"),"",INDEX(B$2:B1625,-1+SUMPRODUCT(MAX(ROW(E$2:E1625)*(E1626=E$2:E1625)))))</f>
        <v/>
      </c>
      <c r="J1626" s="15" t="str">
        <f aca="true">IF(OR(E1626="",E1626="!!!",F1626="NEW"),"",COUNTBLANK(OFFSET(A$1,,,SUMPRODUCT(MAX(ROW(E$2:E1626)*(E1626=E$2:E1626)))))-COUNTBLANK(OFFSET(A$1,,,SUMPRODUCT(MAX(ROW(E$1:E1625)*(E1626=E$1:E1625))))))</f>
        <v/>
      </c>
      <c r="K1626" s="15" t="str">
        <f aca="false">IF(OR(E1626="",E1626="!!!",F1626="NEW"),"",INDEX(J$1:J1625,SUMPRODUCT(MAX(ROW(E$1:E1625)*(E1626=E$1:E1625)))))</f>
        <v/>
      </c>
      <c r="L1626" s="16"/>
    </row>
    <row r="1627" customFormat="false" ht="12.8" hidden="false" customHeight="false" outlineLevel="0" collapsed="false">
      <c r="A1627" s="0" t="s">
        <v>766</v>
      </c>
      <c r="B1627" s="0" t="s">
        <v>14</v>
      </c>
      <c r="C1627" s="0" t="s">
        <v>27</v>
      </c>
      <c r="D1627" s="0" t="s">
        <v>20</v>
      </c>
      <c r="E1627" s="10"/>
      <c r="F1627" s="11" t="s">
        <v>247</v>
      </c>
      <c r="G1627" s="12" t="str">
        <f aca="false">IF(OR(E1627="",E1627="!!!"),"",IF(OR(J1627=0,AND(J1627=1,K1627=1),AND(J1627=1,I1627="SBJ"),AND(J1627=1,I1627=0)),"?IN_FOCUS",IF(J1627&lt;=2,"?ACTIVATED",IF(J1627&lt;&gt;"","?FAMILIAR",IF(F1627="NEW",IF(ISNA(VLOOKUP(E1627,#REF!,1,FALSE())),"?TYPE_IDENTIFIABLE","?REFERENTIAL"),"_")))))</f>
        <v/>
      </c>
      <c r="H1627" s="13" t="str">
        <f aca="false">IF(J1627&lt;&gt;1,"",IF(I1627="SBJ","CB","?"))</f>
        <v/>
      </c>
      <c r="I1627" s="14" t="str">
        <f aca="false">IF(OR(E1627="",E1627="!!!",F1627="NEW"),"",INDEX(B$2:B1626,-1+SUMPRODUCT(MAX(ROW(E$2:E1626)*(E1627=E$2:E1626)))))</f>
        <v/>
      </c>
      <c r="J1627" s="15" t="str">
        <f aca="true">IF(OR(E1627="",E1627="!!!",F1627="NEW"),"",COUNTBLANK(OFFSET(A$1,,,SUMPRODUCT(MAX(ROW(E$2:E1627)*(E1627=E$2:E1627)))))-COUNTBLANK(OFFSET(A$1,,,SUMPRODUCT(MAX(ROW(E$1:E1626)*(E1627=E$1:E1626))))))</f>
        <v/>
      </c>
      <c r="K1627" s="15" t="str">
        <f aca="false">IF(OR(E1627="",E1627="!!!",F1627="NEW"),"",INDEX(J$1:J1626,SUMPRODUCT(MAX(ROW(E$1:E1626)*(E1627=E$1:E1626)))))</f>
        <v/>
      </c>
      <c r="L1627" s="16"/>
    </row>
    <row r="1628" customFormat="false" ht="12.8" hidden="false" customHeight="false" outlineLevel="0" collapsed="false">
      <c r="A1628" s="0" t="s">
        <v>39</v>
      </c>
      <c r="E1628" s="10" t="str">
        <f aca="false">IF(D1628="?OLD","!!!","")</f>
        <v/>
      </c>
      <c r="F1628" s="11" t="str">
        <f aca="false">IF(OR(E1628="",E1628="!!!"),"",IF(NOT(ISNA(VLOOKUP(E1628,E$1:E1627,1,FALSE()))),"OLD",IF(AND(E1628&lt;&gt;"",E1628&lt;&gt;"!!!"),"NEW","")))</f>
        <v/>
      </c>
      <c r="G1628" s="12" t="str">
        <f aca="false">IF(OR(E1628="",E1628="!!!"),"",IF(OR(J1628=0,AND(J1628=1,K1628=1),AND(J1628=1,I1628="SBJ"),AND(J1628=1,I1628=0)),"?IN_FOCUS",IF(J1628&lt;=2,"?ACTIVATED",IF(J1628&lt;&gt;"","?FAMILIAR",IF(F1628="NEW",IF(ISNA(VLOOKUP(E1628,#REF!,1,FALSE())),"?TYPE_IDENTIFIABLE","?REFERENTIAL"),"_")))))</f>
        <v/>
      </c>
      <c r="H1628" s="13" t="str">
        <f aca="false">IF(J1628&lt;&gt;1,"",IF(I1628="SBJ","CB","?"))</f>
        <v/>
      </c>
      <c r="I1628" s="14" t="str">
        <f aca="false">IF(OR(E1628="",E1628="!!!",F1628="NEW"),"",INDEX(B$2:B1627,-1+SUMPRODUCT(MAX(ROW(E$2:E1627)*(E1628=E$2:E1627)))))</f>
        <v/>
      </c>
      <c r="J1628" s="15" t="str">
        <f aca="true">IF(OR(E1628="",E1628="!!!",F1628="NEW"),"",COUNTBLANK(OFFSET(A$1,,,SUMPRODUCT(MAX(ROW(E$2:E1628)*(E1628=E$2:E1628)))))-COUNTBLANK(OFFSET(A$1,,,SUMPRODUCT(MAX(ROW(E$1:E1627)*(E1628=E$1:E1627))))))</f>
        <v/>
      </c>
      <c r="K1628" s="15" t="str">
        <f aca="false">IF(OR(E1628="",E1628="!!!",F1628="NEW"),"",INDEX(J$1:J1627,SUMPRODUCT(MAX(ROW(E$1:E1627)*(E1628=E$1:E1627)))))</f>
        <v/>
      </c>
      <c r="L1628" s="16"/>
    </row>
    <row r="1629" customFormat="false" ht="12.8" hidden="false" customHeight="false" outlineLevel="0" collapsed="false">
      <c r="A1629" s="0" t="s">
        <v>30</v>
      </c>
      <c r="B1629" s="0" t="s">
        <v>14</v>
      </c>
      <c r="C1629" s="0" t="s">
        <v>31</v>
      </c>
      <c r="E1629" s="10" t="s">
        <v>30</v>
      </c>
      <c r="F1629" s="11" t="str">
        <f aca="false">IF(OR(E1629="",E1629="!!!"),"",IF(NOT(ISNA(VLOOKUP(E1629,E$1:E1628,1,FALSE()))),"OLD",IF(AND(E1629&lt;&gt;"",E1629&lt;&gt;"!!!"),"NEW","")))</f>
        <v>OLD</v>
      </c>
      <c r="G1629" s="12" t="s">
        <v>36</v>
      </c>
      <c r="H1629" s="13" t="str">
        <f aca="false">IF(J1629&lt;&gt;1,"",IF(I1629="SBJ","CB","?"))</f>
        <v/>
      </c>
      <c r="I1629" s="14" t="str">
        <f aca="false">IF(OR(E1629="",E1629="!!!",F1629="NEW"),"",INDEX(B$2:B1628,-1+SUMPRODUCT(MAX(ROW(E$2:E1628)*(E1629=E$2:E1628)))))</f>
        <v>other_2</v>
      </c>
      <c r="J1629" s="15" t="n">
        <f aca="true">IF(OR(E1629="",E1629="!!!",F1629="NEW"),"",COUNTBLANK(OFFSET(A$1,,,SUMPRODUCT(MAX(ROW(E$2:E1629)*(E1629=E$2:E1629)))))-COUNTBLANK(OFFSET(A$1,,,SUMPRODUCT(MAX(ROW(E$1:E1628)*(E1629=E$1:E1628))))))</f>
        <v>3</v>
      </c>
      <c r="K1629" s="15" t="n">
        <f aca="false">IF(OR(E1629="",E1629="!!!",F1629="NEW"),"",INDEX(J$1:J1628,SUMPRODUCT(MAX(ROW(E$1:E1628)*(E1629=E$1:E1628)))))</f>
        <v>37</v>
      </c>
      <c r="L1629" s="16"/>
    </row>
    <row r="1630" customFormat="false" ht="12.8" hidden="false" customHeight="false" outlineLevel="0" collapsed="false">
      <c r="A1630" s="0" t="s">
        <v>76</v>
      </c>
      <c r="E1630" s="10" t="str">
        <f aca="false">IF(D1630="?OLD","!!!","")</f>
        <v/>
      </c>
      <c r="F1630" s="11" t="str">
        <f aca="false">IF(OR(E1630="",E1630="!!!"),"",IF(NOT(ISNA(VLOOKUP(E1630,E$1:E1629,1,FALSE()))),"OLD",IF(AND(E1630&lt;&gt;"",E1630&lt;&gt;"!!!"),"NEW","")))</f>
        <v/>
      </c>
      <c r="G1630" s="12" t="str">
        <f aca="false">IF(OR(E1630="",E1630="!!!"),"",IF(OR(J1630=0,AND(J1630=1,K1630=1),AND(J1630=1,I1630="SBJ"),AND(J1630=1,I1630=0)),"?IN_FOCUS",IF(J1630&lt;=2,"?ACTIVATED",IF(J1630&lt;&gt;"","?FAMILIAR",IF(F1630="NEW",IF(ISNA(VLOOKUP(E1630,#REF!,1,FALSE())),"?TYPE_IDENTIFIABLE","?REFERENTIAL"),"_")))))</f>
        <v/>
      </c>
      <c r="H1630" s="13" t="str">
        <f aca="false">IF(J1630&lt;&gt;1,"",IF(I1630="SBJ","CB","?"))</f>
        <v/>
      </c>
      <c r="I1630" s="14" t="str">
        <f aca="false">IF(OR(E1630="",E1630="!!!",F1630="NEW"),"",INDEX(B$2:B1629,-1+SUMPRODUCT(MAX(ROW(E$2:E1629)*(E1630=E$2:E1629)))))</f>
        <v/>
      </c>
      <c r="J1630" s="15" t="str">
        <f aca="true">IF(OR(E1630="",E1630="!!!",F1630="NEW"),"",COUNTBLANK(OFFSET(A$1,,,SUMPRODUCT(MAX(ROW(E$2:E1630)*(E1630=E$2:E1630)))))-COUNTBLANK(OFFSET(A$1,,,SUMPRODUCT(MAX(ROW(E$1:E1629)*(E1630=E$1:E1629))))))</f>
        <v/>
      </c>
      <c r="K1630" s="15" t="str">
        <f aca="false">IF(OR(E1630="",E1630="!!!",F1630="NEW"),"",INDEX(J$1:J1629,SUMPRODUCT(MAX(ROW(E$1:E1629)*(E1630=E$1:E1629)))))</f>
        <v/>
      </c>
      <c r="L1630" s="16"/>
    </row>
    <row r="1631" customFormat="false" ht="12.8" hidden="false" customHeight="false" outlineLevel="0" collapsed="false">
      <c r="E1631" s="10" t="str">
        <f aca="false">IF(D1631="?OLD","!!!","")</f>
        <v/>
      </c>
      <c r="F1631" s="11" t="str">
        <f aca="false">IF(OR(E1631="",E1631="!!!"),"",IF(NOT(ISNA(VLOOKUP(E1631,E$1:E1630,1,FALSE()))),"OLD",IF(AND(E1631&lt;&gt;"",E1631&lt;&gt;"!!!"),"NEW","")))</f>
        <v/>
      </c>
      <c r="G1631" s="12" t="str">
        <f aca="false">IF(OR(E1631="",E1631="!!!"),"",IF(OR(J1631=0,AND(J1631=1,K1631=1),AND(J1631=1,I1631="SBJ"),AND(J1631=1,I1631=0)),"?IN_FOCUS",IF(J1631&lt;=2,"?ACTIVATED",IF(J1631&lt;&gt;"","?FAMILIAR",IF(F1631="NEW",IF(ISNA(VLOOKUP(E1631,#REF!,1,FALSE())),"?TYPE_IDENTIFIABLE","?REFERENTIAL"),"_")))))</f>
        <v/>
      </c>
      <c r="H1631" s="13" t="str">
        <f aca="false">IF(J1631&lt;&gt;1,"",IF(I1631="SBJ","CB","?"))</f>
        <v/>
      </c>
      <c r="I1631" s="14" t="str">
        <f aca="false">IF(OR(E1631="",E1631="!!!",F1631="NEW"),"",INDEX(B$2:B1630,-1+SUMPRODUCT(MAX(ROW(E$2:E1630)*(E1631=E$2:E1630)))))</f>
        <v/>
      </c>
      <c r="J1631" s="15" t="str">
        <f aca="true">IF(OR(E1631="",E1631="!!!",F1631="NEW"),"",COUNTBLANK(OFFSET(A$1,,,SUMPRODUCT(MAX(ROW(E$2:E1631)*(E1631=E$2:E1631)))))-COUNTBLANK(OFFSET(A$1,,,SUMPRODUCT(MAX(ROW(E$1:E1630)*(E1631=E$1:E1630))))))</f>
        <v/>
      </c>
      <c r="K1631" s="15" t="str">
        <f aca="false">IF(OR(E1631="",E1631="!!!",F1631="NEW"),"",INDEX(J$1:J1630,SUMPRODUCT(MAX(ROW(E$1:E1630)*(E1631=E$1:E1630)))))</f>
        <v/>
      </c>
      <c r="L1631" s="16"/>
    </row>
    <row r="1632" customFormat="false" ht="12.8" hidden="false" customHeight="false" outlineLevel="0" collapsed="false">
      <c r="A1632" s="0" t="s">
        <v>767</v>
      </c>
      <c r="E1632" s="10" t="str">
        <f aca="false">IF(D1632="?OLD","!!!","")</f>
        <v/>
      </c>
      <c r="F1632" s="11" t="str">
        <f aca="false">IF(OR(E1632="",E1632="!!!"),"",IF(NOT(ISNA(VLOOKUP(E1632,E$1:E1631,1,FALSE()))),"OLD",IF(AND(E1632&lt;&gt;"",E1632&lt;&gt;"!!!"),"NEW","")))</f>
        <v/>
      </c>
      <c r="G1632" s="12" t="str">
        <f aca="false">IF(OR(E1632="",E1632="!!!"),"",IF(OR(J1632=0,AND(J1632=1,K1632=1),AND(J1632=1,I1632="SBJ"),AND(J1632=1,I1632=0)),"?IN_FOCUS",IF(J1632&lt;=2,"?ACTIVATED",IF(J1632&lt;&gt;"","?FAMILIAR",IF(F1632="NEW",IF(ISNA(VLOOKUP(E1632,#REF!,1,FALSE())),"?TYPE_IDENTIFIABLE","?REFERENTIAL"),"_")))))</f>
        <v/>
      </c>
      <c r="H1632" s="13" t="str">
        <f aca="false">IF(J1632&lt;&gt;1,"",IF(I1632="SBJ","CB","?"))</f>
        <v/>
      </c>
      <c r="I1632" s="14" t="str">
        <f aca="false">IF(OR(E1632="",E1632="!!!",F1632="NEW"),"",INDEX(B$2:B1631,-1+SUMPRODUCT(MAX(ROW(E$2:E1631)*(E1632=E$2:E1631)))))</f>
        <v/>
      </c>
      <c r="J1632" s="15" t="str">
        <f aca="true">IF(OR(E1632="",E1632="!!!",F1632="NEW"),"",COUNTBLANK(OFFSET(A$1,,,SUMPRODUCT(MAX(ROW(E$2:E1632)*(E1632=E$2:E1632)))))-COUNTBLANK(OFFSET(A$1,,,SUMPRODUCT(MAX(ROW(E$1:E1631)*(E1632=E$1:E1631))))))</f>
        <v/>
      </c>
      <c r="K1632" s="15" t="str">
        <f aca="false">IF(OR(E1632="",E1632="!!!",F1632="NEW"),"",INDEX(J$1:J1631,SUMPRODUCT(MAX(ROW(E$1:E1631)*(E1632=E$1:E1631)))))</f>
        <v/>
      </c>
      <c r="L1632" s="16"/>
    </row>
    <row r="1633" customFormat="false" ht="12.8" hidden="false" customHeight="false" outlineLevel="0" collapsed="false">
      <c r="A1633" s="0" t="s">
        <v>501</v>
      </c>
      <c r="E1633" s="10" t="str">
        <f aca="false">IF(D1633="?OLD","!!!","")</f>
        <v/>
      </c>
      <c r="F1633" s="11" t="str">
        <f aca="false">IF(OR(E1633="",E1633="!!!"),"",IF(NOT(ISNA(VLOOKUP(E1633,E$1:E1632,1,FALSE()))),"OLD",IF(AND(E1633&lt;&gt;"",E1633&lt;&gt;"!!!"),"NEW","")))</f>
        <v/>
      </c>
      <c r="G1633" s="12" t="str">
        <f aca="false">IF(OR(E1633="",E1633="!!!"),"",IF(OR(J1633=0,AND(J1633=1,K1633=1),AND(J1633=1,I1633="SBJ"),AND(J1633=1,I1633=0)),"?IN_FOCUS",IF(J1633&lt;=2,"?ACTIVATED",IF(J1633&lt;&gt;"","?FAMILIAR",IF(F1633="NEW",IF(ISNA(VLOOKUP(E1633,#REF!,1,FALSE())),"?TYPE_IDENTIFIABLE","?REFERENTIAL"),"_")))))</f>
        <v/>
      </c>
      <c r="H1633" s="13" t="str">
        <f aca="false">IF(J1633&lt;&gt;1,"",IF(I1633="SBJ","CB","?"))</f>
        <v/>
      </c>
      <c r="I1633" s="14" t="str">
        <f aca="false">IF(OR(E1633="",E1633="!!!",F1633="NEW"),"",INDEX(B$2:B1632,-1+SUMPRODUCT(MAX(ROW(E$2:E1632)*(E1633=E$2:E1632)))))</f>
        <v/>
      </c>
      <c r="J1633" s="15" t="str">
        <f aca="true">IF(OR(E1633="",E1633="!!!",F1633="NEW"),"",COUNTBLANK(OFFSET(A$1,,,SUMPRODUCT(MAX(ROW(E$2:E1633)*(E1633=E$2:E1633)))))-COUNTBLANK(OFFSET(A$1,,,SUMPRODUCT(MAX(ROW(E$1:E1632)*(E1633=E$1:E1632))))))</f>
        <v/>
      </c>
      <c r="K1633" s="15" t="str">
        <f aca="false">IF(OR(E1633="",E1633="!!!",F1633="NEW"),"",INDEX(J$1:J1632,SUMPRODUCT(MAX(ROW(E$1:E1632)*(E1633=E$1:E1632)))))</f>
        <v/>
      </c>
      <c r="L1633" s="16"/>
    </row>
    <row r="1634" customFormat="false" ht="12.8" hidden="false" customHeight="false" outlineLevel="0" collapsed="false">
      <c r="A1634" s="0" t="s">
        <v>239</v>
      </c>
      <c r="E1634" s="10" t="str">
        <f aca="false">IF(D1634="?OLD","!!!","")</f>
        <v/>
      </c>
      <c r="F1634" s="11" t="str">
        <f aca="false">IF(OR(E1634="",E1634="!!!"),"",IF(NOT(ISNA(VLOOKUP(E1634,E$1:E1633,1,FALSE()))),"OLD",IF(AND(E1634&lt;&gt;"",E1634&lt;&gt;"!!!"),"NEW","")))</f>
        <v/>
      </c>
      <c r="G1634" s="12" t="str">
        <f aca="false">IF(OR(E1634="",E1634="!!!"),"",IF(OR(J1634=0,AND(J1634=1,K1634=1),AND(J1634=1,I1634="SBJ"),AND(J1634=1,I1634=0)),"?IN_FOCUS",IF(J1634&lt;=2,"?ACTIVATED",IF(J1634&lt;&gt;"","?FAMILIAR",IF(F1634="NEW",IF(ISNA(VLOOKUP(E1634,#REF!,1,FALSE())),"?TYPE_IDENTIFIABLE","?REFERENTIAL"),"_")))))</f>
        <v/>
      </c>
      <c r="H1634" s="13" t="str">
        <f aca="false">IF(J1634&lt;&gt;1,"",IF(I1634="SBJ","CB","?"))</f>
        <v/>
      </c>
      <c r="I1634" s="14" t="str">
        <f aca="false">IF(OR(E1634="",E1634="!!!",F1634="NEW"),"",INDEX(B$2:B1633,-1+SUMPRODUCT(MAX(ROW(E$2:E1633)*(E1634=E$2:E1633)))))</f>
        <v/>
      </c>
      <c r="J1634" s="15" t="str">
        <f aca="true">IF(OR(E1634="",E1634="!!!",F1634="NEW"),"",COUNTBLANK(OFFSET(A$1,,,SUMPRODUCT(MAX(ROW(E$2:E1634)*(E1634=E$2:E1634)))))-COUNTBLANK(OFFSET(A$1,,,SUMPRODUCT(MAX(ROW(E$1:E1633)*(E1634=E$1:E1633))))))</f>
        <v/>
      </c>
      <c r="K1634" s="15" t="str">
        <f aca="false">IF(OR(E1634="",E1634="!!!",F1634="NEW"),"",INDEX(J$1:J1633,SUMPRODUCT(MAX(ROW(E$1:E1633)*(E1634=E$1:E1633)))))</f>
        <v/>
      </c>
      <c r="L1634" s="16"/>
    </row>
    <row r="1635" customFormat="false" ht="12.8" hidden="false" customHeight="false" outlineLevel="0" collapsed="false">
      <c r="A1635" s="0" t="s">
        <v>202</v>
      </c>
      <c r="B1635" s="0" t="s">
        <v>34</v>
      </c>
      <c r="C1635" s="0" t="s">
        <v>48</v>
      </c>
      <c r="D1635" s="0" t="s">
        <v>20</v>
      </c>
      <c r="E1635" s="10" t="s">
        <v>52</v>
      </c>
      <c r="F1635" s="11" t="str">
        <f aca="false">IF(OR(E1635="",E1635="!!!"),"",IF(NOT(ISNA(VLOOKUP(E1635,E$1:E1634,1,FALSE()))),"OLD",IF(AND(E1635&lt;&gt;"",E1635&lt;&gt;"!!!"),"NEW","")))</f>
        <v>OLD</v>
      </c>
      <c r="G1635" s="12" t="s">
        <v>87</v>
      </c>
      <c r="H1635" s="13" t="str">
        <f aca="false">IF(J1635&lt;&gt;1,"",IF(I1635="SBJ","CB","?"))</f>
        <v>CB</v>
      </c>
      <c r="I1635" s="14" t="str">
        <f aca="false">IF(OR(E1635="",E1635="!!!",F1635="NEW"),"",INDEX(B$2:B1634,-1+SUMPRODUCT(MAX(ROW(E$2:E1634)*(E1635=E$2:E1634)))))</f>
        <v>SBJ</v>
      </c>
      <c r="J1635" s="15" t="n">
        <f aca="true">IF(OR(E1635="",E1635="!!!",F1635="NEW"),"",COUNTBLANK(OFFSET(A$1,,,SUMPRODUCT(MAX(ROW(E$2:E1635)*(E1635=E$2:E1635)))))-COUNTBLANK(OFFSET(A$1,,,SUMPRODUCT(MAX(ROW(E$1:E1634)*(E1635=E$1:E1634))))))</f>
        <v>1</v>
      </c>
      <c r="K1635" s="15" t="n">
        <f aca="false">IF(OR(E1635="",E1635="!!!",F1635="NEW"),"",INDEX(J$1:J1634,SUMPRODUCT(MAX(ROW(E$1:E1634)*(E1635=E$1:E1634)))))</f>
        <v>4</v>
      </c>
      <c r="L1635" s="16"/>
    </row>
    <row r="1636" customFormat="false" ht="12.8" hidden="false" customHeight="false" outlineLevel="0" collapsed="false">
      <c r="A1636" s="0" t="s">
        <v>768</v>
      </c>
      <c r="E1636" s="10" t="s">
        <v>769</v>
      </c>
      <c r="F1636" s="11" t="s">
        <v>123</v>
      </c>
      <c r="G1636" s="12" t="s">
        <v>67</v>
      </c>
      <c r="H1636" s="13" t="e">
        <f aca="false">IF(J1636&lt;&gt;1,"",IF(I1636="SBJ","CB","?"))</f>
        <v>#VALUE!</v>
      </c>
      <c r="I1636" s="14" t="e">
        <f aca="false">IF(OR(E1636="",E1636="!!!",F1636="NEW"),"",INDEX(B$2:B1635,-1+SUMPRODUCT(MAX(ROW(E$2:E1635)*(E1636=E$2:E1635)))))</f>
        <v>#VALUE!</v>
      </c>
      <c r="J1636" s="15" t="e">
        <f aca="true">IF(OR(E1636="",E1636="!!!",F1636="NEW"),"",COUNTBLANK(OFFSET(A$1,,,SUMPRODUCT(MAX(ROW(E$2:E1636)*(E1636=E$2:E1636)))))-COUNTBLANK(OFFSET(A$1,,,SUMPRODUCT(MAX(ROW(E$1:E1635)*(E1636=E$1:E1635))))))</f>
        <v>#VALUE!</v>
      </c>
      <c r="K1636" s="15" t="e">
        <f aca="false">IF(OR(E1636="",E1636="!!!",F1636="NEW"),"",INDEX(J$1:J1635,SUMPRODUCT(MAX(ROW(E$1:E1635)*(E1636=E$1:E1635)))))</f>
        <v>#VALUE!</v>
      </c>
      <c r="L1636" s="16"/>
    </row>
    <row r="1637" customFormat="false" ht="12.8" hidden="false" customHeight="false" outlineLevel="0" collapsed="false">
      <c r="A1637" s="0" t="s">
        <v>62</v>
      </c>
      <c r="E1637" s="10" t="str">
        <f aca="false">IF(D1637="?OLD","!!!","")</f>
        <v/>
      </c>
      <c r="F1637" s="11" t="str">
        <f aca="false">IF(OR(E1637="",E1637="!!!"),"",IF(NOT(ISNA(VLOOKUP(E1637,E$1:E1636,1,FALSE()))),"OLD",IF(AND(E1637&lt;&gt;"",E1637&lt;&gt;"!!!"),"NEW","")))</f>
        <v/>
      </c>
      <c r="G1637" s="12" t="str">
        <f aca="false">IF(OR(E1637="",E1637="!!!"),"",IF(OR(J1637=0,AND(J1637=1,K1637=1),AND(J1637=1,I1637="SBJ"),AND(J1637=1,I1637=0)),"?IN_FOCUS",IF(J1637&lt;=2,"?ACTIVATED",IF(J1637&lt;&gt;"","?FAMILIAR",IF(F1637="NEW",IF(ISNA(VLOOKUP(E1637,#REF!,1,FALSE())),"?TYPE_IDENTIFIABLE","?REFERENTIAL"),"_")))))</f>
        <v/>
      </c>
      <c r="H1637" s="13" t="str">
        <f aca="false">IF(J1637&lt;&gt;1,"",IF(I1637="SBJ","CB","?"))</f>
        <v/>
      </c>
      <c r="I1637" s="14" t="str">
        <f aca="false">IF(OR(E1637="",E1637="!!!",F1637="NEW"),"",INDEX(B$2:B1636,-1+SUMPRODUCT(MAX(ROW(E$2:E1636)*(E1637=E$2:E1636)))))</f>
        <v/>
      </c>
      <c r="J1637" s="15" t="str">
        <f aca="true">IF(OR(E1637="",E1637="!!!",F1637="NEW"),"",COUNTBLANK(OFFSET(A$1,,,SUMPRODUCT(MAX(ROW(E$2:E1637)*(E1637=E$2:E1637)))))-COUNTBLANK(OFFSET(A$1,,,SUMPRODUCT(MAX(ROW(E$1:E1636)*(E1637=E$1:E1636))))))</f>
        <v/>
      </c>
      <c r="K1637" s="15" t="str">
        <f aca="false">IF(OR(E1637="",E1637="!!!",F1637="NEW"),"",INDEX(J$1:J1636,SUMPRODUCT(MAX(ROW(E$1:E1636)*(E1637=E$1:E1636)))))</f>
        <v/>
      </c>
      <c r="L1637" s="16"/>
    </row>
    <row r="1638" customFormat="false" ht="12.8" hidden="false" customHeight="false" outlineLevel="0" collapsed="false">
      <c r="A1638" s="0" t="s">
        <v>770</v>
      </c>
      <c r="B1638" s="0" t="s">
        <v>85</v>
      </c>
      <c r="C1638" s="0" t="s">
        <v>27</v>
      </c>
      <c r="D1638" s="0" t="s">
        <v>20</v>
      </c>
      <c r="E1638" s="10"/>
      <c r="F1638" s="11" t="s">
        <v>247</v>
      </c>
      <c r="G1638" s="12" t="str">
        <f aca="false">IF(OR(E1638="",E1638="!!!"),"",IF(OR(J1638=0,AND(J1638=1,K1638=1),AND(J1638=1,I1638="SBJ"),AND(J1638=1,I1638=0)),"?IN_FOCUS",IF(J1638&lt;=2,"?ACTIVATED",IF(J1638&lt;&gt;"","?FAMILIAR",IF(F1638="NEW",IF(ISNA(VLOOKUP(E1638,#REF!,1,FALSE())),"?TYPE_IDENTIFIABLE","?REFERENTIAL"),"_")))))</f>
        <v/>
      </c>
      <c r="H1638" s="13" t="str">
        <f aca="false">IF(J1638&lt;&gt;1,"",IF(I1638="SBJ","CB","?"))</f>
        <v/>
      </c>
      <c r="I1638" s="14" t="str">
        <f aca="false">IF(OR(E1638="",E1638="!!!",F1638="NEW"),"",INDEX(B$2:B1637,-1+SUMPRODUCT(MAX(ROW(E$2:E1637)*(E1638=E$2:E1637)))))</f>
        <v/>
      </c>
      <c r="J1638" s="15" t="str">
        <f aca="true">IF(OR(E1638="",E1638="!!!",F1638="NEW"),"",COUNTBLANK(OFFSET(A$1,,,SUMPRODUCT(MAX(ROW(E$2:E1638)*(E1638=E$2:E1638)))))-COUNTBLANK(OFFSET(A$1,,,SUMPRODUCT(MAX(ROW(E$1:E1637)*(E1638=E$1:E1637))))))</f>
        <v/>
      </c>
      <c r="K1638" s="15" t="str">
        <f aca="false">IF(OR(E1638="",E1638="!!!",F1638="NEW"),"",INDEX(J$1:J1637,SUMPRODUCT(MAX(ROW(E$1:E1637)*(E1638=E$1:E1637)))))</f>
        <v/>
      </c>
      <c r="L1638" s="16"/>
    </row>
    <row r="1639" customFormat="false" ht="12.8" hidden="false" customHeight="false" outlineLevel="0" collapsed="false">
      <c r="A1639" s="0" t="s">
        <v>370</v>
      </c>
      <c r="E1639" s="10" t="str">
        <f aca="false">IF(D1639="?OLD","!!!","")</f>
        <v/>
      </c>
      <c r="F1639" s="11" t="str">
        <f aca="false">IF(OR(E1639="",E1639="!!!"),"",IF(NOT(ISNA(VLOOKUP(E1639,E$1:E1638,1,FALSE()))),"OLD",IF(AND(E1639&lt;&gt;"",E1639&lt;&gt;"!!!"),"NEW","")))</f>
        <v/>
      </c>
      <c r="G1639" s="12" t="str">
        <f aca="false">IF(OR(E1639="",E1639="!!!"),"",IF(OR(J1639=0,AND(J1639=1,K1639=1),AND(J1639=1,I1639="SBJ"),AND(J1639=1,I1639=0)),"?IN_FOCUS",IF(J1639&lt;=2,"?ACTIVATED",IF(J1639&lt;&gt;"","?FAMILIAR",IF(F1639="NEW",IF(ISNA(VLOOKUP(E1639,#REF!,1,FALSE())),"?TYPE_IDENTIFIABLE","?REFERENTIAL"),"_")))))</f>
        <v/>
      </c>
      <c r="H1639" s="13" t="str">
        <f aca="false">IF(J1639&lt;&gt;1,"",IF(I1639="SBJ","CB","?"))</f>
        <v/>
      </c>
      <c r="I1639" s="14" t="str">
        <f aca="false">IF(OR(E1639="",E1639="!!!",F1639="NEW"),"",INDEX(B$2:B1638,-1+SUMPRODUCT(MAX(ROW(E$2:E1638)*(E1639=E$2:E1638)))))</f>
        <v/>
      </c>
      <c r="J1639" s="15" t="str">
        <f aca="true">IF(OR(E1639="",E1639="!!!",F1639="NEW"),"",COUNTBLANK(OFFSET(A$1,,,SUMPRODUCT(MAX(ROW(E$2:E1639)*(E1639=E$2:E1639)))))-COUNTBLANK(OFFSET(A$1,,,SUMPRODUCT(MAX(ROW(E$1:E1638)*(E1639=E$1:E1638))))))</f>
        <v/>
      </c>
      <c r="K1639" s="15" t="str">
        <f aca="false">IF(OR(E1639="",E1639="!!!",F1639="NEW"),"",INDEX(J$1:J1638,SUMPRODUCT(MAX(ROW(E$1:E1638)*(E1639=E$1:E1638)))))</f>
        <v/>
      </c>
      <c r="L1639" s="16"/>
    </row>
    <row r="1640" customFormat="false" ht="12.8" hidden="false" customHeight="false" outlineLevel="0" collapsed="false">
      <c r="E1640" s="10" t="str">
        <f aca="false">IF(D1640="?OLD","!!!","")</f>
        <v/>
      </c>
      <c r="F1640" s="11" t="str">
        <f aca="false">IF(OR(E1640="",E1640="!!!"),"",IF(NOT(ISNA(VLOOKUP(E1640,E$1:E1639,1,FALSE()))),"OLD",IF(AND(E1640&lt;&gt;"",E1640&lt;&gt;"!!!"),"NEW","")))</f>
        <v/>
      </c>
      <c r="G1640" s="12" t="str">
        <f aca="false">IF(OR(E1640="",E1640="!!!"),"",IF(OR(J1640=0,AND(J1640=1,K1640=1),AND(J1640=1,I1640="SBJ"),AND(J1640=1,I1640=0)),"?IN_FOCUS",IF(J1640&lt;=2,"?ACTIVATED",IF(J1640&lt;&gt;"","?FAMILIAR",IF(F1640="NEW",IF(ISNA(VLOOKUP(E1640,#REF!,1,FALSE())),"?TYPE_IDENTIFIABLE","?REFERENTIAL"),"_")))))</f>
        <v/>
      </c>
      <c r="H1640" s="13" t="str">
        <f aca="false">IF(J1640&lt;&gt;1,"",IF(I1640="SBJ","CB","?"))</f>
        <v/>
      </c>
      <c r="I1640" s="14" t="str">
        <f aca="false">IF(OR(E1640="",E1640="!!!",F1640="NEW"),"",INDEX(B$2:B1639,-1+SUMPRODUCT(MAX(ROW(E$2:E1639)*(E1640=E$2:E1639)))))</f>
        <v/>
      </c>
      <c r="J1640" s="15" t="str">
        <f aca="true">IF(OR(E1640="",E1640="!!!",F1640="NEW"),"",COUNTBLANK(OFFSET(A$1,,,SUMPRODUCT(MAX(ROW(E$2:E1640)*(E1640=E$2:E1640)))))-COUNTBLANK(OFFSET(A$1,,,SUMPRODUCT(MAX(ROW(E$1:E1639)*(E1640=E$1:E1639))))))</f>
        <v/>
      </c>
      <c r="K1640" s="15" t="str">
        <f aca="false">IF(OR(E1640="",E1640="!!!",F1640="NEW"),"",INDEX(J$1:J1639,SUMPRODUCT(MAX(ROW(E$1:E1639)*(E1640=E$1:E1639)))))</f>
        <v/>
      </c>
      <c r="L1640" s="16"/>
    </row>
    <row r="1641" customFormat="false" ht="12.8" hidden="false" customHeight="false" outlineLevel="0" collapsed="false">
      <c r="A1641" s="0" t="s">
        <v>771</v>
      </c>
      <c r="E1641" s="10" t="str">
        <f aca="false">IF(D1641="?OLD","!!!","")</f>
        <v/>
      </c>
      <c r="F1641" s="11" t="str">
        <f aca="false">IF(OR(E1641="",E1641="!!!"),"",IF(NOT(ISNA(VLOOKUP(E1641,E$1:E1640,1,FALSE()))),"OLD",IF(AND(E1641&lt;&gt;"",E1641&lt;&gt;"!!!"),"NEW","")))</f>
        <v/>
      </c>
      <c r="G1641" s="12" t="str">
        <f aca="false">IF(OR(E1641="",E1641="!!!"),"",IF(OR(J1641=0,AND(J1641=1,K1641=1),AND(J1641=1,I1641="SBJ"),AND(J1641=1,I1641=0)),"?IN_FOCUS",IF(J1641&lt;=2,"?ACTIVATED",IF(J1641&lt;&gt;"","?FAMILIAR",IF(F1641="NEW",IF(ISNA(VLOOKUP(E1641,#REF!,1,FALSE())),"?TYPE_IDENTIFIABLE","?REFERENTIAL"),"_")))))</f>
        <v/>
      </c>
      <c r="H1641" s="13" t="str">
        <f aca="false">IF(J1641&lt;&gt;1,"",IF(I1641="SBJ","CB","?"))</f>
        <v/>
      </c>
      <c r="I1641" s="14" t="str">
        <f aca="false">IF(OR(E1641="",E1641="!!!",F1641="NEW"),"",INDEX(B$2:B1640,-1+SUMPRODUCT(MAX(ROW(E$2:E1640)*(E1641=E$2:E1640)))))</f>
        <v/>
      </c>
      <c r="J1641" s="15" t="str">
        <f aca="true">IF(OR(E1641="",E1641="!!!",F1641="NEW"),"",COUNTBLANK(OFFSET(A$1,,,SUMPRODUCT(MAX(ROW(E$2:E1641)*(E1641=E$2:E1641)))))-COUNTBLANK(OFFSET(A$1,,,SUMPRODUCT(MAX(ROW(E$1:E1640)*(E1641=E$1:E1640))))))</f>
        <v/>
      </c>
      <c r="K1641" s="15" t="str">
        <f aca="false">IF(OR(E1641="",E1641="!!!",F1641="NEW"),"",INDEX(J$1:J1640,SUMPRODUCT(MAX(ROW(E$1:E1640)*(E1641=E$1:E1640)))))</f>
        <v/>
      </c>
      <c r="L1641" s="16"/>
    </row>
    <row r="1642" customFormat="false" ht="12.8" hidden="false" customHeight="false" outlineLevel="0" collapsed="false">
      <c r="A1642" s="0" t="s">
        <v>24</v>
      </c>
      <c r="E1642" s="10" t="str">
        <f aca="false">IF(D1642="?OLD","!!!","")</f>
        <v/>
      </c>
      <c r="F1642" s="11" t="str">
        <f aca="false">IF(OR(E1642="",E1642="!!!"),"",IF(NOT(ISNA(VLOOKUP(E1642,E$1:E1641,1,FALSE()))),"OLD",IF(AND(E1642&lt;&gt;"",E1642&lt;&gt;"!!!"),"NEW","")))</f>
        <v/>
      </c>
      <c r="G1642" s="12" t="str">
        <f aca="false">IF(OR(E1642="",E1642="!!!"),"",IF(OR(J1642=0,AND(J1642=1,K1642=1),AND(J1642=1,I1642="SBJ"),AND(J1642=1,I1642=0)),"?IN_FOCUS",IF(J1642&lt;=2,"?ACTIVATED",IF(J1642&lt;&gt;"","?FAMILIAR",IF(F1642="NEW",IF(ISNA(VLOOKUP(E1642,#REF!,1,FALSE())),"?TYPE_IDENTIFIABLE","?REFERENTIAL"),"_")))))</f>
        <v/>
      </c>
      <c r="H1642" s="13" t="str">
        <f aca="false">IF(J1642&lt;&gt;1,"",IF(I1642="SBJ","CB","?"))</f>
        <v/>
      </c>
      <c r="I1642" s="14" t="str">
        <f aca="false">IF(OR(E1642="",E1642="!!!",F1642="NEW"),"",INDEX(B$2:B1641,-1+SUMPRODUCT(MAX(ROW(E$2:E1641)*(E1642=E$2:E1641)))))</f>
        <v/>
      </c>
      <c r="J1642" s="15" t="str">
        <f aca="true">IF(OR(E1642="",E1642="!!!",F1642="NEW"),"",COUNTBLANK(OFFSET(A$1,,,SUMPRODUCT(MAX(ROW(E$2:E1642)*(E1642=E$2:E1642)))))-COUNTBLANK(OFFSET(A$1,,,SUMPRODUCT(MAX(ROW(E$1:E1641)*(E1642=E$1:E1641))))))</f>
        <v/>
      </c>
      <c r="K1642" s="15" t="str">
        <f aca="false">IF(OR(E1642="",E1642="!!!",F1642="NEW"),"",INDEX(J$1:J1641,SUMPRODUCT(MAX(ROW(E$1:E1641)*(E1642=E$1:E1641)))))</f>
        <v/>
      </c>
      <c r="L1642" s="16"/>
    </row>
    <row r="1643" customFormat="false" ht="12.8" hidden="false" customHeight="false" outlineLevel="0" collapsed="false">
      <c r="A1643" s="0" t="s">
        <v>542</v>
      </c>
      <c r="B1643" s="0" t="s">
        <v>34</v>
      </c>
      <c r="C1643" s="0" t="s">
        <v>27</v>
      </c>
      <c r="D1643" s="0" t="s">
        <v>20</v>
      </c>
      <c r="E1643" s="10" t="s">
        <v>769</v>
      </c>
      <c r="F1643" s="11" t="s">
        <v>137</v>
      </c>
      <c r="G1643" s="12" t="s">
        <v>131</v>
      </c>
      <c r="H1643" s="13" t="str">
        <f aca="false">IF(J1643&lt;&gt;1,"",IF(I1643="SBJ","CB","?"))</f>
        <v/>
      </c>
      <c r="I1643" s="14" t="str">
        <f aca="false">IF(OR(E1643="",E1643="!!!",F1643="NEW"),"",INDEX(B$2:B1642,-1+SUMPRODUCT(MAX(ROW(E$2:E1642)*(E1643=E$2:E1642)))))</f>
        <v/>
      </c>
      <c r="J1643" s="15" t="str">
        <f aca="true">IF(OR(E1643="",E1643="!!!",F1643="NEW"),"",COUNTBLANK(OFFSET(A$1,,,SUMPRODUCT(MAX(ROW(E$2:E1643)*(E1643=E$2:E1643)))))-COUNTBLANK(OFFSET(A$1,,,SUMPRODUCT(MAX(ROW(E$1:E1642)*(E1643=E$1:E1642))))))</f>
        <v/>
      </c>
      <c r="K1643" s="15" t="str">
        <f aca="false">IF(OR(E1643="",E1643="!!!",F1643="NEW"),"",INDEX(J$1:J1642,SUMPRODUCT(MAX(ROW(E$1:E1642)*(E1643=E$1:E1642)))))</f>
        <v/>
      </c>
      <c r="L1643" s="16"/>
    </row>
    <row r="1644" customFormat="false" ht="12.8" hidden="false" customHeight="false" outlineLevel="0" collapsed="false">
      <c r="A1644" s="0" t="s">
        <v>44</v>
      </c>
      <c r="E1644" s="10" t="str">
        <f aca="false">IF(D1644="?OLD","!!!","")</f>
        <v/>
      </c>
      <c r="F1644" s="11" t="str">
        <f aca="false">IF(OR(E1644="",E1644="!!!"),"",IF(NOT(ISNA(VLOOKUP(E1644,E$1:E1643,1,FALSE()))),"OLD",IF(AND(E1644&lt;&gt;"",E1644&lt;&gt;"!!!"),"NEW","")))</f>
        <v/>
      </c>
      <c r="G1644" s="12" t="str">
        <f aca="false">IF(OR(E1644="",E1644="!!!"),"",IF(OR(J1644=0,AND(J1644=1,K1644=1),AND(J1644=1,I1644="SBJ"),AND(J1644=1,I1644=0)),"?IN_FOCUS",IF(J1644&lt;=2,"?ACTIVATED",IF(J1644&lt;&gt;"","?FAMILIAR",IF(F1644="NEW",IF(ISNA(VLOOKUP(E1644,#REF!,1,FALSE())),"?TYPE_IDENTIFIABLE","?REFERENTIAL"),"_")))))</f>
        <v/>
      </c>
      <c r="H1644" s="13" t="str">
        <f aca="false">IF(J1644&lt;&gt;1,"",IF(I1644="SBJ","CB","?"))</f>
        <v/>
      </c>
      <c r="I1644" s="14" t="str">
        <f aca="false">IF(OR(E1644="",E1644="!!!",F1644="NEW"),"",INDEX(B$2:B1643,-1+SUMPRODUCT(MAX(ROW(E$2:E1643)*(E1644=E$2:E1643)))))</f>
        <v/>
      </c>
      <c r="J1644" s="15" t="str">
        <f aca="true">IF(OR(E1644="",E1644="!!!",F1644="NEW"),"",COUNTBLANK(OFFSET(A$1,,,SUMPRODUCT(MAX(ROW(E$2:E1644)*(E1644=E$2:E1644)))))-COUNTBLANK(OFFSET(A$1,,,SUMPRODUCT(MAX(ROW(E$1:E1643)*(E1644=E$1:E1643))))))</f>
        <v/>
      </c>
      <c r="K1644" s="15" t="str">
        <f aca="false">IF(OR(E1644="",E1644="!!!",F1644="NEW"),"",INDEX(J$1:J1643,SUMPRODUCT(MAX(ROW(E$1:E1643)*(E1644=E$1:E1643)))))</f>
        <v/>
      </c>
      <c r="L1644" s="16"/>
    </row>
    <row r="1645" customFormat="false" ht="12.8" hidden="false" customHeight="false" outlineLevel="0" collapsed="false">
      <c r="A1645" s="0" t="s">
        <v>772</v>
      </c>
      <c r="E1645" s="10" t="str">
        <f aca="false">IF(D1645="?OLD","!!!","")</f>
        <v/>
      </c>
      <c r="F1645" s="11" t="str">
        <f aca="false">IF(OR(E1645="",E1645="!!!"),"",IF(NOT(ISNA(VLOOKUP(E1645,E$1:E1644,1,FALSE()))),"OLD",IF(AND(E1645&lt;&gt;"",E1645&lt;&gt;"!!!"),"NEW","")))</f>
        <v/>
      </c>
      <c r="G1645" s="12" t="str">
        <f aca="false">IF(OR(E1645="",E1645="!!!"),"",IF(OR(J1645=0,AND(J1645=1,K1645=1),AND(J1645=1,I1645="SBJ"),AND(J1645=1,I1645=0)),"?IN_FOCUS",IF(J1645&lt;=2,"?ACTIVATED",IF(J1645&lt;&gt;"","?FAMILIAR",IF(F1645="NEW",IF(ISNA(VLOOKUP(E1645,#REF!,1,FALSE())),"?TYPE_IDENTIFIABLE","?REFERENTIAL"),"_")))))</f>
        <v/>
      </c>
      <c r="H1645" s="13" t="str">
        <f aca="false">IF(J1645&lt;&gt;1,"",IF(I1645="SBJ","CB","?"))</f>
        <v/>
      </c>
      <c r="I1645" s="14" t="str">
        <f aca="false">IF(OR(E1645="",E1645="!!!",F1645="NEW"),"",INDEX(B$2:B1644,-1+SUMPRODUCT(MAX(ROW(E$2:E1644)*(E1645=E$2:E1644)))))</f>
        <v/>
      </c>
      <c r="J1645" s="15" t="str">
        <f aca="true">IF(OR(E1645="",E1645="!!!",F1645="NEW"),"",COUNTBLANK(OFFSET(A$1,,,SUMPRODUCT(MAX(ROW(E$2:E1645)*(E1645=E$2:E1645)))))-COUNTBLANK(OFFSET(A$1,,,SUMPRODUCT(MAX(ROW(E$1:E1644)*(E1645=E$1:E1644))))))</f>
        <v/>
      </c>
      <c r="K1645" s="15" t="str">
        <f aca="false">IF(OR(E1645="",E1645="!!!",F1645="NEW"),"",INDEX(J$1:J1644,SUMPRODUCT(MAX(ROW(E$1:E1644)*(E1645=E$1:E1644)))))</f>
        <v/>
      </c>
      <c r="L1645" s="16"/>
    </row>
    <row r="1646" customFormat="false" ht="12.8" hidden="false" customHeight="false" outlineLevel="0" collapsed="false">
      <c r="A1646" s="0" t="s">
        <v>773</v>
      </c>
      <c r="E1646" s="10" t="str">
        <f aca="false">IF(D1646="?OLD","!!!","")</f>
        <v/>
      </c>
      <c r="F1646" s="11" t="str">
        <f aca="false">IF(OR(E1646="",E1646="!!!"),"",IF(NOT(ISNA(VLOOKUP(E1646,E$1:E1645,1,FALSE()))),"OLD",IF(AND(E1646&lt;&gt;"",E1646&lt;&gt;"!!!"),"NEW","")))</f>
        <v/>
      </c>
      <c r="G1646" s="12" t="str">
        <f aca="false">IF(OR(E1646="",E1646="!!!"),"",IF(OR(J1646=0,AND(J1646=1,K1646=1),AND(J1646=1,I1646="SBJ"),AND(J1646=1,I1646=0)),"?IN_FOCUS",IF(J1646&lt;=2,"?ACTIVATED",IF(J1646&lt;&gt;"","?FAMILIAR",IF(F1646="NEW",IF(ISNA(VLOOKUP(E1646,#REF!,1,FALSE())),"?TYPE_IDENTIFIABLE","?REFERENTIAL"),"_")))))</f>
        <v/>
      </c>
      <c r="H1646" s="13" t="str">
        <f aca="false">IF(J1646&lt;&gt;1,"",IF(I1646="SBJ","CB","?"))</f>
        <v/>
      </c>
      <c r="I1646" s="14" t="str">
        <f aca="false">IF(OR(E1646="",E1646="!!!",F1646="NEW"),"",INDEX(B$2:B1645,-1+SUMPRODUCT(MAX(ROW(E$2:E1645)*(E1646=E$2:E1645)))))</f>
        <v/>
      </c>
      <c r="J1646" s="15" t="str">
        <f aca="true">IF(OR(E1646="",E1646="!!!",F1646="NEW"),"",COUNTBLANK(OFFSET(A$1,,,SUMPRODUCT(MAX(ROW(E$2:E1646)*(E1646=E$2:E1646)))))-COUNTBLANK(OFFSET(A$1,,,SUMPRODUCT(MAX(ROW(E$1:E1645)*(E1646=E$1:E1645))))))</f>
        <v/>
      </c>
      <c r="K1646" s="15" t="str">
        <f aca="false">IF(OR(E1646="",E1646="!!!",F1646="NEW"),"",INDEX(J$1:J1645,SUMPRODUCT(MAX(ROW(E$1:E1645)*(E1646=E$1:E1645)))))</f>
        <v/>
      </c>
      <c r="L1646" s="16"/>
    </row>
    <row r="1647" customFormat="false" ht="12.8" hidden="false" customHeight="false" outlineLevel="0" collapsed="false">
      <c r="A1647" s="0" t="s">
        <v>44</v>
      </c>
      <c r="E1647" s="10" t="str">
        <f aca="false">IF(D1647="?OLD","!!!","")</f>
        <v/>
      </c>
      <c r="F1647" s="11" t="str">
        <f aca="false">IF(OR(E1647="",E1647="!!!"),"",IF(NOT(ISNA(VLOOKUP(E1647,E$1:E1646,1,FALSE()))),"OLD",IF(AND(E1647&lt;&gt;"",E1647&lt;&gt;"!!!"),"NEW","")))</f>
        <v/>
      </c>
      <c r="G1647" s="12" t="str">
        <f aca="false">IF(OR(E1647="",E1647="!!!"),"",IF(OR(J1647=0,AND(J1647=1,K1647=1),AND(J1647=1,I1647="SBJ"),AND(J1647=1,I1647=0)),"?IN_FOCUS",IF(J1647&lt;=2,"?ACTIVATED",IF(J1647&lt;&gt;"","?FAMILIAR",IF(F1647="NEW",IF(ISNA(VLOOKUP(E1647,#REF!,1,FALSE())),"?TYPE_IDENTIFIABLE","?REFERENTIAL"),"_")))))</f>
        <v/>
      </c>
      <c r="H1647" s="13" t="str">
        <f aca="false">IF(J1647&lt;&gt;1,"",IF(I1647="SBJ","CB","?"))</f>
        <v/>
      </c>
      <c r="I1647" s="14" t="str">
        <f aca="false">IF(OR(E1647="",E1647="!!!",F1647="NEW"),"",INDEX(B$2:B1646,-1+SUMPRODUCT(MAX(ROW(E$2:E1646)*(E1647=E$2:E1646)))))</f>
        <v/>
      </c>
      <c r="J1647" s="15" t="str">
        <f aca="true">IF(OR(E1647="",E1647="!!!",F1647="NEW"),"",COUNTBLANK(OFFSET(A$1,,,SUMPRODUCT(MAX(ROW(E$2:E1647)*(E1647=E$2:E1647)))))-COUNTBLANK(OFFSET(A$1,,,SUMPRODUCT(MAX(ROW(E$1:E1646)*(E1647=E$1:E1646))))))</f>
        <v/>
      </c>
      <c r="K1647" s="15" t="str">
        <f aca="false">IF(OR(E1647="",E1647="!!!",F1647="NEW"),"",INDEX(J$1:J1646,SUMPRODUCT(MAX(ROW(E$1:E1646)*(E1647=E$1:E1646)))))</f>
        <v/>
      </c>
      <c r="L1647" s="16"/>
    </row>
    <row r="1648" customFormat="false" ht="12.8" hidden="false" customHeight="false" outlineLevel="0" collapsed="false">
      <c r="A1648" s="0" t="s">
        <v>37</v>
      </c>
      <c r="E1648" s="10" t="str">
        <f aca="false">IF(D1648="?OLD","!!!","")</f>
        <v/>
      </c>
      <c r="F1648" s="11" t="str">
        <f aca="false">IF(OR(E1648="",E1648="!!!"),"",IF(NOT(ISNA(VLOOKUP(E1648,E$1:E1647,1,FALSE()))),"OLD",IF(AND(E1648&lt;&gt;"",E1648&lt;&gt;"!!!"),"NEW","")))</f>
        <v/>
      </c>
      <c r="G1648" s="12" t="str">
        <f aca="false">IF(OR(E1648="",E1648="!!!"),"",IF(OR(J1648=0,AND(J1648=1,K1648=1),AND(J1648=1,I1648="SBJ"),AND(J1648=1,I1648=0)),"?IN_FOCUS",IF(J1648&lt;=2,"?ACTIVATED",IF(J1648&lt;&gt;"","?FAMILIAR",IF(F1648="NEW",IF(ISNA(VLOOKUP(E1648,#REF!,1,FALSE())),"?TYPE_IDENTIFIABLE","?REFERENTIAL"),"_")))))</f>
        <v/>
      </c>
      <c r="H1648" s="13" t="str">
        <f aca="false">IF(J1648&lt;&gt;1,"",IF(I1648="SBJ","CB","?"))</f>
        <v/>
      </c>
      <c r="I1648" s="14" t="str">
        <f aca="false">IF(OR(E1648="",E1648="!!!",F1648="NEW"),"",INDEX(B$2:B1647,-1+SUMPRODUCT(MAX(ROW(E$2:E1647)*(E1648=E$2:E1647)))))</f>
        <v/>
      </c>
      <c r="J1648" s="15" t="str">
        <f aca="true">IF(OR(E1648="",E1648="!!!",F1648="NEW"),"",COUNTBLANK(OFFSET(A$1,,,SUMPRODUCT(MAX(ROW(E$2:E1648)*(E1648=E$2:E1648)))))-COUNTBLANK(OFFSET(A$1,,,SUMPRODUCT(MAX(ROW(E$1:E1647)*(E1648=E$1:E1647))))))</f>
        <v/>
      </c>
      <c r="K1648" s="15" t="str">
        <f aca="false">IF(OR(E1648="",E1648="!!!",F1648="NEW"),"",INDEX(J$1:J1647,SUMPRODUCT(MAX(ROW(E$1:E1647)*(E1648=E$1:E1647)))))</f>
        <v/>
      </c>
      <c r="L1648" s="16"/>
    </row>
    <row r="1649" customFormat="false" ht="12.8" hidden="false" customHeight="false" outlineLevel="0" collapsed="false">
      <c r="A1649" s="0" t="s">
        <v>44</v>
      </c>
      <c r="E1649" s="10" t="str">
        <f aca="false">IF(D1649="?OLD","!!!","")</f>
        <v/>
      </c>
      <c r="F1649" s="11" t="str">
        <f aca="false">IF(OR(E1649="",E1649="!!!"),"",IF(NOT(ISNA(VLOOKUP(E1649,E$1:E1648,1,FALSE()))),"OLD",IF(AND(E1649&lt;&gt;"",E1649&lt;&gt;"!!!"),"NEW","")))</f>
        <v/>
      </c>
      <c r="G1649" s="12" t="str">
        <f aca="false">IF(OR(E1649="",E1649="!!!"),"",IF(OR(J1649=0,AND(J1649=1,K1649=1),AND(J1649=1,I1649="SBJ"),AND(J1649=1,I1649=0)),"?IN_FOCUS",IF(J1649&lt;=2,"?ACTIVATED",IF(J1649&lt;&gt;"","?FAMILIAR",IF(F1649="NEW",IF(ISNA(VLOOKUP(E1649,#REF!,1,FALSE())),"?TYPE_IDENTIFIABLE","?REFERENTIAL"),"_")))))</f>
        <v/>
      </c>
      <c r="H1649" s="13" t="str">
        <f aca="false">IF(J1649&lt;&gt;1,"",IF(I1649="SBJ","CB","?"))</f>
        <v/>
      </c>
      <c r="I1649" s="14" t="str">
        <f aca="false">IF(OR(E1649="",E1649="!!!",F1649="NEW"),"",INDEX(B$2:B1648,-1+SUMPRODUCT(MAX(ROW(E$2:E1648)*(E1649=E$2:E1648)))))</f>
        <v/>
      </c>
      <c r="J1649" s="15" t="str">
        <f aca="true">IF(OR(E1649="",E1649="!!!",F1649="NEW"),"",COUNTBLANK(OFFSET(A$1,,,SUMPRODUCT(MAX(ROW(E$2:E1649)*(E1649=E$2:E1649)))))-COUNTBLANK(OFFSET(A$1,,,SUMPRODUCT(MAX(ROW(E$1:E1648)*(E1649=E$1:E1648))))))</f>
        <v/>
      </c>
      <c r="K1649" s="15" t="str">
        <f aca="false">IF(OR(E1649="",E1649="!!!",F1649="NEW"),"",INDEX(J$1:J1648,SUMPRODUCT(MAX(ROW(E$1:E1648)*(E1649=E$1:E1648)))))</f>
        <v/>
      </c>
      <c r="L1649" s="16"/>
    </row>
    <row r="1650" customFormat="false" ht="12.8" hidden="false" customHeight="false" outlineLevel="0" collapsed="false">
      <c r="A1650" s="0" t="s">
        <v>202</v>
      </c>
      <c r="B1650" s="0" t="s">
        <v>34</v>
      </c>
      <c r="C1650" s="0" t="s">
        <v>48</v>
      </c>
      <c r="D1650" s="0" t="s">
        <v>20</v>
      </c>
      <c r="E1650" s="10" t="s">
        <v>52</v>
      </c>
      <c r="F1650" s="11" t="str">
        <f aca="false">IF(OR(E1650="",E1650="!!!"),"",IF(NOT(ISNA(VLOOKUP(E1650,E$1:E1649,1,FALSE()))),"OLD",IF(AND(E1650&lt;&gt;"",E1650&lt;&gt;"!!!"),"NEW","")))</f>
        <v>OLD</v>
      </c>
      <c r="G1650" s="12" t="s">
        <v>87</v>
      </c>
      <c r="H1650" s="13" t="str">
        <f aca="false">IF(J1650&lt;&gt;1,"",IF(I1650="SBJ","CB","?"))</f>
        <v>CB</v>
      </c>
      <c r="I1650" s="14" t="str">
        <f aca="false">IF(OR(E1650="",E1650="!!!",F1650="NEW"),"",INDEX(B$2:B1649,-1+SUMPRODUCT(MAX(ROW(E$2:E1649)*(E1650=E$2:E1649)))))</f>
        <v>SBJ</v>
      </c>
      <c r="J1650" s="15" t="n">
        <f aca="true">IF(OR(E1650="",E1650="!!!",F1650="NEW"),"",COUNTBLANK(OFFSET(A$1,,,SUMPRODUCT(MAX(ROW(E$2:E1650)*(E1650=E$2:E1650)))))-COUNTBLANK(OFFSET(A$1,,,SUMPRODUCT(MAX(ROW(E$1:E1649)*(E1650=E$1:E1649))))))</f>
        <v>1</v>
      </c>
      <c r="K1650" s="15" t="n">
        <f aca="false">IF(OR(E1650="",E1650="!!!",F1650="NEW"),"",INDEX(J$1:J1649,SUMPRODUCT(MAX(ROW(E$1:E1649)*(E1650=E$1:E1649)))))</f>
        <v>1</v>
      </c>
      <c r="L1650" s="16"/>
    </row>
    <row r="1651" customFormat="false" ht="12.8" hidden="false" customHeight="false" outlineLevel="0" collapsed="false">
      <c r="A1651" s="0" t="s">
        <v>178</v>
      </c>
      <c r="E1651" s="10" t="str">
        <f aca="false">IF(D1651="?OLD","!!!","")</f>
        <v/>
      </c>
      <c r="F1651" s="11" t="str">
        <f aca="false">IF(OR(E1651="",E1651="!!!"),"",IF(NOT(ISNA(VLOOKUP(E1651,E$1:E1650,1,FALSE()))),"OLD",IF(AND(E1651&lt;&gt;"",E1651&lt;&gt;"!!!"),"NEW","")))</f>
        <v/>
      </c>
      <c r="G1651" s="12" t="str">
        <f aca="false">IF(OR(E1651="",E1651="!!!"),"",IF(OR(J1651=0,AND(J1651=1,K1651=1),AND(J1651=1,I1651="SBJ"),AND(J1651=1,I1651=0)),"?IN_FOCUS",IF(J1651&lt;=2,"?ACTIVATED",IF(J1651&lt;&gt;"","?FAMILIAR",IF(F1651="NEW",IF(ISNA(VLOOKUP(E1651,#REF!,1,FALSE())),"?TYPE_IDENTIFIABLE","?REFERENTIAL"),"_")))))</f>
        <v/>
      </c>
      <c r="H1651" s="13" t="str">
        <f aca="false">IF(J1651&lt;&gt;1,"",IF(I1651="SBJ","CB","?"))</f>
        <v/>
      </c>
      <c r="I1651" s="14" t="str">
        <f aca="false">IF(OR(E1651="",E1651="!!!",F1651="NEW"),"",INDEX(B$2:B1650,-1+SUMPRODUCT(MAX(ROW(E$2:E1650)*(E1651=E$2:E1650)))))</f>
        <v/>
      </c>
      <c r="J1651" s="15" t="str">
        <f aca="true">IF(OR(E1651="",E1651="!!!",F1651="NEW"),"",COUNTBLANK(OFFSET(A$1,,,SUMPRODUCT(MAX(ROW(E$2:E1651)*(E1651=E$2:E1651)))))-COUNTBLANK(OFFSET(A$1,,,SUMPRODUCT(MAX(ROW(E$1:E1650)*(E1651=E$1:E1650))))))</f>
        <v/>
      </c>
      <c r="K1651" s="15" t="str">
        <f aca="false">IF(OR(E1651="",E1651="!!!",F1651="NEW"),"",INDEX(J$1:J1650,SUMPRODUCT(MAX(ROW(E$1:E1650)*(E1651=E$1:E1650)))))</f>
        <v/>
      </c>
      <c r="L1651" s="16"/>
    </row>
    <row r="1652" customFormat="false" ht="12.8" hidden="false" customHeight="false" outlineLevel="0" collapsed="false">
      <c r="A1652" s="0" t="s">
        <v>62</v>
      </c>
      <c r="E1652" s="10" t="str">
        <f aca="false">IF(D1652="?OLD","!!!","")</f>
        <v/>
      </c>
      <c r="F1652" s="11" t="str">
        <f aca="false">IF(OR(E1652="",E1652="!!!"),"",IF(NOT(ISNA(VLOOKUP(E1652,E$1:E1651,1,FALSE()))),"OLD",IF(AND(E1652&lt;&gt;"",E1652&lt;&gt;"!!!"),"NEW","")))</f>
        <v/>
      </c>
      <c r="G1652" s="12" t="str">
        <f aca="false">IF(OR(E1652="",E1652="!!!"),"",IF(OR(J1652=0,AND(J1652=1,K1652=1),AND(J1652=1,I1652="SBJ"),AND(J1652=1,I1652=0)),"?IN_FOCUS",IF(J1652&lt;=2,"?ACTIVATED",IF(J1652&lt;&gt;"","?FAMILIAR",IF(F1652="NEW",IF(ISNA(VLOOKUP(E1652,#REF!,1,FALSE())),"?TYPE_IDENTIFIABLE","?REFERENTIAL"),"_")))))</f>
        <v/>
      </c>
      <c r="H1652" s="13" t="str">
        <f aca="false">IF(J1652&lt;&gt;1,"",IF(I1652="SBJ","CB","?"))</f>
        <v/>
      </c>
      <c r="I1652" s="14" t="str">
        <f aca="false">IF(OR(E1652="",E1652="!!!",F1652="NEW"),"",INDEX(B$2:B1651,-1+SUMPRODUCT(MAX(ROW(E$2:E1651)*(E1652=E$2:E1651)))))</f>
        <v/>
      </c>
      <c r="J1652" s="15" t="str">
        <f aca="true">IF(OR(E1652="",E1652="!!!",F1652="NEW"),"",COUNTBLANK(OFFSET(A$1,,,SUMPRODUCT(MAX(ROW(E$2:E1652)*(E1652=E$2:E1652)))))-COUNTBLANK(OFFSET(A$1,,,SUMPRODUCT(MAX(ROW(E$1:E1651)*(E1652=E$1:E1651))))))</f>
        <v/>
      </c>
      <c r="K1652" s="15" t="str">
        <f aca="false">IF(OR(E1652="",E1652="!!!",F1652="NEW"),"",INDEX(J$1:J1651,SUMPRODUCT(MAX(ROW(E$1:E1651)*(E1652=E$1:E1651)))))</f>
        <v/>
      </c>
      <c r="L1652" s="16"/>
    </row>
    <row r="1653" customFormat="false" ht="12.8" hidden="false" customHeight="false" outlineLevel="0" collapsed="false">
      <c r="A1653" s="0" t="s">
        <v>734</v>
      </c>
      <c r="B1653" s="0" t="s">
        <v>85</v>
      </c>
      <c r="C1653" s="0" t="s">
        <v>27</v>
      </c>
      <c r="D1653" s="0" t="s">
        <v>20</v>
      </c>
      <c r="E1653" s="10" t="s">
        <v>774</v>
      </c>
      <c r="F1653" s="11" t="str">
        <f aca="false">IF(OR(E1653="",E1653="!!!"),"",IF(NOT(ISNA(VLOOKUP(E1653,E$1:E1652,1,FALSE()))),"OLD",IF(AND(E1653&lt;&gt;"",E1653&lt;&gt;"!!!"),"NEW","")))</f>
        <v>NEW</v>
      </c>
      <c r="G1653" s="12" t="s">
        <v>131</v>
      </c>
      <c r="H1653" s="13" t="str">
        <f aca="false">IF(J1653&lt;&gt;1,"",IF(I1653="SBJ","CB","?"))</f>
        <v/>
      </c>
      <c r="I1653" s="14" t="str">
        <f aca="false">IF(OR(E1653="",E1653="!!!",F1653="NEW"),"",INDEX(B$2:B1652,-1+SUMPRODUCT(MAX(ROW(E$2:E1652)*(E1653=E$2:E1652)))))</f>
        <v/>
      </c>
      <c r="J1653" s="15" t="str">
        <f aca="true">IF(OR(E1653="",E1653="!!!",F1653="NEW"),"",COUNTBLANK(OFFSET(A$1,,,SUMPRODUCT(MAX(ROW(E$2:E1653)*(E1653=E$2:E1653)))))-COUNTBLANK(OFFSET(A$1,,,SUMPRODUCT(MAX(ROW(E$1:E1652)*(E1653=E$1:E1652))))))</f>
        <v/>
      </c>
      <c r="K1653" s="15" t="str">
        <f aca="false">IF(OR(E1653="",E1653="!!!",F1653="NEW"),"",INDEX(J$1:J1652,SUMPRODUCT(MAX(ROW(E$1:E1652)*(E1653=E$1:E1652)))))</f>
        <v/>
      </c>
      <c r="L1653" s="16"/>
    </row>
    <row r="1654" customFormat="false" ht="12.8" hidden="false" customHeight="false" outlineLevel="0" collapsed="false">
      <c r="A1654" s="0" t="s">
        <v>76</v>
      </c>
      <c r="E1654" s="10" t="str">
        <f aca="false">IF(D1654="?OLD","!!!","")</f>
        <v/>
      </c>
      <c r="F1654" s="11" t="str">
        <f aca="false">IF(OR(E1654="",E1654="!!!"),"",IF(NOT(ISNA(VLOOKUP(E1654,E$1:E1653,1,FALSE()))),"OLD",IF(AND(E1654&lt;&gt;"",E1654&lt;&gt;"!!!"),"NEW","")))</f>
        <v/>
      </c>
      <c r="G1654" s="12" t="str">
        <f aca="false">IF(OR(E1654="",E1654="!!!"),"",IF(OR(J1654=0,AND(J1654=1,K1654=1),AND(J1654=1,I1654="SBJ"),AND(J1654=1,I1654=0)),"?IN_FOCUS",IF(J1654&lt;=2,"?ACTIVATED",IF(J1654&lt;&gt;"","?FAMILIAR",IF(F1654="NEW",IF(ISNA(VLOOKUP(E1654,#REF!,1,FALSE())),"?TYPE_IDENTIFIABLE","?REFERENTIAL"),"_")))))</f>
        <v/>
      </c>
      <c r="H1654" s="13" t="str">
        <f aca="false">IF(J1654&lt;&gt;1,"",IF(I1654="SBJ","CB","?"))</f>
        <v/>
      </c>
      <c r="I1654" s="14" t="str">
        <f aca="false">IF(OR(E1654="",E1654="!!!",F1654="NEW"),"",INDEX(B$2:B1653,-1+SUMPRODUCT(MAX(ROW(E$2:E1653)*(E1654=E$2:E1653)))))</f>
        <v/>
      </c>
      <c r="J1654" s="15" t="str">
        <f aca="true">IF(OR(E1654="",E1654="!!!",F1654="NEW"),"",COUNTBLANK(OFFSET(A$1,,,SUMPRODUCT(MAX(ROW(E$2:E1654)*(E1654=E$2:E1654)))))-COUNTBLANK(OFFSET(A$1,,,SUMPRODUCT(MAX(ROW(E$1:E1653)*(E1654=E$1:E1653))))))</f>
        <v/>
      </c>
      <c r="K1654" s="15" t="str">
        <f aca="false">IF(OR(E1654="",E1654="!!!",F1654="NEW"),"",INDEX(J$1:J1653,SUMPRODUCT(MAX(ROW(E$1:E1653)*(E1654=E$1:E1653)))))</f>
        <v/>
      </c>
      <c r="L1654" s="16"/>
    </row>
    <row r="1655" customFormat="false" ht="12.8" hidden="false" customHeight="false" outlineLevel="0" collapsed="false">
      <c r="E1655" s="10" t="str">
        <f aca="false">IF(D1655="?OLD","!!!","")</f>
        <v/>
      </c>
      <c r="F1655" s="11" t="str">
        <f aca="false">IF(OR(E1655="",E1655="!!!"),"",IF(NOT(ISNA(VLOOKUP(E1655,E$1:E1654,1,FALSE()))),"OLD",IF(AND(E1655&lt;&gt;"",E1655&lt;&gt;"!!!"),"NEW","")))</f>
        <v/>
      </c>
      <c r="G1655" s="12" t="str">
        <f aca="false">IF(OR(E1655="",E1655="!!!"),"",IF(OR(J1655=0,AND(J1655=1,K1655=1),AND(J1655=1,I1655="SBJ"),AND(J1655=1,I1655=0)),"?IN_FOCUS",IF(J1655&lt;=2,"?ACTIVATED",IF(J1655&lt;&gt;"","?FAMILIAR",IF(F1655="NEW",IF(ISNA(VLOOKUP(E1655,#REF!,1,FALSE())),"?TYPE_IDENTIFIABLE","?REFERENTIAL"),"_")))))</f>
        <v/>
      </c>
      <c r="H1655" s="13" t="str">
        <f aca="false">IF(J1655&lt;&gt;1,"",IF(I1655="SBJ","CB","?"))</f>
        <v/>
      </c>
      <c r="I1655" s="14" t="str">
        <f aca="false">IF(OR(E1655="",E1655="!!!",F1655="NEW"),"",INDEX(B$2:B1654,-1+SUMPRODUCT(MAX(ROW(E$2:E1654)*(E1655=E$2:E1654)))))</f>
        <v/>
      </c>
      <c r="J1655" s="15" t="str">
        <f aca="true">IF(OR(E1655="",E1655="!!!",F1655="NEW"),"",COUNTBLANK(OFFSET(A$1,,,SUMPRODUCT(MAX(ROW(E$2:E1655)*(E1655=E$2:E1655)))))-COUNTBLANK(OFFSET(A$1,,,SUMPRODUCT(MAX(ROW(E$1:E1654)*(E1655=E$1:E1654))))))</f>
        <v/>
      </c>
      <c r="K1655" s="15" t="str">
        <f aca="false">IF(OR(E1655="",E1655="!!!",F1655="NEW"),"",INDEX(J$1:J1654,SUMPRODUCT(MAX(ROW(E$1:E1654)*(E1655=E$1:E1654)))))</f>
        <v/>
      </c>
      <c r="L1655" s="16"/>
    </row>
    <row r="1656" customFormat="false" ht="12.8" hidden="false" customHeight="false" outlineLevel="0" collapsed="false">
      <c r="A1656" s="0" t="s">
        <v>256</v>
      </c>
      <c r="E1656" s="10" t="str">
        <f aca="false">IF(D1656="?OLD","!!!","")</f>
        <v/>
      </c>
      <c r="F1656" s="11" t="str">
        <f aca="false">IF(OR(E1656="",E1656="!!!"),"",IF(NOT(ISNA(VLOOKUP(E1656,E$1:E1655,1,FALSE()))),"OLD",IF(AND(E1656&lt;&gt;"",E1656&lt;&gt;"!!!"),"NEW","")))</f>
        <v/>
      </c>
      <c r="G1656" s="12" t="str">
        <f aca="false">IF(OR(E1656="",E1656="!!!"),"",IF(OR(J1656=0,AND(J1656=1,K1656=1),AND(J1656=1,I1656="SBJ"),AND(J1656=1,I1656=0)),"?IN_FOCUS",IF(J1656&lt;=2,"?ACTIVATED",IF(J1656&lt;&gt;"","?FAMILIAR",IF(F1656="NEW",IF(ISNA(VLOOKUP(E1656,#REF!,1,FALSE())),"?TYPE_IDENTIFIABLE","?REFERENTIAL"),"_")))))</f>
        <v/>
      </c>
      <c r="H1656" s="13" t="str">
        <f aca="false">IF(J1656&lt;&gt;1,"",IF(I1656="SBJ","CB","?"))</f>
        <v/>
      </c>
      <c r="I1656" s="14" t="str">
        <f aca="false">IF(OR(E1656="",E1656="!!!",F1656="NEW"),"",INDEX(B$2:B1655,-1+SUMPRODUCT(MAX(ROW(E$2:E1655)*(E1656=E$2:E1655)))))</f>
        <v/>
      </c>
      <c r="J1656" s="15" t="str">
        <f aca="true">IF(OR(E1656="",E1656="!!!",F1656="NEW"),"",COUNTBLANK(OFFSET(A$1,,,SUMPRODUCT(MAX(ROW(E$2:E1656)*(E1656=E$2:E1656)))))-COUNTBLANK(OFFSET(A$1,,,SUMPRODUCT(MAX(ROW(E$1:E1655)*(E1656=E$1:E1655))))))</f>
        <v/>
      </c>
      <c r="K1656" s="15" t="str">
        <f aca="false">IF(OR(E1656="",E1656="!!!",F1656="NEW"),"",INDEX(J$1:J1655,SUMPRODUCT(MAX(ROW(E$1:E1655)*(E1656=E$1:E1655)))))</f>
        <v/>
      </c>
      <c r="L1656" s="16"/>
    </row>
    <row r="1657" customFormat="false" ht="12.8" hidden="false" customHeight="false" outlineLevel="0" collapsed="false">
      <c r="A1657" s="0" t="s">
        <v>257</v>
      </c>
      <c r="E1657" s="10" t="str">
        <f aca="false">IF(D1657="?OLD","!!!","")</f>
        <v/>
      </c>
      <c r="F1657" s="11" t="str">
        <f aca="false">IF(OR(E1657="",E1657="!!!"),"",IF(NOT(ISNA(VLOOKUP(E1657,E$1:E1656,1,FALSE()))),"OLD",IF(AND(E1657&lt;&gt;"",E1657&lt;&gt;"!!!"),"NEW","")))</f>
        <v/>
      </c>
      <c r="G1657" s="12" t="str">
        <f aca="false">IF(OR(E1657="",E1657="!!!"),"",IF(OR(J1657=0,AND(J1657=1,K1657=1),AND(J1657=1,I1657="SBJ"),AND(J1657=1,I1657=0)),"?IN_FOCUS",IF(J1657&lt;=2,"?ACTIVATED",IF(J1657&lt;&gt;"","?FAMILIAR",IF(F1657="NEW",IF(ISNA(VLOOKUP(E1657,#REF!,1,FALSE())),"?TYPE_IDENTIFIABLE","?REFERENTIAL"),"_")))))</f>
        <v/>
      </c>
      <c r="H1657" s="13" t="str">
        <f aca="false">IF(J1657&lt;&gt;1,"",IF(I1657="SBJ","CB","?"))</f>
        <v/>
      </c>
      <c r="I1657" s="14" t="str">
        <f aca="false">IF(OR(E1657="",E1657="!!!",F1657="NEW"),"",INDEX(B$2:B1656,-1+SUMPRODUCT(MAX(ROW(E$2:E1656)*(E1657=E$2:E1656)))))</f>
        <v/>
      </c>
      <c r="J1657" s="15" t="str">
        <f aca="true">IF(OR(E1657="",E1657="!!!",F1657="NEW"),"",COUNTBLANK(OFFSET(A$1,,,SUMPRODUCT(MAX(ROW(E$2:E1657)*(E1657=E$2:E1657)))))-COUNTBLANK(OFFSET(A$1,,,SUMPRODUCT(MAX(ROW(E$1:E1656)*(E1657=E$1:E1656))))))</f>
        <v/>
      </c>
      <c r="K1657" s="15" t="str">
        <f aca="false">IF(OR(E1657="",E1657="!!!",F1657="NEW"),"",INDEX(J$1:J1656,SUMPRODUCT(MAX(ROW(E$1:E1656)*(E1657=E$1:E1656)))))</f>
        <v/>
      </c>
      <c r="L1657" s="16"/>
    </row>
    <row r="1658" customFormat="false" ht="12.8" hidden="false" customHeight="false" outlineLevel="0" collapsed="false">
      <c r="A1658" s="0" t="s">
        <v>258</v>
      </c>
      <c r="B1658" s="0" t="s">
        <v>14</v>
      </c>
      <c r="C1658" s="0" t="s">
        <v>19</v>
      </c>
      <c r="D1658" s="0" t="s">
        <v>20</v>
      </c>
      <c r="E1658" s="10"/>
      <c r="F1658" s="11" t="str">
        <f aca="false">IF(OR(E1658="",E1658="!!!"),"",IF(NOT(ISNA(VLOOKUP(E1658,E$1:E1657,1,FALSE()))),"OLD",IF(AND(E1658&lt;&gt;"",E1658&lt;&gt;"!!!"),"NEW","")))</f>
        <v/>
      </c>
      <c r="G1658" s="12" t="str">
        <f aca="false">IF(OR(E1658="",E1658="!!!"),"",IF(OR(J1658=0,AND(J1658=1,K1658=1),AND(J1658=1,I1658="SBJ"),AND(J1658=1,I1658=0)),"?IN_FOCUS",IF(J1658&lt;=2,"?ACTIVATED",IF(J1658&lt;&gt;"","?FAMILIAR",IF(F1658="NEW",IF(ISNA(VLOOKUP(E1658,#REF!,1,FALSE())),"?TYPE_IDENTIFIABLE","?REFERENTIAL"),"_")))))</f>
        <v/>
      </c>
      <c r="H1658" s="13" t="str">
        <f aca="false">IF(J1658&lt;&gt;1,"",IF(I1658="SBJ","CB","?"))</f>
        <v/>
      </c>
      <c r="I1658" s="14" t="str">
        <f aca="false">IF(OR(E1658="",E1658="!!!",F1658="NEW"),"",INDEX(B$2:B1657,-1+SUMPRODUCT(MAX(ROW(E$2:E1657)*(E1658=E$2:E1657)))))</f>
        <v/>
      </c>
      <c r="J1658" s="15" t="str">
        <f aca="true">IF(OR(E1658="",E1658="!!!",F1658="NEW"),"",COUNTBLANK(OFFSET(A$1,,,SUMPRODUCT(MAX(ROW(E$2:E1658)*(E1658=E$2:E1658)))))-COUNTBLANK(OFFSET(A$1,,,SUMPRODUCT(MAX(ROW(E$1:E1657)*(E1658=E$1:E1657))))))</f>
        <v/>
      </c>
      <c r="K1658" s="15" t="str">
        <f aca="false">IF(OR(E1658="",E1658="!!!",F1658="NEW"),"",INDEX(J$1:J1657,SUMPRODUCT(MAX(ROW(E$1:E1657)*(E1658=E$1:E1657)))))</f>
        <v/>
      </c>
      <c r="L1658" s="16" t="s">
        <v>775</v>
      </c>
    </row>
    <row r="1659" customFormat="false" ht="12.8" hidden="false" customHeight="false" outlineLevel="0" collapsed="false">
      <c r="A1659" s="0" t="s">
        <v>260</v>
      </c>
      <c r="E1659" s="10" t="str">
        <f aca="false">IF(D1659="?OLD","!!!","")</f>
        <v/>
      </c>
      <c r="F1659" s="11" t="str">
        <f aca="false">IF(OR(E1659="",E1659="!!!"),"",IF(NOT(ISNA(VLOOKUP(E1659,E$1:E1658,1,FALSE()))),"OLD",IF(AND(E1659&lt;&gt;"",E1659&lt;&gt;"!!!"),"NEW","")))</f>
        <v/>
      </c>
      <c r="G1659" s="12" t="str">
        <f aca="false">IF(OR(E1659="",E1659="!!!"),"",IF(OR(J1659=0,AND(J1659=1,K1659=1),AND(J1659=1,I1659="SBJ"),AND(J1659=1,I1659=0)),"?IN_FOCUS",IF(J1659&lt;=2,"?ACTIVATED",IF(J1659&lt;&gt;"","?FAMILIAR",IF(F1659="NEW",IF(ISNA(VLOOKUP(E1659,#REF!,1,FALSE())),"?TYPE_IDENTIFIABLE","?REFERENTIAL"),"_")))))</f>
        <v/>
      </c>
      <c r="H1659" s="13" t="str">
        <f aca="false">IF(J1659&lt;&gt;1,"",IF(I1659="SBJ","CB","?"))</f>
        <v/>
      </c>
      <c r="I1659" s="14" t="str">
        <f aca="false">IF(OR(E1659="",E1659="!!!",F1659="NEW"),"",INDEX(B$2:B1658,-1+SUMPRODUCT(MAX(ROW(E$2:E1658)*(E1659=E$2:E1658)))))</f>
        <v/>
      </c>
      <c r="J1659" s="15" t="str">
        <f aca="true">IF(OR(E1659="",E1659="!!!",F1659="NEW"),"",COUNTBLANK(OFFSET(A$1,,,SUMPRODUCT(MAX(ROW(E$2:E1659)*(E1659=E$2:E1659)))))-COUNTBLANK(OFFSET(A$1,,,SUMPRODUCT(MAX(ROW(E$1:E1658)*(E1659=E$1:E1658))))))</f>
        <v/>
      </c>
      <c r="K1659" s="15" t="str">
        <f aca="false">IF(OR(E1659="",E1659="!!!",F1659="NEW"),"",INDEX(J$1:J1658,SUMPRODUCT(MAX(ROW(E$1:E1658)*(E1659=E$1:E1658)))))</f>
        <v/>
      </c>
      <c r="L1659" s="16"/>
    </row>
    <row r="1660" customFormat="false" ht="12.8" hidden="false" customHeight="false" outlineLevel="0" collapsed="false">
      <c r="E1660" s="10" t="str">
        <f aca="false">IF(D1660="?OLD","!!!","")</f>
        <v/>
      </c>
      <c r="F1660" s="11" t="str">
        <f aca="false">IF(OR(E1660="",E1660="!!!"),"",IF(NOT(ISNA(VLOOKUP(E1660,E$1:E1659,1,FALSE()))),"OLD",IF(AND(E1660&lt;&gt;"",E1660&lt;&gt;"!!!"),"NEW","")))</f>
        <v/>
      </c>
      <c r="G1660" s="12" t="str">
        <f aca="false">IF(OR(E1660="",E1660="!!!"),"",IF(OR(J1660=0,AND(J1660=1,K1660=1),AND(J1660=1,I1660="SBJ"),AND(J1660=1,I1660=0)),"?IN_FOCUS",IF(J1660&lt;=2,"?ACTIVATED",IF(J1660&lt;&gt;"","?FAMILIAR",IF(F1660="NEW",IF(ISNA(VLOOKUP(E1660,#REF!,1,FALSE())),"?TYPE_IDENTIFIABLE","?REFERENTIAL"),"_")))))</f>
        <v/>
      </c>
      <c r="H1660" s="13" t="str">
        <f aca="false">IF(J1660&lt;&gt;1,"",IF(I1660="SBJ","CB","?"))</f>
        <v/>
      </c>
      <c r="I1660" s="14" t="str">
        <f aca="false">IF(OR(E1660="",E1660="!!!",F1660="NEW"),"",INDEX(B$2:B1659,-1+SUMPRODUCT(MAX(ROW(E$2:E1659)*(E1660=E$2:E1659)))))</f>
        <v/>
      </c>
      <c r="J1660" s="15" t="str">
        <f aca="true">IF(OR(E1660="",E1660="!!!",F1660="NEW"),"",COUNTBLANK(OFFSET(A$1,,,SUMPRODUCT(MAX(ROW(E$2:E1660)*(E1660=E$2:E1660)))))-COUNTBLANK(OFFSET(A$1,,,SUMPRODUCT(MAX(ROW(E$1:E1659)*(E1660=E$1:E1659))))))</f>
        <v/>
      </c>
      <c r="K1660" s="15" t="str">
        <f aca="false">IF(OR(E1660="",E1660="!!!",F1660="NEW"),"",INDEX(J$1:J1659,SUMPRODUCT(MAX(ROW(E$1:E1659)*(E1660=E$1:E1659)))))</f>
        <v/>
      </c>
      <c r="L1660" s="16"/>
    </row>
    <row r="1661" customFormat="false" ht="12.8" hidden="false" customHeight="false" outlineLevel="0" collapsed="false">
      <c r="A1661" s="0" t="s">
        <v>776</v>
      </c>
      <c r="E1661" s="10" t="str">
        <f aca="false">IF(D1661="?OLD","!!!","")</f>
        <v/>
      </c>
      <c r="F1661" s="11" t="str">
        <f aca="false">IF(OR(E1661="",E1661="!!!"),"",IF(NOT(ISNA(VLOOKUP(E1661,E$1:E1660,1,FALSE()))),"OLD",IF(AND(E1661&lt;&gt;"",E1661&lt;&gt;"!!!"),"NEW","")))</f>
        <v/>
      </c>
      <c r="G1661" s="12" t="str">
        <f aca="false">IF(OR(E1661="",E1661="!!!"),"",IF(OR(J1661=0,AND(J1661=1,K1661=1),AND(J1661=1,I1661="SBJ"),AND(J1661=1,I1661=0)),"?IN_FOCUS",IF(J1661&lt;=2,"?ACTIVATED",IF(J1661&lt;&gt;"","?FAMILIAR",IF(F1661="NEW",IF(ISNA(VLOOKUP(E1661,#REF!,1,FALSE())),"?TYPE_IDENTIFIABLE","?REFERENTIAL"),"_")))))</f>
        <v/>
      </c>
      <c r="H1661" s="13" t="str">
        <f aca="false">IF(J1661&lt;&gt;1,"",IF(I1661="SBJ","CB","?"))</f>
        <v/>
      </c>
      <c r="I1661" s="14" t="str">
        <f aca="false">IF(OR(E1661="",E1661="!!!",F1661="NEW"),"",INDEX(B$2:B1660,-1+SUMPRODUCT(MAX(ROW(E$2:E1660)*(E1661=E$2:E1660)))))</f>
        <v/>
      </c>
      <c r="J1661" s="15" t="str">
        <f aca="true">IF(OR(E1661="",E1661="!!!",F1661="NEW"),"",COUNTBLANK(OFFSET(A$1,,,SUMPRODUCT(MAX(ROW(E$2:E1661)*(E1661=E$2:E1661)))))-COUNTBLANK(OFFSET(A$1,,,SUMPRODUCT(MAX(ROW(E$1:E1660)*(E1661=E$1:E1660))))))</f>
        <v/>
      </c>
      <c r="K1661" s="15" t="str">
        <f aca="false">IF(OR(E1661="",E1661="!!!",F1661="NEW"),"",INDEX(J$1:J1660,SUMPRODUCT(MAX(ROW(E$1:E1660)*(E1661=E$1:E1660)))))</f>
        <v/>
      </c>
      <c r="L1661" s="16"/>
    </row>
    <row r="1662" customFormat="false" ht="12.8" hidden="false" customHeight="false" outlineLevel="0" collapsed="false">
      <c r="A1662" s="0" t="s">
        <v>777</v>
      </c>
      <c r="E1662" s="10" t="str">
        <f aca="false">IF(D1662="?OLD","!!!","")</f>
        <v/>
      </c>
      <c r="F1662" s="11" t="str">
        <f aca="false">IF(OR(E1662="",E1662="!!!"),"",IF(NOT(ISNA(VLOOKUP(E1662,E$1:E1661,1,FALSE()))),"OLD",IF(AND(E1662&lt;&gt;"",E1662&lt;&gt;"!!!"),"NEW","")))</f>
        <v/>
      </c>
      <c r="G1662" s="12" t="str">
        <f aca="false">IF(OR(E1662="",E1662="!!!"),"",IF(OR(J1662=0,AND(J1662=1,K1662=1),AND(J1662=1,I1662="SBJ"),AND(J1662=1,I1662=0)),"?IN_FOCUS",IF(J1662&lt;=2,"?ACTIVATED",IF(J1662&lt;&gt;"","?FAMILIAR",IF(F1662="NEW",IF(ISNA(VLOOKUP(E1662,#REF!,1,FALSE())),"?TYPE_IDENTIFIABLE","?REFERENTIAL"),"_")))))</f>
        <v/>
      </c>
      <c r="H1662" s="13" t="str">
        <f aca="false">IF(J1662&lt;&gt;1,"",IF(I1662="SBJ","CB","?"))</f>
        <v/>
      </c>
      <c r="I1662" s="14" t="str">
        <f aca="false">IF(OR(E1662="",E1662="!!!",F1662="NEW"),"",INDEX(B$2:B1661,-1+SUMPRODUCT(MAX(ROW(E$2:E1661)*(E1662=E$2:E1661)))))</f>
        <v/>
      </c>
      <c r="J1662" s="15" t="str">
        <f aca="true">IF(OR(E1662="",E1662="!!!",F1662="NEW"),"",COUNTBLANK(OFFSET(A$1,,,SUMPRODUCT(MAX(ROW(E$2:E1662)*(E1662=E$2:E1662)))))-COUNTBLANK(OFFSET(A$1,,,SUMPRODUCT(MAX(ROW(E$1:E1661)*(E1662=E$1:E1661))))))</f>
        <v/>
      </c>
      <c r="K1662" s="15" t="str">
        <f aca="false">IF(OR(E1662="",E1662="!!!",F1662="NEW"),"",INDEX(J$1:J1661,SUMPRODUCT(MAX(ROW(E$1:E1661)*(E1662=E$1:E1661)))))</f>
        <v/>
      </c>
      <c r="L1662" s="16"/>
    </row>
    <row r="1663" customFormat="false" ht="12.8" hidden="false" customHeight="false" outlineLevel="0" collapsed="false">
      <c r="A1663" s="0" t="s">
        <v>704</v>
      </c>
      <c r="B1663" s="0" t="s">
        <v>14</v>
      </c>
      <c r="C1663" s="0" t="s">
        <v>246</v>
      </c>
      <c r="D1663" s="0" t="s">
        <v>20</v>
      </c>
      <c r="E1663" s="10"/>
      <c r="F1663" s="11" t="s">
        <v>247</v>
      </c>
      <c r="G1663" s="12" t="str">
        <f aca="false">IF(OR(E1663="",E1663="!!!"),"",IF(OR(J1663=0,AND(J1663=1,K1663=1),AND(J1663=1,I1663="SBJ"),AND(J1663=1,I1663=0)),"?IN_FOCUS",IF(J1663&lt;=2,"?ACTIVATED",IF(J1663&lt;&gt;"","?FAMILIAR",IF(F1663="NEW",IF(ISNA(VLOOKUP(E1663,#REF!,1,FALSE())),"?TYPE_IDENTIFIABLE","?REFERENTIAL"),"_")))))</f>
        <v/>
      </c>
      <c r="H1663" s="13" t="str">
        <f aca="false">IF(J1663&lt;&gt;1,"",IF(I1663="SBJ","CB","?"))</f>
        <v/>
      </c>
      <c r="I1663" s="14" t="str">
        <f aca="false">IF(OR(E1663="",E1663="!!!",F1663="NEW"),"",INDEX(B$2:B1662,-1+SUMPRODUCT(MAX(ROW(E$2:E1662)*(E1663=E$2:E1662)))))</f>
        <v/>
      </c>
      <c r="J1663" s="15" t="str">
        <f aca="true">IF(OR(E1663="",E1663="!!!",F1663="NEW"),"",COUNTBLANK(OFFSET(A$1,,,SUMPRODUCT(MAX(ROW(E$2:E1663)*(E1663=E$2:E1663)))))-COUNTBLANK(OFFSET(A$1,,,SUMPRODUCT(MAX(ROW(E$1:E1662)*(E1663=E$1:E1662))))))</f>
        <v/>
      </c>
      <c r="K1663" s="15" t="str">
        <f aca="false">IF(OR(E1663="",E1663="!!!",F1663="NEW"),"",INDEX(J$1:J1662,SUMPRODUCT(MAX(ROW(E$1:E1662)*(E1663=E$1:E1662)))))</f>
        <v/>
      </c>
      <c r="L1663" s="16"/>
    </row>
    <row r="1664" customFormat="false" ht="12.8" hidden="false" customHeight="false" outlineLevel="0" collapsed="false">
      <c r="A1664" s="0" t="s">
        <v>61</v>
      </c>
      <c r="E1664" s="10" t="str">
        <f aca="false">IF(D1664="?OLD","!!!","")</f>
        <v/>
      </c>
      <c r="F1664" s="11" t="str">
        <f aca="false">IF(OR(E1664="",E1664="!!!"),"",IF(NOT(ISNA(VLOOKUP(E1664,E$1:E1663,1,FALSE()))),"OLD",IF(AND(E1664&lt;&gt;"",E1664&lt;&gt;"!!!"),"NEW","")))</f>
        <v/>
      </c>
      <c r="G1664" s="12" t="str">
        <f aca="false">IF(OR(E1664="",E1664="!!!"),"",IF(OR(J1664=0,AND(J1664=1,K1664=1),AND(J1664=1,I1664="SBJ"),AND(J1664=1,I1664=0)),"?IN_FOCUS",IF(J1664&lt;=2,"?ACTIVATED",IF(J1664&lt;&gt;"","?FAMILIAR",IF(F1664="NEW",IF(ISNA(VLOOKUP(E1664,#REF!,1,FALSE())),"?TYPE_IDENTIFIABLE","?REFERENTIAL"),"_")))))</f>
        <v/>
      </c>
      <c r="H1664" s="13" t="str">
        <f aca="false">IF(J1664&lt;&gt;1,"",IF(I1664="SBJ","CB","?"))</f>
        <v/>
      </c>
      <c r="I1664" s="14" t="str">
        <f aca="false">IF(OR(E1664="",E1664="!!!",F1664="NEW"),"",INDEX(B$2:B1663,-1+SUMPRODUCT(MAX(ROW(E$2:E1663)*(E1664=E$2:E1663)))))</f>
        <v/>
      </c>
      <c r="J1664" s="15" t="str">
        <f aca="true">IF(OR(E1664="",E1664="!!!",F1664="NEW"),"",COUNTBLANK(OFFSET(A$1,,,SUMPRODUCT(MAX(ROW(E$2:E1664)*(E1664=E$2:E1664)))))-COUNTBLANK(OFFSET(A$1,,,SUMPRODUCT(MAX(ROW(E$1:E1663)*(E1664=E$1:E1663))))))</f>
        <v/>
      </c>
      <c r="K1664" s="15" t="str">
        <f aca="false">IF(OR(E1664="",E1664="!!!",F1664="NEW"),"",INDEX(J$1:J1663,SUMPRODUCT(MAX(ROW(E$1:E1663)*(E1664=E$1:E1663)))))</f>
        <v/>
      </c>
      <c r="L1664" s="16"/>
    </row>
    <row r="1665" customFormat="false" ht="12.8" hidden="false" customHeight="false" outlineLevel="0" collapsed="false">
      <c r="A1665" s="0" t="s">
        <v>72</v>
      </c>
      <c r="B1665" s="0" t="s">
        <v>14</v>
      </c>
      <c r="C1665" s="0" t="s">
        <v>48</v>
      </c>
      <c r="D1665" s="0" t="s">
        <v>20</v>
      </c>
      <c r="E1665" s="10" t="s">
        <v>774</v>
      </c>
      <c r="F1665" s="11" t="str">
        <f aca="false">IF(OR(E1665="",E1665="!!!"),"",IF(NOT(ISNA(VLOOKUP(E1665,E$1:E1664,1,FALSE()))),"OLD",IF(AND(E1665&lt;&gt;"",E1665&lt;&gt;"!!!"),"NEW","")))</f>
        <v>OLD</v>
      </c>
      <c r="G1665" s="12" t="s">
        <v>80</v>
      </c>
      <c r="H1665" s="13" t="s">
        <v>7</v>
      </c>
      <c r="I1665" s="14" t="str">
        <f aca="false">IF(OR(E1665="",E1665="!!!",F1665="NEW"),"",INDEX(B$2:B1664,-1+SUMPRODUCT(MAX(ROW(E$2:E1664)*(E1665=E$2:E1664)))))</f>
        <v>OBJ</v>
      </c>
      <c r="J1665" s="15" t="n">
        <f aca="true">IF(OR(E1665="",E1665="!!!",F1665="NEW"),"",COUNTBLANK(OFFSET(A$1,,,SUMPRODUCT(MAX(ROW(E$2:E1665)*(E1665=E$2:E1665)))))-COUNTBLANK(OFFSET(A$1,,,SUMPRODUCT(MAX(ROW(E$1:E1664)*(E1665=E$1:E1664))))))</f>
        <v>2</v>
      </c>
      <c r="K1665" s="15" t="str">
        <f aca="false">IF(OR(E1665="",E1665="!!!",F1665="NEW"),"",INDEX(J$1:J1664,SUMPRODUCT(MAX(ROW(E$1:E1664)*(E1665=E$1:E1664)))))</f>
        <v/>
      </c>
      <c r="L1665" s="16"/>
    </row>
    <row r="1666" customFormat="false" ht="12.8" hidden="false" customHeight="false" outlineLevel="0" collapsed="false">
      <c r="A1666" s="0" t="s">
        <v>76</v>
      </c>
      <c r="E1666" s="10" t="str">
        <f aca="false">IF(D1666="?OLD","!!!","")</f>
        <v/>
      </c>
      <c r="F1666" s="11" t="str">
        <f aca="false">IF(OR(E1666="",E1666="!!!"),"",IF(NOT(ISNA(VLOOKUP(E1666,E$1:E1665,1,FALSE()))),"OLD",IF(AND(E1666&lt;&gt;"",E1666&lt;&gt;"!!!"),"NEW","")))</f>
        <v/>
      </c>
      <c r="G1666" s="12" t="str">
        <f aca="false">IF(OR(E1666="",E1666="!!!"),"",IF(OR(J1666=0,AND(J1666=1,K1666=1),AND(J1666=1,I1666="SBJ"),AND(J1666=1,I1666=0)),"?IN_FOCUS",IF(J1666&lt;=2,"?ACTIVATED",IF(J1666&lt;&gt;"","?FAMILIAR",IF(F1666="NEW",IF(ISNA(VLOOKUP(E1666,#REF!,1,FALSE())),"?TYPE_IDENTIFIABLE","?REFERENTIAL"),"_")))))</f>
        <v/>
      </c>
      <c r="H1666" s="13" t="str">
        <f aca="false">IF(J1666&lt;&gt;1,"",IF(I1666="SBJ","CB","?"))</f>
        <v/>
      </c>
      <c r="I1666" s="14" t="str">
        <f aca="false">IF(OR(E1666="",E1666="!!!",F1666="NEW"),"",INDEX(B$2:B1665,-1+SUMPRODUCT(MAX(ROW(E$2:E1665)*(E1666=E$2:E1665)))))</f>
        <v/>
      </c>
      <c r="J1666" s="15" t="str">
        <f aca="true">IF(OR(E1666="",E1666="!!!",F1666="NEW"),"",COUNTBLANK(OFFSET(A$1,,,SUMPRODUCT(MAX(ROW(E$2:E1666)*(E1666=E$2:E1666)))))-COUNTBLANK(OFFSET(A$1,,,SUMPRODUCT(MAX(ROW(E$1:E1665)*(E1666=E$1:E1665))))))</f>
        <v/>
      </c>
      <c r="K1666" s="15" t="str">
        <f aca="false">IF(OR(E1666="",E1666="!!!",F1666="NEW"),"",INDEX(J$1:J1665,SUMPRODUCT(MAX(ROW(E$1:E1665)*(E1666=E$1:E1665)))))</f>
        <v/>
      </c>
      <c r="L1666" s="16"/>
    </row>
    <row r="1667" customFormat="false" ht="12.8" hidden="false" customHeight="false" outlineLevel="0" collapsed="false">
      <c r="E1667" s="10" t="str">
        <f aca="false">IF(D1667="?OLD","!!!","")</f>
        <v/>
      </c>
      <c r="F1667" s="11" t="str">
        <f aca="false">IF(OR(E1667="",E1667="!!!"),"",IF(NOT(ISNA(VLOOKUP(E1667,E$1:E1666,1,FALSE()))),"OLD",IF(AND(E1667&lt;&gt;"",E1667&lt;&gt;"!!!"),"NEW","")))</f>
        <v/>
      </c>
      <c r="G1667" s="12" t="str">
        <f aca="false">IF(OR(E1667="",E1667="!!!"),"",IF(OR(J1667=0,AND(J1667=1,K1667=1),AND(J1667=1,I1667="SBJ"),AND(J1667=1,I1667=0)),"?IN_FOCUS",IF(J1667&lt;=2,"?ACTIVATED",IF(J1667&lt;&gt;"","?FAMILIAR",IF(F1667="NEW",IF(ISNA(VLOOKUP(E1667,#REF!,1,FALSE())),"?TYPE_IDENTIFIABLE","?REFERENTIAL"),"_")))))</f>
        <v/>
      </c>
      <c r="H1667" s="13" t="str">
        <f aca="false">IF(J1667&lt;&gt;1,"",IF(I1667="SBJ","CB","?"))</f>
        <v/>
      </c>
      <c r="I1667" s="14" t="str">
        <f aca="false">IF(OR(E1667="",E1667="!!!",F1667="NEW"),"",INDEX(B$2:B1666,-1+SUMPRODUCT(MAX(ROW(E$2:E1666)*(E1667=E$2:E1666)))))</f>
        <v/>
      </c>
      <c r="J1667" s="15" t="str">
        <f aca="true">IF(OR(E1667="",E1667="!!!",F1667="NEW"),"",COUNTBLANK(OFFSET(A$1,,,SUMPRODUCT(MAX(ROW(E$2:E1667)*(E1667=E$2:E1667)))))-COUNTBLANK(OFFSET(A$1,,,SUMPRODUCT(MAX(ROW(E$1:E1666)*(E1667=E$1:E1666))))))</f>
        <v/>
      </c>
      <c r="K1667" s="15" t="str">
        <f aca="false">IF(OR(E1667="",E1667="!!!",F1667="NEW"),"",INDEX(J$1:J1666,SUMPRODUCT(MAX(ROW(E$1:E1666)*(E1667=E$1:E1666)))))</f>
        <v/>
      </c>
      <c r="L1667" s="16"/>
    </row>
    <row r="1668" customFormat="false" ht="12.8" hidden="false" customHeight="false" outlineLevel="0" collapsed="false">
      <c r="A1668" s="0" t="s">
        <v>778</v>
      </c>
      <c r="E1668" s="10" t="str">
        <f aca="false">IF(D1668="?OLD","!!!","")</f>
        <v/>
      </c>
      <c r="F1668" s="11" t="str">
        <f aca="false">IF(OR(E1668="",E1668="!!!"),"",IF(NOT(ISNA(VLOOKUP(E1668,E$1:E1667,1,FALSE()))),"OLD",IF(AND(E1668&lt;&gt;"",E1668&lt;&gt;"!!!"),"NEW","")))</f>
        <v/>
      </c>
      <c r="G1668" s="12" t="str">
        <f aca="false">IF(OR(E1668="",E1668="!!!"),"",IF(OR(J1668=0,AND(J1668=1,K1668=1),AND(J1668=1,I1668="SBJ"),AND(J1668=1,I1668=0)),"?IN_FOCUS",IF(J1668&lt;=2,"?ACTIVATED",IF(J1668&lt;&gt;"","?FAMILIAR",IF(F1668="NEW",IF(ISNA(VLOOKUP(E1668,#REF!,1,FALSE())),"?TYPE_IDENTIFIABLE","?REFERENTIAL"),"_")))))</f>
        <v/>
      </c>
      <c r="H1668" s="13" t="str">
        <f aca="false">IF(J1668&lt;&gt;1,"",IF(I1668="SBJ","CB","?"))</f>
        <v/>
      </c>
      <c r="I1668" s="14" t="str">
        <f aca="false">IF(OR(E1668="",E1668="!!!",F1668="NEW"),"",INDEX(B$2:B1667,-1+SUMPRODUCT(MAX(ROW(E$2:E1667)*(E1668=E$2:E1667)))))</f>
        <v/>
      </c>
      <c r="J1668" s="15" t="str">
        <f aca="true">IF(OR(E1668="",E1668="!!!",F1668="NEW"),"",COUNTBLANK(OFFSET(A$1,,,SUMPRODUCT(MAX(ROW(E$2:E1668)*(E1668=E$2:E1668)))))-COUNTBLANK(OFFSET(A$1,,,SUMPRODUCT(MAX(ROW(E$1:E1667)*(E1668=E$1:E1667))))))</f>
        <v/>
      </c>
      <c r="K1668" s="15" t="str">
        <f aca="false">IF(OR(E1668="",E1668="!!!",F1668="NEW"),"",INDEX(J$1:J1667,SUMPRODUCT(MAX(ROW(E$1:E1667)*(E1668=E$1:E1667)))))</f>
        <v/>
      </c>
      <c r="L1668" s="16"/>
    </row>
    <row r="1669" customFormat="false" ht="12.8" hidden="false" customHeight="false" outlineLevel="0" collapsed="false">
      <c r="A1669" s="0" t="s">
        <v>46</v>
      </c>
      <c r="B1669" s="0" t="s">
        <v>34</v>
      </c>
      <c r="C1669" s="0" t="s">
        <v>48</v>
      </c>
      <c r="D1669" s="0" t="s">
        <v>20</v>
      </c>
      <c r="E1669" s="10" t="s">
        <v>49</v>
      </c>
      <c r="F1669" s="11" t="str">
        <f aca="false">IF(OR(E1669="",E1669="!!!"),"",IF(NOT(ISNA(VLOOKUP(E1669,E$1:E1668,1,FALSE()))),"OLD",IF(AND(E1669&lt;&gt;"",E1669&lt;&gt;"!!!"),"NEW","")))</f>
        <v>OLD</v>
      </c>
      <c r="G1669" s="12" t="s">
        <v>36</v>
      </c>
      <c r="H1669" s="13" t="str">
        <f aca="false">IF(J1669&lt;&gt;1,"",IF(I1669="SBJ","CB","?"))</f>
        <v/>
      </c>
      <c r="I1669" s="14" t="str">
        <f aca="false">IF(OR(E1669="",E1669="!!!",F1669="NEW"),"",INDEX(B$2:B1668,-1+SUMPRODUCT(MAX(ROW(E$2:E1668)*(E1669=E$2:E1668)))))</f>
        <v>SBJ</v>
      </c>
      <c r="J1669" s="15" t="n">
        <f aca="true">IF(OR(E1669="",E1669="!!!",F1669="NEW"),"",COUNTBLANK(OFFSET(A$1,,,SUMPRODUCT(MAX(ROW(E$2:E1669)*(E1669=E$2:E1669)))))-COUNTBLANK(OFFSET(A$1,,,SUMPRODUCT(MAX(ROW(E$1:E1668)*(E1669=E$1:E1668))))))</f>
        <v>6</v>
      </c>
      <c r="K1669" s="15" t="n">
        <f aca="false">IF(OR(E1669="",E1669="!!!",F1669="NEW"),"",INDEX(J$1:J1668,SUMPRODUCT(MAX(ROW(E$1:E1668)*(E1669=E$1:E1668)))))</f>
        <v>4</v>
      </c>
      <c r="L1669" s="16"/>
    </row>
    <row r="1670" customFormat="false" ht="12.8" hidden="false" customHeight="false" outlineLevel="0" collapsed="false">
      <c r="A1670" s="0" t="s">
        <v>82</v>
      </c>
      <c r="E1670" s="10" t="str">
        <f aca="false">IF(D1670="?OLD","!!!","")</f>
        <v/>
      </c>
      <c r="F1670" s="11" t="str">
        <f aca="false">IF(OR(E1670="",E1670="!!!"),"",IF(NOT(ISNA(VLOOKUP(E1670,E$1:E1669,1,FALSE()))),"OLD",IF(AND(E1670&lt;&gt;"",E1670&lt;&gt;"!!!"),"NEW","")))</f>
        <v/>
      </c>
      <c r="G1670" s="12" t="str">
        <f aca="false">IF(OR(E1670="",E1670="!!!"),"",IF(OR(J1670=0,AND(J1670=1,K1670=1),AND(J1670=1,I1670="SBJ"),AND(J1670=1,I1670=0)),"?IN_FOCUS",IF(J1670&lt;=2,"?ACTIVATED",IF(J1670&lt;&gt;"","?FAMILIAR",IF(F1670="NEW",IF(ISNA(VLOOKUP(E1670,#REF!,1,FALSE())),"?TYPE_IDENTIFIABLE","?REFERENTIAL"),"_")))))</f>
        <v/>
      </c>
      <c r="H1670" s="13" t="str">
        <f aca="false">IF(J1670&lt;&gt;1,"",IF(I1670="SBJ","CB","?"))</f>
        <v/>
      </c>
      <c r="I1670" s="14" t="str">
        <f aca="false">IF(OR(E1670="",E1670="!!!",F1670="NEW"),"",INDEX(B$2:B1669,-1+SUMPRODUCT(MAX(ROW(E$2:E1669)*(E1670=E$2:E1669)))))</f>
        <v/>
      </c>
      <c r="J1670" s="15" t="str">
        <f aca="true">IF(OR(E1670="",E1670="!!!",F1670="NEW"),"",COUNTBLANK(OFFSET(A$1,,,SUMPRODUCT(MAX(ROW(E$2:E1670)*(E1670=E$2:E1670)))))-COUNTBLANK(OFFSET(A$1,,,SUMPRODUCT(MAX(ROW(E$1:E1669)*(E1670=E$1:E1669))))))</f>
        <v/>
      </c>
      <c r="K1670" s="15" t="str">
        <f aca="false">IF(OR(E1670="",E1670="!!!",F1670="NEW"),"",INDEX(J$1:J1669,SUMPRODUCT(MAX(ROW(E$1:E1669)*(E1670=E$1:E1669)))))</f>
        <v/>
      </c>
      <c r="L1670" s="16"/>
    </row>
    <row r="1671" customFormat="false" ht="12.8" hidden="false" customHeight="false" outlineLevel="0" collapsed="false">
      <c r="A1671" s="0" t="s">
        <v>44</v>
      </c>
      <c r="E1671" s="10" t="str">
        <f aca="false">IF(D1671="?OLD","!!!","")</f>
        <v/>
      </c>
      <c r="F1671" s="11" t="str">
        <f aca="false">IF(OR(E1671="",E1671="!!!"),"",IF(NOT(ISNA(VLOOKUP(E1671,E$1:E1670,1,FALSE()))),"OLD",IF(AND(E1671&lt;&gt;"",E1671&lt;&gt;"!!!"),"NEW","")))</f>
        <v/>
      </c>
      <c r="G1671" s="12" t="str">
        <f aca="false">IF(OR(E1671="",E1671="!!!"),"",IF(OR(J1671=0,AND(J1671=1,K1671=1),AND(J1671=1,I1671="SBJ"),AND(J1671=1,I1671=0)),"?IN_FOCUS",IF(J1671&lt;=2,"?ACTIVATED",IF(J1671&lt;&gt;"","?FAMILIAR",IF(F1671="NEW",IF(ISNA(VLOOKUP(E1671,#REF!,1,FALSE())),"?TYPE_IDENTIFIABLE","?REFERENTIAL"),"_")))))</f>
        <v/>
      </c>
      <c r="H1671" s="13" t="str">
        <f aca="false">IF(J1671&lt;&gt;1,"",IF(I1671="SBJ","CB","?"))</f>
        <v/>
      </c>
      <c r="I1671" s="14" t="str">
        <f aca="false">IF(OR(E1671="",E1671="!!!",F1671="NEW"),"",INDEX(B$2:B1670,-1+SUMPRODUCT(MAX(ROW(E$2:E1670)*(E1671=E$2:E1670)))))</f>
        <v/>
      </c>
      <c r="J1671" s="15" t="str">
        <f aca="true">IF(OR(E1671="",E1671="!!!",F1671="NEW"),"",COUNTBLANK(OFFSET(A$1,,,SUMPRODUCT(MAX(ROW(E$2:E1671)*(E1671=E$2:E1671)))))-COUNTBLANK(OFFSET(A$1,,,SUMPRODUCT(MAX(ROW(E$1:E1670)*(E1671=E$1:E1670))))))</f>
        <v/>
      </c>
      <c r="K1671" s="15" t="str">
        <f aca="false">IF(OR(E1671="",E1671="!!!",F1671="NEW"),"",INDEX(J$1:J1670,SUMPRODUCT(MAX(ROW(E$1:E1670)*(E1671=E$1:E1670)))))</f>
        <v/>
      </c>
      <c r="L1671" s="16"/>
    </row>
    <row r="1672" customFormat="false" ht="12.8" hidden="false" customHeight="false" outlineLevel="0" collapsed="false">
      <c r="A1672" s="0" t="s">
        <v>179</v>
      </c>
      <c r="E1672" s="10" t="str">
        <f aca="false">IF(D1672="?OLD","!!!","")</f>
        <v/>
      </c>
      <c r="F1672" s="11" t="str">
        <f aca="false">IF(OR(E1672="",E1672="!!!"),"",IF(NOT(ISNA(VLOOKUP(E1672,E$1:E1671,1,FALSE()))),"OLD",IF(AND(E1672&lt;&gt;"",E1672&lt;&gt;"!!!"),"NEW","")))</f>
        <v/>
      </c>
      <c r="G1672" s="12" t="str">
        <f aca="false">IF(OR(E1672="",E1672="!!!"),"",IF(OR(J1672=0,AND(J1672=1,K1672=1),AND(J1672=1,I1672="SBJ"),AND(J1672=1,I1672=0)),"?IN_FOCUS",IF(J1672&lt;=2,"?ACTIVATED",IF(J1672&lt;&gt;"","?FAMILIAR",IF(F1672="NEW",IF(ISNA(VLOOKUP(E1672,#REF!,1,FALSE())),"?TYPE_IDENTIFIABLE","?REFERENTIAL"),"_")))))</f>
        <v/>
      </c>
      <c r="H1672" s="13" t="str">
        <f aca="false">IF(J1672&lt;&gt;1,"",IF(I1672="SBJ","CB","?"))</f>
        <v/>
      </c>
      <c r="I1672" s="14" t="str">
        <f aca="false">IF(OR(E1672="",E1672="!!!",F1672="NEW"),"",INDEX(B$2:B1671,-1+SUMPRODUCT(MAX(ROW(E$2:E1671)*(E1672=E$2:E1671)))))</f>
        <v/>
      </c>
      <c r="J1672" s="15" t="str">
        <f aca="true">IF(OR(E1672="",E1672="!!!",F1672="NEW"),"",COUNTBLANK(OFFSET(A$1,,,SUMPRODUCT(MAX(ROW(E$2:E1672)*(E1672=E$2:E1672)))))-COUNTBLANK(OFFSET(A$1,,,SUMPRODUCT(MAX(ROW(E$1:E1671)*(E1672=E$1:E1671))))))</f>
        <v/>
      </c>
      <c r="K1672" s="15" t="str">
        <f aca="false">IF(OR(E1672="",E1672="!!!",F1672="NEW"),"",INDEX(J$1:J1671,SUMPRODUCT(MAX(ROW(E$1:E1671)*(E1672=E$1:E1671)))))</f>
        <v/>
      </c>
      <c r="L1672" s="16"/>
    </row>
    <row r="1673" customFormat="false" ht="12.8" hidden="false" customHeight="false" outlineLevel="0" collapsed="false">
      <c r="A1673" s="0" t="s">
        <v>41</v>
      </c>
      <c r="E1673" s="10" t="str">
        <f aca="false">IF(D1673="?OLD","!!!","")</f>
        <v/>
      </c>
      <c r="F1673" s="11" t="str">
        <f aca="false">IF(OR(E1673="",E1673="!!!"),"",IF(NOT(ISNA(VLOOKUP(E1673,E$1:E1672,1,FALSE()))),"OLD",IF(AND(E1673&lt;&gt;"",E1673&lt;&gt;"!!!"),"NEW","")))</f>
        <v/>
      </c>
      <c r="G1673" s="12" t="str">
        <f aca="false">IF(OR(E1673="",E1673="!!!"),"",IF(OR(J1673=0,AND(J1673=1,K1673=1),AND(J1673=1,I1673="SBJ"),AND(J1673=1,I1673=0)),"?IN_FOCUS",IF(J1673&lt;=2,"?ACTIVATED",IF(J1673&lt;&gt;"","?FAMILIAR",IF(F1673="NEW",IF(ISNA(VLOOKUP(E1673,#REF!,1,FALSE())),"?TYPE_IDENTIFIABLE","?REFERENTIAL"),"_")))))</f>
        <v/>
      </c>
      <c r="H1673" s="13" t="str">
        <f aca="false">IF(J1673&lt;&gt;1,"",IF(I1673="SBJ","CB","?"))</f>
        <v/>
      </c>
      <c r="I1673" s="14" t="str">
        <f aca="false">IF(OR(E1673="",E1673="!!!",F1673="NEW"),"",INDEX(B$2:B1672,-1+SUMPRODUCT(MAX(ROW(E$2:E1672)*(E1673=E$2:E1672)))))</f>
        <v/>
      </c>
      <c r="J1673" s="15" t="str">
        <f aca="true">IF(OR(E1673="",E1673="!!!",F1673="NEW"),"",COUNTBLANK(OFFSET(A$1,,,SUMPRODUCT(MAX(ROW(E$2:E1673)*(E1673=E$2:E1673)))))-COUNTBLANK(OFFSET(A$1,,,SUMPRODUCT(MAX(ROW(E$1:E1672)*(E1673=E$1:E1672))))))</f>
        <v/>
      </c>
      <c r="K1673" s="15" t="str">
        <f aca="false">IF(OR(E1673="",E1673="!!!",F1673="NEW"),"",INDEX(J$1:J1672,SUMPRODUCT(MAX(ROW(E$1:E1672)*(E1673=E$1:E1672)))))</f>
        <v/>
      </c>
      <c r="L1673" s="16"/>
    </row>
    <row r="1674" customFormat="false" ht="12.8" hidden="false" customHeight="false" outlineLevel="0" collapsed="false">
      <c r="A1674" s="0" t="s">
        <v>704</v>
      </c>
      <c r="B1674" s="0" t="s">
        <v>85</v>
      </c>
      <c r="C1674" s="0" t="s">
        <v>246</v>
      </c>
      <c r="D1674" s="0" t="s">
        <v>20</v>
      </c>
      <c r="E1674" s="10"/>
      <c r="F1674" s="11" t="s">
        <v>247</v>
      </c>
      <c r="G1674" s="12" t="str">
        <f aca="false">IF(OR(E1674="",E1674="!!!"),"",IF(OR(J1674=0,AND(J1674=1,K1674=1),AND(J1674=1,I1674="SBJ"),AND(J1674=1,I1674=0)),"?IN_FOCUS",IF(J1674&lt;=2,"?ACTIVATED",IF(J1674&lt;&gt;"","?FAMILIAR",IF(F1674="NEW",IF(ISNA(VLOOKUP(E1674,#REF!,1,FALSE())),"?TYPE_IDENTIFIABLE","?REFERENTIAL"),"_")))))</f>
        <v/>
      </c>
      <c r="H1674" s="13" t="str">
        <f aca="false">IF(J1674&lt;&gt;1,"",IF(I1674="SBJ","CB","?"))</f>
        <v/>
      </c>
      <c r="I1674" s="14" t="str">
        <f aca="false">IF(OR(E1674="",E1674="!!!",F1674="NEW"),"",INDEX(B$2:B1673,-1+SUMPRODUCT(MAX(ROW(E$2:E1673)*(E1674=E$2:E1673)))))</f>
        <v/>
      </c>
      <c r="J1674" s="15" t="str">
        <f aca="true">IF(OR(E1674="",E1674="!!!",F1674="NEW"),"",COUNTBLANK(OFFSET(A$1,,,SUMPRODUCT(MAX(ROW(E$2:E1674)*(E1674=E$2:E1674)))))-COUNTBLANK(OFFSET(A$1,,,SUMPRODUCT(MAX(ROW(E$1:E1673)*(E1674=E$1:E1673))))))</f>
        <v/>
      </c>
      <c r="K1674" s="15" t="str">
        <f aca="false">IF(OR(E1674="",E1674="!!!",F1674="NEW"),"",INDEX(J$1:J1673,SUMPRODUCT(MAX(ROW(E$1:E1673)*(E1674=E$1:E1673)))))</f>
        <v/>
      </c>
      <c r="L1674" s="16"/>
    </row>
    <row r="1675" customFormat="false" ht="12.8" hidden="false" customHeight="false" outlineLevel="0" collapsed="false">
      <c r="A1675" s="0" t="s">
        <v>61</v>
      </c>
      <c r="E1675" s="10" t="str">
        <f aca="false">IF(D1675="?OLD","!!!","")</f>
        <v/>
      </c>
      <c r="F1675" s="11" t="str">
        <f aca="false">IF(OR(E1675="",E1675="!!!"),"",IF(NOT(ISNA(VLOOKUP(E1675,E$1:E1674,1,FALSE()))),"OLD",IF(AND(E1675&lt;&gt;"",E1675&lt;&gt;"!!!"),"NEW","")))</f>
        <v/>
      </c>
      <c r="G1675" s="12" t="str">
        <f aca="false">IF(OR(E1675="",E1675="!!!"),"",IF(OR(J1675=0,AND(J1675=1,K1675=1),AND(J1675=1,I1675="SBJ"),AND(J1675=1,I1675=0)),"?IN_FOCUS",IF(J1675&lt;=2,"?ACTIVATED",IF(J1675&lt;&gt;"","?FAMILIAR",IF(F1675="NEW",IF(ISNA(VLOOKUP(E1675,#REF!,1,FALSE())),"?TYPE_IDENTIFIABLE","?REFERENTIAL"),"_")))))</f>
        <v/>
      </c>
      <c r="H1675" s="13" t="str">
        <f aca="false">IF(J1675&lt;&gt;1,"",IF(I1675="SBJ","CB","?"))</f>
        <v/>
      </c>
      <c r="I1675" s="14" t="str">
        <f aca="false">IF(OR(E1675="",E1675="!!!",F1675="NEW"),"",INDEX(B$2:B1674,-1+SUMPRODUCT(MAX(ROW(E$2:E1674)*(E1675=E$2:E1674)))))</f>
        <v/>
      </c>
      <c r="J1675" s="15" t="str">
        <f aca="true">IF(OR(E1675="",E1675="!!!",F1675="NEW"),"",COUNTBLANK(OFFSET(A$1,,,SUMPRODUCT(MAX(ROW(E$2:E1675)*(E1675=E$2:E1675)))))-COUNTBLANK(OFFSET(A$1,,,SUMPRODUCT(MAX(ROW(E$1:E1674)*(E1675=E$1:E1674))))))</f>
        <v/>
      </c>
      <c r="K1675" s="15" t="str">
        <f aca="false">IF(OR(E1675="",E1675="!!!",F1675="NEW"),"",INDEX(J$1:J1674,SUMPRODUCT(MAX(ROW(E$1:E1674)*(E1675=E$1:E1674)))))</f>
        <v/>
      </c>
      <c r="L1675" s="16"/>
    </row>
    <row r="1676" customFormat="false" ht="12.8" hidden="false" customHeight="false" outlineLevel="0" collapsed="false">
      <c r="A1676" s="0" t="s">
        <v>72</v>
      </c>
      <c r="B1676" s="0" t="s">
        <v>75</v>
      </c>
      <c r="C1676" s="0" t="s">
        <v>48</v>
      </c>
      <c r="D1676" s="0" t="s">
        <v>20</v>
      </c>
      <c r="E1676" s="10" t="s">
        <v>774</v>
      </c>
      <c r="F1676" s="11" t="str">
        <f aca="false">IF(OR(E1676="",E1676="!!!"),"",IF(NOT(ISNA(VLOOKUP(E1676,E$1:E1675,1,FALSE()))),"OLD",IF(AND(E1676&lt;&gt;"",E1676&lt;&gt;"!!!"),"NEW","")))</f>
        <v>OLD</v>
      </c>
      <c r="G1676" s="12" t="s">
        <v>87</v>
      </c>
      <c r="H1676" s="13" t="s">
        <v>7</v>
      </c>
      <c r="I1676" s="14" t="str">
        <f aca="false">IF(OR(E1676="",E1676="!!!",F1676="NEW"),"",INDEX(B$2:B1675,-1+SUMPRODUCT(MAX(ROW(E$2:E1675)*(E1676=E$2:E1675)))))</f>
        <v>other</v>
      </c>
      <c r="J1676" s="15" t="n">
        <f aca="true">IF(OR(E1676="",E1676="!!!",F1676="NEW"),"",COUNTBLANK(OFFSET(A$1,,,SUMPRODUCT(MAX(ROW(E$2:E1676)*(E1676=E$2:E1676)))))-COUNTBLANK(OFFSET(A$1,,,SUMPRODUCT(MAX(ROW(E$1:E1675)*(E1676=E$1:E1675))))))</f>
        <v>1</v>
      </c>
      <c r="K1676" s="15" t="n">
        <f aca="false">IF(OR(E1676="",E1676="!!!",F1676="NEW"),"",INDEX(J$1:J1675,SUMPRODUCT(MAX(ROW(E$1:E1675)*(E1676=E$1:E1675)))))</f>
        <v>2</v>
      </c>
      <c r="L1676" s="16"/>
    </row>
    <row r="1677" customFormat="false" ht="12.8" hidden="false" customHeight="false" outlineLevel="0" collapsed="false">
      <c r="A1677" s="0" t="s">
        <v>76</v>
      </c>
      <c r="E1677" s="10" t="str">
        <f aca="false">IF(D1677="?OLD","!!!","")</f>
        <v/>
      </c>
      <c r="F1677" s="11" t="str">
        <f aca="false">IF(OR(E1677="",E1677="!!!"),"",IF(NOT(ISNA(VLOOKUP(E1677,E$1:E1676,1,FALSE()))),"OLD",IF(AND(E1677&lt;&gt;"",E1677&lt;&gt;"!!!"),"NEW","")))</f>
        <v/>
      </c>
      <c r="G1677" s="12" t="str">
        <f aca="false">IF(OR(E1677="",E1677="!!!"),"",IF(OR(J1677=0,AND(J1677=1,K1677=1),AND(J1677=1,I1677="SBJ"),AND(J1677=1,I1677=0)),"?IN_FOCUS",IF(J1677&lt;=2,"?ACTIVATED",IF(J1677&lt;&gt;"","?FAMILIAR",IF(F1677="NEW",IF(ISNA(VLOOKUP(E1677,#REF!,1,FALSE())),"?TYPE_IDENTIFIABLE","?REFERENTIAL"),"_")))))</f>
        <v/>
      </c>
      <c r="H1677" s="13" t="str">
        <f aca="false">IF(J1677&lt;&gt;1,"",IF(I1677="SBJ","CB","?"))</f>
        <v/>
      </c>
      <c r="I1677" s="14" t="str">
        <f aca="false">IF(OR(E1677="",E1677="!!!",F1677="NEW"),"",INDEX(B$2:B1676,-1+SUMPRODUCT(MAX(ROW(E$2:E1676)*(E1677=E$2:E1676)))))</f>
        <v/>
      </c>
      <c r="J1677" s="15" t="str">
        <f aca="true">IF(OR(E1677="",E1677="!!!",F1677="NEW"),"",COUNTBLANK(OFFSET(A$1,,,SUMPRODUCT(MAX(ROW(E$2:E1677)*(E1677=E$2:E1677)))))-COUNTBLANK(OFFSET(A$1,,,SUMPRODUCT(MAX(ROW(E$1:E1676)*(E1677=E$1:E1676))))))</f>
        <v/>
      </c>
      <c r="K1677" s="15" t="str">
        <f aca="false">IF(OR(E1677="",E1677="!!!",F1677="NEW"),"",INDEX(J$1:J1676,SUMPRODUCT(MAX(ROW(E$1:E1676)*(E1677=E$1:E1676)))))</f>
        <v/>
      </c>
      <c r="L1677" s="16"/>
    </row>
    <row r="1678" customFormat="false" ht="12.8" hidden="false" customHeight="false" outlineLevel="0" collapsed="false">
      <c r="E1678" s="10" t="str">
        <f aca="false">IF(D1678="?OLD","!!!","")</f>
        <v/>
      </c>
      <c r="F1678" s="11" t="str">
        <f aca="false">IF(OR(E1678="",E1678="!!!"),"",IF(NOT(ISNA(VLOOKUP(E1678,E$1:E1677,1,FALSE()))),"OLD",IF(AND(E1678&lt;&gt;"",E1678&lt;&gt;"!!!"),"NEW","")))</f>
        <v/>
      </c>
      <c r="G1678" s="12" t="str">
        <f aca="false">IF(OR(E1678="",E1678="!!!"),"",IF(OR(J1678=0,AND(J1678=1,K1678=1),AND(J1678=1,I1678="SBJ"),AND(J1678=1,I1678=0)),"?IN_FOCUS",IF(J1678&lt;=2,"?ACTIVATED",IF(J1678&lt;&gt;"","?FAMILIAR",IF(F1678="NEW",IF(ISNA(VLOOKUP(E1678,#REF!,1,FALSE())),"?TYPE_IDENTIFIABLE","?REFERENTIAL"),"_")))))</f>
        <v/>
      </c>
      <c r="H1678" s="13" t="str">
        <f aca="false">IF(J1678&lt;&gt;1,"",IF(I1678="SBJ","CB","?"))</f>
        <v/>
      </c>
      <c r="I1678" s="14" t="str">
        <f aca="false">IF(OR(E1678="",E1678="!!!",F1678="NEW"),"",INDEX(B$2:B1677,-1+SUMPRODUCT(MAX(ROW(E$2:E1677)*(E1678=E$2:E1677)))))</f>
        <v/>
      </c>
      <c r="J1678" s="15" t="str">
        <f aca="true">IF(OR(E1678="",E1678="!!!",F1678="NEW"),"",COUNTBLANK(OFFSET(A$1,,,SUMPRODUCT(MAX(ROW(E$2:E1678)*(E1678=E$2:E1678)))))-COUNTBLANK(OFFSET(A$1,,,SUMPRODUCT(MAX(ROW(E$1:E1677)*(E1678=E$1:E1677))))))</f>
        <v/>
      </c>
      <c r="K1678" s="15" t="str">
        <f aca="false">IF(OR(E1678="",E1678="!!!",F1678="NEW"),"",INDEX(J$1:J1677,SUMPRODUCT(MAX(ROW(E$1:E1677)*(E1678=E$1:E1677)))))</f>
        <v/>
      </c>
      <c r="L1678" s="16"/>
    </row>
    <row r="1679" customFormat="false" ht="12.8" hidden="false" customHeight="false" outlineLevel="0" collapsed="false">
      <c r="A1679" s="0" t="s">
        <v>779</v>
      </c>
      <c r="E1679" s="10" t="str">
        <f aca="false">IF(D1679="?OLD","!!!","")</f>
        <v/>
      </c>
      <c r="F1679" s="11" t="str">
        <f aca="false">IF(OR(E1679="",E1679="!!!"),"",IF(NOT(ISNA(VLOOKUP(E1679,E$1:E1678,1,FALSE()))),"OLD",IF(AND(E1679&lt;&gt;"",E1679&lt;&gt;"!!!"),"NEW","")))</f>
        <v/>
      </c>
      <c r="G1679" s="12" t="str">
        <f aca="false">IF(OR(E1679="",E1679="!!!"),"",IF(OR(J1679=0,AND(J1679=1,K1679=1),AND(J1679=1,I1679="SBJ"),AND(J1679=1,I1679=0)),"?IN_FOCUS",IF(J1679&lt;=2,"?ACTIVATED",IF(J1679&lt;&gt;"","?FAMILIAR",IF(F1679="NEW",IF(ISNA(VLOOKUP(E1679,#REF!,1,FALSE())),"?TYPE_IDENTIFIABLE","?REFERENTIAL"),"_")))))</f>
        <v/>
      </c>
      <c r="H1679" s="13" t="str">
        <f aca="false">IF(J1679&lt;&gt;1,"",IF(I1679="SBJ","CB","?"))</f>
        <v/>
      </c>
      <c r="I1679" s="14" t="str">
        <f aca="false">IF(OR(E1679="",E1679="!!!",F1679="NEW"),"",INDEX(B$2:B1678,-1+SUMPRODUCT(MAX(ROW(E$2:E1678)*(E1679=E$2:E1678)))))</f>
        <v/>
      </c>
      <c r="J1679" s="15" t="str">
        <f aca="true">IF(OR(E1679="",E1679="!!!",F1679="NEW"),"",COUNTBLANK(OFFSET(A$1,,,SUMPRODUCT(MAX(ROW(E$2:E1679)*(E1679=E$2:E1679)))))-COUNTBLANK(OFFSET(A$1,,,SUMPRODUCT(MAX(ROW(E$1:E1678)*(E1679=E$1:E1678))))))</f>
        <v/>
      </c>
      <c r="K1679" s="15" t="str">
        <f aca="false">IF(OR(E1679="",E1679="!!!",F1679="NEW"),"",INDEX(J$1:J1678,SUMPRODUCT(MAX(ROW(E$1:E1678)*(E1679=E$1:E1678)))))</f>
        <v/>
      </c>
      <c r="L1679" s="16"/>
    </row>
    <row r="1680" customFormat="false" ht="12.8" hidden="false" customHeight="false" outlineLevel="0" collapsed="false">
      <c r="A1680" s="0" t="s">
        <v>24</v>
      </c>
      <c r="E1680" s="10" t="str">
        <f aca="false">IF(D1680="?OLD","!!!","")</f>
        <v/>
      </c>
      <c r="F1680" s="11" t="str">
        <f aca="false">IF(OR(E1680="",E1680="!!!"),"",IF(NOT(ISNA(VLOOKUP(E1680,E$1:E1679,1,FALSE()))),"OLD",IF(AND(E1680&lt;&gt;"",E1680&lt;&gt;"!!!"),"NEW","")))</f>
        <v/>
      </c>
      <c r="G1680" s="12" t="str">
        <f aca="false">IF(OR(E1680="",E1680="!!!"),"",IF(OR(J1680=0,AND(J1680=1,K1680=1),AND(J1680=1,I1680="SBJ"),AND(J1680=1,I1680=0)),"?IN_FOCUS",IF(J1680&lt;=2,"?ACTIVATED",IF(J1680&lt;&gt;"","?FAMILIAR",IF(F1680="NEW",IF(ISNA(VLOOKUP(E1680,#REF!,1,FALSE())),"?TYPE_IDENTIFIABLE","?REFERENTIAL"),"_")))))</f>
        <v/>
      </c>
      <c r="H1680" s="13" t="str">
        <f aca="false">IF(J1680&lt;&gt;1,"",IF(I1680="SBJ","CB","?"))</f>
        <v/>
      </c>
      <c r="I1680" s="14" t="str">
        <f aca="false">IF(OR(E1680="",E1680="!!!",F1680="NEW"),"",INDEX(B$2:B1679,-1+SUMPRODUCT(MAX(ROW(E$2:E1679)*(E1680=E$2:E1679)))))</f>
        <v/>
      </c>
      <c r="J1680" s="15" t="str">
        <f aca="true">IF(OR(E1680="",E1680="!!!",F1680="NEW"),"",COUNTBLANK(OFFSET(A$1,,,SUMPRODUCT(MAX(ROW(E$2:E1680)*(E1680=E$2:E1680)))))-COUNTBLANK(OFFSET(A$1,,,SUMPRODUCT(MAX(ROW(E$1:E1679)*(E1680=E$1:E1679))))))</f>
        <v/>
      </c>
      <c r="K1680" s="15" t="str">
        <f aca="false">IF(OR(E1680="",E1680="!!!",F1680="NEW"),"",INDEX(J$1:J1679,SUMPRODUCT(MAX(ROW(E$1:E1679)*(E1680=E$1:E1679)))))</f>
        <v/>
      </c>
      <c r="L1680" s="16"/>
    </row>
    <row r="1681" customFormat="false" ht="12.8" hidden="false" customHeight="false" outlineLevel="0" collapsed="false">
      <c r="A1681" s="0" t="s">
        <v>389</v>
      </c>
      <c r="E1681" s="10" t="str">
        <f aca="false">IF(D1681="?OLD","!!!","")</f>
        <v/>
      </c>
      <c r="F1681" s="11" t="str">
        <f aca="false">IF(OR(E1681="",E1681="!!!"),"",IF(NOT(ISNA(VLOOKUP(E1681,E$1:E1680,1,FALSE()))),"OLD",IF(AND(E1681&lt;&gt;"",E1681&lt;&gt;"!!!"),"NEW","")))</f>
        <v/>
      </c>
      <c r="G1681" s="12" t="str">
        <f aca="false">IF(OR(E1681="",E1681="!!!"),"",IF(OR(J1681=0,AND(J1681=1,K1681=1),AND(J1681=1,I1681="SBJ"),AND(J1681=1,I1681=0)),"?IN_FOCUS",IF(J1681&lt;=2,"?ACTIVATED",IF(J1681&lt;&gt;"","?FAMILIAR",IF(F1681="NEW",IF(ISNA(VLOOKUP(E1681,#REF!,1,FALSE())),"?TYPE_IDENTIFIABLE","?REFERENTIAL"),"_")))))</f>
        <v/>
      </c>
      <c r="H1681" s="13" t="str">
        <f aca="false">IF(J1681&lt;&gt;1,"",IF(I1681="SBJ","CB","?"))</f>
        <v/>
      </c>
      <c r="I1681" s="14" t="str">
        <f aca="false">IF(OR(E1681="",E1681="!!!",F1681="NEW"),"",INDEX(B$2:B1680,-1+SUMPRODUCT(MAX(ROW(E$2:E1680)*(E1681=E$2:E1680)))))</f>
        <v/>
      </c>
      <c r="J1681" s="15" t="str">
        <f aca="true">IF(OR(E1681="",E1681="!!!",F1681="NEW"),"",COUNTBLANK(OFFSET(A$1,,,SUMPRODUCT(MAX(ROW(E$2:E1681)*(E1681=E$2:E1681)))))-COUNTBLANK(OFFSET(A$1,,,SUMPRODUCT(MAX(ROW(E$1:E1680)*(E1681=E$1:E1680))))))</f>
        <v/>
      </c>
      <c r="K1681" s="15" t="str">
        <f aca="false">IF(OR(E1681="",E1681="!!!",F1681="NEW"),"",INDEX(J$1:J1680,SUMPRODUCT(MAX(ROW(E$1:E1680)*(E1681=E$1:E1680)))))</f>
        <v/>
      </c>
      <c r="L1681" s="16"/>
    </row>
    <row r="1682" customFormat="false" ht="12.8" hidden="false" customHeight="false" outlineLevel="0" collapsed="false">
      <c r="A1682" s="0" t="s">
        <v>780</v>
      </c>
      <c r="E1682" s="10" t="str">
        <f aca="false">IF(D1682="?OLD","!!!","")</f>
        <v/>
      </c>
      <c r="F1682" s="11" t="str">
        <f aca="false">IF(OR(E1682="",E1682="!!!"),"",IF(NOT(ISNA(VLOOKUP(E1682,E$1:E1681,1,FALSE()))),"OLD",IF(AND(E1682&lt;&gt;"",E1682&lt;&gt;"!!!"),"NEW","")))</f>
        <v/>
      </c>
      <c r="G1682" s="12" t="str">
        <f aca="false">IF(OR(E1682="",E1682="!!!"),"",IF(OR(J1682=0,AND(J1682=1,K1682=1),AND(J1682=1,I1682="SBJ"),AND(J1682=1,I1682=0)),"?IN_FOCUS",IF(J1682&lt;=2,"?ACTIVATED",IF(J1682&lt;&gt;"","?FAMILIAR",IF(F1682="NEW",IF(ISNA(VLOOKUP(E1682,#REF!,1,FALSE())),"?TYPE_IDENTIFIABLE","?REFERENTIAL"),"_")))))</f>
        <v/>
      </c>
      <c r="H1682" s="13" t="str">
        <f aca="false">IF(J1682&lt;&gt;1,"",IF(I1682="SBJ","CB","?"))</f>
        <v/>
      </c>
      <c r="I1682" s="14" t="str">
        <f aca="false">IF(OR(E1682="",E1682="!!!",F1682="NEW"),"",INDEX(B$2:B1681,-1+SUMPRODUCT(MAX(ROW(E$2:E1681)*(E1682=E$2:E1681)))))</f>
        <v/>
      </c>
      <c r="J1682" s="15" t="str">
        <f aca="true">IF(OR(E1682="",E1682="!!!",F1682="NEW"),"",COUNTBLANK(OFFSET(A$1,,,SUMPRODUCT(MAX(ROW(E$2:E1682)*(E1682=E$2:E1682)))))-COUNTBLANK(OFFSET(A$1,,,SUMPRODUCT(MAX(ROW(E$1:E1681)*(E1682=E$1:E1681))))))</f>
        <v/>
      </c>
      <c r="K1682" s="15" t="str">
        <f aca="false">IF(OR(E1682="",E1682="!!!",F1682="NEW"),"",INDEX(J$1:J1681,SUMPRODUCT(MAX(ROW(E$1:E1681)*(E1682=E$1:E1681)))))</f>
        <v/>
      </c>
      <c r="L1682" s="16"/>
    </row>
    <row r="1683" customFormat="false" ht="12.8" hidden="false" customHeight="false" outlineLevel="0" collapsed="false">
      <c r="A1683" s="0" t="s">
        <v>283</v>
      </c>
      <c r="B1683" s="0" t="s">
        <v>34</v>
      </c>
      <c r="C1683" s="0" t="s">
        <v>27</v>
      </c>
      <c r="D1683" s="0" t="s">
        <v>20</v>
      </c>
      <c r="E1683" s="10" t="s">
        <v>781</v>
      </c>
      <c r="F1683" s="11" t="str">
        <f aca="false">IF(OR(E1683="",E1683="!!!"),"",IF(NOT(ISNA(VLOOKUP(E1683,E$1:E1682,1,FALSE()))),"OLD",IF(AND(E1683&lt;&gt;"",E1683&lt;&gt;"!!!"),"NEW","")))</f>
        <v>NEW</v>
      </c>
      <c r="G1683" s="12" t="s">
        <v>36</v>
      </c>
      <c r="H1683" s="13" t="str">
        <f aca="false">IF(J1683&lt;&gt;1,"",IF(I1683="SBJ","CB","?"))</f>
        <v/>
      </c>
      <c r="I1683" s="14" t="str">
        <f aca="false">IF(OR(E1683="",E1683="!!!",F1683="NEW"),"",INDEX(B$2:B1682,-1+SUMPRODUCT(MAX(ROW(E$2:E1682)*(E1683=E$2:E1682)))))</f>
        <v/>
      </c>
      <c r="J1683" s="15" t="str">
        <f aca="true">IF(OR(E1683="",E1683="!!!",F1683="NEW"),"",COUNTBLANK(OFFSET(A$1,,,SUMPRODUCT(MAX(ROW(E$2:E1683)*(E1683=E$2:E1683)))))-COUNTBLANK(OFFSET(A$1,,,SUMPRODUCT(MAX(ROW(E$1:E1682)*(E1683=E$1:E1682))))))</f>
        <v/>
      </c>
      <c r="K1683" s="15" t="str">
        <f aca="false">IF(OR(E1683="",E1683="!!!",F1683="NEW"),"",INDEX(J$1:J1682,SUMPRODUCT(MAX(ROW(E$1:E1682)*(E1683=E$1:E1682)))))</f>
        <v/>
      </c>
      <c r="L1683" s="16"/>
    </row>
    <row r="1684" customFormat="false" ht="12.8" hidden="false" customHeight="false" outlineLevel="0" collapsed="false">
      <c r="A1684" s="0" t="s">
        <v>37</v>
      </c>
      <c r="E1684" s="10" t="str">
        <f aca="false">IF(D1684="?OLD","!!!","")</f>
        <v/>
      </c>
      <c r="F1684" s="11" t="str">
        <f aca="false">IF(OR(E1684="",E1684="!!!"),"",IF(NOT(ISNA(VLOOKUP(E1684,E$1:E1683,1,FALSE()))),"OLD",IF(AND(E1684&lt;&gt;"",E1684&lt;&gt;"!!!"),"NEW","")))</f>
        <v/>
      </c>
      <c r="G1684" s="12" t="str">
        <f aca="false">IF(OR(E1684="",E1684="!!!"),"",IF(OR(J1684=0,AND(J1684=1,K1684=1),AND(J1684=1,I1684="SBJ"),AND(J1684=1,I1684=0)),"?IN_FOCUS",IF(J1684&lt;=2,"?ACTIVATED",IF(J1684&lt;&gt;"","?FAMILIAR",IF(F1684="NEW",IF(ISNA(VLOOKUP(E1684,#REF!,1,FALSE())),"?TYPE_IDENTIFIABLE","?REFERENTIAL"),"_")))))</f>
        <v/>
      </c>
      <c r="H1684" s="13" t="str">
        <f aca="false">IF(J1684&lt;&gt;1,"",IF(I1684="SBJ","CB","?"))</f>
        <v/>
      </c>
      <c r="I1684" s="14" t="str">
        <f aca="false">IF(OR(E1684="",E1684="!!!",F1684="NEW"),"",INDEX(B$2:B1683,-1+SUMPRODUCT(MAX(ROW(E$2:E1683)*(E1684=E$2:E1683)))))</f>
        <v/>
      </c>
      <c r="J1684" s="15" t="str">
        <f aca="true">IF(OR(E1684="",E1684="!!!",F1684="NEW"),"",COUNTBLANK(OFFSET(A$1,,,SUMPRODUCT(MAX(ROW(E$2:E1684)*(E1684=E$2:E1684)))))-COUNTBLANK(OFFSET(A$1,,,SUMPRODUCT(MAX(ROW(E$1:E1683)*(E1684=E$1:E1683))))))</f>
        <v/>
      </c>
      <c r="K1684" s="15" t="str">
        <f aca="false">IF(OR(E1684="",E1684="!!!",F1684="NEW"),"",INDEX(J$1:J1683,SUMPRODUCT(MAX(ROW(E$1:E1683)*(E1684=E$1:E1683)))))</f>
        <v/>
      </c>
      <c r="L1684" s="16"/>
    </row>
    <row r="1685" customFormat="false" ht="12.8" hidden="false" customHeight="false" outlineLevel="0" collapsed="false">
      <c r="A1685" s="0" t="s">
        <v>782</v>
      </c>
      <c r="E1685" s="10" t="str">
        <f aca="false">IF(D1685="?OLD","!!!","")</f>
        <v/>
      </c>
      <c r="F1685" s="11" t="str">
        <f aca="false">IF(OR(E1685="",E1685="!!!"),"",IF(NOT(ISNA(VLOOKUP(E1685,E$1:E1684,1,FALSE()))),"OLD",IF(AND(E1685&lt;&gt;"",E1685&lt;&gt;"!!!"),"NEW","")))</f>
        <v/>
      </c>
      <c r="G1685" s="12" t="str">
        <f aca="false">IF(OR(E1685="",E1685="!!!"),"",IF(OR(J1685=0,AND(J1685=1,K1685=1),AND(J1685=1,I1685="SBJ"),AND(J1685=1,I1685=0)),"?IN_FOCUS",IF(J1685&lt;=2,"?ACTIVATED",IF(J1685&lt;&gt;"","?FAMILIAR",IF(F1685="NEW",IF(ISNA(VLOOKUP(E1685,#REF!,1,FALSE())),"?TYPE_IDENTIFIABLE","?REFERENTIAL"),"_")))))</f>
        <v/>
      </c>
      <c r="H1685" s="13" t="str">
        <f aca="false">IF(J1685&lt;&gt;1,"",IF(I1685="SBJ","CB","?"))</f>
        <v/>
      </c>
      <c r="I1685" s="14" t="str">
        <f aca="false">IF(OR(E1685="",E1685="!!!",F1685="NEW"),"",INDEX(B$2:B1684,-1+SUMPRODUCT(MAX(ROW(E$2:E1684)*(E1685=E$2:E1684)))))</f>
        <v/>
      </c>
      <c r="J1685" s="15" t="str">
        <f aca="true">IF(OR(E1685="",E1685="!!!",F1685="NEW"),"",COUNTBLANK(OFFSET(A$1,,,SUMPRODUCT(MAX(ROW(E$2:E1685)*(E1685=E$2:E1685)))))-COUNTBLANK(OFFSET(A$1,,,SUMPRODUCT(MAX(ROW(E$1:E1684)*(E1685=E$1:E1684))))))</f>
        <v/>
      </c>
      <c r="K1685" s="15" t="str">
        <f aca="false">IF(OR(E1685="",E1685="!!!",F1685="NEW"),"",INDEX(J$1:J1684,SUMPRODUCT(MAX(ROW(E$1:E1684)*(E1685=E$1:E1684)))))</f>
        <v/>
      </c>
      <c r="L1685" s="16"/>
    </row>
    <row r="1686" customFormat="false" ht="12.8" hidden="false" customHeight="false" outlineLevel="0" collapsed="false">
      <c r="A1686" s="0" t="n">
        <v>55</v>
      </c>
      <c r="E1686" s="10" t="str">
        <f aca="false">IF(D1686="?OLD","!!!","")</f>
        <v/>
      </c>
      <c r="F1686" s="11" t="str">
        <f aca="false">IF(OR(E1686="",E1686="!!!"),"",IF(NOT(ISNA(VLOOKUP(E1686,E$1:E1685,1,FALSE()))),"OLD",IF(AND(E1686&lt;&gt;"",E1686&lt;&gt;"!!!"),"NEW","")))</f>
        <v/>
      </c>
      <c r="G1686" s="12" t="str">
        <f aca="false">IF(OR(E1686="",E1686="!!!"),"",IF(OR(J1686=0,AND(J1686=1,K1686=1),AND(J1686=1,I1686="SBJ"),AND(J1686=1,I1686=0)),"?IN_FOCUS",IF(J1686&lt;=2,"?ACTIVATED",IF(J1686&lt;&gt;"","?FAMILIAR",IF(F1686="NEW",IF(ISNA(VLOOKUP(E1686,#REF!,1,FALSE())),"?TYPE_IDENTIFIABLE","?REFERENTIAL"),"_")))))</f>
        <v/>
      </c>
      <c r="H1686" s="13" t="str">
        <f aca="false">IF(J1686&lt;&gt;1,"",IF(I1686="SBJ","CB","?"))</f>
        <v/>
      </c>
      <c r="I1686" s="14" t="str">
        <f aca="false">IF(OR(E1686="",E1686="!!!",F1686="NEW"),"",INDEX(B$2:B1685,-1+SUMPRODUCT(MAX(ROW(E$2:E1685)*(E1686=E$2:E1685)))))</f>
        <v/>
      </c>
      <c r="J1686" s="15" t="str">
        <f aca="true">IF(OR(E1686="",E1686="!!!",F1686="NEW"),"",COUNTBLANK(OFFSET(A$1,,,SUMPRODUCT(MAX(ROW(E$2:E1686)*(E1686=E$2:E1686)))))-COUNTBLANK(OFFSET(A$1,,,SUMPRODUCT(MAX(ROW(E$1:E1685)*(E1686=E$1:E1685))))))</f>
        <v/>
      </c>
      <c r="K1686" s="15" t="str">
        <f aca="false">IF(OR(E1686="",E1686="!!!",F1686="NEW"),"",INDEX(J$1:J1685,SUMPRODUCT(MAX(ROW(E$1:E1685)*(E1686=E$1:E1685)))))</f>
        <v/>
      </c>
      <c r="L1686" s="16"/>
    </row>
    <row r="1687" customFormat="false" ht="12.8" hidden="false" customHeight="false" outlineLevel="0" collapsed="false">
      <c r="A1687" s="0" t="s">
        <v>783</v>
      </c>
      <c r="E1687" s="10" t="str">
        <f aca="false">IF(D1687="?OLD","!!!","")</f>
        <v/>
      </c>
      <c r="F1687" s="11" t="str">
        <f aca="false">IF(OR(E1687="",E1687="!!!"),"",IF(NOT(ISNA(VLOOKUP(E1687,E$1:E1686,1,FALSE()))),"OLD",IF(AND(E1687&lt;&gt;"",E1687&lt;&gt;"!!!"),"NEW","")))</f>
        <v/>
      </c>
      <c r="G1687" s="12" t="str">
        <f aca="false">IF(OR(E1687="",E1687="!!!"),"",IF(OR(J1687=0,AND(J1687=1,K1687=1),AND(J1687=1,I1687="SBJ"),AND(J1687=1,I1687=0)),"?IN_FOCUS",IF(J1687&lt;=2,"?ACTIVATED",IF(J1687&lt;&gt;"","?FAMILIAR",IF(F1687="NEW",IF(ISNA(VLOOKUP(E1687,#REF!,1,FALSE())),"?TYPE_IDENTIFIABLE","?REFERENTIAL"),"_")))))</f>
        <v/>
      </c>
      <c r="H1687" s="13" t="str">
        <f aca="false">IF(J1687&lt;&gt;1,"",IF(I1687="SBJ","CB","?"))</f>
        <v/>
      </c>
      <c r="I1687" s="14" t="str">
        <f aca="false">IF(OR(E1687="",E1687="!!!",F1687="NEW"),"",INDEX(B$2:B1686,-1+SUMPRODUCT(MAX(ROW(E$2:E1686)*(E1687=E$2:E1686)))))</f>
        <v/>
      </c>
      <c r="J1687" s="15" t="str">
        <f aca="true">IF(OR(E1687="",E1687="!!!",F1687="NEW"),"",COUNTBLANK(OFFSET(A$1,,,SUMPRODUCT(MAX(ROW(E$2:E1687)*(E1687=E$2:E1687)))))-COUNTBLANK(OFFSET(A$1,,,SUMPRODUCT(MAX(ROW(E$1:E1686)*(E1687=E$1:E1686))))))</f>
        <v/>
      </c>
      <c r="K1687" s="15" t="str">
        <f aca="false">IF(OR(E1687="",E1687="!!!",F1687="NEW"),"",INDEX(J$1:J1686,SUMPRODUCT(MAX(ROW(E$1:E1686)*(E1687=E$1:E1686)))))</f>
        <v/>
      </c>
      <c r="L1687" s="16"/>
    </row>
    <row r="1688" customFormat="false" ht="12.8" hidden="false" customHeight="false" outlineLevel="0" collapsed="false">
      <c r="A1688" s="0" t="s">
        <v>459</v>
      </c>
      <c r="B1688" s="0" t="s">
        <v>85</v>
      </c>
      <c r="C1688" s="0" t="s">
        <v>15</v>
      </c>
      <c r="E1688" s="10" t="str">
        <f aca="false">IF(D1688="?OLD","!!!","")</f>
        <v/>
      </c>
      <c r="F1688" s="11" t="str">
        <f aca="false">IF(OR(E1688="",E1688="!!!"),"",IF(NOT(ISNA(VLOOKUP(E1688,E$1:E1687,1,FALSE()))),"OLD",IF(AND(E1688&lt;&gt;"",E1688&lt;&gt;"!!!"),"NEW","")))</f>
        <v/>
      </c>
      <c r="G1688" s="12" t="str">
        <f aca="false">IF(OR(E1688="",E1688="!!!"),"",IF(OR(J1688=0,AND(J1688=1,K1688=1),AND(J1688=1,I1688="SBJ"),AND(J1688=1,I1688=0)),"?IN_FOCUS",IF(J1688&lt;=2,"?ACTIVATED",IF(J1688&lt;&gt;"","?FAMILIAR",IF(F1688="NEW",IF(ISNA(VLOOKUP(E1688,#REF!,1,FALSE())),"?TYPE_IDENTIFIABLE","?REFERENTIAL"),"_")))))</f>
        <v/>
      </c>
      <c r="H1688" s="13" t="str">
        <f aca="false">IF(J1688&lt;&gt;1,"",IF(I1688="SBJ","CB","?"))</f>
        <v/>
      </c>
      <c r="I1688" s="14" t="str">
        <f aca="false">IF(OR(E1688="",E1688="!!!",F1688="NEW"),"",INDEX(B$2:B1687,-1+SUMPRODUCT(MAX(ROW(E$2:E1687)*(E1688=E$2:E1687)))))</f>
        <v/>
      </c>
      <c r="J1688" s="15" t="str">
        <f aca="true">IF(OR(E1688="",E1688="!!!",F1688="NEW"),"",COUNTBLANK(OFFSET(A$1,,,SUMPRODUCT(MAX(ROW(E$2:E1688)*(E1688=E$2:E1688)))))-COUNTBLANK(OFFSET(A$1,,,SUMPRODUCT(MAX(ROW(E$1:E1687)*(E1688=E$1:E1687))))))</f>
        <v/>
      </c>
      <c r="K1688" s="15" t="str">
        <f aca="false">IF(OR(E1688="",E1688="!!!",F1688="NEW"),"",INDEX(J$1:J1687,SUMPRODUCT(MAX(ROW(E$1:E1687)*(E1688=E$1:E1687)))))</f>
        <v/>
      </c>
      <c r="L1688" s="16"/>
    </row>
    <row r="1689" customFormat="false" ht="12.8" hidden="false" customHeight="false" outlineLevel="0" collapsed="false">
      <c r="A1689" s="0" t="s">
        <v>76</v>
      </c>
      <c r="E1689" s="10" t="str">
        <f aca="false">IF(D1689="?OLD","!!!","")</f>
        <v/>
      </c>
      <c r="F1689" s="11" t="str">
        <f aca="false">IF(OR(E1689="",E1689="!!!"),"",IF(NOT(ISNA(VLOOKUP(E1689,E$1:E1688,1,FALSE()))),"OLD",IF(AND(E1689&lt;&gt;"",E1689&lt;&gt;"!!!"),"NEW","")))</f>
        <v/>
      </c>
      <c r="G1689" s="12" t="str">
        <f aca="false">IF(OR(E1689="",E1689="!!!"),"",IF(OR(J1689=0,AND(J1689=1,K1689=1),AND(J1689=1,I1689="SBJ"),AND(J1689=1,I1689=0)),"?IN_FOCUS",IF(J1689&lt;=2,"?ACTIVATED",IF(J1689&lt;&gt;"","?FAMILIAR",IF(F1689="NEW",IF(ISNA(VLOOKUP(E1689,#REF!,1,FALSE())),"?TYPE_IDENTIFIABLE","?REFERENTIAL"),"_")))))</f>
        <v/>
      </c>
      <c r="H1689" s="13" t="str">
        <f aca="false">IF(J1689&lt;&gt;1,"",IF(I1689="SBJ","CB","?"))</f>
        <v/>
      </c>
      <c r="I1689" s="14" t="str">
        <f aca="false">IF(OR(E1689="",E1689="!!!",F1689="NEW"),"",INDEX(B$2:B1688,-1+SUMPRODUCT(MAX(ROW(E$2:E1688)*(E1689=E$2:E1688)))))</f>
        <v/>
      </c>
      <c r="J1689" s="15" t="str">
        <f aca="true">IF(OR(E1689="",E1689="!!!",F1689="NEW"),"",COUNTBLANK(OFFSET(A$1,,,SUMPRODUCT(MAX(ROW(E$2:E1689)*(E1689=E$2:E1689)))))-COUNTBLANK(OFFSET(A$1,,,SUMPRODUCT(MAX(ROW(E$1:E1688)*(E1689=E$1:E1688))))))</f>
        <v/>
      </c>
      <c r="K1689" s="15" t="str">
        <f aca="false">IF(OR(E1689="",E1689="!!!",F1689="NEW"),"",INDEX(J$1:J1688,SUMPRODUCT(MAX(ROW(E$1:E1688)*(E1689=E$1:E1688)))))</f>
        <v/>
      </c>
      <c r="L1689" s="16"/>
    </row>
    <row r="1690" customFormat="false" ht="12.8" hidden="false" customHeight="false" outlineLevel="0" collapsed="false">
      <c r="E1690" s="10" t="str">
        <f aca="false">IF(D1690="?OLD","!!!","")</f>
        <v/>
      </c>
      <c r="F1690" s="11" t="str">
        <f aca="false">IF(OR(E1690="",E1690="!!!"),"",IF(NOT(ISNA(VLOOKUP(E1690,E$1:E1689,1,FALSE()))),"OLD",IF(AND(E1690&lt;&gt;"",E1690&lt;&gt;"!!!"),"NEW","")))</f>
        <v/>
      </c>
      <c r="G1690" s="12" t="str">
        <f aca="false">IF(OR(E1690="",E1690="!!!"),"",IF(OR(J1690=0,AND(J1690=1,K1690=1),AND(J1690=1,I1690="SBJ"),AND(J1690=1,I1690=0)),"?IN_FOCUS",IF(J1690&lt;=2,"?ACTIVATED",IF(J1690&lt;&gt;"","?FAMILIAR",IF(F1690="NEW",IF(ISNA(VLOOKUP(E1690,#REF!,1,FALSE())),"?TYPE_IDENTIFIABLE","?REFERENTIAL"),"_")))))</f>
        <v/>
      </c>
      <c r="H1690" s="13" t="str">
        <f aca="false">IF(J1690&lt;&gt;1,"",IF(I1690="SBJ","CB","?"))</f>
        <v/>
      </c>
      <c r="I1690" s="14" t="str">
        <f aca="false">IF(OR(E1690="",E1690="!!!",F1690="NEW"),"",INDEX(B$2:B1689,-1+SUMPRODUCT(MAX(ROW(E$2:E1689)*(E1690=E$2:E1689)))))</f>
        <v/>
      </c>
      <c r="J1690" s="15" t="str">
        <f aca="true">IF(OR(E1690="",E1690="!!!",F1690="NEW"),"",COUNTBLANK(OFFSET(A$1,,,SUMPRODUCT(MAX(ROW(E$2:E1690)*(E1690=E$2:E1690)))))-COUNTBLANK(OFFSET(A$1,,,SUMPRODUCT(MAX(ROW(E$1:E1689)*(E1690=E$1:E1689))))))</f>
        <v/>
      </c>
      <c r="K1690" s="15" t="str">
        <f aca="false">IF(OR(E1690="",E1690="!!!",F1690="NEW"),"",INDEX(J$1:J1689,SUMPRODUCT(MAX(ROW(E$1:E1689)*(E1690=E$1:E1689)))))</f>
        <v/>
      </c>
      <c r="L1690" s="16"/>
    </row>
    <row r="1691" customFormat="false" ht="12.8" hidden="false" customHeight="false" outlineLevel="0" collapsed="false">
      <c r="A1691" s="0" t="s">
        <v>784</v>
      </c>
      <c r="E1691" s="10" t="str">
        <f aca="false">IF(D1691="?OLD","!!!","")</f>
        <v/>
      </c>
      <c r="F1691" s="11" t="str">
        <f aca="false">IF(OR(E1691="",E1691="!!!"),"",IF(NOT(ISNA(VLOOKUP(E1691,E$1:E1690,1,FALSE()))),"OLD",IF(AND(E1691&lt;&gt;"",E1691&lt;&gt;"!!!"),"NEW","")))</f>
        <v/>
      </c>
      <c r="G1691" s="12" t="str">
        <f aca="false">IF(OR(E1691="",E1691="!!!"),"",IF(OR(J1691=0,AND(J1691=1,K1691=1),AND(J1691=1,I1691="SBJ"),AND(J1691=1,I1691=0)),"?IN_FOCUS",IF(J1691&lt;=2,"?ACTIVATED",IF(J1691&lt;&gt;"","?FAMILIAR",IF(F1691="NEW",IF(ISNA(VLOOKUP(E1691,#REF!,1,FALSE())),"?TYPE_IDENTIFIABLE","?REFERENTIAL"),"_")))))</f>
        <v/>
      </c>
      <c r="H1691" s="13" t="str">
        <f aca="false">IF(J1691&lt;&gt;1,"",IF(I1691="SBJ","CB","?"))</f>
        <v/>
      </c>
      <c r="I1691" s="14" t="str">
        <f aca="false">IF(OR(E1691="",E1691="!!!",F1691="NEW"),"",INDEX(B$2:B1690,-1+SUMPRODUCT(MAX(ROW(E$2:E1690)*(E1691=E$2:E1690)))))</f>
        <v/>
      </c>
      <c r="J1691" s="15" t="str">
        <f aca="true">IF(OR(E1691="",E1691="!!!",F1691="NEW"),"",COUNTBLANK(OFFSET(A$1,,,SUMPRODUCT(MAX(ROW(E$2:E1691)*(E1691=E$2:E1691)))))-COUNTBLANK(OFFSET(A$1,,,SUMPRODUCT(MAX(ROW(E$1:E1690)*(E1691=E$1:E1690))))))</f>
        <v/>
      </c>
      <c r="K1691" s="15" t="str">
        <f aca="false">IF(OR(E1691="",E1691="!!!",F1691="NEW"),"",INDEX(J$1:J1690,SUMPRODUCT(MAX(ROW(E$1:E1690)*(E1691=E$1:E1690)))))</f>
        <v/>
      </c>
      <c r="L1691" s="16"/>
    </row>
    <row r="1692" customFormat="false" ht="12.8" hidden="false" customHeight="false" outlineLevel="0" collapsed="false">
      <c r="A1692" s="0" t="s">
        <v>24</v>
      </c>
      <c r="E1692" s="10" t="str">
        <f aca="false">IF(D1692="?OLD","!!!","")</f>
        <v/>
      </c>
      <c r="F1692" s="11" t="str">
        <f aca="false">IF(OR(E1692="",E1692="!!!"),"",IF(NOT(ISNA(VLOOKUP(E1692,E$1:E1691,1,FALSE()))),"OLD",IF(AND(E1692&lt;&gt;"",E1692&lt;&gt;"!!!"),"NEW","")))</f>
        <v/>
      </c>
      <c r="G1692" s="12" t="str">
        <f aca="false">IF(OR(E1692="",E1692="!!!"),"",IF(OR(J1692=0,AND(J1692=1,K1692=1),AND(J1692=1,I1692="SBJ"),AND(J1692=1,I1692=0)),"?IN_FOCUS",IF(J1692&lt;=2,"?ACTIVATED",IF(J1692&lt;&gt;"","?FAMILIAR",IF(F1692="NEW",IF(ISNA(VLOOKUP(E1692,#REF!,1,FALSE())),"?TYPE_IDENTIFIABLE","?REFERENTIAL"),"_")))))</f>
        <v/>
      </c>
      <c r="H1692" s="13" t="str">
        <f aca="false">IF(J1692&lt;&gt;1,"",IF(I1692="SBJ","CB","?"))</f>
        <v/>
      </c>
      <c r="I1692" s="14" t="str">
        <f aca="false">IF(OR(E1692="",E1692="!!!",F1692="NEW"),"",INDEX(B$2:B1691,-1+SUMPRODUCT(MAX(ROW(E$2:E1691)*(E1692=E$2:E1691)))))</f>
        <v/>
      </c>
      <c r="J1692" s="15" t="str">
        <f aca="true">IF(OR(E1692="",E1692="!!!",F1692="NEW"),"",COUNTBLANK(OFFSET(A$1,,,SUMPRODUCT(MAX(ROW(E$2:E1692)*(E1692=E$2:E1692)))))-COUNTBLANK(OFFSET(A$1,,,SUMPRODUCT(MAX(ROW(E$1:E1691)*(E1692=E$1:E1691))))))</f>
        <v/>
      </c>
      <c r="K1692" s="15" t="str">
        <f aca="false">IF(OR(E1692="",E1692="!!!",F1692="NEW"),"",INDEX(J$1:J1691,SUMPRODUCT(MAX(ROW(E$1:E1691)*(E1692=E$1:E1691)))))</f>
        <v/>
      </c>
      <c r="L1692" s="16"/>
    </row>
    <row r="1693" customFormat="false" ht="12.8" hidden="false" customHeight="false" outlineLevel="0" collapsed="false">
      <c r="A1693" s="0" t="s">
        <v>389</v>
      </c>
      <c r="E1693" s="10" t="str">
        <f aca="false">IF(D1693="?OLD","!!!","")</f>
        <v/>
      </c>
      <c r="F1693" s="11" t="str">
        <f aca="false">IF(OR(E1693="",E1693="!!!"),"",IF(NOT(ISNA(VLOOKUP(E1693,E$1:E1692,1,FALSE()))),"OLD",IF(AND(E1693&lt;&gt;"",E1693&lt;&gt;"!!!"),"NEW","")))</f>
        <v/>
      </c>
      <c r="G1693" s="12" t="str">
        <f aca="false">IF(OR(E1693="",E1693="!!!"),"",IF(OR(J1693=0,AND(J1693=1,K1693=1),AND(J1693=1,I1693="SBJ"),AND(J1693=1,I1693=0)),"?IN_FOCUS",IF(J1693&lt;=2,"?ACTIVATED",IF(J1693&lt;&gt;"","?FAMILIAR",IF(F1693="NEW",IF(ISNA(VLOOKUP(E1693,#REF!,1,FALSE())),"?TYPE_IDENTIFIABLE","?REFERENTIAL"),"_")))))</f>
        <v/>
      </c>
      <c r="H1693" s="13" t="str">
        <f aca="false">IF(J1693&lt;&gt;1,"",IF(I1693="SBJ","CB","?"))</f>
        <v/>
      </c>
      <c r="I1693" s="14" t="str">
        <f aca="false">IF(OR(E1693="",E1693="!!!",F1693="NEW"),"",INDEX(B$2:B1692,-1+SUMPRODUCT(MAX(ROW(E$2:E1692)*(E1693=E$2:E1692)))))</f>
        <v/>
      </c>
      <c r="J1693" s="15" t="str">
        <f aca="true">IF(OR(E1693="",E1693="!!!",F1693="NEW"),"",COUNTBLANK(OFFSET(A$1,,,SUMPRODUCT(MAX(ROW(E$2:E1693)*(E1693=E$2:E1693)))))-COUNTBLANK(OFFSET(A$1,,,SUMPRODUCT(MAX(ROW(E$1:E1692)*(E1693=E$1:E1692))))))</f>
        <v/>
      </c>
      <c r="K1693" s="15" t="str">
        <f aca="false">IF(OR(E1693="",E1693="!!!",F1693="NEW"),"",INDEX(J$1:J1692,SUMPRODUCT(MAX(ROW(E$1:E1692)*(E1693=E$1:E1692)))))</f>
        <v/>
      </c>
      <c r="L1693" s="16"/>
    </row>
    <row r="1694" customFormat="false" ht="12.8" hidden="false" customHeight="false" outlineLevel="0" collapsed="false">
      <c r="A1694" s="0" t="s">
        <v>785</v>
      </c>
      <c r="E1694" s="10" t="str">
        <f aca="false">IF(D1694="?OLD","!!!","")</f>
        <v/>
      </c>
      <c r="F1694" s="11" t="str">
        <f aca="false">IF(OR(E1694="",E1694="!!!"),"",IF(NOT(ISNA(VLOOKUP(E1694,E$1:E1693,1,FALSE()))),"OLD",IF(AND(E1694&lt;&gt;"",E1694&lt;&gt;"!!!"),"NEW","")))</f>
        <v/>
      </c>
      <c r="G1694" s="12" t="str">
        <f aca="false">IF(OR(E1694="",E1694="!!!"),"",IF(OR(J1694=0,AND(J1694=1,K1694=1),AND(J1694=1,I1694="SBJ"),AND(J1694=1,I1694=0)),"?IN_FOCUS",IF(J1694&lt;=2,"?ACTIVATED",IF(J1694&lt;&gt;"","?FAMILIAR",IF(F1694="NEW",IF(ISNA(VLOOKUP(E1694,#REF!,1,FALSE())),"?TYPE_IDENTIFIABLE","?REFERENTIAL"),"_")))))</f>
        <v/>
      </c>
      <c r="H1694" s="13" t="str">
        <f aca="false">IF(J1694&lt;&gt;1,"",IF(I1694="SBJ","CB","?"))</f>
        <v/>
      </c>
      <c r="I1694" s="14" t="str">
        <f aca="false">IF(OR(E1694="",E1694="!!!",F1694="NEW"),"",INDEX(B$2:B1693,-1+SUMPRODUCT(MAX(ROW(E$2:E1693)*(E1694=E$2:E1693)))))</f>
        <v/>
      </c>
      <c r="J1694" s="15" t="str">
        <f aca="true">IF(OR(E1694="",E1694="!!!",F1694="NEW"),"",COUNTBLANK(OFFSET(A$1,,,SUMPRODUCT(MAX(ROW(E$2:E1694)*(E1694=E$2:E1694)))))-COUNTBLANK(OFFSET(A$1,,,SUMPRODUCT(MAX(ROW(E$1:E1693)*(E1694=E$1:E1693))))))</f>
        <v/>
      </c>
      <c r="K1694" s="15" t="str">
        <f aca="false">IF(OR(E1694="",E1694="!!!",F1694="NEW"),"",INDEX(J$1:J1693,SUMPRODUCT(MAX(ROW(E$1:E1693)*(E1694=E$1:E1693)))))</f>
        <v/>
      </c>
      <c r="L1694" s="16"/>
    </row>
    <row r="1695" customFormat="false" ht="12.8" hidden="false" customHeight="false" outlineLevel="0" collapsed="false">
      <c r="A1695" s="0" t="s">
        <v>283</v>
      </c>
      <c r="B1695" s="0" t="s">
        <v>14</v>
      </c>
      <c r="C1695" s="0" t="s">
        <v>589</v>
      </c>
      <c r="D1695" s="0" t="s">
        <v>20</v>
      </c>
      <c r="E1695" s="10" t="s">
        <v>786</v>
      </c>
      <c r="F1695" s="11" t="str">
        <f aca="false">IF(OR(E1695="",E1695="!!!"),"",IF(NOT(ISNA(VLOOKUP(E1695,E$1:E1694,1,FALSE()))),"OLD",IF(AND(E1695&lt;&gt;"",E1695&lt;&gt;"!!!"),"NEW","")))</f>
        <v>NEW</v>
      </c>
      <c r="G1695" s="12" t="s">
        <v>36</v>
      </c>
      <c r="H1695" s="13" t="str">
        <f aca="false">IF(J1695&lt;&gt;1,"",IF(I1695="SBJ","CB","?"))</f>
        <v/>
      </c>
      <c r="I1695" s="14" t="str">
        <f aca="false">IF(OR(E1695="",E1695="!!!",F1695="NEW"),"",INDEX(B$2:B1694,-1+SUMPRODUCT(MAX(ROW(E$2:E1694)*(E1695=E$2:E1694)))))</f>
        <v/>
      </c>
      <c r="J1695" s="15" t="str">
        <f aca="true">IF(OR(E1695="",E1695="!!!",F1695="NEW"),"",COUNTBLANK(OFFSET(A$1,,,SUMPRODUCT(MAX(ROW(E$2:E1695)*(E1695=E$2:E1695)))))-COUNTBLANK(OFFSET(A$1,,,SUMPRODUCT(MAX(ROW(E$1:E1694)*(E1695=E$1:E1694))))))</f>
        <v/>
      </c>
      <c r="K1695" s="15" t="str">
        <f aca="false">IF(OR(E1695="",E1695="!!!",F1695="NEW"),"",INDEX(J$1:J1694,SUMPRODUCT(MAX(ROW(E$1:E1694)*(E1695=E$1:E1694)))))</f>
        <v/>
      </c>
      <c r="L1695" s="16"/>
    </row>
    <row r="1696" customFormat="false" ht="12.8" hidden="false" customHeight="false" outlineLevel="0" collapsed="false">
      <c r="A1696" s="0" t="s">
        <v>44</v>
      </c>
      <c r="E1696" s="10" t="str">
        <f aca="false">IF(D1696="?OLD","!!!","")</f>
        <v/>
      </c>
      <c r="F1696" s="11" t="str">
        <f aca="false">IF(OR(E1696="",E1696="!!!"),"",IF(NOT(ISNA(VLOOKUP(E1696,E$1:E1695,1,FALSE()))),"OLD",IF(AND(E1696&lt;&gt;"",E1696&lt;&gt;"!!!"),"NEW","")))</f>
        <v/>
      </c>
      <c r="G1696" s="12" t="str">
        <f aca="false">IF(OR(E1696="",E1696="!!!"),"",IF(OR(J1696=0,AND(J1696=1,K1696=1),AND(J1696=1,I1696="SBJ"),AND(J1696=1,I1696=0)),"?IN_FOCUS",IF(J1696&lt;=2,"?ACTIVATED",IF(J1696&lt;&gt;"","?FAMILIAR",IF(F1696="NEW",IF(ISNA(VLOOKUP(E1696,#REF!,1,FALSE())),"?TYPE_IDENTIFIABLE","?REFERENTIAL"),"_")))))</f>
        <v/>
      </c>
      <c r="H1696" s="13" t="str">
        <f aca="false">IF(J1696&lt;&gt;1,"",IF(I1696="SBJ","CB","?"))</f>
        <v/>
      </c>
      <c r="I1696" s="14" t="str">
        <f aca="false">IF(OR(E1696="",E1696="!!!",F1696="NEW"),"",INDEX(B$2:B1695,-1+SUMPRODUCT(MAX(ROW(E$2:E1695)*(E1696=E$2:E1695)))))</f>
        <v/>
      </c>
      <c r="J1696" s="15" t="str">
        <f aca="true">IF(OR(E1696="",E1696="!!!",F1696="NEW"),"",COUNTBLANK(OFFSET(A$1,,,SUMPRODUCT(MAX(ROW(E$2:E1696)*(E1696=E$2:E1696)))))-COUNTBLANK(OFFSET(A$1,,,SUMPRODUCT(MAX(ROW(E$1:E1695)*(E1696=E$1:E1695))))))</f>
        <v/>
      </c>
      <c r="K1696" s="15" t="str">
        <f aca="false">IF(OR(E1696="",E1696="!!!",F1696="NEW"),"",INDEX(J$1:J1695,SUMPRODUCT(MAX(ROW(E$1:E1695)*(E1696=E$1:E1695)))))</f>
        <v/>
      </c>
      <c r="L1696" s="16"/>
    </row>
    <row r="1697" customFormat="false" ht="12.8" hidden="false" customHeight="false" outlineLevel="0" collapsed="false">
      <c r="A1697" s="0" t="n">
        <v>78</v>
      </c>
      <c r="E1697" s="10" t="str">
        <f aca="false">IF(D1697="?OLD","!!!","")</f>
        <v/>
      </c>
      <c r="F1697" s="11" t="str">
        <f aca="false">IF(OR(E1697="",E1697="!!!"),"",IF(NOT(ISNA(VLOOKUP(E1697,E$1:E1696,1,FALSE()))),"OLD",IF(AND(E1697&lt;&gt;"",E1697&lt;&gt;"!!!"),"NEW","")))</f>
        <v/>
      </c>
      <c r="G1697" s="12" t="str">
        <f aca="false">IF(OR(E1697="",E1697="!!!"),"",IF(OR(J1697=0,AND(J1697=1,K1697=1),AND(J1697=1,I1697="SBJ"),AND(J1697=1,I1697=0)),"?IN_FOCUS",IF(J1697&lt;=2,"?ACTIVATED",IF(J1697&lt;&gt;"","?FAMILIAR",IF(F1697="NEW",IF(ISNA(VLOOKUP(E1697,#REF!,1,FALSE())),"?TYPE_IDENTIFIABLE","?REFERENTIAL"),"_")))))</f>
        <v/>
      </c>
      <c r="H1697" s="13" t="str">
        <f aca="false">IF(J1697&lt;&gt;1,"",IF(I1697="SBJ","CB","?"))</f>
        <v/>
      </c>
      <c r="I1697" s="14" t="str">
        <f aca="false">IF(OR(E1697="",E1697="!!!",F1697="NEW"),"",INDEX(B$2:B1696,-1+SUMPRODUCT(MAX(ROW(E$2:E1696)*(E1697=E$2:E1696)))))</f>
        <v/>
      </c>
      <c r="J1697" s="15" t="str">
        <f aca="true">IF(OR(E1697="",E1697="!!!",F1697="NEW"),"",COUNTBLANK(OFFSET(A$1,,,SUMPRODUCT(MAX(ROW(E$2:E1697)*(E1697=E$2:E1697)))))-COUNTBLANK(OFFSET(A$1,,,SUMPRODUCT(MAX(ROW(E$1:E1696)*(E1697=E$1:E1696))))))</f>
        <v/>
      </c>
      <c r="K1697" s="15" t="str">
        <f aca="false">IF(OR(E1697="",E1697="!!!",F1697="NEW"),"",INDEX(J$1:J1696,SUMPRODUCT(MAX(ROW(E$1:E1696)*(E1697=E$1:E1696)))))</f>
        <v/>
      </c>
      <c r="L1697" s="16"/>
    </row>
    <row r="1698" customFormat="false" ht="12.8" hidden="false" customHeight="false" outlineLevel="0" collapsed="false">
      <c r="A1698" s="0" t="s">
        <v>783</v>
      </c>
      <c r="E1698" s="10" t="str">
        <f aca="false">IF(D1698="?OLD","!!!","")</f>
        <v/>
      </c>
      <c r="F1698" s="11" t="str">
        <f aca="false">IF(OR(E1698="",E1698="!!!"),"",IF(NOT(ISNA(VLOOKUP(E1698,E$1:E1697,1,FALSE()))),"OLD",IF(AND(E1698&lt;&gt;"",E1698&lt;&gt;"!!!"),"NEW","")))</f>
        <v/>
      </c>
      <c r="G1698" s="12" t="str">
        <f aca="false">IF(OR(E1698="",E1698="!!!"),"",IF(OR(J1698=0,AND(J1698=1,K1698=1),AND(J1698=1,I1698="SBJ"),AND(J1698=1,I1698=0)),"?IN_FOCUS",IF(J1698&lt;=2,"?ACTIVATED",IF(J1698&lt;&gt;"","?FAMILIAR",IF(F1698="NEW",IF(ISNA(VLOOKUP(E1698,#REF!,1,FALSE())),"?TYPE_IDENTIFIABLE","?REFERENTIAL"),"_")))))</f>
        <v/>
      </c>
      <c r="H1698" s="13" t="str">
        <f aca="false">IF(J1698&lt;&gt;1,"",IF(I1698="SBJ","CB","?"))</f>
        <v/>
      </c>
      <c r="I1698" s="14" t="str">
        <f aca="false">IF(OR(E1698="",E1698="!!!",F1698="NEW"),"",INDEX(B$2:B1697,-1+SUMPRODUCT(MAX(ROW(E$2:E1697)*(E1698=E$2:E1697)))))</f>
        <v/>
      </c>
      <c r="J1698" s="15" t="str">
        <f aca="true">IF(OR(E1698="",E1698="!!!",F1698="NEW"),"",COUNTBLANK(OFFSET(A$1,,,SUMPRODUCT(MAX(ROW(E$2:E1698)*(E1698=E$2:E1698)))))-COUNTBLANK(OFFSET(A$1,,,SUMPRODUCT(MAX(ROW(E$1:E1697)*(E1698=E$1:E1697))))))</f>
        <v/>
      </c>
      <c r="K1698" s="15" t="str">
        <f aca="false">IF(OR(E1698="",E1698="!!!",F1698="NEW"),"",INDEX(J$1:J1697,SUMPRODUCT(MAX(ROW(E$1:E1697)*(E1698=E$1:E1697)))))</f>
        <v/>
      </c>
      <c r="L1698" s="16"/>
    </row>
    <row r="1699" customFormat="false" ht="12.8" hidden="false" customHeight="false" outlineLevel="0" collapsed="false">
      <c r="A1699" s="0" t="s">
        <v>76</v>
      </c>
      <c r="E1699" s="10" t="str">
        <f aca="false">IF(D1699="?OLD","!!!","")</f>
        <v/>
      </c>
      <c r="F1699" s="11" t="str">
        <f aca="false">IF(OR(E1699="",E1699="!!!"),"",IF(NOT(ISNA(VLOOKUP(E1699,E$1:E1698,1,FALSE()))),"OLD",IF(AND(E1699&lt;&gt;"",E1699&lt;&gt;"!!!"),"NEW","")))</f>
        <v/>
      </c>
      <c r="G1699" s="12" t="str">
        <f aca="false">IF(OR(E1699="",E1699="!!!"),"",IF(OR(J1699=0,AND(J1699=1,K1699=1),AND(J1699=1,I1699="SBJ"),AND(J1699=1,I1699=0)),"?IN_FOCUS",IF(J1699&lt;=2,"?ACTIVATED",IF(J1699&lt;&gt;"","?FAMILIAR",IF(F1699="NEW",IF(ISNA(VLOOKUP(E1699,#REF!,1,FALSE())),"?TYPE_IDENTIFIABLE","?REFERENTIAL"),"_")))))</f>
        <v/>
      </c>
      <c r="H1699" s="13" t="str">
        <f aca="false">IF(J1699&lt;&gt;1,"",IF(I1699="SBJ","CB","?"))</f>
        <v/>
      </c>
      <c r="I1699" s="14" t="str">
        <f aca="false">IF(OR(E1699="",E1699="!!!",F1699="NEW"),"",INDEX(B$2:B1698,-1+SUMPRODUCT(MAX(ROW(E$2:E1698)*(E1699=E$2:E1698)))))</f>
        <v/>
      </c>
      <c r="J1699" s="15" t="str">
        <f aca="true">IF(OR(E1699="",E1699="!!!",F1699="NEW"),"",COUNTBLANK(OFFSET(A$1,,,SUMPRODUCT(MAX(ROW(E$2:E1699)*(E1699=E$2:E1699)))))-COUNTBLANK(OFFSET(A$1,,,SUMPRODUCT(MAX(ROW(E$1:E1698)*(E1699=E$1:E1698))))))</f>
        <v/>
      </c>
      <c r="K1699" s="15" t="str">
        <f aca="false">IF(OR(E1699="",E1699="!!!",F1699="NEW"),"",INDEX(J$1:J1698,SUMPRODUCT(MAX(ROW(E$1:E1698)*(E1699=E$1:E1698)))))</f>
        <v/>
      </c>
      <c r="L1699" s="16"/>
    </row>
    <row r="1700" customFormat="false" ht="12.8" hidden="false" customHeight="false" outlineLevel="0" collapsed="false">
      <c r="E1700" s="10" t="str">
        <f aca="false">IF(D1700="?OLD","!!!","")</f>
        <v/>
      </c>
      <c r="F1700" s="11" t="str">
        <f aca="false">IF(OR(E1700="",E1700="!!!"),"",IF(NOT(ISNA(VLOOKUP(E1700,E$1:E1699,1,FALSE()))),"OLD",IF(AND(E1700&lt;&gt;"",E1700&lt;&gt;"!!!"),"NEW","")))</f>
        <v/>
      </c>
      <c r="G1700" s="12" t="str">
        <f aca="false">IF(OR(E1700="",E1700="!!!"),"",IF(OR(J1700=0,AND(J1700=1,K1700=1),AND(J1700=1,I1700="SBJ"),AND(J1700=1,I1700=0)),"?IN_FOCUS",IF(J1700&lt;=2,"?ACTIVATED",IF(J1700&lt;&gt;"","?FAMILIAR",IF(F1700="NEW",IF(ISNA(VLOOKUP(E1700,#REF!,1,FALSE())),"?TYPE_IDENTIFIABLE","?REFERENTIAL"),"_")))))</f>
        <v/>
      </c>
      <c r="H1700" s="13" t="str">
        <f aca="false">IF(J1700&lt;&gt;1,"",IF(I1700="SBJ","CB","?"))</f>
        <v/>
      </c>
      <c r="I1700" s="14" t="str">
        <f aca="false">IF(OR(E1700="",E1700="!!!",F1700="NEW"),"",INDEX(B$2:B1699,-1+SUMPRODUCT(MAX(ROW(E$2:E1699)*(E1700=E$2:E1699)))))</f>
        <v/>
      </c>
      <c r="J1700" s="15" t="str">
        <f aca="true">IF(OR(E1700="",E1700="!!!",F1700="NEW"),"",COUNTBLANK(OFFSET(A$1,,,SUMPRODUCT(MAX(ROW(E$2:E1700)*(E1700=E$2:E1700)))))-COUNTBLANK(OFFSET(A$1,,,SUMPRODUCT(MAX(ROW(E$1:E1699)*(E1700=E$1:E1699))))))</f>
        <v/>
      </c>
      <c r="K1700" s="15" t="str">
        <f aca="false">IF(OR(E1700="",E1700="!!!",F1700="NEW"),"",INDEX(J$1:J1699,SUMPRODUCT(MAX(ROW(E$1:E1699)*(E1700=E$1:E1699)))))</f>
        <v/>
      </c>
      <c r="L1700" s="16"/>
    </row>
    <row r="1701" customFormat="false" ht="12.8" hidden="false" customHeight="false" outlineLevel="0" collapsed="false">
      <c r="A1701" s="0" t="s">
        <v>787</v>
      </c>
      <c r="E1701" s="10" t="str">
        <f aca="false">IF(D1701="?OLD","!!!","")</f>
        <v/>
      </c>
      <c r="F1701" s="11" t="str">
        <f aca="false">IF(OR(E1701="",E1701="!!!"),"",IF(NOT(ISNA(VLOOKUP(E1701,E$1:E1700,1,FALSE()))),"OLD",IF(AND(E1701&lt;&gt;"",E1701&lt;&gt;"!!!"),"NEW","")))</f>
        <v/>
      </c>
      <c r="G1701" s="12" t="str">
        <f aca="false">IF(OR(E1701="",E1701="!!!"),"",IF(OR(J1701=0,AND(J1701=1,K1701=1),AND(J1701=1,I1701="SBJ"),AND(J1701=1,I1701=0)),"?IN_FOCUS",IF(J1701&lt;=2,"?ACTIVATED",IF(J1701&lt;&gt;"","?FAMILIAR",IF(F1701="NEW",IF(ISNA(VLOOKUP(E1701,#REF!,1,FALSE())),"?TYPE_IDENTIFIABLE","?REFERENTIAL"),"_")))))</f>
        <v/>
      </c>
      <c r="H1701" s="13" t="str">
        <f aca="false">IF(J1701&lt;&gt;1,"",IF(I1701="SBJ","CB","?"))</f>
        <v/>
      </c>
      <c r="I1701" s="14" t="str">
        <f aca="false">IF(OR(E1701="",E1701="!!!",F1701="NEW"),"",INDEX(B$2:B1700,-1+SUMPRODUCT(MAX(ROW(E$2:E1700)*(E1701=E$2:E1700)))))</f>
        <v/>
      </c>
      <c r="J1701" s="15" t="str">
        <f aca="true">IF(OR(E1701="",E1701="!!!",F1701="NEW"),"",COUNTBLANK(OFFSET(A$1,,,SUMPRODUCT(MAX(ROW(E$2:E1701)*(E1701=E$2:E1701)))))-COUNTBLANK(OFFSET(A$1,,,SUMPRODUCT(MAX(ROW(E$1:E1700)*(E1701=E$1:E1700))))))</f>
        <v/>
      </c>
      <c r="K1701" s="15" t="str">
        <f aca="false">IF(OR(E1701="",E1701="!!!",F1701="NEW"),"",INDEX(J$1:J1700,SUMPRODUCT(MAX(ROW(E$1:E1700)*(E1701=E$1:E1700)))))</f>
        <v/>
      </c>
      <c r="L1701" s="16"/>
    </row>
    <row r="1702" customFormat="false" ht="12.8" hidden="false" customHeight="false" outlineLevel="0" collapsed="false">
      <c r="A1702" s="0" t="s">
        <v>468</v>
      </c>
      <c r="B1702" s="0" t="s">
        <v>34</v>
      </c>
      <c r="C1702" s="0" t="s">
        <v>215</v>
      </c>
      <c r="D1702" s="0" t="s">
        <v>20</v>
      </c>
      <c r="E1702" s="10" t="s">
        <v>788</v>
      </c>
      <c r="F1702" s="11" t="s">
        <v>164</v>
      </c>
      <c r="G1702" s="12" t="s">
        <v>87</v>
      </c>
      <c r="H1702" s="13" t="s">
        <v>7</v>
      </c>
      <c r="I1702" s="14" t="e">
        <f aca="false">IF(OR(E1702="",E1702="!!!",F1702="NEW"),"",INDEX(B$2:B1701,-1+SUMPRODUCT(MAX(ROW(E$2:E1701)*(E1702=E$2:E1701)))))</f>
        <v>#VALUE!</v>
      </c>
      <c r="J1702" s="15" t="e">
        <f aca="true">IF(OR(E1702="",E1702="!!!",F1702="NEW"),"",COUNTBLANK(OFFSET(A$1,,,SUMPRODUCT(MAX(ROW(E$2:E1702)*(E1702=E$2:E1702)))))-COUNTBLANK(OFFSET(A$1,,,SUMPRODUCT(MAX(ROW(E$1:E1701)*(E1702=E$1:E1701))))))</f>
        <v>#VALUE!</v>
      </c>
      <c r="K1702" s="15" t="e">
        <f aca="false">IF(OR(E1702="",E1702="!!!",F1702="NEW"),"",INDEX(J$1:J1701,SUMPRODUCT(MAX(ROW(E$1:E1701)*(E1702=E$1:E1701)))))</f>
        <v>#VALUE!</v>
      </c>
      <c r="L1702" s="16"/>
    </row>
    <row r="1703" customFormat="false" ht="12.8" hidden="false" customHeight="false" outlineLevel="0" collapsed="false">
      <c r="A1703" s="0" t="s">
        <v>100</v>
      </c>
      <c r="E1703" s="10" t="str">
        <f aca="false">IF(D1703="?OLD","!!!","")</f>
        <v/>
      </c>
      <c r="F1703" s="11" t="str">
        <f aca="false">IF(OR(E1703="",E1703="!!!"),"",IF(NOT(ISNA(VLOOKUP(E1703,E$1:E1702,1,FALSE()))),"OLD",IF(AND(E1703&lt;&gt;"",E1703&lt;&gt;"!!!"),"NEW","")))</f>
        <v/>
      </c>
      <c r="G1703" s="12" t="str">
        <f aca="false">IF(OR(E1703="",E1703="!!!"),"",IF(OR(J1703=0,AND(J1703=1,K1703=1),AND(J1703=1,I1703="SBJ"),AND(J1703=1,I1703=0)),"?IN_FOCUS",IF(J1703&lt;=2,"?ACTIVATED",IF(J1703&lt;&gt;"","?FAMILIAR",IF(F1703="NEW",IF(ISNA(VLOOKUP(E1703,#REF!,1,FALSE())),"?TYPE_IDENTIFIABLE","?REFERENTIAL"),"_")))))</f>
        <v/>
      </c>
      <c r="H1703" s="13" t="str">
        <f aca="false">IF(J1703&lt;&gt;1,"",IF(I1703="SBJ","CB","?"))</f>
        <v/>
      </c>
      <c r="I1703" s="14" t="str">
        <f aca="false">IF(OR(E1703="",E1703="!!!",F1703="NEW"),"",INDEX(B$2:B1702,-1+SUMPRODUCT(MAX(ROW(E$2:E1702)*(E1703=E$2:E1702)))))</f>
        <v/>
      </c>
      <c r="J1703" s="15" t="str">
        <f aca="true">IF(OR(E1703="",E1703="!!!",F1703="NEW"),"",COUNTBLANK(OFFSET(A$1,,,SUMPRODUCT(MAX(ROW(E$2:E1703)*(E1703=E$2:E1703)))))-COUNTBLANK(OFFSET(A$1,,,SUMPRODUCT(MAX(ROW(E$1:E1702)*(E1703=E$1:E1702))))))</f>
        <v/>
      </c>
      <c r="K1703" s="15" t="str">
        <f aca="false">IF(OR(E1703="",E1703="!!!",F1703="NEW"),"",INDEX(J$1:J1702,SUMPRODUCT(MAX(ROW(E$1:E1702)*(E1703=E$1:E1702)))))</f>
        <v/>
      </c>
      <c r="L1703" s="16"/>
    </row>
    <row r="1704" customFormat="false" ht="12.8" hidden="false" customHeight="false" outlineLevel="0" collapsed="false">
      <c r="A1704" s="0" t="n">
        <v>133</v>
      </c>
      <c r="E1704" s="10" t="str">
        <f aca="false">IF(D1704="?OLD","!!!","")</f>
        <v/>
      </c>
      <c r="F1704" s="11" t="str">
        <f aca="false">IF(OR(E1704="",E1704="!!!"),"",IF(NOT(ISNA(VLOOKUP(E1704,E$1:E1703,1,FALSE()))),"OLD",IF(AND(E1704&lt;&gt;"",E1704&lt;&gt;"!!!"),"NEW","")))</f>
        <v/>
      </c>
      <c r="G1704" s="12" t="str">
        <f aca="false">IF(OR(E1704="",E1704="!!!"),"",IF(OR(J1704=0,AND(J1704=1,K1704=1),AND(J1704=1,I1704="SBJ"),AND(J1704=1,I1704=0)),"?IN_FOCUS",IF(J1704&lt;=2,"?ACTIVATED",IF(J1704&lt;&gt;"","?FAMILIAR",IF(F1704="NEW",IF(ISNA(VLOOKUP(E1704,#REF!,1,FALSE())),"?TYPE_IDENTIFIABLE","?REFERENTIAL"),"_")))))</f>
        <v/>
      </c>
      <c r="H1704" s="13" t="str">
        <f aca="false">IF(J1704&lt;&gt;1,"",IF(I1704="SBJ","CB","?"))</f>
        <v/>
      </c>
      <c r="I1704" s="14" t="str">
        <f aca="false">IF(OR(E1704="",E1704="!!!",F1704="NEW"),"",INDEX(B$2:B1703,-1+SUMPRODUCT(MAX(ROW(E$2:E1703)*(E1704=E$2:E1703)))))</f>
        <v/>
      </c>
      <c r="J1704" s="15" t="str">
        <f aca="true">IF(OR(E1704="",E1704="!!!",F1704="NEW"),"",COUNTBLANK(OFFSET(A$1,,,SUMPRODUCT(MAX(ROW(E$2:E1704)*(E1704=E$2:E1704)))))-COUNTBLANK(OFFSET(A$1,,,SUMPRODUCT(MAX(ROW(E$1:E1703)*(E1704=E$1:E1703))))))</f>
        <v/>
      </c>
      <c r="K1704" s="15" t="str">
        <f aca="false">IF(OR(E1704="",E1704="!!!",F1704="NEW"),"",INDEX(J$1:J1703,SUMPRODUCT(MAX(ROW(E$1:E1703)*(E1704=E$1:E1703)))))</f>
        <v/>
      </c>
      <c r="L1704" s="16"/>
    </row>
    <row r="1705" customFormat="false" ht="12.8" hidden="false" customHeight="false" outlineLevel="0" collapsed="false">
      <c r="A1705" s="0" t="s">
        <v>783</v>
      </c>
      <c r="E1705" s="10" t="str">
        <f aca="false">IF(D1705="?OLD","!!!","")</f>
        <v/>
      </c>
      <c r="F1705" s="11" t="str">
        <f aca="false">IF(OR(E1705="",E1705="!!!"),"",IF(NOT(ISNA(VLOOKUP(E1705,E$1:E1704,1,FALSE()))),"OLD",IF(AND(E1705&lt;&gt;"",E1705&lt;&gt;"!!!"),"NEW","")))</f>
        <v/>
      </c>
      <c r="G1705" s="12" t="str">
        <f aca="false">IF(OR(E1705="",E1705="!!!"),"",IF(OR(J1705=0,AND(J1705=1,K1705=1),AND(J1705=1,I1705="SBJ"),AND(J1705=1,I1705=0)),"?IN_FOCUS",IF(J1705&lt;=2,"?ACTIVATED",IF(J1705&lt;&gt;"","?FAMILIAR",IF(F1705="NEW",IF(ISNA(VLOOKUP(E1705,#REF!,1,FALSE())),"?TYPE_IDENTIFIABLE","?REFERENTIAL"),"_")))))</f>
        <v/>
      </c>
      <c r="H1705" s="13" t="str">
        <f aca="false">IF(J1705&lt;&gt;1,"",IF(I1705="SBJ","CB","?"))</f>
        <v/>
      </c>
      <c r="I1705" s="14" t="str">
        <f aca="false">IF(OR(E1705="",E1705="!!!",F1705="NEW"),"",INDEX(B$2:B1704,-1+SUMPRODUCT(MAX(ROW(E$2:E1704)*(E1705=E$2:E1704)))))</f>
        <v/>
      </c>
      <c r="J1705" s="15" t="str">
        <f aca="true">IF(OR(E1705="",E1705="!!!",F1705="NEW"),"",COUNTBLANK(OFFSET(A$1,,,SUMPRODUCT(MAX(ROW(E$2:E1705)*(E1705=E$2:E1705)))))-COUNTBLANK(OFFSET(A$1,,,SUMPRODUCT(MAX(ROW(E$1:E1704)*(E1705=E$1:E1704))))))</f>
        <v/>
      </c>
      <c r="K1705" s="15" t="str">
        <f aca="false">IF(OR(E1705="",E1705="!!!",F1705="NEW"),"",INDEX(J$1:J1704,SUMPRODUCT(MAX(ROW(E$1:E1704)*(E1705=E$1:E1704)))))</f>
        <v/>
      </c>
      <c r="L1705" s="16"/>
    </row>
    <row r="1706" customFormat="false" ht="12.8" hidden="false" customHeight="false" outlineLevel="0" collapsed="false">
      <c r="A1706" s="0" t="s">
        <v>789</v>
      </c>
      <c r="E1706" s="10" t="str">
        <f aca="false">IF(D1706="?OLD","!!!","")</f>
        <v/>
      </c>
      <c r="F1706" s="11" t="str">
        <f aca="false">IF(OR(E1706="",E1706="!!!"),"",IF(NOT(ISNA(VLOOKUP(E1706,E$1:E1705,1,FALSE()))),"OLD",IF(AND(E1706&lt;&gt;"",E1706&lt;&gt;"!!!"),"NEW","")))</f>
        <v/>
      </c>
      <c r="G1706" s="12" t="str">
        <f aca="false">IF(OR(E1706="",E1706="!!!"),"",IF(OR(J1706=0,AND(J1706=1,K1706=1),AND(J1706=1,I1706="SBJ"),AND(J1706=1,I1706=0)),"?IN_FOCUS",IF(J1706&lt;=2,"?ACTIVATED",IF(J1706&lt;&gt;"","?FAMILIAR",IF(F1706="NEW",IF(ISNA(VLOOKUP(E1706,#REF!,1,FALSE())),"?TYPE_IDENTIFIABLE","?REFERENTIAL"),"_")))))</f>
        <v/>
      </c>
      <c r="H1706" s="13" t="str">
        <f aca="false">IF(J1706&lt;&gt;1,"",IF(I1706="SBJ","CB","?"))</f>
        <v/>
      </c>
      <c r="I1706" s="14" t="str">
        <f aca="false">IF(OR(E1706="",E1706="!!!",F1706="NEW"),"",INDEX(B$2:B1705,-1+SUMPRODUCT(MAX(ROW(E$2:E1705)*(E1706=E$2:E1705)))))</f>
        <v/>
      </c>
      <c r="J1706" s="15" t="str">
        <f aca="true">IF(OR(E1706="",E1706="!!!",F1706="NEW"),"",COUNTBLANK(OFFSET(A$1,,,SUMPRODUCT(MAX(ROW(E$2:E1706)*(E1706=E$2:E1706)))))-COUNTBLANK(OFFSET(A$1,,,SUMPRODUCT(MAX(ROW(E$1:E1705)*(E1706=E$1:E1705))))))</f>
        <v/>
      </c>
      <c r="K1706" s="15" t="str">
        <f aca="false">IF(OR(E1706="",E1706="!!!",F1706="NEW"),"",INDEX(J$1:J1705,SUMPRODUCT(MAX(ROW(E$1:E1705)*(E1706=E$1:E1705)))))</f>
        <v/>
      </c>
      <c r="L1706" s="16"/>
    </row>
    <row r="1707" customFormat="false" ht="12.8" hidden="false" customHeight="false" outlineLevel="0" collapsed="false">
      <c r="A1707" s="0" t="s">
        <v>76</v>
      </c>
      <c r="E1707" s="10" t="str">
        <f aca="false">IF(D1707="?OLD","!!!","")</f>
        <v/>
      </c>
      <c r="F1707" s="11" t="str">
        <f aca="false">IF(OR(E1707="",E1707="!!!"),"",IF(NOT(ISNA(VLOOKUP(E1707,E$1:E1706,1,FALSE()))),"OLD",IF(AND(E1707&lt;&gt;"",E1707&lt;&gt;"!!!"),"NEW","")))</f>
        <v/>
      </c>
      <c r="G1707" s="12" t="str">
        <f aca="false">IF(OR(E1707="",E1707="!!!"),"",IF(OR(J1707=0,AND(J1707=1,K1707=1),AND(J1707=1,I1707="SBJ"),AND(J1707=1,I1707=0)),"?IN_FOCUS",IF(J1707&lt;=2,"?ACTIVATED",IF(J1707&lt;&gt;"","?FAMILIAR",IF(F1707="NEW",IF(ISNA(VLOOKUP(E1707,#REF!,1,FALSE())),"?TYPE_IDENTIFIABLE","?REFERENTIAL"),"_")))))</f>
        <v/>
      </c>
      <c r="H1707" s="13" t="str">
        <f aca="false">IF(J1707&lt;&gt;1,"",IF(I1707="SBJ","CB","?"))</f>
        <v/>
      </c>
      <c r="I1707" s="14" t="str">
        <f aca="false">IF(OR(E1707="",E1707="!!!",F1707="NEW"),"",INDEX(B$2:B1706,-1+SUMPRODUCT(MAX(ROW(E$2:E1706)*(E1707=E$2:E1706)))))</f>
        <v/>
      </c>
      <c r="J1707" s="15" t="str">
        <f aca="true">IF(OR(E1707="",E1707="!!!",F1707="NEW"),"",COUNTBLANK(OFFSET(A$1,,,SUMPRODUCT(MAX(ROW(E$2:E1707)*(E1707=E$2:E1707)))))-COUNTBLANK(OFFSET(A$1,,,SUMPRODUCT(MAX(ROW(E$1:E1706)*(E1707=E$1:E1706))))))</f>
        <v/>
      </c>
      <c r="K1707" s="15" t="str">
        <f aca="false">IF(OR(E1707="",E1707="!!!",F1707="NEW"),"",INDEX(J$1:J1706,SUMPRODUCT(MAX(ROW(E$1:E1706)*(E1707=E$1:E1706)))))</f>
        <v/>
      </c>
      <c r="L1707" s="16"/>
    </row>
    <row r="1708" customFormat="false" ht="12.8" hidden="false" customHeight="false" outlineLevel="0" collapsed="false">
      <c r="E1708" s="10" t="str">
        <f aca="false">IF(D1708="?OLD","!!!","")</f>
        <v/>
      </c>
      <c r="F1708" s="11" t="str">
        <f aca="false">IF(OR(E1708="",E1708="!!!"),"",IF(NOT(ISNA(VLOOKUP(E1708,E$1:E1707,1,FALSE()))),"OLD",IF(AND(E1708&lt;&gt;"",E1708&lt;&gt;"!!!"),"NEW","")))</f>
        <v/>
      </c>
      <c r="G1708" s="12" t="str">
        <f aca="false">IF(OR(E1708="",E1708="!!!"),"",IF(OR(J1708=0,AND(J1708=1,K1708=1),AND(J1708=1,I1708="SBJ"),AND(J1708=1,I1708=0)),"?IN_FOCUS",IF(J1708&lt;=2,"?ACTIVATED",IF(J1708&lt;&gt;"","?FAMILIAR",IF(F1708="NEW",IF(ISNA(VLOOKUP(E1708,#REF!,1,FALSE())),"?TYPE_IDENTIFIABLE","?REFERENTIAL"),"_")))))</f>
        <v/>
      </c>
      <c r="H1708" s="13" t="str">
        <f aca="false">IF(J1708&lt;&gt;1,"",IF(I1708="SBJ","CB","?"))</f>
        <v/>
      </c>
      <c r="I1708" s="14" t="str">
        <f aca="false">IF(OR(E1708="",E1708="!!!",F1708="NEW"),"",INDEX(B$2:B1707,-1+SUMPRODUCT(MAX(ROW(E$2:E1707)*(E1708=E$2:E1707)))))</f>
        <v/>
      </c>
      <c r="J1708" s="15" t="str">
        <f aca="true">IF(OR(E1708="",E1708="!!!",F1708="NEW"),"",COUNTBLANK(OFFSET(A$1,,,SUMPRODUCT(MAX(ROW(E$2:E1708)*(E1708=E$2:E1708)))))-COUNTBLANK(OFFSET(A$1,,,SUMPRODUCT(MAX(ROW(E$1:E1707)*(E1708=E$1:E1707))))))</f>
        <v/>
      </c>
      <c r="K1708" s="15" t="str">
        <f aca="false">IF(OR(E1708="",E1708="!!!",F1708="NEW"),"",INDEX(J$1:J1707,SUMPRODUCT(MAX(ROW(E$1:E1707)*(E1708=E$1:E1707)))))</f>
        <v/>
      </c>
      <c r="L1708" s="16"/>
    </row>
    <row r="1709" customFormat="false" ht="12.8" hidden="false" customHeight="false" outlineLevel="0" collapsed="false">
      <c r="A1709" s="0" t="s">
        <v>790</v>
      </c>
      <c r="E1709" s="10" t="str">
        <f aca="false">IF(D1709="?OLD","!!!","")</f>
        <v/>
      </c>
      <c r="F1709" s="11" t="str">
        <f aca="false">IF(OR(E1709="",E1709="!!!"),"",IF(NOT(ISNA(VLOOKUP(E1709,E$1:E1708,1,FALSE()))),"OLD",IF(AND(E1709&lt;&gt;"",E1709&lt;&gt;"!!!"),"NEW","")))</f>
        <v/>
      </c>
      <c r="G1709" s="12" t="str">
        <f aca="false">IF(OR(E1709="",E1709="!!!"),"",IF(OR(J1709=0,AND(J1709=1,K1709=1),AND(J1709=1,I1709="SBJ"),AND(J1709=1,I1709=0)),"?IN_FOCUS",IF(J1709&lt;=2,"?ACTIVATED",IF(J1709&lt;&gt;"","?FAMILIAR",IF(F1709="NEW",IF(ISNA(VLOOKUP(E1709,#REF!,1,FALSE())),"?TYPE_IDENTIFIABLE","?REFERENTIAL"),"_")))))</f>
        <v/>
      </c>
      <c r="H1709" s="13" t="str">
        <f aca="false">IF(J1709&lt;&gt;1,"",IF(I1709="SBJ","CB","?"))</f>
        <v/>
      </c>
      <c r="I1709" s="14" t="str">
        <f aca="false">IF(OR(E1709="",E1709="!!!",F1709="NEW"),"",INDEX(B$2:B1708,-1+SUMPRODUCT(MAX(ROW(E$2:E1708)*(E1709=E$2:E1708)))))</f>
        <v/>
      </c>
      <c r="J1709" s="15" t="str">
        <f aca="true">IF(OR(E1709="",E1709="!!!",F1709="NEW"),"",COUNTBLANK(OFFSET(A$1,,,SUMPRODUCT(MAX(ROW(E$2:E1709)*(E1709=E$2:E1709)))))-COUNTBLANK(OFFSET(A$1,,,SUMPRODUCT(MAX(ROW(E$1:E1708)*(E1709=E$1:E1708))))))</f>
        <v/>
      </c>
      <c r="K1709" s="15" t="str">
        <f aca="false">IF(OR(E1709="",E1709="!!!",F1709="NEW"),"",INDEX(J$1:J1708,SUMPRODUCT(MAX(ROW(E$1:E1708)*(E1709=E$1:E1708)))))</f>
        <v/>
      </c>
      <c r="L1709" s="16"/>
    </row>
    <row r="1710" customFormat="false" ht="12.8" hidden="false" customHeight="false" outlineLevel="0" collapsed="false">
      <c r="A1710" s="0" t="s">
        <v>468</v>
      </c>
      <c r="B1710" s="0" t="s">
        <v>34</v>
      </c>
      <c r="C1710" s="0" t="s">
        <v>215</v>
      </c>
      <c r="D1710" s="0" t="s">
        <v>20</v>
      </c>
      <c r="E1710" s="10" t="s">
        <v>791</v>
      </c>
      <c r="F1710" s="11" t="s">
        <v>105</v>
      </c>
      <c r="G1710" s="12" t="s">
        <v>87</v>
      </c>
      <c r="H1710" s="13" t="s">
        <v>7</v>
      </c>
      <c r="I1710" s="14" t="e">
        <f aca="false">IF(OR(E1710="",E1710="!!!",F1710="NEW"),"",INDEX(B$2:B1709,-1+SUMPRODUCT(MAX(ROW(E$2:E1709)*(E1710=E$2:E1709)))))</f>
        <v>#VALUE!</v>
      </c>
      <c r="J1710" s="15" t="e">
        <f aca="true">IF(OR(E1710="",E1710="!!!",F1710="NEW"),"",COUNTBLANK(OFFSET(A$1,,,SUMPRODUCT(MAX(ROW(E$2:E1710)*(E1710=E$2:E1710)))))-COUNTBLANK(OFFSET(A$1,,,SUMPRODUCT(MAX(ROW(E$1:E1709)*(E1710=E$1:E1709))))))</f>
        <v>#VALUE!</v>
      </c>
      <c r="K1710" s="15" t="e">
        <f aca="false">IF(OR(E1710="",E1710="!!!",F1710="NEW"),"",INDEX(J$1:J1709,SUMPRODUCT(MAX(ROW(E$1:E1709)*(E1710=E$1:E1709)))))</f>
        <v>#VALUE!</v>
      </c>
      <c r="L1710" s="16"/>
    </row>
    <row r="1711" customFormat="false" ht="12.8" hidden="false" customHeight="false" outlineLevel="0" collapsed="false">
      <c r="A1711" s="0" t="s">
        <v>100</v>
      </c>
      <c r="E1711" s="10" t="str">
        <f aca="false">IF(D1711="?OLD","!!!","")</f>
        <v/>
      </c>
      <c r="F1711" s="11" t="str">
        <f aca="false">IF(OR(E1711="",E1711="!!!"),"",IF(NOT(ISNA(VLOOKUP(E1711,E$1:E1710,1,FALSE()))),"OLD",IF(AND(E1711&lt;&gt;"",E1711&lt;&gt;"!!!"),"NEW","")))</f>
        <v/>
      </c>
      <c r="G1711" s="12" t="str">
        <f aca="false">IF(OR(E1711="",E1711="!!!"),"",IF(OR(J1711=0,AND(J1711=1,K1711=1),AND(J1711=1,I1711="SBJ"),AND(J1711=1,I1711=0)),"?IN_FOCUS",IF(J1711&lt;=2,"?ACTIVATED",IF(J1711&lt;&gt;"","?FAMILIAR",IF(F1711="NEW",IF(ISNA(VLOOKUP(E1711,#REF!,1,FALSE())),"?TYPE_IDENTIFIABLE","?REFERENTIAL"),"_")))))</f>
        <v/>
      </c>
      <c r="H1711" s="13" t="str">
        <f aca="false">IF(J1711&lt;&gt;1,"",IF(I1711="SBJ","CB","?"))</f>
        <v/>
      </c>
      <c r="I1711" s="14" t="str">
        <f aca="false">IF(OR(E1711="",E1711="!!!",F1711="NEW"),"",INDEX(B$2:B1710,-1+SUMPRODUCT(MAX(ROW(E$2:E1710)*(E1711=E$2:E1710)))))</f>
        <v/>
      </c>
      <c r="J1711" s="15" t="str">
        <f aca="true">IF(OR(E1711="",E1711="!!!",F1711="NEW"),"",COUNTBLANK(OFFSET(A$1,,,SUMPRODUCT(MAX(ROW(E$2:E1711)*(E1711=E$2:E1711)))))-COUNTBLANK(OFFSET(A$1,,,SUMPRODUCT(MAX(ROW(E$1:E1710)*(E1711=E$1:E1710))))))</f>
        <v/>
      </c>
      <c r="K1711" s="15" t="str">
        <f aca="false">IF(OR(E1711="",E1711="!!!",F1711="NEW"),"",INDEX(J$1:J1710,SUMPRODUCT(MAX(ROW(E$1:E1710)*(E1711=E$1:E1710)))))</f>
        <v/>
      </c>
      <c r="L1711" s="16"/>
    </row>
    <row r="1712" customFormat="false" ht="12.8" hidden="false" customHeight="false" outlineLevel="0" collapsed="false">
      <c r="A1712" s="0" t="s">
        <v>597</v>
      </c>
      <c r="E1712" s="10" t="str">
        <f aca="false">IF(D1712="?OLD","!!!","")</f>
        <v/>
      </c>
      <c r="F1712" s="11" t="str">
        <f aca="false">IF(OR(E1712="",E1712="!!!"),"",IF(NOT(ISNA(VLOOKUP(E1712,E$1:E1711,1,FALSE()))),"OLD",IF(AND(E1712&lt;&gt;"",E1712&lt;&gt;"!!!"),"NEW","")))</f>
        <v/>
      </c>
      <c r="G1712" s="12" t="str">
        <f aca="false">IF(OR(E1712="",E1712="!!!"),"",IF(OR(J1712=0,AND(J1712=1,K1712=1),AND(J1712=1,I1712="SBJ"),AND(J1712=1,I1712=0)),"?IN_FOCUS",IF(J1712&lt;=2,"?ACTIVATED",IF(J1712&lt;&gt;"","?FAMILIAR",IF(F1712="NEW",IF(ISNA(VLOOKUP(E1712,#REF!,1,FALSE())),"?TYPE_IDENTIFIABLE","?REFERENTIAL"),"_")))))</f>
        <v/>
      </c>
      <c r="H1712" s="13" t="str">
        <f aca="false">IF(J1712&lt;&gt;1,"",IF(I1712="SBJ","CB","?"))</f>
        <v/>
      </c>
      <c r="I1712" s="14" t="str">
        <f aca="false">IF(OR(E1712="",E1712="!!!",F1712="NEW"),"",INDEX(B$2:B1711,-1+SUMPRODUCT(MAX(ROW(E$2:E1711)*(E1712=E$2:E1711)))))</f>
        <v/>
      </c>
      <c r="J1712" s="15" t="str">
        <f aca="true">IF(OR(E1712="",E1712="!!!",F1712="NEW"),"",COUNTBLANK(OFFSET(A$1,,,SUMPRODUCT(MAX(ROW(E$2:E1712)*(E1712=E$2:E1712)))))-COUNTBLANK(OFFSET(A$1,,,SUMPRODUCT(MAX(ROW(E$1:E1711)*(E1712=E$1:E1711))))))</f>
        <v/>
      </c>
      <c r="K1712" s="15" t="str">
        <f aca="false">IF(OR(E1712="",E1712="!!!",F1712="NEW"),"",INDEX(J$1:J1711,SUMPRODUCT(MAX(ROW(E$1:E1711)*(E1712=E$1:E1711)))))</f>
        <v/>
      </c>
      <c r="L1712" s="16"/>
    </row>
    <row r="1713" customFormat="false" ht="12.8" hidden="false" customHeight="false" outlineLevel="0" collapsed="false">
      <c r="A1713" s="0" t="s">
        <v>45</v>
      </c>
      <c r="E1713" s="10" t="str">
        <f aca="false">IF(D1713="?OLD","!!!","")</f>
        <v/>
      </c>
      <c r="F1713" s="11" t="str">
        <f aca="false">IF(OR(E1713="",E1713="!!!"),"",IF(NOT(ISNA(VLOOKUP(E1713,E$1:E1712,1,FALSE()))),"OLD",IF(AND(E1713&lt;&gt;"",E1713&lt;&gt;"!!!"),"NEW","")))</f>
        <v/>
      </c>
      <c r="G1713" s="12" t="str">
        <f aca="false">IF(OR(E1713="",E1713="!!!"),"",IF(OR(J1713=0,AND(J1713=1,K1713=1),AND(J1713=1,I1713="SBJ"),AND(J1713=1,I1713=0)),"?IN_FOCUS",IF(J1713&lt;=2,"?ACTIVATED",IF(J1713&lt;&gt;"","?FAMILIAR",IF(F1713="NEW",IF(ISNA(VLOOKUP(E1713,#REF!,1,FALSE())),"?TYPE_IDENTIFIABLE","?REFERENTIAL"),"_")))))</f>
        <v/>
      </c>
      <c r="H1713" s="13" t="str">
        <f aca="false">IF(J1713&lt;&gt;1,"",IF(I1713="SBJ","CB","?"))</f>
        <v/>
      </c>
      <c r="I1713" s="14" t="str">
        <f aca="false">IF(OR(E1713="",E1713="!!!",F1713="NEW"),"",INDEX(B$2:B1712,-1+SUMPRODUCT(MAX(ROW(E$2:E1712)*(E1713=E$2:E1712)))))</f>
        <v/>
      </c>
      <c r="J1713" s="15" t="str">
        <f aca="true">IF(OR(E1713="",E1713="!!!",F1713="NEW"),"",COUNTBLANK(OFFSET(A$1,,,SUMPRODUCT(MAX(ROW(E$2:E1713)*(E1713=E$2:E1713)))))-COUNTBLANK(OFFSET(A$1,,,SUMPRODUCT(MAX(ROW(E$1:E1712)*(E1713=E$1:E1712))))))</f>
        <v/>
      </c>
      <c r="K1713" s="15" t="str">
        <f aca="false">IF(OR(E1713="",E1713="!!!",F1713="NEW"),"",INDEX(J$1:J1712,SUMPRODUCT(MAX(ROW(E$1:E1712)*(E1713=E$1:E1712)))))</f>
        <v/>
      </c>
      <c r="L1713" s="16"/>
    </row>
    <row r="1714" customFormat="false" ht="12.8" hidden="false" customHeight="false" outlineLevel="0" collapsed="false">
      <c r="A1714" s="0" t="s">
        <v>179</v>
      </c>
      <c r="E1714" s="10" t="str">
        <f aca="false">IF(D1714="?OLD","!!!","")</f>
        <v/>
      </c>
      <c r="F1714" s="11" t="str">
        <f aca="false">IF(OR(E1714="",E1714="!!!"),"",IF(NOT(ISNA(VLOOKUP(E1714,E$1:E1713,1,FALSE()))),"OLD",IF(AND(E1714&lt;&gt;"",E1714&lt;&gt;"!!!"),"NEW","")))</f>
        <v/>
      </c>
      <c r="G1714" s="12" t="str">
        <f aca="false">IF(OR(E1714="",E1714="!!!"),"",IF(OR(J1714=0,AND(J1714=1,K1714=1),AND(J1714=1,I1714="SBJ"),AND(J1714=1,I1714=0)),"?IN_FOCUS",IF(J1714&lt;=2,"?ACTIVATED",IF(J1714&lt;&gt;"","?FAMILIAR",IF(F1714="NEW",IF(ISNA(VLOOKUP(E1714,#REF!,1,FALSE())),"?TYPE_IDENTIFIABLE","?REFERENTIAL"),"_")))))</f>
        <v/>
      </c>
      <c r="H1714" s="13" t="str">
        <f aca="false">IF(J1714&lt;&gt;1,"",IF(I1714="SBJ","CB","?"))</f>
        <v/>
      </c>
      <c r="I1714" s="14" t="str">
        <f aca="false">IF(OR(E1714="",E1714="!!!",F1714="NEW"),"",INDEX(B$2:B1713,-1+SUMPRODUCT(MAX(ROW(E$2:E1713)*(E1714=E$2:E1713)))))</f>
        <v/>
      </c>
      <c r="J1714" s="15" t="str">
        <f aca="true">IF(OR(E1714="",E1714="!!!",F1714="NEW"),"",COUNTBLANK(OFFSET(A$1,,,SUMPRODUCT(MAX(ROW(E$2:E1714)*(E1714=E$2:E1714)))))-COUNTBLANK(OFFSET(A$1,,,SUMPRODUCT(MAX(ROW(E$1:E1713)*(E1714=E$1:E1713))))))</f>
        <v/>
      </c>
      <c r="K1714" s="15" t="str">
        <f aca="false">IF(OR(E1714="",E1714="!!!",F1714="NEW"),"",INDEX(J$1:J1713,SUMPRODUCT(MAX(ROW(E$1:E1713)*(E1714=E$1:E1713)))))</f>
        <v/>
      </c>
      <c r="L1714" s="16"/>
    </row>
    <row r="1715" customFormat="false" ht="12.8" hidden="false" customHeight="false" outlineLevel="0" collapsed="false">
      <c r="A1715" s="0" t="s">
        <v>792</v>
      </c>
      <c r="B1715" s="0" t="s">
        <v>96</v>
      </c>
      <c r="C1715" s="0" t="s">
        <v>181</v>
      </c>
      <c r="E1715" s="10" t="str">
        <f aca="false">IF(D1715="?OLD","!!!","")</f>
        <v/>
      </c>
      <c r="F1715" s="11" t="str">
        <f aca="false">IF(OR(E1715="",E1715="!!!"),"",IF(NOT(ISNA(VLOOKUP(E1715,E$1:E1714,1,FALSE()))),"OLD",IF(AND(E1715&lt;&gt;"",E1715&lt;&gt;"!!!"),"NEW","")))</f>
        <v/>
      </c>
      <c r="G1715" s="12" t="str">
        <f aca="false">IF(OR(E1715="",E1715="!!!"),"",IF(OR(J1715=0,AND(J1715=1,K1715=1),AND(J1715=1,I1715="SBJ"),AND(J1715=1,I1715=0)),"?IN_FOCUS",IF(J1715&lt;=2,"?ACTIVATED",IF(J1715&lt;&gt;"","?FAMILIAR",IF(F1715="NEW",IF(ISNA(VLOOKUP(E1715,#REF!,1,FALSE())),"?TYPE_IDENTIFIABLE","?REFERENTIAL"),"_")))))</f>
        <v/>
      </c>
      <c r="H1715" s="13" t="str">
        <f aca="false">IF(J1715&lt;&gt;1,"",IF(I1715="SBJ","CB","?"))</f>
        <v/>
      </c>
      <c r="I1715" s="14" t="str">
        <f aca="false">IF(OR(E1715="",E1715="!!!",F1715="NEW"),"",INDEX(B$2:B1714,-1+SUMPRODUCT(MAX(ROW(E$2:E1714)*(E1715=E$2:E1714)))))</f>
        <v/>
      </c>
      <c r="J1715" s="15" t="str">
        <f aca="true">IF(OR(E1715="",E1715="!!!",F1715="NEW"),"",COUNTBLANK(OFFSET(A$1,,,SUMPRODUCT(MAX(ROW(E$2:E1715)*(E1715=E$2:E1715)))))-COUNTBLANK(OFFSET(A$1,,,SUMPRODUCT(MAX(ROW(E$1:E1714)*(E1715=E$1:E1714))))))</f>
        <v/>
      </c>
      <c r="K1715" s="15" t="str">
        <f aca="false">IF(OR(E1715="",E1715="!!!",F1715="NEW"),"",INDEX(J$1:J1714,SUMPRODUCT(MAX(ROW(E$1:E1714)*(E1715=E$1:E1714)))))</f>
        <v/>
      </c>
      <c r="L1715" s="16"/>
    </row>
    <row r="1716" customFormat="false" ht="12.8" hidden="false" customHeight="false" outlineLevel="0" collapsed="false">
      <c r="A1716" s="0" t="s">
        <v>793</v>
      </c>
      <c r="B1716" s="0" t="s">
        <v>14</v>
      </c>
      <c r="C1716" s="0" t="s">
        <v>15</v>
      </c>
      <c r="E1716" s="10" t="str">
        <f aca="false">IF(D1716="?OLD","!!!","")</f>
        <v/>
      </c>
      <c r="F1716" s="11" t="str">
        <f aca="false">IF(OR(E1716="",E1716="!!!"),"",IF(NOT(ISNA(VLOOKUP(E1716,E$1:E1715,1,FALSE()))),"OLD",IF(AND(E1716&lt;&gt;"",E1716&lt;&gt;"!!!"),"NEW","")))</f>
        <v/>
      </c>
      <c r="G1716" s="12" t="str">
        <f aca="false">IF(OR(E1716="",E1716="!!!"),"",IF(OR(J1716=0,AND(J1716=1,K1716=1),AND(J1716=1,I1716="SBJ"),AND(J1716=1,I1716=0)),"?IN_FOCUS",IF(J1716&lt;=2,"?ACTIVATED",IF(J1716&lt;&gt;"","?FAMILIAR",IF(F1716="NEW",IF(ISNA(VLOOKUP(E1716,#REF!,1,FALSE())),"?TYPE_IDENTIFIABLE","?REFERENTIAL"),"_")))))</f>
        <v/>
      </c>
      <c r="H1716" s="13" t="str">
        <f aca="false">IF(J1716&lt;&gt;1,"",IF(I1716="SBJ","CB","?"))</f>
        <v/>
      </c>
      <c r="I1716" s="14" t="str">
        <f aca="false">IF(OR(E1716="",E1716="!!!",F1716="NEW"),"",INDEX(B$2:B1715,-1+SUMPRODUCT(MAX(ROW(E$2:E1715)*(E1716=E$2:E1715)))))</f>
        <v/>
      </c>
      <c r="J1716" s="15" t="str">
        <f aca="true">IF(OR(E1716="",E1716="!!!",F1716="NEW"),"",COUNTBLANK(OFFSET(A$1,,,SUMPRODUCT(MAX(ROW(E$2:E1716)*(E1716=E$2:E1716)))))-COUNTBLANK(OFFSET(A$1,,,SUMPRODUCT(MAX(ROW(E$1:E1715)*(E1716=E$1:E1715))))))</f>
        <v/>
      </c>
      <c r="K1716" s="15" t="str">
        <f aca="false">IF(OR(E1716="",E1716="!!!",F1716="NEW"),"",INDEX(J$1:J1715,SUMPRODUCT(MAX(ROW(E$1:E1715)*(E1716=E$1:E1715)))))</f>
        <v/>
      </c>
      <c r="L1716" s="16"/>
    </row>
    <row r="1717" customFormat="false" ht="12.8" hidden="false" customHeight="false" outlineLevel="0" collapsed="false">
      <c r="A1717" s="0" t="s">
        <v>62</v>
      </c>
      <c r="E1717" s="10" t="str">
        <f aca="false">IF(D1717="?OLD","!!!","")</f>
        <v/>
      </c>
      <c r="F1717" s="11" t="str">
        <f aca="false">IF(OR(E1717="",E1717="!!!"),"",IF(NOT(ISNA(VLOOKUP(E1717,E$1:E1716,1,FALSE()))),"OLD",IF(AND(E1717&lt;&gt;"",E1717&lt;&gt;"!!!"),"NEW","")))</f>
        <v/>
      </c>
      <c r="G1717" s="12" t="str">
        <f aca="false">IF(OR(E1717="",E1717="!!!"),"",IF(OR(J1717=0,AND(J1717=1,K1717=1),AND(J1717=1,I1717="SBJ"),AND(J1717=1,I1717=0)),"?IN_FOCUS",IF(J1717&lt;=2,"?ACTIVATED",IF(J1717&lt;&gt;"","?FAMILIAR",IF(F1717="NEW",IF(ISNA(VLOOKUP(E1717,#REF!,1,FALSE())),"?TYPE_IDENTIFIABLE","?REFERENTIAL"),"_")))))</f>
        <v/>
      </c>
      <c r="H1717" s="13" t="str">
        <f aca="false">IF(J1717&lt;&gt;1,"",IF(I1717="SBJ","CB","?"))</f>
        <v/>
      </c>
      <c r="I1717" s="14" t="str">
        <f aca="false">IF(OR(E1717="",E1717="!!!",F1717="NEW"),"",INDEX(B$2:B1716,-1+SUMPRODUCT(MAX(ROW(E$2:E1716)*(E1717=E$2:E1716)))))</f>
        <v/>
      </c>
      <c r="J1717" s="15" t="str">
        <f aca="true">IF(OR(E1717="",E1717="!!!",F1717="NEW"),"",COUNTBLANK(OFFSET(A$1,,,SUMPRODUCT(MAX(ROW(E$2:E1717)*(E1717=E$2:E1717)))))-COUNTBLANK(OFFSET(A$1,,,SUMPRODUCT(MAX(ROW(E$1:E1716)*(E1717=E$1:E1716))))))</f>
        <v/>
      </c>
      <c r="K1717" s="15" t="str">
        <f aca="false">IF(OR(E1717="",E1717="!!!",F1717="NEW"),"",INDEX(J$1:J1716,SUMPRODUCT(MAX(ROW(E$1:E1716)*(E1717=E$1:E1716)))))</f>
        <v/>
      </c>
      <c r="L1717" s="16"/>
    </row>
    <row r="1718" customFormat="false" ht="12.8" hidden="false" customHeight="false" outlineLevel="0" collapsed="false">
      <c r="A1718" s="0" t="s">
        <v>794</v>
      </c>
      <c r="B1718" s="0" t="s">
        <v>14</v>
      </c>
      <c r="C1718" s="0" t="s">
        <v>246</v>
      </c>
      <c r="D1718" s="0" t="s">
        <v>20</v>
      </c>
      <c r="E1718" s="10" t="s">
        <v>795</v>
      </c>
      <c r="F1718" s="11" t="str">
        <f aca="false">IF(OR(E1718="",E1718="!!!"),"",IF(NOT(ISNA(VLOOKUP(E1718,E$1:E1717,1,FALSE()))),"OLD",IF(AND(E1718&lt;&gt;"",E1718&lt;&gt;"!!!"),"NEW","")))</f>
        <v>NEW</v>
      </c>
      <c r="G1718" s="12" t="s">
        <v>510</v>
      </c>
      <c r="H1718" s="13" t="str">
        <f aca="false">IF(J1718&lt;&gt;1,"",IF(I1718="SBJ","CB","?"))</f>
        <v/>
      </c>
      <c r="I1718" s="14" t="str">
        <f aca="false">IF(OR(E1718="",E1718="!!!",F1718="NEW"),"",INDEX(B$2:B1717,-1+SUMPRODUCT(MAX(ROW(E$2:E1717)*(E1718=E$2:E1717)))))</f>
        <v/>
      </c>
      <c r="J1718" s="15" t="str">
        <f aca="true">IF(OR(E1718="",E1718="!!!",F1718="NEW"),"",COUNTBLANK(OFFSET(A$1,,,SUMPRODUCT(MAX(ROW(E$2:E1718)*(E1718=E$2:E1718)))))-COUNTBLANK(OFFSET(A$1,,,SUMPRODUCT(MAX(ROW(E$1:E1717)*(E1718=E$1:E1717))))))</f>
        <v/>
      </c>
      <c r="K1718" s="15" t="str">
        <f aca="false">IF(OR(E1718="",E1718="!!!",F1718="NEW"),"",INDEX(J$1:J1717,SUMPRODUCT(MAX(ROW(E$1:E1717)*(E1718=E$1:E1717)))))</f>
        <v/>
      </c>
      <c r="L1718" s="16"/>
    </row>
    <row r="1719" customFormat="false" ht="12.8" hidden="false" customHeight="false" outlineLevel="0" collapsed="false">
      <c r="A1719" s="0" t="s">
        <v>61</v>
      </c>
      <c r="E1719" s="10" t="str">
        <f aca="false">IF(D1719="?OLD","!!!","")</f>
        <v/>
      </c>
      <c r="F1719" s="11" t="str">
        <f aca="false">IF(OR(E1719="",E1719="!!!"),"",IF(NOT(ISNA(VLOOKUP(E1719,E$1:E1718,1,FALSE()))),"OLD",IF(AND(E1719&lt;&gt;"",E1719&lt;&gt;"!!!"),"NEW","")))</f>
        <v/>
      </c>
      <c r="G1719" s="12" t="str">
        <f aca="false">IF(OR(E1719="",E1719="!!!"),"",IF(OR(J1719=0,AND(J1719=1,K1719=1),AND(J1719=1,I1719="SBJ"),AND(J1719=1,I1719=0)),"?IN_FOCUS",IF(J1719&lt;=2,"?ACTIVATED",IF(J1719&lt;&gt;"","?FAMILIAR",IF(F1719="NEW",IF(ISNA(VLOOKUP(E1719,#REF!,1,FALSE())),"?TYPE_IDENTIFIABLE","?REFERENTIAL"),"_")))))</f>
        <v/>
      </c>
      <c r="H1719" s="13" t="str">
        <f aca="false">IF(J1719&lt;&gt;1,"",IF(I1719="SBJ","CB","?"))</f>
        <v/>
      </c>
      <c r="I1719" s="14" t="str">
        <f aca="false">IF(OR(E1719="",E1719="!!!",F1719="NEW"),"",INDEX(B$2:B1718,-1+SUMPRODUCT(MAX(ROW(E$2:E1718)*(E1719=E$2:E1718)))))</f>
        <v/>
      </c>
      <c r="J1719" s="15" t="str">
        <f aca="true">IF(OR(E1719="",E1719="!!!",F1719="NEW"),"",COUNTBLANK(OFFSET(A$1,,,SUMPRODUCT(MAX(ROW(E$2:E1719)*(E1719=E$2:E1719)))))-COUNTBLANK(OFFSET(A$1,,,SUMPRODUCT(MAX(ROW(E$1:E1718)*(E1719=E$1:E1718))))))</f>
        <v/>
      </c>
      <c r="K1719" s="15" t="str">
        <f aca="false">IF(OR(E1719="",E1719="!!!",F1719="NEW"),"",INDEX(J$1:J1718,SUMPRODUCT(MAX(ROW(E$1:E1718)*(E1719=E$1:E1718)))))</f>
        <v/>
      </c>
      <c r="L1719" s="16"/>
    </row>
    <row r="1720" customFormat="false" ht="12.8" hidden="false" customHeight="false" outlineLevel="0" collapsed="false">
      <c r="A1720" s="0" t="s">
        <v>62</v>
      </c>
      <c r="E1720" s="10" t="str">
        <f aca="false">IF(D1720="?OLD","!!!","")</f>
        <v/>
      </c>
      <c r="F1720" s="11" t="str">
        <f aca="false">IF(OR(E1720="",E1720="!!!"),"",IF(NOT(ISNA(VLOOKUP(E1720,E$1:E1719,1,FALSE()))),"OLD",IF(AND(E1720&lt;&gt;"",E1720&lt;&gt;"!!!"),"NEW","")))</f>
        <v/>
      </c>
      <c r="G1720" s="12" t="str">
        <f aca="false">IF(OR(E1720="",E1720="!!!"),"",IF(OR(J1720=0,AND(J1720=1,K1720=1),AND(J1720=1,I1720="SBJ"),AND(J1720=1,I1720=0)),"?IN_FOCUS",IF(J1720&lt;=2,"?ACTIVATED",IF(J1720&lt;&gt;"","?FAMILIAR",IF(F1720="NEW",IF(ISNA(VLOOKUP(E1720,#REF!,1,FALSE())),"?TYPE_IDENTIFIABLE","?REFERENTIAL"),"_")))))</f>
        <v/>
      </c>
      <c r="H1720" s="13" t="str">
        <f aca="false">IF(J1720&lt;&gt;1,"",IF(I1720="SBJ","CB","?"))</f>
        <v/>
      </c>
      <c r="I1720" s="14" t="str">
        <f aca="false">IF(OR(E1720="",E1720="!!!",F1720="NEW"),"",INDEX(B$2:B1719,-1+SUMPRODUCT(MAX(ROW(E$2:E1719)*(E1720=E$2:E1719)))))</f>
        <v/>
      </c>
      <c r="J1720" s="15" t="str">
        <f aca="true">IF(OR(E1720="",E1720="!!!",F1720="NEW"),"",COUNTBLANK(OFFSET(A$1,,,SUMPRODUCT(MAX(ROW(E$2:E1720)*(E1720=E$2:E1720)))))-COUNTBLANK(OFFSET(A$1,,,SUMPRODUCT(MAX(ROW(E$1:E1719)*(E1720=E$1:E1719))))))</f>
        <v/>
      </c>
      <c r="K1720" s="15" t="str">
        <f aca="false">IF(OR(E1720="",E1720="!!!",F1720="NEW"),"",INDEX(J$1:J1719,SUMPRODUCT(MAX(ROW(E$1:E1719)*(E1720=E$1:E1719)))))</f>
        <v/>
      </c>
      <c r="L1720" s="16"/>
    </row>
    <row r="1721" customFormat="false" ht="12.8" hidden="false" customHeight="false" outlineLevel="0" collapsed="false">
      <c r="A1721" s="0" t="s">
        <v>482</v>
      </c>
      <c r="B1721" s="0" t="s">
        <v>14</v>
      </c>
      <c r="C1721" s="0" t="s">
        <v>19</v>
      </c>
      <c r="D1721" s="0" t="s">
        <v>20</v>
      </c>
      <c r="E1721" s="10" t="s">
        <v>672</v>
      </c>
      <c r="F1721" s="11" t="str">
        <f aca="false">IF(OR(E1721="",E1721="!!!"),"",IF(NOT(ISNA(VLOOKUP(E1721,E$1:E1720,1,FALSE()))),"OLD",IF(AND(E1721&lt;&gt;"",E1721&lt;&gt;"!!!"),"NEW","")))</f>
        <v>OLD</v>
      </c>
      <c r="G1721" s="12" t="s">
        <v>36</v>
      </c>
      <c r="H1721" s="13" t="str">
        <f aca="false">IF(J1721&lt;&gt;1,"",IF(I1721="SBJ","CB","?"))</f>
        <v/>
      </c>
      <c r="I1721" s="14" t="str">
        <f aca="false">IF(OR(E1721="",E1721="!!!",F1721="NEW"),"",INDEX(B$2:B1720,-1+SUMPRODUCT(MAX(ROW(E$2:E1720)*(E1721=E$2:E1720)))))</f>
        <v>other_2</v>
      </c>
      <c r="J1721" s="15" t="n">
        <f aca="true">IF(OR(E1721="",E1721="!!!",F1721="NEW"),"",COUNTBLANK(OFFSET(A$1,,,SUMPRODUCT(MAX(ROW(E$2:E1721)*(E1721=E$2:E1721)))))-COUNTBLANK(OFFSET(A$1,,,SUMPRODUCT(MAX(ROW(E$1:E1720)*(E1721=E$1:E1720))))))</f>
        <v>25</v>
      </c>
      <c r="K1721" s="15" t="str">
        <f aca="false">IF(OR(E1721="",E1721="!!!",F1721="NEW"),"",INDEX(J$1:J1720,SUMPRODUCT(MAX(ROW(E$1:E1720)*(E1721=E$1:E1720)))))</f>
        <v/>
      </c>
      <c r="L1721" s="16"/>
    </row>
    <row r="1722" customFormat="false" ht="23.85" hidden="false" customHeight="false" outlineLevel="0" collapsed="false">
      <c r="A1722" s="0" t="s">
        <v>468</v>
      </c>
      <c r="B1722" s="0" t="s">
        <v>47</v>
      </c>
      <c r="C1722" s="0" t="s">
        <v>215</v>
      </c>
      <c r="D1722" s="0" t="s">
        <v>20</v>
      </c>
      <c r="E1722" s="10" t="s">
        <v>672</v>
      </c>
      <c r="F1722" s="11" t="str">
        <f aca="false">IF(OR(E1722="",E1722="!!!"),"",IF(NOT(ISNA(VLOOKUP(E1722,E$1:E1721,1,FALSE()))),"OLD",IF(AND(E1722&lt;&gt;"",E1722&lt;&gt;"!!!"),"NEW","")))</f>
        <v>OLD</v>
      </c>
      <c r="G1722" s="12" t="s">
        <v>87</v>
      </c>
      <c r="H1722" s="13" t="str">
        <f aca="false">IF(J1722&lt;&gt;1,"",IF(I1722="SBJ","CB","?"))</f>
        <v/>
      </c>
      <c r="I1722" s="14" t="str">
        <f aca="false">IF(OR(E1722="",E1722="!!!",F1722="NEW"),"",INDEX(B$2:B1721,-1+SUMPRODUCT(MAX(ROW(E$2:E1721)*(E1722=E$2:E1721)))))</f>
        <v>other</v>
      </c>
      <c r="J1722" s="15" t="n">
        <f aca="true">IF(OR(E1722="",E1722="!!!",F1722="NEW"),"",COUNTBLANK(OFFSET(A$1,,,SUMPRODUCT(MAX(ROW(E$2:E1722)*(E1722=E$2:E1722)))))-COUNTBLANK(OFFSET(A$1,,,SUMPRODUCT(MAX(ROW(E$1:E1721)*(E1722=E$1:E1721))))))</f>
        <v>0</v>
      </c>
      <c r="K1722" s="15" t="n">
        <f aca="false">IF(OR(E1722="",E1722="!!!",F1722="NEW"),"",INDEX(J$1:J1721,SUMPRODUCT(MAX(ROW(E$1:E1721)*(E1722=E$1:E1721)))))</f>
        <v>25</v>
      </c>
      <c r="L1722" s="16" t="s">
        <v>796</v>
      </c>
    </row>
    <row r="1723" customFormat="false" ht="12.8" hidden="false" customHeight="false" outlineLevel="0" collapsed="false">
      <c r="A1723" s="0" t="s">
        <v>100</v>
      </c>
      <c r="E1723" s="10" t="str">
        <f aca="false">IF(D1723="?OLD","!!!","")</f>
        <v/>
      </c>
      <c r="F1723" s="11" t="str">
        <f aca="false">IF(OR(E1723="",E1723="!!!"),"",IF(NOT(ISNA(VLOOKUP(E1723,E$1:E1722,1,FALSE()))),"OLD",IF(AND(E1723&lt;&gt;"",E1723&lt;&gt;"!!!"),"NEW","")))</f>
        <v/>
      </c>
      <c r="G1723" s="12" t="str">
        <f aca="false">IF(OR(E1723="",E1723="!!!"),"",IF(OR(J1723=0,AND(J1723=1,K1723=1),AND(J1723=1,I1723="SBJ"),AND(J1723=1,I1723=0)),"?IN_FOCUS",IF(J1723&lt;=2,"?ACTIVATED",IF(J1723&lt;&gt;"","?FAMILIAR",IF(F1723="NEW",IF(ISNA(VLOOKUP(E1723,#REF!,1,FALSE())),"?TYPE_IDENTIFIABLE","?REFERENTIAL"),"_")))))</f>
        <v/>
      </c>
      <c r="H1723" s="13" t="str">
        <f aca="false">IF(J1723&lt;&gt;1,"",IF(I1723="SBJ","CB","?"))</f>
        <v/>
      </c>
      <c r="I1723" s="14" t="str">
        <f aca="false">IF(OR(E1723="",E1723="!!!",F1723="NEW"),"",INDEX(B$2:B1722,-1+SUMPRODUCT(MAX(ROW(E$2:E1722)*(E1723=E$2:E1722)))))</f>
        <v/>
      </c>
      <c r="J1723" s="15" t="str">
        <f aca="true">IF(OR(E1723="",E1723="!!!",F1723="NEW"),"",COUNTBLANK(OFFSET(A$1,,,SUMPRODUCT(MAX(ROW(E$2:E1723)*(E1723=E$2:E1723)))))-COUNTBLANK(OFFSET(A$1,,,SUMPRODUCT(MAX(ROW(E$1:E1722)*(E1723=E$1:E1722))))))</f>
        <v/>
      </c>
      <c r="K1723" s="15" t="str">
        <f aca="false">IF(OR(E1723="",E1723="!!!",F1723="NEW"),"",INDEX(J$1:J1722,SUMPRODUCT(MAX(ROW(E$1:E1722)*(E1723=E$1:E1722)))))</f>
        <v/>
      </c>
      <c r="L1723" s="16"/>
    </row>
    <row r="1724" customFormat="false" ht="12.8" hidden="false" customHeight="false" outlineLevel="0" collapsed="false">
      <c r="A1724" s="0" t="s">
        <v>62</v>
      </c>
      <c r="E1724" s="10" t="str">
        <f aca="false">IF(D1724="?OLD","!!!","")</f>
        <v/>
      </c>
      <c r="F1724" s="11" t="str">
        <f aca="false">IF(OR(E1724="",E1724="!!!"),"",IF(NOT(ISNA(VLOOKUP(E1724,E$1:E1723,1,FALSE()))),"OLD",IF(AND(E1724&lt;&gt;"",E1724&lt;&gt;"!!!"),"NEW","")))</f>
        <v/>
      </c>
      <c r="G1724" s="12" t="str">
        <f aca="false">IF(OR(E1724="",E1724="!!!"),"",IF(OR(J1724=0,AND(J1724=1,K1724=1),AND(J1724=1,I1724="SBJ"),AND(J1724=1,I1724=0)),"?IN_FOCUS",IF(J1724&lt;=2,"?ACTIVATED",IF(J1724&lt;&gt;"","?FAMILIAR",IF(F1724="NEW",IF(ISNA(VLOOKUP(E1724,#REF!,1,FALSE())),"?TYPE_IDENTIFIABLE","?REFERENTIAL"),"_")))))</f>
        <v/>
      </c>
      <c r="H1724" s="13" t="str">
        <f aca="false">IF(J1724&lt;&gt;1,"",IF(I1724="SBJ","CB","?"))</f>
        <v/>
      </c>
      <c r="I1724" s="14" t="str">
        <f aca="false">IF(OR(E1724="",E1724="!!!",F1724="NEW"),"",INDEX(B$2:B1723,-1+SUMPRODUCT(MAX(ROW(E$2:E1723)*(E1724=E$2:E1723)))))</f>
        <v/>
      </c>
      <c r="J1724" s="15" t="str">
        <f aca="true">IF(OR(E1724="",E1724="!!!",F1724="NEW"),"",COUNTBLANK(OFFSET(A$1,,,SUMPRODUCT(MAX(ROW(E$2:E1724)*(E1724=E$2:E1724)))))-COUNTBLANK(OFFSET(A$1,,,SUMPRODUCT(MAX(ROW(E$1:E1723)*(E1724=E$1:E1723))))))</f>
        <v/>
      </c>
      <c r="K1724" s="15" t="str">
        <f aca="false">IF(OR(E1724="",E1724="!!!",F1724="NEW"),"",INDEX(J$1:J1723,SUMPRODUCT(MAX(ROW(E$1:E1723)*(E1724=E$1:E1723)))))</f>
        <v/>
      </c>
      <c r="L1724" s="16"/>
    </row>
    <row r="1725" customFormat="false" ht="12.8" hidden="false" customHeight="false" outlineLevel="0" collapsed="false">
      <c r="A1725" s="0" t="s">
        <v>33</v>
      </c>
      <c r="B1725" s="0" t="s">
        <v>75</v>
      </c>
      <c r="C1725" s="0" t="s">
        <v>27</v>
      </c>
      <c r="D1725" s="0" t="s">
        <v>20</v>
      </c>
      <c r="E1725" s="10" t="s">
        <v>33</v>
      </c>
      <c r="F1725" s="11" t="str">
        <f aca="false">IF(OR(E1725="",E1725="!!!"),"",IF(NOT(ISNA(VLOOKUP(E1725,E$1:E1724,1,FALSE()))),"OLD",IF(AND(E1725&lt;&gt;"",E1725&lt;&gt;"!!!"),"NEW","")))</f>
        <v>OLD</v>
      </c>
      <c r="G1725" s="12" t="s">
        <v>36</v>
      </c>
      <c r="H1725" s="13" t="str">
        <f aca="false">IF(J1725&lt;&gt;1,"",IF(I1725="SBJ","CB","?"))</f>
        <v/>
      </c>
      <c r="I1725" s="14" t="str">
        <f aca="false">IF(OR(E1725="",E1725="!!!",F1725="NEW"),"",INDEX(B$2:B1724,-1+SUMPRODUCT(MAX(ROW(E$2:E1724)*(E1725=E$2:E1724)))))</f>
        <v>other_2</v>
      </c>
      <c r="J1725" s="15" t="n">
        <f aca="true">IF(OR(E1725="",E1725="!!!",F1725="NEW"),"",COUNTBLANK(OFFSET(A$1,,,SUMPRODUCT(MAX(ROW(E$2:E1725)*(E1725=E$2:E1725)))))-COUNTBLANK(OFFSET(A$1,,,SUMPRODUCT(MAX(ROW(E$1:E1724)*(E1725=E$1:E1724))))))</f>
        <v>13</v>
      </c>
      <c r="K1725" s="15" t="n">
        <f aca="false">IF(OR(E1725="",E1725="!!!",F1725="NEW"),"",INDEX(J$1:J1724,SUMPRODUCT(MAX(ROW(E$1:E1724)*(E1725=E$1:E1724)))))</f>
        <v>12</v>
      </c>
      <c r="L1725" s="16"/>
    </row>
    <row r="1726" customFormat="false" ht="12.8" hidden="false" customHeight="false" outlineLevel="0" collapsed="false">
      <c r="A1726" s="0" t="s">
        <v>100</v>
      </c>
      <c r="E1726" s="10" t="str">
        <f aca="false">IF(D1726="?OLD","!!!","")</f>
        <v/>
      </c>
      <c r="F1726" s="11" t="str">
        <f aca="false">IF(OR(E1726="",E1726="!!!"),"",IF(NOT(ISNA(VLOOKUP(E1726,E$1:E1725,1,FALSE()))),"OLD",IF(AND(E1726&lt;&gt;"",E1726&lt;&gt;"!!!"),"NEW","")))</f>
        <v/>
      </c>
      <c r="G1726" s="12" t="str">
        <f aca="false">IF(OR(E1726="",E1726="!!!"),"",IF(OR(J1726=0,AND(J1726=1,K1726=1),AND(J1726=1,I1726="SBJ"),AND(J1726=1,I1726=0)),"?IN_FOCUS",IF(J1726&lt;=2,"?ACTIVATED",IF(J1726&lt;&gt;"","?FAMILIAR",IF(F1726="NEW",IF(ISNA(VLOOKUP(E1726,#REF!,1,FALSE())),"?TYPE_IDENTIFIABLE","?REFERENTIAL"),"_")))))</f>
        <v/>
      </c>
      <c r="H1726" s="13" t="str">
        <f aca="false">IF(J1726&lt;&gt;1,"",IF(I1726="SBJ","CB","?"))</f>
        <v/>
      </c>
      <c r="I1726" s="14" t="str">
        <f aca="false">IF(OR(E1726="",E1726="!!!",F1726="NEW"),"",INDEX(B$2:B1725,-1+SUMPRODUCT(MAX(ROW(E$2:E1725)*(E1726=E$2:E1725)))))</f>
        <v/>
      </c>
      <c r="J1726" s="15" t="str">
        <f aca="true">IF(OR(E1726="",E1726="!!!",F1726="NEW"),"",COUNTBLANK(OFFSET(A$1,,,SUMPRODUCT(MAX(ROW(E$2:E1726)*(E1726=E$2:E1726)))))-COUNTBLANK(OFFSET(A$1,,,SUMPRODUCT(MAX(ROW(E$1:E1725)*(E1726=E$1:E1725))))))</f>
        <v/>
      </c>
      <c r="K1726" s="15" t="str">
        <f aca="false">IF(OR(E1726="",E1726="!!!",F1726="NEW"),"",INDEX(J$1:J1725,SUMPRODUCT(MAX(ROW(E$1:E1725)*(E1726=E$1:E1725)))))</f>
        <v/>
      </c>
      <c r="L1726" s="16"/>
    </row>
    <row r="1727" customFormat="false" ht="12.8" hidden="false" customHeight="false" outlineLevel="0" collapsed="false">
      <c r="A1727" s="0" t="s">
        <v>588</v>
      </c>
      <c r="E1727" s="10" t="str">
        <f aca="false">IF(D1727="?OLD","!!!","")</f>
        <v/>
      </c>
      <c r="F1727" s="11" t="str">
        <f aca="false">IF(OR(E1727="",E1727="!!!"),"",IF(NOT(ISNA(VLOOKUP(E1727,E$1:E1726,1,FALSE()))),"OLD",IF(AND(E1727&lt;&gt;"",E1727&lt;&gt;"!!!"),"NEW","")))</f>
        <v/>
      </c>
      <c r="G1727" s="12" t="str">
        <f aca="false">IF(OR(E1727="",E1727="!!!"),"",IF(OR(J1727=0,AND(J1727=1,K1727=1),AND(J1727=1,I1727="SBJ"),AND(J1727=1,I1727=0)),"?IN_FOCUS",IF(J1727&lt;=2,"?ACTIVATED",IF(J1727&lt;&gt;"","?FAMILIAR",IF(F1727="NEW",IF(ISNA(VLOOKUP(E1727,#REF!,1,FALSE())),"?TYPE_IDENTIFIABLE","?REFERENTIAL"),"_")))))</f>
        <v/>
      </c>
      <c r="H1727" s="13" t="str">
        <f aca="false">IF(J1727&lt;&gt;1,"",IF(I1727="SBJ","CB","?"))</f>
        <v/>
      </c>
      <c r="I1727" s="14" t="str">
        <f aca="false">IF(OR(E1727="",E1727="!!!",F1727="NEW"),"",INDEX(B$2:B1726,-1+SUMPRODUCT(MAX(ROW(E$2:E1726)*(E1727=E$2:E1726)))))</f>
        <v/>
      </c>
      <c r="J1727" s="15" t="str">
        <f aca="true">IF(OR(E1727="",E1727="!!!",F1727="NEW"),"",COUNTBLANK(OFFSET(A$1,,,SUMPRODUCT(MAX(ROW(E$2:E1727)*(E1727=E$2:E1727)))))-COUNTBLANK(OFFSET(A$1,,,SUMPRODUCT(MAX(ROW(E$1:E1726)*(E1727=E$1:E1726))))))</f>
        <v/>
      </c>
      <c r="K1727" s="15" t="str">
        <f aca="false">IF(OR(E1727="",E1727="!!!",F1727="NEW"),"",INDEX(J$1:J1726,SUMPRODUCT(MAX(ROW(E$1:E1726)*(E1727=E$1:E1726)))))</f>
        <v/>
      </c>
      <c r="L1727" s="16"/>
    </row>
    <row r="1728" customFormat="false" ht="12.8" hidden="false" customHeight="false" outlineLevel="0" collapsed="false">
      <c r="A1728" s="0" t="s">
        <v>797</v>
      </c>
      <c r="B1728" s="0" t="s">
        <v>14</v>
      </c>
      <c r="C1728" s="0" t="s">
        <v>246</v>
      </c>
      <c r="D1728" s="0" t="s">
        <v>20</v>
      </c>
      <c r="E1728" s="10"/>
      <c r="F1728" s="11" t="s">
        <v>86</v>
      </c>
      <c r="G1728" s="12" t="str">
        <f aca="false">IF(OR(E1728="",E1728="!!!"),"",IF(OR(J1728=0,AND(J1728=1,K1728=1),AND(J1728=1,I1728="SBJ"),AND(J1728=1,I1728=0)),"?IN_FOCUS",IF(J1728&lt;=2,"?ACTIVATED",IF(J1728&lt;&gt;"","?FAMILIAR",IF(F1728="NEW",IF(ISNA(VLOOKUP(E1728,#REF!,1,FALSE())),"?TYPE_IDENTIFIABLE","?REFERENTIAL"),"_")))))</f>
        <v/>
      </c>
      <c r="H1728" s="13" t="str">
        <f aca="false">IF(J1728&lt;&gt;1,"",IF(I1728="SBJ","CB","?"))</f>
        <v/>
      </c>
      <c r="I1728" s="14" t="str">
        <f aca="false">IF(OR(E1728="",E1728="!!!",F1728="NEW"),"",INDEX(B$2:B1727,-1+SUMPRODUCT(MAX(ROW(E$2:E1727)*(E1728=E$2:E1727)))))</f>
        <v/>
      </c>
      <c r="J1728" s="15" t="str">
        <f aca="true">IF(OR(E1728="",E1728="!!!",F1728="NEW"),"",COUNTBLANK(OFFSET(A$1,,,SUMPRODUCT(MAX(ROW(E$2:E1728)*(E1728=E$2:E1728)))))-COUNTBLANK(OFFSET(A$1,,,SUMPRODUCT(MAX(ROW(E$1:E1727)*(E1728=E$1:E1727))))))</f>
        <v/>
      </c>
      <c r="K1728" s="15" t="str">
        <f aca="false">IF(OR(E1728="",E1728="!!!",F1728="NEW"),"",INDEX(J$1:J1727,SUMPRODUCT(MAX(ROW(E$1:E1727)*(E1728=E$1:E1727)))))</f>
        <v/>
      </c>
      <c r="L1728" s="16"/>
    </row>
    <row r="1729" customFormat="false" ht="12.8" hidden="false" customHeight="false" outlineLevel="0" collapsed="false">
      <c r="A1729" s="0" t="s">
        <v>76</v>
      </c>
      <c r="E1729" s="10" t="str">
        <f aca="false">IF(D1729="?OLD","!!!","")</f>
        <v/>
      </c>
      <c r="F1729" s="11" t="str">
        <f aca="false">IF(OR(E1729="",E1729="!!!"),"",IF(NOT(ISNA(VLOOKUP(E1729,E$1:E1728,1,FALSE()))),"OLD",IF(AND(E1729&lt;&gt;"",E1729&lt;&gt;"!!!"),"NEW","")))</f>
        <v/>
      </c>
      <c r="G1729" s="12" t="str">
        <f aca="false">IF(OR(E1729="",E1729="!!!"),"",IF(OR(J1729=0,AND(J1729=1,K1729=1),AND(J1729=1,I1729="SBJ"),AND(J1729=1,I1729=0)),"?IN_FOCUS",IF(J1729&lt;=2,"?ACTIVATED",IF(J1729&lt;&gt;"","?FAMILIAR",IF(F1729="NEW",IF(ISNA(VLOOKUP(E1729,#REF!,1,FALSE())),"?TYPE_IDENTIFIABLE","?REFERENTIAL"),"_")))))</f>
        <v/>
      </c>
      <c r="H1729" s="13" t="str">
        <f aca="false">IF(J1729&lt;&gt;1,"",IF(I1729="SBJ","CB","?"))</f>
        <v/>
      </c>
      <c r="I1729" s="14" t="str">
        <f aca="false">IF(OR(E1729="",E1729="!!!",F1729="NEW"),"",INDEX(B$2:B1728,-1+SUMPRODUCT(MAX(ROW(E$2:E1728)*(E1729=E$2:E1728)))))</f>
        <v/>
      </c>
      <c r="J1729" s="15" t="str">
        <f aca="true">IF(OR(E1729="",E1729="!!!",F1729="NEW"),"",COUNTBLANK(OFFSET(A$1,,,SUMPRODUCT(MAX(ROW(E$2:E1729)*(E1729=E$2:E1729)))))-COUNTBLANK(OFFSET(A$1,,,SUMPRODUCT(MAX(ROW(E$1:E1728)*(E1729=E$1:E1728))))))</f>
        <v/>
      </c>
      <c r="K1729" s="15" t="str">
        <f aca="false">IF(OR(E1729="",E1729="!!!",F1729="NEW"),"",INDEX(J$1:J1728,SUMPRODUCT(MAX(ROW(E$1:E1728)*(E1729=E$1:E1728)))))</f>
        <v/>
      </c>
      <c r="L1729" s="16"/>
    </row>
    <row r="1730" customFormat="false" ht="12.8" hidden="false" customHeight="false" outlineLevel="0" collapsed="false">
      <c r="E1730" s="10" t="str">
        <f aca="false">IF(D1730="?OLD","!!!","")</f>
        <v/>
      </c>
      <c r="F1730" s="11" t="str">
        <f aca="false">IF(OR(E1730="",E1730="!!!"),"",IF(NOT(ISNA(VLOOKUP(E1730,E$1:E1729,1,FALSE()))),"OLD",IF(AND(E1730&lt;&gt;"",E1730&lt;&gt;"!!!"),"NEW","")))</f>
        <v/>
      </c>
      <c r="G1730" s="12" t="str">
        <f aca="false">IF(OR(E1730="",E1730="!!!"),"",IF(OR(J1730=0,AND(J1730=1,K1730=1),AND(J1730=1,I1730="SBJ"),AND(J1730=1,I1730=0)),"?IN_FOCUS",IF(J1730&lt;=2,"?ACTIVATED",IF(J1730&lt;&gt;"","?FAMILIAR",IF(F1730="NEW",IF(ISNA(VLOOKUP(E1730,#REF!,1,FALSE())),"?TYPE_IDENTIFIABLE","?REFERENTIAL"),"_")))))</f>
        <v/>
      </c>
      <c r="H1730" s="13" t="str">
        <f aca="false">IF(J1730&lt;&gt;1,"",IF(I1730="SBJ","CB","?"))</f>
        <v/>
      </c>
      <c r="I1730" s="14" t="str">
        <f aca="false">IF(OR(E1730="",E1730="!!!",F1730="NEW"),"",INDEX(B$2:B1729,-1+SUMPRODUCT(MAX(ROW(E$2:E1729)*(E1730=E$2:E1729)))))</f>
        <v/>
      </c>
      <c r="J1730" s="15" t="str">
        <f aca="true">IF(OR(E1730="",E1730="!!!",F1730="NEW"),"",COUNTBLANK(OFFSET(A$1,,,SUMPRODUCT(MAX(ROW(E$2:E1730)*(E1730=E$2:E1730)))))-COUNTBLANK(OFFSET(A$1,,,SUMPRODUCT(MAX(ROW(E$1:E1729)*(E1730=E$1:E1729))))))</f>
        <v/>
      </c>
      <c r="K1730" s="15" t="str">
        <f aca="false">IF(OR(E1730="",E1730="!!!",F1730="NEW"),"",INDEX(J$1:J1729,SUMPRODUCT(MAX(ROW(E$1:E1729)*(E1730=E$1:E1729)))))</f>
        <v/>
      </c>
      <c r="L1730" s="16"/>
    </row>
    <row r="1731" customFormat="false" ht="12.8" hidden="false" customHeight="false" outlineLevel="0" collapsed="false">
      <c r="A1731" s="0" t="s">
        <v>798</v>
      </c>
      <c r="E1731" s="10" t="str">
        <f aca="false">IF(D1731="?OLD","!!!","")</f>
        <v/>
      </c>
      <c r="F1731" s="11" t="str">
        <f aca="false">IF(OR(E1731="",E1731="!!!"),"",IF(NOT(ISNA(VLOOKUP(E1731,E$1:E1730,1,FALSE()))),"OLD",IF(AND(E1731&lt;&gt;"",E1731&lt;&gt;"!!!"),"NEW","")))</f>
        <v/>
      </c>
      <c r="G1731" s="12" t="str">
        <f aca="false">IF(OR(E1731="",E1731="!!!"),"",IF(OR(J1731=0,AND(J1731=1,K1731=1),AND(J1731=1,I1731="SBJ"),AND(J1731=1,I1731=0)),"?IN_FOCUS",IF(J1731&lt;=2,"?ACTIVATED",IF(J1731&lt;&gt;"","?FAMILIAR",IF(F1731="NEW",IF(ISNA(VLOOKUP(E1731,#REF!,1,FALSE())),"?TYPE_IDENTIFIABLE","?REFERENTIAL"),"_")))))</f>
        <v/>
      </c>
      <c r="H1731" s="13" t="str">
        <f aca="false">IF(J1731&lt;&gt;1,"",IF(I1731="SBJ","CB","?"))</f>
        <v/>
      </c>
      <c r="I1731" s="14" t="str">
        <f aca="false">IF(OR(E1731="",E1731="!!!",F1731="NEW"),"",INDEX(B$2:B1730,-1+SUMPRODUCT(MAX(ROW(E$2:E1730)*(E1731=E$2:E1730)))))</f>
        <v/>
      </c>
      <c r="J1731" s="15" t="str">
        <f aca="true">IF(OR(E1731="",E1731="!!!",F1731="NEW"),"",COUNTBLANK(OFFSET(A$1,,,SUMPRODUCT(MAX(ROW(E$2:E1731)*(E1731=E$2:E1731)))))-COUNTBLANK(OFFSET(A$1,,,SUMPRODUCT(MAX(ROW(E$1:E1730)*(E1731=E$1:E1730))))))</f>
        <v/>
      </c>
      <c r="K1731" s="15" t="str">
        <f aca="false">IF(OR(E1731="",E1731="!!!",F1731="NEW"),"",INDEX(J$1:J1730,SUMPRODUCT(MAX(ROW(E$1:E1730)*(E1731=E$1:E1730)))))</f>
        <v/>
      </c>
      <c r="L1731" s="16"/>
    </row>
    <row r="1732" customFormat="false" ht="12.8" hidden="false" customHeight="false" outlineLevel="0" collapsed="false">
      <c r="A1732" s="0" t="s">
        <v>468</v>
      </c>
      <c r="B1732" s="0" t="s">
        <v>34</v>
      </c>
      <c r="C1732" s="0" t="s">
        <v>215</v>
      </c>
      <c r="D1732" s="0" t="s">
        <v>20</v>
      </c>
      <c r="E1732" s="10" t="s">
        <v>791</v>
      </c>
      <c r="F1732" s="11" t="str">
        <f aca="false">IF(OR(E1732="",E1732="!!!"),"",IF(NOT(ISNA(VLOOKUP(E1732,E$1:E1731,1,FALSE()))),"OLD",IF(AND(E1732&lt;&gt;"",E1732&lt;&gt;"!!!"),"NEW","")))</f>
        <v>OLD</v>
      </c>
      <c r="G1732" s="12" t="s">
        <v>80</v>
      </c>
      <c r="H1732" s="13" t="str">
        <f aca="false">IF(J1732&lt;&gt;1,"",IF(I1732="SBJ","CB","?"))</f>
        <v>CB</v>
      </c>
      <c r="I1732" s="14" t="str">
        <f aca="false">IF(OR(E1732="",E1732="!!!",F1732="NEW"),"",INDEX(B$2:B1731,-1+SUMPRODUCT(MAX(ROW(E$2:E1731)*(E1732=E$2:E1731)))))</f>
        <v>SBJ</v>
      </c>
      <c r="J1732" s="15" t="n">
        <f aca="true">IF(OR(E1732="",E1732="!!!",F1732="NEW"),"",COUNTBLANK(OFFSET(A$1,,,SUMPRODUCT(MAX(ROW(E$2:E1732)*(E1732=E$2:E1732)))))-COUNTBLANK(OFFSET(A$1,,,SUMPRODUCT(MAX(ROW(E$1:E1731)*(E1732=E$1:E1731))))))</f>
        <v>1</v>
      </c>
      <c r="K1732" s="15" t="e">
        <f aca="false">IF(OR(E1732="",E1732="!!!",F1732="NEW"),"",INDEX(J$1:J1731,SUMPRODUCT(MAX(ROW(E$1:E1731)*(E1732=E$1:E1731)))))</f>
        <v>#VALUE!</v>
      </c>
      <c r="L1732" s="16"/>
    </row>
    <row r="1733" customFormat="false" ht="12.8" hidden="false" customHeight="false" outlineLevel="0" collapsed="false">
      <c r="A1733" s="0" t="s">
        <v>100</v>
      </c>
      <c r="E1733" s="10" t="str">
        <f aca="false">IF(D1733="?OLD","!!!","")</f>
        <v/>
      </c>
      <c r="F1733" s="11" t="str">
        <f aca="false">IF(OR(E1733="",E1733="!!!"),"",IF(NOT(ISNA(VLOOKUP(E1733,E$1:E1732,1,FALSE()))),"OLD",IF(AND(E1733&lt;&gt;"",E1733&lt;&gt;"!!!"),"NEW","")))</f>
        <v/>
      </c>
      <c r="G1733" s="12" t="str">
        <f aca="false">IF(OR(E1733="",E1733="!!!"),"",IF(OR(J1733=0,AND(J1733=1,K1733=1),AND(J1733=1,I1733="SBJ"),AND(J1733=1,I1733=0)),"?IN_FOCUS",IF(J1733&lt;=2,"?ACTIVATED",IF(J1733&lt;&gt;"","?FAMILIAR",IF(F1733="NEW",IF(ISNA(VLOOKUP(E1733,#REF!,1,FALSE())),"?TYPE_IDENTIFIABLE","?REFERENTIAL"),"_")))))</f>
        <v/>
      </c>
      <c r="H1733" s="13" t="str">
        <f aca="false">IF(J1733&lt;&gt;1,"",IF(I1733="SBJ","CB","?"))</f>
        <v/>
      </c>
      <c r="I1733" s="14" t="str">
        <f aca="false">IF(OR(E1733="",E1733="!!!",F1733="NEW"),"",INDEX(B$2:B1732,-1+SUMPRODUCT(MAX(ROW(E$2:E1732)*(E1733=E$2:E1732)))))</f>
        <v/>
      </c>
      <c r="J1733" s="15" t="str">
        <f aca="true">IF(OR(E1733="",E1733="!!!",F1733="NEW"),"",COUNTBLANK(OFFSET(A$1,,,SUMPRODUCT(MAX(ROW(E$2:E1733)*(E1733=E$2:E1733)))))-COUNTBLANK(OFFSET(A$1,,,SUMPRODUCT(MAX(ROW(E$1:E1732)*(E1733=E$1:E1732))))))</f>
        <v/>
      </c>
      <c r="K1733" s="15" t="str">
        <f aca="false">IF(OR(E1733="",E1733="!!!",F1733="NEW"),"",INDEX(J$1:J1732,SUMPRODUCT(MAX(ROW(E$1:E1732)*(E1733=E$1:E1732)))))</f>
        <v/>
      </c>
      <c r="L1733" s="16"/>
    </row>
    <row r="1734" customFormat="false" ht="12.8" hidden="false" customHeight="false" outlineLevel="0" collapsed="false">
      <c r="A1734" s="0" t="s">
        <v>40</v>
      </c>
      <c r="E1734" s="10" t="str">
        <f aca="false">IF(D1734="?OLD","!!!","")</f>
        <v/>
      </c>
      <c r="F1734" s="11" t="str">
        <f aca="false">IF(OR(E1734="",E1734="!!!"),"",IF(NOT(ISNA(VLOOKUP(E1734,E$1:E1733,1,FALSE()))),"OLD",IF(AND(E1734&lt;&gt;"",E1734&lt;&gt;"!!!"),"NEW","")))</f>
        <v/>
      </c>
      <c r="G1734" s="12" t="str">
        <f aca="false">IF(OR(E1734="",E1734="!!!"),"",IF(OR(J1734=0,AND(J1734=1,K1734=1),AND(J1734=1,I1734="SBJ"),AND(J1734=1,I1734=0)),"?IN_FOCUS",IF(J1734&lt;=2,"?ACTIVATED",IF(J1734&lt;&gt;"","?FAMILIAR",IF(F1734="NEW",IF(ISNA(VLOOKUP(E1734,#REF!,1,FALSE())),"?TYPE_IDENTIFIABLE","?REFERENTIAL"),"_")))))</f>
        <v/>
      </c>
      <c r="H1734" s="13" t="str">
        <f aca="false">IF(J1734&lt;&gt;1,"",IF(I1734="SBJ","CB","?"))</f>
        <v/>
      </c>
      <c r="I1734" s="14" t="str">
        <f aca="false">IF(OR(E1734="",E1734="!!!",F1734="NEW"),"",INDEX(B$2:B1733,-1+SUMPRODUCT(MAX(ROW(E$2:E1733)*(E1734=E$2:E1733)))))</f>
        <v/>
      </c>
      <c r="J1734" s="15" t="str">
        <f aca="true">IF(OR(E1734="",E1734="!!!",F1734="NEW"),"",COUNTBLANK(OFFSET(A$1,,,SUMPRODUCT(MAX(ROW(E$2:E1734)*(E1734=E$2:E1734)))))-COUNTBLANK(OFFSET(A$1,,,SUMPRODUCT(MAX(ROW(E$1:E1733)*(E1734=E$1:E1733))))))</f>
        <v/>
      </c>
      <c r="K1734" s="15" t="str">
        <f aca="false">IF(OR(E1734="",E1734="!!!",F1734="NEW"),"",INDEX(J$1:J1733,SUMPRODUCT(MAX(ROW(E$1:E1733)*(E1734=E$1:E1733)))))</f>
        <v/>
      </c>
      <c r="L1734" s="16"/>
    </row>
    <row r="1735" customFormat="false" ht="12.8" hidden="false" customHeight="false" outlineLevel="0" collapsed="false">
      <c r="A1735" s="0" t="s">
        <v>799</v>
      </c>
      <c r="E1735" s="10" t="str">
        <f aca="false">IF(D1735="?OLD","!!!","")</f>
        <v/>
      </c>
      <c r="F1735" s="11" t="str">
        <f aca="false">IF(OR(E1735="",E1735="!!!"),"",IF(NOT(ISNA(VLOOKUP(E1735,E$1:E1734,1,FALSE()))),"OLD",IF(AND(E1735&lt;&gt;"",E1735&lt;&gt;"!!!"),"NEW","")))</f>
        <v/>
      </c>
      <c r="G1735" s="12" t="str">
        <f aca="false">IF(OR(E1735="",E1735="!!!"),"",IF(OR(J1735=0,AND(J1735=1,K1735=1),AND(J1735=1,I1735="SBJ"),AND(J1735=1,I1735=0)),"?IN_FOCUS",IF(J1735&lt;=2,"?ACTIVATED",IF(J1735&lt;&gt;"","?FAMILIAR",IF(F1735="NEW",IF(ISNA(VLOOKUP(E1735,#REF!,1,FALSE())),"?TYPE_IDENTIFIABLE","?REFERENTIAL"),"_")))))</f>
        <v/>
      </c>
      <c r="H1735" s="13" t="str">
        <f aca="false">IF(J1735&lt;&gt;1,"",IF(I1735="SBJ","CB","?"))</f>
        <v/>
      </c>
      <c r="I1735" s="14" t="str">
        <f aca="false">IF(OR(E1735="",E1735="!!!",F1735="NEW"),"",INDEX(B$2:B1734,-1+SUMPRODUCT(MAX(ROW(E$2:E1734)*(E1735=E$2:E1734)))))</f>
        <v/>
      </c>
      <c r="J1735" s="15" t="str">
        <f aca="true">IF(OR(E1735="",E1735="!!!",F1735="NEW"),"",COUNTBLANK(OFFSET(A$1,,,SUMPRODUCT(MAX(ROW(E$2:E1735)*(E1735=E$2:E1735)))))-COUNTBLANK(OFFSET(A$1,,,SUMPRODUCT(MAX(ROW(E$1:E1734)*(E1735=E$1:E1734))))))</f>
        <v/>
      </c>
      <c r="K1735" s="15" t="str">
        <f aca="false">IF(OR(E1735="",E1735="!!!",F1735="NEW"),"",INDEX(J$1:J1734,SUMPRODUCT(MAX(ROW(E$1:E1734)*(E1735=E$1:E1734)))))</f>
        <v/>
      </c>
      <c r="L1735" s="16"/>
    </row>
    <row r="1736" customFormat="false" ht="12.8" hidden="false" customHeight="false" outlineLevel="0" collapsed="false">
      <c r="A1736" s="0" t="s">
        <v>800</v>
      </c>
      <c r="E1736" s="10" t="str">
        <f aca="false">IF(D1736="?OLD","!!!","")</f>
        <v/>
      </c>
      <c r="F1736" s="11" t="str">
        <f aca="false">IF(OR(E1736="",E1736="!!!"),"",IF(NOT(ISNA(VLOOKUP(E1736,E$1:E1735,1,FALSE()))),"OLD",IF(AND(E1736&lt;&gt;"",E1736&lt;&gt;"!!!"),"NEW","")))</f>
        <v/>
      </c>
      <c r="G1736" s="12" t="str">
        <f aca="false">IF(OR(E1736="",E1736="!!!"),"",IF(OR(J1736=0,AND(J1736=1,K1736=1),AND(J1736=1,I1736="SBJ"),AND(J1736=1,I1736=0)),"?IN_FOCUS",IF(J1736&lt;=2,"?ACTIVATED",IF(J1736&lt;&gt;"","?FAMILIAR",IF(F1736="NEW",IF(ISNA(VLOOKUP(E1736,#REF!,1,FALSE())),"?TYPE_IDENTIFIABLE","?REFERENTIAL"),"_")))))</f>
        <v/>
      </c>
      <c r="H1736" s="13" t="str">
        <f aca="false">IF(J1736&lt;&gt;1,"",IF(I1736="SBJ","CB","?"))</f>
        <v/>
      </c>
      <c r="I1736" s="14" t="str">
        <f aca="false">IF(OR(E1736="",E1736="!!!",F1736="NEW"),"",INDEX(B$2:B1735,-1+SUMPRODUCT(MAX(ROW(E$2:E1735)*(E1736=E$2:E1735)))))</f>
        <v/>
      </c>
      <c r="J1736" s="15" t="str">
        <f aca="true">IF(OR(E1736="",E1736="!!!",F1736="NEW"),"",COUNTBLANK(OFFSET(A$1,,,SUMPRODUCT(MAX(ROW(E$2:E1736)*(E1736=E$2:E1736)))))-COUNTBLANK(OFFSET(A$1,,,SUMPRODUCT(MAX(ROW(E$1:E1735)*(E1736=E$1:E1735))))))</f>
        <v/>
      </c>
      <c r="K1736" s="15" t="str">
        <f aca="false">IF(OR(E1736="",E1736="!!!",F1736="NEW"),"",INDEX(J$1:J1735,SUMPRODUCT(MAX(ROW(E$1:E1735)*(E1736=E$1:E1735)))))</f>
        <v/>
      </c>
      <c r="L1736" s="16"/>
    </row>
    <row r="1737" customFormat="false" ht="12.8" hidden="false" customHeight="false" outlineLevel="0" collapsed="false">
      <c r="A1737" s="0" t="s">
        <v>801</v>
      </c>
      <c r="B1737" s="0" t="s">
        <v>14</v>
      </c>
      <c r="C1737" s="0" t="s">
        <v>15</v>
      </c>
      <c r="E1737" s="10" t="s">
        <v>801</v>
      </c>
      <c r="F1737" s="11" t="str">
        <f aca="false">IF(OR(E1737="",E1737="!!!"),"",IF(NOT(ISNA(VLOOKUP(E1737,E$1:E1736,1,FALSE()))),"OLD",IF(AND(E1737&lt;&gt;"",E1737&lt;&gt;"!!!"),"NEW","")))</f>
        <v>NEW</v>
      </c>
      <c r="G1737" s="12" t="s">
        <v>67</v>
      </c>
      <c r="H1737" s="13" t="str">
        <f aca="false">IF(J1737&lt;&gt;1,"",IF(I1737="SBJ","CB","?"))</f>
        <v/>
      </c>
      <c r="I1737" s="14" t="str">
        <f aca="false">IF(OR(E1737="",E1737="!!!",F1737="NEW"),"",INDEX(B$2:B1736,-1+SUMPRODUCT(MAX(ROW(E$2:E1736)*(E1737=E$2:E1736)))))</f>
        <v/>
      </c>
      <c r="J1737" s="15" t="str">
        <f aca="true">IF(OR(E1737="",E1737="!!!",F1737="NEW"),"",COUNTBLANK(OFFSET(A$1,,,SUMPRODUCT(MAX(ROW(E$2:E1737)*(E1737=E$2:E1737)))))-COUNTBLANK(OFFSET(A$1,,,SUMPRODUCT(MAX(ROW(E$1:E1736)*(E1737=E$1:E1736))))))</f>
        <v/>
      </c>
      <c r="K1737" s="15" t="str">
        <f aca="false">IF(OR(E1737="",E1737="!!!",F1737="NEW"),"",INDEX(J$1:J1736,SUMPRODUCT(MAX(ROW(E$1:E1736)*(E1737=E$1:E1736)))))</f>
        <v/>
      </c>
      <c r="L1737" s="16"/>
    </row>
    <row r="1738" customFormat="false" ht="12.8" hidden="false" customHeight="false" outlineLevel="0" collapsed="false">
      <c r="A1738" s="0" t="s">
        <v>76</v>
      </c>
      <c r="E1738" s="10" t="str">
        <f aca="false">IF(D1738="?OLD","!!!","")</f>
        <v/>
      </c>
      <c r="F1738" s="11" t="str">
        <f aca="false">IF(OR(E1738="",E1738="!!!"),"",IF(NOT(ISNA(VLOOKUP(E1738,E$1:E1737,1,FALSE()))),"OLD",IF(AND(E1738&lt;&gt;"",E1738&lt;&gt;"!!!"),"NEW","")))</f>
        <v/>
      </c>
      <c r="G1738" s="12" t="str">
        <f aca="false">IF(OR(E1738="",E1738="!!!"),"",IF(OR(J1738=0,AND(J1738=1,K1738=1),AND(J1738=1,I1738="SBJ"),AND(J1738=1,I1738=0)),"?IN_FOCUS",IF(J1738&lt;=2,"?ACTIVATED",IF(J1738&lt;&gt;"","?FAMILIAR",IF(F1738="NEW",IF(ISNA(VLOOKUP(E1738,#REF!,1,FALSE())),"?TYPE_IDENTIFIABLE","?REFERENTIAL"),"_")))))</f>
        <v/>
      </c>
      <c r="H1738" s="13" t="str">
        <f aca="false">IF(J1738&lt;&gt;1,"",IF(I1738="SBJ","CB","?"))</f>
        <v/>
      </c>
      <c r="I1738" s="14" t="str">
        <f aca="false">IF(OR(E1738="",E1738="!!!",F1738="NEW"),"",INDEX(B$2:B1737,-1+SUMPRODUCT(MAX(ROW(E$2:E1737)*(E1738=E$2:E1737)))))</f>
        <v/>
      </c>
      <c r="J1738" s="15" t="str">
        <f aca="true">IF(OR(E1738="",E1738="!!!",F1738="NEW"),"",COUNTBLANK(OFFSET(A$1,,,SUMPRODUCT(MAX(ROW(E$2:E1738)*(E1738=E$2:E1738)))))-COUNTBLANK(OFFSET(A$1,,,SUMPRODUCT(MAX(ROW(E$1:E1737)*(E1738=E$1:E1737))))))</f>
        <v/>
      </c>
      <c r="K1738" s="15" t="str">
        <f aca="false">IF(OR(E1738="",E1738="!!!",F1738="NEW"),"",INDEX(J$1:J1737,SUMPRODUCT(MAX(ROW(E$1:E1737)*(E1738=E$1:E1737)))))</f>
        <v/>
      </c>
      <c r="L1738" s="16"/>
    </row>
    <row r="1739" customFormat="false" ht="12.8" hidden="false" customHeight="false" outlineLevel="0" collapsed="false">
      <c r="E1739" s="10" t="str">
        <f aca="false">IF(D1739="?OLD","!!!","")</f>
        <v/>
      </c>
      <c r="F1739" s="11" t="str">
        <f aca="false">IF(OR(E1739="",E1739="!!!"),"",IF(NOT(ISNA(VLOOKUP(E1739,E$1:E1738,1,FALSE()))),"OLD",IF(AND(E1739&lt;&gt;"",E1739&lt;&gt;"!!!"),"NEW","")))</f>
        <v/>
      </c>
      <c r="G1739" s="12" t="str">
        <f aca="false">IF(OR(E1739="",E1739="!!!"),"",IF(OR(J1739=0,AND(J1739=1,K1739=1),AND(J1739=1,I1739="SBJ"),AND(J1739=1,I1739=0)),"?IN_FOCUS",IF(J1739&lt;=2,"?ACTIVATED",IF(J1739&lt;&gt;"","?FAMILIAR",IF(F1739="NEW",IF(ISNA(VLOOKUP(E1739,#REF!,1,FALSE())),"?TYPE_IDENTIFIABLE","?REFERENTIAL"),"_")))))</f>
        <v/>
      </c>
      <c r="H1739" s="13" t="str">
        <f aca="false">IF(J1739&lt;&gt;1,"",IF(I1739="SBJ","CB","?"))</f>
        <v/>
      </c>
      <c r="I1739" s="14" t="str">
        <f aca="false">IF(OR(E1739="",E1739="!!!",F1739="NEW"),"",INDEX(B$2:B1738,-1+SUMPRODUCT(MAX(ROW(E$2:E1738)*(E1739=E$2:E1738)))))</f>
        <v/>
      </c>
      <c r="J1739" s="15" t="str">
        <f aca="true">IF(OR(E1739="",E1739="!!!",F1739="NEW"),"",COUNTBLANK(OFFSET(A$1,,,SUMPRODUCT(MAX(ROW(E$2:E1739)*(E1739=E$2:E1739)))))-COUNTBLANK(OFFSET(A$1,,,SUMPRODUCT(MAX(ROW(E$1:E1738)*(E1739=E$1:E1738))))))</f>
        <v/>
      </c>
      <c r="K1739" s="15" t="str">
        <f aca="false">IF(OR(E1739="",E1739="!!!",F1739="NEW"),"",INDEX(J$1:J1738,SUMPRODUCT(MAX(ROW(E$1:E1738)*(E1739=E$1:E1738)))))</f>
        <v/>
      </c>
      <c r="L1739" s="16"/>
    </row>
    <row r="1740" customFormat="false" ht="12.8" hidden="false" customHeight="false" outlineLevel="0" collapsed="false">
      <c r="A1740" s="0" t="s">
        <v>802</v>
      </c>
      <c r="E1740" s="10" t="str">
        <f aca="false">IF(D1740="?OLD","!!!","")</f>
        <v/>
      </c>
      <c r="F1740" s="11" t="str">
        <f aca="false">IF(OR(E1740="",E1740="!!!"),"",IF(NOT(ISNA(VLOOKUP(E1740,E$1:E1739,1,FALSE()))),"OLD",IF(AND(E1740&lt;&gt;"",E1740&lt;&gt;"!!!"),"NEW","")))</f>
        <v/>
      </c>
      <c r="G1740" s="12" t="str">
        <f aca="false">IF(OR(E1740="",E1740="!!!"),"",IF(OR(J1740=0,AND(J1740=1,K1740=1),AND(J1740=1,I1740="SBJ"),AND(J1740=1,I1740=0)),"?IN_FOCUS",IF(J1740&lt;=2,"?ACTIVATED",IF(J1740&lt;&gt;"","?FAMILIAR",IF(F1740="NEW",IF(ISNA(VLOOKUP(E1740,#REF!,1,FALSE())),"?TYPE_IDENTIFIABLE","?REFERENTIAL"),"_")))))</f>
        <v/>
      </c>
      <c r="H1740" s="13" t="str">
        <f aca="false">IF(J1740&lt;&gt;1,"",IF(I1740="SBJ","CB","?"))</f>
        <v/>
      </c>
      <c r="I1740" s="14" t="str">
        <f aca="false">IF(OR(E1740="",E1740="!!!",F1740="NEW"),"",INDEX(B$2:B1739,-1+SUMPRODUCT(MAX(ROW(E$2:E1739)*(E1740=E$2:E1739)))))</f>
        <v/>
      </c>
      <c r="J1740" s="15" t="str">
        <f aca="true">IF(OR(E1740="",E1740="!!!",F1740="NEW"),"",COUNTBLANK(OFFSET(A$1,,,SUMPRODUCT(MAX(ROW(E$2:E1740)*(E1740=E$2:E1740)))))-COUNTBLANK(OFFSET(A$1,,,SUMPRODUCT(MAX(ROW(E$1:E1739)*(E1740=E$1:E1739))))))</f>
        <v/>
      </c>
      <c r="K1740" s="15" t="str">
        <f aca="false">IF(OR(E1740="",E1740="!!!",F1740="NEW"),"",INDEX(J$1:J1739,SUMPRODUCT(MAX(ROW(E$1:E1739)*(E1740=E$1:E1739)))))</f>
        <v/>
      </c>
      <c r="L1740" s="16"/>
    </row>
    <row r="1741" customFormat="false" ht="12.8" hidden="false" customHeight="false" outlineLevel="0" collapsed="false">
      <c r="A1741" s="0" t="s">
        <v>363</v>
      </c>
      <c r="E1741" s="10" t="str">
        <f aca="false">IF(D1741="?OLD","!!!","")</f>
        <v/>
      </c>
      <c r="F1741" s="11" t="str">
        <f aca="false">IF(OR(E1741="",E1741="!!!"),"",IF(NOT(ISNA(VLOOKUP(E1741,E$1:E1740,1,FALSE()))),"OLD",IF(AND(E1741&lt;&gt;"",E1741&lt;&gt;"!!!"),"NEW","")))</f>
        <v/>
      </c>
      <c r="G1741" s="12" t="str">
        <f aca="false">IF(OR(E1741="",E1741="!!!"),"",IF(OR(J1741=0,AND(J1741=1,K1741=1),AND(J1741=1,I1741="SBJ"),AND(J1741=1,I1741=0)),"?IN_FOCUS",IF(J1741&lt;=2,"?ACTIVATED",IF(J1741&lt;&gt;"","?FAMILIAR",IF(F1741="NEW",IF(ISNA(VLOOKUP(E1741,#REF!,1,FALSE())),"?TYPE_IDENTIFIABLE","?REFERENTIAL"),"_")))))</f>
        <v/>
      </c>
      <c r="H1741" s="13" t="str">
        <f aca="false">IF(J1741&lt;&gt;1,"",IF(I1741="SBJ","CB","?"))</f>
        <v/>
      </c>
      <c r="I1741" s="14" t="str">
        <f aca="false">IF(OR(E1741="",E1741="!!!",F1741="NEW"),"",INDEX(B$2:B1740,-1+SUMPRODUCT(MAX(ROW(E$2:E1740)*(E1741=E$2:E1740)))))</f>
        <v/>
      </c>
      <c r="J1741" s="15" t="str">
        <f aca="true">IF(OR(E1741="",E1741="!!!",F1741="NEW"),"",COUNTBLANK(OFFSET(A$1,,,SUMPRODUCT(MAX(ROW(E$2:E1741)*(E1741=E$2:E1741)))))-COUNTBLANK(OFFSET(A$1,,,SUMPRODUCT(MAX(ROW(E$1:E1740)*(E1741=E$1:E1740))))))</f>
        <v/>
      </c>
      <c r="K1741" s="15" t="str">
        <f aca="false">IF(OR(E1741="",E1741="!!!",F1741="NEW"),"",INDEX(J$1:J1740,SUMPRODUCT(MAX(ROW(E$1:E1740)*(E1741=E$1:E1740)))))</f>
        <v/>
      </c>
      <c r="L1741" s="16"/>
    </row>
    <row r="1742" customFormat="false" ht="12.8" hidden="false" customHeight="false" outlineLevel="0" collapsed="false">
      <c r="A1742" s="0" t="s">
        <v>161</v>
      </c>
      <c r="B1742" s="0" t="s">
        <v>34</v>
      </c>
      <c r="C1742" s="0" t="s">
        <v>48</v>
      </c>
      <c r="D1742" s="0" t="s">
        <v>20</v>
      </c>
      <c r="E1742" s="10" t="s">
        <v>161</v>
      </c>
      <c r="F1742" s="11" t="str">
        <f aca="false">IF(OR(E1742="",E1742="!!!"),"",IF(NOT(ISNA(VLOOKUP(E1742,E$1:E1741,1,FALSE()))),"OLD",IF(AND(E1742&lt;&gt;"",E1742&lt;&gt;"!!!"),"NEW","")))</f>
        <v>OLD</v>
      </c>
      <c r="G1742" s="12" t="s">
        <v>36</v>
      </c>
      <c r="H1742" s="13" t="str">
        <f aca="false">IF(J1742&lt;&gt;1,"",IF(I1742="SBJ","CB","?"))</f>
        <v/>
      </c>
      <c r="I1742" s="14" t="str">
        <f aca="false">IF(OR(E1742="",E1742="!!!",F1742="NEW"),"",INDEX(B$2:B1741,-1+SUMPRODUCT(MAX(ROW(E$2:E1741)*(E1742=E$2:E1741)))))</f>
        <v>SBJ_2</v>
      </c>
      <c r="J1742" s="15" t="n">
        <f aca="true">IF(OR(E1742="",E1742="!!!",F1742="NEW"),"",COUNTBLANK(OFFSET(A$1,,,SUMPRODUCT(MAX(ROW(E$2:E1742)*(E1742=E$2:E1742)))))-COUNTBLANK(OFFSET(A$1,,,SUMPRODUCT(MAX(ROW(E$1:E1741)*(E1742=E$1:E1741))))))</f>
        <v>40</v>
      </c>
      <c r="K1742" s="15" t="n">
        <f aca="false">IF(OR(E1742="",E1742="!!!",F1742="NEW"),"",INDEX(J$1:J1741,SUMPRODUCT(MAX(ROW(E$1:E1741)*(E1742=E$1:E1741)))))</f>
        <v>0</v>
      </c>
      <c r="L1742" s="16"/>
    </row>
    <row r="1743" customFormat="false" ht="12.8" hidden="false" customHeight="false" outlineLevel="0" collapsed="false">
      <c r="A1743" s="0" t="s">
        <v>109</v>
      </c>
      <c r="E1743" s="10" t="str">
        <f aca="false">IF(D1743="?OLD","!!!","")</f>
        <v/>
      </c>
      <c r="F1743" s="11" t="str">
        <f aca="false">IF(OR(E1743="",E1743="!!!"),"",IF(NOT(ISNA(VLOOKUP(E1743,E$1:E1742,1,FALSE()))),"OLD",IF(AND(E1743&lt;&gt;"",E1743&lt;&gt;"!!!"),"NEW","")))</f>
        <v/>
      </c>
      <c r="G1743" s="12" t="str">
        <f aca="false">IF(OR(E1743="",E1743="!!!"),"",IF(OR(J1743=0,AND(J1743=1,K1743=1),AND(J1743=1,I1743="SBJ"),AND(J1743=1,I1743=0)),"?IN_FOCUS",IF(J1743&lt;=2,"?ACTIVATED",IF(J1743&lt;&gt;"","?FAMILIAR",IF(F1743="NEW",IF(ISNA(VLOOKUP(E1743,#REF!,1,FALSE())),"?TYPE_IDENTIFIABLE","?REFERENTIAL"),"_")))))</f>
        <v/>
      </c>
      <c r="H1743" s="13" t="str">
        <f aca="false">IF(J1743&lt;&gt;1,"",IF(I1743="SBJ","CB","?"))</f>
        <v/>
      </c>
      <c r="I1743" s="14" t="str">
        <f aca="false">IF(OR(E1743="",E1743="!!!",F1743="NEW"),"",INDEX(B$2:B1742,-1+SUMPRODUCT(MAX(ROW(E$2:E1742)*(E1743=E$2:E1742)))))</f>
        <v/>
      </c>
      <c r="J1743" s="15" t="str">
        <f aca="true">IF(OR(E1743="",E1743="!!!",F1743="NEW"),"",COUNTBLANK(OFFSET(A$1,,,SUMPRODUCT(MAX(ROW(E$2:E1743)*(E1743=E$2:E1743)))))-COUNTBLANK(OFFSET(A$1,,,SUMPRODUCT(MAX(ROW(E$1:E1742)*(E1743=E$1:E1742))))))</f>
        <v/>
      </c>
      <c r="K1743" s="15" t="str">
        <f aca="false">IF(OR(E1743="",E1743="!!!",F1743="NEW"),"",INDEX(J$1:J1742,SUMPRODUCT(MAX(ROW(E$1:E1742)*(E1743=E$1:E1742)))))</f>
        <v/>
      </c>
      <c r="L1743" s="16"/>
    </row>
    <row r="1744" customFormat="false" ht="12.8" hidden="false" customHeight="false" outlineLevel="0" collapsed="false">
      <c r="A1744" s="0" t="s">
        <v>803</v>
      </c>
      <c r="E1744" s="10" t="str">
        <f aca="false">IF(D1744="?OLD","!!!","")</f>
        <v/>
      </c>
      <c r="F1744" s="11" t="str">
        <f aca="false">IF(OR(E1744="",E1744="!!!"),"",IF(NOT(ISNA(VLOOKUP(E1744,E$1:E1743,1,FALSE()))),"OLD",IF(AND(E1744&lt;&gt;"",E1744&lt;&gt;"!!!"),"NEW","")))</f>
        <v/>
      </c>
      <c r="G1744" s="12" t="str">
        <f aca="false">IF(OR(E1744="",E1744="!!!"),"",IF(OR(J1744=0,AND(J1744=1,K1744=1),AND(J1744=1,I1744="SBJ"),AND(J1744=1,I1744=0)),"?IN_FOCUS",IF(J1744&lt;=2,"?ACTIVATED",IF(J1744&lt;&gt;"","?FAMILIAR",IF(F1744="NEW",IF(ISNA(VLOOKUP(E1744,#REF!,1,FALSE())),"?TYPE_IDENTIFIABLE","?REFERENTIAL"),"_")))))</f>
        <v/>
      </c>
      <c r="H1744" s="13" t="str">
        <f aca="false">IF(J1744&lt;&gt;1,"",IF(I1744="SBJ","CB","?"))</f>
        <v/>
      </c>
      <c r="I1744" s="14" t="str">
        <f aca="false">IF(OR(E1744="",E1744="!!!",F1744="NEW"),"",INDEX(B$2:B1743,-1+SUMPRODUCT(MAX(ROW(E$2:E1743)*(E1744=E$2:E1743)))))</f>
        <v/>
      </c>
      <c r="J1744" s="15" t="str">
        <f aca="true">IF(OR(E1744="",E1744="!!!",F1744="NEW"),"",COUNTBLANK(OFFSET(A$1,,,SUMPRODUCT(MAX(ROW(E$2:E1744)*(E1744=E$2:E1744)))))-COUNTBLANK(OFFSET(A$1,,,SUMPRODUCT(MAX(ROW(E$1:E1743)*(E1744=E$1:E1743))))))</f>
        <v/>
      </c>
      <c r="K1744" s="15" t="str">
        <f aca="false">IF(OR(E1744="",E1744="!!!",F1744="NEW"),"",INDEX(J$1:J1743,SUMPRODUCT(MAX(ROW(E$1:E1743)*(E1744=E$1:E1743)))))</f>
        <v/>
      </c>
      <c r="L1744" s="16"/>
    </row>
    <row r="1745" customFormat="false" ht="12.8" hidden="false" customHeight="false" outlineLevel="0" collapsed="false">
      <c r="A1745" s="0" t="s">
        <v>40</v>
      </c>
      <c r="B1745" s="0" t="s">
        <v>85</v>
      </c>
      <c r="C1745" s="0" t="s">
        <v>246</v>
      </c>
      <c r="D1745" s="0" t="s">
        <v>20</v>
      </c>
      <c r="E1745" s="10" t="s">
        <v>804</v>
      </c>
      <c r="F1745" s="11" t="str">
        <f aca="false">IF(OR(E1745="",E1745="!!!"),"",IF(NOT(ISNA(VLOOKUP(E1745,E$1:E1744,1,FALSE()))),"OLD",IF(AND(E1745&lt;&gt;"",E1745&lt;&gt;"!!!"),"NEW","")))</f>
        <v>NEW</v>
      </c>
      <c r="G1745" s="12" t="s">
        <v>131</v>
      </c>
      <c r="H1745" s="13" t="str">
        <f aca="false">IF(J1745&lt;&gt;1,"",IF(I1745="SBJ","CB","?"))</f>
        <v/>
      </c>
      <c r="I1745" s="14" t="str">
        <f aca="false">IF(OR(E1745="",E1745="!!!",F1745="NEW"),"",INDEX(B$2:B1744,-1+SUMPRODUCT(MAX(ROW(E$2:E1744)*(E1745=E$2:E1744)))))</f>
        <v/>
      </c>
      <c r="J1745" s="15" t="str">
        <f aca="true">IF(OR(E1745="",E1745="!!!",F1745="NEW"),"",COUNTBLANK(OFFSET(A$1,,,SUMPRODUCT(MAX(ROW(E$2:E1745)*(E1745=E$2:E1745)))))-COUNTBLANK(OFFSET(A$1,,,SUMPRODUCT(MAX(ROW(E$1:E1744)*(E1745=E$1:E1744))))))</f>
        <v/>
      </c>
      <c r="K1745" s="15" t="str">
        <f aca="false">IF(OR(E1745="",E1745="!!!",F1745="NEW"),"",INDEX(J$1:J1744,SUMPRODUCT(MAX(ROW(E$1:E1744)*(E1745=E$1:E1744)))))</f>
        <v/>
      </c>
      <c r="L1745" s="16"/>
    </row>
    <row r="1746" customFormat="false" ht="12.8" hidden="false" customHeight="false" outlineLevel="0" collapsed="false">
      <c r="A1746" s="0" t="s">
        <v>61</v>
      </c>
      <c r="E1746" s="10" t="str">
        <f aca="false">IF(D1746="?OLD","!!!","")</f>
        <v/>
      </c>
      <c r="F1746" s="11" t="str">
        <f aca="false">IF(OR(E1746="",E1746="!!!"),"",IF(NOT(ISNA(VLOOKUP(E1746,E$1:E1745,1,FALSE()))),"OLD",IF(AND(E1746&lt;&gt;"",E1746&lt;&gt;"!!!"),"NEW","")))</f>
        <v/>
      </c>
      <c r="G1746" s="12" t="str">
        <f aca="false">IF(OR(E1746="",E1746="!!!"),"",IF(OR(J1746=0,AND(J1746=1,K1746=1),AND(J1746=1,I1746="SBJ"),AND(J1746=1,I1746=0)),"?IN_FOCUS",IF(J1746&lt;=2,"?ACTIVATED",IF(J1746&lt;&gt;"","?FAMILIAR",IF(F1746="NEW",IF(ISNA(VLOOKUP(E1746,#REF!,1,FALSE())),"?TYPE_IDENTIFIABLE","?REFERENTIAL"),"_")))))</f>
        <v/>
      </c>
      <c r="H1746" s="13" t="str">
        <f aca="false">IF(J1746&lt;&gt;1,"",IF(I1746="SBJ","CB","?"))</f>
        <v/>
      </c>
      <c r="I1746" s="14" t="str">
        <f aca="false">IF(OR(E1746="",E1746="!!!",F1746="NEW"),"",INDEX(B$2:B1745,-1+SUMPRODUCT(MAX(ROW(E$2:E1745)*(E1746=E$2:E1745)))))</f>
        <v/>
      </c>
      <c r="J1746" s="15" t="str">
        <f aca="true">IF(OR(E1746="",E1746="!!!",F1746="NEW"),"",COUNTBLANK(OFFSET(A$1,,,SUMPRODUCT(MAX(ROW(E$2:E1746)*(E1746=E$2:E1746)))))-COUNTBLANK(OFFSET(A$1,,,SUMPRODUCT(MAX(ROW(E$1:E1745)*(E1746=E$1:E1745))))))</f>
        <v/>
      </c>
      <c r="K1746" s="15" t="str">
        <f aca="false">IF(OR(E1746="",E1746="!!!",F1746="NEW"),"",INDEX(J$1:J1745,SUMPRODUCT(MAX(ROW(E$1:E1745)*(E1746=E$1:E1745)))))</f>
        <v/>
      </c>
      <c r="L1746" s="16"/>
    </row>
    <row r="1747" customFormat="false" ht="12.8" hidden="false" customHeight="false" outlineLevel="0" collapsed="false">
      <c r="A1747" s="0" t="s">
        <v>103</v>
      </c>
      <c r="E1747" s="10" t="str">
        <f aca="false">IF(D1747="?OLD","!!!","")</f>
        <v/>
      </c>
      <c r="F1747" s="11" t="str">
        <f aca="false">IF(OR(E1747="",E1747="!!!"),"",IF(NOT(ISNA(VLOOKUP(E1747,E$1:E1746,1,FALSE()))),"OLD",IF(AND(E1747&lt;&gt;"",E1747&lt;&gt;"!!!"),"NEW","")))</f>
        <v/>
      </c>
      <c r="G1747" s="12" t="str">
        <f aca="false">IF(OR(E1747="",E1747="!!!"),"",IF(OR(J1747=0,AND(J1747=1,K1747=1),AND(J1747=1,I1747="SBJ"),AND(J1747=1,I1747=0)),"?IN_FOCUS",IF(J1747&lt;=2,"?ACTIVATED",IF(J1747&lt;&gt;"","?FAMILIAR",IF(F1747="NEW",IF(ISNA(VLOOKUP(E1747,#REF!,1,FALSE())),"?TYPE_IDENTIFIABLE","?REFERENTIAL"),"_")))))</f>
        <v/>
      </c>
      <c r="H1747" s="13" t="str">
        <f aca="false">IF(J1747&lt;&gt;1,"",IF(I1747="SBJ","CB","?"))</f>
        <v/>
      </c>
      <c r="I1747" s="14" t="str">
        <f aca="false">IF(OR(E1747="",E1747="!!!",F1747="NEW"),"",INDEX(B$2:B1746,-1+SUMPRODUCT(MAX(ROW(E$2:E1746)*(E1747=E$2:E1746)))))</f>
        <v/>
      </c>
      <c r="J1747" s="15" t="str">
        <f aca="true">IF(OR(E1747="",E1747="!!!",F1747="NEW"),"",COUNTBLANK(OFFSET(A$1,,,SUMPRODUCT(MAX(ROW(E$2:E1747)*(E1747=E$2:E1747)))))-COUNTBLANK(OFFSET(A$1,,,SUMPRODUCT(MAX(ROW(E$1:E1746)*(E1747=E$1:E1746))))))</f>
        <v/>
      </c>
      <c r="K1747" s="15" t="str">
        <f aca="false">IF(OR(E1747="",E1747="!!!",F1747="NEW"),"",INDEX(J$1:J1746,SUMPRODUCT(MAX(ROW(E$1:E1746)*(E1747=E$1:E1746)))))</f>
        <v/>
      </c>
      <c r="L1747" s="16"/>
    </row>
    <row r="1748" customFormat="false" ht="12.8" hidden="false" customHeight="false" outlineLevel="0" collapsed="false">
      <c r="A1748" s="0" t="s">
        <v>805</v>
      </c>
      <c r="E1748" s="10" t="str">
        <f aca="false">IF(D1748="?OLD","!!!","")</f>
        <v/>
      </c>
      <c r="F1748" s="11" t="str">
        <f aca="false">IF(OR(E1748="",E1748="!!!"),"",IF(NOT(ISNA(VLOOKUP(E1748,E$1:E1747,1,FALSE()))),"OLD",IF(AND(E1748&lt;&gt;"",E1748&lt;&gt;"!!!"),"NEW","")))</f>
        <v/>
      </c>
      <c r="G1748" s="12" t="str">
        <f aca="false">IF(OR(E1748="",E1748="!!!"),"",IF(OR(J1748=0,AND(J1748=1,K1748=1),AND(J1748=1,I1748="SBJ"),AND(J1748=1,I1748=0)),"?IN_FOCUS",IF(J1748&lt;=2,"?ACTIVATED",IF(J1748&lt;&gt;"","?FAMILIAR",IF(F1748="NEW",IF(ISNA(VLOOKUP(E1748,#REF!,1,FALSE())),"?TYPE_IDENTIFIABLE","?REFERENTIAL"),"_")))))</f>
        <v/>
      </c>
      <c r="H1748" s="13" t="str">
        <f aca="false">IF(J1748&lt;&gt;1,"",IF(I1748="SBJ","CB","?"))</f>
        <v/>
      </c>
      <c r="I1748" s="14" t="str">
        <f aca="false">IF(OR(E1748="",E1748="!!!",F1748="NEW"),"",INDEX(B$2:B1747,-1+SUMPRODUCT(MAX(ROW(E$2:E1747)*(E1748=E$2:E1747)))))</f>
        <v/>
      </c>
      <c r="J1748" s="15" t="str">
        <f aca="true">IF(OR(E1748="",E1748="!!!",F1748="NEW"),"",COUNTBLANK(OFFSET(A$1,,,SUMPRODUCT(MAX(ROW(E$2:E1748)*(E1748=E$2:E1748)))))-COUNTBLANK(OFFSET(A$1,,,SUMPRODUCT(MAX(ROW(E$1:E1747)*(E1748=E$1:E1747))))))</f>
        <v/>
      </c>
      <c r="K1748" s="15" t="str">
        <f aca="false">IF(OR(E1748="",E1748="!!!",F1748="NEW"),"",INDEX(J$1:J1747,SUMPRODUCT(MAX(ROW(E$1:E1747)*(E1748=E$1:E1747)))))</f>
        <v/>
      </c>
      <c r="L1748" s="16"/>
    </row>
    <row r="1749" customFormat="false" ht="12.8" hidden="false" customHeight="false" outlineLevel="0" collapsed="false">
      <c r="A1749" s="0" t="s">
        <v>806</v>
      </c>
      <c r="B1749" s="0" t="s">
        <v>75</v>
      </c>
      <c r="C1749" s="0" t="s">
        <v>104</v>
      </c>
      <c r="D1749" s="0" t="s">
        <v>20</v>
      </c>
      <c r="E1749" s="10" t="s">
        <v>92</v>
      </c>
      <c r="F1749" s="11" t="str">
        <f aca="false">IF(OR(E1749="",E1749="!!!"),"",IF(NOT(ISNA(VLOOKUP(E1749,E$1:E1748,1,FALSE()))),"OLD",IF(AND(E1749&lt;&gt;"",E1749&lt;&gt;"!!!"),"NEW","")))</f>
        <v>OLD</v>
      </c>
      <c r="G1749" s="12" t="s">
        <v>36</v>
      </c>
      <c r="H1749" s="13" t="str">
        <f aca="false">IF(J1749&lt;&gt;1,"",IF(I1749="SBJ","CB","?"))</f>
        <v/>
      </c>
      <c r="I1749" s="14" t="str">
        <f aca="false">IF(OR(E1749="",E1749="!!!",F1749="NEW"),"",INDEX(B$2:B1748,-1+SUMPRODUCT(MAX(ROW(E$2:E1748)*(E1749=E$2:E1748)))))</f>
        <v>other_3</v>
      </c>
      <c r="J1749" s="15" t="n">
        <f aca="true">IF(OR(E1749="",E1749="!!!",F1749="NEW"),"",COUNTBLANK(OFFSET(A$1,,,SUMPRODUCT(MAX(ROW(E$2:E1749)*(E1749=E$2:E1749)))))-COUNTBLANK(OFFSET(A$1,,,SUMPRODUCT(MAX(ROW(E$1:E1748)*(E1749=E$1:E1748))))))</f>
        <v>87</v>
      </c>
      <c r="K1749" s="15" t="n">
        <f aca="false">IF(OR(E1749="",E1749="!!!",F1749="NEW"),"",INDEX(J$1:J1748,SUMPRODUCT(MAX(ROW(E$1:E1748)*(E1749=E$1:E1748)))))</f>
        <v>0</v>
      </c>
      <c r="L1749" s="16"/>
    </row>
    <row r="1750" customFormat="false" ht="12.8" hidden="false" customHeight="false" outlineLevel="0" collapsed="false">
      <c r="A1750" s="0" t="s">
        <v>44</v>
      </c>
      <c r="E1750" s="10" t="str">
        <f aca="false">IF(D1750="?OLD","!!!","")</f>
        <v/>
      </c>
      <c r="F1750" s="11" t="str">
        <f aca="false">IF(OR(E1750="",E1750="!!!"),"",IF(NOT(ISNA(VLOOKUP(E1750,E$1:E1749,1,FALSE()))),"OLD",IF(AND(E1750&lt;&gt;"",E1750&lt;&gt;"!!!"),"NEW","")))</f>
        <v/>
      </c>
      <c r="G1750" s="12" t="str">
        <f aca="false">IF(OR(E1750="",E1750="!!!"),"",IF(OR(J1750=0,AND(J1750=1,K1750=1),AND(J1750=1,I1750="SBJ"),AND(J1750=1,I1750=0)),"?IN_FOCUS",IF(J1750&lt;=2,"?ACTIVATED",IF(J1750&lt;&gt;"","?FAMILIAR",IF(F1750="NEW",IF(ISNA(VLOOKUP(E1750,#REF!,1,FALSE())),"?TYPE_IDENTIFIABLE","?REFERENTIAL"),"_")))))</f>
        <v/>
      </c>
      <c r="H1750" s="13" t="str">
        <f aca="false">IF(J1750&lt;&gt;1,"",IF(I1750="SBJ","CB","?"))</f>
        <v/>
      </c>
      <c r="I1750" s="14" t="str">
        <f aca="false">IF(OR(E1750="",E1750="!!!",F1750="NEW"),"",INDEX(B$2:B1749,-1+SUMPRODUCT(MAX(ROW(E$2:E1749)*(E1750=E$2:E1749)))))</f>
        <v/>
      </c>
      <c r="J1750" s="15" t="str">
        <f aca="true">IF(OR(E1750="",E1750="!!!",F1750="NEW"),"",COUNTBLANK(OFFSET(A$1,,,SUMPRODUCT(MAX(ROW(E$2:E1750)*(E1750=E$2:E1750)))))-COUNTBLANK(OFFSET(A$1,,,SUMPRODUCT(MAX(ROW(E$1:E1749)*(E1750=E$1:E1749))))))</f>
        <v/>
      </c>
      <c r="K1750" s="15" t="str">
        <f aca="false">IF(OR(E1750="",E1750="!!!",F1750="NEW"),"",INDEX(J$1:J1749,SUMPRODUCT(MAX(ROW(E$1:E1749)*(E1750=E$1:E1749)))))</f>
        <v/>
      </c>
      <c r="L1750" s="16"/>
    </row>
    <row r="1751" customFormat="false" ht="12.8" hidden="false" customHeight="false" outlineLevel="0" collapsed="false">
      <c r="A1751" s="0" t="s">
        <v>88</v>
      </c>
      <c r="E1751" s="10" t="str">
        <f aca="false">IF(D1751="?OLD","!!!","")</f>
        <v/>
      </c>
      <c r="F1751" s="11" t="str">
        <f aca="false">IF(OR(E1751="",E1751="!!!"),"",IF(NOT(ISNA(VLOOKUP(E1751,E$1:E1750,1,FALSE()))),"OLD",IF(AND(E1751&lt;&gt;"",E1751&lt;&gt;"!!!"),"NEW","")))</f>
        <v/>
      </c>
      <c r="G1751" s="12" t="str">
        <f aca="false">IF(OR(E1751="",E1751="!!!"),"",IF(OR(J1751=0,AND(J1751=1,K1751=1),AND(J1751=1,I1751="SBJ"),AND(J1751=1,I1751=0)),"?IN_FOCUS",IF(J1751&lt;=2,"?ACTIVATED",IF(J1751&lt;&gt;"","?FAMILIAR",IF(F1751="NEW",IF(ISNA(VLOOKUP(E1751,#REF!,1,FALSE())),"?TYPE_IDENTIFIABLE","?REFERENTIAL"),"_")))))</f>
        <v/>
      </c>
      <c r="H1751" s="13" t="str">
        <f aca="false">IF(J1751&lt;&gt;1,"",IF(I1751="SBJ","CB","?"))</f>
        <v/>
      </c>
      <c r="I1751" s="14" t="str">
        <f aca="false">IF(OR(E1751="",E1751="!!!",F1751="NEW"),"",INDEX(B$2:B1750,-1+SUMPRODUCT(MAX(ROW(E$2:E1750)*(E1751=E$2:E1750)))))</f>
        <v/>
      </c>
      <c r="J1751" s="15" t="str">
        <f aca="true">IF(OR(E1751="",E1751="!!!",F1751="NEW"),"",COUNTBLANK(OFFSET(A$1,,,SUMPRODUCT(MAX(ROW(E$2:E1751)*(E1751=E$2:E1751)))))-COUNTBLANK(OFFSET(A$1,,,SUMPRODUCT(MAX(ROW(E$1:E1750)*(E1751=E$1:E1750))))))</f>
        <v/>
      </c>
      <c r="K1751" s="15" t="str">
        <f aca="false">IF(OR(E1751="",E1751="!!!",F1751="NEW"),"",INDEX(J$1:J1750,SUMPRODUCT(MAX(ROW(E$1:E1750)*(E1751=E$1:E1750)))))</f>
        <v/>
      </c>
      <c r="L1751" s="16"/>
    </row>
    <row r="1752" customFormat="false" ht="12.8" hidden="false" customHeight="false" outlineLevel="0" collapsed="false">
      <c r="A1752" s="0" t="s">
        <v>807</v>
      </c>
      <c r="E1752" s="10" t="str">
        <f aca="false">IF(D1752="?OLD","!!!","")</f>
        <v/>
      </c>
      <c r="F1752" s="11" t="str">
        <f aca="false">IF(OR(E1752="",E1752="!!!"),"",IF(NOT(ISNA(VLOOKUP(E1752,E$1:E1751,1,FALSE()))),"OLD",IF(AND(E1752&lt;&gt;"",E1752&lt;&gt;"!!!"),"NEW","")))</f>
        <v/>
      </c>
      <c r="G1752" s="12" t="str">
        <f aca="false">IF(OR(E1752="",E1752="!!!"),"",IF(OR(J1752=0,AND(J1752=1,K1752=1),AND(J1752=1,I1752="SBJ"),AND(J1752=1,I1752=0)),"?IN_FOCUS",IF(J1752&lt;=2,"?ACTIVATED",IF(J1752&lt;&gt;"","?FAMILIAR",IF(F1752="NEW",IF(ISNA(VLOOKUP(E1752,#REF!,1,FALSE())),"?TYPE_IDENTIFIABLE","?REFERENTIAL"),"_")))))</f>
        <v/>
      </c>
      <c r="H1752" s="13" t="str">
        <f aca="false">IF(J1752&lt;&gt;1,"",IF(I1752="SBJ","CB","?"))</f>
        <v/>
      </c>
      <c r="I1752" s="14" t="str">
        <f aca="false">IF(OR(E1752="",E1752="!!!",F1752="NEW"),"",INDEX(B$2:B1751,-1+SUMPRODUCT(MAX(ROW(E$2:E1751)*(E1752=E$2:E1751)))))</f>
        <v/>
      </c>
      <c r="J1752" s="15" t="str">
        <f aca="true">IF(OR(E1752="",E1752="!!!",F1752="NEW"),"",COUNTBLANK(OFFSET(A$1,,,SUMPRODUCT(MAX(ROW(E$2:E1752)*(E1752=E$2:E1752)))))-COUNTBLANK(OFFSET(A$1,,,SUMPRODUCT(MAX(ROW(E$1:E1751)*(E1752=E$1:E1751))))))</f>
        <v/>
      </c>
      <c r="K1752" s="15" t="str">
        <f aca="false">IF(OR(E1752="",E1752="!!!",F1752="NEW"),"",INDEX(J$1:J1751,SUMPRODUCT(MAX(ROW(E$1:E1751)*(E1752=E$1:E1751)))))</f>
        <v/>
      </c>
      <c r="L1752" s="16"/>
    </row>
    <row r="1753" customFormat="false" ht="12.8" hidden="false" customHeight="false" outlineLevel="0" collapsed="false">
      <c r="A1753" s="0" t="s">
        <v>306</v>
      </c>
      <c r="B1753" s="0" t="s">
        <v>14</v>
      </c>
      <c r="C1753" s="0" t="s">
        <v>31</v>
      </c>
      <c r="E1753" s="10" t="str">
        <f aca="false">IF(D1753="?OLD","!!!","")</f>
        <v/>
      </c>
      <c r="F1753" s="11" t="str">
        <f aca="false">IF(OR(E1753="",E1753="!!!"),"",IF(NOT(ISNA(VLOOKUP(E1753,E$1:E1752,1,FALSE()))),"OLD",IF(AND(E1753&lt;&gt;"",E1753&lt;&gt;"!!!"),"NEW","")))</f>
        <v/>
      </c>
      <c r="G1753" s="12" t="str">
        <f aca="false">IF(OR(E1753="",E1753="!!!"),"",IF(OR(J1753=0,AND(J1753=1,K1753=1),AND(J1753=1,I1753="SBJ"),AND(J1753=1,I1753=0)),"?IN_FOCUS",IF(J1753&lt;=2,"?ACTIVATED",IF(J1753&lt;&gt;"","?FAMILIAR",IF(F1753="NEW",IF(ISNA(VLOOKUP(E1753,#REF!,1,FALSE())),"?TYPE_IDENTIFIABLE","?REFERENTIAL"),"_")))))</f>
        <v/>
      </c>
      <c r="H1753" s="13" t="str">
        <f aca="false">IF(J1753&lt;&gt;1,"",IF(I1753="SBJ","CB","?"))</f>
        <v/>
      </c>
      <c r="I1753" s="14" t="str">
        <f aca="false">IF(OR(E1753="",E1753="!!!",F1753="NEW"),"",INDEX(B$2:B1752,-1+SUMPRODUCT(MAX(ROW(E$2:E1752)*(E1753=E$2:E1752)))))</f>
        <v/>
      </c>
      <c r="J1753" s="15" t="str">
        <f aca="true">IF(OR(E1753="",E1753="!!!",F1753="NEW"),"",COUNTBLANK(OFFSET(A$1,,,SUMPRODUCT(MAX(ROW(E$2:E1753)*(E1753=E$2:E1753)))))-COUNTBLANK(OFFSET(A$1,,,SUMPRODUCT(MAX(ROW(E$1:E1752)*(E1753=E$1:E1752))))))</f>
        <v/>
      </c>
      <c r="K1753" s="15" t="str">
        <f aca="false">IF(OR(E1753="",E1753="!!!",F1753="NEW"),"",INDEX(J$1:J1752,SUMPRODUCT(MAX(ROW(E$1:E1752)*(E1753=E$1:E1752)))))</f>
        <v/>
      </c>
      <c r="L1753" s="16"/>
    </row>
    <row r="1754" customFormat="false" ht="12.8" hidden="false" customHeight="false" outlineLevel="0" collapsed="false">
      <c r="A1754" s="0" t="s">
        <v>44</v>
      </c>
      <c r="E1754" s="10" t="str">
        <f aca="false">IF(D1754="?OLD","!!!","")</f>
        <v/>
      </c>
      <c r="F1754" s="11" t="str">
        <f aca="false">IF(OR(E1754="",E1754="!!!"),"",IF(NOT(ISNA(VLOOKUP(E1754,E$1:E1753,1,FALSE()))),"OLD",IF(AND(E1754&lt;&gt;"",E1754&lt;&gt;"!!!"),"NEW","")))</f>
        <v/>
      </c>
      <c r="G1754" s="12" t="str">
        <f aca="false">IF(OR(E1754="",E1754="!!!"),"",IF(OR(J1754=0,AND(J1754=1,K1754=1),AND(J1754=1,I1754="SBJ"),AND(J1754=1,I1754=0)),"?IN_FOCUS",IF(J1754&lt;=2,"?ACTIVATED",IF(J1754&lt;&gt;"","?FAMILIAR",IF(F1754="NEW",IF(ISNA(VLOOKUP(E1754,#REF!,1,FALSE())),"?TYPE_IDENTIFIABLE","?REFERENTIAL"),"_")))))</f>
        <v/>
      </c>
      <c r="H1754" s="13" t="str">
        <f aca="false">IF(J1754&lt;&gt;1,"",IF(I1754="SBJ","CB","?"))</f>
        <v/>
      </c>
      <c r="I1754" s="14" t="str">
        <f aca="false">IF(OR(E1754="",E1754="!!!",F1754="NEW"),"",INDEX(B$2:B1753,-1+SUMPRODUCT(MAX(ROW(E$2:E1753)*(E1754=E$2:E1753)))))</f>
        <v/>
      </c>
      <c r="J1754" s="15" t="str">
        <f aca="true">IF(OR(E1754="",E1754="!!!",F1754="NEW"),"",COUNTBLANK(OFFSET(A$1,,,SUMPRODUCT(MAX(ROW(E$2:E1754)*(E1754=E$2:E1754)))))-COUNTBLANK(OFFSET(A$1,,,SUMPRODUCT(MAX(ROW(E$1:E1753)*(E1754=E$1:E1753))))))</f>
        <v/>
      </c>
      <c r="K1754" s="15" t="str">
        <f aca="false">IF(OR(E1754="",E1754="!!!",F1754="NEW"),"",INDEX(J$1:J1753,SUMPRODUCT(MAX(ROW(E$1:E1753)*(E1754=E$1:E1753)))))</f>
        <v/>
      </c>
      <c r="L1754" s="16"/>
    </row>
    <row r="1755" customFormat="false" ht="12.8" hidden="false" customHeight="false" outlineLevel="0" collapsed="false">
      <c r="A1755" s="0" t="s">
        <v>808</v>
      </c>
      <c r="E1755" s="10" t="str">
        <f aca="false">IF(D1755="?OLD","!!!","")</f>
        <v/>
      </c>
      <c r="F1755" s="11" t="str">
        <f aca="false">IF(OR(E1755="",E1755="!!!"),"",IF(NOT(ISNA(VLOOKUP(E1755,E$1:E1754,1,FALSE()))),"OLD",IF(AND(E1755&lt;&gt;"",E1755&lt;&gt;"!!!"),"NEW","")))</f>
        <v/>
      </c>
      <c r="G1755" s="12" t="str">
        <f aca="false">IF(OR(E1755="",E1755="!!!"),"",IF(OR(J1755=0,AND(J1755=1,K1755=1),AND(J1755=1,I1755="SBJ"),AND(J1755=1,I1755=0)),"?IN_FOCUS",IF(J1755&lt;=2,"?ACTIVATED",IF(J1755&lt;&gt;"","?FAMILIAR",IF(F1755="NEW",IF(ISNA(VLOOKUP(E1755,#REF!,1,FALSE())),"?TYPE_IDENTIFIABLE","?REFERENTIAL"),"_")))))</f>
        <v/>
      </c>
      <c r="H1755" s="13" t="str">
        <f aca="false">IF(J1755&lt;&gt;1,"",IF(I1755="SBJ","CB","?"))</f>
        <v/>
      </c>
      <c r="I1755" s="14" t="str">
        <f aca="false">IF(OR(E1755="",E1755="!!!",F1755="NEW"),"",INDEX(B$2:B1754,-1+SUMPRODUCT(MAX(ROW(E$2:E1754)*(E1755=E$2:E1754)))))</f>
        <v/>
      </c>
      <c r="J1755" s="15" t="str">
        <f aca="true">IF(OR(E1755="",E1755="!!!",F1755="NEW"),"",COUNTBLANK(OFFSET(A$1,,,SUMPRODUCT(MAX(ROW(E$2:E1755)*(E1755=E$2:E1755)))))-COUNTBLANK(OFFSET(A$1,,,SUMPRODUCT(MAX(ROW(E$1:E1754)*(E1755=E$1:E1754))))))</f>
        <v/>
      </c>
      <c r="K1755" s="15" t="str">
        <f aca="false">IF(OR(E1755="",E1755="!!!",F1755="NEW"),"",INDEX(J$1:J1754,SUMPRODUCT(MAX(ROW(E$1:E1754)*(E1755=E$1:E1754)))))</f>
        <v/>
      </c>
      <c r="L1755" s="16"/>
    </row>
    <row r="1756" customFormat="false" ht="12.8" hidden="false" customHeight="false" outlineLevel="0" collapsed="false">
      <c r="A1756" s="0" t="s">
        <v>809</v>
      </c>
      <c r="B1756" s="0" t="s">
        <v>75</v>
      </c>
      <c r="C1756" s="0" t="s">
        <v>31</v>
      </c>
      <c r="E1756" s="10" t="str">
        <f aca="false">IF(D1756="?OLD","!!!","")</f>
        <v/>
      </c>
      <c r="F1756" s="11" t="str">
        <f aca="false">IF(OR(E1756="",E1756="!!!"),"",IF(NOT(ISNA(VLOOKUP(E1756,E$1:E1755,1,FALSE()))),"OLD",IF(AND(E1756&lt;&gt;"",E1756&lt;&gt;"!!!"),"NEW","")))</f>
        <v/>
      </c>
      <c r="G1756" s="12" t="str">
        <f aca="false">IF(OR(E1756="",E1756="!!!"),"",IF(OR(J1756=0,AND(J1756=1,K1756=1),AND(J1756=1,I1756="SBJ"),AND(J1756=1,I1756=0)),"?IN_FOCUS",IF(J1756&lt;=2,"?ACTIVATED",IF(J1756&lt;&gt;"","?FAMILIAR",IF(F1756="NEW",IF(ISNA(VLOOKUP(E1756,#REF!,1,FALSE())),"?TYPE_IDENTIFIABLE","?REFERENTIAL"),"_")))))</f>
        <v/>
      </c>
      <c r="H1756" s="13" t="str">
        <f aca="false">IF(J1756&lt;&gt;1,"",IF(I1756="SBJ","CB","?"))</f>
        <v/>
      </c>
      <c r="I1756" s="14" t="str">
        <f aca="false">IF(OR(E1756="",E1756="!!!",F1756="NEW"),"",INDEX(B$2:B1755,-1+SUMPRODUCT(MAX(ROW(E$2:E1755)*(E1756=E$2:E1755)))))</f>
        <v/>
      </c>
      <c r="J1756" s="15" t="str">
        <f aca="true">IF(OR(E1756="",E1756="!!!",F1756="NEW"),"",COUNTBLANK(OFFSET(A$1,,,SUMPRODUCT(MAX(ROW(E$2:E1756)*(E1756=E$2:E1756)))))-COUNTBLANK(OFFSET(A$1,,,SUMPRODUCT(MAX(ROW(E$1:E1755)*(E1756=E$1:E1755))))))</f>
        <v/>
      </c>
      <c r="K1756" s="15" t="str">
        <f aca="false">IF(OR(E1756="",E1756="!!!",F1756="NEW"),"",INDEX(J$1:J1755,SUMPRODUCT(MAX(ROW(E$1:E1755)*(E1756=E$1:E1755)))))</f>
        <v/>
      </c>
      <c r="L1756" s="16"/>
    </row>
    <row r="1757" customFormat="false" ht="12.8" hidden="false" customHeight="false" outlineLevel="0" collapsed="false">
      <c r="A1757" s="0" t="s">
        <v>44</v>
      </c>
      <c r="E1757" s="10" t="str">
        <f aca="false">IF(D1757="?OLD","!!!","")</f>
        <v/>
      </c>
      <c r="F1757" s="11" t="str">
        <f aca="false">IF(OR(E1757="",E1757="!!!"),"",IF(NOT(ISNA(VLOOKUP(E1757,E$1:E1756,1,FALSE()))),"OLD",IF(AND(E1757&lt;&gt;"",E1757&lt;&gt;"!!!"),"NEW","")))</f>
        <v/>
      </c>
      <c r="G1757" s="12" t="str">
        <f aca="false">IF(OR(E1757="",E1757="!!!"),"",IF(OR(J1757=0,AND(J1757=1,K1757=1),AND(J1757=1,I1757="SBJ"),AND(J1757=1,I1757=0)),"?IN_FOCUS",IF(J1757&lt;=2,"?ACTIVATED",IF(J1757&lt;&gt;"","?FAMILIAR",IF(F1757="NEW",IF(ISNA(VLOOKUP(E1757,#REF!,1,FALSE())),"?TYPE_IDENTIFIABLE","?REFERENTIAL"),"_")))))</f>
        <v/>
      </c>
      <c r="H1757" s="13" t="str">
        <f aca="false">IF(J1757&lt;&gt;1,"",IF(I1757="SBJ","CB","?"))</f>
        <v/>
      </c>
      <c r="I1757" s="14" t="str">
        <f aca="false">IF(OR(E1757="",E1757="!!!",F1757="NEW"),"",INDEX(B$2:B1756,-1+SUMPRODUCT(MAX(ROW(E$2:E1756)*(E1757=E$2:E1756)))))</f>
        <v/>
      </c>
      <c r="J1757" s="15" t="str">
        <f aca="true">IF(OR(E1757="",E1757="!!!",F1757="NEW"),"",COUNTBLANK(OFFSET(A$1,,,SUMPRODUCT(MAX(ROW(E$2:E1757)*(E1757=E$2:E1757)))))-COUNTBLANK(OFFSET(A$1,,,SUMPRODUCT(MAX(ROW(E$1:E1756)*(E1757=E$1:E1756))))))</f>
        <v/>
      </c>
      <c r="K1757" s="15" t="str">
        <f aca="false">IF(OR(E1757="",E1757="!!!",F1757="NEW"),"",INDEX(J$1:J1756,SUMPRODUCT(MAX(ROW(E$1:E1756)*(E1757=E$1:E1756)))))</f>
        <v/>
      </c>
      <c r="L1757" s="16"/>
    </row>
    <row r="1758" customFormat="false" ht="12.8" hidden="false" customHeight="false" outlineLevel="0" collapsed="false">
      <c r="A1758" s="0" t="s">
        <v>810</v>
      </c>
      <c r="E1758" s="10" t="str">
        <f aca="false">IF(D1758="?OLD","!!!","")</f>
        <v/>
      </c>
      <c r="F1758" s="11" t="str">
        <f aca="false">IF(OR(E1758="",E1758="!!!"),"",IF(NOT(ISNA(VLOOKUP(E1758,E$1:E1757,1,FALSE()))),"OLD",IF(AND(E1758&lt;&gt;"",E1758&lt;&gt;"!!!"),"NEW","")))</f>
        <v/>
      </c>
      <c r="G1758" s="12" t="str">
        <f aca="false">IF(OR(E1758="",E1758="!!!"),"",IF(OR(J1758=0,AND(J1758=1,K1758=1),AND(J1758=1,I1758="SBJ"),AND(J1758=1,I1758=0)),"?IN_FOCUS",IF(J1758&lt;=2,"?ACTIVATED",IF(J1758&lt;&gt;"","?FAMILIAR",IF(F1758="NEW",IF(ISNA(VLOOKUP(E1758,#REF!,1,FALSE())),"?TYPE_IDENTIFIABLE","?REFERENTIAL"),"_")))))</f>
        <v/>
      </c>
      <c r="H1758" s="13" t="str">
        <f aca="false">IF(J1758&lt;&gt;1,"",IF(I1758="SBJ","CB","?"))</f>
        <v/>
      </c>
      <c r="I1758" s="14" t="str">
        <f aca="false">IF(OR(E1758="",E1758="!!!",F1758="NEW"),"",INDEX(B$2:B1757,-1+SUMPRODUCT(MAX(ROW(E$2:E1757)*(E1758=E$2:E1757)))))</f>
        <v/>
      </c>
      <c r="J1758" s="15" t="str">
        <f aca="true">IF(OR(E1758="",E1758="!!!",F1758="NEW"),"",COUNTBLANK(OFFSET(A$1,,,SUMPRODUCT(MAX(ROW(E$2:E1758)*(E1758=E$2:E1758)))))-COUNTBLANK(OFFSET(A$1,,,SUMPRODUCT(MAX(ROW(E$1:E1757)*(E1758=E$1:E1757))))))</f>
        <v/>
      </c>
      <c r="K1758" s="15" t="str">
        <f aca="false">IF(OR(E1758="",E1758="!!!",F1758="NEW"),"",INDEX(J$1:J1757,SUMPRODUCT(MAX(ROW(E$1:E1757)*(E1758=E$1:E1757)))))</f>
        <v/>
      </c>
      <c r="L1758" s="16"/>
    </row>
    <row r="1759" customFormat="false" ht="12.8" hidden="false" customHeight="false" outlineLevel="0" collapsed="false">
      <c r="A1759" s="0" t="n">
        <v>10</v>
      </c>
      <c r="E1759" s="10" t="str">
        <f aca="false">IF(D1759="?OLD","!!!","")</f>
        <v/>
      </c>
      <c r="F1759" s="11" t="str">
        <f aca="false">IF(OR(E1759="",E1759="!!!"),"",IF(NOT(ISNA(VLOOKUP(E1759,E$1:E1758,1,FALSE()))),"OLD",IF(AND(E1759&lt;&gt;"",E1759&lt;&gt;"!!!"),"NEW","")))</f>
        <v/>
      </c>
      <c r="G1759" s="12" t="str">
        <f aca="false">IF(OR(E1759="",E1759="!!!"),"",IF(OR(J1759=0,AND(J1759=1,K1759=1),AND(J1759=1,I1759="SBJ"),AND(J1759=1,I1759=0)),"?IN_FOCUS",IF(J1759&lt;=2,"?ACTIVATED",IF(J1759&lt;&gt;"","?FAMILIAR",IF(F1759="NEW",IF(ISNA(VLOOKUP(E1759,#REF!,1,FALSE())),"?TYPE_IDENTIFIABLE","?REFERENTIAL"),"_")))))</f>
        <v/>
      </c>
      <c r="H1759" s="13" t="str">
        <f aca="false">IF(J1759&lt;&gt;1,"",IF(I1759="SBJ","CB","?"))</f>
        <v/>
      </c>
      <c r="I1759" s="14" t="str">
        <f aca="false">IF(OR(E1759="",E1759="!!!",F1759="NEW"),"",INDEX(B$2:B1758,-1+SUMPRODUCT(MAX(ROW(E$2:E1758)*(E1759=E$2:E1758)))))</f>
        <v/>
      </c>
      <c r="J1759" s="15" t="str">
        <f aca="true">IF(OR(E1759="",E1759="!!!",F1759="NEW"),"",COUNTBLANK(OFFSET(A$1,,,SUMPRODUCT(MAX(ROW(E$2:E1759)*(E1759=E$2:E1759)))))-COUNTBLANK(OFFSET(A$1,,,SUMPRODUCT(MAX(ROW(E$1:E1758)*(E1759=E$1:E1758))))))</f>
        <v/>
      </c>
      <c r="K1759" s="15" t="str">
        <f aca="false">IF(OR(E1759="",E1759="!!!",F1759="NEW"),"",INDEX(J$1:J1758,SUMPRODUCT(MAX(ROW(E$1:E1758)*(E1759=E$1:E1758)))))</f>
        <v/>
      </c>
      <c r="L1759" s="16"/>
    </row>
    <row r="1760" customFormat="false" ht="12.8" hidden="false" customHeight="false" outlineLevel="0" collapsed="false">
      <c r="A1760" s="0" t="s">
        <v>187</v>
      </c>
      <c r="E1760" s="10" t="str">
        <f aca="false">IF(D1760="?OLD","!!!","")</f>
        <v/>
      </c>
      <c r="F1760" s="11" t="str">
        <f aca="false">IF(OR(E1760="",E1760="!!!"),"",IF(NOT(ISNA(VLOOKUP(E1760,E$1:E1759,1,FALSE()))),"OLD",IF(AND(E1760&lt;&gt;"",E1760&lt;&gt;"!!!"),"NEW","")))</f>
        <v/>
      </c>
      <c r="G1760" s="12" t="str">
        <f aca="false">IF(OR(E1760="",E1760="!!!"),"",IF(OR(J1760=0,AND(J1760=1,K1760=1),AND(J1760=1,I1760="SBJ"),AND(J1760=1,I1760=0)),"?IN_FOCUS",IF(J1760&lt;=2,"?ACTIVATED",IF(J1760&lt;&gt;"","?FAMILIAR",IF(F1760="NEW",IF(ISNA(VLOOKUP(E1760,#REF!,1,FALSE())),"?TYPE_IDENTIFIABLE","?REFERENTIAL"),"_")))))</f>
        <v/>
      </c>
      <c r="H1760" s="13" t="str">
        <f aca="false">IF(J1760&lt;&gt;1,"",IF(I1760="SBJ","CB","?"))</f>
        <v/>
      </c>
      <c r="I1760" s="14" t="str">
        <f aca="false">IF(OR(E1760="",E1760="!!!",F1760="NEW"),"",INDEX(B$2:B1759,-1+SUMPRODUCT(MAX(ROW(E$2:E1759)*(E1760=E$2:E1759)))))</f>
        <v/>
      </c>
      <c r="J1760" s="15" t="str">
        <f aca="true">IF(OR(E1760="",E1760="!!!",F1760="NEW"),"",COUNTBLANK(OFFSET(A$1,,,SUMPRODUCT(MAX(ROW(E$2:E1760)*(E1760=E$2:E1760)))))-COUNTBLANK(OFFSET(A$1,,,SUMPRODUCT(MAX(ROW(E$1:E1759)*(E1760=E$1:E1759))))))</f>
        <v/>
      </c>
      <c r="K1760" s="15" t="str">
        <f aca="false">IF(OR(E1760="",E1760="!!!",F1760="NEW"),"",INDEX(J$1:J1759,SUMPRODUCT(MAX(ROW(E$1:E1759)*(E1760=E$1:E1759)))))</f>
        <v/>
      </c>
      <c r="L1760" s="16"/>
    </row>
    <row r="1761" customFormat="false" ht="12.8" hidden="false" customHeight="false" outlineLevel="0" collapsed="false">
      <c r="A1761" s="0" t="s">
        <v>811</v>
      </c>
      <c r="B1761" s="0" t="s">
        <v>59</v>
      </c>
      <c r="C1761" s="0" t="s">
        <v>15</v>
      </c>
      <c r="E1761" s="10" t="str">
        <f aca="false">IF(D1761="?OLD","!!!","")</f>
        <v/>
      </c>
      <c r="F1761" s="11" t="str">
        <f aca="false">IF(OR(E1761="",E1761="!!!"),"",IF(NOT(ISNA(VLOOKUP(E1761,E$1:E1760,1,FALSE()))),"OLD",IF(AND(E1761&lt;&gt;"",E1761&lt;&gt;"!!!"),"NEW","")))</f>
        <v/>
      </c>
      <c r="G1761" s="12" t="str">
        <f aca="false">IF(OR(E1761="",E1761="!!!"),"",IF(OR(J1761=0,AND(J1761=1,K1761=1),AND(J1761=1,I1761="SBJ"),AND(J1761=1,I1761=0)),"?IN_FOCUS",IF(J1761&lt;=2,"?ACTIVATED",IF(J1761&lt;&gt;"","?FAMILIAR",IF(F1761="NEW",IF(ISNA(VLOOKUP(E1761,#REF!,1,FALSE())),"?TYPE_IDENTIFIABLE","?REFERENTIAL"),"_")))))</f>
        <v/>
      </c>
      <c r="H1761" s="13" t="str">
        <f aca="false">IF(J1761&lt;&gt;1,"",IF(I1761="SBJ","CB","?"))</f>
        <v/>
      </c>
      <c r="I1761" s="14" t="str">
        <f aca="false">IF(OR(E1761="",E1761="!!!",F1761="NEW"),"",INDEX(B$2:B1760,-1+SUMPRODUCT(MAX(ROW(E$2:E1760)*(E1761=E$2:E1760)))))</f>
        <v/>
      </c>
      <c r="J1761" s="15" t="str">
        <f aca="true">IF(OR(E1761="",E1761="!!!",F1761="NEW"),"",COUNTBLANK(OFFSET(A$1,,,SUMPRODUCT(MAX(ROW(E$2:E1761)*(E1761=E$2:E1761)))))-COUNTBLANK(OFFSET(A$1,,,SUMPRODUCT(MAX(ROW(E$1:E1760)*(E1761=E$1:E1760))))))</f>
        <v/>
      </c>
      <c r="K1761" s="15" t="str">
        <f aca="false">IF(OR(E1761="",E1761="!!!",F1761="NEW"),"",INDEX(J$1:J1760,SUMPRODUCT(MAX(ROW(E$1:E1760)*(E1761=E$1:E1760)))))</f>
        <v/>
      </c>
      <c r="L1761" s="16"/>
    </row>
    <row r="1762" customFormat="false" ht="12.8" hidden="false" customHeight="false" outlineLevel="0" collapsed="false">
      <c r="A1762" s="0" t="s">
        <v>44</v>
      </c>
      <c r="E1762" s="10" t="str">
        <f aca="false">IF(D1762="?OLD","!!!","")</f>
        <v/>
      </c>
      <c r="F1762" s="11" t="str">
        <f aca="false">IF(OR(E1762="",E1762="!!!"),"",IF(NOT(ISNA(VLOOKUP(E1762,E$1:E1761,1,FALSE()))),"OLD",IF(AND(E1762&lt;&gt;"",E1762&lt;&gt;"!!!"),"NEW","")))</f>
        <v/>
      </c>
      <c r="G1762" s="12" t="str">
        <f aca="false">IF(OR(E1762="",E1762="!!!"),"",IF(OR(J1762=0,AND(J1762=1,K1762=1),AND(J1762=1,I1762="SBJ"),AND(J1762=1,I1762=0)),"?IN_FOCUS",IF(J1762&lt;=2,"?ACTIVATED",IF(J1762&lt;&gt;"","?FAMILIAR",IF(F1762="NEW",IF(ISNA(VLOOKUP(E1762,#REF!,1,FALSE())),"?TYPE_IDENTIFIABLE","?REFERENTIAL"),"_")))))</f>
        <v/>
      </c>
      <c r="H1762" s="13" t="str">
        <f aca="false">IF(J1762&lt;&gt;1,"",IF(I1762="SBJ","CB","?"))</f>
        <v/>
      </c>
      <c r="I1762" s="14" t="str">
        <f aca="false">IF(OR(E1762="",E1762="!!!",F1762="NEW"),"",INDEX(B$2:B1761,-1+SUMPRODUCT(MAX(ROW(E$2:E1761)*(E1762=E$2:E1761)))))</f>
        <v/>
      </c>
      <c r="J1762" s="15" t="str">
        <f aca="true">IF(OR(E1762="",E1762="!!!",F1762="NEW"),"",COUNTBLANK(OFFSET(A$1,,,SUMPRODUCT(MAX(ROW(E$2:E1762)*(E1762=E$2:E1762)))))-COUNTBLANK(OFFSET(A$1,,,SUMPRODUCT(MAX(ROW(E$1:E1761)*(E1762=E$1:E1761))))))</f>
        <v/>
      </c>
      <c r="K1762" s="15" t="str">
        <f aca="false">IF(OR(E1762="",E1762="!!!",F1762="NEW"),"",INDEX(J$1:J1761,SUMPRODUCT(MAX(ROW(E$1:E1761)*(E1762=E$1:E1761)))))</f>
        <v/>
      </c>
      <c r="L1762" s="16"/>
    </row>
    <row r="1763" customFormat="false" ht="12.8" hidden="false" customHeight="false" outlineLevel="0" collapsed="false">
      <c r="A1763" s="0" t="s">
        <v>252</v>
      </c>
      <c r="E1763" s="10" t="str">
        <f aca="false">IF(D1763="?OLD","!!!","")</f>
        <v/>
      </c>
      <c r="F1763" s="11" t="str">
        <f aca="false">IF(OR(E1763="",E1763="!!!"),"",IF(NOT(ISNA(VLOOKUP(E1763,E$1:E1762,1,FALSE()))),"OLD",IF(AND(E1763&lt;&gt;"",E1763&lt;&gt;"!!!"),"NEW","")))</f>
        <v/>
      </c>
      <c r="G1763" s="12" t="str">
        <f aca="false">IF(OR(E1763="",E1763="!!!"),"",IF(OR(J1763=0,AND(J1763=1,K1763=1),AND(J1763=1,I1763="SBJ"),AND(J1763=1,I1763=0)),"?IN_FOCUS",IF(J1763&lt;=2,"?ACTIVATED",IF(J1763&lt;&gt;"","?FAMILIAR",IF(F1763="NEW",IF(ISNA(VLOOKUP(E1763,#REF!,1,FALSE())),"?TYPE_IDENTIFIABLE","?REFERENTIAL"),"_")))))</f>
        <v/>
      </c>
      <c r="H1763" s="13" t="str">
        <f aca="false">IF(J1763&lt;&gt;1,"",IF(I1763="SBJ","CB","?"))</f>
        <v/>
      </c>
      <c r="I1763" s="14" t="str">
        <f aca="false">IF(OR(E1763="",E1763="!!!",F1763="NEW"),"",INDEX(B$2:B1762,-1+SUMPRODUCT(MAX(ROW(E$2:E1762)*(E1763=E$2:E1762)))))</f>
        <v/>
      </c>
      <c r="J1763" s="15" t="str">
        <f aca="true">IF(OR(E1763="",E1763="!!!",F1763="NEW"),"",COUNTBLANK(OFFSET(A$1,,,SUMPRODUCT(MAX(ROW(E$2:E1763)*(E1763=E$2:E1763)))))-COUNTBLANK(OFFSET(A$1,,,SUMPRODUCT(MAX(ROW(E$1:E1762)*(E1763=E$1:E1762))))))</f>
        <v/>
      </c>
      <c r="K1763" s="15" t="str">
        <f aca="false">IF(OR(E1763="",E1763="!!!",F1763="NEW"),"",INDEX(J$1:J1762,SUMPRODUCT(MAX(ROW(E$1:E1762)*(E1763=E$1:E1762)))))</f>
        <v/>
      </c>
      <c r="L1763" s="16"/>
    </row>
    <row r="1764" customFormat="false" ht="12.8" hidden="false" customHeight="false" outlineLevel="0" collapsed="false">
      <c r="A1764" s="0" t="s">
        <v>140</v>
      </c>
      <c r="E1764" s="10" t="str">
        <f aca="false">IF(D1764="?OLD","!!!","")</f>
        <v/>
      </c>
      <c r="F1764" s="11" t="str">
        <f aca="false">IF(OR(E1764="",E1764="!!!"),"",IF(NOT(ISNA(VLOOKUP(E1764,E$1:E1763,1,FALSE()))),"OLD",IF(AND(E1764&lt;&gt;"",E1764&lt;&gt;"!!!"),"NEW","")))</f>
        <v/>
      </c>
      <c r="G1764" s="12" t="str">
        <f aca="false">IF(OR(E1764="",E1764="!!!"),"",IF(OR(J1764=0,AND(J1764=1,K1764=1),AND(J1764=1,I1764="SBJ"),AND(J1764=1,I1764=0)),"?IN_FOCUS",IF(J1764&lt;=2,"?ACTIVATED",IF(J1764&lt;&gt;"","?FAMILIAR",IF(F1764="NEW",IF(ISNA(VLOOKUP(E1764,#REF!,1,FALSE())),"?TYPE_IDENTIFIABLE","?REFERENTIAL"),"_")))))</f>
        <v/>
      </c>
      <c r="H1764" s="13" t="str">
        <f aca="false">IF(J1764&lt;&gt;1,"",IF(I1764="SBJ","CB","?"))</f>
        <v/>
      </c>
      <c r="I1764" s="14" t="str">
        <f aca="false">IF(OR(E1764="",E1764="!!!",F1764="NEW"),"",INDEX(B$2:B1763,-1+SUMPRODUCT(MAX(ROW(E$2:E1763)*(E1764=E$2:E1763)))))</f>
        <v/>
      </c>
      <c r="J1764" s="15" t="str">
        <f aca="true">IF(OR(E1764="",E1764="!!!",F1764="NEW"),"",COUNTBLANK(OFFSET(A$1,,,SUMPRODUCT(MAX(ROW(E$2:E1764)*(E1764=E$2:E1764)))))-COUNTBLANK(OFFSET(A$1,,,SUMPRODUCT(MAX(ROW(E$1:E1763)*(E1764=E$1:E1763))))))</f>
        <v/>
      </c>
      <c r="K1764" s="15" t="str">
        <f aca="false">IF(OR(E1764="",E1764="!!!",F1764="NEW"),"",INDEX(J$1:J1763,SUMPRODUCT(MAX(ROW(E$1:E1763)*(E1764=E$1:E1763)))))</f>
        <v/>
      </c>
      <c r="L1764" s="16"/>
    </row>
    <row r="1765" customFormat="false" ht="12.8" hidden="false" customHeight="false" outlineLevel="0" collapsed="false">
      <c r="A1765" s="0" t="s">
        <v>52</v>
      </c>
      <c r="B1765" s="0" t="s">
        <v>47</v>
      </c>
      <c r="C1765" s="0" t="s">
        <v>31</v>
      </c>
      <c r="E1765" s="10" t="s">
        <v>52</v>
      </c>
      <c r="F1765" s="11" t="str">
        <f aca="false">IF(OR(E1765="",E1765="!!!"),"",IF(NOT(ISNA(VLOOKUP(E1765,E$1:E1764,1,FALSE()))),"OLD",IF(AND(E1765&lt;&gt;"",E1765&lt;&gt;"!!!"),"NEW","")))</f>
        <v>OLD</v>
      </c>
      <c r="G1765" s="12" t="s">
        <v>36</v>
      </c>
      <c r="H1765" s="13" t="str">
        <f aca="false">IF(J1765&lt;&gt;1,"",IF(I1765="SBJ","CB","?"))</f>
        <v/>
      </c>
      <c r="I1765" s="14" t="str">
        <f aca="false">IF(OR(E1765="",E1765="!!!",F1765="NEW"),"",INDEX(B$2:B1764,-1+SUMPRODUCT(MAX(ROW(E$2:E1764)*(E1765=E$2:E1764)))))</f>
        <v>SBJ</v>
      </c>
      <c r="J1765" s="15" t="n">
        <f aca="true">IF(OR(E1765="",E1765="!!!",F1765="NEW"),"",COUNTBLANK(OFFSET(A$1,,,SUMPRODUCT(MAX(ROW(E$2:E1765)*(E1765=E$2:E1765)))))-COUNTBLANK(OFFSET(A$1,,,SUMPRODUCT(MAX(ROW(E$1:E1764)*(E1765=E$1:E1764))))))</f>
        <v>9</v>
      </c>
      <c r="K1765" s="15" t="n">
        <f aca="false">IF(OR(E1765="",E1765="!!!",F1765="NEW"),"",INDEX(J$1:J1764,SUMPRODUCT(MAX(ROW(E$1:E1764)*(E1765=E$1:E1764)))))</f>
        <v>1</v>
      </c>
      <c r="L1765" s="16"/>
    </row>
    <row r="1766" customFormat="false" ht="12.8" hidden="false" customHeight="false" outlineLevel="0" collapsed="false">
      <c r="A1766" s="0" t="s">
        <v>678</v>
      </c>
      <c r="E1766" s="10" t="str">
        <f aca="false">IF(D1766="?OLD","!!!","")</f>
        <v/>
      </c>
      <c r="F1766" s="11" t="str">
        <f aca="false">IF(OR(E1766="",E1766="!!!"),"",IF(NOT(ISNA(VLOOKUP(E1766,E$1:E1765,1,FALSE()))),"OLD",IF(AND(E1766&lt;&gt;"",E1766&lt;&gt;"!!!"),"NEW","")))</f>
        <v/>
      </c>
      <c r="G1766" s="12" t="str">
        <f aca="false">IF(OR(E1766="",E1766="!!!"),"",IF(OR(J1766=0,AND(J1766=1,K1766=1),AND(J1766=1,I1766="SBJ"),AND(J1766=1,I1766=0)),"?IN_FOCUS",IF(J1766&lt;=2,"?ACTIVATED",IF(J1766&lt;&gt;"","?FAMILIAR",IF(F1766="NEW",IF(ISNA(VLOOKUP(E1766,#REF!,1,FALSE())),"?TYPE_IDENTIFIABLE","?REFERENTIAL"),"_")))))</f>
        <v/>
      </c>
      <c r="H1766" s="13" t="str">
        <f aca="false">IF(J1766&lt;&gt;1,"",IF(I1766="SBJ","CB","?"))</f>
        <v/>
      </c>
      <c r="I1766" s="14" t="str">
        <f aca="false">IF(OR(E1766="",E1766="!!!",F1766="NEW"),"",INDEX(B$2:B1765,-1+SUMPRODUCT(MAX(ROW(E$2:E1765)*(E1766=E$2:E1765)))))</f>
        <v/>
      </c>
      <c r="J1766" s="15" t="str">
        <f aca="true">IF(OR(E1766="",E1766="!!!",F1766="NEW"),"",COUNTBLANK(OFFSET(A$1,,,SUMPRODUCT(MAX(ROW(E$2:E1766)*(E1766=E$2:E1766)))))-COUNTBLANK(OFFSET(A$1,,,SUMPRODUCT(MAX(ROW(E$1:E1765)*(E1766=E$1:E1765))))))</f>
        <v/>
      </c>
      <c r="K1766" s="15" t="str">
        <f aca="false">IF(OR(E1766="",E1766="!!!",F1766="NEW"),"",INDEX(J$1:J1765,SUMPRODUCT(MAX(ROW(E$1:E1765)*(E1766=E$1:E1765)))))</f>
        <v/>
      </c>
      <c r="L1766" s="16"/>
    </row>
    <row r="1767" customFormat="false" ht="12.8" hidden="false" customHeight="false" outlineLevel="0" collapsed="false">
      <c r="A1767" s="0" t="s">
        <v>298</v>
      </c>
      <c r="E1767" s="10" t="s">
        <v>298</v>
      </c>
      <c r="F1767" s="11" t="str">
        <f aca="false">IF(OR(E1767="",E1767="!!!"),"",IF(NOT(ISNA(VLOOKUP(E1767,E$1:E1766,1,FALSE()))),"OLD",IF(AND(E1767&lt;&gt;"",E1767&lt;&gt;"!!!"),"NEW","")))</f>
        <v>OLD</v>
      </c>
      <c r="G1767" s="12" t="s">
        <v>36</v>
      </c>
      <c r="H1767" s="13" t="str">
        <f aca="false">IF(J1767&lt;&gt;1,"",IF(I1767="SBJ","CB","?"))</f>
        <v/>
      </c>
      <c r="I1767" s="14" t="str">
        <f aca="false">IF(OR(E1767="",E1767="!!!",F1767="NEW"),"",INDEX(B$2:B1766,-1+SUMPRODUCT(MAX(ROW(E$2:E1766)*(E1767=E$2:E1766)))))</f>
        <v>OBJ_3</v>
      </c>
      <c r="J1767" s="15" t="n">
        <f aca="true">IF(OR(E1767="",E1767="!!!",F1767="NEW"),"",COUNTBLANK(OFFSET(A$1,,,SUMPRODUCT(MAX(ROW(E$2:E1767)*(E1767=E$2:E1767)))))-COUNTBLANK(OFFSET(A$1,,,SUMPRODUCT(MAX(ROW(E$1:E1766)*(E1767=E$1:E1766))))))</f>
        <v>20</v>
      </c>
      <c r="K1767" s="15" t="n">
        <f aca="false">IF(OR(E1767="",E1767="!!!",F1767="NEW"),"",INDEX(J$1:J1766,SUMPRODUCT(MAX(ROW(E$1:E1766)*(E1767=E$1:E1766)))))</f>
        <v>1</v>
      </c>
      <c r="L1767" s="16"/>
    </row>
    <row r="1768" customFormat="false" ht="12.8" hidden="false" customHeight="false" outlineLevel="0" collapsed="false">
      <c r="A1768" s="0" t="s">
        <v>344</v>
      </c>
      <c r="E1768" s="10" t="str">
        <f aca="false">IF(D1768="?OLD","!!!","")</f>
        <v/>
      </c>
      <c r="F1768" s="11" t="str">
        <f aca="false">IF(OR(E1768="",E1768="!!!"),"",IF(NOT(ISNA(VLOOKUP(E1768,E$1:E1767,1,FALSE()))),"OLD",IF(AND(E1768&lt;&gt;"",E1768&lt;&gt;"!!!"),"NEW","")))</f>
        <v/>
      </c>
      <c r="G1768" s="12" t="str">
        <f aca="false">IF(OR(E1768="",E1768="!!!"),"",IF(OR(J1768=0,AND(J1768=1,K1768=1),AND(J1768=1,I1768="SBJ"),AND(J1768=1,I1768=0)),"?IN_FOCUS",IF(J1768&lt;=2,"?ACTIVATED",IF(J1768&lt;&gt;"","?FAMILIAR",IF(F1768="NEW",IF(ISNA(VLOOKUP(E1768,#REF!,1,FALSE())),"?TYPE_IDENTIFIABLE","?REFERENTIAL"),"_")))))</f>
        <v/>
      </c>
      <c r="H1768" s="13" t="str">
        <f aca="false">IF(J1768&lt;&gt;1,"",IF(I1768="SBJ","CB","?"))</f>
        <v/>
      </c>
      <c r="I1768" s="14" t="str">
        <f aca="false">IF(OR(E1768="",E1768="!!!",F1768="NEW"),"",INDEX(B$2:B1767,-1+SUMPRODUCT(MAX(ROW(E$2:E1767)*(E1768=E$2:E1767)))))</f>
        <v/>
      </c>
      <c r="J1768" s="15" t="str">
        <f aca="true">IF(OR(E1768="",E1768="!!!",F1768="NEW"),"",COUNTBLANK(OFFSET(A$1,,,SUMPRODUCT(MAX(ROW(E$2:E1768)*(E1768=E$2:E1768)))))-COUNTBLANK(OFFSET(A$1,,,SUMPRODUCT(MAX(ROW(E$1:E1767)*(E1768=E$1:E1767))))))</f>
        <v/>
      </c>
      <c r="K1768" s="15" t="str">
        <f aca="false">IF(OR(E1768="",E1768="!!!",F1768="NEW"),"",INDEX(J$1:J1767,SUMPRODUCT(MAX(ROW(E$1:E1767)*(E1768=E$1:E1767)))))</f>
        <v/>
      </c>
      <c r="L1768" s="16"/>
    </row>
    <row r="1769" customFormat="false" ht="12.8" hidden="false" customHeight="false" outlineLevel="0" collapsed="false">
      <c r="A1769" s="0" t="s">
        <v>25</v>
      </c>
      <c r="B1769" s="0" t="s">
        <v>75</v>
      </c>
      <c r="C1769" s="0" t="s">
        <v>31</v>
      </c>
      <c r="E1769" s="10" t="s">
        <v>265</v>
      </c>
      <c r="F1769" s="11" t="str">
        <f aca="false">IF(OR(E1769="",E1769="!!!"),"",IF(NOT(ISNA(VLOOKUP(E1769,E$1:E1768,1,FALSE()))),"OLD",IF(AND(E1769&lt;&gt;"",E1769&lt;&gt;"!!!"),"NEW","")))</f>
        <v>OLD</v>
      </c>
      <c r="G1769" s="12" t="s">
        <v>36</v>
      </c>
      <c r="H1769" s="13" t="str">
        <f aca="false">IF(J1769&lt;&gt;1,"",IF(I1769="SBJ","CB","?"))</f>
        <v/>
      </c>
      <c r="I1769" s="14" t="str">
        <f aca="false">IF(OR(E1769="",E1769="!!!",F1769="NEW"),"",INDEX(B$2:B1768,-1+SUMPRODUCT(MAX(ROW(E$2:E1768)*(E1769=E$2:E1768)))))</f>
        <v>other_2</v>
      </c>
      <c r="J1769" s="15" t="n">
        <f aca="true">IF(OR(E1769="",E1769="!!!",F1769="NEW"),"",COUNTBLANK(OFFSET(A$1,,,SUMPRODUCT(MAX(ROW(E$2:E1769)*(E1769=E$2:E1769)))))-COUNTBLANK(OFFSET(A$1,,,SUMPRODUCT(MAX(ROW(E$1:E1768)*(E1769=E$1:E1768))))))</f>
        <v>30</v>
      </c>
      <c r="K1769" s="15" t="n">
        <f aca="false">IF(OR(E1769="",E1769="!!!",F1769="NEW"),"",INDEX(J$1:J1768,SUMPRODUCT(MAX(ROW(E$1:E1768)*(E1769=E$1:E1768)))))</f>
        <v>45</v>
      </c>
      <c r="L1769" s="16"/>
    </row>
    <row r="1770" customFormat="false" ht="12.8" hidden="false" customHeight="false" outlineLevel="0" collapsed="false">
      <c r="A1770" s="0" t="s">
        <v>76</v>
      </c>
      <c r="E1770" s="10" t="str">
        <f aca="false">IF(D1770="?OLD","!!!","")</f>
        <v/>
      </c>
      <c r="F1770" s="11" t="str">
        <f aca="false">IF(OR(E1770="",E1770="!!!"),"",IF(NOT(ISNA(VLOOKUP(E1770,E$1:E1769,1,FALSE()))),"OLD",IF(AND(E1770&lt;&gt;"",E1770&lt;&gt;"!!!"),"NEW","")))</f>
        <v/>
      </c>
      <c r="G1770" s="12" t="str">
        <f aca="false">IF(OR(E1770="",E1770="!!!"),"",IF(OR(J1770=0,AND(J1770=1,K1770=1),AND(J1770=1,I1770="SBJ"),AND(J1770=1,I1770=0)),"?IN_FOCUS",IF(J1770&lt;=2,"?ACTIVATED",IF(J1770&lt;&gt;"","?FAMILIAR",IF(F1770="NEW",IF(ISNA(VLOOKUP(E1770,#REF!,1,FALSE())),"?TYPE_IDENTIFIABLE","?REFERENTIAL"),"_")))))</f>
        <v/>
      </c>
      <c r="H1770" s="13" t="str">
        <f aca="false">IF(J1770&lt;&gt;1,"",IF(I1770="SBJ","CB","?"))</f>
        <v/>
      </c>
      <c r="I1770" s="14" t="str">
        <f aca="false">IF(OR(E1770="",E1770="!!!",F1770="NEW"),"",INDEX(B$2:B1769,-1+SUMPRODUCT(MAX(ROW(E$2:E1769)*(E1770=E$2:E1769)))))</f>
        <v/>
      </c>
      <c r="J1770" s="15" t="str">
        <f aca="true">IF(OR(E1770="",E1770="!!!",F1770="NEW"),"",COUNTBLANK(OFFSET(A$1,,,SUMPRODUCT(MAX(ROW(E$2:E1770)*(E1770=E$2:E1770)))))-COUNTBLANK(OFFSET(A$1,,,SUMPRODUCT(MAX(ROW(E$1:E1769)*(E1770=E$1:E1769))))))</f>
        <v/>
      </c>
      <c r="K1770" s="15" t="str">
        <f aca="false">IF(OR(E1770="",E1770="!!!",F1770="NEW"),"",INDEX(J$1:J1769,SUMPRODUCT(MAX(ROW(E$1:E1769)*(E1770=E$1:E1769)))))</f>
        <v/>
      </c>
      <c r="L1770" s="16"/>
    </row>
    <row r="1771" customFormat="false" ht="12.8" hidden="false" customHeight="false" outlineLevel="0" collapsed="false">
      <c r="E1771" s="10" t="str">
        <f aca="false">IF(D1771="?OLD","!!!","")</f>
        <v/>
      </c>
      <c r="F1771" s="11" t="str">
        <f aca="false">IF(OR(E1771="",E1771="!!!"),"",IF(NOT(ISNA(VLOOKUP(E1771,E$1:E1770,1,FALSE()))),"OLD",IF(AND(E1771&lt;&gt;"",E1771&lt;&gt;"!!!"),"NEW","")))</f>
        <v/>
      </c>
      <c r="G1771" s="12" t="str">
        <f aca="false">IF(OR(E1771="",E1771="!!!"),"",IF(OR(J1771=0,AND(J1771=1,K1771=1),AND(J1771=1,I1771="SBJ"),AND(J1771=1,I1771=0)),"?IN_FOCUS",IF(J1771&lt;=2,"?ACTIVATED",IF(J1771&lt;&gt;"","?FAMILIAR",IF(F1771="NEW",IF(ISNA(VLOOKUP(E1771,#REF!,1,FALSE())),"?TYPE_IDENTIFIABLE","?REFERENTIAL"),"_")))))</f>
        <v/>
      </c>
      <c r="H1771" s="13" t="str">
        <f aca="false">IF(J1771&lt;&gt;1,"",IF(I1771="SBJ","CB","?"))</f>
        <v/>
      </c>
      <c r="I1771" s="14" t="str">
        <f aca="false">IF(OR(E1771="",E1771="!!!",F1771="NEW"),"",INDEX(B$2:B1770,-1+SUMPRODUCT(MAX(ROW(E$2:E1770)*(E1771=E$2:E1770)))))</f>
        <v/>
      </c>
      <c r="J1771" s="15" t="str">
        <f aca="true">IF(OR(E1771="",E1771="!!!",F1771="NEW"),"",COUNTBLANK(OFFSET(A$1,,,SUMPRODUCT(MAX(ROW(E$2:E1771)*(E1771=E$2:E1771)))))-COUNTBLANK(OFFSET(A$1,,,SUMPRODUCT(MAX(ROW(E$1:E1770)*(E1771=E$1:E1770))))))</f>
        <v/>
      </c>
      <c r="K1771" s="15" t="str">
        <f aca="false">IF(OR(E1771="",E1771="!!!",F1771="NEW"),"",INDEX(J$1:J1770,SUMPRODUCT(MAX(ROW(E$1:E1770)*(E1771=E$1:E1770)))))</f>
        <v/>
      </c>
      <c r="L1771" s="16"/>
    </row>
    <row r="1772" customFormat="false" ht="12.8" hidden="false" customHeight="false" outlineLevel="0" collapsed="false">
      <c r="A1772" s="0" t="s">
        <v>812</v>
      </c>
      <c r="E1772" s="10" t="str">
        <f aca="false">IF(D1772="?OLD","!!!","")</f>
        <v/>
      </c>
      <c r="F1772" s="11" t="str">
        <f aca="false">IF(OR(E1772="",E1772="!!!"),"",IF(NOT(ISNA(VLOOKUP(E1772,E$1:E1771,1,FALSE()))),"OLD",IF(AND(E1772&lt;&gt;"",E1772&lt;&gt;"!!!"),"NEW","")))</f>
        <v/>
      </c>
      <c r="G1772" s="12" t="str">
        <f aca="false">IF(OR(E1772="",E1772="!!!"),"",IF(OR(J1772=0,AND(J1772=1,K1772=1),AND(J1772=1,I1772="SBJ"),AND(J1772=1,I1772=0)),"?IN_FOCUS",IF(J1772&lt;=2,"?ACTIVATED",IF(J1772&lt;&gt;"","?FAMILIAR",IF(F1772="NEW",IF(ISNA(VLOOKUP(E1772,#REF!,1,FALSE())),"?TYPE_IDENTIFIABLE","?REFERENTIAL"),"_")))))</f>
        <v/>
      </c>
      <c r="H1772" s="13" t="str">
        <f aca="false">IF(J1772&lt;&gt;1,"",IF(I1772="SBJ","CB","?"))</f>
        <v/>
      </c>
      <c r="I1772" s="14" t="str">
        <f aca="false">IF(OR(E1772="",E1772="!!!",F1772="NEW"),"",INDEX(B$2:B1771,-1+SUMPRODUCT(MAX(ROW(E$2:E1771)*(E1772=E$2:E1771)))))</f>
        <v/>
      </c>
      <c r="J1772" s="15" t="str">
        <f aca="true">IF(OR(E1772="",E1772="!!!",F1772="NEW"),"",COUNTBLANK(OFFSET(A$1,,,SUMPRODUCT(MAX(ROW(E$2:E1772)*(E1772=E$2:E1772)))))-COUNTBLANK(OFFSET(A$1,,,SUMPRODUCT(MAX(ROW(E$1:E1771)*(E1772=E$1:E1771))))))</f>
        <v/>
      </c>
      <c r="K1772" s="15" t="str">
        <f aca="false">IF(OR(E1772="",E1772="!!!",F1772="NEW"),"",INDEX(J$1:J1771,SUMPRODUCT(MAX(ROW(E$1:E1771)*(E1772=E$1:E1771)))))</f>
        <v/>
      </c>
      <c r="L1772" s="16"/>
    </row>
    <row r="1773" customFormat="false" ht="12.8" hidden="false" customHeight="false" outlineLevel="0" collapsed="false">
      <c r="A1773" s="0" t="s">
        <v>813</v>
      </c>
      <c r="B1773" s="0" t="s">
        <v>14</v>
      </c>
      <c r="C1773" s="0" t="s">
        <v>172</v>
      </c>
      <c r="E1773" s="10" t="str">
        <f aca="false">IF(D1773="?OLD","!!!","")</f>
        <v/>
      </c>
      <c r="F1773" s="11" t="str">
        <f aca="false">IF(OR(E1773="",E1773="!!!"),"",IF(NOT(ISNA(VLOOKUP(E1773,E$1:E1772,1,FALSE()))),"OLD",IF(AND(E1773&lt;&gt;"",E1773&lt;&gt;"!!!"),"NEW","")))</f>
        <v/>
      </c>
      <c r="G1773" s="12" t="str">
        <f aca="false">IF(OR(E1773="",E1773="!!!"),"",IF(OR(J1773=0,AND(J1773=1,K1773=1),AND(J1773=1,I1773="SBJ"),AND(J1773=1,I1773=0)),"?IN_FOCUS",IF(J1773&lt;=2,"?ACTIVATED",IF(J1773&lt;&gt;"","?FAMILIAR",IF(F1773="NEW",IF(ISNA(VLOOKUP(E1773,#REF!,1,FALSE())),"?TYPE_IDENTIFIABLE","?REFERENTIAL"),"_")))))</f>
        <v/>
      </c>
      <c r="H1773" s="13" t="str">
        <f aca="false">IF(J1773&lt;&gt;1,"",IF(I1773="SBJ","CB","?"))</f>
        <v/>
      </c>
      <c r="I1773" s="14" t="str">
        <f aca="false">IF(OR(E1773="",E1773="!!!",F1773="NEW"),"",INDEX(B$2:B1772,-1+SUMPRODUCT(MAX(ROW(E$2:E1772)*(E1773=E$2:E1772)))))</f>
        <v/>
      </c>
      <c r="J1773" s="15" t="str">
        <f aca="true">IF(OR(E1773="",E1773="!!!",F1773="NEW"),"",COUNTBLANK(OFFSET(A$1,,,SUMPRODUCT(MAX(ROW(E$2:E1773)*(E1773=E$2:E1773)))))-COUNTBLANK(OFFSET(A$1,,,SUMPRODUCT(MAX(ROW(E$1:E1772)*(E1773=E$1:E1772))))))</f>
        <v/>
      </c>
      <c r="K1773" s="15" t="str">
        <f aca="false">IF(OR(E1773="",E1773="!!!",F1773="NEW"),"",INDEX(J$1:J1772,SUMPRODUCT(MAX(ROW(E$1:E1772)*(E1773=E$1:E1772)))))</f>
        <v/>
      </c>
      <c r="L1773" s="16"/>
    </row>
    <row r="1774" customFormat="false" ht="12.8" hidden="false" customHeight="false" outlineLevel="0" collapsed="false">
      <c r="A1774" s="0" t="s">
        <v>252</v>
      </c>
      <c r="E1774" s="10" t="str">
        <f aca="false">IF(D1774="?OLD","!!!","")</f>
        <v/>
      </c>
      <c r="F1774" s="11" t="str">
        <f aca="false">IF(OR(E1774="",E1774="!!!"),"",IF(NOT(ISNA(VLOOKUP(E1774,E$1:E1773,1,FALSE()))),"OLD",IF(AND(E1774&lt;&gt;"",E1774&lt;&gt;"!!!"),"NEW","")))</f>
        <v/>
      </c>
      <c r="G1774" s="12" t="str">
        <f aca="false">IF(OR(E1774="",E1774="!!!"),"",IF(OR(J1774=0,AND(J1774=1,K1774=1),AND(J1774=1,I1774="SBJ"),AND(J1774=1,I1774=0)),"?IN_FOCUS",IF(J1774&lt;=2,"?ACTIVATED",IF(J1774&lt;&gt;"","?FAMILIAR",IF(F1774="NEW",IF(ISNA(VLOOKUP(E1774,#REF!,1,FALSE())),"?TYPE_IDENTIFIABLE","?REFERENTIAL"),"_")))))</f>
        <v/>
      </c>
      <c r="H1774" s="13" t="str">
        <f aca="false">IF(J1774&lt;&gt;1,"",IF(I1774="SBJ","CB","?"))</f>
        <v/>
      </c>
      <c r="I1774" s="14" t="str">
        <f aca="false">IF(OR(E1774="",E1774="!!!",F1774="NEW"),"",INDEX(B$2:B1773,-1+SUMPRODUCT(MAX(ROW(E$2:E1773)*(E1774=E$2:E1773)))))</f>
        <v/>
      </c>
      <c r="J1774" s="15" t="str">
        <f aca="true">IF(OR(E1774="",E1774="!!!",F1774="NEW"),"",COUNTBLANK(OFFSET(A$1,,,SUMPRODUCT(MAX(ROW(E$2:E1774)*(E1774=E$2:E1774)))))-COUNTBLANK(OFFSET(A$1,,,SUMPRODUCT(MAX(ROW(E$1:E1773)*(E1774=E$1:E1773))))))</f>
        <v/>
      </c>
      <c r="K1774" s="15" t="str">
        <f aca="false">IF(OR(E1774="",E1774="!!!",F1774="NEW"),"",INDEX(J$1:J1773,SUMPRODUCT(MAX(ROW(E$1:E1773)*(E1774=E$1:E1773)))))</f>
        <v/>
      </c>
      <c r="L1774" s="16"/>
    </row>
    <row r="1775" customFormat="false" ht="12.8" hidden="false" customHeight="false" outlineLevel="0" collapsed="false">
      <c r="A1775" s="0" t="s">
        <v>202</v>
      </c>
      <c r="B1775" s="0" t="s">
        <v>47</v>
      </c>
      <c r="C1775" s="0" t="s">
        <v>48</v>
      </c>
      <c r="D1775" s="0" t="s">
        <v>20</v>
      </c>
      <c r="E1775" s="10" t="s">
        <v>52</v>
      </c>
      <c r="F1775" s="11" t="str">
        <f aca="false">IF(OR(E1775="",E1775="!!!"),"",IF(NOT(ISNA(VLOOKUP(E1775,E$1:E1774,1,FALSE()))),"OLD",IF(AND(E1775&lt;&gt;"",E1775&lt;&gt;"!!!"),"NEW","")))</f>
        <v>OLD</v>
      </c>
      <c r="G1775" s="12" t="s">
        <v>80</v>
      </c>
      <c r="H1775" s="13"/>
      <c r="I1775" s="14" t="str">
        <f aca="false">IF(OR(E1775="",E1775="!!!",F1775="NEW"),"",INDEX(B$2:B1774,-1+SUMPRODUCT(MAX(ROW(E$2:E1774)*(E1775=E$2:E1774)))))</f>
        <v>SBJ_2</v>
      </c>
      <c r="J1775" s="15" t="n">
        <f aca="true">IF(OR(E1775="",E1775="!!!",F1775="NEW"),"",COUNTBLANK(OFFSET(A$1,,,SUMPRODUCT(MAX(ROW(E$2:E1775)*(E1775=E$2:E1775)))))-COUNTBLANK(OFFSET(A$1,,,SUMPRODUCT(MAX(ROW(E$1:E1774)*(E1775=E$1:E1774))))))</f>
        <v>1</v>
      </c>
      <c r="K1775" s="15" t="n">
        <f aca="false">IF(OR(E1775="",E1775="!!!",F1775="NEW"),"",INDEX(J$1:J1774,SUMPRODUCT(MAX(ROW(E$1:E1774)*(E1775=E$1:E1774)))))</f>
        <v>9</v>
      </c>
      <c r="L1775" s="16"/>
    </row>
    <row r="1776" customFormat="false" ht="12.8" hidden="false" customHeight="false" outlineLevel="0" collapsed="false">
      <c r="A1776" s="0" t="s">
        <v>814</v>
      </c>
      <c r="E1776" s="10" t="str">
        <f aca="false">IF(D1776="?OLD","!!!","")</f>
        <v/>
      </c>
      <c r="F1776" s="11" t="str">
        <f aca="false">IF(OR(E1776="",E1776="!!!"),"",IF(NOT(ISNA(VLOOKUP(E1776,E$1:E1775,1,FALSE()))),"OLD",IF(AND(E1776&lt;&gt;"",E1776&lt;&gt;"!!!"),"NEW","")))</f>
        <v/>
      </c>
      <c r="G1776" s="12" t="str">
        <f aca="false">IF(OR(E1776="",E1776="!!!"),"",IF(OR(J1776=0,AND(J1776=1,K1776=1),AND(J1776=1,I1776="SBJ"),AND(J1776=1,I1776=0)),"?IN_FOCUS",IF(J1776&lt;=2,"?ACTIVATED",IF(J1776&lt;&gt;"","?FAMILIAR",IF(F1776="NEW",IF(ISNA(VLOOKUP(E1776,#REF!,1,FALSE())),"?TYPE_IDENTIFIABLE","?REFERENTIAL"),"_")))))</f>
        <v/>
      </c>
      <c r="H1776" s="13" t="str">
        <f aca="false">IF(J1776&lt;&gt;1,"",IF(I1776="SBJ","CB","?"))</f>
        <v/>
      </c>
      <c r="I1776" s="14" t="str">
        <f aca="false">IF(OR(E1776="",E1776="!!!",F1776="NEW"),"",INDEX(B$2:B1775,-1+SUMPRODUCT(MAX(ROW(E$2:E1775)*(E1776=E$2:E1775)))))</f>
        <v/>
      </c>
      <c r="J1776" s="15" t="str">
        <f aca="true">IF(OR(E1776="",E1776="!!!",F1776="NEW"),"",COUNTBLANK(OFFSET(A$1,,,SUMPRODUCT(MAX(ROW(E$2:E1776)*(E1776=E$2:E1776)))))-COUNTBLANK(OFFSET(A$1,,,SUMPRODUCT(MAX(ROW(E$1:E1775)*(E1776=E$1:E1775))))))</f>
        <v/>
      </c>
      <c r="K1776" s="15" t="str">
        <f aca="false">IF(OR(E1776="",E1776="!!!",F1776="NEW"),"",INDEX(J$1:J1775,SUMPRODUCT(MAX(ROW(E$1:E1775)*(E1776=E$1:E1775)))))</f>
        <v/>
      </c>
      <c r="L1776" s="16"/>
    </row>
    <row r="1777" customFormat="false" ht="12.8" hidden="false" customHeight="false" outlineLevel="0" collapsed="false">
      <c r="A1777" s="0" t="s">
        <v>51</v>
      </c>
      <c r="E1777" s="10" t="str">
        <f aca="false">IF(D1777="?OLD","!!!","")</f>
        <v/>
      </c>
      <c r="F1777" s="11" t="str">
        <f aca="false">IF(OR(E1777="",E1777="!!!"),"",IF(NOT(ISNA(VLOOKUP(E1777,E$1:E1776,1,FALSE()))),"OLD",IF(AND(E1777&lt;&gt;"",E1777&lt;&gt;"!!!"),"NEW","")))</f>
        <v/>
      </c>
      <c r="G1777" s="12" t="str">
        <f aca="false">IF(OR(E1777="",E1777="!!!"),"",IF(OR(J1777=0,AND(J1777=1,K1777=1),AND(J1777=1,I1777="SBJ"),AND(J1777=1,I1777=0)),"?IN_FOCUS",IF(J1777&lt;=2,"?ACTIVATED",IF(J1777&lt;&gt;"","?FAMILIAR",IF(F1777="NEW",IF(ISNA(VLOOKUP(E1777,#REF!,1,FALSE())),"?TYPE_IDENTIFIABLE","?REFERENTIAL"),"_")))))</f>
        <v/>
      </c>
      <c r="H1777" s="13" t="str">
        <f aca="false">IF(J1777&lt;&gt;1,"",IF(I1777="SBJ","CB","?"))</f>
        <v/>
      </c>
      <c r="I1777" s="14" t="str">
        <f aca="false">IF(OR(E1777="",E1777="!!!",F1777="NEW"),"",INDEX(B$2:B1776,-1+SUMPRODUCT(MAX(ROW(E$2:E1776)*(E1777=E$2:E1776)))))</f>
        <v/>
      </c>
      <c r="J1777" s="15" t="str">
        <f aca="true">IF(OR(E1777="",E1777="!!!",F1777="NEW"),"",COUNTBLANK(OFFSET(A$1,,,SUMPRODUCT(MAX(ROW(E$2:E1777)*(E1777=E$2:E1777)))))-COUNTBLANK(OFFSET(A$1,,,SUMPRODUCT(MAX(ROW(E$1:E1776)*(E1777=E$1:E1776))))))</f>
        <v/>
      </c>
      <c r="K1777" s="15" t="str">
        <f aca="false">IF(OR(E1777="",E1777="!!!",F1777="NEW"),"",INDEX(J$1:J1776,SUMPRODUCT(MAX(ROW(E$1:E1776)*(E1777=E$1:E1776)))))</f>
        <v/>
      </c>
      <c r="L1777" s="16"/>
    </row>
    <row r="1778" customFormat="false" ht="12.8" hidden="false" customHeight="false" outlineLevel="0" collapsed="false">
      <c r="A1778" s="0" t="s">
        <v>801</v>
      </c>
      <c r="B1778" s="0" t="s">
        <v>170</v>
      </c>
      <c r="C1778" s="0" t="s">
        <v>104</v>
      </c>
      <c r="D1778" s="0" t="s">
        <v>20</v>
      </c>
      <c r="E1778" s="10" t="s">
        <v>801</v>
      </c>
      <c r="F1778" s="11" t="str">
        <f aca="false">IF(OR(E1778="",E1778="!!!"),"",IF(NOT(ISNA(VLOOKUP(E1778,E$1:E1777,1,FALSE()))),"OLD",IF(AND(E1778&lt;&gt;"",E1778&lt;&gt;"!!!"),"NEW","")))</f>
        <v>OLD</v>
      </c>
      <c r="G1778" s="12" t="s">
        <v>80</v>
      </c>
      <c r="H1778" s="13" t="str">
        <f aca="false">IF(J1778&lt;&gt;1,"",IF(I1778="SBJ","CB","?"))</f>
        <v/>
      </c>
      <c r="I1778" s="14" t="str">
        <f aca="false">IF(OR(E1778="",E1778="!!!",F1778="NEW"),"",INDEX(B$2:B1777,-1+SUMPRODUCT(MAX(ROW(E$2:E1777)*(E1778=E$2:E1777)))))</f>
        <v>other</v>
      </c>
      <c r="J1778" s="15" t="n">
        <f aca="true">IF(OR(E1778="",E1778="!!!",F1778="NEW"),"",COUNTBLANK(OFFSET(A$1,,,SUMPRODUCT(MAX(ROW(E$2:E1778)*(E1778=E$2:E1778)))))-COUNTBLANK(OFFSET(A$1,,,SUMPRODUCT(MAX(ROW(E$1:E1777)*(E1778=E$1:E1777))))))</f>
        <v>2</v>
      </c>
      <c r="K1778" s="15" t="str">
        <f aca="false">IF(OR(E1778="",E1778="!!!",F1778="NEW"),"",INDEX(J$1:J1777,SUMPRODUCT(MAX(ROW(E$1:E1777)*(E1778=E$1:E1777)))))</f>
        <v/>
      </c>
      <c r="L1778" s="16"/>
    </row>
    <row r="1779" customFormat="false" ht="12.8" hidden="false" customHeight="false" outlineLevel="0" collapsed="false">
      <c r="A1779" s="0" t="s">
        <v>60</v>
      </c>
      <c r="E1779" s="10" t="str">
        <f aca="false">IF(D1779="?OLD","!!!","")</f>
        <v/>
      </c>
      <c r="F1779" s="11" t="str">
        <f aca="false">IF(OR(E1779="",E1779="!!!"),"",IF(NOT(ISNA(VLOOKUP(E1779,E$1:E1778,1,FALSE()))),"OLD",IF(AND(E1779&lt;&gt;"",E1779&lt;&gt;"!!!"),"NEW","")))</f>
        <v/>
      </c>
      <c r="G1779" s="12" t="str">
        <f aca="false">IF(OR(E1779="",E1779="!!!"),"",IF(OR(J1779=0,AND(J1779=1,K1779=1),AND(J1779=1,I1779="SBJ"),AND(J1779=1,I1779=0)),"?IN_FOCUS",IF(J1779&lt;=2,"?ACTIVATED",IF(J1779&lt;&gt;"","?FAMILIAR",IF(F1779="NEW",IF(ISNA(VLOOKUP(E1779,#REF!,1,FALSE())),"?TYPE_IDENTIFIABLE","?REFERENTIAL"),"_")))))</f>
        <v/>
      </c>
      <c r="H1779" s="13" t="str">
        <f aca="false">IF(J1779&lt;&gt;1,"",IF(I1779="SBJ","CB","?"))</f>
        <v/>
      </c>
      <c r="I1779" s="14" t="str">
        <f aca="false">IF(OR(E1779="",E1779="!!!",F1779="NEW"),"",INDEX(B$2:B1778,-1+SUMPRODUCT(MAX(ROW(E$2:E1778)*(E1779=E$2:E1778)))))</f>
        <v/>
      </c>
      <c r="J1779" s="15" t="str">
        <f aca="true">IF(OR(E1779="",E1779="!!!",F1779="NEW"),"",COUNTBLANK(OFFSET(A$1,,,SUMPRODUCT(MAX(ROW(E$2:E1779)*(E1779=E$2:E1779)))))-COUNTBLANK(OFFSET(A$1,,,SUMPRODUCT(MAX(ROW(E$1:E1778)*(E1779=E$1:E1778))))))</f>
        <v/>
      </c>
      <c r="K1779" s="15" t="str">
        <f aca="false">IF(OR(E1779="",E1779="!!!",F1779="NEW"),"",INDEX(J$1:J1778,SUMPRODUCT(MAX(ROW(E$1:E1778)*(E1779=E$1:E1778)))))</f>
        <v/>
      </c>
      <c r="L1779" s="16"/>
    </row>
    <row r="1780" customFormat="false" ht="12.8" hidden="false" customHeight="false" outlineLevel="0" collapsed="false">
      <c r="A1780" s="0" t="s">
        <v>815</v>
      </c>
      <c r="E1780" s="10" t="str">
        <f aca="false">IF(D1780="?OLD","!!!","")</f>
        <v/>
      </c>
      <c r="F1780" s="11" t="str">
        <f aca="false">IF(OR(E1780="",E1780="!!!"),"",IF(NOT(ISNA(VLOOKUP(E1780,E$1:E1779,1,FALSE()))),"OLD",IF(AND(E1780&lt;&gt;"",E1780&lt;&gt;"!!!"),"NEW","")))</f>
        <v/>
      </c>
      <c r="G1780" s="12" t="str">
        <f aca="false">IF(OR(E1780="",E1780="!!!"),"",IF(OR(J1780=0,AND(J1780=1,K1780=1),AND(J1780=1,I1780="SBJ"),AND(J1780=1,I1780=0)),"?IN_FOCUS",IF(J1780&lt;=2,"?ACTIVATED",IF(J1780&lt;&gt;"","?FAMILIAR",IF(F1780="NEW",IF(ISNA(VLOOKUP(E1780,#REF!,1,FALSE())),"?TYPE_IDENTIFIABLE","?REFERENTIAL"),"_")))))</f>
        <v/>
      </c>
      <c r="H1780" s="13" t="str">
        <f aca="false">IF(J1780&lt;&gt;1,"",IF(I1780="SBJ","CB","?"))</f>
        <v/>
      </c>
      <c r="I1780" s="14" t="str">
        <f aca="false">IF(OR(E1780="",E1780="!!!",F1780="NEW"),"",INDEX(B$2:B1779,-1+SUMPRODUCT(MAX(ROW(E$2:E1779)*(E1780=E$2:E1779)))))</f>
        <v/>
      </c>
      <c r="J1780" s="15" t="str">
        <f aca="true">IF(OR(E1780="",E1780="!!!",F1780="NEW"),"",COUNTBLANK(OFFSET(A$1,,,SUMPRODUCT(MAX(ROW(E$2:E1780)*(E1780=E$2:E1780)))))-COUNTBLANK(OFFSET(A$1,,,SUMPRODUCT(MAX(ROW(E$1:E1779)*(E1780=E$1:E1779))))))</f>
        <v/>
      </c>
      <c r="K1780" s="15" t="str">
        <f aca="false">IF(OR(E1780="",E1780="!!!",F1780="NEW"),"",INDEX(J$1:J1779,SUMPRODUCT(MAX(ROW(E$1:E1779)*(E1780=E$1:E1779)))))</f>
        <v/>
      </c>
      <c r="L1780" s="16"/>
    </row>
    <row r="1781" customFormat="false" ht="12.8" hidden="false" customHeight="false" outlineLevel="0" collapsed="false">
      <c r="A1781" s="0" t="s">
        <v>159</v>
      </c>
      <c r="B1781" s="0" t="s">
        <v>59</v>
      </c>
      <c r="E1781" s="10" t="str">
        <f aca="false">IF(D1781="?OLD","!!!","")</f>
        <v/>
      </c>
      <c r="F1781" s="11" t="str">
        <f aca="false">IF(OR(E1781="",E1781="!!!"),"",IF(NOT(ISNA(VLOOKUP(E1781,E$1:E1780,1,FALSE()))),"OLD",IF(AND(E1781&lt;&gt;"",E1781&lt;&gt;"!!!"),"NEW","")))</f>
        <v/>
      </c>
      <c r="G1781" s="12" t="str">
        <f aca="false">IF(OR(E1781="",E1781="!!!"),"",IF(OR(J1781=0,AND(J1781=1,K1781=1),AND(J1781=1,I1781="SBJ"),AND(J1781=1,I1781=0)),"?IN_FOCUS",IF(J1781&lt;=2,"?ACTIVATED",IF(J1781&lt;&gt;"","?FAMILIAR",IF(F1781="NEW",IF(ISNA(VLOOKUP(E1781,#REF!,1,FALSE())),"?TYPE_IDENTIFIABLE","?REFERENTIAL"),"_")))))</f>
        <v/>
      </c>
      <c r="H1781" s="13" t="str">
        <f aca="false">IF(J1781&lt;&gt;1,"",IF(I1781="SBJ","CB","?"))</f>
        <v/>
      </c>
      <c r="I1781" s="14" t="str">
        <f aca="false">IF(OR(E1781="",E1781="!!!",F1781="NEW"),"",INDEX(B$2:B1780,-1+SUMPRODUCT(MAX(ROW(E$2:E1780)*(E1781=E$2:E1780)))))</f>
        <v/>
      </c>
      <c r="J1781" s="15" t="str">
        <f aca="true">IF(OR(E1781="",E1781="!!!",F1781="NEW"),"",COUNTBLANK(OFFSET(A$1,,,SUMPRODUCT(MAX(ROW(E$2:E1781)*(E1781=E$2:E1781)))))-COUNTBLANK(OFFSET(A$1,,,SUMPRODUCT(MAX(ROW(E$1:E1780)*(E1781=E$1:E1780))))))</f>
        <v/>
      </c>
      <c r="K1781" s="15" t="str">
        <f aca="false">IF(OR(E1781="",E1781="!!!",F1781="NEW"),"",INDEX(J$1:J1780,SUMPRODUCT(MAX(ROW(E$1:E1780)*(E1781=E$1:E1780)))))</f>
        <v/>
      </c>
      <c r="L1781" s="16"/>
    </row>
    <row r="1782" customFormat="false" ht="12.8" hidden="false" customHeight="false" outlineLevel="0" collapsed="false">
      <c r="A1782" s="0" t="s">
        <v>61</v>
      </c>
      <c r="E1782" s="10" t="str">
        <f aca="false">IF(D1782="?OLD","!!!","")</f>
        <v/>
      </c>
      <c r="F1782" s="11" t="str">
        <f aca="false">IF(OR(E1782="",E1782="!!!"),"",IF(NOT(ISNA(VLOOKUP(E1782,E$1:E1781,1,FALSE()))),"OLD",IF(AND(E1782&lt;&gt;"",E1782&lt;&gt;"!!!"),"NEW","")))</f>
        <v/>
      </c>
      <c r="G1782" s="12" t="str">
        <f aca="false">IF(OR(E1782="",E1782="!!!"),"",IF(OR(J1782=0,AND(J1782=1,K1782=1),AND(J1782=1,I1782="SBJ"),AND(J1782=1,I1782=0)),"?IN_FOCUS",IF(J1782&lt;=2,"?ACTIVATED",IF(J1782&lt;&gt;"","?FAMILIAR",IF(F1782="NEW",IF(ISNA(VLOOKUP(E1782,#REF!,1,FALSE())),"?TYPE_IDENTIFIABLE","?REFERENTIAL"),"_")))))</f>
        <v/>
      </c>
      <c r="H1782" s="13" t="str">
        <f aca="false">IF(J1782&lt;&gt;1,"",IF(I1782="SBJ","CB","?"))</f>
        <v/>
      </c>
      <c r="I1782" s="14" t="str">
        <f aca="false">IF(OR(E1782="",E1782="!!!",F1782="NEW"),"",INDEX(B$2:B1781,-1+SUMPRODUCT(MAX(ROW(E$2:E1781)*(E1782=E$2:E1781)))))</f>
        <v/>
      </c>
      <c r="J1782" s="15" t="str">
        <f aca="true">IF(OR(E1782="",E1782="!!!",F1782="NEW"),"",COUNTBLANK(OFFSET(A$1,,,SUMPRODUCT(MAX(ROW(E$2:E1782)*(E1782=E$2:E1782)))))-COUNTBLANK(OFFSET(A$1,,,SUMPRODUCT(MAX(ROW(E$1:E1781)*(E1782=E$1:E1781))))))</f>
        <v/>
      </c>
      <c r="K1782" s="15" t="str">
        <f aca="false">IF(OR(E1782="",E1782="!!!",F1782="NEW"),"",INDEX(J$1:J1781,SUMPRODUCT(MAX(ROW(E$1:E1781)*(E1782=E$1:E1781)))))</f>
        <v/>
      </c>
      <c r="L1782" s="16"/>
    </row>
    <row r="1783" customFormat="false" ht="12.8" hidden="false" customHeight="false" outlineLevel="0" collapsed="false">
      <c r="A1783" s="0" t="s">
        <v>334</v>
      </c>
      <c r="B1783" s="0" t="s">
        <v>69</v>
      </c>
      <c r="C1783" s="0" t="s">
        <v>244</v>
      </c>
      <c r="D1783" s="0" t="s">
        <v>20</v>
      </c>
      <c r="E1783" s="10" t="s">
        <v>52</v>
      </c>
      <c r="F1783" s="11" t="str">
        <f aca="false">IF(OR(E1783="",E1783="!!!"),"",IF(NOT(ISNA(VLOOKUP(E1783,E$1:E1782,1,FALSE()))),"OLD",IF(AND(E1783&lt;&gt;"",E1783&lt;&gt;"!!!"),"NEW","")))</f>
        <v>OLD</v>
      </c>
      <c r="G1783" s="12" t="s">
        <v>87</v>
      </c>
      <c r="H1783" s="13" t="str">
        <f aca="false">IF(J1783&lt;&gt;1,"",IF(I1783="SBJ","CB","?"))</f>
        <v/>
      </c>
      <c r="I1783" s="14" t="str">
        <f aca="false">IF(OR(E1783="",E1783="!!!",F1783="NEW"),"",INDEX(B$2:B1782,-1+SUMPRODUCT(MAX(ROW(E$2:E1782)*(E1783=E$2:E1782)))))</f>
        <v>SBJ_2</v>
      </c>
      <c r="J1783" s="15" t="n">
        <f aca="true">IF(OR(E1783="",E1783="!!!",F1783="NEW"),"",COUNTBLANK(OFFSET(A$1,,,SUMPRODUCT(MAX(ROW(E$2:E1783)*(E1783=E$2:E1783)))))-COUNTBLANK(OFFSET(A$1,,,SUMPRODUCT(MAX(ROW(E$1:E1782)*(E1783=E$1:E1782))))))</f>
        <v>0</v>
      </c>
      <c r="K1783" s="15" t="n">
        <f aca="false">IF(OR(E1783="",E1783="!!!",F1783="NEW"),"",INDEX(J$1:J1782,SUMPRODUCT(MAX(ROW(E$1:E1782)*(E1783=E$1:E1782)))))</f>
        <v>1</v>
      </c>
      <c r="L1783" s="16"/>
    </row>
    <row r="1784" customFormat="false" ht="12.8" hidden="false" customHeight="false" outlineLevel="0" collapsed="false">
      <c r="A1784" s="0" t="s">
        <v>317</v>
      </c>
      <c r="B1784" s="0" t="s">
        <v>65</v>
      </c>
      <c r="C1784" s="0" t="s">
        <v>246</v>
      </c>
      <c r="D1784" s="0" t="s">
        <v>20</v>
      </c>
      <c r="E1784" s="10" t="s">
        <v>774</v>
      </c>
      <c r="F1784" s="11" t="str">
        <f aca="false">IF(OR(E1784="",E1784="!!!"),"",IF(NOT(ISNA(VLOOKUP(E1784,E$1:E1783,1,FALSE()))),"OLD",IF(AND(E1784&lt;&gt;"",E1784&lt;&gt;"!!!"),"NEW","")))</f>
        <v>OLD</v>
      </c>
      <c r="G1784" s="12" t="s">
        <v>36</v>
      </c>
      <c r="H1784" s="13" t="str">
        <f aca="false">IF(J1784&lt;&gt;1,"",IF(I1784="SBJ","CB","?"))</f>
        <v/>
      </c>
      <c r="I1784" s="14" t="str">
        <f aca="false">IF(OR(E1784="",E1784="!!!",F1784="NEW"),"",INDEX(B$2:B1783,-1+SUMPRODUCT(MAX(ROW(E$2:E1783)*(E1784=E$2:E1783)))))</f>
        <v>other_2</v>
      </c>
      <c r="J1784" s="15" t="n">
        <f aca="true">IF(OR(E1784="",E1784="!!!",F1784="NEW"),"",COUNTBLANK(OFFSET(A$1,,,SUMPRODUCT(MAX(ROW(E$2:E1784)*(E1784=E$2:E1784)))))-COUNTBLANK(OFFSET(A$1,,,SUMPRODUCT(MAX(ROW(E$1:E1783)*(E1784=E$1:E1783))))))</f>
        <v>7</v>
      </c>
      <c r="K1784" s="15" t="n">
        <f aca="false">IF(OR(E1784="",E1784="!!!",F1784="NEW"),"",INDEX(J$1:J1783,SUMPRODUCT(MAX(ROW(E$1:E1783)*(E1784=E$1:E1783)))))</f>
        <v>1</v>
      </c>
      <c r="L1784" s="16"/>
    </row>
    <row r="1785" customFormat="false" ht="12.8" hidden="false" customHeight="false" outlineLevel="0" collapsed="false">
      <c r="A1785" s="0" t="s">
        <v>60</v>
      </c>
      <c r="E1785" s="10" t="str">
        <f aca="false">IF(D1785="?OLD","!!!","")</f>
        <v/>
      </c>
      <c r="F1785" s="11" t="str">
        <f aca="false">IF(OR(E1785="",E1785="!!!"),"",IF(NOT(ISNA(VLOOKUP(E1785,E$1:E1784,1,FALSE()))),"OLD",IF(AND(E1785&lt;&gt;"",E1785&lt;&gt;"!!!"),"NEW","")))</f>
        <v/>
      </c>
      <c r="G1785" s="12" t="str">
        <f aca="false">IF(OR(E1785="",E1785="!!!"),"",IF(OR(J1785=0,AND(J1785=1,K1785=1),AND(J1785=1,I1785="SBJ"),AND(J1785=1,I1785=0)),"?IN_FOCUS",IF(J1785&lt;=2,"?ACTIVATED",IF(J1785&lt;&gt;"","?FAMILIAR",IF(F1785="NEW",IF(ISNA(VLOOKUP(E1785,#REF!,1,FALSE())),"?TYPE_IDENTIFIABLE","?REFERENTIAL"),"_")))))</f>
        <v/>
      </c>
      <c r="H1785" s="13" t="str">
        <f aca="false">IF(J1785&lt;&gt;1,"",IF(I1785="SBJ","CB","?"))</f>
        <v/>
      </c>
      <c r="I1785" s="14" t="str">
        <f aca="false">IF(OR(E1785="",E1785="!!!",F1785="NEW"),"",INDEX(B$2:B1784,-1+SUMPRODUCT(MAX(ROW(E$2:E1784)*(E1785=E$2:E1784)))))</f>
        <v/>
      </c>
      <c r="J1785" s="15" t="str">
        <f aca="true">IF(OR(E1785="",E1785="!!!",F1785="NEW"),"",COUNTBLANK(OFFSET(A$1,,,SUMPRODUCT(MAX(ROW(E$2:E1785)*(E1785=E$2:E1785)))))-COUNTBLANK(OFFSET(A$1,,,SUMPRODUCT(MAX(ROW(E$1:E1784)*(E1785=E$1:E1784))))))</f>
        <v/>
      </c>
      <c r="K1785" s="15" t="str">
        <f aca="false">IF(OR(E1785="",E1785="!!!",F1785="NEW"),"",INDEX(J$1:J1784,SUMPRODUCT(MAX(ROW(E$1:E1784)*(E1785=E$1:E1784)))))</f>
        <v/>
      </c>
      <c r="L1785" s="16"/>
    </row>
    <row r="1786" customFormat="false" ht="12.8" hidden="false" customHeight="false" outlineLevel="0" collapsed="false">
      <c r="A1786" s="0" t="s">
        <v>333</v>
      </c>
      <c r="B1786" s="0" t="s">
        <v>96</v>
      </c>
      <c r="C1786" s="0" t="s">
        <v>31</v>
      </c>
      <c r="E1786" s="10" t="str">
        <f aca="false">IF(D1786="?OLD","!!!","")</f>
        <v/>
      </c>
      <c r="F1786" s="11" t="str">
        <f aca="false">IF(OR(E1786="",E1786="!!!"),"",IF(NOT(ISNA(VLOOKUP(E1786,E$1:E1785,1,FALSE()))),"OLD",IF(AND(E1786&lt;&gt;"",E1786&lt;&gt;"!!!"),"NEW","")))</f>
        <v/>
      </c>
      <c r="G1786" s="12" t="str">
        <f aca="false">IF(OR(E1786="",E1786="!!!"),"",IF(OR(J1786=0,AND(J1786=1,K1786=1),AND(J1786=1,I1786="SBJ"),AND(J1786=1,I1786=0)),"?IN_FOCUS",IF(J1786&lt;=2,"?ACTIVATED",IF(J1786&lt;&gt;"","?FAMILIAR",IF(F1786="NEW",IF(ISNA(VLOOKUP(E1786,#REF!,1,FALSE())),"?TYPE_IDENTIFIABLE","?REFERENTIAL"),"_")))))</f>
        <v/>
      </c>
      <c r="H1786" s="13" t="str">
        <f aca="false">IF(J1786&lt;&gt;1,"",IF(I1786="SBJ","CB","?"))</f>
        <v/>
      </c>
      <c r="I1786" s="14" t="str">
        <f aca="false">IF(OR(E1786="",E1786="!!!",F1786="NEW"),"",INDEX(B$2:B1785,-1+SUMPRODUCT(MAX(ROW(E$2:E1785)*(E1786=E$2:E1785)))))</f>
        <v/>
      </c>
      <c r="J1786" s="15" t="str">
        <f aca="true">IF(OR(E1786="",E1786="!!!",F1786="NEW"),"",COUNTBLANK(OFFSET(A$1,,,SUMPRODUCT(MAX(ROW(E$2:E1786)*(E1786=E$2:E1786)))))-COUNTBLANK(OFFSET(A$1,,,SUMPRODUCT(MAX(ROW(E$1:E1785)*(E1786=E$1:E1785))))))</f>
        <v/>
      </c>
      <c r="K1786" s="15" t="str">
        <f aca="false">IF(OR(E1786="",E1786="!!!",F1786="NEW"),"",INDEX(J$1:J1785,SUMPRODUCT(MAX(ROW(E$1:E1785)*(E1786=E$1:E1785)))))</f>
        <v/>
      </c>
      <c r="L1786" s="16"/>
    </row>
    <row r="1787" customFormat="false" ht="12.8" hidden="false" customHeight="false" outlineLevel="0" collapsed="false">
      <c r="A1787" s="0" t="s">
        <v>816</v>
      </c>
      <c r="E1787" s="10" t="str">
        <f aca="false">IF(D1787="?OLD","!!!","")</f>
        <v/>
      </c>
      <c r="F1787" s="11" t="str">
        <f aca="false">IF(OR(E1787="",E1787="!!!"),"",IF(NOT(ISNA(VLOOKUP(E1787,E$1:E1786,1,FALSE()))),"OLD",IF(AND(E1787&lt;&gt;"",E1787&lt;&gt;"!!!"),"NEW","")))</f>
        <v/>
      </c>
      <c r="G1787" s="12" t="str">
        <f aca="false">IF(OR(E1787="",E1787="!!!"),"",IF(OR(J1787=0,AND(J1787=1,K1787=1),AND(J1787=1,I1787="SBJ"),AND(J1787=1,I1787=0)),"?IN_FOCUS",IF(J1787&lt;=2,"?ACTIVATED",IF(J1787&lt;&gt;"","?FAMILIAR",IF(F1787="NEW",IF(ISNA(VLOOKUP(E1787,#REF!,1,FALSE())),"?TYPE_IDENTIFIABLE","?REFERENTIAL"),"_")))))</f>
        <v/>
      </c>
      <c r="H1787" s="13" t="str">
        <f aca="false">IF(J1787&lt;&gt;1,"",IF(I1787="SBJ","CB","?"))</f>
        <v/>
      </c>
      <c r="I1787" s="14" t="str">
        <f aca="false">IF(OR(E1787="",E1787="!!!",F1787="NEW"),"",INDEX(B$2:B1786,-1+SUMPRODUCT(MAX(ROW(E$2:E1786)*(E1787=E$2:E1786)))))</f>
        <v/>
      </c>
      <c r="J1787" s="15" t="str">
        <f aca="true">IF(OR(E1787="",E1787="!!!",F1787="NEW"),"",COUNTBLANK(OFFSET(A$1,,,SUMPRODUCT(MAX(ROW(E$2:E1787)*(E1787=E$2:E1787)))))-COUNTBLANK(OFFSET(A$1,,,SUMPRODUCT(MAX(ROW(E$1:E1786)*(E1787=E$1:E1786))))))</f>
        <v/>
      </c>
      <c r="K1787" s="15" t="str">
        <f aca="false">IF(OR(E1787="",E1787="!!!",F1787="NEW"),"",INDEX(J$1:J1786,SUMPRODUCT(MAX(ROW(E$1:E1786)*(E1787=E$1:E1786)))))</f>
        <v/>
      </c>
      <c r="L1787" s="16"/>
    </row>
    <row r="1788" customFormat="false" ht="12.8" hidden="false" customHeight="false" outlineLevel="0" collapsed="false">
      <c r="A1788" s="0" t="s">
        <v>62</v>
      </c>
      <c r="E1788" s="10" t="str">
        <f aca="false">IF(D1788="?OLD","!!!","")</f>
        <v/>
      </c>
      <c r="F1788" s="11" t="str">
        <f aca="false">IF(OR(E1788="",E1788="!!!"),"",IF(NOT(ISNA(VLOOKUP(E1788,E$1:E1787,1,FALSE()))),"OLD",IF(AND(E1788&lt;&gt;"",E1788&lt;&gt;"!!!"),"NEW","")))</f>
        <v/>
      </c>
      <c r="G1788" s="12" t="str">
        <f aca="false">IF(OR(E1788="",E1788="!!!"),"",IF(OR(J1788=0,AND(J1788=1,K1788=1),AND(J1788=1,I1788="SBJ"),AND(J1788=1,I1788=0)),"?IN_FOCUS",IF(J1788&lt;=2,"?ACTIVATED",IF(J1788&lt;&gt;"","?FAMILIAR",IF(F1788="NEW",IF(ISNA(VLOOKUP(E1788,#REF!,1,FALSE())),"?TYPE_IDENTIFIABLE","?REFERENTIAL"),"_")))))</f>
        <v/>
      </c>
      <c r="H1788" s="13" t="str">
        <f aca="false">IF(J1788&lt;&gt;1,"",IF(I1788="SBJ","CB","?"))</f>
        <v/>
      </c>
      <c r="I1788" s="14" t="str">
        <f aca="false">IF(OR(E1788="",E1788="!!!",F1788="NEW"),"",INDEX(B$2:B1787,-1+SUMPRODUCT(MAX(ROW(E$2:E1787)*(E1788=E$2:E1787)))))</f>
        <v/>
      </c>
      <c r="J1788" s="15" t="str">
        <f aca="true">IF(OR(E1788="",E1788="!!!",F1788="NEW"),"",COUNTBLANK(OFFSET(A$1,,,SUMPRODUCT(MAX(ROW(E$2:E1788)*(E1788=E$2:E1788)))))-COUNTBLANK(OFFSET(A$1,,,SUMPRODUCT(MAX(ROW(E$1:E1787)*(E1788=E$1:E1787))))))</f>
        <v/>
      </c>
      <c r="K1788" s="15" t="str">
        <f aca="false">IF(OR(E1788="",E1788="!!!",F1788="NEW"),"",INDEX(J$1:J1787,SUMPRODUCT(MAX(ROW(E$1:E1787)*(E1788=E$1:E1787)))))</f>
        <v/>
      </c>
      <c r="L1788" s="16"/>
    </row>
    <row r="1789" customFormat="false" ht="12.8" hidden="false" customHeight="false" outlineLevel="0" collapsed="false">
      <c r="A1789" s="0" t="s">
        <v>817</v>
      </c>
      <c r="B1789" s="0" t="s">
        <v>358</v>
      </c>
      <c r="C1789" s="0" t="s">
        <v>27</v>
      </c>
      <c r="D1789" s="0" t="s">
        <v>20</v>
      </c>
      <c r="E1789" s="10"/>
      <c r="F1789" s="11" t="s">
        <v>86</v>
      </c>
      <c r="G1789" s="12" t="str">
        <f aca="false">IF(OR(E1789="",E1789="!!!"),"",IF(OR(J1789=0,AND(J1789=1,K1789=1),AND(J1789=1,I1789="SBJ"),AND(J1789=1,I1789=0)),"?IN_FOCUS",IF(J1789&lt;=2,"?ACTIVATED",IF(J1789&lt;&gt;"","?FAMILIAR",IF(F1789="NEW",IF(ISNA(VLOOKUP(E1789,#REF!,1,FALSE())),"?TYPE_IDENTIFIABLE","?REFERENTIAL"),"_")))))</f>
        <v/>
      </c>
      <c r="H1789" s="13" t="str">
        <f aca="false">IF(J1789&lt;&gt;1,"",IF(I1789="SBJ","CB","?"))</f>
        <v/>
      </c>
      <c r="I1789" s="14" t="str">
        <f aca="false">IF(OR(E1789="",E1789="!!!",F1789="NEW"),"",INDEX(B$2:B1788,-1+SUMPRODUCT(MAX(ROW(E$2:E1788)*(E1789=E$2:E1788)))))</f>
        <v/>
      </c>
      <c r="J1789" s="15" t="str">
        <f aca="true">IF(OR(E1789="",E1789="!!!",F1789="NEW"),"",COUNTBLANK(OFFSET(A$1,,,SUMPRODUCT(MAX(ROW(E$2:E1789)*(E1789=E$2:E1789)))))-COUNTBLANK(OFFSET(A$1,,,SUMPRODUCT(MAX(ROW(E$1:E1788)*(E1789=E$1:E1788))))))</f>
        <v/>
      </c>
      <c r="K1789" s="15" t="str">
        <f aca="false">IF(OR(E1789="",E1789="!!!",F1789="NEW"),"",INDEX(J$1:J1788,SUMPRODUCT(MAX(ROW(E$1:E1788)*(E1789=E$1:E1788)))))</f>
        <v/>
      </c>
      <c r="L1789" s="16"/>
    </row>
    <row r="1790" customFormat="false" ht="12.8" hidden="false" customHeight="false" outlineLevel="0" collapsed="false">
      <c r="A1790" s="0" t="s">
        <v>191</v>
      </c>
      <c r="E1790" s="10" t="str">
        <f aca="false">IF(D1790="?OLD","!!!","")</f>
        <v/>
      </c>
      <c r="F1790" s="11" t="str">
        <f aca="false">IF(OR(E1790="",E1790="!!!"),"",IF(NOT(ISNA(VLOOKUP(E1790,E$1:E1789,1,FALSE()))),"OLD",IF(AND(E1790&lt;&gt;"",E1790&lt;&gt;"!!!"),"NEW","")))</f>
        <v/>
      </c>
      <c r="G1790" s="12" t="str">
        <f aca="false">IF(OR(E1790="",E1790="!!!"),"",IF(OR(J1790=0,AND(J1790=1,K1790=1),AND(J1790=1,I1790="SBJ"),AND(J1790=1,I1790=0)),"?IN_FOCUS",IF(J1790&lt;=2,"?ACTIVATED",IF(J1790&lt;&gt;"","?FAMILIAR",IF(F1790="NEW",IF(ISNA(VLOOKUP(E1790,#REF!,1,FALSE())),"?TYPE_IDENTIFIABLE","?REFERENTIAL"),"_")))))</f>
        <v/>
      </c>
      <c r="H1790" s="13" t="str">
        <f aca="false">IF(J1790&lt;&gt;1,"",IF(I1790="SBJ","CB","?"))</f>
        <v/>
      </c>
      <c r="I1790" s="14" t="str">
        <f aca="false">IF(OR(E1790="",E1790="!!!",F1790="NEW"),"",INDEX(B$2:B1789,-1+SUMPRODUCT(MAX(ROW(E$2:E1789)*(E1790=E$2:E1789)))))</f>
        <v/>
      </c>
      <c r="J1790" s="15" t="str">
        <f aca="true">IF(OR(E1790="",E1790="!!!",F1790="NEW"),"",COUNTBLANK(OFFSET(A$1,,,SUMPRODUCT(MAX(ROW(E$2:E1790)*(E1790=E$2:E1790)))))-COUNTBLANK(OFFSET(A$1,,,SUMPRODUCT(MAX(ROW(E$1:E1789)*(E1790=E$1:E1789))))))</f>
        <v/>
      </c>
      <c r="K1790" s="15" t="str">
        <f aca="false">IF(OR(E1790="",E1790="!!!",F1790="NEW"),"",INDEX(J$1:J1789,SUMPRODUCT(MAX(ROW(E$1:E1789)*(E1790=E$1:E1789)))))</f>
        <v/>
      </c>
      <c r="L1790" s="16"/>
    </row>
    <row r="1791" customFormat="false" ht="12.8" hidden="false" customHeight="false" outlineLevel="0" collapsed="false">
      <c r="A1791" s="0" t="s">
        <v>818</v>
      </c>
      <c r="E1791" s="10" t="str">
        <f aca="false">IF(D1791="?OLD","!!!","")</f>
        <v/>
      </c>
      <c r="F1791" s="11" t="str">
        <f aca="false">IF(OR(E1791="",E1791="!!!"),"",IF(NOT(ISNA(VLOOKUP(E1791,E$1:E1790,1,FALSE()))),"OLD",IF(AND(E1791&lt;&gt;"",E1791&lt;&gt;"!!!"),"NEW","")))</f>
        <v/>
      </c>
      <c r="G1791" s="12" t="str">
        <f aca="false">IF(OR(E1791="",E1791="!!!"),"",IF(OR(J1791=0,AND(J1791=1,K1791=1),AND(J1791=1,I1791="SBJ"),AND(J1791=1,I1791=0)),"?IN_FOCUS",IF(J1791&lt;=2,"?ACTIVATED",IF(J1791&lt;&gt;"","?FAMILIAR",IF(F1791="NEW",IF(ISNA(VLOOKUP(E1791,#REF!,1,FALSE())),"?TYPE_IDENTIFIABLE","?REFERENTIAL"),"_")))))</f>
        <v/>
      </c>
      <c r="H1791" s="13" t="str">
        <f aca="false">IF(J1791&lt;&gt;1,"",IF(I1791="SBJ","CB","?"))</f>
        <v/>
      </c>
      <c r="I1791" s="14" t="str">
        <f aca="false">IF(OR(E1791="",E1791="!!!",F1791="NEW"),"",INDEX(B$2:B1790,-1+SUMPRODUCT(MAX(ROW(E$2:E1790)*(E1791=E$2:E1790)))))</f>
        <v/>
      </c>
      <c r="J1791" s="15" t="str">
        <f aca="true">IF(OR(E1791="",E1791="!!!",F1791="NEW"),"",COUNTBLANK(OFFSET(A$1,,,SUMPRODUCT(MAX(ROW(E$2:E1791)*(E1791=E$2:E1791)))))-COUNTBLANK(OFFSET(A$1,,,SUMPRODUCT(MAX(ROW(E$1:E1790)*(E1791=E$1:E1790))))))</f>
        <v/>
      </c>
      <c r="K1791" s="15" t="str">
        <f aca="false">IF(OR(E1791="",E1791="!!!",F1791="NEW"),"",INDEX(J$1:J1790,SUMPRODUCT(MAX(ROW(E$1:E1790)*(E1791=E$1:E1790)))))</f>
        <v/>
      </c>
      <c r="L1791" s="16"/>
    </row>
    <row r="1792" customFormat="false" ht="12.8" hidden="false" customHeight="false" outlineLevel="0" collapsed="false">
      <c r="A1792" s="0" t="s">
        <v>103</v>
      </c>
      <c r="E1792" s="10" t="str">
        <f aca="false">IF(D1792="?OLD","!!!","")</f>
        <v/>
      </c>
      <c r="F1792" s="11" t="str">
        <f aca="false">IF(OR(E1792="",E1792="!!!"),"",IF(NOT(ISNA(VLOOKUP(E1792,E$1:E1791,1,FALSE()))),"OLD",IF(AND(E1792&lt;&gt;"",E1792&lt;&gt;"!!!"),"NEW","")))</f>
        <v/>
      </c>
      <c r="G1792" s="12" t="str">
        <f aca="false">IF(OR(E1792="",E1792="!!!"),"",IF(OR(J1792=0,AND(J1792=1,K1792=1),AND(J1792=1,I1792="SBJ"),AND(J1792=1,I1792=0)),"?IN_FOCUS",IF(J1792&lt;=2,"?ACTIVATED",IF(J1792&lt;&gt;"","?FAMILIAR",IF(F1792="NEW",IF(ISNA(VLOOKUP(E1792,#REF!,1,FALSE())),"?TYPE_IDENTIFIABLE","?REFERENTIAL"),"_")))))</f>
        <v/>
      </c>
      <c r="H1792" s="13" t="str">
        <f aca="false">IF(J1792&lt;&gt;1,"",IF(I1792="SBJ","CB","?"))</f>
        <v/>
      </c>
      <c r="I1792" s="14" t="str">
        <f aca="false">IF(OR(E1792="",E1792="!!!",F1792="NEW"),"",INDEX(B$2:B1791,-1+SUMPRODUCT(MAX(ROW(E$2:E1791)*(E1792=E$2:E1791)))))</f>
        <v/>
      </c>
      <c r="J1792" s="15" t="str">
        <f aca="true">IF(OR(E1792="",E1792="!!!",F1792="NEW"),"",COUNTBLANK(OFFSET(A$1,,,SUMPRODUCT(MAX(ROW(E$2:E1792)*(E1792=E$2:E1792)))))-COUNTBLANK(OFFSET(A$1,,,SUMPRODUCT(MAX(ROW(E$1:E1791)*(E1792=E$1:E1791))))))</f>
        <v/>
      </c>
      <c r="K1792" s="15" t="str">
        <f aca="false">IF(OR(E1792="",E1792="!!!",F1792="NEW"),"",INDEX(J$1:J1791,SUMPRODUCT(MAX(ROW(E$1:E1791)*(E1792=E$1:E1791)))))</f>
        <v/>
      </c>
      <c r="L1792" s="16"/>
    </row>
    <row r="1793" customFormat="false" ht="12.8" hidden="false" customHeight="false" outlineLevel="0" collapsed="false">
      <c r="A1793" s="0" t="s">
        <v>806</v>
      </c>
      <c r="B1793" s="0" t="s">
        <v>819</v>
      </c>
      <c r="C1793" s="0" t="s">
        <v>104</v>
      </c>
      <c r="D1793" s="0" t="s">
        <v>20</v>
      </c>
      <c r="E1793" s="10" t="s">
        <v>92</v>
      </c>
      <c r="F1793" s="11" t="str">
        <f aca="false">IF(OR(E1793="",E1793="!!!"),"",IF(NOT(ISNA(VLOOKUP(E1793,E$1:E1792,1,FALSE()))),"OLD",IF(AND(E1793&lt;&gt;"",E1793&lt;&gt;"!!!"),"NEW","")))</f>
        <v>OLD</v>
      </c>
      <c r="G1793" s="12" t="s">
        <v>80</v>
      </c>
      <c r="H1793" s="13" t="s">
        <v>7</v>
      </c>
      <c r="I1793" s="14" t="str">
        <f aca="false">IF(OR(E1793="",E1793="!!!",F1793="NEW"),"",INDEX(B$2:B1792,-1+SUMPRODUCT(MAX(ROW(E$2:E1792)*(E1793=E$2:E1792)))))</f>
        <v>other_2</v>
      </c>
      <c r="J1793" s="15" t="n">
        <f aca="true">IF(OR(E1793="",E1793="!!!",F1793="NEW"),"",COUNTBLANK(OFFSET(A$1,,,SUMPRODUCT(MAX(ROW(E$2:E1793)*(E1793=E$2:E1793)))))-COUNTBLANK(OFFSET(A$1,,,SUMPRODUCT(MAX(ROW(E$1:E1792)*(E1793=E$1:E1792))))))</f>
        <v>1</v>
      </c>
      <c r="K1793" s="15" t="n">
        <f aca="false">IF(OR(E1793="",E1793="!!!",F1793="NEW"),"",INDEX(J$1:J1792,SUMPRODUCT(MAX(ROW(E$1:E1792)*(E1793=E$1:E1792)))))</f>
        <v>87</v>
      </c>
      <c r="L1793" s="16"/>
    </row>
    <row r="1794" customFormat="false" ht="12.8" hidden="false" customHeight="false" outlineLevel="0" collapsed="false">
      <c r="A1794" s="0" t="s">
        <v>397</v>
      </c>
      <c r="E1794" s="10" t="str">
        <f aca="false">IF(D1794="?OLD","!!!","")</f>
        <v/>
      </c>
      <c r="F1794" s="11" t="str">
        <f aca="false">IF(OR(E1794="",E1794="!!!"),"",IF(NOT(ISNA(VLOOKUP(E1794,E$1:E1793,1,FALSE()))),"OLD",IF(AND(E1794&lt;&gt;"",E1794&lt;&gt;"!!!"),"NEW","")))</f>
        <v/>
      </c>
      <c r="G1794" s="12" t="str">
        <f aca="false">IF(OR(E1794="",E1794="!!!"),"",IF(OR(J1794=0,AND(J1794=1,K1794=1),AND(J1794=1,I1794="SBJ"),AND(J1794=1,I1794=0)),"?IN_FOCUS",IF(J1794&lt;=2,"?ACTIVATED",IF(J1794&lt;&gt;"","?FAMILIAR",IF(F1794="NEW",IF(ISNA(VLOOKUP(E1794,#REF!,1,FALSE())),"?TYPE_IDENTIFIABLE","?REFERENTIAL"),"_")))))</f>
        <v/>
      </c>
      <c r="H1794" s="13" t="str">
        <f aca="false">IF(J1794&lt;&gt;1,"",IF(I1794="SBJ","CB","?"))</f>
        <v/>
      </c>
      <c r="I1794" s="14" t="str">
        <f aca="false">IF(OR(E1794="",E1794="!!!",F1794="NEW"),"",INDEX(B$2:B1793,-1+SUMPRODUCT(MAX(ROW(E$2:E1793)*(E1794=E$2:E1793)))))</f>
        <v/>
      </c>
      <c r="J1794" s="15" t="str">
        <f aca="true">IF(OR(E1794="",E1794="!!!",F1794="NEW"),"",COUNTBLANK(OFFSET(A$1,,,SUMPRODUCT(MAX(ROW(E$2:E1794)*(E1794=E$2:E1794)))))-COUNTBLANK(OFFSET(A$1,,,SUMPRODUCT(MAX(ROW(E$1:E1793)*(E1794=E$1:E1793))))))</f>
        <v/>
      </c>
      <c r="K1794" s="15" t="str">
        <f aca="false">IF(OR(E1794="",E1794="!!!",F1794="NEW"),"",INDEX(J$1:J1793,SUMPRODUCT(MAX(ROW(E$1:E1793)*(E1794=E$1:E1793)))))</f>
        <v/>
      </c>
      <c r="L1794" s="16"/>
    </row>
    <row r="1795" customFormat="false" ht="12.8" hidden="false" customHeight="false" outlineLevel="0" collapsed="false">
      <c r="A1795" s="0" t="s">
        <v>191</v>
      </c>
      <c r="E1795" s="10" t="str">
        <f aca="false">IF(D1795="?OLD","!!!","")</f>
        <v/>
      </c>
      <c r="F1795" s="11" t="str">
        <f aca="false">IF(OR(E1795="",E1795="!!!"),"",IF(NOT(ISNA(VLOOKUP(E1795,E$1:E1794,1,FALSE()))),"OLD",IF(AND(E1795&lt;&gt;"",E1795&lt;&gt;"!!!"),"NEW","")))</f>
        <v/>
      </c>
      <c r="G1795" s="12" t="str">
        <f aca="false">IF(OR(E1795="",E1795="!!!"),"",IF(OR(J1795=0,AND(J1795=1,K1795=1),AND(J1795=1,I1795="SBJ"),AND(J1795=1,I1795=0)),"?IN_FOCUS",IF(J1795&lt;=2,"?ACTIVATED",IF(J1795&lt;&gt;"","?FAMILIAR",IF(F1795="NEW",IF(ISNA(VLOOKUP(E1795,#REF!,1,FALSE())),"?TYPE_IDENTIFIABLE","?REFERENTIAL"),"_")))))</f>
        <v/>
      </c>
      <c r="H1795" s="13" t="str">
        <f aca="false">IF(J1795&lt;&gt;1,"",IF(I1795="SBJ","CB","?"))</f>
        <v/>
      </c>
      <c r="I1795" s="14" t="str">
        <f aca="false">IF(OR(E1795="",E1795="!!!",F1795="NEW"),"",INDEX(B$2:B1794,-1+SUMPRODUCT(MAX(ROW(E$2:E1794)*(E1795=E$2:E1794)))))</f>
        <v/>
      </c>
      <c r="J1795" s="15" t="str">
        <f aca="true">IF(OR(E1795="",E1795="!!!",F1795="NEW"),"",COUNTBLANK(OFFSET(A$1,,,SUMPRODUCT(MAX(ROW(E$2:E1795)*(E1795=E$2:E1795)))))-COUNTBLANK(OFFSET(A$1,,,SUMPRODUCT(MAX(ROW(E$1:E1794)*(E1795=E$1:E1794))))))</f>
        <v/>
      </c>
      <c r="K1795" s="15" t="str">
        <f aca="false">IF(OR(E1795="",E1795="!!!",F1795="NEW"),"",INDEX(J$1:J1794,SUMPRODUCT(MAX(ROW(E$1:E1794)*(E1795=E$1:E1794)))))</f>
        <v/>
      </c>
      <c r="L1795" s="16"/>
    </row>
    <row r="1796" customFormat="false" ht="12.8" hidden="false" customHeight="false" outlineLevel="0" collapsed="false">
      <c r="A1796" s="0" t="s">
        <v>820</v>
      </c>
      <c r="E1796" s="10" t="str">
        <f aca="false">IF(D1796="?OLD","!!!","")</f>
        <v/>
      </c>
      <c r="F1796" s="11" t="str">
        <f aca="false">IF(OR(E1796="",E1796="!!!"),"",IF(NOT(ISNA(VLOOKUP(E1796,E$1:E1795,1,FALSE()))),"OLD",IF(AND(E1796&lt;&gt;"",E1796&lt;&gt;"!!!"),"NEW","")))</f>
        <v/>
      </c>
      <c r="G1796" s="12" t="str">
        <f aca="false">IF(OR(E1796="",E1796="!!!"),"",IF(OR(J1796=0,AND(J1796=1,K1796=1),AND(J1796=1,I1796="SBJ"),AND(J1796=1,I1796=0)),"?IN_FOCUS",IF(J1796&lt;=2,"?ACTIVATED",IF(J1796&lt;&gt;"","?FAMILIAR",IF(F1796="NEW",IF(ISNA(VLOOKUP(E1796,#REF!,1,FALSE())),"?TYPE_IDENTIFIABLE","?REFERENTIAL"),"_")))))</f>
        <v/>
      </c>
      <c r="H1796" s="13" t="str">
        <f aca="false">IF(J1796&lt;&gt;1,"",IF(I1796="SBJ","CB","?"))</f>
        <v/>
      </c>
      <c r="I1796" s="14" t="str">
        <f aca="false">IF(OR(E1796="",E1796="!!!",F1796="NEW"),"",INDEX(B$2:B1795,-1+SUMPRODUCT(MAX(ROW(E$2:E1795)*(E1796=E$2:E1795)))))</f>
        <v/>
      </c>
      <c r="J1796" s="15" t="str">
        <f aca="true">IF(OR(E1796="",E1796="!!!",F1796="NEW"),"",COUNTBLANK(OFFSET(A$1,,,SUMPRODUCT(MAX(ROW(E$2:E1796)*(E1796=E$2:E1796)))))-COUNTBLANK(OFFSET(A$1,,,SUMPRODUCT(MAX(ROW(E$1:E1795)*(E1796=E$1:E1795))))))</f>
        <v/>
      </c>
      <c r="K1796" s="15" t="str">
        <f aca="false">IF(OR(E1796="",E1796="!!!",F1796="NEW"),"",INDEX(J$1:J1795,SUMPRODUCT(MAX(ROW(E$1:E1795)*(E1796=E$1:E1795)))))</f>
        <v/>
      </c>
      <c r="L1796" s="16"/>
    </row>
    <row r="1797" customFormat="false" ht="12.8" hidden="false" customHeight="false" outlineLevel="0" collapsed="false">
      <c r="A1797" s="0" t="s">
        <v>219</v>
      </c>
      <c r="E1797" s="10" t="str">
        <f aca="false">IF(D1797="?OLD","!!!","")</f>
        <v/>
      </c>
      <c r="F1797" s="11" t="str">
        <f aca="false">IF(OR(E1797="",E1797="!!!"),"",IF(NOT(ISNA(VLOOKUP(E1797,E$1:E1796,1,FALSE()))),"OLD",IF(AND(E1797&lt;&gt;"",E1797&lt;&gt;"!!!"),"NEW","")))</f>
        <v/>
      </c>
      <c r="G1797" s="12" t="str">
        <f aca="false">IF(OR(E1797="",E1797="!!!"),"",IF(OR(J1797=0,AND(J1797=1,K1797=1),AND(J1797=1,I1797="SBJ"),AND(J1797=1,I1797=0)),"?IN_FOCUS",IF(J1797&lt;=2,"?ACTIVATED",IF(J1797&lt;&gt;"","?FAMILIAR",IF(F1797="NEW",IF(ISNA(VLOOKUP(E1797,#REF!,1,FALSE())),"?TYPE_IDENTIFIABLE","?REFERENTIAL"),"_")))))</f>
        <v/>
      </c>
      <c r="H1797" s="13" t="str">
        <f aca="false">IF(J1797&lt;&gt;1,"",IF(I1797="SBJ","CB","?"))</f>
        <v/>
      </c>
      <c r="I1797" s="14" t="str">
        <f aca="false">IF(OR(E1797="",E1797="!!!",F1797="NEW"),"",INDEX(B$2:B1796,-1+SUMPRODUCT(MAX(ROW(E$2:E1796)*(E1797=E$2:E1796)))))</f>
        <v/>
      </c>
      <c r="J1797" s="15" t="str">
        <f aca="true">IF(OR(E1797="",E1797="!!!",F1797="NEW"),"",COUNTBLANK(OFFSET(A$1,,,SUMPRODUCT(MAX(ROW(E$2:E1797)*(E1797=E$2:E1797)))))-COUNTBLANK(OFFSET(A$1,,,SUMPRODUCT(MAX(ROW(E$1:E1796)*(E1797=E$1:E1796))))))</f>
        <v/>
      </c>
      <c r="K1797" s="15" t="str">
        <f aca="false">IF(OR(E1797="",E1797="!!!",F1797="NEW"),"",INDEX(J$1:J1796,SUMPRODUCT(MAX(ROW(E$1:E1796)*(E1797=E$1:E1796)))))</f>
        <v/>
      </c>
      <c r="L1797" s="16"/>
    </row>
    <row r="1798" customFormat="false" ht="12.8" hidden="false" customHeight="false" outlineLevel="0" collapsed="false">
      <c r="A1798" s="0" t="s">
        <v>821</v>
      </c>
      <c r="E1798" s="10" t="str">
        <f aca="false">IF(D1798="?OLD","!!!","")</f>
        <v/>
      </c>
      <c r="F1798" s="11" t="str">
        <f aca="false">IF(OR(E1798="",E1798="!!!"),"",IF(NOT(ISNA(VLOOKUP(E1798,E$1:E1797,1,FALSE()))),"OLD",IF(AND(E1798&lt;&gt;"",E1798&lt;&gt;"!!!"),"NEW","")))</f>
        <v/>
      </c>
      <c r="G1798" s="12" t="str">
        <f aca="false">IF(OR(E1798="",E1798="!!!"),"",IF(OR(J1798=0,AND(J1798=1,K1798=1),AND(J1798=1,I1798="SBJ"),AND(J1798=1,I1798=0)),"?IN_FOCUS",IF(J1798&lt;=2,"?ACTIVATED",IF(J1798&lt;&gt;"","?FAMILIAR",IF(F1798="NEW",IF(ISNA(VLOOKUP(E1798,#REF!,1,FALSE())),"?TYPE_IDENTIFIABLE","?REFERENTIAL"),"_")))))</f>
        <v/>
      </c>
      <c r="H1798" s="13" t="str">
        <f aca="false">IF(J1798&lt;&gt;1,"",IF(I1798="SBJ","CB","?"))</f>
        <v/>
      </c>
      <c r="I1798" s="14" t="str">
        <f aca="false">IF(OR(E1798="",E1798="!!!",F1798="NEW"),"",INDEX(B$2:B1797,-1+SUMPRODUCT(MAX(ROW(E$2:E1797)*(E1798=E$2:E1797)))))</f>
        <v/>
      </c>
      <c r="J1798" s="15" t="str">
        <f aca="true">IF(OR(E1798="",E1798="!!!",F1798="NEW"),"",COUNTBLANK(OFFSET(A$1,,,SUMPRODUCT(MAX(ROW(E$2:E1798)*(E1798=E$2:E1798)))))-COUNTBLANK(OFFSET(A$1,,,SUMPRODUCT(MAX(ROW(E$1:E1797)*(E1798=E$1:E1797))))))</f>
        <v/>
      </c>
      <c r="K1798" s="15" t="str">
        <f aca="false">IF(OR(E1798="",E1798="!!!",F1798="NEW"),"",INDEX(J$1:J1797,SUMPRODUCT(MAX(ROW(E$1:E1797)*(E1798=E$1:E1797)))))</f>
        <v/>
      </c>
      <c r="L1798" s="16"/>
    </row>
    <row r="1799" customFormat="false" ht="12.8" hidden="false" customHeight="false" outlineLevel="0" collapsed="false">
      <c r="A1799" s="0" t="s">
        <v>228</v>
      </c>
      <c r="B1799" s="0" t="s">
        <v>822</v>
      </c>
      <c r="C1799" s="0" t="s">
        <v>48</v>
      </c>
      <c r="D1799" s="0" t="s">
        <v>20</v>
      </c>
      <c r="E1799" s="10" t="s">
        <v>92</v>
      </c>
      <c r="F1799" s="11" t="str">
        <f aca="false">IF(OR(E1799="",E1799="!!!"),"",IF(NOT(ISNA(VLOOKUP(E1799,E$1:E1798,1,FALSE()))),"OLD",IF(AND(E1799&lt;&gt;"",E1799&lt;&gt;"!!!"),"NEW","")))</f>
        <v>OLD</v>
      </c>
      <c r="G1799" s="12" t="s">
        <v>87</v>
      </c>
      <c r="H1799" s="13" t="str">
        <f aca="false">IF(J1799&lt;&gt;1,"",IF(I1799="SBJ","CB","?"))</f>
        <v/>
      </c>
      <c r="I1799" s="14" t="str">
        <f aca="false">IF(OR(E1799="",E1799="!!!",F1799="NEW"),"",INDEX(B$2:B1798,-1+SUMPRODUCT(MAX(ROW(E$2:E1798)*(E1799=E$2:E1798)))))</f>
        <v>OBJ_7</v>
      </c>
      <c r="J1799" s="15" t="n">
        <f aca="true">IF(OR(E1799="",E1799="!!!",F1799="NEW"),"",COUNTBLANK(OFFSET(A$1,,,SUMPRODUCT(MAX(ROW(E$2:E1799)*(E1799=E$2:E1799)))))-COUNTBLANK(OFFSET(A$1,,,SUMPRODUCT(MAX(ROW(E$1:E1798)*(E1799=E$1:E1798))))))</f>
        <v>0</v>
      </c>
      <c r="K1799" s="15" t="n">
        <f aca="false">IF(OR(E1799="",E1799="!!!",F1799="NEW"),"",INDEX(J$1:J1798,SUMPRODUCT(MAX(ROW(E$1:E1798)*(E1799=E$1:E1798)))))</f>
        <v>1</v>
      </c>
      <c r="L1799" s="16"/>
    </row>
    <row r="1800" customFormat="false" ht="12.8" hidden="false" customHeight="false" outlineLevel="0" collapsed="false">
      <c r="A1800" s="0" t="s">
        <v>370</v>
      </c>
      <c r="E1800" s="10" t="str">
        <f aca="false">IF(D1800="?OLD","!!!","")</f>
        <v/>
      </c>
      <c r="F1800" s="11" t="str">
        <f aca="false">IF(OR(E1800="",E1800="!!!"),"",IF(NOT(ISNA(VLOOKUP(E1800,E$1:E1799,1,FALSE()))),"OLD",IF(AND(E1800&lt;&gt;"",E1800&lt;&gt;"!!!"),"NEW","")))</f>
        <v/>
      </c>
      <c r="G1800" s="12" t="str">
        <f aca="false">IF(OR(E1800="",E1800="!!!"),"",IF(OR(J1800=0,AND(J1800=1,K1800=1),AND(J1800=1,I1800="SBJ"),AND(J1800=1,I1800=0)),"?IN_FOCUS",IF(J1800&lt;=2,"?ACTIVATED",IF(J1800&lt;&gt;"","?FAMILIAR",IF(F1800="NEW",IF(ISNA(VLOOKUP(E1800,#REF!,1,FALSE())),"?TYPE_IDENTIFIABLE","?REFERENTIAL"),"_")))))</f>
        <v/>
      </c>
      <c r="H1800" s="13" t="str">
        <f aca="false">IF(J1800&lt;&gt;1,"",IF(I1800="SBJ","CB","?"))</f>
        <v/>
      </c>
      <c r="I1800" s="14" t="str">
        <f aca="false">IF(OR(E1800="",E1800="!!!",F1800="NEW"),"",INDEX(B$2:B1799,-1+SUMPRODUCT(MAX(ROW(E$2:E1799)*(E1800=E$2:E1799)))))</f>
        <v/>
      </c>
      <c r="J1800" s="15" t="str">
        <f aca="true">IF(OR(E1800="",E1800="!!!",F1800="NEW"),"",COUNTBLANK(OFFSET(A$1,,,SUMPRODUCT(MAX(ROW(E$2:E1800)*(E1800=E$2:E1800)))))-COUNTBLANK(OFFSET(A$1,,,SUMPRODUCT(MAX(ROW(E$1:E1799)*(E1800=E$1:E1799))))))</f>
        <v/>
      </c>
      <c r="K1800" s="15" t="str">
        <f aca="false">IF(OR(E1800="",E1800="!!!",F1800="NEW"),"",INDEX(J$1:J1799,SUMPRODUCT(MAX(ROW(E$1:E1799)*(E1800=E$1:E1799)))))</f>
        <v/>
      </c>
      <c r="L1800" s="16"/>
    </row>
    <row r="1801" customFormat="false" ht="12.8" hidden="false" customHeight="false" outlineLevel="0" collapsed="false">
      <c r="E1801" s="10" t="str">
        <f aca="false">IF(D1801="?OLD","!!!","")</f>
        <v/>
      </c>
      <c r="F1801" s="11" t="str">
        <f aca="false">IF(OR(E1801="",E1801="!!!"),"",IF(NOT(ISNA(VLOOKUP(E1801,E$1:E1800,1,FALSE()))),"OLD",IF(AND(E1801&lt;&gt;"",E1801&lt;&gt;"!!!"),"NEW","")))</f>
        <v/>
      </c>
      <c r="G1801" s="12" t="str">
        <f aca="false">IF(OR(E1801="",E1801="!!!"),"",IF(OR(J1801=0,AND(J1801=1,K1801=1),AND(J1801=1,I1801="SBJ"),AND(J1801=1,I1801=0)),"?IN_FOCUS",IF(J1801&lt;=2,"?ACTIVATED",IF(J1801&lt;&gt;"","?FAMILIAR",IF(F1801="NEW",IF(ISNA(VLOOKUP(E1801,#REF!,1,FALSE())),"?TYPE_IDENTIFIABLE","?REFERENTIAL"),"_")))))</f>
        <v/>
      </c>
      <c r="H1801" s="13" t="str">
        <f aca="false">IF(J1801&lt;&gt;1,"",IF(I1801="SBJ","CB","?"))</f>
        <v/>
      </c>
      <c r="I1801" s="14" t="str">
        <f aca="false">IF(OR(E1801="",E1801="!!!",F1801="NEW"),"",INDEX(B$2:B1800,-1+SUMPRODUCT(MAX(ROW(E$2:E1800)*(E1801=E$2:E1800)))))</f>
        <v/>
      </c>
      <c r="J1801" s="15" t="str">
        <f aca="true">IF(OR(E1801="",E1801="!!!",F1801="NEW"),"",COUNTBLANK(OFFSET(A$1,,,SUMPRODUCT(MAX(ROW(E$2:E1801)*(E1801=E$2:E1801)))))-COUNTBLANK(OFFSET(A$1,,,SUMPRODUCT(MAX(ROW(E$1:E1800)*(E1801=E$1:E1800))))))</f>
        <v/>
      </c>
      <c r="K1801" s="15" t="str">
        <f aca="false">IF(OR(E1801="",E1801="!!!",F1801="NEW"),"",INDEX(J$1:J1800,SUMPRODUCT(MAX(ROW(E$1:E1800)*(E1801=E$1:E1800)))))</f>
        <v/>
      </c>
      <c r="L1801" s="16"/>
    </row>
    <row r="1802" customFormat="false" ht="12.8" hidden="false" customHeight="false" outlineLevel="0" collapsed="false">
      <c r="A1802" s="0" t="s">
        <v>823</v>
      </c>
      <c r="E1802" s="10" t="str">
        <f aca="false">IF(D1802="?OLD","!!!","")</f>
        <v/>
      </c>
      <c r="F1802" s="11" t="str">
        <f aca="false">IF(OR(E1802="",E1802="!!!"),"",IF(NOT(ISNA(VLOOKUP(E1802,E$1:E1801,1,FALSE()))),"OLD",IF(AND(E1802&lt;&gt;"",E1802&lt;&gt;"!!!"),"NEW","")))</f>
        <v/>
      </c>
      <c r="G1802" s="12" t="str">
        <f aca="false">IF(OR(E1802="",E1802="!!!"),"",IF(OR(J1802=0,AND(J1802=1,K1802=1),AND(J1802=1,I1802="SBJ"),AND(J1802=1,I1802=0)),"?IN_FOCUS",IF(J1802&lt;=2,"?ACTIVATED",IF(J1802&lt;&gt;"","?FAMILIAR",IF(F1802="NEW",IF(ISNA(VLOOKUP(E1802,#REF!,1,FALSE())),"?TYPE_IDENTIFIABLE","?REFERENTIAL"),"_")))))</f>
        <v/>
      </c>
      <c r="H1802" s="13" t="str">
        <f aca="false">IF(J1802&lt;&gt;1,"",IF(I1802="SBJ","CB","?"))</f>
        <v/>
      </c>
      <c r="I1802" s="14" t="str">
        <f aca="false">IF(OR(E1802="",E1802="!!!",F1802="NEW"),"",INDEX(B$2:B1801,-1+SUMPRODUCT(MAX(ROW(E$2:E1801)*(E1802=E$2:E1801)))))</f>
        <v/>
      </c>
      <c r="J1802" s="15" t="str">
        <f aca="true">IF(OR(E1802="",E1802="!!!",F1802="NEW"),"",COUNTBLANK(OFFSET(A$1,,,SUMPRODUCT(MAX(ROW(E$2:E1802)*(E1802=E$2:E1802)))))-COUNTBLANK(OFFSET(A$1,,,SUMPRODUCT(MAX(ROW(E$1:E1801)*(E1802=E$1:E1801))))))</f>
        <v/>
      </c>
      <c r="K1802" s="15" t="str">
        <f aca="false">IF(OR(E1802="",E1802="!!!",F1802="NEW"),"",INDEX(J$1:J1801,SUMPRODUCT(MAX(ROW(E$1:E1801)*(E1802=E$1:E1801)))))</f>
        <v/>
      </c>
      <c r="L1802" s="16"/>
    </row>
    <row r="1803" customFormat="false" ht="12.8" hidden="false" customHeight="false" outlineLevel="0" collapsed="false">
      <c r="A1803" s="0" t="s">
        <v>813</v>
      </c>
      <c r="B1803" s="0" t="s">
        <v>170</v>
      </c>
      <c r="C1803" s="0" t="s">
        <v>172</v>
      </c>
      <c r="E1803" s="10" t="str">
        <f aca="false">IF(D1803="?OLD","!!!","")</f>
        <v/>
      </c>
      <c r="F1803" s="11" t="str">
        <f aca="false">IF(OR(E1803="",E1803="!!!"),"",IF(NOT(ISNA(VLOOKUP(E1803,E$1:E1802,1,FALSE()))),"OLD",IF(AND(E1803&lt;&gt;"",E1803&lt;&gt;"!!!"),"NEW","")))</f>
        <v/>
      </c>
      <c r="G1803" s="12" t="str">
        <f aca="false">IF(OR(E1803="",E1803="!!!"),"",IF(OR(J1803=0,AND(J1803=1,K1803=1),AND(J1803=1,I1803="SBJ"),AND(J1803=1,I1803=0)),"?IN_FOCUS",IF(J1803&lt;=2,"?ACTIVATED",IF(J1803&lt;&gt;"","?FAMILIAR",IF(F1803="NEW",IF(ISNA(VLOOKUP(E1803,#REF!,1,FALSE())),"?TYPE_IDENTIFIABLE","?REFERENTIAL"),"_")))))</f>
        <v/>
      </c>
      <c r="H1803" s="13" t="str">
        <f aca="false">IF(J1803&lt;&gt;1,"",IF(I1803="SBJ","CB","?"))</f>
        <v/>
      </c>
      <c r="I1803" s="14" t="str">
        <f aca="false">IF(OR(E1803="",E1803="!!!",F1803="NEW"),"",INDEX(B$2:B1802,-1+SUMPRODUCT(MAX(ROW(E$2:E1802)*(E1803=E$2:E1802)))))</f>
        <v/>
      </c>
      <c r="J1803" s="15" t="str">
        <f aca="true">IF(OR(E1803="",E1803="!!!",F1803="NEW"),"",COUNTBLANK(OFFSET(A$1,,,SUMPRODUCT(MAX(ROW(E$2:E1803)*(E1803=E$2:E1803)))))-COUNTBLANK(OFFSET(A$1,,,SUMPRODUCT(MAX(ROW(E$1:E1802)*(E1803=E$1:E1802))))))</f>
        <v/>
      </c>
      <c r="K1803" s="15" t="str">
        <f aca="false">IF(OR(E1803="",E1803="!!!",F1803="NEW"),"",INDEX(J$1:J1802,SUMPRODUCT(MAX(ROW(E$1:E1802)*(E1803=E$1:E1802)))))</f>
        <v/>
      </c>
      <c r="L1803" s="16"/>
    </row>
    <row r="1804" customFormat="false" ht="12.8" hidden="false" customHeight="false" outlineLevel="0" collapsed="false">
      <c r="A1804" s="0" t="s">
        <v>252</v>
      </c>
      <c r="E1804" s="10" t="str">
        <f aca="false">IF(D1804="?OLD","!!!","")</f>
        <v/>
      </c>
      <c r="F1804" s="11" t="str">
        <f aca="false">IF(OR(E1804="",E1804="!!!"),"",IF(NOT(ISNA(VLOOKUP(E1804,E$1:E1803,1,FALSE()))),"OLD",IF(AND(E1804&lt;&gt;"",E1804&lt;&gt;"!!!"),"NEW","")))</f>
        <v/>
      </c>
      <c r="G1804" s="12" t="str">
        <f aca="false">IF(OR(E1804="",E1804="!!!"),"",IF(OR(J1804=0,AND(J1804=1,K1804=1),AND(J1804=1,I1804="SBJ"),AND(J1804=1,I1804=0)),"?IN_FOCUS",IF(J1804&lt;=2,"?ACTIVATED",IF(J1804&lt;&gt;"","?FAMILIAR",IF(F1804="NEW",IF(ISNA(VLOOKUP(E1804,#REF!,1,FALSE())),"?TYPE_IDENTIFIABLE","?REFERENTIAL"),"_")))))</f>
        <v/>
      </c>
      <c r="H1804" s="13" t="str">
        <f aca="false">IF(J1804&lt;&gt;1,"",IF(I1804="SBJ","CB","?"))</f>
        <v/>
      </c>
      <c r="I1804" s="14" t="str">
        <f aca="false">IF(OR(E1804="",E1804="!!!",F1804="NEW"),"",INDEX(B$2:B1803,-1+SUMPRODUCT(MAX(ROW(E$2:E1803)*(E1804=E$2:E1803)))))</f>
        <v/>
      </c>
      <c r="J1804" s="15" t="str">
        <f aca="true">IF(OR(E1804="",E1804="!!!",F1804="NEW"),"",COUNTBLANK(OFFSET(A$1,,,SUMPRODUCT(MAX(ROW(E$2:E1804)*(E1804=E$2:E1804)))))-COUNTBLANK(OFFSET(A$1,,,SUMPRODUCT(MAX(ROW(E$1:E1803)*(E1804=E$1:E1803))))))</f>
        <v/>
      </c>
      <c r="K1804" s="15" t="str">
        <f aca="false">IF(OR(E1804="",E1804="!!!",F1804="NEW"),"",INDEX(J$1:J1803,SUMPRODUCT(MAX(ROW(E$1:E1803)*(E1804=E$1:E1803)))))</f>
        <v/>
      </c>
      <c r="L1804" s="16"/>
    </row>
    <row r="1805" customFormat="false" ht="12.8" hidden="false" customHeight="false" outlineLevel="0" collapsed="false">
      <c r="A1805" s="0" t="s">
        <v>161</v>
      </c>
      <c r="B1805" s="0" t="s">
        <v>47</v>
      </c>
      <c r="C1805" s="0" t="s">
        <v>48</v>
      </c>
      <c r="D1805" s="0" t="s">
        <v>20</v>
      </c>
      <c r="E1805" s="10" t="s">
        <v>161</v>
      </c>
      <c r="F1805" s="11" t="str">
        <f aca="false">IF(OR(E1805="",E1805="!!!"),"",IF(NOT(ISNA(VLOOKUP(E1805,E$1:E1804,1,FALSE()))),"OLD",IF(AND(E1805&lt;&gt;"",E1805&lt;&gt;"!!!"),"NEW","")))</f>
        <v>OLD</v>
      </c>
      <c r="G1805" s="12" t="s">
        <v>80</v>
      </c>
      <c r="H1805" s="13" t="str">
        <f aca="false">IF(J1805&lt;&gt;1,"",IF(I1805="SBJ","CB","?"))</f>
        <v/>
      </c>
      <c r="I1805" s="14" t="str">
        <f aca="false">IF(OR(E1805="",E1805="!!!",F1805="NEW"),"",INDEX(B$2:B1804,-1+SUMPRODUCT(MAX(ROW(E$2:E1804)*(E1805=E$2:E1804)))))</f>
        <v>SBJ</v>
      </c>
      <c r="J1805" s="15" t="n">
        <f aca="true">IF(OR(E1805="",E1805="!!!",F1805="NEW"),"",COUNTBLANK(OFFSET(A$1,,,SUMPRODUCT(MAX(ROW(E$2:E1805)*(E1805=E$2:E1805)))))-COUNTBLANK(OFFSET(A$1,,,SUMPRODUCT(MAX(ROW(E$1:E1804)*(E1805=E$1:E1804))))))</f>
        <v>2</v>
      </c>
      <c r="K1805" s="15" t="n">
        <f aca="false">IF(OR(E1805="",E1805="!!!",F1805="NEW"),"",INDEX(J$1:J1804,SUMPRODUCT(MAX(ROW(E$1:E1804)*(E1805=E$1:E1804)))))</f>
        <v>40</v>
      </c>
      <c r="L1805" s="16"/>
    </row>
    <row r="1806" customFormat="false" ht="12.8" hidden="false" customHeight="false" outlineLevel="0" collapsed="false">
      <c r="A1806" s="0" t="s">
        <v>824</v>
      </c>
      <c r="E1806" s="10" t="str">
        <f aca="false">IF(D1806="?OLD","!!!","")</f>
        <v/>
      </c>
      <c r="F1806" s="11" t="str">
        <f aca="false">IF(OR(E1806="",E1806="!!!"),"",IF(NOT(ISNA(VLOOKUP(E1806,E$1:E1805,1,FALSE()))),"OLD",IF(AND(E1806&lt;&gt;"",E1806&lt;&gt;"!!!"),"NEW","")))</f>
        <v/>
      </c>
      <c r="G1806" s="12" t="str">
        <f aca="false">IF(OR(E1806="",E1806="!!!"),"",IF(OR(J1806=0,AND(J1806=1,K1806=1),AND(J1806=1,I1806="SBJ"),AND(J1806=1,I1806=0)),"?IN_FOCUS",IF(J1806&lt;=2,"?ACTIVATED",IF(J1806&lt;&gt;"","?FAMILIAR",IF(F1806="NEW",IF(ISNA(VLOOKUP(E1806,#REF!,1,FALSE())),"?TYPE_IDENTIFIABLE","?REFERENTIAL"),"_")))))</f>
        <v/>
      </c>
      <c r="H1806" s="13" t="str">
        <f aca="false">IF(J1806&lt;&gt;1,"",IF(I1806="SBJ","CB","?"))</f>
        <v/>
      </c>
      <c r="I1806" s="14" t="str">
        <f aca="false">IF(OR(E1806="",E1806="!!!",F1806="NEW"),"",INDEX(B$2:B1805,-1+SUMPRODUCT(MAX(ROW(E$2:E1805)*(E1806=E$2:E1805)))))</f>
        <v/>
      </c>
      <c r="J1806" s="15" t="str">
        <f aca="true">IF(OR(E1806="",E1806="!!!",F1806="NEW"),"",COUNTBLANK(OFFSET(A$1,,,SUMPRODUCT(MAX(ROW(E$2:E1806)*(E1806=E$2:E1806)))))-COUNTBLANK(OFFSET(A$1,,,SUMPRODUCT(MAX(ROW(E$1:E1805)*(E1806=E$1:E1805))))))</f>
        <v/>
      </c>
      <c r="K1806" s="15" t="str">
        <f aca="false">IF(OR(E1806="",E1806="!!!",F1806="NEW"),"",INDEX(J$1:J1805,SUMPRODUCT(MAX(ROW(E$1:E1805)*(E1806=E$1:E1805)))))</f>
        <v/>
      </c>
      <c r="L1806" s="16"/>
    </row>
    <row r="1807" customFormat="false" ht="12.8" hidden="false" customHeight="false" outlineLevel="0" collapsed="false">
      <c r="A1807" s="0" t="s">
        <v>45</v>
      </c>
      <c r="E1807" s="10" t="str">
        <f aca="false">IF(D1807="?OLD","!!!","")</f>
        <v/>
      </c>
      <c r="F1807" s="11" t="str">
        <f aca="false">IF(OR(E1807="",E1807="!!!"),"",IF(NOT(ISNA(VLOOKUP(E1807,E$1:E1806,1,FALSE()))),"OLD",IF(AND(E1807&lt;&gt;"",E1807&lt;&gt;"!!!"),"NEW","")))</f>
        <v/>
      </c>
      <c r="G1807" s="12" t="str">
        <f aca="false">IF(OR(E1807="",E1807="!!!"),"",IF(OR(J1807=0,AND(J1807=1,K1807=1),AND(J1807=1,I1807="SBJ"),AND(J1807=1,I1807=0)),"?IN_FOCUS",IF(J1807&lt;=2,"?ACTIVATED",IF(J1807&lt;&gt;"","?FAMILIAR",IF(F1807="NEW",IF(ISNA(VLOOKUP(E1807,#REF!,1,FALSE())),"?TYPE_IDENTIFIABLE","?REFERENTIAL"),"_")))))</f>
        <v/>
      </c>
      <c r="H1807" s="13" t="str">
        <f aca="false">IF(J1807&lt;&gt;1,"",IF(I1807="SBJ","CB","?"))</f>
        <v/>
      </c>
      <c r="I1807" s="14" t="str">
        <f aca="false">IF(OR(E1807="",E1807="!!!",F1807="NEW"),"",INDEX(B$2:B1806,-1+SUMPRODUCT(MAX(ROW(E$2:E1806)*(E1807=E$2:E1806)))))</f>
        <v/>
      </c>
      <c r="J1807" s="15" t="str">
        <f aca="true">IF(OR(E1807="",E1807="!!!",F1807="NEW"),"",COUNTBLANK(OFFSET(A$1,,,SUMPRODUCT(MAX(ROW(E$2:E1807)*(E1807=E$2:E1807)))))-COUNTBLANK(OFFSET(A$1,,,SUMPRODUCT(MAX(ROW(E$1:E1806)*(E1807=E$1:E1806))))))</f>
        <v/>
      </c>
      <c r="K1807" s="15" t="str">
        <f aca="false">IF(OR(E1807="",E1807="!!!",F1807="NEW"),"",INDEX(J$1:J1806,SUMPRODUCT(MAX(ROW(E$1:E1806)*(E1807=E$1:E1806)))))</f>
        <v/>
      </c>
      <c r="L1807" s="16"/>
    </row>
    <row r="1808" customFormat="false" ht="12.8" hidden="false" customHeight="false" outlineLevel="0" collapsed="false">
      <c r="A1808" s="0" t="s">
        <v>825</v>
      </c>
      <c r="E1808" s="10" t="str">
        <f aca="false">IF(D1808="?OLD","!!!","")</f>
        <v/>
      </c>
      <c r="F1808" s="11" t="str">
        <f aca="false">IF(OR(E1808="",E1808="!!!"),"",IF(NOT(ISNA(VLOOKUP(E1808,E$1:E1807,1,FALSE()))),"OLD",IF(AND(E1808&lt;&gt;"",E1808&lt;&gt;"!!!"),"NEW","")))</f>
        <v/>
      </c>
      <c r="G1808" s="12" t="str">
        <f aca="false">IF(OR(E1808="",E1808="!!!"),"",IF(OR(J1808=0,AND(J1808=1,K1808=1),AND(J1808=1,I1808="SBJ"),AND(J1808=1,I1808=0)),"?IN_FOCUS",IF(J1808&lt;=2,"?ACTIVATED",IF(J1808&lt;&gt;"","?FAMILIAR",IF(F1808="NEW",IF(ISNA(VLOOKUP(E1808,#REF!,1,FALSE())),"?TYPE_IDENTIFIABLE","?REFERENTIAL"),"_")))))</f>
        <v/>
      </c>
      <c r="H1808" s="13" t="str">
        <f aca="false">IF(J1808&lt;&gt;1,"",IF(I1808="SBJ","CB","?"))</f>
        <v/>
      </c>
      <c r="I1808" s="14" t="str">
        <f aca="false">IF(OR(E1808="",E1808="!!!",F1808="NEW"),"",INDEX(B$2:B1807,-1+SUMPRODUCT(MAX(ROW(E$2:E1807)*(E1808=E$2:E1807)))))</f>
        <v/>
      </c>
      <c r="J1808" s="15" t="str">
        <f aca="true">IF(OR(E1808="",E1808="!!!",F1808="NEW"),"",COUNTBLANK(OFFSET(A$1,,,SUMPRODUCT(MAX(ROW(E$2:E1808)*(E1808=E$2:E1808)))))-COUNTBLANK(OFFSET(A$1,,,SUMPRODUCT(MAX(ROW(E$1:E1807)*(E1808=E$1:E1807))))))</f>
        <v/>
      </c>
      <c r="K1808" s="15" t="str">
        <f aca="false">IF(OR(E1808="",E1808="!!!",F1808="NEW"),"",INDEX(J$1:J1807,SUMPRODUCT(MAX(ROW(E$1:E1807)*(E1808=E$1:E1807)))))</f>
        <v/>
      </c>
      <c r="L1808" s="16"/>
    </row>
    <row r="1809" customFormat="false" ht="12.8" hidden="false" customHeight="false" outlineLevel="0" collapsed="false">
      <c r="A1809" s="0" t="s">
        <v>45</v>
      </c>
      <c r="E1809" s="10" t="str">
        <f aca="false">IF(D1809="?OLD","!!!","")</f>
        <v/>
      </c>
      <c r="F1809" s="11" t="str">
        <f aca="false">IF(OR(E1809="",E1809="!!!"),"",IF(NOT(ISNA(VLOOKUP(E1809,E$1:E1808,1,FALSE()))),"OLD",IF(AND(E1809&lt;&gt;"",E1809&lt;&gt;"!!!"),"NEW","")))</f>
        <v/>
      </c>
      <c r="G1809" s="12" t="str">
        <f aca="false">IF(OR(E1809="",E1809="!!!"),"",IF(OR(J1809=0,AND(J1809=1,K1809=1),AND(J1809=1,I1809="SBJ"),AND(J1809=1,I1809=0)),"?IN_FOCUS",IF(J1809&lt;=2,"?ACTIVATED",IF(J1809&lt;&gt;"","?FAMILIAR",IF(F1809="NEW",IF(ISNA(VLOOKUP(E1809,#REF!,1,FALSE())),"?TYPE_IDENTIFIABLE","?REFERENTIAL"),"_")))))</f>
        <v/>
      </c>
      <c r="H1809" s="13" t="str">
        <f aca="false">IF(J1809&lt;&gt;1,"",IF(I1809="SBJ","CB","?"))</f>
        <v/>
      </c>
      <c r="I1809" s="14" t="str">
        <f aca="false">IF(OR(E1809="",E1809="!!!",F1809="NEW"),"",INDEX(B$2:B1808,-1+SUMPRODUCT(MAX(ROW(E$2:E1808)*(E1809=E$2:E1808)))))</f>
        <v/>
      </c>
      <c r="J1809" s="15" t="str">
        <f aca="true">IF(OR(E1809="",E1809="!!!",F1809="NEW"),"",COUNTBLANK(OFFSET(A$1,,,SUMPRODUCT(MAX(ROW(E$2:E1809)*(E1809=E$2:E1809)))))-COUNTBLANK(OFFSET(A$1,,,SUMPRODUCT(MAX(ROW(E$1:E1808)*(E1809=E$1:E1808))))))</f>
        <v/>
      </c>
      <c r="K1809" s="15" t="str">
        <f aca="false">IF(OR(E1809="",E1809="!!!",F1809="NEW"),"",INDEX(J$1:J1808,SUMPRODUCT(MAX(ROW(E$1:E1808)*(E1809=E$1:E1808)))))</f>
        <v/>
      </c>
      <c r="L1809" s="16"/>
    </row>
    <row r="1810" customFormat="false" ht="12.8" hidden="false" customHeight="false" outlineLevel="0" collapsed="false">
      <c r="A1810" s="0" t="s">
        <v>274</v>
      </c>
      <c r="E1810" s="10" t="str">
        <f aca="false">IF(D1810="?OLD","!!!","")</f>
        <v/>
      </c>
      <c r="F1810" s="11" t="str">
        <f aca="false">IF(OR(E1810="",E1810="!!!"),"",IF(NOT(ISNA(VLOOKUP(E1810,E$1:E1809,1,FALSE()))),"OLD",IF(AND(E1810&lt;&gt;"",E1810&lt;&gt;"!!!"),"NEW","")))</f>
        <v/>
      </c>
      <c r="G1810" s="12" t="str">
        <f aca="false">IF(OR(E1810="",E1810="!!!"),"",IF(OR(J1810=0,AND(J1810=1,K1810=1),AND(J1810=1,I1810="SBJ"),AND(J1810=1,I1810=0)),"?IN_FOCUS",IF(J1810&lt;=2,"?ACTIVATED",IF(J1810&lt;&gt;"","?FAMILIAR",IF(F1810="NEW",IF(ISNA(VLOOKUP(E1810,#REF!,1,FALSE())),"?TYPE_IDENTIFIABLE","?REFERENTIAL"),"_")))))</f>
        <v/>
      </c>
      <c r="H1810" s="13" t="str">
        <f aca="false">IF(J1810&lt;&gt;1,"",IF(I1810="SBJ","CB","?"))</f>
        <v/>
      </c>
      <c r="I1810" s="14" t="str">
        <f aca="false">IF(OR(E1810="",E1810="!!!",F1810="NEW"),"",INDEX(B$2:B1809,-1+SUMPRODUCT(MAX(ROW(E$2:E1809)*(E1810=E$2:E1809)))))</f>
        <v/>
      </c>
      <c r="J1810" s="15" t="str">
        <f aca="true">IF(OR(E1810="",E1810="!!!",F1810="NEW"),"",COUNTBLANK(OFFSET(A$1,,,SUMPRODUCT(MAX(ROW(E$2:E1810)*(E1810=E$2:E1810)))))-COUNTBLANK(OFFSET(A$1,,,SUMPRODUCT(MAX(ROW(E$1:E1809)*(E1810=E$1:E1809))))))</f>
        <v/>
      </c>
      <c r="K1810" s="15" t="str">
        <f aca="false">IF(OR(E1810="",E1810="!!!",F1810="NEW"),"",INDEX(J$1:J1809,SUMPRODUCT(MAX(ROW(E$1:E1809)*(E1810=E$1:E1809)))))</f>
        <v/>
      </c>
      <c r="L1810" s="16"/>
    </row>
    <row r="1811" customFormat="false" ht="12.8" hidden="false" customHeight="false" outlineLevel="0" collapsed="false">
      <c r="A1811" s="0" t="s">
        <v>44</v>
      </c>
      <c r="E1811" s="10" t="str">
        <f aca="false">IF(D1811="?OLD","!!!","")</f>
        <v/>
      </c>
      <c r="F1811" s="11" t="str">
        <f aca="false">IF(OR(E1811="",E1811="!!!"),"",IF(NOT(ISNA(VLOOKUP(E1811,E$1:E1810,1,FALSE()))),"OLD",IF(AND(E1811&lt;&gt;"",E1811&lt;&gt;"!!!"),"NEW","")))</f>
        <v/>
      </c>
      <c r="G1811" s="12" t="str">
        <f aca="false">IF(OR(E1811="",E1811="!!!"),"",IF(OR(J1811=0,AND(J1811=1,K1811=1),AND(J1811=1,I1811="SBJ"),AND(J1811=1,I1811=0)),"?IN_FOCUS",IF(J1811&lt;=2,"?ACTIVATED",IF(J1811&lt;&gt;"","?FAMILIAR",IF(F1811="NEW",IF(ISNA(VLOOKUP(E1811,#REF!,1,FALSE())),"?TYPE_IDENTIFIABLE","?REFERENTIAL"),"_")))))</f>
        <v/>
      </c>
      <c r="H1811" s="13" t="str">
        <f aca="false">IF(J1811&lt;&gt;1,"",IF(I1811="SBJ","CB","?"))</f>
        <v/>
      </c>
      <c r="I1811" s="14" t="str">
        <f aca="false">IF(OR(E1811="",E1811="!!!",F1811="NEW"),"",INDEX(B$2:B1810,-1+SUMPRODUCT(MAX(ROW(E$2:E1810)*(E1811=E$2:E1810)))))</f>
        <v/>
      </c>
      <c r="J1811" s="15" t="str">
        <f aca="true">IF(OR(E1811="",E1811="!!!",F1811="NEW"),"",COUNTBLANK(OFFSET(A$1,,,SUMPRODUCT(MAX(ROW(E$2:E1811)*(E1811=E$2:E1811)))))-COUNTBLANK(OFFSET(A$1,,,SUMPRODUCT(MAX(ROW(E$1:E1810)*(E1811=E$1:E1810))))))</f>
        <v/>
      </c>
      <c r="K1811" s="15" t="str">
        <f aca="false">IF(OR(E1811="",E1811="!!!",F1811="NEW"),"",INDEX(J$1:J1810,SUMPRODUCT(MAX(ROW(E$1:E1810)*(E1811=E$1:E1810)))))</f>
        <v/>
      </c>
      <c r="L1811" s="16"/>
    </row>
    <row r="1812" customFormat="false" ht="12.8" hidden="false" customHeight="false" outlineLevel="0" collapsed="false">
      <c r="A1812" s="0" t="s">
        <v>826</v>
      </c>
      <c r="E1812" s="10" t="str">
        <f aca="false">IF(D1812="?OLD","!!!","")</f>
        <v/>
      </c>
      <c r="F1812" s="11" t="str">
        <f aca="false">IF(OR(E1812="",E1812="!!!"),"",IF(NOT(ISNA(VLOOKUP(E1812,E$1:E1811,1,FALSE()))),"OLD",IF(AND(E1812&lt;&gt;"",E1812&lt;&gt;"!!!"),"NEW","")))</f>
        <v/>
      </c>
      <c r="G1812" s="12" t="str">
        <f aca="false">IF(OR(E1812="",E1812="!!!"),"",IF(OR(J1812=0,AND(J1812=1,K1812=1),AND(J1812=1,I1812="SBJ"),AND(J1812=1,I1812=0)),"?IN_FOCUS",IF(J1812&lt;=2,"?ACTIVATED",IF(J1812&lt;&gt;"","?FAMILIAR",IF(F1812="NEW",IF(ISNA(VLOOKUP(E1812,#REF!,1,FALSE())),"?TYPE_IDENTIFIABLE","?REFERENTIAL"),"_")))))</f>
        <v/>
      </c>
      <c r="H1812" s="13" t="str">
        <f aca="false">IF(J1812&lt;&gt;1,"",IF(I1812="SBJ","CB","?"))</f>
        <v/>
      </c>
      <c r="I1812" s="14" t="str">
        <f aca="false">IF(OR(E1812="",E1812="!!!",F1812="NEW"),"",INDEX(B$2:B1811,-1+SUMPRODUCT(MAX(ROW(E$2:E1811)*(E1812=E$2:E1811)))))</f>
        <v/>
      </c>
      <c r="J1812" s="15" t="str">
        <f aca="true">IF(OR(E1812="",E1812="!!!",F1812="NEW"),"",COUNTBLANK(OFFSET(A$1,,,SUMPRODUCT(MAX(ROW(E$2:E1812)*(E1812=E$2:E1812)))))-COUNTBLANK(OFFSET(A$1,,,SUMPRODUCT(MAX(ROW(E$1:E1811)*(E1812=E$1:E1811))))))</f>
        <v/>
      </c>
      <c r="K1812" s="15" t="str">
        <f aca="false">IF(OR(E1812="",E1812="!!!",F1812="NEW"),"",INDEX(J$1:J1811,SUMPRODUCT(MAX(ROW(E$1:E1811)*(E1812=E$1:E1811)))))</f>
        <v/>
      </c>
      <c r="L1812" s="16"/>
    </row>
    <row r="1813" customFormat="false" ht="12.8" hidden="false" customHeight="false" outlineLevel="0" collapsed="false">
      <c r="A1813" s="0" t="s">
        <v>60</v>
      </c>
      <c r="E1813" s="10" t="str">
        <f aca="false">IF(D1813="?OLD","!!!","")</f>
        <v/>
      </c>
      <c r="F1813" s="11" t="str">
        <f aca="false">IF(OR(E1813="",E1813="!!!"),"",IF(NOT(ISNA(VLOOKUP(E1813,E$1:E1812,1,FALSE()))),"OLD",IF(AND(E1813&lt;&gt;"",E1813&lt;&gt;"!!!"),"NEW","")))</f>
        <v/>
      </c>
      <c r="G1813" s="12" t="str">
        <f aca="false">IF(OR(E1813="",E1813="!!!"),"",IF(OR(J1813=0,AND(J1813=1,K1813=1),AND(J1813=1,I1813="SBJ"),AND(J1813=1,I1813=0)),"?IN_FOCUS",IF(J1813&lt;=2,"?ACTIVATED",IF(J1813&lt;&gt;"","?FAMILIAR",IF(F1813="NEW",IF(ISNA(VLOOKUP(E1813,#REF!,1,FALSE())),"?TYPE_IDENTIFIABLE","?REFERENTIAL"),"_")))))</f>
        <v/>
      </c>
      <c r="H1813" s="13" t="str">
        <f aca="false">IF(J1813&lt;&gt;1,"",IF(I1813="SBJ","CB","?"))</f>
        <v/>
      </c>
      <c r="I1813" s="14" t="str">
        <f aca="false">IF(OR(E1813="",E1813="!!!",F1813="NEW"),"",INDEX(B$2:B1812,-1+SUMPRODUCT(MAX(ROW(E$2:E1812)*(E1813=E$2:E1812)))))</f>
        <v/>
      </c>
      <c r="J1813" s="15" t="str">
        <f aca="true">IF(OR(E1813="",E1813="!!!",F1813="NEW"),"",COUNTBLANK(OFFSET(A$1,,,SUMPRODUCT(MAX(ROW(E$2:E1813)*(E1813=E$2:E1813)))))-COUNTBLANK(OFFSET(A$1,,,SUMPRODUCT(MAX(ROW(E$1:E1812)*(E1813=E$1:E1812))))))</f>
        <v/>
      </c>
      <c r="K1813" s="15" t="str">
        <f aca="false">IF(OR(E1813="",E1813="!!!",F1813="NEW"),"",INDEX(J$1:J1812,SUMPRODUCT(MAX(ROW(E$1:E1812)*(E1813=E$1:E1812)))))</f>
        <v/>
      </c>
      <c r="L1813" s="16"/>
    </row>
    <row r="1814" customFormat="false" ht="12.8" hidden="false" customHeight="false" outlineLevel="0" collapsed="false">
      <c r="A1814" s="0" t="s">
        <v>827</v>
      </c>
      <c r="E1814" s="10" t="str">
        <f aca="false">IF(D1814="?OLD","!!!","")</f>
        <v/>
      </c>
      <c r="F1814" s="11" t="str">
        <f aca="false">IF(OR(E1814="",E1814="!!!"),"",IF(NOT(ISNA(VLOOKUP(E1814,E$1:E1813,1,FALSE()))),"OLD",IF(AND(E1814&lt;&gt;"",E1814&lt;&gt;"!!!"),"NEW","")))</f>
        <v/>
      </c>
      <c r="G1814" s="12" t="str">
        <f aca="false">IF(OR(E1814="",E1814="!!!"),"",IF(OR(J1814=0,AND(J1814=1,K1814=1),AND(J1814=1,I1814="SBJ"),AND(J1814=1,I1814=0)),"?IN_FOCUS",IF(J1814&lt;=2,"?ACTIVATED",IF(J1814&lt;&gt;"","?FAMILIAR",IF(F1814="NEW",IF(ISNA(VLOOKUP(E1814,#REF!,1,FALSE())),"?TYPE_IDENTIFIABLE","?REFERENTIAL"),"_")))))</f>
        <v/>
      </c>
      <c r="H1814" s="13" t="str">
        <f aca="false">IF(J1814&lt;&gt;1,"",IF(I1814="SBJ","CB","?"))</f>
        <v/>
      </c>
      <c r="I1814" s="14" t="str">
        <f aca="false">IF(OR(E1814="",E1814="!!!",F1814="NEW"),"",INDEX(B$2:B1813,-1+SUMPRODUCT(MAX(ROW(E$2:E1813)*(E1814=E$2:E1813)))))</f>
        <v/>
      </c>
      <c r="J1814" s="15" t="str">
        <f aca="true">IF(OR(E1814="",E1814="!!!",F1814="NEW"),"",COUNTBLANK(OFFSET(A$1,,,SUMPRODUCT(MAX(ROW(E$2:E1814)*(E1814=E$2:E1814)))))-COUNTBLANK(OFFSET(A$1,,,SUMPRODUCT(MAX(ROW(E$1:E1813)*(E1814=E$1:E1813))))))</f>
        <v/>
      </c>
      <c r="K1814" s="15" t="str">
        <f aca="false">IF(OR(E1814="",E1814="!!!",F1814="NEW"),"",INDEX(J$1:J1813,SUMPRODUCT(MAX(ROW(E$1:E1813)*(E1814=E$1:E1813)))))</f>
        <v/>
      </c>
      <c r="L1814" s="16"/>
    </row>
    <row r="1815" customFormat="false" ht="12.8" hidden="false" customHeight="false" outlineLevel="0" collapsed="false">
      <c r="A1815" s="0" t="s">
        <v>51</v>
      </c>
      <c r="E1815" s="10" t="str">
        <f aca="false">IF(D1815="?OLD","!!!","")</f>
        <v/>
      </c>
      <c r="F1815" s="11" t="str">
        <f aca="false">IF(OR(E1815="",E1815="!!!"),"",IF(NOT(ISNA(VLOOKUP(E1815,E$1:E1814,1,FALSE()))),"OLD",IF(AND(E1815&lt;&gt;"",E1815&lt;&gt;"!!!"),"NEW","")))</f>
        <v/>
      </c>
      <c r="G1815" s="12" t="str">
        <f aca="false">IF(OR(E1815="",E1815="!!!"),"",IF(OR(J1815=0,AND(J1815=1,K1815=1),AND(J1815=1,I1815="SBJ"),AND(J1815=1,I1815=0)),"?IN_FOCUS",IF(J1815&lt;=2,"?ACTIVATED",IF(J1815&lt;&gt;"","?FAMILIAR",IF(F1815="NEW",IF(ISNA(VLOOKUP(E1815,#REF!,1,FALSE())),"?TYPE_IDENTIFIABLE","?REFERENTIAL"),"_")))))</f>
        <v/>
      </c>
      <c r="H1815" s="13" t="str">
        <f aca="false">IF(J1815&lt;&gt;1,"",IF(I1815="SBJ","CB","?"))</f>
        <v/>
      </c>
      <c r="I1815" s="14" t="str">
        <f aca="false">IF(OR(E1815="",E1815="!!!",F1815="NEW"),"",INDEX(B$2:B1814,-1+SUMPRODUCT(MAX(ROW(E$2:E1814)*(E1815=E$2:E1814)))))</f>
        <v/>
      </c>
      <c r="J1815" s="15" t="str">
        <f aca="true">IF(OR(E1815="",E1815="!!!",F1815="NEW"),"",COUNTBLANK(OFFSET(A$1,,,SUMPRODUCT(MAX(ROW(E$2:E1815)*(E1815=E$2:E1815)))))-COUNTBLANK(OFFSET(A$1,,,SUMPRODUCT(MAX(ROW(E$1:E1814)*(E1815=E$1:E1814))))))</f>
        <v/>
      </c>
      <c r="K1815" s="15" t="str">
        <f aca="false">IF(OR(E1815="",E1815="!!!",F1815="NEW"),"",INDEX(J$1:J1814,SUMPRODUCT(MAX(ROW(E$1:E1814)*(E1815=E$1:E1814)))))</f>
        <v/>
      </c>
      <c r="L1815" s="16"/>
    </row>
    <row r="1816" customFormat="false" ht="12.8" hidden="false" customHeight="false" outlineLevel="0" collapsed="false">
      <c r="A1816" s="0" t="s">
        <v>62</v>
      </c>
      <c r="E1816" s="10" t="str">
        <f aca="false">IF(D1816="?OLD","!!!","")</f>
        <v/>
      </c>
      <c r="F1816" s="11" t="str">
        <f aca="false">IF(OR(E1816="",E1816="!!!"),"",IF(NOT(ISNA(VLOOKUP(E1816,E$1:E1815,1,FALSE()))),"OLD",IF(AND(E1816&lt;&gt;"",E1816&lt;&gt;"!!!"),"NEW","")))</f>
        <v/>
      </c>
      <c r="G1816" s="12" t="str">
        <f aca="false">IF(OR(E1816="",E1816="!!!"),"",IF(OR(J1816=0,AND(J1816=1,K1816=1),AND(J1816=1,I1816="SBJ"),AND(J1816=1,I1816=0)),"?IN_FOCUS",IF(J1816&lt;=2,"?ACTIVATED",IF(J1816&lt;&gt;"","?FAMILIAR",IF(F1816="NEW",IF(ISNA(VLOOKUP(E1816,#REF!,1,FALSE())),"?TYPE_IDENTIFIABLE","?REFERENTIAL"),"_")))))</f>
        <v/>
      </c>
      <c r="H1816" s="13" t="str">
        <f aca="false">IF(J1816&lt;&gt;1,"",IF(I1816="SBJ","CB","?"))</f>
        <v/>
      </c>
      <c r="I1816" s="14" t="str">
        <f aca="false">IF(OR(E1816="",E1816="!!!",F1816="NEW"),"",INDEX(B$2:B1815,-1+SUMPRODUCT(MAX(ROW(E$2:E1815)*(E1816=E$2:E1815)))))</f>
        <v/>
      </c>
      <c r="J1816" s="15" t="str">
        <f aca="true">IF(OR(E1816="",E1816="!!!",F1816="NEW"),"",COUNTBLANK(OFFSET(A$1,,,SUMPRODUCT(MAX(ROW(E$2:E1816)*(E1816=E$2:E1816)))))-COUNTBLANK(OFFSET(A$1,,,SUMPRODUCT(MAX(ROW(E$1:E1815)*(E1816=E$1:E1815))))))</f>
        <v/>
      </c>
      <c r="K1816" s="15" t="str">
        <f aca="false">IF(OR(E1816="",E1816="!!!",F1816="NEW"),"",INDEX(J$1:J1815,SUMPRODUCT(MAX(ROW(E$1:E1815)*(E1816=E$1:E1815)))))</f>
        <v/>
      </c>
      <c r="L1816" s="16"/>
    </row>
    <row r="1817" customFormat="false" ht="23.85" hidden="false" customHeight="false" outlineLevel="0" collapsed="false">
      <c r="A1817" s="0" t="s">
        <v>33</v>
      </c>
      <c r="B1817" s="0" t="s">
        <v>47</v>
      </c>
      <c r="C1817" s="0" t="s">
        <v>27</v>
      </c>
      <c r="D1817" s="0" t="s">
        <v>20</v>
      </c>
      <c r="E1817" s="10" t="s">
        <v>33</v>
      </c>
      <c r="F1817" s="11" t="str">
        <f aca="false">IF(OR(E1817="",E1817="!!!"),"",IF(NOT(ISNA(VLOOKUP(E1817,E$1:E1816,1,FALSE()))),"OLD",IF(AND(E1817&lt;&gt;"",E1817&lt;&gt;"!!!"),"NEW","")))</f>
        <v>OLD</v>
      </c>
      <c r="G1817" s="12" t="s">
        <v>36</v>
      </c>
      <c r="H1817" s="13" t="str">
        <f aca="false">IF(J1817&lt;&gt;1,"",IF(I1817="SBJ","CB","?"))</f>
        <v/>
      </c>
      <c r="I1817" s="14" t="str">
        <f aca="false">IF(OR(E1817="",E1817="!!!",F1817="NEW"),"",INDEX(B$2:B1816,-1+SUMPRODUCT(MAX(ROW(E$2:E1816)*(E1817=E$2:E1816)))))</f>
        <v>other_2</v>
      </c>
      <c r="J1817" s="15" t="n">
        <f aca="true">IF(OR(E1817="",E1817="!!!",F1817="NEW"),"",COUNTBLANK(OFFSET(A$1,,,SUMPRODUCT(MAX(ROW(E$2:E1817)*(E1817=E$2:E1817)))))-COUNTBLANK(OFFSET(A$1,,,SUMPRODUCT(MAX(ROW(E$1:E1816)*(E1817=E$1:E1816))))))</f>
        <v>4</v>
      </c>
      <c r="K1817" s="15" t="n">
        <f aca="false">IF(OR(E1817="",E1817="!!!",F1817="NEW"),"",INDEX(J$1:J1816,SUMPRODUCT(MAX(ROW(E$1:E1816)*(E1817=E$1:E1816)))))</f>
        <v>13</v>
      </c>
      <c r="L1817" s="16" t="s">
        <v>828</v>
      </c>
    </row>
    <row r="1818" customFormat="false" ht="12.8" hidden="false" customHeight="false" outlineLevel="0" collapsed="false">
      <c r="A1818" s="0" t="s">
        <v>161</v>
      </c>
      <c r="B1818" s="0" t="s">
        <v>173</v>
      </c>
      <c r="C1818" s="0" t="s">
        <v>48</v>
      </c>
      <c r="D1818" s="0" t="s">
        <v>20</v>
      </c>
      <c r="E1818" s="10" t="s">
        <v>161</v>
      </c>
      <c r="F1818" s="11" t="str">
        <f aca="false">IF(OR(E1818="",E1818="!!!"),"",IF(NOT(ISNA(VLOOKUP(E1818,E$1:E1817,1,FALSE()))),"OLD",IF(AND(E1818&lt;&gt;"",E1818&lt;&gt;"!!!"),"NEW","")))</f>
        <v>OLD</v>
      </c>
      <c r="G1818" s="12" t="s">
        <v>87</v>
      </c>
      <c r="H1818" s="13" t="str">
        <f aca="false">IF(J1818&lt;&gt;1,"",IF(I1818="SBJ","CB","?"))</f>
        <v/>
      </c>
      <c r="I1818" s="14" t="str">
        <f aca="false">IF(OR(E1818="",E1818="!!!",F1818="NEW"),"",INDEX(B$2:B1817,-1+SUMPRODUCT(MAX(ROW(E$2:E1817)*(E1818=E$2:E1817)))))</f>
        <v>SBJ_2</v>
      </c>
      <c r="J1818" s="15" t="n">
        <f aca="true">IF(OR(E1818="",E1818="!!!",F1818="NEW"),"",COUNTBLANK(OFFSET(A$1,,,SUMPRODUCT(MAX(ROW(E$2:E1818)*(E1818=E$2:E1818)))))-COUNTBLANK(OFFSET(A$1,,,SUMPRODUCT(MAX(ROW(E$1:E1817)*(E1818=E$1:E1817))))))</f>
        <v>0</v>
      </c>
      <c r="K1818" s="15" t="n">
        <f aca="false">IF(OR(E1818="",E1818="!!!",F1818="NEW"),"",INDEX(J$1:J1817,SUMPRODUCT(MAX(ROW(E$1:E1817)*(E1818=E$1:E1817)))))</f>
        <v>2</v>
      </c>
      <c r="L1818" s="16"/>
    </row>
    <row r="1819" customFormat="false" ht="12.8" hidden="false" customHeight="false" outlineLevel="0" collapsed="false">
      <c r="A1819" s="0" t="s">
        <v>829</v>
      </c>
      <c r="E1819" s="10" t="str">
        <f aca="false">IF(D1819="?OLD","!!!","")</f>
        <v/>
      </c>
      <c r="F1819" s="11" t="str">
        <f aca="false">IF(OR(E1819="",E1819="!!!"),"",IF(NOT(ISNA(VLOOKUP(E1819,E$1:E1818,1,FALSE()))),"OLD",IF(AND(E1819&lt;&gt;"",E1819&lt;&gt;"!!!"),"NEW","")))</f>
        <v/>
      </c>
      <c r="G1819" s="12" t="str">
        <f aca="false">IF(OR(E1819="",E1819="!!!"),"",IF(OR(J1819=0,AND(J1819=1,K1819=1),AND(J1819=1,I1819="SBJ"),AND(J1819=1,I1819=0)),"?IN_FOCUS",IF(J1819&lt;=2,"?ACTIVATED",IF(J1819&lt;&gt;"","?FAMILIAR",IF(F1819="NEW",IF(ISNA(VLOOKUP(E1819,#REF!,1,FALSE())),"?TYPE_IDENTIFIABLE","?REFERENTIAL"),"_")))))</f>
        <v/>
      </c>
      <c r="H1819" s="13" t="str">
        <f aca="false">IF(J1819&lt;&gt;1,"",IF(I1819="SBJ","CB","?"))</f>
        <v/>
      </c>
      <c r="I1819" s="14" t="str">
        <f aca="false">IF(OR(E1819="",E1819="!!!",F1819="NEW"),"",INDEX(B$2:B1818,-1+SUMPRODUCT(MAX(ROW(E$2:E1818)*(E1819=E$2:E1818)))))</f>
        <v/>
      </c>
      <c r="J1819" s="15" t="str">
        <f aca="true">IF(OR(E1819="",E1819="!!!",F1819="NEW"),"",COUNTBLANK(OFFSET(A$1,,,SUMPRODUCT(MAX(ROW(E$2:E1819)*(E1819=E$2:E1819)))))-COUNTBLANK(OFFSET(A$1,,,SUMPRODUCT(MAX(ROW(E$1:E1818)*(E1819=E$1:E1818))))))</f>
        <v/>
      </c>
      <c r="K1819" s="15" t="str">
        <f aca="false">IF(OR(E1819="",E1819="!!!",F1819="NEW"),"",INDEX(J$1:J1818,SUMPRODUCT(MAX(ROW(E$1:E1818)*(E1819=E$1:E1818)))))</f>
        <v/>
      </c>
      <c r="L1819" s="16"/>
    </row>
    <row r="1820" customFormat="false" ht="12.8" hidden="false" customHeight="false" outlineLevel="0" collapsed="false">
      <c r="A1820" s="0" t="s">
        <v>344</v>
      </c>
      <c r="E1820" s="10" t="str">
        <f aca="false">IF(D1820="?OLD","!!!","")</f>
        <v/>
      </c>
      <c r="F1820" s="11" t="str">
        <f aca="false">IF(OR(E1820="",E1820="!!!"),"",IF(NOT(ISNA(VLOOKUP(E1820,E$1:E1819,1,FALSE()))),"OLD",IF(AND(E1820&lt;&gt;"",E1820&lt;&gt;"!!!"),"NEW","")))</f>
        <v/>
      </c>
      <c r="G1820" s="12" t="str">
        <f aca="false">IF(OR(E1820="",E1820="!!!"),"",IF(OR(J1820=0,AND(J1820=1,K1820=1),AND(J1820=1,I1820="SBJ"),AND(J1820=1,I1820=0)),"?IN_FOCUS",IF(J1820&lt;=2,"?ACTIVATED",IF(J1820&lt;&gt;"","?FAMILIAR",IF(F1820="NEW",IF(ISNA(VLOOKUP(E1820,#REF!,1,FALSE())),"?TYPE_IDENTIFIABLE","?REFERENTIAL"),"_")))))</f>
        <v/>
      </c>
      <c r="H1820" s="13" t="str">
        <f aca="false">IF(J1820&lt;&gt;1,"",IF(I1820="SBJ","CB","?"))</f>
        <v/>
      </c>
      <c r="I1820" s="14" t="str">
        <f aca="false">IF(OR(E1820="",E1820="!!!",F1820="NEW"),"",INDEX(B$2:B1819,-1+SUMPRODUCT(MAX(ROW(E$2:E1819)*(E1820=E$2:E1819)))))</f>
        <v/>
      </c>
      <c r="J1820" s="15" t="str">
        <f aca="true">IF(OR(E1820="",E1820="!!!",F1820="NEW"),"",COUNTBLANK(OFFSET(A$1,,,SUMPRODUCT(MAX(ROW(E$2:E1820)*(E1820=E$2:E1820)))))-COUNTBLANK(OFFSET(A$1,,,SUMPRODUCT(MAX(ROW(E$1:E1819)*(E1820=E$1:E1819))))))</f>
        <v/>
      </c>
      <c r="K1820" s="15" t="str">
        <f aca="false">IF(OR(E1820="",E1820="!!!",F1820="NEW"),"",INDEX(J$1:J1819,SUMPRODUCT(MAX(ROW(E$1:E1819)*(E1820=E$1:E1819)))))</f>
        <v/>
      </c>
      <c r="L1820" s="16"/>
    </row>
    <row r="1821" customFormat="false" ht="12.8" hidden="false" customHeight="false" outlineLevel="0" collapsed="false">
      <c r="A1821" s="0" t="s">
        <v>37</v>
      </c>
      <c r="E1821" s="10" t="str">
        <f aca="false">IF(D1821="?OLD","!!!","")</f>
        <v/>
      </c>
      <c r="F1821" s="11" t="str">
        <f aca="false">IF(OR(E1821="",E1821="!!!"),"",IF(NOT(ISNA(VLOOKUP(E1821,E$1:E1820,1,FALSE()))),"OLD",IF(AND(E1821&lt;&gt;"",E1821&lt;&gt;"!!!"),"NEW","")))</f>
        <v/>
      </c>
      <c r="G1821" s="12" t="str">
        <f aca="false">IF(OR(E1821="",E1821="!!!"),"",IF(OR(J1821=0,AND(J1821=1,K1821=1),AND(J1821=1,I1821="SBJ"),AND(J1821=1,I1821=0)),"?IN_FOCUS",IF(J1821&lt;=2,"?ACTIVATED",IF(J1821&lt;&gt;"","?FAMILIAR",IF(F1821="NEW",IF(ISNA(VLOOKUP(E1821,#REF!,1,FALSE())),"?TYPE_IDENTIFIABLE","?REFERENTIAL"),"_")))))</f>
        <v/>
      </c>
      <c r="H1821" s="13" t="str">
        <f aca="false">IF(J1821&lt;&gt;1,"",IF(I1821="SBJ","CB","?"))</f>
        <v/>
      </c>
      <c r="I1821" s="14" t="str">
        <f aca="false">IF(OR(E1821="",E1821="!!!",F1821="NEW"),"",INDEX(B$2:B1820,-1+SUMPRODUCT(MAX(ROW(E$2:E1820)*(E1821=E$2:E1820)))))</f>
        <v/>
      </c>
      <c r="J1821" s="15" t="str">
        <f aca="true">IF(OR(E1821="",E1821="!!!",F1821="NEW"),"",COUNTBLANK(OFFSET(A$1,,,SUMPRODUCT(MAX(ROW(E$2:E1821)*(E1821=E$2:E1821)))))-COUNTBLANK(OFFSET(A$1,,,SUMPRODUCT(MAX(ROW(E$1:E1820)*(E1821=E$1:E1820))))))</f>
        <v/>
      </c>
      <c r="K1821" s="15" t="str">
        <f aca="false">IF(OR(E1821="",E1821="!!!",F1821="NEW"),"",INDEX(J$1:J1820,SUMPRODUCT(MAX(ROW(E$1:E1820)*(E1821=E$1:E1820)))))</f>
        <v/>
      </c>
      <c r="L1821" s="16"/>
    </row>
    <row r="1822" customFormat="false" ht="12.8" hidden="false" customHeight="false" outlineLevel="0" collapsed="false">
      <c r="A1822" s="0" t="s">
        <v>159</v>
      </c>
      <c r="E1822" s="10" t="str">
        <f aca="false">IF(D1822="?OLD","!!!","")</f>
        <v/>
      </c>
      <c r="F1822" s="11" t="str">
        <f aca="false">IF(OR(E1822="",E1822="!!!"),"",IF(NOT(ISNA(VLOOKUP(E1822,E$1:E1821,1,FALSE()))),"OLD",IF(AND(E1822&lt;&gt;"",E1822&lt;&gt;"!!!"),"NEW","")))</f>
        <v/>
      </c>
      <c r="G1822" s="12" t="str">
        <f aca="false">IF(OR(E1822="",E1822="!!!"),"",IF(OR(J1822=0,AND(J1822=1,K1822=1),AND(J1822=1,I1822="SBJ"),AND(J1822=1,I1822=0)),"?IN_FOCUS",IF(J1822&lt;=2,"?ACTIVATED",IF(J1822&lt;&gt;"","?FAMILIAR",IF(F1822="NEW",IF(ISNA(VLOOKUP(E1822,#REF!,1,FALSE())),"?TYPE_IDENTIFIABLE","?REFERENTIAL"),"_")))))</f>
        <v/>
      </c>
      <c r="H1822" s="13" t="str">
        <f aca="false">IF(J1822&lt;&gt;1,"",IF(I1822="SBJ","CB","?"))</f>
        <v/>
      </c>
      <c r="I1822" s="14" t="str">
        <f aca="false">IF(OR(E1822="",E1822="!!!",F1822="NEW"),"",INDEX(B$2:B1821,-1+SUMPRODUCT(MAX(ROW(E$2:E1821)*(E1822=E$2:E1821)))))</f>
        <v/>
      </c>
      <c r="J1822" s="15" t="str">
        <f aca="true">IF(OR(E1822="",E1822="!!!",F1822="NEW"),"",COUNTBLANK(OFFSET(A$1,,,SUMPRODUCT(MAX(ROW(E$2:E1822)*(E1822=E$2:E1822)))))-COUNTBLANK(OFFSET(A$1,,,SUMPRODUCT(MAX(ROW(E$1:E1821)*(E1822=E$1:E1821))))))</f>
        <v/>
      </c>
      <c r="K1822" s="15" t="str">
        <f aca="false">IF(OR(E1822="",E1822="!!!",F1822="NEW"),"",INDEX(J$1:J1821,SUMPRODUCT(MAX(ROW(E$1:E1821)*(E1822=E$1:E1821)))))</f>
        <v/>
      </c>
      <c r="L1822" s="16"/>
    </row>
    <row r="1823" customFormat="false" ht="12.8" hidden="false" customHeight="false" outlineLevel="0" collapsed="false">
      <c r="A1823" s="0" t="s">
        <v>830</v>
      </c>
      <c r="E1823" s="10" t="str">
        <f aca="false">IF(D1823="?OLD","!!!","")</f>
        <v/>
      </c>
      <c r="F1823" s="11" t="str">
        <f aca="false">IF(OR(E1823="",E1823="!!!"),"",IF(NOT(ISNA(VLOOKUP(E1823,E$1:E1822,1,FALSE()))),"OLD",IF(AND(E1823&lt;&gt;"",E1823&lt;&gt;"!!!"),"NEW","")))</f>
        <v/>
      </c>
      <c r="G1823" s="12" t="str">
        <f aca="false">IF(OR(E1823="",E1823="!!!"),"",IF(OR(J1823=0,AND(J1823=1,K1823=1),AND(J1823=1,I1823="SBJ"),AND(J1823=1,I1823=0)),"?IN_FOCUS",IF(J1823&lt;=2,"?ACTIVATED",IF(J1823&lt;&gt;"","?FAMILIAR",IF(F1823="NEW",IF(ISNA(VLOOKUP(E1823,#REF!,1,FALSE())),"?TYPE_IDENTIFIABLE","?REFERENTIAL"),"_")))))</f>
        <v/>
      </c>
      <c r="H1823" s="13" t="str">
        <f aca="false">IF(J1823&lt;&gt;1,"",IF(I1823="SBJ","CB","?"))</f>
        <v/>
      </c>
      <c r="I1823" s="14" t="str">
        <f aca="false">IF(OR(E1823="",E1823="!!!",F1823="NEW"),"",INDEX(B$2:B1822,-1+SUMPRODUCT(MAX(ROW(E$2:E1822)*(E1823=E$2:E1822)))))</f>
        <v/>
      </c>
      <c r="J1823" s="15" t="str">
        <f aca="true">IF(OR(E1823="",E1823="!!!",F1823="NEW"),"",COUNTBLANK(OFFSET(A$1,,,SUMPRODUCT(MAX(ROW(E$2:E1823)*(E1823=E$2:E1823)))))-COUNTBLANK(OFFSET(A$1,,,SUMPRODUCT(MAX(ROW(E$1:E1822)*(E1823=E$1:E1822))))))</f>
        <v/>
      </c>
      <c r="K1823" s="15" t="str">
        <f aca="false">IF(OR(E1823="",E1823="!!!",F1823="NEW"),"",INDEX(J$1:J1822,SUMPRODUCT(MAX(ROW(E$1:E1822)*(E1823=E$1:E1822)))))</f>
        <v/>
      </c>
      <c r="L1823" s="16"/>
    </row>
    <row r="1824" customFormat="false" ht="12.8" hidden="false" customHeight="false" outlineLevel="0" collapsed="false">
      <c r="A1824" s="0" t="s">
        <v>45</v>
      </c>
      <c r="E1824" s="10" t="str">
        <f aca="false">IF(D1824="?OLD","!!!","")</f>
        <v/>
      </c>
      <c r="F1824" s="11" t="str">
        <f aca="false">IF(OR(E1824="",E1824="!!!"),"",IF(NOT(ISNA(VLOOKUP(E1824,E$1:E1823,1,FALSE()))),"OLD",IF(AND(E1824&lt;&gt;"",E1824&lt;&gt;"!!!"),"NEW","")))</f>
        <v/>
      </c>
      <c r="G1824" s="12" t="str">
        <f aca="false">IF(OR(E1824="",E1824="!!!"),"",IF(OR(J1824=0,AND(J1824=1,K1824=1),AND(J1824=1,I1824="SBJ"),AND(J1824=1,I1824=0)),"?IN_FOCUS",IF(J1824&lt;=2,"?ACTIVATED",IF(J1824&lt;&gt;"","?FAMILIAR",IF(F1824="NEW",IF(ISNA(VLOOKUP(E1824,#REF!,1,FALSE())),"?TYPE_IDENTIFIABLE","?REFERENTIAL"),"_")))))</f>
        <v/>
      </c>
      <c r="H1824" s="13" t="str">
        <f aca="false">IF(J1824&lt;&gt;1,"",IF(I1824="SBJ","CB","?"))</f>
        <v/>
      </c>
      <c r="I1824" s="14" t="str">
        <f aca="false">IF(OR(E1824="",E1824="!!!",F1824="NEW"),"",INDEX(B$2:B1823,-1+SUMPRODUCT(MAX(ROW(E$2:E1823)*(E1824=E$2:E1823)))))</f>
        <v/>
      </c>
      <c r="J1824" s="15" t="str">
        <f aca="true">IF(OR(E1824="",E1824="!!!",F1824="NEW"),"",COUNTBLANK(OFFSET(A$1,,,SUMPRODUCT(MAX(ROW(E$2:E1824)*(E1824=E$2:E1824)))))-COUNTBLANK(OFFSET(A$1,,,SUMPRODUCT(MAX(ROW(E$1:E1823)*(E1824=E$1:E1823))))))</f>
        <v/>
      </c>
      <c r="K1824" s="15" t="str">
        <f aca="false">IF(OR(E1824="",E1824="!!!",F1824="NEW"),"",INDEX(J$1:J1823,SUMPRODUCT(MAX(ROW(E$1:E1823)*(E1824=E$1:E1823)))))</f>
        <v/>
      </c>
      <c r="L1824" s="16"/>
    </row>
    <row r="1825" customFormat="false" ht="12.8" hidden="false" customHeight="false" outlineLevel="0" collapsed="false">
      <c r="A1825" s="0" t="s">
        <v>152</v>
      </c>
      <c r="E1825" s="10" t="str">
        <f aca="false">IF(D1825="?OLD","!!!","")</f>
        <v/>
      </c>
      <c r="F1825" s="11" t="str">
        <f aca="false">IF(OR(E1825="",E1825="!!!"),"",IF(NOT(ISNA(VLOOKUP(E1825,E$1:E1824,1,FALSE()))),"OLD",IF(AND(E1825&lt;&gt;"",E1825&lt;&gt;"!!!"),"NEW","")))</f>
        <v/>
      </c>
      <c r="G1825" s="12" t="str">
        <f aca="false">IF(OR(E1825="",E1825="!!!"),"",IF(OR(J1825=0,AND(J1825=1,K1825=1),AND(J1825=1,I1825="SBJ"),AND(J1825=1,I1825=0)),"?IN_FOCUS",IF(J1825&lt;=2,"?ACTIVATED",IF(J1825&lt;&gt;"","?FAMILIAR",IF(F1825="NEW",IF(ISNA(VLOOKUP(E1825,#REF!,1,FALSE())),"?TYPE_IDENTIFIABLE","?REFERENTIAL"),"_")))))</f>
        <v/>
      </c>
      <c r="H1825" s="13" t="str">
        <f aca="false">IF(J1825&lt;&gt;1,"",IF(I1825="SBJ","CB","?"))</f>
        <v/>
      </c>
      <c r="I1825" s="14" t="str">
        <f aca="false">IF(OR(E1825="",E1825="!!!",F1825="NEW"),"",INDEX(B$2:B1824,-1+SUMPRODUCT(MAX(ROW(E$2:E1824)*(E1825=E$2:E1824)))))</f>
        <v/>
      </c>
      <c r="J1825" s="15" t="str">
        <f aca="true">IF(OR(E1825="",E1825="!!!",F1825="NEW"),"",COUNTBLANK(OFFSET(A$1,,,SUMPRODUCT(MAX(ROW(E$2:E1825)*(E1825=E$2:E1825)))))-COUNTBLANK(OFFSET(A$1,,,SUMPRODUCT(MAX(ROW(E$1:E1824)*(E1825=E$1:E1824))))))</f>
        <v/>
      </c>
      <c r="K1825" s="15" t="str">
        <f aca="false">IF(OR(E1825="",E1825="!!!",F1825="NEW"),"",INDEX(J$1:J1824,SUMPRODUCT(MAX(ROW(E$1:E1824)*(E1825=E$1:E1824)))))</f>
        <v/>
      </c>
      <c r="L1825" s="16"/>
    </row>
    <row r="1826" customFormat="false" ht="12.8" hidden="false" customHeight="false" outlineLevel="0" collapsed="false">
      <c r="A1826" s="0" t="s">
        <v>831</v>
      </c>
      <c r="E1826" s="10" t="str">
        <f aca="false">IF(D1826="?OLD","!!!","")</f>
        <v/>
      </c>
      <c r="F1826" s="11" t="str">
        <f aca="false">IF(OR(E1826="",E1826="!!!"),"",IF(NOT(ISNA(VLOOKUP(E1826,E$1:E1825,1,FALSE()))),"OLD",IF(AND(E1826&lt;&gt;"",E1826&lt;&gt;"!!!"),"NEW","")))</f>
        <v/>
      </c>
      <c r="G1826" s="12" t="str">
        <f aca="false">IF(OR(E1826="",E1826="!!!"),"",IF(OR(J1826=0,AND(J1826=1,K1826=1),AND(J1826=1,I1826="SBJ"),AND(J1826=1,I1826=0)),"?IN_FOCUS",IF(J1826&lt;=2,"?ACTIVATED",IF(J1826&lt;&gt;"","?FAMILIAR",IF(F1826="NEW",IF(ISNA(VLOOKUP(E1826,#REF!,1,FALSE())),"?TYPE_IDENTIFIABLE","?REFERENTIAL"),"_")))))</f>
        <v/>
      </c>
      <c r="H1826" s="13" t="str">
        <f aca="false">IF(J1826&lt;&gt;1,"",IF(I1826="SBJ","CB","?"))</f>
        <v/>
      </c>
      <c r="I1826" s="14" t="str">
        <f aca="false">IF(OR(E1826="",E1826="!!!",F1826="NEW"),"",INDEX(B$2:B1825,-1+SUMPRODUCT(MAX(ROW(E$2:E1825)*(E1826=E$2:E1825)))))</f>
        <v/>
      </c>
      <c r="J1826" s="15" t="str">
        <f aca="true">IF(OR(E1826="",E1826="!!!",F1826="NEW"),"",COUNTBLANK(OFFSET(A$1,,,SUMPRODUCT(MAX(ROW(E$2:E1826)*(E1826=E$2:E1826)))))-COUNTBLANK(OFFSET(A$1,,,SUMPRODUCT(MAX(ROW(E$1:E1825)*(E1826=E$1:E1825))))))</f>
        <v/>
      </c>
      <c r="K1826" s="15" t="str">
        <f aca="false">IF(OR(E1826="",E1826="!!!",F1826="NEW"),"",INDEX(J$1:J1825,SUMPRODUCT(MAX(ROW(E$1:E1825)*(E1826=E$1:E1825)))))</f>
        <v/>
      </c>
      <c r="L1826" s="16"/>
    </row>
    <row r="1827" customFormat="false" ht="12.8" hidden="false" customHeight="false" outlineLevel="0" collapsed="false">
      <c r="A1827" s="0" t="s">
        <v>154</v>
      </c>
      <c r="E1827" s="10" t="str">
        <f aca="false">IF(D1827="?OLD","!!!","")</f>
        <v/>
      </c>
      <c r="F1827" s="11" t="str">
        <f aca="false">IF(OR(E1827="",E1827="!!!"),"",IF(NOT(ISNA(VLOOKUP(E1827,E$1:E1826,1,FALSE()))),"OLD",IF(AND(E1827&lt;&gt;"",E1827&lt;&gt;"!!!"),"NEW","")))</f>
        <v/>
      </c>
      <c r="G1827" s="12" t="str">
        <f aca="false">IF(OR(E1827="",E1827="!!!"),"",IF(OR(J1827=0,AND(J1827=1,K1827=1),AND(J1827=1,I1827="SBJ"),AND(J1827=1,I1827=0)),"?IN_FOCUS",IF(J1827&lt;=2,"?ACTIVATED",IF(J1827&lt;&gt;"","?FAMILIAR",IF(F1827="NEW",IF(ISNA(VLOOKUP(E1827,#REF!,1,FALSE())),"?TYPE_IDENTIFIABLE","?REFERENTIAL"),"_")))))</f>
        <v/>
      </c>
      <c r="H1827" s="13" t="str">
        <f aca="false">IF(J1827&lt;&gt;1,"",IF(I1827="SBJ","CB","?"))</f>
        <v/>
      </c>
      <c r="I1827" s="14" t="str">
        <f aca="false">IF(OR(E1827="",E1827="!!!",F1827="NEW"),"",INDEX(B$2:B1826,-1+SUMPRODUCT(MAX(ROW(E$2:E1826)*(E1827=E$2:E1826)))))</f>
        <v/>
      </c>
      <c r="J1827" s="15" t="str">
        <f aca="true">IF(OR(E1827="",E1827="!!!",F1827="NEW"),"",COUNTBLANK(OFFSET(A$1,,,SUMPRODUCT(MAX(ROW(E$2:E1827)*(E1827=E$2:E1827)))))-COUNTBLANK(OFFSET(A$1,,,SUMPRODUCT(MAX(ROW(E$1:E1826)*(E1827=E$1:E1826))))))</f>
        <v/>
      </c>
      <c r="K1827" s="15" t="str">
        <f aca="false">IF(OR(E1827="",E1827="!!!",F1827="NEW"),"",INDEX(J$1:J1826,SUMPRODUCT(MAX(ROW(E$1:E1826)*(E1827=E$1:E1826)))))</f>
        <v/>
      </c>
      <c r="L1827" s="16"/>
    </row>
    <row r="1828" customFormat="false" ht="12.8" hidden="false" customHeight="false" outlineLevel="0" collapsed="false">
      <c r="A1828" s="0" t="s">
        <v>72</v>
      </c>
      <c r="B1828" s="0" t="s">
        <v>47</v>
      </c>
      <c r="C1828" s="0" t="s">
        <v>48</v>
      </c>
      <c r="D1828" s="0" t="s">
        <v>20</v>
      </c>
      <c r="E1828" s="10" t="s">
        <v>33</v>
      </c>
      <c r="F1828" s="11" t="str">
        <f aca="false">IF(OR(E1828="",E1828="!!!"),"",IF(NOT(ISNA(VLOOKUP(E1828,E$1:E1827,1,FALSE()))),"OLD",IF(AND(E1828&lt;&gt;"",E1828&lt;&gt;"!!!"),"NEW","")))</f>
        <v>OLD</v>
      </c>
      <c r="G1828" s="12" t="s">
        <v>87</v>
      </c>
      <c r="H1828" s="13" t="str">
        <f aca="false">IF(J1828&lt;&gt;1,"",IF(I1828="SBJ","CB","?"))</f>
        <v/>
      </c>
      <c r="I1828" s="14" t="str">
        <f aca="false">IF(OR(E1828="",E1828="!!!",F1828="NEW"),"",INDEX(B$2:B1827,-1+SUMPRODUCT(MAX(ROW(E$2:E1827)*(E1828=E$2:E1827)))))</f>
        <v>SBJ_2</v>
      </c>
      <c r="J1828" s="15" t="n">
        <f aca="true">IF(OR(E1828="",E1828="!!!",F1828="NEW"),"",COUNTBLANK(OFFSET(A$1,,,SUMPRODUCT(MAX(ROW(E$2:E1828)*(E1828=E$2:E1828)))))-COUNTBLANK(OFFSET(A$1,,,SUMPRODUCT(MAX(ROW(E$1:E1827)*(E1828=E$1:E1827))))))</f>
        <v>0</v>
      </c>
      <c r="K1828" s="15" t="n">
        <f aca="false">IF(OR(E1828="",E1828="!!!",F1828="NEW"),"",INDEX(J$1:J1827,SUMPRODUCT(MAX(ROW(E$1:E1827)*(E1828=E$1:E1827)))))</f>
        <v>4</v>
      </c>
      <c r="L1828" s="16"/>
    </row>
    <row r="1829" customFormat="false" ht="12.8" hidden="false" customHeight="false" outlineLevel="0" collapsed="false">
      <c r="A1829" s="0" t="s">
        <v>37</v>
      </c>
      <c r="E1829" s="10" t="str">
        <f aca="false">IF(D1829="?OLD","!!!","")</f>
        <v/>
      </c>
      <c r="F1829" s="11" t="str">
        <f aca="false">IF(OR(E1829="",E1829="!!!"),"",IF(NOT(ISNA(VLOOKUP(E1829,E$1:E1828,1,FALSE()))),"OLD",IF(AND(E1829&lt;&gt;"",E1829&lt;&gt;"!!!"),"NEW","")))</f>
        <v/>
      </c>
      <c r="G1829" s="12" t="str">
        <f aca="false">IF(OR(E1829="",E1829="!!!"),"",IF(OR(J1829=0,AND(J1829=1,K1829=1),AND(J1829=1,I1829="SBJ"),AND(J1829=1,I1829=0)),"?IN_FOCUS",IF(J1829&lt;=2,"?ACTIVATED",IF(J1829&lt;&gt;"","?FAMILIAR",IF(F1829="NEW",IF(ISNA(VLOOKUP(E1829,#REF!,1,FALSE())),"?TYPE_IDENTIFIABLE","?REFERENTIAL"),"_")))))</f>
        <v/>
      </c>
      <c r="H1829" s="13" t="str">
        <f aca="false">IF(J1829&lt;&gt;1,"",IF(I1829="SBJ","CB","?"))</f>
        <v/>
      </c>
      <c r="I1829" s="14" t="str">
        <f aca="false">IF(OR(E1829="",E1829="!!!",F1829="NEW"),"",INDEX(B$2:B1828,-1+SUMPRODUCT(MAX(ROW(E$2:E1828)*(E1829=E$2:E1828)))))</f>
        <v/>
      </c>
      <c r="J1829" s="15" t="str">
        <f aca="true">IF(OR(E1829="",E1829="!!!",F1829="NEW"),"",COUNTBLANK(OFFSET(A$1,,,SUMPRODUCT(MAX(ROW(E$2:E1829)*(E1829=E$2:E1829)))))-COUNTBLANK(OFFSET(A$1,,,SUMPRODUCT(MAX(ROW(E$1:E1828)*(E1829=E$1:E1828))))))</f>
        <v/>
      </c>
      <c r="K1829" s="15" t="str">
        <f aca="false">IF(OR(E1829="",E1829="!!!",F1829="NEW"),"",INDEX(J$1:J1828,SUMPRODUCT(MAX(ROW(E$1:E1828)*(E1829=E$1:E1828)))))</f>
        <v/>
      </c>
      <c r="L1829" s="16"/>
    </row>
    <row r="1830" customFormat="false" ht="12.8" hidden="false" customHeight="false" outlineLevel="0" collapsed="false">
      <c r="A1830" s="0" t="s">
        <v>832</v>
      </c>
      <c r="E1830" s="10" t="str">
        <f aca="false">IF(D1830="?OLD","!!!","")</f>
        <v/>
      </c>
      <c r="F1830" s="11" t="str">
        <f aca="false">IF(OR(E1830="",E1830="!!!"),"",IF(NOT(ISNA(VLOOKUP(E1830,E$1:E1829,1,FALSE()))),"OLD",IF(AND(E1830&lt;&gt;"",E1830&lt;&gt;"!!!"),"NEW","")))</f>
        <v/>
      </c>
      <c r="G1830" s="12" t="str">
        <f aca="false">IF(OR(E1830="",E1830="!!!"),"",IF(OR(J1830=0,AND(J1830=1,K1830=1),AND(J1830=1,I1830="SBJ"),AND(J1830=1,I1830=0)),"?IN_FOCUS",IF(J1830&lt;=2,"?ACTIVATED",IF(J1830&lt;&gt;"","?FAMILIAR",IF(F1830="NEW",IF(ISNA(VLOOKUP(E1830,#REF!,1,FALSE())),"?TYPE_IDENTIFIABLE","?REFERENTIAL"),"_")))))</f>
        <v/>
      </c>
      <c r="H1830" s="13" t="str">
        <f aca="false">IF(J1830&lt;&gt;1,"",IF(I1830="SBJ","CB","?"))</f>
        <v/>
      </c>
      <c r="I1830" s="14" t="str">
        <f aca="false">IF(OR(E1830="",E1830="!!!",F1830="NEW"),"",INDEX(B$2:B1829,-1+SUMPRODUCT(MAX(ROW(E$2:E1829)*(E1830=E$2:E1829)))))</f>
        <v/>
      </c>
      <c r="J1830" s="15" t="str">
        <f aca="true">IF(OR(E1830="",E1830="!!!",F1830="NEW"),"",COUNTBLANK(OFFSET(A$1,,,SUMPRODUCT(MAX(ROW(E$2:E1830)*(E1830=E$2:E1830)))))-COUNTBLANK(OFFSET(A$1,,,SUMPRODUCT(MAX(ROW(E$1:E1829)*(E1830=E$1:E1829))))))</f>
        <v/>
      </c>
      <c r="K1830" s="15" t="str">
        <f aca="false">IF(OR(E1830="",E1830="!!!",F1830="NEW"),"",INDEX(J$1:J1829,SUMPRODUCT(MAX(ROW(E$1:E1829)*(E1830=E$1:E1829)))))</f>
        <v/>
      </c>
      <c r="L1830" s="16"/>
    </row>
    <row r="1831" customFormat="false" ht="12.8" hidden="false" customHeight="false" outlineLevel="0" collapsed="false">
      <c r="A1831" s="0" t="s">
        <v>370</v>
      </c>
      <c r="E1831" s="10" t="str">
        <f aca="false">IF(D1831="?OLD","!!!","")</f>
        <v/>
      </c>
      <c r="F1831" s="11" t="str">
        <f aca="false">IF(OR(E1831="",E1831="!!!"),"",IF(NOT(ISNA(VLOOKUP(E1831,E$1:E1830,1,FALSE()))),"OLD",IF(AND(E1831&lt;&gt;"",E1831&lt;&gt;"!!!"),"NEW","")))</f>
        <v/>
      </c>
      <c r="G1831" s="12" t="str">
        <f aca="false">IF(OR(E1831="",E1831="!!!"),"",IF(OR(J1831=0,AND(J1831=1,K1831=1),AND(J1831=1,I1831="SBJ"),AND(J1831=1,I1831=0)),"?IN_FOCUS",IF(J1831&lt;=2,"?ACTIVATED",IF(J1831&lt;&gt;"","?FAMILIAR",IF(F1831="NEW",IF(ISNA(VLOOKUP(E1831,#REF!,1,FALSE())),"?TYPE_IDENTIFIABLE","?REFERENTIAL"),"_")))))</f>
        <v/>
      </c>
      <c r="H1831" s="13" t="str">
        <f aca="false">IF(J1831&lt;&gt;1,"",IF(I1831="SBJ","CB","?"))</f>
        <v/>
      </c>
      <c r="I1831" s="14" t="str">
        <f aca="false">IF(OR(E1831="",E1831="!!!",F1831="NEW"),"",INDEX(B$2:B1830,-1+SUMPRODUCT(MAX(ROW(E$2:E1830)*(E1831=E$2:E1830)))))</f>
        <v/>
      </c>
      <c r="J1831" s="15" t="str">
        <f aca="true">IF(OR(E1831="",E1831="!!!",F1831="NEW"),"",COUNTBLANK(OFFSET(A$1,,,SUMPRODUCT(MAX(ROW(E$2:E1831)*(E1831=E$2:E1831)))))-COUNTBLANK(OFFSET(A$1,,,SUMPRODUCT(MAX(ROW(E$1:E1830)*(E1831=E$1:E1830))))))</f>
        <v/>
      </c>
      <c r="K1831" s="15" t="str">
        <f aca="false">IF(OR(E1831="",E1831="!!!",F1831="NEW"),"",INDEX(J$1:J1830,SUMPRODUCT(MAX(ROW(E$1:E1830)*(E1831=E$1:E1830)))))</f>
        <v/>
      </c>
      <c r="L1831" s="16"/>
    </row>
    <row r="1832" customFormat="false" ht="12.8" hidden="false" customHeight="false" outlineLevel="0" collapsed="false">
      <c r="E1832" s="10" t="str">
        <f aca="false">IF(D1832="?OLD","!!!","")</f>
        <v/>
      </c>
      <c r="F1832" s="11" t="str">
        <f aca="false">IF(OR(E1832="",E1832="!!!"),"",IF(NOT(ISNA(VLOOKUP(E1832,E$1:E1831,1,FALSE()))),"OLD",IF(AND(E1832&lt;&gt;"",E1832&lt;&gt;"!!!"),"NEW","")))</f>
        <v/>
      </c>
      <c r="G1832" s="12" t="str">
        <f aca="false">IF(OR(E1832="",E1832="!!!"),"",IF(OR(J1832=0,AND(J1832=1,K1832=1),AND(J1832=1,I1832="SBJ"),AND(J1832=1,I1832=0)),"?IN_FOCUS",IF(J1832&lt;=2,"?ACTIVATED",IF(J1832&lt;&gt;"","?FAMILIAR",IF(F1832="NEW",IF(ISNA(VLOOKUP(E1832,#REF!,1,FALSE())),"?TYPE_IDENTIFIABLE","?REFERENTIAL"),"_")))))</f>
        <v/>
      </c>
      <c r="H1832" s="13" t="str">
        <f aca="false">IF(J1832&lt;&gt;1,"",IF(I1832="SBJ","CB","?"))</f>
        <v/>
      </c>
      <c r="I1832" s="14" t="str">
        <f aca="false">IF(OR(E1832="",E1832="!!!",F1832="NEW"),"",INDEX(B$2:B1831,-1+SUMPRODUCT(MAX(ROW(E$2:E1831)*(E1832=E$2:E1831)))))</f>
        <v/>
      </c>
      <c r="J1832" s="15" t="str">
        <f aca="true">IF(OR(E1832="",E1832="!!!",F1832="NEW"),"",COUNTBLANK(OFFSET(A$1,,,SUMPRODUCT(MAX(ROW(E$2:E1832)*(E1832=E$2:E1832)))))-COUNTBLANK(OFFSET(A$1,,,SUMPRODUCT(MAX(ROW(E$1:E1831)*(E1832=E$1:E1831))))))</f>
        <v/>
      </c>
      <c r="K1832" s="15" t="str">
        <f aca="false">IF(OR(E1832="",E1832="!!!",F1832="NEW"),"",INDEX(J$1:J1831,SUMPRODUCT(MAX(ROW(E$1:E1831)*(E1832=E$1:E1831)))))</f>
        <v/>
      </c>
      <c r="L1832" s="16"/>
    </row>
    <row r="1833" customFormat="false" ht="12.8" hidden="false" customHeight="false" outlineLevel="0" collapsed="false">
      <c r="A1833" s="0" t="s">
        <v>833</v>
      </c>
      <c r="E1833" s="10" t="str">
        <f aca="false">IF(D1833="?OLD","!!!","")</f>
        <v/>
      </c>
      <c r="F1833" s="11" t="str">
        <f aca="false">IF(OR(E1833="",E1833="!!!"),"",IF(NOT(ISNA(VLOOKUP(E1833,E$1:E1832,1,FALSE()))),"OLD",IF(AND(E1833&lt;&gt;"",E1833&lt;&gt;"!!!"),"NEW","")))</f>
        <v/>
      </c>
      <c r="G1833" s="12" t="str">
        <f aca="false">IF(OR(E1833="",E1833="!!!"),"",IF(OR(J1833=0,AND(J1833=1,K1833=1),AND(J1833=1,I1833="SBJ"),AND(J1833=1,I1833=0)),"?IN_FOCUS",IF(J1833&lt;=2,"?ACTIVATED",IF(J1833&lt;&gt;"","?FAMILIAR",IF(F1833="NEW",IF(ISNA(VLOOKUP(E1833,#REF!,1,FALSE())),"?TYPE_IDENTIFIABLE","?REFERENTIAL"),"_")))))</f>
        <v/>
      </c>
      <c r="H1833" s="13" t="str">
        <f aca="false">IF(J1833&lt;&gt;1,"",IF(I1833="SBJ","CB","?"))</f>
        <v/>
      </c>
      <c r="I1833" s="14" t="str">
        <f aca="false">IF(OR(E1833="",E1833="!!!",F1833="NEW"),"",INDEX(B$2:B1832,-1+SUMPRODUCT(MAX(ROW(E$2:E1832)*(E1833=E$2:E1832)))))</f>
        <v/>
      </c>
      <c r="J1833" s="15" t="str">
        <f aca="true">IF(OR(E1833="",E1833="!!!",F1833="NEW"),"",COUNTBLANK(OFFSET(A$1,,,SUMPRODUCT(MAX(ROW(E$2:E1833)*(E1833=E$2:E1833)))))-COUNTBLANK(OFFSET(A$1,,,SUMPRODUCT(MAX(ROW(E$1:E1832)*(E1833=E$1:E1832))))))</f>
        <v/>
      </c>
      <c r="K1833" s="15" t="str">
        <f aca="false">IF(OR(E1833="",E1833="!!!",F1833="NEW"),"",INDEX(J$1:J1832,SUMPRODUCT(MAX(ROW(E$1:E1832)*(E1833=E$1:E1832)))))</f>
        <v/>
      </c>
      <c r="L1833" s="16"/>
    </row>
    <row r="1834" customFormat="false" ht="12.8" hidden="false" customHeight="false" outlineLevel="0" collapsed="false">
      <c r="A1834" s="0" t="s">
        <v>813</v>
      </c>
      <c r="B1834" s="0" t="s">
        <v>14</v>
      </c>
      <c r="C1834" s="0" t="s">
        <v>172</v>
      </c>
      <c r="E1834" s="10" t="str">
        <f aca="false">IF(D1834="?OLD","!!!","")</f>
        <v/>
      </c>
      <c r="F1834" s="11" t="str">
        <f aca="false">IF(OR(E1834="",E1834="!!!"),"",IF(NOT(ISNA(VLOOKUP(E1834,E$1:E1833,1,FALSE()))),"OLD",IF(AND(E1834&lt;&gt;"",E1834&lt;&gt;"!!!"),"NEW","")))</f>
        <v/>
      </c>
      <c r="G1834" s="12" t="str">
        <f aca="false">IF(OR(E1834="",E1834="!!!"),"",IF(OR(J1834=0,AND(J1834=1,K1834=1),AND(J1834=1,I1834="SBJ"),AND(J1834=1,I1834=0)),"?IN_FOCUS",IF(J1834&lt;=2,"?ACTIVATED",IF(J1834&lt;&gt;"","?FAMILIAR",IF(F1834="NEW",IF(ISNA(VLOOKUP(E1834,#REF!,1,FALSE())),"?TYPE_IDENTIFIABLE","?REFERENTIAL"),"_")))))</f>
        <v/>
      </c>
      <c r="H1834" s="13" t="str">
        <f aca="false">IF(J1834&lt;&gt;1,"",IF(I1834="SBJ","CB","?"))</f>
        <v/>
      </c>
      <c r="I1834" s="14" t="str">
        <f aca="false">IF(OR(E1834="",E1834="!!!",F1834="NEW"),"",INDEX(B$2:B1833,-1+SUMPRODUCT(MAX(ROW(E$2:E1833)*(E1834=E$2:E1833)))))</f>
        <v/>
      </c>
      <c r="J1834" s="15" t="str">
        <f aca="true">IF(OR(E1834="",E1834="!!!",F1834="NEW"),"",COUNTBLANK(OFFSET(A$1,,,SUMPRODUCT(MAX(ROW(E$2:E1834)*(E1834=E$2:E1834)))))-COUNTBLANK(OFFSET(A$1,,,SUMPRODUCT(MAX(ROW(E$1:E1833)*(E1834=E$1:E1833))))))</f>
        <v/>
      </c>
      <c r="K1834" s="15" t="str">
        <f aca="false">IF(OR(E1834="",E1834="!!!",F1834="NEW"),"",INDEX(J$1:J1833,SUMPRODUCT(MAX(ROW(E$1:E1833)*(E1834=E$1:E1833)))))</f>
        <v/>
      </c>
      <c r="L1834" s="16"/>
    </row>
    <row r="1835" customFormat="false" ht="12.8" hidden="false" customHeight="false" outlineLevel="0" collapsed="false">
      <c r="A1835" s="0" t="s">
        <v>252</v>
      </c>
      <c r="E1835" s="10" t="str">
        <f aca="false">IF(D1835="?OLD","!!!","")</f>
        <v/>
      </c>
      <c r="F1835" s="11" t="str">
        <f aca="false">IF(OR(E1835="",E1835="!!!"),"",IF(NOT(ISNA(VLOOKUP(E1835,E$1:E1834,1,FALSE()))),"OLD",IF(AND(E1835&lt;&gt;"",E1835&lt;&gt;"!!!"),"NEW","")))</f>
        <v/>
      </c>
      <c r="G1835" s="12" t="str">
        <f aca="false">IF(OR(E1835="",E1835="!!!"),"",IF(OR(J1835=0,AND(J1835=1,K1835=1),AND(J1835=1,I1835="SBJ"),AND(J1835=1,I1835=0)),"?IN_FOCUS",IF(J1835&lt;=2,"?ACTIVATED",IF(J1835&lt;&gt;"","?FAMILIAR",IF(F1835="NEW",IF(ISNA(VLOOKUP(E1835,#REF!,1,FALSE())),"?TYPE_IDENTIFIABLE","?REFERENTIAL"),"_")))))</f>
        <v/>
      </c>
      <c r="H1835" s="13" t="str">
        <f aca="false">IF(J1835&lt;&gt;1,"",IF(I1835="SBJ","CB","?"))</f>
        <v/>
      </c>
      <c r="I1835" s="14" t="str">
        <f aca="false">IF(OR(E1835="",E1835="!!!",F1835="NEW"),"",INDEX(B$2:B1834,-1+SUMPRODUCT(MAX(ROW(E$2:E1834)*(E1835=E$2:E1834)))))</f>
        <v/>
      </c>
      <c r="J1835" s="15" t="str">
        <f aca="true">IF(OR(E1835="",E1835="!!!",F1835="NEW"),"",COUNTBLANK(OFFSET(A$1,,,SUMPRODUCT(MAX(ROW(E$2:E1835)*(E1835=E$2:E1835)))))-COUNTBLANK(OFFSET(A$1,,,SUMPRODUCT(MAX(ROW(E$1:E1834)*(E1835=E$1:E1834))))))</f>
        <v/>
      </c>
      <c r="K1835" s="15" t="str">
        <f aca="false">IF(OR(E1835="",E1835="!!!",F1835="NEW"),"",INDEX(J$1:J1834,SUMPRODUCT(MAX(ROW(E$1:E1834)*(E1835=E$1:E1834)))))</f>
        <v/>
      </c>
      <c r="L1835" s="16"/>
    </row>
    <row r="1836" customFormat="false" ht="12.8" hidden="false" customHeight="false" outlineLevel="0" collapsed="false">
      <c r="A1836" s="0" t="s">
        <v>511</v>
      </c>
      <c r="E1836" s="10" t="s">
        <v>33</v>
      </c>
      <c r="F1836" s="11" t="str">
        <f aca="false">IF(OR(E1836="",E1836="!!!"),"",IF(NOT(ISNA(VLOOKUP(E1836,E$1:E1835,1,FALSE()))),"OLD",IF(AND(E1836&lt;&gt;"",E1836&lt;&gt;"!!!"),"NEW","")))</f>
        <v>OLD</v>
      </c>
      <c r="G1836" s="12" t="s">
        <v>87</v>
      </c>
      <c r="H1836" s="13" t="s">
        <v>7</v>
      </c>
      <c r="I1836" s="14" t="str">
        <f aca="false">IF(OR(E1836="",E1836="!!!",F1836="NEW"),"",INDEX(B$2:B1835,-1+SUMPRODUCT(MAX(ROW(E$2:E1835)*(E1836=E$2:E1835)))))</f>
        <v>SBJ_2</v>
      </c>
      <c r="J1836" s="15" t="n">
        <f aca="true">IF(OR(E1836="",E1836="!!!",F1836="NEW"),"",COUNTBLANK(OFFSET(A$1,,,SUMPRODUCT(MAX(ROW(E$2:E1836)*(E1836=E$2:E1836)))))-COUNTBLANK(OFFSET(A$1,,,SUMPRODUCT(MAX(ROW(E$1:E1835)*(E1836=E$1:E1835))))))</f>
        <v>1</v>
      </c>
      <c r="K1836" s="15" t="n">
        <f aca="false">IF(OR(E1836="",E1836="!!!",F1836="NEW"),"",INDEX(J$1:J1835,SUMPRODUCT(MAX(ROW(E$1:E1835)*(E1836=E$1:E1835)))))</f>
        <v>0</v>
      </c>
      <c r="L1836" s="16" t="s">
        <v>834</v>
      </c>
    </row>
    <row r="1837" customFormat="false" ht="12.8" hidden="false" customHeight="false" outlineLevel="0" collapsed="false">
      <c r="A1837" s="0" t="s">
        <v>37</v>
      </c>
      <c r="E1837" s="10" t="str">
        <f aca="false">IF(D1837="?OLD","!!!","")</f>
        <v/>
      </c>
      <c r="F1837" s="11" t="str">
        <f aca="false">IF(OR(E1837="",E1837="!!!"),"",IF(NOT(ISNA(VLOOKUP(E1837,E$1:E1836,1,FALSE()))),"OLD",IF(AND(E1837&lt;&gt;"",E1837&lt;&gt;"!!!"),"NEW","")))</f>
        <v/>
      </c>
      <c r="G1837" s="12" t="str">
        <f aca="false">IF(OR(E1837="",E1837="!!!"),"",IF(OR(J1837=0,AND(J1837=1,K1837=1),AND(J1837=1,I1837="SBJ"),AND(J1837=1,I1837=0)),"?IN_FOCUS",IF(J1837&lt;=2,"?ACTIVATED",IF(J1837&lt;&gt;"","?FAMILIAR",IF(F1837="NEW",IF(ISNA(VLOOKUP(E1837,#REF!,1,FALSE())),"?TYPE_IDENTIFIABLE","?REFERENTIAL"),"_")))))</f>
        <v/>
      </c>
      <c r="H1837" s="13" t="str">
        <f aca="false">IF(J1837&lt;&gt;1,"",IF(I1837="SBJ","CB","?"))</f>
        <v/>
      </c>
      <c r="I1837" s="14" t="str">
        <f aca="false">IF(OR(E1837="",E1837="!!!",F1837="NEW"),"",INDEX(B$2:B1836,-1+SUMPRODUCT(MAX(ROW(E$2:E1836)*(E1837=E$2:E1836)))))</f>
        <v/>
      </c>
      <c r="J1837" s="15" t="str">
        <f aca="true">IF(OR(E1837="",E1837="!!!",F1837="NEW"),"",COUNTBLANK(OFFSET(A$1,,,SUMPRODUCT(MAX(ROW(E$2:E1837)*(E1837=E$2:E1837)))))-COUNTBLANK(OFFSET(A$1,,,SUMPRODUCT(MAX(ROW(E$1:E1836)*(E1837=E$1:E1836))))))</f>
        <v/>
      </c>
      <c r="K1837" s="15" t="str">
        <f aca="false">IF(OR(E1837="",E1837="!!!",F1837="NEW"),"",INDEX(J$1:J1836,SUMPRODUCT(MAX(ROW(E$1:E1836)*(E1837=E$1:E1836)))))</f>
        <v/>
      </c>
      <c r="L1837" s="16"/>
    </row>
    <row r="1838" customFormat="false" ht="12.8" hidden="false" customHeight="false" outlineLevel="0" collapsed="false">
      <c r="A1838" s="0" t="s">
        <v>55</v>
      </c>
      <c r="E1838" s="10" t="str">
        <f aca="false">IF(D1838="?OLD","!!!","")</f>
        <v/>
      </c>
      <c r="F1838" s="11" t="str">
        <f aca="false">IF(OR(E1838="",E1838="!!!"),"",IF(NOT(ISNA(VLOOKUP(E1838,E$1:E1837,1,FALSE()))),"OLD",IF(AND(E1838&lt;&gt;"",E1838&lt;&gt;"!!!"),"NEW","")))</f>
        <v/>
      </c>
      <c r="G1838" s="12" t="str">
        <f aca="false">IF(OR(E1838="",E1838="!!!"),"",IF(OR(J1838=0,AND(J1838=1,K1838=1),AND(J1838=1,I1838="SBJ"),AND(J1838=1,I1838=0)),"?IN_FOCUS",IF(J1838&lt;=2,"?ACTIVATED",IF(J1838&lt;&gt;"","?FAMILIAR",IF(F1838="NEW",IF(ISNA(VLOOKUP(E1838,#REF!,1,FALSE())),"?TYPE_IDENTIFIABLE","?REFERENTIAL"),"_")))))</f>
        <v/>
      </c>
      <c r="H1838" s="13" t="str">
        <f aca="false">IF(J1838&lt;&gt;1,"",IF(I1838="SBJ","CB","?"))</f>
        <v/>
      </c>
      <c r="I1838" s="14" t="str">
        <f aca="false">IF(OR(E1838="",E1838="!!!",F1838="NEW"),"",INDEX(B$2:B1837,-1+SUMPRODUCT(MAX(ROW(E$2:E1837)*(E1838=E$2:E1837)))))</f>
        <v/>
      </c>
      <c r="J1838" s="15" t="str">
        <f aca="true">IF(OR(E1838="",E1838="!!!",F1838="NEW"),"",COUNTBLANK(OFFSET(A$1,,,SUMPRODUCT(MAX(ROW(E$2:E1838)*(E1838=E$2:E1838)))))-COUNTBLANK(OFFSET(A$1,,,SUMPRODUCT(MAX(ROW(E$1:E1837)*(E1838=E$1:E1837))))))</f>
        <v/>
      </c>
      <c r="K1838" s="15" t="str">
        <f aca="false">IF(OR(E1838="",E1838="!!!",F1838="NEW"),"",INDEX(J$1:J1837,SUMPRODUCT(MAX(ROW(E$1:E1837)*(E1838=E$1:E1837)))))</f>
        <v/>
      </c>
      <c r="L1838" s="16"/>
    </row>
    <row r="1839" customFormat="false" ht="12.8" hidden="false" customHeight="false" outlineLevel="0" collapsed="false">
      <c r="A1839" s="0" t="s">
        <v>57</v>
      </c>
      <c r="E1839" s="10" t="str">
        <f aca="false">IF(D1839="?OLD","!!!","")</f>
        <v/>
      </c>
      <c r="F1839" s="11" t="str">
        <f aca="false">IF(OR(E1839="",E1839="!!!"),"",IF(NOT(ISNA(VLOOKUP(E1839,E$1:E1838,1,FALSE()))),"OLD",IF(AND(E1839&lt;&gt;"",E1839&lt;&gt;"!!!"),"NEW","")))</f>
        <v/>
      </c>
      <c r="G1839" s="12" t="str">
        <f aca="false">IF(OR(E1839="",E1839="!!!"),"",IF(OR(J1839=0,AND(J1839=1,K1839=1),AND(J1839=1,I1839="SBJ"),AND(J1839=1,I1839=0)),"?IN_FOCUS",IF(J1839&lt;=2,"?ACTIVATED",IF(J1839&lt;&gt;"","?FAMILIAR",IF(F1839="NEW",IF(ISNA(VLOOKUP(E1839,#REF!,1,FALSE())),"?TYPE_IDENTIFIABLE","?REFERENTIAL"),"_")))))</f>
        <v/>
      </c>
      <c r="H1839" s="13" t="str">
        <f aca="false">IF(J1839&lt;&gt;1,"",IF(I1839="SBJ","CB","?"))</f>
        <v/>
      </c>
      <c r="I1839" s="14" t="str">
        <f aca="false">IF(OR(E1839="",E1839="!!!",F1839="NEW"),"",INDEX(B$2:B1838,-1+SUMPRODUCT(MAX(ROW(E$2:E1838)*(E1839=E$2:E1838)))))</f>
        <v/>
      </c>
      <c r="J1839" s="15" t="str">
        <f aca="true">IF(OR(E1839="",E1839="!!!",F1839="NEW"),"",COUNTBLANK(OFFSET(A$1,,,SUMPRODUCT(MAX(ROW(E$2:E1839)*(E1839=E$2:E1839)))))-COUNTBLANK(OFFSET(A$1,,,SUMPRODUCT(MAX(ROW(E$1:E1838)*(E1839=E$1:E1838))))))</f>
        <v/>
      </c>
      <c r="K1839" s="15" t="str">
        <f aca="false">IF(OR(E1839="",E1839="!!!",F1839="NEW"),"",INDEX(J$1:J1838,SUMPRODUCT(MAX(ROW(E$1:E1838)*(E1839=E$1:E1838)))))</f>
        <v/>
      </c>
      <c r="L1839" s="16"/>
    </row>
    <row r="1840" customFormat="false" ht="12.8" hidden="false" customHeight="false" outlineLevel="0" collapsed="false">
      <c r="A1840" s="0" t="s">
        <v>808</v>
      </c>
      <c r="E1840" s="10" t="str">
        <f aca="false">IF(D1840="?OLD","!!!","")</f>
        <v/>
      </c>
      <c r="F1840" s="11" t="str">
        <f aca="false">IF(OR(E1840="",E1840="!!!"),"",IF(NOT(ISNA(VLOOKUP(E1840,E$1:E1839,1,FALSE()))),"OLD",IF(AND(E1840&lt;&gt;"",E1840&lt;&gt;"!!!"),"NEW","")))</f>
        <v/>
      </c>
      <c r="G1840" s="12" t="str">
        <f aca="false">IF(OR(E1840="",E1840="!!!"),"",IF(OR(J1840=0,AND(J1840=1,K1840=1),AND(J1840=1,I1840="SBJ"),AND(J1840=1,I1840=0)),"?IN_FOCUS",IF(J1840&lt;=2,"?ACTIVATED",IF(J1840&lt;&gt;"","?FAMILIAR",IF(F1840="NEW",IF(ISNA(VLOOKUP(E1840,#REF!,1,FALSE())),"?TYPE_IDENTIFIABLE","?REFERENTIAL"),"_")))))</f>
        <v/>
      </c>
      <c r="H1840" s="13" t="str">
        <f aca="false">IF(J1840&lt;&gt;1,"",IF(I1840="SBJ","CB","?"))</f>
        <v/>
      </c>
      <c r="I1840" s="14" t="str">
        <f aca="false">IF(OR(E1840="",E1840="!!!",F1840="NEW"),"",INDEX(B$2:B1839,-1+SUMPRODUCT(MAX(ROW(E$2:E1839)*(E1840=E$2:E1839)))))</f>
        <v/>
      </c>
      <c r="J1840" s="15" t="str">
        <f aca="true">IF(OR(E1840="",E1840="!!!",F1840="NEW"),"",COUNTBLANK(OFFSET(A$1,,,SUMPRODUCT(MAX(ROW(E$2:E1840)*(E1840=E$2:E1840)))))-COUNTBLANK(OFFSET(A$1,,,SUMPRODUCT(MAX(ROW(E$1:E1839)*(E1840=E$1:E1839))))))</f>
        <v/>
      </c>
      <c r="K1840" s="15" t="str">
        <f aca="false">IF(OR(E1840="",E1840="!!!",F1840="NEW"),"",INDEX(J$1:J1839,SUMPRODUCT(MAX(ROW(E$1:E1839)*(E1840=E$1:E1839)))))</f>
        <v/>
      </c>
      <c r="L1840" s="16"/>
    </row>
    <row r="1841" customFormat="false" ht="12.8" hidden="false" customHeight="false" outlineLevel="0" collapsed="false">
      <c r="A1841" s="0" t="s">
        <v>809</v>
      </c>
      <c r="B1841" s="0" t="s">
        <v>47</v>
      </c>
      <c r="C1841" s="0" t="s">
        <v>31</v>
      </c>
      <c r="E1841" s="10" t="str">
        <f aca="false">IF(D1841="?OLD","!!!","")</f>
        <v/>
      </c>
      <c r="F1841" s="11" t="str">
        <f aca="false">IF(OR(E1841="",E1841="!!!"),"",IF(NOT(ISNA(VLOOKUP(E1841,E$1:E1840,1,FALSE()))),"OLD",IF(AND(E1841&lt;&gt;"",E1841&lt;&gt;"!!!"),"NEW","")))</f>
        <v/>
      </c>
      <c r="G1841" s="12" t="str">
        <f aca="false">IF(OR(E1841="",E1841="!!!"),"",IF(OR(J1841=0,AND(J1841=1,K1841=1),AND(J1841=1,I1841="SBJ"),AND(J1841=1,I1841=0)),"?IN_FOCUS",IF(J1841&lt;=2,"?ACTIVATED",IF(J1841&lt;&gt;"","?FAMILIAR",IF(F1841="NEW",IF(ISNA(VLOOKUP(E1841,#REF!,1,FALSE())),"?TYPE_IDENTIFIABLE","?REFERENTIAL"),"_")))))</f>
        <v/>
      </c>
      <c r="H1841" s="13" t="str">
        <f aca="false">IF(J1841&lt;&gt;1,"",IF(I1841="SBJ","CB","?"))</f>
        <v/>
      </c>
      <c r="I1841" s="14" t="str">
        <f aca="false">IF(OR(E1841="",E1841="!!!",F1841="NEW"),"",INDEX(B$2:B1840,-1+SUMPRODUCT(MAX(ROW(E$2:E1840)*(E1841=E$2:E1840)))))</f>
        <v/>
      </c>
      <c r="J1841" s="15" t="str">
        <f aca="true">IF(OR(E1841="",E1841="!!!",F1841="NEW"),"",COUNTBLANK(OFFSET(A$1,,,SUMPRODUCT(MAX(ROW(E$2:E1841)*(E1841=E$2:E1841)))))-COUNTBLANK(OFFSET(A$1,,,SUMPRODUCT(MAX(ROW(E$1:E1840)*(E1841=E$1:E1840))))))</f>
        <v/>
      </c>
      <c r="K1841" s="15" t="str">
        <f aca="false">IF(OR(E1841="",E1841="!!!",F1841="NEW"),"",INDEX(J$1:J1840,SUMPRODUCT(MAX(ROW(E$1:E1840)*(E1841=E$1:E1840)))))</f>
        <v/>
      </c>
      <c r="L1841" s="16"/>
    </row>
    <row r="1842" customFormat="false" ht="12.8" hidden="false" customHeight="false" outlineLevel="0" collapsed="false">
      <c r="A1842" s="0" t="s">
        <v>45</v>
      </c>
      <c r="E1842" s="10" t="str">
        <f aca="false">IF(D1842="?OLD","!!!","")</f>
        <v/>
      </c>
      <c r="F1842" s="11" t="str">
        <f aca="false">IF(OR(E1842="",E1842="!!!"),"",IF(NOT(ISNA(VLOOKUP(E1842,E$1:E1841,1,FALSE()))),"OLD",IF(AND(E1842&lt;&gt;"",E1842&lt;&gt;"!!!"),"NEW","")))</f>
        <v/>
      </c>
      <c r="G1842" s="12" t="str">
        <f aca="false">IF(OR(E1842="",E1842="!!!"),"",IF(OR(J1842=0,AND(J1842=1,K1842=1),AND(J1842=1,I1842="SBJ"),AND(J1842=1,I1842=0)),"?IN_FOCUS",IF(J1842&lt;=2,"?ACTIVATED",IF(J1842&lt;&gt;"","?FAMILIAR",IF(F1842="NEW",IF(ISNA(VLOOKUP(E1842,#REF!,1,FALSE())),"?TYPE_IDENTIFIABLE","?REFERENTIAL"),"_")))))</f>
        <v/>
      </c>
      <c r="H1842" s="13" t="str">
        <f aca="false">IF(J1842&lt;&gt;1,"",IF(I1842="SBJ","CB","?"))</f>
        <v/>
      </c>
      <c r="I1842" s="14" t="str">
        <f aca="false">IF(OR(E1842="",E1842="!!!",F1842="NEW"),"",INDEX(B$2:B1841,-1+SUMPRODUCT(MAX(ROW(E$2:E1841)*(E1842=E$2:E1841)))))</f>
        <v/>
      </c>
      <c r="J1842" s="15" t="str">
        <f aca="true">IF(OR(E1842="",E1842="!!!",F1842="NEW"),"",COUNTBLANK(OFFSET(A$1,,,SUMPRODUCT(MAX(ROW(E$2:E1842)*(E1842=E$2:E1842)))))-COUNTBLANK(OFFSET(A$1,,,SUMPRODUCT(MAX(ROW(E$1:E1841)*(E1842=E$1:E1841))))))</f>
        <v/>
      </c>
      <c r="K1842" s="15" t="str">
        <f aca="false">IF(OR(E1842="",E1842="!!!",F1842="NEW"),"",INDEX(J$1:J1841,SUMPRODUCT(MAX(ROW(E$1:E1841)*(E1842=E$1:E1841)))))</f>
        <v/>
      </c>
      <c r="L1842" s="16"/>
    </row>
    <row r="1843" customFormat="false" ht="12.8" hidden="false" customHeight="false" outlineLevel="0" collapsed="false">
      <c r="A1843" s="0" t="s">
        <v>807</v>
      </c>
      <c r="E1843" s="10" t="str">
        <f aca="false">IF(D1843="?OLD","!!!","")</f>
        <v/>
      </c>
      <c r="F1843" s="11" t="str">
        <f aca="false">IF(OR(E1843="",E1843="!!!"),"",IF(NOT(ISNA(VLOOKUP(E1843,E$1:E1842,1,FALSE()))),"OLD",IF(AND(E1843&lt;&gt;"",E1843&lt;&gt;"!!!"),"NEW","")))</f>
        <v/>
      </c>
      <c r="G1843" s="12" t="str">
        <f aca="false">IF(OR(E1843="",E1843="!!!"),"",IF(OR(J1843=0,AND(J1843=1,K1843=1),AND(J1843=1,I1843="SBJ"),AND(J1843=1,I1843=0)),"?IN_FOCUS",IF(J1843&lt;=2,"?ACTIVATED",IF(J1843&lt;&gt;"","?FAMILIAR",IF(F1843="NEW",IF(ISNA(VLOOKUP(E1843,#REF!,1,FALSE())),"?TYPE_IDENTIFIABLE","?REFERENTIAL"),"_")))))</f>
        <v/>
      </c>
      <c r="H1843" s="13" t="str">
        <f aca="false">IF(J1843&lt;&gt;1,"",IF(I1843="SBJ","CB","?"))</f>
        <v/>
      </c>
      <c r="I1843" s="14" t="str">
        <f aca="false">IF(OR(E1843="",E1843="!!!",F1843="NEW"),"",INDEX(B$2:B1842,-1+SUMPRODUCT(MAX(ROW(E$2:E1842)*(E1843=E$2:E1842)))))</f>
        <v/>
      </c>
      <c r="J1843" s="15" t="str">
        <f aca="true">IF(OR(E1843="",E1843="!!!",F1843="NEW"),"",COUNTBLANK(OFFSET(A$1,,,SUMPRODUCT(MAX(ROW(E$2:E1843)*(E1843=E$2:E1843)))))-COUNTBLANK(OFFSET(A$1,,,SUMPRODUCT(MAX(ROW(E$1:E1842)*(E1843=E$1:E1842))))))</f>
        <v/>
      </c>
      <c r="K1843" s="15" t="str">
        <f aca="false">IF(OR(E1843="",E1843="!!!",F1843="NEW"),"",INDEX(J$1:J1842,SUMPRODUCT(MAX(ROW(E$1:E1842)*(E1843=E$1:E1842)))))</f>
        <v/>
      </c>
      <c r="L1843" s="16"/>
    </row>
    <row r="1844" customFormat="false" ht="12.8" hidden="false" customHeight="false" outlineLevel="0" collapsed="false">
      <c r="A1844" s="0" t="s">
        <v>306</v>
      </c>
      <c r="B1844" s="0" t="s">
        <v>96</v>
      </c>
      <c r="C1844" s="0" t="s">
        <v>31</v>
      </c>
      <c r="E1844" s="10" t="str">
        <f aca="false">IF(D1844="?OLD","!!!","")</f>
        <v/>
      </c>
      <c r="F1844" s="11" t="str">
        <f aca="false">IF(OR(E1844="",E1844="!!!"),"",IF(NOT(ISNA(VLOOKUP(E1844,E$1:E1843,1,FALSE()))),"OLD",IF(AND(E1844&lt;&gt;"",E1844&lt;&gt;"!!!"),"NEW","")))</f>
        <v/>
      </c>
      <c r="G1844" s="12" t="str">
        <f aca="false">IF(OR(E1844="",E1844="!!!"),"",IF(OR(J1844=0,AND(J1844=1,K1844=1),AND(J1844=1,I1844="SBJ"),AND(J1844=1,I1844=0)),"?IN_FOCUS",IF(J1844&lt;=2,"?ACTIVATED",IF(J1844&lt;&gt;"","?FAMILIAR",IF(F1844="NEW",IF(ISNA(VLOOKUP(E1844,#REF!,1,FALSE())),"?TYPE_IDENTIFIABLE","?REFERENTIAL"),"_")))))</f>
        <v/>
      </c>
      <c r="H1844" s="13" t="str">
        <f aca="false">IF(J1844&lt;&gt;1,"",IF(I1844="SBJ","CB","?"))</f>
        <v/>
      </c>
      <c r="I1844" s="14" t="str">
        <f aca="false">IF(OR(E1844="",E1844="!!!",F1844="NEW"),"",INDEX(B$2:B1843,-1+SUMPRODUCT(MAX(ROW(E$2:E1843)*(E1844=E$2:E1843)))))</f>
        <v/>
      </c>
      <c r="J1844" s="15" t="str">
        <f aca="true">IF(OR(E1844="",E1844="!!!",F1844="NEW"),"",COUNTBLANK(OFFSET(A$1,,,SUMPRODUCT(MAX(ROW(E$2:E1844)*(E1844=E$2:E1844)))))-COUNTBLANK(OFFSET(A$1,,,SUMPRODUCT(MAX(ROW(E$1:E1843)*(E1844=E$1:E1843))))))</f>
        <v/>
      </c>
      <c r="K1844" s="15" t="str">
        <f aca="false">IF(OR(E1844="",E1844="!!!",F1844="NEW"),"",INDEX(J$1:J1843,SUMPRODUCT(MAX(ROW(E$1:E1843)*(E1844=E$1:E1843)))))</f>
        <v/>
      </c>
      <c r="L1844" s="16"/>
    </row>
    <row r="1845" customFormat="false" ht="12.8" hidden="false" customHeight="false" outlineLevel="0" collapsed="false">
      <c r="A1845" s="0" t="s">
        <v>370</v>
      </c>
      <c r="E1845" s="10" t="str">
        <f aca="false">IF(D1845="?OLD","!!!","")</f>
        <v/>
      </c>
      <c r="F1845" s="11" t="str">
        <f aca="false">IF(OR(E1845="",E1845="!!!"),"",IF(NOT(ISNA(VLOOKUP(E1845,E$1:E1844,1,FALSE()))),"OLD",IF(AND(E1845&lt;&gt;"",E1845&lt;&gt;"!!!"),"NEW","")))</f>
        <v/>
      </c>
      <c r="G1845" s="12" t="str">
        <f aca="false">IF(OR(E1845="",E1845="!!!"),"",IF(OR(J1845=0,AND(J1845=1,K1845=1),AND(J1845=1,I1845="SBJ"),AND(J1845=1,I1845=0)),"?IN_FOCUS",IF(J1845&lt;=2,"?ACTIVATED",IF(J1845&lt;&gt;"","?FAMILIAR",IF(F1845="NEW",IF(ISNA(VLOOKUP(E1845,#REF!,1,FALSE())),"?TYPE_IDENTIFIABLE","?REFERENTIAL"),"_")))))</f>
        <v/>
      </c>
      <c r="H1845" s="13" t="str">
        <f aca="false">IF(J1845&lt;&gt;1,"",IF(I1845="SBJ","CB","?"))</f>
        <v/>
      </c>
      <c r="I1845" s="14" t="str">
        <f aca="false">IF(OR(E1845="",E1845="!!!",F1845="NEW"),"",INDEX(B$2:B1844,-1+SUMPRODUCT(MAX(ROW(E$2:E1844)*(E1845=E$2:E1844)))))</f>
        <v/>
      </c>
      <c r="J1845" s="15" t="str">
        <f aca="true">IF(OR(E1845="",E1845="!!!",F1845="NEW"),"",COUNTBLANK(OFFSET(A$1,,,SUMPRODUCT(MAX(ROW(E$2:E1845)*(E1845=E$2:E1845)))))-COUNTBLANK(OFFSET(A$1,,,SUMPRODUCT(MAX(ROW(E$1:E1844)*(E1845=E$1:E1844))))))</f>
        <v/>
      </c>
      <c r="K1845" s="15" t="str">
        <f aca="false">IF(OR(E1845="",E1845="!!!",F1845="NEW"),"",INDEX(J$1:J1844,SUMPRODUCT(MAX(ROW(E$1:E1844)*(E1845=E$1:E1844)))))</f>
        <v/>
      </c>
      <c r="L1845" s="16"/>
    </row>
    <row r="1846" customFormat="false" ht="12.8" hidden="false" customHeight="false" outlineLevel="0" collapsed="false">
      <c r="E1846" s="10" t="str">
        <f aca="false">IF(D1846="?OLD","!!!","")</f>
        <v/>
      </c>
      <c r="F1846" s="11" t="str">
        <f aca="false">IF(OR(E1846="",E1846="!!!"),"",IF(NOT(ISNA(VLOOKUP(E1846,E$1:E1845,1,FALSE()))),"OLD",IF(AND(E1846&lt;&gt;"",E1846&lt;&gt;"!!!"),"NEW","")))</f>
        <v/>
      </c>
      <c r="G1846" s="12" t="str">
        <f aca="false">IF(OR(E1846="",E1846="!!!"),"",IF(OR(J1846=0,AND(J1846=1,K1846=1),AND(J1846=1,I1846="SBJ"),AND(J1846=1,I1846=0)),"?IN_FOCUS",IF(J1846&lt;=2,"?ACTIVATED",IF(J1846&lt;&gt;"","?FAMILIAR",IF(F1846="NEW",IF(ISNA(VLOOKUP(E1846,#REF!,1,FALSE())),"?TYPE_IDENTIFIABLE","?REFERENTIAL"),"_")))))</f>
        <v/>
      </c>
      <c r="H1846" s="13" t="str">
        <f aca="false">IF(J1846&lt;&gt;1,"",IF(I1846="SBJ","CB","?"))</f>
        <v/>
      </c>
      <c r="I1846" s="14" t="str">
        <f aca="false">IF(OR(E1846="",E1846="!!!",F1846="NEW"),"",INDEX(B$2:B1845,-1+SUMPRODUCT(MAX(ROW(E$2:E1845)*(E1846=E$2:E1845)))))</f>
        <v/>
      </c>
      <c r="J1846" s="15" t="str">
        <f aca="true">IF(OR(E1846="",E1846="!!!",F1846="NEW"),"",COUNTBLANK(OFFSET(A$1,,,SUMPRODUCT(MAX(ROW(E$2:E1846)*(E1846=E$2:E1846)))))-COUNTBLANK(OFFSET(A$1,,,SUMPRODUCT(MAX(ROW(E$1:E1845)*(E1846=E$1:E1845))))))</f>
        <v/>
      </c>
      <c r="K1846" s="15" t="str">
        <f aca="false">IF(OR(E1846="",E1846="!!!",F1846="NEW"),"",INDEX(J$1:J1845,SUMPRODUCT(MAX(ROW(E$1:E1845)*(E1846=E$1:E1845)))))</f>
        <v/>
      </c>
      <c r="L1846" s="16"/>
    </row>
    <row r="1847" customFormat="false" ht="12.8" hidden="false" customHeight="false" outlineLevel="0" collapsed="false">
      <c r="A1847" s="0" t="s">
        <v>835</v>
      </c>
      <c r="E1847" s="10" t="str">
        <f aca="false">IF(D1847="?OLD","!!!","")</f>
        <v/>
      </c>
      <c r="F1847" s="11" t="str">
        <f aca="false">IF(OR(E1847="",E1847="!!!"),"",IF(NOT(ISNA(VLOOKUP(E1847,E$1:E1846,1,FALSE()))),"OLD",IF(AND(E1847&lt;&gt;"",E1847&lt;&gt;"!!!"),"NEW","")))</f>
        <v/>
      </c>
      <c r="G1847" s="12" t="str">
        <f aca="false">IF(OR(E1847="",E1847="!!!"),"",IF(OR(J1847=0,AND(J1847=1,K1847=1),AND(J1847=1,I1847="SBJ"),AND(J1847=1,I1847=0)),"?IN_FOCUS",IF(J1847&lt;=2,"?ACTIVATED",IF(J1847&lt;&gt;"","?FAMILIAR",IF(F1847="NEW",IF(ISNA(VLOOKUP(E1847,#REF!,1,FALSE())),"?TYPE_IDENTIFIABLE","?REFERENTIAL"),"_")))))</f>
        <v/>
      </c>
      <c r="H1847" s="13" t="str">
        <f aca="false">IF(J1847&lt;&gt;1,"",IF(I1847="SBJ","CB","?"))</f>
        <v/>
      </c>
      <c r="I1847" s="14" t="str">
        <f aca="false">IF(OR(E1847="",E1847="!!!",F1847="NEW"),"",INDEX(B$2:B1846,-1+SUMPRODUCT(MAX(ROW(E$2:E1846)*(E1847=E$2:E1846)))))</f>
        <v/>
      </c>
      <c r="J1847" s="15" t="str">
        <f aca="true">IF(OR(E1847="",E1847="!!!",F1847="NEW"),"",COUNTBLANK(OFFSET(A$1,,,SUMPRODUCT(MAX(ROW(E$2:E1847)*(E1847=E$2:E1847)))))-COUNTBLANK(OFFSET(A$1,,,SUMPRODUCT(MAX(ROW(E$1:E1846)*(E1847=E$1:E1846))))))</f>
        <v/>
      </c>
      <c r="K1847" s="15" t="str">
        <f aca="false">IF(OR(E1847="",E1847="!!!",F1847="NEW"),"",INDEX(J$1:J1846,SUMPRODUCT(MAX(ROW(E$1:E1846)*(E1847=E$1:E1846)))))</f>
        <v/>
      </c>
      <c r="L1847" s="16"/>
    </row>
    <row r="1848" customFormat="false" ht="12.8" hidden="false" customHeight="false" outlineLevel="0" collapsed="false">
      <c r="A1848" s="0" t="s">
        <v>213</v>
      </c>
      <c r="E1848" s="10" t="str">
        <f aca="false">IF(D1848="?OLD","!!!","")</f>
        <v/>
      </c>
      <c r="F1848" s="11" t="str">
        <f aca="false">IF(OR(E1848="",E1848="!!!"),"",IF(NOT(ISNA(VLOOKUP(E1848,E$1:E1847,1,FALSE()))),"OLD",IF(AND(E1848&lt;&gt;"",E1848&lt;&gt;"!!!"),"NEW","")))</f>
        <v/>
      </c>
      <c r="G1848" s="12" t="str">
        <f aca="false">IF(OR(E1848="",E1848="!!!"),"",IF(OR(J1848=0,AND(J1848=1,K1848=1),AND(J1848=1,I1848="SBJ"),AND(J1848=1,I1848=0)),"?IN_FOCUS",IF(J1848&lt;=2,"?ACTIVATED",IF(J1848&lt;&gt;"","?FAMILIAR",IF(F1848="NEW",IF(ISNA(VLOOKUP(E1848,#REF!,1,FALSE())),"?TYPE_IDENTIFIABLE","?REFERENTIAL"),"_")))))</f>
        <v/>
      </c>
      <c r="H1848" s="13" t="str">
        <f aca="false">IF(J1848&lt;&gt;1,"",IF(I1848="SBJ","CB","?"))</f>
        <v/>
      </c>
      <c r="I1848" s="14" t="str">
        <f aca="false">IF(OR(E1848="",E1848="!!!",F1848="NEW"),"",INDEX(B$2:B1847,-1+SUMPRODUCT(MAX(ROW(E$2:E1847)*(E1848=E$2:E1847)))))</f>
        <v/>
      </c>
      <c r="J1848" s="15" t="str">
        <f aca="true">IF(OR(E1848="",E1848="!!!",F1848="NEW"),"",COUNTBLANK(OFFSET(A$1,,,SUMPRODUCT(MAX(ROW(E$2:E1848)*(E1848=E$2:E1848)))))-COUNTBLANK(OFFSET(A$1,,,SUMPRODUCT(MAX(ROW(E$1:E1847)*(E1848=E$1:E1847))))))</f>
        <v/>
      </c>
      <c r="K1848" s="15" t="str">
        <f aca="false">IF(OR(E1848="",E1848="!!!",F1848="NEW"),"",INDEX(J$1:J1847,SUMPRODUCT(MAX(ROW(E$1:E1847)*(E1848=E$1:E1847)))))</f>
        <v/>
      </c>
      <c r="L1848" s="16"/>
    </row>
    <row r="1849" customFormat="false" ht="12.8" hidden="false" customHeight="false" outlineLevel="0" collapsed="false">
      <c r="A1849" s="0" t="s">
        <v>179</v>
      </c>
      <c r="E1849" s="10" t="str">
        <f aca="false">IF(D1849="?OLD","!!!","")</f>
        <v/>
      </c>
      <c r="F1849" s="11" t="str">
        <f aca="false">IF(OR(E1849="",E1849="!!!"),"",IF(NOT(ISNA(VLOOKUP(E1849,E$1:E1848,1,FALSE()))),"OLD",IF(AND(E1849&lt;&gt;"",E1849&lt;&gt;"!!!"),"NEW","")))</f>
        <v/>
      </c>
      <c r="G1849" s="12" t="str">
        <f aca="false">IF(OR(E1849="",E1849="!!!"),"",IF(OR(J1849=0,AND(J1849=1,K1849=1),AND(J1849=1,I1849="SBJ"),AND(J1849=1,I1849=0)),"?IN_FOCUS",IF(J1849&lt;=2,"?ACTIVATED",IF(J1849&lt;&gt;"","?FAMILIAR",IF(F1849="NEW",IF(ISNA(VLOOKUP(E1849,#REF!,1,FALSE())),"?TYPE_IDENTIFIABLE","?REFERENTIAL"),"_")))))</f>
        <v/>
      </c>
      <c r="H1849" s="13" t="str">
        <f aca="false">IF(J1849&lt;&gt;1,"",IF(I1849="SBJ","CB","?"))</f>
        <v/>
      </c>
      <c r="I1849" s="14" t="str">
        <f aca="false">IF(OR(E1849="",E1849="!!!",F1849="NEW"),"",INDEX(B$2:B1848,-1+SUMPRODUCT(MAX(ROW(E$2:E1848)*(E1849=E$2:E1848)))))</f>
        <v/>
      </c>
      <c r="J1849" s="15" t="str">
        <f aca="true">IF(OR(E1849="",E1849="!!!",F1849="NEW"),"",COUNTBLANK(OFFSET(A$1,,,SUMPRODUCT(MAX(ROW(E$2:E1849)*(E1849=E$2:E1849)))))-COUNTBLANK(OFFSET(A$1,,,SUMPRODUCT(MAX(ROW(E$1:E1848)*(E1849=E$1:E1848))))))</f>
        <v/>
      </c>
      <c r="K1849" s="15" t="str">
        <f aca="false">IF(OR(E1849="",E1849="!!!",F1849="NEW"),"",INDEX(J$1:J1848,SUMPRODUCT(MAX(ROW(E$1:E1848)*(E1849=E$1:E1848)))))</f>
        <v/>
      </c>
      <c r="L1849" s="16"/>
    </row>
    <row r="1850" customFormat="false" ht="12.8" hidden="false" customHeight="false" outlineLevel="0" collapsed="false">
      <c r="A1850" s="0" t="s">
        <v>836</v>
      </c>
      <c r="E1850" s="10" t="str">
        <f aca="false">IF(D1850="?OLD","!!!","")</f>
        <v/>
      </c>
      <c r="F1850" s="11" t="str">
        <f aca="false">IF(OR(E1850="",E1850="!!!"),"",IF(NOT(ISNA(VLOOKUP(E1850,E$1:E1849,1,FALSE()))),"OLD",IF(AND(E1850&lt;&gt;"",E1850&lt;&gt;"!!!"),"NEW","")))</f>
        <v/>
      </c>
      <c r="G1850" s="12" t="str">
        <f aca="false">IF(OR(E1850="",E1850="!!!"),"",IF(OR(J1850=0,AND(J1850=1,K1850=1),AND(J1850=1,I1850="SBJ"),AND(J1850=1,I1850=0)),"?IN_FOCUS",IF(J1850&lt;=2,"?ACTIVATED",IF(J1850&lt;&gt;"","?FAMILIAR",IF(F1850="NEW",IF(ISNA(VLOOKUP(E1850,#REF!,1,FALSE())),"?TYPE_IDENTIFIABLE","?REFERENTIAL"),"_")))))</f>
        <v/>
      </c>
      <c r="H1850" s="13" t="str">
        <f aca="false">IF(J1850&lt;&gt;1,"",IF(I1850="SBJ","CB","?"))</f>
        <v/>
      </c>
      <c r="I1850" s="14" t="str">
        <f aca="false">IF(OR(E1850="",E1850="!!!",F1850="NEW"),"",INDEX(B$2:B1849,-1+SUMPRODUCT(MAX(ROW(E$2:E1849)*(E1850=E$2:E1849)))))</f>
        <v/>
      </c>
      <c r="J1850" s="15" t="str">
        <f aca="true">IF(OR(E1850="",E1850="!!!",F1850="NEW"),"",COUNTBLANK(OFFSET(A$1,,,SUMPRODUCT(MAX(ROW(E$2:E1850)*(E1850=E$2:E1850)))))-COUNTBLANK(OFFSET(A$1,,,SUMPRODUCT(MAX(ROW(E$1:E1849)*(E1850=E$1:E1849))))))</f>
        <v/>
      </c>
      <c r="K1850" s="15" t="str">
        <f aca="false">IF(OR(E1850="",E1850="!!!",F1850="NEW"),"",INDEX(J$1:J1849,SUMPRODUCT(MAX(ROW(E$1:E1849)*(E1850=E$1:E1849)))))</f>
        <v/>
      </c>
      <c r="L1850" s="16"/>
    </row>
    <row r="1851" customFormat="false" ht="12.8" hidden="false" customHeight="false" outlineLevel="0" collapsed="false">
      <c r="A1851" s="0" t="s">
        <v>837</v>
      </c>
      <c r="B1851" s="0" t="s">
        <v>34</v>
      </c>
      <c r="C1851" s="0" t="s">
        <v>181</v>
      </c>
      <c r="E1851" s="10" t="str">
        <f aca="false">IF(D1851="?OLD","!!!","")</f>
        <v/>
      </c>
      <c r="F1851" s="11" t="str">
        <f aca="false">IF(OR(E1851="",E1851="!!!"),"",IF(NOT(ISNA(VLOOKUP(E1851,E$1:E1850,1,FALSE()))),"OLD",IF(AND(E1851&lt;&gt;"",E1851&lt;&gt;"!!!"),"NEW","")))</f>
        <v/>
      </c>
      <c r="G1851" s="12" t="str">
        <f aca="false">IF(OR(E1851="",E1851="!!!"),"",IF(OR(J1851=0,AND(J1851=1,K1851=1),AND(J1851=1,I1851="SBJ"),AND(J1851=1,I1851=0)),"?IN_FOCUS",IF(J1851&lt;=2,"?ACTIVATED",IF(J1851&lt;&gt;"","?FAMILIAR",IF(F1851="NEW",IF(ISNA(VLOOKUP(E1851,#REF!,1,FALSE())),"?TYPE_IDENTIFIABLE","?REFERENTIAL"),"_")))))</f>
        <v/>
      </c>
      <c r="H1851" s="13" t="str">
        <f aca="false">IF(J1851&lt;&gt;1,"",IF(I1851="SBJ","CB","?"))</f>
        <v/>
      </c>
      <c r="I1851" s="14" t="str">
        <f aca="false">IF(OR(E1851="",E1851="!!!",F1851="NEW"),"",INDEX(B$2:B1850,-1+SUMPRODUCT(MAX(ROW(E$2:E1850)*(E1851=E$2:E1850)))))</f>
        <v/>
      </c>
      <c r="J1851" s="15" t="str">
        <f aca="true">IF(OR(E1851="",E1851="!!!",F1851="NEW"),"",COUNTBLANK(OFFSET(A$1,,,SUMPRODUCT(MAX(ROW(E$2:E1851)*(E1851=E$2:E1851)))))-COUNTBLANK(OFFSET(A$1,,,SUMPRODUCT(MAX(ROW(E$1:E1850)*(E1851=E$1:E1850))))))</f>
        <v/>
      </c>
      <c r="K1851" s="15" t="str">
        <f aca="false">IF(OR(E1851="",E1851="!!!",F1851="NEW"),"",INDEX(J$1:J1850,SUMPRODUCT(MAX(ROW(E$1:E1850)*(E1851=E$1:E1850)))))</f>
        <v/>
      </c>
      <c r="L1851" s="16"/>
    </row>
    <row r="1852" customFormat="false" ht="12.8" hidden="false" customHeight="false" outlineLevel="0" collapsed="false">
      <c r="A1852" s="0" t="s">
        <v>838</v>
      </c>
      <c r="E1852" s="10" t="str">
        <f aca="false">IF(D1852="?OLD","!!!","")</f>
        <v/>
      </c>
      <c r="F1852" s="11" t="str">
        <f aca="false">IF(OR(E1852="",E1852="!!!"),"",IF(NOT(ISNA(VLOOKUP(E1852,E$1:E1851,1,FALSE()))),"OLD",IF(AND(E1852&lt;&gt;"",E1852&lt;&gt;"!!!"),"NEW","")))</f>
        <v/>
      </c>
      <c r="G1852" s="12" t="str">
        <f aca="false">IF(OR(E1852="",E1852="!!!"),"",IF(OR(J1852=0,AND(J1852=1,K1852=1),AND(J1852=1,I1852="SBJ"),AND(J1852=1,I1852=0)),"?IN_FOCUS",IF(J1852&lt;=2,"?ACTIVATED",IF(J1852&lt;&gt;"","?FAMILIAR",IF(F1852="NEW",IF(ISNA(VLOOKUP(E1852,#REF!,1,FALSE())),"?TYPE_IDENTIFIABLE","?REFERENTIAL"),"_")))))</f>
        <v/>
      </c>
      <c r="H1852" s="13" t="str">
        <f aca="false">IF(J1852&lt;&gt;1,"",IF(I1852="SBJ","CB","?"))</f>
        <v/>
      </c>
      <c r="I1852" s="14" t="str">
        <f aca="false">IF(OR(E1852="",E1852="!!!",F1852="NEW"),"",INDEX(B$2:B1851,-1+SUMPRODUCT(MAX(ROW(E$2:E1851)*(E1852=E$2:E1851)))))</f>
        <v/>
      </c>
      <c r="J1852" s="15" t="str">
        <f aca="true">IF(OR(E1852="",E1852="!!!",F1852="NEW"),"",COUNTBLANK(OFFSET(A$1,,,SUMPRODUCT(MAX(ROW(E$2:E1852)*(E1852=E$2:E1852)))))-COUNTBLANK(OFFSET(A$1,,,SUMPRODUCT(MAX(ROW(E$1:E1851)*(E1852=E$1:E1851))))))</f>
        <v/>
      </c>
      <c r="K1852" s="15" t="str">
        <f aca="false">IF(OR(E1852="",E1852="!!!",F1852="NEW"),"",INDEX(J$1:J1851,SUMPRODUCT(MAX(ROW(E$1:E1851)*(E1852=E$1:E1851)))))</f>
        <v/>
      </c>
      <c r="L1852" s="16"/>
    </row>
    <row r="1853" customFormat="false" ht="12.8" hidden="false" customHeight="false" outlineLevel="0" collapsed="false">
      <c r="A1853" s="0" t="s">
        <v>203</v>
      </c>
      <c r="E1853" s="10" t="str">
        <f aca="false">IF(D1853="?OLD","!!!","")</f>
        <v/>
      </c>
      <c r="F1853" s="11" t="str">
        <f aca="false">IF(OR(E1853="",E1853="!!!"),"",IF(NOT(ISNA(VLOOKUP(E1853,E$1:E1852,1,FALSE()))),"OLD",IF(AND(E1853&lt;&gt;"",E1853&lt;&gt;"!!!"),"NEW","")))</f>
        <v/>
      </c>
      <c r="G1853" s="12" t="str">
        <f aca="false">IF(OR(E1853="",E1853="!!!"),"",IF(OR(J1853=0,AND(J1853=1,K1853=1),AND(J1853=1,I1853="SBJ"),AND(J1853=1,I1853=0)),"?IN_FOCUS",IF(J1853&lt;=2,"?ACTIVATED",IF(J1853&lt;&gt;"","?FAMILIAR",IF(F1853="NEW",IF(ISNA(VLOOKUP(E1853,#REF!,1,FALSE())),"?TYPE_IDENTIFIABLE","?REFERENTIAL"),"_")))))</f>
        <v/>
      </c>
      <c r="H1853" s="13" t="str">
        <f aca="false">IF(J1853&lt;&gt;1,"",IF(I1853="SBJ","CB","?"))</f>
        <v/>
      </c>
      <c r="I1853" s="14" t="str">
        <f aca="false">IF(OR(E1853="",E1853="!!!",F1853="NEW"),"",INDEX(B$2:B1852,-1+SUMPRODUCT(MAX(ROW(E$2:E1852)*(E1853=E$2:E1852)))))</f>
        <v/>
      </c>
      <c r="J1853" s="15" t="str">
        <f aca="true">IF(OR(E1853="",E1853="!!!",F1853="NEW"),"",COUNTBLANK(OFFSET(A$1,,,SUMPRODUCT(MAX(ROW(E$2:E1853)*(E1853=E$2:E1853)))))-COUNTBLANK(OFFSET(A$1,,,SUMPRODUCT(MAX(ROW(E$1:E1852)*(E1853=E$1:E1852))))))</f>
        <v/>
      </c>
      <c r="K1853" s="15" t="str">
        <f aca="false">IF(OR(E1853="",E1853="!!!",F1853="NEW"),"",INDEX(J$1:J1852,SUMPRODUCT(MAX(ROW(E$1:E1852)*(E1853=E$1:E1852)))))</f>
        <v/>
      </c>
      <c r="L1853" s="16"/>
    </row>
    <row r="1854" customFormat="false" ht="12.8" hidden="false" customHeight="false" outlineLevel="0" collapsed="false">
      <c r="A1854" s="0" t="s">
        <v>44</v>
      </c>
      <c r="E1854" s="10" t="str">
        <f aca="false">IF(D1854="?OLD","!!!","")</f>
        <v/>
      </c>
      <c r="F1854" s="11" t="str">
        <f aca="false">IF(OR(E1854="",E1854="!!!"),"",IF(NOT(ISNA(VLOOKUP(E1854,E$1:E1853,1,FALSE()))),"OLD",IF(AND(E1854&lt;&gt;"",E1854&lt;&gt;"!!!"),"NEW","")))</f>
        <v/>
      </c>
      <c r="G1854" s="12" t="str">
        <f aca="false">IF(OR(E1854="",E1854="!!!"),"",IF(OR(J1854=0,AND(J1854=1,K1854=1),AND(J1854=1,I1854="SBJ"),AND(J1854=1,I1854=0)),"?IN_FOCUS",IF(J1854&lt;=2,"?ACTIVATED",IF(J1854&lt;&gt;"","?FAMILIAR",IF(F1854="NEW",IF(ISNA(VLOOKUP(E1854,#REF!,1,FALSE())),"?TYPE_IDENTIFIABLE","?REFERENTIAL"),"_")))))</f>
        <v/>
      </c>
      <c r="H1854" s="13" t="str">
        <f aca="false">IF(J1854&lt;&gt;1,"",IF(I1854="SBJ","CB","?"))</f>
        <v/>
      </c>
      <c r="I1854" s="14" t="str">
        <f aca="false">IF(OR(E1854="",E1854="!!!",F1854="NEW"),"",INDEX(B$2:B1853,-1+SUMPRODUCT(MAX(ROW(E$2:E1853)*(E1854=E$2:E1853)))))</f>
        <v/>
      </c>
      <c r="J1854" s="15" t="str">
        <f aca="true">IF(OR(E1854="",E1854="!!!",F1854="NEW"),"",COUNTBLANK(OFFSET(A$1,,,SUMPRODUCT(MAX(ROW(E$2:E1854)*(E1854=E$2:E1854)))))-COUNTBLANK(OFFSET(A$1,,,SUMPRODUCT(MAX(ROW(E$1:E1853)*(E1854=E$1:E1853))))))</f>
        <v/>
      </c>
      <c r="K1854" s="15" t="str">
        <f aca="false">IF(OR(E1854="",E1854="!!!",F1854="NEW"),"",INDEX(J$1:J1853,SUMPRODUCT(MAX(ROW(E$1:E1853)*(E1854=E$1:E1853)))))</f>
        <v/>
      </c>
      <c r="L1854" s="16"/>
    </row>
    <row r="1855" customFormat="false" ht="12.8" hidden="false" customHeight="false" outlineLevel="0" collapsed="false">
      <c r="A1855" s="0" t="s">
        <v>171</v>
      </c>
      <c r="B1855" s="0" t="s">
        <v>170</v>
      </c>
      <c r="C1855" s="0" t="s">
        <v>172</v>
      </c>
      <c r="E1855" s="10" t="str">
        <f aca="false">IF(D1855="?OLD","!!!","")</f>
        <v/>
      </c>
      <c r="F1855" s="11" t="str">
        <f aca="false">IF(OR(E1855="",E1855="!!!"),"",IF(NOT(ISNA(VLOOKUP(E1855,E$1:E1854,1,FALSE()))),"OLD",IF(AND(E1855&lt;&gt;"",E1855&lt;&gt;"!!!"),"NEW","")))</f>
        <v/>
      </c>
      <c r="G1855" s="12" t="str">
        <f aca="false">IF(OR(E1855="",E1855="!!!"),"",IF(OR(J1855=0,AND(J1855=1,K1855=1),AND(J1855=1,I1855="SBJ"),AND(J1855=1,I1855=0)),"?IN_FOCUS",IF(J1855&lt;=2,"?ACTIVATED",IF(J1855&lt;&gt;"","?FAMILIAR",IF(F1855="NEW",IF(ISNA(VLOOKUP(E1855,#REF!,1,FALSE())),"?TYPE_IDENTIFIABLE","?REFERENTIAL"),"_")))))</f>
        <v/>
      </c>
      <c r="H1855" s="13" t="str">
        <f aca="false">IF(J1855&lt;&gt;1,"",IF(I1855="SBJ","CB","?"))</f>
        <v/>
      </c>
      <c r="I1855" s="14" t="str">
        <f aca="false">IF(OR(E1855="",E1855="!!!",F1855="NEW"),"",INDEX(B$2:B1854,-1+SUMPRODUCT(MAX(ROW(E$2:E1854)*(E1855=E$2:E1854)))))</f>
        <v/>
      </c>
      <c r="J1855" s="15" t="str">
        <f aca="true">IF(OR(E1855="",E1855="!!!",F1855="NEW"),"",COUNTBLANK(OFFSET(A$1,,,SUMPRODUCT(MAX(ROW(E$2:E1855)*(E1855=E$2:E1855)))))-COUNTBLANK(OFFSET(A$1,,,SUMPRODUCT(MAX(ROW(E$1:E1854)*(E1855=E$1:E1854))))))</f>
        <v/>
      </c>
      <c r="K1855" s="15" t="str">
        <f aca="false">IF(OR(E1855="",E1855="!!!",F1855="NEW"),"",INDEX(J$1:J1854,SUMPRODUCT(MAX(ROW(E$1:E1854)*(E1855=E$1:E1854)))))</f>
        <v/>
      </c>
      <c r="L1855" s="16"/>
    </row>
    <row r="1856" customFormat="false" ht="12.8" hidden="false" customHeight="false" outlineLevel="0" collapsed="false">
      <c r="A1856" s="0" t="s">
        <v>252</v>
      </c>
      <c r="E1856" s="10" t="str">
        <f aca="false">IF(D1856="?OLD","!!!","")</f>
        <v/>
      </c>
      <c r="F1856" s="11" t="str">
        <f aca="false">IF(OR(E1856="",E1856="!!!"),"",IF(NOT(ISNA(VLOOKUP(E1856,E$1:E1855,1,FALSE()))),"OLD",IF(AND(E1856&lt;&gt;"",E1856&lt;&gt;"!!!"),"NEW","")))</f>
        <v/>
      </c>
      <c r="G1856" s="12" t="str">
        <f aca="false">IF(OR(E1856="",E1856="!!!"),"",IF(OR(J1856=0,AND(J1856=1,K1856=1),AND(J1856=1,I1856="SBJ"),AND(J1856=1,I1856=0)),"?IN_FOCUS",IF(J1856&lt;=2,"?ACTIVATED",IF(J1856&lt;&gt;"","?FAMILIAR",IF(F1856="NEW",IF(ISNA(VLOOKUP(E1856,#REF!,1,FALSE())),"?TYPE_IDENTIFIABLE","?REFERENTIAL"),"_")))))</f>
        <v/>
      </c>
      <c r="H1856" s="13" t="str">
        <f aca="false">IF(J1856&lt;&gt;1,"",IF(I1856="SBJ","CB","?"))</f>
        <v/>
      </c>
      <c r="I1856" s="14" t="str">
        <f aca="false">IF(OR(E1856="",E1856="!!!",F1856="NEW"),"",INDEX(B$2:B1855,-1+SUMPRODUCT(MAX(ROW(E$2:E1855)*(E1856=E$2:E1855)))))</f>
        <v/>
      </c>
      <c r="J1856" s="15" t="str">
        <f aca="true">IF(OR(E1856="",E1856="!!!",F1856="NEW"),"",COUNTBLANK(OFFSET(A$1,,,SUMPRODUCT(MAX(ROW(E$2:E1856)*(E1856=E$2:E1856)))))-COUNTBLANK(OFFSET(A$1,,,SUMPRODUCT(MAX(ROW(E$1:E1855)*(E1856=E$1:E1855))))))</f>
        <v/>
      </c>
      <c r="K1856" s="15" t="str">
        <f aca="false">IF(OR(E1856="",E1856="!!!",F1856="NEW"),"",INDEX(J$1:J1855,SUMPRODUCT(MAX(ROW(E$1:E1855)*(E1856=E$1:E1855)))))</f>
        <v/>
      </c>
      <c r="L1856" s="16"/>
    </row>
    <row r="1857" customFormat="false" ht="12.8" hidden="false" customHeight="false" outlineLevel="0" collapsed="false">
      <c r="A1857" s="0" t="s">
        <v>220</v>
      </c>
      <c r="E1857" s="10" t="str">
        <f aca="false">IF(D1857="?OLD","!!!","")</f>
        <v/>
      </c>
      <c r="F1857" s="11" t="str">
        <f aca="false">IF(OR(E1857="",E1857="!!!"),"",IF(NOT(ISNA(VLOOKUP(E1857,E$1:E1856,1,FALSE()))),"OLD",IF(AND(E1857&lt;&gt;"",E1857&lt;&gt;"!!!"),"NEW","")))</f>
        <v/>
      </c>
      <c r="G1857" s="12" t="str">
        <f aca="false">IF(OR(E1857="",E1857="!!!"),"",IF(OR(J1857=0,AND(J1857=1,K1857=1),AND(J1857=1,I1857="SBJ"),AND(J1857=1,I1857=0)),"?IN_FOCUS",IF(J1857&lt;=2,"?ACTIVATED",IF(J1857&lt;&gt;"","?FAMILIAR",IF(F1857="NEW",IF(ISNA(VLOOKUP(E1857,#REF!,1,FALSE())),"?TYPE_IDENTIFIABLE","?REFERENTIAL"),"_")))))</f>
        <v/>
      </c>
      <c r="H1857" s="13" t="str">
        <f aca="false">IF(J1857&lt;&gt;1,"",IF(I1857="SBJ","CB","?"))</f>
        <v/>
      </c>
      <c r="I1857" s="14" t="str">
        <f aca="false">IF(OR(E1857="",E1857="!!!",F1857="NEW"),"",INDEX(B$2:B1856,-1+SUMPRODUCT(MAX(ROW(E$2:E1856)*(E1857=E$2:E1856)))))</f>
        <v/>
      </c>
      <c r="J1857" s="15" t="str">
        <f aca="true">IF(OR(E1857="",E1857="!!!",F1857="NEW"),"",COUNTBLANK(OFFSET(A$1,,,SUMPRODUCT(MAX(ROW(E$2:E1857)*(E1857=E$2:E1857)))))-COUNTBLANK(OFFSET(A$1,,,SUMPRODUCT(MAX(ROW(E$1:E1856)*(E1857=E$1:E1856))))))</f>
        <v/>
      </c>
      <c r="K1857" s="15" t="str">
        <f aca="false">IF(OR(E1857="",E1857="!!!",F1857="NEW"),"",INDEX(J$1:J1856,SUMPRODUCT(MAX(ROW(E$1:E1856)*(E1857=E$1:E1856)))))</f>
        <v/>
      </c>
      <c r="L1857" s="16"/>
    </row>
    <row r="1858" customFormat="false" ht="12.8" hidden="false" customHeight="false" outlineLevel="0" collapsed="false">
      <c r="A1858" s="0" t="s">
        <v>240</v>
      </c>
      <c r="E1858" s="10" t="str">
        <f aca="false">IF(D1858="?OLD","!!!","")</f>
        <v/>
      </c>
      <c r="F1858" s="11" t="str">
        <f aca="false">IF(OR(E1858="",E1858="!!!"),"",IF(NOT(ISNA(VLOOKUP(E1858,E$1:E1857,1,FALSE()))),"OLD",IF(AND(E1858&lt;&gt;"",E1858&lt;&gt;"!!!"),"NEW","")))</f>
        <v/>
      </c>
      <c r="G1858" s="12" t="str">
        <f aca="false">IF(OR(E1858="",E1858="!!!"),"",IF(OR(J1858=0,AND(J1858=1,K1858=1),AND(J1858=1,I1858="SBJ"),AND(J1858=1,I1858=0)),"?IN_FOCUS",IF(J1858&lt;=2,"?ACTIVATED",IF(J1858&lt;&gt;"","?FAMILIAR",IF(F1858="NEW",IF(ISNA(VLOOKUP(E1858,#REF!,1,FALSE())),"?TYPE_IDENTIFIABLE","?REFERENTIAL"),"_")))))</f>
        <v/>
      </c>
      <c r="H1858" s="13" t="str">
        <f aca="false">IF(J1858&lt;&gt;1,"",IF(I1858="SBJ","CB","?"))</f>
        <v/>
      </c>
      <c r="I1858" s="14" t="str">
        <f aca="false">IF(OR(E1858="",E1858="!!!",F1858="NEW"),"",INDEX(B$2:B1857,-1+SUMPRODUCT(MAX(ROW(E$2:E1857)*(E1858=E$2:E1857)))))</f>
        <v/>
      </c>
      <c r="J1858" s="15" t="str">
        <f aca="true">IF(OR(E1858="",E1858="!!!",F1858="NEW"),"",COUNTBLANK(OFFSET(A$1,,,SUMPRODUCT(MAX(ROW(E$2:E1858)*(E1858=E$2:E1858)))))-COUNTBLANK(OFFSET(A$1,,,SUMPRODUCT(MAX(ROW(E$1:E1857)*(E1858=E$1:E1857))))))</f>
        <v/>
      </c>
      <c r="K1858" s="15" t="str">
        <f aca="false">IF(OR(E1858="",E1858="!!!",F1858="NEW"),"",INDEX(J$1:J1857,SUMPRODUCT(MAX(ROW(E$1:E1857)*(E1858=E$1:E1857)))))</f>
        <v/>
      </c>
      <c r="L1858" s="16"/>
    </row>
    <row r="1859" customFormat="false" ht="12.8" hidden="false" customHeight="false" outlineLevel="0" collapsed="false">
      <c r="A1859" s="0" t="s">
        <v>30</v>
      </c>
      <c r="E1859" s="10" t="str">
        <f aca="false">IF(D1859="?OLD","!!!","")</f>
        <v/>
      </c>
      <c r="F1859" s="11" t="str">
        <f aca="false">IF(OR(E1859="",E1859="!!!"),"",IF(NOT(ISNA(VLOOKUP(E1859,E$1:E1858,1,FALSE()))),"OLD",IF(AND(E1859&lt;&gt;"",E1859&lt;&gt;"!!!"),"NEW","")))</f>
        <v/>
      </c>
      <c r="G1859" s="12" t="str">
        <f aca="false">IF(OR(E1859="",E1859="!!!"),"",IF(OR(J1859=0,AND(J1859=1,K1859=1),AND(J1859=1,I1859="SBJ"),AND(J1859=1,I1859=0)),"?IN_FOCUS",IF(J1859&lt;=2,"?ACTIVATED",IF(J1859&lt;&gt;"","?FAMILIAR",IF(F1859="NEW",IF(ISNA(VLOOKUP(E1859,#REF!,1,FALSE())),"?TYPE_IDENTIFIABLE","?REFERENTIAL"),"_")))))</f>
        <v/>
      </c>
      <c r="H1859" s="13" t="str">
        <f aca="false">IF(J1859&lt;&gt;1,"",IF(I1859="SBJ","CB","?"))</f>
        <v/>
      </c>
      <c r="I1859" s="14" t="str">
        <f aca="false">IF(OR(E1859="",E1859="!!!",F1859="NEW"),"",INDEX(B$2:B1858,-1+SUMPRODUCT(MAX(ROW(E$2:E1858)*(E1859=E$2:E1858)))))</f>
        <v/>
      </c>
      <c r="J1859" s="15" t="str">
        <f aca="true">IF(OR(E1859="",E1859="!!!",F1859="NEW"),"",COUNTBLANK(OFFSET(A$1,,,SUMPRODUCT(MAX(ROW(E$2:E1859)*(E1859=E$2:E1859)))))-COUNTBLANK(OFFSET(A$1,,,SUMPRODUCT(MAX(ROW(E$1:E1858)*(E1859=E$1:E1858))))))</f>
        <v/>
      </c>
      <c r="K1859" s="15" t="str">
        <f aca="false">IF(OR(E1859="",E1859="!!!",F1859="NEW"),"",INDEX(J$1:J1858,SUMPRODUCT(MAX(ROW(E$1:E1858)*(E1859=E$1:E1858)))))</f>
        <v/>
      </c>
      <c r="L1859" s="16"/>
    </row>
    <row r="1860" customFormat="false" ht="12.8" hidden="false" customHeight="false" outlineLevel="0" collapsed="false">
      <c r="A1860" s="0" t="s">
        <v>230</v>
      </c>
      <c r="E1860" s="10" t="str">
        <f aca="false">IF(D1860="?OLD","!!!","")</f>
        <v/>
      </c>
      <c r="F1860" s="11" t="str">
        <f aca="false">IF(OR(E1860="",E1860="!!!"),"",IF(NOT(ISNA(VLOOKUP(E1860,E$1:E1859,1,FALSE()))),"OLD",IF(AND(E1860&lt;&gt;"",E1860&lt;&gt;"!!!"),"NEW","")))</f>
        <v/>
      </c>
      <c r="G1860" s="12" t="str">
        <f aca="false">IF(OR(E1860="",E1860="!!!"),"",IF(OR(J1860=0,AND(J1860=1,K1860=1),AND(J1860=1,I1860="SBJ"),AND(J1860=1,I1860=0)),"?IN_FOCUS",IF(J1860&lt;=2,"?ACTIVATED",IF(J1860&lt;&gt;"","?FAMILIAR",IF(F1860="NEW",IF(ISNA(VLOOKUP(E1860,#REF!,1,FALSE())),"?TYPE_IDENTIFIABLE","?REFERENTIAL"),"_")))))</f>
        <v/>
      </c>
      <c r="H1860" s="13" t="str">
        <f aca="false">IF(J1860&lt;&gt;1,"",IF(I1860="SBJ","CB","?"))</f>
        <v/>
      </c>
      <c r="I1860" s="14" t="str">
        <f aca="false">IF(OR(E1860="",E1860="!!!",F1860="NEW"),"",INDEX(B$2:B1859,-1+SUMPRODUCT(MAX(ROW(E$2:E1859)*(E1860=E$2:E1859)))))</f>
        <v/>
      </c>
      <c r="J1860" s="15" t="str">
        <f aca="true">IF(OR(E1860="",E1860="!!!",F1860="NEW"),"",COUNTBLANK(OFFSET(A$1,,,SUMPRODUCT(MAX(ROW(E$2:E1860)*(E1860=E$2:E1860)))))-COUNTBLANK(OFFSET(A$1,,,SUMPRODUCT(MAX(ROW(E$1:E1859)*(E1860=E$1:E1859))))))</f>
        <v/>
      </c>
      <c r="K1860" s="15" t="str">
        <f aca="false">IF(OR(E1860="",E1860="!!!",F1860="NEW"),"",INDEX(J$1:J1859,SUMPRODUCT(MAX(ROW(E$1:E1859)*(E1860=E$1:E1859)))))</f>
        <v/>
      </c>
      <c r="L1860" s="16"/>
    </row>
    <row r="1861" customFormat="false" ht="12.8" hidden="false" customHeight="false" outlineLevel="0" collapsed="false">
      <c r="A1861" s="0" t="s">
        <v>287</v>
      </c>
      <c r="B1861" s="0" t="s">
        <v>173</v>
      </c>
      <c r="C1861" s="0" t="s">
        <v>104</v>
      </c>
      <c r="D1861" s="0" t="s">
        <v>20</v>
      </c>
      <c r="E1861" s="10" t="s">
        <v>92</v>
      </c>
      <c r="F1861" s="11" t="str">
        <f aca="false">IF(OR(E1861="",E1861="!!!"),"",IF(NOT(ISNA(VLOOKUP(E1861,E$1:E1860,1,FALSE()))),"OLD",IF(AND(E1861&lt;&gt;"",E1861&lt;&gt;"!!!"),"NEW","")))</f>
        <v>OLD</v>
      </c>
      <c r="G1861" s="12" t="s">
        <v>36</v>
      </c>
      <c r="H1861" s="13" t="str">
        <f aca="false">IF(J1861&lt;&gt;1,"",IF(I1861="SBJ","CB","?"))</f>
        <v/>
      </c>
      <c r="I1861" s="14" t="str">
        <f aca="false">IF(OR(E1861="",E1861="!!!",F1861="NEW"),"",INDEX(B$2:B1860,-1+SUMPRODUCT(MAX(ROW(E$2:E1860)*(E1861=E$2:E1860)))))</f>
        <v>OBJ_9</v>
      </c>
      <c r="J1861" s="15" t="n">
        <f aca="true">IF(OR(E1861="",E1861="!!!",F1861="NEW"),"",COUNTBLANK(OFFSET(A$1,,,SUMPRODUCT(MAX(ROW(E$2:E1861)*(E1861=E$2:E1861)))))-COUNTBLANK(OFFSET(A$1,,,SUMPRODUCT(MAX(ROW(E$1:E1860)*(E1861=E$1:E1860))))))</f>
        <v>3</v>
      </c>
      <c r="K1861" s="15" t="n">
        <f aca="false">IF(OR(E1861="",E1861="!!!",F1861="NEW"),"",INDEX(J$1:J1860,SUMPRODUCT(MAX(ROW(E$1:E1860)*(E1861=E$1:E1860)))))</f>
        <v>0</v>
      </c>
      <c r="L1861" s="16"/>
    </row>
    <row r="1862" customFormat="false" ht="12.8" hidden="false" customHeight="false" outlineLevel="0" collapsed="false">
      <c r="A1862" s="0" t="s">
        <v>37</v>
      </c>
      <c r="E1862" s="10" t="str">
        <f aca="false">IF(D1862="?OLD","!!!","")</f>
        <v/>
      </c>
      <c r="F1862" s="11" t="str">
        <f aca="false">IF(OR(E1862="",E1862="!!!"),"",IF(NOT(ISNA(VLOOKUP(E1862,E$1:E1861,1,FALSE()))),"OLD",IF(AND(E1862&lt;&gt;"",E1862&lt;&gt;"!!!"),"NEW","")))</f>
        <v/>
      </c>
      <c r="G1862" s="12" t="str">
        <f aca="false">IF(OR(E1862="",E1862="!!!"),"",IF(OR(J1862=0,AND(J1862=1,K1862=1),AND(J1862=1,I1862="SBJ"),AND(J1862=1,I1862=0)),"?IN_FOCUS",IF(J1862&lt;=2,"?ACTIVATED",IF(J1862&lt;&gt;"","?FAMILIAR",IF(F1862="NEW",IF(ISNA(VLOOKUP(E1862,#REF!,1,FALSE())),"?TYPE_IDENTIFIABLE","?REFERENTIAL"),"_")))))</f>
        <v/>
      </c>
      <c r="H1862" s="13" t="str">
        <f aca="false">IF(J1862&lt;&gt;1,"",IF(I1862="SBJ","CB","?"))</f>
        <v/>
      </c>
      <c r="I1862" s="14" t="str">
        <f aca="false">IF(OR(E1862="",E1862="!!!",F1862="NEW"),"",INDEX(B$2:B1861,-1+SUMPRODUCT(MAX(ROW(E$2:E1861)*(E1862=E$2:E1861)))))</f>
        <v/>
      </c>
      <c r="J1862" s="15" t="str">
        <f aca="true">IF(OR(E1862="",E1862="!!!",F1862="NEW"),"",COUNTBLANK(OFFSET(A$1,,,SUMPRODUCT(MAX(ROW(E$2:E1862)*(E1862=E$2:E1862)))))-COUNTBLANK(OFFSET(A$1,,,SUMPRODUCT(MAX(ROW(E$1:E1861)*(E1862=E$1:E1861))))))</f>
        <v/>
      </c>
      <c r="K1862" s="15" t="str">
        <f aca="false">IF(OR(E1862="",E1862="!!!",F1862="NEW"),"",INDEX(J$1:J1861,SUMPRODUCT(MAX(ROW(E$1:E1861)*(E1862=E$1:E1861)))))</f>
        <v/>
      </c>
      <c r="L1862" s="16"/>
    </row>
    <row r="1863" customFormat="false" ht="12.8" hidden="false" customHeight="false" outlineLevel="0" collapsed="false">
      <c r="A1863" s="0" t="s">
        <v>839</v>
      </c>
      <c r="E1863" s="10" t="s">
        <v>840</v>
      </c>
      <c r="F1863" s="11" t="str">
        <f aca="false">IF(OR(E1863="",E1863="!!!"),"",IF(NOT(ISNA(VLOOKUP(E1863,E$1:E1862,1,FALSE()))),"OLD",IF(AND(E1863&lt;&gt;"",E1863&lt;&gt;"!!!"),"NEW","")))</f>
        <v>NEW</v>
      </c>
      <c r="G1863" s="12" t="s">
        <v>67</v>
      </c>
      <c r="H1863" s="13" t="str">
        <f aca="false">IF(J1863&lt;&gt;1,"",IF(I1863="SBJ","CB","?"))</f>
        <v/>
      </c>
      <c r="I1863" s="14" t="str">
        <f aca="false">IF(OR(E1863="",E1863="!!!",F1863="NEW"),"",INDEX(B$2:B1862,-1+SUMPRODUCT(MAX(ROW(E$2:E1862)*(E1863=E$2:E1862)))))</f>
        <v/>
      </c>
      <c r="J1863" s="15" t="str">
        <f aca="true">IF(OR(E1863="",E1863="!!!",F1863="NEW"),"",COUNTBLANK(OFFSET(A$1,,,SUMPRODUCT(MAX(ROW(E$2:E1863)*(E1863=E$2:E1863)))))-COUNTBLANK(OFFSET(A$1,,,SUMPRODUCT(MAX(ROW(E$1:E1862)*(E1863=E$1:E1862))))))</f>
        <v/>
      </c>
      <c r="K1863" s="15" t="str">
        <f aca="false">IF(OR(E1863="",E1863="!!!",F1863="NEW"),"",INDEX(J$1:J1862,SUMPRODUCT(MAX(ROW(E$1:E1862)*(E1863=E$1:E1862)))))</f>
        <v/>
      </c>
      <c r="L1863" s="16"/>
    </row>
    <row r="1864" customFormat="false" ht="12.8" hidden="false" customHeight="false" outlineLevel="0" collapsed="false">
      <c r="A1864" s="0" t="s">
        <v>44</v>
      </c>
      <c r="E1864" s="10" t="str">
        <f aca="false">IF(D1864="?OLD","!!!","")</f>
        <v/>
      </c>
      <c r="F1864" s="11" t="str">
        <f aca="false">IF(OR(E1864="",E1864="!!!"),"",IF(NOT(ISNA(VLOOKUP(E1864,E$1:E1863,1,FALSE()))),"OLD",IF(AND(E1864&lt;&gt;"",E1864&lt;&gt;"!!!"),"NEW","")))</f>
        <v/>
      </c>
      <c r="G1864" s="12" t="str">
        <f aca="false">IF(OR(E1864="",E1864="!!!"),"",IF(OR(J1864=0,AND(J1864=1,K1864=1),AND(J1864=1,I1864="SBJ"),AND(J1864=1,I1864=0)),"?IN_FOCUS",IF(J1864&lt;=2,"?ACTIVATED",IF(J1864&lt;&gt;"","?FAMILIAR",IF(F1864="NEW",IF(ISNA(VLOOKUP(E1864,#REF!,1,FALSE())),"?TYPE_IDENTIFIABLE","?REFERENTIAL"),"_")))))</f>
        <v/>
      </c>
      <c r="H1864" s="13" t="str">
        <f aca="false">IF(J1864&lt;&gt;1,"",IF(I1864="SBJ","CB","?"))</f>
        <v/>
      </c>
      <c r="I1864" s="14" t="str">
        <f aca="false">IF(OR(E1864="",E1864="!!!",F1864="NEW"),"",INDEX(B$2:B1863,-1+SUMPRODUCT(MAX(ROW(E$2:E1863)*(E1864=E$2:E1863)))))</f>
        <v/>
      </c>
      <c r="J1864" s="15" t="str">
        <f aca="true">IF(OR(E1864="",E1864="!!!",F1864="NEW"),"",COUNTBLANK(OFFSET(A$1,,,SUMPRODUCT(MAX(ROW(E$2:E1864)*(E1864=E$2:E1864)))))-COUNTBLANK(OFFSET(A$1,,,SUMPRODUCT(MAX(ROW(E$1:E1863)*(E1864=E$1:E1863))))))</f>
        <v/>
      </c>
      <c r="K1864" s="15" t="str">
        <f aca="false">IF(OR(E1864="",E1864="!!!",F1864="NEW"),"",INDEX(J$1:J1863,SUMPRODUCT(MAX(ROW(E$1:E1863)*(E1864=E$1:E1863)))))</f>
        <v/>
      </c>
      <c r="L1864" s="16"/>
    </row>
    <row r="1865" customFormat="false" ht="12.8" hidden="false" customHeight="false" outlineLevel="0" collapsed="false">
      <c r="A1865" s="0" t="s">
        <v>841</v>
      </c>
      <c r="E1865" s="10" t="str">
        <f aca="false">IF(D1865="?OLD","!!!","")</f>
        <v/>
      </c>
      <c r="F1865" s="11" t="str">
        <f aca="false">IF(OR(E1865="",E1865="!!!"),"",IF(NOT(ISNA(VLOOKUP(E1865,E$1:E1864,1,FALSE()))),"OLD",IF(AND(E1865&lt;&gt;"",E1865&lt;&gt;"!!!"),"NEW","")))</f>
        <v/>
      </c>
      <c r="G1865" s="12" t="str">
        <f aca="false">IF(OR(E1865="",E1865="!!!"),"",IF(OR(J1865=0,AND(J1865=1,K1865=1),AND(J1865=1,I1865="SBJ"),AND(J1865=1,I1865=0)),"?IN_FOCUS",IF(J1865&lt;=2,"?ACTIVATED",IF(J1865&lt;&gt;"","?FAMILIAR",IF(F1865="NEW",IF(ISNA(VLOOKUP(E1865,#REF!,1,FALSE())),"?TYPE_IDENTIFIABLE","?REFERENTIAL"),"_")))))</f>
        <v/>
      </c>
      <c r="H1865" s="13" t="str">
        <f aca="false">IF(J1865&lt;&gt;1,"",IF(I1865="SBJ","CB","?"))</f>
        <v/>
      </c>
      <c r="I1865" s="14" t="str">
        <f aca="false">IF(OR(E1865="",E1865="!!!",F1865="NEW"),"",INDEX(B$2:B1864,-1+SUMPRODUCT(MAX(ROW(E$2:E1864)*(E1865=E$2:E1864)))))</f>
        <v/>
      </c>
      <c r="J1865" s="15" t="str">
        <f aca="true">IF(OR(E1865="",E1865="!!!",F1865="NEW"),"",COUNTBLANK(OFFSET(A$1,,,SUMPRODUCT(MAX(ROW(E$2:E1865)*(E1865=E$2:E1865)))))-COUNTBLANK(OFFSET(A$1,,,SUMPRODUCT(MAX(ROW(E$1:E1864)*(E1865=E$1:E1864))))))</f>
        <v/>
      </c>
      <c r="K1865" s="15" t="str">
        <f aca="false">IF(OR(E1865="",E1865="!!!",F1865="NEW"),"",INDEX(J$1:J1864,SUMPRODUCT(MAX(ROW(E$1:E1864)*(E1865=E$1:E1864)))))</f>
        <v/>
      </c>
      <c r="L1865" s="16"/>
    </row>
    <row r="1866" customFormat="false" ht="12.8" hidden="false" customHeight="false" outlineLevel="0" collapsed="false">
      <c r="A1866" s="0" t="s">
        <v>44</v>
      </c>
      <c r="E1866" s="10" t="str">
        <f aca="false">IF(D1866="?OLD","!!!","")</f>
        <v/>
      </c>
      <c r="F1866" s="11" t="str">
        <f aca="false">IF(OR(E1866="",E1866="!!!"),"",IF(NOT(ISNA(VLOOKUP(E1866,E$1:E1865,1,FALSE()))),"OLD",IF(AND(E1866&lt;&gt;"",E1866&lt;&gt;"!!!"),"NEW","")))</f>
        <v/>
      </c>
      <c r="G1866" s="12" t="str">
        <f aca="false">IF(OR(E1866="",E1866="!!!"),"",IF(OR(J1866=0,AND(J1866=1,K1866=1),AND(J1866=1,I1866="SBJ"),AND(J1866=1,I1866=0)),"?IN_FOCUS",IF(J1866&lt;=2,"?ACTIVATED",IF(J1866&lt;&gt;"","?FAMILIAR",IF(F1866="NEW",IF(ISNA(VLOOKUP(E1866,#REF!,1,FALSE())),"?TYPE_IDENTIFIABLE","?REFERENTIAL"),"_")))))</f>
        <v/>
      </c>
      <c r="H1866" s="13" t="str">
        <f aca="false">IF(J1866&lt;&gt;1,"",IF(I1866="SBJ","CB","?"))</f>
        <v/>
      </c>
      <c r="I1866" s="14" t="str">
        <f aca="false">IF(OR(E1866="",E1866="!!!",F1866="NEW"),"",INDEX(B$2:B1865,-1+SUMPRODUCT(MAX(ROW(E$2:E1865)*(E1866=E$2:E1865)))))</f>
        <v/>
      </c>
      <c r="J1866" s="15" t="str">
        <f aca="true">IF(OR(E1866="",E1866="!!!",F1866="NEW"),"",COUNTBLANK(OFFSET(A$1,,,SUMPRODUCT(MAX(ROW(E$2:E1866)*(E1866=E$2:E1866)))))-COUNTBLANK(OFFSET(A$1,,,SUMPRODUCT(MAX(ROW(E$1:E1865)*(E1866=E$1:E1865))))))</f>
        <v/>
      </c>
      <c r="K1866" s="15" t="str">
        <f aca="false">IF(OR(E1866="",E1866="!!!",F1866="NEW"),"",INDEX(J$1:J1865,SUMPRODUCT(MAX(ROW(E$1:E1865)*(E1866=E$1:E1865)))))</f>
        <v/>
      </c>
      <c r="L1866" s="16"/>
    </row>
    <row r="1867" customFormat="false" ht="12.8" hidden="false" customHeight="false" outlineLevel="0" collapsed="false">
      <c r="A1867" s="0" t="s">
        <v>72</v>
      </c>
      <c r="B1867" s="0" t="s">
        <v>53</v>
      </c>
      <c r="C1867" s="0" t="s">
        <v>48</v>
      </c>
      <c r="D1867" s="0" t="s">
        <v>20</v>
      </c>
      <c r="E1867" s="10" t="s">
        <v>92</v>
      </c>
      <c r="F1867" s="11" t="str">
        <f aca="false">IF(OR(E1867="",E1867="!!!"),"",IF(NOT(ISNA(VLOOKUP(E1867,E$1:E1866,1,FALSE()))),"OLD",IF(AND(E1867&lt;&gt;"",E1867&lt;&gt;"!!!"),"NEW","")))</f>
        <v>OLD</v>
      </c>
      <c r="G1867" s="12" t="s">
        <v>87</v>
      </c>
      <c r="H1867" s="13" t="str">
        <f aca="false">IF(J1867&lt;&gt;1,"",IF(I1867="SBJ","CB","?"))</f>
        <v/>
      </c>
      <c r="I1867" s="14" t="str">
        <f aca="false">IF(OR(E1867="",E1867="!!!",F1867="NEW"),"",INDEX(B$2:B1866,-1+SUMPRODUCT(MAX(ROW(E$2:E1866)*(E1867=E$2:E1866)))))</f>
        <v>SBJ_4</v>
      </c>
      <c r="J1867" s="15" t="n">
        <f aca="true">IF(OR(E1867="",E1867="!!!",F1867="NEW"),"",COUNTBLANK(OFFSET(A$1,,,SUMPRODUCT(MAX(ROW(E$2:E1867)*(E1867=E$2:E1867)))))-COUNTBLANK(OFFSET(A$1,,,SUMPRODUCT(MAX(ROW(E$1:E1866)*(E1867=E$1:E1866))))))</f>
        <v>0</v>
      </c>
      <c r="K1867" s="15" t="n">
        <f aca="false">IF(OR(E1867="",E1867="!!!",F1867="NEW"),"",INDEX(J$1:J1866,SUMPRODUCT(MAX(ROW(E$1:E1866)*(E1867=E$1:E1866)))))</f>
        <v>3</v>
      </c>
      <c r="L1867" s="16"/>
    </row>
    <row r="1868" customFormat="false" ht="12.8" hidden="false" customHeight="false" outlineLevel="0" collapsed="false">
      <c r="A1868" s="0" t="s">
        <v>100</v>
      </c>
      <c r="E1868" s="10" t="str">
        <f aca="false">IF(D1868="?OLD","!!!","")</f>
        <v/>
      </c>
      <c r="F1868" s="11" t="str">
        <f aca="false">IF(OR(E1868="",E1868="!!!"),"",IF(NOT(ISNA(VLOOKUP(E1868,E$1:E1867,1,FALSE()))),"OLD",IF(AND(E1868&lt;&gt;"",E1868&lt;&gt;"!!!"),"NEW","")))</f>
        <v/>
      </c>
      <c r="G1868" s="12" t="str">
        <f aca="false">IF(OR(E1868="",E1868="!!!"),"",IF(OR(J1868=0,AND(J1868=1,K1868=1),AND(J1868=1,I1868="SBJ"),AND(J1868=1,I1868=0)),"?IN_FOCUS",IF(J1868&lt;=2,"?ACTIVATED",IF(J1868&lt;&gt;"","?FAMILIAR",IF(F1868="NEW",IF(ISNA(VLOOKUP(E1868,#REF!,1,FALSE())),"?TYPE_IDENTIFIABLE","?REFERENTIAL"),"_")))))</f>
        <v/>
      </c>
      <c r="H1868" s="13" t="str">
        <f aca="false">IF(J1868&lt;&gt;1,"",IF(I1868="SBJ","CB","?"))</f>
        <v/>
      </c>
      <c r="I1868" s="14" t="str">
        <f aca="false">IF(OR(E1868="",E1868="!!!",F1868="NEW"),"",INDEX(B$2:B1867,-1+SUMPRODUCT(MAX(ROW(E$2:E1867)*(E1868=E$2:E1867)))))</f>
        <v/>
      </c>
      <c r="J1868" s="15" t="str">
        <f aca="true">IF(OR(E1868="",E1868="!!!",F1868="NEW"),"",COUNTBLANK(OFFSET(A$1,,,SUMPRODUCT(MAX(ROW(E$2:E1868)*(E1868=E$2:E1868)))))-COUNTBLANK(OFFSET(A$1,,,SUMPRODUCT(MAX(ROW(E$1:E1867)*(E1868=E$1:E1867))))))</f>
        <v/>
      </c>
      <c r="K1868" s="15" t="str">
        <f aca="false">IF(OR(E1868="",E1868="!!!",F1868="NEW"),"",INDEX(J$1:J1867,SUMPRODUCT(MAX(ROW(E$1:E1867)*(E1868=E$1:E1867)))))</f>
        <v/>
      </c>
      <c r="L1868" s="16"/>
    </row>
    <row r="1869" customFormat="false" ht="12.8" hidden="false" customHeight="false" outlineLevel="0" collapsed="false">
      <c r="A1869" s="0" t="s">
        <v>219</v>
      </c>
      <c r="E1869" s="10" t="str">
        <f aca="false">IF(D1869="?OLD","!!!","")</f>
        <v/>
      </c>
      <c r="F1869" s="11" t="str">
        <f aca="false">IF(OR(E1869="",E1869="!!!"),"",IF(NOT(ISNA(VLOOKUP(E1869,E$1:E1868,1,FALSE()))),"OLD",IF(AND(E1869&lt;&gt;"",E1869&lt;&gt;"!!!"),"NEW","")))</f>
        <v/>
      </c>
      <c r="G1869" s="12" t="str">
        <f aca="false">IF(OR(E1869="",E1869="!!!"),"",IF(OR(J1869=0,AND(J1869=1,K1869=1),AND(J1869=1,I1869="SBJ"),AND(J1869=1,I1869=0)),"?IN_FOCUS",IF(J1869&lt;=2,"?ACTIVATED",IF(J1869&lt;&gt;"","?FAMILIAR",IF(F1869="NEW",IF(ISNA(VLOOKUP(E1869,#REF!,1,FALSE())),"?TYPE_IDENTIFIABLE","?REFERENTIAL"),"_")))))</f>
        <v/>
      </c>
      <c r="H1869" s="13" t="str">
        <f aca="false">IF(J1869&lt;&gt;1,"",IF(I1869="SBJ","CB","?"))</f>
        <v/>
      </c>
      <c r="I1869" s="14" t="str">
        <f aca="false">IF(OR(E1869="",E1869="!!!",F1869="NEW"),"",INDEX(B$2:B1868,-1+SUMPRODUCT(MAX(ROW(E$2:E1868)*(E1869=E$2:E1868)))))</f>
        <v/>
      </c>
      <c r="J1869" s="15" t="str">
        <f aca="true">IF(OR(E1869="",E1869="!!!",F1869="NEW"),"",COUNTBLANK(OFFSET(A$1,,,SUMPRODUCT(MAX(ROW(E$2:E1869)*(E1869=E$2:E1869)))))-COUNTBLANK(OFFSET(A$1,,,SUMPRODUCT(MAX(ROW(E$1:E1868)*(E1869=E$1:E1868))))))</f>
        <v/>
      </c>
      <c r="K1869" s="15" t="str">
        <f aca="false">IF(OR(E1869="",E1869="!!!",F1869="NEW"),"",INDEX(J$1:J1868,SUMPRODUCT(MAX(ROW(E$1:E1868)*(E1869=E$1:E1868)))))</f>
        <v/>
      </c>
      <c r="L1869" s="16"/>
    </row>
    <row r="1870" customFormat="false" ht="12.8" hidden="false" customHeight="false" outlineLevel="0" collapsed="false">
      <c r="A1870" s="0" t="s">
        <v>842</v>
      </c>
      <c r="E1870" s="10" t="str">
        <f aca="false">IF(D1870="?OLD","!!!","")</f>
        <v/>
      </c>
      <c r="F1870" s="11" t="str">
        <f aca="false">IF(OR(E1870="",E1870="!!!"),"",IF(NOT(ISNA(VLOOKUP(E1870,E$1:E1869,1,FALSE()))),"OLD",IF(AND(E1870&lt;&gt;"",E1870&lt;&gt;"!!!"),"NEW","")))</f>
        <v/>
      </c>
      <c r="G1870" s="12" t="str">
        <f aca="false">IF(OR(E1870="",E1870="!!!"),"",IF(OR(J1870=0,AND(J1870=1,K1870=1),AND(J1870=1,I1870="SBJ"),AND(J1870=1,I1870=0)),"?IN_FOCUS",IF(J1870&lt;=2,"?ACTIVATED",IF(J1870&lt;&gt;"","?FAMILIAR",IF(F1870="NEW",IF(ISNA(VLOOKUP(E1870,#REF!,1,FALSE())),"?TYPE_IDENTIFIABLE","?REFERENTIAL"),"_")))))</f>
        <v/>
      </c>
      <c r="H1870" s="13" t="str">
        <f aca="false">IF(J1870&lt;&gt;1,"",IF(I1870="SBJ","CB","?"))</f>
        <v/>
      </c>
      <c r="I1870" s="14" t="str">
        <f aca="false">IF(OR(E1870="",E1870="!!!",F1870="NEW"),"",INDEX(B$2:B1869,-1+SUMPRODUCT(MAX(ROW(E$2:E1869)*(E1870=E$2:E1869)))))</f>
        <v/>
      </c>
      <c r="J1870" s="15" t="str">
        <f aca="true">IF(OR(E1870="",E1870="!!!",F1870="NEW"),"",COUNTBLANK(OFFSET(A$1,,,SUMPRODUCT(MAX(ROW(E$2:E1870)*(E1870=E$2:E1870)))))-COUNTBLANK(OFFSET(A$1,,,SUMPRODUCT(MAX(ROW(E$1:E1869)*(E1870=E$1:E1869))))))</f>
        <v/>
      </c>
      <c r="K1870" s="15" t="str">
        <f aca="false">IF(OR(E1870="",E1870="!!!",F1870="NEW"),"",INDEX(J$1:J1869,SUMPRODUCT(MAX(ROW(E$1:E1869)*(E1870=E$1:E1869)))))</f>
        <v/>
      </c>
      <c r="L1870" s="16"/>
    </row>
    <row r="1871" customFormat="false" ht="12.8" hidden="false" customHeight="false" outlineLevel="0" collapsed="false">
      <c r="A1871" s="0" t="s">
        <v>44</v>
      </c>
      <c r="E1871" s="10" t="str">
        <f aca="false">IF(D1871="?OLD","!!!","")</f>
        <v/>
      </c>
      <c r="F1871" s="11" t="str">
        <f aca="false">IF(OR(E1871="",E1871="!!!"),"",IF(NOT(ISNA(VLOOKUP(E1871,E$1:E1870,1,FALSE()))),"OLD",IF(AND(E1871&lt;&gt;"",E1871&lt;&gt;"!!!"),"NEW","")))</f>
        <v/>
      </c>
      <c r="G1871" s="12" t="str">
        <f aca="false">IF(OR(E1871="",E1871="!!!"),"",IF(OR(J1871=0,AND(J1871=1,K1871=1),AND(J1871=1,I1871="SBJ"),AND(J1871=1,I1871=0)),"?IN_FOCUS",IF(J1871&lt;=2,"?ACTIVATED",IF(J1871&lt;&gt;"","?FAMILIAR",IF(F1871="NEW",IF(ISNA(VLOOKUP(E1871,#REF!,1,FALSE())),"?TYPE_IDENTIFIABLE","?REFERENTIAL"),"_")))))</f>
        <v/>
      </c>
      <c r="H1871" s="13" t="str">
        <f aca="false">IF(J1871&lt;&gt;1,"",IF(I1871="SBJ","CB","?"))</f>
        <v/>
      </c>
      <c r="I1871" s="14" t="str">
        <f aca="false">IF(OR(E1871="",E1871="!!!",F1871="NEW"),"",INDEX(B$2:B1870,-1+SUMPRODUCT(MAX(ROW(E$2:E1870)*(E1871=E$2:E1870)))))</f>
        <v/>
      </c>
      <c r="J1871" s="15" t="str">
        <f aca="true">IF(OR(E1871="",E1871="!!!",F1871="NEW"),"",COUNTBLANK(OFFSET(A$1,,,SUMPRODUCT(MAX(ROW(E$2:E1871)*(E1871=E$2:E1871)))))-COUNTBLANK(OFFSET(A$1,,,SUMPRODUCT(MAX(ROW(E$1:E1870)*(E1871=E$1:E1870))))))</f>
        <v/>
      </c>
      <c r="K1871" s="15" t="str">
        <f aca="false">IF(OR(E1871="",E1871="!!!",F1871="NEW"),"",INDEX(J$1:J1870,SUMPRODUCT(MAX(ROW(E$1:E1870)*(E1871=E$1:E1870)))))</f>
        <v/>
      </c>
      <c r="L1871" s="16"/>
    </row>
    <row r="1872" customFormat="false" ht="12.8" hidden="false" customHeight="false" outlineLevel="0" collapsed="false">
      <c r="A1872" s="0" t="s">
        <v>120</v>
      </c>
      <c r="B1872" s="0" t="s">
        <v>14</v>
      </c>
      <c r="C1872" s="0" t="s">
        <v>121</v>
      </c>
      <c r="D1872" s="0" t="s">
        <v>20</v>
      </c>
      <c r="E1872" s="10"/>
      <c r="F1872" s="11" t="s">
        <v>86</v>
      </c>
      <c r="G1872" s="12" t="str">
        <f aca="false">IF(OR(E1872="",E1872="!!!"),"",IF(OR(J1872=0,AND(J1872=1,K1872=1),AND(J1872=1,I1872="SBJ"),AND(J1872=1,I1872=0)),"?IN_FOCUS",IF(J1872&lt;=2,"?ACTIVATED",IF(J1872&lt;&gt;"","?FAMILIAR",IF(F1872="NEW",IF(ISNA(VLOOKUP(E1872,#REF!,1,FALSE())),"?TYPE_IDENTIFIABLE","?REFERENTIAL"),"_")))))</f>
        <v/>
      </c>
      <c r="H1872" s="13" t="str">
        <f aca="false">IF(J1872&lt;&gt;1,"",IF(I1872="SBJ","CB","?"))</f>
        <v/>
      </c>
      <c r="I1872" s="14" t="str">
        <f aca="false">IF(OR(E1872="",E1872="!!!",F1872="NEW"),"",INDEX(B$2:B1871,-1+SUMPRODUCT(MAX(ROW(E$2:E1871)*(E1872=E$2:E1871)))))</f>
        <v/>
      </c>
      <c r="J1872" s="15" t="str">
        <f aca="true">IF(OR(E1872="",E1872="!!!",F1872="NEW"),"",COUNTBLANK(OFFSET(A$1,,,SUMPRODUCT(MAX(ROW(E$2:E1872)*(E1872=E$2:E1872)))))-COUNTBLANK(OFFSET(A$1,,,SUMPRODUCT(MAX(ROW(E$1:E1871)*(E1872=E$1:E1871))))))</f>
        <v/>
      </c>
      <c r="K1872" s="15" t="str">
        <f aca="false">IF(OR(E1872="",E1872="!!!",F1872="NEW"),"",INDEX(J$1:J1871,SUMPRODUCT(MAX(ROW(E$1:E1871)*(E1872=E$1:E1871)))))</f>
        <v/>
      </c>
      <c r="L1872" s="16" t="s">
        <v>843</v>
      </c>
    </row>
    <row r="1873" customFormat="false" ht="12.8" hidden="false" customHeight="false" outlineLevel="0" collapsed="false">
      <c r="A1873" s="0" t="s">
        <v>29</v>
      </c>
      <c r="E1873" s="10" t="str">
        <f aca="false">IF(D1873="?OLD","!!!","")</f>
        <v/>
      </c>
      <c r="F1873" s="11" t="str">
        <f aca="false">IF(OR(E1873="",E1873="!!!"),"",IF(NOT(ISNA(VLOOKUP(E1873,E$1:E1872,1,FALSE()))),"OLD",IF(AND(E1873&lt;&gt;"",E1873&lt;&gt;"!!!"),"NEW","")))</f>
        <v/>
      </c>
      <c r="G1873" s="12" t="str">
        <f aca="false">IF(OR(E1873="",E1873="!!!"),"",IF(OR(J1873=0,AND(J1873=1,K1873=1),AND(J1873=1,I1873="SBJ"),AND(J1873=1,I1873=0)),"?IN_FOCUS",IF(J1873&lt;=2,"?ACTIVATED",IF(J1873&lt;&gt;"","?FAMILIAR",IF(F1873="NEW",IF(ISNA(VLOOKUP(E1873,#REF!,1,FALSE())),"?TYPE_IDENTIFIABLE","?REFERENTIAL"),"_")))))</f>
        <v/>
      </c>
      <c r="H1873" s="13" t="str">
        <f aca="false">IF(J1873&lt;&gt;1,"",IF(I1873="SBJ","CB","?"))</f>
        <v/>
      </c>
      <c r="I1873" s="14" t="str">
        <f aca="false">IF(OR(E1873="",E1873="!!!",F1873="NEW"),"",INDEX(B$2:B1872,-1+SUMPRODUCT(MAX(ROW(E$2:E1872)*(E1873=E$2:E1872)))))</f>
        <v/>
      </c>
      <c r="J1873" s="15" t="str">
        <f aca="true">IF(OR(E1873="",E1873="!!!",F1873="NEW"),"",COUNTBLANK(OFFSET(A$1,,,SUMPRODUCT(MAX(ROW(E$2:E1873)*(E1873=E$2:E1873)))))-COUNTBLANK(OFFSET(A$1,,,SUMPRODUCT(MAX(ROW(E$1:E1872)*(E1873=E$1:E1872))))))</f>
        <v/>
      </c>
      <c r="K1873" s="15" t="str">
        <f aca="false">IF(OR(E1873="",E1873="!!!",F1873="NEW"),"",INDEX(J$1:J1872,SUMPRODUCT(MAX(ROW(E$1:E1872)*(E1873=E$1:E1872)))))</f>
        <v/>
      </c>
      <c r="L1873" s="16"/>
    </row>
    <row r="1874" customFormat="false" ht="12.8" hidden="false" customHeight="false" outlineLevel="0" collapsed="false">
      <c r="A1874" s="0" t="s">
        <v>844</v>
      </c>
      <c r="E1874" s="10" t="str">
        <f aca="false">IF(D1874="?OLD","!!!","")</f>
        <v/>
      </c>
      <c r="F1874" s="11" t="str">
        <f aca="false">IF(OR(E1874="",E1874="!!!"),"",IF(NOT(ISNA(VLOOKUP(E1874,E$1:E1873,1,FALSE()))),"OLD",IF(AND(E1874&lt;&gt;"",E1874&lt;&gt;"!!!"),"NEW","")))</f>
        <v/>
      </c>
      <c r="G1874" s="12" t="str">
        <f aca="false">IF(OR(E1874="",E1874="!!!"),"",IF(OR(J1874=0,AND(J1874=1,K1874=1),AND(J1874=1,I1874="SBJ"),AND(J1874=1,I1874=0)),"?IN_FOCUS",IF(J1874&lt;=2,"?ACTIVATED",IF(J1874&lt;&gt;"","?FAMILIAR",IF(F1874="NEW",IF(ISNA(VLOOKUP(E1874,#REF!,1,FALSE())),"?TYPE_IDENTIFIABLE","?REFERENTIAL"),"_")))))</f>
        <v/>
      </c>
      <c r="H1874" s="13" t="str">
        <f aca="false">IF(J1874&lt;&gt;1,"",IF(I1874="SBJ","CB","?"))</f>
        <v/>
      </c>
      <c r="I1874" s="14" t="str">
        <f aca="false">IF(OR(E1874="",E1874="!!!",F1874="NEW"),"",INDEX(B$2:B1873,-1+SUMPRODUCT(MAX(ROW(E$2:E1873)*(E1874=E$2:E1873)))))</f>
        <v/>
      </c>
      <c r="J1874" s="15" t="str">
        <f aca="true">IF(OR(E1874="",E1874="!!!",F1874="NEW"),"",COUNTBLANK(OFFSET(A$1,,,SUMPRODUCT(MAX(ROW(E$2:E1874)*(E1874=E$2:E1874)))))-COUNTBLANK(OFFSET(A$1,,,SUMPRODUCT(MAX(ROW(E$1:E1873)*(E1874=E$1:E1873))))))</f>
        <v/>
      </c>
      <c r="K1874" s="15" t="str">
        <f aca="false">IF(OR(E1874="",E1874="!!!",F1874="NEW"),"",INDEX(J$1:J1873,SUMPRODUCT(MAX(ROW(E$1:E1873)*(E1874=E$1:E1873)))))</f>
        <v/>
      </c>
      <c r="L1874" s="16"/>
    </row>
    <row r="1875" customFormat="false" ht="12.8" hidden="false" customHeight="false" outlineLevel="0" collapsed="false">
      <c r="A1875" s="0" t="s">
        <v>845</v>
      </c>
      <c r="B1875" s="0" t="s">
        <v>75</v>
      </c>
      <c r="C1875" s="0" t="s">
        <v>31</v>
      </c>
      <c r="E1875" s="10" t="str">
        <f aca="false">IF(D1875="?OLD","!!!","")</f>
        <v/>
      </c>
      <c r="F1875" s="11" t="str">
        <f aca="false">IF(OR(E1875="",E1875="!!!"),"",IF(NOT(ISNA(VLOOKUP(E1875,E$1:E1874,1,FALSE()))),"OLD",IF(AND(E1875&lt;&gt;"",E1875&lt;&gt;"!!!"),"NEW","")))</f>
        <v/>
      </c>
      <c r="G1875" s="12" t="str">
        <f aca="false">IF(OR(E1875="",E1875="!!!"),"",IF(OR(J1875=0,AND(J1875=1,K1875=1),AND(J1875=1,I1875="SBJ"),AND(J1875=1,I1875=0)),"?IN_FOCUS",IF(J1875&lt;=2,"?ACTIVATED",IF(J1875&lt;&gt;"","?FAMILIAR",IF(F1875="NEW",IF(ISNA(VLOOKUP(E1875,#REF!,1,FALSE())),"?TYPE_IDENTIFIABLE","?REFERENTIAL"),"_")))))</f>
        <v/>
      </c>
      <c r="H1875" s="13" t="str">
        <f aca="false">IF(J1875&lt;&gt;1,"",IF(I1875="SBJ","CB","?"))</f>
        <v/>
      </c>
      <c r="I1875" s="14" t="str">
        <f aca="false">IF(OR(E1875="",E1875="!!!",F1875="NEW"),"",INDEX(B$2:B1874,-1+SUMPRODUCT(MAX(ROW(E$2:E1874)*(E1875=E$2:E1874)))))</f>
        <v/>
      </c>
      <c r="J1875" s="15" t="str">
        <f aca="true">IF(OR(E1875="",E1875="!!!",F1875="NEW"),"",COUNTBLANK(OFFSET(A$1,,,SUMPRODUCT(MAX(ROW(E$2:E1875)*(E1875=E$2:E1875)))))-COUNTBLANK(OFFSET(A$1,,,SUMPRODUCT(MAX(ROW(E$1:E1874)*(E1875=E$1:E1874))))))</f>
        <v/>
      </c>
      <c r="K1875" s="15" t="str">
        <f aca="false">IF(OR(E1875="",E1875="!!!",F1875="NEW"),"",INDEX(J$1:J1874,SUMPRODUCT(MAX(ROW(E$1:E1874)*(E1875=E$1:E1874)))))</f>
        <v/>
      </c>
      <c r="L1875" s="16"/>
    </row>
    <row r="1876" customFormat="false" ht="12.8" hidden="false" customHeight="false" outlineLevel="0" collapsed="false">
      <c r="A1876" s="0" t="s">
        <v>397</v>
      </c>
      <c r="E1876" s="10" t="str">
        <f aca="false">IF(D1876="?OLD","!!!","")</f>
        <v/>
      </c>
      <c r="F1876" s="11" t="str">
        <f aca="false">IF(OR(E1876="",E1876="!!!"),"",IF(NOT(ISNA(VLOOKUP(E1876,E$1:E1875,1,FALSE()))),"OLD",IF(AND(E1876&lt;&gt;"",E1876&lt;&gt;"!!!"),"NEW","")))</f>
        <v/>
      </c>
      <c r="G1876" s="12" t="str">
        <f aca="false">IF(OR(E1876="",E1876="!!!"),"",IF(OR(J1876=0,AND(J1876=1,K1876=1),AND(J1876=1,I1876="SBJ"),AND(J1876=1,I1876=0)),"?IN_FOCUS",IF(J1876&lt;=2,"?ACTIVATED",IF(J1876&lt;&gt;"","?FAMILIAR",IF(F1876="NEW",IF(ISNA(VLOOKUP(E1876,#REF!,1,FALSE())),"?TYPE_IDENTIFIABLE","?REFERENTIAL"),"_")))))</f>
        <v/>
      </c>
      <c r="H1876" s="13" t="str">
        <f aca="false">IF(J1876&lt;&gt;1,"",IF(I1876="SBJ","CB","?"))</f>
        <v/>
      </c>
      <c r="I1876" s="14" t="str">
        <f aca="false">IF(OR(E1876="",E1876="!!!",F1876="NEW"),"",INDEX(B$2:B1875,-1+SUMPRODUCT(MAX(ROW(E$2:E1875)*(E1876=E$2:E1875)))))</f>
        <v/>
      </c>
      <c r="J1876" s="15" t="str">
        <f aca="true">IF(OR(E1876="",E1876="!!!",F1876="NEW"),"",COUNTBLANK(OFFSET(A$1,,,SUMPRODUCT(MAX(ROW(E$2:E1876)*(E1876=E$2:E1876)))))-COUNTBLANK(OFFSET(A$1,,,SUMPRODUCT(MAX(ROW(E$1:E1875)*(E1876=E$1:E1875))))))</f>
        <v/>
      </c>
      <c r="K1876" s="15" t="str">
        <f aca="false">IF(OR(E1876="",E1876="!!!",F1876="NEW"),"",INDEX(J$1:J1875,SUMPRODUCT(MAX(ROW(E$1:E1875)*(E1876=E$1:E1875)))))</f>
        <v/>
      </c>
      <c r="L1876" s="16"/>
    </row>
    <row r="1877" customFormat="false" ht="12.8" hidden="false" customHeight="false" outlineLevel="0" collapsed="false">
      <c r="A1877" s="0" t="s">
        <v>846</v>
      </c>
      <c r="E1877" s="10" t="str">
        <f aca="false">IF(D1877="?OLD","!!!","")</f>
        <v/>
      </c>
      <c r="F1877" s="11" t="str">
        <f aca="false">IF(OR(E1877="",E1877="!!!"),"",IF(NOT(ISNA(VLOOKUP(E1877,E$1:E1876,1,FALSE()))),"OLD",IF(AND(E1877&lt;&gt;"",E1877&lt;&gt;"!!!"),"NEW","")))</f>
        <v/>
      </c>
      <c r="G1877" s="12" t="str">
        <f aca="false">IF(OR(E1877="",E1877="!!!"),"",IF(OR(J1877=0,AND(J1877=1,K1877=1),AND(J1877=1,I1877="SBJ"),AND(J1877=1,I1877=0)),"?IN_FOCUS",IF(J1877&lt;=2,"?ACTIVATED",IF(J1877&lt;&gt;"","?FAMILIAR",IF(F1877="NEW",IF(ISNA(VLOOKUP(E1877,#REF!,1,FALSE())),"?TYPE_IDENTIFIABLE","?REFERENTIAL"),"_")))))</f>
        <v/>
      </c>
      <c r="H1877" s="13" t="str">
        <f aca="false">IF(J1877&lt;&gt;1,"",IF(I1877="SBJ","CB","?"))</f>
        <v/>
      </c>
      <c r="I1877" s="14" t="str">
        <f aca="false">IF(OR(E1877="",E1877="!!!",F1877="NEW"),"",INDEX(B$2:B1876,-1+SUMPRODUCT(MAX(ROW(E$2:E1876)*(E1877=E$2:E1876)))))</f>
        <v/>
      </c>
      <c r="J1877" s="15" t="str">
        <f aca="true">IF(OR(E1877="",E1877="!!!",F1877="NEW"),"",COUNTBLANK(OFFSET(A$1,,,SUMPRODUCT(MAX(ROW(E$2:E1877)*(E1877=E$2:E1877)))))-COUNTBLANK(OFFSET(A$1,,,SUMPRODUCT(MAX(ROW(E$1:E1876)*(E1877=E$1:E1876))))))</f>
        <v/>
      </c>
      <c r="K1877" s="15" t="str">
        <f aca="false">IF(OR(E1877="",E1877="!!!",F1877="NEW"),"",INDEX(J$1:J1876,SUMPRODUCT(MAX(ROW(E$1:E1876)*(E1877=E$1:E1876)))))</f>
        <v/>
      </c>
      <c r="L1877" s="16"/>
    </row>
    <row r="1878" customFormat="false" ht="12.8" hidden="false" customHeight="false" outlineLevel="0" collapsed="false">
      <c r="A1878" s="0" t="s">
        <v>847</v>
      </c>
      <c r="B1878" s="0" t="s">
        <v>96</v>
      </c>
      <c r="C1878" s="0" t="s">
        <v>31</v>
      </c>
      <c r="E1878" s="10" t="str">
        <f aca="false">IF(D1878="?OLD","!!!","")</f>
        <v/>
      </c>
      <c r="F1878" s="11" t="str">
        <f aca="false">IF(OR(E1878="",E1878="!!!"),"",IF(NOT(ISNA(VLOOKUP(E1878,E$1:E1877,1,FALSE()))),"OLD",IF(AND(E1878&lt;&gt;"",E1878&lt;&gt;"!!!"),"NEW","")))</f>
        <v/>
      </c>
      <c r="G1878" s="12" t="str">
        <f aca="false">IF(OR(E1878="",E1878="!!!"),"",IF(OR(J1878=0,AND(J1878=1,K1878=1),AND(J1878=1,I1878="SBJ"),AND(J1878=1,I1878=0)),"?IN_FOCUS",IF(J1878&lt;=2,"?ACTIVATED",IF(J1878&lt;&gt;"","?FAMILIAR",IF(F1878="NEW",IF(ISNA(VLOOKUP(E1878,#REF!,1,FALSE())),"?TYPE_IDENTIFIABLE","?REFERENTIAL"),"_")))))</f>
        <v/>
      </c>
      <c r="H1878" s="13" t="str">
        <f aca="false">IF(J1878&lt;&gt;1,"",IF(I1878="SBJ","CB","?"))</f>
        <v/>
      </c>
      <c r="I1878" s="14" t="str">
        <f aca="false">IF(OR(E1878="",E1878="!!!",F1878="NEW"),"",INDEX(B$2:B1877,-1+SUMPRODUCT(MAX(ROW(E$2:E1877)*(E1878=E$2:E1877)))))</f>
        <v/>
      </c>
      <c r="J1878" s="15" t="str">
        <f aca="true">IF(OR(E1878="",E1878="!!!",F1878="NEW"),"",COUNTBLANK(OFFSET(A$1,,,SUMPRODUCT(MAX(ROW(E$2:E1878)*(E1878=E$2:E1878)))))-COUNTBLANK(OFFSET(A$1,,,SUMPRODUCT(MAX(ROW(E$1:E1877)*(E1878=E$1:E1877))))))</f>
        <v/>
      </c>
      <c r="K1878" s="15" t="str">
        <f aca="false">IF(OR(E1878="",E1878="!!!",F1878="NEW"),"",INDEX(J$1:J1877,SUMPRODUCT(MAX(ROW(E$1:E1877)*(E1878=E$1:E1877)))))</f>
        <v/>
      </c>
      <c r="L1878" s="16"/>
    </row>
    <row r="1879" customFormat="false" ht="12.8" hidden="false" customHeight="false" outlineLevel="0" collapsed="false">
      <c r="A1879" s="0" t="s">
        <v>370</v>
      </c>
      <c r="E1879" s="10" t="str">
        <f aca="false">IF(D1879="?OLD","!!!","")</f>
        <v/>
      </c>
      <c r="F1879" s="11" t="str">
        <f aca="false">IF(OR(E1879="",E1879="!!!"),"",IF(NOT(ISNA(VLOOKUP(E1879,E$1:E1878,1,FALSE()))),"OLD",IF(AND(E1879&lt;&gt;"",E1879&lt;&gt;"!!!"),"NEW","")))</f>
        <v/>
      </c>
      <c r="G1879" s="12" t="str">
        <f aca="false">IF(OR(E1879="",E1879="!!!"),"",IF(OR(J1879=0,AND(J1879=1,K1879=1),AND(J1879=1,I1879="SBJ"),AND(J1879=1,I1879=0)),"?IN_FOCUS",IF(J1879&lt;=2,"?ACTIVATED",IF(J1879&lt;&gt;"","?FAMILIAR",IF(F1879="NEW",IF(ISNA(VLOOKUP(E1879,#REF!,1,FALSE())),"?TYPE_IDENTIFIABLE","?REFERENTIAL"),"_")))))</f>
        <v/>
      </c>
      <c r="H1879" s="13" t="str">
        <f aca="false">IF(J1879&lt;&gt;1,"",IF(I1879="SBJ","CB","?"))</f>
        <v/>
      </c>
      <c r="I1879" s="14" t="str">
        <f aca="false">IF(OR(E1879="",E1879="!!!",F1879="NEW"),"",INDEX(B$2:B1878,-1+SUMPRODUCT(MAX(ROW(E$2:E1878)*(E1879=E$2:E1878)))))</f>
        <v/>
      </c>
      <c r="J1879" s="15" t="str">
        <f aca="true">IF(OR(E1879="",E1879="!!!",F1879="NEW"),"",COUNTBLANK(OFFSET(A$1,,,SUMPRODUCT(MAX(ROW(E$2:E1879)*(E1879=E$2:E1879)))))-COUNTBLANK(OFFSET(A$1,,,SUMPRODUCT(MAX(ROW(E$1:E1878)*(E1879=E$1:E1878))))))</f>
        <v/>
      </c>
      <c r="K1879" s="15" t="str">
        <f aca="false">IF(OR(E1879="",E1879="!!!",F1879="NEW"),"",INDEX(J$1:J1878,SUMPRODUCT(MAX(ROW(E$1:E1878)*(E1879=E$1:E1878)))))</f>
        <v/>
      </c>
      <c r="L1879" s="16"/>
    </row>
    <row r="1880" customFormat="false" ht="12.8" hidden="false" customHeight="false" outlineLevel="0" collapsed="false">
      <c r="E1880" s="10" t="str">
        <f aca="false">IF(D1880="?OLD","!!!","")</f>
        <v/>
      </c>
      <c r="F1880" s="11" t="str">
        <f aca="false">IF(OR(E1880="",E1880="!!!"),"",IF(NOT(ISNA(VLOOKUP(E1880,E$1:E1879,1,FALSE()))),"OLD",IF(AND(E1880&lt;&gt;"",E1880&lt;&gt;"!!!"),"NEW","")))</f>
        <v/>
      </c>
      <c r="G1880" s="12" t="str">
        <f aca="false">IF(OR(E1880="",E1880="!!!"),"",IF(OR(J1880=0,AND(J1880=1,K1880=1),AND(J1880=1,I1880="SBJ"),AND(J1880=1,I1880=0)),"?IN_FOCUS",IF(J1880&lt;=2,"?ACTIVATED",IF(J1880&lt;&gt;"","?FAMILIAR",IF(F1880="NEW",IF(ISNA(VLOOKUP(E1880,#REF!,1,FALSE())),"?TYPE_IDENTIFIABLE","?REFERENTIAL"),"_")))))</f>
        <v/>
      </c>
      <c r="H1880" s="13" t="str">
        <f aca="false">IF(J1880&lt;&gt;1,"",IF(I1880="SBJ","CB","?"))</f>
        <v/>
      </c>
      <c r="I1880" s="14" t="str">
        <f aca="false">IF(OR(E1880="",E1880="!!!",F1880="NEW"),"",INDEX(B$2:B1879,-1+SUMPRODUCT(MAX(ROW(E$2:E1879)*(E1880=E$2:E1879)))))</f>
        <v/>
      </c>
      <c r="J1880" s="15" t="str">
        <f aca="true">IF(OR(E1880="",E1880="!!!",F1880="NEW"),"",COUNTBLANK(OFFSET(A$1,,,SUMPRODUCT(MAX(ROW(E$2:E1880)*(E1880=E$2:E1880)))))-COUNTBLANK(OFFSET(A$1,,,SUMPRODUCT(MAX(ROW(E$1:E1879)*(E1880=E$1:E1879))))))</f>
        <v/>
      </c>
      <c r="K1880" s="15" t="str">
        <f aca="false">IF(OR(E1880="",E1880="!!!",F1880="NEW"),"",INDEX(J$1:J1879,SUMPRODUCT(MAX(ROW(E$1:E1879)*(E1880=E$1:E1879)))))</f>
        <v/>
      </c>
      <c r="L1880" s="16"/>
    </row>
    <row r="1881" customFormat="false" ht="12.8" hidden="false" customHeight="false" outlineLevel="0" collapsed="false">
      <c r="A1881" s="0" t="s">
        <v>503</v>
      </c>
      <c r="E1881" s="10" t="str">
        <f aca="false">IF(D1881="?OLD","!!!","")</f>
        <v/>
      </c>
      <c r="F1881" s="11" t="str">
        <f aca="false">IF(OR(E1881="",E1881="!!!"),"",IF(NOT(ISNA(VLOOKUP(E1881,E$1:E1880,1,FALSE()))),"OLD",IF(AND(E1881&lt;&gt;"",E1881&lt;&gt;"!!!"),"NEW","")))</f>
        <v/>
      </c>
      <c r="G1881" s="12" t="str">
        <f aca="false">IF(OR(E1881="",E1881="!!!"),"",IF(OR(J1881=0,AND(J1881=1,K1881=1),AND(J1881=1,I1881="SBJ"),AND(J1881=1,I1881=0)),"?IN_FOCUS",IF(J1881&lt;=2,"?ACTIVATED",IF(J1881&lt;&gt;"","?FAMILIAR",IF(F1881="NEW",IF(ISNA(VLOOKUP(E1881,#REF!,1,FALSE())),"?TYPE_IDENTIFIABLE","?REFERENTIAL"),"_")))))</f>
        <v/>
      </c>
      <c r="H1881" s="13" t="str">
        <f aca="false">IF(J1881&lt;&gt;1,"",IF(I1881="SBJ","CB","?"))</f>
        <v/>
      </c>
      <c r="I1881" s="14" t="str">
        <f aca="false">IF(OR(E1881="",E1881="!!!",F1881="NEW"),"",INDEX(B$2:B1880,-1+SUMPRODUCT(MAX(ROW(E$2:E1880)*(E1881=E$2:E1880)))))</f>
        <v/>
      </c>
      <c r="J1881" s="15" t="str">
        <f aca="true">IF(OR(E1881="",E1881="!!!",F1881="NEW"),"",COUNTBLANK(OFFSET(A$1,,,SUMPRODUCT(MAX(ROW(E$2:E1881)*(E1881=E$2:E1881)))))-COUNTBLANK(OFFSET(A$1,,,SUMPRODUCT(MAX(ROW(E$1:E1880)*(E1881=E$1:E1880))))))</f>
        <v/>
      </c>
      <c r="K1881" s="15" t="str">
        <f aca="false">IF(OR(E1881="",E1881="!!!",F1881="NEW"),"",INDEX(J$1:J1880,SUMPRODUCT(MAX(ROW(E$1:E1880)*(E1881=E$1:E1880)))))</f>
        <v/>
      </c>
      <c r="L1881" s="16"/>
    </row>
    <row r="1882" customFormat="false" ht="12.8" hidden="false" customHeight="false" outlineLevel="0" collapsed="false">
      <c r="A1882" s="0" t="s">
        <v>848</v>
      </c>
      <c r="E1882" s="10" t="str">
        <f aca="false">IF(D1882="?OLD","!!!","")</f>
        <v/>
      </c>
      <c r="F1882" s="11" t="str">
        <f aca="false">IF(OR(E1882="",E1882="!!!"),"",IF(NOT(ISNA(VLOOKUP(E1882,E$1:E1881,1,FALSE()))),"OLD",IF(AND(E1882&lt;&gt;"",E1882&lt;&gt;"!!!"),"NEW","")))</f>
        <v/>
      </c>
      <c r="G1882" s="12" t="str">
        <f aca="false">IF(OR(E1882="",E1882="!!!"),"",IF(OR(J1882=0,AND(J1882=1,K1882=1),AND(J1882=1,I1882="SBJ"),AND(J1882=1,I1882=0)),"?IN_FOCUS",IF(J1882&lt;=2,"?ACTIVATED",IF(J1882&lt;&gt;"","?FAMILIAR",IF(F1882="NEW",IF(ISNA(VLOOKUP(E1882,#REF!,1,FALSE())),"?TYPE_IDENTIFIABLE","?REFERENTIAL"),"_")))))</f>
        <v/>
      </c>
      <c r="H1882" s="13" t="str">
        <f aca="false">IF(J1882&lt;&gt;1,"",IF(I1882="SBJ","CB","?"))</f>
        <v/>
      </c>
      <c r="I1882" s="14" t="str">
        <f aca="false">IF(OR(E1882="",E1882="!!!",F1882="NEW"),"",INDEX(B$2:B1881,-1+SUMPRODUCT(MAX(ROW(E$2:E1881)*(E1882=E$2:E1881)))))</f>
        <v/>
      </c>
      <c r="J1882" s="15" t="str">
        <f aca="true">IF(OR(E1882="",E1882="!!!",F1882="NEW"),"",COUNTBLANK(OFFSET(A$1,,,SUMPRODUCT(MAX(ROW(E$2:E1882)*(E1882=E$2:E1882)))))-COUNTBLANK(OFFSET(A$1,,,SUMPRODUCT(MAX(ROW(E$1:E1881)*(E1882=E$1:E1881))))))</f>
        <v/>
      </c>
      <c r="K1882" s="15" t="str">
        <f aca="false">IF(OR(E1882="",E1882="!!!",F1882="NEW"),"",INDEX(J$1:J1881,SUMPRODUCT(MAX(ROW(E$1:E1881)*(E1882=E$1:E1881)))))</f>
        <v/>
      </c>
      <c r="L1882" s="16"/>
    </row>
    <row r="1883" customFormat="false" ht="12.8" hidden="false" customHeight="false" outlineLevel="0" collapsed="false">
      <c r="A1883" s="0" t="s">
        <v>372</v>
      </c>
      <c r="E1883" s="10" t="str">
        <f aca="false">IF(D1883="?OLD","!!!","")</f>
        <v/>
      </c>
      <c r="F1883" s="11" t="str">
        <f aca="false">IF(OR(E1883="",E1883="!!!"),"",IF(NOT(ISNA(VLOOKUP(E1883,E$1:E1882,1,FALSE()))),"OLD",IF(AND(E1883&lt;&gt;"",E1883&lt;&gt;"!!!"),"NEW","")))</f>
        <v/>
      </c>
      <c r="G1883" s="12" t="str">
        <f aca="false">IF(OR(E1883="",E1883="!!!"),"",IF(OR(J1883=0,AND(J1883=1,K1883=1),AND(J1883=1,I1883="SBJ"),AND(J1883=1,I1883=0)),"?IN_FOCUS",IF(J1883&lt;=2,"?ACTIVATED",IF(J1883&lt;&gt;"","?FAMILIAR",IF(F1883="NEW",IF(ISNA(VLOOKUP(E1883,#REF!,1,FALSE())),"?TYPE_IDENTIFIABLE","?REFERENTIAL"),"_")))))</f>
        <v/>
      </c>
      <c r="H1883" s="13" t="str">
        <f aca="false">IF(J1883&lt;&gt;1,"",IF(I1883="SBJ","CB","?"))</f>
        <v/>
      </c>
      <c r="I1883" s="14" t="str">
        <f aca="false">IF(OR(E1883="",E1883="!!!",F1883="NEW"),"",INDEX(B$2:B1882,-1+SUMPRODUCT(MAX(ROW(E$2:E1882)*(E1883=E$2:E1882)))))</f>
        <v/>
      </c>
      <c r="J1883" s="15" t="str">
        <f aca="true">IF(OR(E1883="",E1883="!!!",F1883="NEW"),"",COUNTBLANK(OFFSET(A$1,,,SUMPRODUCT(MAX(ROW(E$2:E1883)*(E1883=E$2:E1883)))))-COUNTBLANK(OFFSET(A$1,,,SUMPRODUCT(MAX(ROW(E$1:E1882)*(E1883=E$1:E1882))))))</f>
        <v/>
      </c>
      <c r="K1883" s="15" t="str">
        <f aca="false">IF(OR(E1883="",E1883="!!!",F1883="NEW"),"",INDEX(J$1:J1882,SUMPRODUCT(MAX(ROW(E$1:E1882)*(E1883=E$1:E1882)))))</f>
        <v/>
      </c>
      <c r="L1883" s="16"/>
    </row>
    <row r="1884" customFormat="false" ht="12.8" hidden="false" customHeight="false" outlineLevel="0" collapsed="false">
      <c r="A1884" s="0" t="s">
        <v>44</v>
      </c>
      <c r="E1884" s="10" t="str">
        <f aca="false">IF(D1884="?OLD","!!!","")</f>
        <v/>
      </c>
      <c r="F1884" s="11" t="str">
        <f aca="false">IF(OR(E1884="",E1884="!!!"),"",IF(NOT(ISNA(VLOOKUP(E1884,E$1:E1883,1,FALSE()))),"OLD",IF(AND(E1884&lt;&gt;"",E1884&lt;&gt;"!!!"),"NEW","")))</f>
        <v/>
      </c>
      <c r="G1884" s="12" t="str">
        <f aca="false">IF(OR(E1884="",E1884="!!!"),"",IF(OR(J1884=0,AND(J1884=1,K1884=1),AND(J1884=1,I1884="SBJ"),AND(J1884=1,I1884=0)),"?IN_FOCUS",IF(J1884&lt;=2,"?ACTIVATED",IF(J1884&lt;&gt;"","?FAMILIAR",IF(F1884="NEW",IF(ISNA(VLOOKUP(E1884,#REF!,1,FALSE())),"?TYPE_IDENTIFIABLE","?REFERENTIAL"),"_")))))</f>
        <v/>
      </c>
      <c r="H1884" s="13" t="str">
        <f aca="false">IF(J1884&lt;&gt;1,"",IF(I1884="SBJ","CB","?"))</f>
        <v/>
      </c>
      <c r="I1884" s="14" t="str">
        <f aca="false">IF(OR(E1884="",E1884="!!!",F1884="NEW"),"",INDEX(B$2:B1883,-1+SUMPRODUCT(MAX(ROW(E$2:E1883)*(E1884=E$2:E1883)))))</f>
        <v/>
      </c>
      <c r="J1884" s="15" t="str">
        <f aca="true">IF(OR(E1884="",E1884="!!!",F1884="NEW"),"",COUNTBLANK(OFFSET(A$1,,,SUMPRODUCT(MAX(ROW(E$2:E1884)*(E1884=E$2:E1884)))))-COUNTBLANK(OFFSET(A$1,,,SUMPRODUCT(MAX(ROW(E$1:E1883)*(E1884=E$1:E1883))))))</f>
        <v/>
      </c>
      <c r="K1884" s="15" t="str">
        <f aca="false">IF(OR(E1884="",E1884="!!!",F1884="NEW"),"",INDEX(J$1:J1883,SUMPRODUCT(MAX(ROW(E$1:E1883)*(E1884=E$1:E1883)))))</f>
        <v/>
      </c>
      <c r="L1884" s="16"/>
    </row>
    <row r="1885" customFormat="false" ht="12.8" hidden="false" customHeight="false" outlineLevel="0" collapsed="false">
      <c r="A1885" s="0" t="s">
        <v>849</v>
      </c>
      <c r="E1885" s="10" t="str">
        <f aca="false">IF(D1885="?OLD","!!!","")</f>
        <v/>
      </c>
      <c r="F1885" s="11" t="str">
        <f aca="false">IF(OR(E1885="",E1885="!!!"),"",IF(NOT(ISNA(VLOOKUP(E1885,E$1:E1884,1,FALSE()))),"OLD",IF(AND(E1885&lt;&gt;"",E1885&lt;&gt;"!!!"),"NEW","")))</f>
        <v/>
      </c>
      <c r="G1885" s="12" t="str">
        <f aca="false">IF(OR(E1885="",E1885="!!!"),"",IF(OR(J1885=0,AND(J1885=1,K1885=1),AND(J1885=1,I1885="SBJ"),AND(J1885=1,I1885=0)),"?IN_FOCUS",IF(J1885&lt;=2,"?ACTIVATED",IF(J1885&lt;&gt;"","?FAMILIAR",IF(F1885="NEW",IF(ISNA(VLOOKUP(E1885,#REF!,1,FALSE())),"?TYPE_IDENTIFIABLE","?REFERENTIAL"),"_")))))</f>
        <v/>
      </c>
      <c r="H1885" s="13" t="str">
        <f aca="false">IF(J1885&lt;&gt;1,"",IF(I1885="SBJ","CB","?"))</f>
        <v/>
      </c>
      <c r="I1885" s="14" t="str">
        <f aca="false">IF(OR(E1885="",E1885="!!!",F1885="NEW"),"",INDEX(B$2:B1884,-1+SUMPRODUCT(MAX(ROW(E$2:E1884)*(E1885=E$2:E1884)))))</f>
        <v/>
      </c>
      <c r="J1885" s="15" t="str">
        <f aca="true">IF(OR(E1885="",E1885="!!!",F1885="NEW"),"",COUNTBLANK(OFFSET(A$1,,,SUMPRODUCT(MAX(ROW(E$2:E1885)*(E1885=E$2:E1885)))))-COUNTBLANK(OFFSET(A$1,,,SUMPRODUCT(MAX(ROW(E$1:E1884)*(E1885=E$1:E1884))))))</f>
        <v/>
      </c>
      <c r="K1885" s="15" t="str">
        <f aca="false">IF(OR(E1885="",E1885="!!!",F1885="NEW"),"",INDEX(J$1:J1884,SUMPRODUCT(MAX(ROW(E$1:E1884)*(E1885=E$1:E1884)))))</f>
        <v/>
      </c>
      <c r="L1885" s="16"/>
    </row>
    <row r="1886" customFormat="false" ht="12.8" hidden="false" customHeight="false" outlineLevel="0" collapsed="false">
      <c r="A1886" s="0" t="s">
        <v>850</v>
      </c>
      <c r="E1886" s="10" t="str">
        <f aca="false">IF(D1886="?OLD","!!!","")</f>
        <v/>
      </c>
      <c r="F1886" s="11" t="str">
        <f aca="false">IF(OR(E1886="",E1886="!!!"),"",IF(NOT(ISNA(VLOOKUP(E1886,E$1:E1885,1,FALSE()))),"OLD",IF(AND(E1886&lt;&gt;"",E1886&lt;&gt;"!!!"),"NEW","")))</f>
        <v/>
      </c>
      <c r="G1886" s="12" t="str">
        <f aca="false">IF(OR(E1886="",E1886="!!!"),"",IF(OR(J1886=0,AND(J1886=1,K1886=1),AND(J1886=1,I1886="SBJ"),AND(J1886=1,I1886=0)),"?IN_FOCUS",IF(J1886&lt;=2,"?ACTIVATED",IF(J1886&lt;&gt;"","?FAMILIAR",IF(F1886="NEW",IF(ISNA(VLOOKUP(E1886,#REF!,1,FALSE())),"?TYPE_IDENTIFIABLE","?REFERENTIAL"),"_")))))</f>
        <v/>
      </c>
      <c r="H1886" s="13" t="str">
        <f aca="false">IF(J1886&lt;&gt;1,"",IF(I1886="SBJ","CB","?"))</f>
        <v/>
      </c>
      <c r="I1886" s="14" t="str">
        <f aca="false">IF(OR(E1886="",E1886="!!!",F1886="NEW"),"",INDEX(B$2:B1885,-1+SUMPRODUCT(MAX(ROW(E$2:E1885)*(E1886=E$2:E1885)))))</f>
        <v/>
      </c>
      <c r="J1886" s="15" t="str">
        <f aca="true">IF(OR(E1886="",E1886="!!!",F1886="NEW"),"",COUNTBLANK(OFFSET(A$1,,,SUMPRODUCT(MAX(ROW(E$2:E1886)*(E1886=E$2:E1886)))))-COUNTBLANK(OFFSET(A$1,,,SUMPRODUCT(MAX(ROW(E$1:E1885)*(E1886=E$1:E1885))))))</f>
        <v/>
      </c>
      <c r="K1886" s="15" t="str">
        <f aca="false">IF(OR(E1886="",E1886="!!!",F1886="NEW"),"",INDEX(J$1:J1885,SUMPRODUCT(MAX(ROW(E$1:E1885)*(E1886=E$1:E1885)))))</f>
        <v/>
      </c>
      <c r="L1886" s="16"/>
    </row>
    <row r="1887" customFormat="false" ht="12.8" hidden="false" customHeight="false" outlineLevel="0" collapsed="false">
      <c r="A1887" s="0" t="s">
        <v>851</v>
      </c>
      <c r="E1887" s="10" t="str">
        <f aca="false">IF(D1887="?OLD","!!!","")</f>
        <v/>
      </c>
      <c r="F1887" s="11" t="str">
        <f aca="false">IF(OR(E1887="",E1887="!!!"),"",IF(NOT(ISNA(VLOOKUP(E1887,E$1:E1886,1,FALSE()))),"OLD",IF(AND(E1887&lt;&gt;"",E1887&lt;&gt;"!!!"),"NEW","")))</f>
        <v/>
      </c>
      <c r="G1887" s="12" t="str">
        <f aca="false">IF(OR(E1887="",E1887="!!!"),"",IF(OR(J1887=0,AND(J1887=1,K1887=1),AND(J1887=1,I1887="SBJ"),AND(J1887=1,I1887=0)),"?IN_FOCUS",IF(J1887&lt;=2,"?ACTIVATED",IF(J1887&lt;&gt;"","?FAMILIAR",IF(F1887="NEW",IF(ISNA(VLOOKUP(E1887,#REF!,1,FALSE())),"?TYPE_IDENTIFIABLE","?REFERENTIAL"),"_")))))</f>
        <v/>
      </c>
      <c r="H1887" s="13" t="str">
        <f aca="false">IF(J1887&lt;&gt;1,"",IF(I1887="SBJ","CB","?"))</f>
        <v/>
      </c>
      <c r="I1887" s="14" t="str">
        <f aca="false">IF(OR(E1887="",E1887="!!!",F1887="NEW"),"",INDEX(B$2:B1886,-1+SUMPRODUCT(MAX(ROW(E$2:E1886)*(E1887=E$2:E1886)))))</f>
        <v/>
      </c>
      <c r="J1887" s="15" t="str">
        <f aca="true">IF(OR(E1887="",E1887="!!!",F1887="NEW"),"",COUNTBLANK(OFFSET(A$1,,,SUMPRODUCT(MAX(ROW(E$2:E1887)*(E1887=E$2:E1887)))))-COUNTBLANK(OFFSET(A$1,,,SUMPRODUCT(MAX(ROW(E$1:E1886)*(E1887=E$1:E1886))))))</f>
        <v/>
      </c>
      <c r="K1887" s="15" t="str">
        <f aca="false">IF(OR(E1887="",E1887="!!!",F1887="NEW"),"",INDEX(J$1:J1886,SUMPRODUCT(MAX(ROW(E$1:E1886)*(E1887=E$1:E1886)))))</f>
        <v/>
      </c>
      <c r="L1887" s="16"/>
    </row>
    <row r="1888" customFormat="false" ht="12.8" hidden="false" customHeight="false" outlineLevel="0" collapsed="false">
      <c r="A1888" s="0" t="s">
        <v>76</v>
      </c>
      <c r="E1888" s="10" t="str">
        <f aca="false">IF(D1888="?OLD","!!!","")</f>
        <v/>
      </c>
      <c r="F1888" s="11" t="str">
        <f aca="false">IF(OR(E1888="",E1888="!!!"),"",IF(NOT(ISNA(VLOOKUP(E1888,E$1:E1887,1,FALSE()))),"OLD",IF(AND(E1888&lt;&gt;"",E1888&lt;&gt;"!!!"),"NEW","")))</f>
        <v/>
      </c>
      <c r="G1888" s="12" t="str">
        <f aca="false">IF(OR(E1888="",E1888="!!!"),"",IF(OR(J1888=0,AND(J1888=1,K1888=1),AND(J1888=1,I1888="SBJ"),AND(J1888=1,I1888=0)),"?IN_FOCUS",IF(J1888&lt;=2,"?ACTIVATED",IF(J1888&lt;&gt;"","?FAMILIAR",IF(F1888="NEW",IF(ISNA(VLOOKUP(E1888,#REF!,1,FALSE())),"?TYPE_IDENTIFIABLE","?REFERENTIAL"),"_")))))</f>
        <v/>
      </c>
      <c r="H1888" s="13" t="str">
        <f aca="false">IF(J1888&lt;&gt;1,"",IF(I1888="SBJ","CB","?"))</f>
        <v/>
      </c>
      <c r="I1888" s="14" t="str">
        <f aca="false">IF(OR(E1888="",E1888="!!!",F1888="NEW"),"",INDEX(B$2:B1887,-1+SUMPRODUCT(MAX(ROW(E$2:E1887)*(E1888=E$2:E1887)))))</f>
        <v/>
      </c>
      <c r="J1888" s="15" t="str">
        <f aca="true">IF(OR(E1888="",E1888="!!!",F1888="NEW"),"",COUNTBLANK(OFFSET(A$1,,,SUMPRODUCT(MAX(ROW(E$2:E1888)*(E1888=E$2:E1888)))))-COUNTBLANK(OFFSET(A$1,,,SUMPRODUCT(MAX(ROW(E$1:E1887)*(E1888=E$1:E1887))))))</f>
        <v/>
      </c>
      <c r="K1888" s="15" t="str">
        <f aca="false">IF(OR(E1888="",E1888="!!!",F1888="NEW"),"",INDEX(J$1:J1887,SUMPRODUCT(MAX(ROW(E$1:E1887)*(E1888=E$1:E1887)))))</f>
        <v/>
      </c>
      <c r="L1888" s="16"/>
    </row>
    <row r="1889" customFormat="false" ht="12.8" hidden="false" customHeight="false" outlineLevel="0" collapsed="false">
      <c r="A1889" s="0" t="s">
        <v>852</v>
      </c>
      <c r="B1889" s="0" t="s">
        <v>34</v>
      </c>
      <c r="C1889" s="0" t="s">
        <v>19</v>
      </c>
      <c r="D1889" s="0" t="s">
        <v>20</v>
      </c>
      <c r="E1889" s="10" t="s">
        <v>853</v>
      </c>
      <c r="F1889" s="11" t="str">
        <f aca="false">IF(OR(E1889="",E1889="!!!"),"",IF(NOT(ISNA(VLOOKUP(E1889,E$1:E1888,1,FALSE()))),"OLD",IF(AND(E1889&lt;&gt;"",E1889&lt;&gt;"!!!"),"NEW","")))</f>
        <v>NEW</v>
      </c>
      <c r="G1889" s="12" t="s">
        <v>36</v>
      </c>
      <c r="H1889" s="13" t="str">
        <f aca="false">IF(J1889&lt;&gt;1,"",IF(I1889="SBJ","CB","?"))</f>
        <v/>
      </c>
      <c r="I1889" s="14" t="str">
        <f aca="false">IF(OR(E1889="",E1889="!!!",F1889="NEW"),"",INDEX(B$2:B1888,-1+SUMPRODUCT(MAX(ROW(E$2:E1888)*(E1889=E$2:E1888)))))</f>
        <v/>
      </c>
      <c r="J1889" s="15" t="str">
        <f aca="true">IF(OR(E1889="",E1889="!!!",F1889="NEW"),"",COUNTBLANK(OFFSET(A$1,,,SUMPRODUCT(MAX(ROW(E$2:E1889)*(E1889=E$2:E1889)))))-COUNTBLANK(OFFSET(A$1,,,SUMPRODUCT(MAX(ROW(E$1:E1888)*(E1889=E$1:E1888))))))</f>
        <v/>
      </c>
      <c r="K1889" s="15" t="str">
        <f aca="false">IF(OR(E1889="",E1889="!!!",F1889="NEW"),"",INDEX(J$1:J1888,SUMPRODUCT(MAX(ROW(E$1:E1888)*(E1889=E$1:E1888)))))</f>
        <v/>
      </c>
      <c r="L1889" s="16"/>
    </row>
    <row r="1890" customFormat="false" ht="12.8" hidden="false" customHeight="false" outlineLevel="0" collapsed="false">
      <c r="A1890" s="0" t="s">
        <v>854</v>
      </c>
      <c r="E1890" s="10" t="str">
        <f aca="false">IF(D1890="?OLD","!!!","")</f>
        <v/>
      </c>
      <c r="F1890" s="11" t="str">
        <f aca="false">IF(OR(E1890="",E1890="!!!"),"",IF(NOT(ISNA(VLOOKUP(E1890,E$1:E1889,1,FALSE()))),"OLD",IF(AND(E1890&lt;&gt;"",E1890&lt;&gt;"!!!"),"NEW","")))</f>
        <v/>
      </c>
      <c r="G1890" s="12" t="str">
        <f aca="false">IF(OR(E1890="",E1890="!!!"),"",IF(OR(J1890=0,AND(J1890=1,K1890=1),AND(J1890=1,I1890="SBJ"),AND(J1890=1,I1890=0)),"?IN_FOCUS",IF(J1890&lt;=2,"?ACTIVATED",IF(J1890&lt;&gt;"","?FAMILIAR",IF(F1890="NEW",IF(ISNA(VLOOKUP(E1890,#REF!,1,FALSE())),"?TYPE_IDENTIFIABLE","?REFERENTIAL"),"_")))))</f>
        <v/>
      </c>
      <c r="H1890" s="13" t="str">
        <f aca="false">IF(J1890&lt;&gt;1,"",IF(I1890="SBJ","CB","?"))</f>
        <v/>
      </c>
      <c r="I1890" s="14" t="str">
        <f aca="false">IF(OR(E1890="",E1890="!!!",F1890="NEW"),"",INDEX(B$2:B1889,-1+SUMPRODUCT(MAX(ROW(E$2:E1889)*(E1890=E$2:E1889)))))</f>
        <v/>
      </c>
      <c r="J1890" s="15" t="str">
        <f aca="true">IF(OR(E1890="",E1890="!!!",F1890="NEW"),"",COUNTBLANK(OFFSET(A$1,,,SUMPRODUCT(MAX(ROW(E$2:E1890)*(E1890=E$2:E1890)))))-COUNTBLANK(OFFSET(A$1,,,SUMPRODUCT(MAX(ROW(E$1:E1889)*(E1890=E$1:E1889))))))</f>
        <v/>
      </c>
      <c r="K1890" s="15" t="str">
        <f aca="false">IF(OR(E1890="",E1890="!!!",F1890="NEW"),"",INDEX(J$1:J1889,SUMPRODUCT(MAX(ROW(E$1:E1889)*(E1890=E$1:E1889)))))</f>
        <v/>
      </c>
      <c r="L1890" s="16"/>
    </row>
    <row r="1891" customFormat="false" ht="12.8" hidden="false" customHeight="false" outlineLevel="0" collapsed="false">
      <c r="A1891" s="0" t="s">
        <v>120</v>
      </c>
      <c r="B1891" s="0" t="s">
        <v>85</v>
      </c>
      <c r="C1891" s="0" t="s">
        <v>121</v>
      </c>
      <c r="D1891" s="0" t="s">
        <v>20</v>
      </c>
      <c r="E1891" s="10" t="s">
        <v>855</v>
      </c>
      <c r="F1891" s="11" t="s">
        <v>123</v>
      </c>
      <c r="G1891" s="12" t="s">
        <v>67</v>
      </c>
      <c r="H1891" s="13"/>
      <c r="I1891" s="14" t="e">
        <f aca="false">IF(OR(E1891="",E1891="!!!",F1891="NEW"),"",INDEX(B$2:B1890,-1+SUMPRODUCT(MAX(ROW(E$2:E1890)*(E1891=E$2:E1890)))))</f>
        <v>#VALUE!</v>
      </c>
      <c r="J1891" s="15" t="e">
        <f aca="true">IF(OR(E1891="",E1891="!!!",F1891="NEW"),"",COUNTBLANK(OFFSET(A$1,,,SUMPRODUCT(MAX(ROW(E$2:E1891)*(E1891=E$2:E1891)))))-COUNTBLANK(OFFSET(A$1,,,SUMPRODUCT(MAX(ROW(E$1:E1890)*(E1891=E$1:E1890))))))</f>
        <v>#VALUE!</v>
      </c>
      <c r="K1891" s="15" t="e">
        <f aca="false">IF(OR(E1891="",E1891="!!!",F1891="NEW"),"",INDEX(J$1:J1890,SUMPRODUCT(MAX(ROW(E$1:E1890)*(E1891=E$1:E1890)))))</f>
        <v>#VALUE!</v>
      </c>
      <c r="L1891" s="16"/>
    </row>
    <row r="1892" customFormat="false" ht="12.8" hidden="false" customHeight="false" outlineLevel="0" collapsed="false">
      <c r="A1892" s="0" t="s">
        <v>249</v>
      </c>
      <c r="E1892" s="10" t="str">
        <f aca="false">IF(D1892="?OLD","!!!","")</f>
        <v/>
      </c>
      <c r="F1892" s="11" t="str">
        <f aca="false">IF(OR(E1892="",E1892="!!!"),"",IF(NOT(ISNA(VLOOKUP(E1892,E$1:E1891,1,FALSE()))),"OLD",IF(AND(E1892&lt;&gt;"",E1892&lt;&gt;"!!!"),"NEW","")))</f>
        <v/>
      </c>
      <c r="G1892" s="12" t="str">
        <f aca="false">IF(OR(E1892="",E1892="!!!"),"",IF(OR(J1892=0,AND(J1892=1,K1892=1),AND(J1892=1,I1892="SBJ"),AND(J1892=1,I1892=0)),"?IN_FOCUS",IF(J1892&lt;=2,"?ACTIVATED",IF(J1892&lt;&gt;"","?FAMILIAR",IF(F1892="NEW",IF(ISNA(VLOOKUP(E1892,#REF!,1,FALSE())),"?TYPE_IDENTIFIABLE","?REFERENTIAL"),"_")))))</f>
        <v/>
      </c>
      <c r="H1892" s="13" t="str">
        <f aca="false">IF(J1892&lt;&gt;1,"",IF(I1892="SBJ","CB","?"))</f>
        <v/>
      </c>
      <c r="I1892" s="14" t="str">
        <f aca="false">IF(OR(E1892="",E1892="!!!",F1892="NEW"),"",INDEX(B$2:B1891,-1+SUMPRODUCT(MAX(ROW(E$2:E1891)*(E1892=E$2:E1891)))))</f>
        <v/>
      </c>
      <c r="J1892" s="15" t="str">
        <f aca="true">IF(OR(E1892="",E1892="!!!",F1892="NEW"),"",COUNTBLANK(OFFSET(A$1,,,SUMPRODUCT(MAX(ROW(E$2:E1892)*(E1892=E$2:E1892)))))-COUNTBLANK(OFFSET(A$1,,,SUMPRODUCT(MAX(ROW(E$1:E1891)*(E1892=E$1:E1891))))))</f>
        <v/>
      </c>
      <c r="K1892" s="15" t="str">
        <f aca="false">IF(OR(E1892="",E1892="!!!",F1892="NEW"),"",INDEX(J$1:J1891,SUMPRODUCT(MAX(ROW(E$1:E1891)*(E1892=E$1:E1891)))))</f>
        <v/>
      </c>
      <c r="L1892" s="16"/>
    </row>
    <row r="1893" customFormat="false" ht="12.8" hidden="false" customHeight="false" outlineLevel="0" collapsed="false">
      <c r="A1893" s="0" t="s">
        <v>240</v>
      </c>
      <c r="B1893" s="0" t="s">
        <v>75</v>
      </c>
      <c r="C1893" s="0" t="s">
        <v>215</v>
      </c>
      <c r="D1893" s="0" t="s">
        <v>20</v>
      </c>
      <c r="E1893" s="10" t="s">
        <v>840</v>
      </c>
      <c r="F1893" s="11" t="str">
        <f aca="false">IF(OR(E1893="",E1893="!!!"),"",IF(NOT(ISNA(VLOOKUP(E1893,E$1:E1892,1,FALSE()))),"OLD",IF(AND(E1893&lt;&gt;"",E1893&lt;&gt;"!!!"),"NEW","")))</f>
        <v>OLD</v>
      </c>
      <c r="G1893" s="12" t="s">
        <v>87</v>
      </c>
      <c r="H1893" s="13" t="s">
        <v>7</v>
      </c>
      <c r="I1893" s="14" t="n">
        <f aca="false">IF(OR(E1893="",E1893="!!!",F1893="NEW"),"",INDEX(B$2:B1892,-1+SUMPRODUCT(MAX(ROW(E$2:E1892)*(E1893=E$2:E1892)))))</f>
        <v>0</v>
      </c>
      <c r="J1893" s="15" t="n">
        <f aca="true">IF(OR(E1893="",E1893="!!!",F1893="NEW"),"",COUNTBLANK(OFFSET(A$1,,,SUMPRODUCT(MAX(ROW(E$2:E1893)*(E1893=E$2:E1893)))))-COUNTBLANK(OFFSET(A$1,,,SUMPRODUCT(MAX(ROW(E$1:E1892)*(E1893=E$1:E1892))))))</f>
        <v>1</v>
      </c>
      <c r="K1893" s="15" t="str">
        <f aca="false">IF(OR(E1893="",E1893="!!!",F1893="NEW"),"",INDEX(J$1:J1892,SUMPRODUCT(MAX(ROW(E$1:E1892)*(E1893=E$1:E1892)))))</f>
        <v/>
      </c>
      <c r="L1893" s="16"/>
    </row>
    <row r="1894" customFormat="false" ht="12.8" hidden="false" customHeight="false" outlineLevel="0" collapsed="false">
      <c r="A1894" s="0" t="s">
        <v>51</v>
      </c>
      <c r="B1894" s="0" t="s">
        <v>53</v>
      </c>
      <c r="C1894" s="0" t="s">
        <v>215</v>
      </c>
      <c r="D1894" s="0" t="s">
        <v>20</v>
      </c>
      <c r="E1894" s="10"/>
      <c r="F1894" s="11" t="s">
        <v>547</v>
      </c>
      <c r="G1894" s="12" t="str">
        <f aca="false">IF(OR(E1894="",E1894="!!!"),"",IF(OR(J1894=0,AND(J1894=1,K1894=1),AND(J1894=1,I1894="SBJ"),AND(J1894=1,I1894=0)),"?IN_FOCUS",IF(J1894&lt;=2,"?ACTIVATED",IF(J1894&lt;&gt;"","?FAMILIAR",IF(F1894="NEW",IF(ISNA(VLOOKUP(E1894,#REF!,1,FALSE())),"?TYPE_IDENTIFIABLE","?REFERENTIAL"),"_")))))</f>
        <v/>
      </c>
      <c r="H1894" s="13" t="str">
        <f aca="false">IF(J1894&lt;&gt;1,"",IF(I1894="SBJ","CB","?"))</f>
        <v/>
      </c>
      <c r="I1894" s="14" t="str">
        <f aca="false">IF(OR(E1894="",E1894="!!!",F1894="NEW"),"",INDEX(B$2:B1893,-1+SUMPRODUCT(MAX(ROW(E$2:E1893)*(E1894=E$2:E1893)))))</f>
        <v/>
      </c>
      <c r="J1894" s="15" t="str">
        <f aca="true">IF(OR(E1894="",E1894="!!!",F1894="NEW"),"",COUNTBLANK(OFFSET(A$1,,,SUMPRODUCT(MAX(ROW(E$2:E1894)*(E1894=E$2:E1894)))))-COUNTBLANK(OFFSET(A$1,,,SUMPRODUCT(MAX(ROW(E$1:E1893)*(E1894=E$1:E1893))))))</f>
        <v/>
      </c>
      <c r="K1894" s="15" t="str">
        <f aca="false">IF(OR(E1894="",E1894="!!!",F1894="NEW"),"",INDEX(J$1:J1893,SUMPRODUCT(MAX(ROW(E$1:E1893)*(E1894=E$1:E1893)))))</f>
        <v/>
      </c>
      <c r="L1894" s="16"/>
    </row>
    <row r="1895" customFormat="false" ht="12.8" hidden="false" customHeight="false" outlineLevel="0" collapsed="false">
      <c r="A1895" s="0" t="s">
        <v>37</v>
      </c>
      <c r="E1895" s="10" t="str">
        <f aca="false">IF(D1895="?OLD","!!!","")</f>
        <v/>
      </c>
      <c r="F1895" s="11" t="str">
        <f aca="false">IF(OR(E1895="",E1895="!!!"),"",IF(NOT(ISNA(VLOOKUP(E1895,E$1:E1894,1,FALSE()))),"OLD",IF(AND(E1895&lt;&gt;"",E1895&lt;&gt;"!!!"),"NEW","")))</f>
        <v/>
      </c>
      <c r="G1895" s="12" t="str">
        <f aca="false">IF(OR(E1895="",E1895="!!!"),"",IF(OR(J1895=0,AND(J1895=1,K1895=1),AND(J1895=1,I1895="SBJ"),AND(J1895=1,I1895=0)),"?IN_FOCUS",IF(J1895&lt;=2,"?ACTIVATED",IF(J1895&lt;&gt;"","?FAMILIAR",IF(F1895="NEW",IF(ISNA(VLOOKUP(E1895,#REF!,1,FALSE())),"?TYPE_IDENTIFIABLE","?REFERENTIAL"),"_")))))</f>
        <v/>
      </c>
      <c r="H1895" s="13" t="str">
        <f aca="false">IF(J1895&lt;&gt;1,"",IF(I1895="SBJ","CB","?"))</f>
        <v/>
      </c>
      <c r="I1895" s="14" t="str">
        <f aca="false">IF(OR(E1895="",E1895="!!!",F1895="NEW"),"",INDEX(B$2:B1894,-1+SUMPRODUCT(MAX(ROW(E$2:E1894)*(E1895=E$2:E1894)))))</f>
        <v/>
      </c>
      <c r="J1895" s="15" t="str">
        <f aca="true">IF(OR(E1895="",E1895="!!!",F1895="NEW"),"",COUNTBLANK(OFFSET(A$1,,,SUMPRODUCT(MAX(ROW(E$2:E1895)*(E1895=E$2:E1895)))))-COUNTBLANK(OFFSET(A$1,,,SUMPRODUCT(MAX(ROW(E$1:E1894)*(E1895=E$1:E1894))))))</f>
        <v/>
      </c>
      <c r="K1895" s="15" t="str">
        <f aca="false">IF(OR(E1895="",E1895="!!!",F1895="NEW"),"",INDEX(J$1:J1894,SUMPRODUCT(MAX(ROW(E$1:E1894)*(E1895=E$1:E1894)))))</f>
        <v/>
      </c>
      <c r="L1895" s="16"/>
    </row>
    <row r="1896" customFormat="false" ht="12.8" hidden="false" customHeight="false" outlineLevel="0" collapsed="false">
      <c r="A1896" s="0" t="s">
        <v>209</v>
      </c>
      <c r="E1896" s="10" t="str">
        <f aca="false">IF(D1896="?OLD","!!!","")</f>
        <v/>
      </c>
      <c r="F1896" s="11" t="str">
        <f aca="false">IF(OR(E1896="",E1896="!!!"),"",IF(NOT(ISNA(VLOOKUP(E1896,E$1:E1895,1,FALSE()))),"OLD",IF(AND(E1896&lt;&gt;"",E1896&lt;&gt;"!!!"),"NEW","")))</f>
        <v/>
      </c>
      <c r="G1896" s="12" t="str">
        <f aca="false">IF(OR(E1896="",E1896="!!!"),"",IF(OR(J1896=0,AND(J1896=1,K1896=1),AND(J1896=1,I1896="SBJ"),AND(J1896=1,I1896=0)),"?IN_FOCUS",IF(J1896&lt;=2,"?ACTIVATED",IF(J1896&lt;&gt;"","?FAMILIAR",IF(F1896="NEW",IF(ISNA(VLOOKUP(E1896,#REF!,1,FALSE())),"?TYPE_IDENTIFIABLE","?REFERENTIAL"),"_")))))</f>
        <v/>
      </c>
      <c r="H1896" s="13" t="str">
        <f aca="false">IF(J1896&lt;&gt;1,"",IF(I1896="SBJ","CB","?"))</f>
        <v/>
      </c>
      <c r="I1896" s="14" t="str">
        <f aca="false">IF(OR(E1896="",E1896="!!!",F1896="NEW"),"",INDEX(B$2:B1895,-1+SUMPRODUCT(MAX(ROW(E$2:E1895)*(E1896=E$2:E1895)))))</f>
        <v/>
      </c>
      <c r="J1896" s="15" t="str">
        <f aca="true">IF(OR(E1896="",E1896="!!!",F1896="NEW"),"",COUNTBLANK(OFFSET(A$1,,,SUMPRODUCT(MAX(ROW(E$2:E1896)*(E1896=E$2:E1896)))))-COUNTBLANK(OFFSET(A$1,,,SUMPRODUCT(MAX(ROW(E$1:E1895)*(E1896=E$1:E1895))))))</f>
        <v/>
      </c>
      <c r="K1896" s="15" t="str">
        <f aca="false">IF(OR(E1896="",E1896="!!!",F1896="NEW"),"",INDEX(J$1:J1895,SUMPRODUCT(MAX(ROW(E$1:E1895)*(E1896=E$1:E1895)))))</f>
        <v/>
      </c>
      <c r="L1896" s="16"/>
    </row>
    <row r="1897" customFormat="false" ht="12.8" hidden="false" customHeight="false" outlineLevel="0" collapsed="false">
      <c r="A1897" s="0" t="s">
        <v>856</v>
      </c>
      <c r="E1897" s="10" t="str">
        <f aca="false">IF(D1897="?OLD","!!!","")</f>
        <v/>
      </c>
      <c r="F1897" s="11" t="str">
        <f aca="false">IF(OR(E1897="",E1897="!!!"),"",IF(NOT(ISNA(VLOOKUP(E1897,E$1:E1896,1,FALSE()))),"OLD",IF(AND(E1897&lt;&gt;"",E1897&lt;&gt;"!!!"),"NEW","")))</f>
        <v/>
      </c>
      <c r="G1897" s="12" t="str">
        <f aca="false">IF(OR(E1897="",E1897="!!!"),"",IF(OR(J1897=0,AND(J1897=1,K1897=1),AND(J1897=1,I1897="SBJ"),AND(J1897=1,I1897=0)),"?IN_FOCUS",IF(J1897&lt;=2,"?ACTIVATED",IF(J1897&lt;&gt;"","?FAMILIAR",IF(F1897="NEW",IF(ISNA(VLOOKUP(E1897,#REF!,1,FALSE())),"?TYPE_IDENTIFIABLE","?REFERENTIAL"),"_")))))</f>
        <v/>
      </c>
      <c r="H1897" s="13" t="str">
        <f aca="false">IF(J1897&lt;&gt;1,"",IF(I1897="SBJ","CB","?"))</f>
        <v/>
      </c>
      <c r="I1897" s="14" t="str">
        <f aca="false">IF(OR(E1897="",E1897="!!!",F1897="NEW"),"",INDEX(B$2:B1896,-1+SUMPRODUCT(MAX(ROW(E$2:E1896)*(E1897=E$2:E1896)))))</f>
        <v/>
      </c>
      <c r="J1897" s="15" t="str">
        <f aca="true">IF(OR(E1897="",E1897="!!!",F1897="NEW"),"",COUNTBLANK(OFFSET(A$1,,,SUMPRODUCT(MAX(ROW(E$2:E1897)*(E1897=E$2:E1897)))))-COUNTBLANK(OFFSET(A$1,,,SUMPRODUCT(MAX(ROW(E$1:E1896)*(E1897=E$1:E1896))))))</f>
        <v/>
      </c>
      <c r="K1897" s="15" t="str">
        <f aca="false">IF(OR(E1897="",E1897="!!!",F1897="NEW"),"",INDEX(J$1:J1896,SUMPRODUCT(MAX(ROW(E$1:E1896)*(E1897=E$1:E1896)))))</f>
        <v/>
      </c>
      <c r="L1897" s="16"/>
    </row>
    <row r="1898" customFormat="false" ht="12.8" hidden="false" customHeight="false" outlineLevel="0" collapsed="false">
      <c r="A1898" s="0" t="s">
        <v>515</v>
      </c>
      <c r="E1898" s="10" t="str">
        <f aca="false">IF(D1898="?OLD","!!!","")</f>
        <v/>
      </c>
      <c r="F1898" s="11" t="str">
        <f aca="false">IF(OR(E1898="",E1898="!!!"),"",IF(NOT(ISNA(VLOOKUP(E1898,E$1:E1897,1,FALSE()))),"OLD",IF(AND(E1898&lt;&gt;"",E1898&lt;&gt;"!!!"),"NEW","")))</f>
        <v/>
      </c>
      <c r="G1898" s="12" t="str">
        <f aca="false">IF(OR(E1898="",E1898="!!!"),"",IF(OR(J1898=0,AND(J1898=1,K1898=1),AND(J1898=1,I1898="SBJ"),AND(J1898=1,I1898=0)),"?IN_FOCUS",IF(J1898&lt;=2,"?ACTIVATED",IF(J1898&lt;&gt;"","?FAMILIAR",IF(F1898="NEW",IF(ISNA(VLOOKUP(E1898,#REF!,1,FALSE())),"?TYPE_IDENTIFIABLE","?REFERENTIAL"),"_")))))</f>
        <v/>
      </c>
      <c r="H1898" s="13" t="str">
        <f aca="false">IF(J1898&lt;&gt;1,"",IF(I1898="SBJ","CB","?"))</f>
        <v/>
      </c>
      <c r="I1898" s="14" t="str">
        <f aca="false">IF(OR(E1898="",E1898="!!!",F1898="NEW"),"",INDEX(B$2:B1897,-1+SUMPRODUCT(MAX(ROW(E$2:E1897)*(E1898=E$2:E1897)))))</f>
        <v/>
      </c>
      <c r="J1898" s="15" t="str">
        <f aca="true">IF(OR(E1898="",E1898="!!!",F1898="NEW"),"",COUNTBLANK(OFFSET(A$1,,,SUMPRODUCT(MAX(ROW(E$2:E1898)*(E1898=E$2:E1898)))))-COUNTBLANK(OFFSET(A$1,,,SUMPRODUCT(MAX(ROW(E$1:E1897)*(E1898=E$1:E1897))))))</f>
        <v/>
      </c>
      <c r="K1898" s="15" t="str">
        <f aca="false">IF(OR(E1898="",E1898="!!!",F1898="NEW"),"",INDEX(J$1:J1897,SUMPRODUCT(MAX(ROW(E$1:E1897)*(E1898=E$1:E1897)))))</f>
        <v/>
      </c>
      <c r="L1898" s="16"/>
    </row>
    <row r="1899" customFormat="false" ht="12.8" hidden="false" customHeight="false" outlineLevel="0" collapsed="false">
      <c r="A1899" s="0" t="s">
        <v>16</v>
      </c>
      <c r="E1899" s="10" t="str">
        <f aca="false">IF(D1899="?OLD","!!!","")</f>
        <v/>
      </c>
      <c r="F1899" s="11" t="str">
        <f aca="false">IF(OR(E1899="",E1899="!!!"),"",IF(NOT(ISNA(VLOOKUP(E1899,E$1:E1898,1,FALSE()))),"OLD",IF(AND(E1899&lt;&gt;"",E1899&lt;&gt;"!!!"),"NEW","")))</f>
        <v/>
      </c>
      <c r="G1899" s="12" t="str">
        <f aca="false">IF(OR(E1899="",E1899="!!!"),"",IF(OR(J1899=0,AND(J1899=1,K1899=1),AND(J1899=1,I1899="SBJ"),AND(J1899=1,I1899=0)),"?IN_FOCUS",IF(J1899&lt;=2,"?ACTIVATED",IF(J1899&lt;&gt;"","?FAMILIAR",IF(F1899="NEW",IF(ISNA(VLOOKUP(E1899,#REF!,1,FALSE())),"?TYPE_IDENTIFIABLE","?REFERENTIAL"),"_")))))</f>
        <v/>
      </c>
      <c r="H1899" s="13" t="str">
        <f aca="false">IF(J1899&lt;&gt;1,"",IF(I1899="SBJ","CB","?"))</f>
        <v/>
      </c>
      <c r="I1899" s="14" t="str">
        <f aca="false">IF(OR(E1899="",E1899="!!!",F1899="NEW"),"",INDEX(B$2:B1898,-1+SUMPRODUCT(MAX(ROW(E$2:E1898)*(E1899=E$2:E1898)))))</f>
        <v/>
      </c>
      <c r="J1899" s="15" t="str">
        <f aca="true">IF(OR(E1899="",E1899="!!!",F1899="NEW"),"",COUNTBLANK(OFFSET(A$1,,,SUMPRODUCT(MAX(ROW(E$2:E1899)*(E1899=E$2:E1899)))))-COUNTBLANK(OFFSET(A$1,,,SUMPRODUCT(MAX(ROW(E$1:E1898)*(E1899=E$1:E1898))))))</f>
        <v/>
      </c>
      <c r="K1899" s="15" t="str">
        <f aca="false">IF(OR(E1899="",E1899="!!!",F1899="NEW"),"",INDEX(J$1:J1898,SUMPRODUCT(MAX(ROW(E$1:E1898)*(E1899=E$1:E1898)))))</f>
        <v/>
      </c>
      <c r="L1899" s="16"/>
    </row>
    <row r="1900" customFormat="false" ht="12.8" hidden="false" customHeight="false" outlineLevel="0" collapsed="false">
      <c r="A1900" s="0" t="s">
        <v>516</v>
      </c>
      <c r="E1900" s="10" t="str">
        <f aca="false">IF(D1900="?OLD","!!!","")</f>
        <v/>
      </c>
      <c r="F1900" s="11" t="str">
        <f aca="false">IF(OR(E1900="",E1900="!!!"),"",IF(NOT(ISNA(VLOOKUP(E1900,E$1:E1899,1,FALSE()))),"OLD",IF(AND(E1900&lt;&gt;"",E1900&lt;&gt;"!!!"),"NEW","")))</f>
        <v/>
      </c>
      <c r="G1900" s="12" t="str">
        <f aca="false">IF(OR(E1900="",E1900="!!!"),"",IF(OR(J1900=0,AND(J1900=1,K1900=1),AND(J1900=1,I1900="SBJ"),AND(J1900=1,I1900=0)),"?IN_FOCUS",IF(J1900&lt;=2,"?ACTIVATED",IF(J1900&lt;&gt;"","?FAMILIAR",IF(F1900="NEW",IF(ISNA(VLOOKUP(E1900,#REF!,1,FALSE())),"?TYPE_IDENTIFIABLE","?REFERENTIAL"),"_")))))</f>
        <v/>
      </c>
      <c r="H1900" s="13" t="str">
        <f aca="false">IF(J1900&lt;&gt;1,"",IF(I1900="SBJ","CB","?"))</f>
        <v/>
      </c>
      <c r="I1900" s="14" t="str">
        <f aca="false">IF(OR(E1900="",E1900="!!!",F1900="NEW"),"",INDEX(B$2:B1899,-1+SUMPRODUCT(MAX(ROW(E$2:E1899)*(E1900=E$2:E1899)))))</f>
        <v/>
      </c>
      <c r="J1900" s="15" t="str">
        <f aca="true">IF(OR(E1900="",E1900="!!!",F1900="NEW"),"",COUNTBLANK(OFFSET(A$1,,,SUMPRODUCT(MAX(ROW(E$2:E1900)*(E1900=E$2:E1900)))))-COUNTBLANK(OFFSET(A$1,,,SUMPRODUCT(MAX(ROW(E$1:E1899)*(E1900=E$1:E1899))))))</f>
        <v/>
      </c>
      <c r="K1900" s="15" t="str">
        <f aca="false">IF(OR(E1900="",E1900="!!!",F1900="NEW"),"",INDEX(J$1:J1899,SUMPRODUCT(MAX(ROW(E$1:E1899)*(E1900=E$1:E1899)))))</f>
        <v/>
      </c>
      <c r="L1900" s="16"/>
    </row>
    <row r="1901" customFormat="false" ht="12.8" hidden="false" customHeight="false" outlineLevel="0" collapsed="false">
      <c r="A1901" s="0" t="s">
        <v>404</v>
      </c>
      <c r="E1901" s="10" t="str">
        <f aca="false">IF(D1901="?OLD","!!!","")</f>
        <v/>
      </c>
      <c r="F1901" s="11" t="str">
        <f aca="false">IF(OR(E1901="",E1901="!!!"),"",IF(NOT(ISNA(VLOOKUP(E1901,E$1:E1900,1,FALSE()))),"OLD",IF(AND(E1901&lt;&gt;"",E1901&lt;&gt;"!!!"),"NEW","")))</f>
        <v/>
      </c>
      <c r="G1901" s="12" t="str">
        <f aca="false">IF(OR(E1901="",E1901="!!!"),"",IF(OR(J1901=0,AND(J1901=1,K1901=1),AND(J1901=1,I1901="SBJ"),AND(J1901=1,I1901=0)),"?IN_FOCUS",IF(J1901&lt;=2,"?ACTIVATED",IF(J1901&lt;&gt;"","?FAMILIAR",IF(F1901="NEW",IF(ISNA(VLOOKUP(E1901,#REF!,1,FALSE())),"?TYPE_IDENTIFIABLE","?REFERENTIAL"),"_")))))</f>
        <v/>
      </c>
      <c r="H1901" s="13" t="str">
        <f aca="false">IF(J1901&lt;&gt;1,"",IF(I1901="SBJ","CB","?"))</f>
        <v/>
      </c>
      <c r="I1901" s="14" t="str">
        <f aca="false">IF(OR(E1901="",E1901="!!!",F1901="NEW"),"",INDEX(B$2:B1900,-1+SUMPRODUCT(MAX(ROW(E$2:E1900)*(E1901=E$2:E1900)))))</f>
        <v/>
      </c>
      <c r="J1901" s="15" t="str">
        <f aca="true">IF(OR(E1901="",E1901="!!!",F1901="NEW"),"",COUNTBLANK(OFFSET(A$1,,,SUMPRODUCT(MAX(ROW(E$2:E1901)*(E1901=E$2:E1901)))))-COUNTBLANK(OFFSET(A$1,,,SUMPRODUCT(MAX(ROW(E$1:E1900)*(E1901=E$1:E1900))))))</f>
        <v/>
      </c>
      <c r="K1901" s="15" t="str">
        <f aca="false">IF(OR(E1901="",E1901="!!!",F1901="NEW"),"",INDEX(J$1:J1900,SUMPRODUCT(MAX(ROW(E$1:E1900)*(E1901=E$1:E1900)))))</f>
        <v/>
      </c>
      <c r="L1901" s="16"/>
    </row>
    <row r="1902" customFormat="false" ht="12.8" hidden="false" customHeight="false" outlineLevel="0" collapsed="false">
      <c r="A1902" s="0" t="s">
        <v>54</v>
      </c>
      <c r="E1902" s="10" t="str">
        <f aca="false">IF(D1902="?OLD","!!!","")</f>
        <v/>
      </c>
      <c r="F1902" s="11" t="str">
        <f aca="false">IF(OR(E1902="",E1902="!!!"),"",IF(NOT(ISNA(VLOOKUP(E1902,E$1:E1901,1,FALSE()))),"OLD",IF(AND(E1902&lt;&gt;"",E1902&lt;&gt;"!!!"),"NEW","")))</f>
        <v/>
      </c>
      <c r="G1902" s="12" t="str">
        <f aca="false">IF(OR(E1902="",E1902="!!!"),"",IF(OR(J1902=0,AND(J1902=1,K1902=1),AND(J1902=1,I1902="SBJ"),AND(J1902=1,I1902=0)),"?IN_FOCUS",IF(J1902&lt;=2,"?ACTIVATED",IF(J1902&lt;&gt;"","?FAMILIAR",IF(F1902="NEW",IF(ISNA(VLOOKUP(E1902,#REF!,1,FALSE())),"?TYPE_IDENTIFIABLE","?REFERENTIAL"),"_")))))</f>
        <v/>
      </c>
      <c r="H1902" s="13" t="str">
        <f aca="false">IF(J1902&lt;&gt;1,"",IF(I1902="SBJ","CB","?"))</f>
        <v/>
      </c>
      <c r="I1902" s="14" t="str">
        <f aca="false">IF(OR(E1902="",E1902="!!!",F1902="NEW"),"",INDEX(B$2:B1901,-1+SUMPRODUCT(MAX(ROW(E$2:E1901)*(E1902=E$2:E1901)))))</f>
        <v/>
      </c>
      <c r="J1902" s="15" t="str">
        <f aca="true">IF(OR(E1902="",E1902="!!!",F1902="NEW"),"",COUNTBLANK(OFFSET(A$1,,,SUMPRODUCT(MAX(ROW(E$2:E1902)*(E1902=E$2:E1902)))))-COUNTBLANK(OFFSET(A$1,,,SUMPRODUCT(MAX(ROW(E$1:E1901)*(E1902=E$1:E1901))))))</f>
        <v/>
      </c>
      <c r="K1902" s="15" t="str">
        <f aca="false">IF(OR(E1902="",E1902="!!!",F1902="NEW"),"",INDEX(J$1:J1901,SUMPRODUCT(MAX(ROW(E$1:E1901)*(E1902=E$1:E1901)))))</f>
        <v/>
      </c>
      <c r="L1902" s="16"/>
    </row>
    <row r="1903" customFormat="false" ht="12.8" hidden="false" customHeight="false" outlineLevel="0" collapsed="false">
      <c r="A1903" s="0" t="s">
        <v>650</v>
      </c>
      <c r="B1903" s="0" t="s">
        <v>47</v>
      </c>
      <c r="C1903" s="0" t="s">
        <v>31</v>
      </c>
      <c r="E1903" s="10" t="s">
        <v>857</v>
      </c>
      <c r="F1903" s="11" t="str">
        <f aca="false">IF(OR(E1903="",E1903="!!!"),"",IF(NOT(ISNA(VLOOKUP(E1903,E$1:E1902,1,FALSE()))),"OLD",IF(AND(E1903&lt;&gt;"",E1903&lt;&gt;"!!!"),"NEW","")))</f>
        <v>NEW</v>
      </c>
      <c r="G1903" s="12" t="s">
        <v>67</v>
      </c>
      <c r="H1903" s="13" t="str">
        <f aca="false">IF(J1903&lt;&gt;1,"",IF(I1903="SBJ","CB","?"))</f>
        <v/>
      </c>
      <c r="I1903" s="14" t="str">
        <f aca="false">IF(OR(E1903="",E1903="!!!",F1903="NEW"),"",INDEX(B$2:B1902,-1+SUMPRODUCT(MAX(ROW(E$2:E1902)*(E1903=E$2:E1902)))))</f>
        <v/>
      </c>
      <c r="J1903" s="15" t="str">
        <f aca="true">IF(OR(E1903="",E1903="!!!",F1903="NEW"),"",COUNTBLANK(OFFSET(A$1,,,SUMPRODUCT(MAX(ROW(E$2:E1903)*(E1903=E$2:E1903)))))-COUNTBLANK(OFFSET(A$1,,,SUMPRODUCT(MAX(ROW(E$1:E1902)*(E1903=E$1:E1902))))))</f>
        <v/>
      </c>
      <c r="K1903" s="15" t="str">
        <f aca="false">IF(OR(E1903="",E1903="!!!",F1903="NEW"),"",INDEX(J$1:J1902,SUMPRODUCT(MAX(ROW(E$1:E1902)*(E1903=E$1:E1902)))))</f>
        <v/>
      </c>
      <c r="L1903" s="16"/>
    </row>
    <row r="1904" customFormat="false" ht="12.8" hidden="false" customHeight="false" outlineLevel="0" collapsed="false">
      <c r="A1904" s="0" t="s">
        <v>45</v>
      </c>
      <c r="E1904" s="10" t="str">
        <f aca="false">IF(D1904="?OLD","!!!","")</f>
        <v/>
      </c>
      <c r="F1904" s="11" t="str">
        <f aca="false">IF(OR(E1904="",E1904="!!!"),"",IF(NOT(ISNA(VLOOKUP(E1904,E$1:E1903,1,FALSE()))),"OLD",IF(AND(E1904&lt;&gt;"",E1904&lt;&gt;"!!!"),"NEW","")))</f>
        <v/>
      </c>
      <c r="G1904" s="12" t="str">
        <f aca="false">IF(OR(E1904="",E1904="!!!"),"",IF(OR(J1904=0,AND(J1904=1,K1904=1),AND(J1904=1,I1904="SBJ"),AND(J1904=1,I1904=0)),"?IN_FOCUS",IF(J1904&lt;=2,"?ACTIVATED",IF(J1904&lt;&gt;"","?FAMILIAR",IF(F1904="NEW",IF(ISNA(VLOOKUP(E1904,#REF!,1,FALSE())),"?TYPE_IDENTIFIABLE","?REFERENTIAL"),"_")))))</f>
        <v/>
      </c>
      <c r="H1904" s="13" t="str">
        <f aca="false">IF(J1904&lt;&gt;1,"",IF(I1904="SBJ","CB","?"))</f>
        <v/>
      </c>
      <c r="I1904" s="14" t="str">
        <f aca="false">IF(OR(E1904="",E1904="!!!",F1904="NEW"),"",INDEX(B$2:B1903,-1+SUMPRODUCT(MAX(ROW(E$2:E1903)*(E1904=E$2:E1903)))))</f>
        <v/>
      </c>
      <c r="J1904" s="15" t="str">
        <f aca="true">IF(OR(E1904="",E1904="!!!",F1904="NEW"),"",COUNTBLANK(OFFSET(A$1,,,SUMPRODUCT(MAX(ROW(E$2:E1904)*(E1904=E$2:E1904)))))-COUNTBLANK(OFFSET(A$1,,,SUMPRODUCT(MAX(ROW(E$1:E1903)*(E1904=E$1:E1903))))))</f>
        <v/>
      </c>
      <c r="K1904" s="15" t="str">
        <f aca="false">IF(OR(E1904="",E1904="!!!",F1904="NEW"),"",INDEX(J$1:J1903,SUMPRODUCT(MAX(ROW(E$1:E1903)*(E1904=E$1:E1903)))))</f>
        <v/>
      </c>
      <c r="L1904" s="16"/>
    </row>
    <row r="1905" customFormat="false" ht="12.8" hidden="false" customHeight="false" outlineLevel="0" collapsed="false">
      <c r="A1905" s="0" t="s">
        <v>460</v>
      </c>
      <c r="E1905" s="10" t="s">
        <v>858</v>
      </c>
      <c r="F1905" s="11" t="str">
        <f aca="false">IF(OR(E1905="",E1905="!!!"),"",IF(NOT(ISNA(VLOOKUP(E1905,E$1:E1904,1,FALSE()))),"OLD",IF(AND(E1905&lt;&gt;"",E1905&lt;&gt;"!!!"),"NEW","")))</f>
        <v>NEW</v>
      </c>
      <c r="G1905" s="12" t="s">
        <v>67</v>
      </c>
      <c r="H1905" s="13" t="str">
        <f aca="false">IF(J1905&lt;&gt;1,"",IF(I1905="SBJ","CB","?"))</f>
        <v/>
      </c>
      <c r="I1905" s="14" t="str">
        <f aca="false">IF(OR(E1905="",E1905="!!!",F1905="NEW"),"",INDEX(B$2:B1904,-1+SUMPRODUCT(MAX(ROW(E$2:E1904)*(E1905=E$2:E1904)))))</f>
        <v/>
      </c>
      <c r="J1905" s="15" t="str">
        <f aca="true">IF(OR(E1905="",E1905="!!!",F1905="NEW"),"",COUNTBLANK(OFFSET(A$1,,,SUMPRODUCT(MAX(ROW(E$2:E1905)*(E1905=E$2:E1905)))))-COUNTBLANK(OFFSET(A$1,,,SUMPRODUCT(MAX(ROW(E$1:E1904)*(E1905=E$1:E1904))))))</f>
        <v/>
      </c>
      <c r="K1905" s="15" t="str">
        <f aca="false">IF(OR(E1905="",E1905="!!!",F1905="NEW"),"",INDEX(J$1:J1904,SUMPRODUCT(MAX(ROW(E$1:E1904)*(E1905=E$1:E1904)))))</f>
        <v/>
      </c>
      <c r="L1905" s="16"/>
    </row>
    <row r="1906" customFormat="false" ht="12.8" hidden="false" customHeight="false" outlineLevel="0" collapsed="false">
      <c r="A1906" s="0" t="s">
        <v>60</v>
      </c>
      <c r="E1906" s="10" t="str">
        <f aca="false">IF(D1906="?OLD","!!!","")</f>
        <v/>
      </c>
      <c r="F1906" s="11" t="str">
        <f aca="false">IF(OR(E1906="",E1906="!!!"),"",IF(NOT(ISNA(VLOOKUP(E1906,E$1:E1905,1,FALSE()))),"OLD",IF(AND(E1906&lt;&gt;"",E1906&lt;&gt;"!!!"),"NEW","")))</f>
        <v/>
      </c>
      <c r="G1906" s="12" t="str">
        <f aca="false">IF(OR(E1906="",E1906="!!!"),"",IF(OR(J1906=0,AND(J1906=1,K1906=1),AND(J1906=1,I1906="SBJ"),AND(J1906=1,I1906=0)),"?IN_FOCUS",IF(J1906&lt;=2,"?ACTIVATED",IF(J1906&lt;&gt;"","?FAMILIAR",IF(F1906="NEW",IF(ISNA(VLOOKUP(E1906,#REF!,1,FALSE())),"?TYPE_IDENTIFIABLE","?REFERENTIAL"),"_")))))</f>
        <v/>
      </c>
      <c r="H1906" s="13" t="str">
        <f aca="false">IF(J1906&lt;&gt;1,"",IF(I1906="SBJ","CB","?"))</f>
        <v/>
      </c>
      <c r="I1906" s="14" t="str">
        <f aca="false">IF(OR(E1906="",E1906="!!!",F1906="NEW"),"",INDEX(B$2:B1905,-1+SUMPRODUCT(MAX(ROW(E$2:E1905)*(E1906=E$2:E1905)))))</f>
        <v/>
      </c>
      <c r="J1906" s="15" t="str">
        <f aca="true">IF(OR(E1906="",E1906="!!!",F1906="NEW"),"",COUNTBLANK(OFFSET(A$1,,,SUMPRODUCT(MAX(ROW(E$2:E1906)*(E1906=E$2:E1906)))))-COUNTBLANK(OFFSET(A$1,,,SUMPRODUCT(MAX(ROW(E$1:E1905)*(E1906=E$1:E1905))))))</f>
        <v/>
      </c>
      <c r="K1906" s="15" t="str">
        <f aca="false">IF(OR(E1906="",E1906="!!!",F1906="NEW"),"",INDEX(J$1:J1905,SUMPRODUCT(MAX(ROW(E$1:E1905)*(E1906=E$1:E1905)))))</f>
        <v/>
      </c>
      <c r="L1906" s="16"/>
    </row>
    <row r="1907" customFormat="false" ht="12.8" hidden="false" customHeight="false" outlineLevel="0" collapsed="false">
      <c r="A1907" s="0" t="s">
        <v>179</v>
      </c>
      <c r="E1907" s="10" t="str">
        <f aca="false">IF(D1907="?OLD","!!!","")</f>
        <v/>
      </c>
      <c r="F1907" s="11" t="str">
        <f aca="false">IF(OR(E1907="",E1907="!!!"),"",IF(NOT(ISNA(VLOOKUP(E1907,E$1:E1906,1,FALSE()))),"OLD",IF(AND(E1907&lt;&gt;"",E1907&lt;&gt;"!!!"),"NEW","")))</f>
        <v/>
      </c>
      <c r="G1907" s="12" t="str">
        <f aca="false">IF(OR(E1907="",E1907="!!!"),"",IF(OR(J1907=0,AND(J1907=1,K1907=1),AND(J1907=1,I1907="SBJ"),AND(J1907=1,I1907=0)),"?IN_FOCUS",IF(J1907&lt;=2,"?ACTIVATED",IF(J1907&lt;&gt;"","?FAMILIAR",IF(F1907="NEW",IF(ISNA(VLOOKUP(E1907,#REF!,1,FALSE())),"?TYPE_IDENTIFIABLE","?REFERENTIAL"),"_")))))</f>
        <v/>
      </c>
      <c r="H1907" s="13" t="str">
        <f aca="false">IF(J1907&lt;&gt;1,"",IF(I1907="SBJ","CB","?"))</f>
        <v/>
      </c>
      <c r="I1907" s="14" t="str">
        <f aca="false">IF(OR(E1907="",E1907="!!!",F1907="NEW"),"",INDEX(B$2:B1906,-1+SUMPRODUCT(MAX(ROW(E$2:E1906)*(E1907=E$2:E1906)))))</f>
        <v/>
      </c>
      <c r="J1907" s="15" t="str">
        <f aca="true">IF(OR(E1907="",E1907="!!!",F1907="NEW"),"",COUNTBLANK(OFFSET(A$1,,,SUMPRODUCT(MAX(ROW(E$2:E1907)*(E1907=E$2:E1907)))))-COUNTBLANK(OFFSET(A$1,,,SUMPRODUCT(MAX(ROW(E$1:E1906)*(E1907=E$1:E1906))))))</f>
        <v/>
      </c>
      <c r="K1907" s="15" t="str">
        <f aca="false">IF(OR(E1907="",E1907="!!!",F1907="NEW"),"",INDEX(J$1:J1906,SUMPRODUCT(MAX(ROW(E$1:E1906)*(E1907=E$1:E1906)))))</f>
        <v/>
      </c>
      <c r="L1907" s="16"/>
    </row>
    <row r="1908" customFormat="false" ht="12.8" hidden="false" customHeight="false" outlineLevel="0" collapsed="false">
      <c r="A1908" s="0" t="s">
        <v>859</v>
      </c>
      <c r="B1908" s="0" t="s">
        <v>96</v>
      </c>
      <c r="C1908" s="0" t="s">
        <v>181</v>
      </c>
      <c r="E1908" s="10" t="str">
        <f aca="false">IF(D1908="?OLD","!!!","")</f>
        <v/>
      </c>
      <c r="F1908" s="11" t="str">
        <f aca="false">IF(OR(E1908="",E1908="!!!"),"",IF(NOT(ISNA(VLOOKUP(E1908,E$1:E1907,1,FALSE()))),"OLD",IF(AND(E1908&lt;&gt;"",E1908&lt;&gt;"!!!"),"NEW","")))</f>
        <v/>
      </c>
      <c r="G1908" s="12" t="str">
        <f aca="false">IF(OR(E1908="",E1908="!!!"),"",IF(OR(J1908=0,AND(J1908=1,K1908=1),AND(J1908=1,I1908="SBJ"),AND(J1908=1,I1908=0)),"?IN_FOCUS",IF(J1908&lt;=2,"?ACTIVATED",IF(J1908&lt;&gt;"","?FAMILIAR",IF(F1908="NEW",IF(ISNA(VLOOKUP(E1908,#REF!,1,FALSE())),"?TYPE_IDENTIFIABLE","?REFERENTIAL"),"_")))))</f>
        <v/>
      </c>
      <c r="H1908" s="13" t="str">
        <f aca="false">IF(J1908&lt;&gt;1,"",IF(I1908="SBJ","CB","?"))</f>
        <v/>
      </c>
      <c r="I1908" s="14" t="str">
        <f aca="false">IF(OR(E1908="",E1908="!!!",F1908="NEW"),"",INDEX(B$2:B1907,-1+SUMPRODUCT(MAX(ROW(E$2:E1907)*(E1908=E$2:E1907)))))</f>
        <v/>
      </c>
      <c r="J1908" s="15" t="str">
        <f aca="true">IF(OR(E1908="",E1908="!!!",F1908="NEW"),"",COUNTBLANK(OFFSET(A$1,,,SUMPRODUCT(MAX(ROW(E$2:E1908)*(E1908=E$2:E1908)))))-COUNTBLANK(OFFSET(A$1,,,SUMPRODUCT(MAX(ROW(E$1:E1907)*(E1908=E$1:E1907))))))</f>
        <v/>
      </c>
      <c r="K1908" s="15" t="str">
        <f aca="false">IF(OR(E1908="",E1908="!!!",F1908="NEW"),"",INDEX(J$1:J1907,SUMPRODUCT(MAX(ROW(E$1:E1907)*(E1908=E$1:E1907)))))</f>
        <v/>
      </c>
      <c r="L1908" s="16"/>
    </row>
    <row r="1909" customFormat="false" ht="12.8" hidden="false" customHeight="false" outlineLevel="0" collapsed="false">
      <c r="A1909" s="0" t="s">
        <v>61</v>
      </c>
      <c r="E1909" s="10" t="str">
        <f aca="false">IF(D1909="?OLD","!!!","")</f>
        <v/>
      </c>
      <c r="F1909" s="11" t="str">
        <f aca="false">IF(OR(E1909="",E1909="!!!"),"",IF(NOT(ISNA(VLOOKUP(E1909,E$1:E1908,1,FALSE()))),"OLD",IF(AND(E1909&lt;&gt;"",E1909&lt;&gt;"!!!"),"NEW","")))</f>
        <v/>
      </c>
      <c r="G1909" s="12" t="str">
        <f aca="false">IF(OR(E1909="",E1909="!!!"),"",IF(OR(J1909=0,AND(J1909=1,K1909=1),AND(J1909=1,I1909="SBJ"),AND(J1909=1,I1909=0)),"?IN_FOCUS",IF(J1909&lt;=2,"?ACTIVATED",IF(J1909&lt;&gt;"","?FAMILIAR",IF(F1909="NEW",IF(ISNA(VLOOKUP(E1909,#REF!,1,FALSE())),"?TYPE_IDENTIFIABLE","?REFERENTIAL"),"_")))))</f>
        <v/>
      </c>
      <c r="H1909" s="13" t="str">
        <f aca="false">IF(J1909&lt;&gt;1,"",IF(I1909="SBJ","CB","?"))</f>
        <v/>
      </c>
      <c r="I1909" s="14" t="str">
        <f aca="false">IF(OR(E1909="",E1909="!!!",F1909="NEW"),"",INDEX(B$2:B1908,-1+SUMPRODUCT(MAX(ROW(E$2:E1908)*(E1909=E$2:E1908)))))</f>
        <v/>
      </c>
      <c r="J1909" s="15" t="str">
        <f aca="true">IF(OR(E1909="",E1909="!!!",F1909="NEW"),"",COUNTBLANK(OFFSET(A$1,,,SUMPRODUCT(MAX(ROW(E$2:E1909)*(E1909=E$2:E1909)))))-COUNTBLANK(OFFSET(A$1,,,SUMPRODUCT(MAX(ROW(E$1:E1908)*(E1909=E$1:E1908))))))</f>
        <v/>
      </c>
      <c r="K1909" s="15" t="str">
        <f aca="false">IF(OR(E1909="",E1909="!!!",F1909="NEW"),"",INDEX(J$1:J1908,SUMPRODUCT(MAX(ROW(E$1:E1908)*(E1909=E$1:E1908)))))</f>
        <v/>
      </c>
      <c r="L1909" s="16"/>
    </row>
    <row r="1910" customFormat="false" ht="12.8" hidden="false" customHeight="false" outlineLevel="0" collapsed="false">
      <c r="A1910" s="0" t="s">
        <v>860</v>
      </c>
      <c r="B1910" s="0" t="s">
        <v>65</v>
      </c>
      <c r="C1910" s="0" t="s">
        <v>31</v>
      </c>
      <c r="E1910" s="10" t="str">
        <f aca="false">IF(D1910="?OLD","!!!","")</f>
        <v/>
      </c>
      <c r="F1910" s="11" t="str">
        <f aca="false">IF(OR(E1910="",E1910="!!!"),"",IF(NOT(ISNA(VLOOKUP(E1910,E$1:E1909,1,FALSE()))),"OLD",IF(AND(E1910&lt;&gt;"",E1910&lt;&gt;"!!!"),"NEW","")))</f>
        <v/>
      </c>
      <c r="G1910" s="12" t="str">
        <f aca="false">IF(OR(E1910="",E1910="!!!"),"",IF(OR(J1910=0,AND(J1910=1,K1910=1),AND(J1910=1,I1910="SBJ"),AND(J1910=1,I1910=0)),"?IN_FOCUS",IF(J1910&lt;=2,"?ACTIVATED",IF(J1910&lt;&gt;"","?FAMILIAR",IF(F1910="NEW",IF(ISNA(VLOOKUP(E1910,#REF!,1,FALSE())),"?TYPE_IDENTIFIABLE","?REFERENTIAL"),"_")))))</f>
        <v/>
      </c>
      <c r="H1910" s="13" t="str">
        <f aca="false">IF(J1910&lt;&gt;1,"",IF(I1910="SBJ","CB","?"))</f>
        <v/>
      </c>
      <c r="I1910" s="14" t="str">
        <f aca="false">IF(OR(E1910="",E1910="!!!",F1910="NEW"),"",INDEX(B$2:B1909,-1+SUMPRODUCT(MAX(ROW(E$2:E1909)*(E1910=E$2:E1909)))))</f>
        <v/>
      </c>
      <c r="J1910" s="15" t="str">
        <f aca="true">IF(OR(E1910="",E1910="!!!",F1910="NEW"),"",COUNTBLANK(OFFSET(A$1,,,SUMPRODUCT(MAX(ROW(E$2:E1910)*(E1910=E$2:E1910)))))-COUNTBLANK(OFFSET(A$1,,,SUMPRODUCT(MAX(ROW(E$1:E1909)*(E1910=E$1:E1909))))))</f>
        <v/>
      </c>
      <c r="K1910" s="15" t="str">
        <f aca="false">IF(OR(E1910="",E1910="!!!",F1910="NEW"),"",INDEX(J$1:J1909,SUMPRODUCT(MAX(ROW(E$1:E1909)*(E1910=E$1:E1909)))))</f>
        <v/>
      </c>
      <c r="L1910" s="16"/>
    </row>
    <row r="1911" customFormat="false" ht="12.8" hidden="false" customHeight="false" outlineLevel="0" collapsed="false">
      <c r="A1911" s="0" t="s">
        <v>44</v>
      </c>
      <c r="E1911" s="10" t="str">
        <f aca="false">IF(D1911="?OLD","!!!","")</f>
        <v/>
      </c>
      <c r="F1911" s="11" t="str">
        <f aca="false">IF(OR(E1911="",E1911="!!!"),"",IF(NOT(ISNA(VLOOKUP(E1911,E$1:E1910,1,FALSE()))),"OLD",IF(AND(E1911&lt;&gt;"",E1911&lt;&gt;"!!!"),"NEW","")))</f>
        <v/>
      </c>
      <c r="G1911" s="12" t="str">
        <f aca="false">IF(OR(E1911="",E1911="!!!"),"",IF(OR(J1911=0,AND(J1911=1,K1911=1),AND(J1911=1,I1911="SBJ"),AND(J1911=1,I1911=0)),"?IN_FOCUS",IF(J1911&lt;=2,"?ACTIVATED",IF(J1911&lt;&gt;"","?FAMILIAR",IF(F1911="NEW",IF(ISNA(VLOOKUP(E1911,#REF!,1,FALSE())),"?TYPE_IDENTIFIABLE","?REFERENTIAL"),"_")))))</f>
        <v/>
      </c>
      <c r="H1911" s="13" t="str">
        <f aca="false">IF(J1911&lt;&gt;1,"",IF(I1911="SBJ","CB","?"))</f>
        <v/>
      </c>
      <c r="I1911" s="14" t="str">
        <f aca="false">IF(OR(E1911="",E1911="!!!",F1911="NEW"),"",INDEX(B$2:B1910,-1+SUMPRODUCT(MAX(ROW(E$2:E1910)*(E1911=E$2:E1910)))))</f>
        <v/>
      </c>
      <c r="J1911" s="15" t="str">
        <f aca="true">IF(OR(E1911="",E1911="!!!",F1911="NEW"),"",COUNTBLANK(OFFSET(A$1,,,SUMPRODUCT(MAX(ROW(E$2:E1911)*(E1911=E$2:E1911)))))-COUNTBLANK(OFFSET(A$1,,,SUMPRODUCT(MAX(ROW(E$1:E1910)*(E1911=E$1:E1910))))))</f>
        <v/>
      </c>
      <c r="K1911" s="15" t="str">
        <f aca="false">IF(OR(E1911="",E1911="!!!",F1911="NEW"),"",INDEX(J$1:J1910,SUMPRODUCT(MAX(ROW(E$1:E1910)*(E1911=E$1:E1910)))))</f>
        <v/>
      </c>
      <c r="L1911" s="16"/>
    </row>
    <row r="1912" customFormat="false" ht="12.8" hidden="false" customHeight="false" outlineLevel="0" collapsed="false">
      <c r="A1912" s="0" t="s">
        <v>218</v>
      </c>
      <c r="E1912" s="10" t="str">
        <f aca="false">IF(D1912="?OLD","!!!","")</f>
        <v/>
      </c>
      <c r="F1912" s="11" t="str">
        <f aca="false">IF(OR(E1912="",E1912="!!!"),"",IF(NOT(ISNA(VLOOKUP(E1912,E$1:E1911,1,FALSE()))),"OLD",IF(AND(E1912&lt;&gt;"",E1912&lt;&gt;"!!!"),"NEW","")))</f>
        <v/>
      </c>
      <c r="G1912" s="12" t="str">
        <f aca="false">IF(OR(E1912="",E1912="!!!"),"",IF(OR(J1912=0,AND(J1912=1,K1912=1),AND(J1912=1,I1912="SBJ"),AND(J1912=1,I1912=0)),"?IN_FOCUS",IF(J1912&lt;=2,"?ACTIVATED",IF(J1912&lt;&gt;"","?FAMILIAR",IF(F1912="NEW",IF(ISNA(VLOOKUP(E1912,#REF!,1,FALSE())),"?TYPE_IDENTIFIABLE","?REFERENTIAL"),"_")))))</f>
        <v/>
      </c>
      <c r="H1912" s="13" t="str">
        <f aca="false">IF(J1912&lt;&gt;1,"",IF(I1912="SBJ","CB","?"))</f>
        <v/>
      </c>
      <c r="I1912" s="14" t="str">
        <f aca="false">IF(OR(E1912="",E1912="!!!",F1912="NEW"),"",INDEX(B$2:B1911,-1+SUMPRODUCT(MAX(ROW(E$2:E1911)*(E1912=E$2:E1911)))))</f>
        <v/>
      </c>
      <c r="J1912" s="15" t="str">
        <f aca="true">IF(OR(E1912="",E1912="!!!",F1912="NEW"),"",COUNTBLANK(OFFSET(A$1,,,SUMPRODUCT(MAX(ROW(E$2:E1912)*(E1912=E$2:E1912)))))-COUNTBLANK(OFFSET(A$1,,,SUMPRODUCT(MAX(ROW(E$1:E1911)*(E1912=E$1:E1911))))))</f>
        <v/>
      </c>
      <c r="K1912" s="15" t="str">
        <f aca="false">IF(OR(E1912="",E1912="!!!",F1912="NEW"),"",INDEX(J$1:J1911,SUMPRODUCT(MAX(ROW(E$1:E1911)*(E1912=E$1:E1911)))))</f>
        <v/>
      </c>
      <c r="L1912" s="16"/>
    </row>
    <row r="1913" customFormat="false" ht="12.8" hidden="false" customHeight="false" outlineLevel="0" collapsed="false">
      <c r="A1913" s="0" t="s">
        <v>202</v>
      </c>
      <c r="B1913" s="0" t="s">
        <v>53</v>
      </c>
      <c r="C1913" s="0" t="s">
        <v>48</v>
      </c>
      <c r="D1913" s="0" t="s">
        <v>20</v>
      </c>
      <c r="E1913" s="10" t="s">
        <v>861</v>
      </c>
      <c r="F1913" s="11" t="s">
        <v>164</v>
      </c>
      <c r="G1913" s="12" t="s">
        <v>87</v>
      </c>
      <c r="H1913" s="13"/>
      <c r="I1913" s="14" t="e">
        <f aca="false">IF(OR(E1913="",E1913="!!!",F1913="NEW"),"",INDEX(B$2:B1912,-1+SUMPRODUCT(MAX(ROW(E$2:E1912)*(E1913=E$2:E1912)))))</f>
        <v>#VALUE!</v>
      </c>
      <c r="J1913" s="15" t="e">
        <f aca="true">IF(OR(E1913="",E1913="!!!",F1913="NEW"),"",COUNTBLANK(OFFSET(A$1,,,SUMPRODUCT(MAX(ROW(E$2:E1913)*(E1913=E$2:E1913)))))-COUNTBLANK(OFFSET(A$1,,,SUMPRODUCT(MAX(ROW(E$1:E1912)*(E1913=E$1:E1912))))))</f>
        <v>#VALUE!</v>
      </c>
      <c r="K1913" s="15" t="e">
        <f aca="false">IF(OR(E1913="",E1913="!!!",F1913="NEW"),"",INDEX(J$1:J1912,SUMPRODUCT(MAX(ROW(E$1:E1912)*(E1913=E$1:E1912)))))</f>
        <v>#VALUE!</v>
      </c>
      <c r="L1913" s="16"/>
    </row>
    <row r="1914" customFormat="false" ht="12.8" hidden="false" customHeight="false" outlineLevel="0" collapsed="false">
      <c r="A1914" s="0" t="s">
        <v>54</v>
      </c>
      <c r="E1914" s="10" t="str">
        <f aca="false">IF(D1914="?OLD","!!!","")</f>
        <v/>
      </c>
      <c r="F1914" s="11" t="str">
        <f aca="false">IF(OR(E1914="",E1914="!!!"),"",IF(NOT(ISNA(VLOOKUP(E1914,E$1:E1913,1,FALSE()))),"OLD",IF(AND(E1914&lt;&gt;"",E1914&lt;&gt;"!!!"),"NEW","")))</f>
        <v/>
      </c>
      <c r="G1914" s="12" t="str">
        <f aca="false">IF(OR(E1914="",E1914="!!!"),"",IF(OR(J1914=0,AND(J1914=1,K1914=1),AND(J1914=1,I1914="SBJ"),AND(J1914=1,I1914=0)),"?IN_FOCUS",IF(J1914&lt;=2,"?ACTIVATED",IF(J1914&lt;&gt;"","?FAMILIAR",IF(F1914="NEW",IF(ISNA(VLOOKUP(E1914,#REF!,1,FALSE())),"?TYPE_IDENTIFIABLE","?REFERENTIAL"),"_")))))</f>
        <v/>
      </c>
      <c r="H1914" s="13" t="str">
        <f aca="false">IF(J1914&lt;&gt;1,"",IF(I1914="SBJ","CB","?"))</f>
        <v/>
      </c>
      <c r="I1914" s="14" t="str">
        <f aca="false">IF(OR(E1914="",E1914="!!!",F1914="NEW"),"",INDEX(B$2:B1913,-1+SUMPRODUCT(MAX(ROW(E$2:E1913)*(E1914=E$2:E1913)))))</f>
        <v/>
      </c>
      <c r="J1914" s="15" t="str">
        <f aca="true">IF(OR(E1914="",E1914="!!!",F1914="NEW"),"",COUNTBLANK(OFFSET(A$1,,,SUMPRODUCT(MAX(ROW(E$2:E1914)*(E1914=E$2:E1914)))))-COUNTBLANK(OFFSET(A$1,,,SUMPRODUCT(MAX(ROW(E$1:E1913)*(E1914=E$1:E1913))))))</f>
        <v/>
      </c>
      <c r="K1914" s="15" t="str">
        <f aca="false">IF(OR(E1914="",E1914="!!!",F1914="NEW"),"",INDEX(J$1:J1913,SUMPRODUCT(MAX(ROW(E$1:E1913)*(E1914=E$1:E1913)))))</f>
        <v/>
      </c>
      <c r="L1914" s="16"/>
    </row>
    <row r="1915" customFormat="false" ht="12.8" hidden="false" customHeight="false" outlineLevel="0" collapsed="false">
      <c r="A1915" s="0" t="s">
        <v>235</v>
      </c>
      <c r="E1915" s="10" t="str">
        <f aca="false">IF(D1915="?OLD","!!!","")</f>
        <v/>
      </c>
      <c r="F1915" s="11" t="str">
        <f aca="false">IF(OR(E1915="",E1915="!!!"),"",IF(NOT(ISNA(VLOOKUP(E1915,E$1:E1914,1,FALSE()))),"OLD",IF(AND(E1915&lt;&gt;"",E1915&lt;&gt;"!!!"),"NEW","")))</f>
        <v/>
      </c>
      <c r="G1915" s="12" t="str">
        <f aca="false">IF(OR(E1915="",E1915="!!!"),"",IF(OR(J1915=0,AND(J1915=1,K1915=1),AND(J1915=1,I1915="SBJ"),AND(J1915=1,I1915=0)),"?IN_FOCUS",IF(J1915&lt;=2,"?ACTIVATED",IF(J1915&lt;&gt;"","?FAMILIAR",IF(F1915="NEW",IF(ISNA(VLOOKUP(E1915,#REF!,1,FALSE())),"?TYPE_IDENTIFIABLE","?REFERENTIAL"),"_")))))</f>
        <v/>
      </c>
      <c r="H1915" s="13" t="str">
        <f aca="false">IF(J1915&lt;&gt;1,"",IF(I1915="SBJ","CB","?"))</f>
        <v/>
      </c>
      <c r="I1915" s="14" t="str">
        <f aca="false">IF(OR(E1915="",E1915="!!!",F1915="NEW"),"",INDEX(B$2:B1914,-1+SUMPRODUCT(MAX(ROW(E$2:E1914)*(E1915=E$2:E1914)))))</f>
        <v/>
      </c>
      <c r="J1915" s="15" t="str">
        <f aca="true">IF(OR(E1915="",E1915="!!!",F1915="NEW"),"",COUNTBLANK(OFFSET(A$1,,,SUMPRODUCT(MAX(ROW(E$2:E1915)*(E1915=E$2:E1915)))))-COUNTBLANK(OFFSET(A$1,,,SUMPRODUCT(MAX(ROW(E$1:E1914)*(E1915=E$1:E1914))))))</f>
        <v/>
      </c>
      <c r="K1915" s="15" t="str">
        <f aca="false">IF(OR(E1915="",E1915="!!!",F1915="NEW"),"",INDEX(J$1:J1914,SUMPRODUCT(MAX(ROW(E$1:E1914)*(E1915=E$1:E1914)))))</f>
        <v/>
      </c>
      <c r="L1915" s="16"/>
    </row>
    <row r="1916" customFormat="false" ht="12.8" hidden="false" customHeight="false" outlineLevel="0" collapsed="false">
      <c r="A1916" s="0" t="s">
        <v>152</v>
      </c>
      <c r="E1916" s="10" t="str">
        <f aca="false">IF(D1916="?OLD","!!!","")</f>
        <v/>
      </c>
      <c r="F1916" s="11" t="str">
        <f aca="false">IF(OR(E1916="",E1916="!!!"),"",IF(NOT(ISNA(VLOOKUP(E1916,E$1:E1915,1,FALSE()))),"OLD",IF(AND(E1916&lt;&gt;"",E1916&lt;&gt;"!!!"),"NEW","")))</f>
        <v/>
      </c>
      <c r="G1916" s="12" t="str">
        <f aca="false">IF(OR(E1916="",E1916="!!!"),"",IF(OR(J1916=0,AND(J1916=1,K1916=1),AND(J1916=1,I1916="SBJ"),AND(J1916=1,I1916=0)),"?IN_FOCUS",IF(J1916&lt;=2,"?ACTIVATED",IF(J1916&lt;&gt;"","?FAMILIAR",IF(F1916="NEW",IF(ISNA(VLOOKUP(E1916,#REF!,1,FALSE())),"?TYPE_IDENTIFIABLE","?REFERENTIAL"),"_")))))</f>
        <v/>
      </c>
      <c r="H1916" s="13" t="str">
        <f aca="false">IF(J1916&lt;&gt;1,"",IF(I1916="SBJ","CB","?"))</f>
        <v/>
      </c>
      <c r="I1916" s="14" t="str">
        <f aca="false">IF(OR(E1916="",E1916="!!!",F1916="NEW"),"",INDEX(B$2:B1915,-1+SUMPRODUCT(MAX(ROW(E$2:E1915)*(E1916=E$2:E1915)))))</f>
        <v/>
      </c>
      <c r="J1916" s="15" t="str">
        <f aca="true">IF(OR(E1916="",E1916="!!!",F1916="NEW"),"",COUNTBLANK(OFFSET(A$1,,,SUMPRODUCT(MAX(ROW(E$2:E1916)*(E1916=E$2:E1916)))))-COUNTBLANK(OFFSET(A$1,,,SUMPRODUCT(MAX(ROW(E$1:E1915)*(E1916=E$1:E1915))))))</f>
        <v/>
      </c>
      <c r="K1916" s="15" t="str">
        <f aca="false">IF(OR(E1916="",E1916="!!!",F1916="NEW"),"",INDEX(J$1:J1915,SUMPRODUCT(MAX(ROW(E$1:E1915)*(E1916=E$1:E1915)))))</f>
        <v/>
      </c>
      <c r="L1916" s="16"/>
    </row>
    <row r="1917" customFormat="false" ht="12.8" hidden="false" customHeight="false" outlineLevel="0" collapsed="false">
      <c r="A1917" s="0" t="s">
        <v>154</v>
      </c>
      <c r="E1917" s="10" t="str">
        <f aca="false">IF(D1917="?OLD","!!!","")</f>
        <v/>
      </c>
      <c r="F1917" s="11" t="str">
        <f aca="false">IF(OR(E1917="",E1917="!!!"),"",IF(NOT(ISNA(VLOOKUP(E1917,E$1:E1916,1,FALSE()))),"OLD",IF(AND(E1917&lt;&gt;"",E1917&lt;&gt;"!!!"),"NEW","")))</f>
        <v/>
      </c>
      <c r="G1917" s="12" t="str">
        <f aca="false">IF(OR(E1917="",E1917="!!!"),"",IF(OR(J1917=0,AND(J1917=1,K1917=1),AND(J1917=1,I1917="SBJ"),AND(J1917=1,I1917=0)),"?IN_FOCUS",IF(J1917&lt;=2,"?ACTIVATED",IF(J1917&lt;&gt;"","?FAMILIAR",IF(F1917="NEW",IF(ISNA(VLOOKUP(E1917,#REF!,1,FALSE())),"?TYPE_IDENTIFIABLE","?REFERENTIAL"),"_")))))</f>
        <v/>
      </c>
      <c r="H1917" s="13" t="str">
        <f aca="false">IF(J1917&lt;&gt;1,"",IF(I1917="SBJ","CB","?"))</f>
        <v/>
      </c>
      <c r="I1917" s="14" t="str">
        <f aca="false">IF(OR(E1917="",E1917="!!!",F1917="NEW"),"",INDEX(B$2:B1916,-1+SUMPRODUCT(MAX(ROW(E$2:E1916)*(E1917=E$2:E1916)))))</f>
        <v/>
      </c>
      <c r="J1917" s="15" t="str">
        <f aca="true">IF(OR(E1917="",E1917="!!!",F1917="NEW"),"",COUNTBLANK(OFFSET(A$1,,,SUMPRODUCT(MAX(ROW(E$2:E1917)*(E1917=E$2:E1917)))))-COUNTBLANK(OFFSET(A$1,,,SUMPRODUCT(MAX(ROW(E$1:E1916)*(E1917=E$1:E1916))))))</f>
        <v/>
      </c>
      <c r="K1917" s="15" t="str">
        <f aca="false">IF(OR(E1917="",E1917="!!!",F1917="NEW"),"",INDEX(J$1:J1916,SUMPRODUCT(MAX(ROW(E$1:E1916)*(E1917=E$1:E1916)))))</f>
        <v/>
      </c>
      <c r="L1917" s="16"/>
    </row>
    <row r="1918" customFormat="false" ht="12.8" hidden="false" customHeight="false" outlineLevel="0" collapsed="false">
      <c r="A1918" s="0" t="s">
        <v>62</v>
      </c>
      <c r="E1918" s="10" t="str">
        <f aca="false">IF(D1918="?OLD","!!!","")</f>
        <v/>
      </c>
      <c r="F1918" s="11" t="str">
        <f aca="false">IF(OR(E1918="",E1918="!!!"),"",IF(NOT(ISNA(VLOOKUP(E1918,E$1:E1917,1,FALSE()))),"OLD",IF(AND(E1918&lt;&gt;"",E1918&lt;&gt;"!!!"),"NEW","")))</f>
        <v/>
      </c>
      <c r="G1918" s="12" t="str">
        <f aca="false">IF(OR(E1918="",E1918="!!!"),"",IF(OR(J1918=0,AND(J1918=1,K1918=1),AND(J1918=1,I1918="SBJ"),AND(J1918=1,I1918=0)),"?IN_FOCUS",IF(J1918&lt;=2,"?ACTIVATED",IF(J1918&lt;&gt;"","?FAMILIAR",IF(F1918="NEW",IF(ISNA(VLOOKUP(E1918,#REF!,1,FALSE())),"?TYPE_IDENTIFIABLE","?REFERENTIAL"),"_")))))</f>
        <v/>
      </c>
      <c r="H1918" s="13" t="str">
        <f aca="false">IF(J1918&lt;&gt;1,"",IF(I1918="SBJ","CB","?"))</f>
        <v/>
      </c>
      <c r="I1918" s="14" t="str">
        <f aca="false">IF(OR(E1918="",E1918="!!!",F1918="NEW"),"",INDEX(B$2:B1917,-1+SUMPRODUCT(MAX(ROW(E$2:E1917)*(E1918=E$2:E1917)))))</f>
        <v/>
      </c>
      <c r="J1918" s="15" t="str">
        <f aca="true">IF(OR(E1918="",E1918="!!!",F1918="NEW"),"",COUNTBLANK(OFFSET(A$1,,,SUMPRODUCT(MAX(ROW(E$2:E1918)*(E1918=E$2:E1918)))))-COUNTBLANK(OFFSET(A$1,,,SUMPRODUCT(MAX(ROW(E$1:E1917)*(E1918=E$1:E1917))))))</f>
        <v/>
      </c>
      <c r="K1918" s="15" t="str">
        <f aca="false">IF(OR(E1918="",E1918="!!!",F1918="NEW"),"",INDEX(J$1:J1917,SUMPRODUCT(MAX(ROW(E$1:E1917)*(E1918=E$1:E1917)))))</f>
        <v/>
      </c>
      <c r="L1918" s="16"/>
    </row>
    <row r="1919" customFormat="false" ht="12.8" hidden="false" customHeight="false" outlineLevel="0" collapsed="false">
      <c r="A1919" s="0" t="s">
        <v>112</v>
      </c>
      <c r="E1919" s="10" t="str">
        <f aca="false">IF(D1919="?OLD","!!!","")</f>
        <v/>
      </c>
      <c r="F1919" s="11" t="str">
        <f aca="false">IF(OR(E1919="",E1919="!!!"),"",IF(NOT(ISNA(VLOOKUP(E1919,E$1:E1918,1,FALSE()))),"OLD",IF(AND(E1919&lt;&gt;"",E1919&lt;&gt;"!!!"),"NEW","")))</f>
        <v/>
      </c>
      <c r="G1919" s="12" t="str">
        <f aca="false">IF(OR(E1919="",E1919="!!!"),"",IF(OR(J1919=0,AND(J1919=1,K1919=1),AND(J1919=1,I1919="SBJ"),AND(J1919=1,I1919=0)),"?IN_FOCUS",IF(J1919&lt;=2,"?ACTIVATED",IF(J1919&lt;&gt;"","?FAMILIAR",IF(F1919="NEW",IF(ISNA(VLOOKUP(E1919,#REF!,1,FALSE())),"?TYPE_IDENTIFIABLE","?REFERENTIAL"),"_")))))</f>
        <v/>
      </c>
      <c r="H1919" s="13" t="str">
        <f aca="false">IF(J1919&lt;&gt;1,"",IF(I1919="SBJ","CB","?"))</f>
        <v/>
      </c>
      <c r="I1919" s="14" t="str">
        <f aca="false">IF(OR(E1919="",E1919="!!!",F1919="NEW"),"",INDEX(B$2:B1918,-1+SUMPRODUCT(MAX(ROW(E$2:E1918)*(E1919=E$2:E1918)))))</f>
        <v/>
      </c>
      <c r="J1919" s="15" t="str">
        <f aca="true">IF(OR(E1919="",E1919="!!!",F1919="NEW"),"",COUNTBLANK(OFFSET(A$1,,,SUMPRODUCT(MAX(ROW(E$2:E1919)*(E1919=E$2:E1919)))))-COUNTBLANK(OFFSET(A$1,,,SUMPRODUCT(MAX(ROW(E$1:E1918)*(E1919=E$1:E1918))))))</f>
        <v/>
      </c>
      <c r="K1919" s="15" t="str">
        <f aca="false">IF(OR(E1919="",E1919="!!!",F1919="NEW"),"",INDEX(J$1:J1918,SUMPRODUCT(MAX(ROW(E$1:E1918)*(E1919=E$1:E1918)))))</f>
        <v/>
      </c>
      <c r="L1919" s="16"/>
    </row>
    <row r="1920" customFormat="false" ht="12.8" hidden="false" customHeight="false" outlineLevel="0" collapsed="false">
      <c r="A1920" s="0" t="s">
        <v>113</v>
      </c>
      <c r="E1920" s="10" t="str">
        <f aca="false">IF(D1920="?OLD","!!!","")</f>
        <v/>
      </c>
      <c r="F1920" s="11" t="str">
        <f aca="false">IF(OR(E1920="",E1920="!!!"),"",IF(NOT(ISNA(VLOOKUP(E1920,E$1:E1919,1,FALSE()))),"OLD",IF(AND(E1920&lt;&gt;"",E1920&lt;&gt;"!!!"),"NEW","")))</f>
        <v/>
      </c>
      <c r="G1920" s="12" t="str">
        <f aca="false">IF(OR(E1920="",E1920="!!!"),"",IF(OR(J1920=0,AND(J1920=1,K1920=1),AND(J1920=1,I1920="SBJ"),AND(J1920=1,I1920=0)),"?IN_FOCUS",IF(J1920&lt;=2,"?ACTIVATED",IF(J1920&lt;&gt;"","?FAMILIAR",IF(F1920="NEW",IF(ISNA(VLOOKUP(E1920,#REF!,1,FALSE())),"?TYPE_IDENTIFIABLE","?REFERENTIAL"),"_")))))</f>
        <v/>
      </c>
      <c r="H1920" s="13" t="str">
        <f aca="false">IF(J1920&lt;&gt;1,"",IF(I1920="SBJ","CB","?"))</f>
        <v/>
      </c>
      <c r="I1920" s="14" t="str">
        <f aca="false">IF(OR(E1920="",E1920="!!!",F1920="NEW"),"",INDEX(B$2:B1919,-1+SUMPRODUCT(MAX(ROW(E$2:E1919)*(E1920=E$2:E1919)))))</f>
        <v/>
      </c>
      <c r="J1920" s="15" t="str">
        <f aca="true">IF(OR(E1920="",E1920="!!!",F1920="NEW"),"",COUNTBLANK(OFFSET(A$1,,,SUMPRODUCT(MAX(ROW(E$2:E1920)*(E1920=E$2:E1920)))))-COUNTBLANK(OFFSET(A$1,,,SUMPRODUCT(MAX(ROW(E$1:E1919)*(E1920=E$1:E1919))))))</f>
        <v/>
      </c>
      <c r="K1920" s="15" t="str">
        <f aca="false">IF(OR(E1920="",E1920="!!!",F1920="NEW"),"",INDEX(J$1:J1919,SUMPRODUCT(MAX(ROW(E$1:E1919)*(E1920=E$1:E1919)))))</f>
        <v/>
      </c>
      <c r="L1920" s="16"/>
    </row>
    <row r="1921" customFormat="false" ht="12.8" hidden="false" customHeight="false" outlineLevel="0" collapsed="false">
      <c r="A1921" s="0" t="s">
        <v>862</v>
      </c>
      <c r="E1921" s="10" t="str">
        <f aca="false">IF(D1921="?OLD","!!!","")</f>
        <v/>
      </c>
      <c r="F1921" s="11" t="str">
        <f aca="false">IF(OR(E1921="",E1921="!!!"),"",IF(NOT(ISNA(VLOOKUP(E1921,E$1:E1920,1,FALSE()))),"OLD",IF(AND(E1921&lt;&gt;"",E1921&lt;&gt;"!!!"),"NEW","")))</f>
        <v/>
      </c>
      <c r="G1921" s="12" t="str">
        <f aca="false">IF(OR(E1921="",E1921="!!!"),"",IF(OR(J1921=0,AND(J1921=1,K1921=1),AND(J1921=1,I1921="SBJ"),AND(J1921=1,I1921=0)),"?IN_FOCUS",IF(J1921&lt;=2,"?ACTIVATED",IF(J1921&lt;&gt;"","?FAMILIAR",IF(F1921="NEW",IF(ISNA(VLOOKUP(E1921,#REF!,1,FALSE())),"?TYPE_IDENTIFIABLE","?REFERENTIAL"),"_")))))</f>
        <v/>
      </c>
      <c r="H1921" s="13" t="str">
        <f aca="false">IF(J1921&lt;&gt;1,"",IF(I1921="SBJ","CB","?"))</f>
        <v/>
      </c>
      <c r="I1921" s="14" t="str">
        <f aca="false">IF(OR(E1921="",E1921="!!!",F1921="NEW"),"",INDEX(B$2:B1920,-1+SUMPRODUCT(MAX(ROW(E$2:E1920)*(E1921=E$2:E1920)))))</f>
        <v/>
      </c>
      <c r="J1921" s="15" t="str">
        <f aca="true">IF(OR(E1921="",E1921="!!!",F1921="NEW"),"",COUNTBLANK(OFFSET(A$1,,,SUMPRODUCT(MAX(ROW(E$2:E1921)*(E1921=E$2:E1921)))))-COUNTBLANK(OFFSET(A$1,,,SUMPRODUCT(MAX(ROW(E$1:E1920)*(E1921=E$1:E1920))))))</f>
        <v/>
      </c>
      <c r="K1921" s="15" t="str">
        <f aca="false">IF(OR(E1921="",E1921="!!!",F1921="NEW"),"",INDEX(J$1:J1920,SUMPRODUCT(MAX(ROW(E$1:E1920)*(E1921=E$1:E1920)))))</f>
        <v/>
      </c>
      <c r="L1921" s="16"/>
    </row>
    <row r="1922" customFormat="false" ht="12.8" hidden="false" customHeight="false" outlineLevel="0" collapsed="false">
      <c r="A1922" s="0" t="s">
        <v>650</v>
      </c>
      <c r="B1922" s="0" t="s">
        <v>96</v>
      </c>
      <c r="C1922" s="0" t="s">
        <v>27</v>
      </c>
      <c r="D1922" s="0" t="s">
        <v>20</v>
      </c>
      <c r="E1922" s="10" t="s">
        <v>863</v>
      </c>
      <c r="F1922" s="11" t="str">
        <f aca="false">IF(OR(E1922="",E1922="!!!"),"",IF(NOT(ISNA(VLOOKUP(E1922,E$1:E1921,1,FALSE()))),"OLD",IF(AND(E1922&lt;&gt;"",E1922&lt;&gt;"!!!"),"NEW","")))</f>
        <v>NEW</v>
      </c>
      <c r="G1922" s="12" t="s">
        <v>131</v>
      </c>
      <c r="H1922" s="13" t="str">
        <f aca="false">IF(J1922&lt;&gt;1,"",IF(I1922="SBJ","CB","?"))</f>
        <v/>
      </c>
      <c r="I1922" s="14" t="str">
        <f aca="false">IF(OR(E1922="",E1922="!!!",F1922="NEW"),"",INDEX(B$2:B1921,-1+SUMPRODUCT(MAX(ROW(E$2:E1921)*(E1922=E$2:E1921)))))</f>
        <v/>
      </c>
      <c r="J1922" s="15" t="str">
        <f aca="true">IF(OR(E1922="",E1922="!!!",F1922="NEW"),"",COUNTBLANK(OFFSET(A$1,,,SUMPRODUCT(MAX(ROW(E$2:E1922)*(E1922=E$2:E1922)))))-COUNTBLANK(OFFSET(A$1,,,SUMPRODUCT(MAX(ROW(E$1:E1921)*(E1922=E$1:E1921))))))</f>
        <v/>
      </c>
      <c r="K1922" s="15" t="str">
        <f aca="false">IF(OR(E1922="",E1922="!!!",F1922="NEW"),"",INDEX(J$1:J1921,SUMPRODUCT(MAX(ROW(E$1:E1921)*(E1922=E$1:E1921)))))</f>
        <v/>
      </c>
      <c r="L1922" s="16"/>
    </row>
    <row r="1923" customFormat="false" ht="12.8" hidden="false" customHeight="false" outlineLevel="0" collapsed="false">
      <c r="A1923" s="0" t="s">
        <v>45</v>
      </c>
      <c r="E1923" s="10" t="str">
        <f aca="false">IF(D1923="?OLD","!!!","")</f>
        <v/>
      </c>
      <c r="F1923" s="11" t="str">
        <f aca="false">IF(OR(E1923="",E1923="!!!"),"",IF(NOT(ISNA(VLOOKUP(E1923,E$1:E1922,1,FALSE()))),"OLD",IF(AND(E1923&lt;&gt;"",E1923&lt;&gt;"!!!"),"NEW","")))</f>
        <v/>
      </c>
      <c r="G1923" s="12" t="str">
        <f aca="false">IF(OR(E1923="",E1923="!!!"),"",IF(OR(J1923=0,AND(J1923=1,K1923=1),AND(J1923=1,I1923="SBJ"),AND(J1923=1,I1923=0)),"?IN_FOCUS",IF(J1923&lt;=2,"?ACTIVATED",IF(J1923&lt;&gt;"","?FAMILIAR",IF(F1923="NEW",IF(ISNA(VLOOKUP(E1923,#REF!,1,FALSE())),"?TYPE_IDENTIFIABLE","?REFERENTIAL"),"_")))))</f>
        <v/>
      </c>
      <c r="H1923" s="13" t="str">
        <f aca="false">IF(J1923&lt;&gt;1,"",IF(I1923="SBJ","CB","?"))</f>
        <v/>
      </c>
      <c r="I1923" s="14" t="str">
        <f aca="false">IF(OR(E1923="",E1923="!!!",F1923="NEW"),"",INDEX(B$2:B1922,-1+SUMPRODUCT(MAX(ROW(E$2:E1922)*(E1923=E$2:E1922)))))</f>
        <v/>
      </c>
      <c r="J1923" s="15" t="str">
        <f aca="true">IF(OR(E1923="",E1923="!!!",F1923="NEW"),"",COUNTBLANK(OFFSET(A$1,,,SUMPRODUCT(MAX(ROW(E$2:E1923)*(E1923=E$2:E1923)))))-COUNTBLANK(OFFSET(A$1,,,SUMPRODUCT(MAX(ROW(E$1:E1922)*(E1923=E$1:E1922))))))</f>
        <v/>
      </c>
      <c r="K1923" s="15" t="str">
        <f aca="false">IF(OR(E1923="",E1923="!!!",F1923="NEW"),"",INDEX(J$1:J1922,SUMPRODUCT(MAX(ROW(E$1:E1922)*(E1923=E$1:E1922)))))</f>
        <v/>
      </c>
      <c r="L1923" s="16"/>
    </row>
    <row r="1924" customFormat="false" ht="12.8" hidden="false" customHeight="false" outlineLevel="0" collapsed="false">
      <c r="A1924" s="0" t="s">
        <v>460</v>
      </c>
      <c r="B1924" s="0" t="s">
        <v>65</v>
      </c>
      <c r="C1924" s="0" t="s">
        <v>31</v>
      </c>
      <c r="E1924" s="10" t="s">
        <v>864</v>
      </c>
      <c r="F1924" s="11" t="str">
        <f aca="false">IF(OR(E1924="",E1924="!!!"),"",IF(NOT(ISNA(VLOOKUP(E1924,E$1:E1923,1,FALSE()))),"OLD",IF(AND(E1924&lt;&gt;"",E1924&lt;&gt;"!!!"),"NEW","")))</f>
        <v>NEW</v>
      </c>
      <c r="G1924" s="12" t="s">
        <v>131</v>
      </c>
      <c r="H1924" s="13" t="str">
        <f aca="false">IF(J1924&lt;&gt;1,"",IF(I1924="SBJ","CB","?"))</f>
        <v/>
      </c>
      <c r="I1924" s="14" t="str">
        <f aca="false">IF(OR(E1924="",E1924="!!!",F1924="NEW"),"",INDEX(B$2:B1923,-1+SUMPRODUCT(MAX(ROW(E$2:E1923)*(E1924=E$2:E1923)))))</f>
        <v/>
      </c>
      <c r="J1924" s="15" t="str">
        <f aca="true">IF(OR(E1924="",E1924="!!!",F1924="NEW"),"",COUNTBLANK(OFFSET(A$1,,,SUMPRODUCT(MAX(ROW(E$2:E1924)*(E1924=E$2:E1924)))))-COUNTBLANK(OFFSET(A$1,,,SUMPRODUCT(MAX(ROW(E$1:E1923)*(E1924=E$1:E1923))))))</f>
        <v/>
      </c>
      <c r="K1924" s="15" t="str">
        <f aca="false">IF(OR(E1924="",E1924="!!!",F1924="NEW"),"",INDEX(J$1:J1923,SUMPRODUCT(MAX(ROW(E$1:E1923)*(E1924=E$1:E1923)))))</f>
        <v/>
      </c>
      <c r="L1924" s="16"/>
    </row>
    <row r="1925" customFormat="false" ht="12.8" hidden="false" customHeight="false" outlineLevel="0" collapsed="false">
      <c r="A1925" s="0" t="s">
        <v>61</v>
      </c>
      <c r="E1925" s="10" t="str">
        <f aca="false">IF(D1925="?OLD","!!!","")</f>
        <v/>
      </c>
      <c r="F1925" s="11" t="str">
        <f aca="false">IF(OR(E1925="",E1925="!!!"),"",IF(NOT(ISNA(VLOOKUP(E1925,E$1:E1924,1,FALSE()))),"OLD",IF(AND(E1925&lt;&gt;"",E1925&lt;&gt;"!!!"),"NEW","")))</f>
        <v/>
      </c>
      <c r="G1925" s="12" t="str">
        <f aca="false">IF(OR(E1925="",E1925="!!!"),"",IF(OR(J1925=0,AND(J1925=1,K1925=1),AND(J1925=1,I1925="SBJ"),AND(J1925=1,I1925=0)),"?IN_FOCUS",IF(J1925&lt;=2,"?ACTIVATED",IF(J1925&lt;&gt;"","?FAMILIAR",IF(F1925="NEW",IF(ISNA(VLOOKUP(E1925,#REF!,1,FALSE())),"?TYPE_IDENTIFIABLE","?REFERENTIAL"),"_")))))</f>
        <v/>
      </c>
      <c r="H1925" s="13" t="str">
        <f aca="false">IF(J1925&lt;&gt;1,"",IF(I1925="SBJ","CB","?"))</f>
        <v/>
      </c>
      <c r="I1925" s="14" t="str">
        <f aca="false">IF(OR(E1925="",E1925="!!!",F1925="NEW"),"",INDEX(B$2:B1924,-1+SUMPRODUCT(MAX(ROW(E$2:E1924)*(E1925=E$2:E1924)))))</f>
        <v/>
      </c>
      <c r="J1925" s="15" t="str">
        <f aca="true">IF(OR(E1925="",E1925="!!!",F1925="NEW"),"",COUNTBLANK(OFFSET(A$1,,,SUMPRODUCT(MAX(ROW(E$2:E1925)*(E1925=E$2:E1925)))))-COUNTBLANK(OFFSET(A$1,,,SUMPRODUCT(MAX(ROW(E$1:E1924)*(E1925=E$1:E1924))))))</f>
        <v/>
      </c>
      <c r="K1925" s="15" t="str">
        <f aca="false">IF(OR(E1925="",E1925="!!!",F1925="NEW"),"",INDEX(J$1:J1924,SUMPRODUCT(MAX(ROW(E$1:E1924)*(E1925=E$1:E1924)))))</f>
        <v/>
      </c>
      <c r="L1925" s="16"/>
    </row>
    <row r="1926" customFormat="false" ht="12.8" hidden="false" customHeight="false" outlineLevel="0" collapsed="false">
      <c r="A1926" s="0" t="s">
        <v>865</v>
      </c>
      <c r="E1926" s="10" t="str">
        <f aca="false">IF(D1926="?OLD","!!!","")</f>
        <v/>
      </c>
      <c r="F1926" s="11" t="str">
        <f aca="false">IF(OR(E1926="",E1926="!!!"),"",IF(NOT(ISNA(VLOOKUP(E1926,E$1:E1925,1,FALSE()))),"OLD",IF(AND(E1926&lt;&gt;"",E1926&lt;&gt;"!!!"),"NEW","")))</f>
        <v/>
      </c>
      <c r="G1926" s="12" t="str">
        <f aca="false">IF(OR(E1926="",E1926="!!!"),"",IF(OR(J1926=0,AND(J1926=1,K1926=1),AND(J1926=1,I1926="SBJ"),AND(J1926=1,I1926=0)),"?IN_FOCUS",IF(J1926&lt;=2,"?ACTIVATED",IF(J1926&lt;&gt;"","?FAMILIAR",IF(F1926="NEW",IF(ISNA(VLOOKUP(E1926,#REF!,1,FALSE())),"?TYPE_IDENTIFIABLE","?REFERENTIAL"),"_")))))</f>
        <v/>
      </c>
      <c r="H1926" s="13" t="str">
        <f aca="false">IF(J1926&lt;&gt;1,"",IF(I1926="SBJ","CB","?"))</f>
        <v/>
      </c>
      <c r="I1926" s="14" t="str">
        <f aca="false">IF(OR(E1926="",E1926="!!!",F1926="NEW"),"",INDEX(B$2:B1925,-1+SUMPRODUCT(MAX(ROW(E$2:E1925)*(E1926=E$2:E1925)))))</f>
        <v/>
      </c>
      <c r="J1926" s="15" t="str">
        <f aca="true">IF(OR(E1926="",E1926="!!!",F1926="NEW"),"",COUNTBLANK(OFFSET(A$1,,,SUMPRODUCT(MAX(ROW(E$2:E1926)*(E1926=E$2:E1926)))))-COUNTBLANK(OFFSET(A$1,,,SUMPRODUCT(MAX(ROW(E$1:E1925)*(E1926=E$1:E1925))))))</f>
        <v/>
      </c>
      <c r="K1926" s="15" t="str">
        <f aca="false">IF(OR(E1926="",E1926="!!!",F1926="NEW"),"",INDEX(J$1:J1925,SUMPRODUCT(MAX(ROW(E$1:E1925)*(E1926=E$1:E1925)))))</f>
        <v/>
      </c>
      <c r="L1926" s="16"/>
    </row>
    <row r="1927" customFormat="false" ht="12.8" hidden="false" customHeight="false" outlineLevel="0" collapsed="false">
      <c r="A1927" s="0" t="s">
        <v>866</v>
      </c>
      <c r="B1927" s="0" t="s">
        <v>69</v>
      </c>
      <c r="C1927" s="0" t="s">
        <v>31</v>
      </c>
      <c r="E1927" s="10" t="str">
        <f aca="false">IF(D1927="?OLD","!!!","")</f>
        <v/>
      </c>
      <c r="F1927" s="11" t="str">
        <f aca="false">IF(OR(E1927="",E1927="!!!"),"",IF(NOT(ISNA(VLOOKUP(E1927,E$1:E1926,1,FALSE()))),"OLD",IF(AND(E1927&lt;&gt;"",E1927&lt;&gt;"!!!"),"NEW","")))</f>
        <v/>
      </c>
      <c r="G1927" s="12" t="str">
        <f aca="false">IF(OR(E1927="",E1927="!!!"),"",IF(OR(J1927=0,AND(J1927=1,K1927=1),AND(J1927=1,I1927="SBJ"),AND(J1927=1,I1927=0)),"?IN_FOCUS",IF(J1927&lt;=2,"?ACTIVATED",IF(J1927&lt;&gt;"","?FAMILIAR",IF(F1927="NEW",IF(ISNA(VLOOKUP(E1927,#REF!,1,FALSE())),"?TYPE_IDENTIFIABLE","?REFERENTIAL"),"_")))))</f>
        <v/>
      </c>
      <c r="H1927" s="13" t="str">
        <f aca="false">IF(J1927&lt;&gt;1,"",IF(I1927="SBJ","CB","?"))</f>
        <v/>
      </c>
      <c r="I1927" s="14" t="str">
        <f aca="false">IF(OR(E1927="",E1927="!!!",F1927="NEW"),"",INDEX(B$2:B1926,-1+SUMPRODUCT(MAX(ROW(E$2:E1926)*(E1927=E$2:E1926)))))</f>
        <v/>
      </c>
      <c r="J1927" s="15" t="str">
        <f aca="true">IF(OR(E1927="",E1927="!!!",F1927="NEW"),"",COUNTBLANK(OFFSET(A$1,,,SUMPRODUCT(MAX(ROW(E$2:E1927)*(E1927=E$2:E1927)))))-COUNTBLANK(OFFSET(A$1,,,SUMPRODUCT(MAX(ROW(E$1:E1926)*(E1927=E$1:E1926))))))</f>
        <v/>
      </c>
      <c r="K1927" s="15" t="str">
        <f aca="false">IF(OR(E1927="",E1927="!!!",F1927="NEW"),"",INDEX(J$1:J1926,SUMPRODUCT(MAX(ROW(E$1:E1926)*(E1927=E$1:E1926)))))</f>
        <v/>
      </c>
      <c r="L1927" s="16"/>
    </row>
    <row r="1928" customFormat="false" ht="12.8" hidden="false" customHeight="false" outlineLevel="0" collapsed="false">
      <c r="A1928" s="0" t="s">
        <v>76</v>
      </c>
      <c r="E1928" s="10" t="str">
        <f aca="false">IF(D1928="?OLD","!!!","")</f>
        <v/>
      </c>
      <c r="F1928" s="11" t="str">
        <f aca="false">IF(OR(E1928="",E1928="!!!"),"",IF(NOT(ISNA(VLOOKUP(E1928,E$1:E1927,1,FALSE()))),"OLD",IF(AND(E1928&lt;&gt;"",E1928&lt;&gt;"!!!"),"NEW","")))</f>
        <v/>
      </c>
      <c r="G1928" s="12" t="str">
        <f aca="false">IF(OR(E1928="",E1928="!!!"),"",IF(OR(J1928=0,AND(J1928=1,K1928=1),AND(J1928=1,I1928="SBJ"),AND(J1928=1,I1928=0)),"?IN_FOCUS",IF(J1928&lt;=2,"?ACTIVATED",IF(J1928&lt;&gt;"","?FAMILIAR",IF(F1928="NEW",IF(ISNA(VLOOKUP(E1928,#REF!,1,FALSE())),"?TYPE_IDENTIFIABLE","?REFERENTIAL"),"_")))))</f>
        <v/>
      </c>
      <c r="H1928" s="13" t="str">
        <f aca="false">IF(J1928&lt;&gt;1,"",IF(I1928="SBJ","CB","?"))</f>
        <v/>
      </c>
      <c r="I1928" s="14" t="str">
        <f aca="false">IF(OR(E1928="",E1928="!!!",F1928="NEW"),"",INDEX(B$2:B1927,-1+SUMPRODUCT(MAX(ROW(E$2:E1927)*(E1928=E$2:E1927)))))</f>
        <v/>
      </c>
      <c r="J1928" s="15" t="str">
        <f aca="true">IF(OR(E1928="",E1928="!!!",F1928="NEW"),"",COUNTBLANK(OFFSET(A$1,,,SUMPRODUCT(MAX(ROW(E$2:E1928)*(E1928=E$2:E1928)))))-COUNTBLANK(OFFSET(A$1,,,SUMPRODUCT(MAX(ROW(E$1:E1927)*(E1928=E$1:E1927))))))</f>
        <v/>
      </c>
      <c r="K1928" s="15" t="str">
        <f aca="false">IF(OR(E1928="",E1928="!!!",F1928="NEW"),"",INDEX(J$1:J1927,SUMPRODUCT(MAX(ROW(E$1:E1927)*(E1928=E$1:E1927)))))</f>
        <v/>
      </c>
      <c r="L1928" s="16"/>
    </row>
    <row r="1929" customFormat="false" ht="12.8" hidden="false" customHeight="false" outlineLevel="0" collapsed="false">
      <c r="A1929" s="0" t="s">
        <v>516</v>
      </c>
      <c r="E1929" s="10" t="str">
        <f aca="false">IF(D1929="?OLD","!!!","")</f>
        <v/>
      </c>
      <c r="F1929" s="11" t="str">
        <f aca="false">IF(OR(E1929="",E1929="!!!"),"",IF(NOT(ISNA(VLOOKUP(E1929,E$1:E1928,1,FALSE()))),"OLD",IF(AND(E1929&lt;&gt;"",E1929&lt;&gt;"!!!"),"NEW","")))</f>
        <v/>
      </c>
      <c r="G1929" s="12" t="str">
        <f aca="false">IF(OR(E1929="",E1929="!!!"),"",IF(OR(J1929=0,AND(J1929=1,K1929=1),AND(J1929=1,I1929="SBJ"),AND(J1929=1,I1929=0)),"?IN_FOCUS",IF(J1929&lt;=2,"?ACTIVATED",IF(J1929&lt;&gt;"","?FAMILIAR",IF(F1929="NEW",IF(ISNA(VLOOKUP(E1929,#REF!,1,FALSE())),"?TYPE_IDENTIFIABLE","?REFERENTIAL"),"_")))))</f>
        <v/>
      </c>
      <c r="H1929" s="13" t="str">
        <f aca="false">IF(J1929&lt;&gt;1,"",IF(I1929="SBJ","CB","?"))</f>
        <v/>
      </c>
      <c r="I1929" s="14" t="str">
        <f aca="false">IF(OR(E1929="",E1929="!!!",F1929="NEW"),"",INDEX(B$2:B1928,-1+SUMPRODUCT(MAX(ROW(E$2:E1928)*(E1929=E$2:E1928)))))</f>
        <v/>
      </c>
      <c r="J1929" s="15" t="str">
        <f aca="true">IF(OR(E1929="",E1929="!!!",F1929="NEW"),"",COUNTBLANK(OFFSET(A$1,,,SUMPRODUCT(MAX(ROW(E$2:E1929)*(E1929=E$2:E1929)))))-COUNTBLANK(OFFSET(A$1,,,SUMPRODUCT(MAX(ROW(E$1:E1928)*(E1929=E$1:E1928))))))</f>
        <v/>
      </c>
      <c r="K1929" s="15" t="str">
        <f aca="false">IF(OR(E1929="",E1929="!!!",F1929="NEW"),"",INDEX(J$1:J1928,SUMPRODUCT(MAX(ROW(E$1:E1928)*(E1929=E$1:E1928)))))</f>
        <v/>
      </c>
      <c r="L1929" s="16"/>
    </row>
    <row r="1930" customFormat="false" ht="12.8" hidden="false" customHeight="false" outlineLevel="0" collapsed="false">
      <c r="E1930" s="10" t="str">
        <f aca="false">IF(D1930="?OLD","!!!","")</f>
        <v/>
      </c>
      <c r="F1930" s="11" t="str">
        <f aca="false">IF(OR(E1930="",E1930="!!!"),"",IF(NOT(ISNA(VLOOKUP(E1930,E$1:E1929,1,FALSE()))),"OLD",IF(AND(E1930&lt;&gt;"",E1930&lt;&gt;"!!!"),"NEW","")))</f>
        <v/>
      </c>
      <c r="G1930" s="12" t="str">
        <f aca="false">IF(OR(E1930="",E1930="!!!"),"",IF(OR(J1930=0,AND(J1930=1,K1930=1),AND(J1930=1,I1930="SBJ"),AND(J1930=1,I1930=0)),"?IN_FOCUS",IF(J1930&lt;=2,"?ACTIVATED",IF(J1930&lt;&gt;"","?FAMILIAR",IF(F1930="NEW",IF(ISNA(VLOOKUP(E1930,#REF!,1,FALSE())),"?TYPE_IDENTIFIABLE","?REFERENTIAL"),"_")))))</f>
        <v/>
      </c>
      <c r="H1930" s="13" t="str">
        <f aca="false">IF(J1930&lt;&gt;1,"",IF(I1930="SBJ","CB","?"))</f>
        <v/>
      </c>
      <c r="I1930" s="14" t="str">
        <f aca="false">IF(OR(E1930="",E1930="!!!",F1930="NEW"),"",INDEX(B$2:B1929,-1+SUMPRODUCT(MAX(ROW(E$2:E1929)*(E1930=E$2:E1929)))))</f>
        <v/>
      </c>
      <c r="J1930" s="15" t="str">
        <f aca="true">IF(OR(E1930="",E1930="!!!",F1930="NEW"),"",COUNTBLANK(OFFSET(A$1,,,SUMPRODUCT(MAX(ROW(E$2:E1930)*(E1930=E$2:E1930)))))-COUNTBLANK(OFFSET(A$1,,,SUMPRODUCT(MAX(ROW(E$1:E1929)*(E1930=E$1:E1929))))))</f>
        <v/>
      </c>
      <c r="K1930" s="15" t="str">
        <f aca="false">IF(OR(E1930="",E1930="!!!",F1930="NEW"),"",INDEX(J$1:J1929,SUMPRODUCT(MAX(ROW(E$1:E1929)*(E1930=E$1:E1929)))))</f>
        <v/>
      </c>
      <c r="L1930" s="16"/>
    </row>
    <row r="1931" customFormat="false" ht="12.8" hidden="false" customHeight="false" outlineLevel="0" collapsed="false">
      <c r="A1931" s="0" t="s">
        <v>867</v>
      </c>
      <c r="E1931" s="10" t="str">
        <f aca="false">IF(D1931="?OLD","!!!","")</f>
        <v/>
      </c>
      <c r="F1931" s="11" t="str">
        <f aca="false">IF(OR(E1931="",E1931="!!!"),"",IF(NOT(ISNA(VLOOKUP(E1931,E$1:E1930,1,FALSE()))),"OLD",IF(AND(E1931&lt;&gt;"",E1931&lt;&gt;"!!!"),"NEW","")))</f>
        <v/>
      </c>
      <c r="G1931" s="12" t="str">
        <f aca="false">IF(OR(E1931="",E1931="!!!"),"",IF(OR(J1931=0,AND(J1931=1,K1931=1),AND(J1931=1,I1931="SBJ"),AND(J1931=1,I1931=0)),"?IN_FOCUS",IF(J1931&lt;=2,"?ACTIVATED",IF(J1931&lt;&gt;"","?FAMILIAR",IF(F1931="NEW",IF(ISNA(VLOOKUP(E1931,#REF!,1,FALSE())),"?TYPE_IDENTIFIABLE","?REFERENTIAL"),"_")))))</f>
        <v/>
      </c>
      <c r="H1931" s="13" t="str">
        <f aca="false">IF(J1931&lt;&gt;1,"",IF(I1931="SBJ","CB","?"))</f>
        <v/>
      </c>
      <c r="I1931" s="14" t="str">
        <f aca="false">IF(OR(E1931="",E1931="!!!",F1931="NEW"),"",INDEX(B$2:B1930,-1+SUMPRODUCT(MAX(ROW(E$2:E1930)*(E1931=E$2:E1930)))))</f>
        <v/>
      </c>
      <c r="J1931" s="15" t="str">
        <f aca="true">IF(OR(E1931="",E1931="!!!",F1931="NEW"),"",COUNTBLANK(OFFSET(A$1,,,SUMPRODUCT(MAX(ROW(E$2:E1931)*(E1931=E$2:E1931)))))-COUNTBLANK(OFFSET(A$1,,,SUMPRODUCT(MAX(ROW(E$1:E1930)*(E1931=E$1:E1930))))))</f>
        <v/>
      </c>
      <c r="K1931" s="15" t="str">
        <f aca="false">IF(OR(E1931="",E1931="!!!",F1931="NEW"),"",INDEX(J$1:J1930,SUMPRODUCT(MAX(ROW(E$1:E1930)*(E1931=E$1:E1930)))))</f>
        <v/>
      </c>
      <c r="L1931" s="16"/>
    </row>
    <row r="1932" customFormat="false" ht="12.8" hidden="false" customHeight="false" outlineLevel="0" collapsed="false">
      <c r="A1932" s="0" t="s">
        <v>46</v>
      </c>
      <c r="B1932" s="0" t="s">
        <v>34</v>
      </c>
      <c r="C1932" s="0" t="s">
        <v>48</v>
      </c>
      <c r="D1932" s="0" t="s">
        <v>20</v>
      </c>
      <c r="E1932" s="10" t="s">
        <v>49</v>
      </c>
      <c r="F1932" s="11" t="str">
        <f aca="false">IF(OR(E1932="",E1932="!!!"),"",IF(NOT(ISNA(VLOOKUP(E1932,E$1:E1931,1,FALSE()))),"OLD",IF(AND(E1932&lt;&gt;"",E1932&lt;&gt;"!!!"),"NEW","")))</f>
        <v>OLD</v>
      </c>
      <c r="G1932" s="12" t="s">
        <v>36</v>
      </c>
      <c r="H1932" s="13" t="str">
        <f aca="false">IF(J1932&lt;&gt;1,"",IF(I1932="SBJ","CB","?"))</f>
        <v/>
      </c>
      <c r="I1932" s="14" t="str">
        <f aca="false">IF(OR(E1932="",E1932="!!!",F1932="NEW"),"",INDEX(B$2:B1931,-1+SUMPRODUCT(MAX(ROW(E$2:E1931)*(E1932=E$2:E1931)))))</f>
        <v>SBJ</v>
      </c>
      <c r="J1932" s="15" t="n">
        <f aca="true">IF(OR(E1932="",E1932="!!!",F1932="NEW"),"",COUNTBLANK(OFFSET(A$1,,,SUMPRODUCT(MAX(ROW(E$2:E1932)*(E1932=E$2:E1932)))))-COUNTBLANK(OFFSET(A$1,,,SUMPRODUCT(MAX(ROW(E$1:E1931)*(E1932=E$1:E1931))))))</f>
        <v>12</v>
      </c>
      <c r="K1932" s="15" t="n">
        <f aca="false">IF(OR(E1932="",E1932="!!!",F1932="NEW"),"",INDEX(J$1:J1931,SUMPRODUCT(MAX(ROW(E$1:E1931)*(E1932=E$1:E1931)))))</f>
        <v>6</v>
      </c>
      <c r="L1932" s="16"/>
    </row>
    <row r="1933" customFormat="false" ht="12.8" hidden="false" customHeight="false" outlineLevel="0" collapsed="false">
      <c r="A1933" s="0" t="s">
        <v>109</v>
      </c>
      <c r="E1933" s="10" t="str">
        <f aca="false">IF(D1933="?OLD","!!!","")</f>
        <v/>
      </c>
      <c r="F1933" s="11" t="str">
        <f aca="false">IF(OR(E1933="",E1933="!!!"),"",IF(NOT(ISNA(VLOOKUP(E1933,E$1:E1932,1,FALSE()))),"OLD",IF(AND(E1933&lt;&gt;"",E1933&lt;&gt;"!!!"),"NEW","")))</f>
        <v/>
      </c>
      <c r="G1933" s="12"/>
      <c r="H1933" s="13" t="str">
        <f aca="false">IF(J1933&lt;&gt;1,"",IF(I1933="SBJ","CB","?"))</f>
        <v/>
      </c>
      <c r="I1933" s="14" t="str">
        <f aca="false">IF(OR(E1933="",E1933="!!!",F1933="NEW"),"",INDEX(B$2:B1932,-1+SUMPRODUCT(MAX(ROW(E$2:E1932)*(E1933=E$2:E1932)))))</f>
        <v/>
      </c>
      <c r="J1933" s="15" t="str">
        <f aca="true">IF(OR(E1933="",E1933="!!!",F1933="NEW"),"",COUNTBLANK(OFFSET(A$1,,,SUMPRODUCT(MAX(ROW(E$2:E1933)*(E1933=E$2:E1933)))))-COUNTBLANK(OFFSET(A$1,,,SUMPRODUCT(MAX(ROW(E$1:E1932)*(E1933=E$1:E1932))))))</f>
        <v/>
      </c>
      <c r="K1933" s="15" t="str">
        <f aca="false">IF(OR(E1933="",E1933="!!!",F1933="NEW"),"",INDEX(J$1:J1932,SUMPRODUCT(MAX(ROW(E$1:E1932)*(E1933=E$1:E1932)))))</f>
        <v/>
      </c>
      <c r="L1933" s="16"/>
    </row>
    <row r="1934" customFormat="false" ht="12.8" hidden="false" customHeight="false" outlineLevel="0" collapsed="false">
      <c r="A1934" s="0" t="s">
        <v>868</v>
      </c>
      <c r="E1934" s="10" t="str">
        <f aca="false">IF(D1934="?OLD","!!!","")</f>
        <v/>
      </c>
      <c r="F1934" s="11" t="str">
        <f aca="false">IF(OR(E1934="",E1934="!!!"),"",IF(NOT(ISNA(VLOOKUP(E1934,E$1:E1933,1,FALSE()))),"OLD",IF(AND(E1934&lt;&gt;"",E1934&lt;&gt;"!!!"),"NEW","")))</f>
        <v/>
      </c>
      <c r="G1934" s="12" t="str">
        <f aca="false">IF(OR(E1934="",E1934="!!!"),"",IF(OR(J1934=0,AND(J1934=1,K1934=1),AND(J1934=1,I1934="SBJ"),AND(J1934=1,I1934=0)),"?IN_FOCUS",IF(J1934&lt;=2,"?ACTIVATED",IF(J1934&lt;&gt;"","?FAMILIAR",IF(F1934="NEW",IF(ISNA(VLOOKUP(E1934,#REF!,1,FALSE())),"?TYPE_IDENTIFIABLE","?REFERENTIAL"),"_")))))</f>
        <v/>
      </c>
      <c r="H1934" s="13" t="str">
        <f aca="false">IF(J1934&lt;&gt;1,"",IF(I1934="SBJ","CB","?"))</f>
        <v/>
      </c>
      <c r="I1934" s="14" t="str">
        <f aca="false">IF(OR(E1934="",E1934="!!!",F1934="NEW"),"",INDEX(B$2:B1933,-1+SUMPRODUCT(MAX(ROW(E$2:E1933)*(E1934=E$2:E1933)))))</f>
        <v/>
      </c>
      <c r="J1934" s="15" t="str">
        <f aca="true">IF(OR(E1934="",E1934="!!!",F1934="NEW"),"",COUNTBLANK(OFFSET(A$1,,,SUMPRODUCT(MAX(ROW(E$2:E1934)*(E1934=E$2:E1934)))))-COUNTBLANK(OFFSET(A$1,,,SUMPRODUCT(MAX(ROW(E$1:E1933)*(E1934=E$1:E1933))))))</f>
        <v/>
      </c>
      <c r="K1934" s="15" t="str">
        <f aca="false">IF(OR(E1934="",E1934="!!!",F1934="NEW"),"",INDEX(J$1:J1933,SUMPRODUCT(MAX(ROW(E$1:E1933)*(E1934=E$1:E1933)))))</f>
        <v/>
      </c>
      <c r="L1934" s="16"/>
    </row>
    <row r="1935" customFormat="false" ht="12.8" hidden="false" customHeight="false" outlineLevel="0" collapsed="false">
      <c r="A1935" s="0" t="s">
        <v>51</v>
      </c>
      <c r="E1935" s="10" t="str">
        <f aca="false">IF(D1935="?OLD","!!!","")</f>
        <v/>
      </c>
      <c r="F1935" s="11" t="str">
        <f aca="false">IF(OR(E1935="",E1935="!!!"),"",IF(NOT(ISNA(VLOOKUP(E1935,E$1:E1934,1,FALSE()))),"OLD",IF(AND(E1935&lt;&gt;"",E1935&lt;&gt;"!!!"),"NEW","")))</f>
        <v/>
      </c>
      <c r="G1935" s="12" t="str">
        <f aca="false">IF(OR(E1935="",E1935="!!!"),"",IF(OR(J1935=0,AND(J1935=1,K1935=1),AND(J1935=1,I1935="SBJ"),AND(J1935=1,I1935=0)),"?IN_FOCUS",IF(J1935&lt;=2,"?ACTIVATED",IF(J1935&lt;&gt;"","?FAMILIAR",IF(F1935="NEW",IF(ISNA(VLOOKUP(E1935,#REF!,1,FALSE())),"?TYPE_IDENTIFIABLE","?REFERENTIAL"),"_")))))</f>
        <v/>
      </c>
      <c r="H1935" s="13" t="str">
        <f aca="false">IF(J1935&lt;&gt;1,"",IF(I1935="SBJ","CB","?"))</f>
        <v/>
      </c>
      <c r="I1935" s="14" t="str">
        <f aca="false">IF(OR(E1935="",E1935="!!!",F1935="NEW"),"",INDEX(B$2:B1934,-1+SUMPRODUCT(MAX(ROW(E$2:E1934)*(E1935=E$2:E1934)))))</f>
        <v/>
      </c>
      <c r="J1935" s="15" t="str">
        <f aca="true">IF(OR(E1935="",E1935="!!!",F1935="NEW"),"",COUNTBLANK(OFFSET(A$1,,,SUMPRODUCT(MAX(ROW(E$2:E1935)*(E1935=E$2:E1935)))))-COUNTBLANK(OFFSET(A$1,,,SUMPRODUCT(MAX(ROW(E$1:E1934)*(E1935=E$1:E1934))))))</f>
        <v/>
      </c>
      <c r="K1935" s="15" t="str">
        <f aca="false">IF(OR(E1935="",E1935="!!!",F1935="NEW"),"",INDEX(J$1:J1934,SUMPRODUCT(MAX(ROW(E$1:E1934)*(E1935=E$1:E1934)))))</f>
        <v/>
      </c>
      <c r="L1935" s="16"/>
    </row>
    <row r="1936" customFormat="false" ht="12.8" hidden="false" customHeight="false" outlineLevel="0" collapsed="false">
      <c r="A1936" s="0" t="s">
        <v>511</v>
      </c>
      <c r="E1936" s="10" t="str">
        <f aca="false">IF(D1936="?OLD","!!!","")</f>
        <v/>
      </c>
      <c r="F1936" s="11" t="str">
        <f aca="false">IF(OR(E1936="",E1936="!!!"),"",IF(NOT(ISNA(VLOOKUP(E1936,E$1:E1935,1,FALSE()))),"OLD",IF(AND(E1936&lt;&gt;"",E1936&lt;&gt;"!!!"),"NEW","")))</f>
        <v/>
      </c>
      <c r="G1936" s="12" t="str">
        <f aca="false">IF(OR(E1936="",E1936="!!!"),"",IF(OR(J1936=0,AND(J1936=1,K1936=1),AND(J1936=1,I1936="SBJ"),AND(J1936=1,I1936=0)),"?IN_FOCUS",IF(J1936&lt;=2,"?ACTIVATED",IF(J1936&lt;&gt;"","?FAMILIAR",IF(F1936="NEW",IF(ISNA(VLOOKUP(E1936,#REF!,1,FALSE())),"?TYPE_IDENTIFIABLE","?REFERENTIAL"),"_")))))</f>
        <v/>
      </c>
      <c r="H1936" s="13" t="str">
        <f aca="false">IF(J1936&lt;&gt;1,"",IF(I1936="SBJ","CB","?"))</f>
        <v/>
      </c>
      <c r="I1936" s="14" t="str">
        <f aca="false">IF(OR(E1936="",E1936="!!!",F1936="NEW"),"",INDEX(B$2:B1935,-1+SUMPRODUCT(MAX(ROW(E$2:E1935)*(E1936=E$2:E1935)))))</f>
        <v/>
      </c>
      <c r="J1936" s="15" t="str">
        <f aca="true">IF(OR(E1936="",E1936="!!!",F1936="NEW"),"",COUNTBLANK(OFFSET(A$1,,,SUMPRODUCT(MAX(ROW(E$2:E1936)*(E1936=E$2:E1936)))))-COUNTBLANK(OFFSET(A$1,,,SUMPRODUCT(MAX(ROW(E$1:E1935)*(E1936=E$1:E1935))))))</f>
        <v/>
      </c>
      <c r="K1936" s="15" t="str">
        <f aca="false">IF(OR(E1936="",E1936="!!!",F1936="NEW"),"",INDEX(J$1:J1935,SUMPRODUCT(MAX(ROW(E$1:E1935)*(E1936=E$1:E1935)))))</f>
        <v/>
      </c>
      <c r="L1936" s="16"/>
    </row>
    <row r="1937" customFormat="false" ht="12.8" hidden="false" customHeight="false" outlineLevel="0" collapsed="false">
      <c r="A1937" s="0" t="s">
        <v>37</v>
      </c>
      <c r="E1937" s="10" t="str">
        <f aca="false">IF(D1937="?OLD","!!!","")</f>
        <v/>
      </c>
      <c r="F1937" s="11" t="str">
        <f aca="false">IF(OR(E1937="",E1937="!!!"),"",IF(NOT(ISNA(VLOOKUP(E1937,E$1:E1936,1,FALSE()))),"OLD",IF(AND(E1937&lt;&gt;"",E1937&lt;&gt;"!!!"),"NEW","")))</f>
        <v/>
      </c>
      <c r="G1937" s="12" t="str">
        <f aca="false">IF(OR(E1937="",E1937="!!!"),"",IF(OR(J1937=0,AND(J1937=1,K1937=1),AND(J1937=1,I1937="SBJ"),AND(J1937=1,I1937=0)),"?IN_FOCUS",IF(J1937&lt;=2,"?ACTIVATED",IF(J1937&lt;&gt;"","?FAMILIAR",IF(F1937="NEW",IF(ISNA(VLOOKUP(E1937,#REF!,1,FALSE())),"?TYPE_IDENTIFIABLE","?REFERENTIAL"),"_")))))</f>
        <v/>
      </c>
      <c r="H1937" s="13" t="str">
        <f aca="false">IF(J1937&lt;&gt;1,"",IF(I1937="SBJ","CB","?"))</f>
        <v/>
      </c>
      <c r="I1937" s="14" t="str">
        <f aca="false">IF(OR(E1937="",E1937="!!!",F1937="NEW"),"",INDEX(B$2:B1936,-1+SUMPRODUCT(MAX(ROW(E$2:E1936)*(E1937=E$2:E1936)))))</f>
        <v/>
      </c>
      <c r="J1937" s="15" t="str">
        <f aca="true">IF(OR(E1937="",E1937="!!!",F1937="NEW"),"",COUNTBLANK(OFFSET(A$1,,,SUMPRODUCT(MAX(ROW(E$2:E1937)*(E1937=E$2:E1937)))))-COUNTBLANK(OFFSET(A$1,,,SUMPRODUCT(MAX(ROW(E$1:E1936)*(E1937=E$1:E1936))))))</f>
        <v/>
      </c>
      <c r="K1937" s="15" t="str">
        <f aca="false">IF(OR(E1937="",E1937="!!!",F1937="NEW"),"",INDEX(J$1:J1936,SUMPRODUCT(MAX(ROW(E$1:E1936)*(E1937=E$1:E1936)))))</f>
        <v/>
      </c>
      <c r="L1937" s="16"/>
    </row>
    <row r="1938" customFormat="false" ht="12.8" hidden="false" customHeight="false" outlineLevel="0" collapsed="false">
      <c r="A1938" s="0" t="s">
        <v>869</v>
      </c>
      <c r="E1938" s="10" t="str">
        <f aca="false">IF(D1938="?OLD","!!!","")</f>
        <v/>
      </c>
      <c r="F1938" s="11" t="str">
        <f aca="false">IF(OR(E1938="",E1938="!!!"),"",IF(NOT(ISNA(VLOOKUP(E1938,E$1:E1937,1,FALSE()))),"OLD",IF(AND(E1938&lt;&gt;"",E1938&lt;&gt;"!!!"),"NEW","")))</f>
        <v/>
      </c>
      <c r="G1938" s="12" t="str">
        <f aca="false">IF(OR(E1938="",E1938="!!!"),"",IF(OR(J1938=0,AND(J1938=1,K1938=1),AND(J1938=1,I1938="SBJ"),AND(J1938=1,I1938=0)),"?IN_FOCUS",IF(J1938&lt;=2,"?ACTIVATED",IF(J1938&lt;&gt;"","?FAMILIAR",IF(F1938="NEW",IF(ISNA(VLOOKUP(E1938,#REF!,1,FALSE())),"?TYPE_IDENTIFIABLE","?REFERENTIAL"),"_")))))</f>
        <v/>
      </c>
      <c r="H1938" s="13" t="str">
        <f aca="false">IF(J1938&lt;&gt;1,"",IF(I1938="SBJ","CB","?"))</f>
        <v/>
      </c>
      <c r="I1938" s="14" t="str">
        <f aca="false">IF(OR(E1938="",E1938="!!!",F1938="NEW"),"",INDEX(B$2:B1937,-1+SUMPRODUCT(MAX(ROW(E$2:E1937)*(E1938=E$2:E1937)))))</f>
        <v/>
      </c>
      <c r="J1938" s="15" t="str">
        <f aca="true">IF(OR(E1938="",E1938="!!!",F1938="NEW"),"",COUNTBLANK(OFFSET(A$1,,,SUMPRODUCT(MAX(ROW(E$2:E1938)*(E1938=E$2:E1938)))))-COUNTBLANK(OFFSET(A$1,,,SUMPRODUCT(MAX(ROW(E$1:E1937)*(E1938=E$1:E1937))))))</f>
        <v/>
      </c>
      <c r="K1938" s="15" t="str">
        <f aca="false">IF(OR(E1938="",E1938="!!!",F1938="NEW"),"",INDEX(J$1:J1937,SUMPRODUCT(MAX(ROW(E$1:E1937)*(E1938=E$1:E1937)))))</f>
        <v/>
      </c>
      <c r="L1938" s="16"/>
    </row>
    <row r="1939" customFormat="false" ht="35.05" hidden="false" customHeight="false" outlineLevel="0" collapsed="false">
      <c r="A1939" s="0" t="s">
        <v>230</v>
      </c>
      <c r="B1939" s="0" t="s">
        <v>47</v>
      </c>
      <c r="C1939" s="0" t="s">
        <v>31</v>
      </c>
      <c r="E1939" s="10" t="s">
        <v>870</v>
      </c>
      <c r="F1939" s="11" t="str">
        <f aca="false">IF(OR(E1939="",E1939="!!!"),"",IF(NOT(ISNA(VLOOKUP(E1939,E$1:E1938,1,FALSE()))),"OLD",IF(AND(E1939&lt;&gt;"",E1939&lt;&gt;"!!!"),"NEW","")))</f>
        <v>NEW</v>
      </c>
      <c r="G1939" s="12" t="s">
        <v>131</v>
      </c>
      <c r="H1939" s="13" t="str">
        <f aca="false">IF(J1939&lt;&gt;1,"",IF(I1939="SBJ","CB","?"))</f>
        <v/>
      </c>
      <c r="I1939" s="14" t="str">
        <f aca="false">IF(OR(E1939="",E1939="!!!",F1939="NEW"),"",INDEX(B$2:B1938,-1+SUMPRODUCT(MAX(ROW(E$2:E1938)*(E1939=E$2:E1938)))))</f>
        <v/>
      </c>
      <c r="J1939" s="15" t="str">
        <f aca="true">IF(OR(E1939="",E1939="!!!",F1939="NEW"),"",COUNTBLANK(OFFSET(A$1,,,SUMPRODUCT(MAX(ROW(E$2:E1939)*(E1939=E$2:E1939)))))-COUNTBLANK(OFFSET(A$1,,,SUMPRODUCT(MAX(ROW(E$1:E1938)*(E1939=E$1:E1938))))))</f>
        <v/>
      </c>
      <c r="K1939" s="15" t="str">
        <f aca="false">IF(OR(E1939="",E1939="!!!",F1939="NEW"),"",INDEX(J$1:J1938,SUMPRODUCT(MAX(ROW(E$1:E1938)*(E1939=E$1:E1938)))))</f>
        <v/>
      </c>
      <c r="L1939" s="16" t="s">
        <v>871</v>
      </c>
    </row>
    <row r="1940" customFormat="false" ht="12.8" hidden="false" customHeight="false" outlineLevel="0" collapsed="false">
      <c r="A1940" s="0" t="s">
        <v>39</v>
      </c>
      <c r="E1940" s="10" t="str">
        <f aca="false">IF(D1940="?OLD","!!!","")</f>
        <v/>
      </c>
      <c r="F1940" s="11" t="str">
        <f aca="false">IF(OR(E1940="",E1940="!!!"),"",IF(NOT(ISNA(VLOOKUP(E1940,E$1:E1939,1,FALSE()))),"OLD",IF(AND(E1940&lt;&gt;"",E1940&lt;&gt;"!!!"),"NEW","")))</f>
        <v/>
      </c>
      <c r="G1940" s="12" t="str">
        <f aca="false">IF(OR(E1940="",E1940="!!!"),"",IF(OR(J1940=0,AND(J1940=1,K1940=1),AND(J1940=1,I1940="SBJ"),AND(J1940=1,I1940=0)),"?IN_FOCUS",IF(J1940&lt;=2,"?ACTIVATED",IF(J1940&lt;&gt;"","?FAMILIAR",IF(F1940="NEW",IF(ISNA(VLOOKUP(E1940,#REF!,1,FALSE())),"?TYPE_IDENTIFIABLE","?REFERENTIAL"),"_")))))</f>
        <v/>
      </c>
      <c r="H1940" s="13" t="str">
        <f aca="false">IF(J1940&lt;&gt;1,"",IF(I1940="SBJ","CB","?"))</f>
        <v/>
      </c>
      <c r="I1940" s="14" t="str">
        <f aca="false">IF(OR(E1940="",E1940="!!!",F1940="NEW"),"",INDEX(B$2:B1939,-1+SUMPRODUCT(MAX(ROW(E$2:E1939)*(E1940=E$2:E1939)))))</f>
        <v/>
      </c>
      <c r="J1940" s="15" t="str">
        <f aca="true">IF(OR(E1940="",E1940="!!!",F1940="NEW"),"",COUNTBLANK(OFFSET(A$1,,,SUMPRODUCT(MAX(ROW(E$2:E1940)*(E1940=E$2:E1940)))))-COUNTBLANK(OFFSET(A$1,,,SUMPRODUCT(MAX(ROW(E$1:E1939)*(E1940=E$1:E1939))))))</f>
        <v/>
      </c>
      <c r="K1940" s="15" t="str">
        <f aca="false">IF(OR(E1940="",E1940="!!!",F1940="NEW"),"",INDEX(J$1:J1939,SUMPRODUCT(MAX(ROW(E$1:E1939)*(E1940=E$1:E1939)))))</f>
        <v/>
      </c>
      <c r="L1940" s="16"/>
    </row>
    <row r="1941" customFormat="false" ht="12.8" hidden="false" customHeight="false" outlineLevel="0" collapsed="false">
      <c r="A1941" s="0" t="s">
        <v>240</v>
      </c>
      <c r="B1941" s="0" t="s">
        <v>96</v>
      </c>
      <c r="C1941" s="0" t="s">
        <v>215</v>
      </c>
      <c r="D1941" s="0" t="s">
        <v>20</v>
      </c>
      <c r="E1941" s="10" t="s">
        <v>92</v>
      </c>
      <c r="F1941" s="11" t="str">
        <f aca="false">IF(OR(E1941="",E1941="!!!"),"",IF(NOT(ISNA(VLOOKUP(E1941,E$1:E1940,1,FALSE()))),"OLD",IF(AND(E1941&lt;&gt;"",E1941&lt;&gt;"!!!"),"NEW","")))</f>
        <v>OLD</v>
      </c>
      <c r="G1941" s="12" t="s">
        <v>80</v>
      </c>
      <c r="H1941" s="13" t="str">
        <f aca="false">IF(J1941&lt;&gt;1,"",IF(I1941="SBJ","CB","?"))</f>
        <v/>
      </c>
      <c r="I1941" s="14" t="str">
        <f aca="false">IF(OR(E1941="",E1941="!!!",F1941="NEW"),"",INDEX(B$2:B1940,-1+SUMPRODUCT(MAX(ROW(E$2:E1940)*(E1941=E$2:E1940)))))</f>
        <v>SBJ_3</v>
      </c>
      <c r="J1941" s="15" t="n">
        <f aca="true">IF(OR(E1941="",E1941="!!!",F1941="NEW"),"",COUNTBLANK(OFFSET(A$1,,,SUMPRODUCT(MAX(ROW(E$2:E1941)*(E1941=E$2:E1941)))))-COUNTBLANK(OFFSET(A$1,,,SUMPRODUCT(MAX(ROW(E$1:E1940)*(E1941=E$1:E1940))))))</f>
        <v>2</v>
      </c>
      <c r="K1941" s="15" t="n">
        <f aca="false">IF(OR(E1941="",E1941="!!!",F1941="NEW"),"",INDEX(J$1:J1940,SUMPRODUCT(MAX(ROW(E$1:E1940)*(E1941=E$1:E1940)))))</f>
        <v>0</v>
      </c>
      <c r="L1941" s="16"/>
    </row>
    <row r="1942" customFormat="false" ht="12.8" hidden="false" customHeight="false" outlineLevel="0" collapsed="false">
      <c r="A1942" s="0" t="s">
        <v>44</v>
      </c>
      <c r="E1942" s="10" t="str">
        <f aca="false">IF(D1942="?OLD","!!!","")</f>
        <v/>
      </c>
      <c r="F1942" s="11" t="str">
        <f aca="false">IF(OR(E1942="",E1942="!!!"),"",IF(NOT(ISNA(VLOOKUP(E1942,E$1:E1941,1,FALSE()))),"OLD",IF(AND(E1942&lt;&gt;"",E1942&lt;&gt;"!!!"),"NEW","")))</f>
        <v/>
      </c>
      <c r="G1942" s="12" t="str">
        <f aca="false">IF(OR(E1942="",E1942="!!!"),"",IF(OR(J1942=0,AND(J1942=1,K1942=1),AND(J1942=1,I1942="SBJ"),AND(J1942=1,I1942=0)),"?IN_FOCUS",IF(J1942&lt;=2,"?ACTIVATED",IF(J1942&lt;&gt;"","?FAMILIAR",IF(F1942="NEW",IF(ISNA(VLOOKUP(E1942,#REF!,1,FALSE())),"?TYPE_IDENTIFIABLE","?REFERENTIAL"),"_")))))</f>
        <v/>
      </c>
      <c r="H1942" s="13" t="str">
        <f aca="false">IF(J1942&lt;&gt;1,"",IF(I1942="SBJ","CB","?"))</f>
        <v/>
      </c>
      <c r="I1942" s="14" t="str">
        <f aca="false">IF(OR(E1942="",E1942="!!!",F1942="NEW"),"",INDEX(B$2:B1941,-1+SUMPRODUCT(MAX(ROW(E$2:E1941)*(E1942=E$2:E1941)))))</f>
        <v/>
      </c>
      <c r="J1942" s="15" t="str">
        <f aca="true">IF(OR(E1942="",E1942="!!!",F1942="NEW"),"",COUNTBLANK(OFFSET(A$1,,,SUMPRODUCT(MAX(ROW(E$2:E1942)*(E1942=E$2:E1942)))))-COUNTBLANK(OFFSET(A$1,,,SUMPRODUCT(MAX(ROW(E$1:E1941)*(E1942=E$1:E1941))))))</f>
        <v/>
      </c>
      <c r="K1942" s="15" t="str">
        <f aca="false">IF(OR(E1942="",E1942="!!!",F1942="NEW"),"",INDEX(J$1:J1941,SUMPRODUCT(MAX(ROW(E$1:E1941)*(E1942=E$1:E1941)))))</f>
        <v/>
      </c>
      <c r="L1942" s="16"/>
    </row>
    <row r="1943" customFormat="false" ht="12.8" hidden="false" customHeight="false" outlineLevel="0" collapsed="false">
      <c r="A1943" s="0" t="s">
        <v>218</v>
      </c>
      <c r="E1943" s="10" t="str">
        <f aca="false">IF(D1943="?OLD","!!!","")</f>
        <v/>
      </c>
      <c r="F1943" s="11" t="str">
        <f aca="false">IF(OR(E1943="",E1943="!!!"),"",IF(NOT(ISNA(VLOOKUP(E1943,E$1:E1942,1,FALSE()))),"OLD",IF(AND(E1943&lt;&gt;"",E1943&lt;&gt;"!!!"),"NEW","")))</f>
        <v/>
      </c>
      <c r="G1943" s="12" t="str">
        <f aca="false">IF(OR(E1943="",E1943="!!!"),"",IF(OR(J1943=0,AND(J1943=1,K1943=1),AND(J1943=1,I1943="SBJ"),AND(J1943=1,I1943=0)),"?IN_FOCUS",IF(J1943&lt;=2,"?ACTIVATED",IF(J1943&lt;&gt;"","?FAMILIAR",IF(F1943="NEW",IF(ISNA(VLOOKUP(E1943,#REF!,1,FALSE())),"?TYPE_IDENTIFIABLE","?REFERENTIAL"),"_")))))</f>
        <v/>
      </c>
      <c r="H1943" s="13" t="str">
        <f aca="false">IF(J1943&lt;&gt;1,"",IF(I1943="SBJ","CB","?"))</f>
        <v/>
      </c>
      <c r="I1943" s="14" t="str">
        <f aca="false">IF(OR(E1943="",E1943="!!!",F1943="NEW"),"",INDEX(B$2:B1942,-1+SUMPRODUCT(MAX(ROW(E$2:E1942)*(E1943=E$2:E1942)))))</f>
        <v/>
      </c>
      <c r="J1943" s="15" t="str">
        <f aca="true">IF(OR(E1943="",E1943="!!!",F1943="NEW"),"",COUNTBLANK(OFFSET(A$1,,,SUMPRODUCT(MAX(ROW(E$2:E1943)*(E1943=E$2:E1943)))))-COUNTBLANK(OFFSET(A$1,,,SUMPRODUCT(MAX(ROW(E$1:E1942)*(E1943=E$1:E1942))))))</f>
        <v/>
      </c>
      <c r="K1943" s="15" t="str">
        <f aca="false">IF(OR(E1943="",E1943="!!!",F1943="NEW"),"",INDEX(J$1:J1942,SUMPRODUCT(MAX(ROW(E$1:E1942)*(E1943=E$1:E1942)))))</f>
        <v/>
      </c>
      <c r="L1943" s="16"/>
    </row>
    <row r="1944" customFormat="false" ht="12.8" hidden="false" customHeight="false" outlineLevel="0" collapsed="false">
      <c r="A1944" s="0" t="s">
        <v>872</v>
      </c>
      <c r="E1944" s="10" t="str">
        <f aca="false">IF(D1944="?OLD","!!!","")</f>
        <v/>
      </c>
      <c r="F1944" s="11" t="str">
        <f aca="false">IF(OR(E1944="",E1944="!!!"),"",IF(NOT(ISNA(VLOOKUP(E1944,E$1:E1943,1,FALSE()))),"OLD",IF(AND(E1944&lt;&gt;"",E1944&lt;&gt;"!!!"),"NEW","")))</f>
        <v/>
      </c>
      <c r="G1944" s="12" t="str">
        <f aca="false">IF(OR(E1944="",E1944="!!!"),"",IF(OR(J1944=0,AND(J1944=1,K1944=1),AND(J1944=1,I1944="SBJ"),AND(J1944=1,I1944=0)),"?IN_FOCUS",IF(J1944&lt;=2,"?ACTIVATED",IF(J1944&lt;&gt;"","?FAMILIAR",IF(F1944="NEW",IF(ISNA(VLOOKUP(E1944,#REF!,1,FALSE())),"?TYPE_IDENTIFIABLE","?REFERENTIAL"),"_")))))</f>
        <v/>
      </c>
      <c r="H1944" s="13" t="str">
        <f aca="false">IF(J1944&lt;&gt;1,"",IF(I1944="SBJ","CB","?"))</f>
        <v/>
      </c>
      <c r="I1944" s="14" t="str">
        <f aca="false">IF(OR(E1944="",E1944="!!!",F1944="NEW"),"",INDEX(B$2:B1943,-1+SUMPRODUCT(MAX(ROW(E$2:E1943)*(E1944=E$2:E1943)))))</f>
        <v/>
      </c>
      <c r="J1944" s="15" t="str">
        <f aca="true">IF(OR(E1944="",E1944="!!!",F1944="NEW"),"",COUNTBLANK(OFFSET(A$1,,,SUMPRODUCT(MAX(ROW(E$2:E1944)*(E1944=E$2:E1944)))))-COUNTBLANK(OFFSET(A$1,,,SUMPRODUCT(MAX(ROW(E$1:E1943)*(E1944=E$1:E1943))))))</f>
        <v/>
      </c>
      <c r="K1944" s="15" t="str">
        <f aca="false">IF(OR(E1944="",E1944="!!!",F1944="NEW"),"",INDEX(J$1:J1943,SUMPRODUCT(MAX(ROW(E$1:E1943)*(E1944=E$1:E1943)))))</f>
        <v/>
      </c>
      <c r="L1944" s="16"/>
    </row>
    <row r="1945" customFormat="false" ht="12.8" hidden="false" customHeight="false" outlineLevel="0" collapsed="false">
      <c r="A1945" s="0" t="s">
        <v>240</v>
      </c>
      <c r="B1945" s="0" t="s">
        <v>53</v>
      </c>
      <c r="C1945" s="0" t="s">
        <v>215</v>
      </c>
      <c r="D1945" s="0" t="s">
        <v>20</v>
      </c>
      <c r="E1945" s="10" t="s">
        <v>92</v>
      </c>
      <c r="F1945" s="11" t="str">
        <f aca="false">IF(OR(E1945="",E1945="!!!"),"",IF(NOT(ISNA(VLOOKUP(E1945,E$1:E1944,1,FALSE()))),"OLD",IF(AND(E1945&lt;&gt;"",E1945&lt;&gt;"!!!"),"NEW","")))</f>
        <v>OLD</v>
      </c>
      <c r="G1945" s="12" t="s">
        <v>87</v>
      </c>
      <c r="H1945" s="13" t="str">
        <f aca="false">IF(J1945&lt;&gt;1,"",IF(I1945="SBJ","CB","?"))</f>
        <v/>
      </c>
      <c r="I1945" s="14" t="str">
        <f aca="false">IF(OR(E1945="",E1945="!!!",F1945="NEW"),"",INDEX(B$2:B1944,-1+SUMPRODUCT(MAX(ROW(E$2:E1944)*(E1945=E$2:E1944)))))</f>
        <v>other_3</v>
      </c>
      <c r="J1945" s="15" t="n">
        <f aca="true">IF(OR(E1945="",E1945="!!!",F1945="NEW"),"",COUNTBLANK(OFFSET(A$1,,,SUMPRODUCT(MAX(ROW(E$2:E1945)*(E1945=E$2:E1945)))))-COUNTBLANK(OFFSET(A$1,,,SUMPRODUCT(MAX(ROW(E$1:E1944)*(E1945=E$1:E1944))))))</f>
        <v>0</v>
      </c>
      <c r="K1945" s="15" t="n">
        <f aca="false">IF(OR(E1945="",E1945="!!!",F1945="NEW"),"",INDEX(J$1:J1944,SUMPRODUCT(MAX(ROW(E$1:E1944)*(E1945=E$1:E1944)))))</f>
        <v>2</v>
      </c>
      <c r="L1945" s="16"/>
    </row>
    <row r="1946" customFormat="false" ht="12.8" hidden="false" customHeight="false" outlineLevel="0" collapsed="false">
      <c r="A1946" s="0" t="s">
        <v>37</v>
      </c>
      <c r="E1946" s="10" t="str">
        <f aca="false">IF(D1946="?OLD","!!!","")</f>
        <v/>
      </c>
      <c r="F1946" s="11" t="str">
        <f aca="false">IF(OR(E1946="",E1946="!!!"),"",IF(NOT(ISNA(VLOOKUP(E1946,E$1:E1945,1,FALSE()))),"OLD",IF(AND(E1946&lt;&gt;"",E1946&lt;&gt;"!!!"),"NEW","")))</f>
        <v/>
      </c>
      <c r="G1946" s="12" t="str">
        <f aca="false">IF(OR(E1946="",E1946="!!!"),"",IF(OR(J1946=0,AND(J1946=1,K1946=1),AND(J1946=1,I1946="SBJ"),AND(J1946=1,I1946=0)),"?IN_FOCUS",IF(J1946&lt;=2,"?ACTIVATED",IF(J1946&lt;&gt;"","?FAMILIAR",IF(F1946="NEW",IF(ISNA(VLOOKUP(E1946,#REF!,1,FALSE())),"?TYPE_IDENTIFIABLE","?REFERENTIAL"),"_")))))</f>
        <v/>
      </c>
      <c r="H1946" s="13" t="str">
        <f aca="false">IF(J1946&lt;&gt;1,"",IF(I1946="SBJ","CB","?"))</f>
        <v/>
      </c>
      <c r="I1946" s="14" t="str">
        <f aca="false">IF(OR(E1946="",E1946="!!!",F1946="NEW"),"",INDEX(B$2:B1945,-1+SUMPRODUCT(MAX(ROW(E$2:E1945)*(E1946=E$2:E1945)))))</f>
        <v/>
      </c>
      <c r="J1946" s="15" t="str">
        <f aca="true">IF(OR(E1946="",E1946="!!!",F1946="NEW"),"",COUNTBLANK(OFFSET(A$1,,,SUMPRODUCT(MAX(ROW(E$2:E1946)*(E1946=E$2:E1946)))))-COUNTBLANK(OFFSET(A$1,,,SUMPRODUCT(MAX(ROW(E$1:E1945)*(E1946=E$1:E1945))))))</f>
        <v/>
      </c>
      <c r="K1946" s="15" t="str">
        <f aca="false">IF(OR(E1946="",E1946="!!!",F1946="NEW"),"",INDEX(J$1:J1945,SUMPRODUCT(MAX(ROW(E$1:E1945)*(E1946=E$1:E1945)))))</f>
        <v/>
      </c>
      <c r="L1946" s="16"/>
    </row>
    <row r="1947" customFormat="false" ht="12.8" hidden="false" customHeight="false" outlineLevel="0" collapsed="false">
      <c r="A1947" s="0" t="s">
        <v>873</v>
      </c>
      <c r="E1947" s="10" t="str">
        <f aca="false">IF(D1947="?OLD","!!!","")</f>
        <v/>
      </c>
      <c r="F1947" s="11" t="str">
        <f aca="false">IF(OR(E1947="",E1947="!!!"),"",IF(NOT(ISNA(VLOOKUP(E1947,E$1:E1946,1,FALSE()))),"OLD",IF(AND(E1947&lt;&gt;"",E1947&lt;&gt;"!!!"),"NEW","")))</f>
        <v/>
      </c>
      <c r="G1947" s="12" t="str">
        <f aca="false">IF(OR(E1947="",E1947="!!!"),"",IF(OR(J1947=0,AND(J1947=1,K1947=1),AND(J1947=1,I1947="SBJ"),AND(J1947=1,I1947=0)),"?IN_FOCUS",IF(J1947&lt;=2,"?ACTIVATED",IF(J1947&lt;&gt;"","?FAMILIAR",IF(F1947="NEW",IF(ISNA(VLOOKUP(E1947,#REF!,1,FALSE())),"?TYPE_IDENTIFIABLE","?REFERENTIAL"),"_")))))</f>
        <v/>
      </c>
      <c r="H1947" s="13" t="str">
        <f aca="false">IF(J1947&lt;&gt;1,"",IF(I1947="SBJ","CB","?"))</f>
        <v/>
      </c>
      <c r="I1947" s="14" t="str">
        <f aca="false">IF(OR(E1947="",E1947="!!!",F1947="NEW"),"",INDEX(B$2:B1946,-1+SUMPRODUCT(MAX(ROW(E$2:E1946)*(E1947=E$2:E1946)))))</f>
        <v/>
      </c>
      <c r="J1947" s="15" t="str">
        <f aca="true">IF(OR(E1947="",E1947="!!!",F1947="NEW"),"",COUNTBLANK(OFFSET(A$1,,,SUMPRODUCT(MAX(ROW(E$2:E1947)*(E1947=E$2:E1947)))))-COUNTBLANK(OFFSET(A$1,,,SUMPRODUCT(MAX(ROW(E$1:E1946)*(E1947=E$1:E1946))))))</f>
        <v/>
      </c>
      <c r="K1947" s="15" t="str">
        <f aca="false">IF(OR(E1947="",E1947="!!!",F1947="NEW"),"",INDEX(J$1:J1946,SUMPRODUCT(MAX(ROW(E$1:E1946)*(E1947=E$1:E1946)))))</f>
        <v/>
      </c>
      <c r="L1947" s="16"/>
    </row>
    <row r="1948" customFormat="false" ht="12.8" hidden="false" customHeight="false" outlineLevel="0" collapsed="false">
      <c r="A1948" s="0" t="s">
        <v>515</v>
      </c>
      <c r="E1948" s="10" t="str">
        <f aca="false">IF(D1948="?OLD","!!!","")</f>
        <v/>
      </c>
      <c r="F1948" s="11" t="str">
        <f aca="false">IF(OR(E1948="",E1948="!!!"),"",IF(NOT(ISNA(VLOOKUP(E1948,E$1:E1947,1,FALSE()))),"OLD",IF(AND(E1948&lt;&gt;"",E1948&lt;&gt;"!!!"),"NEW","")))</f>
        <v/>
      </c>
      <c r="G1948" s="12" t="str">
        <f aca="false">IF(OR(E1948="",E1948="!!!"),"",IF(OR(J1948=0,AND(J1948=1,K1948=1),AND(J1948=1,I1948="SBJ"),AND(J1948=1,I1948=0)),"?IN_FOCUS",IF(J1948&lt;=2,"?ACTIVATED",IF(J1948&lt;&gt;"","?FAMILIAR",IF(F1948="NEW",IF(ISNA(VLOOKUP(E1948,#REF!,1,FALSE())),"?TYPE_IDENTIFIABLE","?REFERENTIAL"),"_")))))</f>
        <v/>
      </c>
      <c r="H1948" s="13" t="str">
        <f aca="false">IF(J1948&lt;&gt;1,"",IF(I1948="SBJ","CB","?"))</f>
        <v/>
      </c>
      <c r="I1948" s="14" t="str">
        <f aca="false">IF(OR(E1948="",E1948="!!!",F1948="NEW"),"",INDEX(B$2:B1947,-1+SUMPRODUCT(MAX(ROW(E$2:E1947)*(E1948=E$2:E1947)))))</f>
        <v/>
      </c>
      <c r="J1948" s="15" t="str">
        <f aca="true">IF(OR(E1948="",E1948="!!!",F1948="NEW"),"",COUNTBLANK(OFFSET(A$1,,,SUMPRODUCT(MAX(ROW(E$2:E1948)*(E1948=E$2:E1948)))))-COUNTBLANK(OFFSET(A$1,,,SUMPRODUCT(MAX(ROW(E$1:E1947)*(E1948=E$1:E1947))))))</f>
        <v/>
      </c>
      <c r="K1948" s="15" t="str">
        <f aca="false">IF(OR(E1948="",E1948="!!!",F1948="NEW"),"",INDEX(J$1:J1947,SUMPRODUCT(MAX(ROW(E$1:E1947)*(E1948=E$1:E1947)))))</f>
        <v/>
      </c>
      <c r="L1948" s="16"/>
    </row>
    <row r="1949" customFormat="false" ht="12.8" hidden="false" customHeight="false" outlineLevel="0" collapsed="false">
      <c r="A1949" s="0" t="s">
        <v>874</v>
      </c>
      <c r="E1949" s="10" t="str">
        <f aca="false">IF(D1949="?OLD","!!!","")</f>
        <v/>
      </c>
      <c r="F1949" s="11" t="str">
        <f aca="false">IF(OR(E1949="",E1949="!!!"),"",IF(NOT(ISNA(VLOOKUP(E1949,E$1:E1948,1,FALSE()))),"OLD",IF(AND(E1949&lt;&gt;"",E1949&lt;&gt;"!!!"),"NEW","")))</f>
        <v/>
      </c>
      <c r="G1949" s="12" t="str">
        <f aca="false">IF(OR(E1949="",E1949="!!!"),"",IF(OR(J1949=0,AND(J1949=1,K1949=1),AND(J1949=1,I1949="SBJ"),AND(J1949=1,I1949=0)),"?IN_FOCUS",IF(J1949&lt;=2,"?ACTIVATED",IF(J1949&lt;&gt;"","?FAMILIAR",IF(F1949="NEW",IF(ISNA(VLOOKUP(E1949,#REF!,1,FALSE())),"?TYPE_IDENTIFIABLE","?REFERENTIAL"),"_")))))</f>
        <v/>
      </c>
      <c r="H1949" s="13" t="str">
        <f aca="false">IF(J1949&lt;&gt;1,"",IF(I1949="SBJ","CB","?"))</f>
        <v/>
      </c>
      <c r="I1949" s="14" t="str">
        <f aca="false">IF(OR(E1949="",E1949="!!!",F1949="NEW"),"",INDEX(B$2:B1948,-1+SUMPRODUCT(MAX(ROW(E$2:E1948)*(E1949=E$2:E1948)))))</f>
        <v/>
      </c>
      <c r="J1949" s="15" t="str">
        <f aca="true">IF(OR(E1949="",E1949="!!!",F1949="NEW"),"",COUNTBLANK(OFFSET(A$1,,,SUMPRODUCT(MAX(ROW(E$2:E1949)*(E1949=E$2:E1949)))))-COUNTBLANK(OFFSET(A$1,,,SUMPRODUCT(MAX(ROW(E$1:E1948)*(E1949=E$1:E1948))))))</f>
        <v/>
      </c>
      <c r="K1949" s="15" t="str">
        <f aca="false">IF(OR(E1949="",E1949="!!!",F1949="NEW"),"",INDEX(J$1:J1948,SUMPRODUCT(MAX(ROW(E$1:E1948)*(E1949=E$1:E1948)))))</f>
        <v/>
      </c>
      <c r="L1949" s="16"/>
    </row>
    <row r="1950" customFormat="false" ht="12.8" hidden="false" customHeight="false" outlineLevel="0" collapsed="false">
      <c r="A1950" s="0" t="s">
        <v>875</v>
      </c>
      <c r="E1950" s="10" t="str">
        <f aca="false">IF(D1950="?OLD","!!!","")</f>
        <v/>
      </c>
      <c r="F1950" s="11" t="str">
        <f aca="false">IF(OR(E1950="",E1950="!!!"),"",IF(NOT(ISNA(VLOOKUP(E1950,E$1:E1949,1,FALSE()))),"OLD",IF(AND(E1950&lt;&gt;"",E1950&lt;&gt;"!!!"),"NEW","")))</f>
        <v/>
      </c>
      <c r="G1950" s="12" t="str">
        <f aca="false">IF(OR(E1950="",E1950="!!!"),"",IF(OR(J1950=0,AND(J1950=1,K1950=1),AND(J1950=1,I1950="SBJ"),AND(J1950=1,I1950=0)),"?IN_FOCUS",IF(J1950&lt;=2,"?ACTIVATED",IF(J1950&lt;&gt;"","?FAMILIAR",IF(F1950="NEW",IF(ISNA(VLOOKUP(E1950,#REF!,1,FALSE())),"?TYPE_IDENTIFIABLE","?REFERENTIAL"),"_")))))</f>
        <v/>
      </c>
      <c r="H1950" s="13" t="str">
        <f aca="false">IF(J1950&lt;&gt;1,"",IF(I1950="SBJ","CB","?"))</f>
        <v/>
      </c>
      <c r="I1950" s="14" t="str">
        <f aca="false">IF(OR(E1950="",E1950="!!!",F1950="NEW"),"",INDEX(B$2:B1949,-1+SUMPRODUCT(MAX(ROW(E$2:E1949)*(E1950=E$2:E1949)))))</f>
        <v/>
      </c>
      <c r="J1950" s="15" t="str">
        <f aca="true">IF(OR(E1950="",E1950="!!!",F1950="NEW"),"",COUNTBLANK(OFFSET(A$1,,,SUMPRODUCT(MAX(ROW(E$2:E1950)*(E1950=E$2:E1950)))))-COUNTBLANK(OFFSET(A$1,,,SUMPRODUCT(MAX(ROW(E$1:E1949)*(E1950=E$1:E1949))))))</f>
        <v/>
      </c>
      <c r="K1950" s="15" t="str">
        <f aca="false">IF(OR(E1950="",E1950="!!!",F1950="NEW"),"",INDEX(J$1:J1949,SUMPRODUCT(MAX(ROW(E$1:E1949)*(E1950=E$1:E1949)))))</f>
        <v/>
      </c>
      <c r="L1950" s="16"/>
    </row>
    <row r="1951" customFormat="false" ht="12.8" hidden="false" customHeight="false" outlineLevel="0" collapsed="false">
      <c r="A1951" s="0" t="s">
        <v>876</v>
      </c>
      <c r="B1951" s="0" t="s">
        <v>47</v>
      </c>
      <c r="C1951" s="0" t="s">
        <v>31</v>
      </c>
      <c r="E1951" s="10" t="str">
        <f aca="false">IF(D1951="?OLD","!!!","")</f>
        <v/>
      </c>
      <c r="F1951" s="11" t="str">
        <f aca="false">IF(OR(E1951="",E1951="!!!"),"",IF(NOT(ISNA(VLOOKUP(E1951,E$1:E1950,1,FALSE()))),"OLD",IF(AND(E1951&lt;&gt;"",E1951&lt;&gt;"!!!"),"NEW","")))</f>
        <v/>
      </c>
      <c r="G1951" s="12" t="str">
        <f aca="false">IF(OR(E1951="",E1951="!!!"),"",IF(OR(J1951=0,AND(J1951=1,K1951=1),AND(J1951=1,I1951="SBJ"),AND(J1951=1,I1951=0)),"?IN_FOCUS",IF(J1951&lt;=2,"?ACTIVATED",IF(J1951&lt;&gt;"","?FAMILIAR",IF(F1951="NEW",IF(ISNA(VLOOKUP(E1951,#REF!,1,FALSE())),"?TYPE_IDENTIFIABLE","?REFERENTIAL"),"_")))))</f>
        <v/>
      </c>
      <c r="H1951" s="13" t="str">
        <f aca="false">IF(J1951&lt;&gt;1,"",IF(I1951="SBJ","CB","?"))</f>
        <v/>
      </c>
      <c r="I1951" s="14" t="str">
        <f aca="false">IF(OR(E1951="",E1951="!!!",F1951="NEW"),"",INDEX(B$2:B1950,-1+SUMPRODUCT(MAX(ROW(E$2:E1950)*(E1951=E$2:E1950)))))</f>
        <v/>
      </c>
      <c r="J1951" s="15" t="str">
        <f aca="true">IF(OR(E1951="",E1951="!!!",F1951="NEW"),"",COUNTBLANK(OFFSET(A$1,,,SUMPRODUCT(MAX(ROW(E$2:E1951)*(E1951=E$2:E1951)))))-COUNTBLANK(OFFSET(A$1,,,SUMPRODUCT(MAX(ROW(E$1:E1950)*(E1951=E$1:E1950))))))</f>
        <v/>
      </c>
      <c r="K1951" s="15" t="str">
        <f aca="false">IF(OR(E1951="",E1951="!!!",F1951="NEW"),"",INDEX(J$1:J1950,SUMPRODUCT(MAX(ROW(E$1:E1950)*(E1951=E$1:E1950)))))</f>
        <v/>
      </c>
      <c r="L1951" s="16"/>
    </row>
    <row r="1952" customFormat="false" ht="12.8" hidden="false" customHeight="false" outlineLevel="0" collapsed="false">
      <c r="A1952" s="0" t="s">
        <v>44</v>
      </c>
      <c r="E1952" s="10" t="str">
        <f aca="false">IF(D1952="?OLD","!!!","")</f>
        <v/>
      </c>
      <c r="F1952" s="11" t="str">
        <f aca="false">IF(OR(E1952="",E1952="!!!"),"",IF(NOT(ISNA(VLOOKUP(E1952,E$1:E1951,1,FALSE()))),"OLD",IF(AND(E1952&lt;&gt;"",E1952&lt;&gt;"!!!"),"NEW","")))</f>
        <v/>
      </c>
      <c r="G1952" s="12" t="str">
        <f aca="false">IF(OR(E1952="",E1952="!!!"),"",IF(OR(J1952=0,AND(J1952=1,K1952=1),AND(J1952=1,I1952="SBJ"),AND(J1952=1,I1952=0)),"?IN_FOCUS",IF(J1952&lt;=2,"?ACTIVATED",IF(J1952&lt;&gt;"","?FAMILIAR",IF(F1952="NEW",IF(ISNA(VLOOKUP(E1952,#REF!,1,FALSE())),"?TYPE_IDENTIFIABLE","?REFERENTIAL"),"_")))))</f>
        <v/>
      </c>
      <c r="H1952" s="13" t="str">
        <f aca="false">IF(J1952&lt;&gt;1,"",IF(I1952="SBJ","CB","?"))</f>
        <v/>
      </c>
      <c r="I1952" s="14" t="str">
        <f aca="false">IF(OR(E1952="",E1952="!!!",F1952="NEW"),"",INDEX(B$2:B1951,-1+SUMPRODUCT(MAX(ROW(E$2:E1951)*(E1952=E$2:E1951)))))</f>
        <v/>
      </c>
      <c r="J1952" s="15" t="str">
        <f aca="true">IF(OR(E1952="",E1952="!!!",F1952="NEW"),"",COUNTBLANK(OFFSET(A$1,,,SUMPRODUCT(MAX(ROW(E$2:E1952)*(E1952=E$2:E1952)))))-COUNTBLANK(OFFSET(A$1,,,SUMPRODUCT(MAX(ROW(E$1:E1951)*(E1952=E$1:E1951))))))</f>
        <v/>
      </c>
      <c r="K1952" s="15" t="str">
        <f aca="false">IF(OR(E1952="",E1952="!!!",F1952="NEW"),"",INDEX(J$1:J1951,SUMPRODUCT(MAX(ROW(E$1:E1951)*(E1952=E$1:E1951)))))</f>
        <v/>
      </c>
      <c r="L1952" s="16"/>
    </row>
    <row r="1953" customFormat="false" ht="12.8" hidden="false" customHeight="false" outlineLevel="0" collapsed="false">
      <c r="A1953" s="0" t="s">
        <v>62</v>
      </c>
      <c r="E1953" s="10" t="str">
        <f aca="false">IF(D1953="?OLD","!!!","")</f>
        <v/>
      </c>
      <c r="F1953" s="11" t="str">
        <f aca="false">IF(OR(E1953="",E1953="!!!"),"",IF(NOT(ISNA(VLOOKUP(E1953,E$1:E1952,1,FALSE()))),"OLD",IF(AND(E1953&lt;&gt;"",E1953&lt;&gt;"!!!"),"NEW","")))</f>
        <v/>
      </c>
      <c r="G1953" s="12" t="str">
        <f aca="false">IF(OR(E1953="",E1953="!!!"),"",IF(OR(J1953=0,AND(J1953=1,K1953=1),AND(J1953=1,I1953="SBJ"),AND(J1953=1,I1953=0)),"?IN_FOCUS",IF(J1953&lt;=2,"?ACTIVATED",IF(J1953&lt;&gt;"","?FAMILIAR",IF(F1953="NEW",IF(ISNA(VLOOKUP(E1953,#REF!,1,FALSE())),"?TYPE_IDENTIFIABLE","?REFERENTIAL"),"_")))))</f>
        <v/>
      </c>
      <c r="H1953" s="13" t="str">
        <f aca="false">IF(J1953&lt;&gt;1,"",IF(I1953="SBJ","CB","?"))</f>
        <v/>
      </c>
      <c r="I1953" s="14" t="str">
        <f aca="false">IF(OR(E1953="",E1953="!!!",F1953="NEW"),"",INDEX(B$2:B1952,-1+SUMPRODUCT(MAX(ROW(E$2:E1952)*(E1953=E$2:E1952)))))</f>
        <v/>
      </c>
      <c r="J1953" s="15" t="str">
        <f aca="true">IF(OR(E1953="",E1953="!!!",F1953="NEW"),"",COUNTBLANK(OFFSET(A$1,,,SUMPRODUCT(MAX(ROW(E$2:E1953)*(E1953=E$2:E1953)))))-COUNTBLANK(OFFSET(A$1,,,SUMPRODUCT(MAX(ROW(E$1:E1952)*(E1953=E$1:E1952))))))</f>
        <v/>
      </c>
      <c r="K1953" s="15" t="str">
        <f aca="false">IF(OR(E1953="",E1953="!!!",F1953="NEW"),"",INDEX(J$1:J1952,SUMPRODUCT(MAX(ROW(E$1:E1952)*(E1953=E$1:E1952)))))</f>
        <v/>
      </c>
      <c r="L1953" s="16"/>
    </row>
    <row r="1954" customFormat="false" ht="12.8" hidden="false" customHeight="false" outlineLevel="0" collapsed="false">
      <c r="A1954" s="0" t="s">
        <v>877</v>
      </c>
      <c r="B1954" s="0" t="s">
        <v>96</v>
      </c>
      <c r="C1954" s="0" t="s">
        <v>27</v>
      </c>
      <c r="D1954" s="0" t="s">
        <v>20</v>
      </c>
      <c r="E1954" s="10"/>
      <c r="F1954" s="11" t="s">
        <v>247</v>
      </c>
      <c r="G1954" s="12" t="str">
        <f aca="false">IF(OR(E1954="",E1954="!!!"),"",IF(OR(J1954=0,AND(J1954=1,K1954=1),AND(J1954=1,I1954="SBJ"),AND(J1954=1,I1954=0)),"?IN_FOCUS",IF(J1954&lt;=2,"?ACTIVATED",IF(J1954&lt;&gt;"","?FAMILIAR",IF(F1954="NEW",IF(ISNA(VLOOKUP(E1954,#REF!,1,FALSE())),"?TYPE_IDENTIFIABLE","?REFERENTIAL"),"_")))))</f>
        <v/>
      </c>
      <c r="H1954" s="13" t="str">
        <f aca="false">IF(J1954&lt;&gt;1,"",IF(I1954="SBJ","CB","?"))</f>
        <v/>
      </c>
      <c r="I1954" s="14" t="str">
        <f aca="false">IF(OR(E1954="",E1954="!!!",F1954="NEW"),"",INDEX(B$2:B1953,-1+SUMPRODUCT(MAX(ROW(E$2:E1953)*(E1954=E$2:E1953)))))</f>
        <v/>
      </c>
      <c r="J1954" s="15" t="str">
        <f aca="true">IF(OR(E1954="",E1954="!!!",F1954="NEW"),"",COUNTBLANK(OFFSET(A$1,,,SUMPRODUCT(MAX(ROW(E$2:E1954)*(E1954=E$2:E1954)))))-COUNTBLANK(OFFSET(A$1,,,SUMPRODUCT(MAX(ROW(E$1:E1953)*(E1954=E$1:E1953))))))</f>
        <v/>
      </c>
      <c r="K1954" s="15" t="str">
        <f aca="false">IF(OR(E1954="",E1954="!!!",F1954="NEW"),"",INDEX(J$1:J1953,SUMPRODUCT(MAX(ROW(E$1:E1953)*(E1954=E$1:E1953)))))</f>
        <v/>
      </c>
      <c r="L1954" s="16"/>
    </row>
    <row r="1955" customFormat="false" ht="12.8" hidden="false" customHeight="false" outlineLevel="0" collapsed="false">
      <c r="A1955" s="0" t="s">
        <v>51</v>
      </c>
      <c r="E1955" s="10" t="str">
        <f aca="false">IF(D1955="?OLD","!!!","")</f>
        <v/>
      </c>
      <c r="F1955" s="11" t="str">
        <f aca="false">IF(OR(E1955="",E1955="!!!"),"",IF(NOT(ISNA(VLOOKUP(E1955,E$1:E1954,1,FALSE()))),"OLD",IF(AND(E1955&lt;&gt;"",E1955&lt;&gt;"!!!"),"NEW","")))</f>
        <v/>
      </c>
      <c r="G1955" s="12" t="str">
        <f aca="false">IF(OR(E1955="",E1955="!!!"),"",IF(OR(J1955=0,AND(J1955=1,K1955=1),AND(J1955=1,I1955="SBJ"),AND(J1955=1,I1955=0)),"?IN_FOCUS",IF(J1955&lt;=2,"?ACTIVATED",IF(J1955&lt;&gt;"","?FAMILIAR",IF(F1955="NEW",IF(ISNA(VLOOKUP(E1955,#REF!,1,FALSE())),"?TYPE_IDENTIFIABLE","?REFERENTIAL"),"_")))))</f>
        <v/>
      </c>
      <c r="H1955" s="13" t="str">
        <f aca="false">IF(J1955&lt;&gt;1,"",IF(I1955="SBJ","CB","?"))</f>
        <v/>
      </c>
      <c r="I1955" s="14" t="str">
        <f aca="false">IF(OR(E1955="",E1955="!!!",F1955="NEW"),"",INDEX(B$2:B1954,-1+SUMPRODUCT(MAX(ROW(E$2:E1954)*(E1955=E$2:E1954)))))</f>
        <v/>
      </c>
      <c r="J1955" s="15" t="str">
        <f aca="true">IF(OR(E1955="",E1955="!!!",F1955="NEW"),"",COUNTBLANK(OFFSET(A$1,,,SUMPRODUCT(MAX(ROW(E$2:E1955)*(E1955=E$2:E1955)))))-COUNTBLANK(OFFSET(A$1,,,SUMPRODUCT(MAX(ROW(E$1:E1954)*(E1955=E$1:E1954))))))</f>
        <v/>
      </c>
      <c r="K1955" s="15" t="str">
        <f aca="false">IF(OR(E1955="",E1955="!!!",F1955="NEW"),"",INDEX(J$1:J1954,SUMPRODUCT(MAX(ROW(E$1:E1954)*(E1955=E$1:E1954)))))</f>
        <v/>
      </c>
      <c r="L1955" s="16"/>
    </row>
    <row r="1956" customFormat="false" ht="12.8" hidden="false" customHeight="false" outlineLevel="0" collapsed="false">
      <c r="A1956" s="0" t="s">
        <v>72</v>
      </c>
      <c r="B1956" s="0" t="s">
        <v>158</v>
      </c>
      <c r="C1956" s="0" t="s">
        <v>48</v>
      </c>
      <c r="D1956" s="0" t="s">
        <v>20</v>
      </c>
      <c r="E1956" s="10" t="s">
        <v>92</v>
      </c>
      <c r="F1956" s="11" t="str">
        <f aca="false">IF(OR(E1956="",E1956="!!!"),"",IF(NOT(ISNA(VLOOKUP(E1956,E$1:E1955,1,FALSE()))),"OLD",IF(AND(E1956&lt;&gt;"",E1956&lt;&gt;"!!!"),"NEW","")))</f>
        <v>OLD</v>
      </c>
      <c r="G1956" s="12" t="s">
        <v>87</v>
      </c>
      <c r="H1956" s="13" t="str">
        <f aca="false">IF(J1956&lt;&gt;1,"",IF(I1956="SBJ","CB","?"))</f>
        <v/>
      </c>
      <c r="I1956" s="14" t="str">
        <f aca="false">IF(OR(E1956="",E1956="!!!",F1956="NEW"),"",INDEX(B$2:B1955,-1+SUMPRODUCT(MAX(ROW(E$2:E1955)*(E1956=E$2:E1955)))))</f>
        <v>SBJ_3</v>
      </c>
      <c r="J1956" s="15" t="n">
        <f aca="true">IF(OR(E1956="",E1956="!!!",F1956="NEW"),"",COUNTBLANK(OFFSET(A$1,,,SUMPRODUCT(MAX(ROW(E$2:E1956)*(E1956=E$2:E1956)))))-COUNTBLANK(OFFSET(A$1,,,SUMPRODUCT(MAX(ROW(E$1:E1955)*(E1956=E$1:E1955))))))</f>
        <v>0</v>
      </c>
      <c r="K1956" s="15" t="n">
        <f aca="false">IF(OR(E1956="",E1956="!!!",F1956="NEW"),"",INDEX(J$1:J1955,SUMPRODUCT(MAX(ROW(E$1:E1955)*(E1956=E$1:E1955)))))</f>
        <v>0</v>
      </c>
      <c r="L1956" s="16"/>
    </row>
    <row r="1957" customFormat="false" ht="12.8" hidden="false" customHeight="false" outlineLevel="0" collapsed="false">
      <c r="A1957" s="0" t="s">
        <v>100</v>
      </c>
      <c r="E1957" s="10" t="str">
        <f aca="false">IF(D1957="?OLD","!!!","")</f>
        <v/>
      </c>
      <c r="F1957" s="11" t="str">
        <f aca="false">IF(OR(E1957="",E1957="!!!"),"",IF(NOT(ISNA(VLOOKUP(E1957,E$1:E1956,1,FALSE()))),"OLD",IF(AND(E1957&lt;&gt;"",E1957&lt;&gt;"!!!"),"NEW","")))</f>
        <v/>
      </c>
      <c r="G1957" s="12" t="str">
        <f aca="false">IF(OR(E1957="",E1957="!!!"),"",IF(OR(J1957=0,AND(J1957=1,K1957=1),AND(J1957=1,I1957="SBJ"),AND(J1957=1,I1957=0)),"?IN_FOCUS",IF(J1957&lt;=2,"?ACTIVATED",IF(J1957&lt;&gt;"","?FAMILIAR",IF(F1957="NEW",IF(ISNA(VLOOKUP(E1957,#REF!,1,FALSE())),"?TYPE_IDENTIFIABLE","?REFERENTIAL"),"_")))))</f>
        <v/>
      </c>
      <c r="H1957" s="13" t="str">
        <f aca="false">IF(J1957&lt;&gt;1,"",IF(I1957="SBJ","CB","?"))</f>
        <v/>
      </c>
      <c r="I1957" s="14" t="str">
        <f aca="false">IF(OR(E1957="",E1957="!!!",F1957="NEW"),"",INDEX(B$2:B1956,-1+SUMPRODUCT(MAX(ROW(E$2:E1956)*(E1957=E$2:E1956)))))</f>
        <v/>
      </c>
      <c r="J1957" s="15" t="str">
        <f aca="true">IF(OR(E1957="",E1957="!!!",F1957="NEW"),"",COUNTBLANK(OFFSET(A$1,,,SUMPRODUCT(MAX(ROW(E$2:E1957)*(E1957=E$2:E1957)))))-COUNTBLANK(OFFSET(A$1,,,SUMPRODUCT(MAX(ROW(E$1:E1956)*(E1957=E$1:E1956))))))</f>
        <v/>
      </c>
      <c r="K1957" s="15" t="str">
        <f aca="false">IF(OR(E1957="",E1957="!!!",F1957="NEW"),"",INDEX(J$1:J1956,SUMPRODUCT(MAX(ROW(E$1:E1956)*(E1957=E$1:E1956)))))</f>
        <v/>
      </c>
      <c r="L1957" s="16"/>
    </row>
    <row r="1958" customFormat="false" ht="12.8" hidden="false" customHeight="false" outlineLevel="0" collapsed="false">
      <c r="A1958" s="0" t="s">
        <v>219</v>
      </c>
      <c r="E1958" s="10" t="str">
        <f aca="false">IF(D1958="?OLD","!!!","")</f>
        <v/>
      </c>
      <c r="F1958" s="11" t="str">
        <f aca="false">IF(OR(E1958="",E1958="!!!"),"",IF(NOT(ISNA(VLOOKUP(E1958,E$1:E1957,1,FALSE()))),"OLD",IF(AND(E1958&lt;&gt;"",E1958&lt;&gt;"!!!"),"NEW","")))</f>
        <v/>
      </c>
      <c r="G1958" s="12" t="str">
        <f aca="false">IF(OR(E1958="",E1958="!!!"),"",IF(OR(J1958=0,AND(J1958=1,K1958=1),AND(J1958=1,I1958="SBJ"),AND(J1958=1,I1958=0)),"?IN_FOCUS",IF(J1958&lt;=2,"?ACTIVATED",IF(J1958&lt;&gt;"","?FAMILIAR",IF(F1958="NEW",IF(ISNA(VLOOKUP(E1958,#REF!,1,FALSE())),"?TYPE_IDENTIFIABLE","?REFERENTIAL"),"_")))))</f>
        <v/>
      </c>
      <c r="H1958" s="13" t="str">
        <f aca="false">IF(J1958&lt;&gt;1,"",IF(I1958="SBJ","CB","?"))</f>
        <v/>
      </c>
      <c r="I1958" s="14" t="str">
        <f aca="false">IF(OR(E1958="",E1958="!!!",F1958="NEW"),"",INDEX(B$2:B1957,-1+SUMPRODUCT(MAX(ROW(E$2:E1957)*(E1958=E$2:E1957)))))</f>
        <v/>
      </c>
      <c r="J1958" s="15" t="str">
        <f aca="true">IF(OR(E1958="",E1958="!!!",F1958="NEW"),"",COUNTBLANK(OFFSET(A$1,,,SUMPRODUCT(MAX(ROW(E$2:E1958)*(E1958=E$2:E1958)))))-COUNTBLANK(OFFSET(A$1,,,SUMPRODUCT(MAX(ROW(E$1:E1957)*(E1958=E$1:E1957))))))</f>
        <v/>
      </c>
      <c r="K1958" s="15" t="str">
        <f aca="false">IF(OR(E1958="",E1958="!!!",F1958="NEW"),"",INDEX(J$1:J1957,SUMPRODUCT(MAX(ROW(E$1:E1957)*(E1958=E$1:E1957)))))</f>
        <v/>
      </c>
      <c r="L1958" s="16"/>
    </row>
    <row r="1959" customFormat="false" ht="12.8" hidden="false" customHeight="false" outlineLevel="0" collapsed="false">
      <c r="A1959" s="0" t="s">
        <v>878</v>
      </c>
      <c r="E1959" s="10" t="str">
        <f aca="false">IF(D1959="?OLD","!!!","")</f>
        <v/>
      </c>
      <c r="F1959" s="11" t="str">
        <f aca="false">IF(OR(E1959="",E1959="!!!"),"",IF(NOT(ISNA(VLOOKUP(E1959,E$1:E1958,1,FALSE()))),"OLD",IF(AND(E1959&lt;&gt;"",E1959&lt;&gt;"!!!"),"NEW","")))</f>
        <v/>
      </c>
      <c r="G1959" s="12" t="str">
        <f aca="false">IF(OR(E1959="",E1959="!!!"),"",IF(OR(J1959=0,AND(J1959=1,K1959=1),AND(J1959=1,I1959="SBJ"),AND(J1959=1,I1959=0)),"?IN_FOCUS",IF(J1959&lt;=2,"?ACTIVATED",IF(J1959&lt;&gt;"","?FAMILIAR",IF(F1959="NEW",IF(ISNA(VLOOKUP(E1959,#REF!,1,FALSE())),"?TYPE_IDENTIFIABLE","?REFERENTIAL"),"_")))))</f>
        <v/>
      </c>
      <c r="H1959" s="13" t="str">
        <f aca="false">IF(J1959&lt;&gt;1,"",IF(I1959="SBJ","CB","?"))</f>
        <v/>
      </c>
      <c r="I1959" s="14" t="str">
        <f aca="false">IF(OR(E1959="",E1959="!!!",F1959="NEW"),"",INDEX(B$2:B1958,-1+SUMPRODUCT(MAX(ROW(E$2:E1958)*(E1959=E$2:E1958)))))</f>
        <v/>
      </c>
      <c r="J1959" s="15" t="str">
        <f aca="true">IF(OR(E1959="",E1959="!!!",F1959="NEW"),"",COUNTBLANK(OFFSET(A$1,,,SUMPRODUCT(MAX(ROW(E$2:E1959)*(E1959=E$2:E1959)))))-COUNTBLANK(OFFSET(A$1,,,SUMPRODUCT(MAX(ROW(E$1:E1958)*(E1959=E$1:E1958))))))</f>
        <v/>
      </c>
      <c r="K1959" s="15" t="str">
        <f aca="false">IF(OR(E1959="",E1959="!!!",F1959="NEW"),"",INDEX(J$1:J1958,SUMPRODUCT(MAX(ROW(E$1:E1958)*(E1959=E$1:E1958)))))</f>
        <v/>
      </c>
      <c r="L1959" s="16"/>
    </row>
    <row r="1960" customFormat="false" ht="12.8" hidden="false" customHeight="false" outlineLevel="0" collapsed="false">
      <c r="A1960" s="0" t="s">
        <v>879</v>
      </c>
      <c r="E1960" s="10" t="str">
        <f aca="false">IF(D1960="?OLD","!!!","")</f>
        <v/>
      </c>
      <c r="F1960" s="11" t="str">
        <f aca="false">IF(OR(E1960="",E1960="!!!"),"",IF(NOT(ISNA(VLOOKUP(E1960,E$1:E1959,1,FALSE()))),"OLD",IF(AND(E1960&lt;&gt;"",E1960&lt;&gt;"!!!"),"NEW","")))</f>
        <v/>
      </c>
      <c r="G1960" s="12" t="str">
        <f aca="false">IF(OR(E1960="",E1960="!!!"),"",IF(OR(J1960=0,AND(J1960=1,K1960=1),AND(J1960=1,I1960="SBJ"),AND(J1960=1,I1960=0)),"?IN_FOCUS",IF(J1960&lt;=2,"?ACTIVATED",IF(J1960&lt;&gt;"","?FAMILIAR",IF(F1960="NEW",IF(ISNA(VLOOKUP(E1960,#REF!,1,FALSE())),"?TYPE_IDENTIFIABLE","?REFERENTIAL"),"_")))))</f>
        <v/>
      </c>
      <c r="H1960" s="13" t="str">
        <f aca="false">IF(J1960&lt;&gt;1,"",IF(I1960="SBJ","CB","?"))</f>
        <v/>
      </c>
      <c r="I1960" s="14" t="str">
        <f aca="false">IF(OR(E1960="",E1960="!!!",F1960="NEW"),"",INDEX(B$2:B1959,-1+SUMPRODUCT(MAX(ROW(E$2:E1959)*(E1960=E$2:E1959)))))</f>
        <v/>
      </c>
      <c r="J1960" s="15" t="str">
        <f aca="true">IF(OR(E1960="",E1960="!!!",F1960="NEW"),"",COUNTBLANK(OFFSET(A$1,,,SUMPRODUCT(MAX(ROW(E$2:E1960)*(E1960=E$2:E1960)))))-COUNTBLANK(OFFSET(A$1,,,SUMPRODUCT(MAX(ROW(E$1:E1959)*(E1960=E$1:E1959))))))</f>
        <v/>
      </c>
      <c r="K1960" s="15" t="str">
        <f aca="false">IF(OR(E1960="",E1960="!!!",F1960="NEW"),"",INDEX(J$1:J1959,SUMPRODUCT(MAX(ROW(E$1:E1959)*(E1960=E$1:E1959)))))</f>
        <v/>
      </c>
      <c r="L1960" s="16"/>
    </row>
    <row r="1961" customFormat="false" ht="12.8" hidden="false" customHeight="false" outlineLevel="0" collapsed="false">
      <c r="A1961" s="0" t="s">
        <v>54</v>
      </c>
      <c r="E1961" s="10" t="str">
        <f aca="false">IF(D1961="?OLD","!!!","")</f>
        <v/>
      </c>
      <c r="F1961" s="11" t="str">
        <f aca="false">IF(OR(E1961="",E1961="!!!"),"",IF(NOT(ISNA(VLOOKUP(E1961,E$1:E1960,1,FALSE()))),"OLD",IF(AND(E1961&lt;&gt;"",E1961&lt;&gt;"!!!"),"NEW","")))</f>
        <v/>
      </c>
      <c r="G1961" s="12" t="str">
        <f aca="false">IF(OR(E1961="",E1961="!!!"),"",IF(OR(J1961=0,AND(J1961=1,K1961=1),AND(J1961=1,I1961="SBJ"),AND(J1961=1,I1961=0)),"?IN_FOCUS",IF(J1961&lt;=2,"?ACTIVATED",IF(J1961&lt;&gt;"","?FAMILIAR",IF(F1961="NEW",IF(ISNA(VLOOKUP(E1961,#REF!,1,FALSE())),"?TYPE_IDENTIFIABLE","?REFERENTIAL"),"_")))))</f>
        <v/>
      </c>
      <c r="H1961" s="13" t="str">
        <f aca="false">IF(J1961&lt;&gt;1,"",IF(I1961="SBJ","CB","?"))</f>
        <v/>
      </c>
      <c r="I1961" s="14" t="str">
        <f aca="false">IF(OR(E1961="",E1961="!!!",F1961="NEW"),"",INDEX(B$2:B1960,-1+SUMPRODUCT(MAX(ROW(E$2:E1960)*(E1961=E$2:E1960)))))</f>
        <v/>
      </c>
      <c r="J1961" s="15" t="str">
        <f aca="true">IF(OR(E1961="",E1961="!!!",F1961="NEW"),"",COUNTBLANK(OFFSET(A$1,,,SUMPRODUCT(MAX(ROW(E$2:E1961)*(E1961=E$2:E1961)))))-COUNTBLANK(OFFSET(A$1,,,SUMPRODUCT(MAX(ROW(E$1:E1960)*(E1961=E$1:E1960))))))</f>
        <v/>
      </c>
      <c r="K1961" s="15" t="str">
        <f aca="false">IF(OR(E1961="",E1961="!!!",F1961="NEW"),"",INDEX(J$1:J1960,SUMPRODUCT(MAX(ROW(E$1:E1960)*(E1961=E$1:E1960)))))</f>
        <v/>
      </c>
      <c r="L1961" s="16"/>
    </row>
    <row r="1962" customFormat="false" ht="12.8" hidden="false" customHeight="false" outlineLevel="0" collapsed="false">
      <c r="A1962" s="0" t="s">
        <v>156</v>
      </c>
      <c r="E1962" s="10" t="str">
        <f aca="false">IF(D1962="?OLD","!!!","")</f>
        <v/>
      </c>
      <c r="F1962" s="11" t="str">
        <f aca="false">IF(OR(E1962="",E1962="!!!"),"",IF(NOT(ISNA(VLOOKUP(E1962,E$1:E1961,1,FALSE()))),"OLD",IF(AND(E1962&lt;&gt;"",E1962&lt;&gt;"!!!"),"NEW","")))</f>
        <v/>
      </c>
      <c r="G1962" s="12" t="str">
        <f aca="false">IF(OR(E1962="",E1962="!!!"),"",IF(OR(J1962=0,AND(J1962=1,K1962=1),AND(J1962=1,I1962="SBJ"),AND(J1962=1,I1962=0)),"?IN_FOCUS",IF(J1962&lt;=2,"?ACTIVATED",IF(J1962&lt;&gt;"","?FAMILIAR",IF(F1962="NEW",IF(ISNA(VLOOKUP(E1962,#REF!,1,FALSE())),"?TYPE_IDENTIFIABLE","?REFERENTIAL"),"_")))))</f>
        <v/>
      </c>
      <c r="H1962" s="13" t="str">
        <f aca="false">IF(J1962&lt;&gt;1,"",IF(I1962="SBJ","CB","?"))</f>
        <v/>
      </c>
      <c r="I1962" s="14" t="str">
        <f aca="false">IF(OR(E1962="",E1962="!!!",F1962="NEW"),"",INDEX(B$2:B1961,-1+SUMPRODUCT(MAX(ROW(E$2:E1961)*(E1962=E$2:E1961)))))</f>
        <v/>
      </c>
      <c r="J1962" s="15" t="str">
        <f aca="true">IF(OR(E1962="",E1962="!!!",F1962="NEW"),"",COUNTBLANK(OFFSET(A$1,,,SUMPRODUCT(MAX(ROW(E$2:E1962)*(E1962=E$2:E1962)))))-COUNTBLANK(OFFSET(A$1,,,SUMPRODUCT(MAX(ROW(E$1:E1961)*(E1962=E$1:E1961))))))</f>
        <v/>
      </c>
      <c r="K1962" s="15" t="str">
        <f aca="false">IF(OR(E1962="",E1962="!!!",F1962="NEW"),"",INDEX(J$1:J1961,SUMPRODUCT(MAX(ROW(E$1:E1961)*(E1962=E$1:E1961)))))</f>
        <v/>
      </c>
      <c r="L1962" s="16"/>
    </row>
    <row r="1963" customFormat="false" ht="12.8" hidden="false" customHeight="false" outlineLevel="0" collapsed="false">
      <c r="A1963" s="0" t="s">
        <v>154</v>
      </c>
      <c r="E1963" s="10" t="str">
        <f aca="false">IF(D1963="?OLD","!!!","")</f>
        <v/>
      </c>
      <c r="F1963" s="11" t="str">
        <f aca="false">IF(OR(E1963="",E1963="!!!"),"",IF(NOT(ISNA(VLOOKUP(E1963,E$1:E1962,1,FALSE()))),"OLD",IF(AND(E1963&lt;&gt;"",E1963&lt;&gt;"!!!"),"NEW","")))</f>
        <v/>
      </c>
      <c r="G1963" s="12" t="str">
        <f aca="false">IF(OR(E1963="",E1963="!!!"),"",IF(OR(J1963=0,AND(J1963=1,K1963=1),AND(J1963=1,I1963="SBJ"),AND(J1963=1,I1963=0)),"?IN_FOCUS",IF(J1963&lt;=2,"?ACTIVATED",IF(J1963&lt;&gt;"","?FAMILIAR",IF(F1963="NEW",IF(ISNA(VLOOKUP(E1963,#REF!,1,FALSE())),"?TYPE_IDENTIFIABLE","?REFERENTIAL"),"_")))))</f>
        <v/>
      </c>
      <c r="H1963" s="13" t="str">
        <f aca="false">IF(J1963&lt;&gt;1,"",IF(I1963="SBJ","CB","?"))</f>
        <v/>
      </c>
      <c r="I1963" s="14" t="str">
        <f aca="false">IF(OR(E1963="",E1963="!!!",F1963="NEW"),"",INDEX(B$2:B1962,-1+SUMPRODUCT(MAX(ROW(E$2:E1962)*(E1963=E$2:E1962)))))</f>
        <v/>
      </c>
      <c r="J1963" s="15" t="str">
        <f aca="true">IF(OR(E1963="",E1963="!!!",F1963="NEW"),"",COUNTBLANK(OFFSET(A$1,,,SUMPRODUCT(MAX(ROW(E$2:E1963)*(E1963=E$2:E1963)))))-COUNTBLANK(OFFSET(A$1,,,SUMPRODUCT(MAX(ROW(E$1:E1962)*(E1963=E$1:E1962))))))</f>
        <v/>
      </c>
      <c r="K1963" s="15" t="str">
        <f aca="false">IF(OR(E1963="",E1963="!!!",F1963="NEW"),"",INDEX(J$1:J1962,SUMPRODUCT(MAX(ROW(E$1:E1962)*(E1963=E$1:E1962)))))</f>
        <v/>
      </c>
      <c r="L1963" s="16"/>
    </row>
    <row r="1964" customFormat="false" ht="12.8" hidden="false" customHeight="false" outlineLevel="0" collapsed="false">
      <c r="A1964" s="0" t="s">
        <v>62</v>
      </c>
      <c r="E1964" s="10" t="str">
        <f aca="false">IF(D1964="?OLD","!!!","")</f>
        <v/>
      </c>
      <c r="F1964" s="11" t="str">
        <f aca="false">IF(OR(E1964="",E1964="!!!"),"",IF(NOT(ISNA(VLOOKUP(E1964,E$1:E1963,1,FALSE()))),"OLD",IF(AND(E1964&lt;&gt;"",E1964&lt;&gt;"!!!"),"NEW","")))</f>
        <v/>
      </c>
      <c r="G1964" s="12" t="str">
        <f aca="false">IF(OR(E1964="",E1964="!!!"),"",IF(OR(J1964=0,AND(J1964=1,K1964=1),AND(J1964=1,I1964="SBJ"),AND(J1964=1,I1964=0)),"?IN_FOCUS",IF(J1964&lt;=2,"?ACTIVATED",IF(J1964&lt;&gt;"","?FAMILIAR",IF(F1964="NEW",IF(ISNA(VLOOKUP(E1964,#REF!,1,FALSE())),"?TYPE_IDENTIFIABLE","?REFERENTIAL"),"_")))))</f>
        <v/>
      </c>
      <c r="H1964" s="13" t="str">
        <f aca="false">IF(J1964&lt;&gt;1,"",IF(I1964="SBJ","CB","?"))</f>
        <v/>
      </c>
      <c r="I1964" s="14" t="str">
        <f aca="false">IF(OR(E1964="",E1964="!!!",F1964="NEW"),"",INDEX(B$2:B1963,-1+SUMPRODUCT(MAX(ROW(E$2:E1963)*(E1964=E$2:E1963)))))</f>
        <v/>
      </c>
      <c r="J1964" s="15" t="str">
        <f aca="true">IF(OR(E1964="",E1964="!!!",F1964="NEW"),"",COUNTBLANK(OFFSET(A$1,,,SUMPRODUCT(MAX(ROW(E$2:E1964)*(E1964=E$2:E1964)))))-COUNTBLANK(OFFSET(A$1,,,SUMPRODUCT(MAX(ROW(E$1:E1963)*(E1964=E$1:E1963))))))</f>
        <v/>
      </c>
      <c r="K1964" s="15" t="str">
        <f aca="false">IF(OR(E1964="",E1964="!!!",F1964="NEW"),"",INDEX(J$1:J1963,SUMPRODUCT(MAX(ROW(E$1:E1963)*(E1964=E$1:E1963)))))</f>
        <v/>
      </c>
      <c r="L1964" s="16"/>
    </row>
    <row r="1965" customFormat="false" ht="12.8" hidden="false" customHeight="false" outlineLevel="0" collapsed="false">
      <c r="A1965" s="0" t="s">
        <v>877</v>
      </c>
      <c r="B1965" s="0" t="s">
        <v>75</v>
      </c>
      <c r="C1965" s="0" t="s">
        <v>27</v>
      </c>
      <c r="D1965" s="0" t="s">
        <v>20</v>
      </c>
      <c r="E1965" s="10"/>
      <c r="F1965" s="11" t="s">
        <v>247</v>
      </c>
      <c r="G1965" s="12" t="str">
        <f aca="false">IF(OR(E1965="",E1965="!!!"),"",IF(OR(J1965=0,AND(J1965=1,K1965=1),AND(J1965=1,I1965="SBJ"),AND(J1965=1,I1965=0)),"?IN_FOCUS",IF(J1965&lt;=2,"?ACTIVATED",IF(J1965&lt;&gt;"","?FAMILIAR",IF(F1965="NEW",IF(ISNA(VLOOKUP(E1965,#REF!,1,FALSE())),"?TYPE_IDENTIFIABLE","?REFERENTIAL"),"_")))))</f>
        <v/>
      </c>
      <c r="H1965" s="13" t="str">
        <f aca="false">IF(J1965&lt;&gt;1,"",IF(I1965="SBJ","CB","?"))</f>
        <v/>
      </c>
      <c r="I1965" s="14" t="str">
        <f aca="false">IF(OR(E1965="",E1965="!!!",F1965="NEW"),"",INDEX(B$2:B1964,-1+SUMPRODUCT(MAX(ROW(E$2:E1964)*(E1965=E$2:E1964)))))</f>
        <v/>
      </c>
      <c r="J1965" s="15" t="str">
        <f aca="true">IF(OR(E1965="",E1965="!!!",F1965="NEW"),"",COUNTBLANK(OFFSET(A$1,,,SUMPRODUCT(MAX(ROW(E$2:E1965)*(E1965=E$2:E1965)))))-COUNTBLANK(OFFSET(A$1,,,SUMPRODUCT(MAX(ROW(E$1:E1964)*(E1965=E$1:E1964))))))</f>
        <v/>
      </c>
      <c r="K1965" s="15" t="str">
        <f aca="false">IF(OR(E1965="",E1965="!!!",F1965="NEW"),"",INDEX(J$1:J1964,SUMPRODUCT(MAX(ROW(E$1:E1964)*(E1965=E$1:E1964)))))</f>
        <v/>
      </c>
      <c r="L1965" s="16"/>
    </row>
    <row r="1966" customFormat="false" ht="12.8" hidden="false" customHeight="false" outlineLevel="0" collapsed="false">
      <c r="A1966" s="0" t="s">
        <v>51</v>
      </c>
      <c r="B1966" s="0" t="s">
        <v>116</v>
      </c>
      <c r="E1966" s="10" t="str">
        <f aca="false">IF(D1966="?OLD","!!!","")</f>
        <v/>
      </c>
      <c r="F1966" s="11" t="str">
        <f aca="false">IF(OR(E1966="",E1966="!!!"),"",IF(NOT(ISNA(VLOOKUP(E1966,E$1:E1965,1,FALSE()))),"OLD",IF(AND(E1966&lt;&gt;"",E1966&lt;&gt;"!!!"),"NEW","")))</f>
        <v/>
      </c>
      <c r="G1966" s="12" t="str">
        <f aca="false">IF(OR(E1966="",E1966="!!!"),"",IF(OR(J1966=0,AND(J1966=1,K1966=1),AND(J1966=1,I1966="SBJ"),AND(J1966=1,I1966=0)),"?IN_FOCUS",IF(J1966&lt;=2,"?ACTIVATED",IF(J1966&lt;&gt;"","?FAMILIAR",IF(F1966="NEW",IF(ISNA(VLOOKUP(E1966,#REF!,1,FALSE())),"?TYPE_IDENTIFIABLE","?REFERENTIAL"),"_")))))</f>
        <v/>
      </c>
      <c r="H1966" s="13" t="str">
        <f aca="false">IF(J1966&lt;&gt;1,"",IF(I1966="SBJ","CB","?"))</f>
        <v/>
      </c>
      <c r="I1966" s="14" t="str">
        <f aca="false">IF(OR(E1966="",E1966="!!!",F1966="NEW"),"",INDEX(B$2:B1965,-1+SUMPRODUCT(MAX(ROW(E$2:E1965)*(E1966=E$2:E1965)))))</f>
        <v/>
      </c>
      <c r="J1966" s="15" t="str">
        <f aca="true">IF(OR(E1966="",E1966="!!!",F1966="NEW"),"",COUNTBLANK(OFFSET(A$1,,,SUMPRODUCT(MAX(ROW(E$2:E1966)*(E1966=E$2:E1966)))))-COUNTBLANK(OFFSET(A$1,,,SUMPRODUCT(MAX(ROW(E$1:E1965)*(E1966=E$1:E1965))))))</f>
        <v/>
      </c>
      <c r="K1966" s="15" t="str">
        <f aca="false">IF(OR(E1966="",E1966="!!!",F1966="NEW"),"",INDEX(J$1:J1965,SUMPRODUCT(MAX(ROW(E$1:E1965)*(E1966=E$1:E1965)))))</f>
        <v/>
      </c>
      <c r="L1966" s="16"/>
    </row>
    <row r="1967" customFormat="false" ht="12.8" hidden="false" customHeight="false" outlineLevel="0" collapsed="false">
      <c r="A1967" s="0" t="s">
        <v>243</v>
      </c>
      <c r="B1967" s="0" t="s">
        <v>69</v>
      </c>
      <c r="C1967" s="0" t="s">
        <v>244</v>
      </c>
      <c r="D1967" s="0" t="s">
        <v>20</v>
      </c>
      <c r="E1967" s="10" t="s">
        <v>161</v>
      </c>
      <c r="F1967" s="11" t="str">
        <f aca="false">IF(OR(E1967="",E1967="!!!"),"",IF(NOT(ISNA(VLOOKUP(E1967,E$1:E1966,1,FALSE()))),"OLD",IF(AND(E1967&lt;&gt;"",E1967&lt;&gt;"!!!"),"NEW","")))</f>
        <v>OLD</v>
      </c>
      <c r="G1967" s="12" t="s">
        <v>36</v>
      </c>
      <c r="H1967" s="13" t="str">
        <f aca="false">IF(J1967&lt;&gt;1,"",IF(I1967="SBJ","CB","?"))</f>
        <v/>
      </c>
      <c r="I1967" s="14" t="str">
        <f aca="false">IF(OR(E1967="",E1967="!!!",F1967="NEW"),"",INDEX(B$2:B1966,-1+SUMPRODUCT(MAX(ROW(E$2:E1966)*(E1967=E$2:E1966)))))</f>
        <v>SBJ_4</v>
      </c>
      <c r="J1967" s="15" t="n">
        <f aca="true">IF(OR(E1967="",E1967="!!!",F1967="NEW"),"",COUNTBLANK(OFFSET(A$1,,,SUMPRODUCT(MAX(ROW(E$2:E1967)*(E1967=E$2:E1967)))))-COUNTBLANK(OFFSET(A$1,,,SUMPRODUCT(MAX(ROW(E$1:E1966)*(E1967=E$1:E1966))))))</f>
        <v>4</v>
      </c>
      <c r="K1967" s="15" t="n">
        <f aca="false">IF(OR(E1967="",E1967="!!!",F1967="NEW"),"",INDEX(J$1:J1966,SUMPRODUCT(MAX(ROW(E$1:E1966)*(E1967=E$1:E1966)))))</f>
        <v>0</v>
      </c>
      <c r="L1967" s="16"/>
    </row>
    <row r="1968" customFormat="false" ht="12.8" hidden="false" customHeight="false" outlineLevel="0" collapsed="false">
      <c r="A1968" s="0" t="s">
        <v>880</v>
      </c>
      <c r="B1968" s="0" t="s">
        <v>173</v>
      </c>
      <c r="C1968" s="0" t="s">
        <v>246</v>
      </c>
      <c r="D1968" s="0" t="s">
        <v>20</v>
      </c>
      <c r="E1968" s="10"/>
      <c r="F1968" s="11" t="s">
        <v>238</v>
      </c>
      <c r="G1968" s="12" t="str">
        <f aca="false">IF(OR(E1968="",E1968="!!!"),"",IF(OR(J1968=0,AND(J1968=1,K1968=1),AND(J1968=1,I1968="SBJ"),AND(J1968=1,I1968=0)),"?IN_FOCUS",IF(J1968&lt;=2,"?ACTIVATED",IF(J1968&lt;&gt;"","?FAMILIAR",IF(F1968="NEW",IF(ISNA(VLOOKUP(E1968,#REF!,1,FALSE())),"?TYPE_IDENTIFIABLE","?REFERENTIAL"),"_")))))</f>
        <v/>
      </c>
      <c r="H1968" s="13" t="str">
        <f aca="false">IF(J1968&lt;&gt;1,"",IF(I1968="SBJ","CB","?"))</f>
        <v/>
      </c>
      <c r="I1968" s="14" t="str">
        <f aca="false">IF(OR(E1968="",E1968="!!!",F1968="NEW"),"",INDEX(B$2:B1967,-1+SUMPRODUCT(MAX(ROW(E$2:E1967)*(E1968=E$2:E1967)))))</f>
        <v/>
      </c>
      <c r="J1968" s="15" t="str">
        <f aca="true">IF(OR(E1968="",E1968="!!!",F1968="NEW"),"",COUNTBLANK(OFFSET(A$1,,,SUMPRODUCT(MAX(ROW(E$2:E1968)*(E1968=E$2:E1968)))))-COUNTBLANK(OFFSET(A$1,,,SUMPRODUCT(MAX(ROW(E$1:E1967)*(E1968=E$1:E1967))))))</f>
        <v/>
      </c>
      <c r="K1968" s="15" t="str">
        <f aca="false">IF(OR(E1968="",E1968="!!!",F1968="NEW"),"",INDEX(J$1:J1967,SUMPRODUCT(MAX(ROW(E$1:E1967)*(E1968=E$1:E1967)))))</f>
        <v/>
      </c>
      <c r="L1968" s="16"/>
    </row>
    <row r="1969" customFormat="false" ht="12.8" hidden="false" customHeight="false" outlineLevel="0" collapsed="false">
      <c r="A1969" s="0" t="s">
        <v>881</v>
      </c>
      <c r="E1969" s="10" t="str">
        <f aca="false">IF(D1969="?OLD","!!!","")</f>
        <v/>
      </c>
      <c r="F1969" s="11" t="str">
        <f aca="false">IF(OR(E1969="",E1969="!!!"),"",IF(NOT(ISNA(VLOOKUP(E1969,E$1:E1968,1,FALSE()))),"OLD",IF(AND(E1969&lt;&gt;"",E1969&lt;&gt;"!!!"),"NEW","")))</f>
        <v/>
      </c>
      <c r="G1969" s="12" t="str">
        <f aca="false">IF(OR(E1969="",E1969="!!!"),"",IF(OR(J1969=0,AND(J1969=1,K1969=1),AND(J1969=1,I1969="SBJ"),AND(J1969=1,I1969=0)),"?IN_FOCUS",IF(J1969&lt;=2,"?ACTIVATED",IF(J1969&lt;&gt;"","?FAMILIAR",IF(F1969="NEW",IF(ISNA(VLOOKUP(E1969,#REF!,1,FALSE())),"?TYPE_IDENTIFIABLE","?REFERENTIAL"),"_")))))</f>
        <v/>
      </c>
      <c r="H1969" s="13" t="str">
        <f aca="false">IF(J1969&lt;&gt;1,"",IF(I1969="SBJ","CB","?"))</f>
        <v/>
      </c>
      <c r="I1969" s="14" t="str">
        <f aca="false">IF(OR(E1969="",E1969="!!!",F1969="NEW"),"",INDEX(B$2:B1968,-1+SUMPRODUCT(MAX(ROW(E$2:E1968)*(E1969=E$2:E1968)))))</f>
        <v/>
      </c>
      <c r="J1969" s="15" t="str">
        <f aca="true">IF(OR(E1969="",E1969="!!!",F1969="NEW"),"",COUNTBLANK(OFFSET(A$1,,,SUMPRODUCT(MAX(ROW(E$2:E1969)*(E1969=E$2:E1969)))))-COUNTBLANK(OFFSET(A$1,,,SUMPRODUCT(MAX(ROW(E$1:E1968)*(E1969=E$1:E1968))))))</f>
        <v/>
      </c>
      <c r="K1969" s="15" t="str">
        <f aca="false">IF(OR(E1969="",E1969="!!!",F1969="NEW"),"",INDEX(J$1:J1968,SUMPRODUCT(MAX(ROW(E$1:E1968)*(E1969=E$1:E1968)))))</f>
        <v/>
      </c>
      <c r="L1969" s="16"/>
    </row>
    <row r="1970" customFormat="false" ht="12.8" hidden="false" customHeight="false" outlineLevel="0" collapsed="false">
      <c r="A1970" s="0" t="s">
        <v>882</v>
      </c>
      <c r="E1970" s="10" t="s">
        <v>883</v>
      </c>
      <c r="F1970" s="11" t="str">
        <f aca="false">IF(OR(E1970="",E1970="!!!"),"",IF(NOT(ISNA(VLOOKUP(E1970,E$1:E1969,1,FALSE()))),"OLD",IF(AND(E1970&lt;&gt;"",E1970&lt;&gt;"!!!"),"NEW","")))</f>
        <v>NEW</v>
      </c>
      <c r="G1970" s="12" t="s">
        <v>67</v>
      </c>
      <c r="H1970" s="13" t="str">
        <f aca="false">IF(J1970&lt;&gt;1,"",IF(I1970="SBJ","CB","?"))</f>
        <v/>
      </c>
      <c r="I1970" s="14" t="str">
        <f aca="false">IF(OR(E1970="",E1970="!!!",F1970="NEW"),"",INDEX(B$2:B1969,-1+SUMPRODUCT(MAX(ROW(E$2:E1969)*(E1970=E$2:E1969)))))</f>
        <v/>
      </c>
      <c r="J1970" s="15" t="str">
        <f aca="true">IF(OR(E1970="",E1970="!!!",F1970="NEW"),"",COUNTBLANK(OFFSET(A$1,,,SUMPRODUCT(MAX(ROW(E$2:E1970)*(E1970=E$2:E1970)))))-COUNTBLANK(OFFSET(A$1,,,SUMPRODUCT(MAX(ROW(E$1:E1969)*(E1970=E$1:E1969))))))</f>
        <v/>
      </c>
      <c r="K1970" s="15" t="str">
        <f aca="false">IF(OR(E1970="",E1970="!!!",F1970="NEW"),"",INDEX(J$1:J1969,SUMPRODUCT(MAX(ROW(E$1:E1969)*(E1970=E$1:E1969)))))</f>
        <v/>
      </c>
      <c r="L1970" s="16"/>
    </row>
    <row r="1971" customFormat="false" ht="12.8" hidden="false" customHeight="false" outlineLevel="0" collapsed="false">
      <c r="A1971" s="0" t="s">
        <v>884</v>
      </c>
      <c r="E1971" s="10" t="str">
        <f aca="false">IF(D1971="?OLD","!!!","")</f>
        <v/>
      </c>
      <c r="F1971" s="11" t="str">
        <f aca="false">IF(OR(E1971="",E1971="!!!"),"",IF(NOT(ISNA(VLOOKUP(E1971,E$1:E1970,1,FALSE()))),"OLD",IF(AND(E1971&lt;&gt;"",E1971&lt;&gt;"!!!"),"NEW","")))</f>
        <v/>
      </c>
      <c r="G1971" s="12"/>
      <c r="H1971" s="13" t="str">
        <f aca="false">IF(J1971&lt;&gt;1,"",IF(I1971="SBJ","CB","?"))</f>
        <v/>
      </c>
      <c r="I1971" s="14" t="str">
        <f aca="false">IF(OR(E1971="",E1971="!!!",F1971="NEW"),"",INDEX(B$2:B1970,-1+SUMPRODUCT(MAX(ROW(E$2:E1970)*(E1971=E$2:E1970)))))</f>
        <v/>
      </c>
      <c r="J1971" s="15" t="str">
        <f aca="true">IF(OR(E1971="",E1971="!!!",F1971="NEW"),"",COUNTBLANK(OFFSET(A$1,,,SUMPRODUCT(MAX(ROW(E$2:E1971)*(E1971=E$2:E1971)))))-COUNTBLANK(OFFSET(A$1,,,SUMPRODUCT(MAX(ROW(E$1:E1970)*(E1971=E$1:E1970))))))</f>
        <v/>
      </c>
      <c r="K1971" s="15" t="str">
        <f aca="false">IF(OR(E1971="",E1971="!!!",F1971="NEW"),"",INDEX(J$1:J1970,SUMPRODUCT(MAX(ROW(E$1:E1970)*(E1971=E$1:E1970)))))</f>
        <v/>
      </c>
      <c r="L1971" s="16"/>
    </row>
    <row r="1972" customFormat="false" ht="12.8" hidden="false" customHeight="false" outlineLevel="0" collapsed="false">
      <c r="A1972" s="0" t="s">
        <v>397</v>
      </c>
      <c r="E1972" s="10" t="str">
        <f aca="false">IF(D1972="?OLD","!!!","")</f>
        <v/>
      </c>
      <c r="F1972" s="11" t="str">
        <f aca="false">IF(OR(E1972="",E1972="!!!"),"",IF(NOT(ISNA(VLOOKUP(E1972,E$1:E1971,1,FALSE()))),"OLD",IF(AND(E1972&lt;&gt;"",E1972&lt;&gt;"!!!"),"NEW","")))</f>
        <v/>
      </c>
      <c r="G1972" s="12" t="str">
        <f aca="false">IF(OR(E1972="",E1972="!!!"),"",IF(OR(J1972=0,AND(J1972=1,K1972=1),AND(J1972=1,I1972="SBJ"),AND(J1972=1,I1972=0)),"?IN_FOCUS",IF(J1972&lt;=2,"?ACTIVATED",IF(J1972&lt;&gt;"","?FAMILIAR",IF(F1972="NEW",IF(ISNA(VLOOKUP(E1972,#REF!,1,FALSE())),"?TYPE_IDENTIFIABLE","?REFERENTIAL"),"_")))))</f>
        <v/>
      </c>
      <c r="H1972" s="13" t="str">
        <f aca="false">IF(J1972&lt;&gt;1,"",IF(I1972="SBJ","CB","?"))</f>
        <v/>
      </c>
      <c r="I1972" s="14" t="str">
        <f aca="false">IF(OR(E1972="",E1972="!!!",F1972="NEW"),"",INDEX(B$2:B1971,-1+SUMPRODUCT(MAX(ROW(E$2:E1971)*(E1972=E$2:E1971)))))</f>
        <v/>
      </c>
      <c r="J1972" s="15" t="str">
        <f aca="true">IF(OR(E1972="",E1972="!!!",F1972="NEW"),"",COUNTBLANK(OFFSET(A$1,,,SUMPRODUCT(MAX(ROW(E$2:E1972)*(E1972=E$2:E1972)))))-COUNTBLANK(OFFSET(A$1,,,SUMPRODUCT(MAX(ROW(E$1:E1971)*(E1972=E$1:E1971))))))</f>
        <v/>
      </c>
      <c r="K1972" s="15" t="str">
        <f aca="false">IF(OR(E1972="",E1972="!!!",F1972="NEW"),"",INDEX(J$1:J1971,SUMPRODUCT(MAX(ROW(E$1:E1971)*(E1972=E$1:E1971)))))</f>
        <v/>
      </c>
      <c r="L1972" s="16"/>
    </row>
    <row r="1973" customFormat="false" ht="12.8" hidden="false" customHeight="false" outlineLevel="0" collapsed="false">
      <c r="A1973" s="0" t="s">
        <v>161</v>
      </c>
      <c r="B1973" s="0" t="s">
        <v>158</v>
      </c>
      <c r="C1973" s="0" t="s">
        <v>48</v>
      </c>
      <c r="D1973" s="0" t="s">
        <v>20</v>
      </c>
      <c r="E1973" s="10" t="s">
        <v>161</v>
      </c>
      <c r="F1973" s="11" t="str">
        <f aca="false">IF(OR(E1973="",E1973="!!!"),"",IF(NOT(ISNA(VLOOKUP(E1973,E$1:E1972,1,FALSE()))),"OLD",IF(AND(E1973&lt;&gt;"",E1973&lt;&gt;"!!!"),"NEW","")))</f>
        <v>OLD</v>
      </c>
      <c r="G1973" s="12" t="s">
        <v>87</v>
      </c>
      <c r="H1973" s="13" t="str">
        <f aca="false">IF(J1973&lt;&gt;1,"",IF(I1973="SBJ","CB","?"))</f>
        <v/>
      </c>
      <c r="I1973" s="14" t="str">
        <f aca="false">IF(OR(E1973="",E1973="!!!",F1973="NEW"),"",INDEX(B$2:B1972,-1+SUMPRODUCT(MAX(ROW(E$2:E1972)*(E1973=E$2:E1972)))))</f>
        <v>other_5</v>
      </c>
      <c r="J1973" s="15" t="n">
        <f aca="true">IF(OR(E1973="",E1973="!!!",F1973="NEW"),"",COUNTBLANK(OFFSET(A$1,,,SUMPRODUCT(MAX(ROW(E$2:E1973)*(E1973=E$2:E1973)))))-COUNTBLANK(OFFSET(A$1,,,SUMPRODUCT(MAX(ROW(E$1:E1972)*(E1973=E$1:E1972))))))</f>
        <v>0</v>
      </c>
      <c r="K1973" s="15" t="n">
        <f aca="false">IF(OR(E1973="",E1973="!!!",F1973="NEW"),"",INDEX(J$1:J1972,SUMPRODUCT(MAX(ROW(E$1:E1972)*(E1973=E$1:E1972)))))</f>
        <v>4</v>
      </c>
      <c r="L1973" s="16"/>
    </row>
    <row r="1974" customFormat="false" ht="12.8" hidden="false" customHeight="false" outlineLevel="0" collapsed="false">
      <c r="A1974" s="0" t="s">
        <v>885</v>
      </c>
      <c r="E1974" s="10" t="str">
        <f aca="false">IF(D1974="?OLD","!!!","")</f>
        <v/>
      </c>
      <c r="F1974" s="11" t="str">
        <f aca="false">IF(OR(E1974="",E1974="!!!"),"",IF(NOT(ISNA(VLOOKUP(E1974,E$1:E1973,1,FALSE()))),"OLD",IF(AND(E1974&lt;&gt;"",E1974&lt;&gt;"!!!"),"NEW","")))</f>
        <v/>
      </c>
      <c r="G1974" s="12" t="str">
        <f aca="false">IF(OR(E1974="",E1974="!!!"),"",IF(OR(J1974=0,AND(J1974=1,K1974=1),AND(J1974=1,I1974="SBJ"),AND(J1974=1,I1974=0)),"?IN_FOCUS",IF(J1974&lt;=2,"?ACTIVATED",IF(J1974&lt;&gt;"","?FAMILIAR",IF(F1974="NEW",IF(ISNA(VLOOKUP(E1974,#REF!,1,FALSE())),"?TYPE_IDENTIFIABLE","?REFERENTIAL"),"_")))))</f>
        <v/>
      </c>
      <c r="H1974" s="13" t="str">
        <f aca="false">IF(J1974&lt;&gt;1,"",IF(I1974="SBJ","CB","?"))</f>
        <v/>
      </c>
      <c r="I1974" s="14" t="str">
        <f aca="false">IF(OR(E1974="",E1974="!!!",F1974="NEW"),"",INDEX(B$2:B1973,-1+SUMPRODUCT(MAX(ROW(E$2:E1973)*(E1974=E$2:E1973)))))</f>
        <v/>
      </c>
      <c r="J1974" s="15" t="str">
        <f aca="true">IF(OR(E1974="",E1974="!!!",F1974="NEW"),"",COUNTBLANK(OFFSET(A$1,,,SUMPRODUCT(MAX(ROW(E$2:E1974)*(E1974=E$2:E1974)))))-COUNTBLANK(OFFSET(A$1,,,SUMPRODUCT(MAX(ROW(E$1:E1973)*(E1974=E$1:E1973))))))</f>
        <v/>
      </c>
      <c r="K1974" s="15" t="str">
        <f aca="false">IF(OR(E1974="",E1974="!!!",F1974="NEW"),"",INDEX(J$1:J1973,SUMPRODUCT(MAX(ROW(E$1:E1973)*(E1974=E$1:E1973)))))</f>
        <v/>
      </c>
      <c r="L1974" s="16"/>
    </row>
    <row r="1975" customFormat="false" ht="12.8" hidden="false" customHeight="false" outlineLevel="0" collapsed="false">
      <c r="A1975" s="0" t="s">
        <v>886</v>
      </c>
      <c r="E1975" s="10" t="str">
        <f aca="false">IF(D1975="?OLD","!!!","")</f>
        <v/>
      </c>
      <c r="F1975" s="11" t="str">
        <f aca="false">IF(OR(E1975="",E1975="!!!"),"",IF(NOT(ISNA(VLOOKUP(E1975,E$1:E1974,1,FALSE()))),"OLD",IF(AND(E1975&lt;&gt;"",E1975&lt;&gt;"!!!"),"NEW","")))</f>
        <v/>
      </c>
      <c r="G1975" s="12" t="str">
        <f aca="false">IF(OR(E1975="",E1975="!!!"),"",IF(OR(J1975=0,AND(J1975=1,K1975=1),AND(J1975=1,I1975="SBJ"),AND(J1975=1,I1975=0)),"?IN_FOCUS",IF(J1975&lt;=2,"?ACTIVATED",IF(J1975&lt;&gt;"","?FAMILIAR",IF(F1975="NEW",IF(ISNA(VLOOKUP(E1975,#REF!,1,FALSE())),"?TYPE_IDENTIFIABLE","?REFERENTIAL"),"_")))))</f>
        <v/>
      </c>
      <c r="H1975" s="13" t="str">
        <f aca="false">IF(J1975&lt;&gt;1,"",IF(I1975="SBJ","CB","?"))</f>
        <v/>
      </c>
      <c r="I1975" s="14" t="str">
        <f aca="false">IF(OR(E1975="",E1975="!!!",F1975="NEW"),"",INDEX(B$2:B1974,-1+SUMPRODUCT(MAX(ROW(E$2:E1974)*(E1975=E$2:E1974)))))</f>
        <v/>
      </c>
      <c r="J1975" s="15" t="str">
        <f aca="true">IF(OR(E1975="",E1975="!!!",F1975="NEW"),"",COUNTBLANK(OFFSET(A$1,,,SUMPRODUCT(MAX(ROW(E$2:E1975)*(E1975=E$2:E1975)))))-COUNTBLANK(OFFSET(A$1,,,SUMPRODUCT(MAX(ROW(E$1:E1974)*(E1975=E$1:E1974))))))</f>
        <v/>
      </c>
      <c r="K1975" s="15" t="str">
        <f aca="false">IF(OR(E1975="",E1975="!!!",F1975="NEW"),"",INDEX(J$1:J1974,SUMPRODUCT(MAX(ROW(E$1:E1974)*(E1975=E$1:E1974)))))</f>
        <v/>
      </c>
      <c r="L1975" s="16"/>
    </row>
    <row r="1976" customFormat="false" ht="12.8" hidden="false" customHeight="false" outlineLevel="0" collapsed="false">
      <c r="A1976" s="0" t="s">
        <v>39</v>
      </c>
      <c r="E1976" s="10" t="str">
        <f aca="false">IF(D1976="?OLD","!!!","")</f>
        <v/>
      </c>
      <c r="F1976" s="11" t="str">
        <f aca="false">IF(OR(E1976="",E1976="!!!"),"",IF(NOT(ISNA(VLOOKUP(E1976,E$1:E1975,1,FALSE()))),"OLD",IF(AND(E1976&lt;&gt;"",E1976&lt;&gt;"!!!"),"NEW","")))</f>
        <v/>
      </c>
      <c r="G1976" s="12" t="str">
        <f aca="false">IF(OR(E1976="",E1976="!!!"),"",IF(OR(J1976=0,AND(J1976=1,K1976=1),AND(J1976=1,I1976="SBJ"),AND(J1976=1,I1976=0)),"?IN_FOCUS",IF(J1976&lt;=2,"?ACTIVATED",IF(J1976&lt;&gt;"","?FAMILIAR",IF(F1976="NEW",IF(ISNA(VLOOKUP(E1976,#REF!,1,FALSE())),"?TYPE_IDENTIFIABLE","?REFERENTIAL"),"_")))))</f>
        <v/>
      </c>
      <c r="H1976" s="13" t="str">
        <f aca="false">IF(J1976&lt;&gt;1,"",IF(I1976="SBJ","CB","?"))</f>
        <v/>
      </c>
      <c r="I1976" s="14" t="str">
        <f aca="false">IF(OR(E1976="",E1976="!!!",F1976="NEW"),"",INDEX(B$2:B1975,-1+SUMPRODUCT(MAX(ROW(E$2:E1975)*(E1976=E$2:E1975)))))</f>
        <v/>
      </c>
      <c r="J1976" s="15" t="str">
        <f aca="true">IF(OR(E1976="",E1976="!!!",F1976="NEW"),"",COUNTBLANK(OFFSET(A$1,,,SUMPRODUCT(MAX(ROW(E$2:E1976)*(E1976=E$2:E1976)))))-COUNTBLANK(OFFSET(A$1,,,SUMPRODUCT(MAX(ROW(E$1:E1975)*(E1976=E$1:E1975))))))</f>
        <v/>
      </c>
      <c r="K1976" s="15" t="str">
        <f aca="false">IF(OR(E1976="",E1976="!!!",F1976="NEW"),"",INDEX(J$1:J1975,SUMPRODUCT(MAX(ROW(E$1:E1975)*(E1976=E$1:E1975)))))</f>
        <v/>
      </c>
      <c r="L1976" s="16"/>
    </row>
    <row r="1977" customFormat="false" ht="12.8" hidden="false" customHeight="false" outlineLevel="0" collapsed="false">
      <c r="A1977" s="0" t="s">
        <v>179</v>
      </c>
      <c r="E1977" s="10" t="str">
        <f aca="false">IF(D1977="?OLD","!!!","")</f>
        <v/>
      </c>
      <c r="F1977" s="11" t="str">
        <f aca="false">IF(OR(E1977="",E1977="!!!"),"",IF(NOT(ISNA(VLOOKUP(E1977,E$1:E1976,1,FALSE()))),"OLD",IF(AND(E1977&lt;&gt;"",E1977&lt;&gt;"!!!"),"NEW","")))</f>
        <v/>
      </c>
      <c r="G1977" s="12" t="str">
        <f aca="false">IF(OR(E1977="",E1977="!!!"),"",IF(OR(J1977=0,AND(J1977=1,K1977=1),AND(J1977=1,I1977="SBJ"),AND(J1977=1,I1977=0)),"?IN_FOCUS",IF(J1977&lt;=2,"?ACTIVATED",IF(J1977&lt;&gt;"","?FAMILIAR",IF(F1977="NEW",IF(ISNA(VLOOKUP(E1977,#REF!,1,FALSE())),"?TYPE_IDENTIFIABLE","?REFERENTIAL"),"_")))))</f>
        <v/>
      </c>
      <c r="H1977" s="13" t="str">
        <f aca="false">IF(J1977&lt;&gt;1,"",IF(I1977="SBJ","CB","?"))</f>
        <v/>
      </c>
      <c r="I1977" s="14" t="str">
        <f aca="false">IF(OR(E1977="",E1977="!!!",F1977="NEW"),"",INDEX(B$2:B1976,-1+SUMPRODUCT(MAX(ROW(E$2:E1976)*(E1977=E$2:E1976)))))</f>
        <v/>
      </c>
      <c r="J1977" s="15" t="str">
        <f aca="true">IF(OR(E1977="",E1977="!!!",F1977="NEW"),"",COUNTBLANK(OFFSET(A$1,,,SUMPRODUCT(MAX(ROW(E$2:E1977)*(E1977=E$2:E1977)))))-COUNTBLANK(OFFSET(A$1,,,SUMPRODUCT(MAX(ROW(E$1:E1976)*(E1977=E$1:E1976))))))</f>
        <v/>
      </c>
      <c r="K1977" s="15" t="str">
        <f aca="false">IF(OR(E1977="",E1977="!!!",F1977="NEW"),"",INDEX(J$1:J1976,SUMPRODUCT(MAX(ROW(E$1:E1976)*(E1977=E$1:E1976)))))</f>
        <v/>
      </c>
      <c r="L1977" s="16"/>
    </row>
    <row r="1978" customFormat="false" ht="12.8" hidden="false" customHeight="false" outlineLevel="0" collapsed="false">
      <c r="A1978" s="0" t="s">
        <v>887</v>
      </c>
      <c r="E1978" s="10" t="str">
        <f aca="false">IF(D1978="?OLD","!!!","")</f>
        <v/>
      </c>
      <c r="F1978" s="11" t="str">
        <f aca="false">IF(OR(E1978="",E1978="!!!"),"",IF(NOT(ISNA(VLOOKUP(E1978,E$1:E1977,1,FALSE()))),"OLD",IF(AND(E1978&lt;&gt;"",E1978&lt;&gt;"!!!"),"NEW","")))</f>
        <v/>
      </c>
      <c r="G1978" s="12" t="str">
        <f aca="false">IF(OR(E1978="",E1978="!!!"),"",IF(OR(J1978=0,AND(J1978=1,K1978=1),AND(J1978=1,I1978="SBJ"),AND(J1978=1,I1978=0)),"?IN_FOCUS",IF(J1978&lt;=2,"?ACTIVATED",IF(J1978&lt;&gt;"","?FAMILIAR",IF(F1978="NEW",IF(ISNA(VLOOKUP(E1978,#REF!,1,FALSE())),"?TYPE_IDENTIFIABLE","?REFERENTIAL"),"_")))))</f>
        <v/>
      </c>
      <c r="H1978" s="13" t="str">
        <f aca="false">IF(J1978&lt;&gt;1,"",IF(I1978="SBJ","CB","?"))</f>
        <v/>
      </c>
      <c r="I1978" s="14" t="str">
        <f aca="false">IF(OR(E1978="",E1978="!!!",F1978="NEW"),"",INDEX(B$2:B1977,-1+SUMPRODUCT(MAX(ROW(E$2:E1977)*(E1978=E$2:E1977)))))</f>
        <v/>
      </c>
      <c r="J1978" s="15" t="str">
        <f aca="true">IF(OR(E1978="",E1978="!!!",F1978="NEW"),"",COUNTBLANK(OFFSET(A$1,,,SUMPRODUCT(MAX(ROW(E$2:E1978)*(E1978=E$2:E1978)))))-COUNTBLANK(OFFSET(A$1,,,SUMPRODUCT(MAX(ROW(E$1:E1977)*(E1978=E$1:E1977))))))</f>
        <v/>
      </c>
      <c r="K1978" s="15" t="str">
        <f aca="false">IF(OR(E1978="",E1978="!!!",F1978="NEW"),"",INDEX(J$1:J1977,SUMPRODUCT(MAX(ROW(E$1:E1977)*(E1978=E$1:E1977)))))</f>
        <v/>
      </c>
      <c r="L1978" s="16"/>
    </row>
    <row r="1979" customFormat="false" ht="12.8" hidden="false" customHeight="false" outlineLevel="0" collapsed="false">
      <c r="A1979" s="0" t="s">
        <v>888</v>
      </c>
      <c r="B1979" s="0" t="s">
        <v>69</v>
      </c>
      <c r="C1979" s="0" t="s">
        <v>181</v>
      </c>
      <c r="E1979" s="10" t="s">
        <v>889</v>
      </c>
      <c r="F1979" s="11" t="str">
        <f aca="false">IF(OR(E1979="",E1979="!!!"),"",IF(NOT(ISNA(VLOOKUP(E1979,E$1:E1978,1,FALSE()))),"OLD",IF(AND(E1979&lt;&gt;"",E1979&lt;&gt;"!!!"),"NEW","")))</f>
        <v>NEW</v>
      </c>
      <c r="G1979" s="12" t="s">
        <v>67</v>
      </c>
      <c r="H1979" s="13" t="str">
        <f aca="false">IF(J1979&lt;&gt;1,"",IF(I1979="SBJ","CB","?"))</f>
        <v/>
      </c>
      <c r="I1979" s="14" t="str">
        <f aca="false">IF(OR(E1979="",E1979="!!!",F1979="NEW"),"",INDEX(B$2:B1978,-1+SUMPRODUCT(MAX(ROW(E$2:E1978)*(E1979=E$2:E1978)))))</f>
        <v/>
      </c>
      <c r="J1979" s="15" t="str">
        <f aca="true">IF(OR(E1979="",E1979="!!!",F1979="NEW"),"",COUNTBLANK(OFFSET(A$1,,,SUMPRODUCT(MAX(ROW(E$2:E1979)*(E1979=E$2:E1979)))))-COUNTBLANK(OFFSET(A$1,,,SUMPRODUCT(MAX(ROW(E$1:E1978)*(E1979=E$1:E1978))))))</f>
        <v/>
      </c>
      <c r="K1979" s="15" t="str">
        <f aca="false">IF(OR(E1979="",E1979="!!!",F1979="NEW"),"",INDEX(J$1:J1978,SUMPRODUCT(MAX(ROW(E$1:E1978)*(E1979=E$1:E1978)))))</f>
        <v/>
      </c>
      <c r="L1979" s="16"/>
    </row>
    <row r="1980" customFormat="false" ht="12.8" hidden="false" customHeight="false" outlineLevel="0" collapsed="false">
      <c r="A1980" s="0" t="s">
        <v>76</v>
      </c>
      <c r="E1980" s="10" t="str">
        <f aca="false">IF(D1980="?OLD","!!!","")</f>
        <v/>
      </c>
      <c r="F1980" s="11" t="str">
        <f aca="false">IF(OR(E1980="",E1980="!!!"),"",IF(NOT(ISNA(VLOOKUP(E1980,E$1:E1979,1,FALSE()))),"OLD",IF(AND(E1980&lt;&gt;"",E1980&lt;&gt;"!!!"),"NEW","")))</f>
        <v/>
      </c>
      <c r="G1980" s="12" t="str">
        <f aca="false">IF(OR(E1980="",E1980="!!!"),"",IF(OR(J1980=0,AND(J1980=1,K1980=1),AND(J1980=1,I1980="SBJ"),AND(J1980=1,I1980=0)),"?IN_FOCUS",IF(J1980&lt;=2,"?ACTIVATED",IF(J1980&lt;&gt;"","?FAMILIAR",IF(F1980="NEW",IF(ISNA(VLOOKUP(E1980,#REF!,1,FALSE())),"?TYPE_IDENTIFIABLE","?REFERENTIAL"),"_")))))</f>
        <v/>
      </c>
      <c r="H1980" s="13" t="str">
        <f aca="false">IF(J1980&lt;&gt;1,"",IF(I1980="SBJ","CB","?"))</f>
        <v/>
      </c>
      <c r="I1980" s="14" t="str">
        <f aca="false">IF(OR(E1980="",E1980="!!!",F1980="NEW"),"",INDEX(B$2:B1979,-1+SUMPRODUCT(MAX(ROW(E$2:E1979)*(E1980=E$2:E1979)))))</f>
        <v/>
      </c>
      <c r="J1980" s="15" t="str">
        <f aca="true">IF(OR(E1980="",E1980="!!!",F1980="NEW"),"",COUNTBLANK(OFFSET(A$1,,,SUMPRODUCT(MAX(ROW(E$2:E1980)*(E1980=E$2:E1980)))))-COUNTBLANK(OFFSET(A$1,,,SUMPRODUCT(MAX(ROW(E$1:E1979)*(E1980=E$1:E1979))))))</f>
        <v/>
      </c>
      <c r="K1980" s="15" t="str">
        <f aca="false">IF(OR(E1980="",E1980="!!!",F1980="NEW"),"",INDEX(J$1:J1979,SUMPRODUCT(MAX(ROW(E$1:E1979)*(E1980=E$1:E1979)))))</f>
        <v/>
      </c>
      <c r="L1980" s="16"/>
    </row>
    <row r="1981" customFormat="false" ht="12.8" hidden="false" customHeight="false" outlineLevel="0" collapsed="false">
      <c r="E1981" s="10" t="str">
        <f aca="false">IF(D1981="?OLD","!!!","")</f>
        <v/>
      </c>
      <c r="F1981" s="11" t="str">
        <f aca="false">IF(OR(E1981="",E1981="!!!"),"",IF(NOT(ISNA(VLOOKUP(E1981,E$1:E1980,1,FALSE()))),"OLD",IF(AND(E1981&lt;&gt;"",E1981&lt;&gt;"!!!"),"NEW","")))</f>
        <v/>
      </c>
      <c r="G1981" s="12" t="str">
        <f aca="false">IF(OR(E1981="",E1981="!!!"),"",IF(OR(J1981=0,AND(J1981=1,K1981=1),AND(J1981=1,I1981="SBJ"),AND(J1981=1,I1981=0)),"?IN_FOCUS",IF(J1981&lt;=2,"?ACTIVATED",IF(J1981&lt;&gt;"","?FAMILIAR",IF(F1981="NEW",IF(ISNA(VLOOKUP(E1981,#REF!,1,FALSE())),"?TYPE_IDENTIFIABLE","?REFERENTIAL"),"_")))))</f>
        <v/>
      </c>
      <c r="H1981" s="13" t="str">
        <f aca="false">IF(J1981&lt;&gt;1,"",IF(I1981="SBJ","CB","?"))</f>
        <v/>
      </c>
      <c r="I1981" s="14" t="str">
        <f aca="false">IF(OR(E1981="",E1981="!!!",F1981="NEW"),"",INDEX(B$2:B1980,-1+SUMPRODUCT(MAX(ROW(E$2:E1980)*(E1981=E$2:E1980)))))</f>
        <v/>
      </c>
      <c r="J1981" s="15" t="str">
        <f aca="true">IF(OR(E1981="",E1981="!!!",F1981="NEW"),"",COUNTBLANK(OFFSET(A$1,,,SUMPRODUCT(MAX(ROW(E$2:E1981)*(E1981=E$2:E1981)))))-COUNTBLANK(OFFSET(A$1,,,SUMPRODUCT(MAX(ROW(E$1:E1980)*(E1981=E$1:E1980))))))</f>
        <v/>
      </c>
      <c r="K1981" s="15" t="str">
        <f aca="false">IF(OR(E1981="",E1981="!!!",F1981="NEW"),"",INDEX(J$1:J1980,SUMPRODUCT(MAX(ROW(E$1:E1980)*(E1981=E$1:E1980)))))</f>
        <v/>
      </c>
      <c r="L1981" s="16"/>
    </row>
    <row r="1982" customFormat="false" ht="12.8" hidden="false" customHeight="false" outlineLevel="0" collapsed="false">
      <c r="A1982" s="0" t="s">
        <v>890</v>
      </c>
      <c r="E1982" s="10" t="str">
        <f aca="false">IF(D1982="?OLD","!!!","")</f>
        <v/>
      </c>
      <c r="F1982" s="11" t="str">
        <f aca="false">IF(OR(E1982="",E1982="!!!"),"",IF(NOT(ISNA(VLOOKUP(E1982,E$1:E1981,1,FALSE()))),"OLD",IF(AND(E1982&lt;&gt;"",E1982&lt;&gt;"!!!"),"NEW","")))</f>
        <v/>
      </c>
      <c r="G1982" s="12" t="str">
        <f aca="false">IF(OR(E1982="",E1982="!!!"),"",IF(OR(J1982=0,AND(J1982=1,K1982=1),AND(J1982=1,I1982="SBJ"),AND(J1982=1,I1982=0)),"?IN_FOCUS",IF(J1982&lt;=2,"?ACTIVATED",IF(J1982&lt;&gt;"","?FAMILIAR",IF(F1982="NEW",IF(ISNA(VLOOKUP(E1982,#REF!,1,FALSE())),"?TYPE_IDENTIFIABLE","?REFERENTIAL"),"_")))))</f>
        <v/>
      </c>
      <c r="H1982" s="13" t="str">
        <f aca="false">IF(J1982&lt;&gt;1,"",IF(I1982="SBJ","CB","?"))</f>
        <v/>
      </c>
      <c r="I1982" s="14" t="str">
        <f aca="false">IF(OR(E1982="",E1982="!!!",F1982="NEW"),"",INDEX(B$2:B1981,-1+SUMPRODUCT(MAX(ROW(E$2:E1981)*(E1982=E$2:E1981)))))</f>
        <v/>
      </c>
      <c r="J1982" s="15" t="str">
        <f aca="true">IF(OR(E1982="",E1982="!!!",F1982="NEW"),"",COUNTBLANK(OFFSET(A$1,,,SUMPRODUCT(MAX(ROW(E$2:E1982)*(E1982=E$2:E1982)))))-COUNTBLANK(OFFSET(A$1,,,SUMPRODUCT(MAX(ROW(E$1:E1981)*(E1982=E$1:E1981))))))</f>
        <v/>
      </c>
      <c r="K1982" s="15" t="str">
        <f aca="false">IF(OR(E1982="",E1982="!!!",F1982="NEW"),"",INDEX(J$1:J1981,SUMPRODUCT(MAX(ROW(E$1:E1981)*(E1982=E$1:E1981)))))</f>
        <v/>
      </c>
      <c r="L1982" s="16"/>
    </row>
    <row r="1983" customFormat="false" ht="12.8" hidden="false" customHeight="false" outlineLevel="0" collapsed="false">
      <c r="A1983" s="0" t="s">
        <v>372</v>
      </c>
      <c r="E1983" s="10" t="str">
        <f aca="false">IF(D1983="?OLD","!!!","")</f>
        <v/>
      </c>
      <c r="F1983" s="11" t="str">
        <f aca="false">IF(OR(E1983="",E1983="!!!"),"",IF(NOT(ISNA(VLOOKUP(E1983,E$1:E1982,1,FALSE()))),"OLD",IF(AND(E1983&lt;&gt;"",E1983&lt;&gt;"!!!"),"NEW","")))</f>
        <v/>
      </c>
      <c r="G1983" s="12" t="str">
        <f aca="false">IF(OR(E1983="",E1983="!!!"),"",IF(OR(J1983=0,AND(J1983=1,K1983=1),AND(J1983=1,I1983="SBJ"),AND(J1983=1,I1983=0)),"?IN_FOCUS",IF(J1983&lt;=2,"?ACTIVATED",IF(J1983&lt;&gt;"","?FAMILIAR",IF(F1983="NEW",IF(ISNA(VLOOKUP(E1983,#REF!,1,FALSE())),"?TYPE_IDENTIFIABLE","?REFERENTIAL"),"_")))))</f>
        <v/>
      </c>
      <c r="H1983" s="13" t="str">
        <f aca="false">IF(J1983&lt;&gt;1,"",IF(I1983="SBJ","CB","?"))</f>
        <v/>
      </c>
      <c r="I1983" s="14" t="str">
        <f aca="false">IF(OR(E1983="",E1983="!!!",F1983="NEW"),"",INDEX(B$2:B1982,-1+SUMPRODUCT(MAX(ROW(E$2:E1982)*(E1983=E$2:E1982)))))</f>
        <v/>
      </c>
      <c r="J1983" s="15" t="str">
        <f aca="true">IF(OR(E1983="",E1983="!!!",F1983="NEW"),"",COUNTBLANK(OFFSET(A$1,,,SUMPRODUCT(MAX(ROW(E$2:E1983)*(E1983=E$2:E1983)))))-COUNTBLANK(OFFSET(A$1,,,SUMPRODUCT(MAX(ROW(E$1:E1982)*(E1983=E$1:E1982))))))</f>
        <v/>
      </c>
      <c r="K1983" s="15" t="str">
        <f aca="false">IF(OR(E1983="",E1983="!!!",F1983="NEW"),"",INDEX(J$1:J1982,SUMPRODUCT(MAX(ROW(E$1:E1982)*(E1983=E$1:E1982)))))</f>
        <v/>
      </c>
      <c r="L1983" s="16"/>
    </row>
    <row r="1984" customFormat="false" ht="12.8" hidden="false" customHeight="false" outlineLevel="0" collapsed="false">
      <c r="A1984" s="0" t="s">
        <v>44</v>
      </c>
      <c r="E1984" s="10" t="str">
        <f aca="false">IF(D1984="?OLD","!!!","")</f>
        <v/>
      </c>
      <c r="F1984" s="11" t="str">
        <f aca="false">IF(OR(E1984="",E1984="!!!"),"",IF(NOT(ISNA(VLOOKUP(E1984,E$1:E1983,1,FALSE()))),"OLD",IF(AND(E1984&lt;&gt;"",E1984&lt;&gt;"!!!"),"NEW","")))</f>
        <v/>
      </c>
      <c r="G1984" s="12" t="str">
        <f aca="false">IF(OR(E1984="",E1984="!!!"),"",IF(OR(J1984=0,AND(J1984=1,K1984=1),AND(J1984=1,I1984="SBJ"),AND(J1984=1,I1984=0)),"?IN_FOCUS",IF(J1984&lt;=2,"?ACTIVATED",IF(J1984&lt;&gt;"","?FAMILIAR",IF(F1984="NEW",IF(ISNA(VLOOKUP(E1984,#REF!,1,FALSE())),"?TYPE_IDENTIFIABLE","?REFERENTIAL"),"_")))))</f>
        <v/>
      </c>
      <c r="H1984" s="13" t="str">
        <f aca="false">IF(J1984&lt;&gt;1,"",IF(I1984="SBJ","CB","?"))</f>
        <v/>
      </c>
      <c r="I1984" s="14" t="str">
        <f aca="false">IF(OR(E1984="",E1984="!!!",F1984="NEW"),"",INDEX(B$2:B1983,-1+SUMPRODUCT(MAX(ROW(E$2:E1983)*(E1984=E$2:E1983)))))</f>
        <v/>
      </c>
      <c r="J1984" s="15" t="str">
        <f aca="true">IF(OR(E1984="",E1984="!!!",F1984="NEW"),"",COUNTBLANK(OFFSET(A$1,,,SUMPRODUCT(MAX(ROW(E$2:E1984)*(E1984=E$2:E1984)))))-COUNTBLANK(OFFSET(A$1,,,SUMPRODUCT(MAX(ROW(E$1:E1983)*(E1984=E$1:E1983))))))</f>
        <v/>
      </c>
      <c r="K1984" s="15" t="str">
        <f aca="false">IF(OR(E1984="",E1984="!!!",F1984="NEW"),"",INDEX(J$1:J1983,SUMPRODUCT(MAX(ROW(E$1:E1983)*(E1984=E$1:E1983)))))</f>
        <v/>
      </c>
      <c r="L1984" s="16"/>
    </row>
    <row r="1985" customFormat="false" ht="12.8" hidden="false" customHeight="false" outlineLevel="0" collapsed="false">
      <c r="A1985" s="0" t="s">
        <v>891</v>
      </c>
      <c r="E1985" s="10" t="str">
        <f aca="false">IF(D1985="?OLD","!!!","")</f>
        <v/>
      </c>
      <c r="F1985" s="11" t="str">
        <f aca="false">IF(OR(E1985="",E1985="!!!"),"",IF(NOT(ISNA(VLOOKUP(E1985,E$1:E1984,1,FALSE()))),"OLD",IF(AND(E1985&lt;&gt;"",E1985&lt;&gt;"!!!"),"NEW","")))</f>
        <v/>
      </c>
      <c r="G1985" s="12" t="str">
        <f aca="false">IF(OR(E1985="",E1985="!!!"),"",IF(OR(J1985=0,AND(J1985=1,K1985=1),AND(J1985=1,I1985="SBJ"),AND(J1985=1,I1985=0)),"?IN_FOCUS",IF(J1985&lt;=2,"?ACTIVATED",IF(J1985&lt;&gt;"","?FAMILIAR",IF(F1985="NEW",IF(ISNA(VLOOKUP(E1985,#REF!,1,FALSE())),"?TYPE_IDENTIFIABLE","?REFERENTIAL"),"_")))))</f>
        <v/>
      </c>
      <c r="H1985" s="13" t="str">
        <f aca="false">IF(J1985&lt;&gt;1,"",IF(I1985="SBJ","CB","?"))</f>
        <v/>
      </c>
      <c r="I1985" s="14" t="str">
        <f aca="false">IF(OR(E1985="",E1985="!!!",F1985="NEW"),"",INDEX(B$2:B1984,-1+SUMPRODUCT(MAX(ROW(E$2:E1984)*(E1985=E$2:E1984)))))</f>
        <v/>
      </c>
      <c r="J1985" s="15" t="str">
        <f aca="true">IF(OR(E1985="",E1985="!!!",F1985="NEW"),"",COUNTBLANK(OFFSET(A$1,,,SUMPRODUCT(MAX(ROW(E$2:E1985)*(E1985=E$2:E1985)))))-COUNTBLANK(OFFSET(A$1,,,SUMPRODUCT(MAX(ROW(E$1:E1984)*(E1985=E$1:E1984))))))</f>
        <v/>
      </c>
      <c r="K1985" s="15" t="str">
        <f aca="false">IF(OR(E1985="",E1985="!!!",F1985="NEW"),"",INDEX(J$1:J1984,SUMPRODUCT(MAX(ROW(E$1:E1984)*(E1985=E$1:E1984)))))</f>
        <v/>
      </c>
      <c r="L1985" s="16"/>
    </row>
    <row r="1986" customFormat="false" ht="12.8" hidden="false" customHeight="false" outlineLevel="0" collapsed="false">
      <c r="A1986" s="0" t="s">
        <v>219</v>
      </c>
      <c r="E1986" s="10" t="str">
        <f aca="false">IF(D1986="?OLD","!!!","")</f>
        <v/>
      </c>
      <c r="F1986" s="11" t="str">
        <f aca="false">IF(OR(E1986="",E1986="!!!"),"",IF(NOT(ISNA(VLOOKUP(E1986,E$1:E1985,1,FALSE()))),"OLD",IF(AND(E1986&lt;&gt;"",E1986&lt;&gt;"!!!"),"NEW","")))</f>
        <v/>
      </c>
      <c r="G1986" s="12" t="str">
        <f aca="false">IF(OR(E1986="",E1986="!!!"),"",IF(OR(J1986=0,AND(J1986=1,K1986=1),AND(J1986=1,I1986="SBJ"),AND(J1986=1,I1986=0)),"?IN_FOCUS",IF(J1986&lt;=2,"?ACTIVATED",IF(J1986&lt;&gt;"","?FAMILIAR",IF(F1986="NEW",IF(ISNA(VLOOKUP(E1986,#REF!,1,FALSE())),"?TYPE_IDENTIFIABLE","?REFERENTIAL"),"_")))))</f>
        <v/>
      </c>
      <c r="H1986" s="13" t="str">
        <f aca="false">IF(J1986&lt;&gt;1,"",IF(I1986="SBJ","CB","?"))</f>
        <v/>
      </c>
      <c r="I1986" s="14" t="str">
        <f aca="false">IF(OR(E1986="",E1986="!!!",F1986="NEW"),"",INDEX(B$2:B1985,-1+SUMPRODUCT(MAX(ROW(E$2:E1985)*(E1986=E$2:E1985)))))</f>
        <v/>
      </c>
      <c r="J1986" s="15" t="str">
        <f aca="true">IF(OR(E1986="",E1986="!!!",F1986="NEW"),"",COUNTBLANK(OFFSET(A$1,,,SUMPRODUCT(MAX(ROW(E$2:E1986)*(E1986=E$2:E1986)))))-COUNTBLANK(OFFSET(A$1,,,SUMPRODUCT(MAX(ROW(E$1:E1985)*(E1986=E$1:E1985))))))</f>
        <v/>
      </c>
      <c r="K1986" s="15" t="str">
        <f aca="false">IF(OR(E1986="",E1986="!!!",F1986="NEW"),"",INDEX(J$1:J1985,SUMPRODUCT(MAX(ROW(E$1:E1985)*(E1986=E$1:E1985)))))</f>
        <v/>
      </c>
      <c r="L1986" s="16"/>
    </row>
    <row r="1987" customFormat="false" ht="12.8" hidden="false" customHeight="false" outlineLevel="0" collapsed="false">
      <c r="A1987" s="0" t="s">
        <v>252</v>
      </c>
      <c r="E1987" s="10" t="str">
        <f aca="false">IF(D1987="?OLD","!!!","")</f>
        <v/>
      </c>
      <c r="F1987" s="11" t="str">
        <f aca="false">IF(OR(E1987="",E1987="!!!"),"",IF(NOT(ISNA(VLOOKUP(E1987,E$1:E1986,1,FALSE()))),"OLD",IF(AND(E1987&lt;&gt;"",E1987&lt;&gt;"!!!"),"NEW","")))</f>
        <v/>
      </c>
      <c r="G1987" s="12" t="str">
        <f aca="false">IF(OR(E1987="",E1987="!!!"),"",IF(OR(J1987=0,AND(J1987=1,K1987=1),AND(J1987=1,I1987="SBJ"),AND(J1987=1,I1987=0)),"?IN_FOCUS",IF(J1987&lt;=2,"?ACTIVATED",IF(J1987&lt;&gt;"","?FAMILIAR",IF(F1987="NEW",IF(ISNA(VLOOKUP(E1987,#REF!,1,FALSE())),"?TYPE_IDENTIFIABLE","?REFERENTIAL"),"_")))))</f>
        <v/>
      </c>
      <c r="H1987" s="13" t="str">
        <f aca="false">IF(J1987&lt;&gt;1,"",IF(I1987="SBJ","CB","?"))</f>
        <v/>
      </c>
      <c r="I1987" s="14" t="str">
        <f aca="false">IF(OR(E1987="",E1987="!!!",F1987="NEW"),"",INDEX(B$2:B1986,-1+SUMPRODUCT(MAX(ROW(E$2:E1986)*(E1987=E$2:E1986)))))</f>
        <v/>
      </c>
      <c r="J1987" s="15" t="str">
        <f aca="true">IF(OR(E1987="",E1987="!!!",F1987="NEW"),"",COUNTBLANK(OFFSET(A$1,,,SUMPRODUCT(MAX(ROW(E$2:E1987)*(E1987=E$2:E1987)))))-COUNTBLANK(OFFSET(A$1,,,SUMPRODUCT(MAX(ROW(E$1:E1986)*(E1987=E$1:E1986))))))</f>
        <v/>
      </c>
      <c r="K1987" s="15" t="str">
        <f aca="false">IF(OR(E1987="",E1987="!!!",F1987="NEW"),"",INDEX(J$1:J1986,SUMPRODUCT(MAX(ROW(E$1:E1986)*(E1987=E$1:E1986)))))</f>
        <v/>
      </c>
      <c r="L1987" s="16"/>
    </row>
    <row r="1988" customFormat="false" ht="12.8" hidden="false" customHeight="false" outlineLevel="0" collapsed="false">
      <c r="A1988" s="0" t="s">
        <v>127</v>
      </c>
      <c r="B1988" s="0" t="s">
        <v>34</v>
      </c>
      <c r="C1988" s="0" t="s">
        <v>48</v>
      </c>
      <c r="D1988" s="0" t="s">
        <v>20</v>
      </c>
      <c r="E1988" s="10"/>
      <c r="F1988" s="11" t="s">
        <v>238</v>
      </c>
      <c r="G1988" s="12"/>
      <c r="H1988" s="13" t="str">
        <f aca="false">IF(J1988&lt;&gt;1,"",IF(I1988="SBJ","CB","?"))</f>
        <v/>
      </c>
      <c r="I1988" s="14" t="str">
        <f aca="false">IF(OR(E1988="",E1988="!!!",F1988="NEW"),"",INDEX(B$2:B1987,-1+SUMPRODUCT(MAX(ROW(E$2:E1987)*(E1988=E$2:E1987)))))</f>
        <v/>
      </c>
      <c r="J1988" s="15" t="str">
        <f aca="true">IF(OR(E1988="",E1988="!!!",F1988="NEW"),"",COUNTBLANK(OFFSET(A$1,,,SUMPRODUCT(MAX(ROW(E$2:E1988)*(E1988=E$2:E1988)))))-COUNTBLANK(OFFSET(A$1,,,SUMPRODUCT(MAX(ROW(E$1:E1987)*(E1988=E$1:E1987))))))</f>
        <v/>
      </c>
      <c r="K1988" s="15" t="str">
        <f aca="false">IF(OR(E1988="",E1988="!!!",F1988="NEW"),"",INDEX(J$1:J1987,SUMPRODUCT(MAX(ROW(E$1:E1987)*(E1988=E$1:E1987)))))</f>
        <v/>
      </c>
      <c r="L1988" s="16"/>
    </row>
    <row r="1989" customFormat="false" ht="12.8" hidden="false" customHeight="false" outlineLevel="0" collapsed="false">
      <c r="A1989" s="0" t="s">
        <v>892</v>
      </c>
      <c r="E1989" s="10" t="str">
        <f aca="false">IF(D1989="?OLD","!!!","")</f>
        <v/>
      </c>
      <c r="F1989" s="11" t="str">
        <f aca="false">IF(OR(E1989="",E1989="!!!"),"",IF(NOT(ISNA(VLOOKUP(E1989,E$1:E1988,1,FALSE()))),"OLD",IF(AND(E1989&lt;&gt;"",E1989&lt;&gt;"!!!"),"NEW","")))</f>
        <v/>
      </c>
      <c r="G1989" s="12" t="str">
        <f aca="false">IF(OR(E1989="",E1989="!!!"),"",IF(OR(J1989=0,AND(J1989=1,K1989=1),AND(J1989=1,I1989="SBJ"),AND(J1989=1,I1989=0)),"?IN_FOCUS",IF(J1989&lt;=2,"?ACTIVATED",IF(J1989&lt;&gt;"","?FAMILIAR",IF(F1989="NEW",IF(ISNA(VLOOKUP(E1989,#REF!,1,FALSE())),"?TYPE_IDENTIFIABLE","?REFERENTIAL"),"_")))))</f>
        <v/>
      </c>
      <c r="H1989" s="13" t="str">
        <f aca="false">IF(J1989&lt;&gt;1,"",IF(I1989="SBJ","CB","?"))</f>
        <v/>
      </c>
      <c r="I1989" s="14" t="str">
        <f aca="false">IF(OR(E1989="",E1989="!!!",F1989="NEW"),"",INDEX(B$2:B1988,-1+SUMPRODUCT(MAX(ROW(E$2:E1988)*(E1989=E$2:E1988)))))</f>
        <v/>
      </c>
      <c r="J1989" s="15" t="str">
        <f aca="true">IF(OR(E1989="",E1989="!!!",F1989="NEW"),"",COUNTBLANK(OFFSET(A$1,,,SUMPRODUCT(MAX(ROW(E$2:E1989)*(E1989=E$2:E1989)))))-COUNTBLANK(OFFSET(A$1,,,SUMPRODUCT(MAX(ROW(E$1:E1988)*(E1989=E$1:E1988))))))</f>
        <v/>
      </c>
      <c r="K1989" s="15" t="str">
        <f aca="false">IF(OR(E1989="",E1989="!!!",F1989="NEW"),"",INDEX(J$1:J1988,SUMPRODUCT(MAX(ROW(E$1:E1988)*(E1989=E$1:E1988)))))</f>
        <v/>
      </c>
      <c r="L1989" s="16"/>
    </row>
    <row r="1990" customFormat="false" ht="12.8" hidden="false" customHeight="false" outlineLevel="0" collapsed="false">
      <c r="A1990" s="0" t="s">
        <v>39</v>
      </c>
      <c r="E1990" s="10" t="str">
        <f aca="false">IF(D1990="?OLD","!!!","")</f>
        <v/>
      </c>
      <c r="F1990" s="11" t="str">
        <f aca="false">IF(OR(E1990="",E1990="!!!"),"",IF(NOT(ISNA(VLOOKUP(E1990,E$1:E1989,1,FALSE()))),"OLD",IF(AND(E1990&lt;&gt;"",E1990&lt;&gt;"!!!"),"NEW","")))</f>
        <v/>
      </c>
      <c r="G1990" s="12" t="str">
        <f aca="false">IF(OR(E1990="",E1990="!!!"),"",IF(OR(J1990=0,AND(J1990=1,K1990=1),AND(J1990=1,I1990="SBJ"),AND(J1990=1,I1990=0)),"?IN_FOCUS",IF(J1990&lt;=2,"?ACTIVATED",IF(J1990&lt;&gt;"","?FAMILIAR",IF(F1990="NEW",IF(ISNA(VLOOKUP(E1990,#REF!,1,FALSE())),"?TYPE_IDENTIFIABLE","?REFERENTIAL"),"_")))))</f>
        <v/>
      </c>
      <c r="H1990" s="13" t="str">
        <f aca="false">IF(J1990&lt;&gt;1,"",IF(I1990="SBJ","CB","?"))</f>
        <v/>
      </c>
      <c r="I1990" s="14" t="str">
        <f aca="false">IF(OR(E1990="",E1990="!!!",F1990="NEW"),"",INDEX(B$2:B1989,-1+SUMPRODUCT(MAX(ROW(E$2:E1989)*(E1990=E$2:E1989)))))</f>
        <v/>
      </c>
      <c r="J1990" s="15" t="str">
        <f aca="true">IF(OR(E1990="",E1990="!!!",F1990="NEW"),"",COUNTBLANK(OFFSET(A$1,,,SUMPRODUCT(MAX(ROW(E$2:E1990)*(E1990=E$2:E1990)))))-COUNTBLANK(OFFSET(A$1,,,SUMPRODUCT(MAX(ROW(E$1:E1989)*(E1990=E$1:E1989))))))</f>
        <v/>
      </c>
      <c r="K1990" s="15" t="str">
        <f aca="false">IF(OR(E1990="",E1990="!!!",F1990="NEW"),"",INDEX(J$1:J1989,SUMPRODUCT(MAX(ROW(E$1:E1989)*(E1990=E$1:E1989)))))</f>
        <v/>
      </c>
      <c r="L1990" s="16"/>
    </row>
    <row r="1991" customFormat="false" ht="12.8" hidden="false" customHeight="false" outlineLevel="0" collapsed="false">
      <c r="A1991" s="0" t="s">
        <v>893</v>
      </c>
      <c r="B1991" s="0" t="s">
        <v>14</v>
      </c>
      <c r="C1991" s="0" t="s">
        <v>19</v>
      </c>
      <c r="D1991" s="0" t="s">
        <v>20</v>
      </c>
      <c r="E1991" s="10" t="s">
        <v>894</v>
      </c>
      <c r="F1991" s="11" t="str">
        <f aca="false">IF(OR(E1991="",E1991="!!!"),"",IF(NOT(ISNA(VLOOKUP(E1991,E$1:E1990,1,FALSE()))),"OLD",IF(AND(E1991&lt;&gt;"",E1991&lt;&gt;"!!!"),"NEW","")))</f>
        <v>NEW</v>
      </c>
      <c r="G1991" s="12" t="s">
        <v>36</v>
      </c>
      <c r="H1991" s="13" t="str">
        <f aca="false">IF(J1991&lt;&gt;1,"",IF(I1991="SBJ","CB","?"))</f>
        <v/>
      </c>
      <c r="I1991" s="14" t="str">
        <f aca="false">IF(OR(E1991="",E1991="!!!",F1991="NEW"),"",INDEX(B$2:B1990,-1+SUMPRODUCT(MAX(ROW(E$2:E1990)*(E1991=E$2:E1990)))))</f>
        <v/>
      </c>
      <c r="J1991" s="15" t="str">
        <f aca="true">IF(OR(E1991="",E1991="!!!",F1991="NEW"),"",COUNTBLANK(OFFSET(A$1,,,SUMPRODUCT(MAX(ROW(E$2:E1991)*(E1991=E$2:E1991)))))-COUNTBLANK(OFFSET(A$1,,,SUMPRODUCT(MAX(ROW(E$1:E1990)*(E1991=E$1:E1990))))))</f>
        <v/>
      </c>
      <c r="K1991" s="15" t="str">
        <f aca="false">IF(OR(E1991="",E1991="!!!",F1991="NEW"),"",INDEX(J$1:J1990,SUMPRODUCT(MAX(ROW(E$1:E1990)*(E1991=E$1:E1990)))))</f>
        <v/>
      </c>
      <c r="L1991" s="16"/>
    </row>
    <row r="1992" customFormat="false" ht="12.8" hidden="false" customHeight="false" outlineLevel="0" collapsed="false">
      <c r="A1992" s="0" t="s">
        <v>76</v>
      </c>
      <c r="E1992" s="10" t="str">
        <f aca="false">IF(D1992="?OLD","!!!","")</f>
        <v/>
      </c>
      <c r="F1992" s="11" t="str">
        <f aca="false">IF(OR(E1992="",E1992="!!!"),"",IF(NOT(ISNA(VLOOKUP(E1992,E$1:E1991,1,FALSE()))),"OLD",IF(AND(E1992&lt;&gt;"",E1992&lt;&gt;"!!!"),"NEW","")))</f>
        <v/>
      </c>
      <c r="G1992" s="12" t="str">
        <f aca="false">IF(OR(E1992="",E1992="!!!"),"",IF(OR(J1992=0,AND(J1992=1,K1992=1),AND(J1992=1,I1992="SBJ"),AND(J1992=1,I1992=0)),"?IN_FOCUS",IF(J1992&lt;=2,"?ACTIVATED",IF(J1992&lt;&gt;"","?FAMILIAR",IF(F1992="NEW",IF(ISNA(VLOOKUP(E1992,#REF!,1,FALSE())),"?TYPE_IDENTIFIABLE","?REFERENTIAL"),"_")))))</f>
        <v/>
      </c>
      <c r="H1992" s="13" t="str">
        <f aca="false">IF(J1992&lt;&gt;1,"",IF(I1992="SBJ","CB","?"))</f>
        <v/>
      </c>
      <c r="I1992" s="14" t="str">
        <f aca="false">IF(OR(E1992="",E1992="!!!",F1992="NEW"),"",INDEX(B$2:B1991,-1+SUMPRODUCT(MAX(ROW(E$2:E1991)*(E1992=E$2:E1991)))))</f>
        <v/>
      </c>
      <c r="J1992" s="15" t="str">
        <f aca="true">IF(OR(E1992="",E1992="!!!",F1992="NEW"),"",COUNTBLANK(OFFSET(A$1,,,SUMPRODUCT(MAX(ROW(E$2:E1992)*(E1992=E$2:E1992)))))-COUNTBLANK(OFFSET(A$1,,,SUMPRODUCT(MAX(ROW(E$1:E1991)*(E1992=E$1:E1991))))))</f>
        <v/>
      </c>
      <c r="K1992" s="15" t="str">
        <f aca="false">IF(OR(E1992="",E1992="!!!",F1992="NEW"),"",INDEX(J$1:J1991,SUMPRODUCT(MAX(ROW(E$1:E1991)*(E1992=E$1:E1991)))))</f>
        <v/>
      </c>
      <c r="L1992" s="16"/>
    </row>
    <row r="1993" customFormat="false" ht="12.8" hidden="false" customHeight="false" outlineLevel="0" collapsed="false">
      <c r="E1993" s="10" t="str">
        <f aca="false">IF(D1993="?OLD","!!!","")</f>
        <v/>
      </c>
      <c r="F1993" s="11" t="str">
        <f aca="false">IF(OR(E1993="",E1993="!!!"),"",IF(NOT(ISNA(VLOOKUP(E1993,E$1:E1992,1,FALSE()))),"OLD",IF(AND(E1993&lt;&gt;"",E1993&lt;&gt;"!!!"),"NEW","")))</f>
        <v/>
      </c>
      <c r="G1993" s="12" t="str">
        <f aca="false">IF(OR(E1993="",E1993="!!!"),"",IF(OR(J1993=0,AND(J1993=1,K1993=1),AND(J1993=1,I1993="SBJ"),AND(J1993=1,I1993=0)),"?IN_FOCUS",IF(J1993&lt;=2,"?ACTIVATED",IF(J1993&lt;&gt;"","?FAMILIAR",IF(F1993="NEW",IF(ISNA(VLOOKUP(E1993,#REF!,1,FALSE())),"?TYPE_IDENTIFIABLE","?REFERENTIAL"),"_")))))</f>
        <v/>
      </c>
      <c r="H1993" s="13" t="str">
        <f aca="false">IF(J1993&lt;&gt;1,"",IF(I1993="SBJ","CB","?"))</f>
        <v/>
      </c>
      <c r="I1993" s="14" t="str">
        <f aca="false">IF(OR(E1993="",E1993="!!!",F1993="NEW"),"",INDEX(B$2:B1992,-1+SUMPRODUCT(MAX(ROW(E$2:E1992)*(E1993=E$2:E1992)))))</f>
        <v/>
      </c>
      <c r="J1993" s="15" t="str">
        <f aca="true">IF(OR(E1993="",E1993="!!!",F1993="NEW"),"",COUNTBLANK(OFFSET(A$1,,,SUMPRODUCT(MAX(ROW(E$2:E1993)*(E1993=E$2:E1993)))))-COUNTBLANK(OFFSET(A$1,,,SUMPRODUCT(MAX(ROW(E$1:E1992)*(E1993=E$1:E1992))))))</f>
        <v/>
      </c>
      <c r="K1993" s="15" t="str">
        <f aca="false">IF(OR(E1993="",E1993="!!!",F1993="NEW"),"",INDEX(J$1:J1992,SUMPRODUCT(MAX(ROW(E$1:E1992)*(E1993=E$1:E1992)))))</f>
        <v/>
      </c>
      <c r="L1993" s="16"/>
    </row>
    <row r="1994" customFormat="false" ht="12.8" hidden="false" customHeight="false" outlineLevel="0" collapsed="false">
      <c r="A1994" s="0" t="s">
        <v>256</v>
      </c>
      <c r="E1994" s="10" t="str">
        <f aca="false">IF(D1994="?OLD","!!!","")</f>
        <v/>
      </c>
      <c r="F1994" s="11" t="str">
        <f aca="false">IF(OR(E1994="",E1994="!!!"),"",IF(NOT(ISNA(VLOOKUP(E1994,E$1:E1993,1,FALSE()))),"OLD",IF(AND(E1994&lt;&gt;"",E1994&lt;&gt;"!!!"),"NEW","")))</f>
        <v/>
      </c>
      <c r="G1994" s="12" t="str">
        <f aca="false">IF(OR(E1994="",E1994="!!!"),"",IF(OR(J1994=0,AND(J1994=1,K1994=1),AND(J1994=1,I1994="SBJ"),AND(J1994=1,I1994=0)),"?IN_FOCUS",IF(J1994&lt;=2,"?ACTIVATED",IF(J1994&lt;&gt;"","?FAMILIAR",IF(F1994="NEW",IF(ISNA(VLOOKUP(E1994,#REF!,1,FALSE())),"?TYPE_IDENTIFIABLE","?REFERENTIAL"),"_")))))</f>
        <v/>
      </c>
      <c r="H1994" s="13" t="str">
        <f aca="false">IF(J1994&lt;&gt;1,"",IF(I1994="SBJ","CB","?"))</f>
        <v/>
      </c>
      <c r="I1994" s="14" t="str">
        <f aca="false">IF(OR(E1994="",E1994="!!!",F1994="NEW"),"",INDEX(B$2:B1993,-1+SUMPRODUCT(MAX(ROW(E$2:E1993)*(E1994=E$2:E1993)))))</f>
        <v/>
      </c>
      <c r="J1994" s="15" t="str">
        <f aca="true">IF(OR(E1994="",E1994="!!!",F1994="NEW"),"",COUNTBLANK(OFFSET(A$1,,,SUMPRODUCT(MAX(ROW(E$2:E1994)*(E1994=E$2:E1994)))))-COUNTBLANK(OFFSET(A$1,,,SUMPRODUCT(MAX(ROW(E$1:E1993)*(E1994=E$1:E1993))))))</f>
        <v/>
      </c>
      <c r="K1994" s="15" t="str">
        <f aca="false">IF(OR(E1994="",E1994="!!!",F1994="NEW"),"",INDEX(J$1:J1993,SUMPRODUCT(MAX(ROW(E$1:E1993)*(E1994=E$1:E1993)))))</f>
        <v/>
      </c>
      <c r="L1994" s="16"/>
    </row>
    <row r="1995" customFormat="false" ht="12.8" hidden="false" customHeight="false" outlineLevel="0" collapsed="false">
      <c r="A1995" s="0" t="s">
        <v>257</v>
      </c>
      <c r="E1995" s="10" t="str">
        <f aca="false">IF(D1995="?OLD","!!!","")</f>
        <v/>
      </c>
      <c r="F1995" s="11" t="str">
        <f aca="false">IF(OR(E1995="",E1995="!!!"),"",IF(NOT(ISNA(VLOOKUP(E1995,E$1:E1994,1,FALSE()))),"OLD",IF(AND(E1995&lt;&gt;"",E1995&lt;&gt;"!!!"),"NEW","")))</f>
        <v/>
      </c>
      <c r="G1995" s="12" t="str">
        <f aca="false">IF(OR(E1995="",E1995="!!!"),"",IF(OR(J1995=0,AND(J1995=1,K1995=1),AND(J1995=1,I1995="SBJ"),AND(J1995=1,I1995=0)),"?IN_FOCUS",IF(J1995&lt;=2,"?ACTIVATED",IF(J1995&lt;&gt;"","?FAMILIAR",IF(F1995="NEW",IF(ISNA(VLOOKUP(E1995,#REF!,1,FALSE())),"?TYPE_IDENTIFIABLE","?REFERENTIAL"),"_")))))</f>
        <v/>
      </c>
      <c r="H1995" s="13" t="str">
        <f aca="false">IF(J1995&lt;&gt;1,"",IF(I1995="SBJ","CB","?"))</f>
        <v/>
      </c>
      <c r="I1995" s="14" t="str">
        <f aca="false">IF(OR(E1995="",E1995="!!!",F1995="NEW"),"",INDEX(B$2:B1994,-1+SUMPRODUCT(MAX(ROW(E$2:E1994)*(E1995=E$2:E1994)))))</f>
        <v/>
      </c>
      <c r="J1995" s="15" t="str">
        <f aca="true">IF(OR(E1995="",E1995="!!!",F1995="NEW"),"",COUNTBLANK(OFFSET(A$1,,,SUMPRODUCT(MAX(ROW(E$2:E1995)*(E1995=E$2:E1995)))))-COUNTBLANK(OFFSET(A$1,,,SUMPRODUCT(MAX(ROW(E$1:E1994)*(E1995=E$1:E1994))))))</f>
        <v/>
      </c>
      <c r="K1995" s="15" t="str">
        <f aca="false">IF(OR(E1995="",E1995="!!!",F1995="NEW"),"",INDEX(J$1:J1994,SUMPRODUCT(MAX(ROW(E$1:E1994)*(E1995=E$1:E1994)))))</f>
        <v/>
      </c>
      <c r="L1995" s="16"/>
    </row>
    <row r="1996" customFormat="false" ht="12.8" hidden="false" customHeight="false" outlineLevel="0" collapsed="false">
      <c r="A1996" s="0" t="s">
        <v>258</v>
      </c>
      <c r="B1996" s="0" t="s">
        <v>14</v>
      </c>
      <c r="C1996" s="0" t="s">
        <v>19</v>
      </c>
      <c r="D1996" s="0" t="s">
        <v>20</v>
      </c>
      <c r="E1996" s="10"/>
      <c r="F1996" s="11" t="str">
        <f aca="false">IF(OR(E1996="",E1996="!!!"),"",IF(NOT(ISNA(VLOOKUP(E1996,E$1:E1995,1,FALSE()))),"OLD",IF(AND(E1996&lt;&gt;"",E1996&lt;&gt;"!!!"),"NEW","")))</f>
        <v/>
      </c>
      <c r="G1996" s="12" t="str">
        <f aca="false">IF(OR(E1996="",E1996="!!!"),"",IF(OR(J1996=0,AND(J1996=1,K1996=1),AND(J1996=1,I1996="SBJ"),AND(J1996=1,I1996=0)),"?IN_FOCUS",IF(J1996&lt;=2,"?ACTIVATED",IF(J1996&lt;&gt;"","?FAMILIAR",IF(F1996="NEW",IF(ISNA(VLOOKUP(E1996,#REF!,1,FALSE())),"?TYPE_IDENTIFIABLE","?REFERENTIAL"),"_")))))</f>
        <v/>
      </c>
      <c r="H1996" s="13" t="str">
        <f aca="false">IF(J1996&lt;&gt;1,"",IF(I1996="SBJ","CB","?"))</f>
        <v/>
      </c>
      <c r="I1996" s="14" t="str">
        <f aca="false">IF(OR(E1996="",E1996="!!!",F1996="NEW"),"",INDEX(B$2:B1995,-1+SUMPRODUCT(MAX(ROW(E$2:E1995)*(E1996=E$2:E1995)))))</f>
        <v/>
      </c>
      <c r="J1996" s="15" t="str">
        <f aca="true">IF(OR(E1996="",E1996="!!!",F1996="NEW"),"",COUNTBLANK(OFFSET(A$1,,,SUMPRODUCT(MAX(ROW(E$2:E1996)*(E1996=E$2:E1996)))))-COUNTBLANK(OFFSET(A$1,,,SUMPRODUCT(MAX(ROW(E$1:E1995)*(E1996=E$1:E1995))))))</f>
        <v/>
      </c>
      <c r="K1996" s="15" t="str">
        <f aca="false">IF(OR(E1996="",E1996="!!!",F1996="NEW"),"",INDEX(J$1:J1995,SUMPRODUCT(MAX(ROW(E$1:E1995)*(E1996=E$1:E1995)))))</f>
        <v/>
      </c>
      <c r="L1996" s="16" t="s">
        <v>259</v>
      </c>
    </row>
    <row r="1997" customFormat="false" ht="12.8" hidden="false" customHeight="false" outlineLevel="0" collapsed="false">
      <c r="A1997" s="0" t="s">
        <v>260</v>
      </c>
      <c r="E1997" s="10" t="str">
        <f aca="false">IF(D1997="?OLD","!!!","")</f>
        <v/>
      </c>
      <c r="F1997" s="11" t="str">
        <f aca="false">IF(OR(E1997="",E1997="!!!"),"",IF(NOT(ISNA(VLOOKUP(E1997,E$1:E1996,1,FALSE()))),"OLD",IF(AND(E1997&lt;&gt;"",E1997&lt;&gt;"!!!"),"NEW","")))</f>
        <v/>
      </c>
      <c r="G1997" s="12" t="str">
        <f aca="false">IF(OR(E1997="",E1997="!!!"),"",IF(OR(J1997=0,AND(J1997=1,K1997=1),AND(J1997=1,I1997="SBJ"),AND(J1997=1,I1997=0)),"?IN_FOCUS",IF(J1997&lt;=2,"?ACTIVATED",IF(J1997&lt;&gt;"","?FAMILIAR",IF(F1997="NEW",IF(ISNA(VLOOKUP(E1997,#REF!,1,FALSE())),"?TYPE_IDENTIFIABLE","?REFERENTIAL"),"_")))))</f>
        <v/>
      </c>
      <c r="H1997" s="13" t="str">
        <f aca="false">IF(J1997&lt;&gt;1,"",IF(I1997="SBJ","CB","?"))</f>
        <v/>
      </c>
      <c r="I1997" s="14" t="str">
        <f aca="false">IF(OR(E1997="",E1997="!!!",F1997="NEW"),"",INDEX(B$2:B1996,-1+SUMPRODUCT(MAX(ROW(E$2:E1996)*(E1997=E$2:E1996)))))</f>
        <v/>
      </c>
      <c r="J1997" s="15" t="str">
        <f aca="true">IF(OR(E1997="",E1997="!!!",F1997="NEW"),"",COUNTBLANK(OFFSET(A$1,,,SUMPRODUCT(MAX(ROW(E$2:E1997)*(E1997=E$2:E1997)))))-COUNTBLANK(OFFSET(A$1,,,SUMPRODUCT(MAX(ROW(E$1:E1996)*(E1997=E$1:E1996))))))</f>
        <v/>
      </c>
      <c r="K1997" s="15" t="str">
        <f aca="false">IF(OR(E1997="",E1997="!!!",F1997="NEW"),"",INDEX(J$1:J1996,SUMPRODUCT(MAX(ROW(E$1:E1996)*(E1997=E$1:E1996)))))</f>
        <v/>
      </c>
      <c r="L1997" s="16"/>
    </row>
    <row r="1998" customFormat="false" ht="12.8" hidden="false" customHeight="false" outlineLevel="0" collapsed="false">
      <c r="E1998" s="10" t="str">
        <f aca="false">IF(D1998="?OLD","!!!","")</f>
        <v/>
      </c>
      <c r="F1998" s="11" t="str">
        <f aca="false">IF(OR(E1998="",E1998="!!!"),"",IF(NOT(ISNA(VLOOKUP(E1998,E$1:E1997,1,FALSE()))),"OLD",IF(AND(E1998&lt;&gt;"",E1998&lt;&gt;"!!!"),"NEW","")))</f>
        <v/>
      </c>
      <c r="G1998" s="12" t="str">
        <f aca="false">IF(OR(E1998="",E1998="!!!"),"",IF(OR(J1998=0,AND(J1998=1,K1998=1),AND(J1998=1,I1998="SBJ"),AND(J1998=1,I1998=0)),"?IN_FOCUS",IF(J1998&lt;=2,"?ACTIVATED",IF(J1998&lt;&gt;"","?FAMILIAR",IF(F1998="NEW",IF(ISNA(VLOOKUP(E1998,#REF!,1,FALSE())),"?TYPE_IDENTIFIABLE","?REFERENTIAL"),"_")))))</f>
        <v/>
      </c>
      <c r="H1998" s="13" t="str">
        <f aca="false">IF(J1998&lt;&gt;1,"",IF(I1998="SBJ","CB","?"))</f>
        <v/>
      </c>
      <c r="I1998" s="14" t="str">
        <f aca="false">IF(OR(E1998="",E1998="!!!",F1998="NEW"),"",INDEX(B$2:B1997,-1+SUMPRODUCT(MAX(ROW(E$2:E1997)*(E1998=E$2:E1997)))))</f>
        <v/>
      </c>
      <c r="J1998" s="15" t="str">
        <f aca="true">IF(OR(E1998="",E1998="!!!",F1998="NEW"),"",COUNTBLANK(OFFSET(A$1,,,SUMPRODUCT(MAX(ROW(E$2:E1998)*(E1998=E$2:E1998)))))-COUNTBLANK(OFFSET(A$1,,,SUMPRODUCT(MAX(ROW(E$1:E1997)*(E1998=E$1:E1997))))))</f>
        <v/>
      </c>
      <c r="K1998" s="15" t="str">
        <f aca="false">IF(OR(E1998="",E1998="!!!",F1998="NEW"),"",INDEX(J$1:J1997,SUMPRODUCT(MAX(ROW(E$1:E1997)*(E1998=E$1:E1997)))))</f>
        <v/>
      </c>
      <c r="L1998" s="16"/>
    </row>
    <row r="1999" customFormat="false" ht="12.8" hidden="false" customHeight="false" outlineLevel="0" collapsed="false">
      <c r="A1999" s="0" t="s">
        <v>895</v>
      </c>
      <c r="E1999" s="10" t="str">
        <f aca="false">IF(D1999="?OLD","!!!","")</f>
        <v/>
      </c>
      <c r="F1999" s="11" t="str">
        <f aca="false">IF(OR(E1999="",E1999="!!!"),"",IF(NOT(ISNA(VLOOKUP(E1999,E$1:E1998,1,FALSE()))),"OLD",IF(AND(E1999&lt;&gt;"",E1999&lt;&gt;"!!!"),"NEW","")))</f>
        <v/>
      </c>
      <c r="G1999" s="12" t="str">
        <f aca="false">IF(OR(E1999="",E1999="!!!"),"",IF(OR(J1999=0,AND(J1999=1,K1999=1),AND(J1999=1,I1999="SBJ"),AND(J1999=1,I1999=0)),"?IN_FOCUS",IF(J1999&lt;=2,"?ACTIVATED",IF(J1999&lt;&gt;"","?FAMILIAR",IF(F1999="NEW",IF(ISNA(VLOOKUP(E1999,#REF!,1,FALSE())),"?TYPE_IDENTIFIABLE","?REFERENTIAL"),"_")))))</f>
        <v/>
      </c>
      <c r="H1999" s="13" t="str">
        <f aca="false">IF(J1999&lt;&gt;1,"",IF(I1999="SBJ","CB","?"))</f>
        <v/>
      </c>
      <c r="I1999" s="14" t="str">
        <f aca="false">IF(OR(E1999="",E1999="!!!",F1999="NEW"),"",INDEX(B$2:B1998,-1+SUMPRODUCT(MAX(ROW(E$2:E1998)*(E1999=E$2:E1998)))))</f>
        <v/>
      </c>
      <c r="J1999" s="15" t="str">
        <f aca="true">IF(OR(E1999="",E1999="!!!",F1999="NEW"),"",COUNTBLANK(OFFSET(A$1,,,SUMPRODUCT(MAX(ROW(E$2:E1999)*(E1999=E$2:E1999)))))-COUNTBLANK(OFFSET(A$1,,,SUMPRODUCT(MAX(ROW(E$1:E1998)*(E1999=E$1:E1998))))))</f>
        <v/>
      </c>
      <c r="K1999" s="15" t="str">
        <f aca="false">IF(OR(E1999="",E1999="!!!",F1999="NEW"),"",INDEX(J$1:J1998,SUMPRODUCT(MAX(ROW(E$1:E1998)*(E1999=E$1:E1998)))))</f>
        <v/>
      </c>
      <c r="L1999" s="16"/>
    </row>
    <row r="2000" customFormat="false" ht="12.8" hidden="false" customHeight="false" outlineLevel="0" collapsed="false">
      <c r="A2000" s="0" t="s">
        <v>262</v>
      </c>
      <c r="E2000" s="10" t="str">
        <f aca="false">IF(D2000="?OLD","!!!","")</f>
        <v/>
      </c>
      <c r="F2000" s="11" t="str">
        <f aca="false">IF(OR(E2000="",E2000="!!!"),"",IF(NOT(ISNA(VLOOKUP(E2000,E$1:E1999,1,FALSE()))),"OLD",IF(AND(E2000&lt;&gt;"",E2000&lt;&gt;"!!!"),"NEW","")))</f>
        <v/>
      </c>
      <c r="G2000" s="12" t="str">
        <f aca="false">IF(OR(E2000="",E2000="!!!"),"",IF(OR(J2000=0,AND(J2000=1,K2000=1),AND(J2000=1,I2000="SBJ"),AND(J2000=1,I2000=0)),"?IN_FOCUS",IF(J2000&lt;=2,"?ACTIVATED",IF(J2000&lt;&gt;"","?FAMILIAR",IF(F2000="NEW",IF(ISNA(VLOOKUP(E2000,#REF!,1,FALSE())),"?TYPE_IDENTIFIABLE","?REFERENTIAL"),"_")))))</f>
        <v/>
      </c>
      <c r="H2000" s="13" t="str">
        <f aca="false">IF(J2000&lt;&gt;1,"",IF(I2000="SBJ","CB","?"))</f>
        <v/>
      </c>
      <c r="I2000" s="14" t="str">
        <f aca="false">IF(OR(E2000="",E2000="!!!",F2000="NEW"),"",INDEX(B$2:B1999,-1+SUMPRODUCT(MAX(ROW(E$2:E1999)*(E2000=E$2:E1999)))))</f>
        <v/>
      </c>
      <c r="J2000" s="15" t="str">
        <f aca="true">IF(OR(E2000="",E2000="!!!",F2000="NEW"),"",COUNTBLANK(OFFSET(A$1,,,SUMPRODUCT(MAX(ROW(E$2:E2000)*(E2000=E$2:E2000)))))-COUNTBLANK(OFFSET(A$1,,,SUMPRODUCT(MAX(ROW(E$1:E1999)*(E2000=E$1:E1999))))))</f>
        <v/>
      </c>
      <c r="K2000" s="15" t="str">
        <f aca="false">IF(OR(E2000="",E2000="!!!",F2000="NEW"),"",INDEX(J$1:J1999,SUMPRODUCT(MAX(ROW(E$1:E1999)*(E2000=E$1:E1999)))))</f>
        <v/>
      </c>
      <c r="L2000" s="16"/>
    </row>
    <row r="2001" customFormat="false" ht="12.8" hidden="false" customHeight="false" outlineLevel="0" collapsed="false">
      <c r="A2001" s="0" t="s">
        <v>707</v>
      </c>
      <c r="B2001" s="0" t="s">
        <v>75</v>
      </c>
      <c r="C2001" s="0" t="s">
        <v>244</v>
      </c>
      <c r="D2001" s="0" t="s">
        <v>20</v>
      </c>
      <c r="E2001" s="10" t="s">
        <v>49</v>
      </c>
      <c r="F2001" s="11" t="str">
        <f aca="false">IF(OR(E2001="",E2001="!!!"),"",IF(NOT(ISNA(VLOOKUP(E2001,E$1:E2000,1,FALSE()))),"OLD",IF(AND(E2001&lt;&gt;"",E2001&lt;&gt;"!!!"),"NEW","")))</f>
        <v>OLD</v>
      </c>
      <c r="G2001" s="12" t="s">
        <v>87</v>
      </c>
      <c r="H2001" s="13" t="s">
        <v>7</v>
      </c>
      <c r="I2001" s="14" t="str">
        <f aca="false">IF(OR(E2001="",E2001="!!!",F2001="NEW"),"",INDEX(B$2:B2000,-1+SUMPRODUCT(MAX(ROW(E$2:E2000)*(E2001=E$2:E2000)))))</f>
        <v>SBJ</v>
      </c>
      <c r="J2001" s="15" t="n">
        <f aca="true">IF(OR(E2001="",E2001="!!!",F2001="NEW"),"",COUNTBLANK(OFFSET(A$1,,,SUMPRODUCT(MAX(ROW(E$2:E2001)*(E2001=E$2:E2001)))))-COUNTBLANK(OFFSET(A$1,,,SUMPRODUCT(MAX(ROW(E$1:E2000)*(E2001=E$1:E2000))))))</f>
        <v>3</v>
      </c>
      <c r="K2001" s="15" t="n">
        <f aca="false">IF(OR(E2001="",E2001="!!!",F2001="NEW"),"",INDEX(J$1:J2000,SUMPRODUCT(MAX(ROW(E$1:E2000)*(E2001=E$1:E2000)))))</f>
        <v>12</v>
      </c>
      <c r="L2001" s="16" t="s">
        <v>896</v>
      </c>
    </row>
    <row r="2002" customFormat="false" ht="12.8" hidden="false" customHeight="false" outlineLevel="0" collapsed="false">
      <c r="A2002" s="0" t="s">
        <v>897</v>
      </c>
      <c r="B2002" s="0" t="s">
        <v>34</v>
      </c>
      <c r="C2002" s="0" t="s">
        <v>246</v>
      </c>
      <c r="D2002" s="0" t="s">
        <v>20</v>
      </c>
      <c r="E2002" s="10" t="s">
        <v>898</v>
      </c>
      <c r="F2002" s="11" t="s">
        <v>123</v>
      </c>
      <c r="G2002" s="12" t="s">
        <v>67</v>
      </c>
      <c r="H2002" s="13"/>
      <c r="I2002" s="14" t="e">
        <f aca="false">IF(OR(E2002="",E2002="!!!",F2002="NEW"),"",INDEX(B$2:B2001,-1+SUMPRODUCT(MAX(ROW(E$2:E2001)*(E2002=E$2:E2001)))))</f>
        <v>#VALUE!</v>
      </c>
      <c r="J2002" s="15" t="e">
        <f aca="true">IF(OR(E2002="",E2002="!!!",F2002="NEW"),"",COUNTBLANK(OFFSET(A$1,,,SUMPRODUCT(MAX(ROW(E$2:E2002)*(E2002=E$2:E2002)))))-COUNTBLANK(OFFSET(A$1,,,SUMPRODUCT(MAX(ROW(E$1:E2001)*(E2002=E$1:E2001))))))</f>
        <v>#VALUE!</v>
      </c>
      <c r="K2002" s="15" t="e">
        <f aca="false">IF(OR(E2002="",E2002="!!!",F2002="NEW"),"",INDEX(J$1:J2001,SUMPRODUCT(MAX(ROW(E$1:E2001)*(E2002=E$1:E2001)))))</f>
        <v>#VALUE!</v>
      </c>
      <c r="L2002" s="16"/>
    </row>
    <row r="2003" customFormat="false" ht="12.8" hidden="false" customHeight="false" outlineLevel="0" collapsed="false">
      <c r="A2003" s="0" t="s">
        <v>37</v>
      </c>
      <c r="E2003" s="10" t="str">
        <f aca="false">IF(D2003="?OLD","!!!","")</f>
        <v/>
      </c>
      <c r="F2003" s="11" t="str">
        <f aca="false">IF(OR(E2003="",E2003="!!!"),"",IF(NOT(ISNA(VLOOKUP(E2003,E$1:E2002,1,FALSE()))),"OLD",IF(AND(E2003&lt;&gt;"",E2003&lt;&gt;"!!!"),"NEW","")))</f>
        <v/>
      </c>
      <c r="G2003" s="12" t="str">
        <f aca="false">IF(OR(E2003="",E2003="!!!"),"",IF(OR(J2003=0,AND(J2003=1,K2003=1),AND(J2003=1,I2003="SBJ"),AND(J2003=1,I2003=0)),"?IN_FOCUS",IF(J2003&lt;=2,"?ACTIVATED",IF(J2003&lt;&gt;"","?FAMILIAR",IF(F2003="NEW",IF(ISNA(VLOOKUP(E2003,#REF!,1,FALSE())),"?TYPE_IDENTIFIABLE","?REFERENTIAL"),"_")))))</f>
        <v/>
      </c>
      <c r="H2003" s="13" t="str">
        <f aca="false">IF(J2003&lt;&gt;1,"",IF(I2003="SBJ","CB","?"))</f>
        <v/>
      </c>
      <c r="I2003" s="14" t="str">
        <f aca="false">IF(OR(E2003="",E2003="!!!",F2003="NEW"),"",INDEX(B$2:B2002,-1+SUMPRODUCT(MAX(ROW(E$2:E2002)*(E2003=E$2:E2002)))))</f>
        <v/>
      </c>
      <c r="J2003" s="15" t="str">
        <f aca="true">IF(OR(E2003="",E2003="!!!",F2003="NEW"),"",COUNTBLANK(OFFSET(A$1,,,SUMPRODUCT(MAX(ROW(E$2:E2003)*(E2003=E$2:E2003)))))-COUNTBLANK(OFFSET(A$1,,,SUMPRODUCT(MAX(ROW(E$1:E2002)*(E2003=E$1:E2002))))))</f>
        <v/>
      </c>
      <c r="K2003" s="15" t="str">
        <f aca="false">IF(OR(E2003="",E2003="!!!",F2003="NEW"),"",INDEX(J$1:J2002,SUMPRODUCT(MAX(ROW(E$1:E2002)*(E2003=E$1:E2002)))))</f>
        <v/>
      </c>
      <c r="L2003" s="16"/>
    </row>
    <row r="2004" customFormat="false" ht="12.8" hidden="false" customHeight="false" outlineLevel="0" collapsed="false">
      <c r="A2004" s="0" t="s">
        <v>51</v>
      </c>
      <c r="E2004" s="10" t="str">
        <f aca="false">IF(D2004="?OLD","!!!","")</f>
        <v/>
      </c>
      <c r="F2004" s="11" t="str">
        <f aca="false">IF(OR(E2004="",E2004="!!!"),"",IF(NOT(ISNA(VLOOKUP(E2004,E$1:E2003,1,FALSE()))),"OLD",IF(AND(E2004&lt;&gt;"",E2004&lt;&gt;"!!!"),"NEW","")))</f>
        <v/>
      </c>
      <c r="G2004" s="12" t="str">
        <f aca="false">IF(OR(E2004="",E2004="!!!"),"",IF(OR(J2004=0,AND(J2004=1,K2004=1),AND(J2004=1,I2004="SBJ"),AND(J2004=1,I2004=0)),"?IN_FOCUS",IF(J2004&lt;=2,"?ACTIVATED",IF(J2004&lt;&gt;"","?FAMILIAR",IF(F2004="NEW",IF(ISNA(VLOOKUP(E2004,#REF!,1,FALSE())),"?TYPE_IDENTIFIABLE","?REFERENTIAL"),"_")))))</f>
        <v/>
      </c>
      <c r="H2004" s="13" t="str">
        <f aca="false">IF(J2004&lt;&gt;1,"",IF(I2004="SBJ","CB","?"))</f>
        <v/>
      </c>
      <c r="I2004" s="14" t="str">
        <f aca="false">IF(OR(E2004="",E2004="!!!",F2004="NEW"),"",INDEX(B$2:B2003,-1+SUMPRODUCT(MAX(ROW(E$2:E2003)*(E2004=E$2:E2003)))))</f>
        <v/>
      </c>
      <c r="J2004" s="15" t="str">
        <f aca="true">IF(OR(E2004="",E2004="!!!",F2004="NEW"),"",COUNTBLANK(OFFSET(A$1,,,SUMPRODUCT(MAX(ROW(E$2:E2004)*(E2004=E$2:E2004)))))-COUNTBLANK(OFFSET(A$1,,,SUMPRODUCT(MAX(ROW(E$1:E2003)*(E2004=E$1:E2003))))))</f>
        <v/>
      </c>
      <c r="K2004" s="15" t="str">
        <f aca="false">IF(OR(E2004="",E2004="!!!",F2004="NEW"),"",INDEX(J$1:J2003,SUMPRODUCT(MAX(ROW(E$1:E2003)*(E2004=E$1:E2003)))))</f>
        <v/>
      </c>
      <c r="L2004" s="16"/>
    </row>
    <row r="2005" customFormat="false" ht="12.8" hidden="false" customHeight="false" outlineLevel="0" collapsed="false">
      <c r="A2005" s="0" t="s">
        <v>161</v>
      </c>
      <c r="B2005" s="0" t="s">
        <v>47</v>
      </c>
      <c r="C2005" s="0" t="s">
        <v>48</v>
      </c>
      <c r="D2005" s="0" t="s">
        <v>20</v>
      </c>
      <c r="E2005" s="10" t="s">
        <v>161</v>
      </c>
      <c r="F2005" s="11" t="str">
        <f aca="false">IF(OR(E2005="",E2005="!!!"),"",IF(NOT(ISNA(VLOOKUP(E2005,E$1:E2004,1,FALSE()))),"OLD",IF(AND(E2005&lt;&gt;"",E2005&lt;&gt;"!!!"),"NEW","")))</f>
        <v>OLD</v>
      </c>
      <c r="G2005" s="12" t="s">
        <v>36</v>
      </c>
      <c r="H2005" s="13" t="str">
        <f aca="false">IF(J2005&lt;&gt;1,"",IF(I2005="SBJ","CB","?"))</f>
        <v/>
      </c>
      <c r="I2005" s="14" t="str">
        <f aca="false">IF(OR(E2005="",E2005="!!!",F2005="NEW"),"",INDEX(B$2:B2004,-1+SUMPRODUCT(MAX(ROW(E$2:E2004)*(E2005=E$2:E2004)))))</f>
        <v>SBJ_5</v>
      </c>
      <c r="J2005" s="15" t="n">
        <f aca="true">IF(OR(E2005="",E2005="!!!",F2005="NEW"),"",COUNTBLANK(OFFSET(A$1,,,SUMPRODUCT(MAX(ROW(E$2:E2005)*(E2005=E$2:E2005)))))-COUNTBLANK(OFFSET(A$1,,,SUMPRODUCT(MAX(ROW(E$1:E2004)*(E2005=E$1:E2004))))))</f>
        <v>3</v>
      </c>
      <c r="K2005" s="15" t="n">
        <f aca="false">IF(OR(E2005="",E2005="!!!",F2005="NEW"),"",INDEX(J$1:J2004,SUMPRODUCT(MAX(ROW(E$1:E2004)*(E2005=E$1:E2004)))))</f>
        <v>0</v>
      </c>
      <c r="L2005" s="16"/>
    </row>
    <row r="2006" customFormat="false" ht="12.8" hidden="false" customHeight="false" outlineLevel="0" collapsed="false">
      <c r="A2006" s="0" t="s">
        <v>899</v>
      </c>
      <c r="E2006" s="10" t="str">
        <f aca="false">IF(D2006="?OLD","!!!","")</f>
        <v/>
      </c>
      <c r="F2006" s="11" t="str">
        <f aca="false">IF(OR(E2006="",E2006="!!!"),"",IF(NOT(ISNA(VLOOKUP(E2006,E$1:E2005,1,FALSE()))),"OLD",IF(AND(E2006&lt;&gt;"",E2006&lt;&gt;"!!!"),"NEW","")))</f>
        <v/>
      </c>
      <c r="G2006" s="12" t="str">
        <f aca="false">IF(OR(E2006="",E2006="!!!"),"",IF(OR(J2006=0,AND(J2006=1,K2006=1),AND(J2006=1,I2006="SBJ"),AND(J2006=1,I2006=0)),"?IN_FOCUS",IF(J2006&lt;=2,"?ACTIVATED",IF(J2006&lt;&gt;"","?FAMILIAR",IF(F2006="NEW",IF(ISNA(VLOOKUP(E2006,#REF!,1,FALSE())),"?TYPE_IDENTIFIABLE","?REFERENTIAL"),"_")))))</f>
        <v/>
      </c>
      <c r="H2006" s="13" t="str">
        <f aca="false">IF(J2006&lt;&gt;1,"",IF(I2006="SBJ","CB","?"))</f>
        <v/>
      </c>
      <c r="I2006" s="14" t="str">
        <f aca="false">IF(OR(E2006="",E2006="!!!",F2006="NEW"),"",INDEX(B$2:B2005,-1+SUMPRODUCT(MAX(ROW(E$2:E2005)*(E2006=E$2:E2005)))))</f>
        <v/>
      </c>
      <c r="J2006" s="15" t="str">
        <f aca="true">IF(OR(E2006="",E2006="!!!",F2006="NEW"),"",COUNTBLANK(OFFSET(A$1,,,SUMPRODUCT(MAX(ROW(E$2:E2006)*(E2006=E$2:E2006)))))-COUNTBLANK(OFFSET(A$1,,,SUMPRODUCT(MAX(ROW(E$1:E2005)*(E2006=E$1:E2005))))))</f>
        <v/>
      </c>
      <c r="K2006" s="15" t="str">
        <f aca="false">IF(OR(E2006="",E2006="!!!",F2006="NEW"),"",INDEX(J$1:J2005,SUMPRODUCT(MAX(ROW(E$1:E2005)*(E2006=E$1:E2005)))))</f>
        <v/>
      </c>
      <c r="L2006" s="16"/>
    </row>
    <row r="2007" customFormat="false" ht="12.8" hidden="false" customHeight="false" outlineLevel="0" collapsed="false">
      <c r="A2007" s="0" t="s">
        <v>900</v>
      </c>
      <c r="B2007" s="0" t="s">
        <v>170</v>
      </c>
      <c r="C2007" s="0" t="s">
        <v>31</v>
      </c>
      <c r="E2007" s="10"/>
      <c r="F2007" s="11"/>
      <c r="G2007" s="12"/>
      <c r="H2007" s="13" t="str">
        <f aca="false">IF(J2007&lt;&gt;1,"",IF(I2007="SBJ","CB","?"))</f>
        <v/>
      </c>
      <c r="I2007" s="14" t="str">
        <f aca="false">IF(OR(E2007="",E2007="!!!",F2007="NEW"),"",INDEX(B$2:B2006,-1+SUMPRODUCT(MAX(ROW(E$2:E2006)*(E2007=E$2:E2006)))))</f>
        <v/>
      </c>
      <c r="J2007" s="15" t="str">
        <f aca="true">IF(OR(E2007="",E2007="!!!",F2007="NEW"),"",COUNTBLANK(OFFSET(A$1,,,SUMPRODUCT(MAX(ROW(E$2:E2007)*(E2007=E$2:E2007)))))-COUNTBLANK(OFFSET(A$1,,,SUMPRODUCT(MAX(ROW(E$1:E2006)*(E2007=E$1:E2006))))))</f>
        <v/>
      </c>
      <c r="K2007" s="15" t="str">
        <f aca="false">IF(OR(E2007="",E2007="!!!",F2007="NEW"),"",INDEX(J$1:J2006,SUMPRODUCT(MAX(ROW(E$1:E2006)*(E2007=E$1:E2006)))))</f>
        <v/>
      </c>
      <c r="L2007" s="16" t="s">
        <v>901</v>
      </c>
    </row>
    <row r="2008" customFormat="false" ht="12.8" hidden="false" customHeight="false" outlineLevel="0" collapsed="false">
      <c r="A2008" s="0" t="s">
        <v>60</v>
      </c>
      <c r="E2008" s="10" t="str">
        <f aca="false">IF(D2008="?OLD","!!!","")</f>
        <v/>
      </c>
      <c r="F2008" s="11" t="str">
        <f aca="false">IF(OR(E2008="",E2008="!!!"),"",IF(NOT(ISNA(VLOOKUP(E2008,E$1:E2007,1,FALSE()))),"OLD",IF(AND(E2008&lt;&gt;"",E2008&lt;&gt;"!!!"),"NEW","")))</f>
        <v/>
      </c>
      <c r="G2008" s="12" t="str">
        <f aca="false">IF(OR(E2008="",E2008="!!!"),"",IF(OR(J2008=0,AND(J2008=1,K2008=1),AND(J2008=1,I2008="SBJ"),AND(J2008=1,I2008=0)),"?IN_FOCUS",IF(J2008&lt;=2,"?ACTIVATED",IF(J2008&lt;&gt;"","?FAMILIAR",IF(F2008="NEW",IF(ISNA(VLOOKUP(E2008,#REF!,1,FALSE())),"?TYPE_IDENTIFIABLE","?REFERENTIAL"),"_")))))</f>
        <v/>
      </c>
      <c r="H2008" s="13" t="str">
        <f aca="false">IF(J2008&lt;&gt;1,"",IF(I2008="SBJ","CB","?"))</f>
        <v/>
      </c>
      <c r="I2008" s="14" t="str">
        <f aca="false">IF(OR(E2008="",E2008="!!!",F2008="NEW"),"",INDEX(B$2:B2007,-1+SUMPRODUCT(MAX(ROW(E$2:E2007)*(E2008=E$2:E2007)))))</f>
        <v/>
      </c>
      <c r="J2008" s="15" t="str">
        <f aca="true">IF(OR(E2008="",E2008="!!!",F2008="NEW"),"",COUNTBLANK(OFFSET(A$1,,,SUMPRODUCT(MAX(ROW(E$2:E2008)*(E2008=E$2:E2008)))))-COUNTBLANK(OFFSET(A$1,,,SUMPRODUCT(MAX(ROW(E$1:E2007)*(E2008=E$1:E2007))))))</f>
        <v/>
      </c>
      <c r="K2008" s="15" t="str">
        <f aca="false">IF(OR(E2008="",E2008="!!!",F2008="NEW"),"",INDEX(J$1:J2007,SUMPRODUCT(MAX(ROW(E$1:E2007)*(E2008=E$1:E2007)))))</f>
        <v/>
      </c>
      <c r="L2008" s="16"/>
    </row>
    <row r="2009" customFormat="false" ht="12.8" hidden="false" customHeight="false" outlineLevel="0" collapsed="false">
      <c r="A2009" s="0" t="s">
        <v>902</v>
      </c>
      <c r="E2009" s="10" t="str">
        <f aca="false">IF(D2009="?OLD","!!!","")</f>
        <v/>
      </c>
      <c r="F2009" s="11" t="str">
        <f aca="false">IF(OR(E2009="",E2009="!!!"),"",IF(NOT(ISNA(VLOOKUP(E2009,E$1:E2008,1,FALSE()))),"OLD",IF(AND(E2009&lt;&gt;"",E2009&lt;&gt;"!!!"),"NEW","")))</f>
        <v/>
      </c>
      <c r="G2009" s="12" t="str">
        <f aca="false">IF(OR(E2009="",E2009="!!!"),"",IF(OR(J2009=0,AND(J2009=1,K2009=1),AND(J2009=1,I2009="SBJ"),AND(J2009=1,I2009=0)),"?IN_FOCUS",IF(J2009&lt;=2,"?ACTIVATED",IF(J2009&lt;&gt;"","?FAMILIAR",IF(F2009="NEW",IF(ISNA(VLOOKUP(E2009,#REF!,1,FALSE())),"?TYPE_IDENTIFIABLE","?REFERENTIAL"),"_")))))</f>
        <v/>
      </c>
      <c r="H2009" s="13" t="str">
        <f aca="false">IF(J2009&lt;&gt;1,"",IF(I2009="SBJ","CB","?"))</f>
        <v/>
      </c>
      <c r="I2009" s="14" t="str">
        <f aca="false">IF(OR(E2009="",E2009="!!!",F2009="NEW"),"",INDEX(B$2:B2008,-1+SUMPRODUCT(MAX(ROW(E$2:E2008)*(E2009=E$2:E2008)))))</f>
        <v/>
      </c>
      <c r="J2009" s="15" t="str">
        <f aca="true">IF(OR(E2009="",E2009="!!!",F2009="NEW"),"",COUNTBLANK(OFFSET(A$1,,,SUMPRODUCT(MAX(ROW(E$2:E2009)*(E2009=E$2:E2009)))))-COUNTBLANK(OFFSET(A$1,,,SUMPRODUCT(MAX(ROW(E$1:E2008)*(E2009=E$1:E2008))))))</f>
        <v/>
      </c>
      <c r="K2009" s="15" t="str">
        <f aca="false">IF(OR(E2009="",E2009="!!!",F2009="NEW"),"",INDEX(J$1:J2008,SUMPRODUCT(MAX(ROW(E$1:E2008)*(E2009=E$1:E2008)))))</f>
        <v/>
      </c>
      <c r="L2009" s="16"/>
    </row>
    <row r="2010" customFormat="false" ht="12.8" hidden="false" customHeight="false" outlineLevel="0" collapsed="false">
      <c r="A2010" s="0" t="s">
        <v>903</v>
      </c>
      <c r="B2010" s="0" t="s">
        <v>59</v>
      </c>
      <c r="E2010" s="10" t="str">
        <f aca="false">IF(D2010="?OLD","!!!","")</f>
        <v/>
      </c>
      <c r="F2010" s="11" t="str">
        <f aca="false">IF(OR(E2010="",E2010="!!!"),"",IF(NOT(ISNA(VLOOKUP(E2010,E$1:E2009,1,FALSE()))),"OLD",IF(AND(E2010&lt;&gt;"",E2010&lt;&gt;"!!!"),"NEW","")))</f>
        <v/>
      </c>
      <c r="G2010" s="12" t="str">
        <f aca="false">IF(OR(E2010="",E2010="!!!"),"",IF(OR(J2010=0,AND(J2010=1,K2010=1),AND(J2010=1,I2010="SBJ"),AND(J2010=1,I2010=0)),"?IN_FOCUS",IF(J2010&lt;=2,"?ACTIVATED",IF(J2010&lt;&gt;"","?FAMILIAR",IF(F2010="NEW",IF(ISNA(VLOOKUP(E2010,#REF!,1,FALSE())),"?TYPE_IDENTIFIABLE","?REFERENTIAL"),"_")))))</f>
        <v/>
      </c>
      <c r="H2010" s="13" t="str">
        <f aca="false">IF(J2010&lt;&gt;1,"",IF(I2010="SBJ","CB","?"))</f>
        <v/>
      </c>
      <c r="I2010" s="14" t="str">
        <f aca="false">IF(OR(E2010="",E2010="!!!",F2010="NEW"),"",INDEX(B$2:B2009,-1+SUMPRODUCT(MAX(ROW(E$2:E2009)*(E2010=E$2:E2009)))))</f>
        <v/>
      </c>
      <c r="J2010" s="15" t="str">
        <f aca="true">IF(OR(E2010="",E2010="!!!",F2010="NEW"),"",COUNTBLANK(OFFSET(A$1,,,SUMPRODUCT(MAX(ROW(E$2:E2010)*(E2010=E$2:E2010)))))-COUNTBLANK(OFFSET(A$1,,,SUMPRODUCT(MAX(ROW(E$1:E2009)*(E2010=E$1:E2009))))))</f>
        <v/>
      </c>
      <c r="K2010" s="15" t="str">
        <f aca="false">IF(OR(E2010="",E2010="!!!",F2010="NEW"),"",INDEX(J$1:J2009,SUMPRODUCT(MAX(ROW(E$1:E2009)*(E2010=E$1:E2009)))))</f>
        <v/>
      </c>
      <c r="L2010" s="16"/>
    </row>
    <row r="2011" customFormat="false" ht="12.8" hidden="false" customHeight="false" outlineLevel="0" collapsed="false">
      <c r="A2011" s="0" t="s">
        <v>365</v>
      </c>
      <c r="E2011" s="10" t="str">
        <f aca="false">IF(D2011="?OLD","!!!","")</f>
        <v/>
      </c>
      <c r="F2011" s="11" t="str">
        <f aca="false">IF(OR(E2011="",E2011="!!!"),"",IF(NOT(ISNA(VLOOKUP(E2011,E$1:E2010,1,FALSE()))),"OLD",IF(AND(E2011&lt;&gt;"",E2011&lt;&gt;"!!!"),"NEW","")))</f>
        <v/>
      </c>
      <c r="G2011" s="12" t="str">
        <f aca="false">IF(OR(E2011="",E2011="!!!"),"",IF(OR(J2011=0,AND(J2011=1,K2011=1),AND(J2011=1,I2011="SBJ"),AND(J2011=1,I2011=0)),"?IN_FOCUS",IF(J2011&lt;=2,"?ACTIVATED",IF(J2011&lt;&gt;"","?FAMILIAR",IF(F2011="NEW",IF(ISNA(VLOOKUP(E2011,#REF!,1,FALSE())),"?TYPE_IDENTIFIABLE","?REFERENTIAL"),"_")))))</f>
        <v/>
      </c>
      <c r="H2011" s="13" t="str">
        <f aca="false">IF(J2011&lt;&gt;1,"",IF(I2011="SBJ","CB","?"))</f>
        <v/>
      </c>
      <c r="I2011" s="14" t="str">
        <f aca="false">IF(OR(E2011="",E2011="!!!",F2011="NEW"),"",INDEX(B$2:B2010,-1+SUMPRODUCT(MAX(ROW(E$2:E2010)*(E2011=E$2:E2010)))))</f>
        <v/>
      </c>
      <c r="J2011" s="15" t="str">
        <f aca="true">IF(OR(E2011="",E2011="!!!",F2011="NEW"),"",COUNTBLANK(OFFSET(A$1,,,SUMPRODUCT(MAX(ROW(E$2:E2011)*(E2011=E$2:E2011)))))-COUNTBLANK(OFFSET(A$1,,,SUMPRODUCT(MAX(ROW(E$1:E2010)*(E2011=E$1:E2010))))))</f>
        <v/>
      </c>
      <c r="K2011" s="15" t="str">
        <f aca="false">IF(OR(E2011="",E2011="!!!",F2011="NEW"),"",INDEX(J$1:J2010,SUMPRODUCT(MAX(ROW(E$1:E2010)*(E2011=E$1:E2010)))))</f>
        <v/>
      </c>
      <c r="L2011" s="16"/>
    </row>
    <row r="2012" customFormat="false" ht="12.8" hidden="false" customHeight="false" outlineLevel="0" collapsed="false">
      <c r="A2012" s="0" t="s">
        <v>39</v>
      </c>
      <c r="E2012" s="10" t="str">
        <f aca="false">IF(D2012="?OLD","!!!","")</f>
        <v/>
      </c>
      <c r="F2012" s="11" t="str">
        <f aca="false">IF(OR(E2012="",E2012="!!!"),"",IF(NOT(ISNA(VLOOKUP(E2012,E$1:E2011,1,FALSE()))),"OLD",IF(AND(E2012&lt;&gt;"",E2012&lt;&gt;"!!!"),"NEW","")))</f>
        <v/>
      </c>
      <c r="G2012" s="12" t="str">
        <f aca="false">IF(OR(E2012="",E2012="!!!"),"",IF(OR(J2012=0,AND(J2012=1,K2012=1),AND(J2012=1,I2012="SBJ"),AND(J2012=1,I2012=0)),"?IN_FOCUS",IF(J2012&lt;=2,"?ACTIVATED",IF(J2012&lt;&gt;"","?FAMILIAR",IF(F2012="NEW",IF(ISNA(VLOOKUP(E2012,#REF!,1,FALSE())),"?TYPE_IDENTIFIABLE","?REFERENTIAL"),"_")))))</f>
        <v/>
      </c>
      <c r="H2012" s="13" t="str">
        <f aca="false">IF(J2012&lt;&gt;1,"",IF(I2012="SBJ","CB","?"))</f>
        <v/>
      </c>
      <c r="I2012" s="14" t="str">
        <f aca="false">IF(OR(E2012="",E2012="!!!",F2012="NEW"),"",INDEX(B$2:B2011,-1+SUMPRODUCT(MAX(ROW(E$2:E2011)*(E2012=E$2:E2011)))))</f>
        <v/>
      </c>
      <c r="J2012" s="15" t="str">
        <f aca="true">IF(OR(E2012="",E2012="!!!",F2012="NEW"),"",COUNTBLANK(OFFSET(A$1,,,SUMPRODUCT(MAX(ROW(E$2:E2012)*(E2012=E$2:E2012)))))-COUNTBLANK(OFFSET(A$1,,,SUMPRODUCT(MAX(ROW(E$1:E2011)*(E2012=E$1:E2011))))))</f>
        <v/>
      </c>
      <c r="K2012" s="15" t="str">
        <f aca="false">IF(OR(E2012="",E2012="!!!",F2012="NEW"),"",INDEX(J$1:J2011,SUMPRODUCT(MAX(ROW(E$1:E2011)*(E2012=E$1:E2011)))))</f>
        <v/>
      </c>
      <c r="L2012" s="16"/>
    </row>
    <row r="2013" customFormat="false" ht="12.8" hidden="false" customHeight="false" outlineLevel="0" collapsed="false">
      <c r="A2013" s="0" t="s">
        <v>904</v>
      </c>
      <c r="B2013" s="0" t="s">
        <v>96</v>
      </c>
      <c r="C2013" s="0" t="s">
        <v>31</v>
      </c>
      <c r="E2013" s="10" t="str">
        <f aca="false">IF(D2013="?OLD","!!!","")</f>
        <v/>
      </c>
      <c r="F2013" s="11" t="str">
        <f aca="false">IF(OR(E2013="",E2013="!!!"),"",IF(NOT(ISNA(VLOOKUP(E2013,E$1:E2012,1,FALSE()))),"OLD",IF(AND(E2013&lt;&gt;"",E2013&lt;&gt;"!!!"),"NEW","")))</f>
        <v/>
      </c>
      <c r="G2013" s="12" t="str">
        <f aca="false">IF(OR(E2013="",E2013="!!!"),"",IF(OR(J2013=0,AND(J2013=1,K2013=1),AND(J2013=1,I2013="SBJ"),AND(J2013=1,I2013=0)),"?IN_FOCUS",IF(J2013&lt;=2,"?ACTIVATED",IF(J2013&lt;&gt;"","?FAMILIAR",IF(F2013="NEW",IF(ISNA(VLOOKUP(E2013,#REF!,1,FALSE())),"?TYPE_IDENTIFIABLE","?REFERENTIAL"),"_")))))</f>
        <v/>
      </c>
      <c r="H2013" s="13" t="str">
        <f aca="false">IF(J2013&lt;&gt;1,"",IF(I2013="SBJ","CB","?"))</f>
        <v/>
      </c>
      <c r="I2013" s="14" t="str">
        <f aca="false">IF(OR(E2013="",E2013="!!!",F2013="NEW"),"",INDEX(B$2:B2012,-1+SUMPRODUCT(MAX(ROW(E$2:E2012)*(E2013=E$2:E2012)))))</f>
        <v/>
      </c>
      <c r="J2013" s="15" t="str">
        <f aca="true">IF(OR(E2013="",E2013="!!!",F2013="NEW"),"",COUNTBLANK(OFFSET(A$1,,,SUMPRODUCT(MAX(ROW(E$2:E2013)*(E2013=E$2:E2013)))))-COUNTBLANK(OFFSET(A$1,,,SUMPRODUCT(MAX(ROW(E$1:E2012)*(E2013=E$1:E2012))))))</f>
        <v/>
      </c>
      <c r="K2013" s="15" t="str">
        <f aca="false">IF(OR(E2013="",E2013="!!!",F2013="NEW"),"",INDEX(J$1:J2012,SUMPRODUCT(MAX(ROW(E$1:E2012)*(E2013=E$1:E2012)))))</f>
        <v/>
      </c>
      <c r="L2013" s="16"/>
    </row>
    <row r="2014" customFormat="false" ht="12.8" hidden="false" customHeight="false" outlineLevel="0" collapsed="false">
      <c r="A2014" s="0" t="s">
        <v>494</v>
      </c>
      <c r="E2014" s="10" t="str">
        <f aca="false">IF(D2014="?OLD","!!!","")</f>
        <v/>
      </c>
      <c r="F2014" s="11" t="str">
        <f aca="false">IF(OR(E2014="",E2014="!!!"),"",IF(NOT(ISNA(VLOOKUP(E2014,E$1:E2013,1,FALSE()))),"OLD",IF(AND(E2014&lt;&gt;"",E2014&lt;&gt;"!!!"),"NEW","")))</f>
        <v/>
      </c>
      <c r="G2014" s="12" t="str">
        <f aca="false">IF(OR(E2014="",E2014="!!!"),"",IF(OR(J2014=0,AND(J2014=1,K2014=1),AND(J2014=1,I2014="SBJ"),AND(J2014=1,I2014=0)),"?IN_FOCUS",IF(J2014&lt;=2,"?ACTIVATED",IF(J2014&lt;&gt;"","?FAMILIAR",IF(F2014="NEW",IF(ISNA(VLOOKUP(E2014,#REF!,1,FALSE())),"?TYPE_IDENTIFIABLE","?REFERENTIAL"),"_")))))</f>
        <v/>
      </c>
      <c r="H2014" s="13" t="str">
        <f aca="false">IF(J2014&lt;&gt;1,"",IF(I2014="SBJ","CB","?"))</f>
        <v/>
      </c>
      <c r="I2014" s="14" t="str">
        <f aca="false">IF(OR(E2014="",E2014="!!!",F2014="NEW"),"",INDEX(B$2:B2013,-1+SUMPRODUCT(MAX(ROW(E$2:E2013)*(E2014=E$2:E2013)))))</f>
        <v/>
      </c>
      <c r="J2014" s="15" t="str">
        <f aca="true">IF(OR(E2014="",E2014="!!!",F2014="NEW"),"",COUNTBLANK(OFFSET(A$1,,,SUMPRODUCT(MAX(ROW(E$2:E2014)*(E2014=E$2:E2014)))))-COUNTBLANK(OFFSET(A$1,,,SUMPRODUCT(MAX(ROW(E$1:E2013)*(E2014=E$1:E2013))))))</f>
        <v/>
      </c>
      <c r="K2014" s="15" t="str">
        <f aca="false">IF(OR(E2014="",E2014="!!!",F2014="NEW"),"",INDEX(J$1:J2013,SUMPRODUCT(MAX(ROW(E$1:E2013)*(E2014=E$1:E2013)))))</f>
        <v/>
      </c>
      <c r="L2014" s="16"/>
    </row>
    <row r="2015" customFormat="false" ht="12.8" hidden="false" customHeight="false" outlineLevel="0" collapsed="false">
      <c r="A2015" s="0" t="s">
        <v>84</v>
      </c>
      <c r="B2015" s="0" t="s">
        <v>173</v>
      </c>
      <c r="C2015" s="0" t="s">
        <v>104</v>
      </c>
      <c r="D2015" s="0" t="s">
        <v>20</v>
      </c>
      <c r="E2015" s="10" t="s">
        <v>905</v>
      </c>
      <c r="F2015" s="11" t="s">
        <v>164</v>
      </c>
      <c r="G2015" s="12" t="s">
        <v>80</v>
      </c>
      <c r="H2015" s="13"/>
      <c r="I2015" s="14" t="e">
        <f aca="false">IF(OR(E2015="",E2015="!!!",F2015="NEW"),"",INDEX(B$2:B2014,-1+SUMPRODUCT(MAX(ROW(E$2:E2014)*(E2015=E$2:E2014)))))</f>
        <v>#VALUE!</v>
      </c>
      <c r="J2015" s="15" t="e">
        <f aca="true">IF(OR(E2015="",E2015="!!!",F2015="NEW"),"",COUNTBLANK(OFFSET(A$1,,,SUMPRODUCT(MAX(ROW(E$2:E2015)*(E2015=E$2:E2015)))))-COUNTBLANK(OFFSET(A$1,,,SUMPRODUCT(MAX(ROW(E$1:E2014)*(E2015=E$1:E2014))))))</f>
        <v>#VALUE!</v>
      </c>
      <c r="K2015" s="15" t="e">
        <f aca="false">IF(OR(E2015="",E2015="!!!",F2015="NEW"),"",INDEX(J$1:J2014,SUMPRODUCT(MAX(ROW(E$1:E2014)*(E2015=E$1:E2014)))))</f>
        <v>#VALUE!</v>
      </c>
      <c r="L2015" s="16"/>
    </row>
    <row r="2016" customFormat="false" ht="12.8" hidden="false" customHeight="false" outlineLevel="0" collapsed="false">
      <c r="A2016" s="0" t="s">
        <v>906</v>
      </c>
      <c r="E2016" s="10" t="str">
        <f aca="false">IF(D2016="?OLD","!!!","")</f>
        <v/>
      </c>
      <c r="F2016" s="11" t="str">
        <f aca="false">IF(OR(E2016="",E2016="!!!"),"",IF(NOT(ISNA(VLOOKUP(E2016,E$1:E2015,1,FALSE()))),"OLD",IF(AND(E2016&lt;&gt;"",E2016&lt;&gt;"!!!"),"NEW","")))</f>
        <v/>
      </c>
      <c r="G2016" s="12" t="str">
        <f aca="false">IF(OR(E2016="",E2016="!!!"),"",IF(OR(J2016=0,AND(J2016=1,K2016=1),AND(J2016=1,I2016="SBJ"),AND(J2016=1,I2016=0)),"?IN_FOCUS",IF(J2016&lt;=2,"?ACTIVATED",IF(J2016&lt;&gt;"","?FAMILIAR",IF(F2016="NEW",IF(ISNA(VLOOKUP(E2016,#REF!,1,FALSE())),"?TYPE_IDENTIFIABLE","?REFERENTIAL"),"_")))))</f>
        <v/>
      </c>
      <c r="H2016" s="13" t="str">
        <f aca="false">IF(J2016&lt;&gt;1,"",IF(I2016="SBJ","CB","?"))</f>
        <v/>
      </c>
      <c r="I2016" s="14" t="str">
        <f aca="false">IF(OR(E2016="",E2016="!!!",F2016="NEW"),"",INDEX(B$2:B2015,-1+SUMPRODUCT(MAX(ROW(E$2:E2015)*(E2016=E$2:E2015)))))</f>
        <v/>
      </c>
      <c r="J2016" s="15" t="str">
        <f aca="true">IF(OR(E2016="",E2016="!!!",F2016="NEW"),"",COUNTBLANK(OFFSET(A$1,,,SUMPRODUCT(MAX(ROW(E$2:E2016)*(E2016=E$2:E2016)))))-COUNTBLANK(OFFSET(A$1,,,SUMPRODUCT(MAX(ROW(E$1:E2015)*(E2016=E$1:E2015))))))</f>
        <v/>
      </c>
      <c r="K2016" s="15" t="str">
        <f aca="false">IF(OR(E2016="",E2016="!!!",F2016="NEW"),"",INDEX(J$1:J2015,SUMPRODUCT(MAX(ROW(E$1:E2015)*(E2016=E$1:E2015)))))</f>
        <v/>
      </c>
      <c r="L2016" s="16"/>
    </row>
    <row r="2017" customFormat="false" ht="12.8" hidden="false" customHeight="false" outlineLevel="0" collapsed="false">
      <c r="A2017" s="0" t="s">
        <v>44</v>
      </c>
      <c r="E2017" s="10" t="str">
        <f aca="false">IF(D2017="?OLD","!!!","")</f>
        <v/>
      </c>
      <c r="F2017" s="11" t="str">
        <f aca="false">IF(OR(E2017="",E2017="!!!"),"",IF(NOT(ISNA(VLOOKUP(E2017,E$1:E2016,1,FALSE()))),"OLD",IF(AND(E2017&lt;&gt;"",E2017&lt;&gt;"!!!"),"NEW","")))</f>
        <v/>
      </c>
      <c r="G2017" s="12" t="str">
        <f aca="false">IF(OR(E2017="",E2017="!!!"),"",IF(OR(J2017=0,AND(J2017=1,K2017=1),AND(J2017=1,I2017="SBJ"),AND(J2017=1,I2017=0)),"?IN_FOCUS",IF(J2017&lt;=2,"?ACTIVATED",IF(J2017&lt;&gt;"","?FAMILIAR",IF(F2017="NEW",IF(ISNA(VLOOKUP(E2017,#REF!,1,FALSE())),"?TYPE_IDENTIFIABLE","?REFERENTIAL"),"_")))))</f>
        <v/>
      </c>
      <c r="H2017" s="13" t="str">
        <f aca="false">IF(J2017&lt;&gt;1,"",IF(I2017="SBJ","CB","?"))</f>
        <v/>
      </c>
      <c r="I2017" s="14" t="str">
        <f aca="false">IF(OR(E2017="",E2017="!!!",F2017="NEW"),"",INDEX(B$2:B2016,-1+SUMPRODUCT(MAX(ROW(E$2:E2016)*(E2017=E$2:E2016)))))</f>
        <v/>
      </c>
      <c r="J2017" s="15" t="str">
        <f aca="true">IF(OR(E2017="",E2017="!!!",F2017="NEW"),"",COUNTBLANK(OFFSET(A$1,,,SUMPRODUCT(MAX(ROW(E$2:E2017)*(E2017=E$2:E2017)))))-COUNTBLANK(OFFSET(A$1,,,SUMPRODUCT(MAX(ROW(E$1:E2016)*(E2017=E$1:E2016))))))</f>
        <v/>
      </c>
      <c r="K2017" s="15" t="str">
        <f aca="false">IF(OR(E2017="",E2017="!!!",F2017="NEW"),"",INDEX(J$1:J2016,SUMPRODUCT(MAX(ROW(E$1:E2016)*(E2017=E$1:E2016)))))</f>
        <v/>
      </c>
      <c r="L2017" s="16"/>
    </row>
    <row r="2018" customFormat="false" ht="12.8" hidden="false" customHeight="false" outlineLevel="0" collapsed="false">
      <c r="A2018" s="0" t="s">
        <v>475</v>
      </c>
      <c r="E2018" s="10" t="str">
        <f aca="false">IF(D2018="?OLD","!!!","")</f>
        <v/>
      </c>
      <c r="F2018" s="11" t="str">
        <f aca="false">IF(OR(E2018="",E2018="!!!"),"",IF(NOT(ISNA(VLOOKUP(E2018,E$1:E2017,1,FALSE()))),"OLD",IF(AND(E2018&lt;&gt;"",E2018&lt;&gt;"!!!"),"NEW","")))</f>
        <v/>
      </c>
      <c r="G2018" s="12" t="str">
        <f aca="false">IF(OR(E2018="",E2018="!!!"),"",IF(OR(J2018=0,AND(J2018=1,K2018=1),AND(J2018=1,I2018="SBJ"),AND(J2018=1,I2018=0)),"?IN_FOCUS",IF(J2018&lt;=2,"?ACTIVATED",IF(J2018&lt;&gt;"","?FAMILIAR",IF(F2018="NEW",IF(ISNA(VLOOKUP(E2018,#REF!,1,FALSE())),"?TYPE_IDENTIFIABLE","?REFERENTIAL"),"_")))))</f>
        <v/>
      </c>
      <c r="H2018" s="13" t="str">
        <f aca="false">IF(J2018&lt;&gt;1,"",IF(I2018="SBJ","CB","?"))</f>
        <v/>
      </c>
      <c r="I2018" s="14" t="str">
        <f aca="false">IF(OR(E2018="",E2018="!!!",F2018="NEW"),"",INDEX(B$2:B2017,-1+SUMPRODUCT(MAX(ROW(E$2:E2017)*(E2018=E$2:E2017)))))</f>
        <v/>
      </c>
      <c r="J2018" s="15" t="str">
        <f aca="true">IF(OR(E2018="",E2018="!!!",F2018="NEW"),"",COUNTBLANK(OFFSET(A$1,,,SUMPRODUCT(MAX(ROW(E$2:E2018)*(E2018=E$2:E2018)))))-COUNTBLANK(OFFSET(A$1,,,SUMPRODUCT(MAX(ROW(E$1:E2017)*(E2018=E$1:E2017))))))</f>
        <v/>
      </c>
      <c r="K2018" s="15" t="str">
        <f aca="false">IF(OR(E2018="",E2018="!!!",F2018="NEW"),"",INDEX(J$1:J2017,SUMPRODUCT(MAX(ROW(E$1:E2017)*(E2018=E$1:E2017)))))</f>
        <v/>
      </c>
      <c r="L2018" s="16"/>
    </row>
    <row r="2019" customFormat="false" ht="12.8" hidden="false" customHeight="false" outlineLevel="0" collapsed="false">
      <c r="A2019" s="0" t="s">
        <v>370</v>
      </c>
      <c r="E2019" s="10" t="str">
        <f aca="false">IF(D2019="?OLD","!!!","")</f>
        <v/>
      </c>
      <c r="F2019" s="11" t="str">
        <f aca="false">IF(OR(E2019="",E2019="!!!"),"",IF(NOT(ISNA(VLOOKUP(E2019,E$1:E2018,1,FALSE()))),"OLD",IF(AND(E2019&lt;&gt;"",E2019&lt;&gt;"!!!"),"NEW","")))</f>
        <v/>
      </c>
      <c r="G2019" s="12" t="str">
        <f aca="false">IF(OR(E2019="",E2019="!!!"),"",IF(OR(J2019=0,AND(J2019=1,K2019=1),AND(J2019=1,I2019="SBJ"),AND(J2019=1,I2019=0)),"?IN_FOCUS",IF(J2019&lt;=2,"?ACTIVATED",IF(J2019&lt;&gt;"","?FAMILIAR",IF(F2019="NEW",IF(ISNA(VLOOKUP(E2019,#REF!,1,FALSE())),"?TYPE_IDENTIFIABLE","?REFERENTIAL"),"_")))))</f>
        <v/>
      </c>
      <c r="H2019" s="13" t="str">
        <f aca="false">IF(J2019&lt;&gt;1,"",IF(I2019="SBJ","CB","?"))</f>
        <v/>
      </c>
      <c r="I2019" s="14" t="str">
        <f aca="false">IF(OR(E2019="",E2019="!!!",F2019="NEW"),"",INDEX(B$2:B2018,-1+SUMPRODUCT(MAX(ROW(E$2:E2018)*(E2019=E$2:E2018)))))</f>
        <v/>
      </c>
      <c r="J2019" s="15" t="str">
        <f aca="true">IF(OR(E2019="",E2019="!!!",F2019="NEW"),"",COUNTBLANK(OFFSET(A$1,,,SUMPRODUCT(MAX(ROW(E$2:E2019)*(E2019=E$2:E2019)))))-COUNTBLANK(OFFSET(A$1,,,SUMPRODUCT(MAX(ROW(E$1:E2018)*(E2019=E$1:E2018))))))</f>
        <v/>
      </c>
      <c r="K2019" s="15" t="str">
        <f aca="false">IF(OR(E2019="",E2019="!!!",F2019="NEW"),"",INDEX(J$1:J2018,SUMPRODUCT(MAX(ROW(E$1:E2018)*(E2019=E$1:E2018)))))</f>
        <v/>
      </c>
      <c r="L2019" s="16"/>
    </row>
    <row r="2020" customFormat="false" ht="12.8" hidden="false" customHeight="false" outlineLevel="0" collapsed="false">
      <c r="E2020" s="10" t="str">
        <f aca="false">IF(D2020="?OLD","!!!","")</f>
        <v/>
      </c>
      <c r="F2020" s="11" t="str">
        <f aca="false">IF(OR(E2020="",E2020="!!!"),"",IF(NOT(ISNA(VLOOKUP(E2020,E$1:E2019,1,FALSE()))),"OLD",IF(AND(E2020&lt;&gt;"",E2020&lt;&gt;"!!!"),"NEW","")))</f>
        <v/>
      </c>
      <c r="G2020" s="12" t="str">
        <f aca="false">IF(OR(E2020="",E2020="!!!"),"",IF(OR(J2020=0,AND(J2020=1,K2020=1),AND(J2020=1,I2020="SBJ"),AND(J2020=1,I2020=0)),"?IN_FOCUS",IF(J2020&lt;=2,"?ACTIVATED",IF(J2020&lt;&gt;"","?FAMILIAR",IF(F2020="NEW",IF(ISNA(VLOOKUP(E2020,#REF!,1,FALSE())),"?TYPE_IDENTIFIABLE","?REFERENTIAL"),"_")))))</f>
        <v/>
      </c>
      <c r="H2020" s="13" t="str">
        <f aca="false">IF(J2020&lt;&gt;1,"",IF(I2020="SBJ","CB","?"))</f>
        <v/>
      </c>
      <c r="I2020" s="14" t="str">
        <f aca="false">IF(OR(E2020="",E2020="!!!",F2020="NEW"),"",INDEX(B$2:B2019,-1+SUMPRODUCT(MAX(ROW(E$2:E2019)*(E2020=E$2:E2019)))))</f>
        <v/>
      </c>
      <c r="J2020" s="15" t="str">
        <f aca="true">IF(OR(E2020="",E2020="!!!",F2020="NEW"),"",COUNTBLANK(OFFSET(A$1,,,SUMPRODUCT(MAX(ROW(E$2:E2020)*(E2020=E$2:E2020)))))-COUNTBLANK(OFFSET(A$1,,,SUMPRODUCT(MAX(ROW(E$1:E2019)*(E2020=E$1:E2019))))))</f>
        <v/>
      </c>
      <c r="K2020" s="15" t="str">
        <f aca="false">IF(OR(E2020="",E2020="!!!",F2020="NEW"),"",INDEX(J$1:J2019,SUMPRODUCT(MAX(ROW(E$1:E2019)*(E2020=E$1:E2019)))))</f>
        <v/>
      </c>
      <c r="L2020" s="16"/>
    </row>
    <row r="2021" customFormat="false" ht="12.8" hidden="false" customHeight="false" outlineLevel="0" collapsed="false">
      <c r="A2021" s="0" t="s">
        <v>907</v>
      </c>
      <c r="E2021" s="10" t="str">
        <f aca="false">IF(D2021="?OLD","!!!","")</f>
        <v/>
      </c>
      <c r="F2021" s="11" t="str">
        <f aca="false">IF(OR(E2021="",E2021="!!!"),"",IF(NOT(ISNA(VLOOKUP(E2021,E$1:E2020,1,FALSE()))),"OLD",IF(AND(E2021&lt;&gt;"",E2021&lt;&gt;"!!!"),"NEW","")))</f>
        <v/>
      </c>
      <c r="G2021" s="12" t="str">
        <f aca="false">IF(OR(E2021="",E2021="!!!"),"",IF(OR(J2021=0,AND(J2021=1,K2021=1),AND(J2021=1,I2021="SBJ"),AND(J2021=1,I2021=0)),"?IN_FOCUS",IF(J2021&lt;=2,"?ACTIVATED",IF(J2021&lt;&gt;"","?FAMILIAR",IF(F2021="NEW",IF(ISNA(VLOOKUP(E2021,#REF!,1,FALSE())),"?TYPE_IDENTIFIABLE","?REFERENTIAL"),"_")))))</f>
        <v/>
      </c>
      <c r="H2021" s="13" t="str">
        <f aca="false">IF(J2021&lt;&gt;1,"",IF(I2021="SBJ","CB","?"))</f>
        <v/>
      </c>
      <c r="I2021" s="14" t="str">
        <f aca="false">IF(OR(E2021="",E2021="!!!",F2021="NEW"),"",INDEX(B$2:B2020,-1+SUMPRODUCT(MAX(ROW(E$2:E2020)*(E2021=E$2:E2020)))))</f>
        <v/>
      </c>
      <c r="J2021" s="15" t="str">
        <f aca="true">IF(OR(E2021="",E2021="!!!",F2021="NEW"),"",COUNTBLANK(OFFSET(A$1,,,SUMPRODUCT(MAX(ROW(E$2:E2021)*(E2021=E$2:E2021)))))-COUNTBLANK(OFFSET(A$1,,,SUMPRODUCT(MAX(ROW(E$1:E2020)*(E2021=E$1:E2020))))))</f>
        <v/>
      </c>
      <c r="K2021" s="15" t="str">
        <f aca="false">IF(OR(E2021="",E2021="!!!",F2021="NEW"),"",INDEX(J$1:J2020,SUMPRODUCT(MAX(ROW(E$1:E2020)*(E2021=E$1:E2020)))))</f>
        <v/>
      </c>
      <c r="L2021" s="16"/>
    </row>
    <row r="2022" customFormat="false" ht="12.8" hidden="false" customHeight="false" outlineLevel="0" collapsed="false">
      <c r="A2022" s="0" t="s">
        <v>363</v>
      </c>
      <c r="E2022" s="10" t="str">
        <f aca="false">IF(D2022="?OLD","!!!","")</f>
        <v/>
      </c>
      <c r="F2022" s="11" t="str">
        <f aca="false">IF(OR(E2022="",E2022="!!!"),"",IF(NOT(ISNA(VLOOKUP(E2022,E$1:E2021,1,FALSE()))),"OLD",IF(AND(E2022&lt;&gt;"",E2022&lt;&gt;"!!!"),"NEW","")))</f>
        <v/>
      </c>
      <c r="G2022" s="12" t="str">
        <f aca="false">IF(OR(E2022="",E2022="!!!"),"",IF(OR(J2022=0,AND(J2022=1,K2022=1),AND(J2022=1,I2022="SBJ"),AND(J2022=1,I2022=0)),"?IN_FOCUS",IF(J2022&lt;=2,"?ACTIVATED",IF(J2022&lt;&gt;"","?FAMILIAR",IF(F2022="NEW",IF(ISNA(VLOOKUP(E2022,#REF!,1,FALSE())),"?TYPE_IDENTIFIABLE","?REFERENTIAL"),"_")))))</f>
        <v/>
      </c>
      <c r="H2022" s="13" t="str">
        <f aca="false">IF(J2022&lt;&gt;1,"",IF(I2022="SBJ","CB","?"))</f>
        <v/>
      </c>
      <c r="I2022" s="14" t="str">
        <f aca="false">IF(OR(E2022="",E2022="!!!",F2022="NEW"),"",INDEX(B$2:B2021,-1+SUMPRODUCT(MAX(ROW(E$2:E2021)*(E2022=E$2:E2021)))))</f>
        <v/>
      </c>
      <c r="J2022" s="15" t="str">
        <f aca="true">IF(OR(E2022="",E2022="!!!",F2022="NEW"),"",COUNTBLANK(OFFSET(A$1,,,SUMPRODUCT(MAX(ROW(E$2:E2022)*(E2022=E$2:E2022)))))-COUNTBLANK(OFFSET(A$1,,,SUMPRODUCT(MAX(ROW(E$1:E2021)*(E2022=E$1:E2021))))))</f>
        <v/>
      </c>
      <c r="K2022" s="15" t="str">
        <f aca="false">IF(OR(E2022="",E2022="!!!",F2022="NEW"),"",INDEX(J$1:J2021,SUMPRODUCT(MAX(ROW(E$1:E2021)*(E2022=E$1:E2021)))))</f>
        <v/>
      </c>
      <c r="L2022" s="16"/>
    </row>
    <row r="2023" customFormat="false" ht="12.8" hidden="false" customHeight="false" outlineLevel="0" collapsed="false">
      <c r="A2023" s="0" t="s">
        <v>79</v>
      </c>
      <c r="E2023" s="10" t="str">
        <f aca="false">IF(D2023="?OLD","!!!","")</f>
        <v/>
      </c>
      <c r="F2023" s="11" t="str">
        <f aca="false">IF(OR(E2023="",E2023="!!!"),"",IF(NOT(ISNA(VLOOKUP(E2023,E$1:E2022,1,FALSE()))),"OLD",IF(AND(E2023&lt;&gt;"",E2023&lt;&gt;"!!!"),"NEW","")))</f>
        <v/>
      </c>
      <c r="G2023" s="12" t="str">
        <f aca="false">IF(OR(E2023="",E2023="!!!"),"",IF(OR(J2023=0,AND(J2023=1,K2023=1),AND(J2023=1,I2023="SBJ"),AND(J2023=1,I2023=0)),"?IN_FOCUS",IF(J2023&lt;=2,"?ACTIVATED",IF(J2023&lt;&gt;"","?FAMILIAR",IF(F2023="NEW",IF(ISNA(VLOOKUP(E2023,#REF!,1,FALSE())),"?TYPE_IDENTIFIABLE","?REFERENTIAL"),"_")))))</f>
        <v/>
      </c>
      <c r="H2023" s="13" t="str">
        <f aca="false">IF(J2023&lt;&gt;1,"",IF(I2023="SBJ","CB","?"))</f>
        <v/>
      </c>
      <c r="I2023" s="14" t="str">
        <f aca="false">IF(OR(E2023="",E2023="!!!",F2023="NEW"),"",INDEX(B$2:B2022,-1+SUMPRODUCT(MAX(ROW(E$2:E2022)*(E2023=E$2:E2022)))))</f>
        <v/>
      </c>
      <c r="J2023" s="15" t="str">
        <f aca="true">IF(OR(E2023="",E2023="!!!",F2023="NEW"),"",COUNTBLANK(OFFSET(A$1,,,SUMPRODUCT(MAX(ROW(E$2:E2023)*(E2023=E$2:E2023)))))-COUNTBLANK(OFFSET(A$1,,,SUMPRODUCT(MAX(ROW(E$1:E2022)*(E2023=E$1:E2022))))))</f>
        <v/>
      </c>
      <c r="K2023" s="15" t="str">
        <f aca="false">IF(OR(E2023="",E2023="!!!",F2023="NEW"),"",INDEX(J$1:J2022,SUMPRODUCT(MAX(ROW(E$1:E2022)*(E2023=E$1:E2022)))))</f>
        <v/>
      </c>
      <c r="L2023" s="16"/>
    </row>
    <row r="2024" customFormat="false" ht="12.8" hidden="false" customHeight="false" outlineLevel="0" collapsed="false">
      <c r="A2024" s="0" t="s">
        <v>150</v>
      </c>
      <c r="E2024" s="10" t="str">
        <f aca="false">IF(D2024="?OLD","!!!","")</f>
        <v/>
      </c>
      <c r="F2024" s="11" t="str">
        <f aca="false">IF(OR(E2024="",E2024="!!!"),"",IF(NOT(ISNA(VLOOKUP(E2024,E$1:E2023,1,FALSE()))),"OLD",IF(AND(E2024&lt;&gt;"",E2024&lt;&gt;"!!!"),"NEW","")))</f>
        <v/>
      </c>
      <c r="G2024" s="12" t="str">
        <f aca="false">IF(OR(E2024="",E2024="!!!"),"",IF(OR(J2024=0,AND(J2024=1,K2024=1),AND(J2024=1,I2024="SBJ"),AND(J2024=1,I2024=0)),"?IN_FOCUS",IF(J2024&lt;=2,"?ACTIVATED",IF(J2024&lt;&gt;"","?FAMILIAR",IF(F2024="NEW",IF(ISNA(VLOOKUP(E2024,#REF!,1,FALSE())),"?TYPE_IDENTIFIABLE","?REFERENTIAL"),"_")))))</f>
        <v/>
      </c>
      <c r="H2024" s="13" t="str">
        <f aca="false">IF(J2024&lt;&gt;1,"",IF(I2024="SBJ","CB","?"))</f>
        <v/>
      </c>
      <c r="I2024" s="14" t="str">
        <f aca="false">IF(OR(E2024="",E2024="!!!",F2024="NEW"),"",INDEX(B$2:B2023,-1+SUMPRODUCT(MAX(ROW(E$2:E2023)*(E2024=E$2:E2023)))))</f>
        <v/>
      </c>
      <c r="J2024" s="15" t="str">
        <f aca="true">IF(OR(E2024="",E2024="!!!",F2024="NEW"),"",COUNTBLANK(OFFSET(A$1,,,SUMPRODUCT(MAX(ROW(E$2:E2024)*(E2024=E$2:E2024)))))-COUNTBLANK(OFFSET(A$1,,,SUMPRODUCT(MAX(ROW(E$1:E2023)*(E2024=E$1:E2023))))))</f>
        <v/>
      </c>
      <c r="K2024" s="15" t="str">
        <f aca="false">IF(OR(E2024="",E2024="!!!",F2024="NEW"),"",INDEX(J$1:J2023,SUMPRODUCT(MAX(ROW(E$1:E2023)*(E2024=E$1:E2023)))))</f>
        <v/>
      </c>
      <c r="L2024" s="16"/>
    </row>
    <row r="2025" customFormat="false" ht="12.8" hidden="false" customHeight="false" outlineLevel="0" collapsed="false">
      <c r="A2025" s="0" t="s">
        <v>908</v>
      </c>
      <c r="E2025" s="10" t="s">
        <v>30</v>
      </c>
      <c r="F2025" s="11" t="str">
        <f aca="false">IF(OR(E2025="",E2025="!!!"),"",IF(NOT(ISNA(VLOOKUP(E2025,E$1:E2024,1,FALSE()))),"OLD",IF(AND(E2025&lt;&gt;"",E2025&lt;&gt;"!!!"),"NEW","")))</f>
        <v>OLD</v>
      </c>
      <c r="G2025" s="12" t="s">
        <v>36</v>
      </c>
      <c r="H2025" s="13" t="str">
        <f aca="false">IF(J2025&lt;&gt;1,"",IF(I2025="SBJ","CB","?"))</f>
        <v/>
      </c>
      <c r="I2025" s="14" t="str">
        <f aca="false">IF(OR(E2025="",E2025="!!!",F2025="NEW"),"",INDEX(B$2:B2024,-1+SUMPRODUCT(MAX(ROW(E$2:E2024)*(E2025=E$2:E2024)))))</f>
        <v>other</v>
      </c>
      <c r="J2025" s="15" t="n">
        <f aca="true">IF(OR(E2025="",E2025="!!!",F2025="NEW"),"",COUNTBLANK(OFFSET(A$1,,,SUMPRODUCT(MAX(ROW(E$2:E2025)*(E2025=E$2:E2025)))))-COUNTBLANK(OFFSET(A$1,,,SUMPRODUCT(MAX(ROW(E$1:E2024)*(E2025=E$1:E2024))))))</f>
        <v>21</v>
      </c>
      <c r="K2025" s="15" t="n">
        <f aca="false">IF(OR(E2025="",E2025="!!!",F2025="NEW"),"",INDEX(J$1:J2024,SUMPRODUCT(MAX(ROW(E$1:E2024)*(E2025=E$1:E2024)))))</f>
        <v>3</v>
      </c>
      <c r="L2025" s="16"/>
    </row>
    <row r="2026" customFormat="false" ht="12.8" hidden="false" customHeight="false" outlineLevel="0" collapsed="false">
      <c r="A2026" s="0" t="s">
        <v>161</v>
      </c>
      <c r="B2026" s="0" t="s">
        <v>34</v>
      </c>
      <c r="C2026" s="0" t="s">
        <v>48</v>
      </c>
      <c r="D2026" s="0" t="s">
        <v>20</v>
      </c>
      <c r="E2026" s="10" t="s">
        <v>161</v>
      </c>
      <c r="F2026" s="11" t="str">
        <f aca="false">IF(OR(E2026="",E2026="!!!"),"",IF(NOT(ISNA(VLOOKUP(E2026,E$1:E2025,1,FALSE()))),"OLD",IF(AND(E2026&lt;&gt;"",E2026&lt;&gt;"!!!"),"NEW","")))</f>
        <v>OLD</v>
      </c>
      <c r="G2026" s="12" t="s">
        <v>80</v>
      </c>
      <c r="H2026" s="13" t="s">
        <v>7</v>
      </c>
      <c r="I2026" s="14" t="str">
        <f aca="false">IF(OR(E2026="",E2026="!!!",F2026="NEW"),"",INDEX(B$2:B2025,-1+SUMPRODUCT(MAX(ROW(E$2:E2025)*(E2026=E$2:E2025)))))</f>
        <v>SBJ_2</v>
      </c>
      <c r="J2026" s="15" t="n">
        <f aca="true">IF(OR(E2026="",E2026="!!!",F2026="NEW"),"",COUNTBLANK(OFFSET(A$1,,,SUMPRODUCT(MAX(ROW(E$2:E2026)*(E2026=E$2:E2026)))))-COUNTBLANK(OFFSET(A$1,,,SUMPRODUCT(MAX(ROW(E$1:E2025)*(E2026=E$1:E2025))))))</f>
        <v>1</v>
      </c>
      <c r="K2026" s="15" t="n">
        <f aca="false">IF(OR(E2026="",E2026="!!!",F2026="NEW"),"",INDEX(J$1:J2025,SUMPRODUCT(MAX(ROW(E$1:E2025)*(E2026=E$1:E2025)))))</f>
        <v>3</v>
      </c>
      <c r="L2026" s="16"/>
    </row>
    <row r="2027" customFormat="false" ht="12.8" hidden="false" customHeight="false" outlineLevel="0" collapsed="false">
      <c r="A2027" s="0" t="s">
        <v>223</v>
      </c>
      <c r="E2027" s="10" t="str">
        <f aca="false">IF(D2027="?OLD","!!!","")</f>
        <v/>
      </c>
      <c r="F2027" s="11" t="str">
        <f aca="false">IF(OR(E2027="",E2027="!!!"),"",IF(NOT(ISNA(VLOOKUP(E2027,E$1:E2026,1,FALSE()))),"OLD",IF(AND(E2027&lt;&gt;"",E2027&lt;&gt;"!!!"),"NEW","")))</f>
        <v/>
      </c>
      <c r="G2027" s="12" t="str">
        <f aca="false">IF(OR(E2027="",E2027="!!!"),"",IF(OR(J2027=0,AND(J2027=1,K2027=1),AND(J2027=1,I2027="SBJ"),AND(J2027=1,I2027=0)),"?IN_FOCUS",IF(J2027&lt;=2,"?ACTIVATED",IF(J2027&lt;&gt;"","?FAMILIAR",IF(F2027="NEW",IF(ISNA(VLOOKUP(E2027,#REF!,1,FALSE())),"?TYPE_IDENTIFIABLE","?REFERENTIAL"),"_")))))</f>
        <v/>
      </c>
      <c r="H2027" s="13" t="str">
        <f aca="false">IF(J2027&lt;&gt;1,"",IF(I2027="SBJ","CB","?"))</f>
        <v/>
      </c>
      <c r="I2027" s="14" t="str">
        <f aca="false">IF(OR(E2027="",E2027="!!!",F2027="NEW"),"",INDEX(B$2:B2026,-1+SUMPRODUCT(MAX(ROW(E$2:E2026)*(E2027=E$2:E2026)))))</f>
        <v/>
      </c>
      <c r="J2027" s="15" t="str">
        <f aca="true">IF(OR(E2027="",E2027="!!!",F2027="NEW"),"",COUNTBLANK(OFFSET(A$1,,,SUMPRODUCT(MAX(ROW(E$2:E2027)*(E2027=E$2:E2027)))))-COUNTBLANK(OFFSET(A$1,,,SUMPRODUCT(MAX(ROW(E$1:E2026)*(E2027=E$1:E2026))))))</f>
        <v/>
      </c>
      <c r="K2027" s="15" t="str">
        <f aca="false">IF(OR(E2027="",E2027="!!!",F2027="NEW"),"",INDEX(J$1:J2026,SUMPRODUCT(MAX(ROW(E$1:E2026)*(E2027=E$1:E2026)))))</f>
        <v/>
      </c>
      <c r="L2027" s="16"/>
    </row>
    <row r="2028" customFormat="false" ht="12.8" hidden="false" customHeight="false" outlineLevel="0" collapsed="false">
      <c r="A2028" s="0" t="s">
        <v>107</v>
      </c>
      <c r="E2028" s="10" t="str">
        <f aca="false">IF(D2028="?OLD","!!!","")</f>
        <v/>
      </c>
      <c r="F2028" s="11" t="str">
        <f aca="false">IF(OR(E2028="",E2028="!!!"),"",IF(NOT(ISNA(VLOOKUP(E2028,E$1:E2027,1,FALSE()))),"OLD",IF(AND(E2028&lt;&gt;"",E2028&lt;&gt;"!!!"),"NEW","")))</f>
        <v/>
      </c>
      <c r="G2028" s="12" t="str">
        <f aca="false">IF(OR(E2028="",E2028="!!!"),"",IF(OR(J2028=0,AND(J2028=1,K2028=1),AND(J2028=1,I2028="SBJ"),AND(J2028=1,I2028=0)),"?IN_FOCUS",IF(J2028&lt;=2,"?ACTIVATED",IF(J2028&lt;&gt;"","?FAMILIAR",IF(F2028="NEW",IF(ISNA(VLOOKUP(E2028,#REF!,1,FALSE())),"?TYPE_IDENTIFIABLE","?REFERENTIAL"),"_")))))</f>
        <v/>
      </c>
      <c r="H2028" s="13" t="str">
        <f aca="false">IF(J2028&lt;&gt;1,"",IF(I2028="SBJ","CB","?"))</f>
        <v/>
      </c>
      <c r="I2028" s="14" t="str">
        <f aca="false">IF(OR(E2028="",E2028="!!!",F2028="NEW"),"",INDEX(B$2:B2027,-1+SUMPRODUCT(MAX(ROW(E$2:E2027)*(E2028=E$2:E2027)))))</f>
        <v/>
      </c>
      <c r="J2028" s="15" t="str">
        <f aca="true">IF(OR(E2028="",E2028="!!!",F2028="NEW"),"",COUNTBLANK(OFFSET(A$1,,,SUMPRODUCT(MAX(ROW(E$2:E2028)*(E2028=E$2:E2028)))))-COUNTBLANK(OFFSET(A$1,,,SUMPRODUCT(MAX(ROW(E$1:E2027)*(E2028=E$1:E2027))))))</f>
        <v/>
      </c>
      <c r="K2028" s="15" t="str">
        <f aca="false">IF(OR(E2028="",E2028="!!!",F2028="NEW"),"",INDEX(J$1:J2027,SUMPRODUCT(MAX(ROW(E$1:E2027)*(E2028=E$1:E2027)))))</f>
        <v/>
      </c>
      <c r="L2028" s="16"/>
    </row>
    <row r="2029" customFormat="false" ht="12.8" hidden="false" customHeight="false" outlineLevel="0" collapsed="false">
      <c r="A2029" s="0" t="s">
        <v>600</v>
      </c>
      <c r="E2029" s="10" t="str">
        <f aca="false">IF(D2029="?OLD","!!!","")</f>
        <v/>
      </c>
      <c r="F2029" s="11" t="str">
        <f aca="false">IF(OR(E2029="",E2029="!!!"),"",IF(NOT(ISNA(VLOOKUP(E2029,E$1:E2028,1,FALSE()))),"OLD",IF(AND(E2029&lt;&gt;"",E2029&lt;&gt;"!!!"),"NEW","")))</f>
        <v/>
      </c>
      <c r="G2029" s="12" t="str">
        <f aca="false">IF(OR(E2029="",E2029="!!!"),"",IF(OR(J2029=0,AND(J2029=1,K2029=1),AND(J2029=1,I2029="SBJ"),AND(J2029=1,I2029=0)),"?IN_FOCUS",IF(J2029&lt;=2,"?ACTIVATED",IF(J2029&lt;&gt;"","?FAMILIAR",IF(F2029="NEW",IF(ISNA(VLOOKUP(E2029,#REF!,1,FALSE())),"?TYPE_IDENTIFIABLE","?REFERENTIAL"),"_")))))</f>
        <v/>
      </c>
      <c r="H2029" s="13" t="str">
        <f aca="false">IF(J2029&lt;&gt;1,"",IF(I2029="SBJ","CB","?"))</f>
        <v/>
      </c>
      <c r="I2029" s="14" t="str">
        <f aca="false">IF(OR(E2029="",E2029="!!!",F2029="NEW"),"",INDEX(B$2:B2028,-1+SUMPRODUCT(MAX(ROW(E$2:E2028)*(E2029=E$2:E2028)))))</f>
        <v/>
      </c>
      <c r="J2029" s="15" t="str">
        <f aca="true">IF(OR(E2029="",E2029="!!!",F2029="NEW"),"",COUNTBLANK(OFFSET(A$1,,,SUMPRODUCT(MAX(ROW(E$2:E2029)*(E2029=E$2:E2029)))))-COUNTBLANK(OFFSET(A$1,,,SUMPRODUCT(MAX(ROW(E$1:E2028)*(E2029=E$1:E2028))))))</f>
        <v/>
      </c>
      <c r="K2029" s="15" t="str">
        <f aca="false">IF(OR(E2029="",E2029="!!!",F2029="NEW"),"",INDEX(J$1:J2028,SUMPRODUCT(MAX(ROW(E$1:E2028)*(E2029=E$1:E2028)))))</f>
        <v/>
      </c>
      <c r="L2029" s="16"/>
    </row>
    <row r="2030" customFormat="false" ht="12.8" hidden="false" customHeight="false" outlineLevel="0" collapsed="false">
      <c r="A2030" s="0" t="s">
        <v>84</v>
      </c>
      <c r="B2030" s="0" t="s">
        <v>85</v>
      </c>
      <c r="C2030" s="0" t="s">
        <v>15</v>
      </c>
      <c r="E2030" s="10" t="s">
        <v>909</v>
      </c>
      <c r="F2030" s="11" t="s">
        <v>123</v>
      </c>
      <c r="G2030" s="12" t="s">
        <v>67</v>
      </c>
      <c r="H2030" s="13"/>
      <c r="I2030" s="14" t="e">
        <f aca="false">IF(OR(E2030="",E2030="!!!",F2030="NEW"),"",INDEX(B$2:B2029,-1+SUMPRODUCT(MAX(ROW(E$2:E2029)*(E2030=E$2:E2029)))))</f>
        <v>#VALUE!</v>
      </c>
      <c r="J2030" s="15" t="e">
        <f aca="true">IF(OR(E2030="",E2030="!!!",F2030="NEW"),"",COUNTBLANK(OFFSET(A$1,,,SUMPRODUCT(MAX(ROW(E$2:E2030)*(E2030=E$2:E2030)))))-COUNTBLANK(OFFSET(A$1,,,SUMPRODUCT(MAX(ROW(E$1:E2029)*(E2030=E$1:E2029))))))</f>
        <v>#VALUE!</v>
      </c>
      <c r="K2030" s="15" t="e">
        <f aca="false">IF(OR(E2030="",E2030="!!!",F2030="NEW"),"",INDEX(J$1:J2029,SUMPRODUCT(MAX(ROW(E$1:E2029)*(E2030=E$1:E2029)))))</f>
        <v>#VALUE!</v>
      </c>
      <c r="L2030" s="16"/>
    </row>
    <row r="2031" customFormat="false" ht="12.8" hidden="false" customHeight="false" outlineLevel="0" collapsed="false">
      <c r="A2031" s="0" t="s">
        <v>76</v>
      </c>
      <c r="E2031" s="10" t="str">
        <f aca="false">IF(D2031="?OLD","!!!","")</f>
        <v/>
      </c>
      <c r="F2031" s="11" t="str">
        <f aca="false">IF(OR(E2031="",E2031="!!!"),"",IF(NOT(ISNA(VLOOKUP(E2031,E$1:E2030,1,FALSE()))),"OLD",IF(AND(E2031&lt;&gt;"",E2031&lt;&gt;"!!!"),"NEW","")))</f>
        <v/>
      </c>
      <c r="G2031" s="12" t="str">
        <f aca="false">IF(OR(E2031="",E2031="!!!"),"",IF(OR(J2031=0,AND(J2031=1,K2031=1),AND(J2031=1,I2031="SBJ"),AND(J2031=1,I2031=0)),"?IN_FOCUS",IF(J2031&lt;=2,"?ACTIVATED",IF(J2031&lt;&gt;"","?FAMILIAR",IF(F2031="NEW",IF(ISNA(VLOOKUP(E2031,#REF!,1,FALSE())),"?TYPE_IDENTIFIABLE","?REFERENTIAL"),"_")))))</f>
        <v/>
      </c>
      <c r="H2031" s="13" t="str">
        <f aca="false">IF(J2031&lt;&gt;1,"",IF(I2031="SBJ","CB","?"))</f>
        <v/>
      </c>
      <c r="I2031" s="14" t="str">
        <f aca="false">IF(OR(E2031="",E2031="!!!",F2031="NEW"),"",INDEX(B$2:B2030,-1+SUMPRODUCT(MAX(ROW(E$2:E2030)*(E2031=E$2:E2030)))))</f>
        <v/>
      </c>
      <c r="J2031" s="15" t="str">
        <f aca="true">IF(OR(E2031="",E2031="!!!",F2031="NEW"),"",COUNTBLANK(OFFSET(A$1,,,SUMPRODUCT(MAX(ROW(E$2:E2031)*(E2031=E$2:E2031)))))-COUNTBLANK(OFFSET(A$1,,,SUMPRODUCT(MAX(ROW(E$1:E2030)*(E2031=E$1:E2030))))))</f>
        <v/>
      </c>
      <c r="K2031" s="15" t="str">
        <f aca="false">IF(OR(E2031="",E2031="!!!",F2031="NEW"),"",INDEX(J$1:J2030,SUMPRODUCT(MAX(ROW(E$1:E2030)*(E2031=E$1:E2030)))))</f>
        <v/>
      </c>
      <c r="L2031" s="16"/>
    </row>
    <row r="2032" customFormat="false" ht="12.8" hidden="false" customHeight="false" outlineLevel="0" collapsed="false">
      <c r="E2032" s="10" t="str">
        <f aca="false">IF(D2032="?OLD","!!!","")</f>
        <v/>
      </c>
      <c r="F2032" s="11" t="str">
        <f aca="false">IF(OR(E2032="",E2032="!!!"),"",IF(NOT(ISNA(VLOOKUP(E2032,E$1:E2031,1,FALSE()))),"OLD",IF(AND(E2032&lt;&gt;"",E2032&lt;&gt;"!!!"),"NEW","")))</f>
        <v/>
      </c>
      <c r="G2032" s="12" t="str">
        <f aca="false">IF(OR(E2032="",E2032="!!!"),"",IF(OR(J2032=0,AND(J2032=1,K2032=1),AND(J2032=1,I2032="SBJ"),AND(J2032=1,I2032=0)),"?IN_FOCUS",IF(J2032&lt;=2,"?ACTIVATED",IF(J2032&lt;&gt;"","?FAMILIAR",IF(F2032="NEW",IF(ISNA(VLOOKUP(E2032,#REF!,1,FALSE())),"?TYPE_IDENTIFIABLE","?REFERENTIAL"),"_")))))</f>
        <v/>
      </c>
      <c r="H2032" s="13" t="str">
        <f aca="false">IF(J2032&lt;&gt;1,"",IF(I2032="SBJ","CB","?"))</f>
        <v/>
      </c>
      <c r="I2032" s="14" t="str">
        <f aca="false">IF(OR(E2032="",E2032="!!!",F2032="NEW"),"",INDEX(B$2:B2031,-1+SUMPRODUCT(MAX(ROW(E$2:E2031)*(E2032=E$2:E2031)))))</f>
        <v/>
      </c>
      <c r="J2032" s="15" t="str">
        <f aca="true">IF(OR(E2032="",E2032="!!!",F2032="NEW"),"",COUNTBLANK(OFFSET(A$1,,,SUMPRODUCT(MAX(ROW(E$2:E2032)*(E2032=E$2:E2032)))))-COUNTBLANK(OFFSET(A$1,,,SUMPRODUCT(MAX(ROW(E$1:E2031)*(E2032=E$1:E2031))))))</f>
        <v/>
      </c>
      <c r="K2032" s="15" t="str">
        <f aca="false">IF(OR(E2032="",E2032="!!!",F2032="NEW"),"",INDEX(J$1:J2031,SUMPRODUCT(MAX(ROW(E$1:E2031)*(E2032=E$1:E2031)))))</f>
        <v/>
      </c>
      <c r="L2032" s="16"/>
    </row>
    <row r="2033" customFormat="false" ht="12.8" hidden="false" customHeight="false" outlineLevel="0" collapsed="false">
      <c r="A2033" s="0" t="s">
        <v>910</v>
      </c>
      <c r="E2033" s="10" t="str">
        <f aca="false">IF(D2033="?OLD","!!!","")</f>
        <v/>
      </c>
      <c r="F2033" s="11" t="str">
        <f aca="false">IF(OR(E2033="",E2033="!!!"),"",IF(NOT(ISNA(VLOOKUP(E2033,E$1:E2032,1,FALSE()))),"OLD",IF(AND(E2033&lt;&gt;"",E2033&lt;&gt;"!!!"),"NEW","")))</f>
        <v/>
      </c>
      <c r="G2033" s="12" t="str">
        <f aca="false">IF(OR(E2033="",E2033="!!!"),"",IF(OR(J2033=0,AND(J2033=1,K2033=1),AND(J2033=1,I2033="SBJ"),AND(J2033=1,I2033=0)),"?IN_FOCUS",IF(J2033&lt;=2,"?ACTIVATED",IF(J2033&lt;&gt;"","?FAMILIAR",IF(F2033="NEW",IF(ISNA(VLOOKUP(E2033,#REF!,1,FALSE())),"?TYPE_IDENTIFIABLE","?REFERENTIAL"),"_")))))</f>
        <v/>
      </c>
      <c r="H2033" s="13" t="str">
        <f aca="false">IF(J2033&lt;&gt;1,"",IF(I2033="SBJ","CB","?"))</f>
        <v/>
      </c>
      <c r="I2033" s="14" t="str">
        <f aca="false">IF(OR(E2033="",E2033="!!!",F2033="NEW"),"",INDEX(B$2:B2032,-1+SUMPRODUCT(MAX(ROW(E$2:E2032)*(E2033=E$2:E2032)))))</f>
        <v/>
      </c>
      <c r="J2033" s="15" t="str">
        <f aca="true">IF(OR(E2033="",E2033="!!!",F2033="NEW"),"",COUNTBLANK(OFFSET(A$1,,,SUMPRODUCT(MAX(ROW(E$2:E2033)*(E2033=E$2:E2033)))))-COUNTBLANK(OFFSET(A$1,,,SUMPRODUCT(MAX(ROW(E$1:E2032)*(E2033=E$1:E2032))))))</f>
        <v/>
      </c>
      <c r="K2033" s="15" t="str">
        <f aca="false">IF(OR(E2033="",E2033="!!!",F2033="NEW"),"",INDEX(J$1:J2032,SUMPRODUCT(MAX(ROW(E$1:E2032)*(E2033=E$1:E2032)))))</f>
        <v/>
      </c>
      <c r="L2033" s="16"/>
    </row>
    <row r="2034" customFormat="false" ht="12.8" hidden="false" customHeight="false" outlineLevel="0" collapsed="false">
      <c r="A2034" s="0" t="s">
        <v>177</v>
      </c>
      <c r="B2034" s="0" t="s">
        <v>34</v>
      </c>
      <c r="C2034" s="0" t="s">
        <v>48</v>
      </c>
      <c r="D2034" s="0" t="s">
        <v>20</v>
      </c>
      <c r="E2034" s="10" t="s">
        <v>161</v>
      </c>
      <c r="F2034" s="11" t="str">
        <f aca="false">IF(OR(E2034="",E2034="!!!"),"",IF(NOT(ISNA(VLOOKUP(E2034,E$1:E2033,1,FALSE()))),"OLD",IF(AND(E2034&lt;&gt;"",E2034&lt;&gt;"!!!"),"NEW","")))</f>
        <v>OLD</v>
      </c>
      <c r="G2034" s="12" t="s">
        <v>87</v>
      </c>
      <c r="H2034" s="13" t="str">
        <f aca="false">IF(J2034&lt;&gt;1,"",IF(I2034="SBJ","CB","?"))</f>
        <v>CB</v>
      </c>
      <c r="I2034" s="14" t="str">
        <f aca="false">IF(OR(E2034="",E2034="!!!",F2034="NEW"),"",INDEX(B$2:B2033,-1+SUMPRODUCT(MAX(ROW(E$2:E2033)*(E2034=E$2:E2033)))))</f>
        <v>SBJ</v>
      </c>
      <c r="J2034" s="15" t="n">
        <f aca="true">IF(OR(E2034="",E2034="!!!",F2034="NEW"),"",COUNTBLANK(OFFSET(A$1,,,SUMPRODUCT(MAX(ROW(E$2:E2034)*(E2034=E$2:E2034)))))-COUNTBLANK(OFFSET(A$1,,,SUMPRODUCT(MAX(ROW(E$1:E2033)*(E2034=E$1:E2033))))))</f>
        <v>1</v>
      </c>
      <c r="K2034" s="15" t="n">
        <f aca="false">IF(OR(E2034="",E2034="!!!",F2034="NEW"),"",INDEX(J$1:J2033,SUMPRODUCT(MAX(ROW(E$1:E2033)*(E2034=E$1:E2033)))))</f>
        <v>1</v>
      </c>
      <c r="L2034" s="16"/>
    </row>
    <row r="2035" customFormat="false" ht="12.8" hidden="false" customHeight="false" outlineLevel="0" collapsed="false">
      <c r="A2035" s="0" t="s">
        <v>223</v>
      </c>
      <c r="E2035" s="10" t="str">
        <f aca="false">IF(D2035="?OLD","!!!","")</f>
        <v/>
      </c>
      <c r="F2035" s="11" t="str">
        <f aca="false">IF(OR(E2035="",E2035="!!!"),"",IF(NOT(ISNA(VLOOKUP(E2035,E$1:E2034,1,FALSE()))),"OLD",IF(AND(E2035&lt;&gt;"",E2035&lt;&gt;"!!!"),"NEW","")))</f>
        <v/>
      </c>
      <c r="G2035" s="12" t="str">
        <f aca="false">IF(OR(E2035="",E2035="!!!"),"",IF(OR(J2035=0,AND(J2035=1,K2035=1),AND(J2035=1,I2035="SBJ"),AND(J2035=1,I2035=0)),"?IN_FOCUS",IF(J2035&lt;=2,"?ACTIVATED",IF(J2035&lt;&gt;"","?FAMILIAR",IF(F2035="NEW",IF(ISNA(VLOOKUP(E2035,#REF!,1,FALSE())),"?TYPE_IDENTIFIABLE","?REFERENTIAL"),"_")))))</f>
        <v/>
      </c>
      <c r="H2035" s="13" t="str">
        <f aca="false">IF(J2035&lt;&gt;1,"",IF(I2035="SBJ","CB","?"))</f>
        <v/>
      </c>
      <c r="I2035" s="14" t="str">
        <f aca="false">IF(OR(E2035="",E2035="!!!",F2035="NEW"),"",INDEX(B$2:B2034,-1+SUMPRODUCT(MAX(ROW(E$2:E2034)*(E2035=E$2:E2034)))))</f>
        <v/>
      </c>
      <c r="J2035" s="15" t="str">
        <f aca="true">IF(OR(E2035="",E2035="!!!",F2035="NEW"),"",COUNTBLANK(OFFSET(A$1,,,SUMPRODUCT(MAX(ROW(E$2:E2035)*(E2035=E$2:E2035)))))-COUNTBLANK(OFFSET(A$1,,,SUMPRODUCT(MAX(ROW(E$1:E2034)*(E2035=E$1:E2034))))))</f>
        <v/>
      </c>
      <c r="K2035" s="15" t="str">
        <f aca="false">IF(OR(E2035="",E2035="!!!",F2035="NEW"),"",INDEX(J$1:J2034,SUMPRODUCT(MAX(ROW(E$1:E2034)*(E2035=E$1:E2034)))))</f>
        <v/>
      </c>
      <c r="L2035" s="16"/>
    </row>
    <row r="2036" customFormat="false" ht="12.8" hidden="false" customHeight="false" outlineLevel="0" collapsed="false">
      <c r="A2036" s="0" t="s">
        <v>911</v>
      </c>
      <c r="E2036" s="10" t="str">
        <f aca="false">IF(D2036="?OLD","!!!","")</f>
        <v/>
      </c>
      <c r="F2036" s="11" t="str">
        <f aca="false">IF(OR(E2036="",E2036="!!!"),"",IF(NOT(ISNA(VLOOKUP(E2036,E$1:E2035,1,FALSE()))),"OLD",IF(AND(E2036&lt;&gt;"",E2036&lt;&gt;"!!!"),"NEW","")))</f>
        <v/>
      </c>
      <c r="G2036" s="12" t="str">
        <f aca="false">IF(OR(E2036="",E2036="!!!"),"",IF(OR(J2036=0,AND(J2036=1,K2036=1),AND(J2036=1,I2036="SBJ"),AND(J2036=1,I2036=0)),"?IN_FOCUS",IF(J2036&lt;=2,"?ACTIVATED",IF(J2036&lt;&gt;"","?FAMILIAR",IF(F2036="NEW",IF(ISNA(VLOOKUP(E2036,#REF!,1,FALSE())),"?TYPE_IDENTIFIABLE","?REFERENTIAL"),"_")))))</f>
        <v/>
      </c>
      <c r="H2036" s="13" t="str">
        <f aca="false">IF(J2036&lt;&gt;1,"",IF(I2036="SBJ","CB","?"))</f>
        <v/>
      </c>
      <c r="I2036" s="14" t="str">
        <f aca="false">IF(OR(E2036="",E2036="!!!",F2036="NEW"),"",INDEX(B$2:B2035,-1+SUMPRODUCT(MAX(ROW(E$2:E2035)*(E2036=E$2:E2035)))))</f>
        <v/>
      </c>
      <c r="J2036" s="15" t="str">
        <f aca="true">IF(OR(E2036="",E2036="!!!",F2036="NEW"),"",COUNTBLANK(OFFSET(A$1,,,SUMPRODUCT(MAX(ROW(E$2:E2036)*(E2036=E$2:E2036)))))-COUNTBLANK(OFFSET(A$1,,,SUMPRODUCT(MAX(ROW(E$1:E2035)*(E2036=E$1:E2035))))))</f>
        <v/>
      </c>
      <c r="K2036" s="15" t="str">
        <f aca="false">IF(OR(E2036="",E2036="!!!",F2036="NEW"),"",INDEX(J$1:J2035,SUMPRODUCT(MAX(ROW(E$1:E2035)*(E2036=E$1:E2035)))))</f>
        <v/>
      </c>
      <c r="L2036" s="16"/>
    </row>
    <row r="2037" customFormat="false" ht="12.8" hidden="false" customHeight="false" outlineLevel="0" collapsed="false">
      <c r="A2037" s="0" t="s">
        <v>900</v>
      </c>
      <c r="B2037" s="0" t="s">
        <v>85</v>
      </c>
      <c r="C2037" s="0" t="s">
        <v>31</v>
      </c>
      <c r="E2037" s="10"/>
      <c r="F2037" s="11"/>
      <c r="G2037" s="12"/>
      <c r="H2037" s="13" t="str">
        <f aca="false">IF(J2037&lt;&gt;1,"",IF(I2037="SBJ","CB","?"))</f>
        <v/>
      </c>
      <c r="I2037" s="14" t="str">
        <f aca="false">IF(OR(E2037="",E2037="!!!",F2037="NEW"),"",INDEX(B$2:B2036,-1+SUMPRODUCT(MAX(ROW(E$2:E2036)*(E2037=E$2:E2036)))))</f>
        <v/>
      </c>
      <c r="J2037" s="15" t="str">
        <f aca="true">IF(OR(E2037="",E2037="!!!",F2037="NEW"),"",COUNTBLANK(OFFSET(A$1,,,SUMPRODUCT(MAX(ROW(E$2:E2037)*(E2037=E$2:E2037)))))-COUNTBLANK(OFFSET(A$1,,,SUMPRODUCT(MAX(ROW(E$1:E2036)*(E2037=E$1:E2036))))))</f>
        <v/>
      </c>
      <c r="K2037" s="15" t="str">
        <f aca="false">IF(OR(E2037="",E2037="!!!",F2037="NEW"),"",INDEX(J$1:J2036,SUMPRODUCT(MAX(ROW(E$1:E2036)*(E2037=E$1:E2036)))))</f>
        <v/>
      </c>
      <c r="L2037" s="16"/>
    </row>
    <row r="2038" customFormat="false" ht="12.8" hidden="false" customHeight="false" outlineLevel="0" collapsed="false">
      <c r="A2038" s="0" t="s">
        <v>44</v>
      </c>
      <c r="E2038" s="10" t="str">
        <f aca="false">IF(D2038="?OLD","!!!","")</f>
        <v/>
      </c>
      <c r="F2038" s="11" t="str">
        <f aca="false">IF(OR(E2038="",E2038="!!!"),"",IF(NOT(ISNA(VLOOKUP(E2038,E$1:E2037,1,FALSE()))),"OLD",IF(AND(E2038&lt;&gt;"",E2038&lt;&gt;"!!!"),"NEW","")))</f>
        <v/>
      </c>
      <c r="G2038" s="12" t="str">
        <f aca="false">IF(OR(E2038="",E2038="!!!"),"",IF(OR(J2038=0,AND(J2038=1,K2038=1),AND(J2038=1,I2038="SBJ"),AND(J2038=1,I2038=0)),"?IN_FOCUS",IF(J2038&lt;=2,"?ACTIVATED",IF(J2038&lt;&gt;"","?FAMILIAR",IF(F2038="NEW",IF(ISNA(VLOOKUP(E2038,#REF!,1,FALSE())),"?TYPE_IDENTIFIABLE","?REFERENTIAL"),"_")))))</f>
        <v/>
      </c>
      <c r="H2038" s="13" t="str">
        <f aca="false">IF(J2038&lt;&gt;1,"",IF(I2038="SBJ","CB","?"))</f>
        <v/>
      </c>
      <c r="I2038" s="14" t="str">
        <f aca="false">IF(OR(E2038="",E2038="!!!",F2038="NEW"),"",INDEX(B$2:B2037,-1+SUMPRODUCT(MAX(ROW(E$2:E2037)*(E2038=E$2:E2037)))))</f>
        <v/>
      </c>
      <c r="J2038" s="15" t="str">
        <f aca="true">IF(OR(E2038="",E2038="!!!",F2038="NEW"),"",COUNTBLANK(OFFSET(A$1,,,SUMPRODUCT(MAX(ROW(E$2:E2038)*(E2038=E$2:E2038)))))-COUNTBLANK(OFFSET(A$1,,,SUMPRODUCT(MAX(ROW(E$1:E2037)*(E2038=E$1:E2037))))))</f>
        <v/>
      </c>
      <c r="K2038" s="15" t="str">
        <f aca="false">IF(OR(E2038="",E2038="!!!",F2038="NEW"),"",INDEX(J$1:J2037,SUMPRODUCT(MAX(ROW(E$1:E2037)*(E2038=E$1:E2037)))))</f>
        <v/>
      </c>
      <c r="L2038" s="16"/>
    </row>
    <row r="2039" customFormat="false" ht="12.8" hidden="false" customHeight="false" outlineLevel="0" collapsed="false">
      <c r="A2039" s="0" t="s">
        <v>912</v>
      </c>
      <c r="E2039" s="10" t="str">
        <f aca="false">IF(D2039="?OLD","!!!","")</f>
        <v/>
      </c>
      <c r="F2039" s="11" t="str">
        <f aca="false">IF(OR(E2039="",E2039="!!!"),"",IF(NOT(ISNA(VLOOKUP(E2039,E$1:E2038,1,FALSE()))),"OLD",IF(AND(E2039&lt;&gt;"",E2039&lt;&gt;"!!!"),"NEW","")))</f>
        <v/>
      </c>
      <c r="G2039" s="12" t="str">
        <f aca="false">IF(OR(E2039="",E2039="!!!"),"",IF(OR(J2039=0,AND(J2039=1,K2039=1),AND(J2039=1,I2039="SBJ"),AND(J2039=1,I2039=0)),"?IN_FOCUS",IF(J2039&lt;=2,"?ACTIVATED",IF(J2039&lt;&gt;"","?FAMILIAR",IF(F2039="NEW",IF(ISNA(VLOOKUP(E2039,#REF!,1,FALSE())),"?TYPE_IDENTIFIABLE","?REFERENTIAL"),"_")))))</f>
        <v/>
      </c>
      <c r="H2039" s="13" t="str">
        <f aca="false">IF(J2039&lt;&gt;1,"",IF(I2039="SBJ","CB","?"))</f>
        <v/>
      </c>
      <c r="I2039" s="14" t="str">
        <f aca="false">IF(OR(E2039="",E2039="!!!",F2039="NEW"),"",INDEX(B$2:B2038,-1+SUMPRODUCT(MAX(ROW(E$2:E2038)*(E2039=E$2:E2038)))))</f>
        <v/>
      </c>
      <c r="J2039" s="15" t="str">
        <f aca="true">IF(OR(E2039="",E2039="!!!",F2039="NEW"),"",COUNTBLANK(OFFSET(A$1,,,SUMPRODUCT(MAX(ROW(E$2:E2039)*(E2039=E$2:E2039)))))-COUNTBLANK(OFFSET(A$1,,,SUMPRODUCT(MAX(ROW(E$1:E2038)*(E2039=E$1:E2038))))))</f>
        <v/>
      </c>
      <c r="K2039" s="15" t="str">
        <f aca="false">IF(OR(E2039="",E2039="!!!",F2039="NEW"),"",INDEX(J$1:J2038,SUMPRODUCT(MAX(ROW(E$1:E2038)*(E2039=E$1:E2038)))))</f>
        <v/>
      </c>
      <c r="L2039" s="16"/>
    </row>
    <row r="2040" customFormat="false" ht="12.8" hidden="false" customHeight="false" outlineLevel="0" collapsed="false">
      <c r="A2040" s="0" t="s">
        <v>62</v>
      </c>
      <c r="E2040" s="10" t="str">
        <f aca="false">IF(D2040="?OLD","!!!","")</f>
        <v/>
      </c>
      <c r="F2040" s="11" t="str">
        <f aca="false">IF(OR(E2040="",E2040="!!!"),"",IF(NOT(ISNA(VLOOKUP(E2040,E$1:E2039,1,FALSE()))),"OLD",IF(AND(E2040&lt;&gt;"",E2040&lt;&gt;"!!!"),"NEW","")))</f>
        <v/>
      </c>
      <c r="G2040" s="12" t="str">
        <f aca="false">IF(OR(E2040="",E2040="!!!"),"",IF(OR(J2040=0,AND(J2040=1,K2040=1),AND(J2040=1,I2040="SBJ"),AND(J2040=1,I2040=0)),"?IN_FOCUS",IF(J2040&lt;=2,"?ACTIVATED",IF(J2040&lt;&gt;"","?FAMILIAR",IF(F2040="NEW",IF(ISNA(VLOOKUP(E2040,#REF!,1,FALSE())),"?TYPE_IDENTIFIABLE","?REFERENTIAL"),"_")))))</f>
        <v/>
      </c>
      <c r="H2040" s="13" t="str">
        <f aca="false">IF(J2040&lt;&gt;1,"",IF(I2040="SBJ","CB","?"))</f>
        <v/>
      </c>
      <c r="I2040" s="14" t="str">
        <f aca="false">IF(OR(E2040="",E2040="!!!",F2040="NEW"),"",INDEX(B$2:B2039,-1+SUMPRODUCT(MAX(ROW(E$2:E2039)*(E2040=E$2:E2039)))))</f>
        <v/>
      </c>
      <c r="J2040" s="15" t="str">
        <f aca="true">IF(OR(E2040="",E2040="!!!",F2040="NEW"),"",COUNTBLANK(OFFSET(A$1,,,SUMPRODUCT(MAX(ROW(E$2:E2040)*(E2040=E$2:E2040)))))-COUNTBLANK(OFFSET(A$1,,,SUMPRODUCT(MAX(ROW(E$1:E2039)*(E2040=E$1:E2039))))))</f>
        <v/>
      </c>
      <c r="K2040" s="15" t="str">
        <f aca="false">IF(OR(E2040="",E2040="!!!",F2040="NEW"),"",INDEX(J$1:J2039,SUMPRODUCT(MAX(ROW(E$1:E2039)*(E2040=E$1:E2039)))))</f>
        <v/>
      </c>
      <c r="L2040" s="16"/>
    </row>
    <row r="2041" customFormat="false" ht="12.8" hidden="false" customHeight="false" outlineLevel="0" collapsed="false">
      <c r="A2041" s="0" t="s">
        <v>230</v>
      </c>
      <c r="B2041" s="0" t="s">
        <v>170</v>
      </c>
      <c r="C2041" s="0" t="s">
        <v>27</v>
      </c>
      <c r="D2041" s="0" t="s">
        <v>20</v>
      </c>
      <c r="E2041" s="10" t="s">
        <v>92</v>
      </c>
      <c r="F2041" s="11" t="str">
        <f aca="false">IF(OR(E2041="",E2041="!!!"),"",IF(NOT(ISNA(VLOOKUP(E2041,E$1:E2040,1,FALSE()))),"OLD",IF(AND(E2041&lt;&gt;"",E2041&lt;&gt;"!!!"),"NEW","")))</f>
        <v>OLD</v>
      </c>
      <c r="G2041" s="12" t="s">
        <v>36</v>
      </c>
      <c r="H2041" s="13" t="str">
        <f aca="false">IF(J2041&lt;&gt;1,"",IF(I2041="SBJ","CB","?"))</f>
        <v/>
      </c>
      <c r="I2041" s="14" t="str">
        <f aca="false">IF(OR(E2041="",E2041="!!!",F2041="NEW"),"",INDEX(B$2:B2040,-1+SUMPRODUCT(MAX(ROW(E$2:E2040)*(E2041=E$2:E2040)))))</f>
        <v>SBJ_5</v>
      </c>
      <c r="J2041" s="15" t="n">
        <f aca="true">IF(OR(E2041="",E2041="!!!",F2041="NEW"),"",COUNTBLANK(OFFSET(A$1,,,SUMPRODUCT(MAX(ROW(E$2:E2041)*(E2041=E$2:E2041)))))-COUNTBLANK(OFFSET(A$1,,,SUMPRODUCT(MAX(ROW(E$1:E2040)*(E2041=E$1:E2040))))))</f>
        <v>5</v>
      </c>
      <c r="K2041" s="15" t="n">
        <f aca="false">IF(OR(E2041="",E2041="!!!",F2041="NEW"),"",INDEX(J$1:J2040,SUMPRODUCT(MAX(ROW(E$1:E2040)*(E2041=E$1:E2040)))))</f>
        <v>0</v>
      </c>
      <c r="L2041" s="16"/>
    </row>
    <row r="2042" customFormat="false" ht="12.8" hidden="false" customHeight="false" outlineLevel="0" collapsed="false">
      <c r="A2042" s="0" t="s">
        <v>60</v>
      </c>
      <c r="E2042" s="10" t="str">
        <f aca="false">IF(D2042="?OLD","!!!","")</f>
        <v/>
      </c>
      <c r="F2042" s="11" t="str">
        <f aca="false">IF(OR(E2042="",E2042="!!!"),"",IF(NOT(ISNA(VLOOKUP(E2042,E$1:E2041,1,FALSE()))),"OLD",IF(AND(E2042&lt;&gt;"",E2042&lt;&gt;"!!!"),"NEW","")))</f>
        <v/>
      </c>
      <c r="G2042" s="12" t="str">
        <f aca="false">IF(OR(E2042="",E2042="!!!"),"",IF(OR(J2042=0,AND(J2042=1,K2042=1),AND(J2042=1,I2042="SBJ"),AND(J2042=1,I2042=0)),"?IN_FOCUS",IF(J2042&lt;=2,"?ACTIVATED",IF(J2042&lt;&gt;"","?FAMILIAR",IF(F2042="NEW",IF(ISNA(VLOOKUP(E2042,#REF!,1,FALSE())),"?TYPE_IDENTIFIABLE","?REFERENTIAL"),"_")))))</f>
        <v/>
      </c>
      <c r="H2042" s="13" t="str">
        <f aca="false">IF(J2042&lt;&gt;1,"",IF(I2042="SBJ","CB","?"))</f>
        <v/>
      </c>
      <c r="I2042" s="14" t="str">
        <f aca="false">IF(OR(E2042="",E2042="!!!",F2042="NEW"),"",INDEX(B$2:B2041,-1+SUMPRODUCT(MAX(ROW(E$2:E2041)*(E2042=E$2:E2041)))))</f>
        <v/>
      </c>
      <c r="J2042" s="15" t="str">
        <f aca="true">IF(OR(E2042="",E2042="!!!",F2042="NEW"),"",COUNTBLANK(OFFSET(A$1,,,SUMPRODUCT(MAX(ROW(E$2:E2042)*(E2042=E$2:E2042)))))-COUNTBLANK(OFFSET(A$1,,,SUMPRODUCT(MAX(ROW(E$1:E2041)*(E2042=E$1:E2041))))))</f>
        <v/>
      </c>
      <c r="K2042" s="15" t="str">
        <f aca="false">IF(OR(E2042="",E2042="!!!",F2042="NEW"),"",INDEX(J$1:J2041,SUMPRODUCT(MAX(ROW(E$1:E2041)*(E2042=E$1:E2041)))))</f>
        <v/>
      </c>
      <c r="L2042" s="16"/>
    </row>
    <row r="2043" customFormat="false" ht="12.8" hidden="false" customHeight="false" outlineLevel="0" collapsed="false">
      <c r="A2043" s="0" t="s">
        <v>243</v>
      </c>
      <c r="B2043" s="0" t="s">
        <v>96</v>
      </c>
      <c r="C2043" s="0" t="s">
        <v>244</v>
      </c>
      <c r="D2043" s="0" t="s">
        <v>20</v>
      </c>
      <c r="E2043" s="10" t="s">
        <v>161</v>
      </c>
      <c r="F2043" s="11" t="str">
        <f aca="false">IF(OR(E2043="",E2043="!!!"),"",IF(NOT(ISNA(VLOOKUP(E2043,E$1:E2042,1,FALSE()))),"OLD",IF(AND(E2043&lt;&gt;"",E2043&lt;&gt;"!!!"),"NEW","")))</f>
        <v>OLD</v>
      </c>
      <c r="G2043" s="12" t="s">
        <v>87</v>
      </c>
      <c r="H2043" s="13" t="str">
        <f aca="false">IF(J2043&lt;&gt;1,"",IF(I2043="SBJ","CB","?"))</f>
        <v/>
      </c>
      <c r="I2043" s="14" t="str">
        <f aca="false">IF(OR(E2043="",E2043="!!!",F2043="NEW"),"",INDEX(B$2:B2042,-1+SUMPRODUCT(MAX(ROW(E$2:E2042)*(E2043=E$2:E2042)))))</f>
        <v>SBJ</v>
      </c>
      <c r="J2043" s="15" t="n">
        <f aca="true">IF(OR(E2043="",E2043="!!!",F2043="NEW"),"",COUNTBLANK(OFFSET(A$1,,,SUMPRODUCT(MAX(ROW(E$2:E2043)*(E2043=E$2:E2043)))))-COUNTBLANK(OFFSET(A$1,,,SUMPRODUCT(MAX(ROW(E$1:E2042)*(E2043=E$1:E2042))))))</f>
        <v>0</v>
      </c>
      <c r="K2043" s="15" t="n">
        <f aca="false">IF(OR(E2043="",E2043="!!!",F2043="NEW"),"",INDEX(J$1:J2042,SUMPRODUCT(MAX(ROW(E$1:E2042)*(E2043=E$1:E2042)))))</f>
        <v>1</v>
      </c>
      <c r="L2043" s="16"/>
    </row>
    <row r="2044" customFormat="false" ht="12.8" hidden="false" customHeight="false" outlineLevel="0" collapsed="false">
      <c r="A2044" s="0" t="s">
        <v>353</v>
      </c>
      <c r="B2044" s="0" t="s">
        <v>75</v>
      </c>
      <c r="C2044" s="0" t="s">
        <v>246</v>
      </c>
      <c r="D2044" s="0" t="s">
        <v>20</v>
      </c>
      <c r="E2044" s="10" t="s">
        <v>33</v>
      </c>
      <c r="F2044" s="11" t="str">
        <f aca="false">IF(OR(E2044="",E2044="!!!"),"",IF(NOT(ISNA(VLOOKUP(E2044,E$1:E2043,1,FALSE()))),"OLD",IF(AND(E2044&lt;&gt;"",E2044&lt;&gt;"!!!"),"NEW","")))</f>
        <v>OLD</v>
      </c>
      <c r="G2044" s="12" t="s">
        <v>36</v>
      </c>
      <c r="H2044" s="13" t="str">
        <f aca="false">IF(J2044&lt;&gt;1,"",IF(I2044="SBJ","CB","?"))</f>
        <v/>
      </c>
      <c r="I2044" s="14" t="n">
        <f aca="false">IF(OR(E2044="",E2044="!!!",F2044="NEW"),"",INDEX(B$2:B2043,-1+SUMPRODUCT(MAX(ROW(E$2:E2043)*(E2044=E$2:E2043)))))</f>
        <v>0</v>
      </c>
      <c r="J2044" s="15" t="n">
        <f aca="true">IF(OR(E2044="",E2044="!!!",F2044="NEW"),"",COUNTBLANK(OFFSET(A$1,,,SUMPRODUCT(MAX(ROW(E$2:E2044)*(E2044=E$2:E2044)))))-COUNTBLANK(OFFSET(A$1,,,SUMPRODUCT(MAX(ROW(E$1:E2043)*(E2044=E$1:E2043))))))</f>
        <v>8</v>
      </c>
      <c r="K2044" s="15" t="n">
        <f aca="false">IF(OR(E2044="",E2044="!!!",F2044="NEW"),"",INDEX(J$1:J2043,SUMPRODUCT(MAX(ROW(E$1:E2043)*(E2044=E$1:E2043)))))</f>
        <v>1</v>
      </c>
      <c r="L2044" s="16"/>
    </row>
    <row r="2045" customFormat="false" ht="12.8" hidden="false" customHeight="false" outlineLevel="0" collapsed="false">
      <c r="A2045" s="0" t="s">
        <v>45</v>
      </c>
      <c r="E2045" s="10" t="str">
        <f aca="false">IF(D2045="?OLD","!!!","")</f>
        <v/>
      </c>
      <c r="F2045" s="11" t="str">
        <f aca="false">IF(OR(E2045="",E2045="!!!"),"",IF(NOT(ISNA(VLOOKUP(E2045,E$1:E2044,1,FALSE()))),"OLD",IF(AND(E2045&lt;&gt;"",E2045&lt;&gt;"!!!"),"NEW","")))</f>
        <v/>
      </c>
      <c r="G2045" s="12" t="str">
        <f aca="false">IF(OR(E2045="",E2045="!!!"),"",IF(OR(J2045=0,AND(J2045=1,K2045=1),AND(J2045=1,I2045="SBJ"),AND(J2045=1,I2045=0)),"?IN_FOCUS",IF(J2045&lt;=2,"?ACTIVATED",IF(J2045&lt;&gt;"","?FAMILIAR",IF(F2045="NEW",IF(ISNA(VLOOKUP(E2045,#REF!,1,FALSE())),"?TYPE_IDENTIFIABLE","?REFERENTIAL"),"_")))))</f>
        <v/>
      </c>
      <c r="H2045" s="13" t="str">
        <f aca="false">IF(J2045&lt;&gt;1,"",IF(I2045="SBJ","CB","?"))</f>
        <v/>
      </c>
      <c r="I2045" s="14" t="str">
        <f aca="false">IF(OR(E2045="",E2045="!!!",F2045="NEW"),"",INDEX(B$2:B2044,-1+SUMPRODUCT(MAX(ROW(E$2:E2044)*(E2045=E$2:E2044)))))</f>
        <v/>
      </c>
      <c r="J2045" s="15" t="str">
        <f aca="true">IF(OR(E2045="",E2045="!!!",F2045="NEW"),"",COUNTBLANK(OFFSET(A$1,,,SUMPRODUCT(MAX(ROW(E$2:E2045)*(E2045=E$2:E2045)))))-COUNTBLANK(OFFSET(A$1,,,SUMPRODUCT(MAX(ROW(E$1:E2044)*(E2045=E$1:E2044))))))</f>
        <v/>
      </c>
      <c r="K2045" s="15" t="str">
        <f aca="false">IF(OR(E2045="",E2045="!!!",F2045="NEW"),"",INDEX(J$1:J2044,SUMPRODUCT(MAX(ROW(E$1:E2044)*(E2045=E$1:E2044)))))</f>
        <v/>
      </c>
      <c r="L2045" s="16"/>
    </row>
    <row r="2046" customFormat="false" ht="12.8" hidden="false" customHeight="false" outlineLevel="0" collapsed="false">
      <c r="A2046" s="0" t="s">
        <v>60</v>
      </c>
      <c r="E2046" s="10" t="str">
        <f aca="false">IF(D2046="?OLD","!!!","")</f>
        <v/>
      </c>
      <c r="F2046" s="11" t="str">
        <f aca="false">IF(OR(E2046="",E2046="!!!"),"",IF(NOT(ISNA(VLOOKUP(E2046,E$1:E2045,1,FALSE()))),"OLD",IF(AND(E2046&lt;&gt;"",E2046&lt;&gt;"!!!"),"NEW","")))</f>
        <v/>
      </c>
      <c r="G2046" s="12" t="str">
        <f aca="false">IF(OR(E2046="",E2046="!!!"),"",IF(OR(J2046=0,AND(J2046=1,K2046=1),AND(J2046=1,I2046="SBJ"),AND(J2046=1,I2046=0)),"?IN_FOCUS",IF(J2046&lt;=2,"?ACTIVATED",IF(J2046&lt;&gt;"","?FAMILIAR",IF(F2046="NEW",IF(ISNA(VLOOKUP(E2046,#REF!,1,FALSE())),"?TYPE_IDENTIFIABLE","?REFERENTIAL"),"_")))))</f>
        <v/>
      </c>
      <c r="H2046" s="13" t="str">
        <f aca="false">IF(J2046&lt;&gt;1,"",IF(I2046="SBJ","CB","?"))</f>
        <v/>
      </c>
      <c r="I2046" s="14" t="str">
        <f aca="false">IF(OR(E2046="",E2046="!!!",F2046="NEW"),"",INDEX(B$2:B2045,-1+SUMPRODUCT(MAX(ROW(E$2:E2045)*(E2046=E$2:E2045)))))</f>
        <v/>
      </c>
      <c r="J2046" s="15" t="str">
        <f aca="true">IF(OR(E2046="",E2046="!!!",F2046="NEW"),"",COUNTBLANK(OFFSET(A$1,,,SUMPRODUCT(MAX(ROW(E$2:E2046)*(E2046=E$2:E2046)))))-COUNTBLANK(OFFSET(A$1,,,SUMPRODUCT(MAX(ROW(E$1:E2045)*(E2046=E$1:E2045))))))</f>
        <v/>
      </c>
      <c r="K2046" s="15" t="str">
        <f aca="false">IF(OR(E2046="",E2046="!!!",F2046="NEW"),"",INDEX(J$1:J2045,SUMPRODUCT(MAX(ROW(E$1:E2045)*(E2046=E$1:E2045)))))</f>
        <v/>
      </c>
      <c r="L2046" s="16"/>
    </row>
    <row r="2047" customFormat="false" ht="12.8" hidden="false" customHeight="false" outlineLevel="0" collapsed="false">
      <c r="A2047" s="0" t="s">
        <v>243</v>
      </c>
      <c r="B2047" s="0" t="s">
        <v>65</v>
      </c>
      <c r="C2047" s="0" t="s">
        <v>244</v>
      </c>
      <c r="D2047" s="0" t="s">
        <v>20</v>
      </c>
      <c r="E2047" s="10" t="s">
        <v>161</v>
      </c>
      <c r="F2047" s="11" t="str">
        <f aca="false">IF(OR(E2047="",E2047="!!!"),"",IF(NOT(ISNA(VLOOKUP(E2047,E$1:E2046,1,FALSE()))),"OLD",IF(AND(E2047&lt;&gt;"",E2047&lt;&gt;"!!!"),"NEW","")))</f>
        <v>OLD</v>
      </c>
      <c r="G2047" s="12" t="s">
        <v>87</v>
      </c>
      <c r="H2047" s="13" t="str">
        <f aca="false">IF(J2047&lt;&gt;1,"",IF(I2047="SBJ","CB","?"))</f>
        <v/>
      </c>
      <c r="I2047" s="14" t="str">
        <f aca="false">IF(OR(E2047="",E2047="!!!",F2047="NEW"),"",INDEX(B$2:B2046,-1+SUMPRODUCT(MAX(ROW(E$2:E2046)*(E2047=E$2:E2046)))))</f>
        <v>other_3</v>
      </c>
      <c r="J2047" s="15" t="n">
        <f aca="true">IF(OR(E2047="",E2047="!!!",F2047="NEW"),"",COUNTBLANK(OFFSET(A$1,,,SUMPRODUCT(MAX(ROW(E$2:E2047)*(E2047=E$2:E2047)))))-COUNTBLANK(OFFSET(A$1,,,SUMPRODUCT(MAX(ROW(E$1:E2046)*(E2047=E$1:E2046))))))</f>
        <v>0</v>
      </c>
      <c r="K2047" s="15" t="n">
        <f aca="false">IF(OR(E2047="",E2047="!!!",F2047="NEW"),"",INDEX(J$1:J2046,SUMPRODUCT(MAX(ROW(E$1:E2046)*(E2047=E$1:E2046)))))</f>
        <v>0</v>
      </c>
      <c r="L2047" s="16"/>
    </row>
    <row r="2048" customFormat="false" ht="12.8" hidden="false" customHeight="false" outlineLevel="0" collapsed="false">
      <c r="A2048" s="0" t="s">
        <v>797</v>
      </c>
      <c r="B2048" s="0" t="s">
        <v>96</v>
      </c>
      <c r="C2048" s="0" t="s">
        <v>246</v>
      </c>
      <c r="D2048" s="0" t="s">
        <v>20</v>
      </c>
      <c r="E2048" s="10" t="s">
        <v>797</v>
      </c>
      <c r="F2048" s="11" t="str">
        <f aca="false">IF(OR(E2048="",E2048="!!!"),"",IF(NOT(ISNA(VLOOKUP(E2048,E$1:E2047,1,FALSE()))),"OLD",IF(AND(E2048&lt;&gt;"",E2048&lt;&gt;"!!!"),"NEW","")))</f>
        <v>NEW</v>
      </c>
      <c r="G2048" s="12" t="s">
        <v>36</v>
      </c>
      <c r="H2048" s="13" t="str">
        <f aca="false">IF(J2048&lt;&gt;1,"",IF(I2048="SBJ","CB","?"))</f>
        <v/>
      </c>
      <c r="I2048" s="14" t="str">
        <f aca="false">IF(OR(E2048="",E2048="!!!",F2048="NEW"),"",INDEX(B$2:B2047,-1+SUMPRODUCT(MAX(ROW(E$2:E2047)*(E2048=E$2:E2047)))))</f>
        <v/>
      </c>
      <c r="J2048" s="15" t="str">
        <f aca="true">IF(OR(E2048="",E2048="!!!",F2048="NEW"),"",COUNTBLANK(OFFSET(A$1,,,SUMPRODUCT(MAX(ROW(E$2:E2048)*(E2048=E$2:E2048)))))-COUNTBLANK(OFFSET(A$1,,,SUMPRODUCT(MAX(ROW(E$1:E2047)*(E2048=E$1:E2047))))))</f>
        <v/>
      </c>
      <c r="K2048" s="15" t="str">
        <f aca="false">IF(OR(E2048="",E2048="!!!",F2048="NEW"),"",INDEX(J$1:J2047,SUMPRODUCT(MAX(ROW(E$1:E2047)*(E2048=E$1:E2047)))))</f>
        <v/>
      </c>
      <c r="L2048" s="16"/>
    </row>
    <row r="2049" customFormat="false" ht="12.8" hidden="false" customHeight="false" outlineLevel="0" collapsed="false">
      <c r="A2049" s="0" t="s">
        <v>44</v>
      </c>
      <c r="E2049" s="10" t="str">
        <f aca="false">IF(D2049="?OLD","!!!","")</f>
        <v/>
      </c>
      <c r="F2049" s="11" t="str">
        <f aca="false">IF(OR(E2049="",E2049="!!!"),"",IF(NOT(ISNA(VLOOKUP(E2049,E$1:E2048,1,FALSE()))),"OLD",IF(AND(E2049&lt;&gt;"",E2049&lt;&gt;"!!!"),"NEW","")))</f>
        <v/>
      </c>
      <c r="G2049" s="12" t="str">
        <f aca="false">IF(OR(E2049="",E2049="!!!"),"",IF(OR(J2049=0,AND(J2049=1,K2049=1),AND(J2049=1,I2049="SBJ"),AND(J2049=1,I2049=0)),"?IN_FOCUS",IF(J2049&lt;=2,"?ACTIVATED",IF(J2049&lt;&gt;"","?FAMILIAR",IF(F2049="NEW",IF(ISNA(VLOOKUP(E2049,#REF!,1,FALSE())),"?TYPE_IDENTIFIABLE","?REFERENTIAL"),"_")))))</f>
        <v/>
      </c>
      <c r="H2049" s="13" t="str">
        <f aca="false">IF(J2049&lt;&gt;1,"",IF(I2049="SBJ","CB","?"))</f>
        <v/>
      </c>
      <c r="I2049" s="14" t="str">
        <f aca="false">IF(OR(E2049="",E2049="!!!",F2049="NEW"),"",INDEX(B$2:B2048,-1+SUMPRODUCT(MAX(ROW(E$2:E2048)*(E2049=E$2:E2048)))))</f>
        <v/>
      </c>
      <c r="J2049" s="15" t="str">
        <f aca="true">IF(OR(E2049="",E2049="!!!",F2049="NEW"),"",COUNTBLANK(OFFSET(A$1,,,SUMPRODUCT(MAX(ROW(E$2:E2049)*(E2049=E$2:E2049)))))-COUNTBLANK(OFFSET(A$1,,,SUMPRODUCT(MAX(ROW(E$1:E2048)*(E2049=E$1:E2048))))))</f>
        <v/>
      </c>
      <c r="K2049" s="15" t="str">
        <f aca="false">IF(OR(E2049="",E2049="!!!",F2049="NEW"),"",INDEX(J$1:J2048,SUMPRODUCT(MAX(ROW(E$1:E2048)*(E2049=E$1:E2048)))))</f>
        <v/>
      </c>
      <c r="L2049" s="16"/>
    </row>
    <row r="2050" customFormat="false" ht="12.8" hidden="false" customHeight="false" outlineLevel="0" collapsed="false">
      <c r="A2050" s="0" t="s">
        <v>45</v>
      </c>
      <c r="E2050" s="10" t="str">
        <f aca="false">IF(D2050="?OLD","!!!","")</f>
        <v/>
      </c>
      <c r="F2050" s="11" t="str">
        <f aca="false">IF(OR(E2050="",E2050="!!!"),"",IF(NOT(ISNA(VLOOKUP(E2050,E$1:E2049,1,FALSE()))),"OLD",IF(AND(E2050&lt;&gt;"",E2050&lt;&gt;"!!!"),"NEW","")))</f>
        <v/>
      </c>
      <c r="G2050" s="12" t="str">
        <f aca="false">IF(OR(E2050="",E2050="!!!"),"",IF(OR(J2050=0,AND(J2050=1,K2050=1),AND(J2050=1,I2050="SBJ"),AND(J2050=1,I2050=0)),"?IN_FOCUS",IF(J2050&lt;=2,"?ACTIVATED",IF(J2050&lt;&gt;"","?FAMILIAR",IF(F2050="NEW",IF(ISNA(VLOOKUP(E2050,#REF!,1,FALSE())),"?TYPE_IDENTIFIABLE","?REFERENTIAL"),"_")))))</f>
        <v/>
      </c>
      <c r="H2050" s="13" t="str">
        <f aca="false">IF(J2050&lt;&gt;1,"",IF(I2050="SBJ","CB","?"))</f>
        <v/>
      </c>
      <c r="I2050" s="14" t="str">
        <f aca="false">IF(OR(E2050="",E2050="!!!",F2050="NEW"),"",INDEX(B$2:B2049,-1+SUMPRODUCT(MAX(ROW(E$2:E2049)*(E2050=E$2:E2049)))))</f>
        <v/>
      </c>
      <c r="J2050" s="15" t="str">
        <f aca="true">IF(OR(E2050="",E2050="!!!",F2050="NEW"),"",COUNTBLANK(OFFSET(A$1,,,SUMPRODUCT(MAX(ROW(E$2:E2050)*(E2050=E$2:E2050)))))-COUNTBLANK(OFFSET(A$1,,,SUMPRODUCT(MAX(ROW(E$1:E2049)*(E2050=E$1:E2049))))))</f>
        <v/>
      </c>
      <c r="K2050" s="15" t="str">
        <f aca="false">IF(OR(E2050="",E2050="!!!",F2050="NEW"),"",INDEX(J$1:J2049,SUMPRODUCT(MAX(ROW(E$1:E2049)*(E2050=E$1:E2049)))))</f>
        <v/>
      </c>
      <c r="L2050" s="16"/>
    </row>
    <row r="2051" customFormat="false" ht="12.8" hidden="false" customHeight="false" outlineLevel="0" collapsed="false">
      <c r="A2051" s="0" t="s">
        <v>191</v>
      </c>
      <c r="E2051" s="10" t="str">
        <f aca="false">IF(D2051="?OLD","!!!","")</f>
        <v/>
      </c>
      <c r="F2051" s="11" t="str">
        <f aca="false">IF(OR(E2051="",E2051="!!!"),"",IF(NOT(ISNA(VLOOKUP(E2051,E$1:E2050,1,FALSE()))),"OLD",IF(AND(E2051&lt;&gt;"",E2051&lt;&gt;"!!!"),"NEW","")))</f>
        <v/>
      </c>
      <c r="G2051" s="12" t="str">
        <f aca="false">IF(OR(E2051="",E2051="!!!"),"",IF(OR(J2051=0,AND(J2051=1,K2051=1),AND(J2051=1,I2051="SBJ"),AND(J2051=1,I2051=0)),"?IN_FOCUS",IF(J2051&lt;=2,"?ACTIVATED",IF(J2051&lt;&gt;"","?FAMILIAR",IF(F2051="NEW",IF(ISNA(VLOOKUP(E2051,#REF!,1,FALSE())),"?TYPE_IDENTIFIABLE","?REFERENTIAL"),"_")))))</f>
        <v/>
      </c>
      <c r="H2051" s="13" t="str">
        <f aca="false">IF(J2051&lt;&gt;1,"",IF(I2051="SBJ","CB","?"))</f>
        <v/>
      </c>
      <c r="I2051" s="14" t="str">
        <f aca="false">IF(OR(E2051="",E2051="!!!",F2051="NEW"),"",INDEX(B$2:B2050,-1+SUMPRODUCT(MAX(ROW(E$2:E2050)*(E2051=E$2:E2050)))))</f>
        <v/>
      </c>
      <c r="J2051" s="15" t="str">
        <f aca="true">IF(OR(E2051="",E2051="!!!",F2051="NEW"),"",COUNTBLANK(OFFSET(A$1,,,SUMPRODUCT(MAX(ROW(E$2:E2051)*(E2051=E$2:E2051)))))-COUNTBLANK(OFFSET(A$1,,,SUMPRODUCT(MAX(ROW(E$1:E2050)*(E2051=E$1:E2050))))))</f>
        <v/>
      </c>
      <c r="K2051" s="15" t="str">
        <f aca="false">IF(OR(E2051="",E2051="!!!",F2051="NEW"),"",INDEX(J$1:J2050,SUMPRODUCT(MAX(ROW(E$1:E2050)*(E2051=E$1:E2050)))))</f>
        <v/>
      </c>
      <c r="L2051" s="16"/>
    </row>
    <row r="2052" customFormat="false" ht="12.8" hidden="false" customHeight="false" outlineLevel="0" collapsed="false">
      <c r="A2052" s="0" t="s">
        <v>62</v>
      </c>
      <c r="E2052" s="10" t="str">
        <f aca="false">IF(D2052="?OLD","!!!","")</f>
        <v/>
      </c>
      <c r="F2052" s="11" t="str">
        <f aca="false">IF(OR(E2052="",E2052="!!!"),"",IF(NOT(ISNA(VLOOKUP(E2052,E$1:E2051,1,FALSE()))),"OLD",IF(AND(E2052&lt;&gt;"",E2052&lt;&gt;"!!!"),"NEW","")))</f>
        <v/>
      </c>
      <c r="G2052" s="12" t="str">
        <f aca="false">IF(OR(E2052="",E2052="!!!"),"",IF(OR(J2052=0,AND(J2052=1,K2052=1),AND(J2052=1,I2052="SBJ"),AND(J2052=1,I2052=0)),"?IN_FOCUS",IF(J2052&lt;=2,"?ACTIVATED",IF(J2052&lt;&gt;"","?FAMILIAR",IF(F2052="NEW",IF(ISNA(VLOOKUP(E2052,#REF!,1,FALSE())),"?TYPE_IDENTIFIABLE","?REFERENTIAL"),"_")))))</f>
        <v/>
      </c>
      <c r="H2052" s="13" t="str">
        <f aca="false">IF(J2052&lt;&gt;1,"",IF(I2052="SBJ","CB","?"))</f>
        <v/>
      </c>
      <c r="I2052" s="14" t="str">
        <f aca="false">IF(OR(E2052="",E2052="!!!",F2052="NEW"),"",INDEX(B$2:B2051,-1+SUMPRODUCT(MAX(ROW(E$2:E2051)*(E2052=E$2:E2051)))))</f>
        <v/>
      </c>
      <c r="J2052" s="15" t="str">
        <f aca="true">IF(OR(E2052="",E2052="!!!",F2052="NEW"),"",COUNTBLANK(OFFSET(A$1,,,SUMPRODUCT(MAX(ROW(E$2:E2052)*(E2052=E$2:E2052)))))-COUNTBLANK(OFFSET(A$1,,,SUMPRODUCT(MAX(ROW(E$1:E2051)*(E2052=E$1:E2051))))))</f>
        <v/>
      </c>
      <c r="K2052" s="15" t="str">
        <f aca="false">IF(OR(E2052="",E2052="!!!",F2052="NEW"),"",INDEX(J$1:J2051,SUMPRODUCT(MAX(ROW(E$1:E2051)*(E2052=E$1:E2051)))))</f>
        <v/>
      </c>
      <c r="L2052" s="16"/>
    </row>
    <row r="2053" customFormat="false" ht="12.8" hidden="false" customHeight="false" outlineLevel="0" collapsed="false">
      <c r="A2053" s="0" t="s">
        <v>617</v>
      </c>
      <c r="E2053" s="10" t="str">
        <f aca="false">IF(D2053="?OLD","!!!","")</f>
        <v/>
      </c>
      <c r="F2053" s="11" t="str">
        <f aca="false">IF(OR(E2053="",E2053="!!!"),"",IF(NOT(ISNA(VLOOKUP(E2053,E$1:E2052,1,FALSE()))),"OLD",IF(AND(E2053&lt;&gt;"",E2053&lt;&gt;"!!!"),"NEW","")))</f>
        <v/>
      </c>
      <c r="G2053" s="12" t="str">
        <f aca="false">IF(OR(E2053="",E2053="!!!"),"",IF(OR(J2053=0,AND(J2053=1,K2053=1),AND(J2053=1,I2053="SBJ"),AND(J2053=1,I2053=0)),"?IN_FOCUS",IF(J2053&lt;=2,"?ACTIVATED",IF(J2053&lt;&gt;"","?FAMILIAR",IF(F2053="NEW",IF(ISNA(VLOOKUP(E2053,#REF!,1,FALSE())),"?TYPE_IDENTIFIABLE","?REFERENTIAL"),"_")))))</f>
        <v/>
      </c>
      <c r="H2053" s="13" t="str">
        <f aca="false">IF(J2053&lt;&gt;1,"",IF(I2053="SBJ","CB","?"))</f>
        <v/>
      </c>
      <c r="I2053" s="14" t="str">
        <f aca="false">IF(OR(E2053="",E2053="!!!",F2053="NEW"),"",INDEX(B$2:B2052,-1+SUMPRODUCT(MAX(ROW(E$2:E2052)*(E2053=E$2:E2052)))))</f>
        <v/>
      </c>
      <c r="J2053" s="15" t="str">
        <f aca="true">IF(OR(E2053="",E2053="!!!",F2053="NEW"),"",COUNTBLANK(OFFSET(A$1,,,SUMPRODUCT(MAX(ROW(E$2:E2053)*(E2053=E$2:E2053)))))-COUNTBLANK(OFFSET(A$1,,,SUMPRODUCT(MAX(ROW(E$1:E2052)*(E2053=E$1:E2052))))))</f>
        <v/>
      </c>
      <c r="K2053" s="15" t="str">
        <f aca="false">IF(OR(E2053="",E2053="!!!",F2053="NEW"),"",INDEX(J$1:J2052,SUMPRODUCT(MAX(ROW(E$1:E2052)*(E2053=E$1:E2052)))))</f>
        <v/>
      </c>
      <c r="L2053" s="16"/>
    </row>
    <row r="2054" customFormat="false" ht="12.8" hidden="false" customHeight="false" outlineLevel="0" collapsed="false">
      <c r="A2054" s="0" t="s">
        <v>913</v>
      </c>
      <c r="B2054" s="0" t="s">
        <v>14</v>
      </c>
      <c r="C2054" s="0" t="s">
        <v>27</v>
      </c>
      <c r="D2054" s="0" t="s">
        <v>20</v>
      </c>
      <c r="E2054" s="10"/>
      <c r="F2054" s="11" t="s">
        <v>247</v>
      </c>
      <c r="G2054" s="12" t="str">
        <f aca="false">IF(OR(E2054="",E2054="!!!"),"",IF(OR(J2054=0,AND(J2054=1,K2054=1),AND(J2054=1,I2054="SBJ"),AND(J2054=1,I2054=0)),"?IN_FOCUS",IF(J2054&lt;=2,"?ACTIVATED",IF(J2054&lt;&gt;"","?FAMILIAR",IF(F2054="NEW",IF(ISNA(VLOOKUP(E2054,#REF!,1,FALSE())),"?TYPE_IDENTIFIABLE","?REFERENTIAL"),"_")))))</f>
        <v/>
      </c>
      <c r="H2054" s="13" t="str">
        <f aca="false">IF(J2054&lt;&gt;1,"",IF(I2054="SBJ","CB","?"))</f>
        <v/>
      </c>
      <c r="I2054" s="14" t="str">
        <f aca="false">IF(OR(E2054="",E2054="!!!",F2054="NEW"),"",INDEX(B$2:B2053,-1+SUMPRODUCT(MAX(ROW(E$2:E2053)*(E2054=E$2:E2053)))))</f>
        <v/>
      </c>
      <c r="J2054" s="15" t="str">
        <f aca="true">IF(OR(E2054="",E2054="!!!",F2054="NEW"),"",COUNTBLANK(OFFSET(A$1,,,SUMPRODUCT(MAX(ROW(E$2:E2054)*(E2054=E$2:E2054)))))-COUNTBLANK(OFFSET(A$1,,,SUMPRODUCT(MAX(ROW(E$1:E2053)*(E2054=E$1:E2053))))))</f>
        <v/>
      </c>
      <c r="K2054" s="15" t="str">
        <f aca="false">IF(OR(E2054="",E2054="!!!",F2054="NEW"),"",INDEX(J$1:J2053,SUMPRODUCT(MAX(ROW(E$1:E2053)*(E2054=E$1:E2053)))))</f>
        <v/>
      </c>
      <c r="L2054" s="16"/>
    </row>
    <row r="2055" customFormat="false" ht="12.8" hidden="false" customHeight="false" outlineLevel="0" collapsed="false">
      <c r="A2055" s="0" t="s">
        <v>44</v>
      </c>
      <c r="E2055" s="10" t="str">
        <f aca="false">IF(D2055="?OLD","!!!","")</f>
        <v/>
      </c>
      <c r="F2055" s="11" t="str">
        <f aca="false">IF(OR(E2055="",E2055="!!!"),"",IF(NOT(ISNA(VLOOKUP(E2055,E$1:E2054,1,FALSE()))),"OLD",IF(AND(E2055&lt;&gt;"",E2055&lt;&gt;"!!!"),"NEW","")))</f>
        <v/>
      </c>
      <c r="G2055" s="12" t="str">
        <f aca="false">IF(OR(E2055="",E2055="!!!"),"",IF(OR(J2055=0,AND(J2055=1,K2055=1),AND(J2055=1,I2055="SBJ"),AND(J2055=1,I2055=0)),"?IN_FOCUS",IF(J2055&lt;=2,"?ACTIVATED",IF(J2055&lt;&gt;"","?FAMILIAR",IF(F2055="NEW",IF(ISNA(VLOOKUP(E2055,#REF!,1,FALSE())),"?TYPE_IDENTIFIABLE","?REFERENTIAL"),"_")))))</f>
        <v/>
      </c>
      <c r="H2055" s="13" t="str">
        <f aca="false">IF(J2055&lt;&gt;1,"",IF(I2055="SBJ","CB","?"))</f>
        <v/>
      </c>
      <c r="I2055" s="14" t="str">
        <f aca="false">IF(OR(E2055="",E2055="!!!",F2055="NEW"),"",INDEX(B$2:B2054,-1+SUMPRODUCT(MAX(ROW(E$2:E2054)*(E2055=E$2:E2054)))))</f>
        <v/>
      </c>
      <c r="J2055" s="15" t="str">
        <f aca="true">IF(OR(E2055="",E2055="!!!",F2055="NEW"),"",COUNTBLANK(OFFSET(A$1,,,SUMPRODUCT(MAX(ROW(E$2:E2055)*(E2055=E$2:E2055)))))-COUNTBLANK(OFFSET(A$1,,,SUMPRODUCT(MAX(ROW(E$1:E2054)*(E2055=E$1:E2054))))))</f>
        <v/>
      </c>
      <c r="K2055" s="15" t="str">
        <f aca="false">IF(OR(E2055="",E2055="!!!",F2055="NEW"),"",INDEX(J$1:J2054,SUMPRODUCT(MAX(ROW(E$1:E2054)*(E2055=E$1:E2054)))))</f>
        <v/>
      </c>
      <c r="L2055" s="16"/>
    </row>
    <row r="2056" customFormat="false" ht="12.8" hidden="false" customHeight="false" outlineLevel="0" collapsed="false">
      <c r="A2056" s="0" t="s">
        <v>39</v>
      </c>
      <c r="E2056" s="10" t="str">
        <f aca="false">IF(D2056="?OLD","!!!","")</f>
        <v/>
      </c>
      <c r="F2056" s="11" t="str">
        <f aca="false">IF(OR(E2056="",E2056="!!!"),"",IF(NOT(ISNA(VLOOKUP(E2056,E$1:E2055,1,FALSE()))),"OLD",IF(AND(E2056&lt;&gt;"",E2056&lt;&gt;"!!!"),"NEW","")))</f>
        <v/>
      </c>
      <c r="G2056" s="12" t="str">
        <f aca="false">IF(OR(E2056="",E2056="!!!"),"",IF(OR(J2056=0,AND(J2056=1,K2056=1),AND(J2056=1,I2056="SBJ"),AND(J2056=1,I2056=0)),"?IN_FOCUS",IF(J2056&lt;=2,"?ACTIVATED",IF(J2056&lt;&gt;"","?FAMILIAR",IF(F2056="NEW",IF(ISNA(VLOOKUP(E2056,#REF!,1,FALSE())),"?TYPE_IDENTIFIABLE","?REFERENTIAL"),"_")))))</f>
        <v/>
      </c>
      <c r="H2056" s="13" t="str">
        <f aca="false">IF(J2056&lt;&gt;1,"",IF(I2056="SBJ","CB","?"))</f>
        <v/>
      </c>
      <c r="I2056" s="14" t="str">
        <f aca="false">IF(OR(E2056="",E2056="!!!",F2056="NEW"),"",INDEX(B$2:B2055,-1+SUMPRODUCT(MAX(ROW(E$2:E2055)*(E2056=E$2:E2055)))))</f>
        <v/>
      </c>
      <c r="J2056" s="15" t="str">
        <f aca="true">IF(OR(E2056="",E2056="!!!",F2056="NEW"),"",COUNTBLANK(OFFSET(A$1,,,SUMPRODUCT(MAX(ROW(E$2:E2056)*(E2056=E$2:E2056)))))-COUNTBLANK(OFFSET(A$1,,,SUMPRODUCT(MAX(ROW(E$1:E2055)*(E2056=E$1:E2055))))))</f>
        <v/>
      </c>
      <c r="K2056" s="15" t="str">
        <f aca="false">IF(OR(E2056="",E2056="!!!",F2056="NEW"),"",INDEX(J$1:J2055,SUMPRODUCT(MAX(ROW(E$1:E2055)*(E2056=E$1:E2055)))))</f>
        <v/>
      </c>
      <c r="L2056" s="16"/>
    </row>
    <row r="2057" customFormat="false" ht="12.8" hidden="false" customHeight="false" outlineLevel="0" collapsed="false">
      <c r="A2057" s="0" t="s">
        <v>62</v>
      </c>
      <c r="E2057" s="10" t="str">
        <f aca="false">IF(D2057="?OLD","!!!","")</f>
        <v/>
      </c>
      <c r="F2057" s="11" t="str">
        <f aca="false">IF(OR(E2057="",E2057="!!!"),"",IF(NOT(ISNA(VLOOKUP(E2057,E$1:E2056,1,FALSE()))),"OLD",IF(AND(E2057&lt;&gt;"",E2057&lt;&gt;"!!!"),"NEW","")))</f>
        <v/>
      </c>
      <c r="G2057" s="12" t="str">
        <f aca="false">IF(OR(E2057="",E2057="!!!"),"",IF(OR(J2057=0,AND(J2057=1,K2057=1),AND(J2057=1,I2057="SBJ"),AND(J2057=1,I2057=0)),"?IN_FOCUS",IF(J2057&lt;=2,"?ACTIVATED",IF(J2057&lt;&gt;"","?FAMILIAR",IF(F2057="NEW",IF(ISNA(VLOOKUP(E2057,#REF!,1,FALSE())),"?TYPE_IDENTIFIABLE","?REFERENTIAL"),"_")))))</f>
        <v/>
      </c>
      <c r="H2057" s="13" t="str">
        <f aca="false">IF(J2057&lt;&gt;1,"",IF(I2057="SBJ","CB","?"))</f>
        <v/>
      </c>
      <c r="I2057" s="14" t="str">
        <f aca="false">IF(OR(E2057="",E2057="!!!",F2057="NEW"),"",INDEX(B$2:B2056,-1+SUMPRODUCT(MAX(ROW(E$2:E2056)*(E2057=E$2:E2056)))))</f>
        <v/>
      </c>
      <c r="J2057" s="15" t="str">
        <f aca="true">IF(OR(E2057="",E2057="!!!",F2057="NEW"),"",COUNTBLANK(OFFSET(A$1,,,SUMPRODUCT(MAX(ROW(E$2:E2057)*(E2057=E$2:E2057)))))-COUNTBLANK(OFFSET(A$1,,,SUMPRODUCT(MAX(ROW(E$1:E2056)*(E2057=E$1:E2056))))))</f>
        <v/>
      </c>
      <c r="K2057" s="15" t="str">
        <f aca="false">IF(OR(E2057="",E2057="!!!",F2057="NEW"),"",INDEX(J$1:J2056,SUMPRODUCT(MAX(ROW(E$1:E2056)*(E2057=E$1:E2056)))))</f>
        <v/>
      </c>
      <c r="L2057" s="16"/>
    </row>
    <row r="2058" customFormat="false" ht="12.8" hidden="false" customHeight="false" outlineLevel="0" collapsed="false">
      <c r="A2058" s="0" t="s">
        <v>914</v>
      </c>
      <c r="E2058" s="10" t="str">
        <f aca="false">IF(D2058="?OLD","!!!","")</f>
        <v/>
      </c>
      <c r="F2058" s="11" t="str">
        <f aca="false">IF(OR(E2058="",E2058="!!!"),"",IF(NOT(ISNA(VLOOKUP(E2058,E$1:E2057,1,FALSE()))),"OLD",IF(AND(E2058&lt;&gt;"",E2058&lt;&gt;"!!!"),"NEW","")))</f>
        <v/>
      </c>
      <c r="G2058" s="12" t="str">
        <f aca="false">IF(OR(E2058="",E2058="!!!"),"",IF(OR(J2058=0,AND(J2058=1,K2058=1),AND(J2058=1,I2058="SBJ"),AND(J2058=1,I2058=0)),"?IN_FOCUS",IF(J2058&lt;=2,"?ACTIVATED",IF(J2058&lt;&gt;"","?FAMILIAR",IF(F2058="NEW",IF(ISNA(VLOOKUP(E2058,#REF!,1,FALSE())),"?TYPE_IDENTIFIABLE","?REFERENTIAL"),"_")))))</f>
        <v/>
      </c>
      <c r="H2058" s="13" t="str">
        <f aca="false">IF(J2058&lt;&gt;1,"",IF(I2058="SBJ","CB","?"))</f>
        <v/>
      </c>
      <c r="I2058" s="14" t="str">
        <f aca="false">IF(OR(E2058="",E2058="!!!",F2058="NEW"),"",INDEX(B$2:B2057,-1+SUMPRODUCT(MAX(ROW(E$2:E2057)*(E2058=E$2:E2057)))))</f>
        <v/>
      </c>
      <c r="J2058" s="15" t="str">
        <f aca="true">IF(OR(E2058="",E2058="!!!",F2058="NEW"),"",COUNTBLANK(OFFSET(A$1,,,SUMPRODUCT(MAX(ROW(E$2:E2058)*(E2058=E$2:E2058)))))-COUNTBLANK(OFFSET(A$1,,,SUMPRODUCT(MAX(ROW(E$1:E2057)*(E2058=E$1:E2057))))))</f>
        <v/>
      </c>
      <c r="K2058" s="15" t="str">
        <f aca="false">IF(OR(E2058="",E2058="!!!",F2058="NEW"),"",INDEX(J$1:J2057,SUMPRODUCT(MAX(ROW(E$1:E2057)*(E2058=E$1:E2057)))))</f>
        <v/>
      </c>
      <c r="L2058" s="16"/>
    </row>
    <row r="2059" customFormat="false" ht="12.8" hidden="false" customHeight="false" outlineLevel="0" collapsed="false">
      <c r="A2059" s="0" t="s">
        <v>114</v>
      </c>
      <c r="B2059" s="0" t="s">
        <v>14</v>
      </c>
      <c r="C2059" s="0" t="s">
        <v>27</v>
      </c>
      <c r="D2059" s="0" t="s">
        <v>20</v>
      </c>
      <c r="E2059" s="10"/>
      <c r="F2059" s="11" t="s">
        <v>247</v>
      </c>
      <c r="G2059" s="12" t="str">
        <f aca="false">IF(OR(E2059="",E2059="!!!"),"",IF(OR(J2059=0,AND(J2059=1,K2059=1),AND(J2059=1,I2059="SBJ"),AND(J2059=1,I2059=0)),"?IN_FOCUS",IF(J2059&lt;=2,"?ACTIVATED",IF(J2059&lt;&gt;"","?FAMILIAR",IF(F2059="NEW",IF(ISNA(VLOOKUP(E2059,#REF!,1,FALSE())),"?TYPE_IDENTIFIABLE","?REFERENTIAL"),"_")))))</f>
        <v/>
      </c>
      <c r="H2059" s="13" t="str">
        <f aca="false">IF(J2059&lt;&gt;1,"",IF(I2059="SBJ","CB","?"))</f>
        <v/>
      </c>
      <c r="I2059" s="14" t="str">
        <f aca="false">IF(OR(E2059="",E2059="!!!",F2059="NEW"),"",INDEX(B$2:B2058,-1+SUMPRODUCT(MAX(ROW(E$2:E2058)*(E2059=E$2:E2058)))))</f>
        <v/>
      </c>
      <c r="J2059" s="15" t="str">
        <f aca="true">IF(OR(E2059="",E2059="!!!",F2059="NEW"),"",COUNTBLANK(OFFSET(A$1,,,SUMPRODUCT(MAX(ROW(E$2:E2059)*(E2059=E$2:E2059)))))-COUNTBLANK(OFFSET(A$1,,,SUMPRODUCT(MAX(ROW(E$1:E2058)*(E2059=E$1:E2058))))))</f>
        <v/>
      </c>
      <c r="K2059" s="15" t="str">
        <f aca="false">IF(OR(E2059="",E2059="!!!",F2059="NEW"),"",INDEX(J$1:J2058,SUMPRODUCT(MAX(ROW(E$1:E2058)*(E2059=E$1:E2058)))))</f>
        <v/>
      </c>
      <c r="L2059" s="16"/>
    </row>
    <row r="2060" customFormat="false" ht="12.8" hidden="false" customHeight="false" outlineLevel="0" collapsed="false">
      <c r="A2060" s="0" t="s">
        <v>44</v>
      </c>
      <c r="E2060" s="10" t="str">
        <f aca="false">IF(D2060="?OLD","!!!","")</f>
        <v/>
      </c>
      <c r="F2060" s="11" t="str">
        <f aca="false">IF(OR(E2060="",E2060="!!!"),"",IF(NOT(ISNA(VLOOKUP(E2060,E$1:E2059,1,FALSE()))),"OLD",IF(AND(E2060&lt;&gt;"",E2060&lt;&gt;"!!!"),"NEW","")))</f>
        <v/>
      </c>
      <c r="G2060" s="12" t="str">
        <f aca="false">IF(OR(E2060="",E2060="!!!"),"",IF(OR(J2060=0,AND(J2060=1,K2060=1),AND(J2060=1,I2060="SBJ"),AND(J2060=1,I2060=0)),"?IN_FOCUS",IF(J2060&lt;=2,"?ACTIVATED",IF(J2060&lt;&gt;"","?FAMILIAR",IF(F2060="NEW",IF(ISNA(VLOOKUP(E2060,#REF!,1,FALSE())),"?TYPE_IDENTIFIABLE","?REFERENTIAL"),"_")))))</f>
        <v/>
      </c>
      <c r="H2060" s="13" t="str">
        <f aca="false">IF(J2060&lt;&gt;1,"",IF(I2060="SBJ","CB","?"))</f>
        <v/>
      </c>
      <c r="I2060" s="14" t="str">
        <f aca="false">IF(OR(E2060="",E2060="!!!",F2060="NEW"),"",INDEX(B$2:B2059,-1+SUMPRODUCT(MAX(ROW(E$2:E2059)*(E2060=E$2:E2059)))))</f>
        <v/>
      </c>
      <c r="J2060" s="15" t="str">
        <f aca="true">IF(OR(E2060="",E2060="!!!",F2060="NEW"),"",COUNTBLANK(OFFSET(A$1,,,SUMPRODUCT(MAX(ROW(E$2:E2060)*(E2060=E$2:E2060)))))-COUNTBLANK(OFFSET(A$1,,,SUMPRODUCT(MAX(ROW(E$1:E2059)*(E2060=E$1:E2059))))))</f>
        <v/>
      </c>
      <c r="K2060" s="15" t="str">
        <f aca="false">IF(OR(E2060="",E2060="!!!",F2060="NEW"),"",INDEX(J$1:J2059,SUMPRODUCT(MAX(ROW(E$1:E2059)*(E2060=E$1:E2059)))))</f>
        <v/>
      </c>
      <c r="L2060" s="16"/>
    </row>
    <row r="2061" customFormat="false" ht="12.8" hidden="false" customHeight="false" outlineLevel="0" collapsed="false">
      <c r="A2061" s="0" t="s">
        <v>161</v>
      </c>
      <c r="B2061" s="0" t="s">
        <v>47</v>
      </c>
      <c r="C2061" s="0" t="s">
        <v>48</v>
      </c>
      <c r="D2061" s="0" t="s">
        <v>20</v>
      </c>
      <c r="E2061" s="10" t="s">
        <v>161</v>
      </c>
      <c r="F2061" s="11" t="str">
        <f aca="false">IF(OR(E2061="",E2061="!!!"),"",IF(NOT(ISNA(VLOOKUP(E2061,E$1:E2060,1,FALSE()))),"OLD",IF(AND(E2061&lt;&gt;"",E2061&lt;&gt;"!!!"),"NEW","")))</f>
        <v>OLD</v>
      </c>
      <c r="G2061" s="12" t="s">
        <v>87</v>
      </c>
      <c r="H2061" s="13" t="str">
        <f aca="false">IF(J2061&lt;&gt;1,"",IF(I2061="SBJ","CB","?"))</f>
        <v/>
      </c>
      <c r="I2061" s="14" t="str">
        <f aca="false">IF(OR(E2061="",E2061="!!!",F2061="NEW"),"",INDEX(B$2:B2060,-1+SUMPRODUCT(MAX(ROW(E$2:E2060)*(E2061=E$2:E2060)))))</f>
        <v>other_4</v>
      </c>
      <c r="J2061" s="15" t="n">
        <f aca="true">IF(OR(E2061="",E2061="!!!",F2061="NEW"),"",COUNTBLANK(OFFSET(A$1,,,SUMPRODUCT(MAX(ROW(E$2:E2061)*(E2061=E$2:E2061)))))-COUNTBLANK(OFFSET(A$1,,,SUMPRODUCT(MAX(ROW(E$1:E2060)*(E2061=E$1:E2060))))))</f>
        <v>0</v>
      </c>
      <c r="K2061" s="15" t="n">
        <f aca="false">IF(OR(E2061="",E2061="!!!",F2061="NEW"),"",INDEX(J$1:J2060,SUMPRODUCT(MAX(ROW(E$1:E2060)*(E2061=E$1:E2060)))))</f>
        <v>0</v>
      </c>
      <c r="L2061" s="16"/>
    </row>
    <row r="2062" customFormat="false" ht="12.8" hidden="false" customHeight="false" outlineLevel="0" collapsed="false">
      <c r="A2062" s="0" t="s">
        <v>223</v>
      </c>
      <c r="E2062" s="10" t="str">
        <f aca="false">IF(D2062="?OLD","!!!","")</f>
        <v/>
      </c>
      <c r="F2062" s="11" t="str">
        <f aca="false">IF(OR(E2062="",E2062="!!!"),"",IF(NOT(ISNA(VLOOKUP(E2062,E$1:E2061,1,FALSE()))),"OLD",IF(AND(E2062&lt;&gt;"",E2062&lt;&gt;"!!!"),"NEW","")))</f>
        <v/>
      </c>
      <c r="G2062" s="12" t="str">
        <f aca="false">IF(OR(E2062="",E2062="!!!"),"",IF(OR(J2062=0,AND(J2062=1,K2062=1),AND(J2062=1,I2062="SBJ"),AND(J2062=1,I2062=0)),"?IN_FOCUS",IF(J2062&lt;=2,"?ACTIVATED",IF(J2062&lt;&gt;"","?FAMILIAR",IF(F2062="NEW",IF(ISNA(VLOOKUP(E2062,#REF!,1,FALSE())),"?TYPE_IDENTIFIABLE","?REFERENTIAL"),"_")))))</f>
        <v/>
      </c>
      <c r="H2062" s="13" t="str">
        <f aca="false">IF(J2062&lt;&gt;1,"",IF(I2062="SBJ","CB","?"))</f>
        <v/>
      </c>
      <c r="I2062" s="14" t="str">
        <f aca="false">IF(OR(E2062="",E2062="!!!",F2062="NEW"),"",INDEX(B$2:B2061,-1+SUMPRODUCT(MAX(ROW(E$2:E2061)*(E2062=E$2:E2061)))))</f>
        <v/>
      </c>
      <c r="J2062" s="15" t="str">
        <f aca="true">IF(OR(E2062="",E2062="!!!",F2062="NEW"),"",COUNTBLANK(OFFSET(A$1,,,SUMPRODUCT(MAX(ROW(E$2:E2062)*(E2062=E$2:E2062)))))-COUNTBLANK(OFFSET(A$1,,,SUMPRODUCT(MAX(ROW(E$1:E2061)*(E2062=E$1:E2061))))))</f>
        <v/>
      </c>
      <c r="K2062" s="15" t="str">
        <f aca="false">IF(OR(E2062="",E2062="!!!",F2062="NEW"),"",INDEX(J$1:J2061,SUMPRODUCT(MAX(ROW(E$1:E2061)*(E2062=E$1:E2061)))))</f>
        <v/>
      </c>
      <c r="L2062" s="16"/>
    </row>
    <row r="2063" customFormat="false" ht="12.8" hidden="false" customHeight="false" outlineLevel="0" collapsed="false">
      <c r="A2063" s="0" t="s">
        <v>219</v>
      </c>
      <c r="E2063" s="10" t="str">
        <f aca="false">IF(D2063="?OLD","!!!","")</f>
        <v/>
      </c>
      <c r="F2063" s="11" t="str">
        <f aca="false">IF(OR(E2063="",E2063="!!!"),"",IF(NOT(ISNA(VLOOKUP(E2063,E$1:E2062,1,FALSE()))),"OLD",IF(AND(E2063&lt;&gt;"",E2063&lt;&gt;"!!!"),"NEW","")))</f>
        <v/>
      </c>
      <c r="G2063" s="12" t="str">
        <f aca="false">IF(OR(E2063="",E2063="!!!"),"",IF(OR(J2063=0,AND(J2063=1,K2063=1),AND(J2063=1,I2063="SBJ"),AND(J2063=1,I2063=0)),"?IN_FOCUS",IF(J2063&lt;=2,"?ACTIVATED",IF(J2063&lt;&gt;"","?FAMILIAR",IF(F2063="NEW",IF(ISNA(VLOOKUP(E2063,#REF!,1,FALSE())),"?TYPE_IDENTIFIABLE","?REFERENTIAL"),"_")))))</f>
        <v/>
      </c>
      <c r="H2063" s="13" t="str">
        <f aca="false">IF(J2063&lt;&gt;1,"",IF(I2063="SBJ","CB","?"))</f>
        <v/>
      </c>
      <c r="I2063" s="14" t="str">
        <f aca="false">IF(OR(E2063="",E2063="!!!",F2063="NEW"),"",INDEX(B$2:B2062,-1+SUMPRODUCT(MAX(ROW(E$2:E2062)*(E2063=E$2:E2062)))))</f>
        <v/>
      </c>
      <c r="J2063" s="15" t="str">
        <f aca="true">IF(OR(E2063="",E2063="!!!",F2063="NEW"),"",COUNTBLANK(OFFSET(A$1,,,SUMPRODUCT(MAX(ROW(E$2:E2063)*(E2063=E$2:E2063)))))-COUNTBLANK(OFFSET(A$1,,,SUMPRODUCT(MAX(ROW(E$1:E2062)*(E2063=E$1:E2062))))))</f>
        <v/>
      </c>
      <c r="K2063" s="15" t="str">
        <f aca="false">IF(OR(E2063="",E2063="!!!",F2063="NEW"),"",INDEX(J$1:J2062,SUMPRODUCT(MAX(ROW(E$1:E2062)*(E2063=E$1:E2062)))))</f>
        <v/>
      </c>
      <c r="L2063" s="16"/>
    </row>
    <row r="2064" customFormat="false" ht="12.8" hidden="false" customHeight="false" outlineLevel="0" collapsed="false">
      <c r="A2064" s="0" t="s">
        <v>915</v>
      </c>
      <c r="E2064" s="10" t="str">
        <f aca="false">IF(D2064="?OLD","!!!","")</f>
        <v/>
      </c>
      <c r="F2064" s="11" t="str">
        <f aca="false">IF(OR(E2064="",E2064="!!!"),"",IF(NOT(ISNA(VLOOKUP(E2064,E$1:E2063,1,FALSE()))),"OLD",IF(AND(E2064&lt;&gt;"",E2064&lt;&gt;"!!!"),"NEW","")))</f>
        <v/>
      </c>
      <c r="G2064" s="12" t="str">
        <f aca="false">IF(OR(E2064="",E2064="!!!"),"",IF(OR(J2064=0,AND(J2064=1,K2064=1),AND(J2064=1,I2064="SBJ"),AND(J2064=1,I2064=0)),"?IN_FOCUS",IF(J2064&lt;=2,"?ACTIVATED",IF(J2064&lt;&gt;"","?FAMILIAR",IF(F2064="NEW",IF(ISNA(VLOOKUP(E2064,#REF!,1,FALSE())),"?TYPE_IDENTIFIABLE","?REFERENTIAL"),"_")))))</f>
        <v/>
      </c>
      <c r="H2064" s="13" t="str">
        <f aca="false">IF(J2064&lt;&gt;1,"",IF(I2064="SBJ","CB","?"))</f>
        <v/>
      </c>
      <c r="I2064" s="14" t="str">
        <f aca="false">IF(OR(E2064="",E2064="!!!",F2064="NEW"),"",INDEX(B$2:B2063,-1+SUMPRODUCT(MAX(ROW(E$2:E2063)*(E2064=E$2:E2063)))))</f>
        <v/>
      </c>
      <c r="J2064" s="15" t="str">
        <f aca="true">IF(OR(E2064="",E2064="!!!",F2064="NEW"),"",COUNTBLANK(OFFSET(A$1,,,SUMPRODUCT(MAX(ROW(E$2:E2064)*(E2064=E$2:E2064)))))-COUNTBLANK(OFFSET(A$1,,,SUMPRODUCT(MAX(ROW(E$1:E2063)*(E2064=E$1:E2063))))))</f>
        <v/>
      </c>
      <c r="K2064" s="15" t="str">
        <f aca="false">IF(OR(E2064="",E2064="!!!",F2064="NEW"),"",INDEX(J$1:J2063,SUMPRODUCT(MAX(ROW(E$1:E2063)*(E2064=E$1:E2063)))))</f>
        <v/>
      </c>
      <c r="L2064" s="16"/>
    </row>
    <row r="2065" customFormat="false" ht="12.8" hidden="false" customHeight="false" outlineLevel="0" collapsed="false">
      <c r="A2065" s="0" t="s">
        <v>295</v>
      </c>
      <c r="B2065" s="0" t="s">
        <v>170</v>
      </c>
      <c r="C2065" s="0" t="s">
        <v>31</v>
      </c>
      <c r="E2065" s="10" t="str">
        <f aca="false">IF(D2065="?OLD","!!!","")</f>
        <v/>
      </c>
      <c r="F2065" s="11" t="str">
        <f aca="false">IF(OR(E2065="",E2065="!!!"),"",IF(NOT(ISNA(VLOOKUP(E2065,E$1:E2064,1,FALSE()))),"OLD",IF(AND(E2065&lt;&gt;"",E2065&lt;&gt;"!!!"),"NEW","")))</f>
        <v/>
      </c>
      <c r="G2065" s="12" t="str">
        <f aca="false">IF(OR(E2065="",E2065="!!!"),"",IF(OR(J2065=0,AND(J2065=1,K2065=1),AND(J2065=1,I2065="SBJ"),AND(J2065=1,I2065=0)),"?IN_FOCUS",IF(J2065&lt;=2,"?ACTIVATED",IF(J2065&lt;&gt;"","?FAMILIAR",IF(F2065="NEW",IF(ISNA(VLOOKUP(E2065,#REF!,1,FALSE())),"?TYPE_IDENTIFIABLE","?REFERENTIAL"),"_")))))</f>
        <v/>
      </c>
      <c r="H2065" s="13" t="str">
        <f aca="false">IF(J2065&lt;&gt;1,"",IF(I2065="SBJ","CB","?"))</f>
        <v/>
      </c>
      <c r="I2065" s="14" t="str">
        <f aca="false">IF(OR(E2065="",E2065="!!!",F2065="NEW"),"",INDEX(B$2:B2064,-1+SUMPRODUCT(MAX(ROW(E$2:E2064)*(E2065=E$2:E2064)))))</f>
        <v/>
      </c>
      <c r="J2065" s="15" t="str">
        <f aca="true">IF(OR(E2065="",E2065="!!!",F2065="NEW"),"",COUNTBLANK(OFFSET(A$1,,,SUMPRODUCT(MAX(ROW(E$2:E2065)*(E2065=E$2:E2065)))))-COUNTBLANK(OFFSET(A$1,,,SUMPRODUCT(MAX(ROW(E$1:E2064)*(E2065=E$1:E2064))))))</f>
        <v/>
      </c>
      <c r="K2065" s="15" t="str">
        <f aca="false">IF(OR(E2065="",E2065="!!!",F2065="NEW"),"",INDEX(J$1:J2064,SUMPRODUCT(MAX(ROW(E$1:E2064)*(E2065=E$1:E2064)))))</f>
        <v/>
      </c>
      <c r="L2065" s="16"/>
    </row>
    <row r="2066" customFormat="false" ht="12.8" hidden="false" customHeight="false" outlineLevel="0" collapsed="false">
      <c r="A2066" s="0" t="s">
        <v>76</v>
      </c>
      <c r="E2066" s="10" t="str">
        <f aca="false">IF(D2066="?OLD","!!!","")</f>
        <v/>
      </c>
      <c r="F2066" s="11" t="str">
        <f aca="false">IF(OR(E2066="",E2066="!!!"),"",IF(NOT(ISNA(VLOOKUP(E2066,E$1:E2065,1,FALSE()))),"OLD",IF(AND(E2066&lt;&gt;"",E2066&lt;&gt;"!!!"),"NEW","")))</f>
        <v/>
      </c>
      <c r="G2066" s="12" t="str">
        <f aca="false">IF(OR(E2066="",E2066="!!!"),"",IF(OR(J2066=0,AND(J2066=1,K2066=1),AND(J2066=1,I2066="SBJ"),AND(J2066=1,I2066=0)),"?IN_FOCUS",IF(J2066&lt;=2,"?ACTIVATED",IF(J2066&lt;&gt;"","?FAMILIAR",IF(F2066="NEW",IF(ISNA(VLOOKUP(E2066,#REF!,1,FALSE())),"?TYPE_IDENTIFIABLE","?REFERENTIAL"),"_")))))</f>
        <v/>
      </c>
      <c r="H2066" s="13" t="str">
        <f aca="false">IF(J2066&lt;&gt;1,"",IF(I2066="SBJ","CB","?"))</f>
        <v/>
      </c>
      <c r="I2066" s="14" t="str">
        <f aca="false">IF(OR(E2066="",E2066="!!!",F2066="NEW"),"",INDEX(B$2:B2065,-1+SUMPRODUCT(MAX(ROW(E$2:E2065)*(E2066=E$2:E2065)))))</f>
        <v/>
      </c>
      <c r="J2066" s="15" t="str">
        <f aca="true">IF(OR(E2066="",E2066="!!!",F2066="NEW"),"",COUNTBLANK(OFFSET(A$1,,,SUMPRODUCT(MAX(ROW(E$2:E2066)*(E2066=E$2:E2066)))))-COUNTBLANK(OFFSET(A$1,,,SUMPRODUCT(MAX(ROW(E$1:E2065)*(E2066=E$1:E2065))))))</f>
        <v/>
      </c>
      <c r="K2066" s="15" t="str">
        <f aca="false">IF(OR(E2066="",E2066="!!!",F2066="NEW"),"",INDEX(J$1:J2065,SUMPRODUCT(MAX(ROW(E$1:E2065)*(E2066=E$1:E2065)))))</f>
        <v/>
      </c>
      <c r="L2066" s="16"/>
    </row>
    <row r="2067" customFormat="false" ht="12.8" hidden="false" customHeight="false" outlineLevel="0" collapsed="false">
      <c r="E2067" s="10" t="str">
        <f aca="false">IF(D2067="?OLD","!!!","")</f>
        <v/>
      </c>
      <c r="F2067" s="11" t="str">
        <f aca="false">IF(OR(E2067="",E2067="!!!"),"",IF(NOT(ISNA(VLOOKUP(E2067,E$1:E2066,1,FALSE()))),"OLD",IF(AND(E2067&lt;&gt;"",E2067&lt;&gt;"!!!"),"NEW","")))</f>
        <v/>
      </c>
      <c r="G2067" s="12" t="str">
        <f aca="false">IF(OR(E2067="",E2067="!!!"),"",IF(OR(J2067=0,AND(J2067=1,K2067=1),AND(J2067=1,I2067="SBJ"),AND(J2067=1,I2067=0)),"?IN_FOCUS",IF(J2067&lt;=2,"?ACTIVATED",IF(J2067&lt;&gt;"","?FAMILIAR",IF(F2067="NEW",IF(ISNA(VLOOKUP(E2067,#REF!,1,FALSE())),"?TYPE_IDENTIFIABLE","?REFERENTIAL"),"_")))))</f>
        <v/>
      </c>
      <c r="H2067" s="13" t="str">
        <f aca="false">IF(J2067&lt;&gt;1,"",IF(I2067="SBJ","CB","?"))</f>
        <v/>
      </c>
      <c r="I2067" s="14" t="str">
        <f aca="false">IF(OR(E2067="",E2067="!!!",F2067="NEW"),"",INDEX(B$2:B2066,-1+SUMPRODUCT(MAX(ROW(E$2:E2066)*(E2067=E$2:E2066)))))</f>
        <v/>
      </c>
      <c r="J2067" s="15" t="str">
        <f aca="true">IF(OR(E2067="",E2067="!!!",F2067="NEW"),"",COUNTBLANK(OFFSET(A$1,,,SUMPRODUCT(MAX(ROW(E$2:E2067)*(E2067=E$2:E2067)))))-COUNTBLANK(OFFSET(A$1,,,SUMPRODUCT(MAX(ROW(E$1:E2066)*(E2067=E$1:E2066))))))</f>
        <v/>
      </c>
      <c r="K2067" s="15" t="str">
        <f aca="false">IF(OR(E2067="",E2067="!!!",F2067="NEW"),"",INDEX(J$1:J2066,SUMPRODUCT(MAX(ROW(E$1:E2066)*(E2067=E$1:E2066)))))</f>
        <v/>
      </c>
      <c r="L2067" s="16"/>
    </row>
    <row r="2068" customFormat="false" ht="12.8" hidden="false" customHeight="false" outlineLevel="0" collapsed="false">
      <c r="A2068" s="0" t="s">
        <v>916</v>
      </c>
      <c r="E2068" s="10" t="str">
        <f aca="false">IF(D2068="?OLD","!!!","")</f>
        <v/>
      </c>
      <c r="F2068" s="11" t="str">
        <f aca="false">IF(OR(E2068="",E2068="!!!"),"",IF(NOT(ISNA(VLOOKUP(E2068,E$1:E2067,1,FALSE()))),"OLD",IF(AND(E2068&lt;&gt;"",E2068&lt;&gt;"!!!"),"NEW","")))</f>
        <v/>
      </c>
      <c r="G2068" s="12" t="str">
        <f aca="false">IF(OR(E2068="",E2068="!!!"),"",IF(OR(J2068=0,AND(J2068=1,K2068=1),AND(J2068=1,I2068="SBJ"),AND(J2068=1,I2068=0)),"?IN_FOCUS",IF(J2068&lt;=2,"?ACTIVATED",IF(J2068&lt;&gt;"","?FAMILIAR",IF(F2068="NEW",IF(ISNA(VLOOKUP(E2068,#REF!,1,FALSE())),"?TYPE_IDENTIFIABLE","?REFERENTIAL"),"_")))))</f>
        <v/>
      </c>
      <c r="H2068" s="13" t="str">
        <f aca="false">IF(J2068&lt;&gt;1,"",IF(I2068="SBJ","CB","?"))</f>
        <v/>
      </c>
      <c r="I2068" s="14" t="str">
        <f aca="false">IF(OR(E2068="",E2068="!!!",F2068="NEW"),"",INDEX(B$2:B2067,-1+SUMPRODUCT(MAX(ROW(E$2:E2067)*(E2068=E$2:E2067)))))</f>
        <v/>
      </c>
      <c r="J2068" s="15" t="str">
        <f aca="true">IF(OR(E2068="",E2068="!!!",F2068="NEW"),"",COUNTBLANK(OFFSET(A$1,,,SUMPRODUCT(MAX(ROW(E$2:E2068)*(E2068=E$2:E2068)))))-COUNTBLANK(OFFSET(A$1,,,SUMPRODUCT(MAX(ROW(E$1:E2067)*(E2068=E$1:E2067))))))</f>
        <v/>
      </c>
      <c r="K2068" s="15" t="str">
        <f aca="false">IF(OR(E2068="",E2068="!!!",F2068="NEW"),"",INDEX(J$1:J2067,SUMPRODUCT(MAX(ROW(E$1:E2067)*(E2068=E$1:E2067)))))</f>
        <v/>
      </c>
      <c r="L2068" s="16"/>
    </row>
    <row r="2069" customFormat="false" ht="12.8" hidden="false" customHeight="false" outlineLevel="0" collapsed="false">
      <c r="A2069" s="0" t="s">
        <v>645</v>
      </c>
      <c r="E2069" s="10" t="str">
        <f aca="false">IF(D2069="?OLD","!!!","")</f>
        <v/>
      </c>
      <c r="F2069" s="11" t="str">
        <f aca="false">IF(OR(E2069="",E2069="!!!"),"",IF(NOT(ISNA(VLOOKUP(E2069,E$1:E2068,1,FALSE()))),"OLD",IF(AND(E2069&lt;&gt;"",E2069&lt;&gt;"!!!"),"NEW","")))</f>
        <v/>
      </c>
      <c r="G2069" s="12" t="str">
        <f aca="false">IF(OR(E2069="",E2069="!!!"),"",IF(OR(J2069=0,AND(J2069=1,K2069=1),AND(J2069=1,I2069="SBJ"),AND(J2069=1,I2069=0)),"?IN_FOCUS",IF(J2069&lt;=2,"?ACTIVATED",IF(J2069&lt;&gt;"","?FAMILIAR",IF(F2069="NEW",IF(ISNA(VLOOKUP(E2069,#REF!,1,FALSE())),"?TYPE_IDENTIFIABLE","?REFERENTIAL"),"_")))))</f>
        <v/>
      </c>
      <c r="H2069" s="13" t="str">
        <f aca="false">IF(J2069&lt;&gt;1,"",IF(I2069="SBJ","CB","?"))</f>
        <v/>
      </c>
      <c r="I2069" s="14" t="str">
        <f aca="false">IF(OR(E2069="",E2069="!!!",F2069="NEW"),"",INDEX(B$2:B2068,-1+SUMPRODUCT(MAX(ROW(E$2:E2068)*(E2069=E$2:E2068)))))</f>
        <v/>
      </c>
      <c r="J2069" s="15" t="str">
        <f aca="true">IF(OR(E2069="",E2069="!!!",F2069="NEW"),"",COUNTBLANK(OFFSET(A$1,,,SUMPRODUCT(MAX(ROW(E$2:E2069)*(E2069=E$2:E2069)))))-COUNTBLANK(OFFSET(A$1,,,SUMPRODUCT(MAX(ROW(E$1:E2068)*(E2069=E$1:E2068))))))</f>
        <v/>
      </c>
      <c r="K2069" s="15" t="str">
        <f aca="false">IF(OR(E2069="",E2069="!!!",F2069="NEW"),"",INDEX(J$1:J2068,SUMPRODUCT(MAX(ROW(E$1:E2068)*(E2069=E$1:E2068)))))</f>
        <v/>
      </c>
      <c r="L2069" s="16" t="s">
        <v>259</v>
      </c>
    </row>
    <row r="2070" customFormat="false" ht="12.8" hidden="false" customHeight="false" outlineLevel="0" collapsed="false">
      <c r="A2070" s="0" t="s">
        <v>917</v>
      </c>
      <c r="B2070" s="0" t="s">
        <v>14</v>
      </c>
      <c r="C2070" s="0" t="s">
        <v>31</v>
      </c>
      <c r="E2070" s="10" t="str">
        <f aca="false">IF(D2070="?OLD","!!!","")</f>
        <v/>
      </c>
      <c r="F2070" s="11" t="str">
        <f aca="false">IF(OR(E2070="",E2070="!!!"),"",IF(NOT(ISNA(VLOOKUP(E2070,E$1:E2069,1,FALSE()))),"OLD",IF(AND(E2070&lt;&gt;"",E2070&lt;&gt;"!!!"),"NEW","")))</f>
        <v/>
      </c>
      <c r="G2070" s="12" t="str">
        <f aca="false">IF(OR(E2070="",E2070="!!!"),"",IF(OR(J2070=0,AND(J2070=1,K2070=1),AND(J2070=1,I2070="SBJ"),AND(J2070=1,I2070=0)),"?IN_FOCUS",IF(J2070&lt;=2,"?ACTIVATED",IF(J2070&lt;&gt;"","?FAMILIAR",IF(F2070="NEW",IF(ISNA(VLOOKUP(E2070,#REF!,1,FALSE())),"?TYPE_IDENTIFIABLE","?REFERENTIAL"),"_")))))</f>
        <v/>
      </c>
      <c r="H2070" s="13" t="str">
        <f aca="false">IF(J2070&lt;&gt;1,"",IF(I2070="SBJ","CB","?"))</f>
        <v/>
      </c>
      <c r="I2070" s="14" t="str">
        <f aca="false">IF(OR(E2070="",E2070="!!!",F2070="NEW"),"",INDEX(B$2:B2069,-1+SUMPRODUCT(MAX(ROW(E$2:E2069)*(E2070=E$2:E2069)))))</f>
        <v/>
      </c>
      <c r="J2070" s="15" t="str">
        <f aca="true">IF(OR(E2070="",E2070="!!!",F2070="NEW"),"",COUNTBLANK(OFFSET(A$1,,,SUMPRODUCT(MAX(ROW(E$2:E2070)*(E2070=E$2:E2070)))))-COUNTBLANK(OFFSET(A$1,,,SUMPRODUCT(MAX(ROW(E$1:E2069)*(E2070=E$1:E2069))))))</f>
        <v/>
      </c>
      <c r="K2070" s="15" t="str">
        <f aca="false">IF(OR(E2070="",E2070="!!!",F2070="NEW"),"",INDEX(J$1:J2069,SUMPRODUCT(MAX(ROW(E$1:E2069)*(E2070=E$1:E2069)))))</f>
        <v/>
      </c>
      <c r="L2070" s="16"/>
    </row>
    <row r="2071" customFormat="false" ht="12.8" hidden="false" customHeight="false" outlineLevel="0" collapsed="false">
      <c r="A2071" s="0" t="s">
        <v>39</v>
      </c>
      <c r="E2071" s="10" t="str">
        <f aca="false">IF(D2071="?OLD","!!!","")</f>
        <v/>
      </c>
      <c r="F2071" s="11" t="str">
        <f aca="false">IF(OR(E2071="",E2071="!!!"),"",IF(NOT(ISNA(VLOOKUP(E2071,E$1:E2070,1,FALSE()))),"OLD",IF(AND(E2071&lt;&gt;"",E2071&lt;&gt;"!!!"),"NEW","")))</f>
        <v/>
      </c>
      <c r="G2071" s="12" t="str">
        <f aca="false">IF(OR(E2071="",E2071="!!!"),"",IF(OR(J2071=0,AND(J2071=1,K2071=1),AND(J2071=1,I2071="SBJ"),AND(J2071=1,I2071=0)),"?IN_FOCUS",IF(J2071&lt;=2,"?ACTIVATED",IF(J2071&lt;&gt;"","?FAMILIAR",IF(F2071="NEW",IF(ISNA(VLOOKUP(E2071,#REF!,1,FALSE())),"?TYPE_IDENTIFIABLE","?REFERENTIAL"),"_")))))</f>
        <v/>
      </c>
      <c r="H2071" s="13" t="str">
        <f aca="false">IF(J2071&lt;&gt;1,"",IF(I2071="SBJ","CB","?"))</f>
        <v/>
      </c>
      <c r="I2071" s="14" t="str">
        <f aca="false">IF(OR(E2071="",E2071="!!!",F2071="NEW"),"",INDEX(B$2:B2070,-1+SUMPRODUCT(MAX(ROW(E$2:E2070)*(E2071=E$2:E2070)))))</f>
        <v/>
      </c>
      <c r="J2071" s="15" t="str">
        <f aca="true">IF(OR(E2071="",E2071="!!!",F2071="NEW"),"",COUNTBLANK(OFFSET(A$1,,,SUMPRODUCT(MAX(ROW(E$2:E2071)*(E2071=E$2:E2071)))))-COUNTBLANK(OFFSET(A$1,,,SUMPRODUCT(MAX(ROW(E$1:E2070)*(E2071=E$1:E2070))))))</f>
        <v/>
      </c>
      <c r="K2071" s="15" t="str">
        <f aca="false">IF(OR(E2071="",E2071="!!!",F2071="NEW"),"",INDEX(J$1:J2070,SUMPRODUCT(MAX(ROW(E$1:E2070)*(E2071=E$1:E2070)))))</f>
        <v/>
      </c>
      <c r="L2071" s="16"/>
    </row>
    <row r="2072" customFormat="false" ht="12.8" hidden="false" customHeight="false" outlineLevel="0" collapsed="false">
      <c r="A2072" s="0" t="s">
        <v>918</v>
      </c>
      <c r="E2072" s="10" t="str">
        <f aca="false">IF(D2072="?OLD","!!!","")</f>
        <v/>
      </c>
      <c r="F2072" s="11" t="str">
        <f aca="false">IF(OR(E2072="",E2072="!!!"),"",IF(NOT(ISNA(VLOOKUP(E2072,E$1:E2071,1,FALSE()))),"OLD",IF(AND(E2072&lt;&gt;"",E2072&lt;&gt;"!!!"),"NEW","")))</f>
        <v/>
      </c>
      <c r="G2072" s="12" t="str">
        <f aca="false">IF(OR(E2072="",E2072="!!!"),"",IF(OR(J2072=0,AND(J2072=1,K2072=1),AND(J2072=1,I2072="SBJ"),AND(J2072=1,I2072=0)),"?IN_FOCUS",IF(J2072&lt;=2,"?ACTIVATED",IF(J2072&lt;&gt;"","?FAMILIAR",IF(F2072="NEW",IF(ISNA(VLOOKUP(E2072,#REF!,1,FALSE())),"?TYPE_IDENTIFIABLE","?REFERENTIAL"),"_")))))</f>
        <v/>
      </c>
      <c r="H2072" s="13" t="str">
        <f aca="false">IF(J2072&lt;&gt;1,"",IF(I2072="SBJ","CB","?"))</f>
        <v/>
      </c>
      <c r="I2072" s="14" t="str">
        <f aca="false">IF(OR(E2072="",E2072="!!!",F2072="NEW"),"",INDEX(B$2:B2071,-1+SUMPRODUCT(MAX(ROW(E$2:E2071)*(E2072=E$2:E2071)))))</f>
        <v/>
      </c>
      <c r="J2072" s="15" t="str">
        <f aca="true">IF(OR(E2072="",E2072="!!!",F2072="NEW"),"",COUNTBLANK(OFFSET(A$1,,,SUMPRODUCT(MAX(ROW(E$2:E2072)*(E2072=E$2:E2072)))))-COUNTBLANK(OFFSET(A$1,,,SUMPRODUCT(MAX(ROW(E$1:E2071)*(E2072=E$1:E2071))))))</f>
        <v/>
      </c>
      <c r="K2072" s="15" t="str">
        <f aca="false">IF(OR(E2072="",E2072="!!!",F2072="NEW"),"",INDEX(J$1:J2071,SUMPRODUCT(MAX(ROW(E$1:E2071)*(E2072=E$1:E2071)))))</f>
        <v/>
      </c>
      <c r="L2072" s="16"/>
    </row>
    <row r="2073" customFormat="false" ht="12.8" hidden="false" customHeight="false" outlineLevel="0" collapsed="false">
      <c r="A2073" s="0" t="s">
        <v>16</v>
      </c>
      <c r="E2073" s="10" t="str">
        <f aca="false">IF(D2073="?OLD","!!!","")</f>
        <v/>
      </c>
      <c r="F2073" s="11" t="str">
        <f aca="false">IF(OR(E2073="",E2073="!!!"),"",IF(NOT(ISNA(VLOOKUP(E2073,E$1:E2072,1,FALSE()))),"OLD",IF(AND(E2073&lt;&gt;"",E2073&lt;&gt;"!!!"),"NEW","")))</f>
        <v/>
      </c>
      <c r="G2073" s="12" t="str">
        <f aca="false">IF(OR(E2073="",E2073="!!!"),"",IF(OR(J2073=0,AND(J2073=1,K2073=1),AND(J2073=1,I2073="SBJ"),AND(J2073=1,I2073=0)),"?IN_FOCUS",IF(J2073&lt;=2,"?ACTIVATED",IF(J2073&lt;&gt;"","?FAMILIAR",IF(F2073="NEW",IF(ISNA(VLOOKUP(E2073,#REF!,1,FALSE())),"?TYPE_IDENTIFIABLE","?REFERENTIAL"),"_")))))</f>
        <v/>
      </c>
      <c r="H2073" s="13" t="str">
        <f aca="false">IF(J2073&lt;&gt;1,"",IF(I2073="SBJ","CB","?"))</f>
        <v/>
      </c>
      <c r="I2073" s="14" t="str">
        <f aca="false">IF(OR(E2073="",E2073="!!!",F2073="NEW"),"",INDEX(B$2:B2072,-1+SUMPRODUCT(MAX(ROW(E$2:E2072)*(E2073=E$2:E2072)))))</f>
        <v/>
      </c>
      <c r="J2073" s="15" t="str">
        <f aca="true">IF(OR(E2073="",E2073="!!!",F2073="NEW"),"",COUNTBLANK(OFFSET(A$1,,,SUMPRODUCT(MAX(ROW(E$2:E2073)*(E2073=E$2:E2073)))))-COUNTBLANK(OFFSET(A$1,,,SUMPRODUCT(MAX(ROW(E$1:E2072)*(E2073=E$1:E2072))))))</f>
        <v/>
      </c>
      <c r="K2073" s="15" t="str">
        <f aca="false">IF(OR(E2073="",E2073="!!!",F2073="NEW"),"",INDEX(J$1:J2072,SUMPRODUCT(MAX(ROW(E$1:E2072)*(E2073=E$1:E2072)))))</f>
        <v/>
      </c>
      <c r="L2073" s="16"/>
    </row>
    <row r="2074" customFormat="false" ht="12.8" hidden="false" customHeight="false" outlineLevel="0" collapsed="false">
      <c r="E2074" s="10" t="str">
        <f aca="false">IF(D2074="?OLD","!!!","")</f>
        <v/>
      </c>
      <c r="F2074" s="11" t="str">
        <f aca="false">IF(OR(E2074="",E2074="!!!"),"",IF(NOT(ISNA(VLOOKUP(E2074,E$1:E2073,1,FALSE()))),"OLD",IF(AND(E2074&lt;&gt;"",E2074&lt;&gt;"!!!"),"NEW","")))</f>
        <v/>
      </c>
      <c r="G2074" s="12" t="str">
        <f aca="false">IF(OR(E2074="",E2074="!!!"),"",IF(OR(J2074=0,AND(J2074=1,K2074=1),AND(J2074=1,I2074="SBJ"),AND(J2074=1,I2074=0)),"?IN_FOCUS",IF(J2074&lt;=2,"?ACTIVATED",IF(J2074&lt;&gt;"","?FAMILIAR",IF(F2074="NEW",IF(ISNA(VLOOKUP(E2074,#REF!,1,FALSE())),"?TYPE_IDENTIFIABLE","?REFERENTIAL"),"_")))))</f>
        <v/>
      </c>
      <c r="H2074" s="13" t="str">
        <f aca="false">IF(J2074&lt;&gt;1,"",IF(I2074="SBJ","CB","?"))</f>
        <v/>
      </c>
      <c r="I2074" s="14" t="str">
        <f aca="false">IF(OR(E2074="",E2074="!!!",F2074="NEW"),"",INDEX(B$2:B2073,-1+SUMPRODUCT(MAX(ROW(E$2:E2073)*(E2074=E$2:E2073)))))</f>
        <v/>
      </c>
      <c r="J2074" s="15" t="str">
        <f aca="true">IF(OR(E2074="",E2074="!!!",F2074="NEW"),"",COUNTBLANK(OFFSET(A$1,,,SUMPRODUCT(MAX(ROW(E$2:E2074)*(E2074=E$2:E2074)))))-COUNTBLANK(OFFSET(A$1,,,SUMPRODUCT(MAX(ROW(E$1:E2073)*(E2074=E$1:E2073))))))</f>
        <v/>
      </c>
      <c r="K2074" s="15" t="str">
        <f aca="false">IF(OR(E2074="",E2074="!!!",F2074="NEW"),"",INDEX(J$1:J2073,SUMPRODUCT(MAX(ROW(E$1:E2073)*(E2074=E$1:E2073)))))</f>
        <v/>
      </c>
      <c r="L2074" s="16"/>
    </row>
    <row r="2075" customFormat="false" ht="12.8" hidden="false" customHeight="false" outlineLevel="0" collapsed="false">
      <c r="A2075" s="0" t="s">
        <v>503</v>
      </c>
      <c r="E2075" s="10" t="str">
        <f aca="false">IF(D2075="?OLD","!!!","")</f>
        <v/>
      </c>
      <c r="F2075" s="11" t="str">
        <f aca="false">IF(OR(E2075="",E2075="!!!"),"",IF(NOT(ISNA(VLOOKUP(E2075,E$1:E2074,1,FALSE()))),"OLD",IF(AND(E2075&lt;&gt;"",E2075&lt;&gt;"!!!"),"NEW","")))</f>
        <v/>
      </c>
      <c r="G2075" s="12" t="str">
        <f aca="false">IF(OR(E2075="",E2075="!!!"),"",IF(OR(J2075=0,AND(J2075=1,K2075=1),AND(J2075=1,I2075="SBJ"),AND(J2075=1,I2075=0)),"?IN_FOCUS",IF(J2075&lt;=2,"?ACTIVATED",IF(J2075&lt;&gt;"","?FAMILIAR",IF(F2075="NEW",IF(ISNA(VLOOKUP(E2075,#REF!,1,FALSE())),"?TYPE_IDENTIFIABLE","?REFERENTIAL"),"_")))))</f>
        <v/>
      </c>
      <c r="H2075" s="13" t="str">
        <f aca="false">IF(J2075&lt;&gt;1,"",IF(I2075="SBJ","CB","?"))</f>
        <v/>
      </c>
      <c r="I2075" s="14" t="str">
        <f aca="false">IF(OR(E2075="",E2075="!!!",F2075="NEW"),"",INDEX(B$2:B2074,-1+SUMPRODUCT(MAX(ROW(E$2:E2074)*(E2075=E$2:E2074)))))</f>
        <v/>
      </c>
      <c r="J2075" s="15" t="str">
        <f aca="true">IF(OR(E2075="",E2075="!!!",F2075="NEW"),"",COUNTBLANK(OFFSET(A$1,,,SUMPRODUCT(MAX(ROW(E$2:E2075)*(E2075=E$2:E2075)))))-COUNTBLANK(OFFSET(A$1,,,SUMPRODUCT(MAX(ROW(E$1:E2074)*(E2075=E$1:E2074))))))</f>
        <v/>
      </c>
      <c r="K2075" s="15" t="str">
        <f aca="false">IF(OR(E2075="",E2075="!!!",F2075="NEW"),"",INDEX(J$1:J2074,SUMPRODUCT(MAX(ROW(E$1:E2074)*(E2075=E$1:E2074)))))</f>
        <v/>
      </c>
      <c r="L2075" s="16"/>
    </row>
    <row r="2076" customFormat="false" ht="12.8" hidden="false" customHeight="false" outlineLevel="0" collapsed="false">
      <c r="A2076" s="0" t="s">
        <v>919</v>
      </c>
      <c r="E2076" s="10" t="str">
        <f aca="false">IF(D2076="?OLD","!!!","")</f>
        <v/>
      </c>
      <c r="F2076" s="11" t="str">
        <f aca="false">IF(OR(E2076="",E2076="!!!"),"",IF(NOT(ISNA(VLOOKUP(E2076,E$1:E2075,1,FALSE()))),"OLD",IF(AND(E2076&lt;&gt;"",E2076&lt;&gt;"!!!"),"NEW","")))</f>
        <v/>
      </c>
      <c r="G2076" s="12" t="str">
        <f aca="false">IF(OR(E2076="",E2076="!!!"),"",IF(OR(J2076=0,AND(J2076=1,K2076=1),AND(J2076=1,I2076="SBJ"),AND(J2076=1,I2076=0)),"?IN_FOCUS",IF(J2076&lt;=2,"?ACTIVATED",IF(J2076&lt;&gt;"","?FAMILIAR",IF(F2076="NEW",IF(ISNA(VLOOKUP(E2076,#REF!,1,FALSE())),"?TYPE_IDENTIFIABLE","?REFERENTIAL"),"_")))))</f>
        <v/>
      </c>
      <c r="H2076" s="13" t="str">
        <f aca="false">IF(J2076&lt;&gt;1,"",IF(I2076="SBJ","CB","?"))</f>
        <v/>
      </c>
      <c r="I2076" s="14" t="str">
        <f aca="false">IF(OR(E2076="",E2076="!!!",F2076="NEW"),"",INDEX(B$2:B2075,-1+SUMPRODUCT(MAX(ROW(E$2:E2075)*(E2076=E$2:E2075)))))</f>
        <v/>
      </c>
      <c r="J2076" s="15" t="str">
        <f aca="true">IF(OR(E2076="",E2076="!!!",F2076="NEW"),"",COUNTBLANK(OFFSET(A$1,,,SUMPRODUCT(MAX(ROW(E$2:E2076)*(E2076=E$2:E2076)))))-COUNTBLANK(OFFSET(A$1,,,SUMPRODUCT(MAX(ROW(E$1:E2075)*(E2076=E$1:E2075))))))</f>
        <v/>
      </c>
      <c r="K2076" s="15" t="str">
        <f aca="false">IF(OR(E2076="",E2076="!!!",F2076="NEW"),"",INDEX(J$1:J2075,SUMPRODUCT(MAX(ROW(E$1:E2075)*(E2076=E$1:E2075)))))</f>
        <v/>
      </c>
      <c r="L2076" s="16"/>
    </row>
    <row r="2077" customFormat="false" ht="12.8" hidden="false" customHeight="false" outlineLevel="0" collapsed="false">
      <c r="A2077" s="0" t="s">
        <v>516</v>
      </c>
      <c r="E2077" s="10" t="str">
        <f aca="false">IF(D2077="?OLD","!!!","")</f>
        <v/>
      </c>
      <c r="F2077" s="11" t="str">
        <f aca="false">IF(OR(E2077="",E2077="!!!"),"",IF(NOT(ISNA(VLOOKUP(E2077,E$1:E2076,1,FALSE()))),"OLD",IF(AND(E2077&lt;&gt;"",E2077&lt;&gt;"!!!"),"NEW","")))</f>
        <v/>
      </c>
      <c r="G2077" s="12" t="str">
        <f aca="false">IF(OR(E2077="",E2077="!!!"),"",IF(OR(J2077=0,AND(J2077=1,K2077=1),AND(J2077=1,I2077="SBJ"),AND(J2077=1,I2077=0)),"?IN_FOCUS",IF(J2077&lt;=2,"?ACTIVATED",IF(J2077&lt;&gt;"","?FAMILIAR",IF(F2077="NEW",IF(ISNA(VLOOKUP(E2077,#REF!,1,FALSE())),"?TYPE_IDENTIFIABLE","?REFERENTIAL"),"_")))))</f>
        <v/>
      </c>
      <c r="H2077" s="13" t="str">
        <f aca="false">IF(J2077&lt;&gt;1,"",IF(I2077="SBJ","CB","?"))</f>
        <v/>
      </c>
      <c r="I2077" s="14" t="str">
        <f aca="false">IF(OR(E2077="",E2077="!!!",F2077="NEW"),"",INDEX(B$2:B2076,-1+SUMPRODUCT(MAX(ROW(E$2:E2076)*(E2077=E$2:E2076)))))</f>
        <v/>
      </c>
      <c r="J2077" s="15" t="str">
        <f aca="true">IF(OR(E2077="",E2077="!!!",F2077="NEW"),"",COUNTBLANK(OFFSET(A$1,,,SUMPRODUCT(MAX(ROW(E$2:E2077)*(E2077=E$2:E2077)))))-COUNTBLANK(OFFSET(A$1,,,SUMPRODUCT(MAX(ROW(E$1:E2076)*(E2077=E$1:E2076))))))</f>
        <v/>
      </c>
      <c r="K2077" s="15" t="str">
        <f aca="false">IF(OR(E2077="",E2077="!!!",F2077="NEW"),"",INDEX(J$1:J2076,SUMPRODUCT(MAX(ROW(E$1:E2076)*(E2077=E$1:E2076)))))</f>
        <v/>
      </c>
      <c r="L2077" s="16"/>
    </row>
    <row r="2078" customFormat="false" ht="12.8" hidden="false" customHeight="false" outlineLevel="0" collapsed="false">
      <c r="A2078" s="0" t="s">
        <v>813</v>
      </c>
      <c r="B2078" s="0" t="s">
        <v>85</v>
      </c>
      <c r="C2078" s="0" t="s">
        <v>172</v>
      </c>
      <c r="E2078" s="10" t="str">
        <f aca="false">IF(D2078="?OLD","!!!","")</f>
        <v/>
      </c>
      <c r="F2078" s="11" t="str">
        <f aca="false">IF(OR(E2078="",E2078="!!!"),"",IF(NOT(ISNA(VLOOKUP(E2078,E$1:E2077,1,FALSE()))),"OLD",IF(AND(E2078&lt;&gt;"",E2078&lt;&gt;"!!!"),"NEW","")))</f>
        <v/>
      </c>
      <c r="G2078" s="12" t="str">
        <f aca="false">IF(OR(E2078="",E2078="!!!"),"",IF(OR(J2078=0,AND(J2078=1,K2078=1),AND(J2078=1,I2078="SBJ"),AND(J2078=1,I2078=0)),"?IN_FOCUS",IF(J2078&lt;=2,"?ACTIVATED",IF(J2078&lt;&gt;"","?FAMILIAR",IF(F2078="NEW",IF(ISNA(VLOOKUP(E2078,#REF!,1,FALSE())),"?TYPE_IDENTIFIABLE","?REFERENTIAL"),"_")))))</f>
        <v/>
      </c>
      <c r="H2078" s="13" t="str">
        <f aca="false">IF(J2078&lt;&gt;1,"",IF(I2078="SBJ","CB","?"))</f>
        <v/>
      </c>
      <c r="I2078" s="14" t="str">
        <f aca="false">IF(OR(E2078="",E2078="!!!",F2078="NEW"),"",INDEX(B$2:B2077,-1+SUMPRODUCT(MAX(ROW(E$2:E2077)*(E2078=E$2:E2077)))))</f>
        <v/>
      </c>
      <c r="J2078" s="15" t="str">
        <f aca="true">IF(OR(E2078="",E2078="!!!",F2078="NEW"),"",COUNTBLANK(OFFSET(A$1,,,SUMPRODUCT(MAX(ROW(E$2:E2078)*(E2078=E$2:E2078)))))-COUNTBLANK(OFFSET(A$1,,,SUMPRODUCT(MAX(ROW(E$1:E2077)*(E2078=E$1:E2077))))))</f>
        <v/>
      </c>
      <c r="K2078" s="15" t="str">
        <f aca="false">IF(OR(E2078="",E2078="!!!",F2078="NEW"),"",INDEX(J$1:J2077,SUMPRODUCT(MAX(ROW(E$1:E2077)*(E2078=E$1:E2077)))))</f>
        <v/>
      </c>
      <c r="L2078" s="16"/>
    </row>
    <row r="2079" customFormat="false" ht="12.8" hidden="false" customHeight="false" outlineLevel="0" collapsed="false">
      <c r="A2079" s="0" t="s">
        <v>252</v>
      </c>
      <c r="E2079" s="10" t="str">
        <f aca="false">IF(D2079="?OLD","!!!","")</f>
        <v/>
      </c>
      <c r="F2079" s="11" t="str">
        <f aca="false">IF(OR(E2079="",E2079="!!!"),"",IF(NOT(ISNA(VLOOKUP(E2079,E$1:E2078,1,FALSE()))),"OLD",IF(AND(E2079&lt;&gt;"",E2079&lt;&gt;"!!!"),"NEW","")))</f>
        <v/>
      </c>
      <c r="G2079" s="12" t="str">
        <f aca="false">IF(OR(E2079="",E2079="!!!"),"",IF(OR(J2079=0,AND(J2079=1,K2079=1),AND(J2079=1,I2079="SBJ"),AND(J2079=1,I2079=0)),"?IN_FOCUS",IF(J2079&lt;=2,"?ACTIVATED",IF(J2079&lt;&gt;"","?FAMILIAR",IF(F2079="NEW",IF(ISNA(VLOOKUP(E2079,#REF!,1,FALSE())),"?TYPE_IDENTIFIABLE","?REFERENTIAL"),"_")))))</f>
        <v/>
      </c>
      <c r="H2079" s="13" t="str">
        <f aca="false">IF(J2079&lt;&gt;1,"",IF(I2079="SBJ","CB","?"))</f>
        <v/>
      </c>
      <c r="I2079" s="14" t="str">
        <f aca="false">IF(OR(E2079="",E2079="!!!",F2079="NEW"),"",INDEX(B$2:B2078,-1+SUMPRODUCT(MAX(ROW(E$2:E2078)*(E2079=E$2:E2078)))))</f>
        <v/>
      </c>
      <c r="J2079" s="15" t="str">
        <f aca="true">IF(OR(E2079="",E2079="!!!",F2079="NEW"),"",COUNTBLANK(OFFSET(A$1,,,SUMPRODUCT(MAX(ROW(E$2:E2079)*(E2079=E$2:E2079)))))-COUNTBLANK(OFFSET(A$1,,,SUMPRODUCT(MAX(ROW(E$1:E2078)*(E2079=E$1:E2078))))))</f>
        <v/>
      </c>
      <c r="K2079" s="15" t="str">
        <f aca="false">IF(OR(E2079="",E2079="!!!",F2079="NEW"),"",INDEX(J$1:J2078,SUMPRODUCT(MAX(ROW(E$1:E2078)*(E2079=E$1:E2078)))))</f>
        <v/>
      </c>
      <c r="L2079" s="16"/>
    </row>
    <row r="2080" customFormat="false" ht="12.8" hidden="false" customHeight="false" outlineLevel="0" collapsed="false">
      <c r="A2080" s="0" t="s">
        <v>72</v>
      </c>
      <c r="B2080" s="0" t="s">
        <v>34</v>
      </c>
      <c r="C2080" s="0" t="s">
        <v>48</v>
      </c>
      <c r="D2080" s="0" t="s">
        <v>20</v>
      </c>
      <c r="E2080" s="10" t="s">
        <v>92</v>
      </c>
      <c r="F2080" s="11" t="str">
        <f aca="false">IF(OR(E2080="",E2080="!!!"),"",IF(NOT(ISNA(VLOOKUP(E2080,E$1:E2079,1,FALSE()))),"OLD",IF(AND(E2080&lt;&gt;"",E2080&lt;&gt;"!!!"),"NEW","")))</f>
        <v>OLD</v>
      </c>
      <c r="G2080" s="12" t="s">
        <v>80</v>
      </c>
      <c r="H2080" s="13" t="str">
        <f aca="false">IF(J2080&lt;&gt;1,"",IF(I2080="SBJ","CB","?"))</f>
        <v/>
      </c>
      <c r="I2080" s="14" t="str">
        <f aca="false">IF(OR(E2080="",E2080="!!!",F2080="NEW"),"",INDEX(B$2:B2079,-1+SUMPRODUCT(MAX(ROW(E$2:E2079)*(E2080=E$2:E2079)))))</f>
        <v>OBJ_2</v>
      </c>
      <c r="J2080" s="15" t="n">
        <f aca="true">IF(OR(E2080="",E2080="!!!",F2080="NEW"),"",COUNTBLANK(OFFSET(A$1,,,SUMPRODUCT(MAX(ROW(E$2:E2080)*(E2080=E$2:E2080)))))-COUNTBLANK(OFFSET(A$1,,,SUMPRODUCT(MAX(ROW(E$1:E2079)*(E2080=E$1:E2079))))))</f>
        <v>2</v>
      </c>
      <c r="K2080" s="15" t="n">
        <f aca="false">IF(OR(E2080="",E2080="!!!",F2080="NEW"),"",INDEX(J$1:J2079,SUMPRODUCT(MAX(ROW(E$1:E2079)*(E2080=E$1:E2079)))))</f>
        <v>5</v>
      </c>
      <c r="L2080" s="16" t="s">
        <v>920</v>
      </c>
    </row>
    <row r="2081" customFormat="false" ht="12.8" hidden="false" customHeight="false" outlineLevel="0" collapsed="false">
      <c r="A2081" s="0" t="s">
        <v>100</v>
      </c>
      <c r="E2081" s="10" t="str">
        <f aca="false">IF(D2081="?OLD","!!!","")</f>
        <v/>
      </c>
      <c r="F2081" s="11" t="str">
        <f aca="false">IF(OR(E2081="",E2081="!!!"),"",IF(NOT(ISNA(VLOOKUP(E2081,E$1:E2080,1,FALSE()))),"OLD",IF(AND(E2081&lt;&gt;"",E2081&lt;&gt;"!!!"),"NEW","")))</f>
        <v/>
      </c>
      <c r="G2081" s="12" t="str">
        <f aca="false">IF(OR(E2081="",E2081="!!!"),"",IF(OR(J2081=0,AND(J2081=1,K2081=1),AND(J2081=1,I2081="SBJ"),AND(J2081=1,I2081=0)),"?IN_FOCUS",IF(J2081&lt;=2,"?ACTIVATED",IF(J2081&lt;&gt;"","?FAMILIAR",IF(F2081="NEW",IF(ISNA(VLOOKUP(E2081,#REF!,1,FALSE())),"?TYPE_IDENTIFIABLE","?REFERENTIAL"),"_")))))</f>
        <v/>
      </c>
      <c r="H2081" s="13" t="str">
        <f aca="false">IF(J2081&lt;&gt;1,"",IF(I2081="SBJ","CB","?"))</f>
        <v/>
      </c>
      <c r="I2081" s="14" t="str">
        <f aca="false">IF(OR(E2081="",E2081="!!!",F2081="NEW"),"",INDEX(B$2:B2080,-1+SUMPRODUCT(MAX(ROW(E$2:E2080)*(E2081=E$2:E2080)))))</f>
        <v/>
      </c>
      <c r="J2081" s="15" t="str">
        <f aca="true">IF(OR(E2081="",E2081="!!!",F2081="NEW"),"",COUNTBLANK(OFFSET(A$1,,,SUMPRODUCT(MAX(ROW(E$2:E2081)*(E2081=E$2:E2081)))))-COUNTBLANK(OFFSET(A$1,,,SUMPRODUCT(MAX(ROW(E$1:E2080)*(E2081=E$1:E2080))))))</f>
        <v/>
      </c>
      <c r="K2081" s="15" t="str">
        <f aca="false">IF(OR(E2081="",E2081="!!!",F2081="NEW"),"",INDEX(J$1:J2080,SUMPRODUCT(MAX(ROW(E$1:E2080)*(E2081=E$1:E2080)))))</f>
        <v/>
      </c>
      <c r="L2081" s="16"/>
    </row>
    <row r="2082" customFormat="false" ht="12.8" hidden="false" customHeight="false" outlineLevel="0" collapsed="false">
      <c r="A2082" s="0" t="s">
        <v>179</v>
      </c>
      <c r="E2082" s="10" t="str">
        <f aca="false">IF(D2082="?OLD","!!!","")</f>
        <v/>
      </c>
      <c r="F2082" s="11" t="str">
        <f aca="false">IF(OR(E2082="",E2082="!!!"),"",IF(NOT(ISNA(VLOOKUP(E2082,E$1:E2081,1,FALSE()))),"OLD",IF(AND(E2082&lt;&gt;"",E2082&lt;&gt;"!!!"),"NEW","")))</f>
        <v/>
      </c>
      <c r="G2082" s="12" t="str">
        <f aca="false">IF(OR(E2082="",E2082="!!!"),"",IF(OR(J2082=0,AND(J2082=1,K2082=1),AND(J2082=1,I2082="SBJ"),AND(J2082=1,I2082=0)),"?IN_FOCUS",IF(J2082&lt;=2,"?ACTIVATED",IF(J2082&lt;&gt;"","?FAMILIAR",IF(F2082="NEW",IF(ISNA(VLOOKUP(E2082,#REF!,1,FALSE())),"?TYPE_IDENTIFIABLE","?REFERENTIAL"),"_")))))</f>
        <v/>
      </c>
      <c r="H2082" s="13" t="str">
        <f aca="false">IF(J2082&lt;&gt;1,"",IF(I2082="SBJ","CB","?"))</f>
        <v/>
      </c>
      <c r="I2082" s="14" t="str">
        <f aca="false">IF(OR(E2082="",E2082="!!!",F2082="NEW"),"",INDEX(B$2:B2081,-1+SUMPRODUCT(MAX(ROW(E$2:E2081)*(E2082=E$2:E2081)))))</f>
        <v/>
      </c>
      <c r="J2082" s="15" t="str">
        <f aca="true">IF(OR(E2082="",E2082="!!!",F2082="NEW"),"",COUNTBLANK(OFFSET(A$1,,,SUMPRODUCT(MAX(ROW(E$2:E2082)*(E2082=E$2:E2082)))))-COUNTBLANK(OFFSET(A$1,,,SUMPRODUCT(MAX(ROW(E$1:E2081)*(E2082=E$1:E2081))))))</f>
        <v/>
      </c>
      <c r="K2082" s="15" t="str">
        <f aca="false">IF(OR(E2082="",E2082="!!!",F2082="NEW"),"",INDEX(J$1:J2081,SUMPRODUCT(MAX(ROW(E$1:E2081)*(E2082=E$1:E2081)))))</f>
        <v/>
      </c>
      <c r="L2082" s="16"/>
    </row>
    <row r="2083" customFormat="false" ht="12.8" hidden="false" customHeight="false" outlineLevel="0" collapsed="false">
      <c r="A2083" s="0" t="s">
        <v>498</v>
      </c>
      <c r="E2083" s="10" t="str">
        <f aca="false">IF(D2083="?OLD","!!!","")</f>
        <v/>
      </c>
      <c r="F2083" s="11" t="str">
        <f aca="false">IF(OR(E2083="",E2083="!!!"),"",IF(NOT(ISNA(VLOOKUP(E2083,E$1:E2082,1,FALSE()))),"OLD",IF(AND(E2083&lt;&gt;"",E2083&lt;&gt;"!!!"),"NEW","")))</f>
        <v/>
      </c>
      <c r="G2083" s="12" t="str">
        <f aca="false">IF(OR(E2083="",E2083="!!!"),"",IF(OR(J2083=0,AND(J2083=1,K2083=1),AND(J2083=1,I2083="SBJ"),AND(J2083=1,I2083=0)),"?IN_FOCUS",IF(J2083&lt;=2,"?ACTIVATED",IF(J2083&lt;&gt;"","?FAMILIAR",IF(F2083="NEW",IF(ISNA(VLOOKUP(E2083,#REF!,1,FALSE())),"?TYPE_IDENTIFIABLE","?REFERENTIAL"),"_")))))</f>
        <v/>
      </c>
      <c r="H2083" s="13" t="str">
        <f aca="false">IF(J2083&lt;&gt;1,"",IF(I2083="SBJ","CB","?"))</f>
        <v/>
      </c>
      <c r="I2083" s="14" t="str">
        <f aca="false">IF(OR(E2083="",E2083="!!!",F2083="NEW"),"",INDEX(B$2:B2082,-1+SUMPRODUCT(MAX(ROW(E$2:E2082)*(E2083=E$2:E2082)))))</f>
        <v/>
      </c>
      <c r="J2083" s="15" t="str">
        <f aca="true">IF(OR(E2083="",E2083="!!!",F2083="NEW"),"",COUNTBLANK(OFFSET(A$1,,,SUMPRODUCT(MAX(ROW(E$2:E2083)*(E2083=E$2:E2083)))))-COUNTBLANK(OFFSET(A$1,,,SUMPRODUCT(MAX(ROW(E$1:E2082)*(E2083=E$1:E2082))))))</f>
        <v/>
      </c>
      <c r="K2083" s="15" t="str">
        <f aca="false">IF(OR(E2083="",E2083="!!!",F2083="NEW"),"",INDEX(J$1:J2082,SUMPRODUCT(MAX(ROW(E$1:E2082)*(E2083=E$1:E2082)))))</f>
        <v/>
      </c>
      <c r="L2083" s="16"/>
    </row>
    <row r="2084" customFormat="false" ht="12.8" hidden="false" customHeight="false" outlineLevel="0" collapsed="false">
      <c r="A2084" s="0" t="s">
        <v>921</v>
      </c>
      <c r="B2084" s="0" t="s">
        <v>14</v>
      </c>
      <c r="C2084" s="0" t="s">
        <v>181</v>
      </c>
      <c r="E2084" s="10" t="str">
        <f aca="false">IF(D2084="?OLD","!!!","")</f>
        <v/>
      </c>
      <c r="F2084" s="11" t="str">
        <f aca="false">IF(OR(E2084="",E2084="!!!"),"",IF(NOT(ISNA(VLOOKUP(E2084,E$1:E2083,1,FALSE()))),"OLD",IF(AND(E2084&lt;&gt;"",E2084&lt;&gt;"!!!"),"NEW","")))</f>
        <v/>
      </c>
      <c r="G2084" s="12" t="str">
        <f aca="false">IF(OR(E2084="",E2084="!!!"),"",IF(OR(J2084=0,AND(J2084=1,K2084=1),AND(J2084=1,I2084="SBJ"),AND(J2084=1,I2084=0)),"?IN_FOCUS",IF(J2084&lt;=2,"?ACTIVATED",IF(J2084&lt;&gt;"","?FAMILIAR",IF(F2084="NEW",IF(ISNA(VLOOKUP(E2084,#REF!,1,FALSE())),"?TYPE_IDENTIFIABLE","?REFERENTIAL"),"_")))))</f>
        <v/>
      </c>
      <c r="H2084" s="13" t="str">
        <f aca="false">IF(J2084&lt;&gt;1,"",IF(I2084="SBJ","CB","?"))</f>
        <v/>
      </c>
      <c r="I2084" s="14" t="str">
        <f aca="false">IF(OR(E2084="",E2084="!!!",F2084="NEW"),"",INDEX(B$2:B2083,-1+SUMPRODUCT(MAX(ROW(E$2:E2083)*(E2084=E$2:E2083)))))</f>
        <v/>
      </c>
      <c r="J2084" s="15" t="str">
        <f aca="true">IF(OR(E2084="",E2084="!!!",F2084="NEW"),"",COUNTBLANK(OFFSET(A$1,,,SUMPRODUCT(MAX(ROW(E$2:E2084)*(E2084=E$2:E2084)))))-COUNTBLANK(OFFSET(A$1,,,SUMPRODUCT(MAX(ROW(E$1:E2083)*(E2084=E$1:E2083))))))</f>
        <v/>
      </c>
      <c r="K2084" s="15" t="str">
        <f aca="false">IF(OR(E2084="",E2084="!!!",F2084="NEW"),"",INDEX(J$1:J2083,SUMPRODUCT(MAX(ROW(E$1:E2083)*(E2084=E$1:E2083)))))</f>
        <v/>
      </c>
      <c r="L2084" s="16"/>
    </row>
    <row r="2085" customFormat="false" ht="12.8" hidden="false" customHeight="false" outlineLevel="0" collapsed="false">
      <c r="A2085" s="0" t="s">
        <v>45</v>
      </c>
      <c r="E2085" s="10" t="str">
        <f aca="false">IF(D2085="?OLD","!!!","")</f>
        <v/>
      </c>
      <c r="F2085" s="11" t="str">
        <f aca="false">IF(OR(E2085="",E2085="!!!"),"",IF(NOT(ISNA(VLOOKUP(E2085,E$1:E2084,1,FALSE()))),"OLD",IF(AND(E2085&lt;&gt;"",E2085&lt;&gt;"!!!"),"NEW","")))</f>
        <v/>
      </c>
      <c r="G2085" s="12" t="str">
        <f aca="false">IF(OR(E2085="",E2085="!!!"),"",IF(OR(J2085=0,AND(J2085=1,K2085=1),AND(J2085=1,I2085="SBJ"),AND(J2085=1,I2085=0)),"?IN_FOCUS",IF(J2085&lt;=2,"?ACTIVATED",IF(J2085&lt;&gt;"","?FAMILIAR",IF(F2085="NEW",IF(ISNA(VLOOKUP(E2085,#REF!,1,FALSE())),"?TYPE_IDENTIFIABLE","?REFERENTIAL"),"_")))))</f>
        <v/>
      </c>
      <c r="H2085" s="13" t="str">
        <f aca="false">IF(J2085&lt;&gt;1,"",IF(I2085="SBJ","CB","?"))</f>
        <v/>
      </c>
      <c r="I2085" s="14" t="str">
        <f aca="false">IF(OR(E2085="",E2085="!!!",F2085="NEW"),"",INDEX(B$2:B2084,-1+SUMPRODUCT(MAX(ROW(E$2:E2084)*(E2085=E$2:E2084)))))</f>
        <v/>
      </c>
      <c r="J2085" s="15" t="str">
        <f aca="true">IF(OR(E2085="",E2085="!!!",F2085="NEW"),"",COUNTBLANK(OFFSET(A$1,,,SUMPRODUCT(MAX(ROW(E$2:E2085)*(E2085=E$2:E2085)))))-COUNTBLANK(OFFSET(A$1,,,SUMPRODUCT(MAX(ROW(E$1:E2084)*(E2085=E$1:E2084))))))</f>
        <v/>
      </c>
      <c r="K2085" s="15" t="str">
        <f aca="false">IF(OR(E2085="",E2085="!!!",F2085="NEW"),"",INDEX(J$1:J2084,SUMPRODUCT(MAX(ROW(E$1:E2084)*(E2085=E$1:E2084)))))</f>
        <v/>
      </c>
      <c r="L2085" s="16"/>
    </row>
    <row r="2086" customFormat="false" ht="12.8" hidden="false" customHeight="false" outlineLevel="0" collapsed="false">
      <c r="A2086" s="0" t="s">
        <v>161</v>
      </c>
      <c r="B2086" s="0" t="s">
        <v>47</v>
      </c>
      <c r="C2086" s="0" t="s">
        <v>48</v>
      </c>
      <c r="D2086" s="0" t="s">
        <v>20</v>
      </c>
      <c r="E2086" s="10" t="s">
        <v>161</v>
      </c>
      <c r="F2086" s="11" t="str">
        <f aca="false">IF(OR(E2086="",E2086="!!!"),"",IF(NOT(ISNA(VLOOKUP(E2086,E$1:E2085,1,FALSE()))),"OLD",IF(AND(E2086&lt;&gt;"",E2086&lt;&gt;"!!!"),"NEW","")))</f>
        <v>OLD</v>
      </c>
      <c r="G2086" s="12" t="s">
        <v>87</v>
      </c>
      <c r="H2086" s="13" t="s">
        <v>7</v>
      </c>
      <c r="I2086" s="14" t="str">
        <f aca="false">IF(OR(E2086="",E2086="!!!",F2086="NEW"),"",INDEX(B$2:B2085,-1+SUMPRODUCT(MAX(ROW(E$2:E2085)*(E2086=E$2:E2085)))))</f>
        <v>SBJ_2</v>
      </c>
      <c r="J2086" s="15" t="n">
        <f aca="true">IF(OR(E2086="",E2086="!!!",F2086="NEW"),"",COUNTBLANK(OFFSET(A$1,,,SUMPRODUCT(MAX(ROW(E$2:E2086)*(E2086=E$2:E2086)))))-COUNTBLANK(OFFSET(A$1,,,SUMPRODUCT(MAX(ROW(E$1:E2085)*(E2086=E$1:E2085))))))</f>
        <v>2</v>
      </c>
      <c r="K2086" s="15" t="n">
        <f aca="false">IF(OR(E2086="",E2086="!!!",F2086="NEW"),"",INDEX(J$1:J2085,SUMPRODUCT(MAX(ROW(E$1:E2085)*(E2086=E$1:E2085)))))</f>
        <v>0</v>
      </c>
      <c r="L2086" s="16" t="s">
        <v>922</v>
      </c>
    </row>
    <row r="2087" customFormat="false" ht="12.8" hidden="false" customHeight="false" outlineLevel="0" collapsed="false">
      <c r="A2087" s="0" t="s">
        <v>449</v>
      </c>
      <c r="E2087" s="10" t="str">
        <f aca="false">IF(D2087="?OLD","!!!","")</f>
        <v/>
      </c>
      <c r="F2087" s="11" t="str">
        <f aca="false">IF(OR(E2087="",E2087="!!!"),"",IF(NOT(ISNA(VLOOKUP(E2087,E$1:E2086,1,FALSE()))),"OLD",IF(AND(E2087&lt;&gt;"",E2087&lt;&gt;"!!!"),"NEW","")))</f>
        <v/>
      </c>
      <c r="G2087" s="12" t="str">
        <f aca="false">IF(OR(E2087="",E2087="!!!"),"",IF(OR(J2087=0,AND(J2087=1,K2087=1),AND(J2087=1,I2087="SBJ"),AND(J2087=1,I2087=0)),"?IN_FOCUS",IF(J2087&lt;=2,"?ACTIVATED",IF(J2087&lt;&gt;"","?FAMILIAR",IF(F2087="NEW",IF(ISNA(VLOOKUP(E2087,#REF!,1,FALSE())),"?TYPE_IDENTIFIABLE","?REFERENTIAL"),"_")))))</f>
        <v/>
      </c>
      <c r="H2087" s="13" t="str">
        <f aca="false">IF(J2087&lt;&gt;1,"",IF(I2087="SBJ","CB","?"))</f>
        <v/>
      </c>
      <c r="I2087" s="14" t="str">
        <f aca="false">IF(OR(E2087="",E2087="!!!",F2087="NEW"),"",INDEX(B$2:B2086,-1+SUMPRODUCT(MAX(ROW(E$2:E2086)*(E2087=E$2:E2086)))))</f>
        <v/>
      </c>
      <c r="J2087" s="15" t="str">
        <f aca="true">IF(OR(E2087="",E2087="!!!",F2087="NEW"),"",COUNTBLANK(OFFSET(A$1,,,SUMPRODUCT(MAX(ROW(E$2:E2087)*(E2087=E$2:E2087)))))-COUNTBLANK(OFFSET(A$1,,,SUMPRODUCT(MAX(ROW(E$1:E2086)*(E2087=E$1:E2086))))))</f>
        <v/>
      </c>
      <c r="K2087" s="15" t="str">
        <f aca="false">IF(OR(E2087="",E2087="!!!",F2087="NEW"),"",INDEX(J$1:J2086,SUMPRODUCT(MAX(ROW(E$1:E2086)*(E2087=E$1:E2086)))))</f>
        <v/>
      </c>
      <c r="L2087" s="16"/>
    </row>
    <row r="2088" customFormat="false" ht="12.8" hidden="false" customHeight="false" outlineLevel="0" collapsed="false">
      <c r="A2088" s="0" t="s">
        <v>179</v>
      </c>
      <c r="E2088" s="10" t="str">
        <f aca="false">IF(D2088="?OLD","!!!","")</f>
        <v/>
      </c>
      <c r="F2088" s="11" t="str">
        <f aca="false">IF(OR(E2088="",E2088="!!!"),"",IF(NOT(ISNA(VLOOKUP(E2088,E$1:E2087,1,FALSE()))),"OLD",IF(AND(E2088&lt;&gt;"",E2088&lt;&gt;"!!!"),"NEW","")))</f>
        <v/>
      </c>
      <c r="G2088" s="12" t="str">
        <f aca="false">IF(OR(E2088="",E2088="!!!"),"",IF(OR(J2088=0,AND(J2088=1,K2088=1),AND(J2088=1,I2088="SBJ"),AND(J2088=1,I2088=0)),"?IN_FOCUS",IF(J2088&lt;=2,"?ACTIVATED",IF(J2088&lt;&gt;"","?FAMILIAR",IF(F2088="NEW",IF(ISNA(VLOOKUP(E2088,#REF!,1,FALSE())),"?TYPE_IDENTIFIABLE","?REFERENTIAL"),"_")))))</f>
        <v/>
      </c>
      <c r="H2088" s="13" t="str">
        <f aca="false">IF(J2088&lt;&gt;1,"",IF(I2088="SBJ","CB","?"))</f>
        <v/>
      </c>
      <c r="I2088" s="14" t="str">
        <f aca="false">IF(OR(E2088="",E2088="!!!",F2088="NEW"),"",INDEX(B$2:B2087,-1+SUMPRODUCT(MAX(ROW(E$2:E2087)*(E2088=E$2:E2087)))))</f>
        <v/>
      </c>
      <c r="J2088" s="15" t="str">
        <f aca="true">IF(OR(E2088="",E2088="!!!",F2088="NEW"),"",COUNTBLANK(OFFSET(A$1,,,SUMPRODUCT(MAX(ROW(E$2:E2088)*(E2088=E$2:E2088)))))-COUNTBLANK(OFFSET(A$1,,,SUMPRODUCT(MAX(ROW(E$1:E2087)*(E2088=E$1:E2087))))))</f>
        <v/>
      </c>
      <c r="K2088" s="15" t="str">
        <f aca="false">IF(OR(E2088="",E2088="!!!",F2088="NEW"),"",INDEX(J$1:J2087,SUMPRODUCT(MAX(ROW(E$1:E2087)*(E2088=E$1:E2087)))))</f>
        <v/>
      </c>
      <c r="L2088" s="16"/>
    </row>
    <row r="2089" customFormat="false" ht="12.8" hidden="false" customHeight="false" outlineLevel="0" collapsed="false">
      <c r="A2089" s="0" t="s">
        <v>156</v>
      </c>
      <c r="E2089" s="10" t="str">
        <f aca="false">IF(D2089="?OLD","!!!","")</f>
        <v/>
      </c>
      <c r="F2089" s="11" t="str">
        <f aca="false">IF(OR(E2089="",E2089="!!!"),"",IF(NOT(ISNA(VLOOKUP(E2089,E$1:E2088,1,FALSE()))),"OLD",IF(AND(E2089&lt;&gt;"",E2089&lt;&gt;"!!!"),"NEW","")))</f>
        <v/>
      </c>
      <c r="G2089" s="12" t="str">
        <f aca="false">IF(OR(E2089="",E2089="!!!"),"",IF(OR(J2089=0,AND(J2089=1,K2089=1),AND(J2089=1,I2089="SBJ"),AND(J2089=1,I2089=0)),"?IN_FOCUS",IF(J2089&lt;=2,"?ACTIVATED",IF(J2089&lt;&gt;"","?FAMILIAR",IF(F2089="NEW",IF(ISNA(VLOOKUP(E2089,#REF!,1,FALSE())),"?TYPE_IDENTIFIABLE","?REFERENTIAL"),"_")))))</f>
        <v/>
      </c>
      <c r="H2089" s="13" t="str">
        <f aca="false">IF(J2089&lt;&gt;1,"",IF(I2089="SBJ","CB","?"))</f>
        <v/>
      </c>
      <c r="I2089" s="14" t="str">
        <f aca="false">IF(OR(E2089="",E2089="!!!",F2089="NEW"),"",INDEX(B$2:B2088,-1+SUMPRODUCT(MAX(ROW(E$2:E2088)*(E2089=E$2:E2088)))))</f>
        <v/>
      </c>
      <c r="J2089" s="15" t="str">
        <f aca="true">IF(OR(E2089="",E2089="!!!",F2089="NEW"),"",COUNTBLANK(OFFSET(A$1,,,SUMPRODUCT(MAX(ROW(E$2:E2089)*(E2089=E$2:E2089)))))-COUNTBLANK(OFFSET(A$1,,,SUMPRODUCT(MAX(ROW(E$1:E2088)*(E2089=E$1:E2088))))))</f>
        <v/>
      </c>
      <c r="K2089" s="15" t="str">
        <f aca="false">IF(OR(E2089="",E2089="!!!",F2089="NEW"),"",INDEX(J$1:J2088,SUMPRODUCT(MAX(ROW(E$1:E2088)*(E2089=E$1:E2088)))))</f>
        <v/>
      </c>
      <c r="L2089" s="16"/>
    </row>
    <row r="2090" customFormat="false" ht="12.8" hidden="false" customHeight="false" outlineLevel="0" collapsed="false">
      <c r="A2090" s="0" t="s">
        <v>33</v>
      </c>
      <c r="B2090" s="0" t="s">
        <v>170</v>
      </c>
      <c r="C2090" s="0" t="s">
        <v>181</v>
      </c>
      <c r="E2090" s="10" t="str">
        <f aca="false">IF(D2090="?OLD","!!!","")</f>
        <v/>
      </c>
      <c r="F2090" s="11" t="str">
        <f aca="false">IF(OR(E2090="",E2090="!!!"),"",IF(NOT(ISNA(VLOOKUP(E2090,E$1:E2089,1,FALSE()))),"OLD",IF(AND(E2090&lt;&gt;"",E2090&lt;&gt;"!!!"),"NEW","")))</f>
        <v/>
      </c>
      <c r="G2090" s="12" t="str">
        <f aca="false">IF(OR(E2090="",E2090="!!!"),"",IF(OR(J2090=0,AND(J2090=1,K2090=1),AND(J2090=1,I2090="SBJ"),AND(J2090=1,I2090=0)),"?IN_FOCUS",IF(J2090&lt;=2,"?ACTIVATED",IF(J2090&lt;&gt;"","?FAMILIAR",IF(F2090="NEW",IF(ISNA(VLOOKUP(E2090,#REF!,1,FALSE())),"?TYPE_IDENTIFIABLE","?REFERENTIAL"),"_")))))</f>
        <v/>
      </c>
      <c r="H2090" s="13" t="str">
        <f aca="false">IF(J2090&lt;&gt;1,"",IF(I2090="SBJ","CB","?"))</f>
        <v/>
      </c>
      <c r="I2090" s="14" t="str">
        <f aca="false">IF(OR(E2090="",E2090="!!!",F2090="NEW"),"",INDEX(B$2:B2089,-1+SUMPRODUCT(MAX(ROW(E$2:E2089)*(E2090=E$2:E2089)))))</f>
        <v/>
      </c>
      <c r="J2090" s="15" t="str">
        <f aca="true">IF(OR(E2090="",E2090="!!!",F2090="NEW"),"",COUNTBLANK(OFFSET(A$1,,,SUMPRODUCT(MAX(ROW(E$2:E2090)*(E2090=E$2:E2090)))))-COUNTBLANK(OFFSET(A$1,,,SUMPRODUCT(MAX(ROW(E$1:E2089)*(E2090=E$1:E2089))))))</f>
        <v/>
      </c>
      <c r="K2090" s="15" t="str">
        <f aca="false">IF(OR(E2090="",E2090="!!!",F2090="NEW"),"",INDEX(J$1:J2089,SUMPRODUCT(MAX(ROW(E$1:E2089)*(E2090=E$1:E2089)))))</f>
        <v/>
      </c>
      <c r="L2090" s="16"/>
    </row>
    <row r="2091" customFormat="false" ht="12.8" hidden="false" customHeight="false" outlineLevel="0" collapsed="false">
      <c r="A2091" s="0" t="s">
        <v>29</v>
      </c>
      <c r="E2091" s="10" t="str">
        <f aca="false">IF(D2091="?OLD","!!!","")</f>
        <v/>
      </c>
      <c r="F2091" s="11" t="str">
        <f aca="false">IF(OR(E2091="",E2091="!!!"),"",IF(NOT(ISNA(VLOOKUP(E2091,E$1:E2090,1,FALSE()))),"OLD",IF(AND(E2091&lt;&gt;"",E2091&lt;&gt;"!!!"),"NEW","")))</f>
        <v/>
      </c>
      <c r="G2091" s="12" t="str">
        <f aca="false">IF(OR(E2091="",E2091="!!!"),"",IF(OR(J2091=0,AND(J2091=1,K2091=1),AND(J2091=1,I2091="SBJ"),AND(J2091=1,I2091=0)),"?IN_FOCUS",IF(J2091&lt;=2,"?ACTIVATED",IF(J2091&lt;&gt;"","?FAMILIAR",IF(F2091="NEW",IF(ISNA(VLOOKUP(E2091,#REF!,1,FALSE())),"?TYPE_IDENTIFIABLE","?REFERENTIAL"),"_")))))</f>
        <v/>
      </c>
      <c r="H2091" s="13" t="str">
        <f aca="false">IF(J2091&lt;&gt;1,"",IF(I2091="SBJ","CB","?"))</f>
        <v/>
      </c>
      <c r="I2091" s="14" t="str">
        <f aca="false">IF(OR(E2091="",E2091="!!!",F2091="NEW"),"",INDEX(B$2:B2090,-1+SUMPRODUCT(MAX(ROW(E$2:E2090)*(E2091=E$2:E2090)))))</f>
        <v/>
      </c>
      <c r="J2091" s="15" t="str">
        <f aca="true">IF(OR(E2091="",E2091="!!!",F2091="NEW"),"",COUNTBLANK(OFFSET(A$1,,,SUMPRODUCT(MAX(ROW(E$2:E2091)*(E2091=E$2:E2091)))))-COUNTBLANK(OFFSET(A$1,,,SUMPRODUCT(MAX(ROW(E$1:E2090)*(E2091=E$1:E2090))))))</f>
        <v/>
      </c>
      <c r="K2091" s="15" t="str">
        <f aca="false">IF(OR(E2091="",E2091="!!!",F2091="NEW"),"",INDEX(J$1:J2090,SUMPRODUCT(MAX(ROW(E$1:E2090)*(E2091=E$1:E2090)))))</f>
        <v/>
      </c>
      <c r="L2091" s="16"/>
    </row>
    <row r="2092" customFormat="false" ht="12.8" hidden="false" customHeight="false" outlineLevel="0" collapsed="false">
      <c r="A2092" s="0" t="s">
        <v>923</v>
      </c>
      <c r="B2092" s="0" t="s">
        <v>75</v>
      </c>
      <c r="C2092" s="0" t="s">
        <v>121</v>
      </c>
      <c r="D2092" s="0" t="s">
        <v>20</v>
      </c>
      <c r="E2092" s="10"/>
      <c r="F2092" s="11" t="s">
        <v>238</v>
      </c>
      <c r="G2092" s="12" t="str">
        <f aca="false">IF(OR(E2092="",E2092="!!!"),"",IF(OR(J2092=0,AND(J2092=1,K2092=1),AND(J2092=1,I2092="SBJ"),AND(J2092=1,I2092=0)),"?IN_FOCUS",IF(J2092&lt;=2,"?ACTIVATED",IF(J2092&lt;&gt;"","?FAMILIAR",IF(F2092="NEW",IF(ISNA(VLOOKUP(E2092,#REF!,1,FALSE())),"?TYPE_IDENTIFIABLE","?REFERENTIAL"),"_")))))</f>
        <v/>
      </c>
      <c r="H2092" s="13" t="str">
        <f aca="false">IF(J2092&lt;&gt;1,"",IF(I2092="SBJ","CB","?"))</f>
        <v/>
      </c>
      <c r="I2092" s="14" t="str">
        <f aca="false">IF(OR(E2092="",E2092="!!!",F2092="NEW"),"",INDEX(B$2:B2091,-1+SUMPRODUCT(MAX(ROW(E$2:E2091)*(E2092=E$2:E2091)))))</f>
        <v/>
      </c>
      <c r="J2092" s="15" t="str">
        <f aca="true">IF(OR(E2092="",E2092="!!!",F2092="NEW"),"",COUNTBLANK(OFFSET(A$1,,,SUMPRODUCT(MAX(ROW(E$2:E2092)*(E2092=E$2:E2092)))))-COUNTBLANK(OFFSET(A$1,,,SUMPRODUCT(MAX(ROW(E$1:E2091)*(E2092=E$1:E2091))))))</f>
        <v/>
      </c>
      <c r="K2092" s="15" t="str">
        <f aca="false">IF(OR(E2092="",E2092="!!!",F2092="NEW"),"",INDEX(J$1:J2091,SUMPRODUCT(MAX(ROW(E$1:E2091)*(E2092=E$1:E2091)))))</f>
        <v/>
      </c>
      <c r="L2092" s="16" t="s">
        <v>924</v>
      </c>
    </row>
    <row r="2093" customFormat="false" ht="12.8" hidden="false" customHeight="false" outlineLevel="0" collapsed="false">
      <c r="A2093" s="0" t="s">
        <v>370</v>
      </c>
      <c r="E2093" s="10" t="str">
        <f aca="false">IF(D2093="?OLD","!!!","")</f>
        <v/>
      </c>
      <c r="F2093" s="11" t="str">
        <f aca="false">IF(OR(E2093="",E2093="!!!"),"",IF(NOT(ISNA(VLOOKUP(E2093,E$1:E2092,1,FALSE()))),"OLD",IF(AND(E2093&lt;&gt;"",E2093&lt;&gt;"!!!"),"NEW","")))</f>
        <v/>
      </c>
      <c r="G2093" s="12" t="str">
        <f aca="false">IF(OR(E2093="",E2093="!!!"),"",IF(OR(J2093=0,AND(J2093=1,K2093=1),AND(J2093=1,I2093="SBJ"),AND(J2093=1,I2093=0)),"?IN_FOCUS",IF(J2093&lt;=2,"?ACTIVATED",IF(J2093&lt;&gt;"","?FAMILIAR",IF(F2093="NEW",IF(ISNA(VLOOKUP(E2093,#REF!,1,FALSE())),"?TYPE_IDENTIFIABLE","?REFERENTIAL"),"_")))))</f>
        <v/>
      </c>
      <c r="H2093" s="13" t="str">
        <f aca="false">IF(J2093&lt;&gt;1,"",IF(I2093="SBJ","CB","?"))</f>
        <v/>
      </c>
      <c r="I2093" s="14" t="str">
        <f aca="false">IF(OR(E2093="",E2093="!!!",F2093="NEW"),"",INDEX(B$2:B2092,-1+SUMPRODUCT(MAX(ROW(E$2:E2092)*(E2093=E$2:E2092)))))</f>
        <v/>
      </c>
      <c r="J2093" s="15" t="str">
        <f aca="true">IF(OR(E2093="",E2093="!!!",F2093="NEW"),"",COUNTBLANK(OFFSET(A$1,,,SUMPRODUCT(MAX(ROW(E$2:E2093)*(E2093=E$2:E2093)))))-COUNTBLANK(OFFSET(A$1,,,SUMPRODUCT(MAX(ROW(E$1:E2092)*(E2093=E$1:E2092))))))</f>
        <v/>
      </c>
      <c r="K2093" s="15" t="str">
        <f aca="false">IF(OR(E2093="",E2093="!!!",F2093="NEW"),"",INDEX(J$1:J2092,SUMPRODUCT(MAX(ROW(E$1:E2092)*(E2093=E$1:E2092)))))</f>
        <v/>
      </c>
      <c r="L2093" s="16"/>
    </row>
    <row r="2094" customFormat="false" ht="12.8" hidden="false" customHeight="false" outlineLevel="0" collapsed="false">
      <c r="A2094" s="0" t="s">
        <v>516</v>
      </c>
      <c r="E2094" s="10" t="str">
        <f aca="false">IF(D2094="?OLD","!!!","")</f>
        <v/>
      </c>
      <c r="F2094" s="11" t="str">
        <f aca="false">IF(OR(E2094="",E2094="!!!"),"",IF(NOT(ISNA(VLOOKUP(E2094,E$1:E2093,1,FALSE()))),"OLD",IF(AND(E2094&lt;&gt;"",E2094&lt;&gt;"!!!"),"NEW","")))</f>
        <v/>
      </c>
      <c r="G2094" s="12" t="str">
        <f aca="false">IF(OR(E2094="",E2094="!!!"),"",IF(OR(J2094=0,AND(J2094=1,K2094=1),AND(J2094=1,I2094="SBJ"),AND(J2094=1,I2094=0)),"?IN_FOCUS",IF(J2094&lt;=2,"?ACTIVATED",IF(J2094&lt;&gt;"","?FAMILIAR",IF(F2094="NEW",IF(ISNA(VLOOKUP(E2094,#REF!,1,FALSE())),"?TYPE_IDENTIFIABLE","?REFERENTIAL"),"_")))))</f>
        <v/>
      </c>
      <c r="H2094" s="13" t="str">
        <f aca="false">IF(J2094&lt;&gt;1,"",IF(I2094="SBJ","CB","?"))</f>
        <v/>
      </c>
      <c r="I2094" s="14" t="str">
        <f aca="false">IF(OR(E2094="",E2094="!!!",F2094="NEW"),"",INDEX(B$2:B2093,-1+SUMPRODUCT(MAX(ROW(E$2:E2093)*(E2094=E$2:E2093)))))</f>
        <v/>
      </c>
      <c r="J2094" s="15" t="str">
        <f aca="true">IF(OR(E2094="",E2094="!!!",F2094="NEW"),"",COUNTBLANK(OFFSET(A$1,,,SUMPRODUCT(MAX(ROW(E$2:E2094)*(E2094=E$2:E2094)))))-COUNTBLANK(OFFSET(A$1,,,SUMPRODUCT(MAX(ROW(E$1:E2093)*(E2094=E$1:E2093))))))</f>
        <v/>
      </c>
      <c r="K2094" s="15" t="str">
        <f aca="false">IF(OR(E2094="",E2094="!!!",F2094="NEW"),"",INDEX(J$1:J2093,SUMPRODUCT(MAX(ROW(E$1:E2093)*(E2094=E$1:E2093)))))</f>
        <v/>
      </c>
      <c r="L2094" s="16"/>
    </row>
    <row r="2095" customFormat="false" ht="12.8" hidden="false" customHeight="false" outlineLevel="0" collapsed="false">
      <c r="A2095" s="0" t="s">
        <v>646</v>
      </c>
      <c r="E2095" s="10" t="str">
        <f aca="false">IF(D2095="?OLD","!!!","")</f>
        <v/>
      </c>
      <c r="F2095" s="11" t="str">
        <f aca="false">IF(OR(E2095="",E2095="!!!"),"",IF(NOT(ISNA(VLOOKUP(E2095,E$1:E2094,1,FALSE()))),"OLD",IF(AND(E2095&lt;&gt;"",E2095&lt;&gt;"!!!"),"NEW","")))</f>
        <v/>
      </c>
      <c r="G2095" s="12" t="str">
        <f aca="false">IF(OR(E2095="",E2095="!!!"),"",IF(OR(J2095=0,AND(J2095=1,K2095=1),AND(J2095=1,I2095="SBJ"),AND(J2095=1,I2095=0)),"?IN_FOCUS",IF(J2095&lt;=2,"?ACTIVATED",IF(J2095&lt;&gt;"","?FAMILIAR",IF(F2095="NEW",IF(ISNA(VLOOKUP(E2095,#REF!,1,FALSE())),"?TYPE_IDENTIFIABLE","?REFERENTIAL"),"_")))))</f>
        <v/>
      </c>
      <c r="H2095" s="13" t="str">
        <f aca="false">IF(J2095&lt;&gt;1,"",IF(I2095="SBJ","CB","?"))</f>
        <v/>
      </c>
      <c r="I2095" s="14" t="str">
        <f aca="false">IF(OR(E2095="",E2095="!!!",F2095="NEW"),"",INDEX(B$2:B2094,-1+SUMPRODUCT(MAX(ROW(E$2:E2094)*(E2095=E$2:E2094)))))</f>
        <v/>
      </c>
      <c r="J2095" s="15" t="str">
        <f aca="true">IF(OR(E2095="",E2095="!!!",F2095="NEW"),"",COUNTBLANK(OFFSET(A$1,,,SUMPRODUCT(MAX(ROW(E$2:E2095)*(E2095=E$2:E2095)))))-COUNTBLANK(OFFSET(A$1,,,SUMPRODUCT(MAX(ROW(E$1:E2094)*(E2095=E$1:E2094))))))</f>
        <v/>
      </c>
      <c r="K2095" s="15" t="str">
        <f aca="false">IF(OR(E2095="",E2095="!!!",F2095="NEW"),"",INDEX(J$1:J2094,SUMPRODUCT(MAX(ROW(E$1:E2094)*(E2095=E$1:E2094)))))</f>
        <v/>
      </c>
      <c r="L2095" s="16"/>
    </row>
    <row r="2096" customFormat="false" ht="12.8" hidden="false" customHeight="false" outlineLevel="0" collapsed="false">
      <c r="E2096" s="10" t="str">
        <f aca="false">IF(D2096="?OLD","!!!","")</f>
        <v/>
      </c>
      <c r="F2096" s="11" t="str">
        <f aca="false">IF(OR(E2096="",E2096="!!!"),"",IF(NOT(ISNA(VLOOKUP(E2096,E$1:E2095,1,FALSE()))),"OLD",IF(AND(E2096&lt;&gt;"",E2096&lt;&gt;"!!!"),"NEW","")))</f>
        <v/>
      </c>
      <c r="G2096" s="12" t="str">
        <f aca="false">IF(OR(E2096="",E2096="!!!"),"",IF(OR(J2096=0,AND(J2096=1,K2096=1),AND(J2096=1,I2096="SBJ"),AND(J2096=1,I2096=0)),"?IN_FOCUS",IF(J2096&lt;=2,"?ACTIVATED",IF(J2096&lt;&gt;"","?FAMILIAR",IF(F2096="NEW",IF(ISNA(VLOOKUP(E2096,#REF!,1,FALSE())),"?TYPE_IDENTIFIABLE","?REFERENTIAL"),"_")))))</f>
        <v/>
      </c>
      <c r="H2096" s="13" t="str">
        <f aca="false">IF(J2096&lt;&gt;1,"",IF(I2096="SBJ","CB","?"))</f>
        <v/>
      </c>
      <c r="I2096" s="14" t="str">
        <f aca="false">IF(OR(E2096="",E2096="!!!",F2096="NEW"),"",INDEX(B$2:B2095,-1+SUMPRODUCT(MAX(ROW(E$2:E2095)*(E2096=E$2:E2095)))))</f>
        <v/>
      </c>
      <c r="J2096" s="15" t="str">
        <f aca="true">IF(OR(E2096="",E2096="!!!",F2096="NEW"),"",COUNTBLANK(OFFSET(A$1,,,SUMPRODUCT(MAX(ROW(E$2:E2096)*(E2096=E$2:E2096)))))-COUNTBLANK(OFFSET(A$1,,,SUMPRODUCT(MAX(ROW(E$1:E2095)*(E2096=E$1:E2095))))))</f>
        <v/>
      </c>
      <c r="K2096" s="15" t="str">
        <f aca="false">IF(OR(E2096="",E2096="!!!",F2096="NEW"),"",INDEX(J$1:J2095,SUMPRODUCT(MAX(ROW(E$1:E2095)*(E2096=E$1:E2095)))))</f>
        <v/>
      </c>
      <c r="L2096" s="16"/>
    </row>
    <row r="2097" customFormat="false" ht="12.8" hidden="false" customHeight="false" outlineLevel="0" collapsed="false">
      <c r="A2097" s="0" t="s">
        <v>925</v>
      </c>
      <c r="E2097" s="10" t="str">
        <f aca="false">IF(D2097="?OLD","!!!","")</f>
        <v/>
      </c>
      <c r="F2097" s="11" t="str">
        <f aca="false">IF(OR(E2097="",E2097="!!!"),"",IF(NOT(ISNA(VLOOKUP(E2097,E$1:E2096,1,FALSE()))),"OLD",IF(AND(E2097&lt;&gt;"",E2097&lt;&gt;"!!!"),"NEW","")))</f>
        <v/>
      </c>
      <c r="G2097" s="12" t="str">
        <f aca="false">IF(OR(E2097="",E2097="!!!"),"",IF(OR(J2097=0,AND(J2097=1,K2097=1),AND(J2097=1,I2097="SBJ"),AND(J2097=1,I2097=0)),"?IN_FOCUS",IF(J2097&lt;=2,"?ACTIVATED",IF(J2097&lt;&gt;"","?FAMILIAR",IF(F2097="NEW",IF(ISNA(VLOOKUP(E2097,#REF!,1,FALSE())),"?TYPE_IDENTIFIABLE","?REFERENTIAL"),"_")))))</f>
        <v/>
      </c>
      <c r="H2097" s="13" t="str">
        <f aca="false">IF(J2097&lt;&gt;1,"",IF(I2097="SBJ","CB","?"))</f>
        <v/>
      </c>
      <c r="I2097" s="14" t="str">
        <f aca="false">IF(OR(E2097="",E2097="!!!",F2097="NEW"),"",INDEX(B$2:B2096,-1+SUMPRODUCT(MAX(ROW(E$2:E2096)*(E2097=E$2:E2096)))))</f>
        <v/>
      </c>
      <c r="J2097" s="15" t="str">
        <f aca="true">IF(OR(E2097="",E2097="!!!",F2097="NEW"),"",COUNTBLANK(OFFSET(A$1,,,SUMPRODUCT(MAX(ROW(E$2:E2097)*(E2097=E$2:E2097)))))-COUNTBLANK(OFFSET(A$1,,,SUMPRODUCT(MAX(ROW(E$1:E2096)*(E2097=E$1:E2096))))))</f>
        <v/>
      </c>
      <c r="K2097" s="15" t="str">
        <f aca="false">IF(OR(E2097="",E2097="!!!",F2097="NEW"),"",INDEX(J$1:J2096,SUMPRODUCT(MAX(ROW(E$1:E2096)*(E2097=E$1:E2096)))))</f>
        <v/>
      </c>
      <c r="L2097" s="16"/>
    </row>
    <row r="2098" customFormat="false" ht="12.8" hidden="false" customHeight="false" outlineLevel="0" collapsed="false">
      <c r="A2098" s="0" t="s">
        <v>926</v>
      </c>
      <c r="E2098" s="10" t="str">
        <f aca="false">IF(D2098="?OLD","!!!","")</f>
        <v/>
      </c>
      <c r="F2098" s="11" t="str">
        <f aca="false">IF(OR(E2098="",E2098="!!!"),"",IF(NOT(ISNA(VLOOKUP(E2098,E$1:E2097,1,FALSE()))),"OLD",IF(AND(E2098&lt;&gt;"",E2098&lt;&gt;"!!!"),"NEW","")))</f>
        <v/>
      </c>
      <c r="G2098" s="12" t="str">
        <f aca="false">IF(OR(E2098="",E2098="!!!"),"",IF(OR(J2098=0,AND(J2098=1,K2098=1),AND(J2098=1,I2098="SBJ"),AND(J2098=1,I2098=0)),"?IN_FOCUS",IF(J2098&lt;=2,"?ACTIVATED",IF(J2098&lt;&gt;"","?FAMILIAR",IF(F2098="NEW",IF(ISNA(VLOOKUP(E2098,#REF!,1,FALSE())),"?TYPE_IDENTIFIABLE","?REFERENTIAL"),"_")))))</f>
        <v/>
      </c>
      <c r="H2098" s="13" t="str">
        <f aca="false">IF(J2098&lt;&gt;1,"",IF(I2098="SBJ","CB","?"))</f>
        <v/>
      </c>
      <c r="I2098" s="14" t="str">
        <f aca="false">IF(OR(E2098="",E2098="!!!",F2098="NEW"),"",INDEX(B$2:B2097,-1+SUMPRODUCT(MAX(ROW(E$2:E2097)*(E2098=E$2:E2097)))))</f>
        <v/>
      </c>
      <c r="J2098" s="15" t="str">
        <f aca="true">IF(OR(E2098="",E2098="!!!",F2098="NEW"),"",COUNTBLANK(OFFSET(A$1,,,SUMPRODUCT(MAX(ROW(E$2:E2098)*(E2098=E$2:E2098)))))-COUNTBLANK(OFFSET(A$1,,,SUMPRODUCT(MAX(ROW(E$1:E2097)*(E2098=E$1:E2097))))))</f>
        <v/>
      </c>
      <c r="K2098" s="15" t="str">
        <f aca="false">IF(OR(E2098="",E2098="!!!",F2098="NEW"),"",INDEX(J$1:J2097,SUMPRODUCT(MAX(ROW(E$1:E2097)*(E2098=E$1:E2097)))))</f>
        <v/>
      </c>
      <c r="L2098" s="16"/>
    </row>
    <row r="2099" customFormat="false" ht="12.8" hidden="false" customHeight="false" outlineLevel="0" collapsed="false">
      <c r="A2099" s="0" t="s">
        <v>44</v>
      </c>
      <c r="E2099" s="10" t="str">
        <f aca="false">IF(D2099="?OLD","!!!","")</f>
        <v/>
      </c>
      <c r="F2099" s="11" t="str">
        <f aca="false">IF(OR(E2099="",E2099="!!!"),"",IF(NOT(ISNA(VLOOKUP(E2099,E$1:E2098,1,FALSE()))),"OLD",IF(AND(E2099&lt;&gt;"",E2099&lt;&gt;"!!!"),"NEW","")))</f>
        <v/>
      </c>
      <c r="G2099" s="12" t="str">
        <f aca="false">IF(OR(E2099="",E2099="!!!"),"",IF(OR(J2099=0,AND(J2099=1,K2099=1),AND(J2099=1,I2099="SBJ"),AND(J2099=1,I2099=0)),"?IN_FOCUS",IF(J2099&lt;=2,"?ACTIVATED",IF(J2099&lt;&gt;"","?FAMILIAR",IF(F2099="NEW",IF(ISNA(VLOOKUP(E2099,#REF!,1,FALSE())),"?TYPE_IDENTIFIABLE","?REFERENTIAL"),"_")))))</f>
        <v/>
      </c>
      <c r="H2099" s="13" t="str">
        <f aca="false">IF(J2099&lt;&gt;1,"",IF(I2099="SBJ","CB","?"))</f>
        <v/>
      </c>
      <c r="I2099" s="14" t="str">
        <f aca="false">IF(OR(E2099="",E2099="!!!",F2099="NEW"),"",INDEX(B$2:B2098,-1+SUMPRODUCT(MAX(ROW(E$2:E2098)*(E2099=E$2:E2098)))))</f>
        <v/>
      </c>
      <c r="J2099" s="15" t="str">
        <f aca="true">IF(OR(E2099="",E2099="!!!",F2099="NEW"),"",COUNTBLANK(OFFSET(A$1,,,SUMPRODUCT(MAX(ROW(E$2:E2099)*(E2099=E$2:E2099)))))-COUNTBLANK(OFFSET(A$1,,,SUMPRODUCT(MAX(ROW(E$1:E2098)*(E2099=E$1:E2098))))))</f>
        <v/>
      </c>
      <c r="K2099" s="15" t="str">
        <f aca="false">IF(OR(E2099="",E2099="!!!",F2099="NEW"),"",INDEX(J$1:J2098,SUMPRODUCT(MAX(ROW(E$1:E2098)*(E2099=E$1:E2098)))))</f>
        <v/>
      </c>
      <c r="L2099" s="16"/>
    </row>
    <row r="2100" customFormat="false" ht="23.85" hidden="false" customHeight="false" outlineLevel="0" collapsed="false">
      <c r="A2100" s="0" t="s">
        <v>127</v>
      </c>
      <c r="B2100" s="0" t="s">
        <v>34</v>
      </c>
      <c r="C2100" s="0" t="s">
        <v>48</v>
      </c>
      <c r="D2100" s="0" t="s">
        <v>20</v>
      </c>
      <c r="E2100" s="10" t="s">
        <v>161</v>
      </c>
      <c r="F2100" s="11" t="str">
        <f aca="false">IF(OR(E2100="",E2100="!!!"),"",IF(NOT(ISNA(VLOOKUP(E2100,E$1:E2099,1,FALSE()))),"OLD",IF(AND(E2100&lt;&gt;"",E2100&lt;&gt;"!!!"),"NEW","")))</f>
        <v>OLD</v>
      </c>
      <c r="G2100" s="12" t="s">
        <v>87</v>
      </c>
      <c r="H2100" s="13" t="s">
        <v>7</v>
      </c>
      <c r="I2100" s="14" t="str">
        <f aca="false">IF(OR(E2100="",E2100="!!!",F2100="NEW"),"",INDEX(B$2:B2099,-1+SUMPRODUCT(MAX(ROW(E$2:E2099)*(E2100=E$2:E2099)))))</f>
        <v>SBJ_2</v>
      </c>
      <c r="J2100" s="15" t="n">
        <f aca="true">IF(OR(E2100="",E2100="!!!",F2100="NEW"),"",COUNTBLANK(OFFSET(A$1,,,SUMPRODUCT(MAX(ROW(E$2:E2100)*(E2100=E$2:E2100)))))-COUNTBLANK(OFFSET(A$1,,,SUMPRODUCT(MAX(ROW(E$1:E2099)*(E2100=E$1:E2099))))))</f>
        <v>1</v>
      </c>
      <c r="K2100" s="15" t="n">
        <f aca="false">IF(OR(E2100="",E2100="!!!",F2100="NEW"),"",INDEX(J$1:J2099,SUMPRODUCT(MAX(ROW(E$1:E2099)*(E2100=E$1:E2099)))))</f>
        <v>2</v>
      </c>
      <c r="L2100" s="16" t="s">
        <v>927</v>
      </c>
    </row>
    <row r="2101" customFormat="false" ht="12.8" hidden="false" customHeight="false" outlineLevel="0" collapsed="false">
      <c r="A2101" s="0" t="s">
        <v>88</v>
      </c>
      <c r="E2101" s="10" t="str">
        <f aca="false">IF(D2101="?OLD","!!!","")</f>
        <v/>
      </c>
      <c r="F2101" s="11" t="str">
        <f aca="false">IF(OR(E2101="",E2101="!!!"),"",IF(NOT(ISNA(VLOOKUP(E2101,E$1:E2100,1,FALSE()))),"OLD",IF(AND(E2101&lt;&gt;"",E2101&lt;&gt;"!!!"),"NEW","")))</f>
        <v/>
      </c>
      <c r="G2101" s="12" t="str">
        <f aca="false">IF(OR(E2101="",E2101="!!!"),"",IF(OR(J2101=0,AND(J2101=1,K2101=1),AND(J2101=1,I2101="SBJ"),AND(J2101=1,I2101=0)),"?IN_FOCUS",IF(J2101&lt;=2,"?ACTIVATED",IF(J2101&lt;&gt;"","?FAMILIAR",IF(F2101="NEW",IF(ISNA(VLOOKUP(E2101,#REF!,1,FALSE())),"?TYPE_IDENTIFIABLE","?REFERENTIAL"),"_")))))</f>
        <v/>
      </c>
      <c r="H2101" s="13" t="str">
        <f aca="false">IF(J2101&lt;&gt;1,"",IF(I2101="SBJ","CB","?"))</f>
        <v/>
      </c>
      <c r="I2101" s="14" t="str">
        <f aca="false">IF(OR(E2101="",E2101="!!!",F2101="NEW"),"",INDEX(B$2:B2100,-1+SUMPRODUCT(MAX(ROW(E$2:E2100)*(E2101=E$2:E2100)))))</f>
        <v/>
      </c>
      <c r="J2101" s="15" t="str">
        <f aca="true">IF(OR(E2101="",E2101="!!!",F2101="NEW"),"",COUNTBLANK(OFFSET(A$1,,,SUMPRODUCT(MAX(ROW(E$2:E2101)*(E2101=E$2:E2101)))))-COUNTBLANK(OFFSET(A$1,,,SUMPRODUCT(MAX(ROW(E$1:E2100)*(E2101=E$1:E2100))))))</f>
        <v/>
      </c>
      <c r="K2101" s="15" t="str">
        <f aca="false">IF(OR(E2101="",E2101="!!!",F2101="NEW"),"",INDEX(J$1:J2100,SUMPRODUCT(MAX(ROW(E$1:E2100)*(E2101=E$1:E2100)))))</f>
        <v/>
      </c>
      <c r="L2101" s="16"/>
    </row>
    <row r="2102" customFormat="false" ht="12.8" hidden="false" customHeight="false" outlineLevel="0" collapsed="false">
      <c r="A2102" s="0" t="s">
        <v>72</v>
      </c>
      <c r="B2102" s="0" t="s">
        <v>85</v>
      </c>
      <c r="C2102" s="0" t="s">
        <v>48</v>
      </c>
      <c r="D2102" s="0" t="s">
        <v>20</v>
      </c>
      <c r="E2102" s="10" t="s">
        <v>918</v>
      </c>
      <c r="F2102" s="11" t="s">
        <v>35</v>
      </c>
      <c r="G2102" s="12" t="s">
        <v>80</v>
      </c>
      <c r="H2102" s="13"/>
      <c r="I2102" s="14" t="e">
        <f aca="false">IF(OR(E2102="",E2102="!!!",F2102="NEW"),"",INDEX(B$2:B2101,-1+SUMPRODUCT(MAX(ROW(E$2:E2101)*(E2102=E$2:E2101)))))</f>
        <v>#VALUE!</v>
      </c>
      <c r="J2102" s="15" t="e">
        <f aca="true">IF(OR(E2102="",E2102="!!!",F2102="NEW"),"",COUNTBLANK(OFFSET(A$1,,,SUMPRODUCT(MAX(ROW(E$2:E2102)*(E2102=E$2:E2102)))))-COUNTBLANK(OFFSET(A$1,,,SUMPRODUCT(MAX(ROW(E$1:E2101)*(E2102=E$1:E2101))))))</f>
        <v>#VALUE!</v>
      </c>
      <c r="K2102" s="15" t="e">
        <f aca="false">IF(OR(E2102="",E2102="!!!",F2102="NEW"),"",INDEX(J$1:J2101,SUMPRODUCT(MAX(ROW(E$1:E2101)*(E2102=E$1:E2101)))))</f>
        <v>#VALUE!</v>
      </c>
      <c r="L2102" s="16" t="s">
        <v>928</v>
      </c>
    </row>
    <row r="2103" customFormat="false" ht="12.8" hidden="false" customHeight="false" outlineLevel="0" collapsed="false">
      <c r="A2103" s="0" t="s">
        <v>76</v>
      </c>
      <c r="E2103" s="10" t="str">
        <f aca="false">IF(D2103="?OLD","!!!","")</f>
        <v/>
      </c>
      <c r="F2103" s="11" t="str">
        <f aca="false">IF(OR(E2103="",E2103="!!!"),"",IF(NOT(ISNA(VLOOKUP(E2103,E$1:E2102,1,FALSE()))),"OLD",IF(AND(E2103&lt;&gt;"",E2103&lt;&gt;"!!!"),"NEW","")))</f>
        <v/>
      </c>
      <c r="G2103" s="12" t="str">
        <f aca="false">IF(OR(E2103="",E2103="!!!"),"",IF(OR(J2103=0,AND(J2103=1,K2103=1),AND(J2103=1,I2103="SBJ"),AND(J2103=1,I2103=0)),"?IN_FOCUS",IF(J2103&lt;=2,"?ACTIVATED",IF(J2103&lt;&gt;"","?FAMILIAR",IF(F2103="NEW",IF(ISNA(VLOOKUP(E2103,#REF!,1,FALSE())),"?TYPE_IDENTIFIABLE","?REFERENTIAL"),"_")))))</f>
        <v/>
      </c>
      <c r="H2103" s="13" t="str">
        <f aca="false">IF(J2103&lt;&gt;1,"",IF(I2103="SBJ","CB","?"))</f>
        <v/>
      </c>
      <c r="I2103" s="14" t="str">
        <f aca="false">IF(OR(E2103="",E2103="!!!",F2103="NEW"),"",INDEX(B$2:B2102,-1+SUMPRODUCT(MAX(ROW(E$2:E2102)*(E2103=E$2:E2102)))))</f>
        <v/>
      </c>
      <c r="J2103" s="15" t="str">
        <f aca="true">IF(OR(E2103="",E2103="!!!",F2103="NEW"),"",COUNTBLANK(OFFSET(A$1,,,SUMPRODUCT(MAX(ROW(E$2:E2103)*(E2103=E$2:E2103)))))-COUNTBLANK(OFFSET(A$1,,,SUMPRODUCT(MAX(ROW(E$1:E2102)*(E2103=E$1:E2102))))))</f>
        <v/>
      </c>
      <c r="K2103" s="15" t="str">
        <f aca="false">IF(OR(E2103="",E2103="!!!",F2103="NEW"),"",INDEX(J$1:J2102,SUMPRODUCT(MAX(ROW(E$1:E2102)*(E2103=E$1:E2102)))))</f>
        <v/>
      </c>
      <c r="L2103" s="16"/>
    </row>
    <row r="2104" customFormat="false" ht="12.8" hidden="false" customHeight="false" outlineLevel="0" collapsed="false">
      <c r="E2104" s="10" t="str">
        <f aca="false">IF(D2104="?OLD","!!!","")</f>
        <v/>
      </c>
      <c r="F2104" s="11" t="str">
        <f aca="false">IF(OR(E2104="",E2104="!!!"),"",IF(NOT(ISNA(VLOOKUP(E2104,E$1:E2103,1,FALSE()))),"OLD",IF(AND(E2104&lt;&gt;"",E2104&lt;&gt;"!!!"),"NEW","")))</f>
        <v/>
      </c>
      <c r="G2104" s="12" t="str">
        <f aca="false">IF(OR(E2104="",E2104="!!!"),"",IF(OR(J2104=0,AND(J2104=1,K2104=1),AND(J2104=1,I2104="SBJ"),AND(J2104=1,I2104=0)),"?IN_FOCUS",IF(J2104&lt;=2,"?ACTIVATED",IF(J2104&lt;&gt;"","?FAMILIAR",IF(F2104="NEW",IF(ISNA(VLOOKUP(E2104,#REF!,1,FALSE())),"?TYPE_IDENTIFIABLE","?REFERENTIAL"),"_")))))</f>
        <v/>
      </c>
      <c r="H2104" s="13" t="str">
        <f aca="false">IF(J2104&lt;&gt;1,"",IF(I2104="SBJ","CB","?"))</f>
        <v/>
      </c>
      <c r="I2104" s="14" t="str">
        <f aca="false">IF(OR(E2104="",E2104="!!!",F2104="NEW"),"",INDEX(B$2:B2103,-1+SUMPRODUCT(MAX(ROW(E$2:E2103)*(E2104=E$2:E2103)))))</f>
        <v/>
      </c>
      <c r="J2104" s="15" t="str">
        <f aca="true">IF(OR(E2104="",E2104="!!!",F2104="NEW"),"",COUNTBLANK(OFFSET(A$1,,,SUMPRODUCT(MAX(ROW(E$2:E2104)*(E2104=E$2:E2104)))))-COUNTBLANK(OFFSET(A$1,,,SUMPRODUCT(MAX(ROW(E$1:E2103)*(E2104=E$1:E2103))))))</f>
        <v/>
      </c>
      <c r="K2104" s="15" t="str">
        <f aca="false">IF(OR(E2104="",E2104="!!!",F2104="NEW"),"",INDEX(J$1:J2103,SUMPRODUCT(MAX(ROW(E$1:E2103)*(E2104=E$1:E2103)))))</f>
        <v/>
      </c>
      <c r="L2104" s="16"/>
    </row>
    <row r="2105" customFormat="false" ht="12.8" hidden="false" customHeight="false" outlineLevel="0" collapsed="false">
      <c r="A2105" s="0" t="s">
        <v>929</v>
      </c>
      <c r="E2105" s="10" t="str">
        <f aca="false">IF(D2105="?OLD","!!!","")</f>
        <v/>
      </c>
      <c r="F2105" s="11" t="str">
        <f aca="false">IF(OR(E2105="",E2105="!!!"),"",IF(NOT(ISNA(VLOOKUP(E2105,E$1:E2104,1,FALSE()))),"OLD",IF(AND(E2105&lt;&gt;"",E2105&lt;&gt;"!!!"),"NEW","")))</f>
        <v/>
      </c>
      <c r="G2105" s="12" t="str">
        <f aca="false">IF(OR(E2105="",E2105="!!!"),"",IF(OR(J2105=0,AND(J2105=1,K2105=1),AND(J2105=1,I2105="SBJ"),AND(J2105=1,I2105=0)),"?IN_FOCUS",IF(J2105&lt;=2,"?ACTIVATED",IF(J2105&lt;&gt;"","?FAMILIAR",IF(F2105="NEW",IF(ISNA(VLOOKUP(E2105,#REF!,1,FALSE())),"?TYPE_IDENTIFIABLE","?REFERENTIAL"),"_")))))</f>
        <v/>
      </c>
      <c r="H2105" s="13" t="str">
        <f aca="false">IF(J2105&lt;&gt;1,"",IF(I2105="SBJ","CB","?"))</f>
        <v/>
      </c>
      <c r="I2105" s="14" t="str">
        <f aca="false">IF(OR(E2105="",E2105="!!!",F2105="NEW"),"",INDEX(B$2:B2104,-1+SUMPRODUCT(MAX(ROW(E$2:E2104)*(E2105=E$2:E2104)))))</f>
        <v/>
      </c>
      <c r="J2105" s="15" t="str">
        <f aca="true">IF(OR(E2105="",E2105="!!!",F2105="NEW"),"",COUNTBLANK(OFFSET(A$1,,,SUMPRODUCT(MAX(ROW(E$2:E2105)*(E2105=E$2:E2105)))))-COUNTBLANK(OFFSET(A$1,,,SUMPRODUCT(MAX(ROW(E$1:E2104)*(E2105=E$1:E2104))))))</f>
        <v/>
      </c>
      <c r="K2105" s="15" t="str">
        <f aca="false">IF(OR(E2105="",E2105="!!!",F2105="NEW"),"",INDEX(J$1:J2104,SUMPRODUCT(MAX(ROW(E$1:E2104)*(E2105=E$1:E2104)))))</f>
        <v/>
      </c>
      <c r="L2105" s="16"/>
    </row>
    <row r="2106" customFormat="false" ht="12.8" hidden="false" customHeight="false" outlineLevel="0" collapsed="false">
      <c r="A2106" s="0" t="s">
        <v>46</v>
      </c>
      <c r="B2106" s="0" t="s">
        <v>34</v>
      </c>
      <c r="C2106" s="0" t="s">
        <v>48</v>
      </c>
      <c r="D2106" s="0" t="s">
        <v>20</v>
      </c>
      <c r="E2106" s="10" t="s">
        <v>49</v>
      </c>
      <c r="F2106" s="11" t="str">
        <f aca="false">IF(OR(E2106="",E2106="!!!"),"",IF(NOT(ISNA(VLOOKUP(E2106,E$1:E2105,1,FALSE()))),"OLD",IF(AND(E2106&lt;&gt;"",E2106&lt;&gt;"!!!"),"NEW","")))</f>
        <v>OLD</v>
      </c>
      <c r="G2106" s="12" t="s">
        <v>36</v>
      </c>
      <c r="H2106" s="13" t="str">
        <f aca="false">IF(J2106&lt;&gt;1,"",IF(I2106="SBJ","CB","?"))</f>
        <v/>
      </c>
      <c r="I2106" s="14" t="str">
        <f aca="false">IF(OR(E2106="",E2106="!!!",F2106="NEW"),"",INDEX(B$2:B2105,-1+SUMPRODUCT(MAX(ROW(E$2:E2105)*(E2106=E$2:E2105)))))</f>
        <v>other_2</v>
      </c>
      <c r="J2106" s="15" t="n">
        <f aca="true">IF(OR(E2106="",E2106="!!!",F2106="NEW"),"",COUNTBLANK(OFFSET(A$1,,,SUMPRODUCT(MAX(ROW(E$2:E2106)*(E2106=E$2:E2106)))))-COUNTBLANK(OFFSET(A$1,,,SUMPRODUCT(MAX(ROW(E$1:E2105)*(E2106=E$1:E2105))))))</f>
        <v>6</v>
      </c>
      <c r="K2106" s="15" t="n">
        <f aca="false">IF(OR(E2106="",E2106="!!!",F2106="NEW"),"",INDEX(J$1:J2105,SUMPRODUCT(MAX(ROW(E$1:E2105)*(E2106=E$1:E2105)))))</f>
        <v>3</v>
      </c>
      <c r="L2106" s="16"/>
    </row>
    <row r="2107" customFormat="false" ht="12.8" hidden="false" customHeight="false" outlineLevel="0" collapsed="false">
      <c r="A2107" s="0" t="s">
        <v>88</v>
      </c>
      <c r="E2107" s="10" t="str">
        <f aca="false">IF(D2107="?OLD","!!!","")</f>
        <v/>
      </c>
      <c r="F2107" s="11" t="str">
        <f aca="false">IF(OR(E2107="",E2107="!!!"),"",IF(NOT(ISNA(VLOOKUP(E2107,E$1:E2106,1,FALSE()))),"OLD",IF(AND(E2107&lt;&gt;"",E2107&lt;&gt;"!!!"),"NEW","")))</f>
        <v/>
      </c>
      <c r="G2107" s="12" t="str">
        <f aca="false">IF(OR(E2107="",E2107="!!!"),"",IF(OR(J2107=0,AND(J2107=1,K2107=1),AND(J2107=1,I2107="SBJ"),AND(J2107=1,I2107=0)),"?IN_FOCUS",IF(J2107&lt;=2,"?ACTIVATED",IF(J2107&lt;&gt;"","?FAMILIAR",IF(F2107="NEW",IF(ISNA(VLOOKUP(E2107,#REF!,1,FALSE())),"?TYPE_IDENTIFIABLE","?REFERENTIAL"),"_")))))</f>
        <v/>
      </c>
      <c r="H2107" s="13" t="str">
        <f aca="false">IF(J2107&lt;&gt;1,"",IF(I2107="SBJ","CB","?"))</f>
        <v/>
      </c>
      <c r="I2107" s="14" t="str">
        <f aca="false">IF(OR(E2107="",E2107="!!!",F2107="NEW"),"",INDEX(B$2:B2106,-1+SUMPRODUCT(MAX(ROW(E$2:E2106)*(E2107=E$2:E2106)))))</f>
        <v/>
      </c>
      <c r="J2107" s="15" t="str">
        <f aca="true">IF(OR(E2107="",E2107="!!!",F2107="NEW"),"",COUNTBLANK(OFFSET(A$1,,,SUMPRODUCT(MAX(ROW(E$2:E2107)*(E2107=E$2:E2107)))))-COUNTBLANK(OFFSET(A$1,,,SUMPRODUCT(MAX(ROW(E$1:E2106)*(E2107=E$1:E2106))))))</f>
        <v/>
      </c>
      <c r="K2107" s="15" t="str">
        <f aca="false">IF(OR(E2107="",E2107="!!!",F2107="NEW"),"",INDEX(J$1:J2106,SUMPRODUCT(MAX(ROW(E$1:E2106)*(E2107=E$1:E2106)))))</f>
        <v/>
      </c>
      <c r="L2107" s="16"/>
    </row>
    <row r="2108" customFormat="false" ht="12.8" hidden="false" customHeight="false" outlineLevel="0" collapsed="false">
      <c r="A2108" s="0" t="s">
        <v>72</v>
      </c>
      <c r="B2108" s="0" t="s">
        <v>85</v>
      </c>
      <c r="C2108" s="0" t="s">
        <v>48</v>
      </c>
      <c r="D2108" s="0" t="s">
        <v>20</v>
      </c>
      <c r="E2108" s="10" t="s">
        <v>918</v>
      </c>
      <c r="F2108" s="11" t="str">
        <f aca="false">IF(OR(E2108="",E2108="!!!"),"",IF(NOT(ISNA(VLOOKUP(E2108,E$1:E2107,1,FALSE()))),"OLD",IF(AND(E2108&lt;&gt;"",E2108&lt;&gt;"!!!"),"NEW","")))</f>
        <v>OLD</v>
      </c>
      <c r="G2108" s="12" t="s">
        <v>87</v>
      </c>
      <c r="H2108" s="13" t="s">
        <v>7</v>
      </c>
      <c r="I2108" s="14" t="str">
        <f aca="false">IF(OR(E2108="",E2108="!!!",F2108="NEW"),"",INDEX(B$2:B2107,-1+SUMPRODUCT(MAX(ROW(E$2:E2107)*(E2108=E$2:E2107)))))</f>
        <v>OBJ</v>
      </c>
      <c r="J2108" s="15" t="n">
        <f aca="true">IF(OR(E2108="",E2108="!!!",F2108="NEW"),"",COUNTBLANK(OFFSET(A$1,,,SUMPRODUCT(MAX(ROW(E$2:E2108)*(E2108=E$2:E2108)))))-COUNTBLANK(OFFSET(A$1,,,SUMPRODUCT(MAX(ROW(E$1:E2107)*(E2108=E$1:E2107))))))</f>
        <v>1</v>
      </c>
      <c r="K2108" s="15" t="e">
        <f aca="false">IF(OR(E2108="",E2108="!!!",F2108="NEW"),"",INDEX(J$1:J2107,SUMPRODUCT(MAX(ROW(E$1:E2107)*(E2108=E$1:E2107)))))</f>
        <v>#VALUE!</v>
      </c>
      <c r="L2108" s="16" t="s">
        <v>930</v>
      </c>
    </row>
    <row r="2109" customFormat="false" ht="12.8" hidden="false" customHeight="false" outlineLevel="0" collapsed="false">
      <c r="A2109" s="0" t="s">
        <v>931</v>
      </c>
      <c r="E2109" s="10" t="str">
        <f aca="false">IF(D2109="?OLD","!!!","")</f>
        <v/>
      </c>
      <c r="F2109" s="11" t="str">
        <f aca="false">IF(OR(E2109="",E2109="!!!"),"",IF(NOT(ISNA(VLOOKUP(E2109,E$1:E2108,1,FALSE()))),"OLD",IF(AND(E2109&lt;&gt;"",E2109&lt;&gt;"!!!"),"NEW","")))</f>
        <v/>
      </c>
      <c r="G2109" s="12" t="str">
        <f aca="false">IF(OR(E2109="",E2109="!!!"),"",IF(OR(J2109=0,AND(J2109=1,K2109=1),AND(J2109=1,I2109="SBJ"),AND(J2109=1,I2109=0)),"?IN_FOCUS",IF(J2109&lt;=2,"?ACTIVATED",IF(J2109&lt;&gt;"","?FAMILIAR",IF(F2109="NEW",IF(ISNA(VLOOKUP(E2109,#REF!,1,FALSE())),"?TYPE_IDENTIFIABLE","?REFERENTIAL"),"_")))))</f>
        <v/>
      </c>
      <c r="H2109" s="13" t="str">
        <f aca="false">IF(J2109&lt;&gt;1,"",IF(I2109="SBJ","CB","?"))</f>
        <v/>
      </c>
      <c r="I2109" s="14" t="str">
        <f aca="false">IF(OR(E2109="",E2109="!!!",F2109="NEW"),"",INDEX(B$2:B2108,-1+SUMPRODUCT(MAX(ROW(E$2:E2108)*(E2109=E$2:E2108)))))</f>
        <v/>
      </c>
      <c r="J2109" s="15" t="str">
        <f aca="true">IF(OR(E2109="",E2109="!!!",F2109="NEW"),"",COUNTBLANK(OFFSET(A$1,,,SUMPRODUCT(MAX(ROW(E$2:E2109)*(E2109=E$2:E2109)))))-COUNTBLANK(OFFSET(A$1,,,SUMPRODUCT(MAX(ROW(E$1:E2108)*(E2109=E$1:E2108))))))</f>
        <v/>
      </c>
      <c r="K2109" s="15" t="str">
        <f aca="false">IF(OR(E2109="",E2109="!!!",F2109="NEW"),"",INDEX(J$1:J2108,SUMPRODUCT(MAX(ROW(E$1:E2108)*(E2109=E$1:E2108)))))</f>
        <v/>
      </c>
      <c r="L2109" s="16"/>
    </row>
    <row r="2110" customFormat="false" ht="12.8" hidden="false" customHeight="false" outlineLevel="0" collapsed="false">
      <c r="A2110" s="0" t="s">
        <v>76</v>
      </c>
      <c r="E2110" s="10" t="str">
        <f aca="false">IF(D2110="?OLD","!!!","")</f>
        <v/>
      </c>
      <c r="F2110" s="11" t="str">
        <f aca="false">IF(OR(E2110="",E2110="!!!"),"",IF(NOT(ISNA(VLOOKUP(E2110,E$1:E2109,1,FALSE()))),"OLD",IF(AND(E2110&lt;&gt;"",E2110&lt;&gt;"!!!"),"NEW","")))</f>
        <v/>
      </c>
      <c r="G2110" s="12" t="str">
        <f aca="false">IF(OR(E2110="",E2110="!!!"),"",IF(OR(J2110=0,AND(J2110=1,K2110=1),AND(J2110=1,I2110="SBJ"),AND(J2110=1,I2110=0)),"?IN_FOCUS",IF(J2110&lt;=2,"?ACTIVATED",IF(J2110&lt;&gt;"","?FAMILIAR",IF(F2110="NEW",IF(ISNA(VLOOKUP(E2110,#REF!,1,FALSE())),"?TYPE_IDENTIFIABLE","?REFERENTIAL"),"_")))))</f>
        <v/>
      </c>
      <c r="H2110" s="13" t="str">
        <f aca="false">IF(J2110&lt;&gt;1,"",IF(I2110="SBJ","CB","?"))</f>
        <v/>
      </c>
      <c r="I2110" s="14" t="str">
        <f aca="false">IF(OR(E2110="",E2110="!!!",F2110="NEW"),"",INDEX(B$2:B2109,-1+SUMPRODUCT(MAX(ROW(E$2:E2109)*(E2110=E$2:E2109)))))</f>
        <v/>
      </c>
      <c r="J2110" s="15" t="str">
        <f aca="true">IF(OR(E2110="",E2110="!!!",F2110="NEW"),"",COUNTBLANK(OFFSET(A$1,,,SUMPRODUCT(MAX(ROW(E$2:E2110)*(E2110=E$2:E2110)))))-COUNTBLANK(OFFSET(A$1,,,SUMPRODUCT(MAX(ROW(E$1:E2109)*(E2110=E$1:E2109))))))</f>
        <v/>
      </c>
      <c r="K2110" s="15" t="str">
        <f aca="false">IF(OR(E2110="",E2110="!!!",F2110="NEW"),"",INDEX(J$1:J2109,SUMPRODUCT(MAX(ROW(E$1:E2109)*(E2110=E$1:E2109)))))</f>
        <v/>
      </c>
      <c r="L2110" s="16"/>
    </row>
    <row r="2111" customFormat="false" ht="12.8" hidden="false" customHeight="false" outlineLevel="0" collapsed="false">
      <c r="E2111" s="10" t="str">
        <f aca="false">IF(D2111="?OLD","!!!","")</f>
        <v/>
      </c>
      <c r="F2111" s="11" t="str">
        <f aca="false">IF(OR(E2111="",E2111="!!!"),"",IF(NOT(ISNA(VLOOKUP(E2111,E$1:E2110,1,FALSE()))),"OLD",IF(AND(E2111&lt;&gt;"",E2111&lt;&gt;"!!!"),"NEW","")))</f>
        <v/>
      </c>
      <c r="G2111" s="12" t="str">
        <f aca="false">IF(OR(E2111="",E2111="!!!"),"",IF(OR(J2111=0,AND(J2111=1,K2111=1),AND(J2111=1,I2111="SBJ"),AND(J2111=1,I2111=0)),"?IN_FOCUS",IF(J2111&lt;=2,"?ACTIVATED",IF(J2111&lt;&gt;"","?FAMILIAR",IF(F2111="NEW",IF(ISNA(VLOOKUP(E2111,#REF!,1,FALSE())),"?TYPE_IDENTIFIABLE","?REFERENTIAL"),"_")))))</f>
        <v/>
      </c>
      <c r="H2111" s="13" t="str">
        <f aca="false">IF(J2111&lt;&gt;1,"",IF(I2111="SBJ","CB","?"))</f>
        <v/>
      </c>
      <c r="I2111" s="14" t="str">
        <f aca="false">IF(OR(E2111="",E2111="!!!",F2111="NEW"),"",INDEX(B$2:B2110,-1+SUMPRODUCT(MAX(ROW(E$2:E2110)*(E2111=E$2:E2110)))))</f>
        <v/>
      </c>
      <c r="J2111" s="15" t="str">
        <f aca="true">IF(OR(E2111="",E2111="!!!",F2111="NEW"),"",COUNTBLANK(OFFSET(A$1,,,SUMPRODUCT(MAX(ROW(E$2:E2111)*(E2111=E$2:E2111)))))-COUNTBLANK(OFFSET(A$1,,,SUMPRODUCT(MAX(ROW(E$1:E2110)*(E2111=E$1:E2110))))))</f>
        <v/>
      </c>
      <c r="K2111" s="15" t="str">
        <f aca="false">IF(OR(E2111="",E2111="!!!",F2111="NEW"),"",INDEX(J$1:J2110,SUMPRODUCT(MAX(ROW(E$1:E2110)*(E2111=E$1:E2110)))))</f>
        <v/>
      </c>
      <c r="L2111" s="16"/>
    </row>
    <row r="2112" customFormat="false" ht="12.8" hidden="false" customHeight="false" outlineLevel="0" collapsed="false">
      <c r="A2112" s="0" t="s">
        <v>256</v>
      </c>
      <c r="E2112" s="10" t="str">
        <f aca="false">IF(D2112="?OLD","!!!","")</f>
        <v/>
      </c>
      <c r="F2112" s="11" t="str">
        <f aca="false">IF(OR(E2112="",E2112="!!!"),"",IF(NOT(ISNA(VLOOKUP(E2112,E$1:E2111,1,FALSE()))),"OLD",IF(AND(E2112&lt;&gt;"",E2112&lt;&gt;"!!!"),"NEW","")))</f>
        <v/>
      </c>
      <c r="G2112" s="12" t="str">
        <f aca="false">IF(OR(E2112="",E2112="!!!"),"",IF(OR(J2112=0,AND(J2112=1,K2112=1),AND(J2112=1,I2112="SBJ"),AND(J2112=1,I2112=0)),"?IN_FOCUS",IF(J2112&lt;=2,"?ACTIVATED",IF(J2112&lt;&gt;"","?FAMILIAR",IF(F2112="NEW",IF(ISNA(VLOOKUP(E2112,#REF!,1,FALSE())),"?TYPE_IDENTIFIABLE","?REFERENTIAL"),"_")))))</f>
        <v/>
      </c>
      <c r="H2112" s="13" t="str">
        <f aca="false">IF(J2112&lt;&gt;1,"",IF(I2112="SBJ","CB","?"))</f>
        <v/>
      </c>
      <c r="I2112" s="14" t="str">
        <f aca="false">IF(OR(E2112="",E2112="!!!",F2112="NEW"),"",INDEX(B$2:B2111,-1+SUMPRODUCT(MAX(ROW(E$2:E2111)*(E2112=E$2:E2111)))))</f>
        <v/>
      </c>
      <c r="J2112" s="15" t="str">
        <f aca="true">IF(OR(E2112="",E2112="!!!",F2112="NEW"),"",COUNTBLANK(OFFSET(A$1,,,SUMPRODUCT(MAX(ROW(E$2:E2112)*(E2112=E$2:E2112)))))-COUNTBLANK(OFFSET(A$1,,,SUMPRODUCT(MAX(ROW(E$1:E2111)*(E2112=E$1:E2111))))))</f>
        <v/>
      </c>
      <c r="K2112" s="15" t="str">
        <f aca="false">IF(OR(E2112="",E2112="!!!",F2112="NEW"),"",INDEX(J$1:J2111,SUMPRODUCT(MAX(ROW(E$1:E2111)*(E2112=E$1:E2111)))))</f>
        <v/>
      </c>
      <c r="L2112" s="16"/>
    </row>
    <row r="2113" customFormat="false" ht="12.8" hidden="false" customHeight="false" outlineLevel="0" collapsed="false">
      <c r="A2113" s="0" t="s">
        <v>257</v>
      </c>
      <c r="E2113" s="10" t="str">
        <f aca="false">IF(D2113="?OLD","!!!","")</f>
        <v/>
      </c>
      <c r="F2113" s="11" t="str">
        <f aca="false">IF(OR(E2113="",E2113="!!!"),"",IF(NOT(ISNA(VLOOKUP(E2113,E$1:E2112,1,FALSE()))),"OLD",IF(AND(E2113&lt;&gt;"",E2113&lt;&gt;"!!!"),"NEW","")))</f>
        <v/>
      </c>
      <c r="G2113" s="12" t="str">
        <f aca="false">IF(OR(E2113="",E2113="!!!"),"",IF(OR(J2113=0,AND(J2113=1,K2113=1),AND(J2113=1,I2113="SBJ"),AND(J2113=1,I2113=0)),"?IN_FOCUS",IF(J2113&lt;=2,"?ACTIVATED",IF(J2113&lt;&gt;"","?FAMILIAR",IF(F2113="NEW",IF(ISNA(VLOOKUP(E2113,#REF!,1,FALSE())),"?TYPE_IDENTIFIABLE","?REFERENTIAL"),"_")))))</f>
        <v/>
      </c>
      <c r="H2113" s="13" t="str">
        <f aca="false">IF(J2113&lt;&gt;1,"",IF(I2113="SBJ","CB","?"))</f>
        <v/>
      </c>
      <c r="I2113" s="14" t="str">
        <f aca="false">IF(OR(E2113="",E2113="!!!",F2113="NEW"),"",INDEX(B$2:B2112,-1+SUMPRODUCT(MAX(ROW(E$2:E2112)*(E2113=E$2:E2112)))))</f>
        <v/>
      </c>
      <c r="J2113" s="15" t="str">
        <f aca="true">IF(OR(E2113="",E2113="!!!",F2113="NEW"),"",COUNTBLANK(OFFSET(A$1,,,SUMPRODUCT(MAX(ROW(E$2:E2113)*(E2113=E$2:E2113)))))-COUNTBLANK(OFFSET(A$1,,,SUMPRODUCT(MAX(ROW(E$1:E2112)*(E2113=E$1:E2112))))))</f>
        <v/>
      </c>
      <c r="K2113" s="15" t="str">
        <f aca="false">IF(OR(E2113="",E2113="!!!",F2113="NEW"),"",INDEX(J$1:J2112,SUMPRODUCT(MAX(ROW(E$1:E2112)*(E2113=E$1:E2112)))))</f>
        <v/>
      </c>
      <c r="L2113" s="16"/>
    </row>
    <row r="2114" customFormat="false" ht="12.8" hidden="false" customHeight="false" outlineLevel="0" collapsed="false">
      <c r="A2114" s="0" t="s">
        <v>258</v>
      </c>
      <c r="B2114" s="0" t="s">
        <v>14</v>
      </c>
      <c r="C2114" s="0" t="s">
        <v>19</v>
      </c>
      <c r="D2114" s="0" t="s">
        <v>20</v>
      </c>
      <c r="E2114" s="10"/>
      <c r="F2114" s="11" t="str">
        <f aca="false">IF(OR(E2114="",E2114="!!!"),"",IF(NOT(ISNA(VLOOKUP(E2114,E$1:E2113,1,FALSE()))),"OLD",IF(AND(E2114&lt;&gt;"",E2114&lt;&gt;"!!!"),"NEW","")))</f>
        <v/>
      </c>
      <c r="G2114" s="12" t="str">
        <f aca="false">IF(OR(E2114="",E2114="!!!"),"",IF(OR(J2114=0,AND(J2114=1,K2114=1),AND(J2114=1,I2114="SBJ"),AND(J2114=1,I2114=0)),"?IN_FOCUS",IF(J2114&lt;=2,"?ACTIVATED",IF(J2114&lt;&gt;"","?FAMILIAR",IF(F2114="NEW",IF(ISNA(VLOOKUP(E2114,#REF!,1,FALSE())),"?TYPE_IDENTIFIABLE","?REFERENTIAL"),"_")))))</f>
        <v/>
      </c>
      <c r="H2114" s="13" t="str">
        <f aca="false">IF(J2114&lt;&gt;1,"",IF(I2114="SBJ","CB","?"))</f>
        <v/>
      </c>
      <c r="I2114" s="14" t="str">
        <f aca="false">IF(OR(E2114="",E2114="!!!",F2114="NEW"),"",INDEX(B$2:B2113,-1+SUMPRODUCT(MAX(ROW(E$2:E2113)*(E2114=E$2:E2113)))))</f>
        <v/>
      </c>
      <c r="J2114" s="15" t="str">
        <f aca="true">IF(OR(E2114="",E2114="!!!",F2114="NEW"),"",COUNTBLANK(OFFSET(A$1,,,SUMPRODUCT(MAX(ROW(E$2:E2114)*(E2114=E$2:E2114)))))-COUNTBLANK(OFFSET(A$1,,,SUMPRODUCT(MAX(ROW(E$1:E2113)*(E2114=E$1:E2113))))))</f>
        <v/>
      </c>
      <c r="K2114" s="15" t="str">
        <f aca="false">IF(OR(E2114="",E2114="!!!",F2114="NEW"),"",INDEX(J$1:J2113,SUMPRODUCT(MAX(ROW(E$1:E2113)*(E2114=E$1:E2113)))))</f>
        <v/>
      </c>
      <c r="L2114" s="16" t="s">
        <v>259</v>
      </c>
    </row>
    <row r="2115" customFormat="false" ht="12.8" hidden="false" customHeight="false" outlineLevel="0" collapsed="false">
      <c r="A2115" s="0" t="s">
        <v>260</v>
      </c>
      <c r="E2115" s="10" t="str">
        <f aca="false">IF(D2115="?OLD","!!!","")</f>
        <v/>
      </c>
      <c r="F2115" s="11" t="str">
        <f aca="false">IF(OR(E2115="",E2115="!!!"),"",IF(NOT(ISNA(VLOOKUP(E2115,E$1:E2114,1,FALSE()))),"OLD",IF(AND(E2115&lt;&gt;"",E2115&lt;&gt;"!!!"),"NEW","")))</f>
        <v/>
      </c>
      <c r="G2115" s="12" t="str">
        <f aca="false">IF(OR(E2115="",E2115="!!!"),"",IF(OR(J2115=0,AND(J2115=1,K2115=1),AND(J2115=1,I2115="SBJ"),AND(J2115=1,I2115=0)),"?IN_FOCUS",IF(J2115&lt;=2,"?ACTIVATED",IF(J2115&lt;&gt;"","?FAMILIAR",IF(F2115="NEW",IF(ISNA(VLOOKUP(E2115,#REF!,1,FALSE())),"?TYPE_IDENTIFIABLE","?REFERENTIAL"),"_")))))</f>
        <v/>
      </c>
      <c r="H2115" s="13" t="str">
        <f aca="false">IF(J2115&lt;&gt;1,"",IF(I2115="SBJ","CB","?"))</f>
        <v/>
      </c>
      <c r="I2115" s="14" t="str">
        <f aca="false">IF(OR(E2115="",E2115="!!!",F2115="NEW"),"",INDEX(B$2:B2114,-1+SUMPRODUCT(MAX(ROW(E$2:E2114)*(E2115=E$2:E2114)))))</f>
        <v/>
      </c>
      <c r="J2115" s="15" t="str">
        <f aca="true">IF(OR(E2115="",E2115="!!!",F2115="NEW"),"",COUNTBLANK(OFFSET(A$1,,,SUMPRODUCT(MAX(ROW(E$2:E2115)*(E2115=E$2:E2115)))))-COUNTBLANK(OFFSET(A$1,,,SUMPRODUCT(MAX(ROW(E$1:E2114)*(E2115=E$1:E2114))))))</f>
        <v/>
      </c>
      <c r="K2115" s="15" t="str">
        <f aca="false">IF(OR(E2115="",E2115="!!!",F2115="NEW"),"",INDEX(J$1:J2114,SUMPRODUCT(MAX(ROW(E$1:E2114)*(E2115=E$1:E2114)))))</f>
        <v/>
      </c>
      <c r="L2115" s="16"/>
    </row>
    <row r="2116" customFormat="false" ht="12.8" hidden="false" customHeight="false" outlineLevel="0" collapsed="false">
      <c r="E2116" s="10" t="str">
        <f aca="false">IF(D2116="?OLD","!!!","")</f>
        <v/>
      </c>
      <c r="F2116" s="11" t="str">
        <f aca="false">IF(OR(E2116="",E2116="!!!"),"",IF(NOT(ISNA(VLOOKUP(E2116,E$1:E2115,1,FALSE()))),"OLD",IF(AND(E2116&lt;&gt;"",E2116&lt;&gt;"!!!"),"NEW","")))</f>
        <v/>
      </c>
      <c r="G2116" s="12" t="str">
        <f aca="false">IF(OR(E2116="",E2116="!!!"),"",IF(OR(J2116=0,AND(J2116=1,K2116=1),AND(J2116=1,I2116="SBJ"),AND(J2116=1,I2116=0)),"?IN_FOCUS",IF(J2116&lt;=2,"?ACTIVATED",IF(J2116&lt;&gt;"","?FAMILIAR",IF(F2116="NEW",IF(ISNA(VLOOKUP(E2116,#REF!,1,FALSE())),"?TYPE_IDENTIFIABLE","?REFERENTIAL"),"_")))))</f>
        <v/>
      </c>
      <c r="H2116" s="13" t="str">
        <f aca="false">IF(J2116&lt;&gt;1,"",IF(I2116="SBJ","CB","?"))</f>
        <v/>
      </c>
      <c r="I2116" s="14" t="str">
        <f aca="false">IF(OR(E2116="",E2116="!!!",F2116="NEW"),"",INDEX(B$2:B2115,-1+SUMPRODUCT(MAX(ROW(E$2:E2115)*(E2116=E$2:E2115)))))</f>
        <v/>
      </c>
      <c r="J2116" s="15" t="str">
        <f aca="true">IF(OR(E2116="",E2116="!!!",F2116="NEW"),"",COUNTBLANK(OFFSET(A$1,,,SUMPRODUCT(MAX(ROW(E$2:E2116)*(E2116=E$2:E2116)))))-COUNTBLANK(OFFSET(A$1,,,SUMPRODUCT(MAX(ROW(E$1:E2115)*(E2116=E$1:E2115))))))</f>
        <v/>
      </c>
      <c r="K2116" s="15" t="str">
        <f aca="false">IF(OR(E2116="",E2116="!!!",F2116="NEW"),"",INDEX(J$1:J2115,SUMPRODUCT(MAX(ROW(E$1:E2115)*(E2116=E$1:E2115)))))</f>
        <v/>
      </c>
      <c r="L2116" s="16"/>
    </row>
    <row r="2117" customFormat="false" ht="12.8" hidden="false" customHeight="false" outlineLevel="0" collapsed="false">
      <c r="A2117" s="0" t="s">
        <v>932</v>
      </c>
      <c r="E2117" s="10" t="str">
        <f aca="false">IF(D2117="?OLD","!!!","")</f>
        <v/>
      </c>
      <c r="F2117" s="11" t="str">
        <f aca="false">IF(OR(E2117="",E2117="!!!"),"",IF(NOT(ISNA(VLOOKUP(E2117,E$1:E2116,1,FALSE()))),"OLD",IF(AND(E2117&lt;&gt;"",E2117&lt;&gt;"!!!"),"NEW","")))</f>
        <v/>
      </c>
      <c r="G2117" s="12" t="str">
        <f aca="false">IF(OR(E2117="",E2117="!!!"),"",IF(OR(J2117=0,AND(J2117=1,K2117=1),AND(J2117=1,I2117="SBJ"),AND(J2117=1,I2117=0)),"?IN_FOCUS",IF(J2117&lt;=2,"?ACTIVATED",IF(J2117&lt;&gt;"","?FAMILIAR",IF(F2117="NEW",IF(ISNA(VLOOKUP(E2117,#REF!,1,FALSE())),"?TYPE_IDENTIFIABLE","?REFERENTIAL"),"_")))))</f>
        <v/>
      </c>
      <c r="H2117" s="13" t="str">
        <f aca="false">IF(J2117&lt;&gt;1,"",IF(I2117="SBJ","CB","?"))</f>
        <v/>
      </c>
      <c r="I2117" s="14" t="str">
        <f aca="false">IF(OR(E2117="",E2117="!!!",F2117="NEW"),"",INDEX(B$2:B2116,-1+SUMPRODUCT(MAX(ROW(E$2:E2116)*(E2117=E$2:E2116)))))</f>
        <v/>
      </c>
      <c r="J2117" s="15" t="str">
        <f aca="true">IF(OR(E2117="",E2117="!!!",F2117="NEW"),"",COUNTBLANK(OFFSET(A$1,,,SUMPRODUCT(MAX(ROW(E$2:E2117)*(E2117=E$2:E2117)))))-COUNTBLANK(OFFSET(A$1,,,SUMPRODUCT(MAX(ROW(E$1:E2116)*(E2117=E$1:E2116))))))</f>
        <v/>
      </c>
      <c r="K2117" s="15" t="str">
        <f aca="false">IF(OR(E2117="",E2117="!!!",F2117="NEW"),"",INDEX(J$1:J2116,SUMPRODUCT(MAX(ROW(E$1:E2116)*(E2117=E$1:E2116)))))</f>
        <v/>
      </c>
      <c r="L2117" s="16"/>
    </row>
    <row r="2118" customFormat="false" ht="12.8" hidden="false" customHeight="false" outlineLevel="0" collapsed="false">
      <c r="A2118" s="0" t="s">
        <v>46</v>
      </c>
      <c r="B2118" s="0" t="s">
        <v>34</v>
      </c>
      <c r="C2118" s="0" t="s">
        <v>48</v>
      </c>
      <c r="D2118" s="0" t="s">
        <v>20</v>
      </c>
      <c r="E2118" s="10" t="s">
        <v>49</v>
      </c>
      <c r="F2118" s="11" t="str">
        <f aca="false">IF(OR(E2118="",E2118="!!!"),"",IF(NOT(ISNA(VLOOKUP(E2118,E$1:E2117,1,FALSE()))),"OLD",IF(AND(E2118&lt;&gt;"",E2118&lt;&gt;"!!!"),"NEW","")))</f>
        <v>OLD</v>
      </c>
      <c r="G2118" s="12" t="s">
        <v>87</v>
      </c>
      <c r="H2118" s="13" t="s">
        <v>7</v>
      </c>
      <c r="I2118" s="14" t="str">
        <f aca="false">IF(OR(E2118="",E2118="!!!",F2118="NEW"),"",INDEX(B$2:B2117,-1+SUMPRODUCT(MAX(ROW(E$2:E2117)*(E2118=E$2:E2117)))))</f>
        <v>SBJ</v>
      </c>
      <c r="J2118" s="15" t="n">
        <f aca="true">IF(OR(E2118="",E2118="!!!",F2118="NEW"),"",COUNTBLANK(OFFSET(A$1,,,SUMPRODUCT(MAX(ROW(E$2:E2118)*(E2118=E$2:E2118)))))-COUNTBLANK(OFFSET(A$1,,,SUMPRODUCT(MAX(ROW(E$1:E2117)*(E2118=E$1:E2117))))))</f>
        <v>2</v>
      </c>
      <c r="K2118" s="15" t="n">
        <f aca="false">IF(OR(E2118="",E2118="!!!",F2118="NEW"),"",INDEX(J$1:J2117,SUMPRODUCT(MAX(ROW(E$1:E2117)*(E2118=E$1:E2117)))))</f>
        <v>6</v>
      </c>
      <c r="L2118" s="16" t="s">
        <v>933</v>
      </c>
    </row>
    <row r="2119" customFormat="false" ht="12.8" hidden="false" customHeight="false" outlineLevel="0" collapsed="false">
      <c r="A2119" s="0" t="s">
        <v>88</v>
      </c>
      <c r="E2119" s="10" t="str">
        <f aca="false">IF(D2119="?OLD","!!!","")</f>
        <v/>
      </c>
      <c r="F2119" s="11" t="str">
        <f aca="false">IF(OR(E2119="",E2119="!!!"),"",IF(NOT(ISNA(VLOOKUP(E2119,E$1:E2118,1,FALSE()))),"OLD",IF(AND(E2119&lt;&gt;"",E2119&lt;&gt;"!!!"),"NEW","")))</f>
        <v/>
      </c>
      <c r="G2119" s="12" t="str">
        <f aca="false">IF(OR(E2119="",E2119="!!!"),"",IF(OR(J2119=0,AND(J2119=1,K2119=1),AND(J2119=1,I2119="SBJ"),AND(J2119=1,I2119=0)),"?IN_FOCUS",IF(J2119&lt;=2,"?ACTIVATED",IF(J2119&lt;&gt;"","?FAMILIAR",IF(F2119="NEW",IF(ISNA(VLOOKUP(E2119,#REF!,1,FALSE())),"?TYPE_IDENTIFIABLE","?REFERENTIAL"),"_")))))</f>
        <v/>
      </c>
      <c r="H2119" s="13" t="str">
        <f aca="false">IF(J2119&lt;&gt;1,"",IF(I2119="SBJ","CB","?"))</f>
        <v/>
      </c>
      <c r="I2119" s="14" t="str">
        <f aca="false">IF(OR(E2119="",E2119="!!!",F2119="NEW"),"",INDEX(B$2:B2118,-1+SUMPRODUCT(MAX(ROW(E$2:E2118)*(E2119=E$2:E2118)))))</f>
        <v/>
      </c>
      <c r="J2119" s="15" t="str">
        <f aca="true">IF(OR(E2119="",E2119="!!!",F2119="NEW"),"",COUNTBLANK(OFFSET(A$1,,,SUMPRODUCT(MAX(ROW(E$2:E2119)*(E2119=E$2:E2119)))))-COUNTBLANK(OFFSET(A$1,,,SUMPRODUCT(MAX(ROW(E$1:E2118)*(E2119=E$1:E2118))))))</f>
        <v/>
      </c>
      <c r="K2119" s="15" t="str">
        <f aca="false">IF(OR(E2119="",E2119="!!!",F2119="NEW"),"",INDEX(J$1:J2118,SUMPRODUCT(MAX(ROW(E$1:E2118)*(E2119=E$1:E2118)))))</f>
        <v/>
      </c>
      <c r="L2119" s="16"/>
    </row>
    <row r="2120" customFormat="false" ht="12.8" hidden="false" customHeight="false" outlineLevel="0" collapsed="false">
      <c r="A2120" s="0" t="s">
        <v>72</v>
      </c>
      <c r="B2120" s="0" t="s">
        <v>85</v>
      </c>
      <c r="C2120" s="0" t="s">
        <v>48</v>
      </c>
      <c r="D2120" s="0" t="s">
        <v>20</v>
      </c>
      <c r="E2120" s="10" t="s">
        <v>918</v>
      </c>
      <c r="F2120" s="11" t="str">
        <f aca="false">IF(OR(E2120="",E2120="!!!"),"",IF(NOT(ISNA(VLOOKUP(E2120,E$1:E2119,1,FALSE()))),"OLD",IF(AND(E2120&lt;&gt;"",E2120&lt;&gt;"!!!"),"NEW","")))</f>
        <v>OLD</v>
      </c>
      <c r="G2120" s="12" t="s">
        <v>87</v>
      </c>
      <c r="H2120" s="13" t="str">
        <f aca="false">IF(J2120&lt;&gt;1,"",IF(I2120="SBJ","CB","?"))</f>
        <v/>
      </c>
      <c r="I2120" s="14" t="str">
        <f aca="false">IF(OR(E2120="",E2120="!!!",F2120="NEW"),"",INDEX(B$2:B2119,-1+SUMPRODUCT(MAX(ROW(E$2:E2119)*(E2120=E$2:E2119)))))</f>
        <v>OBJ</v>
      </c>
      <c r="J2120" s="15" t="n">
        <f aca="true">IF(OR(E2120="",E2120="!!!",F2120="NEW"),"",COUNTBLANK(OFFSET(A$1,,,SUMPRODUCT(MAX(ROW(E$2:E2120)*(E2120=E$2:E2120)))))-COUNTBLANK(OFFSET(A$1,,,SUMPRODUCT(MAX(ROW(E$1:E2119)*(E2120=E$1:E2119))))))</f>
        <v>2</v>
      </c>
      <c r="K2120" s="15" t="n">
        <f aca="false">IF(OR(E2120="",E2120="!!!",F2120="NEW"),"",INDEX(J$1:J2119,SUMPRODUCT(MAX(ROW(E$1:E2119)*(E2120=E$1:E2119)))))</f>
        <v>1</v>
      </c>
      <c r="L2120" s="16"/>
    </row>
    <row r="2121" customFormat="false" ht="12.8" hidden="false" customHeight="false" outlineLevel="0" collapsed="false">
      <c r="A2121" s="0" t="s">
        <v>106</v>
      </c>
      <c r="E2121" s="10" t="str">
        <f aca="false">IF(D2121="?OLD","!!!","")</f>
        <v/>
      </c>
      <c r="F2121" s="11" t="str">
        <f aca="false">IF(OR(E2121="",E2121="!!!"),"",IF(NOT(ISNA(VLOOKUP(E2121,E$1:E2120,1,FALSE()))),"OLD",IF(AND(E2121&lt;&gt;"",E2121&lt;&gt;"!!!"),"NEW","")))</f>
        <v/>
      </c>
      <c r="G2121" s="12" t="str">
        <f aca="false">IF(OR(E2121="",E2121="!!!"),"",IF(OR(J2121=0,AND(J2121=1,K2121=1),AND(J2121=1,I2121="SBJ"),AND(J2121=1,I2121=0)),"?IN_FOCUS",IF(J2121&lt;=2,"?ACTIVATED",IF(J2121&lt;&gt;"","?FAMILIAR",IF(F2121="NEW",IF(ISNA(VLOOKUP(E2121,#REF!,1,FALSE())),"?TYPE_IDENTIFIABLE","?REFERENTIAL"),"_")))))</f>
        <v/>
      </c>
      <c r="H2121" s="13" t="str">
        <f aca="false">IF(J2121&lt;&gt;1,"",IF(I2121="SBJ","CB","?"))</f>
        <v/>
      </c>
      <c r="I2121" s="14" t="str">
        <f aca="false">IF(OR(E2121="",E2121="!!!",F2121="NEW"),"",INDEX(B$2:B2120,-1+SUMPRODUCT(MAX(ROW(E$2:E2120)*(E2121=E$2:E2120)))))</f>
        <v/>
      </c>
      <c r="J2121" s="15" t="str">
        <f aca="true">IF(OR(E2121="",E2121="!!!",F2121="NEW"),"",COUNTBLANK(OFFSET(A$1,,,SUMPRODUCT(MAX(ROW(E$2:E2121)*(E2121=E$2:E2121)))))-COUNTBLANK(OFFSET(A$1,,,SUMPRODUCT(MAX(ROW(E$1:E2120)*(E2121=E$1:E2120))))))</f>
        <v/>
      </c>
      <c r="K2121" s="15" t="str">
        <f aca="false">IF(OR(E2121="",E2121="!!!",F2121="NEW"),"",INDEX(J$1:J2120,SUMPRODUCT(MAX(ROW(E$1:E2120)*(E2121=E$1:E2120)))))</f>
        <v/>
      </c>
      <c r="L2121" s="16"/>
    </row>
    <row r="2122" customFormat="false" ht="12.8" hidden="false" customHeight="false" outlineLevel="0" collapsed="false">
      <c r="A2122" s="0" t="s">
        <v>72</v>
      </c>
      <c r="B2122" s="0" t="s">
        <v>47</v>
      </c>
      <c r="C2122" s="0" t="s">
        <v>48</v>
      </c>
      <c r="D2122" s="0" t="s">
        <v>20</v>
      </c>
      <c r="E2122" s="10" t="s">
        <v>918</v>
      </c>
      <c r="F2122" s="11" t="str">
        <f aca="false">IF(OR(E2122="",E2122="!!!"),"",IF(NOT(ISNA(VLOOKUP(E2122,E$1:E2121,1,FALSE()))),"OLD",IF(AND(E2122&lt;&gt;"",E2122&lt;&gt;"!!!"),"NEW","")))</f>
        <v>OLD</v>
      </c>
      <c r="G2122" s="12" t="s">
        <v>87</v>
      </c>
      <c r="H2122" s="13" t="str">
        <f aca="false">IF(J2122&lt;&gt;1,"",IF(I2122="SBJ","CB","?"))</f>
        <v/>
      </c>
      <c r="I2122" s="14" t="str">
        <f aca="false">IF(OR(E2122="",E2122="!!!",F2122="NEW"),"",INDEX(B$2:B2121,-1+SUMPRODUCT(MAX(ROW(E$2:E2121)*(E2122=E$2:E2121)))))</f>
        <v>OBJ</v>
      </c>
      <c r="J2122" s="15" t="n">
        <f aca="true">IF(OR(E2122="",E2122="!!!",F2122="NEW"),"",COUNTBLANK(OFFSET(A$1,,,SUMPRODUCT(MAX(ROW(E$2:E2122)*(E2122=E$2:E2122)))))-COUNTBLANK(OFFSET(A$1,,,SUMPRODUCT(MAX(ROW(E$1:E2121)*(E2122=E$1:E2121))))))</f>
        <v>0</v>
      </c>
      <c r="K2122" s="15" t="n">
        <f aca="false">IF(OR(E2122="",E2122="!!!",F2122="NEW"),"",INDEX(J$1:J2121,SUMPRODUCT(MAX(ROW(E$1:E2121)*(E2122=E$1:E2121)))))</f>
        <v>2</v>
      </c>
      <c r="L2122" s="16"/>
    </row>
    <row r="2123" customFormat="false" ht="12.8" hidden="false" customHeight="false" outlineLevel="0" collapsed="false">
      <c r="A2123" s="0" t="s">
        <v>934</v>
      </c>
      <c r="E2123" s="10" t="str">
        <f aca="false">IF(D2123="?OLD","!!!","")</f>
        <v/>
      </c>
      <c r="F2123" s="11" t="str">
        <f aca="false">IF(OR(E2123="",E2123="!!!"),"",IF(NOT(ISNA(VLOOKUP(E2123,E$1:E2122,1,FALSE()))),"OLD",IF(AND(E2123&lt;&gt;"",E2123&lt;&gt;"!!!"),"NEW","")))</f>
        <v/>
      </c>
      <c r="G2123" s="12" t="str">
        <f aca="false">IF(OR(E2123="",E2123="!!!"),"",IF(OR(J2123=0,AND(J2123=1,K2123=1),AND(J2123=1,I2123="SBJ"),AND(J2123=1,I2123=0)),"?IN_FOCUS",IF(J2123&lt;=2,"?ACTIVATED",IF(J2123&lt;&gt;"","?FAMILIAR",IF(F2123="NEW",IF(ISNA(VLOOKUP(E2123,#REF!,1,FALSE())),"?TYPE_IDENTIFIABLE","?REFERENTIAL"),"_")))))</f>
        <v/>
      </c>
      <c r="H2123" s="13" t="str">
        <f aca="false">IF(J2123&lt;&gt;1,"",IF(I2123="SBJ","CB","?"))</f>
        <v/>
      </c>
      <c r="I2123" s="14" t="str">
        <f aca="false">IF(OR(E2123="",E2123="!!!",F2123="NEW"),"",INDEX(B$2:B2122,-1+SUMPRODUCT(MAX(ROW(E$2:E2122)*(E2123=E$2:E2122)))))</f>
        <v/>
      </c>
      <c r="J2123" s="15" t="str">
        <f aca="true">IF(OR(E2123="",E2123="!!!",F2123="NEW"),"",COUNTBLANK(OFFSET(A$1,,,SUMPRODUCT(MAX(ROW(E$2:E2123)*(E2123=E$2:E2123)))))-COUNTBLANK(OFFSET(A$1,,,SUMPRODUCT(MAX(ROW(E$1:E2122)*(E2123=E$1:E2122))))))</f>
        <v/>
      </c>
      <c r="K2123" s="15" t="str">
        <f aca="false">IF(OR(E2123="",E2123="!!!",F2123="NEW"),"",INDEX(J$1:J2122,SUMPRODUCT(MAX(ROW(E$1:E2122)*(E2123=E$1:E2122)))))</f>
        <v/>
      </c>
      <c r="L2123" s="16"/>
    </row>
    <row r="2124" customFormat="false" ht="12.8" hidden="false" customHeight="false" outlineLevel="0" collapsed="false">
      <c r="A2124" s="0" t="s">
        <v>935</v>
      </c>
      <c r="E2124" s="10" t="str">
        <f aca="false">IF(D2124="?OLD","!!!","")</f>
        <v/>
      </c>
      <c r="F2124" s="11" t="str">
        <f aca="false">IF(OR(E2124="",E2124="!!!"),"",IF(NOT(ISNA(VLOOKUP(E2124,E$1:E2123,1,FALSE()))),"OLD",IF(AND(E2124&lt;&gt;"",E2124&lt;&gt;"!!!"),"NEW","")))</f>
        <v/>
      </c>
      <c r="G2124" s="12" t="str">
        <f aca="false">IF(OR(E2124="",E2124="!!!"),"",IF(OR(J2124=0,AND(J2124=1,K2124=1),AND(J2124=1,I2124="SBJ"),AND(J2124=1,I2124=0)),"?IN_FOCUS",IF(J2124&lt;=2,"?ACTIVATED",IF(J2124&lt;&gt;"","?FAMILIAR",IF(F2124="NEW",IF(ISNA(VLOOKUP(E2124,#REF!,1,FALSE())),"?TYPE_IDENTIFIABLE","?REFERENTIAL"),"_")))))</f>
        <v/>
      </c>
      <c r="H2124" s="13" t="str">
        <f aca="false">IF(J2124&lt;&gt;1,"",IF(I2124="SBJ","CB","?"))</f>
        <v/>
      </c>
      <c r="I2124" s="14" t="str">
        <f aca="false">IF(OR(E2124="",E2124="!!!",F2124="NEW"),"",INDEX(B$2:B2123,-1+SUMPRODUCT(MAX(ROW(E$2:E2123)*(E2124=E$2:E2123)))))</f>
        <v/>
      </c>
      <c r="J2124" s="15" t="str">
        <f aca="true">IF(OR(E2124="",E2124="!!!",F2124="NEW"),"",COUNTBLANK(OFFSET(A$1,,,SUMPRODUCT(MAX(ROW(E$2:E2124)*(E2124=E$2:E2124)))))-COUNTBLANK(OFFSET(A$1,,,SUMPRODUCT(MAX(ROW(E$1:E2123)*(E2124=E$1:E2123))))))</f>
        <v/>
      </c>
      <c r="K2124" s="15" t="str">
        <f aca="false">IF(OR(E2124="",E2124="!!!",F2124="NEW"),"",INDEX(J$1:J2123,SUMPRODUCT(MAX(ROW(E$1:E2123)*(E2124=E$1:E2123)))))</f>
        <v/>
      </c>
      <c r="L2124" s="16"/>
    </row>
    <row r="2125" customFormat="false" ht="12.8" hidden="false" customHeight="false" outlineLevel="0" collapsed="false">
      <c r="A2125" s="0" t="s">
        <v>191</v>
      </c>
      <c r="E2125" s="10" t="str">
        <f aca="false">IF(D2125="?OLD","!!!","")</f>
        <v/>
      </c>
      <c r="F2125" s="11" t="str">
        <f aca="false">IF(OR(E2125="",E2125="!!!"),"",IF(NOT(ISNA(VLOOKUP(E2125,E$1:E2124,1,FALSE()))),"OLD",IF(AND(E2125&lt;&gt;"",E2125&lt;&gt;"!!!"),"NEW","")))</f>
        <v/>
      </c>
      <c r="G2125" s="12" t="str">
        <f aca="false">IF(OR(E2125="",E2125="!!!"),"",IF(OR(J2125=0,AND(J2125=1,K2125=1),AND(J2125=1,I2125="SBJ"),AND(J2125=1,I2125=0)),"?IN_FOCUS",IF(J2125&lt;=2,"?ACTIVATED",IF(J2125&lt;&gt;"","?FAMILIAR",IF(F2125="NEW",IF(ISNA(VLOOKUP(E2125,#REF!,1,FALSE())),"?TYPE_IDENTIFIABLE","?REFERENTIAL"),"_")))))</f>
        <v/>
      </c>
      <c r="H2125" s="13" t="str">
        <f aca="false">IF(J2125&lt;&gt;1,"",IF(I2125="SBJ","CB","?"))</f>
        <v/>
      </c>
      <c r="I2125" s="14" t="str">
        <f aca="false">IF(OR(E2125="",E2125="!!!",F2125="NEW"),"",INDEX(B$2:B2124,-1+SUMPRODUCT(MAX(ROW(E$2:E2124)*(E2125=E$2:E2124)))))</f>
        <v/>
      </c>
      <c r="J2125" s="15" t="str">
        <f aca="true">IF(OR(E2125="",E2125="!!!",F2125="NEW"),"",COUNTBLANK(OFFSET(A$1,,,SUMPRODUCT(MAX(ROW(E$2:E2125)*(E2125=E$2:E2125)))))-COUNTBLANK(OFFSET(A$1,,,SUMPRODUCT(MAX(ROW(E$1:E2124)*(E2125=E$1:E2124))))))</f>
        <v/>
      </c>
      <c r="K2125" s="15" t="str">
        <f aca="false">IF(OR(E2125="",E2125="!!!",F2125="NEW"),"",INDEX(J$1:J2124,SUMPRODUCT(MAX(ROW(E$1:E2124)*(E2125=E$1:E2124)))))</f>
        <v/>
      </c>
      <c r="L2125" s="16"/>
    </row>
    <row r="2126" customFormat="false" ht="12.8" hidden="false" customHeight="false" outlineLevel="0" collapsed="false">
      <c r="A2126" s="0" t="s">
        <v>182</v>
      </c>
      <c r="E2126" s="10" t="str">
        <f aca="false">IF(D2126="?OLD","!!!","")</f>
        <v/>
      </c>
      <c r="F2126" s="11" t="str">
        <f aca="false">IF(OR(E2126="",E2126="!!!"),"",IF(NOT(ISNA(VLOOKUP(E2126,E$1:E2125,1,FALSE()))),"OLD",IF(AND(E2126&lt;&gt;"",E2126&lt;&gt;"!!!"),"NEW","")))</f>
        <v/>
      </c>
      <c r="G2126" s="12" t="str">
        <f aca="false">IF(OR(E2126="",E2126="!!!"),"",IF(OR(J2126=0,AND(J2126=1,K2126=1),AND(J2126=1,I2126="SBJ"),AND(J2126=1,I2126=0)),"?IN_FOCUS",IF(J2126&lt;=2,"?ACTIVATED",IF(J2126&lt;&gt;"","?FAMILIAR",IF(F2126="NEW",IF(ISNA(VLOOKUP(E2126,#REF!,1,FALSE())),"?TYPE_IDENTIFIABLE","?REFERENTIAL"),"_")))))</f>
        <v/>
      </c>
      <c r="H2126" s="13" t="str">
        <f aca="false">IF(J2126&lt;&gt;1,"",IF(I2126="SBJ","CB","?"))</f>
        <v/>
      </c>
      <c r="I2126" s="14" t="str">
        <f aca="false">IF(OR(E2126="",E2126="!!!",F2126="NEW"),"",INDEX(B$2:B2125,-1+SUMPRODUCT(MAX(ROW(E$2:E2125)*(E2126=E$2:E2125)))))</f>
        <v/>
      </c>
      <c r="J2126" s="15" t="str">
        <f aca="true">IF(OR(E2126="",E2126="!!!",F2126="NEW"),"",COUNTBLANK(OFFSET(A$1,,,SUMPRODUCT(MAX(ROW(E$2:E2126)*(E2126=E$2:E2126)))))-COUNTBLANK(OFFSET(A$1,,,SUMPRODUCT(MAX(ROW(E$1:E2125)*(E2126=E$1:E2125))))))</f>
        <v/>
      </c>
      <c r="K2126" s="15" t="str">
        <f aca="false">IF(OR(E2126="",E2126="!!!",F2126="NEW"),"",INDEX(J$1:J2125,SUMPRODUCT(MAX(ROW(E$1:E2125)*(E2126=E$1:E2125)))))</f>
        <v/>
      </c>
      <c r="L2126" s="16"/>
    </row>
    <row r="2127" customFormat="false" ht="23.85" hidden="false" customHeight="false" outlineLevel="0" collapsed="false">
      <c r="A2127" s="0" t="s">
        <v>936</v>
      </c>
      <c r="B2127" s="0" t="s">
        <v>75</v>
      </c>
      <c r="C2127" s="0" t="s">
        <v>589</v>
      </c>
      <c r="D2127" s="0" t="s">
        <v>20</v>
      </c>
      <c r="E2127" s="10" t="s">
        <v>937</v>
      </c>
      <c r="F2127" s="11" t="s">
        <v>137</v>
      </c>
      <c r="G2127" s="12" t="s">
        <v>510</v>
      </c>
      <c r="H2127" s="13"/>
      <c r="I2127" s="14" t="str">
        <f aca="false">IF(OR(E2127="",E2127="!!!",F2127="NEW"),"",INDEX(B$2:B2126,-1+SUMPRODUCT(MAX(ROW(E$2:E2126)*(E2127=E$2:E2126)))))</f>
        <v/>
      </c>
      <c r="J2127" s="15" t="str">
        <f aca="true">IF(OR(E2127="",E2127="!!!",F2127="NEW"),"",COUNTBLANK(OFFSET(A$1,,,SUMPRODUCT(MAX(ROW(E$2:E2127)*(E2127=E$2:E2127)))))-COUNTBLANK(OFFSET(A$1,,,SUMPRODUCT(MAX(ROW(E$1:E2126)*(E2127=E$1:E2126))))))</f>
        <v/>
      </c>
      <c r="K2127" s="15" t="str">
        <f aca="false">IF(OR(E2127="",E2127="!!!",F2127="NEW"),"",INDEX(J$1:J2126,SUMPRODUCT(MAX(ROW(E$1:E2126)*(E2127=E$1:E2126)))))</f>
        <v/>
      </c>
      <c r="L2127" s="16" t="s">
        <v>938</v>
      </c>
    </row>
    <row r="2128" customFormat="false" ht="12.8" hidden="false" customHeight="false" outlineLevel="0" collapsed="false">
      <c r="A2128" s="0" t="s">
        <v>61</v>
      </c>
      <c r="E2128" s="10" t="str">
        <f aca="false">IF(D2128="?OLD","!!!","")</f>
        <v/>
      </c>
      <c r="F2128" s="11" t="str">
        <f aca="false">IF(OR(E2128="",E2128="!!!"),"",IF(NOT(ISNA(VLOOKUP(E2128,E$1:E2127,1,FALSE()))),"OLD",IF(AND(E2128&lt;&gt;"",E2128&lt;&gt;"!!!"),"NEW","")))</f>
        <v/>
      </c>
      <c r="G2128" s="12" t="str">
        <f aca="false">IF(OR(E2128="",E2128="!!!"),"",IF(OR(J2128=0,AND(J2128=1,K2128=1),AND(J2128=1,I2128="SBJ"),AND(J2128=1,I2128=0)),"?IN_FOCUS",IF(J2128&lt;=2,"?ACTIVATED",IF(J2128&lt;&gt;"","?FAMILIAR",IF(F2128="NEW",IF(ISNA(VLOOKUP(E2128,#REF!,1,FALSE())),"?TYPE_IDENTIFIABLE","?REFERENTIAL"),"_")))))</f>
        <v/>
      </c>
      <c r="H2128" s="13" t="str">
        <f aca="false">IF(J2128&lt;&gt;1,"",IF(I2128="SBJ","CB","?"))</f>
        <v/>
      </c>
      <c r="I2128" s="14" t="str">
        <f aca="false">IF(OR(E2128="",E2128="!!!",F2128="NEW"),"",INDEX(B$2:B2127,-1+SUMPRODUCT(MAX(ROW(E$2:E2127)*(E2128=E$2:E2127)))))</f>
        <v/>
      </c>
      <c r="J2128" s="15" t="str">
        <f aca="true">IF(OR(E2128="",E2128="!!!",F2128="NEW"),"",COUNTBLANK(OFFSET(A$1,,,SUMPRODUCT(MAX(ROW(E$2:E2128)*(E2128=E$2:E2128)))))-COUNTBLANK(OFFSET(A$1,,,SUMPRODUCT(MAX(ROW(E$1:E2127)*(E2128=E$1:E2127))))))</f>
        <v/>
      </c>
      <c r="K2128" s="15" t="str">
        <f aca="false">IF(OR(E2128="",E2128="!!!",F2128="NEW"),"",INDEX(J$1:J2127,SUMPRODUCT(MAX(ROW(E$1:E2127)*(E2128=E$1:E2127)))))</f>
        <v/>
      </c>
      <c r="L2128" s="16"/>
    </row>
    <row r="2129" customFormat="false" ht="12.8" hidden="false" customHeight="false" outlineLevel="0" collapsed="false">
      <c r="A2129" s="0" t="s">
        <v>62</v>
      </c>
      <c r="E2129" s="10" t="str">
        <f aca="false">IF(D2129="?OLD","!!!","")</f>
        <v/>
      </c>
      <c r="F2129" s="11" t="str">
        <f aca="false">IF(OR(E2129="",E2129="!!!"),"",IF(NOT(ISNA(VLOOKUP(E2129,E$1:E2128,1,FALSE()))),"OLD",IF(AND(E2129&lt;&gt;"",E2129&lt;&gt;"!!!"),"NEW","")))</f>
        <v/>
      </c>
      <c r="G2129" s="12" t="str">
        <f aca="false">IF(OR(E2129="",E2129="!!!"),"",IF(OR(J2129=0,AND(J2129=1,K2129=1),AND(J2129=1,I2129="SBJ"),AND(J2129=1,I2129=0)),"?IN_FOCUS",IF(J2129&lt;=2,"?ACTIVATED",IF(J2129&lt;&gt;"","?FAMILIAR",IF(F2129="NEW",IF(ISNA(VLOOKUP(E2129,#REF!,1,FALSE())),"?TYPE_IDENTIFIABLE","?REFERENTIAL"),"_")))))</f>
        <v/>
      </c>
      <c r="H2129" s="13" t="str">
        <f aca="false">IF(J2129&lt;&gt;1,"",IF(I2129="SBJ","CB","?"))</f>
        <v/>
      </c>
      <c r="I2129" s="14" t="str">
        <f aca="false">IF(OR(E2129="",E2129="!!!",F2129="NEW"),"",INDEX(B$2:B2128,-1+SUMPRODUCT(MAX(ROW(E$2:E2128)*(E2129=E$2:E2128)))))</f>
        <v/>
      </c>
      <c r="J2129" s="15" t="str">
        <f aca="true">IF(OR(E2129="",E2129="!!!",F2129="NEW"),"",COUNTBLANK(OFFSET(A$1,,,SUMPRODUCT(MAX(ROW(E$2:E2129)*(E2129=E$2:E2129)))))-COUNTBLANK(OFFSET(A$1,,,SUMPRODUCT(MAX(ROW(E$1:E2128)*(E2129=E$1:E2128))))))</f>
        <v/>
      </c>
      <c r="K2129" s="15" t="str">
        <f aca="false">IF(OR(E2129="",E2129="!!!",F2129="NEW"),"",INDEX(J$1:J2128,SUMPRODUCT(MAX(ROW(E$1:E2128)*(E2129=E$1:E2128)))))</f>
        <v/>
      </c>
      <c r="L2129" s="16"/>
    </row>
    <row r="2130" customFormat="false" ht="12.8" hidden="false" customHeight="false" outlineLevel="0" collapsed="false">
      <c r="A2130" s="0" t="s">
        <v>208</v>
      </c>
      <c r="E2130" s="10" t="str">
        <f aca="false">IF(D2130="?OLD","!!!","")</f>
        <v/>
      </c>
      <c r="F2130" s="11" t="str">
        <f aca="false">IF(OR(E2130="",E2130="!!!"),"",IF(NOT(ISNA(VLOOKUP(E2130,E$1:E2129,1,FALSE()))),"OLD",IF(AND(E2130&lt;&gt;"",E2130&lt;&gt;"!!!"),"NEW","")))</f>
        <v/>
      </c>
      <c r="G2130" s="12" t="str">
        <f aca="false">IF(OR(E2130="",E2130="!!!"),"",IF(OR(J2130=0,AND(J2130=1,K2130=1),AND(J2130=1,I2130="SBJ"),AND(J2130=1,I2130=0)),"?IN_FOCUS",IF(J2130&lt;=2,"?ACTIVATED",IF(J2130&lt;&gt;"","?FAMILIAR",IF(F2130="NEW",IF(ISNA(VLOOKUP(E2130,#REF!,1,FALSE())),"?TYPE_IDENTIFIABLE","?REFERENTIAL"),"_")))))</f>
        <v/>
      </c>
      <c r="H2130" s="13" t="str">
        <f aca="false">IF(J2130&lt;&gt;1,"",IF(I2130="SBJ","CB","?"))</f>
        <v/>
      </c>
      <c r="I2130" s="14" t="str">
        <f aca="false">IF(OR(E2130="",E2130="!!!",F2130="NEW"),"",INDEX(B$2:B2129,-1+SUMPRODUCT(MAX(ROW(E$2:E2129)*(E2130=E$2:E2129)))))</f>
        <v/>
      </c>
      <c r="J2130" s="15" t="str">
        <f aca="true">IF(OR(E2130="",E2130="!!!",F2130="NEW"),"",COUNTBLANK(OFFSET(A$1,,,SUMPRODUCT(MAX(ROW(E$2:E2130)*(E2130=E$2:E2130)))))-COUNTBLANK(OFFSET(A$1,,,SUMPRODUCT(MAX(ROW(E$1:E2129)*(E2130=E$1:E2129))))))</f>
        <v/>
      </c>
      <c r="K2130" s="15" t="str">
        <f aca="false">IF(OR(E2130="",E2130="!!!",F2130="NEW"),"",INDEX(J$1:J2129,SUMPRODUCT(MAX(ROW(E$1:E2129)*(E2130=E$1:E2129)))))</f>
        <v/>
      </c>
      <c r="L2130" s="16"/>
    </row>
    <row r="2131" customFormat="false" ht="12.8" hidden="false" customHeight="false" outlineLevel="0" collapsed="false">
      <c r="A2131" s="0" t="s">
        <v>68</v>
      </c>
      <c r="E2131" s="10" t="str">
        <f aca="false">IF(D2131="?OLD","!!!","")</f>
        <v/>
      </c>
      <c r="F2131" s="11" t="str">
        <f aca="false">IF(OR(E2131="",E2131="!!!"),"",IF(NOT(ISNA(VLOOKUP(E2131,E$1:E2130,1,FALSE()))),"OLD",IF(AND(E2131&lt;&gt;"",E2131&lt;&gt;"!!!"),"NEW","")))</f>
        <v/>
      </c>
      <c r="G2131" s="12" t="str">
        <f aca="false">IF(OR(E2131="",E2131="!!!"),"",IF(OR(J2131=0,AND(J2131=1,K2131=1),AND(J2131=1,I2131="SBJ"),AND(J2131=1,I2131=0)),"?IN_FOCUS",IF(J2131&lt;=2,"?ACTIVATED",IF(J2131&lt;&gt;"","?FAMILIAR",IF(F2131="NEW",IF(ISNA(VLOOKUP(E2131,#REF!,1,FALSE())),"?TYPE_IDENTIFIABLE","?REFERENTIAL"),"_")))))</f>
        <v/>
      </c>
      <c r="H2131" s="13" t="str">
        <f aca="false">IF(J2131&lt;&gt;1,"",IF(I2131="SBJ","CB","?"))</f>
        <v/>
      </c>
      <c r="I2131" s="14" t="str">
        <f aca="false">IF(OR(E2131="",E2131="!!!",F2131="NEW"),"",INDEX(B$2:B2130,-1+SUMPRODUCT(MAX(ROW(E$2:E2130)*(E2131=E$2:E2130)))))</f>
        <v/>
      </c>
      <c r="J2131" s="15" t="str">
        <f aca="true">IF(OR(E2131="",E2131="!!!",F2131="NEW"),"",COUNTBLANK(OFFSET(A$1,,,SUMPRODUCT(MAX(ROW(E$2:E2131)*(E2131=E$2:E2131)))))-COUNTBLANK(OFFSET(A$1,,,SUMPRODUCT(MAX(ROW(E$1:E2130)*(E2131=E$1:E2130))))))</f>
        <v/>
      </c>
      <c r="K2131" s="15" t="str">
        <f aca="false">IF(OR(E2131="",E2131="!!!",F2131="NEW"),"",INDEX(J$1:J2130,SUMPRODUCT(MAX(ROW(E$1:E2130)*(E2131=E$1:E2130)))))</f>
        <v/>
      </c>
      <c r="L2131" s="16"/>
    </row>
    <row r="2132" customFormat="false" ht="12.8" hidden="false" customHeight="false" outlineLevel="0" collapsed="false">
      <c r="A2132" s="0" t="s">
        <v>939</v>
      </c>
      <c r="B2132" s="0" t="s">
        <v>96</v>
      </c>
      <c r="C2132" s="0" t="s">
        <v>27</v>
      </c>
      <c r="D2132" s="0" t="s">
        <v>20</v>
      </c>
      <c r="E2132" s="10" t="s">
        <v>90</v>
      </c>
      <c r="F2132" s="11" t="str">
        <f aca="false">IF(OR(E2132="",E2132="!!!"),"",IF(NOT(ISNA(VLOOKUP(E2132,E$1:E2131,1,FALSE()))),"OLD",IF(AND(E2132&lt;&gt;"",E2132&lt;&gt;"!!!"),"NEW","")))</f>
        <v>OLD</v>
      </c>
      <c r="G2132" s="12" t="s">
        <v>36</v>
      </c>
      <c r="H2132" s="13" t="str">
        <f aca="false">IF(J2132&lt;&gt;1,"",IF(I2132="SBJ","CB","?"))</f>
        <v/>
      </c>
      <c r="I2132" s="14" t="str">
        <f aca="false">IF(OR(E2132="",E2132="!!!",F2132="NEW"),"",INDEX(B$2:B2131,-1+SUMPRODUCT(MAX(ROW(E$2:E2131)*(E2132=E$2:E2131)))))</f>
        <v>SBJ</v>
      </c>
      <c r="J2132" s="15" t="n">
        <f aca="true">IF(OR(E2132="",E2132="!!!",F2132="NEW"),"",COUNTBLANK(OFFSET(A$1,,,SUMPRODUCT(MAX(ROW(E$2:E2132)*(E2132=E$2:E2132)))))-COUNTBLANK(OFFSET(A$1,,,SUMPRODUCT(MAX(ROW(E$1:E2131)*(E2132=E$1:E2131))))))</f>
        <v>96</v>
      </c>
      <c r="K2132" s="15" t="n">
        <f aca="false">IF(OR(E2132="",E2132="!!!",F2132="NEW"),"",INDEX(J$1:J2131,SUMPRODUCT(MAX(ROW(E$1:E2131)*(E2132=E$1:E2131)))))</f>
        <v>1</v>
      </c>
      <c r="L2132" s="16"/>
    </row>
    <row r="2133" customFormat="false" ht="12.8" hidden="false" customHeight="false" outlineLevel="0" collapsed="false">
      <c r="A2133" s="0" t="s">
        <v>76</v>
      </c>
      <c r="E2133" s="10" t="str">
        <f aca="false">IF(D2133="?OLD","!!!","")</f>
        <v/>
      </c>
      <c r="F2133" s="11" t="str">
        <f aca="false">IF(OR(E2133="",E2133="!!!"),"",IF(NOT(ISNA(VLOOKUP(E2133,E$1:E2132,1,FALSE()))),"OLD",IF(AND(E2133&lt;&gt;"",E2133&lt;&gt;"!!!"),"NEW","")))</f>
        <v/>
      </c>
      <c r="G2133" s="12" t="str">
        <f aca="false">IF(OR(E2133="",E2133="!!!"),"",IF(OR(J2133=0,AND(J2133=1,K2133=1),AND(J2133=1,I2133="SBJ"),AND(J2133=1,I2133=0)),"?IN_FOCUS",IF(J2133&lt;=2,"?ACTIVATED",IF(J2133&lt;&gt;"","?FAMILIAR",IF(F2133="NEW",IF(ISNA(VLOOKUP(E2133,#REF!,1,FALSE())),"?TYPE_IDENTIFIABLE","?REFERENTIAL"),"_")))))</f>
        <v/>
      </c>
      <c r="H2133" s="13" t="str">
        <f aca="false">IF(J2133&lt;&gt;1,"",IF(I2133="SBJ","CB","?"))</f>
        <v/>
      </c>
      <c r="I2133" s="14" t="str">
        <f aca="false">IF(OR(E2133="",E2133="!!!",F2133="NEW"),"",INDEX(B$2:B2132,-1+SUMPRODUCT(MAX(ROW(E$2:E2132)*(E2133=E$2:E2132)))))</f>
        <v/>
      </c>
      <c r="J2133" s="15" t="str">
        <f aca="true">IF(OR(E2133="",E2133="!!!",F2133="NEW"),"",COUNTBLANK(OFFSET(A$1,,,SUMPRODUCT(MAX(ROW(E$2:E2133)*(E2133=E$2:E2133)))))-COUNTBLANK(OFFSET(A$1,,,SUMPRODUCT(MAX(ROW(E$1:E2132)*(E2133=E$1:E2132))))))</f>
        <v/>
      </c>
      <c r="K2133" s="15" t="str">
        <f aca="false">IF(OR(E2133="",E2133="!!!",F2133="NEW"),"",INDEX(J$1:J2132,SUMPRODUCT(MAX(ROW(E$1:E2132)*(E2133=E$1:E2132)))))</f>
        <v/>
      </c>
      <c r="L2133" s="16"/>
    </row>
    <row r="2134" customFormat="false" ht="12.8" hidden="false" customHeight="false" outlineLevel="0" collapsed="false">
      <c r="E2134" s="10" t="str">
        <f aca="false">IF(D2134="?OLD","!!!","")</f>
        <v/>
      </c>
      <c r="F2134" s="11" t="str">
        <f aca="false">IF(OR(E2134="",E2134="!!!"),"",IF(NOT(ISNA(VLOOKUP(E2134,E$1:E2133,1,FALSE()))),"OLD",IF(AND(E2134&lt;&gt;"",E2134&lt;&gt;"!!!"),"NEW","")))</f>
        <v/>
      </c>
      <c r="G2134" s="12" t="str">
        <f aca="false">IF(OR(E2134="",E2134="!!!"),"",IF(OR(J2134=0,AND(J2134=1,K2134=1),AND(J2134=1,I2134="SBJ"),AND(J2134=1,I2134=0)),"?IN_FOCUS",IF(J2134&lt;=2,"?ACTIVATED",IF(J2134&lt;&gt;"","?FAMILIAR",IF(F2134="NEW",IF(ISNA(VLOOKUP(E2134,#REF!,1,FALSE())),"?TYPE_IDENTIFIABLE","?REFERENTIAL"),"_")))))</f>
        <v/>
      </c>
      <c r="H2134" s="13" t="str">
        <f aca="false">IF(J2134&lt;&gt;1,"",IF(I2134="SBJ","CB","?"))</f>
        <v/>
      </c>
      <c r="I2134" s="14" t="str">
        <f aca="false">IF(OR(E2134="",E2134="!!!",F2134="NEW"),"",INDEX(B$2:B2133,-1+SUMPRODUCT(MAX(ROW(E$2:E2133)*(E2134=E$2:E2133)))))</f>
        <v/>
      </c>
      <c r="J2134" s="15" t="str">
        <f aca="true">IF(OR(E2134="",E2134="!!!",F2134="NEW"),"",COUNTBLANK(OFFSET(A$1,,,SUMPRODUCT(MAX(ROW(E$2:E2134)*(E2134=E$2:E2134)))))-COUNTBLANK(OFFSET(A$1,,,SUMPRODUCT(MAX(ROW(E$1:E2133)*(E2134=E$1:E2133))))))</f>
        <v/>
      </c>
      <c r="K2134" s="15" t="str">
        <f aca="false">IF(OR(E2134="",E2134="!!!",F2134="NEW"),"",INDEX(J$1:J2133,SUMPRODUCT(MAX(ROW(E$1:E2133)*(E2134=E$1:E2133)))))</f>
        <v/>
      </c>
      <c r="L2134" s="16"/>
    </row>
    <row r="2135" customFormat="false" ht="12.8" hidden="false" customHeight="false" outlineLevel="0" collapsed="false">
      <c r="A2135" s="0" t="s">
        <v>940</v>
      </c>
      <c r="E2135" s="10" t="str">
        <f aca="false">IF(D2135="?OLD","!!!","")</f>
        <v/>
      </c>
      <c r="F2135" s="11" t="str">
        <f aca="false">IF(OR(E2135="",E2135="!!!"),"",IF(NOT(ISNA(VLOOKUP(E2135,E$1:E2134,1,FALSE()))),"OLD",IF(AND(E2135&lt;&gt;"",E2135&lt;&gt;"!!!"),"NEW","")))</f>
        <v/>
      </c>
      <c r="G2135" s="12" t="str">
        <f aca="false">IF(OR(E2135="",E2135="!!!"),"",IF(OR(J2135=0,AND(J2135=1,K2135=1),AND(J2135=1,I2135="SBJ"),AND(J2135=1,I2135=0)),"?IN_FOCUS",IF(J2135&lt;=2,"?ACTIVATED",IF(J2135&lt;&gt;"","?FAMILIAR",IF(F2135="NEW",IF(ISNA(VLOOKUP(E2135,#REF!,1,FALSE())),"?TYPE_IDENTIFIABLE","?REFERENTIAL"),"_")))))</f>
        <v/>
      </c>
      <c r="H2135" s="13" t="str">
        <f aca="false">IF(J2135&lt;&gt;1,"",IF(I2135="SBJ","CB","?"))</f>
        <v/>
      </c>
      <c r="I2135" s="14" t="str">
        <f aca="false">IF(OR(E2135="",E2135="!!!",F2135="NEW"),"",INDEX(B$2:B2134,-1+SUMPRODUCT(MAX(ROW(E$2:E2134)*(E2135=E$2:E2134)))))</f>
        <v/>
      </c>
      <c r="J2135" s="15" t="str">
        <f aca="true">IF(OR(E2135="",E2135="!!!",F2135="NEW"),"",COUNTBLANK(OFFSET(A$1,,,SUMPRODUCT(MAX(ROW(E$2:E2135)*(E2135=E$2:E2135)))))-COUNTBLANK(OFFSET(A$1,,,SUMPRODUCT(MAX(ROW(E$1:E2134)*(E2135=E$1:E2134))))))</f>
        <v/>
      </c>
      <c r="K2135" s="15" t="str">
        <f aca="false">IF(OR(E2135="",E2135="!!!",F2135="NEW"),"",INDEX(J$1:J2134,SUMPRODUCT(MAX(ROW(E$1:E2134)*(E2135=E$1:E2134)))))</f>
        <v/>
      </c>
      <c r="L2135" s="16"/>
    </row>
    <row r="2136" customFormat="false" ht="12.8" hidden="false" customHeight="false" outlineLevel="0" collapsed="false">
      <c r="A2136" s="0" t="s">
        <v>46</v>
      </c>
      <c r="B2136" s="0" t="s">
        <v>34</v>
      </c>
      <c r="C2136" s="0" t="s">
        <v>48</v>
      </c>
      <c r="D2136" s="0" t="s">
        <v>20</v>
      </c>
      <c r="E2136" s="10" t="s">
        <v>49</v>
      </c>
      <c r="F2136" s="11" t="str">
        <f aca="false">IF(OR(E2136="",E2136="!!!"),"",IF(NOT(ISNA(VLOOKUP(E2136,E$1:E2135,1,FALSE()))),"OLD",IF(AND(E2136&lt;&gt;"",E2136&lt;&gt;"!!!"),"NEW","")))</f>
        <v>OLD</v>
      </c>
      <c r="G2136" s="12" t="s">
        <v>87</v>
      </c>
      <c r="H2136" s="13" t="str">
        <f aca="false">IF(J2136&lt;&gt;1,"",IF(I2136="SBJ","CB","?"))</f>
        <v>CB</v>
      </c>
      <c r="I2136" s="14" t="str">
        <f aca="false">IF(OR(E2136="",E2136="!!!",F2136="NEW"),"",INDEX(B$2:B2135,-1+SUMPRODUCT(MAX(ROW(E$2:E2135)*(E2136=E$2:E2135)))))</f>
        <v>SBJ</v>
      </c>
      <c r="J2136" s="15" t="n">
        <f aca="true">IF(OR(E2136="",E2136="!!!",F2136="NEW"),"",COUNTBLANK(OFFSET(A$1,,,SUMPRODUCT(MAX(ROW(E$2:E2136)*(E2136=E$2:E2136)))))-COUNTBLANK(OFFSET(A$1,,,SUMPRODUCT(MAX(ROW(E$1:E2135)*(E2136=E$1:E2135))))))</f>
        <v>1</v>
      </c>
      <c r="K2136" s="15" t="n">
        <f aca="false">IF(OR(E2136="",E2136="!!!",F2136="NEW"),"",INDEX(J$1:J2135,SUMPRODUCT(MAX(ROW(E$1:E2135)*(E2136=E$1:E2135)))))</f>
        <v>2</v>
      </c>
      <c r="L2136" s="16"/>
    </row>
    <row r="2137" customFormat="false" ht="12.8" hidden="false" customHeight="false" outlineLevel="0" collapsed="false">
      <c r="A2137" s="0" t="s">
        <v>499</v>
      </c>
      <c r="E2137" s="10" t="str">
        <f aca="false">IF(D2137="?OLD","!!!","")</f>
        <v/>
      </c>
      <c r="F2137" s="11" t="str">
        <f aca="false">IF(OR(E2137="",E2137="!!!"),"",IF(NOT(ISNA(VLOOKUP(E2137,E$1:E2136,1,FALSE()))),"OLD",IF(AND(E2137&lt;&gt;"",E2137&lt;&gt;"!!!"),"NEW","")))</f>
        <v/>
      </c>
      <c r="G2137" s="12" t="str">
        <f aca="false">IF(OR(E2137="",E2137="!!!"),"",IF(OR(J2137=0,AND(J2137=1,K2137=1),AND(J2137=1,I2137="SBJ"),AND(J2137=1,I2137=0)),"?IN_FOCUS",IF(J2137&lt;=2,"?ACTIVATED",IF(J2137&lt;&gt;"","?FAMILIAR",IF(F2137="NEW",IF(ISNA(VLOOKUP(E2137,#REF!,1,FALSE())),"?TYPE_IDENTIFIABLE","?REFERENTIAL"),"_")))))</f>
        <v/>
      </c>
      <c r="H2137" s="13" t="str">
        <f aca="false">IF(J2137&lt;&gt;1,"",IF(I2137="SBJ","CB","?"))</f>
        <v/>
      </c>
      <c r="I2137" s="14" t="str">
        <f aca="false">IF(OR(E2137="",E2137="!!!",F2137="NEW"),"",INDEX(B$2:B2136,-1+SUMPRODUCT(MAX(ROW(E$2:E2136)*(E2137=E$2:E2136)))))</f>
        <v/>
      </c>
      <c r="J2137" s="15" t="str">
        <f aca="true">IF(OR(E2137="",E2137="!!!",F2137="NEW"),"",COUNTBLANK(OFFSET(A$1,,,SUMPRODUCT(MAX(ROW(E$2:E2137)*(E2137=E$2:E2137)))))-COUNTBLANK(OFFSET(A$1,,,SUMPRODUCT(MAX(ROW(E$1:E2136)*(E2137=E$1:E2136))))))</f>
        <v/>
      </c>
      <c r="K2137" s="15" t="str">
        <f aca="false">IF(OR(E2137="",E2137="!!!",F2137="NEW"),"",INDEX(J$1:J2136,SUMPRODUCT(MAX(ROW(E$1:E2136)*(E2137=E$1:E2136)))))</f>
        <v/>
      </c>
      <c r="L2137" s="16"/>
    </row>
    <row r="2138" customFormat="false" ht="12.8" hidden="false" customHeight="false" outlineLevel="0" collapsed="false">
      <c r="A2138" s="0" t="s">
        <v>127</v>
      </c>
      <c r="B2138" s="0" t="s">
        <v>47</v>
      </c>
      <c r="C2138" s="0" t="s">
        <v>48</v>
      </c>
      <c r="D2138" s="0" t="s">
        <v>20</v>
      </c>
      <c r="E2138" s="10" t="s">
        <v>128</v>
      </c>
      <c r="F2138" s="11" t="str">
        <f aca="false">IF(OR(E2138="",E2138="!!!"),"",IF(NOT(ISNA(VLOOKUP(E2138,E$1:E2137,1,FALSE()))),"OLD",IF(AND(E2138&lt;&gt;"",E2138&lt;&gt;"!!!"),"NEW","")))</f>
        <v>OLD</v>
      </c>
      <c r="G2138" s="12" t="s">
        <v>36</v>
      </c>
      <c r="H2138" s="13" t="str">
        <f aca="false">IF(J2138&lt;&gt;1,"",IF(I2138="SBJ","CB","?"))</f>
        <v/>
      </c>
      <c r="I2138" s="14" t="str">
        <f aca="false">IF(OR(E2138="",E2138="!!!",F2138="NEW"),"",INDEX(B$2:B2137,-1+SUMPRODUCT(MAX(ROW(E$2:E2137)*(E2138=E$2:E2137)))))</f>
        <v>SBJ</v>
      </c>
      <c r="J2138" s="15" t="n">
        <f aca="true">IF(OR(E2138="",E2138="!!!",F2138="NEW"),"",COUNTBLANK(OFFSET(A$1,,,SUMPRODUCT(MAX(ROW(E$2:E2138)*(E2138=E$2:E2138)))))-COUNTBLANK(OFFSET(A$1,,,SUMPRODUCT(MAX(ROW(E$1:E2137)*(E2138=E$1:E2137))))))</f>
        <v>47</v>
      </c>
      <c r="K2138" s="15" t="n">
        <f aca="false">IF(OR(E2138="",E2138="!!!",F2138="NEW"),"",INDEX(J$1:J2137,SUMPRODUCT(MAX(ROW(E$1:E2137)*(E2138=E$1:E2137)))))</f>
        <v>21</v>
      </c>
      <c r="L2138" s="16"/>
    </row>
    <row r="2139" customFormat="false" ht="12.8" hidden="false" customHeight="false" outlineLevel="0" collapsed="false">
      <c r="A2139" s="0" t="s">
        <v>941</v>
      </c>
      <c r="E2139" s="10" t="str">
        <f aca="false">IF(D2139="?OLD","!!!","")</f>
        <v/>
      </c>
      <c r="F2139" s="11" t="str">
        <f aca="false">IF(OR(E2139="",E2139="!!!"),"",IF(NOT(ISNA(VLOOKUP(E2139,E$1:E2138,1,FALSE()))),"OLD",IF(AND(E2139&lt;&gt;"",E2139&lt;&gt;"!!!"),"NEW","")))</f>
        <v/>
      </c>
      <c r="G2139" s="12" t="str">
        <f aca="false">IF(OR(E2139="",E2139="!!!"),"",IF(OR(J2139=0,AND(J2139=1,K2139=1),AND(J2139=1,I2139="SBJ"),AND(J2139=1,I2139=0)),"?IN_FOCUS",IF(J2139&lt;=2,"?ACTIVATED",IF(J2139&lt;&gt;"","?FAMILIAR",IF(F2139="NEW",IF(ISNA(VLOOKUP(E2139,#REF!,1,FALSE())),"?TYPE_IDENTIFIABLE","?REFERENTIAL"),"_")))))</f>
        <v/>
      </c>
      <c r="H2139" s="13" t="str">
        <f aca="false">IF(J2139&lt;&gt;1,"",IF(I2139="SBJ","CB","?"))</f>
        <v/>
      </c>
      <c r="I2139" s="14" t="str">
        <f aca="false">IF(OR(E2139="",E2139="!!!",F2139="NEW"),"",INDEX(B$2:B2138,-1+SUMPRODUCT(MAX(ROW(E$2:E2138)*(E2139=E$2:E2138)))))</f>
        <v/>
      </c>
      <c r="J2139" s="15" t="str">
        <f aca="true">IF(OR(E2139="",E2139="!!!",F2139="NEW"),"",COUNTBLANK(OFFSET(A$1,,,SUMPRODUCT(MAX(ROW(E$2:E2139)*(E2139=E$2:E2139)))))-COUNTBLANK(OFFSET(A$1,,,SUMPRODUCT(MAX(ROW(E$1:E2138)*(E2139=E$1:E2138))))))</f>
        <v/>
      </c>
      <c r="K2139" s="15" t="str">
        <f aca="false">IF(OR(E2139="",E2139="!!!",F2139="NEW"),"",INDEX(J$1:J2138,SUMPRODUCT(MAX(ROW(E$1:E2138)*(E2139=E$1:E2138)))))</f>
        <v/>
      </c>
      <c r="L2139" s="16"/>
    </row>
    <row r="2140" customFormat="false" ht="12.8" hidden="false" customHeight="false" outlineLevel="0" collapsed="false">
      <c r="A2140" s="0" t="s">
        <v>55</v>
      </c>
      <c r="E2140" s="10" t="str">
        <f aca="false">IF(D2140="?OLD","!!!","")</f>
        <v/>
      </c>
      <c r="F2140" s="11" t="str">
        <f aca="false">IF(OR(E2140="",E2140="!!!"),"",IF(NOT(ISNA(VLOOKUP(E2140,E$1:E2139,1,FALSE()))),"OLD",IF(AND(E2140&lt;&gt;"",E2140&lt;&gt;"!!!"),"NEW","")))</f>
        <v/>
      </c>
      <c r="G2140" s="12" t="str">
        <f aca="false">IF(OR(E2140="",E2140="!!!"),"",IF(OR(J2140=0,AND(J2140=1,K2140=1),AND(J2140=1,I2140="SBJ"),AND(J2140=1,I2140=0)),"?IN_FOCUS",IF(J2140&lt;=2,"?ACTIVATED",IF(J2140&lt;&gt;"","?FAMILIAR",IF(F2140="NEW",IF(ISNA(VLOOKUP(E2140,#REF!,1,FALSE())),"?TYPE_IDENTIFIABLE","?REFERENTIAL"),"_")))))</f>
        <v/>
      </c>
      <c r="H2140" s="13" t="str">
        <f aca="false">IF(J2140&lt;&gt;1,"",IF(I2140="SBJ","CB","?"))</f>
        <v/>
      </c>
      <c r="I2140" s="14" t="str">
        <f aca="false">IF(OR(E2140="",E2140="!!!",F2140="NEW"),"",INDEX(B$2:B2139,-1+SUMPRODUCT(MAX(ROW(E$2:E2139)*(E2140=E$2:E2139)))))</f>
        <v/>
      </c>
      <c r="J2140" s="15" t="str">
        <f aca="true">IF(OR(E2140="",E2140="!!!",F2140="NEW"),"",COUNTBLANK(OFFSET(A$1,,,SUMPRODUCT(MAX(ROW(E$2:E2140)*(E2140=E$2:E2140)))))-COUNTBLANK(OFFSET(A$1,,,SUMPRODUCT(MAX(ROW(E$1:E2139)*(E2140=E$1:E2139))))))</f>
        <v/>
      </c>
      <c r="K2140" s="15" t="str">
        <f aca="false">IF(OR(E2140="",E2140="!!!",F2140="NEW"),"",INDEX(J$1:J2139,SUMPRODUCT(MAX(ROW(E$1:E2139)*(E2140=E$1:E2139)))))</f>
        <v/>
      </c>
      <c r="L2140" s="16"/>
    </row>
    <row r="2141" customFormat="false" ht="12.8" hidden="false" customHeight="false" outlineLevel="0" collapsed="false">
      <c r="A2141" s="0" t="s">
        <v>942</v>
      </c>
      <c r="E2141" s="10" t="str">
        <f aca="false">IF(D2141="?OLD","!!!","")</f>
        <v/>
      </c>
      <c r="F2141" s="11" t="str">
        <f aca="false">IF(OR(E2141="",E2141="!!!"),"",IF(NOT(ISNA(VLOOKUP(E2141,E$1:E2140,1,FALSE()))),"OLD",IF(AND(E2141&lt;&gt;"",E2141&lt;&gt;"!!!"),"NEW","")))</f>
        <v/>
      </c>
      <c r="G2141" s="12" t="str">
        <f aca="false">IF(OR(E2141="",E2141="!!!"),"",IF(OR(J2141=0,AND(J2141=1,K2141=1),AND(J2141=1,I2141="SBJ"),AND(J2141=1,I2141=0)),"?IN_FOCUS",IF(J2141&lt;=2,"?ACTIVATED",IF(J2141&lt;&gt;"","?FAMILIAR",IF(F2141="NEW",IF(ISNA(VLOOKUP(E2141,#REF!,1,FALSE())),"?TYPE_IDENTIFIABLE","?REFERENTIAL"),"_")))))</f>
        <v/>
      </c>
      <c r="H2141" s="13" t="str">
        <f aca="false">IF(J2141&lt;&gt;1,"",IF(I2141="SBJ","CB","?"))</f>
        <v/>
      </c>
      <c r="I2141" s="14" t="str">
        <f aca="false">IF(OR(E2141="",E2141="!!!",F2141="NEW"),"",INDEX(B$2:B2140,-1+SUMPRODUCT(MAX(ROW(E$2:E2140)*(E2141=E$2:E2140)))))</f>
        <v/>
      </c>
      <c r="J2141" s="15" t="str">
        <f aca="true">IF(OR(E2141="",E2141="!!!",F2141="NEW"),"",COUNTBLANK(OFFSET(A$1,,,SUMPRODUCT(MAX(ROW(E$2:E2141)*(E2141=E$2:E2141)))))-COUNTBLANK(OFFSET(A$1,,,SUMPRODUCT(MAX(ROW(E$1:E2140)*(E2141=E$1:E2140))))))</f>
        <v/>
      </c>
      <c r="K2141" s="15" t="str">
        <f aca="false">IF(OR(E2141="",E2141="!!!",F2141="NEW"),"",INDEX(J$1:J2140,SUMPRODUCT(MAX(ROW(E$1:E2140)*(E2141=E$1:E2140)))))</f>
        <v/>
      </c>
      <c r="L2141" s="16"/>
    </row>
    <row r="2142" customFormat="false" ht="12.8" hidden="false" customHeight="false" outlineLevel="0" collapsed="false">
      <c r="A2142" s="0" t="s">
        <v>943</v>
      </c>
      <c r="B2142" s="0" t="s">
        <v>96</v>
      </c>
      <c r="C2142" s="0" t="s">
        <v>172</v>
      </c>
      <c r="E2142" s="10" t="str">
        <f aca="false">IF(D2142="?OLD","!!!","")</f>
        <v/>
      </c>
      <c r="F2142" s="11" t="str">
        <f aca="false">IF(OR(E2142="",E2142="!!!"),"",IF(NOT(ISNA(VLOOKUP(E2142,E$1:E2141,1,FALSE()))),"OLD",IF(AND(E2142&lt;&gt;"",E2142&lt;&gt;"!!!"),"NEW","")))</f>
        <v/>
      </c>
      <c r="G2142" s="12" t="str">
        <f aca="false">IF(OR(E2142="",E2142="!!!"),"",IF(OR(J2142=0,AND(J2142=1,K2142=1),AND(J2142=1,I2142="SBJ"),AND(J2142=1,I2142=0)),"?IN_FOCUS",IF(J2142&lt;=2,"?ACTIVATED",IF(J2142&lt;&gt;"","?FAMILIAR",IF(F2142="NEW",IF(ISNA(VLOOKUP(E2142,#REF!,1,FALSE())),"?TYPE_IDENTIFIABLE","?REFERENTIAL"),"_")))))</f>
        <v/>
      </c>
      <c r="H2142" s="13" t="str">
        <f aca="false">IF(J2142&lt;&gt;1,"",IF(I2142="SBJ","CB","?"))</f>
        <v/>
      </c>
      <c r="I2142" s="14" t="str">
        <f aca="false">IF(OR(E2142="",E2142="!!!",F2142="NEW"),"",INDEX(B$2:B2141,-1+SUMPRODUCT(MAX(ROW(E$2:E2141)*(E2142=E$2:E2141)))))</f>
        <v/>
      </c>
      <c r="J2142" s="15" t="str">
        <f aca="true">IF(OR(E2142="",E2142="!!!",F2142="NEW"),"",COUNTBLANK(OFFSET(A$1,,,SUMPRODUCT(MAX(ROW(E$2:E2142)*(E2142=E$2:E2142)))))-COUNTBLANK(OFFSET(A$1,,,SUMPRODUCT(MAX(ROW(E$1:E2141)*(E2142=E$1:E2141))))))</f>
        <v/>
      </c>
      <c r="K2142" s="15" t="str">
        <f aca="false">IF(OR(E2142="",E2142="!!!",F2142="NEW"),"",INDEX(J$1:J2141,SUMPRODUCT(MAX(ROW(E$1:E2141)*(E2142=E$1:E2141)))))</f>
        <v/>
      </c>
      <c r="L2142" s="16"/>
    </row>
    <row r="2143" customFormat="false" ht="12.8" hidden="false" customHeight="false" outlineLevel="0" collapsed="false">
      <c r="A2143" s="0" t="s">
        <v>944</v>
      </c>
      <c r="B2143" s="0" t="s">
        <v>170</v>
      </c>
      <c r="C2143" s="0" t="s">
        <v>945</v>
      </c>
      <c r="E2143" s="10" t="str">
        <f aca="false">IF(D2143="?OLD","!!!","")</f>
        <v/>
      </c>
      <c r="F2143" s="11" t="str">
        <f aca="false">IF(OR(E2143="",E2143="!!!"),"",IF(NOT(ISNA(VLOOKUP(E2143,E$1:E2142,1,FALSE()))),"OLD",IF(AND(E2143&lt;&gt;"",E2143&lt;&gt;"!!!"),"NEW","")))</f>
        <v/>
      </c>
      <c r="G2143" s="12" t="str">
        <f aca="false">IF(OR(E2143="",E2143="!!!"),"",IF(OR(J2143=0,AND(J2143=1,K2143=1),AND(J2143=1,I2143="SBJ"),AND(J2143=1,I2143=0)),"?IN_FOCUS",IF(J2143&lt;=2,"?ACTIVATED",IF(J2143&lt;&gt;"","?FAMILIAR",IF(F2143="NEW",IF(ISNA(VLOOKUP(E2143,#REF!,1,FALSE())),"?TYPE_IDENTIFIABLE","?REFERENTIAL"),"_")))))</f>
        <v/>
      </c>
      <c r="H2143" s="13" t="str">
        <f aca="false">IF(J2143&lt;&gt;1,"",IF(I2143="SBJ","CB","?"))</f>
        <v/>
      </c>
      <c r="I2143" s="14" t="str">
        <f aca="false">IF(OR(E2143="",E2143="!!!",F2143="NEW"),"",INDEX(B$2:B2142,-1+SUMPRODUCT(MAX(ROW(E$2:E2142)*(E2143=E$2:E2142)))))</f>
        <v/>
      </c>
      <c r="J2143" s="15" t="str">
        <f aca="true">IF(OR(E2143="",E2143="!!!",F2143="NEW"),"",COUNTBLANK(OFFSET(A$1,,,SUMPRODUCT(MAX(ROW(E$2:E2143)*(E2143=E$2:E2143)))))-COUNTBLANK(OFFSET(A$1,,,SUMPRODUCT(MAX(ROW(E$1:E2142)*(E2143=E$1:E2142))))))</f>
        <v/>
      </c>
      <c r="K2143" s="15" t="str">
        <f aca="false">IF(OR(E2143="",E2143="!!!",F2143="NEW"),"",INDEX(J$1:J2142,SUMPRODUCT(MAX(ROW(E$1:E2142)*(E2143=E$1:E2142)))))</f>
        <v/>
      </c>
      <c r="L2143" s="16"/>
    </row>
    <row r="2144" customFormat="false" ht="12.8" hidden="false" customHeight="false" outlineLevel="0" collapsed="false">
      <c r="A2144" s="0" t="s">
        <v>46</v>
      </c>
      <c r="B2144" s="0" t="s">
        <v>173</v>
      </c>
      <c r="C2144" s="0" t="s">
        <v>48</v>
      </c>
      <c r="D2144" s="0" t="s">
        <v>20</v>
      </c>
      <c r="E2144" s="10" t="s">
        <v>49</v>
      </c>
      <c r="F2144" s="11" t="str">
        <f aca="false">IF(OR(E2144="",E2144="!!!"),"",IF(NOT(ISNA(VLOOKUP(E2144,E$1:E2143,1,FALSE()))),"OLD",IF(AND(E2144&lt;&gt;"",E2144&lt;&gt;"!!!"),"NEW","")))</f>
        <v>OLD</v>
      </c>
      <c r="G2144" s="12" t="s">
        <v>87</v>
      </c>
      <c r="H2144" s="13" t="str">
        <f aca="false">IF(J2144&lt;&gt;1,"",IF(I2144="SBJ","CB","?"))</f>
        <v/>
      </c>
      <c r="I2144" s="14" t="str">
        <f aca="false">IF(OR(E2144="",E2144="!!!",F2144="NEW"),"",INDEX(B$2:B2143,-1+SUMPRODUCT(MAX(ROW(E$2:E2143)*(E2144=E$2:E2143)))))</f>
        <v>SBJ</v>
      </c>
      <c r="J2144" s="15" t="n">
        <f aca="true">IF(OR(E2144="",E2144="!!!",F2144="NEW"),"",COUNTBLANK(OFFSET(A$1,,,SUMPRODUCT(MAX(ROW(E$2:E2144)*(E2144=E$2:E2144)))))-COUNTBLANK(OFFSET(A$1,,,SUMPRODUCT(MAX(ROW(E$1:E2143)*(E2144=E$1:E2143))))))</f>
        <v>0</v>
      </c>
      <c r="K2144" s="15" t="n">
        <f aca="false">IF(OR(E2144="",E2144="!!!",F2144="NEW"),"",INDEX(J$1:J2143,SUMPRODUCT(MAX(ROW(E$1:E2143)*(E2144=E$1:E2143)))))</f>
        <v>1</v>
      </c>
      <c r="L2144" s="16"/>
    </row>
    <row r="2145" customFormat="false" ht="12.8" hidden="false" customHeight="false" outlineLevel="0" collapsed="false">
      <c r="A2145" s="0" t="s">
        <v>761</v>
      </c>
      <c r="E2145" s="10" t="str">
        <f aca="false">IF(D2145="?OLD","!!!","")</f>
        <v/>
      </c>
      <c r="F2145" s="11" t="str">
        <f aca="false">IF(OR(E2145="",E2145="!!!"),"",IF(NOT(ISNA(VLOOKUP(E2145,E$1:E2144,1,FALSE()))),"OLD",IF(AND(E2145&lt;&gt;"",E2145&lt;&gt;"!!!"),"NEW","")))</f>
        <v/>
      </c>
      <c r="G2145" s="12" t="str">
        <f aca="false">IF(OR(E2145="",E2145="!!!"),"",IF(OR(J2145=0,AND(J2145=1,K2145=1),AND(J2145=1,I2145="SBJ"),AND(J2145=1,I2145=0)),"?IN_FOCUS",IF(J2145&lt;=2,"?ACTIVATED",IF(J2145&lt;&gt;"","?FAMILIAR",IF(F2145="NEW",IF(ISNA(VLOOKUP(E2145,#REF!,1,FALSE())),"?TYPE_IDENTIFIABLE","?REFERENTIAL"),"_")))))</f>
        <v/>
      </c>
      <c r="H2145" s="13" t="str">
        <f aca="false">IF(J2145&lt;&gt;1,"",IF(I2145="SBJ","CB","?"))</f>
        <v/>
      </c>
      <c r="I2145" s="14" t="str">
        <f aca="false">IF(OR(E2145="",E2145="!!!",F2145="NEW"),"",INDEX(B$2:B2144,-1+SUMPRODUCT(MAX(ROW(E$2:E2144)*(E2145=E$2:E2144)))))</f>
        <v/>
      </c>
      <c r="J2145" s="15" t="str">
        <f aca="true">IF(OR(E2145="",E2145="!!!",F2145="NEW"),"",COUNTBLANK(OFFSET(A$1,,,SUMPRODUCT(MAX(ROW(E$2:E2145)*(E2145=E$2:E2145)))))-COUNTBLANK(OFFSET(A$1,,,SUMPRODUCT(MAX(ROW(E$1:E2144)*(E2145=E$1:E2144))))))</f>
        <v/>
      </c>
      <c r="K2145" s="15" t="str">
        <f aca="false">IF(OR(E2145="",E2145="!!!",F2145="NEW"),"",INDEX(J$1:J2144,SUMPRODUCT(MAX(ROW(E$1:E2144)*(E2145=E$1:E2144)))))</f>
        <v/>
      </c>
      <c r="L2145" s="16"/>
    </row>
    <row r="2146" customFormat="false" ht="12.8" hidden="false" customHeight="false" outlineLevel="0" collapsed="false">
      <c r="A2146" s="0" t="s">
        <v>515</v>
      </c>
      <c r="E2146" s="10" t="str">
        <f aca="false">IF(D2146="?OLD","!!!","")</f>
        <v/>
      </c>
      <c r="F2146" s="11" t="str">
        <f aca="false">IF(OR(E2146="",E2146="!!!"),"",IF(NOT(ISNA(VLOOKUP(E2146,E$1:E2145,1,FALSE()))),"OLD",IF(AND(E2146&lt;&gt;"",E2146&lt;&gt;"!!!"),"NEW","")))</f>
        <v/>
      </c>
      <c r="G2146" s="12" t="str">
        <f aca="false">IF(OR(E2146="",E2146="!!!"),"",IF(OR(J2146=0,AND(J2146=1,K2146=1),AND(J2146=1,I2146="SBJ"),AND(J2146=1,I2146=0)),"?IN_FOCUS",IF(J2146&lt;=2,"?ACTIVATED",IF(J2146&lt;&gt;"","?FAMILIAR",IF(F2146="NEW",IF(ISNA(VLOOKUP(E2146,#REF!,1,FALSE())),"?TYPE_IDENTIFIABLE","?REFERENTIAL"),"_")))))</f>
        <v/>
      </c>
      <c r="H2146" s="13" t="str">
        <f aca="false">IF(J2146&lt;&gt;1,"",IF(I2146="SBJ","CB","?"))</f>
        <v/>
      </c>
      <c r="I2146" s="14" t="str">
        <f aca="false">IF(OR(E2146="",E2146="!!!",F2146="NEW"),"",INDEX(B$2:B2145,-1+SUMPRODUCT(MAX(ROW(E$2:E2145)*(E2146=E$2:E2145)))))</f>
        <v/>
      </c>
      <c r="J2146" s="15" t="str">
        <f aca="true">IF(OR(E2146="",E2146="!!!",F2146="NEW"),"",COUNTBLANK(OFFSET(A$1,,,SUMPRODUCT(MAX(ROW(E$2:E2146)*(E2146=E$2:E2146)))))-COUNTBLANK(OFFSET(A$1,,,SUMPRODUCT(MAX(ROW(E$1:E2145)*(E2146=E$1:E2145))))))</f>
        <v/>
      </c>
      <c r="K2146" s="15" t="str">
        <f aca="false">IF(OR(E2146="",E2146="!!!",F2146="NEW"),"",INDEX(J$1:J2145,SUMPRODUCT(MAX(ROW(E$1:E2145)*(E2146=E$1:E2145)))))</f>
        <v/>
      </c>
      <c r="L2146" s="16"/>
    </row>
    <row r="2147" customFormat="false" ht="12.8" hidden="false" customHeight="false" outlineLevel="0" collapsed="false">
      <c r="A2147" s="0" t="s">
        <v>76</v>
      </c>
      <c r="E2147" s="10" t="str">
        <f aca="false">IF(D2147="?OLD","!!!","")</f>
        <v/>
      </c>
      <c r="F2147" s="11" t="str">
        <f aca="false">IF(OR(E2147="",E2147="!!!"),"",IF(NOT(ISNA(VLOOKUP(E2147,E$1:E2146,1,FALSE()))),"OLD",IF(AND(E2147&lt;&gt;"",E2147&lt;&gt;"!!!"),"NEW","")))</f>
        <v/>
      </c>
      <c r="G2147" s="12" t="str">
        <f aca="false">IF(OR(E2147="",E2147="!!!"),"",IF(OR(J2147=0,AND(J2147=1,K2147=1),AND(J2147=1,I2147="SBJ"),AND(J2147=1,I2147=0)),"?IN_FOCUS",IF(J2147&lt;=2,"?ACTIVATED",IF(J2147&lt;&gt;"","?FAMILIAR",IF(F2147="NEW",IF(ISNA(VLOOKUP(E2147,#REF!,1,FALSE())),"?TYPE_IDENTIFIABLE","?REFERENTIAL"),"_")))))</f>
        <v/>
      </c>
      <c r="H2147" s="13" t="str">
        <f aca="false">IF(J2147&lt;&gt;1,"",IF(I2147="SBJ","CB","?"))</f>
        <v/>
      </c>
      <c r="I2147" s="14" t="str">
        <f aca="false">IF(OR(E2147="",E2147="!!!",F2147="NEW"),"",INDEX(B$2:B2146,-1+SUMPRODUCT(MAX(ROW(E$2:E2146)*(E2147=E$2:E2146)))))</f>
        <v/>
      </c>
      <c r="J2147" s="15" t="str">
        <f aca="true">IF(OR(E2147="",E2147="!!!",F2147="NEW"),"",COUNTBLANK(OFFSET(A$1,,,SUMPRODUCT(MAX(ROW(E$2:E2147)*(E2147=E$2:E2147)))))-COUNTBLANK(OFFSET(A$1,,,SUMPRODUCT(MAX(ROW(E$1:E2146)*(E2147=E$1:E2146))))))</f>
        <v/>
      </c>
      <c r="K2147" s="15" t="str">
        <f aca="false">IF(OR(E2147="",E2147="!!!",F2147="NEW"),"",INDEX(J$1:J2146,SUMPRODUCT(MAX(ROW(E$1:E2146)*(E2147=E$1:E2146)))))</f>
        <v/>
      </c>
      <c r="L2147" s="16"/>
    </row>
    <row r="2148" customFormat="false" ht="12.8" hidden="false" customHeight="false" outlineLevel="0" collapsed="false">
      <c r="E2148" s="10" t="str">
        <f aca="false">IF(D2148="?OLD","!!!","")</f>
        <v/>
      </c>
      <c r="F2148" s="11" t="str">
        <f aca="false">IF(OR(E2148="",E2148="!!!"),"",IF(NOT(ISNA(VLOOKUP(E2148,E$1:E2147,1,FALSE()))),"OLD",IF(AND(E2148&lt;&gt;"",E2148&lt;&gt;"!!!"),"NEW","")))</f>
        <v/>
      </c>
      <c r="G2148" s="12" t="str">
        <f aca="false">IF(OR(E2148="",E2148="!!!"),"",IF(OR(J2148=0,AND(J2148=1,K2148=1),AND(J2148=1,I2148="SBJ"),AND(J2148=1,I2148=0)),"?IN_FOCUS",IF(J2148&lt;=2,"?ACTIVATED",IF(J2148&lt;&gt;"","?FAMILIAR",IF(F2148="NEW",IF(ISNA(VLOOKUP(E2148,#REF!,1,FALSE())),"?TYPE_IDENTIFIABLE","?REFERENTIAL"),"_")))))</f>
        <v/>
      </c>
      <c r="H2148" s="13" t="str">
        <f aca="false">IF(J2148&lt;&gt;1,"",IF(I2148="SBJ","CB","?"))</f>
        <v/>
      </c>
      <c r="I2148" s="14" t="str">
        <f aca="false">IF(OR(E2148="",E2148="!!!",F2148="NEW"),"",INDEX(B$2:B2147,-1+SUMPRODUCT(MAX(ROW(E$2:E2147)*(E2148=E$2:E2147)))))</f>
        <v/>
      </c>
      <c r="J2148" s="15" t="str">
        <f aca="true">IF(OR(E2148="",E2148="!!!",F2148="NEW"),"",COUNTBLANK(OFFSET(A$1,,,SUMPRODUCT(MAX(ROW(E$2:E2148)*(E2148=E$2:E2148)))))-COUNTBLANK(OFFSET(A$1,,,SUMPRODUCT(MAX(ROW(E$1:E2147)*(E2148=E$1:E2147))))))</f>
        <v/>
      </c>
      <c r="K2148" s="15" t="str">
        <f aca="false">IF(OR(E2148="",E2148="!!!",F2148="NEW"),"",INDEX(J$1:J2147,SUMPRODUCT(MAX(ROW(E$1:E2147)*(E2148=E$1:E2147)))))</f>
        <v/>
      </c>
      <c r="L2148" s="16"/>
    </row>
    <row r="2149" customFormat="false" ht="12.8" hidden="false" customHeight="false" outlineLevel="0" collapsed="false">
      <c r="A2149" s="0" t="s">
        <v>503</v>
      </c>
      <c r="E2149" s="10" t="str">
        <f aca="false">IF(D2149="?OLD","!!!","")</f>
        <v/>
      </c>
      <c r="F2149" s="11" t="str">
        <f aca="false">IF(OR(E2149="",E2149="!!!"),"",IF(NOT(ISNA(VLOOKUP(E2149,E$1:E2148,1,FALSE()))),"OLD",IF(AND(E2149&lt;&gt;"",E2149&lt;&gt;"!!!"),"NEW","")))</f>
        <v/>
      </c>
      <c r="G2149" s="12" t="str">
        <f aca="false">IF(OR(E2149="",E2149="!!!"),"",IF(OR(J2149=0,AND(J2149=1,K2149=1),AND(J2149=1,I2149="SBJ"),AND(J2149=1,I2149=0)),"?IN_FOCUS",IF(J2149&lt;=2,"?ACTIVATED",IF(J2149&lt;&gt;"","?FAMILIAR",IF(F2149="NEW",IF(ISNA(VLOOKUP(E2149,#REF!,1,FALSE())),"?TYPE_IDENTIFIABLE","?REFERENTIAL"),"_")))))</f>
        <v/>
      </c>
      <c r="H2149" s="13" t="str">
        <f aca="false">IF(J2149&lt;&gt;1,"",IF(I2149="SBJ","CB","?"))</f>
        <v/>
      </c>
      <c r="I2149" s="14" t="str">
        <f aca="false">IF(OR(E2149="",E2149="!!!",F2149="NEW"),"",INDEX(B$2:B2148,-1+SUMPRODUCT(MAX(ROW(E$2:E2148)*(E2149=E$2:E2148)))))</f>
        <v/>
      </c>
      <c r="J2149" s="15" t="str">
        <f aca="true">IF(OR(E2149="",E2149="!!!",F2149="NEW"),"",COUNTBLANK(OFFSET(A$1,,,SUMPRODUCT(MAX(ROW(E$2:E2149)*(E2149=E$2:E2149)))))-COUNTBLANK(OFFSET(A$1,,,SUMPRODUCT(MAX(ROW(E$1:E2148)*(E2149=E$1:E2148))))))</f>
        <v/>
      </c>
      <c r="K2149" s="15" t="str">
        <f aca="false">IF(OR(E2149="",E2149="!!!",F2149="NEW"),"",INDEX(J$1:J2148,SUMPRODUCT(MAX(ROW(E$1:E2148)*(E2149=E$1:E2148)))))</f>
        <v/>
      </c>
      <c r="L2149" s="16"/>
    </row>
    <row r="2150" customFormat="false" ht="12.8" hidden="false" customHeight="false" outlineLevel="0" collapsed="false">
      <c r="A2150" s="0" t="s">
        <v>946</v>
      </c>
      <c r="E2150" s="10" t="str">
        <f aca="false">IF(D2150="?OLD","!!!","")</f>
        <v/>
      </c>
      <c r="F2150" s="11" t="str">
        <f aca="false">IF(OR(E2150="",E2150="!!!"),"",IF(NOT(ISNA(VLOOKUP(E2150,E$1:E2149,1,FALSE()))),"OLD",IF(AND(E2150&lt;&gt;"",E2150&lt;&gt;"!!!"),"NEW","")))</f>
        <v/>
      </c>
      <c r="G2150" s="12" t="str">
        <f aca="false">IF(OR(E2150="",E2150="!!!"),"",IF(OR(J2150=0,AND(J2150=1,K2150=1),AND(J2150=1,I2150="SBJ"),AND(J2150=1,I2150=0)),"?IN_FOCUS",IF(J2150&lt;=2,"?ACTIVATED",IF(J2150&lt;&gt;"","?FAMILIAR",IF(F2150="NEW",IF(ISNA(VLOOKUP(E2150,#REF!,1,FALSE())),"?TYPE_IDENTIFIABLE","?REFERENTIAL"),"_")))))</f>
        <v/>
      </c>
      <c r="H2150" s="13" t="str">
        <f aca="false">IF(J2150&lt;&gt;1,"",IF(I2150="SBJ","CB","?"))</f>
        <v/>
      </c>
      <c r="I2150" s="14" t="str">
        <f aca="false">IF(OR(E2150="",E2150="!!!",F2150="NEW"),"",INDEX(B$2:B2149,-1+SUMPRODUCT(MAX(ROW(E$2:E2149)*(E2150=E$2:E2149)))))</f>
        <v/>
      </c>
      <c r="J2150" s="15" t="str">
        <f aca="true">IF(OR(E2150="",E2150="!!!",F2150="NEW"),"",COUNTBLANK(OFFSET(A$1,,,SUMPRODUCT(MAX(ROW(E$2:E2150)*(E2150=E$2:E2150)))))-COUNTBLANK(OFFSET(A$1,,,SUMPRODUCT(MAX(ROW(E$1:E2149)*(E2150=E$1:E2149))))))</f>
        <v/>
      </c>
      <c r="K2150" s="15" t="str">
        <f aca="false">IF(OR(E2150="",E2150="!!!",F2150="NEW"),"",INDEX(J$1:J2149,SUMPRODUCT(MAX(ROW(E$1:E2149)*(E2150=E$1:E2149)))))</f>
        <v/>
      </c>
      <c r="L2150" s="16"/>
    </row>
    <row r="2151" customFormat="false" ht="12.8" hidden="false" customHeight="false" outlineLevel="0" collapsed="false">
      <c r="A2151" s="0" t="s">
        <v>262</v>
      </c>
      <c r="E2151" s="10" t="str">
        <f aca="false">IF(D2151="?OLD","!!!","")</f>
        <v/>
      </c>
      <c r="F2151" s="11" t="str">
        <f aca="false">IF(OR(E2151="",E2151="!!!"),"",IF(NOT(ISNA(VLOOKUP(E2151,E$1:E2150,1,FALSE()))),"OLD",IF(AND(E2151&lt;&gt;"",E2151&lt;&gt;"!!!"),"NEW","")))</f>
        <v/>
      </c>
      <c r="G2151" s="12" t="str">
        <f aca="false">IF(OR(E2151="",E2151="!!!"),"",IF(OR(J2151=0,AND(J2151=1,K2151=1),AND(J2151=1,I2151="SBJ"),AND(J2151=1,I2151=0)),"?IN_FOCUS",IF(J2151&lt;=2,"?ACTIVATED",IF(J2151&lt;&gt;"","?FAMILIAR",IF(F2151="NEW",IF(ISNA(VLOOKUP(E2151,#REF!,1,FALSE())),"?TYPE_IDENTIFIABLE","?REFERENTIAL"),"_")))))</f>
        <v/>
      </c>
      <c r="H2151" s="13" t="str">
        <f aca="false">IF(J2151&lt;&gt;1,"",IF(I2151="SBJ","CB","?"))</f>
        <v/>
      </c>
      <c r="I2151" s="14" t="str">
        <f aca="false">IF(OR(E2151="",E2151="!!!",F2151="NEW"),"",INDEX(B$2:B2150,-1+SUMPRODUCT(MAX(ROW(E$2:E2150)*(E2151=E$2:E2150)))))</f>
        <v/>
      </c>
      <c r="J2151" s="15" t="str">
        <f aca="true">IF(OR(E2151="",E2151="!!!",F2151="NEW"),"",COUNTBLANK(OFFSET(A$1,,,SUMPRODUCT(MAX(ROW(E$2:E2151)*(E2151=E$2:E2151)))))-COUNTBLANK(OFFSET(A$1,,,SUMPRODUCT(MAX(ROW(E$1:E2150)*(E2151=E$1:E2150))))))</f>
        <v/>
      </c>
      <c r="K2151" s="15" t="str">
        <f aca="false">IF(OR(E2151="",E2151="!!!",F2151="NEW"),"",INDEX(J$1:J2150,SUMPRODUCT(MAX(ROW(E$1:E2150)*(E2151=E$1:E2150)))))</f>
        <v/>
      </c>
      <c r="L2151" s="16"/>
    </row>
    <row r="2152" customFormat="false" ht="12.8" hidden="false" customHeight="false" outlineLevel="0" collapsed="false">
      <c r="A2152" s="0" t="s">
        <v>171</v>
      </c>
      <c r="B2152" s="0" t="s">
        <v>34</v>
      </c>
      <c r="C2152" s="0" t="s">
        <v>172</v>
      </c>
      <c r="E2152" s="10" t="str">
        <f aca="false">IF(D2152="?OLD","!!!","")</f>
        <v/>
      </c>
      <c r="F2152" s="11" t="str">
        <f aca="false">IF(OR(E2152="",E2152="!!!"),"",IF(NOT(ISNA(VLOOKUP(E2152,E$1:E2151,1,FALSE()))),"OLD",IF(AND(E2152&lt;&gt;"",E2152&lt;&gt;"!!!"),"NEW","")))</f>
        <v/>
      </c>
      <c r="G2152" s="12" t="str">
        <f aca="false">IF(OR(E2152="",E2152="!!!"),"",IF(OR(J2152=0,AND(J2152=1,K2152=1),AND(J2152=1,I2152="SBJ"),AND(J2152=1,I2152=0)),"?IN_FOCUS",IF(J2152&lt;=2,"?ACTIVATED",IF(J2152&lt;&gt;"","?FAMILIAR",IF(F2152="NEW",IF(ISNA(VLOOKUP(E2152,#REF!,1,FALSE())),"?TYPE_IDENTIFIABLE","?REFERENTIAL"),"_")))))</f>
        <v/>
      </c>
      <c r="H2152" s="13" t="str">
        <f aca="false">IF(J2152&lt;&gt;1,"",IF(I2152="SBJ","CB","?"))</f>
        <v/>
      </c>
      <c r="I2152" s="14" t="str">
        <f aca="false">IF(OR(E2152="",E2152="!!!",F2152="NEW"),"",INDEX(B$2:B2151,-1+SUMPRODUCT(MAX(ROW(E$2:E2151)*(E2152=E$2:E2151)))))</f>
        <v/>
      </c>
      <c r="J2152" s="15" t="str">
        <f aca="true">IF(OR(E2152="",E2152="!!!",F2152="NEW"),"",COUNTBLANK(OFFSET(A$1,,,SUMPRODUCT(MAX(ROW(E$2:E2152)*(E2152=E$2:E2152)))))-COUNTBLANK(OFFSET(A$1,,,SUMPRODUCT(MAX(ROW(E$1:E2151)*(E2152=E$1:E2151))))))</f>
        <v/>
      </c>
      <c r="K2152" s="15" t="str">
        <f aca="false">IF(OR(E2152="",E2152="!!!",F2152="NEW"),"",INDEX(J$1:J2151,SUMPRODUCT(MAX(ROW(E$1:E2151)*(E2152=E$1:E2151)))))</f>
        <v/>
      </c>
      <c r="L2152" s="16"/>
    </row>
    <row r="2153" customFormat="false" ht="12.8" hidden="false" customHeight="false" outlineLevel="0" collapsed="false">
      <c r="A2153" s="0" t="s">
        <v>46</v>
      </c>
      <c r="B2153" s="0" t="s">
        <v>53</v>
      </c>
      <c r="C2153" s="0" t="s">
        <v>48</v>
      </c>
      <c r="D2153" s="0" t="s">
        <v>20</v>
      </c>
      <c r="E2153" s="10" t="s">
        <v>49</v>
      </c>
      <c r="F2153" s="11" t="str">
        <f aca="false">IF(OR(E2153="",E2153="!!!"),"",IF(NOT(ISNA(VLOOKUP(E2153,E$1:E2152,1,FALSE()))),"OLD",IF(AND(E2153&lt;&gt;"",E2153&lt;&gt;"!!!"),"NEW","")))</f>
        <v>OLD</v>
      </c>
      <c r="G2153" s="12" t="s">
        <v>87</v>
      </c>
      <c r="H2153" s="13" t="s">
        <v>7</v>
      </c>
      <c r="I2153" s="14" t="str">
        <f aca="false">IF(OR(E2153="",E2153="!!!",F2153="NEW"),"",INDEX(B$2:B2152,-1+SUMPRODUCT(MAX(ROW(E$2:E2152)*(E2153=E$2:E2152)))))</f>
        <v>SBJ_4</v>
      </c>
      <c r="J2153" s="15" t="n">
        <f aca="true">IF(OR(E2153="",E2153="!!!",F2153="NEW"),"",COUNTBLANK(OFFSET(A$1,,,SUMPRODUCT(MAX(ROW(E$2:E2153)*(E2153=E$2:E2153)))))-COUNTBLANK(OFFSET(A$1,,,SUMPRODUCT(MAX(ROW(E$1:E2152)*(E2153=E$1:E2152))))))</f>
        <v>1</v>
      </c>
      <c r="K2153" s="15" t="n">
        <f aca="false">IF(OR(E2153="",E2153="!!!",F2153="NEW"),"",INDEX(J$1:J2152,SUMPRODUCT(MAX(ROW(E$1:E2152)*(E2153=E$1:E2152)))))</f>
        <v>0</v>
      </c>
      <c r="L2153" s="16"/>
    </row>
    <row r="2154" customFormat="false" ht="12.8" hidden="false" customHeight="false" outlineLevel="0" collapsed="false">
      <c r="A2154" s="0" t="s">
        <v>41</v>
      </c>
      <c r="E2154" s="10" t="str">
        <f aca="false">IF(D2154="?OLD","!!!","")</f>
        <v/>
      </c>
      <c r="F2154" s="11" t="str">
        <f aca="false">IF(OR(E2154="",E2154="!!!"),"",IF(NOT(ISNA(VLOOKUP(E2154,E$1:E2153,1,FALSE()))),"OLD",IF(AND(E2154&lt;&gt;"",E2154&lt;&gt;"!!!"),"NEW","")))</f>
        <v/>
      </c>
      <c r="G2154" s="12" t="str">
        <f aca="false">IF(OR(E2154="",E2154="!!!"),"",IF(OR(J2154=0,AND(J2154=1,K2154=1),AND(J2154=1,I2154="SBJ"),AND(J2154=1,I2154=0)),"?IN_FOCUS",IF(J2154&lt;=2,"?ACTIVATED",IF(J2154&lt;&gt;"","?FAMILIAR",IF(F2154="NEW",IF(ISNA(VLOOKUP(E2154,#REF!,1,FALSE())),"?TYPE_IDENTIFIABLE","?REFERENTIAL"),"_")))))</f>
        <v/>
      </c>
      <c r="H2154" s="13" t="str">
        <f aca="false">IF(J2154&lt;&gt;1,"",IF(I2154="SBJ","CB","?"))</f>
        <v/>
      </c>
      <c r="I2154" s="14" t="str">
        <f aca="false">IF(OR(E2154="",E2154="!!!",F2154="NEW"),"",INDEX(B$2:B2153,-1+SUMPRODUCT(MAX(ROW(E$2:E2153)*(E2154=E$2:E2153)))))</f>
        <v/>
      </c>
      <c r="J2154" s="15" t="str">
        <f aca="true">IF(OR(E2154="",E2154="!!!",F2154="NEW"),"",COUNTBLANK(OFFSET(A$1,,,SUMPRODUCT(MAX(ROW(E$2:E2154)*(E2154=E$2:E2154)))))-COUNTBLANK(OFFSET(A$1,,,SUMPRODUCT(MAX(ROW(E$1:E2153)*(E2154=E$1:E2153))))))</f>
        <v/>
      </c>
      <c r="K2154" s="15" t="str">
        <f aca="false">IF(OR(E2154="",E2154="!!!",F2154="NEW"),"",INDEX(J$1:J2153,SUMPRODUCT(MAX(ROW(E$1:E2153)*(E2154=E$1:E2153)))))</f>
        <v/>
      </c>
      <c r="L2154" s="16"/>
    </row>
    <row r="2155" customFormat="false" ht="12.8" hidden="false" customHeight="false" outlineLevel="0" collapsed="false">
      <c r="A2155" s="0" t="s">
        <v>88</v>
      </c>
      <c r="E2155" s="10" t="str">
        <f aca="false">IF(D2155="?OLD","!!!","")</f>
        <v/>
      </c>
      <c r="F2155" s="11" t="str">
        <f aca="false">IF(OR(E2155="",E2155="!!!"),"",IF(NOT(ISNA(VLOOKUP(E2155,E$1:E2154,1,FALSE()))),"OLD",IF(AND(E2155&lt;&gt;"",E2155&lt;&gt;"!!!"),"NEW","")))</f>
        <v/>
      </c>
      <c r="G2155" s="12" t="str">
        <f aca="false">IF(OR(E2155="",E2155="!!!"),"",IF(OR(J2155=0,AND(J2155=1,K2155=1),AND(J2155=1,I2155="SBJ"),AND(J2155=1,I2155=0)),"?IN_FOCUS",IF(J2155&lt;=2,"?ACTIVATED",IF(J2155&lt;&gt;"","?FAMILIAR",IF(F2155="NEW",IF(ISNA(VLOOKUP(E2155,#REF!,1,FALSE())),"?TYPE_IDENTIFIABLE","?REFERENTIAL"),"_")))))</f>
        <v/>
      </c>
      <c r="H2155" s="13" t="str">
        <f aca="false">IF(J2155&lt;&gt;1,"",IF(I2155="SBJ","CB","?"))</f>
        <v/>
      </c>
      <c r="I2155" s="14" t="str">
        <f aca="false">IF(OR(E2155="",E2155="!!!",F2155="NEW"),"",INDEX(B$2:B2154,-1+SUMPRODUCT(MAX(ROW(E$2:E2154)*(E2155=E$2:E2154)))))</f>
        <v/>
      </c>
      <c r="J2155" s="15" t="str">
        <f aca="true">IF(OR(E2155="",E2155="!!!",F2155="NEW"),"",COUNTBLANK(OFFSET(A$1,,,SUMPRODUCT(MAX(ROW(E$2:E2155)*(E2155=E$2:E2155)))))-COUNTBLANK(OFFSET(A$1,,,SUMPRODUCT(MAX(ROW(E$1:E2154)*(E2155=E$1:E2154))))))</f>
        <v/>
      </c>
      <c r="K2155" s="15" t="str">
        <f aca="false">IF(OR(E2155="",E2155="!!!",F2155="NEW"),"",INDEX(J$1:J2154,SUMPRODUCT(MAX(ROW(E$1:E2154)*(E2155=E$1:E2154)))))</f>
        <v/>
      </c>
      <c r="L2155" s="16"/>
    </row>
    <row r="2156" customFormat="false" ht="12.8" hidden="false" customHeight="false" outlineLevel="0" collapsed="false">
      <c r="A2156" s="0" t="s">
        <v>249</v>
      </c>
      <c r="E2156" s="10" t="str">
        <f aca="false">IF(D2156="?OLD","!!!","")</f>
        <v/>
      </c>
      <c r="F2156" s="11" t="str">
        <f aca="false">IF(OR(E2156="",E2156="!!!"),"",IF(NOT(ISNA(VLOOKUP(E2156,E$1:E2155,1,FALSE()))),"OLD",IF(AND(E2156&lt;&gt;"",E2156&lt;&gt;"!!!"),"NEW","")))</f>
        <v/>
      </c>
      <c r="G2156" s="12" t="str">
        <f aca="false">IF(OR(E2156="",E2156="!!!"),"",IF(OR(J2156=0,AND(J2156=1,K2156=1),AND(J2156=1,I2156="SBJ"),AND(J2156=1,I2156=0)),"?IN_FOCUS",IF(J2156&lt;=2,"?ACTIVATED",IF(J2156&lt;&gt;"","?FAMILIAR",IF(F2156="NEW",IF(ISNA(VLOOKUP(E2156,#REF!,1,FALSE())),"?TYPE_IDENTIFIABLE","?REFERENTIAL"),"_")))))</f>
        <v/>
      </c>
      <c r="H2156" s="13" t="str">
        <f aca="false">IF(J2156&lt;&gt;1,"",IF(I2156="SBJ","CB","?"))</f>
        <v/>
      </c>
      <c r="I2156" s="14" t="str">
        <f aca="false">IF(OR(E2156="",E2156="!!!",F2156="NEW"),"",INDEX(B$2:B2155,-1+SUMPRODUCT(MAX(ROW(E$2:E2155)*(E2156=E$2:E2155)))))</f>
        <v/>
      </c>
      <c r="J2156" s="15" t="str">
        <f aca="true">IF(OR(E2156="",E2156="!!!",F2156="NEW"),"",COUNTBLANK(OFFSET(A$1,,,SUMPRODUCT(MAX(ROW(E$2:E2156)*(E2156=E$2:E2156)))))-COUNTBLANK(OFFSET(A$1,,,SUMPRODUCT(MAX(ROW(E$1:E2155)*(E2156=E$1:E2155))))))</f>
        <v/>
      </c>
      <c r="K2156" s="15" t="str">
        <f aca="false">IF(OR(E2156="",E2156="!!!",F2156="NEW"),"",INDEX(J$1:J2155,SUMPRODUCT(MAX(ROW(E$1:E2155)*(E2156=E$1:E2155)))))</f>
        <v/>
      </c>
      <c r="L2156" s="16"/>
    </row>
    <row r="2157" customFormat="false" ht="12.8" hidden="false" customHeight="false" outlineLevel="0" collapsed="false">
      <c r="A2157" s="0" t="s">
        <v>72</v>
      </c>
      <c r="B2157" s="0" t="s">
        <v>173</v>
      </c>
      <c r="C2157" s="0" t="s">
        <v>48</v>
      </c>
      <c r="D2157" s="0" t="s">
        <v>20</v>
      </c>
      <c r="E2157" s="10" t="s">
        <v>918</v>
      </c>
      <c r="F2157" s="11" t="str">
        <f aca="false">IF(OR(E2157="",E2157="!!!"),"",IF(NOT(ISNA(VLOOKUP(E2157,E$1:E2156,1,FALSE()))),"OLD",IF(AND(E2157&lt;&gt;"",E2157&lt;&gt;"!!!"),"NEW","")))</f>
        <v>OLD</v>
      </c>
      <c r="G2157" s="12" t="s">
        <v>80</v>
      </c>
      <c r="H2157" s="13" t="str">
        <f aca="false">IF(J2157&lt;&gt;1,"",IF(I2157="SBJ","CB","?"))</f>
        <v/>
      </c>
      <c r="I2157" s="14" t="str">
        <f aca="false">IF(OR(E2157="",E2157="!!!",F2157="NEW"),"",INDEX(B$2:B2156,-1+SUMPRODUCT(MAX(ROW(E$2:E2156)*(E2157=E$2:E2156)))))</f>
        <v>SBJ_2</v>
      </c>
      <c r="J2157" s="15" t="n">
        <f aca="true">IF(OR(E2157="",E2157="!!!",F2157="NEW"),"",COUNTBLANK(OFFSET(A$1,,,SUMPRODUCT(MAX(ROW(E$2:E2157)*(E2157=E$2:E2157)))))-COUNTBLANK(OFFSET(A$1,,,SUMPRODUCT(MAX(ROW(E$1:E2156)*(E2157=E$1:E2156))))))</f>
        <v>2</v>
      </c>
      <c r="K2157" s="15" t="n">
        <f aca="false">IF(OR(E2157="",E2157="!!!",F2157="NEW"),"",INDEX(J$1:J2156,SUMPRODUCT(MAX(ROW(E$1:E2156)*(E2157=E$1:E2156)))))</f>
        <v>0</v>
      </c>
      <c r="L2157" s="16"/>
    </row>
    <row r="2158" customFormat="false" ht="12.8" hidden="false" customHeight="false" outlineLevel="0" collapsed="false">
      <c r="A2158" s="0" t="s">
        <v>37</v>
      </c>
      <c r="E2158" s="10" t="str">
        <f aca="false">IF(D2158="?OLD","!!!","")</f>
        <v/>
      </c>
      <c r="F2158" s="11" t="str">
        <f aca="false">IF(OR(E2158="",E2158="!!!"),"",IF(NOT(ISNA(VLOOKUP(E2158,E$1:E2157,1,FALSE()))),"OLD",IF(AND(E2158&lt;&gt;"",E2158&lt;&gt;"!!!"),"NEW","")))</f>
        <v/>
      </c>
      <c r="G2158" s="12" t="str">
        <f aca="false">IF(OR(E2158="",E2158="!!!"),"",IF(OR(J2158=0,AND(J2158=1,K2158=1),AND(J2158=1,I2158="SBJ"),AND(J2158=1,I2158=0)),"?IN_FOCUS",IF(J2158&lt;=2,"?ACTIVATED",IF(J2158&lt;&gt;"","?FAMILIAR",IF(F2158="NEW",IF(ISNA(VLOOKUP(E2158,#REF!,1,FALSE())),"?TYPE_IDENTIFIABLE","?REFERENTIAL"),"_")))))</f>
        <v/>
      </c>
      <c r="H2158" s="13" t="str">
        <f aca="false">IF(J2158&lt;&gt;1,"",IF(I2158="SBJ","CB","?"))</f>
        <v/>
      </c>
      <c r="I2158" s="14" t="str">
        <f aca="false">IF(OR(E2158="",E2158="!!!",F2158="NEW"),"",INDEX(B$2:B2157,-1+SUMPRODUCT(MAX(ROW(E$2:E2157)*(E2158=E$2:E2157)))))</f>
        <v/>
      </c>
      <c r="J2158" s="15" t="str">
        <f aca="true">IF(OR(E2158="",E2158="!!!",F2158="NEW"),"",COUNTBLANK(OFFSET(A$1,,,SUMPRODUCT(MAX(ROW(E$2:E2158)*(E2158=E$2:E2158)))))-COUNTBLANK(OFFSET(A$1,,,SUMPRODUCT(MAX(ROW(E$1:E2157)*(E2158=E$1:E2157))))))</f>
        <v/>
      </c>
      <c r="K2158" s="15" t="str">
        <f aca="false">IF(OR(E2158="",E2158="!!!",F2158="NEW"),"",INDEX(J$1:J2157,SUMPRODUCT(MAX(ROW(E$1:E2157)*(E2158=E$1:E2157)))))</f>
        <v/>
      </c>
      <c r="L2158" s="16"/>
    </row>
    <row r="2159" customFormat="false" ht="12.8" hidden="false" customHeight="false" outlineLevel="0" collapsed="false">
      <c r="A2159" s="0" t="s">
        <v>51</v>
      </c>
      <c r="E2159" s="10" t="str">
        <f aca="false">IF(D2159="?OLD","!!!","")</f>
        <v/>
      </c>
      <c r="F2159" s="11" t="str">
        <f aca="false">IF(OR(E2159="",E2159="!!!"),"",IF(NOT(ISNA(VLOOKUP(E2159,E$1:E2158,1,FALSE()))),"OLD",IF(AND(E2159&lt;&gt;"",E2159&lt;&gt;"!!!"),"NEW","")))</f>
        <v/>
      </c>
      <c r="G2159" s="12" t="str">
        <f aca="false">IF(OR(E2159="",E2159="!!!"),"",IF(OR(J2159=0,AND(J2159=1,K2159=1),AND(J2159=1,I2159="SBJ"),AND(J2159=1,I2159=0)),"?IN_FOCUS",IF(J2159&lt;=2,"?ACTIVATED",IF(J2159&lt;&gt;"","?FAMILIAR",IF(F2159="NEW",IF(ISNA(VLOOKUP(E2159,#REF!,1,FALSE())),"?TYPE_IDENTIFIABLE","?REFERENTIAL"),"_")))))</f>
        <v/>
      </c>
      <c r="H2159" s="13" t="str">
        <f aca="false">IF(J2159&lt;&gt;1,"",IF(I2159="SBJ","CB","?"))</f>
        <v/>
      </c>
      <c r="I2159" s="14" t="str">
        <f aca="false">IF(OR(E2159="",E2159="!!!",F2159="NEW"),"",INDEX(B$2:B2158,-1+SUMPRODUCT(MAX(ROW(E$2:E2158)*(E2159=E$2:E2158)))))</f>
        <v/>
      </c>
      <c r="J2159" s="15" t="str">
        <f aca="true">IF(OR(E2159="",E2159="!!!",F2159="NEW"),"",COUNTBLANK(OFFSET(A$1,,,SUMPRODUCT(MAX(ROW(E$2:E2159)*(E2159=E$2:E2159)))))-COUNTBLANK(OFFSET(A$1,,,SUMPRODUCT(MAX(ROW(E$1:E2158)*(E2159=E$1:E2158))))))</f>
        <v/>
      </c>
      <c r="K2159" s="15" t="str">
        <f aca="false">IF(OR(E2159="",E2159="!!!",F2159="NEW"),"",INDEX(J$1:J2158,SUMPRODUCT(MAX(ROW(E$1:E2158)*(E2159=E$1:E2158)))))</f>
        <v/>
      </c>
      <c r="L2159" s="16"/>
    </row>
    <row r="2160" customFormat="false" ht="12.8" hidden="false" customHeight="false" outlineLevel="0" collapsed="false">
      <c r="A2160" s="0" t="s">
        <v>72</v>
      </c>
      <c r="B2160" s="0" t="s">
        <v>158</v>
      </c>
      <c r="C2160" s="0" t="s">
        <v>48</v>
      </c>
      <c r="D2160" s="0" t="s">
        <v>20</v>
      </c>
      <c r="E2160" s="10" t="s">
        <v>918</v>
      </c>
      <c r="F2160" s="11" t="str">
        <f aca="false">IF(OR(E2160="",E2160="!!!"),"",IF(NOT(ISNA(VLOOKUP(E2160,E$1:E2159,1,FALSE()))),"OLD",IF(AND(E2160&lt;&gt;"",E2160&lt;&gt;"!!!"),"NEW","")))</f>
        <v>OLD</v>
      </c>
      <c r="G2160" s="12" t="s">
        <v>87</v>
      </c>
      <c r="H2160" s="13" t="str">
        <f aca="false">IF(J2160&lt;&gt;1,"",IF(I2160="SBJ","CB","?"))</f>
        <v/>
      </c>
      <c r="I2160" s="14" t="str">
        <f aca="false">IF(OR(E2160="",E2160="!!!",F2160="NEW"),"",INDEX(B$2:B2159,-1+SUMPRODUCT(MAX(ROW(E$2:E2159)*(E2160=E$2:E2159)))))</f>
        <v>SBJ_4</v>
      </c>
      <c r="J2160" s="15" t="n">
        <f aca="true">IF(OR(E2160="",E2160="!!!",F2160="NEW"),"",COUNTBLANK(OFFSET(A$1,,,SUMPRODUCT(MAX(ROW(E$2:E2160)*(E2160=E$2:E2160)))))-COUNTBLANK(OFFSET(A$1,,,SUMPRODUCT(MAX(ROW(E$1:E2159)*(E2160=E$1:E2159))))))</f>
        <v>0</v>
      </c>
      <c r="K2160" s="15" t="n">
        <f aca="false">IF(OR(E2160="",E2160="!!!",F2160="NEW"),"",INDEX(J$1:J2159,SUMPRODUCT(MAX(ROW(E$1:E2159)*(E2160=E$1:E2159)))))</f>
        <v>2</v>
      </c>
      <c r="L2160" s="16"/>
    </row>
    <row r="2161" customFormat="false" ht="12.8" hidden="false" customHeight="false" outlineLevel="0" collapsed="false">
      <c r="A2161" s="0" t="s">
        <v>947</v>
      </c>
      <c r="E2161" s="10" t="str">
        <f aca="false">IF(D2161="?OLD","!!!","")</f>
        <v/>
      </c>
      <c r="F2161" s="11" t="str">
        <f aca="false">IF(OR(E2161="",E2161="!!!"),"",IF(NOT(ISNA(VLOOKUP(E2161,E$1:E2160,1,FALSE()))),"OLD",IF(AND(E2161&lt;&gt;"",E2161&lt;&gt;"!!!"),"NEW","")))</f>
        <v/>
      </c>
      <c r="G2161" s="12" t="str">
        <f aca="false">IF(OR(E2161="",E2161="!!!"),"",IF(OR(J2161=0,AND(J2161=1,K2161=1),AND(J2161=1,I2161="SBJ"),AND(J2161=1,I2161=0)),"?IN_FOCUS",IF(J2161&lt;=2,"?ACTIVATED",IF(J2161&lt;&gt;"","?FAMILIAR",IF(F2161="NEW",IF(ISNA(VLOOKUP(E2161,#REF!,1,FALSE())),"?TYPE_IDENTIFIABLE","?REFERENTIAL"),"_")))))</f>
        <v/>
      </c>
      <c r="H2161" s="13" t="str">
        <f aca="false">IF(J2161&lt;&gt;1,"",IF(I2161="SBJ","CB","?"))</f>
        <v/>
      </c>
      <c r="I2161" s="14" t="str">
        <f aca="false">IF(OR(E2161="",E2161="!!!",F2161="NEW"),"",INDEX(B$2:B2160,-1+SUMPRODUCT(MAX(ROW(E$2:E2160)*(E2161=E$2:E2160)))))</f>
        <v/>
      </c>
      <c r="J2161" s="15" t="str">
        <f aca="true">IF(OR(E2161="",E2161="!!!",F2161="NEW"),"",COUNTBLANK(OFFSET(A$1,,,SUMPRODUCT(MAX(ROW(E$2:E2161)*(E2161=E$2:E2161)))))-COUNTBLANK(OFFSET(A$1,,,SUMPRODUCT(MAX(ROW(E$1:E2160)*(E2161=E$1:E2160))))))</f>
        <v/>
      </c>
      <c r="K2161" s="15" t="str">
        <f aca="false">IF(OR(E2161="",E2161="!!!",F2161="NEW"),"",INDEX(J$1:J2160,SUMPRODUCT(MAX(ROW(E$1:E2160)*(E2161=E$1:E2160)))))</f>
        <v/>
      </c>
      <c r="L2161" s="16"/>
    </row>
    <row r="2162" customFormat="false" ht="12.8" hidden="false" customHeight="false" outlineLevel="0" collapsed="false">
      <c r="A2162" s="0" t="s">
        <v>168</v>
      </c>
      <c r="B2162" s="0" t="s">
        <v>358</v>
      </c>
      <c r="C2162" s="0" t="s">
        <v>48</v>
      </c>
      <c r="D2162" s="0" t="s">
        <v>20</v>
      </c>
      <c r="E2162" s="10" t="s">
        <v>49</v>
      </c>
      <c r="F2162" s="11" t="str">
        <f aca="false">IF(OR(E2162="",E2162="!!!"),"",IF(NOT(ISNA(VLOOKUP(E2162,E$1:E2161,1,FALSE()))),"OLD",IF(AND(E2162&lt;&gt;"",E2162&lt;&gt;"!!!"),"NEW","")))</f>
        <v>OLD</v>
      </c>
      <c r="G2162" s="12" t="s">
        <v>87</v>
      </c>
      <c r="H2162" s="13" t="str">
        <f aca="false">IF(J2162&lt;&gt;1,"",IF(I2162="SBJ","CB","?"))</f>
        <v/>
      </c>
      <c r="I2162" s="14" t="str">
        <f aca="false">IF(OR(E2162="",E2162="!!!",F2162="NEW"),"",INDEX(B$2:B2161,-1+SUMPRODUCT(MAX(ROW(E$2:E2161)*(E2162=E$2:E2161)))))</f>
        <v>SBJ_3</v>
      </c>
      <c r="J2162" s="15" t="n">
        <f aca="true">IF(OR(E2162="",E2162="!!!",F2162="NEW"),"",COUNTBLANK(OFFSET(A$1,,,SUMPRODUCT(MAX(ROW(E$2:E2162)*(E2162=E$2:E2162)))))-COUNTBLANK(OFFSET(A$1,,,SUMPRODUCT(MAX(ROW(E$1:E2161)*(E2162=E$1:E2161))))))</f>
        <v>0</v>
      </c>
      <c r="K2162" s="15" t="n">
        <f aca="false">IF(OR(E2162="",E2162="!!!",F2162="NEW"),"",INDEX(J$1:J2161,SUMPRODUCT(MAX(ROW(E$1:E2161)*(E2162=E$1:E2161)))))</f>
        <v>1</v>
      </c>
      <c r="L2162" s="16"/>
    </row>
    <row r="2163" customFormat="false" ht="12.8" hidden="false" customHeight="false" outlineLevel="0" collapsed="false">
      <c r="A2163" s="0" t="s">
        <v>61</v>
      </c>
      <c r="E2163" s="10" t="str">
        <f aca="false">IF(D2163="?OLD","!!!","")</f>
        <v/>
      </c>
      <c r="F2163" s="11" t="str">
        <f aca="false">IF(OR(E2163="",E2163="!!!"),"",IF(NOT(ISNA(VLOOKUP(E2163,E$1:E2162,1,FALSE()))),"OLD",IF(AND(E2163&lt;&gt;"",E2163&lt;&gt;"!!!"),"NEW","")))</f>
        <v/>
      </c>
      <c r="G2163" s="12" t="str">
        <f aca="false">IF(OR(E2163="",E2163="!!!"),"",IF(OR(J2163=0,AND(J2163=1,K2163=1),AND(J2163=1,I2163="SBJ"),AND(J2163=1,I2163=0)),"?IN_FOCUS",IF(J2163&lt;=2,"?ACTIVATED",IF(J2163&lt;&gt;"","?FAMILIAR",IF(F2163="NEW",IF(ISNA(VLOOKUP(E2163,#REF!,1,FALSE())),"?TYPE_IDENTIFIABLE","?REFERENTIAL"),"_")))))</f>
        <v/>
      </c>
      <c r="H2163" s="13" t="str">
        <f aca="false">IF(J2163&lt;&gt;1,"",IF(I2163="SBJ","CB","?"))</f>
        <v/>
      </c>
      <c r="I2163" s="14" t="str">
        <f aca="false">IF(OR(E2163="",E2163="!!!",F2163="NEW"),"",INDEX(B$2:B2162,-1+SUMPRODUCT(MAX(ROW(E$2:E2162)*(E2163=E$2:E2162)))))</f>
        <v/>
      </c>
      <c r="J2163" s="15" t="str">
        <f aca="true">IF(OR(E2163="",E2163="!!!",F2163="NEW"),"",COUNTBLANK(OFFSET(A$1,,,SUMPRODUCT(MAX(ROW(E$2:E2163)*(E2163=E$2:E2163)))))-COUNTBLANK(OFFSET(A$1,,,SUMPRODUCT(MAX(ROW(E$1:E2162)*(E2163=E$1:E2162))))))</f>
        <v/>
      </c>
      <c r="K2163" s="15" t="str">
        <f aca="false">IF(OR(E2163="",E2163="!!!",F2163="NEW"),"",INDEX(J$1:J2162,SUMPRODUCT(MAX(ROW(E$1:E2162)*(E2163=E$1:E2162)))))</f>
        <v/>
      </c>
      <c r="L2163" s="16"/>
    </row>
    <row r="2164" customFormat="false" ht="12.8" hidden="false" customHeight="false" outlineLevel="0" collapsed="false">
      <c r="A2164" s="0" t="s">
        <v>120</v>
      </c>
      <c r="E2164" s="10" t="str">
        <f aca="false">IF(D2164="?OLD","!!!","")</f>
        <v/>
      </c>
      <c r="F2164" s="11" t="str">
        <f aca="false">IF(OR(E2164="",E2164="!!!"),"",IF(NOT(ISNA(VLOOKUP(E2164,E$1:E2163,1,FALSE()))),"OLD",IF(AND(E2164&lt;&gt;"",E2164&lt;&gt;"!!!"),"NEW","")))</f>
        <v/>
      </c>
      <c r="G2164" s="12" t="str">
        <f aca="false">IF(OR(E2164="",E2164="!!!"),"",IF(OR(J2164=0,AND(J2164=1,K2164=1),AND(J2164=1,I2164="SBJ"),AND(J2164=1,I2164=0)),"?IN_FOCUS",IF(J2164&lt;=2,"?ACTIVATED",IF(J2164&lt;&gt;"","?FAMILIAR",IF(F2164="NEW",IF(ISNA(VLOOKUP(E2164,#REF!,1,FALSE())),"?TYPE_IDENTIFIABLE","?REFERENTIAL"),"_")))))</f>
        <v/>
      </c>
      <c r="H2164" s="13" t="str">
        <f aca="false">IF(J2164&lt;&gt;1,"",IF(I2164="SBJ","CB","?"))</f>
        <v/>
      </c>
      <c r="I2164" s="14" t="str">
        <f aca="false">IF(OR(E2164="",E2164="!!!",F2164="NEW"),"",INDEX(B$2:B2163,-1+SUMPRODUCT(MAX(ROW(E$2:E2163)*(E2164=E$2:E2163)))))</f>
        <v/>
      </c>
      <c r="J2164" s="15" t="str">
        <f aca="true">IF(OR(E2164="",E2164="!!!",F2164="NEW"),"",COUNTBLANK(OFFSET(A$1,,,SUMPRODUCT(MAX(ROW(E$2:E2164)*(E2164=E$2:E2164)))))-COUNTBLANK(OFFSET(A$1,,,SUMPRODUCT(MAX(ROW(E$1:E2163)*(E2164=E$1:E2163))))))</f>
        <v/>
      </c>
      <c r="K2164" s="15" t="str">
        <f aca="false">IF(OR(E2164="",E2164="!!!",F2164="NEW"),"",INDEX(J$1:J2163,SUMPRODUCT(MAX(ROW(E$1:E2163)*(E2164=E$1:E2163)))))</f>
        <v/>
      </c>
      <c r="L2164" s="16"/>
    </row>
    <row r="2165" customFormat="false" ht="12.8" hidden="false" customHeight="false" outlineLevel="0" collapsed="false">
      <c r="A2165" s="0" t="s">
        <v>948</v>
      </c>
      <c r="B2165" s="0" t="s">
        <v>69</v>
      </c>
      <c r="C2165" s="0" t="s">
        <v>19</v>
      </c>
      <c r="D2165" s="0" t="s">
        <v>20</v>
      </c>
      <c r="E2165" s="10" t="s">
        <v>949</v>
      </c>
      <c r="F2165" s="11" t="str">
        <f aca="false">IF(OR(E2165="",E2165="!!!"),"",IF(NOT(ISNA(VLOOKUP(E2165,E$1:E2164,1,FALSE()))),"OLD",IF(AND(E2165&lt;&gt;"",E2165&lt;&gt;"!!!"),"NEW","")))</f>
        <v>NEW</v>
      </c>
      <c r="G2165" s="12" t="s">
        <v>36</v>
      </c>
      <c r="H2165" s="13" t="str">
        <f aca="false">IF(J2165&lt;&gt;1,"",IF(I2165="SBJ","CB","?"))</f>
        <v/>
      </c>
      <c r="I2165" s="14" t="str">
        <f aca="false">IF(OR(E2165="",E2165="!!!",F2165="NEW"),"",INDEX(B$2:B2164,-1+SUMPRODUCT(MAX(ROW(E$2:E2164)*(E2165=E$2:E2164)))))</f>
        <v/>
      </c>
      <c r="J2165" s="15" t="str">
        <f aca="true">IF(OR(E2165="",E2165="!!!",F2165="NEW"),"",COUNTBLANK(OFFSET(A$1,,,SUMPRODUCT(MAX(ROW(E$2:E2165)*(E2165=E$2:E2165)))))-COUNTBLANK(OFFSET(A$1,,,SUMPRODUCT(MAX(ROW(E$1:E2164)*(E2165=E$1:E2164))))))</f>
        <v/>
      </c>
      <c r="K2165" s="15" t="str">
        <f aca="false">IF(OR(E2165="",E2165="!!!",F2165="NEW"),"",INDEX(J$1:J2164,SUMPRODUCT(MAX(ROW(E$1:E2164)*(E2165=E$1:E2164)))))</f>
        <v/>
      </c>
      <c r="L2165" s="16"/>
    </row>
    <row r="2166" customFormat="false" ht="12.8" hidden="false" customHeight="false" outlineLevel="0" collapsed="false">
      <c r="A2166" s="0" t="s">
        <v>950</v>
      </c>
      <c r="E2166" s="10" t="str">
        <f aca="false">IF(D2166="?OLD","!!!","")</f>
        <v/>
      </c>
      <c r="F2166" s="11" t="str">
        <f aca="false">IF(OR(E2166="",E2166="!!!"),"",IF(NOT(ISNA(VLOOKUP(E2166,E$1:E2165,1,FALSE()))),"OLD",IF(AND(E2166&lt;&gt;"",E2166&lt;&gt;"!!!"),"NEW","")))</f>
        <v/>
      </c>
      <c r="G2166" s="12" t="str">
        <f aca="false">IF(OR(E2166="",E2166="!!!"),"",IF(OR(J2166=0,AND(J2166=1,K2166=1),AND(J2166=1,I2166="SBJ"),AND(J2166=1,I2166=0)),"?IN_FOCUS",IF(J2166&lt;=2,"?ACTIVATED",IF(J2166&lt;&gt;"","?FAMILIAR",IF(F2166="NEW",IF(ISNA(VLOOKUP(E2166,#REF!,1,FALSE())),"?TYPE_IDENTIFIABLE","?REFERENTIAL"),"_")))))</f>
        <v/>
      </c>
      <c r="H2166" s="13" t="str">
        <f aca="false">IF(J2166&lt;&gt;1,"",IF(I2166="SBJ","CB","?"))</f>
        <v/>
      </c>
      <c r="I2166" s="14" t="str">
        <f aca="false">IF(OR(E2166="",E2166="!!!",F2166="NEW"),"",INDEX(B$2:B2165,-1+SUMPRODUCT(MAX(ROW(E$2:E2165)*(E2166=E$2:E2165)))))</f>
        <v/>
      </c>
      <c r="J2166" s="15" t="str">
        <f aca="true">IF(OR(E2166="",E2166="!!!",F2166="NEW"),"",COUNTBLANK(OFFSET(A$1,,,SUMPRODUCT(MAX(ROW(E$2:E2166)*(E2166=E$2:E2166)))))-COUNTBLANK(OFFSET(A$1,,,SUMPRODUCT(MAX(ROW(E$1:E2165)*(E2166=E$1:E2165))))))</f>
        <v/>
      </c>
      <c r="K2166" s="15" t="str">
        <f aca="false">IF(OR(E2166="",E2166="!!!",F2166="NEW"),"",INDEX(J$1:J2165,SUMPRODUCT(MAX(ROW(E$1:E2165)*(E2166=E$1:E2165)))))</f>
        <v/>
      </c>
      <c r="L2166" s="16"/>
    </row>
    <row r="2167" customFormat="false" ht="12.8" hidden="false" customHeight="false" outlineLevel="0" collapsed="false">
      <c r="A2167" s="0" t="s">
        <v>854</v>
      </c>
      <c r="E2167" s="10" t="str">
        <f aca="false">IF(D2167="?OLD","!!!","")</f>
        <v/>
      </c>
      <c r="F2167" s="11" t="str">
        <f aca="false">IF(OR(E2167="",E2167="!!!"),"",IF(NOT(ISNA(VLOOKUP(E2167,E$1:E2166,1,FALSE()))),"OLD",IF(AND(E2167&lt;&gt;"",E2167&lt;&gt;"!!!"),"NEW","")))</f>
        <v/>
      </c>
      <c r="G2167" s="12" t="str">
        <f aca="false">IF(OR(E2167="",E2167="!!!"),"",IF(OR(J2167=0,AND(J2167=1,K2167=1),AND(J2167=1,I2167="SBJ"),AND(J2167=1,I2167=0)),"?IN_FOCUS",IF(J2167&lt;=2,"?ACTIVATED",IF(J2167&lt;&gt;"","?FAMILIAR",IF(F2167="NEW",IF(ISNA(VLOOKUP(E2167,#REF!,1,FALSE())),"?TYPE_IDENTIFIABLE","?REFERENTIAL"),"_")))))</f>
        <v/>
      </c>
      <c r="H2167" s="13" t="str">
        <f aca="false">IF(J2167&lt;&gt;1,"",IF(I2167="SBJ","CB","?"))</f>
        <v/>
      </c>
      <c r="I2167" s="14" t="str">
        <f aca="false">IF(OR(E2167="",E2167="!!!",F2167="NEW"),"",INDEX(B$2:B2166,-1+SUMPRODUCT(MAX(ROW(E$2:E2166)*(E2167=E$2:E2166)))))</f>
        <v/>
      </c>
      <c r="J2167" s="15" t="str">
        <f aca="true">IF(OR(E2167="",E2167="!!!",F2167="NEW"),"",COUNTBLANK(OFFSET(A$1,,,SUMPRODUCT(MAX(ROW(E$2:E2167)*(E2167=E$2:E2167)))))-COUNTBLANK(OFFSET(A$1,,,SUMPRODUCT(MAX(ROW(E$1:E2166)*(E2167=E$1:E2166))))))</f>
        <v/>
      </c>
      <c r="K2167" s="15" t="str">
        <f aca="false">IF(OR(E2167="",E2167="!!!",F2167="NEW"),"",INDEX(J$1:J2166,SUMPRODUCT(MAX(ROW(E$1:E2166)*(E2167=E$1:E2166)))))</f>
        <v/>
      </c>
      <c r="L2167" s="16"/>
    </row>
    <row r="2168" customFormat="false" ht="12.8" hidden="false" customHeight="false" outlineLevel="0" collapsed="false">
      <c r="A2168" s="0" t="s">
        <v>44</v>
      </c>
      <c r="E2168" s="10" t="str">
        <f aca="false">IF(D2168="?OLD","!!!","")</f>
        <v/>
      </c>
      <c r="F2168" s="11" t="str">
        <f aca="false">IF(OR(E2168="",E2168="!!!"),"",IF(NOT(ISNA(VLOOKUP(E2168,E$1:E2167,1,FALSE()))),"OLD",IF(AND(E2168&lt;&gt;"",E2168&lt;&gt;"!!!"),"NEW","")))</f>
        <v/>
      </c>
      <c r="G2168" s="12" t="str">
        <f aca="false">IF(OR(E2168="",E2168="!!!"),"",IF(OR(J2168=0,AND(J2168=1,K2168=1),AND(J2168=1,I2168="SBJ"),AND(J2168=1,I2168=0)),"?IN_FOCUS",IF(J2168&lt;=2,"?ACTIVATED",IF(J2168&lt;&gt;"","?FAMILIAR",IF(F2168="NEW",IF(ISNA(VLOOKUP(E2168,#REF!,1,FALSE())),"?TYPE_IDENTIFIABLE","?REFERENTIAL"),"_")))))</f>
        <v/>
      </c>
      <c r="H2168" s="13" t="str">
        <f aca="false">IF(J2168&lt;&gt;1,"",IF(I2168="SBJ","CB","?"))</f>
        <v/>
      </c>
      <c r="I2168" s="14" t="str">
        <f aca="false">IF(OR(E2168="",E2168="!!!",F2168="NEW"),"",INDEX(B$2:B2167,-1+SUMPRODUCT(MAX(ROW(E$2:E2167)*(E2168=E$2:E2167)))))</f>
        <v/>
      </c>
      <c r="J2168" s="15" t="str">
        <f aca="true">IF(OR(E2168="",E2168="!!!",F2168="NEW"),"",COUNTBLANK(OFFSET(A$1,,,SUMPRODUCT(MAX(ROW(E$2:E2168)*(E2168=E$2:E2168)))))-COUNTBLANK(OFFSET(A$1,,,SUMPRODUCT(MAX(ROW(E$1:E2167)*(E2168=E$1:E2167))))))</f>
        <v/>
      </c>
      <c r="K2168" s="15" t="str">
        <f aca="false">IF(OR(E2168="",E2168="!!!",F2168="NEW"),"",INDEX(J$1:J2167,SUMPRODUCT(MAX(ROW(E$1:E2167)*(E2168=E$1:E2167)))))</f>
        <v/>
      </c>
      <c r="L2168" s="16"/>
    </row>
    <row r="2169" customFormat="false" ht="12.8" hidden="false" customHeight="false" outlineLevel="0" collapsed="false">
      <c r="A2169" s="0" t="s">
        <v>943</v>
      </c>
      <c r="B2169" s="0" t="s">
        <v>47</v>
      </c>
      <c r="C2169" s="0" t="s">
        <v>172</v>
      </c>
      <c r="E2169" s="10" t="str">
        <f aca="false">IF(D2169="?OLD","!!!","")</f>
        <v/>
      </c>
      <c r="F2169" s="11" t="str">
        <f aca="false">IF(OR(E2169="",E2169="!!!"),"",IF(NOT(ISNA(VLOOKUP(E2169,E$1:E2168,1,FALSE()))),"OLD",IF(AND(E2169&lt;&gt;"",E2169&lt;&gt;"!!!"),"NEW","")))</f>
        <v/>
      </c>
      <c r="G2169" s="12" t="str">
        <f aca="false">IF(OR(E2169="",E2169="!!!"),"",IF(OR(J2169=0,AND(J2169=1,K2169=1),AND(J2169=1,I2169="SBJ"),AND(J2169=1,I2169=0)),"?IN_FOCUS",IF(J2169&lt;=2,"?ACTIVATED",IF(J2169&lt;&gt;"","?FAMILIAR",IF(F2169="NEW",IF(ISNA(VLOOKUP(E2169,#REF!,1,FALSE())),"?TYPE_IDENTIFIABLE","?REFERENTIAL"),"_")))))</f>
        <v/>
      </c>
      <c r="H2169" s="13" t="str">
        <f aca="false">IF(J2169&lt;&gt;1,"",IF(I2169="SBJ","CB","?"))</f>
        <v/>
      </c>
      <c r="I2169" s="14" t="str">
        <f aca="false">IF(OR(E2169="",E2169="!!!",F2169="NEW"),"",INDEX(B$2:B2168,-1+SUMPRODUCT(MAX(ROW(E$2:E2168)*(E2169=E$2:E2168)))))</f>
        <v/>
      </c>
      <c r="J2169" s="15" t="str">
        <f aca="true">IF(OR(E2169="",E2169="!!!",F2169="NEW"),"",COUNTBLANK(OFFSET(A$1,,,SUMPRODUCT(MAX(ROW(E$2:E2169)*(E2169=E$2:E2169)))))-COUNTBLANK(OFFSET(A$1,,,SUMPRODUCT(MAX(ROW(E$1:E2168)*(E2169=E$1:E2168))))))</f>
        <v/>
      </c>
      <c r="K2169" s="15" t="str">
        <f aca="false">IF(OR(E2169="",E2169="!!!",F2169="NEW"),"",INDEX(J$1:J2168,SUMPRODUCT(MAX(ROW(E$1:E2168)*(E2169=E$1:E2168)))))</f>
        <v/>
      </c>
      <c r="L2169" s="16"/>
    </row>
    <row r="2170" customFormat="false" ht="12.8" hidden="false" customHeight="false" outlineLevel="0" collapsed="false">
      <c r="A2170" s="0" t="s">
        <v>37</v>
      </c>
      <c r="E2170" s="10" t="str">
        <f aca="false">IF(D2170="?OLD","!!!","")</f>
        <v/>
      </c>
      <c r="F2170" s="11" t="str">
        <f aca="false">IF(OR(E2170="",E2170="!!!"),"",IF(NOT(ISNA(VLOOKUP(E2170,E$1:E2169,1,FALSE()))),"OLD",IF(AND(E2170&lt;&gt;"",E2170&lt;&gt;"!!!"),"NEW","")))</f>
        <v/>
      </c>
      <c r="G2170" s="12" t="str">
        <f aca="false">IF(OR(E2170="",E2170="!!!"),"",IF(OR(J2170=0,AND(J2170=1,K2170=1),AND(J2170=1,I2170="SBJ"),AND(J2170=1,I2170=0)),"?IN_FOCUS",IF(J2170&lt;=2,"?ACTIVATED",IF(J2170&lt;&gt;"","?FAMILIAR",IF(F2170="NEW",IF(ISNA(VLOOKUP(E2170,#REF!,1,FALSE())),"?TYPE_IDENTIFIABLE","?REFERENTIAL"),"_")))))</f>
        <v/>
      </c>
      <c r="H2170" s="13" t="str">
        <f aca="false">IF(J2170&lt;&gt;1,"",IF(I2170="SBJ","CB","?"))</f>
        <v/>
      </c>
      <c r="I2170" s="14" t="str">
        <f aca="false">IF(OR(E2170="",E2170="!!!",F2170="NEW"),"",INDEX(B$2:B2169,-1+SUMPRODUCT(MAX(ROW(E$2:E2169)*(E2170=E$2:E2169)))))</f>
        <v/>
      </c>
      <c r="J2170" s="15" t="str">
        <f aca="true">IF(OR(E2170="",E2170="!!!",F2170="NEW"),"",COUNTBLANK(OFFSET(A$1,,,SUMPRODUCT(MAX(ROW(E$2:E2170)*(E2170=E$2:E2170)))))-COUNTBLANK(OFFSET(A$1,,,SUMPRODUCT(MAX(ROW(E$1:E2169)*(E2170=E$1:E2169))))))</f>
        <v/>
      </c>
      <c r="K2170" s="15" t="str">
        <f aca="false">IF(OR(E2170="",E2170="!!!",F2170="NEW"),"",INDEX(J$1:J2169,SUMPRODUCT(MAX(ROW(E$1:E2169)*(E2170=E$1:E2169)))))</f>
        <v/>
      </c>
      <c r="L2170" s="16"/>
    </row>
    <row r="2171" customFormat="false" ht="12.8" hidden="false" customHeight="false" outlineLevel="0" collapsed="false">
      <c r="A2171" s="0" t="s">
        <v>44</v>
      </c>
      <c r="E2171" s="10" t="str">
        <f aca="false">IF(D2171="?OLD","!!!","")</f>
        <v/>
      </c>
      <c r="F2171" s="11" t="str">
        <f aca="false">IF(OR(E2171="",E2171="!!!"),"",IF(NOT(ISNA(VLOOKUP(E2171,E$1:E2170,1,FALSE()))),"OLD",IF(AND(E2171&lt;&gt;"",E2171&lt;&gt;"!!!"),"NEW","")))</f>
        <v/>
      </c>
      <c r="G2171" s="12" t="str">
        <f aca="false">IF(OR(E2171="",E2171="!!!"),"",IF(OR(J2171=0,AND(J2171=1,K2171=1),AND(J2171=1,I2171="SBJ"),AND(J2171=1,I2171=0)),"?IN_FOCUS",IF(J2171&lt;=2,"?ACTIVATED",IF(J2171&lt;&gt;"","?FAMILIAR",IF(F2171="NEW",IF(ISNA(VLOOKUP(E2171,#REF!,1,FALSE())),"?TYPE_IDENTIFIABLE","?REFERENTIAL"),"_")))))</f>
        <v/>
      </c>
      <c r="H2171" s="13" t="str">
        <f aca="false">IF(J2171&lt;&gt;1,"",IF(I2171="SBJ","CB","?"))</f>
        <v/>
      </c>
      <c r="I2171" s="14" t="str">
        <f aca="false">IF(OR(E2171="",E2171="!!!",F2171="NEW"),"",INDEX(B$2:B2170,-1+SUMPRODUCT(MAX(ROW(E$2:E2170)*(E2171=E$2:E2170)))))</f>
        <v/>
      </c>
      <c r="J2171" s="15" t="str">
        <f aca="true">IF(OR(E2171="",E2171="!!!",F2171="NEW"),"",COUNTBLANK(OFFSET(A$1,,,SUMPRODUCT(MAX(ROW(E$2:E2171)*(E2171=E$2:E2171)))))-COUNTBLANK(OFFSET(A$1,,,SUMPRODUCT(MAX(ROW(E$1:E2170)*(E2171=E$1:E2170))))))</f>
        <v/>
      </c>
      <c r="K2171" s="15" t="str">
        <f aca="false">IF(OR(E2171="",E2171="!!!",F2171="NEW"),"",INDEX(J$1:J2170,SUMPRODUCT(MAX(ROW(E$1:E2170)*(E2171=E$1:E2170)))))</f>
        <v/>
      </c>
      <c r="L2171" s="16"/>
    </row>
    <row r="2172" customFormat="false" ht="12.8" hidden="false" customHeight="false" outlineLevel="0" collapsed="false">
      <c r="A2172" s="0" t="s">
        <v>516</v>
      </c>
      <c r="E2172" s="10" t="str">
        <f aca="false">IF(D2172="?OLD","!!!","")</f>
        <v/>
      </c>
      <c r="F2172" s="11" t="str">
        <f aca="false">IF(OR(E2172="",E2172="!!!"),"",IF(NOT(ISNA(VLOOKUP(E2172,E$1:E2171,1,FALSE()))),"OLD",IF(AND(E2172&lt;&gt;"",E2172&lt;&gt;"!!!"),"NEW","")))</f>
        <v/>
      </c>
      <c r="G2172" s="12" t="str">
        <f aca="false">IF(OR(E2172="",E2172="!!!"),"",IF(OR(J2172=0,AND(J2172=1,K2172=1),AND(J2172=1,I2172="SBJ"),AND(J2172=1,I2172=0)),"?IN_FOCUS",IF(J2172&lt;=2,"?ACTIVATED",IF(J2172&lt;&gt;"","?FAMILIAR",IF(F2172="NEW",IF(ISNA(VLOOKUP(E2172,#REF!,1,FALSE())),"?TYPE_IDENTIFIABLE","?REFERENTIAL"),"_")))))</f>
        <v/>
      </c>
      <c r="H2172" s="13" t="str">
        <f aca="false">IF(J2172&lt;&gt;1,"",IF(I2172="SBJ","CB","?"))</f>
        <v/>
      </c>
      <c r="I2172" s="14" t="str">
        <f aca="false">IF(OR(E2172="",E2172="!!!",F2172="NEW"),"",INDEX(B$2:B2171,-1+SUMPRODUCT(MAX(ROW(E$2:E2171)*(E2172=E$2:E2171)))))</f>
        <v/>
      </c>
      <c r="J2172" s="15" t="str">
        <f aca="true">IF(OR(E2172="",E2172="!!!",F2172="NEW"),"",COUNTBLANK(OFFSET(A$1,,,SUMPRODUCT(MAX(ROW(E$2:E2172)*(E2172=E$2:E2172)))))-COUNTBLANK(OFFSET(A$1,,,SUMPRODUCT(MAX(ROW(E$1:E2171)*(E2172=E$1:E2171))))))</f>
        <v/>
      </c>
      <c r="K2172" s="15" t="str">
        <f aca="false">IF(OR(E2172="",E2172="!!!",F2172="NEW"),"",INDEX(J$1:J2171,SUMPRODUCT(MAX(ROW(E$1:E2171)*(E2172=E$1:E2171)))))</f>
        <v/>
      </c>
      <c r="L2172" s="16"/>
    </row>
    <row r="2173" customFormat="false" ht="12.8" hidden="false" customHeight="false" outlineLevel="0" collapsed="false">
      <c r="A2173" s="0" t="s">
        <v>951</v>
      </c>
      <c r="B2173" s="0" t="s">
        <v>75</v>
      </c>
      <c r="C2173" s="0" t="s">
        <v>31</v>
      </c>
      <c r="E2173" s="10" t="str">
        <f aca="false">IF(D2173="?OLD","!!!","")</f>
        <v/>
      </c>
      <c r="F2173" s="11" t="str">
        <f aca="false">IF(OR(E2173="",E2173="!!!"),"",IF(NOT(ISNA(VLOOKUP(E2173,E$1:E2172,1,FALSE()))),"OLD",IF(AND(E2173&lt;&gt;"",E2173&lt;&gt;"!!!"),"NEW","")))</f>
        <v/>
      </c>
      <c r="G2173" s="12" t="str">
        <f aca="false">IF(OR(E2173="",E2173="!!!"),"",IF(OR(J2173=0,AND(J2173=1,K2173=1),AND(J2173=1,I2173="SBJ"),AND(J2173=1,I2173=0)),"?IN_FOCUS",IF(J2173&lt;=2,"?ACTIVATED",IF(J2173&lt;&gt;"","?FAMILIAR",IF(F2173="NEW",IF(ISNA(VLOOKUP(E2173,#REF!,1,FALSE())),"?TYPE_IDENTIFIABLE","?REFERENTIAL"),"_")))))</f>
        <v/>
      </c>
      <c r="H2173" s="13" t="str">
        <f aca="false">IF(J2173&lt;&gt;1,"",IF(I2173="SBJ","CB","?"))</f>
        <v/>
      </c>
      <c r="I2173" s="14" t="str">
        <f aca="false">IF(OR(E2173="",E2173="!!!",F2173="NEW"),"",INDEX(B$2:B2172,-1+SUMPRODUCT(MAX(ROW(E$2:E2172)*(E2173=E$2:E2172)))))</f>
        <v/>
      </c>
      <c r="J2173" s="15" t="str">
        <f aca="true">IF(OR(E2173="",E2173="!!!",F2173="NEW"),"",COUNTBLANK(OFFSET(A$1,,,SUMPRODUCT(MAX(ROW(E$2:E2173)*(E2173=E$2:E2173)))))-COUNTBLANK(OFFSET(A$1,,,SUMPRODUCT(MAX(ROW(E$1:E2172)*(E2173=E$1:E2172))))))</f>
        <v/>
      </c>
      <c r="K2173" s="15" t="str">
        <f aca="false">IF(OR(E2173="",E2173="!!!",F2173="NEW"),"",INDEX(J$1:J2172,SUMPRODUCT(MAX(ROW(E$1:E2172)*(E2173=E$1:E2172)))))</f>
        <v/>
      </c>
      <c r="L2173" s="16"/>
    </row>
    <row r="2174" customFormat="false" ht="12.8" hidden="false" customHeight="false" outlineLevel="0" collapsed="false">
      <c r="A2174" s="0" t="s">
        <v>29</v>
      </c>
      <c r="E2174" s="10" t="str">
        <f aca="false">IF(D2174="?OLD","!!!","")</f>
        <v/>
      </c>
      <c r="F2174" s="11" t="str">
        <f aca="false">IF(OR(E2174="",E2174="!!!"),"",IF(NOT(ISNA(VLOOKUP(E2174,E$1:E2173,1,FALSE()))),"OLD",IF(AND(E2174&lt;&gt;"",E2174&lt;&gt;"!!!"),"NEW","")))</f>
        <v/>
      </c>
      <c r="G2174" s="12" t="str">
        <f aca="false">IF(OR(E2174="",E2174="!!!"),"",IF(OR(J2174=0,AND(J2174=1,K2174=1),AND(J2174=1,I2174="SBJ"),AND(J2174=1,I2174=0)),"?IN_FOCUS",IF(J2174&lt;=2,"?ACTIVATED",IF(J2174&lt;&gt;"","?FAMILIAR",IF(F2174="NEW",IF(ISNA(VLOOKUP(E2174,#REF!,1,FALSE())),"?TYPE_IDENTIFIABLE","?REFERENTIAL"),"_")))))</f>
        <v/>
      </c>
      <c r="H2174" s="13" t="str">
        <f aca="false">IF(J2174&lt;&gt;1,"",IF(I2174="SBJ","CB","?"))</f>
        <v/>
      </c>
      <c r="I2174" s="14" t="str">
        <f aca="false">IF(OR(E2174="",E2174="!!!",F2174="NEW"),"",INDEX(B$2:B2173,-1+SUMPRODUCT(MAX(ROW(E$2:E2173)*(E2174=E$2:E2173)))))</f>
        <v/>
      </c>
      <c r="J2174" s="15" t="str">
        <f aca="true">IF(OR(E2174="",E2174="!!!",F2174="NEW"),"",COUNTBLANK(OFFSET(A$1,,,SUMPRODUCT(MAX(ROW(E$2:E2174)*(E2174=E$2:E2174)))))-COUNTBLANK(OFFSET(A$1,,,SUMPRODUCT(MAX(ROW(E$1:E2173)*(E2174=E$1:E2173))))))</f>
        <v/>
      </c>
      <c r="K2174" s="15" t="str">
        <f aca="false">IF(OR(E2174="",E2174="!!!",F2174="NEW"),"",INDEX(J$1:J2173,SUMPRODUCT(MAX(ROW(E$1:E2173)*(E2174=E$1:E2173)))))</f>
        <v/>
      </c>
      <c r="L2174" s="16"/>
    </row>
    <row r="2175" customFormat="false" ht="12.8" hidden="false" customHeight="false" outlineLevel="0" collapsed="false">
      <c r="A2175" s="0" t="s">
        <v>62</v>
      </c>
      <c r="E2175" s="10" t="str">
        <f aca="false">IF(D2175="?OLD","!!!","")</f>
        <v/>
      </c>
      <c r="F2175" s="11" t="str">
        <f aca="false">IF(OR(E2175="",E2175="!!!"),"",IF(NOT(ISNA(VLOOKUP(E2175,E$1:E2174,1,FALSE()))),"OLD",IF(AND(E2175&lt;&gt;"",E2175&lt;&gt;"!!!"),"NEW","")))</f>
        <v/>
      </c>
      <c r="G2175" s="12" t="str">
        <f aca="false">IF(OR(E2175="",E2175="!!!"),"",IF(OR(J2175=0,AND(J2175=1,K2175=1),AND(J2175=1,I2175="SBJ"),AND(J2175=1,I2175=0)),"?IN_FOCUS",IF(J2175&lt;=2,"?ACTIVATED",IF(J2175&lt;&gt;"","?FAMILIAR",IF(F2175="NEW",IF(ISNA(VLOOKUP(E2175,#REF!,1,FALSE())),"?TYPE_IDENTIFIABLE","?REFERENTIAL"),"_")))))</f>
        <v/>
      </c>
      <c r="H2175" s="13" t="str">
        <f aca="false">IF(J2175&lt;&gt;1,"",IF(I2175="SBJ","CB","?"))</f>
        <v/>
      </c>
      <c r="I2175" s="14" t="str">
        <f aca="false">IF(OR(E2175="",E2175="!!!",F2175="NEW"),"",INDEX(B$2:B2174,-1+SUMPRODUCT(MAX(ROW(E$2:E2174)*(E2175=E$2:E2174)))))</f>
        <v/>
      </c>
      <c r="J2175" s="15" t="str">
        <f aca="true">IF(OR(E2175="",E2175="!!!",F2175="NEW"),"",COUNTBLANK(OFFSET(A$1,,,SUMPRODUCT(MAX(ROW(E$2:E2175)*(E2175=E$2:E2175)))))-COUNTBLANK(OFFSET(A$1,,,SUMPRODUCT(MAX(ROW(E$1:E2174)*(E2175=E$1:E2174))))))</f>
        <v/>
      </c>
      <c r="K2175" s="15" t="str">
        <f aca="false">IF(OR(E2175="",E2175="!!!",F2175="NEW"),"",INDEX(J$1:J2174,SUMPRODUCT(MAX(ROW(E$1:E2174)*(E2175=E$1:E2174)))))</f>
        <v/>
      </c>
      <c r="L2175" s="16"/>
    </row>
    <row r="2176" customFormat="false" ht="12.8" hidden="false" customHeight="false" outlineLevel="0" collapsed="false">
      <c r="A2176" s="0" t="s">
        <v>111</v>
      </c>
      <c r="B2176" s="0" t="s">
        <v>96</v>
      </c>
      <c r="C2176" s="0" t="s">
        <v>27</v>
      </c>
      <c r="D2176" s="0" t="s">
        <v>20</v>
      </c>
      <c r="E2176" s="10" t="s">
        <v>111</v>
      </c>
      <c r="F2176" s="11" t="str">
        <f aca="false">IF(OR(E2176="",E2176="!!!"),"",IF(NOT(ISNA(VLOOKUP(E2176,E$1:E2175,1,FALSE()))),"OLD",IF(AND(E2176&lt;&gt;"",E2176&lt;&gt;"!!!"),"NEW","")))</f>
        <v>OLD</v>
      </c>
      <c r="G2176" s="12" t="s">
        <v>36</v>
      </c>
      <c r="H2176" s="13" t="str">
        <f aca="false">IF(J2176&lt;&gt;1,"",IF(I2176="SBJ","CB","?"))</f>
        <v/>
      </c>
      <c r="I2176" s="14" t="str">
        <f aca="false">IF(OR(E2176="",E2176="!!!",F2176="NEW"),"",INDEX(B$2:B2175,-1+SUMPRODUCT(MAX(ROW(E$2:E2175)*(E2176=E$2:E2175)))))</f>
        <v>other_2</v>
      </c>
      <c r="J2176" s="15" t="n">
        <f aca="true">IF(OR(E2176="",E2176="!!!",F2176="NEW"),"",COUNTBLANK(OFFSET(A$1,,,SUMPRODUCT(MAX(ROW(E$2:E2176)*(E2176=E$2:E2176)))))-COUNTBLANK(OFFSET(A$1,,,SUMPRODUCT(MAX(ROW(E$1:E2175)*(E2176=E$1:E2175))))))</f>
        <v>88</v>
      </c>
      <c r="K2176" s="15" t="n">
        <f aca="false">IF(OR(E2176="",E2176="!!!",F2176="NEW"),"",INDEX(J$1:J2175,SUMPRODUCT(MAX(ROW(E$1:E2175)*(E2176=E$1:E2175)))))</f>
        <v>0</v>
      </c>
      <c r="L2176" s="16"/>
    </row>
    <row r="2177" customFormat="false" ht="12.8" hidden="false" customHeight="false" outlineLevel="0" collapsed="false">
      <c r="A2177" s="0" t="s">
        <v>44</v>
      </c>
      <c r="E2177" s="10" t="str">
        <f aca="false">IF(D2177="?OLD","!!!","")</f>
        <v/>
      </c>
      <c r="F2177" s="11" t="str">
        <f aca="false">IF(OR(E2177="",E2177="!!!"),"",IF(NOT(ISNA(VLOOKUP(E2177,E$1:E2176,1,FALSE()))),"OLD",IF(AND(E2177&lt;&gt;"",E2177&lt;&gt;"!!!"),"NEW","")))</f>
        <v/>
      </c>
      <c r="G2177" s="12" t="str">
        <f aca="false">IF(OR(E2177="",E2177="!!!"),"",IF(OR(J2177=0,AND(J2177=1,K2177=1),AND(J2177=1,I2177="SBJ"),AND(J2177=1,I2177=0)),"?IN_FOCUS",IF(J2177&lt;=2,"?ACTIVATED",IF(J2177&lt;&gt;"","?FAMILIAR",IF(F2177="NEW",IF(ISNA(VLOOKUP(E2177,#REF!,1,FALSE())),"?TYPE_IDENTIFIABLE","?REFERENTIAL"),"_")))))</f>
        <v/>
      </c>
      <c r="H2177" s="13" t="str">
        <f aca="false">IF(J2177&lt;&gt;1,"",IF(I2177="SBJ","CB","?"))</f>
        <v/>
      </c>
      <c r="I2177" s="14" t="str">
        <f aca="false">IF(OR(E2177="",E2177="!!!",F2177="NEW"),"",INDEX(B$2:B2176,-1+SUMPRODUCT(MAX(ROW(E$2:E2176)*(E2177=E$2:E2176)))))</f>
        <v/>
      </c>
      <c r="J2177" s="15" t="str">
        <f aca="true">IF(OR(E2177="",E2177="!!!",F2177="NEW"),"",COUNTBLANK(OFFSET(A$1,,,SUMPRODUCT(MAX(ROW(E$2:E2177)*(E2177=E$2:E2177)))))-COUNTBLANK(OFFSET(A$1,,,SUMPRODUCT(MAX(ROW(E$1:E2176)*(E2177=E$1:E2176))))))</f>
        <v/>
      </c>
      <c r="K2177" s="15" t="str">
        <f aca="false">IF(OR(E2177="",E2177="!!!",F2177="NEW"),"",INDEX(J$1:J2176,SUMPRODUCT(MAX(ROW(E$1:E2176)*(E2177=E$1:E2176)))))</f>
        <v/>
      </c>
      <c r="L2177" s="16"/>
    </row>
    <row r="2178" customFormat="false" ht="12.8" hidden="false" customHeight="false" outlineLevel="0" collapsed="false">
      <c r="A2178" s="0" t="s">
        <v>106</v>
      </c>
      <c r="E2178" s="10" t="str">
        <f aca="false">IF(D2178="?OLD","!!!","")</f>
        <v/>
      </c>
      <c r="F2178" s="11" t="str">
        <f aca="false">IF(OR(E2178="",E2178="!!!"),"",IF(NOT(ISNA(VLOOKUP(E2178,E$1:E2177,1,FALSE()))),"OLD",IF(AND(E2178&lt;&gt;"",E2178&lt;&gt;"!!!"),"NEW","")))</f>
        <v/>
      </c>
      <c r="G2178" s="12" t="str">
        <f aca="false">IF(OR(E2178="",E2178="!!!"),"",IF(OR(J2178=0,AND(J2178=1,K2178=1),AND(J2178=1,I2178="SBJ"),AND(J2178=1,I2178=0)),"?IN_FOCUS",IF(J2178&lt;=2,"?ACTIVATED",IF(J2178&lt;&gt;"","?FAMILIAR",IF(F2178="NEW",IF(ISNA(VLOOKUP(E2178,#REF!,1,FALSE())),"?TYPE_IDENTIFIABLE","?REFERENTIAL"),"_")))))</f>
        <v/>
      </c>
      <c r="H2178" s="13" t="str">
        <f aca="false">IF(J2178&lt;&gt;1,"",IF(I2178="SBJ","CB","?"))</f>
        <v/>
      </c>
      <c r="I2178" s="14" t="str">
        <f aca="false">IF(OR(E2178="",E2178="!!!",F2178="NEW"),"",INDEX(B$2:B2177,-1+SUMPRODUCT(MAX(ROW(E$2:E2177)*(E2178=E$2:E2177)))))</f>
        <v/>
      </c>
      <c r="J2178" s="15" t="str">
        <f aca="true">IF(OR(E2178="",E2178="!!!",F2178="NEW"),"",COUNTBLANK(OFFSET(A$1,,,SUMPRODUCT(MAX(ROW(E$2:E2178)*(E2178=E$2:E2178)))))-COUNTBLANK(OFFSET(A$1,,,SUMPRODUCT(MAX(ROW(E$1:E2177)*(E2178=E$1:E2177))))))</f>
        <v/>
      </c>
      <c r="K2178" s="15" t="str">
        <f aca="false">IF(OR(E2178="",E2178="!!!",F2178="NEW"),"",INDEX(J$1:J2177,SUMPRODUCT(MAX(ROW(E$1:E2177)*(E2178=E$1:E2177)))))</f>
        <v/>
      </c>
      <c r="L2178" s="16"/>
    </row>
    <row r="2179" customFormat="false" ht="12.8" hidden="false" customHeight="false" outlineLevel="0" collapsed="false">
      <c r="A2179" s="0" t="s">
        <v>51</v>
      </c>
      <c r="B2179" s="0" t="s">
        <v>173</v>
      </c>
      <c r="C2179" s="0" t="s">
        <v>215</v>
      </c>
      <c r="D2179" s="0" t="s">
        <v>20</v>
      </c>
      <c r="E2179" s="10" t="s">
        <v>111</v>
      </c>
      <c r="F2179" s="11" t="str">
        <f aca="false">IF(OR(E2179="",E2179="!!!"),"",IF(NOT(ISNA(VLOOKUP(E2179,E$1:E2178,1,FALSE()))),"OLD",IF(AND(E2179&lt;&gt;"",E2179&lt;&gt;"!!!"),"NEW","")))</f>
        <v>OLD</v>
      </c>
      <c r="G2179" s="12" t="s">
        <v>87</v>
      </c>
      <c r="H2179" s="13" t="str">
        <f aca="false">IF(J2179&lt;&gt;1,"",IF(I2179="SBJ","CB","?"))</f>
        <v/>
      </c>
      <c r="I2179" s="14" t="str">
        <f aca="false">IF(OR(E2179="",E2179="!!!",F2179="NEW"),"",INDEX(B$2:B2178,-1+SUMPRODUCT(MAX(ROW(E$2:E2178)*(E2179=E$2:E2178)))))</f>
        <v>other_3</v>
      </c>
      <c r="J2179" s="15" t="n">
        <f aca="true">IF(OR(E2179="",E2179="!!!",F2179="NEW"),"",COUNTBLANK(OFFSET(A$1,,,SUMPRODUCT(MAX(ROW(E$2:E2179)*(E2179=E$2:E2179)))))-COUNTBLANK(OFFSET(A$1,,,SUMPRODUCT(MAX(ROW(E$1:E2178)*(E2179=E$1:E2178))))))</f>
        <v>0</v>
      </c>
      <c r="K2179" s="15" t="n">
        <f aca="false">IF(OR(E2179="",E2179="!!!",F2179="NEW"),"",INDEX(J$1:J2178,SUMPRODUCT(MAX(ROW(E$1:E2178)*(E2179=E$1:E2178)))))</f>
        <v>88</v>
      </c>
      <c r="L2179" s="16"/>
    </row>
    <row r="2180" customFormat="false" ht="12.8" hidden="false" customHeight="false" outlineLevel="0" collapsed="false">
      <c r="A2180" s="0" t="s">
        <v>100</v>
      </c>
      <c r="E2180" s="10" t="str">
        <f aca="false">IF(D2180="?OLD","!!!","")</f>
        <v/>
      </c>
      <c r="F2180" s="11" t="str">
        <f aca="false">IF(OR(E2180="",E2180="!!!"),"",IF(NOT(ISNA(VLOOKUP(E2180,E$1:E2179,1,FALSE()))),"OLD",IF(AND(E2180&lt;&gt;"",E2180&lt;&gt;"!!!"),"NEW","")))</f>
        <v/>
      </c>
      <c r="G2180" s="12" t="str">
        <f aca="false">IF(OR(E2180="",E2180="!!!"),"",IF(OR(J2180=0,AND(J2180=1,K2180=1),AND(J2180=1,I2180="SBJ"),AND(J2180=1,I2180=0)),"?IN_FOCUS",IF(J2180&lt;=2,"?ACTIVATED",IF(J2180&lt;&gt;"","?FAMILIAR",IF(F2180="NEW",IF(ISNA(VLOOKUP(E2180,#REF!,1,FALSE())),"?TYPE_IDENTIFIABLE","?REFERENTIAL"),"_")))))</f>
        <v/>
      </c>
      <c r="H2180" s="13" t="str">
        <f aca="false">IF(J2180&lt;&gt;1,"",IF(I2180="SBJ","CB","?"))</f>
        <v/>
      </c>
      <c r="I2180" s="14" t="str">
        <f aca="false">IF(OR(E2180="",E2180="!!!",F2180="NEW"),"",INDEX(B$2:B2179,-1+SUMPRODUCT(MAX(ROW(E$2:E2179)*(E2180=E$2:E2179)))))</f>
        <v/>
      </c>
      <c r="J2180" s="15" t="str">
        <f aca="true">IF(OR(E2180="",E2180="!!!",F2180="NEW"),"",COUNTBLANK(OFFSET(A$1,,,SUMPRODUCT(MAX(ROW(E$2:E2180)*(E2180=E$2:E2180)))))-COUNTBLANK(OFFSET(A$1,,,SUMPRODUCT(MAX(ROW(E$1:E2179)*(E2180=E$1:E2179))))))</f>
        <v/>
      </c>
      <c r="K2180" s="15" t="str">
        <f aca="false">IF(OR(E2180="",E2180="!!!",F2180="NEW"),"",INDEX(J$1:J2179,SUMPRODUCT(MAX(ROW(E$1:E2179)*(E2180=E$1:E2179)))))</f>
        <v/>
      </c>
      <c r="L2180" s="16"/>
    </row>
    <row r="2181" customFormat="false" ht="12.8" hidden="false" customHeight="false" outlineLevel="0" collapsed="false">
      <c r="A2181" s="0" t="s">
        <v>952</v>
      </c>
      <c r="B2181" s="0" t="s">
        <v>96</v>
      </c>
      <c r="C2181" s="0" t="s">
        <v>172</v>
      </c>
      <c r="E2181" s="10" t="str">
        <f aca="false">IF(D2181="?OLD","!!!","")</f>
        <v/>
      </c>
      <c r="F2181" s="11" t="str">
        <f aca="false">IF(OR(E2181="",E2181="!!!"),"",IF(NOT(ISNA(VLOOKUP(E2181,E$1:E2180,1,FALSE()))),"OLD",IF(AND(E2181&lt;&gt;"",E2181&lt;&gt;"!!!"),"NEW","")))</f>
        <v/>
      </c>
      <c r="G2181" s="12" t="str">
        <f aca="false">IF(OR(E2181="",E2181="!!!"),"",IF(OR(J2181=0,AND(J2181=1,K2181=1),AND(J2181=1,I2181="SBJ"),AND(J2181=1,I2181=0)),"?IN_FOCUS",IF(J2181&lt;=2,"?ACTIVATED",IF(J2181&lt;&gt;"","?FAMILIAR",IF(F2181="NEW",IF(ISNA(VLOOKUP(E2181,#REF!,1,FALSE())),"?TYPE_IDENTIFIABLE","?REFERENTIAL"),"_")))))</f>
        <v/>
      </c>
      <c r="H2181" s="13" t="str">
        <f aca="false">IF(J2181&lt;&gt;1,"",IF(I2181="SBJ","CB","?"))</f>
        <v/>
      </c>
      <c r="I2181" s="14" t="str">
        <f aca="false">IF(OR(E2181="",E2181="!!!",F2181="NEW"),"",INDEX(B$2:B2180,-1+SUMPRODUCT(MAX(ROW(E$2:E2180)*(E2181=E$2:E2180)))))</f>
        <v/>
      </c>
      <c r="J2181" s="15" t="str">
        <f aca="true">IF(OR(E2181="",E2181="!!!",F2181="NEW"),"",COUNTBLANK(OFFSET(A$1,,,SUMPRODUCT(MAX(ROW(E$2:E2181)*(E2181=E$2:E2181)))))-COUNTBLANK(OFFSET(A$1,,,SUMPRODUCT(MAX(ROW(E$1:E2180)*(E2181=E$1:E2180))))))</f>
        <v/>
      </c>
      <c r="K2181" s="15" t="str">
        <f aca="false">IF(OR(E2181="",E2181="!!!",F2181="NEW"),"",INDEX(J$1:J2180,SUMPRODUCT(MAX(ROW(E$1:E2180)*(E2181=E$1:E2180)))))</f>
        <v/>
      </c>
      <c r="L2181" s="16"/>
    </row>
    <row r="2182" customFormat="false" ht="23.85" hidden="false" customHeight="false" outlineLevel="0" collapsed="false">
      <c r="A2182" s="0" t="s">
        <v>127</v>
      </c>
      <c r="B2182" s="0" t="s">
        <v>158</v>
      </c>
      <c r="C2182" s="0" t="s">
        <v>48</v>
      </c>
      <c r="D2182" s="0" t="s">
        <v>20</v>
      </c>
      <c r="E2182" s="10" t="s">
        <v>128</v>
      </c>
      <c r="F2182" s="11" t="str">
        <f aca="false">IF(OR(E2182="",E2182="!!!"),"",IF(NOT(ISNA(VLOOKUP(E2182,E$1:E2181,1,FALSE()))),"OLD",IF(AND(E2182&lt;&gt;"",E2182&lt;&gt;"!!!"),"NEW","")))</f>
        <v>OLD</v>
      </c>
      <c r="G2182" s="12" t="s">
        <v>80</v>
      </c>
      <c r="H2182" s="13"/>
      <c r="I2182" s="14" t="str">
        <f aca="false">IF(OR(E2182="",E2182="!!!",F2182="NEW"),"",INDEX(B$2:B2181,-1+SUMPRODUCT(MAX(ROW(E$2:E2181)*(E2182=E$2:E2181)))))</f>
        <v>SBJ_2</v>
      </c>
      <c r="J2182" s="15" t="n">
        <f aca="true">IF(OR(E2182="",E2182="!!!",F2182="NEW"),"",COUNTBLANK(OFFSET(A$1,,,SUMPRODUCT(MAX(ROW(E$2:E2182)*(E2182=E$2:E2182)))))-COUNTBLANK(OFFSET(A$1,,,SUMPRODUCT(MAX(ROW(E$1:E2181)*(E2182=E$1:E2181))))))</f>
        <v>1</v>
      </c>
      <c r="K2182" s="15" t="n">
        <f aca="false">IF(OR(E2182="",E2182="!!!",F2182="NEW"),"",INDEX(J$1:J2181,SUMPRODUCT(MAX(ROW(E$1:E2181)*(E2182=E$1:E2181)))))</f>
        <v>47</v>
      </c>
      <c r="L2182" s="16" t="s">
        <v>953</v>
      </c>
    </row>
    <row r="2183" customFormat="false" ht="12.8" hidden="false" customHeight="false" outlineLevel="0" collapsed="false">
      <c r="A2183" s="0" t="s">
        <v>223</v>
      </c>
      <c r="E2183" s="10" t="str">
        <f aca="false">IF(D2183="?OLD","!!!","")</f>
        <v/>
      </c>
      <c r="F2183" s="11" t="str">
        <f aca="false">IF(OR(E2183="",E2183="!!!"),"",IF(NOT(ISNA(VLOOKUP(E2183,E$1:E2182,1,FALSE()))),"OLD",IF(AND(E2183&lt;&gt;"",E2183&lt;&gt;"!!!"),"NEW","")))</f>
        <v/>
      </c>
      <c r="G2183" s="12" t="str">
        <f aca="false">IF(OR(E2183="",E2183="!!!"),"",IF(OR(J2183=0,AND(J2183=1,K2183=1),AND(J2183=1,I2183="SBJ"),AND(J2183=1,I2183=0)),"?IN_FOCUS",IF(J2183&lt;=2,"?ACTIVATED",IF(J2183&lt;&gt;"","?FAMILIAR",IF(F2183="NEW",IF(ISNA(VLOOKUP(E2183,#REF!,1,FALSE())),"?TYPE_IDENTIFIABLE","?REFERENTIAL"),"_")))))</f>
        <v/>
      </c>
      <c r="H2183" s="13" t="str">
        <f aca="false">IF(J2183&lt;&gt;1,"",IF(I2183="SBJ","CB","?"))</f>
        <v/>
      </c>
      <c r="I2183" s="14" t="str">
        <f aca="false">IF(OR(E2183="",E2183="!!!",F2183="NEW"),"",INDEX(B$2:B2182,-1+SUMPRODUCT(MAX(ROW(E$2:E2182)*(E2183=E$2:E2182)))))</f>
        <v/>
      </c>
      <c r="J2183" s="15" t="str">
        <f aca="true">IF(OR(E2183="",E2183="!!!",F2183="NEW"),"",COUNTBLANK(OFFSET(A$1,,,SUMPRODUCT(MAX(ROW(E$2:E2183)*(E2183=E$2:E2183)))))-COUNTBLANK(OFFSET(A$1,,,SUMPRODUCT(MAX(ROW(E$1:E2182)*(E2183=E$1:E2182))))))</f>
        <v/>
      </c>
      <c r="K2183" s="15" t="str">
        <f aca="false">IF(OR(E2183="",E2183="!!!",F2183="NEW"),"",INDEX(J$1:J2182,SUMPRODUCT(MAX(ROW(E$1:E2182)*(E2183=E$1:E2182)))))</f>
        <v/>
      </c>
      <c r="L2183" s="16"/>
    </row>
    <row r="2184" customFormat="false" ht="12.8" hidden="false" customHeight="false" outlineLevel="0" collapsed="false">
      <c r="A2184" s="0" t="s">
        <v>954</v>
      </c>
      <c r="E2184" s="10" t="str">
        <f aca="false">IF(D2184="?OLD","!!!","")</f>
        <v/>
      </c>
      <c r="F2184" s="11" t="str">
        <f aca="false">IF(OR(E2184="",E2184="!!!"),"",IF(NOT(ISNA(VLOOKUP(E2184,E$1:E2183,1,FALSE()))),"OLD",IF(AND(E2184&lt;&gt;"",E2184&lt;&gt;"!!!"),"NEW","")))</f>
        <v/>
      </c>
      <c r="G2184" s="12" t="str">
        <f aca="false">IF(OR(E2184="",E2184="!!!"),"",IF(OR(J2184=0,AND(J2184=1,K2184=1),AND(J2184=1,I2184="SBJ"),AND(J2184=1,I2184=0)),"?IN_FOCUS",IF(J2184&lt;=2,"?ACTIVATED",IF(J2184&lt;&gt;"","?FAMILIAR",IF(F2184="NEW",IF(ISNA(VLOOKUP(E2184,#REF!,1,FALSE())),"?TYPE_IDENTIFIABLE","?REFERENTIAL"),"_")))))</f>
        <v/>
      </c>
      <c r="H2184" s="13" t="str">
        <f aca="false">IF(J2184&lt;&gt;1,"",IF(I2184="SBJ","CB","?"))</f>
        <v/>
      </c>
      <c r="I2184" s="14" t="str">
        <f aca="false">IF(OR(E2184="",E2184="!!!",F2184="NEW"),"",INDEX(B$2:B2183,-1+SUMPRODUCT(MAX(ROW(E$2:E2183)*(E2184=E$2:E2183)))))</f>
        <v/>
      </c>
      <c r="J2184" s="15" t="str">
        <f aca="true">IF(OR(E2184="",E2184="!!!",F2184="NEW"),"",COUNTBLANK(OFFSET(A$1,,,SUMPRODUCT(MAX(ROW(E$2:E2184)*(E2184=E$2:E2184)))))-COUNTBLANK(OFFSET(A$1,,,SUMPRODUCT(MAX(ROW(E$1:E2183)*(E2184=E$1:E2183))))))</f>
        <v/>
      </c>
      <c r="K2184" s="15" t="str">
        <f aca="false">IF(OR(E2184="",E2184="!!!",F2184="NEW"),"",INDEX(J$1:J2183,SUMPRODUCT(MAX(ROW(E$1:E2183)*(E2184=E$1:E2183)))))</f>
        <v/>
      </c>
      <c r="L2184" s="16"/>
    </row>
    <row r="2185" customFormat="false" ht="12.8" hidden="false" customHeight="false" outlineLevel="0" collapsed="false">
      <c r="A2185" s="0" t="s">
        <v>60</v>
      </c>
      <c r="E2185" s="10" t="str">
        <f aca="false">IF(D2185="?OLD","!!!","")</f>
        <v/>
      </c>
      <c r="F2185" s="11" t="str">
        <f aca="false">IF(OR(E2185="",E2185="!!!"),"",IF(NOT(ISNA(VLOOKUP(E2185,E$1:E2184,1,FALSE()))),"OLD",IF(AND(E2185&lt;&gt;"",E2185&lt;&gt;"!!!"),"NEW","")))</f>
        <v/>
      </c>
      <c r="G2185" s="12" t="str">
        <f aca="false">IF(OR(E2185="",E2185="!!!"),"",IF(OR(J2185=0,AND(J2185=1,K2185=1),AND(J2185=1,I2185="SBJ"),AND(J2185=1,I2185=0)),"?IN_FOCUS",IF(J2185&lt;=2,"?ACTIVATED",IF(J2185&lt;&gt;"","?FAMILIAR",IF(F2185="NEW",IF(ISNA(VLOOKUP(E2185,#REF!,1,FALSE())),"?TYPE_IDENTIFIABLE","?REFERENTIAL"),"_")))))</f>
        <v/>
      </c>
      <c r="H2185" s="13" t="str">
        <f aca="false">IF(J2185&lt;&gt;1,"",IF(I2185="SBJ","CB","?"))</f>
        <v/>
      </c>
      <c r="I2185" s="14" t="str">
        <f aca="false">IF(OR(E2185="",E2185="!!!",F2185="NEW"),"",INDEX(B$2:B2184,-1+SUMPRODUCT(MAX(ROW(E$2:E2184)*(E2185=E$2:E2184)))))</f>
        <v/>
      </c>
      <c r="J2185" s="15" t="str">
        <f aca="true">IF(OR(E2185="",E2185="!!!",F2185="NEW"),"",COUNTBLANK(OFFSET(A$1,,,SUMPRODUCT(MAX(ROW(E$2:E2185)*(E2185=E$2:E2185)))))-COUNTBLANK(OFFSET(A$1,,,SUMPRODUCT(MAX(ROW(E$1:E2184)*(E2185=E$1:E2184))))))</f>
        <v/>
      </c>
      <c r="K2185" s="15" t="str">
        <f aca="false">IF(OR(E2185="",E2185="!!!",F2185="NEW"),"",INDEX(J$1:J2184,SUMPRODUCT(MAX(ROW(E$1:E2184)*(E2185=E$1:E2184)))))</f>
        <v/>
      </c>
      <c r="L2185" s="16"/>
    </row>
    <row r="2186" customFormat="false" ht="12.8" hidden="false" customHeight="false" outlineLevel="0" collapsed="false">
      <c r="A2186" s="0" t="s">
        <v>955</v>
      </c>
      <c r="E2186" s="10" t="str">
        <f aca="false">IF(D2186="?OLD","!!!","")</f>
        <v/>
      </c>
      <c r="F2186" s="11" t="str">
        <f aca="false">IF(OR(E2186="",E2186="!!!"),"",IF(NOT(ISNA(VLOOKUP(E2186,E$1:E2185,1,FALSE()))),"OLD",IF(AND(E2186&lt;&gt;"",E2186&lt;&gt;"!!!"),"NEW","")))</f>
        <v/>
      </c>
      <c r="G2186" s="12" t="str">
        <f aca="false">IF(OR(E2186="",E2186="!!!"),"",IF(OR(J2186=0,AND(J2186=1,K2186=1),AND(J2186=1,I2186="SBJ"),AND(J2186=1,I2186=0)),"?IN_FOCUS",IF(J2186&lt;=2,"?ACTIVATED",IF(J2186&lt;&gt;"","?FAMILIAR",IF(F2186="NEW",IF(ISNA(VLOOKUP(E2186,#REF!,1,FALSE())),"?TYPE_IDENTIFIABLE","?REFERENTIAL"),"_")))))</f>
        <v/>
      </c>
      <c r="H2186" s="13" t="str">
        <f aca="false">IF(J2186&lt;&gt;1,"",IF(I2186="SBJ","CB","?"))</f>
        <v/>
      </c>
      <c r="I2186" s="14" t="str">
        <f aca="false">IF(OR(E2186="",E2186="!!!",F2186="NEW"),"",INDEX(B$2:B2185,-1+SUMPRODUCT(MAX(ROW(E$2:E2185)*(E2186=E$2:E2185)))))</f>
        <v/>
      </c>
      <c r="J2186" s="15" t="str">
        <f aca="true">IF(OR(E2186="",E2186="!!!",F2186="NEW"),"",COUNTBLANK(OFFSET(A$1,,,SUMPRODUCT(MAX(ROW(E$2:E2186)*(E2186=E$2:E2186)))))-COUNTBLANK(OFFSET(A$1,,,SUMPRODUCT(MAX(ROW(E$1:E2185)*(E2186=E$1:E2185))))))</f>
        <v/>
      </c>
      <c r="K2186" s="15" t="str">
        <f aca="false">IF(OR(E2186="",E2186="!!!",F2186="NEW"),"",INDEX(J$1:J2185,SUMPRODUCT(MAX(ROW(E$1:E2185)*(E2186=E$1:E2185)))))</f>
        <v/>
      </c>
      <c r="L2186" s="16"/>
    </row>
    <row r="2187" customFormat="false" ht="12.8" hidden="false" customHeight="false" outlineLevel="0" collapsed="false">
      <c r="A2187" s="0" t="s">
        <v>62</v>
      </c>
      <c r="E2187" s="10" t="str">
        <f aca="false">IF(D2187="?OLD","!!!","")</f>
        <v/>
      </c>
      <c r="F2187" s="11" t="str">
        <f aca="false">IF(OR(E2187="",E2187="!!!"),"",IF(NOT(ISNA(VLOOKUP(E2187,E$1:E2186,1,FALSE()))),"OLD",IF(AND(E2187&lt;&gt;"",E2187&lt;&gt;"!!!"),"NEW","")))</f>
        <v/>
      </c>
      <c r="G2187" s="12" t="str">
        <f aca="false">IF(OR(E2187="",E2187="!!!"),"",IF(OR(J2187=0,AND(J2187=1,K2187=1),AND(J2187=1,I2187="SBJ"),AND(J2187=1,I2187=0)),"?IN_FOCUS",IF(J2187&lt;=2,"?ACTIVATED",IF(J2187&lt;&gt;"","?FAMILIAR",IF(F2187="NEW",IF(ISNA(VLOOKUP(E2187,#REF!,1,FALSE())),"?TYPE_IDENTIFIABLE","?REFERENTIAL"),"_")))))</f>
        <v/>
      </c>
      <c r="H2187" s="13" t="str">
        <f aca="false">IF(J2187&lt;&gt;1,"",IF(I2187="SBJ","CB","?"))</f>
        <v/>
      </c>
      <c r="I2187" s="14" t="str">
        <f aca="false">IF(OR(E2187="",E2187="!!!",F2187="NEW"),"",INDEX(B$2:B2186,-1+SUMPRODUCT(MAX(ROW(E$2:E2186)*(E2187=E$2:E2186)))))</f>
        <v/>
      </c>
      <c r="J2187" s="15" t="str">
        <f aca="true">IF(OR(E2187="",E2187="!!!",F2187="NEW"),"",COUNTBLANK(OFFSET(A$1,,,SUMPRODUCT(MAX(ROW(E$2:E2187)*(E2187=E$2:E2187)))))-COUNTBLANK(OFFSET(A$1,,,SUMPRODUCT(MAX(ROW(E$1:E2186)*(E2187=E$1:E2186))))))</f>
        <v/>
      </c>
      <c r="K2187" s="15" t="str">
        <f aca="false">IF(OR(E2187="",E2187="!!!",F2187="NEW"),"",INDEX(J$1:J2186,SUMPRODUCT(MAX(ROW(E$1:E2186)*(E2187=E$1:E2186)))))</f>
        <v/>
      </c>
      <c r="L2187" s="16"/>
    </row>
    <row r="2188" customFormat="false" ht="12.8" hidden="false" customHeight="false" outlineLevel="0" collapsed="false">
      <c r="A2188" s="0" t="s">
        <v>956</v>
      </c>
      <c r="B2188" s="0" t="s">
        <v>957</v>
      </c>
      <c r="C2188" s="0" t="s">
        <v>246</v>
      </c>
      <c r="D2188" s="0" t="s">
        <v>20</v>
      </c>
      <c r="E2188" s="10" t="s">
        <v>958</v>
      </c>
      <c r="F2188" s="11" t="str">
        <f aca="false">IF(OR(E2188="",E2188="!!!"),"",IF(NOT(ISNA(VLOOKUP(E2188,E$1:E2187,1,FALSE()))),"OLD",IF(AND(E2188&lt;&gt;"",E2188&lt;&gt;"!!!"),"NEW","")))</f>
        <v>NEW</v>
      </c>
      <c r="G2188" s="12" t="s">
        <v>36</v>
      </c>
      <c r="H2188" s="13" t="str">
        <f aca="false">IF(J2188&lt;&gt;1,"",IF(I2188="SBJ","CB","?"))</f>
        <v/>
      </c>
      <c r="I2188" s="14" t="str">
        <f aca="false">IF(OR(E2188="",E2188="!!!",F2188="NEW"),"",INDEX(B$2:B2187,-1+SUMPRODUCT(MAX(ROW(E$2:E2187)*(E2188=E$2:E2187)))))</f>
        <v/>
      </c>
      <c r="J2188" s="15" t="str">
        <f aca="true">IF(OR(E2188="",E2188="!!!",F2188="NEW"),"",COUNTBLANK(OFFSET(A$1,,,SUMPRODUCT(MAX(ROW(E$2:E2188)*(E2188=E$2:E2188)))))-COUNTBLANK(OFFSET(A$1,,,SUMPRODUCT(MAX(ROW(E$1:E2187)*(E2188=E$1:E2187))))))</f>
        <v/>
      </c>
      <c r="K2188" s="15" t="str">
        <f aca="false">IF(OR(E2188="",E2188="!!!",F2188="NEW"),"",INDEX(J$1:J2187,SUMPRODUCT(MAX(ROW(E$1:E2187)*(E2188=E$1:E2187)))))</f>
        <v/>
      </c>
      <c r="L2188" s="16"/>
    </row>
    <row r="2189" customFormat="false" ht="12.8" hidden="false" customHeight="false" outlineLevel="0" collapsed="false">
      <c r="A2189" s="0" t="s">
        <v>61</v>
      </c>
      <c r="E2189" s="10" t="str">
        <f aca="false">IF(D2189="?OLD","!!!","")</f>
        <v/>
      </c>
      <c r="F2189" s="11" t="str">
        <f aca="false">IF(OR(E2189="",E2189="!!!"),"",IF(NOT(ISNA(VLOOKUP(E2189,E$1:E2188,1,FALSE()))),"OLD",IF(AND(E2189&lt;&gt;"",E2189&lt;&gt;"!!!"),"NEW","")))</f>
        <v/>
      </c>
      <c r="G2189" s="12" t="str">
        <f aca="false">IF(OR(E2189="",E2189="!!!"),"",IF(OR(J2189=0,AND(J2189=1,K2189=1),AND(J2189=1,I2189="SBJ"),AND(J2189=1,I2189=0)),"?IN_FOCUS",IF(J2189&lt;=2,"?ACTIVATED",IF(J2189&lt;&gt;"","?FAMILIAR",IF(F2189="NEW",IF(ISNA(VLOOKUP(E2189,#REF!,1,FALSE())),"?TYPE_IDENTIFIABLE","?REFERENTIAL"),"_")))))</f>
        <v/>
      </c>
      <c r="H2189" s="13" t="str">
        <f aca="false">IF(J2189&lt;&gt;1,"",IF(I2189="SBJ","CB","?"))</f>
        <v/>
      </c>
      <c r="I2189" s="14" t="str">
        <f aca="false">IF(OR(E2189="",E2189="!!!",F2189="NEW"),"",INDEX(B$2:B2188,-1+SUMPRODUCT(MAX(ROW(E$2:E2188)*(E2189=E$2:E2188)))))</f>
        <v/>
      </c>
      <c r="J2189" s="15" t="str">
        <f aca="true">IF(OR(E2189="",E2189="!!!",F2189="NEW"),"",COUNTBLANK(OFFSET(A$1,,,SUMPRODUCT(MAX(ROW(E$2:E2189)*(E2189=E$2:E2189)))))-COUNTBLANK(OFFSET(A$1,,,SUMPRODUCT(MAX(ROW(E$1:E2188)*(E2189=E$1:E2188))))))</f>
        <v/>
      </c>
      <c r="K2189" s="15" t="str">
        <f aca="false">IF(OR(E2189="",E2189="!!!",F2189="NEW"),"",INDEX(J$1:J2188,SUMPRODUCT(MAX(ROW(E$1:E2188)*(E2189=E$1:E2188)))))</f>
        <v/>
      </c>
      <c r="L2189" s="16"/>
    </row>
    <row r="2190" customFormat="false" ht="12.8" hidden="false" customHeight="false" outlineLevel="0" collapsed="false">
      <c r="A2190" s="0" t="s">
        <v>959</v>
      </c>
      <c r="B2190" s="0" t="s">
        <v>960</v>
      </c>
      <c r="C2190" s="0" t="s">
        <v>244</v>
      </c>
      <c r="D2190" s="0" t="s">
        <v>20</v>
      </c>
      <c r="E2190" s="10" t="s">
        <v>128</v>
      </c>
      <c r="F2190" s="11" t="str">
        <f aca="false">IF(OR(E2190="",E2190="!!!"),"",IF(NOT(ISNA(VLOOKUP(E2190,E$1:E2189,1,FALSE()))),"OLD",IF(AND(E2190&lt;&gt;"",E2190&lt;&gt;"!!!"),"NEW","")))</f>
        <v>OLD</v>
      </c>
      <c r="G2190" s="12" t="s">
        <v>87</v>
      </c>
      <c r="H2190" s="13" t="str">
        <f aca="false">IF(J2190&lt;&gt;1,"",IF(I2190="SBJ","CB","?"))</f>
        <v/>
      </c>
      <c r="I2190" s="14" t="str">
        <f aca="false">IF(OR(E2190="",E2190="!!!",F2190="NEW"),"",INDEX(B$2:B2189,-1+SUMPRODUCT(MAX(ROW(E$2:E2189)*(E2190=E$2:E2189)))))</f>
        <v>SBJ_5</v>
      </c>
      <c r="J2190" s="15" t="n">
        <f aca="true">IF(OR(E2190="",E2190="!!!",F2190="NEW"),"",COUNTBLANK(OFFSET(A$1,,,SUMPRODUCT(MAX(ROW(E$2:E2190)*(E2190=E$2:E2190)))))-COUNTBLANK(OFFSET(A$1,,,SUMPRODUCT(MAX(ROW(E$1:E2189)*(E2190=E$1:E2189))))))</f>
        <v>0</v>
      </c>
      <c r="K2190" s="15" t="n">
        <f aca="false">IF(OR(E2190="",E2190="!!!",F2190="NEW"),"",INDEX(J$1:J2189,SUMPRODUCT(MAX(ROW(E$1:E2189)*(E2190=E$1:E2189)))))</f>
        <v>1</v>
      </c>
      <c r="L2190" s="16"/>
    </row>
    <row r="2191" customFormat="false" ht="12.8" hidden="false" customHeight="false" outlineLevel="0" collapsed="false">
      <c r="A2191" s="0" t="s">
        <v>961</v>
      </c>
      <c r="B2191" s="0" t="s">
        <v>962</v>
      </c>
      <c r="C2191" s="0" t="s">
        <v>246</v>
      </c>
      <c r="D2191" s="0" t="s">
        <v>20</v>
      </c>
      <c r="E2191" s="10" t="s">
        <v>963</v>
      </c>
      <c r="F2191" s="11" t="str">
        <f aca="false">IF(OR(E2191="",E2191="!!!"),"",IF(NOT(ISNA(VLOOKUP(E2191,E$1:E2190,1,FALSE()))),"OLD",IF(AND(E2191&lt;&gt;"",E2191&lt;&gt;"!!!"),"NEW","")))</f>
        <v>NEW</v>
      </c>
      <c r="G2191" s="12" t="s">
        <v>36</v>
      </c>
      <c r="H2191" s="13" t="str">
        <f aca="false">IF(J2191&lt;&gt;1,"",IF(I2191="SBJ","CB","?"))</f>
        <v/>
      </c>
      <c r="I2191" s="14" t="str">
        <f aca="false">IF(OR(E2191="",E2191="!!!",F2191="NEW"),"",INDEX(B$2:B2190,-1+SUMPRODUCT(MAX(ROW(E$2:E2190)*(E2191=E$2:E2190)))))</f>
        <v/>
      </c>
      <c r="J2191" s="15" t="str">
        <f aca="true">IF(OR(E2191="",E2191="!!!",F2191="NEW"),"",COUNTBLANK(OFFSET(A$1,,,SUMPRODUCT(MAX(ROW(E$2:E2191)*(E2191=E$2:E2191)))))-COUNTBLANK(OFFSET(A$1,,,SUMPRODUCT(MAX(ROW(E$1:E2190)*(E2191=E$1:E2190))))))</f>
        <v/>
      </c>
      <c r="K2191" s="15" t="str">
        <f aca="false">IF(OR(E2191="",E2191="!!!",F2191="NEW"),"",INDEX(J$1:J2190,SUMPRODUCT(MAX(ROW(E$1:E2190)*(E2191=E$1:E2190)))))</f>
        <v/>
      </c>
      <c r="L2191" s="16"/>
    </row>
    <row r="2192" customFormat="false" ht="12.8" hidden="false" customHeight="false" outlineLevel="0" collapsed="false">
      <c r="A2192" s="0" t="s">
        <v>76</v>
      </c>
      <c r="E2192" s="10" t="str">
        <f aca="false">IF(D2192="?OLD","!!!","")</f>
        <v/>
      </c>
      <c r="F2192" s="11" t="str">
        <f aca="false">IF(OR(E2192="",E2192="!!!"),"",IF(NOT(ISNA(VLOOKUP(E2192,E$1:E2191,1,FALSE()))),"OLD",IF(AND(E2192&lt;&gt;"",E2192&lt;&gt;"!!!"),"NEW","")))</f>
        <v/>
      </c>
      <c r="G2192" s="12" t="str">
        <f aca="false">IF(OR(E2192="",E2192="!!!"),"",IF(OR(J2192=0,AND(J2192=1,K2192=1),AND(J2192=1,I2192="SBJ"),AND(J2192=1,I2192=0)),"?IN_FOCUS",IF(J2192&lt;=2,"?ACTIVATED",IF(J2192&lt;&gt;"","?FAMILIAR",IF(F2192="NEW",IF(ISNA(VLOOKUP(E2192,#REF!,1,FALSE())),"?TYPE_IDENTIFIABLE","?REFERENTIAL"),"_")))))</f>
        <v/>
      </c>
      <c r="H2192" s="13" t="str">
        <f aca="false">IF(J2192&lt;&gt;1,"",IF(I2192="SBJ","CB","?"))</f>
        <v/>
      </c>
      <c r="I2192" s="14" t="str">
        <f aca="false">IF(OR(E2192="",E2192="!!!",F2192="NEW"),"",INDEX(B$2:B2191,-1+SUMPRODUCT(MAX(ROW(E$2:E2191)*(E2192=E$2:E2191)))))</f>
        <v/>
      </c>
      <c r="J2192" s="15" t="str">
        <f aca="true">IF(OR(E2192="",E2192="!!!",F2192="NEW"),"",COUNTBLANK(OFFSET(A$1,,,SUMPRODUCT(MAX(ROW(E$2:E2192)*(E2192=E$2:E2192)))))-COUNTBLANK(OFFSET(A$1,,,SUMPRODUCT(MAX(ROW(E$1:E2191)*(E2192=E$1:E2191))))))</f>
        <v/>
      </c>
      <c r="K2192" s="15" t="str">
        <f aca="false">IF(OR(E2192="",E2192="!!!",F2192="NEW"),"",INDEX(J$1:J2191,SUMPRODUCT(MAX(ROW(E$1:E2191)*(E2192=E$1:E2191)))))</f>
        <v/>
      </c>
      <c r="L2192" s="16"/>
    </row>
    <row r="2193" customFormat="false" ht="12.8" hidden="false" customHeight="false" outlineLevel="0" collapsed="false">
      <c r="A2193" s="0" t="s">
        <v>516</v>
      </c>
      <c r="E2193" s="10" t="str">
        <f aca="false">IF(D2193="?OLD","!!!","")</f>
        <v/>
      </c>
      <c r="F2193" s="11" t="str">
        <f aca="false">IF(OR(E2193="",E2193="!!!"),"",IF(NOT(ISNA(VLOOKUP(E2193,E$1:E2192,1,FALSE()))),"OLD",IF(AND(E2193&lt;&gt;"",E2193&lt;&gt;"!!!"),"NEW","")))</f>
        <v/>
      </c>
      <c r="G2193" s="12" t="str">
        <f aca="false">IF(OR(E2193="",E2193="!!!"),"",IF(OR(J2193=0,AND(J2193=1,K2193=1),AND(J2193=1,I2193="SBJ"),AND(J2193=1,I2193=0)),"?IN_FOCUS",IF(J2193&lt;=2,"?ACTIVATED",IF(J2193&lt;&gt;"","?FAMILIAR",IF(F2193="NEW",IF(ISNA(VLOOKUP(E2193,#REF!,1,FALSE())),"?TYPE_IDENTIFIABLE","?REFERENTIAL"),"_")))))</f>
        <v/>
      </c>
      <c r="H2193" s="13" t="str">
        <f aca="false">IF(J2193&lt;&gt;1,"",IF(I2193="SBJ","CB","?"))</f>
        <v/>
      </c>
      <c r="I2193" s="14" t="str">
        <f aca="false">IF(OR(E2193="",E2193="!!!",F2193="NEW"),"",INDEX(B$2:B2192,-1+SUMPRODUCT(MAX(ROW(E$2:E2192)*(E2193=E$2:E2192)))))</f>
        <v/>
      </c>
      <c r="J2193" s="15" t="str">
        <f aca="true">IF(OR(E2193="",E2193="!!!",F2193="NEW"),"",COUNTBLANK(OFFSET(A$1,,,SUMPRODUCT(MAX(ROW(E$2:E2193)*(E2193=E$2:E2193)))))-COUNTBLANK(OFFSET(A$1,,,SUMPRODUCT(MAX(ROW(E$1:E2192)*(E2193=E$1:E2192))))))</f>
        <v/>
      </c>
      <c r="K2193" s="15" t="str">
        <f aca="false">IF(OR(E2193="",E2193="!!!",F2193="NEW"),"",INDEX(J$1:J2192,SUMPRODUCT(MAX(ROW(E$1:E2192)*(E2193=E$1:E2192)))))</f>
        <v/>
      </c>
      <c r="L2193" s="16"/>
    </row>
    <row r="2194" customFormat="false" ht="12.8" hidden="false" customHeight="false" outlineLevel="0" collapsed="false">
      <c r="E2194" s="10" t="str">
        <f aca="false">IF(D2194="?OLD","!!!","")</f>
        <v/>
      </c>
      <c r="F2194" s="11" t="str">
        <f aca="false">IF(OR(E2194="",E2194="!!!"),"",IF(NOT(ISNA(VLOOKUP(E2194,E$1:E2193,1,FALSE()))),"OLD",IF(AND(E2194&lt;&gt;"",E2194&lt;&gt;"!!!"),"NEW","")))</f>
        <v/>
      </c>
      <c r="G2194" s="12" t="str">
        <f aca="false">IF(OR(E2194="",E2194="!!!"),"",IF(OR(J2194=0,AND(J2194=1,K2194=1),AND(J2194=1,I2194="SBJ"),AND(J2194=1,I2194=0)),"?IN_FOCUS",IF(J2194&lt;=2,"?ACTIVATED",IF(J2194&lt;&gt;"","?FAMILIAR",IF(F2194="NEW",IF(ISNA(VLOOKUP(E2194,#REF!,1,FALSE())),"?TYPE_IDENTIFIABLE","?REFERENTIAL"),"_")))))</f>
        <v/>
      </c>
      <c r="H2194" s="13" t="str">
        <f aca="false">IF(J2194&lt;&gt;1,"",IF(I2194="SBJ","CB","?"))</f>
        <v/>
      </c>
      <c r="I2194" s="14" t="str">
        <f aca="false">IF(OR(E2194="",E2194="!!!",F2194="NEW"),"",INDEX(B$2:B2193,-1+SUMPRODUCT(MAX(ROW(E$2:E2193)*(E2194=E$2:E2193)))))</f>
        <v/>
      </c>
      <c r="J2194" s="15" t="str">
        <f aca="true">IF(OR(E2194="",E2194="!!!",F2194="NEW"),"",COUNTBLANK(OFFSET(A$1,,,SUMPRODUCT(MAX(ROW(E$2:E2194)*(E2194=E$2:E2194)))))-COUNTBLANK(OFFSET(A$1,,,SUMPRODUCT(MAX(ROW(E$1:E2193)*(E2194=E$1:E2193))))))</f>
        <v/>
      </c>
      <c r="K2194" s="15" t="str">
        <f aca="false">IF(OR(E2194="",E2194="!!!",F2194="NEW"),"",INDEX(J$1:J2193,SUMPRODUCT(MAX(ROW(E$1:E2193)*(E2194=E$1:E2193)))))</f>
        <v/>
      </c>
      <c r="L2194" s="16"/>
    </row>
    <row r="2195" customFormat="false" ht="12.8" hidden="false" customHeight="false" outlineLevel="0" collapsed="false">
      <c r="A2195" s="0" t="s">
        <v>964</v>
      </c>
      <c r="E2195" s="10" t="str">
        <f aca="false">IF(D2195="?OLD","!!!","")</f>
        <v/>
      </c>
      <c r="F2195" s="11" t="str">
        <f aca="false">IF(OR(E2195="",E2195="!!!"),"",IF(NOT(ISNA(VLOOKUP(E2195,E$1:E2194,1,FALSE()))),"OLD",IF(AND(E2195&lt;&gt;"",E2195&lt;&gt;"!!!"),"NEW","")))</f>
        <v/>
      </c>
      <c r="G2195" s="12" t="str">
        <f aca="false">IF(OR(E2195="",E2195="!!!"),"",IF(OR(J2195=0,AND(J2195=1,K2195=1),AND(J2195=1,I2195="SBJ"),AND(J2195=1,I2195=0)),"?IN_FOCUS",IF(J2195&lt;=2,"?ACTIVATED",IF(J2195&lt;&gt;"","?FAMILIAR",IF(F2195="NEW",IF(ISNA(VLOOKUP(E2195,#REF!,1,FALSE())),"?TYPE_IDENTIFIABLE","?REFERENTIAL"),"_")))))</f>
        <v/>
      </c>
      <c r="H2195" s="13" t="str">
        <f aca="false">IF(J2195&lt;&gt;1,"",IF(I2195="SBJ","CB","?"))</f>
        <v/>
      </c>
      <c r="I2195" s="14" t="str">
        <f aca="false">IF(OR(E2195="",E2195="!!!",F2195="NEW"),"",INDEX(B$2:B2194,-1+SUMPRODUCT(MAX(ROW(E$2:E2194)*(E2195=E$2:E2194)))))</f>
        <v/>
      </c>
      <c r="J2195" s="15" t="str">
        <f aca="true">IF(OR(E2195="",E2195="!!!",F2195="NEW"),"",COUNTBLANK(OFFSET(A$1,,,SUMPRODUCT(MAX(ROW(E$2:E2195)*(E2195=E$2:E2195)))))-COUNTBLANK(OFFSET(A$1,,,SUMPRODUCT(MAX(ROW(E$1:E2194)*(E2195=E$1:E2194))))))</f>
        <v/>
      </c>
      <c r="K2195" s="15" t="str">
        <f aca="false">IF(OR(E2195="",E2195="!!!",F2195="NEW"),"",INDEX(J$1:J2194,SUMPRODUCT(MAX(ROW(E$1:E2194)*(E2195=E$1:E2194)))))</f>
        <v/>
      </c>
      <c r="L2195" s="16"/>
    </row>
    <row r="2196" customFormat="false" ht="12.8" hidden="false" customHeight="false" outlineLevel="0" collapsed="false">
      <c r="A2196" s="0" t="s">
        <v>965</v>
      </c>
      <c r="E2196" s="10" t="str">
        <f aca="false">IF(D2196="?OLD","!!!","")</f>
        <v/>
      </c>
      <c r="F2196" s="11" t="str">
        <f aca="false">IF(OR(E2196="",E2196="!!!"),"",IF(NOT(ISNA(VLOOKUP(E2196,E$1:E2195,1,FALSE()))),"OLD",IF(AND(E2196&lt;&gt;"",E2196&lt;&gt;"!!!"),"NEW","")))</f>
        <v/>
      </c>
      <c r="G2196" s="12" t="str">
        <f aca="false">IF(OR(E2196="",E2196="!!!"),"",IF(OR(J2196=0,AND(J2196=1,K2196=1),AND(J2196=1,I2196="SBJ"),AND(J2196=1,I2196=0)),"?IN_FOCUS",IF(J2196&lt;=2,"?ACTIVATED",IF(J2196&lt;&gt;"","?FAMILIAR",IF(F2196="NEW",IF(ISNA(VLOOKUP(E2196,#REF!,1,FALSE())),"?TYPE_IDENTIFIABLE","?REFERENTIAL"),"_")))))</f>
        <v/>
      </c>
      <c r="H2196" s="13" t="str">
        <f aca="false">IF(J2196&lt;&gt;1,"",IF(I2196="SBJ","CB","?"))</f>
        <v/>
      </c>
      <c r="I2196" s="14" t="str">
        <f aca="false">IF(OR(E2196="",E2196="!!!",F2196="NEW"),"",INDEX(B$2:B2195,-1+SUMPRODUCT(MAX(ROW(E$2:E2195)*(E2196=E$2:E2195)))))</f>
        <v/>
      </c>
      <c r="J2196" s="15" t="str">
        <f aca="true">IF(OR(E2196="",E2196="!!!",F2196="NEW"),"",COUNTBLANK(OFFSET(A$1,,,SUMPRODUCT(MAX(ROW(E$2:E2196)*(E2196=E$2:E2196)))))-COUNTBLANK(OFFSET(A$1,,,SUMPRODUCT(MAX(ROW(E$1:E2195)*(E2196=E$1:E2195))))))</f>
        <v/>
      </c>
      <c r="K2196" s="15" t="str">
        <f aca="false">IF(OR(E2196="",E2196="!!!",F2196="NEW"),"",INDEX(J$1:J2195,SUMPRODUCT(MAX(ROW(E$1:E2195)*(E2196=E$1:E2195)))))</f>
        <v/>
      </c>
      <c r="L2196" s="16"/>
    </row>
    <row r="2197" customFormat="false" ht="12.8" hidden="false" customHeight="false" outlineLevel="0" collapsed="false">
      <c r="A2197" s="0" t="s">
        <v>127</v>
      </c>
      <c r="B2197" s="0" t="s">
        <v>85</v>
      </c>
      <c r="C2197" s="0" t="s">
        <v>48</v>
      </c>
      <c r="D2197" s="0" t="s">
        <v>20</v>
      </c>
      <c r="E2197" s="10" t="s">
        <v>128</v>
      </c>
      <c r="F2197" s="11" t="str">
        <f aca="false">IF(OR(E2197="",E2197="!!!"),"",IF(NOT(ISNA(VLOOKUP(E2197,E$1:E2196,1,FALSE()))),"OLD",IF(AND(E2197&lt;&gt;"",E2197&lt;&gt;"!!!"),"NEW","")))</f>
        <v>OLD</v>
      </c>
      <c r="G2197" s="12" t="s">
        <v>80</v>
      </c>
      <c r="H2197" s="13" t="s">
        <v>7</v>
      </c>
      <c r="I2197" s="14" t="str">
        <f aca="false">IF(OR(E2197="",E2197="!!!",F2197="NEW"),"",INDEX(B$2:B2196,-1+SUMPRODUCT(MAX(ROW(E$2:E2196)*(E2197=E$2:E2196)))))</f>
        <v>other_8</v>
      </c>
      <c r="J2197" s="15" t="n">
        <f aca="true">IF(OR(E2197="",E2197="!!!",F2197="NEW"),"",COUNTBLANK(OFFSET(A$1,,,SUMPRODUCT(MAX(ROW(E$2:E2197)*(E2197=E$2:E2197)))))-COUNTBLANK(OFFSET(A$1,,,SUMPRODUCT(MAX(ROW(E$1:E2196)*(E2197=E$1:E2196))))))</f>
        <v>1</v>
      </c>
      <c r="K2197" s="15" t="n">
        <f aca="false">IF(OR(E2197="",E2197="!!!",F2197="NEW"),"",INDEX(J$1:J2196,SUMPRODUCT(MAX(ROW(E$1:E2196)*(E2197=E$1:E2196)))))</f>
        <v>0</v>
      </c>
      <c r="L2197" s="16"/>
    </row>
    <row r="2198" customFormat="false" ht="12.8" hidden="false" customHeight="false" outlineLevel="0" collapsed="false">
      <c r="A2198" s="0" t="s">
        <v>76</v>
      </c>
      <c r="E2198" s="10" t="str">
        <f aca="false">IF(D2198="?OLD","!!!","")</f>
        <v/>
      </c>
      <c r="F2198" s="11" t="str">
        <f aca="false">IF(OR(E2198="",E2198="!!!"),"",IF(NOT(ISNA(VLOOKUP(E2198,E$1:E2197,1,FALSE()))),"OLD",IF(AND(E2198&lt;&gt;"",E2198&lt;&gt;"!!!"),"NEW","")))</f>
        <v/>
      </c>
      <c r="G2198" s="12" t="str">
        <f aca="false">IF(OR(E2198="",E2198="!!!"),"",IF(OR(J2198=0,AND(J2198=1,K2198=1),AND(J2198=1,I2198="SBJ"),AND(J2198=1,I2198=0)),"?IN_FOCUS",IF(J2198&lt;=2,"?ACTIVATED",IF(J2198&lt;&gt;"","?FAMILIAR",IF(F2198="NEW",IF(ISNA(VLOOKUP(E2198,#REF!,1,FALSE())),"?TYPE_IDENTIFIABLE","?REFERENTIAL"),"_")))))</f>
        <v/>
      </c>
      <c r="H2198" s="13" t="str">
        <f aca="false">IF(J2198&lt;&gt;1,"",IF(I2198="SBJ","CB","?"))</f>
        <v/>
      </c>
      <c r="I2198" s="14" t="str">
        <f aca="false">IF(OR(E2198="",E2198="!!!",F2198="NEW"),"",INDEX(B$2:B2197,-1+SUMPRODUCT(MAX(ROW(E$2:E2197)*(E2198=E$2:E2197)))))</f>
        <v/>
      </c>
      <c r="J2198" s="15" t="str">
        <f aca="true">IF(OR(E2198="",E2198="!!!",F2198="NEW"),"",COUNTBLANK(OFFSET(A$1,,,SUMPRODUCT(MAX(ROW(E$2:E2198)*(E2198=E$2:E2198)))))-COUNTBLANK(OFFSET(A$1,,,SUMPRODUCT(MAX(ROW(E$1:E2197)*(E2198=E$1:E2197))))))</f>
        <v/>
      </c>
      <c r="K2198" s="15" t="str">
        <f aca="false">IF(OR(E2198="",E2198="!!!",F2198="NEW"),"",INDEX(J$1:J2197,SUMPRODUCT(MAX(ROW(E$1:E2197)*(E2198=E$1:E2197)))))</f>
        <v/>
      </c>
      <c r="L2198" s="1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2380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2023-05-24T17:24:44Z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