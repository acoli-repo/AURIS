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Volumes/NO NAME/Annotationsdateien/"/>
    </mc:Choice>
  </mc:AlternateContent>
  <xr:revisionPtr revIDLastSave="0" documentId="13_ncr:1_{FDD7C1B9-1CAB-F844-BA5B-F712A677214A}" xr6:coauthVersionLast="47" xr6:coauthVersionMax="47" xr10:uidLastSave="{00000000-0000-0000-0000-000000000000}"/>
  <bookViews>
    <workbookView xWindow="0" yWindow="500" windowWidth="28800" windowHeight="17500" tabRatio="500" xr2:uid="{00000000-000D-0000-FFFF-FFFF00000000}"/>
  </bookViews>
  <sheets>
    <sheet name="annotation" sheetId="1" r:id="rId1"/>
  </sheets>
  <definedNames>
    <definedName name="_xlnm._FilterDatabase" localSheetId="0" hidden="1">annotation!$A$1:$L$610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610" i="1" l="1"/>
  <c r="F610" i="1" s="1"/>
  <c r="E609" i="1"/>
  <c r="G609" i="1" s="1"/>
  <c r="E608" i="1"/>
  <c r="G608" i="1" s="1"/>
  <c r="E607" i="1"/>
  <c r="G607" i="1" s="1"/>
  <c r="E606" i="1"/>
  <c r="E605" i="1"/>
  <c r="G605" i="1" s="1"/>
  <c r="E604" i="1"/>
  <c r="G603" i="1"/>
  <c r="E602" i="1"/>
  <c r="G602" i="1" s="1"/>
  <c r="E601" i="1"/>
  <c r="G601" i="1" s="1"/>
  <c r="E599" i="1"/>
  <c r="F599" i="1" s="1"/>
  <c r="E598" i="1"/>
  <c r="F598" i="1" s="1"/>
  <c r="K598" i="1" s="1"/>
  <c r="E597" i="1"/>
  <c r="E594" i="1"/>
  <c r="E593" i="1"/>
  <c r="F593" i="1" s="1"/>
  <c r="J593" i="1" s="1"/>
  <c r="H593" i="1" s="1"/>
  <c r="E592" i="1"/>
  <c r="E591" i="1"/>
  <c r="G591" i="1" s="1"/>
  <c r="E590" i="1"/>
  <c r="F590" i="1" s="1"/>
  <c r="E589" i="1"/>
  <c r="F589" i="1" s="1"/>
  <c r="I589" i="1" s="1"/>
  <c r="E586" i="1"/>
  <c r="E585" i="1"/>
  <c r="G585" i="1" s="1"/>
  <c r="E584" i="1"/>
  <c r="E582" i="1"/>
  <c r="E581" i="1"/>
  <c r="G581" i="1" s="1"/>
  <c r="E580" i="1"/>
  <c r="E579" i="1"/>
  <c r="G579" i="1" s="1"/>
  <c r="E578" i="1"/>
  <c r="G578" i="1" s="1"/>
  <c r="E577" i="1"/>
  <c r="E576" i="1"/>
  <c r="E575" i="1"/>
  <c r="E574" i="1"/>
  <c r="G574" i="1" s="1"/>
  <c r="E573" i="1"/>
  <c r="E572" i="1"/>
  <c r="G572" i="1" s="1"/>
  <c r="E570" i="1"/>
  <c r="E569" i="1"/>
  <c r="G569" i="1" s="1"/>
  <c r="E568" i="1"/>
  <c r="E567" i="1"/>
  <c r="G567" i="1" s="1"/>
  <c r="E565" i="1"/>
  <c r="G565" i="1" s="1"/>
  <c r="E564" i="1"/>
  <c r="G564" i="1" s="1"/>
  <c r="E563" i="1"/>
  <c r="F563" i="1" s="1"/>
  <c r="I563" i="1" s="1"/>
  <c r="E562" i="1"/>
  <c r="G562" i="1" s="1"/>
  <c r="E561" i="1"/>
  <c r="G561" i="1" s="1"/>
  <c r="F560" i="1"/>
  <c r="K560" i="1" s="1"/>
  <c r="G560" i="1"/>
  <c r="E558" i="1"/>
  <c r="E557" i="1"/>
  <c r="E556" i="1"/>
  <c r="E554" i="1"/>
  <c r="G554" i="1" s="1"/>
  <c r="E553" i="1"/>
  <c r="G553" i="1" s="1"/>
  <c r="E552" i="1"/>
  <c r="E551" i="1"/>
  <c r="E550" i="1"/>
  <c r="G550" i="1" s="1"/>
  <c r="E549" i="1"/>
  <c r="E548" i="1"/>
  <c r="G548" i="1" s="1"/>
  <c r="E547" i="1"/>
  <c r="F547" i="1" s="1"/>
  <c r="E546" i="1"/>
  <c r="E545" i="1"/>
  <c r="E544" i="1"/>
  <c r="E543" i="1"/>
  <c r="G543" i="1" s="1"/>
  <c r="E541" i="1"/>
  <c r="E540" i="1"/>
  <c r="G540" i="1" s="1"/>
  <c r="E539" i="1"/>
  <c r="F539" i="1" s="1"/>
  <c r="I539" i="1" s="1"/>
  <c r="E538" i="1"/>
  <c r="G538" i="1" s="1"/>
  <c r="E537" i="1"/>
  <c r="G537" i="1" s="1"/>
  <c r="E536" i="1"/>
  <c r="E534" i="1"/>
  <c r="E533" i="1"/>
  <c r="F533" i="1" s="1"/>
  <c r="J533" i="1" s="1"/>
  <c r="H533" i="1" s="1"/>
  <c r="E532" i="1"/>
  <c r="E531" i="1"/>
  <c r="G531" i="1" s="1"/>
  <c r="E530" i="1"/>
  <c r="E529" i="1"/>
  <c r="F529" i="1" s="1"/>
  <c r="K529" i="1" s="1"/>
  <c r="E528" i="1"/>
  <c r="F528" i="1" s="1"/>
  <c r="E527" i="1"/>
  <c r="E526" i="1"/>
  <c r="G526" i="1" s="1"/>
  <c r="E525" i="1"/>
  <c r="E524" i="1"/>
  <c r="G524" i="1" s="1"/>
  <c r="E523" i="1"/>
  <c r="F523" i="1" s="1"/>
  <c r="E522" i="1"/>
  <c r="E521" i="1"/>
  <c r="G521" i="1" s="1"/>
  <c r="E520" i="1"/>
  <c r="E519" i="1"/>
  <c r="G519" i="1" s="1"/>
  <c r="E518" i="1"/>
  <c r="F518" i="1" s="1"/>
  <c r="E517" i="1"/>
  <c r="F517" i="1" s="1"/>
  <c r="K517" i="1" s="1"/>
  <c r="E516" i="1"/>
  <c r="G516" i="1" s="1"/>
  <c r="E515" i="1"/>
  <c r="F515" i="1" s="1"/>
  <c r="I515" i="1" s="1"/>
  <c r="G514" i="1"/>
  <c r="F514" i="1"/>
  <c r="J514" i="1" s="1"/>
  <c r="H514" i="1" s="1"/>
  <c r="E513" i="1"/>
  <c r="G513" i="1" s="1"/>
  <c r="E512" i="1"/>
  <c r="G512" i="1" s="1"/>
  <c r="E510" i="1"/>
  <c r="E509" i="1"/>
  <c r="G509" i="1" s="1"/>
  <c r="E508" i="1"/>
  <c r="E506" i="1"/>
  <c r="E505" i="1"/>
  <c r="F505" i="1" s="1"/>
  <c r="J505" i="1" s="1"/>
  <c r="H505" i="1" s="1"/>
  <c r="E503" i="1"/>
  <c r="E502" i="1"/>
  <c r="F502" i="1" s="1"/>
  <c r="K502" i="1" s="1"/>
  <c r="E501" i="1"/>
  <c r="E500" i="1"/>
  <c r="G500" i="1" s="1"/>
  <c r="E499" i="1"/>
  <c r="F499" i="1" s="1"/>
  <c r="E497" i="1"/>
  <c r="G497" i="1" s="1"/>
  <c r="E496" i="1"/>
  <c r="E495" i="1"/>
  <c r="G495" i="1" s="1"/>
  <c r="E493" i="1"/>
  <c r="G493" i="1" s="1"/>
  <c r="E492" i="1"/>
  <c r="F492" i="1" s="1"/>
  <c r="I492" i="1" s="1"/>
  <c r="E491" i="1"/>
  <c r="F491" i="1" s="1"/>
  <c r="I491" i="1" s="1"/>
  <c r="E490" i="1"/>
  <c r="E489" i="1"/>
  <c r="G489" i="1" s="1"/>
  <c r="E488" i="1"/>
  <c r="E486" i="1"/>
  <c r="E485" i="1"/>
  <c r="G485" i="1" s="1"/>
  <c r="E484" i="1"/>
  <c r="E483" i="1"/>
  <c r="G483" i="1" s="1"/>
  <c r="E482" i="1"/>
  <c r="E481" i="1"/>
  <c r="E480" i="1"/>
  <c r="E478" i="1"/>
  <c r="G478" i="1" s="1"/>
  <c r="E477" i="1"/>
  <c r="E475" i="1"/>
  <c r="E474" i="1"/>
  <c r="E473" i="1"/>
  <c r="G473" i="1" s="1"/>
  <c r="E472" i="1"/>
  <c r="E471" i="1"/>
  <c r="G471" i="1" s="1"/>
  <c r="E469" i="1"/>
  <c r="F469" i="1" s="1"/>
  <c r="K469" i="1" s="1"/>
  <c r="E468" i="1"/>
  <c r="E467" i="1"/>
  <c r="F467" i="1" s="1"/>
  <c r="I467" i="1" s="1"/>
  <c r="E465" i="1"/>
  <c r="E464" i="1"/>
  <c r="G464" i="1" s="1"/>
  <c r="E463" i="1"/>
  <c r="G463" i="1" s="1"/>
  <c r="E461" i="1"/>
  <c r="E460" i="1"/>
  <c r="E459" i="1"/>
  <c r="G459" i="1" s="1"/>
  <c r="E457" i="1"/>
  <c r="E456" i="1"/>
  <c r="E455" i="1"/>
  <c r="E454" i="1"/>
  <c r="G454" i="1" s="1"/>
  <c r="E452" i="1"/>
  <c r="G452" i="1" s="1"/>
  <c r="E451" i="1"/>
  <c r="F451" i="1" s="1"/>
  <c r="E450" i="1"/>
  <c r="E448" i="1"/>
  <c r="E447" i="1"/>
  <c r="G447" i="1" s="1"/>
  <c r="E446" i="1"/>
  <c r="F446" i="1" s="1"/>
  <c r="E445" i="1"/>
  <c r="G445" i="1" s="1"/>
  <c r="E444" i="1"/>
  <c r="F444" i="1" s="1"/>
  <c r="E442" i="1"/>
  <c r="E441" i="1"/>
  <c r="G441" i="1" s="1"/>
  <c r="E440" i="1"/>
  <c r="G440" i="1" s="1"/>
  <c r="E439" i="1"/>
  <c r="G439" i="1" s="1"/>
  <c r="E437" i="1"/>
  <c r="E436" i="1"/>
  <c r="E435" i="1"/>
  <c r="G435" i="1" s="1"/>
  <c r="E434" i="1"/>
  <c r="G434" i="1" s="1"/>
  <c r="E433" i="1"/>
  <c r="G433" i="1" s="1"/>
  <c r="G432" i="1"/>
  <c r="E431" i="1"/>
  <c r="E430" i="1"/>
  <c r="G430" i="1" s="1"/>
  <c r="E429" i="1"/>
  <c r="E427" i="1"/>
  <c r="F427" i="1" s="1"/>
  <c r="E426" i="1"/>
  <c r="E425" i="1"/>
  <c r="G425" i="1" s="1"/>
  <c r="E424" i="1"/>
  <c r="E423" i="1"/>
  <c r="G423" i="1" s="1"/>
  <c r="E422" i="1"/>
  <c r="F422" i="1" s="1"/>
  <c r="E421" i="1"/>
  <c r="G421" i="1" s="1"/>
  <c r="E419" i="1"/>
  <c r="F419" i="1" s="1"/>
  <c r="I419" i="1" s="1"/>
  <c r="G418" i="1"/>
  <c r="F418" i="1"/>
  <c r="I418" i="1" s="1"/>
  <c r="E417" i="1"/>
  <c r="F417" i="1" s="1"/>
  <c r="K417" i="1" s="1"/>
  <c r="E416" i="1"/>
  <c r="G416" i="1" s="1"/>
  <c r="E415" i="1"/>
  <c r="G415" i="1" s="1"/>
  <c r="E413" i="1"/>
  <c r="G413" i="1" s="1"/>
  <c r="E412" i="1"/>
  <c r="E411" i="1"/>
  <c r="G411" i="1" s="1"/>
  <c r="E410" i="1"/>
  <c r="E409" i="1"/>
  <c r="G409" i="1" s="1"/>
  <c r="E408" i="1"/>
  <c r="E407" i="1"/>
  <c r="E406" i="1"/>
  <c r="F406" i="1" s="1"/>
  <c r="K406" i="1" s="1"/>
  <c r="E405" i="1"/>
  <c r="E404" i="1"/>
  <c r="G404" i="1" s="1"/>
  <c r="E403" i="1"/>
  <c r="F403" i="1" s="1"/>
  <c r="E402" i="1"/>
  <c r="E401" i="1"/>
  <c r="F401" i="1" s="1"/>
  <c r="J401" i="1" s="1"/>
  <c r="H401" i="1" s="1"/>
  <c r="E400" i="1"/>
  <c r="E399" i="1"/>
  <c r="G399" i="1" s="1"/>
  <c r="E398" i="1"/>
  <c r="F398" i="1" s="1"/>
  <c r="E396" i="1"/>
  <c r="G396" i="1" s="1"/>
  <c r="E395" i="1"/>
  <c r="F395" i="1" s="1"/>
  <c r="I395" i="1" s="1"/>
  <c r="E394" i="1"/>
  <c r="G394" i="1" s="1"/>
  <c r="E392" i="1"/>
  <c r="G392" i="1" s="1"/>
  <c r="E391" i="1"/>
  <c r="F391" i="1" s="1"/>
  <c r="E389" i="1"/>
  <c r="G389" i="1" s="1"/>
  <c r="E388" i="1"/>
  <c r="E387" i="1"/>
  <c r="G387" i="1" s="1"/>
  <c r="E386" i="1"/>
  <c r="G386" i="1" s="1"/>
  <c r="E385" i="1"/>
  <c r="G385" i="1" s="1"/>
  <c r="E383" i="1"/>
  <c r="E382" i="1"/>
  <c r="G382" i="1" s="1"/>
  <c r="E381" i="1"/>
  <c r="E380" i="1"/>
  <c r="G380" i="1" s="1"/>
  <c r="E379" i="1"/>
  <c r="F379" i="1" s="1"/>
  <c r="E378" i="1"/>
  <c r="E377" i="1"/>
  <c r="G377" i="1" s="1"/>
  <c r="E376" i="1"/>
  <c r="E375" i="1"/>
  <c r="G375" i="1" s="1"/>
  <c r="E373" i="1"/>
  <c r="F373" i="1" s="1"/>
  <c r="K373" i="1" s="1"/>
  <c r="E372" i="1"/>
  <c r="G372" i="1" s="1"/>
  <c r="E371" i="1"/>
  <c r="F371" i="1" s="1"/>
  <c r="I371" i="1" s="1"/>
  <c r="E370" i="1"/>
  <c r="G370" i="1" s="1"/>
  <c r="E369" i="1"/>
  <c r="F369" i="1" s="1"/>
  <c r="K369" i="1" s="1"/>
  <c r="E368" i="1"/>
  <c r="G368" i="1" s="1"/>
  <c r="E367" i="1"/>
  <c r="G367" i="1" s="1"/>
  <c r="E366" i="1"/>
  <c r="E365" i="1"/>
  <c r="E364" i="1"/>
  <c r="E363" i="1"/>
  <c r="G363" i="1" s="1"/>
  <c r="E362" i="1"/>
  <c r="G362" i="1" s="1"/>
  <c r="E361" i="1"/>
  <c r="F361" i="1" s="1"/>
  <c r="K361" i="1" s="1"/>
  <c r="E360" i="1"/>
  <c r="F360" i="1" s="1"/>
  <c r="E359" i="1"/>
  <c r="E358" i="1"/>
  <c r="G358" i="1" s="1"/>
  <c r="E357" i="1"/>
  <c r="E356" i="1"/>
  <c r="G356" i="1" s="1"/>
  <c r="E355" i="1"/>
  <c r="F355" i="1" s="1"/>
  <c r="E354" i="1"/>
  <c r="G353" i="1"/>
  <c r="F353" i="1"/>
  <c r="J353" i="1" s="1"/>
  <c r="H353" i="1" s="1"/>
  <c r="E352" i="1"/>
  <c r="E351" i="1"/>
  <c r="G351" i="1" s="1"/>
  <c r="E349" i="1"/>
  <c r="F349" i="1" s="1"/>
  <c r="K349" i="1" s="1"/>
  <c r="E348" i="1"/>
  <c r="E345" i="1"/>
  <c r="G345" i="1" s="1"/>
  <c r="E344" i="1"/>
  <c r="G344" i="1" s="1"/>
  <c r="E342" i="1"/>
  <c r="E341" i="1"/>
  <c r="G341" i="1" s="1"/>
  <c r="E339" i="1"/>
  <c r="G339" i="1" s="1"/>
  <c r="E338" i="1"/>
  <c r="G338" i="1" s="1"/>
  <c r="E337" i="1"/>
  <c r="G337" i="1" s="1"/>
  <c r="E336" i="1"/>
  <c r="E335" i="1"/>
  <c r="E334" i="1"/>
  <c r="G334" i="1" s="1"/>
  <c r="E333" i="1"/>
  <c r="E330" i="1"/>
  <c r="E329" i="1"/>
  <c r="F329" i="1" s="1"/>
  <c r="J329" i="1" s="1"/>
  <c r="H329" i="1" s="1"/>
  <c r="E328" i="1"/>
  <c r="E327" i="1"/>
  <c r="G327" i="1" s="1"/>
  <c r="E326" i="1"/>
  <c r="F326" i="1" s="1"/>
  <c r="E325" i="1"/>
  <c r="G325" i="1" s="1"/>
  <c r="E324" i="1"/>
  <c r="F324" i="1" s="1"/>
  <c r="E323" i="1"/>
  <c r="F323" i="1" s="1"/>
  <c r="I323" i="1" s="1"/>
  <c r="E321" i="1"/>
  <c r="G321" i="1" s="1"/>
  <c r="E320" i="1"/>
  <c r="F320" i="1" s="1"/>
  <c r="K320" i="1" s="1"/>
  <c r="E319" i="1"/>
  <c r="G319" i="1" s="1"/>
  <c r="E318" i="1"/>
  <c r="E317" i="1"/>
  <c r="F317" i="1" s="1"/>
  <c r="J317" i="1" s="1"/>
  <c r="H317" i="1" s="1"/>
  <c r="E316" i="1"/>
  <c r="G315" i="1"/>
  <c r="E314" i="1"/>
  <c r="G314" i="1" s="1"/>
  <c r="E313" i="1"/>
  <c r="E312" i="1"/>
  <c r="E310" i="1"/>
  <c r="F310" i="1" s="1"/>
  <c r="I310" i="1" s="1"/>
  <c r="E309" i="1"/>
  <c r="E308" i="1"/>
  <c r="G308" i="1" s="1"/>
  <c r="E306" i="1"/>
  <c r="E305" i="1"/>
  <c r="F305" i="1" s="1"/>
  <c r="J305" i="1" s="1"/>
  <c r="H305" i="1" s="1"/>
  <c r="E303" i="1"/>
  <c r="G303" i="1" s="1"/>
  <c r="E302" i="1"/>
  <c r="E299" i="1"/>
  <c r="F299" i="1" s="1"/>
  <c r="I299" i="1" s="1"/>
  <c r="E298" i="1"/>
  <c r="G298" i="1" s="1"/>
  <c r="E297" i="1"/>
  <c r="E296" i="1"/>
  <c r="G296" i="1" s="1"/>
  <c r="E295" i="1"/>
  <c r="F295" i="1" s="1"/>
  <c r="E294" i="1"/>
  <c r="E293" i="1"/>
  <c r="G293" i="1" s="1"/>
  <c r="E292" i="1"/>
  <c r="E291" i="1"/>
  <c r="F291" i="1" s="1"/>
  <c r="J291" i="1" s="1"/>
  <c r="H291" i="1" s="1"/>
  <c r="E290" i="1"/>
  <c r="G290" i="1" s="1"/>
  <c r="E289" i="1"/>
  <c r="G289" i="1" s="1"/>
  <c r="E288" i="1"/>
  <c r="F288" i="1" s="1"/>
  <c r="E287" i="1"/>
  <c r="E286" i="1"/>
  <c r="F286" i="1" s="1"/>
  <c r="K286" i="1" s="1"/>
  <c r="E284" i="1"/>
  <c r="G284" i="1" s="1"/>
  <c r="E283" i="1"/>
  <c r="E282" i="1"/>
  <c r="E281" i="1"/>
  <c r="F281" i="1" s="1"/>
  <c r="J281" i="1" s="1"/>
  <c r="H281" i="1" s="1"/>
  <c r="E280" i="1"/>
  <c r="E278" i="1"/>
  <c r="F278" i="1" s="1"/>
  <c r="E277" i="1"/>
  <c r="G277" i="1" s="1"/>
  <c r="E276" i="1"/>
  <c r="E275" i="1"/>
  <c r="F275" i="1" s="1"/>
  <c r="I275" i="1" s="1"/>
  <c r="E274" i="1"/>
  <c r="G274" i="1" s="1"/>
  <c r="E273" i="1"/>
  <c r="G273" i="1" s="1"/>
  <c r="G272" i="1"/>
  <c r="F272" i="1"/>
  <c r="J272" i="1" s="1"/>
  <c r="H272" i="1" s="1"/>
  <c r="G271" i="1"/>
  <c r="F271" i="1"/>
  <c r="E270" i="1"/>
  <c r="E268" i="1"/>
  <c r="E267" i="1"/>
  <c r="F267" i="1" s="1"/>
  <c r="K267" i="1" s="1"/>
  <c r="E266" i="1"/>
  <c r="G266" i="1" s="1"/>
  <c r="E265" i="1"/>
  <c r="F265" i="1" s="1"/>
  <c r="K265" i="1" s="1"/>
  <c r="E264" i="1"/>
  <c r="F264" i="1" s="1"/>
  <c r="E263" i="1"/>
  <c r="E262" i="1"/>
  <c r="G262" i="1" s="1"/>
  <c r="E259" i="1"/>
  <c r="F259" i="1" s="1"/>
  <c r="E258" i="1"/>
  <c r="E257" i="1"/>
  <c r="G257" i="1" s="1"/>
  <c r="E256" i="1"/>
  <c r="E255" i="1"/>
  <c r="G255" i="1" s="1"/>
  <c r="E254" i="1"/>
  <c r="F254" i="1" s="1"/>
  <c r="E253" i="1"/>
  <c r="G253" i="1" s="1"/>
  <c r="E252" i="1"/>
  <c r="E250" i="1"/>
  <c r="G250" i="1" s="1"/>
  <c r="E249" i="1"/>
  <c r="F249" i="1" s="1"/>
  <c r="K249" i="1" s="1"/>
  <c r="E248" i="1"/>
  <c r="F248" i="1" s="1"/>
  <c r="K248" i="1" s="1"/>
  <c r="E247" i="1"/>
  <c r="F247" i="1" s="1"/>
  <c r="E246" i="1"/>
  <c r="E244" i="1"/>
  <c r="E243" i="1"/>
  <c r="F243" i="1" s="1"/>
  <c r="K243" i="1" s="1"/>
  <c r="E242" i="1"/>
  <c r="G242" i="1" s="1"/>
  <c r="E241" i="1"/>
  <c r="F241" i="1" s="1"/>
  <c r="J241" i="1" s="1"/>
  <c r="H241" i="1" s="1"/>
  <c r="E240" i="1"/>
  <c r="E239" i="1"/>
  <c r="G238" i="1"/>
  <c r="F238" i="1"/>
  <c r="J238" i="1" s="1"/>
  <c r="H238" i="1" s="1"/>
  <c r="E237" i="1"/>
  <c r="E236" i="1"/>
  <c r="G236" i="1" s="1"/>
  <c r="E235" i="1"/>
  <c r="F235" i="1" s="1"/>
  <c r="E233" i="1"/>
  <c r="G233" i="1" s="1"/>
  <c r="E232" i="1"/>
  <c r="E231" i="1"/>
  <c r="G231" i="1" s="1"/>
  <c r="E230" i="1"/>
  <c r="E229" i="1"/>
  <c r="G229" i="1" s="1"/>
  <c r="E228" i="1"/>
  <c r="G228" i="1" s="1"/>
  <c r="E227" i="1"/>
  <c r="F227" i="1" s="1"/>
  <c r="I227" i="1" s="1"/>
  <c r="E226" i="1"/>
  <c r="G226" i="1" s="1"/>
  <c r="E225" i="1"/>
  <c r="G225" i="1" s="1"/>
  <c r="E224" i="1"/>
  <c r="F224" i="1" s="1"/>
  <c r="K224" i="1" s="1"/>
  <c r="E223" i="1"/>
  <c r="F223" i="1" s="1"/>
  <c r="E222" i="1"/>
  <c r="E220" i="1"/>
  <c r="E219" i="1"/>
  <c r="F219" i="1" s="1"/>
  <c r="K219" i="1" s="1"/>
  <c r="E217" i="1"/>
  <c r="G217" i="1" s="1"/>
  <c r="E216" i="1"/>
  <c r="F216" i="1" s="1"/>
  <c r="E215" i="1"/>
  <c r="E214" i="1"/>
  <c r="G214" i="1" s="1"/>
  <c r="E213" i="1"/>
  <c r="E211" i="1"/>
  <c r="E210" i="1"/>
  <c r="E209" i="1"/>
  <c r="G209" i="1" s="1"/>
  <c r="E208" i="1"/>
  <c r="E207" i="1"/>
  <c r="G207" i="1" s="1"/>
  <c r="E206" i="1"/>
  <c r="F206" i="1" s="1"/>
  <c r="E205" i="1"/>
  <c r="F205" i="1" s="1"/>
  <c r="K205" i="1" s="1"/>
  <c r="E204" i="1"/>
  <c r="G204" i="1" s="1"/>
  <c r="E203" i="1"/>
  <c r="F203" i="1" s="1"/>
  <c r="I203" i="1" s="1"/>
  <c r="E202" i="1"/>
  <c r="E201" i="1"/>
  <c r="G201" i="1" s="1"/>
  <c r="E200" i="1"/>
  <c r="G200" i="1" s="1"/>
  <c r="E199" i="1"/>
  <c r="G199" i="1" s="1"/>
  <c r="E198" i="1"/>
  <c r="E197" i="1"/>
  <c r="E196" i="1"/>
  <c r="E195" i="1"/>
  <c r="F195" i="1" s="1"/>
  <c r="I195" i="1" s="1"/>
  <c r="E194" i="1"/>
  <c r="G194" i="1" s="1"/>
  <c r="E193" i="1"/>
  <c r="F193" i="1" s="1"/>
  <c r="I193" i="1" s="1"/>
  <c r="E191" i="1"/>
  <c r="E190" i="1"/>
  <c r="G190" i="1" s="1"/>
  <c r="E189" i="1"/>
  <c r="E188" i="1"/>
  <c r="G188" i="1" s="1"/>
  <c r="E186" i="1"/>
  <c r="E185" i="1"/>
  <c r="G185" i="1" s="1"/>
  <c r="E184" i="1"/>
  <c r="E183" i="1"/>
  <c r="G183" i="1" s="1"/>
  <c r="E182" i="1"/>
  <c r="E181" i="1"/>
  <c r="F181" i="1" s="1"/>
  <c r="K181" i="1" s="1"/>
  <c r="E179" i="1"/>
  <c r="F179" i="1" s="1"/>
  <c r="I179" i="1" s="1"/>
  <c r="E178" i="1"/>
  <c r="G178" i="1" s="1"/>
  <c r="E176" i="1"/>
  <c r="E175" i="1"/>
  <c r="F175" i="1" s="1"/>
  <c r="E174" i="1"/>
  <c r="E173" i="1"/>
  <c r="G173" i="1" s="1"/>
  <c r="E171" i="1"/>
  <c r="E170" i="1"/>
  <c r="G170" i="1" s="1"/>
  <c r="E168" i="1"/>
  <c r="E167" i="1"/>
  <c r="E166" i="1"/>
  <c r="G166" i="1" s="1"/>
  <c r="E165" i="1"/>
  <c r="E163" i="1"/>
  <c r="E162" i="1"/>
  <c r="E161" i="1"/>
  <c r="E160" i="1"/>
  <c r="E158" i="1"/>
  <c r="F158" i="1" s="1"/>
  <c r="E157" i="1"/>
  <c r="G157" i="1" s="1"/>
  <c r="E155" i="1"/>
  <c r="F155" i="1" s="1"/>
  <c r="I155" i="1" s="1"/>
  <c r="E154" i="1"/>
  <c r="G154" i="1" s="1"/>
  <c r="E153" i="1"/>
  <c r="G153" i="1" s="1"/>
  <c r="E152" i="1"/>
  <c r="G152" i="1" s="1"/>
  <c r="E150" i="1"/>
  <c r="E149" i="1"/>
  <c r="G149" i="1" s="1"/>
  <c r="E147" i="1"/>
  <c r="F147" i="1" s="1"/>
  <c r="I147" i="1" s="1"/>
  <c r="E146" i="1"/>
  <c r="G146" i="1" s="1"/>
  <c r="E144" i="1"/>
  <c r="G144" i="1" s="1"/>
  <c r="E143" i="1"/>
  <c r="E142" i="1"/>
  <c r="F142" i="1" s="1"/>
  <c r="J142" i="1" s="1"/>
  <c r="H142" i="1" s="1"/>
  <c r="E140" i="1"/>
  <c r="E139" i="1"/>
  <c r="F139" i="1" s="1"/>
  <c r="E137" i="1"/>
  <c r="E136" i="1"/>
  <c r="E135" i="1"/>
  <c r="G135" i="1" s="1"/>
  <c r="E134" i="1"/>
  <c r="E133" i="1"/>
  <c r="G133" i="1" s="1"/>
  <c r="E131" i="1"/>
  <c r="F131" i="1" s="1"/>
  <c r="I131" i="1" s="1"/>
  <c r="E130" i="1"/>
  <c r="G130" i="1" s="1"/>
  <c r="E129" i="1"/>
  <c r="F129" i="1" s="1"/>
  <c r="K129" i="1" s="1"/>
  <c r="E128" i="1"/>
  <c r="F128" i="1" s="1"/>
  <c r="K128" i="1" s="1"/>
  <c r="E126" i="1"/>
  <c r="E125" i="1"/>
  <c r="G125" i="1" s="1"/>
  <c r="E124" i="1"/>
  <c r="E123" i="1"/>
  <c r="F123" i="1" s="1"/>
  <c r="K123" i="1" s="1"/>
  <c r="E122" i="1"/>
  <c r="G122" i="1" s="1"/>
  <c r="E121" i="1"/>
  <c r="F121" i="1" s="1"/>
  <c r="I121" i="1" s="1"/>
  <c r="E120" i="1"/>
  <c r="G120" i="1" s="1"/>
  <c r="E119" i="1"/>
  <c r="E118" i="1"/>
  <c r="F118" i="1" s="1"/>
  <c r="K118" i="1" s="1"/>
  <c r="E117" i="1"/>
  <c r="E116" i="1"/>
  <c r="G116" i="1" s="1"/>
  <c r="E115" i="1"/>
  <c r="E114" i="1"/>
  <c r="E113" i="1"/>
  <c r="F113" i="1" s="1"/>
  <c r="I113" i="1" s="1"/>
  <c r="E112" i="1"/>
  <c r="E111" i="1"/>
  <c r="G111" i="1" s="1"/>
  <c r="E110" i="1"/>
  <c r="E109" i="1"/>
  <c r="E108" i="1"/>
  <c r="F108" i="1" s="1"/>
  <c r="I108" i="1" s="1"/>
  <c r="E107" i="1"/>
  <c r="F107" i="1" s="1"/>
  <c r="I107" i="1" s="1"/>
  <c r="E106" i="1"/>
  <c r="G106" i="1" s="1"/>
  <c r="E103" i="1"/>
  <c r="E102" i="1"/>
  <c r="E101" i="1"/>
  <c r="G101" i="1" s="1"/>
  <c r="E100" i="1"/>
  <c r="E99" i="1"/>
  <c r="F99" i="1" s="1"/>
  <c r="K99" i="1" s="1"/>
  <c r="E98" i="1"/>
  <c r="E96" i="1"/>
  <c r="G96" i="1" s="1"/>
  <c r="E95" i="1"/>
  <c r="E93" i="1"/>
  <c r="E92" i="1"/>
  <c r="G92" i="1" s="1"/>
  <c r="E91" i="1"/>
  <c r="F91" i="1" s="1"/>
  <c r="E90" i="1"/>
  <c r="E88" i="1"/>
  <c r="F88" i="1" s="1"/>
  <c r="E87" i="1"/>
  <c r="G87" i="1" s="1"/>
  <c r="E85" i="1"/>
  <c r="G85" i="1" s="1"/>
  <c r="E84" i="1"/>
  <c r="E82" i="1"/>
  <c r="G82" i="1" s="1"/>
  <c r="E81" i="1"/>
  <c r="G81" i="1" s="1"/>
  <c r="E80" i="1"/>
  <c r="F80" i="1" s="1"/>
  <c r="K80" i="1" s="1"/>
  <c r="E79" i="1"/>
  <c r="G79" i="1" s="1"/>
  <c r="E78" i="1"/>
  <c r="E76" i="1"/>
  <c r="E75" i="1"/>
  <c r="F75" i="1" s="1"/>
  <c r="K75" i="1" s="1"/>
  <c r="E74" i="1"/>
  <c r="E73" i="1"/>
  <c r="F73" i="1" s="1"/>
  <c r="I73" i="1" s="1"/>
  <c r="E71" i="1"/>
  <c r="E70" i="1"/>
  <c r="F70" i="1" s="1"/>
  <c r="J70" i="1" s="1"/>
  <c r="H70" i="1" s="1"/>
  <c r="E68" i="1"/>
  <c r="G68" i="1" s="1"/>
  <c r="E67" i="1"/>
  <c r="F67" i="1" s="1"/>
  <c r="I67" i="1" s="1"/>
  <c r="E66" i="1"/>
  <c r="E65" i="1"/>
  <c r="F65" i="1" s="1"/>
  <c r="I65" i="1" s="1"/>
  <c r="E64" i="1"/>
  <c r="E63" i="1"/>
  <c r="G63" i="1" s="1"/>
  <c r="E62" i="1"/>
  <c r="F62" i="1" s="1"/>
  <c r="E61" i="1"/>
  <c r="F61" i="1" s="1"/>
  <c r="I61" i="1" s="1"/>
  <c r="E60" i="1"/>
  <c r="G60" i="1" s="1"/>
  <c r="E59" i="1"/>
  <c r="F59" i="1" s="1"/>
  <c r="I59" i="1" s="1"/>
  <c r="E58" i="1"/>
  <c r="E56" i="1"/>
  <c r="G56" i="1" s="1"/>
  <c r="E55" i="1"/>
  <c r="E54" i="1"/>
  <c r="E53" i="1"/>
  <c r="G53" i="1" s="1"/>
  <c r="E51" i="1"/>
  <c r="F51" i="1" s="1"/>
  <c r="J51" i="1" s="1"/>
  <c r="H51" i="1" s="1"/>
  <c r="E50" i="1"/>
  <c r="E49" i="1"/>
  <c r="F49" i="1" s="1"/>
  <c r="I49" i="1" s="1"/>
  <c r="E48" i="1"/>
  <c r="F48" i="1" s="1"/>
  <c r="E46" i="1"/>
  <c r="G46" i="1" s="1"/>
  <c r="E45" i="1"/>
  <c r="E43" i="1"/>
  <c r="E42" i="1"/>
  <c r="E41" i="1"/>
  <c r="F41" i="1" s="1"/>
  <c r="E40" i="1"/>
  <c r="F40" i="1" s="1"/>
  <c r="E38" i="1"/>
  <c r="E36" i="1"/>
  <c r="F36" i="1" s="1"/>
  <c r="I36" i="1" s="1"/>
  <c r="E35" i="1"/>
  <c r="F35" i="1" s="1"/>
  <c r="I35" i="1" s="1"/>
  <c r="E34" i="1"/>
  <c r="F34" i="1" s="1"/>
  <c r="K34" i="1" s="1"/>
  <c r="E32" i="1"/>
  <c r="G32" i="1" s="1"/>
  <c r="E31" i="1"/>
  <c r="G31" i="1" s="1"/>
  <c r="E29" i="1"/>
  <c r="G29" i="1" s="1"/>
  <c r="E28" i="1"/>
  <c r="E27" i="1"/>
  <c r="G27" i="1" s="1"/>
  <c r="E26" i="1"/>
  <c r="E25" i="1"/>
  <c r="F25" i="1" s="1"/>
  <c r="I25" i="1" s="1"/>
  <c r="E24" i="1"/>
  <c r="E23" i="1"/>
  <c r="E22" i="1"/>
  <c r="G22" i="1" s="1"/>
  <c r="E21" i="1"/>
  <c r="E20" i="1"/>
  <c r="E19" i="1"/>
  <c r="F19" i="1" s="1"/>
  <c r="I19" i="1" s="1"/>
  <c r="E17" i="1"/>
  <c r="G17" i="1" s="1"/>
  <c r="E16" i="1"/>
  <c r="E15" i="1"/>
  <c r="G15" i="1" s="1"/>
  <c r="E14" i="1"/>
  <c r="F14" i="1" s="1"/>
  <c r="E13" i="1"/>
  <c r="F13" i="1" s="1"/>
  <c r="I13" i="1" s="1"/>
  <c r="E11" i="1"/>
  <c r="E10" i="1"/>
  <c r="G10" i="1" s="1"/>
  <c r="E8" i="1"/>
  <c r="E7" i="1"/>
  <c r="G7" i="1" s="1"/>
  <c r="E5" i="1"/>
  <c r="G5" i="1" s="1"/>
  <c r="E4" i="1"/>
  <c r="E3" i="1"/>
  <c r="E2" i="1"/>
  <c r="G349" i="1" l="1"/>
  <c r="F454" i="1"/>
  <c r="I454" i="1" s="1"/>
  <c r="F53" i="1"/>
  <c r="I53" i="1" s="1"/>
  <c r="F133" i="1"/>
  <c r="K133" i="1" s="1"/>
  <c r="F581" i="1"/>
  <c r="G533" i="1"/>
  <c r="F425" i="1"/>
  <c r="J425" i="1" s="1"/>
  <c r="H425" i="1" s="1"/>
  <c r="F561" i="1"/>
  <c r="K561" i="1" s="1"/>
  <c r="F572" i="1"/>
  <c r="I572" i="1" s="1"/>
  <c r="F293" i="1"/>
  <c r="J293" i="1" s="1"/>
  <c r="H293" i="1" s="1"/>
  <c r="G360" i="1"/>
  <c r="F229" i="1"/>
  <c r="K229" i="1" s="1"/>
  <c r="G248" i="1"/>
  <c r="F413" i="1"/>
  <c r="J413" i="1" s="1"/>
  <c r="H413" i="1" s="1"/>
  <c r="F46" i="1"/>
  <c r="K46" i="1" s="1"/>
  <c r="G369" i="1"/>
  <c r="F368" i="1"/>
  <c r="K368" i="1" s="1"/>
  <c r="G73" i="1"/>
  <c r="F125" i="1"/>
  <c r="J125" i="1" s="1"/>
  <c r="H125" i="1" s="1"/>
  <c r="G99" i="1"/>
  <c r="F325" i="1"/>
  <c r="K325" i="1" s="1"/>
  <c r="F440" i="1"/>
  <c r="J440" i="1" s="1"/>
  <c r="H440" i="1" s="1"/>
  <c r="F562" i="1"/>
  <c r="K562" i="1" s="1"/>
  <c r="F374" i="1"/>
  <c r="F82" i="1"/>
  <c r="K82" i="1" s="1"/>
  <c r="G281" i="1"/>
  <c r="F377" i="1"/>
  <c r="J377" i="1" s="1"/>
  <c r="H377" i="1" s="1"/>
  <c r="G329" i="1"/>
  <c r="G593" i="1"/>
  <c r="F300" i="1"/>
  <c r="I300" i="1" s="1"/>
  <c r="F154" i="1"/>
  <c r="I154" i="1" s="1"/>
  <c r="F500" i="1"/>
  <c r="I500" i="1" s="1"/>
  <c r="F526" i="1"/>
  <c r="G373" i="1"/>
  <c r="F445" i="1"/>
  <c r="K445" i="1" s="1"/>
  <c r="F217" i="1"/>
  <c r="I217" i="1" s="1"/>
  <c r="G361" i="1"/>
  <c r="G406" i="1"/>
  <c r="G502" i="1"/>
  <c r="G219" i="1"/>
  <c r="F433" i="1"/>
  <c r="K433" i="1" s="1"/>
  <c r="G70" i="1"/>
  <c r="F96" i="1"/>
  <c r="G121" i="1"/>
  <c r="F345" i="1"/>
  <c r="G142" i="1"/>
  <c r="G529" i="1"/>
  <c r="F226" i="1"/>
  <c r="J226" i="1" s="1"/>
  <c r="H226" i="1" s="1"/>
  <c r="G247" i="1"/>
  <c r="F321" i="1"/>
  <c r="K321" i="1" s="1"/>
  <c r="F489" i="1"/>
  <c r="K489" i="1" s="1"/>
  <c r="F463" i="1"/>
  <c r="F209" i="1"/>
  <c r="J209" i="1" s="1"/>
  <c r="H209" i="1" s="1"/>
  <c r="F284" i="1"/>
  <c r="J284" i="1" s="1"/>
  <c r="H284" i="1" s="1"/>
  <c r="G305" i="1"/>
  <c r="F83" i="1"/>
  <c r="I83" i="1" s="1"/>
  <c r="G65" i="1"/>
  <c r="F149" i="1"/>
  <c r="J149" i="1" s="1"/>
  <c r="H149" i="1" s="1"/>
  <c r="G267" i="1"/>
  <c r="G286" i="1"/>
  <c r="F308" i="1"/>
  <c r="I308" i="1" s="1"/>
  <c r="G401" i="1"/>
  <c r="G128" i="1"/>
  <c r="F173" i="1"/>
  <c r="J173" i="1" s="1"/>
  <c r="H173" i="1" s="1"/>
  <c r="G249" i="1"/>
  <c r="F421" i="1"/>
  <c r="K421" i="1" s="1"/>
  <c r="F608" i="1"/>
  <c r="G49" i="1"/>
  <c r="G51" i="1"/>
  <c r="F153" i="1"/>
  <c r="F250" i="1"/>
  <c r="K250" i="1" s="1"/>
  <c r="G310" i="1"/>
  <c r="F367" i="1"/>
  <c r="F439" i="1"/>
  <c r="F485" i="1"/>
  <c r="F199" i="1"/>
  <c r="F404" i="1"/>
  <c r="K404" i="1" s="1"/>
  <c r="G505" i="1"/>
  <c r="F585" i="1"/>
  <c r="K585" i="1" s="1"/>
  <c r="F566" i="1"/>
  <c r="G113" i="1"/>
  <c r="F200" i="1"/>
  <c r="K200" i="1" s="1"/>
  <c r="F236" i="1"/>
  <c r="I236" i="1" s="1"/>
  <c r="F253" i="1"/>
  <c r="J253" i="1" s="1"/>
  <c r="H253" i="1" s="1"/>
  <c r="F92" i="1"/>
  <c r="K92" i="1" s="1"/>
  <c r="G589" i="1"/>
  <c r="F94" i="1"/>
  <c r="F157" i="1"/>
  <c r="G181" i="1"/>
  <c r="F201" i="1"/>
  <c r="K201" i="1" s="1"/>
  <c r="F334" i="1"/>
  <c r="I334" i="1" s="1"/>
  <c r="G528" i="1"/>
  <c r="F116" i="1"/>
  <c r="J116" i="1" s="1"/>
  <c r="H116" i="1" s="1"/>
  <c r="F370" i="1"/>
  <c r="J370" i="1" s="1"/>
  <c r="H370" i="1" s="1"/>
  <c r="F512" i="1"/>
  <c r="K512" i="1" s="1"/>
  <c r="G75" i="1"/>
  <c r="F257" i="1"/>
  <c r="F277" i="1"/>
  <c r="K277" i="1" s="1"/>
  <c r="G317" i="1"/>
  <c r="F389" i="1"/>
  <c r="J389" i="1" s="1"/>
  <c r="H389" i="1" s="1"/>
  <c r="F409" i="1"/>
  <c r="K409" i="1" s="1"/>
  <c r="F358" i="1"/>
  <c r="J358" i="1" s="1"/>
  <c r="H358" i="1" s="1"/>
  <c r="F513" i="1"/>
  <c r="K513" i="1" s="1"/>
  <c r="G118" i="1"/>
  <c r="G224" i="1"/>
  <c r="F553" i="1"/>
  <c r="F185" i="1"/>
  <c r="J185" i="1" s="1"/>
  <c r="H185" i="1" s="1"/>
  <c r="F337" i="1"/>
  <c r="I337" i="1" s="1"/>
  <c r="F574" i="1"/>
  <c r="F10" i="1"/>
  <c r="K10" i="1" s="1"/>
  <c r="F60" i="1"/>
  <c r="I60" i="1" s="1"/>
  <c r="F225" i="1"/>
  <c r="K225" i="1" s="1"/>
  <c r="G243" i="1"/>
  <c r="F298" i="1"/>
  <c r="J298" i="1" s="1"/>
  <c r="H298" i="1" s="1"/>
  <c r="G320" i="1"/>
  <c r="F430" i="1"/>
  <c r="K430" i="1" s="1"/>
  <c r="F473" i="1"/>
  <c r="J473" i="1" s="1"/>
  <c r="H473" i="1" s="1"/>
  <c r="F56" i="1"/>
  <c r="G80" i="1"/>
  <c r="G205" i="1"/>
  <c r="F262" i="1"/>
  <c r="K262" i="1" s="1"/>
  <c r="F493" i="1"/>
  <c r="J493" i="1" s="1"/>
  <c r="H493" i="1" s="1"/>
  <c r="F81" i="1"/>
  <c r="K81" i="1" s="1"/>
  <c r="F166" i="1"/>
  <c r="J166" i="1" s="1"/>
  <c r="H166" i="1" s="1"/>
  <c r="F601" i="1"/>
  <c r="I601" i="1" s="1"/>
  <c r="G517" i="1"/>
  <c r="F504" i="1"/>
  <c r="G176" i="1"/>
  <c r="F176" i="1"/>
  <c r="J176" i="1" s="1"/>
  <c r="H176" i="1" s="1"/>
  <c r="G241" i="1"/>
  <c r="G20" i="1"/>
  <c r="F20" i="1"/>
  <c r="G58" i="1"/>
  <c r="F58" i="1"/>
  <c r="K58" i="1" s="1"/>
  <c r="G109" i="1"/>
  <c r="F109" i="1"/>
  <c r="K109" i="1" s="1"/>
  <c r="F145" i="1"/>
  <c r="I145" i="1" s="1"/>
  <c r="F583" i="1"/>
  <c r="G457" i="1"/>
  <c r="F457" i="1"/>
  <c r="I457" i="1" s="1"/>
  <c r="F605" i="1"/>
  <c r="J605" i="1" s="1"/>
  <c r="H605" i="1" s="1"/>
  <c r="F296" i="1"/>
  <c r="K296" i="1" s="1"/>
  <c r="F548" i="1"/>
  <c r="J548" i="1" s="1"/>
  <c r="H548" i="1" s="1"/>
  <c r="G129" i="1"/>
  <c r="F441" i="1"/>
  <c r="K441" i="1" s="1"/>
  <c r="G297" i="1"/>
  <c r="F297" i="1"/>
  <c r="K297" i="1" s="1"/>
  <c r="F5" i="1"/>
  <c r="I5" i="1" s="1"/>
  <c r="F130" i="1"/>
  <c r="K130" i="1" s="1"/>
  <c r="F152" i="1"/>
  <c r="K152" i="1" s="1"/>
  <c r="F332" i="1"/>
  <c r="I332" i="1" s="1"/>
  <c r="F365" i="1"/>
  <c r="G365" i="1"/>
  <c r="G442" i="1"/>
  <c r="F442" i="1"/>
  <c r="J442" i="1" s="1"/>
  <c r="H442" i="1" s="1"/>
  <c r="G481" i="1"/>
  <c r="F481" i="1"/>
  <c r="I481" i="1" s="1"/>
  <c r="F569" i="1"/>
  <c r="J569" i="1" s="1"/>
  <c r="H569" i="1" s="1"/>
  <c r="G265" i="1"/>
  <c r="F392" i="1"/>
  <c r="J392" i="1" s="1"/>
  <c r="H392" i="1" s="1"/>
  <c r="F478" i="1"/>
  <c r="I478" i="1" s="1"/>
  <c r="F77" i="1"/>
  <c r="I77" i="1" s="1"/>
  <c r="F188" i="1"/>
  <c r="F169" i="1"/>
  <c r="F394" i="1"/>
  <c r="J394" i="1" s="1"/>
  <c r="H394" i="1" s="1"/>
  <c r="F586" i="1"/>
  <c r="J586" i="1" s="1"/>
  <c r="H586" i="1" s="1"/>
  <c r="G586" i="1"/>
  <c r="G25" i="1"/>
  <c r="G61" i="1"/>
  <c r="F171" i="1"/>
  <c r="G171" i="1"/>
  <c r="F190" i="1"/>
  <c r="J190" i="1" s="1"/>
  <c r="H190" i="1" s="1"/>
  <c r="F350" i="1"/>
  <c r="F443" i="1"/>
  <c r="I443" i="1" s="1"/>
  <c r="G313" i="1"/>
  <c r="F313" i="1"/>
  <c r="I313" i="1" s="1"/>
  <c r="G584" i="1"/>
  <c r="F584" i="1"/>
  <c r="K584" i="1" s="1"/>
  <c r="F461" i="1"/>
  <c r="G461" i="1"/>
  <c r="F97" i="1"/>
  <c r="I97" i="1" s="1"/>
  <c r="F269" i="1"/>
  <c r="J269" i="1" s="1"/>
  <c r="F571" i="1"/>
  <c r="J571" i="1" s="1"/>
  <c r="H571" i="1" s="1"/>
  <c r="F164" i="1"/>
  <c r="J164" i="1" s="1"/>
  <c r="F233" i="1"/>
  <c r="J233" i="1" s="1"/>
  <c r="H233" i="1" s="1"/>
  <c r="F393" i="1"/>
  <c r="K393" i="1" s="1"/>
  <c r="F221" i="1"/>
  <c r="J221" i="1" s="1"/>
  <c r="H221" i="1" s="1"/>
  <c r="F331" i="1"/>
  <c r="F397" i="1"/>
  <c r="J397" i="1" s="1"/>
  <c r="H397" i="1" s="1"/>
  <c r="F428" i="1"/>
  <c r="I428" i="1" s="1"/>
  <c r="F22" i="1"/>
  <c r="K22" i="1" s="1"/>
  <c r="G202" i="1"/>
  <c r="F202" i="1"/>
  <c r="I202" i="1" s="1"/>
  <c r="F8" i="1"/>
  <c r="K8" i="1" s="1"/>
  <c r="G8" i="1"/>
  <c r="F464" i="1"/>
  <c r="J464" i="1" s="1"/>
  <c r="H464" i="1" s="1"/>
  <c r="F346" i="1"/>
  <c r="I346" i="1" s="1"/>
  <c r="F347" i="1"/>
  <c r="I347" i="1" s="1"/>
  <c r="F245" i="1"/>
  <c r="F132" i="1"/>
  <c r="I132" i="1" s="1"/>
  <c r="F44" i="1"/>
  <c r="J44" i="1" s="1"/>
  <c r="F187" i="1"/>
  <c r="F9" i="1"/>
  <c r="G168" i="1"/>
  <c r="F168" i="1"/>
  <c r="F27" i="1"/>
  <c r="J27" i="1" s="1"/>
  <c r="H27" i="1" s="1"/>
  <c r="F301" i="1"/>
  <c r="I301" i="1" s="1"/>
  <c r="G465" i="1"/>
  <c r="F465" i="1"/>
  <c r="K465" i="1" s="1"/>
  <c r="F535" i="1"/>
  <c r="G557" i="1"/>
  <c r="F557" i="1"/>
  <c r="G488" i="1"/>
  <c r="F488" i="1"/>
  <c r="J488" i="1" s="1"/>
  <c r="H488" i="1" s="1"/>
  <c r="G137" i="1"/>
  <c r="F137" i="1"/>
  <c r="J137" i="1" s="1"/>
  <c r="H137" i="1" s="1"/>
  <c r="G197" i="1"/>
  <c r="F197" i="1"/>
  <c r="F289" i="1"/>
  <c r="J289" i="1" s="1"/>
  <c r="H289" i="1" s="1"/>
  <c r="G469" i="1"/>
  <c r="F470" i="1"/>
  <c r="F85" i="1"/>
  <c r="J85" i="1" s="1"/>
  <c r="H85" i="1" s="1"/>
  <c r="F214" i="1"/>
  <c r="J214" i="1" s="1"/>
  <c r="H214" i="1" s="1"/>
  <c r="F228" i="1"/>
  <c r="I228" i="1" s="1"/>
  <c r="G598" i="1"/>
  <c r="F101" i="1"/>
  <c r="G417" i="1"/>
  <c r="F32" i="1"/>
  <c r="K32" i="1" s="1"/>
  <c r="F274" i="1"/>
  <c r="K274" i="1" s="1"/>
  <c r="F68" i="1"/>
  <c r="J68" i="1" s="1"/>
  <c r="H68" i="1" s="1"/>
  <c r="F307" i="1"/>
  <c r="G34" i="1"/>
  <c r="G123" i="1"/>
  <c r="F260" i="1"/>
  <c r="J260" i="1" s="1"/>
  <c r="F341" i="1"/>
  <c r="F420" i="1"/>
  <c r="I420" i="1" s="1"/>
  <c r="F490" i="1"/>
  <c r="K490" i="1" s="1"/>
  <c r="G490" i="1"/>
  <c r="F509" i="1"/>
  <c r="J509" i="1" s="1"/>
  <c r="H509" i="1" s="1"/>
  <c r="G541" i="1"/>
  <c r="F541" i="1"/>
  <c r="I541" i="1" s="1"/>
  <c r="F31" i="1"/>
  <c r="G195" i="1"/>
  <c r="F521" i="1"/>
  <c r="J521" i="1" s="1"/>
  <c r="H521" i="1" s="1"/>
  <c r="F596" i="1"/>
  <c r="F449" i="1"/>
  <c r="G161" i="1"/>
  <c r="F161" i="1"/>
  <c r="J161" i="1" s="1"/>
  <c r="H161" i="1" s="1"/>
  <c r="G536" i="1"/>
  <c r="F536" i="1"/>
  <c r="K536" i="1" s="1"/>
  <c r="F356" i="1"/>
  <c r="I356" i="1" s="1"/>
  <c r="F385" i="1"/>
  <c r="G140" i="1"/>
  <c r="F140" i="1"/>
  <c r="J140" i="1" s="1"/>
  <c r="H140" i="1" s="1"/>
  <c r="G577" i="1"/>
  <c r="F577" i="1"/>
  <c r="I577" i="1" s="1"/>
  <c r="F487" i="1"/>
  <c r="F11" i="1"/>
  <c r="I11" i="1" s="1"/>
  <c r="F37" i="1"/>
  <c r="F57" i="1"/>
  <c r="F372" i="1"/>
  <c r="I372" i="1" s="1"/>
  <c r="G437" i="1"/>
  <c r="F437" i="1"/>
  <c r="K437" i="1" s="1"/>
  <c r="F545" i="1"/>
  <c r="J545" i="1" s="1"/>
  <c r="H545" i="1" s="1"/>
  <c r="G545" i="1"/>
  <c r="F212" i="1"/>
  <c r="J212" i="1" s="1"/>
  <c r="H212" i="1" s="1"/>
  <c r="F251" i="1"/>
  <c r="I251" i="1" s="1"/>
  <c r="F322" i="1"/>
  <c r="J322" i="1" s="1"/>
  <c r="H322" i="1" s="1"/>
  <c r="F476" i="1"/>
  <c r="I476" i="1" s="1"/>
  <c r="F587" i="1"/>
  <c r="I587" i="1" s="1"/>
  <c r="F12" i="1"/>
  <c r="I12" i="1" s="1"/>
  <c r="F607" i="1"/>
  <c r="F104" i="1"/>
  <c r="G147" i="1"/>
  <c r="F380" i="1"/>
  <c r="F511" i="1"/>
  <c r="F537" i="1"/>
  <c r="K537" i="1" s="1"/>
  <c r="F550" i="1"/>
  <c r="J550" i="1" s="1"/>
  <c r="H550" i="1" s="1"/>
  <c r="G13" i="1"/>
  <c r="F105" i="1"/>
  <c r="J105" i="1" s="1"/>
  <c r="F177" i="1"/>
  <c r="J177" i="1" s="1"/>
  <c r="F192" i="1"/>
  <c r="F343" i="1"/>
  <c r="F466" i="1"/>
  <c r="I466" i="1" s="1"/>
  <c r="F524" i="1"/>
  <c r="K524" i="1" s="1"/>
  <c r="F29" i="1"/>
  <c r="I29" i="1" s="1"/>
  <c r="F89" i="1"/>
  <c r="F106" i="1"/>
  <c r="F178" i="1"/>
  <c r="I178" i="1" s="1"/>
  <c r="G193" i="1"/>
  <c r="F273" i="1"/>
  <c r="K273" i="1" s="1"/>
  <c r="F344" i="1"/>
  <c r="K344" i="1" s="1"/>
  <c r="F382" i="1"/>
  <c r="K382" i="1" s="1"/>
  <c r="F396" i="1"/>
  <c r="I396" i="1" s="1"/>
  <c r="F452" i="1"/>
  <c r="I452" i="1" s="1"/>
  <c r="F497" i="1"/>
  <c r="F538" i="1"/>
  <c r="K538" i="1" s="1"/>
  <c r="F565" i="1"/>
  <c r="I565" i="1" s="1"/>
  <c r="F72" i="1"/>
  <c r="F595" i="1"/>
  <c r="F33" i="1"/>
  <c r="K33" i="1" s="1"/>
  <c r="G291" i="1"/>
  <c r="F416" i="1"/>
  <c r="F559" i="1"/>
  <c r="K478" i="1"/>
  <c r="J108" i="1"/>
  <c r="H108" i="1" s="1"/>
  <c r="I368" i="1"/>
  <c r="K236" i="1"/>
  <c r="I267" i="1"/>
  <c r="K572" i="1"/>
  <c r="I99" i="1"/>
  <c r="J267" i="1"/>
  <c r="H267" i="1" s="1"/>
  <c r="K59" i="1"/>
  <c r="I80" i="1"/>
  <c r="J250" i="1"/>
  <c r="H250" i="1" s="1"/>
  <c r="J320" i="1"/>
  <c r="H320" i="1" s="1"/>
  <c r="J248" i="1"/>
  <c r="H248" i="1" s="1"/>
  <c r="K419" i="1"/>
  <c r="K121" i="1"/>
  <c r="I181" i="1"/>
  <c r="J265" i="1"/>
  <c r="H265" i="1" s="1"/>
  <c r="I296" i="1"/>
  <c r="K310" i="1"/>
  <c r="I524" i="1"/>
  <c r="I538" i="1"/>
  <c r="I569" i="1"/>
  <c r="J577" i="1"/>
  <c r="H577" i="1" s="1"/>
  <c r="I433" i="1"/>
  <c r="K442" i="1"/>
  <c r="I445" i="1"/>
  <c r="J524" i="1"/>
  <c r="H524" i="1" s="1"/>
  <c r="J536" i="1"/>
  <c r="H536" i="1" s="1"/>
  <c r="I92" i="1"/>
  <c r="J121" i="1"/>
  <c r="H121" i="1" s="1"/>
  <c r="K142" i="1"/>
  <c r="K308" i="1"/>
  <c r="J406" i="1"/>
  <c r="H406" i="1" s="1"/>
  <c r="J433" i="1"/>
  <c r="H433" i="1" s="1"/>
  <c r="K467" i="1"/>
  <c r="J99" i="1"/>
  <c r="H99" i="1" s="1"/>
  <c r="I200" i="1"/>
  <c r="I358" i="1"/>
  <c r="J361" i="1"/>
  <c r="H361" i="1" s="1"/>
  <c r="J368" i="1"/>
  <c r="H368" i="1" s="1"/>
  <c r="K371" i="1"/>
  <c r="K377" i="1"/>
  <c r="K395" i="1"/>
  <c r="K440" i="1"/>
  <c r="J445" i="1"/>
  <c r="H445" i="1" s="1"/>
  <c r="I512" i="1"/>
  <c r="I46" i="1"/>
  <c r="I109" i="1"/>
  <c r="I133" i="1"/>
  <c r="I322" i="1"/>
  <c r="J325" i="1"/>
  <c r="H325" i="1" s="1"/>
  <c r="I329" i="1"/>
  <c r="I397" i="1"/>
  <c r="J469" i="1"/>
  <c r="H469" i="1" s="1"/>
  <c r="K500" i="1"/>
  <c r="I22" i="1"/>
  <c r="J46" i="1"/>
  <c r="H46" i="1" s="1"/>
  <c r="I104" i="1"/>
  <c r="J133" i="1"/>
  <c r="H133" i="1" s="1"/>
  <c r="I248" i="1"/>
  <c r="I250" i="1"/>
  <c r="I298" i="1"/>
  <c r="K323" i="1"/>
  <c r="K329" i="1"/>
  <c r="I536" i="1"/>
  <c r="I32" i="1"/>
  <c r="I94" i="1"/>
  <c r="J145" i="1"/>
  <c r="K166" i="1"/>
  <c r="I169" i="1"/>
  <c r="J181" i="1"/>
  <c r="H181" i="1" s="1"/>
  <c r="K190" i="1"/>
  <c r="K214" i="1"/>
  <c r="J32" i="1"/>
  <c r="H32" i="1" s="1"/>
  <c r="J94" i="1"/>
  <c r="K105" i="1" s="1"/>
  <c r="I118" i="1"/>
  <c r="I128" i="1"/>
  <c r="I130" i="1"/>
  <c r="I152" i="1"/>
  <c r="J169" i="1"/>
  <c r="K202" i="1"/>
  <c r="I205" i="1"/>
  <c r="I224" i="1"/>
  <c r="K227" i="1"/>
  <c r="I229" i="1"/>
  <c r="J236" i="1"/>
  <c r="H236" i="1" s="1"/>
  <c r="I260" i="1"/>
  <c r="I277" i="1"/>
  <c r="I286" i="1"/>
  <c r="J296" i="1"/>
  <c r="H296" i="1" s="1"/>
  <c r="K298" i="1"/>
  <c r="J344" i="1"/>
  <c r="H344" i="1" s="1"/>
  <c r="I373" i="1"/>
  <c r="J382" i="1"/>
  <c r="H382" i="1" s="1"/>
  <c r="K401" i="1"/>
  <c r="I404" i="1"/>
  <c r="J409" i="1"/>
  <c r="H409" i="1" s="1"/>
  <c r="I440" i="1"/>
  <c r="I517" i="1"/>
  <c r="I521" i="1"/>
  <c r="I545" i="1"/>
  <c r="I560" i="1"/>
  <c r="I562" i="1"/>
  <c r="K569" i="1"/>
  <c r="J601" i="1"/>
  <c r="H601" i="1" s="1"/>
  <c r="J128" i="1"/>
  <c r="H128" i="1" s="1"/>
  <c r="J224" i="1"/>
  <c r="H224" i="1" s="1"/>
  <c r="I265" i="1"/>
  <c r="J277" i="1"/>
  <c r="H277" i="1" s="1"/>
  <c r="J286" i="1"/>
  <c r="H286" i="1" s="1"/>
  <c r="K299" i="1"/>
  <c r="J349" i="1"/>
  <c r="H349" i="1" s="1"/>
  <c r="I353" i="1"/>
  <c r="J373" i="1"/>
  <c r="H373" i="1" s="1"/>
  <c r="I394" i="1"/>
  <c r="J404" i="1"/>
  <c r="H404" i="1" s="1"/>
  <c r="I442" i="1"/>
  <c r="J465" i="1"/>
  <c r="H465" i="1" s="1"/>
  <c r="I469" i="1"/>
  <c r="K515" i="1"/>
  <c r="J517" i="1"/>
  <c r="H517" i="1" s="1"/>
  <c r="I529" i="1"/>
  <c r="K545" i="1"/>
  <c r="J560" i="1"/>
  <c r="H560" i="1" s="1"/>
  <c r="I584" i="1"/>
  <c r="I593" i="1"/>
  <c r="K601" i="1"/>
  <c r="K25" i="1"/>
  <c r="K35" i="1"/>
  <c r="K53" i="1"/>
  <c r="J58" i="1"/>
  <c r="H58" i="1" s="1"/>
  <c r="J65" i="1"/>
  <c r="H65" i="1" s="1"/>
  <c r="I70" i="1"/>
  <c r="J81" i="1"/>
  <c r="H81" i="1" s="1"/>
  <c r="K85" i="1"/>
  <c r="K107" i="1"/>
  <c r="K116" i="1"/>
  <c r="K131" i="1"/>
  <c r="K140" i="1"/>
  <c r="J154" i="1"/>
  <c r="H154" i="1" s="1"/>
  <c r="K176" i="1"/>
  <c r="J178" i="1"/>
  <c r="H178" i="1" s="1"/>
  <c r="J195" i="1"/>
  <c r="H195" i="1" s="1"/>
  <c r="J201" i="1"/>
  <c r="H201" i="1" s="1"/>
  <c r="J202" i="1"/>
  <c r="H202" i="1" s="1"/>
  <c r="J217" i="1"/>
  <c r="H217" i="1" s="1"/>
  <c r="K226" i="1"/>
  <c r="K238" i="1"/>
  <c r="K241" i="1"/>
  <c r="K251" i="1"/>
  <c r="K253" i="1"/>
  <c r="I262" i="1"/>
  <c r="K272" i="1"/>
  <c r="I274" i="1"/>
  <c r="K289" i="1"/>
  <c r="J308" i="1"/>
  <c r="H308" i="1" s="1"/>
  <c r="J310" i="1"/>
  <c r="H310" i="1" s="1"/>
  <c r="J313" i="1"/>
  <c r="H313" i="1" s="1"/>
  <c r="I320" i="1"/>
  <c r="I325" i="1"/>
  <c r="J334" i="1"/>
  <c r="H334" i="1" s="1"/>
  <c r="J346" i="1"/>
  <c r="K347" i="1" s="1"/>
  <c r="I349" i="1"/>
  <c r="K358" i="1"/>
  <c r="I361" i="1"/>
  <c r="K370" i="1"/>
  <c r="I382" i="1"/>
  <c r="K394" i="1"/>
  <c r="K397" i="1"/>
  <c r="I406" i="1"/>
  <c r="I409" i="1"/>
  <c r="J418" i="1"/>
  <c r="H418" i="1" s="1"/>
  <c r="K425" i="1"/>
  <c r="J454" i="1"/>
  <c r="H454" i="1" s="1"/>
  <c r="J457" i="1"/>
  <c r="H457" i="1" s="1"/>
  <c r="K464" i="1"/>
  <c r="J466" i="1"/>
  <c r="J478" i="1"/>
  <c r="H478" i="1" s="1"/>
  <c r="J481" i="1"/>
  <c r="H481" i="1" s="1"/>
  <c r="K488" i="1"/>
  <c r="K493" i="1"/>
  <c r="I502" i="1"/>
  <c r="K505" i="1"/>
  <c r="K514" i="1"/>
  <c r="K539" i="1"/>
  <c r="J541" i="1"/>
  <c r="H541" i="1" s="1"/>
  <c r="K548" i="1"/>
  <c r="K563" i="1"/>
  <c r="J572" i="1"/>
  <c r="H572" i="1" s="1"/>
  <c r="J589" i="1"/>
  <c r="H589" i="1" s="1"/>
  <c r="K178" i="1"/>
  <c r="K195" i="1"/>
  <c r="K217" i="1"/>
  <c r="J262" i="1"/>
  <c r="H262" i="1" s="1"/>
  <c r="J274" i="1"/>
  <c r="H274" i="1" s="1"/>
  <c r="K313" i="1"/>
  <c r="K334" i="1"/>
  <c r="K418" i="1"/>
  <c r="K454" i="1"/>
  <c r="K457" i="1"/>
  <c r="K481" i="1"/>
  <c r="J502" i="1"/>
  <c r="H502" i="1" s="1"/>
  <c r="K541" i="1"/>
  <c r="K589" i="1"/>
  <c r="I34" i="1"/>
  <c r="I44" i="1"/>
  <c r="K70" i="1"/>
  <c r="J80" i="1"/>
  <c r="H80" i="1" s="1"/>
  <c r="I82" i="1"/>
  <c r="I85" i="1"/>
  <c r="J92" i="1"/>
  <c r="H92" i="1" s="1"/>
  <c r="J104" i="1"/>
  <c r="J109" i="1"/>
  <c r="H109" i="1" s="1"/>
  <c r="I116" i="1"/>
  <c r="J118" i="1"/>
  <c r="H118" i="1" s="1"/>
  <c r="I140" i="1"/>
  <c r="I142" i="1"/>
  <c r="K145" i="1"/>
  <c r="J152" i="1"/>
  <c r="H152" i="1" s="1"/>
  <c r="K155" i="1"/>
  <c r="I164" i="1"/>
  <c r="I166" i="1"/>
  <c r="I176" i="1"/>
  <c r="K179" i="1"/>
  <c r="I190" i="1"/>
  <c r="J200" i="1"/>
  <c r="H200" i="1" s="1"/>
  <c r="K203" i="1"/>
  <c r="J205" i="1"/>
  <c r="H205" i="1" s="1"/>
  <c r="I212" i="1"/>
  <c r="I226" i="1"/>
  <c r="J229" i="1"/>
  <c r="H229" i="1" s="1"/>
  <c r="I238" i="1"/>
  <c r="I241" i="1"/>
  <c r="I253" i="1"/>
  <c r="I272" i="1"/>
  <c r="I289" i="1"/>
  <c r="J430" i="1"/>
  <c r="H430" i="1" s="1"/>
  <c r="I464" i="1"/>
  <c r="I473" i="1"/>
  <c r="I488" i="1"/>
  <c r="I493" i="1"/>
  <c r="I505" i="1"/>
  <c r="J512" i="1"/>
  <c r="H512" i="1" s="1"/>
  <c r="I514" i="1"/>
  <c r="J529" i="1"/>
  <c r="H529" i="1" s="1"/>
  <c r="J538" i="1"/>
  <c r="H538" i="1" s="1"/>
  <c r="J547" i="1"/>
  <c r="H547" i="1" s="1"/>
  <c r="I548" i="1"/>
  <c r="J562" i="1"/>
  <c r="H562" i="1" s="1"/>
  <c r="J584" i="1"/>
  <c r="H584" i="1" s="1"/>
  <c r="K599" i="1"/>
  <c r="J25" i="1"/>
  <c r="H25" i="1" s="1"/>
  <c r="J34" i="1"/>
  <c r="H34" i="1" s="1"/>
  <c r="J53" i="1"/>
  <c r="H53" i="1" s="1"/>
  <c r="I58" i="1"/>
  <c r="K73" i="1"/>
  <c r="J82" i="1"/>
  <c r="H82" i="1" s="1"/>
  <c r="J113" i="1"/>
  <c r="H113" i="1" s="1"/>
  <c r="K233" i="1"/>
  <c r="J249" i="1"/>
  <c r="H249" i="1" s="1"/>
  <c r="K275" i="1"/>
  <c r="K305" i="1"/>
  <c r="I425" i="1"/>
  <c r="K473" i="1"/>
  <c r="K491" i="1"/>
  <c r="J537" i="1"/>
  <c r="H537" i="1" s="1"/>
  <c r="K577" i="1"/>
  <c r="K595" i="1"/>
  <c r="I245" i="1"/>
  <c r="G376" i="1"/>
  <c r="F376" i="1"/>
  <c r="K376" i="1" s="1"/>
  <c r="J417" i="1"/>
  <c r="H417" i="1" s="1"/>
  <c r="I437" i="1"/>
  <c r="G477" i="1"/>
  <c r="F477" i="1"/>
  <c r="K477" i="1" s="1"/>
  <c r="F112" i="1"/>
  <c r="K112" i="1" s="1"/>
  <c r="G112" i="1"/>
  <c r="G357" i="1"/>
  <c r="F357" i="1"/>
  <c r="K357" i="1" s="1"/>
  <c r="F410" i="1"/>
  <c r="K410" i="1" s="1"/>
  <c r="G597" i="1"/>
  <c r="F597" i="1"/>
  <c r="K597" i="1" s="1"/>
  <c r="F47" i="1"/>
  <c r="K47" i="1" s="1"/>
  <c r="K324" i="1"/>
  <c r="J324" i="1"/>
  <c r="H324" i="1" s="1"/>
  <c r="F384" i="1"/>
  <c r="J384" i="1" s="1"/>
  <c r="H384" i="1" s="1"/>
  <c r="J391" i="1"/>
  <c r="H391" i="1" s="1"/>
  <c r="K391" i="1"/>
  <c r="I391" i="1"/>
  <c r="G410" i="1"/>
  <c r="K444" i="1"/>
  <c r="J444" i="1"/>
  <c r="H444" i="1" s="1"/>
  <c r="K451" i="1"/>
  <c r="J451" i="1"/>
  <c r="H451" i="1" s="1"/>
  <c r="I451" i="1"/>
  <c r="G451" i="1"/>
  <c r="G525" i="1"/>
  <c r="F525" i="1"/>
  <c r="K525" i="1" s="1"/>
  <c r="K583" i="1"/>
  <c r="J598" i="1"/>
  <c r="H598" i="1" s="1"/>
  <c r="I598" i="1"/>
  <c r="G16" i="1"/>
  <c r="J60" i="1"/>
  <c r="H60" i="1" s="1"/>
  <c r="F232" i="1"/>
  <c r="J232" i="1" s="1"/>
  <c r="H232" i="1" s="1"/>
  <c r="G232" i="1"/>
  <c r="F285" i="1"/>
  <c r="J437" i="1"/>
  <c r="H437" i="1" s="1"/>
  <c r="J561" i="1"/>
  <c r="H561" i="1" s="1"/>
  <c r="F146" i="1"/>
  <c r="K146" i="1" s="1"/>
  <c r="J350" i="1"/>
  <c r="I350" i="1"/>
  <c r="G444" i="1"/>
  <c r="K48" i="1"/>
  <c r="J48" i="1"/>
  <c r="H48" i="1" s="1"/>
  <c r="I48" i="1"/>
  <c r="I219" i="1"/>
  <c r="F304" i="1"/>
  <c r="J304" i="1" s="1"/>
  <c r="J193" i="1"/>
  <c r="H193" i="1" s="1"/>
  <c r="J219" i="1"/>
  <c r="H219" i="1" s="1"/>
  <c r="G391" i="1"/>
  <c r="G424" i="1"/>
  <c r="F424" i="1"/>
  <c r="K424" i="1" s="1"/>
  <c r="K485" i="1"/>
  <c r="I485" i="1"/>
  <c r="K193" i="1"/>
  <c r="F312" i="1"/>
  <c r="K312" i="1" s="1"/>
  <c r="K365" i="1"/>
  <c r="I365" i="1"/>
  <c r="F458" i="1"/>
  <c r="I458" i="1" s="1"/>
  <c r="F576" i="1"/>
  <c r="K576" i="1" s="1"/>
  <c r="I10" i="1"/>
  <c r="K29" i="1"/>
  <c r="K36" i="1"/>
  <c r="J61" i="1"/>
  <c r="H61" i="1" s="1"/>
  <c r="J147" i="1"/>
  <c r="H147" i="1" s="1"/>
  <c r="K161" i="1"/>
  <c r="K168" i="1"/>
  <c r="J168" i="1"/>
  <c r="H168" i="1" s="1"/>
  <c r="I168" i="1"/>
  <c r="F180" i="1"/>
  <c r="J180" i="1" s="1"/>
  <c r="H180" i="1" s="1"/>
  <c r="F194" i="1"/>
  <c r="I194" i="1" s="1"/>
  <c r="G240" i="1"/>
  <c r="J247" i="1"/>
  <c r="H247" i="1" s="1"/>
  <c r="K247" i="1"/>
  <c r="I247" i="1"/>
  <c r="F266" i="1"/>
  <c r="K266" i="1" s="1"/>
  <c r="G312" i="1"/>
  <c r="F319" i="1"/>
  <c r="J319" i="1" s="1"/>
  <c r="H319" i="1" s="1"/>
  <c r="G405" i="1"/>
  <c r="F405" i="1"/>
  <c r="K405" i="1" s="1"/>
  <c r="F432" i="1"/>
  <c r="K432" i="1" s="1"/>
  <c r="K439" i="1"/>
  <c r="J439" i="1"/>
  <c r="H439" i="1" s="1"/>
  <c r="I439" i="1"/>
  <c r="K492" i="1"/>
  <c r="J492" i="1"/>
  <c r="H492" i="1" s="1"/>
  <c r="K499" i="1"/>
  <c r="F540" i="1"/>
  <c r="K540" i="1" s="1"/>
  <c r="G576" i="1"/>
  <c r="G48" i="1"/>
  <c r="F120" i="1"/>
  <c r="I120" i="1" s="1"/>
  <c r="J259" i="1"/>
  <c r="H259" i="1" s="1"/>
  <c r="K259" i="1"/>
  <c r="I259" i="1"/>
  <c r="G259" i="1"/>
  <c r="G252" i="1"/>
  <c r="F554" i="1"/>
  <c r="J554" i="1" s="1"/>
  <c r="H554" i="1" s="1"/>
  <c r="K590" i="1"/>
  <c r="J590" i="1"/>
  <c r="H590" i="1" s="1"/>
  <c r="I590" i="1"/>
  <c r="G590" i="1"/>
  <c r="G43" i="1"/>
  <c r="I75" i="1"/>
  <c r="F141" i="1"/>
  <c r="K147" i="1"/>
  <c r="G180" i="1"/>
  <c r="J485" i="1"/>
  <c r="H485" i="1" s="1"/>
  <c r="F600" i="1"/>
  <c r="F93" i="1"/>
  <c r="K93" i="1" s="1"/>
  <c r="G93" i="1"/>
  <c r="F16" i="1"/>
  <c r="K16" i="1" s="1"/>
  <c r="I291" i="1"/>
  <c r="F23" i="1"/>
  <c r="K23" i="1" s="1"/>
  <c r="G23" i="1"/>
  <c r="F338" i="1"/>
  <c r="K338" i="1" s="1"/>
  <c r="J49" i="1"/>
  <c r="H49" i="1" s="1"/>
  <c r="F24" i="1"/>
  <c r="K24" i="1" s="1"/>
  <c r="G36" i="1"/>
  <c r="F43" i="1"/>
  <c r="K43" i="1" s="1"/>
  <c r="K49" i="1"/>
  <c r="G62" i="1"/>
  <c r="K62" i="1"/>
  <c r="J62" i="1"/>
  <c r="H62" i="1" s="1"/>
  <c r="I62" i="1"/>
  <c r="F69" i="1"/>
  <c r="J75" i="1"/>
  <c r="H75" i="1" s="1"/>
  <c r="K88" i="1"/>
  <c r="G88" i="1"/>
  <c r="J88" i="1"/>
  <c r="H88" i="1" s="1"/>
  <c r="I88" i="1"/>
  <c r="K108" i="1"/>
  <c r="J175" i="1"/>
  <c r="H175" i="1" s="1"/>
  <c r="K175" i="1"/>
  <c r="I175" i="1"/>
  <c r="I233" i="1"/>
  <c r="K293" i="1"/>
  <c r="I293" i="1"/>
  <c r="I305" i="1"/>
  <c r="J365" i="1"/>
  <c r="H365" i="1" s="1"/>
  <c r="K372" i="1"/>
  <c r="J372" i="1"/>
  <c r="H372" i="1" s="1"/>
  <c r="K379" i="1"/>
  <c r="J379" i="1"/>
  <c r="H379" i="1" s="1"/>
  <c r="I379" i="1"/>
  <c r="G379" i="1"/>
  <c r="K398" i="1"/>
  <c r="I398" i="1"/>
  <c r="J398" i="1"/>
  <c r="H398" i="1" s="1"/>
  <c r="G398" i="1"/>
  <c r="G472" i="1"/>
  <c r="F472" i="1"/>
  <c r="I472" i="1" s="1"/>
  <c r="G492" i="1"/>
  <c r="J513" i="1"/>
  <c r="H513" i="1" s="1"/>
  <c r="J41" i="1"/>
  <c r="H41" i="1" s="1"/>
  <c r="K41" i="1"/>
  <c r="F74" i="1"/>
  <c r="I74" i="1" s="1"/>
  <c r="F127" i="1"/>
  <c r="J245" i="1"/>
  <c r="F55" i="1"/>
  <c r="K55" i="1" s="1"/>
  <c r="F17" i="1"/>
  <c r="I17" i="1" s="1"/>
  <c r="J29" i="1"/>
  <c r="H29" i="1" s="1"/>
  <c r="G55" i="1"/>
  <c r="G278" i="1"/>
  <c r="K278" i="1"/>
  <c r="I278" i="1"/>
  <c r="J278" i="1"/>
  <c r="H278" i="1" s="1"/>
  <c r="I377" i="1"/>
  <c r="K61" i="1"/>
  <c r="G24" i="1"/>
  <c r="F50" i="1"/>
  <c r="I50" i="1" s="1"/>
  <c r="G115" i="1"/>
  <c r="G134" i="1"/>
  <c r="G352" i="1"/>
  <c r="F352" i="1"/>
  <c r="K352" i="1" s="1"/>
  <c r="F506" i="1"/>
  <c r="K506" i="1" s="1"/>
  <c r="G592" i="1"/>
  <c r="F592" i="1"/>
  <c r="K592" i="1" s="1"/>
  <c r="G74" i="1"/>
  <c r="F86" i="1"/>
  <c r="F213" i="1"/>
  <c r="K213" i="1" s="1"/>
  <c r="G213" i="1"/>
  <c r="G324" i="1"/>
  <c r="F160" i="1"/>
  <c r="K160" i="1" s="1"/>
  <c r="G160" i="1"/>
  <c r="F240" i="1"/>
  <c r="I240" i="1" s="1"/>
  <c r="K291" i="1"/>
  <c r="K533" i="1"/>
  <c r="I533" i="1"/>
  <c r="J10" i="1"/>
  <c r="H10" i="1" s="1"/>
  <c r="K5" i="1"/>
  <c r="K31" i="1"/>
  <c r="J31" i="1"/>
  <c r="H31" i="1" s="1"/>
  <c r="I31" i="1"/>
  <c r="J36" i="1"/>
  <c r="H36" i="1" s="1"/>
  <c r="G50" i="1"/>
  <c r="G95" i="1"/>
  <c r="F95" i="1"/>
  <c r="K95" i="1" s="1"/>
  <c r="G108" i="1"/>
  <c r="F115" i="1"/>
  <c r="I115" i="1" s="1"/>
  <c r="F122" i="1"/>
  <c r="K122" i="1" s="1"/>
  <c r="F134" i="1"/>
  <c r="K134" i="1" s="1"/>
  <c r="I161" i="1"/>
  <c r="G175" i="1"/>
  <c r="G333" i="1"/>
  <c r="F333" i="1"/>
  <c r="K333" i="1" s="1"/>
  <c r="K353" i="1"/>
  <c r="K360" i="1"/>
  <c r="J360" i="1"/>
  <c r="H360" i="1" s="1"/>
  <c r="I360" i="1"/>
  <c r="K413" i="1"/>
  <c r="I413" i="1"/>
  <c r="F453" i="1"/>
  <c r="F480" i="1"/>
  <c r="K480" i="1" s="1"/>
  <c r="J487" i="1"/>
  <c r="I487" i="1"/>
  <c r="G506" i="1"/>
  <c r="G520" i="1"/>
  <c r="F520" i="1"/>
  <c r="K520" i="1" s="1"/>
  <c r="J585" i="1"/>
  <c r="H585" i="1" s="1"/>
  <c r="K593" i="1"/>
  <c r="G41" i="1"/>
  <c r="K173" i="1"/>
  <c r="I173" i="1"/>
  <c r="I41" i="1"/>
  <c r="F252" i="1"/>
  <c r="J252" i="1" s="1"/>
  <c r="H252" i="1" s="1"/>
  <c r="G568" i="1"/>
  <c r="F568" i="1"/>
  <c r="K568" i="1" s="1"/>
  <c r="K206" i="1"/>
  <c r="I206" i="1"/>
  <c r="J206" i="1"/>
  <c r="H206" i="1" s="1"/>
  <c r="G206" i="1"/>
  <c r="I324" i="1"/>
  <c r="I444" i="1"/>
  <c r="K518" i="1"/>
  <c r="J518" i="1"/>
  <c r="H518" i="1" s="1"/>
  <c r="I518" i="1"/>
  <c r="G518" i="1"/>
  <c r="K19" i="1"/>
  <c r="J19" i="1"/>
  <c r="H19" i="1" s="1"/>
  <c r="G19" i="1"/>
  <c r="I96" i="1"/>
  <c r="K96" i="1"/>
  <c r="J96" i="1"/>
  <c r="H96" i="1" s="1"/>
  <c r="J129" i="1"/>
  <c r="H129" i="1" s="1"/>
  <c r="F208" i="1"/>
  <c r="I208" i="1" s="1"/>
  <c r="G208" i="1"/>
  <c r="K235" i="1"/>
  <c r="J235" i="1"/>
  <c r="H235" i="1" s="1"/>
  <c r="I235" i="1"/>
  <c r="G235" i="1"/>
  <c r="F261" i="1"/>
  <c r="I261" i="1" s="1"/>
  <c r="G280" i="1"/>
  <c r="F280" i="1"/>
  <c r="I280" i="1" s="1"/>
  <c r="J300" i="1"/>
  <c r="K301" i="1" s="1"/>
  <c r="K300" i="1"/>
  <c r="J367" i="1"/>
  <c r="H367" i="1" s="1"/>
  <c r="K367" i="1"/>
  <c r="I367" i="1"/>
  <c r="F386" i="1"/>
  <c r="K386" i="1" s="1"/>
  <c r="G480" i="1"/>
  <c r="K521" i="1"/>
  <c r="K528" i="1"/>
  <c r="J528" i="1"/>
  <c r="H528" i="1" s="1"/>
  <c r="I528" i="1"/>
  <c r="K209" i="1"/>
  <c r="I216" i="1"/>
  <c r="K216" i="1"/>
  <c r="J216" i="1"/>
  <c r="H216" i="1" s="1"/>
  <c r="K281" i="1"/>
  <c r="K288" i="1"/>
  <c r="I288" i="1"/>
  <c r="J288" i="1"/>
  <c r="H288" i="1" s="1"/>
  <c r="K326" i="1"/>
  <c r="J326" i="1"/>
  <c r="H326" i="1" s="1"/>
  <c r="I326" i="1"/>
  <c r="G326" i="1"/>
  <c r="J420" i="1"/>
  <c r="H420" i="1" s="1"/>
  <c r="K427" i="1"/>
  <c r="J427" i="1"/>
  <c r="H427" i="1" s="1"/>
  <c r="I427" i="1"/>
  <c r="G427" i="1"/>
  <c r="K446" i="1"/>
  <c r="J446" i="1"/>
  <c r="H446" i="1" s="1"/>
  <c r="I446" i="1"/>
  <c r="G446" i="1"/>
  <c r="G549" i="1"/>
  <c r="F549" i="1"/>
  <c r="K549" i="1" s="1"/>
  <c r="G163" i="1"/>
  <c r="F189" i="1"/>
  <c r="K189" i="1" s="1"/>
  <c r="G189" i="1"/>
  <c r="K557" i="1"/>
  <c r="I557" i="1"/>
  <c r="G64" i="1"/>
  <c r="G216" i="1"/>
  <c r="J223" i="1"/>
  <c r="H223" i="1" s="1"/>
  <c r="K223" i="1"/>
  <c r="I223" i="1"/>
  <c r="F242" i="1"/>
  <c r="I242" i="1" s="1"/>
  <c r="G288" i="1"/>
  <c r="J295" i="1"/>
  <c r="H295" i="1" s="1"/>
  <c r="K295" i="1"/>
  <c r="I295" i="1"/>
  <c r="F314" i="1"/>
  <c r="I314" i="1" s="1"/>
  <c r="J321" i="1"/>
  <c r="H321" i="1" s="1"/>
  <c r="K341" i="1"/>
  <c r="I341" i="1"/>
  <c r="G400" i="1"/>
  <c r="F400" i="1"/>
  <c r="K400" i="1" s="1"/>
  <c r="J441" i="1"/>
  <c r="H441" i="1" s="1"/>
  <c r="G501" i="1"/>
  <c r="F501" i="1"/>
  <c r="K501" i="1" s="1"/>
  <c r="F564" i="1"/>
  <c r="I564" i="1" s="1"/>
  <c r="F103" i="1"/>
  <c r="J103" i="1" s="1"/>
  <c r="H103" i="1" s="1"/>
  <c r="I123" i="1"/>
  <c r="K197" i="1"/>
  <c r="I197" i="1"/>
  <c r="I281" i="1"/>
  <c r="F408" i="1"/>
  <c r="K408" i="1" s="1"/>
  <c r="F542" i="1"/>
  <c r="K542" i="1" s="1"/>
  <c r="J557" i="1"/>
  <c r="H557" i="1" s="1"/>
  <c r="K254" i="1"/>
  <c r="J254" i="1"/>
  <c r="H254" i="1" s="1"/>
  <c r="I254" i="1"/>
  <c r="G254" i="1"/>
  <c r="G103" i="1"/>
  <c r="G223" i="1"/>
  <c r="F64" i="1"/>
  <c r="K64" i="1" s="1"/>
  <c r="G38" i="1"/>
  <c r="G381" i="1"/>
  <c r="F381" i="1"/>
  <c r="K381" i="1" s="1"/>
  <c r="F117" i="1"/>
  <c r="K117" i="1" s="1"/>
  <c r="G117" i="1"/>
  <c r="F151" i="1"/>
  <c r="F468" i="1"/>
  <c r="I468" i="1" s="1"/>
  <c r="J13" i="1"/>
  <c r="H13" i="1" s="1"/>
  <c r="G328" i="1"/>
  <c r="F328" i="1"/>
  <c r="K328" i="1" s="1"/>
  <c r="F348" i="1"/>
  <c r="I348" i="1" s="1"/>
  <c r="I374" i="1"/>
  <c r="J374" i="1"/>
  <c r="H374" i="1" s="1"/>
  <c r="G448" i="1"/>
  <c r="F448" i="1"/>
  <c r="J448" i="1" s="1"/>
  <c r="H448" i="1" s="1"/>
  <c r="G468" i="1"/>
  <c r="J489" i="1"/>
  <c r="H489" i="1" s="1"/>
  <c r="I509" i="1"/>
  <c r="J523" i="1"/>
  <c r="H523" i="1" s="1"/>
  <c r="F45" i="1"/>
  <c r="J45" i="1" s="1"/>
  <c r="H45" i="1" s="1"/>
  <c r="G45" i="1"/>
  <c r="F84" i="1"/>
  <c r="K84" i="1" s="1"/>
  <c r="J123" i="1"/>
  <c r="H123" i="1" s="1"/>
  <c r="I209" i="1"/>
  <c r="G475" i="1"/>
  <c r="K51" i="1"/>
  <c r="J91" i="1"/>
  <c r="H91" i="1" s="1"/>
  <c r="K91" i="1"/>
  <c r="G91" i="1"/>
  <c r="G408" i="1"/>
  <c r="K13" i="1"/>
  <c r="F98" i="1"/>
  <c r="K98" i="1" s="1"/>
  <c r="G110" i="1"/>
  <c r="J197" i="1"/>
  <c r="H197" i="1" s="1"/>
  <c r="G211" i="1"/>
  <c r="G237" i="1"/>
  <c r="F237" i="1"/>
  <c r="J237" i="1" s="1"/>
  <c r="H237" i="1" s="1"/>
  <c r="I243" i="1"/>
  <c r="F256" i="1"/>
  <c r="K256" i="1" s="1"/>
  <c r="G256" i="1"/>
  <c r="G283" i="1"/>
  <c r="G309" i="1"/>
  <c r="F309" i="1"/>
  <c r="K309" i="1" s="1"/>
  <c r="G348" i="1"/>
  <c r="I401" i="1"/>
  <c r="F482" i="1"/>
  <c r="J482" i="1" s="1"/>
  <c r="H482" i="1" s="1"/>
  <c r="F26" i="1"/>
  <c r="K26" i="1" s="1"/>
  <c r="F434" i="1"/>
  <c r="I434" i="1" s="1"/>
  <c r="F38" i="1"/>
  <c r="K38" i="1" s="1"/>
  <c r="K72" i="1"/>
  <c r="J72" i="1"/>
  <c r="K77" i="1" s="1"/>
  <c r="I72" i="1"/>
  <c r="G84" i="1"/>
  <c r="F144" i="1"/>
  <c r="I144" i="1" s="1"/>
  <c r="F494" i="1"/>
  <c r="G14" i="1"/>
  <c r="K14" i="1"/>
  <c r="I14" i="1"/>
  <c r="J14" i="1"/>
  <c r="H14" i="1" s="1"/>
  <c r="F79" i="1"/>
  <c r="I79" i="1" s="1"/>
  <c r="I91" i="1"/>
  <c r="G98" i="1"/>
  <c r="F110" i="1"/>
  <c r="K110" i="1" s="1"/>
  <c r="K125" i="1"/>
  <c r="I125" i="1"/>
  <c r="I137" i="1"/>
  <c r="F204" i="1"/>
  <c r="J204" i="1" s="1"/>
  <c r="H204" i="1" s="1"/>
  <c r="F211" i="1"/>
  <c r="I211" i="1" s="1"/>
  <c r="J243" i="1"/>
  <c r="H243" i="1" s="1"/>
  <c r="K264" i="1"/>
  <c r="J264" i="1"/>
  <c r="H264" i="1" s="1"/>
  <c r="I264" i="1"/>
  <c r="F276" i="1"/>
  <c r="K276" i="1" s="1"/>
  <c r="F283" i="1"/>
  <c r="I283" i="1" s="1"/>
  <c r="F336" i="1"/>
  <c r="K336" i="1" s="1"/>
  <c r="J343" i="1"/>
  <c r="H343" i="1" s="1"/>
  <c r="I343" i="1"/>
  <c r="F362" i="1"/>
  <c r="J362" i="1" s="1"/>
  <c r="H362" i="1" s="1"/>
  <c r="J369" i="1"/>
  <c r="H369" i="1" s="1"/>
  <c r="K389" i="1"/>
  <c r="I389" i="1"/>
  <c r="G429" i="1"/>
  <c r="F429" i="1"/>
  <c r="K429" i="1" s="1"/>
  <c r="F456" i="1"/>
  <c r="K456" i="1" s="1"/>
  <c r="K463" i="1"/>
  <c r="J463" i="1"/>
  <c r="H463" i="1" s="1"/>
  <c r="I463" i="1"/>
  <c r="G482" i="1"/>
  <c r="F516" i="1"/>
  <c r="K516" i="1" s="1"/>
  <c r="G544" i="1"/>
  <c r="F544" i="1"/>
  <c r="I544" i="1" s="1"/>
  <c r="G573" i="1"/>
  <c r="F573" i="1"/>
  <c r="K573" i="1" s="1"/>
  <c r="F163" i="1"/>
  <c r="I163" i="1" s="1"/>
  <c r="I51" i="1"/>
  <c r="F136" i="1"/>
  <c r="I136" i="1" s="1"/>
  <c r="G136" i="1"/>
  <c r="I269" i="1"/>
  <c r="G295" i="1"/>
  <c r="J97" i="1"/>
  <c r="J341" i="1"/>
  <c r="H341" i="1" s="1"/>
  <c r="F165" i="1"/>
  <c r="I165" i="1" s="1"/>
  <c r="G165" i="1"/>
  <c r="F184" i="1"/>
  <c r="K184" i="1" s="1"/>
  <c r="G184" i="1"/>
  <c r="G230" i="1"/>
  <c r="G276" i="1"/>
  <c r="G302" i="1"/>
  <c r="G336" i="1"/>
  <c r="G456" i="1"/>
  <c r="F530" i="1"/>
  <c r="K530" i="1" s="1"/>
  <c r="F552" i="1"/>
  <c r="J552" i="1" s="1"/>
  <c r="H552" i="1" s="1"/>
  <c r="K581" i="1"/>
  <c r="I581" i="1"/>
  <c r="F588" i="1"/>
  <c r="J588" i="1" s="1"/>
  <c r="H588" i="1" s="1"/>
  <c r="F156" i="1"/>
  <c r="J156" i="1" s="1"/>
  <c r="J77" i="1"/>
  <c r="G182" i="1"/>
  <c r="F170" i="1"/>
  <c r="I170" i="1" s="1"/>
  <c r="J355" i="1"/>
  <c r="H355" i="1" s="1"/>
  <c r="K355" i="1"/>
  <c r="I355" i="1"/>
  <c r="G355" i="1"/>
  <c r="F21" i="1"/>
  <c r="K21" i="1" s="1"/>
  <c r="G21" i="1"/>
  <c r="K40" i="1"/>
  <c r="J40" i="1"/>
  <c r="H40" i="1" s="1"/>
  <c r="I40" i="1"/>
  <c r="G40" i="1"/>
  <c r="K199" i="1"/>
  <c r="J199" i="1"/>
  <c r="H199" i="1" s="1"/>
  <c r="I199" i="1"/>
  <c r="F218" i="1"/>
  <c r="F230" i="1"/>
  <c r="K230" i="1" s="1"/>
  <c r="G264" i="1"/>
  <c r="J271" i="1"/>
  <c r="H271" i="1" s="1"/>
  <c r="K271" i="1"/>
  <c r="I271" i="1"/>
  <c r="F290" i="1"/>
  <c r="K290" i="1" s="1"/>
  <c r="F302" i="1"/>
  <c r="K302" i="1" s="1"/>
  <c r="K403" i="1"/>
  <c r="J403" i="1"/>
  <c r="H403" i="1" s="1"/>
  <c r="I403" i="1"/>
  <c r="G403" i="1"/>
  <c r="K422" i="1"/>
  <c r="J422" i="1"/>
  <c r="H422" i="1" s="1"/>
  <c r="I422" i="1"/>
  <c r="G422" i="1"/>
  <c r="G496" i="1"/>
  <c r="F496" i="1"/>
  <c r="I496" i="1" s="1"/>
  <c r="G530" i="1"/>
  <c r="G552" i="1"/>
  <c r="F7" i="1"/>
  <c r="K7" i="1" s="1"/>
  <c r="G26" i="1"/>
  <c r="F71" i="1"/>
  <c r="K71" i="1" s="1"/>
  <c r="G71" i="1"/>
  <c r="F182" i="1"/>
  <c r="K182" i="1" s="1"/>
  <c r="F415" i="1"/>
  <c r="K415" i="1" s="1"/>
  <c r="F475" i="1"/>
  <c r="I475" i="1" s="1"/>
  <c r="K60" i="1"/>
  <c r="J67" i="1"/>
  <c r="H67" i="1" s="1"/>
  <c r="K67" i="1"/>
  <c r="G67" i="1"/>
  <c r="J73" i="1"/>
  <c r="H73" i="1" s="1"/>
  <c r="J132" i="1"/>
  <c r="J139" i="1"/>
  <c r="H139" i="1" s="1"/>
  <c r="I139" i="1"/>
  <c r="K139" i="1"/>
  <c r="G139" i="1"/>
  <c r="G158" i="1"/>
  <c r="K158" i="1"/>
  <c r="I158" i="1"/>
  <c r="J158" i="1"/>
  <c r="H158" i="1" s="1"/>
  <c r="J225" i="1"/>
  <c r="H225" i="1" s="1"/>
  <c r="J297" i="1"/>
  <c r="H297" i="1" s="1"/>
  <c r="K317" i="1"/>
  <c r="I317" i="1"/>
  <c r="J504" i="1"/>
  <c r="I504" i="1"/>
  <c r="J566" i="1"/>
  <c r="I566" i="1"/>
  <c r="J581" i="1"/>
  <c r="H581" i="1" s="1"/>
  <c r="K605" i="1"/>
  <c r="I605" i="1"/>
  <c r="G499" i="1"/>
  <c r="G523" i="1"/>
  <c r="G547" i="1"/>
  <c r="F578" i="1"/>
  <c r="K578" i="1" s="1"/>
  <c r="F602" i="1"/>
  <c r="K602" i="1" s="1"/>
  <c r="I499" i="1"/>
  <c r="I523" i="1"/>
  <c r="I547" i="1"/>
  <c r="I595" i="1"/>
  <c r="F191" i="1"/>
  <c r="K191" i="1" s="1"/>
  <c r="F263" i="1"/>
  <c r="K263" i="1" s="1"/>
  <c r="F287" i="1"/>
  <c r="K287" i="1" s="1"/>
  <c r="F335" i="1"/>
  <c r="K335" i="1" s="1"/>
  <c r="F359" i="1"/>
  <c r="K359" i="1" s="1"/>
  <c r="F407" i="1"/>
  <c r="F431" i="1"/>
  <c r="K431" i="1" s="1"/>
  <c r="F455" i="1"/>
  <c r="K455" i="1" s="1"/>
  <c r="F527" i="1"/>
  <c r="K527" i="1" s="1"/>
  <c r="J595" i="1"/>
  <c r="H595" i="1" s="1"/>
  <c r="F143" i="1"/>
  <c r="K143" i="1" s="1"/>
  <c r="F167" i="1"/>
  <c r="K167" i="1" s="1"/>
  <c r="F479" i="1"/>
  <c r="J499" i="1"/>
  <c r="H499" i="1" s="1"/>
  <c r="F551" i="1"/>
  <c r="J551" i="1" s="1"/>
  <c r="H551" i="1" s="1"/>
  <c r="F575" i="1"/>
  <c r="F6" i="1"/>
  <c r="F30" i="1"/>
  <c r="I33" i="1"/>
  <c r="F54" i="1"/>
  <c r="F78" i="1"/>
  <c r="I81" i="1"/>
  <c r="F102" i="1"/>
  <c r="G119" i="1"/>
  <c r="F126" i="1"/>
  <c r="I126" i="1" s="1"/>
  <c r="I129" i="1"/>
  <c r="G143" i="1"/>
  <c r="F150" i="1"/>
  <c r="K150" i="1" s="1"/>
  <c r="G167" i="1"/>
  <c r="F174" i="1"/>
  <c r="K174" i="1" s="1"/>
  <c r="G191" i="1"/>
  <c r="F198" i="1"/>
  <c r="K198" i="1" s="1"/>
  <c r="I201" i="1"/>
  <c r="G215" i="1"/>
  <c r="F222" i="1"/>
  <c r="K222" i="1" s="1"/>
  <c r="I225" i="1"/>
  <c r="G239" i="1"/>
  <c r="F246" i="1"/>
  <c r="K246" i="1" s="1"/>
  <c r="I249" i="1"/>
  <c r="G263" i="1"/>
  <c r="F270" i="1"/>
  <c r="K270" i="1" s="1"/>
  <c r="I273" i="1"/>
  <c r="G287" i="1"/>
  <c r="F294" i="1"/>
  <c r="I297" i="1"/>
  <c r="F318" i="1"/>
  <c r="I321" i="1"/>
  <c r="G335" i="1"/>
  <c r="F342" i="1"/>
  <c r="K342" i="1" s="1"/>
  <c r="I345" i="1"/>
  <c r="G359" i="1"/>
  <c r="F366" i="1"/>
  <c r="K366" i="1" s="1"/>
  <c r="I369" i="1"/>
  <c r="G383" i="1"/>
  <c r="F390" i="1"/>
  <c r="G407" i="1"/>
  <c r="F414" i="1"/>
  <c r="K414" i="1" s="1"/>
  <c r="I417" i="1"/>
  <c r="G431" i="1"/>
  <c r="F438" i="1"/>
  <c r="I441" i="1"/>
  <c r="G455" i="1"/>
  <c r="F462" i="1"/>
  <c r="I462" i="1" s="1"/>
  <c r="I465" i="1"/>
  <c r="F486" i="1"/>
  <c r="I489" i="1"/>
  <c r="G503" i="1"/>
  <c r="F510" i="1"/>
  <c r="K510" i="1" s="1"/>
  <c r="I513" i="1"/>
  <c r="K523" i="1"/>
  <c r="G527" i="1"/>
  <c r="F534" i="1"/>
  <c r="K534" i="1" s="1"/>
  <c r="I537" i="1"/>
  <c r="K547" i="1"/>
  <c r="G551" i="1"/>
  <c r="F558" i="1"/>
  <c r="K558" i="1" s="1"/>
  <c r="I561" i="1"/>
  <c r="K571" i="1"/>
  <c r="G575" i="1"/>
  <c r="F582" i="1"/>
  <c r="I585" i="1"/>
  <c r="G599" i="1"/>
  <c r="F606" i="1"/>
  <c r="K606" i="1" s="1"/>
  <c r="F215" i="1"/>
  <c r="I215" i="1" s="1"/>
  <c r="F239" i="1"/>
  <c r="I239" i="1" s="1"/>
  <c r="F311" i="1"/>
  <c r="J311" i="1" s="1"/>
  <c r="H311" i="1" s="1"/>
  <c r="F383" i="1"/>
  <c r="I383" i="1" s="1"/>
  <c r="F503" i="1"/>
  <c r="K503" i="1" s="1"/>
  <c r="G54" i="1"/>
  <c r="G78" i="1"/>
  <c r="G102" i="1"/>
  <c r="G126" i="1"/>
  <c r="G150" i="1"/>
  <c r="G174" i="1"/>
  <c r="G198" i="1"/>
  <c r="G222" i="1"/>
  <c r="G246" i="1"/>
  <c r="G270" i="1"/>
  <c r="G294" i="1"/>
  <c r="G318" i="1"/>
  <c r="G342" i="1"/>
  <c r="G366" i="1"/>
  <c r="G486" i="1"/>
  <c r="G510" i="1"/>
  <c r="G534" i="1"/>
  <c r="G558" i="1"/>
  <c r="G582" i="1"/>
  <c r="G606" i="1"/>
  <c r="F119" i="1"/>
  <c r="I599" i="1"/>
  <c r="F315" i="1"/>
  <c r="F339" i="1"/>
  <c r="F363" i="1"/>
  <c r="F387" i="1"/>
  <c r="F411" i="1"/>
  <c r="F435" i="1"/>
  <c r="F459" i="1"/>
  <c r="F483" i="1"/>
  <c r="F507" i="1"/>
  <c r="F531" i="1"/>
  <c r="F555" i="1"/>
  <c r="F579" i="1"/>
  <c r="J599" i="1"/>
  <c r="H599" i="1" s="1"/>
  <c r="F603" i="1"/>
  <c r="F4" i="1"/>
  <c r="I4" i="1" s="1"/>
  <c r="F28" i="1"/>
  <c r="I28" i="1" s="1"/>
  <c r="F52" i="1"/>
  <c r="K65" i="1"/>
  <c r="F76" i="1"/>
  <c r="K76" i="1" s="1"/>
  <c r="F100" i="1"/>
  <c r="K100" i="1" s="1"/>
  <c r="K113" i="1"/>
  <c r="F124" i="1"/>
  <c r="K124" i="1" s="1"/>
  <c r="F148" i="1"/>
  <c r="J148" i="1" s="1"/>
  <c r="H148" i="1" s="1"/>
  <c r="F172" i="1"/>
  <c r="K172" i="1" s="1"/>
  <c r="F196" i="1"/>
  <c r="F220" i="1"/>
  <c r="J220" i="1" s="1"/>
  <c r="H220" i="1" s="1"/>
  <c r="F244" i="1"/>
  <c r="K244" i="1" s="1"/>
  <c r="F268" i="1"/>
  <c r="K268" i="1" s="1"/>
  <c r="F292" i="1"/>
  <c r="I292" i="1" s="1"/>
  <c r="F316" i="1"/>
  <c r="I316" i="1" s="1"/>
  <c r="F340" i="1"/>
  <c r="F364" i="1"/>
  <c r="F388" i="1"/>
  <c r="J388" i="1" s="1"/>
  <c r="H388" i="1" s="1"/>
  <c r="F412" i="1"/>
  <c r="K412" i="1" s="1"/>
  <c r="F436" i="1"/>
  <c r="K436" i="1" s="1"/>
  <c r="F460" i="1"/>
  <c r="F484" i="1"/>
  <c r="K484" i="1" s="1"/>
  <c r="F508" i="1"/>
  <c r="K508" i="1" s="1"/>
  <c r="F532" i="1"/>
  <c r="F556" i="1"/>
  <c r="I559" i="1"/>
  <c r="F580" i="1"/>
  <c r="K580" i="1" s="1"/>
  <c r="I583" i="1"/>
  <c r="F604" i="1"/>
  <c r="G28" i="1"/>
  <c r="G100" i="1"/>
  <c r="G244" i="1"/>
  <c r="G316" i="1"/>
  <c r="G388" i="1"/>
  <c r="G412" i="1"/>
  <c r="G460" i="1"/>
  <c r="G484" i="1"/>
  <c r="G508" i="1"/>
  <c r="G532" i="1"/>
  <c r="G556" i="1"/>
  <c r="J559" i="1"/>
  <c r="G580" i="1"/>
  <c r="J583" i="1"/>
  <c r="G604" i="1"/>
  <c r="G292" i="1"/>
  <c r="G436" i="1"/>
  <c r="G11" i="1"/>
  <c r="F18" i="1"/>
  <c r="I18" i="1" s="1"/>
  <c r="G35" i="1"/>
  <c r="F42" i="1"/>
  <c r="K42" i="1" s="1"/>
  <c r="G59" i="1"/>
  <c r="F66" i="1"/>
  <c r="K66" i="1" s="1"/>
  <c r="F90" i="1"/>
  <c r="G107" i="1"/>
  <c r="F114" i="1"/>
  <c r="K114" i="1" s="1"/>
  <c r="G131" i="1"/>
  <c r="F138" i="1"/>
  <c r="K138" i="1" s="1"/>
  <c r="G155" i="1"/>
  <c r="F162" i="1"/>
  <c r="K162" i="1" s="1"/>
  <c r="G179" i="1"/>
  <c r="F186" i="1"/>
  <c r="K186" i="1" s="1"/>
  <c r="G203" i="1"/>
  <c r="F210" i="1"/>
  <c r="K210" i="1" s="1"/>
  <c r="G227" i="1"/>
  <c r="F234" i="1"/>
  <c r="K234" i="1" s="1"/>
  <c r="F258" i="1"/>
  <c r="K258" i="1" s="1"/>
  <c r="G275" i="1"/>
  <c r="F282" i="1"/>
  <c r="K282" i="1" s="1"/>
  <c r="G299" i="1"/>
  <c r="F306" i="1"/>
  <c r="K306" i="1" s="1"/>
  <c r="G323" i="1"/>
  <c r="F330" i="1"/>
  <c r="K330" i="1" s="1"/>
  <c r="F354" i="1"/>
  <c r="K354" i="1" s="1"/>
  <c r="G371" i="1"/>
  <c r="F378" i="1"/>
  <c r="K378" i="1" s="1"/>
  <c r="G395" i="1"/>
  <c r="F402" i="1"/>
  <c r="K402" i="1" s="1"/>
  <c r="G419" i="1"/>
  <c r="F426" i="1"/>
  <c r="K426" i="1" s="1"/>
  <c r="F450" i="1"/>
  <c r="K450" i="1" s="1"/>
  <c r="G467" i="1"/>
  <c r="F474" i="1"/>
  <c r="K474" i="1" s="1"/>
  <c r="G491" i="1"/>
  <c r="F498" i="1"/>
  <c r="G515" i="1"/>
  <c r="F522" i="1"/>
  <c r="K522" i="1" s="1"/>
  <c r="G539" i="1"/>
  <c r="F546" i="1"/>
  <c r="K546" i="1" s="1"/>
  <c r="G563" i="1"/>
  <c r="F570" i="1"/>
  <c r="K570" i="1" s="1"/>
  <c r="F594" i="1"/>
  <c r="K594" i="1" s="1"/>
  <c r="G124" i="1"/>
  <c r="G196" i="1"/>
  <c r="G220" i="1"/>
  <c r="G268" i="1"/>
  <c r="G364" i="1"/>
  <c r="G42" i="1"/>
  <c r="G66" i="1"/>
  <c r="G90" i="1"/>
  <c r="G114" i="1"/>
  <c r="G162" i="1"/>
  <c r="G186" i="1"/>
  <c r="G210" i="1"/>
  <c r="G258" i="1"/>
  <c r="G282" i="1"/>
  <c r="G306" i="1"/>
  <c r="G330" i="1"/>
  <c r="G354" i="1"/>
  <c r="G378" i="1"/>
  <c r="G402" i="1"/>
  <c r="G426" i="1"/>
  <c r="G450" i="1"/>
  <c r="G474" i="1"/>
  <c r="G522" i="1"/>
  <c r="G546" i="1"/>
  <c r="G570" i="1"/>
  <c r="G594" i="1"/>
  <c r="G4" i="1"/>
  <c r="G76" i="1"/>
  <c r="J11" i="1"/>
  <c r="H11" i="1" s="1"/>
  <c r="F15" i="1"/>
  <c r="K15" i="1" s="1"/>
  <c r="J35" i="1"/>
  <c r="H35" i="1" s="1"/>
  <c r="F39" i="1"/>
  <c r="K39" i="1" s="1"/>
  <c r="J59" i="1"/>
  <c r="H59" i="1" s="1"/>
  <c r="F63" i="1"/>
  <c r="K63" i="1" s="1"/>
  <c r="J83" i="1"/>
  <c r="F87" i="1"/>
  <c r="J107" i="1"/>
  <c r="H107" i="1" s="1"/>
  <c r="F111" i="1"/>
  <c r="J131" i="1"/>
  <c r="H131" i="1" s="1"/>
  <c r="F135" i="1"/>
  <c r="J155" i="1"/>
  <c r="H155" i="1" s="1"/>
  <c r="F159" i="1"/>
  <c r="K159" i="1" s="1"/>
  <c r="J179" i="1"/>
  <c r="H179" i="1" s="1"/>
  <c r="F183" i="1"/>
  <c r="K183" i="1" s="1"/>
  <c r="J203" i="1"/>
  <c r="H203" i="1" s="1"/>
  <c r="F207" i="1"/>
  <c r="J227" i="1"/>
  <c r="H227" i="1" s="1"/>
  <c r="F231" i="1"/>
  <c r="J251" i="1"/>
  <c r="H251" i="1" s="1"/>
  <c r="F255" i="1"/>
  <c r="J275" i="1"/>
  <c r="H275" i="1" s="1"/>
  <c r="F279" i="1"/>
  <c r="J299" i="1"/>
  <c r="H299" i="1" s="1"/>
  <c r="F303" i="1"/>
  <c r="J323" i="1"/>
  <c r="H323" i="1" s="1"/>
  <c r="F327" i="1"/>
  <c r="K327" i="1" s="1"/>
  <c r="J347" i="1"/>
  <c r="H347" i="1" s="1"/>
  <c r="F351" i="1"/>
  <c r="K351" i="1" s="1"/>
  <c r="J371" i="1"/>
  <c r="H371" i="1" s="1"/>
  <c r="F375" i="1"/>
  <c r="K375" i="1" s="1"/>
  <c r="J395" i="1"/>
  <c r="H395" i="1" s="1"/>
  <c r="F399" i="1"/>
  <c r="K399" i="1" s="1"/>
  <c r="J419" i="1"/>
  <c r="H419" i="1" s="1"/>
  <c r="F423" i="1"/>
  <c r="K423" i="1" s="1"/>
  <c r="J443" i="1"/>
  <c r="F447" i="1"/>
  <c r="J467" i="1"/>
  <c r="H467" i="1" s="1"/>
  <c r="F471" i="1"/>
  <c r="J491" i="1"/>
  <c r="H491" i="1" s="1"/>
  <c r="F495" i="1"/>
  <c r="J515" i="1"/>
  <c r="H515" i="1" s="1"/>
  <c r="F519" i="1"/>
  <c r="K519" i="1" s="1"/>
  <c r="J539" i="1"/>
  <c r="H539" i="1" s="1"/>
  <c r="F543" i="1"/>
  <c r="K543" i="1" s="1"/>
  <c r="J563" i="1"/>
  <c r="H563" i="1" s="1"/>
  <c r="F567" i="1"/>
  <c r="K567" i="1" s="1"/>
  <c r="J587" i="1"/>
  <c r="H587" i="1" s="1"/>
  <c r="F591" i="1"/>
  <c r="F609" i="1"/>
  <c r="J609" i="1" s="1"/>
  <c r="H609" i="1" s="1"/>
  <c r="K610" i="1"/>
  <c r="J610" i="1"/>
  <c r="H610" i="1" s="1"/>
  <c r="I610" i="1"/>
  <c r="G610" i="1"/>
  <c r="F3" i="1"/>
  <c r="K3" i="1" s="1"/>
  <c r="G3" i="1"/>
  <c r="F2" i="1"/>
  <c r="I2" i="1" s="1"/>
  <c r="G2" i="1"/>
  <c r="K245" i="1" l="1"/>
  <c r="K550" i="1"/>
  <c r="I571" i="1"/>
  <c r="K509" i="1"/>
  <c r="J428" i="1"/>
  <c r="K487" i="1" s="1"/>
  <c r="I214" i="1"/>
  <c r="J33" i="1"/>
  <c r="J332" i="1"/>
  <c r="H332" i="1" s="1"/>
  <c r="H83" i="1"/>
  <c r="J12" i="1"/>
  <c r="J500" i="1"/>
  <c r="H500" i="1" s="1"/>
  <c r="J301" i="1"/>
  <c r="J273" i="1"/>
  <c r="H273" i="1" s="1"/>
  <c r="K12" i="1"/>
  <c r="I550" i="1"/>
  <c r="K565" i="1"/>
  <c r="J565" i="1"/>
  <c r="H565" i="1" s="1"/>
  <c r="I344" i="1"/>
  <c r="I89" i="1"/>
  <c r="J89" i="1"/>
  <c r="K104" i="1" s="1"/>
  <c r="K89" i="1"/>
  <c r="K380" i="1"/>
  <c r="I380" i="1"/>
  <c r="J380" i="1"/>
  <c r="H380" i="1" s="1"/>
  <c r="I187" i="1"/>
  <c r="J187" i="1"/>
  <c r="J188" i="1"/>
  <c r="H188" i="1" s="1"/>
  <c r="K188" i="1"/>
  <c r="I188" i="1"/>
  <c r="K106" i="1"/>
  <c r="I106" i="1"/>
  <c r="J106" i="1"/>
  <c r="H106" i="1" s="1"/>
  <c r="J511" i="1"/>
  <c r="H511" i="1" s="1"/>
  <c r="I511" i="1"/>
  <c r="J449" i="1"/>
  <c r="H449" i="1" s="1"/>
  <c r="I449" i="1"/>
  <c r="J101" i="1"/>
  <c r="H101" i="1" s="1"/>
  <c r="K101" i="1"/>
  <c r="I101" i="1"/>
  <c r="K461" i="1"/>
  <c r="I461" i="1"/>
  <c r="K20" i="1"/>
  <c r="I20" i="1"/>
  <c r="J20" i="1"/>
  <c r="H20" i="1" s="1"/>
  <c r="I596" i="1"/>
  <c r="J596" i="1"/>
  <c r="K192" i="1"/>
  <c r="J192" i="1"/>
  <c r="K221" i="1" s="1"/>
  <c r="I192" i="1"/>
  <c r="K57" i="1"/>
  <c r="J57" i="1"/>
  <c r="I57" i="1"/>
  <c r="K385" i="1"/>
  <c r="J385" i="1"/>
  <c r="H385" i="1" s="1"/>
  <c r="I385" i="1"/>
  <c r="I535" i="1"/>
  <c r="J535" i="1"/>
  <c r="K566" i="1" s="1"/>
  <c r="J470" i="1"/>
  <c r="H470" i="1" s="1"/>
  <c r="I470" i="1"/>
  <c r="K470" i="1"/>
  <c r="J416" i="1"/>
  <c r="H416" i="1" s="1"/>
  <c r="K416" i="1"/>
  <c r="I416" i="1"/>
  <c r="K607" i="1"/>
  <c r="I607" i="1"/>
  <c r="J607" i="1"/>
  <c r="H607" i="1" s="1"/>
  <c r="J37" i="1"/>
  <c r="H37" i="1" s="1"/>
  <c r="I37" i="1"/>
  <c r="K449" i="1"/>
  <c r="J497" i="1"/>
  <c r="H497" i="1" s="1"/>
  <c r="I497" i="1"/>
  <c r="K497" i="1"/>
  <c r="K9" i="1"/>
  <c r="I9" i="1"/>
  <c r="J171" i="1"/>
  <c r="H171" i="1" s="1"/>
  <c r="I171" i="1"/>
  <c r="K171" i="1"/>
  <c r="J9" i="1"/>
  <c r="J461" i="1"/>
  <c r="H461" i="1" s="1"/>
  <c r="K187" i="1"/>
  <c r="J331" i="1"/>
  <c r="H331" i="1" s="1"/>
  <c r="K331" i="1"/>
  <c r="I331" i="1"/>
  <c r="J307" i="1"/>
  <c r="H307" i="1" s="1"/>
  <c r="I307" i="1"/>
  <c r="J574" i="1"/>
  <c r="H574" i="1" s="1"/>
  <c r="K574" i="1"/>
  <c r="I574" i="1"/>
  <c r="I553" i="1"/>
  <c r="J553" i="1"/>
  <c r="H553" i="1" s="1"/>
  <c r="K553" i="1"/>
  <c r="J257" i="1"/>
  <c r="H257" i="1" s="1"/>
  <c r="I257" i="1"/>
  <c r="K257" i="1"/>
  <c r="K153" i="1"/>
  <c r="J153" i="1"/>
  <c r="H153" i="1" s="1"/>
  <c r="I153" i="1"/>
  <c r="K608" i="1"/>
  <c r="I608" i="1"/>
  <c r="J608" i="1"/>
  <c r="H608" i="1" s="1"/>
  <c r="K345" i="1"/>
  <c r="J345" i="1"/>
  <c r="H345" i="1" s="1"/>
  <c r="I526" i="1"/>
  <c r="K526" i="1"/>
  <c r="J526" i="1"/>
  <c r="H526" i="1" s="1"/>
  <c r="J56" i="1"/>
  <c r="H56" i="1" s="1"/>
  <c r="I56" i="1"/>
  <c r="K56" i="1"/>
  <c r="K157" i="1"/>
  <c r="I157" i="1"/>
  <c r="J157" i="1"/>
  <c r="H157" i="1" s="1"/>
  <c r="K307" i="1"/>
  <c r="K511" i="1"/>
  <c r="J421" i="1"/>
  <c r="H421" i="1" s="1"/>
  <c r="I421" i="1"/>
  <c r="K68" i="1"/>
  <c r="I68" i="1"/>
  <c r="K337" i="1"/>
  <c r="I221" i="1"/>
  <c r="J337" i="1"/>
  <c r="H337" i="1" s="1"/>
  <c r="I177" i="1"/>
  <c r="K132" i="1"/>
  <c r="K356" i="1"/>
  <c r="I284" i="1"/>
  <c r="J356" i="1"/>
  <c r="H356" i="1" s="1"/>
  <c r="K284" i="1"/>
  <c r="K149" i="1"/>
  <c r="I105" i="1"/>
  <c r="J228" i="1"/>
  <c r="H228" i="1" s="1"/>
  <c r="K228" i="1"/>
  <c r="K154" i="1"/>
  <c r="K185" i="1"/>
  <c r="J476" i="1"/>
  <c r="H476" i="1" s="1"/>
  <c r="J393" i="1"/>
  <c r="I185" i="1"/>
  <c r="J396" i="1"/>
  <c r="H396" i="1" s="1"/>
  <c r="I393" i="1"/>
  <c r="K396" i="1"/>
  <c r="I149" i="1"/>
  <c r="I430" i="1"/>
  <c r="K137" i="1"/>
  <c r="J130" i="1"/>
  <c r="H130" i="1" s="1"/>
  <c r="I586" i="1"/>
  <c r="K586" i="1"/>
  <c r="K127" i="1"/>
  <c r="I124" i="1"/>
  <c r="K52" i="1"/>
  <c r="I268" i="1"/>
  <c r="J143" i="1"/>
  <c r="H143" i="1" s="1"/>
  <c r="I198" i="1"/>
  <c r="J191" i="1"/>
  <c r="H191" i="1" s="1"/>
  <c r="K428" i="1"/>
  <c r="I143" i="1"/>
  <c r="I42" i="1"/>
  <c r="K28" i="1"/>
  <c r="I52" i="1"/>
  <c r="J8" i="1"/>
  <c r="H8" i="1" s="1"/>
  <c r="I490" i="1"/>
  <c r="K177" i="1"/>
  <c r="I370" i="1"/>
  <c r="I270" i="1"/>
  <c r="H187" i="1"/>
  <c r="I43" i="1"/>
  <c r="I100" i="1"/>
  <c r="J490" i="1"/>
  <c r="H490" i="1" s="1"/>
  <c r="I392" i="1"/>
  <c r="J5" i="1"/>
  <c r="H5" i="1" s="1"/>
  <c r="I27" i="1"/>
  <c r="J452" i="1"/>
  <c r="H452" i="1" s="1"/>
  <c r="I21" i="1"/>
  <c r="J52" i="1"/>
  <c r="K69" i="1" s="1"/>
  <c r="K452" i="1"/>
  <c r="K392" i="1"/>
  <c r="I76" i="1"/>
  <c r="I186" i="1"/>
  <c r="I8" i="1"/>
  <c r="K27" i="1"/>
  <c r="I114" i="1"/>
  <c r="J22" i="1"/>
  <c r="H22" i="1" s="1"/>
  <c r="J431" i="1"/>
  <c r="H431" i="1" s="1"/>
  <c r="I431" i="1"/>
  <c r="I282" i="1"/>
  <c r="J263" i="1"/>
  <c r="H263" i="1" s="1"/>
  <c r="K11" i="1"/>
  <c r="I578" i="1"/>
  <c r="H350" i="1"/>
  <c r="I484" i="1"/>
  <c r="I436" i="1"/>
  <c r="J484" i="1"/>
  <c r="H484" i="1" s="1"/>
  <c r="J239" i="1"/>
  <c r="H239" i="1" s="1"/>
  <c r="I244" i="1"/>
  <c r="I220" i="1"/>
  <c r="J268" i="1"/>
  <c r="H268" i="1" s="1"/>
  <c r="I602" i="1"/>
  <c r="J244" i="1"/>
  <c r="H244" i="1" s="1"/>
  <c r="J578" i="1"/>
  <c r="H578" i="1" s="1"/>
  <c r="I426" i="1"/>
  <c r="I366" i="1"/>
  <c r="J436" i="1"/>
  <c r="H436" i="1" s="1"/>
  <c r="I522" i="1"/>
  <c r="I606" i="1"/>
  <c r="K220" i="1"/>
  <c r="I210" i="1"/>
  <c r="H132" i="1"/>
  <c r="J292" i="1"/>
  <c r="H292" i="1" s="1"/>
  <c r="J527" i="1"/>
  <c r="H527" i="1" s="1"/>
  <c r="J172" i="1"/>
  <c r="H172" i="1" s="1"/>
  <c r="I138" i="1"/>
  <c r="H566" i="1"/>
  <c r="I172" i="1"/>
  <c r="I148" i="1"/>
  <c r="J359" i="1"/>
  <c r="H359" i="1" s="1"/>
  <c r="K90" i="1"/>
  <c r="I90" i="1"/>
  <c r="J340" i="1"/>
  <c r="K343" i="1" s="1"/>
  <c r="I340" i="1"/>
  <c r="K119" i="1"/>
  <c r="I119" i="1"/>
  <c r="J119" i="1"/>
  <c r="H119" i="1" s="1"/>
  <c r="K318" i="1"/>
  <c r="I318" i="1"/>
  <c r="I287" i="1"/>
  <c r="I258" i="1"/>
  <c r="I66" i="1"/>
  <c r="J335" i="1"/>
  <c r="H335" i="1" s="1"/>
  <c r="I474" i="1"/>
  <c r="I234" i="1"/>
  <c r="J508" i="1"/>
  <c r="H508" i="1" s="1"/>
  <c r="J287" i="1"/>
  <c r="H287" i="1" s="1"/>
  <c r="I222" i="1"/>
  <c r="H57" i="1"/>
  <c r="I378" i="1"/>
  <c r="I174" i="1"/>
  <c r="I540" i="1"/>
  <c r="J167" i="1"/>
  <c r="H167" i="1" s="1"/>
  <c r="J124" i="1"/>
  <c r="H124" i="1" s="1"/>
  <c r="J455" i="1"/>
  <c r="H455" i="1" s="1"/>
  <c r="I570" i="1"/>
  <c r="J100" i="1"/>
  <c r="H100" i="1" s="1"/>
  <c r="I263" i="1"/>
  <c r="I276" i="1"/>
  <c r="J76" i="1"/>
  <c r="H76" i="1" s="1"/>
  <c r="I167" i="1"/>
  <c r="I455" i="1"/>
  <c r="I414" i="1"/>
  <c r="K316" i="1"/>
  <c r="I335" i="1"/>
  <c r="I319" i="1"/>
  <c r="K18" i="1"/>
  <c r="K600" i="1"/>
  <c r="H596" i="1"/>
  <c r="K596" i="1"/>
  <c r="K587" i="1"/>
  <c r="H583" i="1"/>
  <c r="K479" i="1"/>
  <c r="K420" i="1"/>
  <c r="K535" i="1"/>
  <c r="H559" i="1"/>
  <c r="K374" i="1"/>
  <c r="J602" i="1"/>
  <c r="H602" i="1" s="1"/>
  <c r="H535" i="1"/>
  <c r="K438" i="1"/>
  <c r="J580" i="1"/>
  <c r="H580" i="1" s="1"/>
  <c r="I558" i="1"/>
  <c r="H504" i="1"/>
  <c r="H487" i="1"/>
  <c r="I510" i="1"/>
  <c r="K462" i="1"/>
  <c r="K476" i="1"/>
  <c r="K575" i="1"/>
  <c r="J575" i="1"/>
  <c r="H575" i="1" s="1"/>
  <c r="K532" i="1"/>
  <c r="I532" i="1"/>
  <c r="J532" i="1"/>
  <c r="H532" i="1" s="1"/>
  <c r="I580" i="1"/>
  <c r="H466" i="1"/>
  <c r="H428" i="1"/>
  <c r="K340" i="1"/>
  <c r="H393" i="1"/>
  <c r="I575" i="1"/>
  <c r="H346" i="1"/>
  <c r="K346" i="1"/>
  <c r="K332" i="1"/>
  <c r="I594" i="1"/>
  <c r="I498" i="1"/>
  <c r="I508" i="1"/>
  <c r="I546" i="1"/>
  <c r="I450" i="1"/>
  <c r="I306" i="1"/>
  <c r="J412" i="1"/>
  <c r="H412" i="1" s="1"/>
  <c r="H304" i="1"/>
  <c r="H301" i="1"/>
  <c r="H300" i="1"/>
  <c r="K285" i="1"/>
  <c r="K460" i="1"/>
  <c r="I460" i="1"/>
  <c r="J460" i="1"/>
  <c r="H460" i="1" s="1"/>
  <c r="K364" i="1"/>
  <c r="I364" i="1"/>
  <c r="J364" i="1"/>
  <c r="H364" i="1" s="1"/>
  <c r="K582" i="1"/>
  <c r="I582" i="1"/>
  <c r="K486" i="1"/>
  <c r="I486" i="1"/>
  <c r="K390" i="1"/>
  <c r="I390" i="1"/>
  <c r="K294" i="1"/>
  <c r="I294" i="1"/>
  <c r="K551" i="1"/>
  <c r="I551" i="1"/>
  <c r="K407" i="1"/>
  <c r="I407" i="1"/>
  <c r="J407" i="1"/>
  <c r="H407" i="1" s="1"/>
  <c r="H245" i="1"/>
  <c r="K468" i="1"/>
  <c r="I311" i="1"/>
  <c r="J348" i="1"/>
  <c r="H348" i="1" s="1"/>
  <c r="K212" i="1"/>
  <c r="K348" i="1"/>
  <c r="H177" i="1"/>
  <c r="H169" i="1"/>
  <c r="K151" i="1"/>
  <c r="H145" i="1"/>
  <c r="H105" i="1"/>
  <c r="H94" i="1"/>
  <c r="K94" i="1"/>
  <c r="H89" i="1"/>
  <c r="I516" i="1"/>
  <c r="I156" i="1"/>
  <c r="H156" i="1" s="1"/>
  <c r="K86" i="1"/>
  <c r="H77" i="1"/>
  <c r="H72" i="1"/>
  <c r="H33" i="1"/>
  <c r="I604" i="1"/>
  <c r="J604" i="1"/>
  <c r="H604" i="1" s="1"/>
  <c r="K556" i="1"/>
  <c r="I556" i="1"/>
  <c r="J556" i="1"/>
  <c r="H556" i="1" s="1"/>
  <c r="K388" i="1"/>
  <c r="I388" i="1"/>
  <c r="J196" i="1"/>
  <c r="H196" i="1" s="1"/>
  <c r="K196" i="1"/>
  <c r="I196" i="1"/>
  <c r="I342" i="1"/>
  <c r="I527" i="1"/>
  <c r="I588" i="1"/>
  <c r="K319" i="1"/>
  <c r="K180" i="1"/>
  <c r="J479" i="1"/>
  <c r="K559" i="1" s="1"/>
  <c r="I438" i="1"/>
  <c r="J215" i="1"/>
  <c r="H215" i="1" s="1"/>
  <c r="I359" i="1"/>
  <c r="I503" i="1"/>
  <c r="I191" i="1"/>
  <c r="J503" i="1"/>
  <c r="H503" i="1" s="1"/>
  <c r="I246" i="1"/>
  <c r="I150" i="1"/>
  <c r="I479" i="1"/>
  <c r="I204" i="1"/>
  <c r="I151" i="1"/>
  <c r="H12" i="1"/>
  <c r="J261" i="1"/>
  <c r="K269" i="1" s="1"/>
  <c r="I141" i="1"/>
  <c r="J458" i="1"/>
  <c r="H9" i="1"/>
  <c r="I189" i="1"/>
  <c r="I328" i="1"/>
  <c r="J189" i="1"/>
  <c r="H189" i="1" s="1"/>
  <c r="J69" i="1"/>
  <c r="K83" i="1" s="1"/>
  <c r="I232" i="1"/>
  <c r="J496" i="1"/>
  <c r="H496" i="1" s="1"/>
  <c r="I182" i="1"/>
  <c r="K552" i="1"/>
  <c r="J544" i="1"/>
  <c r="H544" i="1" s="1"/>
  <c r="K362" i="1"/>
  <c r="K482" i="1"/>
  <c r="J256" i="1"/>
  <c r="H256" i="1" s="1"/>
  <c r="K237" i="1"/>
  <c r="J79" i="1"/>
  <c r="H79" i="1" s="1"/>
  <c r="K448" i="1"/>
  <c r="I408" i="1"/>
  <c r="J314" i="1"/>
  <c r="H314" i="1" s="1"/>
  <c r="K242" i="1"/>
  <c r="K208" i="1"/>
  <c r="I568" i="1"/>
  <c r="I160" i="1"/>
  <c r="I592" i="1"/>
  <c r="I506" i="1"/>
  <c r="K115" i="1"/>
  <c r="J472" i="1"/>
  <c r="H472" i="1" s="1"/>
  <c r="I554" i="1"/>
  <c r="K194" i="1"/>
  <c r="K232" i="1"/>
  <c r="K496" i="1"/>
  <c r="J170" i="1"/>
  <c r="H170" i="1" s="1"/>
  <c r="J182" i="1"/>
  <c r="H182" i="1" s="1"/>
  <c r="I7" i="1"/>
  <c r="K544" i="1"/>
  <c r="I26" i="1"/>
  <c r="I309" i="1"/>
  <c r="J276" i="1"/>
  <c r="H276" i="1" s="1"/>
  <c r="I110" i="1"/>
  <c r="J98" i="1"/>
  <c r="H98" i="1" s="1"/>
  <c r="K79" i="1"/>
  <c r="I542" i="1"/>
  <c r="J408" i="1"/>
  <c r="H408" i="1" s="1"/>
  <c r="I400" i="1"/>
  <c r="K314" i="1"/>
  <c r="J280" i="1"/>
  <c r="H280" i="1" s="1"/>
  <c r="J592" i="1"/>
  <c r="H592" i="1" s="1"/>
  <c r="J506" i="1"/>
  <c r="H506" i="1" s="1"/>
  <c r="J74" i="1"/>
  <c r="H74" i="1" s="1"/>
  <c r="K472" i="1"/>
  <c r="I69" i="1"/>
  <c r="J93" i="1"/>
  <c r="H93" i="1" s="1"/>
  <c r="J141" i="1"/>
  <c r="K148" i="1" s="1"/>
  <c r="K554" i="1"/>
  <c r="K458" i="1"/>
  <c r="I218" i="1"/>
  <c r="K170" i="1"/>
  <c r="J7" i="1"/>
  <c r="H7" i="1" s="1"/>
  <c r="K588" i="1"/>
  <c r="I552" i="1"/>
  <c r="J136" i="1"/>
  <c r="H136" i="1" s="1"/>
  <c r="I362" i="1"/>
  <c r="J434" i="1"/>
  <c r="H434" i="1" s="1"/>
  <c r="I482" i="1"/>
  <c r="J309" i="1"/>
  <c r="H309" i="1" s="1"/>
  <c r="K204" i="1"/>
  <c r="J110" i="1"/>
  <c r="H110" i="1" s="1"/>
  <c r="I98" i="1"/>
  <c r="K45" i="1"/>
  <c r="I448" i="1"/>
  <c r="I117" i="1"/>
  <c r="J542" i="1"/>
  <c r="J400" i="1"/>
  <c r="H400" i="1" s="1"/>
  <c r="K280" i="1"/>
  <c r="K261" i="1"/>
  <c r="J122" i="1"/>
  <c r="H122" i="1" s="1"/>
  <c r="J115" i="1"/>
  <c r="H115" i="1" s="1"/>
  <c r="J50" i="1"/>
  <c r="H50" i="1" s="1"/>
  <c r="I600" i="1"/>
  <c r="J43" i="1"/>
  <c r="H43" i="1" s="1"/>
  <c r="J540" i="1"/>
  <c r="H540" i="1" s="1"/>
  <c r="J194" i="1"/>
  <c r="H194" i="1" s="1"/>
  <c r="I285" i="1"/>
  <c r="K136" i="1"/>
  <c r="K434" i="1"/>
  <c r="J117" i="1"/>
  <c r="H117" i="1" s="1"/>
  <c r="J242" i="1"/>
  <c r="H242" i="1" s="1"/>
  <c r="J208" i="1"/>
  <c r="H208" i="1" s="1"/>
  <c r="K50" i="1"/>
  <c r="J600" i="1"/>
  <c r="K304" i="1"/>
  <c r="K384" i="1"/>
  <c r="K609" i="1"/>
  <c r="I609" i="1"/>
  <c r="J507" i="1"/>
  <c r="I507" i="1"/>
  <c r="K315" i="1"/>
  <c r="J315" i="1"/>
  <c r="H315" i="1" s="1"/>
  <c r="I315" i="1"/>
  <c r="J475" i="1"/>
  <c r="H475" i="1" s="1"/>
  <c r="K252" i="1"/>
  <c r="J102" i="1"/>
  <c r="H102" i="1" s="1"/>
  <c r="K102" i="1"/>
  <c r="J530" i="1"/>
  <c r="H530" i="1" s="1"/>
  <c r="J165" i="1"/>
  <c r="H165" i="1" s="1"/>
  <c r="K475" i="1"/>
  <c r="I103" i="1"/>
  <c r="J564" i="1"/>
  <c r="H564" i="1" s="1"/>
  <c r="I386" i="1"/>
  <c r="J18" i="1"/>
  <c r="K322" i="1" s="1"/>
  <c r="J318" i="1"/>
  <c r="H318" i="1" s="1"/>
  <c r="I127" i="1"/>
  <c r="J285" i="1"/>
  <c r="K311" i="1" s="1"/>
  <c r="J495" i="1"/>
  <c r="H495" i="1" s="1"/>
  <c r="I495" i="1"/>
  <c r="J290" i="1"/>
  <c r="H290" i="1" s="1"/>
  <c r="I530" i="1"/>
  <c r="K165" i="1"/>
  <c r="K283" i="1"/>
  <c r="K103" i="1"/>
  <c r="K564" i="1"/>
  <c r="J386" i="1"/>
  <c r="H386" i="1" s="1"/>
  <c r="K239" i="1"/>
  <c r="J534" i="1"/>
  <c r="H534" i="1" s="1"/>
  <c r="J174" i="1"/>
  <c r="H174" i="1" s="1"/>
  <c r="J127" i="1"/>
  <c r="K156" i="1" s="1"/>
  <c r="I477" i="1"/>
  <c r="J303" i="1"/>
  <c r="H303" i="1" s="1"/>
  <c r="I303" i="1"/>
  <c r="I135" i="1"/>
  <c r="J135" i="1"/>
  <c r="H135" i="1" s="1"/>
  <c r="I483" i="1"/>
  <c r="K483" i="1"/>
  <c r="J483" i="1"/>
  <c r="H483" i="1" s="1"/>
  <c r="J78" i="1"/>
  <c r="H78" i="1" s="1"/>
  <c r="K78" i="1"/>
  <c r="I290" i="1"/>
  <c r="J138" i="1"/>
  <c r="J283" i="1"/>
  <c r="H283" i="1" s="1"/>
  <c r="I357" i="1"/>
  <c r="J477" i="1"/>
  <c r="H477" i="1" s="1"/>
  <c r="J66" i="1"/>
  <c r="H66" i="1" s="1"/>
  <c r="I122" i="1"/>
  <c r="I213" i="1"/>
  <c r="I23" i="1"/>
  <c r="J114" i="1"/>
  <c r="H114" i="1" s="1"/>
  <c r="I405" i="1"/>
  <c r="J357" i="1"/>
  <c r="H357" i="1" s="1"/>
  <c r="J471" i="1"/>
  <c r="H471" i="1" s="1"/>
  <c r="I471" i="1"/>
  <c r="J54" i="1"/>
  <c r="H54" i="1" s="1"/>
  <c r="K54" i="1"/>
  <c r="J510" i="1"/>
  <c r="H510" i="1" s="1"/>
  <c r="J516" i="1"/>
  <c r="H516" i="1" s="1"/>
  <c r="I501" i="1"/>
  <c r="J23" i="1"/>
  <c r="H23" i="1" s="1"/>
  <c r="J405" i="1"/>
  <c r="H405" i="1" s="1"/>
  <c r="J450" i="1"/>
  <c r="H450" i="1" s="1"/>
  <c r="J279" i="1"/>
  <c r="K350" i="1" s="1"/>
  <c r="I279" i="1"/>
  <c r="I111" i="1"/>
  <c r="J111" i="1"/>
  <c r="H111" i="1" s="1"/>
  <c r="K459" i="1"/>
  <c r="J459" i="1"/>
  <c r="H459" i="1" s="1"/>
  <c r="I459" i="1"/>
  <c r="K495" i="1"/>
  <c r="J21" i="1"/>
  <c r="H21" i="1" s="1"/>
  <c r="J316" i="1"/>
  <c r="H316" i="1" s="1"/>
  <c r="I45" i="1"/>
  <c r="J501" i="1"/>
  <c r="H501" i="1" s="1"/>
  <c r="K215" i="1"/>
  <c r="I453" i="1"/>
  <c r="J213" i="1"/>
  <c r="H213" i="1" s="1"/>
  <c r="J606" i="1"/>
  <c r="H606" i="1" s="1"/>
  <c r="J258" i="1"/>
  <c r="H258" i="1" s="1"/>
  <c r="K30" i="1"/>
  <c r="J30" i="1"/>
  <c r="K471" i="1"/>
  <c r="J302" i="1"/>
  <c r="H302" i="1" s="1"/>
  <c r="J270" i="1"/>
  <c r="H270" i="1" s="1"/>
  <c r="J342" i="1"/>
  <c r="H342" i="1" s="1"/>
  <c r="J594" i="1"/>
  <c r="H594" i="1" s="1"/>
  <c r="J453" i="1"/>
  <c r="K494" i="1" s="1"/>
  <c r="I480" i="1"/>
  <c r="J86" i="1"/>
  <c r="K97" i="1" s="1"/>
  <c r="J378" i="1"/>
  <c r="H378" i="1" s="1"/>
  <c r="J447" i="1"/>
  <c r="H447" i="1" s="1"/>
  <c r="I447" i="1"/>
  <c r="K447" i="1"/>
  <c r="I302" i="1"/>
  <c r="I78" i="1"/>
  <c r="J474" i="1"/>
  <c r="H474" i="1" s="1"/>
  <c r="J480" i="1"/>
  <c r="H480" i="1" s="1"/>
  <c r="J186" i="1"/>
  <c r="H186" i="1" s="1"/>
  <c r="J17" i="1"/>
  <c r="H17" i="1" s="1"/>
  <c r="I86" i="1"/>
  <c r="I255" i="1"/>
  <c r="J255" i="1"/>
  <c r="H255" i="1" s="1"/>
  <c r="J87" i="1"/>
  <c r="H87" i="1" s="1"/>
  <c r="I87" i="1"/>
  <c r="K435" i="1"/>
  <c r="J435" i="1"/>
  <c r="H435" i="1" s="1"/>
  <c r="I435" i="1"/>
  <c r="J6" i="1"/>
  <c r="K37" i="1" s="1"/>
  <c r="K6" i="1"/>
  <c r="I256" i="1"/>
  <c r="K163" i="1"/>
  <c r="J426" i="1"/>
  <c r="H426" i="1" s="1"/>
  <c r="I102" i="1"/>
  <c r="I30" i="1"/>
  <c r="K17" i="1"/>
  <c r="I424" i="1"/>
  <c r="J246" i="1"/>
  <c r="H246" i="1" s="1"/>
  <c r="I112" i="1"/>
  <c r="J390" i="1"/>
  <c r="K453" i="1" s="1"/>
  <c r="J282" i="1"/>
  <c r="H282" i="1" s="1"/>
  <c r="J468" i="1"/>
  <c r="H468" i="1" s="1"/>
  <c r="J84" i="1"/>
  <c r="H84" i="1" s="1"/>
  <c r="I494" i="1"/>
  <c r="J163" i="1"/>
  <c r="H163" i="1" s="1"/>
  <c r="J294" i="1"/>
  <c r="H294" i="1" s="1"/>
  <c r="J366" i="1"/>
  <c r="H366" i="1" s="1"/>
  <c r="K292" i="1"/>
  <c r="J424" i="1"/>
  <c r="H424" i="1" s="1"/>
  <c r="J546" i="1"/>
  <c r="H546" i="1" s="1"/>
  <c r="J112" i="1"/>
  <c r="H112" i="1" s="1"/>
  <c r="K383" i="1"/>
  <c r="J423" i="1"/>
  <c r="H423" i="1" s="1"/>
  <c r="I423" i="1"/>
  <c r="J494" i="1"/>
  <c r="I16" i="1"/>
  <c r="J231" i="1"/>
  <c r="H231" i="1" s="1"/>
  <c r="I231" i="1"/>
  <c r="J63" i="1"/>
  <c r="H63" i="1" s="1"/>
  <c r="I63" i="1"/>
  <c r="I412" i="1"/>
  <c r="I603" i="1"/>
  <c r="K603" i="1"/>
  <c r="J603" i="1"/>
  <c r="H603" i="1" s="1"/>
  <c r="I411" i="1"/>
  <c r="K411" i="1"/>
  <c r="J411" i="1"/>
  <c r="H411" i="1" s="1"/>
  <c r="I71" i="1"/>
  <c r="I415" i="1"/>
  <c r="J144" i="1"/>
  <c r="H144" i="1" s="1"/>
  <c r="I456" i="1"/>
  <c r="J328" i="1"/>
  <c r="H328" i="1" s="1"/>
  <c r="J162" i="1"/>
  <c r="H162" i="1" s="1"/>
  <c r="J568" i="1"/>
  <c r="H568" i="1" s="1"/>
  <c r="I95" i="1"/>
  <c r="K74" i="1"/>
  <c r="J486" i="1"/>
  <c r="H486" i="1" s="1"/>
  <c r="J120" i="1"/>
  <c r="H120" i="1" s="1"/>
  <c r="J266" i="1"/>
  <c r="H266" i="1" s="1"/>
  <c r="J16" i="1"/>
  <c r="H16" i="1" s="1"/>
  <c r="I54" i="1"/>
  <c r="I402" i="1"/>
  <c r="J71" i="1"/>
  <c r="H71" i="1" s="1"/>
  <c r="K604" i="1"/>
  <c r="J230" i="1"/>
  <c r="H230" i="1" s="1"/>
  <c r="J415" i="1"/>
  <c r="H415" i="1" s="1"/>
  <c r="K144" i="1"/>
  <c r="J456" i="1"/>
  <c r="H456" i="1" s="1"/>
  <c r="J414" i="1"/>
  <c r="K443" i="1" s="1"/>
  <c r="J95" i="1"/>
  <c r="H95" i="1" s="1"/>
  <c r="K120" i="1"/>
  <c r="I266" i="1"/>
  <c r="I312" i="1"/>
  <c r="I525" i="1"/>
  <c r="J28" i="1"/>
  <c r="H28" i="1" s="1"/>
  <c r="I376" i="1"/>
  <c r="J591" i="1"/>
  <c r="H591" i="1" s="1"/>
  <c r="I591" i="1"/>
  <c r="J399" i="1"/>
  <c r="H399" i="1" s="1"/>
  <c r="I399" i="1"/>
  <c r="K303" i="1"/>
  <c r="J218" i="1"/>
  <c r="K260" i="1" s="1"/>
  <c r="I230" i="1"/>
  <c r="I429" i="1"/>
  <c r="J438" i="1"/>
  <c r="K466" i="1" s="1"/>
  <c r="I352" i="1"/>
  <c r="J24" i="1"/>
  <c r="H24" i="1" s="1"/>
  <c r="J312" i="1"/>
  <c r="H312" i="1" s="1"/>
  <c r="I55" i="1"/>
  <c r="J525" i="1"/>
  <c r="H525" i="1" s="1"/>
  <c r="J376" i="1"/>
  <c r="H376" i="1" s="1"/>
  <c r="J39" i="1"/>
  <c r="I39" i="1"/>
  <c r="I579" i="1"/>
  <c r="K579" i="1"/>
  <c r="J579" i="1"/>
  <c r="H579" i="1" s="1"/>
  <c r="K387" i="1"/>
  <c r="J387" i="1"/>
  <c r="H387" i="1" s="1"/>
  <c r="I387" i="1"/>
  <c r="K279" i="1"/>
  <c r="J429" i="1"/>
  <c r="H429" i="1" s="1"/>
  <c r="J198" i="1"/>
  <c r="H198" i="1" s="1"/>
  <c r="I381" i="1"/>
  <c r="J522" i="1"/>
  <c r="H522" i="1" s="1"/>
  <c r="I549" i="1"/>
  <c r="J222" i="1"/>
  <c r="H222" i="1" s="1"/>
  <c r="J352" i="1"/>
  <c r="H352" i="1" s="1"/>
  <c r="I432" i="1"/>
  <c r="I24" i="1"/>
  <c r="I252" i="1"/>
  <c r="J55" i="1"/>
  <c r="H55" i="1" s="1"/>
  <c r="I597" i="1"/>
  <c r="J207" i="1"/>
  <c r="H207" i="1" s="1"/>
  <c r="I207" i="1"/>
  <c r="J383" i="1"/>
  <c r="H383" i="1" s="1"/>
  <c r="K255" i="1"/>
  <c r="I237" i="1"/>
  <c r="I84" i="1"/>
  <c r="J381" i="1"/>
  <c r="H381" i="1" s="1"/>
  <c r="J549" i="1"/>
  <c r="H549" i="1" s="1"/>
  <c r="J570" i="1"/>
  <c r="H570" i="1" s="1"/>
  <c r="J432" i="1"/>
  <c r="H432" i="1" s="1"/>
  <c r="I93" i="1"/>
  <c r="J597" i="1"/>
  <c r="H597" i="1" s="1"/>
  <c r="J330" i="1"/>
  <c r="H330" i="1" s="1"/>
  <c r="I567" i="1"/>
  <c r="J567" i="1"/>
  <c r="H567" i="1" s="1"/>
  <c r="J375" i="1"/>
  <c r="H375" i="1" s="1"/>
  <c r="I375" i="1"/>
  <c r="K231" i="1"/>
  <c r="J558" i="1"/>
  <c r="H558" i="1" s="1"/>
  <c r="J402" i="1"/>
  <c r="H402" i="1" s="1"/>
  <c r="I336" i="1"/>
  <c r="J150" i="1"/>
  <c r="H150" i="1" s="1"/>
  <c r="J4" i="1"/>
  <c r="H4" i="1" s="1"/>
  <c r="J306" i="1"/>
  <c r="H306" i="1" s="1"/>
  <c r="I555" i="1"/>
  <c r="K555" i="1"/>
  <c r="J555" i="1"/>
  <c r="K363" i="1"/>
  <c r="J363" i="1"/>
  <c r="H363" i="1" s="1"/>
  <c r="I363" i="1"/>
  <c r="K207" i="1"/>
  <c r="J336" i="1"/>
  <c r="H336" i="1" s="1"/>
  <c r="J462" i="1"/>
  <c r="K498" i="1" s="1"/>
  <c r="I64" i="1"/>
  <c r="J234" i="1"/>
  <c r="I576" i="1"/>
  <c r="J146" i="1"/>
  <c r="H146" i="1" s="1"/>
  <c r="I47" i="1"/>
  <c r="I354" i="1"/>
  <c r="I15" i="1"/>
  <c r="J15" i="1"/>
  <c r="H15" i="1" s="1"/>
  <c r="I184" i="1"/>
  <c r="J151" i="1"/>
  <c r="K164" i="1" s="1"/>
  <c r="I573" i="1"/>
  <c r="I333" i="1"/>
  <c r="J160" i="1"/>
  <c r="H160" i="1" s="1"/>
  <c r="I134" i="1"/>
  <c r="I338" i="1"/>
  <c r="J576" i="1"/>
  <c r="H576" i="1" s="1"/>
  <c r="I146" i="1"/>
  <c r="J498" i="1"/>
  <c r="K507" i="1" s="1"/>
  <c r="J47" i="1"/>
  <c r="K141" i="1" s="1"/>
  <c r="I410" i="1"/>
  <c r="I180" i="1"/>
  <c r="I543" i="1"/>
  <c r="J543" i="1"/>
  <c r="H543" i="1" s="1"/>
  <c r="J351" i="1"/>
  <c r="H351" i="1" s="1"/>
  <c r="I351" i="1"/>
  <c r="J183" i="1"/>
  <c r="H183" i="1" s="1"/>
  <c r="I183" i="1"/>
  <c r="I534" i="1"/>
  <c r="J184" i="1"/>
  <c r="H184" i="1" s="1"/>
  <c r="J573" i="1"/>
  <c r="H573" i="1" s="1"/>
  <c r="J26" i="1"/>
  <c r="H26" i="1" s="1"/>
  <c r="J211" i="1"/>
  <c r="H211" i="1" s="1"/>
  <c r="J38" i="1"/>
  <c r="H38" i="1" s="1"/>
  <c r="J210" i="1"/>
  <c r="H210" i="1" s="1"/>
  <c r="J354" i="1"/>
  <c r="H354" i="1" s="1"/>
  <c r="J64" i="1"/>
  <c r="H64" i="1" s="1"/>
  <c r="I6" i="1"/>
  <c r="I520" i="1"/>
  <c r="J333" i="1"/>
  <c r="H333" i="1" s="1"/>
  <c r="J134" i="1"/>
  <c r="H134" i="1" s="1"/>
  <c r="J338" i="1"/>
  <c r="H338" i="1" s="1"/>
  <c r="J240" i="1"/>
  <c r="H240" i="1" s="1"/>
  <c r="J410" i="1"/>
  <c r="H410" i="1" s="1"/>
  <c r="J582" i="1"/>
  <c r="H582" i="1" s="1"/>
  <c r="K4" i="1"/>
  <c r="I531" i="1"/>
  <c r="K531" i="1"/>
  <c r="J531" i="1"/>
  <c r="H531" i="1" s="1"/>
  <c r="K339" i="1"/>
  <c r="J339" i="1"/>
  <c r="H339" i="1" s="1"/>
  <c r="I339" i="1"/>
  <c r="K591" i="1"/>
  <c r="K135" i="1"/>
  <c r="K211" i="1"/>
  <c r="I38" i="1"/>
  <c r="J520" i="1"/>
  <c r="H520" i="1" s="1"/>
  <c r="J42" i="1"/>
  <c r="H42" i="1" s="1"/>
  <c r="I304" i="1"/>
  <c r="K240" i="1"/>
  <c r="I330" i="1"/>
  <c r="I162" i="1"/>
  <c r="J126" i="1"/>
  <c r="H126" i="1" s="1"/>
  <c r="K126" i="1"/>
  <c r="K111" i="1"/>
  <c r="I384" i="1"/>
  <c r="I519" i="1"/>
  <c r="J519" i="1"/>
  <c r="H519" i="1" s="1"/>
  <c r="J327" i="1"/>
  <c r="H327" i="1" s="1"/>
  <c r="I327" i="1"/>
  <c r="J159" i="1"/>
  <c r="K169" i="1" s="1"/>
  <c r="I159" i="1"/>
  <c r="K87" i="1"/>
  <c r="J90" i="1"/>
  <c r="H90" i="1" s="1"/>
  <c r="I3" i="1"/>
  <c r="J3" i="1"/>
  <c r="H3" i="1" s="1"/>
  <c r="J2" i="1"/>
  <c r="H2" i="1" s="1"/>
  <c r="K2" i="1"/>
  <c r="H192" i="1" l="1"/>
  <c r="K218" i="1"/>
  <c r="H600" i="1"/>
  <c r="H555" i="1"/>
  <c r="H542" i="1"/>
  <c r="H507" i="1"/>
  <c r="K504" i="1"/>
  <c r="H498" i="1"/>
  <c r="H494" i="1"/>
  <c r="H479" i="1"/>
  <c r="H462" i="1"/>
  <c r="H458" i="1"/>
  <c r="H453" i="1"/>
  <c r="H438" i="1"/>
  <c r="H414" i="1"/>
  <c r="H390" i="1"/>
  <c r="H285" i="1"/>
  <c r="H279" i="1"/>
  <c r="H261" i="1"/>
  <c r="H234" i="1"/>
  <c r="H218" i="1"/>
  <c r="H151" i="1"/>
  <c r="H141" i="1"/>
  <c r="H138" i="1"/>
  <c r="H127" i="1"/>
  <c r="H69" i="1"/>
  <c r="H47" i="1"/>
  <c r="H30" i="1"/>
  <c r="K44" i="1"/>
  <c r="H39" i="1"/>
  <c r="H6" i="1"/>
</calcChain>
</file>

<file path=xl/sharedStrings.xml><?xml version="1.0" encoding="utf-8"?>
<sst xmlns="http://schemas.openxmlformats.org/spreadsheetml/2006/main" count="1212" uniqueCount="232">
  <si>
    <t>WORD</t>
  </si>
  <si>
    <t>GR</t>
  </si>
  <si>
    <t>NP_TYPE</t>
  </si>
  <si>
    <t>REF_AUTO</t>
  </si>
  <si>
    <t>COREF</t>
  </si>
  <si>
    <t>REF</t>
  </si>
  <si>
    <t>IS</t>
  </si>
  <si>
    <t>CB</t>
  </si>
  <si>
    <t>GR_ANTE</t>
  </si>
  <si>
    <t>REF_DIST</t>
  </si>
  <si>
    <t>REF_DIST_ANTE</t>
  </si>
  <si>
    <t>COMMENT</t>
  </si>
  <si>
    <t># text = In the beginning God created the heavens and the earth.</t>
  </si>
  <si>
    <t>In</t>
  </si>
  <si>
    <t>the</t>
  </si>
  <si>
    <t>beginning</t>
  </si>
  <si>
    <t>God</t>
  </si>
  <si>
    <t>SBJ</t>
  </si>
  <si>
    <t>ne</t>
  </si>
  <si>
    <t>?OLD</t>
  </si>
  <si>
    <t>created</t>
  </si>
  <si>
    <t>heavens</t>
  </si>
  <si>
    <t>OBJ</t>
  </si>
  <si>
    <t>def-np.the</t>
  </si>
  <si>
    <t>and</t>
  </si>
  <si>
    <t>earth</t>
  </si>
  <si>
    <t>other_2</t>
  </si>
  <si>
    <t>.</t>
  </si>
  <si>
    <t># text = Now the earth was formless and empty.</t>
  </si>
  <si>
    <t>Now</t>
  </si>
  <si>
    <t>was</t>
  </si>
  <si>
    <t>formless</t>
  </si>
  <si>
    <t>empty</t>
  </si>
  <si>
    <t># text = Darkness was on the surface of the deep.</t>
  </si>
  <si>
    <t>Darkness</t>
  </si>
  <si>
    <t>indef-np.bare</t>
  </si>
  <si>
    <t>on</t>
  </si>
  <si>
    <t>surface</t>
  </si>
  <si>
    <t>other</t>
  </si>
  <si>
    <t>of</t>
  </si>
  <si>
    <t>deep</t>
  </si>
  <si>
    <t># text = God's Spirit was hovering over the surface of the waters.</t>
  </si>
  <si>
    <t>'s</t>
  </si>
  <si>
    <t>Spirit</t>
  </si>
  <si>
    <t>hovering</t>
  </si>
  <si>
    <t>over</t>
  </si>
  <si>
    <t>waters</t>
  </si>
  <si>
    <t>--</t>
  </si>
  <si>
    <t># text = God said, \"Let there be light,\" and there was light.</t>
  </si>
  <si>
    <t>said</t>
  </si>
  <si>
    <t>,</t>
  </si>
  <si>
    <t>&amp;quot;</t>
  </si>
  <si>
    <t>Let</t>
  </si>
  <si>
    <t>there</t>
  </si>
  <si>
    <t>OBJ_2</t>
  </si>
  <si>
    <t>pron</t>
  </si>
  <si>
    <t>be</t>
  </si>
  <si>
    <t>light</t>
  </si>
  <si>
    <t>SBJ_2</t>
  </si>
  <si>
    <t># text = God saw the light, and saw that it was good.</t>
  </si>
  <si>
    <t>saw</t>
  </si>
  <si>
    <t>that</t>
  </si>
  <si>
    <t>it</t>
  </si>
  <si>
    <t>SBJ_3</t>
  </si>
  <si>
    <t>pron.pper</t>
  </si>
  <si>
    <t>good</t>
  </si>
  <si>
    <t># text = God divided the light from the darkness.</t>
  </si>
  <si>
    <t>divided</t>
  </si>
  <si>
    <t>from</t>
  </si>
  <si>
    <t>darkness</t>
  </si>
  <si>
    <t># text = God called the light "day," and the darkness he called "night."</t>
  </si>
  <si>
    <t>called</t>
  </si>
  <si>
    <t>day</t>
  </si>
  <si>
    <t>he</t>
  </si>
  <si>
    <t>night</t>
  </si>
  <si>
    <t>other_3</t>
  </si>
  <si>
    <t># text = There was evening and there was morning, one day.</t>
  </si>
  <si>
    <t>There</t>
  </si>
  <si>
    <t>evening</t>
  </si>
  <si>
    <t>morning</t>
  </si>
  <si>
    <t>one</t>
  </si>
  <si>
    <t>other_4</t>
  </si>
  <si>
    <t>indef-np.quant</t>
  </si>
  <si>
    <t># text = God said, "Let there be an expanse in the middle of the waters, and let it divide the waters from the waters."</t>
  </si>
  <si>
    <t>an</t>
  </si>
  <si>
    <t>expanse</t>
  </si>
  <si>
    <t>indef-np.a</t>
  </si>
  <si>
    <t>in</t>
  </si>
  <si>
    <t>middle</t>
  </si>
  <si>
    <t>let</t>
  </si>
  <si>
    <t>divide</t>
  </si>
  <si>
    <t>OBJ_3</t>
  </si>
  <si>
    <t># text = God made the expanse, and divided the waters which were under the expanse from the waters which were above the expanse; and it was so.</t>
  </si>
  <si>
    <t>made</t>
  </si>
  <si>
    <t>which</t>
  </si>
  <si>
    <t>SBJ_4</t>
  </si>
  <si>
    <t>were</t>
  </si>
  <si>
    <t>under</t>
  </si>
  <si>
    <t>SBJ_6</t>
  </si>
  <si>
    <t>above</t>
  </si>
  <si>
    <t>other_5</t>
  </si>
  <si>
    <t>;</t>
  </si>
  <si>
    <t>so</t>
  </si>
  <si>
    <t># text = God called the expanse \"sky.\"</t>
  </si>
  <si>
    <t>sky</t>
  </si>
  <si>
    <t># text = There was evening and there was morning, a second day.</t>
  </si>
  <si>
    <t>a</t>
  </si>
  <si>
    <t>second</t>
  </si>
  <si>
    <t># text = God said, "Let the waters under the sky be gathered together to one place, and let the dry land appear;" and it was so.</t>
  </si>
  <si>
    <t>gathered</t>
  </si>
  <si>
    <t>together</t>
  </si>
  <si>
    <t>to</t>
  </si>
  <si>
    <t>place</t>
  </si>
  <si>
    <t>dry</t>
  </si>
  <si>
    <t>land</t>
  </si>
  <si>
    <t>appear</t>
  </si>
  <si>
    <t># text = God called the dry land "earth," and the gathering together of the waters he called "seas."</t>
  </si>
  <si>
    <t>gathering</t>
  </si>
  <si>
    <t>seas</t>
  </si>
  <si>
    <t># text = God saw that it was good.</t>
  </si>
  <si>
    <t># text = God said, "Let the earth put forth grass, herbs yielding seed, and fruit trees bearing fruit after their kind, with its seed in it, on the earth;" and it was so.</t>
  </si>
  <si>
    <t>put</t>
  </si>
  <si>
    <t>forth</t>
  </si>
  <si>
    <t>grass</t>
  </si>
  <si>
    <t>herbs</t>
  </si>
  <si>
    <t>yielding</t>
  </si>
  <si>
    <t>seed</t>
  </si>
  <si>
    <t>OBJ_6</t>
  </si>
  <si>
    <t>fruit</t>
  </si>
  <si>
    <t>trees</t>
  </si>
  <si>
    <t>bearing</t>
  </si>
  <si>
    <t>OBJ_5</t>
  </si>
  <si>
    <t>after</t>
  </si>
  <si>
    <t>their</t>
  </si>
  <si>
    <t>other_7</t>
  </si>
  <si>
    <t>pron.ppos</t>
  </si>
  <si>
    <t>kind</t>
  </si>
  <si>
    <t>other_6</t>
  </si>
  <si>
    <t>def-np.poss</t>
  </si>
  <si>
    <t>with</t>
  </si>
  <si>
    <t>its</t>
  </si>
  <si>
    <t>SBJ_8</t>
  </si>
  <si>
    <t>other_8</t>
  </si>
  <si>
    <t>SBJ_9</t>
  </si>
  <si>
    <t># text = The earth brought forth grass, herbs yielding seed after their kind, and trees bearing fruit, with its seed in it, after their kind; and God saw that it was good.</t>
  </si>
  <si>
    <t>The</t>
  </si>
  <si>
    <t>brought</t>
  </si>
  <si>
    <t>SBJ_5</t>
  </si>
  <si>
    <t># text = There was evening and there was morning, a third day.</t>
  </si>
  <si>
    <t>third</t>
  </si>
  <si>
    <t># text = God said, \"Let there be lights in the expanse of sky to divide the day from the night; and let them be for signs, and for seasons, and for days and years; and let them be for lights in the expanse of sky to give light on the earth;\" and it was so.</t>
  </si>
  <si>
    <t>lights</t>
  </si>
  <si>
    <t>them</t>
  </si>
  <si>
    <t>for</t>
  </si>
  <si>
    <t>signs</t>
  </si>
  <si>
    <t>seasons</t>
  </si>
  <si>
    <t>days</t>
  </si>
  <si>
    <t>years</t>
  </si>
  <si>
    <t>give</t>
  </si>
  <si>
    <t>OBJ_7</t>
  </si>
  <si>
    <t># text = God made the two great lights:</t>
  </si>
  <si>
    <t>two</t>
  </si>
  <si>
    <t>great</t>
  </si>
  <si>
    <t>def-np.quant</t>
  </si>
  <si>
    <t>:</t>
  </si>
  <si>
    <t># text = the greater light to rule the day, and the lesser light to rule the night.</t>
  </si>
  <si>
    <t>greater</t>
  </si>
  <si>
    <t>rule</t>
  </si>
  <si>
    <t>lesser</t>
  </si>
  <si>
    <t># text = He also made the stars.</t>
  </si>
  <si>
    <t>He</t>
  </si>
  <si>
    <t>also</t>
  </si>
  <si>
    <t>stars</t>
  </si>
  <si>
    <t># text = God set them in the expanse of sky to give light to the earth, and to rule over the day and over the night, and to divide the light from the darkness.</t>
  </si>
  <si>
    <t>set</t>
  </si>
  <si>
    <t># text = There was evening and there was morning, a fourth day.</t>
  </si>
  <si>
    <t>fourth</t>
  </si>
  <si>
    <t># text = God said, "Let the waters swarm with swarms of living creatures, and let birds fly above the earth in the open expanse of sky."</t>
  </si>
  <si>
    <t>swarm</t>
  </si>
  <si>
    <t>swarms</t>
  </si>
  <si>
    <t>living</t>
  </si>
  <si>
    <t>creatures</t>
  </si>
  <si>
    <t>birds</t>
  </si>
  <si>
    <t>fly</t>
  </si>
  <si>
    <t>open</t>
  </si>
  <si>
    <t># text = God created the large sea creatures, and every living creature that moves, with which the waters swarmed, after their kind, and every winged bird after its kind.</t>
  </si>
  <si>
    <t>large</t>
  </si>
  <si>
    <t>sea</t>
  </si>
  <si>
    <t>every</t>
  </si>
  <si>
    <t>creature</t>
  </si>
  <si>
    <t>indef-np</t>
  </si>
  <si>
    <t>moves</t>
  </si>
  <si>
    <t>swarmed</t>
  </si>
  <si>
    <t>winged</t>
  </si>
  <si>
    <t>bird</t>
  </si>
  <si>
    <t>OBJ_4</t>
  </si>
  <si>
    <t>brother</t>
  </si>
  <si>
    <t>end</t>
  </si>
  <si>
    <t>def-np.poss.other</t>
  </si>
  <si>
    <t xml:space="preserve">God </t>
  </si>
  <si>
    <t>REFERENTIAL</t>
  </si>
  <si>
    <t>Heavens</t>
  </si>
  <si>
    <t>Earth</t>
  </si>
  <si>
    <t>ACTIVATED</t>
  </si>
  <si>
    <t>Surface</t>
  </si>
  <si>
    <t>Deep</t>
  </si>
  <si>
    <t>FAMILIAR</t>
  </si>
  <si>
    <t>Waters</t>
  </si>
  <si>
    <t>IN_FOCUS</t>
  </si>
  <si>
    <t>Light</t>
  </si>
  <si>
    <t>Middle</t>
  </si>
  <si>
    <t>Expanse</t>
  </si>
  <si>
    <t xml:space="preserve">Non - refering expression / that god divided the waters which were under the expanse from the waters which where above the expanse </t>
  </si>
  <si>
    <t>Sky</t>
  </si>
  <si>
    <t>Appear</t>
  </si>
  <si>
    <t xml:space="preserve">Non - refering expression / that the waters under the sky were gathered together to one place, and the dry land appeared </t>
  </si>
  <si>
    <t xml:space="preserve">Earth </t>
  </si>
  <si>
    <t xml:space="preserve">Non - refering expression / calling the dry land earth and the gathering together of the waters seas </t>
  </si>
  <si>
    <t>Fruit</t>
  </si>
  <si>
    <t xml:space="preserve">Non - refering expression / the earth put forth grass, herbs yielding seed, and fruit trees bearing fruit after their kind, with its seed in it. </t>
  </si>
  <si>
    <t>Herbs</t>
  </si>
  <si>
    <t xml:space="preserve">Non - refering expression / the earth brought forth grass, herbs yielding seed after their kind, and trees bearing fruit, with its seed in it, after their kind. </t>
  </si>
  <si>
    <t>Day</t>
  </si>
  <si>
    <t>Night</t>
  </si>
  <si>
    <t>Lights</t>
  </si>
  <si>
    <t xml:space="preserve">Non - refering expression / that lights are in the sky to divide the day from the light; and let them be for signs, and for seasons, and for days and years; and let them be for lights in the expanse of sky to give light on the earth </t>
  </si>
  <si>
    <t>Stars</t>
  </si>
  <si>
    <t xml:space="preserve">Non - refering expression / setting them in the expanse of sky to give light to the earth, and to rule ober the day and over the night, and to divide the light from the darkness. </t>
  </si>
  <si>
    <t>Swarm</t>
  </si>
  <si>
    <t>Creatures</t>
  </si>
  <si>
    <t>Bird</t>
  </si>
  <si>
    <t xml:space="preserve">Non - refering expression / creating the large sea creatures, and every living creature that moves, with which th waters swarmed, after their kind, and every winged bird after its kind.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</si>
</sst>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610"/>
  <sheetViews>
    <sheetView tabSelected="1" zoomScaleNormal="100" workbookViewId="0">
      <pane xSplit="1" ySplit="1" topLeftCell="B577" activePane="bottomRight" state="frozen"/>
      <selection pane="topRight" activeCell="G1" sqref="G1"/>
      <selection pane="bottomLeft" activeCell="A2177" sqref="A2177"/>
      <selection pane="bottomRight" activeCell="H605" sqref="H605"/>
    </sheetView>
  </sheetViews>
  <sheetFormatPr baseColWidth="10" defaultColWidth="11.5" defaultRowHeight="13" x14ac:dyDescent="0.15"/>
  <cols>
    <col min="5" max="5" width="16.1640625" customWidth="1"/>
    <col min="9" max="10" width="11.5" hidden="1"/>
    <col min="11" max="11" width="18.83203125" hidden="1" customWidth="1"/>
    <col min="12" max="12" width="46.6640625" customWidth="1"/>
  </cols>
  <sheetData>
    <row r="1" spans="1:12" x14ac:dyDescent="0.15">
      <c r="A1" s="1" t="s">
        <v>0</v>
      </c>
      <c r="B1" s="1" t="s">
        <v>1</v>
      </c>
      <c r="C1" s="1" t="s">
        <v>2</v>
      </c>
      <c r="D1" s="1" t="s">
        <v>3</v>
      </c>
      <c r="E1" s="2" t="s">
        <v>4</v>
      </c>
      <c r="F1" s="3" t="s">
        <v>5</v>
      </c>
      <c r="G1" s="4" t="s">
        <v>6</v>
      </c>
      <c r="H1" s="5" t="s">
        <v>7</v>
      </c>
      <c r="I1" s="6" t="s">
        <v>8</v>
      </c>
      <c r="J1" s="7" t="s">
        <v>9</v>
      </c>
      <c r="K1" s="7" t="s">
        <v>10</v>
      </c>
      <c r="L1" s="8" t="s">
        <v>11</v>
      </c>
    </row>
    <row r="2" spans="1:12" x14ac:dyDescent="0.15">
      <c r="A2" s="16" t="s">
        <v>12</v>
      </c>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x14ac:dyDescent="0.15">
      <c r="A3" s="16" t="s">
        <v>13</v>
      </c>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x14ac:dyDescent="0.15">
      <c r="A4" s="16" t="s">
        <v>14</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x14ac:dyDescent="0.15">
      <c r="A5" s="16" t="s">
        <v>15</v>
      </c>
      <c r="E5" s="9" t="str">
        <f t="shared" si="0"/>
        <v/>
      </c>
      <c r="F5" s="10" t="str">
        <f>IF(OR(E5="",E5="!!!"),"",IF(NOT(ISNA(VLOOKUP(E5,E$1:E4,1,FALSE()))),"OLD",IF(AND(E5&lt;&gt;"",E5&lt;&gt;"!!!"),"NEW","")))</f>
        <v/>
      </c>
      <c r="G5" s="11" t="str">
        <f>IF(OR(E5="",E5="!!!"),"",IF(OR(J5=0,AND(J5=1,K5=1),AND(J5=1,I5="SBJ"),AND(J5=1,I5=0)),"?IN_FOCUS",IF(J5&lt;=2,"?ACTIVATED",IF(J5&lt;&gt;"","?FAMILIAR",IF(F5="NEW",IF(ISNA(VLOOKUP(E5,#REF!,1,FALSE())),"?TYPE_IDENTIFIABLE","?REFERENTIAL"),"_")))))</f>
        <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x14ac:dyDescent="0.15">
      <c r="A6" s="16" t="s">
        <v>16</v>
      </c>
      <c r="B6" t="s">
        <v>17</v>
      </c>
      <c r="C6" t="s">
        <v>18</v>
      </c>
      <c r="D6" t="s">
        <v>19</v>
      </c>
      <c r="E6" s="9" t="s">
        <v>199</v>
      </c>
      <c r="F6" s="10" t="str">
        <f>IF(OR(E6="",E6="!!!"),"",IF(NOT(ISNA(VLOOKUP(E6,E$1:E5,1,FALSE()))),"OLD",IF(AND(E6&lt;&gt;"",E6&lt;&gt;"!!!"),"NEW","")))</f>
        <v>NEW</v>
      </c>
      <c r="G6" s="11" t="s">
        <v>200</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x14ac:dyDescent="0.15">
      <c r="A7" s="16" t="s">
        <v>20</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x14ac:dyDescent="0.15">
      <c r="A8" s="16" t="s">
        <v>14</v>
      </c>
      <c r="E8" s="9" t="str">
        <f t="shared" si="0"/>
        <v/>
      </c>
      <c r="F8" s="10" t="str">
        <f>IF(OR(E8="",E8="!!!"),"",IF(NOT(ISNA(VLOOKUP(E8,E$1:E7,1,FALSE()))),"OLD",IF(AND(E8&lt;&gt;"",E8&lt;&gt;"!!!"),"NEW","")))</f>
        <v/>
      </c>
      <c r="G8" s="11" t="str">
        <f>IF(OR(E8="",E8="!!!"),"",IF(OR(J8=0,AND(J8=1,K8=1),AND(J8=1,I8="SBJ"),AND(J8=1,I8=0)),"?IN_FOCUS",IF(J8&lt;=2,"?ACTIVATED",IF(J8&lt;&gt;"","?FAMILIAR",IF(F8="NEW",IF(ISNA(VLOOKUP(E8,#REF!,1,FALSE())),"?TYPE_IDENTIFIABLE","?REFERENTIAL"),"_")))))</f>
        <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x14ac:dyDescent="0.15">
      <c r="A9" s="16" t="s">
        <v>21</v>
      </c>
      <c r="B9" t="s">
        <v>22</v>
      </c>
      <c r="C9" t="s">
        <v>23</v>
      </c>
      <c r="D9" t="s">
        <v>19</v>
      </c>
      <c r="E9" s="9" t="s">
        <v>201</v>
      </c>
      <c r="F9" s="10" t="str">
        <f>IF(OR(E9="",E9="!!!"),"",IF(NOT(ISNA(VLOOKUP(E9,E$1:E8,1,FALSE()))),"OLD",IF(AND(E9&lt;&gt;"",E9&lt;&gt;"!!!"),"NEW","")))</f>
        <v>NEW</v>
      </c>
      <c r="G9" s="11" t="s">
        <v>200</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x14ac:dyDescent="0.15">
      <c r="A10" s="16" t="s">
        <v>24</v>
      </c>
      <c r="E10" s="9" t="str">
        <f t="shared" si="0"/>
        <v/>
      </c>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x14ac:dyDescent="0.15">
      <c r="A11" s="16" t="s">
        <v>14</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x14ac:dyDescent="0.15">
      <c r="A12" s="16" t="s">
        <v>25</v>
      </c>
      <c r="B12" t="s">
        <v>26</v>
      </c>
      <c r="C12" t="s">
        <v>23</v>
      </c>
      <c r="D12" t="s">
        <v>19</v>
      </c>
      <c r="E12" s="9" t="s">
        <v>202</v>
      </c>
      <c r="F12" s="10" t="str">
        <f>IF(OR(E12="",E12="!!!"),"",IF(NOT(ISNA(VLOOKUP(E12,E$1:E11,1,FALSE()))),"OLD",IF(AND(E12&lt;&gt;"",E12&lt;&gt;"!!!"),"NEW","")))</f>
        <v>NEW</v>
      </c>
      <c r="G12" s="11" t="s">
        <v>200</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x14ac:dyDescent="0.15">
      <c r="A13" s="16" t="s">
        <v>27</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x14ac:dyDescent="0.15">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x14ac:dyDescent="0.15">
      <c r="A15" s="16" t="s">
        <v>28</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x14ac:dyDescent="0.15">
      <c r="A16" s="16" t="s">
        <v>29</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x14ac:dyDescent="0.15">
      <c r="A17" s="16" t="s">
        <v>14</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x14ac:dyDescent="0.15">
      <c r="A18" s="16" t="s">
        <v>25</v>
      </c>
      <c r="B18" t="s">
        <v>17</v>
      </c>
      <c r="C18" t="s">
        <v>23</v>
      </c>
      <c r="D18" t="s">
        <v>19</v>
      </c>
      <c r="E18" s="9" t="s">
        <v>202</v>
      </c>
      <c r="F18" s="10" t="str">
        <f>IF(OR(E18="",E18="!!!"),"",IF(NOT(ISNA(VLOOKUP(E18,E$1:E17,1,FALSE()))),"OLD",IF(AND(E18&lt;&gt;"",E18&lt;&gt;"!!!"),"NEW","")))</f>
        <v>OLD</v>
      </c>
      <c r="G18" s="11" t="s">
        <v>203</v>
      </c>
      <c r="H18" s="12" t="s">
        <v>7</v>
      </c>
      <c r="I18" s="13" t="str">
        <f>IF(OR(E18="",E18="!!!",F18="NEW"),"",INDEX(B$2:B17,-1+SUMPRODUCT(MAX(ROW(E$2:E17)*(E18=E$2:E17)))))</f>
        <v>other_2</v>
      </c>
      <c r="J18" s="14">
        <f ca="1">IF(OR(E18="",E18="!!!",F18="NEW"),"",COUNTBLANK(OFFSET(A$1,,,SUMPRODUCT(MAX(ROW(E$2:E18)*(E18=E$2:E18)))))-COUNTBLANK(OFFSET(A$1,,,SUMPRODUCT(MAX(ROW(E$1:E17)*(E18=E$1:E17))))))</f>
        <v>1</v>
      </c>
      <c r="K18" s="14" t="str">
        <f ca="1">IF(OR(E18="",E18="!!!",F18="NEW"),"",INDEX(J$1:J17,SUMPRODUCT(MAX(ROW(E$1:E17)*(E18=E$1:E17)))))</f>
        <v/>
      </c>
      <c r="L18" s="15"/>
    </row>
    <row r="19" spans="1:12" x14ac:dyDescent="0.15">
      <c r="A19" s="16" t="s">
        <v>30</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x14ac:dyDescent="0.15">
      <c r="A20" s="16" t="s">
        <v>31</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x14ac:dyDescent="0.15">
      <c r="A21" s="16" t="s">
        <v>24</v>
      </c>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x14ac:dyDescent="0.15">
      <c r="A22" s="16" t="s">
        <v>32</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x14ac:dyDescent="0.15">
      <c r="A23" s="16" t="s">
        <v>27</v>
      </c>
      <c r="E23" s="9" t="str">
        <f t="shared" si="0"/>
        <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x14ac:dyDescent="0.15">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x14ac:dyDescent="0.15">
      <c r="A25" s="16" t="s">
        <v>33</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x14ac:dyDescent="0.15">
      <c r="A26" s="16" t="s">
        <v>34</v>
      </c>
      <c r="B26" t="s">
        <v>17</v>
      </c>
      <c r="C26" t="s">
        <v>35</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x14ac:dyDescent="0.15">
      <c r="A27" s="16" t="s">
        <v>30</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x14ac:dyDescent="0.15">
      <c r="A28" s="16" t="s">
        <v>36</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ca="1" si="1"/>
        <v/>
      </c>
      <c r="I28" s="13" t="str">
        <f>IF(OR(E28="",E28="!!!",F28="NEW"),"",INDEX(B$2:B27,-1+SUMPRODUCT(MAX(ROW(E$2:E27)*(E28=E$2:E27)))))</f>
        <v/>
      </c>
      <c r="J28" s="14" t="str">
        <f ca="1">IF(OR(E28="",E28="!!!",F28="NEW"),"",COUNTBLANK(OFFSET(A$1,,,SUMPRODUCT(MAX(ROW(E$2:E28)*(E28=E$2:E28)))))-COUNTBLANK(OFFSET(A$1,,,SUMPRODUCT(MAX(ROW(E$1:E27)*(E28=E$1:E27))))))</f>
        <v/>
      </c>
      <c r="K28" s="14" t="str">
        <f>IF(OR(E28="",E28="!!!",F28="NEW"),"",INDEX(J$1:J27,SUMPRODUCT(MAX(ROW(E$1:E27)*(E28=E$1:E27)))))</f>
        <v/>
      </c>
      <c r="L28" s="15"/>
    </row>
    <row r="29" spans="1:12" x14ac:dyDescent="0.15">
      <c r="A29" s="16" t="s">
        <v>14</v>
      </c>
      <c r="E29" s="9" t="str">
        <f t="shared" si="0"/>
        <v/>
      </c>
      <c r="F29" s="10" t="str">
        <f>IF(OR(E29="",E29="!!!"),"",IF(NOT(ISNA(VLOOKUP(E29,E$1:E28,1,FALSE()))),"OLD",IF(AND(E29&lt;&gt;"",E29&lt;&gt;"!!!"),"NEW","")))</f>
        <v/>
      </c>
      <c r="G29" s="11" t="str">
        <f>IF(OR(E29="",E29="!!!"),"",IF(OR(J29=0,AND(J29=1,K29=1),AND(J29=1,I29="SBJ"),AND(J29=1,I29=0)),"?IN_FOCUS",IF(J29&lt;=2,"?ACTIVATED",IF(J29&lt;&gt;"","?FAMILIAR",IF(F29="NEW",IF(ISNA(VLOOKUP(E29,#REF!,1,FALSE())),"?TYPE_IDENTIFIABLE","?REFERENTIAL"),"_")))))</f>
        <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x14ac:dyDescent="0.15">
      <c r="A30" s="16" t="s">
        <v>37</v>
      </c>
      <c r="B30" t="s">
        <v>38</v>
      </c>
      <c r="C30" t="s">
        <v>23</v>
      </c>
      <c r="D30" t="s">
        <v>19</v>
      </c>
      <c r="E30" s="9" t="s">
        <v>204</v>
      </c>
      <c r="F30" s="10" t="str">
        <f>IF(OR(E30="",E30="!!!"),"",IF(NOT(ISNA(VLOOKUP(E30,E$1:E29,1,FALSE()))),"OLD",IF(AND(E30&lt;&gt;"",E30&lt;&gt;"!!!"),"NEW","")))</f>
        <v>NEW</v>
      </c>
      <c r="G30" s="11" t="s">
        <v>200</v>
      </c>
      <c r="H30" s="12" t="str">
        <f t="shared" ca="1" si="1"/>
        <v/>
      </c>
      <c r="I30" s="13" t="str">
        <f>IF(OR(E30="",E30="!!!",F30="NEW"),"",INDEX(B$2:B29,-1+SUMPRODUCT(MAX(ROW(E$2:E29)*(E30=E$2:E29)))))</f>
        <v/>
      </c>
      <c r="J30" s="14" t="str">
        <f ca="1">IF(OR(E30="",E30="!!!",F30="NEW"),"",COUNTBLANK(OFFSET(A$1,,,SUMPRODUCT(MAX(ROW(E$2:E30)*(E30=E$2:E30)))))-COUNTBLANK(OFFSET(A$1,,,SUMPRODUCT(MAX(ROW(E$1:E29)*(E30=E$1:E29))))))</f>
        <v/>
      </c>
      <c r="K30" s="14" t="str">
        <f>IF(OR(E30="",E30="!!!",F30="NEW"),"",INDEX(J$1:J29,SUMPRODUCT(MAX(ROW(E$1:E29)*(E30=E$1:E29)))))</f>
        <v/>
      </c>
      <c r="L30" s="15"/>
    </row>
    <row r="31" spans="1:12" x14ac:dyDescent="0.15">
      <c r="A31" s="16" t="s">
        <v>39</v>
      </c>
      <c r="E31" s="9" t="str">
        <f t="shared" si="0"/>
        <v/>
      </c>
      <c r="F31" s="10" t="str">
        <f>IF(OR(E31="",E31="!!!"),"",IF(NOT(ISNA(VLOOKUP(E31,E$1:E30,1,FALSE()))),"OLD",IF(AND(E31&lt;&gt;"",E31&lt;&gt;"!!!"),"NEW","")))</f>
        <v/>
      </c>
      <c r="G31" s="11" t="str">
        <f>IF(OR(E31="",E31="!!!"),"",IF(OR(J31=0,AND(J31=1,K31=1),AND(J31=1,I31="SBJ"),AND(J31=1,I31=0)),"?IN_FOCUS",IF(J31&lt;=2,"?ACTIVATED",IF(J31&lt;&gt;"","?FAMILIAR",IF(F31="NEW",IF(ISNA(VLOOKUP(E31,#REF!,1,FALSE())),"?TYPE_IDENTIFIABLE","?REFERENTIAL"),"_")))))</f>
        <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x14ac:dyDescent="0.15">
      <c r="A32" s="16" t="s">
        <v>14</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x14ac:dyDescent="0.15">
      <c r="A33" s="16" t="s">
        <v>40</v>
      </c>
      <c r="B33" t="s">
        <v>38</v>
      </c>
      <c r="C33" t="s">
        <v>23</v>
      </c>
      <c r="D33" t="s">
        <v>19</v>
      </c>
      <c r="E33" s="9" t="s">
        <v>205</v>
      </c>
      <c r="F33" s="10" t="str">
        <f>IF(OR(E33="",E33="!!!"),"",IF(NOT(ISNA(VLOOKUP(E33,E$1:E32,1,FALSE()))),"OLD",IF(AND(E33&lt;&gt;"",E33&lt;&gt;"!!!"),"NEW","")))</f>
        <v>NEW</v>
      </c>
      <c r="G33" s="11" t="s">
        <v>200</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x14ac:dyDescent="0.15">
      <c r="A34" s="16" t="s">
        <v>27</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x14ac:dyDescent="0.15">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x14ac:dyDescent="0.15">
      <c r="A36" s="16" t="s">
        <v>41</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x14ac:dyDescent="0.15">
      <c r="A37" s="16" t="s">
        <v>16</v>
      </c>
      <c r="B37" t="s">
        <v>26</v>
      </c>
      <c r="C37" t="s">
        <v>18</v>
      </c>
      <c r="D37" t="s">
        <v>19</v>
      </c>
      <c r="E37" s="9" t="s">
        <v>199</v>
      </c>
      <c r="F37" s="10" t="str">
        <f>IF(OR(E37="",E37="!!!"),"",IF(NOT(ISNA(VLOOKUP(E37,E$1:E36,1,FALSE()))),"OLD",IF(AND(E37&lt;&gt;"",E37&lt;&gt;"!!!"),"NEW","")))</f>
        <v>OLD</v>
      </c>
      <c r="G37" s="11" t="s">
        <v>206</v>
      </c>
      <c r="H37" s="12" t="str">
        <f t="shared" ca="1" si="1"/>
        <v/>
      </c>
      <c r="I37" s="13" t="str">
        <f>IF(OR(E37="",E37="!!!",F37="NEW"),"",INDEX(B$2:B36,-1+SUMPRODUCT(MAX(ROW(E$2:E36)*(E37=E$2:E36)))))</f>
        <v>SBJ</v>
      </c>
      <c r="J37" s="14">
        <f ca="1">IF(OR(E37="",E37="!!!",F37="NEW"),"",COUNTBLANK(OFFSET(A$1,,,SUMPRODUCT(MAX(ROW(E$2:E37)*(E37=E$2:E37)))))-COUNTBLANK(OFFSET(A$1,,,SUMPRODUCT(MAX(ROW(E$1:E36)*(E37=E$1:E36))))))</f>
        <v>3</v>
      </c>
      <c r="K37" s="14" t="str">
        <f ca="1">IF(OR(E37="",E37="!!!",F37="NEW"),"",INDEX(J$1:J36,SUMPRODUCT(MAX(ROW(E$1:E36)*(E37=E$1:E36)))))</f>
        <v/>
      </c>
      <c r="L37" s="15"/>
    </row>
    <row r="38" spans="1:12" x14ac:dyDescent="0.15">
      <c r="A38" s="16" t="s">
        <v>42</v>
      </c>
      <c r="E38" s="9" t="str">
        <f t="shared" si="0"/>
        <v/>
      </c>
      <c r="F38" s="10" t="str">
        <f>IF(OR(E38="",E38="!!!"),"",IF(NOT(ISNA(VLOOKUP(E38,E$1:E37,1,FALSE()))),"OLD",IF(AND(E38&lt;&gt;"",E38&lt;&gt;"!!!"),"NEW","")))</f>
        <v/>
      </c>
      <c r="G38" s="11" t="str">
        <f>IF(OR(E38="",E38="!!!"),"",IF(OR(J38=0,AND(J38=1,K38=1),AND(J38=1,I38="SBJ"),AND(J38=1,I38=0)),"?IN_FOCUS",IF(J38&lt;=2,"?ACTIVATED",IF(J38&lt;&gt;"","?FAMILIAR",IF(F38="NEW",IF(ISNA(VLOOKUP(E38,#REF!,1,FALSE())),"?TYPE_IDENTIFIABLE","?REFERENTIAL"),"_")))))</f>
        <v/>
      </c>
      <c r="H38" s="12" t="str">
        <f t="shared" ca="1" si="1"/>
        <v/>
      </c>
      <c r="I38" s="13" t="str">
        <f>IF(OR(E38="",E38="!!!",F38="NEW"),"",INDEX(B$2:B37,-1+SUMPRODUCT(MAX(ROW(E$2:E37)*(E38=E$2:E37)))))</f>
        <v/>
      </c>
      <c r="J38" s="14" t="str">
        <f ca="1">IF(OR(E38="",E38="!!!",F38="NEW"),"",COUNTBLANK(OFFSET(A$1,,,SUMPRODUCT(MAX(ROW(E$2:E38)*(E38=E$2:E38)))))-COUNTBLANK(OFFSET(A$1,,,SUMPRODUCT(MAX(ROW(E$1:E37)*(E38=E$1:E37))))))</f>
        <v/>
      </c>
      <c r="K38" s="14" t="str">
        <f>IF(OR(E38="",E38="!!!",F38="NEW"),"",INDEX(J$1:J37,SUMPRODUCT(MAX(ROW(E$1:E37)*(E38=E$1:E37)))))</f>
        <v/>
      </c>
      <c r="L38" s="15"/>
    </row>
    <row r="39" spans="1:12" x14ac:dyDescent="0.15">
      <c r="A39" s="16" t="s">
        <v>43</v>
      </c>
      <c r="B39" t="s">
        <v>17</v>
      </c>
      <c r="C39" t="s">
        <v>18</v>
      </c>
      <c r="D39" t="s">
        <v>19</v>
      </c>
      <c r="E39" s="9" t="s">
        <v>43</v>
      </c>
      <c r="F39" s="10" t="str">
        <f>IF(OR(E39="",E39="!!!"),"",IF(NOT(ISNA(VLOOKUP(E39,E$1:E38,1,FALSE()))),"OLD",IF(AND(E39&lt;&gt;"",E39&lt;&gt;"!!!"),"NEW","")))</f>
        <v>NEW</v>
      </c>
      <c r="G39" s="11" t="s">
        <v>200</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x14ac:dyDescent="0.15">
      <c r="A40" s="16" t="s">
        <v>30</v>
      </c>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x14ac:dyDescent="0.15">
      <c r="A41" s="16" t="s">
        <v>44</v>
      </c>
      <c r="E41" s="9" t="str">
        <f t="shared" si="0"/>
        <v/>
      </c>
      <c r="F41" s="10" t="str">
        <f>IF(OR(E41="",E41="!!!"),"",IF(NOT(ISNA(VLOOKUP(E41,E$1:E40,1,FALSE()))),"OLD",IF(AND(E41&lt;&gt;"",E41&lt;&gt;"!!!"),"NEW","")))</f>
        <v/>
      </c>
      <c r="G41" s="11" t="str">
        <f>IF(OR(E41="",E41="!!!"),"",IF(OR(J41=0,AND(J41=1,K41=1),AND(J41=1,I41="SBJ"),AND(J41=1,I41=0)),"?IN_FOCUS",IF(J41&lt;=2,"?ACTIVATED",IF(J41&lt;&gt;"","?FAMILIAR",IF(F41="NEW",IF(ISNA(VLOOKUP(E41,#REF!,1,FALSE())),"?TYPE_IDENTIFIABLE","?REFERENTIAL"),"_")))))</f>
        <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x14ac:dyDescent="0.15">
      <c r="A42" s="16" t="s">
        <v>45</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x14ac:dyDescent="0.15">
      <c r="A43" s="16" t="s">
        <v>14</v>
      </c>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x14ac:dyDescent="0.15">
      <c r="A44" s="16" t="s">
        <v>37</v>
      </c>
      <c r="B44" t="s">
        <v>38</v>
      </c>
      <c r="C44" t="s">
        <v>23</v>
      </c>
      <c r="D44" t="s">
        <v>19</v>
      </c>
      <c r="E44" s="9" t="s">
        <v>204</v>
      </c>
      <c r="F44" s="10" t="str">
        <f>IF(OR(E44="",E44="!!!"),"",IF(NOT(ISNA(VLOOKUP(E44,E$1:E43,1,FALSE()))),"OLD",IF(AND(E44&lt;&gt;"",E44&lt;&gt;"!!!"),"NEW","")))</f>
        <v>OLD</v>
      </c>
      <c r="G44" s="11" t="s">
        <v>203</v>
      </c>
      <c r="H44" s="12" t="s">
        <v>7</v>
      </c>
      <c r="I44" s="13" t="str">
        <f>IF(OR(E44="",E44="!!!",F44="NEW"),"",INDEX(B$2:B43,-1+SUMPRODUCT(MAX(ROW(E$2:E43)*(E44=E$2:E43)))))</f>
        <v>other</v>
      </c>
      <c r="J44" s="14">
        <f ca="1">IF(OR(E44="",E44="!!!",F44="NEW"),"",COUNTBLANK(OFFSET(A$1,,,SUMPRODUCT(MAX(ROW(E$2:E44)*(E44=E$2:E44)))))-COUNTBLANK(OFFSET(A$1,,,SUMPRODUCT(MAX(ROW(E$1:E43)*(E44=E$1:E43))))))</f>
        <v>1</v>
      </c>
      <c r="K44" s="14" t="str">
        <f ca="1">IF(OR(E44="",E44="!!!",F44="NEW"),"",INDEX(J$1:J43,SUMPRODUCT(MAX(ROW(E$1:E43)*(E44=E$1:E43)))))</f>
        <v/>
      </c>
      <c r="L44" s="15"/>
    </row>
    <row r="45" spans="1:12" x14ac:dyDescent="0.15">
      <c r="A45" s="16" t="s">
        <v>39</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x14ac:dyDescent="0.15">
      <c r="A46" s="16" t="s">
        <v>14</v>
      </c>
      <c r="E46" s="9" t="str">
        <f t="shared" si="0"/>
        <v/>
      </c>
      <c r="F46" s="10" t="str">
        <f>IF(OR(E46="",E46="!!!"),"",IF(NOT(ISNA(VLOOKUP(E46,E$1:E45,1,FALSE()))),"OLD",IF(AND(E46&lt;&gt;"",E46&lt;&gt;"!!!"),"NEW","")))</f>
        <v/>
      </c>
      <c r="G46" s="11" t="str">
        <f>IF(OR(E46="",E46="!!!"),"",IF(OR(J46=0,AND(J46=1,K46=1),AND(J46=1,I46="SBJ"),AND(J46=1,I46=0)),"?IN_FOCUS",IF(J46&lt;=2,"?ACTIVATED",IF(J46&lt;&gt;"","?FAMILIAR",IF(F46="NEW",IF(ISNA(VLOOKUP(E46,#REF!,1,FALSE())),"?TYPE_IDENTIFIABLE","?REFERENTIAL"),"_")))))</f>
        <v/>
      </c>
      <c r="H46" s="12" t="str">
        <f t="shared" ca="1" si="1"/>
        <v/>
      </c>
      <c r="I46" s="13" t="str">
        <f>IF(OR(E46="",E46="!!!",F46="NEW"),"",INDEX(B$2:B45,-1+SUMPRODUCT(MAX(ROW(E$2:E45)*(E46=E$2:E45)))))</f>
        <v/>
      </c>
      <c r="J46" s="14" t="str">
        <f ca="1">IF(OR(E46="",E46="!!!",F46="NEW"),"",COUNTBLANK(OFFSET(A$1,,,SUMPRODUCT(MAX(ROW(E$2:E46)*(E46=E$2:E46)))))-COUNTBLANK(OFFSET(A$1,,,SUMPRODUCT(MAX(ROW(E$1:E45)*(E46=E$1:E45))))))</f>
        <v/>
      </c>
      <c r="K46" s="14" t="str">
        <f>IF(OR(E46="",E46="!!!",F46="NEW"),"",INDEX(J$1:J45,SUMPRODUCT(MAX(ROW(E$1:E45)*(E46=E$1:E45)))))</f>
        <v/>
      </c>
      <c r="L46" s="15"/>
    </row>
    <row r="47" spans="1:12" x14ac:dyDescent="0.15">
      <c r="A47" s="16" t="s">
        <v>46</v>
      </c>
      <c r="B47" t="s">
        <v>26</v>
      </c>
      <c r="C47" t="s">
        <v>23</v>
      </c>
      <c r="D47" t="s">
        <v>19</v>
      </c>
      <c r="E47" s="9" t="s">
        <v>207</v>
      </c>
      <c r="F47" s="10" t="str">
        <f>IF(OR(E47="",E47="!!!"),"",IF(NOT(ISNA(VLOOKUP(E47,E$1:E46,1,FALSE()))),"OLD",IF(AND(E47&lt;&gt;"",E47&lt;&gt;"!!!"),"NEW","")))</f>
        <v>NEW</v>
      </c>
      <c r="G47" s="11" t="s">
        <v>200</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x14ac:dyDescent="0.15">
      <c r="A48" s="16" t="s">
        <v>27</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x14ac:dyDescent="0.15">
      <c r="E49" s="9" t="str">
        <f t="shared" si="0"/>
        <v/>
      </c>
      <c r="F49" s="10" t="str">
        <f>IF(OR(E49="",E49="!!!"),"",IF(NOT(ISNA(VLOOKUP(E49,E$1:E48,1,FALSE()))),"OLD",IF(AND(E49&lt;&gt;"",E49&lt;&gt;"!!!"),"NEW","")))</f>
        <v/>
      </c>
      <c r="G49" s="11" t="str">
        <f>IF(OR(E49="",E49="!!!"),"",IF(OR(J49=0,AND(J49=1,K49=1),AND(J49=1,I49="SBJ"),AND(J49=1,I49=0)),"?IN_FOCUS",IF(J49&lt;=2,"?ACTIVATED",IF(J49&lt;&gt;"","?FAMILIAR",IF(F49="NEW",IF(ISNA(VLOOKUP(E49,#REF!,1,FALSE())),"?TYPE_IDENTIFIABLE","?REFERENTIAL"),"_")))))</f>
        <v/>
      </c>
      <c r="H49" s="12" t="str">
        <f t="shared" ca="1" si="1"/>
        <v/>
      </c>
      <c r="I49" s="13" t="str">
        <f>IF(OR(E49="",E49="!!!",F49="NEW"),"",INDEX(B$2:B48,-1+SUMPRODUCT(MAX(ROW(E$2:E48)*(E49=E$2:E48)))))</f>
        <v/>
      </c>
      <c r="J49" s="14" t="str">
        <f ca="1">IF(OR(E49="",E49="!!!",F49="NEW"),"",COUNTBLANK(OFFSET(A$1,,,SUMPRODUCT(MAX(ROW(E$2:E49)*(E49=E$2:E49)))))-COUNTBLANK(OFFSET(A$1,,,SUMPRODUCT(MAX(ROW(E$1:E48)*(E49=E$1:E48))))))</f>
        <v/>
      </c>
      <c r="K49" s="14" t="str">
        <f>IF(OR(E49="",E49="!!!",F49="NEW"),"",INDEX(J$1:J48,SUMPRODUCT(MAX(ROW(E$1:E48)*(E49=E$1:E48)))))</f>
        <v/>
      </c>
      <c r="L49" s="15"/>
    </row>
    <row r="50" spans="1:12" x14ac:dyDescent="0.15">
      <c r="A50" s="16" t="s">
        <v>47</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x14ac:dyDescent="0.15">
      <c r="A51" s="16" t="s">
        <v>48</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x14ac:dyDescent="0.15">
      <c r="A52" s="16" t="s">
        <v>16</v>
      </c>
      <c r="B52" t="s">
        <v>17</v>
      </c>
      <c r="C52" t="s">
        <v>18</v>
      </c>
      <c r="D52" t="s">
        <v>19</v>
      </c>
      <c r="E52" s="9" t="s">
        <v>199</v>
      </c>
      <c r="F52" s="10" t="str">
        <f>IF(OR(E52="",E52="!!!"),"",IF(NOT(ISNA(VLOOKUP(E52,E$1:E51,1,FALSE()))),"OLD",IF(AND(E52&lt;&gt;"",E52&lt;&gt;"!!!"),"NEW","")))</f>
        <v>OLD</v>
      </c>
      <c r="G52" s="11" t="s">
        <v>203</v>
      </c>
      <c r="H52" s="12" t="s">
        <v>7</v>
      </c>
      <c r="I52" s="13" t="str">
        <f>IF(OR(E52="",E52="!!!",F52="NEW"),"",INDEX(B$2:B51,-1+SUMPRODUCT(MAX(ROW(E$2:E51)*(E52=E$2:E51)))))</f>
        <v>other_2</v>
      </c>
      <c r="J52" s="14">
        <f ca="1">IF(OR(E52="",E52="!!!",F52="NEW"),"",COUNTBLANK(OFFSET(A$1,,,SUMPRODUCT(MAX(ROW(E$2:E52)*(E52=E$2:E52)))))-COUNTBLANK(OFFSET(A$1,,,SUMPRODUCT(MAX(ROW(E$1:E51)*(E52=E$1:E51))))))</f>
        <v>1</v>
      </c>
      <c r="K52" s="14">
        <f ca="1">IF(OR(E52="",E52="!!!",F52="NEW"),"",INDEX(J$1:J51,SUMPRODUCT(MAX(ROW(E$1:E51)*(E52=E$1:E51)))))</f>
        <v>3</v>
      </c>
      <c r="L52" s="15"/>
    </row>
    <row r="53" spans="1:12" x14ac:dyDescent="0.15">
      <c r="A53" s="16" t="s">
        <v>49</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x14ac:dyDescent="0.15">
      <c r="A54" s="16" t="s">
        <v>50</v>
      </c>
      <c r="E54" s="9" t="str">
        <f t="shared" si="0"/>
        <v/>
      </c>
      <c r="F54" s="10" t="str">
        <f>IF(OR(E54="",E54="!!!"),"",IF(NOT(ISNA(VLOOKUP(E54,E$1:E53,1,FALSE()))),"OLD",IF(AND(E54&lt;&gt;"",E54&lt;&gt;"!!!"),"NEW","")))</f>
        <v/>
      </c>
      <c r="G54" s="11" t="str">
        <f>IF(OR(E54="",E54="!!!"),"",IF(OR(J54=0,AND(J54=1,K54=1),AND(J54=1,I54="SBJ"),AND(J54=1,I54=0)),"?IN_FOCUS",IF(J54&lt;=2,"?ACTIVATED",IF(J54&lt;&gt;"","?FAMILIAR",IF(F54="NEW",IF(ISNA(VLOOKUP(E54,#REF!,1,FALSE())),"?TYPE_IDENTIFIABLE","?REFERENTIAL"),"_")))))</f>
        <v/>
      </c>
      <c r="H54" s="12" t="str">
        <f t="shared" ca="1" si="1"/>
        <v/>
      </c>
      <c r="I54" s="13" t="str">
        <f>IF(OR(E54="",E54="!!!",F54="NEW"),"",INDEX(B$2:B53,-1+SUMPRODUCT(MAX(ROW(E$2:E53)*(E54=E$2:E53)))))</f>
        <v/>
      </c>
      <c r="J54" s="14" t="str">
        <f ca="1">IF(OR(E54="",E54="!!!",F54="NEW"),"",COUNTBLANK(OFFSET(A$1,,,SUMPRODUCT(MAX(ROW(E$2:E54)*(E54=E$2:E54)))))-COUNTBLANK(OFFSET(A$1,,,SUMPRODUCT(MAX(ROW(E$1:E53)*(E54=E$1:E53))))))</f>
        <v/>
      </c>
      <c r="K54" s="14" t="str">
        <f>IF(OR(E54="",E54="!!!",F54="NEW"),"",INDEX(J$1:J53,SUMPRODUCT(MAX(ROW(E$1:E53)*(E54=E$1:E53)))))</f>
        <v/>
      </c>
      <c r="L54" s="15"/>
    </row>
    <row r="55" spans="1:12" x14ac:dyDescent="0.15">
      <c r="A55" s="16" t="s">
        <v>51</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x14ac:dyDescent="0.15">
      <c r="A56" s="16" t="s">
        <v>52</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x14ac:dyDescent="0.15">
      <c r="A57" s="16" t="s">
        <v>53</v>
      </c>
      <c r="B57" t="s">
        <v>54</v>
      </c>
      <c r="C57" t="s">
        <v>55</v>
      </c>
      <c r="D57" t="s">
        <v>19</v>
      </c>
      <c r="E57" s="9" t="s">
        <v>77</v>
      </c>
      <c r="F57" s="10" t="str">
        <f>IF(OR(E57="",E57="!!!"),"",IF(NOT(ISNA(VLOOKUP(E57,E$1:E56,1,FALSE()))),"OLD",IF(AND(E57&lt;&gt;"",E57&lt;&gt;"!!!"),"NEW","")))</f>
        <v>NEW</v>
      </c>
      <c r="G57" s="11" t="s">
        <v>200</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x14ac:dyDescent="0.15">
      <c r="A58" s="16" t="s">
        <v>56</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x14ac:dyDescent="0.15">
      <c r="A59" s="16" t="s">
        <v>57</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x14ac:dyDescent="0.15">
      <c r="A60" s="16" t="s">
        <v>50</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x14ac:dyDescent="0.15">
      <c r="A61" s="16" t="s">
        <v>51</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x14ac:dyDescent="0.15">
      <c r="A62" s="16" t="s">
        <v>24</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x14ac:dyDescent="0.15">
      <c r="A63" s="16" t="s">
        <v>53</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x14ac:dyDescent="0.15">
      <c r="A64" s="16" t="s">
        <v>30</v>
      </c>
      <c r="E64" s="9" t="str">
        <f t="shared" si="0"/>
        <v/>
      </c>
      <c r="F64" s="10" t="str">
        <f>IF(OR(E64="",E64="!!!"),"",IF(NOT(ISNA(VLOOKUP(E64,E$1:E63,1,FALSE()))),"OLD",IF(AND(E64&lt;&gt;"",E64&lt;&gt;"!!!"),"NEW","")))</f>
        <v/>
      </c>
      <c r="G64" s="11" t="str">
        <f>IF(OR(E64="",E64="!!!"),"",IF(OR(J64=0,AND(J64=1,K64=1),AND(J64=1,I64="SBJ"),AND(J64=1,I64=0)),"?IN_FOCUS",IF(J64&lt;=2,"?ACTIVATED",IF(J64&lt;&gt;"","?FAMILIAR",IF(F64="NEW",IF(ISNA(VLOOKUP(E64,#REF!,1,FALSE())),"?TYPE_IDENTIFIABLE","?REFERENTIAL"),"_")))))</f>
        <v/>
      </c>
      <c r="H64" s="12" t="str">
        <f t="shared" ca="1" si="1"/>
        <v/>
      </c>
      <c r="I64" s="13" t="str">
        <f>IF(OR(E64="",E64="!!!",F64="NEW"),"",INDEX(B$2:B63,-1+SUMPRODUCT(MAX(ROW(E$2:E63)*(E64=E$2:E63)))))</f>
        <v/>
      </c>
      <c r="J64" s="14" t="str">
        <f ca="1">IF(OR(E64="",E64="!!!",F64="NEW"),"",COUNTBLANK(OFFSET(A$1,,,SUMPRODUCT(MAX(ROW(E$2:E64)*(E64=E$2:E64)))))-COUNTBLANK(OFFSET(A$1,,,SUMPRODUCT(MAX(ROW(E$1:E63)*(E64=E$1:E63))))))</f>
        <v/>
      </c>
      <c r="K64" s="14" t="str">
        <f>IF(OR(E64="",E64="!!!",F64="NEW"),"",INDEX(J$1:J63,SUMPRODUCT(MAX(ROW(E$1:E63)*(E64=E$1:E63)))))</f>
        <v/>
      </c>
      <c r="L64" s="15"/>
    </row>
    <row r="65" spans="1:12" x14ac:dyDescent="0.15">
      <c r="A65" s="16" t="s">
        <v>57</v>
      </c>
      <c r="B65" t="s">
        <v>58</v>
      </c>
      <c r="C65" t="s">
        <v>35</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x14ac:dyDescent="0.15">
      <c r="A66" s="16" t="s">
        <v>27</v>
      </c>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x14ac:dyDescent="0.15">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x14ac:dyDescent="0.15">
      <c r="A68" s="16" t="s">
        <v>59</v>
      </c>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x14ac:dyDescent="0.15">
      <c r="A69" s="16" t="s">
        <v>16</v>
      </c>
      <c r="B69" t="s">
        <v>17</v>
      </c>
      <c r="C69" t="s">
        <v>18</v>
      </c>
      <c r="D69" t="s">
        <v>19</v>
      </c>
      <c r="E69" s="9" t="s">
        <v>199</v>
      </c>
      <c r="F69" s="10" t="str">
        <f>IF(OR(E69="",E69="!!!"),"",IF(NOT(ISNA(VLOOKUP(E69,E$1:E68,1,FALSE()))),"OLD",IF(AND(E69&lt;&gt;"",E69&lt;&gt;"!!!"),"NEW","")))</f>
        <v>OLD</v>
      </c>
      <c r="G69" s="11" t="s">
        <v>208</v>
      </c>
      <c r="H69" s="12" t="str">
        <f t="shared" ca="1" si="3"/>
        <v>CB</v>
      </c>
      <c r="I69" s="13" t="str">
        <f>IF(OR(E69="",E69="!!!",F69="NEW"),"",INDEX(B$2:B68,-1+SUMPRODUCT(MAX(ROW(E$2:E68)*(E69=E$2:E68)))))</f>
        <v>SBJ</v>
      </c>
      <c r="J69" s="14">
        <f ca="1">IF(OR(E69="",E69="!!!",F69="NEW"),"",COUNTBLANK(OFFSET(A$1,,,SUMPRODUCT(MAX(ROW(E$2:E69)*(E69=E$2:E69)))))-COUNTBLANK(OFFSET(A$1,,,SUMPRODUCT(MAX(ROW(E$1:E68)*(E69=E$1:E68))))))</f>
        <v>1</v>
      </c>
      <c r="K69" s="14">
        <f ca="1">IF(OR(E69="",E69="!!!",F69="NEW"),"",INDEX(J$1:J68,SUMPRODUCT(MAX(ROW(E$1:E68)*(E69=E$1:E68)))))</f>
        <v>1</v>
      </c>
      <c r="L69" s="15"/>
    </row>
    <row r="70" spans="1:12" x14ac:dyDescent="0.15">
      <c r="A70" s="16" t="s">
        <v>60</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x14ac:dyDescent="0.15">
      <c r="A71" s="16" t="s">
        <v>14</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x14ac:dyDescent="0.15">
      <c r="A72" s="16" t="s">
        <v>57</v>
      </c>
      <c r="B72" t="s">
        <v>22</v>
      </c>
      <c r="C72" t="s">
        <v>23</v>
      </c>
      <c r="D72" t="s">
        <v>19</v>
      </c>
      <c r="E72" s="9" t="s">
        <v>209</v>
      </c>
      <c r="F72" s="10" t="str">
        <f>IF(OR(E72="",E72="!!!"),"",IF(NOT(ISNA(VLOOKUP(E72,E$1:E71,1,FALSE()))),"OLD",IF(AND(E72&lt;&gt;"",E72&lt;&gt;"!!!"),"NEW","")))</f>
        <v>NEW</v>
      </c>
      <c r="G72" s="11" t="s">
        <v>200</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x14ac:dyDescent="0.15">
      <c r="A73" s="16" t="s">
        <v>50</v>
      </c>
      <c r="E73" s="9" t="str">
        <f t="shared" si="2"/>
        <v/>
      </c>
      <c r="F73" s="10" t="str">
        <f>IF(OR(E73="",E73="!!!"),"",IF(NOT(ISNA(VLOOKUP(E73,E$1:E72,1,FALSE()))),"OLD",IF(AND(E73&lt;&gt;"",E73&lt;&gt;"!!!"),"NEW","")))</f>
        <v/>
      </c>
      <c r="G73" s="11" t="str">
        <f>IF(OR(E73="",E73="!!!"),"",IF(OR(J73=0,AND(J73=1,K73=1),AND(J73=1,I73="SBJ"),AND(J73=1,I73=0)),"?IN_FOCUS",IF(J73&lt;=2,"?ACTIVATED",IF(J73&lt;&gt;"","?FAMILIAR",IF(F73="NEW",IF(ISNA(VLOOKUP(E73,#REF!,1,FALSE())),"?TYPE_IDENTIFIABLE","?REFERENTIAL"),"_")))))</f>
        <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x14ac:dyDescent="0.15">
      <c r="A74" s="16" t="s">
        <v>24</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x14ac:dyDescent="0.15">
      <c r="A75" s="16" t="s">
        <v>60</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x14ac:dyDescent="0.15">
      <c r="A76" s="16" t="s">
        <v>61</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ca="1" si="3"/>
        <v/>
      </c>
      <c r="I76" s="13" t="str">
        <f>IF(OR(E76="",E76="!!!",F76="NEW"),"",INDEX(B$2:B75,-1+SUMPRODUCT(MAX(ROW(E$2:E75)*(E76=E$2:E75)))))</f>
        <v/>
      </c>
      <c r="J76" s="14" t="str">
        <f ca="1">IF(OR(E76="",E76="!!!",F76="NEW"),"",COUNTBLANK(OFFSET(A$1,,,SUMPRODUCT(MAX(ROW(E$2:E76)*(E76=E$2:E76)))))-COUNTBLANK(OFFSET(A$1,,,SUMPRODUCT(MAX(ROW(E$1:E75)*(E76=E$1:E75))))))</f>
        <v/>
      </c>
      <c r="K76" s="14" t="str">
        <f>IF(OR(E76="",E76="!!!",F76="NEW"),"",INDEX(J$1:J75,SUMPRODUCT(MAX(ROW(E$1:E75)*(E76=E$1:E75)))))</f>
        <v/>
      </c>
      <c r="L76" s="15"/>
    </row>
    <row r="77" spans="1:12" x14ac:dyDescent="0.15">
      <c r="A77" s="16" t="s">
        <v>62</v>
      </c>
      <c r="B77" t="s">
        <v>63</v>
      </c>
      <c r="C77" t="s">
        <v>64</v>
      </c>
      <c r="D77" t="s">
        <v>19</v>
      </c>
      <c r="E77" s="9" t="s">
        <v>209</v>
      </c>
      <c r="F77" s="10" t="str">
        <f>IF(OR(E77="",E77="!!!"),"",IF(NOT(ISNA(VLOOKUP(E77,E$1:E76,1,FALSE()))),"OLD",IF(AND(E77&lt;&gt;"",E77&lt;&gt;"!!!"),"NEW","")))</f>
        <v>OLD</v>
      </c>
      <c r="G77" s="11" t="s">
        <v>208</v>
      </c>
      <c r="H77" s="12" t="str">
        <f t="shared" ca="1" si="3"/>
        <v/>
      </c>
      <c r="I77" s="13" t="str">
        <f>IF(OR(E77="",E77="!!!",F77="NEW"),"",INDEX(B$2:B76,-1+SUMPRODUCT(MAX(ROW(E$2:E76)*(E77=E$2:E76)))))</f>
        <v>OBJ</v>
      </c>
      <c r="J77" s="14">
        <f ca="1">IF(OR(E77="",E77="!!!",F77="NEW"),"",COUNTBLANK(OFFSET(A$1,,,SUMPRODUCT(MAX(ROW(E$2:E77)*(E77=E$2:E77)))))-COUNTBLANK(OFFSET(A$1,,,SUMPRODUCT(MAX(ROW(E$1:E76)*(E77=E$1:E76))))))</f>
        <v>0</v>
      </c>
      <c r="K77" s="14" t="str">
        <f ca="1">IF(OR(E77="",E77="!!!",F77="NEW"),"",INDEX(J$1:J76,SUMPRODUCT(MAX(ROW(E$1:E76)*(E77=E$1:E76)))))</f>
        <v/>
      </c>
      <c r="L77" s="15"/>
    </row>
    <row r="78" spans="1:12" x14ac:dyDescent="0.15">
      <c r="A78" s="16" t="s">
        <v>30</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x14ac:dyDescent="0.15">
      <c r="A79" s="16" t="s">
        <v>65</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x14ac:dyDescent="0.15">
      <c r="A80" s="16" t="s">
        <v>27</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x14ac:dyDescent="0.15">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x14ac:dyDescent="0.15">
      <c r="A82" s="16" t="s">
        <v>66</v>
      </c>
      <c r="E82" s="9" t="str">
        <f t="shared" si="2"/>
        <v/>
      </c>
      <c r="F82" s="10" t="str">
        <f>IF(OR(E82="",E82="!!!"),"",IF(NOT(ISNA(VLOOKUP(E82,E$1:E81,1,FALSE()))),"OLD",IF(AND(E82&lt;&gt;"",E82&lt;&gt;"!!!"),"NEW","")))</f>
        <v/>
      </c>
      <c r="G82" s="11" t="str">
        <f>IF(OR(E82="",E82="!!!"),"",IF(OR(J82=0,AND(J82=1,K82=1),AND(J82=1,I82="SBJ"),AND(J82=1,I82=0)),"?IN_FOCUS",IF(J82&lt;=2,"?ACTIVATED",IF(J82&lt;&gt;"","?FAMILIAR",IF(F82="NEW",IF(ISNA(VLOOKUP(E82,#REF!,1,FALSE())),"?TYPE_IDENTIFIABLE","?REFERENTIAL"),"_")))))</f>
        <v/>
      </c>
      <c r="H82" s="12" t="str">
        <f t="shared" ca="1" si="3"/>
        <v/>
      </c>
      <c r="I82" s="13" t="str">
        <f>IF(OR(E82="",E82="!!!",F82="NEW"),"",INDEX(B$2:B81,-1+SUMPRODUCT(MAX(ROW(E$2:E81)*(E82=E$2:E81)))))</f>
        <v/>
      </c>
      <c r="J82" s="14" t="str">
        <f ca="1">IF(OR(E82="",E82="!!!",F82="NEW"),"",COUNTBLANK(OFFSET(A$1,,,SUMPRODUCT(MAX(ROW(E$2:E82)*(E82=E$2:E82)))))-COUNTBLANK(OFFSET(A$1,,,SUMPRODUCT(MAX(ROW(E$1:E81)*(E82=E$1:E81))))))</f>
        <v/>
      </c>
      <c r="K82" s="14" t="str">
        <f>IF(OR(E82="",E82="!!!",F82="NEW"),"",INDEX(J$1:J81,SUMPRODUCT(MAX(ROW(E$1:E81)*(E82=E$1:E81)))))</f>
        <v/>
      </c>
      <c r="L82" s="15"/>
    </row>
    <row r="83" spans="1:12" x14ac:dyDescent="0.15">
      <c r="A83" s="16" t="s">
        <v>16</v>
      </c>
      <c r="B83" t="s">
        <v>17</v>
      </c>
      <c r="C83" t="s">
        <v>18</v>
      </c>
      <c r="D83" t="s">
        <v>19</v>
      </c>
      <c r="E83" s="9" t="s">
        <v>199</v>
      </c>
      <c r="F83" s="10" t="str">
        <f>IF(OR(E83="",E83="!!!"),"",IF(NOT(ISNA(VLOOKUP(E83,E$1:E82,1,FALSE()))),"OLD",IF(AND(E83&lt;&gt;"",E83&lt;&gt;"!!!"),"NEW","")))</f>
        <v>OLD</v>
      </c>
      <c r="G83" s="11" t="s">
        <v>208</v>
      </c>
      <c r="H83" s="12" t="str">
        <f t="shared" ca="1" si="3"/>
        <v>CB</v>
      </c>
      <c r="I83" s="13" t="str">
        <f>IF(OR(E83="",E83="!!!",F83="NEW"),"",INDEX(B$2:B82,-1+SUMPRODUCT(MAX(ROW(E$2:E82)*(E83=E$2:E82)))))</f>
        <v>SBJ</v>
      </c>
      <c r="J83" s="14">
        <f ca="1">IF(OR(E83="",E83="!!!",F83="NEW"),"",COUNTBLANK(OFFSET(A$1,,,SUMPRODUCT(MAX(ROW(E$2:E83)*(E83=E$2:E83)))))-COUNTBLANK(OFFSET(A$1,,,SUMPRODUCT(MAX(ROW(E$1:E82)*(E83=E$1:E82))))))</f>
        <v>1</v>
      </c>
      <c r="K83" s="14">
        <f ca="1">IF(OR(E83="",E83="!!!",F83="NEW"),"",INDEX(J$1:J82,SUMPRODUCT(MAX(ROW(E$1:E82)*(E83=E$1:E82)))))</f>
        <v>1</v>
      </c>
      <c r="L83" s="15"/>
    </row>
    <row r="84" spans="1:12" x14ac:dyDescent="0.15">
      <c r="A84" s="16" t="s">
        <v>67</v>
      </c>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x14ac:dyDescent="0.15">
      <c r="A85" s="16" t="s">
        <v>14</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x14ac:dyDescent="0.15">
      <c r="A86" s="16" t="s">
        <v>57</v>
      </c>
      <c r="B86" t="s">
        <v>22</v>
      </c>
      <c r="C86" t="s">
        <v>23</v>
      </c>
      <c r="D86" t="s">
        <v>19</v>
      </c>
      <c r="E86" s="9" t="s">
        <v>209</v>
      </c>
      <c r="F86" s="10" t="str">
        <f>IF(OR(E86="",E86="!!!"),"",IF(NOT(ISNA(VLOOKUP(E86,E$1:E85,1,FALSE()))),"OLD",IF(AND(E86&lt;&gt;"",E86&lt;&gt;"!!!"),"NEW","")))</f>
        <v>OLD</v>
      </c>
      <c r="G86" s="11" t="s">
        <v>203</v>
      </c>
      <c r="H86" s="12"/>
      <c r="I86" s="13" t="str">
        <f>IF(OR(E86="",E86="!!!",F86="NEW"),"",INDEX(B$2:B85,-1+SUMPRODUCT(MAX(ROW(E$2:E85)*(E86=E$2:E85)))))</f>
        <v>SBJ_3</v>
      </c>
      <c r="J86" s="14">
        <f ca="1">IF(OR(E86="",E86="!!!",F86="NEW"),"",COUNTBLANK(OFFSET(A$1,,,SUMPRODUCT(MAX(ROW(E$2:E86)*(E86=E$2:E86)))))-COUNTBLANK(OFFSET(A$1,,,SUMPRODUCT(MAX(ROW(E$1:E85)*(E86=E$1:E85))))))</f>
        <v>1</v>
      </c>
      <c r="K86" s="14">
        <f ca="1">IF(OR(E86="",E86="!!!",F86="NEW"),"",INDEX(J$1:J85,SUMPRODUCT(MAX(ROW(E$1:E85)*(E86=E$1:E85)))))</f>
        <v>0</v>
      </c>
      <c r="L86" s="15"/>
    </row>
    <row r="87" spans="1:12" x14ac:dyDescent="0.15">
      <c r="A87" s="16" t="s">
        <v>68</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x14ac:dyDescent="0.15">
      <c r="A88" s="16" t="s">
        <v>14</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x14ac:dyDescent="0.15">
      <c r="A89" s="16" t="s">
        <v>69</v>
      </c>
      <c r="B89" t="s">
        <v>38</v>
      </c>
      <c r="C89" t="s">
        <v>23</v>
      </c>
      <c r="D89" t="s">
        <v>19</v>
      </c>
      <c r="E89" s="9" t="s">
        <v>34</v>
      </c>
      <c r="F89" s="10" t="str">
        <f>IF(OR(E89="",E89="!!!"),"",IF(NOT(ISNA(VLOOKUP(E89,E$1:E88,1,FALSE()))),"OLD",IF(AND(E89&lt;&gt;"",E89&lt;&gt;"!!!"),"NEW","")))</f>
        <v>NEW</v>
      </c>
      <c r="G89" s="11" t="s">
        <v>200</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x14ac:dyDescent="0.15">
      <c r="A90" s="16" t="s">
        <v>27</v>
      </c>
      <c r="E90" s="9" t="str">
        <f t="shared" si="2"/>
        <v/>
      </c>
      <c r="F90" s="10" t="str">
        <f>IF(OR(E90="",E90="!!!"),"",IF(NOT(ISNA(VLOOKUP(E90,E$1:E89,1,FALSE()))),"OLD",IF(AND(E90&lt;&gt;"",E90&lt;&gt;"!!!"),"NEW","")))</f>
        <v/>
      </c>
      <c r="G90" s="11" t="str">
        <f>IF(OR(E90="",E90="!!!"),"",IF(OR(J90=0,AND(J90=1,K90=1),AND(J90=1,I90="SBJ"),AND(J90=1,I90=0)),"?IN_FOCUS",IF(J90&lt;=2,"?ACTIVATED",IF(J90&lt;&gt;"","?FAMILIAR",IF(F90="NEW",IF(ISNA(VLOOKUP(E90,#REF!,1,FALSE())),"?TYPE_IDENTIFIABLE","?REFERENTIAL"),"_")))))</f>
        <v/>
      </c>
      <c r="H90" s="12" t="str">
        <f t="shared" ca="1" si="3"/>
        <v/>
      </c>
      <c r="I90" s="13" t="str">
        <f>IF(OR(E90="",E90="!!!",F90="NEW"),"",INDEX(B$2:B89,-1+SUMPRODUCT(MAX(ROW(E$2:E89)*(E90=E$2:E89)))))</f>
        <v/>
      </c>
      <c r="J90" s="14" t="str">
        <f ca="1">IF(OR(E90="",E90="!!!",F90="NEW"),"",COUNTBLANK(OFFSET(A$1,,,SUMPRODUCT(MAX(ROW(E$2:E90)*(E90=E$2:E90)))))-COUNTBLANK(OFFSET(A$1,,,SUMPRODUCT(MAX(ROW(E$1:E89)*(E90=E$1:E89))))))</f>
        <v/>
      </c>
      <c r="K90" s="14" t="str">
        <f>IF(OR(E90="",E90="!!!",F90="NEW"),"",INDEX(J$1:J89,SUMPRODUCT(MAX(ROW(E$1:E89)*(E90=E$1:E89)))))</f>
        <v/>
      </c>
      <c r="L90" s="15"/>
    </row>
    <row r="91" spans="1:12" x14ac:dyDescent="0.15">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x14ac:dyDescent="0.15">
      <c r="A92" s="16" t="s">
        <v>47</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x14ac:dyDescent="0.15">
      <c r="A93" s="16" t="s">
        <v>70</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x14ac:dyDescent="0.15">
      <c r="A94" s="16" t="s">
        <v>16</v>
      </c>
      <c r="B94" t="s">
        <v>17</v>
      </c>
      <c r="C94" t="s">
        <v>18</v>
      </c>
      <c r="D94" t="s">
        <v>19</v>
      </c>
      <c r="E94" s="9" t="s">
        <v>199</v>
      </c>
      <c r="F94" s="10" t="str">
        <f>IF(OR(E94="",E94="!!!"),"",IF(NOT(ISNA(VLOOKUP(E94,E$1:E93,1,FALSE()))),"OLD",IF(AND(E94&lt;&gt;"",E94&lt;&gt;"!!!"),"NEW","")))</f>
        <v>OLD</v>
      </c>
      <c r="G94" s="11" t="s">
        <v>208</v>
      </c>
      <c r="H94" s="12" t="str">
        <f t="shared" ca="1" si="3"/>
        <v>CB</v>
      </c>
      <c r="I94" s="13" t="str">
        <f>IF(OR(E94="",E94="!!!",F94="NEW"),"",INDEX(B$2:B93,-1+SUMPRODUCT(MAX(ROW(E$2:E93)*(E94=E$2:E93)))))</f>
        <v>SBJ</v>
      </c>
      <c r="J94" s="14">
        <f ca="1">IF(OR(E94="",E94="!!!",F94="NEW"),"",COUNTBLANK(OFFSET(A$1,,,SUMPRODUCT(MAX(ROW(E$2:E94)*(E94=E$2:E94)))))-COUNTBLANK(OFFSET(A$1,,,SUMPRODUCT(MAX(ROW(E$1:E93)*(E94=E$1:E93))))))</f>
        <v>1</v>
      </c>
      <c r="K94" s="14">
        <f ca="1">IF(OR(E94="",E94="!!!",F94="NEW"),"",INDEX(J$1:J93,SUMPRODUCT(MAX(ROW(E$1:E93)*(E94=E$1:E93)))))</f>
        <v>1</v>
      </c>
      <c r="L94" s="15"/>
    </row>
    <row r="95" spans="1:12" x14ac:dyDescent="0.15">
      <c r="A95" s="16" t="s">
        <v>71</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ca="1" si="3"/>
        <v/>
      </c>
      <c r="I95" s="13" t="str">
        <f>IF(OR(E95="",E95="!!!",F95="NEW"),"",INDEX(B$2:B94,-1+SUMPRODUCT(MAX(ROW(E$2:E94)*(E95=E$2:E94)))))</f>
        <v/>
      </c>
      <c r="J95" s="14" t="str">
        <f ca="1">IF(OR(E95="",E95="!!!",F95="NEW"),"",COUNTBLANK(OFFSET(A$1,,,SUMPRODUCT(MAX(ROW(E$2:E95)*(E95=E$2:E95)))))-COUNTBLANK(OFFSET(A$1,,,SUMPRODUCT(MAX(ROW(E$1:E94)*(E95=E$1:E94))))))</f>
        <v/>
      </c>
      <c r="K95" s="14" t="str">
        <f>IF(OR(E95="",E95="!!!",F95="NEW"),"",INDEX(J$1:J94,SUMPRODUCT(MAX(ROW(E$1:E94)*(E95=E$1:E94)))))</f>
        <v/>
      </c>
      <c r="L95" s="15"/>
    </row>
    <row r="96" spans="1:12" x14ac:dyDescent="0.15">
      <c r="A96" s="16" t="s">
        <v>14</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x14ac:dyDescent="0.15">
      <c r="A97" s="16" t="s">
        <v>57</v>
      </c>
      <c r="B97" t="s">
        <v>22</v>
      </c>
      <c r="C97" t="s">
        <v>23</v>
      </c>
      <c r="D97" t="s">
        <v>19</v>
      </c>
      <c r="E97" s="9" t="s">
        <v>209</v>
      </c>
      <c r="F97" s="10" t="str">
        <f>IF(OR(E97="",E97="!!!"),"",IF(NOT(ISNA(VLOOKUP(E97,E$1:E96,1,FALSE()))),"OLD",IF(AND(E97&lt;&gt;"",E97&lt;&gt;"!!!"),"NEW","")))</f>
        <v>OLD</v>
      </c>
      <c r="G97" s="11" t="s">
        <v>208</v>
      </c>
      <c r="H97" s="12"/>
      <c r="I97" s="13" t="str">
        <f>IF(OR(E97="",E97="!!!",F97="NEW"),"",INDEX(B$2:B96,-1+SUMPRODUCT(MAX(ROW(E$2:E96)*(E97=E$2:E96)))))</f>
        <v>OBJ</v>
      </c>
      <c r="J97" s="14">
        <f ca="1">IF(OR(E97="",E97="!!!",F97="NEW"),"",COUNTBLANK(OFFSET(A$1,,,SUMPRODUCT(MAX(ROW(E$2:E97)*(E97=E$2:E97)))))-COUNTBLANK(OFFSET(A$1,,,SUMPRODUCT(MAX(ROW(E$1:E96)*(E97=E$1:E96))))))</f>
        <v>1</v>
      </c>
      <c r="K97" s="14">
        <f ca="1">IF(OR(E97="",E97="!!!",F97="NEW"),"",INDEX(J$1:J96,SUMPRODUCT(MAX(ROW(E$1:E96)*(E97=E$1:E96)))))</f>
        <v>1</v>
      </c>
      <c r="L97" s="15"/>
    </row>
    <row r="98" spans="1:12" x14ac:dyDescent="0.15">
      <c r="A98" s="16" t="s">
        <v>51</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x14ac:dyDescent="0.15">
      <c r="A99" s="16" t="s">
        <v>72</v>
      </c>
      <c r="B99" t="s">
        <v>38</v>
      </c>
      <c r="C99" t="s">
        <v>35</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x14ac:dyDescent="0.15">
      <c r="A100" s="16" t="s">
        <v>50</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x14ac:dyDescent="0.15">
      <c r="A101" s="16" t="s">
        <v>51</v>
      </c>
      <c r="E101" s="9" t="str">
        <f t="shared" si="2"/>
        <v/>
      </c>
      <c r="F101" s="10" t="str">
        <f>IF(OR(E101="",E101="!!!"),"",IF(NOT(ISNA(VLOOKUP(E101,E$1:E100,1,FALSE()))),"OLD",IF(AND(E101&lt;&gt;"",E101&lt;&gt;"!!!"),"NEW","")))</f>
        <v/>
      </c>
      <c r="G101" s="11" t="str">
        <f>IF(OR(E101="",E101="!!!"),"",IF(OR(J101=0,AND(J101=1,K101=1),AND(J101=1,I101="SBJ"),AND(J101=1,I101=0)),"?IN_FOCUS",IF(J101&lt;=2,"?ACTIVATED",IF(J101&lt;&gt;"","?FAMILIAR",IF(F101="NEW",IF(ISNA(VLOOKUP(E101,#REF!,1,FALSE())),"?TYPE_IDENTIFIABLE","?REFERENTIAL"),"_")))))</f>
        <v/>
      </c>
      <c r="H101" s="12" t="str">
        <f t="shared" ca="1" si="3"/>
        <v/>
      </c>
      <c r="I101" s="13" t="str">
        <f>IF(OR(E101="",E101="!!!",F101="NEW"),"",INDEX(B$2:B100,-1+SUMPRODUCT(MAX(ROW(E$2:E100)*(E101=E$2:E100)))))</f>
        <v/>
      </c>
      <c r="J101" s="14" t="str">
        <f ca="1">IF(OR(E101="",E101="!!!",F101="NEW"),"",COUNTBLANK(OFFSET(A$1,,,SUMPRODUCT(MAX(ROW(E$2:E101)*(E101=E$2:E101)))))-COUNTBLANK(OFFSET(A$1,,,SUMPRODUCT(MAX(ROW(E$1:E100)*(E101=E$1:E100))))))</f>
        <v/>
      </c>
      <c r="K101" s="14" t="str">
        <f>IF(OR(E101="",E101="!!!",F101="NEW"),"",INDEX(J$1:J100,SUMPRODUCT(MAX(ROW(E$1:E100)*(E101=E$1:E100)))))</f>
        <v/>
      </c>
      <c r="L101" s="15"/>
    </row>
    <row r="102" spans="1:12" x14ac:dyDescent="0.15">
      <c r="A102" s="16" t="s">
        <v>24</v>
      </c>
      <c r="E102" s="9" t="str">
        <f t="shared" si="2"/>
        <v/>
      </c>
      <c r="F102" s="10" t="str">
        <f>IF(OR(E102="",E102="!!!"),"",IF(NOT(ISNA(VLOOKUP(E102,E$1:E101,1,FALSE()))),"OLD",IF(AND(E102&lt;&gt;"",E102&lt;&gt;"!!!"),"NEW","")))</f>
        <v/>
      </c>
      <c r="G102" s="11" t="str">
        <f>IF(OR(E102="",E102="!!!"),"",IF(OR(J102=0,AND(J102=1,K102=1),AND(J102=1,I102="SBJ"),AND(J102=1,I102=0)),"?IN_FOCUS",IF(J102&lt;=2,"?ACTIVATED",IF(J102&lt;&gt;"","?FAMILIAR",IF(F102="NEW",IF(ISNA(VLOOKUP(E102,#REF!,1,FALSE())),"?TYPE_IDENTIFIABLE","?REFERENTIAL"),"_")))))</f>
        <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x14ac:dyDescent="0.15">
      <c r="A103" s="16" t="s">
        <v>14</v>
      </c>
      <c r="E103" s="9" t="str">
        <f t="shared" si="2"/>
        <v/>
      </c>
      <c r="F103" s="10" t="str">
        <f>IF(OR(E103="",E103="!!!"),"",IF(NOT(ISNA(VLOOKUP(E103,E$1:E102,1,FALSE()))),"OLD",IF(AND(E103&lt;&gt;"",E103&lt;&gt;"!!!"),"NEW","")))</f>
        <v/>
      </c>
      <c r="G103" s="11" t="str">
        <f>IF(OR(E103="",E103="!!!"),"",IF(OR(J103=0,AND(J103=1,K103=1),AND(J103=1,I103="SBJ"),AND(J103=1,I103=0)),"?IN_FOCUS",IF(J103&lt;=2,"?ACTIVATED",IF(J103&lt;&gt;"","?FAMILIAR",IF(F103="NEW",IF(ISNA(VLOOKUP(E103,#REF!,1,FALSE())),"?TYPE_IDENTIFIABLE","?REFERENTIAL"),"_")))))</f>
        <v/>
      </c>
      <c r="H103" s="12" t="str">
        <f t="shared" ca="1" si="3"/>
        <v/>
      </c>
      <c r="I103" s="13" t="str">
        <f>IF(OR(E103="",E103="!!!",F103="NEW"),"",INDEX(B$2:B102,-1+SUMPRODUCT(MAX(ROW(E$2:E102)*(E103=E$2:E102)))))</f>
        <v/>
      </c>
      <c r="J103" s="14" t="str">
        <f ca="1">IF(OR(E103="",E103="!!!",F103="NEW"),"",COUNTBLANK(OFFSET(A$1,,,SUMPRODUCT(MAX(ROW(E$2:E103)*(E103=E$2:E103)))))-COUNTBLANK(OFFSET(A$1,,,SUMPRODUCT(MAX(ROW(E$1:E102)*(E103=E$1:E102))))))</f>
        <v/>
      </c>
      <c r="K103" s="14" t="str">
        <f>IF(OR(E103="",E103="!!!",F103="NEW"),"",INDEX(J$1:J102,SUMPRODUCT(MAX(ROW(E$1:E102)*(E103=E$1:E102)))))</f>
        <v/>
      </c>
      <c r="L103" s="15"/>
    </row>
    <row r="104" spans="1:12" x14ac:dyDescent="0.15">
      <c r="A104" s="16" t="s">
        <v>69</v>
      </c>
      <c r="B104" t="s">
        <v>38</v>
      </c>
      <c r="C104" t="s">
        <v>23</v>
      </c>
      <c r="D104" t="s">
        <v>19</v>
      </c>
      <c r="E104" s="9" t="s">
        <v>34</v>
      </c>
      <c r="F104" s="10" t="str">
        <f>IF(OR(E104="",E104="!!!"),"",IF(NOT(ISNA(VLOOKUP(E104,E$1:E103,1,FALSE()))),"OLD",IF(AND(E104&lt;&gt;"",E104&lt;&gt;"!!!"),"NEW","")))</f>
        <v>OLD</v>
      </c>
      <c r="G104" s="11" t="s">
        <v>203</v>
      </c>
      <c r="H104" s="12"/>
      <c r="I104" s="13" t="str">
        <f>IF(OR(E104="",E104="!!!",F104="NEW"),"",INDEX(B$2:B103,-1+SUMPRODUCT(MAX(ROW(E$2:E103)*(E104=E$2:E103)))))</f>
        <v>other</v>
      </c>
      <c r="J104" s="14">
        <f ca="1">IF(OR(E104="",E104="!!!",F104="NEW"),"",COUNTBLANK(OFFSET(A$1,,,SUMPRODUCT(MAX(ROW(E$2:E104)*(E104=E$2:E104)))))-COUNTBLANK(OFFSET(A$1,,,SUMPRODUCT(MAX(ROW(E$1:E103)*(E104=E$1:E103))))))</f>
        <v>1</v>
      </c>
      <c r="K104" s="14" t="str">
        <f ca="1">IF(OR(E104="",E104="!!!",F104="NEW"),"",INDEX(J$1:J103,SUMPRODUCT(MAX(ROW(E$1:E103)*(E104=E$1:E103)))))</f>
        <v/>
      </c>
      <c r="L104" s="15"/>
    </row>
    <row r="105" spans="1:12" x14ac:dyDescent="0.15">
      <c r="A105" s="16" t="s">
        <v>73</v>
      </c>
      <c r="B105" t="s">
        <v>63</v>
      </c>
      <c r="C105" t="s">
        <v>64</v>
      </c>
      <c r="D105" t="s">
        <v>19</v>
      </c>
      <c r="E105" s="9" t="s">
        <v>199</v>
      </c>
      <c r="F105" s="10" t="str">
        <f>IF(OR(E105="",E105="!!!"),"",IF(NOT(ISNA(VLOOKUP(E105,E$1:E104,1,FALSE()))),"OLD",IF(AND(E105&lt;&gt;"",E105&lt;&gt;"!!!"),"NEW","")))</f>
        <v>OLD</v>
      </c>
      <c r="G105" s="11" t="s">
        <v>208</v>
      </c>
      <c r="H105" s="12" t="str">
        <f t="shared" ca="1" si="3"/>
        <v/>
      </c>
      <c r="I105" s="13" t="str">
        <f>IF(OR(E105="",E105="!!!",F105="NEW"),"",INDEX(B$2:B104,-1+SUMPRODUCT(MAX(ROW(E$2:E104)*(E105=E$2:E104)))))</f>
        <v>SBJ</v>
      </c>
      <c r="J105" s="14">
        <f ca="1">IF(OR(E105="",E105="!!!",F105="NEW"),"",COUNTBLANK(OFFSET(A$1,,,SUMPRODUCT(MAX(ROW(E$2:E105)*(E105=E$2:E105)))))-COUNTBLANK(OFFSET(A$1,,,SUMPRODUCT(MAX(ROW(E$1:E104)*(E105=E$1:E104))))))</f>
        <v>0</v>
      </c>
      <c r="K105" s="14">
        <f ca="1">IF(OR(E105="",E105="!!!",F105="NEW"),"",INDEX(J$1:J104,SUMPRODUCT(MAX(ROW(E$1:E104)*(E105=E$1:E104)))))</f>
        <v>1</v>
      </c>
      <c r="L105" s="15"/>
    </row>
    <row r="106" spans="1:12" x14ac:dyDescent="0.15">
      <c r="A106" s="16" t="s">
        <v>71</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x14ac:dyDescent="0.15">
      <c r="A107" s="16" t="s">
        <v>51</v>
      </c>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x14ac:dyDescent="0.15">
      <c r="A108" s="16" t="s">
        <v>74</v>
      </c>
      <c r="B108" t="s">
        <v>75</v>
      </c>
      <c r="C108" t="s">
        <v>35</v>
      </c>
      <c r="E108" s="9" t="str">
        <f t="shared" si="2"/>
        <v/>
      </c>
      <c r="F108" s="10" t="str">
        <f>IF(OR(E108="",E108="!!!"),"",IF(NOT(ISNA(VLOOKUP(E108,E$1:E107,1,FALSE()))),"OLD",IF(AND(E108&lt;&gt;"",E108&lt;&gt;"!!!"),"NEW","")))</f>
        <v/>
      </c>
      <c r="G108" s="11" t="str">
        <f>IF(OR(E108="",E108="!!!"),"",IF(OR(J108=0,AND(J108=1,K108=1),AND(J108=1,I108="SBJ"),AND(J108=1,I108=0)),"?IN_FOCUS",IF(J108&lt;=2,"?ACTIVATED",IF(J108&lt;&gt;"","?FAMILIAR",IF(F108="NEW",IF(ISNA(VLOOKUP(E108,#REF!,1,FALSE())),"?TYPE_IDENTIFIABLE","?REFERENTIAL"),"_")))))</f>
        <v/>
      </c>
      <c r="H108" s="12" t="str">
        <f t="shared" ca="1" si="3"/>
        <v/>
      </c>
      <c r="I108" s="13" t="str">
        <f>IF(OR(E108="",E108="!!!",F108="NEW"),"",INDEX(B$2:B107,-1+SUMPRODUCT(MAX(ROW(E$2:E107)*(E108=E$2:E107)))))</f>
        <v/>
      </c>
      <c r="J108" s="14" t="str">
        <f ca="1">IF(OR(E108="",E108="!!!",F108="NEW"),"",COUNTBLANK(OFFSET(A$1,,,SUMPRODUCT(MAX(ROW(E$2:E108)*(E108=E$2:E108)))))-COUNTBLANK(OFFSET(A$1,,,SUMPRODUCT(MAX(ROW(E$1:E107)*(E108=E$1:E107))))))</f>
        <v/>
      </c>
      <c r="K108" s="14" t="str">
        <f>IF(OR(E108="",E108="!!!",F108="NEW"),"",INDEX(J$1:J107,SUMPRODUCT(MAX(ROW(E$1:E107)*(E108=E$1:E107)))))</f>
        <v/>
      </c>
      <c r="L108" s="15"/>
    </row>
    <row r="109" spans="1:12" x14ac:dyDescent="0.15">
      <c r="A109" s="16" t="s">
        <v>27</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x14ac:dyDescent="0.15">
      <c r="A110" s="16" t="s">
        <v>51</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x14ac:dyDescent="0.15">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x14ac:dyDescent="0.15">
      <c r="A112" s="16" t="s">
        <v>76</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x14ac:dyDescent="0.15">
      <c r="A113" s="16" t="s">
        <v>77</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x14ac:dyDescent="0.15">
      <c r="A114" s="16" t="s">
        <v>30</v>
      </c>
      <c r="E114" s="9" t="str">
        <f t="shared" si="2"/>
        <v/>
      </c>
      <c r="F114" s="10" t="str">
        <f>IF(OR(E114="",E114="!!!"),"",IF(NOT(ISNA(VLOOKUP(E114,E$1:E113,1,FALSE()))),"OLD",IF(AND(E114&lt;&gt;"",E114&lt;&gt;"!!!"),"NEW","")))</f>
        <v/>
      </c>
      <c r="G114" s="11" t="str">
        <f>IF(OR(E114="",E114="!!!"),"",IF(OR(J114=0,AND(J114=1,K114=1),AND(J114=1,I114="SBJ"),AND(J114=1,I114=0)),"?IN_FOCUS",IF(J114&lt;=2,"?ACTIVATED",IF(J114&lt;&gt;"","?FAMILIAR",IF(F114="NEW",IF(ISNA(VLOOKUP(E114,#REF!,1,FALSE())),"?TYPE_IDENTIFIABLE","?REFERENTIAL"),"_")))))</f>
        <v/>
      </c>
      <c r="H114" s="12" t="str">
        <f t="shared" ca="1" si="3"/>
        <v/>
      </c>
      <c r="I114" s="13" t="str">
        <f>IF(OR(E114="",E114="!!!",F114="NEW"),"",INDEX(B$2:B113,-1+SUMPRODUCT(MAX(ROW(E$2:E113)*(E114=E$2:E113)))))</f>
        <v/>
      </c>
      <c r="J114" s="14" t="str">
        <f ca="1">IF(OR(E114="",E114="!!!",F114="NEW"),"",COUNTBLANK(OFFSET(A$1,,,SUMPRODUCT(MAX(ROW(E$2:E114)*(E114=E$2:E114)))))-COUNTBLANK(OFFSET(A$1,,,SUMPRODUCT(MAX(ROW(E$1:E113)*(E114=E$1:E113))))))</f>
        <v/>
      </c>
      <c r="K114" s="14" t="str">
        <f>IF(OR(E114="",E114="!!!",F114="NEW"),"",INDEX(J$1:J113,SUMPRODUCT(MAX(ROW(E$1:E113)*(E114=E$1:E113)))))</f>
        <v/>
      </c>
      <c r="L114" s="15"/>
    </row>
    <row r="115" spans="1:12" x14ac:dyDescent="0.15">
      <c r="A115" s="16" t="s">
        <v>78</v>
      </c>
      <c r="B115" t="s">
        <v>17</v>
      </c>
      <c r="C115" t="s">
        <v>35</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x14ac:dyDescent="0.15">
      <c r="A116" s="16" t="s">
        <v>24</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x14ac:dyDescent="0.15">
      <c r="A117" s="16" t="s">
        <v>53</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x14ac:dyDescent="0.15">
      <c r="A118" s="16" t="s">
        <v>30</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x14ac:dyDescent="0.15">
      <c r="A119" s="16" t="s">
        <v>79</v>
      </c>
      <c r="B119" t="s">
        <v>63</v>
      </c>
      <c r="C119" t="s">
        <v>35</v>
      </c>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x14ac:dyDescent="0.15">
      <c r="A120" s="16" t="s">
        <v>50</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x14ac:dyDescent="0.15">
      <c r="A121" s="16" t="s">
        <v>80</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x14ac:dyDescent="0.15">
      <c r="A122" s="16" t="s">
        <v>72</v>
      </c>
      <c r="B122" t="s">
        <v>81</v>
      </c>
      <c r="C122" t="s">
        <v>82</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x14ac:dyDescent="0.15">
      <c r="A123" s="16" t="s">
        <v>27</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x14ac:dyDescent="0.15">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x14ac:dyDescent="0.15">
      <c r="A125" s="16" t="s">
        <v>47</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x14ac:dyDescent="0.15">
      <c r="A126" s="16" t="s">
        <v>83</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x14ac:dyDescent="0.15">
      <c r="A127" s="16" t="s">
        <v>16</v>
      </c>
      <c r="B127" t="s">
        <v>17</v>
      </c>
      <c r="C127" t="s">
        <v>18</v>
      </c>
      <c r="D127" t="s">
        <v>19</v>
      </c>
      <c r="E127" s="9" t="s">
        <v>199</v>
      </c>
      <c r="F127" s="10" t="str">
        <f>IF(OR(E127="",E127="!!!"),"",IF(NOT(ISNA(VLOOKUP(E127,E$1:E126,1,FALSE()))),"OLD",IF(AND(E127&lt;&gt;"",E127&lt;&gt;"!!!"),"NEW","")))</f>
        <v>OLD</v>
      </c>
      <c r="G127" s="11" t="s">
        <v>203</v>
      </c>
      <c r="H127" s="12" t="str">
        <f t="shared" ca="1" si="3"/>
        <v/>
      </c>
      <c r="I127" s="13" t="str">
        <f>IF(OR(E127="",E127="!!!",F127="NEW"),"",INDEX(B$2:B126,-1+SUMPRODUCT(MAX(ROW(E$2:E126)*(E127=E$2:E126)))))</f>
        <v>SBJ_3</v>
      </c>
      <c r="J127" s="14">
        <f ca="1">IF(OR(E127="",E127="!!!",F127="NEW"),"",COUNTBLANK(OFFSET(A$1,,,SUMPRODUCT(MAX(ROW(E$2:E127)*(E127=E$2:E127)))))-COUNTBLANK(OFFSET(A$1,,,SUMPRODUCT(MAX(ROW(E$1:E126)*(E127=E$1:E126))))))</f>
        <v>2</v>
      </c>
      <c r="K127" s="14">
        <f ca="1">IF(OR(E127="",E127="!!!",F127="NEW"),"",INDEX(J$1:J126,SUMPRODUCT(MAX(ROW(E$1:E126)*(E127=E$1:E126)))))</f>
        <v>0</v>
      </c>
      <c r="L127" s="15"/>
    </row>
    <row r="128" spans="1:12" x14ac:dyDescent="0.15">
      <c r="A128" s="16" t="s">
        <v>49</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x14ac:dyDescent="0.15">
      <c r="A129" s="16" t="s">
        <v>50</v>
      </c>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x14ac:dyDescent="0.15">
      <c r="A130" s="16" t="s">
        <v>51</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ca="1" si="3"/>
        <v/>
      </c>
      <c r="I130" s="13" t="str">
        <f>IF(OR(E130="",E130="!!!",F130="NEW"),"",INDEX(B$2:B129,-1+SUMPRODUCT(MAX(ROW(E$2:E129)*(E130=E$2:E129)))))</f>
        <v/>
      </c>
      <c r="J130" s="14" t="str">
        <f ca="1">IF(OR(E130="",E130="!!!",F130="NEW"),"",COUNTBLANK(OFFSET(A$1,,,SUMPRODUCT(MAX(ROW(E$2:E130)*(E130=E$2:E130)))))-COUNTBLANK(OFFSET(A$1,,,SUMPRODUCT(MAX(ROW(E$1:E129)*(E130=E$1:E129))))))</f>
        <v/>
      </c>
      <c r="K130" s="14" t="str">
        <f>IF(OR(E130="",E130="!!!",F130="NEW"),"",INDEX(J$1:J129,SUMPRODUCT(MAX(ROW(E$1:E129)*(E130=E$1:E129)))))</f>
        <v/>
      </c>
      <c r="L130" s="15"/>
    </row>
    <row r="131" spans="1:12" x14ac:dyDescent="0.15">
      <c r="A131" s="16" t="s">
        <v>52</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x14ac:dyDescent="0.15">
      <c r="A132" s="16" t="s">
        <v>53</v>
      </c>
      <c r="B132" t="s">
        <v>54</v>
      </c>
      <c r="C132" t="s">
        <v>55</v>
      </c>
      <c r="D132" t="s">
        <v>19</v>
      </c>
      <c r="E132" s="9" t="s">
        <v>77</v>
      </c>
      <c r="F132" s="10" t="str">
        <f>IF(OR(E132="",E132="!!!"),"",IF(NOT(ISNA(VLOOKUP(E132,E$1:E131,1,FALSE()))),"OLD",IF(AND(E132&lt;&gt;"",E132&lt;&gt;"!!!"),"NEW","")))</f>
        <v>OLD</v>
      </c>
      <c r="G132" s="11" t="s">
        <v>206</v>
      </c>
      <c r="H132" s="12" t="str">
        <f t="shared" ref="H132:H195" ca="1" si="4">IF(J132&lt;&gt;1,"",IF(I132="SBJ","CB","?"))</f>
        <v/>
      </c>
      <c r="I132" s="13" t="str">
        <f>IF(OR(E132="",E132="!!!",F132="NEW"),"",INDEX(B$2:B131,-1+SUMPRODUCT(MAX(ROW(E$2:E131)*(E132=E$2:E131)))))</f>
        <v>OBJ_2</v>
      </c>
      <c r="J132" s="14">
        <f ca="1">IF(OR(E132="",E132="!!!",F132="NEW"),"",COUNTBLANK(OFFSET(A$1,,,SUMPRODUCT(MAX(ROW(E$2:E132)*(E132=E$2:E132)))))-COUNTBLANK(OFFSET(A$1,,,SUMPRODUCT(MAX(ROW(E$1:E131)*(E132=E$1:E131))))))</f>
        <v>5</v>
      </c>
      <c r="K132" s="14" t="str">
        <f ca="1">IF(OR(E132="",E132="!!!",F132="NEW"),"",INDEX(J$1:J131,SUMPRODUCT(MAX(ROW(E$1:E131)*(E132=E$1:E131)))))</f>
        <v/>
      </c>
      <c r="L132" s="15"/>
    </row>
    <row r="133" spans="1:12" x14ac:dyDescent="0.15">
      <c r="A133" s="16" t="s">
        <v>56</v>
      </c>
      <c r="E133" s="9" t="str">
        <f t="shared" ref="E133:E195" si="5">IF(D133="?OLD","!!!","")</f>
        <v/>
      </c>
      <c r="F133" s="10" t="str">
        <f>IF(OR(E133="",E133="!!!"),"",IF(NOT(ISNA(VLOOKUP(E133,E$1:E132,1,FALSE()))),"OLD",IF(AND(E133&lt;&gt;"",E133&lt;&gt;"!!!"),"NEW","")))</f>
        <v/>
      </c>
      <c r="G133" s="11" t="str">
        <f>IF(OR(E133="",E133="!!!"),"",IF(OR(J133=0,AND(J133=1,K133=1),AND(J133=1,I133="SBJ"),AND(J133=1,I133=0)),"?IN_FOCUS",IF(J133&lt;=2,"?ACTIVATED",IF(J133&lt;&gt;"","?FAMILIAR",IF(F133="NEW",IF(ISNA(VLOOKUP(E133,#REF!,1,FALSE())),"?TYPE_IDENTIFIABLE","?REFERENTIAL"),"_")))))</f>
        <v/>
      </c>
      <c r="H133" s="12" t="str">
        <f t="shared" ca="1" si="4"/>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x14ac:dyDescent="0.15">
      <c r="A134" s="16" t="s">
        <v>84</v>
      </c>
      <c r="E134" s="9" t="str">
        <f t="shared" si="5"/>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4"/>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x14ac:dyDescent="0.15">
      <c r="A135" s="16" t="s">
        <v>85</v>
      </c>
      <c r="B135" t="s">
        <v>26</v>
      </c>
      <c r="C135" t="s">
        <v>86</v>
      </c>
      <c r="E135" s="9" t="str">
        <f t="shared" si="5"/>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4"/>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x14ac:dyDescent="0.15">
      <c r="A136" s="16" t="s">
        <v>87</v>
      </c>
      <c r="E136" s="9" t="str">
        <f t="shared" si="5"/>
        <v/>
      </c>
      <c r="F136" s="10" t="str">
        <f>IF(OR(E136="",E136="!!!"),"",IF(NOT(ISNA(VLOOKUP(E136,E$1:E135,1,FALSE()))),"OLD",IF(AND(E136&lt;&gt;"",E136&lt;&gt;"!!!"),"NEW","")))</f>
        <v/>
      </c>
      <c r="G136" s="11" t="str">
        <f>IF(OR(E136="",E136="!!!"),"",IF(OR(J136=0,AND(J136=1,K136=1),AND(J136=1,I136="SBJ"),AND(J136=1,I136=0)),"?IN_FOCUS",IF(J136&lt;=2,"?ACTIVATED",IF(J136&lt;&gt;"","?FAMILIAR",IF(F136="NEW",IF(ISNA(VLOOKUP(E136,#REF!,1,FALSE())),"?TYPE_IDENTIFIABLE","?REFERENTIAL"),"_")))))</f>
        <v/>
      </c>
      <c r="H136" s="12" t="str">
        <f t="shared" ca="1" si="4"/>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x14ac:dyDescent="0.15">
      <c r="A137" s="16" t="s">
        <v>14</v>
      </c>
      <c r="E137" s="9" t="str">
        <f t="shared" si="5"/>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4"/>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x14ac:dyDescent="0.15">
      <c r="A138" s="16" t="s">
        <v>88</v>
      </c>
      <c r="B138" t="s">
        <v>75</v>
      </c>
      <c r="C138" t="s">
        <v>23</v>
      </c>
      <c r="D138" t="s">
        <v>19</v>
      </c>
      <c r="E138" s="9" t="s">
        <v>210</v>
      </c>
      <c r="F138" s="10" t="str">
        <f>IF(OR(E138="",E138="!!!"),"",IF(NOT(ISNA(VLOOKUP(E138,E$1:E137,1,FALSE()))),"OLD",IF(AND(E138&lt;&gt;"",E138&lt;&gt;"!!!"),"NEW","")))</f>
        <v>NEW</v>
      </c>
      <c r="G138" s="11" t="s">
        <v>200</v>
      </c>
      <c r="H138" s="12" t="str">
        <f t="shared" ca="1" si="4"/>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x14ac:dyDescent="0.15">
      <c r="A139" s="16" t="s">
        <v>39</v>
      </c>
      <c r="E139" s="9" t="str">
        <f t="shared" si="5"/>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4"/>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x14ac:dyDescent="0.15">
      <c r="A140" s="16" t="s">
        <v>14</v>
      </c>
      <c r="E140" s="9" t="str">
        <f t="shared" si="5"/>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ca="1" si="4"/>
        <v/>
      </c>
      <c r="I140" s="13" t="str">
        <f>IF(OR(E140="",E140="!!!",F140="NEW"),"",INDEX(B$2:B139,-1+SUMPRODUCT(MAX(ROW(E$2:E139)*(E140=E$2:E139)))))</f>
        <v/>
      </c>
      <c r="J140" s="14" t="str">
        <f ca="1">IF(OR(E140="",E140="!!!",F140="NEW"),"",COUNTBLANK(OFFSET(A$1,,,SUMPRODUCT(MAX(ROW(E$2:E140)*(E140=E$2:E140)))))-COUNTBLANK(OFFSET(A$1,,,SUMPRODUCT(MAX(ROW(E$1:E139)*(E140=E$1:E139))))))</f>
        <v/>
      </c>
      <c r="K140" s="14" t="str">
        <f>IF(OR(E140="",E140="!!!",F140="NEW"),"",INDEX(J$1:J139,SUMPRODUCT(MAX(ROW(E$1:E139)*(E140=E$1:E139)))))</f>
        <v/>
      </c>
      <c r="L140" s="15"/>
    </row>
    <row r="141" spans="1:12" x14ac:dyDescent="0.15">
      <c r="A141" s="16" t="s">
        <v>46</v>
      </c>
      <c r="B141" t="s">
        <v>81</v>
      </c>
      <c r="C141" t="s">
        <v>23</v>
      </c>
      <c r="D141" t="s">
        <v>19</v>
      </c>
      <c r="E141" s="9" t="s">
        <v>207</v>
      </c>
      <c r="F141" s="10" t="str">
        <f>IF(OR(E141="",E141="!!!"),"",IF(NOT(ISNA(VLOOKUP(E141,E$1:E140,1,FALSE()))),"OLD",IF(AND(E141&lt;&gt;"",E141&lt;&gt;"!!!"),"NEW","")))</f>
        <v>OLD</v>
      </c>
      <c r="G141" s="11" t="s">
        <v>206</v>
      </c>
      <c r="H141" s="12" t="str">
        <f t="shared" ca="1" si="4"/>
        <v/>
      </c>
      <c r="I141" s="13" t="str">
        <f>IF(OR(E141="",E141="!!!",F141="NEW"),"",INDEX(B$2:B140,-1+SUMPRODUCT(MAX(ROW(E$2:E140)*(E141=E$2:E140)))))</f>
        <v>other_2</v>
      </c>
      <c r="J141" s="14">
        <f ca="1">IF(OR(E141="",E141="!!!",F141="NEW"),"",COUNTBLANK(OFFSET(A$1,,,SUMPRODUCT(MAX(ROW(E$2:E141)*(E141=E$2:E141)))))-COUNTBLANK(OFFSET(A$1,,,SUMPRODUCT(MAX(ROW(E$1:E140)*(E141=E$1:E140))))))</f>
        <v>6</v>
      </c>
      <c r="K141" s="14" t="str">
        <f ca="1">IF(OR(E141="",E141="!!!",F141="NEW"),"",INDEX(J$1:J140,SUMPRODUCT(MAX(ROW(E$1:E140)*(E141=E$1:E140)))))</f>
        <v/>
      </c>
      <c r="L141" s="15"/>
    </row>
    <row r="142" spans="1:12" x14ac:dyDescent="0.15">
      <c r="A142" s="16" t="s">
        <v>50</v>
      </c>
      <c r="E142" s="9" t="str">
        <f t="shared" si="5"/>
        <v/>
      </c>
      <c r="F142" s="10" t="str">
        <f>IF(OR(E142="",E142="!!!"),"",IF(NOT(ISNA(VLOOKUP(E142,E$1:E141,1,FALSE()))),"OLD",IF(AND(E142&lt;&gt;"",E142&lt;&gt;"!!!"),"NEW","")))</f>
        <v/>
      </c>
      <c r="G142" s="11" t="str">
        <f>IF(OR(E142="",E142="!!!"),"",IF(OR(J142=0,AND(J142=1,K142=1),AND(J142=1,I142="SBJ"),AND(J142=1,I142=0)),"?IN_FOCUS",IF(J142&lt;=2,"?ACTIVATED",IF(J142&lt;&gt;"","?FAMILIAR",IF(F142="NEW",IF(ISNA(VLOOKUP(E142,#REF!,1,FALSE())),"?TYPE_IDENTIFIABLE","?REFERENTIAL"),"_")))))</f>
        <v/>
      </c>
      <c r="H142" s="12" t="str">
        <f t="shared" ca="1" si="4"/>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x14ac:dyDescent="0.15">
      <c r="A143" s="16" t="s">
        <v>24</v>
      </c>
      <c r="E143" s="9" t="str">
        <f t="shared" si="5"/>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4"/>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x14ac:dyDescent="0.15">
      <c r="A144" s="16" t="s">
        <v>89</v>
      </c>
      <c r="E144" s="9" t="str">
        <f t="shared" si="5"/>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4"/>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x14ac:dyDescent="0.15">
      <c r="A145" s="16" t="s">
        <v>62</v>
      </c>
      <c r="B145" t="s">
        <v>54</v>
      </c>
      <c r="C145" t="s">
        <v>64</v>
      </c>
      <c r="D145" t="s">
        <v>19</v>
      </c>
      <c r="E145" s="9" t="s">
        <v>211</v>
      </c>
      <c r="F145" s="10" t="str">
        <f>IF(OR(E145="",E145="!!!"),"",IF(NOT(ISNA(VLOOKUP(E145,E$1:E144,1,FALSE()))),"OLD",IF(AND(E145&lt;&gt;"",E145&lt;&gt;"!!!"),"NEW","")))</f>
        <v>NEW</v>
      </c>
      <c r="G145" s="11" t="s">
        <v>200</v>
      </c>
      <c r="H145" s="12" t="str">
        <f t="shared" ca="1" si="4"/>
        <v/>
      </c>
      <c r="I145" s="13" t="str">
        <f>IF(OR(E145="",E145="!!!",F145="NEW"),"",INDEX(B$2:B144,-1+SUMPRODUCT(MAX(ROW(E$2:E144)*(E145=E$2:E144)))))</f>
        <v/>
      </c>
      <c r="J145" s="14" t="str">
        <f ca="1">IF(OR(E145="",E145="!!!",F145="NEW"),"",COUNTBLANK(OFFSET(A$1,,,SUMPRODUCT(MAX(ROW(E$2:E145)*(E145=E$2:E145)))))-COUNTBLANK(OFFSET(A$1,,,SUMPRODUCT(MAX(ROW(E$1:E144)*(E145=E$1:E144))))))</f>
        <v/>
      </c>
      <c r="K145" s="14" t="str">
        <f>IF(OR(E145="",E145="!!!",F145="NEW"),"",INDEX(J$1:J144,SUMPRODUCT(MAX(ROW(E$1:E144)*(E145=E$1:E144)))))</f>
        <v/>
      </c>
      <c r="L145" s="15"/>
    </row>
    <row r="146" spans="1:12" x14ac:dyDescent="0.15">
      <c r="A146" s="16" t="s">
        <v>90</v>
      </c>
      <c r="E146" s="9" t="str">
        <f t="shared" si="5"/>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4"/>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x14ac:dyDescent="0.15">
      <c r="A147" s="16" t="s">
        <v>14</v>
      </c>
      <c r="E147" s="9" t="str">
        <f t="shared" si="5"/>
        <v/>
      </c>
      <c r="F147" s="10" t="str">
        <f>IF(OR(E147="",E147="!!!"),"",IF(NOT(ISNA(VLOOKUP(E147,E$1:E146,1,FALSE()))),"OLD",IF(AND(E147&lt;&gt;"",E147&lt;&gt;"!!!"),"NEW","")))</f>
        <v/>
      </c>
      <c r="G147" s="11" t="str">
        <f>IF(OR(E147="",E147="!!!"),"",IF(OR(J147=0,AND(J147=1,K147=1),AND(J147=1,I147="SBJ"),AND(J147=1,I147=0)),"?IN_FOCUS",IF(J147&lt;=2,"?ACTIVATED",IF(J147&lt;&gt;"","?FAMILIAR",IF(F147="NEW",IF(ISNA(VLOOKUP(E147,#REF!,1,FALSE())),"?TYPE_IDENTIFIABLE","?REFERENTIAL"),"_")))))</f>
        <v/>
      </c>
      <c r="H147" s="12" t="str">
        <f t="shared" ca="1" si="4"/>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x14ac:dyDescent="0.15">
      <c r="A148" s="16" t="s">
        <v>46</v>
      </c>
      <c r="B148" t="s">
        <v>91</v>
      </c>
      <c r="C148" t="s">
        <v>23</v>
      </c>
      <c r="D148" t="s">
        <v>19</v>
      </c>
      <c r="E148" s="9" t="s">
        <v>207</v>
      </c>
      <c r="F148" s="10" t="str">
        <f>IF(OR(E148="",E148="!!!"),"",IF(NOT(ISNA(VLOOKUP(E148,E$1:E147,1,FALSE()))),"OLD",IF(AND(E148&lt;&gt;"",E148&lt;&gt;"!!!"),"NEW","")))</f>
        <v>OLD</v>
      </c>
      <c r="G148" s="11" t="s">
        <v>208</v>
      </c>
      <c r="H148" s="12" t="str">
        <f t="shared" ca="1" si="4"/>
        <v/>
      </c>
      <c r="I148" s="13" t="str">
        <f>IF(OR(E148="",E148="!!!",F148="NEW"),"",INDEX(B$2:B147,-1+SUMPRODUCT(MAX(ROW(E$2:E147)*(E148=E$2:E147)))))</f>
        <v>other_4</v>
      </c>
      <c r="J148" s="14">
        <f ca="1">IF(OR(E148="",E148="!!!",F148="NEW"),"",COUNTBLANK(OFFSET(A$1,,,SUMPRODUCT(MAX(ROW(E$2:E148)*(E148=E$2:E148)))))-COUNTBLANK(OFFSET(A$1,,,SUMPRODUCT(MAX(ROW(E$1:E147)*(E148=E$1:E147))))))</f>
        <v>0</v>
      </c>
      <c r="K148" s="14">
        <f ca="1">IF(OR(E148="",E148="!!!",F148="NEW"),"",INDEX(J$1:J147,SUMPRODUCT(MAX(ROW(E$1:E147)*(E148=E$1:E147)))))</f>
        <v>6</v>
      </c>
      <c r="L148" s="15"/>
    </row>
    <row r="149" spans="1:12" x14ac:dyDescent="0.15">
      <c r="A149" s="16" t="s">
        <v>68</v>
      </c>
      <c r="E149" s="9" t="str">
        <f t="shared" si="5"/>
        <v/>
      </c>
      <c r="F149" s="10" t="str">
        <f>IF(OR(E149="",E149="!!!"),"",IF(NOT(ISNA(VLOOKUP(E149,E$1:E148,1,FALSE()))),"OLD",IF(AND(E149&lt;&gt;"",E149&lt;&gt;"!!!"),"NEW","")))</f>
        <v/>
      </c>
      <c r="G149" s="11" t="str">
        <f>IF(OR(E149="",E149="!!!"),"",IF(OR(J149=0,AND(J149=1,K149=1),AND(J149=1,I149="SBJ"),AND(J149=1,I149=0)),"?IN_FOCUS",IF(J149&lt;=2,"?ACTIVATED",IF(J149&lt;&gt;"","?FAMILIAR",IF(F149="NEW",IF(ISNA(VLOOKUP(E149,#REF!,1,FALSE())),"?TYPE_IDENTIFIABLE","?REFERENTIAL"),"_")))))</f>
        <v/>
      </c>
      <c r="H149" s="12" t="str">
        <f t="shared" ca="1" si="4"/>
        <v/>
      </c>
      <c r="I149" s="13" t="str">
        <f>IF(OR(E149="",E149="!!!",F149="NEW"),"",INDEX(B$2:B148,-1+SUMPRODUCT(MAX(ROW(E$2:E148)*(E149=E$2:E148)))))</f>
        <v/>
      </c>
      <c r="J149" s="14" t="str">
        <f ca="1">IF(OR(E149="",E149="!!!",F149="NEW"),"",COUNTBLANK(OFFSET(A$1,,,SUMPRODUCT(MAX(ROW(E$2:E149)*(E149=E$2:E149)))))-COUNTBLANK(OFFSET(A$1,,,SUMPRODUCT(MAX(ROW(E$1:E148)*(E149=E$1:E148))))))</f>
        <v/>
      </c>
      <c r="K149" s="14" t="str">
        <f>IF(OR(E149="",E149="!!!",F149="NEW"),"",INDEX(J$1:J148,SUMPRODUCT(MAX(ROW(E$1:E148)*(E149=E$1:E148)))))</f>
        <v/>
      </c>
      <c r="L149" s="15"/>
    </row>
    <row r="150" spans="1:12" x14ac:dyDescent="0.15">
      <c r="A150" s="16" t="s">
        <v>14</v>
      </c>
      <c r="E150" s="9" t="str">
        <f t="shared" si="5"/>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4"/>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x14ac:dyDescent="0.15">
      <c r="A151" s="16" t="s">
        <v>46</v>
      </c>
      <c r="B151" t="s">
        <v>81</v>
      </c>
      <c r="C151" t="s">
        <v>23</v>
      </c>
      <c r="D151" t="s">
        <v>19</v>
      </c>
      <c r="E151" s="9" t="s">
        <v>207</v>
      </c>
      <c r="F151" s="10" t="str">
        <f>IF(OR(E151="",E151="!!!"),"",IF(NOT(ISNA(VLOOKUP(E151,E$1:E150,1,FALSE()))),"OLD",IF(AND(E151&lt;&gt;"",E151&lt;&gt;"!!!"),"NEW","")))</f>
        <v>OLD</v>
      </c>
      <c r="G151" s="11" t="s">
        <v>208</v>
      </c>
      <c r="H151" s="12" t="str">
        <f t="shared" ca="1" si="4"/>
        <v/>
      </c>
      <c r="I151" s="13" t="str">
        <f>IF(OR(E151="",E151="!!!",F151="NEW"),"",INDEX(B$2:B150,-1+SUMPRODUCT(MAX(ROW(E$2:E150)*(E151=E$2:E150)))))</f>
        <v>OBJ_3</v>
      </c>
      <c r="J151" s="14">
        <f ca="1">IF(OR(E151="",E151="!!!",F151="NEW"),"",COUNTBLANK(OFFSET(A$1,,,SUMPRODUCT(MAX(ROW(E$2:E151)*(E151=E$2:E151)))))-COUNTBLANK(OFFSET(A$1,,,SUMPRODUCT(MAX(ROW(E$1:E150)*(E151=E$1:E150))))))</f>
        <v>0</v>
      </c>
      <c r="K151" s="14">
        <f ca="1">IF(OR(E151="",E151="!!!",F151="NEW"),"",INDEX(J$1:J150,SUMPRODUCT(MAX(ROW(E$1:E150)*(E151=E$1:E150)))))</f>
        <v>0</v>
      </c>
      <c r="L151" s="15"/>
    </row>
    <row r="152" spans="1:12" x14ac:dyDescent="0.15">
      <c r="A152" s="16" t="s">
        <v>27</v>
      </c>
      <c r="E152" s="9" t="str">
        <f t="shared" si="5"/>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4"/>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x14ac:dyDescent="0.15">
      <c r="A153" s="16" t="s">
        <v>51</v>
      </c>
      <c r="E153" s="9" t="str">
        <f t="shared" si="5"/>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4"/>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x14ac:dyDescent="0.15">
      <c r="E154" s="9" t="str">
        <f t="shared" si="5"/>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ca="1" si="4"/>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x14ac:dyDescent="0.15">
      <c r="A155" s="16" t="s">
        <v>92</v>
      </c>
      <c r="E155" s="9" t="str">
        <f t="shared" si="5"/>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4"/>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x14ac:dyDescent="0.15">
      <c r="A156" s="16" t="s">
        <v>16</v>
      </c>
      <c r="B156" t="s">
        <v>17</v>
      </c>
      <c r="C156" t="s">
        <v>18</v>
      </c>
      <c r="D156" t="s">
        <v>19</v>
      </c>
      <c r="E156" s="9" t="s">
        <v>199</v>
      </c>
      <c r="F156" s="10" t="str">
        <f>IF(OR(E156="",E156="!!!"),"",IF(NOT(ISNA(VLOOKUP(E156,E$1:E155,1,FALSE()))),"OLD",IF(AND(E156&lt;&gt;"",E156&lt;&gt;"!!!"),"NEW","")))</f>
        <v>OLD</v>
      </c>
      <c r="G156" s="11" t="s">
        <v>208</v>
      </c>
      <c r="H156" s="12" t="str">
        <f t="shared" ca="1" si="4"/>
        <v>CB</v>
      </c>
      <c r="I156" s="13" t="str">
        <f>IF(OR(E156="",E156="!!!",F156="NEW"),"",INDEX(B$2:B155,-1+SUMPRODUCT(MAX(ROW(E$2:E155)*(E156=E$2:E155)))))</f>
        <v>SBJ</v>
      </c>
      <c r="J156" s="14">
        <f ca="1">IF(OR(E156="",E156="!!!",F156="NEW"),"",COUNTBLANK(OFFSET(A$1,,,SUMPRODUCT(MAX(ROW(E$2:E156)*(E156=E$2:E156)))))-COUNTBLANK(OFFSET(A$1,,,SUMPRODUCT(MAX(ROW(E$1:E155)*(E156=E$1:E155))))))</f>
        <v>1</v>
      </c>
      <c r="K156" s="14">
        <f ca="1">IF(OR(E156="",E156="!!!",F156="NEW"),"",INDEX(J$1:J155,SUMPRODUCT(MAX(ROW(E$1:E155)*(E156=E$1:E155)))))</f>
        <v>2</v>
      </c>
      <c r="L156" s="15"/>
    </row>
    <row r="157" spans="1:12" x14ac:dyDescent="0.15">
      <c r="A157" s="16" t="s">
        <v>93</v>
      </c>
      <c r="E157" s="9" t="str">
        <f t="shared" si="5"/>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4"/>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x14ac:dyDescent="0.15">
      <c r="A158" s="16" t="s">
        <v>14</v>
      </c>
      <c r="E158" s="9" t="str">
        <f t="shared" si="5"/>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4"/>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x14ac:dyDescent="0.15">
      <c r="A159" s="16" t="s">
        <v>85</v>
      </c>
      <c r="B159" t="s">
        <v>22</v>
      </c>
      <c r="C159" t="s">
        <v>23</v>
      </c>
      <c r="D159" t="s">
        <v>19</v>
      </c>
      <c r="E159" s="9" t="s">
        <v>211</v>
      </c>
      <c r="F159" s="10" t="str">
        <f>IF(OR(E159="",E159="!!!"),"",IF(NOT(ISNA(VLOOKUP(E159,E$1:E158,1,FALSE()))),"OLD",IF(AND(E159&lt;&gt;"",E159&lt;&gt;"!!!"),"NEW","")))</f>
        <v>OLD</v>
      </c>
      <c r="G159" s="11" t="s">
        <v>203</v>
      </c>
      <c r="H159" s="12"/>
      <c r="I159" s="13" t="str">
        <f>IF(OR(E159="",E159="!!!",F159="NEW"),"",INDEX(B$2:B158,-1+SUMPRODUCT(MAX(ROW(E$2:E158)*(E159=E$2:E158)))))</f>
        <v>OBJ_2</v>
      </c>
      <c r="J159" s="14">
        <f ca="1">IF(OR(E159="",E159="!!!",F159="NEW"),"",COUNTBLANK(OFFSET(A$1,,,SUMPRODUCT(MAX(ROW(E$2:E159)*(E159=E$2:E159)))))-COUNTBLANK(OFFSET(A$1,,,SUMPRODUCT(MAX(ROW(E$1:E158)*(E159=E$1:E158))))))</f>
        <v>1</v>
      </c>
      <c r="K159" s="14" t="str">
        <f ca="1">IF(OR(E159="",E159="!!!",F159="NEW"),"",INDEX(J$1:J158,SUMPRODUCT(MAX(ROW(E$1:E158)*(E159=E$1:E158)))))</f>
        <v/>
      </c>
      <c r="L159" s="15"/>
    </row>
    <row r="160" spans="1:12" x14ac:dyDescent="0.15">
      <c r="A160" s="16" t="s">
        <v>50</v>
      </c>
      <c r="E160" s="9" t="str">
        <f t="shared" si="5"/>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4"/>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x14ac:dyDescent="0.15">
      <c r="A161" s="16" t="s">
        <v>24</v>
      </c>
      <c r="E161" s="9" t="str">
        <f t="shared" si="5"/>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ca="1" si="4"/>
        <v/>
      </c>
      <c r="I161" s="13" t="str">
        <f>IF(OR(E161="",E161="!!!",F161="NEW"),"",INDEX(B$2:B160,-1+SUMPRODUCT(MAX(ROW(E$2:E160)*(E161=E$2:E160)))))</f>
        <v/>
      </c>
      <c r="J161" s="14" t="str">
        <f ca="1">IF(OR(E161="",E161="!!!",F161="NEW"),"",COUNTBLANK(OFFSET(A$1,,,SUMPRODUCT(MAX(ROW(E$2:E161)*(E161=E$2:E161)))))-COUNTBLANK(OFFSET(A$1,,,SUMPRODUCT(MAX(ROW(E$1:E160)*(E161=E$1:E160))))))</f>
        <v/>
      </c>
      <c r="K161" s="14" t="str">
        <f>IF(OR(E161="",E161="!!!",F161="NEW"),"",INDEX(J$1:J160,SUMPRODUCT(MAX(ROW(E$1:E160)*(E161=E$1:E160)))))</f>
        <v/>
      </c>
      <c r="L161" s="15"/>
    </row>
    <row r="162" spans="1:12" x14ac:dyDescent="0.15">
      <c r="A162" s="16" t="s">
        <v>67</v>
      </c>
      <c r="E162" s="9" t="str">
        <f t="shared" si="5"/>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ca="1" si="4"/>
        <v/>
      </c>
      <c r="I162" s="13" t="str">
        <f>IF(OR(E162="",E162="!!!",F162="NEW"),"",INDEX(B$2:B161,-1+SUMPRODUCT(MAX(ROW(E$2:E161)*(E162=E$2:E161)))))</f>
        <v/>
      </c>
      <c r="J162" s="14" t="str">
        <f ca="1">IF(OR(E162="",E162="!!!",F162="NEW"),"",COUNTBLANK(OFFSET(A$1,,,SUMPRODUCT(MAX(ROW(E$2:E162)*(E162=E$2:E162)))))-COUNTBLANK(OFFSET(A$1,,,SUMPRODUCT(MAX(ROW(E$1:E161)*(E162=E$1:E161))))))</f>
        <v/>
      </c>
      <c r="K162" s="14" t="str">
        <f>IF(OR(E162="",E162="!!!",F162="NEW"),"",INDEX(J$1:J161,SUMPRODUCT(MAX(ROW(E$1:E161)*(E162=E$1:E161)))))</f>
        <v/>
      </c>
      <c r="L162" s="15"/>
    </row>
    <row r="163" spans="1:12" x14ac:dyDescent="0.15">
      <c r="A163" s="16" t="s">
        <v>14</v>
      </c>
      <c r="E163" s="9" t="str">
        <f t="shared" si="5"/>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ca="1" si="4"/>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x14ac:dyDescent="0.15">
      <c r="A164" s="16" t="s">
        <v>46</v>
      </c>
      <c r="B164" t="s">
        <v>54</v>
      </c>
      <c r="C164" t="s">
        <v>23</v>
      </c>
      <c r="D164" t="s">
        <v>19</v>
      </c>
      <c r="E164" s="9" t="s">
        <v>207</v>
      </c>
      <c r="F164" s="10" t="str">
        <f>IF(OR(E164="",E164="!!!"),"",IF(NOT(ISNA(VLOOKUP(E164,E$1:E163,1,FALSE()))),"OLD",IF(AND(E164&lt;&gt;"",E164&lt;&gt;"!!!"),"NEW","")))</f>
        <v>OLD</v>
      </c>
      <c r="G164" s="11" t="s">
        <v>203</v>
      </c>
      <c r="H164" s="12"/>
      <c r="I164" s="13" t="str">
        <f>IF(OR(E164="",E164="!!!",F164="NEW"),"",INDEX(B$2:B163,-1+SUMPRODUCT(MAX(ROW(E$2:E163)*(E164=E$2:E163)))))</f>
        <v>other_4</v>
      </c>
      <c r="J164" s="14">
        <f ca="1">IF(OR(E164="",E164="!!!",F164="NEW"),"",COUNTBLANK(OFFSET(A$1,,,SUMPRODUCT(MAX(ROW(E$2:E164)*(E164=E$2:E164)))))-COUNTBLANK(OFFSET(A$1,,,SUMPRODUCT(MAX(ROW(E$1:E163)*(E164=E$1:E163))))))</f>
        <v>1</v>
      </c>
      <c r="K164" s="14">
        <f ca="1">IF(OR(E164="",E164="!!!",F164="NEW"),"",INDEX(J$1:J163,SUMPRODUCT(MAX(ROW(E$1:E163)*(E164=E$1:E163)))))</f>
        <v>0</v>
      </c>
      <c r="L164" s="15"/>
    </row>
    <row r="165" spans="1:12" x14ac:dyDescent="0.15">
      <c r="A165" s="16" t="s">
        <v>94</v>
      </c>
      <c r="B165" t="s">
        <v>95</v>
      </c>
      <c r="E165" s="9" t="str">
        <f t="shared" si="5"/>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4"/>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x14ac:dyDescent="0.15">
      <c r="A166" s="16" t="s">
        <v>96</v>
      </c>
      <c r="E166" s="9" t="str">
        <f t="shared" si="5"/>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4"/>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x14ac:dyDescent="0.15">
      <c r="A167" s="16" t="s">
        <v>97</v>
      </c>
      <c r="E167" s="9" t="str">
        <f t="shared" si="5"/>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4"/>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x14ac:dyDescent="0.15">
      <c r="A168" s="16" t="s">
        <v>14</v>
      </c>
      <c r="E168" s="9" t="str">
        <f t="shared" si="5"/>
        <v/>
      </c>
      <c r="F168" s="10" t="str">
        <f>IF(OR(E168="",E168="!!!"),"",IF(NOT(ISNA(VLOOKUP(E168,E$1:E167,1,FALSE()))),"OLD",IF(AND(E168&lt;&gt;"",E168&lt;&gt;"!!!"),"NEW","")))</f>
        <v/>
      </c>
      <c r="G168" s="11" t="str">
        <f>IF(OR(E168="",E168="!!!"),"",IF(OR(J168=0,AND(J168=1,K168=1),AND(J168=1,I168="SBJ"),AND(J168=1,I168=0)),"?IN_FOCUS",IF(J168&lt;=2,"?ACTIVATED",IF(J168&lt;&gt;"","?FAMILIAR",IF(F168="NEW",IF(ISNA(VLOOKUP(E168,#REF!,1,FALSE())),"?TYPE_IDENTIFIABLE","?REFERENTIAL"),"_")))))</f>
        <v/>
      </c>
      <c r="H168" s="12" t="str">
        <f t="shared" ca="1" si="4"/>
        <v/>
      </c>
      <c r="I168" s="13" t="str">
        <f>IF(OR(E168="",E168="!!!",F168="NEW"),"",INDEX(B$2:B167,-1+SUMPRODUCT(MAX(ROW(E$2:E167)*(E168=E$2:E167)))))</f>
        <v/>
      </c>
      <c r="J168" s="14" t="str">
        <f ca="1">IF(OR(E168="",E168="!!!",F168="NEW"),"",COUNTBLANK(OFFSET(A$1,,,SUMPRODUCT(MAX(ROW(E$2:E168)*(E168=E$2:E168)))))-COUNTBLANK(OFFSET(A$1,,,SUMPRODUCT(MAX(ROW(E$1:E167)*(E168=E$1:E167))))))</f>
        <v/>
      </c>
      <c r="K168" s="14" t="str">
        <f>IF(OR(E168="",E168="!!!",F168="NEW"),"",INDEX(J$1:J167,SUMPRODUCT(MAX(ROW(E$1:E167)*(E168=E$1:E167)))))</f>
        <v/>
      </c>
      <c r="L168" s="15"/>
    </row>
    <row r="169" spans="1:12" x14ac:dyDescent="0.15">
      <c r="A169" s="16" t="s">
        <v>85</v>
      </c>
      <c r="B169" t="s">
        <v>75</v>
      </c>
      <c r="C169" t="s">
        <v>23</v>
      </c>
      <c r="D169" t="s">
        <v>19</v>
      </c>
      <c r="E169" s="9" t="s">
        <v>211</v>
      </c>
      <c r="F169" s="10" t="str">
        <f>IF(OR(E169="",E169="!!!"),"",IF(NOT(ISNA(VLOOKUP(E169,E$1:E168,1,FALSE()))),"OLD",IF(AND(E169&lt;&gt;"",E169&lt;&gt;"!!!"),"NEW","")))</f>
        <v>OLD</v>
      </c>
      <c r="G169" s="11" t="s">
        <v>208</v>
      </c>
      <c r="H169" s="12" t="str">
        <f t="shared" ca="1" si="4"/>
        <v/>
      </c>
      <c r="I169" s="13" t="str">
        <f>IF(OR(E169="",E169="!!!",F169="NEW"),"",INDEX(B$2:B168,-1+SUMPRODUCT(MAX(ROW(E$2:E168)*(E169=E$2:E168)))))</f>
        <v>OBJ</v>
      </c>
      <c r="J169" s="14">
        <f ca="1">IF(OR(E169="",E169="!!!",F169="NEW"),"",COUNTBLANK(OFFSET(A$1,,,SUMPRODUCT(MAX(ROW(E$2:E169)*(E169=E$2:E169)))))-COUNTBLANK(OFFSET(A$1,,,SUMPRODUCT(MAX(ROW(E$1:E168)*(E169=E$1:E168))))))</f>
        <v>0</v>
      </c>
      <c r="K169" s="14">
        <f ca="1">IF(OR(E169="",E169="!!!",F169="NEW"),"",INDEX(J$1:J168,SUMPRODUCT(MAX(ROW(E$1:E168)*(E169=E$1:E168)))))</f>
        <v>1</v>
      </c>
      <c r="L169" s="15"/>
    </row>
    <row r="170" spans="1:12" x14ac:dyDescent="0.15">
      <c r="A170" s="16" t="s">
        <v>68</v>
      </c>
      <c r="E170" s="9" t="str">
        <f t="shared" si="5"/>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ca="1" si="4"/>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x14ac:dyDescent="0.15">
      <c r="A171" s="16" t="s">
        <v>14</v>
      </c>
      <c r="E171" s="9" t="str">
        <f t="shared" si="5"/>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ca="1" si="4"/>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x14ac:dyDescent="0.15">
      <c r="A172" s="16" t="s">
        <v>46</v>
      </c>
      <c r="B172" t="s">
        <v>81</v>
      </c>
      <c r="C172" t="s">
        <v>23</v>
      </c>
      <c r="D172" t="s">
        <v>19</v>
      </c>
      <c r="E172" s="9" t="s">
        <v>207</v>
      </c>
      <c r="F172" s="10" t="str">
        <f>IF(OR(E172="",E172="!!!"),"",IF(NOT(ISNA(VLOOKUP(E172,E$1:E171,1,FALSE()))),"OLD",IF(AND(E172&lt;&gt;"",E172&lt;&gt;"!!!"),"NEW","")))</f>
        <v>OLD</v>
      </c>
      <c r="G172" s="11" t="s">
        <v>208</v>
      </c>
      <c r="H172" s="12" t="str">
        <f t="shared" ca="1" si="4"/>
        <v/>
      </c>
      <c r="I172" s="13" t="str">
        <f>IF(OR(E172="",E172="!!!",F172="NEW"),"",INDEX(B$2:B171,-1+SUMPRODUCT(MAX(ROW(E$2:E171)*(E172=E$2:E171)))))</f>
        <v>OBJ_2</v>
      </c>
      <c r="J172" s="14">
        <f ca="1">IF(OR(E172="",E172="!!!",F172="NEW"),"",COUNTBLANK(OFFSET(A$1,,,SUMPRODUCT(MAX(ROW(E$2:E172)*(E172=E$2:E172)))))-COUNTBLANK(OFFSET(A$1,,,SUMPRODUCT(MAX(ROW(E$1:E171)*(E172=E$1:E171))))))</f>
        <v>0</v>
      </c>
      <c r="K172" s="14">
        <f ca="1">IF(OR(E172="",E172="!!!",F172="NEW"),"",INDEX(J$1:J171,SUMPRODUCT(MAX(ROW(E$1:E171)*(E172=E$1:E171)))))</f>
        <v>1</v>
      </c>
      <c r="L172" s="15"/>
    </row>
    <row r="173" spans="1:12" x14ac:dyDescent="0.15">
      <c r="A173" s="16" t="s">
        <v>94</v>
      </c>
      <c r="B173" t="s">
        <v>98</v>
      </c>
      <c r="E173" s="9" t="str">
        <f t="shared" si="5"/>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4"/>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x14ac:dyDescent="0.15">
      <c r="A174" s="16" t="s">
        <v>96</v>
      </c>
      <c r="E174" s="9" t="str">
        <f t="shared" si="5"/>
        <v/>
      </c>
      <c r="F174" s="10" t="str">
        <f>IF(OR(E174="",E174="!!!"),"",IF(NOT(ISNA(VLOOKUP(E174,E$1:E173,1,FALSE()))),"OLD",IF(AND(E174&lt;&gt;"",E174&lt;&gt;"!!!"),"NEW","")))</f>
        <v/>
      </c>
      <c r="G174" s="11" t="str">
        <f>IF(OR(E174="",E174="!!!"),"",IF(OR(J174=0,AND(J174=1,K174=1),AND(J174=1,I174="SBJ"),AND(J174=1,I174=0)),"?IN_FOCUS",IF(J174&lt;=2,"?ACTIVATED",IF(J174&lt;&gt;"","?FAMILIAR",IF(F174="NEW",IF(ISNA(VLOOKUP(E174,#REF!,1,FALSE())),"?TYPE_IDENTIFIABLE","?REFERENTIAL"),"_")))))</f>
        <v/>
      </c>
      <c r="H174" s="12" t="str">
        <f t="shared" ca="1" si="4"/>
        <v/>
      </c>
      <c r="I174" s="13" t="str">
        <f>IF(OR(E174="",E174="!!!",F174="NEW"),"",INDEX(B$2:B173,-1+SUMPRODUCT(MAX(ROW(E$2:E173)*(E174=E$2:E173)))))</f>
        <v/>
      </c>
      <c r="J174" s="14" t="str">
        <f ca="1">IF(OR(E174="",E174="!!!",F174="NEW"),"",COUNTBLANK(OFFSET(A$1,,,SUMPRODUCT(MAX(ROW(E$2:E174)*(E174=E$2:E174)))))-COUNTBLANK(OFFSET(A$1,,,SUMPRODUCT(MAX(ROW(E$1:E173)*(E174=E$1:E173))))))</f>
        <v/>
      </c>
      <c r="K174" s="14" t="str">
        <f>IF(OR(E174="",E174="!!!",F174="NEW"),"",INDEX(J$1:J173,SUMPRODUCT(MAX(ROW(E$1:E173)*(E174=E$1:E173)))))</f>
        <v/>
      </c>
      <c r="L174" s="15"/>
    </row>
    <row r="175" spans="1:12" x14ac:dyDescent="0.15">
      <c r="A175" s="16" t="s">
        <v>99</v>
      </c>
      <c r="E175" s="9" t="str">
        <f t="shared" si="5"/>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4"/>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x14ac:dyDescent="0.15">
      <c r="A176" s="16" t="s">
        <v>14</v>
      </c>
      <c r="E176" s="9" t="str">
        <f t="shared" si="5"/>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ca="1" si="4"/>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x14ac:dyDescent="0.15">
      <c r="A177" s="16" t="s">
        <v>85</v>
      </c>
      <c r="B177" t="s">
        <v>100</v>
      </c>
      <c r="C177" t="s">
        <v>23</v>
      </c>
      <c r="D177" t="s">
        <v>19</v>
      </c>
      <c r="E177" s="9" t="s">
        <v>211</v>
      </c>
      <c r="F177" s="10" t="str">
        <f>IF(OR(E177="",E177="!!!"),"",IF(NOT(ISNA(VLOOKUP(E177,E$1:E176,1,FALSE()))),"OLD",IF(AND(E177&lt;&gt;"",E177&lt;&gt;"!!!"),"NEW","")))</f>
        <v>OLD</v>
      </c>
      <c r="G177" s="11" t="s">
        <v>208</v>
      </c>
      <c r="H177" s="12" t="str">
        <f t="shared" ca="1" si="4"/>
        <v/>
      </c>
      <c r="I177" s="13" t="str">
        <f>IF(OR(E177="",E177="!!!",F177="NEW"),"",INDEX(B$2:B176,-1+SUMPRODUCT(MAX(ROW(E$2:E176)*(E177=E$2:E176)))))</f>
        <v>other_3</v>
      </c>
      <c r="J177" s="14">
        <f ca="1">IF(OR(E177="",E177="!!!",F177="NEW"),"",COUNTBLANK(OFFSET(A$1,,,SUMPRODUCT(MAX(ROW(E$2:E177)*(E177=E$2:E177)))))-COUNTBLANK(OFFSET(A$1,,,SUMPRODUCT(MAX(ROW(E$1:E176)*(E177=E$1:E176))))))</f>
        <v>0</v>
      </c>
      <c r="K177" s="14">
        <f ca="1">IF(OR(E177="",E177="!!!",F177="NEW"),"",INDEX(J$1:J176,SUMPRODUCT(MAX(ROW(E$1:E176)*(E177=E$1:E176)))))</f>
        <v>0</v>
      </c>
      <c r="L177" s="15"/>
    </row>
    <row r="178" spans="1:12" x14ac:dyDescent="0.15">
      <c r="A178" s="16" t="s">
        <v>101</v>
      </c>
      <c r="E178" s="9" t="str">
        <f t="shared" si="5"/>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4"/>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x14ac:dyDescent="0.15">
      <c r="A179" s="16" t="s">
        <v>24</v>
      </c>
      <c r="E179" s="9" t="str">
        <f t="shared" si="5"/>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4"/>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ht="42" x14ac:dyDescent="0.15">
      <c r="A180" s="16" t="s">
        <v>62</v>
      </c>
      <c r="B180" t="s">
        <v>58</v>
      </c>
      <c r="C180" t="s">
        <v>64</v>
      </c>
      <c r="D180" t="s">
        <v>19</v>
      </c>
      <c r="E180" s="9"/>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4"/>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t="s">
        <v>212</v>
      </c>
    </row>
    <row r="181" spans="1:12" x14ac:dyDescent="0.15">
      <c r="A181" s="16" t="s">
        <v>30</v>
      </c>
      <c r="E181" s="9" t="str">
        <f t="shared" si="5"/>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ca="1" si="4"/>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x14ac:dyDescent="0.15">
      <c r="A182" s="16" t="s">
        <v>102</v>
      </c>
      <c r="E182" s="9" t="str">
        <f t="shared" si="5"/>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4"/>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x14ac:dyDescent="0.15">
      <c r="A183" s="16" t="s">
        <v>27</v>
      </c>
      <c r="E183" s="9" t="str">
        <f t="shared" si="5"/>
        <v/>
      </c>
      <c r="F183" s="10" t="str">
        <f>IF(OR(E183="",E183="!!!"),"",IF(NOT(ISNA(VLOOKUP(E183,E$1:E182,1,FALSE()))),"OLD",IF(AND(E183&lt;&gt;"",E183&lt;&gt;"!!!"),"NEW","")))</f>
        <v/>
      </c>
      <c r="G183" s="11" t="str">
        <f>IF(OR(E183="",E183="!!!"),"",IF(OR(J183=0,AND(J183=1,K183=1),AND(J183=1,I183="SBJ"),AND(J183=1,I183=0)),"?IN_FOCUS",IF(J183&lt;=2,"?ACTIVATED",IF(J183&lt;&gt;"","?FAMILIAR",IF(F183="NEW",IF(ISNA(VLOOKUP(E183,#REF!,1,FALSE())),"?TYPE_IDENTIFIABLE","?REFERENTIAL"),"_")))))</f>
        <v/>
      </c>
      <c r="H183" s="12" t="str">
        <f t="shared" ca="1" si="4"/>
        <v/>
      </c>
      <c r="I183" s="13" t="str">
        <f>IF(OR(E183="",E183="!!!",F183="NEW"),"",INDEX(B$2:B182,-1+SUMPRODUCT(MAX(ROW(E$2:E182)*(E183=E$2:E182)))))</f>
        <v/>
      </c>
      <c r="J183" s="14" t="str">
        <f ca="1">IF(OR(E183="",E183="!!!",F183="NEW"),"",COUNTBLANK(OFFSET(A$1,,,SUMPRODUCT(MAX(ROW(E$2:E183)*(E183=E$2:E183)))))-COUNTBLANK(OFFSET(A$1,,,SUMPRODUCT(MAX(ROW(E$1:E182)*(E183=E$1:E182))))))</f>
        <v/>
      </c>
      <c r="K183" s="14" t="str">
        <f>IF(OR(E183="",E183="!!!",F183="NEW"),"",INDEX(J$1:J182,SUMPRODUCT(MAX(ROW(E$1:E182)*(E183=E$1:E182)))))</f>
        <v/>
      </c>
      <c r="L183" s="15"/>
    </row>
    <row r="184" spans="1:12" x14ac:dyDescent="0.15">
      <c r="E184" s="9" t="str">
        <f t="shared" si="5"/>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ca="1" si="4"/>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x14ac:dyDescent="0.15">
      <c r="A185" s="16" t="s">
        <v>47</v>
      </c>
      <c r="E185" s="9" t="str">
        <f t="shared" si="5"/>
        <v/>
      </c>
      <c r="F185" s="10" t="str">
        <f>IF(OR(E185="",E185="!!!"),"",IF(NOT(ISNA(VLOOKUP(E185,E$1:E184,1,FALSE()))),"OLD",IF(AND(E185&lt;&gt;"",E185&lt;&gt;"!!!"),"NEW","")))</f>
        <v/>
      </c>
      <c r="G185" s="11" t="str">
        <f>IF(OR(E185="",E185="!!!"),"",IF(OR(J185=0,AND(J185=1,K185=1),AND(J185=1,I185="SBJ"),AND(J185=1,I185=0)),"?IN_FOCUS",IF(J185&lt;=2,"?ACTIVATED",IF(J185&lt;&gt;"","?FAMILIAR",IF(F185="NEW",IF(ISNA(VLOOKUP(E185,#REF!,1,FALSE())),"?TYPE_IDENTIFIABLE","?REFERENTIAL"),"_")))))</f>
        <v/>
      </c>
      <c r="H185" s="12" t="str">
        <f t="shared" ca="1" si="4"/>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x14ac:dyDescent="0.15">
      <c r="A186" s="16" t="s">
        <v>103</v>
      </c>
      <c r="E186" s="9" t="str">
        <f t="shared" si="5"/>
        <v/>
      </c>
      <c r="F186" s="10" t="str">
        <f>IF(OR(E186="",E186="!!!"),"",IF(NOT(ISNA(VLOOKUP(E186,E$1:E185,1,FALSE()))),"OLD",IF(AND(E186&lt;&gt;"",E186&lt;&gt;"!!!"),"NEW","")))</f>
        <v/>
      </c>
      <c r="G186" s="11" t="str">
        <f>IF(OR(E186="",E186="!!!"),"",IF(OR(J186=0,AND(J186=1,K186=1),AND(J186=1,I186="SBJ"),AND(J186=1,I186=0)),"?IN_FOCUS",IF(J186&lt;=2,"?ACTIVATED",IF(J186&lt;&gt;"","?FAMILIAR",IF(F186="NEW",IF(ISNA(VLOOKUP(E186,#REF!,1,FALSE())),"?TYPE_IDENTIFIABLE","?REFERENTIAL"),"_")))))</f>
        <v/>
      </c>
      <c r="H186" s="12" t="str">
        <f t="shared" ca="1" si="4"/>
        <v/>
      </c>
      <c r="I186" s="13" t="str">
        <f>IF(OR(E186="",E186="!!!",F186="NEW"),"",INDEX(B$2:B185,-1+SUMPRODUCT(MAX(ROW(E$2:E185)*(E186=E$2:E185)))))</f>
        <v/>
      </c>
      <c r="J186" s="14" t="str">
        <f ca="1">IF(OR(E186="",E186="!!!",F186="NEW"),"",COUNTBLANK(OFFSET(A$1,,,SUMPRODUCT(MAX(ROW(E$2:E186)*(E186=E$2:E186)))))-COUNTBLANK(OFFSET(A$1,,,SUMPRODUCT(MAX(ROW(E$1:E185)*(E186=E$1:E185))))))</f>
        <v/>
      </c>
      <c r="K186" s="14" t="str">
        <f>IF(OR(E186="",E186="!!!",F186="NEW"),"",INDEX(J$1:J185,SUMPRODUCT(MAX(ROW(E$1:E185)*(E186=E$1:E185)))))</f>
        <v/>
      </c>
      <c r="L186" s="15"/>
    </row>
    <row r="187" spans="1:12" x14ac:dyDescent="0.15">
      <c r="A187" s="16" t="s">
        <v>16</v>
      </c>
      <c r="B187" t="s">
        <v>17</v>
      </c>
      <c r="C187" t="s">
        <v>18</v>
      </c>
      <c r="D187" t="s">
        <v>19</v>
      </c>
      <c r="E187" s="9" t="s">
        <v>199</v>
      </c>
      <c r="F187" s="10" t="str">
        <f>IF(OR(E187="",E187="!!!"),"",IF(NOT(ISNA(VLOOKUP(E187,E$1:E186,1,FALSE()))),"OLD",IF(AND(E187&lt;&gt;"",E187&lt;&gt;"!!!"),"NEW","")))</f>
        <v>OLD</v>
      </c>
      <c r="G187" s="11" t="s">
        <v>208</v>
      </c>
      <c r="H187" s="12" t="str">
        <f t="shared" ca="1" si="4"/>
        <v>CB</v>
      </c>
      <c r="I187" s="13" t="str">
        <f>IF(OR(E187="",E187="!!!",F187="NEW"),"",INDEX(B$2:B186,-1+SUMPRODUCT(MAX(ROW(E$2:E186)*(E187=E$2:E186)))))</f>
        <v>SBJ</v>
      </c>
      <c r="J187" s="14">
        <f ca="1">IF(OR(E187="",E187="!!!",F187="NEW"),"",COUNTBLANK(OFFSET(A$1,,,SUMPRODUCT(MAX(ROW(E$2:E187)*(E187=E$2:E187)))))-COUNTBLANK(OFFSET(A$1,,,SUMPRODUCT(MAX(ROW(E$1:E186)*(E187=E$1:E186))))))</f>
        <v>1</v>
      </c>
      <c r="K187" s="14">
        <f ca="1">IF(OR(E187="",E187="!!!",F187="NEW"),"",INDEX(J$1:J186,SUMPRODUCT(MAX(ROW(E$1:E186)*(E187=E$1:E186)))))</f>
        <v>1</v>
      </c>
      <c r="L187" s="15"/>
    </row>
    <row r="188" spans="1:12" x14ac:dyDescent="0.15">
      <c r="A188" s="16" t="s">
        <v>71</v>
      </c>
      <c r="E188" s="9" t="str">
        <f t="shared" si="5"/>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4"/>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x14ac:dyDescent="0.15">
      <c r="A189" s="16" t="s">
        <v>14</v>
      </c>
      <c r="E189" s="9" t="str">
        <f t="shared" si="5"/>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4"/>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x14ac:dyDescent="0.15">
      <c r="A190" s="16" t="s">
        <v>85</v>
      </c>
      <c r="E190" s="9" t="str">
        <f t="shared" si="5"/>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4"/>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x14ac:dyDescent="0.15">
      <c r="A191" s="16" t="s">
        <v>51</v>
      </c>
      <c r="E191" s="9" t="str">
        <f t="shared" si="5"/>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ca="1" si="4"/>
        <v/>
      </c>
      <c r="I191" s="13" t="str">
        <f>IF(OR(E191="",E191="!!!",F191="NEW"),"",INDEX(B$2:B190,-1+SUMPRODUCT(MAX(ROW(E$2:E190)*(E191=E$2:E190)))))</f>
        <v/>
      </c>
      <c r="J191" s="14" t="str">
        <f ca="1">IF(OR(E191="",E191="!!!",F191="NEW"),"",COUNTBLANK(OFFSET(A$1,,,SUMPRODUCT(MAX(ROW(E$2:E191)*(E191=E$2:E191)))))-COUNTBLANK(OFFSET(A$1,,,SUMPRODUCT(MAX(ROW(E$1:E190)*(E191=E$1:E190))))))</f>
        <v/>
      </c>
      <c r="K191" s="14" t="str">
        <f>IF(OR(E191="",E191="!!!",F191="NEW"),"",INDEX(J$1:J190,SUMPRODUCT(MAX(ROW(E$1:E190)*(E191=E$1:E190)))))</f>
        <v/>
      </c>
      <c r="L191" s="15"/>
    </row>
    <row r="192" spans="1:12" x14ac:dyDescent="0.15">
      <c r="A192" s="16" t="s">
        <v>104</v>
      </c>
      <c r="B192" t="s">
        <v>22</v>
      </c>
      <c r="C192" t="s">
        <v>23</v>
      </c>
      <c r="D192" t="s">
        <v>19</v>
      </c>
      <c r="E192" s="9" t="s">
        <v>213</v>
      </c>
      <c r="F192" s="10" t="str">
        <f>IF(OR(E192="",E192="!!!"),"",IF(NOT(ISNA(VLOOKUP(E192,E$1:E191,1,FALSE()))),"OLD",IF(AND(E192&lt;&gt;"",E192&lt;&gt;"!!!"),"NEW","")))</f>
        <v>NEW</v>
      </c>
      <c r="G192" s="11" t="s">
        <v>200</v>
      </c>
      <c r="H192" s="12" t="str">
        <f t="shared" ca="1" si="4"/>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x14ac:dyDescent="0.15">
      <c r="A193" s="16" t="s">
        <v>27</v>
      </c>
      <c r="E193" s="9" t="str">
        <f t="shared" si="5"/>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4"/>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x14ac:dyDescent="0.15">
      <c r="A194" s="16" t="s">
        <v>51</v>
      </c>
      <c r="E194" s="9" t="str">
        <f t="shared" si="5"/>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4"/>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x14ac:dyDescent="0.15">
      <c r="E195" s="9" t="str">
        <f t="shared" si="5"/>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4"/>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x14ac:dyDescent="0.15">
      <c r="A196" s="16" t="s">
        <v>105</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x14ac:dyDescent="0.15">
      <c r="A197" s="16" t="s">
        <v>77</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x14ac:dyDescent="0.15">
      <c r="A198" s="16" t="s">
        <v>30</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x14ac:dyDescent="0.15">
      <c r="A199" s="16" t="s">
        <v>78</v>
      </c>
      <c r="B199" t="s">
        <v>17</v>
      </c>
      <c r="C199" t="s">
        <v>35</v>
      </c>
      <c r="E199" s="9" t="str">
        <f t="shared" si="6"/>
        <v/>
      </c>
      <c r="F199" s="10" t="str">
        <f>IF(OR(E199="",E199="!!!"),"",IF(NOT(ISNA(VLOOKUP(E199,E$1:E198,1,FALSE()))),"OLD",IF(AND(E199&lt;&gt;"",E199&lt;&gt;"!!!"),"NEW","")))</f>
        <v/>
      </c>
      <c r="G199" s="11" t="str">
        <f>IF(OR(E199="",E199="!!!"),"",IF(OR(J199=0,AND(J199=1,K199=1),AND(J199=1,I199="SBJ"),AND(J199=1,I199=0)),"?IN_FOCUS",IF(J199&lt;=2,"?ACTIVATED",IF(J199&lt;&gt;"","?FAMILIAR",IF(F199="NEW",IF(ISNA(VLOOKUP(E199,#REF!,1,FALSE())),"?TYPE_IDENTIFIABLE","?REFERENTIAL"),"_")))))</f>
        <v/>
      </c>
      <c r="H199" s="12" t="str">
        <f t="shared" ca="1" si="7"/>
        <v/>
      </c>
      <c r="I199" s="13" t="str">
        <f>IF(OR(E199="",E199="!!!",F199="NEW"),"",INDEX(B$2:B198,-1+SUMPRODUCT(MAX(ROW(E$2:E198)*(E199=E$2:E198)))))</f>
        <v/>
      </c>
      <c r="J199" s="14" t="str">
        <f ca="1">IF(OR(E199="",E199="!!!",F199="NEW"),"",COUNTBLANK(OFFSET(A$1,,,SUMPRODUCT(MAX(ROW(E$2:E199)*(E199=E$2:E199)))))-COUNTBLANK(OFFSET(A$1,,,SUMPRODUCT(MAX(ROW(E$1:E198)*(E199=E$1:E198))))))</f>
        <v/>
      </c>
      <c r="K199" s="14" t="str">
        <f>IF(OR(E199="",E199="!!!",F199="NEW"),"",INDEX(J$1:J198,SUMPRODUCT(MAX(ROW(E$1:E198)*(E199=E$1:E198)))))</f>
        <v/>
      </c>
      <c r="L199" s="15"/>
    </row>
    <row r="200" spans="1:12" x14ac:dyDescent="0.15">
      <c r="A200" s="16" t="s">
        <v>24</v>
      </c>
      <c r="E200" s="9" t="str">
        <f t="shared" si="6"/>
        <v/>
      </c>
      <c r="F200" s="10" t="str">
        <f>IF(OR(E200="",E200="!!!"),"",IF(NOT(ISNA(VLOOKUP(E200,E$1:E199,1,FALSE()))),"OLD",IF(AND(E200&lt;&gt;"",E200&lt;&gt;"!!!"),"NEW","")))</f>
        <v/>
      </c>
      <c r="G200" s="11" t="str">
        <f>IF(OR(E200="",E200="!!!"),"",IF(OR(J200=0,AND(J200=1,K200=1),AND(J200=1,I200="SBJ"),AND(J200=1,I200=0)),"?IN_FOCUS",IF(J200&lt;=2,"?ACTIVATED",IF(J200&lt;&gt;"","?FAMILIAR",IF(F200="NEW",IF(ISNA(VLOOKUP(E200,#REF!,1,FALSE())),"?TYPE_IDENTIFIABLE","?REFERENTIAL"),"_")))))</f>
        <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x14ac:dyDescent="0.15">
      <c r="A201" s="16" t="s">
        <v>53</v>
      </c>
      <c r="E201" s="9" t="str">
        <f t="shared" si="6"/>
        <v/>
      </c>
      <c r="F201" s="10" t="str">
        <f>IF(OR(E201="",E201="!!!"),"",IF(NOT(ISNA(VLOOKUP(E201,E$1:E200,1,FALSE()))),"OLD",IF(AND(E201&lt;&gt;"",E201&lt;&gt;"!!!"),"NEW","")))</f>
        <v/>
      </c>
      <c r="G201" s="11" t="str">
        <f>IF(OR(E201="",E201="!!!"),"",IF(OR(J201=0,AND(J201=1,K201=1),AND(J201=1,I201="SBJ"),AND(J201=1,I201=0)),"?IN_FOCUS",IF(J201&lt;=2,"?ACTIVATED",IF(J201&lt;&gt;"","?FAMILIAR",IF(F201="NEW",IF(ISNA(VLOOKUP(E201,#REF!,1,FALSE())),"?TYPE_IDENTIFIABLE","?REFERENTIAL"),"_")))))</f>
        <v/>
      </c>
      <c r="H201" s="12" t="str">
        <f t="shared" ca="1" si="7"/>
        <v/>
      </c>
      <c r="I201" s="13" t="str">
        <f>IF(OR(E201="",E201="!!!",F201="NEW"),"",INDEX(B$2:B200,-1+SUMPRODUCT(MAX(ROW(E$2:E200)*(E201=E$2:E200)))))</f>
        <v/>
      </c>
      <c r="J201" s="14" t="str">
        <f ca="1">IF(OR(E201="",E201="!!!",F201="NEW"),"",COUNTBLANK(OFFSET(A$1,,,SUMPRODUCT(MAX(ROW(E$2:E201)*(E201=E$2:E201)))))-COUNTBLANK(OFFSET(A$1,,,SUMPRODUCT(MAX(ROW(E$1:E200)*(E201=E$1:E200))))))</f>
        <v/>
      </c>
      <c r="K201" s="14" t="str">
        <f>IF(OR(E201="",E201="!!!",F201="NEW"),"",INDEX(J$1:J200,SUMPRODUCT(MAX(ROW(E$1:E200)*(E201=E$1:E200)))))</f>
        <v/>
      </c>
      <c r="L201" s="15"/>
    </row>
    <row r="202" spans="1:12" x14ac:dyDescent="0.15">
      <c r="A202" s="16" t="s">
        <v>30</v>
      </c>
      <c r="E202" s="9" t="str">
        <f t="shared" si="6"/>
        <v/>
      </c>
      <c r="F202" s="10" t="str">
        <f>IF(OR(E202="",E202="!!!"),"",IF(NOT(ISNA(VLOOKUP(E202,E$1:E201,1,FALSE()))),"OLD",IF(AND(E202&lt;&gt;"",E202&lt;&gt;"!!!"),"NEW","")))</f>
        <v/>
      </c>
      <c r="G202" s="11" t="str">
        <f>IF(OR(E202="",E202="!!!"),"",IF(OR(J202=0,AND(J202=1,K202=1),AND(J202=1,I202="SBJ"),AND(J202=1,I202=0)),"?IN_FOCUS",IF(J202&lt;=2,"?ACTIVATED",IF(J202&lt;&gt;"","?FAMILIAR",IF(F202="NEW",IF(ISNA(VLOOKUP(E202,#REF!,1,FALSE())),"?TYPE_IDENTIFIABLE","?REFERENTIAL"),"_")))))</f>
        <v/>
      </c>
      <c r="H202" s="12" t="str">
        <f t="shared" ca="1" si="7"/>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x14ac:dyDescent="0.15">
      <c r="A203" s="16" t="s">
        <v>79</v>
      </c>
      <c r="B203" t="s">
        <v>63</v>
      </c>
      <c r="C203" t="s">
        <v>35</v>
      </c>
      <c r="E203" s="9" t="str">
        <f t="shared" si="6"/>
        <v/>
      </c>
      <c r="F203" s="10" t="str">
        <f>IF(OR(E203="",E203="!!!"),"",IF(NOT(ISNA(VLOOKUP(E203,E$1:E202,1,FALSE()))),"OLD",IF(AND(E203&lt;&gt;"",E203&lt;&gt;"!!!"),"NEW","")))</f>
        <v/>
      </c>
      <c r="G203" s="11" t="str">
        <f>IF(OR(E203="",E203="!!!"),"",IF(OR(J203=0,AND(J203=1,K203=1),AND(J203=1,I203="SBJ"),AND(J203=1,I203=0)),"?IN_FOCUS",IF(J203&lt;=2,"?ACTIVATED",IF(J203&lt;&gt;"","?FAMILIAR",IF(F203="NEW",IF(ISNA(VLOOKUP(E203,#REF!,1,FALSE())),"?TYPE_IDENTIFIABLE","?REFERENTIAL"),"_")))))</f>
        <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x14ac:dyDescent="0.15">
      <c r="A204" s="16" t="s">
        <v>50</v>
      </c>
      <c r="E204" s="9" t="str">
        <f t="shared" si="6"/>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x14ac:dyDescent="0.15">
      <c r="A205" s="16" t="s">
        <v>106</v>
      </c>
      <c r="E205" s="9" t="str">
        <f t="shared" si="6"/>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ca="1" si="7"/>
        <v/>
      </c>
      <c r="I205" s="13" t="str">
        <f>IF(OR(E205="",E205="!!!",F205="NEW"),"",INDEX(B$2:B204,-1+SUMPRODUCT(MAX(ROW(E$2:E204)*(E205=E$2:E204)))))</f>
        <v/>
      </c>
      <c r="J205" s="14" t="str">
        <f ca="1">IF(OR(E205="",E205="!!!",F205="NEW"),"",COUNTBLANK(OFFSET(A$1,,,SUMPRODUCT(MAX(ROW(E$2:E205)*(E205=E$2:E205)))))-COUNTBLANK(OFFSET(A$1,,,SUMPRODUCT(MAX(ROW(E$1:E204)*(E205=E$1:E204))))))</f>
        <v/>
      </c>
      <c r="K205" s="14" t="str">
        <f>IF(OR(E205="",E205="!!!",F205="NEW"),"",INDEX(J$1:J204,SUMPRODUCT(MAX(ROW(E$1:E204)*(E205=E$1:E204)))))</f>
        <v/>
      </c>
      <c r="L205" s="15"/>
    </row>
    <row r="206" spans="1:12" x14ac:dyDescent="0.15">
      <c r="A206" s="16" t="s">
        <v>107</v>
      </c>
      <c r="E206" s="9" t="str">
        <f t="shared" si="6"/>
        <v/>
      </c>
      <c r="F206" s="10" t="str">
        <f>IF(OR(E206="",E206="!!!"),"",IF(NOT(ISNA(VLOOKUP(E206,E$1:E205,1,FALSE()))),"OLD",IF(AND(E206&lt;&gt;"",E206&lt;&gt;"!!!"),"NEW","")))</f>
        <v/>
      </c>
      <c r="G206" s="11" t="str">
        <f>IF(OR(E206="",E206="!!!"),"",IF(OR(J206=0,AND(J206=1,K206=1),AND(J206=1,I206="SBJ"),AND(J206=1,I206=0)),"?IN_FOCUS",IF(J206&lt;=2,"?ACTIVATED",IF(J206&lt;&gt;"","?FAMILIAR",IF(F206="NEW",IF(ISNA(VLOOKUP(E206,#REF!,1,FALSE())),"?TYPE_IDENTIFIABLE","?REFERENTIAL"),"_")))))</f>
        <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x14ac:dyDescent="0.15">
      <c r="A207" s="16" t="s">
        <v>72</v>
      </c>
      <c r="B207" t="s">
        <v>81</v>
      </c>
      <c r="C207" t="s">
        <v>86</v>
      </c>
      <c r="E207" s="9" t="str">
        <f t="shared" si="6"/>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7"/>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x14ac:dyDescent="0.15">
      <c r="A208" s="16" t="s">
        <v>27</v>
      </c>
      <c r="E208" s="9" t="str">
        <f t="shared" si="6"/>
        <v/>
      </c>
      <c r="F208" s="10" t="str">
        <f>IF(OR(E208="",E208="!!!"),"",IF(NOT(ISNA(VLOOKUP(E208,E$1:E207,1,FALSE()))),"OLD",IF(AND(E208&lt;&gt;"",E208&lt;&gt;"!!!"),"NEW","")))</f>
        <v/>
      </c>
      <c r="G208" s="11" t="str">
        <f>IF(OR(E208="",E208="!!!"),"",IF(OR(J208=0,AND(J208=1,K208=1),AND(J208=1,I208="SBJ"),AND(J208=1,I208=0)),"?IN_FOCUS",IF(J208&lt;=2,"?ACTIVATED",IF(J208&lt;&gt;"","?FAMILIAR",IF(F208="NEW",IF(ISNA(VLOOKUP(E208,#REF!,1,FALSE())),"?TYPE_IDENTIFIABLE","?REFERENTIAL"),"_")))))</f>
        <v/>
      </c>
      <c r="H208" s="12" t="str">
        <f t="shared" ca="1" si="7"/>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row>
    <row r="209" spans="1:12" x14ac:dyDescent="0.15">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x14ac:dyDescent="0.15">
      <c r="A210" s="16" t="s">
        <v>47</v>
      </c>
      <c r="E210" s="9" t="str">
        <f t="shared" si="6"/>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x14ac:dyDescent="0.15">
      <c r="A211" s="16" t="s">
        <v>108</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x14ac:dyDescent="0.15">
      <c r="A212" s="16" t="s">
        <v>16</v>
      </c>
      <c r="B212" t="s">
        <v>17</v>
      </c>
      <c r="C212" t="s">
        <v>18</v>
      </c>
      <c r="D212" t="s">
        <v>19</v>
      </c>
      <c r="E212" s="9" t="s">
        <v>199</v>
      </c>
      <c r="F212" s="10" t="str">
        <f>IF(OR(E212="",E212="!!!"),"",IF(NOT(ISNA(VLOOKUP(E212,E$1:E211,1,FALSE()))),"OLD",IF(AND(E212&lt;&gt;"",E212&lt;&gt;"!!!"),"NEW","")))</f>
        <v>OLD</v>
      </c>
      <c r="G212" s="11" t="s">
        <v>203</v>
      </c>
      <c r="H212" s="12" t="str">
        <f t="shared" ca="1" si="7"/>
        <v/>
      </c>
      <c r="I212" s="13" t="str">
        <f>IF(OR(E212="",E212="!!!",F212="NEW"),"",INDEX(B$2:B211,-1+SUMPRODUCT(MAX(ROW(E$2:E211)*(E212=E$2:E211)))))</f>
        <v>SBJ</v>
      </c>
      <c r="J212" s="14">
        <f ca="1">IF(OR(E212="",E212="!!!",F212="NEW"),"",COUNTBLANK(OFFSET(A$1,,,SUMPRODUCT(MAX(ROW(E$2:E212)*(E212=E$2:E212)))))-COUNTBLANK(OFFSET(A$1,,,SUMPRODUCT(MAX(ROW(E$1:E211)*(E212=E$1:E211))))))</f>
        <v>2</v>
      </c>
      <c r="K212" s="14">
        <f ca="1">IF(OR(E212="",E212="!!!",F212="NEW"),"",INDEX(J$1:J211,SUMPRODUCT(MAX(ROW(E$1:E211)*(E212=E$1:E211)))))</f>
        <v>1</v>
      </c>
      <c r="L212" s="15"/>
    </row>
    <row r="213" spans="1:12" x14ac:dyDescent="0.15">
      <c r="A213" s="16" t="s">
        <v>49</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x14ac:dyDescent="0.15">
      <c r="A214" s="16" t="s">
        <v>50</v>
      </c>
      <c r="E214" s="9" t="str">
        <f t="shared" si="6"/>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x14ac:dyDescent="0.15">
      <c r="A215" s="16" t="s">
        <v>51</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x14ac:dyDescent="0.15">
      <c r="A216" s="16" t="s">
        <v>52</v>
      </c>
      <c r="E216" s="9" t="str">
        <f t="shared" si="6"/>
        <v/>
      </c>
      <c r="F216" s="10" t="str">
        <f>IF(OR(E216="",E216="!!!"),"",IF(NOT(ISNA(VLOOKUP(E216,E$1:E215,1,FALSE()))),"OLD",IF(AND(E216&lt;&gt;"",E216&lt;&gt;"!!!"),"NEW","")))</f>
        <v/>
      </c>
      <c r="G216" s="11" t="str">
        <f>IF(OR(E216="",E216="!!!"),"",IF(OR(J216=0,AND(J216=1,K216=1),AND(J216=1,I216="SBJ"),AND(J216=1,I216=0)),"?IN_FOCUS",IF(J216&lt;=2,"?ACTIVATED",IF(J216&lt;&gt;"","?FAMILIAR",IF(F216="NEW",IF(ISNA(VLOOKUP(E216,#REF!,1,FALSE())),"?TYPE_IDENTIFIABLE","?REFERENTIAL"),"_")))))</f>
        <v/>
      </c>
      <c r="H216" s="12" t="str">
        <f t="shared" ca="1" si="7"/>
        <v/>
      </c>
      <c r="I216" s="13" t="str">
        <f>IF(OR(E216="",E216="!!!",F216="NEW"),"",INDEX(B$2:B215,-1+SUMPRODUCT(MAX(ROW(E$2:E215)*(E216=E$2:E215)))))</f>
        <v/>
      </c>
      <c r="J216" s="14" t="str">
        <f ca="1">IF(OR(E216="",E216="!!!",F216="NEW"),"",COUNTBLANK(OFFSET(A$1,,,SUMPRODUCT(MAX(ROW(E$2:E216)*(E216=E$2:E216)))))-COUNTBLANK(OFFSET(A$1,,,SUMPRODUCT(MAX(ROW(E$1:E215)*(E216=E$1:E215))))))</f>
        <v/>
      </c>
      <c r="K216" s="14" t="str">
        <f>IF(OR(E216="",E216="!!!",F216="NEW"),"",INDEX(J$1:J215,SUMPRODUCT(MAX(ROW(E$1:E215)*(E216=E$1:E215)))))</f>
        <v/>
      </c>
      <c r="L216" s="15"/>
    </row>
    <row r="217" spans="1:12" x14ac:dyDescent="0.15">
      <c r="A217" s="16" t="s">
        <v>14</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x14ac:dyDescent="0.15">
      <c r="A218" s="16" t="s">
        <v>46</v>
      </c>
      <c r="B218" t="s">
        <v>54</v>
      </c>
      <c r="C218" t="s">
        <v>23</v>
      </c>
      <c r="D218" t="s">
        <v>19</v>
      </c>
      <c r="E218" s="9" t="s">
        <v>207</v>
      </c>
      <c r="F218" s="10" t="str">
        <f>IF(OR(E218="",E218="!!!"),"",IF(NOT(ISNA(VLOOKUP(E218,E$1:E217,1,FALSE()))),"OLD",IF(AND(E218&lt;&gt;"",E218&lt;&gt;"!!!"),"NEW","")))</f>
        <v>OLD</v>
      </c>
      <c r="G218" s="11" t="s">
        <v>206</v>
      </c>
      <c r="H218" s="12" t="str">
        <f t="shared" ca="1" si="7"/>
        <v/>
      </c>
      <c r="I218" s="13" t="str">
        <f>IF(OR(E218="",E218="!!!",F218="NEW"),"",INDEX(B$2:B217,-1+SUMPRODUCT(MAX(ROW(E$2:E217)*(E218=E$2:E217)))))</f>
        <v>other_4</v>
      </c>
      <c r="J218" s="14">
        <f ca="1">IF(OR(E218="",E218="!!!",F218="NEW"),"",COUNTBLANK(OFFSET(A$1,,,SUMPRODUCT(MAX(ROW(E$2:E218)*(E218=E$2:E218)))))-COUNTBLANK(OFFSET(A$1,,,SUMPRODUCT(MAX(ROW(E$1:E217)*(E218=E$1:E217))))))</f>
        <v>3</v>
      </c>
      <c r="K218" s="14">
        <f ca="1">IF(OR(E218="",E218="!!!",F218="NEW"),"",INDEX(J$1:J217,SUMPRODUCT(MAX(ROW(E$1:E217)*(E218=E$1:E217)))))</f>
        <v>0</v>
      </c>
      <c r="L218" s="15"/>
    </row>
    <row r="219" spans="1:12" x14ac:dyDescent="0.15">
      <c r="A219" s="16" t="s">
        <v>97</v>
      </c>
      <c r="E219" s="9" t="str">
        <f t="shared" si="6"/>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7"/>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x14ac:dyDescent="0.15">
      <c r="A220" s="16" t="s">
        <v>14</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x14ac:dyDescent="0.15">
      <c r="A221" s="16" t="s">
        <v>104</v>
      </c>
      <c r="B221" t="s">
        <v>26</v>
      </c>
      <c r="C221" t="s">
        <v>23</v>
      </c>
      <c r="D221" t="s">
        <v>19</v>
      </c>
      <c r="E221" s="9" t="s">
        <v>213</v>
      </c>
      <c r="F221" s="10" t="str">
        <f>IF(OR(E221="",E221="!!!"),"",IF(NOT(ISNA(VLOOKUP(E221,E$1:E220,1,FALSE()))),"OLD",IF(AND(E221&lt;&gt;"",E221&lt;&gt;"!!!"),"NEW","")))</f>
        <v>OLD</v>
      </c>
      <c r="G221" s="11" t="s">
        <v>203</v>
      </c>
      <c r="H221" s="12" t="str">
        <f t="shared" ca="1" si="7"/>
        <v/>
      </c>
      <c r="I221" s="13" t="str">
        <f>IF(OR(E221="",E221="!!!",F221="NEW"),"",INDEX(B$2:B220,-1+SUMPRODUCT(MAX(ROW(E$2:E220)*(E221=E$2:E220)))))</f>
        <v>OBJ</v>
      </c>
      <c r="J221" s="14">
        <f ca="1">IF(OR(E221="",E221="!!!",F221="NEW"),"",COUNTBLANK(OFFSET(A$1,,,SUMPRODUCT(MAX(ROW(E$2:E221)*(E221=E$2:E221)))))-COUNTBLANK(OFFSET(A$1,,,SUMPRODUCT(MAX(ROW(E$1:E220)*(E221=E$1:E220))))))</f>
        <v>2</v>
      </c>
      <c r="K221" s="14" t="str">
        <f ca="1">IF(OR(E221="",E221="!!!",F221="NEW"),"",INDEX(J$1:J220,SUMPRODUCT(MAX(ROW(E$1:E220)*(E221=E$1:E220)))))</f>
        <v/>
      </c>
      <c r="L221" s="15"/>
    </row>
    <row r="222" spans="1:12" x14ac:dyDescent="0.15">
      <c r="A222" s="16" t="s">
        <v>56</v>
      </c>
      <c r="E222" s="9" t="str">
        <f t="shared" si="6"/>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x14ac:dyDescent="0.15">
      <c r="A223" s="16" t="s">
        <v>109</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x14ac:dyDescent="0.15">
      <c r="A224" s="16" t="s">
        <v>110</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x14ac:dyDescent="0.15">
      <c r="A225" s="16" t="s">
        <v>111</v>
      </c>
      <c r="E225" s="9" t="str">
        <f t="shared" si="6"/>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7"/>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x14ac:dyDescent="0.15">
      <c r="A226" s="16" t="s">
        <v>80</v>
      </c>
      <c r="E226" s="9" t="str">
        <f t="shared" si="6"/>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7"/>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x14ac:dyDescent="0.15">
      <c r="A227" s="16" t="s">
        <v>112</v>
      </c>
      <c r="B227" t="s">
        <v>75</v>
      </c>
      <c r="C227" t="s">
        <v>82</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x14ac:dyDescent="0.15">
      <c r="A228" s="16" t="s">
        <v>50</v>
      </c>
      <c r="E228" s="9" t="str">
        <f t="shared" si="6"/>
        <v/>
      </c>
      <c r="F228" s="10" t="str">
        <f>IF(OR(E228="",E228="!!!"),"",IF(NOT(ISNA(VLOOKUP(E228,E$1:E227,1,FALSE()))),"OLD",IF(AND(E228&lt;&gt;"",E228&lt;&gt;"!!!"),"NEW","")))</f>
        <v/>
      </c>
      <c r="G228" s="11" t="str">
        <f>IF(OR(E228="",E228="!!!"),"",IF(OR(J228=0,AND(J228=1,K228=1),AND(J228=1,I228="SBJ"),AND(J228=1,I228=0)),"?IN_FOCUS",IF(J228&lt;=2,"?ACTIVATED",IF(J228&lt;&gt;"","?FAMILIAR",IF(F228="NEW",IF(ISNA(VLOOKUP(E228,#REF!,1,FALSE())),"?TYPE_IDENTIFIABLE","?REFERENTIAL"),"_")))))</f>
        <v/>
      </c>
      <c r="H228" s="12" t="str">
        <f t="shared" ca="1" si="7"/>
        <v/>
      </c>
      <c r="I228" s="13" t="str">
        <f>IF(OR(E228="",E228="!!!",F228="NEW"),"",INDEX(B$2:B227,-1+SUMPRODUCT(MAX(ROW(E$2:E227)*(E228=E$2:E227)))))</f>
        <v/>
      </c>
      <c r="J228" s="14" t="str">
        <f ca="1">IF(OR(E228="",E228="!!!",F228="NEW"),"",COUNTBLANK(OFFSET(A$1,,,SUMPRODUCT(MAX(ROW(E$2:E228)*(E228=E$2:E228)))))-COUNTBLANK(OFFSET(A$1,,,SUMPRODUCT(MAX(ROW(E$1:E227)*(E228=E$1:E227))))))</f>
        <v/>
      </c>
      <c r="K228" s="14" t="str">
        <f>IF(OR(E228="",E228="!!!",F228="NEW"),"",INDEX(J$1:J227,SUMPRODUCT(MAX(ROW(E$1:E227)*(E228=E$1:E227)))))</f>
        <v/>
      </c>
      <c r="L228" s="15"/>
    </row>
    <row r="229" spans="1:12" x14ac:dyDescent="0.15">
      <c r="A229" s="16" t="s">
        <v>24</v>
      </c>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x14ac:dyDescent="0.15">
      <c r="A230" s="16" t="s">
        <v>89</v>
      </c>
      <c r="E230" s="9" t="str">
        <f t="shared" si="6"/>
        <v/>
      </c>
      <c r="F230" s="10" t="str">
        <f>IF(OR(E230="",E230="!!!"),"",IF(NOT(ISNA(VLOOKUP(E230,E$1:E229,1,FALSE()))),"OLD",IF(AND(E230&lt;&gt;"",E230&lt;&gt;"!!!"),"NEW","")))</f>
        <v/>
      </c>
      <c r="G230" s="11" t="str">
        <f>IF(OR(E230="",E230="!!!"),"",IF(OR(J230=0,AND(J230=1,K230=1),AND(J230=1,I230="SBJ"),AND(J230=1,I230=0)),"?IN_FOCUS",IF(J230&lt;=2,"?ACTIVATED",IF(J230&lt;&gt;"","?FAMILIAR",IF(F230="NEW",IF(ISNA(VLOOKUP(E230,#REF!,1,FALSE())),"?TYPE_IDENTIFIABLE","?REFERENTIAL"),"_")))))</f>
        <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x14ac:dyDescent="0.15">
      <c r="A231" s="16" t="s">
        <v>14</v>
      </c>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x14ac:dyDescent="0.15">
      <c r="A232" s="16" t="s">
        <v>113</v>
      </c>
      <c r="E232" s="9" t="str">
        <f t="shared" si="6"/>
        <v/>
      </c>
      <c r="F232" s="10" t="str">
        <f>IF(OR(E232="",E232="!!!"),"",IF(NOT(ISNA(VLOOKUP(E232,E$1:E231,1,FALSE()))),"OLD",IF(AND(E232&lt;&gt;"",E232&lt;&gt;"!!!"),"NEW","")))</f>
        <v/>
      </c>
      <c r="G232" s="11" t="str">
        <f>IF(OR(E232="",E232="!!!"),"",IF(OR(J232=0,AND(J232=1,K232=1),AND(J232=1,I232="SBJ"),AND(J232=1,I232=0)),"?IN_FOCUS",IF(J232&lt;=2,"?ACTIVATED",IF(J232&lt;&gt;"","?FAMILIAR",IF(F232="NEW",IF(ISNA(VLOOKUP(E232,#REF!,1,FALSE())),"?TYPE_IDENTIFIABLE","?REFERENTIAL"),"_")))))</f>
        <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x14ac:dyDescent="0.15">
      <c r="A233" s="16" t="s">
        <v>114</v>
      </c>
      <c r="E233" s="9" t="str">
        <f t="shared" si="6"/>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x14ac:dyDescent="0.15">
      <c r="A234" s="16" t="s">
        <v>115</v>
      </c>
      <c r="B234" t="s">
        <v>54</v>
      </c>
      <c r="C234" t="s">
        <v>23</v>
      </c>
      <c r="D234" t="s">
        <v>19</v>
      </c>
      <c r="E234" s="9" t="s">
        <v>214</v>
      </c>
      <c r="F234" s="10" t="str">
        <f>IF(OR(E234="",E234="!!!"),"",IF(NOT(ISNA(VLOOKUP(E234,E$1:E233,1,FALSE()))),"OLD",IF(AND(E234&lt;&gt;"",E234&lt;&gt;"!!!"),"NEW","")))</f>
        <v>NEW</v>
      </c>
      <c r="G234" s="11" t="s">
        <v>200</v>
      </c>
      <c r="H234" s="12" t="str">
        <f t="shared" ca="1" si="7"/>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x14ac:dyDescent="0.15">
      <c r="A235" s="16" t="s">
        <v>101</v>
      </c>
      <c r="E235" s="9" t="str">
        <f t="shared" si="6"/>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x14ac:dyDescent="0.15">
      <c r="A236" s="16" t="s">
        <v>51</v>
      </c>
      <c r="E236" s="9" t="str">
        <f t="shared" si="6"/>
        <v/>
      </c>
      <c r="F236" s="10" t="str">
        <f>IF(OR(E236="",E236="!!!"),"",IF(NOT(ISNA(VLOOKUP(E236,E$1:E235,1,FALSE()))),"OLD",IF(AND(E236&lt;&gt;"",E236&lt;&gt;"!!!"),"NEW","")))</f>
        <v/>
      </c>
      <c r="G236" s="11" t="str">
        <f>IF(OR(E236="",E236="!!!"),"",IF(OR(J236=0,AND(J236=1,K236=1),AND(J236=1,I236="SBJ"),AND(J236=1,I236=0)),"?IN_FOCUS",IF(J236&lt;=2,"?ACTIVATED",IF(J236&lt;&gt;"","?FAMILIAR",IF(F236="NEW",IF(ISNA(VLOOKUP(E236,#REF!,1,FALSE())),"?TYPE_IDENTIFIABLE","?REFERENTIAL"),"_")))))</f>
        <v/>
      </c>
      <c r="H236" s="12" t="str">
        <f t="shared" ca="1" si="7"/>
        <v/>
      </c>
      <c r="I236" s="13" t="str">
        <f>IF(OR(E236="",E236="!!!",F236="NEW"),"",INDEX(B$2:B235,-1+SUMPRODUCT(MAX(ROW(E$2:E235)*(E236=E$2:E235)))))</f>
        <v/>
      </c>
      <c r="J236" s="14" t="str">
        <f ca="1">IF(OR(E236="",E236="!!!",F236="NEW"),"",COUNTBLANK(OFFSET(A$1,,,SUMPRODUCT(MAX(ROW(E$2:E236)*(E236=E$2:E236)))))-COUNTBLANK(OFFSET(A$1,,,SUMPRODUCT(MAX(ROW(E$1:E235)*(E236=E$1:E235))))))</f>
        <v/>
      </c>
      <c r="K236" s="14" t="str">
        <f>IF(OR(E236="",E236="!!!",F236="NEW"),"",INDEX(J$1:J235,SUMPRODUCT(MAX(ROW(E$1:E235)*(E236=E$1:E235)))))</f>
        <v/>
      </c>
      <c r="L236" s="15"/>
    </row>
    <row r="237" spans="1:12" x14ac:dyDescent="0.15">
      <c r="A237" s="16" t="s">
        <v>24</v>
      </c>
      <c r="E237" s="9" t="str">
        <f t="shared" si="6"/>
        <v/>
      </c>
      <c r="F237" s="10" t="str">
        <f>IF(OR(E237="",E237="!!!"),"",IF(NOT(ISNA(VLOOKUP(E237,E$1:E236,1,FALSE()))),"OLD",IF(AND(E237&lt;&gt;"",E237&lt;&gt;"!!!"),"NEW","")))</f>
        <v/>
      </c>
      <c r="G237" s="11" t="str">
        <f>IF(OR(E237="",E237="!!!"),"",IF(OR(J237=0,AND(J237=1,K237=1),AND(J237=1,I237="SBJ"),AND(J237=1,I237=0)),"?IN_FOCUS",IF(J237&lt;=2,"?ACTIVATED",IF(J237&lt;&gt;"","?FAMILIAR",IF(F237="NEW",IF(ISNA(VLOOKUP(E237,#REF!,1,FALSE())),"?TYPE_IDENTIFIABLE","?REFERENTIAL"),"_")))))</f>
        <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ht="42" x14ac:dyDescent="0.15">
      <c r="A238" s="16" t="s">
        <v>62</v>
      </c>
      <c r="B238" t="s">
        <v>58</v>
      </c>
      <c r="C238" t="s">
        <v>64</v>
      </c>
      <c r="D238" t="s">
        <v>19</v>
      </c>
      <c r="E238" s="9"/>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t="s">
        <v>215</v>
      </c>
    </row>
    <row r="239" spans="1:12" x14ac:dyDescent="0.15">
      <c r="A239" s="16" t="s">
        <v>30</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x14ac:dyDescent="0.15">
      <c r="A240" s="16" t="s">
        <v>102</v>
      </c>
      <c r="E240" s="9" t="str">
        <f t="shared" si="6"/>
        <v/>
      </c>
      <c r="F240" s="10" t="str">
        <f>IF(OR(E240="",E240="!!!"),"",IF(NOT(ISNA(VLOOKUP(E240,E$1:E239,1,FALSE()))),"OLD",IF(AND(E240&lt;&gt;"",E240&lt;&gt;"!!!"),"NEW","")))</f>
        <v/>
      </c>
      <c r="G240" s="11" t="str">
        <f>IF(OR(E240="",E240="!!!"),"",IF(OR(J240=0,AND(J240=1,K240=1),AND(J240=1,I240="SBJ"),AND(J240=1,I240=0)),"?IN_FOCUS",IF(J240&lt;=2,"?ACTIVATED",IF(J240&lt;&gt;"","?FAMILIAR",IF(F240="NEW",IF(ISNA(VLOOKUP(E240,#REF!,1,FALSE())),"?TYPE_IDENTIFIABLE","?REFERENTIAL"),"_")))))</f>
        <v/>
      </c>
      <c r="H240" s="12" t="str">
        <f t="shared" ca="1" si="7"/>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x14ac:dyDescent="0.15">
      <c r="A241" s="16" t="s">
        <v>27</v>
      </c>
      <c r="E241" s="9" t="str">
        <f t="shared" si="6"/>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x14ac:dyDescent="0.15">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x14ac:dyDescent="0.15">
      <c r="A243" s="16" t="s">
        <v>47</v>
      </c>
      <c r="E243" s="9" t="str">
        <f t="shared" si="6"/>
        <v/>
      </c>
      <c r="F243" s="10" t="str">
        <f>IF(OR(E243="",E243="!!!"),"",IF(NOT(ISNA(VLOOKUP(E243,E$1:E242,1,FALSE()))),"OLD",IF(AND(E243&lt;&gt;"",E243&lt;&gt;"!!!"),"NEW","")))</f>
        <v/>
      </c>
      <c r="G243" s="11" t="str">
        <f>IF(OR(E243="",E243="!!!"),"",IF(OR(J243=0,AND(J243=1,K243=1),AND(J243=1,I243="SBJ"),AND(J243=1,I243=0)),"?IN_FOCUS",IF(J243&lt;=2,"?ACTIVATED",IF(J243&lt;&gt;"","?FAMILIAR",IF(F243="NEW",IF(ISNA(VLOOKUP(E243,#REF!,1,FALSE())),"?TYPE_IDENTIFIABLE","?REFERENTIAL"),"_")))))</f>
        <v/>
      </c>
      <c r="H243" s="12" t="str">
        <f t="shared" ca="1" si="7"/>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x14ac:dyDescent="0.15">
      <c r="A244" s="16" t="s">
        <v>116</v>
      </c>
      <c r="E244" s="9" t="str">
        <f t="shared" si="6"/>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ca="1" si="7"/>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x14ac:dyDescent="0.15">
      <c r="A245" s="16" t="s">
        <v>16</v>
      </c>
      <c r="B245" t="s">
        <v>17</v>
      </c>
      <c r="C245" t="s">
        <v>18</v>
      </c>
      <c r="D245" t="s">
        <v>19</v>
      </c>
      <c r="E245" s="9" t="s">
        <v>199</v>
      </c>
      <c r="F245" s="10" t="str">
        <f>IF(OR(E245="",E245="!!!"),"",IF(NOT(ISNA(VLOOKUP(E245,E$1:E244,1,FALSE()))),"OLD",IF(AND(E245&lt;&gt;"",E245&lt;&gt;"!!!"),"NEW","")))</f>
        <v>OLD</v>
      </c>
      <c r="G245" s="11" t="s">
        <v>208</v>
      </c>
      <c r="H245" s="12" t="str">
        <f t="shared" ca="1" si="7"/>
        <v>CB</v>
      </c>
      <c r="I245" s="13" t="str">
        <f>IF(OR(E245="",E245="!!!",F245="NEW"),"",INDEX(B$2:B244,-1+SUMPRODUCT(MAX(ROW(E$2:E244)*(E245=E$2:E244)))))</f>
        <v>SBJ</v>
      </c>
      <c r="J245" s="14">
        <f ca="1">IF(OR(E245="",E245="!!!",F245="NEW"),"",COUNTBLANK(OFFSET(A$1,,,SUMPRODUCT(MAX(ROW(E$2:E245)*(E245=E$2:E245)))))-COUNTBLANK(OFFSET(A$1,,,SUMPRODUCT(MAX(ROW(E$1:E244)*(E245=E$1:E244))))))</f>
        <v>1</v>
      </c>
      <c r="K245" s="14">
        <f ca="1">IF(OR(E245="",E245="!!!",F245="NEW"),"",INDEX(J$1:J244,SUMPRODUCT(MAX(ROW(E$1:E244)*(E245=E$1:E244)))))</f>
        <v>2</v>
      </c>
      <c r="L245" s="15"/>
    </row>
    <row r="246" spans="1:12" x14ac:dyDescent="0.15">
      <c r="A246" s="16" t="s">
        <v>71</v>
      </c>
      <c r="E246" s="9" t="str">
        <f t="shared" si="6"/>
        <v/>
      </c>
      <c r="F246" s="10" t="str">
        <f>IF(OR(E246="",E246="!!!"),"",IF(NOT(ISNA(VLOOKUP(E246,E$1:E245,1,FALSE()))),"OLD",IF(AND(E246&lt;&gt;"",E246&lt;&gt;"!!!"),"NEW","")))</f>
        <v/>
      </c>
      <c r="G246" s="11" t="str">
        <f>IF(OR(E246="",E246="!!!"),"",IF(OR(J246=0,AND(J246=1,K246=1),AND(J246=1,I246="SBJ"),AND(J246=1,I246=0)),"?IN_FOCUS",IF(J246&lt;=2,"?ACTIVATED",IF(J246&lt;&gt;"","?FAMILIAR",IF(F246="NEW",IF(ISNA(VLOOKUP(E246,#REF!,1,FALSE())),"?TYPE_IDENTIFIABLE","?REFERENTIAL"),"_")))))</f>
        <v/>
      </c>
      <c r="H246" s="12" t="str">
        <f t="shared" ca="1" si="7"/>
        <v/>
      </c>
      <c r="I246" s="13" t="str">
        <f>IF(OR(E246="",E246="!!!",F246="NEW"),"",INDEX(B$2:B245,-1+SUMPRODUCT(MAX(ROW(E$2:E245)*(E246=E$2:E245)))))</f>
        <v/>
      </c>
      <c r="J246" s="14" t="str">
        <f ca="1">IF(OR(E246="",E246="!!!",F246="NEW"),"",COUNTBLANK(OFFSET(A$1,,,SUMPRODUCT(MAX(ROW(E$2:E246)*(E246=E$2:E246)))))-COUNTBLANK(OFFSET(A$1,,,SUMPRODUCT(MAX(ROW(E$1:E245)*(E246=E$1:E245))))))</f>
        <v/>
      </c>
      <c r="K246" s="14" t="str">
        <f>IF(OR(E246="",E246="!!!",F246="NEW"),"",INDEX(J$1:J245,SUMPRODUCT(MAX(ROW(E$1:E245)*(E246=E$1:E245)))))</f>
        <v/>
      </c>
      <c r="L246" s="15"/>
    </row>
    <row r="247" spans="1:12" x14ac:dyDescent="0.15">
      <c r="A247" s="16" t="s">
        <v>14</v>
      </c>
      <c r="E247" s="9" t="str">
        <f t="shared" si="6"/>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x14ac:dyDescent="0.15">
      <c r="A248" s="16" t="s">
        <v>113</v>
      </c>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x14ac:dyDescent="0.15">
      <c r="A249" s="16" t="s">
        <v>114</v>
      </c>
      <c r="E249" s="9" t="str">
        <f t="shared" si="6"/>
        <v/>
      </c>
      <c r="F249" s="10" t="str">
        <f>IF(OR(E249="",E249="!!!"),"",IF(NOT(ISNA(VLOOKUP(E249,E$1:E248,1,FALSE()))),"OLD",IF(AND(E249&lt;&gt;"",E249&lt;&gt;"!!!"),"NEW","")))</f>
        <v/>
      </c>
      <c r="G249" s="11" t="str">
        <f>IF(OR(E249="",E249="!!!"),"",IF(OR(J249=0,AND(J249=1,K249=1),AND(J249=1,I249="SBJ"),AND(J249=1,I249=0)),"?IN_FOCUS",IF(J249&lt;=2,"?ACTIVATED",IF(J249&lt;&gt;"","?FAMILIAR",IF(F249="NEW",IF(ISNA(VLOOKUP(E249,#REF!,1,FALSE())),"?TYPE_IDENTIFIABLE","?REFERENTIAL"),"_")))))</f>
        <v/>
      </c>
      <c r="H249" s="12" t="str">
        <f t="shared" ca="1" si="7"/>
        <v/>
      </c>
      <c r="I249" s="13" t="str">
        <f>IF(OR(E249="",E249="!!!",F249="NEW"),"",INDEX(B$2:B248,-1+SUMPRODUCT(MAX(ROW(E$2:E248)*(E249=E$2:E248)))))</f>
        <v/>
      </c>
      <c r="J249" s="14" t="str">
        <f ca="1">IF(OR(E249="",E249="!!!",F249="NEW"),"",COUNTBLANK(OFFSET(A$1,,,SUMPRODUCT(MAX(ROW(E$2:E249)*(E249=E$2:E249)))))-COUNTBLANK(OFFSET(A$1,,,SUMPRODUCT(MAX(ROW(E$1:E248)*(E249=E$1:E248))))))</f>
        <v/>
      </c>
      <c r="K249" s="14" t="str">
        <f>IF(OR(E249="",E249="!!!",F249="NEW"),"",INDEX(J$1:J248,SUMPRODUCT(MAX(ROW(E$1:E248)*(E249=E$1:E248)))))</f>
        <v/>
      </c>
      <c r="L249" s="15"/>
    </row>
    <row r="250" spans="1:12" x14ac:dyDescent="0.15">
      <c r="A250" s="16" t="s">
        <v>51</v>
      </c>
      <c r="E250" s="9" t="str">
        <f t="shared" si="6"/>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x14ac:dyDescent="0.15">
      <c r="A251" s="16" t="s">
        <v>25</v>
      </c>
      <c r="B251" t="s">
        <v>22</v>
      </c>
      <c r="C251" t="s">
        <v>23</v>
      </c>
      <c r="D251" t="s">
        <v>19</v>
      </c>
      <c r="E251" s="9" t="s">
        <v>216</v>
      </c>
      <c r="F251" s="10" t="str">
        <f>IF(OR(E251="",E251="!!!"),"",IF(NOT(ISNA(VLOOKUP(E251,E$1:E250,1,FALSE()))),"OLD",IF(AND(E251&lt;&gt;"",E251&lt;&gt;"!!!"),"NEW","")))</f>
        <v>NEW</v>
      </c>
      <c r="G251" s="11" t="s">
        <v>200</v>
      </c>
      <c r="H251" s="12" t="str">
        <f t="shared" ca="1" si="7"/>
        <v/>
      </c>
      <c r="I251" s="13" t="str">
        <f>IF(OR(E251="",E251="!!!",F251="NEW"),"",INDEX(B$2:B250,-1+SUMPRODUCT(MAX(ROW(E$2:E250)*(E251=E$2:E250)))))</f>
        <v/>
      </c>
      <c r="J251" s="14" t="str">
        <f ca="1">IF(OR(E251="",E251="!!!",F251="NEW"),"",COUNTBLANK(OFFSET(A$1,,,SUMPRODUCT(MAX(ROW(E$2:E251)*(E251=E$2:E251)))))-COUNTBLANK(OFFSET(A$1,,,SUMPRODUCT(MAX(ROW(E$1:E250)*(E251=E$1:E250))))))</f>
        <v/>
      </c>
      <c r="K251" s="14" t="str">
        <f>IF(OR(E251="",E251="!!!",F251="NEW"),"",INDEX(J$1:J250,SUMPRODUCT(MAX(ROW(E$1:E250)*(E251=E$1:E250)))))</f>
        <v/>
      </c>
      <c r="L251" s="15"/>
    </row>
    <row r="252" spans="1:12" x14ac:dyDescent="0.15">
      <c r="A252" s="16" t="s">
        <v>50</v>
      </c>
      <c r="E252" s="9" t="str">
        <f t="shared" si="6"/>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x14ac:dyDescent="0.15">
      <c r="A253" s="16" t="s">
        <v>51</v>
      </c>
      <c r="E253" s="9" t="str">
        <f t="shared" si="6"/>
        <v/>
      </c>
      <c r="F253" s="10" t="str">
        <f>IF(OR(E253="",E253="!!!"),"",IF(NOT(ISNA(VLOOKUP(E253,E$1:E252,1,FALSE()))),"OLD",IF(AND(E253&lt;&gt;"",E253&lt;&gt;"!!!"),"NEW","")))</f>
        <v/>
      </c>
      <c r="G253" s="11" t="str">
        <f>IF(OR(E253="",E253="!!!"),"",IF(OR(J253=0,AND(J253=1,K253=1),AND(J253=1,I253="SBJ"),AND(J253=1,I253=0)),"?IN_FOCUS",IF(J253&lt;=2,"?ACTIVATED",IF(J253&lt;&gt;"","?FAMILIAR",IF(F253="NEW",IF(ISNA(VLOOKUP(E253,#REF!,1,FALSE())),"?TYPE_IDENTIFIABLE","?REFERENTIAL"),"_")))))</f>
        <v/>
      </c>
      <c r="H253" s="12" t="str">
        <f t="shared" ca="1" si="7"/>
        <v/>
      </c>
      <c r="I253" s="13" t="str">
        <f>IF(OR(E253="",E253="!!!",F253="NEW"),"",INDEX(B$2:B252,-1+SUMPRODUCT(MAX(ROW(E$2:E252)*(E253=E$2:E252)))))</f>
        <v/>
      </c>
      <c r="J253" s="14" t="str">
        <f ca="1">IF(OR(E253="",E253="!!!",F253="NEW"),"",COUNTBLANK(OFFSET(A$1,,,SUMPRODUCT(MAX(ROW(E$2:E253)*(E253=E$2:E253)))))-COUNTBLANK(OFFSET(A$1,,,SUMPRODUCT(MAX(ROW(E$1:E252)*(E253=E$1:E252))))))</f>
        <v/>
      </c>
      <c r="K253" s="14" t="str">
        <f>IF(OR(E253="",E253="!!!",F253="NEW"),"",INDEX(J$1:J252,SUMPRODUCT(MAX(ROW(E$1:E252)*(E253=E$1:E252)))))</f>
        <v/>
      </c>
      <c r="L253" s="15"/>
    </row>
    <row r="254" spans="1:12" x14ac:dyDescent="0.15">
      <c r="A254" s="16" t="s">
        <v>24</v>
      </c>
      <c r="E254" s="9" t="str">
        <f t="shared" si="6"/>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ca="1" si="7"/>
        <v/>
      </c>
      <c r="I254" s="13" t="str">
        <f>IF(OR(E254="",E254="!!!",F254="NEW"),"",INDEX(B$2:B253,-1+SUMPRODUCT(MAX(ROW(E$2:E253)*(E254=E$2:E253)))))</f>
        <v/>
      </c>
      <c r="J254" s="14" t="str">
        <f ca="1">IF(OR(E254="",E254="!!!",F254="NEW"),"",COUNTBLANK(OFFSET(A$1,,,SUMPRODUCT(MAX(ROW(E$2:E254)*(E254=E$2:E254)))))-COUNTBLANK(OFFSET(A$1,,,SUMPRODUCT(MAX(ROW(E$1:E253)*(E254=E$1:E253))))))</f>
        <v/>
      </c>
      <c r="K254" s="14" t="str">
        <f>IF(OR(E254="",E254="!!!",F254="NEW"),"",INDEX(J$1:J253,SUMPRODUCT(MAX(ROW(E$1:E253)*(E254=E$1:E253)))))</f>
        <v/>
      </c>
      <c r="L254" s="15"/>
    </row>
    <row r="255" spans="1:12" x14ac:dyDescent="0.15">
      <c r="A255" s="16" t="s">
        <v>14</v>
      </c>
      <c r="E255" s="9" t="str">
        <f t="shared" si="6"/>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7"/>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x14ac:dyDescent="0.15">
      <c r="A256" s="16" t="s">
        <v>117</v>
      </c>
      <c r="E256" s="9" t="str">
        <f t="shared" si="6"/>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7"/>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x14ac:dyDescent="0.15">
      <c r="A257" s="16" t="s">
        <v>110</v>
      </c>
      <c r="E257" s="9" t="str">
        <f t="shared" si="6"/>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ca="1" si="7"/>
        <v/>
      </c>
      <c r="I257" s="13" t="str">
        <f>IF(OR(E257="",E257="!!!",F257="NEW"),"",INDEX(B$2:B256,-1+SUMPRODUCT(MAX(ROW(E$2:E256)*(E257=E$2:E256)))))</f>
        <v/>
      </c>
      <c r="J257" s="14" t="str">
        <f ca="1">IF(OR(E257="",E257="!!!",F257="NEW"),"",COUNTBLANK(OFFSET(A$1,,,SUMPRODUCT(MAX(ROW(E$2:E257)*(E257=E$2:E257)))))-COUNTBLANK(OFFSET(A$1,,,SUMPRODUCT(MAX(ROW(E$1:E256)*(E257=E$1:E256))))))</f>
        <v/>
      </c>
      <c r="K257" s="14" t="str">
        <f>IF(OR(E257="",E257="!!!",F257="NEW"),"",INDEX(J$1:J256,SUMPRODUCT(MAX(ROW(E$1:E256)*(E257=E$1:E256)))))</f>
        <v/>
      </c>
      <c r="L257" s="15"/>
    </row>
    <row r="258" spans="1:12" x14ac:dyDescent="0.15">
      <c r="A258" s="16" t="s">
        <v>39</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x14ac:dyDescent="0.15">
      <c r="A259" s="16" t="s">
        <v>14</v>
      </c>
      <c r="E259" s="9" t="str">
        <f t="shared" si="6"/>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7"/>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x14ac:dyDescent="0.15">
      <c r="A260" s="16" t="s">
        <v>46</v>
      </c>
      <c r="B260" t="s">
        <v>75</v>
      </c>
      <c r="C260" t="s">
        <v>23</v>
      </c>
      <c r="D260" t="s">
        <v>19</v>
      </c>
      <c r="E260" s="9" t="s">
        <v>207</v>
      </c>
      <c r="F260" s="10" t="str">
        <f>IF(OR(E260="",E260="!!!"),"",IF(NOT(ISNA(VLOOKUP(E260,E$1:E259,1,FALSE()))),"OLD",IF(AND(E260&lt;&gt;"",E260&lt;&gt;"!!!"),"NEW","")))</f>
        <v>OLD</v>
      </c>
      <c r="G260" s="11" t="s">
        <v>203</v>
      </c>
      <c r="H260" s="12"/>
      <c r="I260" s="13" t="str">
        <f>IF(OR(E260="",E260="!!!",F260="NEW"),"",INDEX(B$2:B259,-1+SUMPRODUCT(MAX(ROW(E$2:E259)*(E260=E$2:E259)))))</f>
        <v>OBJ_2</v>
      </c>
      <c r="J260" s="14">
        <f ca="1">IF(OR(E260="",E260="!!!",F260="NEW"),"",COUNTBLANK(OFFSET(A$1,,,SUMPRODUCT(MAX(ROW(E$2:E260)*(E260=E$2:E260)))))-COUNTBLANK(OFFSET(A$1,,,SUMPRODUCT(MAX(ROW(E$1:E259)*(E260=E$1:E259))))))</f>
        <v>1</v>
      </c>
      <c r="K260" s="14">
        <f ca="1">IF(OR(E260="",E260="!!!",F260="NEW"),"",INDEX(J$1:J259,SUMPRODUCT(MAX(ROW(E$1:E259)*(E260=E$1:E259)))))</f>
        <v>3</v>
      </c>
      <c r="L260" s="15"/>
    </row>
    <row r="261" spans="1:12" x14ac:dyDescent="0.15">
      <c r="A261" s="16" t="s">
        <v>73</v>
      </c>
      <c r="B261" t="s">
        <v>58</v>
      </c>
      <c r="C261" t="s">
        <v>64</v>
      </c>
      <c r="D261" t="s">
        <v>19</v>
      </c>
      <c r="E261" s="9" t="s">
        <v>199</v>
      </c>
      <c r="F261" s="10" t="str">
        <f>IF(OR(E261="",E261="!!!"),"",IF(NOT(ISNA(VLOOKUP(E261,E$1:E260,1,FALSE()))),"OLD",IF(AND(E261&lt;&gt;"",E261&lt;&gt;"!!!"),"NEW","")))</f>
        <v>OLD</v>
      </c>
      <c r="G261" s="11" t="s">
        <v>208</v>
      </c>
      <c r="H261" s="12" t="str">
        <f t="shared" ref="H261:H323" ca="1" si="8">IF(J261&lt;&gt;1,"",IF(I261="SBJ","CB","?"))</f>
        <v/>
      </c>
      <c r="I261" s="13" t="str">
        <f>IF(OR(E261="",E261="!!!",F261="NEW"),"",INDEX(B$2:B260,-1+SUMPRODUCT(MAX(ROW(E$2:E260)*(E261=E$2:E260)))))</f>
        <v>SBJ</v>
      </c>
      <c r="J261" s="14">
        <f ca="1">IF(OR(E261="",E261="!!!",F261="NEW"),"",COUNTBLANK(OFFSET(A$1,,,SUMPRODUCT(MAX(ROW(E$2:E261)*(E261=E$2:E261)))))-COUNTBLANK(OFFSET(A$1,,,SUMPRODUCT(MAX(ROW(E$1:E260)*(E261=E$1:E260))))))</f>
        <v>0</v>
      </c>
      <c r="K261" s="14">
        <f ca="1">IF(OR(E261="",E261="!!!",F261="NEW"),"",INDEX(J$1:J260,SUMPRODUCT(MAX(ROW(E$1:E260)*(E261=E$1:E260)))))</f>
        <v>1</v>
      </c>
      <c r="L261" s="15"/>
    </row>
    <row r="262" spans="1:12" x14ac:dyDescent="0.15">
      <c r="A262" s="16" t="s">
        <v>71</v>
      </c>
      <c r="E262" s="9" t="str">
        <f t="shared" ref="E262:E323" si="9">IF(D262="?OLD","!!!","")</f>
        <v/>
      </c>
      <c r="F262" s="10" t="str">
        <f>IF(OR(E262="",E262="!!!"),"",IF(NOT(ISNA(VLOOKUP(E262,E$1:E261,1,FALSE()))),"OLD",IF(AND(E262&lt;&gt;"",E262&lt;&gt;"!!!"),"NEW","")))</f>
        <v/>
      </c>
      <c r="G262" s="11" t="str">
        <f>IF(OR(E262="",E262="!!!"),"",IF(OR(J262=0,AND(J262=1,K262=1),AND(J262=1,I262="SBJ"),AND(J262=1,I262=0)),"?IN_FOCUS",IF(J262&lt;=2,"?ACTIVATED",IF(J262&lt;&gt;"","?FAMILIAR",IF(F262="NEW",IF(ISNA(VLOOKUP(E262,#REF!,1,FALSE())),"?TYPE_IDENTIFIABLE","?REFERENTIAL"),"_")))))</f>
        <v/>
      </c>
      <c r="H262" s="12" t="str">
        <f t="shared" ca="1" si="8"/>
        <v/>
      </c>
      <c r="I262" s="13" t="str">
        <f>IF(OR(E262="",E262="!!!",F262="NEW"),"",INDEX(B$2:B261,-1+SUMPRODUCT(MAX(ROW(E$2:E261)*(E262=E$2:E261)))))</f>
        <v/>
      </c>
      <c r="J262" s="14" t="str">
        <f ca="1">IF(OR(E262="",E262="!!!",F262="NEW"),"",COUNTBLANK(OFFSET(A$1,,,SUMPRODUCT(MAX(ROW(E$2:E262)*(E262=E$2:E262)))))-COUNTBLANK(OFFSET(A$1,,,SUMPRODUCT(MAX(ROW(E$1:E261)*(E262=E$1:E261))))))</f>
        <v/>
      </c>
      <c r="K262" s="14" t="str">
        <f>IF(OR(E262="",E262="!!!",F262="NEW"),"",INDEX(J$1:J261,SUMPRODUCT(MAX(ROW(E$1:E261)*(E262=E$1:E261)))))</f>
        <v/>
      </c>
      <c r="L262" s="15"/>
    </row>
    <row r="263" spans="1:12" x14ac:dyDescent="0.15">
      <c r="A263" s="16" t="s">
        <v>51</v>
      </c>
      <c r="E263" s="9" t="str">
        <f t="shared" si="9"/>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8"/>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x14ac:dyDescent="0.15">
      <c r="A264" s="16" t="s">
        <v>118</v>
      </c>
      <c r="B264" t="s">
        <v>54</v>
      </c>
      <c r="C264" t="s">
        <v>35</v>
      </c>
      <c r="E264" s="9" t="str">
        <f t="shared" si="9"/>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8"/>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x14ac:dyDescent="0.15">
      <c r="A265" s="16" t="s">
        <v>27</v>
      </c>
      <c r="E265" s="9" t="str">
        <f t="shared" si="9"/>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8"/>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x14ac:dyDescent="0.15">
      <c r="A266" s="16" t="s">
        <v>51</v>
      </c>
      <c r="E266" s="9" t="str">
        <f t="shared" si="9"/>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8"/>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x14ac:dyDescent="0.15">
      <c r="E267" s="9" t="str">
        <f t="shared" si="9"/>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8"/>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x14ac:dyDescent="0.15">
      <c r="A268" s="16" t="s">
        <v>119</v>
      </c>
      <c r="E268" s="9" t="str">
        <f t="shared" si="9"/>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8"/>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x14ac:dyDescent="0.15">
      <c r="A269" s="16" t="s">
        <v>16</v>
      </c>
      <c r="B269" t="s">
        <v>17</v>
      </c>
      <c r="C269" t="s">
        <v>18</v>
      </c>
      <c r="D269" t="s">
        <v>19</v>
      </c>
      <c r="E269" s="9" t="s">
        <v>199</v>
      </c>
      <c r="F269" s="10" t="str">
        <f>IF(OR(E269="",E269="!!!"),"",IF(NOT(ISNA(VLOOKUP(E269,E$1:E268,1,FALSE()))),"OLD",IF(AND(E269&lt;&gt;"",E269&lt;&gt;"!!!"),"NEW","")))</f>
        <v>OLD</v>
      </c>
      <c r="G269" s="11" t="s">
        <v>203</v>
      </c>
      <c r="H269" s="12" t="s">
        <v>7</v>
      </c>
      <c r="I269" s="13" t="str">
        <f>IF(OR(E269="",E269="!!!",F269="NEW"),"",INDEX(B$2:B268,-1+SUMPRODUCT(MAX(ROW(E$2:E268)*(E269=E$2:E268)))))</f>
        <v>SBJ_2</v>
      </c>
      <c r="J269" s="14">
        <f ca="1">IF(OR(E269="",E269="!!!",F269="NEW"),"",COUNTBLANK(OFFSET(A$1,,,SUMPRODUCT(MAX(ROW(E$2:E269)*(E269=E$2:E269)))))-COUNTBLANK(OFFSET(A$1,,,SUMPRODUCT(MAX(ROW(E$1:E268)*(E269=E$1:E268))))))</f>
        <v>1</v>
      </c>
      <c r="K269" s="14">
        <f ca="1">IF(OR(E269="",E269="!!!",F269="NEW"),"",INDEX(J$1:J268,SUMPRODUCT(MAX(ROW(E$1:E268)*(E269=E$1:E268)))))</f>
        <v>0</v>
      </c>
      <c r="L269" s="15"/>
    </row>
    <row r="270" spans="1:12" x14ac:dyDescent="0.15">
      <c r="A270" s="16" t="s">
        <v>60</v>
      </c>
      <c r="E270" s="9" t="str">
        <f t="shared" si="9"/>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8"/>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x14ac:dyDescent="0.15">
      <c r="A271" s="16" t="s">
        <v>61</v>
      </c>
      <c r="E271" s="9"/>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ca="1" si="8"/>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ht="28" x14ac:dyDescent="0.15">
      <c r="A272" s="16" t="s">
        <v>62</v>
      </c>
      <c r="B272" t="s">
        <v>58</v>
      </c>
      <c r="C272" t="s">
        <v>64</v>
      </c>
      <c r="D272" t="s">
        <v>19</v>
      </c>
      <c r="E272" s="9"/>
      <c r="F272" s="10" t="str">
        <f>IF(OR(E272="",E272="!!!"),"",IF(NOT(ISNA(VLOOKUP(E272,E$1:E271,1,FALSE()))),"OLD",IF(AND(E272&lt;&gt;"",E272&lt;&gt;"!!!"),"NEW","")))</f>
        <v/>
      </c>
      <c r="G272" s="11" t="str">
        <f>IF(OR(E272="",E272="!!!"),"",IF(OR(J272=0,AND(J272=1,K272=1),AND(J272=1,I272="SBJ"),AND(J272=1,I272=0)),"?IN_FOCUS",IF(J272&lt;=2,"?ACTIVATED",IF(J272&lt;&gt;"","?FAMILIAR",IF(F272="NEW",IF(ISNA(VLOOKUP(E272,#REF!,1,FALSE())),"?TYPE_IDENTIFIABLE","?REFERENTIAL"),"_")))))</f>
        <v/>
      </c>
      <c r="H272" s="12" t="str">
        <f t="shared" ca="1" si="8"/>
        <v/>
      </c>
      <c r="I272" s="13" t="str">
        <f>IF(OR(E272="",E272="!!!",F272="NEW"),"",INDEX(B$2:B271,-1+SUMPRODUCT(MAX(ROW(E$2:E271)*(E272=E$2:E271)))))</f>
        <v/>
      </c>
      <c r="J272" s="14" t="str">
        <f ca="1">IF(OR(E272="",E272="!!!",F272="NEW"),"",COUNTBLANK(OFFSET(A$1,,,SUMPRODUCT(MAX(ROW(E$2:E272)*(E272=E$2:E272)))))-COUNTBLANK(OFFSET(A$1,,,SUMPRODUCT(MAX(ROW(E$1:E271)*(E272=E$1:E271))))))</f>
        <v/>
      </c>
      <c r="K272" s="14" t="str">
        <f>IF(OR(E272="",E272="!!!",F272="NEW"),"",INDEX(J$1:J271,SUMPRODUCT(MAX(ROW(E$1:E271)*(E272=E$1:E271)))))</f>
        <v/>
      </c>
      <c r="L272" s="15" t="s">
        <v>217</v>
      </c>
    </row>
    <row r="273" spans="1:12" x14ac:dyDescent="0.15">
      <c r="A273" s="16" t="s">
        <v>30</v>
      </c>
      <c r="E273" s="9" t="str">
        <f t="shared" si="9"/>
        <v/>
      </c>
      <c r="F273" s="10" t="str">
        <f>IF(OR(E273="",E273="!!!"),"",IF(NOT(ISNA(VLOOKUP(E273,E$1:E272,1,FALSE()))),"OLD",IF(AND(E273&lt;&gt;"",E273&lt;&gt;"!!!"),"NEW","")))</f>
        <v/>
      </c>
      <c r="G273" s="11" t="str">
        <f>IF(OR(E273="",E273="!!!"),"",IF(OR(J273=0,AND(J273=1,K273=1),AND(J273=1,I273="SBJ"),AND(J273=1,I273=0)),"?IN_FOCUS",IF(J273&lt;=2,"?ACTIVATED",IF(J273&lt;&gt;"","?FAMILIAR",IF(F273="NEW",IF(ISNA(VLOOKUP(E273,#REF!,1,FALSE())),"?TYPE_IDENTIFIABLE","?REFERENTIAL"),"_")))))</f>
        <v/>
      </c>
      <c r="H273" s="12" t="str">
        <f t="shared" ca="1" si="8"/>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x14ac:dyDescent="0.15">
      <c r="A274" s="16" t="s">
        <v>65</v>
      </c>
      <c r="E274" s="9" t="str">
        <f t="shared" si="9"/>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8"/>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x14ac:dyDescent="0.15">
      <c r="A275" s="16" t="s">
        <v>27</v>
      </c>
      <c r="E275" s="9" t="str">
        <f t="shared" si="9"/>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8"/>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x14ac:dyDescent="0.15">
      <c r="E276" s="9" t="str">
        <f t="shared" si="9"/>
        <v/>
      </c>
      <c r="F276" s="10" t="str">
        <f>IF(OR(E276="",E276="!!!"),"",IF(NOT(ISNA(VLOOKUP(E276,E$1:E275,1,FALSE()))),"OLD",IF(AND(E276&lt;&gt;"",E276&lt;&gt;"!!!"),"NEW","")))</f>
        <v/>
      </c>
      <c r="G276" s="11" t="str">
        <f>IF(OR(E276="",E276="!!!"),"",IF(OR(J276=0,AND(J276=1,K276=1),AND(J276=1,I276="SBJ"),AND(J276=1,I276=0)),"?IN_FOCUS",IF(J276&lt;=2,"?ACTIVATED",IF(J276&lt;&gt;"","?FAMILIAR",IF(F276="NEW",IF(ISNA(VLOOKUP(E276,#REF!,1,FALSE())),"?TYPE_IDENTIFIABLE","?REFERENTIAL"),"_")))))</f>
        <v/>
      </c>
      <c r="H276" s="12" t="str">
        <f t="shared" ca="1" si="8"/>
        <v/>
      </c>
      <c r="I276" s="13" t="str">
        <f>IF(OR(E276="",E276="!!!",F276="NEW"),"",INDEX(B$2:B275,-1+SUMPRODUCT(MAX(ROW(E$2:E275)*(E276=E$2:E275)))))</f>
        <v/>
      </c>
      <c r="J276" s="14" t="str">
        <f ca="1">IF(OR(E276="",E276="!!!",F276="NEW"),"",COUNTBLANK(OFFSET(A$1,,,SUMPRODUCT(MAX(ROW(E$2:E276)*(E276=E$2:E276)))))-COUNTBLANK(OFFSET(A$1,,,SUMPRODUCT(MAX(ROW(E$1:E275)*(E276=E$1:E275))))))</f>
        <v/>
      </c>
      <c r="K276" s="14" t="str">
        <f>IF(OR(E276="",E276="!!!",F276="NEW"),"",INDEX(J$1:J275,SUMPRODUCT(MAX(ROW(E$1:E275)*(E276=E$1:E275)))))</f>
        <v/>
      </c>
      <c r="L276" s="15"/>
    </row>
    <row r="277" spans="1:12" x14ac:dyDescent="0.15">
      <c r="A277" s="16" t="s">
        <v>47</v>
      </c>
      <c r="E277" s="9" t="str">
        <f t="shared" si="9"/>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8"/>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x14ac:dyDescent="0.15">
      <c r="A278" s="16" t="s">
        <v>120</v>
      </c>
      <c r="E278" s="9" t="str">
        <f t="shared" si="9"/>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8"/>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x14ac:dyDescent="0.15">
      <c r="A279" s="16" t="s">
        <v>16</v>
      </c>
      <c r="B279" t="s">
        <v>17</v>
      </c>
      <c r="C279" t="s">
        <v>18</v>
      </c>
      <c r="D279" t="s">
        <v>19</v>
      </c>
      <c r="E279" s="9" t="s">
        <v>199</v>
      </c>
      <c r="F279" s="10" t="str">
        <f>IF(OR(E279="",E279="!!!"),"",IF(NOT(ISNA(VLOOKUP(E279,E$1:E278,1,FALSE()))),"OLD",IF(AND(E279&lt;&gt;"",E279&lt;&gt;"!!!"),"NEW","")))</f>
        <v>OLD</v>
      </c>
      <c r="G279" s="11" t="s">
        <v>208</v>
      </c>
      <c r="H279" s="12" t="str">
        <f t="shared" ca="1" si="8"/>
        <v>CB</v>
      </c>
      <c r="I279" s="13" t="str">
        <f>IF(OR(E279="",E279="!!!",F279="NEW"),"",INDEX(B$2:B278,-1+SUMPRODUCT(MAX(ROW(E$2:E278)*(E279=E$2:E278)))))</f>
        <v>SBJ</v>
      </c>
      <c r="J279" s="14">
        <f ca="1">IF(OR(E279="",E279="!!!",F279="NEW"),"",COUNTBLANK(OFFSET(A$1,,,SUMPRODUCT(MAX(ROW(E$2:E279)*(E279=E$2:E279)))))-COUNTBLANK(OFFSET(A$1,,,SUMPRODUCT(MAX(ROW(E$1:E278)*(E279=E$1:E278))))))</f>
        <v>1</v>
      </c>
      <c r="K279" s="14">
        <f ca="1">IF(OR(E279="",E279="!!!",F279="NEW"),"",INDEX(J$1:J278,SUMPRODUCT(MAX(ROW(E$1:E278)*(E279=E$1:E278)))))</f>
        <v>1</v>
      </c>
      <c r="L279" s="15"/>
    </row>
    <row r="280" spans="1:12" x14ac:dyDescent="0.15">
      <c r="A280" s="16" t="s">
        <v>49</v>
      </c>
      <c r="E280" s="9" t="str">
        <f t="shared" si="9"/>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8"/>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x14ac:dyDescent="0.15">
      <c r="A281" s="16" t="s">
        <v>50</v>
      </c>
      <c r="E281" s="9" t="str">
        <f t="shared" si="9"/>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8"/>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x14ac:dyDescent="0.15">
      <c r="A282" s="16" t="s">
        <v>51</v>
      </c>
      <c r="E282" s="9" t="str">
        <f t="shared" si="9"/>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8"/>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x14ac:dyDescent="0.15">
      <c r="A283" s="16" t="s">
        <v>52</v>
      </c>
      <c r="E283" s="9" t="str">
        <f t="shared" si="9"/>
        <v/>
      </c>
      <c r="F283" s="10" t="str">
        <f>IF(OR(E283="",E283="!!!"),"",IF(NOT(ISNA(VLOOKUP(E283,E$1:E282,1,FALSE()))),"OLD",IF(AND(E283&lt;&gt;"",E283&lt;&gt;"!!!"),"NEW","")))</f>
        <v/>
      </c>
      <c r="G283" s="11" t="str">
        <f>IF(OR(E283="",E283="!!!"),"",IF(OR(J283=0,AND(J283=1,K283=1),AND(J283=1,I283="SBJ"),AND(J283=1,I283=0)),"?IN_FOCUS",IF(J283&lt;=2,"?ACTIVATED",IF(J283&lt;&gt;"","?FAMILIAR",IF(F283="NEW",IF(ISNA(VLOOKUP(E283,#REF!,1,FALSE())),"?TYPE_IDENTIFIABLE","?REFERENTIAL"),"_")))))</f>
        <v/>
      </c>
      <c r="H283" s="12" t="str">
        <f t="shared" ca="1" si="8"/>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x14ac:dyDescent="0.15">
      <c r="A284" s="16" t="s">
        <v>14</v>
      </c>
      <c r="E284" s="9" t="str">
        <f t="shared" si="9"/>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ca="1" si="8"/>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x14ac:dyDescent="0.15">
      <c r="A285" s="16" t="s">
        <v>25</v>
      </c>
      <c r="B285" t="s">
        <v>54</v>
      </c>
      <c r="C285" t="s">
        <v>23</v>
      </c>
      <c r="D285" t="s">
        <v>19</v>
      </c>
      <c r="E285" s="9" t="s">
        <v>216</v>
      </c>
      <c r="F285" s="10" t="str">
        <f>IF(OR(E285="",E285="!!!"),"",IF(NOT(ISNA(VLOOKUP(E285,E$1:E284,1,FALSE()))),"OLD",IF(AND(E285&lt;&gt;"",E285&lt;&gt;"!!!"),"NEW","")))</f>
        <v>OLD</v>
      </c>
      <c r="G285" s="11" t="s">
        <v>203</v>
      </c>
      <c r="H285" s="12" t="str">
        <f t="shared" ca="1" si="8"/>
        <v/>
      </c>
      <c r="I285" s="13" t="str">
        <f>IF(OR(E285="",E285="!!!",F285="NEW"),"",INDEX(B$2:B284,-1+SUMPRODUCT(MAX(ROW(E$2:E284)*(E285=E$2:E284)))))</f>
        <v>OBJ</v>
      </c>
      <c r="J285" s="14">
        <f ca="1">IF(OR(E285="",E285="!!!",F285="NEW"),"",COUNTBLANK(OFFSET(A$1,,,SUMPRODUCT(MAX(ROW(E$2:E285)*(E285=E$2:E285)))))-COUNTBLANK(OFFSET(A$1,,,SUMPRODUCT(MAX(ROW(E$1:E284)*(E285=E$1:E284))))))</f>
        <v>2</v>
      </c>
      <c r="K285" s="14" t="str">
        <f ca="1">IF(OR(E285="",E285="!!!",F285="NEW"),"",INDEX(J$1:J284,SUMPRODUCT(MAX(ROW(E$1:E284)*(E285=E$1:E284)))))</f>
        <v/>
      </c>
      <c r="L285" s="15"/>
    </row>
    <row r="286" spans="1:12" x14ac:dyDescent="0.15">
      <c r="A286" s="16" t="s">
        <v>121</v>
      </c>
      <c r="E286" s="9" t="str">
        <f t="shared" si="9"/>
        <v/>
      </c>
      <c r="F286" s="10" t="str">
        <f>IF(OR(E286="",E286="!!!"),"",IF(NOT(ISNA(VLOOKUP(E286,E$1:E285,1,FALSE()))),"OLD",IF(AND(E286&lt;&gt;"",E286&lt;&gt;"!!!"),"NEW","")))</f>
        <v/>
      </c>
      <c r="G286" s="11" t="str">
        <f>IF(OR(E286="",E286="!!!"),"",IF(OR(J286=0,AND(J286=1,K286=1),AND(J286=1,I286="SBJ"),AND(J286=1,I286=0)),"?IN_FOCUS",IF(J286&lt;=2,"?ACTIVATED",IF(J286&lt;&gt;"","?FAMILIAR",IF(F286="NEW",IF(ISNA(VLOOKUP(E286,#REF!,1,FALSE())),"?TYPE_IDENTIFIABLE","?REFERENTIAL"),"_")))))</f>
        <v/>
      </c>
      <c r="H286" s="12" t="str">
        <f t="shared" ca="1" si="8"/>
        <v/>
      </c>
      <c r="I286" s="13" t="str">
        <f>IF(OR(E286="",E286="!!!",F286="NEW"),"",INDEX(B$2:B285,-1+SUMPRODUCT(MAX(ROW(E$2:E285)*(E286=E$2:E285)))))</f>
        <v/>
      </c>
      <c r="J286" s="14" t="str">
        <f ca="1">IF(OR(E286="",E286="!!!",F286="NEW"),"",COUNTBLANK(OFFSET(A$1,,,SUMPRODUCT(MAX(ROW(E$2:E286)*(E286=E$2:E286)))))-COUNTBLANK(OFFSET(A$1,,,SUMPRODUCT(MAX(ROW(E$1:E285)*(E286=E$1:E285))))))</f>
        <v/>
      </c>
      <c r="K286" s="14" t="str">
        <f>IF(OR(E286="",E286="!!!",F286="NEW"),"",INDEX(J$1:J285,SUMPRODUCT(MAX(ROW(E$1:E285)*(E286=E$1:E285)))))</f>
        <v/>
      </c>
      <c r="L286" s="15"/>
    </row>
    <row r="287" spans="1:12" x14ac:dyDescent="0.15">
      <c r="A287" s="16" t="s">
        <v>122</v>
      </c>
      <c r="E287" s="9" t="str">
        <f t="shared" si="9"/>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8"/>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x14ac:dyDescent="0.15">
      <c r="A288" s="16" t="s">
        <v>123</v>
      </c>
      <c r="B288" t="s">
        <v>91</v>
      </c>
      <c r="C288" t="s">
        <v>35</v>
      </c>
      <c r="E288" s="9" t="str">
        <f t="shared" si="9"/>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ca="1" si="8"/>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x14ac:dyDescent="0.15">
      <c r="A289" s="16" t="s">
        <v>50</v>
      </c>
      <c r="E289" s="9" t="str">
        <f t="shared" si="9"/>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8"/>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x14ac:dyDescent="0.15">
      <c r="A290" s="16" t="s">
        <v>124</v>
      </c>
      <c r="B290" t="s">
        <v>81</v>
      </c>
      <c r="C290" t="s">
        <v>35</v>
      </c>
      <c r="E290" s="9" t="str">
        <f t="shared" si="9"/>
        <v/>
      </c>
      <c r="F290" s="10" t="str">
        <f>IF(OR(E290="",E290="!!!"),"",IF(NOT(ISNA(VLOOKUP(E290,E$1:E289,1,FALSE()))),"OLD",IF(AND(E290&lt;&gt;"",E290&lt;&gt;"!!!"),"NEW","")))</f>
        <v/>
      </c>
      <c r="G290" s="11" t="str">
        <f>IF(OR(E290="",E290="!!!"),"",IF(OR(J290=0,AND(J290=1,K290=1),AND(J290=1,I290="SBJ"),AND(J290=1,I290=0)),"?IN_FOCUS",IF(J290&lt;=2,"?ACTIVATED",IF(J290&lt;&gt;"","?FAMILIAR",IF(F290="NEW",IF(ISNA(VLOOKUP(E290,#REF!,1,FALSE())),"?TYPE_IDENTIFIABLE","?REFERENTIAL"),"_")))))</f>
        <v/>
      </c>
      <c r="H290" s="12" t="str">
        <f t="shared" ca="1" si="8"/>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x14ac:dyDescent="0.15">
      <c r="A291" s="16" t="s">
        <v>125</v>
      </c>
      <c r="E291" s="9" t="str">
        <f t="shared" si="9"/>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8"/>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x14ac:dyDescent="0.15">
      <c r="A292" s="16" t="s">
        <v>126</v>
      </c>
      <c r="B292" t="s">
        <v>127</v>
      </c>
      <c r="C292" t="s">
        <v>35</v>
      </c>
      <c r="E292" s="9" t="str">
        <f t="shared" si="9"/>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8"/>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x14ac:dyDescent="0.15">
      <c r="A293" s="16" t="s">
        <v>50</v>
      </c>
      <c r="E293" s="9" t="str">
        <f t="shared" si="9"/>
        <v/>
      </c>
      <c r="F293" s="10" t="str">
        <f>IF(OR(E293="",E293="!!!"),"",IF(NOT(ISNA(VLOOKUP(E293,E$1:E292,1,FALSE()))),"OLD",IF(AND(E293&lt;&gt;"",E293&lt;&gt;"!!!"),"NEW","")))</f>
        <v/>
      </c>
      <c r="G293" s="11" t="str">
        <f>IF(OR(E293="",E293="!!!"),"",IF(OR(J293=0,AND(J293=1,K293=1),AND(J293=1,I293="SBJ"),AND(J293=1,I293=0)),"?IN_FOCUS",IF(J293&lt;=2,"?ACTIVATED",IF(J293&lt;&gt;"","?FAMILIAR",IF(F293="NEW",IF(ISNA(VLOOKUP(E293,#REF!,1,FALSE())),"?TYPE_IDENTIFIABLE","?REFERENTIAL"),"_")))))</f>
        <v/>
      </c>
      <c r="H293" s="12" t="str">
        <f t="shared" ca="1" si="8"/>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x14ac:dyDescent="0.15">
      <c r="A294" s="16" t="s">
        <v>24</v>
      </c>
      <c r="E294" s="9" t="str">
        <f t="shared" si="9"/>
        <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ca="1" si="8"/>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x14ac:dyDescent="0.15">
      <c r="A295" s="16" t="s">
        <v>128</v>
      </c>
      <c r="E295" s="9" t="str">
        <f t="shared" si="9"/>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8"/>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x14ac:dyDescent="0.15">
      <c r="A296" s="16" t="s">
        <v>129</v>
      </c>
      <c r="B296" t="s">
        <v>75</v>
      </c>
      <c r="C296" t="s">
        <v>35</v>
      </c>
      <c r="E296" s="9" t="str">
        <f t="shared" si="9"/>
        <v/>
      </c>
      <c r="F296" s="10" t="str">
        <f>IF(OR(E296="",E296="!!!"),"",IF(NOT(ISNA(VLOOKUP(E296,E$1:E295,1,FALSE()))),"OLD",IF(AND(E296&lt;&gt;"",E296&lt;&gt;"!!!"),"NEW","")))</f>
        <v/>
      </c>
      <c r="G296" s="11" t="str">
        <f>IF(OR(E296="",E296="!!!"),"",IF(OR(J296=0,AND(J296=1,K296=1),AND(J296=1,I296="SBJ"),AND(J296=1,I296=0)),"?IN_FOCUS",IF(J296&lt;=2,"?ACTIVATED",IF(J296&lt;&gt;"","?FAMILIAR",IF(F296="NEW",IF(ISNA(VLOOKUP(E296,#REF!,1,FALSE())),"?TYPE_IDENTIFIABLE","?REFERENTIAL"),"_")))))</f>
        <v/>
      </c>
      <c r="H296" s="12" t="str">
        <f t="shared" ca="1" si="8"/>
        <v/>
      </c>
      <c r="I296" s="13" t="str">
        <f>IF(OR(E296="",E296="!!!",F296="NEW"),"",INDEX(B$2:B295,-1+SUMPRODUCT(MAX(ROW(E$2:E295)*(E296=E$2:E295)))))</f>
        <v/>
      </c>
      <c r="J296" s="14" t="str">
        <f ca="1">IF(OR(E296="",E296="!!!",F296="NEW"),"",COUNTBLANK(OFFSET(A$1,,,SUMPRODUCT(MAX(ROW(E$2:E296)*(E296=E$2:E296)))))-COUNTBLANK(OFFSET(A$1,,,SUMPRODUCT(MAX(ROW(E$1:E295)*(E296=E$1:E295))))))</f>
        <v/>
      </c>
      <c r="K296" s="14" t="str">
        <f>IF(OR(E296="",E296="!!!",F296="NEW"),"",INDEX(J$1:J295,SUMPRODUCT(MAX(ROW(E$1:E295)*(E296=E$1:E295)))))</f>
        <v/>
      </c>
      <c r="L296" s="15"/>
    </row>
    <row r="297" spans="1:12" x14ac:dyDescent="0.15">
      <c r="A297" s="16" t="s">
        <v>130</v>
      </c>
      <c r="E297" s="9" t="str">
        <f t="shared" si="9"/>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8"/>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x14ac:dyDescent="0.15">
      <c r="A298" s="16" t="s">
        <v>128</v>
      </c>
      <c r="B298" t="s">
        <v>131</v>
      </c>
      <c r="C298" t="s">
        <v>35</v>
      </c>
      <c r="E298" s="9" t="str">
        <f t="shared" si="9"/>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8"/>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x14ac:dyDescent="0.15">
      <c r="A299" s="16" t="s">
        <v>132</v>
      </c>
      <c r="E299" s="9" t="str">
        <f t="shared" si="9"/>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8"/>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x14ac:dyDescent="0.15">
      <c r="A300" s="16" t="s">
        <v>133</v>
      </c>
      <c r="B300" t="s">
        <v>134</v>
      </c>
      <c r="C300" t="s">
        <v>135</v>
      </c>
      <c r="D300" t="s">
        <v>19</v>
      </c>
      <c r="E300" s="9" t="s">
        <v>218</v>
      </c>
      <c r="F300" s="10" t="str">
        <f>IF(OR(E300="",E300="!!!"),"",IF(NOT(ISNA(VLOOKUP(E300,E$1:E299,1,FALSE()))),"OLD",IF(AND(E300&lt;&gt;"",E300&lt;&gt;"!!!"),"NEW","")))</f>
        <v>NEW</v>
      </c>
      <c r="G300" s="11" t="s">
        <v>200</v>
      </c>
      <c r="H300" s="12" t="str">
        <f t="shared" ca="1" si="8"/>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x14ac:dyDescent="0.15">
      <c r="A301" s="16" t="s">
        <v>136</v>
      </c>
      <c r="B301" t="s">
        <v>137</v>
      </c>
      <c r="C301" t="s">
        <v>138</v>
      </c>
      <c r="D301" t="s">
        <v>19</v>
      </c>
      <c r="E301" s="9" t="s">
        <v>218</v>
      </c>
      <c r="F301" s="10" t="str">
        <f>IF(OR(E301="",E301="!!!"),"",IF(NOT(ISNA(VLOOKUP(E301,E$1:E300,1,FALSE()))),"OLD",IF(AND(E301&lt;&gt;"",E301&lt;&gt;"!!!"),"NEW","")))</f>
        <v>OLD</v>
      </c>
      <c r="G301" s="11" t="s">
        <v>208</v>
      </c>
      <c r="H301" s="12" t="str">
        <f t="shared" ca="1" si="8"/>
        <v/>
      </c>
      <c r="I301" s="13" t="str">
        <f>IF(OR(E301="",E301="!!!",F301="NEW"),"",INDEX(B$2:B300,-1+SUMPRODUCT(MAX(ROW(E$2:E300)*(E301=E$2:E300)))))</f>
        <v>other_7</v>
      </c>
      <c r="J301" s="14">
        <f ca="1">IF(OR(E301="",E301="!!!",F301="NEW"),"",COUNTBLANK(OFFSET(A$1,,,SUMPRODUCT(MAX(ROW(E$2:E301)*(E301=E$2:E301)))))-COUNTBLANK(OFFSET(A$1,,,SUMPRODUCT(MAX(ROW(E$1:E300)*(E301=E$1:E300))))))</f>
        <v>0</v>
      </c>
      <c r="K301" s="14" t="str">
        <f ca="1">IF(OR(E301="",E301="!!!",F301="NEW"),"",INDEX(J$1:J300,SUMPRODUCT(MAX(ROW(E$1:E300)*(E301=E$1:E300)))))</f>
        <v/>
      </c>
      <c r="L301" s="15"/>
    </row>
    <row r="302" spans="1:12" x14ac:dyDescent="0.15">
      <c r="A302" s="16" t="s">
        <v>50</v>
      </c>
      <c r="E302" s="9" t="str">
        <f t="shared" si="9"/>
        <v/>
      </c>
      <c r="F302" s="10" t="str">
        <f>IF(OR(E302="",E302="!!!"),"",IF(NOT(ISNA(VLOOKUP(E302,E$1:E301,1,FALSE()))),"OLD",IF(AND(E302&lt;&gt;"",E302&lt;&gt;"!!!"),"NEW","")))</f>
        <v/>
      </c>
      <c r="G302" s="11" t="str">
        <f>IF(OR(E302="",E302="!!!"),"",IF(OR(J302=0,AND(J302=1,K302=1),AND(J302=1,I302="SBJ"),AND(J302=1,I302=0)),"?IN_FOCUS",IF(J302&lt;=2,"?ACTIVATED",IF(J302&lt;&gt;"","?FAMILIAR",IF(F302="NEW",IF(ISNA(VLOOKUP(E302,#REF!,1,FALSE())),"?TYPE_IDENTIFIABLE","?REFERENTIAL"),"_")))))</f>
        <v/>
      </c>
      <c r="H302" s="12" t="str">
        <f t="shared" ca="1" si="8"/>
        <v/>
      </c>
      <c r="I302" s="13" t="str">
        <f>IF(OR(E302="",E302="!!!",F302="NEW"),"",INDEX(B$2:B301,-1+SUMPRODUCT(MAX(ROW(E$2:E301)*(E302=E$2:E301)))))</f>
        <v/>
      </c>
      <c r="J302" s="14" t="str">
        <f ca="1">IF(OR(E302="",E302="!!!",F302="NEW"),"",COUNTBLANK(OFFSET(A$1,,,SUMPRODUCT(MAX(ROW(E$2:E302)*(E302=E$2:E302)))))-COUNTBLANK(OFFSET(A$1,,,SUMPRODUCT(MAX(ROW(E$1:E301)*(E302=E$1:E301))))))</f>
        <v/>
      </c>
      <c r="K302" s="14" t="str">
        <f>IF(OR(E302="",E302="!!!",F302="NEW"),"",INDEX(J$1:J301,SUMPRODUCT(MAX(ROW(E$1:E301)*(E302=E$1:E301)))))</f>
        <v/>
      </c>
      <c r="L302" s="15"/>
    </row>
    <row r="303" spans="1:12" x14ac:dyDescent="0.15">
      <c r="A303" s="16" t="s">
        <v>139</v>
      </c>
      <c r="E303" s="9" t="str">
        <f t="shared" si="9"/>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8"/>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x14ac:dyDescent="0.15">
      <c r="A304" s="16" t="s">
        <v>140</v>
      </c>
      <c r="B304" t="s">
        <v>141</v>
      </c>
      <c r="C304" t="s">
        <v>64</v>
      </c>
      <c r="D304" t="s">
        <v>19</v>
      </c>
      <c r="E304" s="9" t="s">
        <v>218</v>
      </c>
      <c r="F304" s="10" t="str">
        <f>IF(OR(E304="",E304="!!!"),"",IF(NOT(ISNA(VLOOKUP(E304,E$1:E303,1,FALSE()))),"OLD",IF(AND(E304&lt;&gt;"",E304&lt;&gt;"!!!"),"NEW","")))</f>
        <v>OLD</v>
      </c>
      <c r="G304" s="11" t="s">
        <v>208</v>
      </c>
      <c r="H304" s="12" t="str">
        <f t="shared" ca="1" si="8"/>
        <v/>
      </c>
      <c r="I304" s="13" t="str">
        <f>IF(OR(E304="",E304="!!!",F304="NEW"),"",INDEX(B$2:B303,-1+SUMPRODUCT(MAX(ROW(E$2:E303)*(E304=E$2:E303)))))</f>
        <v>other_6</v>
      </c>
      <c r="J304" s="14">
        <f ca="1">IF(OR(E304="",E304="!!!",F304="NEW"),"",COUNTBLANK(OFFSET(A$1,,,SUMPRODUCT(MAX(ROW(E$2:E304)*(E304=E$2:E304)))))-COUNTBLANK(OFFSET(A$1,,,SUMPRODUCT(MAX(ROW(E$1:E303)*(E304=E$1:E303))))))</f>
        <v>0</v>
      </c>
      <c r="K304" s="14">
        <f ca="1">IF(OR(E304="",E304="!!!",F304="NEW"),"",INDEX(J$1:J303,SUMPRODUCT(MAX(ROW(E$1:E303)*(E304=E$1:E303)))))</f>
        <v>0</v>
      </c>
      <c r="L304" s="15"/>
    </row>
    <row r="305" spans="1:12" x14ac:dyDescent="0.15">
      <c r="A305" s="16" t="s">
        <v>126</v>
      </c>
      <c r="E305" s="9" t="str">
        <f t="shared" si="9"/>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8"/>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x14ac:dyDescent="0.15">
      <c r="A306" s="16" t="s">
        <v>87</v>
      </c>
      <c r="E306" s="9" t="str">
        <f t="shared" si="9"/>
        <v/>
      </c>
      <c r="F306" s="10" t="str">
        <f>IF(OR(E306="",E306="!!!"),"",IF(NOT(ISNA(VLOOKUP(E306,E$1:E305,1,FALSE()))),"OLD",IF(AND(E306&lt;&gt;"",E306&lt;&gt;"!!!"),"NEW","")))</f>
        <v/>
      </c>
      <c r="G306" s="11" t="str">
        <f>IF(OR(E306="",E306="!!!"),"",IF(OR(J306=0,AND(J306=1,K306=1),AND(J306=1,I306="SBJ"),AND(J306=1,I306=0)),"?IN_FOCUS",IF(J306&lt;=2,"?ACTIVATED",IF(J306&lt;&gt;"","?FAMILIAR",IF(F306="NEW",IF(ISNA(VLOOKUP(E306,#REF!,1,FALSE())),"?TYPE_IDENTIFIABLE","?REFERENTIAL"),"_")))))</f>
        <v/>
      </c>
      <c r="H306" s="12" t="str">
        <f t="shared" ca="1" si="8"/>
        <v/>
      </c>
      <c r="I306" s="13" t="str">
        <f>IF(OR(E306="",E306="!!!",F306="NEW"),"",INDEX(B$2:B305,-1+SUMPRODUCT(MAX(ROW(E$2:E305)*(E306=E$2:E305)))))</f>
        <v/>
      </c>
      <c r="J306" s="14" t="str">
        <f ca="1">IF(OR(E306="",E306="!!!",F306="NEW"),"",COUNTBLANK(OFFSET(A$1,,,SUMPRODUCT(MAX(ROW(E$2:E306)*(E306=E$2:E306)))))-COUNTBLANK(OFFSET(A$1,,,SUMPRODUCT(MAX(ROW(E$1:E305)*(E306=E$1:E305))))))</f>
        <v/>
      </c>
      <c r="K306" s="14" t="str">
        <f>IF(OR(E306="",E306="!!!",F306="NEW"),"",INDEX(J$1:J305,SUMPRODUCT(MAX(ROW(E$1:E305)*(E306=E$1:E305)))))</f>
        <v/>
      </c>
      <c r="L306" s="15"/>
    </row>
    <row r="307" spans="1:12" x14ac:dyDescent="0.15">
      <c r="A307" s="16" t="s">
        <v>62</v>
      </c>
      <c r="B307" t="s">
        <v>142</v>
      </c>
      <c r="C307" t="s">
        <v>64</v>
      </c>
      <c r="D307" t="s">
        <v>19</v>
      </c>
      <c r="E307" s="9" t="s">
        <v>218</v>
      </c>
      <c r="F307" s="10" t="str">
        <f>IF(OR(E307="",E307="!!!"),"",IF(NOT(ISNA(VLOOKUP(E307,E$1:E306,1,FALSE()))),"OLD",IF(AND(E307&lt;&gt;"",E307&lt;&gt;"!!!"),"NEW","")))</f>
        <v>OLD</v>
      </c>
      <c r="G307" s="11" t="s">
        <v>208</v>
      </c>
      <c r="H307" s="12" t="str">
        <f t="shared" ca="1" si="8"/>
        <v/>
      </c>
      <c r="I307" s="13" t="str">
        <f>IF(OR(E307="",E307="!!!",F307="NEW"),"",INDEX(B$2:B306,-1+SUMPRODUCT(MAX(ROW(E$2:E306)*(E307=E$2:E306)))))</f>
        <v>SBJ_8</v>
      </c>
      <c r="J307" s="14">
        <f ca="1">IF(OR(E307="",E307="!!!",F307="NEW"),"",COUNTBLANK(OFFSET(A$1,,,SUMPRODUCT(MAX(ROW(E$2:E307)*(E307=E$2:E307)))))-COUNTBLANK(OFFSET(A$1,,,SUMPRODUCT(MAX(ROW(E$1:E306)*(E307=E$1:E306))))))</f>
        <v>0</v>
      </c>
      <c r="K307" s="14">
        <f ca="1">IF(OR(E307="",E307="!!!",F307="NEW"),"",INDEX(J$1:J306,SUMPRODUCT(MAX(ROW(E$1:E306)*(E307=E$1:E306)))))</f>
        <v>0</v>
      </c>
      <c r="L307" s="15"/>
    </row>
    <row r="308" spans="1:12" x14ac:dyDescent="0.15">
      <c r="A308" s="16" t="s">
        <v>50</v>
      </c>
      <c r="E308" s="9" t="str">
        <f t="shared" si="9"/>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ca="1" si="8"/>
        <v/>
      </c>
      <c r="I308" s="13" t="str">
        <f>IF(OR(E308="",E308="!!!",F308="NEW"),"",INDEX(B$2:B307,-1+SUMPRODUCT(MAX(ROW(E$2:E307)*(E308=E$2:E307)))))</f>
        <v/>
      </c>
      <c r="J308" s="14" t="str">
        <f ca="1">IF(OR(E308="",E308="!!!",F308="NEW"),"",COUNTBLANK(OFFSET(A$1,,,SUMPRODUCT(MAX(ROW(E$2:E308)*(E308=E$2:E308)))))-COUNTBLANK(OFFSET(A$1,,,SUMPRODUCT(MAX(ROW(E$1:E307)*(E308=E$1:E307))))))</f>
        <v/>
      </c>
      <c r="K308" s="14" t="str">
        <f>IF(OR(E308="",E308="!!!",F308="NEW"),"",INDEX(J$1:J307,SUMPRODUCT(MAX(ROW(E$1:E307)*(E308=E$1:E307)))))</f>
        <v/>
      </c>
      <c r="L308" s="15"/>
    </row>
    <row r="309" spans="1:12" x14ac:dyDescent="0.15">
      <c r="A309" s="16" t="s">
        <v>36</v>
      </c>
      <c r="E309" s="9" t="str">
        <f t="shared" si="9"/>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ca="1" si="8"/>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x14ac:dyDescent="0.15">
      <c r="A310" s="16" t="s">
        <v>14</v>
      </c>
      <c r="E310" s="9" t="str">
        <f t="shared" si="9"/>
        <v/>
      </c>
      <c r="F310" s="10" t="str">
        <f>IF(OR(E310="",E310="!!!"),"",IF(NOT(ISNA(VLOOKUP(E310,E$1:E309,1,FALSE()))),"OLD",IF(AND(E310&lt;&gt;"",E310&lt;&gt;"!!!"),"NEW","")))</f>
        <v/>
      </c>
      <c r="G310" s="11" t="str">
        <f>IF(OR(E310="",E310="!!!"),"",IF(OR(J310=0,AND(J310=1,K310=1),AND(J310=1,I310="SBJ"),AND(J310=1,I310=0)),"?IN_FOCUS",IF(J310&lt;=2,"?ACTIVATED",IF(J310&lt;&gt;"","?FAMILIAR",IF(F310="NEW",IF(ISNA(VLOOKUP(E310,#REF!,1,FALSE())),"?TYPE_IDENTIFIABLE","?REFERENTIAL"),"_")))))</f>
        <v/>
      </c>
      <c r="H310" s="12" t="str">
        <f t="shared" ca="1" si="8"/>
        <v/>
      </c>
      <c r="I310" s="13" t="str">
        <f>IF(OR(E310="",E310="!!!",F310="NEW"),"",INDEX(B$2:B309,-1+SUMPRODUCT(MAX(ROW(E$2:E309)*(E310=E$2:E309)))))</f>
        <v/>
      </c>
      <c r="J310" s="14" t="str">
        <f ca="1">IF(OR(E310="",E310="!!!",F310="NEW"),"",COUNTBLANK(OFFSET(A$1,,,SUMPRODUCT(MAX(ROW(E$2:E310)*(E310=E$2:E310)))))-COUNTBLANK(OFFSET(A$1,,,SUMPRODUCT(MAX(ROW(E$1:E309)*(E310=E$1:E309))))))</f>
        <v/>
      </c>
      <c r="K310" s="14" t="str">
        <f>IF(OR(E310="",E310="!!!",F310="NEW"),"",INDEX(J$1:J309,SUMPRODUCT(MAX(ROW(E$1:E309)*(E310=E$1:E309)))))</f>
        <v/>
      </c>
      <c r="L310" s="15"/>
    </row>
    <row r="311" spans="1:12" x14ac:dyDescent="0.15">
      <c r="A311" s="16" t="s">
        <v>25</v>
      </c>
      <c r="B311" t="s">
        <v>142</v>
      </c>
      <c r="C311" t="s">
        <v>23</v>
      </c>
      <c r="D311" t="s">
        <v>19</v>
      </c>
      <c r="E311" s="9" t="s">
        <v>216</v>
      </c>
      <c r="F311" s="10" t="str">
        <f>IF(OR(E311="",E311="!!!"),"",IF(NOT(ISNA(VLOOKUP(E311,E$1:E310,1,FALSE()))),"OLD",IF(AND(E311&lt;&gt;"",E311&lt;&gt;"!!!"),"NEW","")))</f>
        <v>OLD</v>
      </c>
      <c r="G311" s="11" t="s">
        <v>208</v>
      </c>
      <c r="H311" s="12" t="str">
        <f t="shared" ca="1" si="8"/>
        <v/>
      </c>
      <c r="I311" s="13" t="str">
        <f>IF(OR(E311="",E311="!!!",F311="NEW"),"",INDEX(B$2:B310,-1+SUMPRODUCT(MAX(ROW(E$2:E310)*(E311=E$2:E310)))))</f>
        <v>OBJ_2</v>
      </c>
      <c r="J311" s="14">
        <f ca="1">IF(OR(E311="",E311="!!!",F311="NEW"),"",COUNTBLANK(OFFSET(A$1,,,SUMPRODUCT(MAX(ROW(E$2:E311)*(E311=E$2:E311)))))-COUNTBLANK(OFFSET(A$1,,,SUMPRODUCT(MAX(ROW(E$1:E310)*(E311=E$1:E310))))))</f>
        <v>0</v>
      </c>
      <c r="K311" s="14">
        <f ca="1">IF(OR(E311="",E311="!!!",F311="NEW"),"",INDEX(J$1:J310,SUMPRODUCT(MAX(ROW(E$1:E310)*(E311=E$1:E310)))))</f>
        <v>2</v>
      </c>
      <c r="L311" s="15"/>
    </row>
    <row r="312" spans="1:12" x14ac:dyDescent="0.15">
      <c r="A312" s="16" t="s">
        <v>101</v>
      </c>
      <c r="E312" s="9" t="str">
        <f t="shared" si="9"/>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8"/>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x14ac:dyDescent="0.15">
      <c r="A313" s="16" t="s">
        <v>51</v>
      </c>
      <c r="E313" s="9" t="str">
        <f t="shared" si="9"/>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8"/>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x14ac:dyDescent="0.15">
      <c r="A314" s="16" t="s">
        <v>24</v>
      </c>
      <c r="E314" s="9" t="str">
        <f t="shared" si="9"/>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8"/>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ht="42" x14ac:dyDescent="0.15">
      <c r="A315" s="16" t="s">
        <v>62</v>
      </c>
      <c r="B315" t="s">
        <v>143</v>
      </c>
      <c r="C315" t="s">
        <v>64</v>
      </c>
      <c r="D315" t="s">
        <v>19</v>
      </c>
      <c r="E315" s="9"/>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8"/>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t="s">
        <v>219</v>
      </c>
    </row>
    <row r="316" spans="1:12" x14ac:dyDescent="0.15">
      <c r="A316" s="16" t="s">
        <v>30</v>
      </c>
      <c r="E316" s="9" t="str">
        <f t="shared" si="9"/>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8"/>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x14ac:dyDescent="0.15">
      <c r="A317" s="16" t="s">
        <v>102</v>
      </c>
      <c r="E317" s="9" t="str">
        <f t="shared" si="9"/>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ca="1" si="8"/>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x14ac:dyDescent="0.15">
      <c r="A318" s="16" t="s">
        <v>27</v>
      </c>
      <c r="E318" s="9" t="str">
        <f t="shared" si="9"/>
        <v/>
      </c>
      <c r="F318" s="10" t="str">
        <f>IF(OR(E318="",E318="!!!"),"",IF(NOT(ISNA(VLOOKUP(E318,E$1:E317,1,FALSE()))),"OLD",IF(AND(E318&lt;&gt;"",E318&lt;&gt;"!!!"),"NEW","")))</f>
        <v/>
      </c>
      <c r="G318" s="11" t="str">
        <f>IF(OR(E318="",E318="!!!"),"",IF(OR(J318=0,AND(J318=1,K318=1),AND(J318=1,I318="SBJ"),AND(J318=1,I318=0)),"?IN_FOCUS",IF(J318&lt;=2,"?ACTIVATED",IF(J318&lt;&gt;"","?FAMILIAR",IF(F318="NEW",IF(ISNA(VLOOKUP(E318,#REF!,1,FALSE())),"?TYPE_IDENTIFIABLE","?REFERENTIAL"),"_")))))</f>
        <v/>
      </c>
      <c r="H318" s="12" t="str">
        <f t="shared" ca="1" si="8"/>
        <v/>
      </c>
      <c r="I318" s="13" t="str">
        <f>IF(OR(E318="",E318="!!!",F318="NEW"),"",INDEX(B$2:B317,-1+SUMPRODUCT(MAX(ROW(E$2:E317)*(E318=E$2:E317)))))</f>
        <v/>
      </c>
      <c r="J318" s="14" t="str">
        <f ca="1">IF(OR(E318="",E318="!!!",F318="NEW"),"",COUNTBLANK(OFFSET(A$1,,,SUMPRODUCT(MAX(ROW(E$2:E318)*(E318=E$2:E318)))))-COUNTBLANK(OFFSET(A$1,,,SUMPRODUCT(MAX(ROW(E$1:E317)*(E318=E$1:E317))))))</f>
        <v/>
      </c>
      <c r="K318" s="14" t="str">
        <f>IF(OR(E318="",E318="!!!",F318="NEW"),"",INDEX(J$1:J317,SUMPRODUCT(MAX(ROW(E$1:E317)*(E318=E$1:E317)))))</f>
        <v/>
      </c>
      <c r="L318" s="15"/>
    </row>
    <row r="319" spans="1:12" x14ac:dyDescent="0.15">
      <c r="E319" s="9" t="str">
        <f t="shared" si="9"/>
        <v/>
      </c>
      <c r="F319" s="10" t="str">
        <f>IF(OR(E319="",E319="!!!"),"",IF(NOT(ISNA(VLOOKUP(E319,E$1:E318,1,FALSE()))),"OLD",IF(AND(E319&lt;&gt;"",E319&lt;&gt;"!!!"),"NEW","")))</f>
        <v/>
      </c>
      <c r="G319" s="11" t="str">
        <f>IF(OR(E319="",E319="!!!"),"",IF(OR(J319=0,AND(J319=1,K319=1),AND(J319=1,I319="SBJ"),AND(J319=1,I319=0)),"?IN_FOCUS",IF(J319&lt;=2,"?ACTIVATED",IF(J319&lt;&gt;"","?FAMILIAR",IF(F319="NEW",IF(ISNA(VLOOKUP(E319,#REF!,1,FALSE())),"?TYPE_IDENTIFIABLE","?REFERENTIAL"),"_")))))</f>
        <v/>
      </c>
      <c r="H319" s="12" t="str">
        <f t="shared" ca="1" si="8"/>
        <v/>
      </c>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row>
    <row r="320" spans="1:12" x14ac:dyDescent="0.15">
      <c r="A320" s="16" t="s">
        <v>144</v>
      </c>
      <c r="E320" s="9" t="str">
        <f t="shared" si="9"/>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8"/>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x14ac:dyDescent="0.15">
      <c r="A321" s="16" t="s">
        <v>145</v>
      </c>
      <c r="E321" s="9" t="str">
        <f t="shared" si="9"/>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8"/>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x14ac:dyDescent="0.15">
      <c r="A322" s="16" t="s">
        <v>25</v>
      </c>
      <c r="B322" t="s">
        <v>17</v>
      </c>
      <c r="C322" t="s">
        <v>23</v>
      </c>
      <c r="D322" t="s">
        <v>19</v>
      </c>
      <c r="E322" s="9" t="s">
        <v>202</v>
      </c>
      <c r="F322" s="10" t="str">
        <f>IF(OR(E322="",E322="!!!"),"",IF(NOT(ISNA(VLOOKUP(E322,E$1:E321,1,FALSE()))),"OLD",IF(AND(E322&lt;&gt;"",E322&lt;&gt;"!!!"),"NEW","")))</f>
        <v>OLD</v>
      </c>
      <c r="G322" s="11" t="s">
        <v>206</v>
      </c>
      <c r="H322" s="12" t="str">
        <f t="shared" ca="1" si="8"/>
        <v/>
      </c>
      <c r="I322" s="13" t="str">
        <f>IF(OR(E322="",E322="!!!",F322="NEW"),"",INDEX(B$2:B321,-1+SUMPRODUCT(MAX(ROW(E$2:E321)*(E322=E$2:E321)))))</f>
        <v>SBJ</v>
      </c>
      <c r="J322" s="14">
        <f ca="1">IF(OR(E322="",E322="!!!",F322="NEW"),"",COUNTBLANK(OFFSET(A$1,,,SUMPRODUCT(MAX(ROW(E$2:E322)*(E322=E$2:E322)))))-COUNTBLANK(OFFSET(A$1,,,SUMPRODUCT(MAX(ROW(E$1:E321)*(E322=E$1:E321))))))</f>
        <v>16</v>
      </c>
      <c r="K322" s="14">
        <f ca="1">IF(OR(E322="",E322="!!!",F322="NEW"),"",INDEX(J$1:J321,SUMPRODUCT(MAX(ROW(E$1:E321)*(E322=E$1:E321)))))</f>
        <v>1</v>
      </c>
      <c r="L322" s="15"/>
    </row>
    <row r="323" spans="1:12" x14ac:dyDescent="0.15">
      <c r="A323" s="16" t="s">
        <v>146</v>
      </c>
      <c r="E323" s="9" t="str">
        <f t="shared" si="9"/>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ca="1" si="8"/>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x14ac:dyDescent="0.15">
      <c r="A324" s="16" t="s">
        <v>122</v>
      </c>
      <c r="E324" s="9" t="str">
        <f t="shared" ref="E324:E387" si="10">IF(D324="?OLD","!!!","")</f>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ref="H324:H387" ca="1" si="11">IF(J324&lt;&gt;1,"",IF(I324="SBJ","CB","?"))</f>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x14ac:dyDescent="0.15">
      <c r="A325" s="16" t="s">
        <v>123</v>
      </c>
      <c r="B325" t="s">
        <v>22</v>
      </c>
      <c r="C325" t="s">
        <v>35</v>
      </c>
      <c r="E325" s="9" t="str">
        <f t="shared" si="10"/>
        <v/>
      </c>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t="str">
        <f t="shared" ca="1" si="11"/>
        <v/>
      </c>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row>
    <row r="326" spans="1:12" x14ac:dyDescent="0.15">
      <c r="A326" s="16" t="s">
        <v>50</v>
      </c>
      <c r="E326" s="9" t="str">
        <f t="shared" si="10"/>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ca="1" si="11"/>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x14ac:dyDescent="0.15">
      <c r="A327" s="16" t="s">
        <v>124</v>
      </c>
      <c r="E327" s="9" t="str">
        <f t="shared" si="10"/>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1"/>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x14ac:dyDescent="0.15">
      <c r="A328" s="16" t="s">
        <v>125</v>
      </c>
      <c r="B328" t="s">
        <v>26</v>
      </c>
      <c r="C328" t="s">
        <v>35</v>
      </c>
      <c r="E328" s="9" t="str">
        <f t="shared" si="10"/>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1"/>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x14ac:dyDescent="0.15">
      <c r="A329" s="16" t="s">
        <v>126</v>
      </c>
      <c r="E329" s="9" t="str">
        <f t="shared" si="10"/>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1"/>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x14ac:dyDescent="0.15">
      <c r="A330" s="16" t="s">
        <v>132</v>
      </c>
      <c r="E330" s="9" t="str">
        <f t="shared" si="10"/>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1"/>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x14ac:dyDescent="0.15">
      <c r="A331" s="16" t="s">
        <v>133</v>
      </c>
      <c r="B331" t="s">
        <v>81</v>
      </c>
      <c r="C331" t="s">
        <v>135</v>
      </c>
      <c r="D331" t="s">
        <v>19</v>
      </c>
      <c r="E331" s="9" t="s">
        <v>220</v>
      </c>
      <c r="F331" s="10" t="str">
        <f>IF(OR(E331="",E331="!!!"),"",IF(NOT(ISNA(VLOOKUP(E331,E$1:E330,1,FALSE()))),"OLD",IF(AND(E331&lt;&gt;"",E331&lt;&gt;"!!!"),"NEW","")))</f>
        <v>NEW</v>
      </c>
      <c r="G331" s="11" t="s">
        <v>200</v>
      </c>
      <c r="H331" s="12" t="str">
        <f t="shared" ca="1" si="11"/>
        <v/>
      </c>
      <c r="I331" s="13" t="str">
        <f>IF(OR(E331="",E331="!!!",F331="NEW"),"",INDEX(B$2:B330,-1+SUMPRODUCT(MAX(ROW(E$2:E330)*(E331=E$2:E330)))))</f>
        <v/>
      </c>
      <c r="J331" s="14" t="str">
        <f ca="1">IF(OR(E331="",E331="!!!",F331="NEW"),"",COUNTBLANK(OFFSET(A$1,,,SUMPRODUCT(MAX(ROW(E$2:E331)*(E331=E$2:E331)))))-COUNTBLANK(OFFSET(A$1,,,SUMPRODUCT(MAX(ROW(E$1:E330)*(E331=E$1:E330))))))</f>
        <v/>
      </c>
      <c r="K331" s="14" t="str">
        <f>IF(OR(E331="",E331="!!!",F331="NEW"),"",INDEX(J$1:J330,SUMPRODUCT(MAX(ROW(E$1:E330)*(E331=E$1:E330)))))</f>
        <v/>
      </c>
      <c r="L331" s="15"/>
    </row>
    <row r="332" spans="1:12" x14ac:dyDescent="0.15">
      <c r="A332" s="16" t="s">
        <v>136</v>
      </c>
      <c r="B332" t="s">
        <v>75</v>
      </c>
      <c r="C332" t="s">
        <v>138</v>
      </c>
      <c r="D332" t="s">
        <v>19</v>
      </c>
      <c r="E332" s="9" t="s">
        <v>220</v>
      </c>
      <c r="F332" s="10" t="str">
        <f>IF(OR(E332="",E332="!!!"),"",IF(NOT(ISNA(VLOOKUP(E332,E$1:E331,1,FALSE()))),"OLD",IF(AND(E332&lt;&gt;"",E332&lt;&gt;"!!!"),"NEW","")))</f>
        <v>OLD</v>
      </c>
      <c r="G332" s="11" t="s">
        <v>208</v>
      </c>
      <c r="H332" s="12" t="str">
        <f t="shared" ca="1" si="11"/>
        <v/>
      </c>
      <c r="I332" s="13" t="str">
        <f>IF(OR(E332="",E332="!!!",F332="NEW"),"",INDEX(B$2:B331,-1+SUMPRODUCT(MAX(ROW(E$2:E331)*(E332=E$2:E331)))))</f>
        <v>other_4</v>
      </c>
      <c r="J332" s="14">
        <f ca="1">IF(OR(E332="",E332="!!!",F332="NEW"),"",COUNTBLANK(OFFSET(A$1,,,SUMPRODUCT(MAX(ROW(E$2:E332)*(E332=E$2:E332)))))-COUNTBLANK(OFFSET(A$1,,,SUMPRODUCT(MAX(ROW(E$1:E331)*(E332=E$1:E331))))))</f>
        <v>0</v>
      </c>
      <c r="K332" s="14" t="str">
        <f ca="1">IF(OR(E332="",E332="!!!",F332="NEW"),"",INDEX(J$1:J331,SUMPRODUCT(MAX(ROW(E$1:E331)*(E332=E$1:E331)))))</f>
        <v/>
      </c>
      <c r="L332" s="15"/>
    </row>
    <row r="333" spans="1:12" x14ac:dyDescent="0.15">
      <c r="A333" s="16" t="s">
        <v>50</v>
      </c>
      <c r="E333" s="9" t="str">
        <f t="shared" si="10"/>
        <v/>
      </c>
      <c r="F333" s="10" t="str">
        <f>IF(OR(E333="",E333="!!!"),"",IF(NOT(ISNA(VLOOKUP(E333,E$1:E332,1,FALSE()))),"OLD",IF(AND(E333&lt;&gt;"",E333&lt;&gt;"!!!"),"NEW","")))</f>
        <v/>
      </c>
      <c r="G333" s="11" t="str">
        <f>IF(OR(E333="",E333="!!!"),"",IF(OR(J333=0,AND(J333=1,K333=1),AND(J333=1,I333="SBJ"),AND(J333=1,I333=0)),"?IN_FOCUS",IF(J333&lt;=2,"?ACTIVATED",IF(J333&lt;&gt;"","?FAMILIAR",IF(F333="NEW",IF(ISNA(VLOOKUP(E333,#REF!,1,FALSE())),"?TYPE_IDENTIFIABLE","?REFERENTIAL"),"_")))))</f>
        <v/>
      </c>
      <c r="H333" s="12" t="str">
        <f t="shared" ca="1" si="11"/>
        <v/>
      </c>
      <c r="I333" s="13" t="str">
        <f>IF(OR(E333="",E333="!!!",F333="NEW"),"",INDEX(B$2:B332,-1+SUMPRODUCT(MAX(ROW(E$2:E332)*(E333=E$2:E332)))))</f>
        <v/>
      </c>
      <c r="J333" s="14" t="str">
        <f ca="1">IF(OR(E333="",E333="!!!",F333="NEW"),"",COUNTBLANK(OFFSET(A$1,,,SUMPRODUCT(MAX(ROW(E$2:E333)*(E333=E$2:E333)))))-COUNTBLANK(OFFSET(A$1,,,SUMPRODUCT(MAX(ROW(E$1:E332)*(E333=E$1:E332))))))</f>
        <v/>
      </c>
      <c r="K333" s="14" t="str">
        <f>IF(OR(E333="",E333="!!!",F333="NEW"),"",INDEX(J$1:J332,SUMPRODUCT(MAX(ROW(E$1:E332)*(E333=E$1:E332)))))</f>
        <v/>
      </c>
      <c r="L333" s="15"/>
    </row>
    <row r="334" spans="1:12" x14ac:dyDescent="0.15">
      <c r="A334" s="16" t="s">
        <v>24</v>
      </c>
      <c r="E334" s="9" t="str">
        <f t="shared" si="10"/>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1"/>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x14ac:dyDescent="0.15">
      <c r="A335" s="16" t="s">
        <v>129</v>
      </c>
      <c r="B335" t="s">
        <v>81</v>
      </c>
      <c r="C335" t="s">
        <v>35</v>
      </c>
      <c r="E335" s="9" t="str">
        <f t="shared" si="10"/>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1"/>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x14ac:dyDescent="0.15">
      <c r="A336" s="16" t="s">
        <v>130</v>
      </c>
      <c r="E336" s="9" t="str">
        <f t="shared" si="10"/>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1"/>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x14ac:dyDescent="0.15">
      <c r="A337" s="16" t="s">
        <v>128</v>
      </c>
      <c r="B337" t="s">
        <v>131</v>
      </c>
      <c r="C337" t="s">
        <v>35</v>
      </c>
      <c r="E337" s="9" t="str">
        <f t="shared" si="10"/>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1"/>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x14ac:dyDescent="0.15">
      <c r="A338" s="16" t="s">
        <v>50</v>
      </c>
      <c r="E338" s="9" t="str">
        <f t="shared" si="10"/>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1"/>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x14ac:dyDescent="0.15">
      <c r="A339" s="16" t="s">
        <v>139</v>
      </c>
      <c r="E339" s="9" t="str">
        <f t="shared" si="10"/>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1"/>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x14ac:dyDescent="0.15">
      <c r="A340" s="16" t="s">
        <v>140</v>
      </c>
      <c r="B340" t="s">
        <v>63</v>
      </c>
      <c r="C340" t="s">
        <v>64</v>
      </c>
      <c r="D340" t="s">
        <v>19</v>
      </c>
      <c r="E340" s="9" t="s">
        <v>218</v>
      </c>
      <c r="F340" s="10" t="str">
        <f>IF(OR(E340="",E340="!!!"),"",IF(NOT(ISNA(VLOOKUP(E340,E$1:E339,1,FALSE()))),"OLD",IF(AND(E340&lt;&gt;"",E340&lt;&gt;"!!!"),"NEW","")))</f>
        <v>OLD</v>
      </c>
      <c r="G340" s="11" t="s">
        <v>203</v>
      </c>
      <c r="H340" s="12"/>
      <c r="I340" s="13" t="str">
        <f>IF(OR(E340="",E340="!!!",F340="NEW"),"",INDEX(B$2:B339,-1+SUMPRODUCT(MAX(ROW(E$2:E339)*(E340=E$2:E339)))))</f>
        <v>other_8</v>
      </c>
      <c r="J340" s="14">
        <f ca="1">IF(OR(E340="",E340="!!!",F340="NEW"),"",COUNTBLANK(OFFSET(A$1,,,SUMPRODUCT(MAX(ROW(E$2:E340)*(E340=E$2:E340)))))-COUNTBLANK(OFFSET(A$1,,,SUMPRODUCT(MAX(ROW(E$1:E339)*(E340=E$1:E339))))))</f>
        <v>1</v>
      </c>
      <c r="K340" s="14">
        <f ca="1">IF(OR(E340="",E340="!!!",F340="NEW"),"",INDEX(J$1:J339,SUMPRODUCT(MAX(ROW(E$1:E339)*(E340=E$1:E339)))))</f>
        <v>0</v>
      </c>
      <c r="L340" s="15"/>
    </row>
    <row r="341" spans="1:12" x14ac:dyDescent="0.15">
      <c r="A341" s="16" t="s">
        <v>126</v>
      </c>
      <c r="E341" s="9" t="str">
        <f t="shared" si="10"/>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1"/>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x14ac:dyDescent="0.15">
      <c r="A342" s="16" t="s">
        <v>87</v>
      </c>
      <c r="E342" s="9" t="str">
        <f t="shared" si="10"/>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1"/>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x14ac:dyDescent="0.15">
      <c r="A343" s="16" t="s">
        <v>62</v>
      </c>
      <c r="B343" t="s">
        <v>75</v>
      </c>
      <c r="C343" t="s">
        <v>64</v>
      </c>
      <c r="D343" t="s">
        <v>19</v>
      </c>
      <c r="E343" s="9" t="s">
        <v>218</v>
      </c>
      <c r="F343" s="10" t="str">
        <f>IF(OR(E343="",E343="!!!"),"",IF(NOT(ISNA(VLOOKUP(E343,E$1:E342,1,FALSE()))),"OLD",IF(AND(E343&lt;&gt;"",E343&lt;&gt;"!!!"),"NEW","")))</f>
        <v>OLD</v>
      </c>
      <c r="G343" s="11" t="s">
        <v>208</v>
      </c>
      <c r="H343" s="12" t="str">
        <f t="shared" ca="1" si="11"/>
        <v/>
      </c>
      <c r="I343" s="13" t="str">
        <f>IF(OR(E343="",E343="!!!",F343="NEW"),"",INDEX(B$2:B342,-1+SUMPRODUCT(MAX(ROW(E$2:E342)*(E343=E$2:E342)))))</f>
        <v>SBJ_3</v>
      </c>
      <c r="J343" s="14">
        <f ca="1">IF(OR(E343="",E343="!!!",F343="NEW"),"",COUNTBLANK(OFFSET(A$1,,,SUMPRODUCT(MAX(ROW(E$2:E343)*(E343=E$2:E343)))))-COUNTBLANK(OFFSET(A$1,,,SUMPRODUCT(MAX(ROW(E$1:E342)*(E343=E$1:E342))))))</f>
        <v>0</v>
      </c>
      <c r="K343" s="14">
        <f ca="1">IF(OR(E343="",E343="!!!",F343="NEW"),"",INDEX(J$1:J342,SUMPRODUCT(MAX(ROW(E$1:E342)*(E343=E$1:E342)))))</f>
        <v>1</v>
      </c>
      <c r="L343" s="15"/>
    </row>
    <row r="344" spans="1:12" x14ac:dyDescent="0.15">
      <c r="A344" s="16" t="s">
        <v>50</v>
      </c>
      <c r="E344" s="9" t="str">
        <f t="shared" si="10"/>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1"/>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x14ac:dyDescent="0.15">
      <c r="A345" s="16" t="s">
        <v>132</v>
      </c>
      <c r="E345" s="9" t="str">
        <f t="shared" si="10"/>
        <v/>
      </c>
      <c r="F345" s="10" t="str">
        <f>IF(OR(E345="",E345="!!!"),"",IF(NOT(ISNA(VLOOKUP(E345,E$1:E344,1,FALSE()))),"OLD",IF(AND(E345&lt;&gt;"",E345&lt;&gt;"!!!"),"NEW","")))</f>
        <v/>
      </c>
      <c r="G345" s="11" t="str">
        <f>IF(OR(E345="",E345="!!!"),"",IF(OR(J345=0,AND(J345=1,K345=1),AND(J345=1,I345="SBJ"),AND(J345=1,I345=0)),"?IN_FOCUS",IF(J345&lt;=2,"?ACTIVATED",IF(J345&lt;&gt;"","?FAMILIAR",IF(F345="NEW",IF(ISNA(VLOOKUP(E345,#REF!,1,FALSE())),"?TYPE_IDENTIFIABLE","?REFERENTIAL"),"_")))))</f>
        <v/>
      </c>
      <c r="H345" s="12" t="str">
        <f t="shared" ca="1" si="11"/>
        <v/>
      </c>
      <c r="I345" s="13" t="str">
        <f>IF(OR(E345="",E345="!!!",F345="NEW"),"",INDEX(B$2:B344,-1+SUMPRODUCT(MAX(ROW(E$2:E344)*(E345=E$2:E344)))))</f>
        <v/>
      </c>
      <c r="J345" s="14" t="str">
        <f ca="1">IF(OR(E345="",E345="!!!",F345="NEW"),"",COUNTBLANK(OFFSET(A$1,,,SUMPRODUCT(MAX(ROW(E$2:E345)*(E345=E$2:E345)))))-COUNTBLANK(OFFSET(A$1,,,SUMPRODUCT(MAX(ROW(E$1:E344)*(E345=E$1:E344))))))</f>
        <v/>
      </c>
      <c r="K345" s="14" t="str">
        <f>IF(OR(E345="",E345="!!!",F345="NEW"),"",INDEX(J$1:J344,SUMPRODUCT(MAX(ROW(E$1:E344)*(E345=E$1:E344)))))</f>
        <v/>
      </c>
      <c r="L345" s="15"/>
    </row>
    <row r="346" spans="1:12" x14ac:dyDescent="0.15">
      <c r="A346" s="16" t="s">
        <v>133</v>
      </c>
      <c r="B346" t="s">
        <v>81</v>
      </c>
      <c r="C346" t="s">
        <v>135</v>
      </c>
      <c r="D346" t="s">
        <v>19</v>
      </c>
      <c r="E346" s="9" t="s">
        <v>218</v>
      </c>
      <c r="F346" s="10" t="str">
        <f>IF(OR(E346="",E346="!!!"),"",IF(NOT(ISNA(VLOOKUP(E346,E$1:E345,1,FALSE()))),"OLD",IF(AND(E346&lt;&gt;"",E346&lt;&gt;"!!!"),"NEW","")))</f>
        <v>OLD</v>
      </c>
      <c r="G346" s="11" t="s">
        <v>208</v>
      </c>
      <c r="H346" s="12" t="str">
        <f t="shared" ca="1" si="11"/>
        <v/>
      </c>
      <c r="I346" s="13" t="str">
        <f>IF(OR(E346="",E346="!!!",F346="NEW"),"",INDEX(B$2:B345,-1+SUMPRODUCT(MAX(ROW(E$2:E345)*(E346=E$2:E345)))))</f>
        <v>other_3</v>
      </c>
      <c r="J346" s="14">
        <f ca="1">IF(OR(E346="",E346="!!!",F346="NEW"),"",COUNTBLANK(OFFSET(A$1,,,SUMPRODUCT(MAX(ROW(E$2:E346)*(E346=E$2:E346)))))-COUNTBLANK(OFFSET(A$1,,,SUMPRODUCT(MAX(ROW(E$1:E345)*(E346=E$1:E345))))))</f>
        <v>0</v>
      </c>
      <c r="K346" s="14">
        <f ca="1">IF(OR(E346="",E346="!!!",F346="NEW"),"",INDEX(J$1:J345,SUMPRODUCT(MAX(ROW(E$1:E345)*(E346=E$1:E345)))))</f>
        <v>0</v>
      </c>
      <c r="L346" s="15"/>
    </row>
    <row r="347" spans="1:12" x14ac:dyDescent="0.15">
      <c r="A347" s="16" t="s">
        <v>136</v>
      </c>
      <c r="B347" t="s">
        <v>75</v>
      </c>
      <c r="C347" t="s">
        <v>138</v>
      </c>
      <c r="D347" t="s">
        <v>19</v>
      </c>
      <c r="E347" s="9" t="s">
        <v>218</v>
      </c>
      <c r="F347" s="10" t="str">
        <f>IF(OR(E347="",E347="!!!"),"",IF(NOT(ISNA(VLOOKUP(E347,E$1:E346,1,FALSE()))),"OLD",IF(AND(E347&lt;&gt;"",E347&lt;&gt;"!!!"),"NEW","")))</f>
        <v>OLD</v>
      </c>
      <c r="G347" s="11" t="s">
        <v>208</v>
      </c>
      <c r="H347" s="12" t="str">
        <f t="shared" ca="1" si="11"/>
        <v/>
      </c>
      <c r="I347" s="13" t="str">
        <f>IF(OR(E347="",E347="!!!",F347="NEW"),"",INDEX(B$2:B346,-1+SUMPRODUCT(MAX(ROW(E$2:E346)*(E347=E$2:E346)))))</f>
        <v>other_4</v>
      </c>
      <c r="J347" s="14">
        <f ca="1">IF(OR(E347="",E347="!!!",F347="NEW"),"",COUNTBLANK(OFFSET(A$1,,,SUMPRODUCT(MAX(ROW(E$2:E347)*(E347=E$2:E347)))))-COUNTBLANK(OFFSET(A$1,,,SUMPRODUCT(MAX(ROW(E$1:E346)*(E347=E$1:E346))))))</f>
        <v>0</v>
      </c>
      <c r="K347" s="14">
        <f ca="1">IF(OR(E347="",E347="!!!",F347="NEW"),"",INDEX(J$1:J346,SUMPRODUCT(MAX(ROW(E$1:E346)*(E347=E$1:E346)))))</f>
        <v>0</v>
      </c>
      <c r="L347" s="15"/>
    </row>
    <row r="348" spans="1:12" x14ac:dyDescent="0.15">
      <c r="A348" s="16" t="s">
        <v>101</v>
      </c>
      <c r="E348" s="9" t="str">
        <f t="shared" si="10"/>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ca="1" si="11"/>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x14ac:dyDescent="0.15">
      <c r="A349" s="16" t="s">
        <v>24</v>
      </c>
      <c r="E349" s="9" t="str">
        <f t="shared" si="10"/>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ca="1" si="11"/>
        <v/>
      </c>
      <c r="I349" s="13" t="str">
        <f>IF(OR(E349="",E349="!!!",F349="NEW"),"",INDEX(B$2:B348,-1+SUMPRODUCT(MAX(ROW(E$2:E348)*(E349=E$2:E348)))))</f>
        <v/>
      </c>
      <c r="J349" s="14" t="str">
        <f ca="1">IF(OR(E349="",E349="!!!",F349="NEW"),"",COUNTBLANK(OFFSET(A$1,,,SUMPRODUCT(MAX(ROW(E$2:E349)*(E349=E$2:E349)))))-COUNTBLANK(OFFSET(A$1,,,SUMPRODUCT(MAX(ROW(E$1:E348)*(E349=E$1:E348))))))</f>
        <v/>
      </c>
      <c r="K349" s="14" t="str">
        <f>IF(OR(E349="",E349="!!!",F349="NEW"),"",INDEX(J$1:J348,SUMPRODUCT(MAX(ROW(E$1:E348)*(E349=E$1:E348)))))</f>
        <v/>
      </c>
      <c r="L349" s="15"/>
    </row>
    <row r="350" spans="1:12" x14ac:dyDescent="0.15">
      <c r="A350" s="16" t="s">
        <v>16</v>
      </c>
      <c r="B350" t="s">
        <v>95</v>
      </c>
      <c r="C350" t="s">
        <v>18</v>
      </c>
      <c r="D350" t="s">
        <v>19</v>
      </c>
      <c r="E350" s="9" t="s">
        <v>199</v>
      </c>
      <c r="F350" s="10" t="str">
        <f>IF(OR(E350="",E350="!!!"),"",IF(NOT(ISNA(VLOOKUP(E350,E$1:E349,1,FALSE()))),"OLD",IF(AND(E350&lt;&gt;"",E350&lt;&gt;"!!!"),"NEW","")))</f>
        <v>OLD</v>
      </c>
      <c r="G350" s="11" t="s">
        <v>208</v>
      </c>
      <c r="H350" s="12" t="str">
        <f t="shared" ca="1" si="11"/>
        <v>CB</v>
      </c>
      <c r="I350" s="13" t="str">
        <f>IF(OR(E350="",E350="!!!",F350="NEW"),"",INDEX(B$2:B349,-1+SUMPRODUCT(MAX(ROW(E$2:E349)*(E350=E$2:E349)))))</f>
        <v>SBJ</v>
      </c>
      <c r="J350" s="14">
        <f ca="1">IF(OR(E350="",E350="!!!",F350="NEW"),"",COUNTBLANK(OFFSET(A$1,,,SUMPRODUCT(MAX(ROW(E$2:E350)*(E350=E$2:E350)))))-COUNTBLANK(OFFSET(A$1,,,SUMPRODUCT(MAX(ROW(E$1:E349)*(E350=E$1:E349))))))</f>
        <v>1</v>
      </c>
      <c r="K350" s="14">
        <f ca="1">IF(OR(E350="",E350="!!!",F350="NEW"),"",INDEX(J$1:J349,SUMPRODUCT(MAX(ROW(E$1:E349)*(E350=E$1:E349)))))</f>
        <v>1</v>
      </c>
      <c r="L350" s="15"/>
    </row>
    <row r="351" spans="1:12" x14ac:dyDescent="0.15">
      <c r="A351" s="16" t="s">
        <v>60</v>
      </c>
      <c r="E351" s="9" t="str">
        <f t="shared" si="10"/>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ca="1" si="11"/>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x14ac:dyDescent="0.15">
      <c r="A352" s="16" t="s">
        <v>61</v>
      </c>
      <c r="E352" s="9" t="str">
        <f t="shared" si="10"/>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1"/>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ht="42" x14ac:dyDescent="0.15">
      <c r="A353" s="16" t="s">
        <v>62</v>
      </c>
      <c r="B353" t="s">
        <v>147</v>
      </c>
      <c r="C353" t="s">
        <v>64</v>
      </c>
      <c r="D353" t="s">
        <v>19</v>
      </c>
      <c r="E353" s="9"/>
      <c r="F353" s="10" t="str">
        <f>IF(OR(E353="",E353="!!!"),"",IF(NOT(ISNA(VLOOKUP(E353,E$1:E352,1,FALSE()))),"OLD",IF(AND(E353&lt;&gt;"",E353&lt;&gt;"!!!"),"NEW","")))</f>
        <v/>
      </c>
      <c r="G353" s="11" t="str">
        <f>IF(OR(E353="",E353="!!!"),"",IF(OR(J353=0,AND(J353=1,K353=1),AND(J353=1,I353="SBJ"),AND(J353=1,I353=0)),"?IN_FOCUS",IF(J353&lt;=2,"?ACTIVATED",IF(J353&lt;&gt;"","?FAMILIAR",IF(F353="NEW",IF(ISNA(VLOOKUP(E353,#REF!,1,FALSE())),"?TYPE_IDENTIFIABLE","?REFERENTIAL"),"_")))))</f>
        <v/>
      </c>
      <c r="H353" s="12" t="str">
        <f t="shared" ca="1" si="11"/>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t="s">
        <v>221</v>
      </c>
    </row>
    <row r="354" spans="1:12" x14ac:dyDescent="0.15">
      <c r="A354" s="16" t="s">
        <v>30</v>
      </c>
      <c r="E354" s="9" t="str">
        <f t="shared" si="10"/>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ca="1" si="11"/>
        <v/>
      </c>
      <c r="I354" s="13" t="str">
        <f>IF(OR(E354="",E354="!!!",F354="NEW"),"",INDEX(B$2:B353,-1+SUMPRODUCT(MAX(ROW(E$2:E353)*(E354=E$2:E353)))))</f>
        <v/>
      </c>
      <c r="J354" s="14" t="str">
        <f ca="1">IF(OR(E354="",E354="!!!",F354="NEW"),"",COUNTBLANK(OFFSET(A$1,,,SUMPRODUCT(MAX(ROW(E$2:E354)*(E354=E$2:E354)))))-COUNTBLANK(OFFSET(A$1,,,SUMPRODUCT(MAX(ROW(E$1:E353)*(E354=E$1:E353))))))</f>
        <v/>
      </c>
      <c r="K354" s="14" t="str">
        <f>IF(OR(E354="",E354="!!!",F354="NEW"),"",INDEX(J$1:J353,SUMPRODUCT(MAX(ROW(E$1:E353)*(E354=E$1:E353)))))</f>
        <v/>
      </c>
      <c r="L354" s="15"/>
    </row>
    <row r="355" spans="1:12" x14ac:dyDescent="0.15">
      <c r="A355" s="16" t="s">
        <v>65</v>
      </c>
      <c r="E355" s="9" t="str">
        <f t="shared" si="10"/>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1"/>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x14ac:dyDescent="0.15">
      <c r="A356" s="16" t="s">
        <v>27</v>
      </c>
      <c r="E356" s="9" t="str">
        <f t="shared" si="10"/>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1"/>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x14ac:dyDescent="0.15">
      <c r="E357" s="9" t="str">
        <f t="shared" si="10"/>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1"/>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x14ac:dyDescent="0.15">
      <c r="A358" s="16" t="s">
        <v>148</v>
      </c>
      <c r="E358" s="9" t="str">
        <f t="shared" si="10"/>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ca="1" si="11"/>
        <v/>
      </c>
      <c r="I358" s="13" t="str">
        <f>IF(OR(E358="",E358="!!!",F358="NEW"),"",INDEX(B$2:B357,-1+SUMPRODUCT(MAX(ROW(E$2:E357)*(E358=E$2:E357)))))</f>
        <v/>
      </c>
      <c r="J358" s="14" t="str">
        <f ca="1">IF(OR(E358="",E358="!!!",F358="NEW"),"",COUNTBLANK(OFFSET(A$1,,,SUMPRODUCT(MAX(ROW(E$2:E358)*(E358=E$2:E358)))))-COUNTBLANK(OFFSET(A$1,,,SUMPRODUCT(MAX(ROW(E$1:E357)*(E358=E$1:E357))))))</f>
        <v/>
      </c>
      <c r="K358" s="14" t="str">
        <f>IF(OR(E358="",E358="!!!",F358="NEW"),"",INDEX(J$1:J357,SUMPRODUCT(MAX(ROW(E$1:E357)*(E358=E$1:E357)))))</f>
        <v/>
      </c>
      <c r="L358" s="15"/>
    </row>
    <row r="359" spans="1:12" x14ac:dyDescent="0.15">
      <c r="A359" s="16" t="s">
        <v>77</v>
      </c>
      <c r="E359" s="9" t="str">
        <f t="shared" si="10"/>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1"/>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x14ac:dyDescent="0.15">
      <c r="A360" s="16" t="s">
        <v>30</v>
      </c>
      <c r="E360" s="9" t="str">
        <f t="shared" si="10"/>
        <v/>
      </c>
      <c r="F360" s="10" t="str">
        <f>IF(OR(E360="",E360="!!!"),"",IF(NOT(ISNA(VLOOKUP(E360,E$1:E359,1,FALSE()))),"OLD",IF(AND(E360&lt;&gt;"",E360&lt;&gt;"!!!"),"NEW","")))</f>
        <v/>
      </c>
      <c r="G360" s="11" t="str">
        <f>IF(OR(E360="",E360="!!!"),"",IF(OR(J360=0,AND(J360=1,K360=1),AND(J360=1,I360="SBJ"),AND(J360=1,I360=0)),"?IN_FOCUS",IF(J360&lt;=2,"?ACTIVATED",IF(J360&lt;&gt;"","?FAMILIAR",IF(F360="NEW",IF(ISNA(VLOOKUP(E360,#REF!,1,FALSE())),"?TYPE_IDENTIFIABLE","?REFERENTIAL"),"_")))))</f>
        <v/>
      </c>
      <c r="H360" s="12" t="str">
        <f t="shared" ca="1" si="11"/>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x14ac:dyDescent="0.15">
      <c r="A361" s="16" t="s">
        <v>78</v>
      </c>
      <c r="B361" t="s">
        <v>17</v>
      </c>
      <c r="C361" t="s">
        <v>35</v>
      </c>
      <c r="E361" s="9" t="str">
        <f t="shared" si="10"/>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ca="1" si="11"/>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x14ac:dyDescent="0.15">
      <c r="A362" s="16" t="s">
        <v>24</v>
      </c>
      <c r="E362" s="9" t="str">
        <f t="shared" si="10"/>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1"/>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x14ac:dyDescent="0.15">
      <c r="A363" s="16" t="s">
        <v>53</v>
      </c>
      <c r="E363" s="9" t="str">
        <f t="shared" si="10"/>
        <v/>
      </c>
      <c r="F363" s="10" t="str">
        <f>IF(OR(E363="",E363="!!!"),"",IF(NOT(ISNA(VLOOKUP(E363,E$1:E362,1,FALSE()))),"OLD",IF(AND(E363&lt;&gt;"",E363&lt;&gt;"!!!"),"NEW","")))</f>
        <v/>
      </c>
      <c r="G363" s="11" t="str">
        <f>IF(OR(E363="",E363="!!!"),"",IF(OR(J363=0,AND(J363=1,K363=1),AND(J363=1,I363="SBJ"),AND(J363=1,I363=0)),"?IN_FOCUS",IF(J363&lt;=2,"?ACTIVATED",IF(J363&lt;&gt;"","?FAMILIAR",IF(F363="NEW",IF(ISNA(VLOOKUP(E363,#REF!,1,FALSE())),"?TYPE_IDENTIFIABLE","?REFERENTIAL"),"_")))))</f>
        <v/>
      </c>
      <c r="H363" s="12" t="str">
        <f t="shared" ca="1" si="11"/>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x14ac:dyDescent="0.15">
      <c r="A364" s="16" t="s">
        <v>30</v>
      </c>
      <c r="E364" s="9" t="str">
        <f t="shared" si="10"/>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1"/>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x14ac:dyDescent="0.15">
      <c r="A365" s="16" t="s">
        <v>79</v>
      </c>
      <c r="B365" t="s">
        <v>63</v>
      </c>
      <c r="C365" t="s">
        <v>35</v>
      </c>
      <c r="E365" s="9" t="str">
        <f t="shared" si="10"/>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ca="1" si="11"/>
        <v/>
      </c>
      <c r="I365" s="13" t="str">
        <f>IF(OR(E365="",E365="!!!",F365="NEW"),"",INDEX(B$2:B364,-1+SUMPRODUCT(MAX(ROW(E$2:E364)*(E365=E$2:E364)))))</f>
        <v/>
      </c>
      <c r="J365" s="14" t="str">
        <f ca="1">IF(OR(E365="",E365="!!!",F365="NEW"),"",COUNTBLANK(OFFSET(A$1,,,SUMPRODUCT(MAX(ROW(E$2:E365)*(E365=E$2:E365)))))-COUNTBLANK(OFFSET(A$1,,,SUMPRODUCT(MAX(ROW(E$1:E364)*(E365=E$1:E364))))))</f>
        <v/>
      </c>
      <c r="K365" s="14" t="str">
        <f>IF(OR(E365="",E365="!!!",F365="NEW"),"",INDEX(J$1:J364,SUMPRODUCT(MAX(ROW(E$1:E364)*(E365=E$1:E364)))))</f>
        <v/>
      </c>
      <c r="L365" s="15"/>
    </row>
    <row r="366" spans="1:12" x14ac:dyDescent="0.15">
      <c r="A366" s="16" t="s">
        <v>50</v>
      </c>
      <c r="E366" s="9" t="str">
        <f t="shared" si="10"/>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1"/>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x14ac:dyDescent="0.15">
      <c r="A367" s="16" t="s">
        <v>106</v>
      </c>
      <c r="E367" s="9" t="str">
        <f t="shared" si="10"/>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1"/>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x14ac:dyDescent="0.15">
      <c r="A368" s="16" t="s">
        <v>149</v>
      </c>
      <c r="E368" s="9" t="str">
        <f t="shared" si="10"/>
        <v/>
      </c>
      <c r="F368" s="10" t="str">
        <f>IF(OR(E368="",E368="!!!"),"",IF(NOT(ISNA(VLOOKUP(E368,E$1:E367,1,FALSE()))),"OLD",IF(AND(E368&lt;&gt;"",E368&lt;&gt;"!!!"),"NEW","")))</f>
        <v/>
      </c>
      <c r="G368" s="11" t="str">
        <f>IF(OR(E368="",E368="!!!"),"",IF(OR(J368=0,AND(J368=1,K368=1),AND(J368=1,I368="SBJ"),AND(J368=1,I368=0)),"?IN_FOCUS",IF(J368&lt;=2,"?ACTIVATED",IF(J368&lt;&gt;"","?FAMILIAR",IF(F368="NEW",IF(ISNA(VLOOKUP(E368,#REF!,1,FALSE())),"?TYPE_IDENTIFIABLE","?REFERENTIAL"),"_")))))</f>
        <v/>
      </c>
      <c r="H368" s="12" t="str">
        <f t="shared" ca="1" si="11"/>
        <v/>
      </c>
      <c r="I368" s="13" t="str">
        <f>IF(OR(E368="",E368="!!!",F368="NEW"),"",INDEX(B$2:B367,-1+SUMPRODUCT(MAX(ROW(E$2:E367)*(E368=E$2:E367)))))</f>
        <v/>
      </c>
      <c r="J368" s="14" t="str">
        <f ca="1">IF(OR(E368="",E368="!!!",F368="NEW"),"",COUNTBLANK(OFFSET(A$1,,,SUMPRODUCT(MAX(ROW(E$2:E368)*(E368=E$2:E368)))))-COUNTBLANK(OFFSET(A$1,,,SUMPRODUCT(MAX(ROW(E$1:E367)*(E368=E$1:E367))))))</f>
        <v/>
      </c>
      <c r="K368" s="14" t="str">
        <f>IF(OR(E368="",E368="!!!",F368="NEW"),"",INDEX(J$1:J367,SUMPRODUCT(MAX(ROW(E$1:E367)*(E368=E$1:E367)))))</f>
        <v/>
      </c>
      <c r="L368" s="15"/>
    </row>
    <row r="369" spans="1:12" x14ac:dyDescent="0.15">
      <c r="A369" s="16" t="s">
        <v>72</v>
      </c>
      <c r="B369" t="s">
        <v>81</v>
      </c>
      <c r="C369" t="s">
        <v>86</v>
      </c>
      <c r="E369" s="9" t="str">
        <f t="shared" si="10"/>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1"/>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x14ac:dyDescent="0.15">
      <c r="A370" s="16" t="s">
        <v>27</v>
      </c>
      <c r="E370" s="9" t="str">
        <f t="shared" si="10"/>
        <v/>
      </c>
      <c r="F370" s="10" t="str">
        <f>IF(OR(E370="",E370="!!!"),"",IF(NOT(ISNA(VLOOKUP(E370,E$1:E369,1,FALSE()))),"OLD",IF(AND(E370&lt;&gt;"",E370&lt;&gt;"!!!"),"NEW","")))</f>
        <v/>
      </c>
      <c r="G370" s="11" t="str">
        <f>IF(OR(E370="",E370="!!!"),"",IF(OR(J370=0,AND(J370=1,K370=1),AND(J370=1,I370="SBJ"),AND(J370=1,I370=0)),"?IN_FOCUS",IF(J370&lt;=2,"?ACTIVATED",IF(J370&lt;&gt;"","?FAMILIAR",IF(F370="NEW",IF(ISNA(VLOOKUP(E370,#REF!,1,FALSE())),"?TYPE_IDENTIFIABLE","?REFERENTIAL"),"_")))))</f>
        <v/>
      </c>
      <c r="H370" s="12" t="str">
        <f t="shared" ca="1" si="11"/>
        <v/>
      </c>
      <c r="I370" s="13" t="str">
        <f>IF(OR(E370="",E370="!!!",F370="NEW"),"",INDEX(B$2:B369,-1+SUMPRODUCT(MAX(ROW(E$2:E369)*(E370=E$2:E369)))))</f>
        <v/>
      </c>
      <c r="J370" s="14" t="str">
        <f ca="1">IF(OR(E370="",E370="!!!",F370="NEW"),"",COUNTBLANK(OFFSET(A$1,,,SUMPRODUCT(MAX(ROW(E$2:E370)*(E370=E$2:E370)))))-COUNTBLANK(OFFSET(A$1,,,SUMPRODUCT(MAX(ROW(E$1:E369)*(E370=E$1:E369))))))</f>
        <v/>
      </c>
      <c r="K370" s="14" t="str">
        <f>IF(OR(E370="",E370="!!!",F370="NEW"),"",INDEX(J$1:J369,SUMPRODUCT(MAX(ROW(E$1:E369)*(E370=E$1:E369)))))</f>
        <v/>
      </c>
      <c r="L370" s="15"/>
    </row>
    <row r="371" spans="1:12" x14ac:dyDescent="0.15">
      <c r="E371" s="9" t="str">
        <f t="shared" si="10"/>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1"/>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x14ac:dyDescent="0.15">
      <c r="A372" s="16" t="s">
        <v>47</v>
      </c>
      <c r="E372" s="9" t="str">
        <f t="shared" si="10"/>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1"/>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x14ac:dyDescent="0.15">
      <c r="A373" s="16" t="s">
        <v>150</v>
      </c>
      <c r="E373" s="9" t="str">
        <f t="shared" si="10"/>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1"/>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x14ac:dyDescent="0.15">
      <c r="A374" s="16" t="s">
        <v>16</v>
      </c>
      <c r="B374" t="s">
        <v>17</v>
      </c>
      <c r="C374" t="s">
        <v>18</v>
      </c>
      <c r="D374" t="s">
        <v>19</v>
      </c>
      <c r="E374" s="9" t="s">
        <v>199</v>
      </c>
      <c r="F374" s="10" t="str">
        <f>IF(OR(E374="",E374="!!!"),"",IF(NOT(ISNA(VLOOKUP(E374,E$1:E373,1,FALSE()))),"OLD",IF(AND(E374&lt;&gt;"",E374&lt;&gt;"!!!"),"NEW","")))</f>
        <v>OLD</v>
      </c>
      <c r="G374" s="11" t="s">
        <v>203</v>
      </c>
      <c r="H374" s="12" t="str">
        <f t="shared" ca="1" si="11"/>
        <v/>
      </c>
      <c r="I374" s="13" t="str">
        <f>IF(OR(E374="",E374="!!!",F374="NEW"),"",INDEX(B$2:B373,-1+SUMPRODUCT(MAX(ROW(E$2:E373)*(E374=E$2:E373)))))</f>
        <v>SBJ_4</v>
      </c>
      <c r="J374" s="14">
        <f ca="1">IF(OR(E374="",E374="!!!",F374="NEW"),"",COUNTBLANK(OFFSET(A$1,,,SUMPRODUCT(MAX(ROW(E$2:E374)*(E374=E$2:E374)))))-COUNTBLANK(OFFSET(A$1,,,SUMPRODUCT(MAX(ROW(E$1:E373)*(E374=E$1:E373))))))</f>
        <v>2</v>
      </c>
      <c r="K374" s="14">
        <f ca="1">IF(OR(E374="",E374="!!!",F374="NEW"),"",INDEX(J$1:J373,SUMPRODUCT(MAX(ROW(E$1:E373)*(E374=E$1:E373)))))</f>
        <v>1</v>
      </c>
      <c r="L374" s="15"/>
    </row>
    <row r="375" spans="1:12" x14ac:dyDescent="0.15">
      <c r="A375" s="16" t="s">
        <v>49</v>
      </c>
      <c r="E375" s="9" t="str">
        <f t="shared" si="10"/>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ca="1" si="11"/>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x14ac:dyDescent="0.15">
      <c r="A376" s="16" t="s">
        <v>50</v>
      </c>
      <c r="E376" s="9" t="str">
        <f t="shared" si="10"/>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1"/>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x14ac:dyDescent="0.15">
      <c r="A377" s="16" t="s">
        <v>51</v>
      </c>
      <c r="E377" s="9" t="str">
        <f t="shared" si="10"/>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1"/>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x14ac:dyDescent="0.15">
      <c r="A378" s="16" t="s">
        <v>52</v>
      </c>
      <c r="E378" s="9" t="str">
        <f t="shared" si="10"/>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ca="1" si="11"/>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x14ac:dyDescent="0.15">
      <c r="A379" s="16" t="s">
        <v>53</v>
      </c>
      <c r="E379" s="9" t="str">
        <f t="shared" si="10"/>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1"/>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x14ac:dyDescent="0.15">
      <c r="A380" s="16" t="s">
        <v>56</v>
      </c>
      <c r="E380" s="9" t="str">
        <f t="shared" si="10"/>
        <v/>
      </c>
      <c r="F380" s="10" t="str">
        <f>IF(OR(E380="",E380="!!!"),"",IF(NOT(ISNA(VLOOKUP(E380,E$1:E379,1,FALSE()))),"OLD",IF(AND(E380&lt;&gt;"",E380&lt;&gt;"!!!"),"NEW","")))</f>
        <v/>
      </c>
      <c r="G380" s="11" t="str">
        <f>IF(OR(E380="",E380="!!!"),"",IF(OR(J380=0,AND(J380=1,K380=1),AND(J380=1,I380="SBJ"),AND(J380=1,I380=0)),"?IN_FOCUS",IF(J380&lt;=2,"?ACTIVATED",IF(J380&lt;&gt;"","?FAMILIAR",IF(F380="NEW",IF(ISNA(VLOOKUP(E380,#REF!,1,FALSE())),"?TYPE_IDENTIFIABLE","?REFERENTIAL"),"_")))))</f>
        <v/>
      </c>
      <c r="H380" s="12" t="str">
        <f t="shared" ca="1" si="11"/>
        <v/>
      </c>
      <c r="I380" s="13" t="str">
        <f>IF(OR(E380="",E380="!!!",F380="NEW"),"",INDEX(B$2:B379,-1+SUMPRODUCT(MAX(ROW(E$2:E379)*(E380=E$2:E379)))))</f>
        <v/>
      </c>
      <c r="J380" s="14" t="str">
        <f ca="1">IF(OR(E380="",E380="!!!",F380="NEW"),"",COUNTBLANK(OFFSET(A$1,,,SUMPRODUCT(MAX(ROW(E$2:E380)*(E380=E$2:E380)))))-COUNTBLANK(OFFSET(A$1,,,SUMPRODUCT(MAX(ROW(E$1:E379)*(E380=E$1:E379))))))</f>
        <v/>
      </c>
      <c r="K380" s="14" t="str">
        <f>IF(OR(E380="",E380="!!!",F380="NEW"),"",INDEX(J$1:J379,SUMPRODUCT(MAX(ROW(E$1:E379)*(E380=E$1:E379)))))</f>
        <v/>
      </c>
      <c r="L380" s="15"/>
    </row>
    <row r="381" spans="1:12" x14ac:dyDescent="0.15">
      <c r="A381" s="16" t="s">
        <v>151</v>
      </c>
      <c r="B381" t="s">
        <v>54</v>
      </c>
      <c r="C381" t="s">
        <v>35</v>
      </c>
      <c r="E381" s="9" t="str">
        <f t="shared" si="10"/>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ca="1" si="11"/>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x14ac:dyDescent="0.15">
      <c r="A382" s="16" t="s">
        <v>87</v>
      </c>
      <c r="E382" s="9" t="str">
        <f t="shared" si="10"/>
        <v/>
      </c>
      <c r="F382" s="10" t="str">
        <f>IF(OR(E382="",E382="!!!"),"",IF(NOT(ISNA(VLOOKUP(E382,E$1:E381,1,FALSE()))),"OLD",IF(AND(E382&lt;&gt;"",E382&lt;&gt;"!!!"),"NEW","")))</f>
        <v/>
      </c>
      <c r="G382" s="11" t="str">
        <f>IF(OR(E382="",E382="!!!"),"",IF(OR(J382=0,AND(J382=1,K382=1),AND(J382=1,I382="SBJ"),AND(J382=1,I382=0)),"?IN_FOCUS",IF(J382&lt;=2,"?ACTIVATED",IF(J382&lt;&gt;"","?FAMILIAR",IF(F382="NEW",IF(ISNA(VLOOKUP(E382,#REF!,1,FALSE())),"?TYPE_IDENTIFIABLE","?REFERENTIAL"),"_")))))</f>
        <v/>
      </c>
      <c r="H382" s="12" t="str">
        <f t="shared" ca="1" si="11"/>
        <v/>
      </c>
      <c r="I382" s="13" t="str">
        <f>IF(OR(E382="",E382="!!!",F382="NEW"),"",INDEX(B$2:B381,-1+SUMPRODUCT(MAX(ROW(E$2:E381)*(E382=E$2:E381)))))</f>
        <v/>
      </c>
      <c r="J382" s="14" t="str">
        <f ca="1">IF(OR(E382="",E382="!!!",F382="NEW"),"",COUNTBLANK(OFFSET(A$1,,,SUMPRODUCT(MAX(ROW(E$2:E382)*(E382=E$2:E382)))))-COUNTBLANK(OFFSET(A$1,,,SUMPRODUCT(MAX(ROW(E$1:E381)*(E382=E$1:E381))))))</f>
        <v/>
      </c>
      <c r="K382" s="14" t="str">
        <f>IF(OR(E382="",E382="!!!",F382="NEW"),"",INDEX(J$1:J381,SUMPRODUCT(MAX(ROW(E$1:E381)*(E382=E$1:E381)))))</f>
        <v/>
      </c>
      <c r="L382" s="15"/>
    </row>
    <row r="383" spans="1:12" x14ac:dyDescent="0.15">
      <c r="A383" s="16" t="s">
        <v>14</v>
      </c>
      <c r="E383" s="9" t="str">
        <f t="shared" si="10"/>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1"/>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x14ac:dyDescent="0.15">
      <c r="A384" s="16" t="s">
        <v>85</v>
      </c>
      <c r="B384" t="s">
        <v>75</v>
      </c>
      <c r="C384" t="s">
        <v>23</v>
      </c>
      <c r="D384" t="s">
        <v>19</v>
      </c>
      <c r="E384" s="9" t="s">
        <v>211</v>
      </c>
      <c r="F384" s="10" t="str">
        <f>IF(OR(E384="",E384="!!!"),"",IF(NOT(ISNA(VLOOKUP(E384,E$1:E383,1,FALSE()))),"OLD",IF(AND(E384&lt;&gt;"",E384&lt;&gt;"!!!"),"NEW","")))</f>
        <v>OLD</v>
      </c>
      <c r="G384" s="11" t="s">
        <v>206</v>
      </c>
      <c r="H384" s="12" t="str">
        <f t="shared" ca="1" si="11"/>
        <v/>
      </c>
      <c r="I384" s="13" t="str">
        <f>IF(OR(E384="",E384="!!!",F384="NEW"),"",INDEX(B$2:B383,-1+SUMPRODUCT(MAX(ROW(E$2:E383)*(E384=E$2:E383)))))</f>
        <v>other_5</v>
      </c>
      <c r="J384" s="14">
        <f ca="1">IF(OR(E384="",E384="!!!",F384="NEW"),"",COUNTBLANK(OFFSET(A$1,,,SUMPRODUCT(MAX(ROW(E$2:E384)*(E384=E$2:E384)))))-COUNTBLANK(OFFSET(A$1,,,SUMPRODUCT(MAX(ROW(E$1:E383)*(E384=E$1:E383))))))</f>
        <v>9</v>
      </c>
      <c r="K384" s="14">
        <f ca="1">IF(OR(E384="",E384="!!!",F384="NEW"),"",INDEX(J$1:J383,SUMPRODUCT(MAX(ROW(E$1:E383)*(E384=E$1:E383)))))</f>
        <v>0</v>
      </c>
      <c r="L384" s="15"/>
    </row>
    <row r="385" spans="1:12" x14ac:dyDescent="0.15">
      <c r="A385" s="16" t="s">
        <v>39</v>
      </c>
      <c r="E385" s="9" t="str">
        <f t="shared" si="10"/>
        <v/>
      </c>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ca="1" si="11"/>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x14ac:dyDescent="0.15">
      <c r="A386" s="16" t="s">
        <v>104</v>
      </c>
      <c r="B386" t="s">
        <v>81</v>
      </c>
      <c r="C386" t="s">
        <v>35</v>
      </c>
      <c r="E386" s="9" t="str">
        <f t="shared" si="10"/>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ca="1" si="11"/>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x14ac:dyDescent="0.15">
      <c r="A387" s="16" t="s">
        <v>111</v>
      </c>
      <c r="E387" s="9" t="str">
        <f t="shared" si="10"/>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1"/>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x14ac:dyDescent="0.15">
      <c r="A388" s="16" t="s">
        <v>90</v>
      </c>
      <c r="E388" s="9" t="str">
        <f t="shared" ref="E388:E451" si="12">IF(D388="?OLD","!!!","")</f>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ref="H388:H451" ca="1" si="13">IF(J388&lt;&gt;1,"",IF(I388="SBJ","CB","?"))</f>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x14ac:dyDescent="0.15">
      <c r="A389" s="16" t="s">
        <v>14</v>
      </c>
      <c r="E389" s="9" t="str">
        <f t="shared" si="12"/>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3"/>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x14ac:dyDescent="0.15">
      <c r="A390" s="16" t="s">
        <v>72</v>
      </c>
      <c r="B390" t="s">
        <v>75</v>
      </c>
      <c r="C390" t="s">
        <v>23</v>
      </c>
      <c r="D390" t="s">
        <v>19</v>
      </c>
      <c r="E390" s="9" t="s">
        <v>222</v>
      </c>
      <c r="F390" s="10" t="str">
        <f>IF(OR(E390="",E390="!!!"),"",IF(NOT(ISNA(VLOOKUP(E390,E$1:E389,1,FALSE()))),"OLD",IF(AND(E390&lt;&gt;"",E390&lt;&gt;"!!!"),"NEW","")))</f>
        <v>NEW</v>
      </c>
      <c r="G390" s="11" t="s">
        <v>200</v>
      </c>
      <c r="H390" s="12" t="str">
        <f t="shared" ca="1" si="13"/>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x14ac:dyDescent="0.15">
      <c r="A391" s="16" t="s">
        <v>68</v>
      </c>
      <c r="E391" s="9" t="str">
        <f t="shared" si="12"/>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3"/>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x14ac:dyDescent="0.15">
      <c r="A392" s="16" t="s">
        <v>14</v>
      </c>
      <c r="E392" s="9" t="str">
        <f t="shared" si="12"/>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3"/>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x14ac:dyDescent="0.15">
      <c r="A393" s="16" t="s">
        <v>74</v>
      </c>
      <c r="B393" t="s">
        <v>81</v>
      </c>
      <c r="C393" t="s">
        <v>23</v>
      </c>
      <c r="D393" t="s">
        <v>19</v>
      </c>
      <c r="E393" s="9" t="s">
        <v>223</v>
      </c>
      <c r="F393" s="10" t="str">
        <f>IF(OR(E393="",E393="!!!"),"",IF(NOT(ISNA(VLOOKUP(E393,E$1:E392,1,FALSE()))),"OLD",IF(AND(E393&lt;&gt;"",E393&lt;&gt;"!!!"),"NEW","")))</f>
        <v>NEW</v>
      </c>
      <c r="G393" s="11" t="s">
        <v>200</v>
      </c>
      <c r="H393" s="12" t="str">
        <f t="shared" ca="1" si="13"/>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x14ac:dyDescent="0.15">
      <c r="A394" s="16" t="s">
        <v>101</v>
      </c>
      <c r="E394" s="9" t="str">
        <f t="shared" si="12"/>
        <v/>
      </c>
      <c r="F394" s="10" t="str">
        <f>IF(OR(E394="",E394="!!!"),"",IF(NOT(ISNA(VLOOKUP(E394,E$1:E393,1,FALSE()))),"OLD",IF(AND(E394&lt;&gt;"",E394&lt;&gt;"!!!"),"NEW","")))</f>
        <v/>
      </c>
      <c r="G394" s="11" t="str">
        <f>IF(OR(E394="",E394="!!!"),"",IF(OR(J394=0,AND(J394=1,K394=1),AND(J394=1,I394="SBJ"),AND(J394=1,I394=0)),"?IN_FOCUS",IF(J394&lt;=2,"?ACTIVATED",IF(J394&lt;&gt;"","?FAMILIAR",IF(F394="NEW",IF(ISNA(VLOOKUP(E394,#REF!,1,FALSE())),"?TYPE_IDENTIFIABLE","?REFERENTIAL"),"_")))))</f>
        <v/>
      </c>
      <c r="H394" s="12" t="str">
        <f t="shared" ca="1" si="13"/>
        <v/>
      </c>
      <c r="I394" s="13" t="str">
        <f>IF(OR(E394="",E394="!!!",F394="NEW"),"",INDEX(B$2:B393,-1+SUMPRODUCT(MAX(ROW(E$2:E393)*(E394=E$2:E393)))))</f>
        <v/>
      </c>
      <c r="J394" s="14" t="str">
        <f ca="1">IF(OR(E394="",E394="!!!",F394="NEW"),"",COUNTBLANK(OFFSET(A$1,,,SUMPRODUCT(MAX(ROW(E$2:E394)*(E394=E$2:E394)))))-COUNTBLANK(OFFSET(A$1,,,SUMPRODUCT(MAX(ROW(E$1:E393)*(E394=E$1:E393))))))</f>
        <v/>
      </c>
      <c r="K394" s="14" t="str">
        <f>IF(OR(E394="",E394="!!!",F394="NEW"),"",INDEX(J$1:J393,SUMPRODUCT(MAX(ROW(E$1:E393)*(E394=E$1:E393)))))</f>
        <v/>
      </c>
      <c r="L394" s="15"/>
    </row>
    <row r="395" spans="1:12" x14ac:dyDescent="0.15">
      <c r="A395" s="16" t="s">
        <v>24</v>
      </c>
      <c r="E395" s="9" t="str">
        <f t="shared" si="12"/>
        <v/>
      </c>
      <c r="F395" s="10" t="str">
        <f>IF(OR(E395="",E395="!!!"),"",IF(NOT(ISNA(VLOOKUP(E395,E$1:E394,1,FALSE()))),"OLD",IF(AND(E395&lt;&gt;"",E395&lt;&gt;"!!!"),"NEW","")))</f>
        <v/>
      </c>
      <c r="G395" s="11" t="str">
        <f>IF(OR(E395="",E395="!!!"),"",IF(OR(J395=0,AND(J395=1,K395=1),AND(J395=1,I395="SBJ"),AND(J395=1,I395=0)),"?IN_FOCUS",IF(J395&lt;=2,"?ACTIVATED",IF(J395&lt;&gt;"","?FAMILIAR",IF(F395="NEW",IF(ISNA(VLOOKUP(E395,#REF!,1,FALSE())),"?TYPE_IDENTIFIABLE","?REFERENTIAL"),"_")))))</f>
        <v/>
      </c>
      <c r="H395" s="12" t="str">
        <f t="shared" ca="1" si="13"/>
        <v/>
      </c>
      <c r="I395" s="13" t="str">
        <f>IF(OR(E395="",E395="!!!",F395="NEW"),"",INDEX(B$2:B394,-1+SUMPRODUCT(MAX(ROW(E$2:E394)*(E395=E$2:E394)))))</f>
        <v/>
      </c>
      <c r="J395" s="14" t="str">
        <f ca="1">IF(OR(E395="",E395="!!!",F395="NEW"),"",COUNTBLANK(OFFSET(A$1,,,SUMPRODUCT(MAX(ROW(E$2:E395)*(E395=E$2:E395)))))-COUNTBLANK(OFFSET(A$1,,,SUMPRODUCT(MAX(ROW(E$1:E394)*(E395=E$1:E394))))))</f>
        <v/>
      </c>
      <c r="K395" s="14" t="str">
        <f>IF(OR(E395="",E395="!!!",F395="NEW"),"",INDEX(J$1:J394,SUMPRODUCT(MAX(ROW(E$1:E394)*(E395=E$1:E394)))))</f>
        <v/>
      </c>
      <c r="L395" s="15"/>
    </row>
    <row r="396" spans="1:12" x14ac:dyDescent="0.15">
      <c r="A396" s="16" t="s">
        <v>89</v>
      </c>
      <c r="E396" s="9" t="str">
        <f t="shared" si="12"/>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ca="1" si="13"/>
        <v/>
      </c>
      <c r="I396" s="13" t="str">
        <f>IF(OR(E396="",E396="!!!",F396="NEW"),"",INDEX(B$2:B395,-1+SUMPRODUCT(MAX(ROW(E$2:E395)*(E396=E$2:E395)))))</f>
        <v/>
      </c>
      <c r="J396" s="14" t="str">
        <f ca="1">IF(OR(E396="",E396="!!!",F396="NEW"),"",COUNTBLANK(OFFSET(A$1,,,SUMPRODUCT(MAX(ROW(E$2:E396)*(E396=E$2:E396)))))-COUNTBLANK(OFFSET(A$1,,,SUMPRODUCT(MAX(ROW(E$1:E395)*(E396=E$1:E395))))))</f>
        <v/>
      </c>
      <c r="K396" s="14" t="str">
        <f>IF(OR(E396="",E396="!!!",F396="NEW"),"",INDEX(J$1:J395,SUMPRODUCT(MAX(ROW(E$1:E395)*(E396=E$1:E395)))))</f>
        <v/>
      </c>
      <c r="L396" s="15"/>
    </row>
    <row r="397" spans="1:12" x14ac:dyDescent="0.15">
      <c r="A397" s="16" t="s">
        <v>152</v>
      </c>
      <c r="B397" t="s">
        <v>54</v>
      </c>
      <c r="C397" t="s">
        <v>64</v>
      </c>
      <c r="D397" t="s">
        <v>19</v>
      </c>
      <c r="E397" s="9" t="s">
        <v>224</v>
      </c>
      <c r="F397" s="10" t="str">
        <f>IF(OR(E397="",E397="!!!"),"",IF(NOT(ISNA(VLOOKUP(E397,E$1:E396,1,FALSE()))),"OLD",IF(AND(E397&lt;&gt;"",E397&lt;&gt;"!!!"),"NEW","")))</f>
        <v>NEW</v>
      </c>
      <c r="G397" s="11" t="s">
        <v>200</v>
      </c>
      <c r="H397" s="12" t="str">
        <f t="shared" ca="1" si="13"/>
        <v/>
      </c>
      <c r="I397" s="13" t="str">
        <f>IF(OR(E397="",E397="!!!",F397="NEW"),"",INDEX(B$2:B396,-1+SUMPRODUCT(MAX(ROW(E$2:E396)*(E397=E$2:E396)))))</f>
        <v/>
      </c>
      <c r="J397" s="14" t="str">
        <f ca="1">IF(OR(E397="",E397="!!!",F397="NEW"),"",COUNTBLANK(OFFSET(A$1,,,SUMPRODUCT(MAX(ROW(E$2:E397)*(E397=E$2:E397)))))-COUNTBLANK(OFFSET(A$1,,,SUMPRODUCT(MAX(ROW(E$1:E396)*(E397=E$1:E396))))))</f>
        <v/>
      </c>
      <c r="K397" s="14" t="str">
        <f>IF(OR(E397="",E397="!!!",F397="NEW"),"",INDEX(J$1:J396,SUMPRODUCT(MAX(ROW(E$1:E396)*(E397=E$1:E396)))))</f>
        <v/>
      </c>
      <c r="L397" s="15"/>
    </row>
    <row r="398" spans="1:12" x14ac:dyDescent="0.15">
      <c r="A398" s="16" t="s">
        <v>56</v>
      </c>
      <c r="E398" s="9" t="str">
        <f t="shared" si="12"/>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ca="1" si="13"/>
        <v/>
      </c>
      <c r="I398" s="13" t="str">
        <f>IF(OR(E398="",E398="!!!",F398="NEW"),"",INDEX(B$2:B397,-1+SUMPRODUCT(MAX(ROW(E$2:E397)*(E398=E$2:E397)))))</f>
        <v/>
      </c>
      <c r="J398" s="14" t="str">
        <f ca="1">IF(OR(E398="",E398="!!!",F398="NEW"),"",COUNTBLANK(OFFSET(A$1,,,SUMPRODUCT(MAX(ROW(E$2:E398)*(E398=E$2:E398)))))-COUNTBLANK(OFFSET(A$1,,,SUMPRODUCT(MAX(ROW(E$1:E397)*(E398=E$1:E397))))))</f>
        <v/>
      </c>
      <c r="K398" s="14" t="str">
        <f>IF(OR(E398="",E398="!!!",F398="NEW"),"",INDEX(J$1:J397,SUMPRODUCT(MAX(ROW(E$1:E397)*(E398=E$1:E397)))))</f>
        <v/>
      </c>
      <c r="L398" s="15"/>
    </row>
    <row r="399" spans="1:12" x14ac:dyDescent="0.15">
      <c r="A399" s="16" t="s">
        <v>153</v>
      </c>
      <c r="E399" s="9" t="str">
        <f t="shared" si="12"/>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3"/>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x14ac:dyDescent="0.15">
      <c r="A400" s="16" t="s">
        <v>154</v>
      </c>
      <c r="B400" t="s">
        <v>26</v>
      </c>
      <c r="C400" t="s">
        <v>35</v>
      </c>
      <c r="E400" s="9" t="str">
        <f t="shared" si="12"/>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ca="1" si="13"/>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x14ac:dyDescent="0.15">
      <c r="A401" s="16" t="s">
        <v>50</v>
      </c>
      <c r="E401" s="9" t="str">
        <f t="shared" si="12"/>
        <v/>
      </c>
      <c r="F401" s="10" t="str">
        <f>IF(OR(E401="",E401="!!!"),"",IF(NOT(ISNA(VLOOKUP(E401,E$1:E400,1,FALSE()))),"OLD",IF(AND(E401&lt;&gt;"",E401&lt;&gt;"!!!"),"NEW","")))</f>
        <v/>
      </c>
      <c r="G401" s="11" t="str">
        <f>IF(OR(E401="",E401="!!!"),"",IF(OR(J401=0,AND(J401=1,K401=1),AND(J401=1,I401="SBJ"),AND(J401=1,I401=0)),"?IN_FOCUS",IF(J401&lt;=2,"?ACTIVATED",IF(J401&lt;&gt;"","?FAMILIAR",IF(F401="NEW",IF(ISNA(VLOOKUP(E401,#REF!,1,FALSE())),"?TYPE_IDENTIFIABLE","?REFERENTIAL"),"_")))))</f>
        <v/>
      </c>
      <c r="H401" s="12" t="str">
        <f t="shared" ca="1" si="13"/>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x14ac:dyDescent="0.15">
      <c r="A402" s="16" t="s">
        <v>24</v>
      </c>
      <c r="E402" s="9" t="str">
        <f t="shared" si="12"/>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3"/>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x14ac:dyDescent="0.15">
      <c r="A403" s="16" t="s">
        <v>153</v>
      </c>
      <c r="E403" s="9" t="str">
        <f t="shared" si="12"/>
        <v/>
      </c>
      <c r="F403" s="10" t="str">
        <f>IF(OR(E403="",E403="!!!"),"",IF(NOT(ISNA(VLOOKUP(E403,E$1:E402,1,FALSE()))),"OLD",IF(AND(E403&lt;&gt;"",E403&lt;&gt;"!!!"),"NEW","")))</f>
        <v/>
      </c>
      <c r="G403" s="11" t="str">
        <f>IF(OR(E403="",E403="!!!"),"",IF(OR(J403=0,AND(J403=1,K403=1),AND(J403=1,I403="SBJ"),AND(J403=1,I403=0)),"?IN_FOCUS",IF(J403&lt;=2,"?ACTIVATED",IF(J403&lt;&gt;"","?FAMILIAR",IF(F403="NEW",IF(ISNA(VLOOKUP(E403,#REF!,1,FALSE())),"?TYPE_IDENTIFIABLE","?REFERENTIAL"),"_")))))</f>
        <v/>
      </c>
      <c r="H403" s="12" t="str">
        <f t="shared" ca="1" si="13"/>
        <v/>
      </c>
      <c r="I403" s="13" t="str">
        <f>IF(OR(E403="",E403="!!!",F403="NEW"),"",INDEX(B$2:B402,-1+SUMPRODUCT(MAX(ROW(E$2:E402)*(E403=E$2:E402)))))</f>
        <v/>
      </c>
      <c r="J403" s="14" t="str">
        <f ca="1">IF(OR(E403="",E403="!!!",F403="NEW"),"",COUNTBLANK(OFFSET(A$1,,,SUMPRODUCT(MAX(ROW(E$2:E403)*(E403=E$2:E403)))))-COUNTBLANK(OFFSET(A$1,,,SUMPRODUCT(MAX(ROW(E$1:E402)*(E403=E$1:E402))))))</f>
        <v/>
      </c>
      <c r="K403" s="14" t="str">
        <f>IF(OR(E403="",E403="!!!",F403="NEW"),"",INDEX(J$1:J402,SUMPRODUCT(MAX(ROW(E$1:E402)*(E403=E$1:E402)))))</f>
        <v/>
      </c>
      <c r="L403" s="15"/>
    </row>
    <row r="404" spans="1:12" x14ac:dyDescent="0.15">
      <c r="A404" s="16" t="s">
        <v>155</v>
      </c>
      <c r="B404" t="s">
        <v>75</v>
      </c>
      <c r="C404" t="s">
        <v>35</v>
      </c>
      <c r="E404" s="9" t="str">
        <f t="shared" si="12"/>
        <v/>
      </c>
      <c r="F404" s="10" t="str">
        <f>IF(OR(E404="",E404="!!!"),"",IF(NOT(ISNA(VLOOKUP(E404,E$1:E403,1,FALSE()))),"OLD",IF(AND(E404&lt;&gt;"",E404&lt;&gt;"!!!"),"NEW","")))</f>
        <v/>
      </c>
      <c r="G404" s="11" t="str">
        <f>IF(OR(E404="",E404="!!!"),"",IF(OR(J404=0,AND(J404=1,K404=1),AND(J404=1,I404="SBJ"),AND(J404=1,I404=0)),"?IN_FOCUS",IF(J404&lt;=2,"?ACTIVATED",IF(J404&lt;&gt;"","?FAMILIAR",IF(F404="NEW",IF(ISNA(VLOOKUP(E404,#REF!,1,FALSE())),"?TYPE_IDENTIFIABLE","?REFERENTIAL"),"_")))))</f>
        <v/>
      </c>
      <c r="H404" s="12" t="str">
        <f t="shared" ca="1" si="13"/>
        <v/>
      </c>
      <c r="I404" s="13" t="str">
        <f>IF(OR(E404="",E404="!!!",F404="NEW"),"",INDEX(B$2:B403,-1+SUMPRODUCT(MAX(ROW(E$2:E403)*(E404=E$2:E403)))))</f>
        <v/>
      </c>
      <c r="J404" s="14" t="str">
        <f ca="1">IF(OR(E404="",E404="!!!",F404="NEW"),"",COUNTBLANK(OFFSET(A$1,,,SUMPRODUCT(MAX(ROW(E$2:E404)*(E404=E$2:E404)))))-COUNTBLANK(OFFSET(A$1,,,SUMPRODUCT(MAX(ROW(E$1:E403)*(E404=E$1:E403))))))</f>
        <v/>
      </c>
      <c r="K404" s="14" t="str">
        <f>IF(OR(E404="",E404="!!!",F404="NEW"),"",INDEX(J$1:J403,SUMPRODUCT(MAX(ROW(E$1:E403)*(E404=E$1:E403)))))</f>
        <v/>
      </c>
      <c r="L404" s="15"/>
    </row>
    <row r="405" spans="1:12" x14ac:dyDescent="0.15">
      <c r="A405" s="16" t="s">
        <v>50</v>
      </c>
      <c r="E405" s="9" t="str">
        <f t="shared" si="12"/>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3"/>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x14ac:dyDescent="0.15">
      <c r="A406" s="16" t="s">
        <v>24</v>
      </c>
      <c r="E406" s="9" t="str">
        <f t="shared" si="12"/>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3"/>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x14ac:dyDescent="0.15">
      <c r="A407" s="16" t="s">
        <v>153</v>
      </c>
      <c r="E407" s="9" t="str">
        <f t="shared" si="12"/>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3"/>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x14ac:dyDescent="0.15">
      <c r="A408" s="16" t="s">
        <v>156</v>
      </c>
      <c r="B408" t="s">
        <v>75</v>
      </c>
      <c r="C408" t="s">
        <v>35</v>
      </c>
      <c r="E408" s="9" t="str">
        <f t="shared" si="12"/>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3"/>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x14ac:dyDescent="0.15">
      <c r="A409" s="16" t="s">
        <v>24</v>
      </c>
      <c r="E409" s="9" t="str">
        <f t="shared" si="12"/>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3"/>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x14ac:dyDescent="0.15">
      <c r="A410" s="16" t="s">
        <v>157</v>
      </c>
      <c r="B410" t="s">
        <v>81</v>
      </c>
      <c r="C410" t="s">
        <v>35</v>
      </c>
      <c r="E410" s="9" t="str">
        <f t="shared" si="12"/>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ca="1" si="13"/>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x14ac:dyDescent="0.15">
      <c r="A411" s="16" t="s">
        <v>101</v>
      </c>
      <c r="E411" s="9" t="str">
        <f t="shared" si="12"/>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3"/>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x14ac:dyDescent="0.15">
      <c r="A412" s="16" t="s">
        <v>24</v>
      </c>
      <c r="E412" s="9" t="str">
        <f t="shared" si="12"/>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3"/>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x14ac:dyDescent="0.15">
      <c r="A413" s="16" t="s">
        <v>89</v>
      </c>
      <c r="E413" s="9" t="str">
        <f t="shared" si="12"/>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3"/>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x14ac:dyDescent="0.15">
      <c r="A414" s="16" t="s">
        <v>152</v>
      </c>
      <c r="B414" t="s">
        <v>131</v>
      </c>
      <c r="C414" t="s">
        <v>64</v>
      </c>
      <c r="D414" t="s">
        <v>19</v>
      </c>
      <c r="E414" s="9" t="s">
        <v>224</v>
      </c>
      <c r="F414" s="10" t="str">
        <f>IF(OR(E414="",E414="!!!"),"",IF(NOT(ISNA(VLOOKUP(E414,E$1:E413,1,FALSE()))),"OLD",IF(AND(E414&lt;&gt;"",E414&lt;&gt;"!!!"),"NEW","")))</f>
        <v>OLD</v>
      </c>
      <c r="G414" s="11" t="s">
        <v>208</v>
      </c>
      <c r="H414" s="12" t="str">
        <f t="shared" ca="1" si="13"/>
        <v/>
      </c>
      <c r="I414" s="13" t="str">
        <f>IF(OR(E414="",E414="!!!",F414="NEW"),"",INDEX(B$2:B413,-1+SUMPRODUCT(MAX(ROW(E$2:E413)*(E414=E$2:E413)))))</f>
        <v>OBJ_2</v>
      </c>
      <c r="J414" s="14">
        <f ca="1">IF(OR(E414="",E414="!!!",F414="NEW"),"",COUNTBLANK(OFFSET(A$1,,,SUMPRODUCT(MAX(ROW(E$2:E414)*(E414=E$2:E414)))))-COUNTBLANK(OFFSET(A$1,,,SUMPRODUCT(MAX(ROW(E$1:E413)*(E414=E$1:E413))))))</f>
        <v>0</v>
      </c>
      <c r="K414" s="14" t="str">
        <f ca="1">IF(OR(E414="",E414="!!!",F414="NEW"),"",INDEX(J$1:J413,SUMPRODUCT(MAX(ROW(E$1:E413)*(E414=E$1:E413)))))</f>
        <v/>
      </c>
      <c r="L414" s="15"/>
    </row>
    <row r="415" spans="1:12" x14ac:dyDescent="0.15">
      <c r="A415" s="16" t="s">
        <v>56</v>
      </c>
      <c r="E415" s="9" t="str">
        <f t="shared" si="12"/>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3"/>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x14ac:dyDescent="0.15">
      <c r="A416" s="16" t="s">
        <v>153</v>
      </c>
      <c r="E416" s="9" t="str">
        <f t="shared" si="12"/>
        <v/>
      </c>
      <c r="F416" s="10" t="str">
        <f>IF(OR(E416="",E416="!!!"),"",IF(NOT(ISNA(VLOOKUP(E416,E$1:E415,1,FALSE()))),"OLD",IF(AND(E416&lt;&gt;"",E416&lt;&gt;"!!!"),"NEW","")))</f>
        <v/>
      </c>
      <c r="G416" s="11" t="str">
        <f>IF(OR(E416="",E416="!!!"),"",IF(OR(J416=0,AND(J416=1,K416=1),AND(J416=1,I416="SBJ"),AND(J416=1,I416=0)),"?IN_FOCUS",IF(J416&lt;=2,"?ACTIVATED",IF(J416&lt;&gt;"","?FAMILIAR",IF(F416="NEW",IF(ISNA(VLOOKUP(E416,#REF!,1,FALSE())),"?TYPE_IDENTIFIABLE","?REFERENTIAL"),"_")))))</f>
        <v/>
      </c>
      <c r="H416" s="12" t="str">
        <f t="shared" ca="1" si="13"/>
        <v/>
      </c>
      <c r="I416" s="13" t="str">
        <f>IF(OR(E416="",E416="!!!",F416="NEW"),"",INDEX(B$2:B415,-1+SUMPRODUCT(MAX(ROW(E$2:E415)*(E416=E$2:E415)))))</f>
        <v/>
      </c>
      <c r="J416" s="14" t="str">
        <f ca="1">IF(OR(E416="",E416="!!!",F416="NEW"),"",COUNTBLANK(OFFSET(A$1,,,SUMPRODUCT(MAX(ROW(E$2:E416)*(E416=E$2:E416)))))-COUNTBLANK(OFFSET(A$1,,,SUMPRODUCT(MAX(ROW(E$1:E415)*(E416=E$1:E415))))))</f>
        <v/>
      </c>
      <c r="K416" s="14" t="str">
        <f>IF(OR(E416="",E416="!!!",F416="NEW"),"",INDEX(J$1:J415,SUMPRODUCT(MAX(ROW(E$1:E415)*(E416=E$1:E415)))))</f>
        <v/>
      </c>
      <c r="L416" s="15"/>
    </row>
    <row r="417" spans="1:12" x14ac:dyDescent="0.15">
      <c r="A417" s="16" t="s">
        <v>151</v>
      </c>
      <c r="B417" t="s">
        <v>100</v>
      </c>
      <c r="C417" t="s">
        <v>35</v>
      </c>
      <c r="E417" s="9" t="str">
        <f t="shared" si="12"/>
        <v/>
      </c>
      <c r="F417" s="10" t="str">
        <f>IF(OR(E417="",E417="!!!"),"",IF(NOT(ISNA(VLOOKUP(E417,E$1:E416,1,FALSE()))),"OLD",IF(AND(E417&lt;&gt;"",E417&lt;&gt;"!!!"),"NEW","")))</f>
        <v/>
      </c>
      <c r="G417" s="11" t="str">
        <f>IF(OR(E417="",E417="!!!"),"",IF(OR(J417=0,AND(J417=1,K417=1),AND(J417=1,I417="SBJ"),AND(J417=1,I417=0)),"?IN_FOCUS",IF(J417&lt;=2,"?ACTIVATED",IF(J417&lt;&gt;"","?FAMILIAR",IF(F417="NEW",IF(ISNA(VLOOKUP(E417,#REF!,1,FALSE())),"?TYPE_IDENTIFIABLE","?REFERENTIAL"),"_")))))</f>
        <v/>
      </c>
      <c r="H417" s="12" t="str">
        <f t="shared" ca="1" si="13"/>
        <v/>
      </c>
      <c r="I417" s="13" t="str">
        <f>IF(OR(E417="",E417="!!!",F417="NEW"),"",INDEX(B$2:B416,-1+SUMPRODUCT(MAX(ROW(E$2:E416)*(E417=E$2:E416)))))</f>
        <v/>
      </c>
      <c r="J417" s="14" t="str">
        <f ca="1">IF(OR(E417="",E417="!!!",F417="NEW"),"",COUNTBLANK(OFFSET(A$1,,,SUMPRODUCT(MAX(ROW(E$2:E417)*(E417=E$2:E417)))))-COUNTBLANK(OFFSET(A$1,,,SUMPRODUCT(MAX(ROW(E$1:E416)*(E417=E$1:E416))))))</f>
        <v/>
      </c>
      <c r="K417" s="14" t="str">
        <f>IF(OR(E417="",E417="!!!",F417="NEW"),"",INDEX(J$1:J416,SUMPRODUCT(MAX(ROW(E$1:E416)*(E417=E$1:E416)))))</f>
        <v/>
      </c>
      <c r="L417" s="15"/>
    </row>
    <row r="418" spans="1:12" x14ac:dyDescent="0.15">
      <c r="A418" s="16" t="s">
        <v>87</v>
      </c>
      <c r="E418" s="9"/>
      <c r="F418" s="10" t="str">
        <f>IF(OR(E418="",E418="!!!"),"",IF(NOT(ISNA(VLOOKUP(E418,E$1:E417,1,FALSE()))),"OLD",IF(AND(E418&lt;&gt;"",E418&lt;&gt;"!!!"),"NEW","")))</f>
        <v/>
      </c>
      <c r="G418" s="11" t="str">
        <f>IF(OR(E418="",E418="!!!"),"",IF(OR(J418=0,AND(J418=1,K418=1),AND(J418=1,I418="SBJ"),AND(J418=1,I418=0)),"?IN_FOCUS",IF(J418&lt;=2,"?ACTIVATED",IF(J418&lt;&gt;"","?FAMILIAR",IF(F418="NEW",IF(ISNA(VLOOKUP(E418,#REF!,1,FALSE())),"?TYPE_IDENTIFIABLE","?REFERENTIAL"),"_")))))</f>
        <v/>
      </c>
      <c r="H418" s="12" t="str">
        <f t="shared" ca="1" si="13"/>
        <v/>
      </c>
      <c r="I418" s="13" t="str">
        <f>IF(OR(E418="",E418="!!!",F418="NEW"),"",INDEX(B$2:B417,-1+SUMPRODUCT(MAX(ROW(E$2:E417)*(E418=E$2:E417)))))</f>
        <v/>
      </c>
      <c r="J418" s="14" t="str">
        <f ca="1">IF(OR(E418="",E418="!!!",F418="NEW"),"",COUNTBLANK(OFFSET(A$1,,,SUMPRODUCT(MAX(ROW(E$2:E418)*(E418=E$2:E418)))))-COUNTBLANK(OFFSET(A$1,,,SUMPRODUCT(MAX(ROW(E$1:E417)*(E418=E$1:E417))))))</f>
        <v/>
      </c>
      <c r="K418" s="14" t="str">
        <f>IF(OR(E418="",E418="!!!",F418="NEW"),"",INDEX(J$1:J417,SUMPRODUCT(MAX(ROW(E$1:E417)*(E418=E$1:E417)))))</f>
        <v/>
      </c>
      <c r="L418" s="15"/>
    </row>
    <row r="419" spans="1:12" x14ac:dyDescent="0.15">
      <c r="A419" s="16" t="s">
        <v>14</v>
      </c>
      <c r="E419" s="9" t="str">
        <f t="shared" si="12"/>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3"/>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x14ac:dyDescent="0.15">
      <c r="A420" s="16" t="s">
        <v>85</v>
      </c>
      <c r="B420" t="s">
        <v>137</v>
      </c>
      <c r="C420" t="s">
        <v>23</v>
      </c>
      <c r="D420" t="s">
        <v>19</v>
      </c>
      <c r="E420" s="9" t="s">
        <v>211</v>
      </c>
      <c r="F420" s="10" t="str">
        <f>IF(OR(E420="",E420="!!!"),"",IF(NOT(ISNA(VLOOKUP(E420,E$1:E419,1,FALSE()))),"OLD",IF(AND(E420&lt;&gt;"",E420&lt;&gt;"!!!"),"NEW","")))</f>
        <v>OLD</v>
      </c>
      <c r="G420" s="11" t="s">
        <v>208</v>
      </c>
      <c r="H420" s="12" t="str">
        <f t="shared" ca="1" si="13"/>
        <v/>
      </c>
      <c r="I420" s="13" t="str">
        <f>IF(OR(E420="",E420="!!!",F420="NEW"),"",INDEX(B$2:B419,-1+SUMPRODUCT(MAX(ROW(E$2:E419)*(E420=E$2:E419)))))</f>
        <v>other_3</v>
      </c>
      <c r="J420" s="14">
        <f ca="1">IF(OR(E420="",E420="!!!",F420="NEW"),"",COUNTBLANK(OFFSET(A$1,,,SUMPRODUCT(MAX(ROW(E$2:E420)*(E420=E$2:E420)))))-COUNTBLANK(OFFSET(A$1,,,SUMPRODUCT(MAX(ROW(E$1:E419)*(E420=E$1:E419))))))</f>
        <v>0</v>
      </c>
      <c r="K420" s="14">
        <f ca="1">IF(OR(E420="",E420="!!!",F420="NEW"),"",INDEX(J$1:J419,SUMPRODUCT(MAX(ROW(E$1:E419)*(E420=E$1:E419)))))</f>
        <v>9</v>
      </c>
      <c r="L420" s="15"/>
    </row>
    <row r="421" spans="1:12" x14ac:dyDescent="0.15">
      <c r="A421" s="16" t="s">
        <v>39</v>
      </c>
      <c r="E421" s="9" t="str">
        <f t="shared" si="12"/>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3"/>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x14ac:dyDescent="0.15">
      <c r="A422" s="16" t="s">
        <v>104</v>
      </c>
      <c r="B422" t="s">
        <v>134</v>
      </c>
      <c r="C422" t="s">
        <v>35</v>
      </c>
      <c r="E422" s="9" t="str">
        <f t="shared" si="12"/>
        <v/>
      </c>
      <c r="F422" s="10" t="str">
        <f>IF(OR(E422="",E422="!!!"),"",IF(NOT(ISNA(VLOOKUP(E422,E$1:E421,1,FALSE()))),"OLD",IF(AND(E422&lt;&gt;"",E422&lt;&gt;"!!!"),"NEW","")))</f>
        <v/>
      </c>
      <c r="G422" s="11" t="str">
        <f>IF(OR(E422="",E422="!!!"),"",IF(OR(J422=0,AND(J422=1,K422=1),AND(J422=1,I422="SBJ"),AND(J422=1,I422=0)),"?IN_FOCUS",IF(J422&lt;=2,"?ACTIVATED",IF(J422&lt;&gt;"","?FAMILIAR",IF(F422="NEW",IF(ISNA(VLOOKUP(E422,#REF!,1,FALSE())),"?TYPE_IDENTIFIABLE","?REFERENTIAL"),"_")))))</f>
        <v/>
      </c>
      <c r="H422" s="12" t="str">
        <f t="shared" ca="1" si="13"/>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x14ac:dyDescent="0.15">
      <c r="A423" s="16" t="s">
        <v>111</v>
      </c>
      <c r="E423" s="9" t="str">
        <f t="shared" si="12"/>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3"/>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x14ac:dyDescent="0.15">
      <c r="A424" s="16" t="s">
        <v>158</v>
      </c>
      <c r="E424" s="9" t="str">
        <f t="shared" si="12"/>
        <v/>
      </c>
      <c r="F424" s="10" t="str">
        <f>IF(OR(E424="",E424="!!!"),"",IF(NOT(ISNA(VLOOKUP(E424,E$1:E423,1,FALSE()))),"OLD",IF(AND(E424&lt;&gt;"",E424&lt;&gt;"!!!"),"NEW","")))</f>
        <v/>
      </c>
      <c r="G424" s="11" t="str">
        <f>IF(OR(E424="",E424="!!!"),"",IF(OR(J424=0,AND(J424=1,K424=1),AND(J424=1,I424="SBJ"),AND(J424=1,I424=0)),"?IN_FOCUS",IF(J424&lt;=2,"?ACTIVATED",IF(J424&lt;&gt;"","?FAMILIAR",IF(F424="NEW",IF(ISNA(VLOOKUP(E424,#REF!,1,FALSE())),"?TYPE_IDENTIFIABLE","?REFERENTIAL"),"_")))))</f>
        <v/>
      </c>
      <c r="H424" s="12" t="str">
        <f t="shared" ca="1" si="13"/>
        <v/>
      </c>
      <c r="I424" s="13" t="str">
        <f>IF(OR(E424="",E424="!!!",F424="NEW"),"",INDEX(B$2:B423,-1+SUMPRODUCT(MAX(ROW(E$2:E423)*(E424=E$2:E423)))))</f>
        <v/>
      </c>
      <c r="J424" s="14" t="str">
        <f ca="1">IF(OR(E424="",E424="!!!",F424="NEW"),"",COUNTBLANK(OFFSET(A$1,,,SUMPRODUCT(MAX(ROW(E$2:E424)*(E424=E$2:E424)))))-COUNTBLANK(OFFSET(A$1,,,SUMPRODUCT(MAX(ROW(E$1:E423)*(E424=E$1:E423))))))</f>
        <v/>
      </c>
      <c r="K424" s="14" t="str">
        <f>IF(OR(E424="",E424="!!!",F424="NEW"),"",INDEX(J$1:J423,SUMPRODUCT(MAX(ROW(E$1:E423)*(E424=E$1:E423)))))</f>
        <v/>
      </c>
      <c r="L424" s="15"/>
    </row>
    <row r="425" spans="1:12" x14ac:dyDescent="0.15">
      <c r="A425" s="16" t="s">
        <v>57</v>
      </c>
      <c r="B425" t="s">
        <v>159</v>
      </c>
      <c r="C425" t="s">
        <v>35</v>
      </c>
      <c r="E425" s="9" t="str">
        <f t="shared" si="12"/>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3"/>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x14ac:dyDescent="0.15">
      <c r="A426" s="16" t="s">
        <v>36</v>
      </c>
      <c r="E426" s="9" t="str">
        <f t="shared" si="12"/>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3"/>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x14ac:dyDescent="0.15">
      <c r="A427" s="16" t="s">
        <v>14</v>
      </c>
      <c r="E427" s="9" t="str">
        <f t="shared" si="12"/>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3"/>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x14ac:dyDescent="0.15">
      <c r="A428" s="16" t="s">
        <v>25</v>
      </c>
      <c r="B428" t="s">
        <v>134</v>
      </c>
      <c r="C428" t="s">
        <v>23</v>
      </c>
      <c r="D428" t="s">
        <v>19</v>
      </c>
      <c r="E428" s="9" t="s">
        <v>202</v>
      </c>
      <c r="F428" s="10" t="str">
        <f>IF(OR(E428="",E428="!!!"),"",IF(NOT(ISNA(VLOOKUP(E428,E$1:E427,1,FALSE()))),"OLD",IF(AND(E428&lt;&gt;"",E428&lt;&gt;"!!!"),"NEW","")))</f>
        <v>OLD</v>
      </c>
      <c r="G428" s="11" t="s">
        <v>203</v>
      </c>
      <c r="H428" s="12" t="str">
        <f t="shared" ca="1" si="13"/>
        <v/>
      </c>
      <c r="I428" s="13" t="str">
        <f>IF(OR(E428="",E428="!!!",F428="NEW"),"",INDEX(B$2:B427,-1+SUMPRODUCT(MAX(ROW(E$2:E427)*(E428=E$2:E427)))))</f>
        <v>SBJ</v>
      </c>
      <c r="J428" s="14">
        <f ca="1">IF(OR(E428="",E428="!!!",F428="NEW"),"",COUNTBLANK(OFFSET(A$1,,,SUMPRODUCT(MAX(ROW(E$2:E428)*(E428=E$2:E428)))))-COUNTBLANK(OFFSET(A$1,,,SUMPRODUCT(MAX(ROW(E$1:E427)*(E428=E$1:E427))))))</f>
        <v>2</v>
      </c>
      <c r="K428" s="14">
        <f ca="1">IF(OR(E428="",E428="!!!",F428="NEW"),"",INDEX(J$1:J427,SUMPRODUCT(MAX(ROW(E$1:E427)*(E428=E$1:E427)))))</f>
        <v>16</v>
      </c>
      <c r="L428" s="15"/>
    </row>
    <row r="429" spans="1:12" x14ac:dyDescent="0.15">
      <c r="A429" s="16" t="s">
        <v>101</v>
      </c>
      <c r="E429" s="9" t="str">
        <f t="shared" si="12"/>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3"/>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x14ac:dyDescent="0.15">
      <c r="A430" s="16" t="s">
        <v>51</v>
      </c>
      <c r="E430" s="9" t="str">
        <f t="shared" si="12"/>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3"/>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x14ac:dyDescent="0.15">
      <c r="A431" s="16" t="s">
        <v>24</v>
      </c>
      <c r="E431" s="9" t="str">
        <f t="shared" si="12"/>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ca="1" si="13"/>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ht="56" x14ac:dyDescent="0.15">
      <c r="A432" s="16" t="s">
        <v>62</v>
      </c>
      <c r="B432" t="s">
        <v>58</v>
      </c>
      <c r="C432" t="s">
        <v>64</v>
      </c>
      <c r="D432" t="s">
        <v>19</v>
      </c>
      <c r="E432" s="9"/>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3"/>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t="s">
        <v>225</v>
      </c>
    </row>
    <row r="433" spans="1:12" x14ac:dyDescent="0.15">
      <c r="A433" s="16" t="s">
        <v>30</v>
      </c>
      <c r="E433" s="9" t="str">
        <f t="shared" si="12"/>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3"/>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x14ac:dyDescent="0.15">
      <c r="A434" s="16" t="s">
        <v>102</v>
      </c>
      <c r="E434" s="9" t="str">
        <f t="shared" si="12"/>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3"/>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x14ac:dyDescent="0.15">
      <c r="A435" s="16" t="s">
        <v>27</v>
      </c>
      <c r="E435" s="9" t="str">
        <f t="shared" si="12"/>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3"/>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x14ac:dyDescent="0.15">
      <c r="E436" s="9" t="str">
        <f t="shared" si="12"/>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3"/>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x14ac:dyDescent="0.15">
      <c r="A437" s="16" t="s">
        <v>160</v>
      </c>
      <c r="E437" s="9" t="str">
        <f t="shared" si="12"/>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3"/>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x14ac:dyDescent="0.15">
      <c r="A438" s="16" t="s">
        <v>16</v>
      </c>
      <c r="B438" t="s">
        <v>17</v>
      </c>
      <c r="C438" t="s">
        <v>18</v>
      </c>
      <c r="D438" t="s">
        <v>19</v>
      </c>
      <c r="E438" s="9" t="s">
        <v>199</v>
      </c>
      <c r="F438" s="10" t="str">
        <f>IF(OR(E438="",E438="!!!"),"",IF(NOT(ISNA(VLOOKUP(E438,E$1:E437,1,FALSE()))),"OLD",IF(AND(E438&lt;&gt;"",E438&lt;&gt;"!!!"),"NEW","")))</f>
        <v>OLD</v>
      </c>
      <c r="G438" s="11" t="s">
        <v>208</v>
      </c>
      <c r="H438" s="12" t="str">
        <f t="shared" ca="1" si="13"/>
        <v>CB</v>
      </c>
      <c r="I438" s="13" t="str">
        <f>IF(OR(E438="",E438="!!!",F438="NEW"),"",INDEX(B$2:B437,-1+SUMPRODUCT(MAX(ROW(E$2:E437)*(E438=E$2:E437)))))</f>
        <v>SBJ</v>
      </c>
      <c r="J438" s="14">
        <f ca="1">IF(OR(E438="",E438="!!!",F438="NEW"),"",COUNTBLANK(OFFSET(A$1,,,SUMPRODUCT(MAX(ROW(E$2:E438)*(E438=E$2:E438)))))-COUNTBLANK(OFFSET(A$1,,,SUMPRODUCT(MAX(ROW(E$1:E437)*(E438=E$1:E437))))))</f>
        <v>1</v>
      </c>
      <c r="K438" s="14">
        <f ca="1">IF(OR(E438="",E438="!!!",F438="NEW"),"",INDEX(J$1:J437,SUMPRODUCT(MAX(ROW(E$1:E437)*(E438=E$1:E437)))))</f>
        <v>2</v>
      </c>
      <c r="L438" s="15"/>
    </row>
    <row r="439" spans="1:12" x14ac:dyDescent="0.15">
      <c r="A439" s="16" t="s">
        <v>93</v>
      </c>
      <c r="E439" s="9" t="str">
        <f t="shared" si="12"/>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ca="1" si="13"/>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x14ac:dyDescent="0.15">
      <c r="A440" s="16" t="s">
        <v>14</v>
      </c>
      <c r="E440" s="9" t="str">
        <f t="shared" si="12"/>
        <v/>
      </c>
      <c r="F440" s="10" t="str">
        <f>IF(OR(E440="",E440="!!!"),"",IF(NOT(ISNA(VLOOKUP(E440,E$1:E439,1,FALSE()))),"OLD",IF(AND(E440&lt;&gt;"",E440&lt;&gt;"!!!"),"NEW","")))</f>
        <v/>
      </c>
      <c r="G440" s="11" t="str">
        <f>IF(OR(E440="",E440="!!!"),"",IF(OR(J440=0,AND(J440=1,K440=1),AND(J440=1,I440="SBJ"),AND(J440=1,I440=0)),"?IN_FOCUS",IF(J440&lt;=2,"?ACTIVATED",IF(J440&lt;&gt;"","?FAMILIAR",IF(F440="NEW",IF(ISNA(VLOOKUP(E440,#REF!,1,FALSE())),"?TYPE_IDENTIFIABLE","?REFERENTIAL"),"_")))))</f>
        <v/>
      </c>
      <c r="H440" s="12" t="str">
        <f t="shared" ca="1" si="13"/>
        <v/>
      </c>
      <c r="I440" s="13" t="str">
        <f>IF(OR(E440="",E440="!!!",F440="NEW"),"",INDEX(B$2:B439,-1+SUMPRODUCT(MAX(ROW(E$2:E439)*(E440=E$2:E439)))))</f>
        <v/>
      </c>
      <c r="J440" s="14" t="str">
        <f ca="1">IF(OR(E440="",E440="!!!",F440="NEW"),"",COUNTBLANK(OFFSET(A$1,,,SUMPRODUCT(MAX(ROW(E$2:E440)*(E440=E$2:E440)))))-COUNTBLANK(OFFSET(A$1,,,SUMPRODUCT(MAX(ROW(E$1:E439)*(E440=E$1:E439))))))</f>
        <v/>
      </c>
      <c r="K440" s="14" t="str">
        <f>IF(OR(E440="",E440="!!!",F440="NEW"),"",INDEX(J$1:J439,SUMPRODUCT(MAX(ROW(E$1:E439)*(E440=E$1:E439)))))</f>
        <v/>
      </c>
      <c r="L440" s="15"/>
    </row>
    <row r="441" spans="1:12" x14ac:dyDescent="0.15">
      <c r="A441" s="16" t="s">
        <v>161</v>
      </c>
      <c r="E441" s="9" t="str">
        <f t="shared" si="12"/>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3"/>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x14ac:dyDescent="0.15">
      <c r="A442" s="16" t="s">
        <v>162</v>
      </c>
      <c r="E442" s="9" t="str">
        <f t="shared" si="12"/>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3"/>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x14ac:dyDescent="0.15">
      <c r="A443" s="16" t="s">
        <v>151</v>
      </c>
      <c r="B443" t="s">
        <v>22</v>
      </c>
      <c r="C443" t="s">
        <v>163</v>
      </c>
      <c r="D443" t="s">
        <v>19</v>
      </c>
      <c r="E443" s="9" t="s">
        <v>224</v>
      </c>
      <c r="F443" s="10" t="str">
        <f>IF(OR(E443="",E443="!!!"),"",IF(NOT(ISNA(VLOOKUP(E443,E$1:E442,1,FALSE()))),"OLD",IF(AND(E443&lt;&gt;"",E443&lt;&gt;"!!!"),"NEW","")))</f>
        <v>OLD</v>
      </c>
      <c r="G443" s="11" t="s">
        <v>203</v>
      </c>
      <c r="H443" s="12"/>
      <c r="I443" s="13" t="str">
        <f>IF(OR(E443="",E443="!!!",F443="NEW"),"",INDEX(B$2:B442,-1+SUMPRODUCT(MAX(ROW(E$2:E442)*(E443=E$2:E442)))))</f>
        <v>OBJ_5</v>
      </c>
      <c r="J443" s="14">
        <f ca="1">IF(OR(E443="",E443="!!!",F443="NEW"),"",COUNTBLANK(OFFSET(A$1,,,SUMPRODUCT(MAX(ROW(E$2:E443)*(E443=E$2:E443)))))-COUNTBLANK(OFFSET(A$1,,,SUMPRODUCT(MAX(ROW(E$1:E442)*(E443=E$1:E442))))))</f>
        <v>1</v>
      </c>
      <c r="K443" s="14">
        <f ca="1">IF(OR(E443="",E443="!!!",F443="NEW"),"",INDEX(J$1:J442,SUMPRODUCT(MAX(ROW(E$1:E442)*(E443=E$1:E442)))))</f>
        <v>0</v>
      </c>
      <c r="L443" s="15"/>
    </row>
    <row r="444" spans="1:12" x14ac:dyDescent="0.15">
      <c r="A444" s="16" t="s">
        <v>164</v>
      </c>
      <c r="E444" s="9" t="str">
        <f t="shared" si="12"/>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3"/>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x14ac:dyDescent="0.15">
      <c r="E445" s="9" t="str">
        <f t="shared" si="12"/>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3"/>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x14ac:dyDescent="0.15">
      <c r="A446" s="16" t="s">
        <v>165</v>
      </c>
      <c r="E446" s="9" t="str">
        <f t="shared" si="12"/>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3"/>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x14ac:dyDescent="0.15">
      <c r="A447" s="16" t="s">
        <v>14</v>
      </c>
      <c r="E447" s="9" t="str">
        <f t="shared" si="12"/>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3"/>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x14ac:dyDescent="0.15">
      <c r="A448" s="16" t="s">
        <v>166</v>
      </c>
      <c r="E448" s="9" t="str">
        <f t="shared" si="12"/>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3"/>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x14ac:dyDescent="0.15">
      <c r="A449" s="16" t="s">
        <v>57</v>
      </c>
      <c r="B449" t="s">
        <v>38</v>
      </c>
      <c r="C449" t="s">
        <v>23</v>
      </c>
      <c r="D449" t="s">
        <v>19</v>
      </c>
      <c r="E449" s="9" t="s">
        <v>209</v>
      </c>
      <c r="F449" s="10" t="str">
        <f>IF(OR(E449="",E449="!!!"),"",IF(NOT(ISNA(VLOOKUP(E449,E$1:E448,1,FALSE()))),"OLD",IF(AND(E449&lt;&gt;"",E449&lt;&gt;"!!!"),"NEW","")))</f>
        <v>OLD</v>
      </c>
      <c r="G449" s="11" t="s">
        <v>206</v>
      </c>
      <c r="H449" s="12" t="str">
        <f t="shared" ca="1" si="13"/>
        <v/>
      </c>
      <c r="I449" s="13" t="str">
        <f>IF(OR(E449="",E449="!!!",F449="NEW"),"",INDEX(B$2:B448,-1+SUMPRODUCT(MAX(ROW(E$2:E448)*(E449=E$2:E448)))))</f>
        <v>OBJ</v>
      </c>
      <c r="J449" s="14">
        <f ca="1">IF(OR(E449="",E449="!!!",F449="NEW"),"",COUNTBLANK(OFFSET(A$1,,,SUMPRODUCT(MAX(ROW(E$2:E449)*(E449=E$2:E449)))))-COUNTBLANK(OFFSET(A$1,,,SUMPRODUCT(MAX(ROW(E$1:E448)*(E449=E$1:E448))))))</f>
        <v>14</v>
      </c>
      <c r="K449" s="14">
        <f ca="1">IF(OR(E449="",E449="!!!",F449="NEW"),"",INDEX(J$1:J448,SUMPRODUCT(MAX(ROW(E$1:E448)*(E449=E$1:E448)))))</f>
        <v>1</v>
      </c>
      <c r="L449" s="15"/>
    </row>
    <row r="450" spans="1:12" x14ac:dyDescent="0.15">
      <c r="A450" s="16" t="s">
        <v>111</v>
      </c>
      <c r="E450" s="9" t="str">
        <f t="shared" si="12"/>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3"/>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x14ac:dyDescent="0.15">
      <c r="A451" s="16" t="s">
        <v>167</v>
      </c>
      <c r="E451" s="9" t="str">
        <f t="shared" si="12"/>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3"/>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x14ac:dyDescent="0.15">
      <c r="A452" s="16" t="s">
        <v>14</v>
      </c>
      <c r="E452" s="9" t="str">
        <f t="shared" ref="E452:E515"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5"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x14ac:dyDescent="0.15">
      <c r="A453" s="16" t="s">
        <v>72</v>
      </c>
      <c r="B453" t="s">
        <v>26</v>
      </c>
      <c r="C453" t="s">
        <v>23</v>
      </c>
      <c r="D453" t="s">
        <v>19</v>
      </c>
      <c r="E453" s="9" t="s">
        <v>222</v>
      </c>
      <c r="F453" s="10" t="str">
        <f>IF(OR(E453="",E453="!!!"),"",IF(NOT(ISNA(VLOOKUP(E453,E$1:E452,1,FALSE()))),"OLD",IF(AND(E453&lt;&gt;"",E453&lt;&gt;"!!!"),"NEW","")))</f>
        <v>OLD</v>
      </c>
      <c r="G453" s="11" t="s">
        <v>203</v>
      </c>
      <c r="H453" s="12" t="str">
        <f t="shared" ca="1" si="15"/>
        <v/>
      </c>
      <c r="I453" s="13" t="str">
        <f>IF(OR(E453="",E453="!!!",F453="NEW"),"",INDEX(B$2:B452,-1+SUMPRODUCT(MAX(ROW(E$2:E452)*(E453=E$2:E452)))))</f>
        <v>other_3</v>
      </c>
      <c r="J453" s="14">
        <f ca="1">IF(OR(E453="",E453="!!!",F453="NEW"),"",COUNTBLANK(OFFSET(A$1,,,SUMPRODUCT(MAX(ROW(E$2:E453)*(E453=E$2:E453)))))-COUNTBLANK(OFFSET(A$1,,,SUMPRODUCT(MAX(ROW(E$1:E452)*(E453=E$1:E452))))))</f>
        <v>2</v>
      </c>
      <c r="K453" s="14" t="str">
        <f ca="1">IF(OR(E453="",E453="!!!",F453="NEW"),"",INDEX(J$1:J452,SUMPRODUCT(MAX(ROW(E$1:E452)*(E453=E$1:E452)))))</f>
        <v/>
      </c>
      <c r="L453" s="15"/>
    </row>
    <row r="454" spans="1:12" x14ac:dyDescent="0.15">
      <c r="A454" s="16" t="s">
        <v>50</v>
      </c>
      <c r="E454" s="9" t="str">
        <f t="shared" si="14"/>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5"/>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x14ac:dyDescent="0.15">
      <c r="A455" s="16" t="s">
        <v>24</v>
      </c>
      <c r="E455" s="9" t="str">
        <f t="shared" si="14"/>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5"/>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x14ac:dyDescent="0.15">
      <c r="A456" s="16" t="s">
        <v>14</v>
      </c>
      <c r="E456" s="9" t="str">
        <f t="shared" si="14"/>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x14ac:dyDescent="0.15">
      <c r="A457" s="16" t="s">
        <v>168</v>
      </c>
      <c r="E457" s="9" t="str">
        <f t="shared" si="14"/>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5"/>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x14ac:dyDescent="0.15">
      <c r="A458" s="16" t="s">
        <v>57</v>
      </c>
      <c r="B458" t="s">
        <v>38</v>
      </c>
      <c r="C458" t="s">
        <v>23</v>
      </c>
      <c r="D458" t="s">
        <v>19</v>
      </c>
      <c r="E458" s="9" t="s">
        <v>209</v>
      </c>
      <c r="F458" s="10" t="str">
        <f>IF(OR(E458="",E458="!!!"),"",IF(NOT(ISNA(VLOOKUP(E458,E$1:E457,1,FALSE()))),"OLD",IF(AND(E458&lt;&gt;"",E458&lt;&gt;"!!!"),"NEW","")))</f>
        <v>OLD</v>
      </c>
      <c r="G458" s="11" t="s">
        <v>208</v>
      </c>
      <c r="H458" s="12" t="str">
        <f t="shared" ca="1" si="15"/>
        <v/>
      </c>
      <c r="I458" s="13" t="str">
        <f>IF(OR(E458="",E458="!!!",F458="NEW"),"",INDEX(B$2:B457,-1+SUMPRODUCT(MAX(ROW(E$2:E457)*(E458=E$2:E457)))))</f>
        <v>other</v>
      </c>
      <c r="J458" s="14">
        <f ca="1">IF(OR(E458="",E458="!!!",F458="NEW"),"",COUNTBLANK(OFFSET(A$1,,,SUMPRODUCT(MAX(ROW(E$2:E458)*(E458=E$2:E458)))))-COUNTBLANK(OFFSET(A$1,,,SUMPRODUCT(MAX(ROW(E$1:E457)*(E458=E$1:E457))))))</f>
        <v>0</v>
      </c>
      <c r="K458" s="14">
        <f ca="1">IF(OR(E458="",E458="!!!",F458="NEW"),"",INDEX(J$1:J457,SUMPRODUCT(MAX(ROW(E$1:E457)*(E458=E$1:E457)))))</f>
        <v>14</v>
      </c>
      <c r="L458" s="15"/>
    </row>
    <row r="459" spans="1:12" x14ac:dyDescent="0.15">
      <c r="A459" s="16" t="s">
        <v>111</v>
      </c>
      <c r="E459" s="9" t="str">
        <f t="shared" si="14"/>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ca="1" si="15"/>
        <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x14ac:dyDescent="0.15">
      <c r="A460" s="16" t="s">
        <v>167</v>
      </c>
      <c r="E460" s="9" t="str">
        <f t="shared" si="14"/>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x14ac:dyDescent="0.15">
      <c r="A461" s="16" t="s">
        <v>14</v>
      </c>
      <c r="E461" s="9" t="str">
        <f t="shared" si="14"/>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5"/>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x14ac:dyDescent="0.15">
      <c r="A462" s="16" t="s">
        <v>74</v>
      </c>
      <c r="B462" t="s">
        <v>75</v>
      </c>
      <c r="C462" t="s">
        <v>23</v>
      </c>
      <c r="D462" t="s">
        <v>19</v>
      </c>
      <c r="E462" s="9" t="s">
        <v>223</v>
      </c>
      <c r="F462" s="10" t="str">
        <f>IF(OR(E462="",E462="!!!"),"",IF(NOT(ISNA(VLOOKUP(E462,E$1:E461,1,FALSE()))),"OLD",IF(AND(E462&lt;&gt;"",E462&lt;&gt;"!!!"),"NEW","")))</f>
        <v>OLD</v>
      </c>
      <c r="G462" s="11" t="s">
        <v>203</v>
      </c>
      <c r="H462" s="12" t="str">
        <f t="shared" ca="1" si="15"/>
        <v/>
      </c>
      <c r="I462" s="13" t="str">
        <f>IF(OR(E462="",E462="!!!",F462="NEW"),"",INDEX(B$2:B461,-1+SUMPRODUCT(MAX(ROW(E$2:E461)*(E462=E$2:E461)))))</f>
        <v>other_4</v>
      </c>
      <c r="J462" s="14">
        <f ca="1">IF(OR(E462="",E462="!!!",F462="NEW"),"",COUNTBLANK(OFFSET(A$1,,,SUMPRODUCT(MAX(ROW(E$2:E462)*(E462=E$2:E462)))))-COUNTBLANK(OFFSET(A$1,,,SUMPRODUCT(MAX(ROW(E$1:E461)*(E462=E$1:E461))))))</f>
        <v>2</v>
      </c>
      <c r="K462" s="14" t="str">
        <f ca="1">IF(OR(E462="",E462="!!!",F462="NEW"),"",INDEX(J$1:J461,SUMPRODUCT(MAX(ROW(E$1:E461)*(E462=E$1:E461)))))</f>
        <v/>
      </c>
      <c r="L462" s="15"/>
    </row>
    <row r="463" spans="1:12" x14ac:dyDescent="0.15">
      <c r="A463" s="16" t="s">
        <v>27</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x14ac:dyDescent="0.15">
      <c r="E464" s="9" t="str">
        <f t="shared" si="14"/>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ca="1" si="15"/>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x14ac:dyDescent="0.15">
      <c r="A465" s="16" t="s">
        <v>169</v>
      </c>
      <c r="E465" s="9" t="str">
        <f t="shared" si="14"/>
        <v/>
      </c>
      <c r="F465" s="10" t="str">
        <f>IF(OR(E465="",E465="!!!"),"",IF(NOT(ISNA(VLOOKUP(E465,E$1:E464,1,FALSE()))),"OLD",IF(AND(E465&lt;&gt;"",E465&lt;&gt;"!!!"),"NEW","")))</f>
        <v/>
      </c>
      <c r="G465" s="11" t="str">
        <f>IF(OR(E465="",E465="!!!"),"",IF(OR(J465=0,AND(J465=1,K465=1),AND(J465=1,I465="SBJ"),AND(J465=1,I465=0)),"?IN_FOCUS",IF(J465&lt;=2,"?ACTIVATED",IF(J465&lt;&gt;"","?FAMILIAR",IF(F465="NEW",IF(ISNA(VLOOKUP(E465,#REF!,1,FALSE())),"?TYPE_IDENTIFIABLE","?REFERENTIAL"),"_")))))</f>
        <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x14ac:dyDescent="0.15">
      <c r="A466" s="16" t="s">
        <v>170</v>
      </c>
      <c r="B466" t="s">
        <v>17</v>
      </c>
      <c r="C466" t="s">
        <v>64</v>
      </c>
      <c r="D466" t="s">
        <v>19</v>
      </c>
      <c r="E466" s="9" t="s">
        <v>199</v>
      </c>
      <c r="F466" s="10" t="str">
        <f>IF(OR(E466="",E466="!!!"),"",IF(NOT(ISNA(VLOOKUP(E466,E$1:E465,1,FALSE()))),"OLD",IF(AND(E466&lt;&gt;"",E466&lt;&gt;"!!!"),"NEW","")))</f>
        <v>OLD</v>
      </c>
      <c r="G466" s="11" t="s">
        <v>203</v>
      </c>
      <c r="H466" s="12" t="str">
        <f t="shared" ca="1" si="15"/>
        <v/>
      </c>
      <c r="I466" s="13" t="str">
        <f>IF(OR(E466="",E466="!!!",F466="NEW"),"",INDEX(B$2:B465,-1+SUMPRODUCT(MAX(ROW(E$2:E465)*(E466=E$2:E465)))))</f>
        <v>SBJ</v>
      </c>
      <c r="J466" s="14">
        <f ca="1">IF(OR(E466="",E466="!!!",F466="NEW"),"",COUNTBLANK(OFFSET(A$1,,,SUMPRODUCT(MAX(ROW(E$2:E466)*(E466=E$2:E466)))))-COUNTBLANK(OFFSET(A$1,,,SUMPRODUCT(MAX(ROW(E$1:E465)*(E466=E$1:E465))))))</f>
        <v>2</v>
      </c>
      <c r="K466" s="14">
        <f ca="1">IF(OR(E466="",E466="!!!",F466="NEW"),"",INDEX(J$1:J465,SUMPRODUCT(MAX(ROW(E$1:E465)*(E466=E$1:E465)))))</f>
        <v>1</v>
      </c>
      <c r="L466" s="15"/>
    </row>
    <row r="467" spans="1:12" x14ac:dyDescent="0.15">
      <c r="A467" s="16" t="s">
        <v>171</v>
      </c>
      <c r="E467" s="9" t="str">
        <f t="shared" si="14"/>
        <v/>
      </c>
      <c r="F467" s="10" t="str">
        <f>IF(OR(E467="",E467="!!!"),"",IF(NOT(ISNA(VLOOKUP(E467,E$1:E466,1,FALSE()))),"OLD",IF(AND(E467&lt;&gt;"",E467&lt;&gt;"!!!"),"NEW","")))</f>
        <v/>
      </c>
      <c r="G467" s="11" t="str">
        <f>IF(OR(E467="",E467="!!!"),"",IF(OR(J467=0,AND(J467=1,K467=1),AND(J467=1,I467="SBJ"),AND(J467=1,I467=0)),"?IN_FOCUS",IF(J467&lt;=2,"?ACTIVATED",IF(J467&lt;&gt;"","?FAMILIAR",IF(F467="NEW",IF(ISNA(VLOOKUP(E467,#REF!,1,FALSE())),"?TYPE_IDENTIFIABLE","?REFERENTIAL"),"_")))))</f>
        <v/>
      </c>
      <c r="H467" s="12" t="str">
        <f t="shared" ca="1" si="15"/>
        <v/>
      </c>
      <c r="I467" s="13" t="str">
        <f>IF(OR(E467="",E467="!!!",F467="NEW"),"",INDEX(B$2:B466,-1+SUMPRODUCT(MAX(ROW(E$2:E466)*(E467=E$2:E466)))))</f>
        <v/>
      </c>
      <c r="J467" s="14" t="str">
        <f ca="1">IF(OR(E467="",E467="!!!",F467="NEW"),"",COUNTBLANK(OFFSET(A$1,,,SUMPRODUCT(MAX(ROW(E$2:E467)*(E467=E$2:E467)))))-COUNTBLANK(OFFSET(A$1,,,SUMPRODUCT(MAX(ROW(E$1:E466)*(E467=E$1:E466))))))</f>
        <v/>
      </c>
      <c r="K467" s="14" t="str">
        <f>IF(OR(E467="",E467="!!!",F467="NEW"),"",INDEX(J$1:J466,SUMPRODUCT(MAX(ROW(E$1:E466)*(E467=E$1:E466)))))</f>
        <v/>
      </c>
      <c r="L467" s="15"/>
    </row>
    <row r="468" spans="1:12" x14ac:dyDescent="0.15">
      <c r="A468" s="16" t="s">
        <v>93</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x14ac:dyDescent="0.15">
      <c r="A469" s="16" t="s">
        <v>14</v>
      </c>
      <c r="E469" s="9" t="str">
        <f t="shared" si="14"/>
        <v/>
      </c>
      <c r="F469" s="10" t="str">
        <f>IF(OR(E469="",E469="!!!"),"",IF(NOT(ISNA(VLOOKUP(E469,E$1:E468,1,FALSE()))),"OLD",IF(AND(E469&lt;&gt;"",E469&lt;&gt;"!!!"),"NEW","")))</f>
        <v/>
      </c>
      <c r="G469" s="11" t="str">
        <f>IF(OR(E469="",E469="!!!"),"",IF(OR(J469=0,AND(J469=1,K469=1),AND(J469=1,I469="SBJ"),AND(J469=1,I469=0)),"?IN_FOCUS",IF(J469&lt;=2,"?ACTIVATED",IF(J469&lt;&gt;"","?FAMILIAR",IF(F469="NEW",IF(ISNA(VLOOKUP(E469,#REF!,1,FALSE())),"?TYPE_IDENTIFIABLE","?REFERENTIAL"),"_")))))</f>
        <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x14ac:dyDescent="0.15">
      <c r="A470" s="16" t="s">
        <v>172</v>
      </c>
      <c r="B470" t="s">
        <v>22</v>
      </c>
      <c r="C470" t="s">
        <v>23</v>
      </c>
      <c r="D470" t="s">
        <v>19</v>
      </c>
      <c r="E470" s="9" t="s">
        <v>226</v>
      </c>
      <c r="F470" s="10" t="str">
        <f>IF(OR(E470="",E470="!!!"),"",IF(NOT(ISNA(VLOOKUP(E470,E$1:E469,1,FALSE()))),"OLD",IF(AND(E470&lt;&gt;"",E470&lt;&gt;"!!!"),"NEW","")))</f>
        <v>NEW</v>
      </c>
      <c r="G470" s="11" t="s">
        <v>200</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x14ac:dyDescent="0.15">
      <c r="A471" s="16" t="s">
        <v>27</v>
      </c>
      <c r="E471" s="9" t="str">
        <f t="shared" si="14"/>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5"/>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x14ac:dyDescent="0.15">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x14ac:dyDescent="0.15">
      <c r="A473" s="16" t="s">
        <v>173</v>
      </c>
      <c r="E473" s="9" t="str">
        <f t="shared" si="14"/>
        <v/>
      </c>
      <c r="F473" s="10" t="str">
        <f>IF(OR(E473="",E473="!!!"),"",IF(NOT(ISNA(VLOOKUP(E473,E$1:E472,1,FALSE()))),"OLD",IF(AND(E473&lt;&gt;"",E473&lt;&gt;"!!!"),"NEW","")))</f>
        <v/>
      </c>
      <c r="G473" s="11" t="str">
        <f>IF(OR(E473="",E473="!!!"),"",IF(OR(J473=0,AND(J473=1,K473=1),AND(J473=1,I473="SBJ"),AND(J473=1,I473=0)),"?IN_FOCUS",IF(J473&lt;=2,"?ACTIVATED",IF(J473&lt;&gt;"","?FAMILIAR",IF(F473="NEW",IF(ISNA(VLOOKUP(E473,#REF!,1,FALSE())),"?TYPE_IDENTIFIABLE","?REFERENTIAL"),"_")))))</f>
        <v/>
      </c>
      <c r="H473" s="12" t="str">
        <f t="shared" ca="1" si="15"/>
        <v/>
      </c>
      <c r="I473" s="13" t="str">
        <f>IF(OR(E473="",E473="!!!",F473="NEW"),"",INDEX(B$2:B472,-1+SUMPRODUCT(MAX(ROW(E$2:E472)*(E473=E$2:E472)))))</f>
        <v/>
      </c>
      <c r="J473" s="14" t="str">
        <f ca="1">IF(OR(E473="",E473="!!!",F473="NEW"),"",COUNTBLANK(OFFSET(A$1,,,SUMPRODUCT(MAX(ROW(E$2:E473)*(E473=E$2:E473)))))-COUNTBLANK(OFFSET(A$1,,,SUMPRODUCT(MAX(ROW(E$1:E472)*(E473=E$1:E472))))))</f>
        <v/>
      </c>
      <c r="K473" s="14" t="str">
        <f>IF(OR(E473="",E473="!!!",F473="NEW"),"",INDEX(J$1:J472,SUMPRODUCT(MAX(ROW(E$1:E472)*(E473=E$1:E472)))))</f>
        <v/>
      </c>
      <c r="L473" s="15"/>
    </row>
    <row r="474" spans="1:12" x14ac:dyDescent="0.15">
      <c r="A474" s="16" t="s">
        <v>16</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x14ac:dyDescent="0.15">
      <c r="A475" s="16" t="s">
        <v>174</v>
      </c>
      <c r="E475" s="9" t="str">
        <f t="shared" si="14"/>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x14ac:dyDescent="0.15">
      <c r="A476" s="16" t="s">
        <v>152</v>
      </c>
      <c r="B476" t="s">
        <v>22</v>
      </c>
      <c r="C476" t="s">
        <v>64</v>
      </c>
      <c r="D476" t="s">
        <v>19</v>
      </c>
      <c r="E476" s="9" t="s">
        <v>224</v>
      </c>
      <c r="F476" s="10" t="str">
        <f>IF(OR(E476="",E476="!!!"),"",IF(NOT(ISNA(VLOOKUP(E476,E$1:E475,1,FALSE()))),"OLD",IF(AND(E476&lt;&gt;"",E476&lt;&gt;"!!!"),"NEW","")))</f>
        <v>OLD</v>
      </c>
      <c r="G476" s="11" t="s">
        <v>206</v>
      </c>
      <c r="H476" s="12" t="str">
        <f t="shared" ca="1" si="15"/>
        <v/>
      </c>
      <c r="I476" s="13" t="str">
        <f>IF(OR(E476="",E476="!!!",F476="NEW"),"",INDEX(B$2:B475,-1+SUMPRODUCT(MAX(ROW(E$2:E475)*(E476=E$2:E475)))))</f>
        <v>OBJ</v>
      </c>
      <c r="J476" s="14">
        <f ca="1">IF(OR(E476="",E476="!!!",F476="NEW"),"",COUNTBLANK(OFFSET(A$1,,,SUMPRODUCT(MAX(ROW(E$2:E476)*(E476=E$2:E476)))))-COUNTBLANK(OFFSET(A$1,,,SUMPRODUCT(MAX(ROW(E$1:E475)*(E476=E$1:E475))))))</f>
        <v>3</v>
      </c>
      <c r="K476" s="14">
        <f ca="1">IF(OR(E476="",E476="!!!",F476="NEW"),"",INDEX(J$1:J475,SUMPRODUCT(MAX(ROW(E$1:E475)*(E476=E$1:E475)))))</f>
        <v>1</v>
      </c>
      <c r="L476" s="15"/>
    </row>
    <row r="477" spans="1:12" x14ac:dyDescent="0.15">
      <c r="A477" s="16" t="s">
        <v>87</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x14ac:dyDescent="0.15">
      <c r="A478" s="16" t="s">
        <v>14</v>
      </c>
      <c r="E478" s="9" t="str">
        <f t="shared" si="14"/>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5"/>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x14ac:dyDescent="0.15">
      <c r="A479" s="16" t="s">
        <v>85</v>
      </c>
      <c r="B479" t="s">
        <v>38</v>
      </c>
      <c r="C479" t="s">
        <v>23</v>
      </c>
      <c r="D479" t="s">
        <v>19</v>
      </c>
      <c r="E479" s="9" t="s">
        <v>211</v>
      </c>
      <c r="F479" s="10" t="str">
        <f>IF(OR(E479="",E479="!!!"),"",IF(NOT(ISNA(VLOOKUP(E479,E$1:E478,1,FALSE()))),"OLD",IF(AND(E479&lt;&gt;"",E479&lt;&gt;"!!!"),"NEW","")))</f>
        <v>OLD</v>
      </c>
      <c r="G479" s="11" t="s">
        <v>206</v>
      </c>
      <c r="H479" s="12" t="str">
        <f t="shared" ca="1" si="15"/>
        <v/>
      </c>
      <c r="I479" s="13" t="str">
        <f>IF(OR(E479="",E479="!!!",F479="NEW"),"",INDEX(B$2:B478,-1+SUMPRODUCT(MAX(ROW(E$2:E478)*(E479=E$2:E478)))))</f>
        <v>other_6</v>
      </c>
      <c r="J479" s="14">
        <f ca="1">IF(OR(E479="",E479="!!!",F479="NEW"),"",COUNTBLANK(OFFSET(A$1,,,SUMPRODUCT(MAX(ROW(E$2:E479)*(E479=E$2:E479)))))-COUNTBLANK(OFFSET(A$1,,,SUMPRODUCT(MAX(ROW(E$1:E478)*(E479=E$1:E478))))))</f>
        <v>4</v>
      </c>
      <c r="K479" s="14">
        <f ca="1">IF(OR(E479="",E479="!!!",F479="NEW"),"",INDEX(J$1:J478,SUMPRODUCT(MAX(ROW(E$1:E478)*(E479=E$1:E478)))))</f>
        <v>0</v>
      </c>
      <c r="L479" s="15"/>
    </row>
    <row r="480" spans="1:12" x14ac:dyDescent="0.15">
      <c r="A480" s="16" t="s">
        <v>39</v>
      </c>
      <c r="E480" s="9" t="str">
        <f t="shared" si="14"/>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x14ac:dyDescent="0.15">
      <c r="A481" s="16" t="s">
        <v>104</v>
      </c>
      <c r="B481" t="s">
        <v>26</v>
      </c>
      <c r="C481" t="s">
        <v>35</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x14ac:dyDescent="0.15">
      <c r="A482" s="16" t="s">
        <v>111</v>
      </c>
      <c r="E482" s="9" t="str">
        <f t="shared" si="14"/>
        <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5"/>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row>
    <row r="483" spans="1:12" x14ac:dyDescent="0.15">
      <c r="A483" s="16" t="s">
        <v>158</v>
      </c>
      <c r="E483" s="9" t="str">
        <f t="shared" si="14"/>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ca="1" si="15"/>
        <v/>
      </c>
      <c r="I483" s="13" t="str">
        <f>IF(OR(E483="",E483="!!!",F483="NEW"),"",INDEX(B$2:B482,-1+SUMPRODUCT(MAX(ROW(E$2:E482)*(E483=E$2:E482)))))</f>
        <v/>
      </c>
      <c r="J483" s="14" t="str">
        <f ca="1">IF(OR(E483="",E483="!!!",F483="NEW"),"",COUNTBLANK(OFFSET(A$1,,,SUMPRODUCT(MAX(ROW(E$2:E483)*(E483=E$2:E483)))))-COUNTBLANK(OFFSET(A$1,,,SUMPRODUCT(MAX(ROW(E$1:E482)*(E483=E$1:E482))))))</f>
        <v/>
      </c>
      <c r="K483" s="14" t="str">
        <f>IF(OR(E483="",E483="!!!",F483="NEW"),"",INDEX(J$1:J482,SUMPRODUCT(MAX(ROW(E$1:E482)*(E483=E$1:E482)))))</f>
        <v/>
      </c>
      <c r="L483" s="15"/>
    </row>
    <row r="484" spans="1:12" x14ac:dyDescent="0.15">
      <c r="A484" s="16" t="s">
        <v>57</v>
      </c>
      <c r="B484" t="s">
        <v>54</v>
      </c>
      <c r="C484" t="s">
        <v>35</v>
      </c>
      <c r="E484" s="9" t="str">
        <f t="shared" si="14"/>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5"/>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x14ac:dyDescent="0.15">
      <c r="A485" s="16" t="s">
        <v>111</v>
      </c>
      <c r="E485" s="9" t="str">
        <f t="shared" si="14"/>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x14ac:dyDescent="0.15">
      <c r="A486" s="16" t="s">
        <v>14</v>
      </c>
      <c r="E486" s="9" t="str">
        <f t="shared" si="14"/>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ca="1" si="15"/>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x14ac:dyDescent="0.15">
      <c r="A487" s="16" t="s">
        <v>25</v>
      </c>
      <c r="B487" t="s">
        <v>26</v>
      </c>
      <c r="C487" t="s">
        <v>23</v>
      </c>
      <c r="D487" t="s">
        <v>19</v>
      </c>
      <c r="E487" s="9" t="s">
        <v>202</v>
      </c>
      <c r="F487" s="10" t="str">
        <f>IF(OR(E487="",E487="!!!"),"",IF(NOT(ISNA(VLOOKUP(E487,E$1:E486,1,FALSE()))),"OLD",IF(AND(E487&lt;&gt;"",E487&lt;&gt;"!!!"),"NEW","")))</f>
        <v>OLD</v>
      </c>
      <c r="G487" s="11" t="s">
        <v>206</v>
      </c>
      <c r="H487" s="12" t="str">
        <f t="shared" ca="1" si="15"/>
        <v/>
      </c>
      <c r="I487" s="13" t="str">
        <f>IF(OR(E487="",E487="!!!",F487="NEW"),"",INDEX(B$2:B486,-1+SUMPRODUCT(MAX(ROW(E$2:E486)*(E487=E$2:E486)))))</f>
        <v>other_7</v>
      </c>
      <c r="J487" s="14">
        <f ca="1">IF(OR(E487="",E487="!!!",F487="NEW"),"",COUNTBLANK(OFFSET(A$1,,,SUMPRODUCT(MAX(ROW(E$2:E487)*(E487=E$2:E487)))))-COUNTBLANK(OFFSET(A$1,,,SUMPRODUCT(MAX(ROW(E$1:E486)*(E487=E$1:E486))))))</f>
        <v>4</v>
      </c>
      <c r="K487" s="14">
        <f ca="1">IF(OR(E487="",E487="!!!",F487="NEW"),"",INDEX(J$1:J486,SUMPRODUCT(MAX(ROW(E$1:E486)*(E487=E$1:E486)))))</f>
        <v>2</v>
      </c>
      <c r="L487" s="15"/>
    </row>
    <row r="488" spans="1:12" x14ac:dyDescent="0.15">
      <c r="A488" s="16" t="s">
        <v>50</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x14ac:dyDescent="0.15">
      <c r="A489" s="16" t="s">
        <v>24</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x14ac:dyDescent="0.15">
      <c r="A490" s="16" t="s">
        <v>111</v>
      </c>
      <c r="E490" s="9" t="str">
        <f t="shared" si="14"/>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x14ac:dyDescent="0.15">
      <c r="A491" s="16" t="s">
        <v>167</v>
      </c>
      <c r="E491" s="9" t="str">
        <f t="shared" si="14"/>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x14ac:dyDescent="0.15">
      <c r="A492" s="16" t="s">
        <v>45</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x14ac:dyDescent="0.15">
      <c r="A493" s="16" t="s">
        <v>14</v>
      </c>
      <c r="E493" s="9" t="str">
        <f t="shared" si="14"/>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x14ac:dyDescent="0.15">
      <c r="A494" s="16" t="s">
        <v>72</v>
      </c>
      <c r="B494" t="s">
        <v>26</v>
      </c>
      <c r="C494" t="s">
        <v>23</v>
      </c>
      <c r="D494" t="s">
        <v>19</v>
      </c>
      <c r="E494" s="9" t="s">
        <v>222</v>
      </c>
      <c r="F494" s="10" t="str">
        <f>IF(OR(E494="",E494="!!!"),"",IF(NOT(ISNA(VLOOKUP(E494,E$1:E493,1,FALSE()))),"OLD",IF(AND(E494&lt;&gt;"",E494&lt;&gt;"!!!"),"NEW","")))</f>
        <v>OLD</v>
      </c>
      <c r="G494" s="11" t="s">
        <v>203</v>
      </c>
      <c r="H494" s="12" t="str">
        <f t="shared" ca="1" si="15"/>
        <v/>
      </c>
      <c r="I494" s="13" t="str">
        <f>IF(OR(E494="",E494="!!!",F494="NEW"),"",INDEX(B$2:B493,-1+SUMPRODUCT(MAX(ROW(E$2:E493)*(E494=E$2:E493)))))</f>
        <v>other_2</v>
      </c>
      <c r="J494" s="14">
        <f ca="1">IF(OR(E494="",E494="!!!",F494="NEW"),"",COUNTBLANK(OFFSET(A$1,,,SUMPRODUCT(MAX(ROW(E$2:E494)*(E494=E$2:E494)))))-COUNTBLANK(OFFSET(A$1,,,SUMPRODUCT(MAX(ROW(E$1:E493)*(E494=E$1:E493))))))</f>
        <v>2</v>
      </c>
      <c r="K494" s="14">
        <f ca="1">IF(OR(E494="",E494="!!!",F494="NEW"),"",INDEX(J$1:J493,SUMPRODUCT(MAX(ROW(E$1:E493)*(E494=E$1:E493)))))</f>
        <v>2</v>
      </c>
      <c r="L494" s="15"/>
    </row>
    <row r="495" spans="1:12" x14ac:dyDescent="0.15">
      <c r="A495" s="16" t="s">
        <v>24</v>
      </c>
      <c r="E495" s="9" t="str">
        <f t="shared" si="14"/>
        <v/>
      </c>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row>
    <row r="496" spans="1:12" x14ac:dyDescent="0.15">
      <c r="A496" s="16" t="s">
        <v>45</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x14ac:dyDescent="0.15">
      <c r="A497" s="16" t="s">
        <v>14</v>
      </c>
      <c r="E497" s="9" t="str">
        <f t="shared" si="14"/>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5"/>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x14ac:dyDescent="0.15">
      <c r="A498" s="16" t="s">
        <v>74</v>
      </c>
      <c r="B498" t="s">
        <v>75</v>
      </c>
      <c r="C498" t="s">
        <v>23</v>
      </c>
      <c r="D498" t="s">
        <v>19</v>
      </c>
      <c r="E498" s="9" t="s">
        <v>223</v>
      </c>
      <c r="F498" s="10" t="str">
        <f>IF(OR(E498="",E498="!!!"),"",IF(NOT(ISNA(VLOOKUP(E498,E$1:E497,1,FALSE()))),"OLD",IF(AND(E498&lt;&gt;"",E498&lt;&gt;"!!!"),"NEW","")))</f>
        <v>OLD</v>
      </c>
      <c r="G498" s="11" t="s">
        <v>203</v>
      </c>
      <c r="H498" s="12" t="str">
        <f t="shared" ca="1" si="15"/>
        <v/>
      </c>
      <c r="I498" s="13" t="str">
        <f>IF(OR(E498="",E498="!!!",F498="NEW"),"",INDEX(B$2:B497,-1+SUMPRODUCT(MAX(ROW(E$2:E497)*(E498=E$2:E497)))))</f>
        <v>other_3</v>
      </c>
      <c r="J498" s="14">
        <f ca="1">IF(OR(E498="",E498="!!!",F498="NEW"),"",COUNTBLANK(OFFSET(A$1,,,SUMPRODUCT(MAX(ROW(E$2:E498)*(E498=E$2:E498)))))-COUNTBLANK(OFFSET(A$1,,,SUMPRODUCT(MAX(ROW(E$1:E497)*(E498=E$1:E497))))))</f>
        <v>2</v>
      </c>
      <c r="K498" s="14">
        <f ca="1">IF(OR(E498="",E498="!!!",F498="NEW"),"",INDEX(J$1:J497,SUMPRODUCT(MAX(ROW(E$1:E497)*(E498=E$1:E497)))))</f>
        <v>2</v>
      </c>
      <c r="L498" s="15"/>
    </row>
    <row r="499" spans="1:12" x14ac:dyDescent="0.15">
      <c r="A499" s="16" t="s">
        <v>50</v>
      </c>
      <c r="E499" s="9" t="str">
        <f t="shared" si="14"/>
        <v/>
      </c>
      <c r="F499" s="10" t="str">
        <f>IF(OR(E499="",E499="!!!"),"",IF(NOT(ISNA(VLOOKUP(E499,E$1:E498,1,FALSE()))),"OLD",IF(AND(E499&lt;&gt;"",E499&lt;&gt;"!!!"),"NEW","")))</f>
        <v/>
      </c>
      <c r="G499" s="11" t="str">
        <f>IF(OR(E499="",E499="!!!"),"",IF(OR(J499=0,AND(J499=1,K499=1),AND(J499=1,I499="SBJ"),AND(J499=1,I499=0)),"?IN_FOCUS",IF(J499&lt;=2,"?ACTIVATED",IF(J499&lt;&gt;"","?FAMILIAR",IF(F499="NEW",IF(ISNA(VLOOKUP(E499,#REF!,1,FALSE())),"?TYPE_IDENTIFIABLE","?REFERENTIAL"),"_")))))</f>
        <v/>
      </c>
      <c r="H499" s="12" t="str">
        <f t="shared" ca="1" si="15"/>
        <v/>
      </c>
      <c r="I499" s="13" t="str">
        <f>IF(OR(E499="",E499="!!!",F499="NEW"),"",INDEX(B$2:B498,-1+SUMPRODUCT(MAX(ROW(E$2:E498)*(E499=E$2:E498)))))</f>
        <v/>
      </c>
      <c r="J499" s="14" t="str">
        <f ca="1">IF(OR(E499="",E499="!!!",F499="NEW"),"",COUNTBLANK(OFFSET(A$1,,,SUMPRODUCT(MAX(ROW(E$2:E499)*(E499=E$2:E499)))))-COUNTBLANK(OFFSET(A$1,,,SUMPRODUCT(MAX(ROW(E$1:E498)*(E499=E$1:E498))))))</f>
        <v/>
      </c>
      <c r="K499" s="14" t="str">
        <f>IF(OR(E499="",E499="!!!",F499="NEW"),"",INDEX(J$1:J498,SUMPRODUCT(MAX(ROW(E$1:E498)*(E499=E$1:E498)))))</f>
        <v/>
      </c>
      <c r="L499" s="15"/>
    </row>
    <row r="500" spans="1:12" x14ac:dyDescent="0.15">
      <c r="A500" s="16" t="s">
        <v>24</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x14ac:dyDescent="0.15">
      <c r="A501" s="16" t="s">
        <v>111</v>
      </c>
      <c r="E501" s="9" t="str">
        <f t="shared" si="14"/>
        <v/>
      </c>
      <c r="F501" s="10" t="str">
        <f>IF(OR(E501="",E501="!!!"),"",IF(NOT(ISNA(VLOOKUP(E501,E$1:E500,1,FALSE()))),"OLD",IF(AND(E501&lt;&gt;"",E501&lt;&gt;"!!!"),"NEW","")))</f>
        <v/>
      </c>
      <c r="G501" s="11" t="str">
        <f>IF(OR(E501="",E501="!!!"),"",IF(OR(J501=0,AND(J501=1,K501=1),AND(J501=1,I501="SBJ"),AND(J501=1,I501=0)),"?IN_FOCUS",IF(J501&lt;=2,"?ACTIVATED",IF(J501&lt;&gt;"","?FAMILIAR",IF(F501="NEW",IF(ISNA(VLOOKUP(E501,#REF!,1,FALSE())),"?TYPE_IDENTIFIABLE","?REFERENTIAL"),"_")))))</f>
        <v/>
      </c>
      <c r="H501" s="12" t="str">
        <f t="shared" ca="1" si="15"/>
        <v/>
      </c>
      <c r="I501" s="13" t="str">
        <f>IF(OR(E501="",E501="!!!",F501="NEW"),"",INDEX(B$2:B500,-1+SUMPRODUCT(MAX(ROW(E$2:E500)*(E501=E$2:E500)))))</f>
        <v/>
      </c>
      <c r="J501" s="14" t="str">
        <f ca="1">IF(OR(E501="",E501="!!!",F501="NEW"),"",COUNTBLANK(OFFSET(A$1,,,SUMPRODUCT(MAX(ROW(E$2:E501)*(E501=E$2:E501)))))-COUNTBLANK(OFFSET(A$1,,,SUMPRODUCT(MAX(ROW(E$1:E500)*(E501=E$1:E500))))))</f>
        <v/>
      </c>
      <c r="K501" s="14" t="str">
        <f>IF(OR(E501="",E501="!!!",F501="NEW"),"",INDEX(J$1:J500,SUMPRODUCT(MAX(ROW(E$1:E500)*(E501=E$1:E500)))))</f>
        <v/>
      </c>
      <c r="L501" s="15"/>
    </row>
    <row r="502" spans="1:12" x14ac:dyDescent="0.15">
      <c r="A502" s="16" t="s">
        <v>90</v>
      </c>
      <c r="E502" s="9" t="str">
        <f t="shared" si="14"/>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5"/>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x14ac:dyDescent="0.15">
      <c r="A503" s="16" t="s">
        <v>14</v>
      </c>
      <c r="E503" s="9" t="str">
        <f t="shared" si="14"/>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x14ac:dyDescent="0.15">
      <c r="A504" s="16" t="s">
        <v>57</v>
      </c>
      <c r="B504" t="s">
        <v>54</v>
      </c>
      <c r="C504" t="s">
        <v>23</v>
      </c>
      <c r="D504" t="s">
        <v>19</v>
      </c>
      <c r="E504" s="9" t="s">
        <v>222</v>
      </c>
      <c r="F504" s="10" t="str">
        <f>IF(OR(E504="",E504="!!!"),"",IF(NOT(ISNA(VLOOKUP(E504,E$1:E503,1,FALSE()))),"OLD",IF(AND(E504&lt;&gt;"",E504&lt;&gt;"!!!"),"NEW","")))</f>
        <v>OLD</v>
      </c>
      <c r="G504" s="11" t="s">
        <v>203</v>
      </c>
      <c r="H504" s="12" t="str">
        <f t="shared" ca="1" si="15"/>
        <v/>
      </c>
      <c r="I504" s="13" t="str">
        <f>IF(OR(E504="",E504="!!!",F504="NEW"),"",INDEX(B$2:B503,-1+SUMPRODUCT(MAX(ROW(E$2:E503)*(E504=E$2:E503)))))</f>
        <v>other_2</v>
      </c>
      <c r="J504" s="14">
        <f ca="1">IF(OR(E504="",E504="!!!",F504="NEW"),"",COUNTBLANK(OFFSET(A$1,,,SUMPRODUCT(MAX(ROW(E$2:E504)*(E504=E$2:E504)))))-COUNTBLANK(OFFSET(A$1,,,SUMPRODUCT(MAX(ROW(E$1:E503)*(E504=E$1:E503))))))</f>
        <v>0</v>
      </c>
      <c r="K504" s="14">
        <f ca="1">IF(OR(E504="",E504="!!!",F504="NEW"),"",INDEX(J$1:J503,SUMPRODUCT(MAX(ROW(E$1:E503)*(E504=E$1:E503)))))</f>
        <v>2</v>
      </c>
      <c r="L504" s="15"/>
    </row>
    <row r="505" spans="1:12" x14ac:dyDescent="0.15">
      <c r="A505" s="16" t="s">
        <v>68</v>
      </c>
      <c r="E505" s="9" t="str">
        <f t="shared" si="14"/>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15"/>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x14ac:dyDescent="0.15">
      <c r="A506" s="16" t="s">
        <v>14</v>
      </c>
      <c r="E506" s="9" t="str">
        <f t="shared" si="14"/>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x14ac:dyDescent="0.15">
      <c r="A507" s="16" t="s">
        <v>69</v>
      </c>
      <c r="B507" t="s">
        <v>26</v>
      </c>
      <c r="C507" t="s">
        <v>23</v>
      </c>
      <c r="D507" t="s">
        <v>19</v>
      </c>
      <c r="E507" s="9" t="s">
        <v>223</v>
      </c>
      <c r="F507" s="10" t="str">
        <f>IF(OR(E507="",E507="!!!"),"",IF(NOT(ISNA(VLOOKUP(E507,E$1:E506,1,FALSE()))),"OLD",IF(AND(E507&lt;&gt;"",E507&lt;&gt;"!!!"),"NEW","")))</f>
        <v>OLD</v>
      </c>
      <c r="G507" s="11" t="s">
        <v>208</v>
      </c>
      <c r="H507" s="12" t="str">
        <f t="shared" ca="1" si="15"/>
        <v/>
      </c>
      <c r="I507" s="13" t="str">
        <f>IF(OR(E507="",E507="!!!",F507="NEW"),"",INDEX(B$2:B506,-1+SUMPRODUCT(MAX(ROW(E$2:E506)*(E507=E$2:E506)))))</f>
        <v>other_3</v>
      </c>
      <c r="J507" s="14">
        <f ca="1">IF(OR(E507="",E507="!!!",F507="NEW"),"",COUNTBLANK(OFFSET(A$1,,,SUMPRODUCT(MAX(ROW(E$2:E507)*(E507=E$2:E507)))))-COUNTBLANK(OFFSET(A$1,,,SUMPRODUCT(MAX(ROW(E$1:E506)*(E507=E$1:E506))))))</f>
        <v>0</v>
      </c>
      <c r="K507" s="14">
        <f ca="1">IF(OR(E507="",E507="!!!",F507="NEW"),"",INDEX(J$1:J506,SUMPRODUCT(MAX(ROW(E$1:E506)*(E507=E$1:E506)))))</f>
        <v>2</v>
      </c>
      <c r="L507" s="15"/>
    </row>
    <row r="508" spans="1:12" x14ac:dyDescent="0.15">
      <c r="A508" s="16" t="s">
        <v>27</v>
      </c>
      <c r="E508" s="9" t="str">
        <f t="shared" si="14"/>
        <v/>
      </c>
      <c r="F508" s="10" t="str">
        <f>IF(OR(E508="",E508="!!!"),"",IF(NOT(ISNA(VLOOKUP(E508,E$1:E507,1,FALSE()))),"OLD",IF(AND(E508&lt;&gt;"",E508&lt;&gt;"!!!"),"NEW","")))</f>
        <v/>
      </c>
      <c r="G508" s="11" t="str">
        <f>IF(OR(E508="",E508="!!!"),"",IF(OR(J508=0,AND(J508=1,K508=1),AND(J508=1,I508="SBJ"),AND(J508=1,I508=0)),"?IN_FOCUS",IF(J508&lt;=2,"?ACTIVATED",IF(J508&lt;&gt;"","?FAMILIAR",IF(F508="NEW",IF(ISNA(VLOOKUP(E508,#REF!,1,FALSE())),"?TYPE_IDENTIFIABLE","?REFERENTIAL"),"_")))))</f>
        <v/>
      </c>
      <c r="H508" s="12" t="str">
        <f t="shared" ca="1" si="15"/>
        <v/>
      </c>
      <c r="I508" s="13" t="str">
        <f>IF(OR(E508="",E508="!!!",F508="NEW"),"",INDEX(B$2:B507,-1+SUMPRODUCT(MAX(ROW(E$2:E507)*(E508=E$2:E507)))))</f>
        <v/>
      </c>
      <c r="J508" s="14" t="str">
        <f ca="1">IF(OR(E508="",E508="!!!",F508="NEW"),"",COUNTBLANK(OFFSET(A$1,,,SUMPRODUCT(MAX(ROW(E$2:E508)*(E508=E$2:E508)))))-COUNTBLANK(OFFSET(A$1,,,SUMPRODUCT(MAX(ROW(E$1:E507)*(E508=E$1:E507))))))</f>
        <v/>
      </c>
      <c r="K508" s="14" t="str">
        <f>IF(OR(E508="",E508="!!!",F508="NEW"),"",INDEX(J$1:J507,SUMPRODUCT(MAX(ROW(E$1:E507)*(E508=E$1:E507)))))</f>
        <v/>
      </c>
      <c r="L508" s="15"/>
    </row>
    <row r="509" spans="1:12" x14ac:dyDescent="0.15">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x14ac:dyDescent="0.15">
      <c r="A510" s="16" t="s">
        <v>119</v>
      </c>
      <c r="E510" s="9" t="str">
        <f t="shared" si="14"/>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x14ac:dyDescent="0.15">
      <c r="A511" s="16" t="s">
        <v>16</v>
      </c>
      <c r="B511" t="s">
        <v>17</v>
      </c>
      <c r="C511" t="s">
        <v>18</v>
      </c>
      <c r="D511" t="s">
        <v>19</v>
      </c>
      <c r="E511" s="9" t="s">
        <v>199</v>
      </c>
      <c r="F511" s="10" t="str">
        <f>IF(OR(E511="",E511="!!!"),"",IF(NOT(ISNA(VLOOKUP(E511,E$1:E510,1,FALSE()))),"OLD",IF(AND(E511&lt;&gt;"",E511&lt;&gt;"!!!"),"NEW","")))</f>
        <v>OLD</v>
      </c>
      <c r="G511" s="11" t="s">
        <v>203</v>
      </c>
      <c r="H511" s="12" t="str">
        <f t="shared" ca="1" si="15"/>
        <v/>
      </c>
      <c r="I511" s="13" t="str">
        <f>IF(OR(E511="",E511="!!!",F511="NEW"),"",INDEX(B$2:B510,-1+SUMPRODUCT(MAX(ROW(E$2:E510)*(E511=E$2:E510)))))</f>
        <v>SBJ</v>
      </c>
      <c r="J511" s="14">
        <f ca="1">IF(OR(E511="",E511="!!!",F511="NEW"),"",COUNTBLANK(OFFSET(A$1,,,SUMPRODUCT(MAX(ROW(E$2:E511)*(E511=E$2:E511)))))-COUNTBLANK(OFFSET(A$1,,,SUMPRODUCT(MAX(ROW(E$1:E510)*(E511=E$1:E510))))))</f>
        <v>2</v>
      </c>
      <c r="K511" s="14">
        <f ca="1">IF(OR(E511="",E511="!!!",F511="NEW"),"",INDEX(J$1:J510,SUMPRODUCT(MAX(ROW(E$1:E510)*(E511=E$1:E510)))))</f>
        <v>2</v>
      </c>
      <c r="L511" s="15"/>
    </row>
    <row r="512" spans="1:12" x14ac:dyDescent="0.15">
      <c r="A512" s="16" t="s">
        <v>60</v>
      </c>
      <c r="E512" s="9" t="str">
        <f t="shared" si="14"/>
        <v/>
      </c>
      <c r="F512" s="10" t="str">
        <f>IF(OR(E512="",E512="!!!"),"",IF(NOT(ISNA(VLOOKUP(E512,E$1:E511,1,FALSE()))),"OLD",IF(AND(E512&lt;&gt;"",E512&lt;&gt;"!!!"),"NEW","")))</f>
        <v/>
      </c>
      <c r="G512" s="11" t="str">
        <f>IF(OR(E512="",E512="!!!"),"",IF(OR(J512=0,AND(J512=1,K512=1),AND(J512=1,I512="SBJ"),AND(J512=1,I512=0)),"?IN_FOCUS",IF(J512&lt;=2,"?ACTIVATED",IF(J512&lt;&gt;"","?FAMILIAR",IF(F512="NEW",IF(ISNA(VLOOKUP(E512,#REF!,1,FALSE())),"?TYPE_IDENTIFIABLE","?REFERENTIAL"),"_")))))</f>
        <v/>
      </c>
      <c r="H512" s="12" t="str">
        <f t="shared" ca="1" si="15"/>
        <v/>
      </c>
      <c r="I512" s="13" t="str">
        <f>IF(OR(E512="",E512="!!!",F512="NEW"),"",INDEX(B$2:B511,-1+SUMPRODUCT(MAX(ROW(E$2:E511)*(E512=E$2:E511)))))</f>
        <v/>
      </c>
      <c r="J512" s="14" t="str">
        <f ca="1">IF(OR(E512="",E512="!!!",F512="NEW"),"",COUNTBLANK(OFFSET(A$1,,,SUMPRODUCT(MAX(ROW(E$2:E512)*(E512=E$2:E512)))))-COUNTBLANK(OFFSET(A$1,,,SUMPRODUCT(MAX(ROW(E$1:E511)*(E512=E$1:E511))))))</f>
        <v/>
      </c>
      <c r="K512" s="14" t="str">
        <f>IF(OR(E512="",E512="!!!",F512="NEW"),"",INDEX(J$1:J511,SUMPRODUCT(MAX(ROW(E$1:E511)*(E512=E$1:E511)))))</f>
        <v/>
      </c>
      <c r="L512" s="15"/>
    </row>
    <row r="513" spans="1:12" x14ac:dyDescent="0.15">
      <c r="A513" s="16" t="s">
        <v>61</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ht="42" x14ac:dyDescent="0.15">
      <c r="A514" s="16" t="s">
        <v>62</v>
      </c>
      <c r="B514" t="s">
        <v>58</v>
      </c>
      <c r="C514" t="s">
        <v>64</v>
      </c>
      <c r="D514" t="s">
        <v>19</v>
      </c>
      <c r="E514" s="9"/>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t="s">
        <v>227</v>
      </c>
    </row>
    <row r="515" spans="1:12" x14ac:dyDescent="0.15">
      <c r="A515" s="16" t="s">
        <v>30</v>
      </c>
      <c r="E515" s="9" t="str">
        <f t="shared" si="14"/>
        <v/>
      </c>
      <c r="F515" s="10" t="str">
        <f>IF(OR(E515="",E515="!!!"),"",IF(NOT(ISNA(VLOOKUP(E515,E$1:E514,1,FALSE()))),"OLD",IF(AND(E515&lt;&gt;"",E515&lt;&gt;"!!!"),"NEW","")))</f>
        <v/>
      </c>
      <c r="G515" s="11" t="str">
        <f>IF(OR(E515="",E515="!!!"),"",IF(OR(J515=0,AND(J515=1,K515=1),AND(J515=1,I515="SBJ"),AND(J515=1,I515=0)),"?IN_FOCUS",IF(J515&lt;=2,"?ACTIVATED",IF(J515&lt;&gt;"","?FAMILIAR",IF(F515="NEW",IF(ISNA(VLOOKUP(E515,#REF!,1,FALSE())),"?TYPE_IDENTIFIABLE","?REFERENTIAL"),"_")))))</f>
        <v/>
      </c>
      <c r="H515" s="12" t="str">
        <f t="shared" ca="1" si="15"/>
        <v/>
      </c>
      <c r="I515" s="13" t="str">
        <f>IF(OR(E515="",E515="!!!",F515="NEW"),"",INDEX(B$2:B514,-1+SUMPRODUCT(MAX(ROW(E$2:E514)*(E515=E$2:E514)))))</f>
        <v/>
      </c>
      <c r="J515" s="14" t="str">
        <f ca="1">IF(OR(E515="",E515="!!!",F515="NEW"),"",COUNTBLANK(OFFSET(A$1,,,SUMPRODUCT(MAX(ROW(E$2:E515)*(E515=E$2:E515)))))-COUNTBLANK(OFFSET(A$1,,,SUMPRODUCT(MAX(ROW(E$1:E514)*(E515=E$1:E514))))))</f>
        <v/>
      </c>
      <c r="K515" s="14" t="str">
        <f>IF(OR(E515="",E515="!!!",F515="NEW"),"",INDEX(J$1:J514,SUMPRODUCT(MAX(ROW(E$1:E514)*(E515=E$1:E514)))))</f>
        <v/>
      </c>
      <c r="L515" s="15"/>
    </row>
    <row r="516" spans="1:12" x14ac:dyDescent="0.15">
      <c r="A516" s="16" t="s">
        <v>65</v>
      </c>
      <c r="E516" s="9" t="str">
        <f t="shared" ref="E516:E579" si="16">IF(D516="?OLD","!!!","")</f>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ref="H516:H579" ca="1" si="17">IF(J516&lt;&gt;1,"",IF(I516="SBJ","CB","?"))</f>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x14ac:dyDescent="0.15">
      <c r="A517" s="16" t="s">
        <v>27</v>
      </c>
      <c r="E517" s="9" t="str">
        <f t="shared" si="16"/>
        <v/>
      </c>
      <c r="F517" s="10" t="str">
        <f>IF(OR(E517="",E517="!!!"),"",IF(NOT(ISNA(VLOOKUP(E517,E$1:E516,1,FALSE()))),"OLD",IF(AND(E517&lt;&gt;"",E517&lt;&gt;"!!!"),"NEW","")))</f>
        <v/>
      </c>
      <c r="G517" s="11" t="str">
        <f>IF(OR(E517="",E517="!!!"),"",IF(OR(J517=0,AND(J517=1,K517=1),AND(J517=1,I517="SBJ"),AND(J517=1,I517=0)),"?IN_FOCUS",IF(J517&lt;=2,"?ACTIVATED",IF(J517&lt;&gt;"","?FAMILIAR",IF(F517="NEW",IF(ISNA(VLOOKUP(E517,#REF!,1,FALSE())),"?TYPE_IDENTIFIABLE","?REFERENTIAL"),"_")))))</f>
        <v/>
      </c>
      <c r="H517" s="12" t="str">
        <f t="shared" ca="1" si="17"/>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x14ac:dyDescent="0.15">
      <c r="E518" s="9" t="str">
        <f t="shared" si="16"/>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17"/>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x14ac:dyDescent="0.15">
      <c r="A519" s="16" t="s">
        <v>175</v>
      </c>
      <c r="E519" s="9" t="str">
        <f t="shared" si="16"/>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ca="1" si="17"/>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x14ac:dyDescent="0.15">
      <c r="A520" s="16" t="s">
        <v>77</v>
      </c>
      <c r="E520" s="9" t="str">
        <f t="shared" si="16"/>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7"/>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x14ac:dyDescent="0.15">
      <c r="A521" s="16" t="s">
        <v>30</v>
      </c>
      <c r="E521" s="9" t="str">
        <f t="shared" si="16"/>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ca="1" si="17"/>
        <v/>
      </c>
      <c r="I521" s="13" t="str">
        <f>IF(OR(E521="",E521="!!!",F521="NEW"),"",INDEX(B$2:B520,-1+SUMPRODUCT(MAX(ROW(E$2:E520)*(E521=E$2:E520)))))</f>
        <v/>
      </c>
      <c r="J521" s="14" t="str">
        <f ca="1">IF(OR(E521="",E521="!!!",F521="NEW"),"",COUNTBLANK(OFFSET(A$1,,,SUMPRODUCT(MAX(ROW(E$2:E521)*(E521=E$2:E521)))))-COUNTBLANK(OFFSET(A$1,,,SUMPRODUCT(MAX(ROW(E$1:E520)*(E521=E$1:E520))))))</f>
        <v/>
      </c>
      <c r="K521" s="14" t="str">
        <f>IF(OR(E521="",E521="!!!",F521="NEW"),"",INDEX(J$1:J520,SUMPRODUCT(MAX(ROW(E$1:E520)*(E521=E$1:E520)))))</f>
        <v/>
      </c>
      <c r="L521" s="15"/>
    </row>
    <row r="522" spans="1:12" x14ac:dyDescent="0.15">
      <c r="A522" s="16" t="s">
        <v>78</v>
      </c>
      <c r="B522" t="s">
        <v>17</v>
      </c>
      <c r="C522" t="s">
        <v>35</v>
      </c>
      <c r="E522" s="9" t="str">
        <f t="shared" si="16"/>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7"/>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x14ac:dyDescent="0.15">
      <c r="A523" s="16" t="s">
        <v>24</v>
      </c>
      <c r="E523" s="9" t="str">
        <f t="shared" si="16"/>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7"/>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x14ac:dyDescent="0.15">
      <c r="A524" s="16" t="s">
        <v>53</v>
      </c>
      <c r="E524" s="9" t="str">
        <f t="shared" si="16"/>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7"/>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x14ac:dyDescent="0.15">
      <c r="A525" s="16" t="s">
        <v>30</v>
      </c>
      <c r="E525" s="9" t="str">
        <f t="shared" si="16"/>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7"/>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x14ac:dyDescent="0.15">
      <c r="A526" s="16" t="s">
        <v>79</v>
      </c>
      <c r="B526" t="s">
        <v>63</v>
      </c>
      <c r="C526" t="s">
        <v>35</v>
      </c>
      <c r="E526" s="9" t="str">
        <f t="shared" si="16"/>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7"/>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x14ac:dyDescent="0.15">
      <c r="A527" s="16" t="s">
        <v>50</v>
      </c>
      <c r="E527" s="9" t="str">
        <f t="shared" si="16"/>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ca="1" si="17"/>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x14ac:dyDescent="0.15">
      <c r="A528" s="16" t="s">
        <v>106</v>
      </c>
      <c r="E528" s="9" t="str">
        <f t="shared" si="16"/>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ca="1" si="17"/>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x14ac:dyDescent="0.15">
      <c r="A529" s="16" t="s">
        <v>176</v>
      </c>
      <c r="E529" s="9" t="str">
        <f t="shared" si="16"/>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7"/>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x14ac:dyDescent="0.15">
      <c r="A530" s="16" t="s">
        <v>72</v>
      </c>
      <c r="B530" t="s">
        <v>81</v>
      </c>
      <c r="C530" t="s">
        <v>86</v>
      </c>
      <c r="E530" s="9" t="str">
        <f t="shared" si="16"/>
        <v/>
      </c>
      <c r="F530" s="10" t="str">
        <f>IF(OR(E530="",E530="!!!"),"",IF(NOT(ISNA(VLOOKUP(E530,E$1:E529,1,FALSE()))),"OLD",IF(AND(E530&lt;&gt;"",E530&lt;&gt;"!!!"),"NEW","")))</f>
        <v/>
      </c>
      <c r="G530" s="11" t="str">
        <f>IF(OR(E530="",E530="!!!"),"",IF(OR(J530=0,AND(J530=1,K530=1),AND(J530=1,I530="SBJ"),AND(J530=1,I530=0)),"?IN_FOCUS",IF(J530&lt;=2,"?ACTIVATED",IF(J530&lt;&gt;"","?FAMILIAR",IF(F530="NEW",IF(ISNA(VLOOKUP(E530,#REF!,1,FALSE())),"?TYPE_IDENTIFIABLE","?REFERENTIAL"),"_")))))</f>
        <v/>
      </c>
      <c r="H530" s="12" t="str">
        <f t="shared" ca="1" si="17"/>
        <v/>
      </c>
      <c r="I530" s="13" t="str">
        <f>IF(OR(E530="",E530="!!!",F530="NEW"),"",INDEX(B$2:B529,-1+SUMPRODUCT(MAX(ROW(E$2:E529)*(E530=E$2:E529)))))</f>
        <v/>
      </c>
      <c r="J530" s="14" t="str">
        <f ca="1">IF(OR(E530="",E530="!!!",F530="NEW"),"",COUNTBLANK(OFFSET(A$1,,,SUMPRODUCT(MAX(ROW(E$2:E530)*(E530=E$2:E530)))))-COUNTBLANK(OFFSET(A$1,,,SUMPRODUCT(MAX(ROW(E$1:E529)*(E530=E$1:E529))))))</f>
        <v/>
      </c>
      <c r="K530" s="14" t="str">
        <f>IF(OR(E530="",E530="!!!",F530="NEW"),"",INDEX(J$1:J529,SUMPRODUCT(MAX(ROW(E$1:E529)*(E530=E$1:E529)))))</f>
        <v/>
      </c>
      <c r="L530" s="15"/>
    </row>
    <row r="531" spans="1:12" x14ac:dyDescent="0.15">
      <c r="A531" s="16" t="s">
        <v>27</v>
      </c>
      <c r="E531" s="9" t="str">
        <f t="shared" si="16"/>
        <v/>
      </c>
      <c r="F531" s="10" t="str">
        <f>IF(OR(E531="",E531="!!!"),"",IF(NOT(ISNA(VLOOKUP(E531,E$1:E530,1,FALSE()))),"OLD",IF(AND(E531&lt;&gt;"",E531&lt;&gt;"!!!"),"NEW","")))</f>
        <v/>
      </c>
      <c r="G531" s="11" t="str">
        <f>IF(OR(E531="",E531="!!!"),"",IF(OR(J531=0,AND(J531=1,K531=1),AND(J531=1,I531="SBJ"),AND(J531=1,I531=0)),"?IN_FOCUS",IF(J531&lt;=2,"?ACTIVATED",IF(J531&lt;&gt;"","?FAMILIAR",IF(F531="NEW",IF(ISNA(VLOOKUP(E531,#REF!,1,FALSE())),"?TYPE_IDENTIFIABLE","?REFERENTIAL"),"_")))))</f>
        <v/>
      </c>
      <c r="H531" s="12" t="str">
        <f t="shared" ca="1" si="17"/>
        <v/>
      </c>
      <c r="I531" s="13" t="str">
        <f>IF(OR(E531="",E531="!!!",F531="NEW"),"",INDEX(B$2:B530,-1+SUMPRODUCT(MAX(ROW(E$2:E530)*(E531=E$2:E530)))))</f>
        <v/>
      </c>
      <c r="J531" s="14" t="str">
        <f ca="1">IF(OR(E531="",E531="!!!",F531="NEW"),"",COUNTBLANK(OFFSET(A$1,,,SUMPRODUCT(MAX(ROW(E$2:E531)*(E531=E$2:E531)))))-COUNTBLANK(OFFSET(A$1,,,SUMPRODUCT(MAX(ROW(E$1:E530)*(E531=E$1:E530))))))</f>
        <v/>
      </c>
      <c r="K531" s="14" t="str">
        <f>IF(OR(E531="",E531="!!!",F531="NEW"),"",INDEX(J$1:J530,SUMPRODUCT(MAX(ROW(E$1:E530)*(E531=E$1:E530)))))</f>
        <v/>
      </c>
      <c r="L531" s="15"/>
    </row>
    <row r="532" spans="1:12" x14ac:dyDescent="0.15">
      <c r="E532" s="9" t="str">
        <f t="shared" si="16"/>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17"/>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x14ac:dyDescent="0.15">
      <c r="A533" s="16" t="s">
        <v>47</v>
      </c>
      <c r="E533" s="9" t="str">
        <f t="shared" si="16"/>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7"/>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x14ac:dyDescent="0.15">
      <c r="A534" s="16" t="s">
        <v>177</v>
      </c>
      <c r="E534" s="9" t="str">
        <f t="shared" si="16"/>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17"/>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x14ac:dyDescent="0.15">
      <c r="A535" s="16" t="s">
        <v>16</v>
      </c>
      <c r="B535" t="s">
        <v>17</v>
      </c>
      <c r="C535" t="s">
        <v>18</v>
      </c>
      <c r="D535" t="s">
        <v>19</v>
      </c>
      <c r="E535" s="9" t="s">
        <v>199</v>
      </c>
      <c r="F535" s="10" t="str">
        <f>IF(OR(E535="",E535="!!!"),"",IF(NOT(ISNA(VLOOKUP(E535,E$1:E534,1,FALSE()))),"OLD",IF(AND(E535&lt;&gt;"",E535&lt;&gt;"!!!"),"NEW","")))</f>
        <v>OLD</v>
      </c>
      <c r="G535" s="11" t="s">
        <v>203</v>
      </c>
      <c r="H535" s="12" t="str">
        <f t="shared" ca="1" si="17"/>
        <v/>
      </c>
      <c r="I535" s="13" t="str">
        <f>IF(OR(E535="",E535="!!!",F535="NEW"),"",INDEX(B$2:B534,-1+SUMPRODUCT(MAX(ROW(E$2:E534)*(E535=E$2:E534)))))</f>
        <v>SBJ</v>
      </c>
      <c r="J535" s="14">
        <f ca="1">IF(OR(E535="",E535="!!!",F535="NEW"),"",COUNTBLANK(OFFSET(A$1,,,SUMPRODUCT(MAX(ROW(E$2:E535)*(E535=E$2:E535)))))-COUNTBLANK(OFFSET(A$1,,,SUMPRODUCT(MAX(ROW(E$1:E534)*(E535=E$1:E534))))))</f>
        <v>2</v>
      </c>
      <c r="K535" s="14">
        <f ca="1">IF(OR(E535="",E535="!!!",F535="NEW"),"",INDEX(J$1:J534,SUMPRODUCT(MAX(ROW(E$1:E534)*(E535=E$1:E534)))))</f>
        <v>2</v>
      </c>
      <c r="L535" s="15"/>
    </row>
    <row r="536" spans="1:12" x14ac:dyDescent="0.15">
      <c r="A536" s="16" t="s">
        <v>49</v>
      </c>
      <c r="E536" s="9" t="str">
        <f t="shared" si="16"/>
        <v/>
      </c>
      <c r="F536" s="10" t="str">
        <f>IF(OR(E536="",E536="!!!"),"",IF(NOT(ISNA(VLOOKUP(E536,E$1:E535,1,FALSE()))),"OLD",IF(AND(E536&lt;&gt;"",E536&lt;&gt;"!!!"),"NEW","")))</f>
        <v/>
      </c>
      <c r="G536" s="11" t="str">
        <f>IF(OR(E536="",E536="!!!"),"",IF(OR(J536=0,AND(J536=1,K536=1),AND(J536=1,I536="SBJ"),AND(J536=1,I536=0)),"?IN_FOCUS",IF(J536&lt;=2,"?ACTIVATED",IF(J536&lt;&gt;"","?FAMILIAR",IF(F536="NEW",IF(ISNA(VLOOKUP(E536,#REF!,1,FALSE())),"?TYPE_IDENTIFIABLE","?REFERENTIAL"),"_")))))</f>
        <v/>
      </c>
      <c r="H536" s="12" t="str">
        <f t="shared" ca="1" si="17"/>
        <v/>
      </c>
      <c r="I536" s="13" t="str">
        <f>IF(OR(E536="",E536="!!!",F536="NEW"),"",INDEX(B$2:B535,-1+SUMPRODUCT(MAX(ROW(E$2:E535)*(E536=E$2:E535)))))</f>
        <v/>
      </c>
      <c r="J536" s="14" t="str">
        <f ca="1">IF(OR(E536="",E536="!!!",F536="NEW"),"",COUNTBLANK(OFFSET(A$1,,,SUMPRODUCT(MAX(ROW(E$2:E536)*(E536=E$2:E536)))))-COUNTBLANK(OFFSET(A$1,,,SUMPRODUCT(MAX(ROW(E$1:E535)*(E536=E$1:E535))))))</f>
        <v/>
      </c>
      <c r="K536" s="14" t="str">
        <f>IF(OR(E536="",E536="!!!",F536="NEW"),"",INDEX(J$1:J535,SUMPRODUCT(MAX(ROW(E$1:E535)*(E536=E$1:E535)))))</f>
        <v/>
      </c>
      <c r="L536" s="15"/>
    </row>
    <row r="537" spans="1:12" x14ac:dyDescent="0.15">
      <c r="A537" s="16" t="s">
        <v>50</v>
      </c>
      <c r="E537" s="9" t="str">
        <f t="shared" si="16"/>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17"/>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x14ac:dyDescent="0.15">
      <c r="A538" s="16" t="s">
        <v>51</v>
      </c>
      <c r="E538" s="9" t="str">
        <f t="shared" si="16"/>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7"/>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x14ac:dyDescent="0.15">
      <c r="A539" s="16" t="s">
        <v>52</v>
      </c>
      <c r="E539" s="9" t="str">
        <f t="shared" si="16"/>
        <v/>
      </c>
      <c r="F539" s="10" t="str">
        <f>IF(OR(E539="",E539="!!!"),"",IF(NOT(ISNA(VLOOKUP(E539,E$1:E538,1,FALSE()))),"OLD",IF(AND(E539&lt;&gt;"",E539&lt;&gt;"!!!"),"NEW","")))</f>
        <v/>
      </c>
      <c r="G539" s="11" t="str">
        <f>IF(OR(E539="",E539="!!!"),"",IF(OR(J539=0,AND(J539=1,K539=1),AND(J539=1,I539="SBJ"),AND(J539=1,I539=0)),"?IN_FOCUS",IF(J539&lt;=2,"?ACTIVATED",IF(J539&lt;&gt;"","?FAMILIAR",IF(F539="NEW",IF(ISNA(VLOOKUP(E539,#REF!,1,FALSE())),"?TYPE_IDENTIFIABLE","?REFERENTIAL"),"_")))))</f>
        <v/>
      </c>
      <c r="H539" s="12" t="str">
        <f t="shared" ca="1" si="17"/>
        <v/>
      </c>
      <c r="I539" s="13" t="str">
        <f>IF(OR(E539="",E539="!!!",F539="NEW"),"",INDEX(B$2:B538,-1+SUMPRODUCT(MAX(ROW(E$2:E538)*(E539=E$2:E538)))))</f>
        <v/>
      </c>
      <c r="J539" s="14" t="str">
        <f ca="1">IF(OR(E539="",E539="!!!",F539="NEW"),"",COUNTBLANK(OFFSET(A$1,,,SUMPRODUCT(MAX(ROW(E$2:E539)*(E539=E$2:E539)))))-COUNTBLANK(OFFSET(A$1,,,SUMPRODUCT(MAX(ROW(E$1:E538)*(E539=E$1:E538))))))</f>
        <v/>
      </c>
      <c r="K539" s="14" t="str">
        <f>IF(OR(E539="",E539="!!!",F539="NEW"),"",INDEX(J$1:J538,SUMPRODUCT(MAX(ROW(E$1:E538)*(E539=E$1:E538)))))</f>
        <v/>
      </c>
      <c r="L539" s="15"/>
    </row>
    <row r="540" spans="1:12" x14ac:dyDescent="0.15">
      <c r="A540" s="16" t="s">
        <v>14</v>
      </c>
      <c r="E540" s="9" t="str">
        <f t="shared" si="16"/>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17"/>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x14ac:dyDescent="0.15">
      <c r="A541" s="16" t="s">
        <v>46</v>
      </c>
      <c r="E541" s="9" t="str">
        <f t="shared" si="16"/>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17"/>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x14ac:dyDescent="0.15">
      <c r="A542" s="16" t="s">
        <v>178</v>
      </c>
      <c r="B542" t="s">
        <v>54</v>
      </c>
      <c r="C542" t="s">
        <v>23</v>
      </c>
      <c r="D542" t="s">
        <v>19</v>
      </c>
      <c r="E542" s="9" t="s">
        <v>228</v>
      </c>
      <c r="F542" s="10" t="str">
        <f>IF(OR(E542="",E542="!!!"),"",IF(NOT(ISNA(VLOOKUP(E542,E$1:E541,1,FALSE()))),"OLD",IF(AND(E542&lt;&gt;"",E542&lt;&gt;"!!!"),"NEW","")))</f>
        <v>NEW</v>
      </c>
      <c r="G542" s="11" t="s">
        <v>200</v>
      </c>
      <c r="H542" s="12" t="str">
        <f t="shared" ca="1" si="17"/>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x14ac:dyDescent="0.15">
      <c r="A543" s="16" t="s">
        <v>139</v>
      </c>
      <c r="E543" s="9" t="str">
        <f t="shared" si="16"/>
        <v/>
      </c>
      <c r="F543" s="10" t="str">
        <f>IF(OR(E543="",E543="!!!"),"",IF(NOT(ISNA(VLOOKUP(E543,E$1:E542,1,FALSE()))),"OLD",IF(AND(E543&lt;&gt;"",E543&lt;&gt;"!!!"),"NEW","")))</f>
        <v/>
      </c>
      <c r="G543" s="11" t="str">
        <f>IF(OR(E543="",E543="!!!"),"",IF(OR(J543=0,AND(J543=1,K543=1),AND(J543=1,I543="SBJ"),AND(J543=1,I543=0)),"?IN_FOCUS",IF(J543&lt;=2,"?ACTIVATED",IF(J543&lt;&gt;"","?FAMILIAR",IF(F543="NEW",IF(ISNA(VLOOKUP(E543,#REF!,1,FALSE())),"?TYPE_IDENTIFIABLE","?REFERENTIAL"),"_")))))</f>
        <v/>
      </c>
      <c r="H543" s="12" t="str">
        <f t="shared" ca="1" si="17"/>
        <v/>
      </c>
      <c r="I543" s="13" t="str">
        <f>IF(OR(E543="",E543="!!!",F543="NEW"),"",INDEX(B$2:B542,-1+SUMPRODUCT(MAX(ROW(E$2:E542)*(E543=E$2:E542)))))</f>
        <v/>
      </c>
      <c r="J543" s="14" t="str">
        <f ca="1">IF(OR(E543="",E543="!!!",F543="NEW"),"",COUNTBLANK(OFFSET(A$1,,,SUMPRODUCT(MAX(ROW(E$2:E543)*(E543=E$2:E543)))))-COUNTBLANK(OFFSET(A$1,,,SUMPRODUCT(MAX(ROW(E$1:E542)*(E543=E$1:E542))))))</f>
        <v/>
      </c>
      <c r="K543" s="14" t="str">
        <f>IF(OR(E543="",E543="!!!",F543="NEW"),"",INDEX(J$1:J542,SUMPRODUCT(MAX(ROW(E$1:E542)*(E543=E$1:E542)))))</f>
        <v/>
      </c>
      <c r="L543" s="15"/>
    </row>
    <row r="544" spans="1:12" x14ac:dyDescent="0.15">
      <c r="A544" s="16" t="s">
        <v>179</v>
      </c>
      <c r="B544" t="s">
        <v>26</v>
      </c>
      <c r="C544" t="s">
        <v>35</v>
      </c>
      <c r="E544" s="9" t="str">
        <f t="shared" si="16"/>
        <v/>
      </c>
      <c r="F544" s="10" t="str">
        <f>IF(OR(E544="",E544="!!!"),"",IF(NOT(ISNA(VLOOKUP(E544,E$1:E543,1,FALSE()))),"OLD",IF(AND(E544&lt;&gt;"",E544&lt;&gt;"!!!"),"NEW","")))</f>
        <v/>
      </c>
      <c r="G544" s="11" t="str">
        <f>IF(OR(E544="",E544="!!!"),"",IF(OR(J544=0,AND(J544=1,K544=1),AND(J544=1,I544="SBJ"),AND(J544=1,I544=0)),"?IN_FOCUS",IF(J544&lt;=2,"?ACTIVATED",IF(J544&lt;&gt;"","?FAMILIAR",IF(F544="NEW",IF(ISNA(VLOOKUP(E544,#REF!,1,FALSE())),"?TYPE_IDENTIFIABLE","?REFERENTIAL"),"_")))))</f>
        <v/>
      </c>
      <c r="H544" s="12" t="str">
        <f t="shared" ca="1" si="17"/>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x14ac:dyDescent="0.15">
      <c r="A545" s="16" t="s">
        <v>39</v>
      </c>
      <c r="E545" s="9" t="str">
        <f t="shared" si="16"/>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17"/>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x14ac:dyDescent="0.15">
      <c r="A546" s="16" t="s">
        <v>180</v>
      </c>
      <c r="E546" s="9" t="str">
        <f t="shared" si="16"/>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7"/>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x14ac:dyDescent="0.15">
      <c r="A547" s="16" t="s">
        <v>181</v>
      </c>
      <c r="B547" t="s">
        <v>75</v>
      </c>
      <c r="C547" t="s">
        <v>35</v>
      </c>
      <c r="E547" s="9" t="str">
        <f t="shared" si="16"/>
        <v/>
      </c>
      <c r="F547" s="10" t="str">
        <f>IF(OR(E547="",E547="!!!"),"",IF(NOT(ISNA(VLOOKUP(E547,E$1:E546,1,FALSE()))),"OLD",IF(AND(E547&lt;&gt;"",E547&lt;&gt;"!!!"),"NEW","")))</f>
        <v/>
      </c>
      <c r="G547" s="11" t="str">
        <f>IF(OR(E547="",E547="!!!"),"",IF(OR(J547=0,AND(J547=1,K547=1),AND(J547=1,I547="SBJ"),AND(J547=1,I547=0)),"?IN_FOCUS",IF(J547&lt;=2,"?ACTIVATED",IF(J547&lt;&gt;"","?FAMILIAR",IF(F547="NEW",IF(ISNA(VLOOKUP(E547,#REF!,1,FALSE())),"?TYPE_IDENTIFIABLE","?REFERENTIAL"),"_")))))</f>
        <v/>
      </c>
      <c r="H547" s="12" t="str">
        <f t="shared" ca="1" si="17"/>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x14ac:dyDescent="0.15">
      <c r="A548" s="16" t="s">
        <v>50</v>
      </c>
      <c r="E548" s="9" t="str">
        <f t="shared" si="16"/>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7"/>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x14ac:dyDescent="0.15">
      <c r="A549" s="16" t="s">
        <v>24</v>
      </c>
      <c r="E549" s="9" t="str">
        <f t="shared" si="16"/>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17"/>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x14ac:dyDescent="0.15">
      <c r="A550" s="16" t="s">
        <v>89</v>
      </c>
      <c r="E550" s="9" t="str">
        <f t="shared" si="16"/>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7"/>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x14ac:dyDescent="0.15">
      <c r="A551" s="16" t="s">
        <v>182</v>
      </c>
      <c r="B551" t="s">
        <v>54</v>
      </c>
      <c r="C551" t="s">
        <v>35</v>
      </c>
      <c r="E551" s="9" t="str">
        <f t="shared" si="16"/>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ca="1" si="17"/>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x14ac:dyDescent="0.15">
      <c r="A552" s="16" t="s">
        <v>183</v>
      </c>
      <c r="E552" s="9" t="str">
        <f t="shared" si="16"/>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7"/>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x14ac:dyDescent="0.15">
      <c r="A553" s="16" t="s">
        <v>99</v>
      </c>
      <c r="E553" s="9" t="str">
        <f t="shared" si="16"/>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17"/>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x14ac:dyDescent="0.15">
      <c r="A554" s="16" t="s">
        <v>14</v>
      </c>
      <c r="E554" s="9" t="str">
        <f t="shared" si="16"/>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ca="1" si="17"/>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x14ac:dyDescent="0.15">
      <c r="A555" s="16" t="s">
        <v>25</v>
      </c>
      <c r="B555" t="s">
        <v>75</v>
      </c>
      <c r="C555" t="s">
        <v>23</v>
      </c>
      <c r="D555" t="s">
        <v>19</v>
      </c>
      <c r="E555" s="9" t="s">
        <v>202</v>
      </c>
      <c r="F555" s="10" t="str">
        <f>IF(OR(E555="",E555="!!!"),"",IF(NOT(ISNA(VLOOKUP(E555,E$1:E554,1,FALSE()))),"OLD",IF(AND(E555&lt;&gt;"",E555&lt;&gt;"!!!"),"NEW","")))</f>
        <v>OLD</v>
      </c>
      <c r="G555" s="11" t="s">
        <v>206</v>
      </c>
      <c r="H555" s="12" t="str">
        <f t="shared" ca="1" si="17"/>
        <v/>
      </c>
      <c r="I555" s="13" t="str">
        <f>IF(OR(E555="",E555="!!!",F555="NEW"),"",INDEX(B$2:B554,-1+SUMPRODUCT(MAX(ROW(E$2:E554)*(E555=E$2:E554)))))</f>
        <v>other_2</v>
      </c>
      <c r="J555" s="14">
        <f ca="1">IF(OR(E555="",E555="!!!",F555="NEW"),"",COUNTBLANK(OFFSET(A$1,,,SUMPRODUCT(MAX(ROW(E$2:E555)*(E555=E$2:E555)))))-COUNTBLANK(OFFSET(A$1,,,SUMPRODUCT(MAX(ROW(E$1:E554)*(E555=E$1:E554))))))</f>
        <v>3</v>
      </c>
      <c r="K555" s="14">
        <f ca="1">IF(OR(E555="",E555="!!!",F555="NEW"),"",INDEX(J$1:J554,SUMPRODUCT(MAX(ROW(E$1:E554)*(E555=E$1:E554)))))</f>
        <v>4</v>
      </c>
      <c r="L555" s="15"/>
    </row>
    <row r="556" spans="1:12" x14ac:dyDescent="0.15">
      <c r="A556" s="16" t="s">
        <v>87</v>
      </c>
      <c r="E556" s="9" t="str">
        <f t="shared" si="16"/>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17"/>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x14ac:dyDescent="0.15">
      <c r="A557" s="16" t="s">
        <v>14</v>
      </c>
      <c r="E557" s="9" t="str">
        <f t="shared" si="16"/>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17"/>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x14ac:dyDescent="0.15">
      <c r="A558" s="16" t="s">
        <v>184</v>
      </c>
      <c r="E558" s="9" t="str">
        <f t="shared" si="16"/>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7"/>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x14ac:dyDescent="0.15">
      <c r="A559" s="16" t="s">
        <v>85</v>
      </c>
      <c r="B559" t="s">
        <v>75</v>
      </c>
      <c r="C559" t="s">
        <v>23</v>
      </c>
      <c r="D559" t="s">
        <v>19</v>
      </c>
      <c r="E559" s="9" t="s">
        <v>211</v>
      </c>
      <c r="F559" s="10" t="str">
        <f>IF(OR(E559="",E559="!!!"),"",IF(NOT(ISNA(VLOOKUP(E559,E$1:E558,1,FALSE()))),"OLD",IF(AND(E559&lt;&gt;"",E559&lt;&gt;"!!!"),"NEW","")))</f>
        <v>OLD</v>
      </c>
      <c r="G559" s="11" t="s">
        <v>206</v>
      </c>
      <c r="H559" s="12" t="str">
        <f t="shared" ca="1" si="17"/>
        <v/>
      </c>
      <c r="I559" s="13" t="str">
        <f>IF(OR(E559="",E559="!!!",F559="NEW"),"",INDEX(B$2:B558,-1+SUMPRODUCT(MAX(ROW(E$2:E558)*(E559=E$2:E558)))))</f>
        <v>other</v>
      </c>
      <c r="J559" s="14">
        <f ca="1">IF(OR(E559="",E559="!!!",F559="NEW"),"",COUNTBLANK(OFFSET(A$1,,,SUMPRODUCT(MAX(ROW(E$2:E559)*(E559=E$2:E559)))))-COUNTBLANK(OFFSET(A$1,,,SUMPRODUCT(MAX(ROW(E$1:E558)*(E559=E$1:E558))))))</f>
        <v>3</v>
      </c>
      <c r="K559" s="14">
        <f ca="1">IF(OR(E559="",E559="!!!",F559="NEW"),"",INDEX(J$1:J558,SUMPRODUCT(MAX(ROW(E$1:E558)*(E559=E$1:E558)))))</f>
        <v>4</v>
      </c>
      <c r="L559" s="15"/>
    </row>
    <row r="560" spans="1:12" x14ac:dyDescent="0.15">
      <c r="A560" s="16" t="s">
        <v>39</v>
      </c>
      <c r="E560" s="9"/>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7"/>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x14ac:dyDescent="0.15">
      <c r="A561" s="16" t="s">
        <v>104</v>
      </c>
      <c r="B561" t="s">
        <v>81</v>
      </c>
      <c r="C561" t="s">
        <v>35</v>
      </c>
      <c r="E561" s="9" t="str">
        <f t="shared" si="16"/>
        <v/>
      </c>
      <c r="F561" s="10" t="str">
        <f>IF(OR(E561="",E561="!!!"),"",IF(NOT(ISNA(VLOOKUP(E561,E$1:E560,1,FALSE()))),"OLD",IF(AND(E561&lt;&gt;"",E561&lt;&gt;"!!!"),"NEW","")))</f>
        <v/>
      </c>
      <c r="G561" s="11" t="str">
        <f>IF(OR(E561="",E561="!!!"),"",IF(OR(J561=0,AND(J561=1,K561=1),AND(J561=1,I561="SBJ"),AND(J561=1,I561=0)),"?IN_FOCUS",IF(J561&lt;=2,"?ACTIVATED",IF(J561&lt;&gt;"","?FAMILIAR",IF(F561="NEW",IF(ISNA(VLOOKUP(E561,#REF!,1,FALSE())),"?TYPE_IDENTIFIABLE","?REFERENTIAL"),"_")))))</f>
        <v/>
      </c>
      <c r="H561" s="12" t="str">
        <f t="shared" ca="1" si="17"/>
        <v/>
      </c>
      <c r="I561" s="13" t="str">
        <f>IF(OR(E561="",E561="!!!",F561="NEW"),"",INDEX(B$2:B560,-1+SUMPRODUCT(MAX(ROW(E$2:E560)*(E561=E$2:E560)))))</f>
        <v/>
      </c>
      <c r="J561" s="14" t="str">
        <f ca="1">IF(OR(E561="",E561="!!!",F561="NEW"),"",COUNTBLANK(OFFSET(A$1,,,SUMPRODUCT(MAX(ROW(E$2:E561)*(E561=E$2:E561)))))-COUNTBLANK(OFFSET(A$1,,,SUMPRODUCT(MAX(ROW(E$1:E560)*(E561=E$1:E560))))))</f>
        <v/>
      </c>
      <c r="K561" s="14" t="str">
        <f>IF(OR(E561="",E561="!!!",F561="NEW"),"",INDEX(J$1:J560,SUMPRODUCT(MAX(ROW(E$1:E560)*(E561=E$1:E560)))))</f>
        <v/>
      </c>
      <c r="L561" s="15"/>
    </row>
    <row r="562" spans="1:12" x14ac:dyDescent="0.15">
      <c r="A562" s="16" t="s">
        <v>27</v>
      </c>
      <c r="E562" s="9" t="str">
        <f t="shared" si="16"/>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ca="1" si="17"/>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x14ac:dyDescent="0.15">
      <c r="A563" s="16" t="s">
        <v>51</v>
      </c>
      <c r="E563" s="9" t="str">
        <f t="shared" si="16"/>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7"/>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x14ac:dyDescent="0.15">
      <c r="E564" s="9" t="str">
        <f t="shared" si="16"/>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7"/>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x14ac:dyDescent="0.15">
      <c r="A565" s="16" t="s">
        <v>185</v>
      </c>
      <c r="E565" s="9" t="str">
        <f t="shared" si="16"/>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7"/>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x14ac:dyDescent="0.15">
      <c r="A566" s="16" t="s">
        <v>16</v>
      </c>
      <c r="B566" t="s">
        <v>17</v>
      </c>
      <c r="C566" t="s">
        <v>18</v>
      </c>
      <c r="D566" t="s">
        <v>19</v>
      </c>
      <c r="E566" s="9" t="s">
        <v>199</v>
      </c>
      <c r="F566" s="10" t="str">
        <f>IF(OR(E566="",E566="!!!"),"",IF(NOT(ISNA(VLOOKUP(E566,E$1:E565,1,FALSE()))),"OLD",IF(AND(E566&lt;&gt;"",E566&lt;&gt;"!!!"),"NEW","")))</f>
        <v>OLD</v>
      </c>
      <c r="G566" s="11" t="s">
        <v>208</v>
      </c>
      <c r="H566" s="12" t="str">
        <f t="shared" ca="1" si="17"/>
        <v>CB</v>
      </c>
      <c r="I566" s="13" t="str">
        <f>IF(OR(E566="",E566="!!!",F566="NEW"),"",INDEX(B$2:B565,-1+SUMPRODUCT(MAX(ROW(E$2:E565)*(E566=E$2:E565)))))</f>
        <v>SBJ</v>
      </c>
      <c r="J566" s="14">
        <f ca="1">IF(OR(E566="",E566="!!!",F566="NEW"),"",COUNTBLANK(OFFSET(A$1,,,SUMPRODUCT(MAX(ROW(E$2:E566)*(E566=E$2:E566)))))-COUNTBLANK(OFFSET(A$1,,,SUMPRODUCT(MAX(ROW(E$1:E565)*(E566=E$1:E565))))))</f>
        <v>1</v>
      </c>
      <c r="K566" s="14">
        <f ca="1">IF(OR(E566="",E566="!!!",F566="NEW"),"",INDEX(J$1:J565,SUMPRODUCT(MAX(ROW(E$1:E565)*(E566=E$1:E565)))))</f>
        <v>2</v>
      </c>
      <c r="L566" s="15"/>
    </row>
    <row r="567" spans="1:12" x14ac:dyDescent="0.15">
      <c r="A567" s="16" t="s">
        <v>20</v>
      </c>
      <c r="E567" s="9" t="str">
        <f t="shared" si="16"/>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7"/>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x14ac:dyDescent="0.15">
      <c r="A568" s="16" t="s">
        <v>14</v>
      </c>
      <c r="E568" s="9" t="str">
        <f t="shared" si="16"/>
        <v/>
      </c>
      <c r="F568" s="10" t="str">
        <f>IF(OR(E568="",E568="!!!"),"",IF(NOT(ISNA(VLOOKUP(E568,E$1:E567,1,FALSE()))),"OLD",IF(AND(E568&lt;&gt;"",E568&lt;&gt;"!!!"),"NEW","")))</f>
        <v/>
      </c>
      <c r="G568" s="11" t="str">
        <f>IF(OR(E568="",E568="!!!"),"",IF(OR(J568=0,AND(J568=1,K568=1),AND(J568=1,I568="SBJ"),AND(J568=1,I568=0)),"?IN_FOCUS",IF(J568&lt;=2,"?ACTIVATED",IF(J568&lt;&gt;"","?FAMILIAR",IF(F568="NEW",IF(ISNA(VLOOKUP(E568,#REF!,1,FALSE())),"?TYPE_IDENTIFIABLE","?REFERENTIAL"),"_")))))</f>
        <v/>
      </c>
      <c r="H568" s="12" t="str">
        <f t="shared" ca="1" si="17"/>
        <v/>
      </c>
      <c r="I568" s="13" t="str">
        <f>IF(OR(E568="",E568="!!!",F568="NEW"),"",INDEX(B$2:B567,-1+SUMPRODUCT(MAX(ROW(E$2:E567)*(E568=E$2:E567)))))</f>
        <v/>
      </c>
      <c r="J568" s="14" t="str">
        <f ca="1">IF(OR(E568="",E568="!!!",F568="NEW"),"",COUNTBLANK(OFFSET(A$1,,,SUMPRODUCT(MAX(ROW(E$2:E568)*(E568=E$2:E568)))))-COUNTBLANK(OFFSET(A$1,,,SUMPRODUCT(MAX(ROW(E$1:E567)*(E568=E$1:E567))))))</f>
        <v/>
      </c>
      <c r="K568" s="14" t="str">
        <f>IF(OR(E568="",E568="!!!",F568="NEW"),"",INDEX(J$1:J567,SUMPRODUCT(MAX(ROW(E$1:E567)*(E568=E$1:E567)))))</f>
        <v/>
      </c>
      <c r="L568" s="15"/>
    </row>
    <row r="569" spans="1:12" x14ac:dyDescent="0.15">
      <c r="A569" s="16" t="s">
        <v>186</v>
      </c>
      <c r="E569" s="9" t="str">
        <f t="shared" si="16"/>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ca="1" si="17"/>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x14ac:dyDescent="0.15">
      <c r="A570" s="16" t="s">
        <v>187</v>
      </c>
      <c r="E570" s="9" t="str">
        <f t="shared" si="16"/>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7"/>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x14ac:dyDescent="0.15">
      <c r="A571" s="16" t="s">
        <v>181</v>
      </c>
      <c r="B571" t="s">
        <v>22</v>
      </c>
      <c r="C571" t="s">
        <v>23</v>
      </c>
      <c r="D571" t="s">
        <v>19</v>
      </c>
      <c r="E571" s="9" t="s">
        <v>229</v>
      </c>
      <c r="F571" s="10" t="str">
        <f>IF(OR(E571="",E571="!!!"),"",IF(NOT(ISNA(VLOOKUP(E571,E$1:E570,1,FALSE()))),"OLD",IF(AND(E571&lt;&gt;"",E571&lt;&gt;"!!!"),"NEW","")))</f>
        <v>NEW</v>
      </c>
      <c r="G571" s="11" t="s">
        <v>200</v>
      </c>
      <c r="H571" s="12" t="str">
        <f t="shared" ca="1" si="17"/>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x14ac:dyDescent="0.15">
      <c r="A572" s="16" t="s">
        <v>50</v>
      </c>
      <c r="E572" s="9" t="str">
        <f t="shared" si="16"/>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7"/>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x14ac:dyDescent="0.15">
      <c r="A573" s="16" t="s">
        <v>24</v>
      </c>
      <c r="E573" s="9" t="str">
        <f t="shared" si="16"/>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7"/>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x14ac:dyDescent="0.15">
      <c r="A574" s="16" t="s">
        <v>188</v>
      </c>
      <c r="E574" s="9" t="str">
        <f t="shared" si="16"/>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17"/>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x14ac:dyDescent="0.15">
      <c r="A575" s="16" t="s">
        <v>180</v>
      </c>
      <c r="E575" s="9" t="str">
        <f t="shared" si="16"/>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17"/>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x14ac:dyDescent="0.15">
      <c r="A576" s="16" t="s">
        <v>189</v>
      </c>
      <c r="B576" t="s">
        <v>38</v>
      </c>
      <c r="C576" t="s">
        <v>190</v>
      </c>
      <c r="E576" s="9" t="str">
        <f t="shared" si="16"/>
        <v/>
      </c>
      <c r="F576" s="10" t="str">
        <f>IF(OR(E576="",E576="!!!"),"",IF(NOT(ISNA(VLOOKUP(E576,E$1:E575,1,FALSE()))),"OLD",IF(AND(E576&lt;&gt;"",E576&lt;&gt;"!!!"),"NEW","")))</f>
        <v/>
      </c>
      <c r="G576" s="11" t="str">
        <f>IF(OR(E576="",E576="!!!"),"",IF(OR(J576=0,AND(J576=1,K576=1),AND(J576=1,I576="SBJ"),AND(J576=1,I576=0)),"?IN_FOCUS",IF(J576&lt;=2,"?ACTIVATED",IF(J576&lt;&gt;"","?FAMILIAR",IF(F576="NEW",IF(ISNA(VLOOKUP(E576,#REF!,1,FALSE())),"?TYPE_IDENTIFIABLE","?REFERENTIAL"),"_")))))</f>
        <v/>
      </c>
      <c r="H576" s="12" t="str">
        <f t="shared" ca="1" si="17"/>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x14ac:dyDescent="0.15">
      <c r="A577" s="16" t="s">
        <v>61</v>
      </c>
      <c r="B577" t="s">
        <v>63</v>
      </c>
      <c r="E577" s="9" t="str">
        <f t="shared" si="16"/>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ca="1" si="17"/>
        <v/>
      </c>
      <c r="I577" s="13" t="str">
        <f>IF(OR(E577="",E577="!!!",F577="NEW"),"",INDEX(B$2:B576,-1+SUMPRODUCT(MAX(ROW(E$2:E576)*(E577=E$2:E576)))))</f>
        <v/>
      </c>
      <c r="J577" s="14" t="str">
        <f ca="1">IF(OR(E577="",E577="!!!",F577="NEW"),"",COUNTBLANK(OFFSET(A$1,,,SUMPRODUCT(MAX(ROW(E$2:E577)*(E577=E$2:E577)))))-COUNTBLANK(OFFSET(A$1,,,SUMPRODUCT(MAX(ROW(E$1:E576)*(E577=E$1:E576))))))</f>
        <v/>
      </c>
      <c r="K577" s="14" t="str">
        <f>IF(OR(E577="",E577="!!!",F577="NEW"),"",INDEX(J$1:J576,SUMPRODUCT(MAX(ROW(E$1:E576)*(E577=E$1:E576)))))</f>
        <v/>
      </c>
      <c r="L577" s="15"/>
    </row>
    <row r="578" spans="1:12" x14ac:dyDescent="0.15">
      <c r="A578" s="16" t="s">
        <v>191</v>
      </c>
      <c r="E578" s="9" t="str">
        <f t="shared" si="16"/>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7"/>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x14ac:dyDescent="0.15">
      <c r="A579" s="16" t="s">
        <v>50</v>
      </c>
      <c r="E579" s="9" t="str">
        <f t="shared" si="16"/>
        <v/>
      </c>
      <c r="F579" s="10" t="str">
        <f>IF(OR(E579="",E579="!!!"),"",IF(NOT(ISNA(VLOOKUP(E579,E$1:E578,1,FALSE()))),"OLD",IF(AND(E579&lt;&gt;"",E579&lt;&gt;"!!!"),"NEW","")))</f>
        <v/>
      </c>
      <c r="G579" s="11" t="str">
        <f>IF(OR(E579="",E579="!!!"),"",IF(OR(J579=0,AND(J579=1,K579=1),AND(J579=1,I579="SBJ"),AND(J579=1,I579=0)),"?IN_FOCUS",IF(J579&lt;=2,"?ACTIVATED",IF(J579&lt;&gt;"","?FAMILIAR",IF(F579="NEW",IF(ISNA(VLOOKUP(E579,#REF!,1,FALSE())),"?TYPE_IDENTIFIABLE","?REFERENTIAL"),"_")))))</f>
        <v/>
      </c>
      <c r="H579" s="12" t="str">
        <f t="shared" ca="1" si="17"/>
        <v/>
      </c>
      <c r="I579" s="13" t="str">
        <f>IF(OR(E579="",E579="!!!",F579="NEW"),"",INDEX(B$2:B578,-1+SUMPRODUCT(MAX(ROW(E$2:E578)*(E579=E$2:E578)))))</f>
        <v/>
      </c>
      <c r="J579" s="14" t="str">
        <f ca="1">IF(OR(E579="",E579="!!!",F579="NEW"),"",COUNTBLANK(OFFSET(A$1,,,SUMPRODUCT(MAX(ROW(E$2:E579)*(E579=E$2:E579)))))-COUNTBLANK(OFFSET(A$1,,,SUMPRODUCT(MAX(ROW(E$1:E578)*(E579=E$1:E578))))))</f>
        <v/>
      </c>
      <c r="K579" s="14" t="str">
        <f>IF(OR(E579="",E579="!!!",F579="NEW"),"",INDEX(J$1:J578,SUMPRODUCT(MAX(ROW(E$1:E578)*(E579=E$1:E578)))))</f>
        <v/>
      </c>
      <c r="L579" s="15"/>
    </row>
    <row r="580" spans="1:12" x14ac:dyDescent="0.15">
      <c r="A580" s="16" t="s">
        <v>139</v>
      </c>
      <c r="E580" s="9" t="str">
        <f t="shared" ref="E580:E608"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08"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x14ac:dyDescent="0.15">
      <c r="A581" s="16" t="s">
        <v>94</v>
      </c>
      <c r="E581" s="9" t="str">
        <f t="shared" si="18"/>
        <v/>
      </c>
      <c r="F581" s="10" t="str">
        <f>IF(OR(E581="",E581="!!!"),"",IF(NOT(ISNA(VLOOKUP(E581,E$1:E580,1,FALSE()))),"OLD",IF(AND(E581&lt;&gt;"",E581&lt;&gt;"!!!"),"NEW","")))</f>
        <v/>
      </c>
      <c r="G581" s="11" t="str">
        <f>IF(OR(E581="",E581="!!!"),"",IF(OR(J581=0,AND(J581=1,K581=1),AND(J581=1,I581="SBJ"),AND(J581=1,I581=0)),"?IN_FOCUS",IF(J581&lt;=2,"?ACTIVATED",IF(J581&lt;&gt;"","?FAMILIAR",IF(F581="NEW",IF(ISNA(VLOOKUP(E581,#REF!,1,FALSE())),"?TYPE_IDENTIFIABLE","?REFERENTIAL"),"_")))))</f>
        <v/>
      </c>
      <c r="H581" s="12" t="str">
        <f t="shared" ca="1" si="19"/>
        <v/>
      </c>
      <c r="I581" s="13" t="str">
        <f>IF(OR(E581="",E581="!!!",F581="NEW"),"",INDEX(B$2:B580,-1+SUMPRODUCT(MAX(ROW(E$2:E580)*(E581=E$2:E580)))))</f>
        <v/>
      </c>
      <c r="J581" s="14" t="str">
        <f ca="1">IF(OR(E581="",E581="!!!",F581="NEW"),"",COUNTBLANK(OFFSET(A$1,,,SUMPRODUCT(MAX(ROW(E$2:E581)*(E581=E$2:E581)))))-COUNTBLANK(OFFSET(A$1,,,SUMPRODUCT(MAX(ROW(E$1:E580)*(E581=E$1:E580))))))</f>
        <v/>
      </c>
      <c r="K581" s="14" t="str">
        <f>IF(OR(E581="",E581="!!!",F581="NEW"),"",INDEX(J$1:J580,SUMPRODUCT(MAX(ROW(E$1:E580)*(E581=E$1:E580)))))</f>
        <v/>
      </c>
      <c r="L581" s="15"/>
    </row>
    <row r="582" spans="1:12" x14ac:dyDescent="0.15">
      <c r="A582" s="16" t="s">
        <v>14</v>
      </c>
      <c r="E582" s="9" t="str">
        <f t="shared" si="18"/>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x14ac:dyDescent="0.15">
      <c r="A583" s="16" t="s">
        <v>46</v>
      </c>
      <c r="B583" t="s">
        <v>95</v>
      </c>
      <c r="C583" t="s">
        <v>23</v>
      </c>
      <c r="D583" t="s">
        <v>19</v>
      </c>
      <c r="E583" s="9" t="s">
        <v>207</v>
      </c>
      <c r="F583" s="10" t="str">
        <f>IF(OR(E583="",E583="!!!"),"",IF(NOT(ISNA(VLOOKUP(E583,E$1:E582,1,FALSE()))),"OLD",IF(AND(E583&lt;&gt;"",E583&lt;&gt;"!!!"),"NEW","")))</f>
        <v>OLD</v>
      </c>
      <c r="G583" s="11" t="s">
        <v>206</v>
      </c>
      <c r="H583" s="12" t="str">
        <f t="shared" ca="1" si="19"/>
        <v/>
      </c>
      <c r="I583" s="13" t="str">
        <f>IF(OR(E583="",E583="!!!",F583="NEW"),"",INDEX(B$2:B582,-1+SUMPRODUCT(MAX(ROW(E$2:E582)*(E583=E$2:E582)))))</f>
        <v>other_3</v>
      </c>
      <c r="J583" s="14">
        <f ca="1">IF(OR(E583="",E583="!!!",F583="NEW"),"",COUNTBLANK(OFFSET(A$1,,,SUMPRODUCT(MAX(ROW(E$2:E583)*(E583=E$2:E583)))))-COUNTBLANK(OFFSET(A$1,,,SUMPRODUCT(MAX(ROW(E$1:E582)*(E583=E$1:E582))))))</f>
        <v>13</v>
      </c>
      <c r="K583" s="14">
        <f ca="1">IF(OR(E583="",E583="!!!",F583="NEW"),"",INDEX(J$1:J582,SUMPRODUCT(MAX(ROW(E$1:E582)*(E583=E$1:E582)))))</f>
        <v>1</v>
      </c>
      <c r="L583" s="15"/>
    </row>
    <row r="584" spans="1:12" x14ac:dyDescent="0.15">
      <c r="A584" s="16" t="s">
        <v>192</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x14ac:dyDescent="0.15">
      <c r="A585" s="16" t="s">
        <v>50</v>
      </c>
      <c r="E585" s="9" t="str">
        <f t="shared" si="18"/>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x14ac:dyDescent="0.15">
      <c r="A586" s="16" t="s">
        <v>132</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x14ac:dyDescent="0.15">
      <c r="A587" s="16" t="s">
        <v>133</v>
      </c>
      <c r="B587" t="s">
        <v>81</v>
      </c>
      <c r="C587" t="s">
        <v>135</v>
      </c>
      <c r="D587" t="s">
        <v>19</v>
      </c>
      <c r="E587" s="9" t="s">
        <v>229</v>
      </c>
      <c r="F587" s="10" t="str">
        <f>IF(OR(E587="",E587="!!!"),"",IF(NOT(ISNA(VLOOKUP(E587,E$1:E586,1,FALSE()))),"OLD",IF(AND(E587&lt;&gt;"",E587&lt;&gt;"!!!"),"NEW","")))</f>
        <v>OLD</v>
      </c>
      <c r="G587" s="11" t="s">
        <v>208</v>
      </c>
      <c r="H587" s="12" t="str">
        <f t="shared" ca="1" si="19"/>
        <v/>
      </c>
      <c r="I587" s="13" t="str">
        <f>IF(OR(E587="",E587="!!!",F587="NEW"),"",INDEX(B$2:B586,-1+SUMPRODUCT(MAX(ROW(E$2:E586)*(E587=E$2:E586)))))</f>
        <v>OBJ</v>
      </c>
      <c r="J587" s="14">
        <f ca="1">IF(OR(E587="",E587="!!!",F587="NEW"),"",COUNTBLANK(OFFSET(A$1,,,SUMPRODUCT(MAX(ROW(E$2:E587)*(E587=E$2:E587)))))-COUNTBLANK(OFFSET(A$1,,,SUMPRODUCT(MAX(ROW(E$1:E586)*(E587=E$1:E586))))))</f>
        <v>0</v>
      </c>
      <c r="K587" s="14" t="str">
        <f ca="1">IF(OR(E587="",E587="!!!",F587="NEW"),"",INDEX(J$1:J586,SUMPRODUCT(MAX(ROW(E$1:E586)*(E587=E$1:E586)))))</f>
        <v/>
      </c>
      <c r="L587" s="15"/>
    </row>
    <row r="588" spans="1:12" x14ac:dyDescent="0.15">
      <c r="A588" s="16" t="s">
        <v>136</v>
      </c>
      <c r="B588" t="s">
        <v>75</v>
      </c>
      <c r="C588" t="s">
        <v>138</v>
      </c>
      <c r="D588" t="s">
        <v>19</v>
      </c>
      <c r="E588" s="9" t="s">
        <v>229</v>
      </c>
      <c r="F588" s="10" t="str">
        <f>IF(OR(E588="",E588="!!!"),"",IF(NOT(ISNA(VLOOKUP(E588,E$1:E587,1,FALSE()))),"OLD",IF(AND(E588&lt;&gt;"",E588&lt;&gt;"!!!"),"NEW","")))</f>
        <v>OLD</v>
      </c>
      <c r="G588" s="11" t="s">
        <v>208</v>
      </c>
      <c r="H588" s="12" t="str">
        <f t="shared" ca="1" si="19"/>
        <v/>
      </c>
      <c r="I588" s="13" t="str">
        <f>IF(OR(E588="",E588="!!!",F588="NEW"),"",INDEX(B$2:B587,-1+SUMPRODUCT(MAX(ROW(E$2:E587)*(E588=E$2:E587)))))</f>
        <v>other_4</v>
      </c>
      <c r="J588" s="14">
        <f ca="1">IF(OR(E588="",E588="!!!",F588="NEW"),"",COUNTBLANK(OFFSET(A$1,,,SUMPRODUCT(MAX(ROW(E$2:E588)*(E588=E$2:E588)))))-COUNTBLANK(OFFSET(A$1,,,SUMPRODUCT(MAX(ROW(E$1:E587)*(E588=E$1:E587))))))</f>
        <v>0</v>
      </c>
      <c r="K588" s="14">
        <f ca="1">IF(OR(E588="",E588="!!!",F588="NEW"),"",INDEX(J$1:J587,SUMPRODUCT(MAX(ROW(E$1:E587)*(E588=E$1:E587)))))</f>
        <v>0</v>
      </c>
      <c r="L588" s="15"/>
    </row>
    <row r="589" spans="1:12" x14ac:dyDescent="0.15">
      <c r="A589" s="16" t="s">
        <v>50</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x14ac:dyDescent="0.15">
      <c r="A590" s="16" t="s">
        <v>24</v>
      </c>
      <c r="E590" s="9" t="str">
        <f t="shared" si="18"/>
        <v/>
      </c>
      <c r="F590" s="10" t="str">
        <f>IF(OR(E590="",E590="!!!"),"",IF(NOT(ISNA(VLOOKUP(E590,E$1:E589,1,FALSE()))),"OLD",IF(AND(E590&lt;&gt;"",E590&lt;&gt;"!!!"),"NEW","")))</f>
        <v/>
      </c>
      <c r="G590" s="11" t="str">
        <f>IF(OR(E590="",E590="!!!"),"",IF(OR(J590=0,AND(J590=1,K590=1),AND(J590=1,I590="SBJ"),AND(J590=1,I590=0)),"?IN_FOCUS",IF(J590&lt;=2,"?ACTIVATED",IF(J590&lt;&gt;"","?FAMILIAR",IF(F590="NEW",IF(ISNA(VLOOKUP(E590,#REF!,1,FALSE())),"?TYPE_IDENTIFIABLE","?REFERENTIAL"),"_")))))</f>
        <v/>
      </c>
      <c r="H590" s="12" t="str">
        <f t="shared" ca="1" si="19"/>
        <v/>
      </c>
      <c r="I590" s="13" t="str">
        <f>IF(OR(E590="",E590="!!!",F590="NEW"),"",INDEX(B$2:B589,-1+SUMPRODUCT(MAX(ROW(E$2:E589)*(E590=E$2:E589)))))</f>
        <v/>
      </c>
      <c r="J590" s="14" t="str">
        <f ca="1">IF(OR(E590="",E590="!!!",F590="NEW"),"",COUNTBLANK(OFFSET(A$1,,,SUMPRODUCT(MAX(ROW(E$2:E590)*(E590=E$2:E590)))))-COUNTBLANK(OFFSET(A$1,,,SUMPRODUCT(MAX(ROW(E$1:E589)*(E590=E$1:E589))))))</f>
        <v/>
      </c>
      <c r="K590" s="14" t="str">
        <f>IF(OR(E590="",E590="!!!",F590="NEW"),"",INDEX(J$1:J589,SUMPRODUCT(MAX(ROW(E$1:E589)*(E590=E$1:E589)))))</f>
        <v/>
      </c>
      <c r="L590" s="15"/>
    </row>
    <row r="591" spans="1:12" x14ac:dyDescent="0.15">
      <c r="A591" s="16" t="s">
        <v>188</v>
      </c>
      <c r="E591" s="9" t="str">
        <f t="shared" si="18"/>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19"/>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x14ac:dyDescent="0.15">
      <c r="A592" s="16" t="s">
        <v>193</v>
      </c>
      <c r="E592" s="9" t="str">
        <f t="shared" si="18"/>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19"/>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x14ac:dyDescent="0.15">
      <c r="A593" s="16" t="s">
        <v>194</v>
      </c>
      <c r="B593" t="s">
        <v>195</v>
      </c>
      <c r="C593" t="s">
        <v>35</v>
      </c>
      <c r="E593" s="9" t="str">
        <f t="shared" si="18"/>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x14ac:dyDescent="0.15">
      <c r="A594" s="16" t="s">
        <v>132</v>
      </c>
      <c r="E594" s="9" t="str">
        <f t="shared" si="18"/>
        <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x14ac:dyDescent="0.15">
      <c r="A595" s="16" t="s">
        <v>140</v>
      </c>
      <c r="B595" t="s">
        <v>100</v>
      </c>
      <c r="C595" t="s">
        <v>135</v>
      </c>
      <c r="D595" t="s">
        <v>19</v>
      </c>
      <c r="E595" s="9" t="s">
        <v>230</v>
      </c>
      <c r="F595" s="10" t="str">
        <f>IF(OR(E595="",E595="!!!"),"",IF(NOT(ISNA(VLOOKUP(E595,E$1:E594,1,FALSE()))),"OLD",IF(AND(E595&lt;&gt;"",E595&lt;&gt;"!!!"),"NEW","")))</f>
        <v>NEW</v>
      </c>
      <c r="G595" s="11" t="s">
        <v>200</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x14ac:dyDescent="0.15">
      <c r="A596" s="16" t="s">
        <v>136</v>
      </c>
      <c r="B596" t="s">
        <v>81</v>
      </c>
      <c r="C596" t="s">
        <v>138</v>
      </c>
      <c r="D596" t="s">
        <v>19</v>
      </c>
      <c r="E596" s="9" t="s">
        <v>230</v>
      </c>
      <c r="F596" s="10" t="str">
        <f>IF(OR(E596="",E596="!!!"),"",IF(NOT(ISNA(VLOOKUP(E596,E$1:E595,1,FALSE()))),"OLD",IF(AND(E596&lt;&gt;"",E596&lt;&gt;"!!!"),"NEW","")))</f>
        <v>OLD</v>
      </c>
      <c r="G596" s="11" t="s">
        <v>208</v>
      </c>
      <c r="H596" s="12" t="str">
        <f t="shared" ca="1" si="19"/>
        <v/>
      </c>
      <c r="I596" s="13" t="str">
        <f>IF(OR(E596="",E596="!!!",F596="NEW"),"",INDEX(B$2:B595,-1+SUMPRODUCT(MAX(ROW(E$2:E595)*(E596=E$2:E595)))))</f>
        <v>other_5</v>
      </c>
      <c r="J596" s="14">
        <f ca="1">IF(OR(E596="",E596="!!!",F596="NEW"),"",COUNTBLANK(OFFSET(A$1,,,SUMPRODUCT(MAX(ROW(E$2:E596)*(E596=E$2:E596)))))-COUNTBLANK(OFFSET(A$1,,,SUMPRODUCT(MAX(ROW(E$1:E595)*(E596=E$1:E595))))))</f>
        <v>0</v>
      </c>
      <c r="K596" s="14" t="str">
        <f ca="1">IF(OR(E596="",E596="!!!",F596="NEW"),"",INDEX(J$1:J595,SUMPRODUCT(MAX(ROW(E$1:E595)*(E596=E$1:E595)))))</f>
        <v/>
      </c>
      <c r="L596" s="15"/>
    </row>
    <row r="597" spans="1:12" x14ac:dyDescent="0.15">
      <c r="A597" s="16" t="s">
        <v>27</v>
      </c>
      <c r="E597" s="9" t="str">
        <f t="shared" si="18"/>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19"/>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x14ac:dyDescent="0.15">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x14ac:dyDescent="0.15">
      <c r="A599" s="16" t="s">
        <v>119</v>
      </c>
      <c r="E599" s="9" t="str">
        <f t="shared" si="18"/>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x14ac:dyDescent="0.15">
      <c r="A600" s="16" t="s">
        <v>16</v>
      </c>
      <c r="B600" t="s">
        <v>17</v>
      </c>
      <c r="C600" t="s">
        <v>18</v>
      </c>
      <c r="D600" t="s">
        <v>19</v>
      </c>
      <c r="E600" s="9" t="s">
        <v>199</v>
      </c>
      <c r="F600" s="10" t="str">
        <f>IF(OR(E600="",E600="!!!"),"",IF(NOT(ISNA(VLOOKUP(E600,E$1:E599,1,FALSE()))),"OLD",IF(AND(E600&lt;&gt;"",E600&lt;&gt;"!!!"),"NEW","")))</f>
        <v>OLD</v>
      </c>
      <c r="G600" s="11" t="s">
        <v>208</v>
      </c>
      <c r="H600" s="12" t="str">
        <f t="shared" ca="1" si="19"/>
        <v>CB</v>
      </c>
      <c r="I600" s="13" t="str">
        <f>IF(OR(E600="",E600="!!!",F600="NEW"),"",INDEX(B$2:B599,-1+SUMPRODUCT(MAX(ROW(E$2:E599)*(E600=E$2:E599)))))</f>
        <v>SBJ</v>
      </c>
      <c r="J600" s="14">
        <f ca="1">IF(OR(E600="",E600="!!!",F600="NEW"),"",COUNTBLANK(OFFSET(A$1,,,SUMPRODUCT(MAX(ROW(E$2:E600)*(E600=E$2:E600)))))-COUNTBLANK(OFFSET(A$1,,,SUMPRODUCT(MAX(ROW(E$1:E599)*(E600=E$1:E599))))))</f>
        <v>1</v>
      </c>
      <c r="K600" s="14">
        <f ca="1">IF(OR(E600="",E600="!!!",F600="NEW"),"",INDEX(J$1:J599,SUMPRODUCT(MAX(ROW(E$1:E599)*(E600=E$1:E599)))))</f>
        <v>1</v>
      </c>
      <c r="L600" s="15"/>
    </row>
    <row r="601" spans="1:12" x14ac:dyDescent="0.15">
      <c r="A601" s="16" t="s">
        <v>60</v>
      </c>
      <c r="E601" s="9" t="str">
        <f t="shared" si="18"/>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x14ac:dyDescent="0.15">
      <c r="A602" s="16" t="s">
        <v>61</v>
      </c>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ht="56" x14ac:dyDescent="0.15">
      <c r="A603" s="16" t="s">
        <v>62</v>
      </c>
      <c r="B603" t="s">
        <v>58</v>
      </c>
      <c r="C603" t="s">
        <v>64</v>
      </c>
      <c r="D603" t="s">
        <v>19</v>
      </c>
      <c r="E603" s="9"/>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ca="1" si="19"/>
        <v/>
      </c>
      <c r="I603" s="13" t="str">
        <f>IF(OR(E603="",E603="!!!",F603="NEW"),"",INDEX(B$2:B602,-1+SUMPRODUCT(MAX(ROW(E$2:E602)*(E603=E$2:E602)))))</f>
        <v/>
      </c>
      <c r="J603" s="14" t="str">
        <f ca="1">IF(OR(E603="",E603="!!!",F603="NEW"),"",COUNTBLANK(OFFSET(A$1,,,SUMPRODUCT(MAX(ROW(E$2:E603)*(E603=E$2:E603)))))-COUNTBLANK(OFFSET(A$1,,,SUMPRODUCT(MAX(ROW(E$1:E602)*(E603=E$1:E602))))))</f>
        <v/>
      </c>
      <c r="K603" s="14" t="str">
        <f>IF(OR(E603="",E603="!!!",F603="NEW"),"",INDEX(J$1:J602,SUMPRODUCT(MAX(ROW(E$1:E602)*(E603=E$1:E602)))))</f>
        <v/>
      </c>
      <c r="L603" s="15" t="s">
        <v>231</v>
      </c>
    </row>
    <row r="604" spans="1:12" x14ac:dyDescent="0.15">
      <c r="A604" s="16" t="s">
        <v>30</v>
      </c>
      <c r="E604" s="9" t="str">
        <f t="shared" si="18"/>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19"/>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x14ac:dyDescent="0.15">
      <c r="A605" s="16" t="s">
        <v>65</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x14ac:dyDescent="0.15">
      <c r="A606" s="16" t="s">
        <v>27</v>
      </c>
      <c r="E606" s="9" t="str">
        <f t="shared" si="18"/>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19"/>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x14ac:dyDescent="0.15">
      <c r="E607" s="9" t="str">
        <f t="shared" si="18"/>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x14ac:dyDescent="0.15">
      <c r="A608" s="16" t="s">
        <v>47</v>
      </c>
      <c r="E608" s="9" t="str">
        <f t="shared" si="18"/>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hidden="1" x14ac:dyDescent="0.15">
      <c r="A609" s="16" t="s">
        <v>196</v>
      </c>
      <c r="B609" t="s">
        <v>54</v>
      </c>
      <c r="C609" t="s">
        <v>198</v>
      </c>
      <c r="D609" t="s">
        <v>19</v>
      </c>
      <c r="E609" s="9" t="str">
        <f t="shared" ref="E609" si="20">IF(D609="?OLD","!!!","")</f>
        <v>!!!</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ref="H609" ca="1" si="21">IF(J609&lt;&gt;1,"",IF(I609="SBJ","CB","?"))</f>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hidden="1" x14ac:dyDescent="0.15">
      <c r="A610" s="16" t="s">
        <v>197</v>
      </c>
      <c r="B610" t="s">
        <v>38</v>
      </c>
      <c r="C610" t="s">
        <v>198</v>
      </c>
      <c r="D610" t="s">
        <v>19</v>
      </c>
      <c r="E610" s="9" t="str">
        <f t="shared" ref="E610" si="22">IF(D610="?OLD","!!!","")</f>
        <v>!!!</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ref="H610" ca="1" si="23">IF(J610&lt;&gt;1,"",IF(I610="SBJ","CB","?"))</f>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sheetData>
  <autoFilter ref="A1:L610" xr:uid="{00000000-0001-0000-0000-000000000000}">
    <filterColumn colId="2">
      <filters blank="1">
        <filter val="def-np.dem"/>
        <filter val="def-np.poss"/>
        <filter val="def-np.quant"/>
        <filter val="def-np.the"/>
        <filter val="def-np.the.other"/>
        <filter val="indef-np"/>
        <filter val="indef-np.a"/>
        <filter val="indef-np.bare"/>
        <filter val="indef-np.quant"/>
        <filter val="ne"/>
        <filter val="pron"/>
        <filter val="pron.padv"/>
        <filter val="pron.pds"/>
        <filter val="pron.pind"/>
        <filter val="pron.pint"/>
        <filter val="pron.pper"/>
        <filter val="pron.ppos"/>
      </filters>
    </filterColumn>
  </autoFilter>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Kalbsmaster 5000</dc:creator>
  <dc:description/>
  <cp:lastModifiedBy>Microsoft Office User</cp:lastModifiedBy>
  <cp:revision>29</cp:revision>
  <dcterms:created xsi:type="dcterms:W3CDTF">2023-07-10T14:25:03Z</dcterms:created>
  <dcterms:modified xsi:type="dcterms:W3CDTF">2023-09-30T13:02:34Z</dcterms:modified>
  <dc:language>en-US</dc:language>
</cp:coreProperties>
</file>