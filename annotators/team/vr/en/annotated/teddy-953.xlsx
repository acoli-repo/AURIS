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vikto\Desktop\Annotation\"/>
    </mc:Choice>
  </mc:AlternateContent>
  <xr:revisionPtr revIDLastSave="0" documentId="13_ncr:1_{EB8B9AA5-9586-4B19-9806-3FA473F6CB9D}" xr6:coauthVersionLast="47" xr6:coauthVersionMax="47" xr10:uidLastSave="{00000000-0000-0000-0000-000000000000}"/>
  <bookViews>
    <workbookView xWindow="-108" yWindow="-108" windowWidth="23256" windowHeight="12456" activeTab="1" xr2:uid="{00000000-000D-0000-FFFF-FFFF00000000}"/>
  </bookViews>
  <sheets>
    <sheet name="sentence-level annotation" sheetId="1" r:id="rId1"/>
    <sheet name="word-level annotatio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83" i="2" l="1"/>
  <c r="E243" i="2"/>
  <c r="E39" i="2"/>
  <c r="E1108" i="2"/>
  <c r="E1107" i="2"/>
  <c r="F1107" i="2" s="1"/>
  <c r="E1106" i="2"/>
  <c r="E1103" i="2"/>
  <c r="F1103" i="2" s="1"/>
  <c r="E1101" i="2"/>
  <c r="E1100" i="2"/>
  <c r="G1100" i="2" s="1"/>
  <c r="E1099" i="2"/>
  <c r="E1098" i="2"/>
  <c r="G1098" i="2" s="1"/>
  <c r="E1095" i="2"/>
  <c r="G1095" i="2" s="1"/>
  <c r="E1094" i="2"/>
  <c r="G1094" i="2" s="1"/>
  <c r="E1093" i="2"/>
  <c r="E1092" i="2"/>
  <c r="G1092" i="2" s="1"/>
  <c r="E1091" i="2"/>
  <c r="F1090" i="2"/>
  <c r="I1090" i="2" s="1"/>
  <c r="E1089" i="2"/>
  <c r="G1089" i="2" s="1"/>
  <c r="E1087" i="2"/>
  <c r="F1087" i="2" s="1"/>
  <c r="E1086" i="2"/>
  <c r="G1086" i="2" s="1"/>
  <c r="E1085" i="2"/>
  <c r="E1084" i="2"/>
  <c r="E1080" i="2"/>
  <c r="G1080" i="2" s="1"/>
  <c r="E1079" i="2"/>
  <c r="G1078" i="2"/>
  <c r="E1075" i="2"/>
  <c r="G1075" i="2" s="1"/>
  <c r="E1074" i="2"/>
  <c r="F1074" i="2" s="1"/>
  <c r="K1074" i="2" s="1"/>
  <c r="E1070" i="2"/>
  <c r="E1069" i="2"/>
  <c r="F1069" i="2" s="1"/>
  <c r="K1069" i="2" s="1"/>
  <c r="E1066" i="2"/>
  <c r="F1066" i="2" s="1"/>
  <c r="E1064" i="2"/>
  <c r="E1061" i="2"/>
  <c r="G1061" i="2" s="1"/>
  <c r="E1060" i="2"/>
  <c r="G1060" i="2" s="1"/>
  <c r="E1059" i="2"/>
  <c r="E1058" i="2"/>
  <c r="G1058" i="2" s="1"/>
  <c r="G1057" i="2"/>
  <c r="E1056" i="2"/>
  <c r="F1056" i="2" s="1"/>
  <c r="K1056" i="2" s="1"/>
  <c r="E1053" i="2"/>
  <c r="G1053" i="2" s="1"/>
  <c r="E1051" i="2"/>
  <c r="F1051" i="2" s="1"/>
  <c r="E1048" i="2"/>
  <c r="G1048" i="2" s="1"/>
  <c r="E1047" i="2"/>
  <c r="E1046" i="2"/>
  <c r="E1045" i="2"/>
  <c r="G1045" i="2" s="1"/>
  <c r="E1043" i="2"/>
  <c r="E1041" i="2"/>
  <c r="G1041" i="2" s="1"/>
  <c r="E1039" i="2"/>
  <c r="G1039" i="2" s="1"/>
  <c r="E1038" i="2"/>
  <c r="E1037" i="2"/>
  <c r="F1037" i="2" s="1"/>
  <c r="K1037" i="2" s="1"/>
  <c r="E1035" i="2"/>
  <c r="E1034" i="2"/>
  <c r="E1032" i="2"/>
  <c r="G1032" i="2" s="1"/>
  <c r="E1031" i="2"/>
  <c r="E1029" i="2"/>
  <c r="E1028" i="2"/>
  <c r="F1028" i="2" s="1"/>
  <c r="K1028" i="2" s="1"/>
  <c r="E1026" i="2"/>
  <c r="E1025" i="2"/>
  <c r="F1025" i="2" s="1"/>
  <c r="K1025" i="2" s="1"/>
  <c r="E1023" i="2"/>
  <c r="E1021" i="2"/>
  <c r="E1020" i="2"/>
  <c r="G1020" i="2" s="1"/>
  <c r="E1019" i="2"/>
  <c r="G1019" i="2" s="1"/>
  <c r="E1017" i="2"/>
  <c r="F1017" i="2" s="1"/>
  <c r="K1017" i="2" s="1"/>
  <c r="E1014" i="2"/>
  <c r="E1012" i="2"/>
  <c r="E1011" i="2"/>
  <c r="F1011" i="2" s="1"/>
  <c r="I1011" i="2" s="1"/>
  <c r="E1008" i="2"/>
  <c r="G1008" i="2" s="1"/>
  <c r="E1007" i="2"/>
  <c r="F1007" i="2" s="1"/>
  <c r="I1007" i="2" s="1"/>
  <c r="E1006" i="2"/>
  <c r="F1006" i="2" s="1"/>
  <c r="J1006" i="2" s="1"/>
  <c r="H1006" i="2" s="1"/>
  <c r="E1004" i="2"/>
  <c r="G1004" i="2" s="1"/>
  <c r="E1003" i="2"/>
  <c r="G1003" i="2" s="1"/>
  <c r="E1002" i="2"/>
  <c r="E1001" i="2"/>
  <c r="G1001" i="2" s="1"/>
  <c r="E1000" i="2"/>
  <c r="E999" i="2"/>
  <c r="E998" i="2"/>
  <c r="E997" i="2"/>
  <c r="G997" i="2" s="1"/>
  <c r="E995" i="2"/>
  <c r="G995" i="2" s="1"/>
  <c r="E993" i="2"/>
  <c r="G993" i="2" s="1"/>
  <c r="E991" i="2"/>
  <c r="E990" i="2"/>
  <c r="E987" i="2"/>
  <c r="F987" i="2" s="1"/>
  <c r="J987" i="2" s="1"/>
  <c r="H987" i="2" s="1"/>
  <c r="E986" i="2"/>
  <c r="E985" i="2"/>
  <c r="E984" i="2"/>
  <c r="E983" i="2"/>
  <c r="G983" i="2" s="1"/>
  <c r="E982" i="2"/>
  <c r="E981" i="2"/>
  <c r="G981" i="2" s="1"/>
  <c r="E979" i="2"/>
  <c r="G979" i="2" s="1"/>
  <c r="E977" i="2"/>
  <c r="G977" i="2" s="1"/>
  <c r="E975" i="2"/>
  <c r="E974" i="2"/>
  <c r="E971" i="2"/>
  <c r="F971" i="2" s="1"/>
  <c r="I970" i="2"/>
  <c r="E969" i="2"/>
  <c r="G969" i="2" s="1"/>
  <c r="E968" i="2"/>
  <c r="G968" i="2" s="1"/>
  <c r="E967" i="2"/>
  <c r="G967" i="2" s="1"/>
  <c r="E966" i="2"/>
  <c r="G965" i="2"/>
  <c r="E964" i="2"/>
  <c r="G964" i="2" s="1"/>
  <c r="E963" i="2"/>
  <c r="E961" i="2"/>
  <c r="G961" i="2" s="1"/>
  <c r="E959" i="2"/>
  <c r="E957" i="2"/>
  <c r="G957" i="2" s="1"/>
  <c r="E956" i="2"/>
  <c r="E954" i="2"/>
  <c r="E953" i="2"/>
  <c r="E950" i="2"/>
  <c r="F950" i="2" s="1"/>
  <c r="K950" i="2" s="1"/>
  <c r="E948" i="2"/>
  <c r="E946" i="2"/>
  <c r="F946" i="2" s="1"/>
  <c r="K946" i="2" s="1"/>
  <c r="E944" i="2"/>
  <c r="E943" i="2"/>
  <c r="G943" i="2" s="1"/>
  <c r="E942" i="2"/>
  <c r="I941" i="2"/>
  <c r="E940" i="2"/>
  <c r="I938" i="2"/>
  <c r="E937" i="2"/>
  <c r="G937" i="2" s="1"/>
  <c r="E936" i="2"/>
  <c r="E934" i="2"/>
  <c r="F934" i="2" s="1"/>
  <c r="K934" i="2" s="1"/>
  <c r="E932" i="2"/>
  <c r="E931" i="2"/>
  <c r="G931" i="2" s="1"/>
  <c r="E930" i="2"/>
  <c r="G930" i="2" s="1"/>
  <c r="E927" i="2"/>
  <c r="G927" i="2" s="1"/>
  <c r="E925" i="2"/>
  <c r="E924" i="2"/>
  <c r="G923" i="2"/>
  <c r="E922" i="2"/>
  <c r="F922" i="2" s="1"/>
  <c r="J922" i="2" s="1"/>
  <c r="H922" i="2" s="1"/>
  <c r="E920" i="2"/>
  <c r="G919" i="2"/>
  <c r="E918" i="2"/>
  <c r="G918" i="2" s="1"/>
  <c r="E917" i="2"/>
  <c r="F917" i="2" s="1"/>
  <c r="I917" i="2" s="1"/>
  <c r="E916" i="2"/>
  <c r="E914" i="2"/>
  <c r="E912" i="2"/>
  <c r="G912" i="2" s="1"/>
  <c r="E911" i="2"/>
  <c r="E910" i="2"/>
  <c r="E909" i="2"/>
  <c r="F909" i="2" s="1"/>
  <c r="E907" i="2"/>
  <c r="E905" i="2"/>
  <c r="G905" i="2" s="1"/>
  <c r="E904" i="2"/>
  <c r="G904" i="2" s="1"/>
  <c r="E903" i="2"/>
  <c r="F903" i="2" s="1"/>
  <c r="K903" i="2" s="1"/>
  <c r="E899" i="2"/>
  <c r="G899" i="2" s="1"/>
  <c r="E898" i="2"/>
  <c r="G898" i="2" s="1"/>
  <c r="E897" i="2"/>
  <c r="F897" i="2" s="1"/>
  <c r="I897" i="2" s="1"/>
  <c r="E895" i="2"/>
  <c r="E894" i="2"/>
  <c r="E893" i="2"/>
  <c r="E891" i="2"/>
  <c r="G891" i="2" s="1"/>
  <c r="E890" i="2"/>
  <c r="G890" i="2" s="1"/>
  <c r="E888" i="2"/>
  <c r="G888" i="2" s="1"/>
  <c r="E881" i="2"/>
  <c r="F881" i="2" s="1"/>
  <c r="E880" i="2"/>
  <c r="F880" i="2" s="1"/>
  <c r="J880" i="2" s="1"/>
  <c r="H880" i="2" s="1"/>
  <c r="E879" i="2"/>
  <c r="E878" i="2"/>
  <c r="G878" i="2" s="1"/>
  <c r="E876" i="2"/>
  <c r="F876" i="2" s="1"/>
  <c r="J876" i="2" s="1"/>
  <c r="H876" i="2" s="1"/>
  <c r="E873" i="2"/>
  <c r="F873" i="2" s="1"/>
  <c r="I873" i="2" s="1"/>
  <c r="E872" i="2"/>
  <c r="G872" i="2" s="1"/>
  <c r="E871" i="2"/>
  <c r="G871" i="2" s="1"/>
  <c r="E870" i="2"/>
  <c r="G870" i="2" s="1"/>
  <c r="E867" i="2"/>
  <c r="E864" i="2"/>
  <c r="G864" i="2" s="1"/>
  <c r="E861" i="2"/>
  <c r="F861" i="2" s="1"/>
  <c r="I861" i="2" s="1"/>
  <c r="E859" i="2"/>
  <c r="F859" i="2" s="1"/>
  <c r="E856" i="2"/>
  <c r="E855" i="2"/>
  <c r="F855" i="2" s="1"/>
  <c r="K855" i="2" s="1"/>
  <c r="E853" i="2"/>
  <c r="E851" i="2"/>
  <c r="G851" i="2" s="1"/>
  <c r="E848" i="2"/>
  <c r="E847" i="2"/>
  <c r="F847" i="2" s="1"/>
  <c r="I847" i="2" s="1"/>
  <c r="E846" i="2"/>
  <c r="F846" i="2" s="1"/>
  <c r="I846" i="2" s="1"/>
  <c r="E844" i="2"/>
  <c r="G844" i="2" s="1"/>
  <c r="E842" i="2"/>
  <c r="E841" i="2"/>
  <c r="F841" i="2" s="1"/>
  <c r="K841" i="2" s="1"/>
  <c r="E838" i="2"/>
  <c r="G838" i="2" s="1"/>
  <c r="E836" i="2"/>
  <c r="E832" i="2"/>
  <c r="G832" i="2" s="1"/>
  <c r="E831" i="2"/>
  <c r="F831" i="2" s="1"/>
  <c r="I831" i="2" s="1"/>
  <c r="E830" i="2"/>
  <c r="G830" i="2" s="1"/>
  <c r="E826" i="2"/>
  <c r="E824" i="2"/>
  <c r="F824" i="2" s="1"/>
  <c r="E823" i="2"/>
  <c r="G823" i="2" s="1"/>
  <c r="E821" i="2"/>
  <c r="E820" i="2"/>
  <c r="E819" i="2"/>
  <c r="E818" i="2"/>
  <c r="E817" i="2"/>
  <c r="G817" i="2" s="1"/>
  <c r="G816" i="2"/>
  <c r="E815" i="2"/>
  <c r="F815" i="2" s="1"/>
  <c r="K815" i="2" s="1"/>
  <c r="E814" i="2"/>
  <c r="F813" i="2"/>
  <c r="E811" i="2"/>
  <c r="G811" i="2" s="1"/>
  <c r="E810" i="2"/>
  <c r="F810" i="2" s="1"/>
  <c r="J810" i="2" s="1"/>
  <c r="H810" i="2" s="1"/>
  <c r="E808" i="2"/>
  <c r="E807" i="2"/>
  <c r="E806" i="2"/>
  <c r="G806" i="2" s="1"/>
  <c r="E805" i="2"/>
  <c r="F805" i="2" s="1"/>
  <c r="I805" i="2" s="1"/>
  <c r="E804" i="2"/>
  <c r="F804" i="2" s="1"/>
  <c r="I804" i="2" s="1"/>
  <c r="E803" i="2"/>
  <c r="F803" i="2" s="1"/>
  <c r="K803" i="2" s="1"/>
  <c r="E802" i="2"/>
  <c r="E800" i="2"/>
  <c r="E799" i="2"/>
  <c r="G799" i="2" s="1"/>
  <c r="E798" i="2"/>
  <c r="G798" i="2" s="1"/>
  <c r="E797" i="2"/>
  <c r="G797" i="2" s="1"/>
  <c r="E796" i="2"/>
  <c r="E795" i="2"/>
  <c r="E794" i="2"/>
  <c r="F794" i="2" s="1"/>
  <c r="E792" i="2"/>
  <c r="E791" i="2"/>
  <c r="E789" i="2"/>
  <c r="G789" i="2" s="1"/>
  <c r="E788" i="2"/>
  <c r="E787" i="2"/>
  <c r="G787" i="2" s="1"/>
  <c r="E785" i="2"/>
  <c r="G785" i="2" s="1"/>
  <c r="E784" i="2"/>
  <c r="E783" i="2"/>
  <c r="F783" i="2" s="1"/>
  <c r="I783" i="2" s="1"/>
  <c r="E780" i="2"/>
  <c r="E778" i="2"/>
  <c r="G778" i="2" s="1"/>
  <c r="E776" i="2"/>
  <c r="G776" i="2" s="1"/>
  <c r="E775" i="2"/>
  <c r="E772" i="2"/>
  <c r="F772" i="2" s="1"/>
  <c r="J772" i="2" s="1"/>
  <c r="H772" i="2" s="1"/>
  <c r="E771" i="2"/>
  <c r="E769" i="2"/>
  <c r="E768" i="2"/>
  <c r="G768" i="2" s="1"/>
  <c r="E767" i="2"/>
  <c r="F767" i="2" s="1"/>
  <c r="E766" i="2"/>
  <c r="F766" i="2" s="1"/>
  <c r="I766" i="2" s="1"/>
  <c r="E765" i="2"/>
  <c r="F765" i="2" s="1"/>
  <c r="E763" i="2"/>
  <c r="E762" i="2"/>
  <c r="G762" i="2" s="1"/>
  <c r="E760" i="2"/>
  <c r="F760" i="2" s="1"/>
  <c r="E759" i="2"/>
  <c r="E755" i="2"/>
  <c r="G755" i="2" s="1"/>
  <c r="E754" i="2"/>
  <c r="F754" i="2" s="1"/>
  <c r="I754" i="2" s="1"/>
  <c r="E753" i="2"/>
  <c r="G753" i="2" s="1"/>
  <c r="E752" i="2"/>
  <c r="F752" i="2" s="1"/>
  <c r="K752" i="2" s="1"/>
  <c r="E751" i="2"/>
  <c r="G751" i="2" s="1"/>
  <c r="G749" i="2"/>
  <c r="E748" i="2"/>
  <c r="F748" i="2" s="1"/>
  <c r="J748" i="2" s="1"/>
  <c r="H748" i="2" s="1"/>
  <c r="E747" i="2"/>
  <c r="E745" i="2"/>
  <c r="E744" i="2"/>
  <c r="E743" i="2"/>
  <c r="F743" i="2" s="1"/>
  <c r="I743" i="2" s="1"/>
  <c r="E742" i="2"/>
  <c r="F742" i="2" s="1"/>
  <c r="K742" i="2" s="1"/>
  <c r="E741" i="2"/>
  <c r="G741" i="2" s="1"/>
  <c r="E740" i="2"/>
  <c r="F740" i="2" s="1"/>
  <c r="E739" i="2"/>
  <c r="G739" i="2" s="1"/>
  <c r="E738" i="2"/>
  <c r="G738" i="2" s="1"/>
  <c r="E737" i="2"/>
  <c r="G737" i="2" s="1"/>
  <c r="E736" i="2"/>
  <c r="G736" i="2" s="1"/>
  <c r="E734" i="2"/>
  <c r="G734" i="2" s="1"/>
  <c r="E733" i="2"/>
  <c r="F733" i="2" s="1"/>
  <c r="E731" i="2"/>
  <c r="G731" i="2" s="1"/>
  <c r="E728" i="2"/>
  <c r="F728" i="2" s="1"/>
  <c r="G727" i="2"/>
  <c r="E725" i="2"/>
  <c r="E724" i="2"/>
  <c r="G724" i="2" s="1"/>
  <c r="G723" i="2"/>
  <c r="E722" i="2"/>
  <c r="F722" i="2" s="1"/>
  <c r="J722" i="2" s="1"/>
  <c r="H722" i="2" s="1"/>
  <c r="E721" i="2"/>
  <c r="E720" i="2"/>
  <c r="G720" i="2" s="1"/>
  <c r="E718" i="2"/>
  <c r="E717" i="2"/>
  <c r="G717" i="2" s="1"/>
  <c r="E716" i="2"/>
  <c r="F716" i="2" s="1"/>
  <c r="K716" i="2" s="1"/>
  <c r="E715" i="2"/>
  <c r="F715" i="2" s="1"/>
  <c r="K715" i="2" s="1"/>
  <c r="E714" i="2"/>
  <c r="E713" i="2"/>
  <c r="F713" i="2" s="1"/>
  <c r="J713" i="2" s="1"/>
  <c r="H713" i="2" s="1"/>
  <c r="E712" i="2"/>
  <c r="F712" i="2" s="1"/>
  <c r="E710" i="2"/>
  <c r="E708" i="2"/>
  <c r="E706" i="2"/>
  <c r="F706" i="2" s="1"/>
  <c r="K706" i="2" s="1"/>
  <c r="E704" i="2"/>
  <c r="F704" i="2" s="1"/>
  <c r="I704" i="2" s="1"/>
  <c r="E703" i="2"/>
  <c r="G703" i="2" s="1"/>
  <c r="E702" i="2"/>
  <c r="E701" i="2"/>
  <c r="G701" i="2" s="1"/>
  <c r="E700" i="2"/>
  <c r="G700" i="2" s="1"/>
  <c r="E699" i="2"/>
  <c r="G699" i="2" s="1"/>
  <c r="E697" i="2"/>
  <c r="E694" i="2"/>
  <c r="G694" i="2" s="1"/>
  <c r="E692" i="2"/>
  <c r="E690" i="2"/>
  <c r="F690" i="2" s="1"/>
  <c r="E688" i="2"/>
  <c r="E687" i="2"/>
  <c r="G687" i="2" s="1"/>
  <c r="E686" i="2"/>
  <c r="E684" i="2"/>
  <c r="E683" i="2"/>
  <c r="E681" i="2"/>
  <c r="E680" i="2"/>
  <c r="F680" i="2" s="1"/>
  <c r="K680" i="2" s="1"/>
  <c r="E679" i="2"/>
  <c r="F679" i="2" s="1"/>
  <c r="I679" i="2" s="1"/>
  <c r="E678" i="2"/>
  <c r="G678" i="2" s="1"/>
  <c r="E677" i="2"/>
  <c r="E676" i="2"/>
  <c r="F676" i="2" s="1"/>
  <c r="K676" i="2" s="1"/>
  <c r="E675" i="2"/>
  <c r="F675" i="2" s="1"/>
  <c r="E674" i="2"/>
  <c r="F674" i="2" s="1"/>
  <c r="K674" i="2" s="1"/>
  <c r="E673" i="2"/>
  <c r="G673" i="2" s="1"/>
  <c r="E672" i="2"/>
  <c r="F672" i="2" s="1"/>
  <c r="I672" i="2" s="1"/>
  <c r="E671" i="2"/>
  <c r="E670" i="2"/>
  <c r="E668" i="2"/>
  <c r="F668" i="2" s="1"/>
  <c r="K668" i="2" s="1"/>
  <c r="E666" i="2"/>
  <c r="G666" i="2" s="1"/>
  <c r="F665" i="2"/>
  <c r="E664" i="2"/>
  <c r="E662" i="2"/>
  <c r="G662" i="2" s="1"/>
  <c r="E661" i="2"/>
  <c r="G661" i="2" s="1"/>
  <c r="E660" i="2"/>
  <c r="E659" i="2"/>
  <c r="G659" i="2" s="1"/>
  <c r="E658" i="2"/>
  <c r="F658" i="2" s="1"/>
  <c r="E655" i="2"/>
  <c r="F655" i="2" s="1"/>
  <c r="E654" i="2"/>
  <c r="F654" i="2" s="1"/>
  <c r="J654" i="2" s="1"/>
  <c r="H654" i="2" s="1"/>
  <c r="E653" i="2"/>
  <c r="E652" i="2"/>
  <c r="G652" i="2" s="1"/>
  <c r="E651" i="2"/>
  <c r="E650" i="2"/>
  <c r="E649" i="2"/>
  <c r="G649" i="2" s="1"/>
  <c r="E648" i="2"/>
  <c r="G648" i="2" s="1"/>
  <c r="E647" i="2"/>
  <c r="E646" i="2"/>
  <c r="E645" i="2"/>
  <c r="G645" i="2" s="1"/>
  <c r="E643" i="2"/>
  <c r="F643" i="2" s="1"/>
  <c r="K643" i="2" s="1"/>
  <c r="E642" i="2"/>
  <c r="G642" i="2" s="1"/>
  <c r="E640" i="2"/>
  <c r="G640" i="2" s="1"/>
  <c r="E637" i="2"/>
  <c r="F637" i="2" s="1"/>
  <c r="E634" i="2"/>
  <c r="G634" i="2" s="1"/>
  <c r="E632" i="2"/>
  <c r="E631" i="2"/>
  <c r="G631" i="2" s="1"/>
  <c r="E629" i="2"/>
  <c r="F629" i="2" s="1"/>
  <c r="K629" i="2" s="1"/>
  <c r="E628" i="2"/>
  <c r="G628" i="2" s="1"/>
  <c r="E627" i="2"/>
  <c r="E625" i="2"/>
  <c r="E624" i="2"/>
  <c r="E623" i="2"/>
  <c r="E622" i="2"/>
  <c r="E621" i="2"/>
  <c r="E620" i="2"/>
  <c r="E619" i="2"/>
  <c r="G619" i="2" s="1"/>
  <c r="E617" i="2"/>
  <c r="F617" i="2" s="1"/>
  <c r="I617" i="2" s="1"/>
  <c r="E616" i="2"/>
  <c r="E615" i="2"/>
  <c r="E613" i="2"/>
  <c r="E612" i="2"/>
  <c r="E611" i="2"/>
  <c r="F611" i="2" s="1"/>
  <c r="G610" i="2"/>
  <c r="E607" i="2"/>
  <c r="G607" i="2" s="1"/>
  <c r="E605" i="2"/>
  <c r="G605" i="2" s="1"/>
  <c r="E603" i="2"/>
  <c r="F603" i="2" s="1"/>
  <c r="K603" i="2" s="1"/>
  <c r="E602" i="2"/>
  <c r="G602" i="2" s="1"/>
  <c r="E601" i="2"/>
  <c r="E600" i="2"/>
  <c r="G600" i="2" s="1"/>
  <c r="E599" i="2"/>
  <c r="E598" i="2"/>
  <c r="E597" i="2"/>
  <c r="G597" i="2" s="1"/>
  <c r="E596" i="2"/>
  <c r="E595" i="2"/>
  <c r="E593" i="2"/>
  <c r="G593" i="2" s="1"/>
  <c r="E592" i="2"/>
  <c r="F592" i="2" s="1"/>
  <c r="E590" i="2"/>
  <c r="E589" i="2"/>
  <c r="E586" i="2"/>
  <c r="G586" i="2" s="1"/>
  <c r="E584" i="2"/>
  <c r="E582" i="2"/>
  <c r="F582" i="2" s="1"/>
  <c r="K582" i="2" s="1"/>
  <c r="E581" i="2"/>
  <c r="G581" i="2" s="1"/>
  <c r="E579" i="2"/>
  <c r="F579" i="2" s="1"/>
  <c r="K579" i="2" s="1"/>
  <c r="E578" i="2"/>
  <c r="G578" i="2" s="1"/>
  <c r="E577" i="2"/>
  <c r="F577" i="2" s="1"/>
  <c r="E575" i="2"/>
  <c r="E572" i="2"/>
  <c r="E571" i="2"/>
  <c r="F571" i="2" s="1"/>
  <c r="J571" i="2" s="1"/>
  <c r="H571" i="2" s="1"/>
  <c r="E570" i="2"/>
  <c r="E569" i="2"/>
  <c r="E567" i="2"/>
  <c r="G567" i="2" s="1"/>
  <c r="E566" i="2"/>
  <c r="E563" i="2"/>
  <c r="G563" i="2" s="1"/>
  <c r="E561" i="2"/>
  <c r="F561" i="2" s="1"/>
  <c r="K561" i="2" s="1"/>
  <c r="E558" i="2"/>
  <c r="G558" i="2" s="1"/>
  <c r="E557" i="2"/>
  <c r="E556" i="2"/>
  <c r="E555" i="2"/>
  <c r="E554" i="2"/>
  <c r="E553" i="2"/>
  <c r="F553" i="2" s="1"/>
  <c r="I553" i="2" s="1"/>
  <c r="E552" i="2"/>
  <c r="G552" i="2" s="1"/>
  <c r="E551" i="2"/>
  <c r="F551" i="2" s="1"/>
  <c r="K551" i="2" s="1"/>
  <c r="E550" i="2"/>
  <c r="F550" i="2" s="1"/>
  <c r="I550" i="2" s="1"/>
  <c r="E549" i="2"/>
  <c r="G549" i="2" s="1"/>
  <c r="E548" i="2"/>
  <c r="G548" i="2" s="1"/>
  <c r="E547" i="2"/>
  <c r="G547" i="2" s="1"/>
  <c r="E546" i="2"/>
  <c r="G546" i="2" s="1"/>
  <c r="E545" i="2"/>
  <c r="G545" i="2" s="1"/>
  <c r="E544" i="2"/>
  <c r="F544" i="2" s="1"/>
  <c r="J544" i="2" s="1"/>
  <c r="H544" i="2" s="1"/>
  <c r="E542" i="2"/>
  <c r="F542" i="2" s="1"/>
  <c r="I542" i="2" s="1"/>
  <c r="E540" i="2"/>
  <c r="F540" i="2" s="1"/>
  <c r="K540" i="2" s="1"/>
  <c r="E539" i="2"/>
  <c r="G539" i="2" s="1"/>
  <c r="K538" i="2"/>
  <c r="E536" i="2"/>
  <c r="G536" i="2" s="1"/>
  <c r="E535" i="2"/>
  <c r="G535" i="2" s="1"/>
  <c r="E533" i="2"/>
  <c r="G533" i="2" s="1"/>
  <c r="E532" i="2"/>
  <c r="E531" i="2"/>
  <c r="F531" i="2" s="1"/>
  <c r="J530" i="2"/>
  <c r="H530" i="2" s="1"/>
  <c r="E528" i="2"/>
  <c r="G528" i="2" s="1"/>
  <c r="K527" i="2"/>
  <c r="E526" i="2"/>
  <c r="F526" i="2" s="1"/>
  <c r="K526" i="2" s="1"/>
  <c r="E525" i="2"/>
  <c r="F525" i="2" s="1"/>
  <c r="E524" i="2"/>
  <c r="G524" i="2" s="1"/>
  <c r="E523" i="2"/>
  <c r="G523" i="2" s="1"/>
  <c r="E522" i="2"/>
  <c r="G522" i="2" s="1"/>
  <c r="E520" i="2"/>
  <c r="F520" i="2" s="1"/>
  <c r="J520" i="2" s="1"/>
  <c r="H520" i="2" s="1"/>
  <c r="E519" i="2"/>
  <c r="E517" i="2"/>
  <c r="E516" i="2"/>
  <c r="G516" i="2" s="1"/>
  <c r="E515" i="2"/>
  <c r="F515" i="2" s="1"/>
  <c r="E514" i="2"/>
  <c r="F514" i="2" s="1"/>
  <c r="K514" i="2" s="1"/>
  <c r="E512" i="2"/>
  <c r="G512" i="2" s="1"/>
  <c r="E511" i="2"/>
  <c r="G511" i="2" s="1"/>
  <c r="E510" i="2"/>
  <c r="G510" i="2" s="1"/>
  <c r="E508" i="2"/>
  <c r="F508" i="2" s="1"/>
  <c r="E507" i="2"/>
  <c r="G507" i="2" s="1"/>
  <c r="E506" i="2"/>
  <c r="G506" i="2" s="1"/>
  <c r="E505" i="2"/>
  <c r="F505" i="2" s="1"/>
  <c r="J505" i="2" s="1"/>
  <c r="H505" i="2" s="1"/>
  <c r="E504" i="2"/>
  <c r="E503" i="2"/>
  <c r="F503" i="2" s="1"/>
  <c r="K503" i="2" s="1"/>
  <c r="E502" i="2"/>
  <c r="G502" i="2" s="1"/>
  <c r="E501" i="2"/>
  <c r="F501" i="2" s="1"/>
  <c r="K501" i="2" s="1"/>
  <c r="E499" i="2"/>
  <c r="F499" i="2" s="1"/>
  <c r="K499" i="2" s="1"/>
  <c r="E496" i="2"/>
  <c r="F496" i="2" s="1"/>
  <c r="E493" i="2"/>
  <c r="E491" i="2"/>
  <c r="G491" i="2" s="1"/>
  <c r="E490" i="2"/>
  <c r="E489" i="2"/>
  <c r="G489" i="2" s="1"/>
  <c r="E488" i="2"/>
  <c r="F488" i="2" s="1"/>
  <c r="E487" i="2"/>
  <c r="G487" i="2" s="1"/>
  <c r="E486" i="2"/>
  <c r="E485" i="2"/>
  <c r="F485" i="2" s="1"/>
  <c r="J485" i="2" s="1"/>
  <c r="H485" i="2" s="1"/>
  <c r="E484" i="2"/>
  <c r="E483" i="2"/>
  <c r="E482" i="2"/>
  <c r="E481" i="2"/>
  <c r="G481" i="2" s="1"/>
  <c r="E480" i="2"/>
  <c r="G480" i="2" s="1"/>
  <c r="E479" i="2"/>
  <c r="E477" i="2"/>
  <c r="G477" i="2" s="1"/>
  <c r="E474" i="2"/>
  <c r="G474" i="2" s="1"/>
  <c r="E473" i="2"/>
  <c r="G473" i="2" s="1"/>
  <c r="E472" i="2"/>
  <c r="F472" i="2" s="1"/>
  <c r="I472" i="2" s="1"/>
  <c r="E470" i="2"/>
  <c r="E467" i="2"/>
  <c r="G467" i="2" s="1"/>
  <c r="E466" i="2"/>
  <c r="G466" i="2" s="1"/>
  <c r="E465" i="2"/>
  <c r="G465" i="2" s="1"/>
  <c r="E464" i="2"/>
  <c r="E463" i="2"/>
  <c r="F463" i="2" s="1"/>
  <c r="I463" i="2" s="1"/>
  <c r="E462" i="2"/>
  <c r="F462" i="2" s="1"/>
  <c r="E461" i="2"/>
  <c r="G461" i="2" s="1"/>
  <c r="E459" i="2"/>
  <c r="F459" i="2" s="1"/>
  <c r="E457" i="2"/>
  <c r="G457" i="2" s="1"/>
  <c r="E456" i="2"/>
  <c r="F456" i="2" s="1"/>
  <c r="J456" i="2" s="1"/>
  <c r="H456" i="2" s="1"/>
  <c r="E454" i="2"/>
  <c r="E452" i="2"/>
  <c r="G452" i="2" s="1"/>
  <c r="E450" i="2"/>
  <c r="E448" i="2"/>
  <c r="G448" i="2" s="1"/>
  <c r="E447" i="2"/>
  <c r="E446" i="2"/>
  <c r="G446" i="2" s="1"/>
  <c r="E445" i="2"/>
  <c r="F445" i="2" s="1"/>
  <c r="E444" i="2"/>
  <c r="F444" i="2" s="1"/>
  <c r="J444" i="2" s="1"/>
  <c r="H444" i="2" s="1"/>
  <c r="E443" i="2"/>
  <c r="E442" i="2"/>
  <c r="E441" i="2"/>
  <c r="G441" i="2" s="1"/>
  <c r="E439" i="2"/>
  <c r="F439" i="2" s="1"/>
  <c r="I439" i="2" s="1"/>
  <c r="E436" i="2"/>
  <c r="G436" i="2" s="1"/>
  <c r="E434" i="2"/>
  <c r="G434" i="2" s="1"/>
  <c r="E433" i="2"/>
  <c r="F433" i="2" s="1"/>
  <c r="K433" i="2" s="1"/>
  <c r="E431" i="2"/>
  <c r="F431" i="2" s="1"/>
  <c r="E429" i="2"/>
  <c r="G429" i="2" s="1"/>
  <c r="E427" i="2"/>
  <c r="G427" i="2" s="1"/>
  <c r="E426" i="2"/>
  <c r="F426" i="2" s="1"/>
  <c r="K426" i="2" s="1"/>
  <c r="E425" i="2"/>
  <c r="G425" i="2" s="1"/>
  <c r="E422" i="2"/>
  <c r="F422" i="2" s="1"/>
  <c r="E421" i="2"/>
  <c r="E420" i="2"/>
  <c r="F420" i="2" s="1"/>
  <c r="E419" i="2"/>
  <c r="E417" i="2"/>
  <c r="G417" i="2" s="1"/>
  <c r="E415" i="2"/>
  <c r="E414" i="2"/>
  <c r="E413" i="2"/>
  <c r="G413" i="2" s="1"/>
  <c r="E412" i="2"/>
  <c r="G412" i="2" s="1"/>
  <c r="E411" i="2"/>
  <c r="F411" i="2" s="1"/>
  <c r="I411" i="2" s="1"/>
  <c r="E410" i="2"/>
  <c r="G410" i="2" s="1"/>
  <c r="E409" i="2"/>
  <c r="F409" i="2" s="1"/>
  <c r="K409" i="2" s="1"/>
  <c r="E408" i="2"/>
  <c r="E407" i="2"/>
  <c r="E405" i="2"/>
  <c r="G405" i="2" s="1"/>
  <c r="E404" i="2"/>
  <c r="E403" i="2"/>
  <c r="E402" i="2"/>
  <c r="E401" i="2"/>
  <c r="G401" i="2" s="1"/>
  <c r="E400" i="2"/>
  <c r="F400" i="2" s="1"/>
  <c r="I400" i="2" s="1"/>
  <c r="E399" i="2"/>
  <c r="G399" i="2" s="1"/>
  <c r="E398" i="2"/>
  <c r="E397" i="2"/>
  <c r="G397" i="2" s="1"/>
  <c r="E395" i="2"/>
  <c r="E394" i="2"/>
  <c r="E393" i="2"/>
  <c r="E392" i="2"/>
  <c r="E391" i="2"/>
  <c r="E389" i="2"/>
  <c r="E388" i="2"/>
  <c r="G388" i="2" s="1"/>
  <c r="E387" i="2"/>
  <c r="G387" i="2" s="1"/>
  <c r="E386" i="2"/>
  <c r="F386" i="2" s="1"/>
  <c r="I386" i="2" s="1"/>
  <c r="E385" i="2"/>
  <c r="G385" i="2" s="1"/>
  <c r="E384" i="2"/>
  <c r="E381" i="2"/>
  <c r="E379" i="2"/>
  <c r="E377" i="2"/>
  <c r="E375" i="2"/>
  <c r="E374" i="2"/>
  <c r="G374" i="2" s="1"/>
  <c r="E373" i="2"/>
  <c r="E372" i="2"/>
  <c r="E371" i="2"/>
  <c r="G371" i="2" s="1"/>
  <c r="E370" i="2"/>
  <c r="G370" i="2" s="1"/>
  <c r="E369" i="2"/>
  <c r="G369" i="2" s="1"/>
  <c r="E368" i="2"/>
  <c r="E367" i="2"/>
  <c r="E366" i="2"/>
  <c r="E365" i="2"/>
  <c r="G365" i="2" s="1"/>
  <c r="E364" i="2"/>
  <c r="E363" i="2"/>
  <c r="G363" i="2" s="1"/>
  <c r="E362" i="2"/>
  <c r="E361" i="2"/>
  <c r="G360" i="2"/>
  <c r="J360" i="2"/>
  <c r="H360" i="2" s="1"/>
  <c r="E359" i="2"/>
  <c r="G359" i="2" s="1"/>
  <c r="E358" i="2"/>
  <c r="G358" i="2" s="1"/>
  <c r="E356" i="2"/>
  <c r="E355" i="2"/>
  <c r="F355" i="2" s="1"/>
  <c r="K355" i="2" s="1"/>
  <c r="G354" i="2"/>
  <c r="F354" i="2"/>
  <c r="K354" i="2" s="1"/>
  <c r="E353" i="2"/>
  <c r="F353" i="2" s="1"/>
  <c r="K353" i="2" s="1"/>
  <c r="E351" i="2"/>
  <c r="E350" i="2"/>
  <c r="E349" i="2"/>
  <c r="F349" i="2" s="1"/>
  <c r="K349" i="2" s="1"/>
  <c r="E347" i="2"/>
  <c r="G347" i="2" s="1"/>
  <c r="E346" i="2"/>
  <c r="F346" i="2" s="1"/>
  <c r="K346" i="2" s="1"/>
  <c r="E343" i="2"/>
  <c r="G343" i="2" s="1"/>
  <c r="E341" i="2"/>
  <c r="F341" i="2" s="1"/>
  <c r="E340" i="2"/>
  <c r="G340" i="2" s="1"/>
  <c r="E339" i="2"/>
  <c r="F339" i="2" s="1"/>
  <c r="K339" i="2" s="1"/>
  <c r="E338" i="2"/>
  <c r="E337" i="2"/>
  <c r="E336" i="2"/>
  <c r="G336" i="2" s="1"/>
  <c r="E335" i="2"/>
  <c r="F335" i="2" s="1"/>
  <c r="K335" i="2" s="1"/>
  <c r="E333" i="2"/>
  <c r="G333" i="2" s="1"/>
  <c r="E332" i="2"/>
  <c r="F332" i="2" s="1"/>
  <c r="K332" i="2" s="1"/>
  <c r="E331" i="2"/>
  <c r="G331" i="2" s="1"/>
  <c r="E330" i="2"/>
  <c r="F330" i="2" s="1"/>
  <c r="K330" i="2" s="1"/>
  <c r="E329" i="2"/>
  <c r="E328" i="2"/>
  <c r="G328" i="2" s="1"/>
  <c r="E326" i="2"/>
  <c r="E325" i="2"/>
  <c r="E324" i="2"/>
  <c r="E323" i="2"/>
  <c r="E321" i="2"/>
  <c r="G321" i="2" s="1"/>
  <c r="E320" i="2"/>
  <c r="F320" i="2" s="1"/>
  <c r="J320" i="2" s="1"/>
  <c r="H320" i="2" s="1"/>
  <c r="E319" i="2"/>
  <c r="G319" i="2" s="1"/>
  <c r="E318" i="2"/>
  <c r="E317" i="2"/>
  <c r="F317" i="2" s="1"/>
  <c r="E316" i="2"/>
  <c r="G316" i="2" s="1"/>
  <c r="E314" i="2"/>
  <c r="E311" i="2"/>
  <c r="E309" i="2"/>
  <c r="F309" i="2" s="1"/>
  <c r="E308" i="2"/>
  <c r="G308" i="2" s="1"/>
  <c r="E306" i="2"/>
  <c r="F306" i="2" s="1"/>
  <c r="J306" i="2" s="1"/>
  <c r="H306" i="2" s="1"/>
  <c r="E304" i="2"/>
  <c r="F304" i="2" s="1"/>
  <c r="E303" i="2"/>
  <c r="F303" i="2" s="1"/>
  <c r="K303" i="2" s="1"/>
  <c r="E302" i="2"/>
  <c r="F302" i="2" s="1"/>
  <c r="K302" i="2" s="1"/>
  <c r="E300" i="2"/>
  <c r="E299" i="2"/>
  <c r="E298" i="2"/>
  <c r="G298" i="2" s="1"/>
  <c r="E297" i="2"/>
  <c r="E296" i="2"/>
  <c r="G296" i="2" s="1"/>
  <c r="E295" i="2"/>
  <c r="G295" i="2" s="1"/>
  <c r="E294" i="2"/>
  <c r="F294" i="2" s="1"/>
  <c r="E293" i="2"/>
  <c r="G293" i="2" s="1"/>
  <c r="E292" i="2"/>
  <c r="F292" i="2" s="1"/>
  <c r="J292" i="2" s="1"/>
  <c r="H292" i="2" s="1"/>
  <c r="E290" i="2"/>
  <c r="G290" i="2" s="1"/>
  <c r="E289" i="2"/>
  <c r="G289" i="2" s="1"/>
  <c r="E288" i="2"/>
  <c r="E287" i="2"/>
  <c r="E286" i="2"/>
  <c r="E285" i="2"/>
  <c r="E284" i="2"/>
  <c r="G284" i="2" s="1"/>
  <c r="E282" i="2"/>
  <c r="F282" i="2" s="1"/>
  <c r="J282" i="2" s="1"/>
  <c r="H282" i="2" s="1"/>
  <c r="E281" i="2"/>
  <c r="G281" i="2" s="1"/>
  <c r="E280" i="2"/>
  <c r="E279" i="2"/>
  <c r="F279" i="2" s="1"/>
  <c r="E277" i="2"/>
  <c r="G277" i="2" s="1"/>
  <c r="E274" i="2"/>
  <c r="G274" i="2" s="1"/>
  <c r="E272" i="2"/>
  <c r="G272" i="2" s="1"/>
  <c r="E271" i="2"/>
  <c r="G271" i="2" s="1"/>
  <c r="E270" i="2"/>
  <c r="F270" i="2" s="1"/>
  <c r="J270" i="2" s="1"/>
  <c r="H270" i="2" s="1"/>
  <c r="E269" i="2"/>
  <c r="G269" i="2" s="1"/>
  <c r="E268" i="2"/>
  <c r="F268" i="2" s="1"/>
  <c r="E267" i="2"/>
  <c r="F267" i="2" s="1"/>
  <c r="K267" i="2" s="1"/>
  <c r="E266" i="2"/>
  <c r="G266" i="2" s="1"/>
  <c r="E265" i="2"/>
  <c r="G265" i="2" s="1"/>
  <c r="E264" i="2"/>
  <c r="E263" i="2"/>
  <c r="E259" i="2"/>
  <c r="E258" i="2"/>
  <c r="G258" i="2" s="1"/>
  <c r="E257" i="2"/>
  <c r="G257" i="2" s="1"/>
  <c r="E256" i="2"/>
  <c r="F256" i="2" s="1"/>
  <c r="E255" i="2"/>
  <c r="G255" i="2" s="1"/>
  <c r="E254" i="2"/>
  <c r="F254" i="2" s="1"/>
  <c r="K254" i="2" s="1"/>
  <c r="E253" i="2"/>
  <c r="E252" i="2"/>
  <c r="G252" i="2" s="1"/>
  <c r="E249" i="2"/>
  <c r="E248" i="2"/>
  <c r="E247" i="2"/>
  <c r="E245" i="2"/>
  <c r="G245" i="2" s="1"/>
  <c r="E242" i="2"/>
  <c r="E241" i="2"/>
  <c r="G241" i="2" s="1"/>
  <c r="E240" i="2"/>
  <c r="G240" i="2" s="1"/>
  <c r="E236" i="2"/>
  <c r="E234" i="2"/>
  <c r="G234" i="2" s="1"/>
  <c r="E233" i="2"/>
  <c r="G233" i="2" s="1"/>
  <c r="E231" i="2"/>
  <c r="G231" i="2" s="1"/>
  <c r="E230" i="2"/>
  <c r="F230" i="2" s="1"/>
  <c r="K230" i="2" s="1"/>
  <c r="E229" i="2"/>
  <c r="G229" i="2" s="1"/>
  <c r="E228" i="2"/>
  <c r="E227" i="2"/>
  <c r="E226" i="2"/>
  <c r="E225" i="2"/>
  <c r="G225" i="2" s="1"/>
  <c r="E224" i="2"/>
  <c r="E221" i="2"/>
  <c r="E217" i="2"/>
  <c r="G217" i="2" s="1"/>
  <c r="E215" i="2"/>
  <c r="G215" i="2" s="1"/>
  <c r="E214" i="2"/>
  <c r="E213" i="2"/>
  <c r="F213" i="2" s="1"/>
  <c r="K213" i="2" s="1"/>
  <c r="E211" i="2"/>
  <c r="G211" i="2" s="1"/>
  <c r="E210" i="2"/>
  <c r="E209" i="2"/>
  <c r="G208" i="2"/>
  <c r="E207" i="2"/>
  <c r="F207" i="2" s="1"/>
  <c r="E206" i="2"/>
  <c r="G206" i="2" s="1"/>
  <c r="E205" i="2"/>
  <c r="G205" i="2" s="1"/>
  <c r="E203" i="2"/>
  <c r="G203" i="2" s="1"/>
  <c r="E202" i="2"/>
  <c r="F202" i="2" s="1"/>
  <c r="E201" i="2"/>
  <c r="E200" i="2"/>
  <c r="G200" i="2" s="1"/>
  <c r="E199" i="2"/>
  <c r="F199" i="2" s="1"/>
  <c r="K199" i="2" s="1"/>
  <c r="E198" i="2"/>
  <c r="E197" i="2"/>
  <c r="E195" i="2"/>
  <c r="E194" i="2"/>
  <c r="G194" i="2" s="1"/>
  <c r="E193" i="2"/>
  <c r="G193" i="2" s="1"/>
  <c r="E191" i="2"/>
  <c r="F191" i="2" s="1"/>
  <c r="I191" i="2" s="1"/>
  <c r="E190" i="2"/>
  <c r="E189" i="2"/>
  <c r="E187" i="2"/>
  <c r="F187" i="2" s="1"/>
  <c r="K187" i="2" s="1"/>
  <c r="E186" i="2"/>
  <c r="E185" i="2"/>
  <c r="E184" i="2"/>
  <c r="F184" i="2" s="1"/>
  <c r="E183" i="2"/>
  <c r="G182" i="2"/>
  <c r="E181" i="2"/>
  <c r="E180" i="2"/>
  <c r="E179" i="2"/>
  <c r="G179" i="2" s="1"/>
  <c r="E178" i="2"/>
  <c r="G178" i="2" s="1"/>
  <c r="E177" i="2"/>
  <c r="G177" i="2" s="1"/>
  <c r="E176" i="2"/>
  <c r="G176" i="2" s="1"/>
  <c r="E174" i="2"/>
  <c r="E173" i="2"/>
  <c r="G173" i="2" s="1"/>
  <c r="E172" i="2"/>
  <c r="F172" i="2" s="1"/>
  <c r="K172" i="2" s="1"/>
  <c r="E171" i="2"/>
  <c r="G171" i="2" s="1"/>
  <c r="E169" i="2"/>
  <c r="G169" i="2" s="1"/>
  <c r="E167" i="2"/>
  <c r="F167" i="2" s="1"/>
  <c r="K167" i="2" s="1"/>
  <c r="E166" i="2"/>
  <c r="E164" i="2"/>
  <c r="F164" i="2" s="1"/>
  <c r="K163" i="2"/>
  <c r="E162" i="2"/>
  <c r="G162" i="2" s="1"/>
  <c r="E158" i="2"/>
  <c r="G158" i="2" s="1"/>
  <c r="E155" i="2"/>
  <c r="G155" i="2" s="1"/>
  <c r="E154" i="2"/>
  <c r="E153" i="2"/>
  <c r="F153" i="2" s="1"/>
  <c r="I153" i="2" s="1"/>
  <c r="E151" i="2"/>
  <c r="G151" i="2" s="1"/>
  <c r="E149" i="2"/>
  <c r="E148" i="2"/>
  <c r="G148" i="2" s="1"/>
  <c r="E147" i="2"/>
  <c r="G147" i="2" s="1"/>
  <c r="E146" i="2"/>
  <c r="G146" i="2" s="1"/>
  <c r="E145" i="2"/>
  <c r="E143" i="2"/>
  <c r="G143" i="2" s="1"/>
  <c r="E142" i="2"/>
  <c r="E141" i="2"/>
  <c r="F141" i="2" s="1"/>
  <c r="K141" i="2" s="1"/>
  <c r="E140" i="2"/>
  <c r="E139" i="2"/>
  <c r="G139" i="2" s="1"/>
  <c r="E138" i="2"/>
  <c r="F138" i="2" s="1"/>
  <c r="E137" i="2"/>
  <c r="E136" i="2"/>
  <c r="G136" i="2" s="1"/>
  <c r="E135" i="2"/>
  <c r="G135" i="2" s="1"/>
  <c r="E133" i="2"/>
  <c r="E131" i="2"/>
  <c r="E130" i="2"/>
  <c r="F130" i="2" s="1"/>
  <c r="E129" i="2"/>
  <c r="G129" i="2" s="1"/>
  <c r="E125" i="2"/>
  <c r="F125" i="2" s="1"/>
  <c r="K125" i="2" s="1"/>
  <c r="E124" i="2"/>
  <c r="F124" i="2" s="1"/>
  <c r="E123" i="2"/>
  <c r="E122" i="2"/>
  <c r="G122" i="2" s="1"/>
  <c r="E121" i="2"/>
  <c r="F121" i="2" s="1"/>
  <c r="J121" i="2" s="1"/>
  <c r="H121" i="2" s="1"/>
  <c r="E120" i="2"/>
  <c r="G120" i="2" s="1"/>
  <c r="E119" i="2"/>
  <c r="E118" i="2"/>
  <c r="E117" i="2"/>
  <c r="G117" i="2" s="1"/>
  <c r="E116" i="2"/>
  <c r="F116" i="2" s="1"/>
  <c r="E115" i="2"/>
  <c r="G115" i="2" s="1"/>
  <c r="E113" i="2"/>
  <c r="G113" i="2" s="1"/>
  <c r="E112" i="2"/>
  <c r="F112" i="2" s="1"/>
  <c r="E110" i="2"/>
  <c r="G110" i="2" s="1"/>
  <c r="E109" i="2"/>
  <c r="F109" i="2" s="1"/>
  <c r="J109" i="2" s="1"/>
  <c r="H109" i="2" s="1"/>
  <c r="E108" i="2"/>
  <c r="G108" i="2" s="1"/>
  <c r="E106" i="2"/>
  <c r="E105" i="2"/>
  <c r="G105" i="2" s="1"/>
  <c r="E104" i="2"/>
  <c r="F104" i="2" s="1"/>
  <c r="E103" i="2"/>
  <c r="F103" i="2" s="1"/>
  <c r="K103" i="2" s="1"/>
  <c r="E101" i="2"/>
  <c r="G101" i="2" s="1"/>
  <c r="E98" i="2"/>
  <c r="F98" i="2" s="1"/>
  <c r="E97" i="2"/>
  <c r="G97" i="2" s="1"/>
  <c r="E96" i="2"/>
  <c r="G96" i="2" s="1"/>
  <c r="E94" i="2"/>
  <c r="E93" i="2"/>
  <c r="E92" i="2"/>
  <c r="F92" i="2" s="1"/>
  <c r="E91" i="2"/>
  <c r="G91" i="2" s="1"/>
  <c r="E89" i="2"/>
  <c r="G89" i="2" s="1"/>
  <c r="E88" i="2"/>
  <c r="E86" i="2"/>
  <c r="E85" i="2"/>
  <c r="G85" i="2" s="1"/>
  <c r="E84" i="2"/>
  <c r="F84" i="2" s="1"/>
  <c r="K84" i="2" s="1"/>
  <c r="E83" i="2"/>
  <c r="E82" i="2"/>
  <c r="E81" i="2"/>
  <c r="G81" i="2" s="1"/>
  <c r="E79" i="2"/>
  <c r="F79" i="2" s="1"/>
  <c r="K79" i="2" s="1"/>
  <c r="E78" i="2"/>
  <c r="G78" i="2" s="1"/>
  <c r="K77" i="2"/>
  <c r="G77" i="2"/>
  <c r="E76" i="2"/>
  <c r="E75" i="2"/>
  <c r="E73" i="2"/>
  <c r="G73" i="2" s="1"/>
  <c r="E71" i="2"/>
  <c r="E70" i="2"/>
  <c r="E69" i="2"/>
  <c r="E67" i="2"/>
  <c r="F67" i="2" s="1"/>
  <c r="K67" i="2" s="1"/>
  <c r="E65" i="2"/>
  <c r="G65" i="2" s="1"/>
  <c r="E64" i="2"/>
  <c r="E63" i="2"/>
  <c r="E62" i="2"/>
  <c r="G62" i="2" s="1"/>
  <c r="E61" i="2"/>
  <c r="F61" i="2" s="1"/>
  <c r="J61" i="2" s="1"/>
  <c r="H61" i="2" s="1"/>
  <c r="E59" i="2"/>
  <c r="E56" i="2"/>
  <c r="E55" i="2"/>
  <c r="F55" i="2" s="1"/>
  <c r="J55" i="2" s="1"/>
  <c r="H55" i="2" s="1"/>
  <c r="E54" i="2"/>
  <c r="E53" i="2"/>
  <c r="G53" i="2" s="1"/>
  <c r="E52" i="2"/>
  <c r="G52" i="2" s="1"/>
  <c r="E51" i="2"/>
  <c r="G51" i="2" s="1"/>
  <c r="E49" i="2"/>
  <c r="E48" i="2"/>
  <c r="G48" i="2" s="1"/>
  <c r="E47" i="2"/>
  <c r="G47" i="2" s="1"/>
  <c r="E46" i="2"/>
  <c r="F46" i="2" s="1"/>
  <c r="K46" i="2" s="1"/>
  <c r="E45" i="2"/>
  <c r="E44" i="2"/>
  <c r="E43" i="2"/>
  <c r="E42" i="2"/>
  <c r="F42" i="2" s="1"/>
  <c r="E41" i="2"/>
  <c r="G41" i="2" s="1"/>
  <c r="F39" i="2"/>
  <c r="I39" i="2" s="1"/>
  <c r="G39" i="2"/>
  <c r="E38" i="2"/>
  <c r="G38" i="2" s="1"/>
  <c r="E37" i="2"/>
  <c r="E36" i="2"/>
  <c r="F36" i="2" s="1"/>
  <c r="I36" i="2" s="1"/>
  <c r="E35" i="2"/>
  <c r="G35" i="2" s="1"/>
  <c r="E33" i="2"/>
  <c r="E32" i="2"/>
  <c r="E30" i="2"/>
  <c r="F30" i="2" s="1"/>
  <c r="E29" i="2"/>
  <c r="G29" i="2" s="1"/>
  <c r="E26" i="2"/>
  <c r="G26" i="2" s="1"/>
  <c r="E24" i="2"/>
  <c r="G24" i="2" s="1"/>
  <c r="E23" i="2"/>
  <c r="E21" i="2"/>
  <c r="G21" i="2" s="1"/>
  <c r="G20" i="2"/>
  <c r="E20" i="2"/>
  <c r="F20" i="2" s="1"/>
  <c r="K20" i="2" s="1"/>
  <c r="E18" i="2"/>
  <c r="E17" i="2"/>
  <c r="F17" i="2" s="1"/>
  <c r="E15" i="2"/>
  <c r="E14" i="2"/>
  <c r="G14" i="2" s="1"/>
  <c r="E13" i="2"/>
  <c r="G13" i="2" s="1"/>
  <c r="E12" i="2"/>
  <c r="E11" i="2"/>
  <c r="E7" i="2"/>
  <c r="F7" i="2" s="1"/>
  <c r="E5" i="2"/>
  <c r="E4" i="2"/>
  <c r="E3" i="2"/>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F980" i="2" l="1"/>
  <c r="F825" i="2"/>
  <c r="J825" i="2" s="1"/>
  <c r="H825" i="2" s="1"/>
  <c r="F1040" i="2"/>
  <c r="I1040" i="2" s="1"/>
  <c r="G153" i="2"/>
  <c r="F889" i="2"/>
  <c r="I889" i="2" s="1"/>
  <c r="F958" i="2"/>
  <c r="J958" i="2" s="1"/>
  <c r="F491" i="2"/>
  <c r="I491" i="2" s="1"/>
  <c r="F994" i="2"/>
  <c r="I994" i="2" s="1"/>
  <c r="F929" i="2"/>
  <c r="I929" i="2" s="1"/>
  <c r="F995" i="2"/>
  <c r="I995" i="2" s="1"/>
  <c r="F750" i="2"/>
  <c r="J750" i="2" s="1"/>
  <c r="H750" i="2" s="1"/>
  <c r="F845" i="2"/>
  <c r="J845" i="2" s="1"/>
  <c r="F494" i="2"/>
  <c r="I494" i="2" s="1"/>
  <c r="F705" i="2"/>
  <c r="I705" i="2" s="1"/>
  <c r="F801" i="2"/>
  <c r="J801" i="2" s="1"/>
  <c r="H801" i="2" s="1"/>
  <c r="F829" i="2"/>
  <c r="I829" i="2" s="1"/>
  <c r="F869" i="2"/>
  <c r="I869" i="2" s="1"/>
  <c r="F758" i="2"/>
  <c r="J758" i="2" s="1"/>
  <c r="F790" i="2"/>
  <c r="J790" i="2" s="1"/>
  <c r="H790" i="2" s="1"/>
  <c r="F862" i="2"/>
  <c r="K862" i="2" s="1"/>
  <c r="G679" i="2"/>
  <c r="F854" i="2"/>
  <c r="I854" i="2" s="1"/>
  <c r="G98" i="2"/>
  <c r="F777" i="2"/>
  <c r="I777" i="2" s="1"/>
  <c r="F779" i="2"/>
  <c r="I779" i="2" s="1"/>
  <c r="F877" i="2"/>
  <c r="I877" i="2" s="1"/>
  <c r="F471" i="2"/>
  <c r="J471" i="2" s="1"/>
  <c r="H471" i="2" s="1"/>
  <c r="F822" i="2"/>
  <c r="I822" i="2" s="1"/>
  <c r="F860" i="2"/>
  <c r="I860" i="2" s="1"/>
  <c r="K860" i="2"/>
  <c r="G184" i="2"/>
  <c r="G332" i="2"/>
  <c r="G551" i="2"/>
  <c r="F229" i="2"/>
  <c r="J229" i="2" s="1"/>
  <c r="H229" i="2" s="1"/>
  <c r="F739" i="2"/>
  <c r="K739" i="2" s="1"/>
  <c r="G760" i="2"/>
  <c r="F19" i="2"/>
  <c r="I19" i="2" s="1"/>
  <c r="G121" i="2"/>
  <c r="F435" i="2"/>
  <c r="I435" i="2" s="1"/>
  <c r="F591" i="2"/>
  <c r="J591" i="2" s="1"/>
  <c r="G716" i="2"/>
  <c r="F798" i="2"/>
  <c r="I798" i="2" s="1"/>
  <c r="F978" i="2"/>
  <c r="G141" i="2"/>
  <c r="F1086" i="2"/>
  <c r="I1086" i="2" s="1"/>
  <c r="F272" i="2"/>
  <c r="J272" i="2" s="1"/>
  <c r="H272" i="2" s="1"/>
  <c r="G582" i="2"/>
  <c r="F746" i="2"/>
  <c r="J746" i="2" s="1"/>
  <c r="F568" i="2"/>
  <c r="I568" i="2" s="1"/>
  <c r="F631" i="2"/>
  <c r="K631" i="2" s="1"/>
  <c r="G213" i="2"/>
  <c r="F265" i="2"/>
  <c r="K265" i="2" s="1"/>
  <c r="F964" i="2"/>
  <c r="K964" i="2" s="1"/>
  <c r="F396" i="2"/>
  <c r="K396" i="2" s="1"/>
  <c r="F604" i="2"/>
  <c r="I604" i="2" s="1"/>
  <c r="G917" i="2"/>
  <c r="G515" i="2"/>
  <c r="F689" i="2"/>
  <c r="K689" i="2" s="1"/>
  <c r="F489" i="2"/>
  <c r="K489" i="2" s="1"/>
  <c r="F518" i="2"/>
  <c r="J518" i="2" s="1"/>
  <c r="H518" i="2" s="1"/>
  <c r="F1013" i="2"/>
  <c r="G400" i="2"/>
  <c r="F755" i="2"/>
  <c r="I755" i="2" s="1"/>
  <c r="G501" i="2"/>
  <c r="G525" i="2"/>
  <c r="F416" i="2"/>
  <c r="J416" i="2" s="1"/>
  <c r="H416" i="2" s="1"/>
  <c r="F543" i="2"/>
  <c r="I543" i="2" s="1"/>
  <c r="G876" i="2"/>
  <c r="F135" i="2"/>
  <c r="J135" i="2" s="1"/>
  <c r="H135" i="2" s="1"/>
  <c r="F529" i="2"/>
  <c r="J529" i="2" s="1"/>
  <c r="H529" i="2" s="1"/>
  <c r="F206" i="2"/>
  <c r="K206" i="2" s="1"/>
  <c r="F296" i="2"/>
  <c r="J296" i="2" s="1"/>
  <c r="H296" i="2" s="1"/>
  <c r="F440" i="2"/>
  <c r="F468" i="2"/>
  <c r="J468" i="2" s="1"/>
  <c r="H468" i="2" s="1"/>
  <c r="F13" i="2"/>
  <c r="I13" i="2" s="1"/>
  <c r="F380" i="2"/>
  <c r="K380" i="2" s="1"/>
  <c r="K863" i="2"/>
  <c r="F1058" i="2"/>
  <c r="K1058" i="2" s="1"/>
  <c r="F691" i="2"/>
  <c r="I691" i="2" s="1"/>
  <c r="F194" i="2"/>
  <c r="J194" i="2" s="1"/>
  <c r="H194" i="2" s="1"/>
  <c r="F423" i="2"/>
  <c r="J423" i="2" s="1"/>
  <c r="H423" i="2" s="1"/>
  <c r="F469" i="2"/>
  <c r="K469" i="2" s="1"/>
  <c r="G187" i="2"/>
  <c r="F266" i="2"/>
  <c r="K266" i="2" s="1"/>
  <c r="F563" i="2"/>
  <c r="J563" i="2" s="1"/>
  <c r="H563" i="2" s="1"/>
  <c r="F200" i="2"/>
  <c r="K200" i="2" s="1"/>
  <c r="F918" i="2"/>
  <c r="I918" i="2" s="1"/>
  <c r="G987" i="2"/>
  <c r="F47" i="2"/>
  <c r="J47" i="2" s="1"/>
  <c r="H47" i="2" s="1"/>
  <c r="G79" i="2"/>
  <c r="F115" i="2"/>
  <c r="I115" i="2" s="1"/>
  <c r="F289" i="2"/>
  <c r="K289" i="2" s="1"/>
  <c r="F425" i="2"/>
  <c r="K425" i="2" s="1"/>
  <c r="F1004" i="2"/>
  <c r="K1004" i="2" s="1"/>
  <c r="G172" i="2"/>
  <c r="F327" i="2"/>
  <c r="J327" i="2" s="1"/>
  <c r="H327" i="2" s="1"/>
  <c r="F401" i="2"/>
  <c r="I401" i="2" s="1"/>
  <c r="F576" i="2"/>
  <c r="J576" i="2" s="1"/>
  <c r="G256" i="2"/>
  <c r="F890" i="2"/>
  <c r="K890" i="2" s="1"/>
  <c r="F979" i="2"/>
  <c r="K979" i="2" s="1"/>
  <c r="F173" i="2"/>
  <c r="K173" i="2" s="1"/>
  <c r="G654" i="2"/>
  <c r="F703" i="2"/>
  <c r="K703" i="2" s="1"/>
  <c r="F762" i="2"/>
  <c r="K762" i="2" s="1"/>
  <c r="F129" i="2"/>
  <c r="K129" i="2" s="1"/>
  <c r="F348" i="2"/>
  <c r="J348" i="2" s="1"/>
  <c r="H348" i="2" s="1"/>
  <c r="F412" i="2"/>
  <c r="I412" i="2" s="1"/>
  <c r="F666" i="2"/>
  <c r="K666" i="2" s="1"/>
  <c r="G772" i="2"/>
  <c r="F648" i="2"/>
  <c r="K648" i="2" s="1"/>
  <c r="G675" i="2"/>
  <c r="F694" i="2"/>
  <c r="K694" i="2" s="1"/>
  <c r="F1048" i="2"/>
  <c r="I1048" i="2" s="1"/>
  <c r="F9" i="2"/>
  <c r="J9" i="2" s="1"/>
  <c r="F62" i="2"/>
  <c r="I62" i="2" s="1"/>
  <c r="F85" i="2"/>
  <c r="J85" i="2" s="1"/>
  <c r="H85" i="2" s="1"/>
  <c r="F110" i="2"/>
  <c r="K110" i="2" s="1"/>
  <c r="G167" i="2"/>
  <c r="F176" i="2"/>
  <c r="I176" i="2" s="1"/>
  <c r="G270" i="2"/>
  <c r="G294" i="2"/>
  <c r="G349" i="2"/>
  <c r="F370" i="2"/>
  <c r="K370" i="2" s="1"/>
  <c r="F413" i="2"/>
  <c r="J413" i="2" s="1"/>
  <c r="H413" i="2" s="1"/>
  <c r="G439" i="2"/>
  <c r="G540" i="2"/>
  <c r="G794" i="2"/>
  <c r="F838" i="2"/>
  <c r="K838" i="2" s="1"/>
  <c r="F981" i="2"/>
  <c r="I981" i="2" s="1"/>
  <c r="F993" i="2"/>
  <c r="K993" i="2" s="1"/>
  <c r="F1001" i="2"/>
  <c r="J1001" i="2" s="1"/>
  <c r="H1001" i="2" s="1"/>
  <c r="K315" i="2"/>
  <c r="G346" i="2"/>
  <c r="F474" i="2"/>
  <c r="K474" i="2" s="1"/>
  <c r="F301" i="2"/>
  <c r="J301" i="2" s="1"/>
  <c r="H301" i="2" s="1"/>
  <c r="F597" i="2"/>
  <c r="K597" i="2" s="1"/>
  <c r="F1027" i="2"/>
  <c r="F246" i="2"/>
  <c r="J246" i="2" s="1"/>
  <c r="H246" i="2" s="1"/>
  <c r="F487" i="2"/>
  <c r="J487" i="2" s="1"/>
  <c r="H487" i="2" s="1"/>
  <c r="F97" i="2"/>
  <c r="J97" i="2" s="1"/>
  <c r="H97" i="2" s="1"/>
  <c r="G282" i="2"/>
  <c r="F891" i="2"/>
  <c r="K891" i="2" s="1"/>
  <c r="F204" i="2"/>
  <c r="I204" i="2" s="1"/>
  <c r="F211" i="2"/>
  <c r="K211" i="2" s="1"/>
  <c r="G320" i="2"/>
  <c r="F340" i="2"/>
  <c r="K340" i="2" s="1"/>
  <c r="G508" i="2"/>
  <c r="F549" i="2"/>
  <c r="K549" i="2" s="1"/>
  <c r="F558" i="2"/>
  <c r="J558" i="2" s="1"/>
  <c r="H558" i="2" s="1"/>
  <c r="F630" i="2"/>
  <c r="F659" i="2"/>
  <c r="J659" i="2" s="1"/>
  <c r="H659" i="2" s="1"/>
  <c r="F872" i="2"/>
  <c r="J872" i="2" s="1"/>
  <c r="H872" i="2" s="1"/>
  <c r="J923" i="2"/>
  <c r="H923" i="2" s="1"/>
  <c r="G941" i="2"/>
  <c r="G950" i="2"/>
  <c r="F1010" i="2"/>
  <c r="J1010" i="2" s="1"/>
  <c r="F614" i="2"/>
  <c r="J614" i="2" s="1"/>
  <c r="F858" i="2"/>
  <c r="J858" i="2" s="1"/>
  <c r="F136" i="2"/>
  <c r="J136" i="2" s="1"/>
  <c r="H136" i="2" s="1"/>
  <c r="G125" i="2"/>
  <c r="F291" i="2"/>
  <c r="J291" i="2" s="1"/>
  <c r="H291" i="2" s="1"/>
  <c r="F711" i="2"/>
  <c r="K711" i="2" s="1"/>
  <c r="F48" i="2"/>
  <c r="I48" i="2" s="1"/>
  <c r="F117" i="2"/>
  <c r="J117" i="2" s="1"/>
  <c r="H117" i="2" s="1"/>
  <c r="F192" i="2"/>
  <c r="I192" i="2" s="1"/>
  <c r="F369" i="2"/>
  <c r="J369" i="2" s="1"/>
  <c r="H369" i="2" s="1"/>
  <c r="F939" i="2"/>
  <c r="F1018" i="2"/>
  <c r="I251" i="2"/>
  <c r="G306" i="2"/>
  <c r="F399" i="2"/>
  <c r="J399" i="2" s="1"/>
  <c r="H399" i="2" s="1"/>
  <c r="G611" i="2"/>
  <c r="F649" i="2"/>
  <c r="K649" i="2" s="1"/>
  <c r="G715" i="2"/>
  <c r="G766" i="2"/>
  <c r="F177" i="2"/>
  <c r="I177" i="2" s="1"/>
  <c r="F334" i="2"/>
  <c r="J334" i="2" s="1"/>
  <c r="H334" i="2" s="1"/>
  <c r="F178" i="2"/>
  <c r="I178" i="2" s="1"/>
  <c r="F241" i="2"/>
  <c r="J241" i="2" s="1"/>
  <c r="H241" i="2" s="1"/>
  <c r="F162" i="2"/>
  <c r="J162" i="2" s="1"/>
  <c r="H162" i="2" s="1"/>
  <c r="F645" i="2"/>
  <c r="I645" i="2" s="1"/>
  <c r="F244" i="2"/>
  <c r="K244" i="2" s="1"/>
  <c r="G456" i="2"/>
  <c r="K60" i="2"/>
  <c r="F220" i="2"/>
  <c r="J220" i="2" s="1"/>
  <c r="H220" i="2" s="1"/>
  <c r="F358" i="2"/>
  <c r="I358" i="2" s="1"/>
  <c r="F477" i="2"/>
  <c r="I477" i="2" s="1"/>
  <c r="F513" i="2"/>
  <c r="F232" i="2"/>
  <c r="J232" i="2" s="1"/>
  <c r="F602" i="2"/>
  <c r="J602" i="2" s="1"/>
  <c r="H602" i="2" s="1"/>
  <c r="F678" i="2"/>
  <c r="K678" i="2" s="1"/>
  <c r="F817" i="2"/>
  <c r="I817" i="2" s="1"/>
  <c r="F905" i="2"/>
  <c r="K905" i="2" s="1"/>
  <c r="F24" i="2"/>
  <c r="J24" i="2" s="1"/>
  <c r="H24" i="2" s="1"/>
  <c r="G67" i="2"/>
  <c r="F175" i="2"/>
  <c r="I175" i="2" s="1"/>
  <c r="G335" i="2"/>
  <c r="F465" i="2"/>
  <c r="I465" i="2" s="1"/>
  <c r="F25" i="2"/>
  <c r="J25" i="2" s="1"/>
  <c r="H25" i="2" s="1"/>
  <c r="F811" i="2"/>
  <c r="K811" i="2" s="1"/>
  <c r="G859" i="2"/>
  <c r="F328" i="2"/>
  <c r="K328" i="2" s="1"/>
  <c r="F634" i="2"/>
  <c r="K634" i="2" s="1"/>
  <c r="F899" i="2"/>
  <c r="K899" i="2" s="1"/>
  <c r="G109" i="2"/>
  <c r="G722" i="2"/>
  <c r="F212" i="2"/>
  <c r="J212" i="2" s="1"/>
  <c r="F239" i="2"/>
  <c r="J239" i="2" s="1"/>
  <c r="F21" i="2"/>
  <c r="J21" i="2" s="1"/>
  <c r="H21" i="2" s="1"/>
  <c r="F35" i="2"/>
  <c r="J35" i="2" s="1"/>
  <c r="H35" i="2" s="1"/>
  <c r="G46" i="2"/>
  <c r="F53" i="2"/>
  <c r="K53" i="2" s="1"/>
  <c r="F89" i="2"/>
  <c r="J89" i="2" s="1"/>
  <c r="H89" i="2" s="1"/>
  <c r="F113" i="2"/>
  <c r="K113" i="2" s="1"/>
  <c r="F143" i="2"/>
  <c r="K143" i="2" s="1"/>
  <c r="F171" i="2"/>
  <c r="K171" i="2" s="1"/>
  <c r="F240" i="2"/>
  <c r="I240" i="2" s="1"/>
  <c r="F342" i="2"/>
  <c r="I342" i="2" s="1"/>
  <c r="F424" i="2"/>
  <c r="K424" i="2" s="1"/>
  <c r="G463" i="2"/>
  <c r="F552" i="2"/>
  <c r="K552" i="2" s="1"/>
  <c r="G579" i="2"/>
  <c r="F605" i="2"/>
  <c r="K605" i="2" s="1"/>
  <c r="G690" i="2"/>
  <c r="G831" i="2"/>
  <c r="G15" i="2"/>
  <c r="F15" i="2"/>
  <c r="K15" i="2" s="1"/>
  <c r="F277" i="2"/>
  <c r="K277" i="2" s="1"/>
  <c r="G488" i="2"/>
  <c r="F1078" i="2"/>
  <c r="K1078" i="2" s="1"/>
  <c r="F473" i="2"/>
  <c r="I473" i="2" s="1"/>
  <c r="F161" i="2"/>
  <c r="J161" i="2" s="1"/>
  <c r="F308" i="2"/>
  <c r="J308" i="2" s="1"/>
  <c r="H308" i="2" s="1"/>
  <c r="G742" i="2"/>
  <c r="G914" i="2"/>
  <c r="F914" i="2"/>
  <c r="K914" i="2" s="1"/>
  <c r="G938" i="2"/>
  <c r="G36" i="2"/>
  <c r="G84" i="2"/>
  <c r="F148" i="2"/>
  <c r="K148" i="2" s="1"/>
  <c r="G191" i="2"/>
  <c r="G199" i="2"/>
  <c r="G230" i="2"/>
  <c r="G302" i="2"/>
  <c r="G366" i="2"/>
  <c r="F366" i="2"/>
  <c r="K366" i="2" s="1"/>
  <c r="F387" i="2"/>
  <c r="J387" i="2" s="1"/>
  <c r="H387" i="2" s="1"/>
  <c r="G411" i="2"/>
  <c r="G419" i="2"/>
  <c r="F419" i="2"/>
  <c r="K419" i="2" s="1"/>
  <c r="F461" i="2"/>
  <c r="K461" i="2" s="1"/>
  <c r="G542" i="2"/>
  <c r="F593" i="2"/>
  <c r="J593" i="2" s="1"/>
  <c r="H593" i="2" s="1"/>
  <c r="F717" i="2"/>
  <c r="I717" i="2" s="1"/>
  <c r="G725" i="2"/>
  <c r="F725" i="2"/>
  <c r="K725" i="2" s="1"/>
  <c r="G810" i="2"/>
  <c r="G846" i="2"/>
  <c r="F870" i="2"/>
  <c r="I870" i="2" s="1"/>
  <c r="K965" i="2"/>
  <c r="F1036" i="2"/>
  <c r="G1066" i="2"/>
  <c r="K208" i="2"/>
  <c r="F640" i="2"/>
  <c r="I640" i="2" s="1"/>
  <c r="F699" i="2"/>
  <c r="J699" i="2" s="1"/>
  <c r="H699" i="2" s="1"/>
  <c r="F732" i="2"/>
  <c r="G764" i="2"/>
  <c r="I764" i="2"/>
  <c r="G815" i="2"/>
  <c r="F791" i="2"/>
  <c r="K791" i="2" s="1"/>
  <c r="G791" i="2"/>
  <c r="G372" i="2"/>
  <c r="F372" i="2"/>
  <c r="J372" i="2" s="1"/>
  <c r="H372" i="2" s="1"/>
  <c r="F823" i="2"/>
  <c r="K823" i="2" s="1"/>
  <c r="F51" i="2"/>
  <c r="K51" i="2" s="1"/>
  <c r="G520" i="2"/>
  <c r="G1007" i="2"/>
  <c r="G103" i="2"/>
  <c r="F357" i="2"/>
  <c r="G855" i="2"/>
  <c r="F744" i="2"/>
  <c r="K744" i="2" s="1"/>
  <c r="G744" i="2"/>
  <c r="F168" i="2"/>
  <c r="J168" i="2" s="1"/>
  <c r="H168" i="2" s="1"/>
  <c r="F91" i="2"/>
  <c r="K91" i="2" s="1"/>
  <c r="F252" i="2"/>
  <c r="K252" i="2" s="1"/>
  <c r="F284" i="2"/>
  <c r="J284" i="2" s="1"/>
  <c r="H284" i="2" s="1"/>
  <c r="F316" i="2"/>
  <c r="K316" i="2" s="1"/>
  <c r="G339" i="2"/>
  <c r="K449" i="2"/>
  <c r="G783" i="2"/>
  <c r="F816" i="2"/>
  <c r="I816" i="2" s="1"/>
  <c r="F912" i="2"/>
  <c r="K912" i="2" s="1"/>
  <c r="G553" i="2"/>
  <c r="F74" i="2"/>
  <c r="I74" i="2" s="1"/>
  <c r="G668" i="2"/>
  <c r="F724" i="2"/>
  <c r="K724" i="2" s="1"/>
  <c r="F434" i="2"/>
  <c r="K434" i="2" s="1"/>
  <c r="F502" i="2"/>
  <c r="I502" i="2" s="1"/>
  <c r="F537" i="2"/>
  <c r="F619" i="2"/>
  <c r="K619" i="2" s="1"/>
  <c r="F628" i="2"/>
  <c r="J628" i="2" s="1"/>
  <c r="H628" i="2" s="1"/>
  <c r="F662" i="2"/>
  <c r="K662" i="2" s="1"/>
  <c r="F718" i="2"/>
  <c r="K718" i="2" s="1"/>
  <c r="G718" i="2"/>
  <c r="F737" i="2"/>
  <c r="I737" i="2" s="1"/>
  <c r="G745" i="2"/>
  <c r="F745" i="2"/>
  <c r="J745" i="2" s="1"/>
  <c r="H745" i="2" s="1"/>
  <c r="F768" i="2"/>
  <c r="J768" i="2" s="1"/>
  <c r="H768" i="2" s="1"/>
  <c r="G803" i="2"/>
  <c r="G847" i="2"/>
  <c r="F871" i="2"/>
  <c r="K871" i="2" s="1"/>
  <c r="F1092" i="2"/>
  <c r="K1092" i="2" s="1"/>
  <c r="G323" i="2"/>
  <c r="F323" i="2"/>
  <c r="K323" i="2" s="1"/>
  <c r="G622" i="2"/>
  <c r="F622" i="2"/>
  <c r="K622" i="2" s="1"/>
  <c r="F5" i="2"/>
  <c r="K5" i="2" s="1"/>
  <c r="G5" i="2"/>
  <c r="G616" i="2"/>
  <c r="F616" i="2"/>
  <c r="J616" i="2" s="1"/>
  <c r="H616" i="2" s="1"/>
  <c r="F101" i="2"/>
  <c r="K101" i="2" s="1"/>
  <c r="F147" i="2"/>
  <c r="J147" i="2" s="1"/>
  <c r="H147" i="2" s="1"/>
  <c r="G285" i="2"/>
  <c r="F285" i="2"/>
  <c r="K285" i="2" s="1"/>
  <c r="F482" i="2"/>
  <c r="I482" i="2" s="1"/>
  <c r="G482" i="2"/>
  <c r="G450" i="2"/>
  <c r="F450" i="2"/>
  <c r="K450" i="2" s="1"/>
  <c r="F885" i="2"/>
  <c r="G1017" i="2"/>
  <c r="F8" i="2"/>
  <c r="K8" i="2" s="1"/>
  <c r="F278" i="2"/>
  <c r="K278" i="2" s="1"/>
  <c r="G975" i="2"/>
  <c r="F975" i="2"/>
  <c r="J975" i="2" s="1"/>
  <c r="H975" i="2" s="1"/>
  <c r="F29" i="2"/>
  <c r="K29" i="2" s="1"/>
  <c r="F65" i="2"/>
  <c r="I65" i="2" s="1"/>
  <c r="G86" i="2"/>
  <c r="F86" i="2"/>
  <c r="K86" i="2" s="1"/>
  <c r="F122" i="2"/>
  <c r="J122" i="2" s="1"/>
  <c r="H122" i="2" s="1"/>
  <c r="F343" i="2"/>
  <c r="K343" i="2" s="1"/>
  <c r="F388" i="2"/>
  <c r="I388" i="2" s="1"/>
  <c r="G462" i="2"/>
  <c r="F532" i="2"/>
  <c r="J532" i="2" s="1"/>
  <c r="H532" i="2" s="1"/>
  <c r="G532" i="2"/>
  <c r="G590" i="2"/>
  <c r="F590" i="2"/>
  <c r="J590" i="2" s="1"/>
  <c r="H590" i="2" s="1"/>
  <c r="F430" i="2"/>
  <c r="J430" i="2" s="1"/>
  <c r="H430" i="2" s="1"/>
  <c r="G61" i="2"/>
  <c r="F203" i="2"/>
  <c r="K203" i="2" s="1"/>
  <c r="F365" i="2"/>
  <c r="I365" i="2" s="1"/>
  <c r="F1042" i="2"/>
  <c r="F180" i="2"/>
  <c r="K180" i="2" s="1"/>
  <c r="G180" i="2"/>
  <c r="F578" i="2"/>
  <c r="K578" i="2" s="1"/>
  <c r="G596" i="2"/>
  <c r="F596" i="2"/>
  <c r="K596" i="2" s="1"/>
  <c r="G704" i="2"/>
  <c r="G728" i="2"/>
  <c r="F753" i="2"/>
  <c r="J753" i="2" s="1"/>
  <c r="H753" i="2" s="1"/>
  <c r="G804" i="2"/>
  <c r="F830" i="2"/>
  <c r="I830" i="2" s="1"/>
  <c r="G841" i="2"/>
  <c r="F898" i="2"/>
  <c r="I898" i="2" s="1"/>
  <c r="F1030" i="2"/>
  <c r="G1093" i="2"/>
  <c r="F1093" i="2"/>
  <c r="I1093" i="2" s="1"/>
  <c r="G226" i="2"/>
  <c r="F226" i="2"/>
  <c r="K226" i="2" s="1"/>
  <c r="G754" i="2"/>
  <c r="G953" i="2"/>
  <c r="F953" i="2"/>
  <c r="K953" i="2" s="1"/>
  <c r="F1024" i="2"/>
  <c r="I1024" i="2" s="1"/>
  <c r="F547" i="2"/>
  <c r="K547" i="2" s="1"/>
  <c r="I723" i="2"/>
  <c r="G792" i="2"/>
  <c r="F792" i="2"/>
  <c r="I792" i="2" s="1"/>
  <c r="F884" i="2"/>
  <c r="J884" i="2" s="1"/>
  <c r="F600" i="2"/>
  <c r="K600" i="2" s="1"/>
  <c r="F642" i="2"/>
  <c r="J642" i="2" s="1"/>
  <c r="H642" i="2" s="1"/>
  <c r="F749" i="2"/>
  <c r="K749" i="2" s="1"/>
  <c r="F139" i="2"/>
  <c r="K139" i="2" s="1"/>
  <c r="G527" i="2"/>
  <c r="F626" i="2"/>
  <c r="K626" i="2" s="1"/>
  <c r="F685" i="2"/>
  <c r="F165" i="2"/>
  <c r="J165" i="2" s="1"/>
  <c r="F10" i="2"/>
  <c r="J10" i="2" s="1"/>
  <c r="H10" i="2" s="1"/>
  <c r="K34" i="2"/>
  <c r="F72" i="2"/>
  <c r="J72" i="2" s="1"/>
  <c r="G3" i="2"/>
  <c r="F170" i="2"/>
  <c r="J170" i="2" s="1"/>
  <c r="H170" i="2" s="1"/>
  <c r="F3" i="2"/>
  <c r="K3" i="2" s="1"/>
  <c r="F22" i="2"/>
  <c r="J22" i="2" s="1"/>
  <c r="G174" i="2"/>
  <c r="F174" i="2"/>
  <c r="K174" i="2" s="1"/>
  <c r="F225" i="2"/>
  <c r="K225" i="2" s="1"/>
  <c r="F258" i="2"/>
  <c r="J258" i="2" s="1"/>
  <c r="H258" i="2" s="1"/>
  <c r="F290" i="2"/>
  <c r="K290" i="2" s="1"/>
  <c r="F322" i="2"/>
  <c r="J322" i="2" s="1"/>
  <c r="G353" i="2"/>
  <c r="G503" i="2"/>
  <c r="G713" i="2"/>
  <c r="F926" i="2"/>
  <c r="K926" i="2" s="1"/>
  <c r="G1103" i="2"/>
  <c r="F927" i="2"/>
  <c r="K927" i="2" s="1"/>
  <c r="F961" i="2"/>
  <c r="J961" i="2" s="1"/>
  <c r="H961" i="2" s="1"/>
  <c r="F967" i="2"/>
  <c r="I967" i="2" s="1"/>
  <c r="F1073" i="2"/>
  <c r="I1073" i="2" s="1"/>
  <c r="F1089" i="2"/>
  <c r="K1089" i="2" s="1"/>
  <c r="F151" i="2"/>
  <c r="I151" i="2" s="1"/>
  <c r="F436" i="2"/>
  <c r="K436" i="2" s="1"/>
  <c r="G444" i="2"/>
  <c r="F511" i="2"/>
  <c r="J511" i="2" s="1"/>
  <c r="H511" i="2" s="1"/>
  <c r="F516" i="2"/>
  <c r="K516" i="2" s="1"/>
  <c r="F523" i="2"/>
  <c r="K523" i="2" s="1"/>
  <c r="F528" i="2"/>
  <c r="K528" i="2" s="1"/>
  <c r="F539" i="2"/>
  <c r="K539" i="2" s="1"/>
  <c r="G544" i="2"/>
  <c r="K610" i="2"/>
  <c r="F673" i="2"/>
  <c r="J673" i="2" s="1"/>
  <c r="H673" i="2" s="1"/>
  <c r="F687" i="2"/>
  <c r="J687" i="2" s="1"/>
  <c r="H687" i="2" s="1"/>
  <c r="F701" i="2"/>
  <c r="J701" i="2" s="1"/>
  <c r="H701" i="2" s="1"/>
  <c r="F751" i="2"/>
  <c r="K751" i="2" s="1"/>
  <c r="F778" i="2"/>
  <c r="I778" i="2" s="1"/>
  <c r="F786" i="2"/>
  <c r="J786" i="2" s="1"/>
  <c r="F888" i="2"/>
  <c r="K888" i="2" s="1"/>
  <c r="K915" i="2"/>
  <c r="F947" i="2"/>
  <c r="J947" i="2" s="1"/>
  <c r="F992" i="2"/>
  <c r="K992" i="2" s="1"/>
  <c r="F1053" i="2"/>
  <c r="K1053" i="2" s="1"/>
  <c r="F734" i="2"/>
  <c r="J734" i="2" s="1"/>
  <c r="H734" i="2" s="1"/>
  <c r="G765" i="2"/>
  <c r="F851" i="2"/>
  <c r="K851" i="2" s="1"/>
  <c r="F857" i="2"/>
  <c r="F902" i="2"/>
  <c r="I902" i="2" s="1"/>
  <c r="F935" i="2"/>
  <c r="J935" i="2" s="1"/>
  <c r="F955" i="2"/>
  <c r="I955" i="2" s="1"/>
  <c r="F1005" i="2"/>
  <c r="F1019" i="2"/>
  <c r="K1019" i="2" s="1"/>
  <c r="F1039" i="2"/>
  <c r="J1039" i="2" s="1"/>
  <c r="H1039" i="2" s="1"/>
  <c r="F41" i="2"/>
  <c r="K41" i="2" s="1"/>
  <c r="F73" i="2"/>
  <c r="J73" i="2" s="1"/>
  <c r="H73" i="2" s="1"/>
  <c r="F105" i="2"/>
  <c r="J105" i="2" s="1"/>
  <c r="H105" i="2" s="1"/>
  <c r="F234" i="2"/>
  <c r="J234" i="2" s="1"/>
  <c r="H234" i="2" s="1"/>
  <c r="F255" i="2"/>
  <c r="J255" i="2" s="1"/>
  <c r="H255" i="2" s="1"/>
  <c r="F269" i="2"/>
  <c r="J269" i="2" s="1"/>
  <c r="H269" i="2" s="1"/>
  <c r="F281" i="2"/>
  <c r="K281" i="2" s="1"/>
  <c r="F293" i="2"/>
  <c r="J293" i="2" s="1"/>
  <c r="H293" i="2" s="1"/>
  <c r="F305" i="2"/>
  <c r="K305" i="2" s="1"/>
  <c r="F319" i="2"/>
  <c r="K319" i="2" s="1"/>
  <c r="F331" i="2"/>
  <c r="J331" i="2" s="1"/>
  <c r="H331" i="2" s="1"/>
  <c r="F451" i="2"/>
  <c r="F844" i="2"/>
  <c r="J844" i="2" s="1"/>
  <c r="H844" i="2" s="1"/>
  <c r="F535" i="2"/>
  <c r="K535" i="2" s="1"/>
  <c r="F652" i="2"/>
  <c r="K652" i="2" s="1"/>
  <c r="F741" i="2"/>
  <c r="I741" i="2" s="1"/>
  <c r="F1098" i="2"/>
  <c r="I1098" i="2" s="1"/>
  <c r="J79" i="2"/>
  <c r="H79" i="2" s="1"/>
  <c r="I950" i="2"/>
  <c r="K831" i="2"/>
  <c r="K485" i="2"/>
  <c r="J946" i="2"/>
  <c r="H946" i="2" s="1"/>
  <c r="I987" i="2"/>
  <c r="I1017" i="2"/>
  <c r="J1037" i="2"/>
  <c r="H1037" i="2" s="1"/>
  <c r="K104" i="2"/>
  <c r="J938" i="2"/>
  <c r="H938" i="2" s="1"/>
  <c r="J163" i="2"/>
  <c r="H163" i="2" s="1"/>
  <c r="I485" i="2"/>
  <c r="K463" i="2"/>
  <c r="I530" i="2"/>
  <c r="K251" i="2"/>
  <c r="I346" i="2"/>
  <c r="K282" i="2"/>
  <c r="J346" i="2"/>
  <c r="H346" i="2" s="1"/>
  <c r="I125" i="2"/>
  <c r="J153" i="2"/>
  <c r="H153" i="2" s="1"/>
  <c r="J617" i="2"/>
  <c r="H617" i="2" s="1"/>
  <c r="I643" i="2"/>
  <c r="I67" i="2"/>
  <c r="K121" i="2"/>
  <c r="I141" i="2"/>
  <c r="K153" i="2"/>
  <c r="I1069" i="2"/>
  <c r="J141" i="2"/>
  <c r="H141" i="2" s="1"/>
  <c r="K439" i="2"/>
  <c r="J568" i="2"/>
  <c r="I716" i="2"/>
  <c r="J13" i="2"/>
  <c r="H13" i="2" s="1"/>
  <c r="I353" i="2"/>
  <c r="I538" i="2"/>
  <c r="J542" i="2"/>
  <c r="H542" i="2" s="1"/>
  <c r="K13" i="2"/>
  <c r="I20" i="2"/>
  <c r="K116" i="2"/>
  <c r="K987" i="2"/>
  <c r="J20" i="2"/>
  <c r="H20" i="2" s="1"/>
  <c r="J332" i="2"/>
  <c r="H332" i="2" s="1"/>
  <c r="J488" i="2"/>
  <c r="H488" i="2" s="1"/>
  <c r="I561" i="2"/>
  <c r="K130" i="2"/>
  <c r="J302" i="2"/>
  <c r="H302" i="2" s="1"/>
  <c r="J934" i="2"/>
  <c r="H934" i="2" s="1"/>
  <c r="K938" i="2"/>
  <c r="I79" i="2"/>
  <c r="J251" i="2"/>
  <c r="I332" i="2"/>
  <c r="I748" i="2"/>
  <c r="K1006" i="2"/>
  <c r="J39" i="2"/>
  <c r="H39" i="2" s="1"/>
  <c r="J67" i="2"/>
  <c r="H67" i="2" s="1"/>
  <c r="K873" i="2"/>
  <c r="J950" i="2"/>
  <c r="H950" i="2" s="1"/>
  <c r="K39" i="2"/>
  <c r="I188" i="2"/>
  <c r="I540" i="2"/>
  <c r="K772" i="2"/>
  <c r="I815" i="2"/>
  <c r="J1040" i="2"/>
  <c r="H1040" i="2" s="1"/>
  <c r="J540" i="2"/>
  <c r="H540" i="2" s="1"/>
  <c r="J815" i="2"/>
  <c r="H815" i="2" s="1"/>
  <c r="J125" i="2"/>
  <c r="H125" i="2" s="1"/>
  <c r="J353" i="2"/>
  <c r="H353" i="2" s="1"/>
  <c r="I810" i="2"/>
  <c r="J1056" i="2"/>
  <c r="H1056" i="2" s="1"/>
  <c r="I199" i="2"/>
  <c r="I339" i="2"/>
  <c r="J439" i="2"/>
  <c r="H439" i="2" s="1"/>
  <c r="I444" i="2"/>
  <c r="I654" i="2"/>
  <c r="I772" i="2"/>
  <c r="J36" i="2"/>
  <c r="H36" i="2" s="1"/>
  <c r="J199" i="2"/>
  <c r="H199" i="2" s="1"/>
  <c r="J339" i="2"/>
  <c r="H339" i="2" s="1"/>
  <c r="J655" i="2"/>
  <c r="H655" i="2" s="1"/>
  <c r="J754" i="2"/>
  <c r="H754" i="2" s="1"/>
  <c r="I1056" i="2"/>
  <c r="K922" i="2"/>
  <c r="J1074" i="2"/>
  <c r="H1074" i="2" s="1"/>
  <c r="I315" i="2"/>
  <c r="J400" i="2"/>
  <c r="H400" i="2" s="1"/>
  <c r="K411" i="2"/>
  <c r="I456" i="2"/>
  <c r="J494" i="2"/>
  <c r="H494" i="2" s="1"/>
  <c r="I501" i="2"/>
  <c r="K550" i="2"/>
  <c r="I713" i="2"/>
  <c r="I722" i="2"/>
  <c r="K846" i="2"/>
  <c r="J77" i="2"/>
  <c r="H77" i="2" s="1"/>
  <c r="K109" i="2"/>
  <c r="I167" i="2"/>
  <c r="I230" i="2"/>
  <c r="J315" i="2"/>
  <c r="J501" i="2"/>
  <c r="H501" i="2" s="1"/>
  <c r="I520" i="2"/>
  <c r="I668" i="2"/>
  <c r="J704" i="2"/>
  <c r="H704" i="2" s="1"/>
  <c r="K713" i="2"/>
  <c r="I77" i="2"/>
  <c r="I46" i="2"/>
  <c r="K92" i="2"/>
  <c r="I103" i="2"/>
  <c r="J167" i="2"/>
  <c r="H167" i="2" s="1"/>
  <c r="I187" i="2"/>
  <c r="J230" i="2"/>
  <c r="H230" i="2" s="1"/>
  <c r="I320" i="2"/>
  <c r="I582" i="2"/>
  <c r="J668" i="2"/>
  <c r="H668" i="2" s="1"/>
  <c r="K704" i="2"/>
  <c r="J742" i="2"/>
  <c r="H742" i="2" s="1"/>
  <c r="K754" i="2"/>
  <c r="K876" i="2"/>
  <c r="K1088" i="2"/>
  <c r="I903" i="2"/>
  <c r="I1028" i="2"/>
  <c r="K36" i="2"/>
  <c r="J103" i="2"/>
  <c r="H103" i="2" s="1"/>
  <c r="J187" i="2"/>
  <c r="H187" i="2" s="1"/>
  <c r="K320" i="2"/>
  <c r="K400" i="2"/>
  <c r="J433" i="2"/>
  <c r="H433" i="2" s="1"/>
  <c r="I526" i="2"/>
  <c r="K563" i="2"/>
  <c r="J582" i="2"/>
  <c r="H582" i="2" s="1"/>
  <c r="K617" i="2"/>
  <c r="I499" i="2"/>
  <c r="I803" i="2"/>
  <c r="J803" i="2"/>
  <c r="H803" i="2" s="1"/>
  <c r="I876" i="2"/>
  <c r="I980" i="2"/>
  <c r="I1037" i="2"/>
  <c r="J499" i="2"/>
  <c r="H499" i="2" s="1"/>
  <c r="I514" i="2"/>
  <c r="K654" i="2"/>
  <c r="I715" i="2"/>
  <c r="J980" i="2"/>
  <c r="H980" i="2" s="1"/>
  <c r="I1006" i="2"/>
  <c r="J579" i="2"/>
  <c r="H579" i="2" s="1"/>
  <c r="I680" i="2"/>
  <c r="I706" i="2"/>
  <c r="J715" i="2"/>
  <c r="H715" i="2" s="1"/>
  <c r="K804" i="2"/>
  <c r="I282" i="2"/>
  <c r="J340" i="2"/>
  <c r="H340" i="2" s="1"/>
  <c r="J1028" i="2"/>
  <c r="H1028" i="2" s="1"/>
  <c r="J1090" i="2"/>
  <c r="H1090" i="2" s="1"/>
  <c r="K292" i="2"/>
  <c r="J411" i="2"/>
  <c r="H411" i="2" s="1"/>
  <c r="G145" i="2"/>
  <c r="F145" i="2"/>
  <c r="K145" i="2" s="1"/>
  <c r="F233" i="2"/>
  <c r="J233" i="2" s="1"/>
  <c r="H233" i="2" s="1"/>
  <c r="G64" i="2"/>
  <c r="J5" i="2"/>
  <c r="H5" i="2" s="1"/>
  <c r="F11" i="2"/>
  <c r="K11" i="2" s="1"/>
  <c r="G11" i="2"/>
  <c r="F14" i="2"/>
  <c r="J14" i="2" s="1"/>
  <c r="H14" i="2" s="1"/>
  <c r="G33" i="2"/>
  <c r="F33" i="2"/>
  <c r="I33" i="2" s="1"/>
  <c r="K42" i="2"/>
  <c r="J42" i="2"/>
  <c r="H42" i="2" s="1"/>
  <c r="I42" i="2"/>
  <c r="G42" i="2"/>
  <c r="F64" i="2"/>
  <c r="I64" i="2" s="1"/>
  <c r="F93" i="2"/>
  <c r="I93" i="2" s="1"/>
  <c r="K164" i="2"/>
  <c r="J164" i="2"/>
  <c r="H164" i="2" s="1"/>
  <c r="I164" i="2"/>
  <c r="G164" i="2"/>
  <c r="G157" i="2"/>
  <c r="F157" i="2"/>
  <c r="K157" i="2" s="1"/>
  <c r="J182" i="2"/>
  <c r="H182" i="2" s="1"/>
  <c r="I182" i="2"/>
  <c r="G201" i="2"/>
  <c r="G253" i="2"/>
  <c r="G329" i="2"/>
  <c r="F329" i="2"/>
  <c r="I329" i="2" s="1"/>
  <c r="F81" i="2"/>
  <c r="K81" i="2" s="1"/>
  <c r="G243" i="2"/>
  <c r="F243" i="2"/>
  <c r="K243" i="2" s="1"/>
  <c r="I17" i="2"/>
  <c r="K55" i="2"/>
  <c r="I55" i="2"/>
  <c r="G71" i="2"/>
  <c r="F71" i="2"/>
  <c r="I71" i="2" s="1"/>
  <c r="K138" i="2"/>
  <c r="J138" i="2"/>
  <c r="H138" i="2" s="1"/>
  <c r="I138" i="2"/>
  <c r="G138" i="2"/>
  <c r="G17" i="2"/>
  <c r="K30" i="2"/>
  <c r="J30" i="2"/>
  <c r="H30" i="2" s="1"/>
  <c r="I30" i="2"/>
  <c r="G30" i="2"/>
  <c r="G55" i="2"/>
  <c r="K61" i="2"/>
  <c r="G93" i="2"/>
  <c r="K184" i="2"/>
  <c r="J184" i="2"/>
  <c r="H184" i="2" s="1"/>
  <c r="K98" i="2"/>
  <c r="J98" i="2"/>
  <c r="H98" i="2" s="1"/>
  <c r="I98" i="2"/>
  <c r="F362" i="2"/>
  <c r="I362" i="2" s="1"/>
  <c r="G362" i="2"/>
  <c r="F378" i="2"/>
  <c r="J378" i="2" s="1"/>
  <c r="H378" i="2" s="1"/>
  <c r="K124" i="2"/>
  <c r="J124" i="2"/>
  <c r="H124" i="2" s="1"/>
  <c r="I124" i="2"/>
  <c r="G124" i="2"/>
  <c r="F54" i="2"/>
  <c r="K54" i="2" s="1"/>
  <c r="G54" i="2"/>
  <c r="J17" i="2"/>
  <c r="H17" i="2" s="1"/>
  <c r="F68" i="2"/>
  <c r="I68" i="2" s="1"/>
  <c r="K240" i="2"/>
  <c r="G280" i="2"/>
  <c r="J256" i="2"/>
  <c r="H256" i="2" s="1"/>
  <c r="K256" i="2"/>
  <c r="I256" i="2"/>
  <c r="F280" i="2"/>
  <c r="K280" i="2" s="1"/>
  <c r="J7" i="2"/>
  <c r="H7" i="2" s="1"/>
  <c r="K7" i="2"/>
  <c r="G7" i="2"/>
  <c r="J46" i="2"/>
  <c r="H46" i="2" s="1"/>
  <c r="F50" i="2"/>
  <c r="K50" i="2" s="1"/>
  <c r="F69" i="2"/>
  <c r="J69" i="2" s="1"/>
  <c r="H69" i="2" s="1"/>
  <c r="F76" i="2"/>
  <c r="I76" i="2" s="1"/>
  <c r="F95" i="2"/>
  <c r="I95" i="2" s="1"/>
  <c r="G131" i="2"/>
  <c r="I196" i="2"/>
  <c r="K196" i="2"/>
  <c r="J196" i="2"/>
  <c r="H196" i="2" s="1"/>
  <c r="G196" i="2"/>
  <c r="G236" i="2"/>
  <c r="F236" i="2"/>
  <c r="J236" i="2" s="1"/>
  <c r="H236" i="2" s="1"/>
  <c r="G264" i="2"/>
  <c r="F264" i="2"/>
  <c r="K264" i="2" s="1"/>
  <c r="G133" i="2"/>
  <c r="F133" i="2"/>
  <c r="J133" i="2" s="1"/>
  <c r="H133" i="2" s="1"/>
  <c r="F201" i="2"/>
  <c r="J201" i="2" s="1"/>
  <c r="H201" i="2" s="1"/>
  <c r="F12" i="2"/>
  <c r="I12" i="2" s="1"/>
  <c r="F23" i="2"/>
  <c r="K23" i="2" s="1"/>
  <c r="G23" i="2"/>
  <c r="F43" i="2"/>
  <c r="I43" i="2" s="1"/>
  <c r="G83" i="2"/>
  <c r="F83" i="2"/>
  <c r="K83" i="2" s="1"/>
  <c r="G12" i="2"/>
  <c r="F31" i="2"/>
  <c r="I31" i="2" s="1"/>
  <c r="F223" i="2"/>
  <c r="I223" i="2" s="1"/>
  <c r="I34" i="2"/>
  <c r="G59" i="2"/>
  <c r="F59" i="2"/>
  <c r="J59" i="2" s="1"/>
  <c r="H59" i="2" s="1"/>
  <c r="G69" i="2"/>
  <c r="G88" i="2"/>
  <c r="F107" i="2"/>
  <c r="K107" i="2" s="1"/>
  <c r="J148" i="2"/>
  <c r="H148" i="2" s="1"/>
  <c r="G189" i="2"/>
  <c r="G228" i="2"/>
  <c r="J294" i="2"/>
  <c r="H294" i="2" s="1"/>
  <c r="K294" i="2"/>
  <c r="I294" i="2"/>
  <c r="G45" i="2"/>
  <c r="F45" i="2"/>
  <c r="I45" i="2" s="1"/>
  <c r="K191" i="2"/>
  <c r="J191" i="2"/>
  <c r="H191" i="2" s="1"/>
  <c r="F253" i="2"/>
  <c r="J253" i="2" s="1"/>
  <c r="H253" i="2" s="1"/>
  <c r="G318" i="2"/>
  <c r="F318" i="2"/>
  <c r="I318" i="2" s="1"/>
  <c r="F131" i="2"/>
  <c r="K131" i="2" s="1"/>
  <c r="F155" i="2"/>
  <c r="K155" i="2" s="1"/>
  <c r="G4" i="2"/>
  <c r="J34" i="2"/>
  <c r="I84" i="2"/>
  <c r="F88" i="2"/>
  <c r="K88" i="2" s="1"/>
  <c r="G100" i="2"/>
  <c r="G119" i="2"/>
  <c r="F119" i="2"/>
  <c r="J119" i="2" s="1"/>
  <c r="H119" i="2" s="1"/>
  <c r="F189" i="2"/>
  <c r="J189" i="2" s="1"/>
  <c r="H189" i="2" s="1"/>
  <c r="F228" i="2"/>
  <c r="J228" i="2" s="1"/>
  <c r="H228" i="2" s="1"/>
  <c r="F390" i="2"/>
  <c r="F16" i="2"/>
  <c r="K16" i="2" s="1"/>
  <c r="F49" i="2"/>
  <c r="K49" i="2" s="1"/>
  <c r="G49" i="2"/>
  <c r="K17" i="2"/>
  <c r="F26" i="2"/>
  <c r="K26" i="2" s="1"/>
  <c r="F37" i="2"/>
  <c r="K37" i="2" s="1"/>
  <c r="G37" i="2"/>
  <c r="G43" i="2"/>
  <c r="G76" i="2"/>
  <c r="F4" i="2"/>
  <c r="K4" i="2" s="1"/>
  <c r="F38" i="2"/>
  <c r="J38" i="2" s="1"/>
  <c r="H38" i="2" s="1"/>
  <c r="I7" i="2"/>
  <c r="I24" i="2"/>
  <c r="J84" i="2"/>
  <c r="H84" i="2" s="1"/>
  <c r="F100" i="2"/>
  <c r="K100" i="2" s="1"/>
  <c r="K112" i="2"/>
  <c r="J112" i="2"/>
  <c r="H112" i="2" s="1"/>
  <c r="I112" i="2"/>
  <c r="G112" i="2"/>
  <c r="K182" i="2"/>
  <c r="G248" i="2"/>
  <c r="F248" i="2"/>
  <c r="I248" i="2" s="1"/>
  <c r="G337" i="2"/>
  <c r="F337" i="2"/>
  <c r="K337" i="2" s="1"/>
  <c r="G300" i="2"/>
  <c r="F300" i="2"/>
  <c r="K300" i="2" s="1"/>
  <c r="G275" i="2"/>
  <c r="I275" i="2"/>
  <c r="F286" i="2"/>
  <c r="K286" i="2" s="1"/>
  <c r="G311" i="2"/>
  <c r="F311" i="2"/>
  <c r="K311" i="2" s="1"/>
  <c r="F324" i="2"/>
  <c r="J324" i="2" s="1"/>
  <c r="H324" i="2" s="1"/>
  <c r="F350" i="2"/>
  <c r="K350" i="2" s="1"/>
  <c r="G464" i="2"/>
  <c r="F464" i="2"/>
  <c r="I464" i="2" s="1"/>
  <c r="G214" i="2"/>
  <c r="F259" i="2"/>
  <c r="J259" i="2" s="1"/>
  <c r="H259" i="2" s="1"/>
  <c r="G286" i="2"/>
  <c r="F297" i="2"/>
  <c r="J297" i="2" s="1"/>
  <c r="H297" i="2" s="1"/>
  <c r="G324" i="2"/>
  <c r="G338" i="2"/>
  <c r="F338" i="2"/>
  <c r="J338" i="2" s="1"/>
  <c r="H338" i="2" s="1"/>
  <c r="G350" i="2"/>
  <c r="G398" i="2"/>
  <c r="G483" i="2"/>
  <c r="F483" i="2"/>
  <c r="I483" i="2" s="1"/>
  <c r="G209" i="2"/>
  <c r="F209" i="2"/>
  <c r="I209" i="2" s="1"/>
  <c r="F40" i="2"/>
  <c r="F52" i="2"/>
  <c r="I52" i="2" s="1"/>
  <c r="K66" i="2"/>
  <c r="F78" i="2"/>
  <c r="I78" i="2" s="1"/>
  <c r="F90" i="2"/>
  <c r="K90" i="2" s="1"/>
  <c r="F102" i="2"/>
  <c r="F114" i="2"/>
  <c r="I114" i="2" s="1"/>
  <c r="F128" i="2"/>
  <c r="F140" i="2"/>
  <c r="K140" i="2" s="1"/>
  <c r="F152" i="2"/>
  <c r="I152" i="2" s="1"/>
  <c r="F166" i="2"/>
  <c r="K166" i="2" s="1"/>
  <c r="I172" i="2"/>
  <c r="F214" i="2"/>
  <c r="J214" i="2" s="1"/>
  <c r="H214" i="2" s="1"/>
  <c r="F221" i="2"/>
  <c r="K221" i="2" s="1"/>
  <c r="G224" i="2"/>
  <c r="F224" i="2"/>
  <c r="K224" i="2" s="1"/>
  <c r="I254" i="2"/>
  <c r="G254" i="2"/>
  <c r="G259" i="2"/>
  <c r="J267" i="2"/>
  <c r="H267" i="2" s="1"/>
  <c r="I267" i="2"/>
  <c r="G267" i="2"/>
  <c r="I292" i="2"/>
  <c r="G292" i="2"/>
  <c r="G297" i="2"/>
  <c r="J303" i="2"/>
  <c r="H303" i="2" s="1"/>
  <c r="I303" i="2"/>
  <c r="G303" i="2"/>
  <c r="I330" i="2"/>
  <c r="G330" i="2"/>
  <c r="J335" i="2"/>
  <c r="H335" i="2" s="1"/>
  <c r="I335" i="2"/>
  <c r="F374" i="2"/>
  <c r="K374" i="2" s="1"/>
  <c r="F392" i="2"/>
  <c r="K392" i="2" s="1"/>
  <c r="G392" i="2"/>
  <c r="F398" i="2"/>
  <c r="I398" i="2" s="1"/>
  <c r="G484" i="2"/>
  <c r="F484" i="2"/>
  <c r="J484" i="2" s="1"/>
  <c r="H484" i="2" s="1"/>
  <c r="G572" i="2"/>
  <c r="F572" i="2"/>
  <c r="K572" i="2" s="1"/>
  <c r="G140" i="2"/>
  <c r="G166" i="2"/>
  <c r="G185" i="2"/>
  <c r="F185" i="2"/>
  <c r="J185" i="2" s="1"/>
  <c r="H185" i="2" s="1"/>
  <c r="G221" i="2"/>
  <c r="F276" i="2"/>
  <c r="I276" i="2" s="1"/>
  <c r="G314" i="2"/>
  <c r="F314" i="2"/>
  <c r="I314" i="2" s="1"/>
  <c r="G367" i="2"/>
  <c r="F415" i="2"/>
  <c r="K415" i="2" s="1"/>
  <c r="G442" i="2"/>
  <c r="F442" i="2"/>
  <c r="I442" i="2" s="1"/>
  <c r="G447" i="2"/>
  <c r="G470" i="2"/>
  <c r="F142" i="2"/>
  <c r="K142" i="2" s="1"/>
  <c r="F154" i="2"/>
  <c r="K154" i="2" s="1"/>
  <c r="G197" i="2"/>
  <c r="F197" i="2"/>
  <c r="I197" i="2" s="1"/>
  <c r="I202" i="2"/>
  <c r="G202" i="2"/>
  <c r="J207" i="2"/>
  <c r="H207" i="2" s="1"/>
  <c r="I207" i="2"/>
  <c r="G249" i="2"/>
  <c r="F249" i="2"/>
  <c r="I249" i="2" s="1"/>
  <c r="J254" i="2"/>
  <c r="H254" i="2" s="1"/>
  <c r="F262" i="2"/>
  <c r="J273" i="2"/>
  <c r="H273" i="2" s="1"/>
  <c r="I273" i="2"/>
  <c r="G287" i="2"/>
  <c r="F287" i="2"/>
  <c r="I287" i="2" s="1"/>
  <c r="F298" i="2"/>
  <c r="K298" i="2" s="1"/>
  <c r="J309" i="2"/>
  <c r="H309" i="2" s="1"/>
  <c r="I309" i="2"/>
  <c r="G325" i="2"/>
  <c r="F325" i="2"/>
  <c r="K325" i="2" s="1"/>
  <c r="J330" i="2"/>
  <c r="H330" i="2" s="1"/>
  <c r="J341" i="2"/>
  <c r="H341" i="2" s="1"/>
  <c r="I341" i="2"/>
  <c r="G341" i="2"/>
  <c r="G351" i="2"/>
  <c r="F351" i="2"/>
  <c r="I351" i="2" s="1"/>
  <c r="K360" i="2"/>
  <c r="G364" i="2"/>
  <c r="F364" i="2"/>
  <c r="K364" i="2" s="1"/>
  <c r="F367" i="2"/>
  <c r="I367" i="2" s="1"/>
  <c r="F402" i="2"/>
  <c r="J402" i="2" s="1"/>
  <c r="H402" i="2" s="1"/>
  <c r="G407" i="2"/>
  <c r="F407" i="2"/>
  <c r="J407" i="2" s="1"/>
  <c r="H407" i="2" s="1"/>
  <c r="G415" i="2"/>
  <c r="K420" i="2"/>
  <c r="J420" i="2"/>
  <c r="H420" i="2" s="1"/>
  <c r="F447" i="2"/>
  <c r="J447" i="2" s="1"/>
  <c r="H447" i="2" s="1"/>
  <c r="F470" i="2"/>
  <c r="I470" i="2" s="1"/>
  <c r="J508" i="2"/>
  <c r="H508" i="2" s="1"/>
  <c r="I508" i="2"/>
  <c r="K87" i="2"/>
  <c r="F123" i="2"/>
  <c r="K123" i="2" s="1"/>
  <c r="G130" i="2"/>
  <c r="F137" i="2"/>
  <c r="K137" i="2" s="1"/>
  <c r="F149" i="2"/>
  <c r="K149" i="2" s="1"/>
  <c r="G154" i="2"/>
  <c r="G190" i="2"/>
  <c r="G210" i="2"/>
  <c r="F210" i="2"/>
  <c r="K210" i="2" s="1"/>
  <c r="G384" i="2"/>
  <c r="G394" i="2"/>
  <c r="G402" i="2"/>
  <c r="K488" i="2"/>
  <c r="I488" i="2"/>
  <c r="F6" i="2"/>
  <c r="I6" i="2" s="1"/>
  <c r="F18" i="2"/>
  <c r="F32" i="2"/>
  <c r="I32" i="2" s="1"/>
  <c r="F44" i="2"/>
  <c r="F56" i="2"/>
  <c r="I61" i="2"/>
  <c r="G63" i="2"/>
  <c r="F70" i="2"/>
  <c r="I70" i="2" s="1"/>
  <c r="G75" i="2"/>
  <c r="F82" i="2"/>
  <c r="F94" i="2"/>
  <c r="F106" i="2"/>
  <c r="I106" i="2" s="1"/>
  <c r="I109" i="2"/>
  <c r="F118" i="2"/>
  <c r="I118" i="2" s="1"/>
  <c r="I121" i="2"/>
  <c r="G123" i="2"/>
  <c r="F132" i="2"/>
  <c r="G137" i="2"/>
  <c r="F144" i="2"/>
  <c r="I144" i="2" s="1"/>
  <c r="G149" i="2"/>
  <c r="F156" i="2"/>
  <c r="I156" i="2" s="1"/>
  <c r="J172" i="2"/>
  <c r="H172" i="2" s="1"/>
  <c r="F183" i="2"/>
  <c r="J183" i="2" s="1"/>
  <c r="H183" i="2" s="1"/>
  <c r="F190" i="2"/>
  <c r="K190" i="2" s="1"/>
  <c r="J202" i="2"/>
  <c r="H202" i="2" s="1"/>
  <c r="G207" i="2"/>
  <c r="F215" i="2"/>
  <c r="K215" i="2" s="1"/>
  <c r="F222" i="2"/>
  <c r="I222" i="2" s="1"/>
  <c r="F227" i="2"/>
  <c r="J227" i="2" s="1"/>
  <c r="H227" i="2" s="1"/>
  <c r="I268" i="2"/>
  <c r="G268" i="2"/>
  <c r="I270" i="2"/>
  <c r="G273" i="2"/>
  <c r="J279" i="2"/>
  <c r="H279" i="2" s="1"/>
  <c r="I279" i="2"/>
  <c r="G279" i="2"/>
  <c r="I304" i="2"/>
  <c r="G304" i="2"/>
  <c r="I306" i="2"/>
  <c r="G309" i="2"/>
  <c r="J317" i="2"/>
  <c r="H317" i="2" s="1"/>
  <c r="I317" i="2"/>
  <c r="G317" i="2"/>
  <c r="F336" i="2"/>
  <c r="K336" i="2" s="1"/>
  <c r="J354" i="2"/>
  <c r="H354" i="2" s="1"/>
  <c r="F376" i="2"/>
  <c r="F384" i="2"/>
  <c r="I384" i="2" s="1"/>
  <c r="F394" i="2"/>
  <c r="I394" i="2" s="1"/>
  <c r="F417" i="2"/>
  <c r="I417" i="2" s="1"/>
  <c r="G422" i="2"/>
  <c r="K422" i="2"/>
  <c r="J422" i="2"/>
  <c r="H422" i="2" s="1"/>
  <c r="K459" i="2"/>
  <c r="J459" i="2"/>
  <c r="H459" i="2" s="1"/>
  <c r="G599" i="2"/>
  <c r="F599" i="2"/>
  <c r="I599" i="2" s="1"/>
  <c r="J80" i="2"/>
  <c r="H80" i="2" s="1"/>
  <c r="F63" i="2"/>
  <c r="K63" i="2" s="1"/>
  <c r="F75" i="2"/>
  <c r="K75" i="2" s="1"/>
  <c r="G92" i="2"/>
  <c r="F99" i="2"/>
  <c r="K99" i="2" s="1"/>
  <c r="G104" i="2"/>
  <c r="F111" i="2"/>
  <c r="G116" i="2"/>
  <c r="G142" i="2"/>
  <c r="G18" i="2"/>
  <c r="G32" i="2"/>
  <c r="G44" i="2"/>
  <c r="G56" i="2"/>
  <c r="G70" i="2"/>
  <c r="G82" i="2"/>
  <c r="I92" i="2"/>
  <c r="G94" i="2"/>
  <c r="I104" i="2"/>
  <c r="G106" i="2"/>
  <c r="I116" i="2"/>
  <c r="G118" i="2"/>
  <c r="I130" i="2"/>
  <c r="F181" i="2"/>
  <c r="I181" i="2" s="1"/>
  <c r="G183" i="2"/>
  <c r="G186" i="2"/>
  <c r="K202" i="2"/>
  <c r="K207" i="2"/>
  <c r="G227" i="2"/>
  <c r="F235" i="2"/>
  <c r="K235" i="2" s="1"/>
  <c r="G242" i="2"/>
  <c r="G250" i="2"/>
  <c r="J250" i="2"/>
  <c r="H250" i="2" s="1"/>
  <c r="K270" i="2"/>
  <c r="K273" i="2"/>
  <c r="G288" i="2"/>
  <c r="F288" i="2"/>
  <c r="J288" i="2" s="1"/>
  <c r="H288" i="2" s="1"/>
  <c r="K306" i="2"/>
  <c r="K309" i="2"/>
  <c r="G326" i="2"/>
  <c r="F326" i="2"/>
  <c r="J326" i="2" s="1"/>
  <c r="H326" i="2" s="1"/>
  <c r="K341" i="2"/>
  <c r="F352" i="2"/>
  <c r="J352" i="2" s="1"/>
  <c r="I360" i="2"/>
  <c r="F404" i="2"/>
  <c r="K404" i="2" s="1"/>
  <c r="G486" i="2"/>
  <c r="F486" i="2"/>
  <c r="I486" i="2" s="1"/>
  <c r="F521" i="2"/>
  <c r="I521" i="2" s="1"/>
  <c r="J92" i="2"/>
  <c r="H92" i="2" s="1"/>
  <c r="F96" i="2"/>
  <c r="J104" i="2"/>
  <c r="H104" i="2" s="1"/>
  <c r="F108" i="2"/>
  <c r="J116" i="2"/>
  <c r="H116" i="2" s="1"/>
  <c r="F120" i="2"/>
  <c r="J130" i="2"/>
  <c r="H130" i="2" s="1"/>
  <c r="F134" i="2"/>
  <c r="F146" i="2"/>
  <c r="F158" i="2"/>
  <c r="I163" i="2"/>
  <c r="F179" i="2"/>
  <c r="G181" i="2"/>
  <c r="F186" i="2"/>
  <c r="K186" i="2" s="1"/>
  <c r="K188" i="2"/>
  <c r="J188" i="2"/>
  <c r="F195" i="2"/>
  <c r="K195" i="2" s="1"/>
  <c r="G198" i="2"/>
  <c r="F198" i="2"/>
  <c r="J213" i="2"/>
  <c r="H213" i="2" s="1"/>
  <c r="I213" i="2"/>
  <c r="F242" i="2"/>
  <c r="K242" i="2" s="1"/>
  <c r="F247" i="2"/>
  <c r="K247" i="2" s="1"/>
  <c r="G263" i="2"/>
  <c r="F263" i="2"/>
  <c r="K263" i="2" s="1"/>
  <c r="J268" i="2"/>
  <c r="H268" i="2" s="1"/>
  <c r="F274" i="2"/>
  <c r="G299" i="2"/>
  <c r="F299" i="2"/>
  <c r="K299" i="2" s="1"/>
  <c r="J304" i="2"/>
  <c r="H304" i="2" s="1"/>
  <c r="I310" i="2"/>
  <c r="J349" i="2"/>
  <c r="H349" i="2" s="1"/>
  <c r="I349" i="2"/>
  <c r="G361" i="2"/>
  <c r="F361" i="2"/>
  <c r="K361" i="2" s="1"/>
  <c r="G404" i="2"/>
  <c r="I422" i="2"/>
  <c r="G504" i="2"/>
  <c r="F504" i="2"/>
  <c r="J504" i="2" s="1"/>
  <c r="H504" i="2" s="1"/>
  <c r="G517" i="2"/>
  <c r="F517" i="2"/>
  <c r="I517" i="2" s="1"/>
  <c r="F595" i="2"/>
  <c r="K595" i="2" s="1"/>
  <c r="G595" i="2"/>
  <c r="F169" i="2"/>
  <c r="K169" i="2" s="1"/>
  <c r="I184" i="2"/>
  <c r="G195" i="2"/>
  <c r="G247" i="2"/>
  <c r="K268" i="2"/>
  <c r="K279" i="2"/>
  <c r="K304" i="2"/>
  <c r="K317" i="2"/>
  <c r="J355" i="2"/>
  <c r="H355" i="2" s="1"/>
  <c r="I355" i="2"/>
  <c r="G355" i="2"/>
  <c r="G386" i="2"/>
  <c r="K386" i="2"/>
  <c r="J386" i="2"/>
  <c r="H386" i="2" s="1"/>
  <c r="J426" i="2"/>
  <c r="H426" i="2" s="1"/>
  <c r="I426" i="2"/>
  <c r="G426" i="2"/>
  <c r="K431" i="2"/>
  <c r="J431" i="2"/>
  <c r="H431" i="2" s="1"/>
  <c r="I431" i="2"/>
  <c r="G431" i="2"/>
  <c r="I409" i="2"/>
  <c r="G409" i="2"/>
  <c r="I420" i="2"/>
  <c r="F429" i="2"/>
  <c r="J429" i="2" s="1"/>
  <c r="H429" i="2" s="1"/>
  <c r="J440" i="2"/>
  <c r="I440" i="2"/>
  <c r="K445" i="2"/>
  <c r="J445" i="2"/>
  <c r="H445" i="2" s="1"/>
  <c r="I445" i="2"/>
  <c r="G454" i="2"/>
  <c r="F454" i="2"/>
  <c r="I454" i="2" s="1"/>
  <c r="I459" i="2"/>
  <c r="F467" i="2"/>
  <c r="K467" i="2" s="1"/>
  <c r="K505" i="2"/>
  <c r="F893" i="2"/>
  <c r="J893" i="2" s="1"/>
  <c r="H893" i="2" s="1"/>
  <c r="G893" i="2"/>
  <c r="G420" i="2"/>
  <c r="F443" i="2"/>
  <c r="G445" i="2"/>
  <c r="G505" i="2"/>
  <c r="G555" i="2"/>
  <c r="F555" i="2"/>
  <c r="J555" i="2" s="1"/>
  <c r="H555" i="2" s="1"/>
  <c r="F584" i="2"/>
  <c r="I584" i="2" s="1"/>
  <c r="K655" i="2"/>
  <c r="I655" i="2"/>
  <c r="F193" i="2"/>
  <c r="I193" i="2" s="1"/>
  <c r="F205" i="2"/>
  <c r="I205" i="2" s="1"/>
  <c r="F217" i="2"/>
  <c r="I217" i="2" s="1"/>
  <c r="F231" i="2"/>
  <c r="I231" i="2" s="1"/>
  <c r="F245" i="2"/>
  <c r="I245" i="2" s="1"/>
  <c r="F257" i="2"/>
  <c r="I257" i="2" s="1"/>
  <c r="F271" i="2"/>
  <c r="I271" i="2" s="1"/>
  <c r="F283" i="2"/>
  <c r="I283" i="2" s="1"/>
  <c r="F295" i="2"/>
  <c r="I295" i="2" s="1"/>
  <c r="F307" i="2"/>
  <c r="I307" i="2" s="1"/>
  <c r="F321" i="2"/>
  <c r="I321" i="2" s="1"/>
  <c r="F333" i="2"/>
  <c r="I333" i="2" s="1"/>
  <c r="F347" i="2"/>
  <c r="I347" i="2" s="1"/>
  <c r="F359" i="2"/>
  <c r="I359" i="2" s="1"/>
  <c r="F371" i="2"/>
  <c r="I371" i="2" s="1"/>
  <c r="F405" i="2"/>
  <c r="I405" i="2" s="1"/>
  <c r="J409" i="2"/>
  <c r="H409" i="2" s="1"/>
  <c r="F418" i="2"/>
  <c r="I418" i="2" s="1"/>
  <c r="F427" i="2"/>
  <c r="K427" i="2" s="1"/>
  <c r="F432" i="2"/>
  <c r="J432" i="2" s="1"/>
  <c r="G443" i="2"/>
  <c r="F448" i="2"/>
  <c r="K448" i="2" s="1"/>
  <c r="F452" i="2"/>
  <c r="K452" i="2" s="1"/>
  <c r="F457" i="2"/>
  <c r="K457" i="2" s="1"/>
  <c r="F481" i="2"/>
  <c r="I481" i="2" s="1"/>
  <c r="F495" i="2"/>
  <c r="J495" i="2" s="1"/>
  <c r="H495" i="2" s="1"/>
  <c r="F500" i="2"/>
  <c r="I500" i="2" s="1"/>
  <c r="I505" i="2"/>
  <c r="I544" i="2"/>
  <c r="G556" i="2"/>
  <c r="F556" i="2"/>
  <c r="K556" i="2" s="1"/>
  <c r="G584" i="2"/>
  <c r="G623" i="2"/>
  <c r="F623" i="2"/>
  <c r="K623" i="2" s="1"/>
  <c r="G636" i="2"/>
  <c r="I636" i="2"/>
  <c r="F455" i="2"/>
  <c r="J462" i="2"/>
  <c r="H462" i="2" s="1"/>
  <c r="F478" i="2"/>
  <c r="I496" i="2"/>
  <c r="J503" i="2"/>
  <c r="H503" i="2" s="1"/>
  <c r="F509" i="2"/>
  <c r="I509" i="2" s="1"/>
  <c r="K515" i="2"/>
  <c r="J515" i="2"/>
  <c r="H515" i="2" s="1"/>
  <c r="I515" i="2"/>
  <c r="F585" i="2"/>
  <c r="J585" i="2" s="1"/>
  <c r="H585" i="2" s="1"/>
  <c r="F647" i="2"/>
  <c r="I647" i="2" s="1"/>
  <c r="G647" i="2"/>
  <c r="F373" i="2"/>
  <c r="K373" i="2" s="1"/>
  <c r="F379" i="2"/>
  <c r="J379" i="2" s="1"/>
  <c r="H379" i="2" s="1"/>
  <c r="F381" i="2"/>
  <c r="J381" i="2" s="1"/>
  <c r="H381" i="2" s="1"/>
  <c r="F385" i="2"/>
  <c r="J385" i="2" s="1"/>
  <c r="H385" i="2" s="1"/>
  <c r="F393" i="2"/>
  <c r="K393" i="2" s="1"/>
  <c r="F395" i="2"/>
  <c r="I395" i="2" s="1"/>
  <c r="F397" i="2"/>
  <c r="J397" i="2" s="1"/>
  <c r="H397" i="2" s="1"/>
  <c r="F403" i="2"/>
  <c r="I403" i="2" s="1"/>
  <c r="F441" i="2"/>
  <c r="J441" i="2" s="1"/>
  <c r="H441" i="2" s="1"/>
  <c r="F446" i="2"/>
  <c r="K446" i="2" s="1"/>
  <c r="F460" i="2"/>
  <c r="J460" i="2" s="1"/>
  <c r="H460" i="2" s="1"/>
  <c r="K462" i="2"/>
  <c r="I462" i="2"/>
  <c r="K525" i="2"/>
  <c r="J525" i="2"/>
  <c r="H525" i="2" s="1"/>
  <c r="I525" i="2"/>
  <c r="G688" i="2"/>
  <c r="K794" i="2"/>
  <c r="J794" i="2"/>
  <c r="H794" i="2" s="1"/>
  <c r="F356" i="2"/>
  <c r="F368" i="2"/>
  <c r="G373" i="2"/>
  <c r="F375" i="2"/>
  <c r="K375" i="2" s="1"/>
  <c r="F377" i="2"/>
  <c r="K377" i="2" s="1"/>
  <c r="G379" i="2"/>
  <c r="G381" i="2"/>
  <c r="F389" i="2"/>
  <c r="K389" i="2" s="1"/>
  <c r="F391" i="2"/>
  <c r="K391" i="2" s="1"/>
  <c r="G393" i="2"/>
  <c r="G395" i="2"/>
  <c r="G403" i="2"/>
  <c r="F410" i="2"/>
  <c r="K410" i="2" s="1"/>
  <c r="G421" i="2"/>
  <c r="F493" i="2"/>
  <c r="I493" i="2" s="1"/>
  <c r="G496" i="2"/>
  <c r="G519" i="2"/>
  <c r="G569" i="2"/>
  <c r="F569" i="2"/>
  <c r="I569" i="2" s="1"/>
  <c r="K577" i="2"/>
  <c r="I577" i="2"/>
  <c r="G625" i="2"/>
  <c r="F625" i="2"/>
  <c r="K625" i="2" s="1"/>
  <c r="F688" i="2"/>
  <c r="J688" i="2" s="1"/>
  <c r="H688" i="2" s="1"/>
  <c r="I302" i="2"/>
  <c r="I354" i="2"/>
  <c r="G356" i="2"/>
  <c r="F363" i="2"/>
  <c r="K363" i="2" s="1"/>
  <c r="G368" i="2"/>
  <c r="G375" i="2"/>
  <c r="G377" i="2"/>
  <c r="G389" i="2"/>
  <c r="G391" i="2"/>
  <c r="F408" i="2"/>
  <c r="F414" i="2"/>
  <c r="K414" i="2" s="1"/>
  <c r="F421" i="2"/>
  <c r="I421" i="2" s="1"/>
  <c r="F453" i="2"/>
  <c r="I453" i="2" s="1"/>
  <c r="F458" i="2"/>
  <c r="J463" i="2"/>
  <c r="H463" i="2" s="1"/>
  <c r="F479" i="2"/>
  <c r="J479" i="2" s="1"/>
  <c r="H479" i="2" s="1"/>
  <c r="G490" i="2"/>
  <c r="F490" i="2"/>
  <c r="K490" i="2" s="1"/>
  <c r="G493" i="2"/>
  <c r="F519" i="2"/>
  <c r="K519" i="2" s="1"/>
  <c r="F570" i="2"/>
  <c r="I570" i="2" s="1"/>
  <c r="G570" i="2"/>
  <c r="F607" i="2"/>
  <c r="K607" i="2" s="1"/>
  <c r="F644" i="2"/>
  <c r="J644" i="2" s="1"/>
  <c r="H644" i="2" s="1"/>
  <c r="I399" i="2"/>
  <c r="F406" i="2"/>
  <c r="G408" i="2"/>
  <c r="G414" i="2"/>
  <c r="F428" i="2"/>
  <c r="I433" i="2"/>
  <c r="G433" i="2"/>
  <c r="K472" i="2"/>
  <c r="J472" i="2"/>
  <c r="H472" i="2" s="1"/>
  <c r="G472" i="2"/>
  <c r="G479" i="2"/>
  <c r="J496" i="2"/>
  <c r="H496" i="2" s="1"/>
  <c r="I503" i="2"/>
  <c r="F507" i="2"/>
  <c r="K507" i="2" s="1"/>
  <c r="G566" i="2"/>
  <c r="F566" i="2"/>
  <c r="J566" i="2" s="1"/>
  <c r="H566" i="2" s="1"/>
  <c r="K496" i="2"/>
  <c r="F594" i="2"/>
  <c r="F612" i="2"/>
  <c r="J612" i="2" s="1"/>
  <c r="H612" i="2" s="1"/>
  <c r="G660" i="2"/>
  <c r="F660" i="2"/>
  <c r="I660" i="2" s="1"/>
  <c r="F681" i="2"/>
  <c r="I681" i="2" s="1"/>
  <c r="F692" i="2"/>
  <c r="J692" i="2" s="1"/>
  <c r="H692" i="2" s="1"/>
  <c r="G692" i="2"/>
  <c r="G710" i="2"/>
  <c r="K444" i="2"/>
  <c r="K456" i="2"/>
  <c r="K508" i="2"/>
  <c r="K520" i="2"/>
  <c r="K542" i="2"/>
  <c r="K544" i="2"/>
  <c r="K553" i="2"/>
  <c r="J553" i="2"/>
  <c r="H553" i="2" s="1"/>
  <c r="F562" i="2"/>
  <c r="K562" i="2" s="1"/>
  <c r="F567" i="2"/>
  <c r="K567" i="2" s="1"/>
  <c r="G612" i="2"/>
  <c r="G650" i="2"/>
  <c r="F650" i="2"/>
  <c r="I650" i="2" s="1"/>
  <c r="F663" i="2"/>
  <c r="J663" i="2" s="1"/>
  <c r="G681" i="2"/>
  <c r="F710" i="2"/>
  <c r="K710" i="2" s="1"/>
  <c r="K531" i="2"/>
  <c r="F533" i="2"/>
  <c r="I533" i="2" s="1"/>
  <c r="J541" i="2"/>
  <c r="H541" i="2" s="1"/>
  <c r="F545" i="2"/>
  <c r="K545" i="2" s="1"/>
  <c r="G562" i="2"/>
  <c r="J577" i="2"/>
  <c r="H577" i="2" s="1"/>
  <c r="I579" i="2"/>
  <c r="J592" i="2"/>
  <c r="H592" i="2" s="1"/>
  <c r="I592" i="2"/>
  <c r="G620" i="2"/>
  <c r="F620" i="2"/>
  <c r="I620" i="2" s="1"/>
  <c r="K637" i="2"/>
  <c r="I637" i="2"/>
  <c r="G637" i="2"/>
  <c r="J658" i="2"/>
  <c r="H658" i="2" s="1"/>
  <c r="I658" i="2"/>
  <c r="F661" i="2"/>
  <c r="J661" i="2" s="1"/>
  <c r="H661" i="2" s="1"/>
  <c r="K675" i="2"/>
  <c r="J675" i="2"/>
  <c r="H675" i="2" s="1"/>
  <c r="I675" i="2"/>
  <c r="G721" i="2"/>
  <c r="F721" i="2"/>
  <c r="I721" i="2" s="1"/>
  <c r="G818" i="2"/>
  <c r="F818" i="2"/>
  <c r="K818" i="2" s="1"/>
  <c r="G671" i="2"/>
  <c r="F671" i="2"/>
  <c r="K671" i="2" s="1"/>
  <c r="F682" i="2"/>
  <c r="G686" i="2"/>
  <c r="G714" i="2"/>
  <c r="K728" i="2"/>
  <c r="J728" i="2"/>
  <c r="H728" i="2" s="1"/>
  <c r="I728" i="2"/>
  <c r="G531" i="2"/>
  <c r="G592" i="2"/>
  <c r="J603" i="2"/>
  <c r="H603" i="2" s="1"/>
  <c r="J618" i="2"/>
  <c r="H618" i="2" s="1"/>
  <c r="I618" i="2"/>
  <c r="J629" i="2"/>
  <c r="H629" i="2" s="1"/>
  <c r="J637" i="2"/>
  <c r="H637" i="2" s="1"/>
  <c r="G658" i="2"/>
  <c r="F686" i="2"/>
  <c r="J686" i="2" s="1"/>
  <c r="H686" i="2" s="1"/>
  <c r="F714" i="2"/>
  <c r="J714" i="2" s="1"/>
  <c r="H714" i="2" s="1"/>
  <c r="I527" i="2"/>
  <c r="I531" i="2"/>
  <c r="I551" i="2"/>
  <c r="F580" i="2"/>
  <c r="J580" i="2" s="1"/>
  <c r="H580" i="2" s="1"/>
  <c r="K592" i="2"/>
  <c r="F598" i="2"/>
  <c r="J598" i="2" s="1"/>
  <c r="H598" i="2" s="1"/>
  <c r="G613" i="2"/>
  <c r="F621" i="2"/>
  <c r="J621" i="2" s="1"/>
  <c r="H621" i="2" s="1"/>
  <c r="G651" i="2"/>
  <c r="K658" i="2"/>
  <c r="K690" i="2"/>
  <c r="J690" i="2"/>
  <c r="H690" i="2" s="1"/>
  <c r="F707" i="2"/>
  <c r="F759" i="2"/>
  <c r="K759" i="2" s="1"/>
  <c r="G759" i="2"/>
  <c r="G459" i="2"/>
  <c r="F466" i="2"/>
  <c r="F480" i="2"/>
  <c r="G485" i="2"/>
  <c r="F492" i="2"/>
  <c r="G499" i="2"/>
  <c r="F506" i="2"/>
  <c r="J527" i="2"/>
  <c r="H527" i="2" s="1"/>
  <c r="J531" i="2"/>
  <c r="H531" i="2" s="1"/>
  <c r="I541" i="2"/>
  <c r="J551" i="2"/>
  <c r="H551" i="2" s="1"/>
  <c r="F554" i="2"/>
  <c r="I554" i="2" s="1"/>
  <c r="G598" i="2"/>
  <c r="F613" i="2"/>
  <c r="I613" i="2" s="1"/>
  <c r="G618" i="2"/>
  <c r="G621" i="2"/>
  <c r="I629" i="2"/>
  <c r="G632" i="2"/>
  <c r="F632" i="2"/>
  <c r="K632" i="2" s="1"/>
  <c r="F651" i="2"/>
  <c r="K651" i="2" s="1"/>
  <c r="G769" i="2"/>
  <c r="F769" i="2"/>
  <c r="K769" i="2" s="1"/>
  <c r="G554" i="2"/>
  <c r="J561" i="2"/>
  <c r="H561" i="2" s="1"/>
  <c r="F583" i="2"/>
  <c r="J583" i="2" s="1"/>
  <c r="H583" i="2" s="1"/>
  <c r="F586" i="2"/>
  <c r="I603" i="2"/>
  <c r="F606" i="2"/>
  <c r="J606" i="2" s="1"/>
  <c r="H606" i="2" s="1"/>
  <c r="K618" i="2"/>
  <c r="G624" i="2"/>
  <c r="F624" i="2"/>
  <c r="I624" i="2" s="1"/>
  <c r="F635" i="2"/>
  <c r="J643" i="2"/>
  <c r="H643" i="2" s="1"/>
  <c r="F677" i="2"/>
  <c r="I677" i="2" s="1"/>
  <c r="G684" i="2"/>
  <c r="I690" i="2"/>
  <c r="K760" i="2"/>
  <c r="J760" i="2"/>
  <c r="H760" i="2" s="1"/>
  <c r="I760" i="2"/>
  <c r="F510" i="2"/>
  <c r="K510" i="2" s="1"/>
  <c r="F512" i="2"/>
  <c r="I512" i="2" s="1"/>
  <c r="J514" i="2"/>
  <c r="H514" i="2" s="1"/>
  <c r="G514" i="2"/>
  <c r="F522" i="2"/>
  <c r="K522" i="2" s="1"/>
  <c r="F524" i="2"/>
  <c r="J526" i="2"/>
  <c r="H526" i="2" s="1"/>
  <c r="G526" i="2"/>
  <c r="F534" i="2"/>
  <c r="F536" i="2"/>
  <c r="J538" i="2"/>
  <c r="H538" i="2" s="1"/>
  <c r="F546" i="2"/>
  <c r="K546" i="2" s="1"/>
  <c r="F548" i="2"/>
  <c r="I548" i="2" s="1"/>
  <c r="J550" i="2"/>
  <c r="H550" i="2" s="1"/>
  <c r="G550" i="2"/>
  <c r="K571" i="2"/>
  <c r="I571" i="2"/>
  <c r="G571" i="2"/>
  <c r="F581" i="2"/>
  <c r="K581" i="2" s="1"/>
  <c r="K611" i="2"/>
  <c r="J611" i="2"/>
  <c r="H611" i="2" s="1"/>
  <c r="I611" i="2"/>
  <c r="F633" i="2"/>
  <c r="J665" i="2"/>
  <c r="H665" i="2" s="1"/>
  <c r="I665" i="2"/>
  <c r="G677" i="2"/>
  <c r="F684" i="2"/>
  <c r="K684" i="2" s="1"/>
  <c r="G708" i="2"/>
  <c r="F708" i="2"/>
  <c r="K708" i="2" s="1"/>
  <c r="J712" i="2"/>
  <c r="H712" i="2" s="1"/>
  <c r="I712" i="2"/>
  <c r="K712" i="2"/>
  <c r="G712" i="2"/>
  <c r="F771" i="2"/>
  <c r="G771" i="2"/>
  <c r="G775" i="2"/>
  <c r="F775" i="2"/>
  <c r="J775" i="2" s="1"/>
  <c r="H775" i="2" s="1"/>
  <c r="G557" i="2"/>
  <c r="F557" i="2"/>
  <c r="I557" i="2" s="1"/>
  <c r="G646" i="2"/>
  <c r="F646" i="2"/>
  <c r="I646" i="2" s="1"/>
  <c r="K766" i="2"/>
  <c r="J908" i="2"/>
  <c r="H908" i="2" s="1"/>
  <c r="G959" i="2"/>
  <c r="F959" i="2"/>
  <c r="J959" i="2" s="1"/>
  <c r="H959" i="2" s="1"/>
  <c r="G985" i="2"/>
  <c r="F985" i="2"/>
  <c r="K985" i="2" s="1"/>
  <c r="G697" i="2"/>
  <c r="F697" i="2"/>
  <c r="K697" i="2" s="1"/>
  <c r="J716" i="2"/>
  <c r="H716" i="2" s="1"/>
  <c r="G795" i="2"/>
  <c r="G819" i="2"/>
  <c r="F819" i="2"/>
  <c r="J819" i="2" s="1"/>
  <c r="H819" i="2" s="1"/>
  <c r="F669" i="2"/>
  <c r="F735" i="2"/>
  <c r="I735" i="2" s="1"/>
  <c r="G763" i="2"/>
  <c r="F763" i="2"/>
  <c r="I763" i="2" s="1"/>
  <c r="G780" i="2"/>
  <c r="F780" i="2"/>
  <c r="I780" i="2" s="1"/>
  <c r="F795" i="2"/>
  <c r="K795" i="2" s="1"/>
  <c r="G867" i="2"/>
  <c r="F867" i="2"/>
  <c r="K867" i="2" s="1"/>
  <c r="G895" i="2"/>
  <c r="G911" i="2"/>
  <c r="F911" i="2"/>
  <c r="I911" i="2" s="1"/>
  <c r="F575" i="2"/>
  <c r="F589" i="2"/>
  <c r="I589" i="2" s="1"/>
  <c r="F601" i="2"/>
  <c r="I601" i="2" s="1"/>
  <c r="F615" i="2"/>
  <c r="I615" i="2" s="1"/>
  <c r="F627" i="2"/>
  <c r="I627" i="2" s="1"/>
  <c r="F641" i="2"/>
  <c r="I641" i="2" s="1"/>
  <c r="F653" i="2"/>
  <c r="I653" i="2" s="1"/>
  <c r="F667" i="2"/>
  <c r="G680" i="2"/>
  <c r="F693" i="2"/>
  <c r="J693" i="2" s="1"/>
  <c r="G706" i="2"/>
  <c r="F719" i="2"/>
  <c r="K719" i="2" s="1"/>
  <c r="K722" i="2"/>
  <c r="F726" i="2"/>
  <c r="I726" i="2" s="1"/>
  <c r="K783" i="2"/>
  <c r="J783" i="2"/>
  <c r="H783" i="2" s="1"/>
  <c r="G842" i="2"/>
  <c r="F842" i="2"/>
  <c r="K842" i="2" s="1"/>
  <c r="F852" i="2"/>
  <c r="I852" i="2" s="1"/>
  <c r="F895" i="2"/>
  <c r="J895" i="2" s="1"/>
  <c r="H895" i="2" s="1"/>
  <c r="G575" i="2"/>
  <c r="G589" i="2"/>
  <c r="G601" i="2"/>
  <c r="G615" i="2"/>
  <c r="G627" i="2"/>
  <c r="G653" i="2"/>
  <c r="K672" i="2"/>
  <c r="J674" i="2"/>
  <c r="H674" i="2" s="1"/>
  <c r="I674" i="2"/>
  <c r="J676" i="2"/>
  <c r="H676" i="2" s="1"/>
  <c r="G676" i="2"/>
  <c r="K733" i="2"/>
  <c r="J733" i="2"/>
  <c r="H733" i="2" s="1"/>
  <c r="I733" i="2"/>
  <c r="J740" i="2"/>
  <c r="H740" i="2" s="1"/>
  <c r="I740" i="2"/>
  <c r="G740" i="2"/>
  <c r="I742" i="2"/>
  <c r="G747" i="2"/>
  <c r="F747" i="2"/>
  <c r="J747" i="2" s="1"/>
  <c r="H747" i="2" s="1"/>
  <c r="J767" i="2"/>
  <c r="H767" i="2" s="1"/>
  <c r="K767" i="2"/>
  <c r="I767" i="2"/>
  <c r="G808" i="2"/>
  <c r="F808" i="2"/>
  <c r="K808" i="2" s="1"/>
  <c r="J824" i="2"/>
  <c r="H824" i="2" s="1"/>
  <c r="I824" i="2"/>
  <c r="K824" i="2"/>
  <c r="G824" i="2"/>
  <c r="G942" i="2"/>
  <c r="F942" i="2"/>
  <c r="I942" i="2" s="1"/>
  <c r="G1023" i="2"/>
  <c r="F1023" i="2"/>
  <c r="I1023" i="2" s="1"/>
  <c r="G702" i="2"/>
  <c r="G561" i="2"/>
  <c r="G577" i="2"/>
  <c r="G603" i="2"/>
  <c r="G617" i="2"/>
  <c r="G629" i="2"/>
  <c r="G643" i="2"/>
  <c r="G655" i="2"/>
  <c r="F664" i="2"/>
  <c r="I664" i="2" s="1"/>
  <c r="F670" i="2"/>
  <c r="I670" i="2" s="1"/>
  <c r="G672" i="2"/>
  <c r="G674" i="2"/>
  <c r="I676" i="2"/>
  <c r="J680" i="2"/>
  <c r="H680" i="2" s="1"/>
  <c r="F698" i="2"/>
  <c r="J698" i="2" s="1"/>
  <c r="F700" i="2"/>
  <c r="I700" i="2" s="1"/>
  <c r="F702" i="2"/>
  <c r="J706" i="2"/>
  <c r="H706" i="2" s="1"/>
  <c r="F720" i="2"/>
  <c r="I720" i="2" s="1"/>
  <c r="F727" i="2"/>
  <c r="F731" i="2"/>
  <c r="I731" i="2" s="1"/>
  <c r="G733" i="2"/>
  <c r="F736" i="2"/>
  <c r="J736" i="2" s="1"/>
  <c r="H736" i="2" s="1"/>
  <c r="F738" i="2"/>
  <c r="K738" i="2" s="1"/>
  <c r="K740" i="2"/>
  <c r="J752" i="2"/>
  <c r="H752" i="2" s="1"/>
  <c r="I752" i="2"/>
  <c r="G752" i="2"/>
  <c r="F761" i="2"/>
  <c r="J761" i="2" s="1"/>
  <c r="H761" i="2" s="1"/>
  <c r="G767" i="2"/>
  <c r="F773" i="2"/>
  <c r="J773" i="2" s="1"/>
  <c r="G784" i="2"/>
  <c r="F784" i="2"/>
  <c r="I784" i="2" s="1"/>
  <c r="I801" i="2"/>
  <c r="I813" i="2"/>
  <c r="G813" i="2"/>
  <c r="K813" i="2"/>
  <c r="J813" i="2"/>
  <c r="H813" i="2" s="1"/>
  <c r="G664" i="2"/>
  <c r="G670" i="2"/>
  <c r="G683" i="2"/>
  <c r="F683" i="2"/>
  <c r="K683" i="2" s="1"/>
  <c r="F709" i="2"/>
  <c r="K709" i="2" s="1"/>
  <c r="K743" i="2"/>
  <c r="J743" i="2"/>
  <c r="H743" i="2" s="1"/>
  <c r="K748" i="2"/>
  <c r="G788" i="2"/>
  <c r="F788" i="2"/>
  <c r="I788" i="2" s="1"/>
  <c r="F809" i="2"/>
  <c r="G1012" i="2"/>
  <c r="F1012" i="2"/>
  <c r="I1012" i="2" s="1"/>
  <c r="G814" i="2"/>
  <c r="J672" i="2"/>
  <c r="H672" i="2" s="1"/>
  <c r="K679" i="2"/>
  <c r="J679" i="2"/>
  <c r="H679" i="2" s="1"/>
  <c r="G743" i="2"/>
  <c r="G748" i="2"/>
  <c r="K765" i="2"/>
  <c r="J765" i="2"/>
  <c r="H765" i="2" s="1"/>
  <c r="I765" i="2"/>
  <c r="F793" i="2"/>
  <c r="J793" i="2" s="1"/>
  <c r="G802" i="2"/>
  <c r="F802" i="2"/>
  <c r="I802" i="2" s="1"/>
  <c r="F814" i="2"/>
  <c r="J814" i="2" s="1"/>
  <c r="H814" i="2" s="1"/>
  <c r="G826" i="2"/>
  <c r="F826" i="2"/>
  <c r="I826" i="2" s="1"/>
  <c r="G821" i="2"/>
  <c r="F821" i="2"/>
  <c r="K847" i="2"/>
  <c r="F865" i="2"/>
  <c r="I865" i="2" s="1"/>
  <c r="G974" i="2"/>
  <c r="F974" i="2"/>
  <c r="J974" i="2" s="1"/>
  <c r="H974" i="2" s="1"/>
  <c r="G999" i="2"/>
  <c r="F999" i="2"/>
  <c r="K999" i="2" s="1"/>
  <c r="K1087" i="2"/>
  <c r="I1087" i="2"/>
  <c r="F797" i="2"/>
  <c r="I797" i="2" s="1"/>
  <c r="F799" i="2"/>
  <c r="I799" i="2" s="1"/>
  <c r="F806" i="2"/>
  <c r="J806" i="2" s="1"/>
  <c r="H806" i="2" s="1"/>
  <c r="F835" i="2"/>
  <c r="J835" i="2" s="1"/>
  <c r="F882" i="2"/>
  <c r="I882" i="2" s="1"/>
  <c r="F991" i="2"/>
  <c r="K991" i="2" s="1"/>
  <c r="G991" i="2"/>
  <c r="J855" i="2"/>
  <c r="H855" i="2" s="1"/>
  <c r="F883" i="2"/>
  <c r="G920" i="2"/>
  <c r="F920" i="2"/>
  <c r="K920" i="2" s="1"/>
  <c r="G960" i="2"/>
  <c r="I960" i="2"/>
  <c r="F776" i="2"/>
  <c r="K776" i="2" s="1"/>
  <c r="G836" i="2"/>
  <c r="F836" i="2"/>
  <c r="J836" i="2" s="1"/>
  <c r="H836" i="2" s="1"/>
  <c r="F843" i="2"/>
  <c r="I843" i="2" s="1"/>
  <c r="G932" i="2"/>
  <c r="G956" i="2"/>
  <c r="G1043" i="2"/>
  <c r="F1043" i="2"/>
  <c r="I1043" i="2" s="1"/>
  <c r="F774" i="2"/>
  <c r="K774" i="2" s="1"/>
  <c r="F789" i="2"/>
  <c r="K789" i="2" s="1"/>
  <c r="F800" i="2"/>
  <c r="K800" i="2" s="1"/>
  <c r="F807" i="2"/>
  <c r="J807" i="2" s="1"/>
  <c r="H807" i="2" s="1"/>
  <c r="F812" i="2"/>
  <c r="J812" i="2" s="1"/>
  <c r="H812" i="2" s="1"/>
  <c r="F848" i="2"/>
  <c r="I848" i="2" s="1"/>
  <c r="G853" i="2"/>
  <c r="F853" i="2"/>
  <c r="J853" i="2" s="1"/>
  <c r="H853" i="2" s="1"/>
  <c r="F932" i="2"/>
  <c r="I932" i="2" s="1"/>
  <c r="G944" i="2"/>
  <c r="F956" i="2"/>
  <c r="J956" i="2" s="1"/>
  <c r="H956" i="2" s="1"/>
  <c r="F996" i="2"/>
  <c r="J996" i="2" s="1"/>
  <c r="H996" i="2" s="1"/>
  <c r="F1009" i="2"/>
  <c r="J1009" i="2" s="1"/>
  <c r="H1009" i="2" s="1"/>
  <c r="K1051" i="2"/>
  <c r="I1051" i="2"/>
  <c r="I1066" i="2"/>
  <c r="J1066" i="2"/>
  <c r="H1066" i="2" s="1"/>
  <c r="F785" i="2"/>
  <c r="K785" i="2" s="1"/>
  <c r="F787" i="2"/>
  <c r="K787" i="2" s="1"/>
  <c r="G800" i="2"/>
  <c r="K805" i="2"/>
  <c r="J805" i="2"/>
  <c r="H805" i="2" s="1"/>
  <c r="G807" i="2"/>
  <c r="K810" i="2"/>
  <c r="I825" i="2"/>
  <c r="J841" i="2"/>
  <c r="H841" i="2" s="1"/>
  <c r="G848" i="2"/>
  <c r="F925" i="2"/>
  <c r="I925" i="2" s="1"/>
  <c r="G925" i="2"/>
  <c r="F944" i="2"/>
  <c r="K944" i="2" s="1"/>
  <c r="G982" i="2"/>
  <c r="F982" i="2"/>
  <c r="J982" i="2" s="1"/>
  <c r="H982" i="2" s="1"/>
  <c r="G1014" i="2"/>
  <c r="F1014" i="2"/>
  <c r="I1014" i="2" s="1"/>
  <c r="F770" i="2"/>
  <c r="G796" i="2"/>
  <c r="F796" i="2"/>
  <c r="G820" i="2"/>
  <c r="F820" i="2"/>
  <c r="F856" i="2"/>
  <c r="J856" i="2" s="1"/>
  <c r="H856" i="2" s="1"/>
  <c r="K880" i="2"/>
  <c r="I880" i="2"/>
  <c r="G880" i="2"/>
  <c r="J897" i="2"/>
  <c r="H897" i="2" s="1"/>
  <c r="F910" i="2"/>
  <c r="J910" i="2" s="1"/>
  <c r="H910" i="2" s="1"/>
  <c r="J779" i="2"/>
  <c r="H779" i="2" s="1"/>
  <c r="I794" i="2"/>
  <c r="G805" i="2"/>
  <c r="F832" i="2"/>
  <c r="K832" i="2" s="1"/>
  <c r="G856" i="2"/>
  <c r="G910" i="2"/>
  <c r="F937" i="2"/>
  <c r="K937" i="2" s="1"/>
  <c r="F940" i="2"/>
  <c r="K940" i="2" s="1"/>
  <c r="G940" i="2"/>
  <c r="F945" i="2"/>
  <c r="J945" i="2" s="1"/>
  <c r="H945" i="2" s="1"/>
  <c r="F949" i="2"/>
  <c r="I949" i="2" s="1"/>
  <c r="K859" i="2"/>
  <c r="J859" i="2"/>
  <c r="H859" i="2" s="1"/>
  <c r="F977" i="2"/>
  <c r="K977" i="2" s="1"/>
  <c r="G998" i="2"/>
  <c r="F998" i="2"/>
  <c r="K998" i="2" s="1"/>
  <c r="G1026" i="2"/>
  <c r="F1026" i="2"/>
  <c r="K1026" i="2" s="1"/>
  <c r="J831" i="2"/>
  <c r="H831" i="2" s="1"/>
  <c r="J847" i="2"/>
  <c r="H847" i="2" s="1"/>
  <c r="F878" i="2"/>
  <c r="J913" i="2"/>
  <c r="H913" i="2" s="1"/>
  <c r="F954" i="2"/>
  <c r="J954" i="2" s="1"/>
  <c r="H954" i="2" s="1"/>
  <c r="G954" i="2"/>
  <c r="G962" i="2"/>
  <c r="I962" i="2"/>
  <c r="G1031" i="2"/>
  <c r="F1031" i="2"/>
  <c r="K1031" i="2" s="1"/>
  <c r="F1065" i="2"/>
  <c r="I859" i="2"/>
  <c r="J861" i="2"/>
  <c r="H861" i="2" s="1"/>
  <c r="G861" i="2"/>
  <c r="F904" i="2"/>
  <c r="K904" i="2" s="1"/>
  <c r="G906" i="2"/>
  <c r="G913" i="2"/>
  <c r="F930" i="2"/>
  <c r="K930" i="2" s="1"/>
  <c r="K970" i="2"/>
  <c r="G970" i="2"/>
  <c r="G986" i="2"/>
  <c r="F986" i="2"/>
  <c r="I986" i="2" s="1"/>
  <c r="F868" i="2"/>
  <c r="I868" i="2" s="1"/>
  <c r="I881" i="2"/>
  <c r="F896" i="2"/>
  <c r="I896" i="2" s="1"/>
  <c r="I909" i="2"/>
  <c r="J928" i="2"/>
  <c r="H928" i="2" s="1"/>
  <c r="G928" i="2"/>
  <c r="G933" i="2"/>
  <c r="K933" i="2"/>
  <c r="G1046" i="2"/>
  <c r="F1046" i="2"/>
  <c r="I1046" i="2" s="1"/>
  <c r="F916" i="2"/>
  <c r="K916" i="2" s="1"/>
  <c r="G916" i="2"/>
  <c r="G921" i="2"/>
  <c r="J921" i="2"/>
  <c r="H921" i="2" s="1"/>
  <c r="F963" i="2"/>
  <c r="J963" i="2" s="1"/>
  <c r="H963" i="2" s="1"/>
  <c r="J766" i="2"/>
  <c r="H766" i="2" s="1"/>
  <c r="J804" i="2"/>
  <c r="H804" i="2" s="1"/>
  <c r="I841" i="2"/>
  <c r="J846" i="2"/>
  <c r="H846" i="2" s="1"/>
  <c r="I855" i="2"/>
  <c r="K861" i="2"/>
  <c r="F866" i="2"/>
  <c r="I866" i="2" s="1"/>
  <c r="F879" i="2"/>
  <c r="K879" i="2" s="1"/>
  <c r="G881" i="2"/>
  <c r="F894" i="2"/>
  <c r="K894" i="2" s="1"/>
  <c r="F907" i="2"/>
  <c r="K907" i="2" s="1"/>
  <c r="G909" i="2"/>
  <c r="G948" i="2"/>
  <c r="F948" i="2"/>
  <c r="I948" i="2" s="1"/>
  <c r="G963" i="2"/>
  <c r="F968" i="2"/>
  <c r="K968" i="2" s="1"/>
  <c r="J970" i="2"/>
  <c r="H970" i="2" s="1"/>
  <c r="G1000" i="2"/>
  <c r="F1000" i="2"/>
  <c r="I1000" i="2" s="1"/>
  <c r="G1038" i="2"/>
  <c r="F1038" i="2"/>
  <c r="K1038" i="2" s="1"/>
  <c r="G1047" i="2"/>
  <c r="F1047" i="2"/>
  <c r="K1047" i="2" s="1"/>
  <c r="F864" i="2"/>
  <c r="J864" i="2" s="1"/>
  <c r="H864" i="2" s="1"/>
  <c r="G879" i="2"/>
  <c r="F892" i="2"/>
  <c r="J892" i="2" s="1"/>
  <c r="G894" i="2"/>
  <c r="G907" i="2"/>
  <c r="G936" i="2"/>
  <c r="F936" i="2"/>
  <c r="J936" i="2" s="1"/>
  <c r="H936" i="2" s="1"/>
  <c r="I946" i="2"/>
  <c r="G946" i="2"/>
  <c r="G971" i="2"/>
  <c r="J971" i="2"/>
  <c r="H971" i="2" s="1"/>
  <c r="G984" i="2"/>
  <c r="F984" i="2"/>
  <c r="K984" i="2" s="1"/>
  <c r="F1003" i="2"/>
  <c r="J1011" i="2"/>
  <c r="H1011" i="2" s="1"/>
  <c r="G1011" i="2"/>
  <c r="K1011" i="2"/>
  <c r="J1025" i="2"/>
  <c r="H1025" i="2" s="1"/>
  <c r="G1034" i="2"/>
  <c r="F1034" i="2"/>
  <c r="K1034" i="2" s="1"/>
  <c r="J873" i="2"/>
  <c r="H873" i="2" s="1"/>
  <c r="G873" i="2"/>
  <c r="J881" i="2"/>
  <c r="H881" i="2" s="1"/>
  <c r="J903" i="2"/>
  <c r="H903" i="2" s="1"/>
  <c r="G903" i="2"/>
  <c r="J909" i="2"/>
  <c r="H909" i="2" s="1"/>
  <c r="G924" i="2"/>
  <c r="F924" i="2"/>
  <c r="J924" i="2" s="1"/>
  <c r="H924" i="2" s="1"/>
  <c r="I934" i="2"/>
  <c r="G934" i="2"/>
  <c r="F966" i="2"/>
  <c r="G966" i="2"/>
  <c r="K881" i="2"/>
  <c r="K897" i="2"/>
  <c r="G897" i="2"/>
  <c r="K909" i="2"/>
  <c r="I922" i="2"/>
  <c r="G922" i="2"/>
  <c r="I1025" i="2"/>
  <c r="G1035" i="2"/>
  <c r="F1035" i="2"/>
  <c r="J1035" i="2" s="1"/>
  <c r="H1035" i="2" s="1"/>
  <c r="F1022" i="2"/>
  <c r="I1022" i="2" s="1"/>
  <c r="F1060" i="2"/>
  <c r="J1060" i="2" s="1"/>
  <c r="H1060" i="2" s="1"/>
  <c r="F1083" i="2"/>
  <c r="F1091" i="2"/>
  <c r="I1091" i="2" s="1"/>
  <c r="G1091" i="2"/>
  <c r="K917" i="2"/>
  <c r="J919" i="2"/>
  <c r="H919" i="2" s="1"/>
  <c r="F931" i="2"/>
  <c r="J931" i="2" s="1"/>
  <c r="H931" i="2" s="1"/>
  <c r="K941" i="2"/>
  <c r="F943" i="2"/>
  <c r="J943" i="2" s="1"/>
  <c r="H943" i="2" s="1"/>
  <c r="F957" i="2"/>
  <c r="J957" i="2" s="1"/>
  <c r="H957" i="2" s="1"/>
  <c r="F969" i="2"/>
  <c r="J969" i="2" s="1"/>
  <c r="H969" i="2" s="1"/>
  <c r="F983" i="2"/>
  <c r="J983" i="2" s="1"/>
  <c r="H983" i="2" s="1"/>
  <c r="F997" i="2"/>
  <c r="J997" i="2" s="1"/>
  <c r="H997" i="2" s="1"/>
  <c r="K1007" i="2"/>
  <c r="J1017" i="2"/>
  <c r="H1017" i="2" s="1"/>
  <c r="F1020" i="2"/>
  <c r="J1020" i="2" s="1"/>
  <c r="H1020" i="2" s="1"/>
  <c r="F1033" i="2"/>
  <c r="F1041" i="2"/>
  <c r="I1041" i="2" s="1"/>
  <c r="J1051" i="2"/>
  <c r="H1051" i="2" s="1"/>
  <c r="G1070" i="2"/>
  <c r="I1074" i="2"/>
  <c r="G1084" i="2"/>
  <c r="F1070" i="2"/>
  <c r="K1070" i="2" s="1"/>
  <c r="F1079" i="2"/>
  <c r="I1079" i="2" s="1"/>
  <c r="F1084" i="2"/>
  <c r="I1084" i="2" s="1"/>
  <c r="F1044" i="2"/>
  <c r="I1044" i="2" s="1"/>
  <c r="F1061" i="2"/>
  <c r="K1061" i="2" s="1"/>
  <c r="K1066" i="2"/>
  <c r="F1075" i="2"/>
  <c r="J1075" i="2" s="1"/>
  <c r="H1075" i="2" s="1"/>
  <c r="G1079" i="2"/>
  <c r="J1087" i="2"/>
  <c r="H1087" i="2" s="1"/>
  <c r="J917" i="2"/>
  <c r="H917" i="2" s="1"/>
  <c r="J941" i="2"/>
  <c r="H941" i="2" s="1"/>
  <c r="J1007" i="2"/>
  <c r="H1007" i="2" s="1"/>
  <c r="F1080" i="2"/>
  <c r="F1021" i="2"/>
  <c r="J1021" i="2" s="1"/>
  <c r="H1021" i="2" s="1"/>
  <c r="F1029" i="2"/>
  <c r="I1029" i="2" s="1"/>
  <c r="G1064" i="2"/>
  <c r="G1085" i="2"/>
  <c r="F1085" i="2"/>
  <c r="K1085" i="2" s="1"/>
  <c r="G990" i="2"/>
  <c r="G1002" i="2"/>
  <c r="F1008" i="2"/>
  <c r="G1021" i="2"/>
  <c r="G1029" i="2"/>
  <c r="F1052" i="2"/>
  <c r="F1059" i="2"/>
  <c r="I1059" i="2" s="1"/>
  <c r="F1064" i="2"/>
  <c r="I1064" i="2" s="1"/>
  <c r="F976" i="2"/>
  <c r="J976" i="2" s="1"/>
  <c r="H976" i="2" s="1"/>
  <c r="F990" i="2"/>
  <c r="F1002" i="2"/>
  <c r="G1006" i="2"/>
  <c r="F1032" i="2"/>
  <c r="J1032" i="2" s="1"/>
  <c r="H1032" i="2" s="1"/>
  <c r="F1045" i="2"/>
  <c r="J1045" i="2" s="1"/>
  <c r="H1045" i="2" s="1"/>
  <c r="F1057" i="2"/>
  <c r="J1057" i="2" s="1"/>
  <c r="H1057" i="2" s="1"/>
  <c r="G1059" i="2"/>
  <c r="J1069" i="2"/>
  <c r="H1069" i="2" s="1"/>
  <c r="J1088" i="2"/>
  <c r="H1088" i="2" s="1"/>
  <c r="I1088" i="2"/>
  <c r="F1100" i="2"/>
  <c r="I1100" i="2" s="1"/>
  <c r="I1103" i="2"/>
  <c r="G1107" i="2"/>
  <c r="J1103" i="2"/>
  <c r="H1103" i="2" s="1"/>
  <c r="F1102" i="2"/>
  <c r="J1102" i="2" s="1"/>
  <c r="H1102" i="2" s="1"/>
  <c r="K1103" i="2"/>
  <c r="I1107" i="2"/>
  <c r="F1095" i="2"/>
  <c r="I1095" i="2" s="1"/>
  <c r="J1107" i="2"/>
  <c r="H1107" i="2" s="1"/>
  <c r="F1106" i="2"/>
  <c r="K1106" i="2" s="1"/>
  <c r="K1107" i="2"/>
  <c r="G1028" i="2"/>
  <c r="G1056" i="2"/>
  <c r="G1074" i="2"/>
  <c r="F1099" i="2"/>
  <c r="K1099" i="2" s="1"/>
  <c r="G1106" i="2"/>
  <c r="G1099" i="2"/>
  <c r="F1108" i="2"/>
  <c r="J1108" i="2" s="1"/>
  <c r="H1108" i="2" s="1"/>
  <c r="F1101" i="2"/>
  <c r="I1101" i="2" s="1"/>
  <c r="G1108" i="2"/>
  <c r="G1025" i="2"/>
  <c r="G1037" i="2"/>
  <c r="G1051" i="2"/>
  <c r="G1069" i="2"/>
  <c r="G1087" i="2"/>
  <c r="F1094" i="2"/>
  <c r="K1094" i="2" s="1"/>
  <c r="G1101" i="2"/>
  <c r="K790" i="2" l="1"/>
  <c r="K869" i="2"/>
  <c r="J860" i="2"/>
  <c r="H860" i="2" s="1"/>
  <c r="J171" i="2"/>
  <c r="H171" i="2" s="1"/>
  <c r="J829" i="2"/>
  <c r="K835" i="2" s="1"/>
  <c r="J877" i="2"/>
  <c r="I471" i="2"/>
  <c r="J822" i="2"/>
  <c r="H822" i="2" s="1"/>
  <c r="K301" i="2"/>
  <c r="K1036" i="2"/>
  <c r="K801" i="2"/>
  <c r="G801" i="2" s="1"/>
  <c r="J869" i="2"/>
  <c r="H869" i="2" s="1"/>
  <c r="J396" i="2"/>
  <c r="J691" i="2"/>
  <c r="H691" i="2" s="1"/>
  <c r="I790" i="2"/>
  <c r="H9" i="2"/>
  <c r="K691" i="2"/>
  <c r="J604" i="2"/>
  <c r="H604" i="2" s="1"/>
  <c r="K246" i="2"/>
  <c r="J491" i="2"/>
  <c r="H491" i="2" s="1"/>
  <c r="J543" i="2"/>
  <c r="H543" i="2" s="1"/>
  <c r="K491" i="2"/>
  <c r="I549" i="2"/>
  <c r="I135" i="2"/>
  <c r="I105" i="2"/>
  <c r="J889" i="2"/>
  <c r="H889" i="2" s="1"/>
  <c r="I194" i="2"/>
  <c r="I416" i="2"/>
  <c r="I958" i="2"/>
  <c r="J60" i="2"/>
  <c r="H60" i="2" s="1"/>
  <c r="K929" i="2"/>
  <c r="I845" i="2"/>
  <c r="K296" i="2"/>
  <c r="K135" i="2"/>
  <c r="I229" i="2"/>
  <c r="I758" i="2"/>
  <c r="J705" i="2"/>
  <c r="H705" i="2" s="1"/>
  <c r="I396" i="2"/>
  <c r="I85" i="2"/>
  <c r="K85" i="2"/>
  <c r="K995" i="2"/>
  <c r="J995" i="2"/>
  <c r="H995" i="2" s="1"/>
  <c r="K845" i="2"/>
  <c r="I750" i="2"/>
  <c r="I129" i="2"/>
  <c r="J929" i="2"/>
  <c r="H929" i="2" s="1"/>
  <c r="K705" i="2"/>
  <c r="J862" i="2"/>
  <c r="H862" i="2" s="1"/>
  <c r="J994" i="2"/>
  <c r="K1022" i="2" s="1"/>
  <c r="I41" i="2"/>
  <c r="K229" i="2"/>
  <c r="J777" i="2"/>
  <c r="H777" i="2" s="1"/>
  <c r="I423" i="2"/>
  <c r="K194" i="2"/>
  <c r="K62" i="2"/>
  <c r="G1088" i="2"/>
  <c r="I171" i="2"/>
  <c r="I348" i="2"/>
  <c r="I739" i="2"/>
  <c r="J211" i="2"/>
  <c r="H211" i="2" s="1"/>
  <c r="K455" i="2"/>
  <c r="K758" i="2"/>
  <c r="J265" i="2"/>
  <c r="H265" i="2" s="1"/>
  <c r="J244" i="2"/>
  <c r="H244" i="2" s="1"/>
  <c r="J175" i="2"/>
  <c r="H175" i="2" s="1"/>
  <c r="I296" i="2"/>
  <c r="I327" i="2"/>
  <c r="J854" i="2"/>
  <c r="H854" i="2" s="1"/>
  <c r="J342" i="2"/>
  <c r="H342" i="2" s="1"/>
  <c r="J689" i="2"/>
  <c r="H689" i="2" s="1"/>
  <c r="I266" i="2"/>
  <c r="J266" i="2"/>
  <c r="H266" i="2" s="1"/>
  <c r="I272" i="2"/>
  <c r="I469" i="2"/>
  <c r="H232" i="2"/>
  <c r="K1013" i="2"/>
  <c r="H1010" i="2"/>
  <c r="K1005" i="2"/>
  <c r="K980" i="2"/>
  <c r="G980" i="2" s="1"/>
  <c r="H947" i="2"/>
  <c r="K939" i="2"/>
  <c r="H935" i="2"/>
  <c r="J978" i="2"/>
  <c r="K994" i="2" s="1"/>
  <c r="I978" i="2"/>
  <c r="K885" i="2"/>
  <c r="H884" i="2"/>
  <c r="I703" i="2"/>
  <c r="K591" i="2"/>
  <c r="I591" i="2"/>
  <c r="K1086" i="2"/>
  <c r="I862" i="2"/>
  <c r="J129" i="2"/>
  <c r="H129" i="2" s="1"/>
  <c r="J469" i="2"/>
  <c r="H469" i="2" s="1"/>
  <c r="I689" i="2"/>
  <c r="K65" i="2"/>
  <c r="K342" i="2"/>
  <c r="K825" i="2"/>
  <c r="G825" i="2" s="1"/>
  <c r="H786" i="2"/>
  <c r="G860" i="2"/>
  <c r="H858" i="2"/>
  <c r="K829" i="2"/>
  <c r="J1086" i="2"/>
  <c r="H1086" i="2" s="1"/>
  <c r="K779" i="2"/>
  <c r="H773" i="2"/>
  <c r="H746" i="2"/>
  <c r="J739" i="2"/>
  <c r="H739" i="2" s="1"/>
  <c r="K707" i="2"/>
  <c r="I1058" i="2"/>
  <c r="K798" i="2"/>
  <c r="J1058" i="2"/>
  <c r="H1058" i="2" s="1"/>
  <c r="J798" i="2"/>
  <c r="H798" i="2" s="1"/>
  <c r="I1004" i="2"/>
  <c r="J755" i="2"/>
  <c r="H755" i="2" s="1"/>
  <c r="K755" i="2"/>
  <c r="H698" i="2"/>
  <c r="J1013" i="2"/>
  <c r="K1024" i="2" s="1"/>
  <c r="J703" i="2"/>
  <c r="H703" i="2" s="1"/>
  <c r="I1013" i="2"/>
  <c r="K471" i="2"/>
  <c r="G471" i="2" s="1"/>
  <c r="J425" i="2"/>
  <c r="H425" i="2" s="1"/>
  <c r="I518" i="2"/>
  <c r="I964" i="2"/>
  <c r="J549" i="2"/>
  <c r="H549" i="2" s="1"/>
  <c r="I212" i="2"/>
  <c r="I762" i="2"/>
  <c r="K272" i="2"/>
  <c r="J435" i="2"/>
  <c r="H435" i="2" s="1"/>
  <c r="I863" i="2"/>
  <c r="I200" i="2"/>
  <c r="H693" i="2"/>
  <c r="I265" i="2"/>
  <c r="J401" i="2"/>
  <c r="H401" i="2" s="1"/>
  <c r="I110" i="2"/>
  <c r="I206" i="2"/>
  <c r="K97" i="2"/>
  <c r="J964" i="2"/>
  <c r="H964" i="2" s="1"/>
  <c r="J192" i="2"/>
  <c r="K633" i="2" s="1"/>
  <c r="K9" i="2"/>
  <c r="I97" i="2"/>
  <c r="I9" i="2"/>
  <c r="J19" i="2"/>
  <c r="H19" i="2" s="1"/>
  <c r="J110" i="2"/>
  <c r="H110" i="2" s="1"/>
  <c r="J206" i="2"/>
  <c r="H206" i="2" s="1"/>
  <c r="I60" i="2"/>
  <c r="J48" i="2"/>
  <c r="H48" i="2" s="1"/>
  <c r="I529" i="2"/>
  <c r="I425" i="2"/>
  <c r="J489" i="2"/>
  <c r="H489" i="2" s="1"/>
  <c r="I165" i="2"/>
  <c r="J176" i="2"/>
  <c r="H176" i="2" s="1"/>
  <c r="K24" i="2"/>
  <c r="J631" i="2"/>
  <c r="H631" i="2" s="1"/>
  <c r="I631" i="2"/>
  <c r="I246" i="2"/>
  <c r="I5" i="2"/>
  <c r="K162" i="2"/>
  <c r="J8" i="2"/>
  <c r="I489" i="2"/>
  <c r="J200" i="2"/>
  <c r="H200" i="2" s="1"/>
  <c r="I746" i="2"/>
  <c r="I148" i="2"/>
  <c r="K399" i="2"/>
  <c r="J51" i="2"/>
  <c r="H51" i="2" s="1"/>
  <c r="J863" i="2"/>
  <c r="J62" i="2"/>
  <c r="H62" i="2" s="1"/>
  <c r="I468" i="2"/>
  <c r="K177" i="2"/>
  <c r="I1027" i="2"/>
  <c r="K669" i="2"/>
  <c r="J1027" i="2"/>
  <c r="K136" i="2"/>
  <c r="J240" i="2"/>
  <c r="H240" i="2" s="1"/>
  <c r="I340" i="2"/>
  <c r="I244" i="2"/>
  <c r="K241" i="2"/>
  <c r="I113" i="2"/>
  <c r="I301" i="2"/>
  <c r="G301" i="2" s="1"/>
  <c r="I597" i="2"/>
  <c r="K117" i="2"/>
  <c r="J113" i="2"/>
  <c r="H113" i="2" s="1"/>
  <c r="I328" i="2"/>
  <c r="J597" i="2"/>
  <c r="H597" i="2" s="1"/>
  <c r="I143" i="2"/>
  <c r="J143" i="2"/>
  <c r="H143" i="2" s="1"/>
  <c r="I162" i="2"/>
  <c r="J412" i="2"/>
  <c r="H412" i="2" s="1"/>
  <c r="I136" i="2"/>
  <c r="I370" i="2"/>
  <c r="K594" i="2"/>
  <c r="K817" i="2"/>
  <c r="I899" i="2"/>
  <c r="K645" i="2"/>
  <c r="J817" i="2"/>
  <c r="H817" i="2" s="1"/>
  <c r="J645" i="2"/>
  <c r="H645" i="2" s="1"/>
  <c r="J899" i="2"/>
  <c r="H899" i="2" s="1"/>
  <c r="K537" i="2"/>
  <c r="G538" i="2"/>
  <c r="I563" i="2"/>
  <c r="I838" i="2"/>
  <c r="K518" i="2"/>
  <c r="K478" i="2"/>
  <c r="J762" i="2"/>
  <c r="H762" i="2" s="1"/>
  <c r="J1004" i="2"/>
  <c r="H1004" i="2" s="1"/>
  <c r="I711" i="2"/>
  <c r="K468" i="2"/>
  <c r="I634" i="2"/>
  <c r="I678" i="2"/>
  <c r="K858" i="2"/>
  <c r="J634" i="2"/>
  <c r="H634" i="2" s="1"/>
  <c r="J678" i="2"/>
  <c r="H678" i="2" s="1"/>
  <c r="I858" i="2"/>
  <c r="I487" i="2"/>
  <c r="K369" i="2"/>
  <c r="J328" i="2"/>
  <c r="H328" i="2" s="1"/>
  <c r="I369" i="2"/>
  <c r="H432" i="2"/>
  <c r="K558" i="2"/>
  <c r="J711" i="2"/>
  <c r="I602" i="2"/>
  <c r="I424" i="2"/>
  <c r="I630" i="2"/>
  <c r="J630" i="2"/>
  <c r="K685" i="2" s="1"/>
  <c r="I666" i="2"/>
  <c r="K576" i="2"/>
  <c r="I905" i="2"/>
  <c r="I25" i="2"/>
  <c r="I316" i="2"/>
  <c r="I308" i="2"/>
  <c r="K204" i="2"/>
  <c r="J204" i="2"/>
  <c r="H204" i="2" s="1"/>
  <c r="J370" i="2"/>
  <c r="H370" i="2" s="1"/>
  <c r="I334" i="2"/>
  <c r="I285" i="2"/>
  <c r="I291" i="2"/>
  <c r="I239" i="2"/>
  <c r="K115" i="2"/>
  <c r="J285" i="2"/>
  <c r="H285" i="2" s="1"/>
  <c r="K178" i="2"/>
  <c r="K232" i="2"/>
  <c r="K602" i="2"/>
  <c r="J178" i="2"/>
  <c r="H178" i="2" s="1"/>
  <c r="I232" i="2"/>
  <c r="I117" i="2"/>
  <c r="K21" i="2"/>
  <c r="K308" i="2"/>
  <c r="I659" i="2"/>
  <c r="I558" i="2"/>
  <c r="J477" i="2"/>
  <c r="H477" i="2" s="1"/>
  <c r="J649" i="2"/>
  <c r="H649" i="2" s="1"/>
  <c r="J838" i="2"/>
  <c r="H838" i="2" s="1"/>
  <c r="K412" i="2"/>
  <c r="I649" i="2"/>
  <c r="K487" i="2"/>
  <c r="K401" i="2"/>
  <c r="I576" i="2"/>
  <c r="J981" i="2"/>
  <c r="H981" i="2" s="1"/>
  <c r="I993" i="2"/>
  <c r="K1093" i="2"/>
  <c r="I857" i="2"/>
  <c r="J552" i="2"/>
  <c r="H552" i="2" s="1"/>
  <c r="K390" i="2"/>
  <c r="I552" i="2"/>
  <c r="K923" i="2"/>
  <c r="J979" i="2"/>
  <c r="H979" i="2" s="1"/>
  <c r="I979" i="2"/>
  <c r="J918" i="2"/>
  <c r="H918" i="2" s="1"/>
  <c r="I725" i="2"/>
  <c r="I413" i="2"/>
  <c r="I923" i="2"/>
  <c r="J424" i="2"/>
  <c r="K1048" i="2"/>
  <c r="J857" i="2"/>
  <c r="K865" i="2" s="1"/>
  <c r="I513" i="2"/>
  <c r="K1010" i="2"/>
  <c r="J939" i="2"/>
  <c r="I811" i="2"/>
  <c r="J513" i="2"/>
  <c r="K534" i="2" s="1"/>
  <c r="J694" i="2"/>
  <c r="H694" i="2" s="1"/>
  <c r="J890" i="2"/>
  <c r="H890" i="2" s="1"/>
  <c r="K47" i="2"/>
  <c r="K10" i="2"/>
  <c r="I29" i="2"/>
  <c r="I891" i="2"/>
  <c r="K192" i="2"/>
  <c r="J811" i="2"/>
  <c r="H811" i="2" s="1"/>
  <c r="I278" i="2"/>
  <c r="I694" i="2"/>
  <c r="K73" i="2"/>
  <c r="K1001" i="2"/>
  <c r="K659" i="2"/>
  <c r="I161" i="2"/>
  <c r="I648" i="2"/>
  <c r="J173" i="2"/>
  <c r="H173" i="2" s="1"/>
  <c r="J53" i="2"/>
  <c r="H53" i="2" s="1"/>
  <c r="I872" i="2"/>
  <c r="I1018" i="2"/>
  <c r="I147" i="2"/>
  <c r="I21" i="2"/>
  <c r="K477" i="2"/>
  <c r="K48" i="2"/>
  <c r="K105" i="2"/>
  <c r="I8" i="2"/>
  <c r="I101" i="2"/>
  <c r="K358" i="2"/>
  <c r="J358" i="2"/>
  <c r="H358" i="2" s="1"/>
  <c r="I220" i="2"/>
  <c r="I1001" i="2"/>
  <c r="K764" i="2"/>
  <c r="K25" i="2"/>
  <c r="I289" i="2"/>
  <c r="I53" i="2"/>
  <c r="J29" i="2"/>
  <c r="H29" i="2" s="1"/>
  <c r="J177" i="2"/>
  <c r="H177" i="2" s="1"/>
  <c r="I35" i="2"/>
  <c r="I614" i="2"/>
  <c r="K413" i="2"/>
  <c r="I939" i="2"/>
  <c r="J993" i="2"/>
  <c r="H993" i="2" s="1"/>
  <c r="K872" i="2"/>
  <c r="J1018" i="2"/>
  <c r="K1042" i="2" s="1"/>
  <c r="J180" i="2"/>
  <c r="H180" i="2" s="1"/>
  <c r="J1048" i="2"/>
  <c r="H1048" i="2" s="1"/>
  <c r="J666" i="2"/>
  <c r="H666" i="2" s="1"/>
  <c r="I284" i="2"/>
  <c r="K262" i="2"/>
  <c r="I241" i="2"/>
  <c r="K35" i="2"/>
  <c r="I1010" i="2"/>
  <c r="J891" i="2"/>
  <c r="H891" i="2" s="1"/>
  <c r="I173" i="2"/>
  <c r="J289" i="2"/>
  <c r="H289" i="2" s="1"/>
  <c r="J648" i="2"/>
  <c r="H648" i="2" s="1"/>
  <c r="J474" i="2"/>
  <c r="H474" i="2" s="1"/>
  <c r="J465" i="2"/>
  <c r="H465" i="2" s="1"/>
  <c r="K284" i="2"/>
  <c r="J101" i="2"/>
  <c r="H101" i="2" s="1"/>
  <c r="I890" i="2"/>
  <c r="I10" i="2"/>
  <c r="K981" i="2"/>
  <c r="K918" i="2"/>
  <c r="I605" i="2"/>
  <c r="I474" i="2"/>
  <c r="K465" i="2"/>
  <c r="I73" i="2"/>
  <c r="I180" i="2"/>
  <c r="K147" i="2"/>
  <c r="J115" i="2"/>
  <c r="H115" i="2" s="1"/>
  <c r="J366" i="2"/>
  <c r="H366" i="2" s="1"/>
  <c r="K72" i="2"/>
  <c r="I47" i="2"/>
  <c r="J578" i="2"/>
  <c r="H578" i="2" s="1"/>
  <c r="K176" i="2"/>
  <c r="J905" i="2"/>
  <c r="H905" i="2" s="1"/>
  <c r="I89" i="2"/>
  <c r="K89" i="2"/>
  <c r="I211" i="2"/>
  <c r="K357" i="2"/>
  <c r="J732" i="2"/>
  <c r="K770" i="2" s="1"/>
  <c r="I732" i="2"/>
  <c r="J502" i="2"/>
  <c r="H502" i="2" s="1"/>
  <c r="K502" i="2"/>
  <c r="I914" i="2"/>
  <c r="J605" i="2"/>
  <c r="H605" i="2" s="1"/>
  <c r="I884" i="2"/>
  <c r="J619" i="2"/>
  <c r="H619" i="2" s="1"/>
  <c r="K327" i="2"/>
  <c r="J600" i="2"/>
  <c r="H600" i="2" s="1"/>
  <c r="I366" i="2"/>
  <c r="K387" i="2"/>
  <c r="H322" i="2"/>
  <c r="I619" i="2"/>
  <c r="I600" i="2"/>
  <c r="K482" i="2"/>
  <c r="J914" i="2"/>
  <c r="H914" i="2" s="1"/>
  <c r="J357" i="2"/>
  <c r="K376" i="2" s="1"/>
  <c r="K590" i="2"/>
  <c r="J764" i="2"/>
  <c r="H764" i="2" s="1"/>
  <c r="J449" i="2"/>
  <c r="K451" i="2" s="1"/>
  <c r="I449" i="2"/>
  <c r="J1092" i="2"/>
  <c r="H1092" i="2" s="1"/>
  <c r="J482" i="2"/>
  <c r="H482" i="2" s="1"/>
  <c r="J1093" i="2"/>
  <c r="H1093" i="2" s="1"/>
  <c r="J436" i="2"/>
  <c r="H436" i="2" s="1"/>
  <c r="I290" i="2"/>
  <c r="J537" i="2"/>
  <c r="K604" i="2" s="1"/>
  <c r="J851" i="2"/>
  <c r="H851" i="2" s="1"/>
  <c r="I578" i="2"/>
  <c r="J278" i="2"/>
  <c r="J792" i="2"/>
  <c r="H792" i="2" s="1"/>
  <c r="I768" i="2"/>
  <c r="J316" i="2"/>
  <c r="H316" i="2" s="1"/>
  <c r="I537" i="2"/>
  <c r="K1098" i="2"/>
  <c r="I851" i="2"/>
  <c r="I255" i="2"/>
  <c r="J725" i="2"/>
  <c r="H725" i="2" s="1"/>
  <c r="K792" i="2"/>
  <c r="K701" i="2"/>
  <c r="I871" i="2"/>
  <c r="I1089" i="2"/>
  <c r="K673" i="2"/>
  <c r="I699" i="2"/>
  <c r="H251" i="2"/>
  <c r="I628" i="2"/>
  <c r="K699" i="2"/>
  <c r="K220" i="2"/>
  <c r="K975" i="2"/>
  <c r="J252" i="2"/>
  <c r="H252" i="2" s="1"/>
  <c r="I252" i="2"/>
  <c r="I434" i="2"/>
  <c r="J717" i="2"/>
  <c r="H717" i="2" s="1"/>
  <c r="I673" i="2"/>
  <c r="J434" i="2"/>
  <c r="H434" i="2" s="1"/>
  <c r="K717" i="2"/>
  <c r="J290" i="2"/>
  <c r="H290" i="2" s="1"/>
  <c r="J596" i="2"/>
  <c r="H596" i="2" s="1"/>
  <c r="I281" i="2"/>
  <c r="K898" i="2"/>
  <c r="J547" i="2"/>
  <c r="H547" i="2" s="1"/>
  <c r="J1073" i="2"/>
  <c r="K768" i="2"/>
  <c r="I547" i="2"/>
  <c r="I724" i="2"/>
  <c r="J724" i="2"/>
  <c r="H724" i="2" s="1"/>
  <c r="I535" i="2"/>
  <c r="J898" i="2"/>
  <c r="H898" i="2" s="1"/>
  <c r="I652" i="2"/>
  <c r="J1089" i="2"/>
  <c r="H1089" i="2" s="1"/>
  <c r="J652" i="2"/>
  <c r="H652" i="2" s="1"/>
  <c r="K322" i="2"/>
  <c r="I1092" i="2"/>
  <c r="K234" i="2"/>
  <c r="J741" i="2"/>
  <c r="H741" i="2" s="1"/>
  <c r="K687" i="2"/>
  <c r="I687" i="2"/>
  <c r="I1030" i="2"/>
  <c r="K741" i="2"/>
  <c r="K532" i="2"/>
  <c r="I532" i="2"/>
  <c r="J535" i="2"/>
  <c r="H535" i="2" s="1"/>
  <c r="I734" i="2"/>
  <c r="J1030" i="2"/>
  <c r="I596" i="2"/>
  <c r="I258" i="2"/>
  <c r="I975" i="2"/>
  <c r="K734" i="2"/>
  <c r="K258" i="2"/>
  <c r="J610" i="2"/>
  <c r="H610" i="2" s="1"/>
  <c r="J685" i="2"/>
  <c r="K732" i="2" s="1"/>
  <c r="I685" i="2"/>
  <c r="K388" i="2"/>
  <c r="I1053" i="2"/>
  <c r="J1053" i="2"/>
  <c r="H1053" i="2" s="1"/>
  <c r="J723" i="2"/>
  <c r="H723" i="2" s="1"/>
  <c r="K967" i="2"/>
  <c r="I610" i="2"/>
  <c r="J967" i="2"/>
  <c r="H967" i="2" s="1"/>
  <c r="K753" i="2"/>
  <c r="K723" i="2"/>
  <c r="I174" i="2"/>
  <c r="J174" i="2"/>
  <c r="H174" i="2" s="1"/>
  <c r="J91" i="2"/>
  <c r="H91" i="2" s="1"/>
  <c r="J41" i="2"/>
  <c r="H41" i="2" s="1"/>
  <c r="I51" i="2"/>
  <c r="K616" i="2"/>
  <c r="J539" i="2"/>
  <c r="H539" i="2" s="1"/>
  <c r="I72" i="2"/>
  <c r="K511" i="2"/>
  <c r="J86" i="2"/>
  <c r="H86" i="2" s="1"/>
  <c r="K935" i="2"/>
  <c r="I844" i="2"/>
  <c r="J225" i="2"/>
  <c r="H225" i="2" s="1"/>
  <c r="K902" i="2"/>
  <c r="K293" i="2"/>
  <c r="J226" i="2"/>
  <c r="H226" i="2" s="1"/>
  <c r="I616" i="2"/>
  <c r="H188" i="2"/>
  <c r="I1036" i="2"/>
  <c r="I225" i="2"/>
  <c r="J622" i="2"/>
  <c r="H622" i="2" s="1"/>
  <c r="I947" i="2"/>
  <c r="I961" i="2"/>
  <c r="J1036" i="2"/>
  <c r="I331" i="2"/>
  <c r="I305" i="2"/>
  <c r="I749" i="2"/>
  <c r="J1019" i="2"/>
  <c r="H1019" i="2" s="1"/>
  <c r="K365" i="2"/>
  <c r="I1039" i="2"/>
  <c r="J778" i="2"/>
  <c r="H778" i="2" s="1"/>
  <c r="J451" i="2"/>
  <c r="K698" i="2" s="1"/>
  <c r="I387" i="2"/>
  <c r="I357" i="2"/>
  <c r="K331" i="2"/>
  <c r="I277" i="2"/>
  <c r="K844" i="2"/>
  <c r="I1042" i="2"/>
  <c r="I927" i="2"/>
  <c r="K1039" i="2"/>
  <c r="K870" i="2"/>
  <c r="J870" i="2"/>
  <c r="H870" i="2" s="1"/>
  <c r="J751" i="2"/>
  <c r="H751" i="2" s="1"/>
  <c r="I590" i="2"/>
  <c r="K372" i="2"/>
  <c r="J912" i="2"/>
  <c r="H912" i="2" s="1"/>
  <c r="J365" i="2"/>
  <c r="H365" i="2" s="1"/>
  <c r="J927" i="2"/>
  <c r="H927" i="2" s="1"/>
  <c r="I528" i="2"/>
  <c r="I751" i="2"/>
  <c r="I269" i="2"/>
  <c r="I745" i="2"/>
  <c r="I430" i="2"/>
  <c r="I234" i="2"/>
  <c r="I593" i="2"/>
  <c r="K737" i="2"/>
  <c r="I1019" i="2"/>
  <c r="K961" i="2"/>
  <c r="I539" i="2"/>
  <c r="J528" i="2"/>
  <c r="H528" i="2" s="1"/>
  <c r="I926" i="2"/>
  <c r="I992" i="2"/>
  <c r="I451" i="2"/>
  <c r="J953" i="2"/>
  <c r="H953" i="2" s="1"/>
  <c r="I322" i="2"/>
  <c r="I226" i="2"/>
  <c r="J871" i="2"/>
  <c r="H871" i="2" s="1"/>
  <c r="J992" i="2"/>
  <c r="K628" i="2"/>
  <c r="K745" i="2"/>
  <c r="I626" i="2"/>
  <c r="I915" i="2"/>
  <c r="J926" i="2"/>
  <c r="I86" i="2"/>
  <c r="K593" i="2"/>
  <c r="J139" i="2"/>
  <c r="H139" i="2" s="1"/>
  <c r="I744" i="2"/>
  <c r="I63" i="2"/>
  <c r="I168" i="2"/>
  <c r="I343" i="2"/>
  <c r="K122" i="2"/>
  <c r="K74" i="2"/>
  <c r="K269" i="2"/>
  <c r="K255" i="2"/>
  <c r="J662" i="2"/>
  <c r="H662" i="2" s="1"/>
  <c r="I91" i="2"/>
  <c r="K816" i="2"/>
  <c r="I22" i="2"/>
  <c r="J516" i="2"/>
  <c r="H516" i="2" s="1"/>
  <c r="J626" i="2"/>
  <c r="K635" i="2" s="1"/>
  <c r="J1024" i="2"/>
  <c r="K1040" i="2" s="1"/>
  <c r="G1040" i="2" s="1"/>
  <c r="I122" i="2"/>
  <c r="I15" i="2"/>
  <c r="I516" i="2"/>
  <c r="I965" i="2"/>
  <c r="J885" i="2"/>
  <c r="K889" i="2" s="1"/>
  <c r="J718" i="2"/>
  <c r="H718" i="2" s="1"/>
  <c r="J744" i="2"/>
  <c r="H744" i="2" s="1"/>
  <c r="J343" i="2"/>
  <c r="H343" i="2" s="1"/>
  <c r="I912" i="2"/>
  <c r="J15" i="2"/>
  <c r="H15" i="2" s="1"/>
  <c r="J208" i="2"/>
  <c r="H208" i="2" s="1"/>
  <c r="J203" i="2"/>
  <c r="H203" i="2" s="1"/>
  <c r="J737" i="2"/>
  <c r="H737" i="2" s="1"/>
  <c r="J277" i="2"/>
  <c r="H277" i="2" s="1"/>
  <c r="J1042" i="2"/>
  <c r="K1044" i="2" s="1"/>
  <c r="J3" i="2"/>
  <c r="H3" i="2" s="1"/>
  <c r="K22" i="2"/>
  <c r="I786" i="2"/>
  <c r="J450" i="2"/>
  <c r="H450" i="2" s="1"/>
  <c r="J902" i="2"/>
  <c r="K958" i="2" s="1"/>
  <c r="K778" i="2"/>
  <c r="J65" i="2"/>
  <c r="H65" i="2" s="1"/>
  <c r="J888" i="2"/>
  <c r="H888" i="2" s="1"/>
  <c r="J830" i="2"/>
  <c r="H830" i="2" s="1"/>
  <c r="I885" i="2"/>
  <c r="I791" i="2"/>
  <c r="I753" i="2"/>
  <c r="I523" i="2"/>
  <c r="I208" i="2"/>
  <c r="I319" i="2"/>
  <c r="J473" i="2"/>
  <c r="H473" i="2" s="1"/>
  <c r="I139" i="2"/>
  <c r="J74" i="2"/>
  <c r="H74" i="2" s="1"/>
  <c r="J281" i="2"/>
  <c r="H281" i="2" s="1"/>
  <c r="J749" i="2"/>
  <c r="H749" i="2" s="1"/>
  <c r="I1005" i="2"/>
  <c r="J1005" i="2"/>
  <c r="K1009" i="2" s="1"/>
  <c r="K640" i="2"/>
  <c r="J823" i="2"/>
  <c r="H823" i="2" s="1"/>
  <c r="K786" i="2"/>
  <c r="I3" i="2"/>
  <c r="J955" i="2"/>
  <c r="J1098" i="2"/>
  <c r="H1098" i="2" s="1"/>
  <c r="I953" i="2"/>
  <c r="I823" i="2"/>
  <c r="I718" i="2"/>
  <c r="J523" i="2"/>
  <c r="H523" i="2" s="1"/>
  <c r="I419" i="2"/>
  <c r="I450" i="2"/>
  <c r="I216" i="2"/>
  <c r="I436" i="2"/>
  <c r="J319" i="2"/>
  <c r="H319" i="2" s="1"/>
  <c r="K473" i="2"/>
  <c r="J151" i="2"/>
  <c r="H151" i="2" s="1"/>
  <c r="I203" i="2"/>
  <c r="I461" i="2"/>
  <c r="J388" i="2"/>
  <c r="H388" i="2" s="1"/>
  <c r="I622" i="2"/>
  <c r="I293" i="2"/>
  <c r="I170" i="2"/>
  <c r="J965" i="2"/>
  <c r="H965" i="2" s="1"/>
  <c r="J915" i="2"/>
  <c r="J816" i="2"/>
  <c r="H816" i="2" s="1"/>
  <c r="I642" i="2"/>
  <c r="K642" i="2"/>
  <c r="J419" i="2"/>
  <c r="H419" i="2" s="1"/>
  <c r="I511" i="2"/>
  <c r="I323" i="2"/>
  <c r="I701" i="2"/>
  <c r="J216" i="2"/>
  <c r="K416" i="2" s="1"/>
  <c r="J640" i="2"/>
  <c r="H640" i="2" s="1"/>
  <c r="J1078" i="2"/>
  <c r="H1078" i="2" s="1"/>
  <c r="J461" i="2"/>
  <c r="H461" i="2" s="1"/>
  <c r="I1078" i="2"/>
  <c r="K830" i="2"/>
  <c r="I888" i="2"/>
  <c r="J791" i="2"/>
  <c r="H791" i="2" s="1"/>
  <c r="J323" i="2"/>
  <c r="H323" i="2" s="1"/>
  <c r="J305" i="2"/>
  <c r="I935" i="2"/>
  <c r="I662" i="2"/>
  <c r="K151" i="2"/>
  <c r="I372" i="2"/>
  <c r="K170" i="2"/>
  <c r="J90" i="2"/>
  <c r="H90" i="2" s="1"/>
  <c r="H165" i="2"/>
  <c r="G163" i="2"/>
  <c r="H72" i="2"/>
  <c r="K925" i="2"/>
  <c r="K40" i="2"/>
  <c r="I128" i="2"/>
  <c r="J154" i="2"/>
  <c r="H154" i="2" s="1"/>
  <c r="J307" i="2"/>
  <c r="K583" i="2" s="1"/>
  <c r="J235" i="2"/>
  <c r="K458" i="2" s="1"/>
  <c r="J217" i="2"/>
  <c r="H217" i="2" s="1"/>
  <c r="H34" i="2"/>
  <c r="J1079" i="2"/>
  <c r="H1079" i="2" s="1"/>
  <c r="J455" i="2"/>
  <c r="I66" i="2"/>
  <c r="I379" i="2"/>
  <c r="J271" i="2"/>
  <c r="H271" i="2" s="1"/>
  <c r="J68" i="2"/>
  <c r="K165" i="2" s="1"/>
  <c r="J362" i="2"/>
  <c r="H362" i="2" s="1"/>
  <c r="J371" i="2"/>
  <c r="H371" i="2" s="1"/>
  <c r="I140" i="2"/>
  <c r="J533" i="2"/>
  <c r="H533" i="2" s="1"/>
  <c r="I555" i="2"/>
  <c r="K185" i="2"/>
  <c r="K555" i="2"/>
  <c r="I504" i="2"/>
  <c r="J140" i="2"/>
  <c r="H140" i="2" s="1"/>
  <c r="J31" i="2"/>
  <c r="I410" i="2"/>
  <c r="I789" i="2"/>
  <c r="K660" i="2"/>
  <c r="J789" i="2"/>
  <c r="H789" i="2" s="1"/>
  <c r="K661" i="2"/>
  <c r="K69" i="2"/>
  <c r="K201" i="2"/>
  <c r="I352" i="2"/>
  <c r="I377" i="2"/>
  <c r="J404" i="2"/>
  <c r="H404" i="2" s="1"/>
  <c r="K222" i="2"/>
  <c r="J142" i="2"/>
  <c r="H142" i="2" s="1"/>
  <c r="I90" i="2"/>
  <c r="J350" i="2"/>
  <c r="H350" i="2" s="1"/>
  <c r="I50" i="2"/>
  <c r="J681" i="2"/>
  <c r="H681" i="2" s="1"/>
  <c r="J222" i="2"/>
  <c r="I415" i="2"/>
  <c r="K484" i="2"/>
  <c r="I1052" i="2"/>
  <c r="J410" i="2"/>
  <c r="H410" i="2" s="1"/>
  <c r="J287" i="2"/>
  <c r="H287" i="2" s="1"/>
  <c r="J660" i="2"/>
  <c r="H660" i="2" s="1"/>
  <c r="I392" i="2"/>
  <c r="J418" i="2"/>
  <c r="K423" i="2" s="1"/>
  <c r="J392" i="2"/>
  <c r="H392" i="2" s="1"/>
  <c r="I940" i="2"/>
  <c r="J647" i="2"/>
  <c r="H647" i="2" s="1"/>
  <c r="J242" i="2"/>
  <c r="H242" i="2" s="1"/>
  <c r="H22" i="2"/>
  <c r="K1041" i="2"/>
  <c r="I632" i="2"/>
  <c r="K447" i="2"/>
  <c r="J769" i="2"/>
  <c r="H769" i="2" s="1"/>
  <c r="J395" i="2"/>
  <c r="H395" i="2" s="1"/>
  <c r="K209" i="2"/>
  <c r="J93" i="2"/>
  <c r="H93" i="2" s="1"/>
  <c r="K93" i="2"/>
  <c r="K974" i="2"/>
  <c r="K647" i="2"/>
  <c r="K517" i="2"/>
  <c r="J195" i="2"/>
  <c r="H195" i="2" s="1"/>
  <c r="K43" i="2"/>
  <c r="J1094" i="2"/>
  <c r="H1094" i="2" s="1"/>
  <c r="I736" i="2"/>
  <c r="I635" i="2"/>
  <c r="J682" i="2"/>
  <c r="K735" i="2" s="1"/>
  <c r="J190" i="2"/>
  <c r="H190" i="2" s="1"/>
  <c r="J1014" i="2"/>
  <c r="H1014" i="2" s="1"/>
  <c r="I883" i="2"/>
  <c r="J942" i="2"/>
  <c r="H942" i="2" s="1"/>
  <c r="I594" i="2"/>
  <c r="I87" i="2"/>
  <c r="I40" i="2"/>
  <c r="I447" i="2"/>
  <c r="I350" i="2"/>
  <c r="J337" i="2"/>
  <c r="H337" i="2" s="1"/>
  <c r="K928" i="2"/>
  <c r="J569" i="2"/>
  <c r="H569" i="2" s="1"/>
  <c r="J209" i="2"/>
  <c r="H209" i="2" s="1"/>
  <c r="I374" i="2"/>
  <c r="K910" i="2"/>
  <c r="I759" i="2"/>
  <c r="J721" i="2"/>
  <c r="H721" i="2" s="1"/>
  <c r="K569" i="2"/>
  <c r="J374" i="2"/>
  <c r="H374" i="2" s="1"/>
  <c r="J221" i="2"/>
  <c r="H221" i="2" s="1"/>
  <c r="J800" i="2"/>
  <c r="H800" i="2" s="1"/>
  <c r="J808" i="2"/>
  <c r="H808" i="2" s="1"/>
  <c r="I566" i="2"/>
  <c r="J595" i="2"/>
  <c r="H595" i="2" s="1"/>
  <c r="I154" i="2"/>
  <c r="J66" i="2"/>
  <c r="K287" i="2"/>
  <c r="I484" i="2"/>
  <c r="J286" i="2"/>
  <c r="H286" i="2" s="1"/>
  <c r="J960" i="2"/>
  <c r="H960" i="2" s="1"/>
  <c r="J865" i="2"/>
  <c r="K868" i="2" s="1"/>
  <c r="K802" i="2"/>
  <c r="I389" i="2"/>
  <c r="I385" i="2"/>
  <c r="J205" i="2"/>
  <c r="H205" i="2" s="1"/>
  <c r="J481" i="2"/>
  <c r="H481" i="2" s="1"/>
  <c r="I429" i="2"/>
  <c r="I893" i="2"/>
  <c r="J262" i="2"/>
  <c r="K334" i="2" s="1"/>
  <c r="J709" i="2"/>
  <c r="K819" i="2"/>
  <c r="K385" i="2"/>
  <c r="K481" i="2"/>
  <c r="I297" i="2"/>
  <c r="J1022" i="2"/>
  <c r="K932" i="2"/>
  <c r="I819" i="2"/>
  <c r="J707" i="2"/>
  <c r="J375" i="2"/>
  <c r="H375" i="2" s="1"/>
  <c r="K297" i="2"/>
  <c r="K931" i="2"/>
  <c r="J776" i="2"/>
  <c r="H776" i="2" s="1"/>
  <c r="J925" i="2"/>
  <c r="H925" i="2" s="1"/>
  <c r="I1009" i="2"/>
  <c r="I920" i="2"/>
  <c r="J920" i="2"/>
  <c r="H920" i="2" s="1"/>
  <c r="K797" i="2"/>
  <c r="J700" i="2"/>
  <c r="H700" i="2" s="1"/>
  <c r="I842" i="2"/>
  <c r="J646" i="2"/>
  <c r="H646" i="2" s="1"/>
  <c r="J632" i="2"/>
  <c r="H632" i="2" s="1"/>
  <c r="J594" i="2"/>
  <c r="K630" i="2" s="1"/>
  <c r="J295" i="2"/>
  <c r="H295" i="2" s="1"/>
  <c r="K504" i="2"/>
  <c r="I325" i="2"/>
  <c r="K921" i="2"/>
  <c r="I996" i="2"/>
  <c r="K700" i="2"/>
  <c r="I795" i="2"/>
  <c r="K646" i="2"/>
  <c r="K454" i="2"/>
  <c r="K326" i="2"/>
  <c r="I183" i="2"/>
  <c r="J1099" i="2"/>
  <c r="H1099" i="2" s="1"/>
  <c r="J894" i="2"/>
  <c r="H894" i="2" s="1"/>
  <c r="K1035" i="2"/>
  <c r="J937" i="2"/>
  <c r="H937" i="2" s="1"/>
  <c r="K848" i="2"/>
  <c r="K996" i="2"/>
  <c r="I698" i="2"/>
  <c r="J911" i="2"/>
  <c r="H911" i="2" s="1"/>
  <c r="I621" i="2"/>
  <c r="K580" i="2"/>
  <c r="K533" i="2"/>
  <c r="J584" i="2"/>
  <c r="H584" i="2" s="1"/>
  <c r="I123" i="2"/>
  <c r="K599" i="2"/>
  <c r="J394" i="2"/>
  <c r="H394" i="2" s="1"/>
  <c r="I298" i="2"/>
  <c r="I832" i="2"/>
  <c r="I457" i="2"/>
  <c r="K394" i="2"/>
  <c r="I166" i="2"/>
  <c r="K217" i="2"/>
  <c r="J223" i="2"/>
  <c r="K239" i="2" s="1"/>
  <c r="J802" i="2"/>
  <c r="H802" i="2" s="1"/>
  <c r="J1029" i="2"/>
  <c r="H1029" i="2" s="1"/>
  <c r="K1079" i="2"/>
  <c r="J1091" i="2"/>
  <c r="H1091" i="2" s="1"/>
  <c r="K896" i="2"/>
  <c r="J986" i="2"/>
  <c r="H986" i="2" s="1"/>
  <c r="J832" i="2"/>
  <c r="H832" i="2" s="1"/>
  <c r="I776" i="2"/>
  <c r="J883" i="2"/>
  <c r="K911" i="2"/>
  <c r="K598" i="2"/>
  <c r="I769" i="2"/>
  <c r="K620" i="2"/>
  <c r="J359" i="2"/>
  <c r="H359" i="2" s="1"/>
  <c r="J454" i="2"/>
  <c r="H454" i="2" s="1"/>
  <c r="K227" i="2"/>
  <c r="J517" i="2"/>
  <c r="H517" i="2" s="1"/>
  <c r="J325" i="2"/>
  <c r="H325" i="2" s="1"/>
  <c r="J128" i="2"/>
  <c r="K214" i="2"/>
  <c r="I49" i="2"/>
  <c r="J145" i="2"/>
  <c r="H145" i="2" s="1"/>
  <c r="I598" i="2"/>
  <c r="I928" i="2"/>
  <c r="J166" i="2"/>
  <c r="H166" i="2" s="1"/>
  <c r="J367" i="2"/>
  <c r="H367" i="2" s="1"/>
  <c r="K1101" i="2"/>
  <c r="J797" i="2"/>
  <c r="H797" i="2" s="1"/>
  <c r="K814" i="2"/>
  <c r="K747" i="2"/>
  <c r="I895" i="2"/>
  <c r="J759" i="2"/>
  <c r="H759" i="2" s="1"/>
  <c r="J231" i="2"/>
  <c r="H231" i="2" s="1"/>
  <c r="J210" i="2"/>
  <c r="H210" i="2" s="1"/>
  <c r="J300" i="2"/>
  <c r="H300" i="2" s="1"/>
  <c r="I300" i="2"/>
  <c r="I69" i="2"/>
  <c r="K1064" i="2"/>
  <c r="I1094" i="2"/>
  <c r="J731" i="2"/>
  <c r="H731" i="2" s="1"/>
  <c r="J421" i="2"/>
  <c r="H421" i="2" s="1"/>
  <c r="K688" i="2"/>
  <c r="K307" i="2"/>
  <c r="I404" i="2"/>
  <c r="J52" i="2"/>
  <c r="H52" i="2" s="1"/>
  <c r="K359" i="2"/>
  <c r="K228" i="2"/>
  <c r="I131" i="2"/>
  <c r="I54" i="2"/>
  <c r="I201" i="2"/>
  <c r="J63" i="2"/>
  <c r="H63" i="2" s="1"/>
  <c r="I1106" i="2"/>
  <c r="J1083" i="2"/>
  <c r="K1090" i="2" s="1"/>
  <c r="G1090" i="2" s="1"/>
  <c r="I856" i="2"/>
  <c r="K731" i="2"/>
  <c r="J852" i="2"/>
  <c r="K978" i="2" s="1"/>
  <c r="I671" i="2"/>
  <c r="I393" i="2"/>
  <c r="J570" i="2"/>
  <c r="H570" i="2" s="1"/>
  <c r="I361" i="2"/>
  <c r="I242" i="2"/>
  <c r="J417" i="2"/>
  <c r="H417" i="2" s="1"/>
  <c r="I407" i="2"/>
  <c r="J83" i="2"/>
  <c r="H83" i="2" s="1"/>
  <c r="J149" i="2"/>
  <c r="H149" i="2" s="1"/>
  <c r="I236" i="2"/>
  <c r="K95" i="2"/>
  <c r="J131" i="2"/>
  <c r="H131" i="2" s="1"/>
  <c r="J54" i="2"/>
  <c r="H54" i="2" s="1"/>
  <c r="K362" i="2"/>
  <c r="K997" i="2"/>
  <c r="K949" i="2"/>
  <c r="I853" i="2"/>
  <c r="K852" i="2"/>
  <c r="J193" i="2"/>
  <c r="H193" i="2" s="1"/>
  <c r="I519" i="2"/>
  <c r="J361" i="2"/>
  <c r="H361" i="2" s="1"/>
  <c r="K407" i="2"/>
  <c r="K464" i="2"/>
  <c r="I228" i="2"/>
  <c r="J95" i="2"/>
  <c r="K168" i="2" s="1"/>
  <c r="J726" i="2"/>
  <c r="K403" i="2"/>
  <c r="I311" i="2"/>
  <c r="J1106" i="2"/>
  <c r="H1106" i="2" s="1"/>
  <c r="J1052" i="2"/>
  <c r="K1065" i="2" s="1"/>
  <c r="J1041" i="2"/>
  <c r="H1041" i="2" s="1"/>
  <c r="I1034" i="2"/>
  <c r="K960" i="2"/>
  <c r="I793" i="2"/>
  <c r="I719" i="2"/>
  <c r="K692" i="2"/>
  <c r="I585" i="2"/>
  <c r="I190" i="2"/>
  <c r="I402" i="2"/>
  <c r="J415" i="2"/>
  <c r="H415" i="2" s="1"/>
  <c r="K80" i="2"/>
  <c r="J26" i="2"/>
  <c r="H26" i="2" s="1"/>
  <c r="I133" i="2"/>
  <c r="K236" i="2"/>
  <c r="I14" i="2"/>
  <c r="J1033" i="2"/>
  <c r="J1034" i="2"/>
  <c r="H1034" i="2" s="1"/>
  <c r="I971" i="2"/>
  <c r="K1032" i="2"/>
  <c r="K1014" i="2"/>
  <c r="J991" i="2"/>
  <c r="H991" i="2" s="1"/>
  <c r="K793" i="2"/>
  <c r="I809" i="2"/>
  <c r="J1023" i="2"/>
  <c r="H1023" i="2" s="1"/>
  <c r="J719" i="2"/>
  <c r="K621" i="2"/>
  <c r="K721" i="2"/>
  <c r="I479" i="2"/>
  <c r="K566" i="2"/>
  <c r="K479" i="2"/>
  <c r="K585" i="2"/>
  <c r="I556" i="2"/>
  <c r="J521" i="2"/>
  <c r="K529" i="2" s="1"/>
  <c r="K288" i="2"/>
  <c r="J599" i="2"/>
  <c r="H599" i="2" s="1"/>
  <c r="J197" i="2"/>
  <c r="H197" i="2" s="1"/>
  <c r="K402" i="2"/>
  <c r="J572" i="2"/>
  <c r="H572" i="2" s="1"/>
  <c r="J483" i="2"/>
  <c r="H483" i="2" s="1"/>
  <c r="J464" i="2"/>
  <c r="H464" i="2" s="1"/>
  <c r="I286" i="2"/>
  <c r="J248" i="2"/>
  <c r="H248" i="2" s="1"/>
  <c r="J87" i="2"/>
  <c r="K175" i="2" s="1"/>
  <c r="I26" i="2"/>
  <c r="I23" i="2"/>
  <c r="K133" i="2"/>
  <c r="I157" i="2"/>
  <c r="K14" i="2"/>
  <c r="I1102" i="2"/>
  <c r="K971" i="2"/>
  <c r="J998" i="2"/>
  <c r="H998" i="2" s="1"/>
  <c r="J787" i="2"/>
  <c r="H787" i="2" s="1"/>
  <c r="J882" i="2"/>
  <c r="K976" i="2" s="1"/>
  <c r="J799" i="2"/>
  <c r="H799" i="2" s="1"/>
  <c r="J809" i="2"/>
  <c r="K726" i="2"/>
  <c r="I908" i="2"/>
  <c r="I682" i="2"/>
  <c r="K421" i="2"/>
  <c r="J556" i="2"/>
  <c r="H556" i="2" s="1"/>
  <c r="K521" i="2"/>
  <c r="K352" i="2"/>
  <c r="I210" i="2"/>
  <c r="I80" i="2"/>
  <c r="K483" i="2"/>
  <c r="K248" i="2"/>
  <c r="K45" i="2"/>
  <c r="J107" i="2"/>
  <c r="K132" i="2" s="1"/>
  <c r="J23" i="2"/>
  <c r="H23" i="2" s="1"/>
  <c r="K233" i="2"/>
  <c r="K329" i="2"/>
  <c r="J157" i="2"/>
  <c r="H157" i="2" s="1"/>
  <c r="K495" i="2"/>
  <c r="K806" i="2"/>
  <c r="I684" i="2"/>
  <c r="J152" i="2"/>
  <c r="J373" i="2"/>
  <c r="H373" i="2" s="1"/>
  <c r="K76" i="2"/>
  <c r="J45" i="2"/>
  <c r="H45" i="2" s="1"/>
  <c r="I233" i="2"/>
  <c r="K78" i="2"/>
  <c r="I1108" i="2"/>
  <c r="K1095" i="2"/>
  <c r="K1029" i="2"/>
  <c r="J1084" i="2"/>
  <c r="H1084" i="2" s="1"/>
  <c r="K1102" i="2"/>
  <c r="I1033" i="2"/>
  <c r="K1000" i="2"/>
  <c r="K963" i="2"/>
  <c r="I894" i="2"/>
  <c r="I963" i="2"/>
  <c r="J896" i="2"/>
  <c r="K986" i="2"/>
  <c r="K962" i="2"/>
  <c r="K799" i="2"/>
  <c r="I709" i="2"/>
  <c r="J784" i="2"/>
  <c r="H784" i="2" s="1"/>
  <c r="J842" i="2"/>
  <c r="H842" i="2" s="1"/>
  <c r="J667" i="2"/>
  <c r="J684" i="2"/>
  <c r="H684" i="2" s="1"/>
  <c r="J635" i="2"/>
  <c r="K681" i="2"/>
  <c r="I414" i="2"/>
  <c r="I607" i="2"/>
  <c r="I397" i="2"/>
  <c r="J636" i="2"/>
  <c r="H636" i="2" s="1"/>
  <c r="K584" i="2"/>
  <c r="K893" i="2"/>
  <c r="J298" i="2"/>
  <c r="H298" i="2" s="1"/>
  <c r="K367" i="2"/>
  <c r="J311" i="2"/>
  <c r="H311" i="2" s="1"/>
  <c r="K31" i="2"/>
  <c r="J76" i="2"/>
  <c r="H76" i="2" s="1"/>
  <c r="J75" i="2"/>
  <c r="H75" i="2" s="1"/>
  <c r="K152" i="2"/>
  <c r="I155" i="2"/>
  <c r="J329" i="2"/>
  <c r="H329" i="2" s="1"/>
  <c r="K957" i="2"/>
  <c r="I937" i="2"/>
  <c r="I807" i="2"/>
  <c r="K784" i="2"/>
  <c r="J671" i="2"/>
  <c r="H671" i="2" s="1"/>
  <c r="I663" i="2"/>
  <c r="I562" i="2"/>
  <c r="J607" i="2"/>
  <c r="H607" i="2" s="1"/>
  <c r="J347" i="2"/>
  <c r="H347" i="2" s="1"/>
  <c r="J509" i="2"/>
  <c r="K513" i="2" s="1"/>
  <c r="I495" i="2"/>
  <c r="I288" i="2"/>
  <c r="K197" i="2"/>
  <c r="J351" i="2"/>
  <c r="H351" i="2" s="1"/>
  <c r="I227" i="2"/>
  <c r="I380" i="2"/>
  <c r="K231" i="2"/>
  <c r="J155" i="2"/>
  <c r="H155" i="2" s="1"/>
  <c r="I280" i="2"/>
  <c r="I145" i="2"/>
  <c r="K807" i="2"/>
  <c r="I800" i="2"/>
  <c r="K677" i="2"/>
  <c r="I692" i="2"/>
  <c r="J562" i="2"/>
  <c r="H562" i="2" s="1"/>
  <c r="J393" i="2"/>
  <c r="H393" i="2" s="1"/>
  <c r="J403" i="2"/>
  <c r="H403" i="2" s="1"/>
  <c r="K271" i="2"/>
  <c r="I195" i="2"/>
  <c r="K351" i="2"/>
  <c r="K1108" i="2"/>
  <c r="I1045" i="2"/>
  <c r="K1091" i="2"/>
  <c r="K924" i="2"/>
  <c r="I924" i="2"/>
  <c r="J933" i="2"/>
  <c r="H933" i="2" s="1"/>
  <c r="I1047" i="2"/>
  <c r="I1065" i="2"/>
  <c r="I910" i="2"/>
  <c r="K836" i="2"/>
  <c r="J770" i="2"/>
  <c r="K773" i="2" s="1"/>
  <c r="I770" i="2"/>
  <c r="J932" i="2"/>
  <c r="H932" i="2" s="1"/>
  <c r="K853" i="2"/>
  <c r="J999" i="2"/>
  <c r="H999" i="2" s="1"/>
  <c r="J788" i="2"/>
  <c r="H788" i="2" s="1"/>
  <c r="K1012" i="2"/>
  <c r="K788" i="2"/>
  <c r="K761" i="2"/>
  <c r="I738" i="2"/>
  <c r="K1023" i="2"/>
  <c r="I808" i="2"/>
  <c r="J1064" i="2"/>
  <c r="H1064" i="2" s="1"/>
  <c r="J697" i="2"/>
  <c r="H697" i="2" s="1"/>
  <c r="J589" i="2"/>
  <c r="H589" i="2" s="1"/>
  <c r="K589" i="2"/>
  <c r="J763" i="2"/>
  <c r="H763" i="2" s="1"/>
  <c r="K959" i="2"/>
  <c r="K775" i="2"/>
  <c r="I583" i="2"/>
  <c r="K613" i="2"/>
  <c r="J507" i="2"/>
  <c r="H507" i="2" s="1"/>
  <c r="I428" i="2"/>
  <c r="K428" i="2"/>
  <c r="J428" i="2"/>
  <c r="K432" i="2" s="1"/>
  <c r="J406" i="2"/>
  <c r="K435" i="2" s="1"/>
  <c r="I406" i="2"/>
  <c r="I373" i="2"/>
  <c r="K570" i="2"/>
  <c r="J493" i="2"/>
  <c r="H493" i="2" s="1"/>
  <c r="I688" i="2"/>
  <c r="K379" i="2"/>
  <c r="I478" i="2"/>
  <c r="K636" i="2"/>
  <c r="J427" i="2"/>
  <c r="H427" i="2" s="1"/>
  <c r="I427" i="2"/>
  <c r="J169" i="2"/>
  <c r="H169" i="2" s="1"/>
  <c r="I169" i="2"/>
  <c r="K183" i="2"/>
  <c r="I137" i="2"/>
  <c r="I142" i="2"/>
  <c r="I102" i="2"/>
  <c r="K417" i="2"/>
  <c r="K442" i="2"/>
  <c r="J442" i="2"/>
  <c r="H442" i="2" s="1"/>
  <c r="K276" i="2"/>
  <c r="I221" i="2"/>
  <c r="J391" i="2"/>
  <c r="H391" i="2" s="1"/>
  <c r="J12" i="2"/>
  <c r="H12" i="2" s="1"/>
  <c r="I37" i="2"/>
  <c r="J123" i="2"/>
  <c r="H123" i="2" s="1"/>
  <c r="K59" i="2"/>
  <c r="K68" i="2"/>
  <c r="K71" i="2"/>
  <c r="I714" i="2"/>
  <c r="K96" i="2"/>
  <c r="I96" i="2"/>
  <c r="J96" i="2"/>
  <c r="H96" i="2" s="1"/>
  <c r="J56" i="2"/>
  <c r="H56" i="2" s="1"/>
  <c r="K56" i="2"/>
  <c r="I976" i="2"/>
  <c r="I1060" i="2"/>
  <c r="K913" i="2"/>
  <c r="I913" i="2"/>
  <c r="K945" i="2"/>
  <c r="K714" i="2"/>
  <c r="I507" i="2"/>
  <c r="J111" i="2"/>
  <c r="K128" i="2" s="1"/>
  <c r="I56" i="2"/>
  <c r="K906" i="2"/>
  <c r="I906" i="2"/>
  <c r="I683" i="2"/>
  <c r="I761" i="2"/>
  <c r="J738" i="2"/>
  <c r="H738" i="2" s="1"/>
  <c r="K763" i="2"/>
  <c r="I460" i="2"/>
  <c r="K408" i="2"/>
  <c r="J408" i="2"/>
  <c r="H408" i="2" s="1"/>
  <c r="K493" i="2"/>
  <c r="J478" i="2"/>
  <c r="K492" i="2" s="1"/>
  <c r="J134" i="2"/>
  <c r="K144" i="2" s="1"/>
  <c r="I134" i="2"/>
  <c r="J486" i="2"/>
  <c r="H486" i="2" s="1"/>
  <c r="K441" i="2"/>
  <c r="K338" i="2"/>
  <c r="I38" i="2"/>
  <c r="I59" i="2"/>
  <c r="J71" i="2"/>
  <c r="H71" i="2" s="1"/>
  <c r="J866" i="2"/>
  <c r="I933" i="2"/>
  <c r="I879" i="2"/>
  <c r="J879" i="2"/>
  <c r="H879" i="2" s="1"/>
  <c r="J906" i="2"/>
  <c r="H906" i="2" s="1"/>
  <c r="J940" i="2"/>
  <c r="H940" i="2" s="1"/>
  <c r="J843" i="2"/>
  <c r="K854" i="2" s="1"/>
  <c r="K1043" i="2"/>
  <c r="J848" i="2"/>
  <c r="H848" i="2" s="1"/>
  <c r="I774" i="2"/>
  <c r="I999" i="2"/>
  <c r="I667" i="2"/>
  <c r="J735" i="2"/>
  <c r="K746" i="2" s="1"/>
  <c r="J867" i="2"/>
  <c r="H867" i="2" s="1"/>
  <c r="I693" i="2"/>
  <c r="J795" i="2"/>
  <c r="H795" i="2" s="1"/>
  <c r="I669" i="2"/>
  <c r="I775" i="2"/>
  <c r="K548" i="2"/>
  <c r="J548" i="2"/>
  <c r="H548" i="2" s="1"/>
  <c r="K512" i="2"/>
  <c r="J512" i="2"/>
  <c r="H512" i="2" s="1"/>
  <c r="J545" i="2"/>
  <c r="H545" i="2" s="1"/>
  <c r="I710" i="2"/>
  <c r="K397" i="2"/>
  <c r="K460" i="2"/>
  <c r="J458" i="2"/>
  <c r="K1033" i="2" s="1"/>
  <c r="J405" i="2"/>
  <c r="H405" i="2" s="1"/>
  <c r="J457" i="2"/>
  <c r="H457" i="2" s="1"/>
  <c r="I250" i="2"/>
  <c r="I299" i="2"/>
  <c r="J299" i="2"/>
  <c r="H299" i="2" s="1"/>
  <c r="K179" i="2"/>
  <c r="J179" i="2"/>
  <c r="H179" i="2" s="1"/>
  <c r="I179" i="2"/>
  <c r="I75" i="2"/>
  <c r="K486" i="2"/>
  <c r="I336" i="2"/>
  <c r="J156" i="2"/>
  <c r="K777" i="2" s="1"/>
  <c r="K118" i="2"/>
  <c r="J118" i="2"/>
  <c r="H118" i="2" s="1"/>
  <c r="K82" i="2"/>
  <c r="J82" i="2"/>
  <c r="H82" i="2" s="1"/>
  <c r="J40" i="2"/>
  <c r="K102" i="2" s="1"/>
  <c r="I262" i="2"/>
  <c r="I338" i="2"/>
  <c r="K259" i="2"/>
  <c r="J398" i="2"/>
  <c r="H398" i="2" s="1"/>
  <c r="K193" i="2"/>
  <c r="J49" i="2"/>
  <c r="H49" i="2" s="1"/>
  <c r="J318" i="2"/>
  <c r="H318" i="2" s="1"/>
  <c r="I107" i="2"/>
  <c r="I264" i="2"/>
  <c r="I378" i="2"/>
  <c r="I11" i="2"/>
  <c r="J64" i="2"/>
  <c r="H64" i="2" s="1"/>
  <c r="I263" i="2"/>
  <c r="J263" i="2"/>
  <c r="H263" i="2" s="1"/>
  <c r="J44" i="2"/>
  <c r="H44" i="2" s="1"/>
  <c r="K44" i="2"/>
  <c r="J37" i="2"/>
  <c r="H37" i="2" s="1"/>
  <c r="I44" i="2"/>
  <c r="I1021" i="2"/>
  <c r="I1070" i="2"/>
  <c r="I1020" i="2"/>
  <c r="K1100" i="2"/>
  <c r="J968" i="2"/>
  <c r="H968" i="2" s="1"/>
  <c r="I921" i="2"/>
  <c r="J1026" i="2"/>
  <c r="H1026" i="2" s="1"/>
  <c r="I1032" i="2"/>
  <c r="I1085" i="2"/>
  <c r="K1021" i="2"/>
  <c r="J1070" i="2"/>
  <c r="H1070" i="2" s="1"/>
  <c r="I969" i="2"/>
  <c r="I931" i="2"/>
  <c r="K948" i="2"/>
  <c r="J1000" i="2"/>
  <c r="H1000" i="2" s="1"/>
  <c r="I864" i="2"/>
  <c r="K864" i="2"/>
  <c r="I1038" i="2"/>
  <c r="K866" i="2"/>
  <c r="I1031" i="2"/>
  <c r="I998" i="2"/>
  <c r="I836" i="2"/>
  <c r="I835" i="2"/>
  <c r="J1012" i="2"/>
  <c r="H1012" i="2" s="1"/>
  <c r="J727" i="2"/>
  <c r="H727" i="2" s="1"/>
  <c r="K727" i="2"/>
  <c r="K664" i="2"/>
  <c r="J664" i="2"/>
  <c r="H664" i="2" s="1"/>
  <c r="K736" i="2"/>
  <c r="J669" i="2"/>
  <c r="K682" i="2" s="1"/>
  <c r="I867" i="2"/>
  <c r="K693" i="2"/>
  <c r="J546" i="2"/>
  <c r="H546" i="2" s="1"/>
  <c r="I546" i="2"/>
  <c r="I510" i="2"/>
  <c r="J510" i="2"/>
  <c r="H510" i="2" s="1"/>
  <c r="J613" i="2"/>
  <c r="H613" i="2" s="1"/>
  <c r="I580" i="2"/>
  <c r="I661" i="2"/>
  <c r="J710" i="2"/>
  <c r="H710" i="2" s="1"/>
  <c r="K395" i="2"/>
  <c r="K644" i="2"/>
  <c r="I455" i="2"/>
  <c r="J283" i="2"/>
  <c r="I458" i="2"/>
  <c r="I595" i="2"/>
  <c r="K333" i="2"/>
  <c r="J249" i="2"/>
  <c r="H249" i="2" s="1"/>
  <c r="J114" i="2"/>
  <c r="J78" i="2"/>
  <c r="H78" i="2" s="1"/>
  <c r="K257" i="2"/>
  <c r="K324" i="2"/>
  <c r="I727" i="2"/>
  <c r="K398" i="2"/>
  <c r="I214" i="2"/>
  <c r="I337" i="2"/>
  <c r="I119" i="2"/>
  <c r="K318" i="2"/>
  <c r="J264" i="2"/>
  <c r="H264" i="2" s="1"/>
  <c r="K12" i="2"/>
  <c r="J11" i="2"/>
  <c r="H11" i="2" s="1"/>
  <c r="K64" i="2"/>
  <c r="J868" i="2"/>
  <c r="K882" i="2" s="1"/>
  <c r="J985" i="2"/>
  <c r="H985" i="2" s="1"/>
  <c r="J677" i="2"/>
  <c r="H677" i="2" s="1"/>
  <c r="I606" i="2"/>
  <c r="J554" i="2"/>
  <c r="H554" i="2" s="1"/>
  <c r="K554" i="2"/>
  <c r="I644" i="2"/>
  <c r="K453" i="2"/>
  <c r="J453" i="2"/>
  <c r="J198" i="2"/>
  <c r="H198" i="2" s="1"/>
  <c r="I198" i="2"/>
  <c r="K120" i="2"/>
  <c r="I120" i="2"/>
  <c r="J120" i="2"/>
  <c r="H120" i="2" s="1"/>
  <c r="I215" i="2"/>
  <c r="J32" i="2"/>
  <c r="H32" i="2" s="1"/>
  <c r="K32" i="2"/>
  <c r="K347" i="2"/>
  <c r="K283" i="2"/>
  <c r="K119" i="2"/>
  <c r="I4" i="2"/>
  <c r="K114" i="2"/>
  <c r="J43" i="2"/>
  <c r="H43" i="2" s="1"/>
  <c r="I943" i="2"/>
  <c r="I697" i="2"/>
  <c r="J1095" i="2"/>
  <c r="H1095" i="2" s="1"/>
  <c r="J1080" i="2"/>
  <c r="H1080" i="2" s="1"/>
  <c r="K1080" i="2"/>
  <c r="K1060" i="2"/>
  <c r="I771" i="2"/>
  <c r="J771" i="2"/>
  <c r="H771" i="2" s="1"/>
  <c r="I506" i="2"/>
  <c r="K506" i="2"/>
  <c r="J506" i="2"/>
  <c r="H506" i="2" s="1"/>
  <c r="K686" i="2"/>
  <c r="I452" i="2"/>
  <c r="I467" i="2"/>
  <c r="K429" i="2"/>
  <c r="J336" i="2"/>
  <c r="H336" i="2" s="1"/>
  <c r="J181" i="2"/>
  <c r="H181" i="2" s="1"/>
  <c r="I376" i="2"/>
  <c r="K295" i="2"/>
  <c r="K249" i="2"/>
  <c r="K275" i="2"/>
  <c r="J4" i="2"/>
  <c r="H4" i="2" s="1"/>
  <c r="K253" i="2"/>
  <c r="J50" i="2"/>
  <c r="I968" i="2"/>
  <c r="J1031" i="2"/>
  <c r="H1031" i="2" s="1"/>
  <c r="K982" i="2"/>
  <c r="J821" i="2"/>
  <c r="H821" i="2" s="1"/>
  <c r="I821" i="2"/>
  <c r="J683" i="2"/>
  <c r="H683" i="2" s="1"/>
  <c r="I985" i="2"/>
  <c r="K771" i="2"/>
  <c r="I708" i="2"/>
  <c r="K536" i="2"/>
  <c r="J536" i="2"/>
  <c r="H536" i="2" s="1"/>
  <c r="I651" i="2"/>
  <c r="I686" i="2"/>
  <c r="I545" i="2"/>
  <c r="I391" i="2"/>
  <c r="J625" i="2"/>
  <c r="H625" i="2" s="1"/>
  <c r="I623" i="2"/>
  <c r="J448" i="2"/>
  <c r="H448" i="2" s="1"/>
  <c r="I448" i="2"/>
  <c r="K405" i="2"/>
  <c r="J452" i="2"/>
  <c r="H452" i="2" s="1"/>
  <c r="J467" i="2"/>
  <c r="H467" i="2" s="1"/>
  <c r="K198" i="2"/>
  <c r="I111" i="2"/>
  <c r="K250" i="2"/>
  <c r="K181" i="2"/>
  <c r="J376" i="2"/>
  <c r="K378" i="2" s="1"/>
  <c r="J144" i="2"/>
  <c r="J106" i="2"/>
  <c r="H106" i="2" s="1"/>
  <c r="K106" i="2"/>
  <c r="J70" i="2"/>
  <c r="H70" i="2" s="1"/>
  <c r="K70" i="2"/>
  <c r="J18" i="2"/>
  <c r="H18" i="2" s="1"/>
  <c r="K18" i="2"/>
  <c r="J470" i="2"/>
  <c r="H470" i="2" s="1"/>
  <c r="K314" i="2"/>
  <c r="I572" i="2"/>
  <c r="I324" i="2"/>
  <c r="I390" i="2"/>
  <c r="I189" i="2"/>
  <c r="I88" i="2"/>
  <c r="K38" i="2"/>
  <c r="K52" i="2"/>
  <c r="J99" i="2"/>
  <c r="K33" i="2"/>
  <c r="K954" i="2"/>
  <c r="I954" i="2"/>
  <c r="J977" i="2"/>
  <c r="H977" i="2" s="1"/>
  <c r="I466" i="2"/>
  <c r="K466" i="2"/>
  <c r="J466" i="2"/>
  <c r="H466" i="2" s="1"/>
  <c r="I432" i="2"/>
  <c r="J215" i="2"/>
  <c r="H215" i="2" s="1"/>
  <c r="J948" i="2"/>
  <c r="H948" i="2" s="1"/>
  <c r="I1026" i="2"/>
  <c r="K670" i="2"/>
  <c r="J670" i="2"/>
  <c r="H670" i="2" s="1"/>
  <c r="J363" i="2"/>
  <c r="H363" i="2" s="1"/>
  <c r="I363" i="2"/>
  <c r="K983" i="2"/>
  <c r="J916" i="2"/>
  <c r="H916" i="2" s="1"/>
  <c r="K878" i="2"/>
  <c r="I878" i="2"/>
  <c r="J837" i="2"/>
  <c r="K908" i="2" s="1"/>
  <c r="G908" i="2" s="1"/>
  <c r="I837" i="2"/>
  <c r="J1085" i="2"/>
  <c r="H1085" i="2" s="1"/>
  <c r="J878" i="2"/>
  <c r="H878" i="2" s="1"/>
  <c r="J774" i="2"/>
  <c r="I944" i="2"/>
  <c r="J1059" i="2"/>
  <c r="H1059" i="2" s="1"/>
  <c r="I1035" i="2"/>
  <c r="K966" i="2"/>
  <c r="J966" i="2"/>
  <c r="H966" i="2" s="1"/>
  <c r="I966" i="2"/>
  <c r="K837" i="2"/>
  <c r="J944" i="2"/>
  <c r="H944" i="2" s="1"/>
  <c r="I956" i="2"/>
  <c r="I702" i="2"/>
  <c r="K702" i="2"/>
  <c r="I1099" i="2"/>
  <c r="K1002" i="2"/>
  <c r="I1002" i="2"/>
  <c r="J1002" i="2"/>
  <c r="H1002" i="2" s="1"/>
  <c r="K1059" i="2"/>
  <c r="J1061" i="2"/>
  <c r="H1061" i="2" s="1"/>
  <c r="K969" i="2"/>
  <c r="K919" i="2"/>
  <c r="I1061" i="2"/>
  <c r="I997" i="2"/>
  <c r="I957" i="2"/>
  <c r="I919" i="2"/>
  <c r="I1083" i="2"/>
  <c r="I1003" i="2"/>
  <c r="K1003" i="2"/>
  <c r="J1046" i="2"/>
  <c r="H1046" i="2" s="1"/>
  <c r="J930" i="2"/>
  <c r="H930" i="2" s="1"/>
  <c r="I930" i="2"/>
  <c r="J949" i="2"/>
  <c r="K955" i="2" s="1"/>
  <c r="K956" i="2"/>
  <c r="K856" i="2"/>
  <c r="K796" i="2"/>
  <c r="J796" i="2"/>
  <c r="H796" i="2" s="1"/>
  <c r="I796" i="2"/>
  <c r="I982" i="2"/>
  <c r="I812" i="2"/>
  <c r="I991" i="2"/>
  <c r="I806" i="2"/>
  <c r="I773" i="2"/>
  <c r="J702" i="2"/>
  <c r="H702" i="2" s="1"/>
  <c r="J653" i="2"/>
  <c r="H653" i="2" s="1"/>
  <c r="K653" i="2"/>
  <c r="J780" i="2"/>
  <c r="H780" i="2" s="1"/>
  <c r="J708" i="2"/>
  <c r="H708" i="2" s="1"/>
  <c r="J534" i="2"/>
  <c r="K543" i="2" s="1"/>
  <c r="I534" i="2"/>
  <c r="J651" i="2"/>
  <c r="H651" i="2" s="1"/>
  <c r="J492" i="2"/>
  <c r="K494" i="2" s="1"/>
  <c r="G494" i="2" s="1"/>
  <c r="I492" i="2"/>
  <c r="K612" i="2"/>
  <c r="J567" i="2"/>
  <c r="H567" i="2" s="1"/>
  <c r="I567" i="2"/>
  <c r="I612" i="2"/>
  <c r="K381" i="2"/>
  <c r="J446" i="2"/>
  <c r="H446" i="2" s="1"/>
  <c r="I490" i="2"/>
  <c r="I441" i="2"/>
  <c r="J333" i="2"/>
  <c r="H333" i="2" s="1"/>
  <c r="J257" i="2"/>
  <c r="H257" i="2" s="1"/>
  <c r="J519" i="2"/>
  <c r="H519" i="2" s="1"/>
  <c r="J414" i="2"/>
  <c r="H414" i="2" s="1"/>
  <c r="I446" i="2"/>
  <c r="J623" i="2"/>
  <c r="H623" i="2" s="1"/>
  <c r="J500" i="2"/>
  <c r="K509" i="2" s="1"/>
  <c r="J377" i="2"/>
  <c r="H377" i="2" s="1"/>
  <c r="K158" i="2"/>
  <c r="J158" i="2"/>
  <c r="H158" i="2" s="1"/>
  <c r="I158" i="2"/>
  <c r="K108" i="2"/>
  <c r="J108" i="2"/>
  <c r="H108" i="2" s="1"/>
  <c r="I108" i="2"/>
  <c r="I247" i="2"/>
  <c r="K205" i="2"/>
  <c r="J102" i="2"/>
  <c r="J384" i="2"/>
  <c r="H384" i="2" s="1"/>
  <c r="I364" i="2"/>
  <c r="K470" i="2"/>
  <c r="J380" i="2"/>
  <c r="K321" i="2"/>
  <c r="J390" i="2"/>
  <c r="K406" i="2" s="1"/>
  <c r="I100" i="2"/>
  <c r="I16" i="2"/>
  <c r="K189" i="2"/>
  <c r="J88" i="2"/>
  <c r="H88" i="2" s="1"/>
  <c r="I81" i="2"/>
  <c r="I18" i="2"/>
  <c r="J280" i="2"/>
  <c r="H280" i="2" s="1"/>
  <c r="I243" i="2"/>
  <c r="I253" i="2"/>
  <c r="J33" i="2"/>
  <c r="H33" i="2" s="1"/>
  <c r="I150" i="2"/>
  <c r="J826" i="2"/>
  <c r="H826" i="2" s="1"/>
  <c r="K826" i="2"/>
  <c r="I381" i="2"/>
  <c r="K146" i="2"/>
  <c r="J146" i="2"/>
  <c r="H146" i="2" s="1"/>
  <c r="I146" i="2"/>
  <c r="J132" i="2"/>
  <c r="K822" i="2" s="1"/>
  <c r="I132" i="2"/>
  <c r="I983" i="2"/>
  <c r="J624" i="2"/>
  <c r="H624" i="2" s="1"/>
  <c r="K624" i="2"/>
  <c r="J186" i="2"/>
  <c r="H186" i="2" s="1"/>
  <c r="I186" i="2"/>
  <c r="J1043" i="2"/>
  <c r="H1043" i="2" s="1"/>
  <c r="K575" i="2"/>
  <c r="J575" i="2"/>
  <c r="H575" i="2" s="1"/>
  <c r="K1075" i="2"/>
  <c r="I1075" i="2"/>
  <c r="I916" i="2"/>
  <c r="J1038" i="2"/>
  <c r="H1038" i="2" s="1"/>
  <c r="K820" i="2"/>
  <c r="J820" i="2"/>
  <c r="H820" i="2" s="1"/>
  <c r="J720" i="2"/>
  <c r="H720" i="2" s="1"/>
  <c r="K720" i="2"/>
  <c r="J1008" i="2"/>
  <c r="H1008" i="2" s="1"/>
  <c r="I1008" i="2"/>
  <c r="K1008" i="2"/>
  <c r="I1080" i="2"/>
  <c r="J1101" i="2"/>
  <c r="H1101" i="2" s="1"/>
  <c r="K843" i="2"/>
  <c r="K821" i="2"/>
  <c r="K942" i="2"/>
  <c r="K1084" i="2"/>
  <c r="J1003" i="2"/>
  <c r="H1003" i="2" s="1"/>
  <c r="J1047" i="2"/>
  <c r="H1047" i="2" s="1"/>
  <c r="I907" i="2"/>
  <c r="J907" i="2"/>
  <c r="H907" i="2" s="1"/>
  <c r="K1046" i="2"/>
  <c r="J1065" i="2"/>
  <c r="J962" i="2"/>
  <c r="H962" i="2" s="1"/>
  <c r="I977" i="2"/>
  <c r="I945" i="2"/>
  <c r="I820" i="2"/>
  <c r="I787" i="2"/>
  <c r="I974" i="2"/>
  <c r="I814" i="2"/>
  <c r="J641" i="2"/>
  <c r="K663" i="2" s="1"/>
  <c r="K641" i="2"/>
  <c r="K895" i="2"/>
  <c r="K780" i="2"/>
  <c r="J633" i="2"/>
  <c r="K750" i="2" s="1"/>
  <c r="I633" i="2"/>
  <c r="J581" i="2"/>
  <c r="H581" i="2" s="1"/>
  <c r="I581" i="2"/>
  <c r="I536" i="2"/>
  <c r="I707" i="2"/>
  <c r="I818" i="2"/>
  <c r="J490" i="2"/>
  <c r="H490" i="2" s="1"/>
  <c r="I625" i="2"/>
  <c r="K368" i="2"/>
  <c r="J368" i="2"/>
  <c r="H368" i="2" s="1"/>
  <c r="J389" i="2"/>
  <c r="H389" i="2" s="1"/>
  <c r="K500" i="2"/>
  <c r="J443" i="2"/>
  <c r="H443" i="2" s="1"/>
  <c r="I443" i="2"/>
  <c r="I326" i="2"/>
  <c r="J274" i="2"/>
  <c r="H274" i="2" s="1"/>
  <c r="K274" i="2"/>
  <c r="I235" i="2"/>
  <c r="J247" i="2"/>
  <c r="H247" i="2" s="1"/>
  <c r="K371" i="2"/>
  <c r="J276" i="2"/>
  <c r="K6" i="2"/>
  <c r="J6" i="2"/>
  <c r="K19" i="2" s="1"/>
  <c r="K384" i="2"/>
  <c r="J364" i="2"/>
  <c r="H364" i="2" s="1"/>
  <c r="J275" i="2"/>
  <c r="H275" i="2" s="1"/>
  <c r="I259" i="2"/>
  <c r="J100" i="2"/>
  <c r="H100" i="2" s="1"/>
  <c r="J16" i="2"/>
  <c r="K223" i="2"/>
  <c r="I83" i="2"/>
  <c r="J81" i="2"/>
  <c r="H81" i="2" s="1"/>
  <c r="K245" i="2"/>
  <c r="J243" i="2"/>
  <c r="H243" i="2" s="1"/>
  <c r="J137" i="2"/>
  <c r="H137" i="2" s="1"/>
  <c r="J150" i="2"/>
  <c r="K216" i="2" s="1"/>
  <c r="J904" i="2"/>
  <c r="H904" i="2" s="1"/>
  <c r="I904" i="2"/>
  <c r="K615" i="2"/>
  <c r="J615" i="2"/>
  <c r="H615" i="2" s="1"/>
  <c r="K524" i="2"/>
  <c r="J524" i="2"/>
  <c r="H524" i="2" s="1"/>
  <c r="J94" i="2"/>
  <c r="H94" i="2" s="1"/>
  <c r="K94" i="2"/>
  <c r="J601" i="2"/>
  <c r="H601" i="2" s="1"/>
  <c r="K601" i="2"/>
  <c r="I959" i="2"/>
  <c r="J522" i="2"/>
  <c r="H522" i="2" s="1"/>
  <c r="I522" i="2"/>
  <c r="I524" i="2"/>
  <c r="K1045" i="2"/>
  <c r="K943" i="2"/>
  <c r="J1100" i="2"/>
  <c r="H1100" i="2" s="1"/>
  <c r="K1057" i="2"/>
  <c r="I1057" i="2"/>
  <c r="K990" i="2"/>
  <c r="I990" i="2"/>
  <c r="J990" i="2"/>
  <c r="H990" i="2" s="1"/>
  <c r="K1020" i="2"/>
  <c r="J1044" i="2"/>
  <c r="K1073" i="2" s="1"/>
  <c r="I984" i="2"/>
  <c r="J984" i="2"/>
  <c r="H984" i="2" s="1"/>
  <c r="I936" i="2"/>
  <c r="K936" i="2"/>
  <c r="K892" i="2"/>
  <c r="I892" i="2"/>
  <c r="I785" i="2"/>
  <c r="J785" i="2"/>
  <c r="H785" i="2" s="1"/>
  <c r="I747" i="2"/>
  <c r="J627" i="2"/>
  <c r="H627" i="2" s="1"/>
  <c r="K627" i="2"/>
  <c r="K557" i="2"/>
  <c r="J557" i="2"/>
  <c r="H557" i="2" s="1"/>
  <c r="I586" i="2"/>
  <c r="K586" i="2"/>
  <c r="J586" i="2"/>
  <c r="H586" i="2" s="1"/>
  <c r="K480" i="2"/>
  <c r="I480" i="2"/>
  <c r="J480" i="2"/>
  <c r="H480" i="2" s="1"/>
  <c r="I575" i="2"/>
  <c r="J818" i="2"/>
  <c r="H818" i="2" s="1"/>
  <c r="J620" i="2"/>
  <c r="H620" i="2" s="1"/>
  <c r="K650" i="2"/>
  <c r="J650" i="2"/>
  <c r="H650" i="2" s="1"/>
  <c r="I375" i="2"/>
  <c r="J321" i="2"/>
  <c r="H321" i="2" s="1"/>
  <c r="J245" i="2"/>
  <c r="H245" i="2" s="1"/>
  <c r="I408" i="2"/>
  <c r="K356" i="2"/>
  <c r="J356" i="2"/>
  <c r="H356" i="2" s="1"/>
  <c r="K443" i="2"/>
  <c r="K310" i="2"/>
  <c r="J310" i="2"/>
  <c r="I274" i="2"/>
  <c r="I149" i="2"/>
  <c r="I99" i="2"/>
  <c r="I368" i="2"/>
  <c r="J314" i="2"/>
  <c r="H314" i="2" s="1"/>
  <c r="I185" i="2"/>
  <c r="J224" i="2"/>
  <c r="H224" i="2" s="1"/>
  <c r="I224" i="2"/>
  <c r="I356" i="2"/>
  <c r="I94" i="2"/>
  <c r="I82" i="2"/>
  <c r="K665" i="2" l="1"/>
  <c r="G665" i="2" s="1"/>
  <c r="K541" i="2"/>
  <c r="H396" i="2"/>
  <c r="K530" i="2"/>
  <c r="G790" i="2"/>
  <c r="G869" i="2"/>
  <c r="H216" i="2"/>
  <c r="K809" i="2"/>
  <c r="K150" i="2"/>
  <c r="H150" i="2"/>
  <c r="G829" i="2"/>
  <c r="G958" i="2"/>
  <c r="G396" i="2"/>
  <c r="H152" i="2"/>
  <c r="K418" i="2"/>
  <c r="K111" i="2"/>
  <c r="G111" i="2" s="1"/>
  <c r="G604" i="2"/>
  <c r="G468" i="2"/>
  <c r="G9" i="2"/>
  <c r="K568" i="2"/>
  <c r="G568" i="2" s="1"/>
  <c r="G929" i="2"/>
  <c r="K947" i="2"/>
  <c r="G947" i="2" s="1"/>
  <c r="K1018" i="2"/>
  <c r="G1018" i="2" s="1"/>
  <c r="G845" i="2"/>
  <c r="G746" i="2"/>
  <c r="K614" i="2"/>
  <c r="G614" i="2" s="1"/>
  <c r="G543" i="2"/>
  <c r="G889" i="2"/>
  <c r="G994" i="2"/>
  <c r="G750" i="2"/>
  <c r="K161" i="2"/>
  <c r="H8" i="2"/>
  <c r="K877" i="2"/>
  <c r="G758" i="2"/>
  <c r="G862" i="2"/>
  <c r="H6" i="2"/>
  <c r="G1102" i="2"/>
  <c r="K812" i="2"/>
  <c r="G423" i="2"/>
  <c r="G996" i="2"/>
  <c r="G244" i="2"/>
  <c r="H1083" i="2"/>
  <c r="K1083" i="2"/>
  <c r="G1083" i="2" s="1"/>
  <c r="G1009" i="2"/>
  <c r="H1073" i="2"/>
  <c r="G1073" i="2"/>
  <c r="H1065" i="2"/>
  <c r="G1065" i="2"/>
  <c r="H1052" i="2"/>
  <c r="K1052" i="2"/>
  <c r="G1052" i="2" s="1"/>
  <c r="H1044" i="2"/>
  <c r="G1044" i="2"/>
  <c r="G854" i="2"/>
  <c r="H1042" i="2"/>
  <c r="G1042" i="2"/>
  <c r="H1036" i="2"/>
  <c r="K348" i="2"/>
  <c r="G348" i="2" s="1"/>
  <c r="H455" i="2"/>
  <c r="G698" i="2"/>
  <c r="G342" i="2"/>
  <c r="G1010" i="2"/>
  <c r="G460" i="2"/>
  <c r="G591" i="2"/>
  <c r="K857" i="2"/>
  <c r="G857" i="2" s="1"/>
  <c r="H1030" i="2"/>
  <c r="K1030" i="2"/>
  <c r="H1033" i="2"/>
  <c r="H1027" i="2"/>
  <c r="K1027" i="2"/>
  <c r="G1027" i="2" s="1"/>
  <c r="H1024" i="2"/>
  <c r="G1024" i="2"/>
  <c r="G1022" i="2"/>
  <c r="H1018" i="2"/>
  <c r="H1013" i="2"/>
  <c r="G1013" i="2"/>
  <c r="K606" i="2"/>
  <c r="H1005" i="2"/>
  <c r="G1005" i="2"/>
  <c r="H992" i="2"/>
  <c r="G992" i="2"/>
  <c r="G935" i="2"/>
  <c r="G945" i="2"/>
  <c r="H955" i="2"/>
  <c r="G955" i="2"/>
  <c r="H949" i="2"/>
  <c r="G949" i="2"/>
  <c r="H939" i="2"/>
  <c r="G939" i="2"/>
  <c r="H926" i="2"/>
  <c r="G926" i="2"/>
  <c r="H915" i="2"/>
  <c r="G915" i="2"/>
  <c r="G902" i="2"/>
  <c r="H896" i="2"/>
  <c r="G896" i="2"/>
  <c r="G892" i="2"/>
  <c r="H885" i="2"/>
  <c r="G885" i="2"/>
  <c r="K884" i="2"/>
  <c r="H883" i="2"/>
  <c r="K883" i="2"/>
  <c r="G883" i="2" s="1"/>
  <c r="G529" i="2"/>
  <c r="G469" i="2"/>
  <c r="G10" i="2"/>
  <c r="G773" i="2"/>
  <c r="G518" i="2"/>
  <c r="G761" i="2"/>
  <c r="H882" i="2"/>
  <c r="G882" i="2"/>
  <c r="H868" i="2"/>
  <c r="G868" i="2"/>
  <c r="G835" i="2"/>
  <c r="G852" i="2"/>
  <c r="H866" i="2"/>
  <c r="G866" i="2"/>
  <c r="H865" i="2"/>
  <c r="G865" i="2"/>
  <c r="H863" i="2"/>
  <c r="G858" i="2"/>
  <c r="H857" i="2"/>
  <c r="H843" i="2"/>
  <c r="H837" i="2"/>
  <c r="G837" i="2"/>
  <c r="H809" i="2"/>
  <c r="H774" i="2"/>
  <c r="G774" i="2"/>
  <c r="H770" i="2"/>
  <c r="G770" i="2"/>
  <c r="G735" i="2"/>
  <c r="H732" i="2"/>
  <c r="G732" i="2"/>
  <c r="H726" i="2"/>
  <c r="H711" i="2"/>
  <c r="H719" i="2"/>
  <c r="H707" i="2"/>
  <c r="H709" i="2"/>
  <c r="H192" i="2"/>
  <c r="K156" i="2"/>
  <c r="G495" i="2"/>
  <c r="G25" i="2"/>
  <c r="K440" i="2"/>
  <c r="G440" i="2" s="1"/>
  <c r="G165" i="2"/>
  <c r="G435" i="2"/>
  <c r="H685" i="2"/>
  <c r="G685" i="2"/>
  <c r="K667" i="2"/>
  <c r="H682" i="2"/>
  <c r="G682" i="2"/>
  <c r="H669" i="2"/>
  <c r="G669" i="2"/>
  <c r="G432" i="2"/>
  <c r="G352" i="2"/>
  <c r="G663" i="2"/>
  <c r="G576" i="2"/>
  <c r="H50" i="2"/>
  <c r="G580" i="2"/>
  <c r="H667" i="2"/>
  <c r="G644" i="2"/>
  <c r="G641" i="2"/>
  <c r="H635" i="2"/>
  <c r="G635" i="2"/>
  <c r="H626" i="2"/>
  <c r="G626" i="2"/>
  <c r="H633" i="2"/>
  <c r="H630" i="2"/>
  <c r="G630" i="2"/>
  <c r="H594" i="2"/>
  <c r="G594" i="2"/>
  <c r="H537" i="2"/>
  <c r="G537" i="2"/>
  <c r="H534" i="2"/>
  <c r="G534" i="2"/>
  <c r="H521" i="2"/>
  <c r="G521" i="2"/>
  <c r="H513" i="2"/>
  <c r="G513" i="2"/>
  <c r="H509" i="2"/>
  <c r="G509" i="2"/>
  <c r="G500" i="2"/>
  <c r="H492" i="2"/>
  <c r="G492" i="2"/>
  <c r="G478" i="2"/>
  <c r="H458" i="2"/>
  <c r="H453" i="2"/>
  <c r="G453" i="2"/>
  <c r="H451" i="2"/>
  <c r="G451" i="2"/>
  <c r="H449" i="2"/>
  <c r="H428" i="2"/>
  <c r="G428" i="2"/>
  <c r="H424" i="2"/>
  <c r="G424" i="2"/>
  <c r="K430" i="2"/>
  <c r="G430" i="2" s="1"/>
  <c r="H418" i="2"/>
  <c r="G204" i="2"/>
  <c r="G334" i="2"/>
  <c r="G220" i="2"/>
  <c r="G239" i="2"/>
  <c r="H406" i="2"/>
  <c r="G406" i="2"/>
  <c r="G390" i="2"/>
  <c r="G378" i="2"/>
  <c r="G322" i="2"/>
  <c r="H380" i="2"/>
  <c r="G380" i="2"/>
  <c r="H376" i="2"/>
  <c r="G376" i="2"/>
  <c r="H357" i="2"/>
  <c r="G357" i="2"/>
  <c r="H310" i="2"/>
  <c r="H307" i="2"/>
  <c r="H305" i="2"/>
  <c r="G305" i="2"/>
  <c r="H283" i="2"/>
  <c r="K291" i="2"/>
  <c r="H278" i="2"/>
  <c r="H276" i="2"/>
  <c r="G262" i="2"/>
  <c r="H235" i="2"/>
  <c r="G223" i="2"/>
  <c r="G222" i="2"/>
  <c r="K134" i="2"/>
  <c r="K212" i="2"/>
  <c r="G212" i="2" s="1"/>
  <c r="G22" i="2"/>
  <c r="H87" i="2"/>
  <c r="H156" i="2"/>
  <c r="H144" i="2"/>
  <c r="G144" i="2"/>
  <c r="H134" i="2"/>
  <c r="H132" i="2"/>
  <c r="G128" i="2"/>
  <c r="H114" i="2"/>
  <c r="G114" i="2"/>
  <c r="H107" i="2"/>
  <c r="H99" i="2"/>
  <c r="H95" i="2"/>
  <c r="H68" i="2"/>
  <c r="H66" i="2"/>
  <c r="G66" i="2"/>
  <c r="G40" i="2"/>
  <c r="H31" i="2"/>
  <c r="H16" i="2"/>
  <c r="G16" i="2"/>
</calcChain>
</file>

<file path=xl/sharedStrings.xml><?xml version="1.0" encoding="utf-8"?>
<sst xmlns="http://schemas.openxmlformats.org/spreadsheetml/2006/main" count="2703" uniqueCount="755">
  <si>
    <t>ID</t>
  </si>
  <si>
    <t>PRED_ID</t>
  </si>
  <si>
    <t>MARKER_AUTO</t>
  </si>
  <si>
    <t>PREDICATE</t>
  </si>
  <si>
    <t>TEXT</t>
  </si>
  <si>
    <t>SENTENCE</t>
  </si>
  <si>
    <t>MARKER</t>
  </si>
  <si>
    <t>TARGET</t>
  </si>
  <si>
    <t>RELATION</t>
  </si>
  <si>
    <t>COMMENT</t>
  </si>
  <si>
    <t>1</t>
  </si>
  <si>
    <t>11</t>
  </si>
  <si>
    <t>when?</t>
  </si>
  <si>
    <t>walk</t>
  </si>
  <si>
    <t>One day , Los Angeles Times columnist Steve Lopez was walking along the streets of downtown Los Angeles when he heard beautiful music .</t>
  </si>
  <si>
    <t>file://conllu/en/teddy-953.conllu#s1_0</t>
  </si>
  <si>
    <t>_</t>
  </si>
  <si>
    <t>2</t>
  </si>
  <si>
    <t>4</t>
  </si>
  <si>
    <t>and?</t>
  </si>
  <si>
    <t>be (be man)</t>
  </si>
  <si>
    <t>And the source was a man , an African American man , charming , rugged , homeless , playing a violin that only had two strings .</t>
  </si>
  <si>
    <t>file://conllu/en/teddy-953.conllu#s2_0</t>
  </si>
  <si>
    <t>3</t>
  </si>
  <si>
    <t>tell</t>
  </si>
  <si>
    <t>And I 'm telling a story that many of you know , because Steve 's columns became the basis for a book , which was turned into a movie , with Robert Downey Jr. acting as Steve Lopez , and Jamie Foxx as Nathaniel Anthony Ayers , the Juilliard trained double bassist whose promising career was cut short by a tragic affliction with paranoid schizophrenia .</t>
  </si>
  <si>
    <t>file://conllu/en/teddy-953.conllu#s3_0</t>
  </si>
  <si>
    <t>drop</t>
  </si>
  <si>
    <t>Nathaniel dropped out of Juilliard , he suffered a complete breakdown , and 30 years later he was living homeless on the streets of Skid Row in downtown Los Angeles .</t>
  </si>
  <si>
    <t>file://conllu/en/teddy-953.conllu#s4_0</t>
  </si>
  <si>
    <t>5</t>
  </si>
  <si>
    <t>but?</t>
  </si>
  <si>
    <t>encourage</t>
  </si>
  <si>
    <t>I encourage all of you to read Steve 's book or to watch the movie to understand not only the beautiful bond that formed between these two men , but how music helped shape that bond , and ultimately was instrumental if you 'll pardon the pun in helping Nathaniel get off the streets .</t>
  </si>
  <si>
    <t>file://conllu/en/teddy-953.conllu#s5_0</t>
  </si>
  <si>
    <t>6</t>
  </si>
  <si>
    <t>meet</t>
  </si>
  <si>
    <t>I met Mr. Ayers in 2008 , two years ago , at Walt Disney Concert Hall .</t>
  </si>
  <si>
    <t>file://conllu/en/teddy-953.conllu#s6_0</t>
  </si>
  <si>
    <t>7</t>
  </si>
  <si>
    <t>hear</t>
  </si>
  <si>
    <t>He had just heard a performance of Beethoven 's First and Fourth symphonies , and came backstage and introduced himself .</t>
  </si>
  <si>
    <t>file://conllu/en/teddy-953.conllu#s7_0</t>
  </si>
  <si>
    <t>8</t>
  </si>
  <si>
    <t>speak</t>
  </si>
  <si>
    <t>He was speaking in a very jovial and gregarious way about Yo Yo Ma and Hillary Clinton and how the Dodgers were never going to make the World Series , all because of the treacherous first violin passage work in the last movement of Beethoven 's Fourth Symphony .</t>
  </si>
  <si>
    <t>file://conllu/en/teddy-953.conllu#s8_0</t>
  </si>
  <si>
    <t>9</t>
  </si>
  <si>
    <t>later?</t>
  </si>
  <si>
    <t>get</t>
  </si>
  <si>
    <t>And we got talking about music , and I got an email from Steve a few days later saying that Nathaniel was interested in a violin lesson with me .</t>
  </si>
  <si>
    <t>file://conllu/en/teddy-953.conllu#s9_0</t>
  </si>
  <si>
    <t>10</t>
  </si>
  <si>
    <t>mention</t>
  </si>
  <si>
    <t>Now , I should mention that Nathaniel refuses treatment because when he was treated it was with shock therapy and Thorazine and handcuffs , and that scar has stayed with him for his entire life .</t>
  </si>
  <si>
    <t>file://conllu/en/teddy-953.conllu#s10_0</t>
  </si>
  <si>
    <t>as a result?</t>
  </si>
  <si>
    <t>pro</t>
  </si>
  <si>
    <t>But as a result now , he is prone to these schizophrenic episodes , the worst of which can manifest themselves as him exploding and then disappearing for days , wandering the streets of Skid Row , exposed to its horrors , with the torment of his own mind unleashed upon him .</t>
  </si>
  <si>
    <t>file://conllu/en/teddy-953.conllu#s11_0</t>
  </si>
  <si>
    <t>12</t>
  </si>
  <si>
    <t>be (be state)</t>
  </si>
  <si>
    <t>And Nathaniel was in such a state of agitation when we started our first lesson at Walt Disney Concert Hall he had a kind of manic glint in his eyes , he was lost .</t>
  </si>
  <si>
    <t>file://conllu/en/teddy-953.conllu#s12_0</t>
  </si>
  <si>
    <t>13</t>
  </si>
  <si>
    <t>talk</t>
  </si>
  <si>
    <t>And he was talking about invisible demons and smoke , and how someone was poisoning him in his sleep .</t>
  </si>
  <si>
    <t>file://conllu/en/teddy-953.conllu#s13_0</t>
  </si>
  <si>
    <t>14</t>
  </si>
  <si>
    <t>for?</t>
  </si>
  <si>
    <t>be (be afraid)</t>
  </si>
  <si>
    <t>And I was afraid , not for myself , but I was afraid that I was going to lose him , that he was going to sink into one of his states , and that I would ruin his relationship with the violin if I started talking about scales and arpeggios and other exciting forms of didactic violin pedagogy .</t>
  </si>
  <si>
    <t>file://conllu/en/teddy-953.conllu#s14_0</t>
  </si>
  <si>
    <t>15</t>
  </si>
  <si>
    <t>laughter</t>
  </si>
  <si>
    <t>( Laughter )</t>
  </si>
  <si>
    <t>file://conllu/en/teddy-953.conllu#s15_0</t>
  </si>
  <si>
    <t>16</t>
  </si>
  <si>
    <t>so?</t>
  </si>
  <si>
    <t>start</t>
  </si>
  <si>
    <t>So , I just started playing .</t>
  </si>
  <si>
    <t>file://conllu/en/teddy-953.conllu#s16_0</t>
  </si>
  <si>
    <t>17</t>
  </si>
  <si>
    <t>play</t>
  </si>
  <si>
    <t>And I played the first movement of the Beethoven Violin Concerto .</t>
  </si>
  <si>
    <t>file://conllu/en/teddy-953.conllu#s17_0</t>
  </si>
  <si>
    <t>18</t>
  </si>
  <si>
    <t>understand</t>
  </si>
  <si>
    <t>And as I played , I understood that there was a profound change occurring in Nathaniel 's eyes .</t>
  </si>
  <si>
    <t>file://conllu/en/teddy-953.conllu#s18_0</t>
  </si>
  <si>
    <t>19</t>
  </si>
  <si>
    <t>as?</t>
  </si>
  <si>
    <t>be</t>
  </si>
  <si>
    <t>It was as if he was in the grip of some invisible pharmaceutical , a chemical reaction , for which my playing the music was its catalyst .</t>
  </si>
  <si>
    <t>file://conllu/en/teddy-953.conllu#s19_0</t>
  </si>
  <si>
    <t>20</t>
  </si>
  <si>
    <t>transform</t>
  </si>
  <si>
    <t>And Nathaniel 's manic rage was transformed into understanding , a quiet curiosity and grace .</t>
  </si>
  <si>
    <t>file://conllu/en/teddy-953.conllu#s20_0</t>
  </si>
  <si>
    <t>21</t>
  </si>
  <si>
    <t>lift</t>
  </si>
  <si>
    <t>And in a miracle , he lifted his own violin and he started playing , by ear , certain snippets of violin concertos which he then asked me to complete Mendelssohn , Tchaikovsky , Sibelius .</t>
  </si>
  <si>
    <t>file://conllu/en/teddy-953.conllu#s21_0</t>
  </si>
  <si>
    <t>22</t>
  </si>
  <si>
    <t>And we started talking about music , from Bach to Beethoven and Brahms , Bruckner , all the B 's , from Bartók , all the way up to Esa-Pekka Salonen .</t>
  </si>
  <si>
    <t>file://conllu/en/teddy-953.conllu#s22_0</t>
  </si>
  <si>
    <t>23</t>
  </si>
  <si>
    <t>And I understood that he not only had an encyclopedic knowledge of music , but he related to this music at a personal level .</t>
  </si>
  <si>
    <t>file://conllu/en/teddy-953.conllu#s23_0</t>
  </si>
  <si>
    <t>24</t>
  </si>
  <si>
    <t>He spoke about it with the kind of passion and understanding that I share with my colleagues in the Los Angeles Philharmonic .</t>
  </si>
  <si>
    <t>file://conllu/en/teddy-953.conllu#s24_0</t>
  </si>
  <si>
    <t>25</t>
  </si>
  <si>
    <t>And through playing music and talking about music , this man had transformed from the paranoid , disturbed man that had just come from walking the streets of downtown Los Angeles to the charming , erudite , brilliant , Juilliard trained musician .</t>
  </si>
  <si>
    <t>file://conllu/en/teddy-953.conllu#s25_0</t>
  </si>
  <si>
    <t>26</t>
  </si>
  <si>
    <t>be (be medicine)</t>
  </si>
  <si>
    <t>Music is medicine .</t>
  </si>
  <si>
    <t>file://conllu/en/teddy-953.conllu#s26_0</t>
  </si>
  <si>
    <t>27</t>
  </si>
  <si>
    <t>we</t>
  </si>
  <si>
    <t>Music changes us .</t>
  </si>
  <si>
    <t>file://conllu/en/teddy-953.conllu#s27_0</t>
  </si>
  <si>
    <t>28</t>
  </si>
  <si>
    <t>be (be sanity)</t>
  </si>
  <si>
    <t>And for Nathaniel , music is sanity .</t>
  </si>
  <si>
    <t>file://conllu/en/teddy-953.conllu#s28_0</t>
  </si>
  <si>
    <t>29</t>
  </si>
  <si>
    <t>because?</t>
  </si>
  <si>
    <t>reality</t>
  </si>
  <si>
    <t>Because music allows him to take his thoughts and delusions and shape them through his imagination and his creativity , into reality .</t>
  </si>
  <si>
    <t>file://conllu/en/teddy-953.conllu#s29_0</t>
  </si>
  <si>
    <t>30</t>
  </si>
  <si>
    <t>be (be escape)</t>
  </si>
  <si>
    <t>And that is an escape from his tormented state .</t>
  </si>
  <si>
    <t>file://conllu/en/teddy-953.conllu#s30_0</t>
  </si>
  <si>
    <t>31</t>
  </si>
  <si>
    <t>And I understood that this was the very essence of art .</t>
  </si>
  <si>
    <t>file://conllu/en/teddy-953.conllu#s31_0</t>
  </si>
  <si>
    <t>32</t>
  </si>
  <si>
    <t>be (be reason)</t>
  </si>
  <si>
    <t>This was the very reason why we made music , that we take something that exists within all of us at our very fundamental core , our emotions , and through our artistic lens , through our creativity , we 're able to shape those emotions into reality .</t>
  </si>
  <si>
    <t>file://conllu/en/teddy-953.conllu#s32_0</t>
  </si>
  <si>
    <t>33</t>
  </si>
  <si>
    <t>reach</t>
  </si>
  <si>
    <t>And the reality of that expression reaches all of us and moves us , inspires and unites us .</t>
  </si>
  <si>
    <t>file://conllu/en/teddy-953.conllu#s33_0</t>
  </si>
  <si>
    <t>34</t>
  </si>
  <si>
    <t>bring</t>
  </si>
  <si>
    <t>And for Nathaniel , music brought him back into a fold of friends .</t>
  </si>
  <si>
    <t>file://conllu/en/teddy-953.conllu#s34_0</t>
  </si>
  <si>
    <t>35</t>
  </si>
  <si>
    <t>The redemptive power of music brought him back into a family of musicians that understood him , that recognized his talents and respected him .</t>
  </si>
  <si>
    <t>file://conllu/en/teddy-953.conllu#s35_0</t>
  </si>
  <si>
    <t>36</t>
  </si>
  <si>
    <t>make</t>
  </si>
  <si>
    <t>And I will always make music with Nathaniel , whether we 're at Walt Disney Concert Hall or on Skid Row , because he reminds me why I became a musician .</t>
  </si>
  <si>
    <t>file://conllu/en/teddy-953.conllu#s36_0</t>
  </si>
  <si>
    <t>37</t>
  </si>
  <si>
    <t>thank</t>
  </si>
  <si>
    <t>Thank you .</t>
  </si>
  <si>
    <t>file://conllu/en/teddy-953.conllu#s37_0</t>
  </si>
  <si>
    <t>38</t>
  </si>
  <si>
    <t>Applause</t>
  </si>
  <si>
    <t>( Applause ) Bruno Giussani :</t>
  </si>
  <si>
    <t>file://conllu/en/teddy-953.conllu#s38_0</t>
  </si>
  <si>
    <t>39</t>
  </si>
  <si>
    <t>file://conllu/en/teddy-953.conllu#s39_0</t>
  </si>
  <si>
    <t>40</t>
  </si>
  <si>
    <t>thanks</t>
  </si>
  <si>
    <t>Thanks .</t>
  </si>
  <si>
    <t>file://conllu/en/teddy-953.conllu#s40_0</t>
  </si>
  <si>
    <t>41</t>
  </si>
  <si>
    <t>Robert</t>
  </si>
  <si>
    <t>Robert Gupta .</t>
  </si>
  <si>
    <t>file://conllu/en/teddy-953.conllu#s41_0</t>
  </si>
  <si>
    <t>42</t>
  </si>
  <si>
    <t>Robert Gupta :</t>
  </si>
  <si>
    <t>file://conllu/en/teddy-953.conllu#s42_0</t>
  </si>
  <si>
    <t>43</t>
  </si>
  <si>
    <t>go</t>
  </si>
  <si>
    <t>I 'm going to play something that I shamelessly stole from cellists .</t>
  </si>
  <si>
    <t>file://conllu/en/teddy-953.conllu#s43_0</t>
  </si>
  <si>
    <t>44</t>
  </si>
  <si>
    <t>forgive</t>
  </si>
  <si>
    <t>So , please forgive me .</t>
  </si>
  <si>
    <t>file://conllu/en/teddy-953.conllu#s44_0</t>
  </si>
  <si>
    <t>45</t>
  </si>
  <si>
    <t>music</t>
  </si>
  <si>
    <t>( Music )</t>
  </si>
  <si>
    <t>file://conllu/en/teddy-953.conllu#s45_0</t>
  </si>
  <si>
    <t>WORD</t>
  </si>
  <si>
    <t>GR</t>
  </si>
  <si>
    <t>NP_TYPE</t>
  </si>
  <si>
    <t>REF_AUTO</t>
  </si>
  <si>
    <t>COREF</t>
  </si>
  <si>
    <t>REF</t>
  </si>
  <si>
    <t>IS</t>
  </si>
  <si>
    <t>CB</t>
  </si>
  <si>
    <t>GR_ANTE</t>
  </si>
  <si>
    <t>REF_DIST</t>
  </si>
  <si>
    <t>REF_DIST_ANTE</t>
  </si>
  <si>
    <t># text = One day, Los Angeles Times columnist Steve Lopez was walking along the streets of downtown Los Angeles when he heard beautiful music.</t>
  </si>
  <si>
    <t>One</t>
  </si>
  <si>
    <t>day</t>
  </si>
  <si>
    <t>other</t>
  </si>
  <si>
    <t>indef-np.quant</t>
  </si>
  <si>
    <t>,</t>
  </si>
  <si>
    <t>Los</t>
  </si>
  <si>
    <t>Angeles</t>
  </si>
  <si>
    <t>Times</t>
  </si>
  <si>
    <t>columnist</t>
  </si>
  <si>
    <t>Steve</t>
  </si>
  <si>
    <t>SBJ</t>
  </si>
  <si>
    <t>ne</t>
  </si>
  <si>
    <t>?OLD</t>
  </si>
  <si>
    <t>Lopez</t>
  </si>
  <si>
    <t>was</t>
  </si>
  <si>
    <t>walking</t>
  </si>
  <si>
    <t>along</t>
  </si>
  <si>
    <t>the</t>
  </si>
  <si>
    <t>streets</t>
  </si>
  <si>
    <t>def-np.the</t>
  </si>
  <si>
    <t>of</t>
  </si>
  <si>
    <t>downtown</t>
  </si>
  <si>
    <t>other_2</t>
  </si>
  <si>
    <t>indef-np.bare</t>
  </si>
  <si>
    <t>when</t>
  </si>
  <si>
    <t>he</t>
  </si>
  <si>
    <t>SBJ_2</t>
  </si>
  <si>
    <t>pron.pper</t>
  </si>
  <si>
    <t>heard</t>
  </si>
  <si>
    <t>beautiful</t>
  </si>
  <si>
    <t>OBJ_2</t>
  </si>
  <si>
    <t>.</t>
  </si>
  <si>
    <t># text = And the source was a man, an African-American man, charming, rugged, homeless, playing a violin that only had two strings.</t>
  </si>
  <si>
    <t>And</t>
  </si>
  <si>
    <t>source</t>
  </si>
  <si>
    <t>a</t>
  </si>
  <si>
    <t>man</t>
  </si>
  <si>
    <t>indef-np.a</t>
  </si>
  <si>
    <t>an</t>
  </si>
  <si>
    <t>African</t>
  </si>
  <si>
    <t>American</t>
  </si>
  <si>
    <t>charming</t>
  </si>
  <si>
    <t>rugged</t>
  </si>
  <si>
    <t>homeless</t>
  </si>
  <si>
    <t>playing</t>
  </si>
  <si>
    <t>violin</t>
  </si>
  <si>
    <t>that</t>
  </si>
  <si>
    <t>SBJ_4</t>
  </si>
  <si>
    <t>only</t>
  </si>
  <si>
    <t>had</t>
  </si>
  <si>
    <t>two</t>
  </si>
  <si>
    <t>strings</t>
  </si>
  <si>
    <t>OBJ_4</t>
  </si>
  <si>
    <t># text = And I'm telling a story that many of you know, because Steve's columns became the basis for a book, which was turned into a movie, with Robert Downey Jr. acting as Steve Lopez, and Jamie Foxx as Nathaniel Anthony Ayers, the Juilliard-trained double bassist whose promising career was cut short by a tragic affliction with paranoid schizophrenia.</t>
  </si>
  <si>
    <t>I</t>
  </si>
  <si>
    <t>'m</t>
  </si>
  <si>
    <t>telling</t>
  </si>
  <si>
    <t>story</t>
  </si>
  <si>
    <t>OBJ</t>
  </si>
  <si>
    <t>many</t>
  </si>
  <si>
    <t>SBJ_3</t>
  </si>
  <si>
    <t>def-np.poss</t>
  </si>
  <si>
    <t>you</t>
  </si>
  <si>
    <t>other_4</t>
  </si>
  <si>
    <t>know</t>
  </si>
  <si>
    <t>because</t>
  </si>
  <si>
    <t>other_5</t>
  </si>
  <si>
    <t>'s</t>
  </si>
  <si>
    <t>columns</t>
  </si>
  <si>
    <t>became</t>
  </si>
  <si>
    <t>basis</t>
  </si>
  <si>
    <t>for</t>
  </si>
  <si>
    <t>book</t>
  </si>
  <si>
    <t>which</t>
  </si>
  <si>
    <t>SBJ_7</t>
  </si>
  <si>
    <t>turned</t>
  </si>
  <si>
    <t>into</t>
  </si>
  <si>
    <t>movie</t>
  </si>
  <si>
    <t>other_7</t>
  </si>
  <si>
    <t>with</t>
  </si>
  <si>
    <t>Downey</t>
  </si>
  <si>
    <t>Jr.</t>
  </si>
  <si>
    <t>acting</t>
  </si>
  <si>
    <t>as</t>
  </si>
  <si>
    <t>and</t>
  </si>
  <si>
    <t>Jamie</t>
  </si>
  <si>
    <t>Foxx</t>
  </si>
  <si>
    <t>Nathaniel</t>
  </si>
  <si>
    <t>Anthony</t>
  </si>
  <si>
    <t>Ayers</t>
  </si>
  <si>
    <t>Juilliard</t>
  </si>
  <si>
    <t>trained</t>
  </si>
  <si>
    <t>double</t>
  </si>
  <si>
    <t>bassist</t>
  </si>
  <si>
    <t>whose</t>
  </si>
  <si>
    <t>pron.pint</t>
  </si>
  <si>
    <t>promising</t>
  </si>
  <si>
    <t>career</t>
  </si>
  <si>
    <t>cut</t>
  </si>
  <si>
    <t>short</t>
  </si>
  <si>
    <t>by</t>
  </si>
  <si>
    <t>tragic</t>
  </si>
  <si>
    <t>affliction</t>
  </si>
  <si>
    <t>paranoid</t>
  </si>
  <si>
    <t>schizophrenia</t>
  </si>
  <si>
    <t># text = Nathaniel dropped out of Juilliard, he suffered a complete breakdown, and 30 years later he was living homeless on the streets of Skid Row in downtown Los Angeles.</t>
  </si>
  <si>
    <t>dropped</t>
  </si>
  <si>
    <t>out</t>
  </si>
  <si>
    <t>suffered</t>
  </si>
  <si>
    <t>complete</t>
  </si>
  <si>
    <t>breakdown</t>
  </si>
  <si>
    <t>years</t>
  </si>
  <si>
    <t>later</t>
  </si>
  <si>
    <t>living</t>
  </si>
  <si>
    <t>on</t>
  </si>
  <si>
    <t>Skid</t>
  </si>
  <si>
    <t>Row</t>
  </si>
  <si>
    <t>in</t>
  </si>
  <si>
    <t># text = I encourage all of you to read Steve's book or to watch the movie to understand not only the beautiful bond that formed between these two men, but how music helped shape that bond, and ultimately was instrumental -- if you'll pardon the pun -- in helping Nathaniel get off the streets.</t>
  </si>
  <si>
    <t>all</t>
  </si>
  <si>
    <t>to</t>
  </si>
  <si>
    <t>read</t>
  </si>
  <si>
    <t>other_3</t>
  </si>
  <si>
    <t>or</t>
  </si>
  <si>
    <t>watch</t>
  </si>
  <si>
    <t>OBJ_3</t>
  </si>
  <si>
    <t>not</t>
  </si>
  <si>
    <t>bond</t>
  </si>
  <si>
    <t>SBJ_6</t>
  </si>
  <si>
    <t>formed</t>
  </si>
  <si>
    <t>between</t>
  </si>
  <si>
    <t>these</t>
  </si>
  <si>
    <t>men</t>
  </si>
  <si>
    <t>other_6</t>
  </si>
  <si>
    <t>def-np.dem</t>
  </si>
  <si>
    <t>but</t>
  </si>
  <si>
    <t>how</t>
  </si>
  <si>
    <t>helped</t>
  </si>
  <si>
    <t>shape</t>
  </si>
  <si>
    <t>ultimately</t>
  </si>
  <si>
    <t>instrumental</t>
  </si>
  <si>
    <t>if</t>
  </si>
  <si>
    <t>'ll</t>
  </si>
  <si>
    <t>pardon</t>
  </si>
  <si>
    <t>pun</t>
  </si>
  <si>
    <t>helping</t>
  </si>
  <si>
    <t>off</t>
  </si>
  <si>
    <t># text = I met Mr. Ayers in 2008, two years ago, at Walt Disney Concert Hall.</t>
  </si>
  <si>
    <t>met</t>
  </si>
  <si>
    <t>Mr.</t>
  </si>
  <si>
    <t>2008</t>
  </si>
  <si>
    <t>ago</t>
  </si>
  <si>
    <t>at</t>
  </si>
  <si>
    <t>Walt</t>
  </si>
  <si>
    <t>Disney</t>
  </si>
  <si>
    <t>Concert</t>
  </si>
  <si>
    <t>Hall</t>
  </si>
  <si>
    <t># text = He had just heard a performance of Beethoven's First and Fourth symphonies, and came backstage and introduced himself.</t>
  </si>
  <si>
    <t>He</t>
  </si>
  <si>
    <t>just</t>
  </si>
  <si>
    <t>performance</t>
  </si>
  <si>
    <t>Beethoven</t>
  </si>
  <si>
    <t>First</t>
  </si>
  <si>
    <t>Fourth</t>
  </si>
  <si>
    <t>symphonies</t>
  </si>
  <si>
    <t>came</t>
  </si>
  <si>
    <t>backstage</t>
  </si>
  <si>
    <t>introduced</t>
  </si>
  <si>
    <t>himself</t>
  </si>
  <si>
    <t># text = He was speaking in a very jovial and gregarious way about Yo-Yo Ma and Hillary Clinton and how the Dodgers were never going to make the World Series, all because of the treacherous first violin passage work in the last movement of Beethoven's Fourth Symphony.</t>
  </si>
  <si>
    <t>speaking</t>
  </si>
  <si>
    <t>very</t>
  </si>
  <si>
    <t>jovial</t>
  </si>
  <si>
    <t>gregarious</t>
  </si>
  <si>
    <t>way</t>
  </si>
  <si>
    <t>about</t>
  </si>
  <si>
    <t>Yo</t>
  </si>
  <si>
    <t>pron.ppos</t>
  </si>
  <si>
    <t>Ma</t>
  </si>
  <si>
    <t>Hillary</t>
  </si>
  <si>
    <t>Clinton</t>
  </si>
  <si>
    <t>Dodgers</t>
  </si>
  <si>
    <t>were</t>
  </si>
  <si>
    <t>never</t>
  </si>
  <si>
    <t>going</t>
  </si>
  <si>
    <t>World</t>
  </si>
  <si>
    <t>Series</t>
  </si>
  <si>
    <t>treacherous</t>
  </si>
  <si>
    <t>first</t>
  </si>
  <si>
    <t>passage</t>
  </si>
  <si>
    <t>work</t>
  </si>
  <si>
    <t>last</t>
  </si>
  <si>
    <t>movement</t>
  </si>
  <si>
    <t>Symphony</t>
  </si>
  <si>
    <t># text = And we got talking about music, and I got an email from Steve a few days later saying that Nathaniel was interested in a violin lesson with me.</t>
  </si>
  <si>
    <t>got</t>
  </si>
  <si>
    <t>talking</t>
  </si>
  <si>
    <t>email</t>
  </si>
  <si>
    <t>from</t>
  </si>
  <si>
    <t>few</t>
  </si>
  <si>
    <t>days</t>
  </si>
  <si>
    <t>saying</t>
  </si>
  <si>
    <t>interested</t>
  </si>
  <si>
    <t>lesson</t>
  </si>
  <si>
    <t>me</t>
  </si>
  <si>
    <t># text = Now, I should mention that Nathaniel refuses treatment because when he was treated it was with shock therapy and Thorazine and handcuffs, and that scar has stayed with him for his entire life.</t>
  </si>
  <si>
    <t>Now</t>
  </si>
  <si>
    <t>should</t>
  </si>
  <si>
    <t>refuses</t>
  </si>
  <si>
    <t>treatment</t>
  </si>
  <si>
    <t>treated</t>
  </si>
  <si>
    <t>it</t>
  </si>
  <si>
    <t>shock</t>
  </si>
  <si>
    <t>therapy</t>
  </si>
  <si>
    <t>Thorazine</t>
  </si>
  <si>
    <t>handcuffs</t>
  </si>
  <si>
    <t>scar</t>
  </si>
  <si>
    <t>SBJ_5</t>
  </si>
  <si>
    <t>has</t>
  </si>
  <si>
    <t>stayed</t>
  </si>
  <si>
    <t>him</t>
  </si>
  <si>
    <t>his</t>
  </si>
  <si>
    <t>entire</t>
  </si>
  <si>
    <t>life</t>
  </si>
  <si>
    <t># text = But as a result now, he is prone to these schizophrenic episodes, the worst of which can manifest themselves as him exploding and then disappearing for days, wandering the streets of Skid Row, exposed to its horrors, with the torment of his own mind unleashed upon him.</t>
  </si>
  <si>
    <t>But</t>
  </si>
  <si>
    <t>result</t>
  </si>
  <si>
    <t>now</t>
  </si>
  <si>
    <t>is</t>
  </si>
  <si>
    <t>prone</t>
  </si>
  <si>
    <t>schizophrenic</t>
  </si>
  <si>
    <t>episodes</t>
  </si>
  <si>
    <t>worst</t>
  </si>
  <si>
    <t>can</t>
  </si>
  <si>
    <t>manifest</t>
  </si>
  <si>
    <t>themselves</t>
  </si>
  <si>
    <t>exploding</t>
  </si>
  <si>
    <t>then</t>
  </si>
  <si>
    <t>disappearing</t>
  </si>
  <si>
    <t>wandering</t>
  </si>
  <si>
    <t>OBJ_5</t>
  </si>
  <si>
    <t>exposed</t>
  </si>
  <si>
    <t>its</t>
  </si>
  <si>
    <t>horrors</t>
  </si>
  <si>
    <t>torment</t>
  </si>
  <si>
    <t>own</t>
  </si>
  <si>
    <t>mind</t>
  </si>
  <si>
    <t>unleashed</t>
  </si>
  <si>
    <t>upon</t>
  </si>
  <si>
    <t># text = And Nathaniel was in such a state of agitation when we started our first lesson at Walt Disney Concert Hall -- he had a kind of manic glint in his eyes, he was lost.</t>
  </si>
  <si>
    <t>such</t>
  </si>
  <si>
    <t>state</t>
  </si>
  <si>
    <t>pron.pds</t>
  </si>
  <si>
    <t>agitation</t>
  </si>
  <si>
    <t>started</t>
  </si>
  <si>
    <t>our</t>
  </si>
  <si>
    <t>kind</t>
  </si>
  <si>
    <t>manic</t>
  </si>
  <si>
    <t>glint</t>
  </si>
  <si>
    <t>eyes</t>
  </si>
  <si>
    <t>lost</t>
  </si>
  <si>
    <t># text = And he was talking about invisible demons and smoke, and how someone was poisoning him in his sleep.</t>
  </si>
  <si>
    <t>invisible</t>
  </si>
  <si>
    <t>demons</t>
  </si>
  <si>
    <t>smoke</t>
  </si>
  <si>
    <t>someone</t>
  </si>
  <si>
    <t>pron.pind</t>
  </si>
  <si>
    <t>poisoning</t>
  </si>
  <si>
    <t>sleep</t>
  </si>
  <si>
    <t># text = And I was afraid, not for myself, but I was afraid that I was going to lose him, that he was going to sink into one of his states, and that I would ruin his relationship with the violin if I started talking about scales and arpeggios and other exciting forms of didactic violin pedagogy.</t>
  </si>
  <si>
    <t>afraid</t>
  </si>
  <si>
    <t>myself</t>
  </si>
  <si>
    <t>lose</t>
  </si>
  <si>
    <t>sink</t>
  </si>
  <si>
    <t>one</t>
  </si>
  <si>
    <t>states</t>
  </si>
  <si>
    <t>would</t>
  </si>
  <si>
    <t>ruin</t>
  </si>
  <si>
    <t>relationship</t>
  </si>
  <si>
    <t>scales</t>
  </si>
  <si>
    <t>arpeggios</t>
  </si>
  <si>
    <t>other_8</t>
  </si>
  <si>
    <t>exciting</t>
  </si>
  <si>
    <t>forms</t>
  </si>
  <si>
    <t>didactic</t>
  </si>
  <si>
    <t>pedagogy</t>
  </si>
  <si>
    <t>other_9</t>
  </si>
  <si>
    <t># text = (Laughter)</t>
  </si>
  <si>
    <t>(</t>
  </si>
  <si>
    <t>Laughter</t>
  </si>
  <si>
    <t>)</t>
  </si>
  <si>
    <t># text = So, I just started playing.</t>
  </si>
  <si>
    <t>So</t>
  </si>
  <si>
    <t># text = And I played the first movement of the Beethoven Violin Concerto.</t>
  </si>
  <si>
    <t>played</t>
  </si>
  <si>
    <t>Violin</t>
  </si>
  <si>
    <t>Concerto</t>
  </si>
  <si>
    <t># text = And as I played, I understood that there was a profound change occurring in Nathaniel's eyes.</t>
  </si>
  <si>
    <t>understood</t>
  </si>
  <si>
    <t>there</t>
  </si>
  <si>
    <t>profound</t>
  </si>
  <si>
    <t>change</t>
  </si>
  <si>
    <t>occurring</t>
  </si>
  <si>
    <t># text = It was as if he was in the grip of some invisible pharmaceutical, a chemical reaction, for which my playing the music was its catalyst.</t>
  </si>
  <si>
    <t>It</t>
  </si>
  <si>
    <t>grip</t>
  </si>
  <si>
    <t>some</t>
  </si>
  <si>
    <t>pharmaceutical</t>
  </si>
  <si>
    <t>chemical</t>
  </si>
  <si>
    <t>reaction</t>
  </si>
  <si>
    <t>my</t>
  </si>
  <si>
    <t>catalyst</t>
  </si>
  <si>
    <t># text = And Nathaniel's manic rage was transformed into understanding, a quiet curiosity and grace.</t>
  </si>
  <si>
    <t>rage</t>
  </si>
  <si>
    <t>transformed</t>
  </si>
  <si>
    <t>understanding</t>
  </si>
  <si>
    <t>quiet</t>
  </si>
  <si>
    <t>curiosity</t>
  </si>
  <si>
    <t>grace</t>
  </si>
  <si>
    <t># text = And in a miracle, he lifted his own violin and he started playing, by ear, certain snippets of violin concertos which he then asked me to complete -- Mendelssohn, Tchaikovsky, Sibelius.</t>
  </si>
  <si>
    <t>miracle</t>
  </si>
  <si>
    <t>lifted</t>
  </si>
  <si>
    <t>ear</t>
  </si>
  <si>
    <t>certain</t>
  </si>
  <si>
    <t>snippets</t>
  </si>
  <si>
    <t>concertos</t>
  </si>
  <si>
    <t>OBJ_6</t>
  </si>
  <si>
    <t>asked</t>
  </si>
  <si>
    <t>Mendelssohn</t>
  </si>
  <si>
    <t>OBJ_7</t>
  </si>
  <si>
    <t>Tchaikovsky</t>
  </si>
  <si>
    <t>Sibelius</t>
  </si>
  <si>
    <t># text = And we started talking about music, from Bach to Beethoven and Brahms, Bruckner, all the B's, from Bartók, all the way up to Esa-Pekka Salonen.</t>
  </si>
  <si>
    <t>Bach</t>
  </si>
  <si>
    <t>Brahms</t>
  </si>
  <si>
    <t>Bruckner</t>
  </si>
  <si>
    <t>B</t>
  </si>
  <si>
    <t>Bartók</t>
  </si>
  <si>
    <t>up</t>
  </si>
  <si>
    <t>Esa-Pekka</t>
  </si>
  <si>
    <t>Salonen</t>
  </si>
  <si>
    <t># text = And I understood that he not only had an encyclopedic knowledge of music, but he related to this music at a personal level.</t>
  </si>
  <si>
    <t>encyclopedic</t>
  </si>
  <si>
    <t>knowledge</t>
  </si>
  <si>
    <t>related</t>
  </si>
  <si>
    <t>this</t>
  </si>
  <si>
    <t>personal</t>
  </si>
  <si>
    <t>level</t>
  </si>
  <si>
    <t># text = He spoke about it with the kind of passion and understanding that I share with my colleagues in the Los Angeles Philharmonic.</t>
  </si>
  <si>
    <t>spoke</t>
  </si>
  <si>
    <t>passion</t>
  </si>
  <si>
    <t>share</t>
  </si>
  <si>
    <t>colleagues</t>
  </si>
  <si>
    <t>Philharmonic</t>
  </si>
  <si>
    <t># text = And through playing music and talking about music, this man had transformed from the paranoid, disturbed man that had just come from walking the streets of downtown Los Angeles to the charming, erudite, brilliant, Juilliard-trained musician.</t>
  </si>
  <si>
    <t>through</t>
  </si>
  <si>
    <t>disturbed</t>
  </si>
  <si>
    <t>come</t>
  </si>
  <si>
    <t>erudite</t>
  </si>
  <si>
    <t>brilliant</t>
  </si>
  <si>
    <t>musician</t>
  </si>
  <si>
    <t># text = Music is medicine.</t>
  </si>
  <si>
    <t>Music</t>
  </si>
  <si>
    <t>medicine</t>
  </si>
  <si>
    <t># text = Music changes us.</t>
  </si>
  <si>
    <t>changes</t>
  </si>
  <si>
    <t>us</t>
  </si>
  <si>
    <t># text = And for Nathaniel, music is sanity.</t>
  </si>
  <si>
    <t>sanity</t>
  </si>
  <si>
    <t># text = Because music allows him to take his thoughts and delusions and shape them through his imagination and his creativity, into reality.</t>
  </si>
  <si>
    <t>Because</t>
  </si>
  <si>
    <t>allows</t>
  </si>
  <si>
    <t>take</t>
  </si>
  <si>
    <t>thoughts</t>
  </si>
  <si>
    <t>delusions</t>
  </si>
  <si>
    <t>them</t>
  </si>
  <si>
    <t>imagination</t>
  </si>
  <si>
    <t>creativity</t>
  </si>
  <si>
    <t># text = And that is an escape from his tormented state.</t>
  </si>
  <si>
    <t>escape</t>
  </si>
  <si>
    <t>tormented</t>
  </si>
  <si>
    <t># text = And I understood that this was the very essence of art.</t>
  </si>
  <si>
    <t>essence</t>
  </si>
  <si>
    <t>art</t>
  </si>
  <si>
    <t># text = This was the very reason why we made music, that we take something that exists within all of us at our very fundamental core, our emotions, and through our artistic lens, through our creativity, we're able to shape those emotions into reality.</t>
  </si>
  <si>
    <t>This</t>
  </si>
  <si>
    <t>reason</t>
  </si>
  <si>
    <t>why</t>
  </si>
  <si>
    <t>made</t>
  </si>
  <si>
    <t>something</t>
  </si>
  <si>
    <t>pron</t>
  </si>
  <si>
    <t>exists</t>
  </si>
  <si>
    <t>within</t>
  </si>
  <si>
    <t>fundamental</t>
  </si>
  <si>
    <t>core</t>
  </si>
  <si>
    <t>emotions</t>
  </si>
  <si>
    <t>artistic</t>
  </si>
  <si>
    <t>lens</t>
  </si>
  <si>
    <t>'re</t>
  </si>
  <si>
    <t>able</t>
  </si>
  <si>
    <t>those</t>
  </si>
  <si>
    <t># text = And the reality of that expression reaches all of us and moves us, inspires and unites us.</t>
  </si>
  <si>
    <t>expression</t>
  </si>
  <si>
    <t>reaches</t>
  </si>
  <si>
    <t>moves</t>
  </si>
  <si>
    <t>inspires</t>
  </si>
  <si>
    <t>unites</t>
  </si>
  <si>
    <t># text = And for Nathaniel, music brought him back into a fold of friends.</t>
  </si>
  <si>
    <t>brought</t>
  </si>
  <si>
    <t>back</t>
  </si>
  <si>
    <t>fold</t>
  </si>
  <si>
    <t>friends</t>
  </si>
  <si>
    <t># text = The redemptive power of music brought him back into a family of musicians that understood him, that recognized his talents and respected him.</t>
  </si>
  <si>
    <t>The</t>
  </si>
  <si>
    <t>redemptive</t>
  </si>
  <si>
    <t>power</t>
  </si>
  <si>
    <t>family</t>
  </si>
  <si>
    <t>musicians</t>
  </si>
  <si>
    <t>recognized</t>
  </si>
  <si>
    <t>talents</t>
  </si>
  <si>
    <t>respected</t>
  </si>
  <si>
    <t># text = And I will always make music with Nathaniel, whether we're at Walt Disney Concert Hall or on Skid Row, because he reminds me why I became a musician.</t>
  </si>
  <si>
    <t>will</t>
  </si>
  <si>
    <t>always</t>
  </si>
  <si>
    <t>whether</t>
  </si>
  <si>
    <t>reminds</t>
  </si>
  <si>
    <t># text = Thank you.</t>
  </si>
  <si>
    <t>Thank</t>
  </si>
  <si>
    <t># text = (Applause) Bruno Giussani:</t>
  </si>
  <si>
    <t>Bruno</t>
  </si>
  <si>
    <t>Giussani</t>
  </si>
  <si>
    <t>:</t>
  </si>
  <si>
    <t># text = Thanks.</t>
  </si>
  <si>
    <t>Thanks</t>
  </si>
  <si>
    <t># text = Robert Gupta.</t>
  </si>
  <si>
    <t>Gupta</t>
  </si>
  <si>
    <t># text = Robert Gupta:</t>
  </si>
  <si>
    <t># text = I'm going to play something that I shamelessly stole from cellists.</t>
  </si>
  <si>
    <t>shamelessly</t>
  </si>
  <si>
    <t>stole</t>
  </si>
  <si>
    <t>cellists</t>
  </si>
  <si>
    <t># text = So, please forgive me.</t>
  </si>
  <si>
    <t>please</t>
  </si>
  <si>
    <t># text = (Music)</t>
  </si>
  <si>
    <t>Steve_Lopez</t>
  </si>
  <si>
    <t>source_of_music</t>
  </si>
  <si>
    <t>Nathaniel_Anthony</t>
  </si>
  <si>
    <t>CAT</t>
  </si>
  <si>
    <t>TYPE</t>
  </si>
  <si>
    <t>IN_FOCUS</t>
  </si>
  <si>
    <t>GEN</t>
  </si>
  <si>
    <t>many_of_audience</t>
  </si>
  <si>
    <t>NEW</t>
  </si>
  <si>
    <t>audience</t>
  </si>
  <si>
    <t>FAMILIAR</t>
  </si>
  <si>
    <t># parser error</t>
  </si>
  <si>
    <t>newspaper_column</t>
  </si>
  <si>
    <t>UNIQUE</t>
  </si>
  <si>
    <t>PRED</t>
  </si>
  <si>
    <t>Robert_Downey_Jr</t>
  </si>
  <si>
    <t>Jamie_Foxx</t>
  </si>
  <si>
    <t>Julliard_music_school</t>
  </si>
  <si>
    <t>ACTIVATED</t>
  </si>
  <si>
    <t>IDIOM</t>
  </si>
  <si>
    <t>Los_Angeles</t>
  </si>
  <si>
    <t>REFERENTIAL</t>
  </si>
  <si>
    <t>Nathaniel_Anthony_Ayers</t>
  </si>
  <si>
    <t>Ayers_career</t>
  </si>
  <si>
    <t># parser error "Steve's"</t>
  </si>
  <si>
    <t># very famous American actor</t>
  </si>
  <si>
    <t>#parser error - name was not recognised</t>
  </si>
  <si>
    <t xml:space="preserve"># parser error, Los is the head </t>
  </si>
  <si>
    <t>book_about_Ayers</t>
  </si>
  <si>
    <t>movie_about_Ayers</t>
  </si>
  <si>
    <t>GROUP</t>
  </si>
  <si>
    <t>Lopez_and_Ayers&gt; Steve_Lopez, Nathaniel_Anthony_Ayers</t>
  </si>
  <si>
    <t>Walt_Disney_Hall</t>
  </si>
  <si>
    <t>performance_of_Beethoven_symphonies</t>
  </si>
  <si>
    <t>BOUND</t>
  </si>
  <si>
    <t xml:space="preserve"># parser error, it is not a named entity </t>
  </si>
  <si>
    <t>Beethoven_First_and_Fourth_Symphonies&gt;First_symphony, Fourth_symphony</t>
  </si>
  <si>
    <t>Yo-Yo_Ma</t>
  </si>
  <si>
    <t># an American cellist</t>
  </si>
  <si>
    <t>Hillary_Clinton</t>
  </si>
  <si>
    <t>Dodgers_world_series</t>
  </si>
  <si>
    <t># an American professional baseball team</t>
  </si>
  <si>
    <t># parser error?</t>
  </si>
  <si>
    <t>last_movement</t>
  </si>
  <si>
    <t xml:space="preserve"> Fourth_symphony</t>
  </si>
  <si>
    <t>OLD</t>
  </si>
  <si>
    <t># old because part of a GROUP mentioned earlier</t>
  </si>
  <si>
    <t># CB because Ayers is part of the group</t>
  </si>
  <si>
    <t>EXPL</t>
  </si>
  <si>
    <t>life_of_Ayers</t>
  </si>
  <si>
    <t>schizophrenic_episodes</t>
  </si>
  <si>
    <t>Skid_Row</t>
  </si>
  <si>
    <t>Ayers_mind_torment</t>
  </si>
  <si>
    <t>Ayers_mind</t>
  </si>
  <si>
    <t>first_lesson</t>
  </si>
  <si>
    <t>Ayers_eyes</t>
  </si>
  <si>
    <t># metaphorical personification of violin</t>
  </si>
  <si>
    <t># not a part of the text</t>
  </si>
  <si>
    <t>Beethoven_Violin_Concerto</t>
  </si>
  <si>
    <t>chemical_reaction</t>
  </si>
  <si>
    <t># metaphorical use of the literal chemistry term</t>
  </si>
  <si>
    <t>Ayers_rage</t>
  </si>
  <si>
    <t>Ayers_violin</t>
  </si>
  <si>
    <t>Bartok</t>
  </si>
  <si>
    <t># collocation</t>
  </si>
  <si>
    <t>SALONEN</t>
  </si>
  <si>
    <t>Los_Angeles_Philharmonic</t>
  </si>
  <si>
    <t># parser error Los is the head</t>
  </si>
  <si>
    <t xml:space="preserve"># parser error "charming" is adjective </t>
  </si>
  <si>
    <t># parser error "music" not recognised</t>
  </si>
  <si>
    <t>Ayers_thoughts</t>
  </si>
  <si>
    <t>Ayers_delusions</t>
  </si>
  <si>
    <t>thoughts_and_delusions&gt;Ayers_thoughts, Ayers_delusions</t>
  </si>
  <si>
    <t>Ayers_imagination</t>
  </si>
  <si>
    <t>Ayers_creativity</t>
  </si>
  <si>
    <t>transforming_thoughts_into_artistic_reality</t>
  </si>
  <si>
    <t>essence_of_art</t>
  </si>
  <si>
    <t>something_within_us</t>
  </si>
  <si>
    <t>fundamental_core</t>
  </si>
  <si>
    <t>artistic_lens</t>
  </si>
  <si>
    <t># as humanity</t>
  </si>
  <si>
    <t>redemptive_power_of_music</t>
  </si>
  <si>
    <t>Ayers_talents</t>
  </si>
  <si>
    <t>Walt_Disney</t>
  </si>
  <si>
    <t># very famous American animator</t>
  </si>
  <si>
    <t xml:space="preserve"># parser error </t>
  </si>
  <si>
    <t># not part of the text</t>
  </si>
  <si>
    <t># the speaker's was named to the audience</t>
  </si>
  <si>
    <t>piece_of music</t>
  </si>
  <si>
    <t>Los_Angeles_Times_nespaper</t>
  </si>
  <si>
    <t># parser error: PP was not recognised</t>
  </si>
  <si>
    <t># PP was not recognised</t>
  </si>
  <si>
    <t>Robert_Gupta</t>
  </si>
  <si>
    <t># at the end of the TED Talk, we find out the name of the speaker</t>
  </si>
  <si>
    <t xml:space="preserve"># famous American actor |  parser error "Jamie" was not recognised </t>
  </si>
  <si>
    <t># parser error, PP was not recognised</t>
  </si>
  <si>
    <t># parcer error</t>
  </si>
  <si>
    <t># parser error: PP was not regonised</t>
  </si>
  <si>
    <t>first_violin_passage_work</t>
  </si>
  <si>
    <t>we&gt;Robert_Gupta,Nathaniel_Anthony_Ayers</t>
  </si>
  <si>
    <t># mentioned as GROUP earlier</t>
  </si>
  <si>
    <t xml:space="preserve"># parster error: PP was not recoginised </t>
  </si>
  <si>
    <t>Ayers_sleep</t>
  </si>
  <si>
    <t>one_of_states</t>
  </si>
  <si>
    <t>first_movement</t>
  </si>
  <si>
    <t># parser error "Esa-Pekka" is the head of NP</t>
  </si>
  <si>
    <t xml:space="preserve"># us as a humanity </t>
  </si>
  <si>
    <t xml:space="preserve"># event anaphor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</si>
</sst>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6"/>
  <sheetViews>
    <sheetView workbookViewId="0">
      <pane xSplit="5" ySplit="1" topLeftCell="G36" activePane="bottomRight" state="frozen"/>
      <selection pane="topRight" activeCell="F1" sqref="F1"/>
      <selection pane="bottomLeft" activeCell="A2" sqref="A2"/>
      <selection pane="bottomRight"/>
    </sheetView>
  </sheetViews>
  <sheetFormatPr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tr">
        <f t="shared" ref="G2:G46" si="0">IF(A2=1,"_",IF(C2="_","???",C2))</f>
        <v>when?</v>
      </c>
      <c r="H2" s="10" t="s">
        <v>16</v>
      </c>
      <c r="I2" s="11" t="s">
        <v>16</v>
      </c>
      <c r="J2" s="12"/>
    </row>
    <row r="3" spans="1:10" ht="60" customHeight="1" x14ac:dyDescent="0.3">
      <c r="A3" s="6" t="s">
        <v>17</v>
      </c>
      <c r="B3" s="6" t="s">
        <v>18</v>
      </c>
      <c r="C3" s="6" t="s">
        <v>19</v>
      </c>
      <c r="D3" s="7" t="s">
        <v>20</v>
      </c>
      <c r="E3" s="8" t="s">
        <v>21</v>
      </c>
      <c r="F3" s="6" t="s">
        <v>22</v>
      </c>
      <c r="G3" s="9" t="str">
        <f t="shared" si="0"/>
        <v>and?</v>
      </c>
      <c r="H3" s="10" t="s">
        <v>16</v>
      </c>
      <c r="I3" s="11" t="s">
        <v>16</v>
      </c>
      <c r="J3" s="12"/>
    </row>
    <row r="4" spans="1:10" ht="60" customHeight="1" x14ac:dyDescent="0.3">
      <c r="A4" s="6" t="s">
        <v>23</v>
      </c>
      <c r="B4" s="6" t="s">
        <v>18</v>
      </c>
      <c r="C4" s="6" t="s">
        <v>19</v>
      </c>
      <c r="D4" s="7" t="s">
        <v>24</v>
      </c>
      <c r="E4" s="8" t="s">
        <v>25</v>
      </c>
      <c r="F4" s="6" t="s">
        <v>26</v>
      </c>
      <c r="G4" s="9" t="str">
        <f t="shared" si="0"/>
        <v>and?</v>
      </c>
      <c r="H4" s="10" t="s">
        <v>16</v>
      </c>
      <c r="I4" s="11" t="s">
        <v>16</v>
      </c>
      <c r="J4" s="12"/>
    </row>
    <row r="5" spans="1:10" ht="60" customHeight="1" x14ac:dyDescent="0.3">
      <c r="A5" s="6" t="s">
        <v>18</v>
      </c>
      <c r="B5" s="6" t="s">
        <v>17</v>
      </c>
      <c r="C5" s="6" t="s">
        <v>16</v>
      </c>
      <c r="D5" s="7" t="s">
        <v>27</v>
      </c>
      <c r="E5" s="8" t="s">
        <v>28</v>
      </c>
      <c r="F5" s="6" t="s">
        <v>29</v>
      </c>
      <c r="G5" s="9" t="str">
        <f t="shared" si="0"/>
        <v>???</v>
      </c>
      <c r="H5" s="10" t="s">
        <v>16</v>
      </c>
      <c r="I5" s="11" t="s">
        <v>16</v>
      </c>
      <c r="J5" s="12"/>
    </row>
    <row r="6" spans="1:10" ht="60" customHeight="1" x14ac:dyDescent="0.3">
      <c r="A6" s="6" t="s">
        <v>30</v>
      </c>
      <c r="B6" s="6" t="s">
        <v>17</v>
      </c>
      <c r="C6" s="6" t="s">
        <v>31</v>
      </c>
      <c r="D6" s="7" t="s">
        <v>32</v>
      </c>
      <c r="E6" s="8" t="s">
        <v>33</v>
      </c>
      <c r="F6" s="6" t="s">
        <v>34</v>
      </c>
      <c r="G6" s="9" t="str">
        <f t="shared" si="0"/>
        <v>but?</v>
      </c>
      <c r="H6" s="10" t="s">
        <v>16</v>
      </c>
      <c r="I6" s="11" t="s">
        <v>16</v>
      </c>
      <c r="J6" s="12"/>
    </row>
    <row r="7" spans="1:10" ht="60" customHeight="1" x14ac:dyDescent="0.3">
      <c r="A7" s="6" t="s">
        <v>35</v>
      </c>
      <c r="B7" s="6" t="s">
        <v>17</v>
      </c>
      <c r="C7" s="6" t="s">
        <v>16</v>
      </c>
      <c r="D7" s="7" t="s">
        <v>36</v>
      </c>
      <c r="E7" s="8" t="s">
        <v>37</v>
      </c>
      <c r="F7" s="6" t="s">
        <v>38</v>
      </c>
      <c r="G7" s="9" t="str">
        <f t="shared" si="0"/>
        <v>???</v>
      </c>
      <c r="H7" s="10" t="s">
        <v>16</v>
      </c>
      <c r="I7" s="11" t="s">
        <v>16</v>
      </c>
      <c r="J7" s="12"/>
    </row>
    <row r="8" spans="1:10" ht="60" customHeight="1" x14ac:dyDescent="0.3">
      <c r="A8" s="6" t="s">
        <v>39</v>
      </c>
      <c r="B8" s="6" t="s">
        <v>18</v>
      </c>
      <c r="C8" s="6" t="s">
        <v>19</v>
      </c>
      <c r="D8" s="7" t="s">
        <v>40</v>
      </c>
      <c r="E8" s="8" t="s">
        <v>41</v>
      </c>
      <c r="F8" s="6" t="s">
        <v>42</v>
      </c>
      <c r="G8" s="9" t="str">
        <f t="shared" si="0"/>
        <v>and?</v>
      </c>
      <c r="H8" s="10" t="s">
        <v>16</v>
      </c>
      <c r="I8" s="11" t="s">
        <v>16</v>
      </c>
      <c r="J8" s="12"/>
    </row>
    <row r="9" spans="1:10" ht="60" customHeight="1" x14ac:dyDescent="0.3">
      <c r="A9" s="6" t="s">
        <v>43</v>
      </c>
      <c r="B9" s="6" t="s">
        <v>23</v>
      </c>
      <c r="C9" s="6" t="s">
        <v>16</v>
      </c>
      <c r="D9" s="7" t="s">
        <v>44</v>
      </c>
      <c r="E9" s="8" t="s">
        <v>45</v>
      </c>
      <c r="F9" s="6" t="s">
        <v>46</v>
      </c>
      <c r="G9" s="9" t="str">
        <f t="shared" si="0"/>
        <v>???</v>
      </c>
      <c r="H9" s="10" t="s">
        <v>16</v>
      </c>
      <c r="I9" s="11" t="s">
        <v>16</v>
      </c>
      <c r="J9" s="12"/>
    </row>
    <row r="10" spans="1:10" ht="60" customHeight="1" x14ac:dyDescent="0.3">
      <c r="A10" s="6" t="s">
        <v>47</v>
      </c>
      <c r="B10" s="6" t="s">
        <v>23</v>
      </c>
      <c r="C10" s="6" t="s">
        <v>48</v>
      </c>
      <c r="D10" s="7" t="s">
        <v>49</v>
      </c>
      <c r="E10" s="8" t="s">
        <v>50</v>
      </c>
      <c r="F10" s="6" t="s">
        <v>51</v>
      </c>
      <c r="G10" s="9" t="str">
        <f t="shared" si="0"/>
        <v>later?</v>
      </c>
      <c r="H10" s="10" t="s">
        <v>16</v>
      </c>
      <c r="I10" s="11" t="s">
        <v>16</v>
      </c>
      <c r="J10" s="12"/>
    </row>
    <row r="11" spans="1:10" ht="60" customHeight="1" x14ac:dyDescent="0.3">
      <c r="A11" s="6" t="s">
        <v>52</v>
      </c>
      <c r="B11" s="6" t="s">
        <v>30</v>
      </c>
      <c r="C11" s="6" t="s">
        <v>16</v>
      </c>
      <c r="D11" s="7" t="s">
        <v>53</v>
      </c>
      <c r="E11" s="8" t="s">
        <v>54</v>
      </c>
      <c r="F11" s="6" t="s">
        <v>55</v>
      </c>
      <c r="G11" s="9" t="str">
        <f t="shared" si="0"/>
        <v>???</v>
      </c>
      <c r="H11" s="10" t="s">
        <v>16</v>
      </c>
      <c r="I11" s="11" t="s">
        <v>16</v>
      </c>
      <c r="J11" s="12"/>
    </row>
    <row r="12" spans="1:10" ht="60" customHeight="1" x14ac:dyDescent="0.3">
      <c r="A12" s="6" t="s">
        <v>11</v>
      </c>
      <c r="B12" s="6" t="s">
        <v>47</v>
      </c>
      <c r="C12" s="6" t="s">
        <v>56</v>
      </c>
      <c r="D12" s="7" t="s">
        <v>57</v>
      </c>
      <c r="E12" s="8" t="s">
        <v>58</v>
      </c>
      <c r="F12" s="6" t="s">
        <v>59</v>
      </c>
      <c r="G12" s="9" t="str">
        <f t="shared" si="0"/>
        <v>as a result?</v>
      </c>
      <c r="H12" s="10" t="s">
        <v>16</v>
      </c>
      <c r="I12" s="11" t="s">
        <v>16</v>
      </c>
      <c r="J12" s="12"/>
    </row>
    <row r="13" spans="1:10" ht="60" customHeight="1" x14ac:dyDescent="0.3">
      <c r="A13" s="6" t="s">
        <v>60</v>
      </c>
      <c r="B13" s="6" t="s">
        <v>23</v>
      </c>
      <c r="C13" s="6" t="s">
        <v>12</v>
      </c>
      <c r="D13" s="7" t="s">
        <v>61</v>
      </c>
      <c r="E13" s="8" t="s">
        <v>62</v>
      </c>
      <c r="F13" s="6" t="s">
        <v>63</v>
      </c>
      <c r="G13" s="9" t="str">
        <f t="shared" si="0"/>
        <v>when?</v>
      </c>
      <c r="H13" s="10" t="s">
        <v>16</v>
      </c>
      <c r="I13" s="11" t="s">
        <v>16</v>
      </c>
      <c r="J13" s="12"/>
    </row>
    <row r="14" spans="1:10" ht="60" customHeight="1" x14ac:dyDescent="0.3">
      <c r="A14" s="6" t="s">
        <v>64</v>
      </c>
      <c r="B14" s="6" t="s">
        <v>18</v>
      </c>
      <c r="C14" s="6" t="s">
        <v>19</v>
      </c>
      <c r="D14" s="7" t="s">
        <v>65</v>
      </c>
      <c r="E14" s="8" t="s">
        <v>66</v>
      </c>
      <c r="F14" s="6" t="s">
        <v>67</v>
      </c>
      <c r="G14" s="9" t="str">
        <f t="shared" si="0"/>
        <v>and?</v>
      </c>
      <c r="H14" s="10" t="s">
        <v>16</v>
      </c>
      <c r="I14" s="11" t="s">
        <v>16</v>
      </c>
      <c r="J14" s="12"/>
    </row>
    <row r="15" spans="1:10" ht="60" customHeight="1" x14ac:dyDescent="0.3">
      <c r="A15" s="6" t="s">
        <v>68</v>
      </c>
      <c r="B15" s="6" t="s">
        <v>23</v>
      </c>
      <c r="C15" s="6" t="s">
        <v>69</v>
      </c>
      <c r="D15" s="7" t="s">
        <v>70</v>
      </c>
      <c r="E15" s="8" t="s">
        <v>71</v>
      </c>
      <c r="F15" s="6" t="s">
        <v>72</v>
      </c>
      <c r="G15" s="9" t="str">
        <f t="shared" si="0"/>
        <v>for?</v>
      </c>
      <c r="H15" s="10" t="s">
        <v>16</v>
      </c>
      <c r="I15" s="11" t="s">
        <v>16</v>
      </c>
      <c r="J15" s="12"/>
    </row>
    <row r="16" spans="1:10" ht="60" customHeight="1" x14ac:dyDescent="0.3">
      <c r="A16" s="6" t="s">
        <v>73</v>
      </c>
      <c r="B16" s="6" t="s">
        <v>17</v>
      </c>
      <c r="C16" s="6" t="s">
        <v>16</v>
      </c>
      <c r="D16" s="7" t="s">
        <v>74</v>
      </c>
      <c r="E16" s="8" t="s">
        <v>75</v>
      </c>
      <c r="F16" s="6" t="s">
        <v>76</v>
      </c>
      <c r="G16" s="9" t="str">
        <f t="shared" si="0"/>
        <v>???</v>
      </c>
      <c r="H16" s="10" t="s">
        <v>16</v>
      </c>
      <c r="I16" s="11" t="s">
        <v>16</v>
      </c>
      <c r="J16" s="12"/>
    </row>
    <row r="17" spans="1:10" ht="60" customHeight="1" x14ac:dyDescent="0.3">
      <c r="A17" s="6" t="s">
        <v>77</v>
      </c>
      <c r="B17" s="6" t="s">
        <v>30</v>
      </c>
      <c r="C17" s="6" t="s">
        <v>78</v>
      </c>
      <c r="D17" s="7" t="s">
        <v>79</v>
      </c>
      <c r="E17" s="8" t="s">
        <v>80</v>
      </c>
      <c r="F17" s="6" t="s">
        <v>81</v>
      </c>
      <c r="G17" s="9" t="str">
        <f t="shared" si="0"/>
        <v>so?</v>
      </c>
      <c r="H17" s="10" t="s">
        <v>16</v>
      </c>
      <c r="I17" s="11" t="s">
        <v>16</v>
      </c>
      <c r="J17" s="12"/>
    </row>
    <row r="18" spans="1:10" ht="60" customHeight="1" x14ac:dyDescent="0.3">
      <c r="A18" s="6" t="s">
        <v>82</v>
      </c>
      <c r="B18" s="6" t="s">
        <v>23</v>
      </c>
      <c r="C18" s="6" t="s">
        <v>19</v>
      </c>
      <c r="D18" s="7" t="s">
        <v>83</v>
      </c>
      <c r="E18" s="8" t="s">
        <v>84</v>
      </c>
      <c r="F18" s="6" t="s">
        <v>85</v>
      </c>
      <c r="G18" s="9" t="str">
        <f t="shared" si="0"/>
        <v>and?</v>
      </c>
      <c r="H18" s="10" t="s">
        <v>16</v>
      </c>
      <c r="I18" s="11" t="s">
        <v>16</v>
      </c>
      <c r="J18" s="12"/>
    </row>
    <row r="19" spans="1:10" ht="60" customHeight="1" x14ac:dyDescent="0.3">
      <c r="A19" s="6" t="s">
        <v>86</v>
      </c>
      <c r="B19" s="6" t="s">
        <v>39</v>
      </c>
      <c r="C19" s="6" t="s">
        <v>19</v>
      </c>
      <c r="D19" s="7" t="s">
        <v>87</v>
      </c>
      <c r="E19" s="8" t="s">
        <v>88</v>
      </c>
      <c r="F19" s="6" t="s">
        <v>89</v>
      </c>
      <c r="G19" s="9" t="str">
        <f t="shared" si="0"/>
        <v>and?</v>
      </c>
      <c r="H19" s="10" t="s">
        <v>16</v>
      </c>
      <c r="I19" s="11" t="s">
        <v>16</v>
      </c>
      <c r="J19" s="12"/>
    </row>
    <row r="20" spans="1:10" ht="60" customHeight="1" x14ac:dyDescent="0.3">
      <c r="A20" s="6" t="s">
        <v>90</v>
      </c>
      <c r="B20" s="6" t="s">
        <v>17</v>
      </c>
      <c r="C20" s="6" t="s">
        <v>91</v>
      </c>
      <c r="D20" s="7" t="s">
        <v>92</v>
      </c>
      <c r="E20" s="8" t="s">
        <v>93</v>
      </c>
      <c r="F20" s="6" t="s">
        <v>94</v>
      </c>
      <c r="G20" s="9" t="str">
        <f t="shared" si="0"/>
        <v>as?</v>
      </c>
      <c r="H20" s="10" t="s">
        <v>16</v>
      </c>
      <c r="I20" s="11" t="s">
        <v>16</v>
      </c>
      <c r="J20" s="12"/>
    </row>
    <row r="21" spans="1:10" ht="60" customHeight="1" x14ac:dyDescent="0.3">
      <c r="A21" s="6" t="s">
        <v>95</v>
      </c>
      <c r="B21" s="6" t="s">
        <v>39</v>
      </c>
      <c r="C21" s="6" t="s">
        <v>16</v>
      </c>
      <c r="D21" s="7" t="s">
        <v>96</v>
      </c>
      <c r="E21" s="8" t="s">
        <v>97</v>
      </c>
      <c r="F21" s="6" t="s">
        <v>98</v>
      </c>
      <c r="G21" s="9" t="str">
        <f t="shared" si="0"/>
        <v>???</v>
      </c>
      <c r="H21" s="10" t="s">
        <v>16</v>
      </c>
      <c r="I21" s="11" t="s">
        <v>16</v>
      </c>
      <c r="J21" s="12"/>
    </row>
    <row r="22" spans="1:10" ht="60" customHeight="1" x14ac:dyDescent="0.3">
      <c r="A22" s="6" t="s">
        <v>99</v>
      </c>
      <c r="B22" s="6" t="s">
        <v>39</v>
      </c>
      <c r="C22" s="6" t="s">
        <v>19</v>
      </c>
      <c r="D22" s="7" t="s">
        <v>100</v>
      </c>
      <c r="E22" s="8" t="s">
        <v>101</v>
      </c>
      <c r="F22" s="6" t="s">
        <v>102</v>
      </c>
      <c r="G22" s="9" t="str">
        <f t="shared" si="0"/>
        <v>and?</v>
      </c>
      <c r="H22" s="10" t="s">
        <v>16</v>
      </c>
      <c r="I22" s="11" t="s">
        <v>16</v>
      </c>
      <c r="J22" s="12"/>
    </row>
    <row r="23" spans="1:10" ht="60" customHeight="1" x14ac:dyDescent="0.3">
      <c r="A23" s="6" t="s">
        <v>103</v>
      </c>
      <c r="B23" s="6" t="s">
        <v>23</v>
      </c>
      <c r="C23" s="6" t="s">
        <v>19</v>
      </c>
      <c r="D23" s="7" t="s">
        <v>79</v>
      </c>
      <c r="E23" s="8" t="s">
        <v>104</v>
      </c>
      <c r="F23" s="6" t="s">
        <v>105</v>
      </c>
      <c r="G23" s="9" t="str">
        <f t="shared" si="0"/>
        <v>and?</v>
      </c>
      <c r="H23" s="10" t="s">
        <v>16</v>
      </c>
      <c r="I23" s="11" t="s">
        <v>16</v>
      </c>
      <c r="J23" s="12"/>
    </row>
    <row r="24" spans="1:10" ht="60" customHeight="1" x14ac:dyDescent="0.3">
      <c r="A24" s="6" t="s">
        <v>106</v>
      </c>
      <c r="B24" s="6" t="s">
        <v>23</v>
      </c>
      <c r="C24" s="6" t="s">
        <v>31</v>
      </c>
      <c r="D24" s="7" t="s">
        <v>87</v>
      </c>
      <c r="E24" s="8" t="s">
        <v>107</v>
      </c>
      <c r="F24" s="6" t="s">
        <v>108</v>
      </c>
      <c r="G24" s="9" t="str">
        <f t="shared" si="0"/>
        <v>but?</v>
      </c>
      <c r="H24" s="10" t="s">
        <v>16</v>
      </c>
      <c r="I24" s="11" t="s">
        <v>16</v>
      </c>
      <c r="J24" s="12"/>
    </row>
    <row r="25" spans="1:10" ht="60" customHeight="1" x14ac:dyDescent="0.3">
      <c r="A25" s="6" t="s">
        <v>109</v>
      </c>
      <c r="B25" s="6" t="s">
        <v>17</v>
      </c>
      <c r="C25" s="6" t="s">
        <v>16</v>
      </c>
      <c r="D25" s="7" t="s">
        <v>44</v>
      </c>
      <c r="E25" s="8" t="s">
        <v>110</v>
      </c>
      <c r="F25" s="6" t="s">
        <v>111</v>
      </c>
      <c r="G25" s="9" t="str">
        <f t="shared" si="0"/>
        <v>???</v>
      </c>
      <c r="H25" s="10" t="s">
        <v>16</v>
      </c>
      <c r="I25" s="11" t="s">
        <v>16</v>
      </c>
      <c r="J25" s="12"/>
    </row>
    <row r="26" spans="1:10" ht="60" customHeight="1" x14ac:dyDescent="0.3">
      <c r="A26" s="6" t="s">
        <v>112</v>
      </c>
      <c r="B26" s="6" t="s">
        <v>64</v>
      </c>
      <c r="C26" s="6" t="s">
        <v>19</v>
      </c>
      <c r="D26" s="7" t="s">
        <v>96</v>
      </c>
      <c r="E26" s="8" t="s">
        <v>113</v>
      </c>
      <c r="F26" s="6" t="s">
        <v>114</v>
      </c>
      <c r="G26" s="9" t="str">
        <f t="shared" si="0"/>
        <v>and?</v>
      </c>
      <c r="H26" s="10" t="s">
        <v>16</v>
      </c>
      <c r="I26" s="11" t="s">
        <v>16</v>
      </c>
      <c r="J26" s="12"/>
    </row>
    <row r="27" spans="1:10" ht="60" customHeight="1" x14ac:dyDescent="0.3">
      <c r="A27" s="6" t="s">
        <v>115</v>
      </c>
      <c r="B27" s="6" t="s">
        <v>17</v>
      </c>
      <c r="C27" s="6" t="s">
        <v>16</v>
      </c>
      <c r="D27" s="7" t="s">
        <v>116</v>
      </c>
      <c r="E27" s="8" t="s">
        <v>117</v>
      </c>
      <c r="F27" s="6" t="s">
        <v>118</v>
      </c>
      <c r="G27" s="9" t="str">
        <f t="shared" si="0"/>
        <v>???</v>
      </c>
      <c r="H27" s="10" t="s">
        <v>16</v>
      </c>
      <c r="I27" s="11" t="s">
        <v>16</v>
      </c>
      <c r="J27" s="12"/>
    </row>
    <row r="28" spans="1:10" ht="60" customHeight="1" x14ac:dyDescent="0.3">
      <c r="A28" s="6" t="s">
        <v>119</v>
      </c>
      <c r="B28" s="6" t="s">
        <v>23</v>
      </c>
      <c r="C28" s="6" t="s">
        <v>16</v>
      </c>
      <c r="D28" s="7" t="s">
        <v>120</v>
      </c>
      <c r="E28" s="8" t="s">
        <v>121</v>
      </c>
      <c r="F28" s="6" t="s">
        <v>122</v>
      </c>
      <c r="G28" s="9" t="str">
        <f t="shared" si="0"/>
        <v>???</v>
      </c>
      <c r="H28" s="10" t="s">
        <v>16</v>
      </c>
      <c r="I28" s="11" t="s">
        <v>16</v>
      </c>
      <c r="J28" s="12"/>
    </row>
    <row r="29" spans="1:10" ht="60" customHeight="1" x14ac:dyDescent="0.3">
      <c r="A29" s="6" t="s">
        <v>123</v>
      </c>
      <c r="B29" s="6" t="s">
        <v>35</v>
      </c>
      <c r="C29" s="6" t="s">
        <v>69</v>
      </c>
      <c r="D29" s="7" t="s">
        <v>124</v>
      </c>
      <c r="E29" s="8" t="s">
        <v>125</v>
      </c>
      <c r="F29" s="6" t="s">
        <v>126</v>
      </c>
      <c r="G29" s="9" t="str">
        <f t="shared" si="0"/>
        <v>for?</v>
      </c>
      <c r="H29" s="10" t="s">
        <v>16</v>
      </c>
      <c r="I29" s="11" t="s">
        <v>16</v>
      </c>
      <c r="J29" s="12"/>
    </row>
    <row r="30" spans="1:10" ht="60" customHeight="1" x14ac:dyDescent="0.3">
      <c r="A30" s="6" t="s">
        <v>127</v>
      </c>
      <c r="B30" s="6" t="s">
        <v>103</v>
      </c>
      <c r="C30" s="6" t="s">
        <v>128</v>
      </c>
      <c r="D30" s="7" t="s">
        <v>129</v>
      </c>
      <c r="E30" s="8" t="s">
        <v>130</v>
      </c>
      <c r="F30" s="6" t="s">
        <v>131</v>
      </c>
      <c r="G30" s="9" t="str">
        <f t="shared" si="0"/>
        <v>because?</v>
      </c>
      <c r="H30" s="10" t="s">
        <v>16</v>
      </c>
      <c r="I30" s="11" t="s">
        <v>16</v>
      </c>
      <c r="J30" s="12"/>
    </row>
    <row r="31" spans="1:10" ht="60" customHeight="1" x14ac:dyDescent="0.3">
      <c r="A31" s="6" t="s">
        <v>132</v>
      </c>
      <c r="B31" s="6" t="s">
        <v>23</v>
      </c>
      <c r="C31" s="6" t="s">
        <v>19</v>
      </c>
      <c r="D31" s="7" t="s">
        <v>133</v>
      </c>
      <c r="E31" s="8" t="s">
        <v>134</v>
      </c>
      <c r="F31" s="6" t="s">
        <v>135</v>
      </c>
      <c r="G31" s="9" t="str">
        <f t="shared" si="0"/>
        <v>and?</v>
      </c>
      <c r="H31" s="10" t="s">
        <v>16</v>
      </c>
      <c r="I31" s="11" t="s">
        <v>16</v>
      </c>
      <c r="J31" s="12"/>
    </row>
    <row r="32" spans="1:10" ht="60" customHeight="1" x14ac:dyDescent="0.3">
      <c r="A32" s="6" t="s">
        <v>136</v>
      </c>
      <c r="B32" s="6" t="s">
        <v>23</v>
      </c>
      <c r="C32" s="6" t="s">
        <v>19</v>
      </c>
      <c r="D32" s="7" t="s">
        <v>87</v>
      </c>
      <c r="E32" s="8" t="s">
        <v>137</v>
      </c>
      <c r="F32" s="6" t="s">
        <v>138</v>
      </c>
      <c r="G32" s="9" t="str">
        <f t="shared" si="0"/>
        <v>and?</v>
      </c>
      <c r="H32" s="10" t="s">
        <v>16</v>
      </c>
      <c r="I32" s="11" t="s">
        <v>16</v>
      </c>
      <c r="J32" s="12"/>
    </row>
    <row r="33" spans="1:10" ht="60" customHeight="1" x14ac:dyDescent="0.3">
      <c r="A33" s="6" t="s">
        <v>139</v>
      </c>
      <c r="B33" s="6" t="s">
        <v>17</v>
      </c>
      <c r="C33" s="6" t="s">
        <v>16</v>
      </c>
      <c r="D33" s="7" t="s">
        <v>140</v>
      </c>
      <c r="E33" s="8" t="s">
        <v>141</v>
      </c>
      <c r="F33" s="6" t="s">
        <v>142</v>
      </c>
      <c r="G33" s="9" t="str">
        <f t="shared" si="0"/>
        <v>???</v>
      </c>
      <c r="H33" s="10" t="s">
        <v>16</v>
      </c>
      <c r="I33" s="11" t="s">
        <v>16</v>
      </c>
      <c r="J33" s="12"/>
    </row>
    <row r="34" spans="1:10" ht="60" customHeight="1" x14ac:dyDescent="0.3">
      <c r="A34" s="6" t="s">
        <v>143</v>
      </c>
      <c r="B34" s="6" t="s">
        <v>39</v>
      </c>
      <c r="C34" s="6" t="s">
        <v>19</v>
      </c>
      <c r="D34" s="7" t="s">
        <v>144</v>
      </c>
      <c r="E34" s="8" t="s">
        <v>145</v>
      </c>
      <c r="F34" s="6" t="s">
        <v>146</v>
      </c>
      <c r="G34" s="9" t="str">
        <f t="shared" si="0"/>
        <v>and?</v>
      </c>
      <c r="H34" s="10" t="s">
        <v>16</v>
      </c>
      <c r="I34" s="11" t="s">
        <v>16</v>
      </c>
      <c r="J34" s="12"/>
    </row>
    <row r="35" spans="1:10" ht="60" customHeight="1" x14ac:dyDescent="0.3">
      <c r="A35" s="6" t="s">
        <v>147</v>
      </c>
      <c r="B35" s="6" t="s">
        <v>35</v>
      </c>
      <c r="C35" s="6" t="s">
        <v>69</v>
      </c>
      <c r="D35" s="7" t="s">
        <v>148</v>
      </c>
      <c r="E35" s="8" t="s">
        <v>149</v>
      </c>
      <c r="F35" s="6" t="s">
        <v>150</v>
      </c>
      <c r="G35" s="9" t="str">
        <f t="shared" si="0"/>
        <v>for?</v>
      </c>
      <c r="H35" s="10" t="s">
        <v>16</v>
      </c>
      <c r="I35" s="11" t="s">
        <v>16</v>
      </c>
      <c r="J35" s="12"/>
    </row>
    <row r="36" spans="1:10" ht="60" customHeight="1" x14ac:dyDescent="0.3">
      <c r="A36" s="6" t="s">
        <v>151</v>
      </c>
      <c r="B36" s="6" t="s">
        <v>35</v>
      </c>
      <c r="C36" s="6" t="s">
        <v>16</v>
      </c>
      <c r="D36" s="7" t="s">
        <v>148</v>
      </c>
      <c r="E36" s="8" t="s">
        <v>152</v>
      </c>
      <c r="F36" s="6" t="s">
        <v>153</v>
      </c>
      <c r="G36" s="9" t="str">
        <f t="shared" si="0"/>
        <v>???</v>
      </c>
      <c r="H36" s="10" t="s">
        <v>16</v>
      </c>
      <c r="I36" s="11" t="s">
        <v>16</v>
      </c>
      <c r="J36" s="12"/>
    </row>
    <row r="37" spans="1:10" ht="60" customHeight="1" x14ac:dyDescent="0.3">
      <c r="A37" s="6" t="s">
        <v>154</v>
      </c>
      <c r="B37" s="6" t="s">
        <v>30</v>
      </c>
      <c r="C37" s="6" t="s">
        <v>128</v>
      </c>
      <c r="D37" s="7" t="s">
        <v>155</v>
      </c>
      <c r="E37" s="8" t="s">
        <v>156</v>
      </c>
      <c r="F37" s="6" t="s">
        <v>157</v>
      </c>
      <c r="G37" s="9" t="str">
        <f t="shared" si="0"/>
        <v>because?</v>
      </c>
      <c r="H37" s="10" t="s">
        <v>16</v>
      </c>
      <c r="I37" s="11" t="s">
        <v>16</v>
      </c>
      <c r="J37" s="12"/>
    </row>
    <row r="38" spans="1:10" ht="60" customHeight="1" x14ac:dyDescent="0.3">
      <c r="A38" s="6" t="s">
        <v>158</v>
      </c>
      <c r="B38" s="6" t="s">
        <v>10</v>
      </c>
      <c r="C38" s="6" t="s">
        <v>16</v>
      </c>
      <c r="D38" s="7" t="s">
        <v>159</v>
      </c>
      <c r="E38" s="8" t="s">
        <v>160</v>
      </c>
      <c r="F38" s="6" t="s">
        <v>161</v>
      </c>
      <c r="G38" s="9" t="str">
        <f t="shared" si="0"/>
        <v>???</v>
      </c>
      <c r="H38" s="10" t="s">
        <v>16</v>
      </c>
      <c r="I38" s="11" t="s">
        <v>16</v>
      </c>
      <c r="J38" s="12"/>
    </row>
    <row r="39" spans="1:10" ht="60" customHeight="1" x14ac:dyDescent="0.3">
      <c r="A39" s="6" t="s">
        <v>162</v>
      </c>
      <c r="B39" s="6" t="s">
        <v>17</v>
      </c>
      <c r="C39" s="6" t="s">
        <v>16</v>
      </c>
      <c r="D39" s="7" t="s">
        <v>163</v>
      </c>
      <c r="E39" s="8" t="s">
        <v>164</v>
      </c>
      <c r="F39" s="6" t="s">
        <v>165</v>
      </c>
      <c r="G39" s="9" t="str">
        <f t="shared" si="0"/>
        <v>???</v>
      </c>
      <c r="H39" s="10" t="s">
        <v>16</v>
      </c>
      <c r="I39" s="11" t="s">
        <v>16</v>
      </c>
      <c r="J39" s="12"/>
    </row>
    <row r="40" spans="1:10" ht="60" customHeight="1" x14ac:dyDescent="0.3">
      <c r="A40" s="6" t="s">
        <v>166</v>
      </c>
      <c r="B40" s="6" t="s">
        <v>10</v>
      </c>
      <c r="C40" s="6" t="s">
        <v>16</v>
      </c>
      <c r="D40" s="7" t="s">
        <v>159</v>
      </c>
      <c r="E40" s="8" t="s">
        <v>160</v>
      </c>
      <c r="F40" s="6" t="s">
        <v>167</v>
      </c>
      <c r="G40" s="9" t="str">
        <f t="shared" si="0"/>
        <v>???</v>
      </c>
      <c r="H40" s="10" t="s">
        <v>16</v>
      </c>
      <c r="I40" s="11" t="s">
        <v>16</v>
      </c>
      <c r="J40" s="12"/>
    </row>
    <row r="41" spans="1:10" ht="60" customHeight="1" x14ac:dyDescent="0.3">
      <c r="A41" s="6" t="s">
        <v>168</v>
      </c>
      <c r="B41" s="6" t="s">
        <v>10</v>
      </c>
      <c r="C41" s="6" t="s">
        <v>16</v>
      </c>
      <c r="D41" s="7" t="s">
        <v>169</v>
      </c>
      <c r="E41" s="8" t="s">
        <v>170</v>
      </c>
      <c r="F41" s="6" t="s">
        <v>171</v>
      </c>
      <c r="G41" s="9" t="str">
        <f t="shared" si="0"/>
        <v>???</v>
      </c>
      <c r="H41" s="10" t="s">
        <v>16</v>
      </c>
      <c r="I41" s="11" t="s">
        <v>16</v>
      </c>
      <c r="J41" s="12"/>
    </row>
    <row r="42" spans="1:10" ht="60" customHeight="1" x14ac:dyDescent="0.3">
      <c r="A42" s="6" t="s">
        <v>172</v>
      </c>
      <c r="B42" s="6" t="s">
        <v>10</v>
      </c>
      <c r="C42" s="6" t="s">
        <v>16</v>
      </c>
      <c r="D42" s="7" t="s">
        <v>173</v>
      </c>
      <c r="E42" s="8" t="s">
        <v>174</v>
      </c>
      <c r="F42" s="6" t="s">
        <v>175</v>
      </c>
      <c r="G42" s="9" t="str">
        <f t="shared" si="0"/>
        <v>???</v>
      </c>
      <c r="H42" s="10" t="s">
        <v>16</v>
      </c>
      <c r="I42" s="11" t="s">
        <v>16</v>
      </c>
      <c r="J42" s="12"/>
    </row>
    <row r="43" spans="1:10" ht="60" customHeight="1" x14ac:dyDescent="0.3">
      <c r="A43" s="6" t="s">
        <v>176</v>
      </c>
      <c r="B43" s="6" t="s">
        <v>10</v>
      </c>
      <c r="C43" s="6" t="s">
        <v>16</v>
      </c>
      <c r="D43" s="7" t="s">
        <v>173</v>
      </c>
      <c r="E43" s="8" t="s">
        <v>177</v>
      </c>
      <c r="F43" s="6" t="s">
        <v>178</v>
      </c>
      <c r="G43" s="9" t="str">
        <f t="shared" si="0"/>
        <v>???</v>
      </c>
      <c r="H43" s="10" t="s">
        <v>16</v>
      </c>
      <c r="I43" s="11" t="s">
        <v>16</v>
      </c>
      <c r="J43" s="12"/>
    </row>
    <row r="44" spans="1:10" ht="60" customHeight="1" x14ac:dyDescent="0.3">
      <c r="A44" s="6" t="s">
        <v>179</v>
      </c>
      <c r="B44" s="6" t="s">
        <v>23</v>
      </c>
      <c r="C44" s="6" t="s">
        <v>16</v>
      </c>
      <c r="D44" s="7" t="s">
        <v>180</v>
      </c>
      <c r="E44" s="8" t="s">
        <v>181</v>
      </c>
      <c r="F44" s="6" t="s">
        <v>182</v>
      </c>
      <c r="G44" s="9" t="str">
        <f t="shared" si="0"/>
        <v>???</v>
      </c>
      <c r="H44" s="10" t="s">
        <v>16</v>
      </c>
      <c r="I44" s="11" t="s">
        <v>16</v>
      </c>
      <c r="J44" s="12"/>
    </row>
    <row r="45" spans="1:10" ht="60" customHeight="1" x14ac:dyDescent="0.3">
      <c r="A45" s="6" t="s">
        <v>183</v>
      </c>
      <c r="B45" s="6" t="s">
        <v>18</v>
      </c>
      <c r="C45" s="6" t="s">
        <v>78</v>
      </c>
      <c r="D45" s="7" t="s">
        <v>184</v>
      </c>
      <c r="E45" s="8" t="s">
        <v>185</v>
      </c>
      <c r="F45" s="6" t="s">
        <v>186</v>
      </c>
      <c r="G45" s="9" t="str">
        <f t="shared" si="0"/>
        <v>so?</v>
      </c>
      <c r="H45" s="10" t="s">
        <v>16</v>
      </c>
      <c r="I45" s="11" t="s">
        <v>16</v>
      </c>
      <c r="J45" s="12"/>
    </row>
    <row r="46" spans="1:10" ht="60" customHeight="1" x14ac:dyDescent="0.3">
      <c r="A46" s="6" t="s">
        <v>187</v>
      </c>
      <c r="B46" s="6" t="s">
        <v>17</v>
      </c>
      <c r="C46" s="6" t="s">
        <v>16</v>
      </c>
      <c r="D46" s="7" t="s">
        <v>188</v>
      </c>
      <c r="E46" s="8" t="s">
        <v>189</v>
      </c>
      <c r="F46" s="6" t="s">
        <v>190</v>
      </c>
      <c r="G46" s="9" t="str">
        <f t="shared" si="0"/>
        <v>???</v>
      </c>
      <c r="H46" s="10" t="s">
        <v>16</v>
      </c>
      <c r="I46" s="11" t="s">
        <v>16</v>
      </c>
      <c r="J4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08"/>
  <sheetViews>
    <sheetView tabSelected="1" workbookViewId="0">
      <pane xSplit="1" ySplit="1" topLeftCell="B48" activePane="bottomRight" state="frozen"/>
      <selection pane="topRight" activeCell="B1" sqref="B1"/>
      <selection pane="bottomLeft" activeCell="A2" sqref="A2"/>
      <selection pane="bottomRight" activeCell="L60" sqref="L60"/>
    </sheetView>
  </sheetViews>
  <sheetFormatPr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191</v>
      </c>
      <c r="B1" s="13" t="s">
        <v>192</v>
      </c>
      <c r="C1" s="13" t="s">
        <v>193</v>
      </c>
      <c r="D1" s="13" t="s">
        <v>194</v>
      </c>
      <c r="E1" s="14" t="s">
        <v>195</v>
      </c>
      <c r="F1" s="15" t="s">
        <v>196</v>
      </c>
      <c r="G1" s="16" t="s">
        <v>197</v>
      </c>
      <c r="H1" s="17" t="s">
        <v>198</v>
      </c>
      <c r="I1" s="18" t="s">
        <v>199</v>
      </c>
      <c r="J1" s="18" t="s">
        <v>200</v>
      </c>
      <c r="K1" s="18" t="s">
        <v>201</v>
      </c>
      <c r="L1" s="19" t="s">
        <v>9</v>
      </c>
    </row>
    <row r="2" spans="1:12" x14ac:dyDescent="0.3">
      <c r="A2" t="s">
        <v>202</v>
      </c>
    </row>
    <row r="3" spans="1:12" x14ac:dyDescent="0.3">
      <c r="A3" t="s">
        <v>203</v>
      </c>
      <c r="E3" s="20" t="str">
        <f t="shared" ref="E3:E26" si="0">IF(D3="?OLD","!!!","")</f>
        <v/>
      </c>
      <c r="F3" s="21" t="str">
        <f>IF(OR(E3="",E3="!!!"),"",IF(NOT(ISNA(VLOOKUP(E3,E$1:E2,1,FALSE()))),"OLD",IF(AND(E3&lt;&gt;"",E3&lt;&gt;"!!!"),"NEW","")))</f>
        <v/>
      </c>
      <c r="G3" s="22" t="str">
        <f>IF(OR(E3="",E3="!!!"),"",IF(OR(J3=0,AND(J3=1,K3=1),AND(J3=1,I3="SBJ"),AND(J3=1,I3=0)),"?IN_FOCUS",IF(J3&lt;=2,"?ACTIVATED",IF(J3&lt;&gt;"","?FAMILIAR",IF(F3="NEW",IF(ISNA(VLOOKUP(E3,#REF!,1,FALSE())),"?TYPE_IDENTIFIABLE","?REFERENTIAL"),"_")))))</f>
        <v/>
      </c>
      <c r="H3" s="23" t="str">
        <f t="shared" ref="H3:H26" ca="1" si="1">IF(J3&lt;&gt;1,"",IF(I3="SBJ","CB","?"))</f>
        <v/>
      </c>
      <c r="I3" s="24" t="str">
        <f>IF(OR(E3="",E3="!!!",F3="NEW"),"",INDEX(B2:B$2,-1+SUMPRODUCT(MAX(ROW(E2:E$2)*(E3=E2:E$2)))))</f>
        <v/>
      </c>
      <c r="J3" s="24" t="str">
        <f ca="1">IF(OR(E3="",E3="!!!",F3="NEW"),"",COUNTBLANK(OFFSET(A$1,,,SUMPRODUCT(MAX(ROW(E$2:E3)*(E3=E$2:E3)))))-COUNTBLANK(OFFSET(A$1,,,SUMPRODUCT(MAX(ROW(E$1:E2)*(E2=E$1:E2))))))</f>
        <v/>
      </c>
      <c r="K3" s="24" t="str">
        <f>IF(OR(E3="",E3="!!!",F3="NEW"),"",INDEX(J$1:J2,SUMPRODUCT(MAX(ROW(E$1:E2)*(E3=E$1:E2)))))</f>
        <v/>
      </c>
      <c r="L3" s="25"/>
    </row>
    <row r="4" spans="1:12" x14ac:dyDescent="0.3">
      <c r="A4" t="s">
        <v>204</v>
      </c>
      <c r="B4" s="26" t="s">
        <v>205</v>
      </c>
      <c r="C4" s="26" t="s">
        <v>206</v>
      </c>
      <c r="E4" s="20" t="str">
        <f t="shared" si="0"/>
        <v/>
      </c>
      <c r="F4" s="21" t="str">
        <f>IF(OR(E4="",E4="!!!"),"",IF(NOT(ISNA(VLOOKUP(E4,E$1:E3,1,FALSE()))),"OLD",IF(AND(E4&lt;&gt;"",E4&lt;&gt;"!!!"),"NEW","")))</f>
        <v/>
      </c>
      <c r="G4" s="22" t="str">
        <f>IF(OR(E4="",E4="!!!"),"",IF(OR(J4=0,AND(J4=1,K4=1),AND(J4=1,I4="SBJ"),AND(J4=1,I4=0)),"?IN_FOCUS",IF(J4&lt;=2,"?ACTIVATED",IF(J4&lt;&gt;"","?FAMILIAR",IF(F4="NEW",IF(ISNA(VLOOKUP(E4,#REF!,1,FALSE())),"?TYPE_IDENTIFIABLE","?REFERENTIAL"),"_")))))</f>
        <v/>
      </c>
      <c r="H4" s="23" t="str">
        <f t="shared" ca="1" si="1"/>
        <v/>
      </c>
      <c r="I4" s="24" t="str">
        <f>IF(OR(E4="",E4="!!!",F4="NEW"),"",INDEX(B$2:B3,-1+SUMPRODUCT(MAX(ROW(E$2:E3)*(E4=E$2:E3)))))</f>
        <v/>
      </c>
      <c r="J4" s="24" t="str">
        <f ca="1">IF(OR(E4="",E4="!!!",F4="NEW"),"",COUNTBLANK(OFFSET(A$1,,,SUMPRODUCT(MAX(ROW(E$2:E4)*(E4=E$2:E4)))))-COUNTBLANK(OFFSET(A$1,,,SUMPRODUCT(MAX(ROW(E$1:E3)*(E2=E$1:E3))))))</f>
        <v/>
      </c>
      <c r="K4" s="24" t="str">
        <f>IF(OR(E4="",E4="!!!",F4="NEW"),"",INDEX(J$1:J3,SUMPRODUCT(MAX(ROW(E$1:E3)*(E4=E$1:E3)))))</f>
        <v/>
      </c>
      <c r="L4" s="25"/>
    </row>
    <row r="5" spans="1:12" x14ac:dyDescent="0.3">
      <c r="A5" t="s">
        <v>207</v>
      </c>
      <c r="E5" s="20" t="str">
        <f t="shared" si="0"/>
        <v/>
      </c>
      <c r="F5" s="21" t="str">
        <f>IF(OR(E5="",E5="!!!"),"",IF(NOT(ISNA(VLOOKUP(E5,E$1:E4,1,FALSE()))),"OLD",IF(AND(E5&lt;&gt;"",E5&lt;&gt;"!!!"),"NEW","")))</f>
        <v/>
      </c>
      <c r="G5" s="22" t="str">
        <f>IF(OR(E5="",E5="!!!"),"",IF(OR(J5=0,AND(J5=1,K5=1),AND(J5=1,I5="SBJ"),AND(J5=1,I5=0)),"?IN_FOCUS",IF(J5&lt;=2,"?ACTIVATED",IF(J5&lt;&gt;"","?FAMILIAR",IF(F5="NEW",IF(ISNA(VLOOKUP(E5,#REF!,1,FALSE())),"?TYPE_IDENTIFIABLE","?REFERENTIAL"),"_")))))</f>
        <v/>
      </c>
      <c r="H5" s="23" t="str">
        <f t="shared" ca="1" si="1"/>
        <v/>
      </c>
      <c r="I5" s="24" t="str">
        <f>IF(OR(E5="",E5="!!!",F5="NEW"),"",INDEX(B$2:B4,-1+SUMPRODUCT(MAX(ROW(E$2:E4)*(E5=E$2:E4)))))</f>
        <v/>
      </c>
      <c r="J5" s="24" t="str">
        <f ca="1">IF(OR(E5="",E5="!!!",F5="NEW"),"",COUNTBLANK(OFFSET(A$1,,,SUMPRODUCT(MAX(ROW(E$2:E5)*(E5=E$2:E5)))))-COUNTBLANK(OFFSET(A$1,,,SUMPRODUCT(MAX(ROW(E$1:E4)*(E2=E$1:E4))))))</f>
        <v/>
      </c>
      <c r="K5" s="24" t="str">
        <f>IF(OR(E5="",E5="!!!",F5="NEW"),"",INDEX(J$1:J4,SUMPRODUCT(MAX(ROW(E$1:E4)*(E5=E$1:E4)))))</f>
        <v/>
      </c>
      <c r="L5" s="25"/>
    </row>
    <row r="6" spans="1:12" x14ac:dyDescent="0.3">
      <c r="A6" t="s">
        <v>208</v>
      </c>
      <c r="E6" s="20" t="s">
        <v>667</v>
      </c>
      <c r="F6" s="21" t="str">
        <f>IF(OR(E6="",E6="!!!"),"",IF(NOT(ISNA(VLOOKUP(E6,E$1:E5,1,FALSE()))),"OLD",IF(AND(E6&lt;&gt;"",E6&lt;&gt;"!!!"),"NEW","")))</f>
        <v>NEW</v>
      </c>
      <c r="G6" s="22" t="s">
        <v>657</v>
      </c>
      <c r="H6" s="23" t="str">
        <f t="shared" ca="1" si="1"/>
        <v/>
      </c>
      <c r="I6" s="24" t="str">
        <f>IF(OR(E6="",E6="!!!",F6="NEW"),"",INDEX(B$2:B5,-1+SUMPRODUCT(MAX(ROW(E$2:E5)*(E6=E$2:E5)))))</f>
        <v/>
      </c>
      <c r="J6" s="24" t="str">
        <f ca="1">IF(OR(E6="",E6="!!!",F6="NEW"),"",COUNTBLANK(OFFSET(A$1,,,SUMPRODUCT(MAX(ROW(E$2:E6)*(E6=E$2:E6)))))-COUNTBLANK(OFFSET(A$1,,,SUMPRODUCT(MAX(ROW(E$1:E5)*(E2=E$1:E5))))))</f>
        <v/>
      </c>
      <c r="K6" s="24" t="str">
        <f>IF(OR(E6="",E6="!!!",F6="NEW"),"",INDEX(J$1:J5,SUMPRODUCT(MAX(ROW(E$1:E5)*(E6=E$1:E5)))))</f>
        <v/>
      </c>
      <c r="L6" s="25" t="s">
        <v>737</v>
      </c>
    </row>
    <row r="7" spans="1:12" x14ac:dyDescent="0.3">
      <c r="A7" t="s">
        <v>209</v>
      </c>
      <c r="E7" s="20" t="str">
        <f t="shared" si="0"/>
        <v/>
      </c>
      <c r="F7" s="21" t="str">
        <f>IF(OR(E7="",E7="!!!"),"",IF(NOT(ISNA(VLOOKUP(E7,E$1:E6,1,FALSE()))),"OLD",IF(AND(E7&lt;&gt;"",E7&lt;&gt;"!!!"),"NEW","")))</f>
        <v/>
      </c>
      <c r="G7" s="22" t="str">
        <f>IF(OR(E7="",E7="!!!"),"",IF(OR(J7=0,AND(J7=1,K7=1),AND(J7=1,I7="SBJ"),AND(J7=1,I7=0)),"?IN_FOCUS",IF(J7&lt;=2,"?ACTIVATED",IF(J7&lt;&gt;"","?FAMILIAR",IF(F7="NEW",IF(ISNA(VLOOKUP(E7,#REF!,1,FALSE())),"?TYPE_IDENTIFIABLE","?REFERENTIAL"),"_")))))</f>
        <v/>
      </c>
      <c r="H7" s="23" t="str">
        <f t="shared" ca="1" si="1"/>
        <v/>
      </c>
      <c r="I7" s="24" t="str">
        <f>IF(OR(E7="",E7="!!!",F7="NEW"),"",INDEX(B$2:B6,-1+SUMPRODUCT(MAX(ROW(E$2:E6)*(E7=E$2:E6)))))</f>
        <v/>
      </c>
      <c r="J7" s="24" t="str">
        <f ca="1">IF(OR(E7="",E7="!!!",F7="NEW"),"",COUNTBLANK(OFFSET(A$1,,,SUMPRODUCT(MAX(ROW(E$2:E7)*(E7=E$2:E7)))))-COUNTBLANK(OFFSET(A$1,,,SUMPRODUCT(MAX(ROW(E$1:E6)*(E2=E$1:E6))))))</f>
        <v/>
      </c>
      <c r="K7" s="24" t="str">
        <f>IF(OR(E7="",E7="!!!",F7="NEW"),"",INDEX(J$1:J6,SUMPRODUCT(MAX(ROW(E$1:E6)*(E7=E$1:E6)))))</f>
        <v/>
      </c>
      <c r="L7" s="25"/>
    </row>
    <row r="8" spans="1:12" x14ac:dyDescent="0.3">
      <c r="A8" t="s">
        <v>210</v>
      </c>
      <c r="E8" s="20" t="s">
        <v>736</v>
      </c>
      <c r="F8" s="21" t="str">
        <f>IF(OR(E8="",E8="!!!"),"",IF(NOT(ISNA(VLOOKUP(E8,E$1:E7,1,FALSE()))),"OLD",IF(AND(E8&lt;&gt;"",E8&lt;&gt;"!!!"),"NEW","")))</f>
        <v>NEW</v>
      </c>
      <c r="G8" s="22" t="s">
        <v>657</v>
      </c>
      <c r="H8" s="23" t="str">
        <f t="shared" ca="1" si="1"/>
        <v/>
      </c>
      <c r="I8" s="24" t="str">
        <f>IF(OR(E8="",E8="!!!",F8="NEW"),"",INDEX(B$2:B7,-1+SUMPRODUCT(MAX(ROW(E$2:E7)*(E8=E$2:E7)))))</f>
        <v/>
      </c>
      <c r="J8" s="24" t="str">
        <f ca="1">IF(OR(E8="",E8="!!!",F8="NEW"),"",COUNTBLANK(OFFSET(A$1,,,SUMPRODUCT(MAX(ROW(E$2:E8)*(E8=E$2:E8)))))-COUNTBLANK(OFFSET(A$1,,,SUMPRODUCT(MAX(ROW(E$1:E7)*(E2=E$1:E7))))))</f>
        <v/>
      </c>
      <c r="K8" s="24" t="str">
        <f>IF(OR(E8="",E8="!!!",F8="NEW"),"",INDEX(J$1:J7,SUMPRODUCT(MAX(ROW(E$1:E7)*(E8=E$1:E7)))))</f>
        <v/>
      </c>
      <c r="L8" s="25" t="s">
        <v>737</v>
      </c>
    </row>
    <row r="9" spans="1:12" x14ac:dyDescent="0.3">
      <c r="A9" t="s">
        <v>211</v>
      </c>
      <c r="E9" s="20" t="s">
        <v>647</v>
      </c>
      <c r="F9" s="21" t="str">
        <f>IF(OR(E9="",E9="!!!"),"",IF(NOT(ISNA(VLOOKUP(E9,E$1:E8,1,FALSE()))),"OLD",IF(AND(E9&lt;&gt;"",E9&lt;&gt;"!!!"),"NEW","")))</f>
        <v>NEW</v>
      </c>
      <c r="G9" s="22" t="str">
        <f ca="1">IF(OR(E9="",E9="!!!"),"",IF(OR(J9=0,AND(J9=1,K9=1),AND(J9=1,I9="SBJ"),AND(J9=1,I9=0)),"?IN_FOCUS",IF(J9&lt;=2,"?ACTIVATED",IF(J9&lt;&gt;"","?FAMILIAR",IF(F9="NEW",IF(ISNA(VLOOKUP(E9,#REF!,1,FALSE())),"?TYPE_IDENTIFIABLE","?REFERENTIAL"),"_")))))</f>
        <v>?REFERENTIAL</v>
      </c>
      <c r="H9" s="23" t="str">
        <f t="shared" ca="1" si="1"/>
        <v/>
      </c>
      <c r="I9" s="24" t="str">
        <f>IF(OR(E9="",E9="!!!",F9="NEW"),"",INDEX(B$2:B8,-1+SUMPRODUCT(MAX(ROW(E$2:E8)*(E9=E$2:E8)))))</f>
        <v/>
      </c>
      <c r="J9" s="24" t="str">
        <f ca="1">IF(OR(E9="",E9="!!!",F9="NEW"),"",COUNTBLANK(OFFSET(A$1,,,SUMPRODUCT(MAX(ROW(E$2:E9)*(E9=E$2:E9)))))-COUNTBLANK(OFFSET(A$1,,,SUMPRODUCT(MAX(ROW(E$1:E8)*(E2=E$1:E8))))))</f>
        <v/>
      </c>
      <c r="K9" s="24" t="str">
        <f>IF(OR(E9="",E9="!!!",F9="NEW"),"",INDEX(J$1:J8,SUMPRODUCT(MAX(ROW(E$1:E8)*(E9=E$1:E8)))))</f>
        <v/>
      </c>
      <c r="L9" s="25"/>
    </row>
    <row r="10" spans="1:12" x14ac:dyDescent="0.3">
      <c r="A10" t="s">
        <v>212</v>
      </c>
      <c r="B10" s="26" t="s">
        <v>213</v>
      </c>
      <c r="C10" s="26" t="s">
        <v>214</v>
      </c>
      <c r="D10" s="26" t="s">
        <v>215</v>
      </c>
      <c r="E10" s="20" t="s">
        <v>647</v>
      </c>
      <c r="F10" s="21" t="str">
        <f>IF(OR(E10="",E10="!!!"),"",IF(NOT(ISNA(VLOOKUP(E10,E$1:E9,1,FALSE()))),"OLD",IF(AND(E10&lt;&gt;"",E10&lt;&gt;"!!!"),"NEW","")))</f>
        <v>OLD</v>
      </c>
      <c r="G10" s="22" t="str">
        <f ca="1">IF(OR(E10="",E10="!!!"),"",IF(OR(J10=0,AND(J10=1,K10=1),AND(J10=1,I10="SBJ"),AND(J10=1,I10=0)),"?IN_FOCUS",IF(J10&lt;=2,"?ACTIVATED",IF(J10&lt;&gt;"","?FAMILIAR",IF(F10="NEW",IF(ISNA(VLOOKUP(E10,#REF!,1,FALSE())),"?TYPE_IDENTIFIABLE","?REFERENTIAL"),"_")))))</f>
        <v>?IN_FOCUS</v>
      </c>
      <c r="H10" s="23" t="str">
        <f t="shared" ca="1" si="1"/>
        <v/>
      </c>
      <c r="I10" s="24">
        <f>IF(OR(E10="",E10="!!!",F10="NEW"),"",INDEX(B$2:B9,-1+SUMPRODUCT(MAX(ROW(E$2:E9)*(E10=E$2:E9)))))</f>
        <v>0</v>
      </c>
      <c r="J10" s="24">
        <f ca="1">IF(OR(E10="",E10="!!!",F10="NEW"),"",COUNTBLANK(OFFSET(A$1,,,SUMPRODUCT(MAX(ROW(E$2:E10)*(E10=E$2:E10)))))-COUNTBLANK(OFFSET(A$1,,,SUMPRODUCT(MAX(ROW(E$1:E9)*(E2=E$1:E9))))))</f>
        <v>0</v>
      </c>
      <c r="K10" s="24" t="str">
        <f ca="1">IF(OR(E10="",E10="!!!",F10="NEW"),"",INDEX(J$1:J9,SUMPRODUCT(MAX(ROW(E$1:E9)*(E10=E$1:E9)))))</f>
        <v/>
      </c>
      <c r="L10" s="25"/>
    </row>
    <row r="11" spans="1:12" x14ac:dyDescent="0.3">
      <c r="A11" t="s">
        <v>216</v>
      </c>
      <c r="E11" s="20" t="str">
        <f t="shared" si="0"/>
        <v/>
      </c>
      <c r="F11" s="21" t="str">
        <f>IF(OR(E11="",E11="!!!"),"",IF(NOT(ISNA(VLOOKUP(E11,E$1:E10,1,FALSE()))),"OLD",IF(AND(E11&lt;&gt;"",E11&lt;&gt;"!!!"),"NEW","")))</f>
        <v/>
      </c>
      <c r="G11" s="22" t="str">
        <f>IF(OR(E11="",E11="!!!"),"",IF(OR(J11=0,AND(J11=1,K11=1),AND(J11=1,I11="SBJ"),AND(J11=1,I11=0)),"?IN_FOCUS",IF(J11&lt;=2,"?ACTIVATED",IF(J11&lt;&gt;"","?FAMILIAR",IF(F11="NEW",IF(ISNA(VLOOKUP(E11,#REF!,1,FALSE())),"?TYPE_IDENTIFIABLE","?REFERENTIAL"),"_")))))</f>
        <v/>
      </c>
      <c r="H11" s="23" t="str">
        <f t="shared" ca="1" si="1"/>
        <v/>
      </c>
      <c r="I11" s="24" t="str">
        <f>IF(OR(E11="",E11="!!!",F11="NEW"),"",INDEX(B$2:B10,-1+SUMPRODUCT(MAX(ROW(E$2:E10)*(E11=E$2:E10)))))</f>
        <v/>
      </c>
      <c r="J11" s="24" t="str">
        <f ca="1">IF(OR(E11="",E11="!!!",F11="NEW"),"",COUNTBLANK(OFFSET(A$1,,,SUMPRODUCT(MAX(ROW(E$2:E11)*(E11=E$2:E11)))))-COUNTBLANK(OFFSET(A$1,,,SUMPRODUCT(MAX(ROW(E$1:E10)*(E2=E$1:E10))))))</f>
        <v/>
      </c>
      <c r="K11" s="24" t="str">
        <f>IF(OR(E11="",E11="!!!",F11="NEW"),"",INDEX(J$1:J10,SUMPRODUCT(MAX(ROW(E$1:E10)*(E11=E$1:E10)))))</f>
        <v/>
      </c>
      <c r="L11" s="25"/>
    </row>
    <row r="12" spans="1:12" x14ac:dyDescent="0.3">
      <c r="A12" t="s">
        <v>217</v>
      </c>
      <c r="E12" s="20" t="str">
        <f t="shared" si="0"/>
        <v/>
      </c>
      <c r="F12" s="21" t="str">
        <f>IF(OR(E12="",E12="!!!"),"",IF(NOT(ISNA(VLOOKUP(E12,E$1:E11,1,FALSE()))),"OLD",IF(AND(E12&lt;&gt;"",E12&lt;&gt;"!!!"),"NEW","")))</f>
        <v/>
      </c>
      <c r="G12" s="22" t="str">
        <f>IF(OR(E12="",E12="!!!"),"",IF(OR(J12=0,AND(J12=1,K12=1),AND(J12=1,I12="SBJ"),AND(J12=1,I12=0)),"?IN_FOCUS",IF(J12&lt;=2,"?ACTIVATED",IF(J12&lt;&gt;"","?FAMILIAR",IF(F12="NEW",IF(ISNA(VLOOKUP(E12,#REF!,1,FALSE())),"?TYPE_IDENTIFIABLE","?REFERENTIAL"),"_")))))</f>
        <v/>
      </c>
      <c r="H12" s="23" t="str">
        <f t="shared" ca="1" si="1"/>
        <v/>
      </c>
      <c r="I12" s="24" t="str">
        <f>IF(OR(E12="",E12="!!!",F12="NEW"),"",INDEX(B$2:B11,-1+SUMPRODUCT(MAX(ROW(E$2:E11)*(E12=E$2:E11)))))</f>
        <v/>
      </c>
      <c r="J12" s="24" t="str">
        <f ca="1">IF(OR(E12="",E12="!!!",F12="NEW"),"",COUNTBLANK(OFFSET(A$1,,,SUMPRODUCT(MAX(ROW(E$2:E12)*(E12=E$2:E12)))))-COUNTBLANK(OFFSET(A$1,,,SUMPRODUCT(MAX(ROW(E$1:E11)*(E2=E$1:E11))))))</f>
        <v/>
      </c>
      <c r="K12" s="24" t="str">
        <f>IF(OR(E12="",E12="!!!",F12="NEW"),"",INDEX(J$1:J11,SUMPRODUCT(MAX(ROW(E$1:E11)*(E12=E$1:E11)))))</f>
        <v/>
      </c>
      <c r="L12" s="25"/>
    </row>
    <row r="13" spans="1:12" x14ac:dyDescent="0.3">
      <c r="A13" t="s">
        <v>218</v>
      </c>
      <c r="E13" s="20" t="str">
        <f t="shared" si="0"/>
        <v/>
      </c>
      <c r="F13" s="21" t="str">
        <f>IF(OR(E13="",E13="!!!"),"",IF(NOT(ISNA(VLOOKUP(E13,E$1:E12,1,FALSE()))),"OLD",IF(AND(E13&lt;&gt;"",E13&lt;&gt;"!!!"),"NEW","")))</f>
        <v/>
      </c>
      <c r="G13" s="22" t="str">
        <f>IF(OR(E13="",E13="!!!"),"",IF(OR(J13=0,AND(J13=1,K13=1),AND(J13=1,I13="SBJ"),AND(J13=1,I13=0)),"?IN_FOCUS",IF(J13&lt;=2,"?ACTIVATED",IF(J13&lt;&gt;"","?FAMILIAR",IF(F13="NEW",IF(ISNA(VLOOKUP(E13,#REF!,1,FALSE())),"?TYPE_IDENTIFIABLE","?REFERENTIAL"),"_")))))</f>
        <v/>
      </c>
      <c r="H13" s="23" t="str">
        <f t="shared" ca="1" si="1"/>
        <v/>
      </c>
      <c r="I13" s="24" t="str">
        <f>IF(OR(E13="",E13="!!!",F13="NEW"),"",INDEX(B$2:B12,-1+SUMPRODUCT(MAX(ROW(E$2:E12)*(E13=E$2:E12)))))</f>
        <v/>
      </c>
      <c r="J13" s="24" t="str">
        <f ca="1">IF(OR(E13="",E13="!!!",F13="NEW"),"",COUNTBLANK(OFFSET(A$1,,,SUMPRODUCT(MAX(ROW(E$2:E13)*(E13=E$2:E13)))))-COUNTBLANK(OFFSET(A$1,,,SUMPRODUCT(MAX(ROW(E$1:E12)*(E2=E$1:E12))))))</f>
        <v/>
      </c>
      <c r="K13" s="24" t="str">
        <f>IF(OR(E13="",E13="!!!",F13="NEW"),"",INDEX(J$1:J12,SUMPRODUCT(MAX(ROW(E$1:E12)*(E13=E$1:E12)))))</f>
        <v/>
      </c>
      <c r="L13" s="25"/>
    </row>
    <row r="14" spans="1:12" x14ac:dyDescent="0.3">
      <c r="A14" t="s">
        <v>219</v>
      </c>
      <c r="E14" s="20" t="str">
        <f t="shared" si="0"/>
        <v/>
      </c>
      <c r="F14" s="21" t="str">
        <f>IF(OR(E14="",E14="!!!"),"",IF(NOT(ISNA(VLOOKUP(E14,E$1:E13,1,FALSE()))),"OLD",IF(AND(E14&lt;&gt;"",E14&lt;&gt;"!!!"),"NEW","")))</f>
        <v/>
      </c>
      <c r="G14" s="22" t="str">
        <f>IF(OR(E14="",E14="!!!"),"",IF(OR(J14=0,AND(J14=1,K14=1),AND(J14=1,I14="SBJ"),AND(J14=1,I14=0)),"?IN_FOCUS",IF(J14&lt;=2,"?ACTIVATED",IF(J14&lt;&gt;"","?FAMILIAR",IF(F14="NEW",IF(ISNA(VLOOKUP(E14,#REF!,1,FALSE())),"?TYPE_IDENTIFIABLE","?REFERENTIAL"),"_")))))</f>
        <v/>
      </c>
      <c r="H14" s="23" t="str">
        <f t="shared" ca="1" si="1"/>
        <v/>
      </c>
      <c r="I14" s="24" t="str">
        <f>IF(OR(E14="",E14="!!!",F14="NEW"),"",INDEX(B$2:B13,-1+SUMPRODUCT(MAX(ROW(E$2:E13)*(E14=E$2:E13)))))</f>
        <v/>
      </c>
      <c r="J14" s="24" t="str">
        <f ca="1">IF(OR(E14="",E14="!!!",F14="NEW"),"",COUNTBLANK(OFFSET(A$1,,,SUMPRODUCT(MAX(ROW(E$2:E14)*(E14=E$2:E14)))))-COUNTBLANK(OFFSET(A$1,,,SUMPRODUCT(MAX(ROW(E$1:E13)*(E2=E$1:E13))))))</f>
        <v/>
      </c>
      <c r="K14" s="24" t="str">
        <f>IF(OR(E14="",E14="!!!",F14="NEW"),"",INDEX(J$1:J13,SUMPRODUCT(MAX(ROW(E$1:E13)*(E14=E$1:E13)))))</f>
        <v/>
      </c>
      <c r="L14" s="25"/>
    </row>
    <row r="15" spans="1:12" x14ac:dyDescent="0.3">
      <c r="A15" t="s">
        <v>220</v>
      </c>
      <c r="E15" s="20" t="str">
        <f t="shared" si="0"/>
        <v/>
      </c>
      <c r="F15" s="21" t="str">
        <f>IF(OR(E15="",E15="!!!"),"",IF(NOT(ISNA(VLOOKUP(E15,E$1:E14,1,FALSE()))),"OLD",IF(AND(E15&lt;&gt;"",E15&lt;&gt;"!!!"),"NEW","")))</f>
        <v/>
      </c>
      <c r="G15" s="22" t="str">
        <f>IF(OR(E15="",E15="!!!"),"",IF(OR(J15=0,AND(J15=1,K15=1),AND(J15=1,I15="SBJ"),AND(J15=1,I15=0)),"?IN_FOCUS",IF(J15&lt;=2,"?ACTIVATED",IF(J15&lt;&gt;"","?FAMILIAR",IF(F15="NEW",IF(ISNA(VLOOKUP(E15,#REF!,1,FALSE())),"?TYPE_IDENTIFIABLE","?REFERENTIAL"),"_")))))</f>
        <v/>
      </c>
      <c r="H15" s="23" t="str">
        <f t="shared" ca="1" si="1"/>
        <v/>
      </c>
      <c r="I15" s="24" t="str">
        <f>IF(OR(E15="",E15="!!!",F15="NEW"),"",INDEX(B$2:B14,-1+SUMPRODUCT(MAX(ROW(E$2:E14)*(E15=E$2:E14)))))</f>
        <v/>
      </c>
      <c r="J15" s="24" t="str">
        <f ca="1">IF(OR(E15="",E15="!!!",F15="NEW"),"",COUNTBLANK(OFFSET(A$1,,,SUMPRODUCT(MAX(ROW(E$2:E15)*(E15=E$2:E15)))))-COUNTBLANK(OFFSET(A$1,,,SUMPRODUCT(MAX(ROW(E$1:E14)*(E2=E$1:E14))))))</f>
        <v/>
      </c>
      <c r="K15" s="24" t="str">
        <f>IF(OR(E15="",E15="!!!",F15="NEW"),"",INDEX(J$1:J14,SUMPRODUCT(MAX(ROW(E$1:E14)*(E15=E$1:E14)))))</f>
        <v/>
      </c>
      <c r="L15" s="25"/>
    </row>
    <row r="16" spans="1:12" x14ac:dyDescent="0.3">
      <c r="A16" t="s">
        <v>221</v>
      </c>
      <c r="B16" s="26" t="s">
        <v>205</v>
      </c>
      <c r="C16" s="26" t="s">
        <v>222</v>
      </c>
      <c r="D16" s="26" t="s">
        <v>215</v>
      </c>
      <c r="E16" s="20" t="s">
        <v>221</v>
      </c>
      <c r="F16" s="21" t="str">
        <f>IF(OR(E16="",E16="!!!"),"",IF(NOT(ISNA(VLOOKUP(E16,E$1:E15,1,FALSE()))),"OLD",IF(AND(E16&lt;&gt;"",E16&lt;&gt;"!!!"),"NEW","")))</f>
        <v>NEW</v>
      </c>
      <c r="G16" s="22" t="str">
        <f ca="1">IF(OR(E16="",E16="!!!"),"",IF(OR(J16=0,AND(J16=1,K16=1),AND(J16=1,I16="SBJ"),AND(J16=1,I16=0)),"?IN_FOCUS",IF(J16&lt;=2,"?ACTIVATED",IF(J16&lt;&gt;"","?FAMILIAR",IF(F16="NEW",IF(ISNA(VLOOKUP(E16,#REF!,1,FALSE())),"?TYPE_IDENTIFIABLE","?REFERENTIAL"),"_")))))</f>
        <v>?REFERENTIAL</v>
      </c>
      <c r="H16" s="23" t="str">
        <f t="shared" ca="1" si="1"/>
        <v/>
      </c>
      <c r="I16" s="24" t="str">
        <f>IF(OR(E16="",E16="!!!",F16="NEW"),"",INDEX(B$2:B15,-1+SUMPRODUCT(MAX(ROW(E$2:E15)*(E16=E$2:E15)))))</f>
        <v/>
      </c>
      <c r="J16" s="24" t="str">
        <f ca="1">IF(OR(E16="",E16="!!!",F16="NEW"),"",COUNTBLANK(OFFSET(A$1,,,SUMPRODUCT(MAX(ROW(E$2:E16)*(E16=E$2:E16)))))-COUNTBLANK(OFFSET(A$1,,,SUMPRODUCT(MAX(ROW(E$1:E15)*(E2=E$1:E15))))))</f>
        <v/>
      </c>
      <c r="K16" s="24" t="str">
        <f>IF(OR(E16="",E16="!!!",F16="NEW"),"",INDEX(J$1:J15,SUMPRODUCT(MAX(ROW(E$1:E15)*(E16=E$1:E15)))))</f>
        <v/>
      </c>
      <c r="L16" s="25"/>
    </row>
    <row r="17" spans="1:12" x14ac:dyDescent="0.3">
      <c r="A17" t="s">
        <v>223</v>
      </c>
      <c r="E17" s="20" t="str">
        <f t="shared" si="0"/>
        <v/>
      </c>
      <c r="F17" s="21" t="str">
        <f>IF(OR(E17="",E17="!!!"),"",IF(NOT(ISNA(VLOOKUP(E17,E$1:E16,1,FALSE()))),"OLD",IF(AND(E17&lt;&gt;"",E17&lt;&gt;"!!!"),"NEW","")))</f>
        <v/>
      </c>
      <c r="G17" s="22" t="str">
        <f>IF(OR(E17="",E17="!!!"),"",IF(OR(J17=0,AND(J17=1,K17=1),AND(J17=1,I17="SBJ"),AND(J17=1,I17=0)),"?IN_FOCUS",IF(J17&lt;=2,"?ACTIVATED",IF(J17&lt;&gt;"","?FAMILIAR",IF(F17="NEW",IF(ISNA(VLOOKUP(E17,#REF!,1,FALSE())),"?TYPE_IDENTIFIABLE","?REFERENTIAL"),"_")))))</f>
        <v/>
      </c>
      <c r="H17" s="23" t="str">
        <f t="shared" ca="1" si="1"/>
        <v/>
      </c>
      <c r="I17" s="24" t="str">
        <f>IF(OR(E17="",E17="!!!",F17="NEW"),"",INDEX(B$2:B16,-1+SUMPRODUCT(MAX(ROW(E$2:E16)*(E17=E$2:E16)))))</f>
        <v/>
      </c>
      <c r="J17" s="24" t="str">
        <f ca="1">IF(OR(E17="",E17="!!!",F17="NEW"),"",COUNTBLANK(OFFSET(A$1,,,SUMPRODUCT(MAX(ROW(E$2:E17)*(E17=E$2:E17)))))-COUNTBLANK(OFFSET(A$1,,,SUMPRODUCT(MAX(ROW(E$1:E16)*(E2=E$1:E16))))))</f>
        <v/>
      </c>
      <c r="K17" s="24" t="str">
        <f>IF(OR(E17="",E17="!!!",F17="NEW"),"",INDEX(J$1:J16,SUMPRODUCT(MAX(ROW(E$1:E16)*(E17=E$1:E16)))))</f>
        <v/>
      </c>
      <c r="L17" s="25"/>
    </row>
    <row r="18" spans="1:12" x14ac:dyDescent="0.3">
      <c r="A18" t="s">
        <v>224</v>
      </c>
      <c r="E18" s="20" t="str">
        <f t="shared" si="0"/>
        <v/>
      </c>
      <c r="F18" s="21" t="str">
        <f>IF(OR(E18="",E18="!!!"),"",IF(NOT(ISNA(VLOOKUP(E18,E$1:E17,1,FALSE()))),"OLD",IF(AND(E18&lt;&gt;"",E18&lt;&gt;"!!!"),"NEW","")))</f>
        <v/>
      </c>
      <c r="G18" s="22" t="str">
        <f>IF(OR(E18="",E18="!!!"),"",IF(OR(J18=0,AND(J18=1,K18=1),AND(J18=1,I18="SBJ"),AND(J18=1,I18=0)),"?IN_FOCUS",IF(J18&lt;=2,"?ACTIVATED",IF(J18&lt;&gt;"","?FAMILIAR",IF(F18="NEW",IF(ISNA(VLOOKUP(E18,#REF!,1,FALSE())),"?TYPE_IDENTIFIABLE","?REFERENTIAL"),"_")))))</f>
        <v/>
      </c>
      <c r="H18" s="23" t="str">
        <f t="shared" ca="1" si="1"/>
        <v/>
      </c>
      <c r="I18" s="24" t="str">
        <f>IF(OR(E18="",E18="!!!",F18="NEW"),"",INDEX(B$2:B17,-1+SUMPRODUCT(MAX(ROW(E$2:E17)*(E18=E$2:E17)))))</f>
        <v/>
      </c>
      <c r="J18" s="24" t="str">
        <f ca="1">IF(OR(E18="",E18="!!!",F18="NEW"),"",COUNTBLANK(OFFSET(A$1,,,SUMPRODUCT(MAX(ROW(E$2:E18)*(E18=E$2:E18)))))-COUNTBLANK(OFFSET(A$1,,,SUMPRODUCT(MAX(ROW(E$1:E17)*(E2=E$1:E17))))))</f>
        <v/>
      </c>
      <c r="K18" s="24" t="str">
        <f>IF(OR(E18="",E18="!!!",F18="NEW"),"",INDEX(J$1:J17,SUMPRODUCT(MAX(ROW(E$1:E17)*(E18=E$1:E17)))))</f>
        <v/>
      </c>
      <c r="L18" s="25"/>
    </row>
    <row r="19" spans="1:12" x14ac:dyDescent="0.3">
      <c r="A19" t="s">
        <v>208</v>
      </c>
      <c r="E19" s="20" t="s">
        <v>667</v>
      </c>
      <c r="F19" s="21" t="str">
        <f>IF(OR(E19="",E19="!!!"),"",IF(NOT(ISNA(VLOOKUP(E19,E$1:E18,1,FALSE()))),"OLD",IF(AND(E19&lt;&gt;"",E19&lt;&gt;"!!!"),"NEW","")))</f>
        <v>OLD</v>
      </c>
      <c r="G19" s="22" t="s">
        <v>657</v>
      </c>
      <c r="H19" s="23" t="str">
        <f t="shared" ca="1" si="1"/>
        <v/>
      </c>
      <c r="I19" s="24">
        <f>IF(OR(E19="",E19="!!!",F19="NEW"),"",INDEX(B$2:B18,-1+SUMPRODUCT(MAX(ROW(E$2:E18)*(E19=E$2:E18)))))</f>
        <v>0</v>
      </c>
      <c r="J19" s="24">
        <f ca="1">IF(OR(E19="",E19="!!!",F19="NEW"),"",COUNTBLANK(OFFSET(A$1,,,SUMPRODUCT(MAX(ROW(E$2:E19)*(E19=E$2:E19)))))-COUNTBLANK(OFFSET(A$1,,,SUMPRODUCT(MAX(ROW(E$1:E18)*(E2=E$1:E18))))))</f>
        <v>0</v>
      </c>
      <c r="K19" s="24" t="str">
        <f ca="1">IF(OR(E19="",E19="!!!",F19="NEW"),"",INDEX(J$1:J18,SUMPRODUCT(MAX(ROW(E$1:E18)*(E19=E$1:E18)))))</f>
        <v/>
      </c>
      <c r="L19" s="25" t="s">
        <v>737</v>
      </c>
    </row>
    <row r="20" spans="1:12" x14ac:dyDescent="0.3">
      <c r="A20" t="s">
        <v>209</v>
      </c>
      <c r="B20" s="26" t="s">
        <v>225</v>
      </c>
      <c r="C20" s="26" t="s">
        <v>226</v>
      </c>
      <c r="E20" s="20" t="str">
        <f t="shared" si="0"/>
        <v/>
      </c>
      <c r="F20" s="21" t="str">
        <f>IF(OR(E20="",E20="!!!"),"",IF(NOT(ISNA(VLOOKUP(E20,E$1:E19,1,FALSE()))),"OLD",IF(AND(E20&lt;&gt;"",E20&lt;&gt;"!!!"),"NEW","")))</f>
        <v/>
      </c>
      <c r="G20" s="22" t="str">
        <f>IF(OR(E20="",E20="!!!"),"",IF(OR(J20=0,AND(J20=1,K20=1),AND(J20=1,I20="SBJ"),AND(J20=1,I20=0)),"?IN_FOCUS",IF(J20&lt;=2,"?ACTIVATED",IF(J20&lt;&gt;"","?FAMILIAR",IF(F20="NEW",IF(ISNA(VLOOKUP(E20,#REF!,1,FALSE())),"?TYPE_IDENTIFIABLE","?REFERENTIAL"),"_")))))</f>
        <v/>
      </c>
      <c r="H20" s="23" t="str">
        <f t="shared" ca="1" si="1"/>
        <v/>
      </c>
      <c r="I20" s="24" t="str">
        <f>IF(OR(E20="",E20="!!!",F20="NEW"),"",INDEX(B$2:B19,-1+SUMPRODUCT(MAX(ROW(E$2:E19)*(E20=E$2:E19)))))</f>
        <v/>
      </c>
      <c r="J20" s="24" t="str">
        <f ca="1">IF(OR(E20="",E20="!!!",F20="NEW"),"",COUNTBLANK(OFFSET(A$1,,,SUMPRODUCT(MAX(ROW(E$2:E20)*(E20=E$2:E20)))))-COUNTBLANK(OFFSET(A$1,,,SUMPRODUCT(MAX(ROW(E$1:E19)*(E2=E$1:E19))))))</f>
        <v/>
      </c>
      <c r="K20" s="24" t="str">
        <f>IF(OR(E20="",E20="!!!",F20="NEW"),"",INDEX(J$1:J19,SUMPRODUCT(MAX(ROW(E$1:E19)*(E20=E$1:E19)))))</f>
        <v/>
      </c>
      <c r="L20" s="25"/>
    </row>
    <row r="21" spans="1:12" x14ac:dyDescent="0.3">
      <c r="A21" t="s">
        <v>227</v>
      </c>
      <c r="E21" s="20" t="str">
        <f t="shared" si="0"/>
        <v/>
      </c>
      <c r="F21" s="21" t="str">
        <f>IF(OR(E21="",E21="!!!"),"",IF(NOT(ISNA(VLOOKUP(E21,E$1:E20,1,FALSE()))),"OLD",IF(AND(E21&lt;&gt;"",E21&lt;&gt;"!!!"),"NEW","")))</f>
        <v/>
      </c>
      <c r="G21" s="22" t="str">
        <f>IF(OR(E21="",E21="!!!"),"",IF(OR(J21=0,AND(J21=1,K21=1),AND(J21=1,I21="SBJ"),AND(J21=1,I21=0)),"?IN_FOCUS",IF(J21&lt;=2,"?ACTIVATED",IF(J21&lt;&gt;"","?FAMILIAR",IF(F21="NEW",IF(ISNA(VLOOKUP(E21,#REF!,1,FALSE())),"?TYPE_IDENTIFIABLE","?REFERENTIAL"),"_")))))</f>
        <v/>
      </c>
      <c r="H21" s="23" t="str">
        <f t="shared" ca="1" si="1"/>
        <v/>
      </c>
      <c r="I21" s="24" t="str">
        <f>IF(OR(E21="",E21="!!!",F21="NEW"),"",INDEX(B$2:B20,-1+SUMPRODUCT(MAX(ROW(E$2:E20)*(E21=E$2:E20)))))</f>
        <v/>
      </c>
      <c r="J21" s="24" t="str">
        <f ca="1">IF(OR(E21="",E21="!!!",F21="NEW"),"",COUNTBLANK(OFFSET(A$1,,,SUMPRODUCT(MAX(ROW(E$2:E21)*(E21=E$2:E21)))))-COUNTBLANK(OFFSET(A$1,,,SUMPRODUCT(MAX(ROW(E$1:E20)*(E2=E$1:E20))))))</f>
        <v/>
      </c>
      <c r="K21" s="24" t="str">
        <f>IF(OR(E21="",E21="!!!",F21="NEW"),"",INDEX(J$1:J20,SUMPRODUCT(MAX(ROW(E$1:E20)*(E21=E$1:E20)))))</f>
        <v/>
      </c>
      <c r="L21" s="25"/>
    </row>
    <row r="22" spans="1:12" x14ac:dyDescent="0.3">
      <c r="A22" t="s">
        <v>228</v>
      </c>
      <c r="B22" s="26" t="s">
        <v>229</v>
      </c>
      <c r="C22" s="26" t="s">
        <v>230</v>
      </c>
      <c r="D22" s="26" t="s">
        <v>215</v>
      </c>
      <c r="E22" s="20" t="s">
        <v>647</v>
      </c>
      <c r="F22" s="21" t="str">
        <f>IF(OR(E22="",E22="!!!"),"",IF(NOT(ISNA(VLOOKUP(E22,E$1:E21,1,FALSE()))),"OLD",IF(AND(E22&lt;&gt;"",E22&lt;&gt;"!!!"),"NEW","")))</f>
        <v>OLD</v>
      </c>
      <c r="G22" s="22" t="str">
        <f ca="1">IF(OR(E22="",E22="!!!"),"",IF(OR(J22=0,AND(J22=1,K22=1),AND(J22=1,I22="SBJ"),AND(J22=1,I22=0)),"?IN_FOCUS",IF(J22&lt;=2,"?ACTIVATED",IF(J22&lt;&gt;"","?FAMILIAR",IF(F22="NEW",IF(ISNA(VLOOKUP(E22,#REF!,1,FALSE())),"?TYPE_IDENTIFIABLE","?REFERENTIAL"),"_")))))</f>
        <v>?IN_FOCUS</v>
      </c>
      <c r="H22" s="23" t="str">
        <f t="shared" ca="1" si="1"/>
        <v/>
      </c>
      <c r="I22" s="24" t="str">
        <f>IF(OR(E22="",E22="!!!",F22="NEW"),"",INDEX(B$2:B21,-1+SUMPRODUCT(MAX(ROW(E$2:E21)*(E22=E$2:E21)))))</f>
        <v>SBJ</v>
      </c>
      <c r="J22" s="24">
        <f ca="1">IF(OR(E22="",E22="!!!",F22="NEW"),"",COUNTBLANK(OFFSET(A$1,,,SUMPRODUCT(MAX(ROW(E$2:E22)*(E22=E$2:E22)))))-COUNTBLANK(OFFSET(A$1,,,SUMPRODUCT(MAX(ROW(E$1:E21)*(E2=E$1:E21))))))</f>
        <v>0</v>
      </c>
      <c r="K22" s="24">
        <f ca="1">IF(OR(E22="",E22="!!!",F22="NEW"),"",INDEX(J$1:J21,SUMPRODUCT(MAX(ROW(E$1:E21)*(E22=E$1:E21)))))</f>
        <v>0</v>
      </c>
      <c r="L22" s="25"/>
    </row>
    <row r="23" spans="1:12" x14ac:dyDescent="0.3">
      <c r="A23" t="s">
        <v>231</v>
      </c>
      <c r="E23" s="20" t="str">
        <f t="shared" si="0"/>
        <v/>
      </c>
      <c r="F23" s="21" t="str">
        <f>IF(OR(E23="",E23="!!!"),"",IF(NOT(ISNA(VLOOKUP(E23,E$1:E22,1,FALSE()))),"OLD",IF(AND(E23&lt;&gt;"",E23&lt;&gt;"!!!"),"NEW","")))</f>
        <v/>
      </c>
      <c r="G23" s="22" t="str">
        <f>IF(OR(E23="",E23="!!!"),"",IF(OR(J23=0,AND(J23=1,K23=1),AND(J23=1,I23="SBJ"),AND(J23=1,I23=0)),"?IN_FOCUS",IF(J23&lt;=2,"?ACTIVATED",IF(J23&lt;&gt;"","?FAMILIAR",IF(F23="NEW",IF(ISNA(VLOOKUP(E23,#REF!,1,FALSE())),"?TYPE_IDENTIFIABLE","?REFERENTIAL"),"_")))))</f>
        <v/>
      </c>
      <c r="H23" s="23" t="str">
        <f t="shared" ca="1" si="1"/>
        <v/>
      </c>
      <c r="I23" s="24" t="str">
        <f>IF(OR(E23="",E23="!!!",F23="NEW"),"",INDEX(B$2:B22,-1+SUMPRODUCT(MAX(ROW(E$2:E22)*(E23=E$2:E22)))))</f>
        <v/>
      </c>
      <c r="J23" s="24" t="str">
        <f ca="1">IF(OR(E23="",E23="!!!",F23="NEW"),"",COUNTBLANK(OFFSET(A$1,,,SUMPRODUCT(MAX(ROW(E$2:E23)*(E23=E$2:E23)))))-COUNTBLANK(OFFSET(A$1,,,SUMPRODUCT(MAX(ROW(E$1:E22)*(E2=E$1:E22))))))</f>
        <v/>
      </c>
      <c r="K23" s="24" t="str">
        <f>IF(OR(E23="",E23="!!!",F23="NEW"),"",INDEX(J$1:J22,SUMPRODUCT(MAX(ROW(E$1:E22)*(E23=E$1:E22)))))</f>
        <v/>
      </c>
      <c r="L23" s="25"/>
    </row>
    <row r="24" spans="1:12" x14ac:dyDescent="0.3">
      <c r="A24" t="s">
        <v>232</v>
      </c>
      <c r="E24" s="20" t="str">
        <f t="shared" si="0"/>
        <v/>
      </c>
      <c r="F24" s="21" t="str">
        <f>IF(OR(E24="",E24="!!!"),"",IF(NOT(ISNA(VLOOKUP(E24,E$1:E23,1,FALSE()))),"OLD",IF(AND(E24&lt;&gt;"",E24&lt;&gt;"!!!"),"NEW","")))</f>
        <v/>
      </c>
      <c r="G24" s="22" t="str">
        <f>IF(OR(E24="",E24="!!!"),"",IF(OR(J24=0,AND(J24=1,K24=1),AND(J24=1,I24="SBJ"),AND(J24=1,I24=0)),"?IN_FOCUS",IF(J24&lt;=2,"?ACTIVATED",IF(J24&lt;&gt;"","?FAMILIAR",IF(F24="NEW",IF(ISNA(VLOOKUP(E24,#REF!,1,FALSE())),"?TYPE_IDENTIFIABLE","?REFERENTIAL"),"_")))))</f>
        <v/>
      </c>
      <c r="H24" s="23" t="str">
        <f t="shared" ca="1" si="1"/>
        <v/>
      </c>
      <c r="I24" s="24" t="str">
        <f>IF(OR(E24="",E24="!!!",F24="NEW"),"",INDEX(B$2:B23,-1+SUMPRODUCT(MAX(ROW(E$2:E23)*(E24=E$2:E23)))))</f>
        <v/>
      </c>
      <c r="J24" s="24" t="str">
        <f ca="1">IF(OR(E24="",E24="!!!",F24="NEW"),"",COUNTBLANK(OFFSET(A$1,,,SUMPRODUCT(MAX(ROW(E$2:E24)*(E24=E$2:E24)))))-COUNTBLANK(OFFSET(A$1,,,SUMPRODUCT(MAX(ROW(E$1:E23)*(E2=E$1:E23))))))</f>
        <v/>
      </c>
      <c r="K24" s="24" t="str">
        <f>IF(OR(E24="",E24="!!!",F24="NEW"),"",INDEX(J$1:J23,SUMPRODUCT(MAX(ROW(E$1:E23)*(E24=E$1:E23)))))</f>
        <v/>
      </c>
      <c r="L24" s="25"/>
    </row>
    <row r="25" spans="1:12" x14ac:dyDescent="0.3">
      <c r="A25" t="s">
        <v>188</v>
      </c>
      <c r="B25" s="26" t="s">
        <v>233</v>
      </c>
      <c r="C25" s="26" t="s">
        <v>226</v>
      </c>
      <c r="E25" s="20" t="s">
        <v>188</v>
      </c>
      <c r="F25" s="21" t="str">
        <f>IF(OR(E25="",E25="!!!"),"",IF(NOT(ISNA(VLOOKUP(E25,E$1:E24,1,FALSE()))),"OLD",IF(AND(E25&lt;&gt;"",E25&lt;&gt;"!!!"),"NEW","")))</f>
        <v>NEW</v>
      </c>
      <c r="G25" s="22" t="str">
        <f ca="1">IF(OR(E25="",E25="!!!"),"",IF(OR(J25=0,AND(J25=1,K25=1),AND(J25=1,I25="SBJ"),AND(J25=1,I25=0)),"?IN_FOCUS",IF(J25&lt;=2,"?ACTIVATED",IF(J25&lt;&gt;"","?FAMILIAR",IF(F25="NEW",IF(ISNA(VLOOKUP(E25,#REF!,1,FALSE())),"?TYPE_IDENTIFIABLE","?REFERENTIAL"),"_")))))</f>
        <v>?REFERENTIAL</v>
      </c>
      <c r="H25" s="23" t="str">
        <f t="shared" ca="1" si="1"/>
        <v/>
      </c>
      <c r="I25" s="24" t="str">
        <f>IF(OR(E25="",E25="!!!",F25="NEW"),"",INDEX(B$2:B24,-1+SUMPRODUCT(MAX(ROW(E$2:E24)*(E25=E$2:E24)))))</f>
        <v/>
      </c>
      <c r="J25" s="24" t="str">
        <f ca="1">IF(OR(E25="",E25="!!!",F25="NEW"),"",COUNTBLANK(OFFSET(A$1,,,SUMPRODUCT(MAX(ROW(E$2:E25)*(E25=E$2:E25)))))-COUNTBLANK(OFFSET(A$1,,,SUMPRODUCT(MAX(ROW(E$1:E24)*(E2=E$1:E24))))))</f>
        <v/>
      </c>
      <c r="K25" s="24" t="str">
        <f>IF(OR(E25="",E25="!!!",F25="NEW"),"",INDEX(J$1:J24,SUMPRODUCT(MAX(ROW(E$1:E24)*(E25=E$1:E24)))))</f>
        <v/>
      </c>
      <c r="L25" s="25"/>
    </row>
    <row r="26" spans="1:12" x14ac:dyDescent="0.3">
      <c r="A26" t="s">
        <v>234</v>
      </c>
      <c r="E26" s="20" t="str">
        <f t="shared" si="0"/>
        <v/>
      </c>
      <c r="F26" s="21" t="str">
        <f>IF(OR(E26="",E26="!!!"),"",IF(NOT(ISNA(VLOOKUP(E26,E$1:E25,1,FALSE()))),"OLD",IF(AND(E26&lt;&gt;"",E26&lt;&gt;"!!!"),"NEW","")))</f>
        <v/>
      </c>
      <c r="G26" s="22" t="str">
        <f>IF(OR(E26="",E26="!!!"),"",IF(OR(J26=0,AND(J26=1,K26=1),AND(J26=1,I26="SBJ"),AND(J26=1,I26=0)),"?IN_FOCUS",IF(J26&lt;=2,"?ACTIVATED",IF(J26&lt;&gt;"","?FAMILIAR",IF(F26="NEW",IF(ISNA(VLOOKUP(E26,#REF!,1,FALSE())),"?TYPE_IDENTIFIABLE","?REFERENTIAL"),"_")))))</f>
        <v/>
      </c>
      <c r="H26" s="23" t="str">
        <f t="shared" ca="1" si="1"/>
        <v/>
      </c>
      <c r="I26" s="24" t="str">
        <f>IF(OR(E26="",E26="!!!",F26="NEW"),"",INDEX(B$2:B25,-1+SUMPRODUCT(MAX(ROW(E$2:E25)*(E26=E$2:E25)))))</f>
        <v/>
      </c>
      <c r="J26" s="24" t="str">
        <f ca="1">IF(OR(E26="",E26="!!!",F26="NEW"),"",COUNTBLANK(OFFSET(A$1,,,SUMPRODUCT(MAX(ROW(E$2:E26)*(E26=E$2:E26)))))-COUNTBLANK(OFFSET(A$1,,,SUMPRODUCT(MAX(ROW(E$1:E25)*(E2=E$1:E25))))))</f>
        <v/>
      </c>
      <c r="K26" s="24" t="str">
        <f>IF(OR(E26="",E26="!!!",F26="NEW"),"",INDEX(J$1:J25,SUMPRODUCT(MAX(ROW(E$1:E25)*(E26=E$1:E25)))))</f>
        <v/>
      </c>
      <c r="L26" s="25"/>
    </row>
    <row r="28" spans="1:12" x14ac:dyDescent="0.3">
      <c r="A28" t="s">
        <v>235</v>
      </c>
    </row>
    <row r="29" spans="1:12" x14ac:dyDescent="0.3">
      <c r="A29" t="s">
        <v>236</v>
      </c>
      <c r="E29" s="20" t="str">
        <f t="shared" ref="E29:E56" si="2">IF(D29="?OLD","!!!","")</f>
        <v/>
      </c>
      <c r="F29" s="21" t="str">
        <f>IF(OR(E29="",E29="!!!"),"",IF(NOT(ISNA(VLOOKUP(E29,E$1:E28,1,FALSE()))),"OLD",IF(AND(E29&lt;&gt;"",E29&lt;&gt;"!!!"),"NEW","")))</f>
        <v/>
      </c>
      <c r="G29" s="22" t="str">
        <f>IF(OR(E29="",E29="!!!"),"",IF(OR(J29=0,AND(J29=1,K29=1),AND(J29=1,I29="SBJ"),AND(J29=1,I29=0)),"?IN_FOCUS",IF(J29&lt;=2,"?ACTIVATED",IF(J29&lt;&gt;"","?FAMILIAR",IF(F29="NEW",IF(ISNA(VLOOKUP(E29,#REF!,1,FALSE())),"?TYPE_IDENTIFIABLE","?REFERENTIAL"),"_")))))</f>
        <v/>
      </c>
      <c r="H29" s="23" t="str">
        <f t="shared" ref="H29:H56" ca="1" si="3">IF(J29&lt;&gt;1,"",IF(I29="SBJ","CB","?"))</f>
        <v/>
      </c>
      <c r="I29" s="24" t="str">
        <f>IF(OR(E29="",E29="!!!",F29="NEW"),"",INDEX(B$2:B28,-1+SUMPRODUCT(MAX(ROW(E$2:E28)*(E29=E$2:E28)))))</f>
        <v/>
      </c>
      <c r="J29" s="24" t="str">
        <f ca="1">IF(OR(E29="",E29="!!!",F29="NEW"),"",COUNTBLANK(OFFSET(A$1,,,SUMPRODUCT(MAX(ROW(E$2:E29)*(E29=E$2:E29)))))-COUNTBLANK(OFFSET(A$1,,,SUMPRODUCT(MAX(ROW(E$1:E28)*(E2=E$1:E28))))))</f>
        <v/>
      </c>
      <c r="K29" s="24" t="str">
        <f>IF(OR(E29="",E29="!!!",F29="NEW"),"",INDEX(J$1:J28,SUMPRODUCT(MAX(ROW(E$1:E28)*(E29=E$1:E28)))))</f>
        <v/>
      </c>
      <c r="L29" s="25"/>
    </row>
    <row r="30" spans="1:12" x14ac:dyDescent="0.3">
      <c r="A30" t="s">
        <v>220</v>
      </c>
      <c r="E30" s="20" t="str">
        <f t="shared" si="2"/>
        <v/>
      </c>
      <c r="F30" s="21" t="str">
        <f>IF(OR(E30="",E30="!!!"),"",IF(NOT(ISNA(VLOOKUP(E30,E$1:E29,1,FALSE()))),"OLD",IF(AND(E30&lt;&gt;"",E30&lt;&gt;"!!!"),"NEW","")))</f>
        <v/>
      </c>
      <c r="G30" s="22" t="str">
        <f>IF(OR(E30="",E30="!!!"),"",IF(OR(J30=0,AND(J30=1,K30=1),AND(J30=1,I30="SBJ"),AND(J30=1,I30=0)),"?IN_FOCUS",IF(J30&lt;=2,"?ACTIVATED",IF(J30&lt;&gt;"","?FAMILIAR",IF(F30="NEW",IF(ISNA(VLOOKUP(E30,#REF!,1,FALSE())),"?TYPE_IDENTIFIABLE","?REFERENTIAL"),"_")))))</f>
        <v/>
      </c>
      <c r="H30" s="23" t="str">
        <f t="shared" ca="1" si="3"/>
        <v/>
      </c>
      <c r="I30" s="24" t="str">
        <f>IF(OR(E30="",E30="!!!",F30="NEW"),"",INDEX(B$2:B29,-1+SUMPRODUCT(MAX(ROW(E$2:E29)*(E30=E$2:E29)))))</f>
        <v/>
      </c>
      <c r="J30" s="24" t="str">
        <f ca="1">IF(OR(E30="",E30="!!!",F30="NEW"),"",COUNTBLANK(OFFSET(A$1,,,SUMPRODUCT(MAX(ROW(E$2:E30)*(E30=E$2:E30)))))-COUNTBLANK(OFFSET(A$1,,,SUMPRODUCT(MAX(ROW(E$1:E29)*(E2=E$1:E29))))))</f>
        <v/>
      </c>
      <c r="K30" s="24" t="str">
        <f>IF(OR(E30="",E30="!!!",F30="NEW"),"",INDEX(J$1:J29,SUMPRODUCT(MAX(ROW(E$1:E29)*(E30=E$1:E29)))))</f>
        <v/>
      </c>
      <c r="L30" s="25"/>
    </row>
    <row r="31" spans="1:12" x14ac:dyDescent="0.3">
      <c r="A31" t="s">
        <v>237</v>
      </c>
      <c r="B31" s="26" t="s">
        <v>213</v>
      </c>
      <c r="C31" s="26" t="s">
        <v>222</v>
      </c>
      <c r="D31" s="26" t="s">
        <v>215</v>
      </c>
      <c r="E31" s="20" t="s">
        <v>648</v>
      </c>
      <c r="F31" s="21" t="str">
        <f>IF(OR(E31="",E31="!!!"),"",IF(NOT(ISNA(VLOOKUP(E31,E$1:E30,1,FALSE()))),"OLD",IF(AND(E31&lt;&gt;"",E31&lt;&gt;"!!!"),"NEW","")))</f>
        <v>NEW</v>
      </c>
      <c r="G31" s="22" t="s">
        <v>668</v>
      </c>
      <c r="H31" s="23" t="str">
        <f t="shared" ca="1" si="3"/>
        <v/>
      </c>
      <c r="I31" s="24" t="str">
        <f>IF(OR(E31="",E31="!!!",F31="NEW"),"",INDEX(B$2:B30,-1+SUMPRODUCT(MAX(ROW(E$2:E30)*(E31=E$2:E30)))))</f>
        <v/>
      </c>
      <c r="J31" s="24" t="str">
        <f ca="1">IF(OR(E31="",E31="!!!",F31="NEW"),"",COUNTBLANK(OFFSET(A$1,,,SUMPRODUCT(MAX(ROW(E$2:E31)*(E31=E$2:E31)))))-COUNTBLANK(OFFSET(A$1,,,SUMPRODUCT(MAX(ROW(E$1:E30)*(E2=E$1:E30))))))</f>
        <v/>
      </c>
      <c r="K31" s="24" t="str">
        <f>IF(OR(E31="",E31="!!!",F31="NEW"),"",INDEX(J$1:J30,SUMPRODUCT(MAX(ROW(E$1:E30)*(E31=E$1:E30)))))</f>
        <v/>
      </c>
      <c r="L31" s="25"/>
    </row>
    <row r="32" spans="1:12" x14ac:dyDescent="0.3">
      <c r="A32" t="s">
        <v>217</v>
      </c>
      <c r="E32" s="20" t="str">
        <f t="shared" si="2"/>
        <v/>
      </c>
      <c r="F32" s="21" t="str">
        <f>IF(OR(E32="",E32="!!!"),"",IF(NOT(ISNA(VLOOKUP(E32,E$1:E31,1,FALSE()))),"OLD",IF(AND(E32&lt;&gt;"",E32&lt;&gt;"!!!"),"NEW","")))</f>
        <v/>
      </c>
      <c r="G32" s="22" t="str">
        <f>IF(OR(E32="",E32="!!!"),"",IF(OR(J32=0,AND(J32=1,K32=1),AND(J32=1,I32="SBJ"),AND(J32=1,I32=0)),"?IN_FOCUS",IF(J32&lt;=2,"?ACTIVATED",IF(J32&lt;&gt;"","?FAMILIAR",IF(F32="NEW",IF(ISNA(VLOOKUP(E32,#REF!,1,FALSE())),"?TYPE_IDENTIFIABLE","?REFERENTIAL"),"_")))))</f>
        <v/>
      </c>
      <c r="H32" s="23" t="str">
        <f t="shared" ca="1" si="3"/>
        <v/>
      </c>
      <c r="I32" s="24" t="str">
        <f>IF(OR(E32="",E32="!!!",F32="NEW"),"",INDEX(B$2:B31,-1+SUMPRODUCT(MAX(ROW(E$2:E31)*(E32=E$2:E31)))))</f>
        <v/>
      </c>
      <c r="J32" s="24" t="str">
        <f ca="1">IF(OR(E32="",E32="!!!",F32="NEW"),"",COUNTBLANK(OFFSET(A$1,,,SUMPRODUCT(MAX(ROW(E$2:E32)*(E32=E$2:E32)))))-COUNTBLANK(OFFSET(A$1,,,SUMPRODUCT(MAX(ROW(E$1:E31)*(E2=E$1:E31))))))</f>
        <v/>
      </c>
      <c r="K32" s="24" t="str">
        <f>IF(OR(E32="",E32="!!!",F32="NEW"),"",INDEX(J$1:J31,SUMPRODUCT(MAX(ROW(E$1:E31)*(E32=E$1:E31)))))</f>
        <v/>
      </c>
      <c r="L32" s="25"/>
    </row>
    <row r="33" spans="1:12" x14ac:dyDescent="0.3">
      <c r="A33" t="s">
        <v>238</v>
      </c>
      <c r="E33" s="20" t="str">
        <f t="shared" si="2"/>
        <v/>
      </c>
      <c r="F33" s="21" t="str">
        <f>IF(OR(E33="",E33="!!!"),"",IF(NOT(ISNA(VLOOKUP(E33,E$1:E32,1,FALSE()))),"OLD",IF(AND(E33&lt;&gt;"",E33&lt;&gt;"!!!"),"NEW","")))</f>
        <v/>
      </c>
      <c r="G33" s="22" t="str">
        <f>IF(OR(E33="",E33="!!!"),"",IF(OR(J33=0,AND(J33=1,K33=1),AND(J33=1,I33="SBJ"),AND(J33=1,I33=0)),"?IN_FOCUS",IF(J33&lt;=2,"?ACTIVATED",IF(J33&lt;&gt;"","?FAMILIAR",IF(F33="NEW",IF(ISNA(VLOOKUP(E33,#REF!,1,FALSE())),"?TYPE_IDENTIFIABLE","?REFERENTIAL"),"_")))))</f>
        <v/>
      </c>
      <c r="H33" s="23" t="str">
        <f t="shared" ca="1" si="3"/>
        <v/>
      </c>
      <c r="I33" s="24" t="str">
        <f>IF(OR(E33="",E33="!!!",F33="NEW"),"",INDEX(B$2:B32,-1+SUMPRODUCT(MAX(ROW(E$2:E32)*(E33=E$2:E32)))))</f>
        <v/>
      </c>
      <c r="J33" s="24" t="str">
        <f ca="1">IF(OR(E33="",E33="!!!",F33="NEW"),"",COUNTBLANK(OFFSET(A$1,,,SUMPRODUCT(MAX(ROW(E$2:E33)*(E33=E$2:E33)))))-COUNTBLANK(OFFSET(A$1,,,SUMPRODUCT(MAX(ROW(E$1:E32)*(E2=E$1:E32))))))</f>
        <v/>
      </c>
      <c r="K33" s="24" t="str">
        <f>IF(OR(E33="",E33="!!!",F33="NEW"),"",INDEX(J$1:J32,SUMPRODUCT(MAX(ROW(E$1:E32)*(E33=E$1:E32)))))</f>
        <v/>
      </c>
      <c r="L33" s="25"/>
    </row>
    <row r="34" spans="1:12" x14ac:dyDescent="0.3">
      <c r="A34" t="s">
        <v>239</v>
      </c>
      <c r="B34" s="26" t="s">
        <v>205</v>
      </c>
      <c r="C34" s="26" t="s">
        <v>240</v>
      </c>
      <c r="E34" s="20" t="s">
        <v>669</v>
      </c>
      <c r="F34" s="21" t="s">
        <v>650</v>
      </c>
      <c r="G34" s="22" t="s">
        <v>651</v>
      </c>
      <c r="H34" s="23" t="str">
        <f t="shared" ca="1" si="3"/>
        <v/>
      </c>
      <c r="I34" s="24" t="e">
        <f>IF(OR(E34="",E34="!!!",F34="NEW"),"",INDEX(B$2:B33,-1+SUMPRODUCT(MAX(ROW(E$2:E33)*(E34=E$2:E33)))))</f>
        <v>#VALUE!</v>
      </c>
      <c r="J34" s="24">
        <f ca="1">IF(OR(E34="",E34="!!!",F34="NEW"),"",COUNTBLANK(OFFSET(A$1,,,SUMPRODUCT(MAX(ROW(E$2:E34)*(E34=E$2:E34)))))-COUNTBLANK(OFFSET(A$1,,,SUMPRODUCT(MAX(ROW(E$1:E33)*(E2=E$1:E33))))))</f>
        <v>0</v>
      </c>
      <c r="K34" s="24" t="e">
        <f>IF(OR(E34="",E34="!!!",F34="NEW"),"",INDEX(J$1:J33,SUMPRODUCT(MAX(ROW(E$1:E33)*(E34=E$1:E33)))))</f>
        <v>#VALUE!</v>
      </c>
      <c r="L34" s="25"/>
    </row>
    <row r="35" spans="1:12" x14ac:dyDescent="0.3">
      <c r="A35" t="s">
        <v>207</v>
      </c>
      <c r="E35" s="20" t="str">
        <f t="shared" si="2"/>
        <v/>
      </c>
      <c r="F35" s="21" t="str">
        <f>IF(OR(E35="",E35="!!!"),"",IF(NOT(ISNA(VLOOKUP(E35,E$1:E34,1,FALSE()))),"OLD",IF(AND(E35&lt;&gt;"",E35&lt;&gt;"!!!"),"NEW","")))</f>
        <v/>
      </c>
      <c r="G35" s="22" t="str">
        <f>IF(OR(E35="",E35="!!!"),"",IF(OR(J35=0,AND(J35=1,K35=1),AND(J35=1,I35="SBJ"),AND(J35=1,I35=0)),"?IN_FOCUS",IF(J35&lt;=2,"?ACTIVATED",IF(J35&lt;&gt;"","?FAMILIAR",IF(F35="NEW",IF(ISNA(VLOOKUP(E35,#REF!,1,FALSE())),"?TYPE_IDENTIFIABLE","?REFERENTIAL"),"_")))))</f>
        <v/>
      </c>
      <c r="H35" s="23" t="str">
        <f t="shared" ca="1" si="3"/>
        <v/>
      </c>
      <c r="I35" s="24" t="str">
        <f>IF(OR(E35="",E35="!!!",F35="NEW"),"",INDEX(B$2:B34,-1+SUMPRODUCT(MAX(ROW(E$2:E34)*(E35=E$2:E34)))))</f>
        <v/>
      </c>
      <c r="J35" s="24" t="str">
        <f ca="1">IF(OR(E35="",E35="!!!",F35="NEW"),"",COUNTBLANK(OFFSET(A$1,,,SUMPRODUCT(MAX(ROW(E$2:E35)*(E35=E$2:E35)))))-COUNTBLANK(OFFSET(A$1,,,SUMPRODUCT(MAX(ROW(E$1:E34)*(E2=E$1:E34))))))</f>
        <v/>
      </c>
      <c r="K35" s="24" t="str">
        <f>IF(OR(E35="",E35="!!!",F35="NEW"),"",INDEX(J$1:J34,SUMPRODUCT(MAX(ROW(E$1:E34)*(E35=E$1:E34)))))</f>
        <v/>
      </c>
      <c r="L35" s="25"/>
    </row>
    <row r="36" spans="1:12" x14ac:dyDescent="0.3">
      <c r="A36" t="s">
        <v>241</v>
      </c>
      <c r="E36" s="20" t="str">
        <f t="shared" si="2"/>
        <v/>
      </c>
      <c r="F36" s="21" t="str">
        <f>IF(OR(E36="",E36="!!!"),"",IF(NOT(ISNA(VLOOKUP(E36,E$1:E35,1,FALSE()))),"OLD",IF(AND(E36&lt;&gt;"",E36&lt;&gt;"!!!"),"NEW","")))</f>
        <v/>
      </c>
      <c r="G36" s="22" t="str">
        <f>IF(OR(E36="",E36="!!!"),"",IF(OR(J36=0,AND(J36=1,K36=1),AND(J36=1,I36="SBJ"),AND(J36=1,I36=0)),"?IN_FOCUS",IF(J36&lt;=2,"?ACTIVATED",IF(J36&lt;&gt;"","?FAMILIAR",IF(F36="NEW",IF(ISNA(VLOOKUP(E36,#REF!,1,FALSE())),"?TYPE_IDENTIFIABLE","?REFERENTIAL"),"_")))))</f>
        <v/>
      </c>
      <c r="H36" s="23" t="str">
        <f t="shared" ca="1" si="3"/>
        <v/>
      </c>
      <c r="I36" s="24" t="str">
        <f>IF(OR(E36="",E36="!!!",F36="NEW"),"",INDEX(B$2:B35,-1+SUMPRODUCT(MAX(ROW(E$2:E35)*(E36=E$2:E35)))))</f>
        <v/>
      </c>
      <c r="J36" s="24" t="str">
        <f ca="1">IF(OR(E36="",E36="!!!",F36="NEW"),"",COUNTBLANK(OFFSET(A$1,,,SUMPRODUCT(MAX(ROW(E$2:E36)*(E36=E$2:E36)))))-COUNTBLANK(OFFSET(A$1,,,SUMPRODUCT(MAX(ROW(E$1:E35)*(E2=E$1:E35))))))</f>
        <v/>
      </c>
      <c r="K36" s="24" t="str">
        <f>IF(OR(E36="",E36="!!!",F36="NEW"),"",INDEX(J$1:J35,SUMPRODUCT(MAX(ROW(E$1:E35)*(E36=E$1:E35)))))</f>
        <v/>
      </c>
      <c r="L36" s="25"/>
    </row>
    <row r="37" spans="1:12" x14ac:dyDescent="0.3">
      <c r="A37" t="s">
        <v>242</v>
      </c>
      <c r="E37" s="20" t="str">
        <f t="shared" si="2"/>
        <v/>
      </c>
      <c r="F37" s="21" t="str">
        <f>IF(OR(E37="",E37="!!!"),"",IF(NOT(ISNA(VLOOKUP(E37,E$1:E36,1,FALSE()))),"OLD",IF(AND(E37&lt;&gt;"",E37&lt;&gt;"!!!"),"NEW","")))</f>
        <v/>
      </c>
      <c r="G37" s="22" t="str">
        <f>IF(OR(E37="",E37="!!!"),"",IF(OR(J37=0,AND(J37=1,K37=1),AND(J37=1,I37="SBJ"),AND(J37=1,I37=0)),"?IN_FOCUS",IF(J37&lt;=2,"?ACTIVATED",IF(J37&lt;&gt;"","?FAMILIAR",IF(F37="NEW",IF(ISNA(VLOOKUP(E37,#REF!,1,FALSE())),"?TYPE_IDENTIFIABLE","?REFERENTIAL"),"_")))))</f>
        <v/>
      </c>
      <c r="H37" s="23" t="str">
        <f t="shared" ca="1" si="3"/>
        <v/>
      </c>
      <c r="I37" s="24" t="str">
        <f>IF(OR(E37="",E37="!!!",F37="NEW"),"",INDEX(B$2:B36,-1+SUMPRODUCT(MAX(ROW(E$2:E36)*(E37=E$2:E36)))))</f>
        <v/>
      </c>
      <c r="J37" s="24" t="str">
        <f ca="1">IF(OR(E37="",E37="!!!",F37="NEW"),"",COUNTBLANK(OFFSET(A$1,,,SUMPRODUCT(MAX(ROW(E$2:E37)*(E37=E$2:E37)))))-COUNTBLANK(OFFSET(A$1,,,SUMPRODUCT(MAX(ROW(E$1:E36)*(E2=E$1:E36))))))</f>
        <v/>
      </c>
      <c r="K37" s="24" t="str">
        <f>IF(OR(E37="",E37="!!!",F37="NEW"),"",INDEX(J$1:J36,SUMPRODUCT(MAX(ROW(E$1:E36)*(E37=E$1:E36)))))</f>
        <v/>
      </c>
      <c r="L37" s="25"/>
    </row>
    <row r="38" spans="1:12" x14ac:dyDescent="0.3">
      <c r="A38" t="s">
        <v>16</v>
      </c>
      <c r="E38" s="20" t="str">
        <f t="shared" si="2"/>
        <v/>
      </c>
      <c r="F38" s="21" t="str">
        <f>IF(OR(E38="",E38="!!!"),"",IF(NOT(ISNA(VLOOKUP(E38,E$1:E37,1,FALSE()))),"OLD",IF(AND(E38&lt;&gt;"",E38&lt;&gt;"!!!"),"NEW","")))</f>
        <v/>
      </c>
      <c r="G38" s="22" t="str">
        <f>IF(OR(E38="",E38="!!!"),"",IF(OR(J38=0,AND(J38=1,K38=1),AND(J38=1,I38="SBJ"),AND(J38=1,I38=0)),"?IN_FOCUS",IF(J38&lt;=2,"?ACTIVATED",IF(J38&lt;&gt;"","?FAMILIAR",IF(F38="NEW",IF(ISNA(VLOOKUP(E38,#REF!,1,FALSE())),"?TYPE_IDENTIFIABLE","?REFERENTIAL"),"_")))))</f>
        <v/>
      </c>
      <c r="H38" s="23" t="str">
        <f t="shared" ca="1" si="3"/>
        <v/>
      </c>
      <c r="I38" s="24" t="str">
        <f>IF(OR(E38="",E38="!!!",F38="NEW"),"",INDEX(B$2:B37,-1+SUMPRODUCT(MAX(ROW(E$2:E37)*(E38=E$2:E37)))))</f>
        <v/>
      </c>
      <c r="J38" s="24" t="str">
        <f ca="1">IF(OR(E38="",E38="!!!",F38="NEW"),"",COUNTBLANK(OFFSET(A$1,,,SUMPRODUCT(MAX(ROW(E$2:E38)*(E38=E$2:E38)))))-COUNTBLANK(OFFSET(A$1,,,SUMPRODUCT(MAX(ROW(E$1:E37)*(E2=E$1:E37))))))</f>
        <v/>
      </c>
      <c r="K38" s="24" t="str">
        <f>IF(OR(E38="",E38="!!!",F38="NEW"),"",INDEX(J$1:J37,SUMPRODUCT(MAX(ROW(E$1:E37)*(E38=E$1:E37)))))</f>
        <v/>
      </c>
      <c r="L38" s="25"/>
    </row>
    <row r="39" spans="1:12" x14ac:dyDescent="0.3">
      <c r="A39" t="s">
        <v>243</v>
      </c>
      <c r="E39" s="20" t="str">
        <f>IF(D39="?OLD","!!!","")</f>
        <v/>
      </c>
      <c r="F39" s="21" t="str">
        <f>IF(OR(E39="",E39="!!!"),"",IF(NOT(ISNA(VLOOKUP(E39,E$1:E38,1,FALSE()))),"OLD",IF(AND(E39&lt;&gt;"",E39&lt;&gt;"!!!"),"NEW","")))</f>
        <v/>
      </c>
      <c r="G39" s="22" t="str">
        <f>IF(OR(E39="",E39="!!!"),"",IF(OR(J39=0,AND(J39=1,K39=1),AND(J39=1,I39="SBJ"),AND(J39=1,I39=0)),"?IN_FOCUS",IF(J39&lt;=2,"?ACTIVATED",IF(J39&lt;&gt;"","?FAMILIAR",IF(F39="NEW",IF(ISNA(VLOOKUP(E39,#REF!,1,FALSE())),"?TYPE_IDENTIFIABLE","?REFERENTIAL"),"_")))))</f>
        <v/>
      </c>
      <c r="H39" s="23" t="str">
        <f t="shared" ca="1" si="3"/>
        <v/>
      </c>
      <c r="I39" s="24" t="str">
        <f>IF(OR(E39="",E39="!!!",F39="NEW"),"",INDEX(B$2:B38,-1+SUMPRODUCT(MAX(ROW(E$2:E38)*(E39=E$2:E38)))))</f>
        <v/>
      </c>
      <c r="J39" s="24" t="str">
        <f ca="1">IF(OR(E39="",E39="!!!",F39="NEW"),"",COUNTBLANK(OFFSET(A$1,,,SUMPRODUCT(MAX(ROW(E$2:E39)*(E39=E$2:E39)))))-COUNTBLANK(OFFSET(A$1,,,SUMPRODUCT(MAX(ROW(E$1:E38)*(E2=E$1:E38))))))</f>
        <v/>
      </c>
      <c r="K39" s="24" t="str">
        <f>IF(OR(E39="",E39="!!!",F39="NEW"),"",INDEX(J$1:J38,SUMPRODUCT(MAX(ROW(E$1:E38)*(E39=E$1:E38)))))</f>
        <v/>
      </c>
      <c r="L39" s="25"/>
    </row>
    <row r="40" spans="1:12" x14ac:dyDescent="0.3">
      <c r="A40" t="s">
        <v>239</v>
      </c>
      <c r="B40" s="26" t="s">
        <v>205</v>
      </c>
      <c r="C40" s="26" t="s">
        <v>240</v>
      </c>
      <c r="E40" s="20" t="s">
        <v>669</v>
      </c>
      <c r="F40" s="21" t="str">
        <f>IF(OR(E40="",E40="!!!"),"",IF(NOT(ISNA(VLOOKUP(E40,E$1:E39,1,FALSE()))),"OLD",IF(AND(E40&lt;&gt;"",E40&lt;&gt;"!!!"),"NEW","")))</f>
        <v>OLD</v>
      </c>
      <c r="G40" s="22" t="str">
        <f ca="1">IF(OR(E40="",E40="!!!"),"",IF(OR(J40=0,AND(J40=1,K40=1),AND(J40=1,I40="SBJ"),AND(J40=1,I40=0)),"?IN_FOCUS",IF(J40&lt;=2,"?ACTIVATED",IF(J40&lt;&gt;"","?FAMILIAR",IF(F40="NEW",IF(ISNA(VLOOKUP(E40,#REF!,1,FALSE())),"?TYPE_IDENTIFIABLE","?REFERENTIAL"),"_")))))</f>
        <v>?IN_FOCUS</v>
      </c>
      <c r="H40" s="23"/>
      <c r="I40" s="24" t="str">
        <f>IF(OR(E40="",E40="!!!",F40="NEW"),"",INDEX(B$2:B39,-1+SUMPRODUCT(MAX(ROW(E$2:E39)*(E40=E$2:E39)))))</f>
        <v>other</v>
      </c>
      <c r="J40" s="24">
        <f ca="1">IF(OR(E40="",E40="!!!",F40="NEW"),"",COUNTBLANK(OFFSET(A$1,,,SUMPRODUCT(MAX(ROW(E$2:E40)*(E40=E$2:E40)))))-COUNTBLANK(OFFSET(A$1,,,SUMPRODUCT(MAX(ROW(E$1:E39)*(E2=E$1:E39))))))</f>
        <v>0</v>
      </c>
      <c r="K40" s="24">
        <f ca="1">IF(OR(E40="",E40="!!!",F40="NEW"),"",INDEX(J$1:J39,SUMPRODUCT(MAX(ROW(E$1:E39)*(E40=E$1:E39)))))</f>
        <v>0</v>
      </c>
      <c r="L40" s="25" t="s">
        <v>738</v>
      </c>
    </row>
    <row r="41" spans="1:12" x14ac:dyDescent="0.3">
      <c r="A41" t="s">
        <v>207</v>
      </c>
      <c r="E41" s="20" t="str">
        <f t="shared" si="2"/>
        <v/>
      </c>
      <c r="F41" s="21" t="str">
        <f>IF(OR(E41="",E41="!!!"),"",IF(NOT(ISNA(VLOOKUP(E41,E$1:E40,1,FALSE()))),"OLD",IF(AND(E41&lt;&gt;"",E41&lt;&gt;"!!!"),"NEW","")))</f>
        <v/>
      </c>
      <c r="G41" s="22" t="str">
        <f>IF(OR(E41="",E41="!!!"),"",IF(OR(J41=0,AND(J41=1,K41=1),AND(J41=1,I41="SBJ"),AND(J41=1,I41=0)),"?IN_FOCUS",IF(J41&lt;=2,"?ACTIVATED",IF(J41&lt;&gt;"","?FAMILIAR",IF(F41="NEW",IF(ISNA(VLOOKUP(E41,#REF!,1,FALSE())),"?TYPE_IDENTIFIABLE","?REFERENTIAL"),"_")))))</f>
        <v/>
      </c>
      <c r="H41" s="23" t="str">
        <f t="shared" ca="1" si="3"/>
        <v/>
      </c>
      <c r="I41" s="24" t="str">
        <f>IF(OR(E41="",E41="!!!",F41="NEW"),"",INDEX(B$2:B40,-1+SUMPRODUCT(MAX(ROW(E$2:E40)*(E41=E$2:E40)))))</f>
        <v/>
      </c>
      <c r="J41" s="24" t="str">
        <f ca="1">IF(OR(E41="",E41="!!!",F41="NEW"),"",COUNTBLANK(OFFSET(A$1,,,SUMPRODUCT(MAX(ROW(E$2:E41)*(E41=E$2:E41)))))-COUNTBLANK(OFFSET(A$1,,,SUMPRODUCT(MAX(ROW(E$1:E40)*(E2=E$1:E40))))))</f>
        <v/>
      </c>
      <c r="K41" s="24" t="str">
        <f>IF(OR(E41="",E41="!!!",F41="NEW"),"",INDEX(J$1:J40,SUMPRODUCT(MAX(ROW(E$1:E40)*(E41=E$1:E40)))))</f>
        <v/>
      </c>
      <c r="L41" s="25"/>
    </row>
    <row r="42" spans="1:12" x14ac:dyDescent="0.3">
      <c r="A42" t="s">
        <v>244</v>
      </c>
      <c r="B42" s="26" t="s">
        <v>225</v>
      </c>
      <c r="C42" s="26" t="s">
        <v>226</v>
      </c>
      <c r="E42" s="20" t="str">
        <f t="shared" si="2"/>
        <v/>
      </c>
      <c r="F42" s="21" t="str">
        <f>IF(OR(E42="",E42="!!!"),"",IF(NOT(ISNA(VLOOKUP(E42,E$1:E41,1,FALSE()))),"OLD",IF(AND(E42&lt;&gt;"",E42&lt;&gt;"!!!"),"NEW","")))</f>
        <v/>
      </c>
      <c r="G42" s="22" t="str">
        <f>IF(OR(E42="",E42="!!!"),"",IF(OR(J42=0,AND(J42=1,K42=1),AND(J42=1,I42="SBJ"),AND(J42=1,I42=0)),"?IN_FOCUS",IF(J42&lt;=2,"?ACTIVATED",IF(J42&lt;&gt;"","?FAMILIAR",IF(F42="NEW",IF(ISNA(VLOOKUP(E42,#REF!,1,FALSE())),"?TYPE_IDENTIFIABLE","?REFERENTIAL"),"_")))))</f>
        <v/>
      </c>
      <c r="H42" s="23" t="str">
        <f t="shared" ca="1" si="3"/>
        <v/>
      </c>
      <c r="I42" s="24" t="str">
        <f>IF(OR(E42="",E42="!!!",F42="NEW"),"",INDEX(B$2:B41,-1+SUMPRODUCT(MAX(ROW(E$2:E41)*(E42=E$2:E41)))))</f>
        <v/>
      </c>
      <c r="J42" s="24" t="str">
        <f ca="1">IF(OR(E42="",E42="!!!",F42="NEW"),"",COUNTBLANK(OFFSET(A$1,,,SUMPRODUCT(MAX(ROW(E$2:E42)*(E42=E$2:E42)))))-COUNTBLANK(OFFSET(A$1,,,SUMPRODUCT(MAX(ROW(E$1:E41)*(E2=E$1:E41))))))</f>
        <v/>
      </c>
      <c r="K42" s="24" t="str">
        <f>IF(OR(E42="",E42="!!!",F42="NEW"),"",INDEX(J$1:J41,SUMPRODUCT(MAX(ROW(E$1:E41)*(E42=E$1:E41)))))</f>
        <v/>
      </c>
      <c r="L42" s="25"/>
    </row>
    <row r="43" spans="1:12" x14ac:dyDescent="0.3">
      <c r="A43" t="s">
        <v>207</v>
      </c>
      <c r="E43" s="20" t="str">
        <f t="shared" si="2"/>
        <v/>
      </c>
      <c r="F43" s="21" t="str">
        <f>IF(OR(E43="",E43="!!!"),"",IF(NOT(ISNA(VLOOKUP(E43,E$1:E42,1,FALSE()))),"OLD",IF(AND(E43&lt;&gt;"",E43&lt;&gt;"!!!"),"NEW","")))</f>
        <v/>
      </c>
      <c r="G43" s="22" t="str">
        <f>IF(OR(E43="",E43="!!!"),"",IF(OR(J43=0,AND(J43=1,K43=1),AND(J43=1,I43="SBJ"),AND(J43=1,I43=0)),"?IN_FOCUS",IF(J43&lt;=2,"?ACTIVATED",IF(J43&lt;&gt;"","?FAMILIAR",IF(F43="NEW",IF(ISNA(VLOOKUP(E43,#REF!,1,FALSE())),"?TYPE_IDENTIFIABLE","?REFERENTIAL"),"_")))))</f>
        <v/>
      </c>
      <c r="H43" s="23" t="str">
        <f t="shared" ca="1" si="3"/>
        <v/>
      </c>
      <c r="I43" s="24" t="str">
        <f>IF(OR(E43="",E43="!!!",F43="NEW"),"",INDEX(B$2:B42,-1+SUMPRODUCT(MAX(ROW(E$2:E42)*(E43=E$2:E42)))))</f>
        <v/>
      </c>
      <c r="J43" s="24" t="str">
        <f ca="1">IF(OR(E43="",E43="!!!",F43="NEW"),"",COUNTBLANK(OFFSET(A$1,,,SUMPRODUCT(MAX(ROW(E$2:E43)*(E43=E$2:E43)))))-COUNTBLANK(OFFSET(A$1,,,SUMPRODUCT(MAX(ROW(E$1:E42)*(E2=E$1:E42))))))</f>
        <v/>
      </c>
      <c r="K43" s="24" t="str">
        <f>IF(OR(E43="",E43="!!!",F43="NEW"),"",INDEX(J$1:J42,SUMPRODUCT(MAX(ROW(E$1:E42)*(E43=E$1:E42)))))</f>
        <v/>
      </c>
      <c r="L43" s="25"/>
    </row>
    <row r="44" spans="1:12" x14ac:dyDescent="0.3">
      <c r="A44" t="s">
        <v>245</v>
      </c>
      <c r="E44" s="20" t="str">
        <f t="shared" si="2"/>
        <v/>
      </c>
      <c r="F44" s="21" t="str">
        <f>IF(OR(E44="",E44="!!!"),"",IF(NOT(ISNA(VLOOKUP(E44,E$1:E43,1,FALSE()))),"OLD",IF(AND(E44&lt;&gt;"",E44&lt;&gt;"!!!"),"NEW","")))</f>
        <v/>
      </c>
      <c r="G44" s="22" t="str">
        <f>IF(OR(E44="",E44="!!!"),"",IF(OR(J44=0,AND(J44=1,K44=1),AND(J44=1,I44="SBJ"),AND(J44=1,I44=0)),"?IN_FOCUS",IF(J44&lt;=2,"?ACTIVATED",IF(J44&lt;&gt;"","?FAMILIAR",IF(F44="NEW",IF(ISNA(VLOOKUP(E44,#REF!,1,FALSE())),"?TYPE_IDENTIFIABLE","?REFERENTIAL"),"_")))))</f>
        <v/>
      </c>
      <c r="H44" s="23" t="str">
        <f t="shared" ca="1" si="3"/>
        <v/>
      </c>
      <c r="I44" s="24" t="str">
        <f>IF(OR(E44="",E44="!!!",F44="NEW"),"",INDEX(B$2:B43,-1+SUMPRODUCT(MAX(ROW(E$2:E43)*(E44=E$2:E43)))))</f>
        <v/>
      </c>
      <c r="J44" s="24" t="str">
        <f ca="1">IF(OR(E44="",E44="!!!",F44="NEW"),"",COUNTBLANK(OFFSET(A$1,,,SUMPRODUCT(MAX(ROW(E$2:E44)*(E44=E$2:E44)))))-COUNTBLANK(OFFSET(A$1,,,SUMPRODUCT(MAX(ROW(E$1:E43)*(E2=E$1:E43))))))</f>
        <v/>
      </c>
      <c r="K44" s="24" t="str">
        <f>IF(OR(E44="",E44="!!!",F44="NEW"),"",INDEX(J$1:J43,SUMPRODUCT(MAX(ROW(E$1:E43)*(E44=E$1:E43)))))</f>
        <v/>
      </c>
      <c r="L44" s="25"/>
    </row>
    <row r="45" spans="1:12" x14ac:dyDescent="0.3">
      <c r="A45" t="s">
        <v>207</v>
      </c>
      <c r="E45" s="20" t="str">
        <f t="shared" si="2"/>
        <v/>
      </c>
      <c r="F45" s="21" t="str">
        <f>IF(OR(E45="",E45="!!!"),"",IF(NOT(ISNA(VLOOKUP(E45,E$1:E44,1,FALSE()))),"OLD",IF(AND(E45&lt;&gt;"",E45&lt;&gt;"!!!"),"NEW","")))</f>
        <v/>
      </c>
      <c r="G45" s="22" t="str">
        <f>IF(OR(E45="",E45="!!!"),"",IF(OR(J45=0,AND(J45=1,K45=1),AND(J45=1,I45="SBJ"),AND(J45=1,I45=0)),"?IN_FOCUS",IF(J45&lt;=2,"?ACTIVATED",IF(J45&lt;&gt;"","?FAMILIAR",IF(F45="NEW",IF(ISNA(VLOOKUP(E45,#REF!,1,FALSE())),"?TYPE_IDENTIFIABLE","?REFERENTIAL"),"_")))))</f>
        <v/>
      </c>
      <c r="H45" s="23" t="str">
        <f t="shared" ca="1" si="3"/>
        <v/>
      </c>
      <c r="I45" s="24" t="str">
        <f>IF(OR(E45="",E45="!!!",F45="NEW"),"",INDEX(B$2:B44,-1+SUMPRODUCT(MAX(ROW(E$2:E44)*(E45=E$2:E44)))))</f>
        <v/>
      </c>
      <c r="J45" s="24" t="str">
        <f ca="1">IF(OR(E45="",E45="!!!",F45="NEW"),"",COUNTBLANK(OFFSET(A$1,,,SUMPRODUCT(MAX(ROW(E$2:E45)*(E45=E$2:E45)))))-COUNTBLANK(OFFSET(A$1,,,SUMPRODUCT(MAX(ROW(E$1:E44)*(E2=E$1:E44))))))</f>
        <v/>
      </c>
      <c r="K45" s="24" t="str">
        <f>IF(OR(E45="",E45="!!!",F45="NEW"),"",INDEX(J$1:J44,SUMPRODUCT(MAX(ROW(E$1:E44)*(E45=E$1:E44)))))</f>
        <v/>
      </c>
      <c r="L45" s="25"/>
    </row>
    <row r="46" spans="1:12" x14ac:dyDescent="0.3">
      <c r="A46" t="s">
        <v>246</v>
      </c>
      <c r="E46" s="20" t="str">
        <f t="shared" si="2"/>
        <v/>
      </c>
      <c r="F46" s="21" t="str">
        <f>IF(OR(E46="",E46="!!!"),"",IF(NOT(ISNA(VLOOKUP(E46,E$1:E45,1,FALSE()))),"OLD",IF(AND(E46&lt;&gt;"",E46&lt;&gt;"!!!"),"NEW","")))</f>
        <v/>
      </c>
      <c r="G46" s="22" t="str">
        <f>IF(OR(E46="",E46="!!!"),"",IF(OR(J46=0,AND(J46=1,K46=1),AND(J46=1,I46="SBJ"),AND(J46=1,I46=0)),"?IN_FOCUS",IF(J46&lt;=2,"?ACTIVATED",IF(J46&lt;&gt;"","?FAMILIAR",IF(F46="NEW",IF(ISNA(VLOOKUP(E46,#REF!,1,FALSE())),"?TYPE_IDENTIFIABLE","?REFERENTIAL"),"_")))))</f>
        <v/>
      </c>
      <c r="H46" s="23" t="str">
        <f t="shared" ca="1" si="3"/>
        <v/>
      </c>
      <c r="I46" s="24" t="str">
        <f>IF(OR(E46="",E46="!!!",F46="NEW"),"",INDEX(B$2:B45,-1+SUMPRODUCT(MAX(ROW(E$2:E45)*(E46=E$2:E45)))))</f>
        <v/>
      </c>
      <c r="J46" s="24" t="str">
        <f ca="1">IF(OR(E46="",E46="!!!",F46="NEW"),"",COUNTBLANK(OFFSET(A$1,,,SUMPRODUCT(MAX(ROW(E$2:E46)*(E46=E$2:E46)))))-COUNTBLANK(OFFSET(A$1,,,SUMPRODUCT(MAX(ROW(E$1:E45)*(E2=E$1:E45))))))</f>
        <v/>
      </c>
      <c r="K46" s="24" t="str">
        <f>IF(OR(E46="",E46="!!!",F46="NEW"),"",INDEX(J$1:J45,SUMPRODUCT(MAX(ROW(E$1:E45)*(E46=E$1:E45)))))</f>
        <v/>
      </c>
      <c r="L46" s="25"/>
    </row>
    <row r="47" spans="1:12" x14ac:dyDescent="0.3">
      <c r="A47" t="s">
        <v>207</v>
      </c>
      <c r="E47" s="20" t="str">
        <f t="shared" si="2"/>
        <v/>
      </c>
      <c r="F47" s="21" t="str">
        <f>IF(OR(E47="",E47="!!!"),"",IF(NOT(ISNA(VLOOKUP(E47,E$1:E46,1,FALSE()))),"OLD",IF(AND(E47&lt;&gt;"",E47&lt;&gt;"!!!"),"NEW","")))</f>
        <v/>
      </c>
      <c r="G47" s="22" t="str">
        <f>IF(OR(E47="",E47="!!!"),"",IF(OR(J47=0,AND(J47=1,K47=1),AND(J47=1,I47="SBJ"),AND(J47=1,I47=0)),"?IN_FOCUS",IF(J47&lt;=2,"?ACTIVATED",IF(J47&lt;&gt;"","?FAMILIAR",IF(F47="NEW",IF(ISNA(VLOOKUP(E47,#REF!,1,FALSE())),"?TYPE_IDENTIFIABLE","?REFERENTIAL"),"_")))))</f>
        <v/>
      </c>
      <c r="H47" s="23" t="str">
        <f t="shared" ca="1" si="3"/>
        <v/>
      </c>
      <c r="I47" s="24" t="str">
        <f>IF(OR(E47="",E47="!!!",F47="NEW"),"",INDEX(B$2:B46,-1+SUMPRODUCT(MAX(ROW(E$2:E46)*(E47=E$2:E46)))))</f>
        <v/>
      </c>
      <c r="J47" s="24" t="str">
        <f ca="1">IF(OR(E47="",E47="!!!",F47="NEW"),"",COUNTBLANK(OFFSET(A$1,,,SUMPRODUCT(MAX(ROW(E$2:E47)*(E47=E$2:E47)))))-COUNTBLANK(OFFSET(A$1,,,SUMPRODUCT(MAX(ROW(E$1:E46)*(E2=E$1:E46))))))</f>
        <v/>
      </c>
      <c r="K47" s="24" t="str">
        <f>IF(OR(E47="",E47="!!!",F47="NEW"),"",INDEX(J$1:J46,SUMPRODUCT(MAX(ROW(E$1:E46)*(E47=E$1:E46)))))</f>
        <v/>
      </c>
      <c r="L47" s="25"/>
    </row>
    <row r="48" spans="1:12" x14ac:dyDescent="0.3">
      <c r="A48" t="s">
        <v>247</v>
      </c>
      <c r="E48" s="20" t="str">
        <f t="shared" si="2"/>
        <v/>
      </c>
      <c r="F48" s="21" t="str">
        <f>IF(OR(E48="",E48="!!!"),"",IF(NOT(ISNA(VLOOKUP(E48,E$1:E47,1,FALSE()))),"OLD",IF(AND(E48&lt;&gt;"",E48&lt;&gt;"!!!"),"NEW","")))</f>
        <v/>
      </c>
      <c r="G48" s="22" t="str">
        <f>IF(OR(E48="",E48="!!!"),"",IF(OR(J48=0,AND(J48=1,K48=1),AND(J48=1,I48="SBJ"),AND(J48=1,I48=0)),"?IN_FOCUS",IF(J48&lt;=2,"?ACTIVATED",IF(J48&lt;&gt;"","?FAMILIAR",IF(F48="NEW",IF(ISNA(VLOOKUP(E48,#REF!,1,FALSE())),"?TYPE_IDENTIFIABLE","?REFERENTIAL"),"_")))))</f>
        <v/>
      </c>
      <c r="H48" s="23" t="str">
        <f t="shared" ca="1" si="3"/>
        <v/>
      </c>
      <c r="I48" s="24" t="str">
        <f>IF(OR(E48="",E48="!!!",F48="NEW"),"",INDEX(B$2:B47,-1+SUMPRODUCT(MAX(ROW(E$2:E47)*(E48=E$2:E47)))))</f>
        <v/>
      </c>
      <c r="J48" s="24" t="str">
        <f ca="1">IF(OR(E48="",E48="!!!",F48="NEW"),"",COUNTBLANK(OFFSET(A$1,,,SUMPRODUCT(MAX(ROW(E$2:E48)*(E48=E$2:E48)))))-COUNTBLANK(OFFSET(A$1,,,SUMPRODUCT(MAX(ROW(E$1:E47)*(E2=E$1:E47))))))</f>
        <v/>
      </c>
      <c r="K48" s="24" t="str">
        <f>IF(OR(E48="",E48="!!!",F48="NEW"),"",INDEX(J$1:J47,SUMPRODUCT(MAX(ROW(E$1:E47)*(E48=E$1:E47)))))</f>
        <v/>
      </c>
      <c r="L48" s="25"/>
    </row>
    <row r="49" spans="1:12" x14ac:dyDescent="0.3">
      <c r="A49" t="s">
        <v>238</v>
      </c>
      <c r="E49" s="20" t="str">
        <f t="shared" si="2"/>
        <v/>
      </c>
      <c r="F49" s="21" t="str">
        <f>IF(OR(E49="",E49="!!!"),"",IF(NOT(ISNA(VLOOKUP(E49,E$1:E48,1,FALSE()))),"OLD",IF(AND(E49&lt;&gt;"",E49&lt;&gt;"!!!"),"NEW","")))</f>
        <v/>
      </c>
      <c r="G49" s="22" t="str">
        <f>IF(OR(E49="",E49="!!!"),"",IF(OR(J49=0,AND(J49=1,K49=1),AND(J49=1,I49="SBJ"),AND(J49=1,I49=0)),"?IN_FOCUS",IF(J49&lt;=2,"?ACTIVATED",IF(J49&lt;&gt;"","?FAMILIAR",IF(F49="NEW",IF(ISNA(VLOOKUP(E49,#REF!,1,FALSE())),"?TYPE_IDENTIFIABLE","?REFERENTIAL"),"_")))))</f>
        <v/>
      </c>
      <c r="H49" s="23" t="str">
        <f t="shared" ca="1" si="3"/>
        <v/>
      </c>
      <c r="I49" s="24" t="str">
        <f>IF(OR(E49="",E49="!!!",F49="NEW"),"",INDEX(B$2:B48,-1+SUMPRODUCT(MAX(ROW(E$2:E48)*(E49=E$2:E48)))))</f>
        <v/>
      </c>
      <c r="J49" s="24" t="str">
        <f ca="1">IF(OR(E49="",E49="!!!",F49="NEW"),"",COUNTBLANK(OFFSET(A$1,,,SUMPRODUCT(MAX(ROW(E$2:E49)*(E49=E$2:E49)))))-COUNTBLANK(OFFSET(A$1,,,SUMPRODUCT(MAX(ROW(E$1:E48)*(E2=E$1:E48))))))</f>
        <v/>
      </c>
      <c r="K49" s="24" t="str">
        <f>IF(OR(E49="",E49="!!!",F49="NEW"),"",INDEX(J$1:J48,SUMPRODUCT(MAX(ROW(E$1:E48)*(E49=E$1:E48)))))</f>
        <v/>
      </c>
      <c r="L49" s="25"/>
    </row>
    <row r="50" spans="1:12" x14ac:dyDescent="0.3">
      <c r="A50" t="s">
        <v>248</v>
      </c>
      <c r="B50" s="26" t="s">
        <v>233</v>
      </c>
      <c r="C50" s="26" t="s">
        <v>240</v>
      </c>
      <c r="E50" s="20" t="s">
        <v>709</v>
      </c>
      <c r="F50" s="21" t="str">
        <f>IF(OR(E50="",E50="!!!"),"",IF(NOT(ISNA(VLOOKUP(E50,E$1:E49,1,FALSE()))),"OLD",IF(AND(E50&lt;&gt;"",E50&lt;&gt;"!!!"),"NEW","")))</f>
        <v>NEW</v>
      </c>
      <c r="G50" s="22" t="s">
        <v>651</v>
      </c>
      <c r="H50" s="23" t="str">
        <f t="shared" ca="1" si="3"/>
        <v/>
      </c>
      <c r="I50" s="24" t="str">
        <f>IF(OR(E50="",E50="!!!",F50="NEW"),"",INDEX(B$2:B49,-1+SUMPRODUCT(MAX(ROW(E$2:E49)*(E50=E$2:E49)))))</f>
        <v/>
      </c>
      <c r="J50" s="24" t="str">
        <f ca="1">IF(OR(E50="",E50="!!!",F50="NEW"),"",COUNTBLANK(OFFSET(A$1,,,SUMPRODUCT(MAX(ROW(E$2:E50)*(E50=E$2:E50)))))-COUNTBLANK(OFFSET(A$1,,,SUMPRODUCT(MAX(ROW(E$1:E49)*(E2=E$1:E49))))))</f>
        <v/>
      </c>
      <c r="K50" s="24" t="str">
        <f>IF(OR(E50="",E50="!!!",F50="NEW"),"",INDEX(J$1:J49,SUMPRODUCT(MAX(ROW(E$1:E49)*(E50=E$1:E49)))))</f>
        <v/>
      </c>
      <c r="L50" s="25"/>
    </row>
    <row r="51" spans="1:12" x14ac:dyDescent="0.3">
      <c r="A51" t="s">
        <v>249</v>
      </c>
      <c r="B51" s="26" t="s">
        <v>250</v>
      </c>
      <c r="E51" s="20" t="str">
        <f t="shared" si="2"/>
        <v/>
      </c>
      <c r="F51" s="21" t="str">
        <f>IF(OR(E51="",E51="!!!"),"",IF(NOT(ISNA(VLOOKUP(E51,E$1:E50,1,FALSE()))),"OLD",IF(AND(E51&lt;&gt;"",E51&lt;&gt;"!!!"),"NEW","")))</f>
        <v/>
      </c>
      <c r="G51" s="22" t="str">
        <f>IF(OR(E51="",E51="!!!"),"",IF(OR(J51=0,AND(J51=1,K51=1),AND(J51=1,I51="SBJ"),AND(J51=1,I51=0)),"?IN_FOCUS",IF(J51&lt;=2,"?ACTIVATED",IF(J51&lt;&gt;"","?FAMILIAR",IF(F51="NEW",IF(ISNA(VLOOKUP(E51,#REF!,1,FALSE())),"?TYPE_IDENTIFIABLE","?REFERENTIAL"),"_")))))</f>
        <v/>
      </c>
      <c r="H51" s="23" t="str">
        <f t="shared" ca="1" si="3"/>
        <v/>
      </c>
      <c r="I51" s="24" t="str">
        <f>IF(OR(E51="",E51="!!!",F51="NEW"),"",INDEX(B$2:B50,-1+SUMPRODUCT(MAX(ROW(E$2:E50)*(E51=E$2:E50)))))</f>
        <v/>
      </c>
      <c r="J51" s="24" t="str">
        <f ca="1">IF(OR(E51="",E51="!!!",F51="NEW"),"",COUNTBLANK(OFFSET(A$1,,,SUMPRODUCT(MAX(ROW(E$2:E51)*(E51=E$2:E51)))))-COUNTBLANK(OFFSET(A$1,,,SUMPRODUCT(MAX(ROW(E$1:E50)*(E2=E$1:E50))))))</f>
        <v/>
      </c>
      <c r="K51" s="24" t="str">
        <f>IF(OR(E51="",E51="!!!",F51="NEW"),"",INDEX(J$1:J50,SUMPRODUCT(MAX(ROW(E$1:E50)*(E51=E$1:E50)))))</f>
        <v/>
      </c>
      <c r="L51" s="25"/>
    </row>
    <row r="52" spans="1:12" x14ac:dyDescent="0.3">
      <c r="A52" t="s">
        <v>251</v>
      </c>
      <c r="E52" s="20" t="str">
        <f t="shared" si="2"/>
        <v/>
      </c>
      <c r="F52" s="21" t="str">
        <f>IF(OR(E52="",E52="!!!"),"",IF(NOT(ISNA(VLOOKUP(E52,E$1:E51,1,FALSE()))),"OLD",IF(AND(E52&lt;&gt;"",E52&lt;&gt;"!!!"),"NEW","")))</f>
        <v/>
      </c>
      <c r="G52" s="22" t="str">
        <f>IF(OR(E52="",E52="!!!"),"",IF(OR(J52=0,AND(J52=1,K52=1),AND(J52=1,I52="SBJ"),AND(J52=1,I52=0)),"?IN_FOCUS",IF(J52&lt;=2,"?ACTIVATED",IF(J52&lt;&gt;"","?FAMILIAR",IF(F52="NEW",IF(ISNA(VLOOKUP(E52,#REF!,1,FALSE())),"?TYPE_IDENTIFIABLE","?REFERENTIAL"),"_")))))</f>
        <v/>
      </c>
      <c r="H52" s="23" t="str">
        <f t="shared" ca="1" si="3"/>
        <v/>
      </c>
      <c r="I52" s="24" t="str">
        <f>IF(OR(E52="",E52="!!!",F52="NEW"),"",INDEX(B$2:B51,-1+SUMPRODUCT(MAX(ROW(E$2:E51)*(E52=E$2:E51)))))</f>
        <v/>
      </c>
      <c r="J52" s="24" t="str">
        <f ca="1">IF(OR(E52="",E52="!!!",F52="NEW"),"",COUNTBLANK(OFFSET(A$1,,,SUMPRODUCT(MAX(ROW(E$2:E52)*(E52=E$2:E52)))))-COUNTBLANK(OFFSET(A$1,,,SUMPRODUCT(MAX(ROW(E$1:E51)*(E2=E$1:E51))))))</f>
        <v/>
      </c>
      <c r="K52" s="24" t="str">
        <f>IF(OR(E52="",E52="!!!",F52="NEW"),"",INDEX(J$1:J51,SUMPRODUCT(MAX(ROW(E$1:E51)*(E52=E$1:E51)))))</f>
        <v/>
      </c>
      <c r="L52" s="25"/>
    </row>
    <row r="53" spans="1:12" x14ac:dyDescent="0.3">
      <c r="A53" t="s">
        <v>252</v>
      </c>
      <c r="E53" s="20" t="str">
        <f t="shared" si="2"/>
        <v/>
      </c>
      <c r="F53" s="21" t="str">
        <f>IF(OR(E53="",E53="!!!"),"",IF(NOT(ISNA(VLOOKUP(E53,E$1:E52,1,FALSE()))),"OLD",IF(AND(E53&lt;&gt;"",E53&lt;&gt;"!!!"),"NEW","")))</f>
        <v/>
      </c>
      <c r="G53" s="22" t="str">
        <f>IF(OR(E53="",E53="!!!"),"",IF(OR(J53=0,AND(J53=1,K53=1),AND(J53=1,I53="SBJ"),AND(J53=1,I53=0)),"?IN_FOCUS",IF(J53&lt;=2,"?ACTIVATED",IF(J53&lt;&gt;"","?FAMILIAR",IF(F53="NEW",IF(ISNA(VLOOKUP(E53,#REF!,1,FALSE())),"?TYPE_IDENTIFIABLE","?REFERENTIAL"),"_")))))</f>
        <v/>
      </c>
      <c r="H53" s="23" t="str">
        <f t="shared" ca="1" si="3"/>
        <v/>
      </c>
      <c r="I53" s="24" t="str">
        <f>IF(OR(E53="",E53="!!!",F53="NEW"),"",INDEX(B$2:B52,-1+SUMPRODUCT(MAX(ROW(E$2:E52)*(E53=E$2:E52)))))</f>
        <v/>
      </c>
      <c r="J53" s="24" t="str">
        <f ca="1">IF(OR(E53="",E53="!!!",F53="NEW"),"",COUNTBLANK(OFFSET(A$1,,,SUMPRODUCT(MAX(ROW(E$2:E53)*(E53=E$2:E53)))))-COUNTBLANK(OFFSET(A$1,,,SUMPRODUCT(MAX(ROW(E$1:E52)*(E2=E$1:E52))))))</f>
        <v/>
      </c>
      <c r="K53" s="24" t="str">
        <f>IF(OR(E53="",E53="!!!",F53="NEW"),"",INDEX(J$1:J52,SUMPRODUCT(MAX(ROW(E$1:E52)*(E53=E$1:E52)))))</f>
        <v/>
      </c>
      <c r="L53" s="25"/>
    </row>
    <row r="54" spans="1:12" x14ac:dyDescent="0.3">
      <c r="A54" t="s">
        <v>253</v>
      </c>
      <c r="E54" s="20" t="str">
        <f t="shared" si="2"/>
        <v/>
      </c>
      <c r="F54" s="21" t="str">
        <f>IF(OR(E54="",E54="!!!"),"",IF(NOT(ISNA(VLOOKUP(E54,E$1:E53,1,FALSE()))),"OLD",IF(AND(E54&lt;&gt;"",E54&lt;&gt;"!!!"),"NEW","")))</f>
        <v/>
      </c>
      <c r="G54" s="22" t="str">
        <f>IF(OR(E54="",E54="!!!"),"",IF(OR(J54=0,AND(J54=1,K54=1),AND(J54=1,I54="SBJ"),AND(J54=1,I54=0)),"?IN_FOCUS",IF(J54&lt;=2,"?ACTIVATED",IF(J54&lt;&gt;"","?FAMILIAR",IF(F54="NEW",IF(ISNA(VLOOKUP(E54,#REF!,1,FALSE())),"?TYPE_IDENTIFIABLE","?REFERENTIAL"),"_")))))</f>
        <v/>
      </c>
      <c r="H54" s="23" t="str">
        <f t="shared" ca="1" si="3"/>
        <v/>
      </c>
      <c r="I54" s="24" t="str">
        <f>IF(OR(E54="",E54="!!!",F54="NEW"),"",INDEX(B$2:B53,-1+SUMPRODUCT(MAX(ROW(E$2:E53)*(E54=E$2:E53)))))</f>
        <v/>
      </c>
      <c r="J54" s="24" t="str">
        <f ca="1">IF(OR(E54="",E54="!!!",F54="NEW"),"",COUNTBLANK(OFFSET(A$1,,,SUMPRODUCT(MAX(ROW(E$2:E54)*(E54=E$2:E54)))))-COUNTBLANK(OFFSET(A$1,,,SUMPRODUCT(MAX(ROW(E$1:E53)*(E2=E$1:E53))))))</f>
        <v/>
      </c>
      <c r="K54" s="24" t="str">
        <f>IF(OR(E54="",E54="!!!",F54="NEW"),"",INDEX(J$1:J53,SUMPRODUCT(MAX(ROW(E$1:E53)*(E54=E$1:E53)))))</f>
        <v/>
      </c>
      <c r="L54" s="25"/>
    </row>
    <row r="55" spans="1:12" x14ac:dyDescent="0.3">
      <c r="A55" t="s">
        <v>254</v>
      </c>
      <c r="B55" s="26" t="s">
        <v>255</v>
      </c>
      <c r="C55" s="26" t="s">
        <v>206</v>
      </c>
      <c r="E55" s="20" t="str">
        <f t="shared" si="2"/>
        <v/>
      </c>
      <c r="F55" s="21" t="str">
        <f>IF(OR(E55="",E55="!!!"),"",IF(NOT(ISNA(VLOOKUP(E55,E$1:E54,1,FALSE()))),"OLD",IF(AND(E55&lt;&gt;"",E55&lt;&gt;"!!!"),"NEW","")))</f>
        <v/>
      </c>
      <c r="G55" s="22" t="str">
        <f>IF(OR(E55="",E55="!!!"),"",IF(OR(J55=0,AND(J55=1,K55=1),AND(J55=1,I55="SBJ"),AND(J55=1,I55=0)),"?IN_FOCUS",IF(J55&lt;=2,"?ACTIVATED",IF(J55&lt;&gt;"","?FAMILIAR",IF(F55="NEW",IF(ISNA(VLOOKUP(E55,#REF!,1,FALSE())),"?TYPE_IDENTIFIABLE","?REFERENTIAL"),"_")))))</f>
        <v/>
      </c>
      <c r="H55" s="23" t="str">
        <f t="shared" ca="1" si="3"/>
        <v/>
      </c>
      <c r="I55" s="24" t="str">
        <f>IF(OR(E55="",E55="!!!",F55="NEW"),"",INDEX(B$2:B54,-1+SUMPRODUCT(MAX(ROW(E$2:E54)*(E55=E$2:E54)))))</f>
        <v/>
      </c>
      <c r="J55" s="24" t="str">
        <f ca="1">IF(OR(E55="",E55="!!!",F55="NEW"),"",COUNTBLANK(OFFSET(A$1,,,SUMPRODUCT(MAX(ROW(E$2:E55)*(E55=E$2:E55)))))-COUNTBLANK(OFFSET(A$1,,,SUMPRODUCT(MAX(ROW(E$1:E54)*(E2=E$1:E54))))))</f>
        <v/>
      </c>
      <c r="K55" s="24" t="str">
        <f>IF(OR(E55="",E55="!!!",F55="NEW"),"",INDEX(J$1:J54,SUMPRODUCT(MAX(ROW(E$1:E54)*(E55=E$1:E54)))))</f>
        <v/>
      </c>
      <c r="L55" s="25"/>
    </row>
    <row r="56" spans="1:12" x14ac:dyDescent="0.3">
      <c r="A56" t="s">
        <v>234</v>
      </c>
      <c r="E56" s="20" t="str">
        <f t="shared" si="2"/>
        <v/>
      </c>
      <c r="F56" s="21" t="str">
        <f>IF(OR(E56="",E56="!!!"),"",IF(NOT(ISNA(VLOOKUP(E56,E$1:E55,1,FALSE()))),"OLD",IF(AND(E56&lt;&gt;"",E56&lt;&gt;"!!!"),"NEW","")))</f>
        <v/>
      </c>
      <c r="G56" s="22" t="str">
        <f>IF(OR(E56="",E56="!!!"),"",IF(OR(J56=0,AND(J56=1,K56=1),AND(J56=1,I56="SBJ"),AND(J56=1,I56=0)),"?IN_FOCUS",IF(J56&lt;=2,"?ACTIVATED",IF(J56&lt;&gt;"","?FAMILIAR",IF(F56="NEW",IF(ISNA(VLOOKUP(E56,#REF!,1,FALSE())),"?TYPE_IDENTIFIABLE","?REFERENTIAL"),"_")))))</f>
        <v/>
      </c>
      <c r="H56" s="23" t="str">
        <f t="shared" ca="1" si="3"/>
        <v/>
      </c>
      <c r="I56" s="24" t="str">
        <f>IF(OR(E56="",E56="!!!",F56="NEW"),"",INDEX(B$2:B55,-1+SUMPRODUCT(MAX(ROW(E$2:E55)*(E56=E$2:E55)))))</f>
        <v/>
      </c>
      <c r="J56" s="24" t="str">
        <f ca="1">IF(OR(E56="",E56="!!!",F56="NEW"),"",COUNTBLANK(OFFSET(A$1,,,SUMPRODUCT(MAX(ROW(E$2:E56)*(E56=E$2:E56)))))-COUNTBLANK(OFFSET(A$1,,,SUMPRODUCT(MAX(ROW(E$1:E55)*(E2=E$1:E55))))))</f>
        <v/>
      </c>
      <c r="K56" s="24" t="str">
        <f>IF(OR(E56="",E56="!!!",F56="NEW"),"",INDEX(J$1:J55,SUMPRODUCT(MAX(ROW(E$1:E55)*(E56=E$1:E55)))))</f>
        <v/>
      </c>
      <c r="L56" s="25"/>
    </row>
    <row r="58" spans="1:12" x14ac:dyDescent="0.3">
      <c r="A58" t="s">
        <v>256</v>
      </c>
    </row>
    <row r="59" spans="1:12" x14ac:dyDescent="0.3">
      <c r="A59" t="s">
        <v>236</v>
      </c>
      <c r="E59" s="20" t="str">
        <f t="shared" ref="E59:E89" si="4">IF(D59="?OLD","!!!","")</f>
        <v/>
      </c>
      <c r="F59" s="21" t="str">
        <f>IF(OR(E59="",E59="!!!"),"",IF(NOT(ISNA(VLOOKUP(E59,E$1:E58,1,FALSE()))),"OLD",IF(AND(E59&lt;&gt;"",E59&lt;&gt;"!!!"),"NEW","")))</f>
        <v/>
      </c>
      <c r="G59" s="22" t="str">
        <f>IF(OR(E59="",E59="!!!"),"",IF(OR(J59=0,AND(J59=1,K59=1),AND(J59=1,I59="SBJ"),AND(J59=1,I59=0)),"?IN_FOCUS",IF(J59&lt;=2,"?ACTIVATED",IF(J59&lt;&gt;"","?FAMILIAR",IF(F59="NEW",IF(ISNA(VLOOKUP(E59,#REF!,1,FALSE())),"?TYPE_IDENTIFIABLE","?REFERENTIAL"),"_")))))</f>
        <v/>
      </c>
      <c r="H59" s="23" t="str">
        <f t="shared" ref="H59:H90" ca="1" si="5">IF(J59&lt;&gt;1,"",IF(I59="SBJ","CB","?"))</f>
        <v/>
      </c>
      <c r="I59" s="24" t="str">
        <f>IF(OR(E59="",E59="!!!",F59="NEW"),"",INDEX(B$2:B58,-1+SUMPRODUCT(MAX(ROW(E$2:E58)*(E59=E$2:E58)))))</f>
        <v/>
      </c>
      <c r="J59" s="24" t="str">
        <f ca="1">IF(OR(E59="",E59="!!!",F59="NEW"),"",COUNTBLANK(OFFSET(A$1,,,SUMPRODUCT(MAX(ROW(E$2:E59)*(E59=E$2:E59)))))-COUNTBLANK(OFFSET(A$1,,,SUMPRODUCT(MAX(ROW(E$1:E58)*(E2=E$1:E58))))))</f>
        <v/>
      </c>
      <c r="K59" s="24" t="str">
        <f>IF(OR(E59="",E59="!!!",F59="NEW"),"",INDEX(J$1:J58,SUMPRODUCT(MAX(ROW(E$1:E58)*(E59=E$1:E58)))))</f>
        <v/>
      </c>
      <c r="L59" s="25"/>
    </row>
    <row r="60" spans="1:12" ht="28.8" x14ac:dyDescent="0.3">
      <c r="A60" t="s">
        <v>257</v>
      </c>
      <c r="B60" s="26" t="s">
        <v>213</v>
      </c>
      <c r="C60" s="26" t="s">
        <v>230</v>
      </c>
      <c r="D60" s="26" t="s">
        <v>215</v>
      </c>
      <c r="E60" s="20" t="s">
        <v>739</v>
      </c>
      <c r="F60" s="21" t="s">
        <v>650</v>
      </c>
      <c r="G60" s="22" t="s">
        <v>652</v>
      </c>
      <c r="H60" s="23" t="str">
        <f t="shared" ca="1" si="5"/>
        <v/>
      </c>
      <c r="I60" s="24" t="e">
        <f>IF(OR(E60="",E60="!!!",F60="NEW"),"",INDEX(B$2:B59,-1+SUMPRODUCT(MAX(ROW(E$2:E59)*(E60=E$2:E59)))))</f>
        <v>#VALUE!</v>
      </c>
      <c r="J60" s="24">
        <f ca="1">IF(OR(E60="",E60="!!!",F60="NEW"),"",COUNTBLANK(OFFSET(A$1,,,SUMPRODUCT(MAX(ROW(E$2:E60)*(E60=E$2:E60)))))-COUNTBLANK(OFFSET(A$1,,,SUMPRODUCT(MAX(ROW(E$1:E59)*(E2=E$1:E59))))))</f>
        <v>0</v>
      </c>
      <c r="K60" s="24" t="e">
        <f>IF(OR(E60="",E60="!!!",F60="NEW"),"",INDEX(J$1:J59,SUMPRODUCT(MAX(ROW(E$1:E59)*(E60=E$1:E59)))))</f>
        <v>#VALUE!</v>
      </c>
      <c r="L60" s="25" t="s">
        <v>740</v>
      </c>
    </row>
    <row r="61" spans="1:12" x14ac:dyDescent="0.3">
      <c r="A61" t="s">
        <v>258</v>
      </c>
      <c r="E61" s="20" t="str">
        <f t="shared" si="4"/>
        <v/>
      </c>
      <c r="F61" s="21" t="str">
        <f>IF(OR(E61="",E61="!!!"),"",IF(NOT(ISNA(VLOOKUP(E61,E$1:E60,1,FALSE()))),"OLD",IF(AND(E61&lt;&gt;"",E61&lt;&gt;"!!!"),"NEW","")))</f>
        <v/>
      </c>
      <c r="G61" s="22" t="str">
        <f>IF(OR(E61="",E61="!!!"),"",IF(OR(J61=0,AND(J61=1,K61=1),AND(J61=1,I61="SBJ"),AND(J61=1,I61=0)),"?IN_FOCUS",IF(J61&lt;=2,"?ACTIVATED",IF(J61&lt;&gt;"","?FAMILIAR",IF(F61="NEW",IF(ISNA(VLOOKUP(E61,#REF!,1,FALSE())),"?TYPE_IDENTIFIABLE","?REFERENTIAL"),"_")))))</f>
        <v/>
      </c>
      <c r="H61" s="23" t="str">
        <f t="shared" ca="1" si="5"/>
        <v/>
      </c>
      <c r="I61" s="24" t="str">
        <f>IF(OR(E61="",E61="!!!",F61="NEW"),"",INDEX(B$2:B60,-1+SUMPRODUCT(MAX(ROW(E$2:E60)*(E61=E$2:E60)))))</f>
        <v/>
      </c>
      <c r="J61" s="24" t="str">
        <f ca="1">IF(OR(E61="",E61="!!!",F61="NEW"),"",COUNTBLANK(OFFSET(A$1,,,SUMPRODUCT(MAX(ROW(E$2:E61)*(E61=E$2:E61)))))-COUNTBLANK(OFFSET(A$1,,,SUMPRODUCT(MAX(ROW(E$1:E60)*(E2=E$1:E60))))))</f>
        <v/>
      </c>
      <c r="K61" s="24" t="str">
        <f>IF(OR(E61="",E61="!!!",F61="NEW"),"",INDEX(J$1:J60,SUMPRODUCT(MAX(ROW(E$1:E60)*(E61=E$1:E60)))))</f>
        <v/>
      </c>
      <c r="L61" s="25"/>
    </row>
    <row r="62" spans="1:12" x14ac:dyDescent="0.3">
      <c r="A62" t="s">
        <v>259</v>
      </c>
      <c r="E62" s="20" t="str">
        <f t="shared" si="4"/>
        <v/>
      </c>
      <c r="F62" s="21" t="str">
        <f>IF(OR(E62="",E62="!!!"),"",IF(NOT(ISNA(VLOOKUP(E62,E$1:E61,1,FALSE()))),"OLD",IF(AND(E62&lt;&gt;"",E62&lt;&gt;"!!!"),"NEW","")))</f>
        <v/>
      </c>
      <c r="G62" s="22" t="str">
        <f>IF(OR(E62="",E62="!!!"),"",IF(OR(J62=0,AND(J62=1,K62=1),AND(J62=1,I62="SBJ"),AND(J62=1,I62=0)),"?IN_FOCUS",IF(J62&lt;=2,"?ACTIVATED",IF(J62&lt;&gt;"","?FAMILIAR",IF(F62="NEW",IF(ISNA(VLOOKUP(E62,#REF!,1,FALSE())),"?TYPE_IDENTIFIABLE","?REFERENTIAL"),"_")))))</f>
        <v/>
      </c>
      <c r="H62" s="23" t="str">
        <f t="shared" ca="1" si="5"/>
        <v/>
      </c>
      <c r="I62" s="24" t="str">
        <f>IF(OR(E62="",E62="!!!",F62="NEW"),"",INDEX(B$2:B61,-1+SUMPRODUCT(MAX(ROW(E$2:E61)*(E62=E$2:E61)))))</f>
        <v/>
      </c>
      <c r="J62" s="24" t="str">
        <f ca="1">IF(OR(E62="",E62="!!!",F62="NEW"),"",COUNTBLANK(OFFSET(A$1,,,SUMPRODUCT(MAX(ROW(E$2:E62)*(E62=E$2:E62)))))-COUNTBLANK(OFFSET(A$1,,,SUMPRODUCT(MAX(ROW(E$1:E61)*(E2=E$1:E61))))))</f>
        <v/>
      </c>
      <c r="K62" s="24" t="str">
        <f>IF(OR(E62="",E62="!!!",F62="NEW"),"",INDEX(J$1:J61,SUMPRODUCT(MAX(ROW(E$1:E61)*(E62=E$1:E61)))))</f>
        <v/>
      </c>
      <c r="L62" s="25"/>
    </row>
    <row r="63" spans="1:12" x14ac:dyDescent="0.3">
      <c r="A63" t="s">
        <v>238</v>
      </c>
      <c r="E63" s="20" t="str">
        <f t="shared" si="4"/>
        <v/>
      </c>
      <c r="F63" s="21" t="str">
        <f>IF(OR(E63="",E63="!!!"),"",IF(NOT(ISNA(VLOOKUP(E63,E$1:E62,1,FALSE()))),"OLD",IF(AND(E63&lt;&gt;"",E63&lt;&gt;"!!!"),"NEW","")))</f>
        <v/>
      </c>
      <c r="G63" s="22" t="str">
        <f>IF(OR(E63="",E63="!!!"),"",IF(OR(J63=0,AND(J63=1,K63=1),AND(J63=1,I63="SBJ"),AND(J63=1,I63=0)),"?IN_FOCUS",IF(J63&lt;=2,"?ACTIVATED",IF(J63&lt;&gt;"","?FAMILIAR",IF(F63="NEW",IF(ISNA(VLOOKUP(E63,#REF!,1,FALSE())),"?TYPE_IDENTIFIABLE","?REFERENTIAL"),"_")))))</f>
        <v/>
      </c>
      <c r="H63" s="23" t="str">
        <f t="shared" ca="1" si="5"/>
        <v/>
      </c>
      <c r="I63" s="24" t="str">
        <f>IF(OR(E63="",E63="!!!",F63="NEW"),"",INDEX(B$2:B62,-1+SUMPRODUCT(MAX(ROW(E$2:E62)*(E63=E$2:E62)))))</f>
        <v/>
      </c>
      <c r="J63" s="24" t="str">
        <f ca="1">IF(OR(E63="",E63="!!!",F63="NEW"),"",COUNTBLANK(OFFSET(A$1,,,SUMPRODUCT(MAX(ROW(E$2:E63)*(E63=E$2:E63)))))-COUNTBLANK(OFFSET(A$1,,,SUMPRODUCT(MAX(ROW(E$1:E62)*(E2=E$1:E62))))))</f>
        <v/>
      </c>
      <c r="K63" s="24" t="str">
        <f>IF(OR(E63="",E63="!!!",F63="NEW"),"",INDEX(J$1:J62,SUMPRODUCT(MAX(ROW(E$1:E62)*(E63=E$1:E62)))))</f>
        <v/>
      </c>
      <c r="L63" s="25"/>
    </row>
    <row r="64" spans="1:12" x14ac:dyDescent="0.3">
      <c r="A64" t="s">
        <v>260</v>
      </c>
      <c r="B64" s="26" t="s">
        <v>261</v>
      </c>
      <c r="C64" s="26" t="s">
        <v>240</v>
      </c>
      <c r="E64" s="20" t="str">
        <f t="shared" si="4"/>
        <v/>
      </c>
      <c r="F64" s="21" t="str">
        <f>IF(OR(E64="",E64="!!!"),"",IF(NOT(ISNA(VLOOKUP(E64,E$1:E63,1,FALSE()))),"OLD",IF(AND(E64&lt;&gt;"",E64&lt;&gt;"!!!"),"NEW","")))</f>
        <v/>
      </c>
      <c r="G64" s="22" t="str">
        <f>IF(OR(E64="",E64="!!!"),"",IF(OR(J64=0,AND(J64=1,K64=1),AND(J64=1,I64="SBJ"),AND(J64=1,I64=0)),"?IN_FOCUS",IF(J64&lt;=2,"?ACTIVATED",IF(J64&lt;&gt;"","?FAMILIAR",IF(F64="NEW",IF(ISNA(VLOOKUP(E64,#REF!,1,FALSE())),"?TYPE_IDENTIFIABLE","?REFERENTIAL"),"_")))))</f>
        <v/>
      </c>
      <c r="H64" s="23" t="str">
        <f t="shared" ca="1" si="5"/>
        <v/>
      </c>
      <c r="I64" s="24" t="str">
        <f>IF(OR(E64="",E64="!!!",F64="NEW"),"",INDEX(B$2:B63,-1+SUMPRODUCT(MAX(ROW(E$2:E63)*(E64=E$2:E63)))))</f>
        <v/>
      </c>
      <c r="J64" s="24" t="str">
        <f ca="1">IF(OR(E64="",E64="!!!",F64="NEW"),"",COUNTBLANK(OFFSET(A$1,,,SUMPRODUCT(MAX(ROW(E$2:E64)*(E64=E$2:E64)))))-COUNTBLANK(OFFSET(A$1,,,SUMPRODUCT(MAX(ROW(E$1:E63)*(E2=E$1:E63))))))</f>
        <v/>
      </c>
      <c r="K64" s="24" t="str">
        <f>IF(OR(E64="",E64="!!!",F64="NEW"),"",INDEX(J$1:J63,SUMPRODUCT(MAX(ROW(E$1:E63)*(E64=E$1:E63)))))</f>
        <v/>
      </c>
      <c r="L64" s="25"/>
    </row>
    <row r="65" spans="1:12" x14ac:dyDescent="0.3">
      <c r="A65" t="s">
        <v>249</v>
      </c>
      <c r="E65" s="20" t="str">
        <f t="shared" si="4"/>
        <v/>
      </c>
      <c r="F65" s="21" t="str">
        <f>IF(OR(E65="",E65="!!!"),"",IF(NOT(ISNA(VLOOKUP(E65,E$1:E64,1,FALSE()))),"OLD",IF(AND(E65&lt;&gt;"",E65&lt;&gt;"!!!"),"NEW","")))</f>
        <v/>
      </c>
      <c r="G65" s="22" t="str">
        <f>IF(OR(E65="",E65="!!!"),"",IF(OR(J65=0,AND(J65=1,K65=1),AND(J65=1,I65="SBJ"),AND(J65=1,I65=0)),"?IN_FOCUS",IF(J65&lt;=2,"?ACTIVATED",IF(J65&lt;&gt;"","?FAMILIAR",IF(F65="NEW",IF(ISNA(VLOOKUP(E65,#REF!,1,FALSE())),"?TYPE_IDENTIFIABLE","?REFERENTIAL"),"_")))))</f>
        <v/>
      </c>
      <c r="H65" s="23" t="str">
        <f t="shared" ca="1" si="5"/>
        <v/>
      </c>
      <c r="I65" s="24" t="str">
        <f>IF(OR(E65="",E65="!!!",F65="NEW"),"",INDEX(B$2:B64,-1+SUMPRODUCT(MAX(ROW(E$2:E64)*(E65=E$2:E64)))))</f>
        <v/>
      </c>
      <c r="J65" s="24" t="str">
        <f ca="1">IF(OR(E65="",E65="!!!",F65="NEW"),"",COUNTBLANK(OFFSET(A$1,,,SUMPRODUCT(MAX(ROW(E$2:E65)*(E65=E$2:E65)))))-COUNTBLANK(OFFSET(A$1,,,SUMPRODUCT(MAX(ROW(E$1:E64)*(E2=E$1:E64))))))</f>
        <v/>
      </c>
      <c r="K65" s="24" t="str">
        <f>IF(OR(E65="",E65="!!!",F65="NEW"),"",INDEX(J$1:J64,SUMPRODUCT(MAX(ROW(E$1:E64)*(E65=E$1:E64)))))</f>
        <v/>
      </c>
      <c r="L65" s="25"/>
    </row>
    <row r="66" spans="1:12" x14ac:dyDescent="0.3">
      <c r="A66" t="s">
        <v>262</v>
      </c>
      <c r="B66" s="26" t="s">
        <v>263</v>
      </c>
      <c r="C66" s="26" t="s">
        <v>264</v>
      </c>
      <c r="D66" s="26" t="s">
        <v>215</v>
      </c>
      <c r="E66" s="20" t="s">
        <v>654</v>
      </c>
      <c r="F66" s="21" t="s">
        <v>655</v>
      </c>
      <c r="G66" s="22" t="str">
        <f ca="1">IF(OR(E66="",E66="!!!"),"",IF(OR(J66=0,AND(J66=1,K66=1),AND(J66=1,I66="SBJ"),AND(J66=1,I66=0)),"?IN_FOCUS",IF(J66&lt;=2,"?ACTIVATED",IF(J66&lt;&gt;"","?FAMILIAR",IF(F66="NEW",IF(ISNA(VLOOKUP(E66,#REF!,1,FALSE())),"?TYPE_IDENTIFIABLE","?REFERENTIAL"),"_")))))</f>
        <v>?REFERENTIAL</v>
      </c>
      <c r="H66" s="23" t="str">
        <f t="shared" ca="1" si="5"/>
        <v/>
      </c>
      <c r="I66" s="24" t="str">
        <f>IF(OR(E66="",E66="!!!",F66="NEW"),"",INDEX(B$2:B65,-1+SUMPRODUCT(MAX(ROW(E$2:E65)*(E66=E$2:E65)))))</f>
        <v/>
      </c>
      <c r="J66" s="24" t="str">
        <f ca="1">IF(OR(E66="",E66="!!!",F66="NEW"),"",COUNTBLANK(OFFSET(A$1,,,SUMPRODUCT(MAX(ROW(E$2:E66)*(E66=E$2:E66)))))-COUNTBLANK(OFFSET(A$1,,,SUMPRODUCT(MAX(ROW(E$1:E65)*(E2=E$1:E65))))))</f>
        <v/>
      </c>
      <c r="K66" s="24" t="str">
        <f>IF(OR(E66="",E66="!!!",F66="NEW"),"",INDEX(J$1:J65,SUMPRODUCT(MAX(ROW(E$1:E65)*(E66=E$1:E65)))))</f>
        <v/>
      </c>
      <c r="L66" s="25"/>
    </row>
    <row r="67" spans="1:12" x14ac:dyDescent="0.3">
      <c r="A67" t="s">
        <v>223</v>
      </c>
      <c r="E67" s="20" t="str">
        <f t="shared" si="4"/>
        <v/>
      </c>
      <c r="F67" s="21" t="str">
        <f>IF(OR(E67="",E67="!!!"),"",IF(NOT(ISNA(VLOOKUP(E67,E$1:E66,1,FALSE()))),"OLD",IF(AND(E67&lt;&gt;"",E67&lt;&gt;"!!!"),"NEW","")))</f>
        <v/>
      </c>
      <c r="G67" s="22" t="str">
        <f>IF(OR(E67="",E67="!!!"),"",IF(OR(J67=0,AND(J67=1,K67=1),AND(J67=1,I67="SBJ"),AND(J67=1,I67=0)),"?IN_FOCUS",IF(J67&lt;=2,"?ACTIVATED",IF(J67&lt;&gt;"","?FAMILIAR",IF(F67="NEW",IF(ISNA(VLOOKUP(E67,#REF!,1,FALSE())),"?TYPE_IDENTIFIABLE","?REFERENTIAL"),"_")))))</f>
        <v/>
      </c>
      <c r="H67" s="23" t="str">
        <f t="shared" ca="1" si="5"/>
        <v/>
      </c>
      <c r="I67" s="24" t="str">
        <f>IF(OR(E67="",E67="!!!",F67="NEW"),"",INDEX(B$2:B66,-1+SUMPRODUCT(MAX(ROW(E$2:E66)*(E67=E$2:E66)))))</f>
        <v/>
      </c>
      <c r="J67" s="24" t="str">
        <f ca="1">IF(OR(E67="",E67="!!!",F67="NEW"),"",COUNTBLANK(OFFSET(A$1,,,SUMPRODUCT(MAX(ROW(E$2:E67)*(E67=E$2:E67)))))-COUNTBLANK(OFFSET(A$1,,,SUMPRODUCT(MAX(ROW(E$1:E66)*(E2=E$1:E66))))))</f>
        <v/>
      </c>
      <c r="K67" s="24" t="str">
        <f>IF(OR(E67="",E67="!!!",F67="NEW"),"",INDEX(J$1:J66,SUMPRODUCT(MAX(ROW(E$1:E66)*(E67=E$1:E66)))))</f>
        <v/>
      </c>
      <c r="L67" s="25"/>
    </row>
    <row r="68" spans="1:12" x14ac:dyDescent="0.3">
      <c r="A68" t="s">
        <v>265</v>
      </c>
      <c r="B68" s="26" t="s">
        <v>266</v>
      </c>
      <c r="C68" s="26" t="s">
        <v>230</v>
      </c>
      <c r="D68" s="26" t="s">
        <v>215</v>
      </c>
      <c r="E68" s="20" t="s">
        <v>656</v>
      </c>
      <c r="F68" s="21" t="str">
        <f>IF(OR(E68="",E68="!!!"),"",IF(NOT(ISNA(VLOOKUP(E68,E$1:E67,1,FALSE()))),"OLD",IF(AND(E68&lt;&gt;"",E68&lt;&gt;"!!!"),"NEW","")))</f>
        <v>NEW</v>
      </c>
      <c r="G68" s="22" t="s">
        <v>652</v>
      </c>
      <c r="H68" s="23" t="str">
        <f t="shared" ca="1" si="5"/>
        <v/>
      </c>
      <c r="I68" s="24" t="str">
        <f>IF(OR(E68="",E68="!!!",F68="NEW"),"",INDEX(B$2:B67,-1+SUMPRODUCT(MAX(ROW(E$2:E67)*(E68=E$2:E67)))))</f>
        <v/>
      </c>
      <c r="J68" s="24" t="str">
        <f ca="1">IF(OR(E68="",E68="!!!",F68="NEW"),"",COUNTBLANK(OFFSET(A$1,,,SUMPRODUCT(MAX(ROW(E$2:E68)*(E68=E$2:E68)))))-COUNTBLANK(OFFSET(A$1,,,SUMPRODUCT(MAX(ROW(E$1:E67)*(E2=E$1:E67))))))</f>
        <v/>
      </c>
      <c r="K68" s="24" t="str">
        <f>IF(OR(E68="",E68="!!!",F68="NEW"),"",INDEX(J$1:J67,SUMPRODUCT(MAX(ROW(E$1:E67)*(E68=E$1:E67)))))</f>
        <v/>
      </c>
      <c r="L68" s="25"/>
    </row>
    <row r="69" spans="1:12" x14ac:dyDescent="0.3">
      <c r="A69" t="s">
        <v>267</v>
      </c>
      <c r="E69" s="20" t="str">
        <f t="shared" si="4"/>
        <v/>
      </c>
      <c r="F69" s="21" t="str">
        <f>IF(OR(E69="",E69="!!!"),"",IF(NOT(ISNA(VLOOKUP(E69,E$1:E68,1,FALSE()))),"OLD",IF(AND(E69&lt;&gt;"",E69&lt;&gt;"!!!"),"NEW","")))</f>
        <v/>
      </c>
      <c r="G69" s="22" t="str">
        <f>IF(OR(E69="",E69="!!!"),"",IF(OR(J69=0,AND(J69=1,K69=1),AND(J69=1,I69="SBJ"),AND(J69=1,I69=0)),"?IN_FOCUS",IF(J69&lt;=2,"?ACTIVATED",IF(J69&lt;&gt;"","?FAMILIAR",IF(F69="NEW",IF(ISNA(VLOOKUP(E69,#REF!,1,FALSE())),"?TYPE_IDENTIFIABLE","?REFERENTIAL"),"_")))))</f>
        <v/>
      </c>
      <c r="H69" s="23" t="str">
        <f t="shared" ca="1" si="5"/>
        <v/>
      </c>
      <c r="I69" s="24" t="str">
        <f>IF(OR(E69="",E69="!!!",F69="NEW"),"",INDEX(B$2:B68,-1+SUMPRODUCT(MAX(ROW(E$2:E68)*(E69=E$2:E68)))))</f>
        <v/>
      </c>
      <c r="J69" s="24" t="str">
        <f ca="1">IF(OR(E69="",E69="!!!",F69="NEW"),"",COUNTBLANK(OFFSET(A$1,,,SUMPRODUCT(MAX(ROW(E$2:E69)*(E69=E$2:E69)))))-COUNTBLANK(OFFSET(A$1,,,SUMPRODUCT(MAX(ROW(E$1:E68)*(E2=E$1:E68))))))</f>
        <v/>
      </c>
      <c r="K69" s="24" t="str">
        <f>IF(OR(E69="",E69="!!!",F69="NEW"),"",INDEX(J$1:J68,SUMPRODUCT(MAX(ROW(E$1:E68)*(E69=E$1:E68)))))</f>
        <v/>
      </c>
      <c r="L69" s="25"/>
    </row>
    <row r="70" spans="1:12" x14ac:dyDescent="0.3">
      <c r="A70" t="s">
        <v>207</v>
      </c>
      <c r="E70" s="20" t="str">
        <f t="shared" si="4"/>
        <v/>
      </c>
      <c r="F70" s="21" t="str">
        <f>IF(OR(E70="",E70="!!!"),"",IF(NOT(ISNA(VLOOKUP(E70,E$1:E69,1,FALSE()))),"OLD",IF(AND(E70&lt;&gt;"",E70&lt;&gt;"!!!"),"NEW","")))</f>
        <v/>
      </c>
      <c r="G70" s="22" t="str">
        <f>IF(OR(E70="",E70="!!!"),"",IF(OR(J70=0,AND(J70=1,K70=1),AND(J70=1,I70="SBJ"),AND(J70=1,I70=0)),"?IN_FOCUS",IF(J70&lt;=2,"?ACTIVATED",IF(J70&lt;&gt;"","?FAMILIAR",IF(F70="NEW",IF(ISNA(VLOOKUP(E70,#REF!,1,FALSE())),"?TYPE_IDENTIFIABLE","?REFERENTIAL"),"_")))))</f>
        <v/>
      </c>
      <c r="H70" s="23" t="str">
        <f t="shared" ca="1" si="5"/>
        <v/>
      </c>
      <c r="I70" s="24" t="str">
        <f>IF(OR(E70="",E70="!!!",F70="NEW"),"",INDEX(B$2:B69,-1+SUMPRODUCT(MAX(ROW(E$2:E69)*(E70=E$2:E69)))))</f>
        <v/>
      </c>
      <c r="J70" s="24" t="str">
        <f ca="1">IF(OR(E70="",E70="!!!",F70="NEW"),"",COUNTBLANK(OFFSET(A$1,,,SUMPRODUCT(MAX(ROW(E$2:E70)*(E70=E$2:E70)))))-COUNTBLANK(OFFSET(A$1,,,SUMPRODUCT(MAX(ROW(E$1:E69)*(E2=E$1:E69))))))</f>
        <v/>
      </c>
      <c r="K70" s="24" t="str">
        <f>IF(OR(E70="",E70="!!!",F70="NEW"),"",INDEX(J$1:J69,SUMPRODUCT(MAX(ROW(E$1:E69)*(E70=E$1:E69)))))</f>
        <v/>
      </c>
      <c r="L70" s="25"/>
    </row>
    <row r="71" spans="1:12" x14ac:dyDescent="0.3">
      <c r="A71" t="s">
        <v>268</v>
      </c>
      <c r="E71" s="20" t="str">
        <f t="shared" si="4"/>
        <v/>
      </c>
      <c r="F71" s="21" t="str">
        <f>IF(OR(E71="",E71="!!!"),"",IF(NOT(ISNA(VLOOKUP(E71,E$1:E70,1,FALSE()))),"OLD",IF(AND(E71&lt;&gt;"",E71&lt;&gt;"!!!"),"NEW","")))</f>
        <v/>
      </c>
      <c r="G71" s="22" t="str">
        <f>IF(OR(E71="",E71="!!!"),"",IF(OR(J71=0,AND(J71=1,K71=1),AND(J71=1,I71="SBJ"),AND(J71=1,I71=0)),"?IN_FOCUS",IF(J71&lt;=2,"?ACTIVATED",IF(J71&lt;&gt;"","?FAMILIAR",IF(F71="NEW",IF(ISNA(VLOOKUP(E71,#REF!,1,FALSE())),"?TYPE_IDENTIFIABLE","?REFERENTIAL"),"_")))))</f>
        <v/>
      </c>
      <c r="H71" s="23" t="str">
        <f t="shared" ca="1" si="5"/>
        <v/>
      </c>
      <c r="I71" s="24" t="str">
        <f>IF(OR(E71="",E71="!!!",F71="NEW"),"",INDEX(B$2:B70,-1+SUMPRODUCT(MAX(ROW(E$2:E70)*(E71=E$2:E70)))))</f>
        <v/>
      </c>
      <c r="J71" s="24" t="str">
        <f ca="1">IF(OR(E71="",E71="!!!",F71="NEW"),"",COUNTBLANK(OFFSET(A$1,,,SUMPRODUCT(MAX(ROW(E$2:E71)*(E71=E$2:E71)))))-COUNTBLANK(OFFSET(A$1,,,SUMPRODUCT(MAX(ROW(E$1:E70)*(E2=E$1:E70))))))</f>
        <v/>
      </c>
      <c r="K71" s="24" t="str">
        <f>IF(OR(E71="",E71="!!!",F71="NEW"),"",INDEX(J$1:J70,SUMPRODUCT(MAX(ROW(E$1:E70)*(E71=E$1:E70)))))</f>
        <v/>
      </c>
      <c r="L71" s="25"/>
    </row>
    <row r="72" spans="1:12" x14ac:dyDescent="0.3">
      <c r="A72" t="s">
        <v>212</v>
      </c>
      <c r="B72" s="26" t="s">
        <v>269</v>
      </c>
      <c r="C72" s="26" t="s">
        <v>214</v>
      </c>
      <c r="D72" s="26" t="s">
        <v>215</v>
      </c>
      <c r="E72" s="20" t="s">
        <v>647</v>
      </c>
      <c r="F72" s="21" t="str">
        <f>IF(OR(E72="",E72="!!!"),"",IF(NOT(ISNA(VLOOKUP(E72,E$1:E71,1,FALSE()))),"OLD",IF(AND(E72&lt;&gt;"",E72&lt;&gt;"!!!"),"NEW","")))</f>
        <v>OLD</v>
      </c>
      <c r="G72" s="22" t="s">
        <v>657</v>
      </c>
      <c r="H72" s="23" t="str">
        <f t="shared" ca="1" si="5"/>
        <v/>
      </c>
      <c r="I72" s="24" t="str">
        <f>IF(OR(E72="",E72="!!!",F72="NEW"),"",INDEX(B$2:B71,-1+SUMPRODUCT(MAX(ROW(E$2:E71)*(E72=E$2:E71)))))</f>
        <v>SBJ_2</v>
      </c>
      <c r="J72" s="24">
        <f ca="1">IF(OR(E72="",E72="!!!",F72="NEW"),"",COUNTBLANK(OFFSET(A$1,,,SUMPRODUCT(MAX(ROW(E$2:E72)*(E72=E$2:E72)))))-COUNTBLANK(OFFSET(A$1,,,SUMPRODUCT(MAX(ROW(E$1:E71)*(E2=E$1:E71))))))</f>
        <v>0</v>
      </c>
      <c r="K72" s="24">
        <f ca="1">IF(OR(E72="",E72="!!!",F72="NEW"),"",INDEX(J$1:J71,SUMPRODUCT(MAX(ROW(E$1:E71)*(E72=E$1:E71)))))</f>
        <v>0</v>
      </c>
      <c r="L72" s="25"/>
    </row>
    <row r="73" spans="1:12" x14ac:dyDescent="0.3">
      <c r="A73" t="s">
        <v>270</v>
      </c>
      <c r="E73" s="20" t="str">
        <f t="shared" si="4"/>
        <v/>
      </c>
      <c r="F73" s="21" t="str">
        <f>IF(OR(E73="",E73="!!!"),"",IF(NOT(ISNA(VLOOKUP(E73,E$1:E72,1,FALSE()))),"OLD",IF(AND(E73&lt;&gt;"",E73&lt;&gt;"!!!"),"NEW","")))</f>
        <v/>
      </c>
      <c r="G73" s="22" t="str">
        <f>IF(OR(E73="",E73="!!!"),"",IF(OR(J73=0,AND(J73=1,K73=1),AND(J73=1,I73="SBJ"),AND(J73=1,I73=0)),"?IN_FOCUS",IF(J73&lt;=2,"?ACTIVATED",IF(J73&lt;&gt;"","?FAMILIAR",IF(F73="NEW",IF(ISNA(VLOOKUP(E73,#REF!,1,FALSE())),"?TYPE_IDENTIFIABLE","?REFERENTIAL"),"_")))))</f>
        <v/>
      </c>
      <c r="H73" s="23" t="str">
        <f t="shared" ca="1" si="5"/>
        <v/>
      </c>
      <c r="I73" s="24" t="str">
        <f>IF(OR(E73="",E73="!!!",F73="NEW"),"",INDEX(B$2:B72,-1+SUMPRODUCT(MAX(ROW(E$2:E72)*(E73=E$2:E72)))))</f>
        <v/>
      </c>
      <c r="J73" s="24" t="str">
        <f ca="1">IF(OR(E73="",E73="!!!",F73="NEW"),"",COUNTBLANK(OFFSET(A$1,,,SUMPRODUCT(MAX(ROW(E$2:E73)*(E73=E$2:E73)))))-COUNTBLANK(OFFSET(A$1,,,SUMPRODUCT(MAX(ROW(E$1:E72)*(E2=E$1:E72))))))</f>
        <v/>
      </c>
      <c r="K73" s="24" t="str">
        <f>IF(OR(E73="",E73="!!!",F73="NEW"),"",INDEX(J$1:J72,SUMPRODUCT(MAX(ROW(E$1:E72)*(E73=E$1:E72)))))</f>
        <v/>
      </c>
      <c r="L73" s="25" t="s">
        <v>671</v>
      </c>
    </row>
    <row r="74" spans="1:12" x14ac:dyDescent="0.3">
      <c r="A74" t="s">
        <v>271</v>
      </c>
      <c r="B74" s="26" t="s">
        <v>250</v>
      </c>
      <c r="C74" s="26" t="s">
        <v>264</v>
      </c>
      <c r="D74" s="26" t="s">
        <v>215</v>
      </c>
      <c r="E74" s="20" t="s">
        <v>659</v>
      </c>
      <c r="F74" s="21" t="str">
        <f>IF(OR(E74="",E74="!!!"),"",IF(NOT(ISNA(VLOOKUP(E74,E$1:E73,1,FALSE()))),"OLD",IF(AND(E74&lt;&gt;"",E74&lt;&gt;"!!!"),"NEW","")))</f>
        <v>NEW</v>
      </c>
      <c r="G74" s="22" t="s">
        <v>660</v>
      </c>
      <c r="H74" s="23" t="str">
        <f t="shared" ca="1" si="5"/>
        <v/>
      </c>
      <c r="I74" s="24" t="str">
        <f>IF(OR(E74="",E74="!!!",F74="NEW"),"",INDEX(B$2:B73,-1+SUMPRODUCT(MAX(ROW(E$2:E73)*(E74=E$2:E73)))))</f>
        <v/>
      </c>
      <c r="J74" s="24" t="str">
        <f ca="1">IF(OR(E74="",E74="!!!",F74="NEW"),"",COUNTBLANK(OFFSET(A$1,,,SUMPRODUCT(MAX(ROW(E$2:E74)*(E74=E$2:E74)))))-COUNTBLANK(OFFSET(A$1,,,SUMPRODUCT(MAX(ROW(E$1:E73)*(E2=E$1:E73))))))</f>
        <v/>
      </c>
      <c r="K74" s="24" t="str">
        <f>IF(OR(E74="",E74="!!!",F74="NEW"),"",INDEX(J$1:J73,SUMPRODUCT(MAX(ROW(E$1:E73)*(E74=E$1:E73)))))</f>
        <v/>
      </c>
      <c r="L74" s="25"/>
    </row>
    <row r="75" spans="1:12" x14ac:dyDescent="0.3">
      <c r="A75" t="s">
        <v>272</v>
      </c>
      <c r="E75" s="20" t="str">
        <f t="shared" si="4"/>
        <v/>
      </c>
      <c r="F75" s="21" t="str">
        <f>IF(OR(E75="",E75="!!!"),"",IF(NOT(ISNA(VLOOKUP(E75,E$1:E74,1,FALSE()))),"OLD",IF(AND(E75&lt;&gt;"",E75&lt;&gt;"!!!"),"NEW","")))</f>
        <v/>
      </c>
      <c r="G75" s="22" t="str">
        <f>IF(OR(E75="",E75="!!!"),"",IF(OR(J75=0,AND(J75=1,K75=1),AND(J75=1,I75="SBJ"),AND(J75=1,I75=0)),"?IN_FOCUS",IF(J75&lt;=2,"?ACTIVATED",IF(J75&lt;&gt;"","?FAMILIAR",IF(F75="NEW",IF(ISNA(VLOOKUP(E75,#REF!,1,FALSE())),"?TYPE_IDENTIFIABLE","?REFERENTIAL"),"_")))))</f>
        <v/>
      </c>
      <c r="H75" s="23" t="str">
        <f t="shared" ca="1" si="5"/>
        <v/>
      </c>
      <c r="I75" s="24" t="str">
        <f>IF(OR(E75="",E75="!!!",F75="NEW"),"",INDEX(B$2:B74,-1+SUMPRODUCT(MAX(ROW(E$2:E74)*(E75=E$2:E74)))))</f>
        <v/>
      </c>
      <c r="J75" s="24" t="str">
        <f ca="1">IF(OR(E75="",E75="!!!",F75="NEW"),"",COUNTBLANK(OFFSET(A$1,,,SUMPRODUCT(MAX(ROW(E$2:E75)*(E75=E$2:E75)))))-COUNTBLANK(OFFSET(A$1,,,SUMPRODUCT(MAX(ROW(E$1:E74)*(E2=E$1:E74))))))</f>
        <v/>
      </c>
      <c r="K75" s="24" t="str">
        <f>IF(OR(E75="",E75="!!!",F75="NEW"),"",INDEX(J$1:J74,SUMPRODUCT(MAX(ROW(E$1:E74)*(E75=E$1:E74)))))</f>
        <v/>
      </c>
      <c r="L75" s="25"/>
    </row>
    <row r="76" spans="1:12" x14ac:dyDescent="0.3">
      <c r="A76" t="s">
        <v>220</v>
      </c>
      <c r="E76" s="20" t="str">
        <f t="shared" si="4"/>
        <v/>
      </c>
      <c r="F76" s="21" t="str">
        <f>IF(OR(E76="",E76="!!!"),"",IF(NOT(ISNA(VLOOKUP(E76,E$1:E75,1,FALSE()))),"OLD",IF(AND(E76&lt;&gt;"",E76&lt;&gt;"!!!"),"NEW","")))</f>
        <v/>
      </c>
      <c r="G76" s="22" t="str">
        <f>IF(OR(E76="",E76="!!!"),"",IF(OR(J76=0,AND(J76=1,K76=1),AND(J76=1,I76="SBJ"),AND(J76=1,I76=0)),"?IN_FOCUS",IF(J76&lt;=2,"?ACTIVATED",IF(J76&lt;&gt;"","?FAMILIAR",IF(F76="NEW",IF(ISNA(VLOOKUP(E76,#REF!,1,FALSE())),"?TYPE_IDENTIFIABLE","?REFERENTIAL"),"_")))))</f>
        <v/>
      </c>
      <c r="H76" s="23" t="str">
        <f t="shared" ca="1" si="5"/>
        <v/>
      </c>
      <c r="I76" s="24" t="str">
        <f>IF(OR(E76="",E76="!!!",F76="NEW"),"",INDEX(B$2:B75,-1+SUMPRODUCT(MAX(ROW(E$2:E75)*(E76=E$2:E75)))))</f>
        <v/>
      </c>
      <c r="J76" s="24" t="str">
        <f ca="1">IF(OR(E76="",E76="!!!",F76="NEW"),"",COUNTBLANK(OFFSET(A$1,,,SUMPRODUCT(MAX(ROW(E$2:E76)*(E76=E$2:E76)))))-COUNTBLANK(OFFSET(A$1,,,SUMPRODUCT(MAX(ROW(E$1:E75)*(E2=E$1:E75))))))</f>
        <v/>
      </c>
      <c r="K76" s="24" t="str">
        <f>IF(OR(E76="",E76="!!!",F76="NEW"),"",INDEX(J$1:J75,SUMPRODUCT(MAX(ROW(E$1:E75)*(E76=E$1:E75)))))</f>
        <v/>
      </c>
      <c r="L76" s="25"/>
    </row>
    <row r="77" spans="1:12" x14ac:dyDescent="0.3">
      <c r="A77" t="s">
        <v>273</v>
      </c>
      <c r="B77" s="26" t="s">
        <v>266</v>
      </c>
      <c r="C77" s="26" t="s">
        <v>222</v>
      </c>
      <c r="D77" s="26" t="s">
        <v>215</v>
      </c>
      <c r="E77" s="20"/>
      <c r="F77" s="21" t="s">
        <v>661</v>
      </c>
      <c r="G77" s="22" t="str">
        <f>IF(OR(E77="",E77="!!!"),"",IF(OR(J77=0,AND(J77=1,K77=1),AND(J77=1,I77="SBJ"),AND(J77=1,I77=0)),"?IN_FOCUS",IF(J77&lt;=2,"?ACTIVATED",IF(J77&lt;&gt;"","?FAMILIAR",IF(F77="NEW",IF(ISNA(VLOOKUP(E77,#REF!,1,FALSE())),"?TYPE_IDENTIFIABLE","?REFERENTIAL"),"_")))))</f>
        <v/>
      </c>
      <c r="H77" s="23" t="str">
        <f t="shared" ca="1" si="5"/>
        <v/>
      </c>
      <c r="I77" s="24" t="str">
        <f>IF(OR(E77="",E77="!!!",F77="NEW"),"",INDEX(B$2:B76,-1+SUMPRODUCT(MAX(ROW(E$2:E76)*(E77=E$2:E76)))))</f>
        <v/>
      </c>
      <c r="J77" s="24" t="str">
        <f ca="1">IF(OR(E77="",E77="!!!",F77="NEW"),"",COUNTBLANK(OFFSET(A$1,,,SUMPRODUCT(MAX(ROW(E$2:E77)*(E77=E$2:E77)))))-COUNTBLANK(OFFSET(A$1,,,SUMPRODUCT(MAX(ROW(E$1:E76)*(E2=E$1:E76))))))</f>
        <v/>
      </c>
      <c r="K77" s="24" t="str">
        <f>IF(OR(E77="",E77="!!!",F77="NEW"),"",INDEX(J$1:J76,SUMPRODUCT(MAX(ROW(E$1:E76)*(E77=E$1:E76)))))</f>
        <v/>
      </c>
      <c r="L77" s="25"/>
    </row>
    <row r="78" spans="1:12" x14ac:dyDescent="0.3">
      <c r="A78" t="s">
        <v>274</v>
      </c>
      <c r="E78" s="20" t="str">
        <f t="shared" si="4"/>
        <v/>
      </c>
      <c r="F78" s="21" t="str">
        <f>IF(OR(E78="",E78="!!!"),"",IF(NOT(ISNA(VLOOKUP(E78,E$1:E77,1,FALSE()))),"OLD",IF(AND(E78&lt;&gt;"",E78&lt;&gt;"!!!"),"NEW","")))</f>
        <v/>
      </c>
      <c r="G78" s="22" t="str">
        <f>IF(OR(E78="",E78="!!!"),"",IF(OR(J78=0,AND(J78=1,K78=1),AND(J78=1,I78="SBJ"),AND(J78=1,I78=0)),"?IN_FOCUS",IF(J78&lt;=2,"?ACTIVATED",IF(J78&lt;&gt;"","?FAMILIAR",IF(F78="NEW",IF(ISNA(VLOOKUP(E78,#REF!,1,FALSE())),"?TYPE_IDENTIFIABLE","?REFERENTIAL"),"_")))))</f>
        <v/>
      </c>
      <c r="H78" s="23" t="str">
        <f t="shared" ca="1" si="5"/>
        <v/>
      </c>
      <c r="I78" s="24" t="str">
        <f>IF(OR(E78="",E78="!!!",F78="NEW"),"",INDEX(B$2:B77,-1+SUMPRODUCT(MAX(ROW(E$2:E77)*(E78=E$2:E77)))))</f>
        <v/>
      </c>
      <c r="J78" s="24" t="str">
        <f ca="1">IF(OR(E78="",E78="!!!",F78="NEW"),"",COUNTBLANK(OFFSET(A$1,,,SUMPRODUCT(MAX(ROW(E$2:E78)*(E78=E$2:E78)))))-COUNTBLANK(OFFSET(A$1,,,SUMPRODUCT(MAX(ROW(E$1:E77)*(E2=E$1:E77))))))</f>
        <v/>
      </c>
      <c r="K78" s="24" t="str">
        <f>IF(OR(E78="",E78="!!!",F78="NEW"),"",INDEX(J$1:J77,SUMPRODUCT(MAX(ROW(E$1:E77)*(E78=E$1:E77)))))</f>
        <v/>
      </c>
      <c r="L78" s="25"/>
    </row>
    <row r="79" spans="1:12" x14ac:dyDescent="0.3">
      <c r="A79" t="s">
        <v>238</v>
      </c>
      <c r="E79" s="20" t="str">
        <f t="shared" si="4"/>
        <v/>
      </c>
      <c r="F79" s="21" t="str">
        <f>IF(OR(E79="",E79="!!!"),"",IF(NOT(ISNA(VLOOKUP(E79,E$1:E78,1,FALSE()))),"OLD",IF(AND(E79&lt;&gt;"",E79&lt;&gt;"!!!"),"NEW","")))</f>
        <v/>
      </c>
      <c r="G79" s="22" t="str">
        <f>IF(OR(E79="",E79="!!!"),"",IF(OR(J79=0,AND(J79=1,K79=1),AND(J79=1,I79="SBJ"),AND(J79=1,I79=0)),"?IN_FOCUS",IF(J79&lt;=2,"?ACTIVATED",IF(J79&lt;&gt;"","?FAMILIAR",IF(F79="NEW",IF(ISNA(VLOOKUP(E79,#REF!,1,FALSE())),"?TYPE_IDENTIFIABLE","?REFERENTIAL"),"_")))))</f>
        <v/>
      </c>
      <c r="H79" s="23" t="str">
        <f t="shared" ca="1" si="5"/>
        <v/>
      </c>
      <c r="I79" s="24" t="str">
        <f>IF(OR(E79="",E79="!!!",F79="NEW"),"",INDEX(B$2:B78,-1+SUMPRODUCT(MAX(ROW(E$2:E78)*(E79=E$2:E78)))))</f>
        <v/>
      </c>
      <c r="J79" s="24" t="str">
        <f ca="1">IF(OR(E79="",E79="!!!",F79="NEW"),"",COUNTBLANK(OFFSET(A$1,,,SUMPRODUCT(MAX(ROW(E$2:E79)*(E79=E$2:E79)))))-COUNTBLANK(OFFSET(A$1,,,SUMPRODUCT(MAX(ROW(E$1:E78)*(E2=E$1:E78))))))</f>
        <v/>
      </c>
      <c r="K79" s="24" t="str">
        <f>IF(OR(E79="",E79="!!!",F79="NEW"),"",INDEX(J$1:J78,SUMPRODUCT(MAX(ROW(E$1:E78)*(E79=E$1:E78)))))</f>
        <v/>
      </c>
      <c r="L79" s="25"/>
    </row>
    <row r="80" spans="1:12" x14ac:dyDescent="0.3">
      <c r="A80" t="s">
        <v>275</v>
      </c>
      <c r="B80" s="26" t="s">
        <v>269</v>
      </c>
      <c r="C80" s="26" t="s">
        <v>240</v>
      </c>
      <c r="E80" s="20" t="s">
        <v>675</v>
      </c>
      <c r="F80" s="21" t="s">
        <v>668</v>
      </c>
      <c r="G80" s="22" t="s">
        <v>651</v>
      </c>
      <c r="H80" s="23" t="str">
        <f t="shared" ca="1" si="5"/>
        <v/>
      </c>
      <c r="I80" s="24" t="e">
        <f>IF(OR(E80="",E80="!!!",F80="NEW"),"",INDEX(B$2:B79,-1+SUMPRODUCT(MAX(ROW(E$2:E79)*(E80=E$2:E79)))))</f>
        <v>#VALUE!</v>
      </c>
      <c r="J80" s="24">
        <f ca="1">IF(OR(E80="",E80="!!!",F80="NEW"),"",COUNTBLANK(OFFSET(A$1,,,SUMPRODUCT(MAX(ROW(E$2:E80)*(E80=E$2:E80)))))-COUNTBLANK(OFFSET(A$1,,,SUMPRODUCT(MAX(ROW(E$1:E79)*(E2=E$1:E79))))))</f>
        <v>0</v>
      </c>
      <c r="K80" s="24" t="e">
        <f>IF(OR(E80="",E80="!!!",F80="NEW"),"",INDEX(J$1:J79,SUMPRODUCT(MAX(ROW(E$1:E79)*(E80=E$1:E79)))))</f>
        <v>#VALUE!</v>
      </c>
      <c r="L80" s="25"/>
    </row>
    <row r="81" spans="1:12" x14ac:dyDescent="0.3">
      <c r="A81" t="s">
        <v>207</v>
      </c>
      <c r="E81" s="20" t="str">
        <f t="shared" si="4"/>
        <v/>
      </c>
      <c r="F81" s="21" t="str">
        <f>IF(OR(E81="",E81="!!!"),"",IF(NOT(ISNA(VLOOKUP(E81,E$1:E80,1,FALSE()))),"OLD",IF(AND(E81&lt;&gt;"",E81&lt;&gt;"!!!"),"NEW","")))</f>
        <v/>
      </c>
      <c r="G81" s="22" t="str">
        <f>IF(OR(E81="",E81="!!!"),"",IF(OR(J81=0,AND(J81=1,K81=1),AND(J81=1,I81="SBJ"),AND(J81=1,I81=0)),"?IN_FOCUS",IF(J81&lt;=2,"?ACTIVATED",IF(J81&lt;&gt;"","?FAMILIAR",IF(F81="NEW",IF(ISNA(VLOOKUP(E81,#REF!,1,FALSE())),"?TYPE_IDENTIFIABLE","?REFERENTIAL"),"_")))))</f>
        <v/>
      </c>
      <c r="H81" s="23" t="str">
        <f t="shared" ca="1" si="5"/>
        <v/>
      </c>
      <c r="I81" s="24" t="str">
        <f>IF(OR(E81="",E81="!!!",F81="NEW"),"",INDEX(B$2:B80,-1+SUMPRODUCT(MAX(ROW(E$2:E80)*(E81=E$2:E80)))))</f>
        <v/>
      </c>
      <c r="J81" s="24" t="str">
        <f ca="1">IF(OR(E81="",E81="!!!",F81="NEW"),"",COUNTBLANK(OFFSET(A$1,,,SUMPRODUCT(MAX(ROW(E$2:E81)*(E81=E$2:E81)))))-COUNTBLANK(OFFSET(A$1,,,SUMPRODUCT(MAX(ROW(E$1:E80)*(E2=E$1:E80))))))</f>
        <v/>
      </c>
      <c r="K81" s="24" t="str">
        <f>IF(OR(E81="",E81="!!!",F81="NEW"),"",INDEX(J$1:J80,SUMPRODUCT(MAX(ROW(E$1:E80)*(E81=E$1:E80)))))</f>
        <v/>
      </c>
      <c r="L81" s="25"/>
    </row>
    <row r="82" spans="1:12" x14ac:dyDescent="0.3">
      <c r="A82" t="s">
        <v>276</v>
      </c>
      <c r="B82" s="26" t="s">
        <v>277</v>
      </c>
      <c r="E82" s="20" t="str">
        <f t="shared" si="4"/>
        <v/>
      </c>
      <c r="F82" s="21" t="str">
        <f>IF(OR(E82="",E82="!!!"),"",IF(NOT(ISNA(VLOOKUP(E82,E$1:E81,1,FALSE()))),"OLD",IF(AND(E82&lt;&gt;"",E82&lt;&gt;"!!!"),"NEW","")))</f>
        <v/>
      </c>
      <c r="G82" s="22" t="str">
        <f>IF(OR(E82="",E82="!!!"),"",IF(OR(J82=0,AND(J82=1,K82=1),AND(J82=1,I82="SBJ"),AND(J82=1,I82=0)),"?IN_FOCUS",IF(J82&lt;=2,"?ACTIVATED",IF(J82&lt;&gt;"","?FAMILIAR",IF(F82="NEW",IF(ISNA(VLOOKUP(E82,#REF!,1,FALSE())),"?TYPE_IDENTIFIABLE","?REFERENTIAL"),"_")))))</f>
        <v/>
      </c>
      <c r="H82" s="23" t="str">
        <f t="shared" ca="1" si="5"/>
        <v/>
      </c>
      <c r="I82" s="24" t="str">
        <f>IF(OR(E82="",E82="!!!",F82="NEW"),"",INDEX(B$2:B81,-1+SUMPRODUCT(MAX(ROW(E$2:E81)*(E82=E$2:E81)))))</f>
        <v/>
      </c>
      <c r="J82" s="24" t="str">
        <f ca="1">IF(OR(E82="",E82="!!!",F82="NEW"),"",COUNTBLANK(OFFSET(A$1,,,SUMPRODUCT(MAX(ROW(E$2:E82)*(E82=E$2:E82)))))-COUNTBLANK(OFFSET(A$1,,,SUMPRODUCT(MAX(ROW(E$1:E81)*(E2=E$1:E81))))))</f>
        <v/>
      </c>
      <c r="K82" s="24" t="str">
        <f>IF(OR(E82="",E82="!!!",F82="NEW"),"",INDEX(J$1:J81,SUMPRODUCT(MAX(ROW(E$1:E81)*(E82=E$1:E81)))))</f>
        <v/>
      </c>
      <c r="L82" s="25"/>
    </row>
    <row r="83" spans="1:12" x14ac:dyDescent="0.3">
      <c r="A83" t="s">
        <v>217</v>
      </c>
      <c r="E83" s="20" t="str">
        <f t="shared" si="4"/>
        <v/>
      </c>
      <c r="F83" s="21" t="str">
        <f>IF(OR(E83="",E83="!!!"),"",IF(NOT(ISNA(VLOOKUP(E83,E$1:E82,1,FALSE()))),"OLD",IF(AND(E83&lt;&gt;"",E83&lt;&gt;"!!!"),"NEW","")))</f>
        <v/>
      </c>
      <c r="G83" s="22" t="str">
        <f>IF(OR(E83="",E83="!!!"),"",IF(OR(J83=0,AND(J83=1,K83=1),AND(J83=1,I83="SBJ"),AND(J83=1,I83=0)),"?IN_FOCUS",IF(J83&lt;=2,"?ACTIVATED",IF(J83&lt;&gt;"","?FAMILIAR",IF(F83="NEW",IF(ISNA(VLOOKUP(E83,#REF!,1,FALSE())),"?TYPE_IDENTIFIABLE","?REFERENTIAL"),"_")))))</f>
        <v/>
      </c>
      <c r="H83" s="23" t="str">
        <f t="shared" ca="1" si="5"/>
        <v/>
      </c>
      <c r="I83" s="24" t="str">
        <f>IF(OR(E83="",E83="!!!",F83="NEW"),"",INDEX(B$2:B82,-1+SUMPRODUCT(MAX(ROW(E$2:E82)*(E83=E$2:E82)))))</f>
        <v/>
      </c>
      <c r="J83" s="24" t="str">
        <f ca="1">IF(OR(E83="",E83="!!!",F83="NEW"),"",COUNTBLANK(OFFSET(A$1,,,SUMPRODUCT(MAX(ROW(E$2:E83)*(E83=E$2:E83)))))-COUNTBLANK(OFFSET(A$1,,,SUMPRODUCT(MAX(ROW(E$1:E82)*(E2=E$1:E82))))))</f>
        <v/>
      </c>
      <c r="K83" s="24" t="str">
        <f>IF(OR(E83="",E83="!!!",F83="NEW"),"",INDEX(J$1:J82,SUMPRODUCT(MAX(ROW(E$1:E82)*(E83=E$1:E82)))))</f>
        <v/>
      </c>
      <c r="L83" s="25"/>
    </row>
    <row r="84" spans="1:12" x14ac:dyDescent="0.3">
      <c r="A84" t="s">
        <v>278</v>
      </c>
      <c r="E84" s="20" t="str">
        <f t="shared" si="4"/>
        <v/>
      </c>
      <c r="F84" s="21" t="str">
        <f>IF(OR(E84="",E84="!!!"),"",IF(NOT(ISNA(VLOOKUP(E84,E$1:E83,1,FALSE()))),"OLD",IF(AND(E84&lt;&gt;"",E84&lt;&gt;"!!!"),"NEW","")))</f>
        <v/>
      </c>
      <c r="G84" s="22" t="str">
        <f>IF(OR(E84="",E84="!!!"),"",IF(OR(J84=0,AND(J84=1,K84=1),AND(J84=1,I84="SBJ"),AND(J84=1,I84=0)),"?IN_FOCUS",IF(J84&lt;=2,"?ACTIVATED",IF(J84&lt;&gt;"","?FAMILIAR",IF(F84="NEW",IF(ISNA(VLOOKUP(E84,#REF!,1,FALSE())),"?TYPE_IDENTIFIABLE","?REFERENTIAL"),"_")))))</f>
        <v/>
      </c>
      <c r="H84" s="23" t="str">
        <f t="shared" ca="1" si="5"/>
        <v/>
      </c>
      <c r="I84" s="24" t="str">
        <f>IF(OR(E84="",E84="!!!",F84="NEW"),"",INDEX(B$2:B83,-1+SUMPRODUCT(MAX(ROW(E$2:E83)*(E84=E$2:E83)))))</f>
        <v/>
      </c>
      <c r="J84" s="24" t="str">
        <f ca="1">IF(OR(E84="",E84="!!!",F84="NEW"),"",COUNTBLANK(OFFSET(A$1,,,SUMPRODUCT(MAX(ROW(E$2:E84)*(E84=E$2:E84)))))-COUNTBLANK(OFFSET(A$1,,,SUMPRODUCT(MAX(ROW(E$1:E83)*(E2=E$1:E83))))))</f>
        <v/>
      </c>
      <c r="K84" s="24" t="str">
        <f>IF(OR(E84="",E84="!!!",F84="NEW"),"",INDEX(J$1:J83,SUMPRODUCT(MAX(ROW(E$1:E83)*(E84=E$1:E83)))))</f>
        <v/>
      </c>
      <c r="L84" s="25"/>
    </row>
    <row r="85" spans="1:12" x14ac:dyDescent="0.3">
      <c r="A85" t="s">
        <v>279</v>
      </c>
      <c r="E85" s="20" t="str">
        <f t="shared" si="4"/>
        <v/>
      </c>
      <c r="F85" s="21" t="str">
        <f>IF(OR(E85="",E85="!!!"),"",IF(NOT(ISNA(VLOOKUP(E85,E$1:E84,1,FALSE()))),"OLD",IF(AND(E85&lt;&gt;"",E85&lt;&gt;"!!!"),"NEW","")))</f>
        <v/>
      </c>
      <c r="G85" s="22" t="str">
        <f>IF(OR(E85="",E85="!!!"),"",IF(OR(J85=0,AND(J85=1,K85=1),AND(J85=1,I85="SBJ"),AND(J85=1,I85=0)),"?IN_FOCUS",IF(J85&lt;=2,"?ACTIVATED",IF(J85&lt;&gt;"","?FAMILIAR",IF(F85="NEW",IF(ISNA(VLOOKUP(E85,#REF!,1,FALSE())),"?TYPE_IDENTIFIABLE","?REFERENTIAL"),"_")))))</f>
        <v/>
      </c>
      <c r="H85" s="23" t="str">
        <f t="shared" ca="1" si="5"/>
        <v/>
      </c>
      <c r="I85" s="24" t="str">
        <f>IF(OR(E85="",E85="!!!",F85="NEW"),"",INDEX(B$2:B84,-1+SUMPRODUCT(MAX(ROW(E$2:E84)*(E85=E$2:E84)))))</f>
        <v/>
      </c>
      <c r="J85" s="24" t="str">
        <f ca="1">IF(OR(E85="",E85="!!!",F85="NEW"),"",COUNTBLANK(OFFSET(A$1,,,SUMPRODUCT(MAX(ROW(E$2:E85)*(E85=E$2:E85)))))-COUNTBLANK(OFFSET(A$1,,,SUMPRODUCT(MAX(ROW(E$1:E84)*(E2=E$1:E84))))))</f>
        <v/>
      </c>
      <c r="K85" s="24" t="str">
        <f>IF(OR(E85="",E85="!!!",F85="NEW"),"",INDEX(J$1:J84,SUMPRODUCT(MAX(ROW(E$1:E84)*(E85=E$1:E84)))))</f>
        <v/>
      </c>
      <c r="L85" s="25"/>
    </row>
    <row r="86" spans="1:12" x14ac:dyDescent="0.3">
      <c r="A86" t="s">
        <v>238</v>
      </c>
      <c r="E86" s="20" t="str">
        <f t="shared" si="4"/>
        <v/>
      </c>
      <c r="F86" s="21" t="str">
        <f>IF(OR(E86="",E86="!!!"),"",IF(NOT(ISNA(VLOOKUP(E86,E$1:E85,1,FALSE()))),"OLD",IF(AND(E86&lt;&gt;"",E86&lt;&gt;"!!!"),"NEW","")))</f>
        <v/>
      </c>
      <c r="G86" s="22" t="str">
        <f>IF(OR(E86="",E86="!!!"),"",IF(OR(J86=0,AND(J86=1,K86=1),AND(J86=1,I86="SBJ"),AND(J86=1,I86=0)),"?IN_FOCUS",IF(J86&lt;=2,"?ACTIVATED",IF(J86&lt;&gt;"","?FAMILIAR",IF(F86="NEW",IF(ISNA(VLOOKUP(E86,#REF!,1,FALSE())),"?TYPE_IDENTIFIABLE","?REFERENTIAL"),"_")))))</f>
        <v/>
      </c>
      <c r="H86" s="23" t="str">
        <f t="shared" ca="1" si="5"/>
        <v/>
      </c>
      <c r="I86" s="24" t="str">
        <f>IF(OR(E86="",E86="!!!",F86="NEW"),"",INDEX(B$2:B85,-1+SUMPRODUCT(MAX(ROW(E$2:E85)*(E86=E$2:E85)))))</f>
        <v/>
      </c>
      <c r="J86" s="24" t="str">
        <f ca="1">IF(OR(E86="",E86="!!!",F86="NEW"),"",COUNTBLANK(OFFSET(A$1,,,SUMPRODUCT(MAX(ROW(E$2:E86)*(E86=E$2:E86)))))-COUNTBLANK(OFFSET(A$1,,,SUMPRODUCT(MAX(ROW(E$1:E85)*(E2=E$1:E85))))))</f>
        <v/>
      </c>
      <c r="K86" s="24" t="str">
        <f>IF(OR(E86="",E86="!!!",F86="NEW"),"",INDEX(J$1:J85,SUMPRODUCT(MAX(ROW(E$1:E85)*(E86=E$1:E85)))))</f>
        <v/>
      </c>
      <c r="L86" s="25"/>
    </row>
    <row r="87" spans="1:12" x14ac:dyDescent="0.3">
      <c r="A87" t="s">
        <v>280</v>
      </c>
      <c r="B87" s="26" t="s">
        <v>281</v>
      </c>
      <c r="C87" s="26" t="s">
        <v>240</v>
      </c>
      <c r="E87" s="20" t="s">
        <v>676</v>
      </c>
      <c r="F87" s="21" t="s">
        <v>668</v>
      </c>
      <c r="G87" s="22" t="s">
        <v>651</v>
      </c>
      <c r="H87" s="23" t="str">
        <f t="shared" ca="1" si="5"/>
        <v/>
      </c>
      <c r="I87" s="24" t="e">
        <f>IF(OR(E87="",E87="!!!",F87="NEW"),"",INDEX(B$2:B86,-1+SUMPRODUCT(MAX(ROW(E$2:E86)*(E87=E$2:E86)))))</f>
        <v>#VALUE!</v>
      </c>
      <c r="J87" s="24">
        <f ca="1">IF(OR(E87="",E87="!!!",F87="NEW"),"",COUNTBLANK(OFFSET(A$1,,,SUMPRODUCT(MAX(ROW(E$2:E87)*(E87=E$2:E87)))))-COUNTBLANK(OFFSET(A$1,,,SUMPRODUCT(MAX(ROW(E$1:E86)*(E2=E$1:E86))))))</f>
        <v>0</v>
      </c>
      <c r="K87" s="24" t="e">
        <f>IF(OR(E87="",E87="!!!",F87="NEW"),"",INDEX(J$1:J86,SUMPRODUCT(MAX(ROW(E$1:E86)*(E87=E$1:E86)))))</f>
        <v>#VALUE!</v>
      </c>
      <c r="L87" s="25"/>
    </row>
    <row r="88" spans="1:12" x14ac:dyDescent="0.3">
      <c r="A88" t="s">
        <v>207</v>
      </c>
      <c r="E88" s="20" t="str">
        <f t="shared" si="4"/>
        <v/>
      </c>
      <c r="F88" s="21" t="str">
        <f>IF(OR(E88="",E88="!!!"),"",IF(NOT(ISNA(VLOOKUP(E88,E$1:E87,1,FALSE()))),"OLD",IF(AND(E88&lt;&gt;"",E88&lt;&gt;"!!!"),"NEW","")))</f>
        <v/>
      </c>
      <c r="G88" s="22" t="str">
        <f>IF(OR(E88="",E88="!!!"),"",IF(OR(J88=0,AND(J88=1,K88=1),AND(J88=1,I88="SBJ"),AND(J88=1,I88=0)),"?IN_FOCUS",IF(J88&lt;=2,"?ACTIVATED",IF(J88&lt;&gt;"","?FAMILIAR",IF(F88="NEW",IF(ISNA(VLOOKUP(E88,#REF!,1,FALSE())),"?TYPE_IDENTIFIABLE","?REFERENTIAL"),"_")))))</f>
        <v/>
      </c>
      <c r="H88" s="23" t="str">
        <f t="shared" ca="1" si="5"/>
        <v/>
      </c>
      <c r="I88" s="24" t="str">
        <f>IF(OR(E88="",E88="!!!",F88="NEW"),"",INDEX(B$2:B87,-1+SUMPRODUCT(MAX(ROW(E$2:E87)*(E88=E$2:E87)))))</f>
        <v/>
      </c>
      <c r="J88" s="24" t="str">
        <f ca="1">IF(OR(E88="",E88="!!!",F88="NEW"),"",COUNTBLANK(OFFSET(A$1,,,SUMPRODUCT(MAX(ROW(E$2:E88)*(E88=E$2:E88)))))-COUNTBLANK(OFFSET(A$1,,,SUMPRODUCT(MAX(ROW(E$1:E87)*(E2=E$1:E87))))))</f>
        <v/>
      </c>
      <c r="K88" s="24" t="str">
        <f>IF(OR(E88="",E88="!!!",F88="NEW"),"",INDEX(J$1:J87,SUMPRODUCT(MAX(ROW(E$1:E87)*(E88=E$1:E87)))))</f>
        <v/>
      </c>
      <c r="L88" s="25"/>
    </row>
    <row r="89" spans="1:12" x14ac:dyDescent="0.3">
      <c r="A89" t="s">
        <v>282</v>
      </c>
      <c r="E89" s="20" t="str">
        <f t="shared" si="4"/>
        <v/>
      </c>
      <c r="F89" s="21" t="str">
        <f>IF(OR(E89="",E89="!!!"),"",IF(NOT(ISNA(VLOOKUP(E89,E$1:E88,1,FALSE()))),"OLD",IF(AND(E89&lt;&gt;"",E89&lt;&gt;"!!!"),"NEW","")))</f>
        <v/>
      </c>
      <c r="G89" s="22" t="str">
        <f>IF(OR(E89="",E89="!!!"),"",IF(OR(J89=0,AND(J89=1,K89=1),AND(J89=1,I89="SBJ"),AND(J89=1,I89=0)),"?IN_FOCUS",IF(J89&lt;=2,"?ACTIVATED",IF(J89&lt;&gt;"","?FAMILIAR",IF(F89="NEW",IF(ISNA(VLOOKUP(E89,#REF!,1,FALSE())),"?TYPE_IDENTIFIABLE","?REFERENTIAL"),"_")))))</f>
        <v/>
      </c>
      <c r="H89" s="23" t="str">
        <f t="shared" ca="1" si="5"/>
        <v/>
      </c>
      <c r="I89" s="24" t="str">
        <f>IF(OR(E89="",E89="!!!",F89="NEW"),"",INDEX(B$2:B88,-1+SUMPRODUCT(MAX(ROW(E$2:E88)*(E89=E$2:E88)))))</f>
        <v/>
      </c>
      <c r="J89" s="24" t="str">
        <f ca="1">IF(OR(E89="",E89="!!!",F89="NEW"),"",COUNTBLANK(OFFSET(A$1,,,SUMPRODUCT(MAX(ROW(E$2:E89)*(E89=E$2:E89)))))-COUNTBLANK(OFFSET(A$1,,,SUMPRODUCT(MAX(ROW(E$1:E88)*(E2=E$1:E88))))))</f>
        <v/>
      </c>
      <c r="K89" s="24" t="str">
        <f>IF(OR(E89="",E89="!!!",F89="NEW"),"",INDEX(J$1:J88,SUMPRODUCT(MAX(ROW(E$1:E88)*(E89=E$1:E88)))))</f>
        <v/>
      </c>
      <c r="L89" s="25"/>
    </row>
    <row r="90" spans="1:12" x14ac:dyDescent="0.3">
      <c r="A90" t="s">
        <v>173</v>
      </c>
      <c r="B90" s="26" t="s">
        <v>229</v>
      </c>
      <c r="C90" s="26" t="s">
        <v>214</v>
      </c>
      <c r="D90" s="26" t="s">
        <v>215</v>
      </c>
      <c r="E90" s="20" t="s">
        <v>662</v>
      </c>
      <c r="F90" s="21" t="str">
        <f>IF(OR(E90="",E90="!!!"),"",IF(NOT(ISNA(VLOOKUP(E90,E$1:E89,1,FALSE()))),"OLD",IF(AND(E90&lt;&gt;"",E90&lt;&gt;"!!!"),"NEW","")))</f>
        <v>NEW</v>
      </c>
      <c r="G90" s="22" t="s">
        <v>657</v>
      </c>
      <c r="H90" s="23" t="str">
        <f t="shared" ca="1" si="5"/>
        <v/>
      </c>
      <c r="I90" s="24" t="str">
        <f>IF(OR(E90="",E90="!!!",F90="NEW"),"",INDEX(B$2:B89,-1+SUMPRODUCT(MAX(ROW(E$2:E89)*(E90=E$2:E89)))))</f>
        <v/>
      </c>
      <c r="J90" s="24" t="str">
        <f ca="1">IF(OR(E90="",E90="!!!",F90="NEW"),"",COUNTBLANK(OFFSET(A$1,,,SUMPRODUCT(MAX(ROW(E$2:E90)*(E90=E$2:E90)))))-COUNTBLANK(OFFSET(A$1,,,SUMPRODUCT(MAX(ROW(E$1:E89)*(E2=E$1:E89))))))</f>
        <v/>
      </c>
      <c r="K90" s="24" t="str">
        <f>IF(OR(E90="",E90="!!!",F90="NEW"),"",INDEX(J$1:J89,SUMPRODUCT(MAX(ROW(E$1:E89)*(E90=E$1:E89)))))</f>
        <v/>
      </c>
      <c r="L90" s="25" t="s">
        <v>672</v>
      </c>
    </row>
    <row r="91" spans="1:12" x14ac:dyDescent="0.3">
      <c r="A91" t="s">
        <v>283</v>
      </c>
      <c r="E91" s="20" t="str">
        <f t="shared" ref="E91:E122" si="6">IF(D91="?OLD","!!!","")</f>
        <v/>
      </c>
      <c r="F91" s="21" t="str">
        <f>IF(OR(E91="",E91="!!!"),"",IF(NOT(ISNA(VLOOKUP(E91,E$1:E90,1,FALSE()))),"OLD",IF(AND(E91&lt;&gt;"",E91&lt;&gt;"!!!"),"NEW","")))</f>
        <v/>
      </c>
      <c r="G91" s="22" t="str">
        <f>IF(OR(E91="",E91="!!!"),"",IF(OR(J91=0,AND(J91=1,K91=1),AND(J91=1,I91="SBJ"),AND(J91=1,I91=0)),"?IN_FOCUS",IF(J91&lt;=2,"?ACTIVATED",IF(J91&lt;&gt;"","?FAMILIAR",IF(F91="NEW",IF(ISNA(VLOOKUP(E91,#REF!,1,FALSE())),"?TYPE_IDENTIFIABLE","?REFERENTIAL"),"_")))))</f>
        <v/>
      </c>
      <c r="H91" s="23" t="str">
        <f t="shared" ref="H91:H122" ca="1" si="7">IF(J91&lt;&gt;1,"",IF(I91="SBJ","CB","?"))</f>
        <v/>
      </c>
      <c r="I91" s="24" t="str">
        <f>IF(OR(E91="",E91="!!!",F91="NEW"),"",INDEX(B$2:B90,-1+SUMPRODUCT(MAX(ROW(E$2:E90)*(E91=E$2:E90)))))</f>
        <v/>
      </c>
      <c r="J91" s="24" t="str">
        <f ca="1">IF(OR(E91="",E91="!!!",F91="NEW"),"",COUNTBLANK(OFFSET(A$1,,,SUMPRODUCT(MAX(ROW(E$2:E91)*(E91=E$2:E91)))))-COUNTBLANK(OFFSET(A$1,,,SUMPRODUCT(MAX(ROW(E$1:E90)*(E2=E$1:E90))))))</f>
        <v/>
      </c>
      <c r="K91" s="24" t="str">
        <f>IF(OR(E91="",E91="!!!",F91="NEW"),"",INDEX(J$1:J90,SUMPRODUCT(MAX(ROW(E$1:E90)*(E91=E$1:E90)))))</f>
        <v/>
      </c>
      <c r="L91" s="25"/>
    </row>
    <row r="92" spans="1:12" x14ac:dyDescent="0.3">
      <c r="A92" t="s">
        <v>284</v>
      </c>
      <c r="E92" s="20" t="str">
        <f t="shared" si="6"/>
        <v/>
      </c>
      <c r="F92" s="21" t="str">
        <f>IF(OR(E92="",E92="!!!"),"",IF(NOT(ISNA(VLOOKUP(E92,E$1:E91,1,FALSE()))),"OLD",IF(AND(E92&lt;&gt;"",E92&lt;&gt;"!!!"),"NEW","")))</f>
        <v/>
      </c>
      <c r="G92" s="22" t="str">
        <f>IF(OR(E92="",E92="!!!"),"",IF(OR(J92=0,AND(J92=1,K92=1),AND(J92=1,I92="SBJ"),AND(J92=1,I92=0)),"?IN_FOCUS",IF(J92&lt;=2,"?ACTIVATED",IF(J92&lt;&gt;"","?FAMILIAR",IF(F92="NEW",IF(ISNA(VLOOKUP(E92,#REF!,1,FALSE())),"?TYPE_IDENTIFIABLE","?REFERENTIAL"),"_")))))</f>
        <v/>
      </c>
      <c r="H92" s="23" t="str">
        <f t="shared" ca="1" si="7"/>
        <v/>
      </c>
      <c r="I92" s="24" t="str">
        <f>IF(OR(E92="",E92="!!!",F92="NEW"),"",INDEX(B$2:B91,-1+SUMPRODUCT(MAX(ROW(E$2:E91)*(E92=E$2:E91)))))</f>
        <v/>
      </c>
      <c r="J92" s="24" t="str">
        <f ca="1">IF(OR(E92="",E92="!!!",F92="NEW"),"",COUNTBLANK(OFFSET(A$1,,,SUMPRODUCT(MAX(ROW(E$2:E92)*(E92=E$2:E92)))))-COUNTBLANK(OFFSET(A$1,,,SUMPRODUCT(MAX(ROW(E$1:E91)*(E2=E$1:E91))))))</f>
        <v/>
      </c>
      <c r="K92" s="24" t="str">
        <f>IF(OR(E92="",E92="!!!",F92="NEW"),"",INDEX(J$1:J91,SUMPRODUCT(MAX(ROW(E$1:E91)*(E92=E$1:E91)))))</f>
        <v/>
      </c>
      <c r="L92" s="25"/>
    </row>
    <row r="93" spans="1:12" x14ac:dyDescent="0.3">
      <c r="A93" t="s">
        <v>285</v>
      </c>
      <c r="E93" s="20" t="str">
        <f t="shared" si="6"/>
        <v/>
      </c>
      <c r="F93" s="21" t="str">
        <f>IF(OR(E93="",E93="!!!"),"",IF(NOT(ISNA(VLOOKUP(E93,E$1:E92,1,FALSE()))),"OLD",IF(AND(E93&lt;&gt;"",E93&lt;&gt;"!!!"),"NEW","")))</f>
        <v/>
      </c>
      <c r="G93" s="22" t="str">
        <f>IF(OR(E93="",E93="!!!"),"",IF(OR(J93=0,AND(J93=1,K93=1),AND(J93=1,I93="SBJ"),AND(J93=1,I93=0)),"?IN_FOCUS",IF(J93&lt;=2,"?ACTIVATED",IF(J93&lt;&gt;"","?FAMILIAR",IF(F93="NEW",IF(ISNA(VLOOKUP(E93,#REF!,1,FALSE())),"?TYPE_IDENTIFIABLE","?REFERENTIAL"),"_")))))</f>
        <v/>
      </c>
      <c r="H93" s="23" t="str">
        <f t="shared" ca="1" si="7"/>
        <v/>
      </c>
      <c r="I93" s="24" t="str">
        <f>IF(OR(E93="",E93="!!!",F93="NEW"),"",INDEX(B$2:B92,-1+SUMPRODUCT(MAX(ROW(E$2:E92)*(E93=E$2:E92)))))</f>
        <v/>
      </c>
      <c r="J93" s="24" t="str">
        <f ca="1">IF(OR(E93="",E93="!!!",F93="NEW"),"",COUNTBLANK(OFFSET(A$1,,,SUMPRODUCT(MAX(ROW(E$2:E93)*(E93=E$2:E93)))))-COUNTBLANK(OFFSET(A$1,,,SUMPRODUCT(MAX(ROW(E$1:E92)*(E2=E$1:E92))))))</f>
        <v/>
      </c>
      <c r="K93" s="24" t="str">
        <f>IF(OR(E93="",E93="!!!",F93="NEW"),"",INDEX(J$1:J92,SUMPRODUCT(MAX(ROW(E$1:E92)*(E93=E$1:E92)))))</f>
        <v/>
      </c>
      <c r="L93" s="25"/>
    </row>
    <row r="94" spans="1:12" x14ac:dyDescent="0.3">
      <c r="A94" t="s">
        <v>286</v>
      </c>
      <c r="E94" s="20" t="str">
        <f t="shared" si="6"/>
        <v/>
      </c>
      <c r="F94" s="21" t="str">
        <f>IF(OR(E94="",E94="!!!"),"",IF(NOT(ISNA(VLOOKUP(E94,E$1:E93,1,FALSE()))),"OLD",IF(AND(E94&lt;&gt;"",E94&lt;&gt;"!!!"),"NEW","")))</f>
        <v/>
      </c>
      <c r="G94" s="22" t="str">
        <f>IF(OR(E94="",E94="!!!"),"",IF(OR(J94=0,AND(J94=1,K94=1),AND(J94=1,I94="SBJ"),AND(J94=1,I94=0)),"?IN_FOCUS",IF(J94&lt;=2,"?ACTIVATED",IF(J94&lt;&gt;"","?FAMILIAR",IF(F94="NEW",IF(ISNA(VLOOKUP(E94,#REF!,1,FALSE())),"?TYPE_IDENTIFIABLE","?REFERENTIAL"),"_")))))</f>
        <v/>
      </c>
      <c r="H94" s="23" t="str">
        <f t="shared" ca="1" si="7"/>
        <v/>
      </c>
      <c r="I94" s="24" t="str">
        <f>IF(OR(E94="",E94="!!!",F94="NEW"),"",INDEX(B$2:B93,-1+SUMPRODUCT(MAX(ROW(E$2:E93)*(E94=E$2:E93)))))</f>
        <v/>
      </c>
      <c r="J94" s="24" t="str">
        <f ca="1">IF(OR(E94="",E94="!!!",F94="NEW"),"",COUNTBLANK(OFFSET(A$1,,,SUMPRODUCT(MAX(ROW(E$2:E94)*(E94=E$2:E94)))))-COUNTBLANK(OFFSET(A$1,,,SUMPRODUCT(MAX(ROW(E$1:E93)*(E2=E$1:E93))))))</f>
        <v/>
      </c>
      <c r="K94" s="24" t="str">
        <f>IF(OR(E94="",E94="!!!",F94="NEW"),"",INDEX(J$1:J93,SUMPRODUCT(MAX(ROW(E$1:E93)*(E94=E$1:E93)))))</f>
        <v/>
      </c>
      <c r="L94" s="25"/>
    </row>
    <row r="95" spans="1:12" x14ac:dyDescent="0.3">
      <c r="A95" t="s">
        <v>212</v>
      </c>
      <c r="B95" s="26" t="s">
        <v>225</v>
      </c>
      <c r="C95" s="26" t="s">
        <v>214</v>
      </c>
      <c r="D95" s="26" t="s">
        <v>215</v>
      </c>
      <c r="E95" s="20" t="s">
        <v>647</v>
      </c>
      <c r="F95" s="21" t="str">
        <f>IF(OR(E95="",E95="!!!"),"",IF(NOT(ISNA(VLOOKUP(E95,E$1:E94,1,FALSE()))),"OLD",IF(AND(E95&lt;&gt;"",E95&lt;&gt;"!!!"),"NEW","")))</f>
        <v>OLD</v>
      </c>
      <c r="G95" s="22" t="s">
        <v>665</v>
      </c>
      <c r="H95" s="23" t="str">
        <f t="shared" ca="1" si="7"/>
        <v/>
      </c>
      <c r="I95" s="24" t="str">
        <f>IF(OR(E95="",E95="!!!",F95="NEW"),"",INDEX(B$2:B94,-1+SUMPRODUCT(MAX(ROW(E$2:E94)*(E95=E$2:E94)))))</f>
        <v>other_5</v>
      </c>
      <c r="J95" s="24">
        <f ca="1">IF(OR(E95="",E95="!!!",F95="NEW"),"",COUNTBLANK(OFFSET(A$1,,,SUMPRODUCT(MAX(ROW(E$2:E95)*(E95=E$2:E95)))))-COUNTBLANK(OFFSET(A$1,,,SUMPRODUCT(MAX(ROW(E$1:E94)*(E2=E$1:E94))))))</f>
        <v>0</v>
      </c>
      <c r="K95" s="24">
        <f ca="1">IF(OR(E95="",E95="!!!",F95="NEW"),"",INDEX(J$1:J94,SUMPRODUCT(MAX(ROW(E$1:E94)*(E95=E$1:E94)))))</f>
        <v>0</v>
      </c>
      <c r="L95" s="25"/>
    </row>
    <row r="96" spans="1:12" x14ac:dyDescent="0.3">
      <c r="A96" t="s">
        <v>216</v>
      </c>
      <c r="E96" s="20" t="str">
        <f t="shared" si="6"/>
        <v/>
      </c>
      <c r="F96" s="21" t="str">
        <f>IF(OR(E96="",E96="!!!"),"",IF(NOT(ISNA(VLOOKUP(E96,E$1:E95,1,FALSE()))),"OLD",IF(AND(E96&lt;&gt;"",E96&lt;&gt;"!!!"),"NEW","")))</f>
        <v/>
      </c>
      <c r="G96" s="22" t="str">
        <f>IF(OR(E96="",E96="!!!"),"",IF(OR(J96=0,AND(J96=1,K96=1),AND(J96=1,I96="SBJ"),AND(J96=1,I96=0)),"?IN_FOCUS",IF(J96&lt;=2,"?ACTIVATED",IF(J96&lt;&gt;"","?FAMILIAR",IF(F96="NEW",IF(ISNA(VLOOKUP(E96,#REF!,1,FALSE())),"?TYPE_IDENTIFIABLE","?REFERENTIAL"),"_")))))</f>
        <v/>
      </c>
      <c r="H96" s="23" t="str">
        <f t="shared" ca="1" si="7"/>
        <v/>
      </c>
      <c r="I96" s="24" t="str">
        <f>IF(OR(E96="",E96="!!!",F96="NEW"),"",INDEX(B$2:B95,-1+SUMPRODUCT(MAX(ROW(E$2:E95)*(E96=E$2:E95)))))</f>
        <v/>
      </c>
      <c r="J96" s="24" t="str">
        <f ca="1">IF(OR(E96="",E96="!!!",F96="NEW"),"",COUNTBLANK(OFFSET(A$1,,,SUMPRODUCT(MAX(ROW(E$2:E96)*(E96=E$2:E96)))))-COUNTBLANK(OFFSET(A$1,,,SUMPRODUCT(MAX(ROW(E$1:E95)*(E2=E$1:E95))))))</f>
        <v/>
      </c>
      <c r="K96" s="24" t="str">
        <f>IF(OR(E96="",E96="!!!",F96="NEW"),"",INDEX(J$1:J95,SUMPRODUCT(MAX(ROW(E$1:E95)*(E96=E$1:E95)))))</f>
        <v/>
      </c>
      <c r="L96" s="25"/>
    </row>
    <row r="97" spans="1:12" x14ac:dyDescent="0.3">
      <c r="A97" t="s">
        <v>207</v>
      </c>
      <c r="E97" s="20" t="str">
        <f t="shared" si="6"/>
        <v/>
      </c>
      <c r="F97" s="21" t="str">
        <f>IF(OR(E97="",E97="!!!"),"",IF(NOT(ISNA(VLOOKUP(E97,E$1:E96,1,FALSE()))),"OLD",IF(AND(E97&lt;&gt;"",E97&lt;&gt;"!!!"),"NEW","")))</f>
        <v/>
      </c>
      <c r="G97" s="22" t="str">
        <f>IF(OR(E97="",E97="!!!"),"",IF(OR(J97=0,AND(J97=1,K97=1),AND(J97=1,I97="SBJ"),AND(J97=1,I97=0)),"?IN_FOCUS",IF(J97&lt;=2,"?ACTIVATED",IF(J97&lt;&gt;"","?FAMILIAR",IF(F97="NEW",IF(ISNA(VLOOKUP(E97,#REF!,1,FALSE())),"?TYPE_IDENTIFIABLE","?REFERENTIAL"),"_")))))</f>
        <v/>
      </c>
      <c r="H97" s="23" t="str">
        <f t="shared" ca="1" si="7"/>
        <v/>
      </c>
      <c r="I97" s="24" t="str">
        <f>IF(OR(E97="",E97="!!!",F97="NEW"),"",INDEX(B$2:B96,-1+SUMPRODUCT(MAX(ROW(E$2:E96)*(E97=E$2:E96)))))</f>
        <v/>
      </c>
      <c r="J97" s="24" t="str">
        <f ca="1">IF(OR(E97="",E97="!!!",F97="NEW"),"",COUNTBLANK(OFFSET(A$1,,,SUMPRODUCT(MAX(ROW(E$2:E97)*(E97=E$2:E97)))))-COUNTBLANK(OFFSET(A$1,,,SUMPRODUCT(MAX(ROW(E$1:E96)*(E2=E$1:E96))))))</f>
        <v/>
      </c>
      <c r="K97" s="24" t="str">
        <f>IF(OR(E97="",E97="!!!",F97="NEW"),"",INDEX(J$1:J96,SUMPRODUCT(MAX(ROW(E$1:E96)*(E97=E$1:E96)))))</f>
        <v/>
      </c>
      <c r="L97" s="25"/>
    </row>
    <row r="98" spans="1:12" x14ac:dyDescent="0.3">
      <c r="A98" t="s">
        <v>287</v>
      </c>
      <c r="E98" s="20" t="str">
        <f t="shared" si="6"/>
        <v/>
      </c>
      <c r="F98" s="21" t="str">
        <f>IF(OR(E98="",E98="!!!"),"",IF(NOT(ISNA(VLOOKUP(E98,E$1:E97,1,FALSE()))),"OLD",IF(AND(E98&lt;&gt;"",E98&lt;&gt;"!!!"),"NEW","")))</f>
        <v/>
      </c>
      <c r="G98" s="22" t="str">
        <f>IF(OR(E98="",E98="!!!"),"",IF(OR(J98=0,AND(J98=1,K98=1),AND(J98=1,I98="SBJ"),AND(J98=1,I98=0)),"?IN_FOCUS",IF(J98&lt;=2,"?ACTIVATED",IF(J98&lt;&gt;"","?FAMILIAR",IF(F98="NEW",IF(ISNA(VLOOKUP(E98,#REF!,1,FALSE())),"?TYPE_IDENTIFIABLE","?REFERENTIAL"),"_")))))</f>
        <v/>
      </c>
      <c r="H98" s="23" t="str">
        <f t="shared" ca="1" si="7"/>
        <v/>
      </c>
      <c r="I98" s="24" t="str">
        <f>IF(OR(E98="",E98="!!!",F98="NEW"),"",INDEX(B$2:B97,-1+SUMPRODUCT(MAX(ROW(E$2:E97)*(E98=E$2:E97)))))</f>
        <v/>
      </c>
      <c r="J98" s="24" t="str">
        <f ca="1">IF(OR(E98="",E98="!!!",F98="NEW"),"",COUNTBLANK(OFFSET(A$1,,,SUMPRODUCT(MAX(ROW(E$2:E98)*(E98=E$2:E98)))))-COUNTBLANK(OFFSET(A$1,,,SUMPRODUCT(MAX(ROW(E$1:E97)*(E2=E$1:E97))))))</f>
        <v/>
      </c>
      <c r="K98" s="24" t="str">
        <f>IF(OR(E98="",E98="!!!",F98="NEW"),"",INDEX(J$1:J97,SUMPRODUCT(MAX(ROW(E$1:E97)*(E98=E$1:E97)))))</f>
        <v/>
      </c>
      <c r="L98" s="25"/>
    </row>
    <row r="99" spans="1:12" ht="28.8" x14ac:dyDescent="0.3">
      <c r="A99" t="s">
        <v>288</v>
      </c>
      <c r="E99" s="20" t="s">
        <v>663</v>
      </c>
      <c r="F99" s="21" t="str">
        <f>IF(OR(E99="",E99="!!!"),"",IF(NOT(ISNA(VLOOKUP(E99,E$1:E98,1,FALSE()))),"OLD",IF(AND(E99&lt;&gt;"",E99&lt;&gt;"!!!"),"NEW","")))</f>
        <v>NEW</v>
      </c>
      <c r="G99" s="22" t="s">
        <v>657</v>
      </c>
      <c r="H99" s="23" t="str">
        <f t="shared" ca="1" si="7"/>
        <v/>
      </c>
      <c r="I99" s="24" t="str">
        <f>IF(OR(E99="",E99="!!!",F99="NEW"),"",INDEX(B$2:B98,-1+SUMPRODUCT(MAX(ROW(E$2:E98)*(E99=E$2:E98)))))</f>
        <v/>
      </c>
      <c r="J99" s="24" t="str">
        <f ca="1">IF(OR(E99="",E99="!!!",F99="NEW"),"",COUNTBLANK(OFFSET(A$1,,,SUMPRODUCT(MAX(ROW(E$2:E99)*(E99=E$2:E99)))))-COUNTBLANK(OFFSET(A$1,,,SUMPRODUCT(MAX(ROW(E$1:E98)*(E2=E$1:E98))))))</f>
        <v/>
      </c>
      <c r="K99" s="24" t="str">
        <f>IF(OR(E99="",E99="!!!",F99="NEW"),"",INDEX(J$1:J98,SUMPRODUCT(MAX(ROW(E$1:E98)*(E99=E$1:E98)))))</f>
        <v/>
      </c>
      <c r="L99" s="25" t="s">
        <v>741</v>
      </c>
    </row>
    <row r="100" spans="1:12" x14ac:dyDescent="0.3">
      <c r="A100" t="s">
        <v>289</v>
      </c>
      <c r="B100" s="26" t="s">
        <v>205</v>
      </c>
      <c r="C100" s="26" t="s">
        <v>214</v>
      </c>
      <c r="D100" s="26" t="s">
        <v>215</v>
      </c>
      <c r="E100" s="20"/>
      <c r="F100" s="21" t="str">
        <f>IF(OR(E100="",E100="!!!"),"",IF(NOT(ISNA(VLOOKUP(E100,E$1:E99,1,FALSE()))),"OLD",IF(AND(E100&lt;&gt;"",E100&lt;&gt;"!!!"),"NEW","")))</f>
        <v/>
      </c>
      <c r="G100" s="22" t="str">
        <f>IF(OR(E100="",E100="!!!"),"",IF(OR(J100=0,AND(J100=1,K100=1),AND(J100=1,I100="SBJ"),AND(J100=1,I100=0)),"?IN_FOCUS",IF(J100&lt;=2,"?ACTIVATED",IF(J100&lt;&gt;"","?FAMILIAR",IF(F100="NEW",IF(ISNA(VLOOKUP(E100,#REF!,1,FALSE())),"?TYPE_IDENTIFIABLE","?REFERENTIAL"),"_")))))</f>
        <v/>
      </c>
      <c r="H100" s="23" t="str">
        <f t="shared" ca="1" si="7"/>
        <v/>
      </c>
      <c r="I100" s="24" t="str">
        <f>IF(OR(E100="",E100="!!!",F100="NEW"),"",INDEX(B$2:B99,-1+SUMPRODUCT(MAX(ROW(E$2:E99)*(E100=E$2:E99)))))</f>
        <v/>
      </c>
      <c r="J100" s="24" t="str">
        <f ca="1">IF(OR(E100="",E100="!!!",F100="NEW"),"",COUNTBLANK(OFFSET(A$1,,,SUMPRODUCT(MAX(ROW(E$2:E100)*(E100=E$2:E100)))))-COUNTBLANK(OFFSET(A$1,,,SUMPRODUCT(MAX(ROW(E$1:E99)*(E2=E$1:E99))))))</f>
        <v/>
      </c>
      <c r="K100" s="24" t="str">
        <f>IF(OR(E100="",E100="!!!",F100="NEW"),"",INDEX(J$1:J99,SUMPRODUCT(MAX(ROW(E$1:E99)*(E100=E$1:E99)))))</f>
        <v/>
      </c>
      <c r="L100" s="25"/>
    </row>
    <row r="101" spans="1:12" x14ac:dyDescent="0.3">
      <c r="A101" t="s">
        <v>286</v>
      </c>
      <c r="E101" s="20" t="str">
        <f t="shared" si="6"/>
        <v/>
      </c>
      <c r="F101" s="21" t="str">
        <f>IF(OR(E101="",E101="!!!"),"",IF(NOT(ISNA(VLOOKUP(E101,E$1:E100,1,FALSE()))),"OLD",IF(AND(E101&lt;&gt;"",E101&lt;&gt;"!!!"),"NEW","")))</f>
        <v/>
      </c>
      <c r="G101" s="22" t="str">
        <f>IF(OR(E101="",E101="!!!"),"",IF(OR(J101=0,AND(J101=1,K101=1),AND(J101=1,I101="SBJ"),AND(J101=1,I101=0)),"?IN_FOCUS",IF(J101&lt;=2,"?ACTIVATED",IF(J101&lt;&gt;"","?FAMILIAR",IF(F101="NEW",IF(ISNA(VLOOKUP(E101,#REF!,1,FALSE())),"?TYPE_IDENTIFIABLE","?REFERENTIAL"),"_")))))</f>
        <v/>
      </c>
      <c r="H101" s="23" t="str">
        <f t="shared" ca="1" si="7"/>
        <v/>
      </c>
      <c r="I101" s="24" t="str">
        <f>IF(OR(E101="",E101="!!!",F101="NEW"),"",INDEX(B$2:B100,-1+SUMPRODUCT(MAX(ROW(E$2:E100)*(E101=E$2:E100)))))</f>
        <v/>
      </c>
      <c r="J101" s="24" t="str">
        <f ca="1">IF(OR(E101="",E101="!!!",F101="NEW"),"",COUNTBLANK(OFFSET(A$1,,,SUMPRODUCT(MAX(ROW(E$2:E101)*(E101=E$2:E101)))))-COUNTBLANK(OFFSET(A$1,,,SUMPRODUCT(MAX(ROW(E$1:E100)*(E2=E$1:E100))))))</f>
        <v/>
      </c>
      <c r="K101" s="24" t="str">
        <f>IF(OR(E101="",E101="!!!",F101="NEW"),"",INDEX(J$1:J100,SUMPRODUCT(MAX(ROW(E$1:E100)*(E101=E$1:E100)))))</f>
        <v/>
      </c>
      <c r="L101" s="25"/>
    </row>
    <row r="102" spans="1:12" x14ac:dyDescent="0.3">
      <c r="A102" t="s">
        <v>290</v>
      </c>
      <c r="E102" s="20" t="s">
        <v>669</v>
      </c>
      <c r="F102" s="21" t="str">
        <f>IF(OR(E102="",E102="!!!"),"",IF(NOT(ISNA(VLOOKUP(E102,E$1:E101,1,FALSE()))),"OLD",IF(AND(E102&lt;&gt;"",E102&lt;&gt;"!!!"),"NEW","")))</f>
        <v>OLD</v>
      </c>
      <c r="G102" s="22" t="s">
        <v>657</v>
      </c>
      <c r="H102" s="23" t="s">
        <v>198</v>
      </c>
      <c r="I102" s="24" t="str">
        <f>IF(OR(E102="",E102="!!!",F102="NEW"),"",INDEX(B$2:B101,-1+SUMPRODUCT(MAX(ROW(E$2:E101)*(E102=E$2:E101)))))</f>
        <v>other</v>
      </c>
      <c r="J102" s="24">
        <f ca="1">IF(OR(E102="",E102="!!!",F102="NEW"),"",COUNTBLANK(OFFSET(A$1,,,SUMPRODUCT(MAX(ROW(E$2:E102)*(E102=E$2:E102)))))-COUNTBLANK(OFFSET(A$1,,,SUMPRODUCT(MAX(ROW(E$1:E101)*(E2=E$1:E101))))))</f>
        <v>0</v>
      </c>
      <c r="K102" s="24">
        <f ca="1">IF(OR(E102="",E102="!!!",F102="NEW"),"",INDEX(J$1:J101,SUMPRODUCT(MAX(ROW(E$1:E101)*(E102=E$1:E101)))))</f>
        <v>0</v>
      </c>
      <c r="L102" s="25" t="s">
        <v>673</v>
      </c>
    </row>
    <row r="103" spans="1:12" x14ac:dyDescent="0.3">
      <c r="A103" t="s">
        <v>291</v>
      </c>
      <c r="E103" s="20" t="str">
        <f t="shared" si="6"/>
        <v/>
      </c>
      <c r="F103" s="21" t="str">
        <f>IF(OR(E103="",E103="!!!"),"",IF(NOT(ISNA(VLOOKUP(E103,E$1:E102,1,FALSE()))),"OLD",IF(AND(E103&lt;&gt;"",E103&lt;&gt;"!!!"),"NEW","")))</f>
        <v/>
      </c>
      <c r="G103" s="22" t="str">
        <f>IF(OR(E103="",E103="!!!"),"",IF(OR(J103=0,AND(J103=1,K103=1),AND(J103=1,I103="SBJ"),AND(J103=1,I103=0)),"?IN_FOCUS",IF(J103&lt;=2,"?ACTIVATED",IF(J103&lt;&gt;"","?FAMILIAR",IF(F103="NEW",IF(ISNA(VLOOKUP(E103,#REF!,1,FALSE())),"?TYPE_IDENTIFIABLE","?REFERENTIAL"),"_")))))</f>
        <v/>
      </c>
      <c r="H103" s="23" t="str">
        <f t="shared" ca="1" si="7"/>
        <v/>
      </c>
      <c r="I103" s="24" t="str">
        <f>IF(OR(E103="",E103="!!!",F103="NEW"),"",INDEX(B$2:B102,-1+SUMPRODUCT(MAX(ROW(E$2:E102)*(E103=E$2:E102)))))</f>
        <v/>
      </c>
      <c r="J103" s="24" t="str">
        <f ca="1">IF(OR(E103="",E103="!!!",F103="NEW"),"",COUNTBLANK(OFFSET(A$1,,,SUMPRODUCT(MAX(ROW(E$2:E103)*(E103=E$2:E103)))))-COUNTBLANK(OFFSET(A$1,,,SUMPRODUCT(MAX(ROW(E$1:E102)*(E2=E$1:E102))))))</f>
        <v/>
      </c>
      <c r="K103" s="24" t="str">
        <f>IF(OR(E103="",E103="!!!",F103="NEW"),"",INDEX(J$1:J102,SUMPRODUCT(MAX(ROW(E$1:E102)*(E103=E$1:E102)))))</f>
        <v/>
      </c>
      <c r="L103" s="25"/>
    </row>
    <row r="104" spans="1:12" x14ac:dyDescent="0.3">
      <c r="A104" t="s">
        <v>292</v>
      </c>
      <c r="E104" s="20" t="str">
        <f t="shared" si="6"/>
        <v/>
      </c>
      <c r="F104" s="21" t="str">
        <f>IF(OR(E104="",E104="!!!"),"",IF(NOT(ISNA(VLOOKUP(E104,E$1:E103,1,FALSE()))),"OLD",IF(AND(E104&lt;&gt;"",E104&lt;&gt;"!!!"),"NEW","")))</f>
        <v/>
      </c>
      <c r="G104" s="22" t="str">
        <f>IF(OR(E104="",E104="!!!"),"",IF(OR(J104=0,AND(J104=1,K104=1),AND(J104=1,I104="SBJ"),AND(J104=1,I104=0)),"?IN_FOCUS",IF(J104&lt;=2,"?ACTIVATED",IF(J104&lt;&gt;"","?FAMILIAR",IF(F104="NEW",IF(ISNA(VLOOKUP(E104,#REF!,1,FALSE())),"?TYPE_IDENTIFIABLE","?REFERENTIAL"),"_")))))</f>
        <v/>
      </c>
      <c r="H104" s="23" t="str">
        <f t="shared" ca="1" si="7"/>
        <v/>
      </c>
      <c r="I104" s="24" t="str">
        <f>IF(OR(E104="",E104="!!!",F104="NEW"),"",INDEX(B$2:B103,-1+SUMPRODUCT(MAX(ROW(E$2:E103)*(E104=E$2:E103)))))</f>
        <v/>
      </c>
      <c r="J104" s="24" t="str">
        <f ca="1">IF(OR(E104="",E104="!!!",F104="NEW"),"",COUNTBLANK(OFFSET(A$1,,,SUMPRODUCT(MAX(ROW(E$2:E104)*(E104=E$2:E104)))))-COUNTBLANK(OFFSET(A$1,,,SUMPRODUCT(MAX(ROW(E$1:E103)*(E2=E$1:E103))))))</f>
        <v/>
      </c>
      <c r="K104" s="24" t="str">
        <f>IF(OR(E104="",E104="!!!",F104="NEW"),"",INDEX(J$1:J103,SUMPRODUCT(MAX(ROW(E$1:E103)*(E104=E$1:E103)))))</f>
        <v/>
      </c>
      <c r="L104" s="25"/>
    </row>
    <row r="105" spans="1:12" x14ac:dyDescent="0.3">
      <c r="A105" t="s">
        <v>207</v>
      </c>
      <c r="E105" s="20" t="str">
        <f t="shared" si="6"/>
        <v/>
      </c>
      <c r="F105" s="21" t="str">
        <f>IF(OR(E105="",E105="!!!"),"",IF(NOT(ISNA(VLOOKUP(E105,E$1:E104,1,FALSE()))),"OLD",IF(AND(E105&lt;&gt;"",E105&lt;&gt;"!!!"),"NEW","")))</f>
        <v/>
      </c>
      <c r="G105" s="22" t="str">
        <f>IF(OR(E105="",E105="!!!"),"",IF(OR(J105=0,AND(J105=1,K105=1),AND(J105=1,I105="SBJ"),AND(J105=1,I105=0)),"?IN_FOCUS",IF(J105&lt;=2,"?ACTIVATED",IF(J105&lt;&gt;"","?FAMILIAR",IF(F105="NEW",IF(ISNA(VLOOKUP(E105,#REF!,1,FALSE())),"?TYPE_IDENTIFIABLE","?REFERENTIAL"),"_")))))</f>
        <v/>
      </c>
      <c r="H105" s="23" t="str">
        <f t="shared" ca="1" si="7"/>
        <v/>
      </c>
      <c r="I105" s="24" t="str">
        <f>IF(OR(E105="",E105="!!!",F105="NEW"),"",INDEX(B$2:B104,-1+SUMPRODUCT(MAX(ROW(E$2:E104)*(E105=E$2:E104)))))</f>
        <v/>
      </c>
      <c r="J105" s="24" t="str">
        <f ca="1">IF(OR(E105="",E105="!!!",F105="NEW"),"",COUNTBLANK(OFFSET(A$1,,,SUMPRODUCT(MAX(ROW(E$2:E105)*(E105=E$2:E105)))))-COUNTBLANK(OFFSET(A$1,,,SUMPRODUCT(MAX(ROW(E$1:E104)*(E2=E$1:E104))))))</f>
        <v/>
      </c>
      <c r="K105" s="24" t="str">
        <f>IF(OR(E105="",E105="!!!",F105="NEW"),"",INDEX(J$1:J104,SUMPRODUCT(MAX(ROW(E$1:E104)*(E105=E$1:E104)))))</f>
        <v/>
      </c>
      <c r="L105" s="25"/>
    </row>
    <row r="106" spans="1:12" x14ac:dyDescent="0.3">
      <c r="A106" t="s">
        <v>220</v>
      </c>
      <c r="E106" s="20" t="str">
        <f t="shared" si="6"/>
        <v/>
      </c>
      <c r="F106" s="21" t="str">
        <f>IF(OR(E106="",E106="!!!"),"",IF(NOT(ISNA(VLOOKUP(E106,E$1:E105,1,FALSE()))),"OLD",IF(AND(E106&lt;&gt;"",E106&lt;&gt;"!!!"),"NEW","")))</f>
        <v/>
      </c>
      <c r="G106" s="22" t="str">
        <f>IF(OR(E106="",E106="!!!"),"",IF(OR(J106=0,AND(J106=1,K106=1),AND(J106=1,I106="SBJ"),AND(J106=1,I106=0)),"?IN_FOCUS",IF(J106&lt;=2,"?ACTIVATED",IF(J106&lt;&gt;"","?FAMILIAR",IF(F106="NEW",IF(ISNA(VLOOKUP(E106,#REF!,1,FALSE())),"?TYPE_IDENTIFIABLE","?REFERENTIAL"),"_")))))</f>
        <v/>
      </c>
      <c r="H106" s="23" t="str">
        <f t="shared" ca="1" si="7"/>
        <v/>
      </c>
      <c r="I106" s="24" t="str">
        <f>IF(OR(E106="",E106="!!!",F106="NEW"),"",INDEX(B$2:B105,-1+SUMPRODUCT(MAX(ROW(E$2:E105)*(E106=E$2:E105)))))</f>
        <v/>
      </c>
      <c r="J106" s="24" t="str">
        <f ca="1">IF(OR(E106="",E106="!!!",F106="NEW"),"",COUNTBLANK(OFFSET(A$1,,,SUMPRODUCT(MAX(ROW(E$2:E106)*(E106=E$2:E106)))))-COUNTBLANK(OFFSET(A$1,,,SUMPRODUCT(MAX(ROW(E$1:E105)*(E2=E$1:E105))))))</f>
        <v/>
      </c>
      <c r="K106" s="24" t="str">
        <f>IF(OR(E106="",E106="!!!",F106="NEW"),"",INDEX(J$1:J105,SUMPRODUCT(MAX(ROW(E$1:E105)*(E106=E$1:E105)))))</f>
        <v/>
      </c>
      <c r="L106" s="25"/>
    </row>
    <row r="107" spans="1:12" x14ac:dyDescent="0.3">
      <c r="A107" t="s">
        <v>293</v>
      </c>
      <c r="B107" s="26" t="s">
        <v>269</v>
      </c>
      <c r="C107" s="26" t="s">
        <v>214</v>
      </c>
      <c r="D107" s="26" t="s">
        <v>215</v>
      </c>
      <c r="E107" s="20" t="s">
        <v>664</v>
      </c>
      <c r="F107" s="21" t="str">
        <f>IF(OR(E107="",E107="!!!"),"",IF(NOT(ISNA(VLOOKUP(E107,E$1:E106,1,FALSE()))),"OLD",IF(AND(E107&lt;&gt;"",E107&lt;&gt;"!!!"),"NEW","")))</f>
        <v>NEW</v>
      </c>
      <c r="G107" s="22" t="s">
        <v>657</v>
      </c>
      <c r="H107" s="23" t="str">
        <f t="shared" ca="1" si="7"/>
        <v/>
      </c>
      <c r="I107" s="24" t="str">
        <f>IF(OR(E107="",E107="!!!",F107="NEW"),"",INDEX(B$2:B106,-1+SUMPRODUCT(MAX(ROW(E$2:E106)*(E107=E$2:E106)))))</f>
        <v/>
      </c>
      <c r="J107" s="24" t="str">
        <f ca="1">IF(OR(E107="",E107="!!!",F107="NEW"),"",COUNTBLANK(OFFSET(A$1,,,SUMPRODUCT(MAX(ROW(E$2:E107)*(E107=E$2:E107)))))-COUNTBLANK(OFFSET(A$1,,,SUMPRODUCT(MAX(ROW(E$1:E106)*(E2=E$1:E106))))))</f>
        <v/>
      </c>
      <c r="K107" s="24" t="str">
        <f>IF(OR(E107="",E107="!!!",F107="NEW"),"",INDEX(J$1:J106,SUMPRODUCT(MAX(ROW(E$1:E106)*(E107=E$1:E106)))))</f>
        <v/>
      </c>
      <c r="L107" s="25"/>
    </row>
    <row r="108" spans="1:12" x14ac:dyDescent="0.3">
      <c r="A108" t="s">
        <v>16</v>
      </c>
      <c r="E108" s="20" t="str">
        <f t="shared" si="6"/>
        <v/>
      </c>
      <c r="F108" s="21" t="str">
        <f>IF(OR(E108="",E108="!!!"),"",IF(NOT(ISNA(VLOOKUP(E108,E$1:E107,1,FALSE()))),"OLD",IF(AND(E108&lt;&gt;"",E108&lt;&gt;"!!!"),"NEW","")))</f>
        <v/>
      </c>
      <c r="G108" s="22" t="str">
        <f>IF(OR(E108="",E108="!!!"),"",IF(OR(J108=0,AND(J108=1,K108=1),AND(J108=1,I108="SBJ"),AND(J108=1,I108=0)),"?IN_FOCUS",IF(J108&lt;=2,"?ACTIVATED",IF(J108&lt;&gt;"","?FAMILIAR",IF(F108="NEW",IF(ISNA(VLOOKUP(E108,#REF!,1,FALSE())),"?TYPE_IDENTIFIABLE","?REFERENTIAL"),"_")))))</f>
        <v/>
      </c>
      <c r="H108" s="23" t="str">
        <f t="shared" ca="1" si="7"/>
        <v/>
      </c>
      <c r="I108" s="24" t="str">
        <f>IF(OR(E108="",E108="!!!",F108="NEW"),"",INDEX(B$2:B107,-1+SUMPRODUCT(MAX(ROW(E$2:E107)*(E108=E$2:E107)))))</f>
        <v/>
      </c>
      <c r="J108" s="24" t="str">
        <f ca="1">IF(OR(E108="",E108="!!!",F108="NEW"),"",COUNTBLANK(OFFSET(A$1,,,SUMPRODUCT(MAX(ROW(E$2:E108)*(E108=E$2:E108)))))-COUNTBLANK(OFFSET(A$1,,,SUMPRODUCT(MAX(ROW(E$1:E107)*(E2=E$1:E107))))))</f>
        <v/>
      </c>
      <c r="K108" s="24" t="str">
        <f>IF(OR(E108="",E108="!!!",F108="NEW"),"",INDEX(J$1:J107,SUMPRODUCT(MAX(ROW(E$1:E107)*(E108=E$1:E107)))))</f>
        <v/>
      </c>
      <c r="L108" s="25"/>
    </row>
    <row r="109" spans="1:12" x14ac:dyDescent="0.3">
      <c r="A109" t="s">
        <v>294</v>
      </c>
      <c r="E109" s="20" t="str">
        <f t="shared" si="6"/>
        <v/>
      </c>
      <c r="F109" s="21" t="str">
        <f>IF(OR(E109="",E109="!!!"),"",IF(NOT(ISNA(VLOOKUP(E109,E$1:E108,1,FALSE()))),"OLD",IF(AND(E109&lt;&gt;"",E109&lt;&gt;"!!!"),"NEW","")))</f>
        <v/>
      </c>
      <c r="G109" s="22" t="str">
        <f>IF(OR(E109="",E109="!!!"),"",IF(OR(J109=0,AND(J109=1,K109=1),AND(J109=1,I109="SBJ"),AND(J109=1,I109=0)),"?IN_FOCUS",IF(J109&lt;=2,"?ACTIVATED",IF(J109&lt;&gt;"","?FAMILIAR",IF(F109="NEW",IF(ISNA(VLOOKUP(E109,#REF!,1,FALSE())),"?TYPE_IDENTIFIABLE","?REFERENTIAL"),"_")))))</f>
        <v/>
      </c>
      <c r="H109" s="23" t="str">
        <f t="shared" ca="1" si="7"/>
        <v/>
      </c>
      <c r="I109" s="24" t="str">
        <f>IF(OR(E109="",E109="!!!",F109="NEW"),"",INDEX(B$2:B108,-1+SUMPRODUCT(MAX(ROW(E$2:E108)*(E109=E$2:E108)))))</f>
        <v/>
      </c>
      <c r="J109" s="24" t="str">
        <f ca="1">IF(OR(E109="",E109="!!!",F109="NEW"),"",COUNTBLANK(OFFSET(A$1,,,SUMPRODUCT(MAX(ROW(E$2:E109)*(E109=E$2:E109)))))-COUNTBLANK(OFFSET(A$1,,,SUMPRODUCT(MAX(ROW(E$1:E108)*(E2=E$1:E108))))))</f>
        <v/>
      </c>
      <c r="K109" s="24" t="str">
        <f>IF(OR(E109="",E109="!!!",F109="NEW"),"",INDEX(J$1:J108,SUMPRODUCT(MAX(ROW(E$1:E108)*(E109=E$1:E108)))))</f>
        <v/>
      </c>
      <c r="L109" s="25"/>
    </row>
    <row r="110" spans="1:12" x14ac:dyDescent="0.3">
      <c r="A110" t="s">
        <v>295</v>
      </c>
      <c r="E110" s="20" t="str">
        <f t="shared" si="6"/>
        <v/>
      </c>
      <c r="F110" s="21" t="str">
        <f>IF(OR(E110="",E110="!!!"),"",IF(NOT(ISNA(VLOOKUP(E110,E$1:E109,1,FALSE()))),"OLD",IF(AND(E110&lt;&gt;"",E110&lt;&gt;"!!!"),"NEW","")))</f>
        <v/>
      </c>
      <c r="G110" s="22" t="str">
        <f>IF(OR(E110="",E110="!!!"),"",IF(OR(J110=0,AND(J110=1,K110=1),AND(J110=1,I110="SBJ"),AND(J110=1,I110=0)),"?IN_FOCUS",IF(J110&lt;=2,"?ACTIVATED",IF(J110&lt;&gt;"","?FAMILIAR",IF(F110="NEW",IF(ISNA(VLOOKUP(E110,#REF!,1,FALSE())),"?TYPE_IDENTIFIABLE","?REFERENTIAL"),"_")))))</f>
        <v/>
      </c>
      <c r="H110" s="23" t="str">
        <f t="shared" ca="1" si="7"/>
        <v/>
      </c>
      <c r="I110" s="24" t="str">
        <f>IF(OR(E110="",E110="!!!",F110="NEW"),"",INDEX(B$2:B109,-1+SUMPRODUCT(MAX(ROW(E$2:E109)*(E110=E$2:E109)))))</f>
        <v/>
      </c>
      <c r="J110" s="24" t="str">
        <f ca="1">IF(OR(E110="",E110="!!!",F110="NEW"),"",COUNTBLANK(OFFSET(A$1,,,SUMPRODUCT(MAX(ROW(E$2:E110)*(E110=E$2:E110)))))-COUNTBLANK(OFFSET(A$1,,,SUMPRODUCT(MAX(ROW(E$1:E109)*(E2=E$1:E109))))))</f>
        <v/>
      </c>
      <c r="K110" s="24" t="str">
        <f>IF(OR(E110="",E110="!!!",F110="NEW"),"",INDEX(J$1:J109,SUMPRODUCT(MAX(ROW(E$1:E109)*(E110=E$1:E109)))))</f>
        <v/>
      </c>
      <c r="L110" s="25"/>
    </row>
    <row r="111" spans="1:12" x14ac:dyDescent="0.3">
      <c r="A111" t="s">
        <v>296</v>
      </c>
      <c r="B111" s="26" t="s">
        <v>225</v>
      </c>
      <c r="C111" s="26" t="s">
        <v>222</v>
      </c>
      <c r="D111" s="26" t="s">
        <v>215</v>
      </c>
      <c r="E111" s="20" t="s">
        <v>669</v>
      </c>
      <c r="F111" s="21" t="str">
        <f>IF(OR(E111="",E111="!!!"),"",IF(NOT(ISNA(VLOOKUP(E111,E$1:E110,1,FALSE()))),"OLD",IF(AND(E111&lt;&gt;"",E111&lt;&gt;"!!!"),"NEW","")))</f>
        <v>OLD</v>
      </c>
      <c r="G111" s="22" t="str">
        <f ca="1">IF(OR(E111="",E111="!!!"),"",IF(OR(J111=0,AND(J111=1,K111=1),AND(J111=1,I111="SBJ"),AND(J111=1,I111=0)),"?IN_FOCUS",IF(J111&lt;=2,"?ACTIVATED",IF(J111&lt;&gt;"","?FAMILIAR",IF(F111="NEW",IF(ISNA(VLOOKUP(E111,#REF!,1,FALSE())),"?TYPE_IDENTIFIABLE","?REFERENTIAL"),"_")))))</f>
        <v>?IN_FOCUS</v>
      </c>
      <c r="H111" s="23"/>
      <c r="I111" s="24">
        <f>IF(OR(E111="",E111="!!!",F111="NEW"),"",INDEX(B$2:B110,-1+SUMPRODUCT(MAX(ROW(E$2:E110)*(E111=E$2:E110)))))</f>
        <v>0</v>
      </c>
      <c r="J111" s="24">
        <f ca="1">IF(OR(E111="",E111="!!!",F111="NEW"),"",COUNTBLANK(OFFSET(A$1,,,SUMPRODUCT(MAX(ROW(E$2:E111)*(E111=E$2:E111)))))-COUNTBLANK(OFFSET(A$1,,,SUMPRODUCT(MAX(ROW(E$1:E110)*(E2=E$1:E110))))))</f>
        <v>0</v>
      </c>
      <c r="K111" s="24">
        <f ca="1">IF(OR(E111="",E111="!!!",F111="NEW"),"",INDEX(J$1:J110,SUMPRODUCT(MAX(ROW(E$1:E110)*(E111=E$1:E110)))))</f>
        <v>0</v>
      </c>
      <c r="L111" s="25"/>
    </row>
    <row r="112" spans="1:12" x14ac:dyDescent="0.3">
      <c r="A112" t="s">
        <v>297</v>
      </c>
      <c r="B112" s="26" t="s">
        <v>269</v>
      </c>
      <c r="C112" s="26" t="s">
        <v>298</v>
      </c>
      <c r="E112" s="20" t="str">
        <f t="shared" si="6"/>
        <v/>
      </c>
      <c r="F112" s="21" t="str">
        <f>IF(OR(E112="",E112="!!!"),"",IF(NOT(ISNA(VLOOKUP(E112,E$1:E111,1,FALSE()))),"OLD",IF(AND(E112&lt;&gt;"",E112&lt;&gt;"!!!"),"NEW","")))</f>
        <v/>
      </c>
      <c r="G112" s="22" t="str">
        <f>IF(OR(E112="",E112="!!!"),"",IF(OR(J112=0,AND(J112=1,K112=1),AND(J112=1,I112="SBJ"),AND(J112=1,I112=0)),"?IN_FOCUS",IF(J112&lt;=2,"?ACTIVATED",IF(J112&lt;&gt;"","?FAMILIAR",IF(F112="NEW",IF(ISNA(VLOOKUP(E112,#REF!,1,FALSE())),"?TYPE_IDENTIFIABLE","?REFERENTIAL"),"_")))))</f>
        <v/>
      </c>
      <c r="H112" s="23" t="str">
        <f t="shared" ca="1" si="7"/>
        <v/>
      </c>
      <c r="I112" s="24" t="str">
        <f>IF(OR(E112="",E112="!!!",F112="NEW"),"",INDEX(B$2:B111,-1+SUMPRODUCT(MAX(ROW(E$2:E111)*(E112=E$2:E111)))))</f>
        <v/>
      </c>
      <c r="J112" s="24" t="str">
        <f ca="1">IF(OR(E112="",E112="!!!",F112="NEW"),"",COUNTBLANK(OFFSET(A$1,,,SUMPRODUCT(MAX(ROW(E$2:E112)*(E112=E$2:E112)))))-COUNTBLANK(OFFSET(A$1,,,SUMPRODUCT(MAX(ROW(E$1:E111)*(E2=E$1:E111))))))</f>
        <v/>
      </c>
      <c r="K112" s="24" t="str">
        <f>IF(OR(E112="",E112="!!!",F112="NEW"),"",INDEX(J$1:J111,SUMPRODUCT(MAX(ROW(E$1:E111)*(E112=E$1:E111)))))</f>
        <v/>
      </c>
      <c r="L112" s="25"/>
    </row>
    <row r="113" spans="1:12" x14ac:dyDescent="0.3">
      <c r="A113" t="s">
        <v>299</v>
      </c>
      <c r="E113" s="20" t="str">
        <f t="shared" si="6"/>
        <v/>
      </c>
      <c r="F113" s="21" t="str">
        <f>IF(OR(E113="",E113="!!!"),"",IF(NOT(ISNA(VLOOKUP(E113,E$1:E112,1,FALSE()))),"OLD",IF(AND(E113&lt;&gt;"",E113&lt;&gt;"!!!"),"NEW","")))</f>
        <v/>
      </c>
      <c r="G113" s="22" t="str">
        <f>IF(OR(E113="",E113="!!!"),"",IF(OR(J113=0,AND(J113=1,K113=1),AND(J113=1,I113="SBJ"),AND(J113=1,I113=0)),"?IN_FOCUS",IF(J113&lt;=2,"?ACTIVATED",IF(J113&lt;&gt;"","?FAMILIAR",IF(F113="NEW",IF(ISNA(VLOOKUP(E113,#REF!,1,FALSE())),"?TYPE_IDENTIFIABLE","?REFERENTIAL"),"_")))))</f>
        <v/>
      </c>
      <c r="H113" s="23" t="str">
        <f t="shared" ca="1" si="7"/>
        <v/>
      </c>
      <c r="I113" s="24" t="str">
        <f>IF(OR(E113="",E113="!!!",F113="NEW"),"",INDEX(B$2:B112,-1+SUMPRODUCT(MAX(ROW(E$2:E112)*(E113=E$2:E112)))))</f>
        <v/>
      </c>
      <c r="J113" s="24" t="str">
        <f ca="1">IF(OR(E113="",E113="!!!",F113="NEW"),"",COUNTBLANK(OFFSET(A$1,,,SUMPRODUCT(MAX(ROW(E$2:E113)*(E113=E$2:E113)))))-COUNTBLANK(OFFSET(A$1,,,SUMPRODUCT(MAX(ROW(E$1:E112)*(E2=E$1:E112))))))</f>
        <v/>
      </c>
      <c r="K113" s="24" t="str">
        <f>IF(OR(E113="",E113="!!!",F113="NEW"),"",INDEX(J$1:J112,SUMPRODUCT(MAX(ROW(E$1:E112)*(E113=E$1:E112)))))</f>
        <v/>
      </c>
      <c r="L113" s="25"/>
    </row>
    <row r="114" spans="1:12" x14ac:dyDescent="0.3">
      <c r="A114" t="s">
        <v>300</v>
      </c>
      <c r="B114" s="26" t="s">
        <v>250</v>
      </c>
      <c r="C114" s="26" t="s">
        <v>264</v>
      </c>
      <c r="D114" s="26" t="s">
        <v>215</v>
      </c>
      <c r="E114" s="20" t="s">
        <v>670</v>
      </c>
      <c r="F114" s="21" t="str">
        <f>IF(OR(E114="",E114="!!!"),"",IF(NOT(ISNA(VLOOKUP(E114,E$1:E113,1,FALSE()))),"OLD",IF(AND(E114&lt;&gt;"",E114&lt;&gt;"!!!"),"NEW","")))</f>
        <v>NEW</v>
      </c>
      <c r="G114" s="22" t="str">
        <f ca="1">IF(OR(E114="",E114="!!!"),"",IF(OR(J114=0,AND(J114=1,K114=1),AND(J114=1,I114="SBJ"),AND(J114=1,I114=0)),"?IN_FOCUS",IF(J114&lt;=2,"?ACTIVATED",IF(J114&lt;&gt;"","?FAMILIAR",IF(F114="NEW",IF(ISNA(VLOOKUP(E114,#REF!,1,FALSE())),"?TYPE_IDENTIFIABLE","?REFERENTIAL"),"_")))))</f>
        <v>?REFERENTIAL</v>
      </c>
      <c r="H114" s="23" t="str">
        <f t="shared" ca="1" si="7"/>
        <v/>
      </c>
      <c r="I114" s="24" t="str">
        <f>IF(OR(E114="",E114="!!!",F114="NEW"),"",INDEX(B$2:B113,-1+SUMPRODUCT(MAX(ROW(E$2:E113)*(E114=E$2:E113)))))</f>
        <v/>
      </c>
      <c r="J114" s="24" t="str">
        <f ca="1">IF(OR(E114="",E114="!!!",F114="NEW"),"",COUNTBLANK(OFFSET(A$1,,,SUMPRODUCT(MAX(ROW(E$2:E114)*(E114=E$2:E114)))))-COUNTBLANK(OFFSET(A$1,,,SUMPRODUCT(MAX(ROW(E$1:E113)*(E2=E$1:E113))))))</f>
        <v/>
      </c>
      <c r="K114" s="24" t="str">
        <f>IF(OR(E114="",E114="!!!",F114="NEW"),"",INDEX(J$1:J113,SUMPRODUCT(MAX(ROW(E$1:E113)*(E114=E$1:E113)))))</f>
        <v/>
      </c>
      <c r="L114" s="25"/>
    </row>
    <row r="115" spans="1:12" x14ac:dyDescent="0.3">
      <c r="A115" t="s">
        <v>217</v>
      </c>
      <c r="E115" s="20" t="str">
        <f t="shared" si="6"/>
        <v/>
      </c>
      <c r="F115" s="21" t="str">
        <f>IF(OR(E115="",E115="!!!"),"",IF(NOT(ISNA(VLOOKUP(E115,E$1:E114,1,FALSE()))),"OLD",IF(AND(E115&lt;&gt;"",E115&lt;&gt;"!!!"),"NEW","")))</f>
        <v/>
      </c>
      <c r="G115" s="22" t="str">
        <f>IF(OR(E115="",E115="!!!"),"",IF(OR(J115=0,AND(J115=1,K115=1),AND(J115=1,I115="SBJ"),AND(J115=1,I115=0)),"?IN_FOCUS",IF(J115&lt;=2,"?ACTIVATED",IF(J115&lt;&gt;"","?FAMILIAR",IF(F115="NEW",IF(ISNA(VLOOKUP(E115,#REF!,1,FALSE())),"?TYPE_IDENTIFIABLE","?REFERENTIAL"),"_")))))</f>
        <v/>
      </c>
      <c r="H115" s="23" t="str">
        <f t="shared" ca="1" si="7"/>
        <v/>
      </c>
      <c r="I115" s="24" t="str">
        <f>IF(OR(E115="",E115="!!!",F115="NEW"),"",INDEX(B$2:B114,-1+SUMPRODUCT(MAX(ROW(E$2:E114)*(E115=E$2:E114)))))</f>
        <v/>
      </c>
      <c r="J115" s="24" t="str">
        <f ca="1">IF(OR(E115="",E115="!!!",F115="NEW"),"",COUNTBLANK(OFFSET(A$1,,,SUMPRODUCT(MAX(ROW(E$2:E115)*(E115=E$2:E115)))))-COUNTBLANK(OFFSET(A$1,,,SUMPRODUCT(MAX(ROW(E$1:E114)*(E2=E$1:E114))))))</f>
        <v/>
      </c>
      <c r="K115" s="24" t="str">
        <f>IF(OR(E115="",E115="!!!",F115="NEW"),"",INDEX(J$1:J114,SUMPRODUCT(MAX(ROW(E$1:E114)*(E115=E$1:E114)))))</f>
        <v/>
      </c>
      <c r="L115" s="25"/>
    </row>
    <row r="116" spans="1:12" x14ac:dyDescent="0.3">
      <c r="A116" t="s">
        <v>301</v>
      </c>
      <c r="E116" s="20" t="str">
        <f t="shared" si="6"/>
        <v/>
      </c>
      <c r="F116" s="21" t="str">
        <f>IF(OR(E116="",E116="!!!"),"",IF(NOT(ISNA(VLOOKUP(E116,E$1:E115,1,FALSE()))),"OLD",IF(AND(E116&lt;&gt;"",E116&lt;&gt;"!!!"),"NEW","")))</f>
        <v/>
      </c>
      <c r="G116" s="22" t="str">
        <f>IF(OR(E116="",E116="!!!"),"",IF(OR(J116=0,AND(J116=1,K116=1),AND(J116=1,I116="SBJ"),AND(J116=1,I116=0)),"?IN_FOCUS",IF(J116&lt;=2,"?ACTIVATED",IF(J116&lt;&gt;"","?FAMILIAR",IF(F116="NEW",IF(ISNA(VLOOKUP(E116,#REF!,1,FALSE())),"?TYPE_IDENTIFIABLE","?REFERENTIAL"),"_")))))</f>
        <v/>
      </c>
      <c r="H116" s="23" t="str">
        <f t="shared" ca="1" si="7"/>
        <v/>
      </c>
      <c r="I116" s="24" t="str">
        <f>IF(OR(E116="",E116="!!!",F116="NEW"),"",INDEX(B$2:B115,-1+SUMPRODUCT(MAX(ROW(E$2:E115)*(E116=E$2:E115)))))</f>
        <v/>
      </c>
      <c r="J116" s="24" t="str">
        <f ca="1">IF(OR(E116="",E116="!!!",F116="NEW"),"",COUNTBLANK(OFFSET(A$1,,,SUMPRODUCT(MAX(ROW(E$2:E116)*(E116=E$2:E116)))))-COUNTBLANK(OFFSET(A$1,,,SUMPRODUCT(MAX(ROW(E$1:E115)*(E2=E$1:E115))))))</f>
        <v/>
      </c>
      <c r="K116" s="24" t="str">
        <f>IF(OR(E116="",E116="!!!",F116="NEW"),"",INDEX(J$1:J115,SUMPRODUCT(MAX(ROW(E$1:E115)*(E116=E$1:E115)))))</f>
        <v/>
      </c>
      <c r="L116" s="25"/>
    </row>
    <row r="117" spans="1:12" x14ac:dyDescent="0.3">
      <c r="A117" t="s">
        <v>302</v>
      </c>
      <c r="E117" s="20" t="str">
        <f t="shared" si="6"/>
        <v/>
      </c>
      <c r="F117" s="21" t="str">
        <f>IF(OR(E117="",E117="!!!"),"",IF(NOT(ISNA(VLOOKUP(E117,E$1:E116,1,FALSE()))),"OLD",IF(AND(E117&lt;&gt;"",E117&lt;&gt;"!!!"),"NEW","")))</f>
        <v/>
      </c>
      <c r="G117" s="22" t="str">
        <f>IF(OR(E117="",E117="!!!"),"",IF(OR(J117=0,AND(J117=1,K117=1),AND(J117=1,I117="SBJ"),AND(J117=1,I117=0)),"?IN_FOCUS",IF(J117&lt;=2,"?ACTIVATED",IF(J117&lt;&gt;"","?FAMILIAR",IF(F117="NEW",IF(ISNA(VLOOKUP(E117,#REF!,1,FALSE())),"?TYPE_IDENTIFIABLE","?REFERENTIAL"),"_")))))</f>
        <v/>
      </c>
      <c r="H117" s="23" t="str">
        <f t="shared" ca="1" si="7"/>
        <v/>
      </c>
      <c r="I117" s="24" t="str">
        <f>IF(OR(E117="",E117="!!!",F117="NEW"),"",INDEX(B$2:B116,-1+SUMPRODUCT(MAX(ROW(E$2:E116)*(E117=E$2:E116)))))</f>
        <v/>
      </c>
      <c r="J117" s="24" t="str">
        <f ca="1">IF(OR(E117="",E117="!!!",F117="NEW"),"",COUNTBLANK(OFFSET(A$1,,,SUMPRODUCT(MAX(ROW(E$2:E117)*(E117=E$2:E117)))))-COUNTBLANK(OFFSET(A$1,,,SUMPRODUCT(MAX(ROW(E$1:E116)*(E2=E$1:E116))))))</f>
        <v/>
      </c>
      <c r="K117" s="24" t="str">
        <f>IF(OR(E117="",E117="!!!",F117="NEW"),"",INDEX(J$1:J116,SUMPRODUCT(MAX(ROW(E$1:E116)*(E117=E$1:E116)))))</f>
        <v/>
      </c>
      <c r="L117" s="25"/>
    </row>
    <row r="118" spans="1:12" x14ac:dyDescent="0.3">
      <c r="A118" t="s">
        <v>303</v>
      </c>
      <c r="E118" s="20" t="str">
        <f t="shared" si="6"/>
        <v/>
      </c>
      <c r="F118" s="21" t="str">
        <f>IF(OR(E118="",E118="!!!"),"",IF(NOT(ISNA(VLOOKUP(E118,E$1:E117,1,FALSE()))),"OLD",IF(AND(E118&lt;&gt;"",E118&lt;&gt;"!!!"),"NEW","")))</f>
        <v/>
      </c>
      <c r="G118" s="22" t="str">
        <f>IF(OR(E118="",E118="!!!"),"",IF(OR(J118=0,AND(J118=1,K118=1),AND(J118=1,I118="SBJ"),AND(J118=1,I118=0)),"?IN_FOCUS",IF(J118&lt;=2,"?ACTIVATED",IF(J118&lt;&gt;"","?FAMILIAR",IF(F118="NEW",IF(ISNA(VLOOKUP(E118,#REF!,1,FALSE())),"?TYPE_IDENTIFIABLE","?REFERENTIAL"),"_")))))</f>
        <v/>
      </c>
      <c r="H118" s="23" t="str">
        <f t="shared" ca="1" si="7"/>
        <v/>
      </c>
      <c r="I118" s="24" t="str">
        <f>IF(OR(E118="",E118="!!!",F118="NEW"),"",INDEX(B$2:B117,-1+SUMPRODUCT(MAX(ROW(E$2:E117)*(E118=E$2:E117)))))</f>
        <v/>
      </c>
      <c r="J118" s="24" t="str">
        <f ca="1">IF(OR(E118="",E118="!!!",F118="NEW"),"",COUNTBLANK(OFFSET(A$1,,,SUMPRODUCT(MAX(ROW(E$2:E118)*(E118=E$2:E118)))))-COUNTBLANK(OFFSET(A$1,,,SUMPRODUCT(MAX(ROW(E$1:E117)*(E2=E$1:E117))))))</f>
        <v/>
      </c>
      <c r="K118" s="24" t="str">
        <f>IF(OR(E118="",E118="!!!",F118="NEW"),"",INDEX(J$1:J117,SUMPRODUCT(MAX(ROW(E$1:E117)*(E118=E$1:E117)))))</f>
        <v/>
      </c>
      <c r="L118" s="25"/>
    </row>
    <row r="119" spans="1:12" x14ac:dyDescent="0.3">
      <c r="A119" t="s">
        <v>238</v>
      </c>
      <c r="E119" s="20" t="str">
        <f t="shared" si="6"/>
        <v/>
      </c>
      <c r="F119" s="21" t="str">
        <f>IF(OR(E119="",E119="!!!"),"",IF(NOT(ISNA(VLOOKUP(E119,E$1:E118,1,FALSE()))),"OLD",IF(AND(E119&lt;&gt;"",E119&lt;&gt;"!!!"),"NEW","")))</f>
        <v/>
      </c>
      <c r="G119" s="22" t="str">
        <f>IF(OR(E119="",E119="!!!"),"",IF(OR(J119=0,AND(J119=1,K119=1),AND(J119=1,I119="SBJ"),AND(J119=1,I119=0)),"?IN_FOCUS",IF(J119&lt;=2,"?ACTIVATED",IF(J119&lt;&gt;"","?FAMILIAR",IF(F119="NEW",IF(ISNA(VLOOKUP(E119,#REF!,1,FALSE())),"?TYPE_IDENTIFIABLE","?REFERENTIAL"),"_")))))</f>
        <v/>
      </c>
      <c r="H119" s="23" t="str">
        <f t="shared" ca="1" si="7"/>
        <v/>
      </c>
      <c r="I119" s="24" t="str">
        <f>IF(OR(E119="",E119="!!!",F119="NEW"),"",INDEX(B$2:B118,-1+SUMPRODUCT(MAX(ROW(E$2:E118)*(E119=E$2:E118)))))</f>
        <v/>
      </c>
      <c r="J119" s="24" t="str">
        <f ca="1">IF(OR(E119="",E119="!!!",F119="NEW"),"",COUNTBLANK(OFFSET(A$1,,,SUMPRODUCT(MAX(ROW(E$2:E119)*(E119=E$2:E119)))))-COUNTBLANK(OFFSET(A$1,,,SUMPRODUCT(MAX(ROW(E$1:E118)*(E2=E$1:E118))))))</f>
        <v/>
      </c>
      <c r="K119" s="24" t="str">
        <f>IF(OR(E119="",E119="!!!",F119="NEW"),"",INDEX(J$1:J118,SUMPRODUCT(MAX(ROW(E$1:E118)*(E119=E$1:E118)))))</f>
        <v/>
      </c>
      <c r="L119" s="25"/>
    </row>
    <row r="120" spans="1:12" x14ac:dyDescent="0.3">
      <c r="A120" t="s">
        <v>304</v>
      </c>
      <c r="E120" s="20" t="str">
        <f t="shared" si="6"/>
        <v/>
      </c>
      <c r="F120" s="21" t="str">
        <f>IF(OR(E120="",E120="!!!"),"",IF(NOT(ISNA(VLOOKUP(E120,E$1:E119,1,FALSE()))),"OLD",IF(AND(E120&lt;&gt;"",E120&lt;&gt;"!!!"),"NEW","")))</f>
        <v/>
      </c>
      <c r="G120" s="22" t="str">
        <f>IF(OR(E120="",E120="!!!"),"",IF(OR(J120=0,AND(J120=1,K120=1),AND(J120=1,I120="SBJ"),AND(J120=1,I120=0)),"?IN_FOCUS",IF(J120&lt;=2,"?ACTIVATED",IF(J120&lt;&gt;"","?FAMILIAR",IF(F120="NEW",IF(ISNA(VLOOKUP(E120,#REF!,1,FALSE())),"?TYPE_IDENTIFIABLE","?REFERENTIAL"),"_")))))</f>
        <v/>
      </c>
      <c r="H120" s="23" t="str">
        <f t="shared" ca="1" si="7"/>
        <v/>
      </c>
      <c r="I120" s="24" t="str">
        <f>IF(OR(E120="",E120="!!!",F120="NEW"),"",INDEX(B$2:B119,-1+SUMPRODUCT(MAX(ROW(E$2:E119)*(E120=E$2:E119)))))</f>
        <v/>
      </c>
      <c r="J120" s="24" t="str">
        <f ca="1">IF(OR(E120="",E120="!!!",F120="NEW"),"",COUNTBLANK(OFFSET(A$1,,,SUMPRODUCT(MAX(ROW(E$2:E120)*(E120=E$2:E120)))))-COUNTBLANK(OFFSET(A$1,,,SUMPRODUCT(MAX(ROW(E$1:E119)*(E2=E$1:E119))))))</f>
        <v/>
      </c>
      <c r="K120" s="24" t="str">
        <f>IF(OR(E120="",E120="!!!",F120="NEW"),"",INDEX(J$1:J119,SUMPRODUCT(MAX(ROW(E$1:E119)*(E120=E$1:E119)))))</f>
        <v/>
      </c>
      <c r="L120" s="25"/>
    </row>
    <row r="121" spans="1:12" x14ac:dyDescent="0.3">
      <c r="A121" t="s">
        <v>305</v>
      </c>
      <c r="B121" s="26" t="s">
        <v>266</v>
      </c>
      <c r="C121" s="26" t="s">
        <v>240</v>
      </c>
      <c r="E121" s="20" t="str">
        <f t="shared" si="6"/>
        <v/>
      </c>
      <c r="F121" s="21" t="str">
        <f>IF(OR(E121="",E121="!!!"),"",IF(NOT(ISNA(VLOOKUP(E121,E$1:E120,1,FALSE()))),"OLD",IF(AND(E121&lt;&gt;"",E121&lt;&gt;"!!!"),"NEW","")))</f>
        <v/>
      </c>
      <c r="G121" s="22" t="str">
        <f>IF(OR(E121="",E121="!!!"),"",IF(OR(J121=0,AND(J121=1,K121=1),AND(J121=1,I121="SBJ"),AND(J121=1,I121=0)),"?IN_FOCUS",IF(J121&lt;=2,"?ACTIVATED",IF(J121&lt;&gt;"","?FAMILIAR",IF(F121="NEW",IF(ISNA(VLOOKUP(E121,#REF!,1,FALSE())),"?TYPE_IDENTIFIABLE","?REFERENTIAL"),"_")))))</f>
        <v/>
      </c>
      <c r="H121" s="23" t="str">
        <f t="shared" ca="1" si="7"/>
        <v/>
      </c>
      <c r="I121" s="24" t="str">
        <f>IF(OR(E121="",E121="!!!",F121="NEW"),"",INDEX(B$2:B120,-1+SUMPRODUCT(MAX(ROW(E$2:E120)*(E121=E$2:E120)))))</f>
        <v/>
      </c>
      <c r="J121" s="24" t="str">
        <f ca="1">IF(OR(E121="",E121="!!!",F121="NEW"),"",COUNTBLANK(OFFSET(A$1,,,SUMPRODUCT(MAX(ROW(E$2:E121)*(E121=E$2:E121)))))-COUNTBLANK(OFFSET(A$1,,,SUMPRODUCT(MAX(ROW(E$1:E120)*(E2=E$1:E120))))))</f>
        <v/>
      </c>
      <c r="K121" s="24" t="str">
        <f>IF(OR(E121="",E121="!!!",F121="NEW"),"",INDEX(J$1:J120,SUMPRODUCT(MAX(ROW(E$1:E120)*(E121=E$1:E120)))))</f>
        <v/>
      </c>
      <c r="L121" s="25"/>
    </row>
    <row r="122" spans="1:12" x14ac:dyDescent="0.3">
      <c r="A122" t="s">
        <v>282</v>
      </c>
      <c r="E122" s="20" t="str">
        <f t="shared" si="6"/>
        <v/>
      </c>
      <c r="F122" s="21" t="str">
        <f>IF(OR(E122="",E122="!!!"),"",IF(NOT(ISNA(VLOOKUP(E122,E$1:E121,1,FALSE()))),"OLD",IF(AND(E122&lt;&gt;"",E122&lt;&gt;"!!!"),"NEW","")))</f>
        <v/>
      </c>
      <c r="G122" s="22" t="str">
        <f>IF(OR(E122="",E122="!!!"),"",IF(OR(J122=0,AND(J122=1,K122=1),AND(J122=1,I122="SBJ"),AND(J122=1,I122=0)),"?IN_FOCUS",IF(J122&lt;=2,"?ACTIVATED",IF(J122&lt;&gt;"","?FAMILIAR",IF(F122="NEW",IF(ISNA(VLOOKUP(E122,#REF!,1,FALSE())),"?TYPE_IDENTIFIABLE","?REFERENTIAL"),"_")))))</f>
        <v/>
      </c>
      <c r="H122" s="23" t="str">
        <f t="shared" ca="1" si="7"/>
        <v/>
      </c>
      <c r="I122" s="24" t="str">
        <f>IF(OR(E122="",E122="!!!",F122="NEW"),"",INDEX(B$2:B121,-1+SUMPRODUCT(MAX(ROW(E$2:E121)*(E122=E$2:E121)))))</f>
        <v/>
      </c>
      <c r="J122" s="24" t="str">
        <f ca="1">IF(OR(E122="",E122="!!!",F122="NEW"),"",COUNTBLANK(OFFSET(A$1,,,SUMPRODUCT(MAX(ROW(E$2:E122)*(E122=E$2:E122)))))-COUNTBLANK(OFFSET(A$1,,,SUMPRODUCT(MAX(ROW(E$1:E121)*(E2=E$1:E121))))))</f>
        <v/>
      </c>
      <c r="K122" s="24" t="str">
        <f>IF(OR(E122="",E122="!!!",F122="NEW"),"",INDEX(J$1:J121,SUMPRODUCT(MAX(ROW(E$1:E121)*(E122=E$1:E121)))))</f>
        <v/>
      </c>
      <c r="L122" s="25"/>
    </row>
    <row r="123" spans="1:12" x14ac:dyDescent="0.3">
      <c r="A123" t="s">
        <v>306</v>
      </c>
      <c r="E123" s="20" t="str">
        <f t="shared" ref="E123:E125" si="8">IF(D123="?OLD","!!!","")</f>
        <v/>
      </c>
      <c r="F123" s="21" t="str">
        <f>IF(OR(E123="",E123="!!!"),"",IF(NOT(ISNA(VLOOKUP(E123,E$1:E122,1,FALSE()))),"OLD",IF(AND(E123&lt;&gt;"",E123&lt;&gt;"!!!"),"NEW","")))</f>
        <v/>
      </c>
      <c r="G123" s="22" t="str">
        <f>IF(OR(E123="",E123="!!!"),"",IF(OR(J123=0,AND(J123=1,K123=1),AND(J123=1,I123="SBJ"),AND(J123=1,I123=0)),"?IN_FOCUS",IF(J123&lt;=2,"?ACTIVATED",IF(J123&lt;&gt;"","?FAMILIAR",IF(F123="NEW",IF(ISNA(VLOOKUP(E123,#REF!,1,FALSE())),"?TYPE_IDENTIFIABLE","?REFERENTIAL"),"_")))))</f>
        <v/>
      </c>
      <c r="H123" s="23" t="str">
        <f t="shared" ref="H123:H125" ca="1" si="9">IF(J123&lt;&gt;1,"",IF(I123="SBJ","CB","?"))</f>
        <v/>
      </c>
      <c r="I123" s="24" t="str">
        <f>IF(OR(E123="",E123="!!!",F123="NEW"),"",INDEX(B$2:B122,-1+SUMPRODUCT(MAX(ROW(E$2:E122)*(E123=E$2:E122)))))</f>
        <v/>
      </c>
      <c r="J123" s="24" t="str">
        <f ca="1">IF(OR(E123="",E123="!!!",F123="NEW"),"",COUNTBLANK(OFFSET(A$1,,,SUMPRODUCT(MAX(ROW(E$2:E123)*(E123=E$2:E123)))))-COUNTBLANK(OFFSET(A$1,,,SUMPRODUCT(MAX(ROW(E$1:E122)*(E2=E$1:E122))))))</f>
        <v/>
      </c>
      <c r="K123" s="24" t="str">
        <f>IF(OR(E123="",E123="!!!",F123="NEW"),"",INDEX(J$1:J122,SUMPRODUCT(MAX(ROW(E$1:E122)*(E123=E$1:E122)))))</f>
        <v/>
      </c>
      <c r="L123" s="25"/>
    </row>
    <row r="124" spans="1:12" x14ac:dyDescent="0.3">
      <c r="A124" t="s">
        <v>307</v>
      </c>
      <c r="B124" s="26" t="s">
        <v>269</v>
      </c>
      <c r="C124" s="26" t="s">
        <v>226</v>
      </c>
      <c r="E124" s="20" t="str">
        <f t="shared" si="8"/>
        <v/>
      </c>
      <c r="F124" s="21" t="str">
        <f>IF(OR(E124="",E124="!!!"),"",IF(NOT(ISNA(VLOOKUP(E124,E$1:E123,1,FALSE()))),"OLD",IF(AND(E124&lt;&gt;"",E124&lt;&gt;"!!!"),"NEW","")))</f>
        <v/>
      </c>
      <c r="G124" s="22" t="str">
        <f>IF(OR(E124="",E124="!!!"),"",IF(OR(J124=0,AND(J124=1,K124=1),AND(J124=1,I124="SBJ"),AND(J124=1,I124=0)),"?IN_FOCUS",IF(J124&lt;=2,"?ACTIVATED",IF(J124&lt;&gt;"","?FAMILIAR",IF(F124="NEW",IF(ISNA(VLOOKUP(E124,#REF!,1,FALSE())),"?TYPE_IDENTIFIABLE","?REFERENTIAL"),"_")))))</f>
        <v/>
      </c>
      <c r="H124" s="23" t="str">
        <f t="shared" ca="1" si="9"/>
        <v/>
      </c>
      <c r="I124" s="24" t="str">
        <f>IF(OR(E124="",E124="!!!",F124="NEW"),"",INDEX(B$2:B123,-1+SUMPRODUCT(MAX(ROW(E$2:E123)*(E124=E$2:E123)))))</f>
        <v/>
      </c>
      <c r="J124" s="24" t="str">
        <f ca="1">IF(OR(E124="",E124="!!!",F124="NEW"),"",COUNTBLANK(OFFSET(A$1,,,SUMPRODUCT(MAX(ROW(E$2:E124)*(E124=E$2:E124)))))-COUNTBLANK(OFFSET(A$1,,,SUMPRODUCT(MAX(ROW(E$1:E123)*(E2=E$1:E123))))))</f>
        <v/>
      </c>
      <c r="K124" s="24" t="str">
        <f>IF(OR(E124="",E124="!!!",F124="NEW"),"",INDEX(J$1:J123,SUMPRODUCT(MAX(ROW(E$1:E123)*(E124=E$1:E123)))))</f>
        <v/>
      </c>
      <c r="L124" s="25"/>
    </row>
    <row r="125" spans="1:12" x14ac:dyDescent="0.3">
      <c r="A125" t="s">
        <v>234</v>
      </c>
      <c r="E125" s="20" t="str">
        <f t="shared" si="8"/>
        <v/>
      </c>
      <c r="F125" s="21" t="str">
        <f>IF(OR(E125="",E125="!!!"),"",IF(NOT(ISNA(VLOOKUP(E125,E$1:E124,1,FALSE()))),"OLD",IF(AND(E125&lt;&gt;"",E125&lt;&gt;"!!!"),"NEW","")))</f>
        <v/>
      </c>
      <c r="G125" s="22" t="str">
        <f>IF(OR(E125="",E125="!!!"),"",IF(OR(J125=0,AND(J125=1,K125=1),AND(J125=1,I125="SBJ"),AND(J125=1,I125=0)),"?IN_FOCUS",IF(J125&lt;=2,"?ACTIVATED",IF(J125&lt;&gt;"","?FAMILIAR",IF(F125="NEW",IF(ISNA(VLOOKUP(E125,#REF!,1,FALSE())),"?TYPE_IDENTIFIABLE","?REFERENTIAL"),"_")))))</f>
        <v/>
      </c>
      <c r="H125" s="23" t="str">
        <f t="shared" ca="1" si="9"/>
        <v/>
      </c>
      <c r="I125" s="24" t="str">
        <f>IF(OR(E125="",E125="!!!",F125="NEW"),"",INDEX(B$2:B124,-1+SUMPRODUCT(MAX(ROW(E$2:E124)*(E125=E$2:E124)))))</f>
        <v/>
      </c>
      <c r="J125" s="24" t="str">
        <f ca="1">IF(OR(E125="",E125="!!!",F125="NEW"),"",COUNTBLANK(OFFSET(A$1,,,SUMPRODUCT(MAX(ROW(E$2:E125)*(E125=E$2:E125)))))-COUNTBLANK(OFFSET(A$1,,,SUMPRODUCT(MAX(ROW(E$1:E124)*(E2=E$1:E124))))))</f>
        <v/>
      </c>
      <c r="K125" s="24" t="str">
        <f>IF(OR(E125="",E125="!!!",F125="NEW"),"",INDEX(J$1:J124,SUMPRODUCT(MAX(ROW(E$1:E124)*(E125=E$1:E124)))))</f>
        <v/>
      </c>
      <c r="L125" s="25"/>
    </row>
    <row r="127" spans="1:12" x14ac:dyDescent="0.3">
      <c r="A127" t="s">
        <v>308</v>
      </c>
    </row>
    <row r="128" spans="1:12" x14ac:dyDescent="0.3">
      <c r="A128" t="s">
        <v>290</v>
      </c>
      <c r="B128" s="26" t="s">
        <v>213</v>
      </c>
      <c r="C128" s="26" t="s">
        <v>214</v>
      </c>
      <c r="D128" s="26" t="s">
        <v>215</v>
      </c>
      <c r="E128" s="20" t="s">
        <v>669</v>
      </c>
      <c r="F128" s="21" t="str">
        <f>IF(OR(E128="",E128="!!!"),"",IF(NOT(ISNA(VLOOKUP(E128,E$1:E127,1,FALSE()))),"OLD",IF(AND(E128&lt;&gt;"",E128&lt;&gt;"!!!"),"NEW","")))</f>
        <v>OLD</v>
      </c>
      <c r="G128" s="22" t="str">
        <f ca="1">IF(OR(E128="",E128="!!!"),"",IF(OR(J128=0,AND(J128=1,K128=1),AND(J128=1,I128="SBJ"),AND(J128=1,I128=0)),"?IN_FOCUS",IF(J128&lt;=2,"?ACTIVATED",IF(J128&lt;&gt;"","?FAMILIAR",IF(F128="NEW",IF(ISNA(VLOOKUP(E128,#REF!,1,FALSE())),"?TYPE_IDENTIFIABLE","?REFERENTIAL"),"_")))))</f>
        <v>?IN_FOCUS</v>
      </c>
      <c r="H128" s="23" t="s">
        <v>198</v>
      </c>
      <c r="I128" s="24" t="str">
        <f>IF(OR(E128="",E128="!!!",F128="NEW"),"",INDEX(B$2:B127,-1+SUMPRODUCT(MAX(ROW(E$2:E127)*(E128=E$2:E127)))))</f>
        <v>other_2</v>
      </c>
      <c r="J128" s="24">
        <f ca="1">IF(OR(E128="",E128="!!!",F128="NEW"),"",COUNTBLANK(OFFSET(A$1,,,SUMPRODUCT(MAX(ROW(E$2:E128)*(E128=E$2:E128)))))-COUNTBLANK(OFFSET(A$1,,,SUMPRODUCT(MAX(ROW(E$1:E127)*(E2=E$1:E127))))))</f>
        <v>0</v>
      </c>
      <c r="K128" s="24">
        <f ca="1">IF(OR(E128="",E128="!!!",F128="NEW"),"",INDEX(J$1:J127,SUMPRODUCT(MAX(ROW(E$1:E127)*(E128=E$1:E127)))))</f>
        <v>0</v>
      </c>
      <c r="L128" s="25"/>
    </row>
    <row r="129" spans="1:12" x14ac:dyDescent="0.3">
      <c r="A129" t="s">
        <v>309</v>
      </c>
      <c r="E129" s="20" t="str">
        <f t="shared" ref="E129:E158" si="10">IF(D129="?OLD","!!!","")</f>
        <v/>
      </c>
      <c r="F129" s="21" t="str">
        <f>IF(OR(E129="",E129="!!!"),"",IF(NOT(ISNA(VLOOKUP(E129,E$1:E128,1,FALSE()))),"OLD",IF(AND(E129&lt;&gt;"",E129&lt;&gt;"!!!"),"NEW","")))</f>
        <v/>
      </c>
      <c r="G129" s="22" t="str">
        <f>IF(OR(E129="",E129="!!!"),"",IF(OR(J129=0,AND(J129=1,K129=1),AND(J129=1,I129="SBJ"),AND(J129=1,I129=0)),"?IN_FOCUS",IF(J129&lt;=2,"?ACTIVATED",IF(J129&lt;&gt;"","?FAMILIAR",IF(F129="NEW",IF(ISNA(VLOOKUP(E129,#REF!,1,FALSE())),"?TYPE_IDENTIFIABLE","?REFERENTIAL"),"_")))))</f>
        <v/>
      </c>
      <c r="H129" s="23" t="str">
        <f t="shared" ref="H129:H158" ca="1" si="11">IF(J129&lt;&gt;1,"",IF(I129="SBJ","CB","?"))</f>
        <v/>
      </c>
      <c r="I129" s="24" t="str">
        <f>IF(OR(E129="",E129="!!!",F129="NEW"),"",INDEX(B$2:B128,-1+SUMPRODUCT(MAX(ROW(E$2:E128)*(E129=E$2:E128)))))</f>
        <v/>
      </c>
      <c r="J129" s="24" t="str">
        <f ca="1">IF(OR(E129="",E129="!!!",F129="NEW"),"",COUNTBLANK(OFFSET(A$1,,,SUMPRODUCT(MAX(ROW(E$2:E129)*(E129=E$2:E129)))))-COUNTBLANK(OFFSET(A$1,,,SUMPRODUCT(MAX(ROW(E$1:E128)*(E2=E$1:E128))))))</f>
        <v/>
      </c>
      <c r="K129" s="24" t="str">
        <f>IF(OR(E129="",E129="!!!",F129="NEW"),"",INDEX(J$1:J128,SUMPRODUCT(MAX(ROW(E$1:E128)*(E129=E$1:E128)))))</f>
        <v/>
      </c>
      <c r="L129" s="25"/>
    </row>
    <row r="130" spans="1:12" x14ac:dyDescent="0.3">
      <c r="A130" t="s">
        <v>310</v>
      </c>
      <c r="E130" s="20" t="str">
        <f t="shared" si="10"/>
        <v/>
      </c>
      <c r="F130" s="21" t="str">
        <f>IF(OR(E130="",E130="!!!"),"",IF(NOT(ISNA(VLOOKUP(E130,E$1:E129,1,FALSE()))),"OLD",IF(AND(E130&lt;&gt;"",E130&lt;&gt;"!!!"),"NEW","")))</f>
        <v/>
      </c>
      <c r="G130" s="22" t="str">
        <f>IF(OR(E130="",E130="!!!"),"",IF(OR(J130=0,AND(J130=1,K130=1),AND(J130=1,I130="SBJ"),AND(J130=1,I130=0)),"?IN_FOCUS",IF(J130&lt;=2,"?ACTIVATED",IF(J130&lt;&gt;"","?FAMILIAR",IF(F130="NEW",IF(ISNA(VLOOKUP(E130,#REF!,1,FALSE())),"?TYPE_IDENTIFIABLE","?REFERENTIAL"),"_")))))</f>
        <v/>
      </c>
      <c r="H130" s="23" t="str">
        <f t="shared" ca="1" si="11"/>
        <v/>
      </c>
      <c r="I130" s="24" t="str">
        <f>IF(OR(E130="",E130="!!!",F130="NEW"),"",INDEX(B$2:B129,-1+SUMPRODUCT(MAX(ROW(E$2:E129)*(E130=E$2:E129)))))</f>
        <v/>
      </c>
      <c r="J130" s="24" t="str">
        <f ca="1">IF(OR(E130="",E130="!!!",F130="NEW"),"",COUNTBLANK(OFFSET(A$1,,,SUMPRODUCT(MAX(ROW(E$2:E130)*(E130=E$2:E130)))))-COUNTBLANK(OFFSET(A$1,,,SUMPRODUCT(MAX(ROW(E$1:E129)*(E2=E$1:E129))))))</f>
        <v/>
      </c>
      <c r="K130" s="24" t="str">
        <f>IF(OR(E130="",E130="!!!",F130="NEW"),"",INDEX(J$1:J129,SUMPRODUCT(MAX(ROW(E$1:E129)*(E130=E$1:E129)))))</f>
        <v/>
      </c>
      <c r="L130" s="25"/>
    </row>
    <row r="131" spans="1:12" x14ac:dyDescent="0.3">
      <c r="A131" t="s">
        <v>223</v>
      </c>
      <c r="E131" s="20" t="str">
        <f t="shared" si="10"/>
        <v/>
      </c>
      <c r="F131" s="21" t="str">
        <f>IF(OR(E131="",E131="!!!"),"",IF(NOT(ISNA(VLOOKUP(E131,E$1:E130,1,FALSE()))),"OLD",IF(AND(E131&lt;&gt;"",E131&lt;&gt;"!!!"),"NEW","")))</f>
        <v/>
      </c>
      <c r="G131" s="22" t="str">
        <f>IF(OR(E131="",E131="!!!"),"",IF(OR(J131=0,AND(J131=1,K131=1),AND(J131=1,I131="SBJ"),AND(J131=1,I131=0)),"?IN_FOCUS",IF(J131&lt;=2,"?ACTIVATED",IF(J131&lt;&gt;"","?FAMILIAR",IF(F131="NEW",IF(ISNA(VLOOKUP(E131,#REF!,1,FALSE())),"?TYPE_IDENTIFIABLE","?REFERENTIAL"),"_")))))</f>
        <v/>
      </c>
      <c r="H131" s="23" t="str">
        <f t="shared" ca="1" si="11"/>
        <v/>
      </c>
      <c r="I131" s="24" t="str">
        <f>IF(OR(E131="",E131="!!!",F131="NEW"),"",INDEX(B$2:B130,-1+SUMPRODUCT(MAX(ROW(E$2:E130)*(E131=E$2:E130)))))</f>
        <v/>
      </c>
      <c r="J131" s="24" t="str">
        <f ca="1">IF(OR(E131="",E131="!!!",F131="NEW"),"",COUNTBLANK(OFFSET(A$1,,,SUMPRODUCT(MAX(ROW(E$2:E131)*(E131=E$2:E131)))))-COUNTBLANK(OFFSET(A$1,,,SUMPRODUCT(MAX(ROW(E$1:E130)*(E2=E$1:E130))))))</f>
        <v/>
      </c>
      <c r="K131" s="24" t="str">
        <f>IF(OR(E131="",E131="!!!",F131="NEW"),"",INDEX(J$1:J130,SUMPRODUCT(MAX(ROW(E$1:E130)*(E131=E$1:E130)))))</f>
        <v/>
      </c>
      <c r="L131" s="25"/>
    </row>
    <row r="132" spans="1:12" x14ac:dyDescent="0.3">
      <c r="A132" t="s">
        <v>293</v>
      </c>
      <c r="B132" s="26" t="s">
        <v>205</v>
      </c>
      <c r="C132" s="26" t="s">
        <v>214</v>
      </c>
      <c r="D132" s="26" t="s">
        <v>215</v>
      </c>
      <c r="E132" s="20" t="s">
        <v>664</v>
      </c>
      <c r="F132" s="21" t="str">
        <f>IF(OR(E132="",E132="!!!"),"",IF(NOT(ISNA(VLOOKUP(E132,E$1:E131,1,FALSE()))),"OLD",IF(AND(E132&lt;&gt;"",E132&lt;&gt;"!!!"),"NEW","")))</f>
        <v>OLD</v>
      </c>
      <c r="G132" s="22" t="s">
        <v>652</v>
      </c>
      <c r="H132" s="23" t="str">
        <f t="shared" ca="1" si="11"/>
        <v/>
      </c>
      <c r="I132" s="24" t="str">
        <f>IF(OR(E132="",E132="!!!",F132="NEW"),"",INDEX(B$2:B131,-1+SUMPRODUCT(MAX(ROW(E$2:E131)*(E132=E$2:E131)))))</f>
        <v>other_5</v>
      </c>
      <c r="J132" s="24">
        <f ca="1">IF(OR(E132="",E132="!!!",F132="NEW"),"",COUNTBLANK(OFFSET(A$1,,,SUMPRODUCT(MAX(ROW(E$2:E132)*(E132=E$2:E132)))))-COUNTBLANK(OFFSET(A$1,,,SUMPRODUCT(MAX(ROW(E$1:E131)*(E2=E$1:E131))))))</f>
        <v>0</v>
      </c>
      <c r="K132" s="24" t="str">
        <f ca="1">IF(OR(E132="",E132="!!!",F132="NEW"),"",INDEX(J$1:J131,SUMPRODUCT(MAX(ROW(E$1:E131)*(E132=E$1:E131)))))</f>
        <v/>
      </c>
      <c r="L132" s="25"/>
    </row>
    <row r="133" spans="1:12" x14ac:dyDescent="0.3">
      <c r="A133" t="s">
        <v>207</v>
      </c>
      <c r="E133" s="20" t="str">
        <f t="shared" si="10"/>
        <v/>
      </c>
      <c r="F133" s="21" t="str">
        <f>IF(OR(E133="",E133="!!!"),"",IF(NOT(ISNA(VLOOKUP(E133,E$1:E132,1,FALSE()))),"OLD",IF(AND(E133&lt;&gt;"",E133&lt;&gt;"!!!"),"NEW","")))</f>
        <v/>
      </c>
      <c r="G133" s="22" t="str">
        <f>IF(OR(E133="",E133="!!!"),"",IF(OR(J133=0,AND(J133=1,K133=1),AND(J133=1,I133="SBJ"),AND(J133=1,I133=0)),"?IN_FOCUS",IF(J133&lt;=2,"?ACTIVATED",IF(J133&lt;&gt;"","?FAMILIAR",IF(F133="NEW",IF(ISNA(VLOOKUP(E133,#REF!,1,FALSE())),"?TYPE_IDENTIFIABLE","?REFERENTIAL"),"_")))))</f>
        <v/>
      </c>
      <c r="H133" s="23" t="str">
        <f t="shared" ca="1" si="11"/>
        <v/>
      </c>
      <c r="I133" s="24" t="str">
        <f>IF(OR(E133="",E133="!!!",F133="NEW"),"",INDEX(B$2:B132,-1+SUMPRODUCT(MAX(ROW(E$2:E132)*(E133=E$2:E132)))))</f>
        <v/>
      </c>
      <c r="J133" s="24" t="str">
        <f ca="1">IF(OR(E133="",E133="!!!",F133="NEW"),"",COUNTBLANK(OFFSET(A$1,,,SUMPRODUCT(MAX(ROW(E$2:E133)*(E133=E$2:E133)))))-COUNTBLANK(OFFSET(A$1,,,SUMPRODUCT(MAX(ROW(E$1:E132)*(E2=E$1:E132))))))</f>
        <v/>
      </c>
      <c r="K133" s="24" t="str">
        <f>IF(OR(E133="",E133="!!!",F133="NEW"),"",INDEX(J$1:J132,SUMPRODUCT(MAX(ROW(E$1:E132)*(E133=E$1:E132)))))</f>
        <v/>
      </c>
      <c r="L133" s="25"/>
    </row>
    <row r="134" spans="1:12" x14ac:dyDescent="0.3">
      <c r="A134" t="s">
        <v>228</v>
      </c>
      <c r="B134" s="26" t="s">
        <v>229</v>
      </c>
      <c r="C134" s="26" t="s">
        <v>230</v>
      </c>
      <c r="D134" s="26" t="s">
        <v>215</v>
      </c>
      <c r="E134" s="20" t="s">
        <v>649</v>
      </c>
      <c r="F134" s="21" t="str">
        <f>IF(OR(E134="",E134="!!!"),"",IF(NOT(ISNA(VLOOKUP(E134,E$1:E133,1,FALSE()))),"OLD",IF(AND(E134&lt;&gt;"",E134&lt;&gt;"!!!"),"NEW","")))</f>
        <v>NEW</v>
      </c>
      <c r="G134" s="22" t="s">
        <v>652</v>
      </c>
      <c r="H134" s="23" t="str">
        <f t="shared" ca="1" si="11"/>
        <v/>
      </c>
      <c r="I134" s="24" t="str">
        <f>IF(OR(E134="",E134="!!!",F134="NEW"),"",INDEX(B$2:B133,-1+SUMPRODUCT(MAX(ROW(E$2:E133)*(E134=E$2:E133)))))</f>
        <v/>
      </c>
      <c r="J134" s="24" t="str">
        <f ca="1">IF(OR(E134="",E134="!!!",F134="NEW"),"",COUNTBLANK(OFFSET(A$1,,,SUMPRODUCT(MAX(ROW(E$2:E134)*(E134=E$2:E134)))))-COUNTBLANK(OFFSET(A$1,,,SUMPRODUCT(MAX(ROW(E$1:E133)*(E2=E$1:E133))))))</f>
        <v/>
      </c>
      <c r="K134" s="24" t="str">
        <f>IF(OR(E134="",E134="!!!",F134="NEW"),"",INDEX(J$1:J133,SUMPRODUCT(MAX(ROW(E$1:E133)*(E134=E$1:E133)))))</f>
        <v/>
      </c>
      <c r="L134" s="25"/>
    </row>
    <row r="135" spans="1:12" x14ac:dyDescent="0.3">
      <c r="A135" t="s">
        <v>311</v>
      </c>
      <c r="E135" s="20" t="str">
        <f t="shared" si="10"/>
        <v/>
      </c>
      <c r="F135" s="21" t="str">
        <f>IF(OR(E135="",E135="!!!"),"",IF(NOT(ISNA(VLOOKUP(E135,E$1:E134,1,FALSE()))),"OLD",IF(AND(E135&lt;&gt;"",E135&lt;&gt;"!!!"),"NEW","")))</f>
        <v/>
      </c>
      <c r="G135" s="22" t="str">
        <f>IF(OR(E135="",E135="!!!"),"",IF(OR(J135=0,AND(J135=1,K135=1),AND(J135=1,I135="SBJ"),AND(J135=1,I135=0)),"?IN_FOCUS",IF(J135&lt;=2,"?ACTIVATED",IF(J135&lt;&gt;"","?FAMILIAR",IF(F135="NEW",IF(ISNA(VLOOKUP(E135,#REF!,1,FALSE())),"?TYPE_IDENTIFIABLE","?REFERENTIAL"),"_")))))</f>
        <v/>
      </c>
      <c r="H135" s="23" t="str">
        <f t="shared" ca="1" si="11"/>
        <v/>
      </c>
      <c r="I135" s="24" t="str">
        <f>IF(OR(E135="",E135="!!!",F135="NEW"),"",INDEX(B$2:B134,-1+SUMPRODUCT(MAX(ROW(E$2:E134)*(E135=E$2:E134)))))</f>
        <v/>
      </c>
      <c r="J135" s="24" t="str">
        <f ca="1">IF(OR(E135="",E135="!!!",F135="NEW"),"",COUNTBLANK(OFFSET(A$1,,,SUMPRODUCT(MAX(ROW(E$2:E135)*(E135=E$2:E135)))))-COUNTBLANK(OFFSET(A$1,,,SUMPRODUCT(MAX(ROW(E$1:E134)*(E2=E$1:E134))))))</f>
        <v/>
      </c>
      <c r="K135" s="24" t="str">
        <f>IF(OR(E135="",E135="!!!",F135="NEW"),"",INDEX(J$1:J134,SUMPRODUCT(MAX(ROW(E$1:E134)*(E135=E$1:E134)))))</f>
        <v/>
      </c>
      <c r="L135" s="25"/>
    </row>
    <row r="136" spans="1:12" x14ac:dyDescent="0.3">
      <c r="A136" t="s">
        <v>238</v>
      </c>
      <c r="E136" s="20" t="str">
        <f t="shared" si="10"/>
        <v/>
      </c>
      <c r="F136" s="21" t="str">
        <f>IF(OR(E136="",E136="!!!"),"",IF(NOT(ISNA(VLOOKUP(E136,E$1:E135,1,FALSE()))),"OLD",IF(AND(E136&lt;&gt;"",E136&lt;&gt;"!!!"),"NEW","")))</f>
        <v/>
      </c>
      <c r="G136" s="22" t="str">
        <f>IF(OR(E136="",E136="!!!"),"",IF(OR(J136=0,AND(J136=1,K136=1),AND(J136=1,I136="SBJ"),AND(J136=1,I136=0)),"?IN_FOCUS",IF(J136&lt;=2,"?ACTIVATED",IF(J136&lt;&gt;"","?FAMILIAR",IF(F136="NEW",IF(ISNA(VLOOKUP(E136,#REF!,1,FALSE())),"?TYPE_IDENTIFIABLE","?REFERENTIAL"),"_")))))</f>
        <v/>
      </c>
      <c r="H136" s="23" t="str">
        <f t="shared" ca="1" si="11"/>
        <v/>
      </c>
      <c r="I136" s="24" t="str">
        <f>IF(OR(E136="",E136="!!!",F136="NEW"),"",INDEX(B$2:B135,-1+SUMPRODUCT(MAX(ROW(E$2:E135)*(E136=E$2:E135)))))</f>
        <v/>
      </c>
      <c r="J136" s="24" t="str">
        <f ca="1">IF(OR(E136="",E136="!!!",F136="NEW"),"",COUNTBLANK(OFFSET(A$1,,,SUMPRODUCT(MAX(ROW(E$2:E136)*(E136=E$2:E136)))))-COUNTBLANK(OFFSET(A$1,,,SUMPRODUCT(MAX(ROW(E$1:E135)*(E2=E$1:E135))))))</f>
        <v/>
      </c>
      <c r="K136" s="24" t="str">
        <f>IF(OR(E136="",E136="!!!",F136="NEW"),"",INDEX(J$1:J135,SUMPRODUCT(MAX(ROW(E$1:E135)*(E136=E$1:E135)))))</f>
        <v/>
      </c>
      <c r="L136" s="25"/>
    </row>
    <row r="137" spans="1:12" x14ac:dyDescent="0.3">
      <c r="A137" t="s">
        <v>312</v>
      </c>
      <c r="E137" s="20" t="str">
        <f t="shared" si="10"/>
        <v/>
      </c>
      <c r="F137" s="21" t="str">
        <f>IF(OR(E137="",E137="!!!"),"",IF(NOT(ISNA(VLOOKUP(E137,E$1:E136,1,FALSE()))),"OLD",IF(AND(E137&lt;&gt;"",E137&lt;&gt;"!!!"),"NEW","")))</f>
        <v/>
      </c>
      <c r="G137" s="22" t="str">
        <f>IF(OR(E137="",E137="!!!"),"",IF(OR(J137=0,AND(J137=1,K137=1),AND(J137=1,I137="SBJ"),AND(J137=1,I137=0)),"?IN_FOCUS",IF(J137&lt;=2,"?ACTIVATED",IF(J137&lt;&gt;"","?FAMILIAR",IF(F137="NEW",IF(ISNA(VLOOKUP(E137,#REF!,1,FALSE())),"?TYPE_IDENTIFIABLE","?REFERENTIAL"),"_")))))</f>
        <v/>
      </c>
      <c r="H137" s="23" t="str">
        <f t="shared" ca="1" si="11"/>
        <v/>
      </c>
      <c r="I137" s="24" t="str">
        <f>IF(OR(E137="",E137="!!!",F137="NEW"),"",INDEX(B$2:B136,-1+SUMPRODUCT(MAX(ROW(E$2:E136)*(E137=E$2:E136)))))</f>
        <v/>
      </c>
      <c r="J137" s="24" t="str">
        <f ca="1">IF(OR(E137="",E137="!!!",F137="NEW"),"",COUNTBLANK(OFFSET(A$1,,,SUMPRODUCT(MAX(ROW(E$2:E137)*(E137=E$2:E137)))))-COUNTBLANK(OFFSET(A$1,,,SUMPRODUCT(MAX(ROW(E$1:E136)*(E2=E$1:E136))))))</f>
        <v/>
      </c>
      <c r="K137" s="24" t="str">
        <f>IF(OR(E137="",E137="!!!",F137="NEW"),"",INDEX(J$1:J136,SUMPRODUCT(MAX(ROW(E$1:E136)*(E137=E$1:E136)))))</f>
        <v/>
      </c>
      <c r="L137" s="25"/>
    </row>
    <row r="138" spans="1:12" x14ac:dyDescent="0.3">
      <c r="A138" t="s">
        <v>313</v>
      </c>
      <c r="B138" s="26" t="s">
        <v>233</v>
      </c>
      <c r="C138" s="26" t="s">
        <v>240</v>
      </c>
      <c r="E138" s="20" t="str">
        <f t="shared" si="10"/>
        <v/>
      </c>
      <c r="F138" s="21" t="str">
        <f>IF(OR(E138="",E138="!!!"),"",IF(NOT(ISNA(VLOOKUP(E138,E$1:E137,1,FALSE()))),"OLD",IF(AND(E138&lt;&gt;"",E138&lt;&gt;"!!!"),"NEW","")))</f>
        <v/>
      </c>
      <c r="G138" s="22" t="str">
        <f>IF(OR(E138="",E138="!!!"),"",IF(OR(J138=0,AND(J138=1,K138=1),AND(J138=1,I138="SBJ"),AND(J138=1,I138=0)),"?IN_FOCUS",IF(J138&lt;=2,"?ACTIVATED",IF(J138&lt;&gt;"","?FAMILIAR",IF(F138="NEW",IF(ISNA(VLOOKUP(E138,#REF!,1,FALSE())),"?TYPE_IDENTIFIABLE","?REFERENTIAL"),"_")))))</f>
        <v/>
      </c>
      <c r="H138" s="23" t="str">
        <f t="shared" ca="1" si="11"/>
        <v/>
      </c>
      <c r="I138" s="24" t="str">
        <f>IF(OR(E138="",E138="!!!",F138="NEW"),"",INDEX(B$2:B137,-1+SUMPRODUCT(MAX(ROW(E$2:E137)*(E138=E$2:E137)))))</f>
        <v/>
      </c>
      <c r="J138" s="24" t="str">
        <f ca="1">IF(OR(E138="",E138="!!!",F138="NEW"),"",COUNTBLANK(OFFSET(A$1,,,SUMPRODUCT(MAX(ROW(E$2:E138)*(E138=E$2:E138)))))-COUNTBLANK(OFFSET(A$1,,,SUMPRODUCT(MAX(ROW(E$1:E137)*(E2=E$1:E137))))))</f>
        <v/>
      </c>
      <c r="K138" s="24" t="str">
        <f>IF(OR(E138="",E138="!!!",F138="NEW"),"",INDEX(J$1:J137,SUMPRODUCT(MAX(ROW(E$1:E137)*(E138=E$1:E137)))))</f>
        <v/>
      </c>
      <c r="L138" s="25"/>
    </row>
    <row r="139" spans="1:12" x14ac:dyDescent="0.3">
      <c r="A139" t="s">
        <v>207</v>
      </c>
      <c r="E139" s="20" t="str">
        <f t="shared" si="10"/>
        <v/>
      </c>
      <c r="F139" s="21" t="str">
        <f>IF(OR(E139="",E139="!!!"),"",IF(NOT(ISNA(VLOOKUP(E139,E$1:E138,1,FALSE()))),"OLD",IF(AND(E139&lt;&gt;"",E139&lt;&gt;"!!!"),"NEW","")))</f>
        <v/>
      </c>
      <c r="G139" s="22" t="str">
        <f>IF(OR(E139="",E139="!!!"),"",IF(OR(J139=0,AND(J139=1,K139=1),AND(J139=1,I139="SBJ"),AND(J139=1,I139=0)),"?IN_FOCUS",IF(J139&lt;=2,"?ACTIVATED",IF(J139&lt;&gt;"","?FAMILIAR",IF(F139="NEW",IF(ISNA(VLOOKUP(E139,#REF!,1,FALSE())),"?TYPE_IDENTIFIABLE","?REFERENTIAL"),"_")))))</f>
        <v/>
      </c>
      <c r="H139" s="23" t="str">
        <f t="shared" ca="1" si="11"/>
        <v/>
      </c>
      <c r="I139" s="24" t="str">
        <f>IF(OR(E139="",E139="!!!",F139="NEW"),"",INDEX(B$2:B138,-1+SUMPRODUCT(MAX(ROW(E$2:E138)*(E139=E$2:E138)))))</f>
        <v/>
      </c>
      <c r="J139" s="24" t="str">
        <f ca="1">IF(OR(E139="",E139="!!!",F139="NEW"),"",COUNTBLANK(OFFSET(A$1,,,SUMPRODUCT(MAX(ROW(E$2:E139)*(E139=E$2:E139)))))-COUNTBLANK(OFFSET(A$1,,,SUMPRODUCT(MAX(ROW(E$1:E138)*(E2=E$1:E138))))))</f>
        <v/>
      </c>
      <c r="K139" s="24" t="str">
        <f>IF(OR(E139="",E139="!!!",F139="NEW"),"",INDEX(J$1:J138,SUMPRODUCT(MAX(ROW(E$1:E138)*(E139=E$1:E138)))))</f>
        <v/>
      </c>
      <c r="L139" s="25"/>
    </row>
    <row r="140" spans="1:12" x14ac:dyDescent="0.3">
      <c r="A140" t="s">
        <v>287</v>
      </c>
      <c r="E140" s="20" t="str">
        <f t="shared" si="10"/>
        <v/>
      </c>
      <c r="F140" s="21" t="str">
        <f>IF(OR(E140="",E140="!!!"),"",IF(NOT(ISNA(VLOOKUP(E140,E$1:E139,1,FALSE()))),"OLD",IF(AND(E140&lt;&gt;"",E140&lt;&gt;"!!!"),"NEW","")))</f>
        <v/>
      </c>
      <c r="G140" s="22" t="str">
        <f>IF(OR(E140="",E140="!!!"),"",IF(OR(J140=0,AND(J140=1,K140=1),AND(J140=1,I140="SBJ"),AND(J140=1,I140=0)),"?IN_FOCUS",IF(J140&lt;=2,"?ACTIVATED",IF(J140&lt;&gt;"","?FAMILIAR",IF(F140="NEW",IF(ISNA(VLOOKUP(E140,#REF!,1,FALSE())),"?TYPE_IDENTIFIABLE","?REFERENTIAL"),"_")))))</f>
        <v/>
      </c>
      <c r="H140" s="23" t="str">
        <f t="shared" ca="1" si="11"/>
        <v/>
      </c>
      <c r="I140" s="24" t="str">
        <f>IF(OR(E140="",E140="!!!",F140="NEW"),"",INDEX(B$2:B139,-1+SUMPRODUCT(MAX(ROW(E$2:E139)*(E140=E$2:E139)))))</f>
        <v/>
      </c>
      <c r="J140" s="24" t="str">
        <f ca="1">IF(OR(E140="",E140="!!!",F140="NEW"),"",COUNTBLANK(OFFSET(A$1,,,SUMPRODUCT(MAX(ROW(E$2:E140)*(E140=E$2:E140)))))-COUNTBLANK(OFFSET(A$1,,,SUMPRODUCT(MAX(ROW(E$1:E139)*(E2=E$1:E139))))))</f>
        <v/>
      </c>
      <c r="K140" s="24" t="str">
        <f>IF(OR(E140="",E140="!!!",F140="NEW"),"",INDEX(J$1:J139,SUMPRODUCT(MAX(ROW(E$1:E139)*(E140=E$1:E139)))))</f>
        <v/>
      </c>
      <c r="L140" s="25"/>
    </row>
    <row r="141" spans="1:12" x14ac:dyDescent="0.3">
      <c r="A141" t="s">
        <v>132</v>
      </c>
      <c r="E141" s="20" t="str">
        <f t="shared" si="10"/>
        <v/>
      </c>
      <c r="F141" s="21" t="str">
        <f>IF(OR(E141="",E141="!!!"),"",IF(NOT(ISNA(VLOOKUP(E141,E$1:E140,1,FALSE()))),"OLD",IF(AND(E141&lt;&gt;"",E141&lt;&gt;"!!!"),"NEW","")))</f>
        <v/>
      </c>
      <c r="G141" s="22" t="str">
        <f>IF(OR(E141="",E141="!!!"),"",IF(OR(J141=0,AND(J141=1,K141=1),AND(J141=1,I141="SBJ"),AND(J141=1,I141=0)),"?IN_FOCUS",IF(J141&lt;=2,"?ACTIVATED",IF(J141&lt;&gt;"","?FAMILIAR",IF(F141="NEW",IF(ISNA(VLOOKUP(E141,#REF!,1,FALSE())),"?TYPE_IDENTIFIABLE","?REFERENTIAL"),"_")))))</f>
        <v/>
      </c>
      <c r="H141" s="23" t="str">
        <f t="shared" ca="1" si="11"/>
        <v/>
      </c>
      <c r="I141" s="24" t="str">
        <f>IF(OR(E141="",E141="!!!",F141="NEW"),"",INDEX(B$2:B140,-1+SUMPRODUCT(MAX(ROW(E$2:E140)*(E141=E$2:E140)))))</f>
        <v/>
      </c>
      <c r="J141" s="24" t="str">
        <f ca="1">IF(OR(E141="",E141="!!!",F141="NEW"),"",COUNTBLANK(OFFSET(A$1,,,SUMPRODUCT(MAX(ROW(E$2:E141)*(E141=E$2:E141)))))-COUNTBLANK(OFFSET(A$1,,,SUMPRODUCT(MAX(ROW(E$1:E140)*(E2=E$1:E140))))))</f>
        <v/>
      </c>
      <c r="K141" s="24" t="str">
        <f>IF(OR(E141="",E141="!!!",F141="NEW"),"",INDEX(J$1:J140,SUMPRODUCT(MAX(ROW(E$1:E140)*(E141=E$1:E140)))))</f>
        <v/>
      </c>
      <c r="L141" s="25"/>
    </row>
    <row r="142" spans="1:12" x14ac:dyDescent="0.3">
      <c r="A142" t="s">
        <v>314</v>
      </c>
      <c r="B142" s="26" t="s">
        <v>266</v>
      </c>
      <c r="C142" s="26" t="s">
        <v>206</v>
      </c>
      <c r="E142" s="20" t="str">
        <f t="shared" si="10"/>
        <v/>
      </c>
      <c r="F142" s="21" t="str">
        <f>IF(OR(E142="",E142="!!!"),"",IF(NOT(ISNA(VLOOKUP(E142,E$1:E141,1,FALSE()))),"OLD",IF(AND(E142&lt;&gt;"",E142&lt;&gt;"!!!"),"NEW","")))</f>
        <v/>
      </c>
      <c r="G142" s="22" t="str">
        <f>IF(OR(E142="",E142="!!!"),"",IF(OR(J142=0,AND(J142=1,K142=1),AND(J142=1,I142="SBJ"),AND(J142=1,I142=0)),"?IN_FOCUS",IF(J142&lt;=2,"?ACTIVATED",IF(J142&lt;&gt;"","?FAMILIAR",IF(F142="NEW",IF(ISNA(VLOOKUP(E142,#REF!,1,FALSE())),"?TYPE_IDENTIFIABLE","?REFERENTIAL"),"_")))))</f>
        <v/>
      </c>
      <c r="H142" s="23" t="str">
        <f t="shared" ca="1" si="11"/>
        <v/>
      </c>
      <c r="I142" s="24" t="str">
        <f>IF(OR(E142="",E142="!!!",F142="NEW"),"",INDEX(B$2:B141,-1+SUMPRODUCT(MAX(ROW(E$2:E141)*(E142=E$2:E141)))))</f>
        <v/>
      </c>
      <c r="J142" s="24" t="str">
        <f ca="1">IF(OR(E142="",E142="!!!",F142="NEW"),"",COUNTBLANK(OFFSET(A$1,,,SUMPRODUCT(MAX(ROW(E$2:E142)*(E142=E$2:E142)))))-COUNTBLANK(OFFSET(A$1,,,SUMPRODUCT(MAX(ROW(E$1:E141)*(E2=E$1:E141))))))</f>
        <v/>
      </c>
      <c r="K142" s="24" t="str">
        <f>IF(OR(E142="",E142="!!!",F142="NEW"),"",INDEX(J$1:J141,SUMPRODUCT(MAX(ROW(E$1:E141)*(E142=E$1:E141)))))</f>
        <v/>
      </c>
      <c r="L142" s="25"/>
    </row>
    <row r="143" spans="1:12" x14ac:dyDescent="0.3">
      <c r="A143" t="s">
        <v>315</v>
      </c>
      <c r="E143" s="20" t="str">
        <f t="shared" si="10"/>
        <v/>
      </c>
      <c r="F143" s="21" t="str">
        <f>IF(OR(E143="",E143="!!!"),"",IF(NOT(ISNA(VLOOKUP(E143,E$1:E142,1,FALSE()))),"OLD",IF(AND(E143&lt;&gt;"",E143&lt;&gt;"!!!"),"NEW","")))</f>
        <v/>
      </c>
      <c r="G143" s="22" t="str">
        <f>IF(OR(E143="",E143="!!!"),"",IF(OR(J143=0,AND(J143=1,K143=1),AND(J143=1,I143="SBJ"),AND(J143=1,I143=0)),"?IN_FOCUS",IF(J143&lt;=2,"?ACTIVATED",IF(J143&lt;&gt;"","?FAMILIAR",IF(F143="NEW",IF(ISNA(VLOOKUP(E143,#REF!,1,FALSE())),"?TYPE_IDENTIFIABLE","?REFERENTIAL"),"_")))))</f>
        <v/>
      </c>
      <c r="H143" s="23" t="str">
        <f t="shared" ca="1" si="11"/>
        <v/>
      </c>
      <c r="I143" s="24" t="str">
        <f>IF(OR(E143="",E143="!!!",F143="NEW"),"",INDEX(B$2:B142,-1+SUMPRODUCT(MAX(ROW(E$2:E142)*(E143=E$2:E142)))))</f>
        <v/>
      </c>
      <c r="J143" s="24" t="str">
        <f ca="1">IF(OR(E143="",E143="!!!",F143="NEW"),"",COUNTBLANK(OFFSET(A$1,,,SUMPRODUCT(MAX(ROW(E$2:E143)*(E143=E$2:E143)))))-COUNTBLANK(OFFSET(A$1,,,SUMPRODUCT(MAX(ROW(E$1:E142)*(E2=E$1:E142))))))</f>
        <v/>
      </c>
      <c r="K143" s="24" t="str">
        <f>IF(OR(E143="",E143="!!!",F143="NEW"),"",INDEX(J$1:J142,SUMPRODUCT(MAX(ROW(E$1:E142)*(E143=E$1:E142)))))</f>
        <v/>
      </c>
      <c r="L143" s="25"/>
    </row>
    <row r="144" spans="1:12" x14ac:dyDescent="0.3">
      <c r="A144" t="s">
        <v>228</v>
      </c>
      <c r="B144" s="26" t="s">
        <v>263</v>
      </c>
      <c r="C144" s="26" t="s">
        <v>230</v>
      </c>
      <c r="D144" s="26" t="s">
        <v>215</v>
      </c>
      <c r="E144" s="20" t="s">
        <v>649</v>
      </c>
      <c r="F144" s="21" t="str">
        <f>IF(OR(E144="",E144="!!!"),"",IF(NOT(ISNA(VLOOKUP(E144,E$1:E143,1,FALSE()))),"OLD",IF(AND(E144&lt;&gt;"",E144&lt;&gt;"!!!"),"NEW","")))</f>
        <v>OLD</v>
      </c>
      <c r="G144" s="22" t="str">
        <f ca="1">IF(OR(E144="",E144="!!!"),"",IF(OR(J144=0,AND(J144=1,K144=1),AND(J144=1,I144="SBJ"),AND(J144=1,I144=0)),"?IN_FOCUS",IF(J144&lt;=2,"?ACTIVATED",IF(J144&lt;&gt;"","?FAMILIAR",IF(F144="NEW",IF(ISNA(VLOOKUP(E144,#REF!,1,FALSE())),"?TYPE_IDENTIFIABLE","?REFERENTIAL"),"_")))))</f>
        <v>?IN_FOCUS</v>
      </c>
      <c r="H144" s="23" t="str">
        <f t="shared" ca="1" si="11"/>
        <v/>
      </c>
      <c r="I144" s="24" t="str">
        <f>IF(OR(E144="",E144="!!!",F144="NEW"),"",INDEX(B$2:B143,-1+SUMPRODUCT(MAX(ROW(E$2:E143)*(E144=E$2:E143)))))</f>
        <v>SBJ_2</v>
      </c>
      <c r="J144" s="24">
        <f ca="1">IF(OR(E144="",E144="!!!",F144="NEW"),"",COUNTBLANK(OFFSET(A$1,,,SUMPRODUCT(MAX(ROW(E$2:E144)*(E144=E$2:E144)))))-COUNTBLANK(OFFSET(A$1,,,SUMPRODUCT(MAX(ROW(E$1:E143)*(E2=E$1:E143))))))</f>
        <v>0</v>
      </c>
      <c r="K144" s="24" t="str">
        <f ca="1">IF(OR(E144="",E144="!!!",F144="NEW"),"",INDEX(J$1:J143,SUMPRODUCT(MAX(ROW(E$1:E143)*(E144=E$1:E143)))))</f>
        <v/>
      </c>
      <c r="L144" s="25"/>
    </row>
    <row r="145" spans="1:12" x14ac:dyDescent="0.3">
      <c r="A145" t="s">
        <v>217</v>
      </c>
      <c r="E145" s="20" t="str">
        <f t="shared" si="10"/>
        <v/>
      </c>
      <c r="F145" s="21" t="str">
        <f>IF(OR(E145="",E145="!!!"),"",IF(NOT(ISNA(VLOOKUP(E145,E$1:E144,1,FALSE()))),"OLD",IF(AND(E145&lt;&gt;"",E145&lt;&gt;"!!!"),"NEW","")))</f>
        <v/>
      </c>
      <c r="G145" s="22" t="str">
        <f>IF(OR(E145="",E145="!!!"),"",IF(OR(J145=0,AND(J145=1,K145=1),AND(J145=1,I145="SBJ"),AND(J145=1,I145=0)),"?IN_FOCUS",IF(J145&lt;=2,"?ACTIVATED",IF(J145&lt;&gt;"","?FAMILIAR",IF(F145="NEW",IF(ISNA(VLOOKUP(E145,#REF!,1,FALSE())),"?TYPE_IDENTIFIABLE","?REFERENTIAL"),"_")))))</f>
        <v/>
      </c>
      <c r="H145" s="23" t="str">
        <f t="shared" ca="1" si="11"/>
        <v/>
      </c>
      <c r="I145" s="24" t="str">
        <f>IF(OR(E145="",E145="!!!",F145="NEW"),"",INDEX(B$2:B144,-1+SUMPRODUCT(MAX(ROW(E$2:E144)*(E145=E$2:E144)))))</f>
        <v/>
      </c>
      <c r="J145" s="24" t="str">
        <f ca="1">IF(OR(E145="",E145="!!!",F145="NEW"),"",COUNTBLANK(OFFSET(A$1,,,SUMPRODUCT(MAX(ROW(E$2:E145)*(E145=E$2:E145)))))-COUNTBLANK(OFFSET(A$1,,,SUMPRODUCT(MAX(ROW(E$1:E144)*(E2=E$1:E144))))))</f>
        <v/>
      </c>
      <c r="K145" s="24" t="str">
        <f>IF(OR(E145="",E145="!!!",F145="NEW"),"",INDEX(J$1:J144,SUMPRODUCT(MAX(ROW(E$1:E144)*(E145=E$1:E144)))))</f>
        <v/>
      </c>
      <c r="L145" s="25"/>
    </row>
    <row r="146" spans="1:12" x14ac:dyDescent="0.3">
      <c r="A146" t="s">
        <v>316</v>
      </c>
      <c r="E146" s="20" t="str">
        <f t="shared" si="10"/>
        <v/>
      </c>
      <c r="F146" s="21" t="str">
        <f>IF(OR(E146="",E146="!!!"),"",IF(NOT(ISNA(VLOOKUP(E146,E$1:E145,1,FALSE()))),"OLD",IF(AND(E146&lt;&gt;"",E146&lt;&gt;"!!!"),"NEW","")))</f>
        <v/>
      </c>
      <c r="G146" s="22" t="str">
        <f>IF(OR(E146="",E146="!!!"),"",IF(OR(J146=0,AND(J146=1,K146=1),AND(J146=1,I146="SBJ"),AND(J146=1,I146=0)),"?IN_FOCUS",IF(J146&lt;=2,"?ACTIVATED",IF(J146&lt;&gt;"","?FAMILIAR",IF(F146="NEW",IF(ISNA(VLOOKUP(E146,#REF!,1,FALSE())),"?TYPE_IDENTIFIABLE","?REFERENTIAL"),"_")))))</f>
        <v/>
      </c>
      <c r="H146" s="23" t="str">
        <f t="shared" ca="1" si="11"/>
        <v/>
      </c>
      <c r="I146" s="24" t="str">
        <f>IF(OR(E146="",E146="!!!",F146="NEW"),"",INDEX(B$2:B145,-1+SUMPRODUCT(MAX(ROW(E$2:E145)*(E146=E$2:E145)))))</f>
        <v/>
      </c>
      <c r="J146" s="24" t="str">
        <f ca="1">IF(OR(E146="",E146="!!!",F146="NEW"),"",COUNTBLANK(OFFSET(A$1,,,SUMPRODUCT(MAX(ROW(E$2:E146)*(E146=E$2:E146)))))-COUNTBLANK(OFFSET(A$1,,,SUMPRODUCT(MAX(ROW(E$1:E145)*(E2=E$1:E145))))))</f>
        <v/>
      </c>
      <c r="K146" s="24" t="str">
        <f>IF(OR(E146="",E146="!!!",F146="NEW"),"",INDEX(J$1:J145,SUMPRODUCT(MAX(ROW(E$1:E145)*(E146=E$1:E145)))))</f>
        <v/>
      </c>
      <c r="L146" s="25"/>
    </row>
    <row r="147" spans="1:12" x14ac:dyDescent="0.3">
      <c r="A147" t="s">
        <v>246</v>
      </c>
      <c r="E147" s="20" t="str">
        <f t="shared" si="10"/>
        <v/>
      </c>
      <c r="F147" s="21" t="str">
        <f>IF(OR(E147="",E147="!!!"),"",IF(NOT(ISNA(VLOOKUP(E147,E$1:E146,1,FALSE()))),"OLD",IF(AND(E147&lt;&gt;"",E147&lt;&gt;"!!!"),"NEW","")))</f>
        <v/>
      </c>
      <c r="G147" s="22" t="str">
        <f>IF(OR(E147="",E147="!!!"),"",IF(OR(J147=0,AND(J147=1,K147=1),AND(J147=1,I147="SBJ"),AND(J147=1,I147=0)),"?IN_FOCUS",IF(J147&lt;=2,"?ACTIVATED",IF(J147&lt;&gt;"","?FAMILIAR",IF(F147="NEW",IF(ISNA(VLOOKUP(E147,#REF!,1,FALSE())),"?TYPE_IDENTIFIABLE","?REFERENTIAL"),"_")))))</f>
        <v/>
      </c>
      <c r="H147" s="23" t="str">
        <f t="shared" ca="1" si="11"/>
        <v/>
      </c>
      <c r="I147" s="24" t="str">
        <f>IF(OR(E147="",E147="!!!",F147="NEW"),"",INDEX(B$2:B146,-1+SUMPRODUCT(MAX(ROW(E$2:E146)*(E147=E$2:E146)))))</f>
        <v/>
      </c>
      <c r="J147" s="24" t="str">
        <f ca="1">IF(OR(E147="",E147="!!!",F147="NEW"),"",COUNTBLANK(OFFSET(A$1,,,SUMPRODUCT(MAX(ROW(E$2:E147)*(E147=E$2:E147)))))-COUNTBLANK(OFFSET(A$1,,,SUMPRODUCT(MAX(ROW(E$1:E146)*(E2=E$1:E146))))))</f>
        <v/>
      </c>
      <c r="K147" s="24" t="str">
        <f>IF(OR(E147="",E147="!!!",F147="NEW"),"",INDEX(J$1:J146,SUMPRODUCT(MAX(ROW(E$1:E146)*(E147=E$1:E146)))))</f>
        <v/>
      </c>
      <c r="L147" s="25"/>
    </row>
    <row r="148" spans="1:12" x14ac:dyDescent="0.3">
      <c r="A148" t="s">
        <v>317</v>
      </c>
      <c r="E148" s="20" t="str">
        <f t="shared" si="10"/>
        <v/>
      </c>
      <c r="F148" s="21" t="str">
        <f>IF(OR(E148="",E148="!!!"),"",IF(NOT(ISNA(VLOOKUP(E148,E$1:E147,1,FALSE()))),"OLD",IF(AND(E148&lt;&gt;"",E148&lt;&gt;"!!!"),"NEW","")))</f>
        <v/>
      </c>
      <c r="G148" s="22" t="str">
        <f>IF(OR(E148="",E148="!!!"),"",IF(OR(J148=0,AND(J148=1,K148=1),AND(J148=1,I148="SBJ"),AND(J148=1,I148=0)),"?IN_FOCUS",IF(J148&lt;=2,"?ACTIVATED",IF(J148&lt;&gt;"","?FAMILIAR",IF(F148="NEW",IF(ISNA(VLOOKUP(E148,#REF!,1,FALSE())),"?TYPE_IDENTIFIABLE","?REFERENTIAL"),"_")))))</f>
        <v/>
      </c>
      <c r="H148" s="23" t="str">
        <f t="shared" ca="1" si="11"/>
        <v/>
      </c>
      <c r="I148" s="24" t="str">
        <f>IF(OR(E148="",E148="!!!",F148="NEW"),"",INDEX(B$2:B147,-1+SUMPRODUCT(MAX(ROW(E$2:E147)*(E148=E$2:E147)))))</f>
        <v/>
      </c>
      <c r="J148" s="24" t="str">
        <f ca="1">IF(OR(E148="",E148="!!!",F148="NEW"),"",COUNTBLANK(OFFSET(A$1,,,SUMPRODUCT(MAX(ROW(E$2:E148)*(E148=E$2:E148)))))-COUNTBLANK(OFFSET(A$1,,,SUMPRODUCT(MAX(ROW(E$1:E147)*(E2=E$1:E147))))))</f>
        <v/>
      </c>
      <c r="K148" s="24" t="str">
        <f>IF(OR(E148="",E148="!!!",F148="NEW"),"",INDEX(J$1:J147,SUMPRODUCT(MAX(ROW(E$1:E147)*(E148=E$1:E147)))))</f>
        <v/>
      </c>
      <c r="L148" s="25"/>
    </row>
    <row r="149" spans="1:12" x14ac:dyDescent="0.3">
      <c r="A149" t="s">
        <v>220</v>
      </c>
      <c r="E149" s="20" t="str">
        <f t="shared" si="10"/>
        <v/>
      </c>
      <c r="F149" s="21" t="str">
        <f>IF(OR(E149="",E149="!!!"),"",IF(NOT(ISNA(VLOOKUP(E149,E$1:E148,1,FALSE()))),"OLD",IF(AND(E149&lt;&gt;"",E149&lt;&gt;"!!!"),"NEW","")))</f>
        <v/>
      </c>
      <c r="G149" s="22" t="str">
        <f>IF(OR(E149="",E149="!!!"),"",IF(OR(J149=0,AND(J149=1,K149=1),AND(J149=1,I149="SBJ"),AND(J149=1,I149=0)),"?IN_FOCUS",IF(J149&lt;=2,"?ACTIVATED",IF(J149&lt;&gt;"","?FAMILIAR",IF(F149="NEW",IF(ISNA(VLOOKUP(E149,#REF!,1,FALSE())),"?TYPE_IDENTIFIABLE","?REFERENTIAL"),"_")))))</f>
        <v/>
      </c>
      <c r="H149" s="23" t="str">
        <f t="shared" ca="1" si="11"/>
        <v/>
      </c>
      <c r="I149" s="24" t="str">
        <f>IF(OR(E149="",E149="!!!",F149="NEW"),"",INDEX(B$2:B148,-1+SUMPRODUCT(MAX(ROW(E$2:E148)*(E149=E$2:E148)))))</f>
        <v/>
      </c>
      <c r="J149" s="24" t="str">
        <f ca="1">IF(OR(E149="",E149="!!!",F149="NEW"),"",COUNTBLANK(OFFSET(A$1,,,SUMPRODUCT(MAX(ROW(E$2:E149)*(E149=E$2:E149)))))-COUNTBLANK(OFFSET(A$1,,,SUMPRODUCT(MAX(ROW(E$1:E148)*(E2=E$1:E148))))))</f>
        <v/>
      </c>
      <c r="K149" s="24" t="str">
        <f>IF(OR(E149="",E149="!!!",F149="NEW"),"",INDEX(J$1:J148,SUMPRODUCT(MAX(ROW(E$1:E148)*(E149=E$1:E148)))))</f>
        <v/>
      </c>
      <c r="L149" s="25"/>
    </row>
    <row r="150" spans="1:12" x14ac:dyDescent="0.3">
      <c r="A150" t="s">
        <v>221</v>
      </c>
      <c r="B150" s="26" t="s">
        <v>266</v>
      </c>
      <c r="C150" s="26" t="s">
        <v>222</v>
      </c>
      <c r="D150" s="26" t="s">
        <v>215</v>
      </c>
      <c r="E150" s="20" t="s">
        <v>221</v>
      </c>
      <c r="F150" s="21" t="s">
        <v>692</v>
      </c>
      <c r="G150" s="22" t="s">
        <v>657</v>
      </c>
      <c r="H150" s="23" t="str">
        <f t="shared" ca="1" si="11"/>
        <v/>
      </c>
      <c r="I150" s="24" t="str">
        <f>IF(OR(E150="",E150="!!!",F150="NEW"),"",INDEX(B$2:B149,-1+SUMPRODUCT(MAX(ROW(E$2:E149)*(E150=E$2:E149)))))</f>
        <v>other</v>
      </c>
      <c r="J150" s="24">
        <f ca="1">IF(OR(E150="",E150="!!!",F150="NEW"),"",COUNTBLANK(OFFSET(A$1,,,SUMPRODUCT(MAX(ROW(E$2:E150)*(E150=E$2:E150)))))-COUNTBLANK(OFFSET(A$1,,,SUMPRODUCT(MAX(ROW(E$1:E149)*(E2=E$1:E149))))))</f>
        <v>0</v>
      </c>
      <c r="K150" s="24" t="str">
        <f ca="1">IF(OR(E150="",E150="!!!",F150="NEW"),"",INDEX(J$1:J149,SUMPRODUCT(MAX(ROW(E$1:E149)*(E150=E$1:E149)))))</f>
        <v/>
      </c>
      <c r="L150" s="25"/>
    </row>
    <row r="151" spans="1:12" x14ac:dyDescent="0.3">
      <c r="A151" t="s">
        <v>223</v>
      </c>
      <c r="E151" s="20" t="str">
        <f t="shared" si="10"/>
        <v/>
      </c>
      <c r="F151" s="21" t="str">
        <f>IF(OR(E151="",E151="!!!"),"",IF(NOT(ISNA(VLOOKUP(E151,E$1:E150,1,FALSE()))),"OLD",IF(AND(E151&lt;&gt;"",E151&lt;&gt;"!!!"),"NEW","")))</f>
        <v/>
      </c>
      <c r="G151" s="22" t="str">
        <f>IF(OR(E151="",E151="!!!"),"",IF(OR(J151=0,AND(J151=1,K151=1),AND(J151=1,I151="SBJ"),AND(J151=1,I151=0)),"?IN_FOCUS",IF(J151&lt;=2,"?ACTIVATED",IF(J151&lt;&gt;"","?FAMILIAR",IF(F151="NEW",IF(ISNA(VLOOKUP(E151,#REF!,1,FALSE())),"?TYPE_IDENTIFIABLE","?REFERENTIAL"),"_")))))</f>
        <v/>
      </c>
      <c r="H151" s="23" t="str">
        <f t="shared" ca="1" si="11"/>
        <v/>
      </c>
      <c r="I151" s="24" t="str">
        <f>IF(OR(E151="",E151="!!!",F151="NEW"),"",INDEX(B$2:B150,-1+SUMPRODUCT(MAX(ROW(E$2:E150)*(E151=E$2:E150)))))</f>
        <v/>
      </c>
      <c r="J151" s="24" t="str">
        <f ca="1">IF(OR(E151="",E151="!!!",F151="NEW"),"",COUNTBLANK(OFFSET(A$1,,,SUMPRODUCT(MAX(ROW(E$2:E151)*(E151=E$2:E151)))))-COUNTBLANK(OFFSET(A$1,,,SUMPRODUCT(MAX(ROW(E$1:E150)*(E2=E$1:E150))))))</f>
        <v/>
      </c>
      <c r="K151" s="24" t="str">
        <f>IF(OR(E151="",E151="!!!",F151="NEW"),"",INDEX(J$1:J150,SUMPRODUCT(MAX(ROW(E$1:E150)*(E151=E$1:E150)))))</f>
        <v/>
      </c>
      <c r="L151" s="25"/>
    </row>
    <row r="152" spans="1:12" x14ac:dyDescent="0.3">
      <c r="A152" t="s">
        <v>318</v>
      </c>
      <c r="E152" s="20" t="s">
        <v>698</v>
      </c>
      <c r="F152" s="21" t="str">
        <f>IF(OR(E152="",E152="!!!"),"",IF(NOT(ISNA(VLOOKUP(E152,E$1:E151,1,FALSE()))),"OLD",IF(AND(E152&lt;&gt;"",E152&lt;&gt;"!!!"),"NEW","")))</f>
        <v>NEW</v>
      </c>
      <c r="G152" s="22" t="s">
        <v>657</v>
      </c>
      <c r="H152" s="23" t="str">
        <f t="shared" ca="1" si="11"/>
        <v/>
      </c>
      <c r="I152" s="24" t="str">
        <f>IF(OR(E152="",E152="!!!",F152="NEW"),"",INDEX(B$2:B151,-1+SUMPRODUCT(MAX(ROW(E$2:E151)*(E152=E$2:E151)))))</f>
        <v/>
      </c>
      <c r="J152" s="24" t="str">
        <f ca="1">IF(OR(E152="",E152="!!!",F152="NEW"),"",COUNTBLANK(OFFSET(A$1,,,SUMPRODUCT(MAX(ROW(E$2:E152)*(E152=E$2:E152)))))-COUNTBLANK(OFFSET(A$1,,,SUMPRODUCT(MAX(ROW(E$1:E151)*(E2=E$1:E151))))))</f>
        <v/>
      </c>
      <c r="K152" s="24" t="str">
        <f>IF(OR(E152="",E152="!!!",F152="NEW"),"",INDEX(J$1:J151,SUMPRODUCT(MAX(ROW(E$1:E151)*(E152=E$1:E151)))))</f>
        <v/>
      </c>
      <c r="L152" s="25" t="s">
        <v>742</v>
      </c>
    </row>
    <row r="153" spans="1:12" x14ac:dyDescent="0.3">
      <c r="A153" t="s">
        <v>319</v>
      </c>
      <c r="B153" s="26" t="s">
        <v>269</v>
      </c>
      <c r="C153" s="26" t="s">
        <v>226</v>
      </c>
      <c r="E153" s="20" t="str">
        <f t="shared" si="10"/>
        <v/>
      </c>
      <c r="F153" s="21" t="str">
        <f>IF(OR(E153="",E153="!!!"),"",IF(NOT(ISNA(VLOOKUP(E153,E$1:E152,1,FALSE()))),"OLD",IF(AND(E153&lt;&gt;"",E153&lt;&gt;"!!!"),"NEW","")))</f>
        <v/>
      </c>
      <c r="G153" s="22" t="str">
        <f>IF(OR(E153="",E153="!!!"),"",IF(OR(J153=0,AND(J153=1,K153=1),AND(J153=1,I153="SBJ"),AND(J153=1,I153=0)),"?IN_FOCUS",IF(J153&lt;=2,"?ACTIVATED",IF(J153&lt;&gt;"","?FAMILIAR",IF(F153="NEW",IF(ISNA(VLOOKUP(E153,#REF!,1,FALSE())),"?TYPE_IDENTIFIABLE","?REFERENTIAL"),"_")))))</f>
        <v/>
      </c>
      <c r="H153" s="23" t="str">
        <f t="shared" ca="1" si="11"/>
        <v/>
      </c>
      <c r="I153" s="24" t="str">
        <f>IF(OR(E153="",E153="!!!",F153="NEW"),"",INDEX(B$2:B152,-1+SUMPRODUCT(MAX(ROW(E$2:E152)*(E153=E$2:E152)))))</f>
        <v/>
      </c>
      <c r="J153" s="24" t="str">
        <f ca="1">IF(OR(E153="",E153="!!!",F153="NEW"),"",COUNTBLANK(OFFSET(A$1,,,SUMPRODUCT(MAX(ROW(E$2:E153)*(E153=E$2:E153)))))-COUNTBLANK(OFFSET(A$1,,,SUMPRODUCT(MAX(ROW(E$1:E152)*(E2=E$1:E152))))))</f>
        <v/>
      </c>
      <c r="K153" s="24" t="str">
        <f>IF(OR(E153="",E153="!!!",F153="NEW"),"",INDEX(J$1:J152,SUMPRODUCT(MAX(ROW(E$1:E152)*(E153=E$1:E152)))))</f>
        <v/>
      </c>
      <c r="L153" s="25"/>
    </row>
    <row r="154" spans="1:12" x14ac:dyDescent="0.3">
      <c r="A154" t="s">
        <v>320</v>
      </c>
      <c r="E154" s="20" t="str">
        <f t="shared" si="10"/>
        <v/>
      </c>
      <c r="F154" s="21" t="str">
        <f>IF(OR(E154="",E154="!!!"),"",IF(NOT(ISNA(VLOOKUP(E154,E$1:E153,1,FALSE()))),"OLD",IF(AND(E154&lt;&gt;"",E154&lt;&gt;"!!!"),"NEW","")))</f>
        <v/>
      </c>
      <c r="G154" s="22" t="str">
        <f>IF(OR(E154="",E154="!!!"),"",IF(OR(J154=0,AND(J154=1,K154=1),AND(J154=1,I154="SBJ"),AND(J154=1,I154=0)),"?IN_FOCUS",IF(J154&lt;=2,"?ACTIVATED",IF(J154&lt;&gt;"","?FAMILIAR",IF(F154="NEW",IF(ISNA(VLOOKUP(E154,#REF!,1,FALSE())),"?TYPE_IDENTIFIABLE","?REFERENTIAL"),"_")))))</f>
        <v/>
      </c>
      <c r="H154" s="23" t="str">
        <f t="shared" ca="1" si="11"/>
        <v/>
      </c>
      <c r="I154" s="24" t="str">
        <f>IF(OR(E154="",E154="!!!",F154="NEW"),"",INDEX(B$2:B153,-1+SUMPRODUCT(MAX(ROW(E$2:E153)*(E154=E$2:E153)))))</f>
        <v/>
      </c>
      <c r="J154" s="24" t="str">
        <f ca="1">IF(OR(E154="",E154="!!!",F154="NEW"),"",COUNTBLANK(OFFSET(A$1,,,SUMPRODUCT(MAX(ROW(E$2:E154)*(E154=E$2:E154)))))-COUNTBLANK(OFFSET(A$1,,,SUMPRODUCT(MAX(ROW(E$1:E153)*(E2=E$1:E153))))))</f>
        <v/>
      </c>
      <c r="K154" s="24" t="str">
        <f>IF(OR(E154="",E154="!!!",F154="NEW"),"",INDEX(J$1:J153,SUMPRODUCT(MAX(ROW(E$1:E153)*(E154=E$1:E153)))))</f>
        <v/>
      </c>
      <c r="L154" s="25"/>
    </row>
    <row r="155" spans="1:12" x14ac:dyDescent="0.3">
      <c r="A155" t="s">
        <v>224</v>
      </c>
      <c r="E155" s="20" t="str">
        <f t="shared" si="10"/>
        <v/>
      </c>
      <c r="F155" s="21" t="str">
        <f>IF(OR(E155="",E155="!!!"),"",IF(NOT(ISNA(VLOOKUP(E155,E$1:E154,1,FALSE()))),"OLD",IF(AND(E155&lt;&gt;"",E155&lt;&gt;"!!!"),"NEW","")))</f>
        <v/>
      </c>
      <c r="G155" s="22" t="str">
        <f>IF(OR(E155="",E155="!!!"),"",IF(OR(J155=0,AND(J155=1,K155=1),AND(J155=1,I155="SBJ"),AND(J155=1,I155=0)),"?IN_FOCUS",IF(J155&lt;=2,"?ACTIVATED",IF(J155&lt;&gt;"","?FAMILIAR",IF(F155="NEW",IF(ISNA(VLOOKUP(E155,#REF!,1,FALSE())),"?TYPE_IDENTIFIABLE","?REFERENTIAL"),"_")))))</f>
        <v/>
      </c>
      <c r="H155" s="23" t="str">
        <f t="shared" ca="1" si="11"/>
        <v/>
      </c>
      <c r="I155" s="24" t="str">
        <f>IF(OR(E155="",E155="!!!",F155="NEW"),"",INDEX(B$2:B154,-1+SUMPRODUCT(MAX(ROW(E$2:E154)*(E155=E$2:E154)))))</f>
        <v/>
      </c>
      <c r="J155" s="24" t="str">
        <f ca="1">IF(OR(E155="",E155="!!!",F155="NEW"),"",COUNTBLANK(OFFSET(A$1,,,SUMPRODUCT(MAX(ROW(E$2:E155)*(E155=E$2:E155)))))-COUNTBLANK(OFFSET(A$1,,,SUMPRODUCT(MAX(ROW(E$1:E154)*(E2=E$1:E154))))))</f>
        <v/>
      </c>
      <c r="K155" s="24" t="str">
        <f>IF(OR(E155="",E155="!!!",F155="NEW"),"",INDEX(J$1:J154,SUMPRODUCT(MAX(ROW(E$1:E154)*(E155=E$1:E154)))))</f>
        <v/>
      </c>
      <c r="L155" s="25"/>
    </row>
    <row r="156" spans="1:12" x14ac:dyDescent="0.3">
      <c r="A156" t="s">
        <v>208</v>
      </c>
      <c r="E156" s="20" t="s">
        <v>667</v>
      </c>
      <c r="F156" s="21" t="str">
        <f>IF(OR(E156="",E156="!!!"),"",IF(NOT(ISNA(VLOOKUP(E156,E$1:E155,1,FALSE()))),"OLD",IF(AND(E156&lt;&gt;"",E156&lt;&gt;"!!!"),"NEW","")))</f>
        <v>OLD</v>
      </c>
      <c r="G156" s="22" t="s">
        <v>657</v>
      </c>
      <c r="H156" s="23" t="str">
        <f t="shared" ca="1" si="11"/>
        <v/>
      </c>
      <c r="I156" s="24">
        <f>IF(OR(E156="",E156="!!!",F156="NEW"),"",INDEX(B$2:B155,-1+SUMPRODUCT(MAX(ROW(E$2:E155)*(E156=E$2:E155)))))</f>
        <v>0</v>
      </c>
      <c r="J156" s="24">
        <f ca="1">IF(OR(E156="",E156="!!!",F156="NEW"),"",COUNTBLANK(OFFSET(A$1,,,SUMPRODUCT(MAX(ROW(E$2:E156)*(E156=E$2:E156)))))-COUNTBLANK(OFFSET(A$1,,,SUMPRODUCT(MAX(ROW(E$1:E155)*(E2=E$1:E155))))))</f>
        <v>0</v>
      </c>
      <c r="K156" s="24">
        <f ca="1">IF(OR(E156="",E156="!!!",F156="NEW"),"",INDEX(J$1:J155,SUMPRODUCT(MAX(ROW(E$1:E155)*(E156=E$1:E155)))))</f>
        <v>0</v>
      </c>
      <c r="L156" s="25" t="s">
        <v>674</v>
      </c>
    </row>
    <row r="157" spans="1:12" x14ac:dyDescent="0.3">
      <c r="A157" t="s">
        <v>209</v>
      </c>
      <c r="B157" s="26" t="s">
        <v>266</v>
      </c>
      <c r="C157" s="26" t="s">
        <v>214</v>
      </c>
      <c r="D157" s="26" t="s">
        <v>215</v>
      </c>
      <c r="E157" s="20"/>
      <c r="F157" s="21" t="str">
        <f>IF(OR(E157="",E157="!!!"),"",IF(NOT(ISNA(VLOOKUP(E157,E$1:E156,1,FALSE()))),"OLD",IF(AND(E157&lt;&gt;"",E157&lt;&gt;"!!!"),"NEW","")))</f>
        <v/>
      </c>
      <c r="G157" s="22" t="str">
        <f>IF(OR(E157="",E157="!!!"),"",IF(OR(J157=0,AND(J157=1,K157=1),AND(J157=1,I157="SBJ"),AND(J157=1,I157=0)),"?IN_FOCUS",IF(J157&lt;=2,"?ACTIVATED",IF(J157&lt;&gt;"","?FAMILIAR",IF(F157="NEW",IF(ISNA(VLOOKUP(E157,#REF!,1,FALSE())),"?TYPE_IDENTIFIABLE","?REFERENTIAL"),"_")))))</f>
        <v/>
      </c>
      <c r="H157" s="23" t="str">
        <f t="shared" ca="1" si="11"/>
        <v/>
      </c>
      <c r="I157" s="24" t="str">
        <f>IF(OR(E157="",E157="!!!",F157="NEW"),"",INDEX(B$2:B156,-1+SUMPRODUCT(MAX(ROW(E$2:E156)*(E157=E$2:E156)))))</f>
        <v/>
      </c>
      <c r="J157" s="24" t="str">
        <f ca="1">IF(OR(E157="",E157="!!!",F157="NEW"),"",COUNTBLANK(OFFSET(A$1,,,SUMPRODUCT(MAX(ROW(E$2:E157)*(E157=E$2:E157)))))-COUNTBLANK(OFFSET(A$1,,,SUMPRODUCT(MAX(ROW(E$1:E156)*(E2=E$1:E156))))))</f>
        <v/>
      </c>
      <c r="K157" s="24" t="str">
        <f>IF(OR(E157="",E157="!!!",F157="NEW"),"",INDEX(J$1:J156,SUMPRODUCT(MAX(ROW(E$1:E156)*(E157=E$1:E156)))))</f>
        <v/>
      </c>
      <c r="L157" s="25"/>
    </row>
    <row r="158" spans="1:12" x14ac:dyDescent="0.3">
      <c r="A158" t="s">
        <v>234</v>
      </c>
      <c r="E158" s="20" t="str">
        <f t="shared" si="10"/>
        <v/>
      </c>
      <c r="F158" s="21" t="str">
        <f>IF(OR(E158="",E158="!!!"),"",IF(NOT(ISNA(VLOOKUP(E158,E$1:E157,1,FALSE()))),"OLD",IF(AND(E158&lt;&gt;"",E158&lt;&gt;"!!!"),"NEW","")))</f>
        <v/>
      </c>
      <c r="G158" s="22" t="str">
        <f>IF(OR(E158="",E158="!!!"),"",IF(OR(J158=0,AND(J158=1,K158=1),AND(J158=1,I158="SBJ"),AND(J158=1,I158=0)),"?IN_FOCUS",IF(J158&lt;=2,"?ACTIVATED",IF(J158&lt;&gt;"","?FAMILIAR",IF(F158="NEW",IF(ISNA(VLOOKUP(E158,#REF!,1,FALSE())),"?TYPE_IDENTIFIABLE","?REFERENTIAL"),"_")))))</f>
        <v/>
      </c>
      <c r="H158" s="23" t="str">
        <f t="shared" ca="1" si="11"/>
        <v/>
      </c>
      <c r="I158" s="24" t="str">
        <f>IF(OR(E158="",E158="!!!",F158="NEW"),"",INDEX(B$2:B157,-1+SUMPRODUCT(MAX(ROW(E$2:E157)*(E158=E$2:E157)))))</f>
        <v/>
      </c>
      <c r="J158" s="24" t="str">
        <f ca="1">IF(OR(E158="",E158="!!!",F158="NEW"),"",COUNTBLANK(OFFSET(A$1,,,SUMPRODUCT(MAX(ROW(E$2:E158)*(E158=E$2:E158)))))-COUNTBLANK(OFFSET(A$1,,,SUMPRODUCT(MAX(ROW(E$1:E157)*(E2=E$1:E157))))))</f>
        <v/>
      </c>
      <c r="K158" s="24" t="str">
        <f>IF(OR(E158="",E158="!!!",F158="NEW"),"",INDEX(J$1:J157,SUMPRODUCT(MAX(ROW(E$1:E157)*(E158=E$1:E157)))))</f>
        <v/>
      </c>
      <c r="L158" s="25"/>
    </row>
    <row r="160" spans="1:12" x14ac:dyDescent="0.3">
      <c r="A160" t="s">
        <v>321</v>
      </c>
    </row>
    <row r="161" spans="1:12" x14ac:dyDescent="0.3">
      <c r="A161" t="s">
        <v>257</v>
      </c>
      <c r="B161" s="26" t="s">
        <v>213</v>
      </c>
      <c r="C161" s="26" t="s">
        <v>230</v>
      </c>
      <c r="D161" s="26" t="s">
        <v>215</v>
      </c>
      <c r="E161" s="20" t="s">
        <v>739</v>
      </c>
      <c r="F161" s="21" t="str">
        <f>IF(OR(E161="",E161="!!!"),"",IF(NOT(ISNA(VLOOKUP(E161,E$1:E160,1,FALSE()))),"OLD",IF(AND(E161&lt;&gt;"",E161&lt;&gt;"!!!"),"NEW","")))</f>
        <v>OLD</v>
      </c>
      <c r="G161" s="22" t="s">
        <v>652</v>
      </c>
      <c r="H161" s="23" t="s">
        <v>198</v>
      </c>
      <c r="I161" s="24" t="str">
        <f>IF(OR(E161="",E161="!!!",F161="NEW"),"",INDEX(B$2:B160,-1+SUMPRODUCT(MAX(ROW(E$2:E160)*(E161=E$2:E160)))))</f>
        <v>SBJ</v>
      </c>
      <c r="J161" s="24">
        <f ca="1">IF(OR(E161="",E161="!!!",F161="NEW"),"",COUNTBLANK(OFFSET(A$1,,,SUMPRODUCT(MAX(ROW(E$2:E161)*(E161=E$2:E161)))))-COUNTBLANK(OFFSET(A$1,,,SUMPRODUCT(MAX(ROW(E$1:E160)*(E2=E$1:E160))))))</f>
        <v>0</v>
      </c>
      <c r="K161" s="24">
        <f ca="1">IF(OR(E161="",E161="!!!",F161="NEW"),"",INDEX(J$1:J160,SUMPRODUCT(MAX(ROW(E$1:E160)*(E161=E$1:E160)))))</f>
        <v>0</v>
      </c>
      <c r="L161" s="25"/>
    </row>
    <row r="162" spans="1:12" x14ac:dyDescent="0.3">
      <c r="A162" t="s">
        <v>32</v>
      </c>
      <c r="E162" s="20" t="str">
        <f t="shared" ref="E162:E191" si="12">IF(D162="?OLD","!!!","")</f>
        <v/>
      </c>
      <c r="F162" s="21" t="str">
        <f>IF(OR(E162="",E162="!!!"),"",IF(NOT(ISNA(VLOOKUP(E162,E$1:E161,1,FALSE()))),"OLD",IF(AND(E162&lt;&gt;"",E162&lt;&gt;"!!!"),"NEW","")))</f>
        <v/>
      </c>
      <c r="G162" s="22" t="str">
        <f>IF(OR(E162="",E162="!!!"),"",IF(OR(J162=0,AND(J162=1,K162=1),AND(J162=1,I162="SBJ"),AND(J162=1,I162=0)),"?IN_FOCUS",IF(J162&lt;=2,"?ACTIVATED",IF(J162&lt;&gt;"","?FAMILIAR",IF(F162="NEW",IF(ISNA(VLOOKUP(E162,#REF!,1,FALSE())),"?TYPE_IDENTIFIABLE","?REFERENTIAL"),"_")))))</f>
        <v/>
      </c>
      <c r="H162" s="23" t="str">
        <f t="shared" ref="H161:H192" ca="1" si="13">IF(J162&lt;&gt;1,"",IF(I162="SBJ","CB","?"))</f>
        <v/>
      </c>
      <c r="I162" s="24" t="str">
        <f>IF(OR(E162="",E162="!!!",F162="NEW"),"",INDEX(B$2:B161,-1+SUMPRODUCT(MAX(ROW(E$2:E161)*(E162=E$2:E161)))))</f>
        <v/>
      </c>
      <c r="J162" s="24" t="str">
        <f ca="1">IF(OR(E162="",E162="!!!",F162="NEW"),"",COUNTBLANK(OFFSET(A$1,,,SUMPRODUCT(MAX(ROW(E$2:E162)*(E162=E$2:E162)))))-COUNTBLANK(OFFSET(A$1,,,SUMPRODUCT(MAX(ROW(E$1:E161)*(E2=E$1:E161))))))</f>
        <v/>
      </c>
      <c r="K162" s="24" t="str">
        <f>IF(OR(E162="",E162="!!!",F162="NEW"),"",INDEX(J$1:J161,SUMPRODUCT(MAX(ROW(E$1:E161)*(E162=E$1:E161)))))</f>
        <v/>
      </c>
      <c r="L162" s="25"/>
    </row>
    <row r="163" spans="1:12" x14ac:dyDescent="0.3">
      <c r="A163" t="s">
        <v>322</v>
      </c>
      <c r="B163" s="26" t="s">
        <v>261</v>
      </c>
      <c r="C163" s="26" t="s">
        <v>264</v>
      </c>
      <c r="D163" s="26" t="s">
        <v>215</v>
      </c>
      <c r="E163" s="20"/>
      <c r="F163" s="21" t="s">
        <v>653</v>
      </c>
      <c r="G163" s="22" t="str">
        <f>IF(OR(E163="",E163="!!!"),"",IF(OR(J163=0,AND(J163=1,K163=1),AND(J163=1,I163="SBJ"),AND(J163=1,I163=0)),"?IN_FOCUS",IF(J163&lt;=2,"?ACTIVATED",IF(J163&lt;&gt;"","?FAMILIAR",IF(F163="NEW",IF(ISNA(VLOOKUP(E163,#REF!,1,FALSE())),"?TYPE_IDENTIFIABLE","?REFERENTIAL"),"_")))))</f>
        <v/>
      </c>
      <c r="H163" s="23" t="str">
        <f t="shared" ca="1" si="13"/>
        <v/>
      </c>
      <c r="I163" s="24" t="str">
        <f>IF(OR(E163="",E163="!!!",F163="NEW"),"",INDEX(B$2:B162,-1+SUMPRODUCT(MAX(ROW(E$2:E162)*(E163=E$2:E162)))))</f>
        <v/>
      </c>
      <c r="J163" s="24" t="str">
        <f ca="1">IF(OR(E163="",E163="!!!",F163="NEW"),"",COUNTBLANK(OFFSET(A$1,,,SUMPRODUCT(MAX(ROW(E$2:E163)*(E163=E$2:E163)))))-COUNTBLANK(OFFSET(A$1,,,SUMPRODUCT(MAX(ROW(E$1:E162)*(E2=E$1:E162))))))</f>
        <v/>
      </c>
      <c r="K163" s="24" t="str">
        <f>IF(OR(E163="",E163="!!!",F163="NEW"),"",INDEX(J$1:J162,SUMPRODUCT(MAX(ROW(E$1:E162)*(E163=E$1:E162)))))</f>
        <v/>
      </c>
      <c r="L163" s="25"/>
    </row>
    <row r="164" spans="1:12" x14ac:dyDescent="0.3">
      <c r="A164" t="s">
        <v>223</v>
      </c>
      <c r="E164" s="20" t="str">
        <f t="shared" si="12"/>
        <v/>
      </c>
      <c r="F164" s="21" t="str">
        <f>IF(OR(E164="",E164="!!!"),"",IF(NOT(ISNA(VLOOKUP(E164,E$1:E163,1,FALSE()))),"OLD",IF(AND(E164&lt;&gt;"",E164&lt;&gt;"!!!"),"NEW","")))</f>
        <v/>
      </c>
      <c r="G164" s="22" t="str">
        <f>IF(OR(E164="",E164="!!!"),"",IF(OR(J164=0,AND(J164=1,K164=1),AND(J164=1,I164="SBJ"),AND(J164=1,I164=0)),"?IN_FOCUS",IF(J164&lt;=2,"?ACTIVATED",IF(J164&lt;&gt;"","?FAMILIAR",IF(F164="NEW",IF(ISNA(VLOOKUP(E164,#REF!,1,FALSE())),"?TYPE_IDENTIFIABLE","?REFERENTIAL"),"_")))))</f>
        <v/>
      </c>
      <c r="H164" s="23" t="str">
        <f t="shared" ca="1" si="13"/>
        <v/>
      </c>
      <c r="I164" s="24" t="str">
        <f>IF(OR(E164="",E164="!!!",F164="NEW"),"",INDEX(B$2:B163,-1+SUMPRODUCT(MAX(ROW(E$2:E163)*(E164=E$2:E163)))))</f>
        <v/>
      </c>
      <c r="J164" s="24" t="str">
        <f ca="1">IF(OR(E164="",E164="!!!",F164="NEW"),"",COUNTBLANK(OFFSET(A$1,,,SUMPRODUCT(MAX(ROW(E$2:E164)*(E164=E$2:E164)))))-COUNTBLANK(OFFSET(A$1,,,SUMPRODUCT(MAX(ROW(E$1:E163)*(E2=E$1:E163))))))</f>
        <v/>
      </c>
      <c r="K164" s="24" t="str">
        <f>IF(OR(E164="",E164="!!!",F164="NEW"),"",INDEX(J$1:J163,SUMPRODUCT(MAX(ROW(E$1:E163)*(E164=E$1:E163)))))</f>
        <v/>
      </c>
      <c r="L164" s="25"/>
    </row>
    <row r="165" spans="1:12" x14ac:dyDescent="0.3">
      <c r="A165" t="s">
        <v>265</v>
      </c>
      <c r="B165" s="26" t="s">
        <v>225</v>
      </c>
      <c r="C165" s="26" t="s">
        <v>230</v>
      </c>
      <c r="D165" s="26" t="s">
        <v>215</v>
      </c>
      <c r="E165" s="20" t="s">
        <v>656</v>
      </c>
      <c r="F165" s="21" t="str">
        <f>IF(OR(E165="",E165="!!!"),"",IF(NOT(ISNA(VLOOKUP(E165,E$1:E164,1,FALSE()))),"OLD",IF(AND(E165&lt;&gt;"",E165&lt;&gt;"!!!"),"NEW","")))</f>
        <v>OLD</v>
      </c>
      <c r="G165" s="22" t="str">
        <f ca="1">IF(OR(E165="",E165="!!!"),"",IF(OR(J165=0,AND(J165=1,K165=1),AND(J165=1,I165="SBJ"),AND(J165=1,I165=0)),"?IN_FOCUS",IF(J165&lt;=2,"?ACTIVATED",IF(J165&lt;&gt;"","?FAMILIAR",IF(F165="NEW",IF(ISNA(VLOOKUP(E165,#REF!,1,FALSE())),"?TYPE_IDENTIFIABLE","?REFERENTIAL"),"_")))))</f>
        <v>?IN_FOCUS</v>
      </c>
      <c r="H165" s="23" t="str">
        <f t="shared" ca="1" si="13"/>
        <v/>
      </c>
      <c r="I165" s="24" t="str">
        <f>IF(OR(E165="",E165="!!!",F165="NEW"),"",INDEX(B$2:B164,-1+SUMPRODUCT(MAX(ROW(E$2:E164)*(E165=E$2:E164)))))</f>
        <v>other_4</v>
      </c>
      <c r="J165" s="24">
        <f ca="1">IF(OR(E165="",E165="!!!",F165="NEW"),"",COUNTBLANK(OFFSET(A$1,,,SUMPRODUCT(MAX(ROW(E$2:E165)*(E165=E$2:E165)))))-COUNTBLANK(OFFSET(A$1,,,SUMPRODUCT(MAX(ROW(E$1:E164)*(E2=E$1:E164))))))</f>
        <v>0</v>
      </c>
      <c r="K165" s="24" t="str">
        <f ca="1">IF(OR(E165="",E165="!!!",F165="NEW"),"",INDEX(J$1:J164,SUMPRODUCT(MAX(ROW(E$1:E164)*(E165=E$1:E164)))))</f>
        <v/>
      </c>
      <c r="L165" s="25"/>
    </row>
    <row r="166" spans="1:12" x14ac:dyDescent="0.3">
      <c r="A166" t="s">
        <v>323</v>
      </c>
      <c r="E166" s="20" t="str">
        <f t="shared" si="12"/>
        <v/>
      </c>
      <c r="F166" s="21" t="str">
        <f>IF(OR(E166="",E166="!!!"),"",IF(NOT(ISNA(VLOOKUP(E166,E$1:E165,1,FALSE()))),"OLD",IF(AND(E166&lt;&gt;"",E166&lt;&gt;"!!!"),"NEW","")))</f>
        <v/>
      </c>
      <c r="G166" s="22" t="str">
        <f>IF(OR(E166="",E166="!!!"),"",IF(OR(J166=0,AND(J166=1,K166=1),AND(J166=1,I166="SBJ"),AND(J166=1,I166=0)),"?IN_FOCUS",IF(J166&lt;=2,"?ACTIVATED",IF(J166&lt;&gt;"","?FAMILIAR",IF(F166="NEW",IF(ISNA(VLOOKUP(E166,#REF!,1,FALSE())),"?TYPE_IDENTIFIABLE","?REFERENTIAL"),"_")))))</f>
        <v/>
      </c>
      <c r="H166" s="23" t="str">
        <f t="shared" ca="1" si="13"/>
        <v/>
      </c>
      <c r="I166" s="24" t="str">
        <f>IF(OR(E166="",E166="!!!",F166="NEW"),"",INDEX(B$2:B165,-1+SUMPRODUCT(MAX(ROW(E$2:E165)*(E166=E$2:E165)))))</f>
        <v/>
      </c>
      <c r="J166" s="24" t="str">
        <f ca="1">IF(OR(E166="",E166="!!!",F166="NEW"),"",COUNTBLANK(OFFSET(A$1,,,SUMPRODUCT(MAX(ROW(E$2:E166)*(E166=E$2:E166)))))-COUNTBLANK(OFFSET(A$1,,,SUMPRODUCT(MAX(ROW(E$1:E165)*(E2=E$1:E165))))))</f>
        <v/>
      </c>
      <c r="K166" s="24" t="str">
        <f>IF(OR(E166="",E166="!!!",F166="NEW"),"",INDEX(J$1:J165,SUMPRODUCT(MAX(ROW(E$1:E165)*(E166=E$1:E165)))))</f>
        <v/>
      </c>
      <c r="L166" s="25"/>
    </row>
    <row r="167" spans="1:12" x14ac:dyDescent="0.3">
      <c r="A167" t="s">
        <v>324</v>
      </c>
      <c r="E167" s="20" t="str">
        <f t="shared" si="12"/>
        <v/>
      </c>
      <c r="F167" s="21" t="str">
        <f>IF(OR(E167="",E167="!!!"),"",IF(NOT(ISNA(VLOOKUP(E167,E$1:E166,1,FALSE()))),"OLD",IF(AND(E167&lt;&gt;"",E167&lt;&gt;"!!!"),"NEW","")))</f>
        <v/>
      </c>
      <c r="G167" s="22" t="str">
        <f>IF(OR(E167="",E167="!!!"),"",IF(OR(J167=0,AND(J167=1,K167=1),AND(J167=1,I167="SBJ"),AND(J167=1,I167=0)),"?IN_FOCUS",IF(J167&lt;=2,"?ACTIVATED",IF(J167&lt;&gt;"","?FAMILIAR",IF(F167="NEW",IF(ISNA(VLOOKUP(E167,#REF!,1,FALSE())),"?TYPE_IDENTIFIABLE","?REFERENTIAL"),"_")))))</f>
        <v/>
      </c>
      <c r="H167" s="23" t="str">
        <f t="shared" ca="1" si="13"/>
        <v/>
      </c>
      <c r="I167" s="24" t="str">
        <f>IF(OR(E167="",E167="!!!",F167="NEW"),"",INDEX(B$2:B166,-1+SUMPRODUCT(MAX(ROW(E$2:E166)*(E167=E$2:E166)))))</f>
        <v/>
      </c>
      <c r="J167" s="24" t="str">
        <f ca="1">IF(OR(E167="",E167="!!!",F167="NEW"),"",COUNTBLANK(OFFSET(A$1,,,SUMPRODUCT(MAX(ROW(E$2:E167)*(E167=E$2:E167)))))-COUNTBLANK(OFFSET(A$1,,,SUMPRODUCT(MAX(ROW(E$1:E166)*(E2=E$1:E166))))))</f>
        <v/>
      </c>
      <c r="K167" s="24" t="str">
        <f>IF(OR(E167="",E167="!!!",F167="NEW"),"",INDEX(J$1:J166,SUMPRODUCT(MAX(ROW(E$1:E166)*(E167=E$1:E166)))))</f>
        <v/>
      </c>
      <c r="L167" s="25"/>
    </row>
    <row r="168" spans="1:12" x14ac:dyDescent="0.3">
      <c r="A168" t="s">
        <v>212</v>
      </c>
      <c r="B168" s="26" t="s">
        <v>325</v>
      </c>
      <c r="C168" s="26" t="s">
        <v>214</v>
      </c>
      <c r="D168" s="26" t="s">
        <v>215</v>
      </c>
      <c r="E168" s="20" t="s">
        <v>647</v>
      </c>
      <c r="F168" s="21" t="str">
        <f>IF(OR(E168="",E168="!!!"),"",IF(NOT(ISNA(VLOOKUP(E168,E$1:E167,1,FALSE()))),"OLD",IF(AND(E168&lt;&gt;"",E168&lt;&gt;"!!!"),"NEW","")))</f>
        <v>OLD</v>
      </c>
      <c r="G168" s="22" t="s">
        <v>657</v>
      </c>
      <c r="H168" s="23" t="str">
        <f t="shared" ca="1" si="13"/>
        <v/>
      </c>
      <c r="I168" s="24" t="str">
        <f>IF(OR(E168="",E168="!!!",F168="NEW"),"",INDEX(B$2:B167,-1+SUMPRODUCT(MAX(ROW(E$2:E167)*(E168=E$2:E167)))))</f>
        <v>other_2</v>
      </c>
      <c r="J168" s="24">
        <f ca="1">IF(OR(E168="",E168="!!!",F168="NEW"),"",COUNTBLANK(OFFSET(A$1,,,SUMPRODUCT(MAX(ROW(E$2:E168)*(E168=E$2:E168)))))-COUNTBLANK(OFFSET(A$1,,,SUMPRODUCT(MAX(ROW(E$1:E167)*(E2=E$1:E167))))))</f>
        <v>0</v>
      </c>
      <c r="K168" s="24">
        <f ca="1">IF(OR(E168="",E168="!!!",F168="NEW"),"",INDEX(J$1:J167,SUMPRODUCT(MAX(ROW(E$1:E167)*(E168=E$1:E167)))))</f>
        <v>0</v>
      </c>
      <c r="L168" s="25"/>
    </row>
    <row r="169" spans="1:12" x14ac:dyDescent="0.3">
      <c r="A169" t="s">
        <v>270</v>
      </c>
      <c r="E169" s="20" t="str">
        <f>IF(D169="?OLD","!!!","")</f>
        <v/>
      </c>
      <c r="F169" s="21" t="str">
        <f>IF(OR(E169="",E169="!!!"),"",IF(NOT(ISNA(VLOOKUP(E169,E$1:E168,1,FALSE()))),"OLD",IF(AND(E169&lt;&gt;"",E169&lt;&gt;"!!!"),"NEW","")))</f>
        <v/>
      </c>
      <c r="G169" s="22" t="str">
        <f>IF(OR(E169="",E169="!!!"),"",IF(OR(J169=0,AND(J169=1,K169=1),AND(J169=1,I169="SBJ"),AND(J169=1,I169=0)),"?IN_FOCUS",IF(J169&lt;=2,"?ACTIVATED",IF(J169&lt;&gt;"","?FAMILIAR",IF(F169="NEW",IF(ISNA(VLOOKUP(E169,#REF!,1,FALSE())),"?TYPE_IDENTIFIABLE","?REFERENTIAL"),"_")))))</f>
        <v/>
      </c>
      <c r="H169" s="23" t="str">
        <f t="shared" ca="1" si="13"/>
        <v/>
      </c>
      <c r="I169" s="24" t="str">
        <f>IF(OR(E169="",E169="!!!",F169="NEW"),"",INDEX(B$2:B168,-1+SUMPRODUCT(MAX(ROW(E$2:E168)*(E169=E$2:E168)))))</f>
        <v/>
      </c>
      <c r="J169" s="24" t="str">
        <f ca="1">IF(OR(E169="",E169="!!!",F169="NEW"),"",COUNTBLANK(OFFSET(A$1,,,SUMPRODUCT(MAX(ROW(E$2:E169)*(E169=E$2:E169)))))-COUNTBLANK(OFFSET(A$1,,,SUMPRODUCT(MAX(ROW(E$1:E168)*(E2=E$1:E168))))))</f>
        <v/>
      </c>
      <c r="K169" s="24" t="str">
        <f>IF(OR(E169="",E169="!!!",F169="NEW"),"",INDEX(J$1:J168,SUMPRODUCT(MAX(ROW(E$1:E168)*(E169=E$1:E168)))))</f>
        <v/>
      </c>
      <c r="L169" s="25" t="s">
        <v>743</v>
      </c>
    </row>
    <row r="170" spans="1:12" x14ac:dyDescent="0.3">
      <c r="A170" t="s">
        <v>275</v>
      </c>
      <c r="B170" s="26" t="s">
        <v>233</v>
      </c>
      <c r="C170" s="26" t="s">
        <v>264</v>
      </c>
      <c r="D170" s="26" t="s">
        <v>215</v>
      </c>
      <c r="E170" s="20" t="s">
        <v>675</v>
      </c>
      <c r="F170" s="21" t="str">
        <f>IF(OR(E170="",E170="!!!"),"",IF(NOT(ISNA(VLOOKUP(E170,E$1:E169,1,FALSE()))),"OLD",IF(AND(E170&lt;&gt;"",E170&lt;&gt;"!!!"),"NEW","")))</f>
        <v>OLD</v>
      </c>
      <c r="G170" s="22" t="s">
        <v>665</v>
      </c>
      <c r="H170" s="23" t="str">
        <f t="shared" ca="1" si="13"/>
        <v/>
      </c>
      <c r="I170" s="24" t="str">
        <f>IF(OR(E170="",E170="!!!",F170="NEW"),"",INDEX(B$2:B169,-1+SUMPRODUCT(MAX(ROW(E$2:E169)*(E170=E$2:E169)))))</f>
        <v>other_5</v>
      </c>
      <c r="J170" s="24">
        <f ca="1">IF(OR(E170="",E170="!!!",F170="NEW"),"",COUNTBLANK(OFFSET(A$1,,,SUMPRODUCT(MAX(ROW(E$2:E170)*(E170=E$2:E170)))))-COUNTBLANK(OFFSET(A$1,,,SUMPRODUCT(MAX(ROW(E$1:E169)*(E2=E$1:E169))))))</f>
        <v>0</v>
      </c>
      <c r="K170" s="24">
        <f ca="1">IF(OR(E170="",E170="!!!",F170="NEW"),"",INDEX(J$1:J169,SUMPRODUCT(MAX(ROW(E$1:E169)*(E170=E$1:E169)))))</f>
        <v>0</v>
      </c>
      <c r="L170" s="25"/>
    </row>
    <row r="171" spans="1:12" x14ac:dyDescent="0.3">
      <c r="A171" t="s">
        <v>326</v>
      </c>
      <c r="E171" s="20" t="str">
        <f t="shared" si="12"/>
        <v/>
      </c>
      <c r="F171" s="21" t="str">
        <f>IF(OR(E171="",E171="!!!"),"",IF(NOT(ISNA(VLOOKUP(E171,E$1:E170,1,FALSE()))),"OLD",IF(AND(E171&lt;&gt;"",E171&lt;&gt;"!!!"),"NEW","")))</f>
        <v/>
      </c>
      <c r="G171" s="22" t="str">
        <f>IF(OR(E171="",E171="!!!"),"",IF(OR(J171=0,AND(J171=1,K171=1),AND(J171=1,I171="SBJ"),AND(J171=1,I171=0)),"?IN_FOCUS",IF(J171&lt;=2,"?ACTIVATED",IF(J171&lt;&gt;"","?FAMILIAR",IF(F171="NEW",IF(ISNA(VLOOKUP(E171,#REF!,1,FALSE())),"?TYPE_IDENTIFIABLE","?REFERENTIAL"),"_")))))</f>
        <v/>
      </c>
      <c r="H171" s="23" t="str">
        <f t="shared" ca="1" si="13"/>
        <v/>
      </c>
      <c r="I171" s="24" t="str">
        <f>IF(OR(E171="",E171="!!!",F171="NEW"),"",INDEX(B$2:B170,-1+SUMPRODUCT(MAX(ROW(E$2:E170)*(E171=E$2:E170)))))</f>
        <v/>
      </c>
      <c r="J171" s="24" t="str">
        <f ca="1">IF(OR(E171="",E171="!!!",F171="NEW"),"",COUNTBLANK(OFFSET(A$1,,,SUMPRODUCT(MAX(ROW(E$2:E171)*(E171=E$2:E171)))))-COUNTBLANK(OFFSET(A$1,,,SUMPRODUCT(MAX(ROW(E$1:E170)*(E2=E$1:E170))))))</f>
        <v/>
      </c>
      <c r="K171" s="24" t="str">
        <f>IF(OR(E171="",E171="!!!",F171="NEW"),"",INDEX(J$1:J170,SUMPRODUCT(MAX(ROW(E$1:E170)*(E171=E$1:E170)))))</f>
        <v/>
      </c>
      <c r="L171" s="25"/>
    </row>
    <row r="172" spans="1:12" x14ac:dyDescent="0.3">
      <c r="A172" t="s">
        <v>323</v>
      </c>
      <c r="E172" s="20" t="str">
        <f t="shared" si="12"/>
        <v/>
      </c>
      <c r="F172" s="21" t="str">
        <f>IF(OR(E172="",E172="!!!"),"",IF(NOT(ISNA(VLOOKUP(E172,E$1:E171,1,FALSE()))),"OLD",IF(AND(E172&lt;&gt;"",E172&lt;&gt;"!!!"),"NEW","")))</f>
        <v/>
      </c>
      <c r="G172" s="22" t="str">
        <f>IF(OR(E172="",E172="!!!"),"",IF(OR(J172=0,AND(J172=1,K172=1),AND(J172=1,I172="SBJ"),AND(J172=1,I172=0)),"?IN_FOCUS",IF(J172&lt;=2,"?ACTIVATED",IF(J172&lt;&gt;"","?FAMILIAR",IF(F172="NEW",IF(ISNA(VLOOKUP(E172,#REF!,1,FALSE())),"?TYPE_IDENTIFIABLE","?REFERENTIAL"),"_")))))</f>
        <v/>
      </c>
      <c r="H172" s="23" t="str">
        <f t="shared" ca="1" si="13"/>
        <v/>
      </c>
      <c r="I172" s="24" t="str">
        <f>IF(OR(E172="",E172="!!!",F172="NEW"),"",INDEX(B$2:B171,-1+SUMPRODUCT(MAX(ROW(E$2:E171)*(E172=E$2:E171)))))</f>
        <v/>
      </c>
      <c r="J172" s="24" t="str">
        <f ca="1">IF(OR(E172="",E172="!!!",F172="NEW"),"",COUNTBLANK(OFFSET(A$1,,,SUMPRODUCT(MAX(ROW(E$2:E172)*(E172=E$2:E172)))))-COUNTBLANK(OFFSET(A$1,,,SUMPRODUCT(MAX(ROW(E$1:E171)*(E2=E$1:E171))))))</f>
        <v/>
      </c>
      <c r="K172" s="24" t="str">
        <f>IF(OR(E172="",E172="!!!",F172="NEW"),"",INDEX(J$1:J171,SUMPRODUCT(MAX(ROW(E$1:E171)*(E172=E$1:E171)))))</f>
        <v/>
      </c>
      <c r="L172" s="25"/>
    </row>
    <row r="173" spans="1:12" x14ac:dyDescent="0.3">
      <c r="A173" t="s">
        <v>327</v>
      </c>
      <c r="E173" s="20" t="str">
        <f t="shared" si="12"/>
        <v/>
      </c>
      <c r="F173" s="21" t="str">
        <f>IF(OR(E173="",E173="!!!"),"",IF(NOT(ISNA(VLOOKUP(E173,E$1:E172,1,FALSE()))),"OLD",IF(AND(E173&lt;&gt;"",E173&lt;&gt;"!!!"),"NEW","")))</f>
        <v/>
      </c>
      <c r="G173" s="22" t="str">
        <f>IF(OR(E173="",E173="!!!"),"",IF(OR(J173=0,AND(J173=1,K173=1),AND(J173=1,I173="SBJ"),AND(J173=1,I173=0)),"?IN_FOCUS",IF(J173&lt;=2,"?ACTIVATED",IF(J173&lt;&gt;"","?FAMILIAR",IF(F173="NEW",IF(ISNA(VLOOKUP(E173,#REF!,1,FALSE())),"?TYPE_IDENTIFIABLE","?REFERENTIAL"),"_")))))</f>
        <v/>
      </c>
      <c r="H173" s="23" t="str">
        <f t="shared" ca="1" si="13"/>
        <v/>
      </c>
      <c r="I173" s="24" t="str">
        <f>IF(OR(E173="",E173="!!!",F173="NEW"),"",INDEX(B$2:B172,-1+SUMPRODUCT(MAX(ROW(E$2:E172)*(E173=E$2:E172)))))</f>
        <v/>
      </c>
      <c r="J173" s="24" t="str">
        <f ca="1">IF(OR(E173="",E173="!!!",F173="NEW"),"",COUNTBLANK(OFFSET(A$1,,,SUMPRODUCT(MAX(ROW(E$2:E173)*(E173=E$2:E173)))))-COUNTBLANK(OFFSET(A$1,,,SUMPRODUCT(MAX(ROW(E$1:E172)*(E2=E$1:E172))))))</f>
        <v/>
      </c>
      <c r="K173" s="24" t="str">
        <f>IF(OR(E173="",E173="!!!",F173="NEW"),"",INDEX(J$1:J172,SUMPRODUCT(MAX(ROW(E$1:E172)*(E173=E$1:E172)))))</f>
        <v/>
      </c>
      <c r="L173" s="25"/>
    </row>
    <row r="174" spans="1:12" x14ac:dyDescent="0.3">
      <c r="A174" t="s">
        <v>220</v>
      </c>
      <c r="E174" s="20" t="str">
        <f t="shared" si="12"/>
        <v/>
      </c>
      <c r="F174" s="21" t="str">
        <f>IF(OR(E174="",E174="!!!"),"",IF(NOT(ISNA(VLOOKUP(E174,E$1:E173,1,FALSE()))),"OLD",IF(AND(E174&lt;&gt;"",E174&lt;&gt;"!!!"),"NEW","")))</f>
        <v/>
      </c>
      <c r="G174" s="22" t="str">
        <f>IF(OR(E174="",E174="!!!"),"",IF(OR(J174=0,AND(J174=1,K174=1),AND(J174=1,I174="SBJ"),AND(J174=1,I174=0)),"?IN_FOCUS",IF(J174&lt;=2,"?ACTIVATED",IF(J174&lt;&gt;"","?FAMILIAR",IF(F174="NEW",IF(ISNA(VLOOKUP(E174,#REF!,1,FALSE())),"?TYPE_IDENTIFIABLE","?REFERENTIAL"),"_")))))</f>
        <v/>
      </c>
      <c r="H174" s="23" t="str">
        <f t="shared" ca="1" si="13"/>
        <v/>
      </c>
      <c r="I174" s="24" t="str">
        <f>IF(OR(E174="",E174="!!!",F174="NEW"),"",INDEX(B$2:B173,-1+SUMPRODUCT(MAX(ROW(E$2:E173)*(E174=E$2:E173)))))</f>
        <v/>
      </c>
      <c r="J174" s="24" t="str">
        <f ca="1">IF(OR(E174="",E174="!!!",F174="NEW"),"",COUNTBLANK(OFFSET(A$1,,,SUMPRODUCT(MAX(ROW(E$2:E174)*(E174=E$2:E174)))))-COUNTBLANK(OFFSET(A$1,,,SUMPRODUCT(MAX(ROW(E$1:E173)*(E2=E$1:E173))))))</f>
        <v/>
      </c>
      <c r="K174" s="24" t="str">
        <f>IF(OR(E174="",E174="!!!",F174="NEW"),"",INDEX(J$1:J173,SUMPRODUCT(MAX(ROW(E$1:E173)*(E174=E$1:E173)))))</f>
        <v/>
      </c>
      <c r="L174" s="25"/>
    </row>
    <row r="175" spans="1:12" x14ac:dyDescent="0.3">
      <c r="A175" t="s">
        <v>280</v>
      </c>
      <c r="B175" s="26" t="s">
        <v>328</v>
      </c>
      <c r="C175" s="26" t="s">
        <v>222</v>
      </c>
      <c r="D175" s="26" t="s">
        <v>215</v>
      </c>
      <c r="E175" s="20" t="s">
        <v>676</v>
      </c>
      <c r="F175" s="21" t="str">
        <f>IF(OR(E175="",E175="!!!"),"",IF(NOT(ISNA(VLOOKUP(E175,E$1:E174,1,FALSE()))),"OLD",IF(AND(E175&lt;&gt;"",E175&lt;&gt;"!!!"),"NEW","")))</f>
        <v>OLD</v>
      </c>
      <c r="G175" s="22" t="s">
        <v>665</v>
      </c>
      <c r="H175" s="23" t="str">
        <f t="shared" ca="1" si="13"/>
        <v/>
      </c>
      <c r="I175" s="24" t="str">
        <f>IF(OR(E175="",E175="!!!",F175="NEW"),"",INDEX(B$2:B174,-1+SUMPRODUCT(MAX(ROW(E$2:E174)*(E175=E$2:E174)))))</f>
        <v>other_7</v>
      </c>
      <c r="J175" s="24">
        <f ca="1">IF(OR(E175="",E175="!!!",F175="NEW"),"",COUNTBLANK(OFFSET(A$1,,,SUMPRODUCT(MAX(ROW(E$2:E175)*(E175=E$2:E175)))))-COUNTBLANK(OFFSET(A$1,,,SUMPRODUCT(MAX(ROW(E$1:E174)*(E2=E$1:E174))))))</f>
        <v>0</v>
      </c>
      <c r="K175" s="24">
        <f ca="1">IF(OR(E175="",E175="!!!",F175="NEW"),"",INDEX(J$1:J174,SUMPRODUCT(MAX(ROW(E$1:E174)*(E175=E$1:E174)))))</f>
        <v>0</v>
      </c>
      <c r="L175" s="25"/>
    </row>
    <row r="176" spans="1:12" x14ac:dyDescent="0.3">
      <c r="A176" t="s">
        <v>323</v>
      </c>
      <c r="E176" s="20" t="str">
        <f t="shared" si="12"/>
        <v/>
      </c>
      <c r="F176" s="21" t="str">
        <f>IF(OR(E176="",E176="!!!"),"",IF(NOT(ISNA(VLOOKUP(E176,E$1:E175,1,FALSE()))),"OLD",IF(AND(E176&lt;&gt;"",E176&lt;&gt;"!!!"),"NEW","")))</f>
        <v/>
      </c>
      <c r="G176" s="22" t="str">
        <f>IF(OR(E176="",E176="!!!"),"",IF(OR(J176=0,AND(J176=1,K176=1),AND(J176=1,I176="SBJ"),AND(J176=1,I176=0)),"?IN_FOCUS",IF(J176&lt;=2,"?ACTIVATED",IF(J176&lt;&gt;"","?FAMILIAR",IF(F176="NEW",IF(ISNA(VLOOKUP(E176,#REF!,1,FALSE())),"?TYPE_IDENTIFIABLE","?REFERENTIAL"),"_")))))</f>
        <v/>
      </c>
      <c r="H176" s="23" t="str">
        <f t="shared" ca="1" si="13"/>
        <v/>
      </c>
      <c r="I176" s="24" t="str">
        <f>IF(OR(E176="",E176="!!!",F176="NEW"),"",INDEX(B$2:B175,-1+SUMPRODUCT(MAX(ROW(E$2:E175)*(E176=E$2:E175)))))</f>
        <v/>
      </c>
      <c r="J176" s="24" t="str">
        <f ca="1">IF(OR(E176="",E176="!!!",F176="NEW"),"",COUNTBLANK(OFFSET(A$1,,,SUMPRODUCT(MAX(ROW(E$2:E176)*(E176=E$2:E176)))))-COUNTBLANK(OFFSET(A$1,,,SUMPRODUCT(MAX(ROW(E$1:E175)*(E2=E$1:E175))))))</f>
        <v/>
      </c>
      <c r="K176" s="24" t="str">
        <f>IF(OR(E176="",E176="!!!",F176="NEW"),"",INDEX(J$1:J175,SUMPRODUCT(MAX(ROW(E$1:E175)*(E176=E$1:E175)))))</f>
        <v/>
      </c>
      <c r="L176" s="25"/>
    </row>
    <row r="177" spans="1:12" x14ac:dyDescent="0.3">
      <c r="A177" t="s">
        <v>87</v>
      </c>
      <c r="E177" s="20" t="str">
        <f t="shared" si="12"/>
        <v/>
      </c>
      <c r="F177" s="21" t="str">
        <f>IF(OR(E177="",E177="!!!"),"",IF(NOT(ISNA(VLOOKUP(E177,E$1:E176,1,FALSE()))),"OLD",IF(AND(E177&lt;&gt;"",E177&lt;&gt;"!!!"),"NEW","")))</f>
        <v/>
      </c>
      <c r="G177" s="22" t="str">
        <f>IF(OR(E177="",E177="!!!"),"",IF(OR(J177=0,AND(J177=1,K177=1),AND(J177=1,I177="SBJ"),AND(J177=1,I177=0)),"?IN_FOCUS",IF(J177&lt;=2,"?ACTIVATED",IF(J177&lt;&gt;"","?FAMILIAR",IF(F177="NEW",IF(ISNA(VLOOKUP(E177,#REF!,1,FALSE())),"?TYPE_IDENTIFIABLE","?REFERENTIAL"),"_")))))</f>
        <v/>
      </c>
      <c r="H177" s="23" t="str">
        <f t="shared" ca="1" si="13"/>
        <v/>
      </c>
      <c r="I177" s="24" t="str">
        <f>IF(OR(E177="",E177="!!!",F177="NEW"),"",INDEX(B$2:B176,-1+SUMPRODUCT(MAX(ROW(E$2:E176)*(E177=E$2:E176)))))</f>
        <v/>
      </c>
      <c r="J177" s="24" t="str">
        <f ca="1">IF(OR(E177="",E177="!!!",F177="NEW"),"",COUNTBLANK(OFFSET(A$1,,,SUMPRODUCT(MAX(ROW(E$2:E177)*(E177=E$2:E177)))))-COUNTBLANK(OFFSET(A$1,,,SUMPRODUCT(MAX(ROW(E$1:E176)*(E2=E$1:E176))))))</f>
        <v/>
      </c>
      <c r="K177" s="24" t="str">
        <f>IF(OR(E177="",E177="!!!",F177="NEW"),"",INDEX(J$1:J176,SUMPRODUCT(MAX(ROW(E$1:E176)*(E177=E$1:E176)))))</f>
        <v/>
      </c>
      <c r="L177" s="25"/>
    </row>
    <row r="178" spans="1:12" x14ac:dyDescent="0.3">
      <c r="A178" t="s">
        <v>329</v>
      </c>
      <c r="E178" s="20" t="str">
        <f t="shared" si="12"/>
        <v/>
      </c>
      <c r="F178" s="21" t="str">
        <f>IF(OR(E178="",E178="!!!"),"",IF(NOT(ISNA(VLOOKUP(E178,E$1:E177,1,FALSE()))),"OLD",IF(AND(E178&lt;&gt;"",E178&lt;&gt;"!!!"),"NEW","")))</f>
        <v/>
      </c>
      <c r="G178" s="22" t="str">
        <f>IF(OR(E178="",E178="!!!"),"",IF(OR(J178=0,AND(J178=1,K178=1),AND(J178=1,I178="SBJ"),AND(J178=1,I178=0)),"?IN_FOCUS",IF(J178&lt;=2,"?ACTIVATED",IF(J178&lt;&gt;"","?FAMILIAR",IF(F178="NEW",IF(ISNA(VLOOKUP(E178,#REF!,1,FALSE())),"?TYPE_IDENTIFIABLE","?REFERENTIAL"),"_")))))</f>
        <v/>
      </c>
      <c r="H178" s="23" t="str">
        <f t="shared" ca="1" si="13"/>
        <v/>
      </c>
      <c r="I178" s="24" t="str">
        <f>IF(OR(E178="",E178="!!!",F178="NEW"),"",INDEX(B$2:B177,-1+SUMPRODUCT(MAX(ROW(E$2:E177)*(E178=E$2:E177)))))</f>
        <v/>
      </c>
      <c r="J178" s="24" t="str">
        <f ca="1">IF(OR(E178="",E178="!!!",F178="NEW"),"",COUNTBLANK(OFFSET(A$1,,,SUMPRODUCT(MAX(ROW(E$2:E178)*(E178=E$2:E178)))))-COUNTBLANK(OFFSET(A$1,,,SUMPRODUCT(MAX(ROW(E$1:E177)*(E2=E$1:E177))))))</f>
        <v/>
      </c>
      <c r="K178" s="24" t="str">
        <f>IF(OR(E178="",E178="!!!",F178="NEW"),"",INDEX(J$1:J177,SUMPRODUCT(MAX(ROW(E$1:E177)*(E178=E$1:E177)))))</f>
        <v/>
      </c>
      <c r="L178" s="25"/>
    </row>
    <row r="179" spans="1:12" x14ac:dyDescent="0.3">
      <c r="A179" t="s">
        <v>251</v>
      </c>
      <c r="E179" s="20" t="str">
        <f t="shared" si="12"/>
        <v/>
      </c>
      <c r="F179" s="21" t="str">
        <f>IF(OR(E179="",E179="!!!"),"",IF(NOT(ISNA(VLOOKUP(E179,E$1:E178,1,FALSE()))),"OLD",IF(AND(E179&lt;&gt;"",E179&lt;&gt;"!!!"),"NEW","")))</f>
        <v/>
      </c>
      <c r="G179" s="22" t="str">
        <f>IF(OR(E179="",E179="!!!"),"",IF(OR(J179=0,AND(J179=1,K179=1),AND(J179=1,I179="SBJ"),AND(J179=1,I179=0)),"?IN_FOCUS",IF(J179&lt;=2,"?ACTIVATED",IF(J179&lt;&gt;"","?FAMILIAR",IF(F179="NEW",IF(ISNA(VLOOKUP(E179,#REF!,1,FALSE())),"?TYPE_IDENTIFIABLE","?REFERENTIAL"),"_")))))</f>
        <v/>
      </c>
      <c r="H179" s="23" t="str">
        <f t="shared" ca="1" si="13"/>
        <v/>
      </c>
      <c r="I179" s="24" t="str">
        <f>IF(OR(E179="",E179="!!!",F179="NEW"),"",INDEX(B$2:B178,-1+SUMPRODUCT(MAX(ROW(E$2:E178)*(E179=E$2:E178)))))</f>
        <v/>
      </c>
      <c r="J179" s="24" t="str">
        <f ca="1">IF(OR(E179="",E179="!!!",F179="NEW"),"",COUNTBLANK(OFFSET(A$1,,,SUMPRODUCT(MAX(ROW(E$2:E179)*(E179=E$2:E179)))))-COUNTBLANK(OFFSET(A$1,,,SUMPRODUCT(MAX(ROW(E$1:E178)*(E2=E$1:E178))))))</f>
        <v/>
      </c>
      <c r="K179" s="24" t="str">
        <f>IF(OR(E179="",E179="!!!",F179="NEW"),"",INDEX(J$1:J178,SUMPRODUCT(MAX(ROW(E$1:E178)*(E179=E$1:E178)))))</f>
        <v/>
      </c>
      <c r="L179" s="25"/>
    </row>
    <row r="180" spans="1:12" x14ac:dyDescent="0.3">
      <c r="A180" t="s">
        <v>220</v>
      </c>
      <c r="E180" s="20" t="str">
        <f t="shared" si="12"/>
        <v/>
      </c>
      <c r="F180" s="21" t="str">
        <f>IF(OR(E180="",E180="!!!"),"",IF(NOT(ISNA(VLOOKUP(E180,E$1:E179,1,FALSE()))),"OLD",IF(AND(E180&lt;&gt;"",E180&lt;&gt;"!!!"),"NEW","")))</f>
        <v/>
      </c>
      <c r="G180" s="22" t="str">
        <f>IF(OR(E180="",E180="!!!"),"",IF(OR(J180=0,AND(J180=1,K180=1),AND(J180=1,I180="SBJ"),AND(J180=1,I180=0)),"?IN_FOCUS",IF(J180&lt;=2,"?ACTIVATED",IF(J180&lt;&gt;"","?FAMILIAR",IF(F180="NEW",IF(ISNA(VLOOKUP(E180,#REF!,1,FALSE())),"?TYPE_IDENTIFIABLE","?REFERENTIAL"),"_")))))</f>
        <v/>
      </c>
      <c r="H180" s="23" t="str">
        <f t="shared" ca="1" si="13"/>
        <v/>
      </c>
      <c r="I180" s="24" t="str">
        <f>IF(OR(E180="",E180="!!!",F180="NEW"),"",INDEX(B$2:B179,-1+SUMPRODUCT(MAX(ROW(E$2:E179)*(E180=E$2:E179)))))</f>
        <v/>
      </c>
      <c r="J180" s="24" t="str">
        <f ca="1">IF(OR(E180="",E180="!!!",F180="NEW"),"",COUNTBLANK(OFFSET(A$1,,,SUMPRODUCT(MAX(ROW(E$2:E180)*(E180=E$2:E180)))))-COUNTBLANK(OFFSET(A$1,,,SUMPRODUCT(MAX(ROW(E$1:E179)*(E2=E$1:E179))))))</f>
        <v/>
      </c>
      <c r="K180" s="24" t="str">
        <f>IF(OR(E180="",E180="!!!",F180="NEW"),"",INDEX(J$1:J179,SUMPRODUCT(MAX(ROW(E$1:E179)*(E180=E$1:E179)))))</f>
        <v/>
      </c>
      <c r="L180" s="25"/>
    </row>
    <row r="181" spans="1:12" x14ac:dyDescent="0.3">
      <c r="A181" t="s">
        <v>232</v>
      </c>
      <c r="E181" s="20" t="str">
        <f t="shared" si="12"/>
        <v/>
      </c>
      <c r="F181" s="21" t="str">
        <f>IF(OR(E181="",E181="!!!"),"",IF(NOT(ISNA(VLOOKUP(E181,E$1:E180,1,FALSE()))),"OLD",IF(AND(E181&lt;&gt;"",E181&lt;&gt;"!!!"),"NEW","")))</f>
        <v/>
      </c>
      <c r="G181" s="22" t="str">
        <f>IF(OR(E181="",E181="!!!"),"",IF(OR(J181=0,AND(J181=1,K181=1),AND(J181=1,I181="SBJ"),AND(J181=1,I181=0)),"?IN_FOCUS",IF(J181&lt;=2,"?ACTIVATED",IF(J181&lt;&gt;"","?FAMILIAR",IF(F181="NEW",IF(ISNA(VLOOKUP(E181,#REF!,1,FALSE())),"?TYPE_IDENTIFIABLE","?REFERENTIAL"),"_")))))</f>
        <v/>
      </c>
      <c r="H181" s="23" t="str">
        <f t="shared" ca="1" si="13"/>
        <v/>
      </c>
      <c r="I181" s="24" t="str">
        <f>IF(OR(E181="",E181="!!!",F181="NEW"),"",INDEX(B$2:B180,-1+SUMPRODUCT(MAX(ROW(E$2:E180)*(E181=E$2:E180)))))</f>
        <v/>
      </c>
      <c r="J181" s="24" t="str">
        <f ca="1">IF(OR(E181="",E181="!!!",F181="NEW"),"",COUNTBLANK(OFFSET(A$1,,,SUMPRODUCT(MAX(ROW(E$2:E181)*(E181=E$2:E181)))))-COUNTBLANK(OFFSET(A$1,,,SUMPRODUCT(MAX(ROW(E$1:E180)*(E2=E$1:E180))))))</f>
        <v/>
      </c>
      <c r="K181" s="24" t="str">
        <f>IF(OR(E181="",E181="!!!",F181="NEW"),"",INDEX(J$1:J180,SUMPRODUCT(MAX(ROW(E$1:E180)*(E181=E$1:E180)))))</f>
        <v/>
      </c>
      <c r="L181" s="25"/>
    </row>
    <row r="182" spans="1:12" x14ac:dyDescent="0.3">
      <c r="A182" t="s">
        <v>330</v>
      </c>
      <c r="B182" s="26" t="s">
        <v>255</v>
      </c>
      <c r="C182" s="26" t="s">
        <v>222</v>
      </c>
      <c r="D182" s="26" t="s">
        <v>215</v>
      </c>
      <c r="E182" s="20"/>
      <c r="F182" s="21" t="s">
        <v>666</v>
      </c>
      <c r="G182" s="22" t="str">
        <f>IF(OR(E182="",E182="!!!"),"",IF(OR(J182=0,AND(J182=1,K182=1),AND(J182=1,I182="SBJ"),AND(J182=1,I182=0)),"?IN_FOCUS",IF(J182&lt;=2,"?ACTIVATED",IF(J182&lt;&gt;"","?FAMILIAR",IF(F182="NEW",IF(ISNA(VLOOKUP(E182,#REF!,1,FALSE())),"?TYPE_IDENTIFIABLE","?REFERENTIAL"),"_")))))</f>
        <v/>
      </c>
      <c r="H182" s="23" t="str">
        <f t="shared" ca="1" si="13"/>
        <v/>
      </c>
      <c r="I182" s="24" t="str">
        <f>IF(OR(E182="",E182="!!!",F182="NEW"),"",INDEX(B$2:B181,-1+SUMPRODUCT(MAX(ROW(E$2:E181)*(E182=E$2:E181)))))</f>
        <v/>
      </c>
      <c r="J182" s="24" t="str">
        <f ca="1">IF(OR(E182="",E182="!!!",F182="NEW"),"",COUNTBLANK(OFFSET(A$1,,,SUMPRODUCT(MAX(ROW(E$2:E182)*(E182=E$2:E182)))))-COUNTBLANK(OFFSET(A$1,,,SUMPRODUCT(MAX(ROW(E$1:E181)*(E2=E$1:E181))))))</f>
        <v/>
      </c>
      <c r="K182" s="24" t="str">
        <f>IF(OR(E182="",E182="!!!",F182="NEW"),"",INDEX(J$1:J181,SUMPRODUCT(MAX(ROW(E$1:E181)*(E182=E$1:E181)))))</f>
        <v/>
      </c>
      <c r="L182" s="25"/>
    </row>
    <row r="183" spans="1:12" x14ac:dyDescent="0.3">
      <c r="A183" t="s">
        <v>249</v>
      </c>
      <c r="B183" s="26" t="s">
        <v>331</v>
      </c>
      <c r="E183" s="20" t="str">
        <f t="shared" si="12"/>
        <v/>
      </c>
      <c r="F183" s="21" t="str">
        <f>IF(OR(E183="",E183="!!!"),"",IF(NOT(ISNA(VLOOKUP(E183,E$1:E182,1,FALSE()))),"OLD",IF(AND(E183&lt;&gt;"",E183&lt;&gt;"!!!"),"NEW","")))</f>
        <v/>
      </c>
      <c r="G183" s="22" t="str">
        <f>IF(OR(E183="",E183="!!!"),"",IF(OR(J183=0,AND(J183=1,K183=1),AND(J183=1,I183="SBJ"),AND(J183=1,I183=0)),"?IN_FOCUS",IF(J183&lt;=2,"?ACTIVATED",IF(J183&lt;&gt;"","?FAMILIAR",IF(F183="NEW",IF(ISNA(VLOOKUP(E183,#REF!,1,FALSE())),"?TYPE_IDENTIFIABLE","?REFERENTIAL"),"_")))))</f>
        <v/>
      </c>
      <c r="H183" s="23" t="str">
        <f t="shared" ca="1" si="13"/>
        <v/>
      </c>
      <c r="I183" s="24" t="str">
        <f>IF(OR(E183="",E183="!!!",F183="NEW"),"",INDEX(B$2:B182,-1+SUMPRODUCT(MAX(ROW(E$2:E182)*(E183=E$2:E182)))))</f>
        <v/>
      </c>
      <c r="J183" s="24" t="str">
        <f ca="1">IF(OR(E183="",E183="!!!",F183="NEW"),"",COUNTBLANK(OFFSET(A$1,,,SUMPRODUCT(MAX(ROW(E$2:E183)*(E183=E$2:E183)))))-COUNTBLANK(OFFSET(A$1,,,SUMPRODUCT(MAX(ROW(E$1:E182)*(E2=E$1:E182))))))</f>
        <v/>
      </c>
      <c r="K183" s="24" t="str">
        <f>IF(OR(E183="",E183="!!!",F183="NEW"),"",INDEX(J$1:J182,SUMPRODUCT(MAX(ROW(E$1:E182)*(E183=E$1:E182)))))</f>
        <v/>
      </c>
      <c r="L183" s="25"/>
    </row>
    <row r="184" spans="1:12" x14ac:dyDescent="0.3">
      <c r="A184" t="s">
        <v>332</v>
      </c>
      <c r="E184" s="20" t="str">
        <f t="shared" si="12"/>
        <v/>
      </c>
      <c r="F184" s="21" t="str">
        <f>IF(OR(E184="",E184="!!!"),"",IF(NOT(ISNA(VLOOKUP(E184,E$1:E183,1,FALSE()))),"OLD",IF(AND(E184&lt;&gt;"",E184&lt;&gt;"!!!"),"NEW","")))</f>
        <v/>
      </c>
      <c r="G184" s="22" t="str">
        <f>IF(OR(E184="",E184="!!!"),"",IF(OR(J184=0,AND(J184=1,K184=1),AND(J184=1,I184="SBJ"),AND(J184=1,I184=0)),"?IN_FOCUS",IF(J184&lt;=2,"?ACTIVATED",IF(J184&lt;&gt;"","?FAMILIAR",IF(F184="NEW",IF(ISNA(VLOOKUP(E184,#REF!,1,FALSE())),"?TYPE_IDENTIFIABLE","?REFERENTIAL"),"_")))))</f>
        <v/>
      </c>
      <c r="H184" s="23" t="str">
        <f t="shared" ca="1" si="13"/>
        <v/>
      </c>
      <c r="I184" s="24" t="str">
        <f>IF(OR(E184="",E184="!!!",F184="NEW"),"",INDEX(B$2:B183,-1+SUMPRODUCT(MAX(ROW(E$2:E183)*(E184=E$2:E183)))))</f>
        <v/>
      </c>
      <c r="J184" s="24" t="str">
        <f ca="1">IF(OR(E184="",E184="!!!",F184="NEW"),"",COUNTBLANK(OFFSET(A$1,,,SUMPRODUCT(MAX(ROW(E$2:E184)*(E184=E$2:E184)))))-COUNTBLANK(OFFSET(A$1,,,SUMPRODUCT(MAX(ROW(E$1:E183)*(E2=E$1:E183))))))</f>
        <v/>
      </c>
      <c r="K184" s="24" t="str">
        <f>IF(OR(E184="",E184="!!!",F184="NEW"),"",INDEX(J$1:J183,SUMPRODUCT(MAX(ROW(E$1:E183)*(E184=E$1:E183)))))</f>
        <v/>
      </c>
      <c r="L184" s="25"/>
    </row>
    <row r="185" spans="1:12" x14ac:dyDescent="0.3">
      <c r="A185" t="s">
        <v>333</v>
      </c>
      <c r="E185" s="20" t="str">
        <f t="shared" si="12"/>
        <v/>
      </c>
      <c r="F185" s="21" t="str">
        <f>IF(OR(E185="",E185="!!!"),"",IF(NOT(ISNA(VLOOKUP(E185,E$1:E184,1,FALSE()))),"OLD",IF(AND(E185&lt;&gt;"",E185&lt;&gt;"!!!"),"NEW","")))</f>
        <v/>
      </c>
      <c r="G185" s="22" t="str">
        <f>IF(OR(E185="",E185="!!!"),"",IF(OR(J185=0,AND(J185=1,K185=1),AND(J185=1,I185="SBJ"),AND(J185=1,I185=0)),"?IN_FOCUS",IF(J185&lt;=2,"?ACTIVATED",IF(J185&lt;&gt;"","?FAMILIAR",IF(F185="NEW",IF(ISNA(VLOOKUP(E185,#REF!,1,FALSE())),"?TYPE_IDENTIFIABLE","?REFERENTIAL"),"_")))))</f>
        <v/>
      </c>
      <c r="H185" s="23" t="str">
        <f t="shared" ca="1" si="13"/>
        <v/>
      </c>
      <c r="I185" s="24" t="str">
        <f>IF(OR(E185="",E185="!!!",F185="NEW"),"",INDEX(B$2:B184,-1+SUMPRODUCT(MAX(ROW(E$2:E184)*(E185=E$2:E184)))))</f>
        <v/>
      </c>
      <c r="J185" s="24" t="str">
        <f ca="1">IF(OR(E185="",E185="!!!",F185="NEW"),"",COUNTBLANK(OFFSET(A$1,,,SUMPRODUCT(MAX(ROW(E$2:E185)*(E185=E$2:E185)))))-COUNTBLANK(OFFSET(A$1,,,SUMPRODUCT(MAX(ROW(E$1:E184)*(E2=E$1:E184))))))</f>
        <v/>
      </c>
      <c r="K185" s="24" t="str">
        <f>IF(OR(E185="",E185="!!!",F185="NEW"),"",INDEX(J$1:J184,SUMPRODUCT(MAX(ROW(E$1:E184)*(E185=E$1:E184)))))</f>
        <v/>
      </c>
      <c r="L185" s="25"/>
    </row>
    <row r="186" spans="1:12" x14ac:dyDescent="0.3">
      <c r="A186" t="s">
        <v>334</v>
      </c>
      <c r="E186" s="20" t="str">
        <f t="shared" si="12"/>
        <v/>
      </c>
      <c r="F186" s="21" t="str">
        <f>IF(OR(E186="",E186="!!!"),"",IF(NOT(ISNA(VLOOKUP(E186,E$1:E185,1,FALSE()))),"OLD",IF(AND(E186&lt;&gt;"",E186&lt;&gt;"!!!"),"NEW","")))</f>
        <v/>
      </c>
      <c r="G186" s="22" t="str">
        <f>IF(OR(E186="",E186="!!!"),"",IF(OR(J186=0,AND(J186=1,K186=1),AND(J186=1,I186="SBJ"),AND(J186=1,I186=0)),"?IN_FOCUS",IF(J186&lt;=2,"?ACTIVATED",IF(J186&lt;&gt;"","?FAMILIAR",IF(F186="NEW",IF(ISNA(VLOOKUP(E186,#REF!,1,FALSE())),"?TYPE_IDENTIFIABLE","?REFERENTIAL"),"_")))))</f>
        <v/>
      </c>
      <c r="H186" s="23" t="str">
        <f t="shared" ca="1" si="13"/>
        <v/>
      </c>
      <c r="I186" s="24" t="str">
        <f>IF(OR(E186="",E186="!!!",F186="NEW"),"",INDEX(B$2:B185,-1+SUMPRODUCT(MAX(ROW(E$2:E185)*(E186=E$2:E185)))))</f>
        <v/>
      </c>
      <c r="J186" s="24" t="str">
        <f ca="1">IF(OR(E186="",E186="!!!",F186="NEW"),"",COUNTBLANK(OFFSET(A$1,,,SUMPRODUCT(MAX(ROW(E$2:E186)*(E186=E$2:E186)))))-COUNTBLANK(OFFSET(A$1,,,SUMPRODUCT(MAX(ROW(E$1:E185)*(E2=E$1:E185))))))</f>
        <v/>
      </c>
      <c r="K186" s="24" t="str">
        <f>IF(OR(E186="",E186="!!!",F186="NEW"),"",INDEX(J$1:J185,SUMPRODUCT(MAX(ROW(E$1:E185)*(E186=E$1:E185)))))</f>
        <v/>
      </c>
      <c r="L186" s="25"/>
    </row>
    <row r="187" spans="1:12" x14ac:dyDescent="0.3">
      <c r="A187" t="s">
        <v>253</v>
      </c>
      <c r="E187" s="20" t="str">
        <f t="shared" si="12"/>
        <v/>
      </c>
      <c r="F187" s="21" t="str">
        <f>IF(OR(E187="",E187="!!!"),"",IF(NOT(ISNA(VLOOKUP(E187,E$1:E186,1,FALSE()))),"OLD",IF(AND(E187&lt;&gt;"",E187&lt;&gt;"!!!"),"NEW","")))</f>
        <v/>
      </c>
      <c r="G187" s="22" t="str">
        <f>IF(OR(E187="",E187="!!!"),"",IF(OR(J187=0,AND(J187=1,K187=1),AND(J187=1,I187="SBJ"),AND(J187=1,I187=0)),"?IN_FOCUS",IF(J187&lt;=2,"?ACTIVATED",IF(J187&lt;&gt;"","?FAMILIAR",IF(F187="NEW",IF(ISNA(VLOOKUP(E187,#REF!,1,FALSE())),"?TYPE_IDENTIFIABLE","?REFERENTIAL"),"_")))))</f>
        <v/>
      </c>
      <c r="H187" s="23" t="str">
        <f t="shared" ca="1" si="13"/>
        <v/>
      </c>
      <c r="I187" s="24" t="str">
        <f>IF(OR(E187="",E187="!!!",F187="NEW"),"",INDEX(B$2:B186,-1+SUMPRODUCT(MAX(ROW(E$2:E186)*(E187=E$2:E186)))))</f>
        <v/>
      </c>
      <c r="J187" s="24" t="str">
        <f ca="1">IF(OR(E187="",E187="!!!",F187="NEW"),"",COUNTBLANK(OFFSET(A$1,,,SUMPRODUCT(MAX(ROW(E$2:E187)*(E187=E$2:E187)))))-COUNTBLANK(OFFSET(A$1,,,SUMPRODUCT(MAX(ROW(E$1:E186)*(E2=E$1:E186))))))</f>
        <v/>
      </c>
      <c r="K187" s="24" t="str">
        <f>IF(OR(E187="",E187="!!!",F187="NEW"),"",INDEX(J$1:J186,SUMPRODUCT(MAX(ROW(E$1:E186)*(E187=E$1:E186)))))</f>
        <v/>
      </c>
      <c r="L187" s="25"/>
    </row>
    <row r="188" spans="1:12" x14ac:dyDescent="0.3">
      <c r="A188" t="s">
        <v>335</v>
      </c>
      <c r="B188" s="26" t="s">
        <v>336</v>
      </c>
      <c r="C188" s="26" t="s">
        <v>337</v>
      </c>
      <c r="D188" s="26" t="s">
        <v>215</v>
      </c>
      <c r="E188" s="20" t="s">
        <v>678</v>
      </c>
      <c r="F188" s="21" t="s">
        <v>677</v>
      </c>
      <c r="G188" s="22" t="s">
        <v>657</v>
      </c>
      <c r="H188" s="23" t="str">
        <f t="shared" ca="1" si="13"/>
        <v/>
      </c>
      <c r="I188" s="24" t="e">
        <f>IF(OR(E188="",E188="!!!",F188="NEW"),"",INDEX(B$2:B187,-1+SUMPRODUCT(MAX(ROW(E$2:E187)*(E188=E$2:E187)))))</f>
        <v>#VALUE!</v>
      </c>
      <c r="J188" s="24">
        <f ca="1">IF(OR(E188="",E188="!!!",F188="NEW"),"",COUNTBLANK(OFFSET(A$1,,,SUMPRODUCT(MAX(ROW(E$2:E188)*(E188=E$2:E188)))))-COUNTBLANK(OFFSET(A$1,,,SUMPRODUCT(MAX(ROW(E$1:E187)*(E2=E$1:E187))))))</f>
        <v>0</v>
      </c>
      <c r="K188" s="24" t="e">
        <f>IF(OR(E188="",E188="!!!",F188="NEW"),"",INDEX(J$1:J187,SUMPRODUCT(MAX(ROW(E$1:E187)*(E188=E$1:E187)))))</f>
        <v>#VALUE!</v>
      </c>
      <c r="L188" s="25"/>
    </row>
    <row r="189" spans="1:12" x14ac:dyDescent="0.3">
      <c r="A189" t="s">
        <v>207</v>
      </c>
      <c r="E189" s="20" t="str">
        <f t="shared" si="12"/>
        <v/>
      </c>
      <c r="F189" s="21" t="str">
        <f>IF(OR(E189="",E189="!!!"),"",IF(NOT(ISNA(VLOOKUP(E189,E$1:E188,1,FALSE()))),"OLD",IF(AND(E189&lt;&gt;"",E189&lt;&gt;"!!!"),"NEW","")))</f>
        <v/>
      </c>
      <c r="G189" s="22" t="str">
        <f>IF(OR(E189="",E189="!!!"),"",IF(OR(J189=0,AND(J189=1,K189=1),AND(J189=1,I189="SBJ"),AND(J189=1,I189=0)),"?IN_FOCUS",IF(J189&lt;=2,"?ACTIVATED",IF(J189&lt;&gt;"","?FAMILIAR",IF(F189="NEW",IF(ISNA(VLOOKUP(E189,#REF!,1,FALSE())),"?TYPE_IDENTIFIABLE","?REFERENTIAL"),"_")))))</f>
        <v/>
      </c>
      <c r="H189" s="23" t="str">
        <f t="shared" ca="1" si="13"/>
        <v/>
      </c>
      <c r="I189" s="24" t="str">
        <f>IF(OR(E189="",E189="!!!",F189="NEW"),"",INDEX(B$2:B188,-1+SUMPRODUCT(MAX(ROW(E$2:E188)*(E189=E$2:E188)))))</f>
        <v/>
      </c>
      <c r="J189" s="24" t="str">
        <f ca="1">IF(OR(E189="",E189="!!!",F189="NEW"),"",COUNTBLANK(OFFSET(A$1,,,SUMPRODUCT(MAX(ROW(E$2:E189)*(E189=E$2:E189)))))-COUNTBLANK(OFFSET(A$1,,,SUMPRODUCT(MAX(ROW(E$1:E188)*(E2=E$1:E188))))))</f>
        <v/>
      </c>
      <c r="K189" s="24" t="str">
        <f>IF(OR(E189="",E189="!!!",F189="NEW"),"",INDEX(J$1:J188,SUMPRODUCT(MAX(ROW(E$1:E188)*(E189=E$1:E188)))))</f>
        <v/>
      </c>
      <c r="L189" s="25"/>
    </row>
    <row r="190" spans="1:12" x14ac:dyDescent="0.3">
      <c r="A190" t="s">
        <v>338</v>
      </c>
      <c r="E190" s="20" t="str">
        <f t="shared" si="12"/>
        <v/>
      </c>
      <c r="F190" s="21" t="str">
        <f>IF(OR(E190="",E190="!!!"),"",IF(NOT(ISNA(VLOOKUP(E190,E$1:E189,1,FALSE()))),"OLD",IF(AND(E190&lt;&gt;"",E190&lt;&gt;"!!!"),"NEW","")))</f>
        <v/>
      </c>
      <c r="G190" s="22" t="str">
        <f>IF(OR(E190="",E190="!!!"),"",IF(OR(J190=0,AND(J190=1,K190=1),AND(J190=1,I190="SBJ"),AND(J190=1,I190=0)),"?IN_FOCUS",IF(J190&lt;=2,"?ACTIVATED",IF(J190&lt;&gt;"","?FAMILIAR",IF(F190="NEW",IF(ISNA(VLOOKUP(E190,#REF!,1,FALSE())),"?TYPE_IDENTIFIABLE","?REFERENTIAL"),"_")))))</f>
        <v/>
      </c>
      <c r="H190" s="23" t="str">
        <f t="shared" ca="1" si="13"/>
        <v/>
      </c>
      <c r="I190" s="24" t="str">
        <f>IF(OR(E190="",E190="!!!",F190="NEW"),"",INDEX(B$2:B189,-1+SUMPRODUCT(MAX(ROW(E$2:E189)*(E190=E$2:E189)))))</f>
        <v/>
      </c>
      <c r="J190" s="24" t="str">
        <f ca="1">IF(OR(E190="",E190="!!!",F190="NEW"),"",COUNTBLANK(OFFSET(A$1,,,SUMPRODUCT(MAX(ROW(E$2:E190)*(E190=E$2:E190)))))-COUNTBLANK(OFFSET(A$1,,,SUMPRODUCT(MAX(ROW(E$1:E189)*(E2=E$1:E189))))))</f>
        <v/>
      </c>
      <c r="K190" s="24" t="str">
        <f>IF(OR(E190="",E190="!!!",F190="NEW"),"",INDEX(J$1:J189,SUMPRODUCT(MAX(ROW(E$1:E189)*(E190=E$1:E189)))))</f>
        <v/>
      </c>
      <c r="L190" s="25"/>
    </row>
    <row r="191" spans="1:12" x14ac:dyDescent="0.3">
      <c r="A191" t="s">
        <v>339</v>
      </c>
      <c r="E191" s="20" t="str">
        <f t="shared" si="12"/>
        <v/>
      </c>
      <c r="F191" s="21" t="str">
        <f>IF(OR(E191="",E191="!!!"),"",IF(NOT(ISNA(VLOOKUP(E191,E$1:E190,1,FALSE()))),"OLD",IF(AND(E191&lt;&gt;"",E191&lt;&gt;"!!!"),"NEW","")))</f>
        <v/>
      </c>
      <c r="G191" s="22" t="str">
        <f>IF(OR(E191="",E191="!!!"),"",IF(OR(J191=0,AND(J191=1,K191=1),AND(J191=1,I191="SBJ"),AND(J191=1,I191=0)),"?IN_FOCUS",IF(J191&lt;=2,"?ACTIVATED",IF(J191&lt;&gt;"","?FAMILIAR",IF(F191="NEW",IF(ISNA(VLOOKUP(E191,#REF!,1,FALSE())),"?TYPE_IDENTIFIABLE","?REFERENTIAL"),"_")))))</f>
        <v/>
      </c>
      <c r="H191" s="23" t="str">
        <f t="shared" ca="1" si="13"/>
        <v/>
      </c>
      <c r="I191" s="24" t="str">
        <f>IF(OR(E191="",E191="!!!",F191="NEW"),"",INDEX(B$2:B190,-1+SUMPRODUCT(MAX(ROW(E$2:E190)*(E191=E$2:E190)))))</f>
        <v/>
      </c>
      <c r="J191" s="24" t="str">
        <f ca="1">IF(OR(E191="",E191="!!!",F191="NEW"),"",COUNTBLANK(OFFSET(A$1,,,SUMPRODUCT(MAX(ROW(E$2:E191)*(E191=E$2:E191)))))-COUNTBLANK(OFFSET(A$1,,,SUMPRODUCT(MAX(ROW(E$1:E190)*(E2=E$1:E190))))))</f>
        <v/>
      </c>
      <c r="K191" s="24" t="str">
        <f>IF(OR(E191="",E191="!!!",F191="NEW"),"",INDEX(J$1:J190,SUMPRODUCT(MAX(ROW(E$1:E190)*(E191=E$1:E190)))))</f>
        <v/>
      </c>
      <c r="L191" s="25"/>
    </row>
    <row r="192" spans="1:12" x14ac:dyDescent="0.3">
      <c r="A192" t="s">
        <v>188</v>
      </c>
      <c r="B192" s="26" t="s">
        <v>229</v>
      </c>
      <c r="C192" s="26" t="s">
        <v>226</v>
      </c>
      <c r="E192" s="20" t="s">
        <v>188</v>
      </c>
      <c r="F192" s="21" t="str">
        <f>IF(OR(E192="",E192="!!!"),"",IF(NOT(ISNA(VLOOKUP(E192,E$1:E191,1,FALSE()))),"OLD",IF(AND(E192&lt;&gt;"",E192&lt;&gt;"!!!"),"NEW","")))</f>
        <v>OLD</v>
      </c>
      <c r="G192" s="22" t="s">
        <v>668</v>
      </c>
      <c r="H192" s="23" t="str">
        <f t="shared" ca="1" si="13"/>
        <v/>
      </c>
      <c r="I192" s="24" t="str">
        <f>IF(OR(E192="",E192="!!!",F192="NEW"),"",INDEX(B$2:B191,-1+SUMPRODUCT(MAX(ROW(E$2:E191)*(E192=E$2:E191)))))</f>
        <v>OBJ_2</v>
      </c>
      <c r="J192" s="24">
        <f ca="1">IF(OR(E192="",E192="!!!",F192="NEW"),"",COUNTBLANK(OFFSET(A$1,,,SUMPRODUCT(MAX(ROW(E$2:E192)*(E192=E$2:E192)))))-COUNTBLANK(OFFSET(A$1,,,SUMPRODUCT(MAX(ROW(E$1:E191)*(E2=E$1:E191))))))</f>
        <v>0</v>
      </c>
      <c r="K192" s="24" t="str">
        <f ca="1">IF(OR(E192="",E192="!!!",F192="NEW"),"",INDEX(J$1:J191,SUMPRODUCT(MAX(ROW(E$1:E191)*(E192=E$1:E191)))))</f>
        <v/>
      </c>
      <c r="L192" s="25"/>
    </row>
    <row r="193" spans="1:12" x14ac:dyDescent="0.3">
      <c r="A193" t="s">
        <v>340</v>
      </c>
      <c r="E193" s="20" t="str">
        <f t="shared" ref="E193:E217" si="14">IF(D193="?OLD","!!!","")</f>
        <v/>
      </c>
      <c r="F193" s="21" t="str">
        <f>IF(OR(E193="",E193="!!!"),"",IF(NOT(ISNA(VLOOKUP(E193,E$1:E192,1,FALSE()))),"OLD",IF(AND(E193&lt;&gt;"",E193&lt;&gt;"!!!"),"NEW","")))</f>
        <v/>
      </c>
      <c r="G193" s="22" t="str">
        <f>IF(OR(E193="",E193="!!!"),"",IF(OR(J193=0,AND(J193=1,K193=1),AND(J193=1,I193="SBJ"),AND(J193=1,I193=0)),"?IN_FOCUS",IF(J193&lt;=2,"?ACTIVATED",IF(J193&lt;&gt;"","?FAMILIAR",IF(F193="NEW",IF(ISNA(VLOOKUP(E193,#REF!,1,FALSE())),"?TYPE_IDENTIFIABLE","?REFERENTIAL"),"_")))))</f>
        <v/>
      </c>
      <c r="H193" s="23" t="str">
        <f t="shared" ref="H193:H217" ca="1" si="15">IF(J193&lt;&gt;1,"",IF(I193="SBJ","CB","?"))</f>
        <v/>
      </c>
      <c r="I193" s="24" t="str">
        <f>IF(OR(E193="",E193="!!!",F193="NEW"),"",INDEX(B$2:B192,-1+SUMPRODUCT(MAX(ROW(E$2:E192)*(E193=E$2:E192)))))</f>
        <v/>
      </c>
      <c r="J193" s="24" t="str">
        <f ca="1">IF(OR(E193="",E193="!!!",F193="NEW"),"",COUNTBLANK(OFFSET(A$1,,,SUMPRODUCT(MAX(ROW(E$2:E193)*(E193=E$2:E193)))))-COUNTBLANK(OFFSET(A$1,,,SUMPRODUCT(MAX(ROW(E$1:E192)*(E2=E$1:E192))))))</f>
        <v/>
      </c>
      <c r="K193" s="24" t="str">
        <f>IF(OR(E193="",E193="!!!",F193="NEW"),"",INDEX(J$1:J192,SUMPRODUCT(MAX(ROW(E$1:E192)*(E193=E$1:E192)))))</f>
        <v/>
      </c>
      <c r="L193" s="25"/>
    </row>
    <row r="194" spans="1:12" x14ac:dyDescent="0.3">
      <c r="A194" t="s">
        <v>341</v>
      </c>
      <c r="B194" s="26" t="s">
        <v>233</v>
      </c>
      <c r="C194" s="26" t="s">
        <v>226</v>
      </c>
      <c r="E194" s="20" t="str">
        <f t="shared" si="14"/>
        <v/>
      </c>
      <c r="F194" s="21" t="str">
        <f>IF(OR(E194="",E194="!!!"),"",IF(NOT(ISNA(VLOOKUP(E194,E$1:E193,1,FALSE()))),"OLD",IF(AND(E194&lt;&gt;"",E194&lt;&gt;"!!!"),"NEW","")))</f>
        <v/>
      </c>
      <c r="G194" s="22" t="str">
        <f>IF(OR(E194="",E194="!!!"),"",IF(OR(J194=0,AND(J194=1,K194=1),AND(J194=1,I194="SBJ"),AND(J194=1,I194=0)),"?IN_FOCUS",IF(J194&lt;=2,"?ACTIVATED",IF(J194&lt;&gt;"","?FAMILIAR",IF(F194="NEW",IF(ISNA(VLOOKUP(E194,#REF!,1,FALSE())),"?TYPE_IDENTIFIABLE","?REFERENTIAL"),"_")))))</f>
        <v/>
      </c>
      <c r="H194" s="23" t="str">
        <f t="shared" ca="1" si="15"/>
        <v/>
      </c>
      <c r="I194" s="24" t="str">
        <f>IF(OR(E194="",E194="!!!",F194="NEW"),"",INDEX(B$2:B193,-1+SUMPRODUCT(MAX(ROW(E$2:E193)*(E194=E$2:E193)))))</f>
        <v/>
      </c>
      <c r="J194" s="24" t="str">
        <f ca="1">IF(OR(E194="",E194="!!!",F194="NEW"),"",COUNTBLANK(OFFSET(A$1,,,SUMPRODUCT(MAX(ROW(E$2:E194)*(E194=E$2:E194)))))-COUNTBLANK(OFFSET(A$1,,,SUMPRODUCT(MAX(ROW(E$1:E193)*(E2=E$1:E193))))))</f>
        <v/>
      </c>
      <c r="K194" s="24" t="str">
        <f>IF(OR(E194="",E194="!!!",F194="NEW"),"",INDEX(J$1:J193,SUMPRODUCT(MAX(ROW(E$1:E193)*(E194=E$1:E193)))))</f>
        <v/>
      </c>
      <c r="L194" s="25"/>
    </row>
    <row r="195" spans="1:12" x14ac:dyDescent="0.3">
      <c r="A195" t="s">
        <v>249</v>
      </c>
      <c r="E195" s="20" t="str">
        <f t="shared" si="14"/>
        <v/>
      </c>
      <c r="F195" s="21" t="str">
        <f>IF(OR(E195="",E195="!!!"),"",IF(NOT(ISNA(VLOOKUP(E195,E$1:E194,1,FALSE()))),"OLD",IF(AND(E195&lt;&gt;"",E195&lt;&gt;"!!!"),"NEW","")))</f>
        <v/>
      </c>
      <c r="G195" s="22" t="str">
        <f>IF(OR(E195="",E195="!!!"),"",IF(OR(J195=0,AND(J195=1,K195=1),AND(J195=1,I195="SBJ"),AND(J195=1,I195=0)),"?IN_FOCUS",IF(J195&lt;=2,"?ACTIVATED",IF(J195&lt;&gt;"","?FAMILIAR",IF(F195="NEW",IF(ISNA(VLOOKUP(E195,#REF!,1,FALSE())),"?TYPE_IDENTIFIABLE","?REFERENTIAL"),"_")))))</f>
        <v/>
      </c>
      <c r="H195" s="23" t="str">
        <f t="shared" ca="1" si="15"/>
        <v/>
      </c>
      <c r="I195" s="24" t="str">
        <f>IF(OR(E195="",E195="!!!",F195="NEW"),"",INDEX(B$2:B194,-1+SUMPRODUCT(MAX(ROW(E$2:E194)*(E195=E$2:E194)))))</f>
        <v/>
      </c>
      <c r="J195" s="24" t="str">
        <f ca="1">IF(OR(E195="",E195="!!!",F195="NEW"),"",COUNTBLANK(OFFSET(A$1,,,SUMPRODUCT(MAX(ROW(E$2:E195)*(E195=E$2:E195)))))-COUNTBLANK(OFFSET(A$1,,,SUMPRODUCT(MAX(ROW(E$1:E194)*(E2=E$1:E194))))))</f>
        <v/>
      </c>
      <c r="K195" s="24" t="str">
        <f>IF(OR(E195="",E195="!!!",F195="NEW"),"",INDEX(J$1:J194,SUMPRODUCT(MAX(ROW(E$1:E194)*(E195=E$1:E194)))))</f>
        <v/>
      </c>
      <c r="L195" s="25"/>
    </row>
    <row r="196" spans="1:12" x14ac:dyDescent="0.3">
      <c r="A196" t="s">
        <v>330</v>
      </c>
      <c r="B196" s="26" t="s">
        <v>233</v>
      </c>
      <c r="C196" s="26" t="s">
        <v>337</v>
      </c>
      <c r="D196" s="26" t="s">
        <v>215</v>
      </c>
      <c r="E196" s="20"/>
      <c r="F196" s="21" t="s">
        <v>666</v>
      </c>
      <c r="G196" s="22" t="str">
        <f>IF(OR(E196="",E196="!!!"),"",IF(OR(J196=0,AND(J196=1,K196=1),AND(J196=1,I196="SBJ"),AND(J196=1,I196=0)),"?IN_FOCUS",IF(J196&lt;=2,"?ACTIVATED",IF(J196&lt;&gt;"","?FAMILIAR",IF(F196="NEW",IF(ISNA(VLOOKUP(E196,#REF!,1,FALSE())),"?TYPE_IDENTIFIABLE","?REFERENTIAL"),"_")))))</f>
        <v/>
      </c>
      <c r="H196" s="23" t="str">
        <f t="shared" ca="1" si="15"/>
        <v/>
      </c>
      <c r="I196" s="24" t="str">
        <f>IF(OR(E196="",E196="!!!",F196="NEW"),"",INDEX(B$2:B195,-1+SUMPRODUCT(MAX(ROW(E$2:E195)*(E196=E$2:E195)))))</f>
        <v/>
      </c>
      <c r="J196" s="24" t="str">
        <f ca="1">IF(OR(E196="",E196="!!!",F196="NEW"),"",COUNTBLANK(OFFSET(A$1,,,SUMPRODUCT(MAX(ROW(E$2:E196)*(E196=E$2:E196)))))-COUNTBLANK(OFFSET(A$1,,,SUMPRODUCT(MAX(ROW(E$1:E195)*(E2=E$1:E195))))))</f>
        <v/>
      </c>
      <c r="K196" s="24" t="str">
        <f>IF(OR(E196="",E196="!!!",F196="NEW"),"",INDEX(J$1:J195,SUMPRODUCT(MAX(ROW(E$1:E195)*(E196=E$1:E195)))))</f>
        <v/>
      </c>
      <c r="L196" s="25"/>
    </row>
    <row r="197" spans="1:12" x14ac:dyDescent="0.3">
      <c r="A197" t="s">
        <v>207</v>
      </c>
      <c r="E197" s="20" t="str">
        <f t="shared" si="14"/>
        <v/>
      </c>
      <c r="F197" s="21" t="str">
        <f>IF(OR(E197="",E197="!!!"),"",IF(NOT(ISNA(VLOOKUP(E197,E$1:E196,1,FALSE()))),"OLD",IF(AND(E197&lt;&gt;"",E197&lt;&gt;"!!!"),"NEW","")))</f>
        <v/>
      </c>
      <c r="G197" s="22" t="str">
        <f>IF(OR(E197="",E197="!!!"),"",IF(OR(J197=0,AND(J197=1,K197=1),AND(J197=1,I197="SBJ"),AND(J197=1,I197=0)),"?IN_FOCUS",IF(J197&lt;=2,"?ACTIVATED",IF(J197&lt;&gt;"","?FAMILIAR",IF(F197="NEW",IF(ISNA(VLOOKUP(E197,#REF!,1,FALSE())),"?TYPE_IDENTIFIABLE","?REFERENTIAL"),"_")))))</f>
        <v/>
      </c>
      <c r="H197" s="23" t="str">
        <f t="shared" ca="1" si="15"/>
        <v/>
      </c>
      <c r="I197" s="24" t="str">
        <f>IF(OR(E197="",E197="!!!",F197="NEW"),"",INDEX(B$2:B196,-1+SUMPRODUCT(MAX(ROW(E$2:E196)*(E197=E$2:E196)))))</f>
        <v/>
      </c>
      <c r="J197" s="24" t="str">
        <f ca="1">IF(OR(E197="",E197="!!!",F197="NEW"),"",COUNTBLANK(OFFSET(A$1,,,SUMPRODUCT(MAX(ROW(E$2:E197)*(E197=E$2:E197)))))-COUNTBLANK(OFFSET(A$1,,,SUMPRODUCT(MAX(ROW(E$1:E196)*(E2=E$1:E196))))))</f>
        <v/>
      </c>
      <c r="K197" s="24" t="str">
        <f>IF(OR(E197="",E197="!!!",F197="NEW"),"",INDEX(J$1:J196,SUMPRODUCT(MAX(ROW(E$1:E196)*(E197=E$1:E196)))))</f>
        <v/>
      </c>
      <c r="L197" s="25"/>
    </row>
    <row r="198" spans="1:12" x14ac:dyDescent="0.3">
      <c r="A198" t="s">
        <v>287</v>
      </c>
      <c r="E198" s="20" t="str">
        <f t="shared" si="14"/>
        <v/>
      </c>
      <c r="F198" s="21" t="str">
        <f>IF(OR(E198="",E198="!!!"),"",IF(NOT(ISNA(VLOOKUP(E198,E$1:E197,1,FALSE()))),"OLD",IF(AND(E198&lt;&gt;"",E198&lt;&gt;"!!!"),"NEW","")))</f>
        <v/>
      </c>
      <c r="G198" s="22" t="str">
        <f>IF(OR(E198="",E198="!!!"),"",IF(OR(J198=0,AND(J198=1,K198=1),AND(J198=1,I198="SBJ"),AND(J198=1,I198=0)),"?IN_FOCUS",IF(J198&lt;=2,"?ACTIVATED",IF(J198&lt;&gt;"","?FAMILIAR",IF(F198="NEW",IF(ISNA(VLOOKUP(E198,#REF!,1,FALSE())),"?TYPE_IDENTIFIABLE","?REFERENTIAL"),"_")))))</f>
        <v/>
      </c>
      <c r="H198" s="23" t="str">
        <f t="shared" ca="1" si="15"/>
        <v/>
      </c>
      <c r="I198" s="24" t="str">
        <f>IF(OR(E198="",E198="!!!",F198="NEW"),"",INDEX(B$2:B197,-1+SUMPRODUCT(MAX(ROW(E$2:E197)*(E198=E$2:E197)))))</f>
        <v/>
      </c>
      <c r="J198" s="24" t="str">
        <f ca="1">IF(OR(E198="",E198="!!!",F198="NEW"),"",COUNTBLANK(OFFSET(A$1,,,SUMPRODUCT(MAX(ROW(E$2:E198)*(E198=E$2:E198)))))-COUNTBLANK(OFFSET(A$1,,,SUMPRODUCT(MAX(ROW(E$1:E197)*(E2=E$1:E197))))))</f>
        <v/>
      </c>
      <c r="K198" s="24" t="str">
        <f>IF(OR(E198="",E198="!!!",F198="NEW"),"",INDEX(J$1:J197,SUMPRODUCT(MAX(ROW(E$1:E197)*(E198=E$1:E197)))))</f>
        <v/>
      </c>
      <c r="L198" s="25"/>
    </row>
    <row r="199" spans="1:12" x14ac:dyDescent="0.3">
      <c r="A199" t="s">
        <v>342</v>
      </c>
      <c r="E199" s="20" t="str">
        <f t="shared" si="14"/>
        <v/>
      </c>
      <c r="F199" s="21" t="str">
        <f>IF(OR(E199="",E199="!!!"),"",IF(NOT(ISNA(VLOOKUP(E199,E$1:E198,1,FALSE()))),"OLD",IF(AND(E199&lt;&gt;"",E199&lt;&gt;"!!!"),"NEW","")))</f>
        <v/>
      </c>
      <c r="G199" s="22" t="str">
        <f>IF(OR(E199="",E199="!!!"),"",IF(OR(J199=0,AND(J199=1,K199=1),AND(J199=1,I199="SBJ"),AND(J199=1,I199=0)),"?IN_FOCUS",IF(J199&lt;=2,"?ACTIVATED",IF(J199&lt;&gt;"","?FAMILIAR",IF(F199="NEW",IF(ISNA(VLOOKUP(E199,#REF!,1,FALSE())),"?TYPE_IDENTIFIABLE","?REFERENTIAL"),"_")))))</f>
        <v/>
      </c>
      <c r="H199" s="23" t="str">
        <f t="shared" ca="1" si="15"/>
        <v/>
      </c>
      <c r="I199" s="24" t="str">
        <f>IF(OR(E199="",E199="!!!",F199="NEW"),"",INDEX(B$2:B198,-1+SUMPRODUCT(MAX(ROW(E$2:E198)*(E199=E$2:E198)))))</f>
        <v/>
      </c>
      <c r="J199" s="24" t="str">
        <f ca="1">IF(OR(E199="",E199="!!!",F199="NEW"),"",COUNTBLANK(OFFSET(A$1,,,SUMPRODUCT(MAX(ROW(E$2:E199)*(E199=E$2:E199)))))-COUNTBLANK(OFFSET(A$1,,,SUMPRODUCT(MAX(ROW(E$1:E198)*(E2=E$1:E198))))))</f>
        <v/>
      </c>
      <c r="K199" s="24" t="str">
        <f>IF(OR(E199="",E199="!!!",F199="NEW"),"",INDEX(J$1:J198,SUMPRODUCT(MAX(ROW(E$1:E198)*(E199=E$1:E198)))))</f>
        <v/>
      </c>
      <c r="L199" s="25"/>
    </row>
    <row r="200" spans="1:12" x14ac:dyDescent="0.3">
      <c r="A200" t="s">
        <v>217</v>
      </c>
      <c r="E200" s="20" t="str">
        <f t="shared" si="14"/>
        <v/>
      </c>
      <c r="F200" s="21" t="str">
        <f>IF(OR(E200="",E200="!!!"),"",IF(NOT(ISNA(VLOOKUP(E200,E$1:E199,1,FALSE()))),"OLD",IF(AND(E200&lt;&gt;"",E200&lt;&gt;"!!!"),"NEW","")))</f>
        <v/>
      </c>
      <c r="G200" s="22" t="str">
        <f>IF(OR(E200="",E200="!!!"),"",IF(OR(J200=0,AND(J200=1,K200=1),AND(J200=1,I200="SBJ"),AND(J200=1,I200=0)),"?IN_FOCUS",IF(J200&lt;=2,"?ACTIVATED",IF(J200&lt;&gt;"","?FAMILIAR",IF(F200="NEW",IF(ISNA(VLOOKUP(E200,#REF!,1,FALSE())),"?TYPE_IDENTIFIABLE","?REFERENTIAL"),"_")))))</f>
        <v/>
      </c>
      <c r="H200" s="23" t="str">
        <f t="shared" ca="1" si="15"/>
        <v/>
      </c>
      <c r="I200" s="24" t="str">
        <f>IF(OR(E200="",E200="!!!",F200="NEW"),"",INDEX(B$2:B199,-1+SUMPRODUCT(MAX(ROW(E$2:E199)*(E200=E$2:E199)))))</f>
        <v/>
      </c>
      <c r="J200" s="24" t="str">
        <f ca="1">IF(OR(E200="",E200="!!!",F200="NEW"),"",COUNTBLANK(OFFSET(A$1,,,SUMPRODUCT(MAX(ROW(E$2:E200)*(E200=E$2:E200)))))-COUNTBLANK(OFFSET(A$1,,,SUMPRODUCT(MAX(ROW(E$1:E199)*(E2=E$1:E199))))))</f>
        <v/>
      </c>
      <c r="K200" s="24" t="str">
        <f>IF(OR(E200="",E200="!!!",F200="NEW"),"",INDEX(J$1:J199,SUMPRODUCT(MAX(ROW(E$1:E199)*(E200=E$1:E199)))))</f>
        <v/>
      </c>
      <c r="L200" s="25"/>
    </row>
    <row r="201" spans="1:12" x14ac:dyDescent="0.3">
      <c r="A201" t="s">
        <v>343</v>
      </c>
      <c r="E201" s="20" t="str">
        <f t="shared" si="14"/>
        <v/>
      </c>
      <c r="F201" s="21" t="str">
        <f>IF(OR(E201="",E201="!!!"),"",IF(NOT(ISNA(VLOOKUP(E201,E$1:E200,1,FALSE()))),"OLD",IF(AND(E201&lt;&gt;"",E201&lt;&gt;"!!!"),"NEW","")))</f>
        <v/>
      </c>
      <c r="G201" s="22" t="str">
        <f>IF(OR(E201="",E201="!!!"),"",IF(OR(J201=0,AND(J201=1,K201=1),AND(J201=1,I201="SBJ"),AND(J201=1,I201=0)),"?IN_FOCUS",IF(J201&lt;=2,"?ACTIVATED",IF(J201&lt;&gt;"","?FAMILIAR",IF(F201="NEW",IF(ISNA(VLOOKUP(E201,#REF!,1,FALSE())),"?TYPE_IDENTIFIABLE","?REFERENTIAL"),"_")))))</f>
        <v/>
      </c>
      <c r="H201" s="23" t="str">
        <f t="shared" ca="1" si="15"/>
        <v/>
      </c>
      <c r="I201" s="24" t="str">
        <f>IF(OR(E201="",E201="!!!",F201="NEW"),"",INDEX(B$2:B200,-1+SUMPRODUCT(MAX(ROW(E$2:E200)*(E201=E$2:E200)))))</f>
        <v/>
      </c>
      <c r="J201" s="24" t="str">
        <f ca="1">IF(OR(E201="",E201="!!!",F201="NEW"),"",COUNTBLANK(OFFSET(A$1,,,SUMPRODUCT(MAX(ROW(E$2:E201)*(E201=E$2:E201)))))-COUNTBLANK(OFFSET(A$1,,,SUMPRODUCT(MAX(ROW(E$1:E200)*(E2=E$1:E200))))))</f>
        <v/>
      </c>
      <c r="K201" s="24" t="str">
        <f>IF(OR(E201="",E201="!!!",F201="NEW"),"",INDEX(J$1:J200,SUMPRODUCT(MAX(ROW(E$1:E200)*(E201=E$1:E200)))))</f>
        <v/>
      </c>
      <c r="L201" s="25"/>
    </row>
    <row r="202" spans="1:12" x14ac:dyDescent="0.3">
      <c r="A202" t="s">
        <v>16</v>
      </c>
      <c r="E202" s="20" t="str">
        <f t="shared" si="14"/>
        <v/>
      </c>
      <c r="F202" s="21" t="str">
        <f>IF(OR(E202="",E202="!!!"),"",IF(NOT(ISNA(VLOOKUP(E202,E$1:E201,1,FALSE()))),"OLD",IF(AND(E202&lt;&gt;"",E202&lt;&gt;"!!!"),"NEW","")))</f>
        <v/>
      </c>
      <c r="G202" s="22" t="str">
        <f>IF(OR(E202="",E202="!!!"),"",IF(OR(J202=0,AND(J202=1,K202=1),AND(J202=1,I202="SBJ"),AND(J202=1,I202=0)),"?IN_FOCUS",IF(J202&lt;=2,"?ACTIVATED",IF(J202&lt;&gt;"","?FAMILIAR",IF(F202="NEW",IF(ISNA(VLOOKUP(E202,#REF!,1,FALSE())),"?TYPE_IDENTIFIABLE","?REFERENTIAL"),"_")))))</f>
        <v/>
      </c>
      <c r="H202" s="23" t="str">
        <f t="shared" ca="1" si="15"/>
        <v/>
      </c>
      <c r="I202" s="24" t="str">
        <f>IF(OR(E202="",E202="!!!",F202="NEW"),"",INDEX(B$2:B201,-1+SUMPRODUCT(MAX(ROW(E$2:E201)*(E202=E$2:E201)))))</f>
        <v/>
      </c>
      <c r="J202" s="24" t="str">
        <f ca="1">IF(OR(E202="",E202="!!!",F202="NEW"),"",COUNTBLANK(OFFSET(A$1,,,SUMPRODUCT(MAX(ROW(E$2:E202)*(E202=E$2:E202)))))-COUNTBLANK(OFFSET(A$1,,,SUMPRODUCT(MAX(ROW(E$1:E201)*(E2=E$1:E201))))))</f>
        <v/>
      </c>
      <c r="K202" s="24" t="str">
        <f>IF(OR(E202="",E202="!!!",F202="NEW"),"",INDEX(J$1:J201,SUMPRODUCT(MAX(ROW(E$1:E201)*(E202=E$1:E201)))))</f>
        <v/>
      </c>
      <c r="L202" s="25"/>
    </row>
    <row r="203" spans="1:12" x14ac:dyDescent="0.3">
      <c r="A203" t="s">
        <v>344</v>
      </c>
      <c r="E203" s="20" t="str">
        <f t="shared" si="14"/>
        <v/>
      </c>
      <c r="F203" s="21" t="str">
        <f>IF(OR(E203="",E203="!!!"),"",IF(NOT(ISNA(VLOOKUP(E203,E$1:E202,1,FALSE()))),"OLD",IF(AND(E203&lt;&gt;"",E203&lt;&gt;"!!!"),"NEW","")))</f>
        <v/>
      </c>
      <c r="G203" s="22" t="str">
        <f>IF(OR(E203="",E203="!!!"),"",IF(OR(J203=0,AND(J203=1,K203=1),AND(J203=1,I203="SBJ"),AND(J203=1,I203=0)),"?IN_FOCUS",IF(J203&lt;=2,"?ACTIVATED",IF(J203&lt;&gt;"","?FAMILIAR",IF(F203="NEW",IF(ISNA(VLOOKUP(E203,#REF!,1,FALSE())),"?TYPE_IDENTIFIABLE","?REFERENTIAL"),"_")))))</f>
        <v/>
      </c>
      <c r="H203" s="23" t="str">
        <f t="shared" ca="1" si="15"/>
        <v/>
      </c>
      <c r="I203" s="24" t="str">
        <f>IF(OR(E203="",E203="!!!",F203="NEW"),"",INDEX(B$2:B202,-1+SUMPRODUCT(MAX(ROW(E$2:E202)*(E203=E$2:E202)))))</f>
        <v/>
      </c>
      <c r="J203" s="24" t="str">
        <f ca="1">IF(OR(E203="",E203="!!!",F203="NEW"),"",COUNTBLANK(OFFSET(A$1,,,SUMPRODUCT(MAX(ROW(E$2:E203)*(E203=E$2:E203)))))-COUNTBLANK(OFFSET(A$1,,,SUMPRODUCT(MAX(ROW(E$1:E202)*(E2=E$1:E202))))))</f>
        <v/>
      </c>
      <c r="K203" s="24" t="str">
        <f>IF(OR(E203="",E203="!!!",F203="NEW"),"",INDEX(J$1:J202,SUMPRODUCT(MAX(ROW(E$1:E202)*(E203=E$1:E202)))))</f>
        <v/>
      </c>
      <c r="L203" s="25"/>
    </row>
    <row r="204" spans="1:12" x14ac:dyDescent="0.3">
      <c r="A204" t="s">
        <v>265</v>
      </c>
      <c r="B204" s="26" t="s">
        <v>263</v>
      </c>
      <c r="C204" s="26" t="s">
        <v>230</v>
      </c>
      <c r="D204" s="26" t="s">
        <v>215</v>
      </c>
      <c r="E204" s="20" t="s">
        <v>656</v>
      </c>
      <c r="F204" s="21" t="str">
        <f>IF(OR(E204="",E204="!!!"),"",IF(NOT(ISNA(VLOOKUP(E204,E$1:E203,1,FALSE()))),"OLD",IF(AND(E204&lt;&gt;"",E204&lt;&gt;"!!!"),"NEW","")))</f>
        <v>OLD</v>
      </c>
      <c r="G204" s="22" t="str">
        <f ca="1">IF(OR(E204="",E204="!!!"),"",IF(OR(J204=0,AND(J204=1,K204=1),AND(J204=1,I204="SBJ"),AND(J204=1,I204=0)),"?IN_FOCUS",IF(J204&lt;=2,"?ACTIVATED",IF(J204&lt;&gt;"","?FAMILIAR",IF(F204="NEW",IF(ISNA(VLOOKUP(E204,#REF!,1,FALSE())),"?TYPE_IDENTIFIABLE","?REFERENTIAL"),"_")))))</f>
        <v>?IN_FOCUS</v>
      </c>
      <c r="H204" s="23" t="str">
        <f t="shared" ca="1" si="15"/>
        <v/>
      </c>
      <c r="I204" s="24" t="str">
        <f>IF(OR(E204="",E204="!!!",F204="NEW"),"",INDEX(B$2:B203,-1+SUMPRODUCT(MAX(ROW(E$2:E203)*(E204=E$2:E203)))))</f>
        <v>other_2</v>
      </c>
      <c r="J204" s="24">
        <f ca="1">IF(OR(E204="",E204="!!!",F204="NEW"),"",COUNTBLANK(OFFSET(A$1,,,SUMPRODUCT(MAX(ROW(E$2:E204)*(E204=E$2:E204)))))-COUNTBLANK(OFFSET(A$1,,,SUMPRODUCT(MAX(ROW(E$1:E203)*(E2=E$1:E203))))))</f>
        <v>0</v>
      </c>
      <c r="K204" s="24">
        <f ca="1">IF(OR(E204="",E204="!!!",F204="NEW"),"",INDEX(J$1:J203,SUMPRODUCT(MAX(ROW(E$1:E203)*(E204=E$1:E203)))))</f>
        <v>0</v>
      </c>
      <c r="L204" s="25"/>
    </row>
    <row r="205" spans="1:12" x14ac:dyDescent="0.3">
      <c r="A205" t="s">
        <v>345</v>
      </c>
      <c r="E205" s="20" t="str">
        <f t="shared" si="14"/>
        <v/>
      </c>
      <c r="F205" s="21" t="str">
        <f>IF(OR(E205="",E205="!!!"),"",IF(NOT(ISNA(VLOOKUP(E205,E$1:E204,1,FALSE()))),"OLD",IF(AND(E205&lt;&gt;"",E205&lt;&gt;"!!!"),"NEW","")))</f>
        <v/>
      </c>
      <c r="G205" s="22" t="str">
        <f>IF(OR(E205="",E205="!!!"),"",IF(OR(J205=0,AND(J205=1,K205=1),AND(J205=1,I205="SBJ"),AND(J205=1,I205=0)),"?IN_FOCUS",IF(J205&lt;=2,"?ACTIVATED",IF(J205&lt;&gt;"","?FAMILIAR",IF(F205="NEW",IF(ISNA(VLOOKUP(E205,#REF!,1,FALSE())),"?TYPE_IDENTIFIABLE","?REFERENTIAL"),"_")))))</f>
        <v/>
      </c>
      <c r="H205" s="23" t="str">
        <f t="shared" ca="1" si="15"/>
        <v/>
      </c>
      <c r="I205" s="24" t="str">
        <f>IF(OR(E205="",E205="!!!",F205="NEW"),"",INDEX(B$2:B204,-1+SUMPRODUCT(MAX(ROW(E$2:E204)*(E205=E$2:E204)))))</f>
        <v/>
      </c>
      <c r="J205" s="24" t="str">
        <f ca="1">IF(OR(E205="",E205="!!!",F205="NEW"),"",COUNTBLANK(OFFSET(A$1,,,SUMPRODUCT(MAX(ROW(E$2:E205)*(E205=E$2:E205)))))-COUNTBLANK(OFFSET(A$1,,,SUMPRODUCT(MAX(ROW(E$1:E204)*(E2=E$1:E204))))))</f>
        <v/>
      </c>
      <c r="K205" s="24" t="str">
        <f>IF(OR(E205="",E205="!!!",F205="NEW"),"",INDEX(J$1:J204,SUMPRODUCT(MAX(ROW(E$1:E204)*(E205=E$1:E204)))))</f>
        <v/>
      </c>
      <c r="L205" s="25"/>
    </row>
    <row r="206" spans="1:12" x14ac:dyDescent="0.3">
      <c r="A206" t="s">
        <v>346</v>
      </c>
      <c r="E206" s="20" t="str">
        <f t="shared" si="14"/>
        <v/>
      </c>
      <c r="F206" s="21" t="str">
        <f>IF(OR(E206="",E206="!!!"),"",IF(NOT(ISNA(VLOOKUP(E206,E$1:E205,1,FALSE()))),"OLD",IF(AND(E206&lt;&gt;"",E206&lt;&gt;"!!!"),"NEW","")))</f>
        <v/>
      </c>
      <c r="G206" s="22" t="str">
        <f>IF(OR(E206="",E206="!!!"),"",IF(OR(J206=0,AND(J206=1,K206=1),AND(J206=1,I206="SBJ"),AND(J206=1,I206=0)),"?IN_FOCUS",IF(J206&lt;=2,"?ACTIVATED",IF(J206&lt;&gt;"","?FAMILIAR",IF(F206="NEW",IF(ISNA(VLOOKUP(E206,#REF!,1,FALSE())),"?TYPE_IDENTIFIABLE","?REFERENTIAL"),"_")))))</f>
        <v/>
      </c>
      <c r="H206" s="23" t="str">
        <f t="shared" ca="1" si="15"/>
        <v/>
      </c>
      <c r="I206" s="24" t="str">
        <f>IF(OR(E206="",E206="!!!",F206="NEW"),"",INDEX(B$2:B205,-1+SUMPRODUCT(MAX(ROW(E$2:E205)*(E206=E$2:E205)))))</f>
        <v/>
      </c>
      <c r="J206" s="24" t="str">
        <f ca="1">IF(OR(E206="",E206="!!!",F206="NEW"),"",COUNTBLANK(OFFSET(A$1,,,SUMPRODUCT(MAX(ROW(E$2:E206)*(E206=E$2:E206)))))-COUNTBLANK(OFFSET(A$1,,,SUMPRODUCT(MAX(ROW(E$1:E205)*(E2=E$1:E205))))))</f>
        <v/>
      </c>
      <c r="K206" s="24" t="str">
        <f>IF(OR(E206="",E206="!!!",F206="NEW"),"",INDEX(J$1:J205,SUMPRODUCT(MAX(ROW(E$1:E205)*(E206=E$1:E205)))))</f>
        <v/>
      </c>
      <c r="L206" s="25"/>
    </row>
    <row r="207" spans="1:12" x14ac:dyDescent="0.3">
      <c r="A207" t="s">
        <v>220</v>
      </c>
      <c r="E207" s="20" t="str">
        <f t="shared" si="14"/>
        <v/>
      </c>
      <c r="F207" s="21" t="str">
        <f>IF(OR(E207="",E207="!!!"),"",IF(NOT(ISNA(VLOOKUP(E207,E$1:E206,1,FALSE()))),"OLD",IF(AND(E207&lt;&gt;"",E207&lt;&gt;"!!!"),"NEW","")))</f>
        <v/>
      </c>
      <c r="G207" s="22" t="str">
        <f>IF(OR(E207="",E207="!!!"),"",IF(OR(J207=0,AND(J207=1,K207=1),AND(J207=1,I207="SBJ"),AND(J207=1,I207=0)),"?IN_FOCUS",IF(J207&lt;=2,"?ACTIVATED",IF(J207&lt;&gt;"","?FAMILIAR",IF(F207="NEW",IF(ISNA(VLOOKUP(E207,#REF!,1,FALSE())),"?TYPE_IDENTIFIABLE","?REFERENTIAL"),"_")))))</f>
        <v/>
      </c>
      <c r="H207" s="23" t="str">
        <f t="shared" ca="1" si="15"/>
        <v/>
      </c>
      <c r="I207" s="24" t="str">
        <f>IF(OR(E207="",E207="!!!",F207="NEW"),"",INDEX(B$2:B206,-1+SUMPRODUCT(MAX(ROW(E$2:E206)*(E207=E$2:E206)))))</f>
        <v/>
      </c>
      <c r="J207" s="24" t="str">
        <f ca="1">IF(OR(E207="",E207="!!!",F207="NEW"),"",COUNTBLANK(OFFSET(A$1,,,SUMPRODUCT(MAX(ROW(E$2:E207)*(E207=E$2:E207)))))-COUNTBLANK(OFFSET(A$1,,,SUMPRODUCT(MAX(ROW(E$1:E206)*(E2=E$1:E206))))))</f>
        <v/>
      </c>
      <c r="K207" s="24" t="str">
        <f>IF(OR(E207="",E207="!!!",F207="NEW"),"",INDEX(J$1:J206,SUMPRODUCT(MAX(ROW(E$1:E206)*(E207=E$1:E206)))))</f>
        <v/>
      </c>
      <c r="L207" s="25"/>
    </row>
    <row r="208" spans="1:12" x14ac:dyDescent="0.3">
      <c r="A208" t="s">
        <v>347</v>
      </c>
      <c r="B208" s="26" t="s">
        <v>328</v>
      </c>
      <c r="C208" s="26" t="s">
        <v>222</v>
      </c>
      <c r="D208" s="26" t="s">
        <v>215</v>
      </c>
      <c r="E208" s="20"/>
      <c r="F208" s="21" t="s">
        <v>666</v>
      </c>
      <c r="G208" s="22" t="str">
        <f>IF(OR(E208="",E208="!!!"),"",IF(OR(J208=0,AND(J208=1,K208=1),AND(J208=1,I208="SBJ"),AND(J208=1,I208=0)),"?IN_FOCUS",IF(J208&lt;=2,"?ACTIVATED",IF(J208&lt;&gt;"","?FAMILIAR",IF(F208="NEW",IF(ISNA(VLOOKUP(E208,#REF!,1,FALSE())),"?TYPE_IDENTIFIABLE","?REFERENTIAL"),"_")))))</f>
        <v/>
      </c>
      <c r="H208" s="23" t="str">
        <f t="shared" ca="1" si="15"/>
        <v/>
      </c>
      <c r="I208" s="24" t="str">
        <f>IF(OR(E208="",E208="!!!",F208="NEW"),"",INDEX(B$2:B207,-1+SUMPRODUCT(MAX(ROW(E$2:E207)*(E208=E$2:E207)))))</f>
        <v/>
      </c>
      <c r="J208" s="24" t="str">
        <f ca="1">IF(OR(E208="",E208="!!!",F208="NEW"),"",COUNTBLANK(OFFSET(A$1,,,SUMPRODUCT(MAX(ROW(E$2:E208)*(E208=E$2:E208)))))-COUNTBLANK(OFFSET(A$1,,,SUMPRODUCT(MAX(ROW(E$1:E207)*(E2=E$1:E207))))))</f>
        <v/>
      </c>
      <c r="K208" s="24" t="str">
        <f>IF(OR(E208="",E208="!!!",F208="NEW"),"",INDEX(J$1:J207,SUMPRODUCT(MAX(ROW(E$1:E207)*(E208=E$1:E207)))))</f>
        <v/>
      </c>
      <c r="L208" s="25"/>
    </row>
    <row r="209" spans="1:12" x14ac:dyDescent="0.3">
      <c r="A209" t="s">
        <v>16</v>
      </c>
      <c r="E209" s="20" t="str">
        <f t="shared" si="14"/>
        <v/>
      </c>
      <c r="F209" s="21" t="str">
        <f>IF(OR(E209="",E209="!!!"),"",IF(NOT(ISNA(VLOOKUP(E209,E$1:E208,1,FALSE()))),"OLD",IF(AND(E209&lt;&gt;"",E209&lt;&gt;"!!!"),"NEW","")))</f>
        <v/>
      </c>
      <c r="G209" s="22" t="str">
        <f>IF(OR(E209="",E209="!!!"),"",IF(OR(J209=0,AND(J209=1,K209=1),AND(J209=1,I209="SBJ"),AND(J209=1,I209=0)),"?IN_FOCUS",IF(J209&lt;=2,"?ACTIVATED",IF(J209&lt;&gt;"","?FAMILIAR",IF(F209="NEW",IF(ISNA(VLOOKUP(E209,#REF!,1,FALSE())),"?TYPE_IDENTIFIABLE","?REFERENTIAL"),"_")))))</f>
        <v/>
      </c>
      <c r="H209" s="23" t="str">
        <f t="shared" ca="1" si="15"/>
        <v/>
      </c>
      <c r="I209" s="24" t="str">
        <f>IF(OR(E209="",E209="!!!",F209="NEW"),"",INDEX(B$2:B208,-1+SUMPRODUCT(MAX(ROW(E$2:E208)*(E209=E$2:E208)))))</f>
        <v/>
      </c>
      <c r="J209" s="24" t="str">
        <f ca="1">IF(OR(E209="",E209="!!!",F209="NEW"),"",COUNTBLANK(OFFSET(A$1,,,SUMPRODUCT(MAX(ROW(E$2:E209)*(E209=E$2:E209)))))-COUNTBLANK(OFFSET(A$1,,,SUMPRODUCT(MAX(ROW(E$1:E208)*(E2=E$1:E208))))))</f>
        <v/>
      </c>
      <c r="K209" s="24" t="str">
        <f>IF(OR(E209="",E209="!!!",F209="NEW"),"",INDEX(J$1:J208,SUMPRODUCT(MAX(ROW(E$1:E208)*(E209=E$1:E208)))))</f>
        <v/>
      </c>
      <c r="L209" s="25"/>
    </row>
    <row r="210" spans="1:12" x14ac:dyDescent="0.3">
      <c r="A210" t="s">
        <v>320</v>
      </c>
      <c r="E210" s="20" t="str">
        <f t="shared" si="14"/>
        <v/>
      </c>
      <c r="F210" s="21" t="str">
        <f>IF(OR(E210="",E210="!!!"),"",IF(NOT(ISNA(VLOOKUP(E210,E$1:E209,1,FALSE()))),"OLD",IF(AND(E210&lt;&gt;"",E210&lt;&gt;"!!!"),"NEW","")))</f>
        <v/>
      </c>
      <c r="G210" s="22" t="str">
        <f>IF(OR(E210="",E210="!!!"),"",IF(OR(J210=0,AND(J210=1,K210=1),AND(J210=1,I210="SBJ"),AND(J210=1,I210=0)),"?IN_FOCUS",IF(J210&lt;=2,"?ACTIVATED",IF(J210&lt;&gt;"","?FAMILIAR",IF(F210="NEW",IF(ISNA(VLOOKUP(E210,#REF!,1,FALSE())),"?TYPE_IDENTIFIABLE","?REFERENTIAL"),"_")))))</f>
        <v/>
      </c>
      <c r="H210" s="23" t="str">
        <f t="shared" ca="1" si="15"/>
        <v/>
      </c>
      <c r="I210" s="24" t="str">
        <f>IF(OR(E210="",E210="!!!",F210="NEW"),"",INDEX(B$2:B209,-1+SUMPRODUCT(MAX(ROW(E$2:E209)*(E210=E$2:E209)))))</f>
        <v/>
      </c>
      <c r="J210" s="24" t="str">
        <f ca="1">IF(OR(E210="",E210="!!!",F210="NEW"),"",COUNTBLANK(OFFSET(A$1,,,SUMPRODUCT(MAX(ROW(E$2:E210)*(E210=E$2:E210)))))-COUNTBLANK(OFFSET(A$1,,,SUMPRODUCT(MAX(ROW(E$1:E209)*(E2=E$1:E209))))))</f>
        <v/>
      </c>
      <c r="K210" s="24" t="str">
        <f>IF(OR(E210="",E210="!!!",F210="NEW"),"",INDEX(J$1:J209,SUMPRODUCT(MAX(ROW(E$1:E209)*(E210=E$1:E209)))))</f>
        <v/>
      </c>
      <c r="L210" s="25"/>
    </row>
    <row r="211" spans="1:12" x14ac:dyDescent="0.3">
      <c r="A211" t="s">
        <v>348</v>
      </c>
      <c r="E211" s="20" t="str">
        <f t="shared" si="14"/>
        <v/>
      </c>
      <c r="F211" s="21" t="str">
        <f>IF(OR(E211="",E211="!!!"),"",IF(NOT(ISNA(VLOOKUP(E211,E$1:E210,1,FALSE()))),"OLD",IF(AND(E211&lt;&gt;"",E211&lt;&gt;"!!!"),"NEW","")))</f>
        <v/>
      </c>
      <c r="G211" s="22" t="str">
        <f>IF(OR(E211="",E211="!!!"),"",IF(OR(J211=0,AND(J211=1,K211=1),AND(J211=1,I211="SBJ"),AND(J211=1,I211=0)),"?IN_FOCUS",IF(J211&lt;=2,"?ACTIVATED",IF(J211&lt;&gt;"","?FAMILIAR",IF(F211="NEW",IF(ISNA(VLOOKUP(E211,#REF!,1,FALSE())),"?TYPE_IDENTIFIABLE","?REFERENTIAL"),"_")))))</f>
        <v/>
      </c>
      <c r="H211" s="23" t="str">
        <f t="shared" ca="1" si="15"/>
        <v/>
      </c>
      <c r="I211" s="24" t="str">
        <f>IF(OR(E211="",E211="!!!",F211="NEW"),"",INDEX(B$2:B210,-1+SUMPRODUCT(MAX(ROW(E$2:E210)*(E211=E$2:E210)))))</f>
        <v/>
      </c>
      <c r="J211" s="24" t="str">
        <f ca="1">IF(OR(E211="",E211="!!!",F211="NEW"),"",COUNTBLANK(OFFSET(A$1,,,SUMPRODUCT(MAX(ROW(E$2:E211)*(E211=E$2:E211)))))-COUNTBLANK(OFFSET(A$1,,,SUMPRODUCT(MAX(ROW(E$1:E210)*(E2=E$1:E210))))))</f>
        <v/>
      </c>
      <c r="K211" s="24" t="str">
        <f>IF(OR(E211="",E211="!!!",F211="NEW"),"",INDEX(J$1:J210,SUMPRODUCT(MAX(ROW(E$1:E210)*(E211=E$1:E210)))))</f>
        <v/>
      </c>
      <c r="L211" s="25"/>
    </row>
    <row r="212" spans="1:12" x14ac:dyDescent="0.3">
      <c r="A212" t="s">
        <v>290</v>
      </c>
      <c r="B212" s="26" t="s">
        <v>328</v>
      </c>
      <c r="C212" s="26" t="s">
        <v>214</v>
      </c>
      <c r="D212" s="26" t="s">
        <v>215</v>
      </c>
      <c r="E212" s="20" t="s">
        <v>669</v>
      </c>
      <c r="F212" s="21" t="str">
        <f>IF(OR(E212="",E212="!!!"),"",IF(NOT(ISNA(VLOOKUP(E212,E$1:E211,1,FALSE()))),"OLD",IF(AND(E212&lt;&gt;"",E212&lt;&gt;"!!!"),"NEW","")))</f>
        <v>OLD</v>
      </c>
      <c r="G212" s="22" t="str">
        <f ca="1">IF(OR(E212="",E212="!!!"),"",IF(OR(J212=0,AND(J212=1,K212=1),AND(J212=1,I212="SBJ"),AND(J212=1,I212=0)),"?IN_FOCUS",IF(J212&lt;=2,"?ACTIVATED",IF(J212&lt;&gt;"","?FAMILIAR",IF(F212="NEW",IF(ISNA(VLOOKUP(E212,#REF!,1,FALSE())),"?TYPE_IDENTIFIABLE","?REFERENTIAL"),"_")))))</f>
        <v>?IN_FOCUS</v>
      </c>
      <c r="H212" s="23"/>
      <c r="I212" s="24" t="str">
        <f>IF(OR(E212="",E212="!!!",F212="NEW"),"",INDEX(B$2:B211,-1+SUMPRODUCT(MAX(ROW(E$2:E211)*(E212=E$2:E211)))))</f>
        <v>SBJ</v>
      </c>
      <c r="J212" s="24">
        <f ca="1">IF(OR(E212="",E212="!!!",F212="NEW"),"",COUNTBLANK(OFFSET(A$1,,,SUMPRODUCT(MAX(ROW(E$2:E212)*(E212=E$2:E212)))))-COUNTBLANK(OFFSET(A$1,,,SUMPRODUCT(MAX(ROW(E$1:E211)*(E2=E$1:E211))))))</f>
        <v>0</v>
      </c>
      <c r="K212" s="24">
        <f ca="1">IF(OR(E212="",E212="!!!",F212="NEW"),"",INDEX(J$1:J211,SUMPRODUCT(MAX(ROW(E$1:E211)*(E212=E$1:E211)))))</f>
        <v>0</v>
      </c>
      <c r="L212" s="25"/>
    </row>
    <row r="213" spans="1:12" x14ac:dyDescent="0.3">
      <c r="A213" t="s">
        <v>49</v>
      </c>
      <c r="E213" s="20" t="str">
        <f t="shared" si="14"/>
        <v/>
      </c>
      <c r="F213" s="21" t="str">
        <f>IF(OR(E213="",E213="!!!"),"",IF(NOT(ISNA(VLOOKUP(E213,E$1:E212,1,FALSE()))),"OLD",IF(AND(E213&lt;&gt;"",E213&lt;&gt;"!!!"),"NEW","")))</f>
        <v/>
      </c>
      <c r="G213" s="22" t="str">
        <f>IF(OR(E213="",E213="!!!"),"",IF(OR(J213=0,AND(J213=1,K213=1),AND(J213=1,I213="SBJ"),AND(J213=1,I213=0)),"?IN_FOCUS",IF(J213&lt;=2,"?ACTIVATED",IF(J213&lt;&gt;"","?FAMILIAR",IF(F213="NEW",IF(ISNA(VLOOKUP(E213,#REF!,1,FALSE())),"?TYPE_IDENTIFIABLE","?REFERENTIAL"),"_")))))</f>
        <v/>
      </c>
      <c r="H213" s="23" t="str">
        <f t="shared" ca="1" si="15"/>
        <v/>
      </c>
      <c r="I213" s="24" t="str">
        <f>IF(OR(E213="",E213="!!!",F213="NEW"),"",INDEX(B$2:B212,-1+SUMPRODUCT(MAX(ROW(E$2:E212)*(E213=E$2:E212)))))</f>
        <v/>
      </c>
      <c r="J213" s="24" t="str">
        <f ca="1">IF(OR(E213="",E213="!!!",F213="NEW"),"",COUNTBLANK(OFFSET(A$1,,,SUMPRODUCT(MAX(ROW(E$2:E213)*(E213=E$2:E213)))))-COUNTBLANK(OFFSET(A$1,,,SUMPRODUCT(MAX(ROW(E$1:E212)*(E2=E$1:E212))))))</f>
        <v/>
      </c>
      <c r="K213" s="24" t="str">
        <f>IF(OR(E213="",E213="!!!",F213="NEW"),"",INDEX(J$1:J212,SUMPRODUCT(MAX(ROW(E$1:E212)*(E213=E$1:E212)))))</f>
        <v/>
      </c>
      <c r="L213" s="25"/>
    </row>
    <row r="214" spans="1:12" x14ac:dyDescent="0.3">
      <c r="A214" t="s">
        <v>349</v>
      </c>
      <c r="E214" s="20" t="str">
        <f t="shared" si="14"/>
        <v/>
      </c>
      <c r="F214" s="21" t="str">
        <f>IF(OR(E214="",E214="!!!"),"",IF(NOT(ISNA(VLOOKUP(E214,E$1:E213,1,FALSE()))),"OLD",IF(AND(E214&lt;&gt;"",E214&lt;&gt;"!!!"),"NEW","")))</f>
        <v/>
      </c>
      <c r="G214" s="22" t="str">
        <f>IF(OR(E214="",E214="!!!"),"",IF(OR(J214=0,AND(J214=1,K214=1),AND(J214=1,I214="SBJ"),AND(J214=1,I214=0)),"?IN_FOCUS",IF(J214&lt;=2,"?ACTIVATED",IF(J214&lt;&gt;"","?FAMILIAR",IF(F214="NEW",IF(ISNA(VLOOKUP(E214,#REF!,1,FALSE())),"?TYPE_IDENTIFIABLE","?REFERENTIAL"),"_")))))</f>
        <v/>
      </c>
      <c r="H214" s="23" t="str">
        <f t="shared" ca="1" si="15"/>
        <v/>
      </c>
      <c r="I214" s="24" t="str">
        <f>IF(OR(E214="",E214="!!!",F214="NEW"),"",INDEX(B$2:B213,-1+SUMPRODUCT(MAX(ROW(E$2:E213)*(E214=E$2:E213)))))</f>
        <v/>
      </c>
      <c r="J214" s="24" t="str">
        <f ca="1">IF(OR(E214="",E214="!!!",F214="NEW"),"",COUNTBLANK(OFFSET(A$1,,,SUMPRODUCT(MAX(ROW(E$2:E214)*(E214=E$2:E214)))))-COUNTBLANK(OFFSET(A$1,,,SUMPRODUCT(MAX(ROW(E$1:E213)*(E2=E$1:E213))))))</f>
        <v/>
      </c>
      <c r="K214" s="24" t="str">
        <f>IF(OR(E214="",E214="!!!",F214="NEW"),"",INDEX(J$1:J213,SUMPRODUCT(MAX(ROW(E$1:E213)*(E214=E$1:E213)))))</f>
        <v/>
      </c>
      <c r="L214" s="25"/>
    </row>
    <row r="215" spans="1:12" x14ac:dyDescent="0.3">
      <c r="A215" t="s">
        <v>220</v>
      </c>
      <c r="E215" s="20" t="str">
        <f t="shared" si="14"/>
        <v/>
      </c>
      <c r="F215" s="21" t="str">
        <f>IF(OR(E215="",E215="!!!"),"",IF(NOT(ISNA(VLOOKUP(E215,E$1:E214,1,FALSE()))),"OLD",IF(AND(E215&lt;&gt;"",E215&lt;&gt;"!!!"),"NEW","")))</f>
        <v/>
      </c>
      <c r="G215" s="22" t="str">
        <f>IF(OR(E215="",E215="!!!"),"",IF(OR(J215=0,AND(J215=1,K215=1),AND(J215=1,I215="SBJ"),AND(J215=1,I215=0)),"?IN_FOCUS",IF(J215&lt;=2,"?ACTIVATED",IF(J215&lt;&gt;"","?FAMILIAR",IF(F215="NEW",IF(ISNA(VLOOKUP(E215,#REF!,1,FALSE())),"?TYPE_IDENTIFIABLE","?REFERENTIAL"),"_")))))</f>
        <v/>
      </c>
      <c r="H215" s="23" t="str">
        <f t="shared" ca="1" si="15"/>
        <v/>
      </c>
      <c r="I215" s="24" t="str">
        <f>IF(OR(E215="",E215="!!!",F215="NEW"),"",INDEX(B$2:B214,-1+SUMPRODUCT(MAX(ROW(E$2:E214)*(E215=E$2:E214)))))</f>
        <v/>
      </c>
      <c r="J215" s="24" t="str">
        <f ca="1">IF(OR(E215="",E215="!!!",F215="NEW"),"",COUNTBLANK(OFFSET(A$1,,,SUMPRODUCT(MAX(ROW(E$2:E215)*(E215=E$2:E215)))))-COUNTBLANK(OFFSET(A$1,,,SUMPRODUCT(MAX(ROW(E$1:E214)*(E2=E$1:E214))))))</f>
        <v/>
      </c>
      <c r="K215" s="24" t="str">
        <f>IF(OR(E215="",E215="!!!",F215="NEW"),"",INDEX(J$1:J214,SUMPRODUCT(MAX(ROW(E$1:E214)*(E215=E$1:E214)))))</f>
        <v/>
      </c>
      <c r="L215" s="25"/>
    </row>
    <row r="216" spans="1:12" x14ac:dyDescent="0.3">
      <c r="A216" t="s">
        <v>221</v>
      </c>
      <c r="B216" s="26" t="s">
        <v>255</v>
      </c>
      <c r="C216" s="26" t="s">
        <v>222</v>
      </c>
      <c r="D216" s="26" t="s">
        <v>215</v>
      </c>
      <c r="E216" s="20" t="s">
        <v>221</v>
      </c>
      <c r="F216" s="21" t="s">
        <v>692</v>
      </c>
      <c r="G216" s="22" t="s">
        <v>657</v>
      </c>
      <c r="H216" s="23" t="str">
        <f t="shared" ca="1" si="15"/>
        <v/>
      </c>
      <c r="I216" s="24" t="str">
        <f>IF(OR(E216="",E216="!!!",F216="NEW"),"",INDEX(B$2:B215,-1+SUMPRODUCT(MAX(ROW(E$2:E215)*(E216=E$2:E215)))))</f>
        <v>other_4</v>
      </c>
      <c r="J216" s="24">
        <f ca="1">IF(OR(E216="",E216="!!!",F216="NEW"),"",COUNTBLANK(OFFSET(A$1,,,SUMPRODUCT(MAX(ROW(E$2:E216)*(E216=E$2:E216)))))-COUNTBLANK(OFFSET(A$1,,,SUMPRODUCT(MAX(ROW(E$1:E215)*(E2=E$1:E215))))))</f>
        <v>0</v>
      </c>
      <c r="K216" s="24">
        <f ca="1">IF(OR(E216="",E216="!!!",F216="NEW"),"",INDEX(J$1:J215,SUMPRODUCT(MAX(ROW(E$1:E215)*(E216=E$1:E215)))))</f>
        <v>0</v>
      </c>
      <c r="L216" s="25"/>
    </row>
    <row r="217" spans="1:12" x14ac:dyDescent="0.3">
      <c r="A217" t="s">
        <v>234</v>
      </c>
      <c r="E217" s="20" t="str">
        <f t="shared" si="14"/>
        <v/>
      </c>
      <c r="F217" s="21" t="str">
        <f>IF(OR(E217="",E217="!!!"),"",IF(NOT(ISNA(VLOOKUP(E217,E$1:E216,1,FALSE()))),"OLD",IF(AND(E217&lt;&gt;"",E217&lt;&gt;"!!!"),"NEW","")))</f>
        <v/>
      </c>
      <c r="G217" s="22" t="str">
        <f>IF(OR(E217="",E217="!!!"),"",IF(OR(J217=0,AND(J217=1,K217=1),AND(J217=1,I217="SBJ"),AND(J217=1,I217=0)),"?IN_FOCUS",IF(J217&lt;=2,"?ACTIVATED",IF(J217&lt;&gt;"","?FAMILIAR",IF(F217="NEW",IF(ISNA(VLOOKUP(E217,#REF!,1,FALSE())),"?TYPE_IDENTIFIABLE","?REFERENTIAL"),"_")))))</f>
        <v/>
      </c>
      <c r="H217" s="23" t="str">
        <f t="shared" ca="1" si="15"/>
        <v/>
      </c>
      <c r="I217" s="24" t="str">
        <f>IF(OR(E217="",E217="!!!",F217="NEW"),"",INDEX(B$2:B216,-1+SUMPRODUCT(MAX(ROW(E$2:E216)*(E217=E$2:E216)))))</f>
        <v/>
      </c>
      <c r="J217" s="24" t="str">
        <f ca="1">IF(OR(E217="",E217="!!!",F217="NEW"),"",COUNTBLANK(OFFSET(A$1,,,SUMPRODUCT(MAX(ROW(E$2:E217)*(E217=E$2:E217)))))-COUNTBLANK(OFFSET(A$1,,,SUMPRODUCT(MAX(ROW(E$1:E216)*(E2=E$1:E216))))))</f>
        <v/>
      </c>
      <c r="K217" s="24" t="str">
        <f>IF(OR(E217="",E217="!!!",F217="NEW"),"",INDEX(J$1:J216,SUMPRODUCT(MAX(ROW(E$1:E216)*(E217=E$1:E216)))))</f>
        <v/>
      </c>
      <c r="L217" s="25"/>
    </row>
    <row r="219" spans="1:12" x14ac:dyDescent="0.3">
      <c r="A219" t="s">
        <v>350</v>
      </c>
    </row>
    <row r="220" spans="1:12" x14ac:dyDescent="0.3">
      <c r="A220" t="s">
        <v>257</v>
      </c>
      <c r="B220" s="26" t="s">
        <v>213</v>
      </c>
      <c r="C220" s="26" t="s">
        <v>230</v>
      </c>
      <c r="D220" s="26" t="s">
        <v>215</v>
      </c>
      <c r="E220" s="20" t="s">
        <v>739</v>
      </c>
      <c r="F220" s="21" t="str">
        <f>IF(OR(E220="",E220="!!!"),"",IF(NOT(ISNA(VLOOKUP(E220,E$1:E219,1,FALSE()))),"OLD",IF(AND(E220&lt;&gt;"",E220&lt;&gt;"!!!"),"NEW","")))</f>
        <v>OLD</v>
      </c>
      <c r="G220" s="22" t="str">
        <f ca="1">IF(OR(E220="",E220="!!!"),"",IF(OR(J220=0,AND(J220=1,K220=1),AND(J220=1,I220="SBJ"),AND(J220=1,I220=0)),"?IN_FOCUS",IF(J220&lt;=2,"?ACTIVATED",IF(J220&lt;&gt;"","?FAMILIAR",IF(F220="NEW",IF(ISNA(VLOOKUP(E220,#REF!,1,FALSE())),"?TYPE_IDENTIFIABLE","?REFERENTIAL"),"_")))))</f>
        <v>?IN_FOCUS</v>
      </c>
      <c r="H220" s="23" t="str">
        <f t="shared" ref="H220:H236" ca="1" si="16">IF(J220&lt;&gt;1,"",IF(I220="SBJ","CB","?"))</f>
        <v/>
      </c>
      <c r="I220" s="24" t="str">
        <f>IF(OR(E220="",E220="!!!",F220="NEW"),"",INDEX(B$2:B219,-1+SUMPRODUCT(MAX(ROW(E$2:E219)*(E220=E$2:E219)))))</f>
        <v>SBJ</v>
      </c>
      <c r="J220" s="24">
        <f ca="1">IF(OR(E220="",E220="!!!",F220="NEW"),"",COUNTBLANK(OFFSET(A$1,,,SUMPRODUCT(MAX(ROW(E$2:E220)*(E220=E$2:E220)))))-COUNTBLANK(OFFSET(A$1,,,SUMPRODUCT(MAX(ROW(E$1:E219)*(E2=E$1:E219))))))</f>
        <v>0</v>
      </c>
      <c r="K220" s="24">
        <f ca="1">IF(OR(E220="",E220="!!!",F220="NEW"),"",INDEX(J$1:J219,SUMPRODUCT(MAX(ROW(E$1:E219)*(E220=E$1:E219)))))</f>
        <v>0</v>
      </c>
      <c r="L220" s="25"/>
    </row>
    <row r="221" spans="1:12" x14ac:dyDescent="0.3">
      <c r="A221" t="s">
        <v>351</v>
      </c>
      <c r="E221" s="20" t="str">
        <f t="shared" ref="E221:E236" si="17">IF(D221="?OLD","!!!","")</f>
        <v/>
      </c>
      <c r="F221" s="21" t="str">
        <f>IF(OR(E221="",E221="!!!"),"",IF(NOT(ISNA(VLOOKUP(E221,E$1:E220,1,FALSE()))),"OLD",IF(AND(E221&lt;&gt;"",E221&lt;&gt;"!!!"),"NEW","")))</f>
        <v/>
      </c>
      <c r="G221" s="22" t="str">
        <f>IF(OR(E221="",E221="!!!"),"",IF(OR(J221=0,AND(J221=1,K221=1),AND(J221=1,I221="SBJ"),AND(J221=1,I221=0)),"?IN_FOCUS",IF(J221&lt;=2,"?ACTIVATED",IF(J221&lt;&gt;"","?FAMILIAR",IF(F221="NEW",IF(ISNA(VLOOKUP(E221,#REF!,1,FALSE())),"?TYPE_IDENTIFIABLE","?REFERENTIAL"),"_")))))</f>
        <v/>
      </c>
      <c r="H221" s="23" t="str">
        <f t="shared" ca="1" si="16"/>
        <v/>
      </c>
      <c r="I221" s="24" t="str">
        <f>IF(OR(E221="",E221="!!!",F221="NEW"),"",INDEX(B$2:B220,-1+SUMPRODUCT(MAX(ROW(E$2:E220)*(E221=E$2:E220)))))</f>
        <v/>
      </c>
      <c r="J221" s="24" t="str">
        <f ca="1">IF(OR(E221="",E221="!!!",F221="NEW"),"",COUNTBLANK(OFFSET(A$1,,,SUMPRODUCT(MAX(ROW(E$2:E221)*(E221=E$2:E221)))))-COUNTBLANK(OFFSET(A$1,,,SUMPRODUCT(MAX(ROW(E$1:E220)*(E2=E$1:E220))))))</f>
        <v/>
      </c>
      <c r="K221" s="24" t="str">
        <f>IF(OR(E221="",E221="!!!",F221="NEW"),"",INDEX(J$1:J220,SUMPRODUCT(MAX(ROW(E$1:E220)*(E221=E$1:E220)))))</f>
        <v/>
      </c>
      <c r="L221" s="25"/>
    </row>
    <row r="222" spans="1:12" x14ac:dyDescent="0.3">
      <c r="A222" t="s">
        <v>352</v>
      </c>
      <c r="B222" s="26" t="s">
        <v>261</v>
      </c>
      <c r="C222" s="26" t="s">
        <v>214</v>
      </c>
      <c r="D222" s="26" t="s">
        <v>215</v>
      </c>
      <c r="E222" s="20"/>
      <c r="F222" s="21" t="str">
        <f>IF(OR(E222="",E222="!!!"),"",IF(NOT(ISNA(VLOOKUP(E222,E$1:E221,1,FALSE()))),"OLD",IF(AND(E222&lt;&gt;"",E222&lt;&gt;"!!!"),"NEW","")))</f>
        <v/>
      </c>
      <c r="G222" s="22" t="str">
        <f>IF(OR(E222="",E222="!!!"),"",IF(OR(J222=0,AND(J222=1,K222=1),AND(J222=1,I222="SBJ"),AND(J222=1,I222=0)),"?IN_FOCUS",IF(J222&lt;=2,"?ACTIVATED",IF(J222&lt;&gt;"","?FAMILIAR",IF(F222="NEW",IF(ISNA(VLOOKUP(E222,#REF!,1,FALSE())),"?TYPE_IDENTIFIABLE","?REFERENTIAL"),"_")))))</f>
        <v/>
      </c>
      <c r="H222" s="23"/>
      <c r="I222" s="24" t="str">
        <f>IF(OR(E222="",E222="!!!",F222="NEW"),"",INDEX(B$2:B221,-1+SUMPRODUCT(MAX(ROW(E$2:E221)*(E222=E$2:E221)))))</f>
        <v/>
      </c>
      <c r="J222" s="24" t="str">
        <f ca="1">IF(OR(E222="",E222="!!!",F222="NEW"),"",COUNTBLANK(OFFSET(A$1,,,SUMPRODUCT(MAX(ROW(E$2:E222)*(E222=E$2:E222)))))-COUNTBLANK(OFFSET(A$1,,,SUMPRODUCT(MAX(ROW(E$1:E221)*(E2=E$1:E221))))))</f>
        <v/>
      </c>
      <c r="K222" s="24" t="str">
        <f>IF(OR(E222="",E222="!!!",F222="NEW"),"",INDEX(J$1:J221,SUMPRODUCT(MAX(ROW(E$1:E221)*(E222=E$1:E221)))))</f>
        <v/>
      </c>
      <c r="L222" s="25" t="s">
        <v>658</v>
      </c>
    </row>
    <row r="223" spans="1:12" x14ac:dyDescent="0.3">
      <c r="A223" t="s">
        <v>292</v>
      </c>
      <c r="E223" s="20" t="s">
        <v>669</v>
      </c>
      <c r="F223" s="21" t="str">
        <f>IF(OR(E223="",E223="!!!"),"",IF(NOT(ISNA(VLOOKUP(E223,E$1:E222,1,FALSE()))),"OLD",IF(AND(E223&lt;&gt;"",E223&lt;&gt;"!!!"),"NEW","")))</f>
        <v>OLD</v>
      </c>
      <c r="G223" s="22" t="str">
        <f ca="1">IF(OR(E223="",E223="!!!"),"",IF(OR(J223=0,AND(J223=1,K223=1),AND(J223=1,I223="SBJ"),AND(J223=1,I223=0)),"?IN_FOCUS",IF(J223&lt;=2,"?ACTIVATED",IF(J223&lt;&gt;"","?FAMILIAR",IF(F223="NEW",IF(ISNA(VLOOKUP(E223,#REF!,1,FALSE())),"?TYPE_IDENTIFIABLE","?REFERENTIAL"),"_")))))</f>
        <v>?IN_FOCUS</v>
      </c>
      <c r="H223" s="23" t="s">
        <v>198</v>
      </c>
      <c r="I223" s="24" t="str">
        <f>IF(OR(E223="",E223="!!!",F223="NEW"),"",INDEX(B$2:B222,-1+SUMPRODUCT(MAX(ROW(E$2:E222)*(E223=E$2:E222)))))</f>
        <v>OBJ_3</v>
      </c>
      <c r="J223" s="24">
        <f ca="1">IF(OR(E223="",E223="!!!",F223="NEW"),"",COUNTBLANK(OFFSET(A$1,,,SUMPRODUCT(MAX(ROW(E$2:E223)*(E223=E$2:E223)))))-COUNTBLANK(OFFSET(A$1,,,SUMPRODUCT(MAX(ROW(E$1:E222)*(E2=E$1:E222))))))</f>
        <v>0</v>
      </c>
      <c r="K223" s="24">
        <f ca="1">IF(OR(E223="",E223="!!!",F223="NEW"),"",INDEX(J$1:J222,SUMPRODUCT(MAX(ROW(E$1:E222)*(E223=E$1:E222)))))</f>
        <v>0</v>
      </c>
      <c r="L223" s="25" t="s">
        <v>744</v>
      </c>
    </row>
    <row r="224" spans="1:12" x14ac:dyDescent="0.3">
      <c r="A224" t="s">
        <v>320</v>
      </c>
      <c r="E224" s="20" t="str">
        <f t="shared" si="17"/>
        <v/>
      </c>
      <c r="F224" s="21" t="str">
        <f>IF(OR(E224="",E224="!!!"),"",IF(NOT(ISNA(VLOOKUP(E224,E$1:E223,1,FALSE()))),"OLD",IF(AND(E224&lt;&gt;"",E224&lt;&gt;"!!!"),"NEW","")))</f>
        <v/>
      </c>
      <c r="G224" s="22" t="str">
        <f>IF(OR(E224="",E224="!!!"),"",IF(OR(J224=0,AND(J224=1,K224=1),AND(J224=1,I224="SBJ"),AND(J224=1,I224=0)),"?IN_FOCUS",IF(J224&lt;=2,"?ACTIVATED",IF(J224&lt;&gt;"","?FAMILIAR",IF(F224="NEW",IF(ISNA(VLOOKUP(E224,#REF!,1,FALSE())),"?TYPE_IDENTIFIABLE","?REFERENTIAL"),"_")))))</f>
        <v/>
      </c>
      <c r="H224" s="23" t="str">
        <f t="shared" ca="1" si="16"/>
        <v/>
      </c>
      <c r="I224" s="24" t="str">
        <f>IF(OR(E224="",E224="!!!",F224="NEW"),"",INDEX(B$2:B223,-1+SUMPRODUCT(MAX(ROW(E$2:E223)*(E224=E$2:E223)))))</f>
        <v/>
      </c>
      <c r="J224" s="24" t="str">
        <f ca="1">IF(OR(E224="",E224="!!!",F224="NEW"),"",COUNTBLANK(OFFSET(A$1,,,SUMPRODUCT(MAX(ROW(E$2:E224)*(E224=E$2:E224)))))-COUNTBLANK(OFFSET(A$1,,,SUMPRODUCT(MAX(ROW(E$1:E223)*(E2=E$1:E223))))))</f>
        <v/>
      </c>
      <c r="K224" s="24" t="str">
        <f>IF(OR(E224="",E224="!!!",F224="NEW"),"",INDEX(J$1:J223,SUMPRODUCT(MAX(ROW(E$1:E223)*(E224=E$1:E223)))))</f>
        <v/>
      </c>
      <c r="L224" s="25"/>
    </row>
    <row r="225" spans="1:12" x14ac:dyDescent="0.3">
      <c r="A225" t="s">
        <v>353</v>
      </c>
      <c r="E225" s="20" t="str">
        <f t="shared" si="17"/>
        <v/>
      </c>
      <c r="F225" s="21" t="str">
        <f>IF(OR(E225="",E225="!!!"),"",IF(NOT(ISNA(VLOOKUP(E225,E$1:E224,1,FALSE()))),"OLD",IF(AND(E225&lt;&gt;"",E225&lt;&gt;"!!!"),"NEW","")))</f>
        <v/>
      </c>
      <c r="G225" s="22" t="str">
        <f>IF(OR(E225="",E225="!!!"),"",IF(OR(J225=0,AND(J225=1,K225=1),AND(J225=1,I225="SBJ"),AND(J225=1,I225=0)),"?IN_FOCUS",IF(J225&lt;=2,"?ACTIVATED",IF(J225&lt;&gt;"","?FAMILIAR",IF(F225="NEW",IF(ISNA(VLOOKUP(E225,#REF!,1,FALSE())),"?TYPE_IDENTIFIABLE","?REFERENTIAL"),"_")))))</f>
        <v/>
      </c>
      <c r="H225" s="23" t="str">
        <f t="shared" ca="1" si="16"/>
        <v/>
      </c>
      <c r="I225" s="24" t="str">
        <f>IF(OR(E225="",E225="!!!",F225="NEW"),"",INDEX(B$2:B224,-1+SUMPRODUCT(MAX(ROW(E$2:E224)*(E225=E$2:E224)))))</f>
        <v/>
      </c>
      <c r="J225" s="24" t="str">
        <f ca="1">IF(OR(E225="",E225="!!!",F225="NEW"),"",COUNTBLANK(OFFSET(A$1,,,SUMPRODUCT(MAX(ROW(E$2:E225)*(E225=E$2:E225)))))-COUNTBLANK(OFFSET(A$1,,,SUMPRODUCT(MAX(ROW(E$1:E224)*(E2=E$1:E224))))))</f>
        <v/>
      </c>
      <c r="K225" s="24" t="str">
        <f>IF(OR(E225="",E225="!!!",F225="NEW"),"",INDEX(J$1:J224,SUMPRODUCT(MAX(ROW(E$1:E224)*(E225=E$1:E224)))))</f>
        <v/>
      </c>
      <c r="L225" s="25"/>
    </row>
    <row r="226" spans="1:12" x14ac:dyDescent="0.3">
      <c r="A226" t="s">
        <v>207</v>
      </c>
      <c r="E226" s="20" t="str">
        <f t="shared" si="17"/>
        <v/>
      </c>
      <c r="F226" s="21" t="str">
        <f>IF(OR(E226="",E226="!!!"),"",IF(NOT(ISNA(VLOOKUP(E226,E$1:E225,1,FALSE()))),"OLD",IF(AND(E226&lt;&gt;"",E226&lt;&gt;"!!!"),"NEW","")))</f>
        <v/>
      </c>
      <c r="G226" s="22" t="str">
        <f>IF(OR(E226="",E226="!!!"),"",IF(OR(J226=0,AND(J226=1,K226=1),AND(J226=1,I226="SBJ"),AND(J226=1,I226=0)),"?IN_FOCUS",IF(J226&lt;=2,"?ACTIVATED",IF(J226&lt;&gt;"","?FAMILIAR",IF(F226="NEW",IF(ISNA(VLOOKUP(E226,#REF!,1,FALSE())),"?TYPE_IDENTIFIABLE","?REFERENTIAL"),"_")))))</f>
        <v/>
      </c>
      <c r="H226" s="23" t="str">
        <f t="shared" ca="1" si="16"/>
        <v/>
      </c>
      <c r="I226" s="24" t="str">
        <f>IF(OR(E226="",E226="!!!",F226="NEW"),"",INDEX(B$2:B225,-1+SUMPRODUCT(MAX(ROW(E$2:E225)*(E226=E$2:E225)))))</f>
        <v/>
      </c>
      <c r="J226" s="24" t="str">
        <f ca="1">IF(OR(E226="",E226="!!!",F226="NEW"),"",COUNTBLANK(OFFSET(A$1,,,SUMPRODUCT(MAX(ROW(E$2:E226)*(E226=E$2:E226)))))-COUNTBLANK(OFFSET(A$1,,,SUMPRODUCT(MAX(ROW(E$1:E225)*(E2=E$1:E225))))))</f>
        <v/>
      </c>
      <c r="K226" s="24" t="str">
        <f>IF(OR(E226="",E226="!!!",F226="NEW"),"",INDEX(J$1:J225,SUMPRODUCT(MAX(ROW(E$1:E225)*(E226=E$1:E225)))))</f>
        <v/>
      </c>
      <c r="L226" s="25"/>
    </row>
    <row r="227" spans="1:12" x14ac:dyDescent="0.3">
      <c r="A227" t="s">
        <v>253</v>
      </c>
      <c r="E227" s="20" t="str">
        <f t="shared" si="17"/>
        <v/>
      </c>
      <c r="F227" s="21" t="str">
        <f>IF(OR(E227="",E227="!!!"),"",IF(NOT(ISNA(VLOOKUP(E227,E$1:E226,1,FALSE()))),"OLD",IF(AND(E227&lt;&gt;"",E227&lt;&gt;"!!!"),"NEW","")))</f>
        <v/>
      </c>
      <c r="G227" s="22" t="str">
        <f>IF(OR(E227="",E227="!!!"),"",IF(OR(J227=0,AND(J227=1,K227=1),AND(J227=1,I227="SBJ"),AND(J227=1,I227=0)),"?IN_FOCUS",IF(J227&lt;=2,"?ACTIVATED",IF(J227&lt;&gt;"","?FAMILIAR",IF(F227="NEW",IF(ISNA(VLOOKUP(E227,#REF!,1,FALSE())),"?TYPE_IDENTIFIABLE","?REFERENTIAL"),"_")))))</f>
        <v/>
      </c>
      <c r="H227" s="23" t="str">
        <f t="shared" ca="1" si="16"/>
        <v/>
      </c>
      <c r="I227" s="24" t="str">
        <f>IF(OR(E227="",E227="!!!",F227="NEW"),"",INDEX(B$2:B226,-1+SUMPRODUCT(MAX(ROW(E$2:E226)*(E227=E$2:E226)))))</f>
        <v/>
      </c>
      <c r="J227" s="24" t="str">
        <f ca="1">IF(OR(E227="",E227="!!!",F227="NEW"),"",COUNTBLANK(OFFSET(A$1,,,SUMPRODUCT(MAX(ROW(E$2:E227)*(E227=E$2:E227)))))-COUNTBLANK(OFFSET(A$1,,,SUMPRODUCT(MAX(ROW(E$1:E226)*(E2=E$1:E226))))))</f>
        <v/>
      </c>
      <c r="K227" s="24" t="str">
        <f>IF(OR(E227="",E227="!!!",F227="NEW"),"",INDEX(J$1:J226,SUMPRODUCT(MAX(ROW(E$1:E226)*(E227=E$1:E226)))))</f>
        <v/>
      </c>
      <c r="L227" s="25"/>
    </row>
    <row r="228" spans="1:12" x14ac:dyDescent="0.3">
      <c r="A228" t="s">
        <v>314</v>
      </c>
      <c r="B228" s="26" t="s">
        <v>225</v>
      </c>
      <c r="C228" s="26" t="s">
        <v>206</v>
      </c>
      <c r="E228" s="20" t="str">
        <f t="shared" si="17"/>
        <v/>
      </c>
      <c r="F228" s="21" t="str">
        <f>IF(OR(E228="",E228="!!!"),"",IF(NOT(ISNA(VLOOKUP(E228,E$1:E227,1,FALSE()))),"OLD",IF(AND(E228&lt;&gt;"",E228&lt;&gt;"!!!"),"NEW","")))</f>
        <v/>
      </c>
      <c r="G228" s="22" t="str">
        <f>IF(OR(E228="",E228="!!!"),"",IF(OR(J228=0,AND(J228=1,K228=1),AND(J228=1,I228="SBJ"),AND(J228=1,I228=0)),"?IN_FOCUS",IF(J228&lt;=2,"?ACTIVATED",IF(J228&lt;&gt;"","?FAMILIAR",IF(F228="NEW",IF(ISNA(VLOOKUP(E228,#REF!,1,FALSE())),"?TYPE_IDENTIFIABLE","?REFERENTIAL"),"_")))))</f>
        <v/>
      </c>
      <c r="H228" s="23" t="str">
        <f t="shared" ca="1" si="16"/>
        <v/>
      </c>
      <c r="I228" s="24" t="str">
        <f>IF(OR(E228="",E228="!!!",F228="NEW"),"",INDEX(B$2:B227,-1+SUMPRODUCT(MAX(ROW(E$2:E227)*(E228=E$2:E227)))))</f>
        <v/>
      </c>
      <c r="J228" s="24" t="str">
        <f ca="1">IF(OR(E228="",E228="!!!",F228="NEW"),"",COUNTBLANK(OFFSET(A$1,,,SUMPRODUCT(MAX(ROW(E$2:E228)*(E228=E$2:E228)))))-COUNTBLANK(OFFSET(A$1,,,SUMPRODUCT(MAX(ROW(E$1:E227)*(E2=E$1:E227))))))</f>
        <v/>
      </c>
      <c r="K228" s="24" t="str">
        <f>IF(OR(E228="",E228="!!!",F228="NEW"),"",INDEX(J$1:J227,SUMPRODUCT(MAX(ROW(E$1:E227)*(E228=E$1:E227)))))</f>
        <v/>
      </c>
      <c r="L228" s="25"/>
    </row>
    <row r="229" spans="1:12" x14ac:dyDescent="0.3">
      <c r="A229" t="s">
        <v>354</v>
      </c>
      <c r="E229" s="20" t="str">
        <f t="shared" si="17"/>
        <v/>
      </c>
      <c r="F229" s="21" t="str">
        <f>IF(OR(E229="",E229="!!!"),"",IF(NOT(ISNA(VLOOKUP(E229,E$1:E228,1,FALSE()))),"OLD",IF(AND(E229&lt;&gt;"",E229&lt;&gt;"!!!"),"NEW","")))</f>
        <v/>
      </c>
      <c r="G229" s="22" t="str">
        <f>IF(OR(E229="",E229="!!!"),"",IF(OR(J229=0,AND(J229=1,K229=1),AND(J229=1,I229="SBJ"),AND(J229=1,I229=0)),"?IN_FOCUS",IF(J229&lt;=2,"?ACTIVATED",IF(J229&lt;&gt;"","?FAMILIAR",IF(F229="NEW",IF(ISNA(VLOOKUP(E229,#REF!,1,FALSE())),"?TYPE_IDENTIFIABLE","?REFERENTIAL"),"_")))))</f>
        <v/>
      </c>
      <c r="H229" s="23" t="str">
        <f t="shared" ca="1" si="16"/>
        <v/>
      </c>
      <c r="I229" s="24" t="str">
        <f>IF(OR(E229="",E229="!!!",F229="NEW"),"",INDEX(B$2:B228,-1+SUMPRODUCT(MAX(ROW(E$2:E228)*(E229=E$2:E228)))))</f>
        <v/>
      </c>
      <c r="J229" s="24" t="str">
        <f ca="1">IF(OR(E229="",E229="!!!",F229="NEW"),"",COUNTBLANK(OFFSET(A$1,,,SUMPRODUCT(MAX(ROW(E$2:E229)*(E229=E$2:E229)))))-COUNTBLANK(OFFSET(A$1,,,SUMPRODUCT(MAX(ROW(E$1:E228)*(E2=E$1:E228))))))</f>
        <v/>
      </c>
      <c r="K229" s="24" t="str">
        <f>IF(OR(E229="",E229="!!!",F229="NEW"),"",INDEX(J$1:J228,SUMPRODUCT(MAX(ROW(E$1:E228)*(E229=E$1:E228)))))</f>
        <v/>
      </c>
      <c r="L229" s="25"/>
    </row>
    <row r="230" spans="1:12" x14ac:dyDescent="0.3">
      <c r="A230" t="s">
        <v>207</v>
      </c>
      <c r="E230" s="20" t="str">
        <f t="shared" si="17"/>
        <v/>
      </c>
      <c r="F230" s="21" t="str">
        <f>IF(OR(E230="",E230="!!!"),"",IF(NOT(ISNA(VLOOKUP(E230,E$1:E229,1,FALSE()))),"OLD",IF(AND(E230&lt;&gt;"",E230&lt;&gt;"!!!"),"NEW","")))</f>
        <v/>
      </c>
      <c r="G230" s="22" t="str">
        <f>IF(OR(E230="",E230="!!!"),"",IF(OR(J230=0,AND(J230=1,K230=1),AND(J230=1,I230="SBJ"),AND(J230=1,I230=0)),"?IN_FOCUS",IF(J230&lt;=2,"?ACTIVATED",IF(J230&lt;&gt;"","?FAMILIAR",IF(F230="NEW",IF(ISNA(VLOOKUP(E230,#REF!,1,FALSE())),"?TYPE_IDENTIFIABLE","?REFERENTIAL"),"_")))))</f>
        <v/>
      </c>
      <c r="H230" s="23" t="str">
        <f t="shared" ca="1" si="16"/>
        <v/>
      </c>
      <c r="I230" s="24" t="str">
        <f>IF(OR(E230="",E230="!!!",F230="NEW"),"",INDEX(B$2:B229,-1+SUMPRODUCT(MAX(ROW(E$2:E229)*(E230=E$2:E229)))))</f>
        <v/>
      </c>
      <c r="J230" s="24" t="str">
        <f ca="1">IF(OR(E230="",E230="!!!",F230="NEW"),"",COUNTBLANK(OFFSET(A$1,,,SUMPRODUCT(MAX(ROW(E$2:E230)*(E230=E$2:E230)))))-COUNTBLANK(OFFSET(A$1,,,SUMPRODUCT(MAX(ROW(E$1:E229)*(E2=E$1:E229))))))</f>
        <v/>
      </c>
      <c r="K230" s="24" t="str">
        <f>IF(OR(E230="",E230="!!!",F230="NEW"),"",INDEX(J$1:J229,SUMPRODUCT(MAX(ROW(E$1:E229)*(E230=E$1:E229)))))</f>
        <v/>
      </c>
      <c r="L230" s="25"/>
    </row>
    <row r="231" spans="1:12" x14ac:dyDescent="0.3">
      <c r="A231" t="s">
        <v>355</v>
      </c>
      <c r="E231" s="20" t="str">
        <f t="shared" si="17"/>
        <v/>
      </c>
      <c r="F231" s="21" t="str">
        <f>IF(OR(E231="",E231="!!!"),"",IF(NOT(ISNA(VLOOKUP(E231,E$1:E230,1,FALSE()))),"OLD",IF(AND(E231&lt;&gt;"",E231&lt;&gt;"!!!"),"NEW","")))</f>
        <v/>
      </c>
      <c r="G231" s="22" t="str">
        <f>IF(OR(E231="",E231="!!!"),"",IF(OR(J231=0,AND(J231=1,K231=1),AND(J231=1,I231="SBJ"),AND(J231=1,I231=0)),"?IN_FOCUS",IF(J231&lt;=2,"?ACTIVATED",IF(J231&lt;&gt;"","?FAMILIAR",IF(F231="NEW",IF(ISNA(VLOOKUP(E231,#REF!,1,FALSE())),"?TYPE_IDENTIFIABLE","?REFERENTIAL"),"_")))))</f>
        <v/>
      </c>
      <c r="H231" s="23" t="str">
        <f t="shared" ca="1" si="16"/>
        <v/>
      </c>
      <c r="I231" s="24" t="str">
        <f>IF(OR(E231="",E231="!!!",F231="NEW"),"",INDEX(B$2:B230,-1+SUMPRODUCT(MAX(ROW(E$2:E230)*(E231=E$2:E230)))))</f>
        <v/>
      </c>
      <c r="J231" s="24" t="str">
        <f ca="1">IF(OR(E231="",E231="!!!",F231="NEW"),"",COUNTBLANK(OFFSET(A$1,,,SUMPRODUCT(MAX(ROW(E$2:E231)*(E231=E$2:E231)))))-COUNTBLANK(OFFSET(A$1,,,SUMPRODUCT(MAX(ROW(E$1:E230)*(E2=E$1:E230))))))</f>
        <v/>
      </c>
      <c r="K231" s="24" t="str">
        <f>IF(OR(E231="",E231="!!!",F231="NEW"),"",INDEX(J$1:J230,SUMPRODUCT(MAX(ROW(E$1:E230)*(E231=E$1:E230)))))</f>
        <v/>
      </c>
      <c r="L231" s="25"/>
    </row>
    <row r="232" spans="1:12" x14ac:dyDescent="0.3">
      <c r="A232" t="s">
        <v>356</v>
      </c>
      <c r="E232" s="20" t="s">
        <v>730</v>
      </c>
      <c r="F232" s="21" t="str">
        <f>IF(OR(E232="",E232="!!!"),"",IF(NOT(ISNA(VLOOKUP(E232,E$1:E231,1,FALSE()))),"OLD",IF(AND(E232&lt;&gt;"",E232&lt;&gt;"!!!"),"NEW","")))</f>
        <v>NEW</v>
      </c>
      <c r="G232" s="22" t="s">
        <v>657</v>
      </c>
      <c r="H232" s="23" t="str">
        <f t="shared" ca="1" si="16"/>
        <v/>
      </c>
      <c r="I232" s="24" t="str">
        <f>IF(OR(E232="",E232="!!!",F232="NEW"),"",INDEX(B$2:B231,-1+SUMPRODUCT(MAX(ROW(E$2:E231)*(E232=E$2:E231)))))</f>
        <v/>
      </c>
      <c r="J232" s="24" t="str">
        <f ca="1">IF(OR(E232="",E232="!!!",F232="NEW"),"",COUNTBLANK(OFFSET(A$1,,,SUMPRODUCT(MAX(ROW(E$2:E232)*(E232=E$2:E232)))))-COUNTBLANK(OFFSET(A$1,,,SUMPRODUCT(MAX(ROW(E$1:E231)*(E2=E$1:E231))))))</f>
        <v/>
      </c>
      <c r="K232" s="24" t="str">
        <f>IF(OR(E232="",E232="!!!",F232="NEW"),"",INDEX(J$1:J231,SUMPRODUCT(MAX(ROW(E$1:E231)*(E232=E$1:E231)))))</f>
        <v/>
      </c>
      <c r="L232" s="25" t="s">
        <v>731</v>
      </c>
    </row>
    <row r="233" spans="1:12" x14ac:dyDescent="0.3">
      <c r="A233" t="s">
        <v>357</v>
      </c>
      <c r="E233" s="20" t="str">
        <f t="shared" si="17"/>
        <v/>
      </c>
      <c r="F233" s="21" t="str">
        <f>IF(OR(E233="",E233="!!!"),"",IF(NOT(ISNA(VLOOKUP(E233,E$1:E232,1,FALSE()))),"OLD",IF(AND(E233&lt;&gt;"",E233&lt;&gt;"!!!"),"NEW","")))</f>
        <v/>
      </c>
      <c r="G233" s="22" t="str">
        <f>IF(OR(E233="",E233="!!!"),"",IF(OR(J233=0,AND(J233=1,K233=1),AND(J233=1,I233="SBJ"),AND(J233=1,I233=0)),"?IN_FOCUS",IF(J233&lt;=2,"?ACTIVATED",IF(J233&lt;&gt;"","?FAMILIAR",IF(F233="NEW",IF(ISNA(VLOOKUP(E233,#REF!,1,FALSE())),"?TYPE_IDENTIFIABLE","?REFERENTIAL"),"_")))))</f>
        <v/>
      </c>
      <c r="H233" s="23" t="str">
        <f t="shared" ca="1" si="16"/>
        <v/>
      </c>
      <c r="I233" s="24" t="str">
        <f>IF(OR(E233="",E233="!!!",F233="NEW"),"",INDEX(B$2:B232,-1+SUMPRODUCT(MAX(ROW(E$2:E232)*(E233=E$2:E232)))))</f>
        <v/>
      </c>
      <c r="J233" s="24" t="str">
        <f ca="1">IF(OR(E233="",E233="!!!",F233="NEW"),"",COUNTBLANK(OFFSET(A$1,,,SUMPRODUCT(MAX(ROW(E$2:E233)*(E233=E$2:E233)))))-COUNTBLANK(OFFSET(A$1,,,SUMPRODUCT(MAX(ROW(E$1:E232)*(E2=E$1:E232))))))</f>
        <v/>
      </c>
      <c r="K233" s="24" t="str">
        <f>IF(OR(E233="",E233="!!!",F233="NEW"),"",INDEX(J$1:J232,SUMPRODUCT(MAX(ROW(E$1:E232)*(E233=E$1:E232)))))</f>
        <v/>
      </c>
      <c r="L233" s="25"/>
    </row>
    <row r="234" spans="1:12" x14ac:dyDescent="0.3">
      <c r="A234" t="s">
        <v>358</v>
      </c>
      <c r="E234" s="20" t="str">
        <f t="shared" si="17"/>
        <v/>
      </c>
      <c r="F234" s="21" t="str">
        <f>IF(OR(E234="",E234="!!!"),"",IF(NOT(ISNA(VLOOKUP(E234,E$1:E233,1,FALSE()))),"OLD",IF(AND(E234&lt;&gt;"",E234&lt;&gt;"!!!"),"NEW","")))</f>
        <v/>
      </c>
      <c r="G234" s="22" t="str">
        <f>IF(OR(E234="",E234="!!!"),"",IF(OR(J234=0,AND(J234=1,K234=1),AND(J234=1,I234="SBJ"),AND(J234=1,I234=0)),"?IN_FOCUS",IF(J234&lt;=2,"?ACTIVATED",IF(J234&lt;&gt;"","?FAMILIAR",IF(F234="NEW",IF(ISNA(VLOOKUP(E234,#REF!,1,FALSE())),"?TYPE_IDENTIFIABLE","?REFERENTIAL"),"_")))))</f>
        <v/>
      </c>
      <c r="H234" s="23" t="str">
        <f t="shared" ca="1" si="16"/>
        <v/>
      </c>
      <c r="I234" s="24" t="str">
        <f>IF(OR(E234="",E234="!!!",F234="NEW"),"",INDEX(B$2:B233,-1+SUMPRODUCT(MAX(ROW(E$2:E233)*(E234=E$2:E233)))))</f>
        <v/>
      </c>
      <c r="J234" s="24" t="str">
        <f ca="1">IF(OR(E234="",E234="!!!",F234="NEW"),"",COUNTBLANK(OFFSET(A$1,,,SUMPRODUCT(MAX(ROW(E$2:E234)*(E234=E$2:E234)))))-COUNTBLANK(OFFSET(A$1,,,SUMPRODUCT(MAX(ROW(E$1:E233)*(E2=E$1:E233))))))</f>
        <v/>
      </c>
      <c r="K234" s="24" t="str">
        <f>IF(OR(E234="",E234="!!!",F234="NEW"),"",INDEX(J$1:J233,SUMPRODUCT(MAX(ROW(E$1:E233)*(E234=E$1:E233)))))</f>
        <v/>
      </c>
      <c r="L234" s="25"/>
    </row>
    <row r="235" spans="1:12" x14ac:dyDescent="0.3">
      <c r="A235" t="s">
        <v>359</v>
      </c>
      <c r="B235" s="26" t="s">
        <v>205</v>
      </c>
      <c r="C235" s="26" t="s">
        <v>214</v>
      </c>
      <c r="D235" s="26" t="s">
        <v>215</v>
      </c>
      <c r="E235" s="20" t="s">
        <v>679</v>
      </c>
      <c r="F235" s="21" t="str">
        <f>IF(OR(E235="",E235="!!!"),"",IF(NOT(ISNA(VLOOKUP(E235,E$1:E234,1,FALSE()))),"OLD",IF(AND(E235&lt;&gt;"",E235&lt;&gt;"!!!"),"NEW","")))</f>
        <v>NEW</v>
      </c>
      <c r="G235" s="22" t="s">
        <v>668</v>
      </c>
      <c r="H235" s="23" t="str">
        <f t="shared" ca="1" si="16"/>
        <v/>
      </c>
      <c r="I235" s="24" t="str">
        <f>IF(OR(E235="",E235="!!!",F235="NEW"),"",INDEX(B$2:B234,-1+SUMPRODUCT(MAX(ROW(E$2:E234)*(E235=E$2:E234)))))</f>
        <v/>
      </c>
      <c r="J235" s="24" t="str">
        <f ca="1">IF(OR(E235="",E235="!!!",F235="NEW"),"",COUNTBLANK(OFFSET(A$1,,,SUMPRODUCT(MAX(ROW(E$2:E235)*(E235=E$2:E235)))))-COUNTBLANK(OFFSET(A$1,,,SUMPRODUCT(MAX(ROW(E$1:E234)*(E2=E$1:E234))))))</f>
        <v/>
      </c>
      <c r="K235" s="24" t="str">
        <f>IF(OR(E235="",E235="!!!",F235="NEW"),"",INDEX(J$1:J234,SUMPRODUCT(MAX(ROW(E$1:E234)*(E235=E$1:E234)))))</f>
        <v/>
      </c>
      <c r="L235" s="25"/>
    </row>
    <row r="236" spans="1:12" x14ac:dyDescent="0.3">
      <c r="A236" t="s">
        <v>234</v>
      </c>
      <c r="E236" s="20" t="str">
        <f t="shared" si="17"/>
        <v/>
      </c>
      <c r="F236" s="21" t="str">
        <f>IF(OR(E236="",E236="!!!"),"",IF(NOT(ISNA(VLOOKUP(E236,E$1:E235,1,FALSE()))),"OLD",IF(AND(E236&lt;&gt;"",E236&lt;&gt;"!!!"),"NEW","")))</f>
        <v/>
      </c>
      <c r="G236" s="22" t="str">
        <f>IF(OR(E236="",E236="!!!"),"",IF(OR(J236=0,AND(J236=1,K236=1),AND(J236=1,I236="SBJ"),AND(J236=1,I236=0)),"?IN_FOCUS",IF(J236&lt;=2,"?ACTIVATED",IF(J236&lt;&gt;"","?FAMILIAR",IF(F236="NEW",IF(ISNA(VLOOKUP(E236,#REF!,1,FALSE())),"?TYPE_IDENTIFIABLE","?REFERENTIAL"),"_")))))</f>
        <v/>
      </c>
      <c r="H236" s="23" t="str">
        <f t="shared" ca="1" si="16"/>
        <v/>
      </c>
      <c r="I236" s="24" t="str">
        <f>IF(OR(E236="",E236="!!!",F236="NEW"),"",INDEX(B$2:B235,-1+SUMPRODUCT(MAX(ROW(E$2:E235)*(E236=E$2:E235)))))</f>
        <v/>
      </c>
      <c r="J236" s="24" t="str">
        <f ca="1">IF(OR(E236="",E236="!!!",F236="NEW"),"",COUNTBLANK(OFFSET(A$1,,,SUMPRODUCT(MAX(ROW(E$2:E236)*(E236=E$2:E236)))))-COUNTBLANK(OFFSET(A$1,,,SUMPRODUCT(MAX(ROW(E$1:E235)*(E2=E$1:E235))))))</f>
        <v/>
      </c>
      <c r="K236" s="24" t="str">
        <f>IF(OR(E236="",E236="!!!",F236="NEW"),"",INDEX(J$1:J235,SUMPRODUCT(MAX(ROW(E$1:E235)*(E236=E$1:E235)))))</f>
        <v/>
      </c>
      <c r="L236" s="25"/>
    </row>
    <row r="238" spans="1:12" x14ac:dyDescent="0.3">
      <c r="A238" t="s">
        <v>360</v>
      </c>
    </row>
    <row r="239" spans="1:12" x14ac:dyDescent="0.3">
      <c r="A239" t="s">
        <v>361</v>
      </c>
      <c r="B239" s="26" t="s">
        <v>213</v>
      </c>
      <c r="C239" s="26" t="s">
        <v>230</v>
      </c>
      <c r="D239" s="26" t="s">
        <v>215</v>
      </c>
      <c r="E239" s="20" t="s">
        <v>669</v>
      </c>
      <c r="F239" s="21" t="str">
        <f>IF(OR(E239="",E239="!!!"),"",IF(NOT(ISNA(VLOOKUP(E239,E$1:E238,1,FALSE()))),"OLD",IF(AND(E239&lt;&gt;"",E239&lt;&gt;"!!!"),"NEW","")))</f>
        <v>OLD</v>
      </c>
      <c r="G239" s="22" t="str">
        <f ca="1">IF(OR(E239="",E239="!!!"),"",IF(OR(J239=0,AND(J239=1,K239=1),AND(J239=1,I239="SBJ"),AND(J239=1,I239=0)),"?IN_FOCUS",IF(J239&lt;=2,"?ACTIVATED",IF(J239&lt;&gt;"","?FAMILIAR",IF(F239="NEW",IF(ISNA(VLOOKUP(E239,#REF!,1,FALSE())),"?TYPE_IDENTIFIABLE","?REFERENTIAL"),"_")))))</f>
        <v>?IN_FOCUS</v>
      </c>
      <c r="H239" s="23" t="s">
        <v>198</v>
      </c>
      <c r="I239" s="24">
        <f>IF(OR(E239="",E239="!!!",F239="NEW"),"",INDEX(B$2:B238,-1+SUMPRODUCT(MAX(ROW(E$2:E238)*(E239=E$2:E238)))))</f>
        <v>0</v>
      </c>
      <c r="J239" s="24">
        <f ca="1">IF(OR(E239="",E239="!!!",F239="NEW"),"",COUNTBLANK(OFFSET(A$1,,,SUMPRODUCT(MAX(ROW(E$2:E239)*(E239=E$2:E239)))))-COUNTBLANK(OFFSET(A$1,,,SUMPRODUCT(MAX(ROW(E$1:E238)*(E2=E$1:E238))))))</f>
        <v>0</v>
      </c>
      <c r="K239" s="24">
        <f ca="1">IF(OR(E239="",E239="!!!",F239="NEW"),"",INDEX(J$1:J238,SUMPRODUCT(MAX(ROW(E$1:E238)*(E239=E$1:E238)))))</f>
        <v>0</v>
      </c>
      <c r="L239" s="25"/>
    </row>
    <row r="240" spans="1:12" x14ac:dyDescent="0.3">
      <c r="A240" t="s">
        <v>252</v>
      </c>
      <c r="E240" s="20" t="str">
        <f t="shared" ref="E240:E259" si="18">IF(D240="?OLD","!!!","")</f>
        <v/>
      </c>
      <c r="F240" s="21" t="str">
        <f>IF(OR(E240="",E240="!!!"),"",IF(NOT(ISNA(VLOOKUP(E240,E$1:E239,1,FALSE()))),"OLD",IF(AND(E240&lt;&gt;"",E240&lt;&gt;"!!!"),"NEW","")))</f>
        <v/>
      </c>
      <c r="G240" s="22" t="str">
        <f>IF(OR(E240="",E240="!!!"),"",IF(OR(J240=0,AND(J240=1,K240=1),AND(J240=1,I240="SBJ"),AND(J240=1,I240=0)),"?IN_FOCUS",IF(J240&lt;=2,"?ACTIVATED",IF(J240&lt;&gt;"","?FAMILIAR",IF(F240="NEW",IF(ISNA(VLOOKUP(E240,#REF!,1,FALSE())),"?TYPE_IDENTIFIABLE","?REFERENTIAL"),"_")))))</f>
        <v/>
      </c>
      <c r="H240" s="23" t="str">
        <f t="shared" ref="H240:H259" ca="1" si="19">IF(J240&lt;&gt;1,"",IF(I240="SBJ","CB","?"))</f>
        <v/>
      </c>
      <c r="I240" s="24" t="str">
        <f>IF(OR(E240="",E240="!!!",F240="NEW"),"",INDEX(B$2:B239,-1+SUMPRODUCT(MAX(ROW(E$2:E239)*(E240=E$2:E239)))))</f>
        <v/>
      </c>
      <c r="J240" s="24" t="str">
        <f ca="1">IF(OR(E240="",E240="!!!",F240="NEW"),"",COUNTBLANK(OFFSET(A$1,,,SUMPRODUCT(MAX(ROW(E$2:E240)*(E240=E$2:E240)))))-COUNTBLANK(OFFSET(A$1,,,SUMPRODUCT(MAX(ROW(E$1:E239)*(E2=E$1:E239))))))</f>
        <v/>
      </c>
      <c r="K240" s="24" t="str">
        <f>IF(OR(E240="",E240="!!!",F240="NEW"),"",INDEX(J$1:J239,SUMPRODUCT(MAX(ROW(E$1:E239)*(E240=E$1:E239)))))</f>
        <v/>
      </c>
      <c r="L240" s="25"/>
    </row>
    <row r="241" spans="1:12" x14ac:dyDescent="0.3">
      <c r="A241" t="s">
        <v>362</v>
      </c>
      <c r="E241" s="20" t="str">
        <f t="shared" si="18"/>
        <v/>
      </c>
      <c r="F241" s="21" t="str">
        <f>IF(OR(E241="",E241="!!!"),"",IF(NOT(ISNA(VLOOKUP(E241,E$1:E240,1,FALSE()))),"OLD",IF(AND(E241&lt;&gt;"",E241&lt;&gt;"!!!"),"NEW","")))</f>
        <v/>
      </c>
      <c r="G241" s="22" t="str">
        <f>IF(OR(E241="",E241="!!!"),"",IF(OR(J241=0,AND(J241=1,K241=1),AND(J241=1,I241="SBJ"),AND(J241=1,I241=0)),"?IN_FOCUS",IF(J241&lt;=2,"?ACTIVATED",IF(J241&lt;&gt;"","?FAMILIAR",IF(F241="NEW",IF(ISNA(VLOOKUP(E241,#REF!,1,FALSE())),"?TYPE_IDENTIFIABLE","?REFERENTIAL"),"_")))))</f>
        <v/>
      </c>
      <c r="H241" s="23" t="str">
        <f t="shared" ca="1" si="19"/>
        <v/>
      </c>
      <c r="I241" s="24" t="str">
        <f>IF(OR(E241="",E241="!!!",F241="NEW"),"",INDEX(B$2:B240,-1+SUMPRODUCT(MAX(ROW(E$2:E240)*(E241=E$2:E240)))))</f>
        <v/>
      </c>
      <c r="J241" s="24" t="str">
        <f ca="1">IF(OR(E241="",E241="!!!",F241="NEW"),"",COUNTBLANK(OFFSET(A$1,,,SUMPRODUCT(MAX(ROW(E$2:E241)*(E241=E$2:E241)))))-COUNTBLANK(OFFSET(A$1,,,SUMPRODUCT(MAX(ROW(E$1:E240)*(E2=E$1:E240))))))</f>
        <v/>
      </c>
      <c r="K241" s="24" t="str">
        <f>IF(OR(E241="",E241="!!!",F241="NEW"),"",INDEX(J$1:J240,SUMPRODUCT(MAX(ROW(E$1:E240)*(E241=E$1:E240)))))</f>
        <v/>
      </c>
      <c r="L241" s="25"/>
    </row>
    <row r="242" spans="1:12" x14ac:dyDescent="0.3">
      <c r="A242" t="s">
        <v>231</v>
      </c>
      <c r="E242" s="20" t="str">
        <f t="shared" si="18"/>
        <v/>
      </c>
      <c r="F242" s="21" t="str">
        <f>IF(OR(E242="",E242="!!!"),"",IF(NOT(ISNA(VLOOKUP(E242,E$1:E241,1,FALSE()))),"OLD",IF(AND(E242&lt;&gt;"",E242&lt;&gt;"!!!"),"NEW","")))</f>
        <v/>
      </c>
      <c r="G242" s="22" t="str">
        <f>IF(OR(E242="",E242="!!!"),"",IF(OR(J242=0,AND(J242=1,K242=1),AND(J242=1,I242="SBJ"),AND(J242=1,I242=0)),"?IN_FOCUS",IF(J242&lt;=2,"?ACTIVATED",IF(J242&lt;&gt;"","?FAMILIAR",IF(F242="NEW",IF(ISNA(VLOOKUP(E242,#REF!,1,FALSE())),"?TYPE_IDENTIFIABLE","?REFERENTIAL"),"_")))))</f>
        <v/>
      </c>
      <c r="H242" s="23" t="str">
        <f t="shared" ca="1" si="19"/>
        <v/>
      </c>
      <c r="I242" s="24" t="str">
        <f>IF(OR(E242="",E242="!!!",F242="NEW"),"",INDEX(B$2:B241,-1+SUMPRODUCT(MAX(ROW(E$2:E241)*(E242=E$2:E241)))))</f>
        <v/>
      </c>
      <c r="J242" s="24" t="str">
        <f ca="1">IF(OR(E242="",E242="!!!",F242="NEW"),"",COUNTBLANK(OFFSET(A$1,,,SUMPRODUCT(MAX(ROW(E$2:E242)*(E242=E$2:E242)))))-COUNTBLANK(OFFSET(A$1,,,SUMPRODUCT(MAX(ROW(E$1:E241)*(E2=E$1:E241))))))</f>
        <v/>
      </c>
      <c r="K242" s="24" t="str">
        <f>IF(OR(E242="",E242="!!!",F242="NEW"),"",INDEX(J$1:J241,SUMPRODUCT(MAX(ROW(E$1:E241)*(E242=E$1:E241)))))</f>
        <v/>
      </c>
      <c r="L242" s="25"/>
    </row>
    <row r="243" spans="1:12" x14ac:dyDescent="0.3">
      <c r="A243" t="s">
        <v>238</v>
      </c>
      <c r="E243" s="20" t="str">
        <f>IF(D243="?OLD","!!!","")</f>
        <v/>
      </c>
      <c r="F243" s="21" t="str">
        <f>IF(OR(E243="",E243="!!!"),"",IF(NOT(ISNA(VLOOKUP(E243,E$1:E242,1,FALSE()))),"OLD",IF(AND(E243&lt;&gt;"",E243&lt;&gt;"!!!"),"NEW","")))</f>
        <v/>
      </c>
      <c r="G243" s="22" t="str">
        <f>IF(OR(E243="",E243="!!!"),"",IF(OR(J243=0,AND(J243=1,K243=1),AND(J243=1,I243="SBJ"),AND(J243=1,I243=0)),"?IN_FOCUS",IF(J243&lt;=2,"?ACTIVATED",IF(J243&lt;&gt;"","?FAMILIAR",IF(F243="NEW",IF(ISNA(VLOOKUP(E243,#REF!,1,FALSE())),"?TYPE_IDENTIFIABLE","?REFERENTIAL"),"_")))))</f>
        <v/>
      </c>
      <c r="H243" s="23" t="str">
        <f t="shared" ca="1" si="19"/>
        <v/>
      </c>
      <c r="I243" s="24" t="str">
        <f>IF(OR(E243="",E243="!!!",F243="NEW"),"",INDEX(B$2:B242,-1+SUMPRODUCT(MAX(ROW(E$2:E242)*(E243=E$2:E242)))))</f>
        <v/>
      </c>
      <c r="J243" s="24" t="str">
        <f ca="1">IF(OR(E243="",E243="!!!",F243="NEW"),"",COUNTBLANK(OFFSET(A$1,,,SUMPRODUCT(MAX(ROW(E$2:E243)*(E243=E$2:E243)))))-COUNTBLANK(OFFSET(A$1,,,SUMPRODUCT(MAX(ROW(E$1:E242)*(E2=E$1:E242))))))</f>
        <v/>
      </c>
      <c r="K243" s="24" t="str">
        <f>IF(OR(E243="",E243="!!!",F243="NEW"),"",INDEX(J$1:J242,SUMPRODUCT(MAX(ROW(E$1:E242)*(E243=E$1:E242)))))</f>
        <v/>
      </c>
      <c r="L243" s="25"/>
    </row>
    <row r="244" spans="1:12" x14ac:dyDescent="0.3">
      <c r="A244" t="s">
        <v>363</v>
      </c>
      <c r="B244" s="26" t="s">
        <v>261</v>
      </c>
      <c r="C244" s="26" t="s">
        <v>264</v>
      </c>
      <c r="D244" s="26" t="s">
        <v>215</v>
      </c>
      <c r="E244" s="20" t="s">
        <v>680</v>
      </c>
      <c r="F244" s="21" t="str">
        <f>IF(OR(E244="",E244="!!!"),"",IF(NOT(ISNA(VLOOKUP(E244,E$1:E243,1,FALSE()))),"OLD",IF(AND(E244&lt;&gt;"",E244&lt;&gt;"!!!"),"NEW","")))</f>
        <v>NEW</v>
      </c>
      <c r="G244" s="22" t="str">
        <f ca="1">IF(OR(E244="",E244="!!!"),"",IF(OR(J244=0,AND(J244=1,K244=1),AND(J244=1,I244="SBJ"),AND(J244=1,I244=0)),"?IN_FOCUS",IF(J244&lt;=2,"?ACTIVATED",IF(J244&lt;&gt;"","?FAMILIAR",IF(F244="NEW",IF(ISNA(VLOOKUP(E244,#REF!,1,FALSE())),"?TYPE_IDENTIFIABLE","?REFERENTIAL"),"_")))))</f>
        <v>?REFERENTIAL</v>
      </c>
      <c r="H244" s="23" t="str">
        <f t="shared" ca="1" si="19"/>
        <v/>
      </c>
      <c r="I244" s="24" t="str">
        <f>IF(OR(E244="",E244="!!!",F244="NEW"),"",INDEX(B$2:B243,-1+SUMPRODUCT(MAX(ROW(E$2:E243)*(E244=E$2:E243)))))</f>
        <v/>
      </c>
      <c r="J244" s="24" t="str">
        <f ca="1">IF(OR(E244="",E244="!!!",F244="NEW"),"",COUNTBLANK(OFFSET(A$1,,,SUMPRODUCT(MAX(ROW(E$2:E244)*(E244=E$2:E244)))))-COUNTBLANK(OFFSET(A$1,,,SUMPRODUCT(MAX(ROW(E$1:E243)*(E2=E$1:E243))))))</f>
        <v/>
      </c>
      <c r="K244" s="24" t="str">
        <f>IF(OR(E244="",E244="!!!",F244="NEW"),"",INDEX(J$1:J243,SUMPRODUCT(MAX(ROW(E$1:E243)*(E244=E$1:E243)))))</f>
        <v/>
      </c>
      <c r="L244" s="25"/>
    </row>
    <row r="245" spans="1:12" x14ac:dyDescent="0.3">
      <c r="A245" t="s">
        <v>223</v>
      </c>
      <c r="E245" s="20" t="str">
        <f t="shared" si="18"/>
        <v/>
      </c>
      <c r="F245" s="21" t="str">
        <f>IF(OR(E245="",E245="!!!"),"",IF(NOT(ISNA(VLOOKUP(E245,E$1:E244,1,FALSE()))),"OLD",IF(AND(E245&lt;&gt;"",E245&lt;&gt;"!!!"),"NEW","")))</f>
        <v/>
      </c>
      <c r="G245" s="22" t="str">
        <f>IF(OR(E245="",E245="!!!"),"",IF(OR(J245=0,AND(J245=1,K245=1),AND(J245=1,I245="SBJ"),AND(J245=1,I245=0)),"?IN_FOCUS",IF(J245&lt;=2,"?ACTIVATED",IF(J245&lt;&gt;"","?FAMILIAR",IF(F245="NEW",IF(ISNA(VLOOKUP(E245,#REF!,1,FALSE())),"?TYPE_IDENTIFIABLE","?REFERENTIAL"),"_")))))</f>
        <v/>
      </c>
      <c r="H245" s="23" t="str">
        <f t="shared" ca="1" si="19"/>
        <v/>
      </c>
      <c r="I245" s="24" t="str">
        <f>IF(OR(E245="",E245="!!!",F245="NEW"),"",INDEX(B$2:B244,-1+SUMPRODUCT(MAX(ROW(E$2:E244)*(E245=E$2:E244)))))</f>
        <v/>
      </c>
      <c r="J245" s="24" t="str">
        <f ca="1">IF(OR(E245="",E245="!!!",F245="NEW"),"",COUNTBLANK(OFFSET(A$1,,,SUMPRODUCT(MAX(ROW(E$2:E245)*(E245=E$2:E245)))))-COUNTBLANK(OFFSET(A$1,,,SUMPRODUCT(MAX(ROW(E$1:E244)*(E2=E$1:E244))))))</f>
        <v/>
      </c>
      <c r="K245" s="24" t="str">
        <f>IF(OR(E245="",E245="!!!",F245="NEW"),"",INDEX(J$1:J244,SUMPRODUCT(MAX(ROW(E$1:E244)*(E245=E$1:E244)))))</f>
        <v/>
      </c>
      <c r="L245" s="25"/>
    </row>
    <row r="246" spans="1:12" x14ac:dyDescent="0.3">
      <c r="A246" t="s">
        <v>364</v>
      </c>
      <c r="B246" s="26" t="s">
        <v>325</v>
      </c>
      <c r="C246" s="26" t="s">
        <v>214</v>
      </c>
      <c r="D246" s="26" t="s">
        <v>215</v>
      </c>
      <c r="E246" s="20" t="s">
        <v>364</v>
      </c>
      <c r="F246" s="21" t="str">
        <f>IF(OR(E246="",E246="!!!"),"",IF(NOT(ISNA(VLOOKUP(E246,E$1:E245,1,FALSE()))),"OLD",IF(AND(E246&lt;&gt;"",E246&lt;&gt;"!!!"),"NEW","")))</f>
        <v>NEW</v>
      </c>
      <c r="G246" s="22" t="s">
        <v>657</v>
      </c>
      <c r="H246" s="23" t="str">
        <f t="shared" ca="1" si="19"/>
        <v/>
      </c>
      <c r="I246" s="24" t="str">
        <f>IF(OR(E246="",E246="!!!",F246="NEW"),"",INDEX(B$2:B245,-1+SUMPRODUCT(MAX(ROW(E$2:E245)*(E246=E$2:E245)))))</f>
        <v/>
      </c>
      <c r="J246" s="24" t="str">
        <f ca="1">IF(OR(E246="",E246="!!!",F246="NEW"),"",COUNTBLANK(OFFSET(A$1,,,SUMPRODUCT(MAX(ROW(E$2:E246)*(E246=E$2:E246)))))-COUNTBLANK(OFFSET(A$1,,,SUMPRODUCT(MAX(ROW(E$1:E245)*(E2=E$1:E245))))))</f>
        <v/>
      </c>
      <c r="K246" s="24" t="str">
        <f>IF(OR(E246="",E246="!!!",F246="NEW"),"",INDEX(J$1:J245,SUMPRODUCT(MAX(ROW(E$1:E245)*(E246=E$1:E245)))))</f>
        <v/>
      </c>
      <c r="L246" s="25"/>
    </row>
    <row r="247" spans="1:12" x14ac:dyDescent="0.3">
      <c r="A247" t="s">
        <v>270</v>
      </c>
      <c r="E247" s="20" t="str">
        <f t="shared" si="18"/>
        <v/>
      </c>
      <c r="F247" s="21" t="str">
        <f>IF(OR(E247="",E247="!!!"),"",IF(NOT(ISNA(VLOOKUP(E247,E$1:E246,1,FALSE()))),"OLD",IF(AND(E247&lt;&gt;"",E247&lt;&gt;"!!!"),"NEW","")))</f>
        <v/>
      </c>
      <c r="G247" s="22" t="str">
        <f>IF(OR(E247="",E247="!!!"),"",IF(OR(J247=0,AND(J247=1,K247=1),AND(J247=1,I247="SBJ"),AND(J247=1,I247=0)),"?IN_FOCUS",IF(J247&lt;=2,"?ACTIVATED",IF(J247&lt;&gt;"","?FAMILIAR",IF(F247="NEW",IF(ISNA(VLOOKUP(E247,#REF!,1,FALSE())),"?TYPE_IDENTIFIABLE","?REFERENTIAL"),"_")))))</f>
        <v/>
      </c>
      <c r="H247" s="23" t="str">
        <f t="shared" ca="1" si="19"/>
        <v/>
      </c>
      <c r="I247" s="24" t="str">
        <f>IF(OR(E247="",E247="!!!",F247="NEW"),"",INDEX(B$2:B246,-1+SUMPRODUCT(MAX(ROW(E$2:E246)*(E247=E$2:E246)))))</f>
        <v/>
      </c>
      <c r="J247" s="24" t="str">
        <f ca="1">IF(OR(E247="",E247="!!!",F247="NEW"),"",COUNTBLANK(OFFSET(A$1,,,SUMPRODUCT(MAX(ROW(E$2:E247)*(E247=E$2:E247)))))-COUNTBLANK(OFFSET(A$1,,,SUMPRODUCT(MAX(ROW(E$1:E246)*(E2=E$1:E246))))))</f>
        <v/>
      </c>
      <c r="K247" s="24" t="str">
        <f>IF(OR(E247="",E247="!!!",F247="NEW"),"",INDEX(J$1:J246,SUMPRODUCT(MAX(ROW(E$1:E246)*(E247=E$1:E246)))))</f>
        <v/>
      </c>
      <c r="L247" s="25"/>
    </row>
    <row r="248" spans="1:12" x14ac:dyDescent="0.3">
      <c r="A248" t="s">
        <v>365</v>
      </c>
      <c r="E248" s="20" t="str">
        <f t="shared" si="18"/>
        <v/>
      </c>
      <c r="F248" s="21" t="str">
        <f>IF(OR(E248="",E248="!!!"),"",IF(NOT(ISNA(VLOOKUP(E248,E$1:E247,1,FALSE()))),"OLD",IF(AND(E248&lt;&gt;"",E248&lt;&gt;"!!!"),"NEW","")))</f>
        <v/>
      </c>
      <c r="G248" s="22" t="str">
        <f>IF(OR(E248="",E248="!!!"),"",IF(OR(J248=0,AND(J248=1,K248=1),AND(J248=1,I248="SBJ"),AND(J248=1,I248=0)),"?IN_FOCUS",IF(J248&lt;=2,"?ACTIVATED",IF(J248&lt;&gt;"","?FAMILIAR",IF(F248="NEW",IF(ISNA(VLOOKUP(E248,#REF!,1,FALSE())),"?TYPE_IDENTIFIABLE","?REFERENTIAL"),"_")))))</f>
        <v/>
      </c>
      <c r="H248" s="23" t="str">
        <f t="shared" ca="1" si="19"/>
        <v/>
      </c>
      <c r="I248" s="24" t="str">
        <f>IF(OR(E248="",E248="!!!",F248="NEW"),"",INDEX(B$2:B247,-1+SUMPRODUCT(MAX(ROW(E$2:E247)*(E248=E$2:E247)))))</f>
        <v/>
      </c>
      <c r="J248" s="24" t="str">
        <f ca="1">IF(OR(E248="",E248="!!!",F248="NEW"),"",COUNTBLANK(OFFSET(A$1,,,SUMPRODUCT(MAX(ROW(E$2:E248)*(E248=E$2:E248)))))-COUNTBLANK(OFFSET(A$1,,,SUMPRODUCT(MAX(ROW(E$1:E247)*(E2=E$1:E247))))))</f>
        <v/>
      </c>
      <c r="K248" s="24" t="str">
        <f>IF(OR(E248="",E248="!!!",F248="NEW"),"",INDEX(J$1:J247,SUMPRODUCT(MAX(ROW(E$1:E247)*(E248=E$1:E247)))))</f>
        <v/>
      </c>
      <c r="L248" s="25"/>
    </row>
    <row r="249" spans="1:12" x14ac:dyDescent="0.3">
      <c r="A249" t="s">
        <v>287</v>
      </c>
      <c r="E249" s="20" t="str">
        <f t="shared" si="18"/>
        <v/>
      </c>
      <c r="F249" s="21" t="str">
        <f>IF(OR(E249="",E249="!!!"),"",IF(NOT(ISNA(VLOOKUP(E249,E$1:E248,1,FALSE()))),"OLD",IF(AND(E249&lt;&gt;"",E249&lt;&gt;"!!!"),"NEW","")))</f>
        <v/>
      </c>
      <c r="G249" s="22" t="str">
        <f>IF(OR(E249="",E249="!!!"),"",IF(OR(J249=0,AND(J249=1,K249=1),AND(J249=1,I249="SBJ"),AND(J249=1,I249=0)),"?IN_FOCUS",IF(J249&lt;=2,"?ACTIVATED",IF(J249&lt;&gt;"","?FAMILIAR",IF(F249="NEW",IF(ISNA(VLOOKUP(E249,#REF!,1,FALSE())),"?TYPE_IDENTIFIABLE","?REFERENTIAL"),"_")))))</f>
        <v/>
      </c>
      <c r="H249" s="23" t="str">
        <f t="shared" ca="1" si="19"/>
        <v/>
      </c>
      <c r="I249" s="24" t="str">
        <f>IF(OR(E249="",E249="!!!",F249="NEW"),"",INDEX(B$2:B248,-1+SUMPRODUCT(MAX(ROW(E$2:E248)*(E249=E$2:E248)))))</f>
        <v/>
      </c>
      <c r="J249" s="24" t="str">
        <f ca="1">IF(OR(E249="",E249="!!!",F249="NEW"),"",COUNTBLANK(OFFSET(A$1,,,SUMPRODUCT(MAX(ROW(E$2:E249)*(E249=E$2:E249)))))-COUNTBLANK(OFFSET(A$1,,,SUMPRODUCT(MAX(ROW(E$1:E248)*(E2=E$1:E248))))))</f>
        <v/>
      </c>
      <c r="K249" s="24" t="str">
        <f>IF(OR(E249="",E249="!!!",F249="NEW"),"",INDEX(J$1:J248,SUMPRODUCT(MAX(ROW(E$1:E248)*(E249=E$1:E248)))))</f>
        <v/>
      </c>
      <c r="L249" s="25"/>
    </row>
    <row r="250" spans="1:12" x14ac:dyDescent="0.3">
      <c r="A250" t="s">
        <v>366</v>
      </c>
      <c r="B250" s="26" t="s">
        <v>266</v>
      </c>
      <c r="C250" s="26" t="s">
        <v>214</v>
      </c>
      <c r="D250" s="26" t="s">
        <v>215</v>
      </c>
      <c r="E250" s="20"/>
      <c r="F250" s="21"/>
      <c r="G250" s="22" t="str">
        <f>IF(OR(E250="",E250="!!!"),"",IF(OR(J250=0,AND(J250=1,K250=1),AND(J250=1,I250="SBJ"),AND(J250=1,I250=0)),"?IN_FOCUS",IF(J250&lt;=2,"?ACTIVATED",IF(J250&lt;&gt;"","?FAMILIAR",IF(F250="NEW",IF(ISNA(VLOOKUP(E250,#REF!,1,FALSE())),"?TYPE_IDENTIFIABLE","?REFERENTIAL"),"_")))))</f>
        <v/>
      </c>
      <c r="H250" s="23" t="str">
        <f t="shared" ca="1" si="19"/>
        <v/>
      </c>
      <c r="I250" s="24" t="str">
        <f>IF(OR(E250="",E250="!!!",F250="NEW"),"",INDEX(B$2:B249,-1+SUMPRODUCT(MAX(ROW(E$2:E249)*(E250=E$2:E249)))))</f>
        <v/>
      </c>
      <c r="J250" s="24" t="str">
        <f ca="1">IF(OR(E250="",E250="!!!",F250="NEW"),"",COUNTBLANK(OFFSET(A$1,,,SUMPRODUCT(MAX(ROW(E$2:E250)*(E250=E$2:E250)))))-COUNTBLANK(OFFSET(A$1,,,SUMPRODUCT(MAX(ROW(E$1:E249)*(E2=E$1:E249))))))</f>
        <v/>
      </c>
      <c r="K250" s="24" t="str">
        <f>IF(OR(E250="",E250="!!!",F250="NEW"),"",INDEX(J$1:J249,SUMPRODUCT(MAX(ROW(E$1:E249)*(E250=E$1:E249)))))</f>
        <v/>
      </c>
      <c r="L250" s="25" t="s">
        <v>682</v>
      </c>
    </row>
    <row r="251" spans="1:12" x14ac:dyDescent="0.3">
      <c r="A251" t="s">
        <v>367</v>
      </c>
      <c r="B251" s="26" t="s">
        <v>225</v>
      </c>
      <c r="C251" s="26" t="s">
        <v>264</v>
      </c>
      <c r="D251" s="26" t="s">
        <v>215</v>
      </c>
      <c r="E251" s="20" t="s">
        <v>683</v>
      </c>
      <c r="F251" s="21" t="s">
        <v>677</v>
      </c>
      <c r="G251" s="22" t="s">
        <v>657</v>
      </c>
      <c r="H251" s="23" t="str">
        <f t="shared" ca="1" si="19"/>
        <v/>
      </c>
      <c r="I251" s="24" t="e">
        <f>IF(OR(E251="",E251="!!!",F251="NEW"),"",INDEX(B$2:B250,-1+SUMPRODUCT(MAX(ROW(E$2:E250)*(E251=E$2:E250)))))</f>
        <v>#VALUE!</v>
      </c>
      <c r="J251" s="24">
        <f ca="1">IF(OR(E251="",E251="!!!",F251="NEW"),"",COUNTBLANK(OFFSET(A$1,,,SUMPRODUCT(MAX(ROW(E$2:E251)*(E251=E$2:E251)))))-COUNTBLANK(OFFSET(A$1,,,SUMPRODUCT(MAX(ROW(E$1:E250)*(E2=E$1:E250))))))</f>
        <v>0</v>
      </c>
      <c r="K251" s="24" t="e">
        <f>IF(OR(E251="",E251="!!!",F251="NEW"),"",INDEX(J$1:J250,SUMPRODUCT(MAX(ROW(E$1:E250)*(E251=E$1:E250)))))</f>
        <v>#VALUE!</v>
      </c>
      <c r="L251" s="25"/>
    </row>
    <row r="252" spans="1:12" x14ac:dyDescent="0.3">
      <c r="A252" t="s">
        <v>207</v>
      </c>
      <c r="E252" s="20" t="str">
        <f t="shared" si="18"/>
        <v/>
      </c>
      <c r="F252" s="21" t="str">
        <f>IF(OR(E252="",E252="!!!"),"",IF(NOT(ISNA(VLOOKUP(E252,E$1:E251,1,FALSE()))),"OLD",IF(AND(E252&lt;&gt;"",E252&lt;&gt;"!!!"),"NEW","")))</f>
        <v/>
      </c>
      <c r="G252" s="22" t="str">
        <f>IF(OR(E252="",E252="!!!"),"",IF(OR(J252=0,AND(J252=1,K252=1),AND(J252=1,I252="SBJ"),AND(J252=1,I252=0)),"?IN_FOCUS",IF(J252&lt;=2,"?ACTIVATED",IF(J252&lt;&gt;"","?FAMILIAR",IF(F252="NEW",IF(ISNA(VLOOKUP(E252,#REF!,1,FALSE())),"?TYPE_IDENTIFIABLE","?REFERENTIAL"),"_")))))</f>
        <v/>
      </c>
      <c r="H252" s="23" t="str">
        <f t="shared" ca="1" si="19"/>
        <v/>
      </c>
      <c r="I252" s="24" t="str">
        <f>IF(OR(E252="",E252="!!!",F252="NEW"),"",INDEX(B$2:B251,-1+SUMPRODUCT(MAX(ROW(E$2:E251)*(E252=E$2:E251)))))</f>
        <v/>
      </c>
      <c r="J252" s="24" t="str">
        <f ca="1">IF(OR(E252="",E252="!!!",F252="NEW"),"",COUNTBLANK(OFFSET(A$1,,,SUMPRODUCT(MAX(ROW(E$2:E252)*(E252=E$2:E252)))))-COUNTBLANK(OFFSET(A$1,,,SUMPRODUCT(MAX(ROW(E$1:E251)*(E2=E$1:E251))))))</f>
        <v/>
      </c>
      <c r="K252" s="24" t="str">
        <f>IF(OR(E252="",E252="!!!",F252="NEW"),"",INDEX(J$1:J251,SUMPRODUCT(MAX(ROW(E$1:E251)*(E252=E$1:E251)))))</f>
        <v/>
      </c>
      <c r="L252" s="25"/>
    </row>
    <row r="253" spans="1:12" x14ac:dyDescent="0.3">
      <c r="A253" t="s">
        <v>287</v>
      </c>
      <c r="E253" s="20" t="str">
        <f t="shared" si="18"/>
        <v/>
      </c>
      <c r="F253" s="21" t="str">
        <f>IF(OR(E253="",E253="!!!"),"",IF(NOT(ISNA(VLOOKUP(E253,E$1:E252,1,FALSE()))),"OLD",IF(AND(E253&lt;&gt;"",E253&lt;&gt;"!!!"),"NEW","")))</f>
        <v/>
      </c>
      <c r="G253" s="22" t="str">
        <f>IF(OR(E253="",E253="!!!"),"",IF(OR(J253=0,AND(J253=1,K253=1),AND(J253=1,I253="SBJ"),AND(J253=1,I253=0)),"?IN_FOCUS",IF(J253&lt;=2,"?ACTIVATED",IF(J253&lt;&gt;"","?FAMILIAR",IF(F253="NEW",IF(ISNA(VLOOKUP(E253,#REF!,1,FALSE())),"?TYPE_IDENTIFIABLE","?REFERENTIAL"),"_")))))</f>
        <v/>
      </c>
      <c r="H253" s="23" t="str">
        <f t="shared" ca="1" si="19"/>
        <v/>
      </c>
      <c r="I253" s="24" t="str">
        <f>IF(OR(E253="",E253="!!!",F253="NEW"),"",INDEX(B$2:B252,-1+SUMPRODUCT(MAX(ROW(E$2:E252)*(E253=E$2:E252)))))</f>
        <v/>
      </c>
      <c r="J253" s="24" t="str">
        <f ca="1">IF(OR(E253="",E253="!!!",F253="NEW"),"",COUNTBLANK(OFFSET(A$1,,,SUMPRODUCT(MAX(ROW(E$2:E253)*(E253=E$2:E253)))))-COUNTBLANK(OFFSET(A$1,,,SUMPRODUCT(MAX(ROW(E$1:E252)*(E2=E$1:E252))))))</f>
        <v/>
      </c>
      <c r="K253" s="24" t="str">
        <f>IF(OR(E253="",E253="!!!",F253="NEW"),"",INDEX(J$1:J252,SUMPRODUCT(MAX(ROW(E$1:E252)*(E253=E$1:E252)))))</f>
        <v/>
      </c>
      <c r="L253" s="25"/>
    </row>
    <row r="254" spans="1:12" x14ac:dyDescent="0.3">
      <c r="A254" t="s">
        <v>368</v>
      </c>
      <c r="E254" s="20" t="str">
        <f t="shared" si="18"/>
        <v/>
      </c>
      <c r="F254" s="21" t="str">
        <f>IF(OR(E254="",E254="!!!"),"",IF(NOT(ISNA(VLOOKUP(E254,E$1:E253,1,FALSE()))),"OLD",IF(AND(E254&lt;&gt;"",E254&lt;&gt;"!!!"),"NEW","")))</f>
        <v/>
      </c>
      <c r="G254" s="22" t="str">
        <f>IF(OR(E254="",E254="!!!"),"",IF(OR(J254=0,AND(J254=1,K254=1),AND(J254=1,I254="SBJ"),AND(J254=1,I254=0)),"?IN_FOCUS",IF(J254&lt;=2,"?ACTIVATED",IF(J254&lt;&gt;"","?FAMILIAR",IF(F254="NEW",IF(ISNA(VLOOKUP(E254,#REF!,1,FALSE())),"?TYPE_IDENTIFIABLE","?REFERENTIAL"),"_")))))</f>
        <v/>
      </c>
      <c r="H254" s="23" t="str">
        <f t="shared" ca="1" si="19"/>
        <v/>
      </c>
      <c r="I254" s="24" t="str">
        <f>IF(OR(E254="",E254="!!!",F254="NEW"),"",INDEX(B$2:B253,-1+SUMPRODUCT(MAX(ROW(E$2:E253)*(E254=E$2:E253)))))</f>
        <v/>
      </c>
      <c r="J254" s="24" t="str">
        <f ca="1">IF(OR(E254="",E254="!!!",F254="NEW"),"",COUNTBLANK(OFFSET(A$1,,,SUMPRODUCT(MAX(ROW(E$2:E254)*(E254=E$2:E254)))))-COUNTBLANK(OFFSET(A$1,,,SUMPRODUCT(MAX(ROW(E$1:E253)*(E2=E$1:E253))))))</f>
        <v/>
      </c>
      <c r="K254" s="24" t="str">
        <f>IF(OR(E254="",E254="!!!",F254="NEW"),"",INDEX(J$1:J253,SUMPRODUCT(MAX(ROW(E$1:E253)*(E254=E$1:E253)))))</f>
        <v/>
      </c>
      <c r="L254" s="25"/>
    </row>
    <row r="255" spans="1:12" x14ac:dyDescent="0.3">
      <c r="A255" t="s">
        <v>369</v>
      </c>
      <c r="B255" s="26" t="s">
        <v>233</v>
      </c>
      <c r="C255" s="26" t="s">
        <v>226</v>
      </c>
      <c r="E255" s="20" t="str">
        <f t="shared" si="18"/>
        <v/>
      </c>
      <c r="F255" s="21" t="str">
        <f>IF(OR(E255="",E255="!!!"),"",IF(NOT(ISNA(VLOOKUP(E255,E$1:E254,1,FALSE()))),"OLD",IF(AND(E255&lt;&gt;"",E255&lt;&gt;"!!!"),"NEW","")))</f>
        <v/>
      </c>
      <c r="G255" s="22" t="str">
        <f>IF(OR(E255="",E255="!!!"),"",IF(OR(J255=0,AND(J255=1,K255=1),AND(J255=1,I255="SBJ"),AND(J255=1,I255=0)),"?IN_FOCUS",IF(J255&lt;=2,"?ACTIVATED",IF(J255&lt;&gt;"","?FAMILIAR",IF(F255="NEW",IF(ISNA(VLOOKUP(E255,#REF!,1,FALSE())),"?TYPE_IDENTIFIABLE","?REFERENTIAL"),"_")))))</f>
        <v/>
      </c>
      <c r="H255" s="23" t="str">
        <f t="shared" ca="1" si="19"/>
        <v/>
      </c>
      <c r="I255" s="24" t="str">
        <f>IF(OR(E255="",E255="!!!",F255="NEW"),"",INDEX(B$2:B254,-1+SUMPRODUCT(MAX(ROW(E$2:E254)*(E255=E$2:E254)))))</f>
        <v/>
      </c>
      <c r="J255" s="24" t="str">
        <f ca="1">IF(OR(E255="",E255="!!!",F255="NEW"),"",COUNTBLANK(OFFSET(A$1,,,SUMPRODUCT(MAX(ROW(E$2:E255)*(E255=E$2:E255)))))-COUNTBLANK(OFFSET(A$1,,,SUMPRODUCT(MAX(ROW(E$1:E254)*(E2=E$1:E254))))))</f>
        <v/>
      </c>
      <c r="K255" s="24" t="str">
        <f>IF(OR(E255="",E255="!!!",F255="NEW"),"",INDEX(J$1:J254,SUMPRODUCT(MAX(ROW(E$1:E254)*(E255=E$1:E254)))))</f>
        <v/>
      </c>
      <c r="L255" s="25"/>
    </row>
    <row r="256" spans="1:12" x14ac:dyDescent="0.3">
      <c r="A256" t="s">
        <v>287</v>
      </c>
      <c r="E256" s="20" t="str">
        <f t="shared" si="18"/>
        <v/>
      </c>
      <c r="F256" s="21" t="str">
        <f>IF(OR(E256="",E256="!!!"),"",IF(NOT(ISNA(VLOOKUP(E256,E$1:E255,1,FALSE()))),"OLD",IF(AND(E256&lt;&gt;"",E256&lt;&gt;"!!!"),"NEW","")))</f>
        <v/>
      </c>
      <c r="G256" s="22" t="str">
        <f>IF(OR(E256="",E256="!!!"),"",IF(OR(J256=0,AND(J256=1,K256=1),AND(J256=1,I256="SBJ"),AND(J256=1,I256=0)),"?IN_FOCUS",IF(J256&lt;=2,"?ACTIVATED",IF(J256&lt;&gt;"","?FAMILIAR",IF(F256="NEW",IF(ISNA(VLOOKUP(E256,#REF!,1,FALSE())),"?TYPE_IDENTIFIABLE","?REFERENTIAL"),"_")))))</f>
        <v/>
      </c>
      <c r="H256" s="23" t="str">
        <f t="shared" ca="1" si="19"/>
        <v/>
      </c>
      <c r="I256" s="24" t="str">
        <f>IF(OR(E256="",E256="!!!",F256="NEW"),"",INDEX(B$2:B255,-1+SUMPRODUCT(MAX(ROW(E$2:E255)*(E256=E$2:E255)))))</f>
        <v/>
      </c>
      <c r="J256" s="24" t="str">
        <f ca="1">IF(OR(E256="",E256="!!!",F256="NEW"),"",COUNTBLANK(OFFSET(A$1,,,SUMPRODUCT(MAX(ROW(E$2:E256)*(E256=E$2:E256)))))-COUNTBLANK(OFFSET(A$1,,,SUMPRODUCT(MAX(ROW(E$1:E255)*(E2=E$1:E255))))))</f>
        <v/>
      </c>
      <c r="K256" s="24" t="str">
        <f>IF(OR(E256="",E256="!!!",F256="NEW"),"",INDEX(J$1:J255,SUMPRODUCT(MAX(ROW(E$1:E255)*(E256=E$1:E255)))))</f>
        <v/>
      </c>
      <c r="L256" s="25"/>
    </row>
    <row r="257" spans="1:12" x14ac:dyDescent="0.3">
      <c r="A257" t="s">
        <v>370</v>
      </c>
      <c r="E257" s="20" t="str">
        <f t="shared" si="18"/>
        <v/>
      </c>
      <c r="F257" s="21" t="str">
        <f>IF(OR(E257="",E257="!!!"),"",IF(NOT(ISNA(VLOOKUP(E257,E$1:E256,1,FALSE()))),"OLD",IF(AND(E257&lt;&gt;"",E257&lt;&gt;"!!!"),"NEW","")))</f>
        <v/>
      </c>
      <c r="G257" s="22" t="str">
        <f>IF(OR(E257="",E257="!!!"),"",IF(OR(J257=0,AND(J257=1,K257=1),AND(J257=1,I257="SBJ"),AND(J257=1,I257=0)),"?IN_FOCUS",IF(J257&lt;=2,"?ACTIVATED",IF(J257&lt;&gt;"","?FAMILIAR",IF(F257="NEW",IF(ISNA(VLOOKUP(E257,#REF!,1,FALSE())),"?TYPE_IDENTIFIABLE","?REFERENTIAL"),"_")))))</f>
        <v/>
      </c>
      <c r="H257" s="23" t="str">
        <f t="shared" ca="1" si="19"/>
        <v/>
      </c>
      <c r="I257" s="24" t="str">
        <f>IF(OR(E257="",E257="!!!",F257="NEW"),"",INDEX(B$2:B256,-1+SUMPRODUCT(MAX(ROW(E$2:E256)*(E257=E$2:E256)))))</f>
        <v/>
      </c>
      <c r="J257" s="24" t="str">
        <f ca="1">IF(OR(E257="",E257="!!!",F257="NEW"),"",COUNTBLANK(OFFSET(A$1,,,SUMPRODUCT(MAX(ROW(E$2:E257)*(E257=E$2:E257)))))-COUNTBLANK(OFFSET(A$1,,,SUMPRODUCT(MAX(ROW(E$1:E256)*(E2=E$1:E256))))))</f>
        <v/>
      </c>
      <c r="K257" s="24" t="str">
        <f>IF(OR(E257="",E257="!!!",F257="NEW"),"",INDEX(J$1:J256,SUMPRODUCT(MAX(ROW(E$1:E256)*(E257=E$1:E256)))))</f>
        <v/>
      </c>
      <c r="L257" s="25"/>
    </row>
    <row r="258" spans="1:12" x14ac:dyDescent="0.3">
      <c r="A258" t="s">
        <v>371</v>
      </c>
      <c r="B258" s="26" t="s">
        <v>328</v>
      </c>
      <c r="E258" s="20" t="str">
        <f t="shared" si="18"/>
        <v/>
      </c>
      <c r="F258" s="21" t="str">
        <f>IF(OR(E258="",E258="!!!"),"",IF(NOT(ISNA(VLOOKUP(E258,E$1:E257,1,FALSE()))),"OLD",IF(AND(E258&lt;&gt;"",E258&lt;&gt;"!!!"),"NEW","")))</f>
        <v/>
      </c>
      <c r="G258" s="22" t="str">
        <f>IF(OR(E258="",E258="!!!"),"",IF(OR(J258=0,AND(J258=1,K258=1),AND(J258=1,I258="SBJ"),AND(J258=1,I258=0)),"?IN_FOCUS",IF(J258&lt;=2,"?ACTIVATED",IF(J258&lt;&gt;"","?FAMILIAR",IF(F258="NEW",IF(ISNA(VLOOKUP(E258,#REF!,1,FALSE())),"?TYPE_IDENTIFIABLE","?REFERENTIAL"),"_")))))</f>
        <v/>
      </c>
      <c r="H258" s="23" t="str">
        <f t="shared" ca="1" si="19"/>
        <v/>
      </c>
      <c r="I258" s="24" t="str">
        <f>IF(OR(E258="",E258="!!!",F258="NEW"),"",INDEX(B$2:B257,-1+SUMPRODUCT(MAX(ROW(E$2:E257)*(E258=E$2:E257)))))</f>
        <v/>
      </c>
      <c r="J258" s="24" t="str">
        <f ca="1">IF(OR(E258="",E258="!!!",F258="NEW"),"",COUNTBLANK(OFFSET(A$1,,,SUMPRODUCT(MAX(ROW(E$2:E258)*(E258=E$2:E258)))))-COUNTBLANK(OFFSET(A$1,,,SUMPRODUCT(MAX(ROW(E$1:E257)*(E2=E$1:E257))))))</f>
        <v/>
      </c>
      <c r="K258" s="24" t="str">
        <f>IF(OR(E258="",E258="!!!",F258="NEW"),"",INDEX(J$1:J257,SUMPRODUCT(MAX(ROW(E$1:E257)*(E258=E$1:E257)))))</f>
        <v/>
      </c>
      <c r="L258" s="25"/>
    </row>
    <row r="259" spans="1:12" x14ac:dyDescent="0.3">
      <c r="A259" t="s">
        <v>234</v>
      </c>
      <c r="E259" s="20" t="str">
        <f t="shared" si="18"/>
        <v/>
      </c>
      <c r="F259" s="21" t="str">
        <f>IF(OR(E259="",E259="!!!"),"",IF(NOT(ISNA(VLOOKUP(E259,E$1:E258,1,FALSE()))),"OLD",IF(AND(E259&lt;&gt;"",E259&lt;&gt;"!!!"),"NEW","")))</f>
        <v/>
      </c>
      <c r="G259" s="22" t="str">
        <f>IF(OR(E259="",E259="!!!"),"",IF(OR(J259=0,AND(J259=1,K259=1),AND(J259=1,I259="SBJ"),AND(J259=1,I259=0)),"?IN_FOCUS",IF(J259&lt;=2,"?ACTIVATED",IF(J259&lt;&gt;"","?FAMILIAR",IF(F259="NEW",IF(ISNA(VLOOKUP(E259,#REF!,1,FALSE())),"?TYPE_IDENTIFIABLE","?REFERENTIAL"),"_")))))</f>
        <v/>
      </c>
      <c r="H259" s="23" t="str">
        <f t="shared" ca="1" si="19"/>
        <v/>
      </c>
      <c r="I259" s="24" t="str">
        <f>IF(OR(E259="",E259="!!!",F259="NEW"),"",INDEX(B$2:B258,-1+SUMPRODUCT(MAX(ROW(E$2:E258)*(E259=E$2:E258)))))</f>
        <v/>
      </c>
      <c r="J259" s="24" t="str">
        <f ca="1">IF(OR(E259="",E259="!!!",F259="NEW"),"",COUNTBLANK(OFFSET(A$1,,,SUMPRODUCT(MAX(ROW(E$2:E259)*(E259=E$2:E259)))))-COUNTBLANK(OFFSET(A$1,,,SUMPRODUCT(MAX(ROW(E$1:E258)*(E2=E$1:E258))))))</f>
        <v/>
      </c>
      <c r="K259" s="24" t="str">
        <f>IF(OR(E259="",E259="!!!",F259="NEW"),"",INDEX(J$1:J258,SUMPRODUCT(MAX(ROW(E$1:E258)*(E259=E$1:E258)))))</f>
        <v/>
      </c>
      <c r="L259" s="25"/>
    </row>
    <row r="261" spans="1:12" x14ac:dyDescent="0.3">
      <c r="A261" t="s">
        <v>372</v>
      </c>
    </row>
    <row r="262" spans="1:12" x14ac:dyDescent="0.3">
      <c r="A262" t="s">
        <v>361</v>
      </c>
      <c r="B262" s="26" t="s">
        <v>213</v>
      </c>
      <c r="C262" s="26" t="s">
        <v>230</v>
      </c>
      <c r="D262" s="26" t="s">
        <v>215</v>
      </c>
      <c r="E262" s="20" t="s">
        <v>669</v>
      </c>
      <c r="F262" s="21" t="str">
        <f>IF(OR(E262="",E262="!!!"),"",IF(NOT(ISNA(VLOOKUP(E262,E$1:E261,1,FALSE()))),"OLD",IF(AND(E262&lt;&gt;"",E262&lt;&gt;"!!!"),"NEW","")))</f>
        <v>OLD</v>
      </c>
      <c r="G262" s="22" t="str">
        <f ca="1">IF(OR(E262="",E262="!!!"),"",IF(OR(J262=0,AND(J262=1,K262=1),AND(J262=1,I262="SBJ"),AND(J262=1,I262=0)),"?IN_FOCUS",IF(J262&lt;=2,"?ACTIVATED",IF(J262&lt;&gt;"","?FAMILIAR",IF(F262="NEW",IF(ISNA(VLOOKUP(E262,#REF!,1,FALSE())),"?TYPE_IDENTIFIABLE","?REFERENTIAL"),"_")))))</f>
        <v>?IN_FOCUS</v>
      </c>
      <c r="H262" s="23" t="s">
        <v>198</v>
      </c>
      <c r="I262" s="24" t="str">
        <f>IF(OR(E262="",E262="!!!",F262="NEW"),"",INDEX(B$2:B261,-1+SUMPRODUCT(MAX(ROW(E$2:E261)*(E262=E$2:E261)))))</f>
        <v>SBJ</v>
      </c>
      <c r="J262" s="24">
        <f ca="1">IF(OR(E262="",E262="!!!",F262="NEW"),"",COUNTBLANK(OFFSET(A$1,,,SUMPRODUCT(MAX(ROW(E$2:E262)*(E262=E$2:E262)))))-COUNTBLANK(OFFSET(A$1,,,SUMPRODUCT(MAX(ROW(E$1:E261)*(E2=E$1:E261))))))</f>
        <v>0</v>
      </c>
      <c r="K262" s="24">
        <f ca="1">IF(OR(E262="",E262="!!!",F262="NEW"),"",INDEX(J$1:J261,SUMPRODUCT(MAX(ROW(E$1:E261)*(E262=E$1:E261)))))</f>
        <v>0</v>
      </c>
      <c r="L262" s="25"/>
    </row>
    <row r="263" spans="1:12" x14ac:dyDescent="0.3">
      <c r="A263" t="s">
        <v>217</v>
      </c>
      <c r="E263" s="20" t="str">
        <f t="shared" ref="E263:E293" si="20">IF(D263="?OLD","!!!","")</f>
        <v/>
      </c>
      <c r="F263" s="21" t="str">
        <f>IF(OR(E263="",E263="!!!"),"",IF(NOT(ISNA(VLOOKUP(E263,E$1:E262,1,FALSE()))),"OLD",IF(AND(E263&lt;&gt;"",E263&lt;&gt;"!!!"),"NEW","")))</f>
        <v/>
      </c>
      <c r="G263" s="22" t="str">
        <f>IF(OR(E263="",E263="!!!"),"",IF(OR(J263=0,AND(J263=1,K263=1),AND(J263=1,I263="SBJ"),AND(J263=1,I263=0)),"?IN_FOCUS",IF(J263&lt;=2,"?ACTIVATED",IF(J263&lt;&gt;"","?FAMILIAR",IF(F263="NEW",IF(ISNA(VLOOKUP(E263,#REF!,1,FALSE())),"?TYPE_IDENTIFIABLE","?REFERENTIAL"),"_")))))</f>
        <v/>
      </c>
      <c r="H263" s="23" t="str">
        <f t="shared" ref="H263:H293" ca="1" si="21">IF(J263&lt;&gt;1,"",IF(I263="SBJ","CB","?"))</f>
        <v/>
      </c>
      <c r="I263" s="24" t="str">
        <f>IF(OR(E263="",E263="!!!",F263="NEW"),"",INDEX(B$2:B262,-1+SUMPRODUCT(MAX(ROW(E$2:E262)*(E263=E$2:E262)))))</f>
        <v/>
      </c>
      <c r="J263" s="24" t="str">
        <f ca="1">IF(OR(E263="",E263="!!!",F263="NEW"),"",COUNTBLANK(OFFSET(A$1,,,SUMPRODUCT(MAX(ROW(E$2:E263)*(E263=E$2:E263)))))-COUNTBLANK(OFFSET(A$1,,,SUMPRODUCT(MAX(ROW(E$1:E262)*(E2=E$1:E262))))))</f>
        <v/>
      </c>
      <c r="K263" s="24" t="str">
        <f>IF(OR(E263="",E263="!!!",F263="NEW"),"",INDEX(J$1:J262,SUMPRODUCT(MAX(ROW(E$1:E262)*(E263=E$1:E262)))))</f>
        <v/>
      </c>
      <c r="L263" s="25"/>
    </row>
    <row r="264" spans="1:12" x14ac:dyDescent="0.3">
      <c r="A264" t="s">
        <v>373</v>
      </c>
      <c r="E264" s="20" t="str">
        <f t="shared" si="20"/>
        <v/>
      </c>
      <c r="F264" s="21" t="str">
        <f>IF(OR(E264="",E264="!!!"),"",IF(NOT(ISNA(VLOOKUP(E264,E$1:E263,1,FALSE()))),"OLD",IF(AND(E264&lt;&gt;"",E264&lt;&gt;"!!!"),"NEW","")))</f>
        <v/>
      </c>
      <c r="G264" s="22" t="str">
        <f>IF(OR(E264="",E264="!!!"),"",IF(OR(J264=0,AND(J264=1,K264=1),AND(J264=1,I264="SBJ"),AND(J264=1,I264=0)),"?IN_FOCUS",IF(J264&lt;=2,"?ACTIVATED",IF(J264&lt;&gt;"","?FAMILIAR",IF(F264="NEW",IF(ISNA(VLOOKUP(E264,#REF!,1,FALSE())),"?TYPE_IDENTIFIABLE","?REFERENTIAL"),"_")))))</f>
        <v/>
      </c>
      <c r="H264" s="23" t="str">
        <f t="shared" ca="1" si="21"/>
        <v/>
      </c>
      <c r="I264" s="24" t="str">
        <f>IF(OR(E264="",E264="!!!",F264="NEW"),"",INDEX(B$2:B263,-1+SUMPRODUCT(MAX(ROW(E$2:E263)*(E264=E$2:E263)))))</f>
        <v/>
      </c>
      <c r="J264" s="24" t="str">
        <f ca="1">IF(OR(E264="",E264="!!!",F264="NEW"),"",COUNTBLANK(OFFSET(A$1,,,SUMPRODUCT(MAX(ROW(E$2:E264)*(E264=E$2:E264)))))-COUNTBLANK(OFFSET(A$1,,,SUMPRODUCT(MAX(ROW(E$1:E263)*(E2=E$1:E263))))))</f>
        <v/>
      </c>
      <c r="K264" s="24" t="str">
        <f>IF(OR(E264="",E264="!!!",F264="NEW"),"",INDEX(J$1:J263,SUMPRODUCT(MAX(ROW(E$1:E263)*(E264=E$1:E263)))))</f>
        <v/>
      </c>
      <c r="L264" s="25"/>
    </row>
    <row r="265" spans="1:12" x14ac:dyDescent="0.3">
      <c r="A265" t="s">
        <v>320</v>
      </c>
      <c r="E265" s="20" t="str">
        <f t="shared" si="20"/>
        <v/>
      </c>
      <c r="F265" s="21" t="str">
        <f>IF(OR(E265="",E265="!!!"),"",IF(NOT(ISNA(VLOOKUP(E265,E$1:E264,1,FALSE()))),"OLD",IF(AND(E265&lt;&gt;"",E265&lt;&gt;"!!!"),"NEW","")))</f>
        <v/>
      </c>
      <c r="G265" s="22" t="str">
        <f>IF(OR(E265="",E265="!!!"),"",IF(OR(J265=0,AND(J265=1,K265=1),AND(J265=1,I265="SBJ"),AND(J265=1,I265=0)),"?IN_FOCUS",IF(J265&lt;=2,"?ACTIVATED",IF(J265&lt;&gt;"","?FAMILIAR",IF(F265="NEW",IF(ISNA(VLOOKUP(E265,#REF!,1,FALSE())),"?TYPE_IDENTIFIABLE","?REFERENTIAL"),"_")))))</f>
        <v/>
      </c>
      <c r="H265" s="23" t="str">
        <f t="shared" ca="1" si="21"/>
        <v/>
      </c>
      <c r="I265" s="24" t="str">
        <f>IF(OR(E265="",E265="!!!",F265="NEW"),"",INDEX(B$2:B264,-1+SUMPRODUCT(MAX(ROW(E$2:E264)*(E265=E$2:E264)))))</f>
        <v/>
      </c>
      <c r="J265" s="24" t="str">
        <f ca="1">IF(OR(E265="",E265="!!!",F265="NEW"),"",COUNTBLANK(OFFSET(A$1,,,SUMPRODUCT(MAX(ROW(E$2:E265)*(E265=E$2:E265)))))-COUNTBLANK(OFFSET(A$1,,,SUMPRODUCT(MAX(ROW(E$1:E264)*(E2=E$1:E264))))))</f>
        <v/>
      </c>
      <c r="K265" s="24" t="str">
        <f>IF(OR(E265="",E265="!!!",F265="NEW"),"",INDEX(J$1:J264,SUMPRODUCT(MAX(ROW(E$1:E264)*(E265=E$1:E264)))))</f>
        <v/>
      </c>
      <c r="L265" s="25"/>
    </row>
    <row r="266" spans="1:12" x14ac:dyDescent="0.3">
      <c r="A266" t="s">
        <v>238</v>
      </c>
      <c r="E266" s="20" t="str">
        <f t="shared" si="20"/>
        <v/>
      </c>
      <c r="F266" s="21" t="str">
        <f>IF(OR(E266="",E266="!!!"),"",IF(NOT(ISNA(VLOOKUP(E266,E$1:E265,1,FALSE()))),"OLD",IF(AND(E266&lt;&gt;"",E266&lt;&gt;"!!!"),"NEW","")))</f>
        <v/>
      </c>
      <c r="G266" s="22" t="str">
        <f>IF(OR(E266="",E266="!!!"),"",IF(OR(J266=0,AND(J266=1,K266=1),AND(J266=1,I266="SBJ"),AND(J266=1,I266=0)),"?IN_FOCUS",IF(J266&lt;=2,"?ACTIVATED",IF(J266&lt;&gt;"","?FAMILIAR",IF(F266="NEW",IF(ISNA(VLOOKUP(E266,#REF!,1,FALSE())),"?TYPE_IDENTIFIABLE","?REFERENTIAL"),"_")))))</f>
        <v/>
      </c>
      <c r="H266" s="23" t="str">
        <f t="shared" ca="1" si="21"/>
        <v/>
      </c>
      <c r="I266" s="24" t="str">
        <f>IF(OR(E266="",E266="!!!",F266="NEW"),"",INDEX(B$2:B265,-1+SUMPRODUCT(MAX(ROW(E$2:E265)*(E266=E$2:E265)))))</f>
        <v/>
      </c>
      <c r="J266" s="24" t="str">
        <f ca="1">IF(OR(E266="",E266="!!!",F266="NEW"),"",COUNTBLANK(OFFSET(A$1,,,SUMPRODUCT(MAX(ROW(E$2:E266)*(E266=E$2:E266)))))-COUNTBLANK(OFFSET(A$1,,,SUMPRODUCT(MAX(ROW(E$1:E265)*(E2=E$1:E265))))))</f>
        <v/>
      </c>
      <c r="K266" s="24" t="str">
        <f>IF(OR(E266="",E266="!!!",F266="NEW"),"",INDEX(J$1:J265,SUMPRODUCT(MAX(ROW(E$1:E265)*(E266=E$1:E265)))))</f>
        <v/>
      </c>
      <c r="L266" s="25"/>
    </row>
    <row r="267" spans="1:12" x14ac:dyDescent="0.3">
      <c r="A267" t="s">
        <v>374</v>
      </c>
      <c r="E267" s="20" t="str">
        <f t="shared" si="20"/>
        <v/>
      </c>
      <c r="F267" s="21" t="str">
        <f>IF(OR(E267="",E267="!!!"),"",IF(NOT(ISNA(VLOOKUP(E267,E$1:E266,1,FALSE()))),"OLD",IF(AND(E267&lt;&gt;"",E267&lt;&gt;"!!!"),"NEW","")))</f>
        <v/>
      </c>
      <c r="G267" s="22" t="str">
        <f>IF(OR(E267="",E267="!!!"),"",IF(OR(J267=0,AND(J267=1,K267=1),AND(J267=1,I267="SBJ"),AND(J267=1,I267=0)),"?IN_FOCUS",IF(J267&lt;=2,"?ACTIVATED",IF(J267&lt;&gt;"","?FAMILIAR",IF(F267="NEW",IF(ISNA(VLOOKUP(E267,#REF!,1,FALSE())),"?TYPE_IDENTIFIABLE","?REFERENTIAL"),"_")))))</f>
        <v/>
      </c>
      <c r="H267" s="23" t="str">
        <f t="shared" ca="1" si="21"/>
        <v/>
      </c>
      <c r="I267" s="24" t="str">
        <f>IF(OR(E267="",E267="!!!",F267="NEW"),"",INDEX(B$2:B266,-1+SUMPRODUCT(MAX(ROW(E$2:E266)*(E267=E$2:E266)))))</f>
        <v/>
      </c>
      <c r="J267" s="24" t="str">
        <f ca="1">IF(OR(E267="",E267="!!!",F267="NEW"),"",COUNTBLANK(OFFSET(A$1,,,SUMPRODUCT(MAX(ROW(E$2:E267)*(E267=E$2:E267)))))-COUNTBLANK(OFFSET(A$1,,,SUMPRODUCT(MAX(ROW(E$1:E266)*(E2=E$1:E266))))))</f>
        <v/>
      </c>
      <c r="K267" s="24" t="str">
        <f>IF(OR(E267="",E267="!!!",F267="NEW"),"",INDEX(J$1:J266,SUMPRODUCT(MAX(ROW(E$1:E266)*(E267=E$1:E266)))))</f>
        <v/>
      </c>
      <c r="L267" s="25"/>
    </row>
    <row r="268" spans="1:12" x14ac:dyDescent="0.3">
      <c r="A268" t="s">
        <v>375</v>
      </c>
      <c r="E268" s="20" t="str">
        <f t="shared" si="20"/>
        <v/>
      </c>
      <c r="F268" s="21" t="str">
        <f>IF(OR(E268="",E268="!!!"),"",IF(NOT(ISNA(VLOOKUP(E268,E$1:E267,1,FALSE()))),"OLD",IF(AND(E268&lt;&gt;"",E268&lt;&gt;"!!!"),"NEW","")))</f>
        <v/>
      </c>
      <c r="G268" s="22" t="str">
        <f>IF(OR(E268="",E268="!!!"),"",IF(OR(J268=0,AND(J268=1,K268=1),AND(J268=1,I268="SBJ"),AND(J268=1,I268=0)),"?IN_FOCUS",IF(J268&lt;=2,"?ACTIVATED",IF(J268&lt;&gt;"","?FAMILIAR",IF(F268="NEW",IF(ISNA(VLOOKUP(E268,#REF!,1,FALSE())),"?TYPE_IDENTIFIABLE","?REFERENTIAL"),"_")))))</f>
        <v/>
      </c>
      <c r="H268" s="23" t="str">
        <f t="shared" ca="1" si="21"/>
        <v/>
      </c>
      <c r="I268" s="24" t="str">
        <f>IF(OR(E268="",E268="!!!",F268="NEW"),"",INDEX(B$2:B267,-1+SUMPRODUCT(MAX(ROW(E$2:E267)*(E268=E$2:E267)))))</f>
        <v/>
      </c>
      <c r="J268" s="24" t="str">
        <f ca="1">IF(OR(E268="",E268="!!!",F268="NEW"),"",COUNTBLANK(OFFSET(A$1,,,SUMPRODUCT(MAX(ROW(E$2:E268)*(E268=E$2:E268)))))-COUNTBLANK(OFFSET(A$1,,,SUMPRODUCT(MAX(ROW(E$1:E267)*(E2=E$1:E267))))))</f>
        <v/>
      </c>
      <c r="K268" s="24" t="str">
        <f>IF(OR(E268="",E268="!!!",F268="NEW"),"",INDEX(J$1:J267,SUMPRODUCT(MAX(ROW(E$1:E267)*(E268=E$1:E267)))))</f>
        <v/>
      </c>
      <c r="L268" s="25"/>
    </row>
    <row r="269" spans="1:12" x14ac:dyDescent="0.3">
      <c r="A269" t="s">
        <v>287</v>
      </c>
      <c r="E269" s="20" t="str">
        <f t="shared" si="20"/>
        <v/>
      </c>
      <c r="F269" s="21" t="str">
        <f>IF(OR(E269="",E269="!!!"),"",IF(NOT(ISNA(VLOOKUP(E269,E$1:E268,1,FALSE()))),"OLD",IF(AND(E269&lt;&gt;"",E269&lt;&gt;"!!!"),"NEW","")))</f>
        <v/>
      </c>
      <c r="G269" s="22" t="str">
        <f>IF(OR(E269="",E269="!!!"),"",IF(OR(J269=0,AND(J269=1,K269=1),AND(J269=1,I269="SBJ"),AND(J269=1,I269=0)),"?IN_FOCUS",IF(J269&lt;=2,"?ACTIVATED",IF(J269&lt;&gt;"","?FAMILIAR",IF(F269="NEW",IF(ISNA(VLOOKUP(E269,#REF!,1,FALSE())),"?TYPE_IDENTIFIABLE","?REFERENTIAL"),"_")))))</f>
        <v/>
      </c>
      <c r="H269" s="23" t="str">
        <f t="shared" ca="1" si="21"/>
        <v/>
      </c>
      <c r="I269" s="24" t="str">
        <f>IF(OR(E269="",E269="!!!",F269="NEW"),"",INDEX(B$2:B268,-1+SUMPRODUCT(MAX(ROW(E$2:E268)*(E269=E$2:E268)))))</f>
        <v/>
      </c>
      <c r="J269" s="24" t="str">
        <f ca="1">IF(OR(E269="",E269="!!!",F269="NEW"),"",COUNTBLANK(OFFSET(A$1,,,SUMPRODUCT(MAX(ROW(E$2:E269)*(E269=E$2:E269)))))-COUNTBLANK(OFFSET(A$1,,,SUMPRODUCT(MAX(ROW(E$1:E268)*(E2=E$1:E268))))))</f>
        <v/>
      </c>
      <c r="K269" s="24" t="str">
        <f>IF(OR(E269="",E269="!!!",F269="NEW"),"",INDEX(J$1:J268,SUMPRODUCT(MAX(ROW(E$1:E268)*(E269=E$1:E268)))))</f>
        <v/>
      </c>
      <c r="L269" s="25"/>
    </row>
    <row r="270" spans="1:12" x14ac:dyDescent="0.3">
      <c r="A270" t="s">
        <v>376</v>
      </c>
      <c r="E270" s="20" t="str">
        <f t="shared" si="20"/>
        <v/>
      </c>
      <c r="F270" s="21" t="str">
        <f>IF(OR(E270="",E270="!!!"),"",IF(NOT(ISNA(VLOOKUP(E270,E$1:E269,1,FALSE()))),"OLD",IF(AND(E270&lt;&gt;"",E270&lt;&gt;"!!!"),"NEW","")))</f>
        <v/>
      </c>
      <c r="G270" s="22" t="str">
        <f>IF(OR(E270="",E270="!!!"),"",IF(OR(J270=0,AND(J270=1,K270=1),AND(J270=1,I270="SBJ"),AND(J270=1,I270=0)),"?IN_FOCUS",IF(J270&lt;=2,"?ACTIVATED",IF(J270&lt;&gt;"","?FAMILIAR",IF(F270="NEW",IF(ISNA(VLOOKUP(E270,#REF!,1,FALSE())),"?TYPE_IDENTIFIABLE","?REFERENTIAL"),"_")))))</f>
        <v/>
      </c>
      <c r="H270" s="23" t="str">
        <f t="shared" ca="1" si="21"/>
        <v/>
      </c>
      <c r="I270" s="24" t="str">
        <f>IF(OR(E270="",E270="!!!",F270="NEW"),"",INDEX(B$2:B269,-1+SUMPRODUCT(MAX(ROW(E$2:E269)*(E270=E$2:E269)))))</f>
        <v/>
      </c>
      <c r="J270" s="24" t="str">
        <f ca="1">IF(OR(E270="",E270="!!!",F270="NEW"),"",COUNTBLANK(OFFSET(A$1,,,SUMPRODUCT(MAX(ROW(E$2:E270)*(E270=E$2:E270)))))-COUNTBLANK(OFFSET(A$1,,,SUMPRODUCT(MAX(ROW(E$1:E269)*(E2=E$1:E269))))))</f>
        <v/>
      </c>
      <c r="K270" s="24" t="str">
        <f>IF(OR(E270="",E270="!!!",F270="NEW"),"",INDEX(J$1:J269,SUMPRODUCT(MAX(ROW(E$1:E269)*(E270=E$1:E269)))))</f>
        <v/>
      </c>
      <c r="L270" s="25"/>
    </row>
    <row r="271" spans="1:12" x14ac:dyDescent="0.3">
      <c r="A271" t="s">
        <v>377</v>
      </c>
      <c r="B271" s="26" t="s">
        <v>205</v>
      </c>
      <c r="C271" s="26" t="s">
        <v>240</v>
      </c>
      <c r="E271" s="20" t="str">
        <f t="shared" si="20"/>
        <v/>
      </c>
      <c r="F271" s="21" t="str">
        <f>IF(OR(E271="",E271="!!!"),"",IF(NOT(ISNA(VLOOKUP(E271,E$1:E270,1,FALSE()))),"OLD",IF(AND(E271&lt;&gt;"",E271&lt;&gt;"!!!"),"NEW","")))</f>
        <v/>
      </c>
      <c r="G271" s="22" t="str">
        <f>IF(OR(E271="",E271="!!!"),"",IF(OR(J271=0,AND(J271=1,K271=1),AND(J271=1,I271="SBJ"),AND(J271=1,I271=0)),"?IN_FOCUS",IF(J271&lt;=2,"?ACTIVATED",IF(J271&lt;&gt;"","?FAMILIAR",IF(F271="NEW",IF(ISNA(VLOOKUP(E271,#REF!,1,FALSE())),"?TYPE_IDENTIFIABLE","?REFERENTIAL"),"_")))))</f>
        <v/>
      </c>
      <c r="H271" s="23" t="str">
        <f t="shared" ca="1" si="21"/>
        <v/>
      </c>
      <c r="I271" s="24" t="str">
        <f>IF(OR(E271="",E271="!!!",F271="NEW"),"",INDEX(B$2:B270,-1+SUMPRODUCT(MAX(ROW(E$2:E270)*(E271=E$2:E270)))))</f>
        <v/>
      </c>
      <c r="J271" s="24" t="str">
        <f ca="1">IF(OR(E271="",E271="!!!",F271="NEW"),"",COUNTBLANK(OFFSET(A$1,,,SUMPRODUCT(MAX(ROW(E$2:E271)*(E271=E$2:E271)))))-COUNTBLANK(OFFSET(A$1,,,SUMPRODUCT(MAX(ROW(E$1:E270)*(E2=E$1:E270))))))</f>
        <v/>
      </c>
      <c r="K271" s="24" t="str">
        <f>IF(OR(E271="",E271="!!!",F271="NEW"),"",INDEX(J$1:J270,SUMPRODUCT(MAX(ROW(E$1:E270)*(E271=E$1:E270)))))</f>
        <v/>
      </c>
      <c r="L271" s="25"/>
    </row>
    <row r="272" spans="1:12" x14ac:dyDescent="0.3">
      <c r="A272" t="s">
        <v>378</v>
      </c>
      <c r="E272" s="20" t="str">
        <f t="shared" si="20"/>
        <v/>
      </c>
      <c r="F272" s="21" t="str">
        <f>IF(OR(E272="",E272="!!!"),"",IF(NOT(ISNA(VLOOKUP(E272,E$1:E271,1,FALSE()))),"OLD",IF(AND(E272&lt;&gt;"",E272&lt;&gt;"!!!"),"NEW","")))</f>
        <v/>
      </c>
      <c r="G272" s="22" t="str">
        <f>IF(OR(E272="",E272="!!!"),"",IF(OR(J272=0,AND(J272=1,K272=1),AND(J272=1,I272="SBJ"),AND(J272=1,I272=0)),"?IN_FOCUS",IF(J272&lt;=2,"?ACTIVATED",IF(J272&lt;&gt;"","?FAMILIAR",IF(F272="NEW",IF(ISNA(VLOOKUP(E272,#REF!,1,FALSE())),"?TYPE_IDENTIFIABLE","?REFERENTIAL"),"_")))))</f>
        <v/>
      </c>
      <c r="H272" s="23" t="str">
        <f t="shared" ca="1" si="21"/>
        <v/>
      </c>
      <c r="I272" s="24" t="str">
        <f>IF(OR(E272="",E272="!!!",F272="NEW"),"",INDEX(B$2:B271,-1+SUMPRODUCT(MAX(ROW(E$2:E271)*(E272=E$2:E271)))))</f>
        <v/>
      </c>
      <c r="J272" s="24" t="str">
        <f ca="1">IF(OR(E272="",E272="!!!",F272="NEW"),"",COUNTBLANK(OFFSET(A$1,,,SUMPRODUCT(MAX(ROW(E$2:E272)*(E272=E$2:E272)))))-COUNTBLANK(OFFSET(A$1,,,SUMPRODUCT(MAX(ROW(E$1:E271)*(E2=E$1:E271))))))</f>
        <v/>
      </c>
      <c r="K272" s="24" t="str">
        <f>IF(OR(E272="",E272="!!!",F272="NEW"),"",INDEX(J$1:J271,SUMPRODUCT(MAX(ROW(E$1:E271)*(E272=E$1:E271)))))</f>
        <v/>
      </c>
      <c r="L272" s="25"/>
    </row>
    <row r="273" spans="1:12" x14ac:dyDescent="0.3">
      <c r="A273" t="s">
        <v>379</v>
      </c>
      <c r="B273" s="26" t="s">
        <v>225</v>
      </c>
      <c r="C273" s="26" t="s">
        <v>380</v>
      </c>
      <c r="D273" s="26" t="s">
        <v>215</v>
      </c>
      <c r="E273" s="20"/>
      <c r="F273" s="21" t="s">
        <v>681</v>
      </c>
      <c r="G273" s="22" t="str">
        <f>IF(OR(E273="",E273="!!!"),"",IF(OR(J273=0,AND(J273=1,K273=1),AND(J273=1,I273="SBJ"),AND(J273=1,I273=0)),"?IN_FOCUS",IF(J273&lt;=2,"?ACTIVATED",IF(J273&lt;&gt;"","?FAMILIAR",IF(F273="NEW",IF(ISNA(VLOOKUP(E273,#REF!,1,FALSE())),"?TYPE_IDENTIFIABLE","?REFERENTIAL"),"_")))))</f>
        <v/>
      </c>
      <c r="H273" s="23" t="str">
        <f t="shared" ca="1" si="21"/>
        <v/>
      </c>
      <c r="I273" s="24" t="str">
        <f>IF(OR(E273="",E273="!!!",F273="NEW"),"",INDEX(B$2:B272,-1+SUMPRODUCT(MAX(ROW(E$2:E272)*(E273=E$2:E272)))))</f>
        <v/>
      </c>
      <c r="J273" s="24" t="str">
        <f ca="1">IF(OR(E273="",E273="!!!",F273="NEW"),"",COUNTBLANK(OFFSET(A$1,,,SUMPRODUCT(MAX(ROW(E$2:E273)*(E273=E$2:E273)))))-COUNTBLANK(OFFSET(A$1,,,SUMPRODUCT(MAX(ROW(E$1:E272)*(E2=E$1:E272))))))</f>
        <v/>
      </c>
      <c r="K273" s="24" t="str">
        <f>IF(OR(E273="",E273="!!!",F273="NEW"),"",INDEX(J$1:J272,SUMPRODUCT(MAX(ROW(E$1:E272)*(E273=E$1:E272)))))</f>
        <v/>
      </c>
      <c r="L273" s="25" t="s">
        <v>689</v>
      </c>
    </row>
    <row r="274" spans="1:12" x14ac:dyDescent="0.3">
      <c r="A274" t="s">
        <v>16</v>
      </c>
      <c r="E274" s="20" t="str">
        <f t="shared" si="20"/>
        <v/>
      </c>
      <c r="F274" s="21" t="str">
        <f>IF(OR(E274="",E274="!!!"),"",IF(NOT(ISNA(VLOOKUP(E274,E$1:E273,1,FALSE()))),"OLD",IF(AND(E274&lt;&gt;"",E274&lt;&gt;"!!!"),"NEW","")))</f>
        <v/>
      </c>
      <c r="G274" s="22" t="str">
        <f>IF(OR(E274="",E274="!!!"),"",IF(OR(J274=0,AND(J274=1,K274=1),AND(J274=1,I274="SBJ"),AND(J274=1,I274=0)),"?IN_FOCUS",IF(J274&lt;=2,"?ACTIVATED",IF(J274&lt;&gt;"","?FAMILIAR",IF(F274="NEW",IF(ISNA(VLOOKUP(E274,#REF!,1,FALSE())),"?TYPE_IDENTIFIABLE","?REFERENTIAL"),"_")))))</f>
        <v/>
      </c>
      <c r="H274" s="23" t="str">
        <f t="shared" ca="1" si="21"/>
        <v/>
      </c>
      <c r="I274" s="24" t="str">
        <f>IF(OR(E274="",E274="!!!",F274="NEW"),"",INDEX(B$2:B273,-1+SUMPRODUCT(MAX(ROW(E$2:E273)*(E274=E$2:E273)))))</f>
        <v/>
      </c>
      <c r="J274" s="24" t="str">
        <f ca="1">IF(OR(E274="",E274="!!!",F274="NEW"),"",COUNTBLANK(OFFSET(A$1,,,SUMPRODUCT(MAX(ROW(E$2:E274)*(E274=E$2:E274)))))-COUNTBLANK(OFFSET(A$1,,,SUMPRODUCT(MAX(ROW(E$1:E273)*(E2=E$1:E273))))))</f>
        <v/>
      </c>
      <c r="K274" s="24" t="str">
        <f>IF(OR(E274="",E274="!!!",F274="NEW"),"",INDEX(J$1:J273,SUMPRODUCT(MAX(ROW(E$1:E273)*(E274=E$1:E273)))))</f>
        <v/>
      </c>
      <c r="L274" s="25"/>
    </row>
    <row r="275" spans="1:12" x14ac:dyDescent="0.3">
      <c r="A275" t="s">
        <v>379</v>
      </c>
      <c r="B275" s="26" t="s">
        <v>225</v>
      </c>
      <c r="C275" s="26" t="s">
        <v>380</v>
      </c>
      <c r="D275" s="26" t="s">
        <v>215</v>
      </c>
      <c r="E275" s="20"/>
      <c r="F275" s="21" t="s">
        <v>681</v>
      </c>
      <c r="G275" s="22" t="str">
        <f>IF(OR(E275="",E275="!!!"),"",IF(OR(J275=0,AND(J275=1,K275=1),AND(J275=1,I275="SBJ"),AND(J275=1,I275=0)),"?IN_FOCUS",IF(J275&lt;=2,"?ACTIVATED",IF(J275&lt;&gt;"","?FAMILIAR",IF(F275="NEW",IF(ISNA(VLOOKUP(E275,#REF!,1,FALSE())),"?TYPE_IDENTIFIABLE","?REFERENTIAL"),"_")))))</f>
        <v/>
      </c>
      <c r="H275" s="23" t="str">
        <f t="shared" ca="1" si="21"/>
        <v/>
      </c>
      <c r="I275" s="24" t="str">
        <f>IF(OR(E275="",E275="!!!",F275="NEW"),"",INDEX(B$2:B274,-1+SUMPRODUCT(MAX(ROW(E$2:E274)*(E275=E$2:E274)))))</f>
        <v/>
      </c>
      <c r="J275" s="24" t="str">
        <f ca="1">IF(OR(E275="",E275="!!!",F275="NEW"),"",COUNTBLANK(OFFSET(A$1,,,SUMPRODUCT(MAX(ROW(E$2:E275)*(E275=E$2:E275)))))-COUNTBLANK(OFFSET(A$1,,,SUMPRODUCT(MAX(ROW(E$1:E274)*(E2=E$1:E274))))))</f>
        <v/>
      </c>
      <c r="K275" s="24" t="str">
        <f>IF(OR(E275="",E275="!!!",F275="NEW"),"",INDEX(J$1:J274,SUMPRODUCT(MAX(ROW(E$1:E274)*(E275=E$1:E274)))))</f>
        <v/>
      </c>
      <c r="L275" s="25" t="s">
        <v>689</v>
      </c>
    </row>
    <row r="276" spans="1:12" x14ac:dyDescent="0.3">
      <c r="A276" t="s">
        <v>381</v>
      </c>
      <c r="B276" s="26" t="s">
        <v>205</v>
      </c>
      <c r="C276" s="26" t="s">
        <v>264</v>
      </c>
      <c r="D276" s="26" t="s">
        <v>215</v>
      </c>
      <c r="E276" s="20" t="s">
        <v>684</v>
      </c>
      <c r="F276" s="21" t="str">
        <f>IF(OR(E276="",E276="!!!"),"",IF(NOT(ISNA(VLOOKUP(E276,E$1:E275,1,FALSE()))),"OLD",IF(AND(E276&lt;&gt;"",E276&lt;&gt;"!!!"),"NEW","")))</f>
        <v>NEW</v>
      </c>
      <c r="G276" s="22" t="s">
        <v>657</v>
      </c>
      <c r="H276" s="23" t="str">
        <f t="shared" ca="1" si="21"/>
        <v/>
      </c>
      <c r="I276" s="24" t="str">
        <f>IF(OR(E276="",E276="!!!",F276="NEW"),"",INDEX(B$2:B275,-1+SUMPRODUCT(MAX(ROW(E$2:E275)*(E276=E$2:E275)))))</f>
        <v/>
      </c>
      <c r="J276" s="24" t="str">
        <f ca="1">IF(OR(E276="",E276="!!!",F276="NEW"),"",COUNTBLANK(OFFSET(A$1,,,SUMPRODUCT(MAX(ROW(E$2:E276)*(E276=E$2:E276)))))-COUNTBLANK(OFFSET(A$1,,,SUMPRODUCT(MAX(ROW(E$1:E275)*(E2=E$1:E275))))))</f>
        <v/>
      </c>
      <c r="K276" s="24" t="str">
        <f>IF(OR(E276="",E276="!!!",F276="NEW"),"",INDEX(J$1:J275,SUMPRODUCT(MAX(ROW(E$1:E275)*(E276=E$1:E275)))))</f>
        <v/>
      </c>
      <c r="L276" s="25" t="s">
        <v>685</v>
      </c>
    </row>
    <row r="277" spans="1:12" x14ac:dyDescent="0.3">
      <c r="A277" t="s">
        <v>287</v>
      </c>
      <c r="E277" s="20" t="str">
        <f t="shared" si="20"/>
        <v/>
      </c>
      <c r="F277" s="21" t="str">
        <f>IF(OR(E277="",E277="!!!"),"",IF(NOT(ISNA(VLOOKUP(E277,E$1:E276,1,FALSE()))),"OLD",IF(AND(E277&lt;&gt;"",E277&lt;&gt;"!!!"),"NEW","")))</f>
        <v/>
      </c>
      <c r="G277" s="22" t="str">
        <f>IF(OR(E277="",E277="!!!"),"",IF(OR(J277=0,AND(J277=1,K277=1),AND(J277=1,I277="SBJ"),AND(J277=1,I277=0)),"?IN_FOCUS",IF(J277&lt;=2,"?ACTIVATED",IF(J277&lt;&gt;"","?FAMILIAR",IF(F277="NEW",IF(ISNA(VLOOKUP(E277,#REF!,1,FALSE())),"?TYPE_IDENTIFIABLE","?REFERENTIAL"),"_")))))</f>
        <v/>
      </c>
      <c r="H277" s="23" t="str">
        <f t="shared" ca="1" si="21"/>
        <v/>
      </c>
      <c r="I277" s="24" t="str">
        <f>IF(OR(E277="",E277="!!!",F277="NEW"),"",INDEX(B$2:B276,-1+SUMPRODUCT(MAX(ROW(E$2:E276)*(E277=E$2:E276)))))</f>
        <v/>
      </c>
      <c r="J277" s="24" t="str">
        <f ca="1">IF(OR(E277="",E277="!!!",F277="NEW"),"",COUNTBLANK(OFFSET(A$1,,,SUMPRODUCT(MAX(ROW(E$2:E277)*(E277=E$2:E277)))))-COUNTBLANK(OFFSET(A$1,,,SUMPRODUCT(MAX(ROW(E$1:E276)*(E2=E$1:E276))))))</f>
        <v/>
      </c>
      <c r="K277" s="24" t="str">
        <f>IF(OR(E277="",E277="!!!",F277="NEW"),"",INDEX(J$1:J276,SUMPRODUCT(MAX(ROW(E$1:E276)*(E277=E$1:E276)))))</f>
        <v/>
      </c>
      <c r="L277" s="25"/>
    </row>
    <row r="278" spans="1:12" x14ac:dyDescent="0.3">
      <c r="A278" t="s">
        <v>382</v>
      </c>
      <c r="B278" s="26" t="s">
        <v>225</v>
      </c>
      <c r="C278" s="26" t="s">
        <v>214</v>
      </c>
      <c r="D278" s="26" t="s">
        <v>215</v>
      </c>
      <c r="E278" s="20" t="s">
        <v>686</v>
      </c>
      <c r="F278" s="21" t="str">
        <f>IF(OR(E278="",E278="!!!"),"",IF(NOT(ISNA(VLOOKUP(E278,E$1:E277,1,FALSE()))),"OLD",IF(AND(E278&lt;&gt;"",E278&lt;&gt;"!!!"),"NEW","")))</f>
        <v>NEW</v>
      </c>
      <c r="G278" s="22" t="s">
        <v>657</v>
      </c>
      <c r="H278" s="23" t="str">
        <f t="shared" ca="1" si="21"/>
        <v/>
      </c>
      <c r="I278" s="24" t="str">
        <f>IF(OR(E278="",E278="!!!",F278="NEW"),"",INDEX(B$2:B277,-1+SUMPRODUCT(MAX(ROW(E$2:E277)*(E278=E$2:E277)))))</f>
        <v/>
      </c>
      <c r="J278" s="24" t="str">
        <f ca="1">IF(OR(E278="",E278="!!!",F278="NEW"),"",COUNTBLANK(OFFSET(A$1,,,SUMPRODUCT(MAX(ROW(E$2:E278)*(E278=E$2:E278)))))-COUNTBLANK(OFFSET(A$1,,,SUMPRODUCT(MAX(ROW(E$1:E277)*(E2=E$1:E277))))))</f>
        <v/>
      </c>
      <c r="K278" s="24" t="str">
        <f>IF(OR(E278="",E278="!!!",F278="NEW"),"",INDEX(J$1:J277,SUMPRODUCT(MAX(ROW(E$1:E277)*(E278=E$1:E277)))))</f>
        <v/>
      </c>
      <c r="L278" s="25"/>
    </row>
    <row r="279" spans="1:12" x14ac:dyDescent="0.3">
      <c r="A279" t="s">
        <v>383</v>
      </c>
      <c r="E279" s="20" t="str">
        <f t="shared" si="20"/>
        <v/>
      </c>
      <c r="F279" s="21" t="str">
        <f>IF(OR(E279="",E279="!!!"),"",IF(NOT(ISNA(VLOOKUP(E279,E$1:E278,1,FALSE()))),"OLD",IF(AND(E279&lt;&gt;"",E279&lt;&gt;"!!!"),"NEW","")))</f>
        <v/>
      </c>
      <c r="G279" s="22" t="str">
        <f>IF(OR(E279="",E279="!!!"),"",IF(OR(J279=0,AND(J279=1,K279=1),AND(J279=1,I279="SBJ"),AND(J279=1,I279=0)),"?IN_FOCUS",IF(J279&lt;=2,"?ACTIVATED",IF(J279&lt;&gt;"","?FAMILIAR",IF(F279="NEW",IF(ISNA(VLOOKUP(E279,#REF!,1,FALSE())),"?TYPE_IDENTIFIABLE","?REFERENTIAL"),"_")))))</f>
        <v/>
      </c>
      <c r="H279" s="23" t="str">
        <f t="shared" ca="1" si="21"/>
        <v/>
      </c>
      <c r="I279" s="24" t="str">
        <f>IF(OR(E279="",E279="!!!",F279="NEW"),"",INDEX(B$2:B278,-1+SUMPRODUCT(MAX(ROW(E$2:E278)*(E279=E$2:E278)))))</f>
        <v/>
      </c>
      <c r="J279" s="24" t="str">
        <f ca="1">IF(OR(E279="",E279="!!!",F279="NEW"),"",COUNTBLANK(OFFSET(A$1,,,SUMPRODUCT(MAX(ROW(E$2:E279)*(E279=E$2:E279)))))-COUNTBLANK(OFFSET(A$1,,,SUMPRODUCT(MAX(ROW(E$1:E278)*(E2=E$1:E278))))))</f>
        <v/>
      </c>
      <c r="K279" s="24" t="str">
        <f>IF(OR(E279="",E279="!!!",F279="NEW"),"",INDEX(J$1:J278,SUMPRODUCT(MAX(ROW(E$1:E278)*(E279=E$1:E278)))))</f>
        <v/>
      </c>
      <c r="L279" s="25"/>
    </row>
    <row r="280" spans="1:12" x14ac:dyDescent="0.3">
      <c r="A280" t="s">
        <v>287</v>
      </c>
      <c r="E280" s="20" t="str">
        <f t="shared" si="20"/>
        <v/>
      </c>
      <c r="F280" s="21" t="str">
        <f>IF(OR(E280="",E280="!!!"),"",IF(NOT(ISNA(VLOOKUP(E280,E$1:E279,1,FALSE()))),"OLD",IF(AND(E280&lt;&gt;"",E280&lt;&gt;"!!!"),"NEW","")))</f>
        <v/>
      </c>
      <c r="G280" s="22" t="str">
        <f>IF(OR(E280="",E280="!!!"),"",IF(OR(J280=0,AND(J280=1,K280=1),AND(J280=1,I280="SBJ"),AND(J280=1,I280=0)),"?IN_FOCUS",IF(J280&lt;=2,"?ACTIVATED",IF(J280&lt;&gt;"","?FAMILIAR",IF(F280="NEW",IF(ISNA(VLOOKUP(E280,#REF!,1,FALSE())),"?TYPE_IDENTIFIABLE","?REFERENTIAL"),"_")))))</f>
        <v/>
      </c>
      <c r="H280" s="23" t="str">
        <f t="shared" ca="1" si="21"/>
        <v/>
      </c>
      <c r="I280" s="24" t="str">
        <f>IF(OR(E280="",E280="!!!",F280="NEW"),"",INDEX(B$2:B279,-1+SUMPRODUCT(MAX(ROW(E$2:E279)*(E280=E$2:E279)))))</f>
        <v/>
      </c>
      <c r="J280" s="24" t="str">
        <f ca="1">IF(OR(E280="",E280="!!!",F280="NEW"),"",COUNTBLANK(OFFSET(A$1,,,SUMPRODUCT(MAX(ROW(E$2:E280)*(E280=E$2:E280)))))-COUNTBLANK(OFFSET(A$1,,,SUMPRODUCT(MAX(ROW(E$1:E279)*(E2=E$1:E279))))))</f>
        <v/>
      </c>
      <c r="K280" s="24" t="str">
        <f>IF(OR(E280="",E280="!!!",F280="NEW"),"",INDEX(J$1:J279,SUMPRODUCT(MAX(ROW(E$1:E279)*(E280=E$1:E279)))))</f>
        <v/>
      </c>
      <c r="L280" s="25"/>
    </row>
    <row r="281" spans="1:12" x14ac:dyDescent="0.3">
      <c r="A281" t="s">
        <v>339</v>
      </c>
      <c r="E281" s="20" t="str">
        <f t="shared" si="20"/>
        <v/>
      </c>
      <c r="F281" s="21" t="str">
        <f>IF(OR(E281="",E281="!!!"),"",IF(NOT(ISNA(VLOOKUP(E281,E$1:E280,1,FALSE()))),"OLD",IF(AND(E281&lt;&gt;"",E281&lt;&gt;"!!!"),"NEW","")))</f>
        <v/>
      </c>
      <c r="G281" s="22" t="str">
        <f>IF(OR(E281="",E281="!!!"),"",IF(OR(J281=0,AND(J281=1,K281=1),AND(J281=1,I281="SBJ"),AND(J281=1,I281=0)),"?IN_FOCUS",IF(J281&lt;=2,"?ACTIVATED",IF(J281&lt;&gt;"","?FAMILIAR",IF(F281="NEW",IF(ISNA(VLOOKUP(E281,#REF!,1,FALSE())),"?TYPE_IDENTIFIABLE","?REFERENTIAL"),"_")))))</f>
        <v/>
      </c>
      <c r="H281" s="23" t="str">
        <f t="shared" ca="1" si="21"/>
        <v/>
      </c>
      <c r="I281" s="24" t="str">
        <f>IF(OR(E281="",E281="!!!",F281="NEW"),"",INDEX(B$2:B280,-1+SUMPRODUCT(MAX(ROW(E$2:E280)*(E281=E$2:E280)))))</f>
        <v/>
      </c>
      <c r="J281" s="24" t="str">
        <f ca="1">IF(OR(E281="",E281="!!!",F281="NEW"),"",COUNTBLANK(OFFSET(A$1,,,SUMPRODUCT(MAX(ROW(E$2:E281)*(E281=E$2:E281)))))-COUNTBLANK(OFFSET(A$1,,,SUMPRODUCT(MAX(ROW(E$1:E280)*(E2=E$1:E280))))))</f>
        <v/>
      </c>
      <c r="K281" s="24" t="str">
        <f>IF(OR(E281="",E281="!!!",F281="NEW"),"",INDEX(J$1:J280,SUMPRODUCT(MAX(ROW(E$1:E280)*(E281=E$1:E280)))))</f>
        <v/>
      </c>
      <c r="L281" s="25"/>
    </row>
    <row r="282" spans="1:12" x14ac:dyDescent="0.3">
      <c r="A282" t="s">
        <v>220</v>
      </c>
      <c r="E282" s="20" t="str">
        <f t="shared" si="20"/>
        <v/>
      </c>
      <c r="F282" s="21" t="str">
        <f>IF(OR(E282="",E282="!!!"),"",IF(NOT(ISNA(VLOOKUP(E282,E$1:E281,1,FALSE()))),"OLD",IF(AND(E282&lt;&gt;"",E282&lt;&gt;"!!!"),"NEW","")))</f>
        <v/>
      </c>
      <c r="G282" s="22" t="str">
        <f>IF(OR(E282="",E282="!!!"),"",IF(OR(J282=0,AND(J282=1,K282=1),AND(J282=1,I282="SBJ"),AND(J282=1,I282=0)),"?IN_FOCUS",IF(J282&lt;=2,"?ACTIVATED",IF(J282&lt;&gt;"","?FAMILIAR",IF(F282="NEW",IF(ISNA(VLOOKUP(E282,#REF!,1,FALSE())),"?TYPE_IDENTIFIABLE","?REFERENTIAL"),"_")))))</f>
        <v/>
      </c>
      <c r="H282" s="23" t="str">
        <f t="shared" ca="1" si="21"/>
        <v/>
      </c>
      <c r="I282" s="24" t="str">
        <f>IF(OR(E282="",E282="!!!",F282="NEW"),"",INDEX(B$2:B281,-1+SUMPRODUCT(MAX(ROW(E$2:E281)*(E282=E$2:E281)))))</f>
        <v/>
      </c>
      <c r="J282" s="24" t="str">
        <f ca="1">IF(OR(E282="",E282="!!!",F282="NEW"),"",COUNTBLANK(OFFSET(A$1,,,SUMPRODUCT(MAX(ROW(E$2:E282)*(E282=E$2:E282)))))-COUNTBLANK(OFFSET(A$1,,,SUMPRODUCT(MAX(ROW(E$1:E281)*(E2=E$1:E281))))))</f>
        <v/>
      </c>
      <c r="K282" s="24" t="str">
        <f>IF(OR(E282="",E282="!!!",F282="NEW"),"",INDEX(J$1:J281,SUMPRODUCT(MAX(ROW(E$1:E281)*(E282=E$1:E281)))))</f>
        <v/>
      </c>
      <c r="L282" s="25"/>
    </row>
    <row r="283" spans="1:12" x14ac:dyDescent="0.3">
      <c r="A283" t="s">
        <v>384</v>
      </c>
      <c r="B283" s="26" t="s">
        <v>263</v>
      </c>
      <c r="C283" s="26" t="s">
        <v>222</v>
      </c>
      <c r="D283" s="26" t="s">
        <v>215</v>
      </c>
      <c r="E283" s="20" t="s">
        <v>384</v>
      </c>
      <c r="F283" s="21" t="str">
        <f>IF(OR(E283="",E283="!!!"),"",IF(NOT(ISNA(VLOOKUP(E283,E$1:E282,1,FALSE()))),"OLD",IF(AND(E283&lt;&gt;"",E283&lt;&gt;"!!!"),"NEW","")))</f>
        <v>NEW</v>
      </c>
      <c r="G283" s="22" t="s">
        <v>657</v>
      </c>
      <c r="H283" s="23" t="str">
        <f t="shared" ca="1" si="21"/>
        <v/>
      </c>
      <c r="I283" s="24" t="str">
        <f>IF(OR(E283="",E283="!!!",F283="NEW"),"",INDEX(B$2:B282,-1+SUMPRODUCT(MAX(ROW(E$2:E282)*(E283=E$2:E282)))))</f>
        <v/>
      </c>
      <c r="J283" s="24" t="str">
        <f ca="1">IF(OR(E283="",E283="!!!",F283="NEW"),"",COUNTBLANK(OFFSET(A$1,,,SUMPRODUCT(MAX(ROW(E$2:E283)*(E283=E$2:E283)))))-COUNTBLANK(OFFSET(A$1,,,SUMPRODUCT(MAX(ROW(E$1:E282)*(E2=E$1:E282))))))</f>
        <v/>
      </c>
      <c r="K283" s="24" t="str">
        <f>IF(OR(E283="",E283="!!!",F283="NEW"),"",INDEX(J$1:J282,SUMPRODUCT(MAX(ROW(E$1:E282)*(E283=E$1:E282)))))</f>
        <v/>
      </c>
      <c r="L283" s="25" t="s">
        <v>688</v>
      </c>
    </row>
    <row r="284" spans="1:12" x14ac:dyDescent="0.3">
      <c r="A284" t="s">
        <v>385</v>
      </c>
      <c r="E284" s="20" t="str">
        <f t="shared" si="20"/>
        <v/>
      </c>
      <c r="F284" s="21" t="str">
        <f>IF(OR(E284="",E284="!!!"),"",IF(NOT(ISNA(VLOOKUP(E284,E$1:E283,1,FALSE()))),"OLD",IF(AND(E284&lt;&gt;"",E284&lt;&gt;"!!!"),"NEW","")))</f>
        <v/>
      </c>
      <c r="G284" s="22" t="str">
        <f>IF(OR(E284="",E284="!!!"),"",IF(OR(J284=0,AND(J284=1,K284=1),AND(J284=1,I284="SBJ"),AND(J284=1,I284=0)),"?IN_FOCUS",IF(J284&lt;=2,"?ACTIVATED",IF(J284&lt;&gt;"","?FAMILIAR",IF(F284="NEW",IF(ISNA(VLOOKUP(E284,#REF!,1,FALSE())),"?TYPE_IDENTIFIABLE","?REFERENTIAL"),"_")))))</f>
        <v/>
      </c>
      <c r="H284" s="23" t="str">
        <f t="shared" ca="1" si="21"/>
        <v/>
      </c>
      <c r="I284" s="24" t="str">
        <f>IF(OR(E284="",E284="!!!",F284="NEW"),"",INDEX(B$2:B283,-1+SUMPRODUCT(MAX(ROW(E$2:E283)*(E284=E$2:E283)))))</f>
        <v/>
      </c>
      <c r="J284" s="24" t="str">
        <f ca="1">IF(OR(E284="",E284="!!!",F284="NEW"),"",COUNTBLANK(OFFSET(A$1,,,SUMPRODUCT(MAX(ROW(E$2:E284)*(E284=E$2:E284)))))-COUNTBLANK(OFFSET(A$1,,,SUMPRODUCT(MAX(ROW(E$1:E283)*(E2=E$1:E283))))))</f>
        <v/>
      </c>
      <c r="K284" s="24" t="str">
        <f>IF(OR(E284="",E284="!!!",F284="NEW"),"",INDEX(J$1:J283,SUMPRODUCT(MAX(ROW(E$1:E283)*(E284=E$1:E283)))))</f>
        <v/>
      </c>
      <c r="L284" s="25"/>
    </row>
    <row r="285" spans="1:12" x14ac:dyDescent="0.3">
      <c r="A285" t="s">
        <v>386</v>
      </c>
      <c r="E285" s="20" t="str">
        <f t="shared" si="20"/>
        <v/>
      </c>
      <c r="F285" s="21" t="str">
        <f>IF(OR(E285="",E285="!!!"),"",IF(NOT(ISNA(VLOOKUP(E285,E$1:E284,1,FALSE()))),"OLD",IF(AND(E285&lt;&gt;"",E285&lt;&gt;"!!!"),"NEW","")))</f>
        <v/>
      </c>
      <c r="G285" s="22" t="str">
        <f>IF(OR(E285="",E285="!!!"),"",IF(OR(J285=0,AND(J285=1,K285=1),AND(J285=1,I285="SBJ"),AND(J285=1,I285=0)),"?IN_FOCUS",IF(J285&lt;=2,"?ACTIVATED",IF(J285&lt;&gt;"","?FAMILIAR",IF(F285="NEW",IF(ISNA(VLOOKUP(E285,#REF!,1,FALSE())),"?TYPE_IDENTIFIABLE","?REFERENTIAL"),"_")))))</f>
        <v/>
      </c>
      <c r="H285" s="23" t="str">
        <f t="shared" ca="1" si="21"/>
        <v/>
      </c>
      <c r="I285" s="24" t="str">
        <f>IF(OR(E285="",E285="!!!",F285="NEW"),"",INDEX(B$2:B284,-1+SUMPRODUCT(MAX(ROW(E$2:E284)*(E285=E$2:E284)))))</f>
        <v/>
      </c>
      <c r="J285" s="24" t="str">
        <f ca="1">IF(OR(E285="",E285="!!!",F285="NEW"),"",COUNTBLANK(OFFSET(A$1,,,SUMPRODUCT(MAX(ROW(E$2:E285)*(E285=E$2:E285)))))-COUNTBLANK(OFFSET(A$1,,,SUMPRODUCT(MAX(ROW(E$1:E284)*(E2=E$1:E284))))))</f>
        <v/>
      </c>
      <c r="K285" s="24" t="str">
        <f>IF(OR(E285="",E285="!!!",F285="NEW"),"",INDEX(J$1:J284,SUMPRODUCT(MAX(ROW(E$1:E284)*(E285=E$1:E284)))))</f>
        <v/>
      </c>
      <c r="L285" s="25"/>
    </row>
    <row r="286" spans="1:12" x14ac:dyDescent="0.3">
      <c r="A286" t="s">
        <v>387</v>
      </c>
      <c r="E286" s="20" t="str">
        <f t="shared" si="20"/>
        <v/>
      </c>
      <c r="F286" s="21" t="str">
        <f>IF(OR(E286="",E286="!!!"),"",IF(NOT(ISNA(VLOOKUP(E286,E$1:E285,1,FALSE()))),"OLD",IF(AND(E286&lt;&gt;"",E286&lt;&gt;"!!!"),"NEW","")))</f>
        <v/>
      </c>
      <c r="G286" s="22" t="str">
        <f>IF(OR(E286="",E286="!!!"),"",IF(OR(J286=0,AND(J286=1,K286=1),AND(J286=1,I286="SBJ"),AND(J286=1,I286=0)),"?IN_FOCUS",IF(J286&lt;=2,"?ACTIVATED",IF(J286&lt;&gt;"","?FAMILIAR",IF(F286="NEW",IF(ISNA(VLOOKUP(E286,#REF!,1,FALSE())),"?TYPE_IDENTIFIABLE","?REFERENTIAL"),"_")))))</f>
        <v/>
      </c>
      <c r="H286" s="23" t="str">
        <f t="shared" ca="1" si="21"/>
        <v/>
      </c>
      <c r="I286" s="24" t="str">
        <f>IF(OR(E286="",E286="!!!",F286="NEW"),"",INDEX(B$2:B285,-1+SUMPRODUCT(MAX(ROW(E$2:E285)*(E286=E$2:E285)))))</f>
        <v/>
      </c>
      <c r="J286" s="24" t="str">
        <f ca="1">IF(OR(E286="",E286="!!!",F286="NEW"),"",COUNTBLANK(OFFSET(A$1,,,SUMPRODUCT(MAX(ROW(E$2:E286)*(E286=E$2:E286)))))-COUNTBLANK(OFFSET(A$1,,,SUMPRODUCT(MAX(ROW(E$1:E285)*(E2=E$1:E285))))))</f>
        <v/>
      </c>
      <c r="K286" s="24" t="str">
        <f>IF(OR(E286="",E286="!!!",F286="NEW"),"",INDEX(J$1:J285,SUMPRODUCT(MAX(ROW(E$1:E285)*(E286=E$1:E285)))))</f>
        <v/>
      </c>
      <c r="L286" s="25"/>
    </row>
    <row r="287" spans="1:12" x14ac:dyDescent="0.3">
      <c r="A287" t="s">
        <v>323</v>
      </c>
      <c r="E287" s="20" t="str">
        <f t="shared" si="20"/>
        <v/>
      </c>
      <c r="F287" s="21" t="str">
        <f>IF(OR(E287="",E287="!!!"),"",IF(NOT(ISNA(VLOOKUP(E287,E$1:E286,1,FALSE()))),"OLD",IF(AND(E287&lt;&gt;"",E287&lt;&gt;"!!!"),"NEW","")))</f>
        <v/>
      </c>
      <c r="G287" s="22" t="str">
        <f>IF(OR(E287="",E287="!!!"),"",IF(OR(J287=0,AND(J287=1,K287=1),AND(J287=1,I287="SBJ"),AND(J287=1,I287=0)),"?IN_FOCUS",IF(J287&lt;=2,"?ACTIVATED",IF(J287&lt;&gt;"","?FAMILIAR",IF(F287="NEW",IF(ISNA(VLOOKUP(E287,#REF!,1,FALSE())),"?TYPE_IDENTIFIABLE","?REFERENTIAL"),"_")))))</f>
        <v/>
      </c>
      <c r="H287" s="23" t="str">
        <f t="shared" ca="1" si="21"/>
        <v/>
      </c>
      <c r="I287" s="24" t="str">
        <f>IF(OR(E287="",E287="!!!",F287="NEW"),"",INDEX(B$2:B286,-1+SUMPRODUCT(MAX(ROW(E$2:E286)*(E287=E$2:E286)))))</f>
        <v/>
      </c>
      <c r="J287" s="24" t="str">
        <f ca="1">IF(OR(E287="",E287="!!!",F287="NEW"),"",COUNTBLANK(OFFSET(A$1,,,SUMPRODUCT(MAX(ROW(E$2:E287)*(E287=E$2:E287)))))-COUNTBLANK(OFFSET(A$1,,,SUMPRODUCT(MAX(ROW(E$1:E286)*(E2=E$1:E286))))))</f>
        <v/>
      </c>
      <c r="K287" s="24" t="str">
        <f>IF(OR(E287="",E287="!!!",F287="NEW"),"",INDEX(J$1:J286,SUMPRODUCT(MAX(ROW(E$1:E286)*(E287=E$1:E286)))))</f>
        <v/>
      </c>
      <c r="L287" s="25"/>
    </row>
    <row r="288" spans="1:12" x14ac:dyDescent="0.3">
      <c r="A288" t="s">
        <v>155</v>
      </c>
      <c r="E288" s="20" t="str">
        <f t="shared" si="20"/>
        <v/>
      </c>
      <c r="F288" s="21" t="str">
        <f>IF(OR(E288="",E288="!!!"),"",IF(NOT(ISNA(VLOOKUP(E288,E$1:E287,1,FALSE()))),"OLD",IF(AND(E288&lt;&gt;"",E288&lt;&gt;"!!!"),"NEW","")))</f>
        <v/>
      </c>
      <c r="G288" s="22" t="str">
        <f>IF(OR(E288="",E288="!!!"),"",IF(OR(J288=0,AND(J288=1,K288=1),AND(J288=1,I288="SBJ"),AND(J288=1,I288=0)),"?IN_FOCUS",IF(J288&lt;=2,"?ACTIVATED",IF(J288&lt;&gt;"","?FAMILIAR",IF(F288="NEW",IF(ISNA(VLOOKUP(E288,#REF!,1,FALSE())),"?TYPE_IDENTIFIABLE","?REFERENTIAL"),"_")))))</f>
        <v/>
      </c>
      <c r="H288" s="23" t="str">
        <f t="shared" ca="1" si="21"/>
        <v/>
      </c>
      <c r="I288" s="24" t="str">
        <f>IF(OR(E288="",E288="!!!",F288="NEW"),"",INDEX(B$2:B287,-1+SUMPRODUCT(MAX(ROW(E$2:E287)*(E288=E$2:E287)))))</f>
        <v/>
      </c>
      <c r="J288" s="24" t="str">
        <f ca="1">IF(OR(E288="",E288="!!!",F288="NEW"),"",COUNTBLANK(OFFSET(A$1,,,SUMPRODUCT(MAX(ROW(E$2:E288)*(E288=E$2:E288)))))-COUNTBLANK(OFFSET(A$1,,,SUMPRODUCT(MAX(ROW(E$1:E287)*(E2=E$1:E287))))))</f>
        <v/>
      </c>
      <c r="K288" s="24" t="str">
        <f>IF(OR(E288="",E288="!!!",F288="NEW"),"",INDEX(J$1:J287,SUMPRODUCT(MAX(ROW(E$1:E287)*(E288=E$1:E287)))))</f>
        <v/>
      </c>
      <c r="L288" s="25"/>
    </row>
    <row r="289" spans="1:12" x14ac:dyDescent="0.3">
      <c r="A289" t="s">
        <v>220</v>
      </c>
      <c r="E289" s="20" t="str">
        <f t="shared" si="20"/>
        <v/>
      </c>
      <c r="F289" s="21" t="str">
        <f>IF(OR(E289="",E289="!!!"),"",IF(NOT(ISNA(VLOOKUP(E289,E$1:E288,1,FALSE()))),"OLD",IF(AND(E289&lt;&gt;"",E289&lt;&gt;"!!!"),"NEW","")))</f>
        <v/>
      </c>
      <c r="G289" s="22" t="str">
        <f>IF(OR(E289="",E289="!!!"),"",IF(OR(J289=0,AND(J289=1,K289=1),AND(J289=1,I289="SBJ"),AND(J289=1,I289=0)),"?IN_FOCUS",IF(J289&lt;=2,"?ACTIVATED",IF(J289&lt;&gt;"","?FAMILIAR",IF(F289="NEW",IF(ISNA(VLOOKUP(E289,#REF!,1,FALSE())),"?TYPE_IDENTIFIABLE","?REFERENTIAL"),"_")))))</f>
        <v/>
      </c>
      <c r="H289" s="23" t="str">
        <f t="shared" ca="1" si="21"/>
        <v/>
      </c>
      <c r="I289" s="24" t="str">
        <f>IF(OR(E289="",E289="!!!",F289="NEW"),"",INDEX(B$2:B288,-1+SUMPRODUCT(MAX(ROW(E$2:E288)*(E289=E$2:E288)))))</f>
        <v/>
      </c>
      <c r="J289" s="24" t="str">
        <f ca="1">IF(OR(E289="",E289="!!!",F289="NEW"),"",COUNTBLANK(OFFSET(A$1,,,SUMPRODUCT(MAX(ROW(E$2:E289)*(E289=E$2:E289)))))-COUNTBLANK(OFFSET(A$1,,,SUMPRODUCT(MAX(ROW(E$1:E288)*(E2=E$1:E288))))))</f>
        <v/>
      </c>
      <c r="K289" s="24" t="str">
        <f>IF(OR(E289="",E289="!!!",F289="NEW"),"",INDEX(J$1:J288,SUMPRODUCT(MAX(ROW(E$1:E288)*(E289=E$1:E288)))))</f>
        <v/>
      </c>
      <c r="L289" s="25"/>
    </row>
    <row r="290" spans="1:12" x14ac:dyDescent="0.3">
      <c r="A290" t="s">
        <v>388</v>
      </c>
      <c r="E290" s="20" t="str">
        <f t="shared" si="20"/>
        <v/>
      </c>
      <c r="F290" s="21" t="str">
        <f>IF(OR(E290="",E290="!!!"),"",IF(NOT(ISNA(VLOOKUP(E290,E$1:E289,1,FALSE()))),"OLD",IF(AND(E290&lt;&gt;"",E290&lt;&gt;"!!!"),"NEW","")))</f>
        <v/>
      </c>
      <c r="G290" s="22" t="str">
        <f>IF(OR(E290="",E290="!!!"),"",IF(OR(J290=0,AND(J290=1,K290=1),AND(J290=1,I290="SBJ"),AND(J290=1,I290=0)),"?IN_FOCUS",IF(J290&lt;=2,"?ACTIVATED",IF(J290&lt;&gt;"","?FAMILIAR",IF(F290="NEW",IF(ISNA(VLOOKUP(E290,#REF!,1,FALSE())),"?TYPE_IDENTIFIABLE","?REFERENTIAL"),"_")))))</f>
        <v/>
      </c>
      <c r="H290" s="23" t="str">
        <f t="shared" ca="1" si="21"/>
        <v/>
      </c>
      <c r="I290" s="24" t="str">
        <f>IF(OR(E290="",E290="!!!",F290="NEW"),"",INDEX(B$2:B289,-1+SUMPRODUCT(MAX(ROW(E$2:E289)*(E290=E$2:E289)))))</f>
        <v/>
      </c>
      <c r="J290" s="24" t="str">
        <f ca="1">IF(OR(E290="",E290="!!!",F290="NEW"),"",COUNTBLANK(OFFSET(A$1,,,SUMPRODUCT(MAX(ROW(E$2:E290)*(E290=E$2:E290)))))-COUNTBLANK(OFFSET(A$1,,,SUMPRODUCT(MAX(ROW(E$1:E289)*(E2=E$1:E289))))))</f>
        <v/>
      </c>
      <c r="K290" s="24" t="str">
        <f>IF(OR(E290="",E290="!!!",F290="NEW"),"",INDEX(J$1:J289,SUMPRODUCT(MAX(ROW(E$1:E289)*(E290=E$1:E289)))))</f>
        <v/>
      </c>
      <c r="L290" s="25"/>
    </row>
    <row r="291" spans="1:12" x14ac:dyDescent="0.3">
      <c r="A291" t="s">
        <v>389</v>
      </c>
      <c r="B291" s="26" t="s">
        <v>255</v>
      </c>
      <c r="C291" s="26" t="s">
        <v>214</v>
      </c>
      <c r="D291" s="26" t="s">
        <v>215</v>
      </c>
      <c r="E291" s="20" t="s">
        <v>687</v>
      </c>
      <c r="F291" s="21" t="str">
        <f>IF(OR(E291="",E291="!!!"),"",IF(NOT(ISNA(VLOOKUP(E291,E$1:E290,1,FALSE()))),"OLD",IF(AND(E291&lt;&gt;"",E291&lt;&gt;"!!!"),"NEW","")))</f>
        <v>NEW</v>
      </c>
      <c r="G291" s="22" t="s">
        <v>657</v>
      </c>
      <c r="H291" s="23" t="str">
        <f t="shared" ca="1" si="21"/>
        <v/>
      </c>
      <c r="I291" s="24" t="str">
        <f>IF(OR(E291="",E291="!!!",F291="NEW"),"",INDEX(B$2:B290,-1+SUMPRODUCT(MAX(ROW(E$2:E290)*(E291=E$2:E290)))))</f>
        <v/>
      </c>
      <c r="J291" s="24" t="str">
        <f ca="1">IF(OR(E291="",E291="!!!",F291="NEW"),"",COUNTBLANK(OFFSET(A$1,,,SUMPRODUCT(MAX(ROW(E$2:E291)*(E291=E$2:E291)))))-COUNTBLANK(OFFSET(A$1,,,SUMPRODUCT(MAX(ROW(E$1:E290)*(E2=E$1:E290))))))</f>
        <v/>
      </c>
      <c r="K291" s="24" t="str">
        <f>IF(OR(E291="",E291="!!!",F291="NEW"),"",INDEX(J$1:J290,SUMPRODUCT(MAX(ROW(E$1:E290)*(E291=E$1:E290)))))</f>
        <v/>
      </c>
      <c r="L291" s="25"/>
    </row>
    <row r="292" spans="1:12" x14ac:dyDescent="0.3">
      <c r="A292" t="s">
        <v>207</v>
      </c>
      <c r="E292" s="20" t="str">
        <f t="shared" si="20"/>
        <v/>
      </c>
      <c r="F292" s="21" t="str">
        <f>IF(OR(E292="",E292="!!!"),"",IF(NOT(ISNA(VLOOKUP(E292,E$1:E291,1,FALSE()))),"OLD",IF(AND(E292&lt;&gt;"",E292&lt;&gt;"!!!"),"NEW","")))</f>
        <v/>
      </c>
      <c r="G292" s="22" t="str">
        <f>IF(OR(E292="",E292="!!!"),"",IF(OR(J292=0,AND(J292=1,K292=1),AND(J292=1,I292="SBJ"),AND(J292=1,I292=0)),"?IN_FOCUS",IF(J292&lt;=2,"?ACTIVATED",IF(J292&lt;&gt;"","?FAMILIAR",IF(F292="NEW",IF(ISNA(VLOOKUP(E292,#REF!,1,FALSE())),"?TYPE_IDENTIFIABLE","?REFERENTIAL"),"_")))))</f>
        <v/>
      </c>
      <c r="H292" s="23" t="str">
        <f t="shared" ca="1" si="21"/>
        <v/>
      </c>
      <c r="I292" s="24" t="str">
        <f>IF(OR(E292="",E292="!!!",F292="NEW"),"",INDEX(B$2:B291,-1+SUMPRODUCT(MAX(ROW(E$2:E291)*(E292=E$2:E291)))))</f>
        <v/>
      </c>
      <c r="J292" s="24" t="str">
        <f ca="1">IF(OR(E292="",E292="!!!",F292="NEW"),"",COUNTBLANK(OFFSET(A$1,,,SUMPRODUCT(MAX(ROW(E$2:E292)*(E292=E$2:E292)))))-COUNTBLANK(OFFSET(A$1,,,SUMPRODUCT(MAX(ROW(E$1:E291)*(E2=E$1:E291))))))</f>
        <v/>
      </c>
      <c r="K292" s="24" t="str">
        <f>IF(OR(E292="",E292="!!!",F292="NEW"),"",INDEX(J$1:J291,SUMPRODUCT(MAX(ROW(E$1:E291)*(E292=E$1:E291)))))</f>
        <v/>
      </c>
      <c r="L292" s="25"/>
    </row>
    <row r="293" spans="1:12" x14ac:dyDescent="0.3">
      <c r="A293" t="s">
        <v>322</v>
      </c>
      <c r="E293" s="20" t="str">
        <f t="shared" si="20"/>
        <v/>
      </c>
      <c r="F293" s="21" t="str">
        <f>IF(OR(E293="",E293="!!!"),"",IF(NOT(ISNA(VLOOKUP(E293,E$1:E292,1,FALSE()))),"OLD",IF(AND(E293&lt;&gt;"",E293&lt;&gt;"!!!"),"NEW","")))</f>
        <v/>
      </c>
      <c r="G293" s="22" t="str">
        <f>IF(OR(E293="",E293="!!!"),"",IF(OR(J293=0,AND(J293=1,K293=1),AND(J293=1,I293="SBJ"),AND(J293=1,I293=0)),"?IN_FOCUS",IF(J293&lt;=2,"?ACTIVATED",IF(J293&lt;&gt;"","?FAMILIAR",IF(F293="NEW",IF(ISNA(VLOOKUP(E293,#REF!,1,FALSE())),"?TYPE_IDENTIFIABLE","?REFERENTIAL"),"_")))))</f>
        <v/>
      </c>
      <c r="H293" s="23" t="str">
        <f t="shared" ca="1" si="21"/>
        <v/>
      </c>
      <c r="I293" s="24" t="str">
        <f>IF(OR(E293="",E293="!!!",F293="NEW"),"",INDEX(B$2:B292,-1+SUMPRODUCT(MAX(ROW(E$2:E292)*(E293=E$2:E292)))))</f>
        <v/>
      </c>
      <c r="J293" s="24" t="str">
        <f ca="1">IF(OR(E293="",E293="!!!",F293="NEW"),"",COUNTBLANK(OFFSET(A$1,,,SUMPRODUCT(MAX(ROW(E$2:E293)*(E293=E$2:E293)))))-COUNTBLANK(OFFSET(A$1,,,SUMPRODUCT(MAX(ROW(E$1:E292)*(E2=E$1:E292))))))</f>
        <v/>
      </c>
      <c r="K293" s="24" t="str">
        <f>IF(OR(E293="",E293="!!!",F293="NEW"),"",INDEX(J$1:J292,SUMPRODUCT(MAX(ROW(E$1:E292)*(E293=E$1:E292)))))</f>
        <v/>
      </c>
      <c r="L293" s="25"/>
    </row>
    <row r="294" spans="1:12" x14ac:dyDescent="0.3">
      <c r="A294" t="s">
        <v>268</v>
      </c>
      <c r="E294" s="20" t="str">
        <f t="shared" ref="E294:E311" si="22">IF(D294="?OLD","!!!","")</f>
        <v/>
      </c>
      <c r="F294" s="21" t="str">
        <f>IF(OR(E294="",E294="!!!"),"",IF(NOT(ISNA(VLOOKUP(E294,E$1:E293,1,FALSE()))),"OLD",IF(AND(E294&lt;&gt;"",E294&lt;&gt;"!!!"),"NEW","")))</f>
        <v/>
      </c>
      <c r="G294" s="22" t="str">
        <f>IF(OR(E294="",E294="!!!"),"",IF(OR(J294=0,AND(J294=1,K294=1),AND(J294=1,I294="SBJ"),AND(J294=1,I294=0)),"?IN_FOCUS",IF(J294&lt;=2,"?ACTIVATED",IF(J294&lt;&gt;"","?FAMILIAR",IF(F294="NEW",IF(ISNA(VLOOKUP(E294,#REF!,1,FALSE())),"?TYPE_IDENTIFIABLE","?REFERENTIAL"),"_")))))</f>
        <v/>
      </c>
      <c r="H294" s="23" t="str">
        <f t="shared" ref="H294:H311" ca="1" si="23">IF(J294&lt;&gt;1,"",IF(I294="SBJ","CB","?"))</f>
        <v/>
      </c>
      <c r="I294" s="24" t="str">
        <f>IF(OR(E294="",E294="!!!",F294="NEW"),"",INDEX(B$2:B293,-1+SUMPRODUCT(MAX(ROW(E$2:E293)*(E294=E$2:E293)))))</f>
        <v/>
      </c>
      <c r="J294" s="24" t="str">
        <f ca="1">IF(OR(E294="",E294="!!!",F294="NEW"),"",COUNTBLANK(OFFSET(A$1,,,SUMPRODUCT(MAX(ROW(E$2:E294)*(E294=E$2:E294)))))-COUNTBLANK(OFFSET(A$1,,,SUMPRODUCT(MAX(ROW(E$1:E293)*(E2=E$1:E293))))))</f>
        <v/>
      </c>
      <c r="K294" s="24" t="str">
        <f>IF(OR(E294="",E294="!!!",F294="NEW"),"",INDEX(J$1:J293,SUMPRODUCT(MAX(ROW(E$1:E293)*(E294=E$1:E293)))))</f>
        <v/>
      </c>
      <c r="L294" s="25"/>
    </row>
    <row r="295" spans="1:12" x14ac:dyDescent="0.3">
      <c r="A295" t="s">
        <v>223</v>
      </c>
      <c r="E295" s="20" t="str">
        <f t="shared" si="22"/>
        <v/>
      </c>
      <c r="F295" s="21" t="str">
        <f>IF(OR(E295="",E295="!!!"),"",IF(NOT(ISNA(VLOOKUP(E295,E$1:E294,1,FALSE()))),"OLD",IF(AND(E295&lt;&gt;"",E295&lt;&gt;"!!!"),"NEW","")))</f>
        <v/>
      </c>
      <c r="G295" s="22" t="str">
        <f>IF(OR(E295="",E295="!!!"),"",IF(OR(J295=0,AND(J295=1,K295=1),AND(J295=1,I295="SBJ"),AND(J295=1,I295=0)),"?IN_FOCUS",IF(J295&lt;=2,"?ACTIVATED",IF(J295&lt;&gt;"","?FAMILIAR",IF(F295="NEW",IF(ISNA(VLOOKUP(E295,#REF!,1,FALSE())),"?TYPE_IDENTIFIABLE","?REFERENTIAL"),"_")))))</f>
        <v/>
      </c>
      <c r="H295" s="23" t="str">
        <f t="shared" ca="1" si="23"/>
        <v/>
      </c>
      <c r="I295" s="24" t="str">
        <f>IF(OR(E295="",E295="!!!",F295="NEW"),"",INDEX(B$2:B294,-1+SUMPRODUCT(MAX(ROW(E$2:E294)*(E295=E$2:E294)))))</f>
        <v/>
      </c>
      <c r="J295" s="24" t="str">
        <f ca="1">IF(OR(E295="",E295="!!!",F295="NEW"),"",COUNTBLANK(OFFSET(A$1,,,SUMPRODUCT(MAX(ROW(E$2:E295)*(E295=E$2:E295)))))-COUNTBLANK(OFFSET(A$1,,,SUMPRODUCT(MAX(ROW(E$1:E294)*(E2=E$1:E294))))))</f>
        <v/>
      </c>
      <c r="K295" s="24" t="str">
        <f>IF(OR(E295="",E295="!!!",F295="NEW"),"",INDEX(J$1:J294,SUMPRODUCT(MAX(ROW(E$1:E294)*(E295=E$1:E294)))))</f>
        <v/>
      </c>
      <c r="L295" s="25"/>
    </row>
    <row r="296" spans="1:12" x14ac:dyDescent="0.3">
      <c r="A296" t="s">
        <v>220</v>
      </c>
      <c r="E296" s="20" t="str">
        <f t="shared" si="22"/>
        <v/>
      </c>
      <c r="F296" s="21" t="str">
        <f>IF(OR(E296="",E296="!!!"),"",IF(NOT(ISNA(VLOOKUP(E296,E$1:E295,1,FALSE()))),"OLD",IF(AND(E296&lt;&gt;"",E296&lt;&gt;"!!!"),"NEW","")))</f>
        <v/>
      </c>
      <c r="G296" s="22" t="str">
        <f>IF(OR(E296="",E296="!!!"),"",IF(OR(J296=0,AND(J296=1,K296=1),AND(J296=1,I296="SBJ"),AND(J296=1,I296=0)),"?IN_FOCUS",IF(J296&lt;=2,"?ACTIVATED",IF(J296&lt;&gt;"","?FAMILIAR",IF(F296="NEW",IF(ISNA(VLOOKUP(E296,#REF!,1,FALSE())),"?TYPE_IDENTIFIABLE","?REFERENTIAL"),"_")))))</f>
        <v/>
      </c>
      <c r="H296" s="23" t="str">
        <f t="shared" ca="1" si="23"/>
        <v/>
      </c>
      <c r="I296" s="24" t="str">
        <f>IF(OR(E296="",E296="!!!",F296="NEW"),"",INDEX(B$2:B295,-1+SUMPRODUCT(MAX(ROW(E$2:E295)*(E296=E$2:E295)))))</f>
        <v/>
      </c>
      <c r="J296" s="24" t="str">
        <f ca="1">IF(OR(E296="",E296="!!!",F296="NEW"),"",COUNTBLANK(OFFSET(A$1,,,SUMPRODUCT(MAX(ROW(E$2:E296)*(E296=E$2:E296)))))-COUNTBLANK(OFFSET(A$1,,,SUMPRODUCT(MAX(ROW(E$1:E295)*(E2=E$1:E295))))))</f>
        <v/>
      </c>
      <c r="K296" s="24" t="str">
        <f>IF(OR(E296="",E296="!!!",F296="NEW"),"",INDEX(J$1:J295,SUMPRODUCT(MAX(ROW(E$1:E295)*(E296=E$1:E295)))))</f>
        <v/>
      </c>
      <c r="L296" s="25"/>
    </row>
    <row r="297" spans="1:12" x14ac:dyDescent="0.3">
      <c r="A297" t="s">
        <v>390</v>
      </c>
      <c r="E297" s="20" t="str">
        <f t="shared" si="22"/>
        <v/>
      </c>
      <c r="F297" s="21" t="str">
        <f>IF(OR(E297="",E297="!!!"),"",IF(NOT(ISNA(VLOOKUP(E297,E$1:E296,1,FALSE()))),"OLD",IF(AND(E297&lt;&gt;"",E297&lt;&gt;"!!!"),"NEW","")))</f>
        <v/>
      </c>
      <c r="G297" s="22" t="str">
        <f>IF(OR(E297="",E297="!!!"),"",IF(OR(J297=0,AND(J297=1,K297=1),AND(J297=1,I297="SBJ"),AND(J297=1,I297=0)),"?IN_FOCUS",IF(J297&lt;=2,"?ACTIVATED",IF(J297&lt;&gt;"","?FAMILIAR",IF(F297="NEW",IF(ISNA(VLOOKUP(E297,#REF!,1,FALSE())),"?TYPE_IDENTIFIABLE","?REFERENTIAL"),"_")))))</f>
        <v/>
      </c>
      <c r="H297" s="23" t="str">
        <f t="shared" ca="1" si="23"/>
        <v/>
      </c>
      <c r="I297" s="24" t="str">
        <f>IF(OR(E297="",E297="!!!",F297="NEW"),"",INDEX(B$2:B296,-1+SUMPRODUCT(MAX(ROW(E$2:E296)*(E297=E$2:E296)))))</f>
        <v/>
      </c>
      <c r="J297" s="24" t="str">
        <f ca="1">IF(OR(E297="",E297="!!!",F297="NEW"),"",COUNTBLANK(OFFSET(A$1,,,SUMPRODUCT(MAX(ROW(E$2:E297)*(E297=E$2:E297)))))-COUNTBLANK(OFFSET(A$1,,,SUMPRODUCT(MAX(ROW(E$1:E296)*(E2=E$1:E296))))))</f>
        <v/>
      </c>
      <c r="K297" s="24" t="str">
        <f>IF(OR(E297="",E297="!!!",F297="NEW"),"",INDEX(J$1:J296,SUMPRODUCT(MAX(ROW(E$1:E296)*(E297=E$1:E296)))))</f>
        <v/>
      </c>
      <c r="L297" s="25"/>
    </row>
    <row r="298" spans="1:12" x14ac:dyDescent="0.3">
      <c r="A298" t="s">
        <v>391</v>
      </c>
      <c r="E298" s="20" t="str">
        <f t="shared" si="22"/>
        <v/>
      </c>
      <c r="F298" s="21" t="str">
        <f>IF(OR(E298="",E298="!!!"),"",IF(NOT(ISNA(VLOOKUP(E298,E$1:E297,1,FALSE()))),"OLD",IF(AND(E298&lt;&gt;"",E298&lt;&gt;"!!!"),"NEW","")))</f>
        <v/>
      </c>
      <c r="G298" s="22" t="str">
        <f>IF(OR(E298="",E298="!!!"),"",IF(OR(J298=0,AND(J298=1,K298=1),AND(J298=1,I298="SBJ"),AND(J298=1,I298=0)),"?IN_FOCUS",IF(J298&lt;=2,"?ACTIVATED",IF(J298&lt;&gt;"","?FAMILIAR",IF(F298="NEW",IF(ISNA(VLOOKUP(E298,#REF!,1,FALSE())),"?TYPE_IDENTIFIABLE","?REFERENTIAL"),"_")))))</f>
        <v/>
      </c>
      <c r="H298" s="23" t="str">
        <f t="shared" ca="1" si="23"/>
        <v/>
      </c>
      <c r="I298" s="24" t="str">
        <f>IF(OR(E298="",E298="!!!",F298="NEW"),"",INDEX(B$2:B297,-1+SUMPRODUCT(MAX(ROW(E$2:E297)*(E298=E$2:E297)))))</f>
        <v/>
      </c>
      <c r="J298" s="24" t="str">
        <f ca="1">IF(OR(E298="",E298="!!!",F298="NEW"),"",COUNTBLANK(OFFSET(A$1,,,SUMPRODUCT(MAX(ROW(E$2:E298)*(E298=E$2:E298)))))-COUNTBLANK(OFFSET(A$1,,,SUMPRODUCT(MAX(ROW(E$1:E297)*(E2=E$1:E297))))))</f>
        <v/>
      </c>
      <c r="K298" s="24" t="str">
        <f>IF(OR(E298="",E298="!!!",F298="NEW"),"",INDEX(J$1:J297,SUMPRODUCT(MAX(ROW(E$1:E297)*(E298=E$1:E297)))))</f>
        <v/>
      </c>
      <c r="L298" s="25"/>
    </row>
    <row r="299" spans="1:12" x14ac:dyDescent="0.3">
      <c r="A299" t="s">
        <v>248</v>
      </c>
      <c r="E299" s="20" t="str">
        <f t="shared" si="22"/>
        <v/>
      </c>
      <c r="F299" s="21" t="str">
        <f>IF(OR(E299="",E299="!!!"),"",IF(NOT(ISNA(VLOOKUP(E299,E$1:E298,1,FALSE()))),"OLD",IF(AND(E299&lt;&gt;"",E299&lt;&gt;"!!!"),"NEW","")))</f>
        <v/>
      </c>
      <c r="G299" s="22" t="str">
        <f>IF(OR(E299="",E299="!!!"),"",IF(OR(J299=0,AND(J299=1,K299=1),AND(J299=1,I299="SBJ"),AND(J299=1,I299=0)),"?IN_FOCUS",IF(J299&lt;=2,"?ACTIVATED",IF(J299&lt;&gt;"","?FAMILIAR",IF(F299="NEW",IF(ISNA(VLOOKUP(E299,#REF!,1,FALSE())),"?TYPE_IDENTIFIABLE","?REFERENTIAL"),"_")))))</f>
        <v/>
      </c>
      <c r="H299" s="23" t="str">
        <f t="shared" ca="1" si="23"/>
        <v/>
      </c>
      <c r="I299" s="24" t="str">
        <f>IF(OR(E299="",E299="!!!",F299="NEW"),"",INDEX(B$2:B298,-1+SUMPRODUCT(MAX(ROW(E$2:E298)*(E299=E$2:E298)))))</f>
        <v/>
      </c>
      <c r="J299" s="24" t="str">
        <f ca="1">IF(OR(E299="",E299="!!!",F299="NEW"),"",COUNTBLANK(OFFSET(A$1,,,SUMPRODUCT(MAX(ROW(E$2:E299)*(E299=E$2:E299)))))-COUNTBLANK(OFFSET(A$1,,,SUMPRODUCT(MAX(ROW(E$1:E298)*(E2=E$1:E298))))))</f>
        <v/>
      </c>
      <c r="K299" s="24" t="str">
        <f>IF(OR(E299="",E299="!!!",F299="NEW"),"",INDEX(J$1:J298,SUMPRODUCT(MAX(ROW(E$1:E298)*(E299=E$1:E298)))))</f>
        <v/>
      </c>
      <c r="L299" s="25"/>
    </row>
    <row r="300" spans="1:12" x14ac:dyDescent="0.3">
      <c r="A300" t="s">
        <v>392</v>
      </c>
      <c r="E300" s="20" t="str">
        <f t="shared" si="22"/>
        <v/>
      </c>
      <c r="F300" s="21" t="str">
        <f>IF(OR(E300="",E300="!!!"),"",IF(NOT(ISNA(VLOOKUP(E300,E$1:E299,1,FALSE()))),"OLD",IF(AND(E300&lt;&gt;"",E300&lt;&gt;"!!!"),"NEW","")))</f>
        <v/>
      </c>
      <c r="G300" s="22" t="str">
        <f>IF(OR(E300="",E300="!!!"),"",IF(OR(J300=0,AND(J300=1,K300=1),AND(J300=1,I300="SBJ"),AND(J300=1,I300=0)),"?IN_FOCUS",IF(J300&lt;=2,"?ACTIVATED",IF(J300&lt;&gt;"","?FAMILIAR",IF(F300="NEW",IF(ISNA(VLOOKUP(E300,#REF!,1,FALSE())),"?TYPE_IDENTIFIABLE","?REFERENTIAL"),"_")))))</f>
        <v/>
      </c>
      <c r="H300" s="23" t="str">
        <f t="shared" ca="1" si="23"/>
        <v/>
      </c>
      <c r="I300" s="24" t="str">
        <f>IF(OR(E300="",E300="!!!",F300="NEW"),"",INDEX(B$2:B299,-1+SUMPRODUCT(MAX(ROW(E$2:E299)*(E300=E$2:E299)))))</f>
        <v/>
      </c>
      <c r="J300" s="24" t="str">
        <f ca="1">IF(OR(E300="",E300="!!!",F300="NEW"),"",COUNTBLANK(OFFSET(A$1,,,SUMPRODUCT(MAX(ROW(E$2:E300)*(E300=E$2:E300)))))-COUNTBLANK(OFFSET(A$1,,,SUMPRODUCT(MAX(ROW(E$1:E299)*(E2=E$1:E299))))))</f>
        <v/>
      </c>
      <c r="K300" s="24" t="str">
        <f>IF(OR(E300="",E300="!!!",F300="NEW"),"",INDEX(J$1:J299,SUMPRODUCT(MAX(ROW(E$1:E299)*(E300=E$1:E299)))))</f>
        <v/>
      </c>
      <c r="L300" s="25"/>
    </row>
    <row r="301" spans="1:12" x14ac:dyDescent="0.3">
      <c r="A301" t="s">
        <v>393</v>
      </c>
      <c r="B301" s="26" t="s">
        <v>266</v>
      </c>
      <c r="C301" s="26" t="s">
        <v>222</v>
      </c>
      <c r="D301" s="26" t="s">
        <v>215</v>
      </c>
      <c r="E301" s="20" t="s">
        <v>745</v>
      </c>
      <c r="F301" s="21" t="str">
        <f>IF(OR(E301="",E301="!!!"),"",IF(NOT(ISNA(VLOOKUP(E301,E$1:E300,1,FALSE()))),"OLD",IF(AND(E301&lt;&gt;"",E301&lt;&gt;"!!!"),"NEW","")))</f>
        <v>NEW</v>
      </c>
      <c r="G301" s="22" t="str">
        <f ca="1">IF(OR(E301="",E301="!!!"),"",IF(OR(J301=0,AND(J301=1,K301=1),AND(J301=1,I301="SBJ"),AND(J301=1,I301=0)),"?IN_FOCUS",IF(J301&lt;=2,"?ACTIVATED",IF(J301&lt;&gt;"","?FAMILIAR",IF(F301="NEW",IF(ISNA(VLOOKUP(E301,#REF!,1,FALSE())),"?TYPE_IDENTIFIABLE","?REFERENTIAL"),"_")))))</f>
        <v>?REFERENTIAL</v>
      </c>
      <c r="H301" s="23" t="str">
        <f t="shared" ca="1" si="23"/>
        <v/>
      </c>
      <c r="I301" s="24" t="str">
        <f>IF(OR(E301="",E301="!!!",F301="NEW"),"",INDEX(B$2:B300,-1+SUMPRODUCT(MAX(ROW(E$2:E300)*(E301=E$2:E300)))))</f>
        <v/>
      </c>
      <c r="J301" s="24" t="str">
        <f ca="1">IF(OR(E301="",E301="!!!",F301="NEW"),"",COUNTBLANK(OFFSET(A$1,,,SUMPRODUCT(MAX(ROW(E$2:E301)*(E301=E$2:E301)))))-COUNTBLANK(OFFSET(A$1,,,SUMPRODUCT(MAX(ROW(E$1:E300)*(E2=E$1:E300))))))</f>
        <v/>
      </c>
      <c r="K301" s="24" t="str">
        <f>IF(OR(E301="",E301="!!!",F301="NEW"),"",INDEX(J$1:J300,SUMPRODUCT(MAX(ROW(E$1:E300)*(E301=E$1:E300)))))</f>
        <v/>
      </c>
      <c r="L301" s="25"/>
    </row>
    <row r="302" spans="1:12" x14ac:dyDescent="0.3">
      <c r="A302" t="s">
        <v>320</v>
      </c>
      <c r="E302" s="20" t="str">
        <f t="shared" si="22"/>
        <v/>
      </c>
      <c r="F302" s="21" t="str">
        <f>IF(OR(E302="",E302="!!!"),"",IF(NOT(ISNA(VLOOKUP(E302,E$1:E301,1,FALSE()))),"OLD",IF(AND(E302&lt;&gt;"",E302&lt;&gt;"!!!"),"NEW","")))</f>
        <v/>
      </c>
      <c r="G302" s="22" t="str">
        <f>IF(OR(E302="",E302="!!!"),"",IF(OR(J302=0,AND(J302=1,K302=1),AND(J302=1,I302="SBJ"),AND(J302=1,I302=0)),"?IN_FOCUS",IF(J302&lt;=2,"?ACTIVATED",IF(J302&lt;&gt;"","?FAMILIAR",IF(F302="NEW",IF(ISNA(VLOOKUP(E302,#REF!,1,FALSE())),"?TYPE_IDENTIFIABLE","?REFERENTIAL"),"_")))))</f>
        <v/>
      </c>
      <c r="H302" s="23" t="str">
        <f t="shared" ca="1" si="23"/>
        <v/>
      </c>
      <c r="I302" s="24" t="str">
        <f>IF(OR(E302="",E302="!!!",F302="NEW"),"",INDEX(B$2:B301,-1+SUMPRODUCT(MAX(ROW(E$2:E301)*(E302=E$2:E301)))))</f>
        <v/>
      </c>
      <c r="J302" s="24" t="str">
        <f ca="1">IF(OR(E302="",E302="!!!",F302="NEW"),"",COUNTBLANK(OFFSET(A$1,,,SUMPRODUCT(MAX(ROW(E$2:E302)*(E302=E$2:E302)))))-COUNTBLANK(OFFSET(A$1,,,SUMPRODUCT(MAX(ROW(E$1:E301)*(E2=E$1:E301))))))</f>
        <v/>
      </c>
      <c r="K302" s="24" t="str">
        <f>IF(OR(E302="",E302="!!!",F302="NEW"),"",INDEX(J$1:J301,SUMPRODUCT(MAX(ROW(E$1:E301)*(E302=E$1:E301)))))</f>
        <v/>
      </c>
      <c r="L302" s="25"/>
    </row>
    <row r="303" spans="1:12" x14ac:dyDescent="0.3">
      <c r="A303" t="s">
        <v>220</v>
      </c>
      <c r="E303" s="20" t="str">
        <f t="shared" si="22"/>
        <v/>
      </c>
      <c r="F303" s="21" t="str">
        <f>IF(OR(E303="",E303="!!!"),"",IF(NOT(ISNA(VLOOKUP(E303,E$1:E302,1,FALSE()))),"OLD",IF(AND(E303&lt;&gt;"",E303&lt;&gt;"!!!"),"NEW","")))</f>
        <v/>
      </c>
      <c r="G303" s="22" t="str">
        <f>IF(OR(E303="",E303="!!!"),"",IF(OR(J303=0,AND(J303=1,K303=1),AND(J303=1,I303="SBJ"),AND(J303=1,I303=0)),"?IN_FOCUS",IF(J303&lt;=2,"?ACTIVATED",IF(J303&lt;&gt;"","?FAMILIAR",IF(F303="NEW",IF(ISNA(VLOOKUP(E303,#REF!,1,FALSE())),"?TYPE_IDENTIFIABLE","?REFERENTIAL"),"_")))))</f>
        <v/>
      </c>
      <c r="H303" s="23" t="str">
        <f t="shared" ca="1" si="23"/>
        <v/>
      </c>
      <c r="I303" s="24" t="str">
        <f>IF(OR(E303="",E303="!!!",F303="NEW"),"",INDEX(B$2:B302,-1+SUMPRODUCT(MAX(ROW(E$2:E302)*(E303=E$2:E302)))))</f>
        <v/>
      </c>
      <c r="J303" s="24" t="str">
        <f ca="1">IF(OR(E303="",E303="!!!",F303="NEW"),"",COUNTBLANK(OFFSET(A$1,,,SUMPRODUCT(MAX(ROW(E$2:E303)*(E303=E$2:E303)))))-COUNTBLANK(OFFSET(A$1,,,SUMPRODUCT(MAX(ROW(E$1:E302)*(E2=E$1:E302))))))</f>
        <v/>
      </c>
      <c r="K303" s="24" t="str">
        <f>IF(OR(E303="",E303="!!!",F303="NEW"),"",INDEX(J$1:J302,SUMPRODUCT(MAX(ROW(E$1:E302)*(E303=E$1:E302)))))</f>
        <v/>
      </c>
      <c r="L303" s="25"/>
    </row>
    <row r="304" spans="1:12" x14ac:dyDescent="0.3">
      <c r="A304" t="s">
        <v>394</v>
      </c>
      <c r="E304" s="20" t="str">
        <f t="shared" si="22"/>
        <v/>
      </c>
      <c r="F304" s="21" t="str">
        <f>IF(OR(E304="",E304="!!!"),"",IF(NOT(ISNA(VLOOKUP(E304,E$1:E303,1,FALSE()))),"OLD",IF(AND(E304&lt;&gt;"",E304&lt;&gt;"!!!"),"NEW","")))</f>
        <v/>
      </c>
      <c r="G304" s="22" t="str">
        <f>IF(OR(E304="",E304="!!!"),"",IF(OR(J304=0,AND(J304=1,K304=1),AND(J304=1,I304="SBJ"),AND(J304=1,I304=0)),"?IN_FOCUS",IF(J304&lt;=2,"?ACTIVATED",IF(J304&lt;&gt;"","?FAMILIAR",IF(F304="NEW",IF(ISNA(VLOOKUP(E304,#REF!,1,FALSE())),"?TYPE_IDENTIFIABLE","?REFERENTIAL"),"_")))))</f>
        <v/>
      </c>
      <c r="H304" s="23" t="str">
        <f t="shared" ca="1" si="23"/>
        <v/>
      </c>
      <c r="I304" s="24" t="str">
        <f>IF(OR(E304="",E304="!!!",F304="NEW"),"",INDEX(B$2:B303,-1+SUMPRODUCT(MAX(ROW(E$2:E303)*(E304=E$2:E303)))))</f>
        <v/>
      </c>
      <c r="J304" s="24" t="str">
        <f ca="1">IF(OR(E304="",E304="!!!",F304="NEW"),"",COUNTBLANK(OFFSET(A$1,,,SUMPRODUCT(MAX(ROW(E$2:E304)*(E304=E$2:E304)))))-COUNTBLANK(OFFSET(A$1,,,SUMPRODUCT(MAX(ROW(E$1:E303)*(E2=E$1:E303))))))</f>
        <v/>
      </c>
      <c r="K304" s="24" t="str">
        <f>IF(OR(E304="",E304="!!!",F304="NEW"),"",INDEX(J$1:J303,SUMPRODUCT(MAX(ROW(E$1:E303)*(E304=E$1:E303)))))</f>
        <v/>
      </c>
      <c r="L304" s="25"/>
    </row>
    <row r="305" spans="1:12" x14ac:dyDescent="0.3">
      <c r="A305" t="s">
        <v>395</v>
      </c>
      <c r="B305" s="26" t="s">
        <v>269</v>
      </c>
      <c r="C305" s="26" t="s">
        <v>264</v>
      </c>
      <c r="D305" s="26" t="s">
        <v>215</v>
      </c>
      <c r="E305" s="20" t="s">
        <v>690</v>
      </c>
      <c r="F305" s="21" t="str">
        <f>IF(OR(E305="",E305="!!!"),"",IF(NOT(ISNA(VLOOKUP(E305,E$1:E304,1,FALSE()))),"OLD",IF(AND(E305&lt;&gt;"",E305&lt;&gt;"!!!"),"NEW","")))</f>
        <v>NEW</v>
      </c>
      <c r="G305" s="22" t="str">
        <f ca="1">IF(OR(E305="",E305="!!!"),"",IF(OR(J305=0,AND(J305=1,K305=1),AND(J305=1,I305="SBJ"),AND(J305=1,I305=0)),"?IN_FOCUS",IF(J305&lt;=2,"?ACTIVATED",IF(J305&lt;&gt;"","?FAMILIAR",IF(F305="NEW",IF(ISNA(VLOOKUP(E305,#REF!,1,FALSE())),"?TYPE_IDENTIFIABLE","?REFERENTIAL"),"_")))))</f>
        <v>?REFERENTIAL</v>
      </c>
      <c r="H305" s="23" t="str">
        <f t="shared" ca="1" si="23"/>
        <v/>
      </c>
      <c r="I305" s="24" t="str">
        <f>IF(OR(E305="",E305="!!!",F305="NEW"),"",INDEX(B$2:B304,-1+SUMPRODUCT(MAX(ROW(E$2:E304)*(E305=E$2:E304)))))</f>
        <v/>
      </c>
      <c r="J305" s="24" t="str">
        <f ca="1">IF(OR(E305="",E305="!!!",F305="NEW"),"",COUNTBLANK(OFFSET(A$1,,,SUMPRODUCT(MAX(ROW(E$2:E305)*(E305=E$2:E305)))))-COUNTBLANK(OFFSET(A$1,,,SUMPRODUCT(MAX(ROW(E$1:E304)*(E2=E$1:E304))))))</f>
        <v/>
      </c>
      <c r="K305" s="24" t="str">
        <f>IF(OR(E305="",E305="!!!",F305="NEW"),"",INDEX(J$1:J304,SUMPRODUCT(MAX(ROW(E$1:E304)*(E305=E$1:E304)))))</f>
        <v/>
      </c>
      <c r="L305" s="25"/>
    </row>
    <row r="306" spans="1:12" x14ac:dyDescent="0.3">
      <c r="A306" t="s">
        <v>223</v>
      </c>
      <c r="E306" s="20" t="str">
        <f t="shared" si="22"/>
        <v/>
      </c>
      <c r="F306" s="21" t="str">
        <f>IF(OR(E306="",E306="!!!"),"",IF(NOT(ISNA(VLOOKUP(E306,E$1:E305,1,FALSE()))),"OLD",IF(AND(E306&lt;&gt;"",E306&lt;&gt;"!!!"),"NEW","")))</f>
        <v/>
      </c>
      <c r="G306" s="22" t="str">
        <f>IF(OR(E306="",E306="!!!"),"",IF(OR(J306=0,AND(J306=1,K306=1),AND(J306=1,I306="SBJ"),AND(J306=1,I306=0)),"?IN_FOCUS",IF(J306&lt;=2,"?ACTIVATED",IF(J306&lt;&gt;"","?FAMILIAR",IF(F306="NEW",IF(ISNA(VLOOKUP(E306,#REF!,1,FALSE())),"?TYPE_IDENTIFIABLE","?REFERENTIAL"),"_")))))</f>
        <v/>
      </c>
      <c r="H306" s="23" t="str">
        <f t="shared" ca="1" si="23"/>
        <v/>
      </c>
      <c r="I306" s="24" t="str">
        <f>IF(OR(E306="",E306="!!!",F306="NEW"),"",INDEX(B$2:B305,-1+SUMPRODUCT(MAX(ROW(E$2:E305)*(E306=E$2:E305)))))</f>
        <v/>
      </c>
      <c r="J306" s="24" t="str">
        <f ca="1">IF(OR(E306="",E306="!!!",F306="NEW"),"",COUNTBLANK(OFFSET(A$1,,,SUMPRODUCT(MAX(ROW(E$2:E306)*(E306=E$2:E306)))))-COUNTBLANK(OFFSET(A$1,,,SUMPRODUCT(MAX(ROW(E$1:E305)*(E2=E$1:E305))))))</f>
        <v/>
      </c>
      <c r="K306" s="24" t="str">
        <f>IF(OR(E306="",E306="!!!",F306="NEW"),"",INDEX(J$1:J305,SUMPRODUCT(MAX(ROW(E$1:E305)*(E306=E$1:E305)))))</f>
        <v/>
      </c>
      <c r="L306" s="25"/>
    </row>
    <row r="307" spans="1:12" x14ac:dyDescent="0.3">
      <c r="A307" t="s">
        <v>364</v>
      </c>
      <c r="B307" s="26" t="s">
        <v>281</v>
      </c>
      <c r="C307" s="26" t="s">
        <v>214</v>
      </c>
      <c r="D307" s="26" t="s">
        <v>215</v>
      </c>
      <c r="E307" s="20" t="s">
        <v>364</v>
      </c>
      <c r="F307" s="21" t="str">
        <f>IF(OR(E307="",E307="!!!"),"",IF(NOT(ISNA(VLOOKUP(E307,E$1:E306,1,FALSE()))),"OLD",IF(AND(E307&lt;&gt;"",E307&lt;&gt;"!!!"),"NEW","")))</f>
        <v>OLD</v>
      </c>
      <c r="G307" s="22" t="s">
        <v>657</v>
      </c>
      <c r="H307" s="23" t="str">
        <f t="shared" ca="1" si="23"/>
        <v/>
      </c>
      <c r="I307" s="24" t="str">
        <f>IF(OR(E307="",E307="!!!",F307="NEW"),"",INDEX(B$2:B306,-1+SUMPRODUCT(MAX(ROW(E$2:E306)*(E307=E$2:E306)))))</f>
        <v>other_3</v>
      </c>
      <c r="J307" s="24">
        <f ca="1">IF(OR(E307="",E307="!!!",F307="NEW"),"",COUNTBLANK(OFFSET(A$1,,,SUMPRODUCT(MAX(ROW(E$2:E307)*(E307=E$2:E307)))))-COUNTBLANK(OFFSET(A$1,,,SUMPRODUCT(MAX(ROW(E$1:E306)*(E2=E$1:E306))))))</f>
        <v>0</v>
      </c>
      <c r="K307" s="24" t="str">
        <f ca="1">IF(OR(E307="",E307="!!!",F307="NEW"),"",INDEX(J$1:J306,SUMPRODUCT(MAX(ROW(E$1:E306)*(E307=E$1:E306)))))</f>
        <v/>
      </c>
      <c r="L307" s="25"/>
    </row>
    <row r="308" spans="1:12" x14ac:dyDescent="0.3">
      <c r="A308" t="s">
        <v>270</v>
      </c>
      <c r="E308" s="20" t="str">
        <f t="shared" si="22"/>
        <v/>
      </c>
      <c r="F308" s="21" t="str">
        <f>IF(OR(E308="",E308="!!!"),"",IF(NOT(ISNA(VLOOKUP(E308,E$1:E307,1,FALSE()))),"OLD",IF(AND(E308&lt;&gt;"",E308&lt;&gt;"!!!"),"NEW","")))</f>
        <v/>
      </c>
      <c r="G308" s="22" t="str">
        <f>IF(OR(E308="",E308="!!!"),"",IF(OR(J308=0,AND(J308=1,K308=1),AND(J308=1,I308="SBJ"),AND(J308=1,I308=0)),"?IN_FOCUS",IF(J308&lt;=2,"?ACTIVATED",IF(J308&lt;&gt;"","?FAMILIAR",IF(F308="NEW",IF(ISNA(VLOOKUP(E308,#REF!,1,FALSE())),"?TYPE_IDENTIFIABLE","?REFERENTIAL"),"_")))))</f>
        <v/>
      </c>
      <c r="H308" s="23" t="str">
        <f t="shared" ca="1" si="23"/>
        <v/>
      </c>
      <c r="I308" s="24" t="str">
        <f>IF(OR(E308="",E308="!!!",F308="NEW"),"",INDEX(B$2:B307,-1+SUMPRODUCT(MAX(ROW(E$2:E307)*(E308=E$2:E307)))))</f>
        <v/>
      </c>
      <c r="J308" s="24" t="str">
        <f ca="1">IF(OR(E308="",E308="!!!",F308="NEW"),"",COUNTBLANK(OFFSET(A$1,,,SUMPRODUCT(MAX(ROW(E$2:E308)*(E308=E$2:E308)))))-COUNTBLANK(OFFSET(A$1,,,SUMPRODUCT(MAX(ROW(E$1:E307)*(E2=E$1:E307))))))</f>
        <v/>
      </c>
      <c r="K308" s="24" t="str">
        <f>IF(OR(E308="",E308="!!!",F308="NEW"),"",INDEX(J$1:J307,SUMPRODUCT(MAX(ROW(E$1:E307)*(E308=E$1:E307)))))</f>
        <v/>
      </c>
      <c r="L308" s="25" t="s">
        <v>658</v>
      </c>
    </row>
    <row r="309" spans="1:12" x14ac:dyDescent="0.3">
      <c r="A309" t="s">
        <v>366</v>
      </c>
      <c r="E309" s="20" t="str">
        <f t="shared" si="22"/>
        <v/>
      </c>
      <c r="F309" s="21" t="str">
        <f>IF(OR(E309="",E309="!!!"),"",IF(NOT(ISNA(VLOOKUP(E309,E$1:E308,1,FALSE()))),"OLD",IF(AND(E309&lt;&gt;"",E309&lt;&gt;"!!!"),"NEW","")))</f>
        <v/>
      </c>
      <c r="G309" s="22" t="str">
        <f>IF(OR(E309="",E309="!!!"),"",IF(OR(J309=0,AND(J309=1,K309=1),AND(J309=1,I309="SBJ"),AND(J309=1,I309=0)),"?IN_FOCUS",IF(J309&lt;=2,"?ACTIVATED",IF(J309&lt;&gt;"","?FAMILIAR",IF(F309="NEW",IF(ISNA(VLOOKUP(E309,#REF!,1,FALSE())),"?TYPE_IDENTIFIABLE","?REFERENTIAL"),"_")))))</f>
        <v/>
      </c>
      <c r="H309" s="23" t="str">
        <f t="shared" ca="1" si="23"/>
        <v/>
      </c>
      <c r="I309" s="24" t="str">
        <f>IF(OR(E309="",E309="!!!",F309="NEW"),"",INDEX(B$2:B308,-1+SUMPRODUCT(MAX(ROW(E$2:E308)*(E309=E$2:E308)))))</f>
        <v/>
      </c>
      <c r="J309" s="24" t="str">
        <f ca="1">IF(OR(E309="",E309="!!!",F309="NEW"),"",COUNTBLANK(OFFSET(A$1,,,SUMPRODUCT(MAX(ROW(E$2:E309)*(E309=E$2:E309)))))-COUNTBLANK(OFFSET(A$1,,,SUMPRODUCT(MAX(ROW(E$1:E308)*(E2=E$1:E308))))))</f>
        <v/>
      </c>
      <c r="K309" s="24" t="str">
        <f>IF(OR(E309="",E309="!!!",F309="NEW"),"",INDEX(J$1:J308,SUMPRODUCT(MAX(ROW(E$1:E308)*(E309=E$1:E308)))))</f>
        <v/>
      </c>
      <c r="L309" s="25"/>
    </row>
    <row r="310" spans="1:12" ht="28.8" x14ac:dyDescent="0.3">
      <c r="A310" t="s">
        <v>396</v>
      </c>
      <c r="B310" s="26" t="s">
        <v>336</v>
      </c>
      <c r="C310" s="26" t="s">
        <v>214</v>
      </c>
      <c r="D310" s="26" t="s">
        <v>215</v>
      </c>
      <c r="E310" s="20" t="s">
        <v>691</v>
      </c>
      <c r="F310" s="21" t="s">
        <v>692</v>
      </c>
      <c r="G310" s="22" t="s">
        <v>665</v>
      </c>
      <c r="H310" s="23" t="str">
        <f t="shared" ca="1" si="23"/>
        <v/>
      </c>
      <c r="I310" s="24" t="e">
        <f>IF(OR(E310="",E310="!!!",F310="NEW"),"",INDEX(B$2:B309,-1+SUMPRODUCT(MAX(ROW(E$2:E309)*(E310=E$2:E309)))))</f>
        <v>#VALUE!</v>
      </c>
      <c r="J310" s="24">
        <f ca="1">IF(OR(E310="",E310="!!!",F310="NEW"),"",COUNTBLANK(OFFSET(A$1,,,SUMPRODUCT(MAX(ROW(E$2:E310)*(E310=E$2:E310)))))-COUNTBLANK(OFFSET(A$1,,,SUMPRODUCT(MAX(ROW(E$1:E309)*(E2=E$1:E309))))))</f>
        <v>0</v>
      </c>
      <c r="K310" s="24" t="e">
        <f>IF(OR(E310="",E310="!!!",F310="NEW"),"",INDEX(J$1:J309,SUMPRODUCT(MAX(ROW(E$1:E309)*(E310=E$1:E309)))))</f>
        <v>#VALUE!</v>
      </c>
      <c r="L310" s="25" t="s">
        <v>693</v>
      </c>
    </row>
    <row r="311" spans="1:12" x14ac:dyDescent="0.3">
      <c r="A311" t="s">
        <v>234</v>
      </c>
      <c r="E311" s="20" t="str">
        <f t="shared" si="22"/>
        <v/>
      </c>
      <c r="F311" s="21" t="str">
        <f>IF(OR(E311="",E311="!!!"),"",IF(NOT(ISNA(VLOOKUP(E311,E$1:E310,1,FALSE()))),"OLD",IF(AND(E311&lt;&gt;"",E311&lt;&gt;"!!!"),"NEW","")))</f>
        <v/>
      </c>
      <c r="G311" s="22" t="str">
        <f>IF(OR(E311="",E311="!!!"),"",IF(OR(J311=0,AND(J311=1,K311=1),AND(J311=1,I311="SBJ"),AND(J311=1,I311=0)),"?IN_FOCUS",IF(J311&lt;=2,"?ACTIVATED",IF(J311&lt;&gt;"","?FAMILIAR",IF(F311="NEW",IF(ISNA(VLOOKUP(E311,#REF!,1,FALSE())),"?TYPE_IDENTIFIABLE","?REFERENTIAL"),"_")))))</f>
        <v/>
      </c>
      <c r="H311" s="23" t="str">
        <f t="shared" ca="1" si="23"/>
        <v/>
      </c>
      <c r="I311" s="24" t="str">
        <f>IF(OR(E311="",E311="!!!",F311="NEW"),"",INDEX(B$2:B310,-1+SUMPRODUCT(MAX(ROW(E$2:E310)*(E311=E$2:E310)))))</f>
        <v/>
      </c>
      <c r="J311" s="24" t="str">
        <f ca="1">IF(OR(E311="",E311="!!!",F311="NEW"),"",COUNTBLANK(OFFSET(A$1,,,SUMPRODUCT(MAX(ROW(E$2:E311)*(E311=E$2:E311)))))-COUNTBLANK(OFFSET(A$1,,,SUMPRODUCT(MAX(ROW(E$1:E310)*(E2=E$1:E310))))))</f>
        <v/>
      </c>
      <c r="K311" s="24" t="str">
        <f>IF(OR(E311="",E311="!!!",F311="NEW"),"",INDEX(J$1:J310,SUMPRODUCT(MAX(ROW(E$1:E310)*(E311=E$1:E310)))))</f>
        <v/>
      </c>
      <c r="L311" s="25"/>
    </row>
    <row r="313" spans="1:12" x14ac:dyDescent="0.3">
      <c r="A313" t="s">
        <v>397</v>
      </c>
    </row>
    <row r="314" spans="1:12" x14ac:dyDescent="0.3">
      <c r="A314" t="s">
        <v>236</v>
      </c>
      <c r="E314" s="20" t="str">
        <f t="shared" ref="E314:E343" si="24">IF(D314="?OLD","!!!","")</f>
        <v/>
      </c>
      <c r="F314" s="21" t="str">
        <f>IF(OR(E314="",E314="!!!"),"",IF(NOT(ISNA(VLOOKUP(E314,E$1:E313,1,FALSE()))),"OLD",IF(AND(E314&lt;&gt;"",E314&lt;&gt;"!!!"),"NEW","")))</f>
        <v/>
      </c>
      <c r="G314" s="22" t="str">
        <f>IF(OR(E314="",E314="!!!"),"",IF(OR(J314=0,AND(J314=1,K314=1),AND(J314=1,I314="SBJ"),AND(J314=1,I314=0)),"?IN_FOCUS",IF(J314&lt;=2,"?ACTIVATED",IF(J314&lt;&gt;"","?FAMILIAR",IF(F314="NEW",IF(ISNA(VLOOKUP(E314,#REF!,1,FALSE())),"?TYPE_IDENTIFIABLE","?REFERENTIAL"),"_")))))</f>
        <v/>
      </c>
      <c r="H314" s="23" t="str">
        <f t="shared" ref="H314:H343" ca="1" si="25">IF(J314&lt;&gt;1,"",IF(I314="SBJ","CB","?"))</f>
        <v/>
      </c>
      <c r="I314" s="24" t="str">
        <f>IF(OR(E314="",E314="!!!",F314="NEW"),"",INDEX(B$2:B313,-1+SUMPRODUCT(MAX(ROW(E$2:E313)*(E314=E$2:E313)))))</f>
        <v/>
      </c>
      <c r="J314" s="24" t="str">
        <f ca="1">IF(OR(E314="",E314="!!!",F314="NEW"),"",COUNTBLANK(OFFSET(A$1,,,SUMPRODUCT(MAX(ROW(E$2:E314)*(E314=E$2:E314)))))-COUNTBLANK(OFFSET(A$1,,,SUMPRODUCT(MAX(ROW(E$1:E313)*(E2=E$1:E313))))))</f>
        <v/>
      </c>
      <c r="K314" s="24" t="str">
        <f>IF(OR(E314="",E314="!!!",F314="NEW"),"",INDEX(J$1:J313,SUMPRODUCT(MAX(ROW(E$1:E313)*(E314=E$1:E313)))))</f>
        <v/>
      </c>
      <c r="L314" s="25"/>
    </row>
    <row r="315" spans="1:12" x14ac:dyDescent="0.3">
      <c r="A315" t="s">
        <v>120</v>
      </c>
      <c r="B315" s="26" t="s">
        <v>213</v>
      </c>
      <c r="C315" s="26" t="s">
        <v>230</v>
      </c>
      <c r="D315" s="26" t="s">
        <v>215</v>
      </c>
      <c r="E315" s="20" t="s">
        <v>746</v>
      </c>
      <c r="F315" s="21" t="s">
        <v>677</v>
      </c>
      <c r="G315" s="22" t="s">
        <v>652</v>
      </c>
      <c r="H315" s="23" t="s">
        <v>198</v>
      </c>
      <c r="I315" s="24" t="e">
        <f>IF(OR(E315="",E315="!!!",F315="NEW"),"",INDEX(B$2:B314,-1+SUMPRODUCT(MAX(ROW(E$2:E314)*(E315=E$2:E314)))))</f>
        <v>#VALUE!</v>
      </c>
      <c r="J315" s="24">
        <f ca="1">IF(OR(E315="",E315="!!!",F315="NEW"),"",COUNTBLANK(OFFSET(A$1,,,SUMPRODUCT(MAX(ROW(E$2:E315)*(E315=E$2:E315)))))-COUNTBLANK(OFFSET(A$1,,,SUMPRODUCT(MAX(ROW(E$1:E314)*(E2=E$1:E314))))))</f>
        <v>0</v>
      </c>
      <c r="K315" s="24" t="e">
        <f>IF(OR(E315="",E315="!!!",F315="NEW"),"",INDEX(J$1:J314,SUMPRODUCT(MAX(ROW(E$1:E314)*(E315=E$1:E314)))))</f>
        <v>#VALUE!</v>
      </c>
      <c r="L315" s="25" t="s">
        <v>694</v>
      </c>
    </row>
    <row r="316" spans="1:12" x14ac:dyDescent="0.3">
      <c r="A316" t="s">
        <v>398</v>
      </c>
      <c r="E316" s="20" t="str">
        <f t="shared" si="24"/>
        <v/>
      </c>
      <c r="F316" s="21" t="str">
        <f>IF(OR(E316="",E316="!!!"),"",IF(NOT(ISNA(VLOOKUP(E316,E$1:E315,1,FALSE()))),"OLD",IF(AND(E316&lt;&gt;"",E316&lt;&gt;"!!!"),"NEW","")))</f>
        <v/>
      </c>
      <c r="G316" s="22" t="str">
        <f>IF(OR(E316="",E316="!!!"),"",IF(OR(J316=0,AND(J316=1,K316=1),AND(J316=1,I316="SBJ"),AND(J316=1,I316=0)),"?IN_FOCUS",IF(J316&lt;=2,"?ACTIVATED",IF(J316&lt;&gt;"","?FAMILIAR",IF(F316="NEW",IF(ISNA(VLOOKUP(E316,#REF!,1,FALSE())),"?TYPE_IDENTIFIABLE","?REFERENTIAL"),"_")))))</f>
        <v/>
      </c>
      <c r="H316" s="23" t="str">
        <f t="shared" ca="1" si="25"/>
        <v/>
      </c>
      <c r="I316" s="24" t="str">
        <f>IF(OR(E316="",E316="!!!",F316="NEW"),"",INDEX(B$2:B315,-1+SUMPRODUCT(MAX(ROW(E$2:E315)*(E316=E$2:E315)))))</f>
        <v/>
      </c>
      <c r="J316" s="24" t="str">
        <f ca="1">IF(OR(E316="",E316="!!!",F316="NEW"),"",COUNTBLANK(OFFSET(A$1,,,SUMPRODUCT(MAX(ROW(E$2:E316)*(E316=E$2:E316)))))-COUNTBLANK(OFFSET(A$1,,,SUMPRODUCT(MAX(ROW(E$1:E315)*(E2=E$1:E315))))))</f>
        <v/>
      </c>
      <c r="K316" s="24" t="str">
        <f>IF(OR(E316="",E316="!!!",F316="NEW"),"",INDEX(J$1:J315,SUMPRODUCT(MAX(ROW(E$1:E315)*(E316=E$1:E315)))))</f>
        <v/>
      </c>
      <c r="L316" s="25"/>
    </row>
    <row r="317" spans="1:12" x14ac:dyDescent="0.3">
      <c r="A317" t="s">
        <v>399</v>
      </c>
      <c r="E317" s="20" t="str">
        <f t="shared" si="24"/>
        <v/>
      </c>
      <c r="F317" s="21" t="str">
        <f>IF(OR(E317="",E317="!!!"),"",IF(NOT(ISNA(VLOOKUP(E317,E$1:E316,1,FALSE()))),"OLD",IF(AND(E317&lt;&gt;"",E317&lt;&gt;"!!!"),"NEW","")))</f>
        <v/>
      </c>
      <c r="G317" s="22" t="str">
        <f>IF(OR(E317="",E317="!!!"),"",IF(OR(J317=0,AND(J317=1,K317=1),AND(J317=1,I317="SBJ"),AND(J317=1,I317=0)),"?IN_FOCUS",IF(J317&lt;=2,"?ACTIVATED",IF(J317&lt;&gt;"","?FAMILIAR",IF(F317="NEW",IF(ISNA(VLOOKUP(E317,#REF!,1,FALSE())),"?TYPE_IDENTIFIABLE","?REFERENTIAL"),"_")))))</f>
        <v/>
      </c>
      <c r="H317" s="23" t="str">
        <f t="shared" ca="1" si="25"/>
        <v/>
      </c>
      <c r="I317" s="24" t="str">
        <f>IF(OR(E317="",E317="!!!",F317="NEW"),"",INDEX(B$2:B316,-1+SUMPRODUCT(MAX(ROW(E$2:E316)*(E317=E$2:E316)))))</f>
        <v/>
      </c>
      <c r="J317" s="24" t="str">
        <f ca="1">IF(OR(E317="",E317="!!!",F317="NEW"),"",COUNTBLANK(OFFSET(A$1,,,SUMPRODUCT(MAX(ROW(E$2:E317)*(E317=E$2:E317)))))-COUNTBLANK(OFFSET(A$1,,,SUMPRODUCT(MAX(ROW(E$1:E316)*(E2=E$1:E316))))))</f>
        <v/>
      </c>
      <c r="K317" s="24" t="str">
        <f>IF(OR(E317="",E317="!!!",F317="NEW"),"",INDEX(J$1:J316,SUMPRODUCT(MAX(ROW(E$1:E316)*(E317=E$1:E316)))))</f>
        <v/>
      </c>
      <c r="L317" s="25"/>
    </row>
    <row r="318" spans="1:12" x14ac:dyDescent="0.3">
      <c r="A318" t="s">
        <v>378</v>
      </c>
      <c r="E318" s="20" t="str">
        <f t="shared" si="24"/>
        <v/>
      </c>
      <c r="F318" s="21" t="str">
        <f>IF(OR(E318="",E318="!!!"),"",IF(NOT(ISNA(VLOOKUP(E318,E$1:E317,1,FALSE()))),"OLD",IF(AND(E318&lt;&gt;"",E318&lt;&gt;"!!!"),"NEW","")))</f>
        <v/>
      </c>
      <c r="G318" s="22" t="str">
        <f>IF(OR(E318="",E318="!!!"),"",IF(OR(J318=0,AND(J318=1,K318=1),AND(J318=1,I318="SBJ"),AND(J318=1,I318=0)),"?IN_FOCUS",IF(J318&lt;=2,"?ACTIVATED",IF(J318&lt;&gt;"","?FAMILIAR",IF(F318="NEW",IF(ISNA(VLOOKUP(E318,#REF!,1,FALSE())),"?TYPE_IDENTIFIABLE","?REFERENTIAL"),"_")))))</f>
        <v/>
      </c>
      <c r="H318" s="23" t="str">
        <f t="shared" ca="1" si="25"/>
        <v/>
      </c>
      <c r="I318" s="24" t="str">
        <f>IF(OR(E318="",E318="!!!",F318="NEW"),"",INDEX(B$2:B317,-1+SUMPRODUCT(MAX(ROW(E$2:E317)*(E318=E$2:E317)))))</f>
        <v/>
      </c>
      <c r="J318" s="24" t="str">
        <f ca="1">IF(OR(E318="",E318="!!!",F318="NEW"),"",COUNTBLANK(OFFSET(A$1,,,SUMPRODUCT(MAX(ROW(E$2:E318)*(E318=E$2:E318)))))-COUNTBLANK(OFFSET(A$1,,,SUMPRODUCT(MAX(ROW(E$1:E317)*(E2=E$1:E317))))))</f>
        <v/>
      </c>
      <c r="K318" s="24" t="str">
        <f>IF(OR(E318="",E318="!!!",F318="NEW"),"",INDEX(J$1:J317,SUMPRODUCT(MAX(ROW(E$1:E317)*(E318=E$1:E317)))))</f>
        <v/>
      </c>
      <c r="L318" s="25"/>
    </row>
    <row r="319" spans="1:12" x14ac:dyDescent="0.3">
      <c r="A319" t="s">
        <v>188</v>
      </c>
      <c r="B319" s="26" t="s">
        <v>225</v>
      </c>
      <c r="C319" s="26" t="s">
        <v>226</v>
      </c>
      <c r="E319" s="20" t="str">
        <f t="shared" si="24"/>
        <v/>
      </c>
      <c r="F319" s="21" t="str">
        <f>IF(OR(E319="",E319="!!!"),"",IF(NOT(ISNA(VLOOKUP(E319,E$1:E318,1,FALSE()))),"OLD",IF(AND(E319&lt;&gt;"",E319&lt;&gt;"!!!"),"NEW","")))</f>
        <v/>
      </c>
      <c r="G319" s="22" t="str">
        <f>IF(OR(E319="",E319="!!!"),"",IF(OR(J319=0,AND(J319=1,K319=1),AND(J319=1,I319="SBJ"),AND(J319=1,I319=0)),"?IN_FOCUS",IF(J319&lt;=2,"?ACTIVATED",IF(J319&lt;&gt;"","?FAMILIAR",IF(F319="NEW",IF(ISNA(VLOOKUP(E319,#REF!,1,FALSE())),"?TYPE_IDENTIFIABLE","?REFERENTIAL"),"_")))))</f>
        <v/>
      </c>
      <c r="H319" s="23" t="str">
        <f t="shared" ca="1" si="25"/>
        <v/>
      </c>
      <c r="I319" s="24" t="str">
        <f>IF(OR(E319="",E319="!!!",F319="NEW"),"",INDEX(B$2:B318,-1+SUMPRODUCT(MAX(ROW(E$2:E318)*(E319=E$2:E318)))))</f>
        <v/>
      </c>
      <c r="J319" s="24" t="str">
        <f ca="1">IF(OR(E319="",E319="!!!",F319="NEW"),"",COUNTBLANK(OFFSET(A$1,,,SUMPRODUCT(MAX(ROW(E$2:E319)*(E319=E$2:E319)))))-COUNTBLANK(OFFSET(A$1,,,SUMPRODUCT(MAX(ROW(E$1:E318)*(E2=E$1:E318))))))</f>
        <v/>
      </c>
      <c r="K319" s="24" t="str">
        <f>IF(OR(E319="",E319="!!!",F319="NEW"),"",INDEX(J$1:J318,SUMPRODUCT(MAX(ROW(E$1:E318)*(E319=E$1:E318)))))</f>
        <v/>
      </c>
      <c r="L319" s="25"/>
    </row>
    <row r="320" spans="1:12" x14ac:dyDescent="0.3">
      <c r="A320" t="s">
        <v>207</v>
      </c>
      <c r="E320" s="20" t="str">
        <f t="shared" si="24"/>
        <v/>
      </c>
      <c r="F320" s="21" t="str">
        <f>IF(OR(E320="",E320="!!!"),"",IF(NOT(ISNA(VLOOKUP(E320,E$1:E319,1,FALSE()))),"OLD",IF(AND(E320&lt;&gt;"",E320&lt;&gt;"!!!"),"NEW","")))</f>
        <v/>
      </c>
      <c r="G320" s="22" t="str">
        <f>IF(OR(E320="",E320="!!!"),"",IF(OR(J320=0,AND(J320=1,K320=1),AND(J320=1,I320="SBJ"),AND(J320=1,I320=0)),"?IN_FOCUS",IF(J320&lt;=2,"?ACTIVATED",IF(J320&lt;&gt;"","?FAMILIAR",IF(F320="NEW",IF(ISNA(VLOOKUP(E320,#REF!,1,FALSE())),"?TYPE_IDENTIFIABLE","?REFERENTIAL"),"_")))))</f>
        <v/>
      </c>
      <c r="H320" s="23" t="str">
        <f t="shared" ca="1" si="25"/>
        <v/>
      </c>
      <c r="I320" s="24" t="str">
        <f>IF(OR(E320="",E320="!!!",F320="NEW"),"",INDEX(B$2:B319,-1+SUMPRODUCT(MAX(ROW(E$2:E319)*(E320=E$2:E319)))))</f>
        <v/>
      </c>
      <c r="J320" s="24" t="str">
        <f ca="1">IF(OR(E320="",E320="!!!",F320="NEW"),"",COUNTBLANK(OFFSET(A$1,,,SUMPRODUCT(MAX(ROW(E$2:E320)*(E320=E$2:E320)))))-COUNTBLANK(OFFSET(A$1,,,SUMPRODUCT(MAX(ROW(E$1:E319)*(E2=E$1:E319))))))</f>
        <v/>
      </c>
      <c r="K320" s="24" t="str">
        <f>IF(OR(E320="",E320="!!!",F320="NEW"),"",INDEX(J$1:J319,SUMPRODUCT(MAX(ROW(E$1:E319)*(E320=E$1:E319)))))</f>
        <v/>
      </c>
      <c r="L320" s="25"/>
    </row>
    <row r="321" spans="1:12" x14ac:dyDescent="0.3">
      <c r="A321" t="s">
        <v>287</v>
      </c>
      <c r="E321" s="20" t="str">
        <f t="shared" si="24"/>
        <v/>
      </c>
      <c r="F321" s="21" t="str">
        <f>IF(OR(E321="",E321="!!!"),"",IF(NOT(ISNA(VLOOKUP(E321,E$1:E320,1,FALSE()))),"OLD",IF(AND(E321&lt;&gt;"",E321&lt;&gt;"!!!"),"NEW","")))</f>
        <v/>
      </c>
      <c r="G321" s="22" t="str">
        <f>IF(OR(E321="",E321="!!!"),"",IF(OR(J321=0,AND(J321=1,K321=1),AND(J321=1,I321="SBJ"),AND(J321=1,I321=0)),"?IN_FOCUS",IF(J321&lt;=2,"?ACTIVATED",IF(J321&lt;&gt;"","?FAMILIAR",IF(F321="NEW",IF(ISNA(VLOOKUP(E321,#REF!,1,FALSE())),"?TYPE_IDENTIFIABLE","?REFERENTIAL"),"_")))))</f>
        <v/>
      </c>
      <c r="H321" s="23" t="str">
        <f t="shared" ca="1" si="25"/>
        <v/>
      </c>
      <c r="I321" s="24" t="str">
        <f>IF(OR(E321="",E321="!!!",F321="NEW"),"",INDEX(B$2:B320,-1+SUMPRODUCT(MAX(ROW(E$2:E320)*(E321=E$2:E320)))))</f>
        <v/>
      </c>
      <c r="J321" s="24" t="str">
        <f ca="1">IF(OR(E321="",E321="!!!",F321="NEW"),"",COUNTBLANK(OFFSET(A$1,,,SUMPRODUCT(MAX(ROW(E$2:E321)*(E321=E$2:E321)))))-COUNTBLANK(OFFSET(A$1,,,SUMPRODUCT(MAX(ROW(E$1:E320)*(E2=E$1:E320))))))</f>
        <v/>
      </c>
      <c r="K321" s="24" t="str">
        <f>IF(OR(E321="",E321="!!!",F321="NEW"),"",INDEX(J$1:J320,SUMPRODUCT(MAX(ROW(E$1:E320)*(E321=E$1:E320)))))</f>
        <v/>
      </c>
      <c r="L321" s="25"/>
    </row>
    <row r="322" spans="1:12" x14ac:dyDescent="0.3">
      <c r="A322" t="s">
        <v>257</v>
      </c>
      <c r="B322" s="26" t="s">
        <v>229</v>
      </c>
      <c r="C322" s="26" t="s">
        <v>230</v>
      </c>
      <c r="D322" s="26" t="s">
        <v>215</v>
      </c>
      <c r="E322" s="20" t="s">
        <v>739</v>
      </c>
      <c r="F322" s="21" t="str">
        <f>IF(OR(E322="",E322="!!!"),"",IF(NOT(ISNA(VLOOKUP(E322,E$1:E321,1,FALSE()))),"OLD",IF(AND(E322&lt;&gt;"",E322&lt;&gt;"!!!"),"NEW","")))</f>
        <v>OLD</v>
      </c>
      <c r="G322" s="22" t="str">
        <f ca="1">IF(OR(E322="",E322="!!!"),"",IF(OR(J322=0,AND(J322=1,K322=1),AND(J322=1,I322="SBJ"),AND(J322=1,I322=0)),"?IN_FOCUS",IF(J322&lt;=2,"?ACTIVATED",IF(J322&lt;&gt;"","?FAMILIAR",IF(F322="NEW",IF(ISNA(VLOOKUP(E322,#REF!,1,FALSE())),"?TYPE_IDENTIFIABLE","?REFERENTIAL"),"_")))))</f>
        <v>?IN_FOCUS</v>
      </c>
      <c r="H322" s="23" t="str">
        <f t="shared" ca="1" si="25"/>
        <v/>
      </c>
      <c r="I322" s="24" t="str">
        <f>IF(OR(E322="",E322="!!!",F322="NEW"),"",INDEX(B$2:B321,-1+SUMPRODUCT(MAX(ROW(E$2:E321)*(E322=E$2:E321)))))</f>
        <v>SBJ</v>
      </c>
      <c r="J322" s="24">
        <f ca="1">IF(OR(E322="",E322="!!!",F322="NEW"),"",COUNTBLANK(OFFSET(A$1,,,SUMPRODUCT(MAX(ROW(E$2:E322)*(E322=E$2:E322)))))-COUNTBLANK(OFFSET(A$1,,,SUMPRODUCT(MAX(ROW(E$1:E321)*(E2=E$1:E321))))))</f>
        <v>0</v>
      </c>
      <c r="K322" s="24">
        <f ca="1">IF(OR(E322="",E322="!!!",F322="NEW"),"",INDEX(J$1:J321,SUMPRODUCT(MAX(ROW(E$1:E321)*(E322=E$1:E321)))))</f>
        <v>0</v>
      </c>
      <c r="L322" s="25"/>
    </row>
    <row r="323" spans="1:12" x14ac:dyDescent="0.3">
      <c r="A323" t="s">
        <v>398</v>
      </c>
      <c r="E323" s="20" t="str">
        <f t="shared" si="24"/>
        <v/>
      </c>
      <c r="F323" s="21" t="str">
        <f>IF(OR(E323="",E323="!!!"),"",IF(NOT(ISNA(VLOOKUP(E323,E$1:E322,1,FALSE()))),"OLD",IF(AND(E323&lt;&gt;"",E323&lt;&gt;"!!!"),"NEW","")))</f>
        <v/>
      </c>
      <c r="G323" s="22" t="str">
        <f>IF(OR(E323="",E323="!!!"),"",IF(OR(J323=0,AND(J323=1,K323=1),AND(J323=1,I323="SBJ"),AND(J323=1,I323=0)),"?IN_FOCUS",IF(J323&lt;=2,"?ACTIVATED",IF(J323&lt;&gt;"","?FAMILIAR",IF(F323="NEW",IF(ISNA(VLOOKUP(E323,#REF!,1,FALSE())),"?TYPE_IDENTIFIABLE","?REFERENTIAL"),"_")))))</f>
        <v/>
      </c>
      <c r="H323" s="23" t="str">
        <f t="shared" ca="1" si="25"/>
        <v/>
      </c>
      <c r="I323" s="24" t="str">
        <f>IF(OR(E323="",E323="!!!",F323="NEW"),"",INDEX(B$2:B322,-1+SUMPRODUCT(MAX(ROW(E$2:E322)*(E323=E$2:E322)))))</f>
        <v/>
      </c>
      <c r="J323" s="24" t="str">
        <f ca="1">IF(OR(E323="",E323="!!!",F323="NEW"),"",COUNTBLANK(OFFSET(A$1,,,SUMPRODUCT(MAX(ROW(E$2:E323)*(E323=E$2:E323)))))-COUNTBLANK(OFFSET(A$1,,,SUMPRODUCT(MAX(ROW(E$1:E322)*(E2=E$1:E322))))))</f>
        <v/>
      </c>
      <c r="K323" s="24" t="str">
        <f>IF(OR(E323="",E323="!!!",F323="NEW"),"",INDEX(J$1:J322,SUMPRODUCT(MAX(ROW(E$1:E322)*(E323=E$1:E322)))))</f>
        <v/>
      </c>
      <c r="L323" s="25"/>
    </row>
    <row r="324" spans="1:12" x14ac:dyDescent="0.3">
      <c r="A324" t="s">
        <v>241</v>
      </c>
      <c r="E324" s="20" t="str">
        <f t="shared" si="24"/>
        <v/>
      </c>
      <c r="F324" s="21" t="str">
        <f>IF(OR(E324="",E324="!!!"),"",IF(NOT(ISNA(VLOOKUP(E324,E$1:E323,1,FALSE()))),"OLD",IF(AND(E324&lt;&gt;"",E324&lt;&gt;"!!!"),"NEW","")))</f>
        <v/>
      </c>
      <c r="G324" s="22" t="str">
        <f>IF(OR(E324="",E324="!!!"),"",IF(OR(J324=0,AND(J324=1,K324=1),AND(J324=1,I324="SBJ"),AND(J324=1,I324=0)),"?IN_FOCUS",IF(J324&lt;=2,"?ACTIVATED",IF(J324&lt;&gt;"","?FAMILIAR",IF(F324="NEW",IF(ISNA(VLOOKUP(E324,#REF!,1,FALSE())),"?TYPE_IDENTIFIABLE","?REFERENTIAL"),"_")))))</f>
        <v/>
      </c>
      <c r="H324" s="23" t="str">
        <f t="shared" ca="1" si="25"/>
        <v/>
      </c>
      <c r="I324" s="24" t="str">
        <f>IF(OR(E324="",E324="!!!",F324="NEW"),"",INDEX(B$2:B323,-1+SUMPRODUCT(MAX(ROW(E$2:E323)*(E324=E$2:E323)))))</f>
        <v/>
      </c>
      <c r="J324" s="24" t="str">
        <f ca="1">IF(OR(E324="",E324="!!!",F324="NEW"),"",COUNTBLANK(OFFSET(A$1,,,SUMPRODUCT(MAX(ROW(E$2:E324)*(E324=E$2:E324)))))-COUNTBLANK(OFFSET(A$1,,,SUMPRODUCT(MAX(ROW(E$1:E323)*(E2=E$1:E323))))))</f>
        <v/>
      </c>
      <c r="K324" s="24" t="str">
        <f>IF(OR(E324="",E324="!!!",F324="NEW"),"",INDEX(J$1:J323,SUMPRODUCT(MAX(ROW(E$1:E323)*(E324=E$1:E323)))))</f>
        <v/>
      </c>
      <c r="L324" s="25"/>
    </row>
    <row r="325" spans="1:12" x14ac:dyDescent="0.3">
      <c r="A325" t="s">
        <v>400</v>
      </c>
      <c r="B325" s="26" t="s">
        <v>233</v>
      </c>
      <c r="C325" s="26" t="s">
        <v>240</v>
      </c>
      <c r="E325" s="20" t="str">
        <f t="shared" si="24"/>
        <v/>
      </c>
      <c r="F325" s="21" t="str">
        <f>IF(OR(E325="",E325="!!!"),"",IF(NOT(ISNA(VLOOKUP(E325,E$1:E324,1,FALSE()))),"OLD",IF(AND(E325&lt;&gt;"",E325&lt;&gt;"!!!"),"NEW","")))</f>
        <v/>
      </c>
      <c r="G325" s="22" t="str">
        <f>IF(OR(E325="",E325="!!!"),"",IF(OR(J325=0,AND(J325=1,K325=1),AND(J325=1,I325="SBJ"),AND(J325=1,I325=0)),"?IN_FOCUS",IF(J325&lt;=2,"?ACTIVATED",IF(J325&lt;&gt;"","?FAMILIAR",IF(F325="NEW",IF(ISNA(VLOOKUP(E325,#REF!,1,FALSE())),"?TYPE_IDENTIFIABLE","?REFERENTIAL"),"_")))))</f>
        <v/>
      </c>
      <c r="H325" s="23" t="str">
        <f t="shared" ca="1" si="25"/>
        <v/>
      </c>
      <c r="I325" s="24" t="str">
        <f>IF(OR(E325="",E325="!!!",F325="NEW"),"",INDEX(B$2:B324,-1+SUMPRODUCT(MAX(ROW(E$2:E324)*(E325=E$2:E324)))))</f>
        <v/>
      </c>
      <c r="J325" s="24" t="str">
        <f ca="1">IF(OR(E325="",E325="!!!",F325="NEW"),"",COUNTBLANK(OFFSET(A$1,,,SUMPRODUCT(MAX(ROW(E$2:E325)*(E325=E$2:E325)))))-COUNTBLANK(OFFSET(A$1,,,SUMPRODUCT(MAX(ROW(E$1:E324)*(E2=E$1:E324))))))</f>
        <v/>
      </c>
      <c r="K325" s="24" t="str">
        <f>IF(OR(E325="",E325="!!!",F325="NEW"),"",INDEX(J$1:J324,SUMPRODUCT(MAX(ROW(E$1:E324)*(E325=E$1:E324)))))</f>
        <v/>
      </c>
      <c r="L325" s="25"/>
    </row>
    <row r="326" spans="1:12" x14ac:dyDescent="0.3">
      <c r="A326" t="s">
        <v>401</v>
      </c>
      <c r="E326" s="20" t="str">
        <f t="shared" si="24"/>
        <v/>
      </c>
      <c r="F326" s="21" t="str">
        <f>IF(OR(E326="",E326="!!!"),"",IF(NOT(ISNA(VLOOKUP(E326,E$1:E325,1,FALSE()))),"OLD",IF(AND(E326&lt;&gt;"",E326&lt;&gt;"!!!"),"NEW","")))</f>
        <v/>
      </c>
      <c r="G326" s="22" t="str">
        <f>IF(OR(E326="",E326="!!!"),"",IF(OR(J326=0,AND(J326=1,K326=1),AND(J326=1,I326="SBJ"),AND(J326=1,I326=0)),"?IN_FOCUS",IF(J326&lt;=2,"?ACTIVATED",IF(J326&lt;&gt;"","?FAMILIAR",IF(F326="NEW",IF(ISNA(VLOOKUP(E326,#REF!,1,FALSE())),"?TYPE_IDENTIFIABLE","?REFERENTIAL"),"_")))))</f>
        <v/>
      </c>
      <c r="H326" s="23" t="str">
        <f t="shared" ca="1" si="25"/>
        <v/>
      </c>
      <c r="I326" s="24" t="str">
        <f>IF(OR(E326="",E326="!!!",F326="NEW"),"",INDEX(B$2:B325,-1+SUMPRODUCT(MAX(ROW(E$2:E325)*(E326=E$2:E325)))))</f>
        <v/>
      </c>
      <c r="J326" s="24" t="str">
        <f ca="1">IF(OR(E326="",E326="!!!",F326="NEW"),"",COUNTBLANK(OFFSET(A$1,,,SUMPRODUCT(MAX(ROW(E$2:E326)*(E326=E$2:E326)))))-COUNTBLANK(OFFSET(A$1,,,SUMPRODUCT(MAX(ROW(E$1:E325)*(E2=E$1:E325))))))</f>
        <v/>
      </c>
      <c r="K326" s="24" t="str">
        <f>IF(OR(E326="",E326="!!!",F326="NEW"),"",INDEX(J$1:J325,SUMPRODUCT(MAX(ROW(E$1:E325)*(E326=E$1:E325)))))</f>
        <v/>
      </c>
      <c r="L326" s="25"/>
    </row>
    <row r="327" spans="1:12" x14ac:dyDescent="0.3">
      <c r="A327" t="s">
        <v>212</v>
      </c>
      <c r="B327" s="26" t="s">
        <v>225</v>
      </c>
      <c r="C327" s="26" t="s">
        <v>214</v>
      </c>
      <c r="D327" s="26" t="s">
        <v>215</v>
      </c>
      <c r="E327" s="20" t="s">
        <v>647</v>
      </c>
      <c r="F327" s="21" t="str">
        <f>IF(OR(E327="",E327="!!!"),"",IF(NOT(ISNA(VLOOKUP(E327,E$1:E326,1,FALSE()))),"OLD",IF(AND(E327&lt;&gt;"",E327&lt;&gt;"!!!"),"NEW","")))</f>
        <v>OLD</v>
      </c>
      <c r="G327" s="22" t="s">
        <v>657</v>
      </c>
      <c r="H327" s="23" t="str">
        <f t="shared" ca="1" si="25"/>
        <v/>
      </c>
      <c r="I327" s="24" t="str">
        <f>IF(OR(E327="",E327="!!!",F327="NEW"),"",INDEX(B$2:B326,-1+SUMPRODUCT(MAX(ROW(E$2:E326)*(E327=E$2:E326)))))</f>
        <v>other_3</v>
      </c>
      <c r="J327" s="24">
        <f ca="1">IF(OR(E327="",E327="!!!",F327="NEW"),"",COUNTBLANK(OFFSET(A$1,,,SUMPRODUCT(MAX(ROW(E$2:E327)*(E327=E$2:E327)))))-COUNTBLANK(OFFSET(A$1,,,SUMPRODUCT(MAX(ROW(E$1:E326)*(E2=E$1:E326))))))</f>
        <v>0</v>
      </c>
      <c r="K327" s="24">
        <f ca="1">IF(OR(E327="",E327="!!!",F327="NEW"),"",INDEX(J$1:J326,SUMPRODUCT(MAX(ROW(E$1:E326)*(E327=E$1:E326)))))</f>
        <v>0</v>
      </c>
      <c r="L327" s="25"/>
    </row>
    <row r="328" spans="1:12" x14ac:dyDescent="0.3">
      <c r="A328" t="s">
        <v>238</v>
      </c>
      <c r="E328" s="20" t="str">
        <f t="shared" si="24"/>
        <v/>
      </c>
      <c r="F328" s="21" t="str">
        <f>IF(OR(E328="",E328="!!!"),"",IF(NOT(ISNA(VLOOKUP(E328,E$1:E327,1,FALSE()))),"OLD",IF(AND(E328&lt;&gt;"",E328&lt;&gt;"!!!"),"NEW","")))</f>
        <v/>
      </c>
      <c r="G328" s="22" t="str">
        <f>IF(OR(E328="",E328="!!!"),"",IF(OR(J328=0,AND(J328=1,K328=1),AND(J328=1,I328="SBJ"),AND(J328=1,I328=0)),"?IN_FOCUS",IF(J328&lt;=2,"?ACTIVATED",IF(J328&lt;&gt;"","?FAMILIAR",IF(F328="NEW",IF(ISNA(VLOOKUP(E328,#REF!,1,FALSE())),"?TYPE_IDENTIFIABLE","?REFERENTIAL"),"_")))))</f>
        <v/>
      </c>
      <c r="H328" s="23" t="str">
        <f t="shared" ca="1" si="25"/>
        <v/>
      </c>
      <c r="I328" s="24" t="str">
        <f>IF(OR(E328="",E328="!!!",F328="NEW"),"",INDEX(B$2:B327,-1+SUMPRODUCT(MAX(ROW(E$2:E327)*(E328=E$2:E327)))))</f>
        <v/>
      </c>
      <c r="J328" s="24" t="str">
        <f ca="1">IF(OR(E328="",E328="!!!",F328="NEW"),"",COUNTBLANK(OFFSET(A$1,,,SUMPRODUCT(MAX(ROW(E$2:E328)*(E328=E$2:E328)))))-COUNTBLANK(OFFSET(A$1,,,SUMPRODUCT(MAX(ROW(E$1:E327)*(E2=E$1:E327))))))</f>
        <v/>
      </c>
      <c r="K328" s="24" t="str">
        <f>IF(OR(E328="",E328="!!!",F328="NEW"),"",INDEX(J$1:J327,SUMPRODUCT(MAX(ROW(E$1:E327)*(E328=E$1:E327)))))</f>
        <v/>
      </c>
      <c r="L328" s="25"/>
    </row>
    <row r="329" spans="1:12" x14ac:dyDescent="0.3">
      <c r="A329" t="s">
        <v>402</v>
      </c>
      <c r="E329" s="20" t="str">
        <f t="shared" si="24"/>
        <v/>
      </c>
      <c r="F329" s="21" t="str">
        <f>IF(OR(E329="",E329="!!!"),"",IF(NOT(ISNA(VLOOKUP(E329,E$1:E328,1,FALSE()))),"OLD",IF(AND(E329&lt;&gt;"",E329&lt;&gt;"!!!"),"NEW","")))</f>
        <v/>
      </c>
      <c r="G329" s="22" t="str">
        <f>IF(OR(E329="",E329="!!!"),"",IF(OR(J329=0,AND(J329=1,K329=1),AND(J329=1,I329="SBJ"),AND(J329=1,I329=0)),"?IN_FOCUS",IF(J329&lt;=2,"?ACTIVATED",IF(J329&lt;&gt;"","?FAMILIAR",IF(F329="NEW",IF(ISNA(VLOOKUP(E329,#REF!,1,FALSE())),"?TYPE_IDENTIFIABLE","?REFERENTIAL"),"_")))))</f>
        <v/>
      </c>
      <c r="H329" s="23" t="str">
        <f t="shared" ca="1" si="25"/>
        <v/>
      </c>
      <c r="I329" s="24" t="str">
        <f>IF(OR(E329="",E329="!!!",F329="NEW"),"",INDEX(B$2:B328,-1+SUMPRODUCT(MAX(ROW(E$2:E328)*(E329=E$2:E328)))))</f>
        <v/>
      </c>
      <c r="J329" s="24" t="str">
        <f ca="1">IF(OR(E329="",E329="!!!",F329="NEW"),"",COUNTBLANK(OFFSET(A$1,,,SUMPRODUCT(MAX(ROW(E$2:E329)*(E329=E$2:E329)))))-COUNTBLANK(OFFSET(A$1,,,SUMPRODUCT(MAX(ROW(E$1:E328)*(E2=E$1:E328))))))</f>
        <v/>
      </c>
      <c r="K329" s="24" t="str">
        <f>IF(OR(E329="",E329="!!!",F329="NEW"),"",INDEX(J$1:J328,SUMPRODUCT(MAX(ROW(E$1:E328)*(E329=E$1:E328)))))</f>
        <v/>
      </c>
      <c r="L329" s="25"/>
    </row>
    <row r="330" spans="1:12" x14ac:dyDescent="0.3">
      <c r="A330" t="s">
        <v>403</v>
      </c>
      <c r="B330" s="26" t="s">
        <v>225</v>
      </c>
      <c r="C330" s="26" t="s">
        <v>240</v>
      </c>
      <c r="E330" s="20" t="str">
        <f t="shared" si="24"/>
        <v/>
      </c>
      <c r="F330" s="21" t="str">
        <f>IF(OR(E330="",E330="!!!"),"",IF(NOT(ISNA(VLOOKUP(E330,E$1:E329,1,FALSE()))),"OLD",IF(AND(E330&lt;&gt;"",E330&lt;&gt;"!!!"),"NEW","")))</f>
        <v/>
      </c>
      <c r="G330" s="22" t="str">
        <f>IF(OR(E330="",E330="!!!"),"",IF(OR(J330=0,AND(J330=1,K330=1),AND(J330=1,I330="SBJ"),AND(J330=1,I330=0)),"?IN_FOCUS",IF(J330&lt;=2,"?ACTIVATED",IF(J330&lt;&gt;"","?FAMILIAR",IF(F330="NEW",IF(ISNA(VLOOKUP(E330,#REF!,1,FALSE())),"?TYPE_IDENTIFIABLE","?REFERENTIAL"),"_")))))</f>
        <v/>
      </c>
      <c r="H330" s="23" t="str">
        <f t="shared" ca="1" si="25"/>
        <v/>
      </c>
      <c r="I330" s="24" t="str">
        <f>IF(OR(E330="",E330="!!!",F330="NEW"),"",INDEX(B$2:B329,-1+SUMPRODUCT(MAX(ROW(E$2:E329)*(E330=E$2:E329)))))</f>
        <v/>
      </c>
      <c r="J330" s="24" t="str">
        <f ca="1">IF(OR(E330="",E330="!!!",F330="NEW"),"",COUNTBLANK(OFFSET(A$1,,,SUMPRODUCT(MAX(ROW(E$2:E330)*(E330=E$2:E330)))))-COUNTBLANK(OFFSET(A$1,,,SUMPRODUCT(MAX(ROW(E$1:E329)*(E2=E$1:E329))))))</f>
        <v/>
      </c>
      <c r="K330" s="24" t="str">
        <f>IF(OR(E330="",E330="!!!",F330="NEW"),"",INDEX(J$1:J329,SUMPRODUCT(MAX(ROW(E$1:E329)*(E330=E$1:E329)))))</f>
        <v/>
      </c>
      <c r="L330" s="25"/>
    </row>
    <row r="331" spans="1:12" x14ac:dyDescent="0.3">
      <c r="A331" t="s">
        <v>315</v>
      </c>
      <c r="E331" s="20" t="str">
        <f t="shared" si="24"/>
        <v/>
      </c>
      <c r="F331" s="21" t="str">
        <f>IF(OR(E331="",E331="!!!"),"",IF(NOT(ISNA(VLOOKUP(E331,E$1:E330,1,FALSE()))),"OLD",IF(AND(E331&lt;&gt;"",E331&lt;&gt;"!!!"),"NEW","")))</f>
        <v/>
      </c>
      <c r="G331" s="22" t="str">
        <f>IF(OR(E331="",E331="!!!"),"",IF(OR(J331=0,AND(J331=1,K331=1),AND(J331=1,I331="SBJ"),AND(J331=1,I331=0)),"?IN_FOCUS",IF(J331&lt;=2,"?ACTIVATED",IF(J331&lt;&gt;"","?FAMILIAR",IF(F331="NEW",IF(ISNA(VLOOKUP(E331,#REF!,1,FALSE())),"?TYPE_IDENTIFIABLE","?REFERENTIAL"),"_")))))</f>
        <v/>
      </c>
      <c r="H331" s="23" t="str">
        <f t="shared" ca="1" si="25"/>
        <v/>
      </c>
      <c r="I331" s="24" t="str">
        <f>IF(OR(E331="",E331="!!!",F331="NEW"),"",INDEX(B$2:B330,-1+SUMPRODUCT(MAX(ROW(E$2:E330)*(E331=E$2:E330)))))</f>
        <v/>
      </c>
      <c r="J331" s="24" t="str">
        <f ca="1">IF(OR(E331="",E331="!!!",F331="NEW"),"",COUNTBLANK(OFFSET(A$1,,,SUMPRODUCT(MAX(ROW(E$2:E331)*(E331=E$2:E331)))))-COUNTBLANK(OFFSET(A$1,,,SUMPRODUCT(MAX(ROW(E$1:E330)*(E2=E$1:E330))))))</f>
        <v/>
      </c>
      <c r="K331" s="24" t="str">
        <f>IF(OR(E331="",E331="!!!",F331="NEW"),"",INDEX(J$1:J330,SUMPRODUCT(MAX(ROW(E$1:E330)*(E331=E$1:E330)))))</f>
        <v/>
      </c>
      <c r="L331" s="25"/>
    </row>
    <row r="332" spans="1:12" x14ac:dyDescent="0.3">
      <c r="A332" t="s">
        <v>404</v>
      </c>
      <c r="E332" s="20" t="str">
        <f t="shared" si="24"/>
        <v/>
      </c>
      <c r="F332" s="21" t="str">
        <f>IF(OR(E332="",E332="!!!"),"",IF(NOT(ISNA(VLOOKUP(E332,E$1:E331,1,FALSE()))),"OLD",IF(AND(E332&lt;&gt;"",E332&lt;&gt;"!!!"),"NEW","")))</f>
        <v/>
      </c>
      <c r="G332" s="22" t="str">
        <f>IF(OR(E332="",E332="!!!"),"",IF(OR(J332=0,AND(J332=1,K332=1),AND(J332=1,I332="SBJ"),AND(J332=1,I332=0)),"?IN_FOCUS",IF(J332&lt;=2,"?ACTIVATED",IF(J332&lt;&gt;"","?FAMILIAR",IF(F332="NEW",IF(ISNA(VLOOKUP(E332,#REF!,1,FALSE())),"?TYPE_IDENTIFIABLE","?REFERENTIAL"),"_")))))</f>
        <v/>
      </c>
      <c r="H332" s="23" t="str">
        <f t="shared" ca="1" si="25"/>
        <v/>
      </c>
      <c r="I332" s="24" t="str">
        <f>IF(OR(E332="",E332="!!!",F332="NEW"),"",INDEX(B$2:B331,-1+SUMPRODUCT(MAX(ROW(E$2:E331)*(E332=E$2:E331)))))</f>
        <v/>
      </c>
      <c r="J332" s="24" t="str">
        <f ca="1">IF(OR(E332="",E332="!!!",F332="NEW"),"",COUNTBLANK(OFFSET(A$1,,,SUMPRODUCT(MAX(ROW(E$2:E332)*(E332=E$2:E332)))))-COUNTBLANK(OFFSET(A$1,,,SUMPRODUCT(MAX(ROW(E$1:E331)*(E2=E$1:E331))))))</f>
        <v/>
      </c>
      <c r="K332" s="24" t="str">
        <f>IF(OR(E332="",E332="!!!",F332="NEW"),"",INDEX(J$1:J331,SUMPRODUCT(MAX(ROW(E$1:E331)*(E332=E$1:E331)))))</f>
        <v/>
      </c>
      <c r="L332" s="25"/>
    </row>
    <row r="333" spans="1:12" x14ac:dyDescent="0.3">
      <c r="A333" t="s">
        <v>249</v>
      </c>
      <c r="E333" s="20" t="str">
        <f t="shared" si="24"/>
        <v/>
      </c>
      <c r="F333" s="21" t="str">
        <f>IF(OR(E333="",E333="!!!"),"",IF(NOT(ISNA(VLOOKUP(E333,E$1:E332,1,FALSE()))),"OLD",IF(AND(E333&lt;&gt;"",E333&lt;&gt;"!!!"),"NEW","")))</f>
        <v/>
      </c>
      <c r="G333" s="22" t="str">
        <f>IF(OR(E333="",E333="!!!"),"",IF(OR(J333=0,AND(J333=1,K333=1),AND(J333=1,I333="SBJ"),AND(J333=1,I333=0)),"?IN_FOCUS",IF(J333&lt;=2,"?ACTIVATED",IF(J333&lt;&gt;"","?FAMILIAR",IF(F333="NEW",IF(ISNA(VLOOKUP(E333,#REF!,1,FALSE())),"?TYPE_IDENTIFIABLE","?REFERENTIAL"),"_")))))</f>
        <v/>
      </c>
      <c r="H333" s="23" t="str">
        <f t="shared" ca="1" si="25"/>
        <v/>
      </c>
      <c r="I333" s="24" t="str">
        <f>IF(OR(E333="",E333="!!!",F333="NEW"),"",INDEX(B$2:B332,-1+SUMPRODUCT(MAX(ROW(E$2:E332)*(E333=E$2:E332)))))</f>
        <v/>
      </c>
      <c r="J333" s="24" t="str">
        <f ca="1">IF(OR(E333="",E333="!!!",F333="NEW"),"",COUNTBLANK(OFFSET(A$1,,,SUMPRODUCT(MAX(ROW(E$2:E333)*(E333=E$2:E333)))))-COUNTBLANK(OFFSET(A$1,,,SUMPRODUCT(MAX(ROW(E$1:E332)*(E2=E$1:E332))))))</f>
        <v/>
      </c>
      <c r="K333" s="24" t="str">
        <f>IF(OR(E333="",E333="!!!",F333="NEW"),"",INDEX(J$1:J332,SUMPRODUCT(MAX(ROW(E$1:E332)*(E333=E$1:E332)))))</f>
        <v/>
      </c>
      <c r="L333" s="25"/>
    </row>
    <row r="334" spans="1:12" x14ac:dyDescent="0.3">
      <c r="A334" t="s">
        <v>290</v>
      </c>
      <c r="B334" s="26" t="s">
        <v>250</v>
      </c>
      <c r="C334" s="26" t="s">
        <v>214</v>
      </c>
      <c r="D334" s="26" t="s">
        <v>215</v>
      </c>
      <c r="E334" s="20" t="s">
        <v>669</v>
      </c>
      <c r="F334" s="21" t="str">
        <f>IF(OR(E334="",E334="!!!"),"",IF(NOT(ISNA(VLOOKUP(E334,E$1:E333,1,FALSE()))),"OLD",IF(AND(E334&lt;&gt;"",E334&lt;&gt;"!!!"),"NEW","")))</f>
        <v>OLD</v>
      </c>
      <c r="G334" s="22" t="str">
        <f ca="1">IF(OR(E334="",E334="!!!"),"",IF(OR(J334=0,AND(J334=1,K334=1),AND(J334=1,I334="SBJ"),AND(J334=1,I334=0)),"?IN_FOCUS",IF(J334&lt;=2,"?ACTIVATED",IF(J334&lt;&gt;"","?FAMILIAR",IF(F334="NEW",IF(ISNA(VLOOKUP(E334,#REF!,1,FALSE())),"?TYPE_IDENTIFIABLE","?REFERENTIAL"),"_")))))</f>
        <v>?IN_FOCUS</v>
      </c>
      <c r="H334" s="23" t="str">
        <f t="shared" ca="1" si="25"/>
        <v/>
      </c>
      <c r="I334" s="24" t="str">
        <f>IF(OR(E334="",E334="!!!",F334="NEW"),"",INDEX(B$2:B333,-1+SUMPRODUCT(MAX(ROW(E$2:E333)*(E334=E$2:E333)))))</f>
        <v>SBJ</v>
      </c>
      <c r="J334" s="24">
        <f ca="1">IF(OR(E334="",E334="!!!",F334="NEW"),"",COUNTBLANK(OFFSET(A$1,,,SUMPRODUCT(MAX(ROW(E$2:E334)*(E334=E$2:E334)))))-COUNTBLANK(OFFSET(A$1,,,SUMPRODUCT(MAX(ROW(E$1:E333)*(E2=E$1:E333))))))</f>
        <v>0</v>
      </c>
      <c r="K334" s="24">
        <f ca="1">IF(OR(E334="",E334="!!!",F334="NEW"),"",INDEX(J$1:J333,SUMPRODUCT(MAX(ROW(E$1:E333)*(E334=E$1:E333)))))</f>
        <v>0</v>
      </c>
      <c r="L334" s="25"/>
    </row>
    <row r="335" spans="1:12" x14ac:dyDescent="0.3">
      <c r="A335" t="s">
        <v>217</v>
      </c>
      <c r="E335" s="20" t="str">
        <f t="shared" si="24"/>
        <v/>
      </c>
      <c r="F335" s="21" t="str">
        <f>IF(OR(E335="",E335="!!!"),"",IF(NOT(ISNA(VLOOKUP(E335,E$1:E334,1,FALSE()))),"OLD",IF(AND(E335&lt;&gt;"",E335&lt;&gt;"!!!"),"NEW","")))</f>
        <v/>
      </c>
      <c r="G335" s="22" t="str">
        <f>IF(OR(E335="",E335="!!!"),"",IF(OR(J335=0,AND(J335=1,K335=1),AND(J335=1,I335="SBJ"),AND(J335=1,I335=0)),"?IN_FOCUS",IF(J335&lt;=2,"?ACTIVATED",IF(J335&lt;&gt;"","?FAMILIAR",IF(F335="NEW",IF(ISNA(VLOOKUP(E335,#REF!,1,FALSE())),"?TYPE_IDENTIFIABLE","?REFERENTIAL"),"_")))))</f>
        <v/>
      </c>
      <c r="H335" s="23" t="str">
        <f t="shared" ca="1" si="25"/>
        <v/>
      </c>
      <c r="I335" s="24" t="str">
        <f>IF(OR(E335="",E335="!!!",F335="NEW"),"",INDEX(B$2:B334,-1+SUMPRODUCT(MAX(ROW(E$2:E334)*(E335=E$2:E334)))))</f>
        <v/>
      </c>
      <c r="J335" s="24" t="str">
        <f ca="1">IF(OR(E335="",E335="!!!",F335="NEW"),"",COUNTBLANK(OFFSET(A$1,,,SUMPRODUCT(MAX(ROW(E$2:E335)*(E335=E$2:E335)))))-COUNTBLANK(OFFSET(A$1,,,SUMPRODUCT(MAX(ROW(E$1:E334)*(E2=E$1:E334))))))</f>
        <v/>
      </c>
      <c r="K335" s="24" t="str">
        <f>IF(OR(E335="",E335="!!!",F335="NEW"),"",INDEX(J$1:J334,SUMPRODUCT(MAX(ROW(E$1:E334)*(E335=E$1:E334)))))</f>
        <v/>
      </c>
      <c r="L335" s="25"/>
    </row>
    <row r="336" spans="1:12" x14ac:dyDescent="0.3">
      <c r="A336" t="s">
        <v>405</v>
      </c>
      <c r="E336" s="20" t="str">
        <f t="shared" si="24"/>
        <v/>
      </c>
      <c r="F336" s="21" t="str">
        <f>IF(OR(E336="",E336="!!!"),"",IF(NOT(ISNA(VLOOKUP(E336,E$1:E335,1,FALSE()))),"OLD",IF(AND(E336&lt;&gt;"",E336&lt;&gt;"!!!"),"NEW","")))</f>
        <v/>
      </c>
      <c r="G336" s="22" t="str">
        <f>IF(OR(E336="",E336="!!!"),"",IF(OR(J336=0,AND(J336=1,K336=1),AND(J336=1,I336="SBJ"),AND(J336=1,I336=0)),"?IN_FOCUS",IF(J336&lt;=2,"?ACTIVATED",IF(J336&lt;&gt;"","?FAMILIAR",IF(F336="NEW",IF(ISNA(VLOOKUP(E336,#REF!,1,FALSE())),"?TYPE_IDENTIFIABLE","?REFERENTIAL"),"_")))))</f>
        <v/>
      </c>
      <c r="H336" s="23" t="str">
        <f t="shared" ca="1" si="25"/>
        <v/>
      </c>
      <c r="I336" s="24" t="str">
        <f>IF(OR(E336="",E336="!!!",F336="NEW"),"",INDEX(B$2:B335,-1+SUMPRODUCT(MAX(ROW(E$2:E335)*(E336=E$2:E335)))))</f>
        <v/>
      </c>
      <c r="J336" s="24" t="str">
        <f ca="1">IF(OR(E336="",E336="!!!",F336="NEW"),"",COUNTBLANK(OFFSET(A$1,,,SUMPRODUCT(MAX(ROW(E$2:E336)*(E336=E$2:E336)))))-COUNTBLANK(OFFSET(A$1,,,SUMPRODUCT(MAX(ROW(E$1:E335)*(E2=E$1:E335))))))</f>
        <v/>
      </c>
      <c r="K336" s="24" t="str">
        <f>IF(OR(E336="",E336="!!!",F336="NEW"),"",INDEX(J$1:J335,SUMPRODUCT(MAX(ROW(E$1:E335)*(E336=E$1:E335)))))</f>
        <v/>
      </c>
      <c r="L336" s="25"/>
    </row>
    <row r="337" spans="1:12" x14ac:dyDescent="0.3">
      <c r="A337" t="s">
        <v>320</v>
      </c>
      <c r="E337" s="20" t="str">
        <f t="shared" si="24"/>
        <v/>
      </c>
      <c r="F337" s="21" t="str">
        <f>IF(OR(E337="",E337="!!!"),"",IF(NOT(ISNA(VLOOKUP(E337,E$1:E336,1,FALSE()))),"OLD",IF(AND(E337&lt;&gt;"",E337&lt;&gt;"!!!"),"NEW","")))</f>
        <v/>
      </c>
      <c r="G337" s="22" t="str">
        <f>IF(OR(E337="",E337="!!!"),"",IF(OR(J337=0,AND(J337=1,K337=1),AND(J337=1,I337="SBJ"),AND(J337=1,I337=0)),"?IN_FOCUS",IF(J337&lt;=2,"?ACTIVATED",IF(J337&lt;&gt;"","?FAMILIAR",IF(F337="NEW",IF(ISNA(VLOOKUP(E337,#REF!,1,FALSE())),"?TYPE_IDENTIFIABLE","?REFERENTIAL"),"_")))))</f>
        <v/>
      </c>
      <c r="H337" s="23" t="str">
        <f t="shared" ca="1" si="25"/>
        <v/>
      </c>
      <c r="I337" s="24" t="str">
        <f>IF(OR(E337="",E337="!!!",F337="NEW"),"",INDEX(B$2:B336,-1+SUMPRODUCT(MAX(ROW(E$2:E336)*(E337=E$2:E336)))))</f>
        <v/>
      </c>
      <c r="J337" s="24" t="str">
        <f ca="1">IF(OR(E337="",E337="!!!",F337="NEW"),"",COUNTBLANK(OFFSET(A$1,,,SUMPRODUCT(MAX(ROW(E$2:E337)*(E337=E$2:E337)))))-COUNTBLANK(OFFSET(A$1,,,SUMPRODUCT(MAX(ROW(E$1:E336)*(E2=E$1:E336))))))</f>
        <v/>
      </c>
      <c r="K337" s="24" t="str">
        <f>IF(OR(E337="",E337="!!!",F337="NEW"),"",INDEX(J$1:J336,SUMPRODUCT(MAX(ROW(E$1:E336)*(E337=E$1:E336)))))</f>
        <v/>
      </c>
      <c r="L337" s="25"/>
    </row>
    <row r="338" spans="1:12" x14ac:dyDescent="0.3">
      <c r="A338" t="s">
        <v>238</v>
      </c>
      <c r="E338" s="20" t="str">
        <f t="shared" si="24"/>
        <v/>
      </c>
      <c r="F338" s="21" t="str">
        <f>IF(OR(E338="",E338="!!!"),"",IF(NOT(ISNA(VLOOKUP(E338,E$1:E337,1,FALSE()))),"OLD",IF(AND(E338&lt;&gt;"",E338&lt;&gt;"!!!"),"NEW","")))</f>
        <v/>
      </c>
      <c r="G338" s="22" t="str">
        <f>IF(OR(E338="",E338="!!!"),"",IF(OR(J338=0,AND(J338=1,K338=1),AND(J338=1,I338="SBJ"),AND(J338=1,I338=0)),"?IN_FOCUS",IF(J338&lt;=2,"?ACTIVATED",IF(J338&lt;&gt;"","?FAMILIAR",IF(F338="NEW",IF(ISNA(VLOOKUP(E338,#REF!,1,FALSE())),"?TYPE_IDENTIFIABLE","?REFERENTIAL"),"_")))))</f>
        <v/>
      </c>
      <c r="H338" s="23" t="str">
        <f t="shared" ca="1" si="25"/>
        <v/>
      </c>
      <c r="I338" s="24" t="str">
        <f>IF(OR(E338="",E338="!!!",F338="NEW"),"",INDEX(B$2:B337,-1+SUMPRODUCT(MAX(ROW(E$2:E337)*(E338=E$2:E337)))))</f>
        <v/>
      </c>
      <c r="J338" s="24" t="str">
        <f ca="1">IF(OR(E338="",E338="!!!",F338="NEW"),"",COUNTBLANK(OFFSET(A$1,,,SUMPRODUCT(MAX(ROW(E$2:E338)*(E338=E$2:E338)))))-COUNTBLANK(OFFSET(A$1,,,SUMPRODUCT(MAX(ROW(E$1:E337)*(E2=E$1:E337))))))</f>
        <v/>
      </c>
      <c r="K338" s="24" t="str">
        <f>IF(OR(E338="",E338="!!!",F338="NEW"),"",INDEX(J$1:J337,SUMPRODUCT(MAX(ROW(E$1:E337)*(E338=E$1:E337)))))</f>
        <v/>
      </c>
      <c r="L338" s="25"/>
    </row>
    <row r="339" spans="1:12" x14ac:dyDescent="0.3">
      <c r="A339" t="s">
        <v>248</v>
      </c>
      <c r="E339" s="20" t="str">
        <f t="shared" si="24"/>
        <v/>
      </c>
      <c r="F339" s="21" t="str">
        <f>IF(OR(E339="",E339="!!!"),"",IF(NOT(ISNA(VLOOKUP(E339,E$1:E338,1,FALSE()))),"OLD",IF(AND(E339&lt;&gt;"",E339&lt;&gt;"!!!"),"NEW","")))</f>
        <v/>
      </c>
      <c r="G339" s="22" t="str">
        <f>IF(OR(E339="",E339="!!!"),"",IF(OR(J339=0,AND(J339=1,K339=1),AND(J339=1,I339="SBJ"),AND(J339=1,I339=0)),"?IN_FOCUS",IF(J339&lt;=2,"?ACTIVATED",IF(J339&lt;&gt;"","?FAMILIAR",IF(F339="NEW",IF(ISNA(VLOOKUP(E339,#REF!,1,FALSE())),"?TYPE_IDENTIFIABLE","?REFERENTIAL"),"_")))))</f>
        <v/>
      </c>
      <c r="H339" s="23" t="str">
        <f t="shared" ca="1" si="25"/>
        <v/>
      </c>
      <c r="I339" s="24" t="str">
        <f>IF(OR(E339="",E339="!!!",F339="NEW"),"",INDEX(B$2:B338,-1+SUMPRODUCT(MAX(ROW(E$2:E338)*(E339=E$2:E338)))))</f>
        <v/>
      </c>
      <c r="J339" s="24" t="str">
        <f ca="1">IF(OR(E339="",E339="!!!",F339="NEW"),"",COUNTBLANK(OFFSET(A$1,,,SUMPRODUCT(MAX(ROW(E$2:E339)*(E339=E$2:E339)))))-COUNTBLANK(OFFSET(A$1,,,SUMPRODUCT(MAX(ROW(E$1:E338)*(E2=E$1:E338))))))</f>
        <v/>
      </c>
      <c r="K339" s="24" t="str">
        <f>IF(OR(E339="",E339="!!!",F339="NEW"),"",INDEX(J$1:J338,SUMPRODUCT(MAX(ROW(E$1:E338)*(E339=E$1:E338)))))</f>
        <v/>
      </c>
      <c r="L339" s="25"/>
    </row>
    <row r="340" spans="1:12" x14ac:dyDescent="0.3">
      <c r="A340" t="s">
        <v>406</v>
      </c>
      <c r="B340" s="26" t="s">
        <v>266</v>
      </c>
      <c r="C340" s="26" t="s">
        <v>240</v>
      </c>
      <c r="E340" s="20" t="str">
        <f t="shared" si="24"/>
        <v/>
      </c>
      <c r="F340" s="21" t="str">
        <f>IF(OR(E340="",E340="!!!"),"",IF(NOT(ISNA(VLOOKUP(E340,E$1:E339,1,FALSE()))),"OLD",IF(AND(E340&lt;&gt;"",E340&lt;&gt;"!!!"),"NEW","")))</f>
        <v/>
      </c>
      <c r="G340" s="22" t="str">
        <f>IF(OR(E340="",E340="!!!"),"",IF(OR(J340=0,AND(J340=1,K340=1),AND(J340=1,I340="SBJ"),AND(J340=1,I340=0)),"?IN_FOCUS",IF(J340&lt;=2,"?ACTIVATED",IF(J340&lt;&gt;"","?FAMILIAR",IF(F340="NEW",IF(ISNA(VLOOKUP(E340,#REF!,1,FALSE())),"?TYPE_IDENTIFIABLE","?REFERENTIAL"),"_")))))</f>
        <v/>
      </c>
      <c r="H340" s="23" t="str">
        <f t="shared" ca="1" si="25"/>
        <v/>
      </c>
      <c r="I340" s="24" t="str">
        <f>IF(OR(E340="",E340="!!!",F340="NEW"),"",INDEX(B$2:B339,-1+SUMPRODUCT(MAX(ROW(E$2:E339)*(E340=E$2:E339)))))</f>
        <v/>
      </c>
      <c r="J340" s="24" t="str">
        <f ca="1">IF(OR(E340="",E340="!!!",F340="NEW"),"",COUNTBLANK(OFFSET(A$1,,,SUMPRODUCT(MAX(ROW(E$2:E340)*(E340=E$2:E340)))))-COUNTBLANK(OFFSET(A$1,,,SUMPRODUCT(MAX(ROW(E$1:E339)*(E2=E$1:E339))))))</f>
        <v/>
      </c>
      <c r="K340" s="24" t="str">
        <f>IF(OR(E340="",E340="!!!",F340="NEW"),"",INDEX(J$1:J339,SUMPRODUCT(MAX(ROW(E$1:E339)*(E340=E$1:E339)))))</f>
        <v/>
      </c>
      <c r="L340" s="25"/>
    </row>
    <row r="341" spans="1:12" x14ac:dyDescent="0.3">
      <c r="A341" t="s">
        <v>282</v>
      </c>
      <c r="E341" s="20" t="str">
        <f t="shared" si="24"/>
        <v/>
      </c>
      <c r="F341" s="21" t="str">
        <f>IF(OR(E341="",E341="!!!"),"",IF(NOT(ISNA(VLOOKUP(E341,E$1:E340,1,FALSE()))),"OLD",IF(AND(E341&lt;&gt;"",E341&lt;&gt;"!!!"),"NEW","")))</f>
        <v/>
      </c>
      <c r="G341" s="22" t="str">
        <f>IF(OR(E341="",E341="!!!"),"",IF(OR(J341=0,AND(J341=1,K341=1),AND(J341=1,I341="SBJ"),AND(J341=1,I341=0)),"?IN_FOCUS",IF(J341&lt;=2,"?ACTIVATED",IF(J341&lt;&gt;"","?FAMILIAR",IF(F341="NEW",IF(ISNA(VLOOKUP(E341,#REF!,1,FALSE())),"?TYPE_IDENTIFIABLE","?REFERENTIAL"),"_")))))</f>
        <v/>
      </c>
      <c r="H341" s="23" t="str">
        <f t="shared" ca="1" si="25"/>
        <v/>
      </c>
      <c r="I341" s="24" t="str">
        <f>IF(OR(E341="",E341="!!!",F341="NEW"),"",INDEX(B$2:B340,-1+SUMPRODUCT(MAX(ROW(E$2:E340)*(E341=E$2:E340)))))</f>
        <v/>
      </c>
      <c r="J341" s="24" t="str">
        <f ca="1">IF(OR(E341="",E341="!!!",F341="NEW"),"",COUNTBLANK(OFFSET(A$1,,,SUMPRODUCT(MAX(ROW(E$2:E341)*(E341=E$2:E341)))))-COUNTBLANK(OFFSET(A$1,,,SUMPRODUCT(MAX(ROW(E$1:E340)*(E2=E$1:E340))))))</f>
        <v/>
      </c>
      <c r="K341" s="24" t="str">
        <f>IF(OR(E341="",E341="!!!",F341="NEW"),"",INDEX(J$1:J340,SUMPRODUCT(MAX(ROW(E$1:E340)*(E341=E$1:E340)))))</f>
        <v/>
      </c>
      <c r="L341" s="25"/>
    </row>
    <row r="342" spans="1:12" x14ac:dyDescent="0.3">
      <c r="A342" t="s">
        <v>407</v>
      </c>
      <c r="B342" s="26" t="s">
        <v>266</v>
      </c>
      <c r="C342" s="26" t="s">
        <v>230</v>
      </c>
      <c r="D342" s="26" t="s">
        <v>215</v>
      </c>
      <c r="E342" s="20" t="s">
        <v>739</v>
      </c>
      <c r="F342" s="21" t="str">
        <f>IF(OR(E342="",E342="!!!"),"",IF(NOT(ISNA(VLOOKUP(E342,E$1:E341,1,FALSE()))),"OLD",IF(AND(E342&lt;&gt;"",E342&lt;&gt;"!!!"),"NEW","")))</f>
        <v>OLD</v>
      </c>
      <c r="G342" s="22" t="str">
        <f ca="1">IF(OR(E342="",E342="!!!"),"",IF(OR(J342=0,AND(J342=1,K342=1),AND(J342=1,I342="SBJ"),AND(J342=1,I342=0)),"?IN_FOCUS",IF(J342&lt;=2,"?ACTIVATED",IF(J342&lt;&gt;"","?FAMILIAR",IF(F342="NEW",IF(ISNA(VLOOKUP(E342,#REF!,1,FALSE())),"?TYPE_IDENTIFIABLE","?REFERENTIAL"),"_")))))</f>
        <v>?IN_FOCUS</v>
      </c>
      <c r="H342" s="23" t="str">
        <f t="shared" ca="1" si="25"/>
        <v/>
      </c>
      <c r="I342" s="24" t="str">
        <f>IF(OR(E342="",E342="!!!",F342="NEW"),"",INDEX(B$2:B341,-1+SUMPRODUCT(MAX(ROW(E$2:E341)*(E342=E$2:E341)))))</f>
        <v>SBJ_2</v>
      </c>
      <c r="J342" s="24">
        <f ca="1">IF(OR(E342="",E342="!!!",F342="NEW"),"",COUNTBLANK(OFFSET(A$1,,,SUMPRODUCT(MAX(ROW(E$2:E342)*(E342=E$2:E342)))))-COUNTBLANK(OFFSET(A$1,,,SUMPRODUCT(MAX(ROW(E$1:E341)*(E2=E$1:E341))))))</f>
        <v>0</v>
      </c>
      <c r="K342" s="24">
        <f ca="1">IF(OR(E342="",E342="!!!",F342="NEW"),"",INDEX(J$1:J341,SUMPRODUCT(MAX(ROW(E$1:E341)*(E342=E$1:E341)))))</f>
        <v>0</v>
      </c>
      <c r="L342" s="25"/>
    </row>
    <row r="343" spans="1:12" x14ac:dyDescent="0.3">
      <c r="A343" t="s">
        <v>234</v>
      </c>
      <c r="E343" s="20" t="str">
        <f t="shared" si="24"/>
        <v/>
      </c>
      <c r="F343" s="21" t="str">
        <f>IF(OR(E343="",E343="!!!"),"",IF(NOT(ISNA(VLOOKUP(E343,E$1:E342,1,FALSE()))),"OLD",IF(AND(E343&lt;&gt;"",E343&lt;&gt;"!!!"),"NEW","")))</f>
        <v/>
      </c>
      <c r="G343" s="22" t="str">
        <f>IF(OR(E343="",E343="!!!"),"",IF(OR(J343=0,AND(J343=1,K343=1),AND(J343=1,I343="SBJ"),AND(J343=1,I343=0)),"?IN_FOCUS",IF(J343&lt;=2,"?ACTIVATED",IF(J343&lt;&gt;"","?FAMILIAR",IF(F343="NEW",IF(ISNA(VLOOKUP(E343,#REF!,1,FALSE())),"?TYPE_IDENTIFIABLE","?REFERENTIAL"),"_")))))</f>
        <v/>
      </c>
      <c r="H343" s="23" t="str">
        <f t="shared" ca="1" si="25"/>
        <v/>
      </c>
      <c r="I343" s="24" t="str">
        <f>IF(OR(E343="",E343="!!!",F343="NEW"),"",INDEX(B$2:B342,-1+SUMPRODUCT(MAX(ROW(E$2:E342)*(E343=E$2:E342)))))</f>
        <v/>
      </c>
      <c r="J343" s="24" t="str">
        <f ca="1">IF(OR(E343="",E343="!!!",F343="NEW"),"",COUNTBLANK(OFFSET(A$1,,,SUMPRODUCT(MAX(ROW(E$2:E343)*(E343=E$2:E343)))))-COUNTBLANK(OFFSET(A$1,,,SUMPRODUCT(MAX(ROW(E$1:E342)*(E2=E$1:E342))))))</f>
        <v/>
      </c>
      <c r="K343" s="24" t="str">
        <f>IF(OR(E343="",E343="!!!",F343="NEW"),"",INDEX(J$1:J342,SUMPRODUCT(MAX(ROW(E$1:E342)*(E343=E$1:E342)))))</f>
        <v/>
      </c>
      <c r="L343" s="25"/>
    </row>
    <row r="345" spans="1:12" x14ac:dyDescent="0.3">
      <c r="A345" t="s">
        <v>408</v>
      </c>
    </row>
    <row r="346" spans="1:12" x14ac:dyDescent="0.3">
      <c r="A346" t="s">
        <v>409</v>
      </c>
      <c r="E346" s="20" t="str">
        <f t="shared" ref="E346:E381" si="26">IF(D346="?OLD","!!!","")</f>
        <v/>
      </c>
      <c r="F346" s="21" t="str">
        <f>IF(OR(E346="",E346="!!!"),"",IF(NOT(ISNA(VLOOKUP(E346,E$1:E345,1,FALSE()))),"OLD",IF(AND(E346&lt;&gt;"",E346&lt;&gt;"!!!"),"NEW","")))</f>
        <v/>
      </c>
      <c r="G346" s="22" t="str">
        <f>IF(OR(E346="",E346="!!!"),"",IF(OR(J346=0,AND(J346=1,K346=1),AND(J346=1,I346="SBJ"),AND(J346=1,I346=0)),"?IN_FOCUS",IF(J346&lt;=2,"?ACTIVATED",IF(J346&lt;&gt;"","?FAMILIAR",IF(F346="NEW",IF(ISNA(VLOOKUP(E346,#REF!,1,FALSE())),"?TYPE_IDENTIFIABLE","?REFERENTIAL"),"_")))))</f>
        <v/>
      </c>
      <c r="H346" s="23" t="str">
        <f t="shared" ref="H346:H381" ca="1" si="27">IF(J346&lt;&gt;1,"",IF(I346="SBJ","CB","?"))</f>
        <v/>
      </c>
      <c r="I346" s="24" t="str">
        <f>IF(OR(E346="",E346="!!!",F346="NEW"),"",INDEX(B$2:B345,-1+SUMPRODUCT(MAX(ROW(E$2:E345)*(E346=E$2:E345)))))</f>
        <v/>
      </c>
      <c r="J346" s="24" t="str">
        <f ca="1">IF(OR(E346="",E346="!!!",F346="NEW"),"",COUNTBLANK(OFFSET(A$1,,,SUMPRODUCT(MAX(ROW(E$2:E346)*(E346=E$2:E346)))))-COUNTBLANK(OFFSET(A$1,,,SUMPRODUCT(MAX(ROW(E$1:E345)*(E2=E$1:E345))))))</f>
        <v/>
      </c>
      <c r="K346" s="24" t="str">
        <f>IF(OR(E346="",E346="!!!",F346="NEW"),"",INDEX(J$1:J345,SUMPRODUCT(MAX(ROW(E$1:E345)*(E346=E$1:E345)))))</f>
        <v/>
      </c>
      <c r="L346" s="25"/>
    </row>
    <row r="347" spans="1:12" x14ac:dyDescent="0.3">
      <c r="A347" t="s">
        <v>207</v>
      </c>
      <c r="E347" s="20" t="str">
        <f t="shared" si="26"/>
        <v/>
      </c>
      <c r="F347" s="21" t="str">
        <f>IF(OR(E347="",E347="!!!"),"",IF(NOT(ISNA(VLOOKUP(E347,E$1:E346,1,FALSE()))),"OLD",IF(AND(E347&lt;&gt;"",E347&lt;&gt;"!!!"),"NEW","")))</f>
        <v/>
      </c>
      <c r="G347" s="22" t="str">
        <f>IF(OR(E347="",E347="!!!"),"",IF(OR(J347=0,AND(J347=1,K347=1),AND(J347=1,I347="SBJ"),AND(J347=1,I347=0)),"?IN_FOCUS",IF(J347&lt;=2,"?ACTIVATED",IF(J347&lt;&gt;"","?FAMILIAR",IF(F347="NEW",IF(ISNA(VLOOKUP(E347,#REF!,1,FALSE())),"?TYPE_IDENTIFIABLE","?REFERENTIAL"),"_")))))</f>
        <v/>
      </c>
      <c r="H347" s="23" t="str">
        <f t="shared" ca="1" si="27"/>
        <v/>
      </c>
      <c r="I347" s="24" t="str">
        <f>IF(OR(E347="",E347="!!!",F347="NEW"),"",INDEX(B$2:B346,-1+SUMPRODUCT(MAX(ROW(E$2:E346)*(E347=E$2:E346)))))</f>
        <v/>
      </c>
      <c r="J347" s="24" t="str">
        <f ca="1">IF(OR(E347="",E347="!!!",F347="NEW"),"",COUNTBLANK(OFFSET(A$1,,,SUMPRODUCT(MAX(ROW(E$2:E347)*(E347=E$2:E347)))))-COUNTBLANK(OFFSET(A$1,,,SUMPRODUCT(MAX(ROW(E$1:E346)*(E2=E$1:E346))))))</f>
        <v/>
      </c>
      <c r="K347" s="24" t="str">
        <f>IF(OR(E347="",E347="!!!",F347="NEW"),"",INDEX(J$1:J346,SUMPRODUCT(MAX(ROW(E$1:E346)*(E347=E$1:E346)))))</f>
        <v/>
      </c>
      <c r="L347" s="25"/>
    </row>
    <row r="348" spans="1:12" x14ac:dyDescent="0.3">
      <c r="A348" t="s">
        <v>257</v>
      </c>
      <c r="B348" s="26" t="s">
        <v>213</v>
      </c>
      <c r="C348" s="26" t="s">
        <v>230</v>
      </c>
      <c r="D348" s="26" t="s">
        <v>215</v>
      </c>
      <c r="E348" s="20" t="s">
        <v>739</v>
      </c>
      <c r="F348" s="21" t="str">
        <f>IF(OR(E348="",E348="!!!"),"",IF(NOT(ISNA(VLOOKUP(E348,E$1:E347,1,FALSE()))),"OLD",IF(AND(E348&lt;&gt;"",E348&lt;&gt;"!!!"),"NEW","")))</f>
        <v>OLD</v>
      </c>
      <c r="G348" s="22" t="str">
        <f ca="1">IF(OR(E348="",E348="!!!"),"",IF(OR(J348=0,AND(J348=1,K348=1),AND(J348=1,I348="SBJ"),AND(J348=1,I348=0)),"?IN_FOCUS",IF(J348&lt;=2,"?ACTIVATED",IF(J348&lt;&gt;"","?FAMILIAR",IF(F348="NEW",IF(ISNA(VLOOKUP(E348,#REF!,1,FALSE())),"?TYPE_IDENTIFIABLE","?REFERENTIAL"),"_")))))</f>
        <v>?IN_FOCUS</v>
      </c>
      <c r="H348" s="23" t="str">
        <f t="shared" ca="1" si="27"/>
        <v/>
      </c>
      <c r="I348" s="24" t="str">
        <f>IF(OR(E348="",E348="!!!",F348="NEW"),"",INDEX(B$2:B347,-1+SUMPRODUCT(MAX(ROW(E$2:E347)*(E348=E$2:E347)))))</f>
        <v>other_4</v>
      </c>
      <c r="J348" s="24">
        <f ca="1">IF(OR(E348="",E348="!!!",F348="NEW"),"",COUNTBLANK(OFFSET(A$1,,,SUMPRODUCT(MAX(ROW(E$2:E348)*(E348=E$2:E348)))))-COUNTBLANK(OFFSET(A$1,,,SUMPRODUCT(MAX(ROW(E$1:E347)*(E2=E$1:E347))))))</f>
        <v>0</v>
      </c>
      <c r="K348" s="24">
        <f ca="1">IF(OR(E348="",E348="!!!",F348="NEW"),"",INDEX(J$1:J347,SUMPRODUCT(MAX(ROW(E$1:E347)*(E348=E$1:E347)))))</f>
        <v>0</v>
      </c>
      <c r="L348" s="25"/>
    </row>
    <row r="349" spans="1:12" x14ac:dyDescent="0.3">
      <c r="A349" t="s">
        <v>410</v>
      </c>
      <c r="E349" s="20" t="str">
        <f t="shared" si="26"/>
        <v/>
      </c>
      <c r="F349" s="21" t="str">
        <f>IF(OR(E349="",E349="!!!"),"",IF(NOT(ISNA(VLOOKUP(E349,E$1:E348,1,FALSE()))),"OLD",IF(AND(E349&lt;&gt;"",E349&lt;&gt;"!!!"),"NEW","")))</f>
        <v/>
      </c>
      <c r="G349" s="22" t="str">
        <f>IF(OR(E349="",E349="!!!"),"",IF(OR(J349=0,AND(J349=1,K349=1),AND(J349=1,I349="SBJ"),AND(J349=1,I349=0)),"?IN_FOCUS",IF(J349&lt;=2,"?ACTIVATED",IF(J349&lt;&gt;"","?FAMILIAR",IF(F349="NEW",IF(ISNA(VLOOKUP(E349,#REF!,1,FALSE())),"?TYPE_IDENTIFIABLE","?REFERENTIAL"),"_")))))</f>
        <v/>
      </c>
      <c r="H349" s="23" t="str">
        <f t="shared" ca="1" si="27"/>
        <v/>
      </c>
      <c r="I349" s="24" t="str">
        <f>IF(OR(E349="",E349="!!!",F349="NEW"),"",INDEX(B$2:B348,-1+SUMPRODUCT(MAX(ROW(E$2:E348)*(E349=E$2:E348)))))</f>
        <v/>
      </c>
      <c r="J349" s="24" t="str">
        <f ca="1">IF(OR(E349="",E349="!!!",F349="NEW"),"",COUNTBLANK(OFFSET(A$1,,,SUMPRODUCT(MAX(ROW(E$2:E349)*(E349=E$2:E349)))))-COUNTBLANK(OFFSET(A$1,,,SUMPRODUCT(MAX(ROW(E$1:E348)*(E2=E$1:E348))))))</f>
        <v/>
      </c>
      <c r="K349" s="24" t="str">
        <f>IF(OR(E349="",E349="!!!",F349="NEW"),"",INDEX(J$1:J348,SUMPRODUCT(MAX(ROW(E$1:E348)*(E349=E$1:E348)))))</f>
        <v/>
      </c>
      <c r="L349" s="25"/>
    </row>
    <row r="350" spans="1:12" x14ac:dyDescent="0.3">
      <c r="A350" t="s">
        <v>53</v>
      </c>
      <c r="E350" s="20" t="str">
        <f t="shared" si="26"/>
        <v/>
      </c>
      <c r="F350" s="21" t="str">
        <f>IF(OR(E350="",E350="!!!"),"",IF(NOT(ISNA(VLOOKUP(E350,E$1:E349,1,FALSE()))),"OLD",IF(AND(E350&lt;&gt;"",E350&lt;&gt;"!!!"),"NEW","")))</f>
        <v/>
      </c>
      <c r="G350" s="22" t="str">
        <f>IF(OR(E350="",E350="!!!"),"",IF(OR(J350=0,AND(J350=1,K350=1),AND(J350=1,I350="SBJ"),AND(J350=1,I350=0)),"?IN_FOCUS",IF(J350&lt;=2,"?ACTIVATED",IF(J350&lt;&gt;"","?FAMILIAR",IF(F350="NEW",IF(ISNA(VLOOKUP(E350,#REF!,1,FALSE())),"?TYPE_IDENTIFIABLE","?REFERENTIAL"),"_")))))</f>
        <v/>
      </c>
      <c r="H350" s="23" t="str">
        <f t="shared" ca="1" si="27"/>
        <v/>
      </c>
      <c r="I350" s="24" t="str">
        <f>IF(OR(E350="",E350="!!!",F350="NEW"),"",INDEX(B$2:B349,-1+SUMPRODUCT(MAX(ROW(E$2:E349)*(E350=E$2:E349)))))</f>
        <v/>
      </c>
      <c r="J350" s="24" t="str">
        <f ca="1">IF(OR(E350="",E350="!!!",F350="NEW"),"",COUNTBLANK(OFFSET(A$1,,,SUMPRODUCT(MAX(ROW(E$2:E350)*(E350=E$2:E350)))))-COUNTBLANK(OFFSET(A$1,,,SUMPRODUCT(MAX(ROW(E$1:E349)*(E2=E$1:E349))))))</f>
        <v/>
      </c>
      <c r="K350" s="24" t="str">
        <f>IF(OR(E350="",E350="!!!",F350="NEW"),"",INDEX(J$1:J349,SUMPRODUCT(MAX(ROW(E$1:E349)*(E350=E$1:E349)))))</f>
        <v/>
      </c>
      <c r="L350" s="25"/>
    </row>
    <row r="351" spans="1:12" x14ac:dyDescent="0.3">
      <c r="A351" t="s">
        <v>249</v>
      </c>
      <c r="E351" s="20" t="str">
        <f t="shared" si="26"/>
        <v/>
      </c>
      <c r="F351" s="21" t="str">
        <f>IF(OR(E351="",E351="!!!"),"",IF(NOT(ISNA(VLOOKUP(E351,E$1:E350,1,FALSE()))),"OLD",IF(AND(E351&lt;&gt;"",E351&lt;&gt;"!!!"),"NEW","")))</f>
        <v/>
      </c>
      <c r="G351" s="22" t="str">
        <f>IF(OR(E351="",E351="!!!"),"",IF(OR(J351=0,AND(J351=1,K351=1),AND(J351=1,I351="SBJ"),AND(J351=1,I351=0)),"?IN_FOCUS",IF(J351&lt;=2,"?ACTIVATED",IF(J351&lt;&gt;"","?FAMILIAR",IF(F351="NEW",IF(ISNA(VLOOKUP(E351,#REF!,1,FALSE())),"?TYPE_IDENTIFIABLE","?REFERENTIAL"),"_")))))</f>
        <v/>
      </c>
      <c r="H351" s="23" t="str">
        <f t="shared" ca="1" si="27"/>
        <v/>
      </c>
      <c r="I351" s="24" t="str">
        <f>IF(OR(E351="",E351="!!!",F351="NEW"),"",INDEX(B$2:B350,-1+SUMPRODUCT(MAX(ROW(E$2:E350)*(E351=E$2:E350)))))</f>
        <v/>
      </c>
      <c r="J351" s="24" t="str">
        <f ca="1">IF(OR(E351="",E351="!!!",F351="NEW"),"",COUNTBLANK(OFFSET(A$1,,,SUMPRODUCT(MAX(ROW(E$2:E351)*(E351=E$2:E351)))))-COUNTBLANK(OFFSET(A$1,,,SUMPRODUCT(MAX(ROW(E$1:E350)*(E2=E$1:E350))))))</f>
        <v/>
      </c>
      <c r="K351" s="24" t="str">
        <f>IF(OR(E351="",E351="!!!",F351="NEW"),"",INDEX(J$1:J350,SUMPRODUCT(MAX(ROW(E$1:E350)*(E351=E$1:E350)))))</f>
        <v/>
      </c>
      <c r="L351" s="25"/>
    </row>
    <row r="352" spans="1:12" x14ac:dyDescent="0.3">
      <c r="A352" t="s">
        <v>290</v>
      </c>
      <c r="B352" s="26" t="s">
        <v>229</v>
      </c>
      <c r="C352" s="26" t="s">
        <v>214</v>
      </c>
      <c r="D352" s="26" t="s">
        <v>215</v>
      </c>
      <c r="E352" s="20" t="s">
        <v>669</v>
      </c>
      <c r="F352" s="21" t="str">
        <f>IF(OR(E352="",E352="!!!"),"",IF(NOT(ISNA(VLOOKUP(E352,E$1:E351,1,FALSE()))),"OLD",IF(AND(E352&lt;&gt;"",E352&lt;&gt;"!!!"),"NEW","")))</f>
        <v>OLD</v>
      </c>
      <c r="G352" s="22" t="str">
        <f ca="1">IF(OR(E352="",E352="!!!"),"",IF(OR(J352=0,AND(J352=1,K352=1),AND(J352=1,I352="SBJ"),AND(J352=1,I352=0)),"?IN_FOCUS",IF(J352&lt;=2,"?ACTIVATED",IF(J352&lt;&gt;"","?FAMILIAR",IF(F352="NEW",IF(ISNA(VLOOKUP(E352,#REF!,1,FALSE())),"?TYPE_IDENTIFIABLE","?REFERENTIAL"),"_")))))</f>
        <v>?IN_FOCUS</v>
      </c>
      <c r="H352" s="23" t="s">
        <v>198</v>
      </c>
      <c r="I352" s="24" t="str">
        <f>IF(OR(E352="",E352="!!!",F352="NEW"),"",INDEX(B$2:B351,-1+SUMPRODUCT(MAX(ROW(E$2:E351)*(E352=E$2:E351)))))</f>
        <v>SBJ_4</v>
      </c>
      <c r="J352" s="24">
        <f ca="1">IF(OR(E352="",E352="!!!",F352="NEW"),"",COUNTBLANK(OFFSET(A$1,,,SUMPRODUCT(MAX(ROW(E$2:E352)*(E352=E$2:E352)))))-COUNTBLANK(OFFSET(A$1,,,SUMPRODUCT(MAX(ROW(E$1:E351)*(E2=E$1:E351))))))</f>
        <v>0</v>
      </c>
      <c r="K352" s="24">
        <f ca="1">IF(OR(E352="",E352="!!!",F352="NEW"),"",INDEX(J$1:J351,SUMPRODUCT(MAX(ROW(E$1:E351)*(E352=E$1:E351)))))</f>
        <v>0</v>
      </c>
      <c r="L352" s="25"/>
    </row>
    <row r="353" spans="1:12" x14ac:dyDescent="0.3">
      <c r="A353" t="s">
        <v>411</v>
      </c>
      <c r="E353" s="20" t="str">
        <f t="shared" si="26"/>
        <v/>
      </c>
      <c r="F353" s="21" t="str">
        <f>IF(OR(E353="",E353="!!!"),"",IF(NOT(ISNA(VLOOKUP(E353,E$1:E352,1,FALSE()))),"OLD",IF(AND(E353&lt;&gt;"",E353&lt;&gt;"!!!"),"NEW","")))</f>
        <v/>
      </c>
      <c r="G353" s="22" t="str">
        <f>IF(OR(E353="",E353="!!!"),"",IF(OR(J353=0,AND(J353=1,K353=1),AND(J353=1,I353="SBJ"),AND(J353=1,I353=0)),"?IN_FOCUS",IF(J353&lt;=2,"?ACTIVATED",IF(J353&lt;&gt;"","?FAMILIAR",IF(F353="NEW",IF(ISNA(VLOOKUP(E353,#REF!,1,FALSE())),"?TYPE_IDENTIFIABLE","?REFERENTIAL"),"_")))))</f>
        <v/>
      </c>
      <c r="H353" s="23" t="str">
        <f t="shared" ca="1" si="27"/>
        <v/>
      </c>
      <c r="I353" s="24" t="str">
        <f>IF(OR(E353="",E353="!!!",F353="NEW"),"",INDEX(B$2:B352,-1+SUMPRODUCT(MAX(ROW(E$2:E352)*(E353=E$2:E352)))))</f>
        <v/>
      </c>
      <c r="J353" s="24" t="str">
        <f ca="1">IF(OR(E353="",E353="!!!",F353="NEW"),"",COUNTBLANK(OFFSET(A$1,,,SUMPRODUCT(MAX(ROW(E$2:E353)*(E353=E$2:E353)))))-COUNTBLANK(OFFSET(A$1,,,SUMPRODUCT(MAX(ROW(E$1:E352)*(E2=E$1:E352))))))</f>
        <v/>
      </c>
      <c r="K353" s="24" t="str">
        <f>IF(OR(E353="",E353="!!!",F353="NEW"),"",INDEX(J$1:J352,SUMPRODUCT(MAX(ROW(E$1:E352)*(E353=E$1:E352)))))</f>
        <v/>
      </c>
      <c r="L353" s="25"/>
    </row>
    <row r="354" spans="1:12" x14ac:dyDescent="0.3">
      <c r="A354" t="s">
        <v>412</v>
      </c>
      <c r="B354" s="26" t="s">
        <v>233</v>
      </c>
      <c r="C354" s="26" t="s">
        <v>226</v>
      </c>
      <c r="E354" s="20"/>
      <c r="F354" s="21" t="str">
        <f>IF(OR(E354="",E354="!!!"),"",IF(NOT(ISNA(VLOOKUP(E354,E$1:E353,1,FALSE()))),"OLD",IF(AND(E354&lt;&gt;"",E354&lt;&gt;"!!!"),"NEW","")))</f>
        <v/>
      </c>
      <c r="G354" s="22" t="str">
        <f>IF(OR(E354="",E354="!!!"),"",IF(OR(J354=0,AND(J354=1,K354=1),AND(J354=1,I354="SBJ"),AND(J354=1,I354=0)),"?IN_FOCUS",IF(J354&lt;=2,"?ACTIVATED",IF(J354&lt;&gt;"","?FAMILIAR",IF(F354="NEW",IF(ISNA(VLOOKUP(E354,#REF!,1,FALSE())),"?TYPE_IDENTIFIABLE","?REFERENTIAL"),"_")))))</f>
        <v/>
      </c>
      <c r="H354" s="23" t="str">
        <f t="shared" ca="1" si="27"/>
        <v/>
      </c>
      <c r="I354" s="24" t="str">
        <f>IF(OR(E354="",E354="!!!",F354="NEW"),"",INDEX(B$2:B353,-1+SUMPRODUCT(MAX(ROW(E$2:E353)*(E354=E$2:E353)))))</f>
        <v/>
      </c>
      <c r="J354" s="24" t="str">
        <f ca="1">IF(OR(E354="",E354="!!!",F354="NEW"),"",COUNTBLANK(OFFSET(A$1,,,SUMPRODUCT(MAX(ROW(E$2:E354)*(E354=E$2:E354)))))-COUNTBLANK(OFFSET(A$1,,,SUMPRODUCT(MAX(ROW(E$1:E353)*(E2=E$1:E353))))))</f>
        <v/>
      </c>
      <c r="K354" s="24" t="str">
        <f>IF(OR(E354="",E354="!!!",F354="NEW"),"",INDEX(J$1:J353,SUMPRODUCT(MAX(ROW(E$1:E353)*(E354=E$1:E353)))))</f>
        <v/>
      </c>
      <c r="L354" s="25"/>
    </row>
    <row r="355" spans="1:12" x14ac:dyDescent="0.3">
      <c r="A355" t="s">
        <v>268</v>
      </c>
      <c r="E355" s="20" t="str">
        <f t="shared" si="26"/>
        <v/>
      </c>
      <c r="F355" s="21" t="str">
        <f>IF(OR(E355="",E355="!!!"),"",IF(NOT(ISNA(VLOOKUP(E355,E$1:E354,1,FALSE()))),"OLD",IF(AND(E355&lt;&gt;"",E355&lt;&gt;"!!!"),"NEW","")))</f>
        <v/>
      </c>
      <c r="G355" s="22" t="str">
        <f>IF(OR(E355="",E355="!!!"),"",IF(OR(J355=0,AND(J355=1,K355=1),AND(J355=1,I355="SBJ"),AND(J355=1,I355=0)),"?IN_FOCUS",IF(J355&lt;=2,"?ACTIVATED",IF(J355&lt;&gt;"","?FAMILIAR",IF(F355="NEW",IF(ISNA(VLOOKUP(E355,#REF!,1,FALSE())),"?TYPE_IDENTIFIABLE","?REFERENTIAL"),"_")))))</f>
        <v/>
      </c>
      <c r="H355" s="23" t="str">
        <f t="shared" ca="1" si="27"/>
        <v/>
      </c>
      <c r="I355" s="24" t="str">
        <f>IF(OR(E355="",E355="!!!",F355="NEW"),"",INDEX(B$2:B354,-1+SUMPRODUCT(MAX(ROW(E$2:E354)*(E355=E$2:E354)))))</f>
        <v/>
      </c>
      <c r="J355" s="24" t="str">
        <f ca="1">IF(OR(E355="",E355="!!!",F355="NEW"),"",COUNTBLANK(OFFSET(A$1,,,SUMPRODUCT(MAX(ROW(E$2:E355)*(E355=E$2:E355)))))-COUNTBLANK(OFFSET(A$1,,,SUMPRODUCT(MAX(ROW(E$1:E354)*(E2=E$1:E354))))))</f>
        <v/>
      </c>
      <c r="K355" s="24" t="str">
        <f>IF(OR(E355="",E355="!!!",F355="NEW"),"",INDEX(J$1:J354,SUMPRODUCT(MAX(ROW(E$1:E354)*(E355=E$1:E354)))))</f>
        <v/>
      </c>
      <c r="L355" s="25"/>
    </row>
    <row r="356" spans="1:12" x14ac:dyDescent="0.3">
      <c r="A356" t="s">
        <v>227</v>
      </c>
      <c r="E356" s="20" t="str">
        <f t="shared" si="26"/>
        <v/>
      </c>
      <c r="F356" s="21" t="str">
        <f>IF(OR(E356="",E356="!!!"),"",IF(NOT(ISNA(VLOOKUP(E356,E$1:E355,1,FALSE()))),"OLD",IF(AND(E356&lt;&gt;"",E356&lt;&gt;"!!!"),"NEW","")))</f>
        <v/>
      </c>
      <c r="G356" s="22" t="str">
        <f>IF(OR(E356="",E356="!!!"),"",IF(OR(J356=0,AND(J356=1,K356=1),AND(J356=1,I356="SBJ"),AND(J356=1,I356=0)),"?IN_FOCUS",IF(J356&lt;=2,"?ACTIVATED",IF(J356&lt;&gt;"","?FAMILIAR",IF(F356="NEW",IF(ISNA(VLOOKUP(E356,#REF!,1,FALSE())),"?TYPE_IDENTIFIABLE","?REFERENTIAL"),"_")))))</f>
        <v/>
      </c>
      <c r="H356" s="23" t="str">
        <f t="shared" ca="1" si="27"/>
        <v/>
      </c>
      <c r="I356" s="24" t="str">
        <f>IF(OR(E356="",E356="!!!",F356="NEW"),"",INDEX(B$2:B355,-1+SUMPRODUCT(MAX(ROW(E$2:E355)*(E356=E$2:E355)))))</f>
        <v/>
      </c>
      <c r="J356" s="24" t="str">
        <f ca="1">IF(OR(E356="",E356="!!!",F356="NEW"),"",COUNTBLANK(OFFSET(A$1,,,SUMPRODUCT(MAX(ROW(E$2:E356)*(E356=E$2:E356)))))-COUNTBLANK(OFFSET(A$1,,,SUMPRODUCT(MAX(ROW(E$1:E355)*(E2=E$1:E355))))))</f>
        <v/>
      </c>
      <c r="K356" s="24" t="str">
        <f>IF(OR(E356="",E356="!!!",F356="NEW"),"",INDEX(J$1:J355,SUMPRODUCT(MAX(ROW(E$1:E355)*(E356=E$1:E355)))))</f>
        <v/>
      </c>
      <c r="L356" s="25"/>
    </row>
    <row r="357" spans="1:12" x14ac:dyDescent="0.3">
      <c r="A357" t="s">
        <v>228</v>
      </c>
      <c r="B357" s="26" t="s">
        <v>263</v>
      </c>
      <c r="C357" s="26" t="s">
        <v>230</v>
      </c>
      <c r="D357" s="26" t="s">
        <v>215</v>
      </c>
      <c r="E357" s="20" t="s">
        <v>669</v>
      </c>
      <c r="F357" s="21" t="str">
        <f>IF(OR(E357="",E357="!!!"),"",IF(NOT(ISNA(VLOOKUP(E357,E$1:E356,1,FALSE()))),"OLD",IF(AND(E357&lt;&gt;"",E357&lt;&gt;"!!!"),"NEW","")))</f>
        <v>OLD</v>
      </c>
      <c r="G357" s="22" t="str">
        <f ca="1">IF(OR(E357="",E357="!!!"),"",IF(OR(J357=0,AND(J357=1,K357=1),AND(J357=1,I357="SBJ"),AND(J357=1,I357=0)),"?IN_FOCUS",IF(J357&lt;=2,"?ACTIVATED",IF(J357&lt;&gt;"","?FAMILIAR",IF(F357="NEW",IF(ISNA(VLOOKUP(E357,#REF!,1,FALSE())),"?TYPE_IDENTIFIABLE","?REFERENTIAL"),"_")))))</f>
        <v>?IN_FOCUS</v>
      </c>
      <c r="H357" s="23" t="str">
        <f t="shared" ca="1" si="27"/>
        <v/>
      </c>
      <c r="I357" s="24" t="str">
        <f>IF(OR(E357="",E357="!!!",F357="NEW"),"",INDEX(B$2:B356,-1+SUMPRODUCT(MAX(ROW(E$2:E356)*(E357=E$2:E356)))))</f>
        <v>SBJ_2</v>
      </c>
      <c r="J357" s="24">
        <f ca="1">IF(OR(E357="",E357="!!!",F357="NEW"),"",COUNTBLANK(OFFSET(A$1,,,SUMPRODUCT(MAX(ROW(E$2:E357)*(E357=E$2:E357)))))-COUNTBLANK(OFFSET(A$1,,,SUMPRODUCT(MAX(ROW(E$1:E356)*(E2=E$1:E356))))))</f>
        <v>0</v>
      </c>
      <c r="K357" s="24">
        <f ca="1">IF(OR(E357="",E357="!!!",F357="NEW"),"",INDEX(J$1:J356,SUMPRODUCT(MAX(ROW(E$1:E356)*(E357=E$1:E356)))))</f>
        <v>0</v>
      </c>
      <c r="L357" s="25"/>
    </row>
    <row r="358" spans="1:12" x14ac:dyDescent="0.3">
      <c r="A358" t="s">
        <v>217</v>
      </c>
      <c r="E358" s="20" t="str">
        <f t="shared" si="26"/>
        <v/>
      </c>
      <c r="F358" s="21" t="str">
        <f>IF(OR(E358="",E358="!!!"),"",IF(NOT(ISNA(VLOOKUP(E358,E$1:E357,1,FALSE()))),"OLD",IF(AND(E358&lt;&gt;"",E358&lt;&gt;"!!!"),"NEW","")))</f>
        <v/>
      </c>
      <c r="G358" s="22" t="str">
        <f>IF(OR(E358="",E358="!!!"),"",IF(OR(J358=0,AND(J358=1,K358=1),AND(J358=1,I358="SBJ"),AND(J358=1,I358=0)),"?IN_FOCUS",IF(J358&lt;=2,"?ACTIVATED",IF(J358&lt;&gt;"","?FAMILIAR",IF(F358="NEW",IF(ISNA(VLOOKUP(E358,#REF!,1,FALSE())),"?TYPE_IDENTIFIABLE","?REFERENTIAL"),"_")))))</f>
        <v/>
      </c>
      <c r="H358" s="23" t="str">
        <f t="shared" ca="1" si="27"/>
        <v/>
      </c>
      <c r="I358" s="24" t="str">
        <f>IF(OR(E358="",E358="!!!",F358="NEW"),"",INDEX(B$2:B357,-1+SUMPRODUCT(MAX(ROW(E$2:E357)*(E358=E$2:E357)))))</f>
        <v/>
      </c>
      <c r="J358" s="24" t="str">
        <f ca="1">IF(OR(E358="",E358="!!!",F358="NEW"),"",COUNTBLANK(OFFSET(A$1,,,SUMPRODUCT(MAX(ROW(E$2:E358)*(E358=E$2:E358)))))-COUNTBLANK(OFFSET(A$1,,,SUMPRODUCT(MAX(ROW(E$1:E357)*(E2=E$1:E357))))))</f>
        <v/>
      </c>
      <c r="K358" s="24" t="str">
        <f>IF(OR(E358="",E358="!!!",F358="NEW"),"",INDEX(J$1:J357,SUMPRODUCT(MAX(ROW(E$1:E357)*(E358=E$1:E357)))))</f>
        <v/>
      </c>
      <c r="L358" s="25"/>
    </row>
    <row r="359" spans="1:12" x14ac:dyDescent="0.3">
      <c r="A359" t="s">
        <v>413</v>
      </c>
      <c r="E359" s="20" t="str">
        <f t="shared" si="26"/>
        <v/>
      </c>
      <c r="F359" s="21" t="str">
        <f>IF(OR(E359="",E359="!!!"),"",IF(NOT(ISNA(VLOOKUP(E359,E$1:E358,1,FALSE()))),"OLD",IF(AND(E359&lt;&gt;"",E359&lt;&gt;"!!!"),"NEW","")))</f>
        <v/>
      </c>
      <c r="G359" s="22" t="str">
        <f>IF(OR(E359="",E359="!!!"),"",IF(OR(J359=0,AND(J359=1,K359=1),AND(J359=1,I359="SBJ"),AND(J359=1,I359=0)),"?IN_FOCUS",IF(J359&lt;=2,"?ACTIVATED",IF(J359&lt;&gt;"","?FAMILIAR",IF(F359="NEW",IF(ISNA(VLOOKUP(E359,#REF!,1,FALSE())),"?TYPE_IDENTIFIABLE","?REFERENTIAL"),"_")))))</f>
        <v/>
      </c>
      <c r="H359" s="23" t="str">
        <f t="shared" ca="1" si="27"/>
        <v/>
      </c>
      <c r="I359" s="24" t="str">
        <f>IF(OR(E359="",E359="!!!",F359="NEW"),"",INDEX(B$2:B358,-1+SUMPRODUCT(MAX(ROW(E$2:E358)*(E359=E$2:E358)))))</f>
        <v/>
      </c>
      <c r="J359" s="24" t="str">
        <f ca="1">IF(OR(E359="",E359="!!!",F359="NEW"),"",COUNTBLANK(OFFSET(A$1,,,SUMPRODUCT(MAX(ROW(E$2:E359)*(E359=E$2:E359)))))-COUNTBLANK(OFFSET(A$1,,,SUMPRODUCT(MAX(ROW(E$1:E358)*(E2=E$1:E358))))))</f>
        <v/>
      </c>
      <c r="K359" s="24" t="str">
        <f>IF(OR(E359="",E359="!!!",F359="NEW"),"",INDEX(J$1:J358,SUMPRODUCT(MAX(ROW(E$1:E358)*(E359=E$1:E358)))))</f>
        <v/>
      </c>
      <c r="L359" s="25"/>
    </row>
    <row r="360" spans="1:12" x14ac:dyDescent="0.3">
      <c r="A360" t="s">
        <v>414</v>
      </c>
      <c r="B360" s="26" t="s">
        <v>250</v>
      </c>
      <c r="C360" s="26" t="s">
        <v>230</v>
      </c>
      <c r="D360" s="26" t="s">
        <v>215</v>
      </c>
      <c r="E360" s="20"/>
      <c r="F360" s="21" t="s">
        <v>695</v>
      </c>
      <c r="G360" s="22" t="str">
        <f>IF(OR(E360="",E360="!!!"),"",IF(OR(J360=0,AND(J360=1,K360=1),AND(J360=1,I360="SBJ"),AND(J360=1,I360=0)),"?IN_FOCUS",IF(J360&lt;=2,"?ACTIVATED",IF(J360&lt;&gt;"","?FAMILIAR",IF(F360="NEW",IF(ISNA(VLOOKUP(E360,#REF!,1,FALSE())),"?TYPE_IDENTIFIABLE","?REFERENTIAL"),"_")))))</f>
        <v/>
      </c>
      <c r="H360" s="23" t="str">
        <f t="shared" ca="1" si="27"/>
        <v/>
      </c>
      <c r="I360" s="24" t="str">
        <f>IF(OR(E360="",E360="!!!",F360="NEW"),"",INDEX(B$2:B359,-1+SUMPRODUCT(MAX(ROW(E$2:E359)*(E360=E$2:E359)))))</f>
        <v/>
      </c>
      <c r="J360" s="24" t="str">
        <f ca="1">IF(OR(E360="",E360="!!!",F360="NEW"),"",COUNTBLANK(OFFSET(A$1,,,SUMPRODUCT(MAX(ROW(E$2:E360)*(E360=E$2:E360)))))-COUNTBLANK(OFFSET(A$1,,,SUMPRODUCT(MAX(ROW(E$1:E359)*(E2=E$1:E359))))))</f>
        <v/>
      </c>
      <c r="K360" s="24" t="str">
        <f>IF(OR(E360="",E360="!!!",F360="NEW"),"",INDEX(J$1:J359,SUMPRODUCT(MAX(ROW(E$1:E359)*(E360=E$1:E359)))))</f>
        <v/>
      </c>
      <c r="L360" s="25"/>
    </row>
    <row r="361" spans="1:12" x14ac:dyDescent="0.3">
      <c r="A361" t="s">
        <v>217</v>
      </c>
      <c r="E361" s="20" t="str">
        <f t="shared" si="26"/>
        <v/>
      </c>
      <c r="F361" s="21" t="str">
        <f>IF(OR(E361="",E361="!!!"),"",IF(NOT(ISNA(VLOOKUP(E361,E$1:E360,1,FALSE()))),"OLD",IF(AND(E361&lt;&gt;"",E361&lt;&gt;"!!!"),"NEW","")))</f>
        <v/>
      </c>
      <c r="G361" s="22" t="str">
        <f>IF(OR(E361="",E361="!!!"),"",IF(OR(J361=0,AND(J361=1,K361=1),AND(J361=1,I361="SBJ"),AND(J361=1,I361=0)),"?IN_FOCUS",IF(J361&lt;=2,"?ACTIVATED",IF(J361&lt;&gt;"","?FAMILIAR",IF(F361="NEW",IF(ISNA(VLOOKUP(E361,#REF!,1,FALSE())),"?TYPE_IDENTIFIABLE","?REFERENTIAL"),"_")))))</f>
        <v/>
      </c>
      <c r="H361" s="23" t="str">
        <f t="shared" ca="1" si="27"/>
        <v/>
      </c>
      <c r="I361" s="24" t="str">
        <f>IF(OR(E361="",E361="!!!",F361="NEW"),"",INDEX(B$2:B360,-1+SUMPRODUCT(MAX(ROW(E$2:E360)*(E361=E$2:E360)))))</f>
        <v/>
      </c>
      <c r="J361" s="24" t="str">
        <f ca="1">IF(OR(E361="",E361="!!!",F361="NEW"),"",COUNTBLANK(OFFSET(A$1,,,SUMPRODUCT(MAX(ROW(E$2:E361)*(E361=E$2:E361)))))-COUNTBLANK(OFFSET(A$1,,,SUMPRODUCT(MAX(ROW(E$1:E360)*(E2=E$1:E360))))))</f>
        <v/>
      </c>
      <c r="K361" s="24" t="str">
        <f>IF(OR(E361="",E361="!!!",F361="NEW"),"",INDEX(J$1:J360,SUMPRODUCT(MAX(ROW(E$1:E360)*(E361=E$1:E360)))))</f>
        <v/>
      </c>
      <c r="L361" s="25"/>
    </row>
    <row r="362" spans="1:12" x14ac:dyDescent="0.3">
      <c r="A362" t="s">
        <v>282</v>
      </c>
      <c r="E362" s="20" t="str">
        <f t="shared" si="26"/>
        <v/>
      </c>
      <c r="F362" s="21" t="str">
        <f>IF(OR(E362="",E362="!!!"),"",IF(NOT(ISNA(VLOOKUP(E362,E$1:E361,1,FALSE()))),"OLD",IF(AND(E362&lt;&gt;"",E362&lt;&gt;"!!!"),"NEW","")))</f>
        <v/>
      </c>
      <c r="G362" s="22" t="str">
        <f>IF(OR(E362="",E362="!!!"),"",IF(OR(J362=0,AND(J362=1,K362=1),AND(J362=1,I362="SBJ"),AND(J362=1,I362=0)),"?IN_FOCUS",IF(J362&lt;=2,"?ACTIVATED",IF(J362&lt;&gt;"","?FAMILIAR",IF(F362="NEW",IF(ISNA(VLOOKUP(E362,#REF!,1,FALSE())),"?TYPE_IDENTIFIABLE","?REFERENTIAL"),"_")))))</f>
        <v/>
      </c>
      <c r="H362" s="23" t="str">
        <f t="shared" ca="1" si="27"/>
        <v/>
      </c>
      <c r="I362" s="24" t="str">
        <f>IF(OR(E362="",E362="!!!",F362="NEW"),"",INDEX(B$2:B361,-1+SUMPRODUCT(MAX(ROW(E$2:E361)*(E362=E$2:E361)))))</f>
        <v/>
      </c>
      <c r="J362" s="24" t="str">
        <f ca="1">IF(OR(E362="",E362="!!!",F362="NEW"),"",COUNTBLANK(OFFSET(A$1,,,SUMPRODUCT(MAX(ROW(E$2:E362)*(E362=E$2:E362)))))-COUNTBLANK(OFFSET(A$1,,,SUMPRODUCT(MAX(ROW(E$1:E361)*(E2=E$1:E361))))))</f>
        <v/>
      </c>
      <c r="K362" s="24" t="str">
        <f>IF(OR(E362="",E362="!!!",F362="NEW"),"",INDEX(J$1:J361,SUMPRODUCT(MAX(ROW(E$1:E361)*(E362=E$1:E361)))))</f>
        <v/>
      </c>
      <c r="L362" s="25"/>
    </row>
    <row r="363" spans="1:12" x14ac:dyDescent="0.3">
      <c r="A363" t="s">
        <v>415</v>
      </c>
      <c r="E363" s="20" t="str">
        <f t="shared" si="26"/>
        <v/>
      </c>
      <c r="F363" s="21" t="str">
        <f>IF(OR(E363="",E363="!!!"),"",IF(NOT(ISNA(VLOOKUP(E363,E$1:E362,1,FALSE()))),"OLD",IF(AND(E363&lt;&gt;"",E363&lt;&gt;"!!!"),"NEW","")))</f>
        <v/>
      </c>
      <c r="G363" s="22" t="str">
        <f>IF(OR(E363="",E363="!!!"),"",IF(OR(J363=0,AND(J363=1,K363=1),AND(J363=1,I363="SBJ"),AND(J363=1,I363=0)),"?IN_FOCUS",IF(J363&lt;=2,"?ACTIVATED",IF(J363&lt;&gt;"","?FAMILIAR",IF(F363="NEW",IF(ISNA(VLOOKUP(E363,#REF!,1,FALSE())),"?TYPE_IDENTIFIABLE","?REFERENTIAL"),"_")))))</f>
        <v/>
      </c>
      <c r="H363" s="23" t="str">
        <f t="shared" ca="1" si="27"/>
        <v/>
      </c>
      <c r="I363" s="24" t="str">
        <f>IF(OR(E363="",E363="!!!",F363="NEW"),"",INDEX(B$2:B362,-1+SUMPRODUCT(MAX(ROW(E$2:E362)*(E363=E$2:E362)))))</f>
        <v/>
      </c>
      <c r="J363" s="24" t="str">
        <f ca="1">IF(OR(E363="",E363="!!!",F363="NEW"),"",COUNTBLANK(OFFSET(A$1,,,SUMPRODUCT(MAX(ROW(E$2:E363)*(E363=E$2:E363)))))-COUNTBLANK(OFFSET(A$1,,,SUMPRODUCT(MAX(ROW(E$1:E362)*(E2=E$1:E362))))))</f>
        <v/>
      </c>
      <c r="K363" s="24" t="str">
        <f>IF(OR(E363="",E363="!!!",F363="NEW"),"",INDEX(J$1:J362,SUMPRODUCT(MAX(ROW(E$1:E362)*(E363=E$1:E362)))))</f>
        <v/>
      </c>
      <c r="L363" s="25"/>
    </row>
    <row r="364" spans="1:12" x14ac:dyDescent="0.3">
      <c r="A364" t="s">
        <v>416</v>
      </c>
      <c r="B364" s="26" t="s">
        <v>325</v>
      </c>
      <c r="C364" s="26" t="s">
        <v>226</v>
      </c>
      <c r="E364" s="20" t="str">
        <f t="shared" si="26"/>
        <v/>
      </c>
      <c r="F364" s="21" t="str">
        <f>IF(OR(E364="",E364="!!!"),"",IF(NOT(ISNA(VLOOKUP(E364,E$1:E363,1,FALSE()))),"OLD",IF(AND(E364&lt;&gt;"",E364&lt;&gt;"!!!"),"NEW","")))</f>
        <v/>
      </c>
      <c r="G364" s="22" t="str">
        <f>IF(OR(E364="",E364="!!!"),"",IF(OR(J364=0,AND(J364=1,K364=1),AND(J364=1,I364="SBJ"),AND(J364=1,I364=0)),"?IN_FOCUS",IF(J364&lt;=2,"?ACTIVATED",IF(J364&lt;&gt;"","?FAMILIAR",IF(F364="NEW",IF(ISNA(VLOOKUP(E364,#REF!,1,FALSE())),"?TYPE_IDENTIFIABLE","?REFERENTIAL"),"_")))))</f>
        <v/>
      </c>
      <c r="H364" s="23" t="str">
        <f t="shared" ca="1" si="27"/>
        <v/>
      </c>
      <c r="I364" s="24" t="str">
        <f>IF(OR(E364="",E364="!!!",F364="NEW"),"",INDEX(B$2:B363,-1+SUMPRODUCT(MAX(ROW(E$2:E363)*(E364=E$2:E363)))))</f>
        <v/>
      </c>
      <c r="J364" s="24" t="str">
        <f ca="1">IF(OR(E364="",E364="!!!",F364="NEW"),"",COUNTBLANK(OFFSET(A$1,,,SUMPRODUCT(MAX(ROW(E$2:E364)*(E364=E$2:E364)))))-COUNTBLANK(OFFSET(A$1,,,SUMPRODUCT(MAX(ROW(E$1:E363)*(E2=E$1:E363))))))</f>
        <v/>
      </c>
      <c r="K364" s="24" t="str">
        <f>IF(OR(E364="",E364="!!!",F364="NEW"),"",INDEX(J$1:J363,SUMPRODUCT(MAX(ROW(E$1:E363)*(E364=E$1:E363)))))</f>
        <v/>
      </c>
      <c r="L364" s="25"/>
    </row>
    <row r="365" spans="1:12" x14ac:dyDescent="0.3">
      <c r="A365" t="s">
        <v>287</v>
      </c>
      <c r="E365" s="20" t="str">
        <f t="shared" si="26"/>
        <v/>
      </c>
      <c r="F365" s="21" t="str">
        <f>IF(OR(E365="",E365="!!!"),"",IF(NOT(ISNA(VLOOKUP(E365,E$1:E364,1,FALSE()))),"OLD",IF(AND(E365&lt;&gt;"",E365&lt;&gt;"!!!"),"NEW","")))</f>
        <v/>
      </c>
      <c r="G365" s="22" t="str">
        <f>IF(OR(E365="",E365="!!!"),"",IF(OR(J365=0,AND(J365=1,K365=1),AND(J365=1,I365="SBJ"),AND(J365=1,I365=0)),"?IN_FOCUS",IF(J365&lt;=2,"?ACTIVATED",IF(J365&lt;&gt;"","?FAMILIAR",IF(F365="NEW",IF(ISNA(VLOOKUP(E365,#REF!,1,FALSE())),"?TYPE_IDENTIFIABLE","?REFERENTIAL"),"_")))))</f>
        <v/>
      </c>
      <c r="H365" s="23" t="str">
        <f t="shared" ca="1" si="27"/>
        <v/>
      </c>
      <c r="I365" s="24" t="str">
        <f>IF(OR(E365="",E365="!!!",F365="NEW"),"",INDEX(B$2:B364,-1+SUMPRODUCT(MAX(ROW(E$2:E364)*(E365=E$2:E364)))))</f>
        <v/>
      </c>
      <c r="J365" s="24" t="str">
        <f ca="1">IF(OR(E365="",E365="!!!",F365="NEW"),"",COUNTBLANK(OFFSET(A$1,,,SUMPRODUCT(MAX(ROW(E$2:E365)*(E365=E$2:E365)))))-COUNTBLANK(OFFSET(A$1,,,SUMPRODUCT(MAX(ROW(E$1:E364)*(E2=E$1:E364))))))</f>
        <v/>
      </c>
      <c r="K365" s="24" t="str">
        <f>IF(OR(E365="",E365="!!!",F365="NEW"),"",INDEX(J$1:J364,SUMPRODUCT(MAX(ROW(E$1:E364)*(E365=E$1:E364)))))</f>
        <v/>
      </c>
      <c r="L365" s="25"/>
    </row>
    <row r="366" spans="1:12" x14ac:dyDescent="0.3">
      <c r="A366" t="s">
        <v>417</v>
      </c>
      <c r="B366" s="26" t="s">
        <v>266</v>
      </c>
      <c r="C366" s="26" t="s">
        <v>226</v>
      </c>
      <c r="E366" s="20" t="str">
        <f t="shared" si="26"/>
        <v/>
      </c>
      <c r="F366" s="21" t="str">
        <f>IF(OR(E366="",E366="!!!"),"",IF(NOT(ISNA(VLOOKUP(E366,E$1:E365,1,FALSE()))),"OLD",IF(AND(E366&lt;&gt;"",E366&lt;&gt;"!!!"),"NEW","")))</f>
        <v/>
      </c>
      <c r="G366" s="22" t="str">
        <f>IF(OR(E366="",E366="!!!"),"",IF(OR(J366=0,AND(J366=1,K366=1),AND(J366=1,I366="SBJ"),AND(J366=1,I366=0)),"?IN_FOCUS",IF(J366&lt;=2,"?ACTIVATED",IF(J366&lt;&gt;"","?FAMILIAR",IF(F366="NEW",IF(ISNA(VLOOKUP(E366,#REF!,1,FALSE())),"?TYPE_IDENTIFIABLE","?REFERENTIAL"),"_")))))</f>
        <v/>
      </c>
      <c r="H366" s="23" t="str">
        <f t="shared" ca="1" si="27"/>
        <v/>
      </c>
      <c r="I366" s="24" t="str">
        <f>IF(OR(E366="",E366="!!!",F366="NEW"),"",INDEX(B$2:B365,-1+SUMPRODUCT(MAX(ROW(E$2:E365)*(E366=E$2:E365)))))</f>
        <v/>
      </c>
      <c r="J366" s="24" t="str">
        <f ca="1">IF(OR(E366="",E366="!!!",F366="NEW"),"",COUNTBLANK(OFFSET(A$1,,,SUMPRODUCT(MAX(ROW(E$2:E366)*(E366=E$2:E366)))))-COUNTBLANK(OFFSET(A$1,,,SUMPRODUCT(MAX(ROW(E$1:E365)*(E2=E$1:E365))))))</f>
        <v/>
      </c>
      <c r="K366" s="24" t="str">
        <f>IF(OR(E366="",E366="!!!",F366="NEW"),"",INDEX(J$1:J365,SUMPRODUCT(MAX(ROW(E$1:E365)*(E366=E$1:E365)))))</f>
        <v/>
      </c>
      <c r="L366" s="25"/>
    </row>
    <row r="367" spans="1:12" x14ac:dyDescent="0.3">
      <c r="A367" t="s">
        <v>287</v>
      </c>
      <c r="E367" s="20" t="str">
        <f t="shared" si="26"/>
        <v/>
      </c>
      <c r="F367" s="21" t="str">
        <f>IF(OR(E367="",E367="!!!"),"",IF(NOT(ISNA(VLOOKUP(E367,E$1:E366,1,FALSE()))),"OLD",IF(AND(E367&lt;&gt;"",E367&lt;&gt;"!!!"),"NEW","")))</f>
        <v/>
      </c>
      <c r="G367" s="22" t="str">
        <f>IF(OR(E367="",E367="!!!"),"",IF(OR(J367=0,AND(J367=1,K367=1),AND(J367=1,I367="SBJ"),AND(J367=1,I367=0)),"?IN_FOCUS",IF(J367&lt;=2,"?ACTIVATED",IF(J367&lt;&gt;"","?FAMILIAR",IF(F367="NEW",IF(ISNA(VLOOKUP(E367,#REF!,1,FALSE())),"?TYPE_IDENTIFIABLE","?REFERENTIAL"),"_")))))</f>
        <v/>
      </c>
      <c r="H367" s="23" t="str">
        <f t="shared" ca="1" si="27"/>
        <v/>
      </c>
      <c r="I367" s="24" t="str">
        <f>IF(OR(E367="",E367="!!!",F367="NEW"),"",INDEX(B$2:B366,-1+SUMPRODUCT(MAX(ROW(E$2:E366)*(E367=E$2:E366)))))</f>
        <v/>
      </c>
      <c r="J367" s="24" t="str">
        <f ca="1">IF(OR(E367="",E367="!!!",F367="NEW"),"",COUNTBLANK(OFFSET(A$1,,,SUMPRODUCT(MAX(ROW(E$2:E367)*(E367=E$2:E367)))))-COUNTBLANK(OFFSET(A$1,,,SUMPRODUCT(MAX(ROW(E$1:E366)*(E2=E$1:E366))))))</f>
        <v/>
      </c>
      <c r="K367" s="24" t="str">
        <f>IF(OR(E367="",E367="!!!",F367="NEW"),"",INDEX(J$1:J366,SUMPRODUCT(MAX(ROW(E$1:E366)*(E367=E$1:E366)))))</f>
        <v/>
      </c>
      <c r="L367" s="25"/>
    </row>
    <row r="368" spans="1:12" x14ac:dyDescent="0.3">
      <c r="A368" t="s">
        <v>418</v>
      </c>
      <c r="B368" s="26" t="s">
        <v>266</v>
      </c>
      <c r="C368" s="26" t="s">
        <v>226</v>
      </c>
      <c r="E368" s="20" t="str">
        <f t="shared" si="26"/>
        <v/>
      </c>
      <c r="F368" s="21" t="str">
        <f>IF(OR(E368="",E368="!!!"),"",IF(NOT(ISNA(VLOOKUP(E368,E$1:E367,1,FALSE()))),"OLD",IF(AND(E368&lt;&gt;"",E368&lt;&gt;"!!!"),"NEW","")))</f>
        <v/>
      </c>
      <c r="G368" s="22" t="str">
        <f>IF(OR(E368="",E368="!!!"),"",IF(OR(J368=0,AND(J368=1,K368=1),AND(J368=1,I368="SBJ"),AND(J368=1,I368=0)),"?IN_FOCUS",IF(J368&lt;=2,"?ACTIVATED",IF(J368&lt;&gt;"","?FAMILIAR",IF(F368="NEW",IF(ISNA(VLOOKUP(E368,#REF!,1,FALSE())),"?TYPE_IDENTIFIABLE","?REFERENTIAL"),"_")))))</f>
        <v/>
      </c>
      <c r="H368" s="23" t="str">
        <f t="shared" ca="1" si="27"/>
        <v/>
      </c>
      <c r="I368" s="24" t="str">
        <f>IF(OR(E368="",E368="!!!",F368="NEW"),"",INDEX(B$2:B367,-1+SUMPRODUCT(MAX(ROW(E$2:E367)*(E368=E$2:E367)))))</f>
        <v/>
      </c>
      <c r="J368" s="24" t="str">
        <f ca="1">IF(OR(E368="",E368="!!!",F368="NEW"),"",COUNTBLANK(OFFSET(A$1,,,SUMPRODUCT(MAX(ROW(E$2:E368)*(E368=E$2:E368)))))-COUNTBLANK(OFFSET(A$1,,,SUMPRODUCT(MAX(ROW(E$1:E367)*(E2=E$1:E367))))))</f>
        <v/>
      </c>
      <c r="K368" s="24" t="str">
        <f>IF(OR(E368="",E368="!!!",F368="NEW"),"",INDEX(J$1:J367,SUMPRODUCT(MAX(ROW(E$1:E367)*(E368=E$1:E367)))))</f>
        <v/>
      </c>
      <c r="L368" s="25"/>
    </row>
    <row r="369" spans="1:12" x14ac:dyDescent="0.3">
      <c r="A369" t="s">
        <v>207</v>
      </c>
      <c r="E369" s="20" t="str">
        <f t="shared" si="26"/>
        <v/>
      </c>
      <c r="F369" s="21" t="str">
        <f>IF(OR(E369="",E369="!!!"),"",IF(NOT(ISNA(VLOOKUP(E369,E$1:E368,1,FALSE()))),"OLD",IF(AND(E369&lt;&gt;"",E369&lt;&gt;"!!!"),"NEW","")))</f>
        <v/>
      </c>
      <c r="G369" s="22" t="str">
        <f>IF(OR(E369="",E369="!!!"),"",IF(OR(J369=0,AND(J369=1,K369=1),AND(J369=1,I369="SBJ"),AND(J369=1,I369=0)),"?IN_FOCUS",IF(J369&lt;=2,"?ACTIVATED",IF(J369&lt;&gt;"","?FAMILIAR",IF(F369="NEW",IF(ISNA(VLOOKUP(E369,#REF!,1,FALSE())),"?TYPE_IDENTIFIABLE","?REFERENTIAL"),"_")))))</f>
        <v/>
      </c>
      <c r="H369" s="23" t="str">
        <f t="shared" ca="1" si="27"/>
        <v/>
      </c>
      <c r="I369" s="24" t="str">
        <f>IF(OR(E369="",E369="!!!",F369="NEW"),"",INDEX(B$2:B368,-1+SUMPRODUCT(MAX(ROW(E$2:E368)*(E369=E$2:E368)))))</f>
        <v/>
      </c>
      <c r="J369" s="24" t="str">
        <f ca="1">IF(OR(E369="",E369="!!!",F369="NEW"),"",COUNTBLANK(OFFSET(A$1,,,SUMPRODUCT(MAX(ROW(E$2:E369)*(E369=E$2:E369)))))-COUNTBLANK(OFFSET(A$1,,,SUMPRODUCT(MAX(ROW(E$1:E368)*(E2=E$1:E368))))))</f>
        <v/>
      </c>
      <c r="K369" s="24" t="str">
        <f>IF(OR(E369="",E369="!!!",F369="NEW"),"",INDEX(J$1:J368,SUMPRODUCT(MAX(ROW(E$1:E368)*(E369=E$1:E368)))))</f>
        <v/>
      </c>
      <c r="L369" s="25"/>
    </row>
    <row r="370" spans="1:12" x14ac:dyDescent="0.3">
      <c r="A370" t="s">
        <v>287</v>
      </c>
      <c r="E370" s="20" t="str">
        <f t="shared" si="26"/>
        <v/>
      </c>
      <c r="F370" s="21" t="str">
        <f>IF(OR(E370="",E370="!!!"),"",IF(NOT(ISNA(VLOOKUP(E370,E$1:E369,1,FALSE()))),"OLD",IF(AND(E370&lt;&gt;"",E370&lt;&gt;"!!!"),"NEW","")))</f>
        <v/>
      </c>
      <c r="G370" s="22" t="str">
        <f>IF(OR(E370="",E370="!!!"),"",IF(OR(J370=0,AND(J370=1,K370=1),AND(J370=1,I370="SBJ"),AND(J370=1,I370=0)),"?IN_FOCUS",IF(J370&lt;=2,"?ACTIVATED",IF(J370&lt;&gt;"","?FAMILIAR",IF(F370="NEW",IF(ISNA(VLOOKUP(E370,#REF!,1,FALSE())),"?TYPE_IDENTIFIABLE","?REFERENTIAL"),"_")))))</f>
        <v/>
      </c>
      <c r="H370" s="23" t="str">
        <f t="shared" ca="1" si="27"/>
        <v/>
      </c>
      <c r="I370" s="24" t="str">
        <f>IF(OR(E370="",E370="!!!",F370="NEW"),"",INDEX(B$2:B369,-1+SUMPRODUCT(MAX(ROW(E$2:E369)*(E370=E$2:E369)))))</f>
        <v/>
      </c>
      <c r="J370" s="24" t="str">
        <f ca="1">IF(OR(E370="",E370="!!!",F370="NEW"),"",COUNTBLANK(OFFSET(A$1,,,SUMPRODUCT(MAX(ROW(E$2:E370)*(E370=E$2:E370)))))-COUNTBLANK(OFFSET(A$1,,,SUMPRODUCT(MAX(ROW(E$1:E369)*(E2=E$1:E369))))))</f>
        <v/>
      </c>
      <c r="K370" s="24" t="str">
        <f>IF(OR(E370="",E370="!!!",F370="NEW"),"",INDEX(J$1:J369,SUMPRODUCT(MAX(ROW(E$1:E369)*(E370=E$1:E369)))))</f>
        <v/>
      </c>
      <c r="L370" s="25"/>
    </row>
    <row r="371" spans="1:12" x14ac:dyDescent="0.3">
      <c r="A371" t="s">
        <v>249</v>
      </c>
      <c r="E371" s="20" t="str">
        <f t="shared" si="26"/>
        <v/>
      </c>
      <c r="F371" s="21" t="str">
        <f>IF(OR(E371="",E371="!!!"),"",IF(NOT(ISNA(VLOOKUP(E371,E$1:E370,1,FALSE()))),"OLD",IF(AND(E371&lt;&gt;"",E371&lt;&gt;"!!!"),"NEW","")))</f>
        <v/>
      </c>
      <c r="G371" s="22" t="str">
        <f>IF(OR(E371="",E371="!!!"),"",IF(OR(J371=0,AND(J371=1,K371=1),AND(J371=1,I371="SBJ"),AND(J371=1,I371=0)),"?IN_FOCUS",IF(J371&lt;=2,"?ACTIVATED",IF(J371&lt;&gt;"","?FAMILIAR",IF(F371="NEW",IF(ISNA(VLOOKUP(E371,#REF!,1,FALSE())),"?TYPE_IDENTIFIABLE","?REFERENTIAL"),"_")))))</f>
        <v/>
      </c>
      <c r="H371" s="23" t="str">
        <f t="shared" ca="1" si="27"/>
        <v/>
      </c>
      <c r="I371" s="24" t="str">
        <f>IF(OR(E371="",E371="!!!",F371="NEW"),"",INDEX(B$2:B370,-1+SUMPRODUCT(MAX(ROW(E$2:E370)*(E371=E$2:E370)))))</f>
        <v/>
      </c>
      <c r="J371" s="24" t="str">
        <f ca="1">IF(OR(E371="",E371="!!!",F371="NEW"),"",COUNTBLANK(OFFSET(A$1,,,SUMPRODUCT(MAX(ROW(E$2:E371)*(E371=E$2:E371)))))-COUNTBLANK(OFFSET(A$1,,,SUMPRODUCT(MAX(ROW(E$1:E370)*(E2=E$1:E370))))))</f>
        <v/>
      </c>
      <c r="K371" s="24" t="str">
        <f>IF(OR(E371="",E371="!!!",F371="NEW"),"",INDEX(J$1:J370,SUMPRODUCT(MAX(ROW(E$1:E370)*(E371=E$1:E370)))))</f>
        <v/>
      </c>
      <c r="L371" s="25"/>
    </row>
    <row r="372" spans="1:12" x14ac:dyDescent="0.3">
      <c r="A372" t="s">
        <v>419</v>
      </c>
      <c r="B372" s="26" t="s">
        <v>420</v>
      </c>
      <c r="C372" s="26" t="s">
        <v>226</v>
      </c>
      <c r="E372" s="20" t="str">
        <f t="shared" si="26"/>
        <v/>
      </c>
      <c r="F372" s="21" t="str">
        <f>IF(OR(E372="",E372="!!!"),"",IF(NOT(ISNA(VLOOKUP(E372,E$1:E371,1,FALSE()))),"OLD",IF(AND(E372&lt;&gt;"",E372&lt;&gt;"!!!"),"NEW","")))</f>
        <v/>
      </c>
      <c r="G372" s="22" t="str">
        <f>IF(OR(E372="",E372="!!!"),"",IF(OR(J372=0,AND(J372=1,K372=1),AND(J372=1,I372="SBJ"),AND(J372=1,I372=0)),"?IN_FOCUS",IF(J372&lt;=2,"?ACTIVATED",IF(J372&lt;&gt;"","?FAMILIAR",IF(F372="NEW",IF(ISNA(VLOOKUP(E372,#REF!,1,FALSE())),"?TYPE_IDENTIFIABLE","?REFERENTIAL"),"_")))))</f>
        <v/>
      </c>
      <c r="H372" s="23" t="str">
        <f t="shared" ca="1" si="27"/>
        <v/>
      </c>
      <c r="I372" s="24" t="str">
        <f>IF(OR(E372="",E372="!!!",F372="NEW"),"",INDEX(B$2:B371,-1+SUMPRODUCT(MAX(ROW(E$2:E371)*(E372=E$2:E371)))))</f>
        <v/>
      </c>
      <c r="J372" s="24" t="str">
        <f ca="1">IF(OR(E372="",E372="!!!",F372="NEW"),"",COUNTBLANK(OFFSET(A$1,,,SUMPRODUCT(MAX(ROW(E$2:E372)*(E372=E$2:E372)))))-COUNTBLANK(OFFSET(A$1,,,SUMPRODUCT(MAX(ROW(E$1:E371)*(E2=E$1:E371))))))</f>
        <v/>
      </c>
      <c r="K372" s="24" t="str">
        <f>IF(OR(E372="",E372="!!!",F372="NEW"),"",INDEX(J$1:J371,SUMPRODUCT(MAX(ROW(E$1:E371)*(E372=E$1:E371)))))</f>
        <v/>
      </c>
      <c r="L372" s="25"/>
    </row>
    <row r="373" spans="1:12" x14ac:dyDescent="0.3">
      <c r="A373" t="s">
        <v>421</v>
      </c>
      <c r="E373" s="20" t="str">
        <f t="shared" si="26"/>
        <v/>
      </c>
      <c r="F373" s="21" t="str">
        <f>IF(OR(E373="",E373="!!!"),"",IF(NOT(ISNA(VLOOKUP(E373,E$1:E372,1,FALSE()))),"OLD",IF(AND(E373&lt;&gt;"",E373&lt;&gt;"!!!"),"NEW","")))</f>
        <v/>
      </c>
      <c r="G373" s="22" t="str">
        <f>IF(OR(E373="",E373="!!!"),"",IF(OR(J373=0,AND(J373=1,K373=1),AND(J373=1,I373="SBJ"),AND(J373=1,I373=0)),"?IN_FOCUS",IF(J373&lt;=2,"?ACTIVATED",IF(J373&lt;&gt;"","?FAMILIAR",IF(F373="NEW",IF(ISNA(VLOOKUP(E373,#REF!,1,FALSE())),"?TYPE_IDENTIFIABLE","?REFERENTIAL"),"_")))))</f>
        <v/>
      </c>
      <c r="H373" s="23" t="str">
        <f t="shared" ca="1" si="27"/>
        <v/>
      </c>
      <c r="I373" s="24" t="str">
        <f>IF(OR(E373="",E373="!!!",F373="NEW"),"",INDEX(B$2:B372,-1+SUMPRODUCT(MAX(ROW(E$2:E372)*(E373=E$2:E372)))))</f>
        <v/>
      </c>
      <c r="J373" s="24" t="str">
        <f ca="1">IF(OR(E373="",E373="!!!",F373="NEW"),"",COUNTBLANK(OFFSET(A$1,,,SUMPRODUCT(MAX(ROW(E$2:E373)*(E373=E$2:E373)))))-COUNTBLANK(OFFSET(A$1,,,SUMPRODUCT(MAX(ROW(E$1:E372)*(E2=E$1:E372))))))</f>
        <v/>
      </c>
      <c r="K373" s="24" t="str">
        <f>IF(OR(E373="",E373="!!!",F373="NEW"),"",INDEX(J$1:J372,SUMPRODUCT(MAX(ROW(E$1:E372)*(E373=E$1:E372)))))</f>
        <v/>
      </c>
      <c r="L373" s="25"/>
    </row>
    <row r="374" spans="1:12" x14ac:dyDescent="0.3">
      <c r="A374" t="s">
        <v>422</v>
      </c>
      <c r="E374" s="20" t="str">
        <f t="shared" si="26"/>
        <v/>
      </c>
      <c r="F374" s="21" t="str">
        <f>IF(OR(E374="",E374="!!!"),"",IF(NOT(ISNA(VLOOKUP(E374,E$1:E373,1,FALSE()))),"OLD",IF(AND(E374&lt;&gt;"",E374&lt;&gt;"!!!"),"NEW","")))</f>
        <v/>
      </c>
      <c r="G374" s="22" t="str">
        <f>IF(OR(E374="",E374="!!!"),"",IF(OR(J374=0,AND(J374=1,K374=1),AND(J374=1,I374="SBJ"),AND(J374=1,I374=0)),"?IN_FOCUS",IF(J374&lt;=2,"?ACTIVATED",IF(J374&lt;&gt;"","?FAMILIAR",IF(F374="NEW",IF(ISNA(VLOOKUP(E374,#REF!,1,FALSE())),"?TYPE_IDENTIFIABLE","?REFERENTIAL"),"_")))))</f>
        <v/>
      </c>
      <c r="H374" s="23" t="str">
        <f t="shared" ca="1" si="27"/>
        <v/>
      </c>
      <c r="I374" s="24" t="str">
        <f>IF(OR(E374="",E374="!!!",F374="NEW"),"",INDEX(B$2:B373,-1+SUMPRODUCT(MAX(ROW(E$2:E373)*(E374=E$2:E373)))))</f>
        <v/>
      </c>
      <c r="J374" s="24" t="str">
        <f ca="1">IF(OR(E374="",E374="!!!",F374="NEW"),"",COUNTBLANK(OFFSET(A$1,,,SUMPRODUCT(MAX(ROW(E$2:E374)*(E374=E$2:E374)))))-COUNTBLANK(OFFSET(A$1,,,SUMPRODUCT(MAX(ROW(E$1:E373)*(E2=E$1:E373))))))</f>
        <v/>
      </c>
      <c r="K374" s="24" t="str">
        <f>IF(OR(E374="",E374="!!!",F374="NEW"),"",INDEX(J$1:J373,SUMPRODUCT(MAX(ROW(E$1:E373)*(E374=E$1:E373)))))</f>
        <v/>
      </c>
      <c r="L374" s="25"/>
    </row>
    <row r="375" spans="1:12" x14ac:dyDescent="0.3">
      <c r="A375" t="s">
        <v>282</v>
      </c>
      <c r="E375" s="20" t="str">
        <f t="shared" si="26"/>
        <v/>
      </c>
      <c r="F375" s="21" t="str">
        <f>IF(OR(E375="",E375="!!!"),"",IF(NOT(ISNA(VLOOKUP(E375,E$1:E374,1,FALSE()))),"OLD",IF(AND(E375&lt;&gt;"",E375&lt;&gt;"!!!"),"NEW","")))</f>
        <v/>
      </c>
      <c r="G375" s="22" t="str">
        <f>IF(OR(E375="",E375="!!!"),"",IF(OR(J375=0,AND(J375=1,K375=1),AND(J375=1,I375="SBJ"),AND(J375=1,I375=0)),"?IN_FOCUS",IF(J375&lt;=2,"?ACTIVATED",IF(J375&lt;&gt;"","?FAMILIAR",IF(F375="NEW",IF(ISNA(VLOOKUP(E375,#REF!,1,FALSE())),"?TYPE_IDENTIFIABLE","?REFERENTIAL"),"_")))))</f>
        <v/>
      </c>
      <c r="H375" s="23" t="str">
        <f t="shared" ca="1" si="27"/>
        <v/>
      </c>
      <c r="I375" s="24" t="str">
        <f>IF(OR(E375="",E375="!!!",F375="NEW"),"",INDEX(B$2:B374,-1+SUMPRODUCT(MAX(ROW(E$2:E374)*(E375=E$2:E374)))))</f>
        <v/>
      </c>
      <c r="J375" s="24" t="str">
        <f ca="1">IF(OR(E375="",E375="!!!",F375="NEW"),"",COUNTBLANK(OFFSET(A$1,,,SUMPRODUCT(MAX(ROW(E$2:E375)*(E375=E$2:E375)))))-COUNTBLANK(OFFSET(A$1,,,SUMPRODUCT(MAX(ROW(E$1:E374)*(E2=E$1:E374))))))</f>
        <v/>
      </c>
      <c r="K375" s="24" t="str">
        <f>IF(OR(E375="",E375="!!!",F375="NEW"),"",INDEX(J$1:J374,SUMPRODUCT(MAX(ROW(E$1:E374)*(E375=E$1:E374)))))</f>
        <v/>
      </c>
      <c r="L375" s="25"/>
    </row>
    <row r="376" spans="1:12" x14ac:dyDescent="0.3">
      <c r="A376" t="s">
        <v>423</v>
      </c>
      <c r="B376" s="26" t="s">
        <v>269</v>
      </c>
      <c r="C376" s="26" t="s">
        <v>230</v>
      </c>
      <c r="D376" s="26" t="s">
        <v>215</v>
      </c>
      <c r="E376" s="20" t="s">
        <v>669</v>
      </c>
      <c r="F376" s="21" t="str">
        <f>IF(OR(E376="",E376="!!!"),"",IF(NOT(ISNA(VLOOKUP(E376,E$1:E375,1,FALSE()))),"OLD",IF(AND(E376&lt;&gt;"",E376&lt;&gt;"!!!"),"NEW","")))</f>
        <v>OLD</v>
      </c>
      <c r="G376" s="22" t="str">
        <f ca="1">IF(OR(E376="",E376="!!!"),"",IF(OR(J376=0,AND(J376=1,K376=1),AND(J376=1,I376="SBJ"),AND(J376=1,I376=0)),"?IN_FOCUS",IF(J376&lt;=2,"?ACTIVATED",IF(J376&lt;&gt;"","?FAMILIAR",IF(F376="NEW",IF(ISNA(VLOOKUP(E376,#REF!,1,FALSE())),"?TYPE_IDENTIFIABLE","?REFERENTIAL"),"_")))))</f>
        <v>?IN_FOCUS</v>
      </c>
      <c r="H376" s="23" t="str">
        <f t="shared" ca="1" si="27"/>
        <v/>
      </c>
      <c r="I376" s="24" t="str">
        <f>IF(OR(E376="",E376="!!!",F376="NEW"),"",INDEX(B$2:B375,-1+SUMPRODUCT(MAX(ROW(E$2:E375)*(E376=E$2:E375)))))</f>
        <v>SBJ_3</v>
      </c>
      <c r="J376" s="24">
        <f ca="1">IF(OR(E376="",E376="!!!",F376="NEW"),"",COUNTBLANK(OFFSET(A$1,,,SUMPRODUCT(MAX(ROW(E$2:E376)*(E376=E$2:E376)))))-COUNTBLANK(OFFSET(A$1,,,SUMPRODUCT(MAX(ROW(E$1:E375)*(E2=E$1:E375))))))</f>
        <v>0</v>
      </c>
      <c r="K376" s="24">
        <f ca="1">IF(OR(E376="",E376="!!!",F376="NEW"),"",INDEX(J$1:J375,SUMPRODUCT(MAX(ROW(E$1:E375)*(E376=E$1:E375)))))</f>
        <v>0</v>
      </c>
      <c r="L376" s="25"/>
    </row>
    <row r="377" spans="1:12" x14ac:dyDescent="0.3">
      <c r="A377" t="s">
        <v>274</v>
      </c>
      <c r="E377" s="20" t="str">
        <f t="shared" si="26"/>
        <v/>
      </c>
      <c r="F377" s="21" t="str">
        <f>IF(OR(E377="",E377="!!!"),"",IF(NOT(ISNA(VLOOKUP(E377,E$1:E376,1,FALSE()))),"OLD",IF(AND(E377&lt;&gt;"",E377&lt;&gt;"!!!"),"NEW","")))</f>
        <v/>
      </c>
      <c r="G377" s="22" t="str">
        <f>IF(OR(E377="",E377="!!!"),"",IF(OR(J377=0,AND(J377=1,K377=1),AND(J377=1,I377="SBJ"),AND(J377=1,I377=0)),"?IN_FOCUS",IF(J377&lt;=2,"?ACTIVATED",IF(J377&lt;&gt;"","?FAMILIAR",IF(F377="NEW",IF(ISNA(VLOOKUP(E377,#REF!,1,FALSE())),"?TYPE_IDENTIFIABLE","?REFERENTIAL"),"_")))))</f>
        <v/>
      </c>
      <c r="H377" s="23" t="str">
        <f t="shared" ca="1" si="27"/>
        <v/>
      </c>
      <c r="I377" s="24" t="str">
        <f>IF(OR(E377="",E377="!!!",F377="NEW"),"",INDEX(B$2:B376,-1+SUMPRODUCT(MAX(ROW(E$2:E376)*(E377=E$2:E376)))))</f>
        <v/>
      </c>
      <c r="J377" s="24" t="str">
        <f ca="1">IF(OR(E377="",E377="!!!",F377="NEW"),"",COUNTBLANK(OFFSET(A$1,,,SUMPRODUCT(MAX(ROW(E$2:E377)*(E377=E$2:E377)))))-COUNTBLANK(OFFSET(A$1,,,SUMPRODUCT(MAX(ROW(E$1:E376)*(E2=E$1:E376))))))</f>
        <v/>
      </c>
      <c r="K377" s="24" t="str">
        <f>IF(OR(E377="",E377="!!!",F377="NEW"),"",INDEX(J$1:J376,SUMPRODUCT(MAX(ROW(E$1:E376)*(E377=E$1:E376)))))</f>
        <v/>
      </c>
      <c r="L377" s="25"/>
    </row>
    <row r="378" spans="1:12" x14ac:dyDescent="0.3">
      <c r="A378" t="s">
        <v>424</v>
      </c>
      <c r="B378" s="26" t="s">
        <v>336</v>
      </c>
      <c r="C378" s="26" t="s">
        <v>380</v>
      </c>
      <c r="D378" s="26" t="s">
        <v>215</v>
      </c>
      <c r="E378" s="20" t="s">
        <v>669</v>
      </c>
      <c r="F378" s="21" t="str">
        <f>IF(OR(E378="",E378="!!!"),"",IF(NOT(ISNA(VLOOKUP(E378,E$1:E377,1,FALSE()))),"OLD",IF(AND(E378&lt;&gt;"",E378&lt;&gt;"!!!"),"NEW","")))</f>
        <v>OLD</v>
      </c>
      <c r="G378" s="22" t="str">
        <f ca="1">IF(OR(E378="",E378="!!!"),"",IF(OR(J378=0,AND(J378=1,K378=1),AND(J378=1,I378="SBJ"),AND(J378=1,I378=0)),"?IN_FOCUS",IF(J378&lt;=2,"?ACTIVATED",IF(J378&lt;&gt;"","?FAMILIAR",IF(F378="NEW",IF(ISNA(VLOOKUP(E378,#REF!,1,FALSE())),"?TYPE_IDENTIFIABLE","?REFERENTIAL"),"_")))))</f>
        <v>?IN_FOCUS</v>
      </c>
      <c r="H378" s="23" t="str">
        <f t="shared" ca="1" si="27"/>
        <v/>
      </c>
      <c r="I378" s="24" t="str">
        <f>IF(OR(E378="",E378="!!!",F378="NEW"),"",INDEX(B$2:B377,-1+SUMPRODUCT(MAX(ROW(E$2:E377)*(E378=E$2:E377)))))</f>
        <v>other_5</v>
      </c>
      <c r="J378" s="24">
        <f ca="1">IF(OR(E378="",E378="!!!",F378="NEW"),"",COUNTBLANK(OFFSET(A$1,,,SUMPRODUCT(MAX(ROW(E$2:E378)*(E378=E$2:E378)))))-COUNTBLANK(OFFSET(A$1,,,SUMPRODUCT(MAX(ROW(E$1:E377)*(E2=E$1:E377))))))</f>
        <v>0</v>
      </c>
      <c r="K378" s="24">
        <f ca="1">IF(OR(E378="",E378="!!!",F378="NEW"),"",INDEX(J$1:J377,SUMPRODUCT(MAX(ROW(E$1:E377)*(E378=E$1:E377)))))</f>
        <v>0</v>
      </c>
      <c r="L378" s="25"/>
    </row>
    <row r="379" spans="1:12" x14ac:dyDescent="0.3">
      <c r="A379" t="s">
        <v>425</v>
      </c>
      <c r="E379" s="20" t="str">
        <f t="shared" si="26"/>
        <v/>
      </c>
      <c r="F379" s="21" t="str">
        <f>IF(OR(E379="",E379="!!!"),"",IF(NOT(ISNA(VLOOKUP(E379,E$1:E378,1,FALSE()))),"OLD",IF(AND(E379&lt;&gt;"",E379&lt;&gt;"!!!"),"NEW","")))</f>
        <v/>
      </c>
      <c r="G379" s="22" t="str">
        <f>IF(OR(E379="",E379="!!!"),"",IF(OR(J379=0,AND(J379=1,K379=1),AND(J379=1,I379="SBJ"),AND(J379=1,I379=0)),"?IN_FOCUS",IF(J379&lt;=2,"?ACTIVATED",IF(J379&lt;&gt;"","?FAMILIAR",IF(F379="NEW",IF(ISNA(VLOOKUP(E379,#REF!,1,FALSE())),"?TYPE_IDENTIFIABLE","?REFERENTIAL"),"_")))))</f>
        <v/>
      </c>
      <c r="H379" s="23" t="str">
        <f t="shared" ca="1" si="27"/>
        <v/>
      </c>
      <c r="I379" s="24" t="str">
        <f>IF(OR(E379="",E379="!!!",F379="NEW"),"",INDEX(B$2:B378,-1+SUMPRODUCT(MAX(ROW(E$2:E378)*(E379=E$2:E378)))))</f>
        <v/>
      </c>
      <c r="J379" s="24" t="str">
        <f ca="1">IF(OR(E379="",E379="!!!",F379="NEW"),"",COUNTBLANK(OFFSET(A$1,,,SUMPRODUCT(MAX(ROW(E$2:E379)*(E379=E$2:E379)))))-COUNTBLANK(OFFSET(A$1,,,SUMPRODUCT(MAX(ROW(E$1:E378)*(E2=E$1:E378))))))</f>
        <v/>
      </c>
      <c r="K379" s="24" t="str">
        <f>IF(OR(E379="",E379="!!!",F379="NEW"),"",INDEX(J$1:J378,SUMPRODUCT(MAX(ROW(E$1:E378)*(E379=E$1:E378)))))</f>
        <v/>
      </c>
      <c r="L379" s="25"/>
    </row>
    <row r="380" spans="1:12" x14ac:dyDescent="0.3">
      <c r="A380" t="s">
        <v>426</v>
      </c>
      <c r="B380" s="26" t="s">
        <v>269</v>
      </c>
      <c r="C380" s="26" t="s">
        <v>264</v>
      </c>
      <c r="D380" s="26" t="s">
        <v>215</v>
      </c>
      <c r="E380" s="20" t="s">
        <v>696</v>
      </c>
      <c r="F380" s="21" t="str">
        <f>IF(OR(E380="",E380="!!!"),"",IF(NOT(ISNA(VLOOKUP(E380,E$1:E379,1,FALSE()))),"OLD",IF(AND(E380&lt;&gt;"",E380&lt;&gt;"!!!"),"NEW","")))</f>
        <v>NEW</v>
      </c>
      <c r="G380" s="22" t="str">
        <f ca="1">IF(OR(E380="",E380="!!!"),"",IF(OR(J380=0,AND(J380=1,K380=1),AND(J380=1,I380="SBJ"),AND(J380=1,I380=0)),"?IN_FOCUS",IF(J380&lt;=2,"?ACTIVATED",IF(J380&lt;&gt;"","?FAMILIAR",IF(F380="NEW",IF(ISNA(VLOOKUP(E380,#REF!,1,FALSE())),"?TYPE_IDENTIFIABLE","?REFERENTIAL"),"_")))))</f>
        <v>?REFERENTIAL</v>
      </c>
      <c r="H380" s="23" t="str">
        <f t="shared" ca="1" si="27"/>
        <v/>
      </c>
      <c r="I380" s="24" t="str">
        <f>IF(OR(E380="",E380="!!!",F380="NEW"),"",INDEX(B$2:B379,-1+SUMPRODUCT(MAX(ROW(E$2:E379)*(E380=E$2:E379)))))</f>
        <v/>
      </c>
      <c r="J380" s="24" t="str">
        <f ca="1">IF(OR(E380="",E380="!!!",F380="NEW"),"",COUNTBLANK(OFFSET(A$1,,,SUMPRODUCT(MAX(ROW(E$2:E380)*(E380=E$2:E380)))))-COUNTBLANK(OFFSET(A$1,,,SUMPRODUCT(MAX(ROW(E$1:E379)*(E2=E$1:E379))))))</f>
        <v/>
      </c>
      <c r="K380" s="24" t="str">
        <f>IF(OR(E380="",E380="!!!",F380="NEW"),"",INDEX(J$1:J379,SUMPRODUCT(MAX(ROW(E$1:E379)*(E380=E$1:E379)))))</f>
        <v/>
      </c>
      <c r="L380" s="25"/>
    </row>
    <row r="381" spans="1:12" x14ac:dyDescent="0.3">
      <c r="A381" t="s">
        <v>234</v>
      </c>
      <c r="E381" s="20" t="str">
        <f t="shared" si="26"/>
        <v/>
      </c>
      <c r="F381" s="21" t="str">
        <f>IF(OR(E381="",E381="!!!"),"",IF(NOT(ISNA(VLOOKUP(E381,E$1:E380,1,FALSE()))),"OLD",IF(AND(E381&lt;&gt;"",E381&lt;&gt;"!!!"),"NEW","")))</f>
        <v/>
      </c>
      <c r="G381" s="22" t="str">
        <f>IF(OR(E381="",E381="!!!"),"",IF(OR(J381=0,AND(J381=1,K381=1),AND(J381=1,I381="SBJ"),AND(J381=1,I381=0)),"?IN_FOCUS",IF(J381&lt;=2,"?ACTIVATED",IF(J381&lt;&gt;"","?FAMILIAR",IF(F381="NEW",IF(ISNA(VLOOKUP(E381,#REF!,1,FALSE())),"?TYPE_IDENTIFIABLE","?REFERENTIAL"),"_")))))</f>
        <v/>
      </c>
      <c r="H381" s="23" t="str">
        <f t="shared" ca="1" si="27"/>
        <v/>
      </c>
      <c r="I381" s="24" t="str">
        <f>IF(OR(E381="",E381="!!!",F381="NEW"),"",INDEX(B$2:B380,-1+SUMPRODUCT(MAX(ROW(E$2:E380)*(E381=E$2:E380)))))</f>
        <v/>
      </c>
      <c r="J381" s="24" t="str">
        <f ca="1">IF(OR(E381="",E381="!!!",F381="NEW"),"",COUNTBLANK(OFFSET(A$1,,,SUMPRODUCT(MAX(ROW(E$2:E381)*(E381=E$2:E381)))))-COUNTBLANK(OFFSET(A$1,,,SUMPRODUCT(MAX(ROW(E$1:E380)*(E2=E$1:E380))))))</f>
        <v/>
      </c>
      <c r="K381" s="24" t="str">
        <f>IF(OR(E381="",E381="!!!",F381="NEW"),"",INDEX(J$1:J380,SUMPRODUCT(MAX(ROW(E$1:E380)*(E381=E$1:E380)))))</f>
        <v/>
      </c>
      <c r="L381" s="25"/>
    </row>
    <row r="383" spans="1:12" x14ac:dyDescent="0.3">
      <c r="A383" t="s">
        <v>427</v>
      </c>
    </row>
    <row r="384" spans="1:12" x14ac:dyDescent="0.3">
      <c r="A384" t="s">
        <v>428</v>
      </c>
      <c r="E384" s="20" t="str">
        <f t="shared" ref="E384:E415" si="28">IF(D384="?OLD","!!!","")</f>
        <v/>
      </c>
      <c r="F384" s="21" t="str">
        <f>IF(OR(E384="",E384="!!!"),"",IF(NOT(ISNA(VLOOKUP(E384,E$1:E383,1,FALSE()))),"OLD",IF(AND(E384&lt;&gt;"",E384&lt;&gt;"!!!"),"NEW","")))</f>
        <v/>
      </c>
      <c r="G384" s="22" t="str">
        <f>IF(OR(E384="",E384="!!!"),"",IF(OR(J384=0,AND(J384=1,K384=1),AND(J384=1,I384="SBJ"),AND(J384=1,I384=0)),"?IN_FOCUS",IF(J384&lt;=2,"?ACTIVATED",IF(J384&lt;&gt;"","?FAMILIAR",IF(F384="NEW",IF(ISNA(VLOOKUP(E384,#REF!,1,FALSE())),"?TYPE_IDENTIFIABLE","?REFERENTIAL"),"_")))))</f>
        <v/>
      </c>
      <c r="H384" s="23" t="str">
        <f t="shared" ref="H384:H415" ca="1" si="29">IF(J384&lt;&gt;1,"",IF(I384="SBJ","CB","?"))</f>
        <v/>
      </c>
      <c r="I384" s="24" t="str">
        <f>IF(OR(E384="",E384="!!!",F384="NEW"),"",INDEX(B$2:B383,-1+SUMPRODUCT(MAX(ROW(E$2:E383)*(E384=E$2:E383)))))</f>
        <v/>
      </c>
      <c r="J384" s="24" t="str">
        <f ca="1">IF(OR(E384="",E384="!!!",F384="NEW"),"",COUNTBLANK(OFFSET(A$1,,,SUMPRODUCT(MAX(ROW(E$2:E384)*(E384=E$2:E384)))))-COUNTBLANK(OFFSET(A$1,,,SUMPRODUCT(MAX(ROW(E$1:E383)*(E2=E$1:E383))))))</f>
        <v/>
      </c>
      <c r="K384" s="24" t="str">
        <f>IF(OR(E384="",E384="!!!",F384="NEW"),"",INDEX(J$1:J383,SUMPRODUCT(MAX(ROW(E$1:E383)*(E384=E$1:E383)))))</f>
        <v/>
      </c>
      <c r="L384" s="25"/>
    </row>
    <row r="385" spans="1:12" x14ac:dyDescent="0.3">
      <c r="A385" t="s">
        <v>286</v>
      </c>
      <c r="E385" s="20" t="str">
        <f t="shared" si="28"/>
        <v/>
      </c>
      <c r="F385" s="21" t="str">
        <f>IF(OR(E385="",E385="!!!"),"",IF(NOT(ISNA(VLOOKUP(E385,E$1:E384,1,FALSE()))),"OLD",IF(AND(E385&lt;&gt;"",E385&lt;&gt;"!!!"),"NEW","")))</f>
        <v/>
      </c>
      <c r="G385" s="22" t="str">
        <f>IF(OR(E385="",E385="!!!"),"",IF(OR(J385=0,AND(J385=1,K385=1),AND(J385=1,I385="SBJ"),AND(J385=1,I385=0)),"?IN_FOCUS",IF(J385&lt;=2,"?ACTIVATED",IF(J385&lt;&gt;"","?FAMILIAR",IF(F385="NEW",IF(ISNA(VLOOKUP(E385,#REF!,1,FALSE())),"?TYPE_IDENTIFIABLE","?REFERENTIAL"),"_")))))</f>
        <v/>
      </c>
      <c r="H385" s="23" t="str">
        <f t="shared" ca="1" si="29"/>
        <v/>
      </c>
      <c r="I385" s="24" t="str">
        <f>IF(OR(E385="",E385="!!!",F385="NEW"),"",INDEX(B$2:B384,-1+SUMPRODUCT(MAX(ROW(E$2:E384)*(E385=E$2:E384)))))</f>
        <v/>
      </c>
      <c r="J385" s="24" t="str">
        <f ca="1">IF(OR(E385="",E385="!!!",F385="NEW"),"",COUNTBLANK(OFFSET(A$1,,,SUMPRODUCT(MAX(ROW(E$2:E385)*(E385=E$2:E385)))))-COUNTBLANK(OFFSET(A$1,,,SUMPRODUCT(MAX(ROW(E$1:E384)*(E2=E$1:E384))))))</f>
        <v/>
      </c>
      <c r="K385" s="24" t="str">
        <f>IF(OR(E385="",E385="!!!",F385="NEW"),"",INDEX(J$1:J384,SUMPRODUCT(MAX(ROW(E$1:E384)*(E385=E$1:E384)))))</f>
        <v/>
      </c>
      <c r="L385" s="25"/>
    </row>
    <row r="386" spans="1:12" x14ac:dyDescent="0.3">
      <c r="A386" t="s">
        <v>238</v>
      </c>
      <c r="E386" s="20" t="str">
        <f t="shared" si="28"/>
        <v/>
      </c>
      <c r="F386" s="21" t="str">
        <f>IF(OR(E386="",E386="!!!"),"",IF(NOT(ISNA(VLOOKUP(E386,E$1:E385,1,FALSE()))),"OLD",IF(AND(E386&lt;&gt;"",E386&lt;&gt;"!!!"),"NEW","")))</f>
        <v/>
      </c>
      <c r="G386" s="22" t="str">
        <f>IF(OR(E386="",E386="!!!"),"",IF(OR(J386=0,AND(J386=1,K386=1),AND(J386=1,I386="SBJ"),AND(J386=1,I386=0)),"?IN_FOCUS",IF(J386&lt;=2,"?ACTIVATED",IF(J386&lt;&gt;"","?FAMILIAR",IF(F386="NEW",IF(ISNA(VLOOKUP(E386,#REF!,1,FALSE())),"?TYPE_IDENTIFIABLE","?REFERENTIAL"),"_")))))</f>
        <v/>
      </c>
      <c r="H386" s="23" t="str">
        <f t="shared" ca="1" si="29"/>
        <v/>
      </c>
      <c r="I386" s="24" t="str">
        <f>IF(OR(E386="",E386="!!!",F386="NEW"),"",INDEX(B$2:B385,-1+SUMPRODUCT(MAX(ROW(E$2:E385)*(E386=E$2:E385)))))</f>
        <v/>
      </c>
      <c r="J386" s="24" t="str">
        <f ca="1">IF(OR(E386="",E386="!!!",F386="NEW"),"",COUNTBLANK(OFFSET(A$1,,,SUMPRODUCT(MAX(ROW(E$2:E386)*(E386=E$2:E386)))))-COUNTBLANK(OFFSET(A$1,,,SUMPRODUCT(MAX(ROW(E$1:E385)*(E2=E$1:E385))))))</f>
        <v/>
      </c>
      <c r="K386" s="24" t="str">
        <f>IF(OR(E386="",E386="!!!",F386="NEW"),"",INDEX(J$1:J385,SUMPRODUCT(MAX(ROW(E$1:E385)*(E386=E$1:E385)))))</f>
        <v/>
      </c>
      <c r="L386" s="25"/>
    </row>
    <row r="387" spans="1:12" x14ac:dyDescent="0.3">
      <c r="A387" t="s">
        <v>429</v>
      </c>
      <c r="B387" s="26" t="s">
        <v>205</v>
      </c>
      <c r="C387" s="26" t="s">
        <v>240</v>
      </c>
      <c r="E387" s="20" t="str">
        <f t="shared" si="28"/>
        <v/>
      </c>
      <c r="F387" s="21" t="str">
        <f>IF(OR(E387="",E387="!!!"),"",IF(NOT(ISNA(VLOOKUP(E387,E$1:E386,1,FALSE()))),"OLD",IF(AND(E387&lt;&gt;"",E387&lt;&gt;"!!!"),"NEW","")))</f>
        <v/>
      </c>
      <c r="G387" s="22" t="str">
        <f>IF(OR(E387="",E387="!!!"),"",IF(OR(J387=0,AND(J387=1,K387=1),AND(J387=1,I387="SBJ"),AND(J387=1,I387=0)),"?IN_FOCUS",IF(J387&lt;=2,"?ACTIVATED",IF(J387&lt;&gt;"","?FAMILIAR",IF(F387="NEW",IF(ISNA(VLOOKUP(E387,#REF!,1,FALSE())),"?TYPE_IDENTIFIABLE","?REFERENTIAL"),"_")))))</f>
        <v/>
      </c>
      <c r="H387" s="23" t="str">
        <f t="shared" ca="1" si="29"/>
        <v/>
      </c>
      <c r="I387" s="24" t="str">
        <f>IF(OR(E387="",E387="!!!",F387="NEW"),"",INDEX(B$2:B386,-1+SUMPRODUCT(MAX(ROW(E$2:E386)*(E387=E$2:E386)))))</f>
        <v/>
      </c>
      <c r="J387" s="24" t="str">
        <f ca="1">IF(OR(E387="",E387="!!!",F387="NEW"),"",COUNTBLANK(OFFSET(A$1,,,SUMPRODUCT(MAX(ROW(E$2:E387)*(E387=E$2:E387)))))-COUNTBLANK(OFFSET(A$1,,,SUMPRODUCT(MAX(ROW(E$1:E386)*(E2=E$1:E386))))))</f>
        <v/>
      </c>
      <c r="K387" s="24" t="str">
        <f>IF(OR(E387="",E387="!!!",F387="NEW"),"",INDEX(J$1:J386,SUMPRODUCT(MAX(ROW(E$1:E386)*(E387=E$1:E386)))))</f>
        <v/>
      </c>
      <c r="L387" s="25"/>
    </row>
    <row r="388" spans="1:12" x14ac:dyDescent="0.3">
      <c r="A388" t="s">
        <v>430</v>
      </c>
      <c r="E388" s="20" t="str">
        <f t="shared" si="28"/>
        <v/>
      </c>
      <c r="F388" s="21" t="str">
        <f>IF(OR(E388="",E388="!!!"),"",IF(NOT(ISNA(VLOOKUP(E388,E$1:E387,1,FALSE()))),"OLD",IF(AND(E388&lt;&gt;"",E388&lt;&gt;"!!!"),"NEW","")))</f>
        <v/>
      </c>
      <c r="G388" s="22" t="str">
        <f>IF(OR(E388="",E388="!!!"),"",IF(OR(J388=0,AND(J388=1,K388=1),AND(J388=1,I388="SBJ"),AND(J388=1,I388=0)),"?IN_FOCUS",IF(J388&lt;=2,"?ACTIVATED",IF(J388&lt;&gt;"","?FAMILIAR",IF(F388="NEW",IF(ISNA(VLOOKUP(E388,#REF!,1,FALSE())),"?TYPE_IDENTIFIABLE","?REFERENTIAL"),"_")))))</f>
        <v/>
      </c>
      <c r="H388" s="23" t="str">
        <f t="shared" ca="1" si="29"/>
        <v/>
      </c>
      <c r="I388" s="24" t="str">
        <f>IF(OR(E388="",E388="!!!",F388="NEW"),"",INDEX(B$2:B387,-1+SUMPRODUCT(MAX(ROW(E$2:E387)*(E388=E$2:E387)))))</f>
        <v/>
      </c>
      <c r="J388" s="24" t="str">
        <f ca="1">IF(OR(E388="",E388="!!!",F388="NEW"),"",COUNTBLANK(OFFSET(A$1,,,SUMPRODUCT(MAX(ROW(E$2:E388)*(E388=E$2:E388)))))-COUNTBLANK(OFFSET(A$1,,,SUMPRODUCT(MAX(ROW(E$1:E387)*(E2=E$1:E387))))))</f>
        <v/>
      </c>
      <c r="K388" s="24" t="str">
        <f>IF(OR(E388="",E388="!!!",F388="NEW"),"",INDEX(J$1:J387,SUMPRODUCT(MAX(ROW(E$1:E387)*(E388=E$1:E387)))))</f>
        <v/>
      </c>
      <c r="L388" s="25"/>
    </row>
    <row r="389" spans="1:12" x14ac:dyDescent="0.3">
      <c r="A389" t="s">
        <v>207</v>
      </c>
      <c r="E389" s="20" t="str">
        <f t="shared" si="28"/>
        <v/>
      </c>
      <c r="F389" s="21" t="str">
        <f>IF(OR(E389="",E389="!!!"),"",IF(NOT(ISNA(VLOOKUP(E389,E$1:E388,1,FALSE()))),"OLD",IF(AND(E389&lt;&gt;"",E389&lt;&gt;"!!!"),"NEW","")))</f>
        <v/>
      </c>
      <c r="G389" s="22" t="str">
        <f>IF(OR(E389="",E389="!!!"),"",IF(OR(J389=0,AND(J389=1,K389=1),AND(J389=1,I389="SBJ"),AND(J389=1,I389=0)),"?IN_FOCUS",IF(J389&lt;=2,"?ACTIVATED",IF(J389&lt;&gt;"","?FAMILIAR",IF(F389="NEW",IF(ISNA(VLOOKUP(E389,#REF!,1,FALSE())),"?TYPE_IDENTIFIABLE","?REFERENTIAL"),"_")))))</f>
        <v/>
      </c>
      <c r="H389" s="23" t="str">
        <f t="shared" ca="1" si="29"/>
        <v/>
      </c>
      <c r="I389" s="24" t="str">
        <f>IF(OR(E389="",E389="!!!",F389="NEW"),"",INDEX(B$2:B388,-1+SUMPRODUCT(MAX(ROW(E$2:E388)*(E389=E$2:E388)))))</f>
        <v/>
      </c>
      <c r="J389" s="24" t="str">
        <f ca="1">IF(OR(E389="",E389="!!!",F389="NEW"),"",COUNTBLANK(OFFSET(A$1,,,SUMPRODUCT(MAX(ROW(E$2:E389)*(E389=E$2:E389)))))-COUNTBLANK(OFFSET(A$1,,,SUMPRODUCT(MAX(ROW(E$1:E388)*(E2=E$1:E388))))))</f>
        <v/>
      </c>
      <c r="K389" s="24" t="str">
        <f>IF(OR(E389="",E389="!!!",F389="NEW"),"",INDEX(J$1:J388,SUMPRODUCT(MAX(ROW(E$1:E388)*(E389=E$1:E388)))))</f>
        <v/>
      </c>
      <c r="L389" s="25"/>
    </row>
    <row r="390" spans="1:12" x14ac:dyDescent="0.3">
      <c r="A390" t="s">
        <v>228</v>
      </c>
      <c r="B390" s="26" t="s">
        <v>213</v>
      </c>
      <c r="C390" s="26" t="s">
        <v>230</v>
      </c>
      <c r="D390" s="26" t="s">
        <v>215</v>
      </c>
      <c r="E390" s="20" t="s">
        <v>669</v>
      </c>
      <c r="F390" s="21" t="str">
        <f>IF(OR(E390="",E390="!!!"),"",IF(NOT(ISNA(VLOOKUP(E390,E$1:E389,1,FALSE()))),"OLD",IF(AND(E390&lt;&gt;"",E390&lt;&gt;"!!!"),"NEW","")))</f>
        <v>OLD</v>
      </c>
      <c r="G390" s="22" t="str">
        <f ca="1">IF(OR(E390="",E390="!!!"),"",IF(OR(J390=0,AND(J390=1,K390=1),AND(J390=1,I390="SBJ"),AND(J390=1,I390=0)),"?IN_FOCUS",IF(J390&lt;=2,"?ACTIVATED",IF(J390&lt;&gt;"","?FAMILIAR",IF(F390="NEW",IF(ISNA(VLOOKUP(E390,#REF!,1,FALSE())),"?TYPE_IDENTIFIABLE","?REFERENTIAL"),"_")))))</f>
        <v>?IN_FOCUS</v>
      </c>
      <c r="H390" s="23" t="s">
        <v>198</v>
      </c>
      <c r="I390" s="24" t="str">
        <f>IF(OR(E390="",E390="!!!",F390="NEW"),"",INDEX(B$2:B389,-1+SUMPRODUCT(MAX(ROW(E$2:E389)*(E390=E$2:E389)))))</f>
        <v>other_6</v>
      </c>
      <c r="J390" s="24">
        <f ca="1">IF(OR(E390="",E390="!!!",F390="NEW"),"",COUNTBLANK(OFFSET(A$1,,,SUMPRODUCT(MAX(ROW(E$2:E390)*(E390=E$2:E390)))))-COUNTBLANK(OFFSET(A$1,,,SUMPRODUCT(MAX(ROW(E$1:E389)*(E2=E$1:E389))))))</f>
        <v>0</v>
      </c>
      <c r="K390" s="24">
        <f ca="1">IF(OR(E390="",E390="!!!",F390="NEW"),"",INDEX(J$1:J389,SUMPRODUCT(MAX(ROW(E$1:E389)*(E390=E$1:E389)))))</f>
        <v>0</v>
      </c>
      <c r="L390" s="25"/>
    </row>
    <row r="391" spans="1:12" x14ac:dyDescent="0.3">
      <c r="A391" t="s">
        <v>431</v>
      </c>
      <c r="E391" s="20" t="str">
        <f t="shared" si="28"/>
        <v/>
      </c>
      <c r="F391" s="21" t="str">
        <f>IF(OR(E391="",E391="!!!"),"",IF(NOT(ISNA(VLOOKUP(E391,E$1:E390,1,FALSE()))),"OLD",IF(AND(E391&lt;&gt;"",E391&lt;&gt;"!!!"),"NEW","")))</f>
        <v/>
      </c>
      <c r="G391" s="22" t="str">
        <f>IF(OR(E391="",E391="!!!"),"",IF(OR(J391=0,AND(J391=1,K391=1),AND(J391=1,I391="SBJ"),AND(J391=1,I391=0)),"?IN_FOCUS",IF(J391&lt;=2,"?ACTIVATED",IF(J391&lt;&gt;"","?FAMILIAR",IF(F391="NEW",IF(ISNA(VLOOKUP(E391,#REF!,1,FALSE())),"?TYPE_IDENTIFIABLE","?REFERENTIAL"),"_")))))</f>
        <v/>
      </c>
      <c r="H391" s="23" t="str">
        <f t="shared" ca="1" si="29"/>
        <v/>
      </c>
      <c r="I391" s="24" t="str">
        <f>IF(OR(E391="",E391="!!!",F391="NEW"),"",INDEX(B$2:B390,-1+SUMPRODUCT(MAX(ROW(E$2:E390)*(E391=E$2:E390)))))</f>
        <v/>
      </c>
      <c r="J391" s="24" t="str">
        <f ca="1">IF(OR(E391="",E391="!!!",F391="NEW"),"",COUNTBLANK(OFFSET(A$1,,,SUMPRODUCT(MAX(ROW(E$2:E391)*(E391=E$2:E391)))))-COUNTBLANK(OFFSET(A$1,,,SUMPRODUCT(MAX(ROW(E$1:E390)*(E2=E$1:E390))))))</f>
        <v/>
      </c>
      <c r="K391" s="24" t="str">
        <f>IF(OR(E391="",E391="!!!",F391="NEW"),"",INDEX(J$1:J390,SUMPRODUCT(MAX(ROW(E$1:E390)*(E391=E$1:E390)))))</f>
        <v/>
      </c>
      <c r="L391" s="25"/>
    </row>
    <row r="392" spans="1:12" x14ac:dyDescent="0.3">
      <c r="A392" t="s">
        <v>432</v>
      </c>
      <c r="E392" s="20" t="str">
        <f t="shared" si="28"/>
        <v/>
      </c>
      <c r="F392" s="21" t="str">
        <f>IF(OR(E392="",E392="!!!"),"",IF(NOT(ISNA(VLOOKUP(E392,E$1:E391,1,FALSE()))),"OLD",IF(AND(E392&lt;&gt;"",E392&lt;&gt;"!!!"),"NEW","")))</f>
        <v/>
      </c>
      <c r="G392" s="22" t="str">
        <f>IF(OR(E392="",E392="!!!"),"",IF(OR(J392=0,AND(J392=1,K392=1),AND(J392=1,I392="SBJ"),AND(J392=1,I392=0)),"?IN_FOCUS",IF(J392&lt;=2,"?ACTIVATED",IF(J392&lt;&gt;"","?FAMILIAR",IF(F392="NEW",IF(ISNA(VLOOKUP(E392,#REF!,1,FALSE())),"?TYPE_IDENTIFIABLE","?REFERENTIAL"),"_")))))</f>
        <v/>
      </c>
      <c r="H392" s="23" t="str">
        <f t="shared" ca="1" si="29"/>
        <v/>
      </c>
      <c r="I392" s="24" t="str">
        <f>IF(OR(E392="",E392="!!!",F392="NEW"),"",INDEX(B$2:B391,-1+SUMPRODUCT(MAX(ROW(E$2:E391)*(E392=E$2:E391)))))</f>
        <v/>
      </c>
      <c r="J392" s="24" t="str">
        <f ca="1">IF(OR(E392="",E392="!!!",F392="NEW"),"",COUNTBLANK(OFFSET(A$1,,,SUMPRODUCT(MAX(ROW(E$2:E392)*(E392=E$2:E392)))))-COUNTBLANK(OFFSET(A$1,,,SUMPRODUCT(MAX(ROW(E$1:E391)*(E2=E$1:E391))))))</f>
        <v/>
      </c>
      <c r="K392" s="24" t="str">
        <f>IF(OR(E392="",E392="!!!",F392="NEW"),"",INDEX(J$1:J391,SUMPRODUCT(MAX(ROW(E$1:E391)*(E392=E$1:E391)))))</f>
        <v/>
      </c>
      <c r="L392" s="25"/>
    </row>
    <row r="393" spans="1:12" x14ac:dyDescent="0.3">
      <c r="A393" t="s">
        <v>323</v>
      </c>
      <c r="E393" s="20" t="str">
        <f t="shared" si="28"/>
        <v/>
      </c>
      <c r="F393" s="21" t="str">
        <f>IF(OR(E393="",E393="!!!"),"",IF(NOT(ISNA(VLOOKUP(E393,E$1:E392,1,FALSE()))),"OLD",IF(AND(E393&lt;&gt;"",E393&lt;&gt;"!!!"),"NEW","")))</f>
        <v/>
      </c>
      <c r="G393" s="22" t="str">
        <f>IF(OR(E393="",E393="!!!"),"",IF(OR(J393=0,AND(J393=1,K393=1),AND(J393=1,I393="SBJ"),AND(J393=1,I393=0)),"?IN_FOCUS",IF(J393&lt;=2,"?ACTIVATED",IF(J393&lt;&gt;"","?FAMILIAR",IF(F393="NEW",IF(ISNA(VLOOKUP(E393,#REF!,1,FALSE())),"?TYPE_IDENTIFIABLE","?REFERENTIAL"),"_")))))</f>
        <v/>
      </c>
      <c r="H393" s="23" t="str">
        <f t="shared" ca="1" si="29"/>
        <v/>
      </c>
      <c r="I393" s="24" t="str">
        <f>IF(OR(E393="",E393="!!!",F393="NEW"),"",INDEX(B$2:B392,-1+SUMPRODUCT(MAX(ROW(E$2:E392)*(E393=E$2:E392)))))</f>
        <v/>
      </c>
      <c r="J393" s="24" t="str">
        <f ca="1">IF(OR(E393="",E393="!!!",F393="NEW"),"",COUNTBLANK(OFFSET(A$1,,,SUMPRODUCT(MAX(ROW(E$2:E393)*(E393=E$2:E393)))))-COUNTBLANK(OFFSET(A$1,,,SUMPRODUCT(MAX(ROW(E$1:E392)*(E2=E$1:E392))))))</f>
        <v/>
      </c>
      <c r="K393" s="24" t="str">
        <f>IF(OR(E393="",E393="!!!",F393="NEW"),"",INDEX(J$1:J392,SUMPRODUCT(MAX(ROW(E$1:E392)*(E393=E$1:E392)))))</f>
        <v/>
      </c>
      <c r="L393" s="25"/>
    </row>
    <row r="394" spans="1:12" x14ac:dyDescent="0.3">
      <c r="A394" t="s">
        <v>334</v>
      </c>
      <c r="E394" s="20" t="str">
        <f t="shared" si="28"/>
        <v/>
      </c>
      <c r="F394" s="21" t="str">
        <f>IF(OR(E394="",E394="!!!"),"",IF(NOT(ISNA(VLOOKUP(E394,E$1:E393,1,FALSE()))),"OLD",IF(AND(E394&lt;&gt;"",E394&lt;&gt;"!!!"),"NEW","")))</f>
        <v/>
      </c>
      <c r="G394" s="22" t="str">
        <f>IF(OR(E394="",E394="!!!"),"",IF(OR(J394=0,AND(J394=1,K394=1),AND(J394=1,I394="SBJ"),AND(J394=1,I394=0)),"?IN_FOCUS",IF(J394&lt;=2,"?ACTIVATED",IF(J394&lt;&gt;"","?FAMILIAR",IF(F394="NEW",IF(ISNA(VLOOKUP(E394,#REF!,1,FALSE())),"?TYPE_IDENTIFIABLE","?REFERENTIAL"),"_")))))</f>
        <v/>
      </c>
      <c r="H394" s="23" t="str">
        <f t="shared" ca="1" si="29"/>
        <v/>
      </c>
      <c r="I394" s="24" t="str">
        <f>IF(OR(E394="",E394="!!!",F394="NEW"),"",INDEX(B$2:B393,-1+SUMPRODUCT(MAX(ROW(E$2:E393)*(E394=E$2:E393)))))</f>
        <v/>
      </c>
      <c r="J394" s="24" t="str">
        <f ca="1">IF(OR(E394="",E394="!!!",F394="NEW"),"",COUNTBLANK(OFFSET(A$1,,,SUMPRODUCT(MAX(ROW(E$2:E394)*(E394=E$2:E394)))))-COUNTBLANK(OFFSET(A$1,,,SUMPRODUCT(MAX(ROW(E$1:E393)*(E2=E$1:E393))))))</f>
        <v/>
      </c>
      <c r="K394" s="24" t="str">
        <f>IF(OR(E394="",E394="!!!",F394="NEW"),"",INDEX(J$1:J393,SUMPRODUCT(MAX(ROW(E$1:E393)*(E394=E$1:E393)))))</f>
        <v/>
      </c>
      <c r="L394" s="25"/>
    </row>
    <row r="395" spans="1:12" x14ac:dyDescent="0.3">
      <c r="A395" t="s">
        <v>433</v>
      </c>
      <c r="E395" s="20" t="str">
        <f t="shared" si="28"/>
        <v/>
      </c>
      <c r="F395" s="21" t="str">
        <f>IF(OR(E395="",E395="!!!"),"",IF(NOT(ISNA(VLOOKUP(E395,E$1:E394,1,FALSE()))),"OLD",IF(AND(E395&lt;&gt;"",E395&lt;&gt;"!!!"),"NEW","")))</f>
        <v/>
      </c>
      <c r="G395" s="22" t="str">
        <f>IF(OR(E395="",E395="!!!"),"",IF(OR(J395=0,AND(J395=1,K395=1),AND(J395=1,I395="SBJ"),AND(J395=1,I395=0)),"?IN_FOCUS",IF(J395&lt;=2,"?ACTIVATED",IF(J395&lt;&gt;"","?FAMILIAR",IF(F395="NEW",IF(ISNA(VLOOKUP(E395,#REF!,1,FALSE())),"?TYPE_IDENTIFIABLE","?REFERENTIAL"),"_")))))</f>
        <v/>
      </c>
      <c r="H395" s="23" t="str">
        <f t="shared" ca="1" si="29"/>
        <v/>
      </c>
      <c r="I395" s="24" t="str">
        <f>IF(OR(E395="",E395="!!!",F395="NEW"),"",INDEX(B$2:B394,-1+SUMPRODUCT(MAX(ROW(E$2:E394)*(E395=E$2:E394)))))</f>
        <v/>
      </c>
      <c r="J395" s="24" t="str">
        <f ca="1">IF(OR(E395="",E395="!!!",F395="NEW"),"",COUNTBLANK(OFFSET(A$1,,,SUMPRODUCT(MAX(ROW(E$2:E395)*(E395=E$2:E395)))))-COUNTBLANK(OFFSET(A$1,,,SUMPRODUCT(MAX(ROW(E$1:E394)*(E2=E$1:E394))))))</f>
        <v/>
      </c>
      <c r="K395" s="24" t="str">
        <f>IF(OR(E395="",E395="!!!",F395="NEW"),"",INDEX(J$1:J394,SUMPRODUCT(MAX(ROW(E$1:E394)*(E395=E$1:E394)))))</f>
        <v/>
      </c>
      <c r="L395" s="25"/>
    </row>
    <row r="396" spans="1:12" x14ac:dyDescent="0.3">
      <c r="A396" t="s">
        <v>434</v>
      </c>
      <c r="B396" s="26" t="s">
        <v>205</v>
      </c>
      <c r="C396" s="26" t="s">
        <v>337</v>
      </c>
      <c r="D396" s="26" t="s">
        <v>215</v>
      </c>
      <c r="E396" s="20" t="s">
        <v>697</v>
      </c>
      <c r="F396" s="21" t="str">
        <f>IF(OR(E396="",E396="!!!"),"",IF(NOT(ISNA(VLOOKUP(E396,E$1:E395,1,FALSE()))),"OLD",IF(AND(E396&lt;&gt;"",E396&lt;&gt;"!!!"),"NEW","")))</f>
        <v>NEW</v>
      </c>
      <c r="G396" s="22" t="str">
        <f ca="1">IF(OR(E396="",E396="!!!"),"",IF(OR(J396=0,AND(J396=1,K396=1),AND(J396=1,I396="SBJ"),AND(J396=1,I396=0)),"?IN_FOCUS",IF(J396&lt;=2,"?ACTIVATED",IF(J396&lt;&gt;"","?FAMILIAR",IF(F396="NEW",IF(ISNA(VLOOKUP(E396,#REF!,1,FALSE())),"?TYPE_IDENTIFIABLE","?REFERENTIAL"),"_")))))</f>
        <v>?REFERENTIAL</v>
      </c>
      <c r="H396" s="23" t="str">
        <f t="shared" ca="1" si="29"/>
        <v/>
      </c>
      <c r="I396" s="24" t="str">
        <f>IF(OR(E396="",E396="!!!",F396="NEW"),"",INDEX(B$2:B395,-1+SUMPRODUCT(MAX(ROW(E$2:E395)*(E396=E$2:E395)))))</f>
        <v/>
      </c>
      <c r="J396" s="24" t="str">
        <f ca="1">IF(OR(E396="",E396="!!!",F396="NEW"),"",COUNTBLANK(OFFSET(A$1,,,SUMPRODUCT(MAX(ROW(E$2:E396)*(E396=E$2:E396)))))-COUNTBLANK(OFFSET(A$1,,,SUMPRODUCT(MAX(ROW(E$1:E395)*(E2=E$1:E395))))))</f>
        <v/>
      </c>
      <c r="K396" s="24" t="str">
        <f>IF(OR(E396="",E396="!!!",F396="NEW"),"",INDEX(J$1:J395,SUMPRODUCT(MAX(ROW(E$1:E395)*(E396=E$1:E395)))))</f>
        <v/>
      </c>
      <c r="L396" s="25"/>
    </row>
    <row r="397" spans="1:12" x14ac:dyDescent="0.3">
      <c r="A397" t="s">
        <v>207</v>
      </c>
      <c r="E397" s="20" t="str">
        <f t="shared" si="28"/>
        <v/>
      </c>
      <c r="F397" s="21" t="str">
        <f>IF(OR(E397="",E397="!!!"),"",IF(NOT(ISNA(VLOOKUP(E397,E$1:E396,1,FALSE()))),"OLD",IF(AND(E397&lt;&gt;"",E397&lt;&gt;"!!!"),"NEW","")))</f>
        <v/>
      </c>
      <c r="G397" s="22" t="str">
        <f>IF(OR(E397="",E397="!!!"),"",IF(OR(J397=0,AND(J397=1,K397=1),AND(J397=1,I397="SBJ"),AND(J397=1,I397=0)),"?IN_FOCUS",IF(J397&lt;=2,"?ACTIVATED",IF(J397&lt;&gt;"","?FAMILIAR",IF(F397="NEW",IF(ISNA(VLOOKUP(E397,#REF!,1,FALSE())),"?TYPE_IDENTIFIABLE","?REFERENTIAL"),"_")))))</f>
        <v/>
      </c>
      <c r="H397" s="23" t="str">
        <f t="shared" ca="1" si="29"/>
        <v/>
      </c>
      <c r="I397" s="24" t="str">
        <f>IF(OR(E397="",E397="!!!",F397="NEW"),"",INDEX(B$2:B396,-1+SUMPRODUCT(MAX(ROW(E$2:E396)*(E397=E$2:E396)))))</f>
        <v/>
      </c>
      <c r="J397" s="24" t="str">
        <f ca="1">IF(OR(E397="",E397="!!!",F397="NEW"),"",COUNTBLANK(OFFSET(A$1,,,SUMPRODUCT(MAX(ROW(E$2:E397)*(E397=E$2:E397)))))-COUNTBLANK(OFFSET(A$1,,,SUMPRODUCT(MAX(ROW(E$1:E396)*(E2=E$1:E396))))))</f>
        <v/>
      </c>
      <c r="K397" s="24" t="str">
        <f>IF(OR(E397="",E397="!!!",F397="NEW"),"",INDEX(J$1:J396,SUMPRODUCT(MAX(ROW(E$1:E396)*(E397=E$1:E396)))))</f>
        <v/>
      </c>
      <c r="L397" s="25"/>
    </row>
    <row r="398" spans="1:12" x14ac:dyDescent="0.3">
      <c r="A398" t="s">
        <v>220</v>
      </c>
      <c r="E398" s="20" t="str">
        <f t="shared" si="28"/>
        <v/>
      </c>
      <c r="F398" s="21" t="str">
        <f>IF(OR(E398="",E398="!!!"),"",IF(NOT(ISNA(VLOOKUP(E398,E$1:E397,1,FALSE()))),"OLD",IF(AND(E398&lt;&gt;"",E398&lt;&gt;"!!!"),"NEW","")))</f>
        <v/>
      </c>
      <c r="G398" s="22" t="str">
        <f>IF(OR(E398="",E398="!!!"),"",IF(OR(J398=0,AND(J398=1,K398=1),AND(J398=1,I398="SBJ"),AND(J398=1,I398=0)),"?IN_FOCUS",IF(J398&lt;=2,"?ACTIVATED",IF(J398&lt;&gt;"","?FAMILIAR",IF(F398="NEW",IF(ISNA(VLOOKUP(E398,#REF!,1,FALSE())),"?TYPE_IDENTIFIABLE","?REFERENTIAL"),"_")))))</f>
        <v/>
      </c>
      <c r="H398" s="23" t="str">
        <f t="shared" ca="1" si="29"/>
        <v/>
      </c>
      <c r="I398" s="24" t="str">
        <f>IF(OR(E398="",E398="!!!",F398="NEW"),"",INDEX(B$2:B397,-1+SUMPRODUCT(MAX(ROW(E$2:E397)*(E398=E$2:E397)))))</f>
        <v/>
      </c>
      <c r="J398" s="24" t="str">
        <f ca="1">IF(OR(E398="",E398="!!!",F398="NEW"),"",COUNTBLANK(OFFSET(A$1,,,SUMPRODUCT(MAX(ROW(E$2:E398)*(E398=E$2:E398)))))-COUNTBLANK(OFFSET(A$1,,,SUMPRODUCT(MAX(ROW(E$1:E397)*(E2=E$1:E397))))))</f>
        <v/>
      </c>
      <c r="K398" s="24" t="str">
        <f>IF(OR(E398="",E398="!!!",F398="NEW"),"",INDEX(J$1:J397,SUMPRODUCT(MAX(ROW(E$1:E397)*(E398=E$1:E397)))))</f>
        <v/>
      </c>
      <c r="L398" s="25"/>
    </row>
    <row r="399" spans="1:12" x14ac:dyDescent="0.3">
      <c r="A399" t="s">
        <v>435</v>
      </c>
      <c r="E399" s="20" t="str">
        <f t="shared" si="28"/>
        <v/>
      </c>
      <c r="F399" s="21" t="str">
        <f>IF(OR(E399="",E399="!!!"),"",IF(NOT(ISNA(VLOOKUP(E399,E$1:E398,1,FALSE()))),"OLD",IF(AND(E399&lt;&gt;"",E399&lt;&gt;"!!!"),"NEW","")))</f>
        <v/>
      </c>
      <c r="G399" s="22" t="str">
        <f>IF(OR(E399="",E399="!!!"),"",IF(OR(J399=0,AND(J399=1,K399=1),AND(J399=1,I399="SBJ"),AND(J399=1,I399=0)),"?IN_FOCUS",IF(J399&lt;=2,"?ACTIVATED",IF(J399&lt;&gt;"","?FAMILIAR",IF(F399="NEW",IF(ISNA(VLOOKUP(E399,#REF!,1,FALSE())),"?TYPE_IDENTIFIABLE","?REFERENTIAL"),"_")))))</f>
        <v/>
      </c>
      <c r="H399" s="23" t="str">
        <f t="shared" ca="1" si="29"/>
        <v/>
      </c>
      <c r="I399" s="24" t="str">
        <f>IF(OR(E399="",E399="!!!",F399="NEW"),"",INDEX(B$2:B398,-1+SUMPRODUCT(MAX(ROW(E$2:E398)*(E399=E$2:E398)))))</f>
        <v/>
      </c>
      <c r="J399" s="24" t="str">
        <f ca="1">IF(OR(E399="",E399="!!!",F399="NEW"),"",COUNTBLANK(OFFSET(A$1,,,SUMPRODUCT(MAX(ROW(E$2:E399)*(E399=E$2:E399)))))-COUNTBLANK(OFFSET(A$1,,,SUMPRODUCT(MAX(ROW(E$1:E398)*(E2=E$1:E398))))))</f>
        <v/>
      </c>
      <c r="K399" s="24" t="str">
        <f>IF(OR(E399="",E399="!!!",F399="NEW"),"",INDEX(J$1:J398,SUMPRODUCT(MAX(ROW(E$1:E398)*(E399=E$1:E398)))))</f>
        <v/>
      </c>
      <c r="L399" s="25"/>
    </row>
    <row r="400" spans="1:12" x14ac:dyDescent="0.3">
      <c r="A400" t="s">
        <v>223</v>
      </c>
      <c r="E400" s="20" t="str">
        <f t="shared" si="28"/>
        <v/>
      </c>
      <c r="F400" s="21" t="str">
        <f>IF(OR(E400="",E400="!!!"),"",IF(NOT(ISNA(VLOOKUP(E400,E$1:E399,1,FALSE()))),"OLD",IF(AND(E400&lt;&gt;"",E400&lt;&gt;"!!!"),"NEW","")))</f>
        <v/>
      </c>
      <c r="G400" s="22" t="str">
        <f>IF(OR(E400="",E400="!!!"),"",IF(OR(J400=0,AND(J400=1,K400=1),AND(J400=1,I400="SBJ"),AND(J400=1,I400=0)),"?IN_FOCUS",IF(J400&lt;=2,"?ACTIVATED",IF(J400&lt;&gt;"","?FAMILIAR",IF(F400="NEW",IF(ISNA(VLOOKUP(E400,#REF!,1,FALSE())),"?TYPE_IDENTIFIABLE","?REFERENTIAL"),"_")))))</f>
        <v/>
      </c>
      <c r="H400" s="23" t="str">
        <f t="shared" ca="1" si="29"/>
        <v/>
      </c>
      <c r="I400" s="24" t="str">
        <f>IF(OR(E400="",E400="!!!",F400="NEW"),"",INDEX(B$2:B399,-1+SUMPRODUCT(MAX(ROW(E$2:E399)*(E400=E$2:E399)))))</f>
        <v/>
      </c>
      <c r="J400" s="24" t="str">
        <f ca="1">IF(OR(E400="",E400="!!!",F400="NEW"),"",COUNTBLANK(OFFSET(A$1,,,SUMPRODUCT(MAX(ROW(E$2:E400)*(E400=E$2:E400)))))-COUNTBLANK(OFFSET(A$1,,,SUMPRODUCT(MAX(ROW(E$1:E399)*(E2=E$1:E399))))))</f>
        <v/>
      </c>
      <c r="K400" s="24" t="str">
        <f>IF(OR(E400="",E400="!!!",F400="NEW"),"",INDEX(J$1:J399,SUMPRODUCT(MAX(ROW(E$1:E399)*(E400=E$1:E399)))))</f>
        <v/>
      </c>
      <c r="L400" s="25"/>
    </row>
    <row r="401" spans="1:12" x14ac:dyDescent="0.3">
      <c r="A401" t="s">
        <v>276</v>
      </c>
      <c r="B401" s="26" t="s">
        <v>263</v>
      </c>
      <c r="C401" s="26" t="s">
        <v>298</v>
      </c>
      <c r="E401" s="20" t="str">
        <f t="shared" si="28"/>
        <v/>
      </c>
      <c r="F401" s="21" t="str">
        <f>IF(OR(E401="",E401="!!!"),"",IF(NOT(ISNA(VLOOKUP(E401,E$1:E400,1,FALSE()))),"OLD",IF(AND(E401&lt;&gt;"",E401&lt;&gt;"!!!"),"NEW","")))</f>
        <v/>
      </c>
      <c r="G401" s="22" t="str">
        <f>IF(OR(E401="",E401="!!!"),"",IF(OR(J401=0,AND(J401=1,K401=1),AND(J401=1,I401="SBJ"),AND(J401=1,I401=0)),"?IN_FOCUS",IF(J401&lt;=2,"?ACTIVATED",IF(J401&lt;&gt;"","?FAMILIAR",IF(F401="NEW",IF(ISNA(VLOOKUP(E401,#REF!,1,FALSE())),"?TYPE_IDENTIFIABLE","?REFERENTIAL"),"_")))))</f>
        <v/>
      </c>
      <c r="H401" s="23" t="str">
        <f t="shared" ca="1" si="29"/>
        <v/>
      </c>
      <c r="I401" s="24" t="str">
        <f>IF(OR(E401="",E401="!!!",F401="NEW"),"",INDEX(B$2:B400,-1+SUMPRODUCT(MAX(ROW(E$2:E400)*(E401=E$2:E400)))))</f>
        <v/>
      </c>
      <c r="J401" s="24" t="str">
        <f ca="1">IF(OR(E401="",E401="!!!",F401="NEW"),"",COUNTBLANK(OFFSET(A$1,,,SUMPRODUCT(MAX(ROW(E$2:E401)*(E401=E$2:E401)))))-COUNTBLANK(OFFSET(A$1,,,SUMPRODUCT(MAX(ROW(E$1:E400)*(E2=E$1:E400))))))</f>
        <v/>
      </c>
      <c r="K401" s="24" t="str">
        <f>IF(OR(E401="",E401="!!!",F401="NEW"),"",INDEX(J$1:J400,SUMPRODUCT(MAX(ROW(E$1:E400)*(E401=E$1:E400)))))</f>
        <v/>
      </c>
      <c r="L401" s="25"/>
    </row>
    <row r="402" spans="1:12" x14ac:dyDescent="0.3">
      <c r="A402" t="s">
        <v>436</v>
      </c>
      <c r="E402" s="20" t="str">
        <f t="shared" si="28"/>
        <v/>
      </c>
      <c r="F402" s="21" t="str">
        <f>IF(OR(E402="",E402="!!!"),"",IF(NOT(ISNA(VLOOKUP(E402,E$1:E401,1,FALSE()))),"OLD",IF(AND(E402&lt;&gt;"",E402&lt;&gt;"!!!"),"NEW","")))</f>
        <v/>
      </c>
      <c r="G402" s="22" t="str">
        <f>IF(OR(E402="",E402="!!!"),"",IF(OR(J402=0,AND(J402=1,K402=1),AND(J402=1,I402="SBJ"),AND(J402=1,I402=0)),"?IN_FOCUS",IF(J402&lt;=2,"?ACTIVATED",IF(J402&lt;&gt;"","?FAMILIAR",IF(F402="NEW",IF(ISNA(VLOOKUP(E402,#REF!,1,FALSE())),"?TYPE_IDENTIFIABLE","?REFERENTIAL"),"_")))))</f>
        <v/>
      </c>
      <c r="H402" s="23" t="str">
        <f t="shared" ca="1" si="29"/>
        <v/>
      </c>
      <c r="I402" s="24" t="str">
        <f>IF(OR(E402="",E402="!!!",F402="NEW"),"",INDEX(B$2:B401,-1+SUMPRODUCT(MAX(ROW(E$2:E401)*(E402=E$2:E401)))))</f>
        <v/>
      </c>
      <c r="J402" s="24" t="str">
        <f ca="1">IF(OR(E402="",E402="!!!",F402="NEW"),"",COUNTBLANK(OFFSET(A$1,,,SUMPRODUCT(MAX(ROW(E$2:E402)*(E402=E$2:E402)))))-COUNTBLANK(OFFSET(A$1,,,SUMPRODUCT(MAX(ROW(E$1:E401)*(E2=E$1:E401))))))</f>
        <v/>
      </c>
      <c r="K402" s="24" t="str">
        <f>IF(OR(E402="",E402="!!!",F402="NEW"),"",INDEX(J$1:J401,SUMPRODUCT(MAX(ROW(E$1:E401)*(E402=E$1:E401)))))</f>
        <v/>
      </c>
      <c r="L402" s="25"/>
    </row>
    <row r="403" spans="1:12" x14ac:dyDescent="0.3">
      <c r="A403" t="s">
        <v>437</v>
      </c>
      <c r="E403" s="20" t="str">
        <f t="shared" si="28"/>
        <v/>
      </c>
      <c r="F403" s="21" t="str">
        <f>IF(OR(E403="",E403="!!!"),"",IF(NOT(ISNA(VLOOKUP(E403,E$1:E402,1,FALSE()))),"OLD",IF(AND(E403&lt;&gt;"",E403&lt;&gt;"!!!"),"NEW","")))</f>
        <v/>
      </c>
      <c r="G403" s="22" t="str">
        <f>IF(OR(E403="",E403="!!!"),"",IF(OR(J403=0,AND(J403=1,K403=1),AND(J403=1,I403="SBJ"),AND(J403=1,I403=0)),"?IN_FOCUS",IF(J403&lt;=2,"?ACTIVATED",IF(J403&lt;&gt;"","?FAMILIAR",IF(F403="NEW",IF(ISNA(VLOOKUP(E403,#REF!,1,FALSE())),"?TYPE_IDENTIFIABLE","?REFERENTIAL"),"_")))))</f>
        <v/>
      </c>
      <c r="H403" s="23" t="str">
        <f t="shared" ca="1" si="29"/>
        <v/>
      </c>
      <c r="I403" s="24" t="str">
        <f>IF(OR(E403="",E403="!!!",F403="NEW"),"",INDEX(B$2:B402,-1+SUMPRODUCT(MAX(ROW(E$2:E402)*(E403=E$2:E402)))))</f>
        <v/>
      </c>
      <c r="J403" s="24" t="str">
        <f ca="1">IF(OR(E403="",E403="!!!",F403="NEW"),"",COUNTBLANK(OFFSET(A$1,,,SUMPRODUCT(MAX(ROW(E$2:E403)*(E403=E$2:E403)))))-COUNTBLANK(OFFSET(A$1,,,SUMPRODUCT(MAX(ROW(E$1:E402)*(E2=E$1:E402))))))</f>
        <v/>
      </c>
      <c r="K403" s="24" t="str">
        <f>IF(OR(E403="",E403="!!!",F403="NEW"),"",INDEX(J$1:J402,SUMPRODUCT(MAX(ROW(E$1:E402)*(E403=E$1:E402)))))</f>
        <v/>
      </c>
      <c r="L403" s="25"/>
    </row>
    <row r="404" spans="1:12" x14ac:dyDescent="0.3">
      <c r="A404" t="s">
        <v>438</v>
      </c>
      <c r="B404" s="26" t="s">
        <v>328</v>
      </c>
      <c r="E404" s="20" t="str">
        <f t="shared" si="28"/>
        <v/>
      </c>
      <c r="F404" s="21" t="str">
        <f>IF(OR(E404="",E404="!!!"),"",IF(NOT(ISNA(VLOOKUP(E404,E$1:E403,1,FALSE()))),"OLD",IF(AND(E404&lt;&gt;"",E404&lt;&gt;"!!!"),"NEW","")))</f>
        <v/>
      </c>
      <c r="G404" s="22" t="str">
        <f>IF(OR(E404="",E404="!!!"),"",IF(OR(J404=0,AND(J404=1,K404=1),AND(J404=1,I404="SBJ"),AND(J404=1,I404=0)),"?IN_FOCUS",IF(J404&lt;=2,"?ACTIVATED",IF(J404&lt;&gt;"","?FAMILIAR",IF(F404="NEW",IF(ISNA(VLOOKUP(E404,#REF!,1,FALSE())),"?TYPE_IDENTIFIABLE","?REFERENTIAL"),"_")))))</f>
        <v/>
      </c>
      <c r="H404" s="23" t="str">
        <f t="shared" ca="1" si="29"/>
        <v/>
      </c>
      <c r="I404" s="24" t="str">
        <f>IF(OR(E404="",E404="!!!",F404="NEW"),"",INDEX(B$2:B403,-1+SUMPRODUCT(MAX(ROW(E$2:E403)*(E404=E$2:E403)))))</f>
        <v/>
      </c>
      <c r="J404" s="24" t="str">
        <f ca="1">IF(OR(E404="",E404="!!!",F404="NEW"),"",COUNTBLANK(OFFSET(A$1,,,SUMPRODUCT(MAX(ROW(E$2:E404)*(E404=E$2:E404)))))-COUNTBLANK(OFFSET(A$1,,,SUMPRODUCT(MAX(ROW(E$1:E403)*(E2=E$1:E403))))))</f>
        <v/>
      </c>
      <c r="K404" s="24" t="str">
        <f>IF(OR(E404="",E404="!!!",F404="NEW"),"",INDEX(J$1:J403,SUMPRODUCT(MAX(ROW(E$1:E403)*(E404=E$1:E403)))))</f>
        <v/>
      </c>
      <c r="L404" s="25"/>
    </row>
    <row r="405" spans="1:12" x14ac:dyDescent="0.3">
      <c r="A405" t="s">
        <v>286</v>
      </c>
      <c r="E405" s="20" t="str">
        <f t="shared" si="28"/>
        <v/>
      </c>
      <c r="F405" s="21" t="str">
        <f>IF(OR(E405="",E405="!!!"),"",IF(NOT(ISNA(VLOOKUP(E405,E$1:E404,1,FALSE()))),"OLD",IF(AND(E405&lt;&gt;"",E405&lt;&gt;"!!!"),"NEW","")))</f>
        <v/>
      </c>
      <c r="G405" s="22" t="str">
        <f>IF(OR(E405="",E405="!!!"),"",IF(OR(J405=0,AND(J405=1,K405=1),AND(J405=1,I405="SBJ"),AND(J405=1,I405=0)),"?IN_FOCUS",IF(J405&lt;=2,"?ACTIVATED",IF(J405&lt;&gt;"","?FAMILIAR",IF(F405="NEW",IF(ISNA(VLOOKUP(E405,#REF!,1,FALSE())),"?TYPE_IDENTIFIABLE","?REFERENTIAL"),"_")))))</f>
        <v/>
      </c>
      <c r="H405" s="23" t="str">
        <f t="shared" ca="1" si="29"/>
        <v/>
      </c>
      <c r="I405" s="24" t="str">
        <f>IF(OR(E405="",E405="!!!",F405="NEW"),"",INDEX(B$2:B404,-1+SUMPRODUCT(MAX(ROW(E$2:E404)*(E405=E$2:E404)))))</f>
        <v/>
      </c>
      <c r="J405" s="24" t="str">
        <f ca="1">IF(OR(E405="",E405="!!!",F405="NEW"),"",COUNTBLANK(OFFSET(A$1,,,SUMPRODUCT(MAX(ROW(E$2:E405)*(E405=E$2:E405)))))-COUNTBLANK(OFFSET(A$1,,,SUMPRODUCT(MAX(ROW(E$1:E404)*(E2=E$1:E404))))))</f>
        <v/>
      </c>
      <c r="K405" s="24" t="str">
        <f>IF(OR(E405="",E405="!!!",F405="NEW"),"",INDEX(J$1:J404,SUMPRODUCT(MAX(ROW(E$1:E404)*(E405=E$1:E404)))))</f>
        <v/>
      </c>
      <c r="L405" s="25"/>
    </row>
    <row r="406" spans="1:12" x14ac:dyDescent="0.3">
      <c r="A406" t="s">
        <v>423</v>
      </c>
      <c r="B406" s="26" t="s">
        <v>250</v>
      </c>
      <c r="C406" s="26" t="s">
        <v>230</v>
      </c>
      <c r="D406" s="26" t="s">
        <v>215</v>
      </c>
      <c r="E406" s="20" t="s">
        <v>669</v>
      </c>
      <c r="F406" s="21" t="str">
        <f>IF(OR(E406="",E406="!!!"),"",IF(NOT(ISNA(VLOOKUP(E406,E$1:E405,1,FALSE()))),"OLD",IF(AND(E406&lt;&gt;"",E406&lt;&gt;"!!!"),"NEW","")))</f>
        <v>OLD</v>
      </c>
      <c r="G406" s="22" t="str">
        <f ca="1">IF(OR(E406="",E406="!!!"),"",IF(OR(J406=0,AND(J406=1,K406=1),AND(J406=1,I406="SBJ"),AND(J406=1,I406=0)),"?IN_FOCUS",IF(J406&lt;=2,"?ACTIVATED",IF(J406&lt;&gt;"","?FAMILIAR",IF(F406="NEW",IF(ISNA(VLOOKUP(E406,#REF!,1,FALSE())),"?TYPE_IDENTIFIABLE","?REFERENTIAL"),"_")))))</f>
        <v>?IN_FOCUS</v>
      </c>
      <c r="H406" s="23" t="str">
        <f t="shared" ca="1" si="29"/>
        <v/>
      </c>
      <c r="I406" s="24" t="str">
        <f>IF(OR(E406="",E406="!!!",F406="NEW"),"",INDEX(B$2:B405,-1+SUMPRODUCT(MAX(ROW(E$2:E405)*(E406=E$2:E405)))))</f>
        <v>SBJ</v>
      </c>
      <c r="J406" s="24">
        <f ca="1">IF(OR(E406="",E406="!!!",F406="NEW"),"",COUNTBLANK(OFFSET(A$1,,,SUMPRODUCT(MAX(ROW(E$2:E406)*(E406=E$2:E406)))))-COUNTBLANK(OFFSET(A$1,,,SUMPRODUCT(MAX(ROW(E$1:E405)*(E2=E$1:E405))))))</f>
        <v>0</v>
      </c>
      <c r="K406" s="24">
        <f ca="1">IF(OR(E406="",E406="!!!",F406="NEW"),"",INDEX(J$1:J405,SUMPRODUCT(MAX(ROW(E$1:E405)*(E406=E$1:E405)))))</f>
        <v>0</v>
      </c>
      <c r="L406" s="25"/>
    </row>
    <row r="407" spans="1:12" x14ac:dyDescent="0.3">
      <c r="A407" t="s">
        <v>439</v>
      </c>
      <c r="E407" s="20" t="str">
        <f t="shared" si="28"/>
        <v/>
      </c>
      <c r="F407" s="21" t="str">
        <f>IF(OR(E407="",E407="!!!"),"",IF(NOT(ISNA(VLOOKUP(E407,E$1:E406,1,FALSE()))),"OLD",IF(AND(E407&lt;&gt;"",E407&lt;&gt;"!!!"),"NEW","")))</f>
        <v/>
      </c>
      <c r="G407" s="22" t="str">
        <f>IF(OR(E407="",E407="!!!"),"",IF(OR(J407=0,AND(J407=1,K407=1),AND(J407=1,I407="SBJ"),AND(J407=1,I407=0)),"?IN_FOCUS",IF(J407&lt;=2,"?ACTIVATED",IF(J407&lt;&gt;"","?FAMILIAR",IF(F407="NEW",IF(ISNA(VLOOKUP(E407,#REF!,1,FALSE())),"?TYPE_IDENTIFIABLE","?REFERENTIAL"),"_")))))</f>
        <v/>
      </c>
      <c r="H407" s="23" t="str">
        <f t="shared" ca="1" si="29"/>
        <v/>
      </c>
      <c r="I407" s="24" t="str">
        <f>IF(OR(E407="",E407="!!!",F407="NEW"),"",INDEX(B$2:B406,-1+SUMPRODUCT(MAX(ROW(E$2:E406)*(E407=E$2:E406)))))</f>
        <v/>
      </c>
      <c r="J407" s="24" t="str">
        <f ca="1">IF(OR(E407="",E407="!!!",F407="NEW"),"",COUNTBLANK(OFFSET(A$1,,,SUMPRODUCT(MAX(ROW(E$2:E407)*(E407=E$2:E407)))))-COUNTBLANK(OFFSET(A$1,,,SUMPRODUCT(MAX(ROW(E$1:E406)*(E2=E$1:E406))))))</f>
        <v/>
      </c>
      <c r="K407" s="24" t="str">
        <f>IF(OR(E407="",E407="!!!",F407="NEW"),"",INDEX(J$1:J406,SUMPRODUCT(MAX(ROW(E$1:E406)*(E407=E$1:E406)))))</f>
        <v/>
      </c>
      <c r="L407" s="25"/>
    </row>
    <row r="408" spans="1:12" x14ac:dyDescent="0.3">
      <c r="A408" t="s">
        <v>287</v>
      </c>
      <c r="E408" s="20" t="str">
        <f t="shared" si="28"/>
        <v/>
      </c>
      <c r="F408" s="21" t="str">
        <f>IF(OR(E408="",E408="!!!"),"",IF(NOT(ISNA(VLOOKUP(E408,E$1:E407,1,FALSE()))),"OLD",IF(AND(E408&lt;&gt;"",E408&lt;&gt;"!!!"),"NEW","")))</f>
        <v/>
      </c>
      <c r="G408" s="22" t="str">
        <f>IF(OR(E408="",E408="!!!"),"",IF(OR(J408=0,AND(J408=1,K408=1),AND(J408=1,I408="SBJ"),AND(J408=1,I408=0)),"?IN_FOCUS",IF(J408&lt;=2,"?ACTIVATED",IF(J408&lt;&gt;"","?FAMILIAR",IF(F408="NEW",IF(ISNA(VLOOKUP(E408,#REF!,1,FALSE())),"?TYPE_IDENTIFIABLE","?REFERENTIAL"),"_")))))</f>
        <v/>
      </c>
      <c r="H408" s="23" t="str">
        <f t="shared" ca="1" si="29"/>
        <v/>
      </c>
      <c r="I408" s="24" t="str">
        <f>IF(OR(E408="",E408="!!!",F408="NEW"),"",INDEX(B$2:B407,-1+SUMPRODUCT(MAX(ROW(E$2:E407)*(E408=E$2:E407)))))</f>
        <v/>
      </c>
      <c r="J408" s="24" t="str">
        <f ca="1">IF(OR(E408="",E408="!!!",F408="NEW"),"",COUNTBLANK(OFFSET(A$1,,,SUMPRODUCT(MAX(ROW(E$2:E408)*(E408=E$2:E408)))))-COUNTBLANK(OFFSET(A$1,,,SUMPRODUCT(MAX(ROW(E$1:E407)*(E2=E$1:E407))))))</f>
        <v/>
      </c>
      <c r="K408" s="24" t="str">
        <f>IF(OR(E408="",E408="!!!",F408="NEW"),"",INDEX(J$1:J407,SUMPRODUCT(MAX(ROW(E$1:E407)*(E408=E$1:E407)))))</f>
        <v/>
      </c>
      <c r="L408" s="25"/>
    </row>
    <row r="409" spans="1:12" x14ac:dyDescent="0.3">
      <c r="A409" t="s">
        <v>440</v>
      </c>
      <c r="E409" s="20" t="str">
        <f t="shared" si="28"/>
        <v/>
      </c>
      <c r="F409" s="21" t="str">
        <f>IF(OR(E409="",E409="!!!"),"",IF(NOT(ISNA(VLOOKUP(E409,E$1:E408,1,FALSE()))),"OLD",IF(AND(E409&lt;&gt;"",E409&lt;&gt;"!!!"),"NEW","")))</f>
        <v/>
      </c>
      <c r="G409" s="22" t="str">
        <f>IF(OR(E409="",E409="!!!"),"",IF(OR(J409=0,AND(J409=1,K409=1),AND(J409=1,I409="SBJ"),AND(J409=1,I409=0)),"?IN_FOCUS",IF(J409&lt;=2,"?ACTIVATED",IF(J409&lt;&gt;"","?FAMILIAR",IF(F409="NEW",IF(ISNA(VLOOKUP(E409,#REF!,1,FALSE())),"?TYPE_IDENTIFIABLE","?REFERENTIAL"),"_")))))</f>
        <v/>
      </c>
      <c r="H409" s="23" t="str">
        <f t="shared" ca="1" si="29"/>
        <v/>
      </c>
      <c r="I409" s="24" t="str">
        <f>IF(OR(E409="",E409="!!!",F409="NEW"),"",INDEX(B$2:B408,-1+SUMPRODUCT(MAX(ROW(E$2:E408)*(E409=E$2:E408)))))</f>
        <v/>
      </c>
      <c r="J409" s="24" t="str">
        <f ca="1">IF(OR(E409="",E409="!!!",F409="NEW"),"",COUNTBLANK(OFFSET(A$1,,,SUMPRODUCT(MAX(ROW(E$2:E409)*(E409=E$2:E409)))))-COUNTBLANK(OFFSET(A$1,,,SUMPRODUCT(MAX(ROW(E$1:E408)*(E2=E$1:E408))))))</f>
        <v/>
      </c>
      <c r="K409" s="24" t="str">
        <f>IF(OR(E409="",E409="!!!",F409="NEW"),"",INDEX(J$1:J408,SUMPRODUCT(MAX(ROW(E$1:E408)*(E409=E$1:E408)))))</f>
        <v/>
      </c>
      <c r="L409" s="25"/>
    </row>
    <row r="410" spans="1:12" x14ac:dyDescent="0.3">
      <c r="A410" t="s">
        <v>441</v>
      </c>
      <c r="E410" s="20" t="str">
        <f t="shared" si="28"/>
        <v/>
      </c>
      <c r="F410" s="21" t="str">
        <f>IF(OR(E410="",E410="!!!"),"",IF(NOT(ISNA(VLOOKUP(E410,E$1:E409,1,FALSE()))),"OLD",IF(AND(E410&lt;&gt;"",E410&lt;&gt;"!!!"),"NEW","")))</f>
        <v/>
      </c>
      <c r="G410" s="22" t="str">
        <f>IF(OR(E410="",E410="!!!"),"",IF(OR(J410=0,AND(J410=1,K410=1),AND(J410=1,I410="SBJ"),AND(J410=1,I410=0)),"?IN_FOCUS",IF(J410&lt;=2,"?ACTIVATED",IF(J410&lt;&gt;"","?FAMILIAR",IF(F410="NEW",IF(ISNA(VLOOKUP(E410,#REF!,1,FALSE())),"?TYPE_IDENTIFIABLE","?REFERENTIAL"),"_")))))</f>
        <v/>
      </c>
      <c r="H410" s="23" t="str">
        <f t="shared" ca="1" si="29"/>
        <v/>
      </c>
      <c r="I410" s="24" t="str">
        <f>IF(OR(E410="",E410="!!!",F410="NEW"),"",INDEX(B$2:B409,-1+SUMPRODUCT(MAX(ROW(E$2:E409)*(E410=E$2:E409)))))</f>
        <v/>
      </c>
      <c r="J410" s="24" t="str">
        <f ca="1">IF(OR(E410="",E410="!!!",F410="NEW"),"",COUNTBLANK(OFFSET(A$1,,,SUMPRODUCT(MAX(ROW(E$2:E410)*(E410=E$2:E410)))))-COUNTBLANK(OFFSET(A$1,,,SUMPRODUCT(MAX(ROW(E$1:E409)*(E2=E$1:E409))))))</f>
        <v/>
      </c>
      <c r="K410" s="24" t="str">
        <f>IF(OR(E410="",E410="!!!",F410="NEW"),"",INDEX(J$1:J409,SUMPRODUCT(MAX(ROW(E$1:E409)*(E410=E$1:E409)))))</f>
        <v/>
      </c>
      <c r="L410" s="25"/>
    </row>
    <row r="411" spans="1:12" x14ac:dyDescent="0.3">
      <c r="A411" t="s">
        <v>274</v>
      </c>
      <c r="E411" s="20" t="str">
        <f t="shared" si="28"/>
        <v/>
      </c>
      <c r="F411" s="21" t="str">
        <f>IF(OR(E411="",E411="!!!"),"",IF(NOT(ISNA(VLOOKUP(E411,E$1:E410,1,FALSE()))),"OLD",IF(AND(E411&lt;&gt;"",E411&lt;&gt;"!!!"),"NEW","")))</f>
        <v/>
      </c>
      <c r="G411" s="22" t="str">
        <f>IF(OR(E411="",E411="!!!"),"",IF(OR(J411=0,AND(J411=1,K411=1),AND(J411=1,I411="SBJ"),AND(J411=1,I411=0)),"?IN_FOCUS",IF(J411&lt;=2,"?ACTIVATED",IF(J411&lt;&gt;"","?FAMILIAR",IF(F411="NEW",IF(ISNA(VLOOKUP(E411,#REF!,1,FALSE())),"?TYPE_IDENTIFIABLE","?REFERENTIAL"),"_")))))</f>
        <v/>
      </c>
      <c r="H411" s="23" t="str">
        <f t="shared" ca="1" si="29"/>
        <v/>
      </c>
      <c r="I411" s="24" t="str">
        <f>IF(OR(E411="",E411="!!!",F411="NEW"),"",INDEX(B$2:B410,-1+SUMPRODUCT(MAX(ROW(E$2:E410)*(E411=E$2:E410)))))</f>
        <v/>
      </c>
      <c r="J411" s="24" t="str">
        <f ca="1">IF(OR(E411="",E411="!!!",F411="NEW"),"",COUNTBLANK(OFFSET(A$1,,,SUMPRODUCT(MAX(ROW(E$2:E411)*(E411=E$2:E411)))))-COUNTBLANK(OFFSET(A$1,,,SUMPRODUCT(MAX(ROW(E$1:E410)*(E2=E$1:E410))))))</f>
        <v/>
      </c>
      <c r="K411" s="24" t="str">
        <f>IF(OR(E411="",E411="!!!",F411="NEW"),"",INDEX(J$1:J410,SUMPRODUCT(MAX(ROW(E$1:E410)*(E411=E$1:E410)))))</f>
        <v/>
      </c>
      <c r="L411" s="25"/>
    </row>
    <row r="412" spans="1:12" x14ac:dyDescent="0.3">
      <c r="A412" t="s">
        <v>403</v>
      </c>
      <c r="B412" s="26" t="s">
        <v>266</v>
      </c>
      <c r="C412" s="26" t="s">
        <v>226</v>
      </c>
      <c r="E412" s="20" t="str">
        <f t="shared" si="28"/>
        <v/>
      </c>
      <c r="F412" s="21" t="str">
        <f>IF(OR(E412="",E412="!!!"),"",IF(NOT(ISNA(VLOOKUP(E412,E$1:E411,1,FALSE()))),"OLD",IF(AND(E412&lt;&gt;"",E412&lt;&gt;"!!!"),"NEW","")))</f>
        <v/>
      </c>
      <c r="G412" s="22" t="str">
        <f>IF(OR(E412="",E412="!!!"),"",IF(OR(J412=0,AND(J412=1,K412=1),AND(J412=1,I412="SBJ"),AND(J412=1,I412=0)),"?IN_FOCUS",IF(J412&lt;=2,"?ACTIVATED",IF(J412&lt;&gt;"","?FAMILIAR",IF(F412="NEW",IF(ISNA(VLOOKUP(E412,#REF!,1,FALSE())),"?TYPE_IDENTIFIABLE","?REFERENTIAL"),"_")))))</f>
        <v/>
      </c>
      <c r="H412" s="23" t="str">
        <f t="shared" ca="1" si="29"/>
        <v/>
      </c>
      <c r="I412" s="24" t="str">
        <f>IF(OR(E412="",E412="!!!",F412="NEW"),"",INDEX(B$2:B411,-1+SUMPRODUCT(MAX(ROW(E$2:E411)*(E412=E$2:E411)))))</f>
        <v/>
      </c>
      <c r="J412" s="24" t="str">
        <f ca="1">IF(OR(E412="",E412="!!!",F412="NEW"),"",COUNTBLANK(OFFSET(A$1,,,SUMPRODUCT(MAX(ROW(E$2:E412)*(E412=E$2:E412)))))-COUNTBLANK(OFFSET(A$1,,,SUMPRODUCT(MAX(ROW(E$1:E411)*(E2=E$1:E411))))))</f>
        <v/>
      </c>
      <c r="K412" s="24" t="str">
        <f>IF(OR(E412="",E412="!!!",F412="NEW"),"",INDEX(J$1:J411,SUMPRODUCT(MAX(ROW(E$1:E411)*(E412=E$1:E411)))))</f>
        <v/>
      </c>
      <c r="L412" s="25"/>
    </row>
    <row r="413" spans="1:12" x14ac:dyDescent="0.3">
      <c r="A413" t="s">
        <v>207</v>
      </c>
      <c r="E413" s="20" t="str">
        <f t="shared" si="28"/>
        <v/>
      </c>
      <c r="F413" s="21" t="str">
        <f>IF(OR(E413="",E413="!!!"),"",IF(NOT(ISNA(VLOOKUP(E413,E$1:E412,1,FALSE()))),"OLD",IF(AND(E413&lt;&gt;"",E413&lt;&gt;"!!!"),"NEW","")))</f>
        <v/>
      </c>
      <c r="G413" s="22" t="str">
        <f>IF(OR(E413="",E413="!!!"),"",IF(OR(J413=0,AND(J413=1,K413=1),AND(J413=1,I413="SBJ"),AND(J413=1,I413=0)),"?IN_FOCUS",IF(J413&lt;=2,"?ACTIVATED",IF(J413&lt;&gt;"","?FAMILIAR",IF(F413="NEW",IF(ISNA(VLOOKUP(E413,#REF!,1,FALSE())),"?TYPE_IDENTIFIABLE","?REFERENTIAL"),"_")))))</f>
        <v/>
      </c>
      <c r="H413" s="23" t="str">
        <f t="shared" ca="1" si="29"/>
        <v/>
      </c>
      <c r="I413" s="24" t="str">
        <f>IF(OR(E413="",E413="!!!",F413="NEW"),"",INDEX(B$2:B412,-1+SUMPRODUCT(MAX(ROW(E$2:E412)*(E413=E$2:E412)))))</f>
        <v/>
      </c>
      <c r="J413" s="24" t="str">
        <f ca="1">IF(OR(E413="",E413="!!!",F413="NEW"),"",COUNTBLANK(OFFSET(A$1,,,SUMPRODUCT(MAX(ROW(E$2:E413)*(E413=E$2:E413)))))-COUNTBLANK(OFFSET(A$1,,,SUMPRODUCT(MAX(ROW(E$1:E412)*(E2=E$1:E412))))))</f>
        <v/>
      </c>
      <c r="K413" s="24" t="str">
        <f>IF(OR(E413="",E413="!!!",F413="NEW"),"",INDEX(J$1:J412,SUMPRODUCT(MAX(ROW(E$1:E412)*(E413=E$1:E412)))))</f>
        <v/>
      </c>
      <c r="L413" s="25"/>
    </row>
    <row r="414" spans="1:12" x14ac:dyDescent="0.3">
      <c r="A414" t="s">
        <v>442</v>
      </c>
      <c r="E414" s="20" t="str">
        <f t="shared" si="28"/>
        <v/>
      </c>
      <c r="F414" s="21" t="str">
        <f>IF(OR(E414="",E414="!!!"),"",IF(NOT(ISNA(VLOOKUP(E414,E$1:E413,1,FALSE()))),"OLD",IF(AND(E414&lt;&gt;"",E414&lt;&gt;"!!!"),"NEW","")))</f>
        <v/>
      </c>
      <c r="G414" s="22" t="str">
        <f>IF(OR(E414="",E414="!!!"),"",IF(OR(J414=0,AND(J414=1,K414=1),AND(J414=1,I414="SBJ"),AND(J414=1,I414=0)),"?IN_FOCUS",IF(J414&lt;=2,"?ACTIVATED",IF(J414&lt;&gt;"","?FAMILIAR",IF(F414="NEW",IF(ISNA(VLOOKUP(E414,#REF!,1,FALSE())),"?TYPE_IDENTIFIABLE","?REFERENTIAL"),"_")))))</f>
        <v/>
      </c>
      <c r="H414" s="23" t="str">
        <f t="shared" ca="1" si="29"/>
        <v/>
      </c>
      <c r="I414" s="24" t="str">
        <f>IF(OR(E414="",E414="!!!",F414="NEW"),"",INDEX(B$2:B413,-1+SUMPRODUCT(MAX(ROW(E$2:E413)*(E414=E$2:E413)))))</f>
        <v/>
      </c>
      <c r="J414" s="24" t="str">
        <f ca="1">IF(OR(E414="",E414="!!!",F414="NEW"),"",COUNTBLANK(OFFSET(A$1,,,SUMPRODUCT(MAX(ROW(E$2:E414)*(E414=E$2:E414)))))-COUNTBLANK(OFFSET(A$1,,,SUMPRODUCT(MAX(ROW(E$1:E413)*(E2=E$1:E413))))))</f>
        <v/>
      </c>
      <c r="K414" s="24" t="str">
        <f>IF(OR(E414="",E414="!!!",F414="NEW"),"",INDEX(J$1:J413,SUMPRODUCT(MAX(ROW(E$1:E413)*(E414=E$1:E413)))))</f>
        <v/>
      </c>
      <c r="L414" s="25"/>
    </row>
    <row r="415" spans="1:12" x14ac:dyDescent="0.3">
      <c r="A415" t="s">
        <v>220</v>
      </c>
      <c r="E415" s="20" t="str">
        <f t="shared" si="28"/>
        <v/>
      </c>
      <c r="F415" s="21" t="str">
        <f>IF(OR(E415="",E415="!!!"),"",IF(NOT(ISNA(VLOOKUP(E415,E$1:E414,1,FALSE()))),"OLD",IF(AND(E415&lt;&gt;"",E415&lt;&gt;"!!!"),"NEW","")))</f>
        <v/>
      </c>
      <c r="G415" s="22" t="str">
        <f>IF(OR(E415="",E415="!!!"),"",IF(OR(J415=0,AND(J415=1,K415=1),AND(J415=1,I415="SBJ"),AND(J415=1,I415=0)),"?IN_FOCUS",IF(J415&lt;=2,"?ACTIVATED",IF(J415&lt;&gt;"","?FAMILIAR",IF(F415="NEW",IF(ISNA(VLOOKUP(E415,#REF!,1,FALSE())),"?TYPE_IDENTIFIABLE","?REFERENTIAL"),"_")))))</f>
        <v/>
      </c>
      <c r="H415" s="23" t="str">
        <f t="shared" ca="1" si="29"/>
        <v/>
      </c>
      <c r="I415" s="24" t="str">
        <f>IF(OR(E415="",E415="!!!",F415="NEW"),"",INDEX(B$2:B414,-1+SUMPRODUCT(MAX(ROW(E$2:E414)*(E415=E$2:E414)))))</f>
        <v/>
      </c>
      <c r="J415" s="24" t="str">
        <f ca="1">IF(OR(E415="",E415="!!!",F415="NEW"),"",COUNTBLANK(OFFSET(A$1,,,SUMPRODUCT(MAX(ROW(E$2:E415)*(E415=E$2:E415)))))-COUNTBLANK(OFFSET(A$1,,,SUMPRODUCT(MAX(ROW(E$1:E414)*(E2=E$1:E414))))))</f>
        <v/>
      </c>
      <c r="K415" s="24" t="str">
        <f>IF(OR(E415="",E415="!!!",F415="NEW"),"",INDEX(J$1:J414,SUMPRODUCT(MAX(ROW(E$1:E414)*(E415=E$1:E414)))))</f>
        <v/>
      </c>
      <c r="L415" s="25"/>
    </row>
    <row r="416" spans="1:12" x14ac:dyDescent="0.3">
      <c r="A416" t="s">
        <v>221</v>
      </c>
      <c r="B416" s="26" t="s">
        <v>443</v>
      </c>
      <c r="C416" s="26" t="s">
        <v>264</v>
      </c>
      <c r="D416" s="26" t="s">
        <v>215</v>
      </c>
      <c r="E416" s="20" t="s">
        <v>221</v>
      </c>
      <c r="F416" s="21" t="str">
        <f>IF(OR(E416="",E416="!!!"),"",IF(NOT(ISNA(VLOOKUP(E416,E$1:E415,1,FALSE()))),"OLD",IF(AND(E416&lt;&gt;"",E416&lt;&gt;"!!!"),"NEW","")))</f>
        <v>OLD</v>
      </c>
      <c r="G416" s="22" t="s">
        <v>657</v>
      </c>
      <c r="H416" s="23" t="str">
        <f t="shared" ref="H416:H436" ca="1" si="30">IF(J416&lt;&gt;1,"",IF(I416="SBJ","CB","?"))</f>
        <v/>
      </c>
      <c r="I416" s="24" t="str">
        <f>IF(OR(E416="",E416="!!!",F416="NEW"),"",INDEX(B$2:B415,-1+SUMPRODUCT(MAX(ROW(E$2:E415)*(E416=E$2:E415)))))</f>
        <v>OBJ_4</v>
      </c>
      <c r="J416" s="24">
        <f ca="1">IF(OR(E416="",E416="!!!",F416="NEW"),"",COUNTBLANK(OFFSET(A$1,,,SUMPRODUCT(MAX(ROW(E$2:E416)*(E416=E$2:E416)))))-COUNTBLANK(OFFSET(A$1,,,SUMPRODUCT(MAX(ROW(E$1:E415)*(E2=E$1:E415))))))</f>
        <v>0</v>
      </c>
      <c r="K416" s="24">
        <f ca="1">IF(OR(E416="",E416="!!!",F416="NEW"),"",INDEX(J$1:J415,SUMPRODUCT(MAX(ROW(E$1:E415)*(E416=E$1:E415)))))</f>
        <v>0</v>
      </c>
      <c r="L416" s="25"/>
    </row>
    <row r="417" spans="1:12" x14ac:dyDescent="0.3">
      <c r="A417" t="s">
        <v>223</v>
      </c>
      <c r="E417" s="20" t="str">
        <f t="shared" ref="E417:E436" si="31">IF(D417="?OLD","!!!","")</f>
        <v/>
      </c>
      <c r="F417" s="21" t="str">
        <f>IF(OR(E417="",E417="!!!"),"",IF(NOT(ISNA(VLOOKUP(E417,E$1:E416,1,FALSE()))),"OLD",IF(AND(E417&lt;&gt;"",E417&lt;&gt;"!!!"),"NEW","")))</f>
        <v/>
      </c>
      <c r="G417" s="22" t="str">
        <f>IF(OR(E417="",E417="!!!"),"",IF(OR(J417=0,AND(J417=1,K417=1),AND(J417=1,I417="SBJ"),AND(J417=1,I417=0)),"?IN_FOCUS",IF(J417&lt;=2,"?ACTIVATED",IF(J417&lt;&gt;"","?FAMILIAR",IF(F417="NEW",IF(ISNA(VLOOKUP(E417,#REF!,1,FALSE())),"?TYPE_IDENTIFIABLE","?REFERENTIAL"),"_")))))</f>
        <v/>
      </c>
      <c r="H417" s="23" t="str">
        <f t="shared" ca="1" si="30"/>
        <v/>
      </c>
      <c r="I417" s="24" t="str">
        <f>IF(OR(E417="",E417="!!!",F417="NEW"),"",INDEX(B$2:B416,-1+SUMPRODUCT(MAX(ROW(E$2:E416)*(E417=E$2:E416)))))</f>
        <v/>
      </c>
      <c r="J417" s="24" t="str">
        <f ca="1">IF(OR(E417="",E417="!!!",F417="NEW"),"",COUNTBLANK(OFFSET(A$1,,,SUMPRODUCT(MAX(ROW(E$2:E417)*(E417=E$2:E417)))))-COUNTBLANK(OFFSET(A$1,,,SUMPRODUCT(MAX(ROW(E$1:E416)*(E2=E$1:E416))))))</f>
        <v/>
      </c>
      <c r="K417" s="24" t="str">
        <f>IF(OR(E417="",E417="!!!",F417="NEW"),"",INDEX(J$1:J416,SUMPRODUCT(MAX(ROW(E$1:E416)*(E417=E$1:E416)))))</f>
        <v/>
      </c>
      <c r="L417" s="25"/>
    </row>
    <row r="418" spans="1:12" x14ac:dyDescent="0.3">
      <c r="A418" t="s">
        <v>318</v>
      </c>
      <c r="B418" s="26" t="s">
        <v>336</v>
      </c>
      <c r="C418" s="26" t="s">
        <v>214</v>
      </c>
      <c r="D418" s="26" t="s">
        <v>215</v>
      </c>
      <c r="E418" s="20" t="s">
        <v>698</v>
      </c>
      <c r="F418" s="21" t="str">
        <f>IF(OR(E418="",E418="!!!"),"",IF(NOT(ISNA(VLOOKUP(E418,E$1:E417,1,FALSE()))),"OLD",IF(AND(E418&lt;&gt;"",E418&lt;&gt;"!!!"),"NEW","")))</f>
        <v>OLD</v>
      </c>
      <c r="G418" s="22" t="s">
        <v>657</v>
      </c>
      <c r="H418" s="23" t="str">
        <f t="shared" ca="1" si="30"/>
        <v/>
      </c>
      <c r="I418" s="24">
        <f>IF(OR(E418="",E418="!!!",F418="NEW"),"",INDEX(B$2:B417,-1+SUMPRODUCT(MAX(ROW(E$2:E417)*(E418=E$2:E417)))))</f>
        <v>0</v>
      </c>
      <c r="J418" s="24">
        <f ca="1">IF(OR(E418="",E418="!!!",F418="NEW"),"",COUNTBLANK(OFFSET(A$1,,,SUMPRODUCT(MAX(ROW(E$2:E418)*(E418=E$2:E418)))))-COUNTBLANK(OFFSET(A$1,,,SUMPRODUCT(MAX(ROW(E$1:E417)*(E2=E$1:E417))))))</f>
        <v>0</v>
      </c>
      <c r="K418" s="24" t="str">
        <f ca="1">IF(OR(E418="",E418="!!!",F418="NEW"),"",INDEX(J$1:J417,SUMPRODUCT(MAX(ROW(E$1:E417)*(E418=E$1:E417)))))</f>
        <v/>
      </c>
      <c r="L418" s="25"/>
    </row>
    <row r="419" spans="1:12" x14ac:dyDescent="0.3">
      <c r="A419" t="s">
        <v>319</v>
      </c>
      <c r="E419" s="20" t="str">
        <f t="shared" si="31"/>
        <v/>
      </c>
      <c r="F419" s="21" t="str">
        <f>IF(OR(E419="",E419="!!!"),"",IF(NOT(ISNA(VLOOKUP(E419,E$1:E418,1,FALSE()))),"OLD",IF(AND(E419&lt;&gt;"",E419&lt;&gt;"!!!"),"NEW","")))</f>
        <v/>
      </c>
      <c r="G419" s="22" t="str">
        <f>IF(OR(E419="",E419="!!!"),"",IF(OR(J419=0,AND(J419=1,K419=1),AND(J419=1,I419="SBJ"),AND(J419=1,I419=0)),"?IN_FOCUS",IF(J419&lt;=2,"?ACTIVATED",IF(J419&lt;&gt;"","?FAMILIAR",IF(F419="NEW",IF(ISNA(VLOOKUP(E419,#REF!,1,FALSE())),"?TYPE_IDENTIFIABLE","?REFERENTIAL"),"_")))))</f>
        <v/>
      </c>
      <c r="H419" s="23" t="str">
        <f t="shared" ca="1" si="30"/>
        <v/>
      </c>
      <c r="I419" s="24" t="str">
        <f>IF(OR(E419="",E419="!!!",F419="NEW"),"",INDEX(B$2:B418,-1+SUMPRODUCT(MAX(ROW(E$2:E418)*(E419=E$2:E418)))))</f>
        <v/>
      </c>
      <c r="J419" s="24" t="str">
        <f ca="1">IF(OR(E419="",E419="!!!",F419="NEW"),"",COUNTBLANK(OFFSET(A$1,,,SUMPRODUCT(MAX(ROW(E$2:E419)*(E419=E$2:E419)))))-COUNTBLANK(OFFSET(A$1,,,SUMPRODUCT(MAX(ROW(E$1:E418)*(E2=E$1:E418))))))</f>
        <v/>
      </c>
      <c r="K419" s="24" t="str">
        <f>IF(OR(E419="",E419="!!!",F419="NEW"),"",INDEX(J$1:J418,SUMPRODUCT(MAX(ROW(E$1:E418)*(E419=E$1:E418)))))</f>
        <v/>
      </c>
      <c r="L419" s="25"/>
    </row>
    <row r="420" spans="1:12" x14ac:dyDescent="0.3">
      <c r="A420" t="s">
        <v>207</v>
      </c>
      <c r="E420" s="20" t="str">
        <f t="shared" si="31"/>
        <v/>
      </c>
      <c r="F420" s="21" t="str">
        <f>IF(OR(E420="",E420="!!!"),"",IF(NOT(ISNA(VLOOKUP(E420,E$1:E419,1,FALSE()))),"OLD",IF(AND(E420&lt;&gt;"",E420&lt;&gt;"!!!"),"NEW","")))</f>
        <v/>
      </c>
      <c r="G420" s="22" t="str">
        <f>IF(OR(E420="",E420="!!!"),"",IF(OR(J420=0,AND(J420=1,K420=1),AND(J420=1,I420="SBJ"),AND(J420=1,I420=0)),"?IN_FOCUS",IF(J420&lt;=2,"?ACTIVATED",IF(J420&lt;&gt;"","?FAMILIAR",IF(F420="NEW",IF(ISNA(VLOOKUP(E420,#REF!,1,FALSE())),"?TYPE_IDENTIFIABLE","?REFERENTIAL"),"_")))))</f>
        <v/>
      </c>
      <c r="H420" s="23" t="str">
        <f t="shared" ca="1" si="30"/>
        <v/>
      </c>
      <c r="I420" s="24" t="str">
        <f>IF(OR(E420="",E420="!!!",F420="NEW"),"",INDEX(B$2:B419,-1+SUMPRODUCT(MAX(ROW(E$2:E419)*(E420=E$2:E419)))))</f>
        <v/>
      </c>
      <c r="J420" s="24" t="str">
        <f ca="1">IF(OR(E420="",E420="!!!",F420="NEW"),"",COUNTBLANK(OFFSET(A$1,,,SUMPRODUCT(MAX(ROW(E$2:E420)*(E420=E$2:E420)))))-COUNTBLANK(OFFSET(A$1,,,SUMPRODUCT(MAX(ROW(E$1:E419)*(E2=E$1:E419))))))</f>
        <v/>
      </c>
      <c r="K420" s="24" t="str">
        <f>IF(OR(E420="",E420="!!!",F420="NEW"),"",INDEX(J$1:J419,SUMPRODUCT(MAX(ROW(E$1:E419)*(E420=E$1:E419)))))</f>
        <v/>
      </c>
      <c r="L420" s="25"/>
    </row>
    <row r="421" spans="1:12" x14ac:dyDescent="0.3">
      <c r="A421" t="s">
        <v>444</v>
      </c>
      <c r="E421" s="20" t="str">
        <f t="shared" si="31"/>
        <v/>
      </c>
      <c r="F421" s="21" t="str">
        <f>IF(OR(E421="",E421="!!!"),"",IF(NOT(ISNA(VLOOKUP(E421,E$1:E420,1,FALSE()))),"OLD",IF(AND(E421&lt;&gt;"",E421&lt;&gt;"!!!"),"NEW","")))</f>
        <v/>
      </c>
      <c r="G421" s="22" t="str">
        <f>IF(OR(E421="",E421="!!!"),"",IF(OR(J421=0,AND(J421=1,K421=1),AND(J421=1,I421="SBJ"),AND(J421=1,I421=0)),"?IN_FOCUS",IF(J421&lt;=2,"?ACTIVATED",IF(J421&lt;&gt;"","?FAMILIAR",IF(F421="NEW",IF(ISNA(VLOOKUP(E421,#REF!,1,FALSE())),"?TYPE_IDENTIFIABLE","?REFERENTIAL"),"_")))))</f>
        <v/>
      </c>
      <c r="H421" s="23" t="str">
        <f t="shared" ca="1" si="30"/>
        <v/>
      </c>
      <c r="I421" s="24" t="str">
        <f>IF(OR(E421="",E421="!!!",F421="NEW"),"",INDEX(B$2:B420,-1+SUMPRODUCT(MAX(ROW(E$2:E420)*(E421=E$2:E420)))))</f>
        <v/>
      </c>
      <c r="J421" s="24" t="str">
        <f ca="1">IF(OR(E421="",E421="!!!",F421="NEW"),"",COUNTBLANK(OFFSET(A$1,,,SUMPRODUCT(MAX(ROW(E$2:E421)*(E421=E$2:E421)))))-COUNTBLANK(OFFSET(A$1,,,SUMPRODUCT(MAX(ROW(E$1:E420)*(E2=E$1:E420))))))</f>
        <v/>
      </c>
      <c r="K421" s="24" t="str">
        <f>IF(OR(E421="",E421="!!!",F421="NEW"),"",INDEX(J$1:J420,SUMPRODUCT(MAX(ROW(E$1:E420)*(E421=E$1:E420)))))</f>
        <v/>
      </c>
      <c r="L421" s="25"/>
    </row>
    <row r="422" spans="1:12" x14ac:dyDescent="0.3">
      <c r="A422" t="s">
        <v>323</v>
      </c>
      <c r="E422" s="20" t="str">
        <f t="shared" si="31"/>
        <v/>
      </c>
      <c r="F422" s="21" t="str">
        <f>IF(OR(E422="",E422="!!!"),"",IF(NOT(ISNA(VLOOKUP(E422,E$1:E421,1,FALSE()))),"OLD",IF(AND(E422&lt;&gt;"",E422&lt;&gt;"!!!"),"NEW","")))</f>
        <v/>
      </c>
      <c r="G422" s="22" t="str">
        <f>IF(OR(E422="",E422="!!!"),"",IF(OR(J422=0,AND(J422=1,K422=1),AND(J422=1,I422="SBJ"),AND(J422=1,I422=0)),"?IN_FOCUS",IF(J422&lt;=2,"?ACTIVATED",IF(J422&lt;&gt;"","?FAMILIAR",IF(F422="NEW",IF(ISNA(VLOOKUP(E422,#REF!,1,FALSE())),"?TYPE_IDENTIFIABLE","?REFERENTIAL"),"_")))))</f>
        <v/>
      </c>
      <c r="H422" s="23" t="str">
        <f t="shared" ca="1" si="30"/>
        <v/>
      </c>
      <c r="I422" s="24" t="str">
        <f>IF(OR(E422="",E422="!!!",F422="NEW"),"",INDEX(B$2:B421,-1+SUMPRODUCT(MAX(ROW(E$2:E421)*(E422=E$2:E421)))))</f>
        <v/>
      </c>
      <c r="J422" s="24" t="str">
        <f ca="1">IF(OR(E422="",E422="!!!",F422="NEW"),"",COUNTBLANK(OFFSET(A$1,,,SUMPRODUCT(MAX(ROW(E$2:E422)*(E422=E$2:E422)))))-COUNTBLANK(OFFSET(A$1,,,SUMPRODUCT(MAX(ROW(E$1:E421)*(E2=E$1:E421))))))</f>
        <v/>
      </c>
      <c r="K422" s="24" t="str">
        <f>IF(OR(E422="",E422="!!!",F422="NEW"),"",INDEX(J$1:J421,SUMPRODUCT(MAX(ROW(E$1:E421)*(E422=E$1:E421)))))</f>
        <v/>
      </c>
      <c r="L422" s="25"/>
    </row>
    <row r="423" spans="1:12" x14ac:dyDescent="0.3">
      <c r="A423" t="s">
        <v>445</v>
      </c>
      <c r="B423" s="26" t="s">
        <v>325</v>
      </c>
      <c r="C423" s="26" t="s">
        <v>380</v>
      </c>
      <c r="D423" s="26" t="s">
        <v>215</v>
      </c>
      <c r="E423" s="20" t="s">
        <v>221</v>
      </c>
      <c r="F423" s="21" t="str">
        <f>IF(OR(E423="",E423="!!!"),"",IF(NOT(ISNA(VLOOKUP(E423,E$1:E422,1,FALSE()))),"OLD",IF(AND(E423&lt;&gt;"",E423&lt;&gt;"!!!"),"NEW","")))</f>
        <v>OLD</v>
      </c>
      <c r="G423" s="22" t="str">
        <f ca="1">IF(OR(E423="",E423="!!!"),"",IF(OR(J423=0,AND(J423=1,K423=1),AND(J423=1,I423="SBJ"),AND(J423=1,I423=0)),"?IN_FOCUS",IF(J423&lt;=2,"?ACTIVATED",IF(J423&lt;&gt;"","?FAMILIAR",IF(F423="NEW",IF(ISNA(VLOOKUP(E423,#REF!,1,FALSE())),"?TYPE_IDENTIFIABLE","?REFERENTIAL"),"_")))))</f>
        <v>?IN_FOCUS</v>
      </c>
      <c r="H423" s="23" t="str">
        <f t="shared" ca="1" si="30"/>
        <v/>
      </c>
      <c r="I423" s="24" t="str">
        <f>IF(OR(E423="",E423="!!!",F423="NEW"),"",INDEX(B$2:B422,-1+SUMPRODUCT(MAX(ROW(E$2:E422)*(E423=E$2:E422)))))</f>
        <v>OBJ_5</v>
      </c>
      <c r="J423" s="24">
        <f ca="1">IF(OR(E423="",E423="!!!",F423="NEW"),"",COUNTBLANK(OFFSET(A$1,,,SUMPRODUCT(MAX(ROW(E$2:E423)*(E423=E$2:E423)))))-COUNTBLANK(OFFSET(A$1,,,SUMPRODUCT(MAX(ROW(E$1:E422)*(E2=E$1:E422))))))</f>
        <v>0</v>
      </c>
      <c r="K423" s="24">
        <f ca="1">IF(OR(E423="",E423="!!!",F423="NEW"),"",INDEX(J$1:J422,SUMPRODUCT(MAX(ROW(E$1:E422)*(E423=E$1:E422)))))</f>
        <v>0</v>
      </c>
      <c r="L423" s="25"/>
    </row>
    <row r="424" spans="1:12" x14ac:dyDescent="0.3">
      <c r="A424" t="s">
        <v>446</v>
      </c>
      <c r="B424" s="26" t="s">
        <v>225</v>
      </c>
      <c r="C424" s="26" t="s">
        <v>264</v>
      </c>
      <c r="D424" s="26" t="s">
        <v>215</v>
      </c>
      <c r="E424" s="20" t="s">
        <v>446</v>
      </c>
      <c r="F424" s="21" t="str">
        <f>IF(OR(E424="",E424="!!!"),"",IF(NOT(ISNA(VLOOKUP(E424,E$1:E423,1,FALSE()))),"OLD",IF(AND(E424&lt;&gt;"",E424&lt;&gt;"!!!"),"NEW","")))</f>
        <v>NEW</v>
      </c>
      <c r="G424" s="22" t="str">
        <f ca="1">IF(OR(E424="",E424="!!!"),"",IF(OR(J424=0,AND(J424=1,K424=1),AND(J424=1,I424="SBJ"),AND(J424=1,I424=0)),"?IN_FOCUS",IF(J424&lt;=2,"?ACTIVATED",IF(J424&lt;&gt;"","?FAMILIAR",IF(F424="NEW",IF(ISNA(VLOOKUP(E424,#REF!,1,FALSE())),"?TYPE_IDENTIFIABLE","?REFERENTIAL"),"_")))))</f>
        <v>?REFERENTIAL</v>
      </c>
      <c r="H424" s="23" t="str">
        <f t="shared" ca="1" si="30"/>
        <v/>
      </c>
      <c r="I424" s="24" t="str">
        <f>IF(OR(E424="",E424="!!!",F424="NEW"),"",INDEX(B$2:B423,-1+SUMPRODUCT(MAX(ROW(E$2:E423)*(E424=E$2:E423)))))</f>
        <v/>
      </c>
      <c r="J424" s="24" t="str">
        <f ca="1">IF(OR(E424="",E424="!!!",F424="NEW"),"",COUNTBLANK(OFFSET(A$1,,,SUMPRODUCT(MAX(ROW(E$2:E424)*(E424=E$2:E424)))))-COUNTBLANK(OFFSET(A$1,,,SUMPRODUCT(MAX(ROW(E$1:E423)*(E2=E$1:E423))))))</f>
        <v/>
      </c>
      <c r="K424" s="24" t="str">
        <f>IF(OR(E424="",E424="!!!",F424="NEW"),"",INDEX(J$1:J423,SUMPRODUCT(MAX(ROW(E$1:E423)*(E424=E$1:E423)))))</f>
        <v/>
      </c>
      <c r="L424" s="25"/>
    </row>
    <row r="425" spans="1:12" x14ac:dyDescent="0.3">
      <c r="A425" t="s">
        <v>207</v>
      </c>
      <c r="E425" s="20" t="str">
        <f t="shared" si="31"/>
        <v/>
      </c>
      <c r="F425" s="21" t="str">
        <f>IF(OR(E425="",E425="!!!"),"",IF(NOT(ISNA(VLOOKUP(E425,E$1:E424,1,FALSE()))),"OLD",IF(AND(E425&lt;&gt;"",E425&lt;&gt;"!!!"),"NEW","")))</f>
        <v/>
      </c>
      <c r="G425" s="22" t="str">
        <f>IF(OR(E425="",E425="!!!"),"",IF(OR(J425=0,AND(J425=1,K425=1),AND(J425=1,I425="SBJ"),AND(J425=1,I425=0)),"?IN_FOCUS",IF(J425&lt;=2,"?ACTIVATED",IF(J425&lt;&gt;"","?FAMILIAR",IF(F425="NEW",IF(ISNA(VLOOKUP(E425,#REF!,1,FALSE())),"?TYPE_IDENTIFIABLE","?REFERENTIAL"),"_")))))</f>
        <v/>
      </c>
      <c r="H425" s="23" t="str">
        <f t="shared" ca="1" si="30"/>
        <v/>
      </c>
      <c r="I425" s="24" t="str">
        <f>IF(OR(E425="",E425="!!!",F425="NEW"),"",INDEX(B$2:B424,-1+SUMPRODUCT(MAX(ROW(E$2:E424)*(E425=E$2:E424)))))</f>
        <v/>
      </c>
      <c r="J425" s="24" t="str">
        <f ca="1">IF(OR(E425="",E425="!!!",F425="NEW"),"",COUNTBLANK(OFFSET(A$1,,,SUMPRODUCT(MAX(ROW(E$2:E425)*(E425=E$2:E425)))))-COUNTBLANK(OFFSET(A$1,,,SUMPRODUCT(MAX(ROW(E$1:E424)*(E2=E$1:E424))))))</f>
        <v/>
      </c>
      <c r="K425" s="24" t="str">
        <f>IF(OR(E425="",E425="!!!",F425="NEW"),"",INDEX(J$1:J424,SUMPRODUCT(MAX(ROW(E$1:E424)*(E425=E$1:E424)))))</f>
        <v/>
      </c>
      <c r="L425" s="25"/>
    </row>
    <row r="426" spans="1:12" x14ac:dyDescent="0.3">
      <c r="A426" t="s">
        <v>282</v>
      </c>
      <c r="E426" s="20" t="str">
        <f t="shared" si="31"/>
        <v/>
      </c>
      <c r="F426" s="21" t="str">
        <f>IF(OR(E426="",E426="!!!"),"",IF(NOT(ISNA(VLOOKUP(E426,E$1:E425,1,FALSE()))),"OLD",IF(AND(E426&lt;&gt;"",E426&lt;&gt;"!!!"),"NEW","")))</f>
        <v/>
      </c>
      <c r="G426" s="22" t="str">
        <f>IF(OR(E426="",E426="!!!"),"",IF(OR(J426=0,AND(J426=1,K426=1),AND(J426=1,I426="SBJ"),AND(J426=1,I426=0)),"?IN_FOCUS",IF(J426&lt;=2,"?ACTIVATED",IF(J426&lt;&gt;"","?FAMILIAR",IF(F426="NEW",IF(ISNA(VLOOKUP(E426,#REF!,1,FALSE())),"?TYPE_IDENTIFIABLE","?REFERENTIAL"),"_")))))</f>
        <v/>
      </c>
      <c r="H426" s="23" t="str">
        <f t="shared" ca="1" si="30"/>
        <v/>
      </c>
      <c r="I426" s="24" t="str">
        <f>IF(OR(E426="",E426="!!!",F426="NEW"),"",INDEX(B$2:B425,-1+SUMPRODUCT(MAX(ROW(E$2:E425)*(E426=E$2:E425)))))</f>
        <v/>
      </c>
      <c r="J426" s="24" t="str">
        <f ca="1">IF(OR(E426="",E426="!!!",F426="NEW"),"",COUNTBLANK(OFFSET(A$1,,,SUMPRODUCT(MAX(ROW(E$2:E426)*(E426=E$2:E426)))))-COUNTBLANK(OFFSET(A$1,,,SUMPRODUCT(MAX(ROW(E$1:E425)*(E2=E$1:E425))))))</f>
        <v/>
      </c>
      <c r="K426" s="24" t="str">
        <f>IF(OR(E426="",E426="!!!",F426="NEW"),"",INDEX(J$1:J425,SUMPRODUCT(MAX(ROW(E$1:E425)*(E426=E$1:E425)))))</f>
        <v/>
      </c>
      <c r="L426" s="25"/>
    </row>
    <row r="427" spans="1:12" x14ac:dyDescent="0.3">
      <c r="A427" t="s">
        <v>220</v>
      </c>
      <c r="E427" s="20" t="str">
        <f t="shared" si="31"/>
        <v/>
      </c>
      <c r="F427" s="21" t="str">
        <f>IF(OR(E427="",E427="!!!"),"",IF(NOT(ISNA(VLOOKUP(E427,E$1:E426,1,FALSE()))),"OLD",IF(AND(E427&lt;&gt;"",E427&lt;&gt;"!!!"),"NEW","")))</f>
        <v/>
      </c>
      <c r="G427" s="22" t="str">
        <f>IF(OR(E427="",E427="!!!"),"",IF(OR(J427=0,AND(J427=1,K427=1),AND(J427=1,I427="SBJ"),AND(J427=1,I427=0)),"?IN_FOCUS",IF(J427&lt;=2,"?ACTIVATED",IF(J427&lt;&gt;"","?FAMILIAR",IF(F427="NEW",IF(ISNA(VLOOKUP(E427,#REF!,1,FALSE())),"?TYPE_IDENTIFIABLE","?REFERENTIAL"),"_")))))</f>
        <v/>
      </c>
      <c r="H427" s="23" t="str">
        <f t="shared" ca="1" si="30"/>
        <v/>
      </c>
      <c r="I427" s="24" t="str">
        <f>IF(OR(E427="",E427="!!!",F427="NEW"),"",INDEX(B$2:B426,-1+SUMPRODUCT(MAX(ROW(E$2:E426)*(E427=E$2:E426)))))</f>
        <v/>
      </c>
      <c r="J427" s="24" t="str">
        <f ca="1">IF(OR(E427="",E427="!!!",F427="NEW"),"",COUNTBLANK(OFFSET(A$1,,,SUMPRODUCT(MAX(ROW(E$2:E427)*(E427=E$2:E427)))))-COUNTBLANK(OFFSET(A$1,,,SUMPRODUCT(MAX(ROW(E$1:E426)*(E2=E$1:E426))))))</f>
        <v/>
      </c>
      <c r="K427" s="24" t="str">
        <f>IF(OR(E427="",E427="!!!",F427="NEW"),"",INDEX(J$1:J426,SUMPRODUCT(MAX(ROW(E$1:E426)*(E427=E$1:E426)))))</f>
        <v/>
      </c>
      <c r="L427" s="25"/>
    </row>
    <row r="428" spans="1:12" x14ac:dyDescent="0.3">
      <c r="A428" t="s">
        <v>447</v>
      </c>
      <c r="B428" s="26" t="s">
        <v>205</v>
      </c>
      <c r="C428" s="26" t="s">
        <v>264</v>
      </c>
      <c r="D428" s="26" t="s">
        <v>215</v>
      </c>
      <c r="E428" s="20" t="s">
        <v>699</v>
      </c>
      <c r="F428" s="21" t="str">
        <f>IF(OR(E428="",E428="!!!"),"",IF(NOT(ISNA(VLOOKUP(E428,E$1:E427,1,FALSE()))),"OLD",IF(AND(E428&lt;&gt;"",E428&lt;&gt;"!!!"),"NEW","")))</f>
        <v>NEW</v>
      </c>
      <c r="G428" s="22" t="str">
        <f ca="1">IF(OR(E428="",E428="!!!"),"",IF(OR(J428=0,AND(J428=1,K428=1),AND(J428=1,I428="SBJ"),AND(J428=1,I428=0)),"?IN_FOCUS",IF(J428&lt;=2,"?ACTIVATED",IF(J428&lt;&gt;"","?FAMILIAR",IF(F428="NEW",IF(ISNA(VLOOKUP(E428,#REF!,1,FALSE())),"?TYPE_IDENTIFIABLE","?REFERENTIAL"),"_")))))</f>
        <v>?REFERENTIAL</v>
      </c>
      <c r="H428" s="23" t="str">
        <f t="shared" ca="1" si="30"/>
        <v/>
      </c>
      <c r="I428" s="24" t="str">
        <f>IF(OR(E428="",E428="!!!",F428="NEW"),"",INDEX(B$2:B427,-1+SUMPRODUCT(MAX(ROW(E$2:E427)*(E428=E$2:E427)))))</f>
        <v/>
      </c>
      <c r="J428" s="24" t="str">
        <f ca="1">IF(OR(E428="",E428="!!!",F428="NEW"),"",COUNTBLANK(OFFSET(A$1,,,SUMPRODUCT(MAX(ROW(E$2:E428)*(E428=E$2:E428)))))-COUNTBLANK(OFFSET(A$1,,,SUMPRODUCT(MAX(ROW(E$1:E427)*(E2=E$1:E427))))))</f>
        <v/>
      </c>
      <c r="K428" s="24" t="str">
        <f>IF(OR(E428="",E428="!!!",F428="NEW"),"",INDEX(J$1:J427,SUMPRODUCT(MAX(ROW(E$1:E427)*(E428=E$1:E427)))))</f>
        <v/>
      </c>
      <c r="L428" s="25"/>
    </row>
    <row r="429" spans="1:12" x14ac:dyDescent="0.3">
      <c r="A429" t="s">
        <v>223</v>
      </c>
      <c r="E429" s="20" t="str">
        <f t="shared" si="31"/>
        <v/>
      </c>
      <c r="F429" s="21" t="str">
        <f>IF(OR(E429="",E429="!!!"),"",IF(NOT(ISNA(VLOOKUP(E429,E$1:E428,1,FALSE()))),"OLD",IF(AND(E429&lt;&gt;"",E429&lt;&gt;"!!!"),"NEW","")))</f>
        <v/>
      </c>
      <c r="G429" s="22" t="str">
        <f>IF(OR(E429="",E429="!!!"),"",IF(OR(J429=0,AND(J429=1,K429=1),AND(J429=1,I429="SBJ"),AND(J429=1,I429=0)),"?IN_FOCUS",IF(J429&lt;=2,"?ACTIVATED",IF(J429&lt;&gt;"","?FAMILIAR",IF(F429="NEW",IF(ISNA(VLOOKUP(E429,#REF!,1,FALSE())),"?TYPE_IDENTIFIABLE","?REFERENTIAL"),"_")))))</f>
        <v/>
      </c>
      <c r="H429" s="23" t="str">
        <f t="shared" ca="1" si="30"/>
        <v/>
      </c>
      <c r="I429" s="24" t="str">
        <f>IF(OR(E429="",E429="!!!",F429="NEW"),"",INDEX(B$2:B428,-1+SUMPRODUCT(MAX(ROW(E$2:E428)*(E429=E$2:E428)))))</f>
        <v/>
      </c>
      <c r="J429" s="24" t="str">
        <f ca="1">IF(OR(E429="",E429="!!!",F429="NEW"),"",COUNTBLANK(OFFSET(A$1,,,SUMPRODUCT(MAX(ROW(E$2:E429)*(E429=E$2:E429)))))-COUNTBLANK(OFFSET(A$1,,,SUMPRODUCT(MAX(ROW(E$1:E428)*(E2=E$1:E428))))))</f>
        <v/>
      </c>
      <c r="K429" s="24" t="str">
        <f>IF(OR(E429="",E429="!!!",F429="NEW"),"",INDEX(J$1:J428,SUMPRODUCT(MAX(ROW(E$1:E428)*(E429=E$1:E428)))))</f>
        <v/>
      </c>
      <c r="L429" s="25"/>
    </row>
    <row r="430" spans="1:12" x14ac:dyDescent="0.3">
      <c r="A430" t="s">
        <v>424</v>
      </c>
      <c r="B430" s="26" t="s">
        <v>325</v>
      </c>
      <c r="C430" s="26" t="s">
        <v>380</v>
      </c>
      <c r="D430" s="26" t="s">
        <v>215</v>
      </c>
      <c r="E430" s="20" t="s">
        <v>669</v>
      </c>
      <c r="F430" s="21" t="str">
        <f>IF(OR(E430="",E430="!!!"),"",IF(NOT(ISNA(VLOOKUP(E430,E$1:E429,1,FALSE()))),"OLD",IF(AND(E430&lt;&gt;"",E430&lt;&gt;"!!!"),"NEW","")))</f>
        <v>OLD</v>
      </c>
      <c r="G430" s="22" t="str">
        <f ca="1">IF(OR(E430="",E430="!!!"),"",IF(OR(J430=0,AND(J430=1,K430=1),AND(J430=1,I430="SBJ"),AND(J430=1,I430=0)),"?IN_FOCUS",IF(J430&lt;=2,"?ACTIVATED",IF(J430&lt;&gt;"","?FAMILIAR",IF(F430="NEW",IF(ISNA(VLOOKUP(E430,#REF!,1,FALSE())),"?TYPE_IDENTIFIABLE","?REFERENTIAL"),"_")))))</f>
        <v>?IN_FOCUS</v>
      </c>
      <c r="H430" s="23" t="str">
        <f t="shared" ca="1" si="30"/>
        <v/>
      </c>
      <c r="I430" s="24" t="str">
        <f>IF(OR(E430="",E430="!!!",F430="NEW"),"",INDEX(B$2:B429,-1+SUMPRODUCT(MAX(ROW(E$2:E429)*(E430=E$2:E429)))))</f>
        <v>SBJ_4</v>
      </c>
      <c r="J430" s="24">
        <f ca="1">IF(OR(E430="",E430="!!!",F430="NEW"),"",COUNTBLANK(OFFSET(A$1,,,SUMPRODUCT(MAX(ROW(E$2:E430)*(E430=E$2:E430)))))-COUNTBLANK(OFFSET(A$1,,,SUMPRODUCT(MAX(ROW(E$1:E429)*(E2=E$1:E429))))))</f>
        <v>0</v>
      </c>
      <c r="K430" s="24">
        <f ca="1">IF(OR(E430="",E430="!!!",F430="NEW"),"",INDEX(J$1:J429,SUMPRODUCT(MAX(ROW(E$1:E429)*(E430=E$1:E429)))))</f>
        <v>0</v>
      </c>
      <c r="L430" s="25"/>
    </row>
    <row r="431" spans="1:12" x14ac:dyDescent="0.3">
      <c r="A431" t="s">
        <v>448</v>
      </c>
      <c r="E431" s="20" t="str">
        <f t="shared" si="31"/>
        <v/>
      </c>
      <c r="F431" s="21" t="str">
        <f>IF(OR(E431="",E431="!!!"),"",IF(NOT(ISNA(VLOOKUP(E431,E$1:E430,1,FALSE()))),"OLD",IF(AND(E431&lt;&gt;"",E431&lt;&gt;"!!!"),"NEW","")))</f>
        <v/>
      </c>
      <c r="G431" s="22" t="str">
        <f>IF(OR(E431="",E431="!!!"),"",IF(OR(J431=0,AND(J431=1,K431=1),AND(J431=1,I431="SBJ"),AND(J431=1,I431=0)),"?IN_FOCUS",IF(J431&lt;=2,"?ACTIVATED",IF(J431&lt;&gt;"","?FAMILIAR",IF(F431="NEW",IF(ISNA(VLOOKUP(E431,#REF!,1,FALSE())),"?TYPE_IDENTIFIABLE","?REFERENTIAL"),"_")))))</f>
        <v/>
      </c>
      <c r="H431" s="23" t="str">
        <f t="shared" ca="1" si="30"/>
        <v/>
      </c>
      <c r="I431" s="24" t="str">
        <f>IF(OR(E431="",E431="!!!",F431="NEW"),"",INDEX(B$2:B430,-1+SUMPRODUCT(MAX(ROW(E$2:E430)*(E431=E$2:E430)))))</f>
        <v/>
      </c>
      <c r="J431" s="24" t="str">
        <f ca="1">IF(OR(E431="",E431="!!!",F431="NEW"),"",COUNTBLANK(OFFSET(A$1,,,SUMPRODUCT(MAX(ROW(E$2:E431)*(E431=E$2:E431)))))-COUNTBLANK(OFFSET(A$1,,,SUMPRODUCT(MAX(ROW(E$1:E430)*(E2=E$1:E430))))))</f>
        <v/>
      </c>
      <c r="K431" s="24" t="str">
        <f>IF(OR(E431="",E431="!!!",F431="NEW"),"",INDEX(J$1:J430,SUMPRODUCT(MAX(ROW(E$1:E430)*(E431=E$1:E430)))))</f>
        <v/>
      </c>
      <c r="L431" s="25"/>
    </row>
    <row r="432" spans="1:12" x14ac:dyDescent="0.3">
      <c r="A432" t="s">
        <v>449</v>
      </c>
      <c r="B432" s="26" t="s">
        <v>225</v>
      </c>
      <c r="C432" s="26" t="s">
        <v>264</v>
      </c>
      <c r="D432" s="26" t="s">
        <v>215</v>
      </c>
      <c r="E432" s="20" t="s">
        <v>700</v>
      </c>
      <c r="F432" s="21" t="str">
        <f>IF(OR(E432="",E432="!!!"),"",IF(NOT(ISNA(VLOOKUP(E432,E$1:E431,1,FALSE()))),"OLD",IF(AND(E432&lt;&gt;"",E432&lt;&gt;"!!!"),"NEW","")))</f>
        <v>NEW</v>
      </c>
      <c r="G432" s="22" t="str">
        <f ca="1">IF(OR(E432="",E432="!!!"),"",IF(OR(J432=0,AND(J432=1,K432=1),AND(J432=1,I432="SBJ"),AND(J432=1,I432=0)),"?IN_FOCUS",IF(J432&lt;=2,"?ACTIVATED",IF(J432&lt;&gt;"","?FAMILIAR",IF(F432="NEW",IF(ISNA(VLOOKUP(E432,#REF!,1,FALSE())),"?TYPE_IDENTIFIABLE","?REFERENTIAL"),"_")))))</f>
        <v>?REFERENTIAL</v>
      </c>
      <c r="H432" s="23" t="str">
        <f t="shared" ca="1" si="30"/>
        <v/>
      </c>
      <c r="I432" s="24" t="str">
        <f>IF(OR(E432="",E432="!!!",F432="NEW"),"",INDEX(B$2:B431,-1+SUMPRODUCT(MAX(ROW(E$2:E431)*(E432=E$2:E431)))))</f>
        <v/>
      </c>
      <c r="J432" s="24" t="str">
        <f ca="1">IF(OR(E432="",E432="!!!",F432="NEW"),"",COUNTBLANK(OFFSET(A$1,,,SUMPRODUCT(MAX(ROW(E$2:E432)*(E432=E$2:E432)))))-COUNTBLANK(OFFSET(A$1,,,SUMPRODUCT(MAX(ROW(E$1:E431)*(E2=E$1:E431))))))</f>
        <v/>
      </c>
      <c r="K432" s="24" t="str">
        <f>IF(OR(E432="",E432="!!!",F432="NEW"),"",INDEX(J$1:J431,SUMPRODUCT(MAX(ROW(E$1:E431)*(E432=E$1:E431)))))</f>
        <v/>
      </c>
      <c r="L432" s="25"/>
    </row>
    <row r="433" spans="1:12" x14ac:dyDescent="0.3">
      <c r="A433" t="s">
        <v>450</v>
      </c>
      <c r="E433" s="20" t="str">
        <f t="shared" si="31"/>
        <v/>
      </c>
      <c r="F433" s="21" t="str">
        <f>IF(OR(E433="",E433="!!!"),"",IF(NOT(ISNA(VLOOKUP(E433,E$1:E432,1,FALSE()))),"OLD",IF(AND(E433&lt;&gt;"",E433&lt;&gt;"!!!"),"NEW","")))</f>
        <v/>
      </c>
      <c r="G433" s="22" t="str">
        <f>IF(OR(E433="",E433="!!!"),"",IF(OR(J433=0,AND(J433=1,K433=1),AND(J433=1,I433="SBJ"),AND(J433=1,I433=0)),"?IN_FOCUS",IF(J433&lt;=2,"?ACTIVATED",IF(J433&lt;&gt;"","?FAMILIAR",IF(F433="NEW",IF(ISNA(VLOOKUP(E433,#REF!,1,FALSE())),"?TYPE_IDENTIFIABLE","?REFERENTIAL"),"_")))))</f>
        <v/>
      </c>
      <c r="H433" s="23" t="str">
        <f t="shared" ca="1" si="30"/>
        <v/>
      </c>
      <c r="I433" s="24" t="str">
        <f>IF(OR(E433="",E433="!!!",F433="NEW"),"",INDEX(B$2:B432,-1+SUMPRODUCT(MAX(ROW(E$2:E432)*(E433=E$2:E432)))))</f>
        <v/>
      </c>
      <c r="J433" s="24" t="str">
        <f ca="1">IF(OR(E433="",E433="!!!",F433="NEW"),"",COUNTBLANK(OFFSET(A$1,,,SUMPRODUCT(MAX(ROW(E$2:E433)*(E433=E$2:E433)))))-COUNTBLANK(OFFSET(A$1,,,SUMPRODUCT(MAX(ROW(E$1:E432)*(E2=E$1:E432))))))</f>
        <v/>
      </c>
      <c r="K433" s="24" t="str">
        <f>IF(OR(E433="",E433="!!!",F433="NEW"),"",INDEX(J$1:J432,SUMPRODUCT(MAX(ROW(E$1:E432)*(E433=E$1:E432)))))</f>
        <v/>
      </c>
      <c r="L433" s="25"/>
    </row>
    <row r="434" spans="1:12" x14ac:dyDescent="0.3">
      <c r="A434" t="s">
        <v>451</v>
      </c>
      <c r="E434" s="20" t="str">
        <f t="shared" si="31"/>
        <v/>
      </c>
      <c r="F434" s="21" t="str">
        <f>IF(OR(E434="",E434="!!!"),"",IF(NOT(ISNA(VLOOKUP(E434,E$1:E433,1,FALSE()))),"OLD",IF(AND(E434&lt;&gt;"",E434&lt;&gt;"!!!"),"NEW","")))</f>
        <v/>
      </c>
      <c r="G434" s="22" t="str">
        <f>IF(OR(E434="",E434="!!!"),"",IF(OR(J434=0,AND(J434=1,K434=1),AND(J434=1,I434="SBJ"),AND(J434=1,I434=0)),"?IN_FOCUS",IF(J434&lt;=2,"?ACTIVATED",IF(J434&lt;&gt;"","?FAMILIAR",IF(F434="NEW",IF(ISNA(VLOOKUP(E434,#REF!,1,FALSE())),"?TYPE_IDENTIFIABLE","?REFERENTIAL"),"_")))))</f>
        <v/>
      </c>
      <c r="H434" s="23" t="str">
        <f t="shared" ca="1" si="30"/>
        <v/>
      </c>
      <c r="I434" s="24" t="str">
        <f>IF(OR(E434="",E434="!!!",F434="NEW"),"",INDEX(B$2:B433,-1+SUMPRODUCT(MAX(ROW(E$2:E433)*(E434=E$2:E433)))))</f>
        <v/>
      </c>
      <c r="J434" s="24" t="str">
        <f ca="1">IF(OR(E434="",E434="!!!",F434="NEW"),"",COUNTBLANK(OFFSET(A$1,,,SUMPRODUCT(MAX(ROW(E$2:E434)*(E434=E$2:E434)))))-COUNTBLANK(OFFSET(A$1,,,SUMPRODUCT(MAX(ROW(E$1:E433)*(E2=E$1:E433))))))</f>
        <v/>
      </c>
      <c r="K434" s="24" t="str">
        <f>IF(OR(E434="",E434="!!!",F434="NEW"),"",INDEX(J$1:J433,SUMPRODUCT(MAX(ROW(E$1:E433)*(E434=E$1:E433)))))</f>
        <v/>
      </c>
      <c r="L434" s="25"/>
    </row>
    <row r="435" spans="1:12" x14ac:dyDescent="0.3">
      <c r="A435" t="s">
        <v>423</v>
      </c>
      <c r="B435" s="26" t="s">
        <v>266</v>
      </c>
      <c r="C435" s="26" t="s">
        <v>230</v>
      </c>
      <c r="D435" s="26" t="s">
        <v>215</v>
      </c>
      <c r="E435" s="20" t="s">
        <v>669</v>
      </c>
      <c r="F435" s="21" t="str">
        <f>IF(OR(E435="",E435="!!!"),"",IF(NOT(ISNA(VLOOKUP(E435,E$1:E434,1,FALSE()))),"OLD",IF(AND(E435&lt;&gt;"",E435&lt;&gt;"!!!"),"NEW","")))</f>
        <v>OLD</v>
      </c>
      <c r="G435" s="22" t="str">
        <f ca="1">IF(OR(E435="",E435="!!!"),"",IF(OR(J435=0,AND(J435=1,K435=1),AND(J435=1,I435="SBJ"),AND(J435=1,I435=0)),"?IN_FOCUS",IF(J435&lt;=2,"?ACTIVATED",IF(J435&lt;&gt;"","?FAMILIAR",IF(F435="NEW",IF(ISNA(VLOOKUP(E435,#REF!,1,FALSE())),"?TYPE_IDENTIFIABLE","?REFERENTIAL"),"_")))))</f>
        <v>?IN_FOCUS</v>
      </c>
      <c r="H435" s="23" t="str">
        <f t="shared" ca="1" si="30"/>
        <v/>
      </c>
      <c r="I435" s="24" t="str">
        <f>IF(OR(E435="",E435="!!!",F435="NEW"),"",INDEX(B$2:B434,-1+SUMPRODUCT(MAX(ROW(E$2:E434)*(E435=E$2:E434)))))</f>
        <v>other_3</v>
      </c>
      <c r="J435" s="24">
        <f ca="1">IF(OR(E435="",E435="!!!",F435="NEW"),"",COUNTBLANK(OFFSET(A$1,,,SUMPRODUCT(MAX(ROW(E$2:E435)*(E435=E$2:E435)))))-COUNTBLANK(OFFSET(A$1,,,SUMPRODUCT(MAX(ROW(E$1:E434)*(E2=E$1:E434))))))</f>
        <v>0</v>
      </c>
      <c r="K435" s="24">
        <f ca="1">IF(OR(E435="",E435="!!!",F435="NEW"),"",INDEX(J$1:J434,SUMPRODUCT(MAX(ROW(E$1:E434)*(E435=E$1:E434)))))</f>
        <v>0</v>
      </c>
      <c r="L435" s="25"/>
    </row>
    <row r="436" spans="1:12" x14ac:dyDescent="0.3">
      <c r="A436" t="s">
        <v>234</v>
      </c>
      <c r="E436" s="20" t="str">
        <f t="shared" si="31"/>
        <v/>
      </c>
      <c r="F436" s="21" t="str">
        <f>IF(OR(E436="",E436="!!!"),"",IF(NOT(ISNA(VLOOKUP(E436,E$1:E435,1,FALSE()))),"OLD",IF(AND(E436&lt;&gt;"",E436&lt;&gt;"!!!"),"NEW","")))</f>
        <v/>
      </c>
      <c r="G436" s="22" t="str">
        <f>IF(OR(E436="",E436="!!!"),"",IF(OR(J436=0,AND(J436=1,K436=1),AND(J436=1,I436="SBJ"),AND(J436=1,I436=0)),"?IN_FOCUS",IF(J436&lt;=2,"?ACTIVATED",IF(J436&lt;&gt;"","?FAMILIAR",IF(F436="NEW",IF(ISNA(VLOOKUP(E436,#REF!,1,FALSE())),"?TYPE_IDENTIFIABLE","?REFERENTIAL"),"_")))))</f>
        <v/>
      </c>
      <c r="H436" s="23" t="str">
        <f t="shared" ca="1" si="30"/>
        <v/>
      </c>
      <c r="I436" s="24" t="str">
        <f>IF(OR(E436="",E436="!!!",F436="NEW"),"",INDEX(B$2:B435,-1+SUMPRODUCT(MAX(ROW(E$2:E435)*(E436=E$2:E435)))))</f>
        <v/>
      </c>
      <c r="J436" s="24" t="str">
        <f ca="1">IF(OR(E436="",E436="!!!",F436="NEW"),"",COUNTBLANK(OFFSET(A$1,,,SUMPRODUCT(MAX(ROW(E$2:E436)*(E436=E$2:E436)))))-COUNTBLANK(OFFSET(A$1,,,SUMPRODUCT(MAX(ROW(E$1:E435)*(E2=E$1:E435))))))</f>
        <v/>
      </c>
      <c r="K436" s="24" t="str">
        <f>IF(OR(E436="",E436="!!!",F436="NEW"),"",INDEX(J$1:J435,SUMPRODUCT(MAX(ROW(E$1:E435)*(E436=E$1:E435)))))</f>
        <v/>
      </c>
      <c r="L436" s="25"/>
    </row>
    <row r="438" spans="1:12" x14ac:dyDescent="0.3">
      <c r="A438" t="s">
        <v>452</v>
      </c>
    </row>
    <row r="439" spans="1:12" x14ac:dyDescent="0.3">
      <c r="A439" t="s">
        <v>236</v>
      </c>
      <c r="E439" s="20" t="str">
        <f t="shared" ref="E439:E474" si="32">IF(D439="?OLD","!!!","")</f>
        <v/>
      </c>
      <c r="F439" s="21" t="str">
        <f>IF(OR(E439="",E439="!!!"),"",IF(NOT(ISNA(VLOOKUP(E439,E$1:E438,1,FALSE()))),"OLD",IF(AND(E439&lt;&gt;"",E439&lt;&gt;"!!!"),"NEW","")))</f>
        <v/>
      </c>
      <c r="G439" s="22" t="str">
        <f>IF(OR(E439="",E439="!!!"),"",IF(OR(J439=0,AND(J439=1,K439=1),AND(J439=1,I439="SBJ"),AND(J439=1,I439=0)),"?IN_FOCUS",IF(J439&lt;=2,"?ACTIVATED",IF(J439&lt;&gt;"","?FAMILIAR",IF(F439="NEW",IF(ISNA(VLOOKUP(E439,#REF!,1,FALSE())),"?TYPE_IDENTIFIABLE","?REFERENTIAL"),"_")))))</f>
        <v/>
      </c>
      <c r="H439" s="23" t="str">
        <f t="shared" ref="H439:H474" ca="1" si="33">IF(J439&lt;&gt;1,"",IF(I439="SBJ","CB","?"))</f>
        <v/>
      </c>
      <c r="I439" s="24" t="str">
        <f>IF(OR(E439="",E439="!!!",F439="NEW"),"",INDEX(B$2:B438,-1+SUMPRODUCT(MAX(ROW(E$2:E438)*(E439=E$2:E438)))))</f>
        <v/>
      </c>
      <c r="J439" s="24" t="str">
        <f ca="1">IF(OR(E439="",E439="!!!",F439="NEW"),"",COUNTBLANK(OFFSET(A$1,,,SUMPRODUCT(MAX(ROW(E$2:E439)*(E439=E$2:E439)))))-COUNTBLANK(OFFSET(A$1,,,SUMPRODUCT(MAX(ROW(E$1:E438)*(E2=E$1:E438))))))</f>
        <v/>
      </c>
      <c r="K439" s="24" t="str">
        <f>IF(OR(E439="",E439="!!!",F439="NEW"),"",INDEX(J$1:J438,SUMPRODUCT(MAX(ROW(E$1:E438)*(E439=E$1:E438)))))</f>
        <v/>
      </c>
      <c r="L439" s="25"/>
    </row>
    <row r="440" spans="1:12" x14ac:dyDescent="0.3">
      <c r="A440" t="s">
        <v>290</v>
      </c>
      <c r="B440" s="26" t="s">
        <v>213</v>
      </c>
      <c r="C440" s="26" t="s">
        <v>214</v>
      </c>
      <c r="D440" s="26" t="s">
        <v>215</v>
      </c>
      <c r="E440" s="20" t="s">
        <v>669</v>
      </c>
      <c r="F440" s="21" t="str">
        <f>IF(OR(E440="",E440="!!!"),"",IF(NOT(ISNA(VLOOKUP(E440,E$1:E439,1,FALSE()))),"OLD",IF(AND(E440&lt;&gt;"",E440&lt;&gt;"!!!"),"NEW","")))</f>
        <v>OLD</v>
      </c>
      <c r="G440" s="22" t="str">
        <f ca="1">IF(OR(E440="",E440="!!!"),"",IF(OR(J440=0,AND(J440=1,K440=1),AND(J440=1,I440="SBJ"),AND(J440=1,I440=0)),"?IN_FOCUS",IF(J440&lt;=2,"?ACTIVATED",IF(J440&lt;&gt;"","?FAMILIAR",IF(F440="NEW",IF(ISNA(VLOOKUP(E440,#REF!,1,FALSE())),"?TYPE_IDENTIFIABLE","?REFERENTIAL"),"_")))))</f>
        <v>?IN_FOCUS</v>
      </c>
      <c r="H440" s="23" t="s">
        <v>198</v>
      </c>
      <c r="I440" s="24" t="str">
        <f>IF(OR(E440="",E440="!!!",F440="NEW"),"",INDEX(B$2:B439,-1+SUMPRODUCT(MAX(ROW(E$2:E439)*(E440=E$2:E439)))))</f>
        <v>other_4</v>
      </c>
      <c r="J440" s="24">
        <f ca="1">IF(OR(E440="",E440="!!!",F440="NEW"),"",COUNTBLANK(OFFSET(A$1,,,SUMPRODUCT(MAX(ROW(E$2:E440)*(E440=E$2:E440)))))-COUNTBLANK(OFFSET(A$1,,,SUMPRODUCT(MAX(ROW(E$1:E439)*(E2=E$1:E439))))))</f>
        <v>0</v>
      </c>
      <c r="K440" s="24">
        <f ca="1">IF(OR(E440="",E440="!!!",F440="NEW"),"",INDEX(J$1:J439,SUMPRODUCT(MAX(ROW(E$1:E439)*(E440=E$1:E439)))))</f>
        <v>0</v>
      </c>
      <c r="L440" s="25"/>
    </row>
    <row r="441" spans="1:12" x14ac:dyDescent="0.3">
      <c r="A441" t="s">
        <v>217</v>
      </c>
      <c r="E441" s="20" t="str">
        <f t="shared" si="32"/>
        <v/>
      </c>
      <c r="F441" s="21" t="str">
        <f>IF(OR(E441="",E441="!!!"),"",IF(NOT(ISNA(VLOOKUP(E441,E$1:E440,1,FALSE()))),"OLD",IF(AND(E441&lt;&gt;"",E441&lt;&gt;"!!!"),"NEW","")))</f>
        <v/>
      </c>
      <c r="G441" s="22" t="str">
        <f>IF(OR(E441="",E441="!!!"),"",IF(OR(J441=0,AND(J441=1,K441=1),AND(J441=1,I441="SBJ"),AND(J441=1,I441=0)),"?IN_FOCUS",IF(J441&lt;=2,"?ACTIVATED",IF(J441&lt;&gt;"","?FAMILIAR",IF(F441="NEW",IF(ISNA(VLOOKUP(E441,#REF!,1,FALSE())),"?TYPE_IDENTIFIABLE","?REFERENTIAL"),"_")))))</f>
        <v/>
      </c>
      <c r="H441" s="23" t="str">
        <f t="shared" ca="1" si="33"/>
        <v/>
      </c>
      <c r="I441" s="24" t="str">
        <f>IF(OR(E441="",E441="!!!",F441="NEW"),"",INDEX(B$2:B440,-1+SUMPRODUCT(MAX(ROW(E$2:E440)*(E441=E$2:E440)))))</f>
        <v/>
      </c>
      <c r="J441" s="24" t="str">
        <f ca="1">IF(OR(E441="",E441="!!!",F441="NEW"),"",COUNTBLANK(OFFSET(A$1,,,SUMPRODUCT(MAX(ROW(E$2:E441)*(E441=E$2:E441)))))-COUNTBLANK(OFFSET(A$1,,,SUMPRODUCT(MAX(ROW(E$1:E440)*(E2=E$1:E440))))))</f>
        <v/>
      </c>
      <c r="K441" s="24" t="str">
        <f>IF(OR(E441="",E441="!!!",F441="NEW"),"",INDEX(J$1:J440,SUMPRODUCT(MAX(ROW(E$1:E440)*(E441=E$1:E440)))))</f>
        <v/>
      </c>
      <c r="L441" s="25"/>
    </row>
    <row r="442" spans="1:12" x14ac:dyDescent="0.3">
      <c r="A442" t="s">
        <v>320</v>
      </c>
      <c r="E442" s="20" t="str">
        <f t="shared" si="32"/>
        <v/>
      </c>
      <c r="F442" s="21" t="str">
        <f>IF(OR(E442="",E442="!!!"),"",IF(NOT(ISNA(VLOOKUP(E442,E$1:E441,1,FALSE()))),"OLD",IF(AND(E442&lt;&gt;"",E442&lt;&gt;"!!!"),"NEW","")))</f>
        <v/>
      </c>
      <c r="G442" s="22" t="str">
        <f>IF(OR(E442="",E442="!!!"),"",IF(OR(J442=0,AND(J442=1,K442=1),AND(J442=1,I442="SBJ"),AND(J442=1,I442=0)),"?IN_FOCUS",IF(J442&lt;=2,"?ACTIVATED",IF(J442&lt;&gt;"","?FAMILIAR",IF(F442="NEW",IF(ISNA(VLOOKUP(E442,#REF!,1,FALSE())),"?TYPE_IDENTIFIABLE","?REFERENTIAL"),"_")))))</f>
        <v/>
      </c>
      <c r="H442" s="23" t="str">
        <f t="shared" ca="1" si="33"/>
        <v/>
      </c>
      <c r="I442" s="24" t="str">
        <f>IF(OR(E442="",E442="!!!",F442="NEW"),"",INDEX(B$2:B441,-1+SUMPRODUCT(MAX(ROW(E$2:E441)*(E442=E$2:E441)))))</f>
        <v/>
      </c>
      <c r="J442" s="24" t="str">
        <f ca="1">IF(OR(E442="",E442="!!!",F442="NEW"),"",COUNTBLANK(OFFSET(A$1,,,SUMPRODUCT(MAX(ROW(E$2:E442)*(E442=E$2:E442)))))-COUNTBLANK(OFFSET(A$1,,,SUMPRODUCT(MAX(ROW(E$1:E441)*(E2=E$1:E441))))))</f>
        <v/>
      </c>
      <c r="K442" s="24" t="str">
        <f>IF(OR(E442="",E442="!!!",F442="NEW"),"",INDEX(J$1:J441,SUMPRODUCT(MAX(ROW(E$1:E441)*(E442=E$1:E441)))))</f>
        <v/>
      </c>
      <c r="L442" s="25"/>
    </row>
    <row r="443" spans="1:12" x14ac:dyDescent="0.3">
      <c r="A443" t="s">
        <v>453</v>
      </c>
      <c r="E443" s="20" t="str">
        <f t="shared" si="32"/>
        <v/>
      </c>
      <c r="F443" s="21" t="str">
        <f>IF(OR(E443="",E443="!!!"),"",IF(NOT(ISNA(VLOOKUP(E443,E$1:E442,1,FALSE()))),"OLD",IF(AND(E443&lt;&gt;"",E443&lt;&gt;"!!!"),"NEW","")))</f>
        <v/>
      </c>
      <c r="G443" s="22" t="str">
        <f>IF(OR(E443="",E443="!!!"),"",IF(OR(J443=0,AND(J443=1,K443=1),AND(J443=1,I443="SBJ"),AND(J443=1,I443=0)),"?IN_FOCUS",IF(J443&lt;=2,"?ACTIVATED",IF(J443&lt;&gt;"","?FAMILIAR",IF(F443="NEW",IF(ISNA(VLOOKUP(E443,#REF!,1,FALSE())),"?TYPE_IDENTIFIABLE","?REFERENTIAL"),"_")))))</f>
        <v/>
      </c>
      <c r="H443" s="23" t="str">
        <f t="shared" ca="1" si="33"/>
        <v/>
      </c>
      <c r="I443" s="24" t="str">
        <f>IF(OR(E443="",E443="!!!",F443="NEW"),"",INDEX(B$2:B442,-1+SUMPRODUCT(MAX(ROW(E$2:E442)*(E443=E$2:E442)))))</f>
        <v/>
      </c>
      <c r="J443" s="24" t="str">
        <f ca="1">IF(OR(E443="",E443="!!!",F443="NEW"),"",COUNTBLANK(OFFSET(A$1,,,SUMPRODUCT(MAX(ROW(E$2:E443)*(E443=E$2:E443)))))-COUNTBLANK(OFFSET(A$1,,,SUMPRODUCT(MAX(ROW(E$1:E442)*(E2=E$1:E442))))))</f>
        <v/>
      </c>
      <c r="K443" s="24" t="str">
        <f>IF(OR(E443="",E443="!!!",F443="NEW"),"",INDEX(J$1:J442,SUMPRODUCT(MAX(ROW(E$1:E442)*(E443=E$1:E442)))))</f>
        <v/>
      </c>
      <c r="L443" s="25"/>
    </row>
    <row r="444" spans="1:12" x14ac:dyDescent="0.3">
      <c r="A444" t="s">
        <v>238</v>
      </c>
      <c r="E444" s="20" t="str">
        <f t="shared" si="32"/>
        <v/>
      </c>
      <c r="F444" s="21" t="str">
        <f>IF(OR(E444="",E444="!!!"),"",IF(NOT(ISNA(VLOOKUP(E444,E$1:E443,1,FALSE()))),"OLD",IF(AND(E444&lt;&gt;"",E444&lt;&gt;"!!!"),"NEW","")))</f>
        <v/>
      </c>
      <c r="G444" s="22" t="str">
        <f>IF(OR(E444="",E444="!!!"),"",IF(OR(J444=0,AND(J444=1,K444=1),AND(J444=1,I444="SBJ"),AND(J444=1,I444=0)),"?IN_FOCUS",IF(J444&lt;=2,"?ACTIVATED",IF(J444&lt;&gt;"","?FAMILIAR",IF(F444="NEW",IF(ISNA(VLOOKUP(E444,#REF!,1,FALSE())),"?TYPE_IDENTIFIABLE","?REFERENTIAL"),"_")))))</f>
        <v/>
      </c>
      <c r="H444" s="23" t="str">
        <f t="shared" ca="1" si="33"/>
        <v/>
      </c>
      <c r="I444" s="24" t="str">
        <f>IF(OR(E444="",E444="!!!",F444="NEW"),"",INDEX(B$2:B443,-1+SUMPRODUCT(MAX(ROW(E$2:E443)*(E444=E$2:E443)))))</f>
        <v/>
      </c>
      <c r="J444" s="24" t="str">
        <f ca="1">IF(OR(E444="",E444="!!!",F444="NEW"),"",COUNTBLANK(OFFSET(A$1,,,SUMPRODUCT(MAX(ROW(E$2:E444)*(E444=E$2:E444)))))-COUNTBLANK(OFFSET(A$1,,,SUMPRODUCT(MAX(ROW(E$1:E443)*(E2=E$1:E443))))))</f>
        <v/>
      </c>
      <c r="K444" s="24" t="str">
        <f>IF(OR(E444="",E444="!!!",F444="NEW"),"",INDEX(J$1:J443,SUMPRODUCT(MAX(ROW(E$1:E443)*(E444=E$1:E443)))))</f>
        <v/>
      </c>
      <c r="L444" s="25"/>
    </row>
    <row r="445" spans="1:12" x14ac:dyDescent="0.3">
      <c r="A445" t="s">
        <v>454</v>
      </c>
      <c r="B445" s="26" t="s">
        <v>205</v>
      </c>
      <c r="C445" s="26" t="s">
        <v>455</v>
      </c>
      <c r="E445" s="20" t="str">
        <f t="shared" si="32"/>
        <v/>
      </c>
      <c r="F445" s="21" t="str">
        <f>IF(OR(E445="",E445="!!!"),"",IF(NOT(ISNA(VLOOKUP(E445,E$1:E444,1,FALSE()))),"OLD",IF(AND(E445&lt;&gt;"",E445&lt;&gt;"!!!"),"NEW","")))</f>
        <v/>
      </c>
      <c r="G445" s="22" t="str">
        <f>IF(OR(E445="",E445="!!!"),"",IF(OR(J445=0,AND(J445=1,K445=1),AND(J445=1,I445="SBJ"),AND(J445=1,I445=0)),"?IN_FOCUS",IF(J445&lt;=2,"?ACTIVATED",IF(J445&lt;&gt;"","?FAMILIAR",IF(F445="NEW",IF(ISNA(VLOOKUP(E445,#REF!,1,FALSE())),"?TYPE_IDENTIFIABLE","?REFERENTIAL"),"_")))))</f>
        <v/>
      </c>
      <c r="H445" s="23" t="str">
        <f t="shared" ca="1" si="33"/>
        <v/>
      </c>
      <c r="I445" s="24" t="str">
        <f>IF(OR(E445="",E445="!!!",F445="NEW"),"",INDEX(B$2:B444,-1+SUMPRODUCT(MAX(ROW(E$2:E444)*(E445=E$2:E444)))))</f>
        <v/>
      </c>
      <c r="J445" s="24" t="str">
        <f ca="1">IF(OR(E445="",E445="!!!",F445="NEW"),"",COUNTBLANK(OFFSET(A$1,,,SUMPRODUCT(MAX(ROW(E$2:E445)*(E445=E$2:E445)))))-COUNTBLANK(OFFSET(A$1,,,SUMPRODUCT(MAX(ROW(E$1:E444)*(E2=E$1:E444))))))</f>
        <v/>
      </c>
      <c r="K445" s="24" t="str">
        <f>IF(OR(E445="",E445="!!!",F445="NEW"),"",INDEX(J$1:J444,SUMPRODUCT(MAX(ROW(E$1:E444)*(E445=E$1:E444)))))</f>
        <v/>
      </c>
      <c r="L445" s="25"/>
    </row>
    <row r="446" spans="1:12" x14ac:dyDescent="0.3">
      <c r="A446" t="s">
        <v>223</v>
      </c>
      <c r="E446" s="20" t="str">
        <f t="shared" si="32"/>
        <v/>
      </c>
      <c r="F446" s="21" t="str">
        <f>IF(OR(E446="",E446="!!!"),"",IF(NOT(ISNA(VLOOKUP(E446,E$1:E445,1,FALSE()))),"OLD",IF(AND(E446&lt;&gt;"",E446&lt;&gt;"!!!"),"NEW","")))</f>
        <v/>
      </c>
      <c r="G446" s="22" t="str">
        <f>IF(OR(E446="",E446="!!!"),"",IF(OR(J446=0,AND(J446=1,K446=1),AND(J446=1,I446="SBJ"),AND(J446=1,I446=0)),"?IN_FOCUS",IF(J446&lt;=2,"?ACTIVATED",IF(J446&lt;&gt;"","?FAMILIAR",IF(F446="NEW",IF(ISNA(VLOOKUP(E446,#REF!,1,FALSE())),"?TYPE_IDENTIFIABLE","?REFERENTIAL"),"_")))))</f>
        <v/>
      </c>
      <c r="H446" s="23" t="str">
        <f t="shared" ca="1" si="33"/>
        <v/>
      </c>
      <c r="I446" s="24" t="str">
        <f>IF(OR(E446="",E446="!!!",F446="NEW"),"",INDEX(B$2:B445,-1+SUMPRODUCT(MAX(ROW(E$2:E445)*(E446=E$2:E445)))))</f>
        <v/>
      </c>
      <c r="J446" s="24" t="str">
        <f ca="1">IF(OR(E446="",E446="!!!",F446="NEW"),"",COUNTBLANK(OFFSET(A$1,,,SUMPRODUCT(MAX(ROW(E$2:E446)*(E446=E$2:E446)))))-COUNTBLANK(OFFSET(A$1,,,SUMPRODUCT(MAX(ROW(E$1:E445)*(E2=E$1:E445))))))</f>
        <v/>
      </c>
      <c r="K446" s="24" t="str">
        <f>IF(OR(E446="",E446="!!!",F446="NEW"),"",INDEX(J$1:J445,SUMPRODUCT(MAX(ROW(E$1:E445)*(E446=E$1:E445)))))</f>
        <v/>
      </c>
      <c r="L446" s="25"/>
    </row>
    <row r="447" spans="1:12" x14ac:dyDescent="0.3">
      <c r="A447" t="s">
        <v>456</v>
      </c>
      <c r="B447" s="26" t="s">
        <v>205</v>
      </c>
      <c r="C447" s="26" t="s">
        <v>226</v>
      </c>
      <c r="E447" s="20" t="str">
        <f t="shared" si="32"/>
        <v/>
      </c>
      <c r="F447" s="21" t="str">
        <f>IF(OR(E447="",E447="!!!"),"",IF(NOT(ISNA(VLOOKUP(E447,E$1:E446,1,FALSE()))),"OLD",IF(AND(E447&lt;&gt;"",E447&lt;&gt;"!!!"),"NEW","")))</f>
        <v/>
      </c>
      <c r="G447" s="22" t="str">
        <f>IF(OR(E447="",E447="!!!"),"",IF(OR(J447=0,AND(J447=1,K447=1),AND(J447=1,I447="SBJ"),AND(J447=1,I447=0)),"?IN_FOCUS",IF(J447&lt;=2,"?ACTIVATED",IF(J447&lt;&gt;"","?FAMILIAR",IF(F447="NEW",IF(ISNA(VLOOKUP(E447,#REF!,1,FALSE())),"?TYPE_IDENTIFIABLE","?REFERENTIAL"),"_")))))</f>
        <v/>
      </c>
      <c r="H447" s="23" t="str">
        <f t="shared" ca="1" si="33"/>
        <v/>
      </c>
      <c r="I447" s="24" t="str">
        <f>IF(OR(E447="",E447="!!!",F447="NEW"),"",INDEX(B$2:B446,-1+SUMPRODUCT(MAX(ROW(E$2:E446)*(E447=E$2:E446)))))</f>
        <v/>
      </c>
      <c r="J447" s="24" t="str">
        <f ca="1">IF(OR(E447="",E447="!!!",F447="NEW"),"",COUNTBLANK(OFFSET(A$1,,,SUMPRODUCT(MAX(ROW(E$2:E447)*(E447=E$2:E447)))))-COUNTBLANK(OFFSET(A$1,,,SUMPRODUCT(MAX(ROW(E$1:E446)*(E2=E$1:E446))))))</f>
        <v/>
      </c>
      <c r="K447" s="24" t="str">
        <f>IF(OR(E447="",E447="!!!",F447="NEW"),"",INDEX(J$1:J446,SUMPRODUCT(MAX(ROW(E$1:E446)*(E447=E$1:E446)))))</f>
        <v/>
      </c>
      <c r="L447" s="25"/>
    </row>
    <row r="448" spans="1:12" x14ac:dyDescent="0.3">
      <c r="A448" t="s">
        <v>227</v>
      </c>
      <c r="E448" s="20" t="str">
        <f t="shared" si="32"/>
        <v/>
      </c>
      <c r="F448" s="21" t="str">
        <f>IF(OR(E448="",E448="!!!"),"",IF(NOT(ISNA(VLOOKUP(E448,E$1:E447,1,FALSE()))),"OLD",IF(AND(E448&lt;&gt;"",E448&lt;&gt;"!!!"),"NEW","")))</f>
        <v/>
      </c>
      <c r="G448" s="22" t="str">
        <f>IF(OR(E448="",E448="!!!"),"",IF(OR(J448=0,AND(J448=1,K448=1),AND(J448=1,I448="SBJ"),AND(J448=1,I448=0)),"?IN_FOCUS",IF(J448&lt;=2,"?ACTIVATED",IF(J448&lt;&gt;"","?FAMILIAR",IF(F448="NEW",IF(ISNA(VLOOKUP(E448,#REF!,1,FALSE())),"?TYPE_IDENTIFIABLE","?REFERENTIAL"),"_")))))</f>
        <v/>
      </c>
      <c r="H448" s="23" t="str">
        <f t="shared" ca="1" si="33"/>
        <v/>
      </c>
      <c r="I448" s="24" t="str">
        <f>IF(OR(E448="",E448="!!!",F448="NEW"),"",INDEX(B$2:B447,-1+SUMPRODUCT(MAX(ROW(E$2:E447)*(E448=E$2:E447)))))</f>
        <v/>
      </c>
      <c r="J448" s="24" t="str">
        <f ca="1">IF(OR(E448="",E448="!!!",F448="NEW"),"",COUNTBLANK(OFFSET(A$1,,,SUMPRODUCT(MAX(ROW(E$2:E448)*(E448=E$2:E448)))))-COUNTBLANK(OFFSET(A$1,,,SUMPRODUCT(MAX(ROW(E$1:E447)*(E2=E$1:E447))))))</f>
        <v/>
      </c>
      <c r="K448" s="24" t="str">
        <f>IF(OR(E448="",E448="!!!",F448="NEW"),"",INDEX(J$1:J447,SUMPRODUCT(MAX(ROW(E$1:E447)*(E448=E$1:E447)))))</f>
        <v/>
      </c>
      <c r="L448" s="25"/>
    </row>
    <row r="449" spans="1:12" x14ac:dyDescent="0.3">
      <c r="A449" t="s">
        <v>120</v>
      </c>
      <c r="B449" s="26" t="s">
        <v>229</v>
      </c>
      <c r="C449" s="26" t="s">
        <v>230</v>
      </c>
      <c r="D449" s="26" t="s">
        <v>215</v>
      </c>
      <c r="E449" s="20" t="s">
        <v>120</v>
      </c>
      <c r="F449" s="21" t="s">
        <v>692</v>
      </c>
      <c r="G449" s="22" t="s">
        <v>652</v>
      </c>
      <c r="H449" s="23" t="str">
        <f t="shared" ca="1" si="33"/>
        <v/>
      </c>
      <c r="I449" s="24" t="e">
        <f>IF(OR(E449="",E449="!!!",F449="NEW"),"",INDEX(B$2:B448,-1+SUMPRODUCT(MAX(ROW(E$2:E448)*(E449=E$2:E448)))))</f>
        <v>#VALUE!</v>
      </c>
      <c r="J449" s="24">
        <f ca="1">IF(OR(E449="",E449="!!!",F449="NEW"),"",COUNTBLANK(OFFSET(A$1,,,SUMPRODUCT(MAX(ROW(E$2:E449)*(E449=E$2:E449)))))-COUNTBLANK(OFFSET(A$1,,,SUMPRODUCT(MAX(ROW(E$1:E448)*(E2=E$1:E448))))))</f>
        <v>0</v>
      </c>
      <c r="K449" s="24" t="e">
        <f>IF(OR(E449="",E449="!!!",F449="NEW"),"",INDEX(J$1:J448,SUMPRODUCT(MAX(ROW(E$1:E448)*(E449=E$1:E448)))))</f>
        <v>#VALUE!</v>
      </c>
      <c r="L449" s="25" t="s">
        <v>747</v>
      </c>
    </row>
    <row r="450" spans="1:12" x14ac:dyDescent="0.3">
      <c r="A450" t="s">
        <v>457</v>
      </c>
      <c r="E450" s="20" t="str">
        <f t="shared" si="32"/>
        <v/>
      </c>
      <c r="F450" s="21" t="str">
        <f>IF(OR(E450="",E450="!!!"),"",IF(NOT(ISNA(VLOOKUP(E450,E$1:E449,1,FALSE()))),"OLD",IF(AND(E450&lt;&gt;"",E450&lt;&gt;"!!!"),"NEW","")))</f>
        <v/>
      </c>
      <c r="G450" s="22" t="str">
        <f>IF(OR(E450="",E450="!!!"),"",IF(OR(J450=0,AND(J450=1,K450=1),AND(J450=1,I450="SBJ"),AND(J450=1,I450=0)),"?IN_FOCUS",IF(J450&lt;=2,"?ACTIVATED",IF(J450&lt;&gt;"","?FAMILIAR",IF(F450="NEW",IF(ISNA(VLOOKUP(E450,#REF!,1,FALSE())),"?TYPE_IDENTIFIABLE","?REFERENTIAL"),"_")))))</f>
        <v/>
      </c>
      <c r="H450" s="23" t="str">
        <f t="shared" ca="1" si="33"/>
        <v/>
      </c>
      <c r="I450" s="24" t="str">
        <f>IF(OR(E450="",E450="!!!",F450="NEW"),"",INDEX(B$2:B449,-1+SUMPRODUCT(MAX(ROW(E$2:E449)*(E450=E$2:E449)))))</f>
        <v/>
      </c>
      <c r="J450" s="24" t="str">
        <f ca="1">IF(OR(E450="",E450="!!!",F450="NEW"),"",COUNTBLANK(OFFSET(A$1,,,SUMPRODUCT(MAX(ROW(E$2:E450)*(E450=E$2:E450)))))-COUNTBLANK(OFFSET(A$1,,,SUMPRODUCT(MAX(ROW(E$1:E449)*(E2=E$1:E449))))))</f>
        <v/>
      </c>
      <c r="K450" s="24" t="str">
        <f>IF(OR(E450="",E450="!!!",F450="NEW"),"",INDEX(J$1:J449,SUMPRODUCT(MAX(ROW(E$1:E449)*(E450=E$1:E449)))))</f>
        <v/>
      </c>
      <c r="L450" s="25"/>
    </row>
    <row r="451" spans="1:12" x14ac:dyDescent="0.3">
      <c r="A451" t="s">
        <v>458</v>
      </c>
      <c r="B451" s="26" t="s">
        <v>325</v>
      </c>
      <c r="C451" s="26" t="s">
        <v>380</v>
      </c>
      <c r="D451" s="26" t="s">
        <v>215</v>
      </c>
      <c r="E451" s="20" t="s">
        <v>120</v>
      </c>
      <c r="F451" s="21" t="str">
        <f>IF(OR(E451="",E451="!!!"),"",IF(NOT(ISNA(VLOOKUP(E451,E$1:E450,1,FALSE()))),"OLD",IF(AND(E451&lt;&gt;"",E451&lt;&gt;"!!!"),"NEW","")))</f>
        <v>OLD</v>
      </c>
      <c r="G451" s="22" t="str">
        <f ca="1">IF(OR(E451="",E451="!!!"),"",IF(OR(J451=0,AND(J451=1,K451=1),AND(J451=1,I451="SBJ"),AND(J451=1,I451=0)),"?IN_FOCUS",IF(J451&lt;=2,"?ACTIVATED",IF(J451&lt;&gt;"","?FAMILIAR",IF(F451="NEW",IF(ISNA(VLOOKUP(E451,#REF!,1,FALSE())),"?TYPE_IDENTIFIABLE","?REFERENTIAL"),"_")))))</f>
        <v>?IN_FOCUS</v>
      </c>
      <c r="H451" s="23" t="str">
        <f t="shared" ca="1" si="33"/>
        <v/>
      </c>
      <c r="I451" s="24" t="str">
        <f>IF(OR(E451="",E451="!!!",F451="NEW"),"",INDEX(B$2:B450,-1+SUMPRODUCT(MAX(ROW(E$2:E450)*(E451=E$2:E450)))))</f>
        <v>SBJ_2</v>
      </c>
      <c r="J451" s="24">
        <f ca="1">IF(OR(E451="",E451="!!!",F451="NEW"),"",COUNTBLANK(OFFSET(A$1,,,SUMPRODUCT(MAX(ROW(E$2:E451)*(E451=E$2:E451)))))-COUNTBLANK(OFFSET(A$1,,,SUMPRODUCT(MAX(ROW(E$1:E450)*(E2=E$1:E450))))))</f>
        <v>0</v>
      </c>
      <c r="K451" s="24">
        <f ca="1">IF(OR(E451="",E451="!!!",F451="NEW"),"",INDEX(J$1:J450,SUMPRODUCT(MAX(ROW(E$1:E450)*(E451=E$1:E450)))))</f>
        <v>0</v>
      </c>
      <c r="L451" s="25"/>
    </row>
    <row r="452" spans="1:12" x14ac:dyDescent="0.3">
      <c r="A452" t="s">
        <v>391</v>
      </c>
      <c r="E452" s="20" t="str">
        <f t="shared" si="32"/>
        <v/>
      </c>
      <c r="F452" s="21" t="str">
        <f>IF(OR(E452="",E452="!!!"),"",IF(NOT(ISNA(VLOOKUP(E452,E$1:E451,1,FALSE()))),"OLD",IF(AND(E452&lt;&gt;"",E452&lt;&gt;"!!!"),"NEW","")))</f>
        <v/>
      </c>
      <c r="G452" s="22" t="str">
        <f>IF(OR(E452="",E452="!!!"),"",IF(OR(J452=0,AND(J452=1,K452=1),AND(J452=1,I452="SBJ"),AND(J452=1,I452=0)),"?IN_FOCUS",IF(J452&lt;=2,"?ACTIVATED",IF(J452&lt;&gt;"","?FAMILIAR",IF(F452="NEW",IF(ISNA(VLOOKUP(E452,#REF!,1,FALSE())),"?TYPE_IDENTIFIABLE","?REFERENTIAL"),"_")))))</f>
        <v/>
      </c>
      <c r="H452" s="23" t="str">
        <f t="shared" ca="1" si="33"/>
        <v/>
      </c>
      <c r="I452" s="24" t="str">
        <f>IF(OR(E452="",E452="!!!",F452="NEW"),"",INDEX(B$2:B451,-1+SUMPRODUCT(MAX(ROW(E$2:E451)*(E452=E$2:E451)))))</f>
        <v/>
      </c>
      <c r="J452" s="24" t="str">
        <f ca="1">IF(OR(E452="",E452="!!!",F452="NEW"),"",COUNTBLANK(OFFSET(A$1,,,SUMPRODUCT(MAX(ROW(E$2:E452)*(E452=E$2:E452)))))-COUNTBLANK(OFFSET(A$1,,,SUMPRODUCT(MAX(ROW(E$1:E451)*(E2=E$1:E451))))))</f>
        <v/>
      </c>
      <c r="K452" s="24" t="str">
        <f>IF(OR(E452="",E452="!!!",F452="NEW"),"",INDEX(J$1:J451,SUMPRODUCT(MAX(ROW(E$1:E451)*(E452=E$1:E451)))))</f>
        <v/>
      </c>
      <c r="L452" s="25"/>
    </row>
    <row r="453" spans="1:12" x14ac:dyDescent="0.3">
      <c r="A453" t="s">
        <v>406</v>
      </c>
      <c r="B453" s="26" t="s">
        <v>233</v>
      </c>
      <c r="C453" s="26" t="s">
        <v>264</v>
      </c>
      <c r="D453" s="26" t="s">
        <v>215</v>
      </c>
      <c r="E453" s="20" t="s">
        <v>701</v>
      </c>
      <c r="F453" s="21" t="str">
        <f>IF(OR(E453="",E453="!!!"),"",IF(NOT(ISNA(VLOOKUP(E453,E$1:E452,1,FALSE()))),"OLD",IF(AND(E453&lt;&gt;"",E453&lt;&gt;"!!!"),"NEW","")))</f>
        <v>NEW</v>
      </c>
      <c r="G453" s="22" t="str">
        <f ca="1">IF(OR(E453="",E453="!!!"),"",IF(OR(J453=0,AND(J453=1,K453=1),AND(J453=1,I453="SBJ"),AND(J453=1,I453=0)),"?IN_FOCUS",IF(J453&lt;=2,"?ACTIVATED",IF(J453&lt;&gt;"","?FAMILIAR",IF(F453="NEW",IF(ISNA(VLOOKUP(E453,#REF!,1,FALSE())),"?TYPE_IDENTIFIABLE","?REFERENTIAL"),"_")))))</f>
        <v>?REFERENTIAL</v>
      </c>
      <c r="H453" s="23" t="str">
        <f t="shared" ca="1" si="33"/>
        <v/>
      </c>
      <c r="I453" s="24" t="str">
        <f>IF(OR(E453="",E453="!!!",F453="NEW"),"",INDEX(B$2:B452,-1+SUMPRODUCT(MAX(ROW(E$2:E452)*(E453=E$2:E452)))))</f>
        <v/>
      </c>
      <c r="J453" s="24" t="str">
        <f ca="1">IF(OR(E453="",E453="!!!",F453="NEW"),"",COUNTBLANK(OFFSET(A$1,,,SUMPRODUCT(MAX(ROW(E$2:E453)*(E453=E$2:E453)))))-COUNTBLANK(OFFSET(A$1,,,SUMPRODUCT(MAX(ROW(E$1:E452)*(E2=E$1:E452))))))</f>
        <v/>
      </c>
      <c r="K453" s="24" t="str">
        <f>IF(OR(E453="",E453="!!!",F453="NEW"),"",INDEX(J$1:J452,SUMPRODUCT(MAX(ROW(E$1:E452)*(E453=E$1:E452)))))</f>
        <v/>
      </c>
      <c r="L453" s="25"/>
    </row>
    <row r="454" spans="1:12" x14ac:dyDescent="0.3">
      <c r="A454" t="s">
        <v>355</v>
      </c>
      <c r="E454" s="20" t="str">
        <f t="shared" si="32"/>
        <v/>
      </c>
      <c r="F454" s="21" t="str">
        <f>IF(OR(E454="",E454="!!!"),"",IF(NOT(ISNA(VLOOKUP(E454,E$1:E453,1,FALSE()))),"OLD",IF(AND(E454&lt;&gt;"",E454&lt;&gt;"!!!"),"NEW","")))</f>
        <v/>
      </c>
      <c r="G454" s="22" t="str">
        <f>IF(OR(E454="",E454="!!!"),"",IF(OR(J454=0,AND(J454=1,K454=1),AND(J454=1,I454="SBJ"),AND(J454=1,I454=0)),"?IN_FOCUS",IF(J454&lt;=2,"?ACTIVATED",IF(J454&lt;&gt;"","?FAMILIAR",IF(F454="NEW",IF(ISNA(VLOOKUP(E454,#REF!,1,FALSE())),"?TYPE_IDENTIFIABLE","?REFERENTIAL"),"_")))))</f>
        <v/>
      </c>
      <c r="H454" s="23" t="str">
        <f t="shared" ca="1" si="33"/>
        <v/>
      </c>
      <c r="I454" s="24" t="str">
        <f>IF(OR(E454="",E454="!!!",F454="NEW"),"",INDEX(B$2:B453,-1+SUMPRODUCT(MAX(ROW(E$2:E453)*(E454=E$2:E453)))))</f>
        <v/>
      </c>
      <c r="J454" s="24" t="str">
        <f ca="1">IF(OR(E454="",E454="!!!",F454="NEW"),"",COUNTBLANK(OFFSET(A$1,,,SUMPRODUCT(MAX(ROW(E$2:E454)*(E454=E$2:E454)))))-COUNTBLANK(OFFSET(A$1,,,SUMPRODUCT(MAX(ROW(E$1:E453)*(E2=E$1:E453))))))</f>
        <v/>
      </c>
      <c r="K454" s="24" t="str">
        <f>IF(OR(E454="",E454="!!!",F454="NEW"),"",INDEX(J$1:J453,SUMPRODUCT(MAX(ROW(E$1:E453)*(E454=E$1:E453)))))</f>
        <v/>
      </c>
      <c r="L454" s="25"/>
    </row>
    <row r="455" spans="1:12" x14ac:dyDescent="0.3">
      <c r="A455" t="s">
        <v>356</v>
      </c>
      <c r="E455" s="20" t="s">
        <v>730</v>
      </c>
      <c r="F455" s="21" t="str">
        <f>IF(OR(E455="",E455="!!!"),"",IF(NOT(ISNA(VLOOKUP(E455,E$1:E454,1,FALSE()))),"OLD",IF(AND(E455&lt;&gt;"",E455&lt;&gt;"!!!"),"NEW","")))</f>
        <v>OLD</v>
      </c>
      <c r="G455" s="22" t="s">
        <v>657</v>
      </c>
      <c r="H455" s="23" t="str">
        <f t="shared" ca="1" si="33"/>
        <v/>
      </c>
      <c r="I455" s="24">
        <f>IF(OR(E455="",E455="!!!",F455="NEW"),"",INDEX(B$2:B454,-1+SUMPRODUCT(MAX(ROW(E$2:E454)*(E455=E$2:E454)))))</f>
        <v>0</v>
      </c>
      <c r="J455" s="24">
        <f ca="1">IF(OR(E455="",E455="!!!",F455="NEW"),"",COUNTBLANK(OFFSET(A$1,,,SUMPRODUCT(MAX(ROW(E$2:E455)*(E455=E$2:E455)))))-COUNTBLANK(OFFSET(A$1,,,SUMPRODUCT(MAX(ROW(E$1:E454)*(E2=E$1:E454))))))</f>
        <v>0</v>
      </c>
      <c r="K455" s="24" t="str">
        <f ca="1">IF(OR(E455="",E455="!!!",F455="NEW"),"",INDEX(J$1:J454,SUMPRODUCT(MAX(ROW(E$1:E454)*(E455=E$1:E454)))))</f>
        <v/>
      </c>
      <c r="L455" s="25" t="s">
        <v>748</v>
      </c>
    </row>
    <row r="456" spans="1:12" x14ac:dyDescent="0.3">
      <c r="A456" t="s">
        <v>357</v>
      </c>
      <c r="E456" s="20" t="str">
        <f t="shared" si="32"/>
        <v/>
      </c>
      <c r="F456" s="21" t="str">
        <f>IF(OR(E456="",E456="!!!"),"",IF(NOT(ISNA(VLOOKUP(E456,E$1:E455,1,FALSE()))),"OLD",IF(AND(E456&lt;&gt;"",E456&lt;&gt;"!!!"),"NEW","")))</f>
        <v/>
      </c>
      <c r="G456" s="22" t="str">
        <f>IF(OR(E456="",E456="!!!"),"",IF(OR(J456=0,AND(J456=1,K456=1),AND(J456=1,I456="SBJ"),AND(J456=1,I456=0)),"?IN_FOCUS",IF(J456&lt;=2,"?ACTIVATED",IF(J456&lt;&gt;"","?FAMILIAR",IF(F456="NEW",IF(ISNA(VLOOKUP(E456,#REF!,1,FALSE())),"?TYPE_IDENTIFIABLE","?REFERENTIAL"),"_")))))</f>
        <v/>
      </c>
      <c r="H456" s="23" t="str">
        <f t="shared" ca="1" si="33"/>
        <v/>
      </c>
      <c r="I456" s="24" t="str">
        <f>IF(OR(E456="",E456="!!!",F456="NEW"),"",INDEX(B$2:B455,-1+SUMPRODUCT(MAX(ROW(E$2:E455)*(E456=E$2:E455)))))</f>
        <v/>
      </c>
      <c r="J456" s="24" t="str">
        <f ca="1">IF(OR(E456="",E456="!!!",F456="NEW"),"",COUNTBLANK(OFFSET(A$1,,,SUMPRODUCT(MAX(ROW(E$2:E456)*(E456=E$2:E456)))))-COUNTBLANK(OFFSET(A$1,,,SUMPRODUCT(MAX(ROW(E$1:E455)*(E2=E$1:E455))))))</f>
        <v/>
      </c>
      <c r="K456" s="24" t="str">
        <f>IF(OR(E456="",E456="!!!",F456="NEW"),"",INDEX(J$1:J455,SUMPRODUCT(MAX(ROW(E$1:E455)*(E456=E$1:E455)))))</f>
        <v/>
      </c>
      <c r="L456" s="25"/>
    </row>
    <row r="457" spans="1:12" x14ac:dyDescent="0.3">
      <c r="A457" t="s">
        <v>358</v>
      </c>
      <c r="E457" s="20" t="str">
        <f t="shared" si="32"/>
        <v/>
      </c>
      <c r="F457" s="21" t="str">
        <f>IF(OR(E457="",E457="!!!"),"",IF(NOT(ISNA(VLOOKUP(E457,E$1:E456,1,FALSE()))),"OLD",IF(AND(E457&lt;&gt;"",E457&lt;&gt;"!!!"),"NEW","")))</f>
        <v/>
      </c>
      <c r="G457" s="22" t="str">
        <f>IF(OR(E457="",E457="!!!"),"",IF(OR(J457=0,AND(J457=1,K457=1),AND(J457=1,I457="SBJ"),AND(J457=1,I457=0)),"?IN_FOCUS",IF(J457&lt;=2,"?ACTIVATED",IF(J457&lt;&gt;"","?FAMILIAR",IF(F457="NEW",IF(ISNA(VLOOKUP(E457,#REF!,1,FALSE())),"?TYPE_IDENTIFIABLE","?REFERENTIAL"),"_")))))</f>
        <v/>
      </c>
      <c r="H457" s="23" t="str">
        <f t="shared" ca="1" si="33"/>
        <v/>
      </c>
      <c r="I457" s="24" t="str">
        <f>IF(OR(E457="",E457="!!!",F457="NEW"),"",INDEX(B$2:B456,-1+SUMPRODUCT(MAX(ROW(E$2:E456)*(E457=E$2:E456)))))</f>
        <v/>
      </c>
      <c r="J457" s="24" t="str">
        <f ca="1">IF(OR(E457="",E457="!!!",F457="NEW"),"",COUNTBLANK(OFFSET(A$1,,,SUMPRODUCT(MAX(ROW(E$2:E457)*(E457=E$2:E457)))))-COUNTBLANK(OFFSET(A$1,,,SUMPRODUCT(MAX(ROW(E$1:E456)*(E2=E$1:E456))))))</f>
        <v/>
      </c>
      <c r="K457" s="24" t="str">
        <f>IF(OR(E457="",E457="!!!",F457="NEW"),"",INDEX(J$1:J456,SUMPRODUCT(MAX(ROW(E$1:E456)*(E457=E$1:E456)))))</f>
        <v/>
      </c>
      <c r="L457" s="25"/>
    </row>
    <row r="458" spans="1:12" x14ac:dyDescent="0.3">
      <c r="A458" t="s">
        <v>359</v>
      </c>
      <c r="B458" s="26" t="s">
        <v>225</v>
      </c>
      <c r="C458" s="26" t="s">
        <v>214</v>
      </c>
      <c r="D458" s="26" t="s">
        <v>215</v>
      </c>
      <c r="E458" s="20" t="s">
        <v>679</v>
      </c>
      <c r="F458" s="21" t="str">
        <f>IF(OR(E458="",E458="!!!"),"",IF(NOT(ISNA(VLOOKUP(E458,E$1:E457,1,FALSE()))),"OLD",IF(AND(E458&lt;&gt;"",E458&lt;&gt;"!!!"),"NEW","")))</f>
        <v>OLD</v>
      </c>
      <c r="G458" s="22" t="s">
        <v>657</v>
      </c>
      <c r="H458" s="23" t="str">
        <f t="shared" ca="1" si="33"/>
        <v/>
      </c>
      <c r="I458" s="24" t="str">
        <f>IF(OR(E458="",E458="!!!",F458="NEW"),"",INDEX(B$2:B457,-1+SUMPRODUCT(MAX(ROW(E$2:E457)*(E458=E$2:E457)))))</f>
        <v>other</v>
      </c>
      <c r="J458" s="24">
        <f ca="1">IF(OR(E458="",E458="!!!",F458="NEW"),"",COUNTBLANK(OFFSET(A$1,,,SUMPRODUCT(MAX(ROW(E$2:E458)*(E458=E$2:E458)))))-COUNTBLANK(OFFSET(A$1,,,SUMPRODUCT(MAX(ROW(E$1:E457)*(E2=E$1:E457))))))</f>
        <v>0</v>
      </c>
      <c r="K458" s="24" t="str">
        <f ca="1">IF(OR(E458="",E458="!!!",F458="NEW"),"",INDEX(J$1:J457,SUMPRODUCT(MAX(ROW(E$1:E457)*(E458=E$1:E457)))))</f>
        <v/>
      </c>
      <c r="L458" s="25"/>
    </row>
    <row r="459" spans="1:12" x14ac:dyDescent="0.3">
      <c r="A459" t="s">
        <v>16</v>
      </c>
      <c r="E459" s="20" t="str">
        <f t="shared" si="32"/>
        <v/>
      </c>
      <c r="F459" s="21" t="str">
        <f>IF(OR(E459="",E459="!!!"),"",IF(NOT(ISNA(VLOOKUP(E459,E$1:E458,1,FALSE()))),"OLD",IF(AND(E459&lt;&gt;"",E459&lt;&gt;"!!!"),"NEW","")))</f>
        <v/>
      </c>
      <c r="G459" s="22" t="str">
        <f>IF(OR(E459="",E459="!!!"),"",IF(OR(J459=0,AND(J459=1,K459=1),AND(J459=1,I459="SBJ"),AND(J459=1,I459=0)),"?IN_FOCUS",IF(J459&lt;=2,"?ACTIVATED",IF(J459&lt;&gt;"","?FAMILIAR",IF(F459="NEW",IF(ISNA(VLOOKUP(E459,#REF!,1,FALSE())),"?TYPE_IDENTIFIABLE","?REFERENTIAL"),"_")))))</f>
        <v/>
      </c>
      <c r="H459" s="23" t="str">
        <f t="shared" ca="1" si="33"/>
        <v/>
      </c>
      <c r="I459" s="24" t="str">
        <f>IF(OR(E459="",E459="!!!",F459="NEW"),"",INDEX(B$2:B458,-1+SUMPRODUCT(MAX(ROW(E$2:E458)*(E459=E$2:E458)))))</f>
        <v/>
      </c>
      <c r="J459" s="24" t="str">
        <f ca="1">IF(OR(E459="",E459="!!!",F459="NEW"),"",COUNTBLANK(OFFSET(A$1,,,SUMPRODUCT(MAX(ROW(E$2:E459)*(E459=E$2:E459)))))-COUNTBLANK(OFFSET(A$1,,,SUMPRODUCT(MAX(ROW(E$1:E458)*(E2=E$1:E458))))))</f>
        <v/>
      </c>
      <c r="K459" s="24" t="str">
        <f>IF(OR(E459="",E459="!!!",F459="NEW"),"",INDEX(J$1:J458,SUMPRODUCT(MAX(ROW(E$1:E458)*(E459=E$1:E458)))))</f>
        <v/>
      </c>
      <c r="L459" s="25"/>
    </row>
    <row r="460" spans="1:12" x14ac:dyDescent="0.3">
      <c r="A460" t="s">
        <v>228</v>
      </c>
      <c r="B460" s="26" t="s">
        <v>229</v>
      </c>
      <c r="C460" s="26" t="s">
        <v>230</v>
      </c>
      <c r="D460" s="26" t="s">
        <v>215</v>
      </c>
      <c r="E460" s="20" t="s">
        <v>669</v>
      </c>
      <c r="F460" s="21" t="str">
        <f>IF(OR(E460="",E460="!!!"),"",IF(NOT(ISNA(VLOOKUP(E460,E$1:E459,1,FALSE()))),"OLD",IF(AND(E460&lt;&gt;"",E460&lt;&gt;"!!!"),"NEW","")))</f>
        <v>OLD</v>
      </c>
      <c r="G460" s="22" t="str">
        <f ca="1">IF(OR(E460="",E460="!!!"),"",IF(OR(J460=0,AND(J460=1,K460=1),AND(J460=1,I460="SBJ"),AND(J460=1,I460=0)),"?IN_FOCUS",IF(J460&lt;=2,"?ACTIVATED",IF(J460&lt;&gt;"","?FAMILIAR",IF(F460="NEW",IF(ISNA(VLOOKUP(E460,#REF!,1,FALSE())),"?TYPE_IDENTIFIABLE","?REFERENTIAL"),"_")))))</f>
        <v>?IN_FOCUS</v>
      </c>
      <c r="H460" s="23" t="str">
        <f t="shared" ca="1" si="33"/>
        <v/>
      </c>
      <c r="I460" s="24" t="str">
        <f>IF(OR(E460="",E460="!!!",F460="NEW"),"",INDEX(B$2:B459,-1+SUMPRODUCT(MAX(ROW(E$2:E459)*(E460=E$2:E459)))))</f>
        <v>SBJ</v>
      </c>
      <c r="J460" s="24">
        <f ca="1">IF(OR(E460="",E460="!!!",F460="NEW"),"",COUNTBLANK(OFFSET(A$1,,,SUMPRODUCT(MAX(ROW(E$2:E460)*(E460=E$2:E460)))))-COUNTBLANK(OFFSET(A$1,,,SUMPRODUCT(MAX(ROW(E$1:E459)*(E2=E$1:E459))))))</f>
        <v>0</v>
      </c>
      <c r="K460" s="24">
        <f ca="1">IF(OR(E460="",E460="!!!",F460="NEW"),"",INDEX(J$1:J459,SUMPRODUCT(MAX(ROW(E$1:E459)*(E460=E$1:E459)))))</f>
        <v>0</v>
      </c>
      <c r="L460" s="25"/>
    </row>
    <row r="461" spans="1:12" x14ac:dyDescent="0.3">
      <c r="A461" t="s">
        <v>252</v>
      </c>
      <c r="E461" s="20" t="str">
        <f t="shared" si="32"/>
        <v/>
      </c>
      <c r="F461" s="21" t="str">
        <f>IF(OR(E461="",E461="!!!"),"",IF(NOT(ISNA(VLOOKUP(E461,E$1:E460,1,FALSE()))),"OLD",IF(AND(E461&lt;&gt;"",E461&lt;&gt;"!!!"),"NEW","")))</f>
        <v/>
      </c>
      <c r="G461" s="22" t="str">
        <f>IF(OR(E461="",E461="!!!"),"",IF(OR(J461=0,AND(J461=1,K461=1),AND(J461=1,I461="SBJ"),AND(J461=1,I461=0)),"?IN_FOCUS",IF(J461&lt;=2,"?ACTIVATED",IF(J461&lt;&gt;"","?FAMILIAR",IF(F461="NEW",IF(ISNA(VLOOKUP(E461,#REF!,1,FALSE())),"?TYPE_IDENTIFIABLE","?REFERENTIAL"),"_")))))</f>
        <v/>
      </c>
      <c r="H461" s="23" t="str">
        <f t="shared" ca="1" si="33"/>
        <v/>
      </c>
      <c r="I461" s="24" t="str">
        <f>IF(OR(E461="",E461="!!!",F461="NEW"),"",INDEX(B$2:B460,-1+SUMPRODUCT(MAX(ROW(E$2:E460)*(E461=E$2:E460)))))</f>
        <v/>
      </c>
      <c r="J461" s="24" t="str">
        <f ca="1">IF(OR(E461="",E461="!!!",F461="NEW"),"",COUNTBLANK(OFFSET(A$1,,,SUMPRODUCT(MAX(ROW(E$2:E461)*(E461=E$2:E461)))))-COUNTBLANK(OFFSET(A$1,,,SUMPRODUCT(MAX(ROW(E$1:E460)*(E2=E$1:E460))))))</f>
        <v/>
      </c>
      <c r="K461" s="24" t="str">
        <f>IF(OR(E461="",E461="!!!",F461="NEW"),"",INDEX(J$1:J460,SUMPRODUCT(MAX(ROW(E$1:E460)*(E461=E$1:E460)))))</f>
        <v/>
      </c>
      <c r="L461" s="25"/>
    </row>
    <row r="462" spans="1:12" x14ac:dyDescent="0.3">
      <c r="A462" t="s">
        <v>238</v>
      </c>
      <c r="E462" s="20" t="str">
        <f t="shared" si="32"/>
        <v/>
      </c>
      <c r="F462" s="21" t="str">
        <f>IF(OR(E462="",E462="!!!"),"",IF(NOT(ISNA(VLOOKUP(E462,E$1:E461,1,FALSE()))),"OLD",IF(AND(E462&lt;&gt;"",E462&lt;&gt;"!!!"),"NEW","")))</f>
        <v/>
      </c>
      <c r="G462" s="22" t="str">
        <f>IF(OR(E462="",E462="!!!"),"",IF(OR(J462=0,AND(J462=1,K462=1),AND(J462=1,I462="SBJ"),AND(J462=1,I462=0)),"?IN_FOCUS",IF(J462&lt;=2,"?ACTIVATED",IF(J462&lt;&gt;"","?FAMILIAR",IF(F462="NEW",IF(ISNA(VLOOKUP(E462,#REF!,1,FALSE())),"?TYPE_IDENTIFIABLE","?REFERENTIAL"),"_")))))</f>
        <v/>
      </c>
      <c r="H462" s="23" t="str">
        <f t="shared" ca="1" si="33"/>
        <v/>
      </c>
      <c r="I462" s="24" t="str">
        <f>IF(OR(E462="",E462="!!!",F462="NEW"),"",INDEX(B$2:B461,-1+SUMPRODUCT(MAX(ROW(E$2:E461)*(E462=E$2:E461)))))</f>
        <v/>
      </c>
      <c r="J462" s="24" t="str">
        <f ca="1">IF(OR(E462="",E462="!!!",F462="NEW"),"",COUNTBLANK(OFFSET(A$1,,,SUMPRODUCT(MAX(ROW(E$2:E462)*(E462=E$2:E462)))))-COUNTBLANK(OFFSET(A$1,,,SUMPRODUCT(MAX(ROW(E$1:E461)*(E2=E$1:E461))))))</f>
        <v/>
      </c>
      <c r="K462" s="24" t="str">
        <f>IF(OR(E462="",E462="!!!",F462="NEW"),"",INDEX(J$1:J461,SUMPRODUCT(MAX(ROW(E$1:E461)*(E462=E$1:E461)))))</f>
        <v/>
      </c>
      <c r="L462" s="25"/>
    </row>
    <row r="463" spans="1:12" x14ac:dyDescent="0.3">
      <c r="A463" t="s">
        <v>459</v>
      </c>
      <c r="B463" s="26" t="s">
        <v>233</v>
      </c>
      <c r="C463" s="26" t="s">
        <v>240</v>
      </c>
      <c r="E463" s="20" t="str">
        <f t="shared" si="32"/>
        <v/>
      </c>
      <c r="F463" s="21" t="str">
        <f>IF(OR(E463="",E463="!!!"),"",IF(NOT(ISNA(VLOOKUP(E463,E$1:E462,1,FALSE()))),"OLD",IF(AND(E463&lt;&gt;"",E463&lt;&gt;"!!!"),"NEW","")))</f>
        <v/>
      </c>
      <c r="G463" s="22" t="str">
        <f>IF(OR(E463="",E463="!!!"),"",IF(OR(J463=0,AND(J463=1,K463=1),AND(J463=1,I463="SBJ"),AND(J463=1,I463=0)),"?IN_FOCUS",IF(J463&lt;=2,"?ACTIVATED",IF(J463&lt;&gt;"","?FAMILIAR",IF(F463="NEW",IF(ISNA(VLOOKUP(E463,#REF!,1,FALSE())),"?TYPE_IDENTIFIABLE","?REFERENTIAL"),"_")))))</f>
        <v/>
      </c>
      <c r="H463" s="23" t="str">
        <f t="shared" ca="1" si="33"/>
        <v/>
      </c>
      <c r="I463" s="24" t="str">
        <f>IF(OR(E463="",E463="!!!",F463="NEW"),"",INDEX(B$2:B462,-1+SUMPRODUCT(MAX(ROW(E$2:E462)*(E463=E$2:E462)))))</f>
        <v/>
      </c>
      <c r="J463" s="24" t="str">
        <f ca="1">IF(OR(E463="",E463="!!!",F463="NEW"),"",COUNTBLANK(OFFSET(A$1,,,SUMPRODUCT(MAX(ROW(E$2:E463)*(E463=E$2:E463)))))-COUNTBLANK(OFFSET(A$1,,,SUMPRODUCT(MAX(ROW(E$1:E462)*(E2=E$1:E462))))))</f>
        <v/>
      </c>
      <c r="K463" s="24" t="str">
        <f>IF(OR(E463="",E463="!!!",F463="NEW"),"",INDEX(J$1:J462,SUMPRODUCT(MAX(ROW(E$1:E462)*(E463=E$1:E462)))))</f>
        <v/>
      </c>
      <c r="L463" s="25"/>
    </row>
    <row r="464" spans="1:12" x14ac:dyDescent="0.3">
      <c r="A464" t="s">
        <v>223</v>
      </c>
      <c r="E464" s="20" t="str">
        <f t="shared" si="32"/>
        <v/>
      </c>
      <c r="F464" s="21" t="str">
        <f>IF(OR(E464="",E464="!!!"),"",IF(NOT(ISNA(VLOOKUP(E464,E$1:E463,1,FALSE()))),"OLD",IF(AND(E464&lt;&gt;"",E464&lt;&gt;"!!!"),"NEW","")))</f>
        <v/>
      </c>
      <c r="G464" s="22" t="str">
        <f>IF(OR(E464="",E464="!!!"),"",IF(OR(J464=0,AND(J464=1,K464=1),AND(J464=1,I464="SBJ"),AND(J464=1,I464=0)),"?IN_FOCUS",IF(J464&lt;=2,"?ACTIVATED",IF(J464&lt;&gt;"","?FAMILIAR",IF(F464="NEW",IF(ISNA(VLOOKUP(E464,#REF!,1,FALSE())),"?TYPE_IDENTIFIABLE","?REFERENTIAL"),"_")))))</f>
        <v/>
      </c>
      <c r="H464" s="23" t="str">
        <f t="shared" ca="1" si="33"/>
        <v/>
      </c>
      <c r="I464" s="24" t="str">
        <f>IF(OR(E464="",E464="!!!",F464="NEW"),"",INDEX(B$2:B463,-1+SUMPRODUCT(MAX(ROW(E$2:E463)*(E464=E$2:E463)))))</f>
        <v/>
      </c>
      <c r="J464" s="24" t="str">
        <f ca="1">IF(OR(E464="",E464="!!!",F464="NEW"),"",COUNTBLANK(OFFSET(A$1,,,SUMPRODUCT(MAX(ROW(E$2:E464)*(E464=E$2:E464)))))-COUNTBLANK(OFFSET(A$1,,,SUMPRODUCT(MAX(ROW(E$1:E463)*(E2=E$1:E463))))))</f>
        <v/>
      </c>
      <c r="K464" s="24" t="str">
        <f>IF(OR(E464="",E464="!!!",F464="NEW"),"",INDEX(J$1:J463,SUMPRODUCT(MAX(ROW(E$1:E463)*(E464=E$1:E463)))))</f>
        <v/>
      </c>
      <c r="L464" s="25"/>
    </row>
    <row r="465" spans="1:12" x14ac:dyDescent="0.3">
      <c r="A465" t="s">
        <v>460</v>
      </c>
      <c r="E465" s="20" t="str">
        <f t="shared" si="32"/>
        <v/>
      </c>
      <c r="F465" s="21" t="str">
        <f>IF(OR(E465="",E465="!!!"),"",IF(NOT(ISNA(VLOOKUP(E465,E$1:E464,1,FALSE()))),"OLD",IF(AND(E465&lt;&gt;"",E465&lt;&gt;"!!!"),"NEW","")))</f>
        <v/>
      </c>
      <c r="G465" s="22" t="str">
        <f>IF(OR(E465="",E465="!!!"),"",IF(OR(J465=0,AND(J465=1,K465=1),AND(J465=1,I465="SBJ"),AND(J465=1,I465=0)),"?IN_FOCUS",IF(J465&lt;=2,"?ACTIVATED",IF(J465&lt;&gt;"","?FAMILIAR",IF(F465="NEW",IF(ISNA(VLOOKUP(E465,#REF!,1,FALSE())),"?TYPE_IDENTIFIABLE","?REFERENTIAL"),"_")))))</f>
        <v/>
      </c>
      <c r="H465" s="23" t="str">
        <f t="shared" ca="1" si="33"/>
        <v/>
      </c>
      <c r="I465" s="24" t="str">
        <f>IF(OR(E465="",E465="!!!",F465="NEW"),"",INDEX(B$2:B464,-1+SUMPRODUCT(MAX(ROW(E$2:E464)*(E465=E$2:E464)))))</f>
        <v/>
      </c>
      <c r="J465" s="24" t="str">
        <f ca="1">IF(OR(E465="",E465="!!!",F465="NEW"),"",COUNTBLANK(OFFSET(A$1,,,SUMPRODUCT(MAX(ROW(E$2:E465)*(E465=E$2:E465)))))-COUNTBLANK(OFFSET(A$1,,,SUMPRODUCT(MAX(ROW(E$1:E464)*(E2=E$1:E464))))))</f>
        <v/>
      </c>
      <c r="K465" s="24" t="str">
        <f>IF(OR(E465="",E465="!!!",F465="NEW"),"",INDEX(J$1:J464,SUMPRODUCT(MAX(ROW(E$1:E464)*(E465=E$1:E464)))))</f>
        <v/>
      </c>
      <c r="L465" s="25"/>
    </row>
    <row r="466" spans="1:12" x14ac:dyDescent="0.3">
      <c r="A466" t="s">
        <v>461</v>
      </c>
      <c r="B466" s="26" t="s">
        <v>325</v>
      </c>
      <c r="C466" s="26" t="s">
        <v>226</v>
      </c>
      <c r="E466" s="20" t="str">
        <f t="shared" si="32"/>
        <v/>
      </c>
      <c r="F466" s="21" t="str">
        <f>IF(OR(E466="",E466="!!!"),"",IF(NOT(ISNA(VLOOKUP(E466,E$1:E465,1,FALSE()))),"OLD",IF(AND(E466&lt;&gt;"",E466&lt;&gt;"!!!"),"NEW","")))</f>
        <v/>
      </c>
      <c r="G466" s="22" t="str">
        <f>IF(OR(E466="",E466="!!!"),"",IF(OR(J466=0,AND(J466=1,K466=1),AND(J466=1,I466="SBJ"),AND(J466=1,I466=0)),"?IN_FOCUS",IF(J466&lt;=2,"?ACTIVATED",IF(J466&lt;&gt;"","?FAMILIAR",IF(F466="NEW",IF(ISNA(VLOOKUP(E466,#REF!,1,FALSE())),"?TYPE_IDENTIFIABLE","?REFERENTIAL"),"_")))))</f>
        <v/>
      </c>
      <c r="H466" s="23" t="str">
        <f t="shared" ca="1" si="33"/>
        <v/>
      </c>
      <c r="I466" s="24" t="str">
        <f>IF(OR(E466="",E466="!!!",F466="NEW"),"",INDEX(B$2:B465,-1+SUMPRODUCT(MAX(ROW(E$2:E465)*(E466=E$2:E465)))))</f>
        <v/>
      </c>
      <c r="J466" s="24" t="str">
        <f ca="1">IF(OR(E466="",E466="!!!",F466="NEW"),"",COUNTBLANK(OFFSET(A$1,,,SUMPRODUCT(MAX(ROW(E$2:E466)*(E466=E$2:E466)))))-COUNTBLANK(OFFSET(A$1,,,SUMPRODUCT(MAX(ROW(E$1:E465)*(E2=E$1:E465))))))</f>
        <v/>
      </c>
      <c r="K466" s="24" t="str">
        <f>IF(OR(E466="",E466="!!!",F466="NEW"),"",INDEX(J$1:J465,SUMPRODUCT(MAX(ROW(E$1:E465)*(E466=E$1:E465)))))</f>
        <v/>
      </c>
      <c r="L466" s="25"/>
    </row>
    <row r="467" spans="1:12" x14ac:dyDescent="0.3">
      <c r="A467" t="s">
        <v>320</v>
      </c>
      <c r="E467" s="20" t="str">
        <f t="shared" si="32"/>
        <v/>
      </c>
      <c r="F467" s="21" t="str">
        <f>IF(OR(E467="",E467="!!!"),"",IF(NOT(ISNA(VLOOKUP(E467,E$1:E466,1,FALSE()))),"OLD",IF(AND(E467&lt;&gt;"",E467&lt;&gt;"!!!"),"NEW","")))</f>
        <v/>
      </c>
      <c r="G467" s="22" t="str">
        <f>IF(OR(E467="",E467="!!!"),"",IF(OR(J467=0,AND(J467=1,K467=1),AND(J467=1,I467="SBJ"),AND(J467=1,I467=0)),"?IN_FOCUS",IF(J467&lt;=2,"?ACTIVATED",IF(J467&lt;&gt;"","?FAMILIAR",IF(F467="NEW",IF(ISNA(VLOOKUP(E467,#REF!,1,FALSE())),"?TYPE_IDENTIFIABLE","?REFERENTIAL"),"_")))))</f>
        <v/>
      </c>
      <c r="H467" s="23" t="str">
        <f t="shared" ca="1" si="33"/>
        <v/>
      </c>
      <c r="I467" s="24" t="str">
        <f>IF(OR(E467="",E467="!!!",F467="NEW"),"",INDEX(B$2:B466,-1+SUMPRODUCT(MAX(ROW(E$2:E466)*(E467=E$2:E466)))))</f>
        <v/>
      </c>
      <c r="J467" s="24" t="str">
        <f ca="1">IF(OR(E467="",E467="!!!",F467="NEW"),"",COUNTBLANK(OFFSET(A$1,,,SUMPRODUCT(MAX(ROW(E$2:E467)*(E467=E$2:E467)))))-COUNTBLANK(OFFSET(A$1,,,SUMPRODUCT(MAX(ROW(E$1:E466)*(E2=E$1:E466))))))</f>
        <v/>
      </c>
      <c r="K467" s="24" t="str">
        <f>IF(OR(E467="",E467="!!!",F467="NEW"),"",INDEX(J$1:J466,SUMPRODUCT(MAX(ROW(E$1:E466)*(E467=E$1:E466)))))</f>
        <v/>
      </c>
      <c r="L467" s="25"/>
    </row>
    <row r="468" spans="1:12" x14ac:dyDescent="0.3">
      <c r="A468" t="s">
        <v>424</v>
      </c>
      <c r="B468" s="26" t="s">
        <v>325</v>
      </c>
      <c r="C468" s="26" t="s">
        <v>380</v>
      </c>
      <c r="D468" s="26" t="s">
        <v>215</v>
      </c>
      <c r="E468" s="20" t="s">
        <v>669</v>
      </c>
      <c r="F468" s="21" t="str">
        <f>IF(OR(E468="",E468="!!!"),"",IF(NOT(ISNA(VLOOKUP(E468,E$1:E467,1,FALSE()))),"OLD",IF(AND(E468&lt;&gt;"",E468&lt;&gt;"!!!"),"NEW","")))</f>
        <v>OLD</v>
      </c>
      <c r="G468" s="22" t="str">
        <f ca="1">IF(OR(E468="",E468="!!!"),"",IF(OR(J468=0,AND(J468=1,K468=1),AND(J468=1,I468="SBJ"),AND(J468=1,I468=0)),"?IN_FOCUS",IF(J468&lt;=2,"?ACTIVATED",IF(J468&lt;&gt;"","?FAMILIAR",IF(F468="NEW",IF(ISNA(VLOOKUP(E468,#REF!,1,FALSE())),"?TYPE_IDENTIFIABLE","?REFERENTIAL"),"_")))))</f>
        <v>?IN_FOCUS</v>
      </c>
      <c r="H468" s="23" t="str">
        <f t="shared" ca="1" si="33"/>
        <v/>
      </c>
      <c r="I468" s="24" t="str">
        <f>IF(OR(E468="",E468="!!!",F468="NEW"),"",INDEX(B$2:B467,-1+SUMPRODUCT(MAX(ROW(E$2:E467)*(E468=E$2:E467)))))</f>
        <v>SBJ_2</v>
      </c>
      <c r="J468" s="24">
        <f ca="1">IF(OR(E468="",E468="!!!",F468="NEW"),"",COUNTBLANK(OFFSET(A$1,,,SUMPRODUCT(MAX(ROW(E$2:E468)*(E468=E$2:E468)))))-COUNTBLANK(OFFSET(A$1,,,SUMPRODUCT(MAX(ROW(E$1:E467)*(E2=E$1:E467))))))</f>
        <v>0</v>
      </c>
      <c r="K468" s="24">
        <f ca="1">IF(OR(E468="",E468="!!!",F468="NEW"),"",INDEX(J$1:J467,SUMPRODUCT(MAX(ROW(E$1:E467)*(E468=E$1:E467)))))</f>
        <v>0</v>
      </c>
      <c r="L468" s="25"/>
    </row>
    <row r="469" spans="1:12" x14ac:dyDescent="0.3">
      <c r="A469" t="s">
        <v>462</v>
      </c>
      <c r="B469" s="26" t="s">
        <v>225</v>
      </c>
      <c r="C469" s="26" t="s">
        <v>264</v>
      </c>
      <c r="D469" s="26" t="s">
        <v>215</v>
      </c>
      <c r="E469" s="20" t="s">
        <v>702</v>
      </c>
      <c r="F469" s="21" t="str">
        <f>IF(OR(E469="",E469="!!!"),"",IF(NOT(ISNA(VLOOKUP(E469,E$1:E468,1,FALSE()))),"OLD",IF(AND(E469&lt;&gt;"",E469&lt;&gt;"!!!"),"NEW","")))</f>
        <v>NEW</v>
      </c>
      <c r="G469" s="22" t="str">
        <f ca="1">IF(OR(E469="",E469="!!!"),"",IF(OR(J469=0,AND(J469=1,K469=1),AND(J469=1,I469="SBJ"),AND(J469=1,I469=0)),"?IN_FOCUS",IF(J469&lt;=2,"?ACTIVATED",IF(J469&lt;&gt;"","?FAMILIAR",IF(F469="NEW",IF(ISNA(VLOOKUP(E469,#REF!,1,FALSE())),"?TYPE_IDENTIFIABLE","?REFERENTIAL"),"_")))))</f>
        <v>?REFERENTIAL</v>
      </c>
      <c r="H469" s="23" t="str">
        <f t="shared" ca="1" si="33"/>
        <v/>
      </c>
      <c r="I469" s="24" t="str">
        <f>IF(OR(E469="",E469="!!!",F469="NEW"),"",INDEX(B$2:B468,-1+SUMPRODUCT(MAX(ROW(E$2:E468)*(E469=E$2:E468)))))</f>
        <v/>
      </c>
      <c r="J469" s="24" t="str">
        <f ca="1">IF(OR(E469="",E469="!!!",F469="NEW"),"",COUNTBLANK(OFFSET(A$1,,,SUMPRODUCT(MAX(ROW(E$2:E469)*(E469=E$2:E469)))))-COUNTBLANK(OFFSET(A$1,,,SUMPRODUCT(MAX(ROW(E$1:E468)*(E2=E$1:E468))))))</f>
        <v/>
      </c>
      <c r="K469" s="24" t="str">
        <f>IF(OR(E469="",E469="!!!",F469="NEW"),"",INDEX(J$1:J468,SUMPRODUCT(MAX(ROW(E$1:E468)*(E469=E$1:E468)))))</f>
        <v/>
      </c>
      <c r="L469" s="25"/>
    </row>
    <row r="470" spans="1:12" x14ac:dyDescent="0.3">
      <c r="A470" t="s">
        <v>207</v>
      </c>
      <c r="E470" s="20" t="str">
        <f t="shared" si="32"/>
        <v/>
      </c>
      <c r="F470" s="21" t="str">
        <f>IF(OR(E470="",E470="!!!"),"",IF(NOT(ISNA(VLOOKUP(E470,E$1:E469,1,FALSE()))),"OLD",IF(AND(E470&lt;&gt;"",E470&lt;&gt;"!!!"),"NEW","")))</f>
        <v/>
      </c>
      <c r="G470" s="22" t="str">
        <f>IF(OR(E470="",E470="!!!"),"",IF(OR(J470=0,AND(J470=1,K470=1),AND(J470=1,I470="SBJ"),AND(J470=1,I470=0)),"?IN_FOCUS",IF(J470&lt;=2,"?ACTIVATED",IF(J470&lt;&gt;"","?FAMILIAR",IF(F470="NEW",IF(ISNA(VLOOKUP(E470,#REF!,1,FALSE())),"?TYPE_IDENTIFIABLE","?REFERENTIAL"),"_")))))</f>
        <v/>
      </c>
      <c r="H470" s="23" t="str">
        <f t="shared" ca="1" si="33"/>
        <v/>
      </c>
      <c r="I470" s="24" t="str">
        <f>IF(OR(E470="",E470="!!!",F470="NEW"),"",INDEX(B$2:B469,-1+SUMPRODUCT(MAX(ROW(E$2:E469)*(E470=E$2:E469)))))</f>
        <v/>
      </c>
      <c r="J470" s="24" t="str">
        <f ca="1">IF(OR(E470="",E470="!!!",F470="NEW"),"",COUNTBLANK(OFFSET(A$1,,,SUMPRODUCT(MAX(ROW(E$2:E470)*(E470=E$2:E470)))))-COUNTBLANK(OFFSET(A$1,,,SUMPRODUCT(MAX(ROW(E$1:E469)*(E2=E$1:E469))))))</f>
        <v/>
      </c>
      <c r="K470" s="24" t="str">
        <f>IF(OR(E470="",E470="!!!",F470="NEW"),"",INDEX(J$1:J469,SUMPRODUCT(MAX(ROW(E$1:E469)*(E470=E$1:E469)))))</f>
        <v/>
      </c>
      <c r="L470" s="25"/>
    </row>
    <row r="471" spans="1:12" x14ac:dyDescent="0.3">
      <c r="A471" t="s">
        <v>228</v>
      </c>
      <c r="B471" s="26" t="s">
        <v>229</v>
      </c>
      <c r="C471" s="26" t="s">
        <v>230</v>
      </c>
      <c r="D471" s="26" t="s">
        <v>215</v>
      </c>
      <c r="E471" s="20" t="s">
        <v>669</v>
      </c>
      <c r="F471" s="21" t="str">
        <f>IF(OR(E471="",E471="!!!"),"",IF(NOT(ISNA(VLOOKUP(E471,E$1:E470,1,FALSE()))),"OLD",IF(AND(E471&lt;&gt;"",E471&lt;&gt;"!!!"),"NEW","")))</f>
        <v>OLD</v>
      </c>
      <c r="G471" s="22" t="str">
        <f ca="1">IF(OR(E471="",E471="!!!"),"",IF(OR(J471=0,AND(J471=1,K471=1),AND(J471=1,I471="SBJ"),AND(J471=1,I471=0)),"?IN_FOCUS",IF(J471&lt;=2,"?ACTIVATED",IF(J471&lt;&gt;"","?FAMILIAR",IF(F471="NEW",IF(ISNA(VLOOKUP(E471,#REF!,1,FALSE())),"?TYPE_IDENTIFIABLE","?REFERENTIAL"),"_")))))</f>
        <v>?IN_FOCUS</v>
      </c>
      <c r="H471" s="23" t="str">
        <f t="shared" ca="1" si="33"/>
        <v/>
      </c>
      <c r="I471" s="24" t="str">
        <f>IF(OR(E471="",E471="!!!",F471="NEW"),"",INDEX(B$2:B470,-1+SUMPRODUCT(MAX(ROW(E$2:E470)*(E471=E$2:E470)))))</f>
        <v>other_3</v>
      </c>
      <c r="J471" s="24">
        <f ca="1">IF(OR(E471="",E471="!!!",F471="NEW"),"",COUNTBLANK(OFFSET(A$1,,,SUMPRODUCT(MAX(ROW(E$2:E471)*(E471=E$2:E471)))))-COUNTBLANK(OFFSET(A$1,,,SUMPRODUCT(MAX(ROW(E$1:E470)*(E2=E$1:E470))))))</f>
        <v>0</v>
      </c>
      <c r="K471" s="24">
        <f ca="1">IF(OR(E471="",E471="!!!",F471="NEW"),"",INDEX(J$1:J470,SUMPRODUCT(MAX(ROW(E$1:E470)*(E471=E$1:E470)))))</f>
        <v>0</v>
      </c>
      <c r="L471" s="25"/>
    </row>
    <row r="472" spans="1:12" x14ac:dyDescent="0.3">
      <c r="A472" t="s">
        <v>217</v>
      </c>
      <c r="E472" s="20" t="str">
        <f t="shared" si="32"/>
        <v/>
      </c>
      <c r="F472" s="21" t="str">
        <f>IF(OR(E472="",E472="!!!"),"",IF(NOT(ISNA(VLOOKUP(E472,E$1:E471,1,FALSE()))),"OLD",IF(AND(E472&lt;&gt;"",E472&lt;&gt;"!!!"),"NEW","")))</f>
        <v/>
      </c>
      <c r="G472" s="22" t="str">
        <f>IF(OR(E472="",E472="!!!"),"",IF(OR(J472=0,AND(J472=1,K472=1),AND(J472=1,I472="SBJ"),AND(J472=1,I472=0)),"?IN_FOCUS",IF(J472&lt;=2,"?ACTIVATED",IF(J472&lt;&gt;"","?FAMILIAR",IF(F472="NEW",IF(ISNA(VLOOKUP(E472,#REF!,1,FALSE())),"?TYPE_IDENTIFIABLE","?REFERENTIAL"),"_")))))</f>
        <v/>
      </c>
      <c r="H472" s="23" t="str">
        <f t="shared" ca="1" si="33"/>
        <v/>
      </c>
      <c r="I472" s="24" t="str">
        <f>IF(OR(E472="",E472="!!!",F472="NEW"),"",INDEX(B$2:B471,-1+SUMPRODUCT(MAX(ROW(E$2:E471)*(E472=E$2:E471)))))</f>
        <v/>
      </c>
      <c r="J472" s="24" t="str">
        <f ca="1">IF(OR(E472="",E472="!!!",F472="NEW"),"",COUNTBLANK(OFFSET(A$1,,,SUMPRODUCT(MAX(ROW(E$2:E472)*(E472=E$2:E472)))))-COUNTBLANK(OFFSET(A$1,,,SUMPRODUCT(MAX(ROW(E$1:E471)*(E2=E$1:E471))))))</f>
        <v/>
      </c>
      <c r="K472" s="24" t="str">
        <f>IF(OR(E472="",E472="!!!",F472="NEW"),"",INDEX(J$1:J471,SUMPRODUCT(MAX(ROW(E$1:E471)*(E472=E$1:E471)))))</f>
        <v/>
      </c>
      <c r="L472" s="25"/>
    </row>
    <row r="473" spans="1:12" x14ac:dyDescent="0.3">
      <c r="A473" t="s">
        <v>463</v>
      </c>
      <c r="E473" s="20" t="str">
        <f t="shared" si="32"/>
        <v/>
      </c>
      <c r="F473" s="21" t="str">
        <f>IF(OR(E473="",E473="!!!"),"",IF(NOT(ISNA(VLOOKUP(E473,E$1:E472,1,FALSE()))),"OLD",IF(AND(E473&lt;&gt;"",E473&lt;&gt;"!!!"),"NEW","")))</f>
        <v/>
      </c>
      <c r="G473" s="22" t="str">
        <f>IF(OR(E473="",E473="!!!"),"",IF(OR(J473=0,AND(J473=1,K473=1),AND(J473=1,I473="SBJ"),AND(J473=1,I473=0)),"?IN_FOCUS",IF(J473&lt;=2,"?ACTIVATED",IF(J473&lt;&gt;"","?FAMILIAR",IF(F473="NEW",IF(ISNA(VLOOKUP(E473,#REF!,1,FALSE())),"?TYPE_IDENTIFIABLE","?REFERENTIAL"),"_")))))</f>
        <v/>
      </c>
      <c r="H473" s="23" t="str">
        <f t="shared" ca="1" si="33"/>
        <v/>
      </c>
      <c r="I473" s="24" t="str">
        <f>IF(OR(E473="",E473="!!!",F473="NEW"),"",INDEX(B$2:B472,-1+SUMPRODUCT(MAX(ROW(E$2:E472)*(E473=E$2:E472)))))</f>
        <v/>
      </c>
      <c r="J473" s="24" t="str">
        <f ca="1">IF(OR(E473="",E473="!!!",F473="NEW"),"",COUNTBLANK(OFFSET(A$1,,,SUMPRODUCT(MAX(ROW(E$2:E473)*(E473=E$2:E473)))))-COUNTBLANK(OFFSET(A$1,,,SUMPRODUCT(MAX(ROW(E$1:E472)*(E2=E$1:E472))))))</f>
        <v/>
      </c>
      <c r="K473" s="24" t="str">
        <f>IF(OR(E473="",E473="!!!",F473="NEW"),"",INDEX(J$1:J472,SUMPRODUCT(MAX(ROW(E$1:E472)*(E473=E$1:E472)))))</f>
        <v/>
      </c>
      <c r="L473" s="25"/>
    </row>
    <row r="474" spans="1:12" x14ac:dyDescent="0.3">
      <c r="A474" t="s">
        <v>234</v>
      </c>
      <c r="E474" s="20" t="str">
        <f t="shared" si="32"/>
        <v/>
      </c>
      <c r="F474" s="21" t="str">
        <f>IF(OR(E474="",E474="!!!"),"",IF(NOT(ISNA(VLOOKUP(E474,E$1:E473,1,FALSE()))),"OLD",IF(AND(E474&lt;&gt;"",E474&lt;&gt;"!!!"),"NEW","")))</f>
        <v/>
      </c>
      <c r="G474" s="22" t="str">
        <f>IF(OR(E474="",E474="!!!"),"",IF(OR(J474=0,AND(J474=1,K474=1),AND(J474=1,I474="SBJ"),AND(J474=1,I474=0)),"?IN_FOCUS",IF(J474&lt;=2,"?ACTIVATED",IF(J474&lt;&gt;"","?FAMILIAR",IF(F474="NEW",IF(ISNA(VLOOKUP(E474,#REF!,1,FALSE())),"?TYPE_IDENTIFIABLE","?REFERENTIAL"),"_")))))</f>
        <v/>
      </c>
      <c r="H474" s="23" t="str">
        <f t="shared" ca="1" si="33"/>
        <v/>
      </c>
      <c r="I474" s="24" t="str">
        <f>IF(OR(E474="",E474="!!!",F474="NEW"),"",INDEX(B$2:B473,-1+SUMPRODUCT(MAX(ROW(E$2:E473)*(E474=E$2:E473)))))</f>
        <v/>
      </c>
      <c r="J474" s="24" t="str">
        <f ca="1">IF(OR(E474="",E474="!!!",F474="NEW"),"",COUNTBLANK(OFFSET(A$1,,,SUMPRODUCT(MAX(ROW(E$2:E474)*(E474=E$2:E474)))))-COUNTBLANK(OFFSET(A$1,,,SUMPRODUCT(MAX(ROW(E$1:E473)*(E2=E$1:E473))))))</f>
        <v/>
      </c>
      <c r="K474" s="24" t="str">
        <f>IF(OR(E474="",E474="!!!",F474="NEW"),"",INDEX(J$1:J473,SUMPRODUCT(MAX(ROW(E$1:E473)*(E474=E$1:E473)))))</f>
        <v/>
      </c>
      <c r="L474" s="25"/>
    </row>
    <row r="476" spans="1:12" x14ac:dyDescent="0.3">
      <c r="A476" t="s">
        <v>464</v>
      </c>
    </row>
    <row r="477" spans="1:12" x14ac:dyDescent="0.3">
      <c r="A477" t="s">
        <v>236</v>
      </c>
      <c r="E477" s="20" t="str">
        <f t="shared" ref="E477:E496" si="34">IF(D477="?OLD","!!!","")</f>
        <v/>
      </c>
      <c r="F477" s="21" t="str">
        <f>IF(OR(E477="",E477="!!!"),"",IF(NOT(ISNA(VLOOKUP(E477,E$1:E476,1,FALSE()))),"OLD",IF(AND(E477&lt;&gt;"",E477&lt;&gt;"!!!"),"NEW","")))</f>
        <v/>
      </c>
      <c r="G477" s="22" t="str">
        <f>IF(OR(E477="",E477="!!!"),"",IF(OR(J477=0,AND(J477=1,K477=1),AND(J477=1,I477="SBJ"),AND(J477=1,I477=0)),"?IN_FOCUS",IF(J477&lt;=2,"?ACTIVATED",IF(J477&lt;&gt;"","?FAMILIAR",IF(F477="NEW",IF(ISNA(VLOOKUP(E477,#REF!,1,FALSE())),"?TYPE_IDENTIFIABLE","?REFERENTIAL"),"_")))))</f>
        <v/>
      </c>
      <c r="H477" s="23" t="str">
        <f t="shared" ref="H477:H496" ca="1" si="35">IF(J477&lt;&gt;1,"",IF(I477="SBJ","CB","?"))</f>
        <v/>
      </c>
      <c r="I477" s="24" t="str">
        <f>IF(OR(E477="",E477="!!!",F477="NEW"),"",INDEX(B$2:B476,-1+SUMPRODUCT(MAX(ROW(E$2:E476)*(E477=E$2:E476)))))</f>
        <v/>
      </c>
      <c r="J477" s="24" t="str">
        <f ca="1">IF(OR(E477="",E477="!!!",F477="NEW"),"",COUNTBLANK(OFFSET(A$1,,,SUMPRODUCT(MAX(ROW(E$2:E477)*(E477=E$2:E477)))))-COUNTBLANK(OFFSET(A$1,,,SUMPRODUCT(MAX(ROW(E$1:E476)*(E2=E$1:E476))))))</f>
        <v/>
      </c>
      <c r="K477" s="24" t="str">
        <f>IF(OR(E477="",E477="!!!",F477="NEW"),"",INDEX(J$1:J476,SUMPRODUCT(MAX(ROW(E$1:E476)*(E477=E$1:E476)))))</f>
        <v/>
      </c>
      <c r="L477" s="25"/>
    </row>
    <row r="478" spans="1:12" x14ac:dyDescent="0.3">
      <c r="A478" t="s">
        <v>228</v>
      </c>
      <c r="B478" s="26" t="s">
        <v>213</v>
      </c>
      <c r="C478" s="26" t="s">
        <v>230</v>
      </c>
      <c r="D478" s="26" t="s">
        <v>215</v>
      </c>
      <c r="E478" s="20" t="s">
        <v>669</v>
      </c>
      <c r="F478" s="21" t="str">
        <f>IF(OR(E478="",E478="!!!"),"",IF(NOT(ISNA(VLOOKUP(E478,E$1:E477,1,FALSE()))),"OLD",IF(AND(E478&lt;&gt;"",E478&lt;&gt;"!!!"),"NEW","")))</f>
        <v>OLD</v>
      </c>
      <c r="G478" s="22" t="str">
        <f ca="1">IF(OR(E478="",E478="!!!"),"",IF(OR(J478=0,AND(J478=1,K478=1),AND(J478=1,I478="SBJ"),AND(J478=1,I478=0)),"?IN_FOCUS",IF(J478&lt;=2,"?ACTIVATED",IF(J478&lt;&gt;"","?FAMILIAR",IF(F478="NEW",IF(ISNA(VLOOKUP(E478,#REF!,1,FALSE())),"?TYPE_IDENTIFIABLE","?REFERENTIAL"),"_")))))</f>
        <v>?IN_FOCUS</v>
      </c>
      <c r="H478" s="23" t="s">
        <v>198</v>
      </c>
      <c r="I478" s="24" t="str">
        <f>IF(OR(E478="",E478="!!!",F478="NEW"),"",INDEX(B$2:B477,-1+SUMPRODUCT(MAX(ROW(E$2:E477)*(E478=E$2:E477)))))</f>
        <v>SBJ_2</v>
      </c>
      <c r="J478" s="24">
        <f ca="1">IF(OR(E478="",E478="!!!",F478="NEW"),"",COUNTBLANK(OFFSET(A$1,,,SUMPRODUCT(MAX(ROW(E$2:E478)*(E478=E$2:E478)))))-COUNTBLANK(OFFSET(A$1,,,SUMPRODUCT(MAX(ROW(E$1:E477)*(E2=E$1:E477))))))</f>
        <v>0</v>
      </c>
      <c r="K478" s="24">
        <f ca="1">IF(OR(E478="",E478="!!!",F478="NEW"),"",INDEX(J$1:J477,SUMPRODUCT(MAX(ROW(E$1:E477)*(E478=E$1:E477)))))</f>
        <v>0</v>
      </c>
      <c r="L478" s="25"/>
    </row>
    <row r="479" spans="1:12" x14ac:dyDescent="0.3">
      <c r="A479" t="s">
        <v>217</v>
      </c>
      <c r="E479" s="20" t="str">
        <f t="shared" si="34"/>
        <v/>
      </c>
      <c r="F479" s="21" t="str">
        <f>IF(OR(E479="",E479="!!!"),"",IF(NOT(ISNA(VLOOKUP(E479,E$1:E478,1,FALSE()))),"OLD",IF(AND(E479&lt;&gt;"",E479&lt;&gt;"!!!"),"NEW","")))</f>
        <v/>
      </c>
      <c r="G479" s="22" t="str">
        <f>IF(OR(E479="",E479="!!!"),"",IF(OR(J479=0,AND(J479=1,K479=1),AND(J479=1,I479="SBJ"),AND(J479=1,I479=0)),"?IN_FOCUS",IF(J479&lt;=2,"?ACTIVATED",IF(J479&lt;&gt;"","?FAMILIAR",IF(F479="NEW",IF(ISNA(VLOOKUP(E479,#REF!,1,FALSE())),"?TYPE_IDENTIFIABLE","?REFERENTIAL"),"_")))))</f>
        <v/>
      </c>
      <c r="H479" s="23" t="str">
        <f t="shared" ca="1" si="35"/>
        <v/>
      </c>
      <c r="I479" s="24" t="str">
        <f>IF(OR(E479="",E479="!!!",F479="NEW"),"",INDEX(B$2:B478,-1+SUMPRODUCT(MAX(ROW(E$2:E478)*(E479=E$2:E478)))))</f>
        <v/>
      </c>
      <c r="J479" s="24" t="str">
        <f ca="1">IF(OR(E479="",E479="!!!",F479="NEW"),"",COUNTBLANK(OFFSET(A$1,,,SUMPRODUCT(MAX(ROW(E$2:E479)*(E479=E$2:E479)))))-COUNTBLANK(OFFSET(A$1,,,SUMPRODUCT(MAX(ROW(E$1:E478)*(E2=E$1:E478))))))</f>
        <v/>
      </c>
      <c r="K479" s="24" t="str">
        <f>IF(OR(E479="",E479="!!!",F479="NEW"),"",INDEX(J$1:J478,SUMPRODUCT(MAX(ROW(E$1:E478)*(E479=E$1:E478)))))</f>
        <v/>
      </c>
      <c r="L479" s="25"/>
    </row>
    <row r="480" spans="1:12" x14ac:dyDescent="0.3">
      <c r="A480" t="s">
        <v>399</v>
      </c>
      <c r="E480" s="20" t="str">
        <f t="shared" si="34"/>
        <v/>
      </c>
      <c r="F480" s="21" t="str">
        <f>IF(OR(E480="",E480="!!!"),"",IF(NOT(ISNA(VLOOKUP(E480,E$1:E479,1,FALSE()))),"OLD",IF(AND(E480&lt;&gt;"",E480&lt;&gt;"!!!"),"NEW","")))</f>
        <v/>
      </c>
      <c r="G480" s="22" t="str">
        <f>IF(OR(E480="",E480="!!!"),"",IF(OR(J480=0,AND(J480=1,K480=1),AND(J480=1,I480="SBJ"),AND(J480=1,I480=0)),"?IN_FOCUS",IF(J480&lt;=2,"?ACTIVATED",IF(J480&lt;&gt;"","?FAMILIAR",IF(F480="NEW",IF(ISNA(VLOOKUP(E480,#REF!,1,FALSE())),"?TYPE_IDENTIFIABLE","?REFERENTIAL"),"_")))))</f>
        <v/>
      </c>
      <c r="H480" s="23" t="str">
        <f t="shared" ca="1" si="35"/>
        <v/>
      </c>
      <c r="I480" s="24" t="str">
        <f>IF(OR(E480="",E480="!!!",F480="NEW"),"",INDEX(B$2:B479,-1+SUMPRODUCT(MAX(ROW(E$2:E479)*(E480=E$2:E479)))))</f>
        <v/>
      </c>
      <c r="J480" s="24" t="str">
        <f ca="1">IF(OR(E480="",E480="!!!",F480="NEW"),"",COUNTBLANK(OFFSET(A$1,,,SUMPRODUCT(MAX(ROW(E$2:E480)*(E480=E$2:E480)))))-COUNTBLANK(OFFSET(A$1,,,SUMPRODUCT(MAX(ROW(E$1:E479)*(E2=E$1:E479))))))</f>
        <v/>
      </c>
      <c r="K480" s="24" t="str">
        <f>IF(OR(E480="",E480="!!!",F480="NEW"),"",INDEX(J$1:J479,SUMPRODUCT(MAX(ROW(E$1:E479)*(E480=E$1:E479)))))</f>
        <v/>
      </c>
      <c r="L480" s="25"/>
    </row>
    <row r="481" spans="1:12" x14ac:dyDescent="0.3">
      <c r="A481" t="s">
        <v>378</v>
      </c>
      <c r="E481" s="20" t="str">
        <f t="shared" si="34"/>
        <v/>
      </c>
      <c r="F481" s="21" t="str">
        <f>IF(OR(E481="",E481="!!!"),"",IF(NOT(ISNA(VLOOKUP(E481,E$1:E480,1,FALSE()))),"OLD",IF(AND(E481&lt;&gt;"",E481&lt;&gt;"!!!"),"NEW","")))</f>
        <v/>
      </c>
      <c r="G481" s="22" t="str">
        <f>IF(OR(E481="",E481="!!!"),"",IF(OR(J481=0,AND(J481=1,K481=1),AND(J481=1,I481="SBJ"),AND(J481=1,I481=0)),"?IN_FOCUS",IF(J481&lt;=2,"?ACTIVATED",IF(J481&lt;&gt;"","?FAMILIAR",IF(F481="NEW",IF(ISNA(VLOOKUP(E481,#REF!,1,FALSE())),"?TYPE_IDENTIFIABLE","?REFERENTIAL"),"_")))))</f>
        <v/>
      </c>
      <c r="H481" s="23" t="str">
        <f t="shared" ca="1" si="35"/>
        <v/>
      </c>
      <c r="I481" s="24" t="str">
        <f>IF(OR(E481="",E481="!!!",F481="NEW"),"",INDEX(B$2:B480,-1+SUMPRODUCT(MAX(ROW(E$2:E480)*(E481=E$2:E480)))))</f>
        <v/>
      </c>
      <c r="J481" s="24" t="str">
        <f ca="1">IF(OR(E481="",E481="!!!",F481="NEW"),"",COUNTBLANK(OFFSET(A$1,,,SUMPRODUCT(MAX(ROW(E$2:E481)*(E481=E$2:E481)))))-COUNTBLANK(OFFSET(A$1,,,SUMPRODUCT(MAX(ROW(E$1:E480)*(E2=E$1:E480))))))</f>
        <v/>
      </c>
      <c r="K481" s="24" t="str">
        <f>IF(OR(E481="",E481="!!!",F481="NEW"),"",INDEX(J$1:J480,SUMPRODUCT(MAX(ROW(E$1:E480)*(E481=E$1:E480)))))</f>
        <v/>
      </c>
      <c r="L481" s="25"/>
    </row>
    <row r="482" spans="1:12" x14ac:dyDescent="0.3">
      <c r="A482" t="s">
        <v>465</v>
      </c>
      <c r="E482" s="20" t="str">
        <f t="shared" si="34"/>
        <v/>
      </c>
      <c r="F482" s="21" t="str">
        <f>IF(OR(E482="",E482="!!!"),"",IF(NOT(ISNA(VLOOKUP(E482,E$1:E481,1,FALSE()))),"OLD",IF(AND(E482&lt;&gt;"",E482&lt;&gt;"!!!"),"NEW","")))</f>
        <v/>
      </c>
      <c r="G482" s="22" t="str">
        <f>IF(OR(E482="",E482="!!!"),"",IF(OR(J482=0,AND(J482=1,K482=1),AND(J482=1,I482="SBJ"),AND(J482=1,I482=0)),"?IN_FOCUS",IF(J482&lt;=2,"?ACTIVATED",IF(J482&lt;&gt;"","?FAMILIAR",IF(F482="NEW",IF(ISNA(VLOOKUP(E482,#REF!,1,FALSE())),"?TYPE_IDENTIFIABLE","?REFERENTIAL"),"_")))))</f>
        <v/>
      </c>
      <c r="H482" s="23" t="str">
        <f t="shared" ca="1" si="35"/>
        <v/>
      </c>
      <c r="I482" s="24" t="str">
        <f>IF(OR(E482="",E482="!!!",F482="NEW"),"",INDEX(B$2:B481,-1+SUMPRODUCT(MAX(ROW(E$2:E481)*(E482=E$2:E481)))))</f>
        <v/>
      </c>
      <c r="J482" s="24" t="str">
        <f ca="1">IF(OR(E482="",E482="!!!",F482="NEW"),"",COUNTBLANK(OFFSET(A$1,,,SUMPRODUCT(MAX(ROW(E$2:E482)*(E482=E$2:E482)))))-COUNTBLANK(OFFSET(A$1,,,SUMPRODUCT(MAX(ROW(E$1:E481)*(E2=E$1:E481))))))</f>
        <v/>
      </c>
      <c r="K482" s="24" t="str">
        <f>IF(OR(E482="",E482="!!!",F482="NEW"),"",INDEX(J$1:J481,SUMPRODUCT(MAX(ROW(E$1:E481)*(E482=E$1:E481)))))</f>
        <v/>
      </c>
      <c r="L482" s="25"/>
    </row>
    <row r="483" spans="1:12" x14ac:dyDescent="0.3">
      <c r="A483" t="s">
        <v>466</v>
      </c>
      <c r="B483" s="26" t="s">
        <v>205</v>
      </c>
      <c r="C483" s="26" t="s">
        <v>226</v>
      </c>
      <c r="E483" s="20" t="str">
        <f t="shared" si="34"/>
        <v/>
      </c>
      <c r="F483" s="21" t="str">
        <f>IF(OR(E483="",E483="!!!"),"",IF(NOT(ISNA(VLOOKUP(E483,E$1:E482,1,FALSE()))),"OLD",IF(AND(E483&lt;&gt;"",E483&lt;&gt;"!!!"),"NEW","")))</f>
        <v/>
      </c>
      <c r="G483" s="22" t="str">
        <f>IF(OR(E483="",E483="!!!"),"",IF(OR(J483=0,AND(J483=1,K483=1),AND(J483=1,I483="SBJ"),AND(J483=1,I483=0)),"?IN_FOCUS",IF(J483&lt;=2,"?ACTIVATED",IF(J483&lt;&gt;"","?FAMILIAR",IF(F483="NEW",IF(ISNA(VLOOKUP(E483,#REF!,1,FALSE())),"?TYPE_IDENTIFIABLE","?REFERENTIAL"),"_")))))</f>
        <v/>
      </c>
      <c r="H483" s="23" t="str">
        <f t="shared" ca="1" si="35"/>
        <v/>
      </c>
      <c r="I483" s="24" t="str">
        <f>IF(OR(E483="",E483="!!!",F483="NEW"),"",INDEX(B$2:B482,-1+SUMPRODUCT(MAX(ROW(E$2:E482)*(E483=E$2:E482)))))</f>
        <v/>
      </c>
      <c r="J483" s="24" t="str">
        <f ca="1">IF(OR(E483="",E483="!!!",F483="NEW"),"",COUNTBLANK(OFFSET(A$1,,,SUMPRODUCT(MAX(ROW(E$2:E483)*(E483=E$2:E483)))))-COUNTBLANK(OFFSET(A$1,,,SUMPRODUCT(MAX(ROW(E$1:E482)*(E2=E$1:E482))))))</f>
        <v/>
      </c>
      <c r="K483" s="24" t="str">
        <f>IF(OR(E483="",E483="!!!",F483="NEW"),"",INDEX(J$1:J482,SUMPRODUCT(MAX(ROW(E$1:E482)*(E483=E$1:E482)))))</f>
        <v/>
      </c>
      <c r="L483" s="25"/>
    </row>
    <row r="484" spans="1:12" x14ac:dyDescent="0.3">
      <c r="A484" t="s">
        <v>287</v>
      </c>
      <c r="E484" s="20" t="str">
        <f t="shared" si="34"/>
        <v/>
      </c>
      <c r="F484" s="21" t="str">
        <f>IF(OR(E484="",E484="!!!"),"",IF(NOT(ISNA(VLOOKUP(E484,E$1:E483,1,FALSE()))),"OLD",IF(AND(E484&lt;&gt;"",E484&lt;&gt;"!!!"),"NEW","")))</f>
        <v/>
      </c>
      <c r="G484" s="22" t="str">
        <f>IF(OR(E484="",E484="!!!"),"",IF(OR(J484=0,AND(J484=1,K484=1),AND(J484=1,I484="SBJ"),AND(J484=1,I484=0)),"?IN_FOCUS",IF(J484&lt;=2,"?ACTIVATED",IF(J484&lt;&gt;"","?FAMILIAR",IF(F484="NEW",IF(ISNA(VLOOKUP(E484,#REF!,1,FALSE())),"?TYPE_IDENTIFIABLE","?REFERENTIAL"),"_")))))</f>
        <v/>
      </c>
      <c r="H484" s="23" t="str">
        <f t="shared" ca="1" si="35"/>
        <v/>
      </c>
      <c r="I484" s="24" t="str">
        <f>IF(OR(E484="",E484="!!!",F484="NEW"),"",INDEX(B$2:B483,-1+SUMPRODUCT(MAX(ROW(E$2:E483)*(E484=E$2:E483)))))</f>
        <v/>
      </c>
      <c r="J484" s="24" t="str">
        <f ca="1">IF(OR(E484="",E484="!!!",F484="NEW"),"",COUNTBLANK(OFFSET(A$1,,,SUMPRODUCT(MAX(ROW(E$2:E484)*(E484=E$2:E484)))))-COUNTBLANK(OFFSET(A$1,,,SUMPRODUCT(MAX(ROW(E$1:E483)*(E2=E$1:E483))))))</f>
        <v/>
      </c>
      <c r="K484" s="24" t="str">
        <f>IF(OR(E484="",E484="!!!",F484="NEW"),"",INDEX(J$1:J483,SUMPRODUCT(MAX(ROW(E$1:E483)*(E484=E$1:E483)))))</f>
        <v/>
      </c>
      <c r="L484" s="25"/>
    </row>
    <row r="485" spans="1:12" x14ac:dyDescent="0.3">
      <c r="A485" t="s">
        <v>467</v>
      </c>
      <c r="B485" s="26" t="s">
        <v>225</v>
      </c>
      <c r="C485" s="26" t="s">
        <v>226</v>
      </c>
      <c r="E485" s="20" t="str">
        <f t="shared" si="34"/>
        <v/>
      </c>
      <c r="F485" s="21" t="str">
        <f>IF(OR(E485="",E485="!!!"),"",IF(NOT(ISNA(VLOOKUP(E485,E$1:E484,1,FALSE()))),"OLD",IF(AND(E485&lt;&gt;"",E485&lt;&gt;"!!!"),"NEW","")))</f>
        <v/>
      </c>
      <c r="G485" s="22" t="str">
        <f>IF(OR(E485="",E485="!!!"),"",IF(OR(J485=0,AND(J485=1,K485=1),AND(J485=1,I485="SBJ"),AND(J485=1,I485=0)),"?IN_FOCUS",IF(J485&lt;=2,"?ACTIVATED",IF(J485&lt;&gt;"","?FAMILIAR",IF(F485="NEW",IF(ISNA(VLOOKUP(E485,#REF!,1,FALSE())),"?TYPE_IDENTIFIABLE","?REFERENTIAL"),"_")))))</f>
        <v/>
      </c>
      <c r="H485" s="23" t="str">
        <f t="shared" ca="1" si="35"/>
        <v/>
      </c>
      <c r="I485" s="24" t="str">
        <f>IF(OR(E485="",E485="!!!",F485="NEW"),"",INDEX(B$2:B484,-1+SUMPRODUCT(MAX(ROW(E$2:E484)*(E485=E$2:E484)))))</f>
        <v/>
      </c>
      <c r="J485" s="24" t="str">
        <f ca="1">IF(OR(E485="",E485="!!!",F485="NEW"),"",COUNTBLANK(OFFSET(A$1,,,SUMPRODUCT(MAX(ROW(E$2:E485)*(E485=E$2:E485)))))-COUNTBLANK(OFFSET(A$1,,,SUMPRODUCT(MAX(ROW(E$1:E484)*(E2=E$1:E484))))))</f>
        <v/>
      </c>
      <c r="K485" s="24" t="str">
        <f>IF(OR(E485="",E485="!!!",F485="NEW"),"",INDEX(J$1:J484,SUMPRODUCT(MAX(ROW(E$1:E484)*(E485=E$1:E484)))))</f>
        <v/>
      </c>
      <c r="L485" s="25"/>
    </row>
    <row r="486" spans="1:12" x14ac:dyDescent="0.3">
      <c r="A486" t="s">
        <v>207</v>
      </c>
      <c r="E486" s="20" t="str">
        <f t="shared" si="34"/>
        <v/>
      </c>
      <c r="F486" s="21" t="str">
        <f>IF(OR(E486="",E486="!!!"),"",IF(NOT(ISNA(VLOOKUP(E486,E$1:E485,1,FALSE()))),"OLD",IF(AND(E486&lt;&gt;"",E486&lt;&gt;"!!!"),"NEW","")))</f>
        <v/>
      </c>
      <c r="G486" s="22" t="str">
        <f>IF(OR(E486="",E486="!!!"),"",IF(OR(J486=0,AND(J486=1,K486=1),AND(J486=1,I486="SBJ"),AND(J486=1,I486=0)),"?IN_FOCUS",IF(J486&lt;=2,"?ACTIVATED",IF(J486&lt;&gt;"","?FAMILIAR",IF(F486="NEW",IF(ISNA(VLOOKUP(E486,#REF!,1,FALSE())),"?TYPE_IDENTIFIABLE","?REFERENTIAL"),"_")))))</f>
        <v/>
      </c>
      <c r="H486" s="23" t="str">
        <f t="shared" ca="1" si="35"/>
        <v/>
      </c>
      <c r="I486" s="24" t="str">
        <f>IF(OR(E486="",E486="!!!",F486="NEW"),"",INDEX(B$2:B485,-1+SUMPRODUCT(MAX(ROW(E$2:E485)*(E486=E$2:E485)))))</f>
        <v/>
      </c>
      <c r="J486" s="24" t="str">
        <f ca="1">IF(OR(E486="",E486="!!!",F486="NEW"),"",COUNTBLANK(OFFSET(A$1,,,SUMPRODUCT(MAX(ROW(E$2:E486)*(E486=E$2:E486)))))-COUNTBLANK(OFFSET(A$1,,,SUMPRODUCT(MAX(ROW(E$1:E485)*(E2=E$1:E485))))))</f>
        <v/>
      </c>
      <c r="K486" s="24" t="str">
        <f>IF(OR(E486="",E486="!!!",F486="NEW"),"",INDEX(J$1:J485,SUMPRODUCT(MAX(ROW(E$1:E485)*(E486=E$1:E485)))))</f>
        <v/>
      </c>
      <c r="L486" s="25"/>
    </row>
    <row r="487" spans="1:12" x14ac:dyDescent="0.3">
      <c r="A487" t="s">
        <v>287</v>
      </c>
      <c r="E487" s="20" t="str">
        <f t="shared" si="34"/>
        <v/>
      </c>
      <c r="F487" s="21" t="str">
        <f>IF(OR(E487="",E487="!!!"),"",IF(NOT(ISNA(VLOOKUP(E487,E$1:E486,1,FALSE()))),"OLD",IF(AND(E487&lt;&gt;"",E487&lt;&gt;"!!!"),"NEW","")))</f>
        <v/>
      </c>
      <c r="G487" s="22" t="str">
        <f>IF(OR(E487="",E487="!!!"),"",IF(OR(J487=0,AND(J487=1,K487=1),AND(J487=1,I487="SBJ"),AND(J487=1,I487=0)),"?IN_FOCUS",IF(J487&lt;=2,"?ACTIVATED",IF(J487&lt;&gt;"","?FAMILIAR",IF(F487="NEW",IF(ISNA(VLOOKUP(E487,#REF!,1,FALSE())),"?TYPE_IDENTIFIABLE","?REFERENTIAL"),"_")))))</f>
        <v/>
      </c>
      <c r="H487" s="23" t="str">
        <f t="shared" ca="1" si="35"/>
        <v/>
      </c>
      <c r="I487" s="24" t="str">
        <f>IF(OR(E487="",E487="!!!",F487="NEW"),"",INDEX(B$2:B486,-1+SUMPRODUCT(MAX(ROW(E$2:E486)*(E487=E$2:E486)))))</f>
        <v/>
      </c>
      <c r="J487" s="24" t="str">
        <f ca="1">IF(OR(E487="",E487="!!!",F487="NEW"),"",COUNTBLANK(OFFSET(A$1,,,SUMPRODUCT(MAX(ROW(E$2:E487)*(E487=E$2:E487)))))-COUNTBLANK(OFFSET(A$1,,,SUMPRODUCT(MAX(ROW(E$1:E486)*(E2=E$1:E486))))))</f>
        <v/>
      </c>
      <c r="K487" s="24" t="str">
        <f>IF(OR(E487="",E487="!!!",F487="NEW"),"",INDEX(J$1:J486,SUMPRODUCT(MAX(ROW(E$1:E486)*(E487=E$1:E486)))))</f>
        <v/>
      </c>
      <c r="L487" s="25"/>
    </row>
    <row r="488" spans="1:12" x14ac:dyDescent="0.3">
      <c r="A488" t="s">
        <v>339</v>
      </c>
      <c r="E488" s="20" t="str">
        <f t="shared" si="34"/>
        <v/>
      </c>
      <c r="F488" s="21" t="str">
        <f>IF(OR(E488="",E488="!!!"),"",IF(NOT(ISNA(VLOOKUP(E488,E$1:E487,1,FALSE()))),"OLD",IF(AND(E488&lt;&gt;"",E488&lt;&gt;"!!!"),"NEW","")))</f>
        <v/>
      </c>
      <c r="G488" s="22" t="str">
        <f>IF(OR(E488="",E488="!!!"),"",IF(OR(J488=0,AND(J488=1,K488=1),AND(J488=1,I488="SBJ"),AND(J488=1,I488=0)),"?IN_FOCUS",IF(J488&lt;=2,"?ACTIVATED",IF(J488&lt;&gt;"","?FAMILIAR",IF(F488="NEW",IF(ISNA(VLOOKUP(E488,#REF!,1,FALSE())),"?TYPE_IDENTIFIABLE","?REFERENTIAL"),"_")))))</f>
        <v/>
      </c>
      <c r="H488" s="23" t="str">
        <f t="shared" ca="1" si="35"/>
        <v/>
      </c>
      <c r="I488" s="24" t="str">
        <f>IF(OR(E488="",E488="!!!",F488="NEW"),"",INDEX(B$2:B487,-1+SUMPRODUCT(MAX(ROW(E$2:E487)*(E488=E$2:E487)))))</f>
        <v/>
      </c>
      <c r="J488" s="24" t="str">
        <f ca="1">IF(OR(E488="",E488="!!!",F488="NEW"),"",COUNTBLANK(OFFSET(A$1,,,SUMPRODUCT(MAX(ROW(E$2:E488)*(E488=E$2:E488)))))-COUNTBLANK(OFFSET(A$1,,,SUMPRODUCT(MAX(ROW(E$1:E487)*(E2=E$1:E487))))))</f>
        <v/>
      </c>
      <c r="K488" s="24" t="str">
        <f>IF(OR(E488="",E488="!!!",F488="NEW"),"",INDEX(J$1:J487,SUMPRODUCT(MAX(ROW(E$1:E487)*(E488=E$1:E487)))))</f>
        <v/>
      </c>
      <c r="L488" s="25"/>
    </row>
    <row r="489" spans="1:12" x14ac:dyDescent="0.3">
      <c r="A489" t="s">
        <v>468</v>
      </c>
      <c r="B489" s="26" t="s">
        <v>229</v>
      </c>
      <c r="C489" s="26" t="s">
        <v>469</v>
      </c>
      <c r="E489" s="20" t="str">
        <f t="shared" si="34"/>
        <v/>
      </c>
      <c r="F489" s="21" t="str">
        <f>IF(OR(E489="",E489="!!!"),"",IF(NOT(ISNA(VLOOKUP(E489,E$1:E488,1,FALSE()))),"OLD",IF(AND(E489&lt;&gt;"",E489&lt;&gt;"!!!"),"NEW","")))</f>
        <v/>
      </c>
      <c r="G489" s="22" t="str">
        <f>IF(OR(E489="",E489="!!!"),"",IF(OR(J489=0,AND(J489=1,K489=1),AND(J489=1,I489="SBJ"),AND(J489=1,I489=0)),"?IN_FOCUS",IF(J489&lt;=2,"?ACTIVATED",IF(J489&lt;&gt;"","?FAMILIAR",IF(F489="NEW",IF(ISNA(VLOOKUP(E489,#REF!,1,FALSE())),"?TYPE_IDENTIFIABLE","?REFERENTIAL"),"_")))))</f>
        <v/>
      </c>
      <c r="H489" s="23" t="str">
        <f t="shared" ca="1" si="35"/>
        <v/>
      </c>
      <c r="I489" s="24" t="str">
        <f>IF(OR(E489="",E489="!!!",F489="NEW"),"",INDEX(B$2:B488,-1+SUMPRODUCT(MAX(ROW(E$2:E488)*(E489=E$2:E488)))))</f>
        <v/>
      </c>
      <c r="J489" s="24" t="str">
        <f ca="1">IF(OR(E489="",E489="!!!",F489="NEW"),"",COUNTBLANK(OFFSET(A$1,,,SUMPRODUCT(MAX(ROW(E$2:E489)*(E489=E$2:E489)))))-COUNTBLANK(OFFSET(A$1,,,SUMPRODUCT(MAX(ROW(E$1:E488)*(E2=E$1:E488))))))</f>
        <v/>
      </c>
      <c r="K489" s="24" t="str">
        <f>IF(OR(E489="",E489="!!!",F489="NEW"),"",INDEX(J$1:J488,SUMPRODUCT(MAX(ROW(E$1:E488)*(E489=E$1:E488)))))</f>
        <v/>
      </c>
      <c r="L489" s="25"/>
    </row>
    <row r="490" spans="1:12" x14ac:dyDescent="0.3">
      <c r="A490" t="s">
        <v>217</v>
      </c>
      <c r="E490" s="20" t="str">
        <f t="shared" si="34"/>
        <v/>
      </c>
      <c r="F490" s="21" t="str">
        <f>IF(OR(E490="",E490="!!!"),"",IF(NOT(ISNA(VLOOKUP(E490,E$1:E489,1,FALSE()))),"OLD",IF(AND(E490&lt;&gt;"",E490&lt;&gt;"!!!"),"NEW","")))</f>
        <v/>
      </c>
      <c r="G490" s="22" t="str">
        <f>IF(OR(E490="",E490="!!!"),"",IF(OR(J490=0,AND(J490=1,K490=1),AND(J490=1,I490="SBJ"),AND(J490=1,I490=0)),"?IN_FOCUS",IF(J490&lt;=2,"?ACTIVATED",IF(J490&lt;&gt;"","?FAMILIAR",IF(F490="NEW",IF(ISNA(VLOOKUP(E490,#REF!,1,FALSE())),"?TYPE_IDENTIFIABLE","?REFERENTIAL"),"_")))))</f>
        <v/>
      </c>
      <c r="H490" s="23" t="str">
        <f t="shared" ca="1" si="35"/>
        <v/>
      </c>
      <c r="I490" s="24" t="str">
        <f>IF(OR(E490="",E490="!!!",F490="NEW"),"",INDEX(B$2:B489,-1+SUMPRODUCT(MAX(ROW(E$2:E489)*(E490=E$2:E489)))))</f>
        <v/>
      </c>
      <c r="J490" s="24" t="str">
        <f ca="1">IF(OR(E490="",E490="!!!",F490="NEW"),"",COUNTBLANK(OFFSET(A$1,,,SUMPRODUCT(MAX(ROW(E$2:E490)*(E490=E$2:E490)))))-COUNTBLANK(OFFSET(A$1,,,SUMPRODUCT(MAX(ROW(E$1:E489)*(E2=E$1:E489))))))</f>
        <v/>
      </c>
      <c r="K490" s="24" t="str">
        <f>IF(OR(E490="",E490="!!!",F490="NEW"),"",INDEX(J$1:J489,SUMPRODUCT(MAX(ROW(E$1:E489)*(E490=E$1:E489)))))</f>
        <v/>
      </c>
      <c r="L490" s="25"/>
    </row>
    <row r="491" spans="1:12" x14ac:dyDescent="0.3">
      <c r="A491" t="s">
        <v>470</v>
      </c>
      <c r="E491" s="20" t="str">
        <f t="shared" si="34"/>
        <v/>
      </c>
      <c r="F491" s="21" t="str">
        <f>IF(OR(E491="",E491="!!!"),"",IF(NOT(ISNA(VLOOKUP(E491,E$1:E490,1,FALSE()))),"OLD",IF(AND(E491&lt;&gt;"",E491&lt;&gt;"!!!"),"NEW","")))</f>
        <v/>
      </c>
      <c r="G491" s="22" t="str">
        <f>IF(OR(E491="",E491="!!!"),"",IF(OR(J491=0,AND(J491=1,K491=1),AND(J491=1,I491="SBJ"),AND(J491=1,I491=0)),"?IN_FOCUS",IF(J491&lt;=2,"?ACTIVATED",IF(J491&lt;&gt;"","?FAMILIAR",IF(F491="NEW",IF(ISNA(VLOOKUP(E491,#REF!,1,FALSE())),"?TYPE_IDENTIFIABLE","?REFERENTIAL"),"_")))))</f>
        <v/>
      </c>
      <c r="H491" s="23" t="str">
        <f t="shared" ca="1" si="35"/>
        <v/>
      </c>
      <c r="I491" s="24" t="str">
        <f>IF(OR(E491="",E491="!!!",F491="NEW"),"",INDEX(B$2:B490,-1+SUMPRODUCT(MAX(ROW(E$2:E490)*(E491=E$2:E490)))))</f>
        <v/>
      </c>
      <c r="J491" s="24" t="str">
        <f ca="1">IF(OR(E491="",E491="!!!",F491="NEW"),"",COUNTBLANK(OFFSET(A$1,,,SUMPRODUCT(MAX(ROW(E$2:E491)*(E491=E$2:E491)))))-COUNTBLANK(OFFSET(A$1,,,SUMPRODUCT(MAX(ROW(E$1:E490)*(E2=E$1:E490))))))</f>
        <v/>
      </c>
      <c r="K491" s="24" t="str">
        <f>IF(OR(E491="",E491="!!!",F491="NEW"),"",INDEX(J$1:J490,SUMPRODUCT(MAX(ROW(E$1:E490)*(E491=E$1:E490)))))</f>
        <v/>
      </c>
      <c r="L491" s="25"/>
    </row>
    <row r="492" spans="1:12" x14ac:dyDescent="0.3">
      <c r="A492" t="s">
        <v>423</v>
      </c>
      <c r="B492" s="26" t="s">
        <v>233</v>
      </c>
      <c r="C492" s="26" t="s">
        <v>230</v>
      </c>
      <c r="D492" s="26" t="s">
        <v>215</v>
      </c>
      <c r="E492" s="20" t="s">
        <v>669</v>
      </c>
      <c r="F492" s="21" t="str">
        <f>IF(OR(E492="",E492="!!!"),"",IF(NOT(ISNA(VLOOKUP(E492,E$1:E491,1,FALSE()))),"OLD",IF(AND(E492&lt;&gt;"",E492&lt;&gt;"!!!"),"NEW","")))</f>
        <v>OLD</v>
      </c>
      <c r="G492" s="22" t="str">
        <f ca="1">IF(OR(E492="",E492="!!!"),"",IF(OR(J492=0,AND(J492=1,K492=1),AND(J492=1,I492="SBJ"),AND(J492=1,I492=0)),"?IN_FOCUS",IF(J492&lt;=2,"?ACTIVATED",IF(J492&lt;&gt;"","?FAMILIAR",IF(F492="NEW",IF(ISNA(VLOOKUP(E492,#REF!,1,FALSE())),"?TYPE_IDENTIFIABLE","?REFERENTIAL"),"_")))))</f>
        <v>?IN_FOCUS</v>
      </c>
      <c r="H492" s="23" t="str">
        <f t="shared" ca="1" si="35"/>
        <v/>
      </c>
      <c r="I492" s="24" t="str">
        <f>IF(OR(E492="",E492="!!!",F492="NEW"),"",INDEX(B$2:B491,-1+SUMPRODUCT(MAX(ROW(E$2:E491)*(E492=E$2:E491)))))</f>
        <v>SBJ</v>
      </c>
      <c r="J492" s="24">
        <f ca="1">IF(OR(E492="",E492="!!!",F492="NEW"),"",COUNTBLANK(OFFSET(A$1,,,SUMPRODUCT(MAX(ROW(E$2:E492)*(E492=E$2:E492)))))-COUNTBLANK(OFFSET(A$1,,,SUMPRODUCT(MAX(ROW(E$1:E491)*(E2=E$1:E491))))))</f>
        <v>0</v>
      </c>
      <c r="K492" s="24">
        <f ca="1">IF(OR(E492="",E492="!!!",F492="NEW"),"",INDEX(J$1:J491,SUMPRODUCT(MAX(ROW(E$1:E491)*(E492=E$1:E491)))))</f>
        <v>0</v>
      </c>
      <c r="L492" s="25"/>
    </row>
    <row r="493" spans="1:12" x14ac:dyDescent="0.3">
      <c r="A493" t="s">
        <v>320</v>
      </c>
      <c r="E493" s="20" t="str">
        <f t="shared" si="34"/>
        <v/>
      </c>
      <c r="F493" s="21" t="str">
        <f>IF(OR(E493="",E493="!!!"),"",IF(NOT(ISNA(VLOOKUP(E493,E$1:E492,1,FALSE()))),"OLD",IF(AND(E493&lt;&gt;"",E493&lt;&gt;"!!!"),"NEW","")))</f>
        <v/>
      </c>
      <c r="G493" s="22" t="str">
        <f>IF(OR(E493="",E493="!!!"),"",IF(OR(J493=0,AND(J493=1,K493=1),AND(J493=1,I493="SBJ"),AND(J493=1,I493=0)),"?IN_FOCUS",IF(J493&lt;=2,"?ACTIVATED",IF(J493&lt;&gt;"","?FAMILIAR",IF(F493="NEW",IF(ISNA(VLOOKUP(E493,#REF!,1,FALSE())),"?TYPE_IDENTIFIABLE","?REFERENTIAL"),"_")))))</f>
        <v/>
      </c>
      <c r="H493" s="23" t="str">
        <f t="shared" ca="1" si="35"/>
        <v/>
      </c>
      <c r="I493" s="24" t="str">
        <f>IF(OR(E493="",E493="!!!",F493="NEW"),"",INDEX(B$2:B492,-1+SUMPRODUCT(MAX(ROW(E$2:E492)*(E493=E$2:E492)))))</f>
        <v/>
      </c>
      <c r="J493" s="24" t="str">
        <f ca="1">IF(OR(E493="",E493="!!!",F493="NEW"),"",COUNTBLANK(OFFSET(A$1,,,SUMPRODUCT(MAX(ROW(E$2:E493)*(E493=E$2:E493)))))-COUNTBLANK(OFFSET(A$1,,,SUMPRODUCT(MAX(ROW(E$1:E492)*(E2=E$1:E492))))))</f>
        <v/>
      </c>
      <c r="K493" s="24" t="str">
        <f>IF(OR(E493="",E493="!!!",F493="NEW"),"",INDEX(J$1:J492,SUMPRODUCT(MAX(ROW(E$1:E492)*(E493=E$1:E492)))))</f>
        <v/>
      </c>
      <c r="L493" s="25"/>
    </row>
    <row r="494" spans="1:12" x14ac:dyDescent="0.3">
      <c r="A494" t="s">
        <v>424</v>
      </c>
      <c r="B494" s="26" t="s">
        <v>325</v>
      </c>
      <c r="C494" s="26" t="s">
        <v>380</v>
      </c>
      <c r="D494" s="26" t="s">
        <v>215</v>
      </c>
      <c r="E494" s="20" t="s">
        <v>669</v>
      </c>
      <c r="F494" s="21" t="str">
        <f>IF(OR(E494="",E494="!!!"),"",IF(NOT(ISNA(VLOOKUP(E494,E$1:E493,1,FALSE()))),"OLD",IF(AND(E494&lt;&gt;"",E494&lt;&gt;"!!!"),"NEW","")))</f>
        <v>OLD</v>
      </c>
      <c r="G494" s="22" t="str">
        <f ca="1">IF(OR(E494="",E494="!!!"),"",IF(OR(J494=0,AND(J494=1,K494=1),AND(J494=1,I494="SBJ"),AND(J494=1,I494=0)),"?IN_FOCUS",IF(J494&lt;=2,"?ACTIVATED",IF(J494&lt;&gt;"","?FAMILIAR",IF(F494="NEW",IF(ISNA(VLOOKUP(E494,#REF!,1,FALSE())),"?TYPE_IDENTIFIABLE","?REFERENTIAL"),"_")))))</f>
        <v>?IN_FOCUS</v>
      </c>
      <c r="H494" s="23" t="str">
        <f t="shared" ca="1" si="35"/>
        <v/>
      </c>
      <c r="I494" s="24" t="str">
        <f>IF(OR(E494="",E494="!!!",F494="NEW"),"",INDEX(B$2:B493,-1+SUMPRODUCT(MAX(ROW(E$2:E493)*(E494=E$2:E493)))))</f>
        <v>OBJ_2</v>
      </c>
      <c r="J494" s="24">
        <f ca="1">IF(OR(E494="",E494="!!!",F494="NEW"),"",COUNTBLANK(OFFSET(A$1,,,SUMPRODUCT(MAX(ROW(E$2:E494)*(E494=E$2:E494)))))-COUNTBLANK(OFFSET(A$1,,,SUMPRODUCT(MAX(ROW(E$1:E493)*(E2=E$1:E493))))))</f>
        <v>0</v>
      </c>
      <c r="K494" s="24">
        <f ca="1">IF(OR(E494="",E494="!!!",F494="NEW"),"",INDEX(J$1:J493,SUMPRODUCT(MAX(ROW(E$1:E493)*(E494=E$1:E493)))))</f>
        <v>0</v>
      </c>
      <c r="L494" s="25"/>
    </row>
    <row r="495" spans="1:12" x14ac:dyDescent="0.3">
      <c r="A495" t="s">
        <v>471</v>
      </c>
      <c r="B495" s="26" t="s">
        <v>225</v>
      </c>
      <c r="C495" s="26" t="s">
        <v>264</v>
      </c>
      <c r="D495" s="26" t="s">
        <v>215</v>
      </c>
      <c r="E495" s="20" t="s">
        <v>749</v>
      </c>
      <c r="F495" s="21" t="str">
        <f>IF(OR(E495="",E495="!!!"),"",IF(NOT(ISNA(VLOOKUP(E495,E$1:E494,1,FALSE()))),"OLD",IF(AND(E495&lt;&gt;"",E495&lt;&gt;"!!!"),"NEW","")))</f>
        <v>NEW</v>
      </c>
      <c r="G495" s="22" t="str">
        <f ca="1">IF(OR(E495="",E495="!!!"),"",IF(OR(J495=0,AND(J495=1,K495=1),AND(J495=1,I495="SBJ"),AND(J495=1,I495=0)),"?IN_FOCUS",IF(J495&lt;=2,"?ACTIVATED",IF(J495&lt;&gt;"","?FAMILIAR",IF(F495="NEW",IF(ISNA(VLOOKUP(E495,#REF!,1,FALSE())),"?TYPE_IDENTIFIABLE","?REFERENTIAL"),"_")))))</f>
        <v>?REFERENTIAL</v>
      </c>
      <c r="H495" s="23" t="str">
        <f t="shared" ca="1" si="35"/>
        <v/>
      </c>
      <c r="I495" s="24" t="str">
        <f>IF(OR(E495="",E495="!!!",F495="NEW"),"",INDEX(B$2:B494,-1+SUMPRODUCT(MAX(ROW(E$2:E494)*(E495=E$2:E494)))))</f>
        <v/>
      </c>
      <c r="J495" s="24" t="str">
        <f ca="1">IF(OR(E495="",E495="!!!",F495="NEW"),"",COUNTBLANK(OFFSET(A$1,,,SUMPRODUCT(MAX(ROW(E$2:E495)*(E495=E$2:E495)))))-COUNTBLANK(OFFSET(A$1,,,SUMPRODUCT(MAX(ROW(E$1:E494)*(E2=E$1:E494))))))</f>
        <v/>
      </c>
      <c r="K495" s="24" t="str">
        <f>IF(OR(E495="",E495="!!!",F495="NEW"),"",INDEX(J$1:J494,SUMPRODUCT(MAX(ROW(E$1:E494)*(E495=E$1:E494)))))</f>
        <v/>
      </c>
      <c r="L495" s="25"/>
    </row>
    <row r="496" spans="1:12" x14ac:dyDescent="0.3">
      <c r="A496" t="s">
        <v>234</v>
      </c>
      <c r="E496" s="20" t="str">
        <f t="shared" si="34"/>
        <v/>
      </c>
      <c r="F496" s="21" t="str">
        <f>IF(OR(E496="",E496="!!!"),"",IF(NOT(ISNA(VLOOKUP(E496,E$1:E495,1,FALSE()))),"OLD",IF(AND(E496&lt;&gt;"",E496&lt;&gt;"!!!"),"NEW","")))</f>
        <v/>
      </c>
      <c r="G496" s="22" t="str">
        <f>IF(OR(E496="",E496="!!!"),"",IF(OR(J496=0,AND(J496=1,K496=1),AND(J496=1,I496="SBJ"),AND(J496=1,I496=0)),"?IN_FOCUS",IF(J496&lt;=2,"?ACTIVATED",IF(J496&lt;&gt;"","?FAMILIAR",IF(F496="NEW",IF(ISNA(VLOOKUP(E496,#REF!,1,FALSE())),"?TYPE_IDENTIFIABLE","?REFERENTIAL"),"_")))))</f>
        <v/>
      </c>
      <c r="H496" s="23" t="str">
        <f t="shared" ca="1" si="35"/>
        <v/>
      </c>
      <c r="I496" s="24" t="str">
        <f>IF(OR(E496="",E496="!!!",F496="NEW"),"",INDEX(B$2:B495,-1+SUMPRODUCT(MAX(ROW(E$2:E495)*(E496=E$2:E495)))))</f>
        <v/>
      </c>
      <c r="J496" s="24" t="str">
        <f ca="1">IF(OR(E496="",E496="!!!",F496="NEW"),"",COUNTBLANK(OFFSET(A$1,,,SUMPRODUCT(MAX(ROW(E$2:E496)*(E496=E$2:E496)))))-COUNTBLANK(OFFSET(A$1,,,SUMPRODUCT(MAX(ROW(E$1:E495)*(E2=E$1:E495))))))</f>
        <v/>
      </c>
      <c r="K496" s="24" t="str">
        <f>IF(OR(E496="",E496="!!!",F496="NEW"),"",INDEX(J$1:J495,SUMPRODUCT(MAX(ROW(E$1:E495)*(E496=E$1:E495)))))</f>
        <v/>
      </c>
      <c r="L496" s="25"/>
    </row>
    <row r="498" spans="1:12" x14ac:dyDescent="0.3">
      <c r="A498" t="s">
        <v>472</v>
      </c>
    </row>
    <row r="499" spans="1:12" x14ac:dyDescent="0.3">
      <c r="A499" t="s">
        <v>236</v>
      </c>
      <c r="E499" s="20" t="str">
        <f t="shared" ref="E499:E528" si="36">IF(D499="?OLD","!!!","")</f>
        <v/>
      </c>
      <c r="F499" s="21" t="str">
        <f>IF(OR(E499="",E499="!!!"),"",IF(NOT(ISNA(VLOOKUP(E499,E$1:E498,1,FALSE()))),"OLD",IF(AND(E499&lt;&gt;"",E499&lt;&gt;"!!!"),"NEW","")))</f>
        <v/>
      </c>
      <c r="G499" s="22" t="str">
        <f>IF(OR(E499="",E499="!!!"),"",IF(OR(J499=0,AND(J499=1,K499=1),AND(J499=1,I499="SBJ"),AND(J499=1,I499=0)),"?IN_FOCUS",IF(J499&lt;=2,"?ACTIVATED",IF(J499&lt;&gt;"","?FAMILIAR",IF(F499="NEW",IF(ISNA(VLOOKUP(E499,#REF!,1,FALSE())),"?TYPE_IDENTIFIABLE","?REFERENTIAL"),"_")))))</f>
        <v/>
      </c>
      <c r="H499" s="23" t="str">
        <f t="shared" ref="H499:H530" ca="1" si="37">IF(J499&lt;&gt;1,"",IF(I499="SBJ","CB","?"))</f>
        <v/>
      </c>
      <c r="I499" s="24" t="str">
        <f>IF(OR(E499="",E499="!!!",F499="NEW"),"",INDEX(B$2:B498,-1+SUMPRODUCT(MAX(ROW(E$2:E498)*(E499=E$2:E498)))))</f>
        <v/>
      </c>
      <c r="J499" s="24" t="str">
        <f ca="1">IF(OR(E499="",E499="!!!",F499="NEW"),"",COUNTBLANK(OFFSET(A$1,,,SUMPRODUCT(MAX(ROW(E$2:E499)*(E499=E$2:E499)))))-COUNTBLANK(OFFSET(A$1,,,SUMPRODUCT(MAX(ROW(E$1:E498)*(E2=E$1:E498))))))</f>
        <v/>
      </c>
      <c r="K499" s="24" t="str">
        <f>IF(OR(E499="",E499="!!!",F499="NEW"),"",INDEX(J$1:J498,SUMPRODUCT(MAX(ROW(E$1:E498)*(E499=E$1:E498)))))</f>
        <v/>
      </c>
      <c r="L499" s="25"/>
    </row>
    <row r="500" spans="1:12" x14ac:dyDescent="0.3">
      <c r="A500" t="s">
        <v>257</v>
      </c>
      <c r="B500" s="26" t="s">
        <v>213</v>
      </c>
      <c r="C500" s="26" t="s">
        <v>230</v>
      </c>
      <c r="D500" s="26" t="s">
        <v>215</v>
      </c>
      <c r="E500" s="20" t="s">
        <v>739</v>
      </c>
      <c r="F500" s="21" t="str">
        <f>IF(OR(E500="",E500="!!!"),"",IF(NOT(ISNA(VLOOKUP(E500,E$1:E499,1,FALSE()))),"OLD",IF(AND(E500&lt;&gt;"",E500&lt;&gt;"!!!"),"NEW","")))</f>
        <v>OLD</v>
      </c>
      <c r="G500" s="22" t="str">
        <f ca="1">IF(OR(E500="",E500="!!!"),"",IF(OR(J500=0,AND(J500=1,K500=1),AND(J500=1,I500="SBJ"),AND(J500=1,I500=0)),"?IN_FOCUS",IF(J500&lt;=2,"?ACTIVATED",IF(J500&lt;&gt;"","?FAMILIAR",IF(F500="NEW",IF(ISNA(VLOOKUP(E500,#REF!,1,FALSE())),"?TYPE_IDENTIFIABLE","?REFERENTIAL"),"_")))))</f>
        <v>?IN_FOCUS</v>
      </c>
      <c r="H500" s="23" t="s">
        <v>198</v>
      </c>
      <c r="I500" s="24" t="str">
        <f>IF(OR(E500="",E500="!!!",F500="NEW"),"",INDEX(B$2:B499,-1+SUMPRODUCT(MAX(ROW(E$2:E499)*(E500=E$2:E499)))))</f>
        <v>SBJ</v>
      </c>
      <c r="J500" s="24">
        <f ca="1">IF(OR(E500="",E500="!!!",F500="NEW"),"",COUNTBLANK(OFFSET(A$1,,,SUMPRODUCT(MAX(ROW(E$2:E500)*(E500=E$2:E500)))))-COUNTBLANK(OFFSET(A$1,,,SUMPRODUCT(MAX(ROW(E$1:E499)*(E2=E$1:E499))))))</f>
        <v>0</v>
      </c>
      <c r="K500" s="24">
        <f ca="1">IF(OR(E500="",E500="!!!",F500="NEW"),"",INDEX(J$1:J499,SUMPRODUCT(MAX(ROW(E$1:E499)*(E500=E$1:E499)))))</f>
        <v>0</v>
      </c>
      <c r="L500" s="25"/>
    </row>
    <row r="501" spans="1:12" x14ac:dyDescent="0.3">
      <c r="A501" t="s">
        <v>217</v>
      </c>
      <c r="E501" s="20" t="str">
        <f t="shared" si="36"/>
        <v/>
      </c>
      <c r="F501" s="21" t="str">
        <f>IF(OR(E501="",E501="!!!"),"",IF(NOT(ISNA(VLOOKUP(E501,E$1:E500,1,FALSE()))),"OLD",IF(AND(E501&lt;&gt;"",E501&lt;&gt;"!!!"),"NEW","")))</f>
        <v/>
      </c>
      <c r="G501" s="22" t="str">
        <f>IF(OR(E501="",E501="!!!"),"",IF(OR(J501=0,AND(J501=1,K501=1),AND(J501=1,I501="SBJ"),AND(J501=1,I501=0)),"?IN_FOCUS",IF(J501&lt;=2,"?ACTIVATED",IF(J501&lt;&gt;"","?FAMILIAR",IF(F501="NEW",IF(ISNA(VLOOKUP(E501,#REF!,1,FALSE())),"?TYPE_IDENTIFIABLE","?REFERENTIAL"),"_")))))</f>
        <v/>
      </c>
      <c r="H501" s="23" t="str">
        <f t="shared" ca="1" si="37"/>
        <v/>
      </c>
      <c r="I501" s="24" t="str">
        <f>IF(OR(E501="",E501="!!!",F501="NEW"),"",INDEX(B$2:B500,-1+SUMPRODUCT(MAX(ROW(E$2:E500)*(E501=E$2:E500)))))</f>
        <v/>
      </c>
      <c r="J501" s="24" t="str">
        <f ca="1">IF(OR(E501="",E501="!!!",F501="NEW"),"",COUNTBLANK(OFFSET(A$1,,,SUMPRODUCT(MAX(ROW(E$2:E501)*(E501=E$2:E501)))))-COUNTBLANK(OFFSET(A$1,,,SUMPRODUCT(MAX(ROW(E$1:E500)*(E2=E$1:E500))))))</f>
        <v/>
      </c>
      <c r="K501" s="24" t="str">
        <f>IF(OR(E501="",E501="!!!",F501="NEW"),"",INDEX(J$1:J500,SUMPRODUCT(MAX(ROW(E$1:E500)*(E501=E$1:E500)))))</f>
        <v/>
      </c>
      <c r="L501" s="25"/>
    </row>
    <row r="502" spans="1:12" x14ac:dyDescent="0.3">
      <c r="A502" t="s">
        <v>473</v>
      </c>
      <c r="E502" s="20" t="str">
        <f t="shared" si="36"/>
        <v/>
      </c>
      <c r="F502" s="21" t="str">
        <f>IF(OR(E502="",E502="!!!"),"",IF(NOT(ISNA(VLOOKUP(E502,E$1:E501,1,FALSE()))),"OLD",IF(AND(E502&lt;&gt;"",E502&lt;&gt;"!!!"),"NEW","")))</f>
        <v/>
      </c>
      <c r="G502" s="22" t="str">
        <f>IF(OR(E502="",E502="!!!"),"",IF(OR(J502=0,AND(J502=1,K502=1),AND(J502=1,I502="SBJ"),AND(J502=1,I502=0)),"?IN_FOCUS",IF(J502&lt;=2,"?ACTIVATED",IF(J502&lt;&gt;"","?FAMILIAR",IF(F502="NEW",IF(ISNA(VLOOKUP(E502,#REF!,1,FALSE())),"?TYPE_IDENTIFIABLE","?REFERENTIAL"),"_")))))</f>
        <v/>
      </c>
      <c r="H502" s="23" t="str">
        <f t="shared" ca="1" si="37"/>
        <v/>
      </c>
      <c r="I502" s="24" t="str">
        <f>IF(OR(E502="",E502="!!!",F502="NEW"),"",INDEX(B$2:B501,-1+SUMPRODUCT(MAX(ROW(E$2:E501)*(E502=E$2:E501)))))</f>
        <v/>
      </c>
      <c r="J502" s="24" t="str">
        <f ca="1">IF(OR(E502="",E502="!!!",F502="NEW"),"",COUNTBLANK(OFFSET(A$1,,,SUMPRODUCT(MAX(ROW(E$2:E502)*(E502=E$2:E502)))))-COUNTBLANK(OFFSET(A$1,,,SUMPRODUCT(MAX(ROW(E$1:E501)*(E2=E$1:E501))))))</f>
        <v/>
      </c>
      <c r="K502" s="24" t="str">
        <f>IF(OR(E502="",E502="!!!",F502="NEW"),"",INDEX(J$1:J501,SUMPRODUCT(MAX(ROW(E$1:E501)*(E502=E$1:E501)))))</f>
        <v/>
      </c>
      <c r="L502" s="25"/>
    </row>
    <row r="503" spans="1:12" x14ac:dyDescent="0.3">
      <c r="A503" t="s">
        <v>207</v>
      </c>
      <c r="E503" s="20" t="str">
        <f t="shared" si="36"/>
        <v/>
      </c>
      <c r="F503" s="21" t="str">
        <f>IF(OR(E503="",E503="!!!"),"",IF(NOT(ISNA(VLOOKUP(E503,E$1:E502,1,FALSE()))),"OLD",IF(AND(E503&lt;&gt;"",E503&lt;&gt;"!!!"),"NEW","")))</f>
        <v/>
      </c>
      <c r="G503" s="22" t="str">
        <f>IF(OR(E503="",E503="!!!"),"",IF(OR(J503=0,AND(J503=1,K503=1),AND(J503=1,I503="SBJ"),AND(J503=1,I503=0)),"?IN_FOCUS",IF(J503&lt;=2,"?ACTIVATED",IF(J503&lt;&gt;"","?FAMILIAR",IF(F503="NEW",IF(ISNA(VLOOKUP(E503,#REF!,1,FALSE())),"?TYPE_IDENTIFIABLE","?REFERENTIAL"),"_")))))</f>
        <v/>
      </c>
      <c r="H503" s="23" t="str">
        <f t="shared" ca="1" si="37"/>
        <v/>
      </c>
      <c r="I503" s="24" t="str">
        <f>IF(OR(E503="",E503="!!!",F503="NEW"),"",INDEX(B$2:B502,-1+SUMPRODUCT(MAX(ROW(E$2:E502)*(E503=E$2:E502)))))</f>
        <v/>
      </c>
      <c r="J503" s="24" t="str">
        <f ca="1">IF(OR(E503="",E503="!!!",F503="NEW"),"",COUNTBLANK(OFFSET(A$1,,,SUMPRODUCT(MAX(ROW(E$2:E503)*(E503=E$2:E503)))))-COUNTBLANK(OFFSET(A$1,,,SUMPRODUCT(MAX(ROW(E$1:E502)*(E2=E$1:E502))))))</f>
        <v/>
      </c>
      <c r="K503" s="24" t="str">
        <f>IF(OR(E503="",E503="!!!",F503="NEW"),"",INDEX(J$1:J502,SUMPRODUCT(MAX(ROW(E$1:E502)*(E503=E$1:E502)))))</f>
        <v/>
      </c>
      <c r="L503" s="25"/>
    </row>
    <row r="504" spans="1:12" x14ac:dyDescent="0.3">
      <c r="A504" t="s">
        <v>329</v>
      </c>
      <c r="E504" s="20" t="str">
        <f t="shared" si="36"/>
        <v/>
      </c>
      <c r="F504" s="21" t="str">
        <f>IF(OR(E504="",E504="!!!"),"",IF(NOT(ISNA(VLOOKUP(E504,E$1:E503,1,FALSE()))),"OLD",IF(AND(E504&lt;&gt;"",E504&lt;&gt;"!!!"),"NEW","")))</f>
        <v/>
      </c>
      <c r="G504" s="22" t="str">
        <f>IF(OR(E504="",E504="!!!"),"",IF(OR(J504=0,AND(J504=1,K504=1),AND(J504=1,I504="SBJ"),AND(J504=1,I504=0)),"?IN_FOCUS",IF(J504&lt;=2,"?ACTIVATED",IF(J504&lt;&gt;"","?FAMILIAR",IF(F504="NEW",IF(ISNA(VLOOKUP(E504,#REF!,1,FALSE())),"?TYPE_IDENTIFIABLE","?REFERENTIAL"),"_")))))</f>
        <v/>
      </c>
      <c r="H504" s="23" t="str">
        <f t="shared" ca="1" si="37"/>
        <v/>
      </c>
      <c r="I504" s="24" t="str">
        <f>IF(OR(E504="",E504="!!!",F504="NEW"),"",INDEX(B$2:B503,-1+SUMPRODUCT(MAX(ROW(E$2:E503)*(E504=E$2:E503)))))</f>
        <v/>
      </c>
      <c r="J504" s="24" t="str">
        <f ca="1">IF(OR(E504="",E504="!!!",F504="NEW"),"",COUNTBLANK(OFFSET(A$1,,,SUMPRODUCT(MAX(ROW(E$2:E504)*(E504=E$2:E504)))))-COUNTBLANK(OFFSET(A$1,,,SUMPRODUCT(MAX(ROW(E$1:E503)*(E2=E$1:E503))))))</f>
        <v/>
      </c>
      <c r="K504" s="24" t="str">
        <f>IF(OR(E504="",E504="!!!",F504="NEW"),"",INDEX(J$1:J503,SUMPRODUCT(MAX(ROW(E$1:E503)*(E504=E$1:E503)))))</f>
        <v/>
      </c>
      <c r="L504" s="25"/>
    </row>
    <row r="505" spans="1:12" x14ac:dyDescent="0.3">
      <c r="A505" t="s">
        <v>274</v>
      </c>
      <c r="E505" s="20" t="str">
        <f t="shared" si="36"/>
        <v/>
      </c>
      <c r="F505" s="21" t="str">
        <f>IF(OR(E505="",E505="!!!"),"",IF(NOT(ISNA(VLOOKUP(E505,E$1:E504,1,FALSE()))),"OLD",IF(AND(E505&lt;&gt;"",E505&lt;&gt;"!!!"),"NEW","")))</f>
        <v/>
      </c>
      <c r="G505" s="22" t="str">
        <f>IF(OR(E505="",E505="!!!"),"",IF(OR(J505=0,AND(J505=1,K505=1),AND(J505=1,I505="SBJ"),AND(J505=1,I505=0)),"?IN_FOCUS",IF(J505&lt;=2,"?ACTIVATED",IF(J505&lt;&gt;"","?FAMILIAR",IF(F505="NEW",IF(ISNA(VLOOKUP(E505,#REF!,1,FALSE())),"?TYPE_IDENTIFIABLE","?REFERENTIAL"),"_")))))</f>
        <v/>
      </c>
      <c r="H505" s="23" t="str">
        <f t="shared" ca="1" si="37"/>
        <v/>
      </c>
      <c r="I505" s="24" t="str">
        <f>IF(OR(E505="",E505="!!!",F505="NEW"),"",INDEX(B$2:B504,-1+SUMPRODUCT(MAX(ROW(E$2:E504)*(E505=E$2:E504)))))</f>
        <v/>
      </c>
      <c r="J505" s="24" t="str">
        <f ca="1">IF(OR(E505="",E505="!!!",F505="NEW"),"",COUNTBLANK(OFFSET(A$1,,,SUMPRODUCT(MAX(ROW(E$2:E505)*(E505=E$2:E505)))))-COUNTBLANK(OFFSET(A$1,,,SUMPRODUCT(MAX(ROW(E$1:E504)*(E2=E$1:E504))))))</f>
        <v/>
      </c>
      <c r="K505" s="24" t="str">
        <f>IF(OR(E505="",E505="!!!",F505="NEW"),"",INDEX(J$1:J504,SUMPRODUCT(MAX(ROW(E$1:E504)*(E505=E$1:E504)))))</f>
        <v/>
      </c>
      <c r="L505" s="25"/>
    </row>
    <row r="506" spans="1:12" x14ac:dyDescent="0.3">
      <c r="A506" t="s">
        <v>474</v>
      </c>
      <c r="E506" s="20" t="str">
        <f t="shared" si="36"/>
        <v/>
      </c>
      <c r="F506" s="21" t="str">
        <f>IF(OR(E506="",E506="!!!"),"",IF(NOT(ISNA(VLOOKUP(E506,E$1:E505,1,FALSE()))),"OLD",IF(AND(E506&lt;&gt;"",E506&lt;&gt;"!!!"),"NEW","")))</f>
        <v/>
      </c>
      <c r="G506" s="22" t="str">
        <f>IF(OR(E506="",E506="!!!"),"",IF(OR(J506=0,AND(J506=1,K506=1),AND(J506=1,I506="SBJ"),AND(J506=1,I506=0)),"?IN_FOCUS",IF(J506&lt;=2,"?ACTIVATED",IF(J506&lt;&gt;"","?FAMILIAR",IF(F506="NEW",IF(ISNA(VLOOKUP(E506,#REF!,1,FALSE())),"?TYPE_IDENTIFIABLE","?REFERENTIAL"),"_")))))</f>
        <v/>
      </c>
      <c r="H506" s="23" t="str">
        <f t="shared" ca="1" si="37"/>
        <v/>
      </c>
      <c r="I506" s="24" t="str">
        <f>IF(OR(E506="",E506="!!!",F506="NEW"),"",INDEX(B$2:B505,-1+SUMPRODUCT(MAX(ROW(E$2:E505)*(E506=E$2:E505)))))</f>
        <v/>
      </c>
      <c r="J506" s="24" t="str">
        <f ca="1">IF(OR(E506="",E506="!!!",F506="NEW"),"",COUNTBLANK(OFFSET(A$1,,,SUMPRODUCT(MAX(ROW(E$2:E506)*(E506=E$2:E506)))))-COUNTBLANK(OFFSET(A$1,,,SUMPRODUCT(MAX(ROW(E$1:E505)*(E2=E$1:E505))))))</f>
        <v/>
      </c>
      <c r="K506" s="24" t="str">
        <f>IF(OR(E506="",E506="!!!",F506="NEW"),"",INDEX(J$1:J505,SUMPRODUCT(MAX(ROW(E$1:E505)*(E506=E$1:E505)))))</f>
        <v/>
      </c>
      <c r="L506" s="25"/>
    </row>
    <row r="507" spans="1:12" x14ac:dyDescent="0.3">
      <c r="A507" t="s">
        <v>207</v>
      </c>
      <c r="E507" s="20" t="str">
        <f t="shared" si="36"/>
        <v/>
      </c>
      <c r="F507" s="21" t="str">
        <f>IF(OR(E507="",E507="!!!"),"",IF(NOT(ISNA(VLOOKUP(E507,E$1:E506,1,FALSE()))),"OLD",IF(AND(E507&lt;&gt;"",E507&lt;&gt;"!!!"),"NEW","")))</f>
        <v/>
      </c>
      <c r="G507" s="22" t="str">
        <f>IF(OR(E507="",E507="!!!"),"",IF(OR(J507=0,AND(J507=1,K507=1),AND(J507=1,I507="SBJ"),AND(J507=1,I507=0)),"?IN_FOCUS",IF(J507&lt;=2,"?ACTIVATED",IF(J507&lt;&gt;"","?FAMILIAR",IF(F507="NEW",IF(ISNA(VLOOKUP(E507,#REF!,1,FALSE())),"?TYPE_IDENTIFIABLE","?REFERENTIAL"),"_")))))</f>
        <v/>
      </c>
      <c r="H507" s="23" t="str">
        <f t="shared" ca="1" si="37"/>
        <v/>
      </c>
      <c r="I507" s="24" t="str">
        <f>IF(OR(E507="",E507="!!!",F507="NEW"),"",INDEX(B$2:B506,-1+SUMPRODUCT(MAX(ROW(E$2:E506)*(E507=E$2:E506)))))</f>
        <v/>
      </c>
      <c r="J507" s="24" t="str">
        <f ca="1">IF(OR(E507="",E507="!!!",F507="NEW"),"",COUNTBLANK(OFFSET(A$1,,,SUMPRODUCT(MAX(ROW(E$2:E507)*(E507=E$2:E507)))))-COUNTBLANK(OFFSET(A$1,,,SUMPRODUCT(MAX(ROW(E$1:E506)*(E2=E$1:E506))))))</f>
        <v/>
      </c>
      <c r="K507" s="24" t="str">
        <f>IF(OR(E507="",E507="!!!",F507="NEW"),"",INDEX(J$1:J506,SUMPRODUCT(MAX(ROW(E$1:E506)*(E507=E$1:E506)))))</f>
        <v/>
      </c>
      <c r="L507" s="25"/>
    </row>
    <row r="508" spans="1:12" x14ac:dyDescent="0.3">
      <c r="A508" t="s">
        <v>338</v>
      </c>
      <c r="E508" s="20" t="str">
        <f t="shared" si="36"/>
        <v/>
      </c>
      <c r="F508" s="21" t="str">
        <f>IF(OR(E508="",E508="!!!"),"",IF(NOT(ISNA(VLOOKUP(E508,E$1:E507,1,FALSE()))),"OLD",IF(AND(E508&lt;&gt;"",E508&lt;&gt;"!!!"),"NEW","")))</f>
        <v/>
      </c>
      <c r="G508" s="22" t="str">
        <f>IF(OR(E508="",E508="!!!"),"",IF(OR(J508=0,AND(J508=1,K508=1),AND(J508=1,I508="SBJ"),AND(J508=1,I508=0)),"?IN_FOCUS",IF(J508&lt;=2,"?ACTIVATED",IF(J508&lt;&gt;"","?FAMILIAR",IF(F508="NEW",IF(ISNA(VLOOKUP(E508,#REF!,1,FALSE())),"?TYPE_IDENTIFIABLE","?REFERENTIAL"),"_")))))</f>
        <v/>
      </c>
      <c r="H508" s="23" t="str">
        <f t="shared" ca="1" si="37"/>
        <v/>
      </c>
      <c r="I508" s="24" t="str">
        <f>IF(OR(E508="",E508="!!!",F508="NEW"),"",INDEX(B$2:B507,-1+SUMPRODUCT(MAX(ROW(E$2:E507)*(E508=E$2:E507)))))</f>
        <v/>
      </c>
      <c r="J508" s="24" t="str">
        <f ca="1">IF(OR(E508="",E508="!!!",F508="NEW"),"",COUNTBLANK(OFFSET(A$1,,,SUMPRODUCT(MAX(ROW(E$2:E508)*(E508=E$2:E508)))))-COUNTBLANK(OFFSET(A$1,,,SUMPRODUCT(MAX(ROW(E$1:E507)*(E2=E$1:E507))))))</f>
        <v/>
      </c>
      <c r="K508" s="24" t="str">
        <f>IF(OR(E508="",E508="!!!",F508="NEW"),"",INDEX(J$1:J507,SUMPRODUCT(MAX(ROW(E$1:E507)*(E508=E$1:E507)))))</f>
        <v/>
      </c>
      <c r="L508" s="25"/>
    </row>
    <row r="509" spans="1:12" x14ac:dyDescent="0.3">
      <c r="A509" t="s">
        <v>257</v>
      </c>
      <c r="B509" s="26" t="s">
        <v>229</v>
      </c>
      <c r="C509" s="26" t="s">
        <v>230</v>
      </c>
      <c r="D509" s="26" t="s">
        <v>215</v>
      </c>
      <c r="E509" s="20" t="s">
        <v>739</v>
      </c>
      <c r="F509" s="21" t="str">
        <f>IF(OR(E509="",E509="!!!"),"",IF(NOT(ISNA(VLOOKUP(E509,E$1:E508,1,FALSE()))),"OLD",IF(AND(E509&lt;&gt;"",E509&lt;&gt;"!!!"),"NEW","")))</f>
        <v>OLD</v>
      </c>
      <c r="G509" s="22" t="str">
        <f ca="1">IF(OR(E509="",E509="!!!"),"",IF(OR(J509=0,AND(J509=1,K509=1),AND(J509=1,I509="SBJ"),AND(J509=1,I509=0)),"?IN_FOCUS",IF(J509&lt;=2,"?ACTIVATED",IF(J509&lt;&gt;"","?FAMILIAR",IF(F509="NEW",IF(ISNA(VLOOKUP(E509,#REF!,1,FALSE())),"?TYPE_IDENTIFIABLE","?REFERENTIAL"),"_")))))</f>
        <v>?IN_FOCUS</v>
      </c>
      <c r="H509" s="23" t="str">
        <f t="shared" ca="1" si="37"/>
        <v/>
      </c>
      <c r="I509" s="24" t="str">
        <f>IF(OR(E509="",E509="!!!",F509="NEW"),"",INDEX(B$2:B508,-1+SUMPRODUCT(MAX(ROW(E$2:E508)*(E509=E$2:E508)))))</f>
        <v>SBJ</v>
      </c>
      <c r="J509" s="24">
        <f ca="1">IF(OR(E509="",E509="!!!",F509="NEW"),"",COUNTBLANK(OFFSET(A$1,,,SUMPRODUCT(MAX(ROW(E$2:E509)*(E509=E$2:E509)))))-COUNTBLANK(OFFSET(A$1,,,SUMPRODUCT(MAX(ROW(E$1:E508)*(E2=E$1:E508))))))</f>
        <v>0</v>
      </c>
      <c r="K509" s="24">
        <f ca="1">IF(OR(E509="",E509="!!!",F509="NEW"),"",INDEX(J$1:J508,SUMPRODUCT(MAX(ROW(E$1:E508)*(E509=E$1:E508)))))</f>
        <v>0</v>
      </c>
      <c r="L509" s="25"/>
    </row>
    <row r="510" spans="1:12" x14ac:dyDescent="0.3">
      <c r="A510" t="s">
        <v>217</v>
      </c>
      <c r="E510" s="20" t="str">
        <f t="shared" si="36"/>
        <v/>
      </c>
      <c r="F510" s="21" t="str">
        <f>IF(OR(E510="",E510="!!!"),"",IF(NOT(ISNA(VLOOKUP(E510,E$1:E509,1,FALSE()))),"OLD",IF(AND(E510&lt;&gt;"",E510&lt;&gt;"!!!"),"NEW","")))</f>
        <v/>
      </c>
      <c r="G510" s="22" t="str">
        <f>IF(OR(E510="",E510="!!!"),"",IF(OR(J510=0,AND(J510=1,K510=1),AND(J510=1,I510="SBJ"),AND(J510=1,I510=0)),"?IN_FOCUS",IF(J510&lt;=2,"?ACTIVATED",IF(J510&lt;&gt;"","?FAMILIAR",IF(F510="NEW",IF(ISNA(VLOOKUP(E510,#REF!,1,FALSE())),"?TYPE_IDENTIFIABLE","?REFERENTIAL"),"_")))))</f>
        <v/>
      </c>
      <c r="H510" s="23" t="str">
        <f t="shared" ca="1" si="37"/>
        <v/>
      </c>
      <c r="I510" s="24" t="str">
        <f>IF(OR(E510="",E510="!!!",F510="NEW"),"",INDEX(B$2:B509,-1+SUMPRODUCT(MAX(ROW(E$2:E509)*(E510=E$2:E509)))))</f>
        <v/>
      </c>
      <c r="J510" s="24" t="str">
        <f ca="1">IF(OR(E510="",E510="!!!",F510="NEW"),"",COUNTBLANK(OFFSET(A$1,,,SUMPRODUCT(MAX(ROW(E$2:E510)*(E510=E$2:E510)))))-COUNTBLANK(OFFSET(A$1,,,SUMPRODUCT(MAX(ROW(E$1:E509)*(E2=E$1:E509))))))</f>
        <v/>
      </c>
      <c r="K510" s="24" t="str">
        <f>IF(OR(E510="",E510="!!!",F510="NEW"),"",INDEX(J$1:J509,SUMPRODUCT(MAX(ROW(E$1:E509)*(E510=E$1:E509)))))</f>
        <v/>
      </c>
      <c r="L510" s="25"/>
    </row>
    <row r="511" spans="1:12" x14ac:dyDescent="0.3">
      <c r="A511" t="s">
        <v>473</v>
      </c>
      <c r="E511" s="20" t="str">
        <f t="shared" si="36"/>
        <v/>
      </c>
      <c r="F511" s="21" t="str">
        <f>IF(OR(E511="",E511="!!!"),"",IF(NOT(ISNA(VLOOKUP(E511,E$1:E510,1,FALSE()))),"OLD",IF(AND(E511&lt;&gt;"",E511&lt;&gt;"!!!"),"NEW","")))</f>
        <v/>
      </c>
      <c r="G511" s="22" t="str">
        <f>IF(OR(E511="",E511="!!!"),"",IF(OR(J511=0,AND(J511=1,K511=1),AND(J511=1,I511="SBJ"),AND(J511=1,I511=0)),"?IN_FOCUS",IF(J511&lt;=2,"?ACTIVATED",IF(J511&lt;&gt;"","?FAMILIAR",IF(F511="NEW",IF(ISNA(VLOOKUP(E511,#REF!,1,FALSE())),"?TYPE_IDENTIFIABLE","?REFERENTIAL"),"_")))))</f>
        <v/>
      </c>
      <c r="H511" s="23" t="str">
        <f t="shared" ca="1" si="37"/>
        <v/>
      </c>
      <c r="I511" s="24" t="str">
        <f>IF(OR(E511="",E511="!!!",F511="NEW"),"",INDEX(B$2:B510,-1+SUMPRODUCT(MAX(ROW(E$2:E510)*(E511=E$2:E510)))))</f>
        <v/>
      </c>
      <c r="J511" s="24" t="str">
        <f ca="1">IF(OR(E511="",E511="!!!",F511="NEW"),"",COUNTBLANK(OFFSET(A$1,,,SUMPRODUCT(MAX(ROW(E$2:E511)*(E511=E$2:E511)))))-COUNTBLANK(OFFSET(A$1,,,SUMPRODUCT(MAX(ROW(E$1:E510)*(E2=E$1:E510))))))</f>
        <v/>
      </c>
      <c r="K511" s="24" t="str">
        <f>IF(OR(E511="",E511="!!!",F511="NEW"),"",INDEX(J$1:J510,SUMPRODUCT(MAX(ROW(E$1:E510)*(E511=E$1:E510)))))</f>
        <v/>
      </c>
      <c r="L511" s="25"/>
    </row>
    <row r="512" spans="1:12" x14ac:dyDescent="0.3">
      <c r="A512" t="s">
        <v>249</v>
      </c>
      <c r="E512" s="20" t="str">
        <f t="shared" si="36"/>
        <v/>
      </c>
      <c r="F512" s="21" t="str">
        <f>IF(OR(E512="",E512="!!!"),"",IF(NOT(ISNA(VLOOKUP(E512,E$1:E511,1,FALSE()))),"OLD",IF(AND(E512&lt;&gt;"",E512&lt;&gt;"!!!"),"NEW","")))</f>
        <v/>
      </c>
      <c r="G512" s="22" t="str">
        <f>IF(OR(E512="",E512="!!!"),"",IF(OR(J512=0,AND(J512=1,K512=1),AND(J512=1,I512="SBJ"),AND(J512=1,I512=0)),"?IN_FOCUS",IF(J512&lt;=2,"?ACTIVATED",IF(J512&lt;&gt;"","?FAMILIAR",IF(F512="NEW",IF(ISNA(VLOOKUP(E512,#REF!,1,FALSE())),"?TYPE_IDENTIFIABLE","?REFERENTIAL"),"_")))))</f>
        <v/>
      </c>
      <c r="H512" s="23" t="str">
        <f t="shared" ca="1" si="37"/>
        <v/>
      </c>
      <c r="I512" s="24" t="str">
        <f>IF(OR(E512="",E512="!!!",F512="NEW"),"",INDEX(B$2:B511,-1+SUMPRODUCT(MAX(ROW(E$2:E511)*(E512=E$2:E511)))))</f>
        <v/>
      </c>
      <c r="J512" s="24" t="str">
        <f ca="1">IF(OR(E512="",E512="!!!",F512="NEW"),"",COUNTBLANK(OFFSET(A$1,,,SUMPRODUCT(MAX(ROW(E$2:E512)*(E512=E$2:E512)))))-COUNTBLANK(OFFSET(A$1,,,SUMPRODUCT(MAX(ROW(E$1:E511)*(E2=E$1:E511))))))</f>
        <v/>
      </c>
      <c r="K512" s="24" t="str">
        <f>IF(OR(E512="",E512="!!!",F512="NEW"),"",INDEX(J$1:J511,SUMPRODUCT(MAX(ROW(E$1:E511)*(E512=E$1:E511)))))</f>
        <v/>
      </c>
      <c r="L512" s="25"/>
    </row>
    <row r="513" spans="1:12" x14ac:dyDescent="0.3">
      <c r="A513" t="s">
        <v>257</v>
      </c>
      <c r="B513" s="26" t="s">
        <v>263</v>
      </c>
      <c r="C513" s="26" t="s">
        <v>230</v>
      </c>
      <c r="D513" s="26" t="s">
        <v>215</v>
      </c>
      <c r="E513" s="20" t="s">
        <v>739</v>
      </c>
      <c r="F513" s="21" t="str">
        <f>IF(OR(E513="",E513="!!!"),"",IF(NOT(ISNA(VLOOKUP(E513,E$1:E512,1,FALSE()))),"OLD",IF(AND(E513&lt;&gt;"",E513&lt;&gt;"!!!"),"NEW","")))</f>
        <v>OLD</v>
      </c>
      <c r="G513" s="22" t="str">
        <f ca="1">IF(OR(E513="",E513="!!!"),"",IF(OR(J513=0,AND(J513=1,K513=1),AND(J513=1,I513="SBJ"),AND(J513=1,I513=0)),"?IN_FOCUS",IF(J513&lt;=2,"?ACTIVATED",IF(J513&lt;&gt;"","?FAMILIAR",IF(F513="NEW",IF(ISNA(VLOOKUP(E513,#REF!,1,FALSE())),"?TYPE_IDENTIFIABLE","?REFERENTIAL"),"_")))))</f>
        <v>?IN_FOCUS</v>
      </c>
      <c r="H513" s="23" t="str">
        <f t="shared" ca="1" si="37"/>
        <v/>
      </c>
      <c r="I513" s="24" t="str">
        <f>IF(OR(E513="",E513="!!!",F513="NEW"),"",INDEX(B$2:B512,-1+SUMPRODUCT(MAX(ROW(E$2:E512)*(E513=E$2:E512)))))</f>
        <v>SBJ_2</v>
      </c>
      <c r="J513" s="24">
        <f ca="1">IF(OR(E513="",E513="!!!",F513="NEW"),"",COUNTBLANK(OFFSET(A$1,,,SUMPRODUCT(MAX(ROW(E$2:E513)*(E513=E$2:E513)))))-COUNTBLANK(OFFSET(A$1,,,SUMPRODUCT(MAX(ROW(E$1:E512)*(E2=E$1:E512))))))</f>
        <v>0</v>
      </c>
      <c r="K513" s="24">
        <f ca="1">IF(OR(E513="",E513="!!!",F513="NEW"),"",INDEX(J$1:J512,SUMPRODUCT(MAX(ROW(E$1:E512)*(E513=E$1:E512)))))</f>
        <v>0</v>
      </c>
      <c r="L513" s="25"/>
    </row>
    <row r="514" spans="1:12" x14ac:dyDescent="0.3">
      <c r="A514" t="s">
        <v>217</v>
      </c>
      <c r="E514" s="20" t="str">
        <f t="shared" si="36"/>
        <v/>
      </c>
      <c r="F514" s="21" t="str">
        <f>IF(OR(E514="",E514="!!!"),"",IF(NOT(ISNA(VLOOKUP(E514,E$1:E513,1,FALSE()))),"OLD",IF(AND(E514&lt;&gt;"",E514&lt;&gt;"!!!"),"NEW","")))</f>
        <v/>
      </c>
      <c r="G514" s="22" t="str">
        <f>IF(OR(E514="",E514="!!!"),"",IF(OR(J514=0,AND(J514=1,K514=1),AND(J514=1,I514="SBJ"),AND(J514=1,I514=0)),"?IN_FOCUS",IF(J514&lt;=2,"?ACTIVATED",IF(J514&lt;&gt;"","?FAMILIAR",IF(F514="NEW",IF(ISNA(VLOOKUP(E514,#REF!,1,FALSE())),"?TYPE_IDENTIFIABLE","?REFERENTIAL"),"_")))))</f>
        <v/>
      </c>
      <c r="H514" s="23" t="str">
        <f t="shared" ca="1" si="37"/>
        <v/>
      </c>
      <c r="I514" s="24" t="str">
        <f>IF(OR(E514="",E514="!!!",F514="NEW"),"",INDEX(B$2:B513,-1+SUMPRODUCT(MAX(ROW(E$2:E513)*(E514=E$2:E513)))))</f>
        <v/>
      </c>
      <c r="J514" s="24" t="str">
        <f ca="1">IF(OR(E514="",E514="!!!",F514="NEW"),"",COUNTBLANK(OFFSET(A$1,,,SUMPRODUCT(MAX(ROW(E$2:E514)*(E514=E$2:E514)))))-COUNTBLANK(OFFSET(A$1,,,SUMPRODUCT(MAX(ROW(E$1:E513)*(E2=E$1:E513))))))</f>
        <v/>
      </c>
      <c r="K514" s="24" t="str">
        <f>IF(OR(E514="",E514="!!!",F514="NEW"),"",INDEX(J$1:J513,SUMPRODUCT(MAX(ROW(E$1:E513)*(E514=E$1:E513)))))</f>
        <v/>
      </c>
      <c r="L514" s="25"/>
    </row>
    <row r="515" spans="1:12" x14ac:dyDescent="0.3">
      <c r="A515" t="s">
        <v>387</v>
      </c>
      <c r="E515" s="20" t="str">
        <f t="shared" si="36"/>
        <v/>
      </c>
      <c r="F515" s="21" t="str">
        <f>IF(OR(E515="",E515="!!!"),"",IF(NOT(ISNA(VLOOKUP(E515,E$1:E514,1,FALSE()))),"OLD",IF(AND(E515&lt;&gt;"",E515&lt;&gt;"!!!"),"NEW","")))</f>
        <v/>
      </c>
      <c r="G515" s="22" t="str">
        <f>IF(OR(E515="",E515="!!!"),"",IF(OR(J515=0,AND(J515=1,K515=1),AND(J515=1,I515="SBJ"),AND(J515=1,I515=0)),"?IN_FOCUS",IF(J515&lt;=2,"?ACTIVATED",IF(J515&lt;&gt;"","?FAMILIAR",IF(F515="NEW",IF(ISNA(VLOOKUP(E515,#REF!,1,FALSE())),"?TYPE_IDENTIFIABLE","?REFERENTIAL"),"_")))))</f>
        <v/>
      </c>
      <c r="H515" s="23" t="str">
        <f t="shared" ca="1" si="37"/>
        <v/>
      </c>
      <c r="I515" s="24" t="str">
        <f>IF(OR(E515="",E515="!!!",F515="NEW"),"",INDEX(B$2:B514,-1+SUMPRODUCT(MAX(ROW(E$2:E514)*(E515=E$2:E514)))))</f>
        <v/>
      </c>
      <c r="J515" s="24" t="str">
        <f ca="1">IF(OR(E515="",E515="!!!",F515="NEW"),"",COUNTBLANK(OFFSET(A$1,,,SUMPRODUCT(MAX(ROW(E$2:E515)*(E515=E$2:E515)))))-COUNTBLANK(OFFSET(A$1,,,SUMPRODUCT(MAX(ROW(E$1:E514)*(E2=E$1:E514))))))</f>
        <v/>
      </c>
      <c r="K515" s="24" t="str">
        <f>IF(OR(E515="",E515="!!!",F515="NEW"),"",INDEX(J$1:J514,SUMPRODUCT(MAX(ROW(E$1:E514)*(E515=E$1:E514)))))</f>
        <v/>
      </c>
      <c r="L515" s="25"/>
    </row>
    <row r="516" spans="1:12" x14ac:dyDescent="0.3">
      <c r="A516" t="s">
        <v>323</v>
      </c>
      <c r="E516" s="20" t="str">
        <f t="shared" si="36"/>
        <v/>
      </c>
      <c r="F516" s="21" t="str">
        <f>IF(OR(E516="",E516="!!!"),"",IF(NOT(ISNA(VLOOKUP(E516,E$1:E515,1,FALSE()))),"OLD",IF(AND(E516&lt;&gt;"",E516&lt;&gt;"!!!"),"NEW","")))</f>
        <v/>
      </c>
      <c r="G516" s="22" t="str">
        <f>IF(OR(E516="",E516="!!!"),"",IF(OR(J516=0,AND(J516=1,K516=1),AND(J516=1,I516="SBJ"),AND(J516=1,I516=0)),"?IN_FOCUS",IF(J516&lt;=2,"?ACTIVATED",IF(J516&lt;&gt;"","?FAMILIAR",IF(F516="NEW",IF(ISNA(VLOOKUP(E516,#REF!,1,FALSE())),"?TYPE_IDENTIFIABLE","?REFERENTIAL"),"_")))))</f>
        <v/>
      </c>
      <c r="H516" s="23" t="str">
        <f t="shared" ca="1" si="37"/>
        <v/>
      </c>
      <c r="I516" s="24" t="str">
        <f>IF(OR(E516="",E516="!!!",F516="NEW"),"",INDEX(B$2:B515,-1+SUMPRODUCT(MAX(ROW(E$2:E515)*(E516=E$2:E515)))))</f>
        <v/>
      </c>
      <c r="J516" s="24" t="str">
        <f ca="1">IF(OR(E516="",E516="!!!",F516="NEW"),"",COUNTBLANK(OFFSET(A$1,,,SUMPRODUCT(MAX(ROW(E$2:E516)*(E516=E$2:E516)))))-COUNTBLANK(OFFSET(A$1,,,SUMPRODUCT(MAX(ROW(E$1:E515)*(E2=E$1:E515))))))</f>
        <v/>
      </c>
      <c r="K516" s="24" t="str">
        <f>IF(OR(E516="",E516="!!!",F516="NEW"),"",INDEX(J$1:J515,SUMPRODUCT(MAX(ROW(E$1:E515)*(E516=E$1:E515)))))</f>
        <v/>
      </c>
      <c r="L516" s="25"/>
    </row>
    <row r="517" spans="1:12" x14ac:dyDescent="0.3">
      <c r="A517" t="s">
        <v>475</v>
      </c>
      <c r="E517" s="20" t="str">
        <f t="shared" si="36"/>
        <v/>
      </c>
      <c r="F517" s="21" t="str">
        <f>IF(OR(E517="",E517="!!!"),"",IF(NOT(ISNA(VLOOKUP(E517,E$1:E516,1,FALSE()))),"OLD",IF(AND(E517&lt;&gt;"",E517&lt;&gt;"!!!"),"NEW","")))</f>
        <v/>
      </c>
      <c r="G517" s="22" t="str">
        <f>IF(OR(E517="",E517="!!!"),"",IF(OR(J517=0,AND(J517=1,K517=1),AND(J517=1,I517="SBJ"),AND(J517=1,I517=0)),"?IN_FOCUS",IF(J517&lt;=2,"?ACTIVATED",IF(J517&lt;&gt;"","?FAMILIAR",IF(F517="NEW",IF(ISNA(VLOOKUP(E517,#REF!,1,FALSE())),"?TYPE_IDENTIFIABLE","?REFERENTIAL"),"_")))))</f>
        <v/>
      </c>
      <c r="H517" s="23" t="str">
        <f t="shared" ca="1" si="37"/>
        <v/>
      </c>
      <c r="I517" s="24" t="str">
        <f>IF(OR(E517="",E517="!!!",F517="NEW"),"",INDEX(B$2:B516,-1+SUMPRODUCT(MAX(ROW(E$2:E516)*(E517=E$2:E516)))))</f>
        <v/>
      </c>
      <c r="J517" s="24" t="str">
        <f ca="1">IF(OR(E517="",E517="!!!",F517="NEW"),"",COUNTBLANK(OFFSET(A$1,,,SUMPRODUCT(MAX(ROW(E$2:E517)*(E517=E$2:E517)))))-COUNTBLANK(OFFSET(A$1,,,SUMPRODUCT(MAX(ROW(E$1:E516)*(E2=E$1:E516))))))</f>
        <v/>
      </c>
      <c r="K517" s="24" t="str">
        <f>IF(OR(E517="",E517="!!!",F517="NEW"),"",INDEX(J$1:J516,SUMPRODUCT(MAX(ROW(E$1:E516)*(E517=E$1:E516)))))</f>
        <v/>
      </c>
      <c r="L517" s="25"/>
    </row>
    <row r="518" spans="1:12" x14ac:dyDescent="0.3">
      <c r="A518" t="s">
        <v>423</v>
      </c>
      <c r="B518" s="26" t="s">
        <v>255</v>
      </c>
      <c r="C518" s="26" t="s">
        <v>230</v>
      </c>
      <c r="D518" s="26" t="s">
        <v>215</v>
      </c>
      <c r="E518" s="20" t="s">
        <v>669</v>
      </c>
      <c r="F518" s="21" t="str">
        <f>IF(OR(E518="",E518="!!!"),"",IF(NOT(ISNA(VLOOKUP(E518,E$1:E517,1,FALSE()))),"OLD",IF(AND(E518&lt;&gt;"",E518&lt;&gt;"!!!"),"NEW","")))</f>
        <v>OLD</v>
      </c>
      <c r="G518" s="22" t="str">
        <f ca="1">IF(OR(E518="",E518="!!!"),"",IF(OR(J518=0,AND(J518=1,K518=1),AND(J518=1,I518="SBJ"),AND(J518=1,I518=0)),"?IN_FOCUS",IF(J518&lt;=2,"?ACTIVATED",IF(J518&lt;&gt;"","?FAMILIAR",IF(F518="NEW",IF(ISNA(VLOOKUP(E518,#REF!,1,FALSE())),"?TYPE_IDENTIFIABLE","?REFERENTIAL"),"_")))))</f>
        <v>?IN_FOCUS</v>
      </c>
      <c r="H518" s="23" t="str">
        <f t="shared" ca="1" si="37"/>
        <v/>
      </c>
      <c r="I518" s="24" t="str">
        <f>IF(OR(E518="",E518="!!!",F518="NEW"),"",INDEX(B$2:B517,-1+SUMPRODUCT(MAX(ROW(E$2:E517)*(E518=E$2:E517)))))</f>
        <v>other_3</v>
      </c>
      <c r="J518" s="24">
        <f ca="1">IF(OR(E518="",E518="!!!",F518="NEW"),"",COUNTBLANK(OFFSET(A$1,,,SUMPRODUCT(MAX(ROW(E$2:E518)*(E518=E$2:E518)))))-COUNTBLANK(OFFSET(A$1,,,SUMPRODUCT(MAX(ROW(E$1:E517)*(E2=E$1:E517))))))</f>
        <v>0</v>
      </c>
      <c r="K518" s="24">
        <f ca="1">IF(OR(E518="",E518="!!!",F518="NEW"),"",INDEX(J$1:J517,SUMPRODUCT(MAX(ROW(E$1:E517)*(E518=E$1:E517)))))</f>
        <v>0</v>
      </c>
      <c r="L518" s="25"/>
    </row>
    <row r="519" spans="1:12" x14ac:dyDescent="0.3">
      <c r="A519" t="s">
        <v>207</v>
      </c>
      <c r="E519" s="20" t="str">
        <f t="shared" si="36"/>
        <v/>
      </c>
      <c r="F519" s="21" t="str">
        <f>IF(OR(E519="",E519="!!!"),"",IF(NOT(ISNA(VLOOKUP(E519,E$1:E518,1,FALSE()))),"OLD",IF(AND(E519&lt;&gt;"",E519&lt;&gt;"!!!"),"NEW","")))</f>
        <v/>
      </c>
      <c r="G519" s="22" t="str">
        <f>IF(OR(E519="",E519="!!!"),"",IF(OR(J519=0,AND(J519=1,K519=1),AND(J519=1,I519="SBJ"),AND(J519=1,I519=0)),"?IN_FOCUS",IF(J519&lt;=2,"?ACTIVATED",IF(J519&lt;&gt;"","?FAMILIAR",IF(F519="NEW",IF(ISNA(VLOOKUP(E519,#REF!,1,FALSE())),"?TYPE_IDENTIFIABLE","?REFERENTIAL"),"_")))))</f>
        <v/>
      </c>
      <c r="H519" s="23" t="str">
        <f t="shared" ca="1" si="37"/>
        <v/>
      </c>
      <c r="I519" s="24" t="str">
        <f>IF(OR(E519="",E519="!!!",F519="NEW"),"",INDEX(B$2:B518,-1+SUMPRODUCT(MAX(ROW(E$2:E518)*(E519=E$2:E518)))))</f>
        <v/>
      </c>
      <c r="J519" s="24" t="str">
        <f ca="1">IF(OR(E519="",E519="!!!",F519="NEW"),"",COUNTBLANK(OFFSET(A$1,,,SUMPRODUCT(MAX(ROW(E$2:E519)*(E519=E$2:E519)))))-COUNTBLANK(OFFSET(A$1,,,SUMPRODUCT(MAX(ROW(E$1:E518)*(E2=E$1:E518))))))</f>
        <v/>
      </c>
      <c r="K519" s="24" t="str">
        <f>IF(OR(E519="",E519="!!!",F519="NEW"),"",INDEX(J$1:J518,SUMPRODUCT(MAX(ROW(E$1:E518)*(E519=E$1:E518)))))</f>
        <v/>
      </c>
      <c r="L519" s="25"/>
    </row>
    <row r="520" spans="1:12" x14ac:dyDescent="0.3">
      <c r="A520" t="s">
        <v>249</v>
      </c>
      <c r="E520" s="20" t="str">
        <f t="shared" si="36"/>
        <v/>
      </c>
      <c r="F520" s="21" t="str">
        <f>IF(OR(E520="",E520="!!!"),"",IF(NOT(ISNA(VLOOKUP(E520,E$1:E519,1,FALSE()))),"OLD",IF(AND(E520&lt;&gt;"",E520&lt;&gt;"!!!"),"NEW","")))</f>
        <v/>
      </c>
      <c r="G520" s="22" t="str">
        <f>IF(OR(E520="",E520="!!!"),"",IF(OR(J520=0,AND(J520=1,K520=1),AND(J520=1,I520="SBJ"),AND(J520=1,I520=0)),"?IN_FOCUS",IF(J520&lt;=2,"?ACTIVATED",IF(J520&lt;&gt;"","?FAMILIAR",IF(F520="NEW",IF(ISNA(VLOOKUP(E520,#REF!,1,FALSE())),"?TYPE_IDENTIFIABLE","?REFERENTIAL"),"_")))))</f>
        <v/>
      </c>
      <c r="H520" s="23" t="str">
        <f t="shared" ca="1" si="37"/>
        <v/>
      </c>
      <c r="I520" s="24" t="str">
        <f>IF(OR(E520="",E520="!!!",F520="NEW"),"",INDEX(B$2:B519,-1+SUMPRODUCT(MAX(ROW(E$2:E519)*(E520=E$2:E519)))))</f>
        <v/>
      </c>
      <c r="J520" s="24" t="str">
        <f ca="1">IF(OR(E520="",E520="!!!",F520="NEW"),"",COUNTBLANK(OFFSET(A$1,,,SUMPRODUCT(MAX(ROW(E$2:E520)*(E520=E$2:E520)))))-COUNTBLANK(OFFSET(A$1,,,SUMPRODUCT(MAX(ROW(E$1:E519)*(E2=E$1:E519))))))</f>
        <v/>
      </c>
      <c r="K520" s="24" t="str">
        <f>IF(OR(E520="",E520="!!!",F520="NEW"),"",INDEX(J$1:J519,SUMPRODUCT(MAX(ROW(E$1:E519)*(E520=E$1:E519)))))</f>
        <v/>
      </c>
      <c r="L520" s="25"/>
    </row>
    <row r="521" spans="1:12" x14ac:dyDescent="0.3">
      <c r="A521" t="s">
        <v>228</v>
      </c>
      <c r="B521" s="26" t="s">
        <v>250</v>
      </c>
      <c r="C521" s="26" t="s">
        <v>230</v>
      </c>
      <c r="D521" s="26" t="s">
        <v>215</v>
      </c>
      <c r="E521" s="20" t="s">
        <v>669</v>
      </c>
      <c r="F521" s="21" t="str">
        <f>IF(OR(E521="",E521="!!!"),"",IF(NOT(ISNA(VLOOKUP(E521,E$1:E520,1,FALSE()))),"OLD",IF(AND(E521&lt;&gt;"",E521&lt;&gt;"!!!"),"NEW","")))</f>
        <v>OLD</v>
      </c>
      <c r="G521" s="22" t="str">
        <f ca="1">IF(OR(E521="",E521="!!!"),"",IF(OR(J521=0,AND(J521=1,K521=1),AND(J521=1,I521="SBJ"),AND(J521=1,I521=0)),"?IN_FOCUS",IF(J521&lt;=2,"?ACTIVATED",IF(J521&lt;&gt;"","?FAMILIAR",IF(F521="NEW",IF(ISNA(VLOOKUP(E521,#REF!,1,FALSE())),"?TYPE_IDENTIFIABLE","?REFERENTIAL"),"_")))))</f>
        <v>?IN_FOCUS</v>
      </c>
      <c r="H521" s="23" t="str">
        <f t="shared" ca="1" si="37"/>
        <v/>
      </c>
      <c r="I521" s="24" t="str">
        <f>IF(OR(E521="",E521="!!!",F521="NEW"),"",INDEX(B$2:B520,-1+SUMPRODUCT(MAX(ROW(E$2:E520)*(E521=E$2:E520)))))</f>
        <v>OBJ_4</v>
      </c>
      <c r="J521" s="24">
        <f ca="1">IF(OR(E521="",E521="!!!",F521="NEW"),"",COUNTBLANK(OFFSET(A$1,,,SUMPRODUCT(MAX(ROW(E$2:E521)*(E521=E$2:E521)))))-COUNTBLANK(OFFSET(A$1,,,SUMPRODUCT(MAX(ROW(E$1:E520)*(E2=E$1:E520))))))</f>
        <v>0</v>
      </c>
      <c r="K521" s="24">
        <f ca="1">IF(OR(E521="",E521="!!!",F521="NEW"),"",INDEX(J$1:J520,SUMPRODUCT(MAX(ROW(E$1:E520)*(E521=E$1:E520)))))</f>
        <v>0</v>
      </c>
      <c r="L521" s="25"/>
    </row>
    <row r="522" spans="1:12" x14ac:dyDescent="0.3">
      <c r="A522" t="s">
        <v>217</v>
      </c>
      <c r="E522" s="20" t="str">
        <f t="shared" si="36"/>
        <v/>
      </c>
      <c r="F522" s="21" t="str">
        <f>IF(OR(E522="",E522="!!!"),"",IF(NOT(ISNA(VLOOKUP(E522,E$1:E521,1,FALSE()))),"OLD",IF(AND(E522&lt;&gt;"",E522&lt;&gt;"!!!"),"NEW","")))</f>
        <v/>
      </c>
      <c r="G522" s="22" t="str">
        <f>IF(OR(E522="",E522="!!!"),"",IF(OR(J522=0,AND(J522=1,K522=1),AND(J522=1,I522="SBJ"),AND(J522=1,I522=0)),"?IN_FOCUS",IF(J522&lt;=2,"?ACTIVATED",IF(J522&lt;&gt;"","?FAMILIAR",IF(F522="NEW",IF(ISNA(VLOOKUP(E522,#REF!,1,FALSE())),"?TYPE_IDENTIFIABLE","?REFERENTIAL"),"_")))))</f>
        <v/>
      </c>
      <c r="H522" s="23" t="str">
        <f t="shared" ca="1" si="37"/>
        <v/>
      </c>
      <c r="I522" s="24" t="str">
        <f>IF(OR(E522="",E522="!!!",F522="NEW"),"",INDEX(B$2:B521,-1+SUMPRODUCT(MAX(ROW(E$2:E521)*(E522=E$2:E521)))))</f>
        <v/>
      </c>
      <c r="J522" s="24" t="str">
        <f ca="1">IF(OR(E522="",E522="!!!",F522="NEW"),"",COUNTBLANK(OFFSET(A$1,,,SUMPRODUCT(MAX(ROW(E$2:E522)*(E522=E$2:E522)))))-COUNTBLANK(OFFSET(A$1,,,SUMPRODUCT(MAX(ROW(E$1:E521)*(E2=E$1:E521))))))</f>
        <v/>
      </c>
      <c r="K522" s="24" t="str">
        <f>IF(OR(E522="",E522="!!!",F522="NEW"),"",INDEX(J$1:J521,SUMPRODUCT(MAX(ROW(E$1:E521)*(E522=E$1:E521)))))</f>
        <v/>
      </c>
      <c r="L522" s="25"/>
    </row>
    <row r="523" spans="1:12" x14ac:dyDescent="0.3">
      <c r="A523" t="s">
        <v>387</v>
      </c>
      <c r="E523" s="20" t="str">
        <f t="shared" si="36"/>
        <v/>
      </c>
      <c r="F523" s="21" t="str">
        <f>IF(OR(E523="",E523="!!!"),"",IF(NOT(ISNA(VLOOKUP(E523,E$1:E522,1,FALSE()))),"OLD",IF(AND(E523&lt;&gt;"",E523&lt;&gt;"!!!"),"NEW","")))</f>
        <v/>
      </c>
      <c r="G523" s="22" t="str">
        <f>IF(OR(E523="",E523="!!!"),"",IF(OR(J523=0,AND(J523=1,K523=1),AND(J523=1,I523="SBJ"),AND(J523=1,I523=0)),"?IN_FOCUS",IF(J523&lt;=2,"?ACTIVATED",IF(J523&lt;&gt;"","?FAMILIAR",IF(F523="NEW",IF(ISNA(VLOOKUP(E523,#REF!,1,FALSE())),"?TYPE_IDENTIFIABLE","?REFERENTIAL"),"_")))))</f>
        <v/>
      </c>
      <c r="H523" s="23" t="str">
        <f t="shared" ca="1" si="37"/>
        <v/>
      </c>
      <c r="I523" s="24" t="str">
        <f>IF(OR(E523="",E523="!!!",F523="NEW"),"",INDEX(B$2:B522,-1+SUMPRODUCT(MAX(ROW(E$2:E522)*(E523=E$2:E522)))))</f>
        <v/>
      </c>
      <c r="J523" s="24" t="str">
        <f ca="1">IF(OR(E523="",E523="!!!",F523="NEW"),"",COUNTBLANK(OFFSET(A$1,,,SUMPRODUCT(MAX(ROW(E$2:E523)*(E523=E$2:E523)))))-COUNTBLANK(OFFSET(A$1,,,SUMPRODUCT(MAX(ROW(E$1:E522)*(E2=E$1:E522))))))</f>
        <v/>
      </c>
      <c r="K523" s="24" t="str">
        <f>IF(OR(E523="",E523="!!!",F523="NEW"),"",INDEX(J$1:J522,SUMPRODUCT(MAX(ROW(E$1:E522)*(E523=E$1:E522)))))</f>
        <v/>
      </c>
      <c r="L523" s="25"/>
    </row>
    <row r="524" spans="1:12" x14ac:dyDescent="0.3">
      <c r="A524" t="s">
        <v>323</v>
      </c>
      <c r="E524" s="20" t="str">
        <f t="shared" si="36"/>
        <v/>
      </c>
      <c r="F524" s="21" t="str">
        <f>IF(OR(E524="",E524="!!!"),"",IF(NOT(ISNA(VLOOKUP(E524,E$1:E523,1,FALSE()))),"OLD",IF(AND(E524&lt;&gt;"",E524&lt;&gt;"!!!"),"NEW","")))</f>
        <v/>
      </c>
      <c r="G524" s="22" t="str">
        <f>IF(OR(E524="",E524="!!!"),"",IF(OR(J524=0,AND(J524=1,K524=1),AND(J524=1,I524="SBJ"),AND(J524=1,I524=0)),"?IN_FOCUS",IF(J524&lt;=2,"?ACTIVATED",IF(J524&lt;&gt;"","?FAMILIAR",IF(F524="NEW",IF(ISNA(VLOOKUP(E524,#REF!,1,FALSE())),"?TYPE_IDENTIFIABLE","?REFERENTIAL"),"_")))))</f>
        <v/>
      </c>
      <c r="H524" s="23" t="str">
        <f t="shared" ca="1" si="37"/>
        <v/>
      </c>
      <c r="I524" s="24" t="str">
        <f>IF(OR(E524="",E524="!!!",F524="NEW"),"",INDEX(B$2:B523,-1+SUMPRODUCT(MAX(ROW(E$2:E523)*(E524=E$2:E523)))))</f>
        <v/>
      </c>
      <c r="J524" s="24" t="str">
        <f ca="1">IF(OR(E524="",E524="!!!",F524="NEW"),"",COUNTBLANK(OFFSET(A$1,,,SUMPRODUCT(MAX(ROW(E$2:E524)*(E524=E$2:E524)))))-COUNTBLANK(OFFSET(A$1,,,SUMPRODUCT(MAX(ROW(E$1:E523)*(E2=E$1:E523))))))</f>
        <v/>
      </c>
      <c r="K524" s="24" t="str">
        <f>IF(OR(E524="",E524="!!!",F524="NEW"),"",INDEX(J$1:J523,SUMPRODUCT(MAX(ROW(E$1:E523)*(E524=E$1:E523)))))</f>
        <v/>
      </c>
      <c r="L524" s="25"/>
    </row>
    <row r="525" spans="1:12" x14ac:dyDescent="0.3">
      <c r="A525" t="s">
        <v>476</v>
      </c>
      <c r="E525" s="20" t="str">
        <f t="shared" si="36"/>
        <v/>
      </c>
      <c r="F525" s="21" t="str">
        <f>IF(OR(E525="",E525="!!!"),"",IF(NOT(ISNA(VLOOKUP(E525,E$1:E524,1,FALSE()))),"OLD",IF(AND(E525&lt;&gt;"",E525&lt;&gt;"!!!"),"NEW","")))</f>
        <v/>
      </c>
      <c r="G525" s="22" t="str">
        <f>IF(OR(E525="",E525="!!!"),"",IF(OR(J525=0,AND(J525=1,K525=1),AND(J525=1,I525="SBJ"),AND(J525=1,I525=0)),"?IN_FOCUS",IF(J525&lt;=2,"?ACTIVATED",IF(J525&lt;&gt;"","?FAMILIAR",IF(F525="NEW",IF(ISNA(VLOOKUP(E525,#REF!,1,FALSE())),"?TYPE_IDENTIFIABLE","?REFERENTIAL"),"_")))))</f>
        <v/>
      </c>
      <c r="H525" s="23" t="str">
        <f t="shared" ca="1" si="37"/>
        <v/>
      </c>
      <c r="I525" s="24" t="str">
        <f>IF(OR(E525="",E525="!!!",F525="NEW"),"",INDEX(B$2:B524,-1+SUMPRODUCT(MAX(ROW(E$2:E524)*(E525=E$2:E524)))))</f>
        <v/>
      </c>
      <c r="J525" s="24" t="str">
        <f ca="1">IF(OR(E525="",E525="!!!",F525="NEW"),"",COUNTBLANK(OFFSET(A$1,,,SUMPRODUCT(MAX(ROW(E$2:E525)*(E525=E$2:E525)))))-COUNTBLANK(OFFSET(A$1,,,SUMPRODUCT(MAX(ROW(E$1:E524)*(E2=E$1:E524))))))</f>
        <v/>
      </c>
      <c r="K525" s="24" t="str">
        <f>IF(OR(E525="",E525="!!!",F525="NEW"),"",INDEX(J$1:J524,SUMPRODUCT(MAX(ROW(E$1:E524)*(E525=E$1:E524)))))</f>
        <v/>
      </c>
      <c r="L525" s="25"/>
    </row>
    <row r="526" spans="1:12" x14ac:dyDescent="0.3">
      <c r="A526" t="s">
        <v>279</v>
      </c>
      <c r="E526" s="20" t="str">
        <f t="shared" si="36"/>
        <v/>
      </c>
      <c r="F526" s="21" t="str">
        <f>IF(OR(E526="",E526="!!!"),"",IF(NOT(ISNA(VLOOKUP(E526,E$1:E525,1,FALSE()))),"OLD",IF(AND(E526&lt;&gt;"",E526&lt;&gt;"!!!"),"NEW","")))</f>
        <v/>
      </c>
      <c r="G526" s="22" t="str">
        <f>IF(OR(E526="",E526="!!!"),"",IF(OR(J526=0,AND(J526=1,K526=1),AND(J526=1,I526="SBJ"),AND(J526=1,I526=0)),"?IN_FOCUS",IF(J526&lt;=2,"?ACTIVATED",IF(J526&lt;&gt;"","?FAMILIAR",IF(F526="NEW",IF(ISNA(VLOOKUP(E526,#REF!,1,FALSE())),"?TYPE_IDENTIFIABLE","?REFERENTIAL"),"_")))))</f>
        <v/>
      </c>
      <c r="H526" s="23" t="str">
        <f t="shared" ca="1" si="37"/>
        <v/>
      </c>
      <c r="I526" s="24" t="str">
        <f>IF(OR(E526="",E526="!!!",F526="NEW"),"",INDEX(B$2:B525,-1+SUMPRODUCT(MAX(ROW(E$2:E525)*(E526=E$2:E525)))))</f>
        <v/>
      </c>
      <c r="J526" s="24" t="str">
        <f ca="1">IF(OR(E526="",E526="!!!",F526="NEW"),"",COUNTBLANK(OFFSET(A$1,,,SUMPRODUCT(MAX(ROW(E$2:E526)*(E526=E$2:E526)))))-COUNTBLANK(OFFSET(A$1,,,SUMPRODUCT(MAX(ROW(E$1:E525)*(E2=E$1:E525))))))</f>
        <v/>
      </c>
      <c r="K526" s="24" t="str">
        <f>IF(OR(E526="",E526="!!!",F526="NEW"),"",INDEX(J$1:J525,SUMPRODUCT(MAX(ROW(E$1:E525)*(E526=E$1:E525)))))</f>
        <v/>
      </c>
      <c r="L526" s="25"/>
    </row>
    <row r="527" spans="1:12" x14ac:dyDescent="0.3">
      <c r="A527" t="s">
        <v>477</v>
      </c>
      <c r="B527" s="26" t="s">
        <v>269</v>
      </c>
      <c r="C527" s="26" t="s">
        <v>264</v>
      </c>
      <c r="D527" s="26" t="s">
        <v>215</v>
      </c>
      <c r="E527" s="20" t="s">
        <v>750</v>
      </c>
      <c r="F527" s="21" t="s">
        <v>655</v>
      </c>
      <c r="G527" s="22" t="str">
        <f ca="1">IF(OR(E527="",E527="!!!"),"",IF(OR(J527=0,AND(J527=1,K527=1),AND(J527=1,I527="SBJ"),AND(J527=1,I527=0)),"?IN_FOCUS",IF(J527&lt;=2,"?ACTIVATED",IF(J527&lt;&gt;"","?FAMILIAR",IF(F527="NEW",IF(ISNA(VLOOKUP(E527,#REF!,1,FALSE())),"?TYPE_IDENTIFIABLE","?REFERENTIAL"),"_")))))</f>
        <v>?REFERENTIAL</v>
      </c>
      <c r="H527" s="23" t="str">
        <f t="shared" ca="1" si="37"/>
        <v/>
      </c>
      <c r="I527" s="24" t="str">
        <f>IF(OR(E527="",E527="!!!",F527="NEW"),"",INDEX(B$2:B526,-1+SUMPRODUCT(MAX(ROW(E$2:E526)*(E527=E$2:E526)))))</f>
        <v/>
      </c>
      <c r="J527" s="24" t="str">
        <f ca="1">IF(OR(E527="",E527="!!!",F527="NEW"),"",COUNTBLANK(OFFSET(A$1,,,SUMPRODUCT(MAX(ROW(E$2:E527)*(E527=E$2:E527)))))-COUNTBLANK(OFFSET(A$1,,,SUMPRODUCT(MAX(ROW(E$1:E526)*(E2=E$1:E526))))))</f>
        <v/>
      </c>
      <c r="K527" s="24" t="str">
        <f>IF(OR(E527="",E527="!!!",F527="NEW"),"",INDEX(J$1:J526,SUMPRODUCT(MAX(ROW(E$1:E526)*(E527=E$1:E526)))))</f>
        <v/>
      </c>
      <c r="L527" s="25"/>
    </row>
    <row r="528" spans="1:12" x14ac:dyDescent="0.3">
      <c r="A528" t="s">
        <v>223</v>
      </c>
      <c r="E528" s="20" t="str">
        <f t="shared" si="36"/>
        <v/>
      </c>
      <c r="F528" s="21" t="str">
        <f>IF(OR(E528="",E528="!!!"),"",IF(NOT(ISNA(VLOOKUP(E528,E$1:E527,1,FALSE()))),"OLD",IF(AND(E528&lt;&gt;"",E528&lt;&gt;"!!!"),"NEW","")))</f>
        <v/>
      </c>
      <c r="G528" s="22" t="str">
        <f>IF(OR(E528="",E528="!!!"),"",IF(OR(J528=0,AND(J528=1,K528=1),AND(J528=1,I528="SBJ"),AND(J528=1,I528=0)),"?IN_FOCUS",IF(J528&lt;=2,"?ACTIVATED",IF(J528&lt;&gt;"","?FAMILIAR",IF(F528="NEW",IF(ISNA(VLOOKUP(E528,#REF!,1,FALSE())),"?TYPE_IDENTIFIABLE","?REFERENTIAL"),"_")))))</f>
        <v/>
      </c>
      <c r="H528" s="23" t="str">
        <f t="shared" ca="1" si="37"/>
        <v/>
      </c>
      <c r="I528" s="24" t="str">
        <f>IF(OR(E528="",E528="!!!",F528="NEW"),"",INDEX(B$2:B527,-1+SUMPRODUCT(MAX(ROW(E$2:E527)*(E528=E$2:E527)))))</f>
        <v/>
      </c>
      <c r="J528" s="24" t="str">
        <f ca="1">IF(OR(E528="",E528="!!!",F528="NEW"),"",COUNTBLANK(OFFSET(A$1,,,SUMPRODUCT(MAX(ROW(E$2:E528)*(E528=E$2:E528)))))-COUNTBLANK(OFFSET(A$1,,,SUMPRODUCT(MAX(ROW(E$1:E527)*(E2=E$1:E527))))))</f>
        <v/>
      </c>
      <c r="K528" s="24" t="str">
        <f>IF(OR(E528="",E528="!!!",F528="NEW"),"",INDEX(J$1:J527,SUMPRODUCT(MAX(ROW(E$1:E527)*(E528=E$1:E527)))))</f>
        <v/>
      </c>
      <c r="L528" s="25"/>
    </row>
    <row r="529" spans="1:12" x14ac:dyDescent="0.3">
      <c r="A529" t="s">
        <v>424</v>
      </c>
      <c r="B529" s="26" t="s">
        <v>281</v>
      </c>
      <c r="C529" s="26" t="s">
        <v>380</v>
      </c>
      <c r="D529" s="26" t="s">
        <v>215</v>
      </c>
      <c r="E529" s="20" t="s">
        <v>669</v>
      </c>
      <c r="F529" s="21" t="str">
        <f>IF(OR(E529="",E529="!!!"),"",IF(NOT(ISNA(VLOOKUP(E529,E$1:E528,1,FALSE()))),"OLD",IF(AND(E529&lt;&gt;"",E529&lt;&gt;"!!!"),"NEW","")))</f>
        <v>OLD</v>
      </c>
      <c r="G529" s="22" t="str">
        <f ca="1">IF(OR(E529="",E529="!!!"),"",IF(OR(J529=0,AND(J529=1,K529=1),AND(J529=1,I529="SBJ"),AND(J529=1,I529=0)),"?IN_FOCUS",IF(J529&lt;=2,"?ACTIVATED",IF(J529&lt;&gt;"","?FAMILIAR",IF(F529="NEW",IF(ISNA(VLOOKUP(E529,#REF!,1,FALSE())),"?TYPE_IDENTIFIABLE","?REFERENTIAL"),"_")))))</f>
        <v>?IN_FOCUS</v>
      </c>
      <c r="H529" s="23" t="str">
        <f t="shared" ca="1" si="37"/>
        <v/>
      </c>
      <c r="I529" s="24" t="str">
        <f>IF(OR(E529="",E529="!!!",F529="NEW"),"",INDEX(B$2:B528,-1+SUMPRODUCT(MAX(ROW(E$2:E528)*(E529=E$2:E528)))))</f>
        <v>SBJ_4</v>
      </c>
      <c r="J529" s="24">
        <f ca="1">IF(OR(E529="",E529="!!!",F529="NEW"),"",COUNTBLANK(OFFSET(A$1,,,SUMPRODUCT(MAX(ROW(E$2:E529)*(E529=E$2:E529)))))-COUNTBLANK(OFFSET(A$1,,,SUMPRODUCT(MAX(ROW(E$1:E528)*(E2=E$1:E528))))))</f>
        <v>0</v>
      </c>
      <c r="K529" s="24">
        <f ca="1">IF(OR(E529="",E529="!!!",F529="NEW"),"",INDEX(J$1:J528,SUMPRODUCT(MAX(ROW(E$1:E528)*(E529=E$1:E528)))))</f>
        <v>0</v>
      </c>
      <c r="L529" s="25"/>
    </row>
    <row r="530" spans="1:12" x14ac:dyDescent="0.3">
      <c r="A530" t="s">
        <v>478</v>
      </c>
      <c r="B530" s="26" t="s">
        <v>336</v>
      </c>
      <c r="C530" s="26" t="s">
        <v>264</v>
      </c>
      <c r="D530" s="26" t="s">
        <v>215</v>
      </c>
      <c r="E530" s="20" t="s">
        <v>697</v>
      </c>
      <c r="F530" s="21" t="s">
        <v>692</v>
      </c>
      <c r="G530" s="22" t="s">
        <v>657</v>
      </c>
      <c r="H530" s="23" t="str">
        <f t="shared" ca="1" si="37"/>
        <v/>
      </c>
      <c r="I530" s="24" t="str">
        <f>IF(OR(E530="",E530="!!!",F530="NEW"),"",INDEX(B$2:B529,-1+SUMPRODUCT(MAX(ROW(E$2:E529)*(E530=E$2:E529)))))</f>
        <v>other</v>
      </c>
      <c r="J530" s="24">
        <f ca="1">IF(OR(E530="",E530="!!!",F530="NEW"),"",COUNTBLANK(OFFSET(A$1,,,SUMPRODUCT(MAX(ROW(E$2:E530)*(E530=E$2:E530)))))-COUNTBLANK(OFFSET(A$1,,,SUMPRODUCT(MAX(ROW(E$1:E529)*(E2=E$1:E529))))))</f>
        <v>0</v>
      </c>
      <c r="K530" s="24" t="str">
        <f ca="1">IF(OR(E530="",E530="!!!",F530="NEW"),"",INDEX(J$1:J529,SUMPRODUCT(MAX(ROW(E$1:E529)*(E530=E$1:E529)))))</f>
        <v/>
      </c>
      <c r="L530" s="25"/>
    </row>
    <row r="531" spans="1:12" x14ac:dyDescent="0.3">
      <c r="A531" t="s">
        <v>207</v>
      </c>
      <c r="E531" s="20" t="str">
        <f t="shared" ref="E531:E558" si="38">IF(D531="?OLD","!!!","")</f>
        <v/>
      </c>
      <c r="F531" s="21" t="str">
        <f>IF(OR(E531="",E531="!!!"),"",IF(NOT(ISNA(VLOOKUP(E531,E$1:E530,1,FALSE()))),"OLD",IF(AND(E531&lt;&gt;"",E531&lt;&gt;"!!!"),"NEW","")))</f>
        <v/>
      </c>
      <c r="G531" s="22" t="str">
        <f>IF(OR(E531="",E531="!!!"),"",IF(OR(J531=0,AND(J531=1,K531=1),AND(J531=1,I531="SBJ"),AND(J531=1,I531=0)),"?IN_FOCUS",IF(J531&lt;=2,"?ACTIVATED",IF(J531&lt;&gt;"","?FAMILIAR",IF(F531="NEW",IF(ISNA(VLOOKUP(E531,#REF!,1,FALSE())),"?TYPE_IDENTIFIABLE","?REFERENTIAL"),"_")))))</f>
        <v/>
      </c>
      <c r="H531" s="23" t="str">
        <f t="shared" ref="H531:H558" ca="1" si="39">IF(J531&lt;&gt;1,"",IF(I531="SBJ","CB","?"))</f>
        <v/>
      </c>
      <c r="I531" s="24" t="str">
        <f>IF(OR(E531="",E531="!!!",F531="NEW"),"",INDEX(B$2:B530,-1+SUMPRODUCT(MAX(ROW(E$2:E530)*(E531=E$2:E530)))))</f>
        <v/>
      </c>
      <c r="J531" s="24" t="str">
        <f ca="1">IF(OR(E531="",E531="!!!",F531="NEW"),"",COUNTBLANK(OFFSET(A$1,,,SUMPRODUCT(MAX(ROW(E$2:E531)*(E531=E$2:E531)))))-COUNTBLANK(OFFSET(A$1,,,SUMPRODUCT(MAX(ROW(E$1:E530)*(E2=E$1:E530))))))</f>
        <v/>
      </c>
      <c r="K531" s="24" t="str">
        <f>IF(OR(E531="",E531="!!!",F531="NEW"),"",INDEX(J$1:J530,SUMPRODUCT(MAX(ROW(E$1:E530)*(E531=E$1:E530)))))</f>
        <v/>
      </c>
      <c r="L531" s="25"/>
    </row>
    <row r="532" spans="1:12" x14ac:dyDescent="0.3">
      <c r="A532" t="s">
        <v>287</v>
      </c>
      <c r="E532" s="20" t="str">
        <f t="shared" si="38"/>
        <v/>
      </c>
      <c r="F532" s="21" t="str">
        <f>IF(OR(E532="",E532="!!!"),"",IF(NOT(ISNA(VLOOKUP(E532,E$1:E531,1,FALSE()))),"OLD",IF(AND(E532&lt;&gt;"",E532&lt;&gt;"!!!"),"NEW","")))</f>
        <v/>
      </c>
      <c r="G532" s="22" t="str">
        <f>IF(OR(E532="",E532="!!!"),"",IF(OR(J532=0,AND(J532=1,K532=1),AND(J532=1,I532="SBJ"),AND(J532=1,I532=0)),"?IN_FOCUS",IF(J532&lt;=2,"?ACTIVATED",IF(J532&lt;&gt;"","?FAMILIAR",IF(F532="NEW",IF(ISNA(VLOOKUP(E532,#REF!,1,FALSE())),"?TYPE_IDENTIFIABLE","?REFERENTIAL"),"_")))))</f>
        <v/>
      </c>
      <c r="H532" s="23" t="str">
        <f t="shared" ca="1" si="39"/>
        <v/>
      </c>
      <c r="I532" s="24" t="str">
        <f>IF(OR(E532="",E532="!!!",F532="NEW"),"",INDEX(B$2:B531,-1+SUMPRODUCT(MAX(ROW(E$2:E531)*(E532=E$2:E531)))))</f>
        <v/>
      </c>
      <c r="J532" s="24" t="str">
        <f ca="1">IF(OR(E532="",E532="!!!",F532="NEW"),"",COUNTBLANK(OFFSET(A$1,,,SUMPRODUCT(MAX(ROW(E$2:E532)*(E532=E$2:E532)))))-COUNTBLANK(OFFSET(A$1,,,SUMPRODUCT(MAX(ROW(E$1:E531)*(E2=E$1:E531))))))</f>
        <v/>
      </c>
      <c r="K532" s="24" t="str">
        <f>IF(OR(E532="",E532="!!!",F532="NEW"),"",INDEX(J$1:J531,SUMPRODUCT(MAX(ROW(E$1:E531)*(E532=E$1:E531)))))</f>
        <v/>
      </c>
      <c r="L532" s="25"/>
    </row>
    <row r="533" spans="1:12" x14ac:dyDescent="0.3">
      <c r="A533" t="s">
        <v>249</v>
      </c>
      <c r="E533" s="20" t="str">
        <f t="shared" si="38"/>
        <v/>
      </c>
      <c r="F533" s="21" t="str">
        <f>IF(OR(E533="",E533="!!!"),"",IF(NOT(ISNA(VLOOKUP(E533,E$1:E532,1,FALSE()))),"OLD",IF(AND(E533&lt;&gt;"",E533&lt;&gt;"!!!"),"NEW","")))</f>
        <v/>
      </c>
      <c r="G533" s="22" t="str">
        <f>IF(OR(E533="",E533="!!!"),"",IF(OR(J533=0,AND(J533=1,K533=1),AND(J533=1,I533="SBJ"),AND(J533=1,I533=0)),"?IN_FOCUS",IF(J533&lt;=2,"?ACTIVATED",IF(J533&lt;&gt;"","?FAMILIAR",IF(F533="NEW",IF(ISNA(VLOOKUP(E533,#REF!,1,FALSE())),"?TYPE_IDENTIFIABLE","?REFERENTIAL"),"_")))))</f>
        <v/>
      </c>
      <c r="H533" s="23" t="str">
        <f t="shared" ca="1" si="39"/>
        <v/>
      </c>
      <c r="I533" s="24" t="str">
        <f>IF(OR(E533="",E533="!!!",F533="NEW"),"",INDEX(B$2:B532,-1+SUMPRODUCT(MAX(ROW(E$2:E532)*(E533=E$2:E532)))))</f>
        <v/>
      </c>
      <c r="J533" s="24" t="str">
        <f ca="1">IF(OR(E533="",E533="!!!",F533="NEW"),"",COUNTBLANK(OFFSET(A$1,,,SUMPRODUCT(MAX(ROW(E$2:E533)*(E533=E$2:E533)))))-COUNTBLANK(OFFSET(A$1,,,SUMPRODUCT(MAX(ROW(E$1:E532)*(E2=E$1:E532))))))</f>
        <v/>
      </c>
      <c r="K533" s="24" t="str">
        <f>IF(OR(E533="",E533="!!!",F533="NEW"),"",INDEX(J$1:J532,SUMPRODUCT(MAX(ROW(E$1:E532)*(E533=E$1:E532)))))</f>
        <v/>
      </c>
      <c r="L533" s="25"/>
    </row>
    <row r="534" spans="1:12" x14ac:dyDescent="0.3">
      <c r="A534" t="s">
        <v>257</v>
      </c>
      <c r="B534" s="26" t="s">
        <v>420</v>
      </c>
      <c r="C534" s="26" t="s">
        <v>230</v>
      </c>
      <c r="D534" s="26" t="s">
        <v>215</v>
      </c>
      <c r="E534" s="20" t="s">
        <v>739</v>
      </c>
      <c r="F534" s="21" t="str">
        <f>IF(OR(E534="",E534="!!!"),"",IF(NOT(ISNA(VLOOKUP(E534,E$1:E533,1,FALSE()))),"OLD",IF(AND(E534&lt;&gt;"",E534&lt;&gt;"!!!"),"NEW","")))</f>
        <v>OLD</v>
      </c>
      <c r="G534" s="22" t="str">
        <f ca="1">IF(OR(E534="",E534="!!!"),"",IF(OR(J534=0,AND(J534=1,K534=1),AND(J534=1,I534="SBJ"),AND(J534=1,I534=0)),"?IN_FOCUS",IF(J534&lt;=2,"?ACTIVATED",IF(J534&lt;&gt;"","?FAMILIAR",IF(F534="NEW",IF(ISNA(VLOOKUP(E534,#REF!,1,FALSE())),"?TYPE_IDENTIFIABLE","?REFERENTIAL"),"_")))))</f>
        <v>?IN_FOCUS</v>
      </c>
      <c r="H534" s="23" t="str">
        <f t="shared" ca="1" si="39"/>
        <v/>
      </c>
      <c r="I534" s="24" t="str">
        <f>IF(OR(E534="",E534="!!!",F534="NEW"),"",INDEX(B$2:B533,-1+SUMPRODUCT(MAX(ROW(E$2:E533)*(E534=E$2:E533)))))</f>
        <v>SBJ_3</v>
      </c>
      <c r="J534" s="24">
        <f ca="1">IF(OR(E534="",E534="!!!",F534="NEW"),"",COUNTBLANK(OFFSET(A$1,,,SUMPRODUCT(MAX(ROW(E$2:E534)*(E534=E$2:E534)))))-COUNTBLANK(OFFSET(A$1,,,SUMPRODUCT(MAX(ROW(E$1:E533)*(E2=E$1:E533))))))</f>
        <v>0</v>
      </c>
      <c r="K534" s="24">
        <f ca="1">IF(OR(E534="",E534="!!!",F534="NEW"),"",INDEX(J$1:J533,SUMPRODUCT(MAX(ROW(E$1:E533)*(E534=E$1:E533)))))</f>
        <v>0</v>
      </c>
      <c r="L534" s="25"/>
    </row>
    <row r="535" spans="1:12" x14ac:dyDescent="0.3">
      <c r="A535" t="s">
        <v>479</v>
      </c>
      <c r="E535" s="20" t="str">
        <f t="shared" si="38"/>
        <v/>
      </c>
      <c r="F535" s="21" t="str">
        <f>IF(OR(E535="",E535="!!!"),"",IF(NOT(ISNA(VLOOKUP(E535,E$1:E534,1,FALSE()))),"OLD",IF(AND(E535&lt;&gt;"",E535&lt;&gt;"!!!"),"NEW","")))</f>
        <v/>
      </c>
      <c r="G535" s="22" t="str">
        <f>IF(OR(E535="",E535="!!!"),"",IF(OR(J535=0,AND(J535=1,K535=1),AND(J535=1,I535="SBJ"),AND(J535=1,I535=0)),"?IN_FOCUS",IF(J535&lt;=2,"?ACTIVATED",IF(J535&lt;&gt;"","?FAMILIAR",IF(F535="NEW",IF(ISNA(VLOOKUP(E535,#REF!,1,FALSE())),"?TYPE_IDENTIFIABLE","?REFERENTIAL"),"_")))))</f>
        <v/>
      </c>
      <c r="H535" s="23" t="str">
        <f t="shared" ca="1" si="39"/>
        <v/>
      </c>
      <c r="I535" s="24" t="str">
        <f>IF(OR(E535="",E535="!!!",F535="NEW"),"",INDEX(B$2:B534,-1+SUMPRODUCT(MAX(ROW(E$2:E534)*(E535=E$2:E534)))))</f>
        <v/>
      </c>
      <c r="J535" s="24" t="str">
        <f ca="1">IF(OR(E535="",E535="!!!",F535="NEW"),"",COUNTBLANK(OFFSET(A$1,,,SUMPRODUCT(MAX(ROW(E$2:E535)*(E535=E$2:E535)))))-COUNTBLANK(OFFSET(A$1,,,SUMPRODUCT(MAX(ROW(E$1:E534)*(E2=E$1:E534))))))</f>
        <v/>
      </c>
      <c r="K535" s="24" t="str">
        <f>IF(OR(E535="",E535="!!!",F535="NEW"),"",INDEX(J$1:J534,SUMPRODUCT(MAX(ROW(E$1:E534)*(E535=E$1:E534)))))</f>
        <v/>
      </c>
      <c r="L535" s="25"/>
    </row>
    <row r="536" spans="1:12" x14ac:dyDescent="0.3">
      <c r="A536" t="s">
        <v>480</v>
      </c>
      <c r="E536" s="20" t="str">
        <f t="shared" si="38"/>
        <v/>
      </c>
      <c r="F536" s="21" t="str">
        <f>IF(OR(E536="",E536="!!!"),"",IF(NOT(ISNA(VLOOKUP(E536,E$1:E535,1,FALSE()))),"OLD",IF(AND(E536&lt;&gt;"",E536&lt;&gt;"!!!"),"NEW","")))</f>
        <v/>
      </c>
      <c r="G536" s="22" t="str">
        <f>IF(OR(E536="",E536="!!!"),"",IF(OR(J536=0,AND(J536=1,K536=1),AND(J536=1,I536="SBJ"),AND(J536=1,I536=0)),"?IN_FOCUS",IF(J536&lt;=2,"?ACTIVATED",IF(J536&lt;&gt;"","?FAMILIAR",IF(F536="NEW",IF(ISNA(VLOOKUP(E536,#REF!,1,FALSE())),"?TYPE_IDENTIFIABLE","?REFERENTIAL"),"_")))))</f>
        <v/>
      </c>
      <c r="H536" s="23" t="str">
        <f t="shared" ca="1" si="39"/>
        <v/>
      </c>
      <c r="I536" s="24" t="str">
        <f>IF(OR(E536="",E536="!!!",F536="NEW"),"",INDEX(B$2:B535,-1+SUMPRODUCT(MAX(ROW(E$2:E535)*(E536=E$2:E535)))))</f>
        <v/>
      </c>
      <c r="J536" s="24" t="str">
        <f ca="1">IF(OR(E536="",E536="!!!",F536="NEW"),"",COUNTBLANK(OFFSET(A$1,,,SUMPRODUCT(MAX(ROW(E$2:E536)*(E536=E$2:E536)))))-COUNTBLANK(OFFSET(A$1,,,SUMPRODUCT(MAX(ROW(E$1:E535)*(E2=E$1:E535))))))</f>
        <v/>
      </c>
      <c r="K536" s="24" t="str">
        <f>IF(OR(E536="",E536="!!!",F536="NEW"),"",INDEX(J$1:J535,SUMPRODUCT(MAX(ROW(E$1:E535)*(E536=E$1:E535)))))</f>
        <v/>
      </c>
      <c r="L536" s="25"/>
    </row>
    <row r="537" spans="1:12" x14ac:dyDescent="0.3">
      <c r="A537" t="s">
        <v>424</v>
      </c>
      <c r="B537" s="26" t="s">
        <v>336</v>
      </c>
      <c r="C537" s="26" t="s">
        <v>380</v>
      </c>
      <c r="D537" s="26" t="s">
        <v>215</v>
      </c>
      <c r="E537" s="20" t="s">
        <v>669</v>
      </c>
      <c r="F537" s="21" t="str">
        <f>IF(OR(E537="",E537="!!!"),"",IF(NOT(ISNA(VLOOKUP(E537,E$1:E536,1,FALSE()))),"OLD",IF(AND(E537&lt;&gt;"",E537&lt;&gt;"!!!"),"NEW","")))</f>
        <v>OLD</v>
      </c>
      <c r="G537" s="22" t="str">
        <f ca="1">IF(OR(E537="",E537="!!!"),"",IF(OR(J537=0,AND(J537=1,K537=1),AND(J537=1,I537="SBJ"),AND(J537=1,I537=0)),"?IN_FOCUS",IF(J537&lt;=2,"?ACTIVATED",IF(J537&lt;&gt;"","?FAMILIAR",IF(F537="NEW",IF(ISNA(VLOOKUP(E537,#REF!,1,FALSE())),"?TYPE_IDENTIFIABLE","?REFERENTIAL"),"_")))))</f>
        <v>?IN_FOCUS</v>
      </c>
      <c r="H537" s="23" t="str">
        <f t="shared" ca="1" si="39"/>
        <v/>
      </c>
      <c r="I537" s="24" t="str">
        <f>IF(OR(E537="",E537="!!!",F537="NEW"),"",INDEX(B$2:B536,-1+SUMPRODUCT(MAX(ROW(E$2:E536)*(E537=E$2:E536)))))</f>
        <v>other_7</v>
      </c>
      <c r="J537" s="24">
        <f ca="1">IF(OR(E537="",E537="!!!",F537="NEW"),"",COUNTBLANK(OFFSET(A$1,,,SUMPRODUCT(MAX(ROW(E$2:E537)*(E537=E$2:E537)))))-COUNTBLANK(OFFSET(A$1,,,SUMPRODUCT(MAX(ROW(E$1:E536)*(E2=E$1:E536))))))</f>
        <v>0</v>
      </c>
      <c r="K537" s="24">
        <f ca="1">IF(OR(E537="",E537="!!!",F537="NEW"),"",INDEX(J$1:J536,SUMPRODUCT(MAX(ROW(E$1:E536)*(E537=E$1:E536)))))</f>
        <v>0</v>
      </c>
      <c r="L537" s="25"/>
    </row>
    <row r="538" spans="1:12" x14ac:dyDescent="0.3">
      <c r="A538" t="s">
        <v>481</v>
      </c>
      <c r="B538" s="26" t="s">
        <v>443</v>
      </c>
      <c r="C538" s="26" t="s">
        <v>264</v>
      </c>
      <c r="D538" s="26" t="s">
        <v>215</v>
      </c>
      <c r="E538" s="20"/>
      <c r="F538" s="21" t="s">
        <v>666</v>
      </c>
      <c r="G538" s="22" t="str">
        <f>IF(OR(E538="",E538="!!!"),"",IF(OR(J538=0,AND(J538=1,K538=1),AND(J538=1,I538="SBJ"),AND(J538=1,I538=0)),"?IN_FOCUS",IF(J538&lt;=2,"?ACTIVATED",IF(J538&lt;&gt;"","?FAMILIAR",IF(F538="NEW",IF(ISNA(VLOOKUP(E538,#REF!,1,FALSE())),"?TYPE_IDENTIFIABLE","?REFERENTIAL"),"_")))))</f>
        <v/>
      </c>
      <c r="H538" s="23" t="str">
        <f t="shared" ca="1" si="39"/>
        <v/>
      </c>
      <c r="I538" s="24" t="str">
        <f>IF(OR(E538="",E538="!!!",F538="NEW"),"",INDEX(B$2:B537,-1+SUMPRODUCT(MAX(ROW(E$2:E537)*(E538=E$2:E537)))))</f>
        <v/>
      </c>
      <c r="J538" s="24" t="str">
        <f ca="1">IF(OR(E538="",E538="!!!",F538="NEW"),"",COUNTBLANK(OFFSET(A$1,,,SUMPRODUCT(MAX(ROW(E$2:E538)*(E538=E$2:E538)))))-COUNTBLANK(OFFSET(A$1,,,SUMPRODUCT(MAX(ROW(E$1:E537)*(E2=E$1:E537))))))</f>
        <v/>
      </c>
      <c r="K538" s="24" t="str">
        <f>IF(OR(E538="",E538="!!!",F538="NEW"),"",INDEX(J$1:J537,SUMPRODUCT(MAX(ROW(E$1:E537)*(E538=E$1:E537)))))</f>
        <v/>
      </c>
      <c r="L538" s="25" t="s">
        <v>703</v>
      </c>
    </row>
    <row r="539" spans="1:12" x14ac:dyDescent="0.3">
      <c r="A539" t="s">
        <v>282</v>
      </c>
      <c r="E539" s="20" t="str">
        <f t="shared" si="38"/>
        <v/>
      </c>
      <c r="F539" s="21" t="str">
        <f>IF(OR(E539="",E539="!!!"),"",IF(NOT(ISNA(VLOOKUP(E539,E$1:E538,1,FALSE()))),"OLD",IF(AND(E539&lt;&gt;"",E539&lt;&gt;"!!!"),"NEW","")))</f>
        <v/>
      </c>
      <c r="G539" s="22" t="str">
        <f>IF(OR(E539="",E539="!!!"),"",IF(OR(J539=0,AND(J539=1,K539=1),AND(J539=1,I539="SBJ"),AND(J539=1,I539=0)),"?IN_FOCUS",IF(J539&lt;=2,"?ACTIVATED",IF(J539&lt;&gt;"","?FAMILIAR",IF(F539="NEW",IF(ISNA(VLOOKUP(E539,#REF!,1,FALSE())),"?TYPE_IDENTIFIABLE","?REFERENTIAL"),"_")))))</f>
        <v/>
      </c>
      <c r="H539" s="23" t="str">
        <f t="shared" ca="1" si="39"/>
        <v/>
      </c>
      <c r="I539" s="24" t="str">
        <f>IF(OR(E539="",E539="!!!",F539="NEW"),"",INDEX(B$2:B538,-1+SUMPRODUCT(MAX(ROW(E$2:E538)*(E539=E$2:E538)))))</f>
        <v/>
      </c>
      <c r="J539" s="24" t="str">
        <f ca="1">IF(OR(E539="",E539="!!!",F539="NEW"),"",COUNTBLANK(OFFSET(A$1,,,SUMPRODUCT(MAX(ROW(E$2:E539)*(E539=E$2:E539)))))-COUNTBLANK(OFFSET(A$1,,,SUMPRODUCT(MAX(ROW(E$1:E538)*(E2=E$1:E538))))))</f>
        <v/>
      </c>
      <c r="K539" s="24" t="str">
        <f>IF(OR(E539="",E539="!!!",F539="NEW"),"",INDEX(J$1:J538,SUMPRODUCT(MAX(ROW(E$1:E538)*(E539=E$1:E538)))))</f>
        <v/>
      </c>
      <c r="L539" s="25"/>
    </row>
    <row r="540" spans="1:12" x14ac:dyDescent="0.3">
      <c r="A540" t="s">
        <v>220</v>
      </c>
      <c r="E540" s="20" t="str">
        <f t="shared" si="38"/>
        <v/>
      </c>
      <c r="F540" s="21" t="str">
        <f>IF(OR(E540="",E540="!!!"),"",IF(NOT(ISNA(VLOOKUP(E540,E$1:E539,1,FALSE()))),"OLD",IF(AND(E540&lt;&gt;"",E540&lt;&gt;"!!!"),"NEW","")))</f>
        <v/>
      </c>
      <c r="G540" s="22" t="str">
        <f>IF(OR(E540="",E540="!!!"),"",IF(OR(J540=0,AND(J540=1,K540=1),AND(J540=1,I540="SBJ"),AND(J540=1,I540=0)),"?IN_FOCUS",IF(J540&lt;=2,"?ACTIVATED",IF(J540&lt;&gt;"","?FAMILIAR",IF(F540="NEW",IF(ISNA(VLOOKUP(E540,#REF!,1,FALSE())),"?TYPE_IDENTIFIABLE","?REFERENTIAL"),"_")))))</f>
        <v/>
      </c>
      <c r="H540" s="23" t="str">
        <f t="shared" ca="1" si="39"/>
        <v/>
      </c>
      <c r="I540" s="24" t="str">
        <f>IF(OR(E540="",E540="!!!",F540="NEW"),"",INDEX(B$2:B539,-1+SUMPRODUCT(MAX(ROW(E$2:E539)*(E540=E$2:E539)))))</f>
        <v/>
      </c>
      <c r="J540" s="24" t="str">
        <f ca="1">IF(OR(E540="",E540="!!!",F540="NEW"),"",COUNTBLANK(OFFSET(A$1,,,SUMPRODUCT(MAX(ROW(E$2:E540)*(E540=E$2:E540)))))-COUNTBLANK(OFFSET(A$1,,,SUMPRODUCT(MAX(ROW(E$1:E539)*(E2=E$1:E539))))))</f>
        <v/>
      </c>
      <c r="K540" s="24" t="str">
        <f>IF(OR(E540="",E540="!!!",F540="NEW"),"",INDEX(J$1:J539,SUMPRODUCT(MAX(ROW(E$1:E539)*(E540=E$1:E539)))))</f>
        <v/>
      </c>
      <c r="L540" s="25"/>
    </row>
    <row r="541" spans="1:12" x14ac:dyDescent="0.3">
      <c r="A541" t="s">
        <v>248</v>
      </c>
      <c r="B541" s="26" t="s">
        <v>336</v>
      </c>
      <c r="C541" s="26" t="s">
        <v>222</v>
      </c>
      <c r="D541" s="26" t="s">
        <v>215</v>
      </c>
      <c r="E541" s="20" t="s">
        <v>709</v>
      </c>
      <c r="F541" s="21" t="s">
        <v>692</v>
      </c>
      <c r="G541" s="22" t="s">
        <v>657</v>
      </c>
      <c r="H541" s="23" t="str">
        <f t="shared" ca="1" si="39"/>
        <v/>
      </c>
      <c r="I541" s="24" t="str">
        <f>IF(OR(E541="",E541="!!!",F541="NEW"),"",INDEX(B$2:B540,-1+SUMPRODUCT(MAX(ROW(E$2:E540)*(E541=E$2:E540)))))</f>
        <v>OBJ_2</v>
      </c>
      <c r="J541" s="24">
        <f ca="1">IF(OR(E541="",E541="!!!",F541="NEW"),"",COUNTBLANK(OFFSET(A$1,,,SUMPRODUCT(MAX(ROW(E$2:E541)*(E541=E$2:E541)))))-COUNTBLANK(OFFSET(A$1,,,SUMPRODUCT(MAX(ROW(E$1:E540)*(E2=E$1:E540))))))</f>
        <v>0</v>
      </c>
      <c r="K541" s="24" t="str">
        <f ca="1">IF(OR(E541="",E541="!!!",F541="NEW"),"",INDEX(J$1:J540,SUMPRODUCT(MAX(ROW(E$1:E540)*(E541=E$1:E540)))))</f>
        <v/>
      </c>
      <c r="L541" s="25"/>
    </row>
    <row r="542" spans="1:12" x14ac:dyDescent="0.3">
      <c r="A542" t="s">
        <v>344</v>
      </c>
      <c r="E542" s="20" t="str">
        <f t="shared" si="38"/>
        <v/>
      </c>
      <c r="F542" s="21" t="str">
        <f>IF(OR(E542="",E542="!!!"),"",IF(NOT(ISNA(VLOOKUP(E542,E$1:E541,1,FALSE()))),"OLD",IF(AND(E542&lt;&gt;"",E542&lt;&gt;"!!!"),"NEW","")))</f>
        <v/>
      </c>
      <c r="G542" s="22" t="str">
        <f>IF(OR(E542="",E542="!!!"),"",IF(OR(J542=0,AND(J542=1,K542=1),AND(J542=1,I542="SBJ"),AND(J542=1,I542=0)),"?IN_FOCUS",IF(J542&lt;=2,"?ACTIVATED",IF(J542&lt;&gt;"","?FAMILIAR",IF(F542="NEW",IF(ISNA(VLOOKUP(E542,#REF!,1,FALSE())),"?TYPE_IDENTIFIABLE","?REFERENTIAL"),"_")))))</f>
        <v/>
      </c>
      <c r="H542" s="23" t="str">
        <f t="shared" ca="1" si="39"/>
        <v/>
      </c>
      <c r="I542" s="24" t="str">
        <f>IF(OR(E542="",E542="!!!",F542="NEW"),"",INDEX(B$2:B541,-1+SUMPRODUCT(MAX(ROW(E$2:E541)*(E542=E$2:E541)))))</f>
        <v/>
      </c>
      <c r="J542" s="24" t="str">
        <f ca="1">IF(OR(E542="",E542="!!!",F542="NEW"),"",COUNTBLANK(OFFSET(A$1,,,SUMPRODUCT(MAX(ROW(E$2:E542)*(E542=E$2:E542)))))-COUNTBLANK(OFFSET(A$1,,,SUMPRODUCT(MAX(ROW(E$1:E541)*(E2=E$1:E541))))))</f>
        <v/>
      </c>
      <c r="K542" s="24" t="str">
        <f>IF(OR(E542="",E542="!!!",F542="NEW"),"",INDEX(J$1:J541,SUMPRODUCT(MAX(ROW(E$1:E541)*(E542=E$1:E541)))))</f>
        <v/>
      </c>
      <c r="L542" s="25"/>
    </row>
    <row r="543" spans="1:12" x14ac:dyDescent="0.3">
      <c r="A543" t="s">
        <v>257</v>
      </c>
      <c r="B543" s="26" t="s">
        <v>331</v>
      </c>
      <c r="C543" s="26" t="s">
        <v>230</v>
      </c>
      <c r="D543" s="26" t="s">
        <v>215</v>
      </c>
      <c r="E543" s="20" t="s">
        <v>739</v>
      </c>
      <c r="F543" s="21" t="str">
        <f>IF(OR(E543="",E543="!!!"),"",IF(NOT(ISNA(VLOOKUP(E543,E$1:E542,1,FALSE()))),"OLD",IF(AND(E543&lt;&gt;"",E543&lt;&gt;"!!!"),"NEW","")))</f>
        <v>OLD</v>
      </c>
      <c r="G543" s="22" t="str">
        <f ca="1">IF(OR(E543="",E543="!!!"),"",IF(OR(J543=0,AND(J543=1,K543=1),AND(J543=1,I543="SBJ"),AND(J543=1,I543=0)),"?IN_FOCUS",IF(J543&lt;=2,"?ACTIVATED",IF(J543&lt;&gt;"","?FAMILIAR",IF(F543="NEW",IF(ISNA(VLOOKUP(E543,#REF!,1,FALSE())),"?TYPE_IDENTIFIABLE","?REFERENTIAL"),"_")))))</f>
        <v>?IN_FOCUS</v>
      </c>
      <c r="H543" s="23" t="str">
        <f t="shared" ca="1" si="39"/>
        <v/>
      </c>
      <c r="I543" s="24" t="str">
        <f>IF(OR(E543="",E543="!!!",F543="NEW"),"",INDEX(B$2:B542,-1+SUMPRODUCT(MAX(ROW(E$2:E542)*(E543=E$2:E542)))))</f>
        <v>SBJ_5</v>
      </c>
      <c r="J543" s="24">
        <f ca="1">IF(OR(E543="",E543="!!!",F543="NEW"),"",COUNTBLANK(OFFSET(A$1,,,SUMPRODUCT(MAX(ROW(E$2:E543)*(E543=E$2:E543)))))-COUNTBLANK(OFFSET(A$1,,,SUMPRODUCT(MAX(ROW(E$1:E542)*(E2=E$1:E542))))))</f>
        <v>0</v>
      </c>
      <c r="K543" s="24">
        <f ca="1">IF(OR(E543="",E543="!!!",F543="NEW"),"",INDEX(J$1:J542,SUMPRODUCT(MAX(ROW(E$1:E542)*(E543=E$1:E542)))))</f>
        <v>0</v>
      </c>
      <c r="L543" s="25"/>
    </row>
    <row r="544" spans="1:12" x14ac:dyDescent="0.3">
      <c r="A544" t="s">
        <v>457</v>
      </c>
      <c r="E544" s="20" t="str">
        <f t="shared" si="38"/>
        <v/>
      </c>
      <c r="F544" s="21" t="str">
        <f>IF(OR(E544="",E544="!!!"),"",IF(NOT(ISNA(VLOOKUP(E544,E$1:E543,1,FALSE()))),"OLD",IF(AND(E544&lt;&gt;"",E544&lt;&gt;"!!!"),"NEW","")))</f>
        <v/>
      </c>
      <c r="G544" s="22" t="str">
        <f>IF(OR(E544="",E544="!!!"),"",IF(OR(J544=0,AND(J544=1,K544=1),AND(J544=1,I544="SBJ"),AND(J544=1,I544=0)),"?IN_FOCUS",IF(J544&lt;=2,"?ACTIVATED",IF(J544&lt;&gt;"","?FAMILIAR",IF(F544="NEW",IF(ISNA(VLOOKUP(E544,#REF!,1,FALSE())),"?TYPE_IDENTIFIABLE","?REFERENTIAL"),"_")))))</f>
        <v/>
      </c>
      <c r="H544" s="23" t="str">
        <f t="shared" ca="1" si="39"/>
        <v/>
      </c>
      <c r="I544" s="24" t="str">
        <f>IF(OR(E544="",E544="!!!",F544="NEW"),"",INDEX(B$2:B543,-1+SUMPRODUCT(MAX(ROW(E$2:E543)*(E544=E$2:E543)))))</f>
        <v/>
      </c>
      <c r="J544" s="24" t="str">
        <f ca="1">IF(OR(E544="",E544="!!!",F544="NEW"),"",COUNTBLANK(OFFSET(A$1,,,SUMPRODUCT(MAX(ROW(E$2:E544)*(E544=E$2:E544)))))-COUNTBLANK(OFFSET(A$1,,,SUMPRODUCT(MAX(ROW(E$1:E543)*(E2=E$1:E543))))))</f>
        <v/>
      </c>
      <c r="K544" s="24" t="str">
        <f>IF(OR(E544="",E544="!!!",F544="NEW"),"",INDEX(J$1:J543,SUMPRODUCT(MAX(ROW(E$1:E543)*(E544=E$1:E543)))))</f>
        <v/>
      </c>
      <c r="L544" s="25"/>
    </row>
    <row r="545" spans="1:12" x14ac:dyDescent="0.3">
      <c r="A545" t="s">
        <v>399</v>
      </c>
      <c r="E545" s="20" t="str">
        <f t="shared" si="38"/>
        <v/>
      </c>
      <c r="F545" s="21" t="str">
        <f>IF(OR(E545="",E545="!!!"),"",IF(NOT(ISNA(VLOOKUP(E545,E$1:E544,1,FALSE()))),"OLD",IF(AND(E545&lt;&gt;"",E545&lt;&gt;"!!!"),"NEW","")))</f>
        <v/>
      </c>
      <c r="G545" s="22" t="str">
        <f>IF(OR(E545="",E545="!!!"),"",IF(OR(J545=0,AND(J545=1,K545=1),AND(J545=1,I545="SBJ"),AND(J545=1,I545=0)),"?IN_FOCUS",IF(J545&lt;=2,"?ACTIVATED",IF(J545&lt;&gt;"","?FAMILIAR",IF(F545="NEW",IF(ISNA(VLOOKUP(E545,#REF!,1,FALSE())),"?TYPE_IDENTIFIABLE","?REFERENTIAL"),"_")))))</f>
        <v/>
      </c>
      <c r="H545" s="23" t="str">
        <f t="shared" ca="1" si="39"/>
        <v/>
      </c>
      <c r="I545" s="24" t="str">
        <f>IF(OR(E545="",E545="!!!",F545="NEW"),"",INDEX(B$2:B544,-1+SUMPRODUCT(MAX(ROW(E$2:E544)*(E545=E$2:E544)))))</f>
        <v/>
      </c>
      <c r="J545" s="24" t="str">
        <f ca="1">IF(OR(E545="",E545="!!!",F545="NEW"),"",COUNTBLANK(OFFSET(A$1,,,SUMPRODUCT(MAX(ROW(E$2:E545)*(E545=E$2:E545)))))-COUNTBLANK(OFFSET(A$1,,,SUMPRODUCT(MAX(ROW(E$1:E544)*(E2=E$1:E544))))))</f>
        <v/>
      </c>
      <c r="K545" s="24" t="str">
        <f>IF(OR(E545="",E545="!!!",F545="NEW"),"",INDEX(J$1:J544,SUMPRODUCT(MAX(ROW(E$1:E544)*(E545=E$1:E544)))))</f>
        <v/>
      </c>
      <c r="L545" s="25"/>
    </row>
    <row r="546" spans="1:12" x14ac:dyDescent="0.3">
      <c r="A546" t="s">
        <v>378</v>
      </c>
      <c r="E546" s="20" t="str">
        <f t="shared" si="38"/>
        <v/>
      </c>
      <c r="F546" s="21" t="str">
        <f>IF(OR(E546="",E546="!!!"),"",IF(NOT(ISNA(VLOOKUP(E546,E$1:E545,1,FALSE()))),"OLD",IF(AND(E546&lt;&gt;"",E546&lt;&gt;"!!!"),"NEW","")))</f>
        <v/>
      </c>
      <c r="G546" s="22" t="str">
        <f>IF(OR(E546="",E546="!!!"),"",IF(OR(J546=0,AND(J546=1,K546=1),AND(J546=1,I546="SBJ"),AND(J546=1,I546=0)),"?IN_FOCUS",IF(J546&lt;=2,"?ACTIVATED",IF(J546&lt;&gt;"","?FAMILIAR",IF(F546="NEW",IF(ISNA(VLOOKUP(E546,#REF!,1,FALSE())),"?TYPE_IDENTIFIABLE","?REFERENTIAL"),"_")))))</f>
        <v/>
      </c>
      <c r="H546" s="23" t="str">
        <f t="shared" ca="1" si="39"/>
        <v/>
      </c>
      <c r="I546" s="24" t="str">
        <f>IF(OR(E546="",E546="!!!",F546="NEW"),"",INDEX(B$2:B545,-1+SUMPRODUCT(MAX(ROW(E$2:E545)*(E546=E$2:E545)))))</f>
        <v/>
      </c>
      <c r="J546" s="24" t="str">
        <f ca="1">IF(OR(E546="",E546="!!!",F546="NEW"),"",COUNTBLANK(OFFSET(A$1,,,SUMPRODUCT(MAX(ROW(E$2:E546)*(E546=E$2:E546)))))-COUNTBLANK(OFFSET(A$1,,,SUMPRODUCT(MAX(ROW(E$1:E545)*(E2=E$1:E545))))))</f>
        <v/>
      </c>
      <c r="K546" s="24" t="str">
        <f>IF(OR(E546="",E546="!!!",F546="NEW"),"",INDEX(J$1:J545,SUMPRODUCT(MAX(ROW(E$1:E545)*(E546=E$1:E545)))))</f>
        <v/>
      </c>
      <c r="L546" s="25"/>
    </row>
    <row r="547" spans="1:12" x14ac:dyDescent="0.3">
      <c r="A547" t="s">
        <v>482</v>
      </c>
      <c r="B547" s="26" t="s">
        <v>281</v>
      </c>
      <c r="C547" s="26" t="s">
        <v>226</v>
      </c>
      <c r="E547" s="20" t="str">
        <f t="shared" si="38"/>
        <v/>
      </c>
      <c r="F547" s="21" t="str">
        <f>IF(OR(E547="",E547="!!!"),"",IF(NOT(ISNA(VLOOKUP(E547,E$1:E546,1,FALSE()))),"OLD",IF(AND(E547&lt;&gt;"",E547&lt;&gt;"!!!"),"NEW","")))</f>
        <v/>
      </c>
      <c r="G547" s="22" t="str">
        <f>IF(OR(E547="",E547="!!!"),"",IF(OR(J547=0,AND(J547=1,K547=1),AND(J547=1,I547="SBJ"),AND(J547=1,I547=0)),"?IN_FOCUS",IF(J547&lt;=2,"?ACTIVATED",IF(J547&lt;&gt;"","?FAMILIAR",IF(F547="NEW",IF(ISNA(VLOOKUP(E547,#REF!,1,FALSE())),"?TYPE_IDENTIFIABLE","?REFERENTIAL"),"_")))))</f>
        <v/>
      </c>
      <c r="H547" s="23" t="str">
        <f t="shared" ca="1" si="39"/>
        <v/>
      </c>
      <c r="I547" s="24" t="str">
        <f>IF(OR(E547="",E547="!!!",F547="NEW"),"",INDEX(B$2:B546,-1+SUMPRODUCT(MAX(ROW(E$2:E546)*(E547=E$2:E546)))))</f>
        <v/>
      </c>
      <c r="J547" s="24" t="str">
        <f ca="1">IF(OR(E547="",E547="!!!",F547="NEW"),"",COUNTBLANK(OFFSET(A$1,,,SUMPRODUCT(MAX(ROW(E$2:E547)*(E547=E$2:E547)))))-COUNTBLANK(OFFSET(A$1,,,SUMPRODUCT(MAX(ROW(E$1:E546)*(E2=E$1:E546))))))</f>
        <v/>
      </c>
      <c r="K547" s="24" t="str">
        <f>IF(OR(E547="",E547="!!!",F547="NEW"),"",INDEX(J$1:J546,SUMPRODUCT(MAX(ROW(E$1:E546)*(E547=E$1:E546)))))</f>
        <v/>
      </c>
      <c r="L547" s="25"/>
    </row>
    <row r="548" spans="1:12" x14ac:dyDescent="0.3">
      <c r="A548" t="s">
        <v>287</v>
      </c>
      <c r="E548" s="20" t="str">
        <f t="shared" si="38"/>
        <v/>
      </c>
      <c r="F548" s="21" t="str">
        <f>IF(OR(E548="",E548="!!!"),"",IF(NOT(ISNA(VLOOKUP(E548,E$1:E547,1,FALSE()))),"OLD",IF(AND(E548&lt;&gt;"",E548&lt;&gt;"!!!"),"NEW","")))</f>
        <v/>
      </c>
      <c r="G548" s="22" t="str">
        <f>IF(OR(E548="",E548="!!!"),"",IF(OR(J548=0,AND(J548=1,K548=1),AND(J548=1,I548="SBJ"),AND(J548=1,I548=0)),"?IN_FOCUS",IF(J548&lt;=2,"?ACTIVATED",IF(J548&lt;&gt;"","?FAMILIAR",IF(F548="NEW",IF(ISNA(VLOOKUP(E548,#REF!,1,FALSE())),"?TYPE_IDENTIFIABLE","?REFERENTIAL"),"_")))))</f>
        <v/>
      </c>
      <c r="H548" s="23" t="str">
        <f t="shared" ca="1" si="39"/>
        <v/>
      </c>
      <c r="I548" s="24" t="str">
        <f>IF(OR(E548="",E548="!!!",F548="NEW"),"",INDEX(B$2:B547,-1+SUMPRODUCT(MAX(ROW(E$2:E547)*(E548=E$2:E547)))))</f>
        <v/>
      </c>
      <c r="J548" s="24" t="str">
        <f ca="1">IF(OR(E548="",E548="!!!",F548="NEW"),"",COUNTBLANK(OFFSET(A$1,,,SUMPRODUCT(MAX(ROW(E$2:E548)*(E548=E$2:E548)))))-COUNTBLANK(OFFSET(A$1,,,SUMPRODUCT(MAX(ROW(E$1:E547)*(E2=E$1:E547))))))</f>
        <v/>
      </c>
      <c r="K548" s="24" t="str">
        <f>IF(OR(E548="",E548="!!!",F548="NEW"),"",INDEX(J$1:J547,SUMPRODUCT(MAX(ROW(E$1:E547)*(E548=E$1:E547)))))</f>
        <v/>
      </c>
      <c r="L548" s="25"/>
    </row>
    <row r="549" spans="1:12" x14ac:dyDescent="0.3">
      <c r="A549" t="s">
        <v>483</v>
      </c>
      <c r="B549" s="26" t="s">
        <v>484</v>
      </c>
      <c r="C549" s="26" t="s">
        <v>226</v>
      </c>
      <c r="E549" s="20" t="str">
        <f t="shared" si="38"/>
        <v/>
      </c>
      <c r="F549" s="21" t="str">
        <f>IF(OR(E549="",E549="!!!"),"",IF(NOT(ISNA(VLOOKUP(E549,E$1:E548,1,FALSE()))),"OLD",IF(AND(E549&lt;&gt;"",E549&lt;&gt;"!!!"),"NEW","")))</f>
        <v/>
      </c>
      <c r="G549" s="22" t="str">
        <f>IF(OR(E549="",E549="!!!"),"",IF(OR(J549=0,AND(J549=1,K549=1),AND(J549=1,I549="SBJ"),AND(J549=1,I549=0)),"?IN_FOCUS",IF(J549&lt;=2,"?ACTIVATED",IF(J549&lt;&gt;"","?FAMILIAR",IF(F549="NEW",IF(ISNA(VLOOKUP(E549,#REF!,1,FALSE())),"?TYPE_IDENTIFIABLE","?REFERENTIAL"),"_")))))</f>
        <v/>
      </c>
      <c r="H549" s="23" t="str">
        <f t="shared" ca="1" si="39"/>
        <v/>
      </c>
      <c r="I549" s="24" t="str">
        <f>IF(OR(E549="",E549="!!!",F549="NEW"),"",INDEX(B$2:B548,-1+SUMPRODUCT(MAX(ROW(E$2:E548)*(E549=E$2:E548)))))</f>
        <v/>
      </c>
      <c r="J549" s="24" t="str">
        <f ca="1">IF(OR(E549="",E549="!!!",F549="NEW"),"",COUNTBLANK(OFFSET(A$1,,,SUMPRODUCT(MAX(ROW(E$2:E549)*(E549=E$2:E549)))))-COUNTBLANK(OFFSET(A$1,,,SUMPRODUCT(MAX(ROW(E$1:E548)*(E2=E$1:E548))))))</f>
        <v/>
      </c>
      <c r="K549" s="24" t="str">
        <f>IF(OR(E549="",E549="!!!",F549="NEW"),"",INDEX(J$1:J548,SUMPRODUCT(MAX(ROW(E$1:E548)*(E549=E$1:E548)))))</f>
        <v/>
      </c>
      <c r="L549" s="25"/>
    </row>
    <row r="550" spans="1:12" x14ac:dyDescent="0.3">
      <c r="A550" t="s">
        <v>287</v>
      </c>
      <c r="E550" s="20" t="str">
        <f t="shared" si="38"/>
        <v/>
      </c>
      <c r="F550" s="21" t="str">
        <f>IF(OR(E550="",E550="!!!"),"",IF(NOT(ISNA(VLOOKUP(E550,E$1:E549,1,FALSE()))),"OLD",IF(AND(E550&lt;&gt;"",E550&lt;&gt;"!!!"),"NEW","")))</f>
        <v/>
      </c>
      <c r="G550" s="22" t="str">
        <f>IF(OR(E550="",E550="!!!"),"",IF(OR(J550=0,AND(J550=1,K550=1),AND(J550=1,I550="SBJ"),AND(J550=1,I550=0)),"?IN_FOCUS",IF(J550&lt;=2,"?ACTIVATED",IF(J550&lt;&gt;"","?FAMILIAR",IF(F550="NEW",IF(ISNA(VLOOKUP(E550,#REF!,1,FALSE())),"?TYPE_IDENTIFIABLE","?REFERENTIAL"),"_")))))</f>
        <v/>
      </c>
      <c r="H550" s="23" t="str">
        <f t="shared" ca="1" si="39"/>
        <v/>
      </c>
      <c r="I550" s="24" t="str">
        <f>IF(OR(E550="",E550="!!!",F550="NEW"),"",INDEX(B$2:B549,-1+SUMPRODUCT(MAX(ROW(E$2:E549)*(E550=E$2:E549)))))</f>
        <v/>
      </c>
      <c r="J550" s="24" t="str">
        <f ca="1">IF(OR(E550="",E550="!!!",F550="NEW"),"",COUNTBLANK(OFFSET(A$1,,,SUMPRODUCT(MAX(ROW(E$2:E550)*(E550=E$2:E550)))))-COUNTBLANK(OFFSET(A$1,,,SUMPRODUCT(MAX(ROW(E$1:E549)*(E2=E$1:E549))))))</f>
        <v/>
      </c>
      <c r="K550" s="24" t="str">
        <f>IF(OR(E550="",E550="!!!",F550="NEW"),"",INDEX(J$1:J549,SUMPRODUCT(MAX(ROW(E$1:E549)*(E550=E$1:E549)))))</f>
        <v/>
      </c>
      <c r="L550" s="25"/>
    </row>
    <row r="551" spans="1:12" x14ac:dyDescent="0.3">
      <c r="A551" t="s">
        <v>205</v>
      </c>
      <c r="E551" s="20" t="str">
        <f t="shared" si="38"/>
        <v/>
      </c>
      <c r="F551" s="21" t="str">
        <f>IF(OR(E551="",E551="!!!"),"",IF(NOT(ISNA(VLOOKUP(E551,E$1:E550,1,FALSE()))),"OLD",IF(AND(E551&lt;&gt;"",E551&lt;&gt;"!!!"),"NEW","")))</f>
        <v/>
      </c>
      <c r="G551" s="22" t="str">
        <f>IF(OR(E551="",E551="!!!"),"",IF(OR(J551=0,AND(J551=1,K551=1),AND(J551=1,I551="SBJ"),AND(J551=1,I551=0)),"?IN_FOCUS",IF(J551&lt;=2,"?ACTIVATED",IF(J551&lt;&gt;"","?FAMILIAR",IF(F551="NEW",IF(ISNA(VLOOKUP(E551,#REF!,1,FALSE())),"?TYPE_IDENTIFIABLE","?REFERENTIAL"),"_")))))</f>
        <v/>
      </c>
      <c r="H551" s="23" t="str">
        <f t="shared" ca="1" si="39"/>
        <v/>
      </c>
      <c r="I551" s="24" t="str">
        <f>IF(OR(E551="",E551="!!!",F551="NEW"),"",INDEX(B$2:B550,-1+SUMPRODUCT(MAX(ROW(E$2:E550)*(E551=E$2:E550)))))</f>
        <v/>
      </c>
      <c r="J551" s="24" t="str">
        <f ca="1">IF(OR(E551="",E551="!!!",F551="NEW"),"",COUNTBLANK(OFFSET(A$1,,,SUMPRODUCT(MAX(ROW(E$2:E551)*(E551=E$2:E551)))))-COUNTBLANK(OFFSET(A$1,,,SUMPRODUCT(MAX(ROW(E$1:E550)*(E2=E$1:E550))))))</f>
        <v/>
      </c>
      <c r="K551" s="24" t="str">
        <f>IF(OR(E551="",E551="!!!",F551="NEW"),"",INDEX(J$1:J550,SUMPRODUCT(MAX(ROW(E$1:E550)*(E551=E$1:E550)))))</f>
        <v/>
      </c>
      <c r="L551" s="25"/>
    </row>
    <row r="552" spans="1:12" x14ac:dyDescent="0.3">
      <c r="A552" t="s">
        <v>485</v>
      </c>
      <c r="E552" s="20" t="str">
        <f t="shared" si="38"/>
        <v/>
      </c>
      <c r="F552" s="21" t="str">
        <f>IF(OR(E552="",E552="!!!"),"",IF(NOT(ISNA(VLOOKUP(E552,E$1:E551,1,FALSE()))),"OLD",IF(AND(E552&lt;&gt;"",E552&lt;&gt;"!!!"),"NEW","")))</f>
        <v/>
      </c>
      <c r="G552" s="22" t="str">
        <f>IF(OR(E552="",E552="!!!"),"",IF(OR(J552=0,AND(J552=1,K552=1),AND(J552=1,I552="SBJ"),AND(J552=1,I552=0)),"?IN_FOCUS",IF(J552&lt;=2,"?ACTIVATED",IF(J552&lt;&gt;"","?FAMILIAR",IF(F552="NEW",IF(ISNA(VLOOKUP(E552,#REF!,1,FALSE())),"?TYPE_IDENTIFIABLE","?REFERENTIAL"),"_")))))</f>
        <v/>
      </c>
      <c r="H552" s="23" t="str">
        <f t="shared" ca="1" si="39"/>
        <v/>
      </c>
      <c r="I552" s="24" t="str">
        <f>IF(OR(E552="",E552="!!!",F552="NEW"),"",INDEX(B$2:B551,-1+SUMPRODUCT(MAX(ROW(E$2:E551)*(E552=E$2:E551)))))</f>
        <v/>
      </c>
      <c r="J552" s="24" t="str">
        <f ca="1">IF(OR(E552="",E552="!!!",F552="NEW"),"",COUNTBLANK(OFFSET(A$1,,,SUMPRODUCT(MAX(ROW(E$2:E552)*(E552=E$2:E552)))))-COUNTBLANK(OFFSET(A$1,,,SUMPRODUCT(MAX(ROW(E$1:E551)*(E2=E$1:E551))))))</f>
        <v/>
      </c>
      <c r="K552" s="24" t="str">
        <f>IF(OR(E552="",E552="!!!",F552="NEW"),"",INDEX(J$1:J551,SUMPRODUCT(MAX(ROW(E$1:E551)*(E552=E$1:E551)))))</f>
        <v/>
      </c>
      <c r="L552" s="25"/>
    </row>
    <row r="553" spans="1:12" x14ac:dyDescent="0.3">
      <c r="A553" t="s">
        <v>486</v>
      </c>
      <c r="B553" s="26" t="s">
        <v>484</v>
      </c>
      <c r="C553" s="26" t="s">
        <v>226</v>
      </c>
      <c r="E553" s="20" t="str">
        <f t="shared" si="38"/>
        <v/>
      </c>
      <c r="F553" s="21" t="str">
        <f>IF(OR(E553="",E553="!!!"),"",IF(NOT(ISNA(VLOOKUP(E553,E$1:E552,1,FALSE()))),"OLD",IF(AND(E553&lt;&gt;"",E553&lt;&gt;"!!!"),"NEW","")))</f>
        <v/>
      </c>
      <c r="G553" s="22" t="str">
        <f>IF(OR(E553="",E553="!!!"),"",IF(OR(J553=0,AND(J553=1,K553=1),AND(J553=1,I553="SBJ"),AND(J553=1,I553=0)),"?IN_FOCUS",IF(J553&lt;=2,"?ACTIVATED",IF(J553&lt;&gt;"","?FAMILIAR",IF(F553="NEW",IF(ISNA(VLOOKUP(E553,#REF!,1,FALSE())),"?TYPE_IDENTIFIABLE","?REFERENTIAL"),"_")))))</f>
        <v/>
      </c>
      <c r="H553" s="23" t="str">
        <f t="shared" ca="1" si="39"/>
        <v/>
      </c>
      <c r="I553" s="24" t="str">
        <f>IF(OR(E553="",E553="!!!",F553="NEW"),"",INDEX(B$2:B552,-1+SUMPRODUCT(MAX(ROW(E$2:E552)*(E553=E$2:E552)))))</f>
        <v/>
      </c>
      <c r="J553" s="24" t="str">
        <f ca="1">IF(OR(E553="",E553="!!!",F553="NEW"),"",COUNTBLANK(OFFSET(A$1,,,SUMPRODUCT(MAX(ROW(E$2:E553)*(E553=E$2:E553)))))-COUNTBLANK(OFFSET(A$1,,,SUMPRODUCT(MAX(ROW(E$1:E552)*(E2=E$1:E552))))))</f>
        <v/>
      </c>
      <c r="K553" s="24" t="str">
        <f>IF(OR(E553="",E553="!!!",F553="NEW"),"",INDEX(J$1:J552,SUMPRODUCT(MAX(ROW(E$1:E552)*(E553=E$1:E552)))))</f>
        <v/>
      </c>
      <c r="L553" s="25"/>
    </row>
    <row r="554" spans="1:12" x14ac:dyDescent="0.3">
      <c r="A554" t="s">
        <v>223</v>
      </c>
      <c r="E554" s="20" t="str">
        <f t="shared" si="38"/>
        <v/>
      </c>
      <c r="F554" s="21" t="str">
        <f>IF(OR(E554="",E554="!!!"),"",IF(NOT(ISNA(VLOOKUP(E554,E$1:E553,1,FALSE()))),"OLD",IF(AND(E554&lt;&gt;"",E554&lt;&gt;"!!!"),"NEW","")))</f>
        <v/>
      </c>
      <c r="G554" s="22" t="str">
        <f>IF(OR(E554="",E554="!!!"),"",IF(OR(J554=0,AND(J554=1,K554=1),AND(J554=1,I554="SBJ"),AND(J554=1,I554=0)),"?IN_FOCUS",IF(J554&lt;=2,"?ACTIVATED",IF(J554&lt;&gt;"","?FAMILIAR",IF(F554="NEW",IF(ISNA(VLOOKUP(E554,#REF!,1,FALSE())),"?TYPE_IDENTIFIABLE","?REFERENTIAL"),"_")))))</f>
        <v/>
      </c>
      <c r="H554" s="23" t="str">
        <f t="shared" ca="1" si="39"/>
        <v/>
      </c>
      <c r="I554" s="24" t="str">
        <f>IF(OR(E554="",E554="!!!",F554="NEW"),"",INDEX(B$2:B553,-1+SUMPRODUCT(MAX(ROW(E$2:E553)*(E554=E$2:E553)))))</f>
        <v/>
      </c>
      <c r="J554" s="24" t="str">
        <f ca="1">IF(OR(E554="",E554="!!!",F554="NEW"),"",COUNTBLANK(OFFSET(A$1,,,SUMPRODUCT(MAX(ROW(E$2:E554)*(E554=E$2:E554)))))-COUNTBLANK(OFFSET(A$1,,,SUMPRODUCT(MAX(ROW(E$1:E553)*(E2=E$1:E553))))))</f>
        <v/>
      </c>
      <c r="K554" s="24" t="str">
        <f>IF(OR(E554="",E554="!!!",F554="NEW"),"",INDEX(J$1:J553,SUMPRODUCT(MAX(ROW(E$1:E553)*(E554=E$1:E553)))))</f>
        <v/>
      </c>
      <c r="L554" s="25"/>
    </row>
    <row r="555" spans="1:12" x14ac:dyDescent="0.3">
      <c r="A555" t="s">
        <v>487</v>
      </c>
      <c r="E555" s="20" t="str">
        <f t="shared" si="38"/>
        <v/>
      </c>
      <c r="F555" s="21" t="str">
        <f>IF(OR(E555="",E555="!!!"),"",IF(NOT(ISNA(VLOOKUP(E555,E$1:E554,1,FALSE()))),"OLD",IF(AND(E555&lt;&gt;"",E555&lt;&gt;"!!!"),"NEW","")))</f>
        <v/>
      </c>
      <c r="G555" s="22" t="str">
        <f>IF(OR(E555="",E555="!!!"),"",IF(OR(J555=0,AND(J555=1,K555=1),AND(J555=1,I555="SBJ"),AND(J555=1,I555=0)),"?IN_FOCUS",IF(J555&lt;=2,"?ACTIVATED",IF(J555&lt;&gt;"","?FAMILIAR",IF(F555="NEW",IF(ISNA(VLOOKUP(E555,#REF!,1,FALSE())),"?TYPE_IDENTIFIABLE","?REFERENTIAL"),"_")))))</f>
        <v/>
      </c>
      <c r="H555" s="23" t="str">
        <f t="shared" ca="1" si="39"/>
        <v/>
      </c>
      <c r="I555" s="24" t="str">
        <f>IF(OR(E555="",E555="!!!",F555="NEW"),"",INDEX(B$2:B554,-1+SUMPRODUCT(MAX(ROW(E$2:E554)*(E555=E$2:E554)))))</f>
        <v/>
      </c>
      <c r="J555" s="24" t="str">
        <f ca="1">IF(OR(E555="",E555="!!!",F555="NEW"),"",COUNTBLANK(OFFSET(A$1,,,SUMPRODUCT(MAX(ROW(E$2:E555)*(E555=E$2:E555)))))-COUNTBLANK(OFFSET(A$1,,,SUMPRODUCT(MAX(ROW(E$1:E554)*(E2=E$1:E554))))))</f>
        <v/>
      </c>
      <c r="K555" s="24" t="str">
        <f>IF(OR(E555="",E555="!!!",F555="NEW"),"",INDEX(J$1:J554,SUMPRODUCT(MAX(ROW(E$1:E554)*(E555=E$1:E554)))))</f>
        <v/>
      </c>
      <c r="L555" s="25"/>
    </row>
    <row r="556" spans="1:12" x14ac:dyDescent="0.3">
      <c r="A556" t="s">
        <v>248</v>
      </c>
      <c r="E556" s="20" t="str">
        <f t="shared" si="38"/>
        <v/>
      </c>
      <c r="F556" s="21" t="str">
        <f>IF(OR(E556="",E556="!!!"),"",IF(NOT(ISNA(VLOOKUP(E556,E$1:E555,1,FALSE()))),"OLD",IF(AND(E556&lt;&gt;"",E556&lt;&gt;"!!!"),"NEW","")))</f>
        <v/>
      </c>
      <c r="G556" s="22" t="str">
        <f>IF(OR(E556="",E556="!!!"),"",IF(OR(J556=0,AND(J556=1,K556=1),AND(J556=1,I556="SBJ"),AND(J556=1,I556=0)),"?IN_FOCUS",IF(J556&lt;=2,"?ACTIVATED",IF(J556&lt;&gt;"","?FAMILIAR",IF(F556="NEW",IF(ISNA(VLOOKUP(E556,#REF!,1,FALSE())),"?TYPE_IDENTIFIABLE","?REFERENTIAL"),"_")))))</f>
        <v/>
      </c>
      <c r="H556" s="23" t="str">
        <f t="shared" ca="1" si="39"/>
        <v/>
      </c>
      <c r="I556" s="24" t="str">
        <f>IF(OR(E556="",E556="!!!",F556="NEW"),"",INDEX(B$2:B555,-1+SUMPRODUCT(MAX(ROW(E$2:E555)*(E556=E$2:E555)))))</f>
        <v/>
      </c>
      <c r="J556" s="24" t="str">
        <f ca="1">IF(OR(E556="",E556="!!!",F556="NEW"),"",COUNTBLANK(OFFSET(A$1,,,SUMPRODUCT(MAX(ROW(E$2:E556)*(E556=E$2:E556)))))-COUNTBLANK(OFFSET(A$1,,,SUMPRODUCT(MAX(ROW(E$1:E555)*(E2=E$1:E555))))))</f>
        <v/>
      </c>
      <c r="K556" s="24" t="str">
        <f>IF(OR(E556="",E556="!!!",F556="NEW"),"",INDEX(J$1:J555,SUMPRODUCT(MAX(ROW(E$1:E555)*(E556=E$1:E555)))))</f>
        <v/>
      </c>
      <c r="L556" s="25"/>
    </row>
    <row r="557" spans="1:12" x14ac:dyDescent="0.3">
      <c r="A557" t="s">
        <v>488</v>
      </c>
      <c r="B557" s="26" t="s">
        <v>489</v>
      </c>
      <c r="C557" s="26" t="s">
        <v>226</v>
      </c>
      <c r="E557" s="20" t="str">
        <f t="shared" si="38"/>
        <v/>
      </c>
      <c r="F557" s="21" t="str">
        <f>IF(OR(E557="",E557="!!!"),"",IF(NOT(ISNA(VLOOKUP(E557,E$1:E556,1,FALSE()))),"OLD",IF(AND(E557&lt;&gt;"",E557&lt;&gt;"!!!"),"NEW","")))</f>
        <v/>
      </c>
      <c r="G557" s="22" t="str">
        <f>IF(OR(E557="",E557="!!!"),"",IF(OR(J557=0,AND(J557=1,K557=1),AND(J557=1,I557="SBJ"),AND(J557=1,I557=0)),"?IN_FOCUS",IF(J557&lt;=2,"?ACTIVATED",IF(J557&lt;&gt;"","?FAMILIAR",IF(F557="NEW",IF(ISNA(VLOOKUP(E557,#REF!,1,FALSE())),"?TYPE_IDENTIFIABLE","?REFERENTIAL"),"_")))))</f>
        <v/>
      </c>
      <c r="H557" s="23" t="str">
        <f t="shared" ca="1" si="39"/>
        <v/>
      </c>
      <c r="I557" s="24" t="str">
        <f>IF(OR(E557="",E557="!!!",F557="NEW"),"",INDEX(B$2:B556,-1+SUMPRODUCT(MAX(ROW(E$2:E556)*(E557=E$2:E556)))))</f>
        <v/>
      </c>
      <c r="J557" s="24" t="str">
        <f ca="1">IF(OR(E557="",E557="!!!",F557="NEW"),"",COUNTBLANK(OFFSET(A$1,,,SUMPRODUCT(MAX(ROW(E$2:E557)*(E557=E$2:E557)))))-COUNTBLANK(OFFSET(A$1,,,SUMPRODUCT(MAX(ROW(E$1:E556)*(E2=E$1:E556))))))</f>
        <v/>
      </c>
      <c r="K557" s="24" t="str">
        <f>IF(OR(E557="",E557="!!!",F557="NEW"),"",INDEX(J$1:J556,SUMPRODUCT(MAX(ROW(E$1:E556)*(E557=E$1:E556)))))</f>
        <v/>
      </c>
      <c r="L557" s="25"/>
    </row>
    <row r="558" spans="1:12" x14ac:dyDescent="0.3">
      <c r="A558" t="s">
        <v>234</v>
      </c>
      <c r="E558" s="20" t="str">
        <f t="shared" si="38"/>
        <v/>
      </c>
      <c r="F558" s="21" t="str">
        <f>IF(OR(E558="",E558="!!!"),"",IF(NOT(ISNA(VLOOKUP(E558,E$1:E557,1,FALSE()))),"OLD",IF(AND(E558&lt;&gt;"",E558&lt;&gt;"!!!"),"NEW","")))</f>
        <v/>
      </c>
      <c r="G558" s="22" t="str">
        <f>IF(OR(E558="",E558="!!!"),"",IF(OR(J558=0,AND(J558=1,K558=1),AND(J558=1,I558="SBJ"),AND(J558=1,I558=0)),"?IN_FOCUS",IF(J558&lt;=2,"?ACTIVATED",IF(J558&lt;&gt;"","?FAMILIAR",IF(F558="NEW",IF(ISNA(VLOOKUP(E558,#REF!,1,FALSE())),"?TYPE_IDENTIFIABLE","?REFERENTIAL"),"_")))))</f>
        <v/>
      </c>
      <c r="H558" s="23" t="str">
        <f t="shared" ca="1" si="39"/>
        <v/>
      </c>
      <c r="I558" s="24" t="str">
        <f>IF(OR(E558="",E558="!!!",F558="NEW"),"",INDEX(B$2:B557,-1+SUMPRODUCT(MAX(ROW(E$2:E557)*(E558=E$2:E557)))))</f>
        <v/>
      </c>
      <c r="J558" s="24" t="str">
        <f ca="1">IF(OR(E558="",E558="!!!",F558="NEW"),"",COUNTBLANK(OFFSET(A$1,,,SUMPRODUCT(MAX(ROW(E$2:E558)*(E558=E$2:E558)))))-COUNTBLANK(OFFSET(A$1,,,SUMPRODUCT(MAX(ROW(E$1:E557)*(E2=E$1:E557))))))</f>
        <v/>
      </c>
      <c r="K558" s="24" t="str">
        <f>IF(OR(E558="",E558="!!!",F558="NEW"),"",INDEX(J$1:J557,SUMPRODUCT(MAX(ROW(E$1:E557)*(E558=E$1:E557)))))</f>
        <v/>
      </c>
      <c r="L558" s="25"/>
    </row>
    <row r="560" spans="1:12" x14ac:dyDescent="0.3">
      <c r="A560" t="s">
        <v>490</v>
      </c>
    </row>
    <row r="561" spans="1:12" x14ac:dyDescent="0.3">
      <c r="A561" t="s">
        <v>491</v>
      </c>
      <c r="E561" s="20" t="str">
        <f>IF(D561="?OLD","!!!","")</f>
        <v/>
      </c>
      <c r="F561" s="21" t="str">
        <f>IF(OR(E561="",E561="!!!"),"",IF(NOT(ISNA(VLOOKUP(E561,E$1:E560,1,FALSE()))),"OLD",IF(AND(E561&lt;&gt;"",E561&lt;&gt;"!!!"),"NEW","")))</f>
        <v/>
      </c>
      <c r="G561" s="22" t="str">
        <f>IF(OR(E561="",E561="!!!"),"",IF(OR(J561=0,AND(J561=1,K561=1),AND(J561=1,I561="SBJ"),AND(J561=1,I561=0)),"?IN_FOCUS",IF(J561&lt;=2,"?ACTIVATED",IF(J561&lt;&gt;"","?FAMILIAR",IF(F561="NEW",IF(ISNA(VLOOKUP(E561,#REF!,1,FALSE())),"?TYPE_IDENTIFIABLE","?REFERENTIAL"),"_")))))</f>
        <v/>
      </c>
      <c r="H561" s="23" t="str">
        <f ca="1">IF(J561&lt;&gt;1,"",IF(I561="SBJ","CB","?"))</f>
        <v/>
      </c>
      <c r="I561" s="24" t="str">
        <f>IF(OR(E561="",E561="!!!",F561="NEW"),"",INDEX(B$2:B560,-1+SUMPRODUCT(MAX(ROW(E$2:E560)*(E561=E$2:E560)))))</f>
        <v/>
      </c>
      <c r="J561" s="24" t="str">
        <f ca="1">IF(OR(E561="",E561="!!!",F561="NEW"),"",COUNTBLANK(OFFSET(A$1,,,SUMPRODUCT(MAX(ROW(E$2:E561)*(E561=E$2:E561)))))-COUNTBLANK(OFFSET(A$1,,,SUMPRODUCT(MAX(ROW(E$1:E560)*(E2=E$1:E560))))))</f>
        <v/>
      </c>
      <c r="K561" s="24" t="str">
        <f>IF(OR(E561="",E561="!!!",F561="NEW"),"",INDEX(J$1:J560,SUMPRODUCT(MAX(ROW(E$1:E560)*(E561=E$1:E560)))))</f>
        <v/>
      </c>
      <c r="L561" s="25"/>
    </row>
    <row r="562" spans="1:12" x14ac:dyDescent="0.3">
      <c r="A562" t="s">
        <v>492</v>
      </c>
      <c r="B562" s="26" t="s">
        <v>205</v>
      </c>
      <c r="C562" s="26" t="s">
        <v>214</v>
      </c>
      <c r="D562" s="26" t="s">
        <v>215</v>
      </c>
      <c r="E562" s="20"/>
      <c r="F562" s="21" t="str">
        <f>IF(OR(E562="",E562="!!!"),"",IF(NOT(ISNA(VLOOKUP(E562,E$1:E561,1,FALSE()))),"OLD",IF(AND(E562&lt;&gt;"",E562&lt;&gt;"!!!"),"NEW","")))</f>
        <v/>
      </c>
      <c r="G562" s="22" t="str">
        <f>IF(OR(E562="",E562="!!!"),"",IF(OR(J562=0,AND(J562=1,K562=1),AND(J562=1,I562="SBJ"),AND(J562=1,I562=0)),"?IN_FOCUS",IF(J562&lt;=2,"?ACTIVATED",IF(J562&lt;&gt;"","?FAMILIAR",IF(F562="NEW",IF(ISNA(VLOOKUP(E562,#REF!,1,FALSE())),"?TYPE_IDENTIFIABLE","?REFERENTIAL"),"_")))))</f>
        <v/>
      </c>
      <c r="H562" s="23" t="str">
        <f ca="1">IF(J562&lt;&gt;1,"",IF(I562="SBJ","CB","?"))</f>
        <v/>
      </c>
      <c r="I562" s="24" t="str">
        <f>IF(OR(E562="",E562="!!!",F562="NEW"),"",INDEX(B$2:B561,-1+SUMPRODUCT(MAX(ROW(E$2:E561)*(E562=E$2:E561)))))</f>
        <v/>
      </c>
      <c r="J562" s="24" t="str">
        <f ca="1">IF(OR(E562="",E562="!!!",F562="NEW"),"",COUNTBLANK(OFFSET(A$1,,,SUMPRODUCT(MAX(ROW(E$2:E562)*(E562=E$2:E562)))))-COUNTBLANK(OFFSET(A$1,,,SUMPRODUCT(MAX(ROW(E$1:E561)*(E2=E$1:E561))))))</f>
        <v/>
      </c>
      <c r="K562" s="24" t="str">
        <f>IF(OR(E562="",E562="!!!",F562="NEW"),"",INDEX(J$1:J561,SUMPRODUCT(MAX(ROW(E$1:E561)*(E562=E$1:E561)))))</f>
        <v/>
      </c>
      <c r="L562" s="25" t="s">
        <v>704</v>
      </c>
    </row>
    <row r="563" spans="1:12" x14ac:dyDescent="0.3">
      <c r="A563" t="s">
        <v>493</v>
      </c>
      <c r="E563" s="20" t="str">
        <f>IF(D563="?OLD","!!!","")</f>
        <v/>
      </c>
      <c r="F563" s="21" t="str">
        <f>IF(OR(E563="",E563="!!!"),"",IF(NOT(ISNA(VLOOKUP(E563,E$1:E562,1,FALSE()))),"OLD",IF(AND(E563&lt;&gt;"",E563&lt;&gt;"!!!"),"NEW","")))</f>
        <v/>
      </c>
      <c r="G563" s="22" t="str">
        <f>IF(OR(E563="",E563="!!!"),"",IF(OR(J563=0,AND(J563=1,K563=1),AND(J563=1,I563="SBJ"),AND(J563=1,I563=0)),"?IN_FOCUS",IF(J563&lt;=2,"?ACTIVATED",IF(J563&lt;&gt;"","?FAMILIAR",IF(F563="NEW",IF(ISNA(VLOOKUP(E563,#REF!,1,FALSE())),"?TYPE_IDENTIFIABLE","?REFERENTIAL"),"_")))))</f>
        <v/>
      </c>
      <c r="H563" s="23" t="str">
        <f ca="1">IF(J563&lt;&gt;1,"",IF(I563="SBJ","CB","?"))</f>
        <v/>
      </c>
      <c r="I563" s="24" t="str">
        <f>IF(OR(E563="",E563="!!!",F563="NEW"),"",INDEX(B$2:B562,-1+SUMPRODUCT(MAX(ROW(E$2:E562)*(E563=E$2:E562)))))</f>
        <v/>
      </c>
      <c r="J563" s="24" t="str">
        <f ca="1">IF(OR(E563="",E563="!!!",F563="NEW"),"",COUNTBLANK(OFFSET(A$1,,,SUMPRODUCT(MAX(ROW(E$2:E563)*(E563=E$2:E563)))))-COUNTBLANK(OFFSET(A$1,,,SUMPRODUCT(MAX(ROW(E$1:E562)*(E2=E$1:E562))))))</f>
        <v/>
      </c>
      <c r="K563" s="24" t="str">
        <f>IF(OR(E563="",E563="!!!",F563="NEW"),"",INDEX(J$1:J562,SUMPRODUCT(MAX(ROW(E$1:E562)*(E563=E$1:E562)))))</f>
        <v/>
      </c>
      <c r="L563" s="25"/>
    </row>
    <row r="565" spans="1:12" x14ac:dyDescent="0.3">
      <c r="A565" t="s">
        <v>494</v>
      </c>
    </row>
    <row r="566" spans="1:12" x14ac:dyDescent="0.3">
      <c r="A566" t="s">
        <v>495</v>
      </c>
      <c r="E566" s="20" t="str">
        <f t="shared" ref="E566:E572" si="40">IF(D566="?OLD","!!!","")</f>
        <v/>
      </c>
      <c r="F566" s="21" t="str">
        <f>IF(OR(E566="",E566="!!!"),"",IF(NOT(ISNA(VLOOKUP(E566,E$1:E565,1,FALSE()))),"OLD",IF(AND(E566&lt;&gt;"",E566&lt;&gt;"!!!"),"NEW","")))</f>
        <v/>
      </c>
      <c r="G566" s="22" t="str">
        <f>IF(OR(E566="",E566="!!!"),"",IF(OR(J566=0,AND(J566=1,K566=1),AND(J566=1,I566="SBJ"),AND(J566=1,I566=0)),"?IN_FOCUS",IF(J566&lt;=2,"?ACTIVATED",IF(J566&lt;&gt;"","?FAMILIAR",IF(F566="NEW",IF(ISNA(VLOOKUP(E566,#REF!,1,FALSE())),"?TYPE_IDENTIFIABLE","?REFERENTIAL"),"_")))))</f>
        <v/>
      </c>
      <c r="H566" s="23" t="str">
        <f t="shared" ref="H566:H572" ca="1" si="41">IF(J566&lt;&gt;1,"",IF(I566="SBJ","CB","?"))</f>
        <v/>
      </c>
      <c r="I566" s="24" t="str">
        <f>IF(OR(E566="",E566="!!!",F566="NEW"),"",INDEX(B$2:B565,-1+SUMPRODUCT(MAX(ROW(E$2:E565)*(E566=E$2:E565)))))</f>
        <v/>
      </c>
      <c r="J566" s="24" t="str">
        <f ca="1">IF(OR(E566="",E566="!!!",F566="NEW"),"",COUNTBLANK(OFFSET(A$1,,,SUMPRODUCT(MAX(ROW(E$2:E566)*(E566=E$2:E566)))))-COUNTBLANK(OFFSET(A$1,,,SUMPRODUCT(MAX(ROW(E$1:E565)*(E2=E$1:E565))))))</f>
        <v/>
      </c>
      <c r="K566" s="24" t="str">
        <f>IF(OR(E566="",E566="!!!",F566="NEW"),"",INDEX(J$1:J565,SUMPRODUCT(MAX(ROW(E$1:E565)*(E566=E$1:E565)))))</f>
        <v/>
      </c>
      <c r="L566" s="25"/>
    </row>
    <row r="567" spans="1:12" x14ac:dyDescent="0.3">
      <c r="A567" t="s">
        <v>207</v>
      </c>
      <c r="E567" s="20" t="str">
        <f t="shared" si="40"/>
        <v/>
      </c>
      <c r="F567" s="21" t="str">
        <f>IF(OR(E567="",E567="!!!"),"",IF(NOT(ISNA(VLOOKUP(E567,E$1:E566,1,FALSE()))),"OLD",IF(AND(E567&lt;&gt;"",E567&lt;&gt;"!!!"),"NEW","")))</f>
        <v/>
      </c>
      <c r="G567" s="22" t="str">
        <f>IF(OR(E567="",E567="!!!"),"",IF(OR(J567=0,AND(J567=1,K567=1),AND(J567=1,I567="SBJ"),AND(J567=1,I567=0)),"?IN_FOCUS",IF(J567&lt;=2,"?ACTIVATED",IF(J567&lt;&gt;"","?FAMILIAR",IF(F567="NEW",IF(ISNA(VLOOKUP(E567,#REF!,1,FALSE())),"?TYPE_IDENTIFIABLE","?REFERENTIAL"),"_")))))</f>
        <v/>
      </c>
      <c r="H567" s="23" t="str">
        <f t="shared" ca="1" si="41"/>
        <v/>
      </c>
      <c r="I567" s="24" t="str">
        <f>IF(OR(E567="",E567="!!!",F567="NEW"),"",INDEX(B$2:B566,-1+SUMPRODUCT(MAX(ROW(E$2:E566)*(E567=E$2:E566)))))</f>
        <v/>
      </c>
      <c r="J567" s="24" t="str">
        <f ca="1">IF(OR(E567="",E567="!!!",F567="NEW"),"",COUNTBLANK(OFFSET(A$1,,,SUMPRODUCT(MAX(ROW(E$2:E567)*(E567=E$2:E567)))))-COUNTBLANK(OFFSET(A$1,,,SUMPRODUCT(MAX(ROW(E$1:E566)*(E2=E$1:E566))))))</f>
        <v/>
      </c>
      <c r="K567" s="24" t="str">
        <f>IF(OR(E567="",E567="!!!",F567="NEW"),"",INDEX(J$1:J566,SUMPRODUCT(MAX(ROW(E$1:E566)*(E567=E$1:E566)))))</f>
        <v/>
      </c>
      <c r="L567" s="25"/>
    </row>
    <row r="568" spans="1:12" x14ac:dyDescent="0.3">
      <c r="A568" t="s">
        <v>257</v>
      </c>
      <c r="B568" s="26" t="s">
        <v>213</v>
      </c>
      <c r="C568" s="26" t="s">
        <v>230</v>
      </c>
      <c r="D568" s="26" t="s">
        <v>215</v>
      </c>
      <c r="E568" s="20" t="s">
        <v>739</v>
      </c>
      <c r="F568" s="21" t="str">
        <f>IF(OR(E568="",E568="!!!"),"",IF(NOT(ISNA(VLOOKUP(E568,E$1:E567,1,FALSE()))),"OLD",IF(AND(E568&lt;&gt;"",E568&lt;&gt;"!!!"),"NEW","")))</f>
        <v>OLD</v>
      </c>
      <c r="G568" s="22" t="str">
        <f ca="1">IF(OR(E568="",E568="!!!"),"",IF(OR(J568=0,AND(J568=1,K568=1),AND(J568=1,I568="SBJ"),AND(J568=1,I568=0)),"?IN_FOCUS",IF(J568&lt;=2,"?ACTIVATED",IF(J568&lt;&gt;"","?FAMILIAR",IF(F568="NEW",IF(ISNA(VLOOKUP(E568,#REF!,1,FALSE())),"?TYPE_IDENTIFIABLE","?REFERENTIAL"),"_")))))</f>
        <v>?IN_FOCUS</v>
      </c>
      <c r="H568" s="23" t="s">
        <v>198</v>
      </c>
      <c r="I568" s="24" t="str">
        <f>IF(OR(E568="",E568="!!!",F568="NEW"),"",INDEX(B$2:B567,-1+SUMPRODUCT(MAX(ROW(E$2:E567)*(E568=E$2:E567)))))</f>
        <v>SBJ_6</v>
      </c>
      <c r="J568" s="24">
        <f ca="1">IF(OR(E568="",E568="!!!",F568="NEW"),"",COUNTBLANK(OFFSET(A$1,,,SUMPRODUCT(MAX(ROW(E$2:E568)*(E568=E$2:E568)))))-COUNTBLANK(OFFSET(A$1,,,SUMPRODUCT(MAX(ROW(E$1:E567)*(E2=E$1:E567))))))</f>
        <v>0</v>
      </c>
      <c r="K568" s="24">
        <f ca="1">IF(OR(E568="",E568="!!!",F568="NEW"),"",INDEX(J$1:J567,SUMPRODUCT(MAX(ROW(E$1:E567)*(E568=E$1:E567)))))</f>
        <v>0</v>
      </c>
      <c r="L568" s="25"/>
    </row>
    <row r="569" spans="1:12" x14ac:dyDescent="0.3">
      <c r="A569" t="s">
        <v>362</v>
      </c>
      <c r="E569" s="20" t="str">
        <f t="shared" si="40"/>
        <v/>
      </c>
      <c r="F569" s="21" t="str">
        <f>IF(OR(E569="",E569="!!!"),"",IF(NOT(ISNA(VLOOKUP(E569,E$1:E568,1,FALSE()))),"OLD",IF(AND(E569&lt;&gt;"",E569&lt;&gt;"!!!"),"NEW","")))</f>
        <v/>
      </c>
      <c r="G569" s="22" t="str">
        <f>IF(OR(E569="",E569="!!!"),"",IF(OR(J569=0,AND(J569=1,K569=1),AND(J569=1,I569="SBJ"),AND(J569=1,I569=0)),"?IN_FOCUS",IF(J569&lt;=2,"?ACTIVATED",IF(J569&lt;&gt;"","?FAMILIAR",IF(F569="NEW",IF(ISNA(VLOOKUP(E569,#REF!,1,FALSE())),"?TYPE_IDENTIFIABLE","?REFERENTIAL"),"_")))))</f>
        <v/>
      </c>
      <c r="H569" s="23" t="str">
        <f t="shared" ca="1" si="41"/>
        <v/>
      </c>
      <c r="I569" s="24" t="str">
        <f>IF(OR(E569="",E569="!!!",F569="NEW"),"",INDEX(B$2:B568,-1+SUMPRODUCT(MAX(ROW(E$2:E568)*(E569=E$2:E568)))))</f>
        <v/>
      </c>
      <c r="J569" s="24" t="str">
        <f ca="1">IF(OR(E569="",E569="!!!",F569="NEW"),"",COUNTBLANK(OFFSET(A$1,,,SUMPRODUCT(MAX(ROW(E$2:E569)*(E569=E$2:E569)))))-COUNTBLANK(OFFSET(A$1,,,SUMPRODUCT(MAX(ROW(E$1:E568)*(E2=E$1:E568))))))</f>
        <v/>
      </c>
      <c r="K569" s="24" t="str">
        <f>IF(OR(E569="",E569="!!!",F569="NEW"),"",INDEX(J$1:J568,SUMPRODUCT(MAX(ROW(E$1:E568)*(E569=E$1:E568)))))</f>
        <v/>
      </c>
      <c r="L569" s="25"/>
    </row>
    <row r="570" spans="1:12" x14ac:dyDescent="0.3">
      <c r="A570" t="s">
        <v>457</v>
      </c>
      <c r="E570" s="20" t="str">
        <f t="shared" si="40"/>
        <v/>
      </c>
      <c r="F570" s="21" t="str">
        <f>IF(OR(E570="",E570="!!!"),"",IF(NOT(ISNA(VLOOKUP(E570,E$1:E569,1,FALSE()))),"OLD",IF(AND(E570&lt;&gt;"",E570&lt;&gt;"!!!"),"NEW","")))</f>
        <v/>
      </c>
      <c r="G570" s="22" t="str">
        <f>IF(OR(E570="",E570="!!!"),"",IF(OR(J570=0,AND(J570=1,K570=1),AND(J570=1,I570="SBJ"),AND(J570=1,I570=0)),"?IN_FOCUS",IF(J570&lt;=2,"?ACTIVATED",IF(J570&lt;&gt;"","?FAMILIAR",IF(F570="NEW",IF(ISNA(VLOOKUP(E570,#REF!,1,FALSE())),"?TYPE_IDENTIFIABLE","?REFERENTIAL"),"_")))))</f>
        <v/>
      </c>
      <c r="H570" s="23" t="str">
        <f t="shared" ca="1" si="41"/>
        <v/>
      </c>
      <c r="I570" s="24" t="str">
        <f>IF(OR(E570="",E570="!!!",F570="NEW"),"",INDEX(B$2:B569,-1+SUMPRODUCT(MAX(ROW(E$2:E569)*(E570=E$2:E569)))))</f>
        <v/>
      </c>
      <c r="J570" s="24" t="str">
        <f ca="1">IF(OR(E570="",E570="!!!",F570="NEW"),"",COUNTBLANK(OFFSET(A$1,,,SUMPRODUCT(MAX(ROW(E$2:E570)*(E570=E$2:E570)))))-COUNTBLANK(OFFSET(A$1,,,SUMPRODUCT(MAX(ROW(E$1:E569)*(E2=E$1:E569))))))</f>
        <v/>
      </c>
      <c r="K570" s="24" t="str">
        <f>IF(OR(E570="",E570="!!!",F570="NEW"),"",INDEX(J$1:J569,SUMPRODUCT(MAX(ROW(E$1:E569)*(E570=E$1:E569)))))</f>
        <v/>
      </c>
      <c r="L570" s="25"/>
    </row>
    <row r="571" spans="1:12" x14ac:dyDescent="0.3">
      <c r="A571" t="s">
        <v>247</v>
      </c>
      <c r="E571" s="20" t="str">
        <f t="shared" si="40"/>
        <v/>
      </c>
      <c r="F571" s="21" t="str">
        <f>IF(OR(E571="",E571="!!!"),"",IF(NOT(ISNA(VLOOKUP(E571,E$1:E570,1,FALSE()))),"OLD",IF(AND(E571&lt;&gt;"",E571&lt;&gt;"!!!"),"NEW","")))</f>
        <v/>
      </c>
      <c r="G571" s="22" t="str">
        <f>IF(OR(E571="",E571="!!!"),"",IF(OR(J571=0,AND(J571=1,K571=1),AND(J571=1,I571="SBJ"),AND(J571=1,I571=0)),"?IN_FOCUS",IF(J571&lt;=2,"?ACTIVATED",IF(J571&lt;&gt;"","?FAMILIAR",IF(F571="NEW",IF(ISNA(VLOOKUP(E571,#REF!,1,FALSE())),"?TYPE_IDENTIFIABLE","?REFERENTIAL"),"_")))))</f>
        <v/>
      </c>
      <c r="H571" s="23" t="str">
        <f t="shared" ca="1" si="41"/>
        <v/>
      </c>
      <c r="I571" s="24" t="str">
        <f>IF(OR(E571="",E571="!!!",F571="NEW"),"",INDEX(B$2:B570,-1+SUMPRODUCT(MAX(ROW(E$2:E570)*(E571=E$2:E570)))))</f>
        <v/>
      </c>
      <c r="J571" s="24" t="str">
        <f ca="1">IF(OR(E571="",E571="!!!",F571="NEW"),"",COUNTBLANK(OFFSET(A$1,,,SUMPRODUCT(MAX(ROW(E$2:E571)*(E571=E$2:E571)))))-COUNTBLANK(OFFSET(A$1,,,SUMPRODUCT(MAX(ROW(E$1:E570)*(E2=E$1:E570))))))</f>
        <v/>
      </c>
      <c r="K571" s="24" t="str">
        <f>IF(OR(E571="",E571="!!!",F571="NEW"),"",INDEX(J$1:J570,SUMPRODUCT(MAX(ROW(E$1:E570)*(E571=E$1:E570)))))</f>
        <v/>
      </c>
      <c r="L571" s="25"/>
    </row>
    <row r="572" spans="1:12" x14ac:dyDescent="0.3">
      <c r="A572" t="s">
        <v>234</v>
      </c>
      <c r="E572" s="20" t="str">
        <f t="shared" si="40"/>
        <v/>
      </c>
      <c r="F572" s="21" t="str">
        <f>IF(OR(E572="",E572="!!!"),"",IF(NOT(ISNA(VLOOKUP(E572,E$1:E571,1,FALSE()))),"OLD",IF(AND(E572&lt;&gt;"",E572&lt;&gt;"!!!"),"NEW","")))</f>
        <v/>
      </c>
      <c r="G572" s="22" t="str">
        <f>IF(OR(E572="",E572="!!!"),"",IF(OR(J572=0,AND(J572=1,K572=1),AND(J572=1,I572="SBJ"),AND(J572=1,I572=0)),"?IN_FOCUS",IF(J572&lt;=2,"?ACTIVATED",IF(J572&lt;&gt;"","?FAMILIAR",IF(F572="NEW",IF(ISNA(VLOOKUP(E572,#REF!,1,FALSE())),"?TYPE_IDENTIFIABLE","?REFERENTIAL"),"_")))))</f>
        <v/>
      </c>
      <c r="H572" s="23" t="str">
        <f t="shared" ca="1" si="41"/>
        <v/>
      </c>
      <c r="I572" s="24" t="str">
        <f>IF(OR(E572="",E572="!!!",F572="NEW"),"",INDEX(B$2:B571,-1+SUMPRODUCT(MAX(ROW(E$2:E571)*(E572=E$2:E571)))))</f>
        <v/>
      </c>
      <c r="J572" s="24" t="str">
        <f ca="1">IF(OR(E572="",E572="!!!",F572="NEW"),"",COUNTBLANK(OFFSET(A$1,,,SUMPRODUCT(MAX(ROW(E$2:E572)*(E572=E$2:E572)))))-COUNTBLANK(OFFSET(A$1,,,SUMPRODUCT(MAX(ROW(E$1:E571)*(E2=E$1:E571))))))</f>
        <v/>
      </c>
      <c r="K572" s="24" t="str">
        <f>IF(OR(E572="",E572="!!!",F572="NEW"),"",INDEX(J$1:J571,SUMPRODUCT(MAX(ROW(E$1:E571)*(E572=E$1:E571)))))</f>
        <v/>
      </c>
      <c r="L572" s="25"/>
    </row>
    <row r="574" spans="1:12" x14ac:dyDescent="0.3">
      <c r="A574" t="s">
        <v>496</v>
      </c>
    </row>
    <row r="575" spans="1:12" x14ac:dyDescent="0.3">
      <c r="A575" t="s">
        <v>236</v>
      </c>
      <c r="E575" s="20" t="str">
        <f t="shared" ref="E575:E586" si="42">IF(D575="?OLD","!!!","")</f>
        <v/>
      </c>
      <c r="F575" s="21" t="str">
        <f>IF(OR(E575="",E575="!!!"),"",IF(NOT(ISNA(VLOOKUP(E575,E$1:E574,1,FALSE()))),"OLD",IF(AND(E575&lt;&gt;"",E575&lt;&gt;"!!!"),"NEW","")))</f>
        <v/>
      </c>
      <c r="G575" s="22" t="str">
        <f>IF(OR(E575="",E575="!!!"),"",IF(OR(J575=0,AND(J575=1,K575=1),AND(J575=1,I575="SBJ"),AND(J575=1,I575=0)),"?IN_FOCUS",IF(J575&lt;=2,"?ACTIVATED",IF(J575&lt;&gt;"","?FAMILIAR",IF(F575="NEW",IF(ISNA(VLOOKUP(E575,#REF!,1,FALSE())),"?TYPE_IDENTIFIABLE","?REFERENTIAL"),"_")))))</f>
        <v/>
      </c>
      <c r="H575" s="23" t="str">
        <f t="shared" ref="H575:H586" ca="1" si="43">IF(J575&lt;&gt;1,"",IF(I575="SBJ","CB","?"))</f>
        <v/>
      </c>
      <c r="I575" s="24" t="str">
        <f>IF(OR(E575="",E575="!!!",F575="NEW"),"",INDEX(B$2:B574,-1+SUMPRODUCT(MAX(ROW(E$2:E574)*(E575=E$2:E574)))))</f>
        <v/>
      </c>
      <c r="J575" s="24" t="str">
        <f ca="1">IF(OR(E575="",E575="!!!",F575="NEW"),"",COUNTBLANK(OFFSET(A$1,,,SUMPRODUCT(MAX(ROW(E$2:E575)*(E575=E$2:E575)))))-COUNTBLANK(OFFSET(A$1,,,SUMPRODUCT(MAX(ROW(E$1:E574)*(E2=E$1:E574))))))</f>
        <v/>
      </c>
      <c r="K575" s="24" t="str">
        <f>IF(OR(E575="",E575="!!!",F575="NEW"),"",INDEX(J$1:J574,SUMPRODUCT(MAX(ROW(E$1:E574)*(E575=E$1:E574)))))</f>
        <v/>
      </c>
      <c r="L575" s="25"/>
    </row>
    <row r="576" spans="1:12" x14ac:dyDescent="0.3">
      <c r="A576" t="s">
        <v>257</v>
      </c>
      <c r="B576" s="26" t="s">
        <v>213</v>
      </c>
      <c r="C576" s="26" t="s">
        <v>230</v>
      </c>
      <c r="D576" s="26" t="s">
        <v>215</v>
      </c>
      <c r="E576" s="20" t="s">
        <v>739</v>
      </c>
      <c r="F576" s="21" t="str">
        <f>IF(OR(E576="",E576="!!!"),"",IF(NOT(ISNA(VLOOKUP(E576,E$1:E575,1,FALSE()))),"OLD",IF(AND(E576&lt;&gt;"",E576&lt;&gt;"!!!"),"NEW","")))</f>
        <v>OLD</v>
      </c>
      <c r="G576" s="22" t="str">
        <f ca="1">IF(OR(E576="",E576="!!!"),"",IF(OR(J576=0,AND(J576=1,K576=1),AND(J576=1,I576="SBJ"),AND(J576=1,I576=0)),"?IN_FOCUS",IF(J576&lt;=2,"?ACTIVATED",IF(J576&lt;&gt;"","?FAMILIAR",IF(F576="NEW",IF(ISNA(VLOOKUP(E576,#REF!,1,FALSE())),"?TYPE_IDENTIFIABLE","?REFERENTIAL"),"_")))))</f>
        <v>?IN_FOCUS</v>
      </c>
      <c r="H576" s="23" t="s">
        <v>198</v>
      </c>
      <c r="I576" s="24" t="str">
        <f>IF(OR(E576="",E576="!!!",F576="NEW"),"",INDEX(B$2:B575,-1+SUMPRODUCT(MAX(ROW(E$2:E575)*(E576=E$2:E575)))))</f>
        <v>SBJ</v>
      </c>
      <c r="J576" s="24">
        <f ca="1">IF(OR(E576="",E576="!!!",F576="NEW"),"",COUNTBLANK(OFFSET(A$1,,,SUMPRODUCT(MAX(ROW(E$2:E576)*(E576=E$2:E576)))))-COUNTBLANK(OFFSET(A$1,,,SUMPRODUCT(MAX(ROW(E$1:E575)*(E2=E$1:E575))))))</f>
        <v>0</v>
      </c>
      <c r="K576" s="24">
        <f ca="1">IF(OR(E576="",E576="!!!",F576="NEW"),"",INDEX(J$1:J575,SUMPRODUCT(MAX(ROW(E$1:E575)*(E576=E$1:E575)))))</f>
        <v>0</v>
      </c>
      <c r="L576" s="25"/>
    </row>
    <row r="577" spans="1:12" x14ac:dyDescent="0.3">
      <c r="A577" t="s">
        <v>497</v>
      </c>
      <c r="E577" s="20" t="str">
        <f t="shared" si="42"/>
        <v/>
      </c>
      <c r="F577" s="21" t="str">
        <f>IF(OR(E577="",E577="!!!"),"",IF(NOT(ISNA(VLOOKUP(E577,E$1:E576,1,FALSE()))),"OLD",IF(AND(E577&lt;&gt;"",E577&lt;&gt;"!!!"),"NEW","")))</f>
        <v/>
      </c>
      <c r="G577" s="22" t="str">
        <f>IF(OR(E577="",E577="!!!"),"",IF(OR(J577=0,AND(J577=1,K577=1),AND(J577=1,I577="SBJ"),AND(J577=1,I577=0)),"?IN_FOCUS",IF(J577&lt;=2,"?ACTIVATED",IF(J577&lt;&gt;"","?FAMILIAR",IF(F577="NEW",IF(ISNA(VLOOKUP(E577,#REF!,1,FALSE())),"?TYPE_IDENTIFIABLE","?REFERENTIAL"),"_")))))</f>
        <v/>
      </c>
      <c r="H577" s="23" t="str">
        <f t="shared" ca="1" si="43"/>
        <v/>
      </c>
      <c r="I577" s="24" t="str">
        <f>IF(OR(E577="",E577="!!!",F577="NEW"),"",INDEX(B$2:B576,-1+SUMPRODUCT(MAX(ROW(E$2:E576)*(E577=E$2:E576)))))</f>
        <v/>
      </c>
      <c r="J577" s="24" t="str">
        <f ca="1">IF(OR(E577="",E577="!!!",F577="NEW"),"",COUNTBLANK(OFFSET(A$1,,,SUMPRODUCT(MAX(ROW(E$2:E577)*(E577=E$2:E577)))))-COUNTBLANK(OFFSET(A$1,,,SUMPRODUCT(MAX(ROW(E$1:E576)*(E2=E$1:E576))))))</f>
        <v/>
      </c>
      <c r="K577" s="24" t="str">
        <f>IF(OR(E577="",E577="!!!",F577="NEW"),"",INDEX(J$1:J576,SUMPRODUCT(MAX(ROW(E$1:E576)*(E577=E$1:E576)))))</f>
        <v/>
      </c>
      <c r="L577" s="25"/>
    </row>
    <row r="578" spans="1:12" x14ac:dyDescent="0.3">
      <c r="A578" t="s">
        <v>220</v>
      </c>
      <c r="E578" s="20" t="str">
        <f t="shared" si="42"/>
        <v/>
      </c>
      <c r="F578" s="21" t="str">
        <f>IF(OR(E578="",E578="!!!"),"",IF(NOT(ISNA(VLOOKUP(E578,E$1:E577,1,FALSE()))),"OLD",IF(AND(E578&lt;&gt;"",E578&lt;&gt;"!!!"),"NEW","")))</f>
        <v/>
      </c>
      <c r="G578" s="22" t="str">
        <f>IF(OR(E578="",E578="!!!"),"",IF(OR(J578=0,AND(J578=1,K578=1),AND(J578=1,I578="SBJ"),AND(J578=1,I578=0)),"?IN_FOCUS",IF(J578&lt;=2,"?ACTIVATED",IF(J578&lt;&gt;"","?FAMILIAR",IF(F578="NEW",IF(ISNA(VLOOKUP(E578,#REF!,1,FALSE())),"?TYPE_IDENTIFIABLE","?REFERENTIAL"),"_")))))</f>
        <v/>
      </c>
      <c r="H578" s="23" t="str">
        <f t="shared" ca="1" si="43"/>
        <v/>
      </c>
      <c r="I578" s="24" t="str">
        <f>IF(OR(E578="",E578="!!!",F578="NEW"),"",INDEX(B$2:B577,-1+SUMPRODUCT(MAX(ROW(E$2:E577)*(E578=E$2:E577)))))</f>
        <v/>
      </c>
      <c r="J578" s="24" t="str">
        <f ca="1">IF(OR(E578="",E578="!!!",F578="NEW"),"",COUNTBLANK(OFFSET(A$1,,,SUMPRODUCT(MAX(ROW(E$2:E578)*(E578=E$2:E578)))))-COUNTBLANK(OFFSET(A$1,,,SUMPRODUCT(MAX(ROW(E$1:E577)*(E2=E$1:E577))))))</f>
        <v/>
      </c>
      <c r="K578" s="24" t="str">
        <f>IF(OR(E578="",E578="!!!",F578="NEW"),"",INDEX(J$1:J577,SUMPRODUCT(MAX(ROW(E$1:E577)*(E578=E$1:E577)))))</f>
        <v/>
      </c>
      <c r="L578" s="25"/>
    </row>
    <row r="579" spans="1:12" x14ac:dyDescent="0.3">
      <c r="A579" t="s">
        <v>391</v>
      </c>
      <c r="E579" s="20" t="str">
        <f t="shared" si="42"/>
        <v/>
      </c>
      <c r="F579" s="21" t="str">
        <f>IF(OR(E579="",E579="!!!"),"",IF(NOT(ISNA(VLOOKUP(E579,E$1:E578,1,FALSE()))),"OLD",IF(AND(E579&lt;&gt;"",E579&lt;&gt;"!!!"),"NEW","")))</f>
        <v/>
      </c>
      <c r="G579" s="22" t="str">
        <f>IF(OR(E579="",E579="!!!"),"",IF(OR(J579=0,AND(J579=1,K579=1),AND(J579=1,I579="SBJ"),AND(J579=1,I579=0)),"?IN_FOCUS",IF(J579&lt;=2,"?ACTIVATED",IF(J579&lt;&gt;"","?FAMILIAR",IF(F579="NEW",IF(ISNA(VLOOKUP(E579,#REF!,1,FALSE())),"?TYPE_IDENTIFIABLE","?REFERENTIAL"),"_")))))</f>
        <v/>
      </c>
      <c r="H579" s="23" t="str">
        <f t="shared" ca="1" si="43"/>
        <v/>
      </c>
      <c r="I579" s="24" t="str">
        <f>IF(OR(E579="",E579="!!!",F579="NEW"),"",INDEX(B$2:B578,-1+SUMPRODUCT(MAX(ROW(E$2:E578)*(E579=E$2:E578)))))</f>
        <v/>
      </c>
      <c r="J579" s="24" t="str">
        <f ca="1">IF(OR(E579="",E579="!!!",F579="NEW"),"",COUNTBLANK(OFFSET(A$1,,,SUMPRODUCT(MAX(ROW(E$2:E579)*(E579=E$2:E579)))))-COUNTBLANK(OFFSET(A$1,,,SUMPRODUCT(MAX(ROW(E$1:E578)*(E2=E$1:E578))))))</f>
        <v/>
      </c>
      <c r="K579" s="24" t="str">
        <f>IF(OR(E579="",E579="!!!",F579="NEW"),"",INDEX(J$1:J578,SUMPRODUCT(MAX(ROW(E$1:E578)*(E579=E$1:E578)))))</f>
        <v/>
      </c>
      <c r="L579" s="25"/>
    </row>
    <row r="580" spans="1:12" x14ac:dyDescent="0.3">
      <c r="A580" t="s">
        <v>395</v>
      </c>
      <c r="B580" s="26" t="s">
        <v>261</v>
      </c>
      <c r="C580" s="26" t="s">
        <v>264</v>
      </c>
      <c r="D580" s="26" t="s">
        <v>215</v>
      </c>
      <c r="E580" s="20" t="s">
        <v>751</v>
      </c>
      <c r="F580" s="21" t="str">
        <f>IF(OR(E580="",E580="!!!"),"",IF(NOT(ISNA(VLOOKUP(E580,E$1:E579,1,FALSE()))),"OLD",IF(AND(E580&lt;&gt;"",E580&lt;&gt;"!!!"),"NEW","")))</f>
        <v>NEW</v>
      </c>
      <c r="G580" s="22" t="str">
        <f ca="1">IF(OR(E580="",E580="!!!"),"",IF(OR(J580=0,AND(J580=1,K580=1),AND(J580=1,I580="SBJ"),AND(J580=1,I580=0)),"?IN_FOCUS",IF(J580&lt;=2,"?ACTIVATED",IF(J580&lt;&gt;"","?FAMILIAR",IF(F580="NEW",IF(ISNA(VLOOKUP(E580,#REF!,1,FALSE())),"?TYPE_IDENTIFIABLE","?REFERENTIAL"),"_")))))</f>
        <v>?REFERENTIAL</v>
      </c>
      <c r="H580" s="23" t="str">
        <f t="shared" ca="1" si="43"/>
        <v/>
      </c>
      <c r="I580" s="24" t="str">
        <f>IF(OR(E580="",E580="!!!",F580="NEW"),"",INDEX(B$2:B579,-1+SUMPRODUCT(MAX(ROW(E$2:E579)*(E580=E$2:E579)))))</f>
        <v/>
      </c>
      <c r="J580" s="24" t="str">
        <f ca="1">IF(OR(E580="",E580="!!!",F580="NEW"),"",COUNTBLANK(OFFSET(A$1,,,SUMPRODUCT(MAX(ROW(E$2:E580)*(E580=E$2:E580)))))-COUNTBLANK(OFFSET(A$1,,,SUMPRODUCT(MAX(ROW(E$1:E579)*(E2=E$1:E579))))))</f>
        <v/>
      </c>
      <c r="K580" s="24" t="str">
        <f>IF(OR(E580="",E580="!!!",F580="NEW"),"",INDEX(J$1:J579,SUMPRODUCT(MAX(ROW(E$1:E579)*(E580=E$1:E579)))))</f>
        <v/>
      </c>
      <c r="L580" s="25"/>
    </row>
    <row r="581" spans="1:12" x14ac:dyDescent="0.3">
      <c r="A581" t="s">
        <v>223</v>
      </c>
      <c r="E581" s="20" t="str">
        <f t="shared" si="42"/>
        <v/>
      </c>
      <c r="F581" s="21" t="str">
        <f>IF(OR(E581="",E581="!!!"),"",IF(NOT(ISNA(VLOOKUP(E581,E$1:E580,1,FALSE()))),"OLD",IF(AND(E581&lt;&gt;"",E581&lt;&gt;"!!!"),"NEW","")))</f>
        <v/>
      </c>
      <c r="G581" s="22" t="str">
        <f>IF(OR(E581="",E581="!!!"),"",IF(OR(J581=0,AND(J581=1,K581=1),AND(J581=1,I581="SBJ"),AND(J581=1,I581=0)),"?IN_FOCUS",IF(J581&lt;=2,"?ACTIVATED",IF(J581&lt;&gt;"","?FAMILIAR",IF(F581="NEW",IF(ISNA(VLOOKUP(E581,#REF!,1,FALSE())),"?TYPE_IDENTIFIABLE","?REFERENTIAL"),"_")))))</f>
        <v/>
      </c>
      <c r="H581" s="23" t="str">
        <f t="shared" ca="1" si="43"/>
        <v/>
      </c>
      <c r="I581" s="24" t="str">
        <f>IF(OR(E581="",E581="!!!",F581="NEW"),"",INDEX(B$2:B580,-1+SUMPRODUCT(MAX(ROW(E$2:E580)*(E581=E$2:E580)))))</f>
        <v/>
      </c>
      <c r="J581" s="24" t="str">
        <f ca="1">IF(OR(E581="",E581="!!!",F581="NEW"),"",COUNTBLANK(OFFSET(A$1,,,SUMPRODUCT(MAX(ROW(E$2:E581)*(E581=E$2:E581)))))-COUNTBLANK(OFFSET(A$1,,,SUMPRODUCT(MAX(ROW(E$1:E580)*(E2=E$1:E580))))))</f>
        <v/>
      </c>
      <c r="K581" s="24" t="str">
        <f>IF(OR(E581="",E581="!!!",F581="NEW"),"",INDEX(J$1:J580,SUMPRODUCT(MAX(ROW(E$1:E580)*(E581=E$1:E580)))))</f>
        <v/>
      </c>
      <c r="L581" s="25"/>
    </row>
    <row r="582" spans="1:12" x14ac:dyDescent="0.3">
      <c r="A582" t="s">
        <v>220</v>
      </c>
      <c r="E582" s="20" t="str">
        <f t="shared" si="42"/>
        <v/>
      </c>
      <c r="F582" s="21" t="str">
        <f>IF(OR(E582="",E582="!!!"),"",IF(NOT(ISNA(VLOOKUP(E582,E$1:E581,1,FALSE()))),"OLD",IF(AND(E582&lt;&gt;"",E582&lt;&gt;"!!!"),"NEW","")))</f>
        <v/>
      </c>
      <c r="G582" s="22" t="str">
        <f>IF(OR(E582="",E582="!!!"),"",IF(OR(J582=0,AND(J582=1,K582=1),AND(J582=1,I582="SBJ"),AND(J582=1,I582=0)),"?IN_FOCUS",IF(J582&lt;=2,"?ACTIVATED",IF(J582&lt;&gt;"","?FAMILIAR",IF(F582="NEW",IF(ISNA(VLOOKUP(E582,#REF!,1,FALSE())),"?TYPE_IDENTIFIABLE","?REFERENTIAL"),"_")))))</f>
        <v/>
      </c>
      <c r="H582" s="23" t="str">
        <f t="shared" ca="1" si="43"/>
        <v/>
      </c>
      <c r="I582" s="24" t="str">
        <f>IF(OR(E582="",E582="!!!",F582="NEW"),"",INDEX(B$2:B581,-1+SUMPRODUCT(MAX(ROW(E$2:E581)*(E582=E$2:E581)))))</f>
        <v/>
      </c>
      <c r="J582" s="24" t="str">
        <f ca="1">IF(OR(E582="",E582="!!!",F582="NEW"),"",COUNTBLANK(OFFSET(A$1,,,SUMPRODUCT(MAX(ROW(E$2:E582)*(E582=E$2:E582)))))-COUNTBLANK(OFFSET(A$1,,,SUMPRODUCT(MAX(ROW(E$1:E581)*(E2=E$1:E581))))))</f>
        <v/>
      </c>
      <c r="K582" s="24" t="str">
        <f>IF(OR(E582="",E582="!!!",F582="NEW"),"",INDEX(J$1:J581,SUMPRODUCT(MAX(ROW(E$1:E581)*(E582=E$1:E581)))))</f>
        <v/>
      </c>
      <c r="L582" s="25"/>
    </row>
    <row r="583" spans="1:12" x14ac:dyDescent="0.3">
      <c r="A583" t="s">
        <v>364</v>
      </c>
      <c r="E583" s="20" t="s">
        <v>364</v>
      </c>
      <c r="F583" s="21" t="str">
        <f>IF(OR(E583="",E583="!!!"),"",IF(NOT(ISNA(VLOOKUP(E583,E$1:E582,1,FALSE()))),"OLD",IF(AND(E583&lt;&gt;"",E583&lt;&gt;"!!!"),"NEW","")))</f>
        <v>OLD</v>
      </c>
      <c r="G583" s="22" t="s">
        <v>657</v>
      </c>
      <c r="H583" s="23" t="str">
        <f t="shared" ca="1" si="43"/>
        <v/>
      </c>
      <c r="I583" s="24" t="str">
        <f>IF(OR(E583="",E583="!!!",F583="NEW"),"",INDEX(B$2:B582,-1+SUMPRODUCT(MAX(ROW(E$2:E582)*(E583=E$2:E582)))))</f>
        <v>other_7</v>
      </c>
      <c r="J583" s="24">
        <f ca="1">IF(OR(E583="",E583="!!!",F583="NEW"),"",COUNTBLANK(OFFSET(A$1,,,SUMPRODUCT(MAX(ROW(E$2:E583)*(E583=E$2:E583)))))-COUNTBLANK(OFFSET(A$1,,,SUMPRODUCT(MAX(ROW(E$1:E582)*(E2=E$1:E582))))))</f>
        <v>0</v>
      </c>
      <c r="K583" s="24">
        <f ca="1">IF(OR(E583="",E583="!!!",F583="NEW"),"",INDEX(J$1:J582,SUMPRODUCT(MAX(ROW(E$1:E582)*(E583=E$1:E582)))))</f>
        <v>0</v>
      </c>
      <c r="L583" s="25"/>
    </row>
    <row r="584" spans="1:12" x14ac:dyDescent="0.3">
      <c r="A584" t="s">
        <v>498</v>
      </c>
      <c r="E584" s="20" t="str">
        <f t="shared" si="42"/>
        <v/>
      </c>
      <c r="F584" s="21" t="str">
        <f>IF(OR(E584="",E584="!!!"),"",IF(NOT(ISNA(VLOOKUP(E584,E$1:E583,1,FALSE()))),"OLD",IF(AND(E584&lt;&gt;"",E584&lt;&gt;"!!!"),"NEW","")))</f>
        <v/>
      </c>
      <c r="G584" s="22" t="str">
        <f>IF(OR(E584="",E584="!!!"),"",IF(OR(J584=0,AND(J584=1,K584=1),AND(J584=1,I584="SBJ"),AND(J584=1,I584=0)),"?IN_FOCUS",IF(J584&lt;=2,"?ACTIVATED",IF(J584&lt;&gt;"","?FAMILIAR",IF(F584="NEW",IF(ISNA(VLOOKUP(E584,#REF!,1,FALSE())),"?TYPE_IDENTIFIABLE","?REFERENTIAL"),"_")))))</f>
        <v/>
      </c>
      <c r="H584" s="23" t="str">
        <f t="shared" ca="1" si="43"/>
        <v/>
      </c>
      <c r="I584" s="24" t="str">
        <f>IF(OR(E584="",E584="!!!",F584="NEW"),"",INDEX(B$2:B583,-1+SUMPRODUCT(MAX(ROW(E$2:E583)*(E584=E$2:E583)))))</f>
        <v/>
      </c>
      <c r="J584" s="24" t="str">
        <f ca="1">IF(OR(E584="",E584="!!!",F584="NEW"),"",COUNTBLANK(OFFSET(A$1,,,SUMPRODUCT(MAX(ROW(E$2:E584)*(E584=E$2:E584)))))-COUNTBLANK(OFFSET(A$1,,,SUMPRODUCT(MAX(ROW(E$1:E583)*(E2=E$1:E583))))))</f>
        <v/>
      </c>
      <c r="K584" s="24" t="str">
        <f>IF(OR(E584="",E584="!!!",F584="NEW"),"",INDEX(J$1:J583,SUMPRODUCT(MAX(ROW(E$1:E583)*(E584=E$1:E583)))))</f>
        <v/>
      </c>
      <c r="L584" s="25"/>
    </row>
    <row r="585" spans="1:12" x14ac:dyDescent="0.3">
      <c r="A585" t="s">
        <v>499</v>
      </c>
      <c r="B585" s="26" t="s">
        <v>225</v>
      </c>
      <c r="C585" s="26" t="s">
        <v>214</v>
      </c>
      <c r="D585" s="26" t="s">
        <v>215</v>
      </c>
      <c r="E585" s="20" t="s">
        <v>705</v>
      </c>
      <c r="F585" s="21" t="str">
        <f>IF(OR(E585="",E585="!!!"),"",IF(NOT(ISNA(VLOOKUP(E585,E$1:E584,1,FALSE()))),"OLD",IF(AND(E585&lt;&gt;"",E585&lt;&gt;"!!!"),"NEW","")))</f>
        <v>NEW</v>
      </c>
      <c r="G585" s="22" t="s">
        <v>657</v>
      </c>
      <c r="H585" s="23" t="str">
        <f t="shared" ca="1" si="43"/>
        <v/>
      </c>
      <c r="I585" s="24" t="str">
        <f>IF(OR(E585="",E585="!!!",F585="NEW"),"",INDEX(B$2:B584,-1+SUMPRODUCT(MAX(ROW(E$2:E584)*(E585=E$2:E584)))))</f>
        <v/>
      </c>
      <c r="J585" s="24" t="str">
        <f ca="1">IF(OR(E585="",E585="!!!",F585="NEW"),"",COUNTBLANK(OFFSET(A$1,,,SUMPRODUCT(MAX(ROW(E$2:E585)*(E585=E$2:E585)))))-COUNTBLANK(OFFSET(A$1,,,SUMPRODUCT(MAX(ROW(E$1:E584)*(E2=E$1:E584))))))</f>
        <v/>
      </c>
      <c r="K585" s="24" t="str">
        <f>IF(OR(E585="",E585="!!!",F585="NEW"),"",INDEX(J$1:J584,SUMPRODUCT(MAX(ROW(E$1:E584)*(E585=E$1:E584)))))</f>
        <v/>
      </c>
      <c r="L585" s="25"/>
    </row>
    <row r="586" spans="1:12" x14ac:dyDescent="0.3">
      <c r="A586" t="s">
        <v>234</v>
      </c>
      <c r="E586" s="20" t="str">
        <f t="shared" si="42"/>
        <v/>
      </c>
      <c r="F586" s="21" t="str">
        <f>IF(OR(E586="",E586="!!!"),"",IF(NOT(ISNA(VLOOKUP(E586,E$1:E585,1,FALSE()))),"OLD",IF(AND(E586&lt;&gt;"",E586&lt;&gt;"!!!"),"NEW","")))</f>
        <v/>
      </c>
      <c r="G586" s="22" t="str">
        <f>IF(OR(E586="",E586="!!!"),"",IF(OR(J586=0,AND(J586=1,K586=1),AND(J586=1,I586="SBJ"),AND(J586=1,I586=0)),"?IN_FOCUS",IF(J586&lt;=2,"?ACTIVATED",IF(J586&lt;&gt;"","?FAMILIAR",IF(F586="NEW",IF(ISNA(VLOOKUP(E586,#REF!,1,FALSE())),"?TYPE_IDENTIFIABLE","?REFERENTIAL"),"_")))))</f>
        <v/>
      </c>
      <c r="H586" s="23" t="str">
        <f t="shared" ca="1" si="43"/>
        <v/>
      </c>
      <c r="I586" s="24" t="str">
        <f>IF(OR(E586="",E586="!!!",F586="NEW"),"",INDEX(B$2:B585,-1+SUMPRODUCT(MAX(ROW(E$2:E585)*(E586=E$2:E585)))))</f>
        <v/>
      </c>
      <c r="J586" s="24" t="str">
        <f ca="1">IF(OR(E586="",E586="!!!",F586="NEW"),"",COUNTBLANK(OFFSET(A$1,,,SUMPRODUCT(MAX(ROW(E$2:E586)*(E586=E$2:E586)))))-COUNTBLANK(OFFSET(A$1,,,SUMPRODUCT(MAX(ROW(E$1:E585)*(E2=E$1:E585))))))</f>
        <v/>
      </c>
      <c r="K586" s="24" t="str">
        <f>IF(OR(E586="",E586="!!!",F586="NEW"),"",INDEX(J$1:J585,SUMPRODUCT(MAX(ROW(E$1:E585)*(E586=E$1:E585)))))</f>
        <v/>
      </c>
      <c r="L586" s="25"/>
    </row>
    <row r="588" spans="1:12" x14ac:dyDescent="0.3">
      <c r="A588" t="s">
        <v>500</v>
      </c>
    </row>
    <row r="589" spans="1:12" x14ac:dyDescent="0.3">
      <c r="A589" t="s">
        <v>236</v>
      </c>
      <c r="E589" s="20" t="str">
        <f t="shared" ref="E589:E607" si="44">IF(D589="?OLD","!!!","")</f>
        <v/>
      </c>
      <c r="F589" s="21" t="str">
        <f>IF(OR(E589="",E589="!!!"),"",IF(NOT(ISNA(VLOOKUP(E589,E$1:E588,1,FALSE()))),"OLD",IF(AND(E589&lt;&gt;"",E589&lt;&gt;"!!!"),"NEW","")))</f>
        <v/>
      </c>
      <c r="G589" s="22" t="str">
        <f>IF(OR(E589="",E589="!!!"),"",IF(OR(J589=0,AND(J589=1,K589=1),AND(J589=1,I589="SBJ"),AND(J589=1,I589=0)),"?IN_FOCUS",IF(J589&lt;=2,"?ACTIVATED",IF(J589&lt;&gt;"","?FAMILIAR",IF(F589="NEW",IF(ISNA(VLOOKUP(E589,#REF!,1,FALSE())),"?TYPE_IDENTIFIABLE","?REFERENTIAL"),"_")))))</f>
        <v/>
      </c>
      <c r="H589" s="23" t="str">
        <f t="shared" ref="H589:H607" ca="1" si="45">IF(J589&lt;&gt;1,"",IF(I589="SBJ","CB","?"))</f>
        <v/>
      </c>
      <c r="I589" s="24" t="str">
        <f>IF(OR(E589="",E589="!!!",F589="NEW"),"",INDEX(B$2:B588,-1+SUMPRODUCT(MAX(ROW(E$2:E588)*(E589=E$2:E588)))))</f>
        <v/>
      </c>
      <c r="J589" s="24" t="str">
        <f ca="1">IF(OR(E589="",E589="!!!",F589="NEW"),"",COUNTBLANK(OFFSET(A$1,,,SUMPRODUCT(MAX(ROW(E$2:E589)*(E589=E$2:E589)))))-COUNTBLANK(OFFSET(A$1,,,SUMPRODUCT(MAX(ROW(E$1:E588)*(E2=E$1:E588))))))</f>
        <v/>
      </c>
      <c r="K589" s="24" t="str">
        <f>IF(OR(E589="",E589="!!!",F589="NEW"),"",INDEX(J$1:J588,SUMPRODUCT(MAX(ROW(E$1:E588)*(E589=E$1:E588)))))</f>
        <v/>
      </c>
      <c r="L589" s="25"/>
    </row>
    <row r="590" spans="1:12" x14ac:dyDescent="0.3">
      <c r="A590" t="s">
        <v>286</v>
      </c>
      <c r="E590" s="20" t="str">
        <f t="shared" si="44"/>
        <v/>
      </c>
      <c r="F590" s="21" t="str">
        <f>IF(OR(E590="",E590="!!!"),"",IF(NOT(ISNA(VLOOKUP(E590,E$1:E589,1,FALSE()))),"OLD",IF(AND(E590&lt;&gt;"",E590&lt;&gt;"!!!"),"NEW","")))</f>
        <v/>
      </c>
      <c r="G590" s="22" t="str">
        <f>IF(OR(E590="",E590="!!!"),"",IF(OR(J590=0,AND(J590=1,K590=1),AND(J590=1,I590="SBJ"),AND(J590=1,I590=0)),"?IN_FOCUS",IF(J590&lt;=2,"?ACTIVATED",IF(J590&lt;&gt;"","?FAMILIAR",IF(F590="NEW",IF(ISNA(VLOOKUP(E590,#REF!,1,FALSE())),"?TYPE_IDENTIFIABLE","?REFERENTIAL"),"_")))))</f>
        <v/>
      </c>
      <c r="H590" s="23" t="str">
        <f t="shared" ca="1" si="45"/>
        <v/>
      </c>
      <c r="I590" s="24" t="str">
        <f>IF(OR(E590="",E590="!!!",F590="NEW"),"",INDEX(B$2:B589,-1+SUMPRODUCT(MAX(ROW(E$2:E589)*(E590=E$2:E589)))))</f>
        <v/>
      </c>
      <c r="J590" s="24" t="str">
        <f ca="1">IF(OR(E590="",E590="!!!",F590="NEW"),"",COUNTBLANK(OFFSET(A$1,,,SUMPRODUCT(MAX(ROW(E$2:E590)*(E590=E$2:E590)))))-COUNTBLANK(OFFSET(A$1,,,SUMPRODUCT(MAX(ROW(E$1:E589)*(E2=E$1:E589))))))</f>
        <v/>
      </c>
      <c r="K590" s="24" t="str">
        <f>IF(OR(E590="",E590="!!!",F590="NEW"),"",INDEX(J$1:J589,SUMPRODUCT(MAX(ROW(E$1:E589)*(E590=E$1:E589)))))</f>
        <v/>
      </c>
      <c r="L590" s="25"/>
    </row>
    <row r="591" spans="1:12" x14ac:dyDescent="0.3">
      <c r="A591" t="s">
        <v>257</v>
      </c>
      <c r="B591" s="26" t="s">
        <v>229</v>
      </c>
      <c r="C591" s="26" t="s">
        <v>230</v>
      </c>
      <c r="D591" s="26" t="s">
        <v>215</v>
      </c>
      <c r="E591" s="20" t="s">
        <v>739</v>
      </c>
      <c r="F591" s="21" t="str">
        <f>IF(OR(E591="",E591="!!!"),"",IF(NOT(ISNA(VLOOKUP(E591,E$1:E590,1,FALSE()))),"OLD",IF(AND(E591&lt;&gt;"",E591&lt;&gt;"!!!"),"NEW","")))</f>
        <v>OLD</v>
      </c>
      <c r="G591" s="22" t="str">
        <f ca="1">IF(OR(E591="",E591="!!!"),"",IF(OR(J591=0,AND(J591=1,K591=1),AND(J591=1,I591="SBJ"),AND(J591=1,I591=0)),"?IN_FOCUS",IF(J591&lt;=2,"?ACTIVATED",IF(J591&lt;&gt;"","?FAMILIAR",IF(F591="NEW",IF(ISNA(VLOOKUP(E591,#REF!,1,FALSE())),"?TYPE_IDENTIFIABLE","?REFERENTIAL"),"_")))))</f>
        <v>?IN_FOCUS</v>
      </c>
      <c r="H591" s="23" t="s">
        <v>198</v>
      </c>
      <c r="I591" s="24" t="str">
        <f>IF(OR(E591="",E591="!!!",F591="NEW"),"",INDEX(B$2:B590,-1+SUMPRODUCT(MAX(ROW(E$2:E590)*(E591=E$2:E590)))))</f>
        <v>SBJ</v>
      </c>
      <c r="J591" s="24">
        <f ca="1">IF(OR(E591="",E591="!!!",F591="NEW"),"",COUNTBLANK(OFFSET(A$1,,,SUMPRODUCT(MAX(ROW(E$2:E591)*(E591=E$2:E591)))))-COUNTBLANK(OFFSET(A$1,,,SUMPRODUCT(MAX(ROW(E$1:E590)*(E2=E$1:E590))))))</f>
        <v>0</v>
      </c>
      <c r="K591" s="24">
        <f ca="1">IF(OR(E591="",E591="!!!",F591="NEW"),"",INDEX(J$1:J590,SUMPRODUCT(MAX(ROW(E$1:E590)*(E591=E$1:E590)))))</f>
        <v>0</v>
      </c>
      <c r="L591" s="25"/>
    </row>
    <row r="592" spans="1:12" x14ac:dyDescent="0.3">
      <c r="A592" t="s">
        <v>497</v>
      </c>
      <c r="E592" s="20" t="str">
        <f t="shared" si="44"/>
        <v/>
      </c>
      <c r="F592" s="21" t="str">
        <f>IF(OR(E592="",E592="!!!"),"",IF(NOT(ISNA(VLOOKUP(E592,E$1:E591,1,FALSE()))),"OLD",IF(AND(E592&lt;&gt;"",E592&lt;&gt;"!!!"),"NEW","")))</f>
        <v/>
      </c>
      <c r="G592" s="22" t="str">
        <f>IF(OR(E592="",E592="!!!"),"",IF(OR(J592=0,AND(J592=1,K592=1),AND(J592=1,I592="SBJ"),AND(J592=1,I592=0)),"?IN_FOCUS",IF(J592&lt;=2,"?ACTIVATED",IF(J592&lt;&gt;"","?FAMILIAR",IF(F592="NEW",IF(ISNA(VLOOKUP(E592,#REF!,1,FALSE())),"?TYPE_IDENTIFIABLE","?REFERENTIAL"),"_")))))</f>
        <v/>
      </c>
      <c r="H592" s="23" t="str">
        <f t="shared" ca="1" si="45"/>
        <v/>
      </c>
      <c r="I592" s="24" t="str">
        <f>IF(OR(E592="",E592="!!!",F592="NEW"),"",INDEX(B$2:B591,-1+SUMPRODUCT(MAX(ROW(E$2:E591)*(E592=E$2:E591)))))</f>
        <v/>
      </c>
      <c r="J592" s="24" t="str">
        <f ca="1">IF(OR(E592="",E592="!!!",F592="NEW"),"",COUNTBLANK(OFFSET(A$1,,,SUMPRODUCT(MAX(ROW(E$2:E592)*(E592=E$2:E592)))))-COUNTBLANK(OFFSET(A$1,,,SUMPRODUCT(MAX(ROW(E$1:E591)*(E2=E$1:E591))))))</f>
        <v/>
      </c>
      <c r="K592" s="24" t="str">
        <f>IF(OR(E592="",E592="!!!",F592="NEW"),"",INDEX(J$1:J591,SUMPRODUCT(MAX(ROW(E$1:E591)*(E592=E$1:E591)))))</f>
        <v/>
      </c>
      <c r="L592" s="25"/>
    </row>
    <row r="593" spans="1:12" x14ac:dyDescent="0.3">
      <c r="A593" t="s">
        <v>207</v>
      </c>
      <c r="E593" s="20" t="str">
        <f t="shared" si="44"/>
        <v/>
      </c>
      <c r="F593" s="21" t="str">
        <f>IF(OR(E593="",E593="!!!"),"",IF(NOT(ISNA(VLOOKUP(E593,E$1:E592,1,FALSE()))),"OLD",IF(AND(E593&lt;&gt;"",E593&lt;&gt;"!!!"),"NEW","")))</f>
        <v/>
      </c>
      <c r="G593" s="22" t="str">
        <f>IF(OR(E593="",E593="!!!"),"",IF(OR(J593=0,AND(J593=1,K593=1),AND(J593=1,I593="SBJ"),AND(J593=1,I593=0)),"?IN_FOCUS",IF(J593&lt;=2,"?ACTIVATED",IF(J593&lt;&gt;"","?FAMILIAR",IF(F593="NEW",IF(ISNA(VLOOKUP(E593,#REF!,1,FALSE())),"?TYPE_IDENTIFIABLE","?REFERENTIAL"),"_")))))</f>
        <v/>
      </c>
      <c r="H593" s="23" t="str">
        <f t="shared" ca="1" si="45"/>
        <v/>
      </c>
      <c r="I593" s="24" t="str">
        <f>IF(OR(E593="",E593="!!!",F593="NEW"),"",INDEX(B$2:B592,-1+SUMPRODUCT(MAX(ROW(E$2:E592)*(E593=E$2:E592)))))</f>
        <v/>
      </c>
      <c r="J593" s="24" t="str">
        <f ca="1">IF(OR(E593="",E593="!!!",F593="NEW"),"",COUNTBLANK(OFFSET(A$1,,,SUMPRODUCT(MAX(ROW(E$2:E593)*(E593=E$2:E593)))))-COUNTBLANK(OFFSET(A$1,,,SUMPRODUCT(MAX(ROW(E$1:E592)*(E2=E$1:E592))))))</f>
        <v/>
      </c>
      <c r="K593" s="24" t="str">
        <f>IF(OR(E593="",E593="!!!",F593="NEW"),"",INDEX(J$1:J592,SUMPRODUCT(MAX(ROW(E$1:E592)*(E593=E$1:E592)))))</f>
        <v/>
      </c>
      <c r="L593" s="25"/>
    </row>
    <row r="594" spans="1:12" x14ac:dyDescent="0.3">
      <c r="A594" t="s">
        <v>257</v>
      </c>
      <c r="B594" s="26" t="s">
        <v>213</v>
      </c>
      <c r="C594" s="26" t="s">
        <v>230</v>
      </c>
      <c r="D594" s="26" t="s">
        <v>215</v>
      </c>
      <c r="E594" s="20" t="s">
        <v>739</v>
      </c>
      <c r="F594" s="21" t="str">
        <f>IF(OR(E594="",E594="!!!"),"",IF(NOT(ISNA(VLOOKUP(E594,E$1:E593,1,FALSE()))),"OLD",IF(AND(E594&lt;&gt;"",E594&lt;&gt;"!!!"),"NEW","")))</f>
        <v>OLD</v>
      </c>
      <c r="G594" s="22" t="str">
        <f ca="1">IF(OR(E594="",E594="!!!"),"",IF(OR(J594=0,AND(J594=1,K594=1),AND(J594=1,I594="SBJ"),AND(J594=1,I594=0)),"?IN_FOCUS",IF(J594&lt;=2,"?ACTIVATED",IF(J594&lt;&gt;"","?FAMILIAR",IF(F594="NEW",IF(ISNA(VLOOKUP(E594,#REF!,1,FALSE())),"?TYPE_IDENTIFIABLE","?REFERENTIAL"),"_")))))</f>
        <v>?IN_FOCUS</v>
      </c>
      <c r="H594" s="23" t="str">
        <f t="shared" ca="1" si="45"/>
        <v/>
      </c>
      <c r="I594" s="24" t="str">
        <f>IF(OR(E594="",E594="!!!",F594="NEW"),"",INDEX(B$2:B593,-1+SUMPRODUCT(MAX(ROW(E$2:E593)*(E594=E$2:E593)))))</f>
        <v>SBJ_2</v>
      </c>
      <c r="J594" s="24">
        <f ca="1">IF(OR(E594="",E594="!!!",F594="NEW"),"",COUNTBLANK(OFFSET(A$1,,,SUMPRODUCT(MAX(ROW(E$2:E594)*(E594=E$2:E594)))))-COUNTBLANK(OFFSET(A$1,,,SUMPRODUCT(MAX(ROW(E$1:E593)*(E2=E$1:E593))))))</f>
        <v>0</v>
      </c>
      <c r="K594" s="24">
        <f ca="1">IF(OR(E594="",E594="!!!",F594="NEW"),"",INDEX(J$1:J593,SUMPRODUCT(MAX(ROW(E$1:E593)*(E594=E$1:E593)))))</f>
        <v>0</v>
      </c>
      <c r="L594" s="25"/>
    </row>
    <row r="595" spans="1:12" x14ac:dyDescent="0.3">
      <c r="A595" t="s">
        <v>501</v>
      </c>
      <c r="E595" s="20" t="str">
        <f t="shared" si="44"/>
        <v/>
      </c>
      <c r="F595" s="21" t="str">
        <f>IF(OR(E595="",E595="!!!"),"",IF(NOT(ISNA(VLOOKUP(E595,E$1:E594,1,FALSE()))),"OLD",IF(AND(E595&lt;&gt;"",E595&lt;&gt;"!!!"),"NEW","")))</f>
        <v/>
      </c>
      <c r="G595" s="22" t="str">
        <f>IF(OR(E595="",E595="!!!"),"",IF(OR(J595=0,AND(J595=1,K595=1),AND(J595=1,I595="SBJ"),AND(J595=1,I595=0)),"?IN_FOCUS",IF(J595&lt;=2,"?ACTIVATED",IF(J595&lt;&gt;"","?FAMILIAR",IF(F595="NEW",IF(ISNA(VLOOKUP(E595,#REF!,1,FALSE())),"?TYPE_IDENTIFIABLE","?REFERENTIAL"),"_")))))</f>
        <v/>
      </c>
      <c r="H595" s="23" t="str">
        <f t="shared" ca="1" si="45"/>
        <v/>
      </c>
      <c r="I595" s="24" t="str">
        <f>IF(OR(E595="",E595="!!!",F595="NEW"),"",INDEX(B$2:B594,-1+SUMPRODUCT(MAX(ROW(E$2:E594)*(E595=E$2:E594)))))</f>
        <v/>
      </c>
      <c r="J595" s="24" t="str">
        <f ca="1">IF(OR(E595="",E595="!!!",F595="NEW"),"",COUNTBLANK(OFFSET(A$1,,,SUMPRODUCT(MAX(ROW(E$2:E595)*(E595=E$2:E595)))))-COUNTBLANK(OFFSET(A$1,,,SUMPRODUCT(MAX(ROW(E$1:E594)*(E2=E$1:E594))))))</f>
        <v/>
      </c>
      <c r="K595" s="24" t="str">
        <f>IF(OR(E595="",E595="!!!",F595="NEW"),"",INDEX(J$1:J594,SUMPRODUCT(MAX(ROW(E$1:E594)*(E595=E$1:E594)))))</f>
        <v/>
      </c>
      <c r="L595" s="25"/>
    </row>
    <row r="596" spans="1:12" x14ac:dyDescent="0.3">
      <c r="A596" t="s">
        <v>249</v>
      </c>
      <c r="E596" s="20" t="str">
        <f t="shared" si="44"/>
        <v/>
      </c>
      <c r="F596" s="21" t="str">
        <f>IF(OR(E596="",E596="!!!"),"",IF(NOT(ISNA(VLOOKUP(E596,E$1:E595,1,FALSE()))),"OLD",IF(AND(E596&lt;&gt;"",E596&lt;&gt;"!!!"),"NEW","")))</f>
        <v/>
      </c>
      <c r="G596" s="22" t="str">
        <f>IF(OR(E596="",E596="!!!"),"",IF(OR(J596=0,AND(J596=1,K596=1),AND(J596=1,I596="SBJ"),AND(J596=1,I596=0)),"?IN_FOCUS",IF(J596&lt;=2,"?ACTIVATED",IF(J596&lt;&gt;"","?FAMILIAR",IF(F596="NEW",IF(ISNA(VLOOKUP(E596,#REF!,1,FALSE())),"?TYPE_IDENTIFIABLE","?REFERENTIAL"),"_")))))</f>
        <v/>
      </c>
      <c r="H596" s="23" t="str">
        <f t="shared" ca="1" si="45"/>
        <v/>
      </c>
      <c r="I596" s="24" t="str">
        <f>IF(OR(E596="",E596="!!!",F596="NEW"),"",INDEX(B$2:B595,-1+SUMPRODUCT(MAX(ROW(E$2:E595)*(E596=E$2:E595)))))</f>
        <v/>
      </c>
      <c r="J596" s="24" t="str">
        <f ca="1">IF(OR(E596="",E596="!!!",F596="NEW"),"",COUNTBLANK(OFFSET(A$1,,,SUMPRODUCT(MAX(ROW(E$2:E596)*(E596=E$2:E596)))))-COUNTBLANK(OFFSET(A$1,,,SUMPRODUCT(MAX(ROW(E$1:E595)*(E2=E$1:E595))))))</f>
        <v/>
      </c>
      <c r="K596" s="24" t="str">
        <f>IF(OR(E596="",E596="!!!",F596="NEW"),"",INDEX(J$1:J595,SUMPRODUCT(MAX(ROW(E$1:E595)*(E596=E$1:E595)))))</f>
        <v/>
      </c>
      <c r="L596" s="25"/>
    </row>
    <row r="597" spans="1:12" x14ac:dyDescent="0.3">
      <c r="A597" t="s">
        <v>502</v>
      </c>
      <c r="E597" s="20" t="str">
        <f t="shared" si="44"/>
        <v/>
      </c>
      <c r="F597" s="21" t="str">
        <f>IF(OR(E597="",E597="!!!"),"",IF(NOT(ISNA(VLOOKUP(E597,E$1:E596,1,FALSE()))),"OLD",IF(AND(E597&lt;&gt;"",E597&lt;&gt;"!!!"),"NEW","")))</f>
        <v/>
      </c>
      <c r="G597" s="22" t="str">
        <f>IF(OR(E597="",E597="!!!"),"",IF(OR(J597=0,AND(J597=1,K597=1),AND(J597=1,I597="SBJ"),AND(J597=1,I597=0)),"?IN_FOCUS",IF(J597&lt;=2,"?ACTIVATED",IF(J597&lt;&gt;"","?FAMILIAR",IF(F597="NEW",IF(ISNA(VLOOKUP(E597,#REF!,1,FALSE())),"?TYPE_IDENTIFIABLE","?REFERENTIAL"),"_")))))</f>
        <v/>
      </c>
      <c r="H597" s="23" t="str">
        <f t="shared" ca="1" si="45"/>
        <v/>
      </c>
      <c r="I597" s="24" t="str">
        <f>IF(OR(E597="",E597="!!!",F597="NEW"),"",INDEX(B$2:B596,-1+SUMPRODUCT(MAX(ROW(E$2:E596)*(E597=E$2:E596)))))</f>
        <v/>
      </c>
      <c r="J597" s="24" t="str">
        <f ca="1">IF(OR(E597="",E597="!!!",F597="NEW"),"",COUNTBLANK(OFFSET(A$1,,,SUMPRODUCT(MAX(ROW(E$2:E597)*(E597=E$2:E597)))))-COUNTBLANK(OFFSET(A$1,,,SUMPRODUCT(MAX(ROW(E$1:E596)*(E2=E$1:E596))))))</f>
        <v/>
      </c>
      <c r="K597" s="24" t="str">
        <f>IF(OR(E597="",E597="!!!",F597="NEW"),"",INDEX(J$1:J596,SUMPRODUCT(MAX(ROW(E$1:E596)*(E597=E$1:E596)))))</f>
        <v/>
      </c>
      <c r="L597" s="25"/>
    </row>
    <row r="598" spans="1:12" x14ac:dyDescent="0.3">
      <c r="A598" t="s">
        <v>217</v>
      </c>
      <c r="E598" s="20" t="str">
        <f t="shared" si="44"/>
        <v/>
      </c>
      <c r="F598" s="21" t="str">
        <f>IF(OR(E598="",E598="!!!"),"",IF(NOT(ISNA(VLOOKUP(E598,E$1:E597,1,FALSE()))),"OLD",IF(AND(E598&lt;&gt;"",E598&lt;&gt;"!!!"),"NEW","")))</f>
        <v/>
      </c>
      <c r="G598" s="22" t="str">
        <f>IF(OR(E598="",E598="!!!"),"",IF(OR(J598=0,AND(J598=1,K598=1),AND(J598=1,I598="SBJ"),AND(J598=1,I598=0)),"?IN_FOCUS",IF(J598&lt;=2,"?ACTIVATED",IF(J598&lt;&gt;"","?FAMILIAR",IF(F598="NEW",IF(ISNA(VLOOKUP(E598,#REF!,1,FALSE())),"?TYPE_IDENTIFIABLE","?REFERENTIAL"),"_")))))</f>
        <v/>
      </c>
      <c r="H598" s="23" t="str">
        <f t="shared" ca="1" si="45"/>
        <v/>
      </c>
      <c r="I598" s="24" t="str">
        <f>IF(OR(E598="",E598="!!!",F598="NEW"),"",INDEX(B$2:B597,-1+SUMPRODUCT(MAX(ROW(E$2:E597)*(E598=E$2:E597)))))</f>
        <v/>
      </c>
      <c r="J598" s="24" t="str">
        <f ca="1">IF(OR(E598="",E598="!!!",F598="NEW"),"",COUNTBLANK(OFFSET(A$1,,,SUMPRODUCT(MAX(ROW(E$2:E598)*(E598=E$2:E598)))))-COUNTBLANK(OFFSET(A$1,,,SUMPRODUCT(MAX(ROW(E$1:E597)*(E2=E$1:E597))))))</f>
        <v/>
      </c>
      <c r="K598" s="24" t="str">
        <f>IF(OR(E598="",E598="!!!",F598="NEW"),"",INDEX(J$1:J597,SUMPRODUCT(MAX(ROW(E$1:E597)*(E598=E$1:E597)))))</f>
        <v/>
      </c>
      <c r="L598" s="25"/>
    </row>
    <row r="599" spans="1:12" x14ac:dyDescent="0.3">
      <c r="A599" t="s">
        <v>238</v>
      </c>
      <c r="E599" s="20" t="str">
        <f t="shared" si="44"/>
        <v/>
      </c>
      <c r="F599" s="21" t="str">
        <f>IF(OR(E599="",E599="!!!"),"",IF(NOT(ISNA(VLOOKUP(E599,E$1:E598,1,FALSE()))),"OLD",IF(AND(E599&lt;&gt;"",E599&lt;&gt;"!!!"),"NEW","")))</f>
        <v/>
      </c>
      <c r="G599" s="22" t="str">
        <f>IF(OR(E599="",E599="!!!"),"",IF(OR(J599=0,AND(J599=1,K599=1),AND(J599=1,I599="SBJ"),AND(J599=1,I599=0)),"?IN_FOCUS",IF(J599&lt;=2,"?ACTIVATED",IF(J599&lt;&gt;"","?FAMILIAR",IF(F599="NEW",IF(ISNA(VLOOKUP(E599,#REF!,1,FALSE())),"?TYPE_IDENTIFIABLE","?REFERENTIAL"),"_")))))</f>
        <v/>
      </c>
      <c r="H599" s="23" t="str">
        <f t="shared" ca="1" si="45"/>
        <v/>
      </c>
      <c r="I599" s="24" t="str">
        <f>IF(OR(E599="",E599="!!!",F599="NEW"),"",INDEX(B$2:B598,-1+SUMPRODUCT(MAX(ROW(E$2:E598)*(E599=E$2:E598)))))</f>
        <v/>
      </c>
      <c r="J599" s="24" t="str">
        <f ca="1">IF(OR(E599="",E599="!!!",F599="NEW"),"",COUNTBLANK(OFFSET(A$1,,,SUMPRODUCT(MAX(ROW(E$2:E599)*(E599=E$2:E599)))))-COUNTBLANK(OFFSET(A$1,,,SUMPRODUCT(MAX(ROW(E$1:E598)*(E2=E$1:E598))))))</f>
        <v/>
      </c>
      <c r="K599" s="24" t="str">
        <f>IF(OR(E599="",E599="!!!",F599="NEW"),"",INDEX(J$1:J598,SUMPRODUCT(MAX(ROW(E$1:E598)*(E599=E$1:E598)))))</f>
        <v/>
      </c>
      <c r="L599" s="25"/>
    </row>
    <row r="600" spans="1:12" x14ac:dyDescent="0.3">
      <c r="A600" t="s">
        <v>503</v>
      </c>
      <c r="E600" s="20" t="str">
        <f t="shared" si="44"/>
        <v/>
      </c>
      <c r="F600" s="21" t="str">
        <f>IF(OR(E600="",E600="!!!"),"",IF(NOT(ISNA(VLOOKUP(E600,E$1:E599,1,FALSE()))),"OLD",IF(AND(E600&lt;&gt;"",E600&lt;&gt;"!!!"),"NEW","")))</f>
        <v/>
      </c>
      <c r="G600" s="22" t="str">
        <f>IF(OR(E600="",E600="!!!"),"",IF(OR(J600=0,AND(J600=1,K600=1),AND(J600=1,I600="SBJ"),AND(J600=1,I600=0)),"?IN_FOCUS",IF(J600&lt;=2,"?ACTIVATED",IF(J600&lt;&gt;"","?FAMILIAR",IF(F600="NEW",IF(ISNA(VLOOKUP(E600,#REF!,1,FALSE())),"?TYPE_IDENTIFIABLE","?REFERENTIAL"),"_")))))</f>
        <v/>
      </c>
      <c r="H600" s="23" t="str">
        <f t="shared" ca="1" si="45"/>
        <v/>
      </c>
      <c r="I600" s="24" t="str">
        <f>IF(OR(E600="",E600="!!!",F600="NEW"),"",INDEX(B$2:B599,-1+SUMPRODUCT(MAX(ROW(E$2:E599)*(E600=E$2:E599)))))</f>
        <v/>
      </c>
      <c r="J600" s="24" t="str">
        <f ca="1">IF(OR(E600="",E600="!!!",F600="NEW"),"",COUNTBLANK(OFFSET(A$1,,,SUMPRODUCT(MAX(ROW(E$2:E600)*(E600=E$2:E600)))))-COUNTBLANK(OFFSET(A$1,,,SUMPRODUCT(MAX(ROW(E$1:E599)*(E2=E$1:E599))))))</f>
        <v/>
      </c>
      <c r="K600" s="24" t="str">
        <f>IF(OR(E600="",E600="!!!",F600="NEW"),"",INDEX(J$1:J599,SUMPRODUCT(MAX(ROW(E$1:E599)*(E600=E$1:E599)))))</f>
        <v/>
      </c>
      <c r="L600" s="25"/>
    </row>
    <row r="601" spans="1:12" x14ac:dyDescent="0.3">
      <c r="A601" t="s">
        <v>504</v>
      </c>
      <c r="B601" s="26" t="s">
        <v>229</v>
      </c>
      <c r="C601" s="26" t="s">
        <v>240</v>
      </c>
      <c r="E601" s="20" t="str">
        <f t="shared" si="44"/>
        <v/>
      </c>
      <c r="F601" s="21" t="str">
        <f>IF(OR(E601="",E601="!!!"),"",IF(NOT(ISNA(VLOOKUP(E601,E$1:E600,1,FALSE()))),"OLD",IF(AND(E601&lt;&gt;"",E601&lt;&gt;"!!!"),"NEW","")))</f>
        <v/>
      </c>
      <c r="G601" s="22" t="str">
        <f>IF(OR(E601="",E601="!!!"),"",IF(OR(J601=0,AND(J601=1,K601=1),AND(J601=1,I601="SBJ"),AND(J601=1,I601=0)),"?IN_FOCUS",IF(J601&lt;=2,"?ACTIVATED",IF(J601&lt;&gt;"","?FAMILIAR",IF(F601="NEW",IF(ISNA(VLOOKUP(E601,#REF!,1,FALSE())),"?TYPE_IDENTIFIABLE","?REFERENTIAL"),"_")))))</f>
        <v/>
      </c>
      <c r="H601" s="23" t="str">
        <f t="shared" ca="1" si="45"/>
        <v/>
      </c>
      <c r="I601" s="24" t="str">
        <f>IF(OR(E601="",E601="!!!",F601="NEW"),"",INDEX(B$2:B600,-1+SUMPRODUCT(MAX(ROW(E$2:E600)*(E601=E$2:E600)))))</f>
        <v/>
      </c>
      <c r="J601" s="24" t="str">
        <f ca="1">IF(OR(E601="",E601="!!!",F601="NEW"),"",COUNTBLANK(OFFSET(A$1,,,SUMPRODUCT(MAX(ROW(E$2:E601)*(E601=E$2:E601)))))-COUNTBLANK(OFFSET(A$1,,,SUMPRODUCT(MAX(ROW(E$1:E600)*(E2=E$1:E600))))))</f>
        <v/>
      </c>
      <c r="K601" s="24" t="str">
        <f>IF(OR(E601="",E601="!!!",F601="NEW"),"",INDEX(J$1:J600,SUMPRODUCT(MAX(ROW(E$1:E600)*(E601=E$1:E600)))))</f>
        <v/>
      </c>
      <c r="L601" s="25"/>
    </row>
    <row r="602" spans="1:12" x14ac:dyDescent="0.3">
      <c r="A602" t="s">
        <v>505</v>
      </c>
      <c r="E602" s="20" t="str">
        <f t="shared" si="44"/>
        <v/>
      </c>
      <c r="F602" s="21" t="str">
        <f>IF(OR(E602="",E602="!!!"),"",IF(NOT(ISNA(VLOOKUP(E602,E$1:E601,1,FALSE()))),"OLD",IF(AND(E602&lt;&gt;"",E602&lt;&gt;"!!!"),"NEW","")))</f>
        <v/>
      </c>
      <c r="G602" s="22" t="str">
        <f>IF(OR(E602="",E602="!!!"),"",IF(OR(J602=0,AND(J602=1,K602=1),AND(J602=1,I602="SBJ"),AND(J602=1,I602=0)),"?IN_FOCUS",IF(J602&lt;=2,"?ACTIVATED",IF(J602&lt;&gt;"","?FAMILIAR",IF(F602="NEW",IF(ISNA(VLOOKUP(E602,#REF!,1,FALSE())),"?TYPE_IDENTIFIABLE","?REFERENTIAL"),"_")))))</f>
        <v/>
      </c>
      <c r="H602" s="23" t="str">
        <f t="shared" ca="1" si="45"/>
        <v/>
      </c>
      <c r="I602" s="24" t="str">
        <f>IF(OR(E602="",E602="!!!",F602="NEW"),"",INDEX(B$2:B601,-1+SUMPRODUCT(MAX(ROW(E$2:E601)*(E602=E$2:E601)))))</f>
        <v/>
      </c>
      <c r="J602" s="24" t="str">
        <f ca="1">IF(OR(E602="",E602="!!!",F602="NEW"),"",COUNTBLANK(OFFSET(A$1,,,SUMPRODUCT(MAX(ROW(E$2:E602)*(E602=E$2:E602)))))-COUNTBLANK(OFFSET(A$1,,,SUMPRODUCT(MAX(ROW(E$1:E601)*(E2=E$1:E601))))))</f>
        <v/>
      </c>
      <c r="K602" s="24" t="str">
        <f>IF(OR(E602="",E602="!!!",F602="NEW"),"",INDEX(J$1:J601,SUMPRODUCT(MAX(ROW(E$1:E601)*(E602=E$1:E601)))))</f>
        <v/>
      </c>
      <c r="L602" s="25"/>
    </row>
    <row r="603" spans="1:12" x14ac:dyDescent="0.3">
      <c r="A603" t="s">
        <v>320</v>
      </c>
      <c r="E603" s="20" t="str">
        <f t="shared" si="44"/>
        <v/>
      </c>
      <c r="F603" s="21" t="str">
        <f>IF(OR(E603="",E603="!!!"),"",IF(NOT(ISNA(VLOOKUP(E603,E$1:E602,1,FALSE()))),"OLD",IF(AND(E603&lt;&gt;"",E603&lt;&gt;"!!!"),"NEW","")))</f>
        <v/>
      </c>
      <c r="G603" s="22" t="str">
        <f>IF(OR(E603="",E603="!!!"),"",IF(OR(J603=0,AND(J603=1,K603=1),AND(J603=1,I603="SBJ"),AND(J603=1,I603=0)),"?IN_FOCUS",IF(J603&lt;=2,"?ACTIVATED",IF(J603&lt;&gt;"","?FAMILIAR",IF(F603="NEW",IF(ISNA(VLOOKUP(E603,#REF!,1,FALSE())),"?TYPE_IDENTIFIABLE","?REFERENTIAL"),"_")))))</f>
        <v/>
      </c>
      <c r="H603" s="23" t="str">
        <f t="shared" ca="1" si="45"/>
        <v/>
      </c>
      <c r="I603" s="24" t="str">
        <f>IF(OR(E603="",E603="!!!",F603="NEW"),"",INDEX(B$2:B602,-1+SUMPRODUCT(MAX(ROW(E$2:E602)*(E603=E$2:E602)))))</f>
        <v/>
      </c>
      <c r="J603" s="24" t="str">
        <f ca="1">IF(OR(E603="",E603="!!!",F603="NEW"),"",COUNTBLANK(OFFSET(A$1,,,SUMPRODUCT(MAX(ROW(E$2:E603)*(E603=E$2:E603)))))-COUNTBLANK(OFFSET(A$1,,,SUMPRODUCT(MAX(ROW(E$1:E602)*(E2=E$1:E602))))))</f>
        <v/>
      </c>
      <c r="K603" s="24" t="str">
        <f>IF(OR(E603="",E603="!!!",F603="NEW"),"",INDEX(J$1:J602,SUMPRODUCT(MAX(ROW(E$1:E602)*(E603=E$1:E602)))))</f>
        <v/>
      </c>
      <c r="L603" s="25"/>
    </row>
    <row r="604" spans="1:12" x14ac:dyDescent="0.3">
      <c r="A604" t="s">
        <v>290</v>
      </c>
      <c r="B604" s="26" t="s">
        <v>269</v>
      </c>
      <c r="C604" s="26" t="s">
        <v>214</v>
      </c>
      <c r="D604" s="26" t="s">
        <v>215</v>
      </c>
      <c r="E604" s="20" t="s">
        <v>669</v>
      </c>
      <c r="F604" s="21" t="str">
        <f>IF(OR(E604="",E604="!!!"),"",IF(NOT(ISNA(VLOOKUP(E604,E$1:E603,1,FALSE()))),"OLD",IF(AND(E604&lt;&gt;"",E604&lt;&gt;"!!!"),"NEW","")))</f>
        <v>OLD</v>
      </c>
      <c r="G604" s="22" t="str">
        <f ca="1">IF(OR(E604="",E604="!!!"),"",IF(OR(J604=0,AND(J604=1,K604=1),AND(J604=1,I604="SBJ"),AND(J604=1,I604=0)),"?IN_FOCUS",IF(J604&lt;=2,"?ACTIVATED",IF(J604&lt;&gt;"","?FAMILIAR",IF(F604="NEW",IF(ISNA(VLOOKUP(E604,#REF!,1,FALSE())),"?TYPE_IDENTIFIABLE","?REFERENTIAL"),"_")))))</f>
        <v>?IN_FOCUS</v>
      </c>
      <c r="H604" s="23" t="str">
        <f t="shared" ca="1" si="45"/>
        <v/>
      </c>
      <c r="I604" s="24" t="str">
        <f>IF(OR(E604="",E604="!!!",F604="NEW"),"",INDEX(B$2:B603,-1+SUMPRODUCT(MAX(ROW(E$2:E603)*(E604=E$2:E603)))))</f>
        <v>other_6</v>
      </c>
      <c r="J604" s="24">
        <f ca="1">IF(OR(E604="",E604="!!!",F604="NEW"),"",COUNTBLANK(OFFSET(A$1,,,SUMPRODUCT(MAX(ROW(E$2:E604)*(E604=E$2:E604)))))-COUNTBLANK(OFFSET(A$1,,,SUMPRODUCT(MAX(ROW(E$1:E603)*(E2=E$1:E603))))))</f>
        <v>0</v>
      </c>
      <c r="K604" s="24">
        <f ca="1">IF(OR(E604="",E604="!!!",F604="NEW"),"",INDEX(J$1:J603,SUMPRODUCT(MAX(ROW(E$1:E603)*(E604=E$1:E603)))))</f>
        <v>0</v>
      </c>
      <c r="L604" s="25"/>
    </row>
    <row r="605" spans="1:12" x14ac:dyDescent="0.3">
      <c r="A605" t="s">
        <v>270</v>
      </c>
      <c r="E605" s="20" t="str">
        <f t="shared" si="44"/>
        <v/>
      </c>
      <c r="F605" s="21" t="str">
        <f>IF(OR(E605="",E605="!!!"),"",IF(NOT(ISNA(VLOOKUP(E605,E$1:E604,1,FALSE()))),"OLD",IF(AND(E605&lt;&gt;"",E605&lt;&gt;"!!!"),"NEW","")))</f>
        <v/>
      </c>
      <c r="G605" s="22" t="str">
        <f>IF(OR(E605="",E605="!!!"),"",IF(OR(J605=0,AND(J605=1,K605=1),AND(J605=1,I605="SBJ"),AND(J605=1,I605=0)),"?IN_FOCUS",IF(J605&lt;=2,"?ACTIVATED",IF(J605&lt;&gt;"","?FAMILIAR",IF(F605="NEW",IF(ISNA(VLOOKUP(E605,#REF!,1,FALSE())),"?TYPE_IDENTIFIABLE","?REFERENTIAL"),"_")))))</f>
        <v/>
      </c>
      <c r="H605" s="23" t="str">
        <f t="shared" ca="1" si="45"/>
        <v/>
      </c>
      <c r="I605" s="24" t="str">
        <f>IF(OR(E605="",E605="!!!",F605="NEW"),"",INDEX(B$2:B604,-1+SUMPRODUCT(MAX(ROW(E$2:E604)*(E605=E$2:E604)))))</f>
        <v/>
      </c>
      <c r="J605" s="24" t="str">
        <f ca="1">IF(OR(E605="",E605="!!!",F605="NEW"),"",COUNTBLANK(OFFSET(A$1,,,SUMPRODUCT(MAX(ROW(E$2:E605)*(E605=E$2:E605)))))-COUNTBLANK(OFFSET(A$1,,,SUMPRODUCT(MAX(ROW(E$1:E604)*(E2=E$1:E604))))))</f>
        <v/>
      </c>
      <c r="K605" s="24" t="str">
        <f>IF(OR(E605="",E605="!!!",F605="NEW"),"",INDEX(J$1:J604,SUMPRODUCT(MAX(ROW(E$1:E604)*(E605=E$1:E604)))))</f>
        <v/>
      </c>
      <c r="L605" s="25"/>
    </row>
    <row r="606" spans="1:12" x14ac:dyDescent="0.3">
      <c r="A606" t="s">
        <v>462</v>
      </c>
      <c r="B606" s="26" t="s">
        <v>266</v>
      </c>
      <c r="C606" s="26" t="s">
        <v>264</v>
      </c>
      <c r="D606" s="26" t="s">
        <v>215</v>
      </c>
      <c r="E606" s="20" t="s">
        <v>702</v>
      </c>
      <c r="F606" s="21" t="str">
        <f>IF(OR(E606="",E606="!!!"),"",IF(NOT(ISNA(VLOOKUP(E606,E$1:E605,1,FALSE()))),"OLD",IF(AND(E606&lt;&gt;"",E606&lt;&gt;"!!!"),"NEW","")))</f>
        <v>OLD</v>
      </c>
      <c r="G606" s="22" t="s">
        <v>657</v>
      </c>
      <c r="H606" s="23" t="str">
        <f t="shared" ca="1" si="45"/>
        <v/>
      </c>
      <c r="I606" s="24" t="str">
        <f>IF(OR(E606="",E606="!!!",F606="NEW"),"",INDEX(B$2:B605,-1+SUMPRODUCT(MAX(ROW(E$2:E605)*(E606=E$2:E605)))))</f>
        <v>other_2</v>
      </c>
      <c r="J606" s="24">
        <f ca="1">IF(OR(E606="",E606="!!!",F606="NEW"),"",COUNTBLANK(OFFSET(A$1,,,SUMPRODUCT(MAX(ROW(E$2:E606)*(E606=E$2:E606)))))-COUNTBLANK(OFFSET(A$1,,,SUMPRODUCT(MAX(ROW(E$1:E605)*(E2=E$1:E605))))))</f>
        <v>0</v>
      </c>
      <c r="K606" s="24" t="str">
        <f ca="1">IF(OR(E606="",E606="!!!",F606="NEW"),"",INDEX(J$1:J605,SUMPRODUCT(MAX(ROW(E$1:E605)*(E606=E$1:E605)))))</f>
        <v/>
      </c>
      <c r="L606" s="25"/>
    </row>
    <row r="607" spans="1:12" x14ac:dyDescent="0.3">
      <c r="A607" t="s">
        <v>234</v>
      </c>
      <c r="E607" s="20" t="str">
        <f t="shared" si="44"/>
        <v/>
      </c>
      <c r="F607" s="21" t="str">
        <f>IF(OR(E607="",E607="!!!"),"",IF(NOT(ISNA(VLOOKUP(E607,E$1:E606,1,FALSE()))),"OLD",IF(AND(E607&lt;&gt;"",E607&lt;&gt;"!!!"),"NEW","")))</f>
        <v/>
      </c>
      <c r="G607" s="22" t="str">
        <f>IF(OR(E607="",E607="!!!"),"",IF(OR(J607=0,AND(J607=1,K607=1),AND(J607=1,I607="SBJ"),AND(J607=1,I607=0)),"?IN_FOCUS",IF(J607&lt;=2,"?ACTIVATED",IF(J607&lt;&gt;"","?FAMILIAR",IF(F607="NEW",IF(ISNA(VLOOKUP(E607,#REF!,1,FALSE())),"?TYPE_IDENTIFIABLE","?REFERENTIAL"),"_")))))</f>
        <v/>
      </c>
      <c r="H607" s="23" t="str">
        <f t="shared" ca="1" si="45"/>
        <v/>
      </c>
      <c r="I607" s="24" t="str">
        <f>IF(OR(E607="",E607="!!!",F607="NEW"),"",INDEX(B$2:B606,-1+SUMPRODUCT(MAX(ROW(E$2:E606)*(E607=E$2:E606)))))</f>
        <v/>
      </c>
      <c r="J607" s="24" t="str">
        <f ca="1">IF(OR(E607="",E607="!!!",F607="NEW"),"",COUNTBLANK(OFFSET(A$1,,,SUMPRODUCT(MAX(ROW(E$2:E607)*(E607=E$2:E607)))))-COUNTBLANK(OFFSET(A$1,,,SUMPRODUCT(MAX(ROW(E$1:E606)*(E2=E$1:E606))))))</f>
        <v/>
      </c>
      <c r="K607" s="24" t="str">
        <f>IF(OR(E607="",E607="!!!",F607="NEW"),"",INDEX(J$1:J606,SUMPRODUCT(MAX(ROW(E$1:E606)*(E607=E$1:E606)))))</f>
        <v/>
      </c>
      <c r="L607" s="25"/>
    </row>
    <row r="609" spans="1:12" x14ac:dyDescent="0.3">
      <c r="A609" t="s">
        <v>506</v>
      </c>
    </row>
    <row r="610" spans="1:12" x14ac:dyDescent="0.3">
      <c r="A610" t="s">
        <v>507</v>
      </c>
      <c r="B610" s="26" t="s">
        <v>213</v>
      </c>
      <c r="C610" s="26" t="s">
        <v>230</v>
      </c>
      <c r="D610" s="26" t="s">
        <v>215</v>
      </c>
      <c r="E610" s="20"/>
      <c r="F610" s="21" t="s">
        <v>695</v>
      </c>
      <c r="G610" s="22" t="str">
        <f>IF(OR(E610="",E610="!!!"),"",IF(OR(J610=0,AND(J610=1,K610=1),AND(J610=1,I610="SBJ"),AND(J610=1,I610=0)),"?IN_FOCUS",IF(J610&lt;=2,"?ACTIVATED",IF(J610&lt;&gt;"","?FAMILIAR",IF(F610="NEW",IF(ISNA(VLOOKUP(E610,#REF!,1,FALSE())),"?TYPE_IDENTIFIABLE","?REFERENTIAL"),"_")))))</f>
        <v/>
      </c>
      <c r="H610" s="23" t="str">
        <f t="shared" ref="H610:H637" ca="1" si="46">IF(J610&lt;&gt;1,"",IF(I610="SBJ","CB","?"))</f>
        <v/>
      </c>
      <c r="I610" s="24" t="str">
        <f>IF(OR(E610="",E610="!!!",F610="NEW"),"",INDEX(B$2:B609,-1+SUMPRODUCT(MAX(ROW(E$2:E609)*(E610=E$2:E609)))))</f>
        <v/>
      </c>
      <c r="J610" s="24" t="str">
        <f ca="1">IF(OR(E610="",E610="!!!",F610="NEW"),"",COUNTBLANK(OFFSET(A$1,,,SUMPRODUCT(MAX(ROW(E$2:E610)*(E610=E$2:E610)))))-COUNTBLANK(OFFSET(A$1,,,SUMPRODUCT(MAX(ROW(E$1:E609)*(E2=E$1:E609))))))</f>
        <v/>
      </c>
      <c r="K610" s="24" t="str">
        <f>IF(OR(E610="",E610="!!!",F610="NEW"),"",INDEX(J$1:J609,SUMPRODUCT(MAX(ROW(E$1:E609)*(E610=E$1:E609)))))</f>
        <v/>
      </c>
      <c r="L610" s="25"/>
    </row>
    <row r="611" spans="1:12" x14ac:dyDescent="0.3">
      <c r="A611" t="s">
        <v>217</v>
      </c>
      <c r="E611" s="20" t="str">
        <f t="shared" ref="E611:E637" si="47">IF(D611="?OLD","!!!","")</f>
        <v/>
      </c>
      <c r="F611" s="21" t="str">
        <f>IF(OR(E611="",E611="!!!"),"",IF(NOT(ISNA(VLOOKUP(E611,E$1:E610,1,FALSE()))),"OLD",IF(AND(E611&lt;&gt;"",E611&lt;&gt;"!!!"),"NEW","")))</f>
        <v/>
      </c>
      <c r="G611" s="22" t="str">
        <f>IF(OR(E611="",E611="!!!"),"",IF(OR(J611=0,AND(J611=1,K611=1),AND(J611=1,I611="SBJ"),AND(J611=1,I611=0)),"?IN_FOCUS",IF(J611&lt;=2,"?ACTIVATED",IF(J611&lt;&gt;"","?FAMILIAR",IF(F611="NEW",IF(ISNA(VLOOKUP(E611,#REF!,1,FALSE())),"?TYPE_IDENTIFIABLE","?REFERENTIAL"),"_")))))</f>
        <v/>
      </c>
      <c r="H611" s="23" t="str">
        <f t="shared" ca="1" si="46"/>
        <v/>
      </c>
      <c r="I611" s="24" t="str">
        <f>IF(OR(E611="",E611="!!!",F611="NEW"),"",INDEX(B$2:B610,-1+SUMPRODUCT(MAX(ROW(E$2:E610)*(E611=E$2:E610)))))</f>
        <v/>
      </c>
      <c r="J611" s="24" t="str">
        <f ca="1">IF(OR(E611="",E611="!!!",F611="NEW"),"",COUNTBLANK(OFFSET(A$1,,,SUMPRODUCT(MAX(ROW(E$2:E611)*(E611=E$2:E611)))))-COUNTBLANK(OFFSET(A$1,,,SUMPRODUCT(MAX(ROW(E$1:E610)*(E2=E$1:E610))))))</f>
        <v/>
      </c>
      <c r="K611" s="24" t="str">
        <f>IF(OR(E611="",E611="!!!",F611="NEW"),"",INDEX(J$1:J610,SUMPRODUCT(MAX(ROW(E$1:E610)*(E611=E$1:E610)))))</f>
        <v/>
      </c>
      <c r="L611" s="25"/>
    </row>
    <row r="612" spans="1:12" x14ac:dyDescent="0.3">
      <c r="A612" t="s">
        <v>286</v>
      </c>
      <c r="E612" s="20" t="str">
        <f t="shared" si="47"/>
        <v/>
      </c>
      <c r="F612" s="21" t="str">
        <f>IF(OR(E612="",E612="!!!"),"",IF(NOT(ISNA(VLOOKUP(E612,E$1:E611,1,FALSE()))),"OLD",IF(AND(E612&lt;&gt;"",E612&lt;&gt;"!!!"),"NEW","")))</f>
        <v/>
      </c>
      <c r="G612" s="22" t="str">
        <f>IF(OR(E612="",E612="!!!"),"",IF(OR(J612=0,AND(J612=1,K612=1),AND(J612=1,I612="SBJ"),AND(J612=1,I612=0)),"?IN_FOCUS",IF(J612&lt;=2,"?ACTIVATED",IF(J612&lt;&gt;"","?FAMILIAR",IF(F612="NEW",IF(ISNA(VLOOKUP(E612,#REF!,1,FALSE())),"?TYPE_IDENTIFIABLE","?REFERENTIAL"),"_")))))</f>
        <v/>
      </c>
      <c r="H612" s="23" t="str">
        <f t="shared" ca="1" si="46"/>
        <v/>
      </c>
      <c r="I612" s="24" t="str">
        <f>IF(OR(E612="",E612="!!!",F612="NEW"),"",INDEX(B$2:B611,-1+SUMPRODUCT(MAX(ROW(E$2:E611)*(E612=E$2:E611)))))</f>
        <v/>
      </c>
      <c r="J612" s="24" t="str">
        <f ca="1">IF(OR(E612="",E612="!!!",F612="NEW"),"",COUNTBLANK(OFFSET(A$1,,,SUMPRODUCT(MAX(ROW(E$2:E612)*(E612=E$2:E612)))))-COUNTBLANK(OFFSET(A$1,,,SUMPRODUCT(MAX(ROW(E$1:E611)*(E2=E$1:E611))))))</f>
        <v/>
      </c>
      <c r="K612" s="24" t="str">
        <f>IF(OR(E612="",E612="!!!",F612="NEW"),"",INDEX(J$1:J611,SUMPRODUCT(MAX(ROW(E$1:E611)*(E612=E$1:E611)))))</f>
        <v/>
      </c>
      <c r="L612" s="25"/>
    </row>
    <row r="613" spans="1:12" x14ac:dyDescent="0.3">
      <c r="A613" t="s">
        <v>344</v>
      </c>
      <c r="E613" s="20" t="str">
        <f t="shared" si="47"/>
        <v/>
      </c>
      <c r="F613" s="21" t="str">
        <f>IF(OR(E613="",E613="!!!"),"",IF(NOT(ISNA(VLOOKUP(E613,E$1:E612,1,FALSE()))),"OLD",IF(AND(E613&lt;&gt;"",E613&lt;&gt;"!!!"),"NEW","")))</f>
        <v/>
      </c>
      <c r="G613" s="22" t="str">
        <f>IF(OR(E613="",E613="!!!"),"",IF(OR(J613=0,AND(J613=1,K613=1),AND(J613=1,I613="SBJ"),AND(J613=1,I613=0)),"?IN_FOCUS",IF(J613&lt;=2,"?ACTIVATED",IF(J613&lt;&gt;"","?FAMILIAR",IF(F613="NEW",IF(ISNA(VLOOKUP(E613,#REF!,1,FALSE())),"?TYPE_IDENTIFIABLE","?REFERENTIAL"),"_")))))</f>
        <v/>
      </c>
      <c r="H613" s="23" t="str">
        <f t="shared" ca="1" si="46"/>
        <v/>
      </c>
      <c r="I613" s="24" t="str">
        <f>IF(OR(E613="",E613="!!!",F613="NEW"),"",INDEX(B$2:B612,-1+SUMPRODUCT(MAX(ROW(E$2:E612)*(E613=E$2:E612)))))</f>
        <v/>
      </c>
      <c r="J613" s="24" t="str">
        <f ca="1">IF(OR(E613="",E613="!!!",F613="NEW"),"",COUNTBLANK(OFFSET(A$1,,,SUMPRODUCT(MAX(ROW(E$2:E613)*(E613=E$2:E613)))))-COUNTBLANK(OFFSET(A$1,,,SUMPRODUCT(MAX(ROW(E$1:E612)*(E2=E$1:E612))))))</f>
        <v/>
      </c>
      <c r="K613" s="24" t="str">
        <f>IF(OR(E613="",E613="!!!",F613="NEW"),"",INDEX(J$1:J612,SUMPRODUCT(MAX(ROW(E$1:E612)*(E613=E$1:E612)))))</f>
        <v/>
      </c>
      <c r="L613" s="25"/>
    </row>
    <row r="614" spans="1:12" x14ac:dyDescent="0.3">
      <c r="A614" t="s">
        <v>228</v>
      </c>
      <c r="B614" s="26" t="s">
        <v>250</v>
      </c>
      <c r="C614" s="26" t="s">
        <v>230</v>
      </c>
      <c r="D614" s="26" t="s">
        <v>215</v>
      </c>
      <c r="E614" s="20" t="s">
        <v>669</v>
      </c>
      <c r="F614" s="21" t="str">
        <f>IF(OR(E614="",E614="!!!"),"",IF(NOT(ISNA(VLOOKUP(E614,E$1:E613,1,FALSE()))),"OLD",IF(AND(E614&lt;&gt;"",E614&lt;&gt;"!!!"),"NEW","")))</f>
        <v>OLD</v>
      </c>
      <c r="G614" s="22" t="str">
        <f ca="1">IF(OR(E614="",E614="!!!"),"",IF(OR(J614=0,AND(J614=1,K614=1),AND(J614=1,I614="SBJ"),AND(J614=1,I614=0)),"?IN_FOCUS",IF(J614&lt;=2,"?ACTIVATED",IF(J614&lt;&gt;"","?FAMILIAR",IF(F614="NEW",IF(ISNA(VLOOKUP(E614,#REF!,1,FALSE())),"?TYPE_IDENTIFIABLE","?REFERENTIAL"),"_")))))</f>
        <v>?IN_FOCUS</v>
      </c>
      <c r="H614" s="23" t="s">
        <v>198</v>
      </c>
      <c r="I614" s="24" t="str">
        <f>IF(OR(E614="",E614="!!!",F614="NEW"),"",INDEX(B$2:B613,-1+SUMPRODUCT(MAX(ROW(E$2:E613)*(E614=E$2:E613)))))</f>
        <v>other_5</v>
      </c>
      <c r="J614" s="24">
        <f ca="1">IF(OR(E614="",E614="!!!",F614="NEW"),"",COUNTBLANK(OFFSET(A$1,,,SUMPRODUCT(MAX(ROW(E$2:E614)*(E614=E$2:E614)))))-COUNTBLANK(OFFSET(A$1,,,SUMPRODUCT(MAX(ROW(E$1:E613)*(E2=E$1:E613))))))</f>
        <v>0</v>
      </c>
      <c r="K614" s="24">
        <f ca="1">IF(OR(E614="",E614="!!!",F614="NEW"),"",INDEX(J$1:J613,SUMPRODUCT(MAX(ROW(E$1:E613)*(E614=E$1:E613)))))</f>
        <v>0</v>
      </c>
      <c r="L614" s="25"/>
    </row>
    <row r="615" spans="1:12" x14ac:dyDescent="0.3">
      <c r="A615" t="s">
        <v>217</v>
      </c>
      <c r="E615" s="20" t="str">
        <f t="shared" si="47"/>
        <v/>
      </c>
      <c r="F615" s="21" t="str">
        <f>IF(OR(E615="",E615="!!!"),"",IF(NOT(ISNA(VLOOKUP(E615,E$1:E614,1,FALSE()))),"OLD",IF(AND(E615&lt;&gt;"",E615&lt;&gt;"!!!"),"NEW","")))</f>
        <v/>
      </c>
      <c r="G615" s="22" t="str">
        <f>IF(OR(E615="",E615="!!!"),"",IF(OR(J615=0,AND(J615=1,K615=1),AND(J615=1,I615="SBJ"),AND(J615=1,I615=0)),"?IN_FOCUS",IF(J615&lt;=2,"?ACTIVATED",IF(J615&lt;&gt;"","?FAMILIAR",IF(F615="NEW",IF(ISNA(VLOOKUP(E615,#REF!,1,FALSE())),"?TYPE_IDENTIFIABLE","?REFERENTIAL"),"_")))))</f>
        <v/>
      </c>
      <c r="H615" s="23" t="str">
        <f t="shared" ca="1" si="46"/>
        <v/>
      </c>
      <c r="I615" s="24" t="str">
        <f>IF(OR(E615="",E615="!!!",F615="NEW"),"",INDEX(B$2:B614,-1+SUMPRODUCT(MAX(ROW(E$2:E614)*(E615=E$2:E614)))))</f>
        <v/>
      </c>
      <c r="J615" s="24" t="str">
        <f ca="1">IF(OR(E615="",E615="!!!",F615="NEW"),"",COUNTBLANK(OFFSET(A$1,,,SUMPRODUCT(MAX(ROW(E$2:E615)*(E615=E$2:E615)))))-COUNTBLANK(OFFSET(A$1,,,SUMPRODUCT(MAX(ROW(E$1:E614)*(E2=E$1:E614))))))</f>
        <v/>
      </c>
      <c r="K615" s="24" t="str">
        <f>IF(OR(E615="",E615="!!!",F615="NEW"),"",INDEX(J$1:J614,SUMPRODUCT(MAX(ROW(E$1:E614)*(E615=E$1:E614)))))</f>
        <v/>
      </c>
      <c r="L615" s="25"/>
    </row>
    <row r="616" spans="1:12" x14ac:dyDescent="0.3">
      <c r="A616" t="s">
        <v>320</v>
      </c>
      <c r="E616" s="20" t="str">
        <f t="shared" si="47"/>
        <v/>
      </c>
      <c r="F616" s="21" t="str">
        <f>IF(OR(E616="",E616="!!!"),"",IF(NOT(ISNA(VLOOKUP(E616,E$1:E615,1,FALSE()))),"OLD",IF(AND(E616&lt;&gt;"",E616&lt;&gt;"!!!"),"NEW","")))</f>
        <v/>
      </c>
      <c r="G616" s="22" t="str">
        <f>IF(OR(E616="",E616="!!!"),"",IF(OR(J616=0,AND(J616=1,K616=1),AND(J616=1,I616="SBJ"),AND(J616=1,I616=0)),"?IN_FOCUS",IF(J616&lt;=2,"?ACTIVATED",IF(J616&lt;&gt;"","?FAMILIAR",IF(F616="NEW",IF(ISNA(VLOOKUP(E616,#REF!,1,FALSE())),"?TYPE_IDENTIFIABLE","?REFERENTIAL"),"_")))))</f>
        <v/>
      </c>
      <c r="H616" s="23" t="str">
        <f t="shared" ca="1" si="46"/>
        <v/>
      </c>
      <c r="I616" s="24" t="str">
        <f>IF(OR(E616="",E616="!!!",F616="NEW"),"",INDEX(B$2:B615,-1+SUMPRODUCT(MAX(ROW(E$2:E615)*(E616=E$2:E615)))))</f>
        <v/>
      </c>
      <c r="J616" s="24" t="str">
        <f ca="1">IF(OR(E616="",E616="!!!",F616="NEW"),"",COUNTBLANK(OFFSET(A$1,,,SUMPRODUCT(MAX(ROW(E$2:E616)*(E616=E$2:E616)))))-COUNTBLANK(OFFSET(A$1,,,SUMPRODUCT(MAX(ROW(E$1:E615)*(E2=E$1:E615))))))</f>
        <v/>
      </c>
      <c r="K616" s="24" t="str">
        <f>IF(OR(E616="",E616="!!!",F616="NEW"),"",INDEX(J$1:J615,SUMPRODUCT(MAX(ROW(E$1:E615)*(E616=E$1:E615)))))</f>
        <v/>
      </c>
      <c r="L616" s="25"/>
    </row>
    <row r="617" spans="1:12" x14ac:dyDescent="0.3">
      <c r="A617" t="s">
        <v>220</v>
      </c>
      <c r="E617" s="20" t="str">
        <f t="shared" si="47"/>
        <v/>
      </c>
      <c r="F617" s="21" t="str">
        <f>IF(OR(E617="",E617="!!!"),"",IF(NOT(ISNA(VLOOKUP(E617,E$1:E616,1,FALSE()))),"OLD",IF(AND(E617&lt;&gt;"",E617&lt;&gt;"!!!"),"NEW","")))</f>
        <v/>
      </c>
      <c r="G617" s="22" t="str">
        <f>IF(OR(E617="",E617="!!!"),"",IF(OR(J617=0,AND(J617=1,K617=1),AND(J617=1,I617="SBJ"),AND(J617=1,I617=0)),"?IN_FOCUS",IF(J617&lt;=2,"?ACTIVATED",IF(J617&lt;&gt;"","?FAMILIAR",IF(F617="NEW",IF(ISNA(VLOOKUP(E617,#REF!,1,FALSE())),"?TYPE_IDENTIFIABLE","?REFERENTIAL"),"_")))))</f>
        <v/>
      </c>
      <c r="H617" s="23" t="str">
        <f t="shared" ca="1" si="46"/>
        <v/>
      </c>
      <c r="I617" s="24" t="str">
        <f>IF(OR(E617="",E617="!!!",F617="NEW"),"",INDEX(B$2:B616,-1+SUMPRODUCT(MAX(ROW(E$2:E616)*(E617=E$2:E616)))))</f>
        <v/>
      </c>
      <c r="J617" s="24" t="str">
        <f ca="1">IF(OR(E617="",E617="!!!",F617="NEW"),"",COUNTBLANK(OFFSET(A$1,,,SUMPRODUCT(MAX(ROW(E$2:E617)*(E617=E$2:E617)))))-COUNTBLANK(OFFSET(A$1,,,SUMPRODUCT(MAX(ROW(E$1:E616)*(E2=E$1:E616))))))</f>
        <v/>
      </c>
      <c r="K617" s="24" t="str">
        <f>IF(OR(E617="",E617="!!!",F617="NEW"),"",INDEX(J$1:J616,SUMPRODUCT(MAX(ROW(E$1:E616)*(E617=E$1:E616)))))</f>
        <v/>
      </c>
      <c r="L617" s="25"/>
    </row>
    <row r="618" spans="1:12" x14ac:dyDescent="0.3">
      <c r="A618" t="s">
        <v>508</v>
      </c>
      <c r="B618" s="26" t="s">
        <v>325</v>
      </c>
      <c r="C618" s="26" t="s">
        <v>222</v>
      </c>
      <c r="D618" s="26" t="s">
        <v>215</v>
      </c>
      <c r="E618" s="20"/>
      <c r="F618" s="21" t="s">
        <v>666</v>
      </c>
      <c r="G618" s="22" t="str">
        <f>IF(OR(E618="",E618="!!!"),"",IF(OR(J618=0,AND(J618=1,K618=1),AND(J618=1,I618="SBJ"),AND(J618=1,I618=0)),"?IN_FOCUS",IF(J618&lt;=2,"?ACTIVATED",IF(J618&lt;&gt;"","?FAMILIAR",IF(F618="NEW",IF(ISNA(VLOOKUP(E618,#REF!,1,FALSE())),"?TYPE_IDENTIFIABLE","?REFERENTIAL"),"_")))))</f>
        <v/>
      </c>
      <c r="H618" s="23" t="str">
        <f t="shared" ca="1" si="46"/>
        <v/>
      </c>
      <c r="I618" s="24" t="str">
        <f>IF(OR(E618="",E618="!!!",F618="NEW"),"",INDEX(B$2:B617,-1+SUMPRODUCT(MAX(ROW(E$2:E617)*(E618=E$2:E617)))))</f>
        <v/>
      </c>
      <c r="J618" s="24" t="str">
        <f ca="1">IF(OR(E618="",E618="!!!",F618="NEW"),"",COUNTBLANK(OFFSET(A$1,,,SUMPRODUCT(MAX(ROW(E$2:E618)*(E618=E$2:E618)))))-COUNTBLANK(OFFSET(A$1,,,SUMPRODUCT(MAX(ROW(E$1:E617)*(E2=E$1:E617))))))</f>
        <v/>
      </c>
      <c r="K618" s="24" t="str">
        <f>IF(OR(E618="",E618="!!!",F618="NEW"),"",INDEX(J$1:J617,SUMPRODUCT(MAX(ROW(E$1:E617)*(E618=E$1:E617)))))</f>
        <v/>
      </c>
      <c r="L618" s="25"/>
    </row>
    <row r="619" spans="1:12" x14ac:dyDescent="0.3">
      <c r="A619" t="s">
        <v>223</v>
      </c>
      <c r="E619" s="20" t="str">
        <f t="shared" si="47"/>
        <v/>
      </c>
      <c r="F619" s="21" t="str">
        <f>IF(OR(E619="",E619="!!!"),"",IF(NOT(ISNA(VLOOKUP(E619,E$1:E618,1,FALSE()))),"OLD",IF(AND(E619&lt;&gt;"",E619&lt;&gt;"!!!"),"NEW","")))</f>
        <v/>
      </c>
      <c r="G619" s="22" t="str">
        <f>IF(OR(E619="",E619="!!!"),"",IF(OR(J619=0,AND(J619=1,K619=1),AND(J619=1,I619="SBJ"),AND(J619=1,I619=0)),"?IN_FOCUS",IF(J619&lt;=2,"?ACTIVATED",IF(J619&lt;&gt;"","?FAMILIAR",IF(F619="NEW",IF(ISNA(VLOOKUP(E619,#REF!,1,FALSE())),"?TYPE_IDENTIFIABLE","?REFERENTIAL"),"_")))))</f>
        <v/>
      </c>
      <c r="H619" s="23" t="str">
        <f t="shared" ca="1" si="46"/>
        <v/>
      </c>
      <c r="I619" s="24" t="str">
        <f>IF(OR(E619="",E619="!!!",F619="NEW"),"",INDEX(B$2:B618,-1+SUMPRODUCT(MAX(ROW(E$2:E618)*(E619=E$2:E618)))))</f>
        <v/>
      </c>
      <c r="J619" s="24" t="str">
        <f ca="1">IF(OR(E619="",E619="!!!",F619="NEW"),"",COUNTBLANK(OFFSET(A$1,,,SUMPRODUCT(MAX(ROW(E$2:E619)*(E619=E$2:E619)))))-COUNTBLANK(OFFSET(A$1,,,SUMPRODUCT(MAX(ROW(E$1:E618)*(E2=E$1:E618))))))</f>
        <v/>
      </c>
      <c r="K619" s="24" t="str">
        <f>IF(OR(E619="",E619="!!!",F619="NEW"),"",INDEX(J$1:J618,SUMPRODUCT(MAX(ROW(E$1:E618)*(E619=E$1:E618)))))</f>
        <v/>
      </c>
      <c r="L619" s="25"/>
    </row>
    <row r="620" spans="1:12" x14ac:dyDescent="0.3">
      <c r="A620" t="s">
        <v>509</v>
      </c>
      <c r="E620" s="20" t="str">
        <f t="shared" si="47"/>
        <v/>
      </c>
      <c r="F620" s="21" t="str">
        <f>IF(OR(E620="",E620="!!!"),"",IF(NOT(ISNA(VLOOKUP(E620,E$1:E619,1,FALSE()))),"OLD",IF(AND(E620&lt;&gt;"",E620&lt;&gt;"!!!"),"NEW","")))</f>
        <v/>
      </c>
      <c r="G620" s="22" t="str">
        <f>IF(OR(E620="",E620="!!!"),"",IF(OR(J620=0,AND(J620=1,K620=1),AND(J620=1,I620="SBJ"),AND(J620=1,I620=0)),"?IN_FOCUS",IF(J620&lt;=2,"?ACTIVATED",IF(J620&lt;&gt;"","?FAMILIAR",IF(F620="NEW",IF(ISNA(VLOOKUP(E620,#REF!,1,FALSE())),"?TYPE_IDENTIFIABLE","?REFERENTIAL"),"_")))))</f>
        <v/>
      </c>
      <c r="H620" s="23" t="str">
        <f t="shared" ca="1" si="46"/>
        <v/>
      </c>
      <c r="I620" s="24" t="str">
        <f>IF(OR(E620="",E620="!!!",F620="NEW"),"",INDEX(B$2:B619,-1+SUMPRODUCT(MAX(ROW(E$2:E619)*(E620=E$2:E619)))))</f>
        <v/>
      </c>
      <c r="J620" s="24" t="str">
        <f ca="1">IF(OR(E620="",E620="!!!",F620="NEW"),"",COUNTBLANK(OFFSET(A$1,,,SUMPRODUCT(MAX(ROW(E$2:E620)*(E620=E$2:E620)))))-COUNTBLANK(OFFSET(A$1,,,SUMPRODUCT(MAX(ROW(E$1:E619)*(E2=E$1:E619))))))</f>
        <v/>
      </c>
      <c r="K620" s="24" t="str">
        <f>IF(OR(E620="",E620="!!!",F620="NEW"),"",INDEX(J$1:J619,SUMPRODUCT(MAX(ROW(E$1:E619)*(E620=E$1:E619)))))</f>
        <v/>
      </c>
      <c r="L620" s="25"/>
    </row>
    <row r="621" spans="1:12" x14ac:dyDescent="0.3">
      <c r="A621" t="s">
        <v>465</v>
      </c>
      <c r="E621" s="20" t="str">
        <f t="shared" si="47"/>
        <v/>
      </c>
      <c r="F621" s="21" t="str">
        <f>IF(OR(E621="",E621="!!!"),"",IF(NOT(ISNA(VLOOKUP(E621,E$1:E620,1,FALSE()))),"OLD",IF(AND(E621&lt;&gt;"",E621&lt;&gt;"!!!"),"NEW","")))</f>
        <v/>
      </c>
      <c r="G621" s="22" t="str">
        <f>IF(OR(E621="",E621="!!!"),"",IF(OR(J621=0,AND(J621=1,K621=1),AND(J621=1,I621="SBJ"),AND(J621=1,I621=0)),"?IN_FOCUS",IF(J621&lt;=2,"?ACTIVATED",IF(J621&lt;&gt;"","?FAMILIAR",IF(F621="NEW",IF(ISNA(VLOOKUP(E621,#REF!,1,FALSE())),"?TYPE_IDENTIFIABLE","?REFERENTIAL"),"_")))))</f>
        <v/>
      </c>
      <c r="H621" s="23" t="str">
        <f t="shared" ca="1" si="46"/>
        <v/>
      </c>
      <c r="I621" s="24" t="str">
        <f>IF(OR(E621="",E621="!!!",F621="NEW"),"",INDEX(B$2:B620,-1+SUMPRODUCT(MAX(ROW(E$2:E620)*(E621=E$2:E620)))))</f>
        <v/>
      </c>
      <c r="J621" s="24" t="str">
        <f ca="1">IF(OR(E621="",E621="!!!",F621="NEW"),"",COUNTBLANK(OFFSET(A$1,,,SUMPRODUCT(MAX(ROW(E$2:E621)*(E621=E$2:E621)))))-COUNTBLANK(OFFSET(A$1,,,SUMPRODUCT(MAX(ROW(E$1:E620)*(E2=E$1:E620))))))</f>
        <v/>
      </c>
      <c r="K621" s="24" t="str">
        <f>IF(OR(E621="",E621="!!!",F621="NEW"),"",INDEX(J$1:J620,SUMPRODUCT(MAX(ROW(E$1:E620)*(E621=E$1:E620)))))</f>
        <v/>
      </c>
      <c r="L621" s="25"/>
    </row>
    <row r="622" spans="1:12" x14ac:dyDescent="0.3">
      <c r="A622" t="s">
        <v>510</v>
      </c>
      <c r="B622" s="26" t="s">
        <v>266</v>
      </c>
      <c r="C622" s="26" t="s">
        <v>206</v>
      </c>
      <c r="E622" s="20" t="str">
        <f t="shared" si="47"/>
        <v/>
      </c>
      <c r="F622" s="21" t="str">
        <f>IF(OR(E622="",E622="!!!"),"",IF(NOT(ISNA(VLOOKUP(E622,E$1:E621,1,FALSE()))),"OLD",IF(AND(E622&lt;&gt;"",E622&lt;&gt;"!!!"),"NEW","")))</f>
        <v/>
      </c>
      <c r="G622" s="22" t="str">
        <f>IF(OR(E622="",E622="!!!"),"",IF(OR(J622=0,AND(J622=1,K622=1),AND(J622=1,I622="SBJ"),AND(J622=1,I622=0)),"?IN_FOCUS",IF(J622&lt;=2,"?ACTIVATED",IF(J622&lt;&gt;"","?FAMILIAR",IF(F622="NEW",IF(ISNA(VLOOKUP(E622,#REF!,1,FALSE())),"?TYPE_IDENTIFIABLE","?REFERENTIAL"),"_")))))</f>
        <v/>
      </c>
      <c r="H622" s="23" t="str">
        <f t="shared" ca="1" si="46"/>
        <v/>
      </c>
      <c r="I622" s="24" t="str">
        <f>IF(OR(E622="",E622="!!!",F622="NEW"),"",INDEX(B$2:B621,-1+SUMPRODUCT(MAX(ROW(E$2:E621)*(E622=E$2:E621)))))</f>
        <v/>
      </c>
      <c r="J622" s="24" t="str">
        <f ca="1">IF(OR(E622="",E622="!!!",F622="NEW"),"",COUNTBLANK(OFFSET(A$1,,,SUMPRODUCT(MAX(ROW(E$2:E622)*(E622=E$2:E622)))))-COUNTBLANK(OFFSET(A$1,,,SUMPRODUCT(MAX(ROW(E$1:E621)*(E2=E$1:E621))))))</f>
        <v/>
      </c>
      <c r="K622" s="24" t="str">
        <f>IF(OR(E622="",E622="!!!",F622="NEW"),"",INDEX(J$1:J621,SUMPRODUCT(MAX(ROW(E$1:E621)*(E622=E$1:E621)))))</f>
        <v/>
      </c>
      <c r="L622" s="25"/>
    </row>
    <row r="623" spans="1:12" x14ac:dyDescent="0.3">
      <c r="A623" t="s">
        <v>207</v>
      </c>
      <c r="E623" s="20" t="str">
        <f t="shared" si="47"/>
        <v/>
      </c>
      <c r="F623" s="21" t="str">
        <f>IF(OR(E623="",E623="!!!"),"",IF(NOT(ISNA(VLOOKUP(E623,E$1:E622,1,FALSE()))),"OLD",IF(AND(E623&lt;&gt;"",E623&lt;&gt;"!!!"),"NEW","")))</f>
        <v/>
      </c>
      <c r="G623" s="22" t="str">
        <f>IF(OR(E623="",E623="!!!"),"",IF(OR(J623=0,AND(J623=1,K623=1),AND(J623=1,I623="SBJ"),AND(J623=1,I623=0)),"?IN_FOCUS",IF(J623&lt;=2,"?ACTIVATED",IF(J623&lt;&gt;"","?FAMILIAR",IF(F623="NEW",IF(ISNA(VLOOKUP(E623,#REF!,1,FALSE())),"?TYPE_IDENTIFIABLE","?REFERENTIAL"),"_")))))</f>
        <v/>
      </c>
      <c r="H623" s="23" t="str">
        <f t="shared" ca="1" si="46"/>
        <v/>
      </c>
      <c r="I623" s="24" t="str">
        <f>IF(OR(E623="",E623="!!!",F623="NEW"),"",INDEX(B$2:B622,-1+SUMPRODUCT(MAX(ROW(E$2:E622)*(E623=E$2:E622)))))</f>
        <v/>
      </c>
      <c r="J623" s="24" t="str">
        <f ca="1">IF(OR(E623="",E623="!!!",F623="NEW"),"",COUNTBLANK(OFFSET(A$1,,,SUMPRODUCT(MAX(ROW(E$2:E623)*(E623=E$2:E623)))))-COUNTBLANK(OFFSET(A$1,,,SUMPRODUCT(MAX(ROW(E$1:E622)*(E2=E$1:E622))))))</f>
        <v/>
      </c>
      <c r="K623" s="24" t="str">
        <f>IF(OR(E623="",E623="!!!",F623="NEW"),"",INDEX(J$1:J622,SUMPRODUCT(MAX(ROW(E$1:E622)*(E623=E$1:E622)))))</f>
        <v/>
      </c>
      <c r="L623" s="25"/>
    </row>
    <row r="624" spans="1:12" x14ac:dyDescent="0.3">
      <c r="A624" t="s">
        <v>238</v>
      </c>
      <c r="E624" s="20" t="str">
        <f t="shared" si="47"/>
        <v/>
      </c>
      <c r="F624" s="21" t="str">
        <f>IF(OR(E624="",E624="!!!"),"",IF(NOT(ISNA(VLOOKUP(E624,E$1:E623,1,FALSE()))),"OLD",IF(AND(E624&lt;&gt;"",E624&lt;&gt;"!!!"),"NEW","")))</f>
        <v/>
      </c>
      <c r="G624" s="22" t="str">
        <f>IF(OR(E624="",E624="!!!"),"",IF(OR(J624=0,AND(J624=1,K624=1),AND(J624=1,I624="SBJ"),AND(J624=1,I624=0)),"?IN_FOCUS",IF(J624&lt;=2,"?ACTIVATED",IF(J624&lt;&gt;"","?FAMILIAR",IF(F624="NEW",IF(ISNA(VLOOKUP(E624,#REF!,1,FALSE())),"?TYPE_IDENTIFIABLE","?REFERENTIAL"),"_")))))</f>
        <v/>
      </c>
      <c r="H624" s="23" t="str">
        <f t="shared" ca="1" si="46"/>
        <v/>
      </c>
      <c r="I624" s="24" t="str">
        <f>IF(OR(E624="",E624="!!!",F624="NEW"),"",INDEX(B$2:B623,-1+SUMPRODUCT(MAX(ROW(E$2:E623)*(E624=E$2:E623)))))</f>
        <v/>
      </c>
      <c r="J624" s="24" t="str">
        <f ca="1">IF(OR(E624="",E624="!!!",F624="NEW"),"",COUNTBLANK(OFFSET(A$1,,,SUMPRODUCT(MAX(ROW(E$2:E624)*(E624=E$2:E624)))))-COUNTBLANK(OFFSET(A$1,,,SUMPRODUCT(MAX(ROW(E$1:E623)*(E2=E$1:E623))))))</f>
        <v/>
      </c>
      <c r="K624" s="24" t="str">
        <f>IF(OR(E624="",E624="!!!",F624="NEW"),"",INDEX(J$1:J623,SUMPRODUCT(MAX(ROW(E$1:E623)*(E624=E$1:E623)))))</f>
        <v/>
      </c>
      <c r="L624" s="25"/>
    </row>
    <row r="625" spans="1:12" x14ac:dyDescent="0.3">
      <c r="A625" t="s">
        <v>511</v>
      </c>
      <c r="E625" s="20" t="str">
        <f t="shared" si="47"/>
        <v/>
      </c>
      <c r="F625" s="21" t="str">
        <f>IF(OR(E625="",E625="!!!"),"",IF(NOT(ISNA(VLOOKUP(E625,E$1:E624,1,FALSE()))),"OLD",IF(AND(E625&lt;&gt;"",E625&lt;&gt;"!!!"),"NEW","")))</f>
        <v/>
      </c>
      <c r="G625" s="22" t="str">
        <f>IF(OR(E625="",E625="!!!"),"",IF(OR(J625=0,AND(J625=1,K625=1),AND(J625=1,I625="SBJ"),AND(J625=1,I625=0)),"?IN_FOCUS",IF(J625&lt;=2,"?ACTIVATED",IF(J625&lt;&gt;"","?FAMILIAR",IF(F625="NEW",IF(ISNA(VLOOKUP(E625,#REF!,1,FALSE())),"?TYPE_IDENTIFIABLE","?REFERENTIAL"),"_")))))</f>
        <v/>
      </c>
      <c r="H625" s="23" t="str">
        <f t="shared" ca="1" si="46"/>
        <v/>
      </c>
      <c r="I625" s="24" t="str">
        <f>IF(OR(E625="",E625="!!!",F625="NEW"),"",INDEX(B$2:B624,-1+SUMPRODUCT(MAX(ROW(E$2:E624)*(E625=E$2:E624)))))</f>
        <v/>
      </c>
      <c r="J625" s="24" t="str">
        <f ca="1">IF(OR(E625="",E625="!!!",F625="NEW"),"",COUNTBLANK(OFFSET(A$1,,,SUMPRODUCT(MAX(ROW(E$2:E625)*(E625=E$2:E625)))))-COUNTBLANK(OFFSET(A$1,,,SUMPRODUCT(MAX(ROW(E$1:E624)*(E2=E$1:E624))))))</f>
        <v/>
      </c>
      <c r="K625" s="24" t="str">
        <f>IF(OR(E625="",E625="!!!",F625="NEW"),"",INDEX(J$1:J624,SUMPRODUCT(MAX(ROW(E$1:E624)*(E625=E$1:E624)))))</f>
        <v/>
      </c>
      <c r="L625" s="25"/>
    </row>
    <row r="626" spans="1:12" x14ac:dyDescent="0.3">
      <c r="A626" t="s">
        <v>512</v>
      </c>
      <c r="B626" s="26" t="s">
        <v>229</v>
      </c>
      <c r="C626" s="26" t="s">
        <v>240</v>
      </c>
      <c r="E626" s="20" t="s">
        <v>706</v>
      </c>
      <c r="F626" s="21" t="str">
        <f>IF(OR(E626="",E626="!!!"),"",IF(NOT(ISNA(VLOOKUP(E626,E$1:E625,1,FALSE()))),"OLD",IF(AND(E626&lt;&gt;"",E626&lt;&gt;"!!!"),"NEW","")))</f>
        <v>NEW</v>
      </c>
      <c r="G626" s="22" t="str">
        <f ca="1">IF(OR(E626="",E626="!!!"),"",IF(OR(J626=0,AND(J626=1,K626=1),AND(J626=1,I626="SBJ"),AND(J626=1,I626=0)),"?IN_FOCUS",IF(J626&lt;=2,"?ACTIVATED",IF(J626&lt;&gt;"","?FAMILIAR",IF(F626="NEW",IF(ISNA(VLOOKUP(E626,#REF!,1,FALSE())),"?TYPE_IDENTIFIABLE","?REFERENTIAL"),"_")))))</f>
        <v>?REFERENTIAL</v>
      </c>
      <c r="H626" s="23" t="str">
        <f t="shared" ca="1" si="46"/>
        <v/>
      </c>
      <c r="I626" s="24" t="str">
        <f>IF(OR(E626="",E626="!!!",F626="NEW"),"",INDEX(B$2:B625,-1+SUMPRODUCT(MAX(ROW(E$2:E625)*(E626=E$2:E625)))))</f>
        <v/>
      </c>
      <c r="J626" s="24" t="str">
        <f ca="1">IF(OR(E626="",E626="!!!",F626="NEW"),"",COUNTBLANK(OFFSET(A$1,,,SUMPRODUCT(MAX(ROW(E$2:E626)*(E626=E$2:E626)))))-COUNTBLANK(OFFSET(A$1,,,SUMPRODUCT(MAX(ROW(E$1:E625)*(E2=E$1:E625))))))</f>
        <v/>
      </c>
      <c r="K626" s="24" t="str">
        <f>IF(OR(E626="",E626="!!!",F626="NEW"),"",INDEX(J$1:J625,SUMPRODUCT(MAX(ROW(E$1:E625)*(E626=E$1:E625)))))</f>
        <v/>
      </c>
      <c r="L626" s="25"/>
    </row>
    <row r="627" spans="1:12" x14ac:dyDescent="0.3">
      <c r="A627" t="s">
        <v>207</v>
      </c>
      <c r="E627" s="20" t="str">
        <f t="shared" si="47"/>
        <v/>
      </c>
      <c r="F627" s="21" t="str">
        <f>IF(OR(E627="",E627="!!!"),"",IF(NOT(ISNA(VLOOKUP(E627,E$1:E626,1,FALSE()))),"OLD",IF(AND(E627&lt;&gt;"",E627&lt;&gt;"!!!"),"NEW","")))</f>
        <v/>
      </c>
      <c r="G627" s="22" t="str">
        <f>IF(OR(E627="",E627="!!!"),"",IF(OR(J627=0,AND(J627=1,K627=1),AND(J627=1,I627="SBJ"),AND(J627=1,I627=0)),"?IN_FOCUS",IF(J627&lt;=2,"?ACTIVATED",IF(J627&lt;&gt;"","?FAMILIAR",IF(F627="NEW",IF(ISNA(VLOOKUP(E627,#REF!,1,FALSE())),"?TYPE_IDENTIFIABLE","?REFERENTIAL"),"_")))))</f>
        <v/>
      </c>
      <c r="H627" s="23" t="str">
        <f t="shared" ca="1" si="46"/>
        <v/>
      </c>
      <c r="I627" s="24" t="str">
        <f>IF(OR(E627="",E627="!!!",F627="NEW"),"",INDEX(B$2:B626,-1+SUMPRODUCT(MAX(ROW(E$2:E626)*(E627=E$2:E626)))))</f>
        <v/>
      </c>
      <c r="J627" s="24" t="str">
        <f ca="1">IF(OR(E627="",E627="!!!",F627="NEW"),"",COUNTBLANK(OFFSET(A$1,,,SUMPRODUCT(MAX(ROW(E$2:E627)*(E627=E$2:E627)))))-COUNTBLANK(OFFSET(A$1,,,SUMPRODUCT(MAX(ROW(E$1:E626)*(E2=E$1:E626))))))</f>
        <v/>
      </c>
      <c r="K627" s="24" t="str">
        <f>IF(OR(E627="",E627="!!!",F627="NEW"),"",INDEX(J$1:J626,SUMPRODUCT(MAX(ROW(E$1:E626)*(E627=E$1:E626)))))</f>
        <v/>
      </c>
      <c r="L627" s="25"/>
    </row>
    <row r="628" spans="1:12" x14ac:dyDescent="0.3">
      <c r="A628" t="s">
        <v>274</v>
      </c>
      <c r="E628" s="20" t="str">
        <f t="shared" si="47"/>
        <v/>
      </c>
      <c r="F628" s="21" t="str">
        <f>IF(OR(E628="",E628="!!!"),"",IF(NOT(ISNA(VLOOKUP(E628,E$1:E627,1,FALSE()))),"OLD",IF(AND(E628&lt;&gt;"",E628&lt;&gt;"!!!"),"NEW","")))</f>
        <v/>
      </c>
      <c r="G628" s="22" t="str">
        <f>IF(OR(E628="",E628="!!!"),"",IF(OR(J628=0,AND(J628=1,K628=1),AND(J628=1,I628="SBJ"),AND(J628=1,I628=0)),"?IN_FOCUS",IF(J628&lt;=2,"?ACTIVATED",IF(J628&lt;&gt;"","?FAMILIAR",IF(F628="NEW",IF(ISNA(VLOOKUP(E628,#REF!,1,FALSE())),"?TYPE_IDENTIFIABLE","?REFERENTIAL"),"_")))))</f>
        <v/>
      </c>
      <c r="H628" s="23" t="str">
        <f t="shared" ca="1" si="46"/>
        <v/>
      </c>
      <c r="I628" s="24" t="str">
        <f>IF(OR(E628="",E628="!!!",F628="NEW"),"",INDEX(B$2:B627,-1+SUMPRODUCT(MAX(ROW(E$2:E627)*(E628=E$2:E627)))))</f>
        <v/>
      </c>
      <c r="J628" s="24" t="str">
        <f ca="1">IF(OR(E628="",E628="!!!",F628="NEW"),"",COUNTBLANK(OFFSET(A$1,,,SUMPRODUCT(MAX(ROW(E$2:E628)*(E628=E$2:E628)))))-COUNTBLANK(OFFSET(A$1,,,SUMPRODUCT(MAX(ROW(E$1:E627)*(E2=E$1:E627))))))</f>
        <v/>
      </c>
      <c r="K628" s="24" t="str">
        <f>IF(OR(E628="",E628="!!!",F628="NEW"),"",INDEX(J$1:J627,SUMPRODUCT(MAX(ROW(E$1:E627)*(E628=E$1:E627)))))</f>
        <v/>
      </c>
      <c r="L628" s="25"/>
    </row>
    <row r="629" spans="1:12" x14ac:dyDescent="0.3">
      <c r="A629" t="s">
        <v>276</v>
      </c>
      <c r="E629" s="20" t="str">
        <f t="shared" si="47"/>
        <v/>
      </c>
      <c r="F629" s="21" t="str">
        <f>IF(OR(E629="",E629="!!!"),"",IF(NOT(ISNA(VLOOKUP(E629,E$1:E628,1,FALSE()))),"OLD",IF(AND(E629&lt;&gt;"",E629&lt;&gt;"!!!"),"NEW","")))</f>
        <v/>
      </c>
      <c r="G629" s="22" t="str">
        <f>IF(OR(E629="",E629="!!!"),"",IF(OR(J629=0,AND(J629=1,K629=1),AND(J629=1,I629="SBJ"),AND(J629=1,I629=0)),"?IN_FOCUS",IF(J629&lt;=2,"?ACTIVATED",IF(J629&lt;&gt;"","?FAMILIAR",IF(F629="NEW",IF(ISNA(VLOOKUP(E629,#REF!,1,FALSE())),"?TYPE_IDENTIFIABLE","?REFERENTIAL"),"_")))))</f>
        <v/>
      </c>
      <c r="H629" s="23" t="str">
        <f t="shared" ca="1" si="46"/>
        <v/>
      </c>
      <c r="I629" s="24" t="str">
        <f>IF(OR(E629="",E629="!!!",F629="NEW"),"",INDEX(B$2:B628,-1+SUMPRODUCT(MAX(ROW(E$2:E628)*(E629=E$2:E628)))))</f>
        <v/>
      </c>
      <c r="J629" s="24" t="str">
        <f ca="1">IF(OR(E629="",E629="!!!",F629="NEW"),"",COUNTBLANK(OFFSET(A$1,,,SUMPRODUCT(MAX(ROW(E$2:E629)*(E629=E$2:E629)))))-COUNTBLANK(OFFSET(A$1,,,SUMPRODUCT(MAX(ROW(E$1:E628)*(E2=E$1:E628))))))</f>
        <v/>
      </c>
      <c r="K629" s="24" t="str">
        <f>IF(OR(E629="",E629="!!!",F629="NEW"),"",INDEX(J$1:J628,SUMPRODUCT(MAX(ROW(E$1:E628)*(E629=E$1:E628)))))</f>
        <v/>
      </c>
      <c r="L629" s="25"/>
    </row>
    <row r="630" spans="1:12" x14ac:dyDescent="0.3">
      <c r="A630" t="s">
        <v>513</v>
      </c>
      <c r="B630" s="26" t="s">
        <v>266</v>
      </c>
      <c r="C630" s="26" t="s">
        <v>380</v>
      </c>
      <c r="D630" s="26" t="s">
        <v>215</v>
      </c>
      <c r="E630" s="20" t="s">
        <v>739</v>
      </c>
      <c r="F630" s="21" t="str">
        <f>IF(OR(E630="",E630="!!!"),"",IF(NOT(ISNA(VLOOKUP(E630,E$1:E629,1,FALSE()))),"OLD",IF(AND(E630&lt;&gt;"",E630&lt;&gt;"!!!"),"NEW","")))</f>
        <v>OLD</v>
      </c>
      <c r="G630" s="22" t="str">
        <f ca="1">IF(OR(E630="",E630="!!!"),"",IF(OR(J630=0,AND(J630=1,K630=1),AND(J630=1,I630="SBJ"),AND(J630=1,I630=0)),"?IN_FOCUS",IF(J630&lt;=2,"?ACTIVATED",IF(J630&lt;&gt;"","?FAMILIAR",IF(F630="NEW",IF(ISNA(VLOOKUP(E630,#REF!,1,FALSE())),"?TYPE_IDENTIFIABLE","?REFERENTIAL"),"_")))))</f>
        <v>?IN_FOCUS</v>
      </c>
      <c r="H630" s="23" t="str">
        <f t="shared" ca="1" si="46"/>
        <v/>
      </c>
      <c r="I630" s="24" t="str">
        <f>IF(OR(E630="",E630="!!!",F630="NEW"),"",INDEX(B$2:B629,-1+SUMPRODUCT(MAX(ROW(E$2:E629)*(E630=E$2:E629)))))</f>
        <v>SBJ</v>
      </c>
      <c r="J630" s="24">
        <f ca="1">IF(OR(E630="",E630="!!!",F630="NEW"),"",COUNTBLANK(OFFSET(A$1,,,SUMPRODUCT(MAX(ROW(E$2:E630)*(E630=E$2:E630)))))-COUNTBLANK(OFFSET(A$1,,,SUMPRODUCT(MAX(ROW(E$1:E629)*(E2=E$1:E629))))))</f>
        <v>0</v>
      </c>
      <c r="K630" s="24">
        <f ca="1">IF(OR(E630="",E630="!!!",F630="NEW"),"",INDEX(J$1:J629,SUMPRODUCT(MAX(ROW(E$1:E629)*(E630=E$1:E629)))))</f>
        <v>0</v>
      </c>
      <c r="L630" s="25"/>
    </row>
    <row r="631" spans="1:12" x14ac:dyDescent="0.3">
      <c r="A631" t="s">
        <v>247</v>
      </c>
      <c r="E631" s="20" t="str">
        <f t="shared" si="47"/>
        <v/>
      </c>
      <c r="F631" s="21" t="str">
        <f>IF(OR(E631="",E631="!!!"),"",IF(NOT(ISNA(VLOOKUP(E631,E$1:E630,1,FALSE()))),"OLD",IF(AND(E631&lt;&gt;"",E631&lt;&gt;"!!!"),"NEW","")))</f>
        <v/>
      </c>
      <c r="G631" s="22" t="str">
        <f>IF(OR(E631="",E631="!!!"),"",IF(OR(J631=0,AND(J631=1,K631=1),AND(J631=1,I631="SBJ"),AND(J631=1,I631=0)),"?IN_FOCUS",IF(J631&lt;=2,"?ACTIVATED",IF(J631&lt;&gt;"","?FAMILIAR",IF(F631="NEW",IF(ISNA(VLOOKUP(E631,#REF!,1,FALSE())),"?TYPE_IDENTIFIABLE","?REFERENTIAL"),"_")))))</f>
        <v/>
      </c>
      <c r="H631" s="23" t="str">
        <f t="shared" ca="1" si="46"/>
        <v/>
      </c>
      <c r="I631" s="24" t="str">
        <f>IF(OR(E631="",E631="!!!",F631="NEW"),"",INDEX(B$2:B630,-1+SUMPRODUCT(MAX(ROW(E$2:E630)*(E631=E$2:E630)))))</f>
        <v/>
      </c>
      <c r="J631" s="24" t="str">
        <f ca="1">IF(OR(E631="",E631="!!!",F631="NEW"),"",COUNTBLANK(OFFSET(A$1,,,SUMPRODUCT(MAX(ROW(E$2:E631)*(E631=E$2:E631)))))-COUNTBLANK(OFFSET(A$1,,,SUMPRODUCT(MAX(ROW(E$1:E630)*(E2=E$1:E630))))))</f>
        <v/>
      </c>
      <c r="K631" s="24" t="str">
        <f>IF(OR(E631="",E631="!!!",F631="NEW"),"",INDEX(J$1:J630,SUMPRODUCT(MAX(ROW(E$1:E630)*(E631=E$1:E630)))))</f>
        <v/>
      </c>
      <c r="L631" s="25"/>
    </row>
    <row r="632" spans="1:12" x14ac:dyDescent="0.3">
      <c r="A632" t="s">
        <v>220</v>
      </c>
      <c r="E632" s="20" t="str">
        <f t="shared" si="47"/>
        <v/>
      </c>
      <c r="F632" s="21" t="str">
        <f>IF(OR(E632="",E632="!!!"),"",IF(NOT(ISNA(VLOOKUP(E632,E$1:E631,1,FALSE()))),"OLD",IF(AND(E632&lt;&gt;"",E632&lt;&gt;"!!!"),"NEW","")))</f>
        <v/>
      </c>
      <c r="G632" s="22" t="str">
        <f>IF(OR(E632="",E632="!!!"),"",IF(OR(J632=0,AND(J632=1,K632=1),AND(J632=1,I632="SBJ"),AND(J632=1,I632=0)),"?IN_FOCUS",IF(J632&lt;=2,"?ACTIVATED",IF(J632&lt;&gt;"","?FAMILIAR",IF(F632="NEW",IF(ISNA(VLOOKUP(E632,#REF!,1,FALSE())),"?TYPE_IDENTIFIABLE","?REFERENTIAL"),"_")))))</f>
        <v/>
      </c>
      <c r="H632" s="23" t="str">
        <f t="shared" ca="1" si="46"/>
        <v/>
      </c>
      <c r="I632" s="24" t="str">
        <f>IF(OR(E632="",E632="!!!",F632="NEW"),"",INDEX(B$2:B631,-1+SUMPRODUCT(MAX(ROW(E$2:E631)*(E632=E$2:E631)))))</f>
        <v/>
      </c>
      <c r="J632" s="24" t="str">
        <f ca="1">IF(OR(E632="",E632="!!!",F632="NEW"),"",COUNTBLANK(OFFSET(A$1,,,SUMPRODUCT(MAX(ROW(E$2:E632)*(E632=E$2:E632)))))-COUNTBLANK(OFFSET(A$1,,,SUMPRODUCT(MAX(ROW(E$1:E631)*(E2=E$1:E631))))))</f>
        <v/>
      </c>
      <c r="K632" s="24" t="str">
        <f>IF(OR(E632="",E632="!!!",F632="NEW"),"",INDEX(J$1:J631,SUMPRODUCT(MAX(ROW(E$1:E631)*(E632=E$1:E631)))))</f>
        <v/>
      </c>
      <c r="L632" s="25"/>
    </row>
    <row r="633" spans="1:12" x14ac:dyDescent="0.3">
      <c r="A633" t="s">
        <v>188</v>
      </c>
      <c r="B633" s="26" t="s">
        <v>255</v>
      </c>
      <c r="C633" s="26" t="s">
        <v>222</v>
      </c>
      <c r="D633" s="26" t="s">
        <v>215</v>
      </c>
      <c r="E633" s="20" t="s">
        <v>188</v>
      </c>
      <c r="F633" s="21" t="str">
        <f>IF(OR(E633="",E633="!!!"),"",IF(NOT(ISNA(VLOOKUP(E633,E$1:E632,1,FALSE()))),"OLD",IF(AND(E633&lt;&gt;"",E633&lt;&gt;"!!!"),"NEW","")))</f>
        <v>OLD</v>
      </c>
      <c r="G633" s="22" t="s">
        <v>657</v>
      </c>
      <c r="H633" s="23" t="str">
        <f t="shared" ca="1" si="46"/>
        <v/>
      </c>
      <c r="I633" s="24" t="str">
        <f>IF(OR(E633="",E633="!!!",F633="NEW"),"",INDEX(B$2:B632,-1+SUMPRODUCT(MAX(ROW(E$2:E632)*(E633=E$2:E632)))))</f>
        <v>SBJ_2</v>
      </c>
      <c r="J633" s="24">
        <f ca="1">IF(OR(E633="",E633="!!!",F633="NEW"),"",COUNTBLANK(OFFSET(A$1,,,SUMPRODUCT(MAX(ROW(E$2:E633)*(E633=E$2:E633)))))-COUNTBLANK(OFFSET(A$1,,,SUMPRODUCT(MAX(ROW(E$1:E632)*(E2=E$1:E632))))))</f>
        <v>0</v>
      </c>
      <c r="K633" s="24">
        <f ca="1">IF(OR(E633="",E633="!!!",F633="NEW"),"",INDEX(J$1:J632,SUMPRODUCT(MAX(ROW(E$1:E632)*(E633=E$1:E632)))))</f>
        <v>0</v>
      </c>
      <c r="L633" s="25"/>
    </row>
    <row r="634" spans="1:12" x14ac:dyDescent="0.3">
      <c r="A634" t="s">
        <v>217</v>
      </c>
      <c r="E634" s="20" t="str">
        <f t="shared" si="47"/>
        <v/>
      </c>
      <c r="F634" s="21" t="str">
        <f>IF(OR(E634="",E634="!!!"),"",IF(NOT(ISNA(VLOOKUP(E634,E$1:E633,1,FALSE()))),"OLD",IF(AND(E634&lt;&gt;"",E634&lt;&gt;"!!!"),"NEW","")))</f>
        <v/>
      </c>
      <c r="G634" s="22" t="str">
        <f>IF(OR(E634="",E634="!!!"),"",IF(OR(J634=0,AND(J634=1,K634=1),AND(J634=1,I634="SBJ"),AND(J634=1,I634=0)),"?IN_FOCUS",IF(J634&lt;=2,"?ACTIVATED",IF(J634&lt;&gt;"","?FAMILIAR",IF(F634="NEW",IF(ISNA(VLOOKUP(E634,#REF!,1,FALSE())),"?TYPE_IDENTIFIABLE","?REFERENTIAL"),"_")))))</f>
        <v/>
      </c>
      <c r="H634" s="23" t="str">
        <f t="shared" ca="1" si="46"/>
        <v/>
      </c>
      <c r="I634" s="24" t="str">
        <f>IF(OR(E634="",E634="!!!",F634="NEW"),"",INDEX(B$2:B633,-1+SUMPRODUCT(MAX(ROW(E$2:E633)*(E634=E$2:E633)))))</f>
        <v/>
      </c>
      <c r="J634" s="24" t="str">
        <f ca="1">IF(OR(E634="",E634="!!!",F634="NEW"),"",COUNTBLANK(OFFSET(A$1,,,SUMPRODUCT(MAX(ROW(E$2:E634)*(E634=E$2:E634)))))-COUNTBLANK(OFFSET(A$1,,,SUMPRODUCT(MAX(ROW(E$1:E633)*(E2=E$1:E633))))))</f>
        <v/>
      </c>
      <c r="K634" s="24" t="str">
        <f>IF(OR(E634="",E634="!!!",F634="NEW"),"",INDEX(J$1:J633,SUMPRODUCT(MAX(ROW(E$1:E633)*(E634=E$1:E633)))))</f>
        <v/>
      </c>
      <c r="L634" s="25"/>
    </row>
    <row r="635" spans="1:12" x14ac:dyDescent="0.3">
      <c r="A635" t="s">
        <v>445</v>
      </c>
      <c r="B635" s="26" t="s">
        <v>225</v>
      </c>
      <c r="C635" s="26" t="s">
        <v>380</v>
      </c>
      <c r="D635" s="26" t="s">
        <v>215</v>
      </c>
      <c r="E635" s="20" t="s">
        <v>706</v>
      </c>
      <c r="F635" s="21" t="str">
        <f>IF(OR(E635="",E635="!!!"),"",IF(NOT(ISNA(VLOOKUP(E635,E$1:E634,1,FALSE()))),"OLD",IF(AND(E635&lt;&gt;"",E635&lt;&gt;"!!!"),"NEW","")))</f>
        <v>OLD</v>
      </c>
      <c r="G635" s="22" t="str">
        <f ca="1">IF(OR(E635="",E635="!!!"),"",IF(OR(J635=0,AND(J635=1,K635=1),AND(J635=1,I635="SBJ"),AND(J635=1,I635=0)),"?IN_FOCUS",IF(J635&lt;=2,"?ACTIVATED",IF(J635&lt;&gt;"","?FAMILIAR",IF(F635="NEW",IF(ISNA(VLOOKUP(E635,#REF!,1,FALSE())),"?TYPE_IDENTIFIABLE","?REFERENTIAL"),"_")))))</f>
        <v>?IN_FOCUS</v>
      </c>
      <c r="H635" s="23" t="str">
        <f t="shared" ca="1" si="46"/>
        <v/>
      </c>
      <c r="I635" s="24" t="str">
        <f>IF(OR(E635="",E635="!!!",F635="NEW"),"",INDEX(B$2:B634,-1+SUMPRODUCT(MAX(ROW(E$2:E634)*(E635=E$2:E634)))))</f>
        <v>SBJ_2</v>
      </c>
      <c r="J635" s="24">
        <f ca="1">IF(OR(E635="",E635="!!!",F635="NEW"),"",COUNTBLANK(OFFSET(A$1,,,SUMPRODUCT(MAX(ROW(E$2:E635)*(E635=E$2:E635)))))-COUNTBLANK(OFFSET(A$1,,,SUMPRODUCT(MAX(ROW(E$1:E634)*(E2=E$1:E634))))))</f>
        <v>0</v>
      </c>
      <c r="K635" s="24" t="str">
        <f ca="1">IF(OR(E635="",E635="!!!",F635="NEW"),"",INDEX(J$1:J634,SUMPRODUCT(MAX(ROW(E$1:E634)*(E635=E$1:E634)))))</f>
        <v/>
      </c>
      <c r="L635" s="25"/>
    </row>
    <row r="636" spans="1:12" x14ac:dyDescent="0.3">
      <c r="A636" t="s">
        <v>514</v>
      </c>
      <c r="B636" s="26" t="s">
        <v>205</v>
      </c>
      <c r="C636" s="26" t="s">
        <v>264</v>
      </c>
      <c r="D636" s="26" t="s">
        <v>215</v>
      </c>
      <c r="E636" s="20"/>
      <c r="F636" s="21" t="s">
        <v>666</v>
      </c>
      <c r="G636" s="22" t="str">
        <f>IF(OR(E636="",E636="!!!"),"",IF(OR(J636=0,AND(J636=1,K636=1),AND(J636=1,I636="SBJ"),AND(J636=1,I636=0)),"?IN_FOCUS",IF(J636&lt;=2,"?ACTIVATED",IF(J636&lt;&gt;"","?FAMILIAR",IF(F636="NEW",IF(ISNA(VLOOKUP(E636,#REF!,1,FALSE())),"?TYPE_IDENTIFIABLE","?REFERENTIAL"),"_")))))</f>
        <v/>
      </c>
      <c r="H636" s="23" t="str">
        <f t="shared" ca="1" si="46"/>
        <v/>
      </c>
      <c r="I636" s="24" t="str">
        <f>IF(OR(E636="",E636="!!!",F636="NEW"),"",INDEX(B$2:B635,-1+SUMPRODUCT(MAX(ROW(E$2:E635)*(E636=E$2:E635)))))</f>
        <v/>
      </c>
      <c r="J636" s="24" t="str">
        <f ca="1">IF(OR(E636="",E636="!!!",F636="NEW"),"",COUNTBLANK(OFFSET(A$1,,,SUMPRODUCT(MAX(ROW(E$2:E636)*(E636=E$2:E636)))))-COUNTBLANK(OFFSET(A$1,,,SUMPRODUCT(MAX(ROW(E$1:E635)*(E2=E$1:E635))))))</f>
        <v/>
      </c>
      <c r="K636" s="24" t="str">
        <f>IF(OR(E636="",E636="!!!",F636="NEW"),"",INDEX(J$1:J635,SUMPRODUCT(MAX(ROW(E$1:E635)*(E636=E$1:E635)))))</f>
        <v/>
      </c>
      <c r="L636" s="25" t="s">
        <v>707</v>
      </c>
    </row>
    <row r="637" spans="1:12" x14ac:dyDescent="0.3">
      <c r="A637" t="s">
        <v>234</v>
      </c>
      <c r="E637" s="20" t="str">
        <f t="shared" si="47"/>
        <v/>
      </c>
      <c r="F637" s="21" t="str">
        <f>IF(OR(E637="",E637="!!!"),"",IF(NOT(ISNA(VLOOKUP(E637,E$1:E636,1,FALSE()))),"OLD",IF(AND(E637&lt;&gt;"",E637&lt;&gt;"!!!"),"NEW","")))</f>
        <v/>
      </c>
      <c r="G637" s="22" t="str">
        <f>IF(OR(E637="",E637="!!!"),"",IF(OR(J637=0,AND(J637=1,K637=1),AND(J637=1,I637="SBJ"),AND(J637=1,I637=0)),"?IN_FOCUS",IF(J637&lt;=2,"?ACTIVATED",IF(J637&lt;&gt;"","?FAMILIAR",IF(F637="NEW",IF(ISNA(VLOOKUP(E637,#REF!,1,FALSE())),"?TYPE_IDENTIFIABLE","?REFERENTIAL"),"_")))))</f>
        <v/>
      </c>
      <c r="H637" s="23" t="str">
        <f t="shared" ca="1" si="46"/>
        <v/>
      </c>
      <c r="I637" s="24" t="str">
        <f>IF(OR(E637="",E637="!!!",F637="NEW"),"",INDEX(B$2:B636,-1+SUMPRODUCT(MAX(ROW(E$2:E636)*(E637=E$2:E636)))))</f>
        <v/>
      </c>
      <c r="J637" s="24" t="str">
        <f ca="1">IF(OR(E637="",E637="!!!",F637="NEW"),"",COUNTBLANK(OFFSET(A$1,,,SUMPRODUCT(MAX(ROW(E$2:E637)*(E637=E$2:E637)))))-COUNTBLANK(OFFSET(A$1,,,SUMPRODUCT(MAX(ROW(E$1:E636)*(E2=E$1:E636))))))</f>
        <v/>
      </c>
      <c r="K637" s="24" t="str">
        <f>IF(OR(E637="",E637="!!!",F637="NEW"),"",INDEX(J$1:J636,SUMPRODUCT(MAX(ROW(E$1:E636)*(E637=E$1:E636)))))</f>
        <v/>
      </c>
      <c r="L637" s="25"/>
    </row>
    <row r="639" spans="1:12" x14ac:dyDescent="0.3">
      <c r="A639" t="s">
        <v>515</v>
      </c>
    </row>
    <row r="640" spans="1:12" x14ac:dyDescent="0.3">
      <c r="A640" t="s">
        <v>236</v>
      </c>
      <c r="E640" s="20" t="str">
        <f t="shared" ref="E640:E655" si="48">IF(D640="?OLD","!!!","")</f>
        <v/>
      </c>
      <c r="F640" s="21" t="str">
        <f>IF(OR(E640="",E640="!!!"),"",IF(NOT(ISNA(VLOOKUP(E640,E$1:E639,1,FALSE()))),"OLD",IF(AND(E640&lt;&gt;"",E640&lt;&gt;"!!!"),"NEW","")))</f>
        <v/>
      </c>
      <c r="G640" s="22" t="str">
        <f>IF(OR(E640="",E640="!!!"),"",IF(OR(J640=0,AND(J640=1,K640=1),AND(J640=1,I640="SBJ"),AND(J640=1,I640=0)),"?IN_FOCUS",IF(J640&lt;=2,"?ACTIVATED",IF(J640&lt;&gt;"","?FAMILIAR",IF(F640="NEW",IF(ISNA(VLOOKUP(E640,#REF!,1,FALSE())),"?TYPE_IDENTIFIABLE","?REFERENTIAL"),"_")))))</f>
        <v/>
      </c>
      <c r="H640" s="23" t="str">
        <f t="shared" ref="H640:H655" ca="1" si="49">IF(J640&lt;&gt;1,"",IF(I640="SBJ","CB","?"))</f>
        <v/>
      </c>
      <c r="I640" s="24" t="str">
        <f>IF(OR(E640="",E640="!!!",F640="NEW"),"",INDEX(B$2:B639,-1+SUMPRODUCT(MAX(ROW(E$2:E639)*(E640=E$2:E639)))))</f>
        <v/>
      </c>
      <c r="J640" s="24" t="str">
        <f ca="1">IF(OR(E640="",E640="!!!",F640="NEW"),"",COUNTBLANK(OFFSET(A$1,,,SUMPRODUCT(MAX(ROW(E$2:E640)*(E640=E$2:E640)))))-COUNTBLANK(OFFSET(A$1,,,SUMPRODUCT(MAX(ROW(E$1:E639)*(E2=E$1:E639))))))</f>
        <v/>
      </c>
      <c r="K640" s="24" t="str">
        <f>IF(OR(E640="",E640="!!!",F640="NEW"),"",INDEX(J$1:J639,SUMPRODUCT(MAX(ROW(E$1:E639)*(E640=E$1:E639)))))</f>
        <v/>
      </c>
      <c r="L640" s="25"/>
    </row>
    <row r="641" spans="1:12" x14ac:dyDescent="0.3">
      <c r="A641" t="s">
        <v>290</v>
      </c>
      <c r="B641" s="26" t="s">
        <v>225</v>
      </c>
      <c r="C641" s="26" t="s">
        <v>214</v>
      </c>
      <c r="D641" s="26" t="s">
        <v>215</v>
      </c>
      <c r="E641" s="20" t="s">
        <v>669</v>
      </c>
      <c r="F641" s="21" t="str">
        <f>IF(OR(E641="",E641="!!!"),"",IF(NOT(ISNA(VLOOKUP(E641,E$1:E640,1,FALSE()))),"OLD",IF(AND(E641&lt;&gt;"",E641&lt;&gt;"!!!"),"NEW","")))</f>
        <v>OLD</v>
      </c>
      <c r="G641" s="22" t="str">
        <f ca="1">IF(OR(E641="",E641="!!!"),"",IF(OR(J641=0,AND(J641=1,K641=1),AND(J641=1,I641="SBJ"),AND(J641=1,I641=0)),"?IN_FOCUS",IF(J641&lt;=2,"?ACTIVATED",IF(J641&lt;&gt;"","?FAMILIAR",IF(F641="NEW",IF(ISNA(VLOOKUP(E641,#REF!,1,FALSE())),"?TYPE_IDENTIFIABLE","?REFERENTIAL"),"_")))))</f>
        <v>?IN_FOCUS</v>
      </c>
      <c r="H641" s="23" t="s">
        <v>198</v>
      </c>
      <c r="I641" s="24" t="str">
        <f>IF(OR(E641="",E641="!!!",F641="NEW"),"",INDEX(B$2:B640,-1+SUMPRODUCT(MAX(ROW(E$2:E640)*(E641=E$2:E640)))))</f>
        <v>SBJ_4</v>
      </c>
      <c r="J641" s="24">
        <f ca="1">IF(OR(E641="",E641="!!!",F641="NEW"),"",COUNTBLANK(OFFSET(A$1,,,SUMPRODUCT(MAX(ROW(E$2:E641)*(E641=E$2:E641)))))-COUNTBLANK(OFFSET(A$1,,,SUMPRODUCT(MAX(ROW(E$1:E640)*(E2=E$1:E640))))))</f>
        <v>0</v>
      </c>
      <c r="K641" s="24">
        <f ca="1">IF(OR(E641="",E641="!!!",F641="NEW"),"",INDEX(J$1:J640,SUMPRODUCT(MAX(ROW(E$1:E640)*(E641=E$1:E640)))))</f>
        <v>0</v>
      </c>
      <c r="L641" s="25"/>
    </row>
    <row r="642" spans="1:12" x14ac:dyDescent="0.3">
      <c r="A642" t="s">
        <v>270</v>
      </c>
      <c r="E642" s="20" t="str">
        <f t="shared" si="48"/>
        <v/>
      </c>
      <c r="F642" s="21" t="str">
        <f>IF(OR(E642="",E642="!!!"),"",IF(NOT(ISNA(VLOOKUP(E642,E$1:E641,1,FALSE()))),"OLD",IF(AND(E642&lt;&gt;"",E642&lt;&gt;"!!!"),"NEW","")))</f>
        <v/>
      </c>
      <c r="G642" s="22" t="str">
        <f>IF(OR(E642="",E642="!!!"),"",IF(OR(J642=0,AND(J642=1,K642=1),AND(J642=1,I642="SBJ"),AND(J642=1,I642=0)),"?IN_FOCUS",IF(J642&lt;=2,"?ACTIVATED",IF(J642&lt;&gt;"","?FAMILIAR",IF(F642="NEW",IF(ISNA(VLOOKUP(E642,#REF!,1,FALSE())),"?TYPE_IDENTIFIABLE","?REFERENTIAL"),"_")))))</f>
        <v/>
      </c>
      <c r="H642" s="23" t="str">
        <f t="shared" ca="1" si="49"/>
        <v/>
      </c>
      <c r="I642" s="24" t="str">
        <f>IF(OR(E642="",E642="!!!",F642="NEW"),"",INDEX(B$2:B641,-1+SUMPRODUCT(MAX(ROW(E$2:E641)*(E642=E$2:E641)))))</f>
        <v/>
      </c>
      <c r="J642" s="24" t="str">
        <f ca="1">IF(OR(E642="",E642="!!!",F642="NEW"),"",COUNTBLANK(OFFSET(A$1,,,SUMPRODUCT(MAX(ROW(E$2:E642)*(E642=E$2:E642)))))-COUNTBLANK(OFFSET(A$1,,,SUMPRODUCT(MAX(ROW(E$1:E641)*(E2=E$1:E641))))))</f>
        <v/>
      </c>
      <c r="K642" s="24" t="str">
        <f>IF(OR(E642="",E642="!!!",F642="NEW"),"",INDEX(J$1:J641,SUMPRODUCT(MAX(ROW(E$1:E641)*(E642=E$1:E641)))))</f>
        <v/>
      </c>
      <c r="L642" s="25"/>
    </row>
    <row r="643" spans="1:12" x14ac:dyDescent="0.3">
      <c r="A643" t="s">
        <v>460</v>
      </c>
      <c r="E643" s="20" t="str">
        <f t="shared" si="48"/>
        <v/>
      </c>
      <c r="F643" s="21" t="str">
        <f>IF(OR(E643="",E643="!!!"),"",IF(NOT(ISNA(VLOOKUP(E643,E$1:E642,1,FALSE()))),"OLD",IF(AND(E643&lt;&gt;"",E643&lt;&gt;"!!!"),"NEW","")))</f>
        <v/>
      </c>
      <c r="G643" s="22" t="str">
        <f>IF(OR(E643="",E643="!!!"),"",IF(OR(J643=0,AND(J643=1,K643=1),AND(J643=1,I643="SBJ"),AND(J643=1,I643=0)),"?IN_FOCUS",IF(J643&lt;=2,"?ACTIVATED",IF(J643&lt;&gt;"","?FAMILIAR",IF(F643="NEW",IF(ISNA(VLOOKUP(E643,#REF!,1,FALSE())),"?TYPE_IDENTIFIABLE","?REFERENTIAL"),"_")))))</f>
        <v/>
      </c>
      <c r="H643" s="23" t="str">
        <f t="shared" ca="1" si="49"/>
        <v/>
      </c>
      <c r="I643" s="24" t="str">
        <f>IF(OR(E643="",E643="!!!",F643="NEW"),"",INDEX(B$2:B642,-1+SUMPRODUCT(MAX(ROW(E$2:E642)*(E643=E$2:E642)))))</f>
        <v/>
      </c>
      <c r="J643" s="24" t="str">
        <f ca="1">IF(OR(E643="",E643="!!!",F643="NEW"),"",COUNTBLANK(OFFSET(A$1,,,SUMPRODUCT(MAX(ROW(E$2:E643)*(E643=E$2:E643)))))-COUNTBLANK(OFFSET(A$1,,,SUMPRODUCT(MAX(ROW(E$1:E642)*(E2=E$1:E642))))))</f>
        <v/>
      </c>
      <c r="K643" s="24" t="str">
        <f>IF(OR(E643="",E643="!!!",F643="NEW"),"",INDEX(J$1:J642,SUMPRODUCT(MAX(ROW(E$1:E642)*(E643=E$1:E642)))))</f>
        <v/>
      </c>
      <c r="L643" s="25"/>
    </row>
    <row r="644" spans="1:12" x14ac:dyDescent="0.3">
      <c r="A644" t="s">
        <v>516</v>
      </c>
      <c r="B644" s="26" t="s">
        <v>213</v>
      </c>
      <c r="C644" s="26" t="s">
        <v>264</v>
      </c>
      <c r="D644" s="26" t="s">
        <v>215</v>
      </c>
      <c r="E644" s="20" t="s">
        <v>708</v>
      </c>
      <c r="F644" s="21" t="str">
        <f>IF(OR(E644="",E644="!!!"),"",IF(NOT(ISNA(VLOOKUP(E644,E$1:E643,1,FALSE()))),"OLD",IF(AND(E644&lt;&gt;"",E644&lt;&gt;"!!!"),"NEW","")))</f>
        <v>NEW</v>
      </c>
      <c r="G644" s="22" t="str">
        <f ca="1">IF(OR(E644="",E644="!!!"),"",IF(OR(J644=0,AND(J644=1,K644=1),AND(J644=1,I644="SBJ"),AND(J644=1,I644=0)),"?IN_FOCUS",IF(J644&lt;=2,"?ACTIVATED",IF(J644&lt;&gt;"","?FAMILIAR",IF(F644="NEW",IF(ISNA(VLOOKUP(E644,#REF!,1,FALSE())),"?TYPE_IDENTIFIABLE","?REFERENTIAL"),"_")))))</f>
        <v>?REFERENTIAL</v>
      </c>
      <c r="H644" s="23" t="str">
        <f t="shared" ca="1" si="49"/>
        <v/>
      </c>
      <c r="I644" s="24" t="str">
        <f>IF(OR(E644="",E644="!!!",F644="NEW"),"",INDEX(B$2:B643,-1+SUMPRODUCT(MAX(ROW(E$2:E643)*(E644=E$2:E643)))))</f>
        <v/>
      </c>
      <c r="J644" s="24" t="str">
        <f ca="1">IF(OR(E644="",E644="!!!",F644="NEW"),"",COUNTBLANK(OFFSET(A$1,,,SUMPRODUCT(MAX(ROW(E$2:E644)*(E644=E$2:E644)))))-COUNTBLANK(OFFSET(A$1,,,SUMPRODUCT(MAX(ROW(E$1:E643)*(E2=E$1:E643))))))</f>
        <v/>
      </c>
      <c r="K644" s="24" t="str">
        <f>IF(OR(E644="",E644="!!!",F644="NEW"),"",INDEX(J$1:J643,SUMPRODUCT(MAX(ROW(E$1:E643)*(E644=E$1:E643)))))</f>
        <v/>
      </c>
      <c r="L644" s="25"/>
    </row>
    <row r="645" spans="1:12" x14ac:dyDescent="0.3">
      <c r="A645" t="s">
        <v>217</v>
      </c>
      <c r="E645" s="20" t="str">
        <f t="shared" si="48"/>
        <v/>
      </c>
      <c r="F645" s="21" t="str">
        <f>IF(OR(E645="",E645="!!!"),"",IF(NOT(ISNA(VLOOKUP(E645,E$1:E644,1,FALSE()))),"OLD",IF(AND(E645&lt;&gt;"",E645&lt;&gt;"!!!"),"NEW","")))</f>
        <v/>
      </c>
      <c r="G645" s="22" t="str">
        <f>IF(OR(E645="",E645="!!!"),"",IF(OR(J645=0,AND(J645=1,K645=1),AND(J645=1,I645="SBJ"),AND(J645=1,I645=0)),"?IN_FOCUS",IF(J645&lt;=2,"?ACTIVATED",IF(J645&lt;&gt;"","?FAMILIAR",IF(F645="NEW",IF(ISNA(VLOOKUP(E645,#REF!,1,FALSE())),"?TYPE_IDENTIFIABLE","?REFERENTIAL"),"_")))))</f>
        <v/>
      </c>
      <c r="H645" s="23" t="str">
        <f t="shared" ca="1" si="49"/>
        <v/>
      </c>
      <c r="I645" s="24" t="str">
        <f>IF(OR(E645="",E645="!!!",F645="NEW"),"",INDEX(B$2:B644,-1+SUMPRODUCT(MAX(ROW(E$2:E644)*(E645=E$2:E644)))))</f>
        <v/>
      </c>
      <c r="J645" s="24" t="str">
        <f ca="1">IF(OR(E645="",E645="!!!",F645="NEW"),"",COUNTBLANK(OFFSET(A$1,,,SUMPRODUCT(MAX(ROW(E$2:E645)*(E645=E$2:E645)))))-COUNTBLANK(OFFSET(A$1,,,SUMPRODUCT(MAX(ROW(E$1:E644)*(E2=E$1:E644))))))</f>
        <v/>
      </c>
      <c r="K645" s="24" t="str">
        <f>IF(OR(E645="",E645="!!!",F645="NEW"),"",INDEX(J$1:J644,SUMPRODUCT(MAX(ROW(E$1:E644)*(E645=E$1:E644)))))</f>
        <v/>
      </c>
      <c r="L645" s="25"/>
    </row>
    <row r="646" spans="1:12" x14ac:dyDescent="0.3">
      <c r="A646" t="s">
        <v>517</v>
      </c>
      <c r="E646" s="20" t="str">
        <f t="shared" si="48"/>
        <v/>
      </c>
      <c r="F646" s="21" t="str">
        <f>IF(OR(E646="",E646="!!!"),"",IF(NOT(ISNA(VLOOKUP(E646,E$1:E645,1,FALSE()))),"OLD",IF(AND(E646&lt;&gt;"",E646&lt;&gt;"!!!"),"NEW","")))</f>
        <v/>
      </c>
      <c r="G646" s="22" t="str">
        <f>IF(OR(E646="",E646="!!!"),"",IF(OR(J646=0,AND(J646=1,K646=1),AND(J646=1,I646="SBJ"),AND(J646=1,I646=0)),"?IN_FOCUS",IF(J646&lt;=2,"?ACTIVATED",IF(J646&lt;&gt;"","?FAMILIAR",IF(F646="NEW",IF(ISNA(VLOOKUP(E646,#REF!,1,FALSE())),"?TYPE_IDENTIFIABLE","?REFERENTIAL"),"_")))))</f>
        <v/>
      </c>
      <c r="H646" s="23" t="str">
        <f t="shared" ca="1" si="49"/>
        <v/>
      </c>
      <c r="I646" s="24" t="str">
        <f>IF(OR(E646="",E646="!!!",F646="NEW"),"",INDEX(B$2:B645,-1+SUMPRODUCT(MAX(ROW(E$2:E645)*(E646=E$2:E645)))))</f>
        <v/>
      </c>
      <c r="J646" s="24" t="str">
        <f ca="1">IF(OR(E646="",E646="!!!",F646="NEW"),"",COUNTBLANK(OFFSET(A$1,,,SUMPRODUCT(MAX(ROW(E$2:E646)*(E646=E$2:E646)))))-COUNTBLANK(OFFSET(A$1,,,SUMPRODUCT(MAX(ROW(E$1:E645)*(E2=E$1:E645))))))</f>
        <v/>
      </c>
      <c r="K646" s="24" t="str">
        <f>IF(OR(E646="",E646="!!!",F646="NEW"),"",INDEX(J$1:J645,SUMPRODUCT(MAX(ROW(E$1:E645)*(E646=E$1:E645)))))</f>
        <v/>
      </c>
      <c r="L646" s="25"/>
    </row>
    <row r="647" spans="1:12" x14ac:dyDescent="0.3">
      <c r="A647" t="s">
        <v>279</v>
      </c>
      <c r="E647" s="20" t="str">
        <f t="shared" si="48"/>
        <v/>
      </c>
      <c r="F647" s="21" t="str">
        <f>IF(OR(E647="",E647="!!!"),"",IF(NOT(ISNA(VLOOKUP(E647,E$1:E646,1,FALSE()))),"OLD",IF(AND(E647&lt;&gt;"",E647&lt;&gt;"!!!"),"NEW","")))</f>
        <v/>
      </c>
      <c r="G647" s="22" t="str">
        <f>IF(OR(E647="",E647="!!!"),"",IF(OR(J647=0,AND(J647=1,K647=1),AND(J647=1,I647="SBJ"),AND(J647=1,I647=0)),"?IN_FOCUS",IF(J647&lt;=2,"?ACTIVATED",IF(J647&lt;&gt;"","?FAMILIAR",IF(F647="NEW",IF(ISNA(VLOOKUP(E647,#REF!,1,FALSE())),"?TYPE_IDENTIFIABLE","?REFERENTIAL"),"_")))))</f>
        <v/>
      </c>
      <c r="H647" s="23" t="str">
        <f t="shared" ca="1" si="49"/>
        <v/>
      </c>
      <c r="I647" s="24" t="str">
        <f>IF(OR(E647="",E647="!!!",F647="NEW"),"",INDEX(B$2:B646,-1+SUMPRODUCT(MAX(ROW(E$2:E646)*(E647=E$2:E646)))))</f>
        <v/>
      </c>
      <c r="J647" s="24" t="str">
        <f ca="1">IF(OR(E647="",E647="!!!",F647="NEW"),"",COUNTBLANK(OFFSET(A$1,,,SUMPRODUCT(MAX(ROW(E$2:E647)*(E647=E$2:E647)))))-COUNTBLANK(OFFSET(A$1,,,SUMPRODUCT(MAX(ROW(E$1:E646)*(E2=E$1:E646))))))</f>
        <v/>
      </c>
      <c r="K647" s="24" t="str">
        <f>IF(OR(E647="",E647="!!!",F647="NEW"),"",INDEX(J$1:J646,SUMPRODUCT(MAX(ROW(E$1:E646)*(E647=E$1:E646)))))</f>
        <v/>
      </c>
      <c r="L647" s="25"/>
    </row>
    <row r="648" spans="1:12" x14ac:dyDescent="0.3">
      <c r="A648" t="s">
        <v>518</v>
      </c>
      <c r="B648" s="26" t="s">
        <v>205</v>
      </c>
      <c r="C648" s="26" t="s">
        <v>226</v>
      </c>
      <c r="E648" s="20" t="str">
        <f t="shared" si="48"/>
        <v/>
      </c>
      <c r="F648" s="21" t="str">
        <f>IF(OR(E648="",E648="!!!"),"",IF(NOT(ISNA(VLOOKUP(E648,E$1:E647,1,FALSE()))),"OLD",IF(AND(E648&lt;&gt;"",E648&lt;&gt;"!!!"),"NEW","")))</f>
        <v/>
      </c>
      <c r="G648" s="22" t="str">
        <f>IF(OR(E648="",E648="!!!"),"",IF(OR(J648=0,AND(J648=1,K648=1),AND(J648=1,I648="SBJ"),AND(J648=1,I648=0)),"?IN_FOCUS",IF(J648&lt;=2,"?ACTIVATED",IF(J648&lt;&gt;"","?FAMILIAR",IF(F648="NEW",IF(ISNA(VLOOKUP(E648,#REF!,1,FALSE())),"?TYPE_IDENTIFIABLE","?REFERENTIAL"),"_")))))</f>
        <v/>
      </c>
      <c r="H648" s="23" t="str">
        <f t="shared" ca="1" si="49"/>
        <v/>
      </c>
      <c r="I648" s="24" t="str">
        <f>IF(OR(E648="",E648="!!!",F648="NEW"),"",INDEX(B$2:B647,-1+SUMPRODUCT(MAX(ROW(E$2:E647)*(E648=E$2:E647)))))</f>
        <v/>
      </c>
      <c r="J648" s="24" t="str">
        <f ca="1">IF(OR(E648="",E648="!!!",F648="NEW"),"",COUNTBLANK(OFFSET(A$1,,,SUMPRODUCT(MAX(ROW(E$2:E648)*(E648=E$2:E648)))))-COUNTBLANK(OFFSET(A$1,,,SUMPRODUCT(MAX(ROW(E$1:E647)*(E2=E$1:E647))))))</f>
        <v/>
      </c>
      <c r="K648" s="24" t="str">
        <f>IF(OR(E648="",E648="!!!",F648="NEW"),"",INDEX(J$1:J647,SUMPRODUCT(MAX(ROW(E$1:E647)*(E648=E$1:E647)))))</f>
        <v/>
      </c>
      <c r="L648" s="25"/>
    </row>
    <row r="649" spans="1:12" x14ac:dyDescent="0.3">
      <c r="A649" t="s">
        <v>207</v>
      </c>
      <c r="E649" s="20" t="str">
        <f t="shared" si="48"/>
        <v/>
      </c>
      <c r="F649" s="21" t="str">
        <f>IF(OR(E649="",E649="!!!"),"",IF(NOT(ISNA(VLOOKUP(E649,E$1:E648,1,FALSE()))),"OLD",IF(AND(E649&lt;&gt;"",E649&lt;&gt;"!!!"),"NEW","")))</f>
        <v/>
      </c>
      <c r="G649" s="22" t="str">
        <f>IF(OR(E649="",E649="!!!"),"",IF(OR(J649=0,AND(J649=1,K649=1),AND(J649=1,I649="SBJ"),AND(J649=1,I649=0)),"?IN_FOCUS",IF(J649&lt;=2,"?ACTIVATED",IF(J649&lt;&gt;"","?FAMILIAR",IF(F649="NEW",IF(ISNA(VLOOKUP(E649,#REF!,1,FALSE())),"?TYPE_IDENTIFIABLE","?REFERENTIAL"),"_")))))</f>
        <v/>
      </c>
      <c r="H649" s="23" t="str">
        <f t="shared" ca="1" si="49"/>
        <v/>
      </c>
      <c r="I649" s="24" t="str">
        <f>IF(OR(E649="",E649="!!!",F649="NEW"),"",INDEX(B$2:B648,-1+SUMPRODUCT(MAX(ROW(E$2:E648)*(E649=E$2:E648)))))</f>
        <v/>
      </c>
      <c r="J649" s="24" t="str">
        <f ca="1">IF(OR(E649="",E649="!!!",F649="NEW"),"",COUNTBLANK(OFFSET(A$1,,,SUMPRODUCT(MAX(ROW(E$2:E649)*(E649=E$2:E649)))))-COUNTBLANK(OFFSET(A$1,,,SUMPRODUCT(MAX(ROW(E$1:E648)*(E2=E$1:E648))))))</f>
        <v/>
      </c>
      <c r="K649" s="24" t="str">
        <f>IF(OR(E649="",E649="!!!",F649="NEW"),"",INDEX(J$1:J648,SUMPRODUCT(MAX(ROW(E$1:E648)*(E649=E$1:E648)))))</f>
        <v/>
      </c>
      <c r="L649" s="25"/>
    </row>
    <row r="650" spans="1:12" x14ac:dyDescent="0.3">
      <c r="A650" t="s">
        <v>238</v>
      </c>
      <c r="E650" s="20" t="str">
        <f t="shared" si="48"/>
        <v/>
      </c>
      <c r="F650" s="21" t="str">
        <f>IF(OR(E650="",E650="!!!"),"",IF(NOT(ISNA(VLOOKUP(E650,E$1:E649,1,FALSE()))),"OLD",IF(AND(E650&lt;&gt;"",E650&lt;&gt;"!!!"),"NEW","")))</f>
        <v/>
      </c>
      <c r="G650" s="22" t="str">
        <f>IF(OR(E650="",E650="!!!"),"",IF(OR(J650=0,AND(J650=1,K650=1),AND(J650=1,I650="SBJ"),AND(J650=1,I650=0)),"?IN_FOCUS",IF(J650&lt;=2,"?ACTIVATED",IF(J650&lt;&gt;"","?FAMILIAR",IF(F650="NEW",IF(ISNA(VLOOKUP(E650,#REF!,1,FALSE())),"?TYPE_IDENTIFIABLE","?REFERENTIAL"),"_")))))</f>
        <v/>
      </c>
      <c r="H650" s="23" t="str">
        <f t="shared" ca="1" si="49"/>
        <v/>
      </c>
      <c r="I650" s="24" t="str">
        <f>IF(OR(E650="",E650="!!!",F650="NEW"),"",INDEX(B$2:B649,-1+SUMPRODUCT(MAX(ROW(E$2:E649)*(E650=E$2:E649)))))</f>
        <v/>
      </c>
      <c r="J650" s="24" t="str">
        <f ca="1">IF(OR(E650="",E650="!!!",F650="NEW"),"",COUNTBLANK(OFFSET(A$1,,,SUMPRODUCT(MAX(ROW(E$2:E650)*(E650=E$2:E650)))))-COUNTBLANK(OFFSET(A$1,,,SUMPRODUCT(MAX(ROW(E$1:E649)*(E2=E$1:E649))))))</f>
        <v/>
      </c>
      <c r="K650" s="24" t="str">
        <f>IF(OR(E650="",E650="!!!",F650="NEW"),"",INDEX(J$1:J649,SUMPRODUCT(MAX(ROW(E$1:E649)*(E650=E$1:E649)))))</f>
        <v/>
      </c>
      <c r="L650" s="25"/>
    </row>
    <row r="651" spans="1:12" x14ac:dyDescent="0.3">
      <c r="A651" t="s">
        <v>519</v>
      </c>
      <c r="E651" s="20" t="str">
        <f t="shared" si="48"/>
        <v/>
      </c>
      <c r="F651" s="21" t="str">
        <f>IF(OR(E651="",E651="!!!"),"",IF(NOT(ISNA(VLOOKUP(E651,E$1:E650,1,FALSE()))),"OLD",IF(AND(E651&lt;&gt;"",E651&lt;&gt;"!!!"),"NEW","")))</f>
        <v/>
      </c>
      <c r="G651" s="22" t="str">
        <f>IF(OR(E651="",E651="!!!"),"",IF(OR(J651=0,AND(J651=1,K651=1),AND(J651=1,I651="SBJ"),AND(J651=1,I651=0)),"?IN_FOCUS",IF(J651&lt;=2,"?ACTIVATED",IF(J651&lt;&gt;"","?FAMILIAR",IF(F651="NEW",IF(ISNA(VLOOKUP(E651,#REF!,1,FALSE())),"?TYPE_IDENTIFIABLE","?REFERENTIAL"),"_")))))</f>
        <v/>
      </c>
      <c r="H651" s="23" t="str">
        <f t="shared" ca="1" si="49"/>
        <v/>
      </c>
      <c r="I651" s="24" t="str">
        <f>IF(OR(E651="",E651="!!!",F651="NEW"),"",INDEX(B$2:B650,-1+SUMPRODUCT(MAX(ROW(E$2:E650)*(E651=E$2:E650)))))</f>
        <v/>
      </c>
      <c r="J651" s="24" t="str">
        <f ca="1">IF(OR(E651="",E651="!!!",F651="NEW"),"",COUNTBLANK(OFFSET(A$1,,,SUMPRODUCT(MAX(ROW(E$2:E651)*(E651=E$2:E651)))))-COUNTBLANK(OFFSET(A$1,,,SUMPRODUCT(MAX(ROW(E$1:E650)*(E2=E$1:E650))))))</f>
        <v/>
      </c>
      <c r="K651" s="24" t="str">
        <f>IF(OR(E651="",E651="!!!",F651="NEW"),"",INDEX(J$1:J650,SUMPRODUCT(MAX(ROW(E$1:E650)*(E651=E$1:E650)))))</f>
        <v/>
      </c>
      <c r="L651" s="25"/>
    </row>
    <row r="652" spans="1:12" x14ac:dyDescent="0.3">
      <c r="A652" t="s">
        <v>520</v>
      </c>
      <c r="B652" s="26" t="s">
        <v>225</v>
      </c>
      <c r="C652" s="26" t="s">
        <v>240</v>
      </c>
      <c r="E652" s="20" t="str">
        <f t="shared" si="48"/>
        <v/>
      </c>
      <c r="F652" s="21" t="str">
        <f>IF(OR(E652="",E652="!!!"),"",IF(NOT(ISNA(VLOOKUP(E652,E$1:E651,1,FALSE()))),"OLD",IF(AND(E652&lt;&gt;"",E652&lt;&gt;"!!!"),"NEW","")))</f>
        <v/>
      </c>
      <c r="G652" s="22" t="str">
        <f>IF(OR(E652="",E652="!!!"),"",IF(OR(J652=0,AND(J652=1,K652=1),AND(J652=1,I652="SBJ"),AND(J652=1,I652=0)),"?IN_FOCUS",IF(J652&lt;=2,"?ACTIVATED",IF(J652&lt;&gt;"","?FAMILIAR",IF(F652="NEW",IF(ISNA(VLOOKUP(E652,#REF!,1,FALSE())),"?TYPE_IDENTIFIABLE","?REFERENTIAL"),"_")))))</f>
        <v/>
      </c>
      <c r="H652" s="23" t="str">
        <f t="shared" ca="1" si="49"/>
        <v/>
      </c>
      <c r="I652" s="24" t="str">
        <f>IF(OR(E652="",E652="!!!",F652="NEW"),"",INDEX(B$2:B651,-1+SUMPRODUCT(MAX(ROW(E$2:E651)*(E652=E$2:E651)))))</f>
        <v/>
      </c>
      <c r="J652" s="24" t="str">
        <f ca="1">IF(OR(E652="",E652="!!!",F652="NEW"),"",COUNTBLANK(OFFSET(A$1,,,SUMPRODUCT(MAX(ROW(E$2:E652)*(E652=E$2:E652)))))-COUNTBLANK(OFFSET(A$1,,,SUMPRODUCT(MAX(ROW(E$1:E651)*(E2=E$1:E651))))))</f>
        <v/>
      </c>
      <c r="K652" s="24" t="str">
        <f>IF(OR(E652="",E652="!!!",F652="NEW"),"",INDEX(J$1:J651,SUMPRODUCT(MAX(ROW(E$1:E651)*(E652=E$1:E651)))))</f>
        <v/>
      </c>
      <c r="L652" s="25"/>
    </row>
    <row r="653" spans="1:12" x14ac:dyDescent="0.3">
      <c r="A653" t="s">
        <v>287</v>
      </c>
      <c r="E653" s="20" t="str">
        <f t="shared" si="48"/>
        <v/>
      </c>
      <c r="F653" s="21" t="str">
        <f>IF(OR(E653="",E653="!!!"),"",IF(NOT(ISNA(VLOOKUP(E653,E$1:E652,1,FALSE()))),"OLD",IF(AND(E653&lt;&gt;"",E653&lt;&gt;"!!!"),"NEW","")))</f>
        <v/>
      </c>
      <c r="G653" s="22" t="str">
        <f>IF(OR(E653="",E653="!!!"),"",IF(OR(J653=0,AND(J653=1,K653=1),AND(J653=1,I653="SBJ"),AND(J653=1,I653=0)),"?IN_FOCUS",IF(J653&lt;=2,"?ACTIVATED",IF(J653&lt;&gt;"","?FAMILIAR",IF(F653="NEW",IF(ISNA(VLOOKUP(E653,#REF!,1,FALSE())),"?TYPE_IDENTIFIABLE","?REFERENTIAL"),"_")))))</f>
        <v/>
      </c>
      <c r="H653" s="23" t="str">
        <f t="shared" ca="1" si="49"/>
        <v/>
      </c>
      <c r="I653" s="24" t="str">
        <f>IF(OR(E653="",E653="!!!",F653="NEW"),"",INDEX(B$2:B652,-1+SUMPRODUCT(MAX(ROW(E$2:E652)*(E653=E$2:E652)))))</f>
        <v/>
      </c>
      <c r="J653" s="24" t="str">
        <f ca="1">IF(OR(E653="",E653="!!!",F653="NEW"),"",COUNTBLANK(OFFSET(A$1,,,SUMPRODUCT(MAX(ROW(E$2:E653)*(E653=E$2:E653)))))-COUNTBLANK(OFFSET(A$1,,,SUMPRODUCT(MAX(ROW(E$1:E652)*(E2=E$1:E652))))))</f>
        <v/>
      </c>
      <c r="K653" s="24" t="str">
        <f>IF(OR(E653="",E653="!!!",F653="NEW"),"",INDEX(J$1:J652,SUMPRODUCT(MAX(ROW(E$1:E652)*(E653=E$1:E652)))))</f>
        <v/>
      </c>
      <c r="L653" s="25"/>
    </row>
    <row r="654" spans="1:12" x14ac:dyDescent="0.3">
      <c r="A654" t="s">
        <v>521</v>
      </c>
      <c r="B654" s="26" t="s">
        <v>325</v>
      </c>
      <c r="C654" s="26" t="s">
        <v>226</v>
      </c>
      <c r="E654" s="20" t="str">
        <f t="shared" si="48"/>
        <v/>
      </c>
      <c r="F654" s="21" t="str">
        <f>IF(OR(E654="",E654="!!!"),"",IF(NOT(ISNA(VLOOKUP(E654,E$1:E653,1,FALSE()))),"OLD",IF(AND(E654&lt;&gt;"",E654&lt;&gt;"!!!"),"NEW","")))</f>
        <v/>
      </c>
      <c r="G654" s="22" t="str">
        <f>IF(OR(E654="",E654="!!!"),"",IF(OR(J654=0,AND(J654=1,K654=1),AND(J654=1,I654="SBJ"),AND(J654=1,I654=0)),"?IN_FOCUS",IF(J654&lt;=2,"?ACTIVATED",IF(J654&lt;&gt;"","?FAMILIAR",IF(F654="NEW",IF(ISNA(VLOOKUP(E654,#REF!,1,FALSE())),"?TYPE_IDENTIFIABLE","?REFERENTIAL"),"_")))))</f>
        <v/>
      </c>
      <c r="H654" s="23" t="str">
        <f t="shared" ca="1" si="49"/>
        <v/>
      </c>
      <c r="I654" s="24" t="str">
        <f>IF(OR(E654="",E654="!!!",F654="NEW"),"",INDEX(B$2:B653,-1+SUMPRODUCT(MAX(ROW(E$2:E653)*(E654=E$2:E653)))))</f>
        <v/>
      </c>
      <c r="J654" s="24" t="str">
        <f ca="1">IF(OR(E654="",E654="!!!",F654="NEW"),"",COUNTBLANK(OFFSET(A$1,,,SUMPRODUCT(MAX(ROW(E$2:E654)*(E654=E$2:E654)))))-COUNTBLANK(OFFSET(A$1,,,SUMPRODUCT(MAX(ROW(E$1:E653)*(E2=E$1:E653))))))</f>
        <v/>
      </c>
      <c r="K654" s="24" t="str">
        <f>IF(OR(E654="",E654="!!!",F654="NEW"),"",INDEX(J$1:J653,SUMPRODUCT(MAX(ROW(E$1:E653)*(E654=E$1:E653)))))</f>
        <v/>
      </c>
      <c r="L654" s="25"/>
    </row>
    <row r="655" spans="1:12" x14ac:dyDescent="0.3">
      <c r="A655" t="s">
        <v>234</v>
      </c>
      <c r="E655" s="20" t="str">
        <f t="shared" si="48"/>
        <v/>
      </c>
      <c r="F655" s="21" t="str">
        <f>IF(OR(E655="",E655="!!!"),"",IF(NOT(ISNA(VLOOKUP(E655,E$1:E654,1,FALSE()))),"OLD",IF(AND(E655&lt;&gt;"",E655&lt;&gt;"!!!"),"NEW","")))</f>
        <v/>
      </c>
      <c r="G655" s="22" t="str">
        <f>IF(OR(E655="",E655="!!!"),"",IF(OR(J655=0,AND(J655=1,K655=1),AND(J655=1,I655="SBJ"),AND(J655=1,I655=0)),"?IN_FOCUS",IF(J655&lt;=2,"?ACTIVATED",IF(J655&lt;&gt;"","?FAMILIAR",IF(F655="NEW",IF(ISNA(VLOOKUP(E655,#REF!,1,FALSE())),"?TYPE_IDENTIFIABLE","?REFERENTIAL"),"_")))))</f>
        <v/>
      </c>
      <c r="H655" s="23" t="str">
        <f t="shared" ca="1" si="49"/>
        <v/>
      </c>
      <c r="I655" s="24" t="str">
        <f>IF(OR(E655="",E655="!!!",F655="NEW"),"",INDEX(B$2:B654,-1+SUMPRODUCT(MAX(ROW(E$2:E654)*(E655=E$2:E654)))))</f>
        <v/>
      </c>
      <c r="J655" s="24" t="str">
        <f ca="1">IF(OR(E655="",E655="!!!",F655="NEW"),"",COUNTBLANK(OFFSET(A$1,,,SUMPRODUCT(MAX(ROW(E$2:E655)*(E655=E$2:E655)))))-COUNTBLANK(OFFSET(A$1,,,SUMPRODUCT(MAX(ROW(E$1:E654)*(E2=E$1:E654))))))</f>
        <v/>
      </c>
      <c r="K655" s="24" t="str">
        <f>IF(OR(E655="",E655="!!!",F655="NEW"),"",INDEX(J$1:J654,SUMPRODUCT(MAX(ROW(E$1:E654)*(E655=E$1:E654)))))</f>
        <v/>
      </c>
      <c r="L655" s="25"/>
    </row>
    <row r="657" spans="1:12" x14ac:dyDescent="0.3">
      <c r="A657" t="s">
        <v>522</v>
      </c>
    </row>
    <row r="658" spans="1:12" x14ac:dyDescent="0.3">
      <c r="A658" t="s">
        <v>236</v>
      </c>
      <c r="E658" s="20" t="str">
        <f t="shared" ref="E658:E694" si="50">IF(D658="?OLD","!!!","")</f>
        <v/>
      </c>
      <c r="F658" s="21" t="str">
        <f>IF(OR(E658="",E658="!!!"),"",IF(NOT(ISNA(VLOOKUP(E658,E$1:E657,1,FALSE()))),"OLD",IF(AND(E658&lt;&gt;"",E658&lt;&gt;"!!!"),"NEW","")))</f>
        <v/>
      </c>
      <c r="G658" s="22" t="str">
        <f>IF(OR(E658="",E658="!!!"),"",IF(OR(J658=0,AND(J658=1,K658=1),AND(J658=1,I658="SBJ"),AND(J658=1,I658=0)),"?IN_FOCUS",IF(J658&lt;=2,"?ACTIVATED",IF(J658&lt;&gt;"","?FAMILIAR",IF(F658="NEW",IF(ISNA(VLOOKUP(E658,#REF!,1,FALSE())),"?TYPE_IDENTIFIABLE","?REFERENTIAL"),"_")))))</f>
        <v/>
      </c>
      <c r="H658" s="23" t="str">
        <f t="shared" ref="H658:H694" ca="1" si="51">IF(J658&lt;&gt;1,"",IF(I658="SBJ","CB","?"))</f>
        <v/>
      </c>
      <c r="I658" s="24" t="str">
        <f>IF(OR(E658="",E658="!!!",F658="NEW"),"",INDEX(B$2:B657,-1+SUMPRODUCT(MAX(ROW(E$2:E657)*(E658=E$2:E657)))))</f>
        <v/>
      </c>
      <c r="J658" s="24" t="str">
        <f ca="1">IF(OR(E658="",E658="!!!",F658="NEW"),"",COUNTBLANK(OFFSET(A$1,,,SUMPRODUCT(MAX(ROW(E$2:E658)*(E658=E$2:E658)))))-COUNTBLANK(OFFSET(A$1,,,SUMPRODUCT(MAX(ROW(E$1:E657)*(E2=E$1:E657))))))</f>
        <v/>
      </c>
      <c r="K658" s="24" t="str">
        <f>IF(OR(E658="",E658="!!!",F658="NEW"),"",INDEX(J$1:J657,SUMPRODUCT(MAX(ROW(E$1:E657)*(E658=E$1:E657)))))</f>
        <v/>
      </c>
      <c r="L658" s="25"/>
    </row>
    <row r="659" spans="1:12" x14ac:dyDescent="0.3">
      <c r="A659" t="s">
        <v>320</v>
      </c>
      <c r="E659" s="20" t="str">
        <f t="shared" si="50"/>
        <v/>
      </c>
      <c r="F659" s="21" t="str">
        <f>IF(OR(E659="",E659="!!!"),"",IF(NOT(ISNA(VLOOKUP(E659,E$1:E658,1,FALSE()))),"OLD",IF(AND(E659&lt;&gt;"",E659&lt;&gt;"!!!"),"NEW","")))</f>
        <v/>
      </c>
      <c r="G659" s="22" t="str">
        <f>IF(OR(E659="",E659="!!!"),"",IF(OR(J659=0,AND(J659=1,K659=1),AND(J659=1,I659="SBJ"),AND(J659=1,I659=0)),"?IN_FOCUS",IF(J659&lt;=2,"?ACTIVATED",IF(J659&lt;&gt;"","?FAMILIAR",IF(F659="NEW",IF(ISNA(VLOOKUP(E659,#REF!,1,FALSE())),"?TYPE_IDENTIFIABLE","?REFERENTIAL"),"_")))))</f>
        <v/>
      </c>
      <c r="H659" s="23" t="str">
        <f t="shared" ca="1" si="51"/>
        <v/>
      </c>
      <c r="I659" s="24" t="str">
        <f>IF(OR(E659="",E659="!!!",F659="NEW"),"",INDEX(B$2:B658,-1+SUMPRODUCT(MAX(ROW(E$2:E658)*(E659=E$2:E658)))))</f>
        <v/>
      </c>
      <c r="J659" s="24" t="str">
        <f ca="1">IF(OR(E659="",E659="!!!",F659="NEW"),"",COUNTBLANK(OFFSET(A$1,,,SUMPRODUCT(MAX(ROW(E$2:E659)*(E659=E$2:E659)))))-COUNTBLANK(OFFSET(A$1,,,SUMPRODUCT(MAX(ROW(E$1:E658)*(E2=E$1:E658))))))</f>
        <v/>
      </c>
      <c r="K659" s="24" t="str">
        <f>IF(OR(E659="",E659="!!!",F659="NEW"),"",INDEX(J$1:J658,SUMPRODUCT(MAX(ROW(E$1:E658)*(E659=E$1:E658)))))</f>
        <v/>
      </c>
      <c r="L659" s="25"/>
    </row>
    <row r="660" spans="1:12" x14ac:dyDescent="0.3">
      <c r="A660" t="s">
        <v>238</v>
      </c>
      <c r="E660" s="20" t="str">
        <f t="shared" si="50"/>
        <v/>
      </c>
      <c r="F660" s="21" t="str">
        <f>IF(OR(E660="",E660="!!!"),"",IF(NOT(ISNA(VLOOKUP(E660,E$1:E659,1,FALSE()))),"OLD",IF(AND(E660&lt;&gt;"",E660&lt;&gt;"!!!"),"NEW","")))</f>
        <v/>
      </c>
      <c r="G660" s="22" t="str">
        <f>IF(OR(E660="",E660="!!!"),"",IF(OR(J660=0,AND(J660=1,K660=1),AND(J660=1,I660="SBJ"),AND(J660=1,I660=0)),"?IN_FOCUS",IF(J660&lt;=2,"?ACTIVATED",IF(J660&lt;&gt;"","?FAMILIAR",IF(F660="NEW",IF(ISNA(VLOOKUP(E660,#REF!,1,FALSE())),"?TYPE_IDENTIFIABLE","?REFERENTIAL"),"_")))))</f>
        <v/>
      </c>
      <c r="H660" s="23" t="str">
        <f t="shared" ca="1" si="51"/>
        <v/>
      </c>
      <c r="I660" s="24" t="str">
        <f>IF(OR(E660="",E660="!!!",F660="NEW"),"",INDEX(B$2:B659,-1+SUMPRODUCT(MAX(ROW(E$2:E659)*(E660=E$2:E659)))))</f>
        <v/>
      </c>
      <c r="J660" s="24" t="str">
        <f ca="1">IF(OR(E660="",E660="!!!",F660="NEW"),"",COUNTBLANK(OFFSET(A$1,,,SUMPRODUCT(MAX(ROW(E$2:E660)*(E660=E$2:E660)))))-COUNTBLANK(OFFSET(A$1,,,SUMPRODUCT(MAX(ROW(E$1:E659)*(E2=E$1:E659))))))</f>
        <v/>
      </c>
      <c r="K660" s="24" t="str">
        <f>IF(OR(E660="",E660="!!!",F660="NEW"),"",INDEX(J$1:J659,SUMPRODUCT(MAX(ROW(E$1:E659)*(E660=E$1:E659)))))</f>
        <v/>
      </c>
      <c r="L660" s="25"/>
    </row>
    <row r="661" spans="1:12" x14ac:dyDescent="0.3">
      <c r="A661" t="s">
        <v>523</v>
      </c>
      <c r="B661" s="26" t="s">
        <v>205</v>
      </c>
      <c r="C661" s="26" t="s">
        <v>240</v>
      </c>
      <c r="E661" s="20" t="str">
        <f t="shared" si="50"/>
        <v/>
      </c>
      <c r="F661" s="21" t="str">
        <f>IF(OR(E661="",E661="!!!"),"",IF(NOT(ISNA(VLOOKUP(E661,E$1:E660,1,FALSE()))),"OLD",IF(AND(E661&lt;&gt;"",E661&lt;&gt;"!!!"),"NEW","")))</f>
        <v/>
      </c>
      <c r="G661" s="22" t="str">
        <f>IF(OR(E661="",E661="!!!"),"",IF(OR(J661=0,AND(J661=1,K661=1),AND(J661=1,I661="SBJ"),AND(J661=1,I661=0)),"?IN_FOCUS",IF(J661&lt;=2,"?ACTIVATED",IF(J661&lt;&gt;"","?FAMILIAR",IF(F661="NEW",IF(ISNA(VLOOKUP(E661,#REF!,1,FALSE())),"?TYPE_IDENTIFIABLE","?REFERENTIAL"),"_")))))</f>
        <v/>
      </c>
      <c r="H661" s="23" t="str">
        <f t="shared" ca="1" si="51"/>
        <v/>
      </c>
      <c r="I661" s="24" t="str">
        <f>IF(OR(E661="",E661="!!!",F661="NEW"),"",INDEX(B$2:B660,-1+SUMPRODUCT(MAX(ROW(E$2:E660)*(E661=E$2:E660)))))</f>
        <v/>
      </c>
      <c r="J661" s="24" t="str">
        <f ca="1">IF(OR(E661="",E661="!!!",F661="NEW"),"",COUNTBLANK(OFFSET(A$1,,,SUMPRODUCT(MAX(ROW(E$2:E661)*(E661=E$2:E661)))))-COUNTBLANK(OFFSET(A$1,,,SUMPRODUCT(MAX(ROW(E$1:E660)*(E2=E$1:E660))))))</f>
        <v/>
      </c>
      <c r="K661" s="24" t="str">
        <f>IF(OR(E661="",E661="!!!",F661="NEW"),"",INDEX(J$1:J660,SUMPRODUCT(MAX(ROW(E$1:E660)*(E661=E$1:E660)))))</f>
        <v/>
      </c>
      <c r="L661" s="25"/>
    </row>
    <row r="662" spans="1:12" x14ac:dyDescent="0.3">
      <c r="A662" t="s">
        <v>207</v>
      </c>
      <c r="E662" s="20" t="str">
        <f t="shared" si="50"/>
        <v/>
      </c>
      <c r="F662" s="21" t="str">
        <f>IF(OR(E662="",E662="!!!"),"",IF(NOT(ISNA(VLOOKUP(E662,E$1:E661,1,FALSE()))),"OLD",IF(AND(E662&lt;&gt;"",E662&lt;&gt;"!!!"),"NEW","")))</f>
        <v/>
      </c>
      <c r="G662" s="22" t="str">
        <f>IF(OR(E662="",E662="!!!"),"",IF(OR(J662=0,AND(J662=1,K662=1),AND(J662=1,I662="SBJ"),AND(J662=1,I662=0)),"?IN_FOCUS",IF(J662&lt;=2,"?ACTIVATED",IF(J662&lt;&gt;"","?FAMILIAR",IF(F662="NEW",IF(ISNA(VLOOKUP(E662,#REF!,1,FALSE())),"?TYPE_IDENTIFIABLE","?REFERENTIAL"),"_")))))</f>
        <v/>
      </c>
      <c r="H662" s="23" t="str">
        <f t="shared" ca="1" si="51"/>
        <v/>
      </c>
      <c r="I662" s="24" t="str">
        <f>IF(OR(E662="",E662="!!!",F662="NEW"),"",INDEX(B$2:B661,-1+SUMPRODUCT(MAX(ROW(E$2:E661)*(E662=E$2:E661)))))</f>
        <v/>
      </c>
      <c r="J662" s="24" t="str">
        <f ca="1">IF(OR(E662="",E662="!!!",F662="NEW"),"",COUNTBLANK(OFFSET(A$1,,,SUMPRODUCT(MAX(ROW(E$2:E662)*(E662=E$2:E662)))))-COUNTBLANK(OFFSET(A$1,,,SUMPRODUCT(MAX(ROW(E$1:E661)*(E2=E$1:E661))))))</f>
        <v/>
      </c>
      <c r="K662" s="24" t="str">
        <f>IF(OR(E662="",E662="!!!",F662="NEW"),"",INDEX(J$1:J661,SUMPRODUCT(MAX(ROW(E$1:E661)*(E662=E$1:E661)))))</f>
        <v/>
      </c>
      <c r="L662" s="25"/>
    </row>
    <row r="663" spans="1:12" x14ac:dyDescent="0.3">
      <c r="A663" t="s">
        <v>228</v>
      </c>
      <c r="B663" s="26" t="s">
        <v>213</v>
      </c>
      <c r="C663" s="26" t="s">
        <v>230</v>
      </c>
      <c r="D663" s="26" t="s">
        <v>215</v>
      </c>
      <c r="E663" s="20" t="s">
        <v>669</v>
      </c>
      <c r="F663" s="21" t="str">
        <f>IF(OR(E663="",E663="!!!"),"",IF(NOT(ISNA(VLOOKUP(E663,E$1:E662,1,FALSE()))),"OLD",IF(AND(E663&lt;&gt;"",E663&lt;&gt;"!!!"),"NEW","")))</f>
        <v>OLD</v>
      </c>
      <c r="G663" s="22" t="str">
        <f ca="1">IF(OR(E663="",E663="!!!"),"",IF(OR(J663=0,AND(J663=1,K663=1),AND(J663=1,I663="SBJ"),AND(J663=1,I663=0)),"?IN_FOCUS",IF(J663&lt;=2,"?ACTIVATED",IF(J663&lt;&gt;"","?FAMILIAR",IF(F663="NEW",IF(ISNA(VLOOKUP(E663,#REF!,1,FALSE())),"?TYPE_IDENTIFIABLE","?REFERENTIAL"),"_")))))</f>
        <v>?IN_FOCUS</v>
      </c>
      <c r="H663" s="23" t="s">
        <v>198</v>
      </c>
      <c r="I663" s="24" t="str">
        <f>IF(OR(E663="",E663="!!!",F663="NEW"),"",INDEX(B$2:B662,-1+SUMPRODUCT(MAX(ROW(E$2:E662)*(E663=E$2:E662)))))</f>
        <v>other_2</v>
      </c>
      <c r="J663" s="24">
        <f ca="1">IF(OR(E663="",E663="!!!",F663="NEW"),"",COUNTBLANK(OFFSET(A$1,,,SUMPRODUCT(MAX(ROW(E$2:E663)*(E663=E$2:E663)))))-COUNTBLANK(OFFSET(A$1,,,SUMPRODUCT(MAX(ROW(E$1:E662)*(E2=E$1:E662))))))</f>
        <v>0</v>
      </c>
      <c r="K663" s="24">
        <f ca="1">IF(OR(E663="",E663="!!!",F663="NEW"),"",INDEX(J$1:J662,SUMPRODUCT(MAX(ROW(E$1:E662)*(E663=E$1:E662)))))</f>
        <v>0</v>
      </c>
      <c r="L663" s="25"/>
    </row>
    <row r="664" spans="1:12" x14ac:dyDescent="0.3">
      <c r="A664" t="s">
        <v>524</v>
      </c>
      <c r="E664" s="20" t="str">
        <f t="shared" si="50"/>
        <v/>
      </c>
      <c r="F664" s="21" t="str">
        <f>IF(OR(E664="",E664="!!!"),"",IF(NOT(ISNA(VLOOKUP(E664,E$1:E663,1,FALSE()))),"OLD",IF(AND(E664&lt;&gt;"",E664&lt;&gt;"!!!"),"NEW","")))</f>
        <v/>
      </c>
      <c r="G664" s="22" t="str">
        <f>IF(OR(E664="",E664="!!!"),"",IF(OR(J664=0,AND(J664=1,K664=1),AND(J664=1,I664="SBJ"),AND(J664=1,I664=0)),"?IN_FOCUS",IF(J664&lt;=2,"?ACTIVATED",IF(J664&lt;&gt;"","?FAMILIAR",IF(F664="NEW",IF(ISNA(VLOOKUP(E664,#REF!,1,FALSE())),"?TYPE_IDENTIFIABLE","?REFERENTIAL"),"_")))))</f>
        <v/>
      </c>
      <c r="H664" s="23" t="str">
        <f t="shared" ca="1" si="51"/>
        <v/>
      </c>
      <c r="I664" s="24" t="str">
        <f>IF(OR(E664="",E664="!!!",F664="NEW"),"",INDEX(B$2:B663,-1+SUMPRODUCT(MAX(ROW(E$2:E663)*(E664=E$2:E663)))))</f>
        <v/>
      </c>
      <c r="J664" s="24" t="str">
        <f ca="1">IF(OR(E664="",E664="!!!",F664="NEW"),"",COUNTBLANK(OFFSET(A$1,,,SUMPRODUCT(MAX(ROW(E$2:E664)*(E664=E$2:E664)))))-COUNTBLANK(OFFSET(A$1,,,SUMPRODUCT(MAX(ROW(E$1:E663)*(E2=E$1:E663))))))</f>
        <v/>
      </c>
      <c r="K664" s="24" t="str">
        <f>IF(OR(E664="",E664="!!!",F664="NEW"),"",INDEX(J$1:J663,SUMPRODUCT(MAX(ROW(E$1:E663)*(E664=E$1:E663)))))</f>
        <v/>
      </c>
      <c r="L664" s="25"/>
    </row>
    <row r="665" spans="1:12" x14ac:dyDescent="0.3">
      <c r="A665" t="s">
        <v>424</v>
      </c>
      <c r="B665" s="26" t="s">
        <v>225</v>
      </c>
      <c r="C665" s="26" t="s">
        <v>380</v>
      </c>
      <c r="D665" s="26" t="s">
        <v>215</v>
      </c>
      <c r="E665" s="20" t="s">
        <v>669</v>
      </c>
      <c r="F665" s="21" t="str">
        <f>IF(OR(E665="",E665="!!!"),"",IF(NOT(ISNA(VLOOKUP(E665,E$1:E664,1,FALSE()))),"OLD",IF(AND(E665&lt;&gt;"",E665&lt;&gt;"!!!"),"NEW","")))</f>
        <v>OLD</v>
      </c>
      <c r="G665" s="22" t="str">
        <f ca="1">IF(OR(E665="",E665="!!!"),"",IF(OR(J665=0,AND(J665=1,K665=1),AND(J665=1,I665="SBJ"),AND(J665=1,I665=0)),"?IN_FOCUS",IF(J665&lt;=2,"?ACTIVATED",IF(J665&lt;&gt;"","?FAMILIAR",IF(F665="NEW",IF(ISNA(VLOOKUP(E665,#REF!,1,FALSE())),"?TYPE_IDENTIFIABLE","?REFERENTIAL"),"_")))))</f>
        <v>?IN_FOCUS</v>
      </c>
      <c r="H665" s="23" t="str">
        <f t="shared" ca="1" si="51"/>
        <v/>
      </c>
      <c r="I665" s="24" t="str">
        <f>IF(OR(E665="",E665="!!!",F665="NEW"),"",INDEX(B$2:B664,-1+SUMPRODUCT(MAX(ROW(E$2:E664)*(E665=E$2:E664)))))</f>
        <v>SBJ</v>
      </c>
      <c r="J665" s="24">
        <f ca="1">IF(OR(E665="",E665="!!!",F665="NEW"),"",COUNTBLANK(OFFSET(A$1,,,SUMPRODUCT(MAX(ROW(E$2:E665)*(E665=E$2:E665)))))-COUNTBLANK(OFFSET(A$1,,,SUMPRODUCT(MAX(ROW(E$1:E664)*(E2=E$1:E664))))))</f>
        <v>0</v>
      </c>
      <c r="K665" s="24">
        <f ca="1">IF(OR(E665="",E665="!!!",F665="NEW"),"",INDEX(J$1:J664,SUMPRODUCT(MAX(ROW(E$1:E664)*(E665=E$1:E664)))))</f>
        <v>0</v>
      </c>
      <c r="L665" s="25"/>
    </row>
    <row r="666" spans="1:12" x14ac:dyDescent="0.3">
      <c r="A666" t="s">
        <v>448</v>
      </c>
      <c r="E666" s="20" t="str">
        <f t="shared" si="50"/>
        <v/>
      </c>
      <c r="F666" s="21" t="str">
        <f>IF(OR(E666="",E666="!!!"),"",IF(NOT(ISNA(VLOOKUP(E666,E$1:E665,1,FALSE()))),"OLD",IF(AND(E666&lt;&gt;"",E666&lt;&gt;"!!!"),"NEW","")))</f>
        <v/>
      </c>
      <c r="G666" s="22" t="str">
        <f>IF(OR(E666="",E666="!!!"),"",IF(OR(J666=0,AND(J666=1,K666=1),AND(J666=1,I666="SBJ"),AND(J666=1,I666=0)),"?IN_FOCUS",IF(J666&lt;=2,"?ACTIVATED",IF(J666&lt;&gt;"","?FAMILIAR",IF(F666="NEW",IF(ISNA(VLOOKUP(E666,#REF!,1,FALSE())),"?TYPE_IDENTIFIABLE","?REFERENTIAL"),"_")))))</f>
        <v/>
      </c>
      <c r="H666" s="23" t="str">
        <f t="shared" ca="1" si="51"/>
        <v/>
      </c>
      <c r="I666" s="24" t="str">
        <f>IF(OR(E666="",E666="!!!",F666="NEW"),"",INDEX(B$2:B665,-1+SUMPRODUCT(MAX(ROW(E$2:E665)*(E666=E$2:E665)))))</f>
        <v/>
      </c>
      <c r="J666" s="24" t="str">
        <f ca="1">IF(OR(E666="",E666="!!!",F666="NEW"),"",COUNTBLANK(OFFSET(A$1,,,SUMPRODUCT(MAX(ROW(E$2:E666)*(E666=E$2:E666)))))-COUNTBLANK(OFFSET(A$1,,,SUMPRODUCT(MAX(ROW(E$1:E665)*(E2=E$1:E665))))))</f>
        <v/>
      </c>
      <c r="K666" s="24" t="str">
        <f>IF(OR(E666="",E666="!!!",F666="NEW"),"",INDEX(J$1:J665,SUMPRODUCT(MAX(ROW(E$1:E665)*(E666=E$1:E665)))))</f>
        <v/>
      </c>
      <c r="L666" s="25"/>
    </row>
    <row r="667" spans="1:12" x14ac:dyDescent="0.3">
      <c r="A667" t="s">
        <v>248</v>
      </c>
      <c r="B667" s="26" t="s">
        <v>261</v>
      </c>
      <c r="C667" s="26" t="s">
        <v>264</v>
      </c>
      <c r="D667" s="26" t="s">
        <v>215</v>
      </c>
      <c r="E667" s="20" t="s">
        <v>709</v>
      </c>
      <c r="F667" s="21" t="str">
        <f>IF(OR(E667="",E667="!!!"),"",IF(NOT(ISNA(VLOOKUP(E667,E$1:E666,1,FALSE()))),"OLD",IF(AND(E667&lt;&gt;"",E667&lt;&gt;"!!!"),"NEW","")))</f>
        <v>OLD</v>
      </c>
      <c r="G667" s="22" t="s">
        <v>657</v>
      </c>
      <c r="H667" s="23" t="str">
        <f t="shared" ca="1" si="51"/>
        <v/>
      </c>
      <c r="I667" s="24" t="str">
        <f>IF(OR(E667="",E667="!!!",F667="NEW"),"",INDEX(B$2:B666,-1+SUMPRODUCT(MAX(ROW(E$2:E666)*(E667=E$2:E666)))))</f>
        <v>other_6</v>
      </c>
      <c r="J667" s="24">
        <f ca="1">IF(OR(E667="",E667="!!!",F667="NEW"),"",COUNTBLANK(OFFSET(A$1,,,SUMPRODUCT(MAX(ROW(E$2:E667)*(E667=E$2:E667)))))-COUNTBLANK(OFFSET(A$1,,,SUMPRODUCT(MAX(ROW(E$1:E666)*(E2=E$1:E666))))))</f>
        <v>0</v>
      </c>
      <c r="K667" s="24">
        <f ca="1">IF(OR(E667="",E667="!!!",F667="NEW"),"",INDEX(J$1:J666,SUMPRODUCT(MAX(ROW(E$1:E666)*(E667=E$1:E666)))))</f>
        <v>0</v>
      </c>
      <c r="L667" s="25"/>
    </row>
    <row r="668" spans="1:12" x14ac:dyDescent="0.3">
      <c r="A668" t="s">
        <v>287</v>
      </c>
      <c r="E668" s="20" t="str">
        <f t="shared" si="50"/>
        <v/>
      </c>
      <c r="F668" s="21" t="str">
        <f>IF(OR(E668="",E668="!!!"),"",IF(NOT(ISNA(VLOOKUP(E668,E$1:E667,1,FALSE()))),"OLD",IF(AND(E668&lt;&gt;"",E668&lt;&gt;"!!!"),"NEW","")))</f>
        <v/>
      </c>
      <c r="G668" s="22" t="str">
        <f>IF(OR(E668="",E668="!!!"),"",IF(OR(J668=0,AND(J668=1,K668=1),AND(J668=1,I668="SBJ"),AND(J668=1,I668=0)),"?IN_FOCUS",IF(J668&lt;=2,"?ACTIVATED",IF(J668&lt;&gt;"","?FAMILIAR",IF(F668="NEW",IF(ISNA(VLOOKUP(E668,#REF!,1,FALSE())),"?TYPE_IDENTIFIABLE","?REFERENTIAL"),"_")))))</f>
        <v/>
      </c>
      <c r="H668" s="23" t="str">
        <f t="shared" ca="1" si="51"/>
        <v/>
      </c>
      <c r="I668" s="24" t="str">
        <f>IF(OR(E668="",E668="!!!",F668="NEW"),"",INDEX(B$2:B667,-1+SUMPRODUCT(MAX(ROW(E$2:E667)*(E668=E$2:E667)))))</f>
        <v/>
      </c>
      <c r="J668" s="24" t="str">
        <f ca="1">IF(OR(E668="",E668="!!!",F668="NEW"),"",COUNTBLANK(OFFSET(A$1,,,SUMPRODUCT(MAX(ROW(E$2:E668)*(E668=E$2:E668)))))-COUNTBLANK(OFFSET(A$1,,,SUMPRODUCT(MAX(ROW(E$1:E667)*(E2=E$1:E667))))))</f>
        <v/>
      </c>
      <c r="K668" s="24" t="str">
        <f>IF(OR(E668="",E668="!!!",F668="NEW"),"",INDEX(J$1:J667,SUMPRODUCT(MAX(ROW(E$1:E667)*(E668=E$1:E667)))))</f>
        <v/>
      </c>
      <c r="L668" s="25"/>
    </row>
    <row r="669" spans="1:12" x14ac:dyDescent="0.3">
      <c r="A669" t="s">
        <v>228</v>
      </c>
      <c r="B669" s="26" t="s">
        <v>229</v>
      </c>
      <c r="C669" s="26" t="s">
        <v>230</v>
      </c>
      <c r="D669" s="26" t="s">
        <v>215</v>
      </c>
      <c r="E669" s="20" t="s">
        <v>669</v>
      </c>
      <c r="F669" s="21" t="str">
        <f>IF(OR(E669="",E669="!!!"),"",IF(NOT(ISNA(VLOOKUP(E669,E$1:E668,1,FALSE()))),"OLD",IF(AND(E669&lt;&gt;"",E669&lt;&gt;"!!!"),"NEW","")))</f>
        <v>OLD</v>
      </c>
      <c r="G669" s="22" t="str">
        <f ca="1">IF(OR(E669="",E669="!!!"),"",IF(OR(J669=0,AND(J669=1,K669=1),AND(J669=1,I669="SBJ"),AND(J669=1,I669=0)),"?IN_FOCUS",IF(J669&lt;=2,"?ACTIVATED",IF(J669&lt;&gt;"","?FAMILIAR",IF(F669="NEW",IF(ISNA(VLOOKUP(E669,#REF!,1,FALSE())),"?TYPE_IDENTIFIABLE","?REFERENTIAL"),"_")))))</f>
        <v>?IN_FOCUS</v>
      </c>
      <c r="H669" s="23" t="str">
        <f t="shared" ca="1" si="51"/>
        <v/>
      </c>
      <c r="I669" s="24" t="str">
        <f>IF(OR(E669="",E669="!!!",F669="NEW"),"",INDEX(B$2:B668,-1+SUMPRODUCT(MAX(ROW(E$2:E668)*(E669=E$2:E668)))))</f>
        <v>other_2</v>
      </c>
      <c r="J669" s="24">
        <f ca="1">IF(OR(E669="",E669="!!!",F669="NEW"),"",COUNTBLANK(OFFSET(A$1,,,SUMPRODUCT(MAX(ROW(E$2:E669)*(E669=E$2:E669)))))-COUNTBLANK(OFFSET(A$1,,,SUMPRODUCT(MAX(ROW(E$1:E668)*(E2=E$1:E668))))))</f>
        <v>0</v>
      </c>
      <c r="K669" s="24">
        <f ca="1">IF(OR(E669="",E669="!!!",F669="NEW"),"",INDEX(J$1:J668,SUMPRODUCT(MAX(ROW(E$1:E668)*(E669=E$1:E668)))))</f>
        <v>0</v>
      </c>
      <c r="L669" s="25"/>
    </row>
    <row r="670" spans="1:12" x14ac:dyDescent="0.3">
      <c r="A670" t="s">
        <v>457</v>
      </c>
      <c r="E670" s="20" t="str">
        <f t="shared" si="50"/>
        <v/>
      </c>
      <c r="F670" s="21" t="str">
        <f>IF(OR(E670="",E670="!!!"),"",IF(NOT(ISNA(VLOOKUP(E670,E$1:E669,1,FALSE()))),"OLD",IF(AND(E670&lt;&gt;"",E670&lt;&gt;"!!!"),"NEW","")))</f>
        <v/>
      </c>
      <c r="G670" s="22" t="str">
        <f>IF(OR(E670="",E670="!!!"),"",IF(OR(J670=0,AND(J670=1,K670=1),AND(J670=1,I670="SBJ"),AND(J670=1,I670=0)),"?IN_FOCUS",IF(J670&lt;=2,"?ACTIVATED",IF(J670&lt;&gt;"","?FAMILIAR",IF(F670="NEW",IF(ISNA(VLOOKUP(E670,#REF!,1,FALSE())),"?TYPE_IDENTIFIABLE","?REFERENTIAL"),"_")))))</f>
        <v/>
      </c>
      <c r="H670" s="23" t="str">
        <f t="shared" ca="1" si="51"/>
        <v/>
      </c>
      <c r="I670" s="24" t="str">
        <f>IF(OR(E670="",E670="!!!",F670="NEW"),"",INDEX(B$2:B669,-1+SUMPRODUCT(MAX(ROW(E$2:E669)*(E670=E$2:E669)))))</f>
        <v/>
      </c>
      <c r="J670" s="24" t="str">
        <f ca="1">IF(OR(E670="",E670="!!!",F670="NEW"),"",COUNTBLANK(OFFSET(A$1,,,SUMPRODUCT(MAX(ROW(E$2:E670)*(E670=E$2:E670)))))-COUNTBLANK(OFFSET(A$1,,,SUMPRODUCT(MAX(ROW(E$1:E669)*(E2=E$1:E669))))))</f>
        <v/>
      </c>
      <c r="K670" s="24" t="str">
        <f>IF(OR(E670="",E670="!!!",F670="NEW"),"",INDEX(J$1:J669,SUMPRODUCT(MAX(ROW(E$1:E669)*(E670=E$1:E669)))))</f>
        <v/>
      </c>
      <c r="L670" s="25"/>
    </row>
    <row r="671" spans="1:12" x14ac:dyDescent="0.3">
      <c r="A671" t="s">
        <v>247</v>
      </c>
      <c r="E671" s="20" t="str">
        <f t="shared" si="50"/>
        <v/>
      </c>
      <c r="F671" s="21" t="str">
        <f>IF(OR(E671="",E671="!!!"),"",IF(NOT(ISNA(VLOOKUP(E671,E$1:E670,1,FALSE()))),"OLD",IF(AND(E671&lt;&gt;"",E671&lt;&gt;"!!!"),"NEW","")))</f>
        <v/>
      </c>
      <c r="G671" s="22" t="str">
        <f>IF(OR(E671="",E671="!!!"),"",IF(OR(J671=0,AND(J671=1,K671=1),AND(J671=1,I671="SBJ"),AND(J671=1,I671=0)),"?IN_FOCUS",IF(J671&lt;=2,"?ACTIVATED",IF(J671&lt;&gt;"","?FAMILIAR",IF(F671="NEW",IF(ISNA(VLOOKUP(E671,#REF!,1,FALSE())),"?TYPE_IDENTIFIABLE","?REFERENTIAL"),"_")))))</f>
        <v/>
      </c>
      <c r="H671" s="23" t="str">
        <f t="shared" ca="1" si="51"/>
        <v/>
      </c>
      <c r="I671" s="24" t="str">
        <f>IF(OR(E671="",E671="!!!",F671="NEW"),"",INDEX(B$2:B670,-1+SUMPRODUCT(MAX(ROW(E$2:E670)*(E671=E$2:E670)))))</f>
        <v/>
      </c>
      <c r="J671" s="24" t="str">
        <f ca="1">IF(OR(E671="",E671="!!!",F671="NEW"),"",COUNTBLANK(OFFSET(A$1,,,SUMPRODUCT(MAX(ROW(E$2:E671)*(E671=E$2:E671)))))-COUNTBLANK(OFFSET(A$1,,,SUMPRODUCT(MAX(ROW(E$1:E670)*(E2=E$1:E670))))))</f>
        <v/>
      </c>
      <c r="K671" s="24" t="str">
        <f>IF(OR(E671="",E671="!!!",F671="NEW"),"",INDEX(J$1:J670,SUMPRODUCT(MAX(ROW(E$1:E670)*(E671=E$1:E670)))))</f>
        <v/>
      </c>
      <c r="L671" s="25"/>
    </row>
    <row r="672" spans="1:12" x14ac:dyDescent="0.3">
      <c r="A672" t="s">
        <v>207</v>
      </c>
      <c r="E672" s="20" t="str">
        <f t="shared" si="50"/>
        <v/>
      </c>
      <c r="F672" s="21" t="str">
        <f>IF(OR(E672="",E672="!!!"),"",IF(NOT(ISNA(VLOOKUP(E672,E$1:E671,1,FALSE()))),"OLD",IF(AND(E672&lt;&gt;"",E672&lt;&gt;"!!!"),"NEW","")))</f>
        <v/>
      </c>
      <c r="G672" s="22" t="str">
        <f>IF(OR(E672="",E672="!!!"),"",IF(OR(J672=0,AND(J672=1,K672=1),AND(J672=1,I672="SBJ"),AND(J672=1,I672=0)),"?IN_FOCUS",IF(J672&lt;=2,"?ACTIVATED",IF(J672&lt;&gt;"","?FAMILIAR",IF(F672="NEW",IF(ISNA(VLOOKUP(E672,#REF!,1,FALSE())),"?TYPE_IDENTIFIABLE","?REFERENTIAL"),"_")))))</f>
        <v/>
      </c>
      <c r="H672" s="23" t="str">
        <f t="shared" ca="1" si="51"/>
        <v/>
      </c>
      <c r="I672" s="24" t="str">
        <f>IF(OR(E672="",E672="!!!",F672="NEW"),"",INDEX(B$2:B671,-1+SUMPRODUCT(MAX(ROW(E$2:E671)*(E672=E$2:E671)))))</f>
        <v/>
      </c>
      <c r="J672" s="24" t="str">
        <f ca="1">IF(OR(E672="",E672="!!!",F672="NEW"),"",COUNTBLANK(OFFSET(A$1,,,SUMPRODUCT(MAX(ROW(E$2:E672)*(E672=E$2:E672)))))-COUNTBLANK(OFFSET(A$1,,,SUMPRODUCT(MAX(ROW(E$1:E671)*(E2=E$1:E671))))))</f>
        <v/>
      </c>
      <c r="K672" s="24" t="str">
        <f>IF(OR(E672="",E672="!!!",F672="NEW"),"",INDEX(J$1:J671,SUMPRODUCT(MAX(ROW(E$1:E671)*(E672=E$1:E671)))))</f>
        <v/>
      </c>
      <c r="L672" s="25"/>
    </row>
    <row r="673" spans="1:12" x14ac:dyDescent="0.3">
      <c r="A673" t="s">
        <v>303</v>
      </c>
      <c r="E673" s="20" t="str">
        <f t="shared" si="50"/>
        <v/>
      </c>
      <c r="F673" s="21" t="str">
        <f>IF(OR(E673="",E673="!!!"),"",IF(NOT(ISNA(VLOOKUP(E673,E$1:E672,1,FALSE()))),"OLD",IF(AND(E673&lt;&gt;"",E673&lt;&gt;"!!!"),"NEW","")))</f>
        <v/>
      </c>
      <c r="G673" s="22" t="str">
        <f>IF(OR(E673="",E673="!!!"),"",IF(OR(J673=0,AND(J673=1,K673=1),AND(J673=1,I673="SBJ"),AND(J673=1,I673=0)),"?IN_FOCUS",IF(J673&lt;=2,"?ACTIVATED",IF(J673&lt;&gt;"","?FAMILIAR",IF(F673="NEW",IF(ISNA(VLOOKUP(E673,#REF!,1,FALSE())),"?TYPE_IDENTIFIABLE","?REFERENTIAL"),"_")))))</f>
        <v/>
      </c>
      <c r="H673" s="23" t="str">
        <f t="shared" ca="1" si="51"/>
        <v/>
      </c>
      <c r="I673" s="24" t="str">
        <f>IF(OR(E673="",E673="!!!",F673="NEW"),"",INDEX(B$2:B672,-1+SUMPRODUCT(MAX(ROW(E$2:E672)*(E673=E$2:E672)))))</f>
        <v/>
      </c>
      <c r="J673" s="24" t="str">
        <f ca="1">IF(OR(E673="",E673="!!!",F673="NEW"),"",COUNTBLANK(OFFSET(A$1,,,SUMPRODUCT(MAX(ROW(E$2:E673)*(E673=E$2:E673)))))-COUNTBLANK(OFFSET(A$1,,,SUMPRODUCT(MAX(ROW(E$1:E672)*(E2=E$1:E672))))))</f>
        <v/>
      </c>
      <c r="K673" s="24" t="str">
        <f>IF(OR(E673="",E673="!!!",F673="NEW"),"",INDEX(J$1:J672,SUMPRODUCT(MAX(ROW(E$1:E672)*(E673=E$1:E672)))))</f>
        <v/>
      </c>
      <c r="L673" s="25"/>
    </row>
    <row r="674" spans="1:12" x14ac:dyDescent="0.3">
      <c r="A674" t="s">
        <v>525</v>
      </c>
      <c r="E674" s="20" t="str">
        <f t="shared" si="50"/>
        <v/>
      </c>
      <c r="F674" s="21" t="str">
        <f>IF(OR(E674="",E674="!!!"),"",IF(NOT(ISNA(VLOOKUP(E674,E$1:E673,1,FALSE()))),"OLD",IF(AND(E674&lt;&gt;"",E674&lt;&gt;"!!!"),"NEW","")))</f>
        <v/>
      </c>
      <c r="G674" s="22" t="str">
        <f>IF(OR(E674="",E674="!!!"),"",IF(OR(J674=0,AND(J674=1,K674=1),AND(J674=1,I674="SBJ"),AND(J674=1,I674=0)),"?IN_FOCUS",IF(J674&lt;=2,"?ACTIVATED",IF(J674&lt;&gt;"","?FAMILIAR",IF(F674="NEW",IF(ISNA(VLOOKUP(E674,#REF!,1,FALSE())),"?TYPE_IDENTIFIABLE","?REFERENTIAL"),"_")))))</f>
        <v/>
      </c>
      <c r="H674" s="23" t="str">
        <f t="shared" ca="1" si="51"/>
        <v/>
      </c>
      <c r="I674" s="24" t="str">
        <f>IF(OR(E674="",E674="!!!",F674="NEW"),"",INDEX(B$2:B673,-1+SUMPRODUCT(MAX(ROW(E$2:E673)*(E674=E$2:E673)))))</f>
        <v/>
      </c>
      <c r="J674" s="24" t="str">
        <f ca="1">IF(OR(E674="",E674="!!!",F674="NEW"),"",COUNTBLANK(OFFSET(A$1,,,SUMPRODUCT(MAX(ROW(E$2:E674)*(E674=E$2:E674)))))-COUNTBLANK(OFFSET(A$1,,,SUMPRODUCT(MAX(ROW(E$1:E673)*(E2=E$1:E673))))))</f>
        <v/>
      </c>
      <c r="K674" s="24" t="str">
        <f>IF(OR(E674="",E674="!!!",F674="NEW"),"",INDEX(J$1:J673,SUMPRODUCT(MAX(ROW(E$1:E673)*(E674=E$1:E673)))))</f>
        <v/>
      </c>
      <c r="L674" s="25"/>
    </row>
    <row r="675" spans="1:12" x14ac:dyDescent="0.3">
      <c r="A675" t="s">
        <v>207</v>
      </c>
      <c r="E675" s="20" t="str">
        <f t="shared" si="50"/>
        <v/>
      </c>
      <c r="F675" s="21" t="str">
        <f>IF(OR(E675="",E675="!!!"),"",IF(NOT(ISNA(VLOOKUP(E675,E$1:E674,1,FALSE()))),"OLD",IF(AND(E675&lt;&gt;"",E675&lt;&gt;"!!!"),"NEW","")))</f>
        <v/>
      </c>
      <c r="G675" s="22" t="str">
        <f>IF(OR(E675="",E675="!!!"),"",IF(OR(J675=0,AND(J675=1,K675=1),AND(J675=1,I675="SBJ"),AND(J675=1,I675=0)),"?IN_FOCUS",IF(J675&lt;=2,"?ACTIVATED",IF(J675&lt;&gt;"","?FAMILIAR",IF(F675="NEW",IF(ISNA(VLOOKUP(E675,#REF!,1,FALSE())),"?TYPE_IDENTIFIABLE","?REFERENTIAL"),"_")))))</f>
        <v/>
      </c>
      <c r="H675" s="23" t="str">
        <f t="shared" ca="1" si="51"/>
        <v/>
      </c>
      <c r="I675" s="24" t="str">
        <f>IF(OR(E675="",E675="!!!",F675="NEW"),"",INDEX(B$2:B674,-1+SUMPRODUCT(MAX(ROW(E$2:E674)*(E675=E$2:E674)))))</f>
        <v/>
      </c>
      <c r="J675" s="24" t="str">
        <f ca="1">IF(OR(E675="",E675="!!!",F675="NEW"),"",COUNTBLANK(OFFSET(A$1,,,SUMPRODUCT(MAX(ROW(E$2:E675)*(E675=E$2:E675)))))-COUNTBLANK(OFFSET(A$1,,,SUMPRODUCT(MAX(ROW(E$1:E674)*(E2=E$1:E674))))))</f>
        <v/>
      </c>
      <c r="K675" s="24" t="str">
        <f>IF(OR(E675="",E675="!!!",F675="NEW"),"",INDEX(J$1:J674,SUMPRODUCT(MAX(ROW(E$1:E674)*(E675=E$1:E674)))))</f>
        <v/>
      </c>
      <c r="L675" s="25"/>
    </row>
    <row r="676" spans="1:12" x14ac:dyDescent="0.3">
      <c r="A676" t="s">
        <v>526</v>
      </c>
      <c r="E676" s="20" t="str">
        <f t="shared" si="50"/>
        <v/>
      </c>
      <c r="F676" s="21" t="str">
        <f>IF(OR(E676="",E676="!!!"),"",IF(NOT(ISNA(VLOOKUP(E676,E$1:E675,1,FALSE()))),"OLD",IF(AND(E676&lt;&gt;"",E676&lt;&gt;"!!!"),"NEW","")))</f>
        <v/>
      </c>
      <c r="G676" s="22" t="str">
        <f>IF(OR(E676="",E676="!!!"),"",IF(OR(J676=0,AND(J676=1,K676=1),AND(J676=1,I676="SBJ"),AND(J676=1,I676=0)),"?IN_FOCUS",IF(J676&lt;=2,"?ACTIVATED",IF(J676&lt;&gt;"","?FAMILIAR",IF(F676="NEW",IF(ISNA(VLOOKUP(E676,#REF!,1,FALSE())),"?TYPE_IDENTIFIABLE","?REFERENTIAL"),"_")))))</f>
        <v/>
      </c>
      <c r="H676" s="23" t="str">
        <f t="shared" ca="1" si="51"/>
        <v/>
      </c>
      <c r="I676" s="24" t="str">
        <f>IF(OR(E676="",E676="!!!",F676="NEW"),"",INDEX(B$2:B675,-1+SUMPRODUCT(MAX(ROW(E$2:E675)*(E676=E$2:E675)))))</f>
        <v/>
      </c>
      <c r="J676" s="24" t="str">
        <f ca="1">IF(OR(E676="",E676="!!!",F676="NEW"),"",COUNTBLANK(OFFSET(A$1,,,SUMPRODUCT(MAX(ROW(E$2:E676)*(E676=E$2:E676)))))-COUNTBLANK(OFFSET(A$1,,,SUMPRODUCT(MAX(ROW(E$1:E675)*(E2=E$1:E675))))))</f>
        <v/>
      </c>
      <c r="K676" s="24" t="str">
        <f>IF(OR(E676="",E676="!!!",F676="NEW"),"",INDEX(J$1:J675,SUMPRODUCT(MAX(ROW(E$1:E675)*(E676=E$1:E675)))))</f>
        <v/>
      </c>
      <c r="L676" s="25"/>
    </row>
    <row r="677" spans="1:12" x14ac:dyDescent="0.3">
      <c r="A677" t="s">
        <v>527</v>
      </c>
      <c r="B677" s="26" t="s">
        <v>325</v>
      </c>
      <c r="C677" s="26" t="s">
        <v>226</v>
      </c>
      <c r="E677" s="20" t="str">
        <f t="shared" si="50"/>
        <v/>
      </c>
      <c r="F677" s="21" t="str">
        <f>IF(OR(E677="",E677="!!!"),"",IF(NOT(ISNA(VLOOKUP(E677,E$1:E676,1,FALSE()))),"OLD",IF(AND(E677&lt;&gt;"",E677&lt;&gt;"!!!"),"NEW","")))</f>
        <v/>
      </c>
      <c r="G677" s="22" t="str">
        <f>IF(OR(E677="",E677="!!!"),"",IF(OR(J677=0,AND(J677=1,K677=1),AND(J677=1,I677="SBJ"),AND(J677=1,I677=0)),"?IN_FOCUS",IF(J677&lt;=2,"?ACTIVATED",IF(J677&lt;&gt;"","?FAMILIAR",IF(F677="NEW",IF(ISNA(VLOOKUP(E677,#REF!,1,FALSE())),"?TYPE_IDENTIFIABLE","?REFERENTIAL"),"_")))))</f>
        <v/>
      </c>
      <c r="H677" s="23" t="str">
        <f t="shared" ca="1" si="51"/>
        <v/>
      </c>
      <c r="I677" s="24" t="str">
        <f>IF(OR(E677="",E677="!!!",F677="NEW"),"",INDEX(B$2:B676,-1+SUMPRODUCT(MAX(ROW(E$2:E676)*(E677=E$2:E676)))))</f>
        <v/>
      </c>
      <c r="J677" s="24" t="str">
        <f ca="1">IF(OR(E677="",E677="!!!",F677="NEW"),"",COUNTBLANK(OFFSET(A$1,,,SUMPRODUCT(MAX(ROW(E$2:E677)*(E677=E$2:E677)))))-COUNTBLANK(OFFSET(A$1,,,SUMPRODUCT(MAX(ROW(E$1:E676)*(E2=E$1:E676))))))</f>
        <v/>
      </c>
      <c r="K677" s="24" t="str">
        <f>IF(OR(E677="",E677="!!!",F677="NEW"),"",INDEX(J$1:J676,SUMPRODUCT(MAX(ROW(E$1:E676)*(E677=E$1:E676)))))</f>
        <v/>
      </c>
      <c r="L677" s="25"/>
    </row>
    <row r="678" spans="1:12" x14ac:dyDescent="0.3">
      <c r="A678" t="s">
        <v>223</v>
      </c>
      <c r="E678" s="20" t="str">
        <f t="shared" si="50"/>
        <v/>
      </c>
      <c r="F678" s="21" t="str">
        <f>IF(OR(E678="",E678="!!!"),"",IF(NOT(ISNA(VLOOKUP(E678,E$1:E677,1,FALSE()))),"OLD",IF(AND(E678&lt;&gt;"",E678&lt;&gt;"!!!"),"NEW","")))</f>
        <v/>
      </c>
      <c r="G678" s="22" t="str">
        <f>IF(OR(E678="",E678="!!!"),"",IF(OR(J678=0,AND(J678=1,K678=1),AND(J678=1,I678="SBJ"),AND(J678=1,I678=0)),"?IN_FOCUS",IF(J678&lt;=2,"?ACTIVATED",IF(J678&lt;&gt;"","?FAMILIAR",IF(F678="NEW",IF(ISNA(VLOOKUP(E678,#REF!,1,FALSE())),"?TYPE_IDENTIFIABLE","?REFERENTIAL"),"_")))))</f>
        <v/>
      </c>
      <c r="H678" s="23" t="str">
        <f t="shared" ca="1" si="51"/>
        <v/>
      </c>
      <c r="I678" s="24" t="str">
        <f>IF(OR(E678="",E678="!!!",F678="NEW"),"",INDEX(B$2:B677,-1+SUMPRODUCT(MAX(ROW(E$2:E677)*(E678=E$2:E677)))))</f>
        <v/>
      </c>
      <c r="J678" s="24" t="str">
        <f ca="1">IF(OR(E678="",E678="!!!",F678="NEW"),"",COUNTBLANK(OFFSET(A$1,,,SUMPRODUCT(MAX(ROW(E$2:E678)*(E678=E$2:E678)))))-COUNTBLANK(OFFSET(A$1,,,SUMPRODUCT(MAX(ROW(E$1:E677)*(E2=E$1:E677))))))</f>
        <v/>
      </c>
      <c r="K678" s="24" t="str">
        <f>IF(OR(E678="",E678="!!!",F678="NEW"),"",INDEX(J$1:J677,SUMPRODUCT(MAX(ROW(E$1:E677)*(E678=E$1:E677)))))</f>
        <v/>
      </c>
      <c r="L678" s="25"/>
    </row>
    <row r="679" spans="1:12" x14ac:dyDescent="0.3">
      <c r="A679" t="s">
        <v>248</v>
      </c>
      <c r="E679" s="20" t="str">
        <f t="shared" si="50"/>
        <v/>
      </c>
      <c r="F679" s="21" t="str">
        <f>IF(OR(E679="",E679="!!!"),"",IF(NOT(ISNA(VLOOKUP(E679,E$1:E678,1,FALSE()))),"OLD",IF(AND(E679&lt;&gt;"",E679&lt;&gt;"!!!"),"NEW","")))</f>
        <v/>
      </c>
      <c r="G679" s="22" t="str">
        <f>IF(OR(E679="",E679="!!!"),"",IF(OR(J679=0,AND(J679=1,K679=1),AND(J679=1,I679="SBJ"),AND(J679=1,I679=0)),"?IN_FOCUS",IF(J679&lt;=2,"?ACTIVATED",IF(J679&lt;&gt;"","?FAMILIAR",IF(F679="NEW",IF(ISNA(VLOOKUP(E679,#REF!,1,FALSE())),"?TYPE_IDENTIFIABLE","?REFERENTIAL"),"_")))))</f>
        <v/>
      </c>
      <c r="H679" s="23" t="str">
        <f t="shared" ca="1" si="51"/>
        <v/>
      </c>
      <c r="I679" s="24" t="str">
        <f>IF(OR(E679="",E679="!!!",F679="NEW"),"",INDEX(B$2:B678,-1+SUMPRODUCT(MAX(ROW(E$2:E678)*(E679=E$2:E678)))))</f>
        <v/>
      </c>
      <c r="J679" s="24" t="str">
        <f ca="1">IF(OR(E679="",E679="!!!",F679="NEW"),"",COUNTBLANK(OFFSET(A$1,,,SUMPRODUCT(MAX(ROW(E$2:E679)*(E679=E$2:E679)))))-COUNTBLANK(OFFSET(A$1,,,SUMPRODUCT(MAX(ROW(E$1:E678)*(E2=E$1:E678))))))</f>
        <v/>
      </c>
      <c r="K679" s="24" t="str">
        <f>IF(OR(E679="",E679="!!!",F679="NEW"),"",INDEX(J$1:J678,SUMPRODUCT(MAX(ROW(E$1:E678)*(E679=E$1:E678)))))</f>
        <v/>
      </c>
      <c r="L679" s="25"/>
    </row>
    <row r="680" spans="1:12" x14ac:dyDescent="0.3">
      <c r="A680" t="s">
        <v>528</v>
      </c>
      <c r="B680" s="26" t="s">
        <v>266</v>
      </c>
      <c r="C680" s="26" t="s">
        <v>226</v>
      </c>
      <c r="E680" s="20" t="str">
        <f t="shared" si="50"/>
        <v/>
      </c>
      <c r="F680" s="21" t="str">
        <f>IF(OR(E680="",E680="!!!"),"",IF(NOT(ISNA(VLOOKUP(E680,E$1:E679,1,FALSE()))),"OLD",IF(AND(E680&lt;&gt;"",E680&lt;&gt;"!!!"),"NEW","")))</f>
        <v/>
      </c>
      <c r="G680" s="22" t="str">
        <f>IF(OR(E680="",E680="!!!"),"",IF(OR(J680=0,AND(J680=1,K680=1),AND(J680=1,I680="SBJ"),AND(J680=1,I680=0)),"?IN_FOCUS",IF(J680&lt;=2,"?ACTIVATED",IF(J680&lt;&gt;"","?FAMILIAR",IF(F680="NEW",IF(ISNA(VLOOKUP(E680,#REF!,1,FALSE())),"?TYPE_IDENTIFIABLE","?REFERENTIAL"),"_")))))</f>
        <v/>
      </c>
      <c r="H680" s="23" t="str">
        <f t="shared" ca="1" si="51"/>
        <v/>
      </c>
      <c r="I680" s="24" t="str">
        <f>IF(OR(E680="",E680="!!!",F680="NEW"),"",INDEX(B$2:B679,-1+SUMPRODUCT(MAX(ROW(E$2:E679)*(E680=E$2:E679)))))</f>
        <v/>
      </c>
      <c r="J680" s="24" t="str">
        <f ca="1">IF(OR(E680="",E680="!!!",F680="NEW"),"",COUNTBLANK(OFFSET(A$1,,,SUMPRODUCT(MAX(ROW(E$2:E680)*(E680=E$2:E680)))))-COUNTBLANK(OFFSET(A$1,,,SUMPRODUCT(MAX(ROW(E$1:E679)*(E2=E$1:E679))))))</f>
        <v/>
      </c>
      <c r="K680" s="24" t="str">
        <f>IF(OR(E680="",E680="!!!",F680="NEW"),"",INDEX(J$1:J679,SUMPRODUCT(MAX(ROW(E$1:E679)*(E680=E$1:E679)))))</f>
        <v/>
      </c>
      <c r="L680" s="25"/>
    </row>
    <row r="681" spans="1:12" x14ac:dyDescent="0.3">
      <c r="A681" t="s">
        <v>276</v>
      </c>
      <c r="B681" s="26" t="s">
        <v>529</v>
      </c>
      <c r="E681" s="20" t="str">
        <f t="shared" si="50"/>
        <v/>
      </c>
      <c r="F681" s="21" t="str">
        <f>IF(OR(E681="",E681="!!!"),"",IF(NOT(ISNA(VLOOKUP(E681,E$1:E680,1,FALSE()))),"OLD",IF(AND(E681&lt;&gt;"",E681&lt;&gt;"!!!"),"NEW","")))</f>
        <v/>
      </c>
      <c r="G681" s="22" t="str">
        <f>IF(OR(E681="",E681="!!!"),"",IF(OR(J681=0,AND(J681=1,K681=1),AND(J681=1,I681="SBJ"),AND(J681=1,I681=0)),"?IN_FOCUS",IF(J681&lt;=2,"?ACTIVATED",IF(J681&lt;&gt;"","?FAMILIAR",IF(F681="NEW",IF(ISNA(VLOOKUP(E681,#REF!,1,FALSE())),"?TYPE_IDENTIFIABLE","?REFERENTIAL"),"_")))))</f>
        <v/>
      </c>
      <c r="H681" s="23" t="str">
        <f t="shared" ca="1" si="51"/>
        <v/>
      </c>
      <c r="I681" s="24" t="str">
        <f>IF(OR(E681="",E681="!!!",F681="NEW"),"",INDEX(B$2:B680,-1+SUMPRODUCT(MAX(ROW(E$2:E680)*(E681=E$2:E680)))))</f>
        <v/>
      </c>
      <c r="J681" s="24" t="str">
        <f ca="1">IF(OR(E681="",E681="!!!",F681="NEW"),"",COUNTBLANK(OFFSET(A$1,,,SUMPRODUCT(MAX(ROW(E$2:E681)*(E681=E$2:E681)))))-COUNTBLANK(OFFSET(A$1,,,SUMPRODUCT(MAX(ROW(E$1:E680)*(E2=E$1:E680))))))</f>
        <v/>
      </c>
      <c r="K681" s="24" t="str">
        <f>IF(OR(E681="",E681="!!!",F681="NEW"),"",INDEX(J$1:J680,SUMPRODUCT(MAX(ROW(E$1:E680)*(E681=E$1:E680)))))</f>
        <v/>
      </c>
      <c r="L681" s="25"/>
    </row>
    <row r="682" spans="1:12" x14ac:dyDescent="0.3">
      <c r="A682" t="s">
        <v>228</v>
      </c>
      <c r="B682" s="26" t="s">
        <v>331</v>
      </c>
      <c r="C682" s="26" t="s">
        <v>230</v>
      </c>
      <c r="D682" s="26" t="s">
        <v>215</v>
      </c>
      <c r="E682" s="20" t="s">
        <v>669</v>
      </c>
      <c r="F682" s="21" t="str">
        <f>IF(OR(E682="",E682="!!!"),"",IF(NOT(ISNA(VLOOKUP(E682,E$1:E681,1,FALSE()))),"OLD",IF(AND(E682&lt;&gt;"",E682&lt;&gt;"!!!"),"NEW","")))</f>
        <v>OLD</v>
      </c>
      <c r="G682" s="22" t="str">
        <f ca="1">IF(OR(E682="",E682="!!!"),"",IF(OR(J682=0,AND(J682=1,K682=1),AND(J682=1,I682="SBJ"),AND(J682=1,I682=0)),"?IN_FOCUS",IF(J682&lt;=2,"?ACTIVATED",IF(J682&lt;&gt;"","?FAMILIAR",IF(F682="NEW",IF(ISNA(VLOOKUP(E682,#REF!,1,FALSE())),"?TYPE_IDENTIFIABLE","?REFERENTIAL"),"_")))))</f>
        <v>?IN_FOCUS</v>
      </c>
      <c r="H682" s="23" t="str">
        <f t="shared" ca="1" si="51"/>
        <v/>
      </c>
      <c r="I682" s="24" t="str">
        <f>IF(OR(E682="",E682="!!!",F682="NEW"),"",INDEX(B$2:B681,-1+SUMPRODUCT(MAX(ROW(E$2:E681)*(E682=E$2:E681)))))</f>
        <v>SBJ_2</v>
      </c>
      <c r="J682" s="24">
        <f ca="1">IF(OR(E682="",E682="!!!",F682="NEW"),"",COUNTBLANK(OFFSET(A$1,,,SUMPRODUCT(MAX(ROW(E$2:E682)*(E682=E$2:E682)))))-COUNTBLANK(OFFSET(A$1,,,SUMPRODUCT(MAX(ROW(E$1:E681)*(E2=E$1:E681))))))</f>
        <v>0</v>
      </c>
      <c r="K682" s="24">
        <f ca="1">IF(OR(E682="",E682="!!!",F682="NEW"),"",INDEX(J$1:J681,SUMPRODUCT(MAX(ROW(E$1:E681)*(E682=E$1:E681)))))</f>
        <v>0</v>
      </c>
      <c r="L682" s="25"/>
    </row>
    <row r="683" spans="1:12" x14ac:dyDescent="0.3">
      <c r="A683" t="s">
        <v>440</v>
      </c>
      <c r="E683" s="20" t="str">
        <f t="shared" si="50"/>
        <v/>
      </c>
      <c r="F683" s="21" t="str">
        <f>IF(OR(E683="",E683="!!!"),"",IF(NOT(ISNA(VLOOKUP(E683,E$1:E682,1,FALSE()))),"OLD",IF(AND(E683&lt;&gt;"",E683&lt;&gt;"!!!"),"NEW","")))</f>
        <v/>
      </c>
      <c r="G683" s="22" t="str">
        <f>IF(OR(E683="",E683="!!!"),"",IF(OR(J683=0,AND(J683=1,K683=1),AND(J683=1,I683="SBJ"),AND(J683=1,I683=0)),"?IN_FOCUS",IF(J683&lt;=2,"?ACTIVATED",IF(J683&lt;&gt;"","?FAMILIAR",IF(F683="NEW",IF(ISNA(VLOOKUP(E683,#REF!,1,FALSE())),"?TYPE_IDENTIFIABLE","?REFERENTIAL"),"_")))))</f>
        <v/>
      </c>
      <c r="H683" s="23" t="str">
        <f t="shared" ca="1" si="51"/>
        <v/>
      </c>
      <c r="I683" s="24" t="str">
        <f>IF(OR(E683="",E683="!!!",F683="NEW"),"",INDEX(B$2:B682,-1+SUMPRODUCT(MAX(ROW(E$2:E682)*(E683=E$2:E682)))))</f>
        <v/>
      </c>
      <c r="J683" s="24" t="str">
        <f ca="1">IF(OR(E683="",E683="!!!",F683="NEW"),"",COUNTBLANK(OFFSET(A$1,,,SUMPRODUCT(MAX(ROW(E$2:E683)*(E683=E$2:E683)))))-COUNTBLANK(OFFSET(A$1,,,SUMPRODUCT(MAX(ROW(E$1:E682)*(E2=E$1:E682))))))</f>
        <v/>
      </c>
      <c r="K683" s="24" t="str">
        <f>IF(OR(E683="",E683="!!!",F683="NEW"),"",INDEX(J$1:J682,SUMPRODUCT(MAX(ROW(E$1:E682)*(E683=E$1:E682)))))</f>
        <v/>
      </c>
      <c r="L683" s="25"/>
    </row>
    <row r="684" spans="1:12" x14ac:dyDescent="0.3">
      <c r="A684" t="s">
        <v>530</v>
      </c>
      <c r="E684" s="20" t="str">
        <f t="shared" si="50"/>
        <v/>
      </c>
      <c r="F684" s="21" t="str">
        <f>IF(OR(E684="",E684="!!!"),"",IF(NOT(ISNA(VLOOKUP(E684,E$1:E683,1,FALSE()))),"OLD",IF(AND(E684&lt;&gt;"",E684&lt;&gt;"!!!"),"NEW","")))</f>
        <v/>
      </c>
      <c r="G684" s="22" t="str">
        <f>IF(OR(E684="",E684="!!!"),"",IF(OR(J684=0,AND(J684=1,K684=1),AND(J684=1,I684="SBJ"),AND(J684=1,I684=0)),"?IN_FOCUS",IF(J684&lt;=2,"?ACTIVATED",IF(J684&lt;&gt;"","?FAMILIAR",IF(F684="NEW",IF(ISNA(VLOOKUP(E684,#REF!,1,FALSE())),"?TYPE_IDENTIFIABLE","?REFERENTIAL"),"_")))))</f>
        <v/>
      </c>
      <c r="H684" s="23" t="str">
        <f t="shared" ca="1" si="51"/>
        <v/>
      </c>
      <c r="I684" s="24" t="str">
        <f>IF(OR(E684="",E684="!!!",F684="NEW"),"",INDEX(B$2:B683,-1+SUMPRODUCT(MAX(ROW(E$2:E683)*(E684=E$2:E683)))))</f>
        <v/>
      </c>
      <c r="J684" s="24" t="str">
        <f ca="1">IF(OR(E684="",E684="!!!",F684="NEW"),"",COUNTBLANK(OFFSET(A$1,,,SUMPRODUCT(MAX(ROW(E$2:E684)*(E684=E$2:E684)))))-COUNTBLANK(OFFSET(A$1,,,SUMPRODUCT(MAX(ROW(E$1:E683)*(E2=E$1:E683))))))</f>
        <v/>
      </c>
      <c r="K684" s="24" t="str">
        <f>IF(OR(E684="",E684="!!!",F684="NEW"),"",INDEX(J$1:J683,SUMPRODUCT(MAX(ROW(E$1:E683)*(E684=E$1:E683)))))</f>
        <v/>
      </c>
      <c r="L684" s="25"/>
    </row>
    <row r="685" spans="1:12" x14ac:dyDescent="0.3">
      <c r="A685" t="s">
        <v>407</v>
      </c>
      <c r="B685" s="26" t="s">
        <v>529</v>
      </c>
      <c r="C685" s="26" t="s">
        <v>230</v>
      </c>
      <c r="D685" s="26" t="s">
        <v>215</v>
      </c>
      <c r="E685" s="20" t="s">
        <v>739</v>
      </c>
      <c r="F685" s="21" t="str">
        <f>IF(OR(E685="",E685="!!!"),"",IF(NOT(ISNA(VLOOKUP(E685,E$1:E684,1,FALSE()))),"OLD",IF(AND(E685&lt;&gt;"",E685&lt;&gt;"!!!"),"NEW","")))</f>
        <v>OLD</v>
      </c>
      <c r="G685" s="22" t="str">
        <f ca="1">IF(OR(E685="",E685="!!!"),"",IF(OR(J685=0,AND(J685=1,K685=1),AND(J685=1,I685="SBJ"),AND(J685=1,I685=0)),"?IN_FOCUS",IF(J685&lt;=2,"?ACTIVATED",IF(J685&lt;&gt;"","?FAMILIAR",IF(F685="NEW",IF(ISNA(VLOOKUP(E685,#REF!,1,FALSE())),"?TYPE_IDENTIFIABLE","?REFERENTIAL"),"_")))))</f>
        <v>?IN_FOCUS</v>
      </c>
      <c r="H685" s="23" t="str">
        <f t="shared" ca="1" si="51"/>
        <v/>
      </c>
      <c r="I685" s="24" t="str">
        <f>IF(OR(E685="",E685="!!!",F685="NEW"),"",INDEX(B$2:B684,-1+SUMPRODUCT(MAX(ROW(E$2:E684)*(E685=E$2:E684)))))</f>
        <v>other_4</v>
      </c>
      <c r="J685" s="24">
        <f ca="1">IF(OR(E685="",E685="!!!",F685="NEW"),"",COUNTBLANK(OFFSET(A$1,,,SUMPRODUCT(MAX(ROW(E$2:E685)*(E685=E$2:E685)))))-COUNTBLANK(OFFSET(A$1,,,SUMPRODUCT(MAX(ROW(E$1:E684)*(E2=E$1:E684))))))</f>
        <v>0</v>
      </c>
      <c r="K685" s="24">
        <f ca="1">IF(OR(E685="",E685="!!!",F685="NEW"),"",INDEX(J$1:J684,SUMPRODUCT(MAX(ROW(E$1:E684)*(E685=E$1:E684)))))</f>
        <v>0</v>
      </c>
      <c r="L685" s="25"/>
    </row>
    <row r="686" spans="1:12" x14ac:dyDescent="0.3">
      <c r="A686" t="s">
        <v>323</v>
      </c>
      <c r="E686" s="20" t="str">
        <f t="shared" si="50"/>
        <v/>
      </c>
      <c r="F686" s="21" t="str">
        <f>IF(OR(E686="",E686="!!!"),"",IF(NOT(ISNA(VLOOKUP(E686,E$1:E685,1,FALSE()))),"OLD",IF(AND(E686&lt;&gt;"",E686&lt;&gt;"!!!"),"NEW","")))</f>
        <v/>
      </c>
      <c r="G686" s="22" t="str">
        <f>IF(OR(E686="",E686="!!!"),"",IF(OR(J686=0,AND(J686=1,K686=1),AND(J686=1,I686="SBJ"),AND(J686=1,I686=0)),"?IN_FOCUS",IF(J686&lt;=2,"?ACTIVATED",IF(J686&lt;&gt;"","?FAMILIAR",IF(F686="NEW",IF(ISNA(VLOOKUP(E686,#REF!,1,FALSE())),"?TYPE_IDENTIFIABLE","?REFERENTIAL"),"_")))))</f>
        <v/>
      </c>
      <c r="H686" s="23" t="str">
        <f t="shared" ca="1" si="51"/>
        <v/>
      </c>
      <c r="I686" s="24" t="str">
        <f>IF(OR(E686="",E686="!!!",F686="NEW"),"",INDEX(B$2:B685,-1+SUMPRODUCT(MAX(ROW(E$2:E685)*(E686=E$2:E685)))))</f>
        <v/>
      </c>
      <c r="J686" s="24" t="str">
        <f ca="1">IF(OR(E686="",E686="!!!",F686="NEW"),"",COUNTBLANK(OFFSET(A$1,,,SUMPRODUCT(MAX(ROW(E$2:E686)*(E686=E$2:E686)))))-COUNTBLANK(OFFSET(A$1,,,SUMPRODUCT(MAX(ROW(E$1:E685)*(E2=E$1:E685))))))</f>
        <v/>
      </c>
      <c r="K686" s="24" t="str">
        <f>IF(OR(E686="",E686="!!!",F686="NEW"),"",INDEX(J$1:J685,SUMPRODUCT(MAX(ROW(E$1:E685)*(E686=E$1:E685)))))</f>
        <v/>
      </c>
      <c r="L686" s="25"/>
    </row>
    <row r="687" spans="1:12" x14ac:dyDescent="0.3">
      <c r="A687" t="s">
        <v>312</v>
      </c>
      <c r="E687" s="20" t="str">
        <f t="shared" si="50"/>
        <v/>
      </c>
      <c r="F687" s="21" t="str">
        <f>IF(OR(E687="",E687="!!!"),"",IF(NOT(ISNA(VLOOKUP(E687,E$1:E686,1,FALSE()))),"OLD",IF(AND(E687&lt;&gt;"",E687&lt;&gt;"!!!"),"NEW","")))</f>
        <v/>
      </c>
      <c r="G687" s="22" t="str">
        <f>IF(OR(E687="",E687="!!!"),"",IF(OR(J687=0,AND(J687=1,K687=1),AND(J687=1,I687="SBJ"),AND(J687=1,I687=0)),"?IN_FOCUS",IF(J687&lt;=2,"?ACTIVATED",IF(J687&lt;&gt;"","?FAMILIAR",IF(F687="NEW",IF(ISNA(VLOOKUP(E687,#REF!,1,FALSE())),"?TYPE_IDENTIFIABLE","?REFERENTIAL"),"_")))))</f>
        <v/>
      </c>
      <c r="H687" s="23" t="str">
        <f t="shared" ca="1" si="51"/>
        <v/>
      </c>
      <c r="I687" s="24" t="str">
        <f>IF(OR(E687="",E687="!!!",F687="NEW"),"",INDEX(B$2:B686,-1+SUMPRODUCT(MAX(ROW(E$2:E686)*(E687=E$2:E686)))))</f>
        <v/>
      </c>
      <c r="J687" s="24" t="str">
        <f ca="1">IF(OR(E687="",E687="!!!",F687="NEW"),"",COUNTBLANK(OFFSET(A$1,,,SUMPRODUCT(MAX(ROW(E$2:E687)*(E687=E$2:E687)))))-COUNTBLANK(OFFSET(A$1,,,SUMPRODUCT(MAX(ROW(E$1:E686)*(E2=E$1:E686))))))</f>
        <v/>
      </c>
      <c r="K687" s="24" t="str">
        <f>IF(OR(E687="",E687="!!!",F687="NEW"),"",INDEX(J$1:J686,SUMPRODUCT(MAX(ROW(E$1:E686)*(E687=E$1:E686)))))</f>
        <v/>
      </c>
      <c r="L687" s="25"/>
    </row>
    <row r="688" spans="1:12" x14ac:dyDescent="0.3">
      <c r="A688" t="s">
        <v>16</v>
      </c>
      <c r="E688" s="20" t="str">
        <f t="shared" si="50"/>
        <v/>
      </c>
      <c r="F688" s="21" t="str">
        <f>IF(OR(E688="",E688="!!!"),"",IF(NOT(ISNA(VLOOKUP(E688,E$1:E687,1,FALSE()))),"OLD",IF(AND(E688&lt;&gt;"",E688&lt;&gt;"!!!"),"NEW","")))</f>
        <v/>
      </c>
      <c r="G688" s="22" t="str">
        <f>IF(OR(E688="",E688="!!!"),"",IF(OR(J688=0,AND(J688=1,K688=1),AND(J688=1,I688="SBJ"),AND(J688=1,I688=0)),"?IN_FOCUS",IF(J688&lt;=2,"?ACTIVATED",IF(J688&lt;&gt;"","?FAMILIAR",IF(F688="NEW",IF(ISNA(VLOOKUP(E688,#REF!,1,FALSE())),"?TYPE_IDENTIFIABLE","?REFERENTIAL"),"_")))))</f>
        <v/>
      </c>
      <c r="H688" s="23" t="str">
        <f t="shared" ca="1" si="51"/>
        <v/>
      </c>
      <c r="I688" s="24" t="str">
        <f>IF(OR(E688="",E688="!!!",F688="NEW"),"",INDEX(B$2:B687,-1+SUMPRODUCT(MAX(ROW(E$2:E687)*(E688=E$2:E687)))))</f>
        <v/>
      </c>
      <c r="J688" s="24" t="str">
        <f ca="1">IF(OR(E688="",E688="!!!",F688="NEW"),"",COUNTBLANK(OFFSET(A$1,,,SUMPRODUCT(MAX(ROW(E$2:E688)*(E688=E$2:E688)))))-COUNTBLANK(OFFSET(A$1,,,SUMPRODUCT(MAX(ROW(E$1:E687)*(E2=E$1:E687))))))</f>
        <v/>
      </c>
      <c r="K688" s="24" t="str">
        <f>IF(OR(E688="",E688="!!!",F688="NEW"),"",INDEX(J$1:J687,SUMPRODUCT(MAX(ROW(E$1:E687)*(E688=E$1:E687)))))</f>
        <v/>
      </c>
      <c r="L688" s="25"/>
    </row>
    <row r="689" spans="1:12" x14ac:dyDescent="0.3">
      <c r="A689" t="s">
        <v>531</v>
      </c>
      <c r="B689" s="26" t="s">
        <v>532</v>
      </c>
      <c r="C689" s="26" t="s">
        <v>214</v>
      </c>
      <c r="D689" s="26" t="s">
        <v>215</v>
      </c>
      <c r="E689" s="20" t="s">
        <v>531</v>
      </c>
      <c r="F689" s="21" t="str">
        <f>IF(OR(E689="",E689="!!!"),"",IF(NOT(ISNA(VLOOKUP(E689,E$1:E688,1,FALSE()))),"OLD",IF(AND(E689&lt;&gt;"",E689&lt;&gt;"!!!"),"NEW","")))</f>
        <v>NEW</v>
      </c>
      <c r="G689" s="22" t="s">
        <v>657</v>
      </c>
      <c r="H689" s="23" t="str">
        <f t="shared" ca="1" si="51"/>
        <v/>
      </c>
      <c r="I689" s="24" t="str">
        <f>IF(OR(E689="",E689="!!!",F689="NEW"),"",INDEX(B$2:B688,-1+SUMPRODUCT(MAX(ROW(E$2:E688)*(E689=E$2:E688)))))</f>
        <v/>
      </c>
      <c r="J689" s="24" t="str">
        <f ca="1">IF(OR(E689="",E689="!!!",F689="NEW"),"",COUNTBLANK(OFFSET(A$1,,,SUMPRODUCT(MAX(ROW(E$2:E689)*(E689=E$2:E689)))))-COUNTBLANK(OFFSET(A$1,,,SUMPRODUCT(MAX(ROW(E$1:E688)*(E2=E$1:E688))))))</f>
        <v/>
      </c>
      <c r="K689" s="24" t="str">
        <f>IF(OR(E689="",E689="!!!",F689="NEW"),"",INDEX(J$1:J688,SUMPRODUCT(MAX(ROW(E$1:E688)*(E689=E$1:E688)))))</f>
        <v/>
      </c>
      <c r="L689" s="25"/>
    </row>
    <row r="690" spans="1:12" x14ac:dyDescent="0.3">
      <c r="A690" t="s">
        <v>207</v>
      </c>
      <c r="E690" s="20" t="str">
        <f t="shared" si="50"/>
        <v/>
      </c>
      <c r="F690" s="21" t="str">
        <f>IF(OR(E690="",E690="!!!"),"",IF(NOT(ISNA(VLOOKUP(E690,E$1:E689,1,FALSE()))),"OLD",IF(AND(E690&lt;&gt;"",E690&lt;&gt;"!!!"),"NEW","")))</f>
        <v/>
      </c>
      <c r="G690" s="22" t="str">
        <f>IF(OR(E690="",E690="!!!"),"",IF(OR(J690=0,AND(J690=1,K690=1),AND(J690=1,I690="SBJ"),AND(J690=1,I690=0)),"?IN_FOCUS",IF(J690&lt;=2,"?ACTIVATED",IF(J690&lt;&gt;"","?FAMILIAR",IF(F690="NEW",IF(ISNA(VLOOKUP(E690,#REF!,1,FALSE())),"?TYPE_IDENTIFIABLE","?REFERENTIAL"),"_")))))</f>
        <v/>
      </c>
      <c r="H690" s="23" t="str">
        <f t="shared" ca="1" si="51"/>
        <v/>
      </c>
      <c r="I690" s="24" t="str">
        <f>IF(OR(E690="",E690="!!!",F690="NEW"),"",INDEX(B$2:B689,-1+SUMPRODUCT(MAX(ROW(E$2:E689)*(E690=E$2:E689)))))</f>
        <v/>
      </c>
      <c r="J690" s="24" t="str">
        <f ca="1">IF(OR(E690="",E690="!!!",F690="NEW"),"",COUNTBLANK(OFFSET(A$1,,,SUMPRODUCT(MAX(ROW(E$2:E690)*(E690=E$2:E690)))))-COUNTBLANK(OFFSET(A$1,,,SUMPRODUCT(MAX(ROW(E$1:E689)*(E2=E$1:E689))))))</f>
        <v/>
      </c>
      <c r="K690" s="24" t="str">
        <f>IF(OR(E690="",E690="!!!",F690="NEW"),"",INDEX(J$1:J689,SUMPRODUCT(MAX(ROW(E$1:E689)*(E690=E$1:E689)))))</f>
        <v/>
      </c>
      <c r="L690" s="25"/>
    </row>
    <row r="691" spans="1:12" x14ac:dyDescent="0.3">
      <c r="A691" t="s">
        <v>533</v>
      </c>
      <c r="B691" s="26" t="s">
        <v>484</v>
      </c>
      <c r="C691" s="26" t="s">
        <v>214</v>
      </c>
      <c r="D691" s="26" t="s">
        <v>215</v>
      </c>
      <c r="E691" s="20" t="s">
        <v>533</v>
      </c>
      <c r="F691" s="21" t="str">
        <f>IF(OR(E691="",E691="!!!"),"",IF(NOT(ISNA(VLOOKUP(E691,E$1:E690,1,FALSE()))),"OLD",IF(AND(E691&lt;&gt;"",E691&lt;&gt;"!!!"),"NEW","")))</f>
        <v>NEW</v>
      </c>
      <c r="G691" s="22" t="s">
        <v>657</v>
      </c>
      <c r="H691" s="23" t="str">
        <f t="shared" ca="1" si="51"/>
        <v/>
      </c>
      <c r="I691" s="24" t="str">
        <f>IF(OR(E691="",E691="!!!",F691="NEW"),"",INDEX(B$2:B690,-1+SUMPRODUCT(MAX(ROW(E$2:E690)*(E691=E$2:E690)))))</f>
        <v/>
      </c>
      <c r="J691" s="24" t="str">
        <f ca="1">IF(OR(E691="",E691="!!!",F691="NEW"),"",COUNTBLANK(OFFSET(A$1,,,SUMPRODUCT(MAX(ROW(E$2:E691)*(E691=E$2:E691)))))-COUNTBLANK(OFFSET(A$1,,,SUMPRODUCT(MAX(ROW(E$1:E690)*(E2=E$1:E690))))))</f>
        <v/>
      </c>
      <c r="K691" s="24" t="str">
        <f>IF(OR(E691="",E691="!!!",F691="NEW"),"",INDEX(J$1:J690,SUMPRODUCT(MAX(ROW(E$1:E690)*(E691=E$1:E690)))))</f>
        <v/>
      </c>
      <c r="L691" s="25"/>
    </row>
    <row r="692" spans="1:12" x14ac:dyDescent="0.3">
      <c r="A692" t="s">
        <v>207</v>
      </c>
      <c r="E692" s="20" t="str">
        <f t="shared" si="50"/>
        <v/>
      </c>
      <c r="F692" s="21" t="str">
        <f>IF(OR(E692="",E692="!!!"),"",IF(NOT(ISNA(VLOOKUP(E692,E$1:E691,1,FALSE()))),"OLD",IF(AND(E692&lt;&gt;"",E692&lt;&gt;"!!!"),"NEW","")))</f>
        <v/>
      </c>
      <c r="G692" s="22" t="str">
        <f>IF(OR(E692="",E692="!!!"),"",IF(OR(J692=0,AND(J692=1,K692=1),AND(J692=1,I692="SBJ"),AND(J692=1,I692=0)),"?IN_FOCUS",IF(J692&lt;=2,"?ACTIVATED",IF(J692&lt;&gt;"","?FAMILIAR",IF(F692="NEW",IF(ISNA(VLOOKUP(E692,#REF!,1,FALSE())),"?TYPE_IDENTIFIABLE","?REFERENTIAL"),"_")))))</f>
        <v/>
      </c>
      <c r="H692" s="23" t="str">
        <f t="shared" ca="1" si="51"/>
        <v/>
      </c>
      <c r="I692" s="24" t="str">
        <f>IF(OR(E692="",E692="!!!",F692="NEW"),"",INDEX(B$2:B691,-1+SUMPRODUCT(MAX(ROW(E$2:E691)*(E692=E$2:E691)))))</f>
        <v/>
      </c>
      <c r="J692" s="24" t="str">
        <f ca="1">IF(OR(E692="",E692="!!!",F692="NEW"),"",COUNTBLANK(OFFSET(A$1,,,SUMPRODUCT(MAX(ROW(E$2:E692)*(E692=E$2:E692)))))-COUNTBLANK(OFFSET(A$1,,,SUMPRODUCT(MAX(ROW(E$1:E691)*(E2=E$1:E691))))))</f>
        <v/>
      </c>
      <c r="K692" s="24" t="str">
        <f>IF(OR(E692="",E692="!!!",F692="NEW"),"",INDEX(J$1:J691,SUMPRODUCT(MAX(ROW(E$1:E691)*(E692=E$1:E691)))))</f>
        <v/>
      </c>
      <c r="L692" s="25"/>
    </row>
    <row r="693" spans="1:12" x14ac:dyDescent="0.3">
      <c r="A693" t="s">
        <v>534</v>
      </c>
      <c r="B693" s="26" t="s">
        <v>484</v>
      </c>
      <c r="C693" s="26" t="s">
        <v>214</v>
      </c>
      <c r="D693" s="26" t="s">
        <v>215</v>
      </c>
      <c r="E693" s="20" t="s">
        <v>534</v>
      </c>
      <c r="F693" s="21" t="str">
        <f>IF(OR(E693="",E693="!!!"),"",IF(NOT(ISNA(VLOOKUP(E693,E$1:E692,1,FALSE()))),"OLD",IF(AND(E693&lt;&gt;"",E693&lt;&gt;"!!!"),"NEW","")))</f>
        <v>NEW</v>
      </c>
      <c r="G693" s="22" t="s">
        <v>657</v>
      </c>
      <c r="H693" s="23" t="str">
        <f t="shared" ca="1" si="51"/>
        <v/>
      </c>
      <c r="I693" s="24" t="str">
        <f>IF(OR(E693="",E693="!!!",F693="NEW"),"",INDEX(B$2:B692,-1+SUMPRODUCT(MAX(ROW(E$2:E692)*(E693=E$2:E692)))))</f>
        <v/>
      </c>
      <c r="J693" s="24" t="str">
        <f ca="1">IF(OR(E693="",E693="!!!",F693="NEW"),"",COUNTBLANK(OFFSET(A$1,,,SUMPRODUCT(MAX(ROW(E$2:E693)*(E693=E$2:E693)))))-COUNTBLANK(OFFSET(A$1,,,SUMPRODUCT(MAX(ROW(E$1:E692)*(E2=E$1:E692))))))</f>
        <v/>
      </c>
      <c r="K693" s="24" t="str">
        <f>IF(OR(E693="",E693="!!!",F693="NEW"),"",INDEX(J$1:J692,SUMPRODUCT(MAX(ROW(E$1:E692)*(E693=E$1:E692)))))</f>
        <v/>
      </c>
      <c r="L693" s="25"/>
    </row>
    <row r="694" spans="1:12" x14ac:dyDescent="0.3">
      <c r="A694" t="s">
        <v>234</v>
      </c>
      <c r="E694" s="20" t="str">
        <f t="shared" si="50"/>
        <v/>
      </c>
      <c r="F694" s="21" t="str">
        <f>IF(OR(E694="",E694="!!!"),"",IF(NOT(ISNA(VLOOKUP(E694,E$1:E693,1,FALSE()))),"OLD",IF(AND(E694&lt;&gt;"",E694&lt;&gt;"!!!"),"NEW","")))</f>
        <v/>
      </c>
      <c r="G694" s="22" t="str">
        <f>IF(OR(E694="",E694="!!!"),"",IF(OR(J694=0,AND(J694=1,K694=1),AND(J694=1,I694="SBJ"),AND(J694=1,I694=0)),"?IN_FOCUS",IF(J694&lt;=2,"?ACTIVATED",IF(J694&lt;&gt;"","?FAMILIAR",IF(F694="NEW",IF(ISNA(VLOOKUP(E694,#REF!,1,FALSE())),"?TYPE_IDENTIFIABLE","?REFERENTIAL"),"_")))))</f>
        <v/>
      </c>
      <c r="H694" s="23" t="str">
        <f t="shared" ca="1" si="51"/>
        <v/>
      </c>
      <c r="I694" s="24" t="str">
        <f>IF(OR(E694="",E694="!!!",F694="NEW"),"",INDEX(B$2:B693,-1+SUMPRODUCT(MAX(ROW(E$2:E693)*(E694=E$2:E693)))))</f>
        <v/>
      </c>
      <c r="J694" s="24" t="str">
        <f ca="1">IF(OR(E694="",E694="!!!",F694="NEW"),"",COUNTBLANK(OFFSET(A$1,,,SUMPRODUCT(MAX(ROW(E$2:E694)*(E694=E$2:E694)))))-COUNTBLANK(OFFSET(A$1,,,SUMPRODUCT(MAX(ROW(E$1:E693)*(E2=E$1:E693))))))</f>
        <v/>
      </c>
      <c r="K694" s="24" t="str">
        <f>IF(OR(E694="",E694="!!!",F694="NEW"),"",INDEX(J$1:J693,SUMPRODUCT(MAX(ROW(E$1:E693)*(E694=E$1:E693)))))</f>
        <v/>
      </c>
      <c r="L694" s="25"/>
    </row>
    <row r="696" spans="1:12" x14ac:dyDescent="0.3">
      <c r="A696" t="s">
        <v>535</v>
      </c>
    </row>
    <row r="697" spans="1:12" x14ac:dyDescent="0.3">
      <c r="A697" t="s">
        <v>236</v>
      </c>
      <c r="E697" s="20" t="str">
        <f t="shared" ref="E697:E728" si="52">IF(D697="?OLD","!!!","")</f>
        <v/>
      </c>
      <c r="F697" s="21" t="str">
        <f>IF(OR(E697="",E697="!!!"),"",IF(NOT(ISNA(VLOOKUP(E697,E$1:E696,1,FALSE()))),"OLD",IF(AND(E697&lt;&gt;"",E697&lt;&gt;"!!!"),"NEW","")))</f>
        <v/>
      </c>
      <c r="G697" s="22" t="str">
        <f>IF(OR(E697="",E697="!!!"),"",IF(OR(J697=0,AND(J697=1,K697=1),AND(J697=1,I697="SBJ"),AND(J697=1,I697=0)),"?IN_FOCUS",IF(J697&lt;=2,"?ACTIVATED",IF(J697&lt;&gt;"","?FAMILIAR",IF(F697="NEW",IF(ISNA(VLOOKUP(E697,#REF!,1,FALSE())),"?TYPE_IDENTIFIABLE","?REFERENTIAL"),"_")))))</f>
        <v/>
      </c>
      <c r="H697" s="23" t="str">
        <f t="shared" ref="H697:H728" ca="1" si="53">IF(J697&lt;&gt;1,"",IF(I697="SBJ","CB","?"))</f>
        <v/>
      </c>
      <c r="I697" s="24" t="str">
        <f>IF(OR(E697="",E697="!!!",F697="NEW"),"",INDEX(B$2:B696,-1+SUMPRODUCT(MAX(ROW(E$2:E696)*(E697=E$2:E696)))))</f>
        <v/>
      </c>
      <c r="J697" s="24" t="str">
        <f ca="1">IF(OR(E697="",E697="!!!",F697="NEW"),"",COUNTBLANK(OFFSET(A$1,,,SUMPRODUCT(MAX(ROW(E$2:E697)*(E697=E$2:E697)))))-COUNTBLANK(OFFSET(A$1,,,SUMPRODUCT(MAX(ROW(E$1:E696)*(E2=E$1:E696))))))</f>
        <v/>
      </c>
      <c r="K697" s="24" t="str">
        <f>IF(OR(E697="",E697="!!!",F697="NEW"),"",INDEX(J$1:J696,SUMPRODUCT(MAX(ROW(E$1:E696)*(E697=E$1:E696)))))</f>
        <v/>
      </c>
      <c r="L697" s="25"/>
    </row>
    <row r="698" spans="1:12" x14ac:dyDescent="0.3">
      <c r="A698" t="s">
        <v>120</v>
      </c>
      <c r="B698" s="26" t="s">
        <v>213</v>
      </c>
      <c r="C698" s="26" t="s">
        <v>230</v>
      </c>
      <c r="D698" s="26" t="s">
        <v>215</v>
      </c>
      <c r="E698" s="20" t="s">
        <v>120</v>
      </c>
      <c r="F698" s="21" t="str">
        <f>IF(OR(E698="",E698="!!!"),"",IF(NOT(ISNA(VLOOKUP(E698,E$1:E697,1,FALSE()))),"OLD",IF(AND(E698&lt;&gt;"",E698&lt;&gt;"!!!"),"NEW","")))</f>
        <v>OLD</v>
      </c>
      <c r="G698" s="22" t="str">
        <f ca="1">IF(OR(E698="",E698="!!!"),"",IF(OR(J698=0,AND(J698=1,K698=1),AND(J698=1,I698="SBJ"),AND(J698=1,I698=0)),"?IN_FOCUS",IF(J698&lt;=2,"?ACTIVATED",IF(J698&lt;&gt;"","?FAMILIAR",IF(F698="NEW",IF(ISNA(VLOOKUP(E698,#REF!,1,FALSE())),"?TYPE_IDENTIFIABLE","?REFERENTIAL"),"_")))))</f>
        <v>?IN_FOCUS</v>
      </c>
      <c r="H698" s="23" t="str">
        <f t="shared" ca="1" si="53"/>
        <v/>
      </c>
      <c r="I698" s="24" t="str">
        <f>IF(OR(E698="",E698="!!!",F698="NEW"),"",INDEX(B$2:B697,-1+SUMPRODUCT(MAX(ROW(E$2:E697)*(E698=E$2:E697)))))</f>
        <v>other_3</v>
      </c>
      <c r="J698" s="24">
        <f ca="1">IF(OR(E698="",E698="!!!",F698="NEW"),"",COUNTBLANK(OFFSET(A$1,,,SUMPRODUCT(MAX(ROW(E$2:E698)*(E698=E$2:E698)))))-COUNTBLANK(OFFSET(A$1,,,SUMPRODUCT(MAX(ROW(E$1:E697)*(E2=E$1:E697))))))</f>
        <v>0</v>
      </c>
      <c r="K698" s="24">
        <f ca="1">IF(OR(E698="",E698="!!!",F698="NEW"),"",INDEX(J$1:J697,SUMPRODUCT(MAX(ROW(E$1:E697)*(E698=E$1:E697)))))</f>
        <v>0</v>
      </c>
      <c r="L698" s="25"/>
    </row>
    <row r="699" spans="1:12" x14ac:dyDescent="0.3">
      <c r="A699" t="s">
        <v>457</v>
      </c>
      <c r="E699" s="20" t="str">
        <f t="shared" si="52"/>
        <v/>
      </c>
      <c r="F699" s="21" t="str">
        <f>IF(OR(E699="",E699="!!!"),"",IF(NOT(ISNA(VLOOKUP(E699,E$1:E698,1,FALSE()))),"OLD",IF(AND(E699&lt;&gt;"",E699&lt;&gt;"!!!"),"NEW","")))</f>
        <v/>
      </c>
      <c r="G699" s="22" t="str">
        <f>IF(OR(E699="",E699="!!!"),"",IF(OR(J699=0,AND(J699=1,K699=1),AND(J699=1,I699="SBJ"),AND(J699=1,I699=0)),"?IN_FOCUS",IF(J699&lt;=2,"?ACTIVATED",IF(J699&lt;&gt;"","?FAMILIAR",IF(F699="NEW",IF(ISNA(VLOOKUP(E699,#REF!,1,FALSE())),"?TYPE_IDENTIFIABLE","?REFERENTIAL"),"_")))))</f>
        <v/>
      </c>
      <c r="H699" s="23" t="str">
        <f t="shared" ca="1" si="53"/>
        <v/>
      </c>
      <c r="I699" s="24" t="str">
        <f>IF(OR(E699="",E699="!!!",F699="NEW"),"",INDEX(B$2:B698,-1+SUMPRODUCT(MAX(ROW(E$2:E698)*(E699=E$2:E698)))))</f>
        <v/>
      </c>
      <c r="J699" s="24" t="str">
        <f ca="1">IF(OR(E699="",E699="!!!",F699="NEW"),"",COUNTBLANK(OFFSET(A$1,,,SUMPRODUCT(MAX(ROW(E$2:E699)*(E699=E$2:E699)))))-COUNTBLANK(OFFSET(A$1,,,SUMPRODUCT(MAX(ROW(E$1:E698)*(E2=E$1:E698))))))</f>
        <v/>
      </c>
      <c r="K699" s="24" t="str">
        <f>IF(OR(E699="",E699="!!!",F699="NEW"),"",INDEX(J$1:J698,SUMPRODUCT(MAX(ROW(E$1:E698)*(E699=E$1:E698)))))</f>
        <v/>
      </c>
      <c r="L699" s="25"/>
    </row>
    <row r="700" spans="1:12" x14ac:dyDescent="0.3">
      <c r="A700" t="s">
        <v>399</v>
      </c>
      <c r="E700" s="20" t="str">
        <f t="shared" si="52"/>
        <v/>
      </c>
      <c r="F700" s="21" t="str">
        <f>IF(OR(E700="",E700="!!!"),"",IF(NOT(ISNA(VLOOKUP(E700,E$1:E699,1,FALSE()))),"OLD",IF(AND(E700&lt;&gt;"",E700&lt;&gt;"!!!"),"NEW","")))</f>
        <v/>
      </c>
      <c r="G700" s="22" t="str">
        <f>IF(OR(E700="",E700="!!!"),"",IF(OR(J700=0,AND(J700=1,K700=1),AND(J700=1,I700="SBJ"),AND(J700=1,I700=0)),"?IN_FOCUS",IF(J700&lt;=2,"?ACTIVATED",IF(J700&lt;&gt;"","?FAMILIAR",IF(F700="NEW",IF(ISNA(VLOOKUP(E700,#REF!,1,FALSE())),"?TYPE_IDENTIFIABLE","?REFERENTIAL"),"_")))))</f>
        <v/>
      </c>
      <c r="H700" s="23" t="str">
        <f t="shared" ca="1" si="53"/>
        <v/>
      </c>
      <c r="I700" s="24" t="str">
        <f>IF(OR(E700="",E700="!!!",F700="NEW"),"",INDEX(B$2:B699,-1+SUMPRODUCT(MAX(ROW(E$2:E699)*(E700=E$2:E699)))))</f>
        <v/>
      </c>
      <c r="J700" s="24" t="str">
        <f ca="1">IF(OR(E700="",E700="!!!",F700="NEW"),"",COUNTBLANK(OFFSET(A$1,,,SUMPRODUCT(MAX(ROW(E$2:E700)*(E700=E$2:E700)))))-COUNTBLANK(OFFSET(A$1,,,SUMPRODUCT(MAX(ROW(E$1:E699)*(E2=E$1:E699))))))</f>
        <v/>
      </c>
      <c r="K700" s="24" t="str">
        <f>IF(OR(E700="",E700="!!!",F700="NEW"),"",INDEX(J$1:J699,SUMPRODUCT(MAX(ROW(E$1:E699)*(E700=E$1:E699)))))</f>
        <v/>
      </c>
      <c r="L700" s="25"/>
    </row>
    <row r="701" spans="1:12" x14ac:dyDescent="0.3">
      <c r="A701" t="s">
        <v>378</v>
      </c>
      <c r="E701" s="20" t="str">
        <f t="shared" si="52"/>
        <v/>
      </c>
      <c r="F701" s="21" t="str">
        <f>IF(OR(E701="",E701="!!!"),"",IF(NOT(ISNA(VLOOKUP(E701,E$1:E700,1,FALSE()))),"OLD",IF(AND(E701&lt;&gt;"",E701&lt;&gt;"!!!"),"NEW","")))</f>
        <v/>
      </c>
      <c r="G701" s="22" t="str">
        <f>IF(OR(E701="",E701="!!!"),"",IF(OR(J701=0,AND(J701=1,K701=1),AND(J701=1,I701="SBJ"),AND(J701=1,I701=0)),"?IN_FOCUS",IF(J701&lt;=2,"?ACTIVATED",IF(J701&lt;&gt;"","?FAMILIAR",IF(F701="NEW",IF(ISNA(VLOOKUP(E701,#REF!,1,FALSE())),"?TYPE_IDENTIFIABLE","?REFERENTIAL"),"_")))))</f>
        <v/>
      </c>
      <c r="H701" s="23" t="str">
        <f t="shared" ca="1" si="53"/>
        <v/>
      </c>
      <c r="I701" s="24" t="str">
        <f>IF(OR(E701="",E701="!!!",F701="NEW"),"",INDEX(B$2:B700,-1+SUMPRODUCT(MAX(ROW(E$2:E700)*(E701=E$2:E700)))))</f>
        <v/>
      </c>
      <c r="J701" s="24" t="str">
        <f ca="1">IF(OR(E701="",E701="!!!",F701="NEW"),"",COUNTBLANK(OFFSET(A$1,,,SUMPRODUCT(MAX(ROW(E$2:E701)*(E701=E$2:E701)))))-COUNTBLANK(OFFSET(A$1,,,SUMPRODUCT(MAX(ROW(E$1:E700)*(E2=E$1:E700))))))</f>
        <v/>
      </c>
      <c r="K701" s="24" t="str">
        <f>IF(OR(E701="",E701="!!!",F701="NEW"),"",INDEX(J$1:J700,SUMPRODUCT(MAX(ROW(E$1:E700)*(E701=E$1:E700)))))</f>
        <v/>
      </c>
      <c r="L701" s="25"/>
    </row>
    <row r="702" spans="1:12" x14ac:dyDescent="0.3">
      <c r="A702" t="s">
        <v>188</v>
      </c>
      <c r="B702" s="26" t="s">
        <v>225</v>
      </c>
      <c r="C702" s="26" t="s">
        <v>226</v>
      </c>
      <c r="E702" s="20" t="str">
        <f t="shared" si="52"/>
        <v/>
      </c>
      <c r="F702" s="21" t="str">
        <f>IF(OR(E702="",E702="!!!"),"",IF(NOT(ISNA(VLOOKUP(E702,E$1:E701,1,FALSE()))),"OLD",IF(AND(E702&lt;&gt;"",E702&lt;&gt;"!!!"),"NEW","")))</f>
        <v/>
      </c>
      <c r="G702" s="22" t="str">
        <f>IF(OR(E702="",E702="!!!"),"",IF(OR(J702=0,AND(J702=1,K702=1),AND(J702=1,I702="SBJ"),AND(J702=1,I702=0)),"?IN_FOCUS",IF(J702&lt;=2,"?ACTIVATED",IF(J702&lt;&gt;"","?FAMILIAR",IF(F702="NEW",IF(ISNA(VLOOKUP(E702,#REF!,1,FALSE())),"?TYPE_IDENTIFIABLE","?REFERENTIAL"),"_")))))</f>
        <v/>
      </c>
      <c r="H702" s="23" t="str">
        <f t="shared" ca="1" si="53"/>
        <v/>
      </c>
      <c r="I702" s="24" t="str">
        <f>IF(OR(E702="",E702="!!!",F702="NEW"),"",INDEX(B$2:B701,-1+SUMPRODUCT(MAX(ROW(E$2:E701)*(E702=E$2:E701)))))</f>
        <v/>
      </c>
      <c r="J702" s="24" t="str">
        <f ca="1">IF(OR(E702="",E702="!!!",F702="NEW"),"",COUNTBLANK(OFFSET(A$1,,,SUMPRODUCT(MAX(ROW(E$2:E702)*(E702=E$2:E702)))))-COUNTBLANK(OFFSET(A$1,,,SUMPRODUCT(MAX(ROW(E$1:E701)*(E2=E$1:E701))))))</f>
        <v/>
      </c>
      <c r="K702" s="24" t="str">
        <f>IF(OR(E702="",E702="!!!",F702="NEW"),"",INDEX(J$1:J701,SUMPRODUCT(MAX(ROW(E$1:E701)*(E702=E$1:E701)))))</f>
        <v/>
      </c>
      <c r="L702" s="25"/>
    </row>
    <row r="703" spans="1:12" x14ac:dyDescent="0.3">
      <c r="A703" t="s">
        <v>207</v>
      </c>
      <c r="E703" s="20" t="str">
        <f t="shared" si="52"/>
        <v/>
      </c>
      <c r="F703" s="21" t="str">
        <f>IF(OR(E703="",E703="!!!"),"",IF(NOT(ISNA(VLOOKUP(E703,E$1:E702,1,FALSE()))),"OLD",IF(AND(E703&lt;&gt;"",E703&lt;&gt;"!!!"),"NEW","")))</f>
        <v/>
      </c>
      <c r="G703" s="22" t="str">
        <f>IF(OR(E703="",E703="!!!"),"",IF(OR(J703=0,AND(J703=1,K703=1),AND(J703=1,I703="SBJ"),AND(J703=1,I703=0)),"?IN_FOCUS",IF(J703&lt;=2,"?ACTIVATED",IF(J703&lt;&gt;"","?FAMILIAR",IF(F703="NEW",IF(ISNA(VLOOKUP(E703,#REF!,1,FALSE())),"?TYPE_IDENTIFIABLE","?REFERENTIAL"),"_")))))</f>
        <v/>
      </c>
      <c r="H703" s="23" t="str">
        <f t="shared" ca="1" si="53"/>
        <v/>
      </c>
      <c r="I703" s="24" t="str">
        <f>IF(OR(E703="",E703="!!!",F703="NEW"),"",INDEX(B$2:B702,-1+SUMPRODUCT(MAX(ROW(E$2:E702)*(E703=E$2:E702)))))</f>
        <v/>
      </c>
      <c r="J703" s="24" t="str">
        <f ca="1">IF(OR(E703="",E703="!!!",F703="NEW"),"",COUNTBLANK(OFFSET(A$1,,,SUMPRODUCT(MAX(ROW(E$2:E703)*(E703=E$2:E703)))))-COUNTBLANK(OFFSET(A$1,,,SUMPRODUCT(MAX(ROW(E$1:E702)*(E2=E$1:E702))))))</f>
        <v/>
      </c>
      <c r="K703" s="24" t="str">
        <f>IF(OR(E703="",E703="!!!",F703="NEW"),"",INDEX(J$1:J702,SUMPRODUCT(MAX(ROW(E$1:E702)*(E703=E$1:E702)))))</f>
        <v/>
      </c>
      <c r="L703" s="25"/>
    </row>
    <row r="704" spans="1:12" x14ac:dyDescent="0.3">
      <c r="A704" t="s">
        <v>401</v>
      </c>
      <c r="E704" s="20" t="str">
        <f t="shared" si="52"/>
        <v/>
      </c>
      <c r="F704" s="21" t="str">
        <f>IF(OR(E704="",E704="!!!"),"",IF(NOT(ISNA(VLOOKUP(E704,E$1:E703,1,FALSE()))),"OLD",IF(AND(E704&lt;&gt;"",E704&lt;&gt;"!!!"),"NEW","")))</f>
        <v/>
      </c>
      <c r="G704" s="22" t="str">
        <f>IF(OR(E704="",E704="!!!"),"",IF(OR(J704=0,AND(J704=1,K704=1),AND(J704=1,I704="SBJ"),AND(J704=1,I704=0)),"?IN_FOCUS",IF(J704&lt;=2,"?ACTIVATED",IF(J704&lt;&gt;"","?FAMILIAR",IF(F704="NEW",IF(ISNA(VLOOKUP(E704,#REF!,1,FALSE())),"?TYPE_IDENTIFIABLE","?REFERENTIAL"),"_")))))</f>
        <v/>
      </c>
      <c r="H704" s="23" t="str">
        <f t="shared" ca="1" si="53"/>
        <v/>
      </c>
      <c r="I704" s="24" t="str">
        <f>IF(OR(E704="",E704="!!!",F704="NEW"),"",INDEX(B$2:B703,-1+SUMPRODUCT(MAX(ROW(E$2:E703)*(E704=E$2:E703)))))</f>
        <v/>
      </c>
      <c r="J704" s="24" t="str">
        <f ca="1">IF(OR(E704="",E704="!!!",F704="NEW"),"",COUNTBLANK(OFFSET(A$1,,,SUMPRODUCT(MAX(ROW(E$2:E704)*(E704=E$2:E704)))))-COUNTBLANK(OFFSET(A$1,,,SUMPRODUCT(MAX(ROW(E$1:E703)*(E2=E$1:E703))))))</f>
        <v/>
      </c>
      <c r="K704" s="24" t="str">
        <f>IF(OR(E704="",E704="!!!",F704="NEW"),"",INDEX(J$1:J703,SUMPRODUCT(MAX(ROW(E$1:E703)*(E704=E$1:E703)))))</f>
        <v/>
      </c>
      <c r="L704" s="25"/>
    </row>
    <row r="705" spans="1:12" x14ac:dyDescent="0.3">
      <c r="A705" t="s">
        <v>536</v>
      </c>
      <c r="B705" s="26" t="s">
        <v>205</v>
      </c>
      <c r="C705" s="26" t="s">
        <v>214</v>
      </c>
      <c r="D705" s="26" t="s">
        <v>215</v>
      </c>
      <c r="E705" s="20" t="s">
        <v>536</v>
      </c>
      <c r="F705" s="21" t="str">
        <f>IF(OR(E705="",E705="!!!"),"",IF(NOT(ISNA(VLOOKUP(E705,E$1:E704,1,FALSE()))),"OLD",IF(AND(E705&lt;&gt;"",E705&lt;&gt;"!!!"),"NEW","")))</f>
        <v>NEW</v>
      </c>
      <c r="G705" s="22" t="s">
        <v>657</v>
      </c>
      <c r="H705" s="23" t="str">
        <f t="shared" ca="1" si="53"/>
        <v/>
      </c>
      <c r="I705" s="24" t="str">
        <f>IF(OR(E705="",E705="!!!",F705="NEW"),"",INDEX(B$2:B704,-1+SUMPRODUCT(MAX(ROW(E$2:E704)*(E705=E$2:E704)))))</f>
        <v/>
      </c>
      <c r="J705" s="24" t="str">
        <f ca="1">IF(OR(E705="",E705="!!!",F705="NEW"),"",COUNTBLANK(OFFSET(A$1,,,SUMPRODUCT(MAX(ROW(E$2:E705)*(E705=E$2:E705)))))-COUNTBLANK(OFFSET(A$1,,,SUMPRODUCT(MAX(ROW(E$1:E704)*(E2=E$1:E704))))))</f>
        <v/>
      </c>
      <c r="K705" s="24" t="str">
        <f>IF(OR(E705="",E705="!!!",F705="NEW"),"",INDEX(J$1:J704,SUMPRODUCT(MAX(ROW(E$1:E704)*(E705=E$1:E704)))))</f>
        <v/>
      </c>
      <c r="L705" s="25"/>
    </row>
    <row r="706" spans="1:12" x14ac:dyDescent="0.3">
      <c r="A706" t="s">
        <v>323</v>
      </c>
      <c r="E706" s="20" t="str">
        <f t="shared" si="52"/>
        <v/>
      </c>
      <c r="F706" s="21" t="str">
        <f>IF(OR(E706="",E706="!!!"),"",IF(NOT(ISNA(VLOOKUP(E706,E$1:E705,1,FALSE()))),"OLD",IF(AND(E706&lt;&gt;"",E706&lt;&gt;"!!!"),"NEW","")))</f>
        <v/>
      </c>
      <c r="G706" s="22" t="str">
        <f>IF(OR(E706="",E706="!!!"),"",IF(OR(J706=0,AND(J706=1,K706=1),AND(J706=1,I706="SBJ"),AND(J706=1,I706=0)),"?IN_FOCUS",IF(J706&lt;=2,"?ACTIVATED",IF(J706&lt;&gt;"","?FAMILIAR",IF(F706="NEW",IF(ISNA(VLOOKUP(E706,#REF!,1,FALSE())),"?TYPE_IDENTIFIABLE","?REFERENTIAL"),"_")))))</f>
        <v/>
      </c>
      <c r="H706" s="23" t="str">
        <f t="shared" ca="1" si="53"/>
        <v/>
      </c>
      <c r="I706" s="24" t="str">
        <f>IF(OR(E706="",E706="!!!",F706="NEW"),"",INDEX(B$2:B705,-1+SUMPRODUCT(MAX(ROW(E$2:E705)*(E706=E$2:E705)))))</f>
        <v/>
      </c>
      <c r="J706" s="24" t="str">
        <f ca="1">IF(OR(E706="",E706="!!!",F706="NEW"),"",COUNTBLANK(OFFSET(A$1,,,SUMPRODUCT(MAX(ROW(E$2:E706)*(E706=E$2:E706)))))-COUNTBLANK(OFFSET(A$1,,,SUMPRODUCT(MAX(ROW(E$1:E705)*(E2=E$1:E705))))))</f>
        <v/>
      </c>
      <c r="K706" s="24" t="str">
        <f>IF(OR(E706="",E706="!!!",F706="NEW"),"",INDEX(J$1:J705,SUMPRODUCT(MAX(ROW(E$1:E705)*(E706=E$1:E705)))))</f>
        <v/>
      </c>
      <c r="L706" s="25"/>
    </row>
    <row r="707" spans="1:12" x14ac:dyDescent="0.3">
      <c r="A707" t="s">
        <v>364</v>
      </c>
      <c r="E707" s="20" t="s">
        <v>364</v>
      </c>
      <c r="F707" s="21" t="str">
        <f>IF(OR(E707="",E707="!!!"),"",IF(NOT(ISNA(VLOOKUP(E707,E$1:E706,1,FALSE()))),"OLD",IF(AND(E707&lt;&gt;"",E707&lt;&gt;"!!!"),"NEW","")))</f>
        <v>OLD</v>
      </c>
      <c r="G707" s="22" t="s">
        <v>657</v>
      </c>
      <c r="H707" s="23" t="str">
        <f t="shared" ca="1" si="53"/>
        <v/>
      </c>
      <c r="I707" s="24">
        <f>IF(OR(E707="",E707="!!!",F707="NEW"),"",INDEX(B$2:B706,-1+SUMPRODUCT(MAX(ROW(E$2:E706)*(E707=E$2:E706)))))</f>
        <v>0</v>
      </c>
      <c r="J707" s="24">
        <f ca="1">IF(OR(E707="",E707="!!!",F707="NEW"),"",COUNTBLANK(OFFSET(A$1,,,SUMPRODUCT(MAX(ROW(E$2:E707)*(E707=E$2:E707)))))-COUNTBLANK(OFFSET(A$1,,,SUMPRODUCT(MAX(ROW(E$1:E706)*(E2=E$1:E706))))))</f>
        <v>0</v>
      </c>
      <c r="K707" s="24">
        <f ca="1">IF(OR(E707="",E707="!!!",F707="NEW"),"",INDEX(J$1:J706,SUMPRODUCT(MAX(ROW(E$1:E706)*(E707=E$1:E706)))))</f>
        <v>0</v>
      </c>
      <c r="L707" s="25" t="s">
        <v>737</v>
      </c>
    </row>
    <row r="708" spans="1:12" x14ac:dyDescent="0.3">
      <c r="A708" t="s">
        <v>287</v>
      </c>
      <c r="E708" s="20" t="str">
        <f t="shared" si="52"/>
        <v/>
      </c>
      <c r="F708" s="21" t="str">
        <f>IF(OR(E708="",E708="!!!"),"",IF(NOT(ISNA(VLOOKUP(E708,E$1:E707,1,FALSE()))),"OLD",IF(AND(E708&lt;&gt;"",E708&lt;&gt;"!!!"),"NEW","")))</f>
        <v/>
      </c>
      <c r="G708" s="22" t="str">
        <f>IF(OR(E708="",E708="!!!"),"",IF(OR(J708=0,AND(J708=1,K708=1),AND(J708=1,I708="SBJ"),AND(J708=1,I708=0)),"?IN_FOCUS",IF(J708&lt;=2,"?ACTIVATED",IF(J708&lt;&gt;"","?FAMILIAR",IF(F708="NEW",IF(ISNA(VLOOKUP(E708,#REF!,1,FALSE())),"?TYPE_IDENTIFIABLE","?REFERENTIAL"),"_")))))</f>
        <v/>
      </c>
      <c r="H708" s="23" t="str">
        <f t="shared" ca="1" si="53"/>
        <v/>
      </c>
      <c r="I708" s="24" t="str">
        <f>IF(OR(E708="",E708="!!!",F708="NEW"),"",INDEX(B$2:B707,-1+SUMPRODUCT(MAX(ROW(E$2:E707)*(E708=E$2:E707)))))</f>
        <v/>
      </c>
      <c r="J708" s="24" t="str">
        <f ca="1">IF(OR(E708="",E708="!!!",F708="NEW"),"",COUNTBLANK(OFFSET(A$1,,,SUMPRODUCT(MAX(ROW(E$2:E708)*(E708=E$2:E708)))))-COUNTBLANK(OFFSET(A$1,,,SUMPRODUCT(MAX(ROW(E$1:E707)*(E2=E$1:E707))))))</f>
        <v/>
      </c>
      <c r="K708" s="24" t="str">
        <f>IF(OR(E708="",E708="!!!",F708="NEW"),"",INDEX(J$1:J707,SUMPRODUCT(MAX(ROW(E$1:E707)*(E708=E$1:E707)))))</f>
        <v/>
      </c>
      <c r="L708" s="25"/>
    </row>
    <row r="709" spans="1:12" x14ac:dyDescent="0.3">
      <c r="A709" t="s">
        <v>537</v>
      </c>
      <c r="B709" s="26" t="s">
        <v>325</v>
      </c>
      <c r="C709" s="26" t="s">
        <v>214</v>
      </c>
      <c r="D709" s="26" t="s">
        <v>215</v>
      </c>
      <c r="E709" s="20" t="s">
        <v>537</v>
      </c>
      <c r="F709" s="21" t="str">
        <f>IF(OR(E709="",E709="!!!"),"",IF(NOT(ISNA(VLOOKUP(E709,E$1:E708,1,FALSE()))),"OLD",IF(AND(E709&lt;&gt;"",E709&lt;&gt;"!!!"),"NEW","")))</f>
        <v>NEW</v>
      </c>
      <c r="G709" s="22" t="s">
        <v>657</v>
      </c>
      <c r="H709" s="23" t="str">
        <f t="shared" ca="1" si="53"/>
        <v/>
      </c>
      <c r="I709" s="24" t="str">
        <f>IF(OR(E709="",E709="!!!",F709="NEW"),"",INDEX(B$2:B708,-1+SUMPRODUCT(MAX(ROW(E$2:E708)*(E709=E$2:E708)))))</f>
        <v/>
      </c>
      <c r="J709" s="24" t="str">
        <f ca="1">IF(OR(E709="",E709="!!!",F709="NEW"),"",COUNTBLANK(OFFSET(A$1,,,SUMPRODUCT(MAX(ROW(E$2:E709)*(E709=E$2:E709)))))-COUNTBLANK(OFFSET(A$1,,,SUMPRODUCT(MAX(ROW(E$1:E708)*(E2=E$1:E708))))))</f>
        <v/>
      </c>
      <c r="K709" s="24" t="str">
        <f>IF(OR(E709="",E709="!!!",F709="NEW"),"",INDEX(J$1:J708,SUMPRODUCT(MAX(ROW(E$1:E708)*(E709=E$1:E708)))))</f>
        <v/>
      </c>
      <c r="L709" s="25"/>
    </row>
    <row r="710" spans="1:12" x14ac:dyDescent="0.3">
      <c r="A710" t="s">
        <v>207</v>
      </c>
      <c r="E710" s="20" t="str">
        <f t="shared" si="52"/>
        <v/>
      </c>
      <c r="F710" s="21" t="str">
        <f>IF(OR(E710="",E710="!!!"),"",IF(NOT(ISNA(VLOOKUP(E710,E$1:E709,1,FALSE()))),"OLD",IF(AND(E710&lt;&gt;"",E710&lt;&gt;"!!!"),"NEW","")))</f>
        <v/>
      </c>
      <c r="G710" s="22" t="str">
        <f>IF(OR(E710="",E710="!!!"),"",IF(OR(J710=0,AND(J710=1,K710=1),AND(J710=1,I710="SBJ"),AND(J710=1,I710=0)),"?IN_FOCUS",IF(J710&lt;=2,"?ACTIVATED",IF(J710&lt;&gt;"","?FAMILIAR",IF(F710="NEW",IF(ISNA(VLOOKUP(E710,#REF!,1,FALSE())),"?TYPE_IDENTIFIABLE","?REFERENTIAL"),"_")))))</f>
        <v/>
      </c>
      <c r="H710" s="23" t="str">
        <f t="shared" ca="1" si="53"/>
        <v/>
      </c>
      <c r="I710" s="24" t="str">
        <f>IF(OR(E710="",E710="!!!",F710="NEW"),"",INDEX(B$2:B709,-1+SUMPRODUCT(MAX(ROW(E$2:E709)*(E710=E$2:E709)))))</f>
        <v/>
      </c>
      <c r="J710" s="24" t="str">
        <f ca="1">IF(OR(E710="",E710="!!!",F710="NEW"),"",COUNTBLANK(OFFSET(A$1,,,SUMPRODUCT(MAX(ROW(E$2:E710)*(E710=E$2:E710)))))-COUNTBLANK(OFFSET(A$1,,,SUMPRODUCT(MAX(ROW(E$1:E709)*(E2=E$1:E709))))))</f>
        <v/>
      </c>
      <c r="K710" s="24" t="str">
        <f>IF(OR(E710="",E710="!!!",F710="NEW"),"",INDEX(J$1:J709,SUMPRODUCT(MAX(ROW(E$1:E709)*(E710=E$1:E709)))))</f>
        <v/>
      </c>
      <c r="L710" s="25"/>
    </row>
    <row r="711" spans="1:12" x14ac:dyDescent="0.3">
      <c r="A711" t="s">
        <v>538</v>
      </c>
      <c r="E711" s="20" t="s">
        <v>538</v>
      </c>
      <c r="F711" s="21" t="str">
        <f>IF(OR(E711="",E711="!!!"),"",IF(NOT(ISNA(VLOOKUP(E711,E$1:E710,1,FALSE()))),"OLD",IF(AND(E711&lt;&gt;"",E711&lt;&gt;"!!!"),"NEW","")))</f>
        <v>NEW</v>
      </c>
      <c r="G711" s="22" t="s">
        <v>657</v>
      </c>
      <c r="H711" s="23" t="str">
        <f t="shared" ca="1" si="53"/>
        <v/>
      </c>
      <c r="I711" s="24" t="str">
        <f>IF(OR(E711="",E711="!!!",F711="NEW"),"",INDEX(B$2:B710,-1+SUMPRODUCT(MAX(ROW(E$2:E710)*(E711=E$2:E710)))))</f>
        <v/>
      </c>
      <c r="J711" s="24" t="str">
        <f ca="1">IF(OR(E711="",E711="!!!",F711="NEW"),"",COUNTBLANK(OFFSET(A$1,,,SUMPRODUCT(MAX(ROW(E$2:E711)*(E711=E$2:E711)))))-COUNTBLANK(OFFSET(A$1,,,SUMPRODUCT(MAX(ROW(E$1:E710)*(E2=E$1:E710))))))</f>
        <v/>
      </c>
      <c r="K711" s="24" t="str">
        <f>IF(OR(E711="",E711="!!!",F711="NEW"),"",INDEX(J$1:J710,SUMPRODUCT(MAX(ROW(E$1:E710)*(E711=E$1:E710)))))</f>
        <v/>
      </c>
      <c r="L711" s="25"/>
    </row>
    <row r="712" spans="1:12" x14ac:dyDescent="0.3">
      <c r="A712" t="s">
        <v>207</v>
      </c>
      <c r="E712" s="20" t="str">
        <f t="shared" si="52"/>
        <v/>
      </c>
      <c r="F712" s="21" t="str">
        <f>IF(OR(E712="",E712="!!!"),"",IF(NOT(ISNA(VLOOKUP(E712,E$1:E711,1,FALSE()))),"OLD",IF(AND(E712&lt;&gt;"",E712&lt;&gt;"!!!"),"NEW","")))</f>
        <v/>
      </c>
      <c r="G712" s="22" t="str">
        <f>IF(OR(E712="",E712="!!!"),"",IF(OR(J712=0,AND(J712=1,K712=1),AND(J712=1,I712="SBJ"),AND(J712=1,I712=0)),"?IN_FOCUS",IF(J712&lt;=2,"?ACTIVATED",IF(J712&lt;&gt;"","?FAMILIAR",IF(F712="NEW",IF(ISNA(VLOOKUP(E712,#REF!,1,FALSE())),"?TYPE_IDENTIFIABLE","?REFERENTIAL"),"_")))))</f>
        <v/>
      </c>
      <c r="H712" s="23" t="str">
        <f t="shared" ca="1" si="53"/>
        <v/>
      </c>
      <c r="I712" s="24" t="str">
        <f>IF(OR(E712="",E712="!!!",F712="NEW"),"",INDEX(B$2:B711,-1+SUMPRODUCT(MAX(ROW(E$2:E711)*(E712=E$2:E711)))))</f>
        <v/>
      </c>
      <c r="J712" s="24" t="str">
        <f ca="1">IF(OR(E712="",E712="!!!",F712="NEW"),"",COUNTBLANK(OFFSET(A$1,,,SUMPRODUCT(MAX(ROW(E$2:E712)*(E712=E$2:E712)))))-COUNTBLANK(OFFSET(A$1,,,SUMPRODUCT(MAX(ROW(E$1:E711)*(E2=E$1:E711))))))</f>
        <v/>
      </c>
      <c r="K712" s="24" t="str">
        <f>IF(OR(E712="",E712="!!!",F712="NEW"),"",INDEX(J$1:J711,SUMPRODUCT(MAX(ROW(E$1:E711)*(E712=E$1:E711)))))</f>
        <v/>
      </c>
      <c r="L712" s="25"/>
    </row>
    <row r="713" spans="1:12" x14ac:dyDescent="0.3">
      <c r="A713" t="s">
        <v>322</v>
      </c>
      <c r="E713" s="20" t="str">
        <f t="shared" si="52"/>
        <v/>
      </c>
      <c r="F713" s="21" t="str">
        <f>IF(OR(E713="",E713="!!!"),"",IF(NOT(ISNA(VLOOKUP(E713,E$1:E712,1,FALSE()))),"OLD",IF(AND(E713&lt;&gt;"",E713&lt;&gt;"!!!"),"NEW","")))</f>
        <v/>
      </c>
      <c r="G713" s="22" t="str">
        <f>IF(OR(E713="",E713="!!!"),"",IF(OR(J713=0,AND(J713=1,K713=1),AND(J713=1,I713="SBJ"),AND(J713=1,I713=0)),"?IN_FOCUS",IF(J713&lt;=2,"?ACTIVATED",IF(J713&lt;&gt;"","?FAMILIAR",IF(F713="NEW",IF(ISNA(VLOOKUP(E713,#REF!,1,FALSE())),"?TYPE_IDENTIFIABLE","?REFERENTIAL"),"_")))))</f>
        <v/>
      </c>
      <c r="H713" s="23" t="str">
        <f t="shared" ca="1" si="53"/>
        <v/>
      </c>
      <c r="I713" s="24" t="str">
        <f>IF(OR(E713="",E713="!!!",F713="NEW"),"",INDEX(B$2:B712,-1+SUMPRODUCT(MAX(ROW(E$2:E712)*(E713=E$2:E712)))))</f>
        <v/>
      </c>
      <c r="J713" s="24" t="str">
        <f ca="1">IF(OR(E713="",E713="!!!",F713="NEW"),"",COUNTBLANK(OFFSET(A$1,,,SUMPRODUCT(MAX(ROW(E$2:E713)*(E713=E$2:E713)))))-COUNTBLANK(OFFSET(A$1,,,SUMPRODUCT(MAX(ROW(E$1:E712)*(E2=E$1:E712))))))</f>
        <v/>
      </c>
      <c r="K713" s="24" t="str">
        <f>IF(OR(E713="",E713="!!!",F713="NEW"),"",INDEX(J$1:J712,SUMPRODUCT(MAX(ROW(E$1:E712)*(E713=E$1:E712)))))</f>
        <v/>
      </c>
      <c r="L713" s="25"/>
    </row>
    <row r="714" spans="1:12" x14ac:dyDescent="0.3">
      <c r="A714" t="s">
        <v>220</v>
      </c>
      <c r="E714" s="20" t="str">
        <f t="shared" si="52"/>
        <v/>
      </c>
      <c r="F714" s="21" t="str">
        <f>IF(OR(E714="",E714="!!!"),"",IF(NOT(ISNA(VLOOKUP(E714,E$1:E713,1,FALSE()))),"OLD",IF(AND(E714&lt;&gt;"",E714&lt;&gt;"!!!"),"NEW","")))</f>
        <v/>
      </c>
      <c r="G714" s="22" t="str">
        <f>IF(OR(E714="",E714="!!!"),"",IF(OR(J714=0,AND(J714=1,K714=1),AND(J714=1,I714="SBJ"),AND(J714=1,I714=0)),"?IN_FOCUS",IF(J714&lt;=2,"?ACTIVATED",IF(J714&lt;&gt;"","?FAMILIAR",IF(F714="NEW",IF(ISNA(VLOOKUP(E714,#REF!,1,FALSE())),"?TYPE_IDENTIFIABLE","?REFERENTIAL"),"_")))))</f>
        <v/>
      </c>
      <c r="H714" s="23" t="str">
        <f t="shared" ca="1" si="53"/>
        <v/>
      </c>
      <c r="I714" s="24" t="str">
        <f>IF(OR(E714="",E714="!!!",F714="NEW"),"",INDEX(B$2:B713,-1+SUMPRODUCT(MAX(ROW(E$2:E713)*(E714=E$2:E713)))))</f>
        <v/>
      </c>
      <c r="J714" s="24" t="str">
        <f ca="1">IF(OR(E714="",E714="!!!",F714="NEW"),"",COUNTBLANK(OFFSET(A$1,,,SUMPRODUCT(MAX(ROW(E$2:E714)*(E714=E$2:E714)))))-COUNTBLANK(OFFSET(A$1,,,SUMPRODUCT(MAX(ROW(E$1:E713)*(E2=E$1:E713))))))</f>
        <v/>
      </c>
      <c r="K714" s="24" t="str">
        <f>IF(OR(E714="",E714="!!!",F714="NEW"),"",INDEX(J$1:J713,SUMPRODUCT(MAX(ROW(E$1:E713)*(E714=E$1:E713)))))</f>
        <v/>
      </c>
      <c r="L714" s="25"/>
    </row>
    <row r="715" spans="1:12" x14ac:dyDescent="0.3">
      <c r="A715" t="s">
        <v>539</v>
      </c>
      <c r="E715" s="20" t="str">
        <f t="shared" si="52"/>
        <v/>
      </c>
      <c r="F715" s="21" t="str">
        <f>IF(OR(E715="",E715="!!!"),"",IF(NOT(ISNA(VLOOKUP(E715,E$1:E714,1,FALSE()))),"OLD",IF(AND(E715&lt;&gt;"",E715&lt;&gt;"!!!"),"NEW","")))</f>
        <v/>
      </c>
      <c r="G715" s="22" t="str">
        <f>IF(OR(E715="",E715="!!!"),"",IF(OR(J715=0,AND(J715=1,K715=1),AND(J715=1,I715="SBJ"),AND(J715=1,I715=0)),"?IN_FOCUS",IF(J715&lt;=2,"?ACTIVATED",IF(J715&lt;&gt;"","?FAMILIAR",IF(F715="NEW",IF(ISNA(VLOOKUP(E715,#REF!,1,FALSE())),"?TYPE_IDENTIFIABLE","?REFERENTIAL"),"_")))))</f>
        <v/>
      </c>
      <c r="H715" s="23" t="str">
        <f t="shared" ca="1" si="53"/>
        <v/>
      </c>
      <c r="I715" s="24" t="str">
        <f>IF(OR(E715="",E715="!!!",F715="NEW"),"",INDEX(B$2:B714,-1+SUMPRODUCT(MAX(ROW(E$2:E714)*(E715=E$2:E714)))))</f>
        <v/>
      </c>
      <c r="J715" s="24" t="str">
        <f ca="1">IF(OR(E715="",E715="!!!",F715="NEW"),"",COUNTBLANK(OFFSET(A$1,,,SUMPRODUCT(MAX(ROW(E$2:E715)*(E715=E$2:E715)))))-COUNTBLANK(OFFSET(A$1,,,SUMPRODUCT(MAX(ROW(E$1:E714)*(E2=E$1:E714))))))</f>
        <v/>
      </c>
      <c r="K715" s="24" t="str">
        <f>IF(OR(E715="",E715="!!!",F715="NEW"),"",INDEX(J$1:J714,SUMPRODUCT(MAX(ROW(E$1:E714)*(E715=E$1:E714)))))</f>
        <v/>
      </c>
      <c r="L715" s="25"/>
    </row>
    <row r="716" spans="1:12" x14ac:dyDescent="0.3">
      <c r="A716" t="s">
        <v>270</v>
      </c>
      <c r="E716" s="20" t="str">
        <f t="shared" si="52"/>
        <v/>
      </c>
      <c r="F716" s="21" t="str">
        <f>IF(OR(E716="",E716="!!!"),"",IF(NOT(ISNA(VLOOKUP(E716,E$1:E715,1,FALSE()))),"OLD",IF(AND(E716&lt;&gt;"",E716&lt;&gt;"!!!"),"NEW","")))</f>
        <v/>
      </c>
      <c r="G716" s="22" t="str">
        <f>IF(OR(E716="",E716="!!!"),"",IF(OR(J716=0,AND(J716=1,K716=1),AND(J716=1,I716="SBJ"),AND(J716=1,I716=0)),"?IN_FOCUS",IF(J716&lt;=2,"?ACTIVATED",IF(J716&lt;&gt;"","?FAMILIAR",IF(F716="NEW",IF(ISNA(VLOOKUP(E716,#REF!,1,FALSE())),"?TYPE_IDENTIFIABLE","?REFERENTIAL"),"_")))))</f>
        <v/>
      </c>
      <c r="H716" s="23" t="str">
        <f t="shared" ca="1" si="53"/>
        <v/>
      </c>
      <c r="I716" s="24" t="str">
        <f>IF(OR(E716="",E716="!!!",F716="NEW"),"",INDEX(B$2:B715,-1+SUMPRODUCT(MAX(ROW(E$2:E715)*(E716=E$2:E715)))))</f>
        <v/>
      </c>
      <c r="J716" s="24" t="str">
        <f ca="1">IF(OR(E716="",E716="!!!",F716="NEW"),"",COUNTBLANK(OFFSET(A$1,,,SUMPRODUCT(MAX(ROW(E$2:E716)*(E716=E$2:E716)))))-COUNTBLANK(OFFSET(A$1,,,SUMPRODUCT(MAX(ROW(E$1:E715)*(E2=E$1:E715))))))</f>
        <v/>
      </c>
      <c r="K716" s="24" t="str">
        <f>IF(OR(E716="",E716="!!!",F716="NEW"),"",INDEX(J$1:J715,SUMPRODUCT(MAX(ROW(E$1:E715)*(E716=E$1:E715)))))</f>
        <v/>
      </c>
      <c r="L716" s="25"/>
    </row>
    <row r="717" spans="1:12" x14ac:dyDescent="0.3">
      <c r="A717" t="s">
        <v>207</v>
      </c>
      <c r="E717" s="20" t="str">
        <f t="shared" si="52"/>
        <v/>
      </c>
      <c r="F717" s="21" t="str">
        <f>IF(OR(E717="",E717="!!!"),"",IF(NOT(ISNA(VLOOKUP(E717,E$1:E716,1,FALSE()))),"OLD",IF(AND(E717&lt;&gt;"",E717&lt;&gt;"!!!"),"NEW","")))</f>
        <v/>
      </c>
      <c r="G717" s="22" t="str">
        <f>IF(OR(E717="",E717="!!!"),"",IF(OR(J717=0,AND(J717=1,K717=1),AND(J717=1,I717="SBJ"),AND(J717=1,I717=0)),"?IN_FOCUS",IF(J717&lt;=2,"?ACTIVATED",IF(J717&lt;&gt;"","?FAMILIAR",IF(F717="NEW",IF(ISNA(VLOOKUP(E717,#REF!,1,FALSE())),"?TYPE_IDENTIFIABLE","?REFERENTIAL"),"_")))))</f>
        <v/>
      </c>
      <c r="H717" s="23" t="str">
        <f t="shared" ca="1" si="53"/>
        <v/>
      </c>
      <c r="I717" s="24" t="str">
        <f>IF(OR(E717="",E717="!!!",F717="NEW"),"",INDEX(B$2:B716,-1+SUMPRODUCT(MAX(ROW(E$2:E716)*(E717=E$2:E716)))))</f>
        <v/>
      </c>
      <c r="J717" s="24" t="str">
        <f ca="1">IF(OR(E717="",E717="!!!",F717="NEW"),"",COUNTBLANK(OFFSET(A$1,,,SUMPRODUCT(MAX(ROW(E$2:E717)*(E717=E$2:E717)))))-COUNTBLANK(OFFSET(A$1,,,SUMPRODUCT(MAX(ROW(E$1:E716)*(E2=E$1:E716))))))</f>
        <v/>
      </c>
      <c r="K717" s="24" t="str">
        <f>IF(OR(E717="",E717="!!!",F717="NEW"),"",INDEX(J$1:J716,SUMPRODUCT(MAX(ROW(E$1:E716)*(E717=E$1:E716)))))</f>
        <v/>
      </c>
      <c r="L717" s="25"/>
    </row>
    <row r="718" spans="1:12" x14ac:dyDescent="0.3">
      <c r="A718" t="s">
        <v>401</v>
      </c>
      <c r="E718" s="20" t="str">
        <f t="shared" si="52"/>
        <v/>
      </c>
      <c r="F718" s="21" t="str">
        <f>IF(OR(E718="",E718="!!!"),"",IF(NOT(ISNA(VLOOKUP(E718,E$1:E717,1,FALSE()))),"OLD",IF(AND(E718&lt;&gt;"",E718&lt;&gt;"!!!"),"NEW","")))</f>
        <v/>
      </c>
      <c r="G718" s="22" t="str">
        <f>IF(OR(E718="",E718="!!!"),"",IF(OR(J718=0,AND(J718=1,K718=1),AND(J718=1,I718="SBJ"),AND(J718=1,I718=0)),"?IN_FOCUS",IF(J718&lt;=2,"?ACTIVATED",IF(J718&lt;&gt;"","?FAMILIAR",IF(F718="NEW",IF(ISNA(VLOOKUP(E718,#REF!,1,FALSE())),"?TYPE_IDENTIFIABLE","?REFERENTIAL"),"_")))))</f>
        <v/>
      </c>
      <c r="H718" s="23" t="str">
        <f t="shared" ca="1" si="53"/>
        <v/>
      </c>
      <c r="I718" s="24" t="str">
        <f>IF(OR(E718="",E718="!!!",F718="NEW"),"",INDEX(B$2:B717,-1+SUMPRODUCT(MAX(ROW(E$2:E717)*(E718=E$2:E717)))))</f>
        <v/>
      </c>
      <c r="J718" s="24" t="str">
        <f ca="1">IF(OR(E718="",E718="!!!",F718="NEW"),"",COUNTBLANK(OFFSET(A$1,,,SUMPRODUCT(MAX(ROW(E$2:E718)*(E718=E$2:E718)))))-COUNTBLANK(OFFSET(A$1,,,SUMPRODUCT(MAX(ROW(E$1:E717)*(E2=E$1:E717))))))</f>
        <v/>
      </c>
      <c r="K718" s="24" t="str">
        <f>IF(OR(E718="",E718="!!!",F718="NEW"),"",INDEX(J$1:J717,SUMPRODUCT(MAX(ROW(E$1:E717)*(E718=E$1:E717)))))</f>
        <v/>
      </c>
      <c r="L718" s="25"/>
    </row>
    <row r="719" spans="1:12" x14ac:dyDescent="0.3">
      <c r="A719" t="s">
        <v>540</v>
      </c>
      <c r="B719" s="26" t="s">
        <v>325</v>
      </c>
      <c r="C719" s="26" t="s">
        <v>214</v>
      </c>
      <c r="D719" s="26" t="s">
        <v>215</v>
      </c>
      <c r="E719" s="20" t="s">
        <v>710</v>
      </c>
      <c r="F719" s="21" t="str">
        <f>IF(OR(E719="",E719="!!!"),"",IF(NOT(ISNA(VLOOKUP(E719,E$1:E718,1,FALSE()))),"OLD",IF(AND(E719&lt;&gt;"",E719&lt;&gt;"!!!"),"NEW","")))</f>
        <v>NEW</v>
      </c>
      <c r="G719" s="22" t="s">
        <v>657</v>
      </c>
      <c r="H719" s="23" t="str">
        <f t="shared" ca="1" si="53"/>
        <v/>
      </c>
      <c r="I719" s="24" t="str">
        <f>IF(OR(E719="",E719="!!!",F719="NEW"),"",INDEX(B$2:B718,-1+SUMPRODUCT(MAX(ROW(E$2:E718)*(E719=E$2:E718)))))</f>
        <v/>
      </c>
      <c r="J719" s="24" t="str">
        <f ca="1">IF(OR(E719="",E719="!!!",F719="NEW"),"",COUNTBLANK(OFFSET(A$1,,,SUMPRODUCT(MAX(ROW(E$2:E719)*(E719=E$2:E719)))))-COUNTBLANK(OFFSET(A$1,,,SUMPRODUCT(MAX(ROW(E$1:E718)*(E2=E$1:E718))))))</f>
        <v/>
      </c>
      <c r="K719" s="24" t="str">
        <f>IF(OR(E719="",E719="!!!",F719="NEW"),"",INDEX(J$1:J718,SUMPRODUCT(MAX(ROW(E$1:E718)*(E719=E$1:E718)))))</f>
        <v/>
      </c>
      <c r="L719" s="25"/>
    </row>
    <row r="720" spans="1:12" x14ac:dyDescent="0.3">
      <c r="A720" t="s">
        <v>207</v>
      </c>
      <c r="E720" s="20" t="str">
        <f t="shared" si="52"/>
        <v/>
      </c>
      <c r="F720" s="21" t="str">
        <f>IF(OR(E720="",E720="!!!"),"",IF(NOT(ISNA(VLOOKUP(E720,E$1:E719,1,FALSE()))),"OLD",IF(AND(E720&lt;&gt;"",E720&lt;&gt;"!!!"),"NEW","")))</f>
        <v/>
      </c>
      <c r="G720" s="22" t="str">
        <f>IF(OR(E720="",E720="!!!"),"",IF(OR(J720=0,AND(J720=1,K720=1),AND(J720=1,I720="SBJ"),AND(J720=1,I720=0)),"?IN_FOCUS",IF(J720&lt;=2,"?ACTIVATED",IF(J720&lt;&gt;"","?FAMILIAR",IF(F720="NEW",IF(ISNA(VLOOKUP(E720,#REF!,1,FALSE())),"?TYPE_IDENTIFIABLE","?REFERENTIAL"),"_")))))</f>
        <v/>
      </c>
      <c r="H720" s="23" t="str">
        <f t="shared" ca="1" si="53"/>
        <v/>
      </c>
      <c r="I720" s="24" t="str">
        <f>IF(OR(E720="",E720="!!!",F720="NEW"),"",INDEX(B$2:B719,-1+SUMPRODUCT(MAX(ROW(E$2:E719)*(E720=E$2:E719)))))</f>
        <v/>
      </c>
      <c r="J720" s="24" t="str">
        <f ca="1">IF(OR(E720="",E720="!!!",F720="NEW"),"",COUNTBLANK(OFFSET(A$1,,,SUMPRODUCT(MAX(ROW(E$2:E720)*(E720=E$2:E720)))))-COUNTBLANK(OFFSET(A$1,,,SUMPRODUCT(MAX(ROW(E$1:E719)*(E2=E$1:E719))))))</f>
        <v/>
      </c>
      <c r="K720" s="24" t="str">
        <f>IF(OR(E720="",E720="!!!",F720="NEW"),"",INDEX(J$1:J719,SUMPRODUCT(MAX(ROW(E$1:E719)*(E720=E$1:E719)))))</f>
        <v/>
      </c>
      <c r="L720" s="25"/>
    </row>
    <row r="721" spans="1:12" x14ac:dyDescent="0.3">
      <c r="A721" t="s">
        <v>322</v>
      </c>
      <c r="E721" s="20" t="str">
        <f t="shared" si="52"/>
        <v/>
      </c>
      <c r="F721" s="21" t="str">
        <f>IF(OR(E721="",E721="!!!"),"",IF(NOT(ISNA(VLOOKUP(E721,E$1:E720,1,FALSE()))),"OLD",IF(AND(E721&lt;&gt;"",E721&lt;&gt;"!!!"),"NEW","")))</f>
        <v/>
      </c>
      <c r="G721" s="22" t="str">
        <f>IF(OR(E721="",E721="!!!"),"",IF(OR(J721=0,AND(J721=1,K721=1),AND(J721=1,I721="SBJ"),AND(J721=1,I721=0)),"?IN_FOCUS",IF(J721&lt;=2,"?ACTIVATED",IF(J721&lt;&gt;"","?FAMILIAR",IF(F721="NEW",IF(ISNA(VLOOKUP(E721,#REF!,1,FALSE())),"?TYPE_IDENTIFIABLE","?REFERENTIAL"),"_")))))</f>
        <v/>
      </c>
      <c r="H721" s="23" t="str">
        <f t="shared" ca="1" si="53"/>
        <v/>
      </c>
      <c r="I721" s="24" t="str">
        <f>IF(OR(E721="",E721="!!!",F721="NEW"),"",INDEX(B$2:B720,-1+SUMPRODUCT(MAX(ROW(E$2:E720)*(E721=E$2:E720)))))</f>
        <v/>
      </c>
      <c r="J721" s="24" t="str">
        <f ca="1">IF(OR(E721="",E721="!!!",F721="NEW"),"",COUNTBLANK(OFFSET(A$1,,,SUMPRODUCT(MAX(ROW(E$2:E721)*(E721=E$2:E721)))))-COUNTBLANK(OFFSET(A$1,,,SUMPRODUCT(MAX(ROW(E$1:E720)*(E2=E$1:E720))))))</f>
        <v/>
      </c>
      <c r="K721" s="24" t="str">
        <f>IF(OR(E721="",E721="!!!",F721="NEW"),"",INDEX(J$1:J720,SUMPRODUCT(MAX(ROW(E$1:E720)*(E721=E$1:E720)))))</f>
        <v/>
      </c>
      <c r="L721" s="25"/>
    </row>
    <row r="722" spans="1:12" x14ac:dyDescent="0.3">
      <c r="A722" t="s">
        <v>220</v>
      </c>
      <c r="E722" s="20" t="str">
        <f t="shared" si="52"/>
        <v/>
      </c>
      <c r="F722" s="21" t="str">
        <f>IF(OR(E722="",E722="!!!"),"",IF(NOT(ISNA(VLOOKUP(E722,E$1:E721,1,FALSE()))),"OLD",IF(AND(E722&lt;&gt;"",E722&lt;&gt;"!!!"),"NEW","")))</f>
        <v/>
      </c>
      <c r="G722" s="22" t="str">
        <f>IF(OR(E722="",E722="!!!"),"",IF(OR(J722=0,AND(J722=1,K722=1),AND(J722=1,I722="SBJ"),AND(J722=1,I722=0)),"?IN_FOCUS",IF(J722&lt;=2,"?ACTIVATED",IF(J722&lt;&gt;"","?FAMILIAR",IF(F722="NEW",IF(ISNA(VLOOKUP(E722,#REF!,1,FALSE())),"?TYPE_IDENTIFIABLE","?REFERENTIAL"),"_")))))</f>
        <v/>
      </c>
      <c r="H722" s="23" t="str">
        <f t="shared" ca="1" si="53"/>
        <v/>
      </c>
      <c r="I722" s="24" t="str">
        <f>IF(OR(E722="",E722="!!!",F722="NEW"),"",INDEX(B$2:B721,-1+SUMPRODUCT(MAX(ROW(E$2:E721)*(E722=E$2:E721)))))</f>
        <v/>
      </c>
      <c r="J722" s="24" t="str">
        <f ca="1">IF(OR(E722="",E722="!!!",F722="NEW"),"",COUNTBLANK(OFFSET(A$1,,,SUMPRODUCT(MAX(ROW(E$2:E722)*(E722=E$2:E722)))))-COUNTBLANK(OFFSET(A$1,,,SUMPRODUCT(MAX(ROW(E$1:E721)*(E2=E$1:E721))))))</f>
        <v/>
      </c>
      <c r="K722" s="24" t="str">
        <f>IF(OR(E722="",E722="!!!",F722="NEW"),"",INDEX(J$1:J721,SUMPRODUCT(MAX(ROW(E$1:E721)*(E722=E$1:E721)))))</f>
        <v/>
      </c>
      <c r="L722" s="25"/>
    </row>
    <row r="723" spans="1:12" x14ac:dyDescent="0.3">
      <c r="A723" t="s">
        <v>377</v>
      </c>
      <c r="B723" s="26" t="s">
        <v>225</v>
      </c>
      <c r="C723" s="26" t="s">
        <v>222</v>
      </c>
      <c r="D723" s="26" t="s">
        <v>215</v>
      </c>
      <c r="E723" s="20"/>
      <c r="F723" s="21" t="s">
        <v>666</v>
      </c>
      <c r="G723" s="22" t="str">
        <f>IF(OR(E723="",E723="!!!"),"",IF(OR(J723=0,AND(J723=1,K723=1),AND(J723=1,I723="SBJ"),AND(J723=1,I723=0)),"?IN_FOCUS",IF(J723&lt;=2,"?ACTIVATED",IF(J723&lt;&gt;"","?FAMILIAR",IF(F723="NEW",IF(ISNA(VLOOKUP(E723,#REF!,1,FALSE())),"?TYPE_IDENTIFIABLE","?REFERENTIAL"),"_")))))</f>
        <v/>
      </c>
      <c r="H723" s="23" t="str">
        <f t="shared" ca="1" si="53"/>
        <v/>
      </c>
      <c r="I723" s="24" t="str">
        <f>IF(OR(E723="",E723="!!!",F723="NEW"),"",INDEX(B$2:B722,-1+SUMPRODUCT(MAX(ROW(E$2:E722)*(E723=E$2:E722)))))</f>
        <v/>
      </c>
      <c r="J723" s="24" t="str">
        <f ca="1">IF(OR(E723="",E723="!!!",F723="NEW"),"",COUNTBLANK(OFFSET(A$1,,,SUMPRODUCT(MAX(ROW(E$2:E723)*(E723=E$2:E723)))))-COUNTBLANK(OFFSET(A$1,,,SUMPRODUCT(MAX(ROW(E$1:E722)*(E2=E$1:E722))))))</f>
        <v/>
      </c>
      <c r="K723" s="24" t="str">
        <f>IF(OR(E723="",E723="!!!",F723="NEW"),"",INDEX(J$1:J722,SUMPRODUCT(MAX(ROW(E$1:E722)*(E723=E$1:E722)))))</f>
        <v/>
      </c>
      <c r="L723" s="25" t="s">
        <v>711</v>
      </c>
    </row>
    <row r="724" spans="1:12" x14ac:dyDescent="0.3">
      <c r="A724" t="s">
        <v>541</v>
      </c>
      <c r="E724" s="20" t="str">
        <f t="shared" si="52"/>
        <v/>
      </c>
      <c r="F724" s="21" t="str">
        <f>IF(OR(E724="",E724="!!!"),"",IF(NOT(ISNA(VLOOKUP(E724,E$1:E723,1,FALSE()))),"OLD",IF(AND(E724&lt;&gt;"",E724&lt;&gt;"!!!"),"NEW","")))</f>
        <v/>
      </c>
      <c r="G724" s="22" t="str">
        <f>IF(OR(E724="",E724="!!!"),"",IF(OR(J724=0,AND(J724=1,K724=1),AND(J724=1,I724="SBJ"),AND(J724=1,I724=0)),"?IN_FOCUS",IF(J724&lt;=2,"?ACTIVATED",IF(J724&lt;&gt;"","?FAMILIAR",IF(F724="NEW",IF(ISNA(VLOOKUP(E724,#REF!,1,FALSE())),"?TYPE_IDENTIFIABLE","?REFERENTIAL"),"_")))))</f>
        <v/>
      </c>
      <c r="H724" s="23" t="str">
        <f t="shared" ca="1" si="53"/>
        <v/>
      </c>
      <c r="I724" s="24" t="str">
        <f>IF(OR(E724="",E724="!!!",F724="NEW"),"",INDEX(B$2:B723,-1+SUMPRODUCT(MAX(ROW(E$2:E723)*(E724=E$2:E723)))))</f>
        <v/>
      </c>
      <c r="J724" s="24" t="str">
        <f ca="1">IF(OR(E724="",E724="!!!",F724="NEW"),"",COUNTBLANK(OFFSET(A$1,,,SUMPRODUCT(MAX(ROW(E$2:E724)*(E724=E$2:E724)))))-COUNTBLANK(OFFSET(A$1,,,SUMPRODUCT(MAX(ROW(E$1:E723)*(E2=E$1:E723))))))</f>
        <v/>
      </c>
      <c r="K724" s="24" t="str">
        <f>IF(OR(E724="",E724="!!!",F724="NEW"),"",INDEX(J$1:J723,SUMPRODUCT(MAX(ROW(E$1:E723)*(E724=E$1:E723)))))</f>
        <v/>
      </c>
      <c r="L724" s="25"/>
    </row>
    <row r="725" spans="1:12" x14ac:dyDescent="0.3">
      <c r="A725" t="s">
        <v>323</v>
      </c>
      <c r="E725" s="20" t="str">
        <f t="shared" si="52"/>
        <v/>
      </c>
      <c r="F725" s="21" t="str">
        <f>IF(OR(E725="",E725="!!!"),"",IF(NOT(ISNA(VLOOKUP(E725,E$1:E724,1,FALSE()))),"OLD",IF(AND(E725&lt;&gt;"",E725&lt;&gt;"!!!"),"NEW","")))</f>
        <v/>
      </c>
      <c r="G725" s="22" t="str">
        <f>IF(OR(E725="",E725="!!!"),"",IF(OR(J725=0,AND(J725=1,K725=1),AND(J725=1,I725="SBJ"),AND(J725=1,I725=0)),"?IN_FOCUS",IF(J725&lt;=2,"?ACTIVATED",IF(J725&lt;&gt;"","?FAMILIAR",IF(F725="NEW",IF(ISNA(VLOOKUP(E725,#REF!,1,FALSE())),"?TYPE_IDENTIFIABLE","?REFERENTIAL"),"_")))))</f>
        <v/>
      </c>
      <c r="H725" s="23" t="str">
        <f t="shared" ca="1" si="53"/>
        <v/>
      </c>
      <c r="I725" s="24" t="str">
        <f>IF(OR(E725="",E725="!!!",F725="NEW"),"",INDEX(B$2:B724,-1+SUMPRODUCT(MAX(ROW(E$2:E724)*(E725=E$2:E724)))))</f>
        <v/>
      </c>
      <c r="J725" s="24" t="str">
        <f ca="1">IF(OR(E725="",E725="!!!",F725="NEW"),"",COUNTBLANK(OFFSET(A$1,,,SUMPRODUCT(MAX(ROW(E$2:E725)*(E725=E$2:E725)))))-COUNTBLANK(OFFSET(A$1,,,SUMPRODUCT(MAX(ROW(E$1:E724)*(E2=E$1:E724))))))</f>
        <v/>
      </c>
      <c r="K725" s="24" t="str">
        <f>IF(OR(E725="",E725="!!!",F725="NEW"),"",INDEX(J$1:J724,SUMPRODUCT(MAX(ROW(E$1:E724)*(E725=E$1:E724)))))</f>
        <v/>
      </c>
      <c r="L725" s="25"/>
    </row>
    <row r="726" spans="1:12" x14ac:dyDescent="0.3">
      <c r="A726" t="s">
        <v>542</v>
      </c>
      <c r="E726" s="20" t="s">
        <v>712</v>
      </c>
      <c r="F726" s="21" t="str">
        <f>IF(OR(E726="",E726="!!!"),"",IF(NOT(ISNA(VLOOKUP(E726,E$1:E725,1,FALSE()))),"OLD",IF(AND(E726&lt;&gt;"",E726&lt;&gt;"!!!"),"NEW","")))</f>
        <v>NEW</v>
      </c>
      <c r="G726" s="22" t="s">
        <v>657</v>
      </c>
      <c r="H726" s="23" t="str">
        <f t="shared" ca="1" si="53"/>
        <v/>
      </c>
      <c r="I726" s="24" t="str">
        <f>IF(OR(E726="",E726="!!!",F726="NEW"),"",INDEX(B$2:B725,-1+SUMPRODUCT(MAX(ROW(E$2:E725)*(E726=E$2:E725)))))</f>
        <v/>
      </c>
      <c r="J726" s="24" t="str">
        <f ca="1">IF(OR(E726="",E726="!!!",F726="NEW"),"",COUNTBLANK(OFFSET(A$1,,,SUMPRODUCT(MAX(ROW(E$2:E726)*(E726=E$2:E726)))))-COUNTBLANK(OFFSET(A$1,,,SUMPRODUCT(MAX(ROW(E$1:E725)*(E2=E$1:E725))))))</f>
        <v/>
      </c>
      <c r="K726" s="24" t="str">
        <f>IF(OR(E726="",E726="!!!",F726="NEW"),"",INDEX(J$1:J725,SUMPRODUCT(MAX(ROW(E$1:E725)*(E726=E$1:E725)))))</f>
        <v/>
      </c>
      <c r="L726" s="25"/>
    </row>
    <row r="727" spans="1:12" x14ac:dyDescent="0.3">
      <c r="A727" t="s">
        <v>543</v>
      </c>
      <c r="B727" s="26" t="s">
        <v>325</v>
      </c>
      <c r="C727" s="26" t="s">
        <v>214</v>
      </c>
      <c r="D727" s="26" t="s">
        <v>215</v>
      </c>
      <c r="E727" s="20"/>
      <c r="F727" s="21" t="str">
        <f>IF(OR(E727="",E727="!!!"),"",IF(NOT(ISNA(VLOOKUP(E727,E$1:E726,1,FALSE()))),"OLD",IF(AND(E727&lt;&gt;"",E727&lt;&gt;"!!!"),"NEW","")))</f>
        <v/>
      </c>
      <c r="G727" s="22" t="str">
        <f>IF(OR(E727="",E727="!!!"),"",IF(OR(J727=0,AND(J727=1,K727=1),AND(J727=1,I727="SBJ"),AND(J727=1,I727=0)),"?IN_FOCUS",IF(J727&lt;=2,"?ACTIVATED",IF(J727&lt;&gt;"","?FAMILIAR",IF(F727="NEW",IF(ISNA(VLOOKUP(E727,#REF!,1,FALSE())),"?TYPE_IDENTIFIABLE","?REFERENTIAL"),"_")))))</f>
        <v/>
      </c>
      <c r="H727" s="23" t="str">
        <f t="shared" ca="1" si="53"/>
        <v/>
      </c>
      <c r="I727" s="24" t="str">
        <f>IF(OR(E727="",E727="!!!",F727="NEW"),"",INDEX(B$2:B726,-1+SUMPRODUCT(MAX(ROW(E$2:E726)*(E727=E$2:E726)))))</f>
        <v/>
      </c>
      <c r="J727" s="24" t="str">
        <f ca="1">IF(OR(E727="",E727="!!!",F727="NEW"),"",COUNTBLANK(OFFSET(A$1,,,SUMPRODUCT(MAX(ROW(E$2:E727)*(E727=E$2:E727)))))-COUNTBLANK(OFFSET(A$1,,,SUMPRODUCT(MAX(ROW(E$1:E726)*(E2=E$1:E726))))))</f>
        <v/>
      </c>
      <c r="K727" s="24" t="str">
        <f>IF(OR(E727="",E727="!!!",F727="NEW"),"",INDEX(J$1:J726,SUMPRODUCT(MAX(ROW(E$1:E726)*(E727=E$1:E726)))))</f>
        <v/>
      </c>
      <c r="L727" s="25" t="s">
        <v>752</v>
      </c>
    </row>
    <row r="728" spans="1:12" x14ac:dyDescent="0.3">
      <c r="A728" t="s">
        <v>234</v>
      </c>
      <c r="E728" s="20" t="str">
        <f t="shared" si="52"/>
        <v/>
      </c>
      <c r="F728" s="21" t="str">
        <f>IF(OR(E728="",E728="!!!"),"",IF(NOT(ISNA(VLOOKUP(E728,E$1:E727,1,FALSE()))),"OLD",IF(AND(E728&lt;&gt;"",E728&lt;&gt;"!!!"),"NEW","")))</f>
        <v/>
      </c>
      <c r="G728" s="22" t="str">
        <f>IF(OR(E728="",E728="!!!"),"",IF(OR(J728=0,AND(J728=1,K728=1),AND(J728=1,I728="SBJ"),AND(J728=1,I728=0)),"?IN_FOCUS",IF(J728&lt;=2,"?ACTIVATED",IF(J728&lt;&gt;"","?FAMILIAR",IF(F728="NEW",IF(ISNA(VLOOKUP(E728,#REF!,1,FALSE())),"?TYPE_IDENTIFIABLE","?REFERENTIAL"),"_")))))</f>
        <v/>
      </c>
      <c r="H728" s="23" t="str">
        <f t="shared" ca="1" si="53"/>
        <v/>
      </c>
      <c r="I728" s="24" t="str">
        <f>IF(OR(E728="",E728="!!!",F728="NEW"),"",INDEX(B$2:B727,-1+SUMPRODUCT(MAX(ROW(E$2:E727)*(E728=E$2:E727)))))</f>
        <v/>
      </c>
      <c r="J728" s="24" t="str">
        <f ca="1">IF(OR(E728="",E728="!!!",F728="NEW"),"",COUNTBLANK(OFFSET(A$1,,,SUMPRODUCT(MAX(ROW(E$2:E728)*(E728=E$2:E728)))))-COUNTBLANK(OFFSET(A$1,,,SUMPRODUCT(MAX(ROW(E$1:E727)*(E2=E$1:E727))))))</f>
        <v/>
      </c>
      <c r="K728" s="24" t="str">
        <f>IF(OR(E728="",E728="!!!",F728="NEW"),"",INDEX(J$1:J727,SUMPRODUCT(MAX(ROW(E$1:E727)*(E728=E$1:E727)))))</f>
        <v/>
      </c>
      <c r="L728" s="25"/>
    </row>
    <row r="730" spans="1:12" x14ac:dyDescent="0.3">
      <c r="A730" t="s">
        <v>544</v>
      </c>
    </row>
    <row r="731" spans="1:12" x14ac:dyDescent="0.3">
      <c r="A731" t="s">
        <v>236</v>
      </c>
      <c r="E731" s="20" t="str">
        <f t="shared" ref="E731:E755" si="54">IF(D731="?OLD","!!!","")</f>
        <v/>
      </c>
      <c r="F731" s="21" t="str">
        <f>IF(OR(E731="",E731="!!!"),"",IF(NOT(ISNA(VLOOKUP(E731,E$1:E730,1,FALSE()))),"OLD",IF(AND(E731&lt;&gt;"",E731&lt;&gt;"!!!"),"NEW","")))</f>
        <v/>
      </c>
      <c r="G731" s="22" t="str">
        <f>IF(OR(E731="",E731="!!!"),"",IF(OR(J731=0,AND(J731=1,K731=1),AND(J731=1,I731="SBJ"),AND(J731=1,I731=0)),"?IN_FOCUS",IF(J731&lt;=2,"?ACTIVATED",IF(J731&lt;&gt;"","?FAMILIAR",IF(F731="NEW",IF(ISNA(VLOOKUP(E731,#REF!,1,FALSE())),"?TYPE_IDENTIFIABLE","?REFERENTIAL"),"_")))))</f>
        <v/>
      </c>
      <c r="H731" s="23" t="str">
        <f t="shared" ref="H731:H755" ca="1" si="55">IF(J731&lt;&gt;1,"",IF(I731="SBJ","CB","?"))</f>
        <v/>
      </c>
      <c r="I731" s="24" t="str">
        <f>IF(OR(E731="",E731="!!!",F731="NEW"),"",INDEX(B$2:B730,-1+SUMPRODUCT(MAX(ROW(E$2:E730)*(E731=E$2:E730)))))</f>
        <v/>
      </c>
      <c r="J731" s="24" t="str">
        <f ca="1">IF(OR(E731="",E731="!!!",F731="NEW"),"",COUNTBLANK(OFFSET(A$1,,,SUMPRODUCT(MAX(ROW(E$2:E731)*(E731=E$2:E731)))))-COUNTBLANK(OFFSET(A$1,,,SUMPRODUCT(MAX(ROW(E$1:E730)*(E2=E$1:E730))))))</f>
        <v/>
      </c>
      <c r="K731" s="24" t="str">
        <f>IF(OR(E731="",E731="!!!",F731="NEW"),"",INDEX(J$1:J730,SUMPRODUCT(MAX(ROW(E$1:E730)*(E731=E$1:E730)))))</f>
        <v/>
      </c>
      <c r="L731" s="25"/>
    </row>
    <row r="732" spans="1:12" x14ac:dyDescent="0.3">
      <c r="A732" t="s">
        <v>257</v>
      </c>
      <c r="B732" s="26" t="s">
        <v>213</v>
      </c>
      <c r="C732" s="26" t="s">
        <v>230</v>
      </c>
      <c r="D732" s="26" t="s">
        <v>215</v>
      </c>
      <c r="E732" s="20" t="s">
        <v>739</v>
      </c>
      <c r="F732" s="21" t="str">
        <f>IF(OR(E732="",E732="!!!"),"",IF(NOT(ISNA(VLOOKUP(E732,E$1:E731,1,FALSE()))),"OLD",IF(AND(E732&lt;&gt;"",E732&lt;&gt;"!!!"),"NEW","")))</f>
        <v>OLD</v>
      </c>
      <c r="G732" s="22" t="str">
        <f ca="1">IF(OR(E732="",E732="!!!"),"",IF(OR(J732=0,AND(J732=1,K732=1),AND(J732=1,I732="SBJ"),AND(J732=1,I732=0)),"?IN_FOCUS",IF(J732&lt;=2,"?ACTIVATED",IF(J732&lt;&gt;"","?FAMILIAR",IF(F732="NEW",IF(ISNA(VLOOKUP(E732,#REF!,1,FALSE())),"?TYPE_IDENTIFIABLE","?REFERENTIAL"),"_")))))</f>
        <v>?IN_FOCUS</v>
      </c>
      <c r="H732" s="23" t="str">
        <f t="shared" ca="1" si="55"/>
        <v/>
      </c>
      <c r="I732" s="24" t="str">
        <f>IF(OR(E732="",E732="!!!",F732="NEW"),"",INDEX(B$2:B731,-1+SUMPRODUCT(MAX(ROW(E$2:E731)*(E732=E$2:E731)))))</f>
        <v>OBJ_6</v>
      </c>
      <c r="J732" s="24">
        <f ca="1">IF(OR(E732="",E732="!!!",F732="NEW"),"",COUNTBLANK(OFFSET(A$1,,,SUMPRODUCT(MAX(ROW(E$2:E732)*(E732=E$2:E732)))))-COUNTBLANK(OFFSET(A$1,,,SUMPRODUCT(MAX(ROW(E$1:E731)*(E2=E$1:E731))))))</f>
        <v>0</v>
      </c>
      <c r="K732" s="24">
        <f ca="1">IF(OR(E732="",E732="!!!",F732="NEW"),"",INDEX(J$1:J731,SUMPRODUCT(MAX(ROW(E$1:E731)*(E732=E$1:E731)))))</f>
        <v>0</v>
      </c>
      <c r="L732" s="25"/>
    </row>
    <row r="733" spans="1:12" x14ac:dyDescent="0.3">
      <c r="A733" t="s">
        <v>501</v>
      </c>
      <c r="E733" s="20" t="str">
        <f t="shared" si="54"/>
        <v/>
      </c>
      <c r="F733" s="21" t="str">
        <f>IF(OR(E733="",E733="!!!"),"",IF(NOT(ISNA(VLOOKUP(E733,E$1:E732,1,FALSE()))),"OLD",IF(AND(E733&lt;&gt;"",E733&lt;&gt;"!!!"),"NEW","")))</f>
        <v/>
      </c>
      <c r="G733" s="22" t="str">
        <f>IF(OR(E733="",E733="!!!"),"",IF(OR(J733=0,AND(J733=1,K733=1),AND(J733=1,I733="SBJ"),AND(J733=1,I733=0)),"?IN_FOCUS",IF(J733&lt;=2,"?ACTIVATED",IF(J733&lt;&gt;"","?FAMILIAR",IF(F733="NEW",IF(ISNA(VLOOKUP(E733,#REF!,1,FALSE())),"?TYPE_IDENTIFIABLE","?REFERENTIAL"),"_")))))</f>
        <v/>
      </c>
      <c r="H733" s="23" t="str">
        <f t="shared" ca="1" si="55"/>
        <v/>
      </c>
      <c r="I733" s="24" t="str">
        <f>IF(OR(E733="",E733="!!!",F733="NEW"),"",INDEX(B$2:B732,-1+SUMPRODUCT(MAX(ROW(E$2:E732)*(E733=E$2:E732)))))</f>
        <v/>
      </c>
      <c r="J733" s="24" t="str">
        <f ca="1">IF(OR(E733="",E733="!!!",F733="NEW"),"",COUNTBLANK(OFFSET(A$1,,,SUMPRODUCT(MAX(ROW(E$2:E733)*(E733=E$2:E733)))))-COUNTBLANK(OFFSET(A$1,,,SUMPRODUCT(MAX(ROW(E$1:E732)*(E2=E$1:E732))))))</f>
        <v/>
      </c>
      <c r="K733" s="24" t="str">
        <f>IF(OR(E733="",E733="!!!",F733="NEW"),"",INDEX(J$1:J732,SUMPRODUCT(MAX(ROW(E$1:E732)*(E733=E$1:E732)))))</f>
        <v/>
      </c>
      <c r="L733" s="25"/>
    </row>
    <row r="734" spans="1:12" x14ac:dyDescent="0.3">
      <c r="A734" t="s">
        <v>249</v>
      </c>
      <c r="E734" s="20" t="str">
        <f t="shared" si="54"/>
        <v/>
      </c>
      <c r="F734" s="21" t="str">
        <f>IF(OR(E734="",E734="!!!"),"",IF(NOT(ISNA(VLOOKUP(E734,E$1:E733,1,FALSE()))),"OLD",IF(AND(E734&lt;&gt;"",E734&lt;&gt;"!!!"),"NEW","")))</f>
        <v/>
      </c>
      <c r="G734" s="22" t="str">
        <f>IF(OR(E734="",E734="!!!"),"",IF(OR(J734=0,AND(J734=1,K734=1),AND(J734=1,I734="SBJ"),AND(J734=1,I734=0)),"?IN_FOCUS",IF(J734&lt;=2,"?ACTIVATED",IF(J734&lt;&gt;"","?FAMILIAR",IF(F734="NEW",IF(ISNA(VLOOKUP(E734,#REF!,1,FALSE())),"?TYPE_IDENTIFIABLE","?REFERENTIAL"),"_")))))</f>
        <v/>
      </c>
      <c r="H734" s="23" t="str">
        <f t="shared" ca="1" si="55"/>
        <v/>
      </c>
      <c r="I734" s="24" t="str">
        <f>IF(OR(E734="",E734="!!!",F734="NEW"),"",INDEX(B$2:B733,-1+SUMPRODUCT(MAX(ROW(E$2:E733)*(E734=E$2:E733)))))</f>
        <v/>
      </c>
      <c r="J734" s="24" t="str">
        <f ca="1">IF(OR(E734="",E734="!!!",F734="NEW"),"",COUNTBLANK(OFFSET(A$1,,,SUMPRODUCT(MAX(ROW(E$2:E734)*(E734=E$2:E734)))))-COUNTBLANK(OFFSET(A$1,,,SUMPRODUCT(MAX(ROW(E$1:E733)*(E2=E$1:E733))))))</f>
        <v/>
      </c>
      <c r="K734" s="24" t="str">
        <f>IF(OR(E734="",E734="!!!",F734="NEW"),"",INDEX(J$1:J733,SUMPRODUCT(MAX(ROW(E$1:E733)*(E734=E$1:E733)))))</f>
        <v/>
      </c>
      <c r="L734" s="25"/>
    </row>
    <row r="735" spans="1:12" x14ac:dyDescent="0.3">
      <c r="A735" t="s">
        <v>228</v>
      </c>
      <c r="B735" s="26" t="s">
        <v>229</v>
      </c>
      <c r="C735" s="26" t="s">
        <v>230</v>
      </c>
      <c r="D735" s="26" t="s">
        <v>215</v>
      </c>
      <c r="E735" s="20" t="s">
        <v>669</v>
      </c>
      <c r="F735" s="21" t="str">
        <f>IF(OR(E735="",E735="!!!"),"",IF(NOT(ISNA(VLOOKUP(E735,E$1:E734,1,FALSE()))),"OLD",IF(AND(E735&lt;&gt;"",E735&lt;&gt;"!!!"),"NEW","")))</f>
        <v>OLD</v>
      </c>
      <c r="G735" s="22" t="str">
        <f ca="1">IF(OR(E735="",E735="!!!"),"",IF(OR(J735=0,AND(J735=1,K735=1),AND(J735=1,I735="SBJ"),AND(J735=1,I735=0)),"?IN_FOCUS",IF(J735&lt;=2,"?ACTIVATED",IF(J735&lt;&gt;"","?FAMILIAR",IF(F735="NEW",IF(ISNA(VLOOKUP(E735,#REF!,1,FALSE())),"?TYPE_IDENTIFIABLE","?REFERENTIAL"),"_")))))</f>
        <v>?IN_FOCUS</v>
      </c>
      <c r="H735" s="23" t="s">
        <v>198</v>
      </c>
      <c r="I735" s="24" t="str">
        <f>IF(OR(E735="",E735="!!!",F735="NEW"),"",INDEX(B$2:B734,-1+SUMPRODUCT(MAX(ROW(E$2:E734)*(E735=E$2:E734)))))</f>
        <v>SBJ_6</v>
      </c>
      <c r="J735" s="24">
        <f ca="1">IF(OR(E735="",E735="!!!",F735="NEW"),"",COUNTBLANK(OFFSET(A$1,,,SUMPRODUCT(MAX(ROW(E$2:E735)*(E735=E$2:E735)))))-COUNTBLANK(OFFSET(A$1,,,SUMPRODUCT(MAX(ROW(E$1:E734)*(E2=E$1:E734))))))</f>
        <v>0</v>
      </c>
      <c r="K735" s="24">
        <f ca="1">IF(OR(E735="",E735="!!!",F735="NEW"),"",INDEX(J$1:J734,SUMPRODUCT(MAX(ROW(E$1:E734)*(E735=E$1:E734)))))</f>
        <v>0</v>
      </c>
      <c r="L735" s="25"/>
    </row>
    <row r="736" spans="1:12" x14ac:dyDescent="0.3">
      <c r="A736" t="s">
        <v>329</v>
      </c>
      <c r="E736" s="20" t="str">
        <f t="shared" si="54"/>
        <v/>
      </c>
      <c r="F736" s="21" t="str">
        <f>IF(OR(E736="",E736="!!!"),"",IF(NOT(ISNA(VLOOKUP(E736,E$1:E735,1,FALSE()))),"OLD",IF(AND(E736&lt;&gt;"",E736&lt;&gt;"!!!"),"NEW","")))</f>
        <v/>
      </c>
      <c r="G736" s="22" t="str">
        <f>IF(OR(E736="",E736="!!!"),"",IF(OR(J736=0,AND(J736=1,K736=1),AND(J736=1,I736="SBJ"),AND(J736=1,I736=0)),"?IN_FOCUS",IF(J736&lt;=2,"?ACTIVATED",IF(J736&lt;&gt;"","?FAMILIAR",IF(F736="NEW",IF(ISNA(VLOOKUP(E736,#REF!,1,FALSE())),"?TYPE_IDENTIFIABLE","?REFERENTIAL"),"_")))))</f>
        <v/>
      </c>
      <c r="H736" s="23" t="str">
        <f t="shared" ca="1" si="55"/>
        <v/>
      </c>
      <c r="I736" s="24" t="str">
        <f>IF(OR(E736="",E736="!!!",F736="NEW"),"",INDEX(B$2:B735,-1+SUMPRODUCT(MAX(ROW(E$2:E735)*(E736=E$2:E735)))))</f>
        <v/>
      </c>
      <c r="J736" s="24" t="str">
        <f ca="1">IF(OR(E736="",E736="!!!",F736="NEW"),"",COUNTBLANK(OFFSET(A$1,,,SUMPRODUCT(MAX(ROW(E$2:E736)*(E736=E$2:E736)))))-COUNTBLANK(OFFSET(A$1,,,SUMPRODUCT(MAX(ROW(E$1:E735)*(E2=E$1:E735))))))</f>
        <v/>
      </c>
      <c r="K736" s="24" t="str">
        <f>IF(OR(E736="",E736="!!!",F736="NEW"),"",INDEX(J$1:J735,SUMPRODUCT(MAX(ROW(E$1:E735)*(E736=E$1:E735)))))</f>
        <v/>
      </c>
      <c r="L736" s="25"/>
    </row>
    <row r="737" spans="1:12" x14ac:dyDescent="0.3">
      <c r="A737" t="s">
        <v>251</v>
      </c>
      <c r="E737" s="20" t="str">
        <f t="shared" si="54"/>
        <v/>
      </c>
      <c r="F737" s="21" t="str">
        <f>IF(OR(E737="",E737="!!!"),"",IF(NOT(ISNA(VLOOKUP(E737,E$1:E736,1,FALSE()))),"OLD",IF(AND(E737&lt;&gt;"",E737&lt;&gt;"!!!"),"NEW","")))</f>
        <v/>
      </c>
      <c r="G737" s="22" t="str">
        <f>IF(OR(E737="",E737="!!!"),"",IF(OR(J737=0,AND(J737=1,K737=1),AND(J737=1,I737="SBJ"),AND(J737=1,I737=0)),"?IN_FOCUS",IF(J737&lt;=2,"?ACTIVATED",IF(J737&lt;&gt;"","?FAMILIAR",IF(F737="NEW",IF(ISNA(VLOOKUP(E737,#REF!,1,FALSE())),"?TYPE_IDENTIFIABLE","?REFERENTIAL"),"_")))))</f>
        <v/>
      </c>
      <c r="H737" s="23" t="str">
        <f t="shared" ca="1" si="55"/>
        <v/>
      </c>
      <c r="I737" s="24" t="str">
        <f>IF(OR(E737="",E737="!!!",F737="NEW"),"",INDEX(B$2:B736,-1+SUMPRODUCT(MAX(ROW(E$2:E736)*(E737=E$2:E736)))))</f>
        <v/>
      </c>
      <c r="J737" s="24" t="str">
        <f ca="1">IF(OR(E737="",E737="!!!",F737="NEW"),"",COUNTBLANK(OFFSET(A$1,,,SUMPRODUCT(MAX(ROW(E$2:E737)*(E737=E$2:E737)))))-COUNTBLANK(OFFSET(A$1,,,SUMPRODUCT(MAX(ROW(E$1:E736)*(E2=E$1:E736))))))</f>
        <v/>
      </c>
      <c r="K737" s="24" t="str">
        <f>IF(OR(E737="",E737="!!!",F737="NEW"),"",INDEX(J$1:J736,SUMPRODUCT(MAX(ROW(E$1:E736)*(E737=E$1:E736)))))</f>
        <v/>
      </c>
      <c r="L737" s="25"/>
    </row>
    <row r="738" spans="1:12" x14ac:dyDescent="0.3">
      <c r="A738" t="s">
        <v>252</v>
      </c>
      <c r="E738" s="20" t="str">
        <f t="shared" si="54"/>
        <v/>
      </c>
      <c r="F738" s="21" t="str">
        <f>IF(OR(E738="",E738="!!!"),"",IF(NOT(ISNA(VLOOKUP(E738,E$1:E737,1,FALSE()))),"OLD",IF(AND(E738&lt;&gt;"",E738&lt;&gt;"!!!"),"NEW","")))</f>
        <v/>
      </c>
      <c r="G738" s="22" t="str">
        <f>IF(OR(E738="",E738="!!!"),"",IF(OR(J738=0,AND(J738=1,K738=1),AND(J738=1,I738="SBJ"),AND(J738=1,I738=0)),"?IN_FOCUS",IF(J738&lt;=2,"?ACTIVATED",IF(J738&lt;&gt;"","?FAMILIAR",IF(F738="NEW",IF(ISNA(VLOOKUP(E738,#REF!,1,FALSE())),"?TYPE_IDENTIFIABLE","?REFERENTIAL"),"_")))))</f>
        <v/>
      </c>
      <c r="H738" s="23" t="str">
        <f t="shared" ca="1" si="55"/>
        <v/>
      </c>
      <c r="I738" s="24" t="str">
        <f>IF(OR(E738="",E738="!!!",F738="NEW"),"",INDEX(B$2:B737,-1+SUMPRODUCT(MAX(ROW(E$2:E737)*(E738=E$2:E737)))))</f>
        <v/>
      </c>
      <c r="J738" s="24" t="str">
        <f ca="1">IF(OR(E738="",E738="!!!",F738="NEW"),"",COUNTBLANK(OFFSET(A$1,,,SUMPRODUCT(MAX(ROW(E$2:E738)*(E738=E$2:E738)))))-COUNTBLANK(OFFSET(A$1,,,SUMPRODUCT(MAX(ROW(E$1:E737)*(E2=E$1:E737))))))</f>
        <v/>
      </c>
      <c r="K738" s="24" t="str">
        <f>IF(OR(E738="",E738="!!!",F738="NEW"),"",INDEX(J$1:J737,SUMPRODUCT(MAX(ROW(E$1:E737)*(E738=E$1:E737)))))</f>
        <v/>
      </c>
      <c r="L738" s="25"/>
    </row>
    <row r="739" spans="1:12" x14ac:dyDescent="0.3">
      <c r="A739" t="s">
        <v>241</v>
      </c>
      <c r="E739" s="20" t="str">
        <f t="shared" si="54"/>
        <v/>
      </c>
      <c r="F739" s="21" t="str">
        <f>IF(OR(E739="",E739="!!!"),"",IF(NOT(ISNA(VLOOKUP(E739,E$1:E738,1,FALSE()))),"OLD",IF(AND(E739&lt;&gt;"",E739&lt;&gt;"!!!"),"NEW","")))</f>
        <v/>
      </c>
      <c r="G739" s="22" t="str">
        <f>IF(OR(E739="",E739="!!!"),"",IF(OR(J739=0,AND(J739=1,K739=1),AND(J739=1,I739="SBJ"),AND(J739=1,I739=0)),"?IN_FOCUS",IF(J739&lt;=2,"?ACTIVATED",IF(J739&lt;&gt;"","?FAMILIAR",IF(F739="NEW",IF(ISNA(VLOOKUP(E739,#REF!,1,FALSE())),"?TYPE_IDENTIFIABLE","?REFERENTIAL"),"_")))))</f>
        <v/>
      </c>
      <c r="H739" s="23" t="str">
        <f t="shared" ca="1" si="55"/>
        <v/>
      </c>
      <c r="I739" s="24" t="str">
        <f>IF(OR(E739="",E739="!!!",F739="NEW"),"",INDEX(B$2:B738,-1+SUMPRODUCT(MAX(ROW(E$2:E738)*(E739=E$2:E738)))))</f>
        <v/>
      </c>
      <c r="J739" s="24" t="str">
        <f ca="1">IF(OR(E739="",E739="!!!",F739="NEW"),"",COUNTBLANK(OFFSET(A$1,,,SUMPRODUCT(MAX(ROW(E$2:E739)*(E739=E$2:E739)))))-COUNTBLANK(OFFSET(A$1,,,SUMPRODUCT(MAX(ROW(E$1:E738)*(E2=E$1:E738))))))</f>
        <v/>
      </c>
      <c r="K739" s="24" t="str">
        <f>IF(OR(E739="",E739="!!!",F739="NEW"),"",INDEX(J$1:J738,SUMPRODUCT(MAX(ROW(E$1:E738)*(E739=E$1:E738)))))</f>
        <v/>
      </c>
      <c r="L739" s="25"/>
    </row>
    <row r="740" spans="1:12" x14ac:dyDescent="0.3">
      <c r="A740" t="s">
        <v>545</v>
      </c>
      <c r="E740" s="20" t="str">
        <f t="shared" si="54"/>
        <v/>
      </c>
      <c r="F740" s="21" t="str">
        <f>IF(OR(E740="",E740="!!!"),"",IF(NOT(ISNA(VLOOKUP(E740,E$1:E739,1,FALSE()))),"OLD",IF(AND(E740&lt;&gt;"",E740&lt;&gt;"!!!"),"NEW","")))</f>
        <v/>
      </c>
      <c r="G740" s="22" t="str">
        <f>IF(OR(E740="",E740="!!!"),"",IF(OR(J740=0,AND(J740=1,K740=1),AND(J740=1,I740="SBJ"),AND(J740=1,I740=0)),"?IN_FOCUS",IF(J740&lt;=2,"?ACTIVATED",IF(J740&lt;&gt;"","?FAMILIAR",IF(F740="NEW",IF(ISNA(VLOOKUP(E740,#REF!,1,FALSE())),"?TYPE_IDENTIFIABLE","?REFERENTIAL"),"_")))))</f>
        <v/>
      </c>
      <c r="H740" s="23" t="str">
        <f t="shared" ca="1" si="55"/>
        <v/>
      </c>
      <c r="I740" s="24" t="str">
        <f>IF(OR(E740="",E740="!!!",F740="NEW"),"",INDEX(B$2:B739,-1+SUMPRODUCT(MAX(ROW(E$2:E739)*(E740=E$2:E739)))))</f>
        <v/>
      </c>
      <c r="J740" s="24" t="str">
        <f ca="1">IF(OR(E740="",E740="!!!",F740="NEW"),"",COUNTBLANK(OFFSET(A$1,,,SUMPRODUCT(MAX(ROW(E$2:E740)*(E740=E$2:E740)))))-COUNTBLANK(OFFSET(A$1,,,SUMPRODUCT(MAX(ROW(E$1:E739)*(E2=E$1:E739))))))</f>
        <v/>
      </c>
      <c r="K740" s="24" t="str">
        <f>IF(OR(E740="",E740="!!!",F740="NEW"),"",INDEX(J$1:J739,SUMPRODUCT(MAX(ROW(E$1:E739)*(E740=E$1:E739)))))</f>
        <v/>
      </c>
      <c r="L740" s="25"/>
    </row>
    <row r="741" spans="1:12" x14ac:dyDescent="0.3">
      <c r="A741" t="s">
        <v>546</v>
      </c>
      <c r="B741" s="26" t="s">
        <v>233</v>
      </c>
      <c r="C741" s="26" t="s">
        <v>240</v>
      </c>
      <c r="E741" s="20" t="str">
        <f t="shared" si="54"/>
        <v/>
      </c>
      <c r="F741" s="21" t="str">
        <f>IF(OR(E741="",E741="!!!"),"",IF(NOT(ISNA(VLOOKUP(E741,E$1:E740,1,FALSE()))),"OLD",IF(AND(E741&lt;&gt;"",E741&lt;&gt;"!!!"),"NEW","")))</f>
        <v/>
      </c>
      <c r="G741" s="22" t="str">
        <f>IF(OR(E741="",E741="!!!"),"",IF(OR(J741=0,AND(J741=1,K741=1),AND(J741=1,I741="SBJ"),AND(J741=1,I741=0)),"?IN_FOCUS",IF(J741&lt;=2,"?ACTIVATED",IF(J741&lt;&gt;"","?FAMILIAR",IF(F741="NEW",IF(ISNA(VLOOKUP(E741,#REF!,1,FALSE())),"?TYPE_IDENTIFIABLE","?REFERENTIAL"),"_")))))</f>
        <v/>
      </c>
      <c r="H741" s="23" t="str">
        <f t="shared" ca="1" si="55"/>
        <v/>
      </c>
      <c r="I741" s="24" t="str">
        <f>IF(OR(E741="",E741="!!!",F741="NEW"),"",INDEX(B$2:B740,-1+SUMPRODUCT(MAX(ROW(E$2:E740)*(E741=E$2:E740)))))</f>
        <v/>
      </c>
      <c r="J741" s="24" t="str">
        <f ca="1">IF(OR(E741="",E741="!!!",F741="NEW"),"",COUNTBLANK(OFFSET(A$1,,,SUMPRODUCT(MAX(ROW(E$2:E741)*(E741=E$2:E741)))))-COUNTBLANK(OFFSET(A$1,,,SUMPRODUCT(MAX(ROW(E$1:E740)*(E2=E$1:E740))))))</f>
        <v/>
      </c>
      <c r="K741" s="24" t="str">
        <f>IF(OR(E741="",E741="!!!",F741="NEW"),"",INDEX(J$1:J740,SUMPRODUCT(MAX(ROW(E$1:E740)*(E741=E$1:E740)))))</f>
        <v/>
      </c>
      <c r="L741" s="25"/>
    </row>
    <row r="742" spans="1:12" x14ac:dyDescent="0.3">
      <c r="A742" t="s">
        <v>223</v>
      </c>
      <c r="E742" s="20" t="str">
        <f t="shared" si="54"/>
        <v/>
      </c>
      <c r="F742" s="21" t="str">
        <f>IF(OR(E742="",E742="!!!"),"",IF(NOT(ISNA(VLOOKUP(E742,E$1:E741,1,FALSE()))),"OLD",IF(AND(E742&lt;&gt;"",E742&lt;&gt;"!!!"),"NEW","")))</f>
        <v/>
      </c>
      <c r="G742" s="22" t="str">
        <f>IF(OR(E742="",E742="!!!"),"",IF(OR(J742=0,AND(J742=1,K742=1),AND(J742=1,I742="SBJ"),AND(J742=1,I742=0)),"?IN_FOCUS",IF(J742&lt;=2,"?ACTIVATED",IF(J742&lt;&gt;"","?FAMILIAR",IF(F742="NEW",IF(ISNA(VLOOKUP(E742,#REF!,1,FALSE())),"?TYPE_IDENTIFIABLE","?REFERENTIAL"),"_")))))</f>
        <v/>
      </c>
      <c r="H742" s="23" t="str">
        <f t="shared" ca="1" si="55"/>
        <v/>
      </c>
      <c r="I742" s="24" t="str">
        <f>IF(OR(E742="",E742="!!!",F742="NEW"),"",INDEX(B$2:B741,-1+SUMPRODUCT(MAX(ROW(E$2:E741)*(E742=E$2:E741)))))</f>
        <v/>
      </c>
      <c r="J742" s="24" t="str">
        <f ca="1">IF(OR(E742="",E742="!!!",F742="NEW"),"",COUNTBLANK(OFFSET(A$1,,,SUMPRODUCT(MAX(ROW(E$2:E742)*(E742=E$2:E742)))))-COUNTBLANK(OFFSET(A$1,,,SUMPRODUCT(MAX(ROW(E$1:E741)*(E2=E$1:E741))))))</f>
        <v/>
      </c>
      <c r="K742" s="24" t="str">
        <f>IF(OR(E742="",E742="!!!",F742="NEW"),"",INDEX(J$1:J741,SUMPRODUCT(MAX(ROW(E$1:E741)*(E742=E$1:E741)))))</f>
        <v/>
      </c>
      <c r="L742" s="25"/>
    </row>
    <row r="743" spans="1:12" x14ac:dyDescent="0.3">
      <c r="A743" t="s">
        <v>188</v>
      </c>
      <c r="B743" s="26" t="s">
        <v>325</v>
      </c>
      <c r="C743" s="26" t="s">
        <v>226</v>
      </c>
      <c r="E743" s="20" t="str">
        <f t="shared" si="54"/>
        <v/>
      </c>
      <c r="F743" s="21" t="str">
        <f>IF(OR(E743="",E743="!!!"),"",IF(NOT(ISNA(VLOOKUP(E743,E$1:E742,1,FALSE()))),"OLD",IF(AND(E743&lt;&gt;"",E743&lt;&gt;"!!!"),"NEW","")))</f>
        <v/>
      </c>
      <c r="G743" s="22" t="str">
        <f>IF(OR(E743="",E743="!!!"),"",IF(OR(J743=0,AND(J743=1,K743=1),AND(J743=1,I743="SBJ"),AND(J743=1,I743=0)),"?IN_FOCUS",IF(J743&lt;=2,"?ACTIVATED",IF(J743&lt;&gt;"","?FAMILIAR",IF(F743="NEW",IF(ISNA(VLOOKUP(E743,#REF!,1,FALSE())),"?TYPE_IDENTIFIABLE","?REFERENTIAL"),"_")))))</f>
        <v/>
      </c>
      <c r="H743" s="23" t="str">
        <f t="shared" ca="1" si="55"/>
        <v/>
      </c>
      <c r="I743" s="24" t="str">
        <f>IF(OR(E743="",E743="!!!",F743="NEW"),"",INDEX(B$2:B742,-1+SUMPRODUCT(MAX(ROW(E$2:E742)*(E743=E$2:E742)))))</f>
        <v/>
      </c>
      <c r="J743" s="24" t="str">
        <f ca="1">IF(OR(E743="",E743="!!!",F743="NEW"),"",COUNTBLANK(OFFSET(A$1,,,SUMPRODUCT(MAX(ROW(E$2:E743)*(E743=E$2:E743)))))-COUNTBLANK(OFFSET(A$1,,,SUMPRODUCT(MAX(ROW(E$1:E742)*(E2=E$1:E742))))))</f>
        <v/>
      </c>
      <c r="K743" s="24" t="str">
        <f>IF(OR(E743="",E743="!!!",F743="NEW"),"",INDEX(J$1:J742,SUMPRODUCT(MAX(ROW(E$1:E742)*(E743=E$1:E742)))))</f>
        <v/>
      </c>
      <c r="L743" s="25"/>
    </row>
    <row r="744" spans="1:12" x14ac:dyDescent="0.3">
      <c r="A744" t="s">
        <v>207</v>
      </c>
      <c r="E744" s="20" t="str">
        <f t="shared" si="54"/>
        <v/>
      </c>
      <c r="F744" s="21" t="str">
        <f>IF(OR(E744="",E744="!!!"),"",IF(NOT(ISNA(VLOOKUP(E744,E$1:E743,1,FALSE()))),"OLD",IF(AND(E744&lt;&gt;"",E744&lt;&gt;"!!!"),"NEW","")))</f>
        <v/>
      </c>
      <c r="G744" s="22" t="str">
        <f>IF(OR(E744="",E744="!!!"),"",IF(OR(J744=0,AND(J744=1,K744=1),AND(J744=1,I744="SBJ"),AND(J744=1,I744=0)),"?IN_FOCUS",IF(J744&lt;=2,"?ACTIVATED",IF(J744&lt;&gt;"","?FAMILIAR",IF(F744="NEW",IF(ISNA(VLOOKUP(E744,#REF!,1,FALSE())),"?TYPE_IDENTIFIABLE","?REFERENTIAL"),"_")))))</f>
        <v/>
      </c>
      <c r="H744" s="23" t="str">
        <f t="shared" ca="1" si="55"/>
        <v/>
      </c>
      <c r="I744" s="24" t="str">
        <f>IF(OR(E744="",E744="!!!",F744="NEW"),"",INDEX(B$2:B743,-1+SUMPRODUCT(MAX(ROW(E$2:E743)*(E744=E$2:E743)))))</f>
        <v/>
      </c>
      <c r="J744" s="24" t="str">
        <f ca="1">IF(OR(E744="",E744="!!!",F744="NEW"),"",COUNTBLANK(OFFSET(A$1,,,SUMPRODUCT(MAX(ROW(E$2:E744)*(E744=E$2:E744)))))-COUNTBLANK(OFFSET(A$1,,,SUMPRODUCT(MAX(ROW(E$1:E743)*(E2=E$1:E743))))))</f>
        <v/>
      </c>
      <c r="K744" s="24" t="str">
        <f>IF(OR(E744="",E744="!!!",F744="NEW"),"",INDEX(J$1:J743,SUMPRODUCT(MAX(ROW(E$1:E743)*(E744=E$1:E743)))))</f>
        <v/>
      </c>
      <c r="L744" s="25"/>
    </row>
    <row r="745" spans="1:12" x14ac:dyDescent="0.3">
      <c r="A745" t="s">
        <v>338</v>
      </c>
      <c r="E745" s="20" t="str">
        <f t="shared" si="54"/>
        <v/>
      </c>
      <c r="F745" s="21" t="str">
        <f>IF(OR(E745="",E745="!!!"),"",IF(NOT(ISNA(VLOOKUP(E745,E$1:E744,1,FALSE()))),"OLD",IF(AND(E745&lt;&gt;"",E745&lt;&gt;"!!!"),"NEW","")))</f>
        <v/>
      </c>
      <c r="G745" s="22" t="str">
        <f>IF(OR(E745="",E745="!!!"),"",IF(OR(J745=0,AND(J745=1,K745=1),AND(J745=1,I745="SBJ"),AND(J745=1,I745=0)),"?IN_FOCUS",IF(J745&lt;=2,"?ACTIVATED",IF(J745&lt;&gt;"","?FAMILIAR",IF(F745="NEW",IF(ISNA(VLOOKUP(E745,#REF!,1,FALSE())),"?TYPE_IDENTIFIABLE","?REFERENTIAL"),"_")))))</f>
        <v/>
      </c>
      <c r="H745" s="23" t="str">
        <f t="shared" ca="1" si="55"/>
        <v/>
      </c>
      <c r="I745" s="24" t="str">
        <f>IF(OR(E745="",E745="!!!",F745="NEW"),"",INDEX(B$2:B744,-1+SUMPRODUCT(MAX(ROW(E$2:E744)*(E745=E$2:E744)))))</f>
        <v/>
      </c>
      <c r="J745" s="24" t="str">
        <f ca="1">IF(OR(E745="",E745="!!!",F745="NEW"),"",COUNTBLANK(OFFSET(A$1,,,SUMPRODUCT(MAX(ROW(E$2:E745)*(E745=E$2:E745)))))-COUNTBLANK(OFFSET(A$1,,,SUMPRODUCT(MAX(ROW(E$1:E744)*(E2=E$1:E744))))))</f>
        <v/>
      </c>
      <c r="K745" s="24" t="str">
        <f>IF(OR(E745="",E745="!!!",F745="NEW"),"",INDEX(J$1:J744,SUMPRODUCT(MAX(ROW(E$1:E744)*(E745=E$1:E744)))))</f>
        <v/>
      </c>
      <c r="L745" s="25"/>
    </row>
    <row r="746" spans="1:12" x14ac:dyDescent="0.3">
      <c r="A746" t="s">
        <v>228</v>
      </c>
      <c r="B746" s="26" t="s">
        <v>229</v>
      </c>
      <c r="C746" s="26" t="s">
        <v>230</v>
      </c>
      <c r="D746" s="26" t="s">
        <v>215</v>
      </c>
      <c r="E746" s="20" t="s">
        <v>669</v>
      </c>
      <c r="F746" s="21" t="str">
        <f>IF(OR(E746="",E746="!!!"),"",IF(NOT(ISNA(VLOOKUP(E746,E$1:E745,1,FALSE()))),"OLD",IF(AND(E746&lt;&gt;"",E746&lt;&gt;"!!!"),"NEW","")))</f>
        <v>OLD</v>
      </c>
      <c r="G746" s="22" t="str">
        <f ca="1">IF(OR(E746="",E746="!!!"),"",IF(OR(J746=0,AND(J746=1,K746=1),AND(J746=1,I746="SBJ"),AND(J746=1,I746=0)),"?IN_FOCUS",IF(J746&lt;=2,"?ACTIVATED",IF(J746&lt;&gt;"","?FAMILIAR",IF(F746="NEW",IF(ISNA(VLOOKUP(E746,#REF!,1,FALSE())),"?TYPE_IDENTIFIABLE","?REFERENTIAL"),"_")))))</f>
        <v>?IN_FOCUS</v>
      </c>
      <c r="H746" s="23" t="str">
        <f t="shared" ca="1" si="55"/>
        <v/>
      </c>
      <c r="I746" s="24" t="str">
        <f>IF(OR(E746="",E746="!!!",F746="NEW"),"",INDEX(B$2:B745,-1+SUMPRODUCT(MAX(ROW(E$2:E745)*(E746=E$2:E745)))))</f>
        <v>SBJ_2</v>
      </c>
      <c r="J746" s="24">
        <f ca="1">IF(OR(E746="",E746="!!!",F746="NEW"),"",COUNTBLANK(OFFSET(A$1,,,SUMPRODUCT(MAX(ROW(E$2:E746)*(E746=E$2:E746)))))-COUNTBLANK(OFFSET(A$1,,,SUMPRODUCT(MAX(ROW(E$1:E745)*(E2=E$1:E745))))))</f>
        <v>0</v>
      </c>
      <c r="K746" s="24">
        <f ca="1">IF(OR(E746="",E746="!!!",F746="NEW"),"",INDEX(J$1:J745,SUMPRODUCT(MAX(ROW(E$1:E745)*(E746=E$1:E745)))))</f>
        <v>0</v>
      </c>
      <c r="L746" s="25"/>
    </row>
    <row r="747" spans="1:12" x14ac:dyDescent="0.3">
      <c r="A747" t="s">
        <v>547</v>
      </c>
      <c r="E747" s="20" t="str">
        <f t="shared" si="54"/>
        <v/>
      </c>
      <c r="F747" s="21" t="str">
        <f>IF(OR(E747="",E747="!!!"),"",IF(NOT(ISNA(VLOOKUP(E747,E$1:E746,1,FALSE()))),"OLD",IF(AND(E747&lt;&gt;"",E747&lt;&gt;"!!!"),"NEW","")))</f>
        <v/>
      </c>
      <c r="G747" s="22" t="str">
        <f>IF(OR(E747="",E747="!!!"),"",IF(OR(J747=0,AND(J747=1,K747=1),AND(J747=1,I747="SBJ"),AND(J747=1,I747=0)),"?IN_FOCUS",IF(J747&lt;=2,"?ACTIVATED",IF(J747&lt;&gt;"","?FAMILIAR",IF(F747="NEW",IF(ISNA(VLOOKUP(E747,#REF!,1,FALSE())),"?TYPE_IDENTIFIABLE","?REFERENTIAL"),"_")))))</f>
        <v/>
      </c>
      <c r="H747" s="23" t="str">
        <f t="shared" ca="1" si="55"/>
        <v/>
      </c>
      <c r="I747" s="24" t="str">
        <f>IF(OR(E747="",E747="!!!",F747="NEW"),"",INDEX(B$2:B746,-1+SUMPRODUCT(MAX(ROW(E$2:E746)*(E747=E$2:E746)))))</f>
        <v/>
      </c>
      <c r="J747" s="24" t="str">
        <f ca="1">IF(OR(E747="",E747="!!!",F747="NEW"),"",COUNTBLANK(OFFSET(A$1,,,SUMPRODUCT(MAX(ROW(E$2:E747)*(E747=E$2:E747)))))-COUNTBLANK(OFFSET(A$1,,,SUMPRODUCT(MAX(ROW(E$1:E746)*(E2=E$1:E746))))))</f>
        <v/>
      </c>
      <c r="K747" s="24" t="str">
        <f>IF(OR(E747="",E747="!!!",F747="NEW"),"",INDEX(J$1:J746,SUMPRODUCT(MAX(ROW(E$1:E746)*(E747=E$1:E746)))))</f>
        <v/>
      </c>
      <c r="L747" s="25"/>
    </row>
    <row r="748" spans="1:12" x14ac:dyDescent="0.3">
      <c r="A748" t="s">
        <v>323</v>
      </c>
      <c r="E748" s="20" t="str">
        <f t="shared" si="54"/>
        <v/>
      </c>
      <c r="F748" s="21" t="str">
        <f>IF(OR(E748="",E748="!!!"),"",IF(NOT(ISNA(VLOOKUP(E748,E$1:E747,1,FALSE()))),"OLD",IF(AND(E748&lt;&gt;"",E748&lt;&gt;"!!!"),"NEW","")))</f>
        <v/>
      </c>
      <c r="G748" s="22" t="str">
        <f>IF(OR(E748="",E748="!!!"),"",IF(OR(J748=0,AND(J748=1,K748=1),AND(J748=1,I748="SBJ"),AND(J748=1,I748=0)),"?IN_FOCUS",IF(J748&lt;=2,"?ACTIVATED",IF(J748&lt;&gt;"","?FAMILIAR",IF(F748="NEW",IF(ISNA(VLOOKUP(E748,#REF!,1,FALSE())),"?TYPE_IDENTIFIABLE","?REFERENTIAL"),"_")))))</f>
        <v/>
      </c>
      <c r="H748" s="23" t="str">
        <f t="shared" ca="1" si="55"/>
        <v/>
      </c>
      <c r="I748" s="24" t="str">
        <f>IF(OR(E748="",E748="!!!",F748="NEW"),"",INDEX(B$2:B747,-1+SUMPRODUCT(MAX(ROW(E$2:E747)*(E748=E$2:E747)))))</f>
        <v/>
      </c>
      <c r="J748" s="24" t="str">
        <f ca="1">IF(OR(E748="",E748="!!!",F748="NEW"),"",COUNTBLANK(OFFSET(A$1,,,SUMPRODUCT(MAX(ROW(E$2:E748)*(E748=E$2:E748)))))-COUNTBLANK(OFFSET(A$1,,,SUMPRODUCT(MAX(ROW(E$1:E747)*(E2=E$1:E747))))))</f>
        <v/>
      </c>
      <c r="K748" s="24" t="str">
        <f>IF(OR(E748="",E748="!!!",F748="NEW"),"",INDEX(J$1:J747,SUMPRODUCT(MAX(ROW(E$1:E747)*(E748=E$1:E747)))))</f>
        <v/>
      </c>
      <c r="L748" s="25"/>
    </row>
    <row r="749" spans="1:12" x14ac:dyDescent="0.3">
      <c r="A749" t="s">
        <v>548</v>
      </c>
      <c r="E749" s="20"/>
      <c r="F749" s="21" t="str">
        <f>IF(OR(E749="",E749="!!!"),"",IF(NOT(ISNA(VLOOKUP(E749,E$1:E748,1,FALSE()))),"OLD",IF(AND(E749&lt;&gt;"",E749&lt;&gt;"!!!"),"NEW","")))</f>
        <v/>
      </c>
      <c r="G749" s="22" t="str">
        <f>IF(OR(E749="",E749="!!!"),"",IF(OR(J749=0,AND(J749=1,K749=1),AND(J749=1,I749="SBJ"),AND(J749=1,I749=0)),"?IN_FOCUS",IF(J749&lt;=2,"?ACTIVATED",IF(J749&lt;&gt;"","?FAMILIAR",IF(F749="NEW",IF(ISNA(VLOOKUP(E749,#REF!,1,FALSE())),"?TYPE_IDENTIFIABLE","?REFERENTIAL"),"_")))))</f>
        <v/>
      </c>
      <c r="H749" s="23" t="str">
        <f t="shared" ca="1" si="55"/>
        <v/>
      </c>
      <c r="I749" s="24" t="str">
        <f>IF(OR(E749="",E749="!!!",F749="NEW"),"",INDEX(B$2:B748,-1+SUMPRODUCT(MAX(ROW(E$2:E748)*(E749=E$2:E748)))))</f>
        <v/>
      </c>
      <c r="J749" s="24" t="str">
        <f ca="1">IF(OR(E749="",E749="!!!",F749="NEW"),"",COUNTBLANK(OFFSET(A$1,,,SUMPRODUCT(MAX(ROW(E$2:E749)*(E749=E$2:E749)))))-COUNTBLANK(OFFSET(A$1,,,SUMPRODUCT(MAX(ROW(E$1:E748)*(E2=E$1:E748))))))</f>
        <v/>
      </c>
      <c r="K749" s="24" t="str">
        <f>IF(OR(E749="",E749="!!!",F749="NEW"),"",INDEX(J$1:J748,SUMPRODUCT(MAX(ROW(E$1:E748)*(E749=E$1:E748)))))</f>
        <v/>
      </c>
      <c r="L749" s="25"/>
    </row>
    <row r="750" spans="1:12" x14ac:dyDescent="0.3">
      <c r="A750" t="s">
        <v>188</v>
      </c>
      <c r="B750" s="26" t="s">
        <v>225</v>
      </c>
      <c r="C750" s="26" t="s">
        <v>337</v>
      </c>
      <c r="D750" s="26" t="s">
        <v>215</v>
      </c>
      <c r="E750" s="20" t="s">
        <v>188</v>
      </c>
      <c r="F750" s="21" t="str">
        <f>IF(OR(E750="",E750="!!!"),"",IF(NOT(ISNA(VLOOKUP(E750,E$1:E749,1,FALSE()))),"OLD",IF(AND(E750&lt;&gt;"",E750&lt;&gt;"!!!"),"NEW","")))</f>
        <v>OLD</v>
      </c>
      <c r="G750" s="22" t="str">
        <f ca="1">IF(OR(E750="",E750="!!!"),"",IF(OR(J750=0,AND(J750=1,K750=1),AND(J750=1,I750="SBJ"),AND(J750=1,I750=0)),"?IN_FOCUS",IF(J750&lt;=2,"?ACTIVATED",IF(J750&lt;&gt;"","?FAMILIAR",IF(F750="NEW",IF(ISNA(VLOOKUP(E750,#REF!,1,FALSE())),"?TYPE_IDENTIFIABLE","?REFERENTIAL"),"_")))))</f>
        <v>?IN_FOCUS</v>
      </c>
      <c r="H750" s="23" t="str">
        <f t="shared" ca="1" si="55"/>
        <v/>
      </c>
      <c r="I750" s="24" t="str">
        <f>IF(OR(E750="",E750="!!!",F750="NEW"),"",INDEX(B$2:B749,-1+SUMPRODUCT(MAX(ROW(E$2:E749)*(E750=E$2:E749)))))</f>
        <v>OBJ_4</v>
      </c>
      <c r="J750" s="24">
        <f ca="1">IF(OR(E750="",E750="!!!",F750="NEW"),"",COUNTBLANK(OFFSET(A$1,,,SUMPRODUCT(MAX(ROW(E$2:E750)*(E750=E$2:E750)))))-COUNTBLANK(OFFSET(A$1,,,SUMPRODUCT(MAX(ROW(E$1:E749)*(E2=E$1:E749))))))</f>
        <v>0</v>
      </c>
      <c r="K750" s="24">
        <f ca="1">IF(OR(E750="",E750="!!!",F750="NEW"),"",INDEX(J$1:J749,SUMPRODUCT(MAX(ROW(E$1:E749)*(E750=E$1:E749)))))</f>
        <v>0</v>
      </c>
      <c r="L750" s="25"/>
    </row>
    <row r="751" spans="1:12" x14ac:dyDescent="0.3">
      <c r="A751" t="s">
        <v>355</v>
      </c>
      <c r="E751" s="20" t="str">
        <f t="shared" si="54"/>
        <v/>
      </c>
      <c r="F751" s="21" t="str">
        <f>IF(OR(E751="",E751="!!!"),"",IF(NOT(ISNA(VLOOKUP(E751,E$1:E750,1,FALSE()))),"OLD",IF(AND(E751&lt;&gt;"",E751&lt;&gt;"!!!"),"NEW","")))</f>
        <v/>
      </c>
      <c r="G751" s="22" t="str">
        <f>IF(OR(E751="",E751="!!!"),"",IF(OR(J751=0,AND(J751=1,K751=1),AND(J751=1,I751="SBJ"),AND(J751=1,I751=0)),"?IN_FOCUS",IF(J751&lt;=2,"?ACTIVATED",IF(J751&lt;&gt;"","?FAMILIAR",IF(F751="NEW",IF(ISNA(VLOOKUP(E751,#REF!,1,FALSE())),"?TYPE_IDENTIFIABLE","?REFERENTIAL"),"_")))))</f>
        <v/>
      </c>
      <c r="H751" s="23" t="str">
        <f t="shared" ca="1" si="55"/>
        <v/>
      </c>
      <c r="I751" s="24" t="str">
        <f>IF(OR(E751="",E751="!!!",F751="NEW"),"",INDEX(B$2:B750,-1+SUMPRODUCT(MAX(ROW(E$2:E750)*(E751=E$2:E750)))))</f>
        <v/>
      </c>
      <c r="J751" s="24" t="str">
        <f ca="1">IF(OR(E751="",E751="!!!",F751="NEW"),"",COUNTBLANK(OFFSET(A$1,,,SUMPRODUCT(MAX(ROW(E$2:E751)*(E751=E$2:E751)))))-COUNTBLANK(OFFSET(A$1,,,SUMPRODUCT(MAX(ROW(E$1:E750)*(E2=E$1:E750))))))</f>
        <v/>
      </c>
      <c r="K751" s="24" t="str">
        <f>IF(OR(E751="",E751="!!!",F751="NEW"),"",INDEX(J$1:J750,SUMPRODUCT(MAX(ROW(E$1:E750)*(E751=E$1:E750)))))</f>
        <v/>
      </c>
      <c r="L751" s="25"/>
    </row>
    <row r="752" spans="1:12" x14ac:dyDescent="0.3">
      <c r="A752" t="s">
        <v>238</v>
      </c>
      <c r="E752" s="20" t="str">
        <f t="shared" si="54"/>
        <v/>
      </c>
      <c r="F752" s="21" t="str">
        <f>IF(OR(E752="",E752="!!!"),"",IF(NOT(ISNA(VLOOKUP(E752,E$1:E751,1,FALSE()))),"OLD",IF(AND(E752&lt;&gt;"",E752&lt;&gt;"!!!"),"NEW","")))</f>
        <v/>
      </c>
      <c r="G752" s="22" t="str">
        <f>IF(OR(E752="",E752="!!!"),"",IF(OR(J752=0,AND(J752=1,K752=1),AND(J752=1,I752="SBJ"),AND(J752=1,I752=0)),"?IN_FOCUS",IF(J752&lt;=2,"?ACTIVATED",IF(J752&lt;&gt;"","?FAMILIAR",IF(F752="NEW",IF(ISNA(VLOOKUP(E752,#REF!,1,FALSE())),"?TYPE_IDENTIFIABLE","?REFERENTIAL"),"_")))))</f>
        <v/>
      </c>
      <c r="H752" s="23" t="str">
        <f t="shared" ca="1" si="55"/>
        <v/>
      </c>
      <c r="I752" s="24" t="str">
        <f>IF(OR(E752="",E752="!!!",F752="NEW"),"",INDEX(B$2:B751,-1+SUMPRODUCT(MAX(ROW(E$2:E751)*(E752=E$2:E751)))))</f>
        <v/>
      </c>
      <c r="J752" s="24" t="str">
        <f ca="1">IF(OR(E752="",E752="!!!",F752="NEW"),"",COUNTBLANK(OFFSET(A$1,,,SUMPRODUCT(MAX(ROW(E$2:E752)*(E752=E$2:E752)))))-COUNTBLANK(OFFSET(A$1,,,SUMPRODUCT(MAX(ROW(E$1:E751)*(E2=E$1:E751))))))</f>
        <v/>
      </c>
      <c r="K752" s="24" t="str">
        <f>IF(OR(E752="",E752="!!!",F752="NEW"),"",INDEX(J$1:J751,SUMPRODUCT(MAX(ROW(E$1:E751)*(E752=E$1:E751)))))</f>
        <v/>
      </c>
      <c r="L752" s="25"/>
    </row>
    <row r="753" spans="1:12" x14ac:dyDescent="0.3">
      <c r="A753" t="s">
        <v>549</v>
      </c>
      <c r="E753" s="20" t="str">
        <f t="shared" si="54"/>
        <v/>
      </c>
      <c r="F753" s="21" t="str">
        <f>IF(OR(E753="",E753="!!!"),"",IF(NOT(ISNA(VLOOKUP(E753,E$1:E752,1,FALSE()))),"OLD",IF(AND(E753&lt;&gt;"",E753&lt;&gt;"!!!"),"NEW","")))</f>
        <v/>
      </c>
      <c r="G753" s="22" t="str">
        <f>IF(OR(E753="",E753="!!!"),"",IF(OR(J753=0,AND(J753=1,K753=1),AND(J753=1,I753="SBJ"),AND(J753=1,I753=0)),"?IN_FOCUS",IF(J753&lt;=2,"?ACTIVATED",IF(J753&lt;&gt;"","?FAMILIAR",IF(F753="NEW",IF(ISNA(VLOOKUP(E753,#REF!,1,FALSE())),"?TYPE_IDENTIFIABLE","?REFERENTIAL"),"_")))))</f>
        <v/>
      </c>
      <c r="H753" s="23" t="str">
        <f t="shared" ca="1" si="55"/>
        <v/>
      </c>
      <c r="I753" s="24" t="str">
        <f>IF(OR(E753="",E753="!!!",F753="NEW"),"",INDEX(B$2:B752,-1+SUMPRODUCT(MAX(ROW(E$2:E752)*(E753=E$2:E752)))))</f>
        <v/>
      </c>
      <c r="J753" s="24" t="str">
        <f ca="1">IF(OR(E753="",E753="!!!",F753="NEW"),"",COUNTBLANK(OFFSET(A$1,,,SUMPRODUCT(MAX(ROW(E$2:E753)*(E753=E$2:E753)))))-COUNTBLANK(OFFSET(A$1,,,SUMPRODUCT(MAX(ROW(E$1:E752)*(E2=E$1:E752))))))</f>
        <v/>
      </c>
      <c r="K753" s="24" t="str">
        <f>IF(OR(E753="",E753="!!!",F753="NEW"),"",INDEX(J$1:J752,SUMPRODUCT(MAX(ROW(E$1:E752)*(E753=E$1:E752)))))</f>
        <v/>
      </c>
      <c r="L753" s="25"/>
    </row>
    <row r="754" spans="1:12" x14ac:dyDescent="0.3">
      <c r="A754" t="s">
        <v>550</v>
      </c>
      <c r="B754" s="26" t="s">
        <v>225</v>
      </c>
      <c r="C754" s="26" t="s">
        <v>240</v>
      </c>
      <c r="E754" s="20" t="str">
        <f t="shared" si="54"/>
        <v/>
      </c>
      <c r="F754" s="21" t="str">
        <f>IF(OR(E754="",E754="!!!"),"",IF(NOT(ISNA(VLOOKUP(E754,E$1:E753,1,FALSE()))),"OLD",IF(AND(E754&lt;&gt;"",E754&lt;&gt;"!!!"),"NEW","")))</f>
        <v/>
      </c>
      <c r="G754" s="22" t="str">
        <f>IF(OR(E754="",E754="!!!"),"",IF(OR(J754=0,AND(J754=1,K754=1),AND(J754=1,I754="SBJ"),AND(J754=1,I754=0)),"?IN_FOCUS",IF(J754&lt;=2,"?ACTIVATED",IF(J754&lt;&gt;"","?FAMILIAR",IF(F754="NEW",IF(ISNA(VLOOKUP(E754,#REF!,1,FALSE())),"?TYPE_IDENTIFIABLE","?REFERENTIAL"),"_")))))</f>
        <v/>
      </c>
      <c r="H754" s="23" t="str">
        <f t="shared" ca="1" si="55"/>
        <v/>
      </c>
      <c r="I754" s="24" t="str">
        <f>IF(OR(E754="",E754="!!!",F754="NEW"),"",INDEX(B$2:B753,-1+SUMPRODUCT(MAX(ROW(E$2:E753)*(E754=E$2:E753)))))</f>
        <v/>
      </c>
      <c r="J754" s="24" t="str">
        <f ca="1">IF(OR(E754="",E754="!!!",F754="NEW"),"",COUNTBLANK(OFFSET(A$1,,,SUMPRODUCT(MAX(ROW(E$2:E754)*(E754=E$2:E754)))))-COUNTBLANK(OFFSET(A$1,,,SUMPRODUCT(MAX(ROW(E$1:E753)*(E2=E$1:E753))))))</f>
        <v/>
      </c>
      <c r="K754" s="24" t="str">
        <f>IF(OR(E754="",E754="!!!",F754="NEW"),"",INDEX(J$1:J753,SUMPRODUCT(MAX(ROW(E$1:E753)*(E754=E$1:E753)))))</f>
        <v/>
      </c>
      <c r="L754" s="25"/>
    </row>
    <row r="755" spans="1:12" x14ac:dyDescent="0.3">
      <c r="A755" t="s">
        <v>234</v>
      </c>
      <c r="E755" s="20" t="str">
        <f t="shared" si="54"/>
        <v/>
      </c>
      <c r="F755" s="21" t="str">
        <f>IF(OR(E755="",E755="!!!"),"",IF(NOT(ISNA(VLOOKUP(E755,E$1:E754,1,FALSE()))),"OLD",IF(AND(E755&lt;&gt;"",E755&lt;&gt;"!!!"),"NEW","")))</f>
        <v/>
      </c>
      <c r="G755" s="22" t="str">
        <f>IF(OR(E755="",E755="!!!"),"",IF(OR(J755=0,AND(J755=1,K755=1),AND(J755=1,I755="SBJ"),AND(J755=1,I755=0)),"?IN_FOCUS",IF(J755&lt;=2,"?ACTIVATED",IF(J755&lt;&gt;"","?FAMILIAR",IF(F755="NEW",IF(ISNA(VLOOKUP(E755,#REF!,1,FALSE())),"?TYPE_IDENTIFIABLE","?REFERENTIAL"),"_")))))</f>
        <v/>
      </c>
      <c r="H755" s="23" t="str">
        <f t="shared" ca="1" si="55"/>
        <v/>
      </c>
      <c r="I755" s="24" t="str">
        <f>IF(OR(E755="",E755="!!!",F755="NEW"),"",INDEX(B$2:B754,-1+SUMPRODUCT(MAX(ROW(E$2:E754)*(E755=E$2:E754)))))</f>
        <v/>
      </c>
      <c r="J755" s="24" t="str">
        <f ca="1">IF(OR(E755="",E755="!!!",F755="NEW"),"",COUNTBLANK(OFFSET(A$1,,,SUMPRODUCT(MAX(ROW(E$2:E755)*(E755=E$2:E755)))))-COUNTBLANK(OFFSET(A$1,,,SUMPRODUCT(MAX(ROW(E$1:E754)*(E2=E$1:E754))))))</f>
        <v/>
      </c>
      <c r="K755" s="24" t="str">
        <f>IF(OR(E755="",E755="!!!",F755="NEW"),"",INDEX(J$1:J754,SUMPRODUCT(MAX(ROW(E$1:E754)*(E755=E$1:E754)))))</f>
        <v/>
      </c>
      <c r="L755" s="25"/>
    </row>
    <row r="757" spans="1:12" x14ac:dyDescent="0.3">
      <c r="A757" t="s">
        <v>551</v>
      </c>
    </row>
    <row r="758" spans="1:12" x14ac:dyDescent="0.3">
      <c r="A758" t="s">
        <v>361</v>
      </c>
      <c r="B758" s="26" t="s">
        <v>213</v>
      </c>
      <c r="C758" s="26" t="s">
        <v>230</v>
      </c>
      <c r="D758" s="26" t="s">
        <v>215</v>
      </c>
      <c r="E758" s="20" t="s">
        <v>669</v>
      </c>
      <c r="F758" s="21" t="str">
        <f>IF(OR(E758="",E758="!!!"),"",IF(NOT(ISNA(VLOOKUP(E758,E$1:E757,1,FALSE()))),"OLD",IF(AND(E758&lt;&gt;"",E758&lt;&gt;"!!!"),"NEW","")))</f>
        <v>OLD</v>
      </c>
      <c r="G758" s="22" t="str">
        <f ca="1">IF(OR(E758="",E758="!!!"),"",IF(OR(J758=0,AND(J758=1,K758=1),AND(J758=1,I758="SBJ"),AND(J758=1,I758=0)),"?IN_FOCUS",IF(J758&lt;=2,"?ACTIVATED",IF(J758&lt;&gt;"","?FAMILIAR",IF(F758="NEW",IF(ISNA(VLOOKUP(E758,#REF!,1,FALSE())),"?TYPE_IDENTIFIABLE","?REFERENTIAL"),"_")))))</f>
        <v>?IN_FOCUS</v>
      </c>
      <c r="H758" s="23" t="s">
        <v>198</v>
      </c>
      <c r="I758" s="24" t="str">
        <f>IF(OR(E758="",E758="!!!",F758="NEW"),"",INDEX(B$2:B757,-1+SUMPRODUCT(MAX(ROW(E$2:E757)*(E758=E$2:E757)))))</f>
        <v>SBJ_2</v>
      </c>
      <c r="J758" s="24">
        <f ca="1">IF(OR(E758="",E758="!!!",F758="NEW"),"",COUNTBLANK(OFFSET(A$1,,,SUMPRODUCT(MAX(ROW(E$2:E758)*(E758=E$2:E758)))))-COUNTBLANK(OFFSET(A$1,,,SUMPRODUCT(MAX(ROW(E$1:E757)*(E2=E$1:E757))))))</f>
        <v>0</v>
      </c>
      <c r="K758" s="24">
        <f ca="1">IF(OR(E758="",E758="!!!",F758="NEW"),"",INDEX(J$1:J757,SUMPRODUCT(MAX(ROW(E$1:E757)*(E758=E$1:E757)))))</f>
        <v>0</v>
      </c>
      <c r="L758" s="25"/>
    </row>
    <row r="759" spans="1:12" x14ac:dyDescent="0.3">
      <c r="A759" t="s">
        <v>552</v>
      </c>
      <c r="E759" s="20" t="str">
        <f t="shared" ref="E759:E780" si="56">IF(D759="?OLD","!!!","")</f>
        <v/>
      </c>
      <c r="F759" s="21" t="str">
        <f>IF(OR(E759="",E759="!!!"),"",IF(NOT(ISNA(VLOOKUP(E759,E$1:E758,1,FALSE()))),"OLD",IF(AND(E759&lt;&gt;"",E759&lt;&gt;"!!!"),"NEW","")))</f>
        <v/>
      </c>
      <c r="G759" s="22" t="str">
        <f>IF(OR(E759="",E759="!!!"),"",IF(OR(J759=0,AND(J759=1,K759=1),AND(J759=1,I759="SBJ"),AND(J759=1,I759=0)),"?IN_FOCUS",IF(J759&lt;=2,"?ACTIVATED",IF(J759&lt;&gt;"","?FAMILIAR",IF(F759="NEW",IF(ISNA(VLOOKUP(E759,#REF!,1,FALSE())),"?TYPE_IDENTIFIABLE","?REFERENTIAL"),"_")))))</f>
        <v/>
      </c>
      <c r="H759" s="23" t="str">
        <f t="shared" ref="H759:H780" ca="1" si="57">IF(J759&lt;&gt;1,"",IF(I759="SBJ","CB","?"))</f>
        <v/>
      </c>
      <c r="I759" s="24" t="str">
        <f>IF(OR(E759="",E759="!!!",F759="NEW"),"",INDEX(B$2:B758,-1+SUMPRODUCT(MAX(ROW(E$2:E758)*(E759=E$2:E758)))))</f>
        <v/>
      </c>
      <c r="J759" s="24" t="str">
        <f ca="1">IF(OR(E759="",E759="!!!",F759="NEW"),"",COUNTBLANK(OFFSET(A$1,,,SUMPRODUCT(MAX(ROW(E$2:E759)*(E759=E$2:E759)))))-COUNTBLANK(OFFSET(A$1,,,SUMPRODUCT(MAX(ROW(E$1:E758)*(E2=E$1:E758))))))</f>
        <v/>
      </c>
      <c r="K759" s="24" t="str">
        <f>IF(OR(E759="",E759="!!!",F759="NEW"),"",INDEX(J$1:J758,SUMPRODUCT(MAX(ROW(E$1:E758)*(E759=E$1:E758)))))</f>
        <v/>
      </c>
      <c r="L759" s="25"/>
    </row>
    <row r="760" spans="1:12" x14ac:dyDescent="0.3">
      <c r="A760" t="s">
        <v>378</v>
      </c>
      <c r="E760" s="20" t="str">
        <f t="shared" si="56"/>
        <v/>
      </c>
      <c r="F760" s="21" t="str">
        <f>IF(OR(E760="",E760="!!!"),"",IF(NOT(ISNA(VLOOKUP(E760,E$1:E759,1,FALSE()))),"OLD",IF(AND(E760&lt;&gt;"",E760&lt;&gt;"!!!"),"NEW","")))</f>
        <v/>
      </c>
      <c r="G760" s="22" t="str">
        <f>IF(OR(E760="",E760="!!!"),"",IF(OR(J760=0,AND(J760=1,K760=1),AND(J760=1,I760="SBJ"),AND(J760=1,I760=0)),"?IN_FOCUS",IF(J760&lt;=2,"?ACTIVATED",IF(J760&lt;&gt;"","?FAMILIAR",IF(F760="NEW",IF(ISNA(VLOOKUP(E760,#REF!,1,FALSE())),"?TYPE_IDENTIFIABLE","?REFERENTIAL"),"_")))))</f>
        <v/>
      </c>
      <c r="H760" s="23" t="str">
        <f t="shared" ca="1" si="57"/>
        <v/>
      </c>
      <c r="I760" s="24" t="str">
        <f>IF(OR(E760="",E760="!!!",F760="NEW"),"",INDEX(B$2:B759,-1+SUMPRODUCT(MAX(ROW(E$2:E759)*(E760=E$2:E759)))))</f>
        <v/>
      </c>
      <c r="J760" s="24" t="str">
        <f ca="1">IF(OR(E760="",E760="!!!",F760="NEW"),"",COUNTBLANK(OFFSET(A$1,,,SUMPRODUCT(MAX(ROW(E$2:E760)*(E760=E$2:E760)))))-COUNTBLANK(OFFSET(A$1,,,SUMPRODUCT(MAX(ROW(E$1:E759)*(E2=E$1:E759))))))</f>
        <v/>
      </c>
      <c r="K760" s="24" t="str">
        <f>IF(OR(E760="",E760="!!!",F760="NEW"),"",INDEX(J$1:J759,SUMPRODUCT(MAX(ROW(E$1:E759)*(E760=E$1:E759)))))</f>
        <v/>
      </c>
      <c r="L760" s="25"/>
    </row>
    <row r="761" spans="1:12" x14ac:dyDescent="0.3">
      <c r="A761" t="s">
        <v>414</v>
      </c>
      <c r="B761" s="26" t="s">
        <v>205</v>
      </c>
      <c r="C761" s="26" t="s">
        <v>230</v>
      </c>
      <c r="D761" s="26" t="s">
        <v>215</v>
      </c>
      <c r="E761" s="20" t="s">
        <v>188</v>
      </c>
      <c r="F761" s="21" t="str">
        <f>IF(OR(E761="",E761="!!!"),"",IF(NOT(ISNA(VLOOKUP(E761,E$1:E760,1,FALSE()))),"OLD",IF(AND(E761&lt;&gt;"",E761&lt;&gt;"!!!"),"NEW","")))</f>
        <v>OLD</v>
      </c>
      <c r="G761" s="22" t="str">
        <f ca="1">IF(OR(E761="",E761="!!!"),"",IF(OR(J761=0,AND(J761=1,K761=1),AND(J761=1,I761="SBJ"),AND(J761=1,I761=0)),"?IN_FOCUS",IF(J761&lt;=2,"?ACTIVATED",IF(J761&lt;&gt;"","?FAMILIAR",IF(F761="NEW",IF(ISNA(VLOOKUP(E761,#REF!,1,FALSE())),"?TYPE_IDENTIFIABLE","?REFERENTIAL"),"_")))))</f>
        <v>?IN_FOCUS</v>
      </c>
      <c r="H761" s="23" t="str">
        <f t="shared" ca="1" si="57"/>
        <v/>
      </c>
      <c r="I761" s="24" t="str">
        <f>IF(OR(E761="",E761="!!!",F761="NEW"),"",INDEX(B$2:B760,-1+SUMPRODUCT(MAX(ROW(E$2:E760)*(E761=E$2:E760)))))</f>
        <v>other_2</v>
      </c>
      <c r="J761" s="24">
        <f ca="1">IF(OR(E761="",E761="!!!",F761="NEW"),"",COUNTBLANK(OFFSET(A$1,,,SUMPRODUCT(MAX(ROW(E$2:E761)*(E761=E$2:E761)))))-COUNTBLANK(OFFSET(A$1,,,SUMPRODUCT(MAX(ROW(E$1:E760)*(E2=E$1:E760))))))</f>
        <v>0</v>
      </c>
      <c r="K761" s="24">
        <f ca="1">IF(OR(E761="",E761="!!!",F761="NEW"),"",INDEX(J$1:J760,SUMPRODUCT(MAX(ROW(E$1:E760)*(E761=E$1:E760)))))</f>
        <v>0</v>
      </c>
      <c r="L761" s="25"/>
    </row>
    <row r="762" spans="1:12" x14ac:dyDescent="0.3">
      <c r="A762" t="s">
        <v>282</v>
      </c>
      <c r="E762" s="20" t="str">
        <f t="shared" si="56"/>
        <v/>
      </c>
      <c r="F762" s="21" t="str">
        <f>IF(OR(E762="",E762="!!!"),"",IF(NOT(ISNA(VLOOKUP(E762,E$1:E761,1,FALSE()))),"OLD",IF(AND(E762&lt;&gt;"",E762&lt;&gt;"!!!"),"NEW","")))</f>
        <v/>
      </c>
      <c r="G762" s="22" t="str">
        <f>IF(OR(E762="",E762="!!!"),"",IF(OR(J762=0,AND(J762=1,K762=1),AND(J762=1,I762="SBJ"),AND(J762=1,I762=0)),"?IN_FOCUS",IF(J762&lt;=2,"?ACTIVATED",IF(J762&lt;&gt;"","?FAMILIAR",IF(F762="NEW",IF(ISNA(VLOOKUP(E762,#REF!,1,FALSE())),"?TYPE_IDENTIFIABLE","?REFERENTIAL"),"_")))))</f>
        <v/>
      </c>
      <c r="H762" s="23" t="str">
        <f t="shared" ca="1" si="57"/>
        <v/>
      </c>
      <c r="I762" s="24" t="str">
        <f>IF(OR(E762="",E762="!!!",F762="NEW"),"",INDEX(B$2:B761,-1+SUMPRODUCT(MAX(ROW(E$2:E761)*(E762=E$2:E761)))))</f>
        <v/>
      </c>
      <c r="J762" s="24" t="str">
        <f ca="1">IF(OR(E762="",E762="!!!",F762="NEW"),"",COUNTBLANK(OFFSET(A$1,,,SUMPRODUCT(MAX(ROW(E$2:E762)*(E762=E$2:E762)))))-COUNTBLANK(OFFSET(A$1,,,SUMPRODUCT(MAX(ROW(E$1:E761)*(E2=E$1:E761))))))</f>
        <v/>
      </c>
      <c r="K762" s="24" t="str">
        <f>IF(OR(E762="",E762="!!!",F762="NEW"),"",INDEX(J$1:J761,SUMPRODUCT(MAX(ROW(E$1:E761)*(E762=E$1:E761)))))</f>
        <v/>
      </c>
      <c r="L762" s="25"/>
    </row>
    <row r="763" spans="1:12" x14ac:dyDescent="0.3">
      <c r="A763" t="s">
        <v>220</v>
      </c>
      <c r="E763" s="20" t="str">
        <f t="shared" si="56"/>
        <v/>
      </c>
      <c r="F763" s="21" t="str">
        <f>IF(OR(E763="",E763="!!!"),"",IF(NOT(ISNA(VLOOKUP(E763,E$1:E762,1,FALSE()))),"OLD",IF(AND(E763&lt;&gt;"",E763&lt;&gt;"!!!"),"NEW","")))</f>
        <v/>
      </c>
      <c r="G763" s="22" t="str">
        <f>IF(OR(E763="",E763="!!!"),"",IF(OR(J763=0,AND(J763=1,K763=1),AND(J763=1,I763="SBJ"),AND(J763=1,I763=0)),"?IN_FOCUS",IF(J763&lt;=2,"?ACTIVATED",IF(J763&lt;&gt;"","?FAMILIAR",IF(F763="NEW",IF(ISNA(VLOOKUP(E763,#REF!,1,FALSE())),"?TYPE_IDENTIFIABLE","?REFERENTIAL"),"_")))))</f>
        <v/>
      </c>
      <c r="H763" s="23" t="str">
        <f t="shared" ca="1" si="57"/>
        <v/>
      </c>
      <c r="I763" s="24" t="str">
        <f>IF(OR(E763="",E763="!!!",F763="NEW"),"",INDEX(B$2:B762,-1+SUMPRODUCT(MAX(ROW(E$2:E762)*(E763=E$2:E762)))))</f>
        <v/>
      </c>
      <c r="J763" s="24" t="str">
        <f ca="1">IF(OR(E763="",E763="!!!",F763="NEW"),"",COUNTBLANK(OFFSET(A$1,,,SUMPRODUCT(MAX(ROW(E$2:E763)*(E763=E$2:E763)))))-COUNTBLANK(OFFSET(A$1,,,SUMPRODUCT(MAX(ROW(E$1:E762)*(E2=E$1:E762))))))</f>
        <v/>
      </c>
      <c r="K763" s="24" t="str">
        <f>IF(OR(E763="",E763="!!!",F763="NEW"),"",INDEX(J$1:J762,SUMPRODUCT(MAX(ROW(E$1:E762)*(E763=E$1:E762)))))</f>
        <v/>
      </c>
      <c r="L763" s="25"/>
    </row>
    <row r="764" spans="1:12" x14ac:dyDescent="0.3">
      <c r="A764" t="s">
        <v>459</v>
      </c>
      <c r="B764" s="26" t="s">
        <v>205</v>
      </c>
      <c r="C764" s="26" t="s">
        <v>222</v>
      </c>
      <c r="D764" s="26" t="s">
        <v>215</v>
      </c>
      <c r="E764" s="20"/>
      <c r="F764" s="21" t="s">
        <v>666</v>
      </c>
      <c r="G764" s="22" t="str">
        <f>IF(OR(E764="",E764="!!!"),"",IF(OR(J764=0,AND(J764=1,K764=1),AND(J764=1,I764="SBJ"),AND(J764=1,I764=0)),"?IN_FOCUS",IF(J764&lt;=2,"?ACTIVATED",IF(J764&lt;&gt;"","?FAMILIAR",IF(F764="NEW",IF(ISNA(VLOOKUP(E764,#REF!,1,FALSE())),"?TYPE_IDENTIFIABLE","?REFERENTIAL"),"_")))))</f>
        <v/>
      </c>
      <c r="H764" s="23" t="str">
        <f t="shared" ca="1" si="57"/>
        <v/>
      </c>
      <c r="I764" s="24" t="str">
        <f>IF(OR(E764="",E764="!!!",F764="NEW"),"",INDEX(B$2:B763,-1+SUMPRODUCT(MAX(ROW(E$2:E763)*(E764=E$2:E763)))))</f>
        <v/>
      </c>
      <c r="J764" s="24" t="str">
        <f ca="1">IF(OR(E764="",E764="!!!",F764="NEW"),"",COUNTBLANK(OFFSET(A$1,,,SUMPRODUCT(MAX(ROW(E$2:E764)*(E764=E$2:E764)))))-COUNTBLANK(OFFSET(A$1,,,SUMPRODUCT(MAX(ROW(E$1:E763)*(E2=E$1:E763))))))</f>
        <v/>
      </c>
      <c r="K764" s="24" t="str">
        <f>IF(OR(E764="",E764="!!!",F764="NEW"),"",INDEX(J$1:J763,SUMPRODUCT(MAX(ROW(E$1:E763)*(E764=E$1:E763)))))</f>
        <v/>
      </c>
      <c r="L764" s="25"/>
    </row>
    <row r="765" spans="1:12" x14ac:dyDescent="0.3">
      <c r="A765" t="s">
        <v>223</v>
      </c>
      <c r="E765" s="20" t="str">
        <f t="shared" si="56"/>
        <v/>
      </c>
      <c r="F765" s="21" t="str">
        <f>IF(OR(E765="",E765="!!!"),"",IF(NOT(ISNA(VLOOKUP(E765,E$1:E764,1,FALSE()))),"OLD",IF(AND(E765&lt;&gt;"",E765&lt;&gt;"!!!"),"NEW","")))</f>
        <v/>
      </c>
      <c r="G765" s="22" t="str">
        <f>IF(OR(E765="",E765="!!!"),"",IF(OR(J765=0,AND(J765=1,K765=1),AND(J765=1,I765="SBJ"),AND(J765=1,I765=0)),"?IN_FOCUS",IF(J765&lt;=2,"?ACTIVATED",IF(J765&lt;&gt;"","?FAMILIAR",IF(F765="NEW",IF(ISNA(VLOOKUP(E765,#REF!,1,FALSE())),"?TYPE_IDENTIFIABLE","?REFERENTIAL"),"_")))))</f>
        <v/>
      </c>
      <c r="H765" s="23" t="str">
        <f t="shared" ca="1" si="57"/>
        <v/>
      </c>
      <c r="I765" s="24" t="str">
        <f>IF(OR(E765="",E765="!!!",F765="NEW"),"",INDEX(B$2:B764,-1+SUMPRODUCT(MAX(ROW(E$2:E764)*(E765=E$2:E764)))))</f>
        <v/>
      </c>
      <c r="J765" s="24" t="str">
        <f ca="1">IF(OR(E765="",E765="!!!",F765="NEW"),"",COUNTBLANK(OFFSET(A$1,,,SUMPRODUCT(MAX(ROW(E$2:E765)*(E765=E$2:E765)))))-COUNTBLANK(OFFSET(A$1,,,SUMPRODUCT(MAX(ROW(E$1:E764)*(E2=E$1:E764))))))</f>
        <v/>
      </c>
      <c r="K765" s="24" t="str">
        <f>IF(OR(E765="",E765="!!!",F765="NEW"),"",INDEX(J$1:J764,SUMPRODUCT(MAX(ROW(E$1:E764)*(E765=E$1:E764)))))</f>
        <v/>
      </c>
      <c r="L765" s="25"/>
    </row>
    <row r="766" spans="1:12" x14ac:dyDescent="0.3">
      <c r="A766" t="s">
        <v>553</v>
      </c>
      <c r="B766" s="26" t="s">
        <v>225</v>
      </c>
      <c r="C766" s="26" t="s">
        <v>226</v>
      </c>
      <c r="E766" s="20" t="str">
        <f t="shared" si="56"/>
        <v/>
      </c>
      <c r="F766" s="21" t="str">
        <f>IF(OR(E766="",E766="!!!"),"",IF(NOT(ISNA(VLOOKUP(E766,E$1:E765,1,FALSE()))),"OLD",IF(AND(E766&lt;&gt;"",E766&lt;&gt;"!!!"),"NEW","")))</f>
        <v/>
      </c>
      <c r="G766" s="22" t="str">
        <f>IF(OR(E766="",E766="!!!"),"",IF(OR(J766=0,AND(J766=1,K766=1),AND(J766=1,I766="SBJ"),AND(J766=1,I766=0)),"?IN_FOCUS",IF(J766&lt;=2,"?ACTIVATED",IF(J766&lt;&gt;"","?FAMILIAR",IF(F766="NEW",IF(ISNA(VLOOKUP(E766,#REF!,1,FALSE())),"?TYPE_IDENTIFIABLE","?REFERENTIAL"),"_")))))</f>
        <v/>
      </c>
      <c r="H766" s="23" t="str">
        <f t="shared" ca="1" si="57"/>
        <v/>
      </c>
      <c r="I766" s="24" t="str">
        <f>IF(OR(E766="",E766="!!!",F766="NEW"),"",INDEX(B$2:B765,-1+SUMPRODUCT(MAX(ROW(E$2:E765)*(E766=E$2:E765)))))</f>
        <v/>
      </c>
      <c r="J766" s="24" t="str">
        <f ca="1">IF(OR(E766="",E766="!!!",F766="NEW"),"",COUNTBLANK(OFFSET(A$1,,,SUMPRODUCT(MAX(ROW(E$2:E766)*(E766=E$2:E766)))))-COUNTBLANK(OFFSET(A$1,,,SUMPRODUCT(MAX(ROW(E$1:E765)*(E2=E$1:E765))))))</f>
        <v/>
      </c>
      <c r="K766" s="24" t="str">
        <f>IF(OR(E766="",E766="!!!",F766="NEW"),"",INDEX(J$1:J765,SUMPRODUCT(MAX(ROW(E$1:E765)*(E766=E$1:E765)))))</f>
        <v/>
      </c>
      <c r="L766" s="25"/>
    </row>
    <row r="767" spans="1:12" x14ac:dyDescent="0.3">
      <c r="A767" t="s">
        <v>287</v>
      </c>
      <c r="E767" s="20" t="str">
        <f t="shared" si="56"/>
        <v/>
      </c>
      <c r="F767" s="21" t="str">
        <f>IF(OR(E767="",E767="!!!"),"",IF(NOT(ISNA(VLOOKUP(E767,E$1:E766,1,FALSE()))),"OLD",IF(AND(E767&lt;&gt;"",E767&lt;&gt;"!!!"),"NEW","")))</f>
        <v/>
      </c>
      <c r="G767" s="22" t="str">
        <f>IF(OR(E767="",E767="!!!"),"",IF(OR(J767=0,AND(J767=1,K767=1),AND(J767=1,I767="SBJ"),AND(J767=1,I767=0)),"?IN_FOCUS",IF(J767&lt;=2,"?ACTIVATED",IF(J767&lt;&gt;"","?FAMILIAR",IF(F767="NEW",IF(ISNA(VLOOKUP(E767,#REF!,1,FALSE())),"?TYPE_IDENTIFIABLE","?REFERENTIAL"),"_")))))</f>
        <v/>
      </c>
      <c r="H767" s="23" t="str">
        <f t="shared" ca="1" si="57"/>
        <v/>
      </c>
      <c r="I767" s="24" t="str">
        <f>IF(OR(E767="",E767="!!!",F767="NEW"),"",INDEX(B$2:B766,-1+SUMPRODUCT(MAX(ROW(E$2:E766)*(E767=E$2:E766)))))</f>
        <v/>
      </c>
      <c r="J767" s="24" t="str">
        <f ca="1">IF(OR(E767="",E767="!!!",F767="NEW"),"",COUNTBLANK(OFFSET(A$1,,,SUMPRODUCT(MAX(ROW(E$2:E767)*(E767=E$2:E767)))))-COUNTBLANK(OFFSET(A$1,,,SUMPRODUCT(MAX(ROW(E$1:E766)*(E2=E$1:E766))))))</f>
        <v/>
      </c>
      <c r="K767" s="24" t="str">
        <f>IF(OR(E767="",E767="!!!",F767="NEW"),"",INDEX(J$1:J766,SUMPRODUCT(MAX(ROW(E$1:E766)*(E767=E$1:E766)))))</f>
        <v/>
      </c>
      <c r="L767" s="25"/>
    </row>
    <row r="768" spans="1:12" x14ac:dyDescent="0.3">
      <c r="A768" t="s">
        <v>518</v>
      </c>
      <c r="B768" s="26" t="s">
        <v>325</v>
      </c>
      <c r="C768" s="26" t="s">
        <v>226</v>
      </c>
      <c r="E768" s="20" t="str">
        <f t="shared" si="56"/>
        <v/>
      </c>
      <c r="F768" s="21" t="str">
        <f>IF(OR(E768="",E768="!!!"),"",IF(NOT(ISNA(VLOOKUP(E768,E$1:E767,1,FALSE()))),"OLD",IF(AND(E768&lt;&gt;"",E768&lt;&gt;"!!!"),"NEW","")))</f>
        <v/>
      </c>
      <c r="G768" s="22" t="str">
        <f>IF(OR(E768="",E768="!!!"),"",IF(OR(J768=0,AND(J768=1,K768=1),AND(J768=1,I768="SBJ"),AND(J768=1,I768=0)),"?IN_FOCUS",IF(J768&lt;=2,"?ACTIVATED",IF(J768&lt;&gt;"","?FAMILIAR",IF(F768="NEW",IF(ISNA(VLOOKUP(E768,#REF!,1,FALSE())),"?TYPE_IDENTIFIABLE","?REFERENTIAL"),"_")))))</f>
        <v/>
      </c>
      <c r="H768" s="23" t="str">
        <f t="shared" ca="1" si="57"/>
        <v/>
      </c>
      <c r="I768" s="24" t="str">
        <f>IF(OR(E768="",E768="!!!",F768="NEW"),"",INDEX(B$2:B767,-1+SUMPRODUCT(MAX(ROW(E$2:E767)*(E768=E$2:E767)))))</f>
        <v/>
      </c>
      <c r="J768" s="24" t="str">
        <f ca="1">IF(OR(E768="",E768="!!!",F768="NEW"),"",COUNTBLANK(OFFSET(A$1,,,SUMPRODUCT(MAX(ROW(E$2:E768)*(E768=E$2:E768)))))-COUNTBLANK(OFFSET(A$1,,,SUMPRODUCT(MAX(ROW(E$1:E767)*(E2=E$1:E767))))))</f>
        <v/>
      </c>
      <c r="K768" s="24" t="str">
        <f>IF(OR(E768="",E768="!!!",F768="NEW"),"",INDEX(J$1:J767,SUMPRODUCT(MAX(ROW(E$1:E767)*(E768=E$1:E767)))))</f>
        <v/>
      </c>
      <c r="L768" s="25"/>
    </row>
    <row r="769" spans="1:12" x14ac:dyDescent="0.3">
      <c r="A769" t="s">
        <v>249</v>
      </c>
      <c r="B769" s="26" t="s">
        <v>328</v>
      </c>
      <c r="E769" s="20" t="str">
        <f t="shared" si="56"/>
        <v/>
      </c>
      <c r="F769" s="21" t="str">
        <f>IF(OR(E769="",E769="!!!"),"",IF(NOT(ISNA(VLOOKUP(E769,E$1:E768,1,FALSE()))),"OLD",IF(AND(E769&lt;&gt;"",E769&lt;&gt;"!!!"),"NEW","")))</f>
        <v/>
      </c>
      <c r="G769" s="22" t="str">
        <f>IF(OR(E769="",E769="!!!"),"",IF(OR(J769=0,AND(J769=1,K769=1),AND(J769=1,I769="SBJ"),AND(J769=1,I769=0)),"?IN_FOCUS",IF(J769&lt;=2,"?ACTIVATED",IF(J769&lt;&gt;"","?FAMILIAR",IF(F769="NEW",IF(ISNA(VLOOKUP(E769,#REF!,1,FALSE())),"?TYPE_IDENTIFIABLE","?REFERENTIAL"),"_")))))</f>
        <v/>
      </c>
      <c r="H769" s="23" t="str">
        <f t="shared" ca="1" si="57"/>
        <v/>
      </c>
      <c r="I769" s="24" t="str">
        <f>IF(OR(E769="",E769="!!!",F769="NEW"),"",INDEX(B$2:B768,-1+SUMPRODUCT(MAX(ROW(E$2:E768)*(E769=E$2:E768)))))</f>
        <v/>
      </c>
      <c r="J769" s="24" t="str">
        <f ca="1">IF(OR(E769="",E769="!!!",F769="NEW"),"",COUNTBLANK(OFFSET(A$1,,,SUMPRODUCT(MAX(ROW(E$2:E769)*(E769=E$2:E769)))))-COUNTBLANK(OFFSET(A$1,,,SUMPRODUCT(MAX(ROW(E$1:E768)*(E2=E$1:E768))))))</f>
        <v/>
      </c>
      <c r="K769" s="24" t="str">
        <f>IF(OR(E769="",E769="!!!",F769="NEW"),"",INDEX(J$1:J768,SUMPRODUCT(MAX(ROW(E$1:E768)*(E769=E$1:E768)))))</f>
        <v/>
      </c>
      <c r="L769" s="25"/>
    </row>
    <row r="770" spans="1:12" x14ac:dyDescent="0.3">
      <c r="A770" t="s">
        <v>257</v>
      </c>
      <c r="B770" s="26" t="s">
        <v>263</v>
      </c>
      <c r="C770" s="26" t="s">
        <v>230</v>
      </c>
      <c r="D770" s="26" t="s">
        <v>215</v>
      </c>
      <c r="E770" s="20" t="s">
        <v>739</v>
      </c>
      <c r="F770" s="21" t="str">
        <f>IF(OR(E770="",E770="!!!"),"",IF(NOT(ISNA(VLOOKUP(E770,E$1:E769,1,FALSE()))),"OLD",IF(AND(E770&lt;&gt;"",E770&lt;&gt;"!!!"),"NEW","")))</f>
        <v>OLD</v>
      </c>
      <c r="G770" s="22" t="str">
        <f ca="1">IF(OR(E770="",E770="!!!"),"",IF(OR(J770=0,AND(J770=1,K770=1),AND(J770=1,I770="SBJ"),AND(J770=1,I770=0)),"?IN_FOCUS",IF(J770&lt;=2,"?ACTIVATED",IF(J770&lt;&gt;"","?FAMILIAR",IF(F770="NEW",IF(ISNA(VLOOKUP(E770,#REF!,1,FALSE())),"?TYPE_IDENTIFIABLE","?REFERENTIAL"),"_")))))</f>
        <v>?IN_FOCUS</v>
      </c>
      <c r="H770" s="23" t="str">
        <f t="shared" ca="1" si="57"/>
        <v/>
      </c>
      <c r="I770" s="24" t="str">
        <f>IF(OR(E770="",E770="!!!",F770="NEW"),"",INDEX(B$2:B769,-1+SUMPRODUCT(MAX(ROW(E$2:E769)*(E770=E$2:E769)))))</f>
        <v>SBJ</v>
      </c>
      <c r="J770" s="24">
        <f ca="1">IF(OR(E770="",E770="!!!",F770="NEW"),"",COUNTBLANK(OFFSET(A$1,,,SUMPRODUCT(MAX(ROW(E$2:E770)*(E770=E$2:E770)))))-COUNTBLANK(OFFSET(A$1,,,SUMPRODUCT(MAX(ROW(E$1:E769)*(E2=E$1:E769))))))</f>
        <v>0</v>
      </c>
      <c r="K770" s="24">
        <f ca="1">IF(OR(E770="",E770="!!!",F770="NEW"),"",INDEX(J$1:J769,SUMPRODUCT(MAX(ROW(E$1:E769)*(E770=E$1:E769)))))</f>
        <v>0</v>
      </c>
      <c r="L770" s="25"/>
    </row>
    <row r="771" spans="1:12" x14ac:dyDescent="0.3">
      <c r="A771" t="s">
        <v>554</v>
      </c>
      <c r="E771" s="20" t="str">
        <f t="shared" si="56"/>
        <v/>
      </c>
      <c r="F771" s="21" t="str">
        <f>IF(OR(E771="",E771="!!!"),"",IF(NOT(ISNA(VLOOKUP(E771,E$1:E770,1,FALSE()))),"OLD",IF(AND(E771&lt;&gt;"",E771&lt;&gt;"!!!"),"NEW","")))</f>
        <v/>
      </c>
      <c r="G771" s="22" t="str">
        <f>IF(OR(E771="",E771="!!!"),"",IF(OR(J771=0,AND(J771=1,K771=1),AND(J771=1,I771="SBJ"),AND(J771=1,I771=0)),"?IN_FOCUS",IF(J771&lt;=2,"?ACTIVATED",IF(J771&lt;&gt;"","?FAMILIAR",IF(F771="NEW",IF(ISNA(VLOOKUP(E771,#REF!,1,FALSE())),"?TYPE_IDENTIFIABLE","?REFERENTIAL"),"_")))))</f>
        <v/>
      </c>
      <c r="H771" s="23" t="str">
        <f t="shared" ca="1" si="57"/>
        <v/>
      </c>
      <c r="I771" s="24" t="str">
        <f>IF(OR(E771="",E771="!!!",F771="NEW"),"",INDEX(B$2:B770,-1+SUMPRODUCT(MAX(ROW(E$2:E770)*(E771=E$2:E770)))))</f>
        <v/>
      </c>
      <c r="J771" s="24" t="str">
        <f ca="1">IF(OR(E771="",E771="!!!",F771="NEW"),"",COUNTBLANK(OFFSET(A$1,,,SUMPRODUCT(MAX(ROW(E$2:E771)*(E771=E$2:E771)))))-COUNTBLANK(OFFSET(A$1,,,SUMPRODUCT(MAX(ROW(E$1:E770)*(E2=E$1:E770))))))</f>
        <v/>
      </c>
      <c r="K771" s="24" t="str">
        <f>IF(OR(E771="",E771="!!!",F771="NEW"),"",INDEX(J$1:J770,SUMPRODUCT(MAX(ROW(E$1:E770)*(E771=E$1:E770)))))</f>
        <v/>
      </c>
      <c r="L771" s="25"/>
    </row>
    <row r="772" spans="1:12" x14ac:dyDescent="0.3">
      <c r="A772" t="s">
        <v>282</v>
      </c>
      <c r="E772" s="20" t="str">
        <f t="shared" si="56"/>
        <v/>
      </c>
      <c r="F772" s="21" t="str">
        <f>IF(OR(E772="",E772="!!!"),"",IF(NOT(ISNA(VLOOKUP(E772,E$1:E771,1,FALSE()))),"OLD",IF(AND(E772&lt;&gt;"",E772&lt;&gt;"!!!"),"NEW","")))</f>
        <v/>
      </c>
      <c r="G772" s="22" t="str">
        <f>IF(OR(E772="",E772="!!!"),"",IF(OR(J772=0,AND(J772=1,K772=1),AND(J772=1,I772="SBJ"),AND(J772=1,I772=0)),"?IN_FOCUS",IF(J772&lt;=2,"?ACTIVATED",IF(J772&lt;&gt;"","?FAMILIAR",IF(F772="NEW",IF(ISNA(VLOOKUP(E772,#REF!,1,FALSE())),"?TYPE_IDENTIFIABLE","?REFERENTIAL"),"_")))))</f>
        <v/>
      </c>
      <c r="H772" s="23" t="str">
        <f t="shared" ca="1" si="57"/>
        <v/>
      </c>
      <c r="I772" s="24" t="str">
        <f>IF(OR(E772="",E772="!!!",F772="NEW"),"",INDEX(B$2:B771,-1+SUMPRODUCT(MAX(ROW(E$2:E771)*(E772=E$2:E771)))))</f>
        <v/>
      </c>
      <c r="J772" s="24" t="str">
        <f ca="1">IF(OR(E772="",E772="!!!",F772="NEW"),"",COUNTBLANK(OFFSET(A$1,,,SUMPRODUCT(MAX(ROW(E$2:E772)*(E772=E$2:E772)))))-COUNTBLANK(OFFSET(A$1,,,SUMPRODUCT(MAX(ROW(E$1:E771)*(E2=E$1:E771))))))</f>
        <v/>
      </c>
      <c r="K772" s="24" t="str">
        <f>IF(OR(E772="",E772="!!!",F772="NEW"),"",INDEX(J$1:J771,SUMPRODUCT(MAX(ROW(E$1:E771)*(E772=E$1:E771)))))</f>
        <v/>
      </c>
      <c r="L772" s="25"/>
    </row>
    <row r="773" spans="1:12" x14ac:dyDescent="0.3">
      <c r="A773" t="s">
        <v>513</v>
      </c>
      <c r="B773" s="26" t="s">
        <v>266</v>
      </c>
      <c r="C773" s="26" t="s">
        <v>380</v>
      </c>
      <c r="D773" s="26" t="s">
        <v>215</v>
      </c>
      <c r="E773" s="20" t="s">
        <v>739</v>
      </c>
      <c r="F773" s="21" t="str">
        <f>IF(OR(E773="",E773="!!!"),"",IF(NOT(ISNA(VLOOKUP(E773,E$1:E772,1,FALSE()))),"OLD",IF(AND(E773&lt;&gt;"",E773&lt;&gt;"!!!"),"NEW","")))</f>
        <v>OLD</v>
      </c>
      <c r="G773" s="22" t="str">
        <f ca="1">IF(OR(E773="",E773="!!!"),"",IF(OR(J773=0,AND(J773=1,K773=1),AND(J773=1,I773="SBJ"),AND(J773=1,I773=0)),"?IN_FOCUS",IF(J773&lt;=2,"?ACTIVATED",IF(J773&lt;&gt;"","?FAMILIAR",IF(F773="NEW",IF(ISNA(VLOOKUP(E773,#REF!,1,FALSE())),"?TYPE_IDENTIFIABLE","?REFERENTIAL"),"_")))))</f>
        <v>?IN_FOCUS</v>
      </c>
      <c r="H773" s="23" t="str">
        <f t="shared" ca="1" si="57"/>
        <v/>
      </c>
      <c r="I773" s="24" t="str">
        <f>IF(OR(E773="",E773="!!!",F773="NEW"),"",INDEX(B$2:B772,-1+SUMPRODUCT(MAX(ROW(E$2:E772)*(E773=E$2:E772)))))</f>
        <v>SBJ_3</v>
      </c>
      <c r="J773" s="24">
        <f ca="1">IF(OR(E773="",E773="!!!",F773="NEW"),"",COUNTBLANK(OFFSET(A$1,,,SUMPRODUCT(MAX(ROW(E$2:E773)*(E773=E$2:E773)))))-COUNTBLANK(OFFSET(A$1,,,SUMPRODUCT(MAX(ROW(E$1:E772)*(E2=E$1:E772))))))</f>
        <v>0</v>
      </c>
      <c r="K773" s="24">
        <f ca="1">IF(OR(E773="",E773="!!!",F773="NEW"),"",INDEX(J$1:J772,SUMPRODUCT(MAX(ROW(E$1:E772)*(E773=E$1:E772)))))</f>
        <v>0</v>
      </c>
      <c r="L773" s="25"/>
    </row>
    <row r="774" spans="1:12" x14ac:dyDescent="0.3">
      <c r="A774" t="s">
        <v>555</v>
      </c>
      <c r="B774" s="26" t="s">
        <v>325</v>
      </c>
      <c r="C774" s="26" t="s">
        <v>264</v>
      </c>
      <c r="D774" s="26" t="s">
        <v>215</v>
      </c>
      <c r="E774" s="20" t="s">
        <v>555</v>
      </c>
      <c r="F774" s="21" t="str">
        <f>IF(OR(E774="",E774="!!!"),"",IF(NOT(ISNA(VLOOKUP(E774,E$1:E773,1,FALSE()))),"OLD",IF(AND(E774&lt;&gt;"",E774&lt;&gt;"!!!"),"NEW","")))</f>
        <v>NEW</v>
      </c>
      <c r="G774" s="22" t="str">
        <f ca="1">IF(OR(E774="",E774="!!!"),"",IF(OR(J774=0,AND(J774=1,K774=1),AND(J774=1,I774="SBJ"),AND(J774=1,I774=0)),"?IN_FOCUS",IF(J774&lt;=2,"?ACTIVATED",IF(J774&lt;&gt;"","?FAMILIAR",IF(F774="NEW",IF(ISNA(VLOOKUP(E774,#REF!,1,FALSE())),"?TYPE_IDENTIFIABLE","?REFERENTIAL"),"_")))))</f>
        <v>?REFERENTIAL</v>
      </c>
      <c r="H774" s="23" t="str">
        <f t="shared" ca="1" si="57"/>
        <v/>
      </c>
      <c r="I774" s="24" t="str">
        <f>IF(OR(E774="",E774="!!!",F774="NEW"),"",INDEX(B$2:B773,-1+SUMPRODUCT(MAX(ROW(E$2:E773)*(E774=E$2:E773)))))</f>
        <v/>
      </c>
      <c r="J774" s="24" t="str">
        <f ca="1">IF(OR(E774="",E774="!!!",F774="NEW"),"",COUNTBLANK(OFFSET(A$1,,,SUMPRODUCT(MAX(ROW(E$2:E774)*(E774=E$2:E774)))))-COUNTBLANK(OFFSET(A$1,,,SUMPRODUCT(MAX(ROW(E$1:E773)*(E2=E$1:E773))))))</f>
        <v/>
      </c>
      <c r="K774" s="24" t="str">
        <f>IF(OR(E774="",E774="!!!",F774="NEW"),"",INDEX(J$1:J773,SUMPRODUCT(MAX(ROW(E$1:E773)*(E774=E$1:E773)))))</f>
        <v/>
      </c>
      <c r="L774" s="25"/>
    </row>
    <row r="775" spans="1:12" x14ac:dyDescent="0.3">
      <c r="A775" t="s">
        <v>320</v>
      </c>
      <c r="E775" s="20" t="str">
        <f t="shared" si="56"/>
        <v/>
      </c>
      <c r="F775" s="21" t="str">
        <f>IF(OR(E775="",E775="!!!"),"",IF(NOT(ISNA(VLOOKUP(E775,E$1:E774,1,FALSE()))),"OLD",IF(AND(E775&lt;&gt;"",E775&lt;&gt;"!!!"),"NEW","")))</f>
        <v/>
      </c>
      <c r="G775" s="22" t="str">
        <f>IF(OR(E775="",E775="!!!"),"",IF(OR(J775=0,AND(J775=1,K775=1),AND(J775=1,I775="SBJ"),AND(J775=1,I775=0)),"?IN_FOCUS",IF(J775&lt;=2,"?ACTIVATED",IF(J775&lt;&gt;"","?FAMILIAR",IF(F775="NEW",IF(ISNA(VLOOKUP(E775,#REF!,1,FALSE())),"?TYPE_IDENTIFIABLE","?REFERENTIAL"),"_")))))</f>
        <v/>
      </c>
      <c r="H775" s="23" t="str">
        <f t="shared" ca="1" si="57"/>
        <v/>
      </c>
      <c r="I775" s="24" t="str">
        <f>IF(OR(E775="",E775="!!!",F775="NEW"),"",INDEX(B$2:B774,-1+SUMPRODUCT(MAX(ROW(E$2:E774)*(E775=E$2:E774)))))</f>
        <v/>
      </c>
      <c r="J775" s="24" t="str">
        <f ca="1">IF(OR(E775="",E775="!!!",F775="NEW"),"",COUNTBLANK(OFFSET(A$1,,,SUMPRODUCT(MAX(ROW(E$2:E775)*(E775=E$2:E775)))))-COUNTBLANK(OFFSET(A$1,,,SUMPRODUCT(MAX(ROW(E$1:E774)*(E2=E$1:E774))))))</f>
        <v/>
      </c>
      <c r="K775" s="24" t="str">
        <f>IF(OR(E775="",E775="!!!",F775="NEW"),"",INDEX(J$1:J774,SUMPRODUCT(MAX(ROW(E$1:E774)*(E775=E$1:E774)))))</f>
        <v/>
      </c>
      <c r="L775" s="25"/>
    </row>
    <row r="776" spans="1:12" x14ac:dyDescent="0.3">
      <c r="A776" t="s">
        <v>220</v>
      </c>
      <c r="E776" s="20" t="str">
        <f t="shared" si="56"/>
        <v/>
      </c>
      <c r="F776" s="21" t="str">
        <f>IF(OR(E776="",E776="!!!"),"",IF(NOT(ISNA(VLOOKUP(E776,E$1:E775,1,FALSE()))),"OLD",IF(AND(E776&lt;&gt;"",E776&lt;&gt;"!!!"),"NEW","")))</f>
        <v/>
      </c>
      <c r="G776" s="22" t="str">
        <f>IF(OR(E776="",E776="!!!"),"",IF(OR(J776=0,AND(J776=1,K776=1),AND(J776=1,I776="SBJ"),AND(J776=1,I776=0)),"?IN_FOCUS",IF(J776&lt;=2,"?ACTIVATED",IF(J776&lt;&gt;"","?FAMILIAR",IF(F776="NEW",IF(ISNA(VLOOKUP(E776,#REF!,1,FALSE())),"?TYPE_IDENTIFIABLE","?REFERENTIAL"),"_")))))</f>
        <v/>
      </c>
      <c r="H776" s="23" t="str">
        <f t="shared" ca="1" si="57"/>
        <v/>
      </c>
      <c r="I776" s="24" t="str">
        <f>IF(OR(E776="",E776="!!!",F776="NEW"),"",INDEX(B$2:B775,-1+SUMPRODUCT(MAX(ROW(E$2:E775)*(E776=E$2:E775)))))</f>
        <v/>
      </c>
      <c r="J776" s="24" t="str">
        <f ca="1">IF(OR(E776="",E776="!!!",F776="NEW"),"",COUNTBLANK(OFFSET(A$1,,,SUMPRODUCT(MAX(ROW(E$2:E776)*(E776=E$2:E776)))))-COUNTBLANK(OFFSET(A$1,,,SUMPRODUCT(MAX(ROW(E$1:E775)*(E2=E$1:E775))))))</f>
        <v/>
      </c>
      <c r="K776" s="24" t="str">
        <f>IF(OR(E776="",E776="!!!",F776="NEW"),"",INDEX(J$1:J775,SUMPRODUCT(MAX(ROW(E$1:E775)*(E776=E$1:E775)))))</f>
        <v/>
      </c>
      <c r="L776" s="25"/>
    </row>
    <row r="777" spans="1:12" x14ac:dyDescent="0.3">
      <c r="A777" t="s">
        <v>208</v>
      </c>
      <c r="E777" s="20" t="s">
        <v>667</v>
      </c>
      <c r="F777" s="21" t="str">
        <f>IF(OR(E777="",E777="!!!"),"",IF(NOT(ISNA(VLOOKUP(E777,E$1:E776,1,FALSE()))),"OLD",IF(AND(E777&lt;&gt;"",E777&lt;&gt;"!!!"),"NEW","")))</f>
        <v>OLD</v>
      </c>
      <c r="G777" s="22" t="s">
        <v>657</v>
      </c>
      <c r="H777" s="23" t="str">
        <f t="shared" ca="1" si="57"/>
        <v/>
      </c>
      <c r="I777" s="24">
        <f>IF(OR(E777="",E777="!!!",F777="NEW"),"",INDEX(B$2:B776,-1+SUMPRODUCT(MAX(ROW(E$2:E776)*(E777=E$2:E776)))))</f>
        <v>0</v>
      </c>
      <c r="J777" s="24">
        <f ca="1">IF(OR(E777="",E777="!!!",F777="NEW"),"",COUNTBLANK(OFFSET(A$1,,,SUMPRODUCT(MAX(ROW(E$2:E777)*(E777=E$2:E777)))))-COUNTBLANK(OFFSET(A$1,,,SUMPRODUCT(MAX(ROW(E$1:E776)*(E2=E$1:E776))))))</f>
        <v>0</v>
      </c>
      <c r="K777" s="24">
        <f ca="1">IF(OR(E777="",E777="!!!",F777="NEW"),"",INDEX(J$1:J776,SUMPRODUCT(MAX(ROW(E$1:E776)*(E777=E$1:E776)))))</f>
        <v>0</v>
      </c>
      <c r="L777" s="25" t="s">
        <v>658</v>
      </c>
    </row>
    <row r="778" spans="1:12" x14ac:dyDescent="0.3">
      <c r="A778" t="s">
        <v>209</v>
      </c>
      <c r="E778" s="20" t="str">
        <f t="shared" si="56"/>
        <v/>
      </c>
      <c r="F778" s="21" t="str">
        <f>IF(OR(E778="",E778="!!!"),"",IF(NOT(ISNA(VLOOKUP(E778,E$1:E777,1,FALSE()))),"OLD",IF(AND(E778&lt;&gt;"",E778&lt;&gt;"!!!"),"NEW","")))</f>
        <v/>
      </c>
      <c r="G778" s="22" t="str">
        <f>IF(OR(E778="",E778="!!!"),"",IF(OR(J778=0,AND(J778=1,K778=1),AND(J778=1,I778="SBJ"),AND(J778=1,I778=0)),"?IN_FOCUS",IF(J778&lt;=2,"?ACTIVATED",IF(J778&lt;&gt;"","?FAMILIAR",IF(F778="NEW",IF(ISNA(VLOOKUP(E778,#REF!,1,FALSE())),"?TYPE_IDENTIFIABLE","?REFERENTIAL"),"_")))))</f>
        <v/>
      </c>
      <c r="H778" s="23" t="str">
        <f t="shared" ca="1" si="57"/>
        <v/>
      </c>
      <c r="I778" s="24" t="str">
        <f>IF(OR(E778="",E778="!!!",F778="NEW"),"",INDEX(B$2:B777,-1+SUMPRODUCT(MAX(ROW(E$2:E777)*(E778=E$2:E777)))))</f>
        <v/>
      </c>
      <c r="J778" s="24" t="str">
        <f ca="1">IF(OR(E778="",E778="!!!",F778="NEW"),"",COUNTBLANK(OFFSET(A$1,,,SUMPRODUCT(MAX(ROW(E$2:E778)*(E778=E$2:E778)))))-COUNTBLANK(OFFSET(A$1,,,SUMPRODUCT(MAX(ROW(E$1:E777)*(E2=E$1:E777))))))</f>
        <v/>
      </c>
      <c r="K778" s="24" t="str">
        <f>IF(OR(E778="",E778="!!!",F778="NEW"),"",INDEX(J$1:J777,SUMPRODUCT(MAX(ROW(E$1:E777)*(E778=E$1:E777)))))</f>
        <v/>
      </c>
      <c r="L778" s="25"/>
    </row>
    <row r="779" spans="1:12" x14ac:dyDescent="0.3">
      <c r="A779" t="s">
        <v>556</v>
      </c>
      <c r="B779" s="26" t="s">
        <v>325</v>
      </c>
      <c r="C779" s="26" t="s">
        <v>214</v>
      </c>
      <c r="D779" s="26" t="s">
        <v>215</v>
      </c>
      <c r="E779" s="20" t="s">
        <v>713</v>
      </c>
      <c r="F779" s="21" t="str">
        <f>IF(OR(E779="",E779="!!!"),"",IF(NOT(ISNA(VLOOKUP(E779,E$1:E778,1,FALSE()))),"OLD",IF(AND(E779&lt;&gt;"",E779&lt;&gt;"!!!"),"NEW","")))</f>
        <v>NEW</v>
      </c>
      <c r="G779" s="22" t="s">
        <v>657</v>
      </c>
      <c r="H779" s="23" t="str">
        <f t="shared" ca="1" si="57"/>
        <v/>
      </c>
      <c r="I779" s="24" t="str">
        <f>IF(OR(E779="",E779="!!!",F779="NEW"),"",INDEX(B$2:B778,-1+SUMPRODUCT(MAX(ROW(E$2:E778)*(E779=E$2:E778)))))</f>
        <v/>
      </c>
      <c r="J779" s="24" t="str">
        <f ca="1">IF(OR(E779="",E779="!!!",F779="NEW"),"",COUNTBLANK(OFFSET(A$1,,,SUMPRODUCT(MAX(ROW(E$2:E779)*(E779=E$2:E779)))))-COUNTBLANK(OFFSET(A$1,,,SUMPRODUCT(MAX(ROW(E$1:E778)*(E2=E$1:E778))))))</f>
        <v/>
      </c>
      <c r="K779" s="24" t="str">
        <f>IF(OR(E779="",E779="!!!",F779="NEW"),"",INDEX(J$1:J778,SUMPRODUCT(MAX(ROW(E$1:E778)*(E779=E$1:E778)))))</f>
        <v/>
      </c>
      <c r="L779" s="25"/>
    </row>
    <row r="780" spans="1:12" x14ac:dyDescent="0.3">
      <c r="A780" t="s">
        <v>234</v>
      </c>
      <c r="E780" s="20" t="str">
        <f t="shared" si="56"/>
        <v/>
      </c>
      <c r="F780" s="21" t="str">
        <f>IF(OR(E780="",E780="!!!"),"",IF(NOT(ISNA(VLOOKUP(E780,E$1:E779,1,FALSE()))),"OLD",IF(AND(E780&lt;&gt;"",E780&lt;&gt;"!!!"),"NEW","")))</f>
        <v/>
      </c>
      <c r="G780" s="22" t="str">
        <f>IF(OR(E780="",E780="!!!"),"",IF(OR(J780=0,AND(J780=1,K780=1),AND(J780=1,I780="SBJ"),AND(J780=1,I780=0)),"?IN_FOCUS",IF(J780&lt;=2,"?ACTIVATED",IF(J780&lt;&gt;"","?FAMILIAR",IF(F780="NEW",IF(ISNA(VLOOKUP(E780,#REF!,1,FALSE())),"?TYPE_IDENTIFIABLE","?REFERENTIAL"),"_")))))</f>
        <v/>
      </c>
      <c r="H780" s="23" t="str">
        <f t="shared" ca="1" si="57"/>
        <v/>
      </c>
      <c r="I780" s="24" t="str">
        <f>IF(OR(E780="",E780="!!!",F780="NEW"),"",INDEX(B$2:B779,-1+SUMPRODUCT(MAX(ROW(E$2:E779)*(E780=E$2:E779)))))</f>
        <v/>
      </c>
      <c r="J780" s="24" t="str">
        <f ca="1">IF(OR(E780="",E780="!!!",F780="NEW"),"",COUNTBLANK(OFFSET(A$1,,,SUMPRODUCT(MAX(ROW(E$2:E780)*(E780=E$2:E780)))))-COUNTBLANK(OFFSET(A$1,,,SUMPRODUCT(MAX(ROW(E$1:E779)*(E2=E$1:E779))))))</f>
        <v/>
      </c>
      <c r="K780" s="24" t="str">
        <f>IF(OR(E780="",E780="!!!",F780="NEW"),"",INDEX(J$1:J779,SUMPRODUCT(MAX(ROW(E$1:E779)*(E780=E$1:E779)))))</f>
        <v/>
      </c>
      <c r="L780" s="25"/>
    </row>
    <row r="782" spans="1:12" x14ac:dyDescent="0.3">
      <c r="A782" t="s">
        <v>557</v>
      </c>
    </row>
    <row r="783" spans="1:12" x14ac:dyDescent="0.3">
      <c r="A783" t="s">
        <v>236</v>
      </c>
      <c r="E783" s="20" t="str">
        <f t="shared" ref="E783:E826" si="58">IF(D783="?OLD","!!!","")</f>
        <v/>
      </c>
      <c r="F783" s="21" t="str">
        <f>IF(OR(E783="",E783="!!!"),"",IF(NOT(ISNA(VLOOKUP(E783,E$1:E782,1,FALSE()))),"OLD",IF(AND(E783&lt;&gt;"",E783&lt;&gt;"!!!"),"NEW","")))</f>
        <v/>
      </c>
      <c r="G783" s="22" t="str">
        <f>IF(OR(E783="",E783="!!!"),"",IF(OR(J783=0,AND(J783=1,K783=1),AND(J783=1,I783="SBJ"),AND(J783=1,I783=0)),"?IN_FOCUS",IF(J783&lt;=2,"?ACTIVATED",IF(J783&lt;&gt;"","?FAMILIAR",IF(F783="NEW",IF(ISNA(VLOOKUP(E783,#REF!,1,FALSE())),"?TYPE_IDENTIFIABLE","?REFERENTIAL"),"_")))))</f>
        <v/>
      </c>
      <c r="H783" s="23" t="str">
        <f t="shared" ref="H783:H826" ca="1" si="59">IF(J783&lt;&gt;1,"",IF(I783="SBJ","CB","?"))</f>
        <v/>
      </c>
      <c r="I783" s="24" t="str">
        <f>IF(OR(E783="",E783="!!!",F783="NEW"),"",INDEX(B$2:B782,-1+SUMPRODUCT(MAX(ROW(E$2:E782)*(E783=E$2:E782)))))</f>
        <v/>
      </c>
      <c r="J783" s="24" t="str">
        <f ca="1">IF(OR(E783="",E783="!!!",F783="NEW"),"",COUNTBLANK(OFFSET(A$1,,,SUMPRODUCT(MAX(ROW(E$2:E783)*(E783=E$2:E783)))))-COUNTBLANK(OFFSET(A$1,,,SUMPRODUCT(MAX(ROW(E$1:E782)*(E2=E$1:E782))))))</f>
        <v/>
      </c>
      <c r="K783" s="24" t="str">
        <f>IF(OR(E783="",E783="!!!",F783="NEW"),"",INDEX(J$1:J782,SUMPRODUCT(MAX(ROW(E$1:E782)*(E783=E$1:E782)))))</f>
        <v/>
      </c>
      <c r="L783" s="25"/>
    </row>
    <row r="784" spans="1:12" x14ac:dyDescent="0.3">
      <c r="A784" t="s">
        <v>558</v>
      </c>
      <c r="E784" s="20" t="str">
        <f t="shared" si="58"/>
        <v/>
      </c>
      <c r="F784" s="21" t="str">
        <f>IF(OR(E784="",E784="!!!"),"",IF(NOT(ISNA(VLOOKUP(E784,E$1:E783,1,FALSE()))),"OLD",IF(AND(E784&lt;&gt;"",E784&lt;&gt;"!!!"),"NEW","")))</f>
        <v/>
      </c>
      <c r="G784" s="22" t="str">
        <f>IF(OR(E784="",E784="!!!"),"",IF(OR(J784=0,AND(J784=1,K784=1),AND(J784=1,I784="SBJ"),AND(J784=1,I784=0)),"?IN_FOCUS",IF(J784&lt;=2,"?ACTIVATED",IF(J784&lt;&gt;"","?FAMILIAR",IF(F784="NEW",IF(ISNA(VLOOKUP(E784,#REF!,1,FALSE())),"?TYPE_IDENTIFIABLE","?REFERENTIAL"),"_")))))</f>
        <v/>
      </c>
      <c r="H784" s="23" t="str">
        <f t="shared" ca="1" si="59"/>
        <v/>
      </c>
      <c r="I784" s="24" t="str">
        <f>IF(OR(E784="",E784="!!!",F784="NEW"),"",INDEX(B$2:B783,-1+SUMPRODUCT(MAX(ROW(E$2:E783)*(E784=E$2:E783)))))</f>
        <v/>
      </c>
      <c r="J784" s="24" t="str">
        <f ca="1">IF(OR(E784="",E784="!!!",F784="NEW"),"",COUNTBLANK(OFFSET(A$1,,,SUMPRODUCT(MAX(ROW(E$2:E784)*(E784=E$2:E784)))))-COUNTBLANK(OFFSET(A$1,,,SUMPRODUCT(MAX(ROW(E$1:E783)*(E2=E$1:E783))))))</f>
        <v/>
      </c>
      <c r="K784" s="24" t="str">
        <f>IF(OR(E784="",E784="!!!",F784="NEW"),"",INDEX(J$1:J783,SUMPRODUCT(MAX(ROW(E$1:E783)*(E784=E$1:E783)))))</f>
        <v/>
      </c>
      <c r="L784" s="25"/>
    </row>
    <row r="785" spans="1:12" x14ac:dyDescent="0.3">
      <c r="A785" t="s">
        <v>247</v>
      </c>
      <c r="E785" s="20" t="str">
        <f t="shared" si="58"/>
        <v/>
      </c>
      <c r="F785" s="21" t="str">
        <f>IF(OR(E785="",E785="!!!"),"",IF(NOT(ISNA(VLOOKUP(E785,E$1:E784,1,FALSE()))),"OLD",IF(AND(E785&lt;&gt;"",E785&lt;&gt;"!!!"),"NEW","")))</f>
        <v/>
      </c>
      <c r="G785" s="22" t="str">
        <f>IF(OR(E785="",E785="!!!"),"",IF(OR(J785=0,AND(J785=1,K785=1),AND(J785=1,I785="SBJ"),AND(J785=1,I785=0)),"?IN_FOCUS",IF(J785&lt;=2,"?ACTIVATED",IF(J785&lt;&gt;"","?FAMILIAR",IF(F785="NEW",IF(ISNA(VLOOKUP(E785,#REF!,1,FALSE())),"?TYPE_IDENTIFIABLE","?REFERENTIAL"),"_")))))</f>
        <v/>
      </c>
      <c r="H785" s="23" t="str">
        <f t="shared" ca="1" si="59"/>
        <v/>
      </c>
      <c r="I785" s="24" t="str">
        <f>IF(OR(E785="",E785="!!!",F785="NEW"),"",INDEX(B$2:B784,-1+SUMPRODUCT(MAX(ROW(E$2:E784)*(E785=E$2:E784)))))</f>
        <v/>
      </c>
      <c r="J785" s="24" t="str">
        <f ca="1">IF(OR(E785="",E785="!!!",F785="NEW"),"",COUNTBLANK(OFFSET(A$1,,,SUMPRODUCT(MAX(ROW(E$2:E785)*(E785=E$2:E785)))))-COUNTBLANK(OFFSET(A$1,,,SUMPRODUCT(MAX(ROW(E$1:E784)*(E2=E$1:E784))))))</f>
        <v/>
      </c>
      <c r="K785" s="24" t="str">
        <f>IF(OR(E785="",E785="!!!",F785="NEW"),"",INDEX(J$1:J784,SUMPRODUCT(MAX(ROW(E$1:E784)*(E785=E$1:E784)))))</f>
        <v/>
      </c>
      <c r="L785" s="25"/>
    </row>
    <row r="786" spans="1:12" x14ac:dyDescent="0.3">
      <c r="A786" t="s">
        <v>188</v>
      </c>
      <c r="B786" s="26" t="s">
        <v>233</v>
      </c>
      <c r="C786" s="26" t="s">
        <v>226</v>
      </c>
      <c r="E786" s="20" t="s">
        <v>188</v>
      </c>
      <c r="F786" s="21" t="str">
        <f>IF(OR(E786="",E786="!!!"),"",IF(NOT(ISNA(VLOOKUP(E786,E$1:E785,1,FALSE()))),"OLD",IF(AND(E786&lt;&gt;"",E786&lt;&gt;"!!!"),"NEW","")))</f>
        <v>OLD</v>
      </c>
      <c r="G786" s="22" t="s">
        <v>657</v>
      </c>
      <c r="H786" s="23" t="str">
        <f t="shared" ca="1" si="59"/>
        <v/>
      </c>
      <c r="I786" s="24" t="str">
        <f>IF(OR(E786="",E786="!!!",F786="NEW"),"",INDEX(B$2:B785,-1+SUMPRODUCT(MAX(ROW(E$2:E785)*(E786=E$2:E785)))))</f>
        <v>other</v>
      </c>
      <c r="J786" s="24">
        <f ca="1">IF(OR(E786="",E786="!!!",F786="NEW"),"",COUNTBLANK(OFFSET(A$1,,,SUMPRODUCT(MAX(ROW(E$2:E786)*(E786=E$2:E786)))))-COUNTBLANK(OFFSET(A$1,,,SUMPRODUCT(MAX(ROW(E$1:E785)*(E2=E$1:E785))))))</f>
        <v>0</v>
      </c>
      <c r="K786" s="24">
        <f ca="1">IF(OR(E786="",E786="!!!",F786="NEW"),"",INDEX(J$1:J785,SUMPRODUCT(MAX(ROW(E$1:E785)*(E786=E$1:E785)))))</f>
        <v>0</v>
      </c>
      <c r="L786" s="25"/>
    </row>
    <row r="787" spans="1:12" x14ac:dyDescent="0.3">
      <c r="A787" t="s">
        <v>287</v>
      </c>
      <c r="E787" s="20" t="str">
        <f t="shared" si="58"/>
        <v/>
      </c>
      <c r="F787" s="21" t="str">
        <f>IF(OR(E787="",E787="!!!"),"",IF(NOT(ISNA(VLOOKUP(E787,E$1:E786,1,FALSE()))),"OLD",IF(AND(E787&lt;&gt;"",E787&lt;&gt;"!!!"),"NEW","")))</f>
        <v/>
      </c>
      <c r="G787" s="22" t="str">
        <f>IF(OR(E787="",E787="!!!"),"",IF(OR(J787=0,AND(J787=1,K787=1),AND(J787=1,I787="SBJ"),AND(J787=1,I787=0)),"?IN_FOCUS",IF(J787&lt;=2,"?ACTIVATED",IF(J787&lt;&gt;"","?FAMILIAR",IF(F787="NEW",IF(ISNA(VLOOKUP(E787,#REF!,1,FALSE())),"?TYPE_IDENTIFIABLE","?REFERENTIAL"),"_")))))</f>
        <v/>
      </c>
      <c r="H787" s="23" t="str">
        <f t="shared" ca="1" si="59"/>
        <v/>
      </c>
      <c r="I787" s="24" t="str">
        <f>IF(OR(E787="",E787="!!!",F787="NEW"),"",INDEX(B$2:B786,-1+SUMPRODUCT(MAX(ROW(E$2:E786)*(E787=E$2:E786)))))</f>
        <v/>
      </c>
      <c r="J787" s="24" t="str">
        <f ca="1">IF(OR(E787="",E787="!!!",F787="NEW"),"",COUNTBLANK(OFFSET(A$1,,,SUMPRODUCT(MAX(ROW(E$2:E787)*(E787=E$2:E787)))))-COUNTBLANK(OFFSET(A$1,,,SUMPRODUCT(MAX(ROW(E$1:E786)*(E2=E$1:E786))))))</f>
        <v/>
      </c>
      <c r="K787" s="24" t="str">
        <f>IF(OR(E787="",E787="!!!",F787="NEW"),"",INDEX(J$1:J786,SUMPRODUCT(MAX(ROW(E$1:E786)*(E787=E$1:E786)))))</f>
        <v/>
      </c>
      <c r="L787" s="25"/>
    </row>
    <row r="788" spans="1:12" x14ac:dyDescent="0.3">
      <c r="A788" t="s">
        <v>399</v>
      </c>
      <c r="E788" s="20" t="str">
        <f t="shared" si="58"/>
        <v/>
      </c>
      <c r="F788" s="21" t="str">
        <f>IF(OR(E788="",E788="!!!"),"",IF(NOT(ISNA(VLOOKUP(E788,E$1:E787,1,FALSE()))),"OLD",IF(AND(E788&lt;&gt;"",E788&lt;&gt;"!!!"),"NEW","")))</f>
        <v/>
      </c>
      <c r="G788" s="22" t="str">
        <f>IF(OR(E788="",E788="!!!"),"",IF(OR(J788=0,AND(J788=1,K788=1),AND(J788=1,I788="SBJ"),AND(J788=1,I788=0)),"?IN_FOCUS",IF(J788&lt;=2,"?ACTIVATED",IF(J788&lt;&gt;"","?FAMILIAR",IF(F788="NEW",IF(ISNA(VLOOKUP(E788,#REF!,1,FALSE())),"?TYPE_IDENTIFIABLE","?REFERENTIAL"),"_")))))</f>
        <v/>
      </c>
      <c r="H788" s="23" t="str">
        <f t="shared" ca="1" si="59"/>
        <v/>
      </c>
      <c r="I788" s="24" t="str">
        <f>IF(OR(E788="",E788="!!!",F788="NEW"),"",INDEX(B$2:B787,-1+SUMPRODUCT(MAX(ROW(E$2:E787)*(E788=E$2:E787)))))</f>
        <v/>
      </c>
      <c r="J788" s="24" t="str">
        <f ca="1">IF(OR(E788="",E788="!!!",F788="NEW"),"",COUNTBLANK(OFFSET(A$1,,,SUMPRODUCT(MAX(ROW(E$2:E788)*(E788=E$2:E788)))))-COUNTBLANK(OFFSET(A$1,,,SUMPRODUCT(MAX(ROW(E$1:E787)*(E2=E$1:E787))))))</f>
        <v/>
      </c>
      <c r="K788" s="24" t="str">
        <f>IF(OR(E788="",E788="!!!",F788="NEW"),"",INDEX(J$1:J787,SUMPRODUCT(MAX(ROW(E$1:E787)*(E788=E$1:E787)))))</f>
        <v/>
      </c>
      <c r="L788" s="25"/>
    </row>
    <row r="789" spans="1:12" x14ac:dyDescent="0.3">
      <c r="A789" t="s">
        <v>378</v>
      </c>
      <c r="E789" s="20" t="str">
        <f t="shared" si="58"/>
        <v/>
      </c>
      <c r="F789" s="21" t="str">
        <f>IF(OR(E789="",E789="!!!"),"",IF(NOT(ISNA(VLOOKUP(E789,E$1:E788,1,FALSE()))),"OLD",IF(AND(E789&lt;&gt;"",E789&lt;&gt;"!!!"),"NEW","")))</f>
        <v/>
      </c>
      <c r="G789" s="22" t="str">
        <f>IF(OR(E789="",E789="!!!"),"",IF(OR(J789=0,AND(J789=1,K789=1),AND(J789=1,I789="SBJ"),AND(J789=1,I789=0)),"?IN_FOCUS",IF(J789&lt;=2,"?ACTIVATED",IF(J789&lt;&gt;"","?FAMILIAR",IF(F789="NEW",IF(ISNA(VLOOKUP(E789,#REF!,1,FALSE())),"?TYPE_IDENTIFIABLE","?REFERENTIAL"),"_")))))</f>
        <v/>
      </c>
      <c r="H789" s="23" t="str">
        <f t="shared" ca="1" si="59"/>
        <v/>
      </c>
      <c r="I789" s="24" t="str">
        <f>IF(OR(E789="",E789="!!!",F789="NEW"),"",INDEX(B$2:B788,-1+SUMPRODUCT(MAX(ROW(E$2:E788)*(E789=E$2:E788)))))</f>
        <v/>
      </c>
      <c r="J789" s="24" t="str">
        <f ca="1">IF(OR(E789="",E789="!!!",F789="NEW"),"",COUNTBLANK(OFFSET(A$1,,,SUMPRODUCT(MAX(ROW(E$2:E789)*(E789=E$2:E789)))))-COUNTBLANK(OFFSET(A$1,,,SUMPRODUCT(MAX(ROW(E$1:E788)*(E2=E$1:E788))))))</f>
        <v/>
      </c>
      <c r="K789" s="24" t="str">
        <f>IF(OR(E789="",E789="!!!",F789="NEW"),"",INDEX(J$1:J788,SUMPRODUCT(MAX(ROW(E$1:E788)*(E789=E$1:E788)))))</f>
        <v/>
      </c>
      <c r="L789" s="25"/>
    </row>
    <row r="790" spans="1:12" x14ac:dyDescent="0.3">
      <c r="A790" t="s">
        <v>188</v>
      </c>
      <c r="B790" s="26" t="s">
        <v>325</v>
      </c>
      <c r="C790" s="26" t="s">
        <v>226</v>
      </c>
      <c r="E790" s="20" t="s">
        <v>188</v>
      </c>
      <c r="F790" s="21" t="str">
        <f>IF(OR(E790="",E790="!!!"),"",IF(NOT(ISNA(VLOOKUP(E790,E$1:E789,1,FALSE()))),"OLD",IF(AND(E790&lt;&gt;"",E790&lt;&gt;"!!!"),"NEW","")))</f>
        <v>OLD</v>
      </c>
      <c r="G790" s="22" t="str">
        <f ca="1">IF(OR(E790="",E790="!!!"),"",IF(OR(J790=0,AND(J790=1,K790=1),AND(J790=1,I790="SBJ"),AND(J790=1,I790=0)),"?IN_FOCUS",IF(J790&lt;=2,"?ACTIVATED",IF(J790&lt;&gt;"","?FAMILIAR",IF(F790="NEW",IF(ISNA(VLOOKUP(E790,#REF!,1,FALSE())),"?TYPE_IDENTIFIABLE","?REFERENTIAL"),"_")))))</f>
        <v>?IN_FOCUS</v>
      </c>
      <c r="H790" s="23" t="str">
        <f t="shared" ca="1" si="59"/>
        <v/>
      </c>
      <c r="I790" s="24" t="str">
        <f>IF(OR(E790="",E790="!!!",F790="NEW"),"",INDEX(B$2:B789,-1+SUMPRODUCT(MAX(ROW(E$2:E789)*(E790=E$2:E789)))))</f>
        <v>OBJ_2</v>
      </c>
      <c r="J790" s="24">
        <f ca="1">IF(OR(E790="",E790="!!!",F790="NEW"),"",COUNTBLANK(OFFSET(A$1,,,SUMPRODUCT(MAX(ROW(E$2:E790)*(E790=E$2:E790)))))-COUNTBLANK(OFFSET(A$1,,,SUMPRODUCT(MAX(ROW(E$1:E789)*(E2=E$1:E789))))))</f>
        <v>0</v>
      </c>
      <c r="K790" s="24">
        <f ca="1">IF(OR(E790="",E790="!!!",F790="NEW"),"",INDEX(J$1:J789,SUMPRODUCT(MAX(ROW(E$1:E789)*(E790=E$1:E789)))))</f>
        <v>0</v>
      </c>
      <c r="L790" s="25"/>
    </row>
    <row r="791" spans="1:12" x14ac:dyDescent="0.3">
      <c r="A791" t="s">
        <v>207</v>
      </c>
      <c r="E791" s="20" t="str">
        <f t="shared" si="58"/>
        <v/>
      </c>
      <c r="F791" s="21" t="str">
        <f>IF(OR(E791="",E791="!!!"),"",IF(NOT(ISNA(VLOOKUP(E791,E$1:E790,1,FALSE()))),"OLD",IF(AND(E791&lt;&gt;"",E791&lt;&gt;"!!!"),"NEW","")))</f>
        <v/>
      </c>
      <c r="G791" s="22" t="str">
        <f>IF(OR(E791="",E791="!!!"),"",IF(OR(J791=0,AND(J791=1,K791=1),AND(J791=1,I791="SBJ"),AND(J791=1,I791=0)),"?IN_FOCUS",IF(J791&lt;=2,"?ACTIVATED",IF(J791&lt;&gt;"","?FAMILIAR",IF(F791="NEW",IF(ISNA(VLOOKUP(E791,#REF!,1,FALSE())),"?TYPE_IDENTIFIABLE","?REFERENTIAL"),"_")))))</f>
        <v/>
      </c>
      <c r="H791" s="23" t="str">
        <f t="shared" ca="1" si="59"/>
        <v/>
      </c>
      <c r="I791" s="24" t="str">
        <f>IF(OR(E791="",E791="!!!",F791="NEW"),"",INDEX(B$2:B790,-1+SUMPRODUCT(MAX(ROW(E$2:E790)*(E791=E$2:E790)))))</f>
        <v/>
      </c>
      <c r="J791" s="24" t="str">
        <f ca="1">IF(OR(E791="",E791="!!!",F791="NEW"),"",COUNTBLANK(OFFSET(A$1,,,SUMPRODUCT(MAX(ROW(E$2:E791)*(E791=E$2:E791)))))-COUNTBLANK(OFFSET(A$1,,,SUMPRODUCT(MAX(ROW(E$1:E790)*(E2=E$1:E790))))))</f>
        <v/>
      </c>
      <c r="K791" s="24" t="str">
        <f>IF(OR(E791="",E791="!!!",F791="NEW"),"",INDEX(J$1:J790,SUMPRODUCT(MAX(ROW(E$1:E790)*(E791=E$1:E790)))))</f>
        <v/>
      </c>
      <c r="L791" s="25"/>
    </row>
    <row r="792" spans="1:12" x14ac:dyDescent="0.3">
      <c r="A792" t="s">
        <v>548</v>
      </c>
      <c r="E792" s="20" t="str">
        <f t="shared" si="58"/>
        <v/>
      </c>
      <c r="F792" s="21" t="str">
        <f>IF(OR(E792="",E792="!!!"),"",IF(NOT(ISNA(VLOOKUP(E792,E$1:E791,1,FALSE()))),"OLD",IF(AND(E792&lt;&gt;"",E792&lt;&gt;"!!!"),"NEW","")))</f>
        <v/>
      </c>
      <c r="G792" s="22" t="str">
        <f>IF(OR(E792="",E792="!!!"),"",IF(OR(J792=0,AND(J792=1,K792=1),AND(J792=1,I792="SBJ"),AND(J792=1,I792=0)),"?IN_FOCUS",IF(J792&lt;=2,"?ACTIVATED",IF(J792&lt;&gt;"","?FAMILIAR",IF(F792="NEW",IF(ISNA(VLOOKUP(E792,#REF!,1,FALSE())),"?TYPE_IDENTIFIABLE","?REFERENTIAL"),"_")))))</f>
        <v/>
      </c>
      <c r="H792" s="23" t="str">
        <f t="shared" ca="1" si="59"/>
        <v/>
      </c>
      <c r="I792" s="24" t="str">
        <f>IF(OR(E792="",E792="!!!",F792="NEW"),"",INDEX(B$2:B791,-1+SUMPRODUCT(MAX(ROW(E$2:E791)*(E792=E$2:E791)))))</f>
        <v/>
      </c>
      <c r="J792" s="24" t="str">
        <f ca="1">IF(OR(E792="",E792="!!!",F792="NEW"),"",COUNTBLANK(OFFSET(A$1,,,SUMPRODUCT(MAX(ROW(E$2:E792)*(E792=E$2:E792)))))-COUNTBLANK(OFFSET(A$1,,,SUMPRODUCT(MAX(ROW(E$1:E791)*(E2=E$1:E791))))))</f>
        <v/>
      </c>
      <c r="K792" s="24" t="str">
        <f>IF(OR(E792="",E792="!!!",F792="NEW"),"",INDEX(J$1:J791,SUMPRODUCT(MAX(ROW(E$1:E791)*(E792=E$1:E791)))))</f>
        <v/>
      </c>
      <c r="L792" s="25"/>
    </row>
    <row r="793" spans="1:12" x14ac:dyDescent="0.3">
      <c r="A793" t="s">
        <v>239</v>
      </c>
      <c r="B793" s="26" t="s">
        <v>213</v>
      </c>
      <c r="C793" s="26" t="s">
        <v>337</v>
      </c>
      <c r="D793" s="26" t="s">
        <v>215</v>
      </c>
      <c r="E793" s="20" t="s">
        <v>669</v>
      </c>
      <c r="F793" s="21" t="str">
        <f>IF(OR(E793="",E793="!!!"),"",IF(NOT(ISNA(VLOOKUP(E793,E$1:E792,1,FALSE()))),"OLD",IF(AND(E793&lt;&gt;"",E793&lt;&gt;"!!!"),"NEW","")))</f>
        <v>OLD</v>
      </c>
      <c r="G793" s="22" t="s">
        <v>652</v>
      </c>
      <c r="H793" s="23" t="s">
        <v>198</v>
      </c>
      <c r="I793" s="24" t="str">
        <f>IF(OR(E793="",E793="!!!",F793="NEW"),"",INDEX(B$2:B792,-1+SUMPRODUCT(MAX(ROW(E$2:E792)*(E793=E$2:E792)))))</f>
        <v>SBJ</v>
      </c>
      <c r="J793" s="24">
        <f ca="1">IF(OR(E793="",E793="!!!",F793="NEW"),"",COUNTBLANK(OFFSET(A$1,,,SUMPRODUCT(MAX(ROW(E$2:E793)*(E793=E$2:E793)))))-COUNTBLANK(OFFSET(A$1,,,SUMPRODUCT(MAX(ROW(E$1:E792)*(E2=E$1:E792))))))</f>
        <v>0</v>
      </c>
      <c r="K793" s="24">
        <f ca="1">IF(OR(E793="",E793="!!!",F793="NEW"),"",INDEX(J$1:J792,SUMPRODUCT(MAX(ROW(E$1:E792)*(E793=E$1:E792)))))</f>
        <v>0</v>
      </c>
      <c r="L793" s="25"/>
    </row>
    <row r="794" spans="1:12" x14ac:dyDescent="0.3">
      <c r="A794" t="s">
        <v>252</v>
      </c>
      <c r="E794" s="20" t="str">
        <f t="shared" si="58"/>
        <v/>
      </c>
      <c r="F794" s="21" t="str">
        <f>IF(OR(E794="",E794="!!!"),"",IF(NOT(ISNA(VLOOKUP(E794,E$1:E793,1,FALSE()))),"OLD",IF(AND(E794&lt;&gt;"",E794&lt;&gt;"!!!"),"NEW","")))</f>
        <v/>
      </c>
      <c r="G794" s="22" t="str">
        <f>IF(OR(E794="",E794="!!!"),"",IF(OR(J794=0,AND(J794=1,K794=1),AND(J794=1,I794="SBJ"),AND(J794=1,I794=0)),"?IN_FOCUS",IF(J794&lt;=2,"?ACTIVATED",IF(J794&lt;&gt;"","?FAMILIAR",IF(F794="NEW",IF(ISNA(VLOOKUP(E794,#REF!,1,FALSE())),"?TYPE_IDENTIFIABLE","?REFERENTIAL"),"_")))))</f>
        <v/>
      </c>
      <c r="H794" s="23" t="str">
        <f t="shared" ca="1" si="59"/>
        <v/>
      </c>
      <c r="I794" s="24" t="str">
        <f>IF(OR(E794="",E794="!!!",F794="NEW"),"",INDEX(B$2:B793,-1+SUMPRODUCT(MAX(ROW(E$2:E793)*(E794=E$2:E793)))))</f>
        <v/>
      </c>
      <c r="J794" s="24" t="str">
        <f ca="1">IF(OR(E794="",E794="!!!",F794="NEW"),"",COUNTBLANK(OFFSET(A$1,,,SUMPRODUCT(MAX(ROW(E$2:E794)*(E794=E$2:E794)))))-COUNTBLANK(OFFSET(A$1,,,SUMPRODUCT(MAX(ROW(E$1:E793)*(E2=E$1:E793))))))</f>
        <v/>
      </c>
      <c r="K794" s="24" t="str">
        <f>IF(OR(E794="",E794="!!!",F794="NEW"),"",INDEX(J$1:J793,SUMPRODUCT(MAX(ROW(E$1:E793)*(E794=E$1:E793)))))</f>
        <v/>
      </c>
      <c r="L794" s="25"/>
    </row>
    <row r="795" spans="1:12" x14ac:dyDescent="0.3">
      <c r="A795" t="s">
        <v>517</v>
      </c>
      <c r="E795" s="20" t="str">
        <f t="shared" si="58"/>
        <v/>
      </c>
      <c r="F795" s="21" t="str">
        <f>IF(OR(E795="",E795="!!!"),"",IF(NOT(ISNA(VLOOKUP(E795,E$1:E794,1,FALSE()))),"OLD",IF(AND(E795&lt;&gt;"",E795&lt;&gt;"!!!"),"NEW","")))</f>
        <v/>
      </c>
      <c r="G795" s="22" t="str">
        <f>IF(OR(E795="",E795="!!!"),"",IF(OR(J795=0,AND(J795=1,K795=1),AND(J795=1,I795="SBJ"),AND(J795=1,I795=0)),"?IN_FOCUS",IF(J795&lt;=2,"?ACTIVATED",IF(J795&lt;&gt;"","?FAMILIAR",IF(F795="NEW",IF(ISNA(VLOOKUP(E795,#REF!,1,FALSE())),"?TYPE_IDENTIFIABLE","?REFERENTIAL"),"_")))))</f>
        <v/>
      </c>
      <c r="H795" s="23" t="str">
        <f t="shared" ca="1" si="59"/>
        <v/>
      </c>
      <c r="I795" s="24" t="str">
        <f>IF(OR(E795="",E795="!!!",F795="NEW"),"",INDEX(B$2:B794,-1+SUMPRODUCT(MAX(ROW(E$2:E794)*(E795=E$2:E794)))))</f>
        <v/>
      </c>
      <c r="J795" s="24" t="str">
        <f ca="1">IF(OR(E795="",E795="!!!",F795="NEW"),"",COUNTBLANK(OFFSET(A$1,,,SUMPRODUCT(MAX(ROW(E$2:E795)*(E795=E$2:E795)))))-COUNTBLANK(OFFSET(A$1,,,SUMPRODUCT(MAX(ROW(E$1:E794)*(E2=E$1:E794))))))</f>
        <v/>
      </c>
      <c r="K795" s="24" t="str">
        <f>IF(OR(E795="",E795="!!!",F795="NEW"),"",INDEX(J$1:J794,SUMPRODUCT(MAX(ROW(E$1:E794)*(E795=E$1:E794)))))</f>
        <v/>
      </c>
      <c r="L795" s="25"/>
    </row>
    <row r="796" spans="1:12" x14ac:dyDescent="0.3">
      <c r="A796" t="s">
        <v>401</v>
      </c>
      <c r="E796" s="20" t="str">
        <f t="shared" si="58"/>
        <v/>
      </c>
      <c r="F796" s="21" t="str">
        <f>IF(OR(E796="",E796="!!!"),"",IF(NOT(ISNA(VLOOKUP(E796,E$1:E795,1,FALSE()))),"OLD",IF(AND(E796&lt;&gt;"",E796&lt;&gt;"!!!"),"NEW","")))</f>
        <v/>
      </c>
      <c r="G796" s="22" t="str">
        <f>IF(OR(E796="",E796="!!!"),"",IF(OR(J796=0,AND(J796=1,K796=1),AND(J796=1,I796="SBJ"),AND(J796=1,I796=0)),"?IN_FOCUS",IF(J796&lt;=2,"?ACTIVATED",IF(J796&lt;&gt;"","?FAMILIAR",IF(F796="NEW",IF(ISNA(VLOOKUP(E796,#REF!,1,FALSE())),"?TYPE_IDENTIFIABLE","?REFERENTIAL"),"_")))))</f>
        <v/>
      </c>
      <c r="H796" s="23" t="str">
        <f t="shared" ca="1" si="59"/>
        <v/>
      </c>
      <c r="I796" s="24" t="str">
        <f>IF(OR(E796="",E796="!!!",F796="NEW"),"",INDEX(B$2:B795,-1+SUMPRODUCT(MAX(ROW(E$2:E795)*(E796=E$2:E795)))))</f>
        <v/>
      </c>
      <c r="J796" s="24" t="str">
        <f ca="1">IF(OR(E796="",E796="!!!",F796="NEW"),"",COUNTBLANK(OFFSET(A$1,,,SUMPRODUCT(MAX(ROW(E$2:E796)*(E796=E$2:E796)))))-COUNTBLANK(OFFSET(A$1,,,SUMPRODUCT(MAX(ROW(E$1:E795)*(E2=E$1:E795))))))</f>
        <v/>
      </c>
      <c r="K796" s="24" t="str">
        <f>IF(OR(E796="",E796="!!!",F796="NEW"),"",INDEX(J$1:J795,SUMPRODUCT(MAX(ROW(E$1:E795)*(E796=E$1:E795)))))</f>
        <v/>
      </c>
      <c r="L796" s="25"/>
    </row>
    <row r="797" spans="1:12" x14ac:dyDescent="0.3">
      <c r="A797" t="s">
        <v>220</v>
      </c>
      <c r="E797" s="20" t="str">
        <f t="shared" si="58"/>
        <v/>
      </c>
      <c r="F797" s="21" t="str">
        <f>IF(OR(E797="",E797="!!!"),"",IF(NOT(ISNA(VLOOKUP(E797,E$1:E796,1,FALSE()))),"OLD",IF(AND(E797&lt;&gt;"",E797&lt;&gt;"!!!"),"NEW","")))</f>
        <v/>
      </c>
      <c r="G797" s="22" t="str">
        <f>IF(OR(E797="",E797="!!!"),"",IF(OR(J797=0,AND(J797=1,K797=1),AND(J797=1,I797="SBJ"),AND(J797=1,I797=0)),"?IN_FOCUS",IF(J797&lt;=2,"?ACTIVATED",IF(J797&lt;&gt;"","?FAMILIAR",IF(F797="NEW",IF(ISNA(VLOOKUP(E797,#REF!,1,FALSE())),"?TYPE_IDENTIFIABLE","?REFERENTIAL"),"_")))))</f>
        <v/>
      </c>
      <c r="H797" s="23" t="str">
        <f t="shared" ca="1" si="59"/>
        <v/>
      </c>
      <c r="I797" s="24" t="str">
        <f>IF(OR(E797="",E797="!!!",F797="NEW"),"",INDEX(B$2:B796,-1+SUMPRODUCT(MAX(ROW(E$2:E796)*(E797=E$2:E796)))))</f>
        <v/>
      </c>
      <c r="J797" s="24" t="str">
        <f ca="1">IF(OR(E797="",E797="!!!",F797="NEW"),"",COUNTBLANK(OFFSET(A$1,,,SUMPRODUCT(MAX(ROW(E$2:E797)*(E797=E$2:E797)))))-COUNTBLANK(OFFSET(A$1,,,SUMPRODUCT(MAX(ROW(E$1:E796)*(E2=E$1:E796))))))</f>
        <v/>
      </c>
      <c r="K797" s="24" t="str">
        <f>IF(OR(E797="",E797="!!!",F797="NEW"),"",INDEX(J$1:J796,SUMPRODUCT(MAX(ROW(E$1:E796)*(E797=E$1:E796)))))</f>
        <v/>
      </c>
      <c r="L797" s="25"/>
    </row>
    <row r="798" spans="1:12" x14ac:dyDescent="0.3">
      <c r="A798" t="s">
        <v>306</v>
      </c>
      <c r="E798" s="20" t="str">
        <f t="shared" si="58"/>
        <v/>
      </c>
      <c r="F798" s="21" t="str">
        <f>IF(OR(E798="",E798="!!!"),"",IF(NOT(ISNA(VLOOKUP(E798,E$1:E797,1,FALSE()))),"OLD",IF(AND(E798&lt;&gt;"",E798&lt;&gt;"!!!"),"NEW","")))</f>
        <v/>
      </c>
      <c r="G798" s="22" t="str">
        <f>IF(OR(E798="",E798="!!!"),"",IF(OR(J798=0,AND(J798=1,K798=1),AND(J798=1,I798="SBJ"),AND(J798=1,I798=0)),"?IN_FOCUS",IF(J798&lt;=2,"?ACTIVATED",IF(J798&lt;&gt;"","?FAMILIAR",IF(F798="NEW",IF(ISNA(VLOOKUP(E798,#REF!,1,FALSE())),"?TYPE_IDENTIFIABLE","?REFERENTIAL"),"_")))))</f>
        <v/>
      </c>
      <c r="H798" s="23" t="str">
        <f t="shared" ca="1" si="59"/>
        <v/>
      </c>
      <c r="I798" s="24" t="str">
        <f>IF(OR(E798="",E798="!!!",F798="NEW"),"",INDEX(B$2:B797,-1+SUMPRODUCT(MAX(ROW(E$2:E797)*(E798=E$2:E797)))))</f>
        <v/>
      </c>
      <c r="J798" s="24" t="str">
        <f ca="1">IF(OR(E798="",E798="!!!",F798="NEW"),"",COUNTBLANK(OFFSET(A$1,,,SUMPRODUCT(MAX(ROW(E$2:E798)*(E798=E$2:E798)))))-COUNTBLANK(OFFSET(A$1,,,SUMPRODUCT(MAX(ROW(E$1:E797)*(E2=E$1:E797))))))</f>
        <v/>
      </c>
      <c r="K798" s="24" t="str">
        <f>IF(OR(E798="",E798="!!!",F798="NEW"),"",INDEX(J$1:J797,SUMPRODUCT(MAX(ROW(E$1:E797)*(E798=E$1:E797)))))</f>
        <v/>
      </c>
      <c r="L798" s="25"/>
    </row>
    <row r="799" spans="1:12" x14ac:dyDescent="0.3">
      <c r="A799" t="s">
        <v>207</v>
      </c>
      <c r="E799" s="20" t="str">
        <f t="shared" si="58"/>
        <v/>
      </c>
      <c r="F799" s="21" t="str">
        <f>IF(OR(E799="",E799="!!!"),"",IF(NOT(ISNA(VLOOKUP(E799,E$1:E798,1,FALSE()))),"OLD",IF(AND(E799&lt;&gt;"",E799&lt;&gt;"!!!"),"NEW","")))</f>
        <v/>
      </c>
      <c r="G799" s="22" t="str">
        <f>IF(OR(E799="",E799="!!!"),"",IF(OR(J799=0,AND(J799=1,K799=1),AND(J799=1,I799="SBJ"),AND(J799=1,I799=0)),"?IN_FOCUS",IF(J799&lt;=2,"?ACTIVATED",IF(J799&lt;&gt;"","?FAMILIAR",IF(F799="NEW",IF(ISNA(VLOOKUP(E799,#REF!,1,FALSE())),"?TYPE_IDENTIFIABLE","?REFERENTIAL"),"_")))))</f>
        <v/>
      </c>
      <c r="H799" s="23" t="str">
        <f t="shared" ca="1" si="59"/>
        <v/>
      </c>
      <c r="I799" s="24" t="str">
        <f>IF(OR(E799="",E799="!!!",F799="NEW"),"",INDEX(B$2:B798,-1+SUMPRODUCT(MAX(ROW(E$2:E798)*(E799=E$2:E798)))))</f>
        <v/>
      </c>
      <c r="J799" s="24" t="str">
        <f ca="1">IF(OR(E799="",E799="!!!",F799="NEW"),"",COUNTBLANK(OFFSET(A$1,,,SUMPRODUCT(MAX(ROW(E$2:E799)*(E799=E$2:E799)))))-COUNTBLANK(OFFSET(A$1,,,SUMPRODUCT(MAX(ROW(E$1:E798)*(E2=E$1:E798))))))</f>
        <v/>
      </c>
      <c r="K799" s="24" t="str">
        <f>IF(OR(E799="",E799="!!!",F799="NEW"),"",INDEX(J$1:J798,SUMPRODUCT(MAX(ROW(E$1:E798)*(E799=E$1:E798)))))</f>
        <v/>
      </c>
      <c r="L799" s="25"/>
    </row>
    <row r="800" spans="1:12" x14ac:dyDescent="0.3">
      <c r="A800" t="s">
        <v>559</v>
      </c>
      <c r="E800" s="20" t="str">
        <f t="shared" si="58"/>
        <v/>
      </c>
      <c r="F800" s="21" t="str">
        <f>IF(OR(E800="",E800="!!!"),"",IF(NOT(ISNA(VLOOKUP(E800,E$1:E799,1,FALSE()))),"OLD",IF(AND(E800&lt;&gt;"",E800&lt;&gt;"!!!"),"NEW","")))</f>
        <v/>
      </c>
      <c r="G800" s="22" t="str">
        <f>IF(OR(E800="",E800="!!!"),"",IF(OR(J800=0,AND(J800=1,K800=1),AND(J800=1,I800="SBJ"),AND(J800=1,I800=0)),"?IN_FOCUS",IF(J800&lt;=2,"?ACTIVATED",IF(J800&lt;&gt;"","?FAMILIAR",IF(F800="NEW",IF(ISNA(VLOOKUP(E800,#REF!,1,FALSE())),"?TYPE_IDENTIFIABLE","?REFERENTIAL"),"_")))))</f>
        <v/>
      </c>
      <c r="H800" s="23" t="str">
        <f t="shared" ca="1" si="59"/>
        <v/>
      </c>
      <c r="I800" s="24" t="str">
        <f>IF(OR(E800="",E800="!!!",F800="NEW"),"",INDEX(B$2:B799,-1+SUMPRODUCT(MAX(ROW(E$2:E799)*(E800=E$2:E799)))))</f>
        <v/>
      </c>
      <c r="J800" s="24" t="str">
        <f ca="1">IF(OR(E800="",E800="!!!",F800="NEW"),"",COUNTBLANK(OFFSET(A$1,,,SUMPRODUCT(MAX(ROW(E$2:E800)*(E800=E$2:E800)))))-COUNTBLANK(OFFSET(A$1,,,SUMPRODUCT(MAX(ROW(E$1:E799)*(E2=E$1:E799))))))</f>
        <v/>
      </c>
      <c r="K800" s="24" t="str">
        <f>IF(OR(E800="",E800="!!!",F800="NEW"),"",INDEX(J$1:J799,SUMPRODUCT(MAX(ROW(E$1:E799)*(E800=E$1:E799)))))</f>
        <v/>
      </c>
      <c r="L800" s="25"/>
    </row>
    <row r="801" spans="1:12" x14ac:dyDescent="0.3">
      <c r="A801" t="s">
        <v>239</v>
      </c>
      <c r="B801" s="26" t="s">
        <v>205</v>
      </c>
      <c r="C801" s="26" t="s">
        <v>222</v>
      </c>
      <c r="D801" s="26" t="s">
        <v>215</v>
      </c>
      <c r="E801" s="20" t="s">
        <v>669</v>
      </c>
      <c r="F801" s="21" t="str">
        <f>IF(OR(E801="",E801="!!!"),"",IF(NOT(ISNA(VLOOKUP(E801,E$1:E800,1,FALSE()))),"OLD",IF(AND(E801&lt;&gt;"",E801&lt;&gt;"!!!"),"NEW","")))</f>
        <v>OLD</v>
      </c>
      <c r="G801" s="22" t="str">
        <f ca="1">IF(OR(E801="",E801="!!!"),"",IF(OR(J801=0,AND(J801=1,K801=1),AND(J801=1,I801="SBJ"),AND(J801=1,I801=0)),"?IN_FOCUS",IF(J801&lt;=2,"?ACTIVATED",IF(J801&lt;&gt;"","?FAMILIAR",IF(F801="NEW",IF(ISNA(VLOOKUP(E801,#REF!,1,FALSE())),"?TYPE_IDENTIFIABLE","?REFERENTIAL"),"_")))))</f>
        <v>?IN_FOCUS</v>
      </c>
      <c r="H801" s="23" t="str">
        <f t="shared" ca="1" si="59"/>
        <v/>
      </c>
      <c r="I801" s="24" t="str">
        <f>IF(OR(E801="",E801="!!!",F801="NEW"),"",INDEX(B$2:B800,-1+SUMPRODUCT(MAX(ROW(E$2:E800)*(E801=E$2:E800)))))</f>
        <v>SBJ</v>
      </c>
      <c r="J801" s="24">
        <f ca="1">IF(OR(E801="",E801="!!!",F801="NEW"),"",COUNTBLANK(OFFSET(A$1,,,SUMPRODUCT(MAX(ROW(E$2:E801)*(E801=E$2:E801)))))-COUNTBLANK(OFFSET(A$1,,,SUMPRODUCT(MAX(ROW(E$1:E800)*(E2=E$1:E800))))))</f>
        <v>0</v>
      </c>
      <c r="K801" s="24">
        <f ca="1">IF(OR(E801="",E801="!!!",F801="NEW"),"",INDEX(J$1:J800,SUMPRODUCT(MAX(ROW(E$1:E800)*(E801=E$1:E800)))))</f>
        <v>0</v>
      </c>
      <c r="L801" s="25"/>
    </row>
    <row r="802" spans="1:12" x14ac:dyDescent="0.3">
      <c r="A802" t="s">
        <v>249</v>
      </c>
      <c r="B802" s="26" t="s">
        <v>263</v>
      </c>
      <c r="E802" s="20" t="str">
        <f t="shared" si="58"/>
        <v/>
      </c>
      <c r="F802" s="21" t="str">
        <f>IF(OR(E802="",E802="!!!"),"",IF(NOT(ISNA(VLOOKUP(E802,E$1:E801,1,FALSE()))),"OLD",IF(AND(E802&lt;&gt;"",E802&lt;&gt;"!!!"),"NEW","")))</f>
        <v/>
      </c>
      <c r="G802" s="22" t="str">
        <f>IF(OR(E802="",E802="!!!"),"",IF(OR(J802=0,AND(J802=1,K802=1),AND(J802=1,I802="SBJ"),AND(J802=1,I802=0)),"?IN_FOCUS",IF(J802&lt;=2,"?ACTIVATED",IF(J802&lt;&gt;"","?FAMILIAR",IF(F802="NEW",IF(ISNA(VLOOKUP(E802,#REF!,1,FALSE())),"?TYPE_IDENTIFIABLE","?REFERENTIAL"),"_")))))</f>
        <v/>
      </c>
      <c r="H802" s="23" t="str">
        <f t="shared" ca="1" si="59"/>
        <v/>
      </c>
      <c r="I802" s="24" t="str">
        <f>IF(OR(E802="",E802="!!!",F802="NEW"),"",INDEX(B$2:B801,-1+SUMPRODUCT(MAX(ROW(E$2:E801)*(E802=E$2:E801)))))</f>
        <v/>
      </c>
      <c r="J802" s="24" t="str">
        <f ca="1">IF(OR(E802="",E802="!!!",F802="NEW"),"",COUNTBLANK(OFFSET(A$1,,,SUMPRODUCT(MAX(ROW(E$2:E802)*(E802=E$2:E802)))))-COUNTBLANK(OFFSET(A$1,,,SUMPRODUCT(MAX(ROW(E$1:E801)*(E2=E$1:E801))))))</f>
        <v/>
      </c>
      <c r="K802" s="24" t="str">
        <f>IF(OR(E802="",E802="!!!",F802="NEW"),"",INDEX(J$1:J801,SUMPRODUCT(MAX(ROW(E$1:E801)*(E802=E$1:E801)))))</f>
        <v/>
      </c>
      <c r="L802" s="25"/>
    </row>
    <row r="803" spans="1:12" x14ac:dyDescent="0.3">
      <c r="A803" t="s">
        <v>252</v>
      </c>
      <c r="E803" s="20" t="str">
        <f t="shared" si="58"/>
        <v/>
      </c>
      <c r="F803" s="21" t="str">
        <f>IF(OR(E803="",E803="!!!"),"",IF(NOT(ISNA(VLOOKUP(E803,E$1:E802,1,FALSE()))),"OLD",IF(AND(E803&lt;&gt;"",E803&lt;&gt;"!!!"),"NEW","")))</f>
        <v/>
      </c>
      <c r="G803" s="22" t="str">
        <f>IF(OR(E803="",E803="!!!"),"",IF(OR(J803=0,AND(J803=1,K803=1),AND(J803=1,I803="SBJ"),AND(J803=1,I803=0)),"?IN_FOCUS",IF(J803&lt;=2,"?ACTIVATED",IF(J803&lt;&gt;"","?FAMILIAR",IF(F803="NEW",IF(ISNA(VLOOKUP(E803,#REF!,1,FALSE())),"?TYPE_IDENTIFIABLE","?REFERENTIAL"),"_")))))</f>
        <v/>
      </c>
      <c r="H803" s="23" t="str">
        <f t="shared" ca="1" si="59"/>
        <v/>
      </c>
      <c r="I803" s="24" t="str">
        <f>IF(OR(E803="",E803="!!!",F803="NEW"),"",INDEX(B$2:B802,-1+SUMPRODUCT(MAX(ROW(E$2:E802)*(E803=E$2:E802)))))</f>
        <v/>
      </c>
      <c r="J803" s="24" t="str">
        <f ca="1">IF(OR(E803="",E803="!!!",F803="NEW"),"",COUNTBLANK(OFFSET(A$1,,,SUMPRODUCT(MAX(ROW(E$2:E803)*(E803=E$2:E803)))))-COUNTBLANK(OFFSET(A$1,,,SUMPRODUCT(MAX(ROW(E$1:E802)*(E2=E$1:E802))))))</f>
        <v/>
      </c>
      <c r="K803" s="24" t="str">
        <f>IF(OR(E803="",E803="!!!",F803="NEW"),"",INDEX(J$1:J802,SUMPRODUCT(MAX(ROW(E$1:E802)*(E803=E$1:E802)))))</f>
        <v/>
      </c>
      <c r="L803" s="25"/>
    </row>
    <row r="804" spans="1:12" x14ac:dyDescent="0.3">
      <c r="A804" t="s">
        <v>362</v>
      </c>
      <c r="E804" s="20" t="str">
        <f t="shared" si="58"/>
        <v/>
      </c>
      <c r="F804" s="21" t="str">
        <f>IF(OR(E804="",E804="!!!"),"",IF(NOT(ISNA(VLOOKUP(E804,E$1:E803,1,FALSE()))),"OLD",IF(AND(E804&lt;&gt;"",E804&lt;&gt;"!!!"),"NEW","")))</f>
        <v/>
      </c>
      <c r="G804" s="22" t="str">
        <f>IF(OR(E804="",E804="!!!"),"",IF(OR(J804=0,AND(J804=1,K804=1),AND(J804=1,I804="SBJ"),AND(J804=1,I804=0)),"?IN_FOCUS",IF(J804&lt;=2,"?ACTIVATED",IF(J804&lt;&gt;"","?FAMILIAR",IF(F804="NEW",IF(ISNA(VLOOKUP(E804,#REF!,1,FALSE())),"?TYPE_IDENTIFIABLE","?REFERENTIAL"),"_")))))</f>
        <v/>
      </c>
      <c r="H804" s="23" t="str">
        <f t="shared" ca="1" si="59"/>
        <v/>
      </c>
      <c r="I804" s="24" t="str">
        <f>IF(OR(E804="",E804="!!!",F804="NEW"),"",INDEX(B$2:B803,-1+SUMPRODUCT(MAX(ROW(E$2:E803)*(E804=E$2:E803)))))</f>
        <v/>
      </c>
      <c r="J804" s="24" t="str">
        <f ca="1">IF(OR(E804="",E804="!!!",F804="NEW"),"",COUNTBLANK(OFFSET(A$1,,,SUMPRODUCT(MAX(ROW(E$2:E804)*(E804=E$2:E804)))))-COUNTBLANK(OFFSET(A$1,,,SUMPRODUCT(MAX(ROW(E$1:E803)*(E2=E$1:E803))))))</f>
        <v/>
      </c>
      <c r="K804" s="24" t="str">
        <f>IF(OR(E804="",E804="!!!",F804="NEW"),"",INDEX(J$1:J803,SUMPRODUCT(MAX(ROW(E$1:E803)*(E804=E$1:E803)))))</f>
        <v/>
      </c>
      <c r="L804" s="25"/>
    </row>
    <row r="805" spans="1:12" x14ac:dyDescent="0.3">
      <c r="A805" t="s">
        <v>560</v>
      </c>
      <c r="E805" s="20" t="str">
        <f t="shared" si="58"/>
        <v/>
      </c>
      <c r="F805" s="21" t="str">
        <f>IF(OR(E805="",E805="!!!"),"",IF(NOT(ISNA(VLOOKUP(E805,E$1:E804,1,FALSE()))),"OLD",IF(AND(E805&lt;&gt;"",E805&lt;&gt;"!!!"),"NEW","")))</f>
        <v/>
      </c>
      <c r="G805" s="22" t="str">
        <f>IF(OR(E805="",E805="!!!"),"",IF(OR(J805=0,AND(J805=1,K805=1),AND(J805=1,I805="SBJ"),AND(J805=1,I805=0)),"?IN_FOCUS",IF(J805&lt;=2,"?ACTIVATED",IF(J805&lt;&gt;"","?FAMILIAR",IF(F805="NEW",IF(ISNA(VLOOKUP(E805,#REF!,1,FALSE())),"?TYPE_IDENTIFIABLE","?REFERENTIAL"),"_")))))</f>
        <v/>
      </c>
      <c r="H805" s="23" t="str">
        <f t="shared" ca="1" si="59"/>
        <v/>
      </c>
      <c r="I805" s="24" t="str">
        <f>IF(OR(E805="",E805="!!!",F805="NEW"),"",INDEX(B$2:B804,-1+SUMPRODUCT(MAX(ROW(E$2:E804)*(E805=E$2:E804)))))</f>
        <v/>
      </c>
      <c r="J805" s="24" t="str">
        <f ca="1">IF(OR(E805="",E805="!!!",F805="NEW"),"",COUNTBLANK(OFFSET(A$1,,,SUMPRODUCT(MAX(ROW(E$2:E805)*(E805=E$2:E805)))))-COUNTBLANK(OFFSET(A$1,,,SUMPRODUCT(MAX(ROW(E$1:E804)*(E2=E$1:E804))))))</f>
        <v/>
      </c>
      <c r="K805" s="24" t="str">
        <f>IF(OR(E805="",E805="!!!",F805="NEW"),"",INDEX(J$1:J804,SUMPRODUCT(MAX(ROW(E$1:E804)*(E805=E$1:E804)))))</f>
        <v/>
      </c>
      <c r="L805" s="25"/>
    </row>
    <row r="806" spans="1:12" x14ac:dyDescent="0.3">
      <c r="A806" t="s">
        <v>401</v>
      </c>
      <c r="E806" s="20" t="str">
        <f t="shared" si="58"/>
        <v/>
      </c>
      <c r="F806" s="21" t="str">
        <f>IF(OR(E806="",E806="!!!"),"",IF(NOT(ISNA(VLOOKUP(E806,E$1:E805,1,FALSE()))),"OLD",IF(AND(E806&lt;&gt;"",E806&lt;&gt;"!!!"),"NEW","")))</f>
        <v/>
      </c>
      <c r="G806" s="22" t="str">
        <f>IF(OR(E806="",E806="!!!"),"",IF(OR(J806=0,AND(J806=1,K806=1),AND(J806=1,I806="SBJ"),AND(J806=1,I806=0)),"?IN_FOCUS",IF(J806&lt;=2,"?ACTIVATED",IF(J806&lt;&gt;"","?FAMILIAR",IF(F806="NEW",IF(ISNA(VLOOKUP(E806,#REF!,1,FALSE())),"?TYPE_IDENTIFIABLE","?REFERENTIAL"),"_")))))</f>
        <v/>
      </c>
      <c r="H806" s="23" t="str">
        <f t="shared" ca="1" si="59"/>
        <v/>
      </c>
      <c r="I806" s="24" t="str">
        <f>IF(OR(E806="",E806="!!!",F806="NEW"),"",INDEX(B$2:B805,-1+SUMPRODUCT(MAX(ROW(E$2:E805)*(E806=E$2:E805)))))</f>
        <v/>
      </c>
      <c r="J806" s="24" t="str">
        <f ca="1">IF(OR(E806="",E806="!!!",F806="NEW"),"",COUNTBLANK(OFFSET(A$1,,,SUMPRODUCT(MAX(ROW(E$2:E806)*(E806=E$2:E806)))))-COUNTBLANK(OFFSET(A$1,,,SUMPRODUCT(MAX(ROW(E$1:E805)*(E2=E$1:E805))))))</f>
        <v/>
      </c>
      <c r="K806" s="24" t="str">
        <f>IF(OR(E806="",E806="!!!",F806="NEW"),"",INDEX(J$1:J805,SUMPRODUCT(MAX(ROW(E$1:E805)*(E806=E$1:E805)))))</f>
        <v/>
      </c>
      <c r="L806" s="25"/>
    </row>
    <row r="807" spans="1:12" x14ac:dyDescent="0.3">
      <c r="A807" t="s">
        <v>218</v>
      </c>
      <c r="E807" s="20" t="str">
        <f t="shared" si="58"/>
        <v/>
      </c>
      <c r="F807" s="21" t="str">
        <f>IF(OR(E807="",E807="!!!"),"",IF(NOT(ISNA(VLOOKUP(E807,E$1:E806,1,FALSE()))),"OLD",IF(AND(E807&lt;&gt;"",E807&lt;&gt;"!!!"),"NEW","")))</f>
        <v/>
      </c>
      <c r="G807" s="22" t="str">
        <f>IF(OR(E807="",E807="!!!"),"",IF(OR(J807=0,AND(J807=1,K807=1),AND(J807=1,I807="SBJ"),AND(J807=1,I807=0)),"?IN_FOCUS",IF(J807&lt;=2,"?ACTIVATED",IF(J807&lt;&gt;"","?FAMILIAR",IF(F807="NEW",IF(ISNA(VLOOKUP(E807,#REF!,1,FALSE())),"?TYPE_IDENTIFIABLE","?REFERENTIAL"),"_")))))</f>
        <v/>
      </c>
      <c r="H807" s="23" t="str">
        <f t="shared" ca="1" si="59"/>
        <v/>
      </c>
      <c r="I807" s="24" t="str">
        <f>IF(OR(E807="",E807="!!!",F807="NEW"),"",INDEX(B$2:B806,-1+SUMPRODUCT(MAX(ROW(E$2:E806)*(E807=E$2:E806)))))</f>
        <v/>
      </c>
      <c r="J807" s="24" t="str">
        <f ca="1">IF(OR(E807="",E807="!!!",F807="NEW"),"",COUNTBLANK(OFFSET(A$1,,,SUMPRODUCT(MAX(ROW(E$2:E807)*(E807=E$2:E807)))))-COUNTBLANK(OFFSET(A$1,,,SUMPRODUCT(MAX(ROW(E$1:E806)*(E2=E$1:E806))))))</f>
        <v/>
      </c>
      <c r="K807" s="24" t="str">
        <f>IF(OR(E807="",E807="!!!",F807="NEW"),"",INDEX(J$1:J806,SUMPRODUCT(MAX(ROW(E$1:E806)*(E807=E$1:E806)))))</f>
        <v/>
      </c>
      <c r="L807" s="25"/>
    </row>
    <row r="808" spans="1:12" x14ac:dyDescent="0.3">
      <c r="A808" t="s">
        <v>220</v>
      </c>
      <c r="E808" s="20" t="str">
        <f t="shared" si="58"/>
        <v/>
      </c>
      <c r="F808" s="21" t="str">
        <f>IF(OR(E808="",E808="!!!"),"",IF(NOT(ISNA(VLOOKUP(E808,E$1:E807,1,FALSE()))),"OLD",IF(AND(E808&lt;&gt;"",E808&lt;&gt;"!!!"),"NEW","")))</f>
        <v/>
      </c>
      <c r="G808" s="22" t="str">
        <f>IF(OR(E808="",E808="!!!"),"",IF(OR(J808=0,AND(J808=1,K808=1),AND(J808=1,I808="SBJ"),AND(J808=1,I808=0)),"?IN_FOCUS",IF(J808&lt;=2,"?ACTIVATED",IF(J808&lt;&gt;"","?FAMILIAR",IF(F808="NEW",IF(ISNA(VLOOKUP(E808,#REF!,1,FALSE())),"?TYPE_IDENTIFIABLE","?REFERENTIAL"),"_")))))</f>
        <v/>
      </c>
      <c r="H808" s="23" t="str">
        <f t="shared" ca="1" si="59"/>
        <v/>
      </c>
      <c r="I808" s="24" t="str">
        <f>IF(OR(E808="",E808="!!!",F808="NEW"),"",INDEX(B$2:B807,-1+SUMPRODUCT(MAX(ROW(E$2:E807)*(E808=E$2:E807)))))</f>
        <v/>
      </c>
      <c r="J808" s="24" t="str">
        <f ca="1">IF(OR(E808="",E808="!!!",F808="NEW"),"",COUNTBLANK(OFFSET(A$1,,,SUMPRODUCT(MAX(ROW(E$2:E808)*(E808=E$2:E808)))))-COUNTBLANK(OFFSET(A$1,,,SUMPRODUCT(MAX(ROW(E$1:E807)*(E2=E$1:E807))))))</f>
        <v/>
      </c>
      <c r="K808" s="24" t="str">
        <f>IF(OR(E808="",E808="!!!",F808="NEW"),"",INDEX(J$1:J807,SUMPRODUCT(MAX(ROW(E$1:E807)*(E808=E$1:E807)))))</f>
        <v/>
      </c>
      <c r="L808" s="25"/>
    </row>
    <row r="809" spans="1:12" x14ac:dyDescent="0.3">
      <c r="A809" t="s">
        <v>221</v>
      </c>
      <c r="B809" s="26" t="s">
        <v>255</v>
      </c>
      <c r="C809" s="26" t="s">
        <v>264</v>
      </c>
      <c r="D809" s="26" t="s">
        <v>215</v>
      </c>
      <c r="E809" s="20" t="s">
        <v>221</v>
      </c>
      <c r="F809" s="21" t="str">
        <f>IF(OR(E809="",E809="!!!"),"",IF(NOT(ISNA(VLOOKUP(E809,E$1:E808,1,FALSE()))),"OLD",IF(AND(E809&lt;&gt;"",E809&lt;&gt;"!!!"),"NEW","")))</f>
        <v>OLD</v>
      </c>
      <c r="G809" s="22" t="s">
        <v>657</v>
      </c>
      <c r="H809" s="23" t="str">
        <f t="shared" ca="1" si="59"/>
        <v/>
      </c>
      <c r="I809" s="24" t="str">
        <f>IF(OR(E809="",E809="!!!",F809="NEW"),"",INDEX(B$2:B808,-1+SUMPRODUCT(MAX(ROW(E$2:E808)*(E809=E$2:E808)))))</f>
        <v>other_3</v>
      </c>
      <c r="J809" s="24">
        <f ca="1">IF(OR(E809="",E809="!!!",F809="NEW"),"",COUNTBLANK(OFFSET(A$1,,,SUMPRODUCT(MAX(ROW(E$2:E809)*(E809=E$2:E809)))))-COUNTBLANK(OFFSET(A$1,,,SUMPRODUCT(MAX(ROW(E$1:E808)*(E2=E$1:E808))))))</f>
        <v>0</v>
      </c>
      <c r="K809" s="24">
        <f ca="1">IF(OR(E809="",E809="!!!",F809="NEW"),"",INDEX(J$1:J808,SUMPRODUCT(MAX(ROW(E$1:E808)*(E809=E$1:E808)))))</f>
        <v>0</v>
      </c>
      <c r="L809" s="25"/>
    </row>
    <row r="810" spans="1:12" x14ac:dyDescent="0.3">
      <c r="A810" t="s">
        <v>223</v>
      </c>
      <c r="E810" s="20" t="str">
        <f t="shared" si="58"/>
        <v/>
      </c>
      <c r="F810" s="21" t="str">
        <f>IF(OR(E810="",E810="!!!"),"",IF(NOT(ISNA(VLOOKUP(E810,E$1:E809,1,FALSE()))),"OLD",IF(AND(E810&lt;&gt;"",E810&lt;&gt;"!!!"),"NEW","")))</f>
        <v/>
      </c>
      <c r="G810" s="22" t="str">
        <f>IF(OR(E810="",E810="!!!"),"",IF(OR(J810=0,AND(J810=1,K810=1),AND(J810=1,I810="SBJ"),AND(J810=1,I810=0)),"?IN_FOCUS",IF(J810&lt;=2,"?ACTIVATED",IF(J810&lt;&gt;"","?FAMILIAR",IF(F810="NEW",IF(ISNA(VLOOKUP(E810,#REF!,1,FALSE())),"?TYPE_IDENTIFIABLE","?REFERENTIAL"),"_")))))</f>
        <v/>
      </c>
      <c r="H810" s="23" t="str">
        <f t="shared" ca="1" si="59"/>
        <v/>
      </c>
      <c r="I810" s="24" t="str">
        <f>IF(OR(E810="",E810="!!!",F810="NEW"),"",INDEX(B$2:B809,-1+SUMPRODUCT(MAX(ROW(E$2:E809)*(E810=E$2:E809)))))</f>
        <v/>
      </c>
      <c r="J810" s="24" t="str">
        <f ca="1">IF(OR(E810="",E810="!!!",F810="NEW"),"",COUNTBLANK(OFFSET(A$1,,,SUMPRODUCT(MAX(ROW(E$2:E810)*(E810=E$2:E810)))))-COUNTBLANK(OFFSET(A$1,,,SUMPRODUCT(MAX(ROW(E$1:E809)*(E2=E$1:E809))))))</f>
        <v/>
      </c>
      <c r="K810" s="24" t="str">
        <f>IF(OR(E810="",E810="!!!",F810="NEW"),"",INDEX(J$1:J809,SUMPRODUCT(MAX(ROW(E$1:E809)*(E810=E$1:E809)))))</f>
        <v/>
      </c>
      <c r="L810" s="25"/>
    </row>
    <row r="811" spans="1:12" x14ac:dyDescent="0.3">
      <c r="A811" t="s">
        <v>224</v>
      </c>
      <c r="E811" s="20" t="str">
        <f t="shared" si="58"/>
        <v/>
      </c>
      <c r="F811" s="21" t="str">
        <f>IF(OR(E811="",E811="!!!"),"",IF(NOT(ISNA(VLOOKUP(E811,E$1:E810,1,FALSE()))),"OLD",IF(AND(E811&lt;&gt;"",E811&lt;&gt;"!!!"),"NEW","")))</f>
        <v/>
      </c>
      <c r="G811" s="22" t="str">
        <f>IF(OR(E811="",E811="!!!"),"",IF(OR(J811=0,AND(J811=1,K811=1),AND(J811=1,I811="SBJ"),AND(J811=1,I811=0)),"?IN_FOCUS",IF(J811&lt;=2,"?ACTIVATED",IF(J811&lt;&gt;"","?FAMILIAR",IF(F811="NEW",IF(ISNA(VLOOKUP(E811,#REF!,1,FALSE())),"?TYPE_IDENTIFIABLE","?REFERENTIAL"),"_")))))</f>
        <v/>
      </c>
      <c r="H811" s="23" t="str">
        <f t="shared" ca="1" si="59"/>
        <v/>
      </c>
      <c r="I811" s="24" t="str">
        <f>IF(OR(E811="",E811="!!!",F811="NEW"),"",INDEX(B$2:B810,-1+SUMPRODUCT(MAX(ROW(E$2:E810)*(E811=E$2:E810)))))</f>
        <v/>
      </c>
      <c r="J811" s="24" t="str">
        <f ca="1">IF(OR(E811="",E811="!!!",F811="NEW"),"",COUNTBLANK(OFFSET(A$1,,,SUMPRODUCT(MAX(ROW(E$2:E811)*(E811=E$2:E811)))))-COUNTBLANK(OFFSET(A$1,,,SUMPRODUCT(MAX(ROW(E$1:E810)*(E2=E$1:E810))))))</f>
        <v/>
      </c>
      <c r="K811" s="24" t="str">
        <f>IF(OR(E811="",E811="!!!",F811="NEW"),"",INDEX(J$1:J810,SUMPRODUCT(MAX(ROW(E$1:E810)*(E811=E$1:E810)))))</f>
        <v/>
      </c>
      <c r="L811" s="25"/>
    </row>
    <row r="812" spans="1:12" x14ac:dyDescent="0.3">
      <c r="A812" t="s">
        <v>208</v>
      </c>
      <c r="E812" s="20" t="s">
        <v>667</v>
      </c>
      <c r="F812" s="21" t="str">
        <f>IF(OR(E812="",E812="!!!"),"",IF(NOT(ISNA(VLOOKUP(E812,E$1:E811,1,FALSE()))),"OLD",IF(AND(E812&lt;&gt;"",E812&lt;&gt;"!!!"),"NEW","")))</f>
        <v>OLD</v>
      </c>
      <c r="G812" s="22" t="s">
        <v>657</v>
      </c>
      <c r="H812" s="23" t="str">
        <f t="shared" ca="1" si="59"/>
        <v/>
      </c>
      <c r="I812" s="24">
        <f>IF(OR(E812="",E812="!!!",F812="NEW"),"",INDEX(B$2:B811,-1+SUMPRODUCT(MAX(ROW(E$2:E811)*(E812=E$2:E811)))))</f>
        <v>0</v>
      </c>
      <c r="J812" s="24">
        <f ca="1">IF(OR(E812="",E812="!!!",F812="NEW"),"",COUNTBLANK(OFFSET(A$1,,,SUMPRODUCT(MAX(ROW(E$2:E812)*(E812=E$2:E812)))))-COUNTBLANK(OFFSET(A$1,,,SUMPRODUCT(MAX(ROW(E$1:E811)*(E2=E$1:E811))))))</f>
        <v>0</v>
      </c>
      <c r="K812" s="24">
        <f ca="1">IF(OR(E812="",E812="!!!",F812="NEW"),"",INDEX(J$1:J811,SUMPRODUCT(MAX(ROW(E$1:E811)*(E812=E$1:E811)))))</f>
        <v>0</v>
      </c>
      <c r="L812" s="25" t="s">
        <v>714</v>
      </c>
    </row>
    <row r="813" spans="1:12" x14ac:dyDescent="0.3">
      <c r="A813" t="s">
        <v>209</v>
      </c>
      <c r="B813" s="26" t="s">
        <v>269</v>
      </c>
      <c r="C813" s="26" t="s">
        <v>214</v>
      </c>
      <c r="D813" s="26" t="s">
        <v>215</v>
      </c>
      <c r="E813" s="20"/>
      <c r="F813" s="21" t="str">
        <f>IF(OR(E813="",E813="!!!"),"",IF(NOT(ISNA(VLOOKUP(E813,E$1:E812,1,FALSE()))),"OLD",IF(AND(E813&lt;&gt;"",E813&lt;&gt;"!!!"),"NEW","")))</f>
        <v/>
      </c>
      <c r="G813" s="22" t="str">
        <f>IF(OR(E813="",E813="!!!"),"",IF(OR(J813=0,AND(J813=1,K813=1),AND(J813=1,I813="SBJ"),AND(J813=1,I813=0)),"?IN_FOCUS",IF(J813&lt;=2,"?ACTIVATED",IF(J813&lt;&gt;"","?FAMILIAR",IF(F813="NEW",IF(ISNA(VLOOKUP(E813,#REF!,1,FALSE())),"?TYPE_IDENTIFIABLE","?REFERENTIAL"),"_")))))</f>
        <v/>
      </c>
      <c r="H813" s="23" t="str">
        <f t="shared" ca="1" si="59"/>
        <v/>
      </c>
      <c r="I813" s="24" t="str">
        <f>IF(OR(E813="",E813="!!!",F813="NEW"),"",INDEX(B$2:B812,-1+SUMPRODUCT(MAX(ROW(E$2:E812)*(E813=E$2:E812)))))</f>
        <v/>
      </c>
      <c r="J813" s="24" t="str">
        <f ca="1">IF(OR(E813="",E813="!!!",F813="NEW"),"",COUNTBLANK(OFFSET(A$1,,,SUMPRODUCT(MAX(ROW(E$2:E813)*(E813=E$2:E813)))))-COUNTBLANK(OFFSET(A$1,,,SUMPRODUCT(MAX(ROW(E$1:E812)*(E2=E$1:E812))))))</f>
        <v/>
      </c>
      <c r="K813" s="24" t="str">
        <f>IF(OR(E813="",E813="!!!",F813="NEW"),"",INDEX(J$1:J812,SUMPRODUCT(MAX(ROW(E$1:E812)*(E813=E$1:E812)))))</f>
        <v/>
      </c>
      <c r="L813" s="25"/>
    </row>
    <row r="814" spans="1:12" x14ac:dyDescent="0.3">
      <c r="A814" t="s">
        <v>323</v>
      </c>
      <c r="E814" s="20" t="str">
        <f t="shared" si="58"/>
        <v/>
      </c>
      <c r="F814" s="21" t="str">
        <f>IF(OR(E814="",E814="!!!"),"",IF(NOT(ISNA(VLOOKUP(E814,E$1:E813,1,FALSE()))),"OLD",IF(AND(E814&lt;&gt;"",E814&lt;&gt;"!!!"),"NEW","")))</f>
        <v/>
      </c>
      <c r="G814" s="22" t="str">
        <f>IF(OR(E814="",E814="!!!"),"",IF(OR(J814=0,AND(J814=1,K814=1),AND(J814=1,I814="SBJ"),AND(J814=1,I814=0)),"?IN_FOCUS",IF(J814&lt;=2,"?ACTIVATED",IF(J814&lt;&gt;"","?FAMILIAR",IF(F814="NEW",IF(ISNA(VLOOKUP(E814,#REF!,1,FALSE())),"?TYPE_IDENTIFIABLE","?REFERENTIAL"),"_")))))</f>
        <v/>
      </c>
      <c r="H814" s="23" t="str">
        <f t="shared" ca="1" si="59"/>
        <v/>
      </c>
      <c r="I814" s="24" t="str">
        <f>IF(OR(E814="",E814="!!!",F814="NEW"),"",INDEX(B$2:B813,-1+SUMPRODUCT(MAX(ROW(E$2:E813)*(E814=E$2:E813)))))</f>
        <v/>
      </c>
      <c r="J814" s="24" t="str">
        <f ca="1">IF(OR(E814="",E814="!!!",F814="NEW"),"",COUNTBLANK(OFFSET(A$1,,,SUMPRODUCT(MAX(ROW(E$2:E814)*(E814=E$2:E814)))))-COUNTBLANK(OFFSET(A$1,,,SUMPRODUCT(MAX(ROW(E$1:E813)*(E2=E$1:E813))))))</f>
        <v/>
      </c>
      <c r="K814" s="24" t="str">
        <f>IF(OR(E814="",E814="!!!",F814="NEW"),"",INDEX(J$1:J813,SUMPRODUCT(MAX(ROW(E$1:E813)*(E814=E$1:E813)))))</f>
        <v/>
      </c>
      <c r="L814" s="25"/>
    </row>
    <row r="815" spans="1:12" x14ac:dyDescent="0.3">
      <c r="A815" t="s">
        <v>220</v>
      </c>
      <c r="E815" s="20" t="str">
        <f t="shared" si="58"/>
        <v/>
      </c>
      <c r="F815" s="21" t="str">
        <f>IF(OR(E815="",E815="!!!"),"",IF(NOT(ISNA(VLOOKUP(E815,E$1:E814,1,FALSE()))),"OLD",IF(AND(E815&lt;&gt;"",E815&lt;&gt;"!!!"),"NEW","")))</f>
        <v/>
      </c>
      <c r="G815" s="22" t="str">
        <f>IF(OR(E815="",E815="!!!"),"",IF(OR(J815=0,AND(J815=1,K815=1),AND(J815=1,I815="SBJ"),AND(J815=1,I815=0)),"?IN_FOCUS",IF(J815&lt;=2,"?ACTIVATED",IF(J815&lt;&gt;"","?FAMILIAR",IF(F815="NEW",IF(ISNA(VLOOKUP(E815,#REF!,1,FALSE())),"?TYPE_IDENTIFIABLE","?REFERENTIAL"),"_")))))</f>
        <v/>
      </c>
      <c r="H815" s="23" t="str">
        <f t="shared" ca="1" si="59"/>
        <v/>
      </c>
      <c r="I815" s="24" t="str">
        <f>IF(OR(E815="",E815="!!!",F815="NEW"),"",INDEX(B$2:B814,-1+SUMPRODUCT(MAX(ROW(E$2:E814)*(E815=E$2:E814)))))</f>
        <v/>
      </c>
      <c r="J815" s="24" t="str">
        <f ca="1">IF(OR(E815="",E815="!!!",F815="NEW"),"",COUNTBLANK(OFFSET(A$1,,,SUMPRODUCT(MAX(ROW(E$2:E815)*(E815=E$2:E815)))))-COUNTBLANK(OFFSET(A$1,,,SUMPRODUCT(MAX(ROW(E$1:E814)*(E2=E$1:E814))))))</f>
        <v/>
      </c>
      <c r="K815" s="24" t="str">
        <f>IF(OR(E815="",E815="!!!",F815="NEW"),"",INDEX(J$1:J814,SUMPRODUCT(MAX(ROW(E$1:E814)*(E815=E$1:E814)))))</f>
        <v/>
      </c>
      <c r="L815" s="25"/>
    </row>
    <row r="816" spans="1:12" x14ac:dyDescent="0.3">
      <c r="A816" t="s">
        <v>244</v>
      </c>
      <c r="B816" s="26" t="s">
        <v>205</v>
      </c>
      <c r="C816" s="26" t="s">
        <v>222</v>
      </c>
      <c r="D816" s="26" t="s">
        <v>215</v>
      </c>
      <c r="E816" s="20"/>
      <c r="F816" s="21" t="str">
        <f>IF(OR(E816="",E816="!!!"),"",IF(NOT(ISNA(VLOOKUP(E816,E$1:E815,1,FALSE()))),"OLD",IF(AND(E816&lt;&gt;"",E816&lt;&gt;"!!!"),"NEW","")))</f>
        <v/>
      </c>
      <c r="G816" s="22" t="str">
        <f>IF(OR(E816="",E816="!!!"),"",IF(OR(J816=0,AND(J816=1,K816=1),AND(J816=1,I816="SBJ"),AND(J816=1,I816=0)),"?IN_FOCUS",IF(J816&lt;=2,"?ACTIVATED",IF(J816&lt;&gt;"","?FAMILIAR",IF(F816="NEW",IF(ISNA(VLOOKUP(E816,#REF!,1,FALSE())),"?TYPE_IDENTIFIABLE","?REFERENTIAL"),"_")))))</f>
        <v/>
      </c>
      <c r="H816" s="23" t="str">
        <f t="shared" ca="1" si="59"/>
        <v/>
      </c>
      <c r="I816" s="24" t="str">
        <f>IF(OR(E816="",E816="!!!",F816="NEW"),"",INDEX(B$2:B815,-1+SUMPRODUCT(MAX(ROW(E$2:E815)*(E816=E$2:E815)))))</f>
        <v/>
      </c>
      <c r="J816" s="24" t="str">
        <f ca="1">IF(OR(E816="",E816="!!!",F816="NEW"),"",COUNTBLANK(OFFSET(A$1,,,SUMPRODUCT(MAX(ROW(E$2:E816)*(E816=E$2:E816)))))-COUNTBLANK(OFFSET(A$1,,,SUMPRODUCT(MAX(ROW(E$1:E815)*(E2=E$1:E815))))))</f>
        <v/>
      </c>
      <c r="K816" s="24" t="str">
        <f>IF(OR(E816="",E816="!!!",F816="NEW"),"",INDEX(J$1:J815,SUMPRODUCT(MAX(ROW(E$1:E815)*(E816=E$1:E815)))))</f>
        <v/>
      </c>
      <c r="L816" s="25" t="s">
        <v>715</v>
      </c>
    </row>
    <row r="817" spans="1:12" x14ac:dyDescent="0.3">
      <c r="A817" t="s">
        <v>207</v>
      </c>
      <c r="E817" s="20" t="str">
        <f t="shared" si="58"/>
        <v/>
      </c>
      <c r="F817" s="21" t="str">
        <f>IF(OR(E817="",E817="!!!"),"",IF(NOT(ISNA(VLOOKUP(E817,E$1:E816,1,FALSE()))),"OLD",IF(AND(E817&lt;&gt;"",E817&lt;&gt;"!!!"),"NEW","")))</f>
        <v/>
      </c>
      <c r="G817" s="22" t="str">
        <f>IF(OR(E817="",E817="!!!"),"",IF(OR(J817=0,AND(J817=1,K817=1),AND(J817=1,I817="SBJ"),AND(J817=1,I817=0)),"?IN_FOCUS",IF(J817&lt;=2,"?ACTIVATED",IF(J817&lt;&gt;"","?FAMILIAR",IF(F817="NEW",IF(ISNA(VLOOKUP(E817,#REF!,1,FALSE())),"?TYPE_IDENTIFIABLE","?REFERENTIAL"),"_")))))</f>
        <v/>
      </c>
      <c r="H817" s="23" t="str">
        <f t="shared" ca="1" si="59"/>
        <v/>
      </c>
      <c r="I817" s="24" t="str">
        <f>IF(OR(E817="",E817="!!!",F817="NEW"),"",INDEX(B$2:B816,-1+SUMPRODUCT(MAX(ROW(E$2:E816)*(E817=E$2:E816)))))</f>
        <v/>
      </c>
      <c r="J817" s="24" t="str">
        <f ca="1">IF(OR(E817="",E817="!!!",F817="NEW"),"",COUNTBLANK(OFFSET(A$1,,,SUMPRODUCT(MAX(ROW(E$2:E817)*(E817=E$2:E817)))))-COUNTBLANK(OFFSET(A$1,,,SUMPRODUCT(MAX(ROW(E$1:E816)*(E2=E$1:E816))))))</f>
        <v/>
      </c>
      <c r="K817" s="24" t="str">
        <f>IF(OR(E817="",E817="!!!",F817="NEW"),"",INDEX(J$1:J816,SUMPRODUCT(MAX(ROW(E$1:E816)*(E817=E$1:E816)))))</f>
        <v/>
      </c>
      <c r="L817" s="25"/>
    </row>
    <row r="818" spans="1:12" x14ac:dyDescent="0.3">
      <c r="A818" t="s">
        <v>561</v>
      </c>
      <c r="B818" s="26" t="s">
        <v>225</v>
      </c>
      <c r="C818" s="26" t="s">
        <v>226</v>
      </c>
      <c r="E818" s="20" t="str">
        <f t="shared" si="58"/>
        <v/>
      </c>
      <c r="F818" s="21" t="str">
        <f>IF(OR(E818="",E818="!!!"),"",IF(NOT(ISNA(VLOOKUP(E818,E$1:E817,1,FALSE()))),"OLD",IF(AND(E818&lt;&gt;"",E818&lt;&gt;"!!!"),"NEW","")))</f>
        <v/>
      </c>
      <c r="G818" s="22" t="str">
        <f>IF(OR(E818="",E818="!!!"),"",IF(OR(J818=0,AND(J818=1,K818=1),AND(J818=1,I818="SBJ"),AND(J818=1,I818=0)),"?IN_FOCUS",IF(J818&lt;=2,"?ACTIVATED",IF(J818&lt;&gt;"","?FAMILIAR",IF(F818="NEW",IF(ISNA(VLOOKUP(E818,#REF!,1,FALSE())),"?TYPE_IDENTIFIABLE","?REFERENTIAL"),"_")))))</f>
        <v/>
      </c>
      <c r="H818" s="23" t="str">
        <f t="shared" ca="1" si="59"/>
        <v/>
      </c>
      <c r="I818" s="24" t="str">
        <f>IF(OR(E818="",E818="!!!",F818="NEW"),"",INDEX(B$2:B817,-1+SUMPRODUCT(MAX(ROW(E$2:E817)*(E818=E$2:E817)))))</f>
        <v/>
      </c>
      <c r="J818" s="24" t="str">
        <f ca="1">IF(OR(E818="",E818="!!!",F818="NEW"),"",COUNTBLANK(OFFSET(A$1,,,SUMPRODUCT(MAX(ROW(E$2:E818)*(E818=E$2:E818)))))-COUNTBLANK(OFFSET(A$1,,,SUMPRODUCT(MAX(ROW(E$1:E817)*(E2=E$1:E817))))))</f>
        <v/>
      </c>
      <c r="K818" s="24" t="str">
        <f>IF(OR(E818="",E818="!!!",F818="NEW"),"",INDEX(J$1:J817,SUMPRODUCT(MAX(ROW(E$1:E817)*(E818=E$1:E817)))))</f>
        <v/>
      </c>
      <c r="L818" s="25"/>
    </row>
    <row r="819" spans="1:12" x14ac:dyDescent="0.3">
      <c r="A819" t="s">
        <v>207</v>
      </c>
      <c r="E819" s="20" t="str">
        <f t="shared" si="58"/>
        <v/>
      </c>
      <c r="F819" s="21" t="str">
        <f>IF(OR(E819="",E819="!!!"),"",IF(NOT(ISNA(VLOOKUP(E819,E$1:E818,1,FALSE()))),"OLD",IF(AND(E819&lt;&gt;"",E819&lt;&gt;"!!!"),"NEW","")))</f>
        <v/>
      </c>
      <c r="G819" s="22" t="str">
        <f>IF(OR(E819="",E819="!!!"),"",IF(OR(J819=0,AND(J819=1,K819=1),AND(J819=1,I819="SBJ"),AND(J819=1,I819=0)),"?IN_FOCUS",IF(J819&lt;=2,"?ACTIVATED",IF(J819&lt;&gt;"","?FAMILIAR",IF(F819="NEW",IF(ISNA(VLOOKUP(E819,#REF!,1,FALSE())),"?TYPE_IDENTIFIABLE","?REFERENTIAL"),"_")))))</f>
        <v/>
      </c>
      <c r="H819" s="23" t="str">
        <f t="shared" ca="1" si="59"/>
        <v/>
      </c>
      <c r="I819" s="24" t="str">
        <f>IF(OR(E819="",E819="!!!",F819="NEW"),"",INDEX(B$2:B818,-1+SUMPRODUCT(MAX(ROW(E$2:E818)*(E819=E$2:E818)))))</f>
        <v/>
      </c>
      <c r="J819" s="24" t="str">
        <f ca="1">IF(OR(E819="",E819="!!!",F819="NEW"),"",COUNTBLANK(OFFSET(A$1,,,SUMPRODUCT(MAX(ROW(E$2:E819)*(E819=E$2:E819)))))-COUNTBLANK(OFFSET(A$1,,,SUMPRODUCT(MAX(ROW(E$1:E818)*(E2=E$1:E818))))))</f>
        <v/>
      </c>
      <c r="K819" s="24" t="str">
        <f>IF(OR(E819="",E819="!!!",F819="NEW"),"",INDEX(J$1:J818,SUMPRODUCT(MAX(ROW(E$1:E818)*(E819=E$1:E818)))))</f>
        <v/>
      </c>
      <c r="L819" s="25"/>
    </row>
    <row r="820" spans="1:12" x14ac:dyDescent="0.3">
      <c r="A820" t="s">
        <v>562</v>
      </c>
      <c r="B820" s="26" t="s">
        <v>225</v>
      </c>
      <c r="C820" s="26" t="s">
        <v>226</v>
      </c>
      <c r="E820" s="20" t="str">
        <f t="shared" si="58"/>
        <v/>
      </c>
      <c r="F820" s="21" t="str">
        <f>IF(OR(E820="",E820="!!!"),"",IF(NOT(ISNA(VLOOKUP(E820,E$1:E819,1,FALSE()))),"OLD",IF(AND(E820&lt;&gt;"",E820&lt;&gt;"!!!"),"NEW","")))</f>
        <v/>
      </c>
      <c r="G820" s="22" t="str">
        <f>IF(OR(E820="",E820="!!!"),"",IF(OR(J820=0,AND(J820=1,K820=1),AND(J820=1,I820="SBJ"),AND(J820=1,I820=0)),"?IN_FOCUS",IF(J820&lt;=2,"?ACTIVATED",IF(J820&lt;&gt;"","?FAMILIAR",IF(F820="NEW",IF(ISNA(VLOOKUP(E820,#REF!,1,FALSE())),"?TYPE_IDENTIFIABLE","?REFERENTIAL"),"_")))))</f>
        <v/>
      </c>
      <c r="H820" s="23" t="str">
        <f t="shared" ca="1" si="59"/>
        <v/>
      </c>
      <c r="I820" s="24" t="str">
        <f>IF(OR(E820="",E820="!!!",F820="NEW"),"",INDEX(B$2:B819,-1+SUMPRODUCT(MAX(ROW(E$2:E819)*(E820=E$2:E819)))))</f>
        <v/>
      </c>
      <c r="J820" s="24" t="str">
        <f ca="1">IF(OR(E820="",E820="!!!",F820="NEW"),"",COUNTBLANK(OFFSET(A$1,,,SUMPRODUCT(MAX(ROW(E$2:E820)*(E820=E$2:E820)))))-COUNTBLANK(OFFSET(A$1,,,SUMPRODUCT(MAX(ROW(E$1:E819)*(E2=E$1:E819))))))</f>
        <v/>
      </c>
      <c r="K820" s="24" t="str">
        <f>IF(OR(E820="",E820="!!!",F820="NEW"),"",INDEX(J$1:J819,SUMPRODUCT(MAX(ROW(E$1:E819)*(E820=E$1:E819)))))</f>
        <v/>
      </c>
      <c r="L820" s="25"/>
    </row>
    <row r="821" spans="1:12" x14ac:dyDescent="0.3">
      <c r="A821" t="s">
        <v>207</v>
      </c>
      <c r="E821" s="20" t="str">
        <f t="shared" si="58"/>
        <v/>
      </c>
      <c r="F821" s="21" t="str">
        <f>IF(OR(E821="",E821="!!!"),"",IF(NOT(ISNA(VLOOKUP(E821,E$1:E820,1,FALSE()))),"OLD",IF(AND(E821&lt;&gt;"",E821&lt;&gt;"!!!"),"NEW","")))</f>
        <v/>
      </c>
      <c r="G821" s="22" t="str">
        <f>IF(OR(E821="",E821="!!!"),"",IF(OR(J821=0,AND(J821=1,K821=1),AND(J821=1,I821="SBJ"),AND(J821=1,I821=0)),"?IN_FOCUS",IF(J821&lt;=2,"?ACTIVATED",IF(J821&lt;&gt;"","?FAMILIAR",IF(F821="NEW",IF(ISNA(VLOOKUP(E821,#REF!,1,FALSE())),"?TYPE_IDENTIFIABLE","?REFERENTIAL"),"_")))))</f>
        <v/>
      </c>
      <c r="H821" s="23" t="str">
        <f t="shared" ca="1" si="59"/>
        <v/>
      </c>
      <c r="I821" s="24" t="str">
        <f>IF(OR(E821="",E821="!!!",F821="NEW"),"",INDEX(B$2:B820,-1+SUMPRODUCT(MAX(ROW(E$2:E820)*(E821=E$2:E820)))))</f>
        <v/>
      </c>
      <c r="J821" s="24" t="str">
        <f ca="1">IF(OR(E821="",E821="!!!",F821="NEW"),"",COUNTBLANK(OFFSET(A$1,,,SUMPRODUCT(MAX(ROW(E$2:E821)*(E821=E$2:E821)))))-COUNTBLANK(OFFSET(A$1,,,SUMPRODUCT(MAX(ROW(E$1:E820)*(E2=E$1:E820))))))</f>
        <v/>
      </c>
      <c r="K821" s="24" t="str">
        <f>IF(OR(E821="",E821="!!!",F821="NEW"),"",INDEX(J$1:J820,SUMPRODUCT(MAX(ROW(E$1:E820)*(E821=E$1:E820)))))</f>
        <v/>
      </c>
      <c r="L821" s="25"/>
    </row>
    <row r="822" spans="1:12" x14ac:dyDescent="0.3">
      <c r="A822" t="s">
        <v>293</v>
      </c>
      <c r="B822" s="26" t="s">
        <v>266</v>
      </c>
      <c r="C822" s="26" t="s">
        <v>214</v>
      </c>
      <c r="D822" s="26" t="s">
        <v>215</v>
      </c>
      <c r="E822" s="20" t="s">
        <v>664</v>
      </c>
      <c r="F822" s="21" t="str">
        <f>IF(OR(E822="",E822="!!!"),"",IF(NOT(ISNA(VLOOKUP(E822,E$1:E821,1,FALSE()))),"OLD",IF(AND(E822&lt;&gt;"",E822&lt;&gt;"!!!"),"NEW","")))</f>
        <v>OLD</v>
      </c>
      <c r="G822" s="22" t="s">
        <v>657</v>
      </c>
      <c r="H822" s="23" t="str">
        <f t="shared" ca="1" si="59"/>
        <v/>
      </c>
      <c r="I822" s="24" t="str">
        <f>IF(OR(E822="",E822="!!!",F822="NEW"),"",INDEX(B$2:B821,-1+SUMPRODUCT(MAX(ROW(E$2:E821)*(E822=E$2:E821)))))</f>
        <v>other</v>
      </c>
      <c r="J822" s="24">
        <f ca="1">IF(OR(E822="",E822="!!!",F822="NEW"),"",COUNTBLANK(OFFSET(A$1,,,SUMPRODUCT(MAX(ROW(E$2:E822)*(E822=E$2:E822)))))-COUNTBLANK(OFFSET(A$1,,,SUMPRODUCT(MAX(ROW(E$1:E821)*(E2=E$1:E821))))))</f>
        <v>0</v>
      </c>
      <c r="K822" s="24">
        <f ca="1">IF(OR(E822="",E822="!!!",F822="NEW"),"",INDEX(J$1:J821,SUMPRODUCT(MAX(ROW(E$1:E821)*(E822=E$1:E821)))))</f>
        <v>0</v>
      </c>
      <c r="L822" s="25"/>
    </row>
    <row r="823" spans="1:12" x14ac:dyDescent="0.3">
      <c r="A823" t="s">
        <v>16</v>
      </c>
      <c r="E823" s="20" t="str">
        <f t="shared" si="58"/>
        <v/>
      </c>
      <c r="F823" s="21" t="str">
        <f>IF(OR(E823="",E823="!!!"),"",IF(NOT(ISNA(VLOOKUP(E823,E$1:E822,1,FALSE()))),"OLD",IF(AND(E823&lt;&gt;"",E823&lt;&gt;"!!!"),"NEW","")))</f>
        <v/>
      </c>
      <c r="G823" s="22" t="str">
        <f>IF(OR(E823="",E823="!!!"),"",IF(OR(J823=0,AND(J823=1,K823=1),AND(J823=1,I823="SBJ"),AND(J823=1,I823=0)),"?IN_FOCUS",IF(J823&lt;=2,"?ACTIVATED",IF(J823&lt;&gt;"","?FAMILIAR",IF(F823="NEW",IF(ISNA(VLOOKUP(E823,#REF!,1,FALSE())),"?TYPE_IDENTIFIABLE","?REFERENTIAL"),"_")))))</f>
        <v/>
      </c>
      <c r="H823" s="23" t="str">
        <f t="shared" ca="1" si="59"/>
        <v/>
      </c>
      <c r="I823" s="24" t="str">
        <f>IF(OR(E823="",E823="!!!",F823="NEW"),"",INDEX(B$2:B822,-1+SUMPRODUCT(MAX(ROW(E$2:E822)*(E823=E$2:E822)))))</f>
        <v/>
      </c>
      <c r="J823" s="24" t="str">
        <f ca="1">IF(OR(E823="",E823="!!!",F823="NEW"),"",COUNTBLANK(OFFSET(A$1,,,SUMPRODUCT(MAX(ROW(E$2:E823)*(E823=E$2:E823)))))-COUNTBLANK(OFFSET(A$1,,,SUMPRODUCT(MAX(ROW(E$1:E822)*(E2=E$1:E822))))))</f>
        <v/>
      </c>
      <c r="K823" s="24" t="str">
        <f>IF(OR(E823="",E823="!!!",F823="NEW"),"",INDEX(J$1:J822,SUMPRODUCT(MAX(ROW(E$1:E822)*(E823=E$1:E822)))))</f>
        <v/>
      </c>
      <c r="L823" s="25"/>
    </row>
    <row r="824" spans="1:12" x14ac:dyDescent="0.3">
      <c r="A824" t="s">
        <v>294</v>
      </c>
      <c r="E824" s="20" t="str">
        <f t="shared" si="58"/>
        <v/>
      </c>
      <c r="F824" s="21" t="str">
        <f>IF(OR(E824="",E824="!!!"),"",IF(NOT(ISNA(VLOOKUP(E824,E$1:E823,1,FALSE()))),"OLD",IF(AND(E824&lt;&gt;"",E824&lt;&gt;"!!!"),"NEW","")))</f>
        <v/>
      </c>
      <c r="G824" s="22" t="str">
        <f>IF(OR(E824="",E824="!!!"),"",IF(OR(J824=0,AND(J824=1,K824=1),AND(J824=1,I824="SBJ"),AND(J824=1,I824=0)),"?IN_FOCUS",IF(J824&lt;=2,"?ACTIVATED",IF(J824&lt;&gt;"","?FAMILIAR",IF(F824="NEW",IF(ISNA(VLOOKUP(E824,#REF!,1,FALSE())),"?TYPE_IDENTIFIABLE","?REFERENTIAL"),"_")))))</f>
        <v/>
      </c>
      <c r="H824" s="23" t="str">
        <f t="shared" ca="1" si="59"/>
        <v/>
      </c>
      <c r="I824" s="24" t="str">
        <f>IF(OR(E824="",E824="!!!",F824="NEW"),"",INDEX(B$2:B823,-1+SUMPRODUCT(MAX(ROW(E$2:E823)*(E824=E$2:E823)))))</f>
        <v/>
      </c>
      <c r="J824" s="24" t="str">
        <f ca="1">IF(OR(E824="",E824="!!!",F824="NEW"),"",COUNTBLANK(OFFSET(A$1,,,SUMPRODUCT(MAX(ROW(E$2:E824)*(E824=E$2:E824)))))-COUNTBLANK(OFFSET(A$1,,,SUMPRODUCT(MAX(ROW(E$1:E823)*(E2=E$1:E823))))))</f>
        <v/>
      </c>
      <c r="K824" s="24" t="str">
        <f>IF(OR(E824="",E824="!!!",F824="NEW"),"",INDEX(J$1:J823,SUMPRODUCT(MAX(ROW(E$1:E823)*(E824=E$1:E823)))))</f>
        <v/>
      </c>
      <c r="L824" s="25"/>
    </row>
    <row r="825" spans="1:12" x14ac:dyDescent="0.3">
      <c r="A825" t="s">
        <v>563</v>
      </c>
      <c r="B825" s="26" t="s">
        <v>225</v>
      </c>
      <c r="C825" s="26" t="s">
        <v>226</v>
      </c>
      <c r="E825" s="20" t="s">
        <v>669</v>
      </c>
      <c r="F825" s="21" t="str">
        <f>IF(OR(E825="",E825="!!!"),"",IF(NOT(ISNA(VLOOKUP(E825,E$1:E824,1,FALSE()))),"OLD",IF(AND(E825&lt;&gt;"",E825&lt;&gt;"!!!"),"NEW","")))</f>
        <v>OLD</v>
      </c>
      <c r="G825" s="22" t="str">
        <f ca="1">IF(OR(E825="",E825="!!!"),"",IF(OR(J825=0,AND(J825=1,K825=1),AND(J825=1,I825="SBJ"),AND(J825=1,I825=0)),"?IN_FOCUS",IF(J825&lt;=2,"?ACTIVATED",IF(J825&lt;&gt;"","?FAMILIAR",IF(F825="NEW",IF(ISNA(VLOOKUP(E825,#REF!,1,FALSE())),"?TYPE_IDENTIFIABLE","?REFERENTIAL"),"_")))))</f>
        <v>?IN_FOCUS</v>
      </c>
      <c r="H825" s="23" t="str">
        <f t="shared" ca="1" si="59"/>
        <v/>
      </c>
      <c r="I825" s="24" t="str">
        <f>IF(OR(E825="",E825="!!!",F825="NEW"),"",INDEX(B$2:B824,-1+SUMPRODUCT(MAX(ROW(E$2:E824)*(E825=E$2:E824)))))</f>
        <v>other</v>
      </c>
      <c r="J825" s="24">
        <f ca="1">IF(OR(E825="",E825="!!!",F825="NEW"),"",COUNTBLANK(OFFSET(A$1,,,SUMPRODUCT(MAX(ROW(E$2:E825)*(E825=E$2:E825)))))-COUNTBLANK(OFFSET(A$1,,,SUMPRODUCT(MAX(ROW(E$1:E824)*(E2=E$1:E824))))))</f>
        <v>0</v>
      </c>
      <c r="K825" s="24">
        <f ca="1">IF(OR(E825="",E825="!!!",F825="NEW"),"",INDEX(J$1:J824,SUMPRODUCT(MAX(ROW(E$1:E824)*(E825=E$1:E824)))))</f>
        <v>0</v>
      </c>
      <c r="L825" s="25"/>
    </row>
    <row r="826" spans="1:12" x14ac:dyDescent="0.3">
      <c r="A826" t="s">
        <v>234</v>
      </c>
      <c r="E826" s="20" t="str">
        <f t="shared" si="58"/>
        <v/>
      </c>
      <c r="F826" s="21" t="str">
        <f>IF(OR(E826="",E826="!!!"),"",IF(NOT(ISNA(VLOOKUP(E826,E$1:E825,1,FALSE()))),"OLD",IF(AND(E826&lt;&gt;"",E826&lt;&gt;"!!!"),"NEW","")))</f>
        <v/>
      </c>
      <c r="G826" s="22" t="str">
        <f>IF(OR(E826="",E826="!!!"),"",IF(OR(J826=0,AND(J826=1,K826=1),AND(J826=1,I826="SBJ"),AND(J826=1,I826=0)),"?IN_FOCUS",IF(J826&lt;=2,"?ACTIVATED",IF(J826&lt;&gt;"","?FAMILIAR",IF(F826="NEW",IF(ISNA(VLOOKUP(E826,#REF!,1,FALSE())),"?TYPE_IDENTIFIABLE","?REFERENTIAL"),"_")))))</f>
        <v/>
      </c>
      <c r="H826" s="23" t="str">
        <f t="shared" ca="1" si="59"/>
        <v/>
      </c>
      <c r="I826" s="24" t="str">
        <f>IF(OR(E826="",E826="!!!",F826="NEW"),"",INDEX(B$2:B825,-1+SUMPRODUCT(MAX(ROW(E$2:E825)*(E826=E$2:E825)))))</f>
        <v/>
      </c>
      <c r="J826" s="24" t="str">
        <f ca="1">IF(OR(E826="",E826="!!!",F826="NEW"),"",COUNTBLANK(OFFSET(A$1,,,SUMPRODUCT(MAX(ROW(E$2:E826)*(E826=E$2:E826)))))-COUNTBLANK(OFFSET(A$1,,,SUMPRODUCT(MAX(ROW(E$1:E825)*(E2=E$1:E825))))))</f>
        <v/>
      </c>
      <c r="K826" s="24" t="str">
        <f>IF(OR(E826="",E826="!!!",F826="NEW"),"",INDEX(J$1:J825,SUMPRODUCT(MAX(ROW(E$1:E825)*(E826=E$1:E825)))))</f>
        <v/>
      </c>
      <c r="L826" s="25"/>
    </row>
    <row r="828" spans="1:12" x14ac:dyDescent="0.3">
      <c r="A828" t="s">
        <v>564</v>
      </c>
    </row>
    <row r="829" spans="1:12" x14ac:dyDescent="0.3">
      <c r="A829" t="s">
        <v>565</v>
      </c>
      <c r="B829" s="26" t="s">
        <v>213</v>
      </c>
      <c r="C829" s="26" t="s">
        <v>214</v>
      </c>
      <c r="D829" s="26" t="s">
        <v>215</v>
      </c>
      <c r="E829" s="20" t="s">
        <v>188</v>
      </c>
      <c r="F829" s="21" t="str">
        <f>IF(OR(E829="",E829="!!!"),"",IF(NOT(ISNA(VLOOKUP(E829,E$1:E828,1,FALSE()))),"OLD",IF(AND(E829&lt;&gt;"",E829&lt;&gt;"!!!"),"NEW","")))</f>
        <v>OLD</v>
      </c>
      <c r="G829" s="22" t="str">
        <f ca="1">IF(OR(E829="",E829="!!!"),"",IF(OR(J829=0,AND(J829=1,K829=1),AND(J829=1,I829="SBJ"),AND(J829=1,I829=0)),"?IN_FOCUS",IF(J829&lt;=2,"?ACTIVATED",IF(J829&lt;&gt;"","?FAMILIAR",IF(F829="NEW",IF(ISNA(VLOOKUP(E829,#REF!,1,FALSE())),"?TYPE_IDENTIFIABLE","?REFERENTIAL"),"_")))))</f>
        <v>?IN_FOCUS</v>
      </c>
      <c r="H829" s="23" t="s">
        <v>198</v>
      </c>
      <c r="I829" s="24" t="str">
        <f>IF(OR(E829="",E829="!!!",F829="NEW"),"",INDEX(B$2:B828,-1+SUMPRODUCT(MAX(ROW(E$2:E828)*(E829=E$2:E828)))))</f>
        <v>other_3</v>
      </c>
      <c r="J829" s="24">
        <f ca="1">IF(OR(E829="",E829="!!!",F829="NEW"),"",COUNTBLANK(OFFSET(A$1,,,SUMPRODUCT(MAX(ROW(E$2:E829)*(E829=E$2:E829)))))-COUNTBLANK(OFFSET(A$1,,,SUMPRODUCT(MAX(ROW(E$1:E828)*(E2=E$1:E828))))))</f>
        <v>0</v>
      </c>
      <c r="K829" s="24">
        <f ca="1">IF(OR(E829="",E829="!!!",F829="NEW"),"",INDEX(J$1:J828,SUMPRODUCT(MAX(ROW(E$1:E828)*(E829=E$1:E828)))))</f>
        <v>0</v>
      </c>
      <c r="L829" s="25"/>
    </row>
    <row r="830" spans="1:12" x14ac:dyDescent="0.3">
      <c r="A830" t="s">
        <v>431</v>
      </c>
      <c r="E830" s="20" t="str">
        <f>IF(D830="?OLD","!!!","")</f>
        <v/>
      </c>
      <c r="F830" s="21" t="str">
        <f>IF(OR(E830="",E830="!!!"),"",IF(NOT(ISNA(VLOOKUP(E830,E$1:E829,1,FALSE()))),"OLD",IF(AND(E830&lt;&gt;"",E830&lt;&gt;"!!!"),"NEW","")))</f>
        <v/>
      </c>
      <c r="G830" s="22" t="str">
        <f>IF(OR(E830="",E830="!!!"),"",IF(OR(J830=0,AND(J830=1,K830=1),AND(J830=1,I830="SBJ"),AND(J830=1,I830=0)),"?IN_FOCUS",IF(J830&lt;=2,"?ACTIVATED",IF(J830&lt;&gt;"","?FAMILIAR",IF(F830="NEW",IF(ISNA(VLOOKUP(E830,#REF!,1,FALSE())),"?TYPE_IDENTIFIABLE","?REFERENTIAL"),"_")))))</f>
        <v/>
      </c>
      <c r="H830" s="23" t="str">
        <f ca="1">IF(J830&lt;&gt;1,"",IF(I830="SBJ","CB","?"))</f>
        <v/>
      </c>
      <c r="I830" s="24" t="str">
        <f>IF(OR(E830="",E830="!!!",F830="NEW"),"",INDEX(B$2:B829,-1+SUMPRODUCT(MAX(ROW(E$2:E829)*(E830=E$2:E829)))))</f>
        <v/>
      </c>
      <c r="J830" s="24" t="str">
        <f ca="1">IF(OR(E830="",E830="!!!",F830="NEW"),"",COUNTBLANK(OFFSET(A$1,,,SUMPRODUCT(MAX(ROW(E$2:E830)*(E830=E$2:E830)))))-COUNTBLANK(OFFSET(A$1,,,SUMPRODUCT(MAX(ROW(E$1:E829)*(E2=E$1:E829))))))</f>
        <v/>
      </c>
      <c r="K830" s="24" t="str">
        <f>IF(OR(E830="",E830="!!!",F830="NEW"),"",INDEX(J$1:J829,SUMPRODUCT(MAX(ROW(E$1:E829)*(E830=E$1:E829)))))</f>
        <v/>
      </c>
      <c r="L830" s="25"/>
    </row>
    <row r="831" spans="1:12" x14ac:dyDescent="0.3">
      <c r="A831" t="s">
        <v>566</v>
      </c>
      <c r="B831" s="26" t="s">
        <v>205</v>
      </c>
      <c r="C831" s="26" t="s">
        <v>226</v>
      </c>
      <c r="E831" s="20" t="str">
        <f>IF(D831="?OLD","!!!","")</f>
        <v/>
      </c>
      <c r="F831" s="21" t="str">
        <f>IF(OR(E831="",E831="!!!"),"",IF(NOT(ISNA(VLOOKUP(E831,E$1:E830,1,FALSE()))),"OLD",IF(AND(E831&lt;&gt;"",E831&lt;&gt;"!!!"),"NEW","")))</f>
        <v/>
      </c>
      <c r="G831" s="22" t="str">
        <f>IF(OR(E831="",E831="!!!"),"",IF(OR(J831=0,AND(J831=1,K831=1),AND(J831=1,I831="SBJ"),AND(J831=1,I831=0)),"?IN_FOCUS",IF(J831&lt;=2,"?ACTIVATED",IF(J831&lt;&gt;"","?FAMILIAR",IF(F831="NEW",IF(ISNA(VLOOKUP(E831,#REF!,1,FALSE())),"?TYPE_IDENTIFIABLE","?REFERENTIAL"),"_")))))</f>
        <v/>
      </c>
      <c r="H831" s="23" t="str">
        <f ca="1">IF(J831&lt;&gt;1,"",IF(I831="SBJ","CB","?"))</f>
        <v/>
      </c>
      <c r="I831" s="24" t="str">
        <f>IF(OR(E831="",E831="!!!",F831="NEW"),"",INDEX(B$2:B830,-1+SUMPRODUCT(MAX(ROW(E$2:E830)*(E831=E$2:E830)))))</f>
        <v/>
      </c>
      <c r="J831" s="24" t="str">
        <f ca="1">IF(OR(E831="",E831="!!!",F831="NEW"),"",COUNTBLANK(OFFSET(A$1,,,SUMPRODUCT(MAX(ROW(E$2:E831)*(E831=E$2:E831)))))-COUNTBLANK(OFFSET(A$1,,,SUMPRODUCT(MAX(ROW(E$1:E830)*(E2=E$1:E830))))))</f>
        <v/>
      </c>
      <c r="K831" s="24" t="str">
        <f>IF(OR(E831="",E831="!!!",F831="NEW"),"",INDEX(J$1:J830,SUMPRODUCT(MAX(ROW(E$1:E830)*(E831=E$1:E830)))))</f>
        <v/>
      </c>
      <c r="L831" s="25"/>
    </row>
    <row r="832" spans="1:12" x14ac:dyDescent="0.3">
      <c r="A832" t="s">
        <v>234</v>
      </c>
      <c r="E832" s="20" t="str">
        <f>IF(D832="?OLD","!!!","")</f>
        <v/>
      </c>
      <c r="F832" s="21" t="str">
        <f>IF(OR(E832="",E832="!!!"),"",IF(NOT(ISNA(VLOOKUP(E832,E$1:E831,1,FALSE()))),"OLD",IF(AND(E832&lt;&gt;"",E832&lt;&gt;"!!!"),"NEW","")))</f>
        <v/>
      </c>
      <c r="G832" s="22" t="str">
        <f>IF(OR(E832="",E832="!!!"),"",IF(OR(J832=0,AND(J832=1,K832=1),AND(J832=1,I832="SBJ"),AND(J832=1,I832=0)),"?IN_FOCUS",IF(J832&lt;=2,"?ACTIVATED",IF(J832&lt;&gt;"","?FAMILIAR",IF(F832="NEW",IF(ISNA(VLOOKUP(E832,#REF!,1,FALSE())),"?TYPE_IDENTIFIABLE","?REFERENTIAL"),"_")))))</f>
        <v/>
      </c>
      <c r="H832" s="23" t="str">
        <f ca="1">IF(J832&lt;&gt;1,"",IF(I832="SBJ","CB","?"))</f>
        <v/>
      </c>
      <c r="I832" s="24" t="str">
        <f>IF(OR(E832="",E832="!!!",F832="NEW"),"",INDEX(B$2:B831,-1+SUMPRODUCT(MAX(ROW(E$2:E831)*(E832=E$2:E831)))))</f>
        <v/>
      </c>
      <c r="J832" s="24" t="str">
        <f ca="1">IF(OR(E832="",E832="!!!",F832="NEW"),"",COUNTBLANK(OFFSET(A$1,,,SUMPRODUCT(MAX(ROW(E$2:E832)*(E832=E$2:E832)))))-COUNTBLANK(OFFSET(A$1,,,SUMPRODUCT(MAX(ROW(E$1:E831)*(E2=E$1:E831))))))</f>
        <v/>
      </c>
      <c r="K832" s="24" t="str">
        <f>IF(OR(E832="",E832="!!!",F832="NEW"),"",INDEX(J$1:J831,SUMPRODUCT(MAX(ROW(E$1:E831)*(E832=E$1:E831)))))</f>
        <v/>
      </c>
      <c r="L832" s="25"/>
    </row>
    <row r="834" spans="1:12" x14ac:dyDescent="0.3">
      <c r="A834" t="s">
        <v>567</v>
      </c>
    </row>
    <row r="835" spans="1:12" x14ac:dyDescent="0.3">
      <c r="A835" t="s">
        <v>565</v>
      </c>
      <c r="E835" s="20" t="s">
        <v>188</v>
      </c>
      <c r="F835" s="21" t="str">
        <f>IF(OR(E835="",E835="!!!"),"",IF(NOT(ISNA(VLOOKUP(E835,E$1:E834,1,FALSE()))),"OLD",IF(AND(E835&lt;&gt;"",E835&lt;&gt;"!!!"),"NEW","")))</f>
        <v>OLD</v>
      </c>
      <c r="G835" s="22" t="str">
        <f ca="1">IF(OR(E835="",E835="!!!"),"",IF(OR(J835=0,AND(J835=1,K835=1),AND(J835=1,I835="SBJ"),AND(J835=1,I835=0)),"?IN_FOCUS",IF(J835&lt;=2,"?ACTIVATED",IF(J835&lt;&gt;"","?FAMILIAR",IF(F835="NEW",IF(ISNA(VLOOKUP(E835,#REF!,1,FALSE())),"?TYPE_IDENTIFIABLE","?REFERENTIAL"),"_")))))</f>
        <v>?IN_FOCUS</v>
      </c>
      <c r="H835" s="23" t="s">
        <v>198</v>
      </c>
      <c r="I835" s="24" t="str">
        <f>IF(OR(E835="",E835="!!!",F835="NEW"),"",INDEX(B$2:B834,-1+SUMPRODUCT(MAX(ROW(E$2:E834)*(E835=E$2:E834)))))</f>
        <v>SBJ</v>
      </c>
      <c r="J835" s="24">
        <f ca="1">IF(OR(E835="",E835="!!!",F835="NEW"),"",COUNTBLANK(OFFSET(A$1,,,SUMPRODUCT(MAX(ROW(E$2:E835)*(E835=E$2:E835)))))-COUNTBLANK(OFFSET(A$1,,,SUMPRODUCT(MAX(ROW(E$1:E834)*(E2=E$1:E834))))))</f>
        <v>0</v>
      </c>
      <c r="K835" s="24">
        <f ca="1">IF(OR(E835="",E835="!!!",F835="NEW"),"",INDEX(J$1:J834,SUMPRODUCT(MAX(ROW(E$1:E834)*(E835=E$1:E834)))))</f>
        <v>0</v>
      </c>
      <c r="L835" s="25" t="s">
        <v>716</v>
      </c>
    </row>
    <row r="836" spans="1:12" x14ac:dyDescent="0.3">
      <c r="A836" t="s">
        <v>568</v>
      </c>
      <c r="B836" s="26" t="s">
        <v>213</v>
      </c>
      <c r="C836" s="26" t="s">
        <v>226</v>
      </c>
      <c r="E836" s="20" t="str">
        <f>IF(D836="?OLD","!!!","")</f>
        <v/>
      </c>
      <c r="F836" s="21" t="str">
        <f>IF(OR(E836="",E836="!!!"),"",IF(NOT(ISNA(VLOOKUP(E836,E$1:E835,1,FALSE()))),"OLD",IF(AND(E836&lt;&gt;"",E836&lt;&gt;"!!!"),"NEW","")))</f>
        <v/>
      </c>
      <c r="G836" s="22" t="str">
        <f>IF(OR(E836="",E836="!!!"),"",IF(OR(J836=0,AND(J836=1,K836=1),AND(J836=1,I836="SBJ"),AND(J836=1,I836=0)),"?IN_FOCUS",IF(J836&lt;=2,"?ACTIVATED",IF(J836&lt;&gt;"","?FAMILIAR",IF(F836="NEW",IF(ISNA(VLOOKUP(E836,#REF!,1,FALSE())),"?TYPE_IDENTIFIABLE","?REFERENTIAL"),"_")))))</f>
        <v/>
      </c>
      <c r="H836" s="23" t="str">
        <f ca="1">IF(J836&lt;&gt;1,"",IF(I836="SBJ","CB","?"))</f>
        <v/>
      </c>
      <c r="I836" s="24" t="str">
        <f>IF(OR(E836="",E836="!!!",F836="NEW"),"",INDEX(B$2:B835,-1+SUMPRODUCT(MAX(ROW(E$2:E835)*(E836=E$2:E835)))))</f>
        <v/>
      </c>
      <c r="J836" s="24" t="str">
        <f ca="1">IF(OR(E836="",E836="!!!",F836="NEW"),"",COUNTBLANK(OFFSET(A$1,,,SUMPRODUCT(MAX(ROW(E$2:E836)*(E836=E$2:E836)))))-COUNTBLANK(OFFSET(A$1,,,SUMPRODUCT(MAX(ROW(E$1:E835)*(E2=E$1:E835))))))</f>
        <v/>
      </c>
      <c r="K836" s="24" t="str">
        <f>IF(OR(E836="",E836="!!!",F836="NEW"),"",INDEX(J$1:J835,SUMPRODUCT(MAX(ROW(E$1:E835)*(E836=E$1:E835)))))</f>
        <v/>
      </c>
      <c r="L836" s="25"/>
    </row>
    <row r="837" spans="1:12" x14ac:dyDescent="0.3">
      <c r="A837" t="s">
        <v>569</v>
      </c>
      <c r="B837" s="26" t="s">
        <v>205</v>
      </c>
      <c r="C837" s="26" t="s">
        <v>230</v>
      </c>
      <c r="D837" s="26" t="s">
        <v>215</v>
      </c>
      <c r="E837" s="20"/>
      <c r="F837" s="21" t="s">
        <v>653</v>
      </c>
      <c r="G837" s="22" t="str">
        <f>IF(OR(E837="",E837="!!!"),"",IF(OR(J837=0,AND(J837=1,K837=1),AND(J837=1,I837="SBJ"),AND(J837=1,I837=0)),"?IN_FOCUS",IF(J837&lt;=2,"?ACTIVATED",IF(J837&lt;&gt;"","?FAMILIAR",IF(F837="NEW",IF(ISNA(VLOOKUP(E837,#REF!,1,FALSE())),"?TYPE_IDENTIFIABLE","?REFERENTIAL"),"_")))))</f>
        <v/>
      </c>
      <c r="H837" s="23" t="str">
        <f ca="1">IF(J837&lt;&gt;1,"",IF(I837="SBJ","CB","?"))</f>
        <v/>
      </c>
      <c r="I837" s="24" t="str">
        <f>IF(OR(E837="",E837="!!!",F837="NEW"),"",INDEX(B$2:B836,-1+SUMPRODUCT(MAX(ROW(E$2:E836)*(E837=E$2:E836)))))</f>
        <v/>
      </c>
      <c r="J837" s="24" t="str">
        <f ca="1">IF(OR(E837="",E837="!!!",F837="NEW"),"",COUNTBLANK(OFFSET(A$1,,,SUMPRODUCT(MAX(ROW(E$2:E837)*(E837=E$2:E837)))))-COUNTBLANK(OFFSET(A$1,,,SUMPRODUCT(MAX(ROW(E$1:E836)*(E2=E$1:E836))))))</f>
        <v/>
      </c>
      <c r="K837" s="24" t="str">
        <f>IF(OR(E837="",E837="!!!",F837="NEW"),"",INDEX(J$1:J836,SUMPRODUCT(MAX(ROW(E$1:E836)*(E837=E$1:E836)))))</f>
        <v/>
      </c>
      <c r="L837" s="25" t="s">
        <v>753</v>
      </c>
    </row>
    <row r="838" spans="1:12" x14ac:dyDescent="0.3">
      <c r="A838" t="s">
        <v>234</v>
      </c>
      <c r="E838" s="20" t="str">
        <f>IF(D838="?OLD","!!!","")</f>
        <v/>
      </c>
      <c r="F838" s="21" t="str">
        <f>IF(OR(E838="",E838="!!!"),"",IF(NOT(ISNA(VLOOKUP(E838,E$1:E837,1,FALSE()))),"OLD",IF(AND(E838&lt;&gt;"",E838&lt;&gt;"!!!"),"NEW","")))</f>
        <v/>
      </c>
      <c r="G838" s="22" t="str">
        <f>IF(OR(E838="",E838="!!!"),"",IF(OR(J838=0,AND(J838=1,K838=1),AND(J838=1,I838="SBJ"),AND(J838=1,I838=0)),"?IN_FOCUS",IF(J838&lt;=2,"?ACTIVATED",IF(J838&lt;&gt;"","?FAMILIAR",IF(F838="NEW",IF(ISNA(VLOOKUP(E838,#REF!,1,FALSE())),"?TYPE_IDENTIFIABLE","?REFERENTIAL"),"_")))))</f>
        <v/>
      </c>
      <c r="H838" s="23" t="str">
        <f ca="1">IF(J838&lt;&gt;1,"",IF(I838="SBJ","CB","?"))</f>
        <v/>
      </c>
      <c r="I838" s="24" t="str">
        <f>IF(OR(E838="",E838="!!!",F838="NEW"),"",INDEX(B$2:B837,-1+SUMPRODUCT(MAX(ROW(E$2:E837)*(E838=E$2:E837)))))</f>
        <v/>
      </c>
      <c r="J838" s="24" t="str">
        <f ca="1">IF(OR(E838="",E838="!!!",F838="NEW"),"",COUNTBLANK(OFFSET(A$1,,,SUMPRODUCT(MAX(ROW(E$2:E838)*(E838=E$2:E838)))))-COUNTBLANK(OFFSET(A$1,,,SUMPRODUCT(MAX(ROW(E$1:E837)*(E2=E$1:E837))))))</f>
        <v/>
      </c>
      <c r="K838" s="24" t="str">
        <f>IF(OR(E838="",E838="!!!",F838="NEW"),"",INDEX(J$1:J837,SUMPRODUCT(MAX(ROW(E$1:E837)*(E838=E$1:E837)))))</f>
        <v/>
      </c>
      <c r="L838" s="25"/>
    </row>
    <row r="840" spans="1:12" x14ac:dyDescent="0.3">
      <c r="A840" t="s">
        <v>570</v>
      </c>
    </row>
    <row r="841" spans="1:12" x14ac:dyDescent="0.3">
      <c r="A841" t="s">
        <v>236</v>
      </c>
      <c r="E841" s="20" t="str">
        <f t="shared" ref="E841:E848" si="60">IF(D841="?OLD","!!!","")</f>
        <v/>
      </c>
      <c r="F841" s="21" t="str">
        <f>IF(OR(E841="",E841="!!!"),"",IF(NOT(ISNA(VLOOKUP(E841,E$1:E840,1,FALSE()))),"OLD",IF(AND(E841&lt;&gt;"",E841&lt;&gt;"!!!"),"NEW","")))</f>
        <v/>
      </c>
      <c r="G841" s="22" t="str">
        <f>IF(OR(E841="",E841="!!!"),"",IF(OR(J841=0,AND(J841=1,K841=1),AND(J841=1,I841="SBJ"),AND(J841=1,I841=0)),"?IN_FOCUS",IF(J841&lt;=2,"?ACTIVATED",IF(J841&lt;&gt;"","?FAMILIAR",IF(F841="NEW",IF(ISNA(VLOOKUP(E841,#REF!,1,FALSE())),"?TYPE_IDENTIFIABLE","?REFERENTIAL"),"_")))))</f>
        <v/>
      </c>
      <c r="H841" s="23" t="str">
        <f t="shared" ref="H841:H848" ca="1" si="61">IF(J841&lt;&gt;1,"",IF(I841="SBJ","CB","?"))</f>
        <v/>
      </c>
      <c r="I841" s="24" t="str">
        <f>IF(OR(E841="",E841="!!!",F841="NEW"),"",INDEX(B$2:B840,-1+SUMPRODUCT(MAX(ROW(E$2:E840)*(E841=E$2:E840)))))</f>
        <v/>
      </c>
      <c r="J841" s="24" t="str">
        <f ca="1">IF(OR(E841="",E841="!!!",F841="NEW"),"",COUNTBLANK(OFFSET(A$1,,,SUMPRODUCT(MAX(ROW(E$2:E841)*(E841=E$2:E841)))))-COUNTBLANK(OFFSET(A$1,,,SUMPRODUCT(MAX(ROW(E$1:E840)*(E2=E$1:E840))))))</f>
        <v/>
      </c>
      <c r="K841" s="24" t="str">
        <f>IF(OR(E841="",E841="!!!",F841="NEW"),"",INDEX(J$1:J840,SUMPRODUCT(MAX(ROW(E$1:E840)*(E841=E$1:E840)))))</f>
        <v/>
      </c>
      <c r="L841" s="25"/>
    </row>
    <row r="842" spans="1:12" x14ac:dyDescent="0.3">
      <c r="A842" t="s">
        <v>274</v>
      </c>
      <c r="E842" s="20" t="str">
        <f t="shared" si="60"/>
        <v/>
      </c>
      <c r="F842" s="21" t="str">
        <f>IF(OR(E842="",E842="!!!"),"",IF(NOT(ISNA(VLOOKUP(E842,E$1:E841,1,FALSE()))),"OLD",IF(AND(E842&lt;&gt;"",E842&lt;&gt;"!!!"),"NEW","")))</f>
        <v/>
      </c>
      <c r="G842" s="22" t="str">
        <f>IF(OR(E842="",E842="!!!"),"",IF(OR(J842=0,AND(J842=1,K842=1),AND(J842=1,I842="SBJ"),AND(J842=1,I842=0)),"?IN_FOCUS",IF(J842&lt;=2,"?ACTIVATED",IF(J842&lt;&gt;"","?FAMILIAR",IF(F842="NEW",IF(ISNA(VLOOKUP(E842,#REF!,1,FALSE())),"?TYPE_IDENTIFIABLE","?REFERENTIAL"),"_")))))</f>
        <v/>
      </c>
      <c r="H842" s="23" t="str">
        <f t="shared" ca="1" si="61"/>
        <v/>
      </c>
      <c r="I842" s="24" t="str">
        <f>IF(OR(E842="",E842="!!!",F842="NEW"),"",INDEX(B$2:B841,-1+SUMPRODUCT(MAX(ROW(E$2:E841)*(E842=E$2:E841)))))</f>
        <v/>
      </c>
      <c r="J842" s="24" t="str">
        <f ca="1">IF(OR(E842="",E842="!!!",F842="NEW"),"",COUNTBLANK(OFFSET(A$1,,,SUMPRODUCT(MAX(ROW(E$2:E842)*(E842=E$2:E842)))))-COUNTBLANK(OFFSET(A$1,,,SUMPRODUCT(MAX(ROW(E$1:E841)*(E2=E$1:E841))))))</f>
        <v/>
      </c>
      <c r="K842" s="24" t="str">
        <f>IF(OR(E842="",E842="!!!",F842="NEW"),"",INDEX(J$1:J841,SUMPRODUCT(MAX(ROW(E$1:E841)*(E842=E$1:E841)))))</f>
        <v/>
      </c>
      <c r="L842" s="25"/>
    </row>
    <row r="843" spans="1:12" x14ac:dyDescent="0.3">
      <c r="A843" t="s">
        <v>290</v>
      </c>
      <c r="B843" s="26" t="s">
        <v>205</v>
      </c>
      <c r="C843" s="26" t="s">
        <v>214</v>
      </c>
      <c r="D843" s="26" t="s">
        <v>215</v>
      </c>
      <c r="E843" s="20" t="s">
        <v>669</v>
      </c>
      <c r="F843" s="21" t="str">
        <f>IF(OR(E843="",E843="!!!"),"",IF(NOT(ISNA(VLOOKUP(E843,E$1:E842,1,FALSE()))),"OLD",IF(AND(E843&lt;&gt;"",E843&lt;&gt;"!!!"),"NEW","")))</f>
        <v>OLD</v>
      </c>
      <c r="G843" s="22" t="s">
        <v>665</v>
      </c>
      <c r="H843" s="23" t="str">
        <f t="shared" ca="1" si="61"/>
        <v/>
      </c>
      <c r="I843" s="24" t="str">
        <f>IF(OR(E843="",E843="!!!",F843="NEW"),"",INDEX(B$2:B842,-1+SUMPRODUCT(MAX(ROW(E$2:E842)*(E843=E$2:E842)))))</f>
        <v>other_2</v>
      </c>
      <c r="J843" s="24">
        <f ca="1">IF(OR(E843="",E843="!!!",F843="NEW"),"",COUNTBLANK(OFFSET(A$1,,,SUMPRODUCT(MAX(ROW(E$2:E843)*(E843=E$2:E843)))))-COUNTBLANK(OFFSET(A$1,,,SUMPRODUCT(MAX(ROW(E$1:E842)*(E2=E$1:E842))))))</f>
        <v>0</v>
      </c>
      <c r="K843" s="24">
        <f ca="1">IF(OR(E843="",E843="!!!",F843="NEW"),"",INDEX(J$1:J842,SUMPRODUCT(MAX(ROW(E$1:E842)*(E843=E$1:E842)))))</f>
        <v>0</v>
      </c>
      <c r="L843" s="25"/>
    </row>
    <row r="844" spans="1:12" x14ac:dyDescent="0.3">
      <c r="A844" t="s">
        <v>207</v>
      </c>
      <c r="E844" s="20" t="str">
        <f t="shared" si="60"/>
        <v/>
      </c>
      <c r="F844" s="21" t="str">
        <f>IF(OR(E844="",E844="!!!"),"",IF(NOT(ISNA(VLOOKUP(E844,E$1:E843,1,FALSE()))),"OLD",IF(AND(E844&lt;&gt;"",E844&lt;&gt;"!!!"),"NEW","")))</f>
        <v/>
      </c>
      <c r="G844" s="22" t="str">
        <f>IF(OR(E844="",E844="!!!"),"",IF(OR(J844=0,AND(J844=1,K844=1),AND(J844=1,I844="SBJ"),AND(J844=1,I844=0)),"?IN_FOCUS",IF(J844&lt;=2,"?ACTIVATED",IF(J844&lt;&gt;"","?FAMILIAR",IF(F844="NEW",IF(ISNA(VLOOKUP(E844,#REF!,1,FALSE())),"?TYPE_IDENTIFIABLE","?REFERENTIAL"),"_")))))</f>
        <v/>
      </c>
      <c r="H844" s="23" t="str">
        <f t="shared" ca="1" si="61"/>
        <v/>
      </c>
      <c r="I844" s="24" t="str">
        <f>IF(OR(E844="",E844="!!!",F844="NEW"),"",INDEX(B$2:B843,-1+SUMPRODUCT(MAX(ROW(E$2:E843)*(E844=E$2:E843)))))</f>
        <v/>
      </c>
      <c r="J844" s="24" t="str">
        <f ca="1">IF(OR(E844="",E844="!!!",F844="NEW"),"",COUNTBLANK(OFFSET(A$1,,,SUMPRODUCT(MAX(ROW(E$2:E844)*(E844=E$2:E844)))))-COUNTBLANK(OFFSET(A$1,,,SUMPRODUCT(MAX(ROW(E$1:E843)*(E2=E$1:E843))))))</f>
        <v/>
      </c>
      <c r="K844" s="24" t="str">
        <f>IF(OR(E844="",E844="!!!",F844="NEW"),"",INDEX(J$1:J843,SUMPRODUCT(MAX(ROW(E$1:E843)*(E844=E$1:E843)))))</f>
        <v/>
      </c>
      <c r="L844" s="25"/>
    </row>
    <row r="845" spans="1:12" x14ac:dyDescent="0.3">
      <c r="A845" t="s">
        <v>188</v>
      </c>
      <c r="B845" s="26" t="s">
        <v>213</v>
      </c>
      <c r="C845" s="26" t="s">
        <v>226</v>
      </c>
      <c r="E845" s="20" t="s">
        <v>188</v>
      </c>
      <c r="F845" s="21" t="str">
        <f>IF(OR(E845="",E845="!!!"),"",IF(NOT(ISNA(VLOOKUP(E845,E$1:E844,1,FALSE()))),"OLD",IF(AND(E845&lt;&gt;"",E845&lt;&gt;"!!!"),"NEW","")))</f>
        <v>OLD</v>
      </c>
      <c r="G845" s="22" t="str">
        <f ca="1">IF(OR(E845="",E845="!!!"),"",IF(OR(J845=0,AND(J845=1,K845=1),AND(J845=1,I845="SBJ"),AND(J845=1,I845=0)),"?IN_FOCUS",IF(J845&lt;=2,"?ACTIVATED",IF(J845&lt;&gt;"","?FAMILIAR",IF(F845="NEW",IF(ISNA(VLOOKUP(E845,#REF!,1,FALSE())),"?TYPE_IDENTIFIABLE","?REFERENTIAL"),"_")))))</f>
        <v>?IN_FOCUS</v>
      </c>
      <c r="H845" s="23" t="s">
        <v>198</v>
      </c>
      <c r="I845" s="24">
        <f>IF(OR(E845="",E845="!!!",F845="NEW"),"",INDEX(B$2:B844,-1+SUMPRODUCT(MAX(ROW(E$2:E844)*(E845=E$2:E844)))))</f>
        <v>0</v>
      </c>
      <c r="J845" s="24">
        <f ca="1">IF(OR(E845="",E845="!!!",F845="NEW"),"",COUNTBLANK(OFFSET(A$1,,,SUMPRODUCT(MAX(ROW(E$2:E845)*(E845=E$2:E845)))))-COUNTBLANK(OFFSET(A$1,,,SUMPRODUCT(MAX(ROW(E$1:E844)*(E2=E$1:E844))))))</f>
        <v>0</v>
      </c>
      <c r="K845" s="24">
        <f ca="1">IF(OR(E845="",E845="!!!",F845="NEW"),"",INDEX(J$1:J844,SUMPRODUCT(MAX(ROW(E$1:E844)*(E845=E$1:E844)))))</f>
        <v>0</v>
      </c>
      <c r="L845" s="25"/>
    </row>
    <row r="846" spans="1:12" x14ac:dyDescent="0.3">
      <c r="A846" t="s">
        <v>431</v>
      </c>
      <c r="E846" s="20" t="str">
        <f t="shared" si="60"/>
        <v/>
      </c>
      <c r="F846" s="21" t="str">
        <f>IF(OR(E846="",E846="!!!"),"",IF(NOT(ISNA(VLOOKUP(E846,E$1:E845,1,FALSE()))),"OLD",IF(AND(E846&lt;&gt;"",E846&lt;&gt;"!!!"),"NEW","")))</f>
        <v/>
      </c>
      <c r="G846" s="22" t="str">
        <f>IF(OR(E846="",E846="!!!"),"",IF(OR(J846=0,AND(J846=1,K846=1),AND(J846=1,I846="SBJ"),AND(J846=1,I846=0)),"?IN_FOCUS",IF(J846&lt;=2,"?ACTIVATED",IF(J846&lt;&gt;"","?FAMILIAR",IF(F846="NEW",IF(ISNA(VLOOKUP(E846,#REF!,1,FALSE())),"?TYPE_IDENTIFIABLE","?REFERENTIAL"),"_")))))</f>
        <v/>
      </c>
      <c r="H846" s="23" t="str">
        <f t="shared" ca="1" si="61"/>
        <v/>
      </c>
      <c r="I846" s="24" t="str">
        <f>IF(OR(E846="",E846="!!!",F846="NEW"),"",INDEX(B$2:B845,-1+SUMPRODUCT(MAX(ROW(E$2:E845)*(E846=E$2:E845)))))</f>
        <v/>
      </c>
      <c r="J846" s="24" t="str">
        <f ca="1">IF(OR(E846="",E846="!!!",F846="NEW"),"",COUNTBLANK(OFFSET(A$1,,,SUMPRODUCT(MAX(ROW(E$2:E846)*(E846=E$2:E846)))))-COUNTBLANK(OFFSET(A$1,,,SUMPRODUCT(MAX(ROW(E$1:E845)*(E2=E$1:E845))))))</f>
        <v/>
      </c>
      <c r="K846" s="24" t="str">
        <f>IF(OR(E846="",E846="!!!",F846="NEW"),"",INDEX(J$1:J845,SUMPRODUCT(MAX(ROW(E$1:E845)*(E846=E$1:E845)))))</f>
        <v/>
      </c>
      <c r="L846" s="25"/>
    </row>
    <row r="847" spans="1:12" x14ac:dyDescent="0.3">
      <c r="A847" t="s">
        <v>571</v>
      </c>
      <c r="B847" s="26" t="s">
        <v>205</v>
      </c>
      <c r="C847" s="26" t="s">
        <v>226</v>
      </c>
      <c r="E847" s="20" t="str">
        <f t="shared" si="60"/>
        <v/>
      </c>
      <c r="F847" s="21" t="str">
        <f>IF(OR(E847="",E847="!!!"),"",IF(NOT(ISNA(VLOOKUP(E847,E$1:E846,1,FALSE()))),"OLD",IF(AND(E847&lt;&gt;"",E847&lt;&gt;"!!!"),"NEW","")))</f>
        <v/>
      </c>
      <c r="G847" s="22" t="str">
        <f>IF(OR(E847="",E847="!!!"),"",IF(OR(J847=0,AND(J847=1,K847=1),AND(J847=1,I847="SBJ"),AND(J847=1,I847=0)),"?IN_FOCUS",IF(J847&lt;=2,"?ACTIVATED",IF(J847&lt;&gt;"","?FAMILIAR",IF(F847="NEW",IF(ISNA(VLOOKUP(E847,#REF!,1,FALSE())),"?TYPE_IDENTIFIABLE","?REFERENTIAL"),"_")))))</f>
        <v/>
      </c>
      <c r="H847" s="23" t="str">
        <f t="shared" ca="1" si="61"/>
        <v/>
      </c>
      <c r="I847" s="24" t="str">
        <f>IF(OR(E847="",E847="!!!",F847="NEW"),"",INDEX(B$2:B846,-1+SUMPRODUCT(MAX(ROW(E$2:E846)*(E847=E$2:E846)))))</f>
        <v/>
      </c>
      <c r="J847" s="24" t="str">
        <f ca="1">IF(OR(E847="",E847="!!!",F847="NEW"),"",COUNTBLANK(OFFSET(A$1,,,SUMPRODUCT(MAX(ROW(E$2:E847)*(E847=E$2:E847)))))-COUNTBLANK(OFFSET(A$1,,,SUMPRODUCT(MAX(ROW(E$1:E846)*(E2=E$1:E846))))))</f>
        <v/>
      </c>
      <c r="K847" s="24" t="str">
        <f>IF(OR(E847="",E847="!!!",F847="NEW"),"",INDEX(J$1:J846,SUMPRODUCT(MAX(ROW(E$1:E846)*(E847=E$1:E846)))))</f>
        <v/>
      </c>
      <c r="L847" s="25"/>
    </row>
    <row r="848" spans="1:12" x14ac:dyDescent="0.3">
      <c r="A848" t="s">
        <v>234</v>
      </c>
      <c r="E848" s="20" t="str">
        <f t="shared" si="60"/>
        <v/>
      </c>
      <c r="F848" s="21" t="str">
        <f>IF(OR(E848="",E848="!!!"),"",IF(NOT(ISNA(VLOOKUP(E848,E$1:E847,1,FALSE()))),"OLD",IF(AND(E848&lt;&gt;"",E848&lt;&gt;"!!!"),"NEW","")))</f>
        <v/>
      </c>
      <c r="G848" s="22" t="str">
        <f>IF(OR(E848="",E848="!!!"),"",IF(OR(J848=0,AND(J848=1,K848=1),AND(J848=1,I848="SBJ"),AND(J848=1,I848=0)),"?IN_FOCUS",IF(J848&lt;=2,"?ACTIVATED",IF(J848&lt;&gt;"","?FAMILIAR",IF(F848="NEW",IF(ISNA(VLOOKUP(E848,#REF!,1,FALSE())),"?TYPE_IDENTIFIABLE","?REFERENTIAL"),"_")))))</f>
        <v/>
      </c>
      <c r="H848" s="23" t="str">
        <f t="shared" ca="1" si="61"/>
        <v/>
      </c>
      <c r="I848" s="24" t="str">
        <f>IF(OR(E848="",E848="!!!",F848="NEW"),"",INDEX(B$2:B847,-1+SUMPRODUCT(MAX(ROW(E$2:E847)*(E848=E$2:E847)))))</f>
        <v/>
      </c>
      <c r="J848" s="24" t="str">
        <f ca="1">IF(OR(E848="",E848="!!!",F848="NEW"),"",COUNTBLANK(OFFSET(A$1,,,SUMPRODUCT(MAX(ROW(E$2:E848)*(E848=E$2:E848)))))-COUNTBLANK(OFFSET(A$1,,,SUMPRODUCT(MAX(ROW(E$1:E847)*(E2=E$1:E847))))))</f>
        <v/>
      </c>
      <c r="K848" s="24" t="str">
        <f>IF(OR(E848="",E848="!!!",F848="NEW"),"",INDEX(J$1:J847,SUMPRODUCT(MAX(ROW(E$1:E847)*(E848=E$1:E847)))))</f>
        <v/>
      </c>
      <c r="L848" s="25"/>
    </row>
    <row r="850" spans="1:12" x14ac:dyDescent="0.3">
      <c r="A850" t="s">
        <v>572</v>
      </c>
    </row>
    <row r="851" spans="1:12" x14ac:dyDescent="0.3">
      <c r="A851" t="s">
        <v>573</v>
      </c>
      <c r="E851" s="20" t="str">
        <f t="shared" ref="E851:E873" si="62">IF(D851="?OLD","!!!","")</f>
        <v/>
      </c>
      <c r="F851" s="21" t="str">
        <f>IF(OR(E851="",E851="!!!"),"",IF(NOT(ISNA(VLOOKUP(E851,E$1:E850,1,FALSE()))),"OLD",IF(AND(E851&lt;&gt;"",E851&lt;&gt;"!!!"),"NEW","")))</f>
        <v/>
      </c>
      <c r="G851" s="22" t="str">
        <f>IF(OR(E851="",E851="!!!"),"",IF(OR(J851=0,AND(J851=1,K851=1),AND(J851=1,I851="SBJ"),AND(J851=1,I851=0)),"?IN_FOCUS",IF(J851&lt;=2,"?ACTIVATED",IF(J851&lt;&gt;"","?FAMILIAR",IF(F851="NEW",IF(ISNA(VLOOKUP(E851,#REF!,1,FALSE())),"?TYPE_IDENTIFIABLE","?REFERENTIAL"),"_")))))</f>
        <v/>
      </c>
      <c r="H851" s="23" t="str">
        <f t="shared" ref="H851:H873" ca="1" si="63">IF(J851&lt;&gt;1,"",IF(I851="SBJ","CB","?"))</f>
        <v/>
      </c>
      <c r="I851" s="24" t="str">
        <f>IF(OR(E851="",E851="!!!",F851="NEW"),"",INDEX(B$2:B850,-1+SUMPRODUCT(MAX(ROW(E$2:E850)*(E851=E$2:E850)))))</f>
        <v/>
      </c>
      <c r="J851" s="24" t="str">
        <f ca="1">IF(OR(E851="",E851="!!!",F851="NEW"),"",COUNTBLANK(OFFSET(A$1,,,SUMPRODUCT(MAX(ROW(E$2:E851)*(E851=E$2:E851)))))-COUNTBLANK(OFFSET(A$1,,,SUMPRODUCT(MAX(ROW(E$1:E850)*(E2=E$1:E850))))))</f>
        <v/>
      </c>
      <c r="K851" s="24" t="str">
        <f>IF(OR(E851="",E851="!!!",F851="NEW"),"",INDEX(J$1:J850,SUMPRODUCT(MAX(ROW(E$1:E850)*(E851=E$1:E850)))))</f>
        <v/>
      </c>
      <c r="L851" s="25"/>
    </row>
    <row r="852" spans="1:12" x14ac:dyDescent="0.3">
      <c r="A852" t="s">
        <v>188</v>
      </c>
      <c r="B852" s="26" t="s">
        <v>229</v>
      </c>
      <c r="C852" s="26" t="s">
        <v>226</v>
      </c>
      <c r="E852" s="20" t="s">
        <v>188</v>
      </c>
      <c r="F852" s="21" t="str">
        <f>IF(OR(E852="",E852="!!!"),"",IF(NOT(ISNA(VLOOKUP(E852,E$1:E851,1,FALSE()))),"OLD",IF(AND(E852&lt;&gt;"",E852&lt;&gt;"!!!"),"NEW","")))</f>
        <v>OLD</v>
      </c>
      <c r="G852" s="22" t="str">
        <f ca="1">IF(OR(E852="",E852="!!!"),"",IF(OR(J852=0,AND(J852=1,K852=1),AND(J852=1,I852="SBJ"),AND(J852=1,I852=0)),"?IN_FOCUS",IF(J852&lt;=2,"?ACTIVATED",IF(J852&lt;&gt;"","?FAMILIAR",IF(F852="NEW",IF(ISNA(VLOOKUP(E852,#REF!,1,FALSE())),"?TYPE_IDENTIFIABLE","?REFERENTIAL"),"_")))))</f>
        <v>?IN_FOCUS</v>
      </c>
      <c r="H852" s="23" t="s">
        <v>198</v>
      </c>
      <c r="I852" s="24" t="str">
        <f>IF(OR(E852="",E852="!!!",F852="NEW"),"",INDEX(B$2:B851,-1+SUMPRODUCT(MAX(ROW(E$2:E851)*(E852=E$2:E851)))))</f>
        <v>SBJ</v>
      </c>
      <c r="J852" s="24">
        <f ca="1">IF(OR(E852="",E852="!!!",F852="NEW"),"",COUNTBLANK(OFFSET(A$1,,,SUMPRODUCT(MAX(ROW(E$2:E852)*(E852=E$2:E852)))))-COUNTBLANK(OFFSET(A$1,,,SUMPRODUCT(MAX(ROW(E$1:E851)*(E2=E$1:E851))))))</f>
        <v>0</v>
      </c>
      <c r="K852" s="24">
        <f ca="1">IF(OR(E852="",E852="!!!",F852="NEW"),"",INDEX(J$1:J851,SUMPRODUCT(MAX(ROW(E$1:E851)*(E852=E$1:E851)))))</f>
        <v>0</v>
      </c>
      <c r="L852" s="25"/>
    </row>
    <row r="853" spans="1:12" x14ac:dyDescent="0.3">
      <c r="A853" t="s">
        <v>574</v>
      </c>
      <c r="E853" s="20" t="str">
        <f t="shared" si="62"/>
        <v/>
      </c>
      <c r="F853" s="21" t="str">
        <f>IF(OR(E853="",E853="!!!"),"",IF(NOT(ISNA(VLOOKUP(E853,E$1:E852,1,FALSE()))),"OLD",IF(AND(E853&lt;&gt;"",E853&lt;&gt;"!!!"),"NEW","")))</f>
        <v/>
      </c>
      <c r="G853" s="22" t="str">
        <f>IF(OR(E853="",E853="!!!"),"",IF(OR(J853=0,AND(J853=1,K853=1),AND(J853=1,I853="SBJ"),AND(J853=1,I853=0)),"?IN_FOCUS",IF(J853&lt;=2,"?ACTIVATED",IF(J853&lt;&gt;"","?FAMILIAR",IF(F853="NEW",IF(ISNA(VLOOKUP(E853,#REF!,1,FALSE())),"?TYPE_IDENTIFIABLE","?REFERENTIAL"),"_")))))</f>
        <v/>
      </c>
      <c r="H853" s="23" t="str">
        <f t="shared" ca="1" si="63"/>
        <v/>
      </c>
      <c r="I853" s="24" t="str">
        <f>IF(OR(E853="",E853="!!!",F853="NEW"),"",INDEX(B$2:B852,-1+SUMPRODUCT(MAX(ROW(E$2:E852)*(E853=E$2:E852)))))</f>
        <v/>
      </c>
      <c r="J853" s="24" t="str">
        <f ca="1">IF(OR(E853="",E853="!!!",F853="NEW"),"",COUNTBLANK(OFFSET(A$1,,,SUMPRODUCT(MAX(ROW(E$2:E853)*(E853=E$2:E853)))))-COUNTBLANK(OFFSET(A$1,,,SUMPRODUCT(MAX(ROW(E$1:E852)*(E2=E$1:E852))))))</f>
        <v/>
      </c>
      <c r="K853" s="24" t="str">
        <f>IF(OR(E853="",E853="!!!",F853="NEW"),"",INDEX(J$1:J852,SUMPRODUCT(MAX(ROW(E$1:E852)*(E853=E$1:E852)))))</f>
        <v/>
      </c>
      <c r="L853" s="25"/>
    </row>
    <row r="854" spans="1:12" x14ac:dyDescent="0.3">
      <c r="A854" t="s">
        <v>423</v>
      </c>
      <c r="B854" s="26" t="s">
        <v>233</v>
      </c>
      <c r="C854" s="26" t="s">
        <v>230</v>
      </c>
      <c r="D854" s="26" t="s">
        <v>215</v>
      </c>
      <c r="E854" s="20" t="s">
        <v>669</v>
      </c>
      <c r="F854" s="21" t="str">
        <f>IF(OR(E854="",E854="!!!"),"",IF(NOT(ISNA(VLOOKUP(E854,E$1:E853,1,FALSE()))),"OLD",IF(AND(E854&lt;&gt;"",E854&lt;&gt;"!!!"),"NEW","")))</f>
        <v>OLD</v>
      </c>
      <c r="G854" s="22" t="str">
        <f ca="1">IF(OR(E854="",E854="!!!"),"",IF(OR(J854=0,AND(J854=1,K854=1),AND(J854=1,I854="SBJ"),AND(J854=1,I854=0)),"?IN_FOCUS",IF(J854&lt;=2,"?ACTIVATED",IF(J854&lt;&gt;"","?FAMILIAR",IF(F854="NEW",IF(ISNA(VLOOKUP(E854,#REF!,1,FALSE())),"?TYPE_IDENTIFIABLE","?REFERENTIAL"),"_")))))</f>
        <v>?IN_FOCUS</v>
      </c>
      <c r="H854" s="23" t="str">
        <f t="shared" ca="1" si="63"/>
        <v/>
      </c>
      <c r="I854" s="24" t="str">
        <f>IF(OR(E854="",E854="!!!",F854="NEW"),"",INDEX(B$2:B853,-1+SUMPRODUCT(MAX(ROW(E$2:E853)*(E854=E$2:E853)))))</f>
        <v>other</v>
      </c>
      <c r="J854" s="24">
        <f ca="1">IF(OR(E854="",E854="!!!",F854="NEW"),"",COUNTBLANK(OFFSET(A$1,,,SUMPRODUCT(MAX(ROW(E$2:E854)*(E854=E$2:E854)))))-COUNTBLANK(OFFSET(A$1,,,SUMPRODUCT(MAX(ROW(E$1:E853)*(E2=E$1:E853))))))</f>
        <v>0</v>
      </c>
      <c r="K854" s="24">
        <f ca="1">IF(OR(E854="",E854="!!!",F854="NEW"),"",INDEX(J$1:J853,SUMPRODUCT(MAX(ROW(E$1:E853)*(E854=E$1:E853)))))</f>
        <v>0</v>
      </c>
      <c r="L854" s="25"/>
    </row>
    <row r="855" spans="1:12" x14ac:dyDescent="0.3">
      <c r="A855" t="s">
        <v>323</v>
      </c>
      <c r="E855" s="20" t="str">
        <f t="shared" si="62"/>
        <v/>
      </c>
      <c r="F855" s="21" t="str">
        <f>IF(OR(E855="",E855="!!!"),"",IF(NOT(ISNA(VLOOKUP(E855,E$1:E854,1,FALSE()))),"OLD",IF(AND(E855&lt;&gt;"",E855&lt;&gt;"!!!"),"NEW","")))</f>
        <v/>
      </c>
      <c r="G855" s="22" t="str">
        <f>IF(OR(E855="",E855="!!!"),"",IF(OR(J855=0,AND(J855=1,K855=1),AND(J855=1,I855="SBJ"),AND(J855=1,I855=0)),"?IN_FOCUS",IF(J855&lt;=2,"?ACTIVATED",IF(J855&lt;&gt;"","?FAMILIAR",IF(F855="NEW",IF(ISNA(VLOOKUP(E855,#REF!,1,FALSE())),"?TYPE_IDENTIFIABLE","?REFERENTIAL"),"_")))))</f>
        <v/>
      </c>
      <c r="H855" s="23" t="str">
        <f t="shared" ca="1" si="63"/>
        <v/>
      </c>
      <c r="I855" s="24" t="str">
        <f>IF(OR(E855="",E855="!!!",F855="NEW"),"",INDEX(B$2:B854,-1+SUMPRODUCT(MAX(ROW(E$2:E854)*(E855=E$2:E854)))))</f>
        <v/>
      </c>
      <c r="J855" s="24" t="str">
        <f ca="1">IF(OR(E855="",E855="!!!",F855="NEW"),"",COUNTBLANK(OFFSET(A$1,,,SUMPRODUCT(MAX(ROW(E$2:E855)*(E855=E$2:E855)))))-COUNTBLANK(OFFSET(A$1,,,SUMPRODUCT(MAX(ROW(E$1:E854)*(E2=E$1:E854))))))</f>
        <v/>
      </c>
      <c r="K855" s="24" t="str">
        <f>IF(OR(E855="",E855="!!!",F855="NEW"),"",INDEX(J$1:J854,SUMPRODUCT(MAX(ROW(E$1:E854)*(E855=E$1:E854)))))</f>
        <v/>
      </c>
      <c r="L855" s="25"/>
    </row>
    <row r="856" spans="1:12" x14ac:dyDescent="0.3">
      <c r="A856" t="s">
        <v>575</v>
      </c>
      <c r="E856" s="20" t="str">
        <f t="shared" si="62"/>
        <v/>
      </c>
      <c r="F856" s="21" t="str">
        <f>IF(OR(E856="",E856="!!!"),"",IF(NOT(ISNA(VLOOKUP(E856,E$1:E855,1,FALSE()))),"OLD",IF(AND(E856&lt;&gt;"",E856&lt;&gt;"!!!"),"NEW","")))</f>
        <v/>
      </c>
      <c r="G856" s="22" t="str">
        <f>IF(OR(E856="",E856="!!!"),"",IF(OR(J856=0,AND(J856=1,K856=1),AND(J856=1,I856="SBJ"),AND(J856=1,I856=0)),"?IN_FOCUS",IF(J856&lt;=2,"?ACTIVATED",IF(J856&lt;&gt;"","?FAMILIAR",IF(F856="NEW",IF(ISNA(VLOOKUP(E856,#REF!,1,FALSE())),"?TYPE_IDENTIFIABLE","?REFERENTIAL"),"_")))))</f>
        <v/>
      </c>
      <c r="H856" s="23" t="str">
        <f t="shared" ca="1" si="63"/>
        <v/>
      </c>
      <c r="I856" s="24" t="str">
        <f>IF(OR(E856="",E856="!!!",F856="NEW"),"",INDEX(B$2:B855,-1+SUMPRODUCT(MAX(ROW(E$2:E855)*(E856=E$2:E855)))))</f>
        <v/>
      </c>
      <c r="J856" s="24" t="str">
        <f ca="1">IF(OR(E856="",E856="!!!",F856="NEW"),"",COUNTBLANK(OFFSET(A$1,,,SUMPRODUCT(MAX(ROW(E$2:E856)*(E856=E$2:E856)))))-COUNTBLANK(OFFSET(A$1,,,SUMPRODUCT(MAX(ROW(E$1:E855)*(E2=E$1:E855))))))</f>
        <v/>
      </c>
      <c r="K856" s="24" t="str">
        <f>IF(OR(E856="",E856="!!!",F856="NEW"),"",INDEX(J$1:J855,SUMPRODUCT(MAX(ROW(E$1:E855)*(E856=E$1:E855)))))</f>
        <v/>
      </c>
      <c r="L856" s="25"/>
    </row>
    <row r="857" spans="1:12" x14ac:dyDescent="0.3">
      <c r="A857" t="s">
        <v>424</v>
      </c>
      <c r="B857" s="26" t="s">
        <v>266</v>
      </c>
      <c r="C857" s="26" t="s">
        <v>380</v>
      </c>
      <c r="D857" s="26" t="s">
        <v>215</v>
      </c>
      <c r="E857" s="20" t="s">
        <v>669</v>
      </c>
      <c r="F857" s="21" t="str">
        <f>IF(OR(E857="",E857="!!!"),"",IF(NOT(ISNA(VLOOKUP(E857,E$1:E856,1,FALSE()))),"OLD",IF(AND(E857&lt;&gt;"",E857&lt;&gt;"!!!"),"NEW","")))</f>
        <v>OLD</v>
      </c>
      <c r="G857" s="22" t="str">
        <f ca="1">IF(OR(E857="",E857="!!!"),"",IF(OR(J857=0,AND(J857=1,K857=1),AND(J857=1,I857="SBJ"),AND(J857=1,I857=0)),"?IN_FOCUS",IF(J857&lt;=2,"?ACTIVATED",IF(J857&lt;&gt;"","?FAMILIAR",IF(F857="NEW",IF(ISNA(VLOOKUP(E857,#REF!,1,FALSE())),"?TYPE_IDENTIFIABLE","?REFERENTIAL"),"_")))))</f>
        <v>?IN_FOCUS</v>
      </c>
      <c r="H857" s="23" t="str">
        <f t="shared" ca="1" si="63"/>
        <v/>
      </c>
      <c r="I857" s="24" t="str">
        <f>IF(OR(E857="",E857="!!!",F857="NEW"),"",INDEX(B$2:B856,-1+SUMPRODUCT(MAX(ROW(E$2:E856)*(E857=E$2:E856)))))</f>
        <v>OBJ_2</v>
      </c>
      <c r="J857" s="24">
        <f ca="1">IF(OR(E857="",E857="!!!",F857="NEW"),"",COUNTBLANK(OFFSET(A$1,,,SUMPRODUCT(MAX(ROW(E$2:E857)*(E857=E$2:E857)))))-COUNTBLANK(OFFSET(A$1,,,SUMPRODUCT(MAX(ROW(E$1:E856)*(E2=E$1:E856))))))</f>
        <v>0</v>
      </c>
      <c r="K857" s="24">
        <f ca="1">IF(OR(E857="",E857="!!!",F857="NEW"),"",INDEX(J$1:J856,SUMPRODUCT(MAX(ROW(E$1:E856)*(E857=E$1:E856)))))</f>
        <v>0</v>
      </c>
      <c r="L857" s="25"/>
    </row>
    <row r="858" spans="1:12" x14ac:dyDescent="0.3">
      <c r="A858" t="s">
        <v>576</v>
      </c>
      <c r="B858" s="26" t="s">
        <v>328</v>
      </c>
      <c r="C858" s="26" t="s">
        <v>264</v>
      </c>
      <c r="D858" s="26" t="s">
        <v>215</v>
      </c>
      <c r="E858" s="20" t="s">
        <v>717</v>
      </c>
      <c r="F858" s="21" t="str">
        <f>IF(OR(E858="",E858="!!!"),"",IF(NOT(ISNA(VLOOKUP(E858,E$1:E857,1,FALSE()))),"OLD",IF(AND(E858&lt;&gt;"",E858&lt;&gt;"!!!"),"NEW","")))</f>
        <v>NEW</v>
      </c>
      <c r="G858" s="22" t="str">
        <f ca="1">IF(OR(E858="",E858="!!!"),"",IF(OR(J858=0,AND(J858=1,K858=1),AND(J858=1,I858="SBJ"),AND(J858=1,I858=0)),"?IN_FOCUS",IF(J858&lt;=2,"?ACTIVATED",IF(J858&lt;&gt;"","?FAMILIAR",IF(F858="NEW",IF(ISNA(VLOOKUP(E858,#REF!,1,FALSE())),"?TYPE_IDENTIFIABLE","?REFERENTIAL"),"_")))))</f>
        <v>?REFERENTIAL</v>
      </c>
      <c r="H858" s="23" t="str">
        <f t="shared" ca="1" si="63"/>
        <v/>
      </c>
      <c r="I858" s="24" t="str">
        <f>IF(OR(E858="",E858="!!!",F858="NEW"),"",INDEX(B$2:B857,-1+SUMPRODUCT(MAX(ROW(E$2:E857)*(E858=E$2:E857)))))</f>
        <v/>
      </c>
      <c r="J858" s="24" t="str">
        <f ca="1">IF(OR(E858="",E858="!!!",F858="NEW"),"",COUNTBLANK(OFFSET(A$1,,,SUMPRODUCT(MAX(ROW(E$2:E858)*(E858=E$2:E858)))))-COUNTBLANK(OFFSET(A$1,,,SUMPRODUCT(MAX(ROW(E$1:E857)*(E2=E$1:E857))))))</f>
        <v/>
      </c>
      <c r="K858" s="24" t="str">
        <f>IF(OR(E858="",E858="!!!",F858="NEW"),"",INDEX(J$1:J857,SUMPRODUCT(MAX(ROW(E$1:E857)*(E858=E$1:E857)))))</f>
        <v/>
      </c>
      <c r="L858" s="25"/>
    </row>
    <row r="859" spans="1:12" x14ac:dyDescent="0.3">
      <c r="A859" t="s">
        <v>287</v>
      </c>
      <c r="E859" s="20" t="str">
        <f t="shared" si="62"/>
        <v/>
      </c>
      <c r="F859" s="21" t="str">
        <f>IF(OR(E859="",E859="!!!"),"",IF(NOT(ISNA(VLOOKUP(E859,E$1:E858,1,FALSE()))),"OLD",IF(AND(E859&lt;&gt;"",E859&lt;&gt;"!!!"),"NEW","")))</f>
        <v/>
      </c>
      <c r="G859" s="22" t="str">
        <f>IF(OR(E859="",E859="!!!"),"",IF(OR(J859=0,AND(J859=1,K859=1),AND(J859=1,I859="SBJ"),AND(J859=1,I859=0)),"?IN_FOCUS",IF(J859&lt;=2,"?ACTIVATED",IF(J859&lt;&gt;"","?FAMILIAR",IF(F859="NEW",IF(ISNA(VLOOKUP(E859,#REF!,1,FALSE())),"?TYPE_IDENTIFIABLE","?REFERENTIAL"),"_")))))</f>
        <v/>
      </c>
      <c r="H859" s="23" t="str">
        <f t="shared" ca="1" si="63"/>
        <v/>
      </c>
      <c r="I859" s="24" t="str">
        <f>IF(OR(E859="",E859="!!!",F859="NEW"),"",INDEX(B$2:B858,-1+SUMPRODUCT(MAX(ROW(E$2:E858)*(E859=E$2:E858)))))</f>
        <v/>
      </c>
      <c r="J859" s="24" t="str">
        <f ca="1">IF(OR(E859="",E859="!!!",F859="NEW"),"",COUNTBLANK(OFFSET(A$1,,,SUMPRODUCT(MAX(ROW(E$2:E859)*(E859=E$2:E859)))))-COUNTBLANK(OFFSET(A$1,,,SUMPRODUCT(MAX(ROW(E$1:E858)*(E2=E$1:E858))))))</f>
        <v/>
      </c>
      <c r="K859" s="24" t="str">
        <f>IF(OR(E859="",E859="!!!",F859="NEW"),"",INDEX(J$1:J858,SUMPRODUCT(MAX(ROW(E$1:E858)*(E859=E$1:E858)))))</f>
        <v/>
      </c>
      <c r="L859" s="25"/>
    </row>
    <row r="860" spans="1:12" x14ac:dyDescent="0.3">
      <c r="A860" t="s">
        <v>577</v>
      </c>
      <c r="B860" s="26" t="s">
        <v>266</v>
      </c>
      <c r="C860" s="26" t="s">
        <v>226</v>
      </c>
      <c r="E860" s="20" t="s">
        <v>718</v>
      </c>
      <c r="F860" s="21" t="str">
        <f>IF(OR(E860="",E860="!!!"),"",IF(NOT(ISNA(VLOOKUP(E860,E$1:E859,1,FALSE()))),"OLD",IF(AND(E860&lt;&gt;"",E860&lt;&gt;"!!!"),"NEW","")))</f>
        <v>NEW</v>
      </c>
      <c r="G860" s="22" t="str">
        <f ca="1">IF(OR(E860="",E860="!!!"),"",IF(OR(J860=0,AND(J860=1,K860=1),AND(J860=1,I860="SBJ"),AND(J860=1,I860=0)),"?IN_FOCUS",IF(J860&lt;=2,"?ACTIVATED",IF(J860&lt;&gt;"","?FAMILIAR",IF(F860="NEW",IF(ISNA(VLOOKUP(E860,#REF!,1,FALSE())),"?TYPE_IDENTIFIABLE","?REFERENTIAL"),"_")))))</f>
        <v>?REFERENTIAL</v>
      </c>
      <c r="H860" s="23" t="str">
        <f t="shared" ca="1" si="63"/>
        <v/>
      </c>
      <c r="I860" s="24" t="str">
        <f>IF(OR(E860="",E860="!!!",F860="NEW"),"",INDEX(B$2:B859,-1+SUMPRODUCT(MAX(ROW(E$2:E859)*(E860=E$2:E859)))))</f>
        <v/>
      </c>
      <c r="J860" s="24" t="str">
        <f ca="1">IF(OR(E860="",E860="!!!",F860="NEW"),"",COUNTBLANK(OFFSET(A$1,,,SUMPRODUCT(MAX(ROW(E$2:E860)*(E860=E$2:E860)))))-COUNTBLANK(OFFSET(A$1,,,SUMPRODUCT(MAX(ROW(E$1:E859)*(E2=E$1:E859))))))</f>
        <v/>
      </c>
      <c r="K860" s="24" t="str">
        <f>IF(OR(E860="",E860="!!!",F860="NEW"),"",INDEX(J$1:J859,SUMPRODUCT(MAX(ROW(E$1:E859)*(E860=E$1:E859)))))</f>
        <v/>
      </c>
      <c r="L860" s="25"/>
    </row>
    <row r="861" spans="1:12" x14ac:dyDescent="0.3">
      <c r="A861" t="s">
        <v>287</v>
      </c>
      <c r="E861" s="20" t="str">
        <f t="shared" si="62"/>
        <v/>
      </c>
      <c r="F861" s="21" t="str">
        <f>IF(OR(E861="",E861="!!!"),"",IF(NOT(ISNA(VLOOKUP(E861,E$1:E860,1,FALSE()))),"OLD",IF(AND(E861&lt;&gt;"",E861&lt;&gt;"!!!"),"NEW","")))</f>
        <v/>
      </c>
      <c r="G861" s="22" t="str">
        <f>IF(OR(E861="",E861="!!!"),"",IF(OR(J861=0,AND(J861=1,K861=1),AND(J861=1,I861="SBJ"),AND(J861=1,I861=0)),"?IN_FOCUS",IF(J861&lt;=2,"?ACTIVATED",IF(J861&lt;&gt;"","?FAMILIAR",IF(F861="NEW",IF(ISNA(VLOOKUP(E861,#REF!,1,FALSE())),"?TYPE_IDENTIFIABLE","?REFERENTIAL"),"_")))))</f>
        <v/>
      </c>
      <c r="H861" s="23" t="str">
        <f t="shared" ca="1" si="63"/>
        <v/>
      </c>
      <c r="I861" s="24" t="str">
        <f>IF(OR(E861="",E861="!!!",F861="NEW"),"",INDEX(B$2:B860,-1+SUMPRODUCT(MAX(ROW(E$2:E860)*(E861=E$2:E860)))))</f>
        <v/>
      </c>
      <c r="J861" s="24" t="str">
        <f ca="1">IF(OR(E861="",E861="!!!",F861="NEW"),"",COUNTBLANK(OFFSET(A$1,,,SUMPRODUCT(MAX(ROW(E$2:E861)*(E861=E$2:E861)))))-COUNTBLANK(OFFSET(A$1,,,SUMPRODUCT(MAX(ROW(E$1:E860)*(E2=E$1:E860))))))</f>
        <v/>
      </c>
      <c r="K861" s="24" t="str">
        <f>IF(OR(E861="",E861="!!!",F861="NEW"),"",INDEX(J$1:J860,SUMPRODUCT(MAX(ROW(E$1:E860)*(E861=E$1:E860)))))</f>
        <v/>
      </c>
      <c r="L861" s="25"/>
    </row>
    <row r="862" spans="1:12" x14ac:dyDescent="0.3">
      <c r="A862" t="s">
        <v>341</v>
      </c>
      <c r="E862" s="20" t="s">
        <v>722</v>
      </c>
      <c r="F862" s="21" t="str">
        <f>IF(OR(E862="",E862="!!!"),"",IF(NOT(ISNA(VLOOKUP(E862,E$1:E861,1,FALSE()))),"OLD",IF(AND(E862&lt;&gt;"",E862&lt;&gt;"!!!"),"NEW","")))</f>
        <v>NEW</v>
      </c>
      <c r="G862" s="22" t="str">
        <f ca="1">IF(OR(E862="",E862="!!!"),"",IF(OR(J862=0,AND(J862=1,K862=1),AND(J862=1,I862="SBJ"),AND(J862=1,I862=0)),"?IN_FOCUS",IF(J862&lt;=2,"?ACTIVATED",IF(J862&lt;&gt;"","?FAMILIAR",IF(F862="NEW",IF(ISNA(VLOOKUP(E862,#REF!,1,FALSE())),"?TYPE_IDENTIFIABLE","?REFERENTIAL"),"_")))))</f>
        <v>?REFERENTIAL</v>
      </c>
      <c r="H862" s="23" t="str">
        <f t="shared" ca="1" si="63"/>
        <v/>
      </c>
      <c r="I862" s="24" t="str">
        <f>IF(OR(E862="",E862="!!!",F862="NEW"),"",INDEX(B$2:B861,-1+SUMPRODUCT(MAX(ROW(E$2:E861)*(E862=E$2:E861)))))</f>
        <v/>
      </c>
      <c r="J862" s="24" t="str">
        <f ca="1">IF(OR(E862="",E862="!!!",F862="NEW"),"",COUNTBLANK(OFFSET(A$1,,,SUMPRODUCT(MAX(ROW(E$2:E862)*(E862=E$2:E862)))))-COUNTBLANK(OFFSET(A$1,,,SUMPRODUCT(MAX(ROW(E$1:E861)*(E2=E$1:E861))))))</f>
        <v/>
      </c>
      <c r="K862" s="24" t="str">
        <f>IF(OR(E862="",E862="!!!",F862="NEW"),"",INDEX(J$1:J861,SUMPRODUCT(MAX(ROW(E$1:E861)*(E862=E$1:E861)))))</f>
        <v/>
      </c>
      <c r="L862" s="25"/>
    </row>
    <row r="863" spans="1:12" x14ac:dyDescent="0.3">
      <c r="A863" t="s">
        <v>578</v>
      </c>
      <c r="B863" s="26" t="s">
        <v>255</v>
      </c>
      <c r="C863" s="26" t="s">
        <v>230</v>
      </c>
      <c r="D863" s="26" t="s">
        <v>215</v>
      </c>
      <c r="E863" s="20" t="s">
        <v>719</v>
      </c>
      <c r="F863" s="21" t="s">
        <v>677</v>
      </c>
      <c r="G863" s="22" t="s">
        <v>657</v>
      </c>
      <c r="H863" s="23" t="str">
        <f t="shared" ca="1" si="63"/>
        <v/>
      </c>
      <c r="I863" s="24" t="e">
        <f>IF(OR(E863="",E863="!!!",F863="NEW"),"",INDEX(B$2:B862,-1+SUMPRODUCT(MAX(ROW(E$2:E862)*(E863=E$2:E862)))))</f>
        <v>#VALUE!</v>
      </c>
      <c r="J863" s="24">
        <f ca="1">IF(OR(E863="",E863="!!!",F863="NEW"),"",COUNTBLANK(OFFSET(A$1,,,SUMPRODUCT(MAX(ROW(E$2:E863)*(E863=E$2:E863)))))-COUNTBLANK(OFFSET(A$1,,,SUMPRODUCT(MAX(ROW(E$1:E862)*(E2=E$1:E862))))))</f>
        <v>0</v>
      </c>
      <c r="K863" s="24" t="e">
        <f>IF(OR(E863="",E863="!!!",F863="NEW"),"",INDEX(J$1:J862,SUMPRODUCT(MAX(ROW(E$1:E862)*(E863=E$1:E862)))))</f>
        <v>#VALUE!</v>
      </c>
      <c r="L863" s="25"/>
    </row>
    <row r="864" spans="1:12" x14ac:dyDescent="0.3">
      <c r="A864" t="s">
        <v>558</v>
      </c>
      <c r="E864" s="20" t="str">
        <f t="shared" si="62"/>
        <v/>
      </c>
      <c r="F864" s="21" t="str">
        <f>IF(OR(E864="",E864="!!!"),"",IF(NOT(ISNA(VLOOKUP(E864,E$1:E863,1,FALSE()))),"OLD",IF(AND(E864&lt;&gt;"",E864&lt;&gt;"!!!"),"NEW","")))</f>
        <v/>
      </c>
      <c r="G864" s="22" t="str">
        <f>IF(OR(E864="",E864="!!!"),"",IF(OR(J864=0,AND(J864=1,K864=1),AND(J864=1,I864="SBJ"),AND(J864=1,I864=0)),"?IN_FOCUS",IF(J864&lt;=2,"?ACTIVATED",IF(J864&lt;&gt;"","?FAMILIAR",IF(F864="NEW",IF(ISNA(VLOOKUP(E864,#REF!,1,FALSE())),"?TYPE_IDENTIFIABLE","?REFERENTIAL"),"_")))))</f>
        <v/>
      </c>
      <c r="H864" s="23" t="str">
        <f t="shared" ca="1" si="63"/>
        <v/>
      </c>
      <c r="I864" s="24" t="str">
        <f>IF(OR(E864="",E864="!!!",F864="NEW"),"",INDEX(B$2:B863,-1+SUMPRODUCT(MAX(ROW(E$2:E863)*(E864=E$2:E863)))))</f>
        <v/>
      </c>
      <c r="J864" s="24" t="str">
        <f ca="1">IF(OR(E864="",E864="!!!",F864="NEW"),"",COUNTBLANK(OFFSET(A$1,,,SUMPRODUCT(MAX(ROW(E$2:E864)*(E864=E$2:E864)))))-COUNTBLANK(OFFSET(A$1,,,SUMPRODUCT(MAX(ROW(E$1:E863)*(E2=E$1:E863))))))</f>
        <v/>
      </c>
      <c r="K864" s="24" t="str">
        <f>IF(OR(E864="",E864="!!!",F864="NEW"),"",INDEX(J$1:J863,SUMPRODUCT(MAX(ROW(E$1:E863)*(E864=E$1:E863)))))</f>
        <v/>
      </c>
      <c r="L864" s="25"/>
    </row>
    <row r="865" spans="1:12" x14ac:dyDescent="0.3">
      <c r="A865" t="s">
        <v>424</v>
      </c>
      <c r="B865" s="26" t="s">
        <v>269</v>
      </c>
      <c r="C865" s="26" t="s">
        <v>380</v>
      </c>
      <c r="D865" s="26" t="s">
        <v>215</v>
      </c>
      <c r="E865" s="20" t="s">
        <v>669</v>
      </c>
      <c r="F865" s="21" t="str">
        <f>IF(OR(E865="",E865="!!!"),"",IF(NOT(ISNA(VLOOKUP(E865,E$1:E864,1,FALSE()))),"OLD",IF(AND(E865&lt;&gt;"",E865&lt;&gt;"!!!"),"NEW","")))</f>
        <v>OLD</v>
      </c>
      <c r="G865" s="22" t="str">
        <f ca="1">IF(OR(E865="",E865="!!!"),"",IF(OR(J865=0,AND(J865=1,K865=1),AND(J865=1,I865="SBJ"),AND(J865=1,I865=0)),"?IN_FOCUS",IF(J865&lt;=2,"?ACTIVATED",IF(J865&lt;&gt;"","?FAMILIAR",IF(F865="NEW",IF(ISNA(VLOOKUP(E865,#REF!,1,FALSE())),"?TYPE_IDENTIFIABLE","?REFERENTIAL"),"_")))))</f>
        <v>?IN_FOCUS</v>
      </c>
      <c r="H865" s="23" t="str">
        <f t="shared" ca="1" si="63"/>
        <v/>
      </c>
      <c r="I865" s="24" t="str">
        <f>IF(OR(E865="",E865="!!!",F865="NEW"),"",INDEX(B$2:B864,-1+SUMPRODUCT(MAX(ROW(E$2:E864)*(E865=E$2:E864)))))</f>
        <v>other_4</v>
      </c>
      <c r="J865" s="24">
        <f ca="1">IF(OR(E865="",E865="!!!",F865="NEW"),"",COUNTBLANK(OFFSET(A$1,,,SUMPRODUCT(MAX(ROW(E$2:E865)*(E865=E$2:E865)))))-COUNTBLANK(OFFSET(A$1,,,SUMPRODUCT(MAX(ROW(E$1:E864)*(E2=E$1:E864))))))</f>
        <v>0</v>
      </c>
      <c r="K865" s="24">
        <f ca="1">IF(OR(E865="",E865="!!!",F865="NEW"),"",INDEX(J$1:J864,SUMPRODUCT(MAX(ROW(E$1:E864)*(E865=E$1:E864)))))</f>
        <v>0</v>
      </c>
      <c r="L865" s="25"/>
    </row>
    <row r="866" spans="1:12" x14ac:dyDescent="0.3">
      <c r="A866" t="s">
        <v>579</v>
      </c>
      <c r="B866" s="26" t="s">
        <v>266</v>
      </c>
      <c r="C866" s="26" t="s">
        <v>264</v>
      </c>
      <c r="D866" s="26" t="s">
        <v>215</v>
      </c>
      <c r="E866" s="20" t="s">
        <v>720</v>
      </c>
      <c r="F866" s="21" t="str">
        <f>IF(OR(E866="",E866="!!!"),"",IF(NOT(ISNA(VLOOKUP(E866,E$1:E865,1,FALSE()))),"OLD",IF(AND(E866&lt;&gt;"",E866&lt;&gt;"!!!"),"NEW","")))</f>
        <v>NEW</v>
      </c>
      <c r="G866" s="22" t="str">
        <f ca="1">IF(OR(E866="",E866="!!!"),"",IF(OR(J866=0,AND(J866=1,K866=1),AND(J866=1,I866="SBJ"),AND(J866=1,I866=0)),"?IN_FOCUS",IF(J866&lt;=2,"?ACTIVATED",IF(J866&lt;&gt;"","?FAMILIAR",IF(F866="NEW",IF(ISNA(VLOOKUP(E866,#REF!,1,FALSE())),"?TYPE_IDENTIFIABLE","?REFERENTIAL"),"_")))))</f>
        <v>?REFERENTIAL</v>
      </c>
      <c r="H866" s="23" t="str">
        <f t="shared" ca="1" si="63"/>
        <v/>
      </c>
      <c r="I866" s="24" t="str">
        <f>IF(OR(E866="",E866="!!!",F866="NEW"),"",INDEX(B$2:B865,-1+SUMPRODUCT(MAX(ROW(E$2:E865)*(E866=E$2:E865)))))</f>
        <v/>
      </c>
      <c r="J866" s="24" t="str">
        <f ca="1">IF(OR(E866="",E866="!!!",F866="NEW"),"",COUNTBLANK(OFFSET(A$1,,,SUMPRODUCT(MAX(ROW(E$2:E866)*(E866=E$2:E866)))))-COUNTBLANK(OFFSET(A$1,,,SUMPRODUCT(MAX(ROW(E$1:E865)*(E2=E$1:E865))))))</f>
        <v/>
      </c>
      <c r="K866" s="24" t="str">
        <f>IF(OR(E866="",E866="!!!",F866="NEW"),"",INDEX(J$1:J865,SUMPRODUCT(MAX(ROW(E$1:E865)*(E866=E$1:E865)))))</f>
        <v/>
      </c>
      <c r="L866" s="25"/>
    </row>
    <row r="867" spans="1:12" x14ac:dyDescent="0.3">
      <c r="A867" t="s">
        <v>287</v>
      </c>
      <c r="E867" s="20" t="str">
        <f t="shared" si="62"/>
        <v/>
      </c>
      <c r="F867" s="21" t="str">
        <f>IF(OR(E867="",E867="!!!"),"",IF(NOT(ISNA(VLOOKUP(E867,E$1:E866,1,FALSE()))),"OLD",IF(AND(E867&lt;&gt;"",E867&lt;&gt;"!!!"),"NEW","")))</f>
        <v/>
      </c>
      <c r="G867" s="22" t="str">
        <f>IF(OR(E867="",E867="!!!"),"",IF(OR(J867=0,AND(J867=1,K867=1),AND(J867=1,I867="SBJ"),AND(J867=1,I867=0)),"?IN_FOCUS",IF(J867&lt;=2,"?ACTIVATED",IF(J867&lt;&gt;"","?FAMILIAR",IF(F867="NEW",IF(ISNA(VLOOKUP(E867,#REF!,1,FALSE())),"?TYPE_IDENTIFIABLE","?REFERENTIAL"),"_")))))</f>
        <v/>
      </c>
      <c r="H867" s="23" t="str">
        <f t="shared" ca="1" si="63"/>
        <v/>
      </c>
      <c r="I867" s="24" t="str">
        <f>IF(OR(E867="",E867="!!!",F867="NEW"),"",INDEX(B$2:B866,-1+SUMPRODUCT(MAX(ROW(E$2:E866)*(E867=E$2:E866)))))</f>
        <v/>
      </c>
      <c r="J867" s="24" t="str">
        <f ca="1">IF(OR(E867="",E867="!!!",F867="NEW"),"",COUNTBLANK(OFFSET(A$1,,,SUMPRODUCT(MAX(ROW(E$2:E867)*(E867=E$2:E867)))))-COUNTBLANK(OFFSET(A$1,,,SUMPRODUCT(MAX(ROW(E$1:E866)*(E2=E$1:E866))))))</f>
        <v/>
      </c>
      <c r="K867" s="24" t="str">
        <f>IF(OR(E867="",E867="!!!",F867="NEW"),"",INDEX(J$1:J866,SUMPRODUCT(MAX(ROW(E$1:E866)*(E867=E$1:E866)))))</f>
        <v/>
      </c>
      <c r="L867" s="25"/>
    </row>
    <row r="868" spans="1:12" x14ac:dyDescent="0.3">
      <c r="A868" t="s">
        <v>424</v>
      </c>
      <c r="B868" s="26" t="s">
        <v>336</v>
      </c>
      <c r="C868" s="26" t="s">
        <v>380</v>
      </c>
      <c r="D868" s="26" t="s">
        <v>215</v>
      </c>
      <c r="E868" s="20" t="s">
        <v>669</v>
      </c>
      <c r="F868" s="21" t="str">
        <f>IF(OR(E868="",E868="!!!"),"",IF(NOT(ISNA(VLOOKUP(E868,E$1:E867,1,FALSE()))),"OLD",IF(AND(E868&lt;&gt;"",E868&lt;&gt;"!!!"),"NEW","")))</f>
        <v>OLD</v>
      </c>
      <c r="G868" s="22" t="str">
        <f ca="1">IF(OR(E868="",E868="!!!"),"",IF(OR(J868=0,AND(J868=1,K868=1),AND(J868=1,I868="SBJ"),AND(J868=1,I868=0)),"?IN_FOCUS",IF(J868&lt;=2,"?ACTIVATED",IF(J868&lt;&gt;"","?FAMILIAR",IF(F868="NEW",IF(ISNA(VLOOKUP(E868,#REF!,1,FALSE())),"?TYPE_IDENTIFIABLE","?REFERENTIAL"),"_")))))</f>
        <v>?IN_FOCUS</v>
      </c>
      <c r="H868" s="23" t="str">
        <f t="shared" ca="1" si="63"/>
        <v/>
      </c>
      <c r="I868" s="24" t="str">
        <f>IF(OR(E868="",E868="!!!",F868="NEW"),"",INDEX(B$2:B867,-1+SUMPRODUCT(MAX(ROW(E$2:E867)*(E868=E$2:E867)))))</f>
        <v>other_5</v>
      </c>
      <c r="J868" s="24">
        <f ca="1">IF(OR(E868="",E868="!!!",F868="NEW"),"",COUNTBLANK(OFFSET(A$1,,,SUMPRODUCT(MAX(ROW(E$2:E868)*(E868=E$2:E868)))))-COUNTBLANK(OFFSET(A$1,,,SUMPRODUCT(MAX(ROW(E$1:E867)*(E2=E$1:E867))))))</f>
        <v>0</v>
      </c>
      <c r="K868" s="24">
        <f ca="1">IF(OR(E868="",E868="!!!",F868="NEW"),"",INDEX(J$1:J867,SUMPRODUCT(MAX(ROW(E$1:E867)*(E868=E$1:E867)))))</f>
        <v>0</v>
      </c>
      <c r="L868" s="25"/>
    </row>
    <row r="869" spans="1:12" x14ac:dyDescent="0.3">
      <c r="A869" t="s">
        <v>580</v>
      </c>
      <c r="B869" s="26" t="s">
        <v>269</v>
      </c>
      <c r="C869" s="26" t="s">
        <v>264</v>
      </c>
      <c r="D869" s="26" t="s">
        <v>215</v>
      </c>
      <c r="E869" s="20" t="s">
        <v>721</v>
      </c>
      <c r="F869" s="21" t="str">
        <f>IF(OR(E869="",E869="!!!"),"",IF(NOT(ISNA(VLOOKUP(E869,E$1:E868,1,FALSE()))),"OLD",IF(AND(E869&lt;&gt;"",E869&lt;&gt;"!!!"),"NEW","")))</f>
        <v>NEW</v>
      </c>
      <c r="G869" s="22" t="str">
        <f ca="1">IF(OR(E869="",E869="!!!"),"",IF(OR(J869=0,AND(J869=1,K869=1),AND(J869=1,I869="SBJ"),AND(J869=1,I869=0)),"?IN_FOCUS",IF(J869&lt;=2,"?ACTIVATED",IF(J869&lt;&gt;"","?FAMILIAR",IF(F869="NEW",IF(ISNA(VLOOKUP(E869,#REF!,1,FALSE())),"?TYPE_IDENTIFIABLE","?REFERENTIAL"),"_")))))</f>
        <v>?REFERENTIAL</v>
      </c>
      <c r="H869" s="23" t="str">
        <f t="shared" ca="1" si="63"/>
        <v/>
      </c>
      <c r="I869" s="24" t="str">
        <f>IF(OR(E869="",E869="!!!",F869="NEW"),"",INDEX(B$2:B868,-1+SUMPRODUCT(MAX(ROW(E$2:E868)*(E869=E$2:E868)))))</f>
        <v/>
      </c>
      <c r="J869" s="24" t="str">
        <f ca="1">IF(OR(E869="",E869="!!!",F869="NEW"),"",COUNTBLANK(OFFSET(A$1,,,SUMPRODUCT(MAX(ROW(E$2:E869)*(E869=E$2:E869)))))-COUNTBLANK(OFFSET(A$1,,,SUMPRODUCT(MAX(ROW(E$1:E868)*(E2=E$1:E868))))))</f>
        <v/>
      </c>
      <c r="K869" s="24" t="str">
        <f>IF(OR(E869="",E869="!!!",F869="NEW"),"",INDEX(J$1:J868,SUMPRODUCT(MAX(ROW(E$1:E868)*(E869=E$1:E868)))))</f>
        <v/>
      </c>
      <c r="L869" s="25"/>
    </row>
    <row r="870" spans="1:12" x14ac:dyDescent="0.3">
      <c r="A870" t="s">
        <v>207</v>
      </c>
      <c r="E870" s="20" t="str">
        <f t="shared" si="62"/>
        <v/>
      </c>
      <c r="F870" s="21" t="str">
        <f>IF(OR(E870="",E870="!!!"),"",IF(NOT(ISNA(VLOOKUP(E870,E$1:E869,1,FALSE()))),"OLD",IF(AND(E870&lt;&gt;"",E870&lt;&gt;"!!!"),"NEW","")))</f>
        <v/>
      </c>
      <c r="G870" s="22" t="str">
        <f>IF(OR(E870="",E870="!!!"),"",IF(OR(J870=0,AND(J870=1,K870=1),AND(J870=1,I870="SBJ"),AND(J870=1,I870=0)),"?IN_FOCUS",IF(J870&lt;=2,"?ACTIVATED",IF(J870&lt;&gt;"","?FAMILIAR",IF(F870="NEW",IF(ISNA(VLOOKUP(E870,#REF!,1,FALSE())),"?TYPE_IDENTIFIABLE","?REFERENTIAL"),"_")))))</f>
        <v/>
      </c>
      <c r="H870" s="23" t="str">
        <f t="shared" ca="1" si="63"/>
        <v/>
      </c>
      <c r="I870" s="24" t="str">
        <f>IF(OR(E870="",E870="!!!",F870="NEW"),"",INDEX(B$2:B869,-1+SUMPRODUCT(MAX(ROW(E$2:E869)*(E870=E$2:E869)))))</f>
        <v/>
      </c>
      <c r="J870" s="24" t="str">
        <f ca="1">IF(OR(E870="",E870="!!!",F870="NEW"),"",COUNTBLANK(OFFSET(A$1,,,SUMPRODUCT(MAX(ROW(E$2:E870)*(E870=E$2:E870)))))-COUNTBLANK(OFFSET(A$1,,,SUMPRODUCT(MAX(ROW(E$1:E869)*(E2=E$1:E869))))))</f>
        <v/>
      </c>
      <c r="K870" s="24" t="str">
        <f>IF(OR(E870="",E870="!!!",F870="NEW"),"",INDEX(J$1:J869,SUMPRODUCT(MAX(ROW(E$1:E869)*(E870=E$1:E869)))))</f>
        <v/>
      </c>
      <c r="L870" s="25"/>
    </row>
    <row r="871" spans="1:12" x14ac:dyDescent="0.3">
      <c r="A871" t="s">
        <v>279</v>
      </c>
      <c r="E871" s="20" t="str">
        <f t="shared" si="62"/>
        <v/>
      </c>
      <c r="F871" s="21" t="str">
        <f>IF(OR(E871="",E871="!!!"),"",IF(NOT(ISNA(VLOOKUP(E871,E$1:E870,1,FALSE()))),"OLD",IF(AND(E871&lt;&gt;"",E871&lt;&gt;"!!!"),"NEW","")))</f>
        <v/>
      </c>
      <c r="G871" s="22" t="str">
        <f>IF(OR(E871="",E871="!!!"),"",IF(OR(J871=0,AND(J871=1,K871=1),AND(J871=1,I871="SBJ"),AND(J871=1,I871=0)),"?IN_FOCUS",IF(J871&lt;=2,"?ACTIVATED",IF(J871&lt;&gt;"","?FAMILIAR",IF(F871="NEW",IF(ISNA(VLOOKUP(E871,#REF!,1,FALSE())),"?TYPE_IDENTIFIABLE","?REFERENTIAL"),"_")))))</f>
        <v/>
      </c>
      <c r="H871" s="23" t="str">
        <f t="shared" ca="1" si="63"/>
        <v/>
      </c>
      <c r="I871" s="24" t="str">
        <f>IF(OR(E871="",E871="!!!",F871="NEW"),"",INDEX(B$2:B870,-1+SUMPRODUCT(MAX(ROW(E$2:E870)*(E871=E$2:E870)))))</f>
        <v/>
      </c>
      <c r="J871" s="24" t="str">
        <f ca="1">IF(OR(E871="",E871="!!!",F871="NEW"),"",COUNTBLANK(OFFSET(A$1,,,SUMPRODUCT(MAX(ROW(E$2:E871)*(E871=E$2:E871)))))-COUNTBLANK(OFFSET(A$1,,,SUMPRODUCT(MAX(ROW(E$1:E870)*(E2=E$1:E870))))))</f>
        <v/>
      </c>
      <c r="K871" s="24" t="str">
        <f>IF(OR(E871="",E871="!!!",F871="NEW"),"",INDEX(J$1:J870,SUMPRODUCT(MAX(ROW(E$1:E870)*(E871=E$1:E870)))))</f>
        <v/>
      </c>
      <c r="L871" s="25"/>
    </row>
    <row r="872" spans="1:12" x14ac:dyDescent="0.3">
      <c r="A872" t="s">
        <v>129</v>
      </c>
      <c r="B872" s="26" t="s">
        <v>205</v>
      </c>
      <c r="C872" s="26" t="s">
        <v>226</v>
      </c>
      <c r="E872" s="20" t="str">
        <f t="shared" si="62"/>
        <v/>
      </c>
      <c r="F872" s="21" t="str">
        <f>IF(OR(E872="",E872="!!!"),"",IF(NOT(ISNA(VLOOKUP(E872,E$1:E871,1,FALSE()))),"OLD",IF(AND(E872&lt;&gt;"",E872&lt;&gt;"!!!"),"NEW","")))</f>
        <v/>
      </c>
      <c r="G872" s="22" t="str">
        <f>IF(OR(E872="",E872="!!!"),"",IF(OR(J872=0,AND(J872=1,K872=1),AND(J872=1,I872="SBJ"),AND(J872=1,I872=0)),"?IN_FOCUS",IF(J872&lt;=2,"?ACTIVATED",IF(J872&lt;&gt;"","?FAMILIAR",IF(F872="NEW",IF(ISNA(VLOOKUP(E872,#REF!,1,FALSE())),"?TYPE_IDENTIFIABLE","?REFERENTIAL"),"_")))))</f>
        <v/>
      </c>
      <c r="H872" s="23" t="str">
        <f t="shared" ca="1" si="63"/>
        <v/>
      </c>
      <c r="I872" s="24" t="str">
        <f>IF(OR(E872="",E872="!!!",F872="NEW"),"",INDEX(B$2:B871,-1+SUMPRODUCT(MAX(ROW(E$2:E871)*(E872=E$2:E871)))))</f>
        <v/>
      </c>
      <c r="J872" s="24" t="str">
        <f ca="1">IF(OR(E872="",E872="!!!",F872="NEW"),"",COUNTBLANK(OFFSET(A$1,,,SUMPRODUCT(MAX(ROW(E$2:E872)*(E872=E$2:E872)))))-COUNTBLANK(OFFSET(A$1,,,SUMPRODUCT(MAX(ROW(E$1:E871)*(E2=E$1:E871))))))</f>
        <v/>
      </c>
      <c r="K872" s="24" t="str">
        <f>IF(OR(E872="",E872="!!!",F872="NEW"),"",INDEX(J$1:J871,SUMPRODUCT(MAX(ROW(E$1:E871)*(E872=E$1:E871)))))</f>
        <v/>
      </c>
      <c r="L872" s="25"/>
    </row>
    <row r="873" spans="1:12" x14ac:dyDescent="0.3">
      <c r="A873" t="s">
        <v>234</v>
      </c>
      <c r="E873" s="20" t="str">
        <f t="shared" si="62"/>
        <v/>
      </c>
      <c r="F873" s="21" t="str">
        <f>IF(OR(E873="",E873="!!!"),"",IF(NOT(ISNA(VLOOKUP(E873,E$1:E872,1,FALSE()))),"OLD",IF(AND(E873&lt;&gt;"",E873&lt;&gt;"!!!"),"NEW","")))</f>
        <v/>
      </c>
      <c r="G873" s="22" t="str">
        <f>IF(OR(E873="",E873="!!!"),"",IF(OR(J873=0,AND(J873=1,K873=1),AND(J873=1,I873="SBJ"),AND(J873=1,I873=0)),"?IN_FOCUS",IF(J873&lt;=2,"?ACTIVATED",IF(J873&lt;&gt;"","?FAMILIAR",IF(F873="NEW",IF(ISNA(VLOOKUP(E873,#REF!,1,FALSE())),"?TYPE_IDENTIFIABLE","?REFERENTIAL"),"_")))))</f>
        <v/>
      </c>
      <c r="H873" s="23" t="str">
        <f t="shared" ca="1" si="63"/>
        <v/>
      </c>
      <c r="I873" s="24" t="str">
        <f>IF(OR(E873="",E873="!!!",F873="NEW"),"",INDEX(B$2:B872,-1+SUMPRODUCT(MAX(ROW(E$2:E872)*(E873=E$2:E872)))))</f>
        <v/>
      </c>
      <c r="J873" s="24" t="str">
        <f ca="1">IF(OR(E873="",E873="!!!",F873="NEW"),"",COUNTBLANK(OFFSET(A$1,,,SUMPRODUCT(MAX(ROW(E$2:E873)*(E873=E$2:E873)))))-COUNTBLANK(OFFSET(A$1,,,SUMPRODUCT(MAX(ROW(E$1:E872)*(E2=E$1:E872))))))</f>
        <v/>
      </c>
      <c r="K873" s="24" t="str">
        <f>IF(OR(E873="",E873="!!!",F873="NEW"),"",INDEX(J$1:J872,SUMPRODUCT(MAX(ROW(E$1:E872)*(E873=E$1:E872)))))</f>
        <v/>
      </c>
      <c r="L873" s="25"/>
    </row>
    <row r="875" spans="1:12" x14ac:dyDescent="0.3">
      <c r="A875" t="s">
        <v>581</v>
      </c>
    </row>
    <row r="876" spans="1:12" x14ac:dyDescent="0.3">
      <c r="A876" t="s">
        <v>236</v>
      </c>
      <c r="E876" s="20" t="str">
        <f t="shared" ref="E876:E883" si="64">IF(D876="?OLD","!!!","")</f>
        <v/>
      </c>
      <c r="F876" s="21" t="str">
        <f>IF(OR(E876="",E876="!!!"),"",IF(NOT(ISNA(VLOOKUP(E876,E$1:E875,1,FALSE()))),"OLD",IF(AND(E876&lt;&gt;"",E876&lt;&gt;"!!!"),"NEW","")))</f>
        <v/>
      </c>
      <c r="G876" s="22" t="str">
        <f>IF(OR(E876="",E876="!!!"),"",IF(OR(J876=0,AND(J876=1,K876=1),AND(J876=1,I876="SBJ"),AND(J876=1,I876=0)),"?IN_FOCUS",IF(J876&lt;=2,"?ACTIVATED",IF(J876&lt;&gt;"","?FAMILIAR",IF(F876="NEW",IF(ISNA(VLOOKUP(E876,#REF!,1,FALSE())),"?TYPE_IDENTIFIABLE","?REFERENTIAL"),"_")))))</f>
        <v/>
      </c>
      <c r="H876" s="23" t="str">
        <f t="shared" ref="H876:H885" ca="1" si="65">IF(J876&lt;&gt;1,"",IF(I876="SBJ","CB","?"))</f>
        <v/>
      </c>
      <c r="I876" s="24" t="str">
        <f>IF(OR(E876="",E876="!!!",F876="NEW"),"",INDEX(B$2:B875,-1+SUMPRODUCT(MAX(ROW(E$2:E875)*(E876=E$2:E875)))))</f>
        <v/>
      </c>
      <c r="J876" s="24" t="str">
        <f ca="1">IF(OR(E876="",E876="!!!",F876="NEW"),"",COUNTBLANK(OFFSET(A$1,,,SUMPRODUCT(MAX(ROW(E$2:E876)*(E876=E$2:E876)))))-COUNTBLANK(OFFSET(A$1,,,SUMPRODUCT(MAX(ROW(E$1:E875)*(E2=E$1:E875))))))</f>
        <v/>
      </c>
      <c r="K876" s="24" t="str">
        <f>IF(OR(E876="",E876="!!!",F876="NEW"),"",INDEX(J$1:J875,SUMPRODUCT(MAX(ROW(E$1:E875)*(E876=E$1:E875)))))</f>
        <v/>
      </c>
      <c r="L876" s="25"/>
    </row>
    <row r="877" spans="1:12" x14ac:dyDescent="0.3">
      <c r="A877" t="s">
        <v>249</v>
      </c>
      <c r="B877" s="26" t="s">
        <v>213</v>
      </c>
      <c r="C877" s="26" t="s">
        <v>455</v>
      </c>
      <c r="D877" s="26" t="s">
        <v>215</v>
      </c>
      <c r="E877" s="20" t="s">
        <v>722</v>
      </c>
      <c r="F877" s="21" t="str">
        <f>IF(OR(E877="",E877="!!!"),"",IF(NOT(ISNA(VLOOKUP(E877,E$1:E876,1,FALSE()))),"OLD",IF(AND(E877&lt;&gt;"",E877&lt;&gt;"!!!"),"NEW","")))</f>
        <v>OLD</v>
      </c>
      <c r="G877" s="22" t="s">
        <v>665</v>
      </c>
      <c r="H877" s="23" t="s">
        <v>198</v>
      </c>
      <c r="I877" s="24">
        <f>IF(OR(E877="",E877="!!!",F877="NEW"),"",INDEX(B$2:B876,-1+SUMPRODUCT(MAX(ROW(E$2:E876)*(E877=E$2:E876)))))</f>
        <v>0</v>
      </c>
      <c r="J877" s="24">
        <f ca="1">IF(OR(E877="",E877="!!!",F877="NEW"),"",COUNTBLANK(OFFSET(A$1,,,SUMPRODUCT(MAX(ROW(E$2:E877)*(E877=E$2:E877)))))-COUNTBLANK(OFFSET(A$1,,,SUMPRODUCT(MAX(ROW(E$1:E876)*(E2=E$1:E876))))))</f>
        <v>0</v>
      </c>
      <c r="K877" s="24" t="str">
        <f ca="1">IF(OR(E877="",E877="!!!",F877="NEW"),"",INDEX(J$1:J876,SUMPRODUCT(MAX(ROW(E$1:E876)*(E877=E$1:E876)))))</f>
        <v/>
      </c>
      <c r="L877" s="25" t="s">
        <v>754</v>
      </c>
    </row>
    <row r="878" spans="1:12" x14ac:dyDescent="0.3">
      <c r="A878" t="s">
        <v>431</v>
      </c>
      <c r="E878" s="20" t="str">
        <f t="shared" si="64"/>
        <v/>
      </c>
      <c r="F878" s="21" t="str">
        <f>IF(OR(E878="",E878="!!!"),"",IF(NOT(ISNA(VLOOKUP(E878,E$1:E877,1,FALSE()))),"OLD",IF(AND(E878&lt;&gt;"",E878&lt;&gt;"!!!"),"NEW","")))</f>
        <v/>
      </c>
      <c r="G878" s="22" t="str">
        <f>IF(OR(E878="",E878="!!!"),"",IF(OR(J878=0,AND(J878=1,K878=1),AND(J878=1,I878="SBJ"),AND(J878=1,I878=0)),"?IN_FOCUS",IF(J878&lt;=2,"?ACTIVATED",IF(J878&lt;&gt;"","?FAMILIAR",IF(F878="NEW",IF(ISNA(VLOOKUP(E878,#REF!,1,FALSE())),"?TYPE_IDENTIFIABLE","?REFERENTIAL"),"_")))))</f>
        <v/>
      </c>
      <c r="H878" s="23" t="str">
        <f t="shared" ca="1" si="65"/>
        <v/>
      </c>
      <c r="I878" s="24" t="str">
        <f>IF(OR(E878="",E878="!!!",F878="NEW"),"",INDEX(B$2:B877,-1+SUMPRODUCT(MAX(ROW(E$2:E877)*(E878=E$2:E877)))))</f>
        <v/>
      </c>
      <c r="J878" s="24" t="str">
        <f ca="1">IF(OR(E878="",E878="!!!",F878="NEW"),"",COUNTBLANK(OFFSET(A$1,,,SUMPRODUCT(MAX(ROW(E$2:E878)*(E878=E$2:E878)))))-COUNTBLANK(OFFSET(A$1,,,SUMPRODUCT(MAX(ROW(E$1:E877)*(E2=E$1:E877))))))</f>
        <v/>
      </c>
      <c r="K878" s="24" t="str">
        <f>IF(OR(E878="",E878="!!!",F878="NEW"),"",INDEX(J$1:J877,SUMPRODUCT(MAX(ROW(E$1:E877)*(E878=E$1:E877)))))</f>
        <v/>
      </c>
      <c r="L878" s="25"/>
    </row>
    <row r="879" spans="1:12" x14ac:dyDescent="0.3">
      <c r="A879" t="s">
        <v>241</v>
      </c>
      <c r="E879" s="20" t="str">
        <f t="shared" si="64"/>
        <v/>
      </c>
      <c r="F879" s="21" t="str">
        <f>IF(OR(E879="",E879="!!!"),"",IF(NOT(ISNA(VLOOKUP(E879,E$1:E878,1,FALSE()))),"OLD",IF(AND(E879&lt;&gt;"",E879&lt;&gt;"!!!"),"NEW","")))</f>
        <v/>
      </c>
      <c r="G879" s="22" t="str">
        <f>IF(OR(E879="",E879="!!!"),"",IF(OR(J879=0,AND(J879=1,K879=1),AND(J879=1,I879="SBJ"),AND(J879=1,I879=0)),"?IN_FOCUS",IF(J879&lt;=2,"?ACTIVATED",IF(J879&lt;&gt;"","?FAMILIAR",IF(F879="NEW",IF(ISNA(VLOOKUP(E879,#REF!,1,FALSE())),"?TYPE_IDENTIFIABLE","?REFERENTIAL"),"_")))))</f>
        <v/>
      </c>
      <c r="H879" s="23" t="str">
        <f t="shared" ca="1" si="65"/>
        <v/>
      </c>
      <c r="I879" s="24" t="str">
        <f>IF(OR(E879="",E879="!!!",F879="NEW"),"",INDEX(B$2:B878,-1+SUMPRODUCT(MAX(ROW(E$2:E878)*(E879=E$2:E878)))))</f>
        <v/>
      </c>
      <c r="J879" s="24" t="str">
        <f ca="1">IF(OR(E879="",E879="!!!",F879="NEW"),"",COUNTBLANK(OFFSET(A$1,,,SUMPRODUCT(MAX(ROW(E$2:E879)*(E879=E$2:E879)))))-COUNTBLANK(OFFSET(A$1,,,SUMPRODUCT(MAX(ROW(E$1:E878)*(E2=E$1:E878))))))</f>
        <v/>
      </c>
      <c r="K879" s="24" t="str">
        <f>IF(OR(E879="",E879="!!!",F879="NEW"),"",INDEX(J$1:J878,SUMPRODUCT(MAX(ROW(E$1:E878)*(E879=E$1:E878)))))</f>
        <v/>
      </c>
      <c r="L879" s="25"/>
    </row>
    <row r="880" spans="1:12" x14ac:dyDescent="0.3">
      <c r="A880" t="s">
        <v>582</v>
      </c>
      <c r="B880" s="26" t="s">
        <v>205</v>
      </c>
      <c r="C880" s="26" t="s">
        <v>240</v>
      </c>
      <c r="E880" s="20" t="str">
        <f t="shared" si="64"/>
        <v/>
      </c>
      <c r="F880" s="21" t="str">
        <f>IF(OR(E880="",E880="!!!"),"",IF(NOT(ISNA(VLOOKUP(E880,E$1:E879,1,FALSE()))),"OLD",IF(AND(E880&lt;&gt;"",E880&lt;&gt;"!!!"),"NEW","")))</f>
        <v/>
      </c>
      <c r="G880" s="22" t="str">
        <f>IF(OR(E880="",E880="!!!"),"",IF(OR(J880=0,AND(J880=1,K880=1),AND(J880=1,I880="SBJ"),AND(J880=1,I880=0)),"?IN_FOCUS",IF(J880&lt;=2,"?ACTIVATED",IF(J880&lt;&gt;"","?FAMILIAR",IF(F880="NEW",IF(ISNA(VLOOKUP(E880,#REF!,1,FALSE())),"?TYPE_IDENTIFIABLE","?REFERENTIAL"),"_")))))</f>
        <v/>
      </c>
      <c r="H880" s="23" t="str">
        <f t="shared" ca="1" si="65"/>
        <v/>
      </c>
      <c r="I880" s="24" t="str">
        <f>IF(OR(E880="",E880="!!!",F880="NEW"),"",INDEX(B$2:B879,-1+SUMPRODUCT(MAX(ROW(E$2:E879)*(E880=E$2:E879)))))</f>
        <v/>
      </c>
      <c r="J880" s="24" t="str">
        <f ca="1">IF(OR(E880="",E880="!!!",F880="NEW"),"",COUNTBLANK(OFFSET(A$1,,,SUMPRODUCT(MAX(ROW(E$2:E880)*(E880=E$2:E880)))))-COUNTBLANK(OFFSET(A$1,,,SUMPRODUCT(MAX(ROW(E$1:E879)*(E2=E$1:E879))))))</f>
        <v/>
      </c>
      <c r="K880" s="24" t="str">
        <f>IF(OR(E880="",E880="!!!",F880="NEW"),"",INDEX(J$1:J879,SUMPRODUCT(MAX(ROW(E$1:E879)*(E880=E$1:E879)))))</f>
        <v/>
      </c>
      <c r="L880" s="25"/>
    </row>
    <row r="881" spans="1:12" x14ac:dyDescent="0.3">
      <c r="A881" t="s">
        <v>401</v>
      </c>
      <c r="E881" s="20" t="str">
        <f t="shared" si="64"/>
        <v/>
      </c>
      <c r="F881" s="21" t="str">
        <f>IF(OR(E881="",E881="!!!"),"",IF(NOT(ISNA(VLOOKUP(E881,E$1:E880,1,FALSE()))),"OLD",IF(AND(E881&lt;&gt;"",E881&lt;&gt;"!!!"),"NEW","")))</f>
        <v/>
      </c>
      <c r="G881" s="22" t="str">
        <f>IF(OR(E881="",E881="!!!"),"",IF(OR(J881=0,AND(J881=1,K881=1),AND(J881=1,I881="SBJ"),AND(J881=1,I881=0)),"?IN_FOCUS",IF(J881&lt;=2,"?ACTIVATED",IF(J881&lt;&gt;"","?FAMILIAR",IF(F881="NEW",IF(ISNA(VLOOKUP(E881,#REF!,1,FALSE())),"?TYPE_IDENTIFIABLE","?REFERENTIAL"),"_")))))</f>
        <v/>
      </c>
      <c r="H881" s="23" t="str">
        <f t="shared" ca="1" si="65"/>
        <v/>
      </c>
      <c r="I881" s="24" t="str">
        <f>IF(OR(E881="",E881="!!!",F881="NEW"),"",INDEX(B$2:B880,-1+SUMPRODUCT(MAX(ROW(E$2:E880)*(E881=E$2:E880)))))</f>
        <v/>
      </c>
      <c r="J881" s="24" t="str">
        <f ca="1">IF(OR(E881="",E881="!!!",F881="NEW"),"",COUNTBLANK(OFFSET(A$1,,,SUMPRODUCT(MAX(ROW(E$2:E881)*(E881=E$2:E881)))))-COUNTBLANK(OFFSET(A$1,,,SUMPRODUCT(MAX(ROW(E$1:E880)*(E2=E$1:E880))))))</f>
        <v/>
      </c>
      <c r="K881" s="24" t="str">
        <f>IF(OR(E881="",E881="!!!",F881="NEW"),"",INDEX(J$1:J880,SUMPRODUCT(MAX(ROW(E$1:E880)*(E881=E$1:E880)))))</f>
        <v/>
      </c>
      <c r="L881" s="25"/>
    </row>
    <row r="882" spans="1:12" x14ac:dyDescent="0.3">
      <c r="A882" t="s">
        <v>424</v>
      </c>
      <c r="B882" s="26" t="s">
        <v>225</v>
      </c>
      <c r="C882" s="26" t="s">
        <v>380</v>
      </c>
      <c r="D882" s="26" t="s">
        <v>215</v>
      </c>
      <c r="E882" s="20" t="s">
        <v>669</v>
      </c>
      <c r="F882" s="21" t="str">
        <f>IF(OR(E882="",E882="!!!"),"",IF(NOT(ISNA(VLOOKUP(E882,E$1:E881,1,FALSE()))),"OLD",IF(AND(E882&lt;&gt;"",E882&lt;&gt;"!!!"),"NEW","")))</f>
        <v>OLD</v>
      </c>
      <c r="G882" s="22" t="str">
        <f ca="1">IF(OR(E882="",E882="!!!"),"",IF(OR(J882=0,AND(J882=1,K882=1),AND(J882=1,I882="SBJ"),AND(J882=1,I882=0)),"?IN_FOCUS",IF(J882&lt;=2,"?ACTIVATED",IF(J882&lt;&gt;"","?FAMILIAR",IF(F882="NEW",IF(ISNA(VLOOKUP(E882,#REF!,1,FALSE())),"?TYPE_IDENTIFIABLE","?REFERENTIAL"),"_")))))</f>
        <v>?IN_FOCUS</v>
      </c>
      <c r="H882" s="23" t="str">
        <f t="shared" ca="1" si="65"/>
        <v/>
      </c>
      <c r="I882" s="24" t="str">
        <f>IF(OR(E882="",E882="!!!",F882="NEW"),"",INDEX(B$2:B881,-1+SUMPRODUCT(MAX(ROW(E$2:E881)*(E882=E$2:E881)))))</f>
        <v>other_6</v>
      </c>
      <c r="J882" s="24">
        <f ca="1">IF(OR(E882="",E882="!!!",F882="NEW"),"",COUNTBLANK(OFFSET(A$1,,,SUMPRODUCT(MAX(ROW(E$2:E882)*(E882=E$2:E882)))))-COUNTBLANK(OFFSET(A$1,,,SUMPRODUCT(MAX(ROW(E$1:E881)*(E2=E$1:E881))))))</f>
        <v>0</v>
      </c>
      <c r="K882" s="24">
        <f ca="1">IF(OR(E882="",E882="!!!",F882="NEW"),"",INDEX(J$1:J881,SUMPRODUCT(MAX(ROW(E$1:E881)*(E882=E$1:E881)))))</f>
        <v>0</v>
      </c>
      <c r="L882" s="25"/>
    </row>
    <row r="883" spans="1:12" x14ac:dyDescent="0.3">
      <c r="A883" t="s">
        <v>583</v>
      </c>
      <c r="E883" s="20" t="str">
        <f t="shared" si="64"/>
        <v/>
      </c>
      <c r="F883" s="21" t="str">
        <f>IF(OR(E883="",E883="!!!"),"",IF(NOT(ISNA(VLOOKUP(E883,E$1:E882,1,FALSE()))),"OLD",IF(AND(E883&lt;&gt;"",E883&lt;&gt;"!!!"),"NEW","")))</f>
        <v/>
      </c>
      <c r="G883" s="22" t="str">
        <f>IF(OR(E883="",E883="!!!"),"",IF(OR(J883=0,AND(J883=1,K883=1),AND(J883=1,I883="SBJ"),AND(J883=1,I883=0)),"?IN_FOCUS",IF(J883&lt;=2,"?ACTIVATED",IF(J883&lt;&gt;"","?FAMILIAR",IF(F883="NEW",IF(ISNA(VLOOKUP(E883,#REF!,1,FALSE())),"?TYPE_IDENTIFIABLE","?REFERENTIAL"),"_")))))</f>
        <v/>
      </c>
      <c r="H883" s="23" t="str">
        <f t="shared" ca="1" si="65"/>
        <v/>
      </c>
      <c r="I883" s="24" t="str">
        <f>IF(OR(E883="",E883="!!!",F883="NEW"),"",INDEX(B$2:B882,-1+SUMPRODUCT(MAX(ROW(E$2:E882)*(E883=E$2:E882)))))</f>
        <v/>
      </c>
      <c r="J883" s="24" t="str">
        <f ca="1">IF(OR(E883="",E883="!!!",F883="NEW"),"",COUNTBLANK(OFFSET(A$1,,,SUMPRODUCT(MAX(ROW(E$2:E883)*(E883=E$2:E883)))))-COUNTBLANK(OFFSET(A$1,,,SUMPRODUCT(MAX(ROW(E$1:E882)*(E2=E$1:E882))))))</f>
        <v/>
      </c>
      <c r="K883" s="24" t="str">
        <f>IF(OR(E883="",E883="!!!",F883="NEW"),"",INDEX(J$1:J882,SUMPRODUCT(MAX(ROW(E$1:E882)*(E883=E$1:E882)))))</f>
        <v/>
      </c>
      <c r="L883" s="25"/>
    </row>
    <row r="884" spans="1:12" x14ac:dyDescent="0.3">
      <c r="A884" t="s">
        <v>454</v>
      </c>
      <c r="B884" s="26" t="s">
        <v>205</v>
      </c>
      <c r="C884" s="26" t="s">
        <v>264</v>
      </c>
      <c r="D884" s="26" t="s">
        <v>215</v>
      </c>
      <c r="E884" s="20" t="s">
        <v>699</v>
      </c>
      <c r="F884" s="21" t="str">
        <f>IF(OR(E884="",E884="!!!"),"",IF(NOT(ISNA(VLOOKUP(E884,E$1:E883,1,FALSE()))),"OLD",IF(AND(E884&lt;&gt;"",E884&lt;&gt;"!!!"),"NEW","")))</f>
        <v>OLD</v>
      </c>
      <c r="G884" s="22" t="s">
        <v>657</v>
      </c>
      <c r="H884" s="23" t="str">
        <f t="shared" ca="1" si="65"/>
        <v/>
      </c>
      <c r="I884" s="24" t="str">
        <f>IF(OR(E884="",E884="!!!",F884="NEW"),"",INDEX(B$2:B883,-1+SUMPRODUCT(MAX(ROW(E$2:E883)*(E884=E$2:E883)))))</f>
        <v>other</v>
      </c>
      <c r="J884" s="24">
        <f ca="1">IF(OR(E884="",E884="!!!",F884="NEW"),"",COUNTBLANK(OFFSET(A$1,,,SUMPRODUCT(MAX(ROW(E$2:E884)*(E884=E$2:E884)))))-COUNTBLANK(OFFSET(A$1,,,SUMPRODUCT(MAX(ROW(E$1:E883)*(E2=E$1:E883))))))</f>
        <v>0</v>
      </c>
      <c r="K884" s="24" t="str">
        <f ca="1">IF(OR(E884="",E884="!!!",F884="NEW"),"",INDEX(J$1:J883,SUMPRODUCT(MAX(ROW(E$1:E883)*(E884=E$1:E883)))))</f>
        <v/>
      </c>
      <c r="L884" s="25"/>
    </row>
    <row r="885" spans="1:12" x14ac:dyDescent="0.3">
      <c r="A885" t="s">
        <v>234</v>
      </c>
      <c r="E885" s="20"/>
      <c r="F885" s="21" t="str">
        <f>IF(OR(E885="",E885="!!!"),"",IF(NOT(ISNA(VLOOKUP(E885,E$1:E884,1,FALSE()))),"OLD",IF(AND(E885&lt;&gt;"",E885&lt;&gt;"!!!"),"NEW","")))</f>
        <v/>
      </c>
      <c r="G885" s="22" t="str">
        <f>IF(OR(E885="",E885="!!!"),"",IF(OR(J885=0,AND(J885=1,K885=1),AND(J885=1,I885="SBJ"),AND(J885=1,I885=0)),"?IN_FOCUS",IF(J885&lt;=2,"?ACTIVATED",IF(J885&lt;&gt;"","?FAMILIAR",IF(F885="NEW",IF(ISNA(VLOOKUP(E885,#REF!,1,FALSE())),"?TYPE_IDENTIFIABLE","?REFERENTIAL"),"_")))))</f>
        <v/>
      </c>
      <c r="H885" s="23" t="str">
        <f t="shared" ca="1" si="65"/>
        <v/>
      </c>
      <c r="I885" s="24" t="str">
        <f>IF(OR(E885="",E885="!!!",F885="NEW"),"",INDEX(B$2:B884,-1+SUMPRODUCT(MAX(ROW(E$2:E884)*(E885=E$2:E884)))))</f>
        <v/>
      </c>
      <c r="J885" s="24" t="str">
        <f ca="1">IF(OR(E885="",E885="!!!",F885="NEW"),"",COUNTBLANK(OFFSET(A$1,,,SUMPRODUCT(MAX(ROW(E$2:E885)*(E885=E$2:E885)))))-COUNTBLANK(OFFSET(A$1,,,SUMPRODUCT(MAX(ROW(E$1:E884)*(E2=E$1:E884))))))</f>
        <v/>
      </c>
      <c r="K885" s="24" t="str">
        <f>IF(OR(E885="",E885="!!!",F885="NEW"),"",INDEX(J$1:J884,SUMPRODUCT(MAX(ROW(E$1:E884)*(E885=E$1:E884)))))</f>
        <v/>
      </c>
      <c r="L885" s="25"/>
    </row>
    <row r="887" spans="1:12" x14ac:dyDescent="0.3">
      <c r="A887" t="s">
        <v>584</v>
      </c>
    </row>
    <row r="888" spans="1:12" x14ac:dyDescent="0.3">
      <c r="A888" t="s">
        <v>236</v>
      </c>
      <c r="E888" s="20" t="str">
        <f t="shared" ref="E888:E899" si="66">IF(D888="?OLD","!!!","")</f>
        <v/>
      </c>
      <c r="F888" s="21" t="str">
        <f>IF(OR(E888="",E888="!!!"),"",IF(NOT(ISNA(VLOOKUP(E888,E$1:E887,1,FALSE()))),"OLD",IF(AND(E888&lt;&gt;"",E888&lt;&gt;"!!!"),"NEW","")))</f>
        <v/>
      </c>
      <c r="G888" s="22" t="str">
        <f>IF(OR(E888="",E888="!!!"),"",IF(OR(J888=0,AND(J888=1,K888=1),AND(J888=1,I888="SBJ"),AND(J888=1,I888=0)),"?IN_FOCUS",IF(J888&lt;=2,"?ACTIVATED",IF(J888&lt;&gt;"","?FAMILIAR",IF(F888="NEW",IF(ISNA(VLOOKUP(E888,#REF!,1,FALSE())),"?TYPE_IDENTIFIABLE","?REFERENTIAL"),"_")))))</f>
        <v/>
      </c>
      <c r="H888" s="23" t="str">
        <f t="shared" ref="H888:H899" ca="1" si="67">IF(J888&lt;&gt;1,"",IF(I888="SBJ","CB","?"))</f>
        <v/>
      </c>
      <c r="I888" s="24" t="str">
        <f>IF(OR(E888="",E888="!!!",F888="NEW"),"",INDEX(B$2:B887,-1+SUMPRODUCT(MAX(ROW(E$2:E887)*(E888=E$2:E887)))))</f>
        <v/>
      </c>
      <c r="J888" s="24" t="str">
        <f ca="1">IF(OR(E888="",E888="!!!",F888="NEW"),"",COUNTBLANK(OFFSET(A$1,,,SUMPRODUCT(MAX(ROW(E$2:E888)*(E888=E$2:E888)))))-COUNTBLANK(OFFSET(A$1,,,SUMPRODUCT(MAX(ROW(E$1:E887)*(E2=E$1:E887))))))</f>
        <v/>
      </c>
      <c r="K888" s="24" t="str">
        <f>IF(OR(E888="",E888="!!!",F888="NEW"),"",INDEX(J$1:J887,SUMPRODUCT(MAX(ROW(E$1:E887)*(E888=E$1:E887)))))</f>
        <v/>
      </c>
      <c r="L888" s="25"/>
    </row>
    <row r="889" spans="1:12" x14ac:dyDescent="0.3">
      <c r="A889" t="s">
        <v>257</v>
      </c>
      <c r="B889" s="26" t="s">
        <v>213</v>
      </c>
      <c r="C889" s="26" t="s">
        <v>230</v>
      </c>
      <c r="D889" s="26" t="s">
        <v>215</v>
      </c>
      <c r="E889" s="20" t="s">
        <v>739</v>
      </c>
      <c r="F889" s="21" t="str">
        <f>IF(OR(E889="",E889="!!!"),"",IF(NOT(ISNA(VLOOKUP(E889,E$1:E888,1,FALSE()))),"OLD",IF(AND(E889&lt;&gt;"",E889&lt;&gt;"!!!"),"NEW","")))</f>
        <v>OLD</v>
      </c>
      <c r="G889" s="22" t="str">
        <f ca="1">IF(OR(E889="",E889="!!!"),"",IF(OR(J889=0,AND(J889=1,K889=1),AND(J889=1,I889="SBJ"),AND(J889=1,I889=0)),"?IN_FOCUS",IF(J889&lt;=2,"?ACTIVATED",IF(J889&lt;&gt;"","?FAMILIAR",IF(F889="NEW",IF(ISNA(VLOOKUP(E889,#REF!,1,FALSE())),"?TYPE_IDENTIFIABLE","?REFERENTIAL"),"_")))))</f>
        <v>?IN_FOCUS</v>
      </c>
      <c r="H889" s="23" t="str">
        <f t="shared" ca="1" si="67"/>
        <v/>
      </c>
      <c r="I889" s="24" t="str">
        <f>IF(OR(E889="",E889="!!!",F889="NEW"),"",INDEX(B$2:B888,-1+SUMPRODUCT(MAX(ROW(E$2:E888)*(E889=E$2:E888)))))</f>
        <v>other_4</v>
      </c>
      <c r="J889" s="24">
        <f ca="1">IF(OR(E889="",E889="!!!",F889="NEW"),"",COUNTBLANK(OFFSET(A$1,,,SUMPRODUCT(MAX(ROW(E$2:E889)*(E889=E$2:E889)))))-COUNTBLANK(OFFSET(A$1,,,SUMPRODUCT(MAX(ROW(E$1:E888)*(E2=E$1:E888))))))</f>
        <v>0</v>
      </c>
      <c r="K889" s="24">
        <f ca="1">IF(OR(E889="",E889="!!!",F889="NEW"),"",INDEX(J$1:J888,SUMPRODUCT(MAX(ROW(E$1:E888)*(E889=E$1:E888)))))</f>
        <v>0</v>
      </c>
      <c r="L889" s="25"/>
    </row>
    <row r="890" spans="1:12" x14ac:dyDescent="0.3">
      <c r="A890" t="s">
        <v>501</v>
      </c>
      <c r="E890" s="20" t="str">
        <f t="shared" si="66"/>
        <v/>
      </c>
      <c r="F890" s="21" t="str">
        <f>IF(OR(E890="",E890="!!!"),"",IF(NOT(ISNA(VLOOKUP(E890,E$1:E889,1,FALSE()))),"OLD",IF(AND(E890&lt;&gt;"",E890&lt;&gt;"!!!"),"NEW","")))</f>
        <v/>
      </c>
      <c r="G890" s="22" t="str">
        <f>IF(OR(E890="",E890="!!!"),"",IF(OR(J890=0,AND(J890=1,K890=1),AND(J890=1,I890="SBJ"),AND(J890=1,I890=0)),"?IN_FOCUS",IF(J890&lt;=2,"?ACTIVATED",IF(J890&lt;&gt;"","?FAMILIAR",IF(F890="NEW",IF(ISNA(VLOOKUP(E890,#REF!,1,FALSE())),"?TYPE_IDENTIFIABLE","?REFERENTIAL"),"_")))))</f>
        <v/>
      </c>
      <c r="H890" s="23" t="str">
        <f t="shared" ca="1" si="67"/>
        <v/>
      </c>
      <c r="I890" s="24" t="str">
        <f>IF(OR(E890="",E890="!!!",F890="NEW"),"",INDEX(B$2:B889,-1+SUMPRODUCT(MAX(ROW(E$2:E889)*(E890=E$2:E889)))))</f>
        <v/>
      </c>
      <c r="J890" s="24" t="str">
        <f ca="1">IF(OR(E890="",E890="!!!",F890="NEW"),"",COUNTBLANK(OFFSET(A$1,,,SUMPRODUCT(MAX(ROW(E$2:E890)*(E890=E$2:E890)))))-COUNTBLANK(OFFSET(A$1,,,SUMPRODUCT(MAX(ROW(E$1:E889)*(E2=E$1:E889))))))</f>
        <v/>
      </c>
      <c r="K890" s="24" t="str">
        <f>IF(OR(E890="",E890="!!!",F890="NEW"),"",INDEX(J$1:J889,SUMPRODUCT(MAX(ROW(E$1:E889)*(E890=E$1:E889)))))</f>
        <v/>
      </c>
      <c r="L890" s="25"/>
    </row>
    <row r="891" spans="1:12" x14ac:dyDescent="0.3">
      <c r="A891" t="s">
        <v>249</v>
      </c>
      <c r="E891" s="20" t="str">
        <f t="shared" si="66"/>
        <v/>
      </c>
      <c r="F891" s="21" t="str">
        <f>IF(OR(E891="",E891="!!!"),"",IF(NOT(ISNA(VLOOKUP(E891,E$1:E890,1,FALSE()))),"OLD",IF(AND(E891&lt;&gt;"",E891&lt;&gt;"!!!"),"NEW","")))</f>
        <v/>
      </c>
      <c r="G891" s="22" t="str">
        <f>IF(OR(E891="",E891="!!!"),"",IF(OR(J891=0,AND(J891=1,K891=1),AND(J891=1,I891="SBJ"),AND(J891=1,I891=0)),"?IN_FOCUS",IF(J891&lt;=2,"?ACTIVATED",IF(J891&lt;&gt;"","?FAMILIAR",IF(F891="NEW",IF(ISNA(VLOOKUP(E891,#REF!,1,FALSE())),"?TYPE_IDENTIFIABLE","?REFERENTIAL"),"_")))))</f>
        <v/>
      </c>
      <c r="H891" s="23" t="str">
        <f t="shared" ca="1" si="67"/>
        <v/>
      </c>
      <c r="I891" s="24" t="str">
        <f>IF(OR(E891="",E891="!!!",F891="NEW"),"",INDEX(B$2:B890,-1+SUMPRODUCT(MAX(ROW(E$2:E890)*(E891=E$2:E890)))))</f>
        <v/>
      </c>
      <c r="J891" s="24" t="str">
        <f ca="1">IF(OR(E891="",E891="!!!",F891="NEW"),"",COUNTBLANK(OFFSET(A$1,,,SUMPRODUCT(MAX(ROW(E$2:E891)*(E891=E$2:E891)))))-COUNTBLANK(OFFSET(A$1,,,SUMPRODUCT(MAX(ROW(E$1:E890)*(E2=E$1:E890))))))</f>
        <v/>
      </c>
      <c r="K891" s="24" t="str">
        <f>IF(OR(E891="",E891="!!!",F891="NEW"),"",INDEX(J$1:J890,SUMPRODUCT(MAX(ROW(E$1:E890)*(E891=E$1:E890)))))</f>
        <v/>
      </c>
      <c r="L891" s="25"/>
    </row>
    <row r="892" spans="1:12" x14ac:dyDescent="0.3">
      <c r="A892" t="s">
        <v>548</v>
      </c>
      <c r="B892" s="26" t="s">
        <v>229</v>
      </c>
      <c r="C892" s="26" t="s">
        <v>455</v>
      </c>
      <c r="D892" s="26" t="s">
        <v>215</v>
      </c>
      <c r="E892" s="20" t="s">
        <v>722</v>
      </c>
      <c r="F892" s="21" t="str">
        <f>IF(OR(E892="",E892="!!!"),"",IF(NOT(ISNA(VLOOKUP(E892,E$1:E891,1,FALSE()))),"OLD",IF(AND(E892&lt;&gt;"",E892&lt;&gt;"!!!"),"NEW","")))</f>
        <v>OLD</v>
      </c>
      <c r="G892" s="22" t="str">
        <f ca="1">IF(OR(E892="",E892="!!!"),"",IF(OR(J892=0,AND(J892=1,K892=1),AND(J892=1,I892="SBJ"),AND(J892=1,I892=0)),"?IN_FOCUS",IF(J892&lt;=2,"?ACTIVATED",IF(J892&lt;&gt;"","?FAMILIAR",IF(F892="NEW",IF(ISNA(VLOOKUP(E892,#REF!,1,FALSE())),"?TYPE_IDENTIFIABLE","?REFERENTIAL"),"_")))))</f>
        <v>?IN_FOCUS</v>
      </c>
      <c r="H892" s="23" t="s">
        <v>198</v>
      </c>
      <c r="I892" s="24" t="str">
        <f>IF(OR(E892="",E892="!!!",F892="NEW"),"",INDEX(B$2:B891,-1+SUMPRODUCT(MAX(ROW(E$2:E891)*(E892=E$2:E891)))))</f>
        <v>SBJ</v>
      </c>
      <c r="J892" s="24">
        <f ca="1">IF(OR(E892="",E892="!!!",F892="NEW"),"",COUNTBLANK(OFFSET(A$1,,,SUMPRODUCT(MAX(ROW(E$2:E892)*(E892=E$2:E892)))))-COUNTBLANK(OFFSET(A$1,,,SUMPRODUCT(MAX(ROW(E$1:E891)*(E2=E$1:E891))))))</f>
        <v>0</v>
      </c>
      <c r="K892" s="24">
        <f ca="1">IF(OR(E892="",E892="!!!",F892="NEW"),"",INDEX(J$1:J891,SUMPRODUCT(MAX(ROW(E$1:E891)*(E892=E$1:E891)))))</f>
        <v>0</v>
      </c>
      <c r="L892" s="25"/>
    </row>
    <row r="893" spans="1:12" x14ac:dyDescent="0.3">
      <c r="A893" t="s">
        <v>217</v>
      </c>
      <c r="E893" s="20" t="str">
        <f t="shared" si="66"/>
        <v/>
      </c>
      <c r="F893" s="21" t="str">
        <f>IF(OR(E893="",E893="!!!"),"",IF(NOT(ISNA(VLOOKUP(E893,E$1:E892,1,FALSE()))),"OLD",IF(AND(E893&lt;&gt;"",E893&lt;&gt;"!!!"),"NEW","")))</f>
        <v/>
      </c>
      <c r="G893" s="22" t="str">
        <f>IF(OR(E893="",E893="!!!"),"",IF(OR(J893=0,AND(J893=1,K893=1),AND(J893=1,I893="SBJ"),AND(J893=1,I893=0)),"?IN_FOCUS",IF(J893&lt;=2,"?ACTIVATED",IF(J893&lt;&gt;"","?FAMILIAR",IF(F893="NEW",IF(ISNA(VLOOKUP(E893,#REF!,1,FALSE())),"?TYPE_IDENTIFIABLE","?REFERENTIAL"),"_")))))</f>
        <v/>
      </c>
      <c r="H893" s="23" t="str">
        <f t="shared" ca="1" si="67"/>
        <v/>
      </c>
      <c r="I893" s="24" t="str">
        <f>IF(OR(E893="",E893="!!!",F893="NEW"),"",INDEX(B$2:B892,-1+SUMPRODUCT(MAX(ROW(E$2:E892)*(E893=E$2:E892)))))</f>
        <v/>
      </c>
      <c r="J893" s="24" t="str">
        <f ca="1">IF(OR(E893="",E893="!!!",F893="NEW"),"",COUNTBLANK(OFFSET(A$1,,,SUMPRODUCT(MAX(ROW(E$2:E893)*(E893=E$2:E893)))))-COUNTBLANK(OFFSET(A$1,,,SUMPRODUCT(MAX(ROW(E$1:E892)*(E2=E$1:E892))))))</f>
        <v/>
      </c>
      <c r="K893" s="24" t="str">
        <f>IF(OR(E893="",E893="!!!",F893="NEW"),"",INDEX(J$1:J892,SUMPRODUCT(MAX(ROW(E$1:E892)*(E893=E$1:E892)))))</f>
        <v/>
      </c>
      <c r="L893" s="25"/>
    </row>
    <row r="894" spans="1:12" x14ac:dyDescent="0.3">
      <c r="A894" t="s">
        <v>220</v>
      </c>
      <c r="E894" s="20" t="str">
        <f t="shared" si="66"/>
        <v/>
      </c>
      <c r="F894" s="21" t="str">
        <f>IF(OR(E894="",E894="!!!"),"",IF(NOT(ISNA(VLOOKUP(E894,E$1:E893,1,FALSE()))),"OLD",IF(AND(E894&lt;&gt;"",E894&lt;&gt;"!!!"),"NEW","")))</f>
        <v/>
      </c>
      <c r="G894" s="22" t="str">
        <f>IF(OR(E894="",E894="!!!"),"",IF(OR(J894=0,AND(J894=1,K894=1),AND(J894=1,I894="SBJ"),AND(J894=1,I894=0)),"?IN_FOCUS",IF(J894&lt;=2,"?ACTIVATED",IF(J894&lt;&gt;"","?FAMILIAR",IF(F894="NEW",IF(ISNA(VLOOKUP(E894,#REF!,1,FALSE())),"?TYPE_IDENTIFIABLE","?REFERENTIAL"),"_")))))</f>
        <v/>
      </c>
      <c r="H894" s="23" t="str">
        <f t="shared" ca="1" si="67"/>
        <v/>
      </c>
      <c r="I894" s="24" t="str">
        <f>IF(OR(E894="",E894="!!!",F894="NEW"),"",INDEX(B$2:B893,-1+SUMPRODUCT(MAX(ROW(E$2:E893)*(E894=E$2:E893)))))</f>
        <v/>
      </c>
      <c r="J894" s="24" t="str">
        <f ca="1">IF(OR(E894="",E894="!!!",F894="NEW"),"",COUNTBLANK(OFFSET(A$1,,,SUMPRODUCT(MAX(ROW(E$2:E894)*(E894=E$2:E894)))))-COUNTBLANK(OFFSET(A$1,,,SUMPRODUCT(MAX(ROW(E$1:E893)*(E2=E$1:E893))))))</f>
        <v/>
      </c>
      <c r="K894" s="24" t="str">
        <f>IF(OR(E894="",E894="!!!",F894="NEW"),"",INDEX(J$1:J893,SUMPRODUCT(MAX(ROW(E$1:E893)*(E894=E$1:E893)))))</f>
        <v/>
      </c>
      <c r="L894" s="25"/>
    </row>
    <row r="895" spans="1:12" x14ac:dyDescent="0.3">
      <c r="A895" t="s">
        <v>374</v>
      </c>
      <c r="E895" s="20" t="str">
        <f t="shared" si="66"/>
        <v/>
      </c>
      <c r="F895" s="21" t="str">
        <f>IF(OR(E895="",E895="!!!"),"",IF(NOT(ISNA(VLOOKUP(E895,E$1:E894,1,FALSE()))),"OLD",IF(AND(E895&lt;&gt;"",E895&lt;&gt;"!!!"),"NEW","")))</f>
        <v/>
      </c>
      <c r="G895" s="22" t="str">
        <f>IF(OR(E895="",E895="!!!"),"",IF(OR(J895=0,AND(J895=1,K895=1),AND(J895=1,I895="SBJ"),AND(J895=1,I895=0)),"?IN_FOCUS",IF(J895&lt;=2,"?ACTIVATED",IF(J895&lt;&gt;"","?FAMILIAR",IF(F895="NEW",IF(ISNA(VLOOKUP(E895,#REF!,1,FALSE())),"?TYPE_IDENTIFIABLE","?REFERENTIAL"),"_")))))</f>
        <v/>
      </c>
      <c r="H895" s="23" t="str">
        <f t="shared" ca="1" si="67"/>
        <v/>
      </c>
      <c r="I895" s="24" t="str">
        <f>IF(OR(E895="",E895="!!!",F895="NEW"),"",INDEX(B$2:B894,-1+SUMPRODUCT(MAX(ROW(E$2:E894)*(E895=E$2:E894)))))</f>
        <v/>
      </c>
      <c r="J895" s="24" t="str">
        <f ca="1">IF(OR(E895="",E895="!!!",F895="NEW"),"",COUNTBLANK(OFFSET(A$1,,,SUMPRODUCT(MAX(ROW(E$2:E895)*(E895=E$2:E895)))))-COUNTBLANK(OFFSET(A$1,,,SUMPRODUCT(MAX(ROW(E$1:E894)*(E2=E$1:E894))))))</f>
        <v/>
      </c>
      <c r="K895" s="24" t="str">
        <f>IF(OR(E895="",E895="!!!",F895="NEW"),"",INDEX(J$1:J894,SUMPRODUCT(MAX(ROW(E$1:E894)*(E895=E$1:E894)))))</f>
        <v/>
      </c>
      <c r="L895" s="25"/>
    </row>
    <row r="896" spans="1:12" x14ac:dyDescent="0.3">
      <c r="A896" t="s">
        <v>585</v>
      </c>
      <c r="B896" s="26" t="s">
        <v>205</v>
      </c>
      <c r="C896" s="26" t="s">
        <v>222</v>
      </c>
      <c r="D896" s="26" t="s">
        <v>215</v>
      </c>
      <c r="E896" s="20" t="s">
        <v>723</v>
      </c>
      <c r="F896" s="21" t="str">
        <f>IF(OR(E896="",E896="!!!"),"",IF(NOT(ISNA(VLOOKUP(E896,E$1:E895,1,FALSE()))),"OLD",IF(AND(E896&lt;&gt;"",E896&lt;&gt;"!!!"),"NEW","")))</f>
        <v>NEW</v>
      </c>
      <c r="G896" s="22" t="str">
        <f ca="1">IF(OR(E896="",E896="!!!"),"",IF(OR(J896=0,AND(J896=1,K896=1),AND(J896=1,I896="SBJ"),AND(J896=1,I896=0)),"?IN_FOCUS",IF(J896&lt;=2,"?ACTIVATED",IF(J896&lt;&gt;"","?FAMILIAR",IF(F896="NEW",IF(ISNA(VLOOKUP(E896,#REF!,1,FALSE())),"?TYPE_IDENTIFIABLE","?REFERENTIAL"),"_")))))</f>
        <v>?REFERENTIAL</v>
      </c>
      <c r="H896" s="23" t="str">
        <f t="shared" ca="1" si="67"/>
        <v/>
      </c>
      <c r="I896" s="24" t="str">
        <f>IF(OR(E896="",E896="!!!",F896="NEW"),"",INDEX(B$2:B895,-1+SUMPRODUCT(MAX(ROW(E$2:E895)*(E896=E$2:E895)))))</f>
        <v/>
      </c>
      <c r="J896" s="24" t="str">
        <f ca="1">IF(OR(E896="",E896="!!!",F896="NEW"),"",COUNTBLANK(OFFSET(A$1,,,SUMPRODUCT(MAX(ROW(E$2:E896)*(E896=E$2:E896)))))-COUNTBLANK(OFFSET(A$1,,,SUMPRODUCT(MAX(ROW(E$1:E895)*(E2=E$1:E895))))))</f>
        <v/>
      </c>
      <c r="K896" s="24" t="str">
        <f>IF(OR(E896="",E896="!!!",F896="NEW"),"",INDEX(J$1:J895,SUMPRODUCT(MAX(ROW(E$1:E895)*(E896=E$1:E895)))))</f>
        <v/>
      </c>
      <c r="L896" s="25"/>
    </row>
    <row r="897" spans="1:12" x14ac:dyDescent="0.3">
      <c r="A897" t="s">
        <v>223</v>
      </c>
      <c r="E897" s="20" t="str">
        <f t="shared" si="66"/>
        <v/>
      </c>
      <c r="F897" s="21" t="str">
        <f>IF(OR(E897="",E897="!!!"),"",IF(NOT(ISNA(VLOOKUP(E897,E$1:E896,1,FALSE()))),"OLD",IF(AND(E897&lt;&gt;"",E897&lt;&gt;"!!!"),"NEW","")))</f>
        <v/>
      </c>
      <c r="G897" s="22" t="str">
        <f>IF(OR(E897="",E897="!!!"),"",IF(OR(J897=0,AND(J897=1,K897=1),AND(J897=1,I897="SBJ"),AND(J897=1,I897=0)),"?IN_FOCUS",IF(J897&lt;=2,"?ACTIVATED",IF(J897&lt;&gt;"","?FAMILIAR",IF(F897="NEW",IF(ISNA(VLOOKUP(E897,#REF!,1,FALSE())),"?TYPE_IDENTIFIABLE","?REFERENTIAL"),"_")))))</f>
        <v/>
      </c>
      <c r="H897" s="23" t="str">
        <f t="shared" ca="1" si="67"/>
        <v/>
      </c>
      <c r="I897" s="24" t="str">
        <f>IF(OR(E897="",E897="!!!",F897="NEW"),"",INDEX(B$2:B896,-1+SUMPRODUCT(MAX(ROW(E$2:E896)*(E897=E$2:E896)))))</f>
        <v/>
      </c>
      <c r="J897" s="24" t="str">
        <f ca="1">IF(OR(E897="",E897="!!!",F897="NEW"),"",COUNTBLANK(OFFSET(A$1,,,SUMPRODUCT(MAX(ROW(E$2:E897)*(E897=E$2:E897)))))-COUNTBLANK(OFFSET(A$1,,,SUMPRODUCT(MAX(ROW(E$1:E896)*(E2=E$1:E896))))))</f>
        <v/>
      </c>
      <c r="K897" s="24" t="str">
        <f>IF(OR(E897="",E897="!!!",F897="NEW"),"",INDEX(J$1:J896,SUMPRODUCT(MAX(ROW(E$1:E896)*(E897=E$1:E896)))))</f>
        <v/>
      </c>
      <c r="L897" s="25"/>
    </row>
    <row r="898" spans="1:12" x14ac:dyDescent="0.3">
      <c r="A898" t="s">
        <v>586</v>
      </c>
      <c r="B898" s="26" t="s">
        <v>225</v>
      </c>
      <c r="C898" s="26" t="s">
        <v>226</v>
      </c>
      <c r="E898" s="20" t="str">
        <f t="shared" si="66"/>
        <v/>
      </c>
      <c r="F898" s="21" t="str">
        <f>IF(OR(E898="",E898="!!!"),"",IF(NOT(ISNA(VLOOKUP(E898,E$1:E897,1,FALSE()))),"OLD",IF(AND(E898&lt;&gt;"",E898&lt;&gt;"!!!"),"NEW","")))</f>
        <v/>
      </c>
      <c r="G898" s="22" t="str">
        <f>IF(OR(E898="",E898="!!!"),"",IF(OR(J898=0,AND(J898=1,K898=1),AND(J898=1,I898="SBJ"),AND(J898=1,I898=0)),"?IN_FOCUS",IF(J898&lt;=2,"?ACTIVATED",IF(J898&lt;&gt;"","?FAMILIAR",IF(F898="NEW",IF(ISNA(VLOOKUP(E898,#REF!,1,FALSE())),"?TYPE_IDENTIFIABLE","?REFERENTIAL"),"_")))))</f>
        <v/>
      </c>
      <c r="H898" s="23" t="str">
        <f t="shared" ca="1" si="67"/>
        <v/>
      </c>
      <c r="I898" s="24" t="str">
        <f>IF(OR(E898="",E898="!!!",F898="NEW"),"",INDEX(B$2:B897,-1+SUMPRODUCT(MAX(ROW(E$2:E897)*(E898=E$2:E897)))))</f>
        <v/>
      </c>
      <c r="J898" s="24" t="str">
        <f ca="1">IF(OR(E898="",E898="!!!",F898="NEW"),"",COUNTBLANK(OFFSET(A$1,,,SUMPRODUCT(MAX(ROW(E$2:E898)*(E898=E$2:E898)))))-COUNTBLANK(OFFSET(A$1,,,SUMPRODUCT(MAX(ROW(E$1:E897)*(E2=E$1:E897))))))</f>
        <v/>
      </c>
      <c r="K898" s="24" t="str">
        <f>IF(OR(E898="",E898="!!!",F898="NEW"),"",INDEX(J$1:J897,SUMPRODUCT(MAX(ROW(E$1:E897)*(E898=E$1:E897)))))</f>
        <v/>
      </c>
      <c r="L898" s="25"/>
    </row>
    <row r="899" spans="1:12" x14ac:dyDescent="0.3">
      <c r="A899" t="s">
        <v>234</v>
      </c>
      <c r="E899" s="20" t="str">
        <f t="shared" si="66"/>
        <v/>
      </c>
      <c r="F899" s="21" t="str">
        <f>IF(OR(E899="",E899="!!!"),"",IF(NOT(ISNA(VLOOKUP(E899,E$1:E898,1,FALSE()))),"OLD",IF(AND(E899&lt;&gt;"",E899&lt;&gt;"!!!"),"NEW","")))</f>
        <v/>
      </c>
      <c r="G899" s="22" t="str">
        <f>IF(OR(E899="",E899="!!!"),"",IF(OR(J899=0,AND(J899=1,K899=1),AND(J899=1,I899="SBJ"),AND(J899=1,I899=0)),"?IN_FOCUS",IF(J899&lt;=2,"?ACTIVATED",IF(J899&lt;&gt;"","?FAMILIAR",IF(F899="NEW",IF(ISNA(VLOOKUP(E899,#REF!,1,FALSE())),"?TYPE_IDENTIFIABLE","?REFERENTIAL"),"_")))))</f>
        <v/>
      </c>
      <c r="H899" s="23" t="str">
        <f t="shared" ca="1" si="67"/>
        <v/>
      </c>
      <c r="I899" s="24" t="str">
        <f>IF(OR(E899="",E899="!!!",F899="NEW"),"",INDEX(B$2:B898,-1+SUMPRODUCT(MAX(ROW(E$2:E898)*(E899=E$2:E898)))))</f>
        <v/>
      </c>
      <c r="J899" s="24" t="str">
        <f ca="1">IF(OR(E899="",E899="!!!",F899="NEW"),"",COUNTBLANK(OFFSET(A$1,,,SUMPRODUCT(MAX(ROW(E$2:E899)*(E899=E$2:E899)))))-COUNTBLANK(OFFSET(A$1,,,SUMPRODUCT(MAX(ROW(E$1:E898)*(E2=E$1:E898))))))</f>
        <v/>
      </c>
      <c r="K899" s="24" t="str">
        <f>IF(OR(E899="",E899="!!!",F899="NEW"),"",INDEX(J$1:J898,SUMPRODUCT(MAX(ROW(E$1:E898)*(E899=E$1:E898)))))</f>
        <v/>
      </c>
      <c r="L899" s="25"/>
    </row>
    <row r="901" spans="1:12" x14ac:dyDescent="0.3">
      <c r="A901" t="s">
        <v>587</v>
      </c>
    </row>
    <row r="902" spans="1:12" x14ac:dyDescent="0.3">
      <c r="A902" t="s">
        <v>588</v>
      </c>
      <c r="B902" s="26" t="s">
        <v>213</v>
      </c>
      <c r="C902" s="26" t="s">
        <v>455</v>
      </c>
      <c r="D902" s="26" t="s">
        <v>215</v>
      </c>
      <c r="E902" s="20" t="s">
        <v>722</v>
      </c>
      <c r="F902" s="21" t="str">
        <f>IF(OR(E902="",E902="!!!"),"",IF(NOT(ISNA(VLOOKUP(E902,E$1:E901,1,FALSE()))),"OLD",IF(AND(E902&lt;&gt;"",E902&lt;&gt;"!!!"),"NEW","")))</f>
        <v>OLD</v>
      </c>
      <c r="G902" s="22" t="str">
        <f ca="1">IF(OR(E902="",E902="!!!"),"",IF(OR(J902=0,AND(J902=1,K902=1),AND(J902=1,I902="SBJ"),AND(J902=1,I902=0)),"?IN_FOCUS",IF(J902&lt;=2,"?ACTIVATED",IF(J902&lt;&gt;"","?FAMILIAR",IF(F902="NEW",IF(ISNA(VLOOKUP(E902,#REF!,1,FALSE())),"?TYPE_IDENTIFIABLE","?REFERENTIAL"),"_")))))</f>
        <v>?IN_FOCUS</v>
      </c>
      <c r="H902" s="23" t="s">
        <v>198</v>
      </c>
      <c r="I902" s="24" t="str">
        <f>IF(OR(E902="",E902="!!!",F902="NEW"),"",INDEX(B$2:B901,-1+SUMPRODUCT(MAX(ROW(E$2:E901)*(E902=E$2:E901)))))</f>
        <v>SBJ_2</v>
      </c>
      <c r="J902" s="24">
        <f ca="1">IF(OR(E902="",E902="!!!",F902="NEW"),"",COUNTBLANK(OFFSET(A$1,,,SUMPRODUCT(MAX(ROW(E$2:E902)*(E902=E$2:E902)))))-COUNTBLANK(OFFSET(A$1,,,SUMPRODUCT(MAX(ROW(E$1:E901)*(E2=E$1:E901))))))</f>
        <v>0</v>
      </c>
      <c r="K902" s="24">
        <f ca="1">IF(OR(E902="",E902="!!!",F902="NEW"),"",INDEX(J$1:J901,SUMPRODUCT(MAX(ROW(E$1:E901)*(E902=E$1:E901)))))</f>
        <v>0</v>
      </c>
      <c r="L902" s="25"/>
    </row>
    <row r="903" spans="1:12" x14ac:dyDescent="0.3">
      <c r="A903" t="s">
        <v>217</v>
      </c>
      <c r="E903" s="20" t="str">
        <f t="shared" ref="E903:E932" si="68">IF(D903="?OLD","!!!","")</f>
        <v/>
      </c>
      <c r="F903" s="21" t="str">
        <f>IF(OR(E903="",E903="!!!"),"",IF(NOT(ISNA(VLOOKUP(E903,E$1:E902,1,FALSE()))),"OLD",IF(AND(E903&lt;&gt;"",E903&lt;&gt;"!!!"),"NEW","")))</f>
        <v/>
      </c>
      <c r="G903" s="22" t="str">
        <f>IF(OR(E903="",E903="!!!"),"",IF(OR(J903=0,AND(J903=1,K903=1),AND(J903=1,I903="SBJ"),AND(J903=1,I903=0)),"?IN_FOCUS",IF(J903&lt;=2,"?ACTIVATED",IF(J903&lt;&gt;"","?FAMILIAR",IF(F903="NEW",IF(ISNA(VLOOKUP(E903,#REF!,1,FALSE())),"?TYPE_IDENTIFIABLE","?REFERENTIAL"),"_")))))</f>
        <v/>
      </c>
      <c r="H903" s="23" t="str">
        <f t="shared" ref="H903:H933" ca="1" si="69">IF(J903&lt;&gt;1,"",IF(I903="SBJ","CB","?"))</f>
        <v/>
      </c>
      <c r="I903" s="24" t="str">
        <f>IF(OR(E903="",E903="!!!",F903="NEW"),"",INDEX(B$2:B902,-1+SUMPRODUCT(MAX(ROW(E$2:E902)*(E903=E$2:E902)))))</f>
        <v/>
      </c>
      <c r="J903" s="24" t="str">
        <f ca="1">IF(OR(E903="",E903="!!!",F903="NEW"),"",COUNTBLANK(OFFSET(A$1,,,SUMPRODUCT(MAX(ROW(E$2:E903)*(E903=E$2:E903)))))-COUNTBLANK(OFFSET(A$1,,,SUMPRODUCT(MAX(ROW(E$1:E902)*(E2=E$1:E902))))))</f>
        <v/>
      </c>
      <c r="K903" s="24" t="str">
        <f>IF(OR(E903="",E903="!!!",F903="NEW"),"",INDEX(J$1:J902,SUMPRODUCT(MAX(ROW(E$1:E902)*(E903=E$1:E902)))))</f>
        <v/>
      </c>
      <c r="L903" s="25"/>
    </row>
    <row r="904" spans="1:12" x14ac:dyDescent="0.3">
      <c r="A904" t="s">
        <v>220</v>
      </c>
      <c r="E904" s="20" t="str">
        <f t="shared" si="68"/>
        <v/>
      </c>
      <c r="F904" s="21" t="str">
        <f>IF(OR(E904="",E904="!!!"),"",IF(NOT(ISNA(VLOOKUP(E904,E$1:E903,1,FALSE()))),"OLD",IF(AND(E904&lt;&gt;"",E904&lt;&gt;"!!!"),"NEW","")))</f>
        <v/>
      </c>
      <c r="G904" s="22" t="str">
        <f>IF(OR(E904="",E904="!!!"),"",IF(OR(J904=0,AND(J904=1,K904=1),AND(J904=1,I904="SBJ"),AND(J904=1,I904=0)),"?IN_FOCUS",IF(J904&lt;=2,"?ACTIVATED",IF(J904&lt;&gt;"","?FAMILIAR",IF(F904="NEW",IF(ISNA(VLOOKUP(E904,#REF!,1,FALSE())),"?TYPE_IDENTIFIABLE","?REFERENTIAL"),"_")))))</f>
        <v/>
      </c>
      <c r="H904" s="23" t="str">
        <f t="shared" ca="1" si="69"/>
        <v/>
      </c>
      <c r="I904" s="24" t="str">
        <f>IF(OR(E904="",E904="!!!",F904="NEW"),"",INDEX(B$2:B903,-1+SUMPRODUCT(MAX(ROW(E$2:E903)*(E904=E$2:E903)))))</f>
        <v/>
      </c>
      <c r="J904" s="24" t="str">
        <f ca="1">IF(OR(E904="",E904="!!!",F904="NEW"),"",COUNTBLANK(OFFSET(A$1,,,SUMPRODUCT(MAX(ROW(E$2:E904)*(E904=E$2:E904)))))-COUNTBLANK(OFFSET(A$1,,,SUMPRODUCT(MAX(ROW(E$1:E903)*(E2=E$1:E903))))))</f>
        <v/>
      </c>
      <c r="K904" s="24" t="str">
        <f>IF(OR(E904="",E904="!!!",F904="NEW"),"",INDEX(J$1:J903,SUMPRODUCT(MAX(ROW(E$1:E903)*(E904=E$1:E903)))))</f>
        <v/>
      </c>
      <c r="L904" s="25"/>
    </row>
    <row r="905" spans="1:12" x14ac:dyDescent="0.3">
      <c r="A905" t="s">
        <v>374</v>
      </c>
      <c r="E905" s="20" t="str">
        <f t="shared" si="68"/>
        <v/>
      </c>
      <c r="F905" s="21" t="str">
        <f>IF(OR(E905="",E905="!!!"),"",IF(NOT(ISNA(VLOOKUP(E905,E$1:E904,1,FALSE()))),"OLD",IF(AND(E905&lt;&gt;"",E905&lt;&gt;"!!!"),"NEW","")))</f>
        <v/>
      </c>
      <c r="G905" s="22" t="str">
        <f>IF(OR(E905="",E905="!!!"),"",IF(OR(J905=0,AND(J905=1,K905=1),AND(J905=1,I905="SBJ"),AND(J905=1,I905=0)),"?IN_FOCUS",IF(J905&lt;=2,"?ACTIVATED",IF(J905&lt;&gt;"","?FAMILIAR",IF(F905="NEW",IF(ISNA(VLOOKUP(E905,#REF!,1,FALSE())),"?TYPE_IDENTIFIABLE","?REFERENTIAL"),"_")))))</f>
        <v/>
      </c>
      <c r="H905" s="23" t="str">
        <f t="shared" ca="1" si="69"/>
        <v/>
      </c>
      <c r="I905" s="24" t="str">
        <f>IF(OR(E905="",E905="!!!",F905="NEW"),"",INDEX(B$2:B904,-1+SUMPRODUCT(MAX(ROW(E$2:E904)*(E905=E$2:E904)))))</f>
        <v/>
      </c>
      <c r="J905" s="24" t="str">
        <f ca="1">IF(OR(E905="",E905="!!!",F905="NEW"),"",COUNTBLANK(OFFSET(A$1,,,SUMPRODUCT(MAX(ROW(E$2:E905)*(E905=E$2:E905)))))-COUNTBLANK(OFFSET(A$1,,,SUMPRODUCT(MAX(ROW(E$1:E904)*(E2=E$1:E904))))))</f>
        <v/>
      </c>
      <c r="K905" s="24" t="str">
        <f>IF(OR(E905="",E905="!!!",F905="NEW"),"",INDEX(J$1:J904,SUMPRODUCT(MAX(ROW(E$1:E904)*(E905=E$1:E904)))))</f>
        <v/>
      </c>
      <c r="L905" s="25"/>
    </row>
    <row r="906" spans="1:12" x14ac:dyDescent="0.3">
      <c r="A906" t="s">
        <v>589</v>
      </c>
      <c r="B906" s="26" t="s">
        <v>205</v>
      </c>
      <c r="C906" s="26" t="s">
        <v>222</v>
      </c>
      <c r="D906" s="26" t="s">
        <v>215</v>
      </c>
      <c r="E906" s="20"/>
      <c r="F906" s="21" t="s">
        <v>661</v>
      </c>
      <c r="G906" s="22" t="str">
        <f>IF(OR(E906="",E906="!!!"),"",IF(OR(J906=0,AND(J906=1,K906=1),AND(J906=1,I906="SBJ"),AND(J906=1,I906=0)),"?IN_FOCUS",IF(J906&lt;=2,"?ACTIVATED",IF(J906&lt;&gt;"","?FAMILIAR",IF(F906="NEW",IF(ISNA(VLOOKUP(E906,#REF!,1,FALSE())),"?TYPE_IDENTIFIABLE","?REFERENTIAL"),"_")))))</f>
        <v/>
      </c>
      <c r="H906" s="23" t="str">
        <f t="shared" ca="1" si="69"/>
        <v/>
      </c>
      <c r="I906" s="24" t="str">
        <f>IF(OR(E906="",E906="!!!",F906="NEW"),"",INDEX(B$2:B905,-1+SUMPRODUCT(MAX(ROW(E$2:E905)*(E906=E$2:E905)))))</f>
        <v/>
      </c>
      <c r="J906" s="24" t="str">
        <f ca="1">IF(OR(E906="",E906="!!!",F906="NEW"),"",COUNTBLANK(OFFSET(A$1,,,SUMPRODUCT(MAX(ROW(E$2:E906)*(E906=E$2:E906)))))-COUNTBLANK(OFFSET(A$1,,,SUMPRODUCT(MAX(ROW(E$1:E905)*(E2=E$1:E905))))))</f>
        <v/>
      </c>
      <c r="K906" s="24" t="str">
        <f>IF(OR(E906="",E906="!!!",F906="NEW"),"",INDEX(J$1:J905,SUMPRODUCT(MAX(ROW(E$1:E905)*(E906=E$1:E905)))))</f>
        <v/>
      </c>
      <c r="L906" s="25"/>
    </row>
    <row r="907" spans="1:12" x14ac:dyDescent="0.3">
      <c r="A907" t="s">
        <v>590</v>
      </c>
      <c r="E907" s="20" t="str">
        <f t="shared" si="68"/>
        <v/>
      </c>
      <c r="F907" s="21" t="str">
        <f>IF(OR(E907="",E907="!!!"),"",IF(NOT(ISNA(VLOOKUP(E907,E$1:E906,1,FALSE()))),"OLD",IF(AND(E907&lt;&gt;"",E907&lt;&gt;"!!!"),"NEW","")))</f>
        <v/>
      </c>
      <c r="G907" s="22" t="str">
        <f>IF(OR(E907="",E907="!!!"),"",IF(OR(J907=0,AND(J907=1,K907=1),AND(J907=1,I907="SBJ"),AND(J907=1,I907=0)),"?IN_FOCUS",IF(J907&lt;=2,"?ACTIVATED",IF(J907&lt;&gt;"","?FAMILIAR",IF(F907="NEW",IF(ISNA(VLOOKUP(E907,#REF!,1,FALSE())),"?TYPE_IDENTIFIABLE","?REFERENTIAL"),"_")))))</f>
        <v/>
      </c>
      <c r="H907" s="23" t="str">
        <f t="shared" ca="1" si="69"/>
        <v/>
      </c>
      <c r="I907" s="24" t="str">
        <f>IF(OR(E907="",E907="!!!",F907="NEW"),"",INDEX(B$2:B906,-1+SUMPRODUCT(MAX(ROW(E$2:E906)*(E907=E$2:E906)))))</f>
        <v/>
      </c>
      <c r="J907" s="24" t="str">
        <f ca="1">IF(OR(E907="",E907="!!!",F907="NEW"),"",COUNTBLANK(OFFSET(A$1,,,SUMPRODUCT(MAX(ROW(E$2:E907)*(E907=E$2:E907)))))-COUNTBLANK(OFFSET(A$1,,,SUMPRODUCT(MAX(ROW(E$1:E906)*(E2=E$1:E906))))))</f>
        <v/>
      </c>
      <c r="K907" s="24" t="str">
        <f>IF(OR(E907="",E907="!!!",F907="NEW"),"",INDEX(J$1:J906,SUMPRODUCT(MAX(ROW(E$1:E906)*(E907=E$1:E906)))))</f>
        <v/>
      </c>
      <c r="L907" s="25"/>
    </row>
    <row r="908" spans="1:12" x14ac:dyDescent="0.3">
      <c r="A908" t="s">
        <v>120</v>
      </c>
      <c r="B908" s="26" t="s">
        <v>229</v>
      </c>
      <c r="C908" s="26" t="s">
        <v>230</v>
      </c>
      <c r="D908" s="26" t="s">
        <v>215</v>
      </c>
      <c r="E908" s="20"/>
      <c r="F908" s="21" t="s">
        <v>653</v>
      </c>
      <c r="G908" s="22" t="str">
        <f>IF(OR(E908="",E908="!!!"),"",IF(OR(J908=0,AND(J908=1,K908=1),AND(J908=1,I908="SBJ"),AND(J908=1,I908=0)),"?IN_FOCUS",IF(J908&lt;=2,"?ACTIVATED",IF(J908&lt;&gt;"","?FAMILIAR",IF(F908="NEW",IF(ISNA(VLOOKUP(E908,#REF!,1,FALSE())),"?TYPE_IDENTIFIABLE","?REFERENTIAL"),"_")))))</f>
        <v/>
      </c>
      <c r="H908" s="23" t="str">
        <f t="shared" ca="1" si="69"/>
        <v/>
      </c>
      <c r="I908" s="24" t="str">
        <f>IF(OR(E908="",E908="!!!",F908="NEW"),"",INDEX(B$2:B907,-1+SUMPRODUCT(MAX(ROW(E$2:E907)*(E908=E$2:E907)))))</f>
        <v/>
      </c>
      <c r="J908" s="24" t="str">
        <f ca="1">IF(OR(E908="",E908="!!!",F908="NEW"),"",COUNTBLANK(OFFSET(A$1,,,SUMPRODUCT(MAX(ROW(E$2:E908)*(E908=E$2:E908)))))-COUNTBLANK(OFFSET(A$1,,,SUMPRODUCT(MAX(ROW(E$1:E907)*(E2=E$1:E907))))))</f>
        <v/>
      </c>
      <c r="K908" s="24" t="str">
        <f>IF(OR(E908="",E908="!!!",F908="NEW"),"",INDEX(J$1:J907,SUMPRODUCT(MAX(ROW(E$1:E907)*(E908=E$1:E907)))))</f>
        <v/>
      </c>
      <c r="L908" s="25" t="s">
        <v>727</v>
      </c>
    </row>
    <row r="909" spans="1:12" x14ac:dyDescent="0.3">
      <c r="A909" t="s">
        <v>591</v>
      </c>
      <c r="E909" s="20" t="str">
        <f t="shared" si="68"/>
        <v/>
      </c>
      <c r="F909" s="21" t="str">
        <f>IF(OR(E909="",E909="!!!"),"",IF(NOT(ISNA(VLOOKUP(E909,E$1:E908,1,FALSE()))),"OLD",IF(AND(E909&lt;&gt;"",E909&lt;&gt;"!!!"),"NEW","")))</f>
        <v/>
      </c>
      <c r="G909" s="22" t="str">
        <f>IF(OR(E909="",E909="!!!"),"",IF(OR(J909=0,AND(J909=1,K909=1),AND(J909=1,I909="SBJ"),AND(J909=1,I909=0)),"?IN_FOCUS",IF(J909&lt;=2,"?ACTIVATED",IF(J909&lt;&gt;"","?FAMILIAR",IF(F909="NEW",IF(ISNA(VLOOKUP(E909,#REF!,1,FALSE())),"?TYPE_IDENTIFIABLE","?REFERENTIAL"),"_")))))</f>
        <v/>
      </c>
      <c r="H909" s="23" t="str">
        <f t="shared" ca="1" si="69"/>
        <v/>
      </c>
      <c r="I909" s="24" t="str">
        <f>IF(OR(E909="",E909="!!!",F909="NEW"),"",INDEX(B$2:B908,-1+SUMPRODUCT(MAX(ROW(E$2:E908)*(E909=E$2:E908)))))</f>
        <v/>
      </c>
      <c r="J909" s="24" t="str">
        <f ca="1">IF(OR(E909="",E909="!!!",F909="NEW"),"",COUNTBLANK(OFFSET(A$1,,,SUMPRODUCT(MAX(ROW(E$2:E909)*(E909=E$2:E909)))))-COUNTBLANK(OFFSET(A$1,,,SUMPRODUCT(MAX(ROW(E$1:E908)*(E2=E$1:E908))))))</f>
        <v/>
      </c>
      <c r="K909" s="24" t="str">
        <f>IF(OR(E909="",E909="!!!",F909="NEW"),"",INDEX(J$1:J908,SUMPRODUCT(MAX(ROW(E$1:E908)*(E909=E$1:E908)))))</f>
        <v/>
      </c>
      <c r="L909" s="25"/>
    </row>
    <row r="910" spans="1:12" x14ac:dyDescent="0.3">
      <c r="A910" t="s">
        <v>188</v>
      </c>
      <c r="B910" s="26" t="s">
        <v>233</v>
      </c>
      <c r="C910" s="26" t="s">
        <v>226</v>
      </c>
      <c r="E910" s="20" t="str">
        <f t="shared" si="68"/>
        <v/>
      </c>
      <c r="F910" s="21" t="str">
        <f>IF(OR(E910="",E910="!!!"),"",IF(NOT(ISNA(VLOOKUP(E910,E$1:E909,1,FALSE()))),"OLD",IF(AND(E910&lt;&gt;"",E910&lt;&gt;"!!!"),"NEW","")))</f>
        <v/>
      </c>
      <c r="G910" s="22" t="str">
        <f>IF(OR(E910="",E910="!!!"),"",IF(OR(J910=0,AND(J910=1,K910=1),AND(J910=1,I910="SBJ"),AND(J910=1,I910=0)),"?IN_FOCUS",IF(J910&lt;=2,"?ACTIVATED",IF(J910&lt;&gt;"","?FAMILIAR",IF(F910="NEW",IF(ISNA(VLOOKUP(E910,#REF!,1,FALSE())),"?TYPE_IDENTIFIABLE","?REFERENTIAL"),"_")))))</f>
        <v/>
      </c>
      <c r="H910" s="23" t="str">
        <f t="shared" ca="1" si="69"/>
        <v/>
      </c>
      <c r="I910" s="24" t="str">
        <f>IF(OR(E910="",E910="!!!",F910="NEW"),"",INDEX(B$2:B909,-1+SUMPRODUCT(MAX(ROW(E$2:E909)*(E910=E$2:E909)))))</f>
        <v/>
      </c>
      <c r="J910" s="24" t="str">
        <f ca="1">IF(OR(E910="",E910="!!!",F910="NEW"),"",COUNTBLANK(OFFSET(A$1,,,SUMPRODUCT(MAX(ROW(E$2:E910)*(E910=E$2:E910)))))-COUNTBLANK(OFFSET(A$1,,,SUMPRODUCT(MAX(ROW(E$1:E909)*(E2=E$1:E909))))))</f>
        <v/>
      </c>
      <c r="K910" s="24" t="str">
        <f>IF(OR(E910="",E910="!!!",F910="NEW"),"",INDEX(J$1:J909,SUMPRODUCT(MAX(ROW(E$1:E909)*(E910=E$1:E909)))))</f>
        <v/>
      </c>
      <c r="L910" s="25"/>
    </row>
    <row r="911" spans="1:12" x14ac:dyDescent="0.3">
      <c r="A911" t="s">
        <v>207</v>
      </c>
      <c r="E911" s="20" t="str">
        <f t="shared" si="68"/>
        <v/>
      </c>
      <c r="F911" s="21" t="str">
        <f>IF(OR(E911="",E911="!!!"),"",IF(NOT(ISNA(VLOOKUP(E911,E$1:E910,1,FALSE()))),"OLD",IF(AND(E911&lt;&gt;"",E911&lt;&gt;"!!!"),"NEW","")))</f>
        <v/>
      </c>
      <c r="G911" s="22" t="str">
        <f>IF(OR(E911="",E911="!!!"),"",IF(OR(J911=0,AND(J911=1,K911=1),AND(J911=1,I911="SBJ"),AND(J911=1,I911=0)),"?IN_FOCUS",IF(J911&lt;=2,"?ACTIVATED",IF(J911&lt;&gt;"","?FAMILIAR",IF(F911="NEW",IF(ISNA(VLOOKUP(E911,#REF!,1,FALSE())),"?TYPE_IDENTIFIABLE","?REFERENTIAL"),"_")))))</f>
        <v/>
      </c>
      <c r="H911" s="23" t="str">
        <f t="shared" ca="1" si="69"/>
        <v/>
      </c>
      <c r="I911" s="24" t="str">
        <f>IF(OR(E911="",E911="!!!",F911="NEW"),"",INDEX(B$2:B910,-1+SUMPRODUCT(MAX(ROW(E$2:E910)*(E911=E$2:E910)))))</f>
        <v/>
      </c>
      <c r="J911" s="24" t="str">
        <f ca="1">IF(OR(E911="",E911="!!!",F911="NEW"),"",COUNTBLANK(OFFSET(A$1,,,SUMPRODUCT(MAX(ROW(E$2:E911)*(E911=E$2:E911)))))-COUNTBLANK(OFFSET(A$1,,,SUMPRODUCT(MAX(ROW(E$1:E910)*(E2=E$1:E910))))))</f>
        <v/>
      </c>
      <c r="K911" s="24" t="str">
        <f>IF(OR(E911="",E911="!!!",F911="NEW"),"",INDEX(J$1:J910,SUMPRODUCT(MAX(ROW(E$1:E910)*(E911=E$1:E910)))))</f>
        <v/>
      </c>
      <c r="L911" s="25"/>
    </row>
    <row r="912" spans="1:12" x14ac:dyDescent="0.3">
      <c r="A912" t="s">
        <v>249</v>
      </c>
      <c r="E912" s="20" t="str">
        <f t="shared" si="68"/>
        <v/>
      </c>
      <c r="F912" s="21" t="str">
        <f>IF(OR(E912="",E912="!!!"),"",IF(NOT(ISNA(VLOOKUP(E912,E$1:E911,1,FALSE()))),"OLD",IF(AND(E912&lt;&gt;"",E912&lt;&gt;"!!!"),"NEW","")))</f>
        <v/>
      </c>
      <c r="G912" s="22" t="str">
        <f>IF(OR(E912="",E912="!!!"),"",IF(OR(J912=0,AND(J912=1,K912=1),AND(J912=1,I912="SBJ"),AND(J912=1,I912=0)),"?IN_FOCUS",IF(J912&lt;=2,"?ACTIVATED",IF(J912&lt;&gt;"","?FAMILIAR",IF(F912="NEW",IF(ISNA(VLOOKUP(E912,#REF!,1,FALSE())),"?TYPE_IDENTIFIABLE","?REFERENTIAL"),"_")))))</f>
        <v/>
      </c>
      <c r="H912" s="23" t="str">
        <f t="shared" ca="1" si="69"/>
        <v/>
      </c>
      <c r="I912" s="24" t="str">
        <f>IF(OR(E912="",E912="!!!",F912="NEW"),"",INDEX(B$2:B911,-1+SUMPRODUCT(MAX(ROW(E$2:E911)*(E912=E$2:E911)))))</f>
        <v/>
      </c>
      <c r="J912" s="24" t="str">
        <f ca="1">IF(OR(E912="",E912="!!!",F912="NEW"),"",COUNTBLANK(OFFSET(A$1,,,SUMPRODUCT(MAX(ROW(E$2:E912)*(E912=E$2:E912)))))-COUNTBLANK(OFFSET(A$1,,,SUMPRODUCT(MAX(ROW(E$1:E911)*(E2=E$1:E911))))))</f>
        <v/>
      </c>
      <c r="K912" s="24" t="str">
        <f>IF(OR(E912="",E912="!!!",F912="NEW"),"",INDEX(J$1:J911,SUMPRODUCT(MAX(ROW(E$1:E911)*(E912=E$1:E911)))))</f>
        <v/>
      </c>
      <c r="L912" s="25"/>
    </row>
    <row r="913" spans="1:12" x14ac:dyDescent="0.3">
      <c r="A913" t="s">
        <v>120</v>
      </c>
      <c r="B913" s="26" t="s">
        <v>229</v>
      </c>
      <c r="C913" s="26" t="s">
        <v>230</v>
      </c>
      <c r="D913" s="26" t="s">
        <v>215</v>
      </c>
      <c r="E913" s="20"/>
      <c r="F913" s="21" t="s">
        <v>653</v>
      </c>
      <c r="G913" s="22" t="str">
        <f>IF(OR(E913="",E913="!!!"),"",IF(OR(J913=0,AND(J913=1,K913=1),AND(J913=1,I913="SBJ"),AND(J913=1,I913=0)),"?IN_FOCUS",IF(J913&lt;=2,"?ACTIVATED",IF(J913&lt;&gt;"","?FAMILIAR",IF(F913="NEW",IF(ISNA(VLOOKUP(E913,#REF!,1,FALSE())),"?TYPE_IDENTIFIABLE","?REFERENTIAL"),"_")))))</f>
        <v/>
      </c>
      <c r="H913" s="23" t="str">
        <f t="shared" ca="1" si="69"/>
        <v/>
      </c>
      <c r="I913" s="24" t="str">
        <f>IF(OR(E913="",E913="!!!",F913="NEW"),"",INDEX(B$2:B912,-1+SUMPRODUCT(MAX(ROW(E$2:E912)*(E913=E$2:E912)))))</f>
        <v/>
      </c>
      <c r="J913" s="24" t="str">
        <f ca="1">IF(OR(E913="",E913="!!!",F913="NEW"),"",COUNTBLANK(OFFSET(A$1,,,SUMPRODUCT(MAX(ROW(E$2:E913)*(E913=E$2:E913)))))-COUNTBLANK(OFFSET(A$1,,,SUMPRODUCT(MAX(ROW(E$1:E912)*(E2=E$1:E912))))))</f>
        <v/>
      </c>
      <c r="K913" s="24" t="str">
        <f>IF(OR(E913="",E913="!!!",F913="NEW"),"",INDEX(J$1:J912,SUMPRODUCT(MAX(ROW(E$1:E912)*(E913=E$1:E912)))))</f>
        <v/>
      </c>
      <c r="L913" s="25"/>
    </row>
    <row r="914" spans="1:12" x14ac:dyDescent="0.3">
      <c r="A914" t="s">
        <v>575</v>
      </c>
      <c r="E914" s="20" t="str">
        <f t="shared" si="68"/>
        <v/>
      </c>
      <c r="F914" s="21" t="str">
        <f>IF(OR(E914="",E914="!!!"),"",IF(NOT(ISNA(VLOOKUP(E914,E$1:E913,1,FALSE()))),"OLD",IF(AND(E914&lt;&gt;"",E914&lt;&gt;"!!!"),"NEW","")))</f>
        <v/>
      </c>
      <c r="G914" s="22" t="str">
        <f>IF(OR(E914="",E914="!!!"),"",IF(OR(J914=0,AND(J914=1,K914=1),AND(J914=1,I914="SBJ"),AND(J914=1,I914=0)),"?IN_FOCUS",IF(J914&lt;=2,"?ACTIVATED",IF(J914&lt;&gt;"","?FAMILIAR",IF(F914="NEW",IF(ISNA(VLOOKUP(E914,#REF!,1,FALSE())),"?TYPE_IDENTIFIABLE","?REFERENTIAL"),"_")))))</f>
        <v/>
      </c>
      <c r="H914" s="23" t="str">
        <f t="shared" ca="1" si="69"/>
        <v/>
      </c>
      <c r="I914" s="24" t="str">
        <f>IF(OR(E914="",E914="!!!",F914="NEW"),"",INDEX(B$2:B913,-1+SUMPRODUCT(MAX(ROW(E$2:E913)*(E914=E$2:E913)))))</f>
        <v/>
      </c>
      <c r="J914" s="24" t="str">
        <f ca="1">IF(OR(E914="",E914="!!!",F914="NEW"),"",COUNTBLANK(OFFSET(A$1,,,SUMPRODUCT(MAX(ROW(E$2:E914)*(E914=E$2:E914)))))-COUNTBLANK(OFFSET(A$1,,,SUMPRODUCT(MAX(ROW(E$1:E913)*(E2=E$1:E913))))))</f>
        <v/>
      </c>
      <c r="K914" s="24" t="str">
        <f>IF(OR(E914="",E914="!!!",F914="NEW"),"",INDEX(J$1:J913,SUMPRODUCT(MAX(ROW(E$1:E913)*(E914=E$1:E913)))))</f>
        <v/>
      </c>
      <c r="L914" s="25"/>
    </row>
    <row r="915" spans="1:12" x14ac:dyDescent="0.3">
      <c r="A915" t="s">
        <v>592</v>
      </c>
      <c r="B915" s="26" t="s">
        <v>233</v>
      </c>
      <c r="C915" s="26" t="s">
        <v>593</v>
      </c>
      <c r="D915" s="26" t="s">
        <v>215</v>
      </c>
      <c r="E915" s="20" t="s">
        <v>724</v>
      </c>
      <c r="F915" s="21" t="s">
        <v>655</v>
      </c>
      <c r="G915" s="22" t="str">
        <f ca="1">IF(OR(E915="",E915="!!!"),"",IF(OR(J915=0,AND(J915=1,K915=1),AND(J915=1,I915="SBJ"),AND(J915=1,I915=0)),"?IN_FOCUS",IF(J915&lt;=2,"?ACTIVATED",IF(J915&lt;&gt;"","?FAMILIAR",IF(F915="NEW",IF(ISNA(VLOOKUP(E915,#REF!,1,FALSE())),"?TYPE_IDENTIFIABLE","?REFERENTIAL"),"_")))))</f>
        <v>?REFERENTIAL</v>
      </c>
      <c r="H915" s="23" t="str">
        <f t="shared" ca="1" si="69"/>
        <v/>
      </c>
      <c r="I915" s="24" t="str">
        <f>IF(OR(E915="",E915="!!!",F915="NEW"),"",INDEX(B$2:B914,-1+SUMPRODUCT(MAX(ROW(E$2:E914)*(E915=E$2:E914)))))</f>
        <v/>
      </c>
      <c r="J915" s="24" t="str">
        <f ca="1">IF(OR(E915="",E915="!!!",F915="NEW"),"",COUNTBLANK(OFFSET(A$1,,,SUMPRODUCT(MAX(ROW(E$2:E915)*(E915=E$2:E915)))))-COUNTBLANK(OFFSET(A$1,,,SUMPRODUCT(MAX(ROW(E$1:E914)*(E2=E$1:E914))))))</f>
        <v/>
      </c>
      <c r="K915" s="24" t="str">
        <f>IF(OR(E915="",E915="!!!",F915="NEW"),"",INDEX(J$1:J914,SUMPRODUCT(MAX(ROW(E$1:E914)*(E915=E$1:E914)))))</f>
        <v/>
      </c>
      <c r="L915" s="25"/>
    </row>
    <row r="916" spans="1:12" x14ac:dyDescent="0.3">
      <c r="A916" t="s">
        <v>249</v>
      </c>
      <c r="B916" s="26" t="s">
        <v>250</v>
      </c>
      <c r="E916" s="20" t="str">
        <f t="shared" si="68"/>
        <v/>
      </c>
      <c r="F916" s="21" t="str">
        <f>IF(OR(E916="",E916="!!!"),"",IF(NOT(ISNA(VLOOKUP(E916,E$1:E915,1,FALSE()))),"OLD",IF(AND(E916&lt;&gt;"",E916&lt;&gt;"!!!"),"NEW","")))</f>
        <v/>
      </c>
      <c r="G916" s="22" t="str">
        <f>IF(OR(E916="",E916="!!!"),"",IF(OR(J916=0,AND(J916=1,K916=1),AND(J916=1,I916="SBJ"),AND(J916=1,I916=0)),"?IN_FOCUS",IF(J916&lt;=2,"?ACTIVATED",IF(J916&lt;&gt;"","?FAMILIAR",IF(F916="NEW",IF(ISNA(VLOOKUP(E916,#REF!,1,FALSE())),"?TYPE_IDENTIFIABLE","?REFERENTIAL"),"_")))))</f>
        <v/>
      </c>
      <c r="H916" s="23" t="str">
        <f t="shared" ca="1" si="69"/>
        <v/>
      </c>
      <c r="I916" s="24" t="str">
        <f>IF(OR(E916="",E916="!!!",F916="NEW"),"",INDEX(B$2:B915,-1+SUMPRODUCT(MAX(ROW(E$2:E915)*(E916=E$2:E915)))))</f>
        <v/>
      </c>
      <c r="J916" s="24" t="str">
        <f ca="1">IF(OR(E916="",E916="!!!",F916="NEW"),"",COUNTBLANK(OFFSET(A$1,,,SUMPRODUCT(MAX(ROW(E$2:E916)*(E916=E$2:E916)))))-COUNTBLANK(OFFSET(A$1,,,SUMPRODUCT(MAX(ROW(E$1:E915)*(E2=E$1:E915))))))</f>
        <v/>
      </c>
      <c r="K916" s="24" t="str">
        <f>IF(OR(E916="",E916="!!!",F916="NEW"),"",INDEX(J$1:J915,SUMPRODUCT(MAX(ROW(E$1:E915)*(E916=E$1:E915)))))</f>
        <v/>
      </c>
      <c r="L916" s="25"/>
    </row>
    <row r="917" spans="1:12" x14ac:dyDescent="0.3">
      <c r="A917" t="s">
        <v>594</v>
      </c>
      <c r="E917" s="20" t="str">
        <f t="shared" si="68"/>
        <v/>
      </c>
      <c r="F917" s="21" t="str">
        <f>IF(OR(E917="",E917="!!!"),"",IF(NOT(ISNA(VLOOKUP(E917,E$1:E916,1,FALSE()))),"OLD",IF(AND(E917&lt;&gt;"",E917&lt;&gt;"!!!"),"NEW","")))</f>
        <v/>
      </c>
      <c r="G917" s="22" t="str">
        <f>IF(OR(E917="",E917="!!!"),"",IF(OR(J917=0,AND(J917=1,K917=1),AND(J917=1,I917="SBJ"),AND(J917=1,I917=0)),"?IN_FOCUS",IF(J917&lt;=2,"?ACTIVATED",IF(J917&lt;&gt;"","?FAMILIAR",IF(F917="NEW",IF(ISNA(VLOOKUP(E917,#REF!,1,FALSE())),"?TYPE_IDENTIFIABLE","?REFERENTIAL"),"_")))))</f>
        <v/>
      </c>
      <c r="H917" s="23" t="str">
        <f t="shared" ca="1" si="69"/>
        <v/>
      </c>
      <c r="I917" s="24" t="str">
        <f>IF(OR(E917="",E917="!!!",F917="NEW"),"",INDEX(B$2:B916,-1+SUMPRODUCT(MAX(ROW(E$2:E916)*(E917=E$2:E916)))))</f>
        <v/>
      </c>
      <c r="J917" s="24" t="str">
        <f ca="1">IF(OR(E917="",E917="!!!",F917="NEW"),"",COUNTBLANK(OFFSET(A$1,,,SUMPRODUCT(MAX(ROW(E$2:E917)*(E917=E$2:E917)))))-COUNTBLANK(OFFSET(A$1,,,SUMPRODUCT(MAX(ROW(E$1:E916)*(E2=E$1:E916))))))</f>
        <v/>
      </c>
      <c r="K917" s="24" t="str">
        <f>IF(OR(E917="",E917="!!!",F917="NEW"),"",INDEX(J$1:J916,SUMPRODUCT(MAX(ROW(E$1:E916)*(E917=E$1:E916)))))</f>
        <v/>
      </c>
      <c r="L917" s="25"/>
    </row>
    <row r="918" spans="1:12" x14ac:dyDescent="0.3">
      <c r="A918" t="s">
        <v>595</v>
      </c>
      <c r="E918" s="20" t="str">
        <f t="shared" si="68"/>
        <v/>
      </c>
      <c r="F918" s="21" t="str">
        <f>IF(OR(E918="",E918="!!!"),"",IF(NOT(ISNA(VLOOKUP(E918,E$1:E917,1,FALSE()))),"OLD",IF(AND(E918&lt;&gt;"",E918&lt;&gt;"!!!"),"NEW","")))</f>
        <v/>
      </c>
      <c r="G918" s="22" t="str">
        <f>IF(OR(E918="",E918="!!!"),"",IF(OR(J918=0,AND(J918=1,K918=1),AND(J918=1,I918="SBJ"),AND(J918=1,I918=0)),"?IN_FOCUS",IF(J918&lt;=2,"?ACTIVATED",IF(J918&lt;&gt;"","?FAMILIAR",IF(F918="NEW",IF(ISNA(VLOOKUP(E918,#REF!,1,FALSE())),"?TYPE_IDENTIFIABLE","?REFERENTIAL"),"_")))))</f>
        <v/>
      </c>
      <c r="H918" s="23" t="str">
        <f t="shared" ca="1" si="69"/>
        <v/>
      </c>
      <c r="I918" s="24" t="str">
        <f>IF(OR(E918="",E918="!!!",F918="NEW"),"",INDEX(B$2:B917,-1+SUMPRODUCT(MAX(ROW(E$2:E917)*(E918=E$2:E917)))))</f>
        <v/>
      </c>
      <c r="J918" s="24" t="str">
        <f ca="1">IF(OR(E918="",E918="!!!",F918="NEW"),"",COUNTBLANK(OFFSET(A$1,,,SUMPRODUCT(MAX(ROW(E$2:E918)*(E918=E$2:E918)))))-COUNTBLANK(OFFSET(A$1,,,SUMPRODUCT(MAX(ROW(E$1:E917)*(E2=E$1:E917))))))</f>
        <v/>
      </c>
      <c r="K918" s="24" t="str">
        <f>IF(OR(E918="",E918="!!!",F918="NEW"),"",INDEX(J$1:J917,SUMPRODUCT(MAX(ROW(E$1:E917)*(E918=E$1:E917)))))</f>
        <v/>
      </c>
      <c r="L918" s="25"/>
    </row>
    <row r="919" spans="1:12" x14ac:dyDescent="0.3">
      <c r="A919" t="s">
        <v>322</v>
      </c>
      <c r="B919" s="26" t="s">
        <v>266</v>
      </c>
      <c r="C919" s="26" t="s">
        <v>264</v>
      </c>
      <c r="D919" s="26" t="s">
        <v>215</v>
      </c>
      <c r="E919" s="20"/>
      <c r="F919" s="21" t="s">
        <v>653</v>
      </c>
      <c r="G919" s="22" t="str">
        <f>IF(OR(E919="",E919="!!!"),"",IF(OR(J919=0,AND(J919=1,K919=1),AND(J919=1,I919="SBJ"),AND(J919=1,I919=0)),"?IN_FOCUS",IF(J919&lt;=2,"?ACTIVATED",IF(J919&lt;&gt;"","?FAMILIAR",IF(F919="NEW",IF(ISNA(VLOOKUP(E919,#REF!,1,FALSE())),"?TYPE_IDENTIFIABLE","?REFERENTIAL"),"_")))))</f>
        <v/>
      </c>
      <c r="H919" s="23" t="str">
        <f t="shared" ca="1" si="69"/>
        <v/>
      </c>
      <c r="I919" s="24" t="str">
        <f>IF(OR(E919="",E919="!!!",F919="NEW"),"",INDEX(B$2:B918,-1+SUMPRODUCT(MAX(ROW(E$2:E918)*(E919=E$2:E918)))))</f>
        <v/>
      </c>
      <c r="J919" s="24" t="str">
        <f ca="1">IF(OR(E919="",E919="!!!",F919="NEW"),"",COUNTBLANK(OFFSET(A$1,,,SUMPRODUCT(MAX(ROW(E$2:E919)*(E919=E$2:E919)))))-COUNTBLANK(OFFSET(A$1,,,SUMPRODUCT(MAX(ROW(E$1:E918)*(E2=E$1:E918))))))</f>
        <v/>
      </c>
      <c r="K919" s="24" t="str">
        <f>IF(OR(E919="",E919="!!!",F919="NEW"),"",INDEX(J$1:J918,SUMPRODUCT(MAX(ROW(E$1:E918)*(E919=E$1:E918)))))</f>
        <v/>
      </c>
      <c r="L919" s="25"/>
    </row>
    <row r="920" spans="1:12" x14ac:dyDescent="0.3">
      <c r="A920" t="s">
        <v>223</v>
      </c>
      <c r="E920" s="20" t="str">
        <f t="shared" si="68"/>
        <v/>
      </c>
      <c r="F920" s="21" t="str">
        <f>IF(OR(E920="",E920="!!!"),"",IF(NOT(ISNA(VLOOKUP(E920,E$1:E919,1,FALSE()))),"OLD",IF(AND(E920&lt;&gt;"",E920&lt;&gt;"!!!"),"NEW","")))</f>
        <v/>
      </c>
      <c r="G920" s="22" t="str">
        <f>IF(OR(E920="",E920="!!!"),"",IF(OR(J920=0,AND(J920=1,K920=1),AND(J920=1,I920="SBJ"),AND(J920=1,I920=0)),"?IN_FOCUS",IF(J920&lt;=2,"?ACTIVATED",IF(J920&lt;&gt;"","?FAMILIAR",IF(F920="NEW",IF(ISNA(VLOOKUP(E920,#REF!,1,FALSE())),"?TYPE_IDENTIFIABLE","?REFERENTIAL"),"_")))))</f>
        <v/>
      </c>
      <c r="H920" s="23" t="str">
        <f t="shared" ca="1" si="69"/>
        <v/>
      </c>
      <c r="I920" s="24" t="str">
        <f>IF(OR(E920="",E920="!!!",F920="NEW"),"",INDEX(B$2:B919,-1+SUMPRODUCT(MAX(ROW(E$2:E919)*(E920=E$2:E919)))))</f>
        <v/>
      </c>
      <c r="J920" s="24" t="str">
        <f ca="1">IF(OR(E920="",E920="!!!",F920="NEW"),"",COUNTBLANK(OFFSET(A$1,,,SUMPRODUCT(MAX(ROW(E$2:E920)*(E920=E$2:E920)))))-COUNTBLANK(OFFSET(A$1,,,SUMPRODUCT(MAX(ROW(E$1:E919)*(E2=E$1:E919))))))</f>
        <v/>
      </c>
      <c r="K920" s="24" t="str">
        <f>IF(OR(E920="",E920="!!!",F920="NEW"),"",INDEX(J$1:J919,SUMPRODUCT(MAX(ROW(E$1:E919)*(E920=E$1:E919)))))</f>
        <v/>
      </c>
      <c r="L920" s="25"/>
    </row>
    <row r="921" spans="1:12" x14ac:dyDescent="0.3">
      <c r="A921" t="s">
        <v>569</v>
      </c>
      <c r="B921" s="26" t="s">
        <v>269</v>
      </c>
      <c r="C921" s="26" t="s">
        <v>230</v>
      </c>
      <c r="D921" s="26" t="s">
        <v>215</v>
      </c>
      <c r="E921" s="20"/>
      <c r="F921" s="21" t="s">
        <v>653</v>
      </c>
      <c r="G921" s="22" t="str">
        <f>IF(OR(E921="",E921="!!!"),"",IF(OR(J921=0,AND(J921=1,K921=1),AND(J921=1,I921="SBJ"),AND(J921=1,I921=0)),"?IN_FOCUS",IF(J921&lt;=2,"?ACTIVATED",IF(J921&lt;&gt;"","?FAMILIAR",IF(F921="NEW",IF(ISNA(VLOOKUP(E921,#REF!,1,FALSE())),"?TYPE_IDENTIFIABLE","?REFERENTIAL"),"_")))))</f>
        <v/>
      </c>
      <c r="H921" s="23" t="str">
        <f t="shared" ca="1" si="69"/>
        <v/>
      </c>
      <c r="I921" s="24" t="str">
        <f>IF(OR(E921="",E921="!!!",F921="NEW"),"",INDEX(B$2:B920,-1+SUMPRODUCT(MAX(ROW(E$2:E920)*(E921=E$2:E920)))))</f>
        <v/>
      </c>
      <c r="J921" s="24" t="str">
        <f ca="1">IF(OR(E921="",E921="!!!",F921="NEW"),"",COUNTBLANK(OFFSET(A$1,,,SUMPRODUCT(MAX(ROW(E$2:E921)*(E921=E$2:E921)))))-COUNTBLANK(OFFSET(A$1,,,SUMPRODUCT(MAX(ROW(E$1:E920)*(E2=E$1:E920))))))</f>
        <v/>
      </c>
      <c r="K921" s="24" t="str">
        <f>IF(OR(E921="",E921="!!!",F921="NEW"),"",INDEX(J$1:J920,SUMPRODUCT(MAX(ROW(E$1:E920)*(E921=E$1:E920)))))</f>
        <v/>
      </c>
      <c r="L921" s="25"/>
    </row>
    <row r="922" spans="1:12" x14ac:dyDescent="0.3">
      <c r="A922" t="s">
        <v>355</v>
      </c>
      <c r="E922" s="20" t="str">
        <f t="shared" si="68"/>
        <v/>
      </c>
      <c r="F922" s="21" t="str">
        <f>IF(OR(E922="",E922="!!!"),"",IF(NOT(ISNA(VLOOKUP(E922,E$1:E921,1,FALSE()))),"OLD",IF(AND(E922&lt;&gt;"",E922&lt;&gt;"!!!"),"NEW","")))</f>
        <v/>
      </c>
      <c r="G922" s="22" t="str">
        <f>IF(OR(E922="",E922="!!!"),"",IF(OR(J922=0,AND(J922=1,K922=1),AND(J922=1,I922="SBJ"),AND(J922=1,I922=0)),"?IN_FOCUS",IF(J922&lt;=2,"?ACTIVATED",IF(J922&lt;&gt;"","?FAMILIAR",IF(F922="NEW",IF(ISNA(VLOOKUP(E922,#REF!,1,FALSE())),"?TYPE_IDENTIFIABLE","?REFERENTIAL"),"_")))))</f>
        <v/>
      </c>
      <c r="H922" s="23" t="str">
        <f t="shared" ca="1" si="69"/>
        <v/>
      </c>
      <c r="I922" s="24" t="str">
        <f>IF(OR(E922="",E922="!!!",F922="NEW"),"",INDEX(B$2:B921,-1+SUMPRODUCT(MAX(ROW(E$2:E921)*(E922=E$2:E921)))))</f>
        <v/>
      </c>
      <c r="J922" s="24" t="str">
        <f ca="1">IF(OR(E922="",E922="!!!",F922="NEW"),"",COUNTBLANK(OFFSET(A$1,,,SUMPRODUCT(MAX(ROW(E$2:E922)*(E922=E$2:E922)))))-COUNTBLANK(OFFSET(A$1,,,SUMPRODUCT(MAX(ROW(E$1:E921)*(E2=E$1:E921))))))</f>
        <v/>
      </c>
      <c r="K922" s="24" t="str">
        <f>IF(OR(E922="",E922="!!!",F922="NEW"),"",INDEX(J$1:J921,SUMPRODUCT(MAX(ROW(E$1:E921)*(E922=E$1:E921)))))</f>
        <v/>
      </c>
      <c r="L922" s="25"/>
    </row>
    <row r="923" spans="1:12" x14ac:dyDescent="0.3">
      <c r="A923" t="s">
        <v>458</v>
      </c>
      <c r="B923" s="26" t="s">
        <v>269</v>
      </c>
      <c r="C923" s="26" t="s">
        <v>380</v>
      </c>
      <c r="D923" s="26" t="s">
        <v>215</v>
      </c>
      <c r="E923" s="20"/>
      <c r="F923" s="21" t="s">
        <v>653</v>
      </c>
      <c r="G923" s="22" t="str">
        <f>IF(OR(E923="",E923="!!!"),"",IF(OR(J923=0,AND(J923=1,K923=1),AND(J923=1,I923="SBJ"),AND(J923=1,I923=0)),"?IN_FOCUS",IF(J923&lt;=2,"?ACTIVATED",IF(J923&lt;&gt;"","?FAMILIAR",IF(F923="NEW",IF(ISNA(VLOOKUP(E923,#REF!,1,FALSE())),"?TYPE_IDENTIFIABLE","?REFERENTIAL"),"_")))))</f>
        <v/>
      </c>
      <c r="H923" s="23" t="str">
        <f t="shared" ca="1" si="69"/>
        <v/>
      </c>
      <c r="I923" s="24" t="str">
        <f>IF(OR(E923="",E923="!!!",F923="NEW"),"",INDEX(B$2:B922,-1+SUMPRODUCT(MAX(ROW(E$2:E922)*(E923=E$2:E922)))))</f>
        <v/>
      </c>
      <c r="J923" s="24" t="str">
        <f ca="1">IF(OR(E923="",E923="!!!",F923="NEW"),"",COUNTBLANK(OFFSET(A$1,,,SUMPRODUCT(MAX(ROW(E$2:E923)*(E923=E$2:E923)))))-COUNTBLANK(OFFSET(A$1,,,SUMPRODUCT(MAX(ROW(E$1:E922)*(E2=E$1:E922))))))</f>
        <v/>
      </c>
      <c r="K923" s="24" t="str">
        <f>IF(OR(E923="",E923="!!!",F923="NEW"),"",INDEX(J$1:J922,SUMPRODUCT(MAX(ROW(E$1:E922)*(E923=E$1:E922)))))</f>
        <v/>
      </c>
      <c r="L923" s="25"/>
    </row>
    <row r="924" spans="1:12" x14ac:dyDescent="0.3">
      <c r="A924" t="s">
        <v>374</v>
      </c>
      <c r="E924" s="20" t="str">
        <f t="shared" si="68"/>
        <v/>
      </c>
      <c r="F924" s="21" t="str">
        <f>IF(OR(E924="",E924="!!!"),"",IF(NOT(ISNA(VLOOKUP(E924,E$1:E923,1,FALSE()))),"OLD",IF(AND(E924&lt;&gt;"",E924&lt;&gt;"!!!"),"NEW","")))</f>
        <v/>
      </c>
      <c r="G924" s="22" t="str">
        <f>IF(OR(E924="",E924="!!!"),"",IF(OR(J924=0,AND(J924=1,K924=1),AND(J924=1,I924="SBJ"),AND(J924=1,I924=0)),"?IN_FOCUS",IF(J924&lt;=2,"?ACTIVATED",IF(J924&lt;&gt;"","?FAMILIAR",IF(F924="NEW",IF(ISNA(VLOOKUP(E924,#REF!,1,FALSE())),"?TYPE_IDENTIFIABLE","?REFERENTIAL"),"_")))))</f>
        <v/>
      </c>
      <c r="H924" s="23" t="str">
        <f t="shared" ca="1" si="69"/>
        <v/>
      </c>
      <c r="I924" s="24" t="str">
        <f>IF(OR(E924="",E924="!!!",F924="NEW"),"",INDEX(B$2:B923,-1+SUMPRODUCT(MAX(ROW(E$2:E923)*(E924=E$2:E923)))))</f>
        <v/>
      </c>
      <c r="J924" s="24" t="str">
        <f ca="1">IF(OR(E924="",E924="!!!",F924="NEW"),"",COUNTBLANK(OFFSET(A$1,,,SUMPRODUCT(MAX(ROW(E$2:E924)*(E924=E$2:E924)))))-COUNTBLANK(OFFSET(A$1,,,SUMPRODUCT(MAX(ROW(E$1:E923)*(E2=E$1:E923))))))</f>
        <v/>
      </c>
      <c r="K924" s="24" t="str">
        <f>IF(OR(E924="",E924="!!!",F924="NEW"),"",INDEX(J$1:J923,SUMPRODUCT(MAX(ROW(E$1:E923)*(E924=E$1:E923)))))</f>
        <v/>
      </c>
      <c r="L924" s="25"/>
    </row>
    <row r="925" spans="1:12" x14ac:dyDescent="0.3">
      <c r="A925" t="s">
        <v>596</v>
      </c>
      <c r="E925" s="20" t="str">
        <f t="shared" si="68"/>
        <v/>
      </c>
      <c r="F925" s="21" t="str">
        <f>IF(OR(E925="",E925="!!!"),"",IF(NOT(ISNA(VLOOKUP(E925,E$1:E924,1,FALSE()))),"OLD",IF(AND(E925&lt;&gt;"",E925&lt;&gt;"!!!"),"NEW","")))</f>
        <v/>
      </c>
      <c r="G925" s="22" t="str">
        <f>IF(OR(E925="",E925="!!!"),"",IF(OR(J925=0,AND(J925=1,K925=1),AND(J925=1,I925="SBJ"),AND(J925=1,I925=0)),"?IN_FOCUS",IF(J925&lt;=2,"?ACTIVATED",IF(J925&lt;&gt;"","?FAMILIAR",IF(F925="NEW",IF(ISNA(VLOOKUP(E925,#REF!,1,FALSE())),"?TYPE_IDENTIFIABLE","?REFERENTIAL"),"_")))))</f>
        <v/>
      </c>
      <c r="H925" s="23" t="str">
        <f t="shared" ca="1" si="69"/>
        <v/>
      </c>
      <c r="I925" s="24" t="str">
        <f>IF(OR(E925="",E925="!!!",F925="NEW"),"",INDEX(B$2:B924,-1+SUMPRODUCT(MAX(ROW(E$2:E924)*(E925=E$2:E924)))))</f>
        <v/>
      </c>
      <c r="J925" s="24" t="str">
        <f ca="1">IF(OR(E925="",E925="!!!",F925="NEW"),"",COUNTBLANK(OFFSET(A$1,,,SUMPRODUCT(MAX(ROW(E$2:E925)*(E925=E$2:E925)))))-COUNTBLANK(OFFSET(A$1,,,SUMPRODUCT(MAX(ROW(E$1:E924)*(E2=E$1:E924))))))</f>
        <v/>
      </c>
      <c r="K925" s="24" t="str">
        <f>IF(OR(E925="",E925="!!!",F925="NEW"),"",INDEX(J$1:J924,SUMPRODUCT(MAX(ROW(E$1:E924)*(E925=E$1:E924)))))</f>
        <v/>
      </c>
      <c r="L925" s="25"/>
    </row>
    <row r="926" spans="1:12" x14ac:dyDescent="0.3">
      <c r="A926" t="s">
        <v>597</v>
      </c>
      <c r="B926" s="26" t="s">
        <v>266</v>
      </c>
      <c r="C926" s="26" t="s">
        <v>264</v>
      </c>
      <c r="D926" s="26" t="s">
        <v>215</v>
      </c>
      <c r="E926" s="20" t="s">
        <v>725</v>
      </c>
      <c r="F926" s="21" t="str">
        <f>IF(OR(E926="",E926="!!!"),"",IF(NOT(ISNA(VLOOKUP(E926,E$1:E925,1,FALSE()))),"OLD",IF(AND(E926&lt;&gt;"",E926&lt;&gt;"!!!"),"NEW","")))</f>
        <v>NEW</v>
      </c>
      <c r="G926" s="22" t="str">
        <f ca="1">IF(OR(E926="",E926="!!!"),"",IF(OR(J926=0,AND(J926=1,K926=1),AND(J926=1,I926="SBJ"),AND(J926=1,I926=0)),"?IN_FOCUS",IF(J926&lt;=2,"?ACTIVATED",IF(J926&lt;&gt;"","?FAMILIAR",IF(F926="NEW",IF(ISNA(VLOOKUP(E926,#REF!,1,FALSE())),"?TYPE_IDENTIFIABLE","?REFERENTIAL"),"_")))))</f>
        <v>?REFERENTIAL</v>
      </c>
      <c r="H926" s="23" t="str">
        <f t="shared" ca="1" si="69"/>
        <v/>
      </c>
      <c r="I926" s="24" t="str">
        <f>IF(OR(E926="",E926="!!!",F926="NEW"),"",INDEX(B$2:B925,-1+SUMPRODUCT(MAX(ROW(E$2:E925)*(E926=E$2:E925)))))</f>
        <v/>
      </c>
      <c r="J926" s="24" t="str">
        <f ca="1">IF(OR(E926="",E926="!!!",F926="NEW"),"",COUNTBLANK(OFFSET(A$1,,,SUMPRODUCT(MAX(ROW(E$2:E926)*(E926=E$2:E926)))))-COUNTBLANK(OFFSET(A$1,,,SUMPRODUCT(MAX(ROW(E$1:E925)*(E2=E$1:E925))))))</f>
        <v/>
      </c>
      <c r="K926" s="24" t="str">
        <f>IF(OR(E926="",E926="!!!",F926="NEW"),"",INDEX(J$1:J925,SUMPRODUCT(MAX(ROW(E$1:E925)*(E926=E$1:E925)))))</f>
        <v/>
      </c>
      <c r="L926" s="25"/>
    </row>
    <row r="927" spans="1:12" x14ac:dyDescent="0.3">
      <c r="A927" t="s">
        <v>207</v>
      </c>
      <c r="E927" s="20" t="str">
        <f t="shared" si="68"/>
        <v/>
      </c>
      <c r="F927" s="21" t="str">
        <f>IF(OR(E927="",E927="!!!"),"",IF(NOT(ISNA(VLOOKUP(E927,E$1:E926,1,FALSE()))),"OLD",IF(AND(E927&lt;&gt;"",E927&lt;&gt;"!!!"),"NEW","")))</f>
        <v/>
      </c>
      <c r="G927" s="22" t="str">
        <f>IF(OR(E927="",E927="!!!"),"",IF(OR(J927=0,AND(J927=1,K927=1),AND(J927=1,I927="SBJ"),AND(J927=1,I927=0)),"?IN_FOCUS",IF(J927&lt;=2,"?ACTIVATED",IF(J927&lt;&gt;"","?FAMILIAR",IF(F927="NEW",IF(ISNA(VLOOKUP(E927,#REF!,1,FALSE())),"?TYPE_IDENTIFIABLE","?REFERENTIAL"),"_")))))</f>
        <v/>
      </c>
      <c r="H927" s="23" t="str">
        <f t="shared" ca="1" si="69"/>
        <v/>
      </c>
      <c r="I927" s="24" t="str">
        <f>IF(OR(E927="",E927="!!!",F927="NEW"),"",INDEX(B$2:B926,-1+SUMPRODUCT(MAX(ROW(E$2:E926)*(E927=E$2:E926)))))</f>
        <v/>
      </c>
      <c r="J927" s="24" t="str">
        <f ca="1">IF(OR(E927="",E927="!!!",F927="NEW"),"",COUNTBLANK(OFFSET(A$1,,,SUMPRODUCT(MAX(ROW(E$2:E927)*(E927=E$2:E927)))))-COUNTBLANK(OFFSET(A$1,,,SUMPRODUCT(MAX(ROW(E$1:E926)*(E2=E$1:E926))))))</f>
        <v/>
      </c>
      <c r="K927" s="24" t="str">
        <f>IF(OR(E927="",E927="!!!",F927="NEW"),"",INDEX(J$1:J926,SUMPRODUCT(MAX(ROW(E$1:E926)*(E927=E$1:E926)))))</f>
        <v/>
      </c>
      <c r="L927" s="25"/>
    </row>
    <row r="928" spans="1:12" x14ac:dyDescent="0.3">
      <c r="A928" t="s">
        <v>458</v>
      </c>
      <c r="B928" s="26" t="s">
        <v>325</v>
      </c>
      <c r="C928" s="26" t="s">
        <v>380</v>
      </c>
      <c r="D928" s="26" t="s">
        <v>215</v>
      </c>
      <c r="E928" s="20"/>
      <c r="F928" s="21" t="s">
        <v>653</v>
      </c>
      <c r="G928" s="22" t="str">
        <f>IF(OR(E928="",E928="!!!"),"",IF(OR(J928=0,AND(J928=1,K928=1),AND(J928=1,I928="SBJ"),AND(J928=1,I928=0)),"?IN_FOCUS",IF(J928&lt;=2,"?ACTIVATED",IF(J928&lt;&gt;"","?FAMILIAR",IF(F928="NEW",IF(ISNA(VLOOKUP(E928,#REF!,1,FALSE())),"?TYPE_IDENTIFIABLE","?REFERENTIAL"),"_")))))</f>
        <v/>
      </c>
      <c r="H928" s="23" t="str">
        <f t="shared" ca="1" si="69"/>
        <v/>
      </c>
      <c r="I928" s="24" t="str">
        <f>IF(OR(E928="",E928="!!!",F928="NEW"),"",INDEX(B$2:B927,-1+SUMPRODUCT(MAX(ROW(E$2:E927)*(E928=E$2:E927)))))</f>
        <v/>
      </c>
      <c r="J928" s="24" t="str">
        <f ca="1">IF(OR(E928="",E928="!!!",F928="NEW"),"",COUNTBLANK(OFFSET(A$1,,,SUMPRODUCT(MAX(ROW(E$2:E928)*(E928=E$2:E928)))))-COUNTBLANK(OFFSET(A$1,,,SUMPRODUCT(MAX(ROW(E$1:E927)*(E2=E$1:E927))))))</f>
        <v/>
      </c>
      <c r="K928" s="24" t="str">
        <f>IF(OR(E928="",E928="!!!",F928="NEW"),"",INDEX(J$1:J927,SUMPRODUCT(MAX(ROW(E$1:E927)*(E928=E$1:E927)))))</f>
        <v/>
      </c>
      <c r="L928" s="25"/>
    </row>
    <row r="929" spans="1:12" x14ac:dyDescent="0.3">
      <c r="A929" t="s">
        <v>598</v>
      </c>
      <c r="B929" s="26" t="s">
        <v>225</v>
      </c>
      <c r="C929" s="26" t="s">
        <v>264</v>
      </c>
      <c r="D929" s="26" t="s">
        <v>215</v>
      </c>
      <c r="E929" s="20" t="s">
        <v>598</v>
      </c>
      <c r="F929" s="21" t="str">
        <f>IF(OR(E929="",E929="!!!"),"",IF(NOT(ISNA(VLOOKUP(E929,E$1:E928,1,FALSE()))),"OLD",IF(AND(E929&lt;&gt;"",E929&lt;&gt;"!!!"),"NEW","")))</f>
        <v>NEW</v>
      </c>
      <c r="G929" s="22" t="str">
        <f ca="1">IF(OR(E929="",E929="!!!"),"",IF(OR(J929=0,AND(J929=1,K929=1),AND(J929=1,I929="SBJ"),AND(J929=1,I929=0)),"?IN_FOCUS",IF(J929&lt;=2,"?ACTIVATED",IF(J929&lt;&gt;"","?FAMILIAR",IF(F929="NEW",IF(ISNA(VLOOKUP(E929,#REF!,1,FALSE())),"?TYPE_IDENTIFIABLE","?REFERENTIAL"),"_")))))</f>
        <v>?REFERENTIAL</v>
      </c>
      <c r="H929" s="23" t="str">
        <f t="shared" ca="1" si="69"/>
        <v/>
      </c>
      <c r="I929" s="24" t="str">
        <f>IF(OR(E929="",E929="!!!",F929="NEW"),"",INDEX(B$2:B928,-1+SUMPRODUCT(MAX(ROW(E$2:E928)*(E929=E$2:E928)))))</f>
        <v/>
      </c>
      <c r="J929" s="24" t="str">
        <f ca="1">IF(OR(E929="",E929="!!!",F929="NEW"),"",COUNTBLANK(OFFSET(A$1,,,SUMPRODUCT(MAX(ROW(E$2:E929)*(E929=E$2:E929)))))-COUNTBLANK(OFFSET(A$1,,,SUMPRODUCT(MAX(ROW(E$1:E928)*(E2=E$1:E928))))))</f>
        <v/>
      </c>
      <c r="K929" s="24" t="str">
        <f>IF(OR(E929="",E929="!!!",F929="NEW"),"",INDEX(J$1:J928,SUMPRODUCT(MAX(ROW(E$1:E928)*(E929=E$1:E928)))))</f>
        <v/>
      </c>
      <c r="L929" s="25"/>
    </row>
    <row r="930" spans="1:12" x14ac:dyDescent="0.3">
      <c r="A930" t="s">
        <v>207</v>
      </c>
      <c r="E930" s="20" t="str">
        <f t="shared" si="68"/>
        <v/>
      </c>
      <c r="F930" s="21" t="str">
        <f>IF(OR(E930="",E930="!!!"),"",IF(NOT(ISNA(VLOOKUP(E930,E$1:E929,1,FALSE()))),"OLD",IF(AND(E930&lt;&gt;"",E930&lt;&gt;"!!!"),"NEW","")))</f>
        <v/>
      </c>
      <c r="G930" s="22" t="str">
        <f>IF(OR(E930="",E930="!!!"),"",IF(OR(J930=0,AND(J930=1,K930=1),AND(J930=1,I930="SBJ"),AND(J930=1,I930=0)),"?IN_FOCUS",IF(J930&lt;=2,"?ACTIVATED",IF(J930&lt;&gt;"","?FAMILIAR",IF(F930="NEW",IF(ISNA(VLOOKUP(E930,#REF!,1,FALSE())),"?TYPE_IDENTIFIABLE","?REFERENTIAL"),"_")))))</f>
        <v/>
      </c>
      <c r="H930" s="23" t="str">
        <f t="shared" ca="1" si="69"/>
        <v/>
      </c>
      <c r="I930" s="24" t="str">
        <f>IF(OR(E930="",E930="!!!",F930="NEW"),"",INDEX(B$2:B929,-1+SUMPRODUCT(MAX(ROW(E$2:E929)*(E930=E$2:E929)))))</f>
        <v/>
      </c>
      <c r="J930" s="24" t="str">
        <f ca="1">IF(OR(E930="",E930="!!!",F930="NEW"),"",COUNTBLANK(OFFSET(A$1,,,SUMPRODUCT(MAX(ROW(E$2:E930)*(E930=E$2:E930)))))-COUNTBLANK(OFFSET(A$1,,,SUMPRODUCT(MAX(ROW(E$1:E929)*(E2=E$1:E929))))))</f>
        <v/>
      </c>
      <c r="K930" s="24" t="str">
        <f>IF(OR(E930="",E930="!!!",F930="NEW"),"",INDEX(J$1:J929,SUMPRODUCT(MAX(ROW(E$1:E929)*(E930=E$1:E929)))))</f>
        <v/>
      </c>
      <c r="L930" s="25"/>
    </row>
    <row r="931" spans="1:12" x14ac:dyDescent="0.3">
      <c r="A931" t="s">
        <v>287</v>
      </c>
      <c r="E931" s="20" t="str">
        <f t="shared" si="68"/>
        <v/>
      </c>
      <c r="F931" s="21" t="str">
        <f>IF(OR(E931="",E931="!!!"),"",IF(NOT(ISNA(VLOOKUP(E931,E$1:E930,1,FALSE()))),"OLD",IF(AND(E931&lt;&gt;"",E931&lt;&gt;"!!!"),"NEW","")))</f>
        <v/>
      </c>
      <c r="G931" s="22" t="str">
        <f>IF(OR(E931="",E931="!!!"),"",IF(OR(J931=0,AND(J931=1,K931=1),AND(J931=1,I931="SBJ"),AND(J931=1,I931=0)),"?IN_FOCUS",IF(J931&lt;=2,"?ACTIVATED",IF(J931&lt;&gt;"","?FAMILIAR",IF(F931="NEW",IF(ISNA(VLOOKUP(E931,#REF!,1,FALSE())),"?TYPE_IDENTIFIABLE","?REFERENTIAL"),"_")))))</f>
        <v/>
      </c>
      <c r="H931" s="23" t="str">
        <f t="shared" ca="1" si="69"/>
        <v/>
      </c>
      <c r="I931" s="24" t="str">
        <f>IF(OR(E931="",E931="!!!",F931="NEW"),"",INDEX(B$2:B930,-1+SUMPRODUCT(MAX(ROW(E$2:E930)*(E931=E$2:E930)))))</f>
        <v/>
      </c>
      <c r="J931" s="24" t="str">
        <f ca="1">IF(OR(E931="",E931="!!!",F931="NEW"),"",COUNTBLANK(OFFSET(A$1,,,SUMPRODUCT(MAX(ROW(E$2:E931)*(E931=E$2:E931)))))-COUNTBLANK(OFFSET(A$1,,,SUMPRODUCT(MAX(ROW(E$1:E930)*(E2=E$1:E930))))))</f>
        <v/>
      </c>
      <c r="K931" s="24" t="str">
        <f>IF(OR(E931="",E931="!!!",F931="NEW"),"",INDEX(J$1:J930,SUMPRODUCT(MAX(ROW(E$1:E930)*(E931=E$1:E930)))))</f>
        <v/>
      </c>
      <c r="L931" s="25"/>
    </row>
    <row r="932" spans="1:12" x14ac:dyDescent="0.3">
      <c r="A932" t="s">
        <v>558</v>
      </c>
      <c r="E932" s="20" t="str">
        <f t="shared" si="68"/>
        <v/>
      </c>
      <c r="F932" s="21" t="str">
        <f>IF(OR(E932="",E932="!!!"),"",IF(NOT(ISNA(VLOOKUP(E932,E$1:E931,1,FALSE()))),"OLD",IF(AND(E932&lt;&gt;"",E932&lt;&gt;"!!!"),"NEW","")))</f>
        <v/>
      </c>
      <c r="G932" s="22" t="str">
        <f>IF(OR(E932="",E932="!!!"),"",IF(OR(J932=0,AND(J932=1,K932=1),AND(J932=1,I932="SBJ"),AND(J932=1,I932=0)),"?IN_FOCUS",IF(J932&lt;=2,"?ACTIVATED",IF(J932&lt;&gt;"","?FAMILIAR",IF(F932="NEW",IF(ISNA(VLOOKUP(E932,#REF!,1,FALSE())),"?TYPE_IDENTIFIABLE","?REFERENTIAL"),"_")))))</f>
        <v/>
      </c>
      <c r="H932" s="23" t="str">
        <f t="shared" ca="1" si="69"/>
        <v/>
      </c>
      <c r="I932" s="24" t="str">
        <f>IF(OR(E932="",E932="!!!",F932="NEW"),"",INDEX(B$2:B931,-1+SUMPRODUCT(MAX(ROW(E$2:E931)*(E932=E$2:E931)))))</f>
        <v/>
      </c>
      <c r="J932" s="24" t="str">
        <f ca="1">IF(OR(E932="",E932="!!!",F932="NEW"),"",COUNTBLANK(OFFSET(A$1,,,SUMPRODUCT(MAX(ROW(E$2:E932)*(E932=E$2:E932)))))-COUNTBLANK(OFFSET(A$1,,,SUMPRODUCT(MAX(ROW(E$1:E931)*(E2=E$1:E931))))))</f>
        <v/>
      </c>
      <c r="K932" s="24" t="str">
        <f>IF(OR(E932="",E932="!!!",F932="NEW"),"",INDEX(J$1:J931,SUMPRODUCT(MAX(ROW(E$1:E931)*(E932=E$1:E931)))))</f>
        <v/>
      </c>
      <c r="L932" s="25"/>
    </row>
    <row r="933" spans="1:12" x14ac:dyDescent="0.3">
      <c r="A933" t="s">
        <v>458</v>
      </c>
      <c r="B933" s="26" t="s">
        <v>325</v>
      </c>
      <c r="C933" s="26" t="s">
        <v>380</v>
      </c>
      <c r="D933" s="26" t="s">
        <v>215</v>
      </c>
      <c r="E933" s="20"/>
      <c r="F933" s="21" t="s">
        <v>653</v>
      </c>
      <c r="G933" s="22" t="str">
        <f>IF(OR(E933="",E933="!!!"),"",IF(OR(J933=0,AND(J933=1,K933=1),AND(J933=1,I933="SBJ"),AND(J933=1,I933=0)),"?IN_FOCUS",IF(J933&lt;=2,"?ACTIVATED",IF(J933&lt;&gt;"","?FAMILIAR",IF(F933="NEW",IF(ISNA(VLOOKUP(E933,#REF!,1,FALSE())),"?TYPE_IDENTIFIABLE","?REFERENTIAL"),"_")))))</f>
        <v/>
      </c>
      <c r="H933" s="23" t="str">
        <f t="shared" ca="1" si="69"/>
        <v/>
      </c>
      <c r="I933" s="24" t="str">
        <f>IF(OR(E933="",E933="!!!",F933="NEW"),"",INDEX(B$2:B932,-1+SUMPRODUCT(MAX(ROW(E$2:E932)*(E933=E$2:E932)))))</f>
        <v/>
      </c>
      <c r="J933" s="24" t="str">
        <f ca="1">IF(OR(E933="",E933="!!!",F933="NEW"),"",COUNTBLANK(OFFSET(A$1,,,SUMPRODUCT(MAX(ROW(E$2:E933)*(E933=E$2:E933)))))-COUNTBLANK(OFFSET(A$1,,,SUMPRODUCT(MAX(ROW(E$1:E932)*(E2=E$1:E932))))))</f>
        <v/>
      </c>
      <c r="K933" s="24" t="str">
        <f>IF(OR(E933="",E933="!!!",F933="NEW"),"",INDEX(J$1:J932,SUMPRODUCT(MAX(ROW(E$1:E932)*(E933=E$1:E932)))))</f>
        <v/>
      </c>
      <c r="L933" s="25"/>
    </row>
    <row r="934" spans="1:12" x14ac:dyDescent="0.3">
      <c r="A934" t="s">
        <v>599</v>
      </c>
      <c r="E934" s="20" t="str">
        <f t="shared" ref="E934:E950" si="70">IF(D934="?OLD","!!!","")</f>
        <v/>
      </c>
      <c r="F934" s="21" t="str">
        <f>IF(OR(E934="",E934="!!!"),"",IF(NOT(ISNA(VLOOKUP(E934,E$1:E933,1,FALSE()))),"OLD",IF(AND(E934&lt;&gt;"",E934&lt;&gt;"!!!"),"NEW","")))</f>
        <v/>
      </c>
      <c r="G934" s="22" t="str">
        <f>IF(OR(E934="",E934="!!!"),"",IF(OR(J934=0,AND(J934=1,K934=1),AND(J934=1,I934="SBJ"),AND(J934=1,I934=0)),"?IN_FOCUS",IF(J934&lt;=2,"?ACTIVATED",IF(J934&lt;&gt;"","?FAMILIAR",IF(F934="NEW",IF(ISNA(VLOOKUP(E934,#REF!,1,FALSE())),"?TYPE_IDENTIFIABLE","?REFERENTIAL"),"_")))))</f>
        <v/>
      </c>
      <c r="H934" s="23" t="str">
        <f t="shared" ref="H934:H950" ca="1" si="71">IF(J934&lt;&gt;1,"",IF(I934="SBJ","CB","?"))</f>
        <v/>
      </c>
      <c r="I934" s="24" t="str">
        <f>IF(OR(E934="",E934="!!!",F934="NEW"),"",INDEX(B$2:B933,-1+SUMPRODUCT(MAX(ROW(E$2:E933)*(E934=E$2:E933)))))</f>
        <v/>
      </c>
      <c r="J934" s="24" t="str">
        <f ca="1">IF(OR(E934="",E934="!!!",F934="NEW"),"",COUNTBLANK(OFFSET(A$1,,,SUMPRODUCT(MAX(ROW(E$2:E934)*(E934=E$2:E934)))))-COUNTBLANK(OFFSET(A$1,,,SUMPRODUCT(MAX(ROW(E$1:E933)*(E2=E$1:E933))))))</f>
        <v/>
      </c>
      <c r="K934" s="24" t="str">
        <f>IF(OR(E934="",E934="!!!",F934="NEW"),"",INDEX(J$1:J933,SUMPRODUCT(MAX(ROW(E$1:E933)*(E934=E$1:E933)))))</f>
        <v/>
      </c>
      <c r="L934" s="25"/>
    </row>
    <row r="935" spans="1:12" x14ac:dyDescent="0.3">
      <c r="A935" t="s">
        <v>600</v>
      </c>
      <c r="B935" s="26" t="s">
        <v>225</v>
      </c>
      <c r="C935" s="26" t="s">
        <v>264</v>
      </c>
      <c r="D935" s="26" t="s">
        <v>215</v>
      </c>
      <c r="E935" s="20" t="s">
        <v>726</v>
      </c>
      <c r="F935" s="21" t="str">
        <f>IF(OR(E935="",E935="!!!"),"",IF(NOT(ISNA(VLOOKUP(E935,E$1:E934,1,FALSE()))),"OLD",IF(AND(E935&lt;&gt;"",E935&lt;&gt;"!!!"),"NEW","")))</f>
        <v>NEW</v>
      </c>
      <c r="G935" s="22" t="str">
        <f ca="1">IF(OR(E935="",E935="!!!"),"",IF(OR(J935=0,AND(J935=1,K935=1),AND(J935=1,I935="SBJ"),AND(J935=1,I935=0)),"?IN_FOCUS",IF(J935&lt;=2,"?ACTIVATED",IF(J935&lt;&gt;"","?FAMILIAR",IF(F935="NEW",IF(ISNA(VLOOKUP(E935,#REF!,1,FALSE())),"?TYPE_IDENTIFIABLE","?REFERENTIAL"),"_")))))</f>
        <v>?REFERENTIAL</v>
      </c>
      <c r="H935" s="23" t="str">
        <f t="shared" ca="1" si="71"/>
        <v/>
      </c>
      <c r="I935" s="24" t="str">
        <f>IF(OR(E935="",E935="!!!",F935="NEW"),"",INDEX(B$2:B934,-1+SUMPRODUCT(MAX(ROW(E$2:E934)*(E935=E$2:E934)))))</f>
        <v/>
      </c>
      <c r="J935" s="24" t="str">
        <f ca="1">IF(OR(E935="",E935="!!!",F935="NEW"),"",COUNTBLANK(OFFSET(A$1,,,SUMPRODUCT(MAX(ROW(E$2:E935)*(E935=E$2:E935)))))-COUNTBLANK(OFFSET(A$1,,,SUMPRODUCT(MAX(ROW(E$1:E934)*(E2=E$1:E934))))))</f>
        <v/>
      </c>
      <c r="K935" s="24" t="str">
        <f>IF(OR(E935="",E935="!!!",F935="NEW"),"",INDEX(J$1:J934,SUMPRODUCT(MAX(ROW(E$1:E934)*(E935=E$1:E934)))))</f>
        <v/>
      </c>
      <c r="L935" s="25"/>
    </row>
    <row r="936" spans="1:12" x14ac:dyDescent="0.3">
      <c r="A936" t="s">
        <v>207</v>
      </c>
      <c r="E936" s="20" t="str">
        <f t="shared" si="70"/>
        <v/>
      </c>
      <c r="F936" s="21" t="str">
        <f>IF(OR(E936="",E936="!!!"),"",IF(NOT(ISNA(VLOOKUP(E936,E$1:E935,1,FALSE()))),"OLD",IF(AND(E936&lt;&gt;"",E936&lt;&gt;"!!!"),"NEW","")))</f>
        <v/>
      </c>
      <c r="G936" s="22" t="str">
        <f>IF(OR(E936="",E936="!!!"),"",IF(OR(J936=0,AND(J936=1,K936=1),AND(J936=1,I936="SBJ"),AND(J936=1,I936=0)),"?IN_FOCUS",IF(J936&lt;=2,"?ACTIVATED",IF(J936&lt;&gt;"","?FAMILIAR",IF(F936="NEW",IF(ISNA(VLOOKUP(E936,#REF!,1,FALSE())),"?TYPE_IDENTIFIABLE","?REFERENTIAL"),"_")))))</f>
        <v/>
      </c>
      <c r="H936" s="23" t="str">
        <f t="shared" ca="1" si="71"/>
        <v/>
      </c>
      <c r="I936" s="24" t="str">
        <f>IF(OR(E936="",E936="!!!",F936="NEW"),"",INDEX(B$2:B935,-1+SUMPRODUCT(MAX(ROW(E$2:E935)*(E936=E$2:E935)))))</f>
        <v/>
      </c>
      <c r="J936" s="24" t="str">
        <f ca="1">IF(OR(E936="",E936="!!!",F936="NEW"),"",COUNTBLANK(OFFSET(A$1,,,SUMPRODUCT(MAX(ROW(E$2:E936)*(E936=E$2:E936)))))-COUNTBLANK(OFFSET(A$1,,,SUMPRODUCT(MAX(ROW(E$1:E935)*(E2=E$1:E935))))))</f>
        <v/>
      </c>
      <c r="K936" s="24" t="str">
        <f>IF(OR(E936="",E936="!!!",F936="NEW"),"",INDEX(J$1:J935,SUMPRODUCT(MAX(ROW(E$1:E935)*(E936=E$1:E935)))))</f>
        <v/>
      </c>
      <c r="L936" s="25"/>
    </row>
    <row r="937" spans="1:12" x14ac:dyDescent="0.3">
      <c r="A937" t="s">
        <v>558</v>
      </c>
      <c r="E937" s="20" t="str">
        <f t="shared" si="70"/>
        <v/>
      </c>
      <c r="F937" s="21" t="str">
        <f>IF(OR(E937="",E937="!!!"),"",IF(NOT(ISNA(VLOOKUP(E937,E$1:E936,1,FALSE()))),"OLD",IF(AND(E937&lt;&gt;"",E937&lt;&gt;"!!!"),"NEW","")))</f>
        <v/>
      </c>
      <c r="G937" s="22" t="str">
        <f>IF(OR(E937="",E937="!!!"),"",IF(OR(J937=0,AND(J937=1,K937=1),AND(J937=1,I937="SBJ"),AND(J937=1,I937=0)),"?IN_FOCUS",IF(J937&lt;=2,"?ACTIVATED",IF(J937&lt;&gt;"","?FAMILIAR",IF(F937="NEW",IF(ISNA(VLOOKUP(E937,#REF!,1,FALSE())),"?TYPE_IDENTIFIABLE","?REFERENTIAL"),"_")))))</f>
        <v/>
      </c>
      <c r="H937" s="23" t="str">
        <f t="shared" ca="1" si="71"/>
        <v/>
      </c>
      <c r="I937" s="24" t="str">
        <f>IF(OR(E937="",E937="!!!",F937="NEW"),"",INDEX(B$2:B936,-1+SUMPRODUCT(MAX(ROW(E$2:E936)*(E937=E$2:E936)))))</f>
        <v/>
      </c>
      <c r="J937" s="24" t="str">
        <f ca="1">IF(OR(E937="",E937="!!!",F937="NEW"),"",COUNTBLANK(OFFSET(A$1,,,SUMPRODUCT(MAX(ROW(E$2:E937)*(E937=E$2:E937)))))-COUNTBLANK(OFFSET(A$1,,,SUMPRODUCT(MAX(ROW(E$1:E936)*(E2=E$1:E936))))))</f>
        <v/>
      </c>
      <c r="K937" s="24" t="str">
        <f>IF(OR(E937="",E937="!!!",F937="NEW"),"",INDEX(J$1:J936,SUMPRODUCT(MAX(ROW(E$1:E936)*(E937=E$1:E936)))))</f>
        <v/>
      </c>
      <c r="L937" s="25"/>
    </row>
    <row r="938" spans="1:12" x14ac:dyDescent="0.3">
      <c r="A938" t="s">
        <v>458</v>
      </c>
      <c r="B938" s="26" t="s">
        <v>266</v>
      </c>
      <c r="C938" s="26" t="s">
        <v>380</v>
      </c>
      <c r="D938" s="26" t="s">
        <v>215</v>
      </c>
      <c r="E938" s="20"/>
      <c r="F938" s="21" t="s">
        <v>653</v>
      </c>
      <c r="G938" s="22" t="str">
        <f>IF(OR(E938="",E938="!!!"),"",IF(OR(J938=0,AND(J938=1,K938=1),AND(J938=1,I938="SBJ"),AND(J938=1,I938=0)),"?IN_FOCUS",IF(J938&lt;=2,"?ACTIVATED",IF(J938&lt;&gt;"","?FAMILIAR",IF(F938="NEW",IF(ISNA(VLOOKUP(E938,#REF!,1,FALSE())),"?TYPE_IDENTIFIABLE","?REFERENTIAL"),"_")))))</f>
        <v/>
      </c>
      <c r="H938" s="23" t="str">
        <f t="shared" ca="1" si="71"/>
        <v/>
      </c>
      <c r="I938" s="24" t="str">
        <f>IF(OR(E938="",E938="!!!",F938="NEW"),"",INDEX(B$2:B937,-1+SUMPRODUCT(MAX(ROW(E$2:E937)*(E938=E$2:E937)))))</f>
        <v/>
      </c>
      <c r="J938" s="24" t="str">
        <f ca="1">IF(OR(E938="",E938="!!!",F938="NEW"),"",COUNTBLANK(OFFSET(A$1,,,SUMPRODUCT(MAX(ROW(E$2:E938)*(E938=E$2:E938)))))-COUNTBLANK(OFFSET(A$1,,,SUMPRODUCT(MAX(ROW(E$1:E937)*(E2=E$1:E937))))))</f>
        <v/>
      </c>
      <c r="K938" s="24" t="str">
        <f>IF(OR(E938="",E938="!!!",F938="NEW"),"",INDEX(J$1:J937,SUMPRODUCT(MAX(ROW(E$1:E937)*(E938=E$1:E937)))))</f>
        <v/>
      </c>
      <c r="L938" s="25"/>
    </row>
    <row r="939" spans="1:12" x14ac:dyDescent="0.3">
      <c r="A939" t="s">
        <v>580</v>
      </c>
      <c r="B939" s="26" t="s">
        <v>325</v>
      </c>
      <c r="C939" s="26" t="s">
        <v>264</v>
      </c>
      <c r="D939" s="26" t="s">
        <v>215</v>
      </c>
      <c r="E939" s="20" t="s">
        <v>580</v>
      </c>
      <c r="F939" s="21" t="str">
        <f>IF(OR(E939="",E939="!!!"),"",IF(NOT(ISNA(VLOOKUP(E939,E$1:E938,1,FALSE()))),"OLD",IF(AND(E939&lt;&gt;"",E939&lt;&gt;"!!!"),"NEW","")))</f>
        <v>NEW</v>
      </c>
      <c r="G939" s="22" t="str">
        <f ca="1">IF(OR(E939="",E939="!!!"),"",IF(OR(J939=0,AND(J939=1,K939=1),AND(J939=1,I939="SBJ"),AND(J939=1,I939=0)),"?IN_FOCUS",IF(J939&lt;=2,"?ACTIVATED",IF(J939&lt;&gt;"","?FAMILIAR",IF(F939="NEW",IF(ISNA(VLOOKUP(E939,#REF!,1,FALSE())),"?TYPE_IDENTIFIABLE","?REFERENTIAL"),"_")))))</f>
        <v>?REFERENTIAL</v>
      </c>
      <c r="H939" s="23" t="str">
        <f t="shared" ca="1" si="71"/>
        <v/>
      </c>
      <c r="I939" s="24" t="str">
        <f>IF(OR(E939="",E939="!!!",F939="NEW"),"",INDEX(B$2:B938,-1+SUMPRODUCT(MAX(ROW(E$2:E938)*(E939=E$2:E938)))))</f>
        <v/>
      </c>
      <c r="J939" s="24" t="str">
        <f ca="1">IF(OR(E939="",E939="!!!",F939="NEW"),"",COUNTBLANK(OFFSET(A$1,,,SUMPRODUCT(MAX(ROW(E$2:E939)*(E939=E$2:E939)))))-COUNTBLANK(OFFSET(A$1,,,SUMPRODUCT(MAX(ROW(E$1:E938)*(E2=E$1:E938))))))</f>
        <v/>
      </c>
      <c r="K939" s="24" t="str">
        <f>IF(OR(E939="",E939="!!!",F939="NEW"),"",INDEX(J$1:J938,SUMPRODUCT(MAX(ROW(E$1:E938)*(E939=E$1:E938)))))</f>
        <v/>
      </c>
      <c r="L939" s="25"/>
    </row>
    <row r="940" spans="1:12" x14ac:dyDescent="0.3">
      <c r="A940" t="s">
        <v>207</v>
      </c>
      <c r="E940" s="20" t="str">
        <f t="shared" si="70"/>
        <v/>
      </c>
      <c r="F940" s="21" t="str">
        <f>IF(OR(E940="",E940="!!!"),"",IF(NOT(ISNA(VLOOKUP(E940,E$1:E939,1,FALSE()))),"OLD",IF(AND(E940&lt;&gt;"",E940&lt;&gt;"!!!"),"NEW","")))</f>
        <v/>
      </c>
      <c r="G940" s="22" t="str">
        <f>IF(OR(E940="",E940="!!!"),"",IF(OR(J940=0,AND(J940=1,K940=1),AND(J940=1,I940="SBJ"),AND(J940=1,I940=0)),"?IN_FOCUS",IF(J940&lt;=2,"?ACTIVATED",IF(J940&lt;&gt;"","?FAMILIAR",IF(F940="NEW",IF(ISNA(VLOOKUP(E940,#REF!,1,FALSE())),"?TYPE_IDENTIFIABLE","?REFERENTIAL"),"_")))))</f>
        <v/>
      </c>
      <c r="H940" s="23" t="str">
        <f t="shared" ca="1" si="71"/>
        <v/>
      </c>
      <c r="I940" s="24" t="str">
        <f>IF(OR(E940="",E940="!!!",F940="NEW"),"",INDEX(B$2:B939,-1+SUMPRODUCT(MAX(ROW(E$2:E939)*(E940=E$2:E939)))))</f>
        <v/>
      </c>
      <c r="J940" s="24" t="str">
        <f ca="1">IF(OR(E940="",E940="!!!",F940="NEW"),"",COUNTBLANK(OFFSET(A$1,,,SUMPRODUCT(MAX(ROW(E$2:E940)*(E940=E$2:E940)))))-COUNTBLANK(OFFSET(A$1,,,SUMPRODUCT(MAX(ROW(E$1:E939)*(E2=E$1:E939))))))</f>
        <v/>
      </c>
      <c r="K940" s="24" t="str">
        <f>IF(OR(E940="",E940="!!!",F940="NEW"),"",INDEX(J$1:J939,SUMPRODUCT(MAX(ROW(E$1:E939)*(E940=E$1:E939)))))</f>
        <v/>
      </c>
      <c r="L940" s="25"/>
    </row>
    <row r="941" spans="1:12" x14ac:dyDescent="0.3">
      <c r="A941" t="s">
        <v>120</v>
      </c>
      <c r="B941" s="26" t="s">
        <v>263</v>
      </c>
      <c r="C941" s="26" t="s">
        <v>230</v>
      </c>
      <c r="D941" s="26" t="s">
        <v>215</v>
      </c>
      <c r="E941" s="20"/>
      <c r="F941" s="21" t="s">
        <v>653</v>
      </c>
      <c r="G941" s="22" t="str">
        <f>IF(OR(E941="",E941="!!!"),"",IF(OR(J941=0,AND(J941=1,K941=1),AND(J941=1,I941="SBJ"),AND(J941=1,I941=0)),"?IN_FOCUS",IF(J941&lt;=2,"?ACTIVATED",IF(J941&lt;&gt;"","?FAMILIAR",IF(F941="NEW",IF(ISNA(VLOOKUP(E941,#REF!,1,FALSE())),"?TYPE_IDENTIFIABLE","?REFERENTIAL"),"_")))))</f>
        <v/>
      </c>
      <c r="H941" s="23" t="str">
        <f t="shared" ca="1" si="71"/>
        <v/>
      </c>
      <c r="I941" s="24" t="str">
        <f>IF(OR(E941="",E941="!!!",F941="NEW"),"",INDEX(B$2:B940,-1+SUMPRODUCT(MAX(ROW(E$2:E940)*(E941=E$2:E940)))))</f>
        <v/>
      </c>
      <c r="J941" s="24" t="str">
        <f ca="1">IF(OR(E941="",E941="!!!",F941="NEW"),"",COUNTBLANK(OFFSET(A$1,,,SUMPRODUCT(MAX(ROW(E$2:E941)*(E941=E$2:E941)))))-COUNTBLANK(OFFSET(A$1,,,SUMPRODUCT(MAX(ROW(E$1:E940)*(E2=E$1:E940))))))</f>
        <v/>
      </c>
      <c r="K941" s="24" t="str">
        <f>IF(OR(E941="",E941="!!!",F941="NEW"),"",INDEX(J$1:J940,SUMPRODUCT(MAX(ROW(E$1:E940)*(E941=E$1:E940)))))</f>
        <v/>
      </c>
      <c r="L941" s="25"/>
    </row>
    <row r="942" spans="1:12" x14ac:dyDescent="0.3">
      <c r="A942" t="s">
        <v>601</v>
      </c>
      <c r="E942" s="20" t="str">
        <f t="shared" si="70"/>
        <v/>
      </c>
      <c r="F942" s="21" t="str">
        <f>IF(OR(E942="",E942="!!!"),"",IF(NOT(ISNA(VLOOKUP(E942,E$1:E941,1,FALSE()))),"OLD",IF(AND(E942&lt;&gt;"",E942&lt;&gt;"!!!"),"NEW","")))</f>
        <v/>
      </c>
      <c r="G942" s="22" t="str">
        <f>IF(OR(E942="",E942="!!!"),"",IF(OR(J942=0,AND(J942=1,K942=1),AND(J942=1,I942="SBJ"),AND(J942=1,I942=0)),"?IN_FOCUS",IF(J942&lt;=2,"?ACTIVATED",IF(J942&lt;&gt;"","?FAMILIAR",IF(F942="NEW",IF(ISNA(VLOOKUP(E942,#REF!,1,FALSE())),"?TYPE_IDENTIFIABLE","?REFERENTIAL"),"_")))))</f>
        <v/>
      </c>
      <c r="H942" s="23" t="str">
        <f t="shared" ca="1" si="71"/>
        <v/>
      </c>
      <c r="I942" s="24" t="str">
        <f>IF(OR(E942="",E942="!!!",F942="NEW"),"",INDEX(B$2:B941,-1+SUMPRODUCT(MAX(ROW(E$2:E941)*(E942=E$2:E941)))))</f>
        <v/>
      </c>
      <c r="J942" s="24" t="str">
        <f ca="1">IF(OR(E942="",E942="!!!",F942="NEW"),"",COUNTBLANK(OFFSET(A$1,,,SUMPRODUCT(MAX(ROW(E$2:E942)*(E942=E$2:E942)))))-COUNTBLANK(OFFSET(A$1,,,SUMPRODUCT(MAX(ROW(E$1:E941)*(E2=E$1:E941))))))</f>
        <v/>
      </c>
      <c r="K942" s="24" t="str">
        <f>IF(OR(E942="",E942="!!!",F942="NEW"),"",INDEX(J$1:J941,SUMPRODUCT(MAX(ROW(E$1:E941)*(E942=E$1:E941)))))</f>
        <v/>
      </c>
      <c r="L942" s="25"/>
    </row>
    <row r="943" spans="1:12" x14ac:dyDescent="0.3">
      <c r="A943" t="s">
        <v>602</v>
      </c>
      <c r="E943" s="20" t="str">
        <f t="shared" si="70"/>
        <v/>
      </c>
      <c r="F943" s="21" t="str">
        <f>IF(OR(E943="",E943="!!!"),"",IF(NOT(ISNA(VLOOKUP(E943,E$1:E942,1,FALSE()))),"OLD",IF(AND(E943&lt;&gt;"",E943&lt;&gt;"!!!"),"NEW","")))</f>
        <v/>
      </c>
      <c r="G943" s="22" t="str">
        <f>IF(OR(E943="",E943="!!!"),"",IF(OR(J943=0,AND(J943=1,K943=1),AND(J943=1,I943="SBJ"),AND(J943=1,I943=0)),"?IN_FOCUS",IF(J943&lt;=2,"?ACTIVATED",IF(J943&lt;&gt;"","?FAMILIAR",IF(F943="NEW",IF(ISNA(VLOOKUP(E943,#REF!,1,FALSE())),"?TYPE_IDENTIFIABLE","?REFERENTIAL"),"_")))))</f>
        <v/>
      </c>
      <c r="H943" s="23" t="str">
        <f t="shared" ca="1" si="71"/>
        <v/>
      </c>
      <c r="I943" s="24" t="str">
        <f>IF(OR(E943="",E943="!!!",F943="NEW"),"",INDEX(B$2:B942,-1+SUMPRODUCT(MAX(ROW(E$2:E942)*(E943=E$2:E942)))))</f>
        <v/>
      </c>
      <c r="J943" s="24" t="str">
        <f ca="1">IF(OR(E943="",E943="!!!",F943="NEW"),"",COUNTBLANK(OFFSET(A$1,,,SUMPRODUCT(MAX(ROW(E$2:E943)*(E943=E$2:E943)))))-COUNTBLANK(OFFSET(A$1,,,SUMPRODUCT(MAX(ROW(E$1:E942)*(E2=E$1:E942))))))</f>
        <v/>
      </c>
      <c r="K943" s="24" t="str">
        <f>IF(OR(E943="",E943="!!!",F943="NEW"),"",INDEX(J$1:J942,SUMPRODUCT(MAX(ROW(E$1:E942)*(E943=E$1:E942)))))</f>
        <v/>
      </c>
      <c r="L943" s="25"/>
    </row>
    <row r="944" spans="1:12" x14ac:dyDescent="0.3">
      <c r="A944" t="s">
        <v>323</v>
      </c>
      <c r="E944" s="20" t="str">
        <f t="shared" si="70"/>
        <v/>
      </c>
      <c r="F944" s="21" t="str">
        <f>IF(OR(E944="",E944="!!!"),"",IF(NOT(ISNA(VLOOKUP(E944,E$1:E943,1,FALSE()))),"OLD",IF(AND(E944&lt;&gt;"",E944&lt;&gt;"!!!"),"NEW","")))</f>
        <v/>
      </c>
      <c r="G944" s="22" t="str">
        <f>IF(OR(E944="",E944="!!!"),"",IF(OR(J944=0,AND(J944=1,K944=1),AND(J944=1,I944="SBJ"),AND(J944=1,I944=0)),"?IN_FOCUS",IF(J944&lt;=2,"?ACTIVATED",IF(J944&lt;&gt;"","?FAMILIAR",IF(F944="NEW",IF(ISNA(VLOOKUP(E944,#REF!,1,FALSE())),"?TYPE_IDENTIFIABLE","?REFERENTIAL"),"_")))))</f>
        <v/>
      </c>
      <c r="H944" s="23" t="str">
        <f t="shared" ca="1" si="71"/>
        <v/>
      </c>
      <c r="I944" s="24" t="str">
        <f>IF(OR(E944="",E944="!!!",F944="NEW"),"",INDEX(B$2:B943,-1+SUMPRODUCT(MAX(ROW(E$2:E943)*(E944=E$2:E943)))))</f>
        <v/>
      </c>
      <c r="J944" s="24" t="str">
        <f ca="1">IF(OR(E944="",E944="!!!",F944="NEW"),"",COUNTBLANK(OFFSET(A$1,,,SUMPRODUCT(MAX(ROW(E$2:E944)*(E944=E$2:E944)))))-COUNTBLANK(OFFSET(A$1,,,SUMPRODUCT(MAX(ROW(E$1:E943)*(E2=E$1:E943))))))</f>
        <v/>
      </c>
      <c r="K944" s="24" t="str">
        <f>IF(OR(E944="",E944="!!!",F944="NEW"),"",INDEX(J$1:J943,SUMPRODUCT(MAX(ROW(E$1:E943)*(E944=E$1:E943)))))</f>
        <v/>
      </c>
      <c r="L944" s="25"/>
    </row>
    <row r="945" spans="1:12" x14ac:dyDescent="0.3">
      <c r="A945" t="s">
        <v>341</v>
      </c>
      <c r="E945" s="20" t="s">
        <v>722</v>
      </c>
      <c r="F945" s="21" t="str">
        <f>IF(OR(E945="",E945="!!!"),"",IF(NOT(ISNA(VLOOKUP(E945,E$1:E944,1,FALSE()))),"OLD",IF(AND(E945&lt;&gt;"",E945&lt;&gt;"!!!"),"NEW","")))</f>
        <v>OLD</v>
      </c>
      <c r="G945" s="22" t="str">
        <f ca="1">IF(OR(E945="",E945="!!!"),"",IF(OR(J945=0,AND(J945=1,K945=1),AND(J945=1,I945="SBJ"),AND(J945=1,I945=0)),"?IN_FOCUS",IF(J945&lt;=2,"?ACTIVATED",IF(J945&lt;&gt;"","?FAMILIAR",IF(F945="NEW",IF(ISNA(VLOOKUP(E945,#REF!,1,FALSE())),"?TYPE_IDENTIFIABLE","?REFERENTIAL"),"_")))))</f>
        <v>?IN_FOCUS</v>
      </c>
      <c r="H945" s="23" t="str">
        <f t="shared" ca="1" si="71"/>
        <v/>
      </c>
      <c r="I945" s="24" t="str">
        <f>IF(OR(E945="",E945="!!!",F945="NEW"),"",INDEX(B$2:B944,-1+SUMPRODUCT(MAX(ROW(E$2:E944)*(E945=E$2:E944)))))</f>
        <v>SBJ</v>
      </c>
      <c r="J945" s="24">
        <f ca="1">IF(OR(E945="",E945="!!!",F945="NEW"),"",COUNTBLANK(OFFSET(A$1,,,SUMPRODUCT(MAX(ROW(E$2:E945)*(E945=E$2:E945)))))-COUNTBLANK(OFFSET(A$1,,,SUMPRODUCT(MAX(ROW(E$1:E944)*(E2=E$1:E944))))))</f>
        <v>0</v>
      </c>
      <c r="K945" s="24">
        <f ca="1">IF(OR(E945="",E945="!!!",F945="NEW"),"",INDEX(J$1:J944,SUMPRODUCT(MAX(ROW(E$1:E944)*(E945=E$1:E944)))))</f>
        <v>0</v>
      </c>
      <c r="L945" s="25"/>
    </row>
    <row r="946" spans="1:12" x14ac:dyDescent="0.3">
      <c r="A946" t="s">
        <v>603</v>
      </c>
      <c r="E946" s="20" t="str">
        <f t="shared" si="70"/>
        <v/>
      </c>
      <c r="F946" s="21" t="str">
        <f>IF(OR(E946="",E946="!!!"),"",IF(NOT(ISNA(VLOOKUP(E946,E$1:E945,1,FALSE()))),"OLD",IF(AND(E946&lt;&gt;"",E946&lt;&gt;"!!!"),"NEW","")))</f>
        <v/>
      </c>
      <c r="G946" s="22" t="str">
        <f>IF(OR(E946="",E946="!!!"),"",IF(OR(J946=0,AND(J946=1,K946=1),AND(J946=1,I946="SBJ"),AND(J946=1,I946=0)),"?IN_FOCUS",IF(J946&lt;=2,"?ACTIVATED",IF(J946&lt;&gt;"","?FAMILIAR",IF(F946="NEW",IF(ISNA(VLOOKUP(E946,#REF!,1,FALSE())),"?TYPE_IDENTIFIABLE","?REFERENTIAL"),"_")))))</f>
        <v/>
      </c>
      <c r="H946" s="23" t="str">
        <f t="shared" ca="1" si="71"/>
        <v/>
      </c>
      <c r="I946" s="24" t="str">
        <f>IF(OR(E946="",E946="!!!",F946="NEW"),"",INDEX(B$2:B945,-1+SUMPRODUCT(MAX(ROW(E$2:E945)*(E946=E$2:E945)))))</f>
        <v/>
      </c>
      <c r="J946" s="24" t="str">
        <f ca="1">IF(OR(E946="",E946="!!!",F946="NEW"),"",COUNTBLANK(OFFSET(A$1,,,SUMPRODUCT(MAX(ROW(E$2:E946)*(E946=E$2:E946)))))-COUNTBLANK(OFFSET(A$1,,,SUMPRODUCT(MAX(ROW(E$1:E945)*(E2=E$1:E945))))))</f>
        <v/>
      </c>
      <c r="K946" s="24" t="str">
        <f>IF(OR(E946="",E946="!!!",F946="NEW"),"",INDEX(J$1:J945,SUMPRODUCT(MAX(ROW(E$1:E945)*(E946=E$1:E945)))))</f>
        <v/>
      </c>
      <c r="L946" s="25"/>
    </row>
    <row r="947" spans="1:12" x14ac:dyDescent="0.3">
      <c r="A947" t="s">
        <v>598</v>
      </c>
      <c r="B947" s="26" t="s">
        <v>255</v>
      </c>
      <c r="C947" s="26" t="s">
        <v>337</v>
      </c>
      <c r="D947" s="26" t="s">
        <v>215</v>
      </c>
      <c r="E947" s="20" t="s">
        <v>598</v>
      </c>
      <c r="F947" s="21" t="str">
        <f>IF(OR(E947="",E947="!!!"),"",IF(NOT(ISNA(VLOOKUP(E947,E$1:E946,1,FALSE()))),"OLD",IF(AND(E947&lt;&gt;"",E947&lt;&gt;"!!!"),"NEW","")))</f>
        <v>OLD</v>
      </c>
      <c r="G947" s="22" t="str">
        <f ca="1">IF(OR(E947="",E947="!!!"),"",IF(OR(J947=0,AND(J947=1,K947=1),AND(J947=1,I947="SBJ"),AND(J947=1,I947=0)),"?IN_FOCUS",IF(J947&lt;=2,"?ACTIVATED",IF(J947&lt;&gt;"","?FAMILIAR",IF(F947="NEW",IF(ISNA(VLOOKUP(E947,#REF!,1,FALSE())),"?TYPE_IDENTIFIABLE","?REFERENTIAL"),"_")))))</f>
        <v>?IN_FOCUS</v>
      </c>
      <c r="H947" s="23" t="str">
        <f t="shared" ca="1" si="71"/>
        <v/>
      </c>
      <c r="I947" s="24" t="str">
        <f>IF(OR(E947="",E947="!!!",F947="NEW"),"",INDEX(B$2:B946,-1+SUMPRODUCT(MAX(ROW(E$2:E946)*(E947=E$2:E946)))))</f>
        <v>other_2</v>
      </c>
      <c r="J947" s="24">
        <f ca="1">IF(OR(E947="",E947="!!!",F947="NEW"),"",COUNTBLANK(OFFSET(A$1,,,SUMPRODUCT(MAX(ROW(E$2:E947)*(E947=E$2:E947)))))-COUNTBLANK(OFFSET(A$1,,,SUMPRODUCT(MAX(ROW(E$1:E946)*(E2=E$1:E946))))))</f>
        <v>0</v>
      </c>
      <c r="K947" s="24" t="str">
        <f ca="1">IF(OR(E947="",E947="!!!",F947="NEW"),"",INDEX(J$1:J946,SUMPRODUCT(MAX(ROW(E$1:E946)*(E947=E$1:E946)))))</f>
        <v/>
      </c>
      <c r="L947" s="25"/>
    </row>
    <row r="948" spans="1:12" x14ac:dyDescent="0.3">
      <c r="A948" t="s">
        <v>279</v>
      </c>
      <c r="E948" s="20" t="str">
        <f t="shared" si="70"/>
        <v/>
      </c>
      <c r="F948" s="21" t="str">
        <f>IF(OR(E948="",E948="!!!"),"",IF(NOT(ISNA(VLOOKUP(E948,E$1:E947,1,FALSE()))),"OLD",IF(AND(E948&lt;&gt;"",E948&lt;&gt;"!!!"),"NEW","")))</f>
        <v/>
      </c>
      <c r="G948" s="22" t="str">
        <f>IF(OR(E948="",E948="!!!"),"",IF(OR(J948=0,AND(J948=1,K948=1),AND(J948=1,I948="SBJ"),AND(J948=1,I948=0)),"?IN_FOCUS",IF(J948&lt;=2,"?ACTIVATED",IF(J948&lt;&gt;"","?FAMILIAR",IF(F948="NEW",IF(ISNA(VLOOKUP(E948,#REF!,1,FALSE())),"?TYPE_IDENTIFIABLE","?REFERENTIAL"),"_")))))</f>
        <v/>
      </c>
      <c r="H948" s="23" t="str">
        <f t="shared" ca="1" si="71"/>
        <v/>
      </c>
      <c r="I948" s="24" t="str">
        <f>IF(OR(E948="",E948="!!!",F948="NEW"),"",INDEX(B$2:B947,-1+SUMPRODUCT(MAX(ROW(E$2:E947)*(E948=E$2:E947)))))</f>
        <v/>
      </c>
      <c r="J948" s="24" t="str">
        <f ca="1">IF(OR(E948="",E948="!!!",F948="NEW"),"",COUNTBLANK(OFFSET(A$1,,,SUMPRODUCT(MAX(ROW(E$2:E948)*(E948=E$2:E948)))))-COUNTBLANK(OFFSET(A$1,,,SUMPRODUCT(MAX(ROW(E$1:E947)*(E2=E$1:E947))))))</f>
        <v/>
      </c>
      <c r="K948" s="24" t="str">
        <f>IF(OR(E948="",E948="!!!",F948="NEW"),"",INDEX(J$1:J947,SUMPRODUCT(MAX(ROW(E$1:E947)*(E948=E$1:E947)))))</f>
        <v/>
      </c>
      <c r="L948" s="25"/>
    </row>
    <row r="949" spans="1:12" x14ac:dyDescent="0.3">
      <c r="A949" t="s">
        <v>129</v>
      </c>
      <c r="B949" s="26" t="s">
        <v>266</v>
      </c>
      <c r="C949" s="26" t="s">
        <v>226</v>
      </c>
      <c r="E949" s="20" t="s">
        <v>129</v>
      </c>
      <c r="F949" s="21" t="str">
        <f>IF(OR(E949="",E949="!!!"),"",IF(NOT(ISNA(VLOOKUP(E949,E$1:E948,1,FALSE()))),"OLD",IF(AND(E949&lt;&gt;"",E949&lt;&gt;"!!!"),"NEW","")))</f>
        <v>NEW</v>
      </c>
      <c r="G949" s="22" t="str">
        <f ca="1">IF(OR(E949="",E949="!!!"),"",IF(OR(J949=0,AND(J949=1,K949=1),AND(J949=1,I949="SBJ"),AND(J949=1,I949=0)),"?IN_FOCUS",IF(J949&lt;=2,"?ACTIVATED",IF(J949&lt;&gt;"","?FAMILIAR",IF(F949="NEW",IF(ISNA(VLOOKUP(E949,#REF!,1,FALSE())),"?TYPE_IDENTIFIABLE","?REFERENTIAL"),"_")))))</f>
        <v>?REFERENTIAL</v>
      </c>
      <c r="H949" s="23" t="str">
        <f t="shared" ca="1" si="71"/>
        <v/>
      </c>
      <c r="I949" s="24" t="str">
        <f>IF(OR(E949="",E949="!!!",F949="NEW"),"",INDEX(B$2:B948,-1+SUMPRODUCT(MAX(ROW(E$2:E948)*(E949=E$2:E948)))))</f>
        <v/>
      </c>
      <c r="J949" s="24" t="str">
        <f ca="1">IF(OR(E949="",E949="!!!",F949="NEW"),"",COUNTBLANK(OFFSET(A$1,,,SUMPRODUCT(MAX(ROW(E$2:E949)*(E949=E$2:E949)))))-COUNTBLANK(OFFSET(A$1,,,SUMPRODUCT(MAX(ROW(E$1:E948)*(E2=E$1:E948))))))</f>
        <v/>
      </c>
      <c r="K949" s="24" t="str">
        <f>IF(OR(E949="",E949="!!!",F949="NEW"),"",INDEX(J$1:J948,SUMPRODUCT(MAX(ROW(E$1:E948)*(E949=E$1:E948)))))</f>
        <v/>
      </c>
      <c r="L949" s="25"/>
    </row>
    <row r="950" spans="1:12" x14ac:dyDescent="0.3">
      <c r="A950" t="s">
        <v>234</v>
      </c>
      <c r="E950" s="20" t="str">
        <f t="shared" si="70"/>
        <v/>
      </c>
      <c r="F950" s="21" t="str">
        <f>IF(OR(E950="",E950="!!!"),"",IF(NOT(ISNA(VLOOKUP(E950,E$1:E949,1,FALSE()))),"OLD",IF(AND(E950&lt;&gt;"",E950&lt;&gt;"!!!"),"NEW","")))</f>
        <v/>
      </c>
      <c r="G950" s="22" t="str">
        <f>IF(OR(E950="",E950="!!!"),"",IF(OR(J950=0,AND(J950=1,K950=1),AND(J950=1,I950="SBJ"),AND(J950=1,I950=0)),"?IN_FOCUS",IF(J950&lt;=2,"?ACTIVATED",IF(J950&lt;&gt;"","?FAMILIAR",IF(F950="NEW",IF(ISNA(VLOOKUP(E950,#REF!,1,FALSE())),"?TYPE_IDENTIFIABLE","?REFERENTIAL"),"_")))))</f>
        <v/>
      </c>
      <c r="H950" s="23" t="str">
        <f t="shared" ca="1" si="71"/>
        <v/>
      </c>
      <c r="I950" s="24" t="str">
        <f>IF(OR(E950="",E950="!!!",F950="NEW"),"",INDEX(B$2:B949,-1+SUMPRODUCT(MAX(ROW(E$2:E949)*(E950=E$2:E949)))))</f>
        <v/>
      </c>
      <c r="J950" s="24" t="str">
        <f ca="1">IF(OR(E950="",E950="!!!",F950="NEW"),"",COUNTBLANK(OFFSET(A$1,,,SUMPRODUCT(MAX(ROW(E$2:E950)*(E950=E$2:E950)))))-COUNTBLANK(OFFSET(A$1,,,SUMPRODUCT(MAX(ROW(E$1:E949)*(E2=E$1:E949))))))</f>
        <v/>
      </c>
      <c r="K950" s="24" t="str">
        <f>IF(OR(E950="",E950="!!!",F950="NEW"),"",INDEX(J$1:J949,SUMPRODUCT(MAX(ROW(E$1:E949)*(E950=E$1:E949)))))</f>
        <v/>
      </c>
      <c r="L950" s="25"/>
    </row>
    <row r="952" spans="1:12" x14ac:dyDescent="0.3">
      <c r="A952" t="s">
        <v>604</v>
      </c>
    </row>
    <row r="953" spans="1:12" x14ac:dyDescent="0.3">
      <c r="A953" t="s">
        <v>236</v>
      </c>
      <c r="E953" s="20" t="str">
        <f t="shared" ref="E953:E971" si="72">IF(D953="?OLD","!!!","")</f>
        <v/>
      </c>
      <c r="F953" s="21" t="str">
        <f>IF(OR(E953="",E953="!!!"),"",IF(NOT(ISNA(VLOOKUP(E953,E$1:E952,1,FALSE()))),"OLD",IF(AND(E953&lt;&gt;"",E953&lt;&gt;"!!!"),"NEW","")))</f>
        <v/>
      </c>
      <c r="G953" s="22" t="str">
        <f>IF(OR(E953="",E953="!!!"),"",IF(OR(J953=0,AND(J953=1,K953=1),AND(J953=1,I953="SBJ"),AND(J953=1,I953=0)),"?IN_FOCUS",IF(J953&lt;=2,"?ACTIVATED",IF(J953&lt;&gt;"","?FAMILIAR",IF(F953="NEW",IF(ISNA(VLOOKUP(E953,#REF!,1,FALSE())),"?TYPE_IDENTIFIABLE","?REFERENTIAL"),"_")))))</f>
        <v/>
      </c>
      <c r="H953" s="23" t="str">
        <f t="shared" ref="H953:H971" ca="1" si="73">IF(J953&lt;&gt;1,"",IF(I953="SBJ","CB","?"))</f>
        <v/>
      </c>
      <c r="I953" s="24" t="str">
        <f>IF(OR(E953="",E953="!!!",F953="NEW"),"",INDEX(B$2:B952,-1+SUMPRODUCT(MAX(ROW(E$2:E952)*(E953=E$2:E952)))))</f>
        <v/>
      </c>
      <c r="J953" s="24" t="str">
        <f ca="1">IF(OR(E953="",E953="!!!",F953="NEW"),"",COUNTBLANK(OFFSET(A$1,,,SUMPRODUCT(MAX(ROW(E$2:E953)*(E953=E$2:E953)))))-COUNTBLANK(OFFSET(A$1,,,SUMPRODUCT(MAX(ROW(E$1:E952)*(E2=E$1:E952))))))</f>
        <v/>
      </c>
      <c r="K953" s="24" t="str">
        <f>IF(OR(E953="",E953="!!!",F953="NEW"),"",INDEX(J$1:J952,SUMPRODUCT(MAX(ROW(E$1:E952)*(E953=E$1:E952)))))</f>
        <v/>
      </c>
      <c r="L953" s="25"/>
    </row>
    <row r="954" spans="1:12" x14ac:dyDescent="0.3">
      <c r="A954" t="s">
        <v>220</v>
      </c>
      <c r="E954" s="20" t="str">
        <f t="shared" si="72"/>
        <v/>
      </c>
      <c r="F954" s="21" t="str">
        <f>IF(OR(E954="",E954="!!!"),"",IF(NOT(ISNA(VLOOKUP(E954,E$1:E953,1,FALSE()))),"OLD",IF(AND(E954&lt;&gt;"",E954&lt;&gt;"!!!"),"NEW","")))</f>
        <v/>
      </c>
      <c r="G954" s="22" t="str">
        <f>IF(OR(E954="",E954="!!!"),"",IF(OR(J954=0,AND(J954=1,K954=1),AND(J954=1,I954="SBJ"),AND(J954=1,I954=0)),"?IN_FOCUS",IF(J954&lt;=2,"?ACTIVATED",IF(J954&lt;&gt;"","?FAMILIAR",IF(F954="NEW",IF(ISNA(VLOOKUP(E954,#REF!,1,FALSE())),"?TYPE_IDENTIFIABLE","?REFERENTIAL"),"_")))))</f>
        <v/>
      </c>
      <c r="H954" s="23" t="str">
        <f t="shared" ca="1" si="73"/>
        <v/>
      </c>
      <c r="I954" s="24" t="str">
        <f>IF(OR(E954="",E954="!!!",F954="NEW"),"",INDEX(B$2:B953,-1+SUMPRODUCT(MAX(ROW(E$2:E953)*(E954=E$2:E953)))))</f>
        <v/>
      </c>
      <c r="J954" s="24" t="str">
        <f ca="1">IF(OR(E954="",E954="!!!",F954="NEW"),"",COUNTBLANK(OFFSET(A$1,,,SUMPRODUCT(MAX(ROW(E$2:E954)*(E954=E$2:E954)))))-COUNTBLANK(OFFSET(A$1,,,SUMPRODUCT(MAX(ROW(E$1:E953)*(E2=E$1:E953))))))</f>
        <v/>
      </c>
      <c r="K954" s="24" t="str">
        <f>IF(OR(E954="",E954="!!!",F954="NEW"),"",INDEX(J$1:J953,SUMPRODUCT(MAX(ROW(E$1:E953)*(E954=E$1:E953)))))</f>
        <v/>
      </c>
      <c r="L954" s="25"/>
    </row>
    <row r="955" spans="1:12" x14ac:dyDescent="0.3">
      <c r="A955" t="s">
        <v>129</v>
      </c>
      <c r="B955" s="26" t="s">
        <v>213</v>
      </c>
      <c r="C955" s="26" t="s">
        <v>264</v>
      </c>
      <c r="D955" s="26" t="s">
        <v>215</v>
      </c>
      <c r="E955" s="20" t="s">
        <v>129</v>
      </c>
      <c r="F955" s="21" t="str">
        <f>IF(OR(E955="",E955="!!!"),"",IF(NOT(ISNA(VLOOKUP(E955,E$1:E954,1,FALSE()))),"OLD",IF(AND(E955&lt;&gt;"",E955&lt;&gt;"!!!"),"NEW","")))</f>
        <v>OLD</v>
      </c>
      <c r="G955" s="22" t="str">
        <f ca="1">IF(OR(E955="",E955="!!!"),"",IF(OR(J955=0,AND(J955=1,K955=1),AND(J955=1,I955="SBJ"),AND(J955=1,I955=0)),"?IN_FOCUS",IF(J955&lt;=2,"?ACTIVATED",IF(J955&lt;&gt;"","?FAMILIAR",IF(F955="NEW",IF(ISNA(VLOOKUP(E955,#REF!,1,FALSE())),"?TYPE_IDENTIFIABLE","?REFERENTIAL"),"_")))))</f>
        <v>?IN_FOCUS</v>
      </c>
      <c r="H955" s="23" t="str">
        <f t="shared" ca="1" si="73"/>
        <v/>
      </c>
      <c r="I955" s="24" t="str">
        <f>IF(OR(E955="",E955="!!!",F955="NEW"),"",INDEX(B$2:B954,-1+SUMPRODUCT(MAX(ROW(E$2:E954)*(E955=E$2:E954)))))</f>
        <v>other_4</v>
      </c>
      <c r="J955" s="24">
        <f ca="1">IF(OR(E955="",E955="!!!",F955="NEW"),"",COUNTBLANK(OFFSET(A$1,,,SUMPRODUCT(MAX(ROW(E$2:E955)*(E955=E$2:E955)))))-COUNTBLANK(OFFSET(A$1,,,SUMPRODUCT(MAX(ROW(E$1:E954)*(E2=E$1:E954))))))</f>
        <v>0</v>
      </c>
      <c r="K955" s="24" t="str">
        <f ca="1">IF(OR(E955="",E955="!!!",F955="NEW"),"",INDEX(J$1:J954,SUMPRODUCT(MAX(ROW(E$1:E954)*(E955=E$1:E954)))))</f>
        <v/>
      </c>
      <c r="L955" s="25"/>
    </row>
    <row r="956" spans="1:12" x14ac:dyDescent="0.3">
      <c r="A956" t="s">
        <v>223</v>
      </c>
      <c r="E956" s="20" t="str">
        <f t="shared" si="72"/>
        <v/>
      </c>
      <c r="F956" s="21" t="str">
        <f>IF(OR(E956="",E956="!!!"),"",IF(NOT(ISNA(VLOOKUP(E956,E$1:E955,1,FALSE()))),"OLD",IF(AND(E956&lt;&gt;"",E956&lt;&gt;"!!!"),"NEW","")))</f>
        <v/>
      </c>
      <c r="G956" s="22" t="str">
        <f>IF(OR(E956="",E956="!!!"),"",IF(OR(J956=0,AND(J956=1,K956=1),AND(J956=1,I956="SBJ"),AND(J956=1,I956=0)),"?IN_FOCUS",IF(J956&lt;=2,"?ACTIVATED",IF(J956&lt;&gt;"","?FAMILIAR",IF(F956="NEW",IF(ISNA(VLOOKUP(E956,#REF!,1,FALSE())),"?TYPE_IDENTIFIABLE","?REFERENTIAL"),"_")))))</f>
        <v/>
      </c>
      <c r="H956" s="23" t="str">
        <f t="shared" ca="1" si="73"/>
        <v/>
      </c>
      <c r="I956" s="24" t="str">
        <f>IF(OR(E956="",E956="!!!",F956="NEW"),"",INDEX(B$2:B955,-1+SUMPRODUCT(MAX(ROW(E$2:E955)*(E956=E$2:E955)))))</f>
        <v/>
      </c>
      <c r="J956" s="24" t="str">
        <f ca="1">IF(OR(E956="",E956="!!!",F956="NEW"),"",COUNTBLANK(OFFSET(A$1,,,SUMPRODUCT(MAX(ROW(E$2:E956)*(E956=E$2:E956)))))-COUNTBLANK(OFFSET(A$1,,,SUMPRODUCT(MAX(ROW(E$1:E955)*(E2=E$1:E955))))))</f>
        <v/>
      </c>
      <c r="K956" s="24" t="str">
        <f>IF(OR(E956="",E956="!!!",F956="NEW"),"",INDEX(J$1:J955,SUMPRODUCT(MAX(ROW(E$1:E955)*(E956=E$1:E955)))))</f>
        <v/>
      </c>
      <c r="L956" s="25"/>
    </row>
    <row r="957" spans="1:12" x14ac:dyDescent="0.3">
      <c r="A957" t="s">
        <v>249</v>
      </c>
      <c r="E957" s="20" t="str">
        <f t="shared" si="72"/>
        <v/>
      </c>
      <c r="F957" s="21" t="str">
        <f>IF(OR(E957="",E957="!!!"),"",IF(NOT(ISNA(VLOOKUP(E957,E$1:E956,1,FALSE()))),"OLD",IF(AND(E957&lt;&gt;"",E957&lt;&gt;"!!!"),"NEW","")))</f>
        <v/>
      </c>
      <c r="G957" s="22" t="str">
        <f>IF(OR(E957="",E957="!!!"),"",IF(OR(J957=0,AND(J957=1,K957=1),AND(J957=1,I957="SBJ"),AND(J957=1,I957=0)),"?IN_FOCUS",IF(J957&lt;=2,"?ACTIVATED",IF(J957&lt;&gt;"","?FAMILIAR",IF(F957="NEW",IF(ISNA(VLOOKUP(E957,#REF!,1,FALSE())),"?TYPE_IDENTIFIABLE","?REFERENTIAL"),"_")))))</f>
        <v/>
      </c>
      <c r="H957" s="23" t="str">
        <f t="shared" ca="1" si="73"/>
        <v/>
      </c>
      <c r="I957" s="24" t="str">
        <f>IF(OR(E957="",E957="!!!",F957="NEW"),"",INDEX(B$2:B956,-1+SUMPRODUCT(MAX(ROW(E$2:E956)*(E957=E$2:E956)))))</f>
        <v/>
      </c>
      <c r="J957" s="24" t="str">
        <f ca="1">IF(OR(E957="",E957="!!!",F957="NEW"),"",COUNTBLANK(OFFSET(A$1,,,SUMPRODUCT(MAX(ROW(E$2:E957)*(E957=E$2:E957)))))-COUNTBLANK(OFFSET(A$1,,,SUMPRODUCT(MAX(ROW(E$1:E956)*(E2=E$1:E956))))))</f>
        <v/>
      </c>
      <c r="K957" s="24" t="str">
        <f>IF(OR(E957="",E957="!!!",F957="NEW"),"",INDEX(J$1:J956,SUMPRODUCT(MAX(ROW(E$1:E956)*(E957=E$1:E956)))))</f>
        <v/>
      </c>
      <c r="L957" s="25"/>
    </row>
    <row r="958" spans="1:12" x14ac:dyDescent="0.3">
      <c r="A958" t="s">
        <v>605</v>
      </c>
      <c r="B958" s="26" t="s">
        <v>225</v>
      </c>
      <c r="C958" s="26" t="s">
        <v>337</v>
      </c>
      <c r="D958" s="26" t="s">
        <v>215</v>
      </c>
      <c r="E958" s="20" t="s">
        <v>722</v>
      </c>
      <c r="F958" s="21" t="str">
        <f>IF(OR(E958="",E958="!!!"),"",IF(NOT(ISNA(VLOOKUP(E958,E$1:E957,1,FALSE()))),"OLD",IF(AND(E958&lt;&gt;"",E958&lt;&gt;"!!!"),"NEW","")))</f>
        <v>OLD</v>
      </c>
      <c r="G958" s="22" t="str">
        <f ca="1">IF(OR(E958="",E958="!!!"),"",IF(OR(J958=0,AND(J958=1,K958=1),AND(J958=1,I958="SBJ"),AND(J958=1,I958=0)),"?IN_FOCUS",IF(J958&lt;=2,"?ACTIVATED",IF(J958&lt;&gt;"","?FAMILIAR",IF(F958="NEW",IF(ISNA(VLOOKUP(E958,#REF!,1,FALSE())),"?TYPE_IDENTIFIABLE","?REFERENTIAL"),"_")))))</f>
        <v>?IN_FOCUS</v>
      </c>
      <c r="H958" s="23" t="s">
        <v>198</v>
      </c>
      <c r="I958" s="24">
        <f>IF(OR(E958="",E958="!!!",F958="NEW"),"",INDEX(B$2:B957,-1+SUMPRODUCT(MAX(ROW(E$2:E957)*(E958=E$2:E957)))))</f>
        <v>0</v>
      </c>
      <c r="J958" s="24">
        <f ca="1">IF(OR(E958="",E958="!!!",F958="NEW"),"",COUNTBLANK(OFFSET(A$1,,,SUMPRODUCT(MAX(ROW(E$2:E958)*(E958=E$2:E958)))))-COUNTBLANK(OFFSET(A$1,,,SUMPRODUCT(MAX(ROW(E$1:E957)*(E2=E$1:E957))))))</f>
        <v>0</v>
      </c>
      <c r="K958" s="24">
        <f ca="1">IF(OR(E958="",E958="!!!",F958="NEW"),"",INDEX(J$1:J957,SUMPRODUCT(MAX(ROW(E$1:E957)*(E958=E$1:E957)))))</f>
        <v>0</v>
      </c>
      <c r="L958" s="25"/>
    </row>
    <row r="959" spans="1:12" x14ac:dyDescent="0.3">
      <c r="A959" t="s">
        <v>606</v>
      </c>
      <c r="E959" s="20" t="str">
        <f t="shared" si="72"/>
        <v/>
      </c>
      <c r="F959" s="21" t="str">
        <f>IF(OR(E959="",E959="!!!"),"",IF(NOT(ISNA(VLOOKUP(E959,E$1:E958,1,FALSE()))),"OLD",IF(AND(E959&lt;&gt;"",E959&lt;&gt;"!!!"),"NEW","")))</f>
        <v/>
      </c>
      <c r="G959" s="22" t="str">
        <f>IF(OR(E959="",E959="!!!"),"",IF(OR(J959=0,AND(J959=1,K959=1),AND(J959=1,I959="SBJ"),AND(J959=1,I959=0)),"?IN_FOCUS",IF(J959&lt;=2,"?ACTIVATED",IF(J959&lt;&gt;"","?FAMILIAR",IF(F959="NEW",IF(ISNA(VLOOKUP(E959,#REF!,1,FALSE())),"?TYPE_IDENTIFIABLE","?REFERENTIAL"),"_")))))</f>
        <v/>
      </c>
      <c r="H959" s="23" t="str">
        <f t="shared" ca="1" si="73"/>
        <v/>
      </c>
      <c r="I959" s="24" t="str">
        <f>IF(OR(E959="",E959="!!!",F959="NEW"),"",INDEX(B$2:B958,-1+SUMPRODUCT(MAX(ROW(E$2:E958)*(E959=E$2:E958)))))</f>
        <v/>
      </c>
      <c r="J959" s="24" t="str">
        <f ca="1">IF(OR(E959="",E959="!!!",F959="NEW"),"",COUNTBLANK(OFFSET(A$1,,,SUMPRODUCT(MAX(ROW(E$2:E959)*(E959=E$2:E959)))))-COUNTBLANK(OFFSET(A$1,,,SUMPRODUCT(MAX(ROW(E$1:E958)*(E2=E$1:E958))))))</f>
        <v/>
      </c>
      <c r="K959" s="24" t="str">
        <f>IF(OR(E959="",E959="!!!",F959="NEW"),"",INDEX(J$1:J958,SUMPRODUCT(MAX(ROW(E$1:E958)*(E959=E$1:E958)))))</f>
        <v/>
      </c>
      <c r="L959" s="25"/>
    </row>
    <row r="960" spans="1:12" x14ac:dyDescent="0.3">
      <c r="A960" t="s">
        <v>322</v>
      </c>
      <c r="B960" s="26" t="s">
        <v>261</v>
      </c>
      <c r="C960" s="26" t="s">
        <v>264</v>
      </c>
      <c r="D960" s="26" t="s">
        <v>215</v>
      </c>
      <c r="E960" s="20"/>
      <c r="F960" s="21" t="s">
        <v>653</v>
      </c>
      <c r="G960" s="22" t="str">
        <f>IF(OR(E960="",E960="!!!"),"",IF(OR(J960=0,AND(J960=1,K960=1),AND(J960=1,I960="SBJ"),AND(J960=1,I960=0)),"?IN_FOCUS",IF(J960&lt;=2,"?ACTIVATED",IF(J960&lt;&gt;"","?FAMILIAR",IF(F960="NEW",IF(ISNA(VLOOKUP(E960,#REF!,1,FALSE())),"?TYPE_IDENTIFIABLE","?REFERENTIAL"),"_")))))</f>
        <v/>
      </c>
      <c r="H960" s="23" t="str">
        <f t="shared" ca="1" si="73"/>
        <v/>
      </c>
      <c r="I960" s="24" t="str">
        <f>IF(OR(E960="",E960="!!!",F960="NEW"),"",INDEX(B$2:B959,-1+SUMPRODUCT(MAX(ROW(E$2:E959)*(E960=E$2:E959)))))</f>
        <v/>
      </c>
      <c r="J960" s="24" t="str">
        <f ca="1">IF(OR(E960="",E960="!!!",F960="NEW"),"",COUNTBLANK(OFFSET(A$1,,,SUMPRODUCT(MAX(ROW(E$2:E960)*(E960=E$2:E960)))))-COUNTBLANK(OFFSET(A$1,,,SUMPRODUCT(MAX(ROW(E$1:E959)*(E2=E$1:E959))))))</f>
        <v/>
      </c>
      <c r="K960" s="24" t="str">
        <f>IF(OR(E960="",E960="!!!",F960="NEW"),"",INDEX(J$1:J959,SUMPRODUCT(MAX(ROW(E$1:E959)*(E960=E$1:E959)))))</f>
        <v/>
      </c>
      <c r="L960" s="25"/>
    </row>
    <row r="961" spans="1:12" x14ac:dyDescent="0.3">
      <c r="A961" t="s">
        <v>223</v>
      </c>
      <c r="E961" s="20" t="str">
        <f t="shared" si="72"/>
        <v/>
      </c>
      <c r="F961" s="21" t="str">
        <f>IF(OR(E961="",E961="!!!"),"",IF(NOT(ISNA(VLOOKUP(E961,E$1:E960,1,FALSE()))),"OLD",IF(AND(E961&lt;&gt;"",E961&lt;&gt;"!!!"),"NEW","")))</f>
        <v/>
      </c>
      <c r="G961" s="22" t="str">
        <f>IF(OR(E961="",E961="!!!"),"",IF(OR(J961=0,AND(J961=1,K961=1),AND(J961=1,I961="SBJ"),AND(J961=1,I961=0)),"?IN_FOCUS",IF(J961&lt;=2,"?ACTIVATED",IF(J961&lt;&gt;"","?FAMILIAR",IF(F961="NEW",IF(ISNA(VLOOKUP(E961,#REF!,1,FALSE())),"?TYPE_IDENTIFIABLE","?REFERENTIAL"),"_")))))</f>
        <v/>
      </c>
      <c r="H961" s="23" t="str">
        <f t="shared" ca="1" si="73"/>
        <v/>
      </c>
      <c r="I961" s="24" t="str">
        <f>IF(OR(E961="",E961="!!!",F961="NEW"),"",INDEX(B$2:B960,-1+SUMPRODUCT(MAX(ROW(E$2:E960)*(E961=E$2:E960)))))</f>
        <v/>
      </c>
      <c r="J961" s="24" t="str">
        <f ca="1">IF(OR(E961="",E961="!!!",F961="NEW"),"",COUNTBLANK(OFFSET(A$1,,,SUMPRODUCT(MAX(ROW(E$2:E961)*(E961=E$2:E961)))))-COUNTBLANK(OFFSET(A$1,,,SUMPRODUCT(MAX(ROW(E$1:E960)*(E2=E$1:E960))))))</f>
        <v/>
      </c>
      <c r="K961" s="24" t="str">
        <f>IF(OR(E961="",E961="!!!",F961="NEW"),"",INDEX(J$1:J960,SUMPRODUCT(MAX(ROW(E$1:E960)*(E961=E$1:E960)))))</f>
        <v/>
      </c>
      <c r="L961" s="25"/>
    </row>
    <row r="962" spans="1:12" x14ac:dyDescent="0.3">
      <c r="A962" t="s">
        <v>569</v>
      </c>
      <c r="B962" s="26" t="s">
        <v>225</v>
      </c>
      <c r="C962" s="26" t="s">
        <v>230</v>
      </c>
      <c r="D962" s="26" t="s">
        <v>215</v>
      </c>
      <c r="E962" s="20"/>
      <c r="F962" s="21" t="s">
        <v>653</v>
      </c>
      <c r="G962" s="22" t="str">
        <f>IF(OR(E962="",E962="!!!"),"",IF(OR(J962=0,AND(J962=1,K962=1),AND(J962=1,I962="SBJ"),AND(J962=1,I962=0)),"?IN_FOCUS",IF(J962&lt;=2,"?ACTIVATED",IF(J962&lt;&gt;"","?FAMILIAR",IF(F962="NEW",IF(ISNA(VLOOKUP(E962,#REF!,1,FALSE())),"?TYPE_IDENTIFIABLE","?REFERENTIAL"),"_")))))</f>
        <v/>
      </c>
      <c r="H962" s="23" t="str">
        <f t="shared" ca="1" si="73"/>
        <v/>
      </c>
      <c r="I962" s="24" t="str">
        <f>IF(OR(E962="",E962="!!!",F962="NEW"),"",INDEX(B$2:B961,-1+SUMPRODUCT(MAX(ROW(E$2:E961)*(E962=E$2:E961)))))</f>
        <v/>
      </c>
      <c r="J962" s="24" t="str">
        <f ca="1">IF(OR(E962="",E962="!!!",F962="NEW"),"",COUNTBLANK(OFFSET(A$1,,,SUMPRODUCT(MAX(ROW(E$2:E962)*(E962=E$2:E962)))))-COUNTBLANK(OFFSET(A$1,,,SUMPRODUCT(MAX(ROW(E$1:E961)*(E2=E$1:E961))))))</f>
        <v/>
      </c>
      <c r="K962" s="24" t="str">
        <f>IF(OR(E962="",E962="!!!",F962="NEW"),"",INDEX(J$1:J961,SUMPRODUCT(MAX(ROW(E$1:E961)*(E962=E$1:E961)))))</f>
        <v/>
      </c>
      <c r="L962" s="25"/>
    </row>
    <row r="963" spans="1:12" x14ac:dyDescent="0.3">
      <c r="A963" t="s">
        <v>287</v>
      </c>
      <c r="E963" s="20" t="str">
        <f t="shared" si="72"/>
        <v/>
      </c>
      <c r="F963" s="21" t="str">
        <f>IF(OR(E963="",E963="!!!"),"",IF(NOT(ISNA(VLOOKUP(E963,E$1:E962,1,FALSE()))),"OLD",IF(AND(E963&lt;&gt;"",E963&lt;&gt;"!!!"),"NEW","")))</f>
        <v/>
      </c>
      <c r="G963" s="22" t="str">
        <f>IF(OR(E963="",E963="!!!"),"",IF(OR(J963=0,AND(J963=1,K963=1),AND(J963=1,I963="SBJ"),AND(J963=1,I963=0)),"?IN_FOCUS",IF(J963&lt;=2,"?ACTIVATED",IF(J963&lt;&gt;"","?FAMILIAR",IF(F963="NEW",IF(ISNA(VLOOKUP(E963,#REF!,1,FALSE())),"?TYPE_IDENTIFIABLE","?REFERENTIAL"),"_")))))</f>
        <v/>
      </c>
      <c r="H963" s="23" t="str">
        <f t="shared" ca="1" si="73"/>
        <v/>
      </c>
      <c r="I963" s="24" t="str">
        <f>IF(OR(E963="",E963="!!!",F963="NEW"),"",INDEX(B$2:B962,-1+SUMPRODUCT(MAX(ROW(E$2:E962)*(E963=E$2:E962)))))</f>
        <v/>
      </c>
      <c r="J963" s="24" t="str">
        <f ca="1">IF(OR(E963="",E963="!!!",F963="NEW"),"",COUNTBLANK(OFFSET(A$1,,,SUMPRODUCT(MAX(ROW(E$2:E963)*(E963=E$2:E963)))))-COUNTBLANK(OFFSET(A$1,,,SUMPRODUCT(MAX(ROW(E$1:E962)*(E2=E$1:E962))))))</f>
        <v/>
      </c>
      <c r="K963" s="24" t="str">
        <f>IF(OR(E963="",E963="!!!",F963="NEW"),"",INDEX(J$1:J962,SUMPRODUCT(MAX(ROW(E$1:E962)*(E963=E$1:E962)))))</f>
        <v/>
      </c>
      <c r="L963" s="25"/>
    </row>
    <row r="964" spans="1:12" x14ac:dyDescent="0.3">
      <c r="A964" t="s">
        <v>607</v>
      </c>
      <c r="E964" s="20" t="str">
        <f t="shared" si="72"/>
        <v/>
      </c>
      <c r="F964" s="21" t="str">
        <f>IF(OR(E964="",E964="!!!"),"",IF(NOT(ISNA(VLOOKUP(E964,E$1:E963,1,FALSE()))),"OLD",IF(AND(E964&lt;&gt;"",E964&lt;&gt;"!!!"),"NEW","")))</f>
        <v/>
      </c>
      <c r="G964" s="22" t="str">
        <f>IF(OR(E964="",E964="!!!"),"",IF(OR(J964=0,AND(J964=1,K964=1),AND(J964=1,I964="SBJ"),AND(J964=1,I964=0)),"?IN_FOCUS",IF(J964&lt;=2,"?ACTIVATED",IF(J964&lt;&gt;"","?FAMILIAR",IF(F964="NEW",IF(ISNA(VLOOKUP(E964,#REF!,1,FALSE())),"?TYPE_IDENTIFIABLE","?REFERENTIAL"),"_")))))</f>
        <v/>
      </c>
      <c r="H964" s="23" t="str">
        <f t="shared" ca="1" si="73"/>
        <v/>
      </c>
      <c r="I964" s="24" t="str">
        <f>IF(OR(E964="",E964="!!!",F964="NEW"),"",INDEX(B$2:B963,-1+SUMPRODUCT(MAX(ROW(E$2:E963)*(E964=E$2:E963)))))</f>
        <v/>
      </c>
      <c r="J964" s="24" t="str">
        <f ca="1">IF(OR(E964="",E964="!!!",F964="NEW"),"",COUNTBLANK(OFFSET(A$1,,,SUMPRODUCT(MAX(ROW(E$2:E964)*(E964=E$2:E964)))))-COUNTBLANK(OFFSET(A$1,,,SUMPRODUCT(MAX(ROW(E$1:E963)*(E2=E$1:E963))))))</f>
        <v/>
      </c>
      <c r="K964" s="24" t="str">
        <f>IF(OR(E964="",E964="!!!",F964="NEW"),"",INDEX(J$1:J963,SUMPRODUCT(MAX(ROW(E$1:E963)*(E964=E$1:E963)))))</f>
        <v/>
      </c>
      <c r="L964" s="25"/>
    </row>
    <row r="965" spans="1:12" x14ac:dyDescent="0.3">
      <c r="A965" t="s">
        <v>569</v>
      </c>
      <c r="B965" s="26" t="s">
        <v>233</v>
      </c>
      <c r="C965" s="26" t="s">
        <v>230</v>
      </c>
      <c r="D965" s="26" t="s">
        <v>215</v>
      </c>
      <c r="E965" s="20"/>
      <c r="F965" s="21" t="s">
        <v>653</v>
      </c>
      <c r="G965" s="22" t="str">
        <f>IF(OR(E965="",E965="!!!"),"",IF(OR(J965=0,AND(J965=1,K965=1),AND(J965=1,I965="SBJ"),AND(J965=1,I965=0)),"?IN_FOCUS",IF(J965&lt;=2,"?ACTIVATED",IF(J965&lt;&gt;"","?FAMILIAR",IF(F965="NEW",IF(ISNA(VLOOKUP(E965,#REF!,1,FALSE())),"?TYPE_IDENTIFIABLE","?REFERENTIAL"),"_")))))</f>
        <v/>
      </c>
      <c r="H965" s="23" t="str">
        <f t="shared" ca="1" si="73"/>
        <v/>
      </c>
      <c r="I965" s="24" t="str">
        <f>IF(OR(E965="",E965="!!!",F965="NEW"),"",INDEX(B$2:B964,-1+SUMPRODUCT(MAX(ROW(E$2:E964)*(E965=E$2:E964)))))</f>
        <v/>
      </c>
      <c r="J965" s="24" t="str">
        <f ca="1">IF(OR(E965="",E965="!!!",F965="NEW"),"",COUNTBLANK(OFFSET(A$1,,,SUMPRODUCT(MAX(ROW(E$2:E965)*(E965=E$2:E965)))))-COUNTBLANK(OFFSET(A$1,,,SUMPRODUCT(MAX(ROW(E$1:E964)*(E2=E$1:E964))))))</f>
        <v/>
      </c>
      <c r="K965" s="24" t="str">
        <f>IF(OR(E965="",E965="!!!",F965="NEW"),"",INDEX(J$1:J964,SUMPRODUCT(MAX(ROW(E$1:E964)*(E965=E$1:E964)))))</f>
        <v/>
      </c>
      <c r="L965" s="25"/>
    </row>
    <row r="966" spans="1:12" x14ac:dyDescent="0.3">
      <c r="A966" t="s">
        <v>207</v>
      </c>
      <c r="E966" s="20" t="str">
        <f t="shared" si="72"/>
        <v/>
      </c>
      <c r="F966" s="21" t="str">
        <f>IF(OR(E966="",E966="!!!"),"",IF(NOT(ISNA(VLOOKUP(E966,E$1:E965,1,FALSE()))),"OLD",IF(AND(E966&lt;&gt;"",E966&lt;&gt;"!!!"),"NEW","")))</f>
        <v/>
      </c>
      <c r="G966" s="22" t="str">
        <f>IF(OR(E966="",E966="!!!"),"",IF(OR(J966=0,AND(J966=1,K966=1),AND(J966=1,I966="SBJ"),AND(J966=1,I966=0)),"?IN_FOCUS",IF(J966&lt;=2,"?ACTIVATED",IF(J966&lt;&gt;"","?FAMILIAR",IF(F966="NEW",IF(ISNA(VLOOKUP(E966,#REF!,1,FALSE())),"?TYPE_IDENTIFIABLE","?REFERENTIAL"),"_")))))</f>
        <v/>
      </c>
      <c r="H966" s="23" t="str">
        <f t="shared" ca="1" si="73"/>
        <v/>
      </c>
      <c r="I966" s="24" t="str">
        <f>IF(OR(E966="",E966="!!!",F966="NEW"),"",INDEX(B$2:B965,-1+SUMPRODUCT(MAX(ROW(E$2:E965)*(E966=E$2:E965)))))</f>
        <v/>
      </c>
      <c r="J966" s="24" t="str">
        <f ca="1">IF(OR(E966="",E966="!!!",F966="NEW"),"",COUNTBLANK(OFFSET(A$1,,,SUMPRODUCT(MAX(ROW(E$2:E966)*(E966=E$2:E966)))))-COUNTBLANK(OFFSET(A$1,,,SUMPRODUCT(MAX(ROW(E$1:E965)*(E2=E$1:E965))))))</f>
        <v/>
      </c>
      <c r="K966" s="24" t="str">
        <f>IF(OR(E966="",E966="!!!",F966="NEW"),"",INDEX(J$1:J965,SUMPRODUCT(MAX(ROW(E$1:E965)*(E966=E$1:E965)))))</f>
        <v/>
      </c>
      <c r="L966" s="25"/>
    </row>
    <row r="967" spans="1:12" x14ac:dyDescent="0.3">
      <c r="A967" t="s">
        <v>608</v>
      </c>
      <c r="B967" s="26" t="s">
        <v>325</v>
      </c>
      <c r="C967" s="26" t="s">
        <v>226</v>
      </c>
      <c r="E967" s="20" t="str">
        <f t="shared" si="72"/>
        <v/>
      </c>
      <c r="F967" s="21" t="str">
        <f>IF(OR(E967="",E967="!!!"),"",IF(NOT(ISNA(VLOOKUP(E967,E$1:E966,1,FALSE()))),"OLD",IF(AND(E967&lt;&gt;"",E967&lt;&gt;"!!!"),"NEW","")))</f>
        <v/>
      </c>
      <c r="G967" s="22" t="str">
        <f>IF(OR(E967="",E967="!!!"),"",IF(OR(J967=0,AND(J967=1,K967=1),AND(J967=1,I967="SBJ"),AND(J967=1,I967=0)),"?IN_FOCUS",IF(J967&lt;=2,"?ACTIVATED",IF(J967&lt;&gt;"","?FAMILIAR",IF(F967="NEW",IF(ISNA(VLOOKUP(E967,#REF!,1,FALSE())),"?TYPE_IDENTIFIABLE","?REFERENTIAL"),"_")))))</f>
        <v/>
      </c>
      <c r="H967" s="23" t="str">
        <f t="shared" ca="1" si="73"/>
        <v/>
      </c>
      <c r="I967" s="24" t="str">
        <f>IF(OR(E967="",E967="!!!",F967="NEW"),"",INDEX(B$2:B966,-1+SUMPRODUCT(MAX(ROW(E$2:E966)*(E967=E$2:E966)))))</f>
        <v/>
      </c>
      <c r="J967" s="24" t="str">
        <f ca="1">IF(OR(E967="",E967="!!!",F967="NEW"),"",COUNTBLANK(OFFSET(A$1,,,SUMPRODUCT(MAX(ROW(E$2:E967)*(E967=E$2:E967)))))-COUNTBLANK(OFFSET(A$1,,,SUMPRODUCT(MAX(ROW(E$1:E966)*(E2=E$1:E966))))))</f>
        <v/>
      </c>
      <c r="K967" s="24" t="str">
        <f>IF(OR(E967="",E967="!!!",F967="NEW"),"",INDEX(J$1:J966,SUMPRODUCT(MAX(ROW(E$1:E966)*(E967=E$1:E966)))))</f>
        <v/>
      </c>
      <c r="L967" s="25"/>
    </row>
    <row r="968" spans="1:12" x14ac:dyDescent="0.3">
      <c r="A968" t="s">
        <v>287</v>
      </c>
      <c r="E968" s="20" t="str">
        <f t="shared" si="72"/>
        <v/>
      </c>
      <c r="F968" s="21" t="str">
        <f>IF(OR(E968="",E968="!!!"),"",IF(NOT(ISNA(VLOOKUP(E968,E$1:E967,1,FALSE()))),"OLD",IF(AND(E968&lt;&gt;"",E968&lt;&gt;"!!!"),"NEW","")))</f>
        <v/>
      </c>
      <c r="G968" s="22" t="str">
        <f>IF(OR(E968="",E968="!!!"),"",IF(OR(J968=0,AND(J968=1,K968=1),AND(J968=1,I968="SBJ"),AND(J968=1,I968=0)),"?IN_FOCUS",IF(J968&lt;=2,"?ACTIVATED",IF(J968&lt;&gt;"","?FAMILIAR",IF(F968="NEW",IF(ISNA(VLOOKUP(E968,#REF!,1,FALSE())),"?TYPE_IDENTIFIABLE","?REFERENTIAL"),"_")))))</f>
        <v/>
      </c>
      <c r="H968" s="23" t="str">
        <f t="shared" ca="1" si="73"/>
        <v/>
      </c>
      <c r="I968" s="24" t="str">
        <f>IF(OR(E968="",E968="!!!",F968="NEW"),"",INDEX(B$2:B967,-1+SUMPRODUCT(MAX(ROW(E$2:E967)*(E968=E$2:E967)))))</f>
        <v/>
      </c>
      <c r="J968" s="24" t="str">
        <f ca="1">IF(OR(E968="",E968="!!!",F968="NEW"),"",COUNTBLANK(OFFSET(A$1,,,SUMPRODUCT(MAX(ROW(E$2:E968)*(E968=E$2:E968)))))-COUNTBLANK(OFFSET(A$1,,,SUMPRODUCT(MAX(ROW(E$1:E967)*(E2=E$1:E967))))))</f>
        <v/>
      </c>
      <c r="K968" s="24" t="str">
        <f>IF(OR(E968="",E968="!!!",F968="NEW"),"",INDEX(J$1:J967,SUMPRODUCT(MAX(ROW(E$1:E967)*(E968=E$1:E967)))))</f>
        <v/>
      </c>
      <c r="L968" s="25"/>
    </row>
    <row r="969" spans="1:12" x14ac:dyDescent="0.3">
      <c r="A969" t="s">
        <v>609</v>
      </c>
      <c r="E969" s="20" t="str">
        <f t="shared" si="72"/>
        <v/>
      </c>
      <c r="F969" s="21" t="str">
        <f>IF(OR(E969="",E969="!!!"),"",IF(NOT(ISNA(VLOOKUP(E969,E$1:E968,1,FALSE()))),"OLD",IF(AND(E969&lt;&gt;"",E969&lt;&gt;"!!!"),"NEW","")))</f>
        <v/>
      </c>
      <c r="G969" s="22" t="str">
        <f>IF(OR(E969="",E969="!!!"),"",IF(OR(J969=0,AND(J969=1,K969=1),AND(J969=1,I969="SBJ"),AND(J969=1,I969=0)),"?IN_FOCUS",IF(J969&lt;=2,"?ACTIVATED",IF(J969&lt;&gt;"","?FAMILIAR",IF(F969="NEW",IF(ISNA(VLOOKUP(E969,#REF!,1,FALSE())),"?TYPE_IDENTIFIABLE","?REFERENTIAL"),"_")))))</f>
        <v/>
      </c>
      <c r="H969" s="23" t="str">
        <f t="shared" ca="1" si="73"/>
        <v/>
      </c>
      <c r="I969" s="24" t="str">
        <f>IF(OR(E969="",E969="!!!",F969="NEW"),"",INDEX(B$2:B968,-1+SUMPRODUCT(MAX(ROW(E$2:E968)*(E969=E$2:E968)))))</f>
        <v/>
      </c>
      <c r="J969" s="24" t="str">
        <f ca="1">IF(OR(E969="",E969="!!!",F969="NEW"),"",COUNTBLANK(OFFSET(A$1,,,SUMPRODUCT(MAX(ROW(E$2:E969)*(E969=E$2:E969)))))-COUNTBLANK(OFFSET(A$1,,,SUMPRODUCT(MAX(ROW(E$1:E968)*(E2=E$1:E968))))))</f>
        <v/>
      </c>
      <c r="K969" s="24" t="str">
        <f>IF(OR(E969="",E969="!!!",F969="NEW"),"",INDEX(J$1:J968,SUMPRODUCT(MAX(ROW(E$1:E968)*(E969=E$1:E968)))))</f>
        <v/>
      </c>
      <c r="L969" s="25"/>
    </row>
    <row r="970" spans="1:12" x14ac:dyDescent="0.3">
      <c r="A970" t="s">
        <v>569</v>
      </c>
      <c r="B970" s="26" t="s">
        <v>328</v>
      </c>
      <c r="C970" s="26" t="s">
        <v>230</v>
      </c>
      <c r="D970" s="26" t="s">
        <v>215</v>
      </c>
      <c r="E970" s="20"/>
      <c r="F970" s="21" t="s">
        <v>653</v>
      </c>
      <c r="G970" s="22" t="str">
        <f>IF(OR(E970="",E970="!!!"),"",IF(OR(J970=0,AND(J970=1,K970=1),AND(J970=1,I970="SBJ"),AND(J970=1,I970=0)),"?IN_FOCUS",IF(J970&lt;=2,"?ACTIVATED",IF(J970&lt;&gt;"","?FAMILIAR",IF(F970="NEW",IF(ISNA(VLOOKUP(E970,#REF!,1,FALSE())),"?TYPE_IDENTIFIABLE","?REFERENTIAL"),"_")))))</f>
        <v/>
      </c>
      <c r="H970" s="23" t="str">
        <f t="shared" ca="1" si="73"/>
        <v/>
      </c>
      <c r="I970" s="24" t="str">
        <f>IF(OR(E970="",E970="!!!",F970="NEW"),"",INDEX(B$2:B969,-1+SUMPRODUCT(MAX(ROW(E$2:E969)*(E970=E$2:E969)))))</f>
        <v/>
      </c>
      <c r="J970" s="24" t="str">
        <f ca="1">IF(OR(E970="",E970="!!!",F970="NEW"),"",COUNTBLANK(OFFSET(A$1,,,SUMPRODUCT(MAX(ROW(E$2:E970)*(E970=E$2:E970)))))-COUNTBLANK(OFFSET(A$1,,,SUMPRODUCT(MAX(ROW(E$1:E969)*(E2=E$1:E969))))))</f>
        <v/>
      </c>
      <c r="K970" s="24" t="str">
        <f>IF(OR(E970="",E970="!!!",F970="NEW"),"",INDEX(J$1:J969,SUMPRODUCT(MAX(ROW(E$1:E969)*(E970=E$1:E969)))))</f>
        <v/>
      </c>
      <c r="L970" s="25"/>
    </row>
    <row r="971" spans="1:12" x14ac:dyDescent="0.3">
      <c r="A971" t="s">
        <v>234</v>
      </c>
      <c r="E971" s="20" t="str">
        <f t="shared" si="72"/>
        <v/>
      </c>
      <c r="F971" s="21" t="str">
        <f>IF(OR(E971="",E971="!!!"),"",IF(NOT(ISNA(VLOOKUP(E971,E$1:E970,1,FALSE()))),"OLD",IF(AND(E971&lt;&gt;"",E971&lt;&gt;"!!!"),"NEW","")))</f>
        <v/>
      </c>
      <c r="G971" s="22" t="str">
        <f>IF(OR(E971="",E971="!!!"),"",IF(OR(J971=0,AND(J971=1,K971=1),AND(J971=1,I971="SBJ"),AND(J971=1,I971=0)),"?IN_FOCUS",IF(J971&lt;=2,"?ACTIVATED",IF(J971&lt;&gt;"","?FAMILIAR",IF(F971="NEW",IF(ISNA(VLOOKUP(E971,#REF!,1,FALSE())),"?TYPE_IDENTIFIABLE","?REFERENTIAL"),"_")))))</f>
        <v/>
      </c>
      <c r="H971" s="23" t="str">
        <f t="shared" ca="1" si="73"/>
        <v/>
      </c>
      <c r="I971" s="24" t="str">
        <f>IF(OR(E971="",E971="!!!",F971="NEW"),"",INDEX(B$2:B970,-1+SUMPRODUCT(MAX(ROW(E$2:E970)*(E971=E$2:E970)))))</f>
        <v/>
      </c>
      <c r="J971" s="24" t="str">
        <f ca="1">IF(OR(E971="",E971="!!!",F971="NEW"),"",COUNTBLANK(OFFSET(A$1,,,SUMPRODUCT(MAX(ROW(E$2:E971)*(E971=E$2:E971)))))-COUNTBLANK(OFFSET(A$1,,,SUMPRODUCT(MAX(ROW(E$1:E970)*(E2=E$1:E970))))))</f>
        <v/>
      </c>
      <c r="K971" s="24" t="str">
        <f>IF(OR(E971="",E971="!!!",F971="NEW"),"",INDEX(J$1:J970,SUMPRODUCT(MAX(ROW(E$1:E970)*(E971=E$1:E970)))))</f>
        <v/>
      </c>
      <c r="L971" s="25"/>
    </row>
    <row r="973" spans="1:12" x14ac:dyDescent="0.3">
      <c r="A973" t="s">
        <v>610</v>
      </c>
    </row>
    <row r="974" spans="1:12" x14ac:dyDescent="0.3">
      <c r="A974" t="s">
        <v>236</v>
      </c>
      <c r="E974" s="20" t="str">
        <f t="shared" ref="E974:E987" si="74">IF(D974="?OLD","!!!","")</f>
        <v/>
      </c>
      <c r="F974" s="21" t="str">
        <f>IF(OR(E974="",E974="!!!"),"",IF(NOT(ISNA(VLOOKUP(E974,E$1:E973,1,FALSE()))),"OLD",IF(AND(E974&lt;&gt;"",E974&lt;&gt;"!!!"),"NEW","")))</f>
        <v/>
      </c>
      <c r="G974" s="22" t="str">
        <f>IF(OR(E974="",E974="!!!"),"",IF(OR(J974=0,AND(J974=1,K974=1),AND(J974=1,I974="SBJ"),AND(J974=1,I974=0)),"?IN_FOCUS",IF(J974&lt;=2,"?ACTIVATED",IF(J974&lt;&gt;"","?FAMILIAR",IF(F974="NEW",IF(ISNA(VLOOKUP(E974,#REF!,1,FALSE())),"?TYPE_IDENTIFIABLE","?REFERENTIAL"),"_")))))</f>
        <v/>
      </c>
      <c r="H974" s="23" t="str">
        <f t="shared" ref="H974:H987" ca="1" si="75">IF(J974&lt;&gt;1,"",IF(I974="SBJ","CB","?"))</f>
        <v/>
      </c>
      <c r="I974" s="24" t="str">
        <f>IF(OR(E974="",E974="!!!",F974="NEW"),"",INDEX(B$2:B973,-1+SUMPRODUCT(MAX(ROW(E$2:E973)*(E974=E$2:E973)))))</f>
        <v/>
      </c>
      <c r="J974" s="24" t="str">
        <f ca="1">IF(OR(E974="",E974="!!!",F974="NEW"),"",COUNTBLANK(OFFSET(A$1,,,SUMPRODUCT(MAX(ROW(E$2:E974)*(E974=E$2:E974)))))-COUNTBLANK(OFFSET(A$1,,,SUMPRODUCT(MAX(ROW(E$1:E973)*(E2=E$1:E973))))))</f>
        <v/>
      </c>
      <c r="K974" s="24" t="str">
        <f>IF(OR(E974="",E974="!!!",F974="NEW"),"",INDEX(J$1:J973,SUMPRODUCT(MAX(ROW(E$1:E973)*(E974=E$1:E973)))))</f>
        <v/>
      </c>
      <c r="L974" s="25"/>
    </row>
    <row r="975" spans="1:12" x14ac:dyDescent="0.3">
      <c r="A975" t="s">
        <v>274</v>
      </c>
      <c r="E975" s="20" t="str">
        <f t="shared" si="74"/>
        <v/>
      </c>
      <c r="F975" s="21" t="str">
        <f>IF(OR(E975="",E975="!!!"),"",IF(NOT(ISNA(VLOOKUP(E975,E$1:E974,1,FALSE()))),"OLD",IF(AND(E975&lt;&gt;"",E975&lt;&gt;"!!!"),"NEW","")))</f>
        <v/>
      </c>
      <c r="G975" s="22" t="str">
        <f>IF(OR(E975="",E975="!!!"),"",IF(OR(J975=0,AND(J975=1,K975=1),AND(J975=1,I975="SBJ"),AND(J975=1,I975=0)),"?IN_FOCUS",IF(J975&lt;=2,"?ACTIVATED",IF(J975&lt;&gt;"","?FAMILIAR",IF(F975="NEW",IF(ISNA(VLOOKUP(E975,#REF!,1,FALSE())),"?TYPE_IDENTIFIABLE","?REFERENTIAL"),"_")))))</f>
        <v/>
      </c>
      <c r="H975" s="23" t="str">
        <f t="shared" ca="1" si="75"/>
        <v/>
      </c>
      <c r="I975" s="24" t="str">
        <f>IF(OR(E975="",E975="!!!",F975="NEW"),"",INDEX(B$2:B974,-1+SUMPRODUCT(MAX(ROW(E$2:E974)*(E975=E$2:E974)))))</f>
        <v/>
      </c>
      <c r="J975" s="24" t="str">
        <f ca="1">IF(OR(E975="",E975="!!!",F975="NEW"),"",COUNTBLANK(OFFSET(A$1,,,SUMPRODUCT(MAX(ROW(E$2:E975)*(E975=E$2:E975)))))-COUNTBLANK(OFFSET(A$1,,,SUMPRODUCT(MAX(ROW(E$1:E974)*(E2=E$1:E974))))))</f>
        <v/>
      </c>
      <c r="K975" s="24" t="str">
        <f>IF(OR(E975="",E975="!!!",F975="NEW"),"",INDEX(J$1:J974,SUMPRODUCT(MAX(ROW(E$1:E974)*(E975=E$1:E974)))))</f>
        <v/>
      </c>
      <c r="L975" s="25"/>
    </row>
    <row r="976" spans="1:12" x14ac:dyDescent="0.3">
      <c r="A976" t="s">
        <v>290</v>
      </c>
      <c r="B976" s="26" t="s">
        <v>205</v>
      </c>
      <c r="C976" s="26" t="s">
        <v>214</v>
      </c>
      <c r="D976" s="26" t="s">
        <v>215</v>
      </c>
      <c r="E976" s="20" t="s">
        <v>669</v>
      </c>
      <c r="F976" s="21" t="str">
        <f>IF(OR(E976="",E976="!!!"),"",IF(NOT(ISNA(VLOOKUP(E976,E$1:E975,1,FALSE()))),"OLD",IF(AND(E976&lt;&gt;"",E976&lt;&gt;"!!!"),"NEW","")))</f>
        <v>OLD</v>
      </c>
      <c r="G976" s="22" t="s">
        <v>657</v>
      </c>
      <c r="H976" s="23" t="str">
        <f t="shared" ca="1" si="75"/>
        <v/>
      </c>
      <c r="I976" s="24" t="str">
        <f>IF(OR(E976="",E976="!!!",F976="NEW"),"",INDEX(B$2:B975,-1+SUMPRODUCT(MAX(ROW(E$2:E975)*(E976=E$2:E975)))))</f>
        <v>other_2</v>
      </c>
      <c r="J976" s="24">
        <f ca="1">IF(OR(E976="",E976="!!!",F976="NEW"),"",COUNTBLANK(OFFSET(A$1,,,SUMPRODUCT(MAX(ROW(E$2:E976)*(E976=E$2:E976)))))-COUNTBLANK(OFFSET(A$1,,,SUMPRODUCT(MAX(ROW(E$1:E975)*(E2=E$1:E975))))))</f>
        <v>0</v>
      </c>
      <c r="K976" s="24">
        <f ca="1">IF(OR(E976="",E976="!!!",F976="NEW"),"",INDEX(J$1:J975,SUMPRODUCT(MAX(ROW(E$1:E975)*(E976=E$1:E975)))))</f>
        <v>0</v>
      </c>
      <c r="L976" s="25"/>
    </row>
    <row r="977" spans="1:12" x14ac:dyDescent="0.3">
      <c r="A977" t="s">
        <v>207</v>
      </c>
      <c r="E977" s="20" t="str">
        <f t="shared" si="74"/>
        <v/>
      </c>
      <c r="F977" s="21" t="str">
        <f>IF(OR(E977="",E977="!!!"),"",IF(NOT(ISNA(VLOOKUP(E977,E$1:E976,1,FALSE()))),"OLD",IF(AND(E977&lt;&gt;"",E977&lt;&gt;"!!!"),"NEW","")))</f>
        <v/>
      </c>
      <c r="G977" s="22" t="str">
        <f>IF(OR(E977="",E977="!!!"),"",IF(OR(J977=0,AND(J977=1,K977=1),AND(J977=1,I977="SBJ"),AND(J977=1,I977=0)),"?IN_FOCUS",IF(J977&lt;=2,"?ACTIVATED",IF(J977&lt;&gt;"","?FAMILIAR",IF(F977="NEW",IF(ISNA(VLOOKUP(E977,#REF!,1,FALSE())),"?TYPE_IDENTIFIABLE","?REFERENTIAL"),"_")))))</f>
        <v/>
      </c>
      <c r="H977" s="23" t="str">
        <f t="shared" ca="1" si="75"/>
        <v/>
      </c>
      <c r="I977" s="24" t="str">
        <f>IF(OR(E977="",E977="!!!",F977="NEW"),"",INDEX(B$2:B976,-1+SUMPRODUCT(MAX(ROW(E$2:E976)*(E977=E$2:E976)))))</f>
        <v/>
      </c>
      <c r="J977" s="24" t="str">
        <f ca="1">IF(OR(E977="",E977="!!!",F977="NEW"),"",COUNTBLANK(OFFSET(A$1,,,SUMPRODUCT(MAX(ROW(E$2:E977)*(E977=E$2:E977)))))-COUNTBLANK(OFFSET(A$1,,,SUMPRODUCT(MAX(ROW(E$1:E976)*(E2=E$1:E976))))))</f>
        <v/>
      </c>
      <c r="K977" s="24" t="str">
        <f>IF(OR(E977="",E977="!!!",F977="NEW"),"",INDEX(J$1:J976,SUMPRODUCT(MAX(ROW(E$1:E976)*(E977=E$1:E976)))))</f>
        <v/>
      </c>
      <c r="L977" s="25"/>
    </row>
    <row r="978" spans="1:12" x14ac:dyDescent="0.3">
      <c r="A978" t="s">
        <v>188</v>
      </c>
      <c r="B978" s="26" t="s">
        <v>213</v>
      </c>
      <c r="C978" s="26" t="s">
        <v>226</v>
      </c>
      <c r="E978" s="20" t="s">
        <v>188</v>
      </c>
      <c r="F978" s="21" t="str">
        <f>IF(OR(E978="",E978="!!!"),"",IF(NOT(ISNA(VLOOKUP(E978,E$1:E977,1,FALSE()))),"OLD",IF(AND(E978&lt;&gt;"",E978&lt;&gt;"!!!"),"NEW","")))</f>
        <v>OLD</v>
      </c>
      <c r="G978" s="22" t="s">
        <v>657</v>
      </c>
      <c r="H978" s="23" t="s">
        <v>198</v>
      </c>
      <c r="I978" s="24" t="str">
        <f>IF(OR(E978="",E978="!!!",F978="NEW"),"",INDEX(B$2:B977,-1+SUMPRODUCT(MAX(ROW(E$2:E977)*(E978=E$2:E977)))))</f>
        <v>SBJ_2</v>
      </c>
      <c r="J978" s="24">
        <f ca="1">IF(OR(E978="",E978="!!!",F978="NEW"),"",COUNTBLANK(OFFSET(A$1,,,SUMPRODUCT(MAX(ROW(E$2:E978)*(E978=E$2:E978)))))-COUNTBLANK(OFFSET(A$1,,,SUMPRODUCT(MAX(ROW(E$1:E977)*(E2=E$1:E977))))))</f>
        <v>0</v>
      </c>
      <c r="K978" s="24">
        <f ca="1">IF(OR(E978="",E978="!!!",F978="NEW"),"",INDEX(J$1:J977,SUMPRODUCT(MAX(ROW(E$1:E977)*(E978=E$1:E977)))))</f>
        <v>0</v>
      </c>
      <c r="L978" s="25"/>
    </row>
    <row r="979" spans="1:12" x14ac:dyDescent="0.3">
      <c r="A979" t="s">
        <v>611</v>
      </c>
      <c r="E979" s="20" t="str">
        <f t="shared" si="74"/>
        <v/>
      </c>
      <c r="F979" s="21" t="str">
        <f>IF(OR(E979="",E979="!!!"),"",IF(NOT(ISNA(VLOOKUP(E979,E$1:E978,1,FALSE()))),"OLD",IF(AND(E979&lt;&gt;"",E979&lt;&gt;"!!!"),"NEW","")))</f>
        <v/>
      </c>
      <c r="G979" s="22" t="str">
        <f>IF(OR(E979="",E979="!!!"),"",IF(OR(J979=0,AND(J979=1,K979=1),AND(J979=1,I979="SBJ"),AND(J979=1,I979=0)),"?IN_FOCUS",IF(J979&lt;=2,"?ACTIVATED",IF(J979&lt;&gt;"","?FAMILIAR",IF(F979="NEW",IF(ISNA(VLOOKUP(E979,#REF!,1,FALSE())),"?TYPE_IDENTIFIABLE","?REFERENTIAL"),"_")))))</f>
        <v/>
      </c>
      <c r="H979" s="23" t="str">
        <f t="shared" ca="1" si="75"/>
        <v/>
      </c>
      <c r="I979" s="24" t="str">
        <f>IF(OR(E979="",E979="!!!",F979="NEW"),"",INDEX(B$2:B978,-1+SUMPRODUCT(MAX(ROW(E$2:E978)*(E979=E$2:E978)))))</f>
        <v/>
      </c>
      <c r="J979" s="24" t="str">
        <f ca="1">IF(OR(E979="",E979="!!!",F979="NEW"),"",COUNTBLANK(OFFSET(A$1,,,SUMPRODUCT(MAX(ROW(E$2:E979)*(E979=E$2:E979)))))-COUNTBLANK(OFFSET(A$1,,,SUMPRODUCT(MAX(ROW(E$1:E978)*(E2=E$1:E978))))))</f>
        <v/>
      </c>
      <c r="K979" s="24" t="str">
        <f>IF(OR(E979="",E979="!!!",F979="NEW"),"",INDEX(J$1:J978,SUMPRODUCT(MAX(ROW(E$1:E978)*(E979=E$1:E978)))))</f>
        <v/>
      </c>
      <c r="L979" s="25"/>
    </row>
    <row r="980" spans="1:12" x14ac:dyDescent="0.3">
      <c r="A980" t="s">
        <v>423</v>
      </c>
      <c r="B980" s="26" t="s">
        <v>261</v>
      </c>
      <c r="C980" s="26" t="s">
        <v>230</v>
      </c>
      <c r="D980" s="26" t="s">
        <v>215</v>
      </c>
      <c r="E980" s="20" t="s">
        <v>669</v>
      </c>
      <c r="F980" s="21" t="str">
        <f>IF(OR(E980="",E980="!!!"),"",IF(NOT(ISNA(VLOOKUP(E980,E$1:E979,1,FALSE()))),"OLD",IF(AND(E980&lt;&gt;"",E980&lt;&gt;"!!!"),"NEW","")))</f>
        <v>OLD</v>
      </c>
      <c r="G980" s="22" t="str">
        <f ca="1">IF(OR(E980="",E980="!!!"),"",IF(OR(J980=0,AND(J980=1,K980=1),AND(J980=1,I980="SBJ"),AND(J980=1,I980=0)),"?IN_FOCUS",IF(J980&lt;=2,"?ACTIVATED",IF(J980&lt;&gt;"","?FAMILIAR",IF(F980="NEW",IF(ISNA(VLOOKUP(E980,#REF!,1,FALSE())),"?TYPE_IDENTIFIABLE","?REFERENTIAL"),"_")))))</f>
        <v>?IN_FOCUS</v>
      </c>
      <c r="H980" s="23" t="str">
        <f t="shared" ca="1" si="75"/>
        <v/>
      </c>
      <c r="I980" s="24" t="str">
        <f>IF(OR(E980="",E980="!!!",F980="NEW"),"",INDEX(B$2:B979,-1+SUMPRODUCT(MAX(ROW(E$2:E979)*(E980=E$2:E979)))))</f>
        <v>other</v>
      </c>
      <c r="J980" s="24">
        <f ca="1">IF(OR(E980="",E980="!!!",F980="NEW"),"",COUNTBLANK(OFFSET(A$1,,,SUMPRODUCT(MAX(ROW(E$2:E980)*(E980=E$2:E980)))))-COUNTBLANK(OFFSET(A$1,,,SUMPRODUCT(MAX(ROW(E$1:E979)*(E2=E$1:E979))))))</f>
        <v>0</v>
      </c>
      <c r="K980" s="24">
        <f ca="1">IF(OR(E980="",E980="!!!",F980="NEW"),"",INDEX(J$1:J979,SUMPRODUCT(MAX(ROW(E$1:E979)*(E980=E$1:E979)))))</f>
        <v>0</v>
      </c>
      <c r="L980" s="25"/>
    </row>
    <row r="981" spans="1:12" x14ac:dyDescent="0.3">
      <c r="A981" t="s">
        <v>612</v>
      </c>
      <c r="E981" s="20" t="str">
        <f t="shared" si="74"/>
        <v/>
      </c>
      <c r="F981" s="21" t="str">
        <f>IF(OR(E981="",E981="!!!"),"",IF(NOT(ISNA(VLOOKUP(E981,E$1:E980,1,FALSE()))),"OLD",IF(AND(E981&lt;&gt;"",E981&lt;&gt;"!!!"),"NEW","")))</f>
        <v/>
      </c>
      <c r="G981" s="22" t="str">
        <f>IF(OR(E981="",E981="!!!"),"",IF(OR(J981=0,AND(J981=1,K981=1),AND(J981=1,I981="SBJ"),AND(J981=1,I981=0)),"?IN_FOCUS",IF(J981&lt;=2,"?ACTIVATED",IF(J981&lt;&gt;"","?FAMILIAR",IF(F981="NEW",IF(ISNA(VLOOKUP(E981,#REF!,1,FALSE())),"?TYPE_IDENTIFIABLE","?REFERENTIAL"),"_")))))</f>
        <v/>
      </c>
      <c r="H981" s="23" t="str">
        <f t="shared" ca="1" si="75"/>
        <v/>
      </c>
      <c r="I981" s="24" t="str">
        <f>IF(OR(E981="",E981="!!!",F981="NEW"),"",INDEX(B$2:B980,-1+SUMPRODUCT(MAX(ROW(E$2:E980)*(E981=E$2:E980)))))</f>
        <v/>
      </c>
      <c r="J981" s="24" t="str">
        <f ca="1">IF(OR(E981="",E981="!!!",F981="NEW"),"",COUNTBLANK(OFFSET(A$1,,,SUMPRODUCT(MAX(ROW(E$2:E981)*(E981=E$2:E981)))))-COUNTBLANK(OFFSET(A$1,,,SUMPRODUCT(MAX(ROW(E$1:E980)*(E2=E$1:E980))))))</f>
        <v/>
      </c>
      <c r="K981" s="24" t="str">
        <f>IF(OR(E981="",E981="!!!",F981="NEW"),"",INDEX(J$1:J980,SUMPRODUCT(MAX(ROW(E$1:E980)*(E981=E$1:E980)))))</f>
        <v/>
      </c>
      <c r="L981" s="25"/>
    </row>
    <row r="982" spans="1:12" x14ac:dyDescent="0.3">
      <c r="A982" t="s">
        <v>279</v>
      </c>
      <c r="E982" s="20" t="str">
        <f t="shared" si="74"/>
        <v/>
      </c>
      <c r="F982" s="21" t="str">
        <f>IF(OR(E982="",E982="!!!"),"",IF(NOT(ISNA(VLOOKUP(E982,E$1:E981,1,FALSE()))),"OLD",IF(AND(E982&lt;&gt;"",E982&lt;&gt;"!!!"),"NEW","")))</f>
        <v/>
      </c>
      <c r="G982" s="22" t="str">
        <f>IF(OR(E982="",E982="!!!"),"",IF(OR(J982=0,AND(J982=1,K982=1),AND(J982=1,I982="SBJ"),AND(J982=1,I982=0)),"?IN_FOCUS",IF(J982&lt;=2,"?ACTIVATED",IF(J982&lt;&gt;"","?FAMILIAR",IF(F982="NEW",IF(ISNA(VLOOKUP(E982,#REF!,1,FALSE())),"?TYPE_IDENTIFIABLE","?REFERENTIAL"),"_")))))</f>
        <v/>
      </c>
      <c r="H982" s="23" t="str">
        <f t="shared" ca="1" si="75"/>
        <v/>
      </c>
      <c r="I982" s="24" t="str">
        <f>IF(OR(E982="",E982="!!!",F982="NEW"),"",INDEX(B$2:B981,-1+SUMPRODUCT(MAX(ROW(E$2:E981)*(E982=E$2:E981)))))</f>
        <v/>
      </c>
      <c r="J982" s="24" t="str">
        <f ca="1">IF(OR(E982="",E982="!!!",F982="NEW"),"",COUNTBLANK(OFFSET(A$1,,,SUMPRODUCT(MAX(ROW(E$2:E982)*(E982=E$2:E982)))))-COUNTBLANK(OFFSET(A$1,,,SUMPRODUCT(MAX(ROW(E$1:E981)*(E2=E$1:E981))))))</f>
        <v/>
      </c>
      <c r="K982" s="24" t="str">
        <f>IF(OR(E982="",E982="!!!",F982="NEW"),"",INDEX(J$1:J981,SUMPRODUCT(MAX(ROW(E$1:E981)*(E982=E$1:E981)))))</f>
        <v/>
      </c>
      <c r="L982" s="25"/>
    </row>
    <row r="983" spans="1:12" x14ac:dyDescent="0.3">
      <c r="A983" t="s">
        <v>238</v>
      </c>
      <c r="E983" s="20" t="str">
        <f t="shared" si="74"/>
        <v/>
      </c>
      <c r="F983" s="21" t="str">
        <f>IF(OR(E983="",E983="!!!"),"",IF(NOT(ISNA(VLOOKUP(E983,E$1:E982,1,FALSE()))),"OLD",IF(AND(E983&lt;&gt;"",E983&lt;&gt;"!!!"),"NEW","")))</f>
        <v/>
      </c>
      <c r="G983" s="22" t="str">
        <f>IF(OR(E983="",E983="!!!"),"",IF(OR(J983=0,AND(J983=1,K983=1),AND(J983=1,I983="SBJ"),AND(J983=1,I983=0)),"?IN_FOCUS",IF(J983&lt;=2,"?ACTIVATED",IF(J983&lt;&gt;"","?FAMILIAR",IF(F983="NEW",IF(ISNA(VLOOKUP(E983,#REF!,1,FALSE())),"?TYPE_IDENTIFIABLE","?REFERENTIAL"),"_")))))</f>
        <v/>
      </c>
      <c r="H983" s="23" t="str">
        <f t="shared" ca="1" si="75"/>
        <v/>
      </c>
      <c r="I983" s="24" t="str">
        <f>IF(OR(E983="",E983="!!!",F983="NEW"),"",INDEX(B$2:B982,-1+SUMPRODUCT(MAX(ROW(E$2:E982)*(E983=E$2:E982)))))</f>
        <v/>
      </c>
      <c r="J983" s="24" t="str">
        <f ca="1">IF(OR(E983="",E983="!!!",F983="NEW"),"",COUNTBLANK(OFFSET(A$1,,,SUMPRODUCT(MAX(ROW(E$2:E983)*(E983=E$2:E983)))))-COUNTBLANK(OFFSET(A$1,,,SUMPRODUCT(MAX(ROW(E$1:E982)*(E2=E$1:E982))))))</f>
        <v/>
      </c>
      <c r="K983" s="24" t="str">
        <f>IF(OR(E983="",E983="!!!",F983="NEW"),"",INDEX(J$1:J982,SUMPRODUCT(MAX(ROW(E$1:E982)*(E983=E$1:E982)))))</f>
        <v/>
      </c>
      <c r="L983" s="25"/>
    </row>
    <row r="984" spans="1:12" x14ac:dyDescent="0.3">
      <c r="A984" t="s">
        <v>613</v>
      </c>
      <c r="B984" s="26" t="s">
        <v>205</v>
      </c>
      <c r="C984" s="26" t="s">
        <v>240</v>
      </c>
      <c r="E984" s="20" t="str">
        <f t="shared" si="74"/>
        <v/>
      </c>
      <c r="F984" s="21" t="str">
        <f>IF(OR(E984="",E984="!!!"),"",IF(NOT(ISNA(VLOOKUP(E984,E$1:E983,1,FALSE()))),"OLD",IF(AND(E984&lt;&gt;"",E984&lt;&gt;"!!!"),"NEW","")))</f>
        <v/>
      </c>
      <c r="G984" s="22" t="str">
        <f>IF(OR(E984="",E984="!!!"),"",IF(OR(J984=0,AND(J984=1,K984=1),AND(J984=1,I984="SBJ"),AND(J984=1,I984=0)),"?IN_FOCUS",IF(J984&lt;=2,"?ACTIVATED",IF(J984&lt;&gt;"","?FAMILIAR",IF(F984="NEW",IF(ISNA(VLOOKUP(E984,#REF!,1,FALSE())),"?TYPE_IDENTIFIABLE","?REFERENTIAL"),"_")))))</f>
        <v/>
      </c>
      <c r="H984" s="23" t="str">
        <f t="shared" ca="1" si="75"/>
        <v/>
      </c>
      <c r="I984" s="24" t="str">
        <f>IF(OR(E984="",E984="!!!",F984="NEW"),"",INDEX(B$2:B983,-1+SUMPRODUCT(MAX(ROW(E$2:E983)*(E984=E$2:E983)))))</f>
        <v/>
      </c>
      <c r="J984" s="24" t="str">
        <f ca="1">IF(OR(E984="",E984="!!!",F984="NEW"),"",COUNTBLANK(OFFSET(A$1,,,SUMPRODUCT(MAX(ROW(E$2:E984)*(E984=E$2:E984)))))-COUNTBLANK(OFFSET(A$1,,,SUMPRODUCT(MAX(ROW(E$1:E983)*(E2=E$1:E983))))))</f>
        <v/>
      </c>
      <c r="K984" s="24" t="str">
        <f>IF(OR(E984="",E984="!!!",F984="NEW"),"",INDEX(J$1:J983,SUMPRODUCT(MAX(ROW(E$1:E983)*(E984=E$1:E983)))))</f>
        <v/>
      </c>
      <c r="L984" s="25"/>
    </row>
    <row r="985" spans="1:12" x14ac:dyDescent="0.3">
      <c r="A985" t="s">
        <v>223</v>
      </c>
      <c r="E985" s="20" t="str">
        <f t="shared" si="74"/>
        <v/>
      </c>
      <c r="F985" s="21" t="str">
        <f>IF(OR(E985="",E985="!!!"),"",IF(NOT(ISNA(VLOOKUP(E985,E$1:E984,1,FALSE()))),"OLD",IF(AND(E985&lt;&gt;"",E985&lt;&gt;"!!!"),"NEW","")))</f>
        <v/>
      </c>
      <c r="G985" s="22" t="str">
        <f>IF(OR(E985="",E985="!!!"),"",IF(OR(J985=0,AND(J985=1,K985=1),AND(J985=1,I985="SBJ"),AND(J985=1,I985=0)),"?IN_FOCUS",IF(J985&lt;=2,"?ACTIVATED",IF(J985&lt;&gt;"","?FAMILIAR",IF(F985="NEW",IF(ISNA(VLOOKUP(E985,#REF!,1,FALSE())),"?TYPE_IDENTIFIABLE","?REFERENTIAL"),"_")))))</f>
        <v/>
      </c>
      <c r="H985" s="23" t="str">
        <f t="shared" ca="1" si="75"/>
        <v/>
      </c>
      <c r="I985" s="24" t="str">
        <f>IF(OR(E985="",E985="!!!",F985="NEW"),"",INDEX(B$2:B984,-1+SUMPRODUCT(MAX(ROW(E$2:E984)*(E985=E$2:E984)))))</f>
        <v/>
      </c>
      <c r="J985" s="24" t="str">
        <f ca="1">IF(OR(E985="",E985="!!!",F985="NEW"),"",COUNTBLANK(OFFSET(A$1,,,SUMPRODUCT(MAX(ROW(E$2:E985)*(E985=E$2:E985)))))-COUNTBLANK(OFFSET(A$1,,,SUMPRODUCT(MAX(ROW(E$1:E984)*(E2=E$1:E984))))))</f>
        <v/>
      </c>
      <c r="K985" s="24" t="str">
        <f>IF(OR(E985="",E985="!!!",F985="NEW"),"",INDEX(J$1:J984,SUMPRODUCT(MAX(ROW(E$1:E984)*(E985=E$1:E984)))))</f>
        <v/>
      </c>
      <c r="L985" s="25"/>
    </row>
    <row r="986" spans="1:12" x14ac:dyDescent="0.3">
      <c r="A986" t="s">
        <v>614</v>
      </c>
      <c r="B986" s="26" t="s">
        <v>225</v>
      </c>
      <c r="C986" s="26" t="s">
        <v>226</v>
      </c>
      <c r="E986" s="20" t="str">
        <f t="shared" si="74"/>
        <v/>
      </c>
      <c r="F986" s="21" t="str">
        <f>IF(OR(E986="",E986="!!!"),"",IF(NOT(ISNA(VLOOKUP(E986,E$1:E985,1,FALSE()))),"OLD",IF(AND(E986&lt;&gt;"",E986&lt;&gt;"!!!"),"NEW","")))</f>
        <v/>
      </c>
      <c r="G986" s="22" t="str">
        <f>IF(OR(E986="",E986="!!!"),"",IF(OR(J986=0,AND(J986=1,K986=1),AND(J986=1,I986="SBJ"),AND(J986=1,I986=0)),"?IN_FOCUS",IF(J986&lt;=2,"?ACTIVATED",IF(J986&lt;&gt;"","?FAMILIAR",IF(F986="NEW",IF(ISNA(VLOOKUP(E986,#REF!,1,FALSE())),"?TYPE_IDENTIFIABLE","?REFERENTIAL"),"_")))))</f>
        <v/>
      </c>
      <c r="H986" s="23" t="str">
        <f t="shared" ca="1" si="75"/>
        <v/>
      </c>
      <c r="I986" s="24" t="str">
        <f>IF(OR(E986="",E986="!!!",F986="NEW"),"",INDEX(B$2:B985,-1+SUMPRODUCT(MAX(ROW(E$2:E985)*(E986=E$2:E985)))))</f>
        <v/>
      </c>
      <c r="J986" s="24" t="str">
        <f ca="1">IF(OR(E986="",E986="!!!",F986="NEW"),"",COUNTBLANK(OFFSET(A$1,,,SUMPRODUCT(MAX(ROW(E$2:E986)*(E986=E$2:E986)))))-COUNTBLANK(OFFSET(A$1,,,SUMPRODUCT(MAX(ROW(E$1:E985)*(E2=E$1:E985))))))</f>
        <v/>
      </c>
      <c r="K986" s="24" t="str">
        <f>IF(OR(E986="",E986="!!!",F986="NEW"),"",INDEX(J$1:J985,SUMPRODUCT(MAX(ROW(E$1:E985)*(E986=E$1:E985)))))</f>
        <v/>
      </c>
      <c r="L986" s="25"/>
    </row>
    <row r="987" spans="1:12" x14ac:dyDescent="0.3">
      <c r="A987" t="s">
        <v>234</v>
      </c>
      <c r="E987" s="20" t="str">
        <f t="shared" si="74"/>
        <v/>
      </c>
      <c r="F987" s="21" t="str">
        <f>IF(OR(E987="",E987="!!!"),"",IF(NOT(ISNA(VLOOKUP(E987,E$1:E986,1,FALSE()))),"OLD",IF(AND(E987&lt;&gt;"",E987&lt;&gt;"!!!"),"NEW","")))</f>
        <v/>
      </c>
      <c r="G987" s="22" t="str">
        <f>IF(OR(E987="",E987="!!!"),"",IF(OR(J987=0,AND(J987=1,K987=1),AND(J987=1,I987="SBJ"),AND(J987=1,I987=0)),"?IN_FOCUS",IF(J987&lt;=2,"?ACTIVATED",IF(J987&lt;&gt;"","?FAMILIAR",IF(F987="NEW",IF(ISNA(VLOOKUP(E987,#REF!,1,FALSE())),"?TYPE_IDENTIFIABLE","?REFERENTIAL"),"_")))))</f>
        <v/>
      </c>
      <c r="H987" s="23" t="str">
        <f t="shared" ca="1" si="75"/>
        <v/>
      </c>
      <c r="I987" s="24" t="str">
        <f>IF(OR(E987="",E987="!!!",F987="NEW"),"",INDEX(B$2:B986,-1+SUMPRODUCT(MAX(ROW(E$2:E986)*(E987=E$2:E986)))))</f>
        <v/>
      </c>
      <c r="J987" s="24" t="str">
        <f ca="1">IF(OR(E987="",E987="!!!",F987="NEW"),"",COUNTBLANK(OFFSET(A$1,,,SUMPRODUCT(MAX(ROW(E$2:E987)*(E987=E$2:E987)))))-COUNTBLANK(OFFSET(A$1,,,SUMPRODUCT(MAX(ROW(E$1:E986)*(E2=E$1:E986))))))</f>
        <v/>
      </c>
      <c r="K987" s="24" t="str">
        <f>IF(OR(E987="",E987="!!!",F987="NEW"),"",INDEX(J$1:J986,SUMPRODUCT(MAX(ROW(E$1:E986)*(E987=E$1:E986)))))</f>
        <v/>
      </c>
      <c r="L987" s="25"/>
    </row>
    <row r="989" spans="1:12" x14ac:dyDescent="0.3">
      <c r="A989" t="s">
        <v>615</v>
      </c>
    </row>
    <row r="990" spans="1:12" x14ac:dyDescent="0.3">
      <c r="A990" t="s">
        <v>616</v>
      </c>
      <c r="E990" s="20" t="str">
        <f t="shared" ref="E990:E1014" si="76">IF(D990="?OLD","!!!","")</f>
        <v/>
      </c>
      <c r="F990" s="21" t="str">
        <f>IF(OR(E990="",E990="!!!"),"",IF(NOT(ISNA(VLOOKUP(E990,E$1:E989,1,FALSE()))),"OLD",IF(AND(E990&lt;&gt;"",E990&lt;&gt;"!!!"),"NEW","")))</f>
        <v/>
      </c>
      <c r="G990" s="22" t="str">
        <f>IF(OR(E990="",E990="!!!"),"",IF(OR(J990=0,AND(J990=1,K990=1),AND(J990=1,I990="SBJ"),AND(J990=1,I990=0)),"?IN_FOCUS",IF(J990&lt;=2,"?ACTIVATED",IF(J990&lt;&gt;"","?FAMILIAR",IF(F990="NEW",IF(ISNA(VLOOKUP(E990,#REF!,1,FALSE())),"?TYPE_IDENTIFIABLE","?REFERENTIAL"),"_")))))</f>
        <v/>
      </c>
      <c r="H990" s="23" t="str">
        <f t="shared" ref="H990:H1014" ca="1" si="77">IF(J990&lt;&gt;1,"",IF(I990="SBJ","CB","?"))</f>
        <v/>
      </c>
      <c r="I990" s="24" t="str">
        <f>IF(OR(E990="",E990="!!!",F990="NEW"),"",INDEX(B$2:B989,-1+SUMPRODUCT(MAX(ROW(E$2:E989)*(E990=E$2:E989)))))</f>
        <v/>
      </c>
      <c r="J990" s="24" t="str">
        <f ca="1">IF(OR(E990="",E990="!!!",F990="NEW"),"",COUNTBLANK(OFFSET(A$1,,,SUMPRODUCT(MAX(ROW(E$2:E990)*(E990=E$2:E990)))))-COUNTBLANK(OFFSET(A$1,,,SUMPRODUCT(MAX(ROW(E$1:E989)*(E2=E$1:E989))))))</f>
        <v/>
      </c>
      <c r="K990" s="24" t="str">
        <f>IF(OR(E990="",E990="!!!",F990="NEW"),"",INDEX(J$1:J989,SUMPRODUCT(MAX(ROW(E$1:E989)*(E990=E$1:E989)))))</f>
        <v/>
      </c>
      <c r="L990" s="25"/>
    </row>
    <row r="991" spans="1:12" x14ac:dyDescent="0.3">
      <c r="A991" t="s">
        <v>617</v>
      </c>
      <c r="E991" s="20" t="str">
        <f t="shared" si="76"/>
        <v/>
      </c>
      <c r="F991" s="21" t="str">
        <f>IF(OR(E991="",E991="!!!"),"",IF(NOT(ISNA(VLOOKUP(E991,E$1:E990,1,FALSE()))),"OLD",IF(AND(E991&lt;&gt;"",E991&lt;&gt;"!!!"),"NEW","")))</f>
        <v/>
      </c>
      <c r="G991" s="22" t="str">
        <f>IF(OR(E991="",E991="!!!"),"",IF(OR(J991=0,AND(J991=1,K991=1),AND(J991=1,I991="SBJ"),AND(J991=1,I991=0)),"?IN_FOCUS",IF(J991&lt;=2,"?ACTIVATED",IF(J991&lt;&gt;"","?FAMILIAR",IF(F991="NEW",IF(ISNA(VLOOKUP(E991,#REF!,1,FALSE())),"?TYPE_IDENTIFIABLE","?REFERENTIAL"),"_")))))</f>
        <v/>
      </c>
      <c r="H991" s="23" t="str">
        <f t="shared" ca="1" si="77"/>
        <v/>
      </c>
      <c r="I991" s="24" t="str">
        <f>IF(OR(E991="",E991="!!!",F991="NEW"),"",INDEX(B$2:B990,-1+SUMPRODUCT(MAX(ROW(E$2:E990)*(E991=E$2:E990)))))</f>
        <v/>
      </c>
      <c r="J991" s="24" t="str">
        <f ca="1">IF(OR(E991="",E991="!!!",F991="NEW"),"",COUNTBLANK(OFFSET(A$1,,,SUMPRODUCT(MAX(ROW(E$2:E991)*(E991=E$2:E991)))))-COUNTBLANK(OFFSET(A$1,,,SUMPRODUCT(MAX(ROW(E$1:E990)*(E2=E$1:E990))))))</f>
        <v/>
      </c>
      <c r="K991" s="24" t="str">
        <f>IF(OR(E991="",E991="!!!",F991="NEW"),"",INDEX(J$1:J990,SUMPRODUCT(MAX(ROW(E$1:E990)*(E991=E$1:E990)))))</f>
        <v/>
      </c>
      <c r="L991" s="25"/>
    </row>
    <row r="992" spans="1:12" x14ac:dyDescent="0.3">
      <c r="A992" t="s">
        <v>618</v>
      </c>
      <c r="B992" s="26" t="s">
        <v>213</v>
      </c>
      <c r="C992" s="26" t="s">
        <v>222</v>
      </c>
      <c r="D992" s="26" t="s">
        <v>215</v>
      </c>
      <c r="E992" s="20" t="s">
        <v>728</v>
      </c>
      <c r="F992" s="21" t="str">
        <f>IF(OR(E992="",E992="!!!"),"",IF(NOT(ISNA(VLOOKUP(E992,E$1:E991,1,FALSE()))),"OLD",IF(AND(E992&lt;&gt;"",E992&lt;&gt;"!!!"),"NEW","")))</f>
        <v>NEW</v>
      </c>
      <c r="G992" s="22" t="str">
        <f ca="1">IF(OR(E992="",E992="!!!"),"",IF(OR(J992=0,AND(J992=1,K992=1),AND(J992=1,I992="SBJ"),AND(J992=1,I992=0)),"?IN_FOCUS",IF(J992&lt;=2,"?ACTIVATED",IF(J992&lt;&gt;"","?FAMILIAR",IF(F992="NEW",IF(ISNA(VLOOKUP(E992,#REF!,1,FALSE())),"?TYPE_IDENTIFIABLE","?REFERENTIAL"),"_")))))</f>
        <v>?REFERENTIAL</v>
      </c>
      <c r="H992" s="23" t="str">
        <f t="shared" ca="1" si="77"/>
        <v/>
      </c>
      <c r="I992" s="24" t="str">
        <f>IF(OR(E992="",E992="!!!",F992="NEW"),"",INDEX(B$2:B991,-1+SUMPRODUCT(MAX(ROW(E$2:E991)*(E992=E$2:E991)))))</f>
        <v/>
      </c>
      <c r="J992" s="24" t="str">
        <f ca="1">IF(OR(E992="",E992="!!!",F992="NEW"),"",COUNTBLANK(OFFSET(A$1,,,SUMPRODUCT(MAX(ROW(E$2:E992)*(E992=E$2:E992)))))-COUNTBLANK(OFFSET(A$1,,,SUMPRODUCT(MAX(ROW(E$1:E991)*(E2=E$1:E991))))))</f>
        <v/>
      </c>
      <c r="K992" s="24" t="str">
        <f>IF(OR(E992="",E992="!!!",F992="NEW"),"",INDEX(J$1:J991,SUMPRODUCT(MAX(ROW(E$1:E991)*(E992=E$1:E991)))))</f>
        <v/>
      </c>
      <c r="L992" s="25"/>
    </row>
    <row r="993" spans="1:12" x14ac:dyDescent="0.3">
      <c r="A993" t="s">
        <v>223</v>
      </c>
      <c r="E993" s="20" t="str">
        <f t="shared" si="76"/>
        <v/>
      </c>
      <c r="F993" s="21" t="str">
        <f>IF(OR(E993="",E993="!!!"),"",IF(NOT(ISNA(VLOOKUP(E993,E$1:E992,1,FALSE()))),"OLD",IF(AND(E993&lt;&gt;"",E993&lt;&gt;"!!!"),"NEW","")))</f>
        <v/>
      </c>
      <c r="G993" s="22" t="str">
        <f>IF(OR(E993="",E993="!!!"),"",IF(OR(J993=0,AND(J993=1,K993=1),AND(J993=1,I993="SBJ"),AND(J993=1,I993=0)),"?IN_FOCUS",IF(J993&lt;=2,"?ACTIVATED",IF(J993&lt;&gt;"","?FAMILIAR",IF(F993="NEW",IF(ISNA(VLOOKUP(E993,#REF!,1,FALSE())),"?TYPE_IDENTIFIABLE","?REFERENTIAL"),"_")))))</f>
        <v/>
      </c>
      <c r="H993" s="23" t="str">
        <f t="shared" ca="1" si="77"/>
        <v/>
      </c>
      <c r="I993" s="24" t="str">
        <f>IF(OR(E993="",E993="!!!",F993="NEW"),"",INDEX(B$2:B992,-1+SUMPRODUCT(MAX(ROW(E$2:E992)*(E993=E$2:E992)))))</f>
        <v/>
      </c>
      <c r="J993" s="24" t="str">
        <f ca="1">IF(OR(E993="",E993="!!!",F993="NEW"),"",COUNTBLANK(OFFSET(A$1,,,SUMPRODUCT(MAX(ROW(E$2:E993)*(E993=E$2:E993)))))-COUNTBLANK(OFFSET(A$1,,,SUMPRODUCT(MAX(ROW(E$1:E992)*(E2=E$1:E992))))))</f>
        <v/>
      </c>
      <c r="K993" s="24" t="str">
        <f>IF(OR(E993="",E993="!!!",F993="NEW"),"",INDEX(J$1:J992,SUMPRODUCT(MAX(ROW(E$1:E992)*(E993=E$1:E992)))))</f>
        <v/>
      </c>
      <c r="L993" s="25"/>
    </row>
    <row r="994" spans="1:12" x14ac:dyDescent="0.3">
      <c r="A994" t="s">
        <v>188</v>
      </c>
      <c r="B994" s="26" t="s">
        <v>225</v>
      </c>
      <c r="C994" s="26" t="s">
        <v>226</v>
      </c>
      <c r="E994" s="20" t="s">
        <v>188</v>
      </c>
      <c r="F994" s="21" t="str">
        <f>IF(OR(E994="",E994="!!!"),"",IF(NOT(ISNA(VLOOKUP(E994,E$1:E993,1,FALSE()))),"OLD",IF(AND(E994&lt;&gt;"",E994&lt;&gt;"!!!"),"NEW","")))</f>
        <v>OLD</v>
      </c>
      <c r="G994" s="22" t="str">
        <f ca="1">IF(OR(E994="",E994="!!!"),"",IF(OR(J994=0,AND(J994=1,K994=1),AND(J994=1,I994="SBJ"),AND(J994=1,I994=0)),"?IN_FOCUS",IF(J994&lt;=2,"?ACTIVATED",IF(J994&lt;&gt;"","?FAMILIAR",IF(F994="NEW",IF(ISNA(VLOOKUP(E994,#REF!,1,FALSE())),"?TYPE_IDENTIFIABLE","?REFERENTIAL"),"_")))))</f>
        <v>?IN_FOCUS</v>
      </c>
      <c r="H994" s="23" t="s">
        <v>198</v>
      </c>
      <c r="I994" s="24" t="str">
        <f>IF(OR(E994="",E994="!!!",F994="NEW"),"",INDEX(B$2:B993,-1+SUMPRODUCT(MAX(ROW(E$2:E993)*(E994=E$2:E993)))))</f>
        <v>SBJ</v>
      </c>
      <c r="J994" s="24">
        <f ca="1">IF(OR(E994="",E994="!!!",F994="NEW"),"",COUNTBLANK(OFFSET(A$1,,,SUMPRODUCT(MAX(ROW(E$2:E994)*(E994=E$2:E994)))))-COUNTBLANK(OFFSET(A$1,,,SUMPRODUCT(MAX(ROW(E$1:E993)*(E2=E$1:E993))))))</f>
        <v>0</v>
      </c>
      <c r="K994" s="24">
        <f ca="1">IF(OR(E994="",E994="!!!",F994="NEW"),"",INDEX(J$1:J993,SUMPRODUCT(MAX(ROW(E$1:E993)*(E994=E$1:E993)))))</f>
        <v>0</v>
      </c>
      <c r="L994" s="25"/>
    </row>
    <row r="995" spans="1:12" x14ac:dyDescent="0.3">
      <c r="A995" t="s">
        <v>611</v>
      </c>
      <c r="E995" s="20" t="str">
        <f t="shared" si="76"/>
        <v/>
      </c>
      <c r="F995" s="21" t="str">
        <f>IF(OR(E995="",E995="!!!"),"",IF(NOT(ISNA(VLOOKUP(E995,E$1:E994,1,FALSE()))),"OLD",IF(AND(E995&lt;&gt;"",E995&lt;&gt;"!!!"),"NEW","")))</f>
        <v/>
      </c>
      <c r="G995" s="22" t="str">
        <f>IF(OR(E995="",E995="!!!"),"",IF(OR(J995=0,AND(J995=1,K995=1),AND(J995=1,I995="SBJ"),AND(J995=1,I995=0)),"?IN_FOCUS",IF(J995&lt;=2,"?ACTIVATED",IF(J995&lt;&gt;"","?FAMILIAR",IF(F995="NEW",IF(ISNA(VLOOKUP(E995,#REF!,1,FALSE())),"?TYPE_IDENTIFIABLE","?REFERENTIAL"),"_")))))</f>
        <v/>
      </c>
      <c r="H995" s="23" t="str">
        <f t="shared" ca="1" si="77"/>
        <v/>
      </c>
      <c r="I995" s="24" t="str">
        <f>IF(OR(E995="",E995="!!!",F995="NEW"),"",INDEX(B$2:B994,-1+SUMPRODUCT(MAX(ROW(E$2:E994)*(E995=E$2:E994)))))</f>
        <v/>
      </c>
      <c r="J995" s="24" t="str">
        <f ca="1">IF(OR(E995="",E995="!!!",F995="NEW"),"",COUNTBLANK(OFFSET(A$1,,,SUMPRODUCT(MAX(ROW(E$2:E995)*(E995=E$2:E995)))))-COUNTBLANK(OFFSET(A$1,,,SUMPRODUCT(MAX(ROW(E$1:E994)*(E2=E$1:E994))))))</f>
        <v/>
      </c>
      <c r="K995" s="24" t="str">
        <f>IF(OR(E995="",E995="!!!",F995="NEW"),"",INDEX(J$1:J994,SUMPRODUCT(MAX(ROW(E$1:E994)*(E995=E$1:E994)))))</f>
        <v/>
      </c>
      <c r="L995" s="25"/>
    </row>
    <row r="996" spans="1:12" x14ac:dyDescent="0.3">
      <c r="A996" t="s">
        <v>423</v>
      </c>
      <c r="B996" s="26" t="s">
        <v>261</v>
      </c>
      <c r="C996" s="26" t="s">
        <v>230</v>
      </c>
      <c r="D996" s="26" t="s">
        <v>215</v>
      </c>
      <c r="E996" s="20" t="s">
        <v>669</v>
      </c>
      <c r="F996" s="21" t="str">
        <f>IF(OR(E996="",E996="!!!"),"",IF(NOT(ISNA(VLOOKUP(E996,E$1:E995,1,FALSE()))),"OLD",IF(AND(E996&lt;&gt;"",E996&lt;&gt;"!!!"),"NEW","")))</f>
        <v>OLD</v>
      </c>
      <c r="G996" s="22" t="str">
        <f ca="1">IF(OR(E996="",E996="!!!"),"",IF(OR(J996=0,AND(J996=1,K996=1),AND(J996=1,I996="SBJ"),AND(J996=1,I996=0)),"?IN_FOCUS",IF(J996&lt;=2,"?ACTIVATED",IF(J996&lt;&gt;"","?FAMILIAR",IF(F996="NEW",IF(ISNA(VLOOKUP(E996,#REF!,1,FALSE())),"?TYPE_IDENTIFIABLE","?REFERENTIAL"),"_")))))</f>
        <v>?IN_FOCUS</v>
      </c>
      <c r="H996" s="23" t="str">
        <f t="shared" ca="1" si="77"/>
        <v/>
      </c>
      <c r="I996" s="24" t="str">
        <f>IF(OR(E996="",E996="!!!",F996="NEW"),"",INDEX(B$2:B995,-1+SUMPRODUCT(MAX(ROW(E$2:E995)*(E996=E$2:E995)))))</f>
        <v>OBJ</v>
      </c>
      <c r="J996" s="24">
        <f ca="1">IF(OR(E996="",E996="!!!",F996="NEW"),"",COUNTBLANK(OFFSET(A$1,,,SUMPRODUCT(MAX(ROW(E$2:E996)*(E996=E$2:E996)))))-COUNTBLANK(OFFSET(A$1,,,SUMPRODUCT(MAX(ROW(E$1:E995)*(E2=E$1:E995))))))</f>
        <v>0</v>
      </c>
      <c r="K996" s="24">
        <f ca="1">IF(OR(E996="",E996="!!!",F996="NEW"),"",INDEX(J$1:J995,SUMPRODUCT(MAX(ROW(E$1:E995)*(E996=E$1:E995)))))</f>
        <v>0</v>
      </c>
      <c r="L996" s="25"/>
    </row>
    <row r="997" spans="1:12" x14ac:dyDescent="0.3">
      <c r="A997" t="s">
        <v>612</v>
      </c>
      <c r="E997" s="20" t="str">
        <f t="shared" si="76"/>
        <v/>
      </c>
      <c r="F997" s="21" t="str">
        <f>IF(OR(E997="",E997="!!!"),"",IF(NOT(ISNA(VLOOKUP(E997,E$1:E996,1,FALSE()))),"OLD",IF(AND(E997&lt;&gt;"",E997&lt;&gt;"!!!"),"NEW","")))</f>
        <v/>
      </c>
      <c r="G997" s="22" t="str">
        <f>IF(OR(E997="",E997="!!!"),"",IF(OR(J997=0,AND(J997=1,K997=1),AND(J997=1,I997="SBJ"),AND(J997=1,I997=0)),"?IN_FOCUS",IF(J997&lt;=2,"?ACTIVATED",IF(J997&lt;&gt;"","?FAMILIAR",IF(F997="NEW",IF(ISNA(VLOOKUP(E997,#REF!,1,FALSE())),"?TYPE_IDENTIFIABLE","?REFERENTIAL"),"_")))))</f>
        <v/>
      </c>
      <c r="H997" s="23" t="str">
        <f t="shared" ca="1" si="77"/>
        <v/>
      </c>
      <c r="I997" s="24" t="str">
        <f>IF(OR(E997="",E997="!!!",F997="NEW"),"",INDEX(B$2:B996,-1+SUMPRODUCT(MAX(ROW(E$2:E996)*(E997=E$2:E996)))))</f>
        <v/>
      </c>
      <c r="J997" s="24" t="str">
        <f ca="1">IF(OR(E997="",E997="!!!",F997="NEW"),"",COUNTBLANK(OFFSET(A$1,,,SUMPRODUCT(MAX(ROW(E$2:E997)*(E997=E$2:E997)))))-COUNTBLANK(OFFSET(A$1,,,SUMPRODUCT(MAX(ROW(E$1:E996)*(E2=E$1:E996))))))</f>
        <v/>
      </c>
      <c r="K997" s="24" t="str">
        <f>IF(OR(E997="",E997="!!!",F997="NEW"),"",INDEX(J$1:J996,SUMPRODUCT(MAX(ROW(E$1:E996)*(E997=E$1:E996)))))</f>
        <v/>
      </c>
      <c r="L997" s="25"/>
    </row>
    <row r="998" spans="1:12" x14ac:dyDescent="0.3">
      <c r="A998" t="s">
        <v>279</v>
      </c>
      <c r="E998" s="20" t="str">
        <f t="shared" si="76"/>
        <v/>
      </c>
      <c r="F998" s="21" t="str">
        <f>IF(OR(E998="",E998="!!!"),"",IF(NOT(ISNA(VLOOKUP(E998,E$1:E997,1,FALSE()))),"OLD",IF(AND(E998&lt;&gt;"",E998&lt;&gt;"!!!"),"NEW","")))</f>
        <v/>
      </c>
      <c r="G998" s="22" t="str">
        <f>IF(OR(E998="",E998="!!!"),"",IF(OR(J998=0,AND(J998=1,K998=1),AND(J998=1,I998="SBJ"),AND(J998=1,I998=0)),"?IN_FOCUS",IF(J998&lt;=2,"?ACTIVATED",IF(J998&lt;&gt;"","?FAMILIAR",IF(F998="NEW",IF(ISNA(VLOOKUP(E998,#REF!,1,FALSE())),"?TYPE_IDENTIFIABLE","?REFERENTIAL"),"_")))))</f>
        <v/>
      </c>
      <c r="H998" s="23" t="str">
        <f t="shared" ca="1" si="77"/>
        <v/>
      </c>
      <c r="I998" s="24" t="str">
        <f>IF(OR(E998="",E998="!!!",F998="NEW"),"",INDEX(B$2:B997,-1+SUMPRODUCT(MAX(ROW(E$2:E997)*(E998=E$2:E997)))))</f>
        <v/>
      </c>
      <c r="J998" s="24" t="str">
        <f ca="1">IF(OR(E998="",E998="!!!",F998="NEW"),"",COUNTBLANK(OFFSET(A$1,,,SUMPRODUCT(MAX(ROW(E$2:E998)*(E998=E$2:E998)))))-COUNTBLANK(OFFSET(A$1,,,SUMPRODUCT(MAX(ROW(E$1:E997)*(E2=E$1:E997))))))</f>
        <v/>
      </c>
      <c r="K998" s="24" t="str">
        <f>IF(OR(E998="",E998="!!!",F998="NEW"),"",INDEX(J$1:J997,SUMPRODUCT(MAX(ROW(E$1:E997)*(E998=E$1:E997)))))</f>
        <v/>
      </c>
      <c r="L998" s="25"/>
    </row>
    <row r="999" spans="1:12" x14ac:dyDescent="0.3">
      <c r="A999" t="s">
        <v>238</v>
      </c>
      <c r="E999" s="20" t="str">
        <f t="shared" si="76"/>
        <v/>
      </c>
      <c r="F999" s="21" t="str">
        <f>IF(OR(E999="",E999="!!!"),"",IF(NOT(ISNA(VLOOKUP(E999,E$1:E998,1,FALSE()))),"OLD",IF(AND(E999&lt;&gt;"",E999&lt;&gt;"!!!"),"NEW","")))</f>
        <v/>
      </c>
      <c r="G999" s="22" t="str">
        <f>IF(OR(E999="",E999="!!!"),"",IF(OR(J999=0,AND(J999=1,K999=1),AND(J999=1,I999="SBJ"),AND(J999=1,I999=0)),"?IN_FOCUS",IF(J999&lt;=2,"?ACTIVATED",IF(J999&lt;&gt;"","?FAMILIAR",IF(F999="NEW",IF(ISNA(VLOOKUP(E999,#REF!,1,FALSE())),"?TYPE_IDENTIFIABLE","?REFERENTIAL"),"_")))))</f>
        <v/>
      </c>
      <c r="H999" s="23" t="str">
        <f t="shared" ca="1" si="77"/>
        <v/>
      </c>
      <c r="I999" s="24" t="str">
        <f>IF(OR(E999="",E999="!!!",F999="NEW"),"",INDEX(B$2:B998,-1+SUMPRODUCT(MAX(ROW(E$2:E998)*(E999=E$2:E998)))))</f>
        <v/>
      </c>
      <c r="J999" s="24" t="str">
        <f ca="1">IF(OR(E999="",E999="!!!",F999="NEW"),"",COUNTBLANK(OFFSET(A$1,,,SUMPRODUCT(MAX(ROW(E$2:E999)*(E999=E$2:E999)))))-COUNTBLANK(OFFSET(A$1,,,SUMPRODUCT(MAX(ROW(E$1:E998)*(E2=E$1:E998))))))</f>
        <v/>
      </c>
      <c r="K999" s="24" t="str">
        <f>IF(OR(E999="",E999="!!!",F999="NEW"),"",INDEX(J$1:J998,SUMPRODUCT(MAX(ROW(E$1:E998)*(E999=E$1:E998)))))</f>
        <v/>
      </c>
      <c r="L999" s="25"/>
    </row>
    <row r="1000" spans="1:12" x14ac:dyDescent="0.3">
      <c r="A1000" t="s">
        <v>619</v>
      </c>
      <c r="B1000" s="26" t="s">
        <v>205</v>
      </c>
      <c r="C1000" s="26" t="s">
        <v>240</v>
      </c>
      <c r="E1000" s="20" t="str">
        <f t="shared" si="76"/>
        <v/>
      </c>
      <c r="F1000" s="21" t="str">
        <f>IF(OR(E1000="",E1000="!!!"),"",IF(NOT(ISNA(VLOOKUP(E1000,E$1:E999,1,FALSE()))),"OLD",IF(AND(E1000&lt;&gt;"",E1000&lt;&gt;"!!!"),"NEW","")))</f>
        <v/>
      </c>
      <c r="G1000" s="22" t="str">
        <f>IF(OR(E1000="",E1000="!!!"),"",IF(OR(J1000=0,AND(J1000=1,K1000=1),AND(J1000=1,I1000="SBJ"),AND(J1000=1,I1000=0)),"?IN_FOCUS",IF(J1000&lt;=2,"?ACTIVATED",IF(J1000&lt;&gt;"","?FAMILIAR",IF(F1000="NEW",IF(ISNA(VLOOKUP(E1000,#REF!,1,FALSE())),"?TYPE_IDENTIFIABLE","?REFERENTIAL"),"_")))))</f>
        <v/>
      </c>
      <c r="H1000" s="23" t="str">
        <f t="shared" ca="1" si="77"/>
        <v/>
      </c>
      <c r="I1000" s="24" t="str">
        <f>IF(OR(E1000="",E1000="!!!",F1000="NEW"),"",INDEX(B$2:B999,-1+SUMPRODUCT(MAX(ROW(E$2:E999)*(E1000=E$2:E999)))))</f>
        <v/>
      </c>
      <c r="J1000" s="24" t="str">
        <f ca="1">IF(OR(E1000="",E1000="!!!",F1000="NEW"),"",COUNTBLANK(OFFSET(A$1,,,SUMPRODUCT(MAX(ROW(E$2:E1000)*(E1000=E$2:E1000)))))-COUNTBLANK(OFFSET(A$1,,,SUMPRODUCT(MAX(ROW(E$1:E999)*(E2=E$1:E999))))))</f>
        <v/>
      </c>
      <c r="K1000" s="24" t="str">
        <f>IF(OR(E1000="",E1000="!!!",F1000="NEW"),"",INDEX(J$1:J999,SUMPRODUCT(MAX(ROW(E$1:E999)*(E1000=E$1:E999)))))</f>
        <v/>
      </c>
      <c r="L1000" s="25"/>
    </row>
    <row r="1001" spans="1:12" x14ac:dyDescent="0.3">
      <c r="A1001" t="s">
        <v>223</v>
      </c>
      <c r="E1001" s="20" t="str">
        <f t="shared" si="76"/>
        <v/>
      </c>
      <c r="F1001" s="21" t="str">
        <f>IF(OR(E1001="",E1001="!!!"),"",IF(NOT(ISNA(VLOOKUP(E1001,E$1:E1000,1,FALSE()))),"OLD",IF(AND(E1001&lt;&gt;"",E1001&lt;&gt;"!!!"),"NEW","")))</f>
        <v/>
      </c>
      <c r="G1001" s="22" t="str">
        <f>IF(OR(E1001="",E1001="!!!"),"",IF(OR(J1001=0,AND(J1001=1,K1001=1),AND(J1001=1,I1001="SBJ"),AND(J1001=1,I1001=0)),"?IN_FOCUS",IF(J1001&lt;=2,"?ACTIVATED",IF(J1001&lt;&gt;"","?FAMILIAR",IF(F1001="NEW",IF(ISNA(VLOOKUP(E1001,#REF!,1,FALSE())),"?TYPE_IDENTIFIABLE","?REFERENTIAL"),"_")))))</f>
        <v/>
      </c>
      <c r="H1001" s="23" t="str">
        <f t="shared" ca="1" si="77"/>
        <v/>
      </c>
      <c r="I1001" s="24" t="str">
        <f>IF(OR(E1001="",E1001="!!!",F1001="NEW"),"",INDEX(B$2:B1000,-1+SUMPRODUCT(MAX(ROW(E$2:E1000)*(E1001=E$2:E1000)))))</f>
        <v/>
      </c>
      <c r="J1001" s="24" t="str">
        <f ca="1">IF(OR(E1001="",E1001="!!!",F1001="NEW"),"",COUNTBLANK(OFFSET(A$1,,,SUMPRODUCT(MAX(ROW(E$2:E1001)*(E1001=E$2:E1001)))))-COUNTBLANK(OFFSET(A$1,,,SUMPRODUCT(MAX(ROW(E$1:E1000)*(E2=E$1:E1000))))))</f>
        <v/>
      </c>
      <c r="K1001" s="24" t="str">
        <f>IF(OR(E1001="",E1001="!!!",F1001="NEW"),"",INDEX(J$1:J1000,SUMPRODUCT(MAX(ROW(E$1:E1000)*(E1001=E$1:E1000)))))</f>
        <v/>
      </c>
      <c r="L1001" s="25"/>
    </row>
    <row r="1002" spans="1:12" x14ac:dyDescent="0.3">
      <c r="A1002" t="s">
        <v>620</v>
      </c>
      <c r="B1002" s="26" t="s">
        <v>225</v>
      </c>
      <c r="C1002" s="26" t="s">
        <v>226</v>
      </c>
      <c r="E1002" s="20" t="str">
        <f t="shared" si="76"/>
        <v/>
      </c>
      <c r="F1002" s="21" t="str">
        <f>IF(OR(E1002="",E1002="!!!"),"",IF(NOT(ISNA(VLOOKUP(E1002,E$1:E1001,1,FALSE()))),"OLD",IF(AND(E1002&lt;&gt;"",E1002&lt;&gt;"!!!"),"NEW","")))</f>
        <v/>
      </c>
      <c r="G1002" s="22" t="str">
        <f>IF(OR(E1002="",E1002="!!!"),"",IF(OR(J1002=0,AND(J1002=1,K1002=1),AND(J1002=1,I1002="SBJ"),AND(J1002=1,I1002=0)),"?IN_FOCUS",IF(J1002&lt;=2,"?ACTIVATED",IF(J1002&lt;&gt;"","?FAMILIAR",IF(F1002="NEW",IF(ISNA(VLOOKUP(E1002,#REF!,1,FALSE())),"?TYPE_IDENTIFIABLE","?REFERENTIAL"),"_")))))</f>
        <v/>
      </c>
      <c r="H1002" s="23" t="str">
        <f t="shared" ca="1" si="77"/>
        <v/>
      </c>
      <c r="I1002" s="24" t="str">
        <f>IF(OR(E1002="",E1002="!!!",F1002="NEW"),"",INDEX(B$2:B1001,-1+SUMPRODUCT(MAX(ROW(E$2:E1001)*(E1002=E$2:E1001)))))</f>
        <v/>
      </c>
      <c r="J1002" s="24" t="str">
        <f ca="1">IF(OR(E1002="",E1002="!!!",F1002="NEW"),"",COUNTBLANK(OFFSET(A$1,,,SUMPRODUCT(MAX(ROW(E$2:E1002)*(E1002=E$2:E1002)))))-COUNTBLANK(OFFSET(A$1,,,SUMPRODUCT(MAX(ROW(E$1:E1001)*(E2=E$1:E1001))))))</f>
        <v/>
      </c>
      <c r="K1002" s="24" t="str">
        <f>IF(OR(E1002="",E1002="!!!",F1002="NEW"),"",INDEX(J$1:J1001,SUMPRODUCT(MAX(ROW(E$1:E1001)*(E1002=E$1:E1001)))))</f>
        <v/>
      </c>
      <c r="L1002" s="25"/>
    </row>
    <row r="1003" spans="1:12" x14ac:dyDescent="0.3">
      <c r="A1003" t="s">
        <v>249</v>
      </c>
      <c r="B1003" s="26" t="s">
        <v>250</v>
      </c>
      <c r="E1003" s="20" t="str">
        <f t="shared" si="76"/>
        <v/>
      </c>
      <c r="F1003" s="21" t="str">
        <f>IF(OR(E1003="",E1003="!!!"),"",IF(NOT(ISNA(VLOOKUP(E1003,E$1:E1002,1,FALSE()))),"OLD",IF(AND(E1003&lt;&gt;"",E1003&lt;&gt;"!!!"),"NEW","")))</f>
        <v/>
      </c>
      <c r="G1003" s="22" t="str">
        <f>IF(OR(E1003="",E1003="!!!"),"",IF(OR(J1003=0,AND(J1003=1,K1003=1),AND(J1003=1,I1003="SBJ"),AND(J1003=1,I1003=0)),"?IN_FOCUS",IF(J1003&lt;=2,"?ACTIVATED",IF(J1003&lt;&gt;"","?FAMILIAR",IF(F1003="NEW",IF(ISNA(VLOOKUP(E1003,#REF!,1,FALSE())),"?TYPE_IDENTIFIABLE","?REFERENTIAL"),"_")))))</f>
        <v/>
      </c>
      <c r="H1003" s="23" t="str">
        <f t="shared" ca="1" si="77"/>
        <v/>
      </c>
      <c r="I1003" s="24" t="str">
        <f>IF(OR(E1003="",E1003="!!!",F1003="NEW"),"",INDEX(B$2:B1002,-1+SUMPRODUCT(MAX(ROW(E$2:E1002)*(E1003=E$2:E1002)))))</f>
        <v/>
      </c>
      <c r="J1003" s="24" t="str">
        <f ca="1">IF(OR(E1003="",E1003="!!!",F1003="NEW"),"",COUNTBLANK(OFFSET(A$1,,,SUMPRODUCT(MAX(ROW(E$2:E1003)*(E1003=E$2:E1003)))))-COUNTBLANK(OFFSET(A$1,,,SUMPRODUCT(MAX(ROW(E$1:E1002)*(E2=E$1:E1002))))))</f>
        <v/>
      </c>
      <c r="K1003" s="24" t="str">
        <f>IF(OR(E1003="",E1003="!!!",F1003="NEW"),"",INDEX(J$1:J1002,SUMPRODUCT(MAX(ROW(E$1:E1002)*(E1003=E$1:E1002)))))</f>
        <v/>
      </c>
      <c r="L1003" s="25"/>
    </row>
    <row r="1004" spans="1:12" x14ac:dyDescent="0.3">
      <c r="A1004" t="s">
        <v>501</v>
      </c>
      <c r="E1004" s="20" t="str">
        <f t="shared" si="76"/>
        <v/>
      </c>
      <c r="F1004" s="21" t="str">
        <f>IF(OR(E1004="",E1004="!!!"),"",IF(NOT(ISNA(VLOOKUP(E1004,E$1:E1003,1,FALSE()))),"OLD",IF(AND(E1004&lt;&gt;"",E1004&lt;&gt;"!!!"),"NEW","")))</f>
        <v/>
      </c>
      <c r="G1004" s="22" t="str">
        <f>IF(OR(E1004="",E1004="!!!"),"",IF(OR(J1004=0,AND(J1004=1,K1004=1),AND(J1004=1,I1004="SBJ"),AND(J1004=1,I1004=0)),"?IN_FOCUS",IF(J1004&lt;=2,"?ACTIVATED",IF(J1004&lt;&gt;"","?FAMILIAR",IF(F1004="NEW",IF(ISNA(VLOOKUP(E1004,#REF!,1,FALSE())),"?TYPE_IDENTIFIABLE","?REFERENTIAL"),"_")))))</f>
        <v/>
      </c>
      <c r="H1004" s="23" t="str">
        <f t="shared" ca="1" si="77"/>
        <v/>
      </c>
      <c r="I1004" s="24" t="str">
        <f>IF(OR(E1004="",E1004="!!!",F1004="NEW"),"",INDEX(B$2:B1003,-1+SUMPRODUCT(MAX(ROW(E$2:E1003)*(E1004=E$2:E1003)))))</f>
        <v/>
      </c>
      <c r="J1004" s="24" t="str">
        <f ca="1">IF(OR(E1004="",E1004="!!!",F1004="NEW"),"",COUNTBLANK(OFFSET(A$1,,,SUMPRODUCT(MAX(ROW(E$2:E1004)*(E1004=E$2:E1004)))))-COUNTBLANK(OFFSET(A$1,,,SUMPRODUCT(MAX(ROW(E$1:E1003)*(E2=E$1:E1003))))))</f>
        <v/>
      </c>
      <c r="K1004" s="24" t="str">
        <f>IF(OR(E1004="",E1004="!!!",F1004="NEW"),"",INDEX(J$1:J1003,SUMPRODUCT(MAX(ROW(E$1:E1003)*(E1004=E$1:E1003)))))</f>
        <v/>
      </c>
      <c r="L1004" s="25"/>
    </row>
    <row r="1005" spans="1:12" x14ac:dyDescent="0.3">
      <c r="A1005" t="s">
        <v>423</v>
      </c>
      <c r="B1005" s="26" t="s">
        <v>255</v>
      </c>
      <c r="C1005" s="26" t="s">
        <v>230</v>
      </c>
      <c r="D1005" s="26" t="s">
        <v>215</v>
      </c>
      <c r="E1005" s="20" t="s">
        <v>669</v>
      </c>
      <c r="F1005" s="21" t="str">
        <f>IF(OR(E1005="",E1005="!!!"),"",IF(NOT(ISNA(VLOOKUP(E1005,E$1:E1004,1,FALSE()))),"OLD",IF(AND(E1005&lt;&gt;"",E1005&lt;&gt;"!!!"),"NEW","")))</f>
        <v>OLD</v>
      </c>
      <c r="G1005" s="22" t="str">
        <f ca="1">IF(OR(E1005="",E1005="!!!"),"",IF(OR(J1005=0,AND(J1005=1,K1005=1),AND(J1005=1,I1005="SBJ"),AND(J1005=1,I1005=0)),"?IN_FOCUS",IF(J1005&lt;=2,"?ACTIVATED",IF(J1005&lt;&gt;"","?FAMILIAR",IF(F1005="NEW",IF(ISNA(VLOOKUP(E1005,#REF!,1,FALSE())),"?TYPE_IDENTIFIABLE","?REFERENTIAL"),"_")))))</f>
        <v>?IN_FOCUS</v>
      </c>
      <c r="H1005" s="23" t="str">
        <f t="shared" ca="1" si="77"/>
        <v/>
      </c>
      <c r="I1005" s="24" t="str">
        <f>IF(OR(E1005="",E1005="!!!",F1005="NEW"),"",INDEX(B$2:B1004,-1+SUMPRODUCT(MAX(ROW(E$2:E1004)*(E1005=E$2:E1004)))))</f>
        <v>OBJ</v>
      </c>
      <c r="J1005" s="24">
        <f ca="1">IF(OR(E1005="",E1005="!!!",F1005="NEW"),"",COUNTBLANK(OFFSET(A$1,,,SUMPRODUCT(MAX(ROW(E$2:E1005)*(E1005=E$2:E1005)))))-COUNTBLANK(OFFSET(A$1,,,SUMPRODUCT(MAX(ROW(E$1:E1004)*(E2=E$1:E1004))))))</f>
        <v>0</v>
      </c>
      <c r="K1005" s="24">
        <f ca="1">IF(OR(E1005="",E1005="!!!",F1005="NEW"),"",INDEX(J$1:J1004,SUMPRODUCT(MAX(ROW(E$1:E1004)*(E1005=E$1:E1004)))))</f>
        <v>0</v>
      </c>
      <c r="L1005" s="25"/>
    </row>
    <row r="1006" spans="1:12" x14ac:dyDescent="0.3">
      <c r="A1006" t="s">
        <v>207</v>
      </c>
      <c r="E1006" s="20" t="str">
        <f t="shared" si="76"/>
        <v/>
      </c>
      <c r="F1006" s="21" t="str">
        <f>IF(OR(E1006="",E1006="!!!"),"",IF(NOT(ISNA(VLOOKUP(E1006,E$1:E1005,1,FALSE()))),"OLD",IF(AND(E1006&lt;&gt;"",E1006&lt;&gt;"!!!"),"NEW","")))</f>
        <v/>
      </c>
      <c r="G1006" s="22" t="str">
        <f>IF(OR(E1006="",E1006="!!!"),"",IF(OR(J1006=0,AND(J1006=1,K1006=1),AND(J1006=1,I1006="SBJ"),AND(J1006=1,I1006=0)),"?IN_FOCUS",IF(J1006&lt;=2,"?ACTIVATED",IF(J1006&lt;&gt;"","?FAMILIAR",IF(F1006="NEW",IF(ISNA(VLOOKUP(E1006,#REF!,1,FALSE())),"?TYPE_IDENTIFIABLE","?REFERENTIAL"),"_")))))</f>
        <v/>
      </c>
      <c r="H1006" s="23" t="str">
        <f t="shared" ca="1" si="77"/>
        <v/>
      </c>
      <c r="I1006" s="24" t="str">
        <f>IF(OR(E1006="",E1006="!!!",F1006="NEW"),"",INDEX(B$2:B1005,-1+SUMPRODUCT(MAX(ROW(E$2:E1005)*(E1006=E$2:E1005)))))</f>
        <v/>
      </c>
      <c r="J1006" s="24" t="str">
        <f ca="1">IF(OR(E1006="",E1006="!!!",F1006="NEW"),"",COUNTBLANK(OFFSET(A$1,,,SUMPRODUCT(MAX(ROW(E$2:E1006)*(E1006=E$2:E1006)))))-COUNTBLANK(OFFSET(A$1,,,SUMPRODUCT(MAX(ROW(E$1:E1005)*(E2=E$1:E1005))))))</f>
        <v/>
      </c>
      <c r="K1006" s="24" t="str">
        <f>IF(OR(E1006="",E1006="!!!",F1006="NEW"),"",INDEX(J$1:J1005,SUMPRODUCT(MAX(ROW(E$1:E1005)*(E1006=E$1:E1005)))))</f>
        <v/>
      </c>
      <c r="L1006" s="25"/>
    </row>
    <row r="1007" spans="1:12" x14ac:dyDescent="0.3">
      <c r="A1007" t="s">
        <v>249</v>
      </c>
      <c r="B1007" s="26" t="s">
        <v>331</v>
      </c>
      <c r="E1007" s="20" t="str">
        <f t="shared" si="76"/>
        <v/>
      </c>
      <c r="F1007" s="21" t="str">
        <f>IF(OR(E1007="",E1007="!!!"),"",IF(NOT(ISNA(VLOOKUP(E1007,E$1:E1006,1,FALSE()))),"OLD",IF(AND(E1007&lt;&gt;"",E1007&lt;&gt;"!!!"),"NEW","")))</f>
        <v/>
      </c>
      <c r="G1007" s="22" t="str">
        <f>IF(OR(E1007="",E1007="!!!"),"",IF(OR(J1007=0,AND(J1007=1,K1007=1),AND(J1007=1,I1007="SBJ"),AND(J1007=1,I1007=0)),"?IN_FOCUS",IF(J1007&lt;=2,"?ACTIVATED",IF(J1007&lt;&gt;"","?FAMILIAR",IF(F1007="NEW",IF(ISNA(VLOOKUP(E1007,#REF!,1,FALSE())),"?TYPE_IDENTIFIABLE","?REFERENTIAL"),"_")))))</f>
        <v/>
      </c>
      <c r="H1007" s="23" t="str">
        <f t="shared" ca="1" si="77"/>
        <v/>
      </c>
      <c r="I1007" s="24" t="str">
        <f>IF(OR(E1007="",E1007="!!!",F1007="NEW"),"",INDEX(B$2:B1006,-1+SUMPRODUCT(MAX(ROW(E$2:E1006)*(E1007=E$2:E1006)))))</f>
        <v/>
      </c>
      <c r="J1007" s="24" t="str">
        <f ca="1">IF(OR(E1007="",E1007="!!!",F1007="NEW"),"",COUNTBLANK(OFFSET(A$1,,,SUMPRODUCT(MAX(ROW(E$2:E1007)*(E1007=E$2:E1007)))))-COUNTBLANK(OFFSET(A$1,,,SUMPRODUCT(MAX(ROW(E$1:E1006)*(E2=E$1:E1006))))))</f>
        <v/>
      </c>
      <c r="K1007" s="24" t="str">
        <f>IF(OR(E1007="",E1007="!!!",F1007="NEW"),"",INDEX(J$1:J1006,SUMPRODUCT(MAX(ROW(E$1:E1006)*(E1007=E$1:E1006)))))</f>
        <v/>
      </c>
      <c r="L1007" s="25"/>
    </row>
    <row r="1008" spans="1:12" x14ac:dyDescent="0.3">
      <c r="A1008" t="s">
        <v>621</v>
      </c>
      <c r="E1008" s="20" t="str">
        <f t="shared" si="76"/>
        <v/>
      </c>
      <c r="F1008" s="21" t="str">
        <f>IF(OR(E1008="",E1008="!!!"),"",IF(NOT(ISNA(VLOOKUP(E1008,E$1:E1007,1,FALSE()))),"OLD",IF(AND(E1008&lt;&gt;"",E1008&lt;&gt;"!!!"),"NEW","")))</f>
        <v/>
      </c>
      <c r="G1008" s="22" t="str">
        <f>IF(OR(E1008="",E1008="!!!"),"",IF(OR(J1008=0,AND(J1008=1,K1008=1),AND(J1008=1,I1008="SBJ"),AND(J1008=1,I1008=0)),"?IN_FOCUS",IF(J1008&lt;=2,"?ACTIVATED",IF(J1008&lt;&gt;"","?FAMILIAR",IF(F1008="NEW",IF(ISNA(VLOOKUP(E1008,#REF!,1,FALSE())),"?TYPE_IDENTIFIABLE","?REFERENTIAL"),"_")))))</f>
        <v/>
      </c>
      <c r="H1008" s="23" t="str">
        <f t="shared" ca="1" si="77"/>
        <v/>
      </c>
      <c r="I1008" s="24" t="str">
        <f>IF(OR(E1008="",E1008="!!!",F1008="NEW"),"",INDEX(B$2:B1007,-1+SUMPRODUCT(MAX(ROW(E$2:E1007)*(E1008=E$2:E1007)))))</f>
        <v/>
      </c>
      <c r="J1008" s="24" t="str">
        <f ca="1">IF(OR(E1008="",E1008="!!!",F1008="NEW"),"",COUNTBLANK(OFFSET(A$1,,,SUMPRODUCT(MAX(ROW(E$2:E1008)*(E1008=E$2:E1008)))))-COUNTBLANK(OFFSET(A$1,,,SUMPRODUCT(MAX(ROW(E$1:E1007)*(E2=E$1:E1007))))))</f>
        <v/>
      </c>
      <c r="K1008" s="24" t="str">
        <f>IF(OR(E1008="",E1008="!!!",F1008="NEW"),"",INDEX(J$1:J1007,SUMPRODUCT(MAX(ROW(E$1:E1007)*(E1008=E$1:E1007)))))</f>
        <v/>
      </c>
      <c r="L1008" s="25"/>
    </row>
    <row r="1009" spans="1:12" x14ac:dyDescent="0.3">
      <c r="A1009" t="s">
        <v>424</v>
      </c>
      <c r="B1009" s="26" t="s">
        <v>281</v>
      </c>
      <c r="C1009" s="26" t="s">
        <v>380</v>
      </c>
      <c r="D1009" s="26" t="s">
        <v>215</v>
      </c>
      <c r="E1009" s="20" t="s">
        <v>669</v>
      </c>
      <c r="F1009" s="21" t="str">
        <f>IF(OR(E1009="",E1009="!!!"),"",IF(NOT(ISNA(VLOOKUP(E1009,E$1:E1008,1,FALSE()))),"OLD",IF(AND(E1009&lt;&gt;"",E1009&lt;&gt;"!!!"),"NEW","")))</f>
        <v>OLD</v>
      </c>
      <c r="G1009" s="22" t="str">
        <f ca="1">IF(OR(E1009="",E1009="!!!"),"",IF(OR(J1009=0,AND(J1009=1,K1009=1),AND(J1009=1,I1009="SBJ"),AND(J1009=1,I1009=0)),"?IN_FOCUS",IF(J1009&lt;=2,"?ACTIVATED",IF(J1009&lt;&gt;"","?FAMILIAR",IF(F1009="NEW",IF(ISNA(VLOOKUP(E1009,#REF!,1,FALSE())),"?TYPE_IDENTIFIABLE","?REFERENTIAL"),"_")))))</f>
        <v>?IN_FOCUS</v>
      </c>
      <c r="H1009" s="23" t="str">
        <f t="shared" ca="1" si="77"/>
        <v/>
      </c>
      <c r="I1009" s="24" t="str">
        <f>IF(OR(E1009="",E1009="!!!",F1009="NEW"),"",INDEX(B$2:B1008,-1+SUMPRODUCT(MAX(ROW(E$2:E1008)*(E1009=E$2:E1008)))))</f>
        <v>OBJ_4</v>
      </c>
      <c r="J1009" s="24">
        <f ca="1">IF(OR(E1009="",E1009="!!!",F1009="NEW"),"",COUNTBLANK(OFFSET(A$1,,,SUMPRODUCT(MAX(ROW(E$2:E1009)*(E1009=E$2:E1009)))))-COUNTBLANK(OFFSET(A$1,,,SUMPRODUCT(MAX(ROW(E$1:E1008)*(E2=E$1:E1008))))))</f>
        <v>0</v>
      </c>
      <c r="K1009" s="24">
        <f ca="1">IF(OR(E1009="",E1009="!!!",F1009="NEW"),"",INDEX(J$1:J1008,SUMPRODUCT(MAX(ROW(E$1:E1008)*(E1009=E$1:E1008)))))</f>
        <v>0</v>
      </c>
      <c r="L1009" s="25"/>
    </row>
    <row r="1010" spans="1:12" x14ac:dyDescent="0.3">
      <c r="A1010" t="s">
        <v>622</v>
      </c>
      <c r="B1010" s="26" t="s">
        <v>529</v>
      </c>
      <c r="C1010" s="26" t="s">
        <v>264</v>
      </c>
      <c r="D1010" s="26" t="s">
        <v>215</v>
      </c>
      <c r="E1010" s="20" t="s">
        <v>729</v>
      </c>
      <c r="F1010" s="21" t="str">
        <f>IF(OR(E1010="",E1010="!!!"),"",IF(NOT(ISNA(VLOOKUP(E1010,E$1:E1009,1,FALSE()))),"OLD",IF(AND(E1010&lt;&gt;"",E1010&lt;&gt;"!!!"),"NEW","")))</f>
        <v>NEW</v>
      </c>
      <c r="G1010" s="22" t="str">
        <f ca="1">IF(OR(E1010="",E1010="!!!"),"",IF(OR(J1010=0,AND(J1010=1,K1010=1),AND(J1010=1,I1010="SBJ"),AND(J1010=1,I1010=0)),"?IN_FOCUS",IF(J1010&lt;=2,"?ACTIVATED",IF(J1010&lt;&gt;"","?FAMILIAR",IF(F1010="NEW",IF(ISNA(VLOOKUP(E1010,#REF!,1,FALSE())),"?TYPE_IDENTIFIABLE","?REFERENTIAL"),"_")))))</f>
        <v>?REFERENTIAL</v>
      </c>
      <c r="H1010" s="23" t="str">
        <f t="shared" ca="1" si="77"/>
        <v/>
      </c>
      <c r="I1010" s="24" t="str">
        <f>IF(OR(E1010="",E1010="!!!",F1010="NEW"),"",INDEX(B$2:B1009,-1+SUMPRODUCT(MAX(ROW(E$2:E1009)*(E1010=E$2:E1009)))))</f>
        <v/>
      </c>
      <c r="J1010" s="24" t="str">
        <f ca="1">IF(OR(E1010="",E1010="!!!",F1010="NEW"),"",COUNTBLANK(OFFSET(A$1,,,SUMPRODUCT(MAX(ROW(E$2:E1010)*(E1010=E$2:E1010)))))-COUNTBLANK(OFFSET(A$1,,,SUMPRODUCT(MAX(ROW(E$1:E1009)*(E2=E$1:E1009))))))</f>
        <v/>
      </c>
      <c r="K1010" s="24" t="str">
        <f>IF(OR(E1010="",E1010="!!!",F1010="NEW"),"",INDEX(J$1:J1009,SUMPRODUCT(MAX(ROW(E$1:E1009)*(E1010=E$1:E1009)))))</f>
        <v/>
      </c>
      <c r="L1010" s="25"/>
    </row>
    <row r="1011" spans="1:12" x14ac:dyDescent="0.3">
      <c r="A1011" t="s">
        <v>287</v>
      </c>
      <c r="E1011" s="20" t="str">
        <f t="shared" si="76"/>
        <v/>
      </c>
      <c r="F1011" s="21" t="str">
        <f>IF(OR(E1011="",E1011="!!!"),"",IF(NOT(ISNA(VLOOKUP(E1011,E$1:E1010,1,FALSE()))),"OLD",IF(AND(E1011&lt;&gt;"",E1011&lt;&gt;"!!!"),"NEW","")))</f>
        <v/>
      </c>
      <c r="G1011" s="22" t="str">
        <f>IF(OR(E1011="",E1011="!!!"),"",IF(OR(J1011=0,AND(J1011=1,K1011=1),AND(J1011=1,I1011="SBJ"),AND(J1011=1,I1011=0)),"?IN_FOCUS",IF(J1011&lt;=2,"?ACTIVATED",IF(J1011&lt;&gt;"","?FAMILIAR",IF(F1011="NEW",IF(ISNA(VLOOKUP(E1011,#REF!,1,FALSE())),"?TYPE_IDENTIFIABLE","?REFERENTIAL"),"_")))))</f>
        <v/>
      </c>
      <c r="H1011" s="23" t="str">
        <f t="shared" ca="1" si="77"/>
        <v/>
      </c>
      <c r="I1011" s="24" t="str">
        <f>IF(OR(E1011="",E1011="!!!",F1011="NEW"),"",INDEX(B$2:B1010,-1+SUMPRODUCT(MAX(ROW(E$2:E1010)*(E1011=E$2:E1010)))))</f>
        <v/>
      </c>
      <c r="J1011" s="24" t="str">
        <f ca="1">IF(OR(E1011="",E1011="!!!",F1011="NEW"),"",COUNTBLANK(OFFSET(A$1,,,SUMPRODUCT(MAX(ROW(E$2:E1011)*(E1011=E$2:E1011)))))-COUNTBLANK(OFFSET(A$1,,,SUMPRODUCT(MAX(ROW(E$1:E1010)*(E2=E$1:E1010))))))</f>
        <v/>
      </c>
      <c r="K1011" s="24" t="str">
        <f>IF(OR(E1011="",E1011="!!!",F1011="NEW"),"",INDEX(J$1:J1010,SUMPRODUCT(MAX(ROW(E$1:E1010)*(E1011=E$1:E1010)))))</f>
        <v/>
      </c>
      <c r="L1011" s="25"/>
    </row>
    <row r="1012" spans="1:12" x14ac:dyDescent="0.3">
      <c r="A1012" t="s">
        <v>623</v>
      </c>
      <c r="E1012" s="20" t="str">
        <f t="shared" si="76"/>
        <v/>
      </c>
      <c r="F1012" s="21" t="str">
        <f>IF(OR(E1012="",E1012="!!!"),"",IF(NOT(ISNA(VLOOKUP(E1012,E$1:E1011,1,FALSE()))),"OLD",IF(AND(E1012&lt;&gt;"",E1012&lt;&gt;"!!!"),"NEW","")))</f>
        <v/>
      </c>
      <c r="G1012" s="22" t="str">
        <f>IF(OR(E1012="",E1012="!!!"),"",IF(OR(J1012=0,AND(J1012=1,K1012=1),AND(J1012=1,I1012="SBJ"),AND(J1012=1,I1012=0)),"?IN_FOCUS",IF(J1012&lt;=2,"?ACTIVATED",IF(J1012&lt;&gt;"","?FAMILIAR",IF(F1012="NEW",IF(ISNA(VLOOKUP(E1012,#REF!,1,FALSE())),"?TYPE_IDENTIFIABLE","?REFERENTIAL"),"_")))))</f>
        <v/>
      </c>
      <c r="H1012" s="23" t="str">
        <f t="shared" ca="1" si="77"/>
        <v/>
      </c>
      <c r="I1012" s="24" t="str">
        <f>IF(OR(E1012="",E1012="!!!",F1012="NEW"),"",INDEX(B$2:B1011,-1+SUMPRODUCT(MAX(ROW(E$2:E1011)*(E1012=E$2:E1011)))))</f>
        <v/>
      </c>
      <c r="J1012" s="24" t="str">
        <f ca="1">IF(OR(E1012="",E1012="!!!",F1012="NEW"),"",COUNTBLANK(OFFSET(A$1,,,SUMPRODUCT(MAX(ROW(E$2:E1012)*(E1012=E$2:E1012)))))-COUNTBLANK(OFFSET(A$1,,,SUMPRODUCT(MAX(ROW(E$1:E1011)*(E2=E$1:E1011))))))</f>
        <v/>
      </c>
      <c r="K1012" s="24" t="str">
        <f>IF(OR(E1012="",E1012="!!!",F1012="NEW"),"",INDEX(J$1:J1011,SUMPRODUCT(MAX(ROW(E$1:E1011)*(E1012=E$1:E1011)))))</f>
        <v/>
      </c>
      <c r="L1012" s="25"/>
    </row>
    <row r="1013" spans="1:12" x14ac:dyDescent="0.3">
      <c r="A1013" t="s">
        <v>423</v>
      </c>
      <c r="B1013" s="26" t="s">
        <v>532</v>
      </c>
      <c r="C1013" s="26" t="s">
        <v>230</v>
      </c>
      <c r="D1013" s="26" t="s">
        <v>215</v>
      </c>
      <c r="E1013" s="20" t="s">
        <v>669</v>
      </c>
      <c r="F1013" s="21" t="str">
        <f>IF(OR(E1013="",E1013="!!!"),"",IF(NOT(ISNA(VLOOKUP(E1013,E$1:E1012,1,FALSE()))),"OLD",IF(AND(E1013&lt;&gt;"",E1013&lt;&gt;"!!!"),"NEW","")))</f>
        <v>OLD</v>
      </c>
      <c r="G1013" s="22" t="str">
        <f ca="1">IF(OR(E1013="",E1013="!!!"),"",IF(OR(J1013=0,AND(J1013=1,K1013=1),AND(J1013=1,I1013="SBJ"),AND(J1013=1,I1013=0)),"?IN_FOCUS",IF(J1013&lt;=2,"?ACTIVATED",IF(J1013&lt;&gt;"","?FAMILIAR",IF(F1013="NEW",IF(ISNA(VLOOKUP(E1013,#REF!,1,FALSE())),"?TYPE_IDENTIFIABLE","?REFERENTIAL"),"_")))))</f>
        <v>?IN_FOCUS</v>
      </c>
      <c r="H1013" s="23" t="str">
        <f t="shared" ca="1" si="77"/>
        <v/>
      </c>
      <c r="I1013" s="24" t="str">
        <f>IF(OR(E1013="",E1013="!!!",F1013="NEW"),"",INDEX(B$2:B1012,-1+SUMPRODUCT(MAX(ROW(E$2:E1012)*(E1013=E$2:E1012)))))</f>
        <v>other_7</v>
      </c>
      <c r="J1013" s="24">
        <f ca="1">IF(OR(E1013="",E1013="!!!",F1013="NEW"),"",COUNTBLANK(OFFSET(A$1,,,SUMPRODUCT(MAX(ROW(E$2:E1013)*(E1013=E$2:E1013)))))-COUNTBLANK(OFFSET(A$1,,,SUMPRODUCT(MAX(ROW(E$1:E1012)*(E2=E$1:E1012))))))</f>
        <v>0</v>
      </c>
      <c r="K1013" s="24">
        <f ca="1">IF(OR(E1013="",E1013="!!!",F1013="NEW"),"",INDEX(J$1:J1012,SUMPRODUCT(MAX(ROW(E$1:E1012)*(E1013=E$1:E1012)))))</f>
        <v>0</v>
      </c>
      <c r="L1013" s="25"/>
    </row>
    <row r="1014" spans="1:12" x14ac:dyDescent="0.3">
      <c r="A1014" t="s">
        <v>234</v>
      </c>
      <c r="E1014" s="20" t="str">
        <f t="shared" si="76"/>
        <v/>
      </c>
      <c r="F1014" s="21" t="str">
        <f>IF(OR(E1014="",E1014="!!!"),"",IF(NOT(ISNA(VLOOKUP(E1014,E$1:E1013,1,FALSE()))),"OLD",IF(AND(E1014&lt;&gt;"",E1014&lt;&gt;"!!!"),"NEW","")))</f>
        <v/>
      </c>
      <c r="G1014" s="22" t="str">
        <f>IF(OR(E1014="",E1014="!!!"),"",IF(OR(J1014=0,AND(J1014=1,K1014=1),AND(J1014=1,I1014="SBJ"),AND(J1014=1,I1014=0)),"?IN_FOCUS",IF(J1014&lt;=2,"?ACTIVATED",IF(J1014&lt;&gt;"","?FAMILIAR",IF(F1014="NEW",IF(ISNA(VLOOKUP(E1014,#REF!,1,FALSE())),"?TYPE_IDENTIFIABLE","?REFERENTIAL"),"_")))))</f>
        <v/>
      </c>
      <c r="H1014" s="23" t="str">
        <f t="shared" ca="1" si="77"/>
        <v/>
      </c>
      <c r="I1014" s="24" t="str">
        <f>IF(OR(E1014="",E1014="!!!",F1014="NEW"),"",INDEX(B$2:B1013,-1+SUMPRODUCT(MAX(ROW(E$2:E1013)*(E1014=E$2:E1013)))))</f>
        <v/>
      </c>
      <c r="J1014" s="24" t="str">
        <f ca="1">IF(OR(E1014="",E1014="!!!",F1014="NEW"),"",COUNTBLANK(OFFSET(A$1,,,SUMPRODUCT(MAX(ROW(E$2:E1014)*(E1014=E$2:E1014)))))-COUNTBLANK(OFFSET(A$1,,,SUMPRODUCT(MAX(ROW(E$1:E1013)*(E2=E$1:E1013))))))</f>
        <v/>
      </c>
      <c r="K1014" s="24" t="str">
        <f>IF(OR(E1014="",E1014="!!!",F1014="NEW"),"",INDEX(J$1:J1013,SUMPRODUCT(MAX(ROW(E$1:E1013)*(E1014=E$1:E1013)))))</f>
        <v/>
      </c>
      <c r="L1014" s="25"/>
    </row>
    <row r="1016" spans="1:12" x14ac:dyDescent="0.3">
      <c r="A1016" t="s">
        <v>624</v>
      </c>
    </row>
    <row r="1017" spans="1:12" x14ac:dyDescent="0.3">
      <c r="A1017" t="s">
        <v>236</v>
      </c>
      <c r="E1017" s="20" t="str">
        <f t="shared" ref="E1017:E1048" si="78">IF(D1017="?OLD","!!!","")</f>
        <v/>
      </c>
      <c r="F1017" s="21" t="str">
        <f>IF(OR(E1017="",E1017="!!!"),"",IF(NOT(ISNA(VLOOKUP(E1017,E$1:E1016,1,FALSE()))),"OLD",IF(AND(E1017&lt;&gt;"",E1017&lt;&gt;"!!!"),"NEW","")))</f>
        <v/>
      </c>
      <c r="G1017" s="22" t="str">
        <f>IF(OR(E1017="",E1017="!!!"),"",IF(OR(J1017=0,AND(J1017=1,K1017=1),AND(J1017=1,I1017="SBJ"),AND(J1017=1,I1017=0)),"?IN_FOCUS",IF(J1017&lt;=2,"?ACTIVATED",IF(J1017&lt;&gt;"","?FAMILIAR",IF(F1017="NEW",IF(ISNA(VLOOKUP(E1017,#REF!,1,FALSE())),"?TYPE_IDENTIFIABLE","?REFERENTIAL"),"_")))))</f>
        <v/>
      </c>
      <c r="H1017" s="23" t="str">
        <f t="shared" ref="H1017:H1048" ca="1" si="79">IF(J1017&lt;&gt;1,"",IF(I1017="SBJ","CB","?"))</f>
        <v/>
      </c>
      <c r="I1017" s="24" t="str">
        <f>IF(OR(E1017="",E1017="!!!",F1017="NEW"),"",INDEX(B$2:B1016,-1+SUMPRODUCT(MAX(ROW(E$2:E1016)*(E1017=E$2:E1016)))))</f>
        <v/>
      </c>
      <c r="J1017" s="24" t="str">
        <f ca="1">IF(OR(E1017="",E1017="!!!",F1017="NEW"),"",COUNTBLANK(OFFSET(A$1,,,SUMPRODUCT(MAX(ROW(E$2:E1017)*(E1017=E$2:E1017)))))-COUNTBLANK(OFFSET(A$1,,,SUMPRODUCT(MAX(ROW(E$1:E1016)*(E2=E$1:E1016))))))</f>
        <v/>
      </c>
      <c r="K1017" s="24" t="str">
        <f>IF(OR(E1017="",E1017="!!!",F1017="NEW"),"",INDEX(J$1:J1016,SUMPRODUCT(MAX(ROW(E$1:E1016)*(E1017=E$1:E1016)))))</f>
        <v/>
      </c>
      <c r="L1017" s="25"/>
    </row>
    <row r="1018" spans="1:12" x14ac:dyDescent="0.3">
      <c r="A1018" t="s">
        <v>257</v>
      </c>
      <c r="B1018" s="26" t="s">
        <v>213</v>
      </c>
      <c r="C1018" s="26" t="s">
        <v>230</v>
      </c>
      <c r="D1018" s="26" t="s">
        <v>215</v>
      </c>
      <c r="E1018" s="20" t="s">
        <v>739</v>
      </c>
      <c r="F1018" s="21" t="str">
        <f>IF(OR(E1018="",E1018="!!!"),"",IF(NOT(ISNA(VLOOKUP(E1018,E$1:E1017,1,FALSE()))),"OLD",IF(AND(E1018&lt;&gt;"",E1018&lt;&gt;"!!!"),"NEW","")))</f>
        <v>OLD</v>
      </c>
      <c r="G1018" s="22" t="str">
        <f ca="1">IF(OR(E1018="",E1018="!!!"),"",IF(OR(J1018=0,AND(J1018=1,K1018=1),AND(J1018=1,I1018="SBJ"),AND(J1018=1,I1018=0)),"?IN_FOCUS",IF(J1018&lt;=2,"?ACTIVATED",IF(J1018&lt;&gt;"","?FAMILIAR",IF(F1018="NEW",IF(ISNA(VLOOKUP(E1018,#REF!,1,FALSE())),"?TYPE_IDENTIFIABLE","?REFERENTIAL"),"_")))))</f>
        <v>?IN_FOCUS</v>
      </c>
      <c r="H1018" s="23" t="str">
        <f t="shared" ca="1" si="79"/>
        <v/>
      </c>
      <c r="I1018" s="24" t="str">
        <f>IF(OR(E1018="",E1018="!!!",F1018="NEW"),"",INDEX(B$2:B1017,-1+SUMPRODUCT(MAX(ROW(E$2:E1017)*(E1018=E$2:E1017)))))</f>
        <v>SBJ</v>
      </c>
      <c r="J1018" s="24">
        <f ca="1">IF(OR(E1018="",E1018="!!!",F1018="NEW"),"",COUNTBLANK(OFFSET(A$1,,,SUMPRODUCT(MAX(ROW(E$2:E1018)*(E1018=E$2:E1018)))))-COUNTBLANK(OFFSET(A$1,,,SUMPRODUCT(MAX(ROW(E$1:E1017)*(E2=E$1:E1017))))))</f>
        <v>0</v>
      </c>
      <c r="K1018" s="24">
        <f ca="1">IF(OR(E1018="",E1018="!!!",F1018="NEW"),"",INDEX(J$1:J1017,SUMPRODUCT(MAX(ROW(E$1:E1017)*(E1018=E$1:E1017)))))</f>
        <v>0</v>
      </c>
      <c r="L1018" s="25"/>
    </row>
    <row r="1019" spans="1:12" x14ac:dyDescent="0.3">
      <c r="A1019" t="s">
        <v>625</v>
      </c>
      <c r="E1019" s="20" t="str">
        <f t="shared" si="78"/>
        <v/>
      </c>
      <c r="F1019" s="21" t="str">
        <f>IF(OR(E1019="",E1019="!!!"),"",IF(NOT(ISNA(VLOOKUP(E1019,E$1:E1018,1,FALSE()))),"OLD",IF(AND(E1019&lt;&gt;"",E1019&lt;&gt;"!!!"),"NEW","")))</f>
        <v/>
      </c>
      <c r="G1019" s="22" t="str">
        <f>IF(OR(E1019="",E1019="!!!"),"",IF(OR(J1019=0,AND(J1019=1,K1019=1),AND(J1019=1,I1019="SBJ"),AND(J1019=1,I1019=0)),"?IN_FOCUS",IF(J1019&lt;=2,"?ACTIVATED",IF(J1019&lt;&gt;"","?FAMILIAR",IF(F1019="NEW",IF(ISNA(VLOOKUP(E1019,#REF!,1,FALSE())),"?TYPE_IDENTIFIABLE","?REFERENTIAL"),"_")))))</f>
        <v/>
      </c>
      <c r="H1019" s="23" t="str">
        <f t="shared" ca="1" si="79"/>
        <v/>
      </c>
      <c r="I1019" s="24" t="str">
        <f>IF(OR(E1019="",E1019="!!!",F1019="NEW"),"",INDEX(B$2:B1018,-1+SUMPRODUCT(MAX(ROW(E$2:E1018)*(E1019=E$2:E1018)))))</f>
        <v/>
      </c>
      <c r="J1019" s="24" t="str">
        <f ca="1">IF(OR(E1019="",E1019="!!!",F1019="NEW"),"",COUNTBLANK(OFFSET(A$1,,,SUMPRODUCT(MAX(ROW(E$2:E1019)*(E1019=E$2:E1019)))))-COUNTBLANK(OFFSET(A$1,,,SUMPRODUCT(MAX(ROW(E$1:E1018)*(E2=E$1:E1018))))))</f>
        <v/>
      </c>
      <c r="K1019" s="24" t="str">
        <f>IF(OR(E1019="",E1019="!!!",F1019="NEW"),"",INDEX(J$1:J1018,SUMPRODUCT(MAX(ROW(E$1:E1018)*(E1019=E$1:E1018)))))</f>
        <v/>
      </c>
      <c r="L1019" s="25"/>
    </row>
    <row r="1020" spans="1:12" x14ac:dyDescent="0.3">
      <c r="A1020" t="s">
        <v>626</v>
      </c>
      <c r="E1020" s="20" t="str">
        <f t="shared" si="78"/>
        <v/>
      </c>
      <c r="F1020" s="21" t="str">
        <f>IF(OR(E1020="",E1020="!!!"),"",IF(NOT(ISNA(VLOOKUP(E1020,E$1:E1019,1,FALSE()))),"OLD",IF(AND(E1020&lt;&gt;"",E1020&lt;&gt;"!!!"),"NEW","")))</f>
        <v/>
      </c>
      <c r="G1020" s="22" t="str">
        <f>IF(OR(E1020="",E1020="!!!"),"",IF(OR(J1020=0,AND(J1020=1,K1020=1),AND(J1020=1,I1020="SBJ"),AND(J1020=1,I1020=0)),"?IN_FOCUS",IF(J1020&lt;=2,"?ACTIVATED",IF(J1020&lt;&gt;"","?FAMILIAR",IF(F1020="NEW",IF(ISNA(VLOOKUP(E1020,#REF!,1,FALSE())),"?TYPE_IDENTIFIABLE","?REFERENTIAL"),"_")))))</f>
        <v/>
      </c>
      <c r="H1020" s="23" t="str">
        <f t="shared" ca="1" si="79"/>
        <v/>
      </c>
      <c r="I1020" s="24" t="str">
        <f>IF(OR(E1020="",E1020="!!!",F1020="NEW"),"",INDEX(B$2:B1019,-1+SUMPRODUCT(MAX(ROW(E$2:E1019)*(E1020=E$2:E1019)))))</f>
        <v/>
      </c>
      <c r="J1020" s="24" t="str">
        <f ca="1">IF(OR(E1020="",E1020="!!!",F1020="NEW"),"",COUNTBLANK(OFFSET(A$1,,,SUMPRODUCT(MAX(ROW(E$2:E1020)*(E1020=E$2:E1020)))))-COUNTBLANK(OFFSET(A$1,,,SUMPRODUCT(MAX(ROW(E$1:E1019)*(E2=E$1:E1019))))))</f>
        <v/>
      </c>
      <c r="K1020" s="24" t="str">
        <f>IF(OR(E1020="",E1020="!!!",F1020="NEW"),"",INDEX(J$1:J1019,SUMPRODUCT(MAX(ROW(E$1:E1019)*(E1020=E$1:E1019)))))</f>
        <v/>
      </c>
      <c r="L1020" s="25"/>
    </row>
    <row r="1021" spans="1:12" x14ac:dyDescent="0.3">
      <c r="A1021" t="s">
        <v>155</v>
      </c>
      <c r="E1021" s="20" t="str">
        <f t="shared" si="78"/>
        <v/>
      </c>
      <c r="F1021" s="21" t="str">
        <f>IF(OR(E1021="",E1021="!!!"),"",IF(NOT(ISNA(VLOOKUP(E1021,E$1:E1020,1,FALSE()))),"OLD",IF(AND(E1021&lt;&gt;"",E1021&lt;&gt;"!!!"),"NEW","")))</f>
        <v/>
      </c>
      <c r="G1021" s="22" t="str">
        <f>IF(OR(E1021="",E1021="!!!"),"",IF(OR(J1021=0,AND(J1021=1,K1021=1),AND(J1021=1,I1021="SBJ"),AND(J1021=1,I1021=0)),"?IN_FOCUS",IF(J1021&lt;=2,"?ACTIVATED",IF(J1021&lt;&gt;"","?FAMILIAR",IF(F1021="NEW",IF(ISNA(VLOOKUP(E1021,#REF!,1,FALSE())),"?TYPE_IDENTIFIABLE","?REFERENTIAL"),"_")))))</f>
        <v/>
      </c>
      <c r="H1021" s="23" t="str">
        <f t="shared" ca="1" si="79"/>
        <v/>
      </c>
      <c r="I1021" s="24" t="str">
        <f>IF(OR(E1021="",E1021="!!!",F1021="NEW"),"",INDEX(B$2:B1020,-1+SUMPRODUCT(MAX(ROW(E$2:E1020)*(E1021=E$2:E1020)))))</f>
        <v/>
      </c>
      <c r="J1021" s="24" t="str">
        <f ca="1">IF(OR(E1021="",E1021="!!!",F1021="NEW"),"",COUNTBLANK(OFFSET(A$1,,,SUMPRODUCT(MAX(ROW(E$2:E1021)*(E1021=E$2:E1021)))))-COUNTBLANK(OFFSET(A$1,,,SUMPRODUCT(MAX(ROW(E$1:E1020)*(E2=E$1:E1020))))))</f>
        <v/>
      </c>
      <c r="K1021" s="24" t="str">
        <f>IF(OR(E1021="",E1021="!!!",F1021="NEW"),"",INDEX(J$1:J1020,SUMPRODUCT(MAX(ROW(E$1:E1020)*(E1021=E$1:E1020)))))</f>
        <v/>
      </c>
      <c r="L1021" s="25"/>
    </row>
    <row r="1022" spans="1:12" x14ac:dyDescent="0.3">
      <c r="A1022" t="s">
        <v>188</v>
      </c>
      <c r="B1022" s="26" t="s">
        <v>261</v>
      </c>
      <c r="C1022" s="26" t="s">
        <v>226</v>
      </c>
      <c r="E1022" s="20" t="s">
        <v>188</v>
      </c>
      <c r="F1022" s="21" t="str">
        <f>IF(OR(E1022="",E1022="!!!"),"",IF(NOT(ISNA(VLOOKUP(E1022,E$1:E1021,1,FALSE()))),"OLD",IF(AND(E1022&lt;&gt;"",E1022&lt;&gt;"!!!"),"NEW","")))</f>
        <v>OLD</v>
      </c>
      <c r="G1022" s="22" t="str">
        <f ca="1">IF(OR(E1022="",E1022="!!!"),"",IF(OR(J1022=0,AND(J1022=1,K1022=1),AND(J1022=1,I1022="SBJ"),AND(J1022=1,I1022=0)),"?IN_FOCUS",IF(J1022&lt;=2,"?ACTIVATED",IF(J1022&lt;&gt;"","?FAMILIAR",IF(F1022="NEW",IF(ISNA(VLOOKUP(E1022,#REF!,1,FALSE())),"?TYPE_IDENTIFIABLE","?REFERENTIAL"),"_")))))</f>
        <v>?IN_FOCUS</v>
      </c>
      <c r="H1022" s="23" t="s">
        <v>198</v>
      </c>
      <c r="I1022" s="24" t="str">
        <f>IF(OR(E1022="",E1022="!!!",F1022="NEW"),"",INDEX(B$2:B1021,-1+SUMPRODUCT(MAX(ROW(E$2:E1021)*(E1022=E$2:E1021)))))</f>
        <v>other_2</v>
      </c>
      <c r="J1022" s="24">
        <f ca="1">IF(OR(E1022="",E1022="!!!",F1022="NEW"),"",COUNTBLANK(OFFSET(A$1,,,SUMPRODUCT(MAX(ROW(E$2:E1022)*(E1022=E$2:E1022)))))-COUNTBLANK(OFFSET(A$1,,,SUMPRODUCT(MAX(ROW(E$1:E1021)*(E2=E$1:E1021))))))</f>
        <v>0</v>
      </c>
      <c r="K1022" s="24">
        <f ca="1">IF(OR(E1022="",E1022="!!!",F1022="NEW"),"",INDEX(J$1:J1021,SUMPRODUCT(MAX(ROW(E$1:E1021)*(E1022=E$1:E1021)))))</f>
        <v>0</v>
      </c>
      <c r="L1022" s="25"/>
    </row>
    <row r="1023" spans="1:12" x14ac:dyDescent="0.3">
      <c r="A1023" t="s">
        <v>282</v>
      </c>
      <c r="E1023" s="20" t="str">
        <f t="shared" si="78"/>
        <v/>
      </c>
      <c r="F1023" s="21" t="str">
        <f>IF(OR(E1023="",E1023="!!!"),"",IF(NOT(ISNA(VLOOKUP(E1023,E$1:E1022,1,FALSE()))),"OLD",IF(AND(E1023&lt;&gt;"",E1023&lt;&gt;"!!!"),"NEW","")))</f>
        <v/>
      </c>
      <c r="G1023" s="22" t="str">
        <f>IF(OR(E1023="",E1023="!!!"),"",IF(OR(J1023=0,AND(J1023=1,K1023=1),AND(J1023=1,I1023="SBJ"),AND(J1023=1,I1023=0)),"?IN_FOCUS",IF(J1023&lt;=2,"?ACTIVATED",IF(J1023&lt;&gt;"","?FAMILIAR",IF(F1023="NEW",IF(ISNA(VLOOKUP(E1023,#REF!,1,FALSE())),"?TYPE_IDENTIFIABLE","?REFERENTIAL"),"_")))))</f>
        <v/>
      </c>
      <c r="H1023" s="23" t="str">
        <f t="shared" ca="1" si="79"/>
        <v/>
      </c>
      <c r="I1023" s="24" t="str">
        <f>IF(OR(E1023="",E1023="!!!",F1023="NEW"),"",INDEX(B$2:B1022,-1+SUMPRODUCT(MAX(ROW(E$2:E1022)*(E1023=E$2:E1022)))))</f>
        <v/>
      </c>
      <c r="J1023" s="24" t="str">
        <f ca="1">IF(OR(E1023="",E1023="!!!",F1023="NEW"),"",COUNTBLANK(OFFSET(A$1,,,SUMPRODUCT(MAX(ROW(E$2:E1023)*(E1023=E$2:E1023)))))-COUNTBLANK(OFFSET(A$1,,,SUMPRODUCT(MAX(ROW(E$1:E1022)*(E2=E$1:E1022))))))</f>
        <v/>
      </c>
      <c r="K1023" s="24" t="str">
        <f>IF(OR(E1023="",E1023="!!!",F1023="NEW"),"",INDEX(J$1:J1022,SUMPRODUCT(MAX(ROW(E$1:E1022)*(E1023=E$1:E1022)))))</f>
        <v/>
      </c>
      <c r="L1023" s="25"/>
    </row>
    <row r="1024" spans="1:12" x14ac:dyDescent="0.3">
      <c r="A1024" t="s">
        <v>290</v>
      </c>
      <c r="B1024" s="26" t="s">
        <v>205</v>
      </c>
      <c r="C1024" s="26" t="s">
        <v>214</v>
      </c>
      <c r="D1024" s="26" t="s">
        <v>215</v>
      </c>
      <c r="E1024" s="20" t="s">
        <v>669</v>
      </c>
      <c r="F1024" s="21" t="str">
        <f>IF(OR(E1024="",E1024="!!!"),"",IF(NOT(ISNA(VLOOKUP(E1024,E$1:E1023,1,FALSE()))),"OLD",IF(AND(E1024&lt;&gt;"",E1024&lt;&gt;"!!!"),"NEW","")))</f>
        <v>OLD</v>
      </c>
      <c r="G1024" s="22" t="str">
        <f ca="1">IF(OR(E1024="",E1024="!!!"),"",IF(OR(J1024=0,AND(J1024=1,K1024=1),AND(J1024=1,I1024="SBJ"),AND(J1024=1,I1024=0)),"?IN_FOCUS",IF(J1024&lt;=2,"?ACTIVATED",IF(J1024&lt;&gt;"","?FAMILIAR",IF(F1024="NEW",IF(ISNA(VLOOKUP(E1024,#REF!,1,FALSE())),"?TYPE_IDENTIFIABLE","?REFERENTIAL"),"_")))))</f>
        <v>?IN_FOCUS</v>
      </c>
      <c r="H1024" s="23" t="str">
        <f t="shared" ca="1" si="79"/>
        <v/>
      </c>
      <c r="I1024" s="24" t="str">
        <f>IF(OR(E1024="",E1024="!!!",F1024="NEW"),"",INDEX(B$2:B1023,-1+SUMPRODUCT(MAX(ROW(E$2:E1023)*(E1024=E$2:E1023)))))</f>
        <v>OBJ_7</v>
      </c>
      <c r="J1024" s="24">
        <f ca="1">IF(OR(E1024="",E1024="!!!",F1024="NEW"),"",COUNTBLANK(OFFSET(A$1,,,SUMPRODUCT(MAX(ROW(E$2:E1024)*(E1024=E$2:E1024)))))-COUNTBLANK(OFFSET(A$1,,,SUMPRODUCT(MAX(ROW(E$1:E1023)*(E2=E$1:E1023))))))</f>
        <v>0</v>
      </c>
      <c r="K1024" s="24">
        <f ca="1">IF(OR(E1024="",E1024="!!!",F1024="NEW"),"",INDEX(J$1:J1023,SUMPRODUCT(MAX(ROW(E$1:E1023)*(E1024=E$1:E1023)))))</f>
        <v>0</v>
      </c>
      <c r="L1024" s="25"/>
    </row>
    <row r="1025" spans="1:12" x14ac:dyDescent="0.3">
      <c r="A1025" t="s">
        <v>207</v>
      </c>
      <c r="E1025" s="20" t="str">
        <f t="shared" si="78"/>
        <v/>
      </c>
      <c r="F1025" s="21" t="str">
        <f>IF(OR(E1025="",E1025="!!!"),"",IF(NOT(ISNA(VLOOKUP(E1025,E$1:E1024,1,FALSE()))),"OLD",IF(AND(E1025&lt;&gt;"",E1025&lt;&gt;"!!!"),"NEW","")))</f>
        <v/>
      </c>
      <c r="G1025" s="22" t="str">
        <f>IF(OR(E1025="",E1025="!!!"),"",IF(OR(J1025=0,AND(J1025=1,K1025=1),AND(J1025=1,I1025="SBJ"),AND(J1025=1,I1025=0)),"?IN_FOCUS",IF(J1025&lt;=2,"?ACTIVATED",IF(J1025&lt;&gt;"","?FAMILIAR",IF(F1025="NEW",IF(ISNA(VLOOKUP(E1025,#REF!,1,FALSE())),"?TYPE_IDENTIFIABLE","?REFERENTIAL"),"_")))))</f>
        <v/>
      </c>
      <c r="H1025" s="23" t="str">
        <f t="shared" ca="1" si="79"/>
        <v/>
      </c>
      <c r="I1025" s="24" t="str">
        <f>IF(OR(E1025="",E1025="!!!",F1025="NEW"),"",INDEX(B$2:B1024,-1+SUMPRODUCT(MAX(ROW(E$2:E1024)*(E1025=E$2:E1024)))))</f>
        <v/>
      </c>
      <c r="J1025" s="24" t="str">
        <f ca="1">IF(OR(E1025="",E1025="!!!",F1025="NEW"),"",COUNTBLANK(OFFSET(A$1,,,SUMPRODUCT(MAX(ROW(E$2:E1025)*(E1025=E$2:E1025)))))-COUNTBLANK(OFFSET(A$1,,,SUMPRODUCT(MAX(ROW(E$1:E1024)*(E2=E$1:E1024))))))</f>
        <v/>
      </c>
      <c r="K1025" s="24" t="str">
        <f>IF(OR(E1025="",E1025="!!!",F1025="NEW"),"",INDEX(J$1:J1024,SUMPRODUCT(MAX(ROW(E$1:E1024)*(E1025=E$1:E1024)))))</f>
        <v/>
      </c>
      <c r="L1025" s="25"/>
    </row>
    <row r="1026" spans="1:12" x14ac:dyDescent="0.3">
      <c r="A1026" t="s">
        <v>627</v>
      </c>
      <c r="E1026" s="20" t="str">
        <f t="shared" si="78"/>
        <v/>
      </c>
      <c r="F1026" s="21" t="str">
        <f>IF(OR(E1026="",E1026="!!!"),"",IF(NOT(ISNA(VLOOKUP(E1026,E$1:E1025,1,FALSE()))),"OLD",IF(AND(E1026&lt;&gt;"",E1026&lt;&gt;"!!!"),"NEW","")))</f>
        <v/>
      </c>
      <c r="G1026" s="22" t="str">
        <f>IF(OR(E1026="",E1026="!!!"),"",IF(OR(J1026=0,AND(J1026=1,K1026=1),AND(J1026=1,I1026="SBJ"),AND(J1026=1,I1026=0)),"?IN_FOCUS",IF(J1026&lt;=2,"?ACTIVATED",IF(J1026&lt;&gt;"","?FAMILIAR",IF(F1026="NEW",IF(ISNA(VLOOKUP(E1026,#REF!,1,FALSE())),"?TYPE_IDENTIFIABLE","?REFERENTIAL"),"_")))))</f>
        <v/>
      </c>
      <c r="H1026" s="23" t="str">
        <f t="shared" ca="1" si="79"/>
        <v/>
      </c>
      <c r="I1026" s="24" t="str">
        <f>IF(OR(E1026="",E1026="!!!",F1026="NEW"),"",INDEX(B$2:B1025,-1+SUMPRODUCT(MAX(ROW(E$2:E1025)*(E1026=E$2:E1025)))))</f>
        <v/>
      </c>
      <c r="J1026" s="24" t="str">
        <f ca="1">IF(OR(E1026="",E1026="!!!",F1026="NEW"),"",COUNTBLANK(OFFSET(A$1,,,SUMPRODUCT(MAX(ROW(E$2:E1026)*(E1026=E$2:E1026)))))-COUNTBLANK(OFFSET(A$1,,,SUMPRODUCT(MAX(ROW(E$1:E1025)*(E2=E$1:E1025))))))</f>
        <v/>
      </c>
      <c r="K1026" s="24" t="str">
        <f>IF(OR(E1026="",E1026="!!!",F1026="NEW"),"",INDEX(J$1:J1025,SUMPRODUCT(MAX(ROW(E$1:E1025)*(E1026=E$1:E1025)))))</f>
        <v/>
      </c>
      <c r="L1026" s="25"/>
    </row>
    <row r="1027" spans="1:12" x14ac:dyDescent="0.3">
      <c r="A1027" t="s">
        <v>120</v>
      </c>
      <c r="B1027" s="26" t="s">
        <v>229</v>
      </c>
      <c r="C1027" s="26" t="s">
        <v>230</v>
      </c>
      <c r="D1027" s="26" t="s">
        <v>215</v>
      </c>
      <c r="E1027" s="20" t="s">
        <v>120</v>
      </c>
      <c r="F1027" s="21" t="str">
        <f>IF(OR(E1027="",E1027="!!!"),"",IF(NOT(ISNA(VLOOKUP(E1027,E$1:E1026,1,FALSE()))),"OLD",IF(AND(E1027&lt;&gt;"",E1027&lt;&gt;"!!!"),"NEW","")))</f>
        <v>OLD</v>
      </c>
      <c r="G1027" s="22" t="str">
        <f ca="1">IF(OR(E1027="",E1027="!!!"),"",IF(OR(J1027=0,AND(J1027=1,K1027=1),AND(J1027=1,I1027="SBJ"),AND(J1027=1,I1027=0)),"?IN_FOCUS",IF(J1027&lt;=2,"?ACTIVATED",IF(J1027&lt;&gt;"","?FAMILIAR",IF(F1027="NEW",IF(ISNA(VLOOKUP(E1027,#REF!,1,FALSE())),"?TYPE_IDENTIFIABLE","?REFERENTIAL"),"_")))))</f>
        <v>?IN_FOCUS</v>
      </c>
      <c r="H1027" s="23" t="str">
        <f t="shared" ca="1" si="79"/>
        <v/>
      </c>
      <c r="I1027" s="24" t="str">
        <f>IF(OR(E1027="",E1027="!!!",F1027="NEW"),"",INDEX(B$2:B1026,-1+SUMPRODUCT(MAX(ROW(E$2:E1026)*(E1027=E$2:E1026)))))</f>
        <v>SBJ</v>
      </c>
      <c r="J1027" s="24">
        <f ca="1">IF(OR(E1027="",E1027="!!!",F1027="NEW"),"",COUNTBLANK(OFFSET(A$1,,,SUMPRODUCT(MAX(ROW(E$2:E1027)*(E1027=E$2:E1027)))))-COUNTBLANK(OFFSET(A$1,,,SUMPRODUCT(MAX(ROW(E$1:E1026)*(E2=E$1:E1026))))))</f>
        <v>0</v>
      </c>
      <c r="K1027" s="24">
        <f ca="1">IF(OR(E1027="",E1027="!!!",F1027="NEW"),"",INDEX(J$1:J1026,SUMPRODUCT(MAX(ROW(E$1:E1026)*(E1027=E$1:E1026)))))</f>
        <v>0</v>
      </c>
      <c r="L1027" s="25"/>
    </row>
    <row r="1028" spans="1:12" x14ac:dyDescent="0.3">
      <c r="A1028" t="s">
        <v>601</v>
      </c>
      <c r="E1028" s="20" t="str">
        <f t="shared" si="78"/>
        <v/>
      </c>
      <c r="F1028" s="21" t="str">
        <f>IF(OR(E1028="",E1028="!!!"),"",IF(NOT(ISNA(VLOOKUP(E1028,E$1:E1027,1,FALSE()))),"OLD",IF(AND(E1028&lt;&gt;"",E1028&lt;&gt;"!!!"),"NEW","")))</f>
        <v/>
      </c>
      <c r="G1028" s="22" t="str">
        <f>IF(OR(E1028="",E1028="!!!"),"",IF(OR(J1028=0,AND(J1028=1,K1028=1),AND(J1028=1,I1028="SBJ"),AND(J1028=1,I1028=0)),"?IN_FOCUS",IF(J1028&lt;=2,"?ACTIVATED",IF(J1028&lt;&gt;"","?FAMILIAR",IF(F1028="NEW",IF(ISNA(VLOOKUP(E1028,#REF!,1,FALSE())),"?TYPE_IDENTIFIABLE","?REFERENTIAL"),"_")))))</f>
        <v/>
      </c>
      <c r="H1028" s="23" t="str">
        <f t="shared" ca="1" si="79"/>
        <v/>
      </c>
      <c r="I1028" s="24" t="str">
        <f>IF(OR(E1028="",E1028="!!!",F1028="NEW"),"",INDEX(B$2:B1027,-1+SUMPRODUCT(MAX(ROW(E$2:E1027)*(E1028=E$2:E1027)))))</f>
        <v/>
      </c>
      <c r="J1028" s="24" t="str">
        <f ca="1">IF(OR(E1028="",E1028="!!!",F1028="NEW"),"",COUNTBLANK(OFFSET(A$1,,,SUMPRODUCT(MAX(ROW(E$2:E1028)*(E1028=E$2:E1028)))))-COUNTBLANK(OFFSET(A$1,,,SUMPRODUCT(MAX(ROW(E$1:E1027)*(E2=E$1:E1027))))))</f>
        <v/>
      </c>
      <c r="K1028" s="24" t="str">
        <f>IF(OR(E1028="",E1028="!!!",F1028="NEW"),"",INDEX(J$1:J1027,SUMPRODUCT(MAX(ROW(E$1:E1027)*(E1028=E$1:E1027)))))</f>
        <v/>
      </c>
      <c r="L1028" s="25"/>
    </row>
    <row r="1029" spans="1:12" x14ac:dyDescent="0.3">
      <c r="A1029" t="s">
        <v>355</v>
      </c>
      <c r="E1029" s="20" t="str">
        <f t="shared" si="78"/>
        <v/>
      </c>
      <c r="F1029" s="21" t="str">
        <f>IF(OR(E1029="",E1029="!!!"),"",IF(NOT(ISNA(VLOOKUP(E1029,E$1:E1028,1,FALSE()))),"OLD",IF(AND(E1029&lt;&gt;"",E1029&lt;&gt;"!!!"),"NEW","")))</f>
        <v/>
      </c>
      <c r="G1029" s="22" t="str">
        <f>IF(OR(E1029="",E1029="!!!"),"",IF(OR(J1029=0,AND(J1029=1,K1029=1),AND(J1029=1,I1029="SBJ"),AND(J1029=1,I1029=0)),"?IN_FOCUS",IF(J1029&lt;=2,"?ACTIVATED",IF(J1029&lt;&gt;"","?FAMILIAR",IF(F1029="NEW",IF(ISNA(VLOOKUP(E1029,#REF!,1,FALSE())),"?TYPE_IDENTIFIABLE","?REFERENTIAL"),"_")))))</f>
        <v/>
      </c>
      <c r="H1029" s="23" t="str">
        <f t="shared" ca="1" si="79"/>
        <v/>
      </c>
      <c r="I1029" s="24" t="str">
        <f>IF(OR(E1029="",E1029="!!!",F1029="NEW"),"",INDEX(B$2:B1028,-1+SUMPRODUCT(MAX(ROW(E$2:E1028)*(E1029=E$2:E1028)))))</f>
        <v/>
      </c>
      <c r="J1029" s="24" t="str">
        <f ca="1">IF(OR(E1029="",E1029="!!!",F1029="NEW"),"",COUNTBLANK(OFFSET(A$1,,,SUMPRODUCT(MAX(ROW(E$2:E1029)*(E1029=E$2:E1029)))))-COUNTBLANK(OFFSET(A$1,,,SUMPRODUCT(MAX(ROW(E$1:E1028)*(E2=E$1:E1028))))))</f>
        <v/>
      </c>
      <c r="K1029" s="24" t="str">
        <f>IF(OR(E1029="",E1029="!!!",F1029="NEW"),"",INDEX(J$1:J1028,SUMPRODUCT(MAX(ROW(E$1:E1028)*(E1029=E$1:E1028)))))</f>
        <v/>
      </c>
      <c r="L1029" s="25"/>
    </row>
    <row r="1030" spans="1:12" x14ac:dyDescent="0.3">
      <c r="A1030" t="s">
        <v>356</v>
      </c>
      <c r="E1030" s="20" t="s">
        <v>730</v>
      </c>
      <c r="F1030" s="21" t="str">
        <f>IF(OR(E1030="",E1030="!!!"),"",IF(NOT(ISNA(VLOOKUP(E1030,E$1:E1029,1,FALSE()))),"OLD",IF(AND(E1030&lt;&gt;"",E1030&lt;&gt;"!!!"),"NEW","")))</f>
        <v>OLD</v>
      </c>
      <c r="G1030" s="22" t="s">
        <v>657</v>
      </c>
      <c r="H1030" s="23" t="str">
        <f t="shared" ca="1" si="79"/>
        <v/>
      </c>
      <c r="I1030" s="24">
        <f>IF(OR(E1030="",E1030="!!!",F1030="NEW"),"",INDEX(B$2:B1029,-1+SUMPRODUCT(MAX(ROW(E$2:E1029)*(E1030=E$2:E1029)))))</f>
        <v>0</v>
      </c>
      <c r="J1030" s="24">
        <f ca="1">IF(OR(E1030="",E1030="!!!",F1030="NEW"),"",COUNTBLANK(OFFSET(A$1,,,SUMPRODUCT(MAX(ROW(E$2:E1030)*(E1030=E$2:E1030)))))-COUNTBLANK(OFFSET(A$1,,,SUMPRODUCT(MAX(ROW(E$1:E1029)*(E2=E$1:E1029))))))</f>
        <v>0</v>
      </c>
      <c r="K1030" s="24">
        <f ca="1">IF(OR(E1030="",E1030="!!!",F1030="NEW"),"",INDEX(J$1:J1029,SUMPRODUCT(MAX(ROW(E$1:E1029)*(E1030=E$1:E1029)))))</f>
        <v>0</v>
      </c>
      <c r="L1030" s="25" t="s">
        <v>732</v>
      </c>
    </row>
    <row r="1031" spans="1:12" x14ac:dyDescent="0.3">
      <c r="A1031" t="s">
        <v>357</v>
      </c>
      <c r="E1031" s="20" t="str">
        <f t="shared" si="78"/>
        <v/>
      </c>
      <c r="F1031" s="21" t="str">
        <f>IF(OR(E1031="",E1031="!!!"),"",IF(NOT(ISNA(VLOOKUP(E1031,E$1:E1030,1,FALSE()))),"OLD",IF(AND(E1031&lt;&gt;"",E1031&lt;&gt;"!!!"),"NEW","")))</f>
        <v/>
      </c>
      <c r="G1031" s="22" t="str">
        <f>IF(OR(E1031="",E1031="!!!"),"",IF(OR(J1031=0,AND(J1031=1,K1031=1),AND(J1031=1,I1031="SBJ"),AND(J1031=1,I1031=0)),"?IN_FOCUS",IF(J1031&lt;=2,"?ACTIVATED",IF(J1031&lt;&gt;"","?FAMILIAR",IF(F1031="NEW",IF(ISNA(VLOOKUP(E1031,#REF!,1,FALSE())),"?TYPE_IDENTIFIABLE","?REFERENTIAL"),"_")))))</f>
        <v/>
      </c>
      <c r="H1031" s="23" t="str">
        <f t="shared" ca="1" si="79"/>
        <v/>
      </c>
      <c r="I1031" s="24" t="str">
        <f>IF(OR(E1031="",E1031="!!!",F1031="NEW"),"",INDEX(B$2:B1030,-1+SUMPRODUCT(MAX(ROW(E$2:E1030)*(E1031=E$2:E1030)))))</f>
        <v/>
      </c>
      <c r="J1031" s="24" t="str">
        <f ca="1">IF(OR(E1031="",E1031="!!!",F1031="NEW"),"",COUNTBLANK(OFFSET(A$1,,,SUMPRODUCT(MAX(ROW(E$2:E1031)*(E1031=E$2:E1031)))))-COUNTBLANK(OFFSET(A$1,,,SUMPRODUCT(MAX(ROW(E$1:E1030)*(E2=E$1:E1030))))))</f>
        <v/>
      </c>
      <c r="K1031" s="24" t="str">
        <f>IF(OR(E1031="",E1031="!!!",F1031="NEW"),"",INDEX(J$1:J1030,SUMPRODUCT(MAX(ROW(E$1:E1030)*(E1031=E$1:E1030)))))</f>
        <v/>
      </c>
      <c r="L1031" s="25"/>
    </row>
    <row r="1032" spans="1:12" x14ac:dyDescent="0.3">
      <c r="A1032" t="s">
        <v>358</v>
      </c>
      <c r="E1032" s="20" t="str">
        <f t="shared" si="78"/>
        <v/>
      </c>
      <c r="F1032" s="21" t="str">
        <f>IF(OR(E1032="",E1032="!!!"),"",IF(NOT(ISNA(VLOOKUP(E1032,E$1:E1031,1,FALSE()))),"OLD",IF(AND(E1032&lt;&gt;"",E1032&lt;&gt;"!!!"),"NEW","")))</f>
        <v/>
      </c>
      <c r="G1032" s="22" t="str">
        <f>IF(OR(E1032="",E1032="!!!"),"",IF(OR(J1032=0,AND(J1032=1,K1032=1),AND(J1032=1,I1032="SBJ"),AND(J1032=1,I1032=0)),"?IN_FOCUS",IF(J1032&lt;=2,"?ACTIVATED",IF(J1032&lt;&gt;"","?FAMILIAR",IF(F1032="NEW",IF(ISNA(VLOOKUP(E1032,#REF!,1,FALSE())),"?TYPE_IDENTIFIABLE","?REFERENTIAL"),"_")))))</f>
        <v/>
      </c>
      <c r="H1032" s="23" t="str">
        <f t="shared" ca="1" si="79"/>
        <v/>
      </c>
      <c r="I1032" s="24" t="str">
        <f>IF(OR(E1032="",E1032="!!!",F1032="NEW"),"",INDEX(B$2:B1031,-1+SUMPRODUCT(MAX(ROW(E$2:E1031)*(E1032=E$2:E1031)))))</f>
        <v/>
      </c>
      <c r="J1032" s="24" t="str">
        <f ca="1">IF(OR(E1032="",E1032="!!!",F1032="NEW"),"",COUNTBLANK(OFFSET(A$1,,,SUMPRODUCT(MAX(ROW(E$2:E1032)*(E1032=E$2:E1032)))))-COUNTBLANK(OFFSET(A$1,,,SUMPRODUCT(MAX(ROW(E$1:E1031)*(E2=E$1:E1031))))))</f>
        <v/>
      </c>
      <c r="K1032" s="24" t="str">
        <f>IF(OR(E1032="",E1032="!!!",F1032="NEW"),"",INDEX(J$1:J1031,SUMPRODUCT(MAX(ROW(E$1:E1031)*(E1032=E$1:E1031)))))</f>
        <v/>
      </c>
      <c r="L1032" s="25"/>
    </row>
    <row r="1033" spans="1:12" x14ac:dyDescent="0.3">
      <c r="A1033" t="s">
        <v>359</v>
      </c>
      <c r="B1033" s="26" t="s">
        <v>205</v>
      </c>
      <c r="C1033" s="26" t="s">
        <v>214</v>
      </c>
      <c r="D1033" s="26" t="s">
        <v>215</v>
      </c>
      <c r="E1033" s="20" t="s">
        <v>679</v>
      </c>
      <c r="F1033" s="21" t="str">
        <f>IF(OR(E1033="",E1033="!!!"),"",IF(NOT(ISNA(VLOOKUP(E1033,E$1:E1032,1,FALSE()))),"OLD",IF(AND(E1033&lt;&gt;"",E1033&lt;&gt;"!!!"),"NEW","")))</f>
        <v>OLD</v>
      </c>
      <c r="G1033" s="22" t="s">
        <v>657</v>
      </c>
      <c r="H1033" s="23" t="str">
        <f t="shared" ca="1" si="79"/>
        <v/>
      </c>
      <c r="I1033" s="24" t="str">
        <f>IF(OR(E1033="",E1033="!!!",F1033="NEW"),"",INDEX(B$2:B1032,-1+SUMPRODUCT(MAX(ROW(E$2:E1032)*(E1033=E$2:E1032)))))</f>
        <v>other_2</v>
      </c>
      <c r="J1033" s="24">
        <f ca="1">IF(OR(E1033="",E1033="!!!",F1033="NEW"),"",COUNTBLANK(OFFSET(A$1,,,SUMPRODUCT(MAX(ROW(E$2:E1033)*(E1033=E$2:E1033)))))-COUNTBLANK(OFFSET(A$1,,,SUMPRODUCT(MAX(ROW(E$1:E1032)*(E2=E$1:E1032))))))</f>
        <v>0</v>
      </c>
      <c r="K1033" s="24">
        <f ca="1">IF(OR(E1033="",E1033="!!!",F1033="NEW"),"",INDEX(J$1:J1032,SUMPRODUCT(MAX(ROW(E$1:E1032)*(E1033=E$1:E1032)))))</f>
        <v>0</v>
      </c>
      <c r="L1033" s="25"/>
    </row>
    <row r="1034" spans="1:12" x14ac:dyDescent="0.3">
      <c r="A1034" t="s">
        <v>326</v>
      </c>
      <c r="E1034" s="20" t="str">
        <f t="shared" si="78"/>
        <v/>
      </c>
      <c r="F1034" s="21" t="str">
        <f>IF(OR(E1034="",E1034="!!!"),"",IF(NOT(ISNA(VLOOKUP(E1034,E$1:E1033,1,FALSE()))),"OLD",IF(AND(E1034&lt;&gt;"",E1034&lt;&gt;"!!!"),"NEW","")))</f>
        <v/>
      </c>
      <c r="G1034" s="22" t="str">
        <f>IF(OR(E1034="",E1034="!!!"),"",IF(OR(J1034=0,AND(J1034=1,K1034=1),AND(J1034=1,I1034="SBJ"),AND(J1034=1,I1034=0)),"?IN_FOCUS",IF(J1034&lt;=2,"?ACTIVATED",IF(J1034&lt;&gt;"","?FAMILIAR",IF(F1034="NEW",IF(ISNA(VLOOKUP(E1034,#REF!,1,FALSE())),"?TYPE_IDENTIFIABLE","?REFERENTIAL"),"_")))))</f>
        <v/>
      </c>
      <c r="H1034" s="23" t="str">
        <f t="shared" ca="1" si="79"/>
        <v/>
      </c>
      <c r="I1034" s="24" t="str">
        <f>IF(OR(E1034="",E1034="!!!",F1034="NEW"),"",INDEX(B$2:B1033,-1+SUMPRODUCT(MAX(ROW(E$2:E1033)*(E1034=E$2:E1033)))))</f>
        <v/>
      </c>
      <c r="J1034" s="24" t="str">
        <f ca="1">IF(OR(E1034="",E1034="!!!",F1034="NEW"),"",COUNTBLANK(OFFSET(A$1,,,SUMPRODUCT(MAX(ROW(E$2:E1034)*(E1034=E$2:E1034)))))-COUNTBLANK(OFFSET(A$1,,,SUMPRODUCT(MAX(ROW(E$1:E1033)*(E2=E$1:E1033))))))</f>
        <v/>
      </c>
      <c r="K1034" s="24" t="str">
        <f>IF(OR(E1034="",E1034="!!!",F1034="NEW"),"",INDEX(J$1:J1033,SUMPRODUCT(MAX(ROW(E$1:E1033)*(E1034=E$1:E1033)))))</f>
        <v/>
      </c>
      <c r="L1034" s="25"/>
    </row>
    <row r="1035" spans="1:12" x14ac:dyDescent="0.3">
      <c r="A1035" t="s">
        <v>317</v>
      </c>
      <c r="E1035" s="20" t="str">
        <f t="shared" si="78"/>
        <v/>
      </c>
      <c r="F1035" s="21" t="str">
        <f>IF(OR(E1035="",E1035="!!!"),"",IF(NOT(ISNA(VLOOKUP(E1035,E$1:E1034,1,FALSE()))),"OLD",IF(AND(E1035&lt;&gt;"",E1035&lt;&gt;"!!!"),"NEW","")))</f>
        <v/>
      </c>
      <c r="G1035" s="22" t="str">
        <f>IF(OR(E1035="",E1035="!!!"),"",IF(OR(J1035=0,AND(J1035=1,K1035=1),AND(J1035=1,I1035="SBJ"),AND(J1035=1,I1035=0)),"?IN_FOCUS",IF(J1035&lt;=2,"?ACTIVATED",IF(J1035&lt;&gt;"","?FAMILIAR",IF(F1035="NEW",IF(ISNA(VLOOKUP(E1035,#REF!,1,FALSE())),"?TYPE_IDENTIFIABLE","?REFERENTIAL"),"_")))))</f>
        <v/>
      </c>
      <c r="H1035" s="23" t="str">
        <f t="shared" ca="1" si="79"/>
        <v/>
      </c>
      <c r="I1035" s="24" t="str">
        <f>IF(OR(E1035="",E1035="!!!",F1035="NEW"),"",INDEX(B$2:B1034,-1+SUMPRODUCT(MAX(ROW(E$2:E1034)*(E1035=E$2:E1034)))))</f>
        <v/>
      </c>
      <c r="J1035" s="24" t="str">
        <f ca="1">IF(OR(E1035="",E1035="!!!",F1035="NEW"),"",COUNTBLANK(OFFSET(A$1,,,SUMPRODUCT(MAX(ROW(E$2:E1035)*(E1035=E$2:E1035)))))-COUNTBLANK(OFFSET(A$1,,,SUMPRODUCT(MAX(ROW(E$1:E1034)*(E2=E$1:E1034))))))</f>
        <v/>
      </c>
      <c r="K1035" s="24" t="str">
        <f>IF(OR(E1035="",E1035="!!!",F1035="NEW"),"",INDEX(J$1:J1034,SUMPRODUCT(MAX(ROW(E$1:E1034)*(E1035=E$1:E1034)))))</f>
        <v/>
      </c>
      <c r="L1035" s="25"/>
    </row>
    <row r="1036" spans="1:12" x14ac:dyDescent="0.3">
      <c r="A1036" t="s">
        <v>318</v>
      </c>
      <c r="E1036" s="20" t="s">
        <v>698</v>
      </c>
      <c r="F1036" s="21" t="str">
        <f>IF(OR(E1036="",E1036="!!!"),"",IF(NOT(ISNA(VLOOKUP(E1036,E$1:E1035,1,FALSE()))),"OLD",IF(AND(E1036&lt;&gt;"",E1036&lt;&gt;"!!!"),"NEW","")))</f>
        <v>OLD</v>
      </c>
      <c r="G1036" s="22" t="s">
        <v>657</v>
      </c>
      <c r="H1036" s="23" t="str">
        <f t="shared" ca="1" si="79"/>
        <v/>
      </c>
      <c r="I1036" s="24" t="str">
        <f>IF(OR(E1036="",E1036="!!!",F1036="NEW"),"",INDEX(B$2:B1035,-1+SUMPRODUCT(MAX(ROW(E$2:E1035)*(E1036=E$2:E1035)))))</f>
        <v>other_6</v>
      </c>
      <c r="J1036" s="24">
        <f ca="1">IF(OR(E1036="",E1036="!!!",F1036="NEW"),"",COUNTBLANK(OFFSET(A$1,,,SUMPRODUCT(MAX(ROW(E$2:E1036)*(E1036=E$2:E1036)))))-COUNTBLANK(OFFSET(A$1,,,SUMPRODUCT(MAX(ROW(E$1:E1035)*(E2=E$1:E1035))))))</f>
        <v>0</v>
      </c>
      <c r="K1036" s="24">
        <f ca="1">IF(OR(E1036="",E1036="!!!",F1036="NEW"),"",INDEX(J$1:J1035,SUMPRODUCT(MAX(ROW(E$1:E1035)*(E1036=E$1:E1035)))))</f>
        <v>0</v>
      </c>
      <c r="L1036" s="25" t="s">
        <v>732</v>
      </c>
    </row>
    <row r="1037" spans="1:12" x14ac:dyDescent="0.3">
      <c r="A1037" t="s">
        <v>319</v>
      </c>
      <c r="B1037" s="26" t="s">
        <v>225</v>
      </c>
      <c r="C1037" s="26" t="s">
        <v>226</v>
      </c>
      <c r="E1037" s="20" t="str">
        <f t="shared" si="78"/>
        <v/>
      </c>
      <c r="F1037" s="21" t="str">
        <f>IF(OR(E1037="",E1037="!!!"),"",IF(NOT(ISNA(VLOOKUP(E1037,E$1:E1036,1,FALSE()))),"OLD",IF(AND(E1037&lt;&gt;"",E1037&lt;&gt;"!!!"),"NEW","")))</f>
        <v/>
      </c>
      <c r="G1037" s="22" t="str">
        <f>IF(OR(E1037="",E1037="!!!"),"",IF(OR(J1037=0,AND(J1037=1,K1037=1),AND(J1037=1,I1037="SBJ"),AND(J1037=1,I1037=0)),"?IN_FOCUS",IF(J1037&lt;=2,"?ACTIVATED",IF(J1037&lt;&gt;"","?FAMILIAR",IF(F1037="NEW",IF(ISNA(VLOOKUP(E1037,#REF!,1,FALSE())),"?TYPE_IDENTIFIABLE","?REFERENTIAL"),"_")))))</f>
        <v/>
      </c>
      <c r="H1037" s="23" t="str">
        <f t="shared" ca="1" si="79"/>
        <v/>
      </c>
      <c r="I1037" s="24" t="str">
        <f>IF(OR(E1037="",E1037="!!!",F1037="NEW"),"",INDEX(B$2:B1036,-1+SUMPRODUCT(MAX(ROW(E$2:E1036)*(E1037=E$2:E1036)))))</f>
        <v/>
      </c>
      <c r="J1037" s="24" t="str">
        <f ca="1">IF(OR(E1037="",E1037="!!!",F1037="NEW"),"",COUNTBLANK(OFFSET(A$1,,,SUMPRODUCT(MAX(ROW(E$2:E1037)*(E1037=E$2:E1037)))))-COUNTBLANK(OFFSET(A$1,,,SUMPRODUCT(MAX(ROW(E$1:E1036)*(E2=E$1:E1036))))))</f>
        <v/>
      </c>
      <c r="K1037" s="24" t="str">
        <f>IF(OR(E1037="",E1037="!!!",F1037="NEW"),"",INDEX(J$1:J1036,SUMPRODUCT(MAX(ROW(E$1:E1036)*(E1037=E$1:E1036)))))</f>
        <v/>
      </c>
      <c r="L1037" s="25"/>
    </row>
    <row r="1038" spans="1:12" x14ac:dyDescent="0.3">
      <c r="A1038" t="s">
        <v>207</v>
      </c>
      <c r="E1038" s="20" t="str">
        <f t="shared" si="78"/>
        <v/>
      </c>
      <c r="F1038" s="21" t="str">
        <f>IF(OR(E1038="",E1038="!!!"),"",IF(NOT(ISNA(VLOOKUP(E1038,E$1:E1037,1,FALSE()))),"OLD",IF(AND(E1038&lt;&gt;"",E1038&lt;&gt;"!!!"),"NEW","")))</f>
        <v/>
      </c>
      <c r="G1038" s="22" t="str">
        <f>IF(OR(E1038="",E1038="!!!"),"",IF(OR(J1038=0,AND(J1038=1,K1038=1),AND(J1038=1,I1038="SBJ"),AND(J1038=1,I1038=0)),"?IN_FOCUS",IF(J1038&lt;=2,"?ACTIVATED",IF(J1038&lt;&gt;"","?FAMILIAR",IF(F1038="NEW",IF(ISNA(VLOOKUP(E1038,#REF!,1,FALSE())),"?TYPE_IDENTIFIABLE","?REFERENTIAL"),"_")))))</f>
        <v/>
      </c>
      <c r="H1038" s="23" t="str">
        <f t="shared" ca="1" si="79"/>
        <v/>
      </c>
      <c r="I1038" s="24" t="str">
        <f>IF(OR(E1038="",E1038="!!!",F1038="NEW"),"",INDEX(B$2:B1037,-1+SUMPRODUCT(MAX(ROW(E$2:E1037)*(E1038=E$2:E1037)))))</f>
        <v/>
      </c>
      <c r="J1038" s="24" t="str">
        <f ca="1">IF(OR(E1038="",E1038="!!!",F1038="NEW"),"",COUNTBLANK(OFFSET(A$1,,,SUMPRODUCT(MAX(ROW(E$2:E1038)*(E1038=E$2:E1038)))))-COUNTBLANK(OFFSET(A$1,,,SUMPRODUCT(MAX(ROW(E$1:E1037)*(E2=E$1:E1037))))))</f>
        <v/>
      </c>
      <c r="K1038" s="24" t="str">
        <f>IF(OR(E1038="",E1038="!!!",F1038="NEW"),"",INDEX(J$1:J1037,SUMPRODUCT(MAX(ROW(E$1:E1037)*(E1038=E$1:E1037)))))</f>
        <v/>
      </c>
      <c r="L1038" s="25"/>
    </row>
    <row r="1039" spans="1:12" x14ac:dyDescent="0.3">
      <c r="A1039" t="s">
        <v>268</v>
      </c>
      <c r="E1039" s="20" t="str">
        <f t="shared" si="78"/>
        <v/>
      </c>
      <c r="F1039" s="21" t="str">
        <f>IF(OR(E1039="",E1039="!!!"),"",IF(NOT(ISNA(VLOOKUP(E1039,E$1:E1038,1,FALSE()))),"OLD",IF(AND(E1039&lt;&gt;"",E1039&lt;&gt;"!!!"),"NEW","")))</f>
        <v/>
      </c>
      <c r="G1039" s="22" t="str">
        <f>IF(OR(E1039="",E1039="!!!"),"",IF(OR(J1039=0,AND(J1039=1,K1039=1),AND(J1039=1,I1039="SBJ"),AND(J1039=1,I1039=0)),"?IN_FOCUS",IF(J1039&lt;=2,"?ACTIVATED",IF(J1039&lt;&gt;"","?FAMILIAR",IF(F1039="NEW",IF(ISNA(VLOOKUP(E1039,#REF!,1,FALSE())),"?TYPE_IDENTIFIABLE","?REFERENTIAL"),"_")))))</f>
        <v/>
      </c>
      <c r="H1039" s="23" t="str">
        <f t="shared" ca="1" si="79"/>
        <v/>
      </c>
      <c r="I1039" s="24" t="str">
        <f>IF(OR(E1039="",E1039="!!!",F1039="NEW"),"",INDEX(B$2:B1038,-1+SUMPRODUCT(MAX(ROW(E$2:E1038)*(E1039=E$2:E1038)))))</f>
        <v/>
      </c>
      <c r="J1039" s="24" t="str">
        <f ca="1">IF(OR(E1039="",E1039="!!!",F1039="NEW"),"",COUNTBLANK(OFFSET(A$1,,,SUMPRODUCT(MAX(ROW(E$2:E1039)*(E1039=E$2:E1039)))))-COUNTBLANK(OFFSET(A$1,,,SUMPRODUCT(MAX(ROW(E$1:E1038)*(E2=E$1:E1038))))))</f>
        <v/>
      </c>
      <c r="K1039" s="24" t="str">
        <f>IF(OR(E1039="",E1039="!!!",F1039="NEW"),"",INDEX(J$1:J1038,SUMPRODUCT(MAX(ROW(E$1:E1038)*(E1039=E$1:E1038)))))</f>
        <v/>
      </c>
      <c r="L1039" s="25"/>
    </row>
    <row r="1040" spans="1:12" x14ac:dyDescent="0.3">
      <c r="A1040" t="s">
        <v>228</v>
      </c>
      <c r="B1040" s="26" t="s">
        <v>229</v>
      </c>
      <c r="C1040" s="26" t="s">
        <v>230</v>
      </c>
      <c r="D1040" s="26" t="s">
        <v>215</v>
      </c>
      <c r="E1040" s="20" t="s">
        <v>669</v>
      </c>
      <c r="F1040" s="21" t="str">
        <f>IF(OR(E1040="",E1040="!!!"),"",IF(NOT(ISNA(VLOOKUP(E1040,E$1:E1039,1,FALSE()))),"OLD",IF(AND(E1040&lt;&gt;"",E1040&lt;&gt;"!!!"),"NEW","")))</f>
        <v>OLD</v>
      </c>
      <c r="G1040" s="22" t="str">
        <f ca="1">IF(OR(E1040="",E1040="!!!"),"",IF(OR(J1040=0,AND(J1040=1,K1040=1),AND(J1040=1,I1040="SBJ"),AND(J1040=1,I1040=0)),"?IN_FOCUS",IF(J1040&lt;=2,"?ACTIVATED",IF(J1040&lt;&gt;"","?FAMILIAR",IF(F1040="NEW",IF(ISNA(VLOOKUP(E1040,#REF!,1,FALSE())),"?TYPE_IDENTIFIABLE","?REFERENTIAL"),"_")))))</f>
        <v>?IN_FOCUS</v>
      </c>
      <c r="H1040" s="23" t="str">
        <f t="shared" ca="1" si="79"/>
        <v/>
      </c>
      <c r="I1040" s="24" t="str">
        <f>IF(OR(E1040="",E1040="!!!",F1040="NEW"),"",INDEX(B$2:B1039,-1+SUMPRODUCT(MAX(ROW(E$2:E1039)*(E1040=E$2:E1039)))))</f>
        <v>other</v>
      </c>
      <c r="J1040" s="24">
        <f ca="1">IF(OR(E1040="",E1040="!!!",F1040="NEW"),"",COUNTBLANK(OFFSET(A$1,,,SUMPRODUCT(MAX(ROW(E$2:E1040)*(E1040=E$2:E1040)))))-COUNTBLANK(OFFSET(A$1,,,SUMPRODUCT(MAX(ROW(E$1:E1039)*(E2=E$1:E1039))))))</f>
        <v>0</v>
      </c>
      <c r="K1040" s="24">
        <f ca="1">IF(OR(E1040="",E1040="!!!",F1040="NEW"),"",INDEX(J$1:J1039,SUMPRODUCT(MAX(ROW(E$1:E1039)*(E1040=E$1:E1039)))))</f>
        <v>0</v>
      </c>
      <c r="L1040" s="25"/>
    </row>
    <row r="1041" spans="1:12" x14ac:dyDescent="0.3">
      <c r="A1041" t="s">
        <v>628</v>
      </c>
      <c r="E1041" s="20" t="str">
        <f t="shared" si="78"/>
        <v/>
      </c>
      <c r="F1041" s="21" t="str">
        <f>IF(OR(E1041="",E1041="!!!"),"",IF(NOT(ISNA(VLOOKUP(E1041,E$1:E1040,1,FALSE()))),"OLD",IF(AND(E1041&lt;&gt;"",E1041&lt;&gt;"!!!"),"NEW","")))</f>
        <v/>
      </c>
      <c r="G1041" s="22" t="str">
        <f>IF(OR(E1041="",E1041="!!!"),"",IF(OR(J1041=0,AND(J1041=1,K1041=1),AND(J1041=1,I1041="SBJ"),AND(J1041=1,I1041=0)),"?IN_FOCUS",IF(J1041&lt;=2,"?ACTIVATED",IF(J1041&lt;&gt;"","?FAMILIAR",IF(F1041="NEW",IF(ISNA(VLOOKUP(E1041,#REF!,1,FALSE())),"?TYPE_IDENTIFIABLE","?REFERENTIAL"),"_")))))</f>
        <v/>
      </c>
      <c r="H1041" s="23" t="str">
        <f t="shared" ca="1" si="79"/>
        <v/>
      </c>
      <c r="I1041" s="24" t="str">
        <f>IF(OR(E1041="",E1041="!!!",F1041="NEW"),"",INDEX(B$2:B1040,-1+SUMPRODUCT(MAX(ROW(E$2:E1040)*(E1041=E$2:E1040)))))</f>
        <v/>
      </c>
      <c r="J1041" s="24" t="str">
        <f ca="1">IF(OR(E1041="",E1041="!!!",F1041="NEW"),"",COUNTBLANK(OFFSET(A$1,,,SUMPRODUCT(MAX(ROW(E$2:E1041)*(E1041=E$2:E1041)))))-COUNTBLANK(OFFSET(A$1,,,SUMPRODUCT(MAX(ROW(E$1:E1040)*(E2=E$1:E1040))))))</f>
        <v/>
      </c>
      <c r="K1041" s="24" t="str">
        <f>IF(OR(E1041="",E1041="!!!",F1041="NEW"),"",INDEX(J$1:J1040,SUMPRODUCT(MAX(ROW(E$1:E1040)*(E1041=E$1:E1040)))))</f>
        <v/>
      </c>
      <c r="L1041" s="25"/>
    </row>
    <row r="1042" spans="1:12" x14ac:dyDescent="0.3">
      <c r="A1042" t="s">
        <v>407</v>
      </c>
      <c r="B1042" s="26" t="s">
        <v>233</v>
      </c>
      <c r="C1042" s="26" t="s">
        <v>230</v>
      </c>
      <c r="D1042" s="26" t="s">
        <v>215</v>
      </c>
      <c r="E1042" s="20" t="s">
        <v>739</v>
      </c>
      <c r="F1042" s="21" t="str">
        <f>IF(OR(E1042="",E1042="!!!"),"",IF(NOT(ISNA(VLOOKUP(E1042,E$1:E1041,1,FALSE()))),"OLD",IF(AND(E1042&lt;&gt;"",E1042&lt;&gt;"!!!"),"NEW","")))</f>
        <v>OLD</v>
      </c>
      <c r="G1042" s="22" t="str">
        <f ca="1">IF(OR(E1042="",E1042="!!!"),"",IF(OR(J1042=0,AND(J1042=1,K1042=1),AND(J1042=1,I1042="SBJ"),AND(J1042=1,I1042=0)),"?IN_FOCUS",IF(J1042&lt;=2,"?ACTIVATED",IF(J1042&lt;&gt;"","?FAMILIAR",IF(F1042="NEW",IF(ISNA(VLOOKUP(E1042,#REF!,1,FALSE())),"?TYPE_IDENTIFIABLE","?REFERENTIAL"),"_")))))</f>
        <v>?IN_FOCUS</v>
      </c>
      <c r="H1042" s="23" t="str">
        <f t="shared" ca="1" si="79"/>
        <v/>
      </c>
      <c r="I1042" s="24" t="str">
        <f>IF(OR(E1042="",E1042="!!!",F1042="NEW"),"",INDEX(B$2:B1041,-1+SUMPRODUCT(MAX(ROW(E$2:E1041)*(E1042=E$2:E1041)))))</f>
        <v>SBJ</v>
      </c>
      <c r="J1042" s="24">
        <f ca="1">IF(OR(E1042="",E1042="!!!",F1042="NEW"),"",COUNTBLANK(OFFSET(A$1,,,SUMPRODUCT(MAX(ROW(E$2:E1042)*(E1042=E$2:E1042)))))-COUNTBLANK(OFFSET(A$1,,,SUMPRODUCT(MAX(ROW(E$1:E1041)*(E2=E$1:E1041))))))</f>
        <v>0</v>
      </c>
      <c r="K1042" s="24">
        <f ca="1">IF(OR(E1042="",E1042="!!!",F1042="NEW"),"",INDEX(J$1:J1041,SUMPRODUCT(MAX(ROW(E$1:E1041)*(E1042=E$1:E1041)))))</f>
        <v>0</v>
      </c>
      <c r="L1042" s="25"/>
    </row>
    <row r="1043" spans="1:12" x14ac:dyDescent="0.3">
      <c r="A1043" t="s">
        <v>590</v>
      </c>
      <c r="E1043" s="20" t="str">
        <f t="shared" si="78"/>
        <v/>
      </c>
      <c r="F1043" s="21" t="str">
        <f>IF(OR(E1043="",E1043="!!!"),"",IF(NOT(ISNA(VLOOKUP(E1043,E$1:E1042,1,FALSE()))),"OLD",IF(AND(E1043&lt;&gt;"",E1043&lt;&gt;"!!!"),"NEW","")))</f>
        <v/>
      </c>
      <c r="G1043" s="22" t="str">
        <f>IF(OR(E1043="",E1043="!!!"),"",IF(OR(J1043=0,AND(J1043=1,K1043=1),AND(J1043=1,I1043="SBJ"),AND(J1043=1,I1043=0)),"?IN_FOCUS",IF(J1043&lt;=2,"?ACTIVATED",IF(J1043&lt;&gt;"","?FAMILIAR",IF(F1043="NEW",IF(ISNA(VLOOKUP(E1043,#REF!,1,FALSE())),"?TYPE_IDENTIFIABLE","?REFERENTIAL"),"_")))))</f>
        <v/>
      </c>
      <c r="H1043" s="23" t="str">
        <f t="shared" ca="1" si="79"/>
        <v/>
      </c>
      <c r="I1043" s="24" t="str">
        <f>IF(OR(E1043="",E1043="!!!",F1043="NEW"),"",INDEX(B$2:B1042,-1+SUMPRODUCT(MAX(ROW(E$2:E1042)*(E1043=E$2:E1042)))))</f>
        <v/>
      </c>
      <c r="J1043" s="24" t="str">
        <f ca="1">IF(OR(E1043="",E1043="!!!",F1043="NEW"),"",COUNTBLANK(OFFSET(A$1,,,SUMPRODUCT(MAX(ROW(E$2:E1043)*(E1043=E$2:E1043)))))-COUNTBLANK(OFFSET(A$1,,,SUMPRODUCT(MAX(ROW(E$1:E1042)*(E2=E$1:E1042))))))</f>
        <v/>
      </c>
      <c r="K1043" s="24" t="str">
        <f>IF(OR(E1043="",E1043="!!!",F1043="NEW"),"",INDEX(J$1:J1042,SUMPRODUCT(MAX(ROW(E$1:E1042)*(E1043=E$1:E1042)))))</f>
        <v/>
      </c>
      <c r="L1043" s="25"/>
    </row>
    <row r="1044" spans="1:12" x14ac:dyDescent="0.3">
      <c r="A1044" t="s">
        <v>257</v>
      </c>
      <c r="B1044" s="26" t="s">
        <v>263</v>
      </c>
      <c r="C1044" s="26" t="s">
        <v>230</v>
      </c>
      <c r="D1044" s="26" t="s">
        <v>215</v>
      </c>
      <c r="E1044" s="20" t="s">
        <v>739</v>
      </c>
      <c r="F1044" s="21" t="str">
        <f>IF(OR(E1044="",E1044="!!!"),"",IF(NOT(ISNA(VLOOKUP(E1044,E$1:E1043,1,FALSE()))),"OLD",IF(AND(E1044&lt;&gt;"",E1044&lt;&gt;"!!!"),"NEW","")))</f>
        <v>OLD</v>
      </c>
      <c r="G1044" s="22" t="str">
        <f ca="1">IF(OR(E1044="",E1044="!!!"),"",IF(OR(J1044=0,AND(J1044=1,K1044=1),AND(J1044=1,I1044="SBJ"),AND(J1044=1,I1044=0)),"?IN_FOCUS",IF(J1044&lt;=2,"?ACTIVATED",IF(J1044&lt;&gt;"","?FAMILIAR",IF(F1044="NEW",IF(ISNA(VLOOKUP(E1044,#REF!,1,FALSE())),"?TYPE_IDENTIFIABLE","?REFERENTIAL"),"_")))))</f>
        <v>?IN_FOCUS</v>
      </c>
      <c r="H1044" s="23" t="str">
        <f t="shared" ca="1" si="79"/>
        <v/>
      </c>
      <c r="I1044" s="24" t="str">
        <f>IF(OR(E1044="",E1044="!!!",F1044="NEW"),"",INDEX(B$2:B1043,-1+SUMPRODUCT(MAX(ROW(E$2:E1043)*(E1044=E$2:E1043)))))</f>
        <v>OBJ_2</v>
      </c>
      <c r="J1044" s="24">
        <f ca="1">IF(OR(E1044="",E1044="!!!",F1044="NEW"),"",COUNTBLANK(OFFSET(A$1,,,SUMPRODUCT(MAX(ROW(E$2:E1044)*(E1044=E$2:E1044)))))-COUNTBLANK(OFFSET(A$1,,,SUMPRODUCT(MAX(ROW(E$1:E1043)*(E2=E$1:E1043))))))</f>
        <v>0</v>
      </c>
      <c r="K1044" s="24">
        <f ca="1">IF(OR(E1044="",E1044="!!!",F1044="NEW"),"",INDEX(J$1:J1043,SUMPRODUCT(MAX(ROW(E$1:E1043)*(E1044=E$1:E1043)))))</f>
        <v>0</v>
      </c>
      <c r="L1044" s="25"/>
    </row>
    <row r="1045" spans="1:12" x14ac:dyDescent="0.3">
      <c r="A1045" t="s">
        <v>272</v>
      </c>
      <c r="E1045" s="20" t="str">
        <f t="shared" si="78"/>
        <v/>
      </c>
      <c r="F1045" s="21" t="str">
        <f>IF(OR(E1045="",E1045="!!!"),"",IF(NOT(ISNA(VLOOKUP(E1045,E$1:E1044,1,FALSE()))),"OLD",IF(AND(E1045&lt;&gt;"",E1045&lt;&gt;"!!!"),"NEW","")))</f>
        <v/>
      </c>
      <c r="G1045" s="22" t="str">
        <f>IF(OR(E1045="",E1045="!!!"),"",IF(OR(J1045=0,AND(J1045=1,K1045=1),AND(J1045=1,I1045="SBJ"),AND(J1045=1,I1045=0)),"?IN_FOCUS",IF(J1045&lt;=2,"?ACTIVATED",IF(J1045&lt;&gt;"","?FAMILIAR",IF(F1045="NEW",IF(ISNA(VLOOKUP(E1045,#REF!,1,FALSE())),"?TYPE_IDENTIFIABLE","?REFERENTIAL"),"_")))))</f>
        <v/>
      </c>
      <c r="H1045" s="23" t="str">
        <f t="shared" ca="1" si="79"/>
        <v/>
      </c>
      <c r="I1045" s="24" t="str">
        <f>IF(OR(E1045="",E1045="!!!",F1045="NEW"),"",INDEX(B$2:B1044,-1+SUMPRODUCT(MAX(ROW(E$2:E1044)*(E1045=E$2:E1044)))))</f>
        <v/>
      </c>
      <c r="J1045" s="24" t="str">
        <f ca="1">IF(OR(E1045="",E1045="!!!",F1045="NEW"),"",COUNTBLANK(OFFSET(A$1,,,SUMPRODUCT(MAX(ROW(E$2:E1045)*(E1045=E$2:E1045)))))-COUNTBLANK(OFFSET(A$1,,,SUMPRODUCT(MAX(ROW(E$1:E1044)*(E2=E$1:E1044))))))</f>
        <v/>
      </c>
      <c r="K1045" s="24" t="str">
        <f>IF(OR(E1045="",E1045="!!!",F1045="NEW"),"",INDEX(J$1:J1044,SUMPRODUCT(MAX(ROW(E$1:E1044)*(E1045=E$1:E1044)))))</f>
        <v/>
      </c>
      <c r="L1045" s="25"/>
    </row>
    <row r="1046" spans="1:12" x14ac:dyDescent="0.3">
      <c r="A1046" t="s">
        <v>238</v>
      </c>
      <c r="E1046" s="20" t="str">
        <f t="shared" si="78"/>
        <v/>
      </c>
      <c r="F1046" s="21" t="str">
        <f>IF(OR(E1046="",E1046="!!!"),"",IF(NOT(ISNA(VLOOKUP(E1046,E$1:E1045,1,FALSE()))),"OLD",IF(AND(E1046&lt;&gt;"",E1046&lt;&gt;"!!!"),"NEW","")))</f>
        <v/>
      </c>
      <c r="G1046" s="22" t="str">
        <f>IF(OR(E1046="",E1046="!!!"),"",IF(OR(J1046=0,AND(J1046=1,K1046=1),AND(J1046=1,I1046="SBJ"),AND(J1046=1,I1046=0)),"?IN_FOCUS",IF(J1046&lt;=2,"?ACTIVATED",IF(J1046&lt;&gt;"","?FAMILIAR",IF(F1046="NEW",IF(ISNA(VLOOKUP(E1046,#REF!,1,FALSE())),"?TYPE_IDENTIFIABLE","?REFERENTIAL"),"_")))))</f>
        <v/>
      </c>
      <c r="H1046" s="23" t="str">
        <f t="shared" ca="1" si="79"/>
        <v/>
      </c>
      <c r="I1046" s="24" t="str">
        <f>IF(OR(E1046="",E1046="!!!",F1046="NEW"),"",INDEX(B$2:B1045,-1+SUMPRODUCT(MAX(ROW(E$2:E1045)*(E1046=E$2:E1045)))))</f>
        <v/>
      </c>
      <c r="J1046" s="24" t="str">
        <f ca="1">IF(OR(E1046="",E1046="!!!",F1046="NEW"),"",COUNTBLANK(OFFSET(A$1,,,SUMPRODUCT(MAX(ROW(E$2:E1046)*(E1046=E$2:E1046)))))-COUNTBLANK(OFFSET(A$1,,,SUMPRODUCT(MAX(ROW(E$1:E1045)*(E2=E$1:E1045))))))</f>
        <v/>
      </c>
      <c r="K1046" s="24" t="str">
        <f>IF(OR(E1046="",E1046="!!!",F1046="NEW"),"",INDEX(J$1:J1045,SUMPRODUCT(MAX(ROW(E$1:E1045)*(E1046=E$1:E1045)))))</f>
        <v/>
      </c>
      <c r="L1046" s="25"/>
    </row>
    <row r="1047" spans="1:12" x14ac:dyDescent="0.3">
      <c r="A1047" t="s">
        <v>563</v>
      </c>
      <c r="B1047" s="26" t="s">
        <v>328</v>
      </c>
      <c r="C1047" s="26" t="s">
        <v>240</v>
      </c>
      <c r="E1047" s="20" t="str">
        <f t="shared" si="78"/>
        <v/>
      </c>
      <c r="F1047" s="21" t="str">
        <f>IF(OR(E1047="",E1047="!!!"),"",IF(NOT(ISNA(VLOOKUP(E1047,E$1:E1046,1,FALSE()))),"OLD",IF(AND(E1047&lt;&gt;"",E1047&lt;&gt;"!!!"),"NEW","")))</f>
        <v/>
      </c>
      <c r="G1047" s="22" t="str">
        <f>IF(OR(E1047="",E1047="!!!"),"",IF(OR(J1047=0,AND(J1047=1,K1047=1),AND(J1047=1,I1047="SBJ"),AND(J1047=1,I1047=0)),"?IN_FOCUS",IF(J1047&lt;=2,"?ACTIVATED",IF(J1047&lt;&gt;"","?FAMILIAR",IF(F1047="NEW",IF(ISNA(VLOOKUP(E1047,#REF!,1,FALSE())),"?TYPE_IDENTIFIABLE","?REFERENTIAL"),"_")))))</f>
        <v/>
      </c>
      <c r="H1047" s="23" t="str">
        <f t="shared" ca="1" si="79"/>
        <v/>
      </c>
      <c r="I1047" s="24" t="str">
        <f>IF(OR(E1047="",E1047="!!!",F1047="NEW"),"",INDEX(B$2:B1046,-1+SUMPRODUCT(MAX(ROW(E$2:E1046)*(E1047=E$2:E1046)))))</f>
        <v/>
      </c>
      <c r="J1047" s="24" t="str">
        <f ca="1">IF(OR(E1047="",E1047="!!!",F1047="NEW"),"",COUNTBLANK(OFFSET(A$1,,,SUMPRODUCT(MAX(ROW(E$2:E1047)*(E1047=E$2:E1047)))))-COUNTBLANK(OFFSET(A$1,,,SUMPRODUCT(MAX(ROW(E$1:E1046)*(E2=E$1:E1046))))))</f>
        <v/>
      </c>
      <c r="K1047" s="24" t="str">
        <f>IF(OR(E1047="",E1047="!!!",F1047="NEW"),"",INDEX(J$1:J1046,SUMPRODUCT(MAX(ROW(E$1:E1046)*(E1047=E$1:E1046)))))</f>
        <v/>
      </c>
      <c r="L1047" s="25"/>
    </row>
    <row r="1048" spans="1:12" x14ac:dyDescent="0.3">
      <c r="A1048" t="s">
        <v>234</v>
      </c>
      <c r="E1048" s="20" t="str">
        <f t="shared" si="78"/>
        <v/>
      </c>
      <c r="F1048" s="21" t="str">
        <f>IF(OR(E1048="",E1048="!!!"),"",IF(NOT(ISNA(VLOOKUP(E1048,E$1:E1047,1,FALSE()))),"OLD",IF(AND(E1048&lt;&gt;"",E1048&lt;&gt;"!!!"),"NEW","")))</f>
        <v/>
      </c>
      <c r="G1048" s="22" t="str">
        <f>IF(OR(E1048="",E1048="!!!"),"",IF(OR(J1048=0,AND(J1048=1,K1048=1),AND(J1048=1,I1048="SBJ"),AND(J1048=1,I1048=0)),"?IN_FOCUS",IF(J1048&lt;=2,"?ACTIVATED",IF(J1048&lt;&gt;"","?FAMILIAR",IF(F1048="NEW",IF(ISNA(VLOOKUP(E1048,#REF!,1,FALSE())),"?TYPE_IDENTIFIABLE","?REFERENTIAL"),"_")))))</f>
        <v/>
      </c>
      <c r="H1048" s="23" t="str">
        <f t="shared" ca="1" si="79"/>
        <v/>
      </c>
      <c r="I1048" s="24" t="str">
        <f>IF(OR(E1048="",E1048="!!!",F1048="NEW"),"",INDEX(B$2:B1047,-1+SUMPRODUCT(MAX(ROW(E$2:E1047)*(E1048=E$2:E1047)))))</f>
        <v/>
      </c>
      <c r="J1048" s="24" t="str">
        <f ca="1">IF(OR(E1048="",E1048="!!!",F1048="NEW"),"",COUNTBLANK(OFFSET(A$1,,,SUMPRODUCT(MAX(ROW(E$2:E1048)*(E1048=E$2:E1048)))))-COUNTBLANK(OFFSET(A$1,,,SUMPRODUCT(MAX(ROW(E$1:E1047)*(E2=E$1:E1047))))))</f>
        <v/>
      </c>
      <c r="K1048" s="24" t="str">
        <f>IF(OR(E1048="",E1048="!!!",F1048="NEW"),"",INDEX(J$1:J1047,SUMPRODUCT(MAX(ROW(E$1:E1047)*(E1048=E$1:E1047)))))</f>
        <v/>
      </c>
      <c r="L1048" s="25"/>
    </row>
    <row r="1050" spans="1:12" x14ac:dyDescent="0.3">
      <c r="A1050" t="s">
        <v>629</v>
      </c>
    </row>
    <row r="1051" spans="1:12" x14ac:dyDescent="0.3">
      <c r="A1051" t="s">
        <v>630</v>
      </c>
      <c r="E1051" s="20" t="str">
        <f>IF(D1051="?OLD","!!!","")</f>
        <v/>
      </c>
      <c r="F1051" s="21" t="str">
        <f>IF(OR(E1051="",E1051="!!!"),"",IF(NOT(ISNA(VLOOKUP(E1051,E$1:E1050,1,FALSE()))),"OLD",IF(AND(E1051&lt;&gt;"",E1051&lt;&gt;"!!!"),"NEW","")))</f>
        <v/>
      </c>
      <c r="G1051" s="22" t="str">
        <f>IF(OR(E1051="",E1051="!!!"),"",IF(OR(J1051=0,AND(J1051=1,K1051=1),AND(J1051=1,I1051="SBJ"),AND(J1051=1,I1051=0)),"?IN_FOCUS",IF(J1051&lt;=2,"?ACTIVATED",IF(J1051&lt;&gt;"","?FAMILIAR",IF(F1051="NEW",IF(ISNA(VLOOKUP(E1051,#REF!,1,FALSE())),"?TYPE_IDENTIFIABLE","?REFERENTIAL"),"_")))))</f>
        <v/>
      </c>
      <c r="H1051" s="23" t="str">
        <f ca="1">IF(J1051&lt;&gt;1,"",IF(I1051="SBJ","CB","?"))</f>
        <v/>
      </c>
      <c r="I1051" s="24" t="str">
        <f>IF(OR(E1051="",E1051="!!!",F1051="NEW"),"",INDEX(B$2:B1050,-1+SUMPRODUCT(MAX(ROW(E$2:E1050)*(E1051=E$2:E1050)))))</f>
        <v/>
      </c>
      <c r="J1051" s="24" t="str">
        <f ca="1">IF(OR(E1051="",E1051="!!!",F1051="NEW"),"",COUNTBLANK(OFFSET(A$1,,,SUMPRODUCT(MAX(ROW(E$2:E1051)*(E1051=E$2:E1051)))))-COUNTBLANK(OFFSET(A$1,,,SUMPRODUCT(MAX(ROW(E$1:E1050)*(E2=E$1:E1050))))))</f>
        <v/>
      </c>
      <c r="K1051" s="24" t="str">
        <f>IF(OR(E1051="",E1051="!!!",F1051="NEW"),"",INDEX(J$1:J1050,SUMPRODUCT(MAX(ROW(E$1:E1050)*(E1051=E$1:E1050)))))</f>
        <v/>
      </c>
      <c r="L1051" s="25"/>
    </row>
    <row r="1052" spans="1:12" x14ac:dyDescent="0.3">
      <c r="A1052" t="s">
        <v>265</v>
      </c>
      <c r="B1052" s="26" t="s">
        <v>261</v>
      </c>
      <c r="C1052" s="26" t="s">
        <v>230</v>
      </c>
      <c r="D1052" s="26" t="s">
        <v>215</v>
      </c>
      <c r="E1052" s="20" t="s">
        <v>656</v>
      </c>
      <c r="F1052" s="21" t="str">
        <f>IF(OR(E1052="",E1052="!!!"),"",IF(NOT(ISNA(VLOOKUP(E1052,E$1:E1051,1,FALSE()))),"OLD",IF(AND(E1052&lt;&gt;"",E1052&lt;&gt;"!!!"),"NEW","")))</f>
        <v>OLD</v>
      </c>
      <c r="G1052" s="22" t="str">
        <f ca="1">IF(OR(E1052="",E1052="!!!"),"",IF(OR(J1052=0,AND(J1052=1,K1052=1),AND(J1052=1,I1052="SBJ"),AND(J1052=1,I1052=0)),"?IN_FOCUS",IF(J1052&lt;=2,"?ACTIVATED",IF(J1052&lt;&gt;"","?FAMILIAR",IF(F1052="NEW",IF(ISNA(VLOOKUP(E1052,#REF!,1,FALSE())),"?TYPE_IDENTIFIABLE","?REFERENTIAL"),"_")))))</f>
        <v>?IN_FOCUS</v>
      </c>
      <c r="H1052" s="23" t="str">
        <f ca="1">IF(J1052&lt;&gt;1,"",IF(I1052="SBJ","CB","?"))</f>
        <v/>
      </c>
      <c r="I1052" s="24" t="str">
        <f>IF(OR(E1052="",E1052="!!!",F1052="NEW"),"",INDEX(B$2:B1051,-1+SUMPRODUCT(MAX(ROW(E$2:E1051)*(E1052=E$2:E1051)))))</f>
        <v>SBJ_3</v>
      </c>
      <c r="J1052" s="24">
        <f ca="1">IF(OR(E1052="",E1052="!!!",F1052="NEW"),"",COUNTBLANK(OFFSET(A$1,,,SUMPRODUCT(MAX(ROW(E$2:E1052)*(E1052=E$2:E1052)))))-COUNTBLANK(OFFSET(A$1,,,SUMPRODUCT(MAX(ROW(E$1:E1051)*(E2=E$1:E1051))))))</f>
        <v>0</v>
      </c>
      <c r="K1052" s="24">
        <f ca="1">IF(OR(E1052="",E1052="!!!",F1052="NEW"),"",INDEX(J$1:J1051,SUMPRODUCT(MAX(ROW(E$1:E1051)*(E1052=E$1:E1051)))))</f>
        <v>0</v>
      </c>
      <c r="L1052" s="25"/>
    </row>
    <row r="1053" spans="1:12" x14ac:dyDescent="0.3">
      <c r="A1053" t="s">
        <v>234</v>
      </c>
      <c r="E1053" s="20" t="str">
        <f>IF(D1053="?OLD","!!!","")</f>
        <v/>
      </c>
      <c r="F1053" s="21" t="str">
        <f>IF(OR(E1053="",E1053="!!!"),"",IF(NOT(ISNA(VLOOKUP(E1053,E$1:E1052,1,FALSE()))),"OLD",IF(AND(E1053&lt;&gt;"",E1053&lt;&gt;"!!!"),"NEW","")))</f>
        <v/>
      </c>
      <c r="G1053" s="22" t="str">
        <f>IF(OR(E1053="",E1053="!!!"),"",IF(OR(J1053=0,AND(J1053=1,K1053=1),AND(J1053=1,I1053="SBJ"),AND(J1053=1,I1053=0)),"?IN_FOCUS",IF(J1053&lt;=2,"?ACTIVATED",IF(J1053&lt;&gt;"","?FAMILIAR",IF(F1053="NEW",IF(ISNA(VLOOKUP(E1053,#REF!,1,FALSE())),"?TYPE_IDENTIFIABLE","?REFERENTIAL"),"_")))))</f>
        <v/>
      </c>
      <c r="H1053" s="23" t="str">
        <f ca="1">IF(J1053&lt;&gt;1,"",IF(I1053="SBJ","CB","?"))</f>
        <v/>
      </c>
      <c r="I1053" s="24" t="str">
        <f>IF(OR(E1053="",E1053="!!!",F1053="NEW"),"",INDEX(B$2:B1052,-1+SUMPRODUCT(MAX(ROW(E$2:E1052)*(E1053=E$2:E1052)))))</f>
        <v/>
      </c>
      <c r="J1053" s="24" t="str">
        <f ca="1">IF(OR(E1053="",E1053="!!!",F1053="NEW"),"",COUNTBLANK(OFFSET(A$1,,,SUMPRODUCT(MAX(ROW(E$2:E1053)*(E1053=E$2:E1053)))))-COUNTBLANK(OFFSET(A$1,,,SUMPRODUCT(MAX(ROW(E$1:E1052)*(E2=E$1:E1052))))))</f>
        <v/>
      </c>
      <c r="K1053" s="24" t="str">
        <f>IF(OR(E1053="",E1053="!!!",F1053="NEW"),"",INDEX(J$1:J1052,SUMPRODUCT(MAX(ROW(E$1:E1052)*(E1053=E$1:E1052)))))</f>
        <v/>
      </c>
      <c r="L1053" s="25"/>
    </row>
    <row r="1055" spans="1:12" x14ac:dyDescent="0.3">
      <c r="A1055" t="s">
        <v>631</v>
      </c>
    </row>
    <row r="1056" spans="1:12" x14ac:dyDescent="0.3">
      <c r="A1056" t="s">
        <v>491</v>
      </c>
      <c r="E1056" s="20" t="str">
        <f t="shared" ref="E1056:E1061" si="80">IF(D1056="?OLD","!!!","")</f>
        <v/>
      </c>
      <c r="F1056" s="21" t="str">
        <f>IF(OR(E1056="",E1056="!!!"),"",IF(NOT(ISNA(VLOOKUP(E1056,E$1:E1055,1,FALSE()))),"OLD",IF(AND(E1056&lt;&gt;"",E1056&lt;&gt;"!!!"),"NEW","")))</f>
        <v/>
      </c>
      <c r="G1056" s="22" t="str">
        <f>IF(OR(E1056="",E1056="!!!"),"",IF(OR(J1056=0,AND(J1056=1,K1056=1),AND(J1056=1,I1056="SBJ"),AND(J1056=1,I1056=0)),"?IN_FOCUS",IF(J1056&lt;=2,"?ACTIVATED",IF(J1056&lt;&gt;"","?FAMILIAR",IF(F1056="NEW",IF(ISNA(VLOOKUP(E1056,#REF!,1,FALSE())),"?TYPE_IDENTIFIABLE","?REFERENTIAL"),"_")))))</f>
        <v/>
      </c>
      <c r="H1056" s="23" t="str">
        <f t="shared" ref="H1056:H1061" ca="1" si="81">IF(J1056&lt;&gt;1,"",IF(I1056="SBJ","CB","?"))</f>
        <v/>
      </c>
      <c r="I1056" s="24" t="str">
        <f>IF(OR(E1056="",E1056="!!!",F1056="NEW"),"",INDEX(B$2:B1055,-1+SUMPRODUCT(MAX(ROW(E$2:E1055)*(E1056=E$2:E1055)))))</f>
        <v/>
      </c>
      <c r="J1056" s="24" t="str">
        <f ca="1">IF(OR(E1056="",E1056="!!!",F1056="NEW"),"",COUNTBLANK(OFFSET(A$1,,,SUMPRODUCT(MAX(ROW(E$2:E1056)*(E1056=E$2:E1056)))))-COUNTBLANK(OFFSET(A$1,,,SUMPRODUCT(MAX(ROW(E$1:E1055)*(E2=E$1:E1055))))))</f>
        <v/>
      </c>
      <c r="K1056" s="24" t="str">
        <f>IF(OR(E1056="",E1056="!!!",F1056="NEW"),"",INDEX(J$1:J1055,SUMPRODUCT(MAX(ROW(E$1:E1055)*(E1056=E$1:E1055)))))</f>
        <v/>
      </c>
      <c r="L1056" s="25"/>
    </row>
    <row r="1057" spans="1:12" x14ac:dyDescent="0.3">
      <c r="A1057" t="s">
        <v>163</v>
      </c>
      <c r="B1057" s="26" t="s">
        <v>205</v>
      </c>
      <c r="C1057" s="26" t="s">
        <v>214</v>
      </c>
      <c r="D1057" s="26" t="s">
        <v>215</v>
      </c>
      <c r="E1057" s="20"/>
      <c r="F1057" s="21" t="str">
        <f>IF(OR(E1057="",E1057="!!!"),"",IF(NOT(ISNA(VLOOKUP(E1057,E$1:E1056,1,FALSE()))),"OLD",IF(AND(E1057&lt;&gt;"",E1057&lt;&gt;"!!!"),"NEW","")))</f>
        <v/>
      </c>
      <c r="G1057" s="22" t="str">
        <f>IF(OR(E1057="",E1057="!!!"),"",IF(OR(J1057=0,AND(J1057=1,K1057=1),AND(J1057=1,I1057="SBJ"),AND(J1057=1,I1057=0)),"?IN_FOCUS",IF(J1057&lt;=2,"?ACTIVATED",IF(J1057&lt;&gt;"","?FAMILIAR",IF(F1057="NEW",IF(ISNA(VLOOKUP(E1057,#REF!,1,FALSE())),"?TYPE_IDENTIFIABLE","?REFERENTIAL"),"_")))))</f>
        <v/>
      </c>
      <c r="H1057" s="23" t="str">
        <f t="shared" ca="1" si="81"/>
        <v/>
      </c>
      <c r="I1057" s="24" t="str">
        <f>IF(OR(E1057="",E1057="!!!",F1057="NEW"),"",INDEX(B$2:B1056,-1+SUMPRODUCT(MAX(ROW(E$2:E1056)*(E1057=E$2:E1056)))))</f>
        <v/>
      </c>
      <c r="J1057" s="24" t="str">
        <f ca="1">IF(OR(E1057="",E1057="!!!",F1057="NEW"),"",COUNTBLANK(OFFSET(A$1,,,SUMPRODUCT(MAX(ROW(E$2:E1057)*(E1057=E$2:E1057)))))-COUNTBLANK(OFFSET(A$1,,,SUMPRODUCT(MAX(ROW(E$1:E1056)*(E2=E$1:E1056))))))</f>
        <v/>
      </c>
      <c r="K1057" s="24" t="str">
        <f>IF(OR(E1057="",E1057="!!!",F1057="NEW"),"",INDEX(J$1:J1056,SUMPRODUCT(MAX(ROW(E$1:E1056)*(E1057=E$1:E1056)))))</f>
        <v/>
      </c>
      <c r="L1057" s="25" t="s">
        <v>733</v>
      </c>
    </row>
    <row r="1058" spans="1:12" x14ac:dyDescent="0.3">
      <c r="A1058" t="s">
        <v>493</v>
      </c>
      <c r="E1058" s="20" t="str">
        <f t="shared" si="80"/>
        <v/>
      </c>
      <c r="F1058" s="21" t="str">
        <f>IF(OR(E1058="",E1058="!!!"),"",IF(NOT(ISNA(VLOOKUP(E1058,E$1:E1057,1,FALSE()))),"OLD",IF(AND(E1058&lt;&gt;"",E1058&lt;&gt;"!!!"),"NEW","")))</f>
        <v/>
      </c>
      <c r="G1058" s="22" t="str">
        <f>IF(OR(E1058="",E1058="!!!"),"",IF(OR(J1058=0,AND(J1058=1,K1058=1),AND(J1058=1,I1058="SBJ"),AND(J1058=1,I1058=0)),"?IN_FOCUS",IF(J1058&lt;=2,"?ACTIVATED",IF(J1058&lt;&gt;"","?FAMILIAR",IF(F1058="NEW",IF(ISNA(VLOOKUP(E1058,#REF!,1,FALSE())),"?TYPE_IDENTIFIABLE","?REFERENTIAL"),"_")))))</f>
        <v/>
      </c>
      <c r="H1058" s="23" t="str">
        <f t="shared" ca="1" si="81"/>
        <v/>
      </c>
      <c r="I1058" s="24" t="str">
        <f>IF(OR(E1058="",E1058="!!!",F1058="NEW"),"",INDEX(B$2:B1057,-1+SUMPRODUCT(MAX(ROW(E$2:E1057)*(E1058=E$2:E1057)))))</f>
        <v/>
      </c>
      <c r="J1058" s="24" t="str">
        <f ca="1">IF(OR(E1058="",E1058="!!!",F1058="NEW"),"",COUNTBLANK(OFFSET(A$1,,,SUMPRODUCT(MAX(ROW(E$2:E1058)*(E1058=E$2:E1058)))))-COUNTBLANK(OFFSET(A$1,,,SUMPRODUCT(MAX(ROW(E$1:E1057)*(E2=E$1:E1057))))))</f>
        <v/>
      </c>
      <c r="K1058" s="24" t="str">
        <f>IF(OR(E1058="",E1058="!!!",F1058="NEW"),"",INDEX(J$1:J1057,SUMPRODUCT(MAX(ROW(E$1:E1057)*(E1058=E$1:E1057)))))</f>
        <v/>
      </c>
      <c r="L1058" s="25"/>
    </row>
    <row r="1059" spans="1:12" x14ac:dyDescent="0.3">
      <c r="A1059" t="s">
        <v>632</v>
      </c>
      <c r="E1059" s="20" t="str">
        <f t="shared" si="80"/>
        <v/>
      </c>
      <c r="F1059" s="21" t="str">
        <f>IF(OR(E1059="",E1059="!!!"),"",IF(NOT(ISNA(VLOOKUP(E1059,E$1:E1058,1,FALSE()))),"OLD",IF(AND(E1059&lt;&gt;"",E1059&lt;&gt;"!!!"),"NEW","")))</f>
        <v/>
      </c>
      <c r="G1059" s="22" t="str">
        <f>IF(OR(E1059="",E1059="!!!"),"",IF(OR(J1059=0,AND(J1059=1,K1059=1),AND(J1059=1,I1059="SBJ"),AND(J1059=1,I1059=0)),"?IN_FOCUS",IF(J1059&lt;=2,"?ACTIVATED",IF(J1059&lt;&gt;"","?FAMILIAR",IF(F1059="NEW",IF(ISNA(VLOOKUP(E1059,#REF!,1,FALSE())),"?TYPE_IDENTIFIABLE","?REFERENTIAL"),"_")))))</f>
        <v/>
      </c>
      <c r="H1059" s="23" t="str">
        <f t="shared" ca="1" si="81"/>
        <v/>
      </c>
      <c r="I1059" s="24" t="str">
        <f>IF(OR(E1059="",E1059="!!!",F1059="NEW"),"",INDEX(B$2:B1058,-1+SUMPRODUCT(MAX(ROW(E$2:E1058)*(E1059=E$2:E1058)))))</f>
        <v/>
      </c>
      <c r="J1059" s="24" t="str">
        <f ca="1">IF(OR(E1059="",E1059="!!!",F1059="NEW"),"",COUNTBLANK(OFFSET(A$1,,,SUMPRODUCT(MAX(ROW(E$2:E1059)*(E1059=E$2:E1059)))))-COUNTBLANK(OFFSET(A$1,,,SUMPRODUCT(MAX(ROW(E$1:E1058)*(E2=E$1:E1058))))))</f>
        <v/>
      </c>
      <c r="K1059" s="24" t="str">
        <f>IF(OR(E1059="",E1059="!!!",F1059="NEW"),"",INDEX(J$1:J1058,SUMPRODUCT(MAX(ROW(E$1:E1058)*(E1059=E$1:E1058)))))</f>
        <v/>
      </c>
      <c r="L1059" s="25"/>
    </row>
    <row r="1060" spans="1:12" x14ac:dyDescent="0.3">
      <c r="A1060" t="s">
        <v>633</v>
      </c>
      <c r="E1060" s="20" t="str">
        <f t="shared" si="80"/>
        <v/>
      </c>
      <c r="F1060" s="21" t="str">
        <f>IF(OR(E1060="",E1060="!!!"),"",IF(NOT(ISNA(VLOOKUP(E1060,E$1:E1059,1,FALSE()))),"OLD",IF(AND(E1060&lt;&gt;"",E1060&lt;&gt;"!!!"),"NEW","")))</f>
        <v/>
      </c>
      <c r="G1060" s="22" t="str">
        <f>IF(OR(E1060="",E1060="!!!"),"",IF(OR(J1060=0,AND(J1060=1,K1060=1),AND(J1060=1,I1060="SBJ"),AND(J1060=1,I1060=0)),"?IN_FOCUS",IF(J1060&lt;=2,"?ACTIVATED",IF(J1060&lt;&gt;"","?FAMILIAR",IF(F1060="NEW",IF(ISNA(VLOOKUP(E1060,#REF!,1,FALSE())),"?TYPE_IDENTIFIABLE","?REFERENTIAL"),"_")))))</f>
        <v/>
      </c>
      <c r="H1060" s="23" t="str">
        <f t="shared" ca="1" si="81"/>
        <v/>
      </c>
      <c r="I1060" s="24" t="str">
        <f>IF(OR(E1060="",E1060="!!!",F1060="NEW"),"",INDEX(B$2:B1059,-1+SUMPRODUCT(MAX(ROW(E$2:E1059)*(E1060=E$2:E1059)))))</f>
        <v/>
      </c>
      <c r="J1060" s="24" t="str">
        <f ca="1">IF(OR(E1060="",E1060="!!!",F1060="NEW"),"",COUNTBLANK(OFFSET(A$1,,,SUMPRODUCT(MAX(ROW(E$2:E1060)*(E1060=E$2:E1060)))))-COUNTBLANK(OFFSET(A$1,,,SUMPRODUCT(MAX(ROW(E$1:E1059)*(E2=E$1:E1059))))))</f>
        <v/>
      </c>
      <c r="K1060" s="24" t="str">
        <f>IF(OR(E1060="",E1060="!!!",F1060="NEW"),"",INDEX(J$1:J1059,SUMPRODUCT(MAX(ROW(E$1:E1059)*(E1060=E$1:E1059)))))</f>
        <v/>
      </c>
      <c r="L1060" s="25"/>
    </row>
    <row r="1061" spans="1:12" x14ac:dyDescent="0.3">
      <c r="A1061" t="s">
        <v>634</v>
      </c>
      <c r="E1061" s="20" t="str">
        <f t="shared" si="80"/>
        <v/>
      </c>
      <c r="F1061" s="21" t="str">
        <f>IF(OR(E1061="",E1061="!!!"),"",IF(NOT(ISNA(VLOOKUP(E1061,E$1:E1060,1,FALSE()))),"OLD",IF(AND(E1061&lt;&gt;"",E1061&lt;&gt;"!!!"),"NEW","")))</f>
        <v/>
      </c>
      <c r="G1061" s="22" t="str">
        <f>IF(OR(E1061="",E1061="!!!"),"",IF(OR(J1061=0,AND(J1061=1,K1061=1),AND(J1061=1,I1061="SBJ"),AND(J1061=1,I1061=0)),"?IN_FOCUS",IF(J1061&lt;=2,"?ACTIVATED",IF(J1061&lt;&gt;"","?FAMILIAR",IF(F1061="NEW",IF(ISNA(VLOOKUP(E1061,#REF!,1,FALSE())),"?TYPE_IDENTIFIABLE","?REFERENTIAL"),"_")))))</f>
        <v/>
      </c>
      <c r="H1061" s="23" t="str">
        <f t="shared" ca="1" si="81"/>
        <v/>
      </c>
      <c r="I1061" s="24" t="str">
        <f>IF(OR(E1061="",E1061="!!!",F1061="NEW"),"",INDEX(B$2:B1060,-1+SUMPRODUCT(MAX(ROW(E$2:E1060)*(E1061=E$2:E1060)))))</f>
        <v/>
      </c>
      <c r="J1061" s="24" t="str">
        <f ca="1">IF(OR(E1061="",E1061="!!!",F1061="NEW"),"",COUNTBLANK(OFFSET(A$1,,,SUMPRODUCT(MAX(ROW(E$2:E1061)*(E1061=E$2:E1061)))))-COUNTBLANK(OFFSET(A$1,,,SUMPRODUCT(MAX(ROW(E$1:E1060)*(E2=E$1:E1060))))))</f>
        <v/>
      </c>
      <c r="K1061" s="24" t="str">
        <f>IF(OR(E1061="",E1061="!!!",F1061="NEW"),"",INDEX(J$1:J1060,SUMPRODUCT(MAX(ROW(E$1:E1060)*(E1061=E$1:E1060)))))</f>
        <v/>
      </c>
      <c r="L1061" s="25"/>
    </row>
    <row r="1063" spans="1:12" x14ac:dyDescent="0.3">
      <c r="A1063" t="s">
        <v>629</v>
      </c>
    </row>
    <row r="1064" spans="1:12" x14ac:dyDescent="0.3">
      <c r="A1064" t="s">
        <v>630</v>
      </c>
      <c r="E1064" s="20" t="str">
        <f>IF(D1064="?OLD","!!!","")</f>
        <v/>
      </c>
      <c r="F1064" s="21" t="str">
        <f>IF(OR(E1064="",E1064="!!!"),"",IF(NOT(ISNA(VLOOKUP(E1064,E$1:E1063,1,FALSE()))),"OLD",IF(AND(E1064&lt;&gt;"",E1064&lt;&gt;"!!!"),"NEW","")))</f>
        <v/>
      </c>
      <c r="G1064" s="22" t="str">
        <f>IF(OR(E1064="",E1064="!!!"),"",IF(OR(J1064=0,AND(J1064=1,K1064=1),AND(J1064=1,I1064="SBJ"),AND(J1064=1,I1064=0)),"?IN_FOCUS",IF(J1064&lt;=2,"?ACTIVATED",IF(J1064&lt;&gt;"","?FAMILIAR",IF(F1064="NEW",IF(ISNA(VLOOKUP(E1064,#REF!,1,FALSE())),"?TYPE_IDENTIFIABLE","?REFERENTIAL"),"_")))))</f>
        <v/>
      </c>
      <c r="H1064" s="23" t="str">
        <f ca="1">IF(J1064&lt;&gt;1,"",IF(I1064="SBJ","CB","?"))</f>
        <v/>
      </c>
      <c r="I1064" s="24" t="str">
        <f>IF(OR(E1064="",E1064="!!!",F1064="NEW"),"",INDEX(B$2:B1063,-1+SUMPRODUCT(MAX(ROW(E$2:E1063)*(E1064=E$2:E1063)))))</f>
        <v/>
      </c>
      <c r="J1064" s="24" t="str">
        <f ca="1">IF(OR(E1064="",E1064="!!!",F1064="NEW"),"",COUNTBLANK(OFFSET(A$1,,,SUMPRODUCT(MAX(ROW(E$2:E1064)*(E1064=E$2:E1064)))))-COUNTBLANK(OFFSET(A$1,,,SUMPRODUCT(MAX(ROW(E$1:E1063)*(E2=E$1:E1063))))))</f>
        <v/>
      </c>
      <c r="K1064" s="24" t="str">
        <f>IF(OR(E1064="",E1064="!!!",F1064="NEW"),"",INDEX(J$1:J1063,SUMPRODUCT(MAX(ROW(E$1:E1063)*(E1064=E$1:E1063)))))</f>
        <v/>
      </c>
      <c r="L1064" s="25"/>
    </row>
    <row r="1065" spans="1:12" x14ac:dyDescent="0.3">
      <c r="A1065" t="s">
        <v>265</v>
      </c>
      <c r="B1065" s="26" t="s">
        <v>261</v>
      </c>
      <c r="C1065" s="26" t="s">
        <v>230</v>
      </c>
      <c r="D1065" s="26" t="s">
        <v>215</v>
      </c>
      <c r="E1065" s="20" t="s">
        <v>656</v>
      </c>
      <c r="F1065" s="21" t="str">
        <f>IF(OR(E1065="",E1065="!!!"),"",IF(NOT(ISNA(VLOOKUP(E1065,E$1:E1064,1,FALSE()))),"OLD",IF(AND(E1065&lt;&gt;"",E1065&lt;&gt;"!!!"),"NEW","")))</f>
        <v>OLD</v>
      </c>
      <c r="G1065" s="22" t="str">
        <f ca="1">IF(OR(E1065="",E1065="!!!"),"",IF(OR(J1065=0,AND(J1065=1,K1065=1),AND(J1065=1,I1065="SBJ"),AND(J1065=1,I1065=0)),"?IN_FOCUS",IF(J1065&lt;=2,"?ACTIVATED",IF(J1065&lt;&gt;"","?FAMILIAR",IF(F1065="NEW",IF(ISNA(VLOOKUP(E1065,#REF!,1,FALSE())),"?TYPE_IDENTIFIABLE","?REFERENTIAL"),"_")))))</f>
        <v>?IN_FOCUS</v>
      </c>
      <c r="H1065" s="23" t="str">
        <f ca="1">IF(J1065&lt;&gt;1,"",IF(I1065="SBJ","CB","?"))</f>
        <v/>
      </c>
      <c r="I1065" s="24" t="str">
        <f>IF(OR(E1065="",E1065="!!!",F1065="NEW"),"",INDEX(B$2:B1064,-1+SUMPRODUCT(MAX(ROW(E$2:E1064)*(E1065=E$2:E1064)))))</f>
        <v>OBJ</v>
      </c>
      <c r="J1065" s="24">
        <f ca="1">IF(OR(E1065="",E1065="!!!",F1065="NEW"),"",COUNTBLANK(OFFSET(A$1,,,SUMPRODUCT(MAX(ROW(E$2:E1065)*(E1065=E$2:E1065)))))-COUNTBLANK(OFFSET(A$1,,,SUMPRODUCT(MAX(ROW(E$1:E1064)*(E2=E$1:E1064))))))</f>
        <v>0</v>
      </c>
      <c r="K1065" s="24">
        <f ca="1">IF(OR(E1065="",E1065="!!!",F1065="NEW"),"",INDEX(J$1:J1064,SUMPRODUCT(MAX(ROW(E$1:E1064)*(E1065=E$1:E1064)))))</f>
        <v>0</v>
      </c>
      <c r="L1065" s="25"/>
    </row>
    <row r="1066" spans="1:12" x14ac:dyDescent="0.3">
      <c r="A1066" t="s">
        <v>234</v>
      </c>
      <c r="E1066" s="20" t="str">
        <f>IF(D1066="?OLD","!!!","")</f>
        <v/>
      </c>
      <c r="F1066" s="21" t="str">
        <f>IF(OR(E1066="",E1066="!!!"),"",IF(NOT(ISNA(VLOOKUP(E1066,E$1:E1065,1,FALSE()))),"OLD",IF(AND(E1066&lt;&gt;"",E1066&lt;&gt;"!!!"),"NEW","")))</f>
        <v/>
      </c>
      <c r="G1066" s="22" t="str">
        <f>IF(OR(E1066="",E1066="!!!"),"",IF(OR(J1066=0,AND(J1066=1,K1066=1),AND(J1066=1,I1066="SBJ"),AND(J1066=1,I1066=0)),"?IN_FOCUS",IF(J1066&lt;=2,"?ACTIVATED",IF(J1066&lt;&gt;"","?FAMILIAR",IF(F1066="NEW",IF(ISNA(VLOOKUP(E1066,#REF!,1,FALSE())),"?TYPE_IDENTIFIABLE","?REFERENTIAL"),"_")))))</f>
        <v/>
      </c>
      <c r="H1066" s="23" t="str">
        <f ca="1">IF(J1066&lt;&gt;1,"",IF(I1066="SBJ","CB","?"))</f>
        <v/>
      </c>
      <c r="I1066" s="24" t="str">
        <f>IF(OR(E1066="",E1066="!!!",F1066="NEW"),"",INDEX(B$2:B1065,-1+SUMPRODUCT(MAX(ROW(E$2:E1065)*(E1066=E$2:E1065)))))</f>
        <v/>
      </c>
      <c r="J1066" s="24" t="str">
        <f ca="1">IF(OR(E1066="",E1066="!!!",F1066="NEW"),"",COUNTBLANK(OFFSET(A$1,,,SUMPRODUCT(MAX(ROW(E$2:E1066)*(E1066=E$2:E1066)))))-COUNTBLANK(OFFSET(A$1,,,SUMPRODUCT(MAX(ROW(E$1:E1065)*(E2=E$1:E1065))))))</f>
        <v/>
      </c>
      <c r="K1066" s="24" t="str">
        <f>IF(OR(E1066="",E1066="!!!",F1066="NEW"),"",INDEX(J$1:J1065,SUMPRODUCT(MAX(ROW(E$1:E1065)*(E1066=E$1:E1065)))))</f>
        <v/>
      </c>
      <c r="L1066" s="25"/>
    </row>
    <row r="1068" spans="1:12" x14ac:dyDescent="0.3">
      <c r="A1068" t="s">
        <v>635</v>
      </c>
    </row>
    <row r="1069" spans="1:12" x14ac:dyDescent="0.3">
      <c r="A1069" t="s">
        <v>636</v>
      </c>
      <c r="B1069" s="26" t="s">
        <v>205</v>
      </c>
      <c r="C1069" s="26" t="s">
        <v>226</v>
      </c>
      <c r="E1069" s="20" t="str">
        <f>IF(D1069="?OLD","!!!","")</f>
        <v/>
      </c>
      <c r="F1069" s="21" t="str">
        <f>IF(OR(E1069="",E1069="!!!"),"",IF(NOT(ISNA(VLOOKUP(E1069,E$1:E1068,1,FALSE()))),"OLD",IF(AND(E1069&lt;&gt;"",E1069&lt;&gt;"!!!"),"NEW","")))</f>
        <v/>
      </c>
      <c r="G1069" s="22" t="str">
        <f>IF(OR(E1069="",E1069="!!!"),"",IF(OR(J1069=0,AND(J1069=1,K1069=1),AND(J1069=1,I1069="SBJ"),AND(J1069=1,I1069=0)),"?IN_FOCUS",IF(J1069&lt;=2,"?ACTIVATED",IF(J1069&lt;&gt;"","?FAMILIAR",IF(F1069="NEW",IF(ISNA(VLOOKUP(E1069,#REF!,1,FALSE())),"?TYPE_IDENTIFIABLE","?REFERENTIAL"),"_")))))</f>
        <v/>
      </c>
      <c r="H1069" s="23" t="str">
        <f ca="1">IF(J1069&lt;&gt;1,"",IF(I1069="SBJ","CB","?"))</f>
        <v/>
      </c>
      <c r="I1069" s="24" t="str">
        <f>IF(OR(E1069="",E1069="!!!",F1069="NEW"),"",INDEX(B$2:B1068,-1+SUMPRODUCT(MAX(ROW(E$2:E1068)*(E1069=E$2:E1068)))))</f>
        <v/>
      </c>
      <c r="J1069" s="24" t="str">
        <f ca="1">IF(OR(E1069="",E1069="!!!",F1069="NEW"),"",COUNTBLANK(OFFSET(A$1,,,SUMPRODUCT(MAX(ROW(E$2:E1069)*(E1069=E$2:E1069)))))-COUNTBLANK(OFFSET(A$1,,,SUMPRODUCT(MAX(ROW(E$1:E1068)*(E2=E$1:E1068))))))</f>
        <v/>
      </c>
      <c r="K1069" s="24" t="str">
        <f>IF(OR(E1069="",E1069="!!!",F1069="NEW"),"",INDEX(J$1:J1068,SUMPRODUCT(MAX(ROW(E$1:E1068)*(E1069=E$1:E1068)))))</f>
        <v/>
      </c>
      <c r="L1069" s="25"/>
    </row>
    <row r="1070" spans="1:12" x14ac:dyDescent="0.3">
      <c r="A1070" t="s">
        <v>234</v>
      </c>
      <c r="E1070" s="20" t="str">
        <f>IF(D1070="?OLD","!!!","")</f>
        <v/>
      </c>
      <c r="F1070" s="21" t="str">
        <f>IF(OR(E1070="",E1070="!!!"),"",IF(NOT(ISNA(VLOOKUP(E1070,E$1:E1069,1,FALSE()))),"OLD",IF(AND(E1070&lt;&gt;"",E1070&lt;&gt;"!!!"),"NEW","")))</f>
        <v/>
      </c>
      <c r="G1070" s="22" t="str">
        <f>IF(OR(E1070="",E1070="!!!"),"",IF(OR(J1070=0,AND(J1070=1,K1070=1),AND(J1070=1,I1070="SBJ"),AND(J1070=1,I1070=0)),"?IN_FOCUS",IF(J1070&lt;=2,"?ACTIVATED",IF(J1070&lt;&gt;"","?FAMILIAR",IF(F1070="NEW",IF(ISNA(VLOOKUP(E1070,#REF!,1,FALSE())),"?TYPE_IDENTIFIABLE","?REFERENTIAL"),"_")))))</f>
        <v/>
      </c>
      <c r="H1070" s="23" t="str">
        <f ca="1">IF(J1070&lt;&gt;1,"",IF(I1070="SBJ","CB","?"))</f>
        <v/>
      </c>
      <c r="I1070" s="24" t="str">
        <f>IF(OR(E1070="",E1070="!!!",F1070="NEW"),"",INDEX(B$2:B1069,-1+SUMPRODUCT(MAX(ROW(E$2:E1069)*(E1070=E$2:E1069)))))</f>
        <v/>
      </c>
      <c r="J1070" s="24" t="str">
        <f ca="1">IF(OR(E1070="",E1070="!!!",F1070="NEW"),"",COUNTBLANK(OFFSET(A$1,,,SUMPRODUCT(MAX(ROW(E$2:E1070)*(E1070=E$2:E1070)))))-COUNTBLANK(OFFSET(A$1,,,SUMPRODUCT(MAX(ROW(E$1:E1069)*(E2=E$1:E1069))))))</f>
        <v/>
      </c>
      <c r="K1070" s="24" t="str">
        <f>IF(OR(E1070="",E1070="!!!",F1070="NEW"),"",INDEX(J$1:J1069,SUMPRODUCT(MAX(ROW(E$1:E1069)*(E1070=E$1:E1069)))))</f>
        <v/>
      </c>
      <c r="L1070" s="25"/>
    </row>
    <row r="1072" spans="1:12" x14ac:dyDescent="0.3">
      <c r="A1072" t="s">
        <v>637</v>
      </c>
    </row>
    <row r="1073" spans="1:12" x14ac:dyDescent="0.3">
      <c r="A1073" t="s">
        <v>173</v>
      </c>
      <c r="B1073" s="26" t="s">
        <v>205</v>
      </c>
      <c r="C1073" s="26" t="s">
        <v>214</v>
      </c>
      <c r="D1073" s="26" t="s">
        <v>215</v>
      </c>
      <c r="E1073" s="20"/>
      <c r="F1073" s="21" t="str">
        <f>IF(OR(E1073="",E1073="!!!"),"",IF(NOT(ISNA(VLOOKUP(E1073,E$1:E1072,1,FALSE()))),"OLD",IF(AND(E1073&lt;&gt;"",E1073&lt;&gt;"!!!"),"NEW","")))</f>
        <v/>
      </c>
      <c r="G1073" s="22" t="str">
        <f>IF(OR(E1073="",E1073="!!!"),"",IF(OR(J1073=0,AND(J1073=1,K1073=1),AND(J1073=1,I1073="SBJ"),AND(J1073=1,I1073=0)),"?IN_FOCUS",IF(J1073&lt;=2,"?ACTIVATED",IF(J1073&lt;&gt;"","?FAMILIAR",IF(F1073="NEW",IF(ISNA(VLOOKUP(E1073,#REF!,1,FALSE())),"?TYPE_IDENTIFIABLE","?REFERENTIAL"),"_")))))</f>
        <v/>
      </c>
      <c r="H1073" s="23" t="str">
        <f ca="1">IF(J1073&lt;&gt;1,"",IF(I1073="SBJ","CB","?"))</f>
        <v/>
      </c>
      <c r="I1073" s="24" t="str">
        <f>IF(OR(E1073="",E1073="!!!",F1073="NEW"),"",INDEX(B$2:B1072,-1+SUMPRODUCT(MAX(ROW(E$2:E1072)*(E1073=E$2:E1072)))))</f>
        <v/>
      </c>
      <c r="J1073" s="24" t="str">
        <f ca="1">IF(OR(E1073="",E1073="!!!",F1073="NEW"),"",COUNTBLANK(OFFSET(A$1,,,SUMPRODUCT(MAX(ROW(E$2:E1073)*(E1073=E$2:E1073)))))-COUNTBLANK(OFFSET(A$1,,,SUMPRODUCT(MAX(ROW(E$1:E1072)*(E2=E$1:E1072))))))</f>
        <v/>
      </c>
      <c r="K1073" s="24" t="str">
        <f>IF(OR(E1073="",E1073="!!!",F1073="NEW"),"",INDEX(J$1:J1072,SUMPRODUCT(MAX(ROW(E$1:E1072)*(E1073=E$1:E1072)))))</f>
        <v/>
      </c>
      <c r="L1073" s="25" t="s">
        <v>734</v>
      </c>
    </row>
    <row r="1074" spans="1:12" x14ac:dyDescent="0.3">
      <c r="A1074" t="s">
        <v>638</v>
      </c>
      <c r="E1074" s="20" t="str">
        <f>IF(D1074="?OLD","!!!","")</f>
        <v/>
      </c>
      <c r="F1074" s="21" t="str">
        <f>IF(OR(E1074="",E1074="!!!"),"",IF(NOT(ISNA(VLOOKUP(E1074,E$1:E1073,1,FALSE()))),"OLD",IF(AND(E1074&lt;&gt;"",E1074&lt;&gt;"!!!"),"NEW","")))</f>
        <v/>
      </c>
      <c r="G1074" s="22" t="str">
        <f>IF(OR(E1074="",E1074="!!!"),"",IF(OR(J1074=0,AND(J1074=1,K1074=1),AND(J1074=1,I1074="SBJ"),AND(J1074=1,I1074=0)),"?IN_FOCUS",IF(J1074&lt;=2,"?ACTIVATED",IF(J1074&lt;&gt;"","?FAMILIAR",IF(F1074="NEW",IF(ISNA(VLOOKUP(E1074,#REF!,1,FALSE())),"?TYPE_IDENTIFIABLE","?REFERENTIAL"),"_")))))</f>
        <v/>
      </c>
      <c r="H1074" s="23" t="str">
        <f ca="1">IF(J1074&lt;&gt;1,"",IF(I1074="SBJ","CB","?"))</f>
        <v/>
      </c>
      <c r="I1074" s="24" t="str">
        <f>IF(OR(E1074="",E1074="!!!",F1074="NEW"),"",INDEX(B$2:B1073,-1+SUMPRODUCT(MAX(ROW(E$2:E1073)*(E1074=E$2:E1073)))))</f>
        <v/>
      </c>
      <c r="J1074" s="24" t="str">
        <f ca="1">IF(OR(E1074="",E1074="!!!",F1074="NEW"),"",COUNTBLANK(OFFSET(A$1,,,SUMPRODUCT(MAX(ROW(E$2:E1074)*(E1074=E$2:E1074)))))-COUNTBLANK(OFFSET(A$1,,,SUMPRODUCT(MAX(ROW(E$1:E1073)*(E2=E$1:E1073))))))</f>
        <v/>
      </c>
      <c r="K1074" s="24" t="str">
        <f>IF(OR(E1074="",E1074="!!!",F1074="NEW"),"",INDEX(J$1:J1073,SUMPRODUCT(MAX(ROW(E$1:E1073)*(E1074=E$1:E1073)))))</f>
        <v/>
      </c>
      <c r="L1074" s="25"/>
    </row>
    <row r="1075" spans="1:12" x14ac:dyDescent="0.3">
      <c r="A1075" t="s">
        <v>234</v>
      </c>
      <c r="E1075" s="20" t="str">
        <f>IF(D1075="?OLD","!!!","")</f>
        <v/>
      </c>
      <c r="F1075" s="21" t="str">
        <f>IF(OR(E1075="",E1075="!!!"),"",IF(NOT(ISNA(VLOOKUP(E1075,E$1:E1074,1,FALSE()))),"OLD",IF(AND(E1075&lt;&gt;"",E1075&lt;&gt;"!!!"),"NEW","")))</f>
        <v/>
      </c>
      <c r="G1075" s="22" t="str">
        <f>IF(OR(E1075="",E1075="!!!"),"",IF(OR(J1075=0,AND(J1075=1,K1075=1),AND(J1075=1,I1075="SBJ"),AND(J1075=1,I1075=0)),"?IN_FOCUS",IF(J1075&lt;=2,"?ACTIVATED",IF(J1075&lt;&gt;"","?FAMILIAR",IF(F1075="NEW",IF(ISNA(VLOOKUP(E1075,#REF!,1,FALSE())),"?TYPE_IDENTIFIABLE","?REFERENTIAL"),"_")))))</f>
        <v/>
      </c>
      <c r="H1075" s="23" t="str">
        <f ca="1">IF(J1075&lt;&gt;1,"",IF(I1075="SBJ","CB","?"))</f>
        <v/>
      </c>
      <c r="I1075" s="24" t="str">
        <f>IF(OR(E1075="",E1075="!!!",F1075="NEW"),"",INDEX(B$2:B1074,-1+SUMPRODUCT(MAX(ROW(E$2:E1074)*(E1075=E$2:E1074)))))</f>
        <v/>
      </c>
      <c r="J1075" s="24" t="str">
        <f ca="1">IF(OR(E1075="",E1075="!!!",F1075="NEW"),"",COUNTBLANK(OFFSET(A$1,,,SUMPRODUCT(MAX(ROW(E$2:E1075)*(E1075=E$2:E1075)))))-COUNTBLANK(OFFSET(A$1,,,SUMPRODUCT(MAX(ROW(E$1:E1074)*(E2=E$1:E1074))))))</f>
        <v/>
      </c>
      <c r="K1075" s="24" t="str">
        <f>IF(OR(E1075="",E1075="!!!",F1075="NEW"),"",INDEX(J$1:J1074,SUMPRODUCT(MAX(ROW(E$1:E1074)*(E1075=E$1:E1074)))))</f>
        <v/>
      </c>
      <c r="L1075" s="25"/>
    </row>
    <row r="1077" spans="1:12" x14ac:dyDescent="0.3">
      <c r="A1077" t="s">
        <v>639</v>
      </c>
    </row>
    <row r="1078" spans="1:12" x14ac:dyDescent="0.3">
      <c r="A1078" t="s">
        <v>173</v>
      </c>
      <c r="B1078" s="26" t="s">
        <v>205</v>
      </c>
      <c r="C1078" s="26" t="s">
        <v>214</v>
      </c>
      <c r="D1078" s="26" t="s">
        <v>215</v>
      </c>
      <c r="E1078" s="20"/>
      <c r="F1078" s="21" t="str">
        <f>IF(OR(E1078="",E1078="!!!"),"",IF(NOT(ISNA(VLOOKUP(E1078,E$1:E1077,1,FALSE()))),"OLD",IF(AND(E1078&lt;&gt;"",E1078&lt;&gt;"!!!"),"NEW","")))</f>
        <v/>
      </c>
      <c r="G1078" s="22" t="str">
        <f>IF(OR(E1078="",E1078="!!!"),"",IF(OR(J1078=0,AND(J1078=1,K1078=1),AND(J1078=1,I1078="SBJ"),AND(J1078=1,I1078=0)),"?IN_FOCUS",IF(J1078&lt;=2,"?ACTIVATED",IF(J1078&lt;&gt;"","?FAMILIAR",IF(F1078="NEW",IF(ISNA(VLOOKUP(E1078,#REF!,1,FALSE())),"?TYPE_IDENTIFIABLE","?REFERENTIAL"),"_")))))</f>
        <v/>
      </c>
      <c r="H1078" s="23" t="str">
        <f ca="1">IF(J1078&lt;&gt;1,"",IF(I1078="SBJ","CB","?"))</f>
        <v/>
      </c>
      <c r="I1078" s="24" t="str">
        <f>IF(OR(E1078="",E1078="!!!",F1078="NEW"),"",INDEX(B$2:B1077,-1+SUMPRODUCT(MAX(ROW(E$2:E1077)*(E1078=E$2:E1077)))))</f>
        <v/>
      </c>
      <c r="J1078" s="24" t="str">
        <f ca="1">IF(OR(E1078="",E1078="!!!",F1078="NEW"),"",COUNTBLANK(OFFSET(A$1,,,SUMPRODUCT(MAX(ROW(E$2:E1078)*(E1078=E$2:E1078)))))-COUNTBLANK(OFFSET(A$1,,,SUMPRODUCT(MAX(ROW(E$1:E1077)*(E2=E$1:E1077))))))</f>
        <v/>
      </c>
      <c r="K1078" s="24" t="str">
        <f>IF(OR(E1078="",E1078="!!!",F1078="NEW"),"",INDEX(J$1:J1077,SUMPRODUCT(MAX(ROW(E$1:E1077)*(E1078=E$1:E1077)))))</f>
        <v/>
      </c>
      <c r="L1078" s="25" t="s">
        <v>734</v>
      </c>
    </row>
    <row r="1079" spans="1:12" x14ac:dyDescent="0.3">
      <c r="A1079" t="s">
        <v>638</v>
      </c>
      <c r="E1079" s="20" t="str">
        <f>IF(D1079="?OLD","!!!","")</f>
        <v/>
      </c>
      <c r="F1079" s="21" t="str">
        <f>IF(OR(E1079="",E1079="!!!"),"",IF(NOT(ISNA(VLOOKUP(E1079,E$1:E1078,1,FALSE()))),"OLD",IF(AND(E1079&lt;&gt;"",E1079&lt;&gt;"!!!"),"NEW","")))</f>
        <v/>
      </c>
      <c r="G1079" s="22" t="str">
        <f>IF(OR(E1079="",E1079="!!!"),"",IF(OR(J1079=0,AND(J1079=1,K1079=1),AND(J1079=1,I1079="SBJ"),AND(J1079=1,I1079=0)),"?IN_FOCUS",IF(J1079&lt;=2,"?ACTIVATED",IF(J1079&lt;&gt;"","?FAMILIAR",IF(F1079="NEW",IF(ISNA(VLOOKUP(E1079,#REF!,1,FALSE())),"?TYPE_IDENTIFIABLE","?REFERENTIAL"),"_")))))</f>
        <v/>
      </c>
      <c r="H1079" s="23" t="str">
        <f ca="1">IF(J1079&lt;&gt;1,"",IF(I1079="SBJ","CB","?"))</f>
        <v/>
      </c>
      <c r="I1079" s="24" t="str">
        <f>IF(OR(E1079="",E1079="!!!",F1079="NEW"),"",INDEX(B$2:B1078,-1+SUMPRODUCT(MAX(ROW(E$2:E1078)*(E1079=E$2:E1078)))))</f>
        <v/>
      </c>
      <c r="J1079" s="24" t="str">
        <f ca="1">IF(OR(E1079="",E1079="!!!",F1079="NEW"),"",COUNTBLANK(OFFSET(A$1,,,SUMPRODUCT(MAX(ROW(E$2:E1079)*(E1079=E$2:E1079)))))-COUNTBLANK(OFFSET(A$1,,,SUMPRODUCT(MAX(ROW(E$1:E1078)*(E2=E$1:E1078))))))</f>
        <v/>
      </c>
      <c r="K1079" s="24" t="str">
        <f>IF(OR(E1079="",E1079="!!!",F1079="NEW"),"",INDEX(J$1:J1078,SUMPRODUCT(MAX(ROW(E$1:E1078)*(E1079=E$1:E1078)))))</f>
        <v/>
      </c>
      <c r="L1079" s="25"/>
    </row>
    <row r="1080" spans="1:12" x14ac:dyDescent="0.3">
      <c r="A1080" t="s">
        <v>634</v>
      </c>
      <c r="E1080" s="20" t="str">
        <f>IF(D1080="?OLD","!!!","")</f>
        <v/>
      </c>
      <c r="F1080" s="21" t="str">
        <f>IF(OR(E1080="",E1080="!!!"),"",IF(NOT(ISNA(VLOOKUP(E1080,E$1:E1079,1,FALSE()))),"OLD",IF(AND(E1080&lt;&gt;"",E1080&lt;&gt;"!!!"),"NEW","")))</f>
        <v/>
      </c>
      <c r="G1080" s="22" t="str">
        <f>IF(OR(E1080="",E1080="!!!"),"",IF(OR(J1080=0,AND(J1080=1,K1080=1),AND(J1080=1,I1080="SBJ"),AND(J1080=1,I1080=0)),"?IN_FOCUS",IF(J1080&lt;=2,"?ACTIVATED",IF(J1080&lt;&gt;"","?FAMILIAR",IF(F1080="NEW",IF(ISNA(VLOOKUP(E1080,#REF!,1,FALSE())),"?TYPE_IDENTIFIABLE","?REFERENTIAL"),"_")))))</f>
        <v/>
      </c>
      <c r="H1080" s="23" t="str">
        <f ca="1">IF(J1080&lt;&gt;1,"",IF(I1080="SBJ","CB","?"))</f>
        <v/>
      </c>
      <c r="I1080" s="24" t="str">
        <f>IF(OR(E1080="",E1080="!!!",F1080="NEW"),"",INDEX(B$2:B1079,-1+SUMPRODUCT(MAX(ROW(E$2:E1079)*(E1080=E$2:E1079)))))</f>
        <v/>
      </c>
      <c r="J1080" s="24" t="str">
        <f ca="1">IF(OR(E1080="",E1080="!!!",F1080="NEW"),"",COUNTBLANK(OFFSET(A$1,,,SUMPRODUCT(MAX(ROW(E$2:E1080)*(E1080=E$2:E1080)))))-COUNTBLANK(OFFSET(A$1,,,SUMPRODUCT(MAX(ROW(E$1:E1079)*(E2=E$1:E1079))))))</f>
        <v/>
      </c>
      <c r="K1080" s="24" t="str">
        <f>IF(OR(E1080="",E1080="!!!",F1080="NEW"),"",INDEX(J$1:J1079,SUMPRODUCT(MAX(ROW(E$1:E1079)*(E1080=E$1:E1079)))))</f>
        <v/>
      </c>
      <c r="L1080" s="25"/>
    </row>
    <row r="1082" spans="1:12" x14ac:dyDescent="0.3">
      <c r="A1082" t="s">
        <v>640</v>
      </c>
    </row>
    <row r="1083" spans="1:12" x14ac:dyDescent="0.3">
      <c r="A1083" t="s">
        <v>257</v>
      </c>
      <c r="B1083" s="26" t="s">
        <v>213</v>
      </c>
      <c r="C1083" s="26" t="s">
        <v>230</v>
      </c>
      <c r="D1083" s="26" t="s">
        <v>215</v>
      </c>
      <c r="E1083" s="20" t="s">
        <v>739</v>
      </c>
      <c r="F1083" s="21" t="str">
        <f>IF(OR(E1083="",E1083="!!!"),"",IF(NOT(ISNA(VLOOKUP(E1083,E$1:E1082,1,FALSE()))),"OLD",IF(AND(E1083&lt;&gt;"",E1083&lt;&gt;"!!!"),"NEW","")))</f>
        <v>OLD</v>
      </c>
      <c r="G1083" s="22" t="str">
        <f ca="1">IF(OR(E1083="",E1083="!!!"),"",IF(OR(J1083=0,AND(J1083=1,K1083=1),AND(J1083=1,I1083="SBJ"),AND(J1083=1,I1083=0)),"?IN_FOCUS",IF(J1083&lt;=2,"?ACTIVATED",IF(J1083&lt;&gt;"","?FAMILIAR",IF(F1083="NEW",IF(ISNA(VLOOKUP(E1083,#REF!,1,FALSE())),"?TYPE_IDENTIFIABLE","?REFERENTIAL"),"_")))))</f>
        <v>?IN_FOCUS</v>
      </c>
      <c r="H1083" s="23" t="str">
        <f t="shared" ref="H1083:H1095" ca="1" si="82">IF(J1083&lt;&gt;1,"",IF(I1083="SBJ","CB","?"))</f>
        <v/>
      </c>
      <c r="I1083" s="24" t="str">
        <f>IF(OR(E1083="",E1083="!!!",F1083="NEW"),"",INDEX(B$2:B1082,-1+SUMPRODUCT(MAX(ROW(E$2:E1082)*(E1083=E$2:E1082)))))</f>
        <v>SBJ_3</v>
      </c>
      <c r="J1083" s="24">
        <f ca="1">IF(OR(E1083="",E1083="!!!",F1083="NEW"),"",COUNTBLANK(OFFSET(A$1,,,SUMPRODUCT(MAX(ROW(E$2:E1083)*(E1083=E$2:E1083)))))-COUNTBLANK(OFFSET(A$1,,,SUMPRODUCT(MAX(ROW(E$1:E1082)*(E2=E$1:E1082))))))</f>
        <v>0</v>
      </c>
      <c r="K1083" s="24">
        <f ca="1">IF(OR(E1083="",E1083="!!!",F1083="NEW"),"",INDEX(J$1:J1082,SUMPRODUCT(MAX(ROW(E$1:E1082)*(E1083=E$1:E1082)))))</f>
        <v>0</v>
      </c>
      <c r="L1083" s="25"/>
    </row>
    <row r="1084" spans="1:12" x14ac:dyDescent="0.3">
      <c r="A1084" t="s">
        <v>258</v>
      </c>
      <c r="E1084" s="20" t="str">
        <f t="shared" ref="E1084:E1095" si="83">IF(D1084="?OLD","!!!","")</f>
        <v/>
      </c>
      <c r="F1084" s="21" t="str">
        <f>IF(OR(E1084="",E1084="!!!"),"",IF(NOT(ISNA(VLOOKUP(E1084,E$1:E1083,1,FALSE()))),"OLD",IF(AND(E1084&lt;&gt;"",E1084&lt;&gt;"!!!"),"NEW","")))</f>
        <v/>
      </c>
      <c r="G1084" s="22" t="str">
        <f>IF(OR(E1084="",E1084="!!!"),"",IF(OR(J1084=0,AND(J1084=1,K1084=1),AND(J1084=1,I1084="SBJ"),AND(J1084=1,I1084=0)),"?IN_FOCUS",IF(J1084&lt;=2,"?ACTIVATED",IF(J1084&lt;&gt;"","?FAMILIAR",IF(F1084="NEW",IF(ISNA(VLOOKUP(E1084,#REF!,1,FALSE())),"?TYPE_IDENTIFIABLE","?REFERENTIAL"),"_")))))</f>
        <v/>
      </c>
      <c r="H1084" s="23" t="str">
        <f t="shared" ca="1" si="82"/>
        <v/>
      </c>
      <c r="I1084" s="24" t="str">
        <f>IF(OR(E1084="",E1084="!!!",F1084="NEW"),"",INDEX(B$2:B1083,-1+SUMPRODUCT(MAX(ROW(E$2:E1083)*(E1084=E$2:E1083)))))</f>
        <v/>
      </c>
      <c r="J1084" s="24" t="str">
        <f ca="1">IF(OR(E1084="",E1084="!!!",F1084="NEW"),"",COUNTBLANK(OFFSET(A$1,,,SUMPRODUCT(MAX(ROW(E$2:E1084)*(E1084=E$2:E1084)))))-COUNTBLANK(OFFSET(A$1,,,SUMPRODUCT(MAX(ROW(E$1:E1083)*(E2=E$1:E1083))))))</f>
        <v/>
      </c>
      <c r="K1084" s="24" t="str">
        <f>IF(OR(E1084="",E1084="!!!",F1084="NEW"),"",INDEX(J$1:J1083,SUMPRODUCT(MAX(ROW(E$1:E1083)*(E1084=E$1:E1083)))))</f>
        <v/>
      </c>
      <c r="L1084" s="25"/>
    </row>
    <row r="1085" spans="1:12" x14ac:dyDescent="0.3">
      <c r="A1085" t="s">
        <v>387</v>
      </c>
      <c r="E1085" s="20" t="str">
        <f t="shared" si="83"/>
        <v/>
      </c>
      <c r="F1085" s="21" t="str">
        <f>IF(OR(E1085="",E1085="!!!"),"",IF(NOT(ISNA(VLOOKUP(E1085,E$1:E1084,1,FALSE()))),"OLD",IF(AND(E1085&lt;&gt;"",E1085&lt;&gt;"!!!"),"NEW","")))</f>
        <v/>
      </c>
      <c r="G1085" s="22" t="str">
        <f>IF(OR(E1085="",E1085="!!!"),"",IF(OR(J1085=0,AND(J1085=1,K1085=1),AND(J1085=1,I1085="SBJ"),AND(J1085=1,I1085=0)),"?IN_FOCUS",IF(J1085&lt;=2,"?ACTIVATED",IF(J1085&lt;&gt;"","?FAMILIAR",IF(F1085="NEW",IF(ISNA(VLOOKUP(E1085,#REF!,1,FALSE())),"?TYPE_IDENTIFIABLE","?REFERENTIAL"),"_")))))</f>
        <v/>
      </c>
      <c r="H1085" s="23" t="str">
        <f t="shared" ca="1" si="82"/>
        <v/>
      </c>
      <c r="I1085" s="24" t="str">
        <f>IF(OR(E1085="",E1085="!!!",F1085="NEW"),"",INDEX(B$2:B1084,-1+SUMPRODUCT(MAX(ROW(E$2:E1084)*(E1085=E$2:E1084)))))</f>
        <v/>
      </c>
      <c r="J1085" s="24" t="str">
        <f ca="1">IF(OR(E1085="",E1085="!!!",F1085="NEW"),"",COUNTBLANK(OFFSET(A$1,,,SUMPRODUCT(MAX(ROW(E$2:E1085)*(E1085=E$2:E1085)))))-COUNTBLANK(OFFSET(A$1,,,SUMPRODUCT(MAX(ROW(E$1:E1084)*(E2=E$1:E1084))))))</f>
        <v/>
      </c>
      <c r="K1085" s="24" t="str">
        <f>IF(OR(E1085="",E1085="!!!",F1085="NEW"),"",INDEX(J$1:J1084,SUMPRODUCT(MAX(ROW(E$1:E1084)*(E1085=E$1:E1084)))))</f>
        <v/>
      </c>
      <c r="L1085" s="25"/>
    </row>
    <row r="1086" spans="1:12" x14ac:dyDescent="0.3">
      <c r="A1086" t="s">
        <v>323</v>
      </c>
      <c r="E1086" s="20" t="str">
        <f t="shared" si="83"/>
        <v/>
      </c>
      <c r="F1086" s="21" t="str">
        <f>IF(OR(E1086="",E1086="!!!"),"",IF(NOT(ISNA(VLOOKUP(E1086,E$1:E1085,1,FALSE()))),"OLD",IF(AND(E1086&lt;&gt;"",E1086&lt;&gt;"!!!"),"NEW","")))</f>
        <v/>
      </c>
      <c r="G1086" s="22" t="str">
        <f>IF(OR(E1086="",E1086="!!!"),"",IF(OR(J1086=0,AND(J1086=1,K1086=1),AND(J1086=1,I1086="SBJ"),AND(J1086=1,I1086=0)),"?IN_FOCUS",IF(J1086&lt;=2,"?ACTIVATED",IF(J1086&lt;&gt;"","?FAMILIAR",IF(F1086="NEW",IF(ISNA(VLOOKUP(E1086,#REF!,1,FALSE())),"?TYPE_IDENTIFIABLE","?REFERENTIAL"),"_")))))</f>
        <v/>
      </c>
      <c r="H1086" s="23" t="str">
        <f t="shared" ca="1" si="82"/>
        <v/>
      </c>
      <c r="I1086" s="24" t="str">
        <f>IF(OR(E1086="",E1086="!!!",F1086="NEW"),"",INDEX(B$2:B1085,-1+SUMPRODUCT(MAX(ROW(E$2:E1085)*(E1086=E$2:E1085)))))</f>
        <v/>
      </c>
      <c r="J1086" s="24" t="str">
        <f ca="1">IF(OR(E1086="",E1086="!!!",F1086="NEW"),"",COUNTBLANK(OFFSET(A$1,,,SUMPRODUCT(MAX(ROW(E$2:E1086)*(E1086=E$2:E1086)))))-COUNTBLANK(OFFSET(A$1,,,SUMPRODUCT(MAX(ROW(E$1:E1085)*(E2=E$1:E1085))))))</f>
        <v/>
      </c>
      <c r="K1086" s="24" t="str">
        <f>IF(OR(E1086="",E1086="!!!",F1086="NEW"),"",INDEX(J$1:J1085,SUMPRODUCT(MAX(ROW(E$1:E1085)*(E1086=E$1:E1085)))))</f>
        <v/>
      </c>
      <c r="L1086" s="25"/>
    </row>
    <row r="1087" spans="1:12" x14ac:dyDescent="0.3">
      <c r="A1087" t="s">
        <v>83</v>
      </c>
      <c r="E1087" s="20" t="str">
        <f t="shared" si="83"/>
        <v/>
      </c>
      <c r="F1087" s="21" t="str">
        <f>IF(OR(E1087="",E1087="!!!"),"",IF(NOT(ISNA(VLOOKUP(E1087,E$1:E1086,1,FALSE()))),"OLD",IF(AND(E1087&lt;&gt;"",E1087&lt;&gt;"!!!"),"NEW","")))</f>
        <v/>
      </c>
      <c r="G1087" s="22" t="str">
        <f>IF(OR(E1087="",E1087="!!!"),"",IF(OR(J1087=0,AND(J1087=1,K1087=1),AND(J1087=1,I1087="SBJ"),AND(J1087=1,I1087=0)),"?IN_FOCUS",IF(J1087&lt;=2,"?ACTIVATED",IF(J1087&lt;&gt;"","?FAMILIAR",IF(F1087="NEW",IF(ISNA(VLOOKUP(E1087,#REF!,1,FALSE())),"?TYPE_IDENTIFIABLE","?REFERENTIAL"),"_")))))</f>
        <v/>
      </c>
      <c r="H1087" s="23" t="str">
        <f t="shared" ca="1" si="82"/>
        <v/>
      </c>
      <c r="I1087" s="24" t="str">
        <f>IF(OR(E1087="",E1087="!!!",F1087="NEW"),"",INDEX(B$2:B1086,-1+SUMPRODUCT(MAX(ROW(E$2:E1086)*(E1087=E$2:E1086)))))</f>
        <v/>
      </c>
      <c r="J1087" s="24" t="str">
        <f ca="1">IF(OR(E1087="",E1087="!!!",F1087="NEW"),"",COUNTBLANK(OFFSET(A$1,,,SUMPRODUCT(MAX(ROW(E$2:E1087)*(E1087=E$2:E1087)))))-COUNTBLANK(OFFSET(A$1,,,SUMPRODUCT(MAX(ROW(E$1:E1086)*(E2=E$1:E1086))))))</f>
        <v/>
      </c>
      <c r="K1087" s="24" t="str">
        <f>IF(OR(E1087="",E1087="!!!",F1087="NEW"),"",INDEX(J$1:J1086,SUMPRODUCT(MAX(ROW(E$1:E1086)*(E1087=E$1:E1086)))))</f>
        <v/>
      </c>
      <c r="L1087" s="25"/>
    </row>
    <row r="1088" spans="1:12" x14ac:dyDescent="0.3">
      <c r="A1088" t="s">
        <v>592</v>
      </c>
      <c r="B1088" s="26" t="s">
        <v>233</v>
      </c>
      <c r="C1088" s="26" t="s">
        <v>593</v>
      </c>
      <c r="D1088" s="26" t="s">
        <v>215</v>
      </c>
      <c r="E1088" s="20" t="s">
        <v>735</v>
      </c>
      <c r="F1088" s="21" t="s">
        <v>655</v>
      </c>
      <c r="G1088" s="22" t="str">
        <f ca="1">IF(OR(E1088="",E1088="!!!"),"",IF(OR(J1088=0,AND(J1088=1,K1088=1),AND(J1088=1,I1088="SBJ"),AND(J1088=1,I1088=0)),"?IN_FOCUS",IF(J1088&lt;=2,"?ACTIVATED",IF(J1088&lt;&gt;"","?FAMILIAR",IF(F1088="NEW",IF(ISNA(VLOOKUP(E1088,#REF!,1,FALSE())),"?TYPE_IDENTIFIABLE","?REFERENTIAL"),"_")))))</f>
        <v>?REFERENTIAL</v>
      </c>
      <c r="H1088" s="23" t="str">
        <f t="shared" ca="1" si="82"/>
        <v/>
      </c>
      <c r="I1088" s="24" t="str">
        <f>IF(OR(E1088="",E1088="!!!",F1088="NEW"),"",INDEX(B$2:B1087,-1+SUMPRODUCT(MAX(ROW(E$2:E1087)*(E1088=E$2:E1087)))))</f>
        <v/>
      </c>
      <c r="J1088" s="24" t="str">
        <f ca="1">IF(OR(E1088="",E1088="!!!",F1088="NEW"),"",COUNTBLANK(OFFSET(A$1,,,SUMPRODUCT(MAX(ROW(E$2:E1088)*(E1088=E$2:E1088)))))-COUNTBLANK(OFFSET(A$1,,,SUMPRODUCT(MAX(ROW(E$1:E1087)*(E2=E$1:E1087))))))</f>
        <v/>
      </c>
      <c r="K1088" s="24" t="str">
        <f>IF(OR(E1088="",E1088="!!!",F1088="NEW"),"",INDEX(J$1:J1087,SUMPRODUCT(MAX(ROW(E$1:E1087)*(E1088=E$1:E1087)))))</f>
        <v/>
      </c>
      <c r="L1088" s="25"/>
    </row>
    <row r="1089" spans="1:12" x14ac:dyDescent="0.3">
      <c r="A1089" t="s">
        <v>249</v>
      </c>
      <c r="B1089" s="26" t="s">
        <v>255</v>
      </c>
      <c r="E1089" s="20" t="str">
        <f t="shared" si="83"/>
        <v/>
      </c>
      <c r="F1089" s="21" t="str">
        <f>IF(OR(E1089="",E1089="!!!"),"",IF(NOT(ISNA(VLOOKUP(E1089,E$1:E1088,1,FALSE()))),"OLD",IF(AND(E1089&lt;&gt;"",E1089&lt;&gt;"!!!"),"NEW","")))</f>
        <v/>
      </c>
      <c r="G1089" s="22" t="str">
        <f>IF(OR(E1089="",E1089="!!!"),"",IF(OR(J1089=0,AND(J1089=1,K1089=1),AND(J1089=1,I1089="SBJ"),AND(J1089=1,I1089=0)),"?IN_FOCUS",IF(J1089&lt;=2,"?ACTIVATED",IF(J1089&lt;&gt;"","?FAMILIAR",IF(F1089="NEW",IF(ISNA(VLOOKUP(E1089,#REF!,1,FALSE())),"?TYPE_IDENTIFIABLE","?REFERENTIAL"),"_")))))</f>
        <v/>
      </c>
      <c r="H1089" s="23" t="str">
        <f t="shared" ca="1" si="82"/>
        <v/>
      </c>
      <c r="I1089" s="24" t="str">
        <f>IF(OR(E1089="",E1089="!!!",F1089="NEW"),"",INDEX(B$2:B1088,-1+SUMPRODUCT(MAX(ROW(E$2:E1088)*(E1089=E$2:E1088)))))</f>
        <v/>
      </c>
      <c r="J1089" s="24" t="str">
        <f ca="1">IF(OR(E1089="",E1089="!!!",F1089="NEW"),"",COUNTBLANK(OFFSET(A$1,,,SUMPRODUCT(MAX(ROW(E$2:E1089)*(E1089=E$2:E1089)))))-COUNTBLANK(OFFSET(A$1,,,SUMPRODUCT(MAX(ROW(E$1:E1088)*(E2=E$1:E1088))))))</f>
        <v/>
      </c>
      <c r="K1089" s="24" t="str">
        <f>IF(OR(E1089="",E1089="!!!",F1089="NEW"),"",INDEX(J$1:J1088,SUMPRODUCT(MAX(ROW(E$1:E1088)*(E1089=E$1:E1088)))))</f>
        <v/>
      </c>
      <c r="L1089" s="25"/>
    </row>
    <row r="1090" spans="1:12" x14ac:dyDescent="0.3">
      <c r="A1090" t="s">
        <v>257</v>
      </c>
      <c r="B1090" s="26" t="s">
        <v>250</v>
      </c>
      <c r="C1090" s="26" t="s">
        <v>230</v>
      </c>
      <c r="D1090" s="26" t="s">
        <v>215</v>
      </c>
      <c r="E1090" s="20" t="s">
        <v>739</v>
      </c>
      <c r="F1090" s="21" t="str">
        <f>IF(OR(E1090="",E1090="!!!"),"",IF(NOT(ISNA(VLOOKUP(E1090,E$1:E1089,1,FALSE()))),"OLD",IF(AND(E1090&lt;&gt;"",E1090&lt;&gt;"!!!"),"NEW","")))</f>
        <v>OLD</v>
      </c>
      <c r="G1090" s="22" t="str">
        <f ca="1">IF(OR(E1090="",E1090="!!!"),"",IF(OR(J1090=0,AND(J1090=1,K1090=1),AND(J1090=1,I1090="SBJ"),AND(J1090=1,I1090=0)),"?IN_FOCUS",IF(J1090&lt;=2,"?ACTIVATED",IF(J1090&lt;&gt;"","?FAMILIAR",IF(F1090="NEW",IF(ISNA(VLOOKUP(E1090,#REF!,1,FALSE())),"?TYPE_IDENTIFIABLE","?REFERENTIAL"),"_")))))</f>
        <v>?IN_FOCUS</v>
      </c>
      <c r="H1090" s="23" t="str">
        <f t="shared" ca="1" si="82"/>
        <v/>
      </c>
      <c r="I1090" s="24" t="str">
        <f>IF(OR(E1090="",E1090="!!!",F1090="NEW"),"",INDEX(B$2:B1089,-1+SUMPRODUCT(MAX(ROW(E$2:E1089)*(E1090=E$2:E1089)))))</f>
        <v>SBJ</v>
      </c>
      <c r="J1090" s="24">
        <f ca="1">IF(OR(E1090="",E1090="!!!",F1090="NEW"),"",COUNTBLANK(OFFSET(A$1,,,SUMPRODUCT(MAX(ROW(E$2:E1090)*(E1090=E$2:E1090)))))-COUNTBLANK(OFFSET(A$1,,,SUMPRODUCT(MAX(ROW(E$1:E1089)*(E2=E$1:E1089))))))</f>
        <v>0</v>
      </c>
      <c r="K1090" s="24">
        <f ca="1">IF(OR(E1090="",E1090="!!!",F1090="NEW"),"",INDEX(J$1:J1089,SUMPRODUCT(MAX(ROW(E$1:E1089)*(E1090=E$1:E1089)))))</f>
        <v>0</v>
      </c>
      <c r="L1090" s="25"/>
    </row>
    <row r="1091" spans="1:12" x14ac:dyDescent="0.3">
      <c r="A1091" t="s">
        <v>641</v>
      </c>
      <c r="E1091" s="20" t="str">
        <f t="shared" si="83"/>
        <v/>
      </c>
      <c r="F1091" s="21" t="str">
        <f>IF(OR(E1091="",E1091="!!!"),"",IF(NOT(ISNA(VLOOKUP(E1091,E$1:E1090,1,FALSE()))),"OLD",IF(AND(E1091&lt;&gt;"",E1091&lt;&gt;"!!!"),"NEW","")))</f>
        <v/>
      </c>
      <c r="G1091" s="22" t="str">
        <f>IF(OR(E1091="",E1091="!!!"),"",IF(OR(J1091=0,AND(J1091=1,K1091=1),AND(J1091=1,I1091="SBJ"),AND(J1091=1,I1091=0)),"?IN_FOCUS",IF(J1091&lt;=2,"?ACTIVATED",IF(J1091&lt;&gt;"","?FAMILIAR",IF(F1091="NEW",IF(ISNA(VLOOKUP(E1091,#REF!,1,FALSE())),"?TYPE_IDENTIFIABLE","?REFERENTIAL"),"_")))))</f>
        <v/>
      </c>
      <c r="H1091" s="23" t="str">
        <f t="shared" ca="1" si="82"/>
        <v/>
      </c>
      <c r="I1091" s="24" t="str">
        <f>IF(OR(E1091="",E1091="!!!",F1091="NEW"),"",INDEX(B$2:B1090,-1+SUMPRODUCT(MAX(ROW(E$2:E1090)*(E1091=E$2:E1090)))))</f>
        <v/>
      </c>
      <c r="J1091" s="24" t="str">
        <f ca="1">IF(OR(E1091="",E1091="!!!",F1091="NEW"),"",COUNTBLANK(OFFSET(A$1,,,SUMPRODUCT(MAX(ROW(E$2:E1091)*(E1091=E$2:E1091)))))-COUNTBLANK(OFFSET(A$1,,,SUMPRODUCT(MAX(ROW(E$1:E1090)*(E2=E$1:E1090))))))</f>
        <v/>
      </c>
      <c r="K1091" s="24" t="str">
        <f>IF(OR(E1091="",E1091="!!!",F1091="NEW"),"",INDEX(J$1:J1090,SUMPRODUCT(MAX(ROW(E$1:E1090)*(E1091=E$1:E1090)))))</f>
        <v/>
      </c>
      <c r="L1091" s="25"/>
    </row>
    <row r="1092" spans="1:12" x14ac:dyDescent="0.3">
      <c r="A1092" t="s">
        <v>642</v>
      </c>
      <c r="B1092" s="26" t="s">
        <v>255</v>
      </c>
      <c r="C1092" s="26" t="s">
        <v>226</v>
      </c>
      <c r="E1092" s="20" t="str">
        <f t="shared" si="83"/>
        <v/>
      </c>
      <c r="F1092" s="21" t="str">
        <f>IF(OR(E1092="",E1092="!!!"),"",IF(NOT(ISNA(VLOOKUP(E1092,E$1:E1091,1,FALSE()))),"OLD",IF(AND(E1092&lt;&gt;"",E1092&lt;&gt;"!!!"),"NEW","")))</f>
        <v/>
      </c>
      <c r="G1092" s="22" t="str">
        <f>IF(OR(E1092="",E1092="!!!"),"",IF(OR(J1092=0,AND(J1092=1,K1092=1),AND(J1092=1,I1092="SBJ"),AND(J1092=1,I1092=0)),"?IN_FOCUS",IF(J1092&lt;=2,"?ACTIVATED",IF(J1092&lt;&gt;"","?FAMILIAR",IF(F1092="NEW",IF(ISNA(VLOOKUP(E1092,#REF!,1,FALSE())),"?TYPE_IDENTIFIABLE","?REFERENTIAL"),"_")))))</f>
        <v/>
      </c>
      <c r="H1092" s="23" t="str">
        <f t="shared" ca="1" si="82"/>
        <v/>
      </c>
      <c r="I1092" s="24" t="str">
        <f>IF(OR(E1092="",E1092="!!!",F1092="NEW"),"",INDEX(B$2:B1091,-1+SUMPRODUCT(MAX(ROW(E$2:E1091)*(E1092=E$2:E1091)))))</f>
        <v/>
      </c>
      <c r="J1092" s="24" t="str">
        <f ca="1">IF(OR(E1092="",E1092="!!!",F1092="NEW"),"",COUNTBLANK(OFFSET(A$1,,,SUMPRODUCT(MAX(ROW(E$2:E1092)*(E1092=E$2:E1092)))))-COUNTBLANK(OFFSET(A$1,,,SUMPRODUCT(MAX(ROW(E$1:E1091)*(E2=E$1:E1091))))))</f>
        <v/>
      </c>
      <c r="K1092" s="24" t="str">
        <f>IF(OR(E1092="",E1092="!!!",F1092="NEW"),"",INDEX(J$1:J1091,SUMPRODUCT(MAX(ROW(E$1:E1091)*(E1092=E$1:E1091)))))</f>
        <v/>
      </c>
      <c r="L1092" s="25"/>
    </row>
    <row r="1093" spans="1:12" x14ac:dyDescent="0.3">
      <c r="A1093" t="s">
        <v>401</v>
      </c>
      <c r="E1093" s="20" t="str">
        <f t="shared" si="83"/>
        <v/>
      </c>
      <c r="F1093" s="21" t="str">
        <f>IF(OR(E1093="",E1093="!!!"),"",IF(NOT(ISNA(VLOOKUP(E1093,E$1:E1092,1,FALSE()))),"OLD",IF(AND(E1093&lt;&gt;"",E1093&lt;&gt;"!!!"),"NEW","")))</f>
        <v/>
      </c>
      <c r="G1093" s="22" t="str">
        <f>IF(OR(E1093="",E1093="!!!"),"",IF(OR(J1093=0,AND(J1093=1,K1093=1),AND(J1093=1,I1093="SBJ"),AND(J1093=1,I1093=0)),"?IN_FOCUS",IF(J1093&lt;=2,"?ACTIVATED",IF(J1093&lt;&gt;"","?FAMILIAR",IF(F1093="NEW",IF(ISNA(VLOOKUP(E1093,#REF!,1,FALSE())),"?TYPE_IDENTIFIABLE","?REFERENTIAL"),"_")))))</f>
        <v/>
      </c>
      <c r="H1093" s="23" t="str">
        <f t="shared" ca="1" si="82"/>
        <v/>
      </c>
      <c r="I1093" s="24" t="str">
        <f>IF(OR(E1093="",E1093="!!!",F1093="NEW"),"",INDEX(B$2:B1092,-1+SUMPRODUCT(MAX(ROW(E$2:E1092)*(E1093=E$2:E1092)))))</f>
        <v/>
      </c>
      <c r="J1093" s="24" t="str">
        <f ca="1">IF(OR(E1093="",E1093="!!!",F1093="NEW"),"",COUNTBLANK(OFFSET(A$1,,,SUMPRODUCT(MAX(ROW(E$2:E1093)*(E1093=E$2:E1093)))))-COUNTBLANK(OFFSET(A$1,,,SUMPRODUCT(MAX(ROW(E$1:E1092)*(E2=E$1:E1092))))))</f>
        <v/>
      </c>
      <c r="K1093" s="24" t="str">
        <f>IF(OR(E1093="",E1093="!!!",F1093="NEW"),"",INDEX(J$1:J1092,SUMPRODUCT(MAX(ROW(E$1:E1092)*(E1093=E$1:E1092)))))</f>
        <v/>
      </c>
      <c r="L1093" s="25"/>
    </row>
    <row r="1094" spans="1:12" x14ac:dyDescent="0.3">
      <c r="A1094" t="s">
        <v>643</v>
      </c>
      <c r="B1094" s="26" t="s">
        <v>269</v>
      </c>
      <c r="C1094" s="26" t="s">
        <v>226</v>
      </c>
      <c r="E1094" s="20" t="str">
        <f t="shared" si="83"/>
        <v/>
      </c>
      <c r="F1094" s="21" t="str">
        <f>IF(OR(E1094="",E1094="!!!"),"",IF(NOT(ISNA(VLOOKUP(E1094,E$1:E1093,1,FALSE()))),"OLD",IF(AND(E1094&lt;&gt;"",E1094&lt;&gt;"!!!"),"NEW","")))</f>
        <v/>
      </c>
      <c r="G1094" s="22" t="str">
        <f>IF(OR(E1094="",E1094="!!!"),"",IF(OR(J1094=0,AND(J1094=1,K1094=1),AND(J1094=1,I1094="SBJ"),AND(J1094=1,I1094=0)),"?IN_FOCUS",IF(J1094&lt;=2,"?ACTIVATED",IF(J1094&lt;&gt;"","?FAMILIAR",IF(F1094="NEW",IF(ISNA(VLOOKUP(E1094,#REF!,1,FALSE())),"?TYPE_IDENTIFIABLE","?REFERENTIAL"),"_")))))</f>
        <v/>
      </c>
      <c r="H1094" s="23" t="str">
        <f t="shared" ca="1" si="82"/>
        <v/>
      </c>
      <c r="I1094" s="24" t="str">
        <f>IF(OR(E1094="",E1094="!!!",F1094="NEW"),"",INDEX(B$2:B1093,-1+SUMPRODUCT(MAX(ROW(E$2:E1093)*(E1094=E$2:E1093)))))</f>
        <v/>
      </c>
      <c r="J1094" s="24" t="str">
        <f ca="1">IF(OR(E1094="",E1094="!!!",F1094="NEW"),"",COUNTBLANK(OFFSET(A$1,,,SUMPRODUCT(MAX(ROW(E$2:E1094)*(E1094=E$2:E1094)))))-COUNTBLANK(OFFSET(A$1,,,SUMPRODUCT(MAX(ROW(E$1:E1093)*(E2=E$1:E1093))))))</f>
        <v/>
      </c>
      <c r="K1094" s="24" t="str">
        <f>IF(OR(E1094="",E1094="!!!",F1094="NEW"),"",INDEX(J$1:J1093,SUMPRODUCT(MAX(ROW(E$1:E1093)*(E1094=E$1:E1093)))))</f>
        <v/>
      </c>
      <c r="L1094" s="25"/>
    </row>
    <row r="1095" spans="1:12" x14ac:dyDescent="0.3">
      <c r="A1095" t="s">
        <v>234</v>
      </c>
      <c r="E1095" s="20" t="str">
        <f t="shared" si="83"/>
        <v/>
      </c>
      <c r="F1095" s="21" t="str">
        <f>IF(OR(E1095="",E1095="!!!"),"",IF(NOT(ISNA(VLOOKUP(E1095,E$1:E1094,1,FALSE()))),"OLD",IF(AND(E1095&lt;&gt;"",E1095&lt;&gt;"!!!"),"NEW","")))</f>
        <v/>
      </c>
      <c r="G1095" s="22" t="str">
        <f>IF(OR(E1095="",E1095="!!!"),"",IF(OR(J1095=0,AND(J1095=1,K1095=1),AND(J1095=1,I1095="SBJ"),AND(J1095=1,I1095=0)),"?IN_FOCUS",IF(J1095&lt;=2,"?ACTIVATED",IF(J1095&lt;&gt;"","?FAMILIAR",IF(F1095="NEW",IF(ISNA(VLOOKUP(E1095,#REF!,1,FALSE())),"?TYPE_IDENTIFIABLE","?REFERENTIAL"),"_")))))</f>
        <v/>
      </c>
      <c r="H1095" s="23" t="str">
        <f t="shared" ca="1" si="82"/>
        <v/>
      </c>
      <c r="I1095" s="24" t="str">
        <f>IF(OR(E1095="",E1095="!!!",F1095="NEW"),"",INDEX(B$2:B1094,-1+SUMPRODUCT(MAX(ROW(E$2:E1094)*(E1095=E$2:E1094)))))</f>
        <v/>
      </c>
      <c r="J1095" s="24" t="str">
        <f ca="1">IF(OR(E1095="",E1095="!!!",F1095="NEW"),"",COUNTBLANK(OFFSET(A$1,,,SUMPRODUCT(MAX(ROW(E$2:E1095)*(E1095=E$2:E1095)))))-COUNTBLANK(OFFSET(A$1,,,SUMPRODUCT(MAX(ROW(E$1:E1094)*(E2=E$1:E1094))))))</f>
        <v/>
      </c>
      <c r="K1095" s="24" t="str">
        <f>IF(OR(E1095="",E1095="!!!",F1095="NEW"),"",INDEX(J$1:J1094,SUMPRODUCT(MAX(ROW(E$1:E1094)*(E1095=E$1:E1094)))))</f>
        <v/>
      </c>
      <c r="L1095" s="25"/>
    </row>
    <row r="1097" spans="1:12" x14ac:dyDescent="0.3">
      <c r="A1097" t="s">
        <v>644</v>
      </c>
    </row>
    <row r="1098" spans="1:12" x14ac:dyDescent="0.3">
      <c r="A1098" t="s">
        <v>495</v>
      </c>
      <c r="E1098" s="20" t="str">
        <f t="shared" ref="E1098:E1103" si="84">IF(D1098="?OLD","!!!","")</f>
        <v/>
      </c>
      <c r="F1098" s="21" t="str">
        <f>IF(OR(E1098="",E1098="!!!"),"",IF(NOT(ISNA(VLOOKUP(E1098,E$1:E1097,1,FALSE()))),"OLD",IF(AND(E1098&lt;&gt;"",E1098&lt;&gt;"!!!"),"NEW","")))</f>
        <v/>
      </c>
      <c r="G1098" s="22" t="str">
        <f>IF(OR(E1098="",E1098="!!!"),"",IF(OR(J1098=0,AND(J1098=1,K1098=1),AND(J1098=1,I1098="SBJ"),AND(J1098=1,I1098=0)),"?IN_FOCUS",IF(J1098&lt;=2,"?ACTIVATED",IF(J1098&lt;&gt;"","?FAMILIAR",IF(F1098="NEW",IF(ISNA(VLOOKUP(E1098,#REF!,1,FALSE())),"?TYPE_IDENTIFIABLE","?REFERENTIAL"),"_")))))</f>
        <v/>
      </c>
      <c r="H1098" s="23" t="str">
        <f t="shared" ref="H1098:H1103" ca="1" si="85">IF(J1098&lt;&gt;1,"",IF(I1098="SBJ","CB","?"))</f>
        <v/>
      </c>
      <c r="I1098" s="24" t="str">
        <f>IF(OR(E1098="",E1098="!!!",F1098="NEW"),"",INDEX(B$2:B1097,-1+SUMPRODUCT(MAX(ROW(E$2:E1097)*(E1098=E$2:E1097)))))</f>
        <v/>
      </c>
      <c r="J1098" s="24" t="str">
        <f ca="1">IF(OR(E1098="",E1098="!!!",F1098="NEW"),"",COUNTBLANK(OFFSET(A$1,,,SUMPRODUCT(MAX(ROW(E$2:E1098)*(E1098=E$2:E1098)))))-COUNTBLANK(OFFSET(A$1,,,SUMPRODUCT(MAX(ROW(E$1:E1097)*(E2=E$1:E1097))))))</f>
        <v/>
      </c>
      <c r="K1098" s="24" t="str">
        <f>IF(OR(E1098="",E1098="!!!",F1098="NEW"),"",INDEX(J$1:J1097,SUMPRODUCT(MAX(ROW(E$1:E1097)*(E1098=E$1:E1097)))))</f>
        <v/>
      </c>
      <c r="L1098" s="25"/>
    </row>
    <row r="1099" spans="1:12" x14ac:dyDescent="0.3">
      <c r="A1099" t="s">
        <v>207</v>
      </c>
      <c r="E1099" s="20" t="str">
        <f t="shared" si="84"/>
        <v/>
      </c>
      <c r="F1099" s="21" t="str">
        <f>IF(OR(E1099="",E1099="!!!"),"",IF(NOT(ISNA(VLOOKUP(E1099,E$1:E1098,1,FALSE()))),"OLD",IF(AND(E1099&lt;&gt;"",E1099&lt;&gt;"!!!"),"NEW","")))</f>
        <v/>
      </c>
      <c r="G1099" s="22" t="str">
        <f>IF(OR(E1099="",E1099="!!!"),"",IF(OR(J1099=0,AND(J1099=1,K1099=1),AND(J1099=1,I1099="SBJ"),AND(J1099=1,I1099=0)),"?IN_FOCUS",IF(J1099&lt;=2,"?ACTIVATED",IF(J1099&lt;&gt;"","?FAMILIAR",IF(F1099="NEW",IF(ISNA(VLOOKUP(E1099,#REF!,1,FALSE())),"?TYPE_IDENTIFIABLE","?REFERENTIAL"),"_")))))</f>
        <v/>
      </c>
      <c r="H1099" s="23" t="str">
        <f t="shared" ca="1" si="85"/>
        <v/>
      </c>
      <c r="I1099" s="24" t="str">
        <f>IF(OR(E1099="",E1099="!!!",F1099="NEW"),"",INDEX(B$2:B1098,-1+SUMPRODUCT(MAX(ROW(E$2:E1098)*(E1099=E$2:E1098)))))</f>
        <v/>
      </c>
      <c r="J1099" s="24" t="str">
        <f ca="1">IF(OR(E1099="",E1099="!!!",F1099="NEW"),"",COUNTBLANK(OFFSET(A$1,,,SUMPRODUCT(MAX(ROW(E$2:E1099)*(E1099=E$2:E1099)))))-COUNTBLANK(OFFSET(A$1,,,SUMPRODUCT(MAX(ROW(E$1:E1098)*(E2=E$1:E1098))))))</f>
        <v/>
      </c>
      <c r="K1099" s="24" t="str">
        <f>IF(OR(E1099="",E1099="!!!",F1099="NEW"),"",INDEX(J$1:J1098,SUMPRODUCT(MAX(ROW(E$1:E1098)*(E1099=E$1:E1098)))))</f>
        <v/>
      </c>
      <c r="L1099" s="25"/>
    </row>
    <row r="1100" spans="1:12" x14ac:dyDescent="0.3">
      <c r="A1100" t="s">
        <v>645</v>
      </c>
      <c r="E1100" s="20" t="str">
        <f t="shared" si="84"/>
        <v/>
      </c>
      <c r="F1100" s="21" t="str">
        <f>IF(OR(E1100="",E1100="!!!"),"",IF(NOT(ISNA(VLOOKUP(E1100,E$1:E1099,1,FALSE()))),"OLD",IF(AND(E1100&lt;&gt;"",E1100&lt;&gt;"!!!"),"NEW","")))</f>
        <v/>
      </c>
      <c r="G1100" s="22" t="str">
        <f>IF(OR(E1100="",E1100="!!!"),"",IF(OR(J1100=0,AND(J1100=1,K1100=1),AND(J1100=1,I1100="SBJ"),AND(J1100=1,I1100=0)),"?IN_FOCUS",IF(J1100&lt;=2,"?ACTIVATED",IF(J1100&lt;&gt;"","?FAMILIAR",IF(F1100="NEW",IF(ISNA(VLOOKUP(E1100,#REF!,1,FALSE())),"?TYPE_IDENTIFIABLE","?REFERENTIAL"),"_")))))</f>
        <v/>
      </c>
      <c r="H1100" s="23" t="str">
        <f t="shared" ca="1" si="85"/>
        <v/>
      </c>
      <c r="I1100" s="24" t="str">
        <f>IF(OR(E1100="",E1100="!!!",F1100="NEW"),"",INDEX(B$2:B1099,-1+SUMPRODUCT(MAX(ROW(E$2:E1099)*(E1100=E$2:E1099)))))</f>
        <v/>
      </c>
      <c r="J1100" s="24" t="str">
        <f ca="1">IF(OR(E1100="",E1100="!!!",F1100="NEW"),"",COUNTBLANK(OFFSET(A$1,,,SUMPRODUCT(MAX(ROW(E$2:E1100)*(E1100=E$2:E1100)))))-COUNTBLANK(OFFSET(A$1,,,SUMPRODUCT(MAX(ROW(E$1:E1099)*(E2=E$1:E1099))))))</f>
        <v/>
      </c>
      <c r="K1100" s="24" t="str">
        <f>IF(OR(E1100="",E1100="!!!",F1100="NEW"),"",INDEX(J$1:J1099,SUMPRODUCT(MAX(ROW(E$1:E1099)*(E1100=E$1:E1099)))))</f>
        <v/>
      </c>
      <c r="L1100" s="25"/>
    </row>
    <row r="1101" spans="1:12" x14ac:dyDescent="0.3">
      <c r="A1101" t="s">
        <v>184</v>
      </c>
      <c r="E1101" s="20" t="str">
        <f t="shared" si="84"/>
        <v/>
      </c>
      <c r="F1101" s="21" t="str">
        <f>IF(OR(E1101="",E1101="!!!"),"",IF(NOT(ISNA(VLOOKUP(E1101,E$1:E1100,1,FALSE()))),"OLD",IF(AND(E1101&lt;&gt;"",E1101&lt;&gt;"!!!"),"NEW","")))</f>
        <v/>
      </c>
      <c r="G1101" s="22" t="str">
        <f>IF(OR(E1101="",E1101="!!!"),"",IF(OR(J1101=0,AND(J1101=1,K1101=1),AND(J1101=1,I1101="SBJ"),AND(J1101=1,I1101=0)),"?IN_FOCUS",IF(J1101&lt;=2,"?ACTIVATED",IF(J1101&lt;&gt;"","?FAMILIAR",IF(F1101="NEW",IF(ISNA(VLOOKUP(E1101,#REF!,1,FALSE())),"?TYPE_IDENTIFIABLE","?REFERENTIAL"),"_")))))</f>
        <v/>
      </c>
      <c r="H1101" s="23" t="str">
        <f t="shared" ca="1" si="85"/>
        <v/>
      </c>
      <c r="I1101" s="24" t="str">
        <f>IF(OR(E1101="",E1101="!!!",F1101="NEW"),"",INDEX(B$2:B1100,-1+SUMPRODUCT(MAX(ROW(E$2:E1100)*(E1101=E$2:E1100)))))</f>
        <v/>
      </c>
      <c r="J1101" s="24" t="str">
        <f ca="1">IF(OR(E1101="",E1101="!!!",F1101="NEW"),"",COUNTBLANK(OFFSET(A$1,,,SUMPRODUCT(MAX(ROW(E$2:E1101)*(E1101=E$2:E1101)))))-COUNTBLANK(OFFSET(A$1,,,SUMPRODUCT(MAX(ROW(E$1:E1100)*(E2=E$1:E1100))))))</f>
        <v/>
      </c>
      <c r="K1101" s="24" t="str">
        <f>IF(OR(E1101="",E1101="!!!",F1101="NEW"),"",INDEX(J$1:J1100,SUMPRODUCT(MAX(ROW(E$1:E1100)*(E1101=E$1:E1100)))))</f>
        <v/>
      </c>
      <c r="L1101" s="25"/>
    </row>
    <row r="1102" spans="1:12" x14ac:dyDescent="0.3">
      <c r="A1102" t="s">
        <v>407</v>
      </c>
      <c r="B1102" s="26" t="s">
        <v>261</v>
      </c>
      <c r="C1102" s="26" t="s">
        <v>230</v>
      </c>
      <c r="D1102" s="26" t="s">
        <v>215</v>
      </c>
      <c r="E1102" s="20" t="s">
        <v>739</v>
      </c>
      <c r="F1102" s="21" t="str">
        <f>IF(OR(E1102="",E1102="!!!"),"",IF(NOT(ISNA(VLOOKUP(E1102,E$1:E1101,1,FALSE()))),"OLD",IF(AND(E1102&lt;&gt;"",E1102&lt;&gt;"!!!"),"NEW","")))</f>
        <v>OLD</v>
      </c>
      <c r="G1102" s="22" t="str">
        <f ca="1">IF(OR(E1102="",E1102="!!!"),"",IF(OR(J1102=0,AND(J1102=1,K1102=1),AND(J1102=1,I1102="SBJ"),AND(J1102=1,I1102=0)),"?IN_FOCUS",IF(J1102&lt;=2,"?ACTIVATED",IF(J1102&lt;&gt;"","?FAMILIAR",IF(F1102="NEW",IF(ISNA(VLOOKUP(E1102,#REF!,1,FALSE())),"?TYPE_IDENTIFIABLE","?REFERENTIAL"),"_")))))</f>
        <v>?IN_FOCUS</v>
      </c>
      <c r="H1102" s="23" t="str">
        <f t="shared" ca="1" si="85"/>
        <v/>
      </c>
      <c r="I1102" s="24" t="str">
        <f>IF(OR(E1102="",E1102="!!!",F1102="NEW"),"",INDEX(B$2:B1101,-1+SUMPRODUCT(MAX(ROW(E$2:E1101)*(E1102=E$2:E1101)))))</f>
        <v>SBJ_4</v>
      </c>
      <c r="J1102" s="24">
        <f ca="1">IF(OR(E1102="",E1102="!!!",F1102="NEW"),"",COUNTBLANK(OFFSET(A$1,,,SUMPRODUCT(MAX(ROW(E$2:E1102)*(E1102=E$2:E1102)))))-COUNTBLANK(OFFSET(A$1,,,SUMPRODUCT(MAX(ROW(E$1:E1101)*(E2=E$1:E1101))))))</f>
        <v>0</v>
      </c>
      <c r="K1102" s="24">
        <f ca="1">IF(OR(E1102="",E1102="!!!",F1102="NEW"),"",INDEX(J$1:J1101,SUMPRODUCT(MAX(ROW(E$1:E1101)*(E1102=E$1:E1101)))))</f>
        <v>0</v>
      </c>
      <c r="L1102" s="25"/>
    </row>
    <row r="1103" spans="1:12" x14ac:dyDescent="0.3">
      <c r="A1103" t="s">
        <v>234</v>
      </c>
      <c r="E1103" s="20" t="str">
        <f t="shared" si="84"/>
        <v/>
      </c>
      <c r="F1103" s="21" t="str">
        <f>IF(OR(E1103="",E1103="!!!"),"",IF(NOT(ISNA(VLOOKUP(E1103,E$1:E1102,1,FALSE()))),"OLD",IF(AND(E1103&lt;&gt;"",E1103&lt;&gt;"!!!"),"NEW","")))</f>
        <v/>
      </c>
      <c r="G1103" s="22" t="str">
        <f>IF(OR(E1103="",E1103="!!!"),"",IF(OR(J1103=0,AND(J1103=1,K1103=1),AND(J1103=1,I1103="SBJ"),AND(J1103=1,I1103=0)),"?IN_FOCUS",IF(J1103&lt;=2,"?ACTIVATED",IF(J1103&lt;&gt;"","?FAMILIAR",IF(F1103="NEW",IF(ISNA(VLOOKUP(E1103,#REF!,1,FALSE())),"?TYPE_IDENTIFIABLE","?REFERENTIAL"),"_")))))</f>
        <v/>
      </c>
      <c r="H1103" s="23" t="str">
        <f t="shared" ca="1" si="85"/>
        <v/>
      </c>
      <c r="I1103" s="24" t="str">
        <f>IF(OR(E1103="",E1103="!!!",F1103="NEW"),"",INDEX(B$2:B1102,-1+SUMPRODUCT(MAX(ROW(E$2:E1102)*(E1103=E$2:E1102)))))</f>
        <v/>
      </c>
      <c r="J1103" s="24" t="str">
        <f ca="1">IF(OR(E1103="",E1103="!!!",F1103="NEW"),"",COUNTBLANK(OFFSET(A$1,,,SUMPRODUCT(MAX(ROW(E$2:E1103)*(E1103=E$2:E1103)))))-COUNTBLANK(OFFSET(A$1,,,SUMPRODUCT(MAX(ROW(E$1:E1102)*(E2=E$1:E1102))))))</f>
        <v/>
      </c>
      <c r="K1103" s="24" t="str">
        <f>IF(OR(E1103="",E1103="!!!",F1103="NEW"),"",INDEX(J$1:J1102,SUMPRODUCT(MAX(ROW(E$1:E1102)*(E1103=E$1:E1102)))))</f>
        <v/>
      </c>
      <c r="L1103" s="25"/>
    </row>
    <row r="1105" spans="1:12" x14ac:dyDescent="0.3">
      <c r="A1105" t="s">
        <v>646</v>
      </c>
    </row>
    <row r="1106" spans="1:12" x14ac:dyDescent="0.3">
      <c r="A1106" t="s">
        <v>491</v>
      </c>
      <c r="E1106" s="20" t="str">
        <f>IF(D1106="?OLD","!!!","")</f>
        <v/>
      </c>
      <c r="F1106" s="21" t="str">
        <f>IF(OR(E1106="",E1106="!!!"),"",IF(NOT(ISNA(VLOOKUP(E1106,E$1:E1105,1,FALSE()))),"OLD",IF(AND(E1106&lt;&gt;"",E1106&lt;&gt;"!!!"),"NEW","")))</f>
        <v/>
      </c>
      <c r="G1106" s="22" t="str">
        <f>IF(OR(E1106="",E1106="!!!"),"",IF(OR(J1106=0,AND(J1106=1,K1106=1),AND(J1106=1,I1106="SBJ"),AND(J1106=1,I1106=0)),"?IN_FOCUS",IF(J1106&lt;=2,"?ACTIVATED",IF(J1106&lt;&gt;"","?FAMILIAR",IF(F1106="NEW",IF(ISNA(VLOOKUP(E1106,#REF!,1,FALSE())),"?TYPE_IDENTIFIABLE","?REFERENTIAL"),"_")))))</f>
        <v/>
      </c>
      <c r="H1106" s="23" t="str">
        <f ca="1">IF(J1106&lt;&gt;1,"",IF(I1106="SBJ","CB","?"))</f>
        <v/>
      </c>
      <c r="I1106" s="24" t="str">
        <f>IF(OR(E1106="",E1106="!!!",F1106="NEW"),"",INDEX(B$2:B1105,-1+SUMPRODUCT(MAX(ROW(E$2:E1105)*(E1106=E$2:E1105)))))</f>
        <v/>
      </c>
      <c r="J1106" s="24" t="str">
        <f ca="1">IF(OR(E1106="",E1106="!!!",F1106="NEW"),"",COUNTBLANK(OFFSET(A$1,,,SUMPRODUCT(MAX(ROW(E$2:E1106)*(E1106=E$2:E1106)))))-COUNTBLANK(OFFSET(A$1,,,SUMPRODUCT(MAX(ROW(E$1:E1105)*(E2=E$1:E1105))))))</f>
        <v/>
      </c>
      <c r="K1106" s="24" t="str">
        <f>IF(OR(E1106="",E1106="!!!",F1106="NEW"),"",INDEX(J$1:J1105,SUMPRODUCT(MAX(ROW(E$1:E1105)*(E1106=E$1:E1105)))))</f>
        <v/>
      </c>
      <c r="L1106" s="25"/>
    </row>
    <row r="1107" spans="1:12" x14ac:dyDescent="0.3">
      <c r="A1107" t="s">
        <v>565</v>
      </c>
      <c r="E1107" s="20" t="str">
        <f>IF(D1107="?OLD","!!!","")</f>
        <v/>
      </c>
      <c r="F1107" s="21" t="str">
        <f>IF(OR(E1107="",E1107="!!!"),"",IF(NOT(ISNA(VLOOKUP(E1107,E$1:E1106,1,FALSE()))),"OLD",IF(AND(E1107&lt;&gt;"",E1107&lt;&gt;"!!!"),"NEW","")))</f>
        <v/>
      </c>
      <c r="G1107" s="22" t="str">
        <f>IF(OR(E1107="",E1107="!!!"),"",IF(OR(J1107=0,AND(J1107=1,K1107=1),AND(J1107=1,I1107="SBJ"),AND(J1107=1,I1107=0)),"?IN_FOCUS",IF(J1107&lt;=2,"?ACTIVATED",IF(J1107&lt;&gt;"","?FAMILIAR",IF(F1107="NEW",IF(ISNA(VLOOKUP(E1107,#REF!,1,FALSE())),"?TYPE_IDENTIFIABLE","?REFERENTIAL"),"_")))))</f>
        <v/>
      </c>
      <c r="H1107" s="23" t="str">
        <f ca="1">IF(J1107&lt;&gt;1,"",IF(I1107="SBJ","CB","?"))</f>
        <v/>
      </c>
      <c r="I1107" s="24" t="str">
        <f>IF(OR(E1107="",E1107="!!!",F1107="NEW"),"",INDEX(B$2:B1106,-1+SUMPRODUCT(MAX(ROW(E$2:E1106)*(E1107=E$2:E1106)))))</f>
        <v/>
      </c>
      <c r="J1107" s="24" t="str">
        <f ca="1">IF(OR(E1107="",E1107="!!!",F1107="NEW"),"",COUNTBLANK(OFFSET(A$1,,,SUMPRODUCT(MAX(ROW(E$2:E1107)*(E1107=E$2:E1107)))))-COUNTBLANK(OFFSET(A$1,,,SUMPRODUCT(MAX(ROW(E$1:E1106)*(E2=E$1:E1106))))))</f>
        <v/>
      </c>
      <c r="K1107" s="24" t="str">
        <f>IF(OR(E1107="",E1107="!!!",F1107="NEW"),"",INDEX(J$1:J1106,SUMPRODUCT(MAX(ROW(E$1:E1106)*(E1107=E$1:E1106)))))</f>
        <v/>
      </c>
      <c r="L1107" s="25"/>
    </row>
    <row r="1108" spans="1:12" x14ac:dyDescent="0.3">
      <c r="A1108" t="s">
        <v>493</v>
      </c>
      <c r="E1108" s="20" t="str">
        <f>IF(D1108="?OLD","!!!","")</f>
        <v/>
      </c>
      <c r="F1108" s="21" t="str">
        <f>IF(OR(E1108="",E1108="!!!"),"",IF(NOT(ISNA(VLOOKUP(E1108,E$1:E1107,1,FALSE()))),"OLD",IF(AND(E1108&lt;&gt;"",E1108&lt;&gt;"!!!"),"NEW","")))</f>
        <v/>
      </c>
      <c r="G1108" s="22" t="str">
        <f>IF(OR(E1108="",E1108="!!!"),"",IF(OR(J1108=0,AND(J1108=1,K1108=1),AND(J1108=1,I1108="SBJ"),AND(J1108=1,I1108=0)),"?IN_FOCUS",IF(J1108&lt;=2,"?ACTIVATED",IF(J1108&lt;&gt;"","?FAMILIAR",IF(F1108="NEW",IF(ISNA(VLOOKUP(E1108,#REF!,1,FALSE())),"?TYPE_IDENTIFIABLE","?REFERENTIAL"),"_")))))</f>
        <v/>
      </c>
      <c r="H1108" s="23" t="str">
        <f ca="1">IF(J1108&lt;&gt;1,"",IF(I1108="SBJ","CB","?"))</f>
        <v/>
      </c>
      <c r="I1108" s="24" t="str">
        <f>IF(OR(E1108="",E1108="!!!",F1108="NEW"),"",INDEX(B$2:B1107,-1+SUMPRODUCT(MAX(ROW(E$2:E1107)*(E1108=E$2:E1107)))))</f>
        <v/>
      </c>
      <c r="J1108" s="24" t="str">
        <f ca="1">IF(OR(E1108="",E1108="!!!",F1108="NEW"),"",COUNTBLANK(OFFSET(A$1,,,SUMPRODUCT(MAX(ROW(E$2:E1108)*(E1108=E$2:E1108)))))-COUNTBLANK(OFFSET(A$1,,,SUMPRODUCT(MAX(ROW(E$1:E1107)*(E2=E$1:E1107))))))</f>
        <v/>
      </c>
      <c r="K1108" s="24" t="str">
        <f>IF(OR(E1108="",E1108="!!!",F1108="NEW"),"",INDEX(J$1:J1107,SUMPRODUCT(MAX(ROW(E$1:E1107)*(E1108=E$1:E1107)))))</f>
        <v/>
      </c>
      <c r="L1108" s="25"/>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Viktoriia Remishevska</cp:lastModifiedBy>
  <dcterms:created xsi:type="dcterms:W3CDTF">2024-05-20T20:31:10Z</dcterms:created>
  <dcterms:modified xsi:type="dcterms:W3CDTF">2026-01-22T17:05:41Z</dcterms:modified>
</cp:coreProperties>
</file>