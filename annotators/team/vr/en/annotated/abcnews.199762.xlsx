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to\Desktop\Annotation\"/>
    </mc:Choice>
  </mc:AlternateContent>
  <xr:revisionPtr revIDLastSave="0" documentId="13_ncr:1_{B2121474-6438-4F1F-A8A2-BA9E93430132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sentence-level annotation" sheetId="1" r:id="rId1"/>
    <sheet name="word-level an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5" i="2" l="1"/>
  <c r="E420" i="2"/>
  <c r="G420" i="2" s="1"/>
  <c r="F419" i="2"/>
  <c r="K419" i="2" s="1"/>
  <c r="E419" i="2"/>
  <c r="G419" i="2" s="1"/>
  <c r="F418" i="2"/>
  <c r="K418" i="2" s="1"/>
  <c r="E418" i="2"/>
  <c r="G418" i="2" s="1"/>
  <c r="K417" i="2"/>
  <c r="G417" i="2"/>
  <c r="E416" i="2"/>
  <c r="F416" i="2" s="1"/>
  <c r="K416" i="2" s="1"/>
  <c r="E415" i="2"/>
  <c r="G414" i="2"/>
  <c r="F414" i="2"/>
  <c r="K414" i="2" s="1"/>
  <c r="E414" i="2"/>
  <c r="E413" i="2"/>
  <c r="G412" i="2"/>
  <c r="E412" i="2"/>
  <c r="F412" i="2" s="1"/>
  <c r="I412" i="2" s="1"/>
  <c r="E411" i="2"/>
  <c r="E410" i="2"/>
  <c r="E409" i="2"/>
  <c r="E408" i="2"/>
  <c r="E407" i="2"/>
  <c r="G407" i="2" s="1"/>
  <c r="E404" i="2"/>
  <c r="G404" i="2" s="1"/>
  <c r="F403" i="2"/>
  <c r="J403" i="2" s="1"/>
  <c r="H403" i="2" s="1"/>
  <c r="E403" i="2"/>
  <c r="G403" i="2" s="1"/>
  <c r="E401" i="2"/>
  <c r="F400" i="2"/>
  <c r="E400" i="2"/>
  <c r="G400" i="2" s="1"/>
  <c r="E399" i="2"/>
  <c r="E398" i="2"/>
  <c r="F398" i="2" s="1"/>
  <c r="K398" i="2" s="1"/>
  <c r="E397" i="2"/>
  <c r="E396" i="2"/>
  <c r="E395" i="2"/>
  <c r="F394" i="2"/>
  <c r="K394" i="2" s="1"/>
  <c r="E394" i="2"/>
  <c r="G393" i="2"/>
  <c r="I393" i="2"/>
  <c r="E392" i="2"/>
  <c r="F391" i="2"/>
  <c r="J391" i="2" s="1"/>
  <c r="H391" i="2" s="1"/>
  <c r="E391" i="2"/>
  <c r="G391" i="2" s="1"/>
  <c r="G390" i="2"/>
  <c r="I390" i="2"/>
  <c r="E389" i="2"/>
  <c r="G388" i="2"/>
  <c r="F388" i="2"/>
  <c r="E388" i="2"/>
  <c r="E386" i="2"/>
  <c r="F386" i="2" s="1"/>
  <c r="J386" i="2" s="1"/>
  <c r="H386" i="2" s="1"/>
  <c r="E384" i="2"/>
  <c r="E383" i="2"/>
  <c r="E382" i="2"/>
  <c r="F381" i="2"/>
  <c r="I381" i="2" s="1"/>
  <c r="E381" i="2"/>
  <c r="G381" i="2" s="1"/>
  <c r="F380" i="2"/>
  <c r="I380" i="2" s="1"/>
  <c r="E380" i="2"/>
  <c r="F379" i="2"/>
  <c r="J379" i="2" s="1"/>
  <c r="H379" i="2" s="1"/>
  <c r="E379" i="2"/>
  <c r="G379" i="2" s="1"/>
  <c r="F378" i="2"/>
  <c r="J378" i="2" s="1"/>
  <c r="H378" i="2" s="1"/>
  <c r="E378" i="2"/>
  <c r="G378" i="2" s="1"/>
  <c r="F376" i="2"/>
  <c r="E376" i="2"/>
  <c r="G376" i="2" s="1"/>
  <c r="E375" i="2"/>
  <c r="E373" i="2"/>
  <c r="F373" i="2" s="1"/>
  <c r="K373" i="2" s="1"/>
  <c r="E371" i="2"/>
  <c r="E369" i="2"/>
  <c r="G368" i="2"/>
  <c r="F368" i="2"/>
  <c r="I368" i="2" s="1"/>
  <c r="E368" i="2"/>
  <c r="G367" i="2"/>
  <c r="F367" i="2"/>
  <c r="I367" i="2" s="1"/>
  <c r="E367" i="2"/>
  <c r="E366" i="2"/>
  <c r="G364" i="2"/>
  <c r="F364" i="2"/>
  <c r="I364" i="2" s="1"/>
  <c r="E364" i="2"/>
  <c r="E363" i="2"/>
  <c r="E359" i="2"/>
  <c r="E358" i="2"/>
  <c r="F358" i="2" s="1"/>
  <c r="I358" i="2" s="1"/>
  <c r="E357" i="2"/>
  <c r="E356" i="2"/>
  <c r="G356" i="2" s="1"/>
  <c r="E355" i="2"/>
  <c r="G354" i="2"/>
  <c r="E354" i="2"/>
  <c r="G353" i="2"/>
  <c r="F353" i="2"/>
  <c r="I353" i="2" s="1"/>
  <c r="E353" i="2"/>
  <c r="G352" i="2"/>
  <c r="F352" i="2"/>
  <c r="E352" i="2"/>
  <c r="F351" i="2"/>
  <c r="J351" i="2" s="1"/>
  <c r="H351" i="2" s="1"/>
  <c r="E351" i="2"/>
  <c r="G351" i="2" s="1"/>
  <c r="E350" i="2"/>
  <c r="F350" i="2" s="1"/>
  <c r="K350" i="2" s="1"/>
  <c r="G346" i="2"/>
  <c r="F346" i="2"/>
  <c r="K346" i="2" s="1"/>
  <c r="E346" i="2"/>
  <c r="E345" i="2"/>
  <c r="E344" i="2"/>
  <c r="G342" i="2"/>
  <c r="E342" i="2"/>
  <c r="F342" i="2" s="1"/>
  <c r="K342" i="2" s="1"/>
  <c r="E341" i="2"/>
  <c r="F340" i="2"/>
  <c r="I340" i="2" s="1"/>
  <c r="E340" i="2"/>
  <c r="E338" i="2"/>
  <c r="G338" i="2" s="1"/>
  <c r="E337" i="2"/>
  <c r="G337" i="2" s="1"/>
  <c r="E336" i="2"/>
  <c r="G336" i="2" s="1"/>
  <c r="E335" i="2"/>
  <c r="F334" i="2"/>
  <c r="J334" i="2" s="1"/>
  <c r="H334" i="2" s="1"/>
  <c r="E333" i="2"/>
  <c r="E332" i="2"/>
  <c r="E331" i="2"/>
  <c r="E329" i="2"/>
  <c r="G328" i="2"/>
  <c r="F328" i="2"/>
  <c r="K328" i="2" s="1"/>
  <c r="E328" i="2"/>
  <c r="G327" i="2"/>
  <c r="F327" i="2"/>
  <c r="I327" i="2" s="1"/>
  <c r="E327" i="2"/>
  <c r="E326" i="2"/>
  <c r="J325" i="2"/>
  <c r="H325" i="2" s="1"/>
  <c r="G325" i="2"/>
  <c r="E322" i="2"/>
  <c r="G320" i="2"/>
  <c r="E320" i="2"/>
  <c r="F320" i="2" s="1"/>
  <c r="I320" i="2" s="1"/>
  <c r="E319" i="2"/>
  <c r="E318" i="2"/>
  <c r="E317" i="2"/>
  <c r="E316" i="2"/>
  <c r="F316" i="2" s="1"/>
  <c r="J316" i="2" s="1"/>
  <c r="H316" i="2" s="1"/>
  <c r="E315" i="2"/>
  <c r="G314" i="2"/>
  <c r="E314" i="2"/>
  <c r="E313" i="2"/>
  <c r="F313" i="2" s="1"/>
  <c r="I313" i="2" s="1"/>
  <c r="G312" i="2"/>
  <c r="F312" i="2"/>
  <c r="I312" i="2" s="1"/>
  <c r="E312" i="2"/>
  <c r="E308" i="2"/>
  <c r="G308" i="2" s="1"/>
  <c r="G306" i="2"/>
  <c r="E306" i="2"/>
  <c r="F306" i="2" s="1"/>
  <c r="K306" i="2" s="1"/>
  <c r="E304" i="2"/>
  <c r="E303" i="2"/>
  <c r="E302" i="2"/>
  <c r="F302" i="2" s="1"/>
  <c r="K302" i="2" s="1"/>
  <c r="E301" i="2"/>
  <c r="G300" i="2"/>
  <c r="F300" i="2"/>
  <c r="K300" i="2" s="1"/>
  <c r="E300" i="2"/>
  <c r="G299" i="2"/>
  <c r="F299" i="2"/>
  <c r="I299" i="2" s="1"/>
  <c r="E299" i="2"/>
  <c r="E298" i="2"/>
  <c r="G298" i="2" s="1"/>
  <c r="F297" i="2"/>
  <c r="K297" i="2" s="1"/>
  <c r="E297" i="2"/>
  <c r="G297" i="2" s="1"/>
  <c r="G296" i="2"/>
  <c r="E296" i="2"/>
  <c r="F296" i="2" s="1"/>
  <c r="E295" i="2"/>
  <c r="F295" i="2" s="1"/>
  <c r="E293" i="2"/>
  <c r="E292" i="2"/>
  <c r="F292" i="2" s="1"/>
  <c r="I292" i="2" s="1"/>
  <c r="E288" i="2"/>
  <c r="F286" i="2"/>
  <c r="I286" i="2" s="1"/>
  <c r="E286" i="2"/>
  <c r="G286" i="2" s="1"/>
  <c r="G285" i="2"/>
  <c r="E285" i="2"/>
  <c r="F285" i="2" s="1"/>
  <c r="E283" i="2"/>
  <c r="G283" i="2" s="1"/>
  <c r="G282" i="2"/>
  <c r="E282" i="2"/>
  <c r="F282" i="2" s="1"/>
  <c r="K282" i="2" s="1"/>
  <c r="E281" i="2"/>
  <c r="E280" i="2"/>
  <c r="F280" i="2" s="1"/>
  <c r="J280" i="2" s="1"/>
  <c r="H280" i="2" s="1"/>
  <c r="G279" i="2"/>
  <c r="F279" i="2"/>
  <c r="E279" i="2"/>
  <c r="G278" i="2"/>
  <c r="E278" i="2"/>
  <c r="F278" i="2" s="1"/>
  <c r="I278" i="2" s="1"/>
  <c r="E276" i="2"/>
  <c r="F276" i="2" s="1"/>
  <c r="J276" i="2" s="1"/>
  <c r="H276" i="2" s="1"/>
  <c r="E275" i="2"/>
  <c r="F274" i="2"/>
  <c r="I274" i="2" s="1"/>
  <c r="E274" i="2"/>
  <c r="G274" i="2" s="1"/>
  <c r="G273" i="2"/>
  <c r="E273" i="2"/>
  <c r="F273" i="2" s="1"/>
  <c r="G271" i="2"/>
  <c r="F271" i="2"/>
  <c r="I271" i="2" s="1"/>
  <c r="E271" i="2"/>
  <c r="E269" i="2"/>
  <c r="G269" i="2" s="1"/>
  <c r="F267" i="2"/>
  <c r="K267" i="2" s="1"/>
  <c r="E267" i="2"/>
  <c r="E266" i="2"/>
  <c r="G266" i="2" s="1"/>
  <c r="E264" i="2"/>
  <c r="F264" i="2" s="1"/>
  <c r="K264" i="2" s="1"/>
  <c r="E263" i="2"/>
  <c r="F263" i="2" s="1"/>
  <c r="E262" i="2"/>
  <c r="F262" i="2" s="1"/>
  <c r="K262" i="2" s="1"/>
  <c r="E261" i="2"/>
  <c r="F260" i="2"/>
  <c r="I260" i="2" s="1"/>
  <c r="E260" i="2"/>
  <c r="G260" i="2" s="1"/>
  <c r="F259" i="2"/>
  <c r="E259" i="2"/>
  <c r="G259" i="2" s="1"/>
  <c r="G258" i="2"/>
  <c r="E258" i="2"/>
  <c r="F258" i="2" s="1"/>
  <c r="K258" i="2" s="1"/>
  <c r="F257" i="2"/>
  <c r="E257" i="2"/>
  <c r="G257" i="2" s="1"/>
  <c r="E256" i="2"/>
  <c r="E255" i="2"/>
  <c r="E254" i="2"/>
  <c r="E253" i="2"/>
  <c r="E252" i="2"/>
  <c r="F252" i="2" s="1"/>
  <c r="I252" i="2" s="1"/>
  <c r="E251" i="2"/>
  <c r="F251" i="2" s="1"/>
  <c r="J251" i="2" s="1"/>
  <c r="H251" i="2" s="1"/>
  <c r="E250" i="2"/>
  <c r="F250" i="2" s="1"/>
  <c r="K250" i="2" s="1"/>
  <c r="F248" i="2"/>
  <c r="K248" i="2" s="1"/>
  <c r="E248" i="2"/>
  <c r="G248" i="2" s="1"/>
  <c r="F247" i="2"/>
  <c r="E247" i="2"/>
  <c r="G247" i="2" s="1"/>
  <c r="F244" i="2"/>
  <c r="E244" i="2"/>
  <c r="G244" i="2" s="1"/>
  <c r="F242" i="2"/>
  <c r="I242" i="2" s="1"/>
  <c r="E242" i="2"/>
  <c r="G242" i="2" s="1"/>
  <c r="E240" i="2"/>
  <c r="E239" i="2"/>
  <c r="E238" i="2"/>
  <c r="F237" i="2"/>
  <c r="J237" i="2" s="1"/>
  <c r="H237" i="2" s="1"/>
  <c r="E237" i="2"/>
  <c r="G237" i="2" s="1"/>
  <c r="E236" i="2"/>
  <c r="E234" i="2"/>
  <c r="G232" i="2"/>
  <c r="F232" i="2"/>
  <c r="E232" i="2"/>
  <c r="E231" i="2"/>
  <c r="E230" i="2"/>
  <c r="G230" i="2" s="1"/>
  <c r="E229" i="2"/>
  <c r="G228" i="2"/>
  <c r="K228" i="2"/>
  <c r="E224" i="2"/>
  <c r="E223" i="2"/>
  <c r="G223" i="2" s="1"/>
  <c r="E221" i="2"/>
  <c r="E220" i="2"/>
  <c r="G220" i="2" s="1"/>
  <c r="F219" i="2"/>
  <c r="I219" i="2" s="1"/>
  <c r="E219" i="2"/>
  <c r="G219" i="2" s="1"/>
  <c r="E218" i="2"/>
  <c r="F218" i="2" s="1"/>
  <c r="E217" i="2"/>
  <c r="E216" i="2"/>
  <c r="F216" i="2" s="1"/>
  <c r="G215" i="2"/>
  <c r="F215" i="2"/>
  <c r="J215" i="2" s="1"/>
  <c r="H215" i="2" s="1"/>
  <c r="E215" i="2"/>
  <c r="E213" i="2"/>
  <c r="E212" i="2"/>
  <c r="G212" i="2" s="1"/>
  <c r="F211" i="2"/>
  <c r="E211" i="2"/>
  <c r="E210" i="2"/>
  <c r="F210" i="2" s="1"/>
  <c r="K210" i="2" s="1"/>
  <c r="F209" i="2"/>
  <c r="E209" i="2"/>
  <c r="G209" i="2" s="1"/>
  <c r="G208" i="2"/>
  <c r="E208" i="2"/>
  <c r="G207" i="2"/>
  <c r="E207" i="2"/>
  <c r="F207" i="2" s="1"/>
  <c r="J207" i="2" s="1"/>
  <c r="H207" i="2" s="1"/>
  <c r="G206" i="2"/>
  <c r="E206" i="2"/>
  <c r="F206" i="2" s="1"/>
  <c r="K206" i="2" s="1"/>
  <c r="E205" i="2"/>
  <c r="F205" i="2" s="1"/>
  <c r="E204" i="2"/>
  <c r="F204" i="2" s="1"/>
  <c r="K204" i="2" s="1"/>
  <c r="G203" i="2"/>
  <c r="F203" i="2"/>
  <c r="J203" i="2" s="1"/>
  <c r="H203" i="2" s="1"/>
  <c r="E203" i="2"/>
  <c r="G202" i="2"/>
  <c r="E202" i="2"/>
  <c r="F202" i="2" s="1"/>
  <c r="J202" i="2" s="1"/>
  <c r="H202" i="2" s="1"/>
  <c r="E200" i="2"/>
  <c r="E198" i="2"/>
  <c r="G198" i="2" s="1"/>
  <c r="G196" i="2"/>
  <c r="F196" i="2"/>
  <c r="K196" i="2" s="1"/>
  <c r="E196" i="2"/>
  <c r="E193" i="2"/>
  <c r="G193" i="2" s="1"/>
  <c r="E192" i="2"/>
  <c r="F192" i="2" s="1"/>
  <c r="E191" i="2"/>
  <c r="G191" i="2" s="1"/>
  <c r="F190" i="2"/>
  <c r="E190" i="2"/>
  <c r="G190" i="2" s="1"/>
  <c r="G189" i="2"/>
  <c r="F189" i="2"/>
  <c r="J189" i="2" s="1"/>
  <c r="H189" i="2" s="1"/>
  <c r="E189" i="2"/>
  <c r="E188" i="2"/>
  <c r="G188" i="2" s="1"/>
  <c r="E187" i="2"/>
  <c r="F187" i="2" s="1"/>
  <c r="J187" i="2" s="1"/>
  <c r="H187" i="2" s="1"/>
  <c r="F185" i="2"/>
  <c r="G183" i="2"/>
  <c r="F183" i="2"/>
  <c r="J183" i="2" s="1"/>
  <c r="H183" i="2" s="1"/>
  <c r="E183" i="2"/>
  <c r="E182" i="2"/>
  <c r="F181" i="2"/>
  <c r="K181" i="2" s="1"/>
  <c r="E181" i="2"/>
  <c r="G181" i="2" s="1"/>
  <c r="F179" i="2"/>
  <c r="I179" i="2" s="1"/>
  <c r="E179" i="2"/>
  <c r="G179" i="2" s="1"/>
  <c r="E177" i="2"/>
  <c r="E175" i="2"/>
  <c r="G175" i="2" s="1"/>
  <c r="E174" i="2"/>
  <c r="E173" i="2"/>
  <c r="F173" i="2" s="1"/>
  <c r="I173" i="2" s="1"/>
  <c r="E172" i="2"/>
  <c r="E170" i="2"/>
  <c r="G169" i="2"/>
  <c r="E169" i="2"/>
  <c r="F169" i="2" s="1"/>
  <c r="J169" i="2" s="1"/>
  <c r="H169" i="2" s="1"/>
  <c r="E167" i="2"/>
  <c r="G167" i="2" s="1"/>
  <c r="E166" i="2"/>
  <c r="E164" i="2"/>
  <c r="F164" i="2" s="1"/>
  <c r="F163" i="2"/>
  <c r="K163" i="2" s="1"/>
  <c r="E163" i="2"/>
  <c r="G163" i="2" s="1"/>
  <c r="E162" i="2"/>
  <c r="E161" i="2"/>
  <c r="F161" i="2" s="1"/>
  <c r="J161" i="2" s="1"/>
  <c r="H161" i="2" s="1"/>
  <c r="E159" i="2"/>
  <c r="G159" i="2" s="1"/>
  <c r="G157" i="2"/>
  <c r="F157" i="2"/>
  <c r="J157" i="2" s="1"/>
  <c r="H157" i="2" s="1"/>
  <c r="E157" i="2"/>
  <c r="E156" i="2"/>
  <c r="G155" i="2"/>
  <c r="F155" i="2"/>
  <c r="K155" i="2" s="1"/>
  <c r="E155" i="2"/>
  <c r="F153" i="2"/>
  <c r="I153" i="2" s="1"/>
  <c r="E153" i="2"/>
  <c r="G153" i="2" s="1"/>
  <c r="E152" i="2"/>
  <c r="G151" i="2"/>
  <c r="F151" i="2"/>
  <c r="K151" i="2" s="1"/>
  <c r="E151" i="2"/>
  <c r="E150" i="2"/>
  <c r="E149" i="2"/>
  <c r="F149" i="2" s="1"/>
  <c r="J149" i="2" s="1"/>
  <c r="H149" i="2" s="1"/>
  <c r="E148" i="2"/>
  <c r="E146" i="2"/>
  <c r="G145" i="2"/>
  <c r="E145" i="2"/>
  <c r="F145" i="2" s="1"/>
  <c r="J145" i="2" s="1"/>
  <c r="H145" i="2" s="1"/>
  <c r="G143" i="2"/>
  <c r="F143" i="2"/>
  <c r="I143" i="2" s="1"/>
  <c r="E143" i="2"/>
  <c r="F141" i="2"/>
  <c r="K141" i="2" s="1"/>
  <c r="E141" i="2"/>
  <c r="G141" i="2" s="1"/>
  <c r="E140" i="2"/>
  <c r="F140" i="2" s="1"/>
  <c r="G139" i="2"/>
  <c r="F139" i="2"/>
  <c r="K139" i="2" s="1"/>
  <c r="E139" i="2"/>
  <c r="E138" i="2"/>
  <c r="G138" i="2" s="1"/>
  <c r="E137" i="2"/>
  <c r="F137" i="2" s="1"/>
  <c r="J137" i="2" s="1"/>
  <c r="H137" i="2" s="1"/>
  <c r="G135" i="2"/>
  <c r="F135" i="2"/>
  <c r="K135" i="2" s="1"/>
  <c r="E135" i="2"/>
  <c r="E133" i="2"/>
  <c r="F133" i="2" s="1"/>
  <c r="J133" i="2" s="1"/>
  <c r="H133" i="2" s="1"/>
  <c r="G131" i="2"/>
  <c r="F131" i="2"/>
  <c r="I131" i="2" s="1"/>
  <c r="E131" i="2"/>
  <c r="E128" i="2"/>
  <c r="E127" i="2"/>
  <c r="G127" i="2" s="1"/>
  <c r="G126" i="2"/>
  <c r="F126" i="2"/>
  <c r="E126" i="2"/>
  <c r="E125" i="2"/>
  <c r="F125" i="2" s="1"/>
  <c r="I125" i="2" s="1"/>
  <c r="G124" i="2"/>
  <c r="F124" i="2"/>
  <c r="I124" i="2" s="1"/>
  <c r="E124" i="2"/>
  <c r="E123" i="2"/>
  <c r="E122" i="2"/>
  <c r="F122" i="2" s="1"/>
  <c r="E121" i="2"/>
  <c r="F121" i="2" s="1"/>
  <c r="E120" i="2"/>
  <c r="G120" i="2" s="1"/>
  <c r="E119" i="2"/>
  <c r="E117" i="2"/>
  <c r="E116" i="2"/>
  <c r="E114" i="2"/>
  <c r="G113" i="2"/>
  <c r="E113" i="2"/>
  <c r="F113" i="2" s="1"/>
  <c r="J113" i="2" s="1"/>
  <c r="H113" i="2" s="1"/>
  <c r="E111" i="2"/>
  <c r="E108" i="2"/>
  <c r="E107" i="2"/>
  <c r="F107" i="2" s="1"/>
  <c r="G106" i="2"/>
  <c r="F106" i="2"/>
  <c r="K106" i="2" s="1"/>
  <c r="G104" i="2"/>
  <c r="E103" i="2"/>
  <c r="G103" i="2" s="1"/>
  <c r="E102" i="2"/>
  <c r="E100" i="2"/>
  <c r="F100" i="2" s="1"/>
  <c r="E99" i="2"/>
  <c r="G99" i="2" s="1"/>
  <c r="E98" i="2"/>
  <c r="E93" i="2"/>
  <c r="F93" i="2" s="1"/>
  <c r="E92" i="2"/>
  <c r="G92" i="2" s="1"/>
  <c r="E91" i="2"/>
  <c r="E90" i="2"/>
  <c r="G89" i="2"/>
  <c r="E89" i="2"/>
  <c r="F89" i="2" s="1"/>
  <c r="J89" i="2" s="1"/>
  <c r="H89" i="2" s="1"/>
  <c r="E88" i="2"/>
  <c r="F88" i="2" s="1"/>
  <c r="E87" i="2"/>
  <c r="G87" i="2" s="1"/>
  <c r="E86" i="2"/>
  <c r="E84" i="2"/>
  <c r="G84" i="2" s="1"/>
  <c r="G82" i="2"/>
  <c r="E82" i="2"/>
  <c r="F82" i="2" s="1"/>
  <c r="I82" i="2" s="1"/>
  <c r="G81" i="2"/>
  <c r="E81" i="2"/>
  <c r="E80" i="2"/>
  <c r="G80" i="2" s="1"/>
  <c r="E79" i="2"/>
  <c r="F79" i="2" s="1"/>
  <c r="J79" i="2" s="1"/>
  <c r="H79" i="2" s="1"/>
  <c r="G77" i="2"/>
  <c r="F77" i="2"/>
  <c r="J77" i="2" s="1"/>
  <c r="H77" i="2" s="1"/>
  <c r="E77" i="2"/>
  <c r="G74" i="2"/>
  <c r="E74" i="2"/>
  <c r="F74" i="2" s="1"/>
  <c r="G73" i="2"/>
  <c r="E73" i="2"/>
  <c r="F73" i="2" s="1"/>
  <c r="J73" i="2" s="1"/>
  <c r="H73" i="2" s="1"/>
  <c r="E71" i="2"/>
  <c r="E70" i="2"/>
  <c r="E69" i="2"/>
  <c r="G69" i="2" s="1"/>
  <c r="G68" i="2"/>
  <c r="F68" i="2"/>
  <c r="K68" i="2" s="1"/>
  <c r="E68" i="2"/>
  <c r="E67" i="2"/>
  <c r="G67" i="2" s="1"/>
  <c r="E66" i="2"/>
  <c r="G66" i="2" s="1"/>
  <c r="G65" i="2"/>
  <c r="F65" i="2"/>
  <c r="I65" i="2" s="1"/>
  <c r="E65" i="2"/>
  <c r="E64" i="2"/>
  <c r="G63" i="2"/>
  <c r="F63" i="2"/>
  <c r="J63" i="2" s="1"/>
  <c r="H63" i="2" s="1"/>
  <c r="E63" i="2"/>
  <c r="E62" i="2"/>
  <c r="E60" i="2"/>
  <c r="E59" i="2"/>
  <c r="E58" i="2"/>
  <c r="F58" i="2" s="1"/>
  <c r="F57" i="2"/>
  <c r="E57" i="2"/>
  <c r="E56" i="2"/>
  <c r="G56" i="2" s="1"/>
  <c r="E55" i="2"/>
  <c r="F55" i="2" s="1"/>
  <c r="E54" i="2"/>
  <c r="G54" i="2" s="1"/>
  <c r="E53" i="2"/>
  <c r="G53" i="2" s="1"/>
  <c r="E52" i="2"/>
  <c r="F52" i="2" s="1"/>
  <c r="E51" i="2"/>
  <c r="G51" i="2" s="1"/>
  <c r="G49" i="2"/>
  <c r="E49" i="2"/>
  <c r="F49" i="2" s="1"/>
  <c r="I49" i="2" s="1"/>
  <c r="E47" i="2"/>
  <c r="E45" i="2"/>
  <c r="G45" i="2" s="1"/>
  <c r="G44" i="2"/>
  <c r="E44" i="2"/>
  <c r="F44" i="2" s="1"/>
  <c r="K44" i="2" s="1"/>
  <c r="E42" i="2"/>
  <c r="G42" i="2" s="1"/>
  <c r="E40" i="2"/>
  <c r="G40" i="2" s="1"/>
  <c r="E38" i="2"/>
  <c r="E36" i="2"/>
  <c r="E35" i="2"/>
  <c r="F35" i="2" s="1"/>
  <c r="I35" i="2" s="1"/>
  <c r="E34" i="2"/>
  <c r="E32" i="2"/>
  <c r="E31" i="2"/>
  <c r="F31" i="2" s="1"/>
  <c r="G30" i="2"/>
  <c r="E30" i="2"/>
  <c r="F30" i="2" s="1"/>
  <c r="J30" i="2" s="1"/>
  <c r="H30" i="2" s="1"/>
  <c r="E29" i="2"/>
  <c r="G29" i="2" s="1"/>
  <c r="E28" i="2"/>
  <c r="G28" i="2" s="1"/>
  <c r="E27" i="2"/>
  <c r="E25" i="2"/>
  <c r="F25" i="2" s="1"/>
  <c r="J25" i="2" s="1"/>
  <c r="H25" i="2" s="1"/>
  <c r="E24" i="2"/>
  <c r="G23" i="2"/>
  <c r="E23" i="2"/>
  <c r="F23" i="2" s="1"/>
  <c r="I23" i="2" s="1"/>
  <c r="E22" i="2"/>
  <c r="E21" i="2"/>
  <c r="E19" i="2"/>
  <c r="F19" i="2" s="1"/>
  <c r="G18" i="2"/>
  <c r="E18" i="2"/>
  <c r="F18" i="2" s="1"/>
  <c r="J18" i="2" s="1"/>
  <c r="H18" i="2" s="1"/>
  <c r="E17" i="2"/>
  <c r="G17" i="2" s="1"/>
  <c r="E16" i="2"/>
  <c r="G16" i="2" s="1"/>
  <c r="E15" i="2"/>
  <c r="E14" i="2"/>
  <c r="F14" i="2" s="1"/>
  <c r="K14" i="2" s="1"/>
  <c r="G13" i="2"/>
  <c r="F13" i="2"/>
  <c r="J13" i="2" s="1"/>
  <c r="H13" i="2" s="1"/>
  <c r="E13" i="2"/>
  <c r="F12" i="2"/>
  <c r="E12" i="2"/>
  <c r="G12" i="2" s="1"/>
  <c r="E11" i="2"/>
  <c r="F11" i="2" s="1"/>
  <c r="K11" i="2" s="1"/>
  <c r="E10" i="2"/>
  <c r="F10" i="2" s="1"/>
  <c r="I10" i="2" s="1"/>
  <c r="E9" i="2"/>
  <c r="E8" i="2"/>
  <c r="J37" i="2" s="1"/>
  <c r="H37" i="2" s="1"/>
  <c r="F7" i="2"/>
  <c r="G6" i="2"/>
  <c r="F6" i="2"/>
  <c r="J6" i="2" s="1"/>
  <c r="H6" i="2" s="1"/>
  <c r="G5" i="2"/>
  <c r="E5" i="2"/>
  <c r="E4" i="2"/>
  <c r="G4" i="2" s="1"/>
  <c r="F3" i="2"/>
  <c r="I3" i="2" s="1"/>
  <c r="E3" i="2"/>
  <c r="F339" i="2" s="1"/>
  <c r="I339" i="2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72" i="2" l="1"/>
  <c r="J72" i="2" s="1"/>
  <c r="H72" i="2" s="1"/>
  <c r="G93" i="2"/>
  <c r="G133" i="2"/>
  <c r="G204" i="2"/>
  <c r="F235" i="2"/>
  <c r="K235" i="2" s="1"/>
  <c r="F287" i="2"/>
  <c r="G313" i="2"/>
  <c r="F324" i="2"/>
  <c r="G350" i="2"/>
  <c r="G416" i="2"/>
  <c r="F51" i="2"/>
  <c r="J51" i="2" s="1"/>
  <c r="H51" i="2" s="1"/>
  <c r="F87" i="2"/>
  <c r="J87" i="2" s="1"/>
  <c r="H87" i="2" s="1"/>
  <c r="F94" i="2"/>
  <c r="I94" i="2" s="1"/>
  <c r="F120" i="2"/>
  <c r="I120" i="2" s="1"/>
  <c r="F165" i="2"/>
  <c r="G10" i="2"/>
  <c r="G25" i="2"/>
  <c r="G79" i="2"/>
  <c r="G125" i="2"/>
  <c r="F5" i="2"/>
  <c r="I5" i="2" s="1"/>
  <c r="G58" i="2"/>
  <c r="F158" i="2"/>
  <c r="F402" i="2"/>
  <c r="J402" i="2" s="1"/>
  <c r="G358" i="2"/>
  <c r="G386" i="2"/>
  <c r="F147" i="2"/>
  <c r="F99" i="2"/>
  <c r="K99" i="2" s="1"/>
  <c r="F159" i="2"/>
  <c r="K159" i="2" s="1"/>
  <c r="F167" i="2"/>
  <c r="J167" i="2" s="1"/>
  <c r="H167" i="2" s="1"/>
  <c r="F175" i="2"/>
  <c r="K175" i="2" s="1"/>
  <c r="F230" i="2"/>
  <c r="K230" i="2" s="1"/>
  <c r="F277" i="2"/>
  <c r="F283" i="2"/>
  <c r="F294" i="2"/>
  <c r="J294" i="2" s="1"/>
  <c r="H294" i="2" s="1"/>
  <c r="F308" i="2"/>
  <c r="J308" i="2" s="1"/>
  <c r="H308" i="2" s="1"/>
  <c r="F61" i="2"/>
  <c r="F127" i="2"/>
  <c r="I127" i="2" s="1"/>
  <c r="F362" i="2"/>
  <c r="J362" i="2" s="1"/>
  <c r="F115" i="2"/>
  <c r="J115" i="2" s="1"/>
  <c r="H115" i="2" s="1"/>
  <c r="F214" i="2"/>
  <c r="F311" i="2"/>
  <c r="J311" i="2" s="1"/>
  <c r="F336" i="2"/>
  <c r="I336" i="2" s="1"/>
  <c r="F404" i="2"/>
  <c r="K404" i="2" s="1"/>
  <c r="F83" i="2"/>
  <c r="F101" i="2"/>
  <c r="F222" i="2"/>
  <c r="I222" i="2" s="1"/>
  <c r="G262" i="2"/>
  <c r="F272" i="2"/>
  <c r="J272" i="2" s="1"/>
  <c r="K277" i="2" s="1"/>
  <c r="J241" i="2"/>
  <c r="H241" i="2" s="1"/>
  <c r="F56" i="2"/>
  <c r="K56" i="2" s="1"/>
  <c r="F84" i="2"/>
  <c r="K84" i="2" s="1"/>
  <c r="F188" i="2"/>
  <c r="F193" i="2"/>
  <c r="K193" i="2" s="1"/>
  <c r="F223" i="2"/>
  <c r="I223" i="2" s="1"/>
  <c r="G250" i="2"/>
  <c r="G302" i="2"/>
  <c r="F337" i="2"/>
  <c r="J337" i="2" s="1"/>
  <c r="H337" i="2" s="1"/>
  <c r="F407" i="2"/>
  <c r="I407" i="2" s="1"/>
  <c r="F171" i="2"/>
  <c r="K171" i="2" s="1"/>
  <c r="F365" i="2"/>
  <c r="J365" i="2" s="1"/>
  <c r="H365" i="2" s="1"/>
  <c r="F233" i="2"/>
  <c r="J233" i="2" s="1"/>
  <c r="G3" i="2"/>
  <c r="G35" i="2"/>
  <c r="F50" i="2"/>
  <c r="G264" i="2"/>
  <c r="G280" i="2"/>
  <c r="F330" i="2"/>
  <c r="J330" i="2" s="1"/>
  <c r="H330" i="2" s="1"/>
  <c r="G11" i="2"/>
  <c r="I161" i="2"/>
  <c r="I193" i="2"/>
  <c r="I203" i="2"/>
  <c r="K167" i="2"/>
  <c r="K73" i="2"/>
  <c r="J125" i="2"/>
  <c r="H125" i="2" s="1"/>
  <c r="K125" i="2"/>
  <c r="I215" i="2"/>
  <c r="J367" i="2"/>
  <c r="H367" i="2" s="1"/>
  <c r="J131" i="2"/>
  <c r="H131" i="2" s="1"/>
  <c r="K37" i="2"/>
  <c r="K131" i="2"/>
  <c r="K367" i="2"/>
  <c r="J242" i="2"/>
  <c r="H242" i="2" s="1"/>
  <c r="K276" i="2"/>
  <c r="J346" i="2"/>
  <c r="H346" i="2" s="1"/>
  <c r="J232" i="2"/>
  <c r="H232" i="2" s="1"/>
  <c r="J65" i="2"/>
  <c r="H65" i="2" s="1"/>
  <c r="K325" i="2"/>
  <c r="K65" i="2"/>
  <c r="K219" i="2"/>
  <c r="I101" i="2"/>
  <c r="J101" i="2"/>
  <c r="J320" i="2"/>
  <c r="H320" i="2" s="1"/>
  <c r="K351" i="2"/>
  <c r="K320" i="2"/>
  <c r="J327" i="2"/>
  <c r="H327" i="2" s="1"/>
  <c r="K379" i="2"/>
  <c r="I61" i="2"/>
  <c r="I87" i="2"/>
  <c r="J219" i="2"/>
  <c r="H219" i="2" s="1"/>
  <c r="J61" i="2"/>
  <c r="K87" i="2"/>
  <c r="K327" i="2"/>
  <c r="I414" i="2"/>
  <c r="I73" i="2"/>
  <c r="J120" i="2"/>
  <c r="H120" i="2" s="1"/>
  <c r="I167" i="2"/>
  <c r="K242" i="2"/>
  <c r="I248" i="2"/>
  <c r="I280" i="2"/>
  <c r="J393" i="2"/>
  <c r="H393" i="2" s="1"/>
  <c r="K336" i="2"/>
  <c r="K403" i="2"/>
  <c r="K120" i="2"/>
  <c r="K280" i="2"/>
  <c r="I346" i="2"/>
  <c r="K393" i="2"/>
  <c r="I258" i="2"/>
  <c r="I137" i="2"/>
  <c r="J210" i="2"/>
  <c r="H210" i="2" s="1"/>
  <c r="K292" i="2"/>
  <c r="K6" i="2"/>
  <c r="J35" i="2"/>
  <c r="H35" i="2" s="1"/>
  <c r="I181" i="2"/>
  <c r="J306" i="2"/>
  <c r="H306" i="2" s="1"/>
  <c r="J252" i="2"/>
  <c r="H252" i="2" s="1"/>
  <c r="J292" i="2"/>
  <c r="H292" i="2" s="1"/>
  <c r="K252" i="2"/>
  <c r="K51" i="2"/>
  <c r="I84" i="2"/>
  <c r="J173" i="2"/>
  <c r="H173" i="2" s="1"/>
  <c r="J267" i="2"/>
  <c r="H267" i="2" s="1"/>
  <c r="K316" i="2"/>
  <c r="K380" i="2"/>
  <c r="J143" i="2"/>
  <c r="H143" i="2" s="1"/>
  <c r="J181" i="2"/>
  <c r="H181" i="2" s="1"/>
  <c r="J342" i="2"/>
  <c r="H342" i="2" s="1"/>
  <c r="I30" i="2"/>
  <c r="J278" i="2"/>
  <c r="H278" i="2" s="1"/>
  <c r="I113" i="2"/>
  <c r="I149" i="2"/>
  <c r="I187" i="2"/>
  <c r="K207" i="2"/>
  <c r="J250" i="2"/>
  <c r="H250" i="2" s="1"/>
  <c r="K278" i="2"/>
  <c r="J282" i="2"/>
  <c r="H282" i="2" s="1"/>
  <c r="I350" i="2"/>
  <c r="J353" i="2"/>
  <c r="H353" i="2" s="1"/>
  <c r="I378" i="2"/>
  <c r="K391" i="2"/>
  <c r="K412" i="2"/>
  <c r="J416" i="2"/>
  <c r="H416" i="2" s="1"/>
  <c r="I419" i="2"/>
  <c r="I262" i="2"/>
  <c r="I418" i="2"/>
  <c r="K215" i="2"/>
  <c r="I237" i="2"/>
  <c r="I306" i="2"/>
  <c r="J390" i="2"/>
  <c r="H390" i="2" s="1"/>
  <c r="J23" i="2"/>
  <c r="H23" i="2" s="1"/>
  <c r="I342" i="2"/>
  <c r="J364" i="2"/>
  <c r="H364" i="2" s="1"/>
  <c r="K390" i="2"/>
  <c r="K23" i="2"/>
  <c r="I207" i="2"/>
  <c r="K364" i="2"/>
  <c r="K386" i="2"/>
  <c r="J94" i="2"/>
  <c r="K101" i="2" s="1"/>
  <c r="I282" i="2"/>
  <c r="I416" i="2"/>
  <c r="I18" i="2"/>
  <c r="K30" i="2"/>
  <c r="J49" i="2"/>
  <c r="H49" i="2" s="1"/>
  <c r="I204" i="2"/>
  <c r="J339" i="2"/>
  <c r="J350" i="2"/>
  <c r="H350" i="2" s="1"/>
  <c r="K353" i="2"/>
  <c r="J381" i="2"/>
  <c r="H381" i="2" s="1"/>
  <c r="J419" i="2"/>
  <c r="H419" i="2" s="1"/>
  <c r="K18" i="2"/>
  <c r="I44" i="2"/>
  <c r="K49" i="2"/>
  <c r="I68" i="2"/>
  <c r="J82" i="2"/>
  <c r="H82" i="2" s="1"/>
  <c r="I106" i="2"/>
  <c r="K113" i="2"/>
  <c r="I155" i="2"/>
  <c r="I264" i="2"/>
  <c r="J313" i="2"/>
  <c r="H313" i="2" s="1"/>
  <c r="K339" i="2"/>
  <c r="I362" i="2"/>
  <c r="K378" i="2"/>
  <c r="K381" i="2"/>
  <c r="I398" i="2"/>
  <c r="I6" i="2"/>
  <c r="I51" i="2"/>
  <c r="K115" i="2"/>
  <c r="J262" i="2"/>
  <c r="H262" i="2" s="1"/>
  <c r="I300" i="2"/>
  <c r="K35" i="2"/>
  <c r="J84" i="2"/>
  <c r="H84" i="2" s="1"/>
  <c r="J99" i="2"/>
  <c r="H99" i="2" s="1"/>
  <c r="K143" i="2"/>
  <c r="I250" i="2"/>
  <c r="J412" i="2"/>
  <c r="H412" i="2" s="1"/>
  <c r="I235" i="2"/>
  <c r="K25" i="2"/>
  <c r="I37" i="2"/>
  <c r="J44" i="2"/>
  <c r="H44" i="2" s="1"/>
  <c r="J68" i="2"/>
  <c r="H68" i="2" s="1"/>
  <c r="K82" i="2"/>
  <c r="J106" i="2"/>
  <c r="H106" i="2" s="1"/>
  <c r="J155" i="2"/>
  <c r="H155" i="2" s="1"/>
  <c r="K260" i="2"/>
  <c r="J264" i="2"/>
  <c r="H264" i="2" s="1"/>
  <c r="J299" i="2"/>
  <c r="H299" i="2" s="1"/>
  <c r="K313" i="2"/>
  <c r="I330" i="2"/>
  <c r="J398" i="2"/>
  <c r="H398" i="2" s="1"/>
  <c r="K299" i="2"/>
  <c r="J58" i="2"/>
  <c r="H58" i="2" s="1"/>
  <c r="I58" i="2"/>
  <c r="K58" i="2"/>
  <c r="F116" i="2"/>
  <c r="I116" i="2" s="1"/>
  <c r="G116" i="2"/>
  <c r="G38" i="2"/>
  <c r="F238" i="2"/>
  <c r="J238" i="2" s="1"/>
  <c r="H238" i="2" s="1"/>
  <c r="G238" i="2"/>
  <c r="F8" i="2"/>
  <c r="K8" i="2" s="1"/>
  <c r="J196" i="2"/>
  <c r="H196" i="2" s="1"/>
  <c r="G216" i="2"/>
  <c r="G366" i="2"/>
  <c r="F366" i="2"/>
  <c r="I366" i="2" s="1"/>
  <c r="G122" i="2"/>
  <c r="J10" i="2"/>
  <c r="H10" i="2" s="1"/>
  <c r="F27" i="2"/>
  <c r="K27" i="2" s="1"/>
  <c r="K188" i="2"/>
  <c r="J188" i="2"/>
  <c r="H188" i="2" s="1"/>
  <c r="I188" i="2"/>
  <c r="G36" i="2"/>
  <c r="I122" i="2"/>
  <c r="F156" i="2"/>
  <c r="J156" i="2" s="1"/>
  <c r="H156" i="2" s="1"/>
  <c r="G156" i="2"/>
  <c r="I165" i="2"/>
  <c r="J285" i="2"/>
  <c r="H285" i="2" s="1"/>
  <c r="I285" i="2"/>
  <c r="F32" i="2"/>
  <c r="I32" i="2" s="1"/>
  <c r="K39" i="2"/>
  <c r="K52" i="2"/>
  <c r="K55" i="2"/>
  <c r="J55" i="2"/>
  <c r="H55" i="2" s="1"/>
  <c r="K57" i="2"/>
  <c r="J57" i="2"/>
  <c r="H57" i="2" s="1"/>
  <c r="I57" i="2"/>
  <c r="K63" i="2"/>
  <c r="I77" i="2"/>
  <c r="G90" i="2"/>
  <c r="F90" i="2"/>
  <c r="K90" i="2" s="1"/>
  <c r="K93" i="2"/>
  <c r="J93" i="2"/>
  <c r="H93" i="2" s="1"/>
  <c r="I93" i="2"/>
  <c r="F98" i="2"/>
  <c r="K98" i="2" s="1"/>
  <c r="F103" i="2"/>
  <c r="I103" i="2" s="1"/>
  <c r="G108" i="2"/>
  <c r="J122" i="2"/>
  <c r="H122" i="2" s="1"/>
  <c r="J135" i="2"/>
  <c r="H135" i="2" s="1"/>
  <c r="J141" i="2"/>
  <c r="H141" i="2" s="1"/>
  <c r="J147" i="2"/>
  <c r="K158" i="2" s="1"/>
  <c r="J153" i="2"/>
  <c r="H153" i="2" s="1"/>
  <c r="J159" i="2"/>
  <c r="H159" i="2" s="1"/>
  <c r="J165" i="2"/>
  <c r="J179" i="2"/>
  <c r="H179" i="2" s="1"/>
  <c r="J185" i="2"/>
  <c r="K192" i="2"/>
  <c r="J192" i="2"/>
  <c r="H192" i="2" s="1"/>
  <c r="G200" i="2"/>
  <c r="F200" i="2"/>
  <c r="J200" i="2" s="1"/>
  <c r="H200" i="2" s="1"/>
  <c r="K202" i="2"/>
  <c r="I211" i="2"/>
  <c r="K211" i="2"/>
  <c r="J214" i="2"/>
  <c r="K233" i="2" s="1"/>
  <c r="I214" i="2"/>
  <c r="K218" i="2"/>
  <c r="K259" i="2"/>
  <c r="J259" i="2"/>
  <c r="H259" i="2" s="1"/>
  <c r="I259" i="2"/>
  <c r="K274" i="2"/>
  <c r="F291" i="2"/>
  <c r="G15" i="2"/>
  <c r="I202" i="2"/>
  <c r="I50" i="2"/>
  <c r="J50" i="2"/>
  <c r="H50" i="2" s="1"/>
  <c r="I141" i="2"/>
  <c r="G174" i="2"/>
  <c r="G240" i="2"/>
  <c r="F240" i="2"/>
  <c r="I240" i="2" s="1"/>
  <c r="G71" i="2"/>
  <c r="F71" i="2"/>
  <c r="I71" i="2" s="1"/>
  <c r="K122" i="2"/>
  <c r="K127" i="2"/>
  <c r="K153" i="2"/>
  <c r="K179" i="2"/>
  <c r="F249" i="2"/>
  <c r="F275" i="2"/>
  <c r="J275" i="2" s="1"/>
  <c r="H275" i="2" s="1"/>
  <c r="K285" i="2"/>
  <c r="K376" i="2"/>
  <c r="J376" i="2"/>
  <c r="H376" i="2" s="1"/>
  <c r="I376" i="2"/>
  <c r="G146" i="2"/>
  <c r="J164" i="2"/>
  <c r="H164" i="2" s="1"/>
  <c r="K164" i="2"/>
  <c r="I164" i="2"/>
  <c r="G164" i="2"/>
  <c r="G261" i="2"/>
  <c r="F26" i="2"/>
  <c r="J26" i="2" s="1"/>
  <c r="H26" i="2" s="1"/>
  <c r="F134" i="2"/>
  <c r="F15" i="2"/>
  <c r="J15" i="2" s="1"/>
  <c r="H15" i="2" s="1"/>
  <c r="G19" i="2"/>
  <c r="K31" i="2"/>
  <c r="J31" i="2"/>
  <c r="H31" i="2" s="1"/>
  <c r="I31" i="2"/>
  <c r="F38" i="2"/>
  <c r="J38" i="2" s="1"/>
  <c r="H38" i="2" s="1"/>
  <c r="I20" i="2"/>
  <c r="G31" i="2"/>
  <c r="F59" i="2"/>
  <c r="I59" i="2" s="1"/>
  <c r="G59" i="2"/>
  <c r="I63" i="2"/>
  <c r="G27" i="2"/>
  <c r="F132" i="2"/>
  <c r="J132" i="2" s="1"/>
  <c r="H132" i="2" s="1"/>
  <c r="J168" i="2"/>
  <c r="H168" i="2" s="1"/>
  <c r="G168" i="2"/>
  <c r="I295" i="2"/>
  <c r="G295" i="2"/>
  <c r="K295" i="2"/>
  <c r="J295" i="2"/>
  <c r="H295" i="2" s="1"/>
  <c r="G98" i="2"/>
  <c r="F46" i="2"/>
  <c r="F53" i="2"/>
  <c r="K77" i="2"/>
  <c r="G128" i="2"/>
  <c r="F136" i="2"/>
  <c r="F148" i="2"/>
  <c r="K148" i="2" s="1"/>
  <c r="F160" i="2"/>
  <c r="J160" i="2" s="1"/>
  <c r="H160" i="2" s="1"/>
  <c r="G166" i="2"/>
  <c r="F172" i="2"/>
  <c r="K172" i="2" s="1"/>
  <c r="F186" i="2"/>
  <c r="G192" i="2"/>
  <c r="I206" i="2"/>
  <c r="G211" i="2"/>
  <c r="G218" i="2"/>
  <c r="F221" i="2"/>
  <c r="K221" i="2" s="1"/>
  <c r="G231" i="2"/>
  <c r="G275" i="2"/>
  <c r="F304" i="2"/>
  <c r="F384" i="2"/>
  <c r="K384" i="2" s="1"/>
  <c r="G384" i="2"/>
  <c r="F33" i="2"/>
  <c r="I33" i="2" s="1"/>
  <c r="J140" i="2"/>
  <c r="H140" i="2" s="1"/>
  <c r="K140" i="2"/>
  <c r="G140" i="2"/>
  <c r="I140" i="2"/>
  <c r="G152" i="2"/>
  <c r="G170" i="2"/>
  <c r="F146" i="2"/>
  <c r="K146" i="2" s="1"/>
  <c r="F184" i="2"/>
  <c r="J184" i="2" s="1"/>
  <c r="H184" i="2" s="1"/>
  <c r="G213" i="2"/>
  <c r="F261" i="2"/>
  <c r="K261" i="2" s="1"/>
  <c r="F356" i="2"/>
  <c r="K356" i="2" s="1"/>
  <c r="F22" i="2"/>
  <c r="J22" i="2" s="1"/>
  <c r="H22" i="2" s="1"/>
  <c r="G47" i="2"/>
  <c r="F47" i="2"/>
  <c r="K47" i="2" s="1"/>
  <c r="G70" i="2"/>
  <c r="K107" i="2"/>
  <c r="J107" i="2"/>
  <c r="H107" i="2" s="1"/>
  <c r="G107" i="2"/>
  <c r="I107" i="2"/>
  <c r="G119" i="2"/>
  <c r="F213" i="2"/>
  <c r="J213" i="2" s="1"/>
  <c r="H213" i="2" s="1"/>
  <c r="G326" i="2"/>
  <c r="G8" i="2"/>
  <c r="G24" i="2"/>
  <c r="F29" i="2"/>
  <c r="I29" i="2" s="1"/>
  <c r="I79" i="2"/>
  <c r="I112" i="2"/>
  <c r="G288" i="2"/>
  <c r="F326" i="2"/>
  <c r="I326" i="2" s="1"/>
  <c r="F36" i="2"/>
  <c r="K36" i="2" s="1"/>
  <c r="F174" i="2"/>
  <c r="K174" i="2" s="1"/>
  <c r="F42" i="2"/>
  <c r="I42" i="2" s="1"/>
  <c r="K89" i="2"/>
  <c r="K100" i="2"/>
  <c r="J100" i="2"/>
  <c r="H100" i="2" s="1"/>
  <c r="I100" i="2"/>
  <c r="G162" i="2"/>
  <c r="F182" i="2"/>
  <c r="K182" i="2" s="1"/>
  <c r="G182" i="2"/>
  <c r="F220" i="2"/>
  <c r="K220" i="2" s="1"/>
  <c r="G32" i="2"/>
  <c r="G64" i="2"/>
  <c r="G100" i="2"/>
  <c r="I11" i="2"/>
  <c r="G57" i="2"/>
  <c r="J11" i="2"/>
  <c r="H11" i="2" s="1"/>
  <c r="K13" i="2"/>
  <c r="I25" i="2"/>
  <c r="I48" i="2"/>
  <c r="G60" i="2"/>
  <c r="F62" i="2"/>
  <c r="J62" i="2" s="1"/>
  <c r="H62" i="2" s="1"/>
  <c r="F78" i="2"/>
  <c r="I78" i="2" s="1"/>
  <c r="F86" i="2"/>
  <c r="I86" i="2" s="1"/>
  <c r="F91" i="2"/>
  <c r="I115" i="2"/>
  <c r="F128" i="2"/>
  <c r="K128" i="2" s="1"/>
  <c r="F142" i="2"/>
  <c r="I142" i="2" s="1"/>
  <c r="G148" i="2"/>
  <c r="F154" i="2"/>
  <c r="I154" i="2" s="1"/>
  <c r="F166" i="2"/>
  <c r="K166" i="2" s="1"/>
  <c r="G172" i="2"/>
  <c r="F180" i="2"/>
  <c r="I180" i="2" s="1"/>
  <c r="I192" i="2"/>
  <c r="J206" i="2"/>
  <c r="H206" i="2" s="1"/>
  <c r="I218" i="2"/>
  <c r="G221" i="2"/>
  <c r="F231" i="2"/>
  <c r="K231" i="2" s="1"/>
  <c r="G304" i="2"/>
  <c r="F318" i="2"/>
  <c r="K318" i="2" s="1"/>
  <c r="F17" i="2"/>
  <c r="K17" i="2" s="1"/>
  <c r="F170" i="2"/>
  <c r="K170" i="2" s="1"/>
  <c r="F24" i="2"/>
  <c r="K24" i="2" s="1"/>
  <c r="K223" i="2"/>
  <c r="J223" i="2"/>
  <c r="H223" i="2" s="1"/>
  <c r="I89" i="2"/>
  <c r="F114" i="2"/>
  <c r="I114" i="2" s="1"/>
  <c r="F298" i="2"/>
  <c r="J298" i="2" s="1"/>
  <c r="H298" i="2" s="1"/>
  <c r="J3" i="2"/>
  <c r="H3" i="2" s="1"/>
  <c r="F105" i="2"/>
  <c r="J105" i="2" s="1"/>
  <c r="G117" i="2"/>
  <c r="F138" i="2"/>
  <c r="K138" i="2" s="1"/>
  <c r="F150" i="2"/>
  <c r="J150" i="2" s="1"/>
  <c r="H150" i="2" s="1"/>
  <c r="F162" i="2"/>
  <c r="K162" i="2" s="1"/>
  <c r="G205" i="2"/>
  <c r="K205" i="2"/>
  <c r="J205" i="2"/>
  <c r="H205" i="2" s="1"/>
  <c r="I205" i="2"/>
  <c r="K3" i="2"/>
  <c r="G34" i="2"/>
  <c r="F45" i="2"/>
  <c r="I45" i="2" s="1"/>
  <c r="K95" i="2"/>
  <c r="J95" i="2"/>
  <c r="H95" i="2" s="1"/>
  <c r="I95" i="2"/>
  <c r="F108" i="2"/>
  <c r="I108" i="2" s="1"/>
  <c r="F144" i="2"/>
  <c r="J144" i="2" s="1"/>
  <c r="H144" i="2" s="1"/>
  <c r="G150" i="2"/>
  <c r="F194" i="2"/>
  <c r="I194" i="2" s="1"/>
  <c r="G256" i="2"/>
  <c r="F256" i="2"/>
  <c r="I256" i="2" s="1"/>
  <c r="I13" i="2"/>
  <c r="F9" i="2"/>
  <c r="K9" i="2" s="1"/>
  <c r="G9" i="2"/>
  <c r="G55" i="2"/>
  <c r="F60" i="2"/>
  <c r="J60" i="2" s="1"/>
  <c r="H60" i="2" s="1"/>
  <c r="F64" i="2"/>
  <c r="K64" i="2" s="1"/>
  <c r="K83" i="2"/>
  <c r="J83" i="2"/>
  <c r="H83" i="2" s="1"/>
  <c r="I83" i="2"/>
  <c r="K88" i="2"/>
  <c r="J88" i="2"/>
  <c r="H88" i="2" s="1"/>
  <c r="I88" i="2"/>
  <c r="J5" i="2"/>
  <c r="H5" i="2" s="1"/>
  <c r="K5" i="2"/>
  <c r="K7" i="2"/>
  <c r="J7" i="2"/>
  <c r="I7" i="2"/>
  <c r="J14" i="2"/>
  <c r="H14" i="2" s="1"/>
  <c r="I14" i="2"/>
  <c r="G14" i="2"/>
  <c r="F21" i="2"/>
  <c r="I21" i="2" s="1"/>
  <c r="G21" i="2"/>
  <c r="J48" i="2"/>
  <c r="I55" i="2"/>
  <c r="G62" i="2"/>
  <c r="F67" i="2"/>
  <c r="I67" i="2" s="1"/>
  <c r="F69" i="2"/>
  <c r="J69" i="2" s="1"/>
  <c r="H69" i="2" s="1"/>
  <c r="F81" i="2"/>
  <c r="K81" i="2" s="1"/>
  <c r="G86" i="2"/>
  <c r="G88" i="2"/>
  <c r="G91" i="2"/>
  <c r="I133" i="2"/>
  <c r="J139" i="2"/>
  <c r="H139" i="2" s="1"/>
  <c r="I145" i="2"/>
  <c r="J151" i="2"/>
  <c r="H151" i="2" s="1"/>
  <c r="I157" i="2"/>
  <c r="J163" i="2"/>
  <c r="H163" i="2" s="1"/>
  <c r="I169" i="2"/>
  <c r="J175" i="2"/>
  <c r="H175" i="2" s="1"/>
  <c r="I183" i="2"/>
  <c r="K189" i="2"/>
  <c r="K209" i="2"/>
  <c r="J209" i="2"/>
  <c r="H209" i="2" s="1"/>
  <c r="I209" i="2"/>
  <c r="J211" i="2"/>
  <c r="H211" i="2" s="1"/>
  <c r="J218" i="2"/>
  <c r="H218" i="2" s="1"/>
  <c r="K247" i="2"/>
  <c r="J247" i="2"/>
  <c r="H247" i="2" s="1"/>
  <c r="I247" i="2"/>
  <c r="J300" i="2"/>
  <c r="H300" i="2" s="1"/>
  <c r="G318" i="2"/>
  <c r="F354" i="2"/>
  <c r="I354" i="2" s="1"/>
  <c r="K400" i="2"/>
  <c r="J400" i="2"/>
  <c r="H400" i="2" s="1"/>
  <c r="I400" i="2"/>
  <c r="K19" i="2"/>
  <c r="J19" i="2"/>
  <c r="H19" i="2" s="1"/>
  <c r="I19" i="2"/>
  <c r="J158" i="2"/>
  <c r="H158" i="2" s="1"/>
  <c r="I158" i="2"/>
  <c r="G177" i="2"/>
  <c r="J216" i="2"/>
  <c r="H216" i="2" s="1"/>
  <c r="K216" i="2"/>
  <c r="I216" i="2"/>
  <c r="F70" i="2"/>
  <c r="K70" i="2" s="1"/>
  <c r="F119" i="2"/>
  <c r="K119" i="2" s="1"/>
  <c r="F152" i="2"/>
  <c r="J152" i="2" s="1"/>
  <c r="H152" i="2" s="1"/>
  <c r="F177" i="2"/>
  <c r="K177" i="2" s="1"/>
  <c r="J370" i="2"/>
  <c r="H370" i="2" s="1"/>
  <c r="G370" i="2"/>
  <c r="F288" i="2"/>
  <c r="I288" i="2" s="1"/>
  <c r="G22" i="2"/>
  <c r="F102" i="2"/>
  <c r="I102" i="2" s="1"/>
  <c r="G102" i="2"/>
  <c r="F117" i="2"/>
  <c r="J117" i="2" s="1"/>
  <c r="H117" i="2" s="1"/>
  <c r="I334" i="2"/>
  <c r="F338" i="2"/>
  <c r="J338" i="2" s="1"/>
  <c r="H338" i="2" s="1"/>
  <c r="F34" i="2"/>
  <c r="K34" i="2" s="1"/>
  <c r="J52" i="2"/>
  <c r="H52" i="2" s="1"/>
  <c r="I52" i="2"/>
  <c r="G52" i="2"/>
  <c r="G114" i="2"/>
  <c r="K388" i="2"/>
  <c r="J388" i="2"/>
  <c r="H388" i="2" s="1"/>
  <c r="I388" i="2"/>
  <c r="K10" i="2"/>
  <c r="K12" i="2"/>
  <c r="I12" i="2"/>
  <c r="J12" i="2"/>
  <c r="H12" i="2" s="1"/>
  <c r="K74" i="2"/>
  <c r="J74" i="2"/>
  <c r="H74" i="2" s="1"/>
  <c r="I74" i="2"/>
  <c r="K79" i="2"/>
  <c r="K121" i="2"/>
  <c r="J121" i="2"/>
  <c r="H121" i="2" s="1"/>
  <c r="G121" i="2"/>
  <c r="I121" i="2"/>
  <c r="J124" i="2"/>
  <c r="H124" i="2" s="1"/>
  <c r="K124" i="2"/>
  <c r="K126" i="2"/>
  <c r="J126" i="2"/>
  <c r="H126" i="2" s="1"/>
  <c r="I126" i="2"/>
  <c r="J190" i="2"/>
  <c r="H190" i="2" s="1"/>
  <c r="K190" i="2"/>
  <c r="I190" i="2"/>
  <c r="I196" i="2"/>
  <c r="F201" i="2"/>
  <c r="G253" i="2"/>
  <c r="F253" i="2"/>
  <c r="K253" i="2" s="1"/>
  <c r="F234" i="2"/>
  <c r="J234" i="2" s="1"/>
  <c r="H234" i="2" s="1"/>
  <c r="K244" i="2"/>
  <c r="J244" i="2"/>
  <c r="H244" i="2" s="1"/>
  <c r="I244" i="2"/>
  <c r="G301" i="2"/>
  <c r="F301" i="2"/>
  <c r="K301" i="2" s="1"/>
  <c r="J324" i="2"/>
  <c r="I324" i="2"/>
  <c r="F97" i="2"/>
  <c r="I97" i="2" s="1"/>
  <c r="F111" i="2"/>
  <c r="I111" i="2" s="1"/>
  <c r="F123" i="2"/>
  <c r="F198" i="2"/>
  <c r="K198" i="2" s="1"/>
  <c r="F224" i="2"/>
  <c r="K224" i="2" s="1"/>
  <c r="F229" i="2"/>
  <c r="K229" i="2" s="1"/>
  <c r="G234" i="2"/>
  <c r="F265" i="2"/>
  <c r="K296" i="2"/>
  <c r="I296" i="2"/>
  <c r="F332" i="2"/>
  <c r="I332" i="2" s="1"/>
  <c r="F396" i="2"/>
  <c r="I396" i="2" s="1"/>
  <c r="F4" i="2"/>
  <c r="F16" i="2"/>
  <c r="F28" i="2"/>
  <c r="F40" i="2"/>
  <c r="F54" i="2"/>
  <c r="F66" i="2"/>
  <c r="F80" i="2"/>
  <c r="F92" i="2"/>
  <c r="F104" i="2"/>
  <c r="G111" i="2"/>
  <c r="F118" i="2"/>
  <c r="G123" i="2"/>
  <c r="F195" i="2"/>
  <c r="I210" i="2"/>
  <c r="G224" i="2"/>
  <c r="G229" i="2"/>
  <c r="K251" i="2"/>
  <c r="I251" i="2"/>
  <c r="K257" i="2"/>
  <c r="J257" i="2"/>
  <c r="H257" i="2" s="1"/>
  <c r="I257" i="2"/>
  <c r="K263" i="2"/>
  <c r="J263" i="2"/>
  <c r="H263" i="2" s="1"/>
  <c r="I263" i="2"/>
  <c r="J277" i="2"/>
  <c r="H277" i="2" s="1"/>
  <c r="I277" i="2"/>
  <c r="F314" i="2"/>
  <c r="J314" i="2" s="1"/>
  <c r="H314" i="2" s="1"/>
  <c r="K324" i="2"/>
  <c r="J328" i="2"/>
  <c r="H328" i="2" s="1"/>
  <c r="I328" i="2"/>
  <c r="G332" i="2"/>
  <c r="F344" i="2"/>
  <c r="J344" i="2" s="1"/>
  <c r="H344" i="2" s="1"/>
  <c r="G344" i="2"/>
  <c r="G396" i="2"/>
  <c r="K203" i="2"/>
  <c r="G217" i="2"/>
  <c r="F217" i="2"/>
  <c r="G293" i="2"/>
  <c r="F410" i="2"/>
  <c r="K410" i="2" s="1"/>
  <c r="K133" i="2"/>
  <c r="I135" i="2"/>
  <c r="K137" i="2"/>
  <c r="G137" i="2"/>
  <c r="I139" i="2"/>
  <c r="K145" i="2"/>
  <c r="I147" i="2"/>
  <c r="K149" i="2"/>
  <c r="G149" i="2"/>
  <c r="I151" i="2"/>
  <c r="K157" i="2"/>
  <c r="I159" i="2"/>
  <c r="K161" i="2"/>
  <c r="G161" i="2"/>
  <c r="I163" i="2"/>
  <c r="K169" i="2"/>
  <c r="I171" i="2"/>
  <c r="K173" i="2"/>
  <c r="G173" i="2"/>
  <c r="I175" i="2"/>
  <c r="K183" i="2"/>
  <c r="I185" i="2"/>
  <c r="K187" i="2"/>
  <c r="G187" i="2"/>
  <c r="I189" i="2"/>
  <c r="F191" i="2"/>
  <c r="J204" i="2"/>
  <c r="H204" i="2" s="1"/>
  <c r="F208" i="2"/>
  <c r="I208" i="2" s="1"/>
  <c r="G210" i="2"/>
  <c r="F227" i="2"/>
  <c r="K232" i="2"/>
  <c r="I232" i="2"/>
  <c r="G251" i="2"/>
  <c r="G254" i="2"/>
  <c r="F254" i="2"/>
  <c r="J254" i="2" s="1"/>
  <c r="H254" i="2" s="1"/>
  <c r="G263" i="2"/>
  <c r="J274" i="2"/>
  <c r="H274" i="2" s="1"/>
  <c r="F293" i="2"/>
  <c r="J293" i="2" s="1"/>
  <c r="H293" i="2" s="1"/>
  <c r="J296" i="2"/>
  <c r="H296" i="2" s="1"/>
  <c r="J312" i="2"/>
  <c r="H312" i="2" s="1"/>
  <c r="K312" i="2"/>
  <c r="J340" i="2"/>
  <c r="H340" i="2" s="1"/>
  <c r="K340" i="2"/>
  <c r="G340" i="2"/>
  <c r="G410" i="2"/>
  <c r="J228" i="2"/>
  <c r="H228" i="2" s="1"/>
  <c r="I230" i="2"/>
  <c r="F236" i="2"/>
  <c r="G236" i="2"/>
  <c r="I241" i="2"/>
  <c r="K283" i="2"/>
  <c r="J283" i="2"/>
  <c r="H283" i="2" s="1"/>
  <c r="I283" i="2"/>
  <c r="J286" i="2"/>
  <c r="H286" i="2" s="1"/>
  <c r="J352" i="2"/>
  <c r="H352" i="2" s="1"/>
  <c r="J368" i="2"/>
  <c r="H368" i="2" s="1"/>
  <c r="G281" i="2"/>
  <c r="G373" i="2"/>
  <c r="J380" i="2"/>
  <c r="H380" i="2" s="1"/>
  <c r="F382" i="2"/>
  <c r="K382" i="2" s="1"/>
  <c r="J394" i="2"/>
  <c r="H394" i="2" s="1"/>
  <c r="F239" i="2"/>
  <c r="J239" i="2" s="1"/>
  <c r="H239" i="2" s="1"/>
  <c r="G255" i="2"/>
  <c r="K273" i="2"/>
  <c r="J273" i="2"/>
  <c r="H273" i="2" s="1"/>
  <c r="I273" i="2"/>
  <c r="F281" i="2"/>
  <c r="K281" i="2" s="1"/>
  <c r="F284" i="2"/>
  <c r="G382" i="2"/>
  <c r="F212" i="2"/>
  <c r="I228" i="2"/>
  <c r="J230" i="2"/>
  <c r="H230" i="2" s="1"/>
  <c r="K237" i="2"/>
  <c r="G239" i="2"/>
  <c r="K241" i="2"/>
  <c r="F255" i="2"/>
  <c r="I255" i="2" s="1"/>
  <c r="K271" i="2"/>
  <c r="J271" i="2"/>
  <c r="H271" i="2" s="1"/>
  <c r="G276" i="2"/>
  <c r="K286" i="2"/>
  <c r="G292" i="2"/>
  <c r="J297" i="2"/>
  <c r="H297" i="2" s="1"/>
  <c r="I297" i="2"/>
  <c r="I302" i="2"/>
  <c r="G316" i="2"/>
  <c r="I352" i="2"/>
  <c r="J358" i="2"/>
  <c r="H358" i="2" s="1"/>
  <c r="K368" i="2"/>
  <c r="I373" i="2"/>
  <c r="G380" i="2"/>
  <c r="F392" i="2"/>
  <c r="G394" i="2"/>
  <c r="G398" i="2"/>
  <c r="J404" i="2"/>
  <c r="H404" i="2" s="1"/>
  <c r="F408" i="2"/>
  <c r="J408" i="2" s="1"/>
  <c r="H408" i="2" s="1"/>
  <c r="J414" i="2"/>
  <c r="H414" i="2" s="1"/>
  <c r="I267" i="2"/>
  <c r="G267" i="2"/>
  <c r="I276" i="2"/>
  <c r="K279" i="2"/>
  <c r="I279" i="2"/>
  <c r="J279" i="2"/>
  <c r="H279" i="2" s="1"/>
  <c r="J287" i="2"/>
  <c r="H287" i="2" s="1"/>
  <c r="I287" i="2"/>
  <c r="J302" i="2"/>
  <c r="H302" i="2" s="1"/>
  <c r="I316" i="2"/>
  <c r="K352" i="2"/>
  <c r="K358" i="2"/>
  <c r="J373" i="2"/>
  <c r="H373" i="2" s="1"/>
  <c r="I386" i="2"/>
  <c r="G392" i="2"/>
  <c r="I394" i="2"/>
  <c r="G408" i="2"/>
  <c r="G322" i="2"/>
  <c r="G335" i="2"/>
  <c r="G363" i="2"/>
  <c r="G377" i="2"/>
  <c r="G389" i="2"/>
  <c r="G401" i="2"/>
  <c r="G415" i="2"/>
  <c r="F303" i="2"/>
  <c r="I303" i="2" s="1"/>
  <c r="F305" i="2"/>
  <c r="F307" i="2"/>
  <c r="J307" i="2" s="1"/>
  <c r="H307" i="2" s="1"/>
  <c r="F315" i="2"/>
  <c r="K315" i="2" s="1"/>
  <c r="F317" i="2"/>
  <c r="K317" i="2" s="1"/>
  <c r="F319" i="2"/>
  <c r="J319" i="2" s="1"/>
  <c r="H319" i="2" s="1"/>
  <c r="F322" i="2"/>
  <c r="I322" i="2" s="1"/>
  <c r="F329" i="2"/>
  <c r="K329" i="2" s="1"/>
  <c r="F331" i="2"/>
  <c r="K331" i="2" s="1"/>
  <c r="F333" i="2"/>
  <c r="I333" i="2" s="1"/>
  <c r="F335" i="2"/>
  <c r="I335" i="2" s="1"/>
  <c r="F341" i="2"/>
  <c r="K341" i="2" s="1"/>
  <c r="F343" i="2"/>
  <c r="F345" i="2"/>
  <c r="J345" i="2" s="1"/>
  <c r="H345" i="2" s="1"/>
  <c r="F349" i="2"/>
  <c r="F355" i="2"/>
  <c r="K355" i="2" s="1"/>
  <c r="F357" i="2"/>
  <c r="K357" i="2" s="1"/>
  <c r="F359" i="2"/>
  <c r="J359" i="2" s="1"/>
  <c r="H359" i="2" s="1"/>
  <c r="F363" i="2"/>
  <c r="K363" i="2" s="1"/>
  <c r="F369" i="2"/>
  <c r="K369" i="2" s="1"/>
  <c r="F371" i="2"/>
  <c r="J371" i="2" s="1"/>
  <c r="H371" i="2" s="1"/>
  <c r="F375" i="2"/>
  <c r="J375" i="2" s="1"/>
  <c r="H375" i="2" s="1"/>
  <c r="J377" i="2"/>
  <c r="H377" i="2" s="1"/>
  <c r="F383" i="2"/>
  <c r="K383" i="2" s="1"/>
  <c r="J385" i="2"/>
  <c r="H385" i="2" s="1"/>
  <c r="F387" i="2"/>
  <c r="I387" i="2" s="1"/>
  <c r="F389" i="2"/>
  <c r="J389" i="2" s="1"/>
  <c r="H389" i="2" s="1"/>
  <c r="F395" i="2"/>
  <c r="K395" i="2" s="1"/>
  <c r="F397" i="2"/>
  <c r="J397" i="2" s="1"/>
  <c r="H397" i="2" s="1"/>
  <c r="F399" i="2"/>
  <c r="J399" i="2" s="1"/>
  <c r="H399" i="2" s="1"/>
  <c r="F401" i="2"/>
  <c r="K401" i="2" s="1"/>
  <c r="F409" i="2"/>
  <c r="K409" i="2" s="1"/>
  <c r="F411" i="2"/>
  <c r="J411" i="2" s="1"/>
  <c r="H411" i="2" s="1"/>
  <c r="F413" i="2"/>
  <c r="J413" i="2" s="1"/>
  <c r="H413" i="2" s="1"/>
  <c r="F415" i="2"/>
  <c r="I415" i="2" s="1"/>
  <c r="I417" i="2"/>
  <c r="G303" i="2"/>
  <c r="G315" i="2"/>
  <c r="G317" i="2"/>
  <c r="G319" i="2"/>
  <c r="G329" i="2"/>
  <c r="G331" i="2"/>
  <c r="G333" i="2"/>
  <c r="G341" i="2"/>
  <c r="G345" i="2"/>
  <c r="G355" i="2"/>
  <c r="G357" i="2"/>
  <c r="G359" i="2"/>
  <c r="G369" i="2"/>
  <c r="G371" i="2"/>
  <c r="G375" i="2"/>
  <c r="G383" i="2"/>
  <c r="G395" i="2"/>
  <c r="G397" i="2"/>
  <c r="G399" i="2"/>
  <c r="G409" i="2"/>
  <c r="G411" i="2"/>
  <c r="G413" i="2"/>
  <c r="J417" i="2"/>
  <c r="H417" i="2" s="1"/>
  <c r="F246" i="2"/>
  <c r="J248" i="2"/>
  <c r="H248" i="2" s="1"/>
  <c r="G252" i="2"/>
  <c r="J258" i="2"/>
  <c r="H258" i="2" s="1"/>
  <c r="F266" i="2"/>
  <c r="F269" i="2"/>
  <c r="I311" i="2"/>
  <c r="I325" i="2"/>
  <c r="I337" i="2"/>
  <c r="I351" i="2"/>
  <c r="I379" i="2"/>
  <c r="I391" i="2"/>
  <c r="I403" i="2"/>
  <c r="J260" i="2"/>
  <c r="H260" i="2" s="1"/>
  <c r="J418" i="2"/>
  <c r="H418" i="2" s="1"/>
  <c r="F420" i="2"/>
  <c r="I420" i="2" s="1"/>
  <c r="I272" i="2" l="1"/>
  <c r="K305" i="2"/>
  <c r="K308" i="2"/>
  <c r="J235" i="2"/>
  <c r="K330" i="2" s="1"/>
  <c r="I402" i="2"/>
  <c r="K407" i="2"/>
  <c r="I365" i="2"/>
  <c r="I404" i="2"/>
  <c r="J336" i="2"/>
  <c r="H336" i="2" s="1"/>
  <c r="K365" i="2"/>
  <c r="I294" i="2"/>
  <c r="J222" i="2"/>
  <c r="J407" i="2"/>
  <c r="H407" i="2" s="1"/>
  <c r="I308" i="2"/>
  <c r="J171" i="2"/>
  <c r="K185" i="2" s="1"/>
  <c r="K334" i="2"/>
  <c r="G334" i="2" s="1"/>
  <c r="I72" i="2"/>
  <c r="I99" i="2"/>
  <c r="J193" i="2"/>
  <c r="H193" i="2" s="1"/>
  <c r="J127" i="2"/>
  <c r="H127" i="2" s="1"/>
  <c r="K72" i="2"/>
  <c r="G72" i="2" s="1"/>
  <c r="K337" i="2"/>
  <c r="J56" i="2"/>
  <c r="H56" i="2" s="1"/>
  <c r="I233" i="2"/>
  <c r="G233" i="2" s="1"/>
  <c r="I56" i="2"/>
  <c r="J8" i="2"/>
  <c r="H8" i="2" s="1"/>
  <c r="H402" i="2"/>
  <c r="K349" i="2"/>
  <c r="H339" i="2"/>
  <c r="G339" i="2"/>
  <c r="G324" i="2"/>
  <c r="K311" i="2"/>
  <c r="G311" i="2" s="1"/>
  <c r="G277" i="2"/>
  <c r="H272" i="2"/>
  <c r="H233" i="2"/>
  <c r="H214" i="2"/>
  <c r="K214" i="2"/>
  <c r="G214" i="2" s="1"/>
  <c r="K186" i="2"/>
  <c r="H185" i="2"/>
  <c r="G185" i="2"/>
  <c r="H165" i="2"/>
  <c r="K165" i="2"/>
  <c r="G158" i="2"/>
  <c r="K134" i="2"/>
  <c r="H101" i="2"/>
  <c r="H105" i="2"/>
  <c r="K94" i="2"/>
  <c r="H94" i="2"/>
  <c r="I156" i="2"/>
  <c r="K50" i="2"/>
  <c r="G50" i="2" s="1"/>
  <c r="I148" i="2"/>
  <c r="K59" i="2"/>
  <c r="K156" i="2"/>
  <c r="K366" i="2"/>
  <c r="I144" i="2"/>
  <c r="J172" i="2"/>
  <c r="H172" i="2" s="1"/>
  <c r="I17" i="2"/>
  <c r="I410" i="2"/>
  <c r="J148" i="2"/>
  <c r="H148" i="2" s="1"/>
  <c r="I198" i="2"/>
  <c r="I168" i="2"/>
  <c r="J335" i="2"/>
  <c r="H335" i="2" s="1"/>
  <c r="I224" i="2"/>
  <c r="J384" i="2"/>
  <c r="H384" i="2" s="1"/>
  <c r="J177" i="2"/>
  <c r="H177" i="2" s="1"/>
  <c r="I172" i="2"/>
  <c r="I397" i="2"/>
  <c r="K150" i="2"/>
  <c r="K168" i="2"/>
  <c r="I317" i="2"/>
  <c r="I315" i="2"/>
  <c r="K307" i="2"/>
  <c r="K60" i="2"/>
  <c r="J356" i="2"/>
  <c r="H356" i="2" s="1"/>
  <c r="K213" i="2"/>
  <c r="I395" i="2"/>
  <c r="I261" i="2"/>
  <c r="K389" i="2"/>
  <c r="K160" i="2"/>
  <c r="K154" i="2"/>
  <c r="I162" i="2"/>
  <c r="I15" i="2"/>
  <c r="J134" i="2"/>
  <c r="K136" i="2" s="1"/>
  <c r="J162" i="2"/>
  <c r="H162" i="2" s="1"/>
  <c r="J318" i="2"/>
  <c r="H318" i="2" s="1"/>
  <c r="J108" i="2"/>
  <c r="H108" i="2" s="1"/>
  <c r="J303" i="2"/>
  <c r="H303" i="2" s="1"/>
  <c r="I319" i="2"/>
  <c r="J198" i="2"/>
  <c r="H198" i="2" s="1"/>
  <c r="I318" i="2"/>
  <c r="J154" i="2"/>
  <c r="I239" i="2"/>
  <c r="K254" i="2"/>
  <c r="J103" i="2"/>
  <c r="H103" i="2" s="1"/>
  <c r="K114" i="2"/>
  <c r="I384" i="2"/>
  <c r="J288" i="2"/>
  <c r="H288" i="2" s="1"/>
  <c r="K387" i="2"/>
  <c r="K208" i="2"/>
  <c r="J170" i="2"/>
  <c r="H170" i="2" s="1"/>
  <c r="I383" i="2"/>
  <c r="J224" i="2"/>
  <c r="H224" i="2" s="1"/>
  <c r="K288" i="2"/>
  <c r="J138" i="2"/>
  <c r="H138" i="2" s="1"/>
  <c r="I27" i="2"/>
  <c r="J59" i="2"/>
  <c r="H59" i="2" s="1"/>
  <c r="J382" i="2"/>
  <c r="H382" i="2" s="1"/>
  <c r="J27" i="2"/>
  <c r="H27" i="2" s="1"/>
  <c r="H7" i="2"/>
  <c r="K26" i="2"/>
  <c r="J305" i="2"/>
  <c r="K343" i="2" s="1"/>
  <c r="J208" i="2"/>
  <c r="H208" i="2" s="1"/>
  <c r="I385" i="2"/>
  <c r="K377" i="2"/>
  <c r="J420" i="2"/>
  <c r="H420" i="2" s="1"/>
  <c r="I343" i="2"/>
  <c r="J355" i="2"/>
  <c r="H355" i="2" s="1"/>
  <c r="K344" i="2"/>
  <c r="I174" i="2"/>
  <c r="J98" i="2"/>
  <c r="H98" i="2" s="1"/>
  <c r="K20" i="2"/>
  <c r="I382" i="2"/>
  <c r="J387" i="2"/>
  <c r="J17" i="2"/>
  <c r="H17" i="2" s="1"/>
  <c r="K385" i="2"/>
  <c r="I377" i="2"/>
  <c r="I234" i="2"/>
  <c r="I105" i="2"/>
  <c r="I231" i="2"/>
  <c r="I26" i="2"/>
  <c r="K303" i="2"/>
  <c r="K117" i="2"/>
  <c r="I138" i="2"/>
  <c r="I34" i="2"/>
  <c r="I341" i="2"/>
  <c r="J343" i="2"/>
  <c r="K402" i="2" s="1"/>
  <c r="G402" i="2" s="1"/>
  <c r="K335" i="2"/>
  <c r="J332" i="2"/>
  <c r="H332" i="2" s="1"/>
  <c r="K234" i="2"/>
  <c r="I249" i="2"/>
  <c r="J114" i="2"/>
  <c r="H114" i="2" s="1"/>
  <c r="I128" i="2"/>
  <c r="J261" i="2"/>
  <c r="H261" i="2" s="1"/>
  <c r="I39" i="2"/>
  <c r="I60" i="2"/>
  <c r="K29" i="2"/>
  <c r="J78" i="2"/>
  <c r="K132" i="2" s="1"/>
  <c r="J357" i="2"/>
  <c r="H357" i="2" s="1"/>
  <c r="I345" i="2"/>
  <c r="J410" i="2"/>
  <c r="H410" i="2" s="1"/>
  <c r="J301" i="2"/>
  <c r="H301" i="2" s="1"/>
  <c r="I356" i="2"/>
  <c r="K370" i="2"/>
  <c r="J354" i="2"/>
  <c r="H354" i="2" s="1"/>
  <c r="I69" i="2"/>
  <c r="K15" i="2"/>
  <c r="K326" i="2"/>
  <c r="I170" i="2"/>
  <c r="J142" i="2"/>
  <c r="K287" i="2" s="1"/>
  <c r="I62" i="2"/>
  <c r="I134" i="2"/>
  <c r="K32" i="2"/>
  <c r="J86" i="2"/>
  <c r="H86" i="2" s="1"/>
  <c r="K86" i="2"/>
  <c r="I314" i="2"/>
  <c r="J116" i="2"/>
  <c r="H116" i="2" s="1"/>
  <c r="K319" i="2"/>
  <c r="J180" i="2"/>
  <c r="K222" i="2" s="1"/>
  <c r="J363" i="2"/>
  <c r="H363" i="2" s="1"/>
  <c r="J64" i="2"/>
  <c r="H64" i="2" s="1"/>
  <c r="I349" i="2"/>
  <c r="K354" i="2"/>
  <c r="J32" i="2"/>
  <c r="H32" i="2" s="1"/>
  <c r="I200" i="2"/>
  <c r="K42" i="2"/>
  <c r="I8" i="2"/>
  <c r="I355" i="2"/>
  <c r="J409" i="2"/>
  <c r="H409" i="2" s="1"/>
  <c r="I338" i="2"/>
  <c r="K69" i="2"/>
  <c r="K33" i="2"/>
  <c r="I136" i="2"/>
  <c r="J42" i="2"/>
  <c r="H42" i="2" s="1"/>
  <c r="I146" i="2"/>
  <c r="I70" i="2"/>
  <c r="K180" i="2"/>
  <c r="I307" i="2"/>
  <c r="J39" i="2"/>
  <c r="I357" i="2"/>
  <c r="K345" i="2"/>
  <c r="J326" i="2"/>
  <c r="H326" i="2" s="1"/>
  <c r="K62" i="2"/>
  <c r="J317" i="2"/>
  <c r="H317" i="2" s="1"/>
  <c r="K415" i="2"/>
  <c r="J341" i="2"/>
  <c r="H341" i="2" s="1"/>
  <c r="J329" i="2"/>
  <c r="H329" i="2" s="1"/>
  <c r="I293" i="2"/>
  <c r="J396" i="2"/>
  <c r="H396" i="2" s="1"/>
  <c r="K78" i="2"/>
  <c r="K116" i="2"/>
  <c r="J67" i="2"/>
  <c r="H67" i="2" s="1"/>
  <c r="I150" i="2"/>
  <c r="I186" i="2"/>
  <c r="J136" i="2"/>
  <c r="K194" i="2" s="1"/>
  <c r="J146" i="2"/>
  <c r="H146" i="2" s="1"/>
  <c r="I22" i="2"/>
  <c r="J369" i="2"/>
  <c r="H369" i="2" s="1"/>
  <c r="I64" i="2"/>
  <c r="K38" i="2"/>
  <c r="J349" i="2"/>
  <c r="K362" i="2" s="1"/>
  <c r="G362" i="2" s="1"/>
  <c r="I305" i="2"/>
  <c r="K200" i="2"/>
  <c r="K142" i="2"/>
  <c r="J70" i="2"/>
  <c r="H70" i="2" s="1"/>
  <c r="J415" i="2"/>
  <c r="H415" i="2" s="1"/>
  <c r="K420" i="2"/>
  <c r="K293" i="2"/>
  <c r="K396" i="2"/>
  <c r="J186" i="2"/>
  <c r="K201" i="2" s="1"/>
  <c r="I132" i="2"/>
  <c r="J119" i="2"/>
  <c r="H119" i="2" s="1"/>
  <c r="K269" i="2"/>
  <c r="I269" i="2"/>
  <c r="J269" i="2"/>
  <c r="H269" i="2" s="1"/>
  <c r="I304" i="2"/>
  <c r="K304" i="2"/>
  <c r="K96" i="2"/>
  <c r="J96" i="2"/>
  <c r="K97" i="2" s="1"/>
  <c r="K85" i="2"/>
  <c r="J85" i="2"/>
  <c r="J331" i="2"/>
  <c r="H331" i="2" s="1"/>
  <c r="J104" i="2"/>
  <c r="H104" i="2" s="1"/>
  <c r="K104" i="2"/>
  <c r="I104" i="2"/>
  <c r="I9" i="2"/>
  <c r="J45" i="2"/>
  <c r="H45" i="2" s="1"/>
  <c r="I275" i="2"/>
  <c r="I191" i="2"/>
  <c r="J191" i="2"/>
  <c r="H191" i="2" s="1"/>
  <c r="K191" i="2"/>
  <c r="K45" i="2"/>
  <c r="J91" i="2"/>
  <c r="H91" i="2" s="1"/>
  <c r="I91" i="2"/>
  <c r="I184" i="2"/>
  <c r="K275" i="2"/>
  <c r="I399" i="2"/>
  <c r="K371" i="2"/>
  <c r="I281" i="2"/>
  <c r="J229" i="2"/>
  <c r="H229" i="2" s="1"/>
  <c r="K80" i="2"/>
  <c r="J80" i="2"/>
  <c r="H80" i="2" s="1"/>
  <c r="I80" i="2"/>
  <c r="K332" i="2"/>
  <c r="I81" i="2"/>
  <c r="K67" i="2"/>
  <c r="I220" i="2"/>
  <c r="J47" i="2"/>
  <c r="H47" i="2" s="1"/>
  <c r="J231" i="2"/>
  <c r="H231" i="2" s="1"/>
  <c r="K184" i="2"/>
  <c r="J240" i="2"/>
  <c r="H240" i="2" s="1"/>
  <c r="J174" i="2"/>
  <c r="H174" i="2" s="1"/>
  <c r="K108" i="2"/>
  <c r="I413" i="2"/>
  <c r="I284" i="2"/>
  <c r="K413" i="2"/>
  <c r="J284" i="2"/>
  <c r="K291" i="2" s="1"/>
  <c r="J201" i="2"/>
  <c r="K227" i="2" s="1"/>
  <c r="J71" i="2"/>
  <c r="H71" i="2" s="1"/>
  <c r="I401" i="2"/>
  <c r="I229" i="2"/>
  <c r="I301" i="2"/>
  <c r="J81" i="2"/>
  <c r="H81" i="2" s="1"/>
  <c r="J220" i="2"/>
  <c r="H220" i="2" s="1"/>
  <c r="I166" i="2"/>
  <c r="J395" i="2"/>
  <c r="H395" i="2" s="1"/>
  <c r="K240" i="2"/>
  <c r="I90" i="2"/>
  <c r="I38" i="2"/>
  <c r="J34" i="2"/>
  <c r="H34" i="2" s="1"/>
  <c r="I117" i="2"/>
  <c r="K71" i="2"/>
  <c r="I201" i="2"/>
  <c r="J9" i="2"/>
  <c r="H9" i="2" s="1"/>
  <c r="I47" i="2"/>
  <c r="J217" i="2"/>
  <c r="H217" i="2" s="1"/>
  <c r="K217" i="2"/>
  <c r="J102" i="2"/>
  <c r="H102" i="2" s="1"/>
  <c r="K91" i="2"/>
  <c r="K103" i="2"/>
  <c r="K399" i="2"/>
  <c r="J227" i="2"/>
  <c r="I227" i="2"/>
  <c r="K66" i="2"/>
  <c r="J66" i="2"/>
  <c r="H66" i="2" s="1"/>
  <c r="I66" i="2"/>
  <c r="I371" i="2"/>
  <c r="I331" i="2"/>
  <c r="K397" i="2"/>
  <c r="I363" i="2"/>
  <c r="K333" i="2"/>
  <c r="K392" i="2"/>
  <c r="I392" i="2"/>
  <c r="J212" i="2"/>
  <c r="H212" i="2" s="1"/>
  <c r="I212" i="2"/>
  <c r="K212" i="2"/>
  <c r="K239" i="2"/>
  <c r="K54" i="2"/>
  <c r="J54" i="2"/>
  <c r="H54" i="2" s="1"/>
  <c r="I54" i="2"/>
  <c r="K314" i="2"/>
  <c r="I265" i="2"/>
  <c r="J253" i="2"/>
  <c r="H253" i="2" s="1"/>
  <c r="K338" i="2"/>
  <c r="J29" i="2"/>
  <c r="H29" i="2" s="1"/>
  <c r="K256" i="2"/>
  <c r="I152" i="2"/>
  <c r="J166" i="2"/>
  <c r="H166" i="2" s="1"/>
  <c r="J128" i="2"/>
  <c r="H128" i="2" s="1"/>
  <c r="I53" i="2"/>
  <c r="J53" i="2"/>
  <c r="H53" i="2" s="1"/>
  <c r="K53" i="2"/>
  <c r="I298" i="2"/>
  <c r="J90" i="2"/>
  <c r="H90" i="2" s="1"/>
  <c r="J24" i="2"/>
  <c r="H24" i="2" s="1"/>
  <c r="I213" i="2"/>
  <c r="J256" i="2"/>
  <c r="H256" i="2" s="1"/>
  <c r="K266" i="2"/>
  <c r="J266" i="2"/>
  <c r="H266" i="2" s="1"/>
  <c r="I266" i="2"/>
  <c r="K102" i="2"/>
  <c r="K255" i="2"/>
  <c r="J255" i="2"/>
  <c r="H255" i="2" s="1"/>
  <c r="J21" i="2"/>
  <c r="H21" i="2" s="1"/>
  <c r="K21" i="2"/>
  <c r="I375" i="2"/>
  <c r="J92" i="2"/>
  <c r="H92" i="2" s="1"/>
  <c r="K92" i="2"/>
  <c r="I92" i="2"/>
  <c r="I246" i="2"/>
  <c r="K375" i="2"/>
  <c r="J20" i="2"/>
  <c r="K46" i="2" s="1"/>
  <c r="I411" i="2"/>
  <c r="I369" i="2"/>
  <c r="J401" i="2"/>
  <c r="H401" i="2" s="1"/>
  <c r="J322" i="2"/>
  <c r="H322" i="2" s="1"/>
  <c r="J246" i="2"/>
  <c r="I359" i="2"/>
  <c r="J265" i="2"/>
  <c r="K272" i="2" s="1"/>
  <c r="G272" i="2" s="1"/>
  <c r="I217" i="2"/>
  <c r="I40" i="2"/>
  <c r="K40" i="2"/>
  <c r="J40" i="2"/>
  <c r="H40" i="2" s="1"/>
  <c r="I253" i="2"/>
  <c r="J315" i="2"/>
  <c r="H315" i="2" s="1"/>
  <c r="I238" i="2"/>
  <c r="K152" i="2"/>
  <c r="I221" i="2"/>
  <c r="I46" i="2"/>
  <c r="J46" i="2"/>
  <c r="K48" i="2" s="1"/>
  <c r="K298" i="2"/>
  <c r="K112" i="2"/>
  <c r="J36" i="2"/>
  <c r="H36" i="2" s="1"/>
  <c r="I24" i="2"/>
  <c r="J33" i="2"/>
  <c r="G33" i="2" s="1"/>
  <c r="K4" i="2"/>
  <c r="J4" i="2"/>
  <c r="H4" i="2" s="1"/>
  <c r="I4" i="2"/>
  <c r="K105" i="2"/>
  <c r="I98" i="2"/>
  <c r="I291" i="2"/>
  <c r="K411" i="2"/>
  <c r="I119" i="2"/>
  <c r="J366" i="2"/>
  <c r="H366" i="2" s="1"/>
  <c r="J333" i="2"/>
  <c r="H333" i="2" s="1"/>
  <c r="K236" i="2"/>
  <c r="J236" i="2"/>
  <c r="H236" i="2" s="1"/>
  <c r="I236" i="2"/>
  <c r="I409" i="2"/>
  <c r="K322" i="2"/>
  <c r="I389" i="2"/>
  <c r="K359" i="2"/>
  <c r="J392" i="2"/>
  <c r="H392" i="2" s="1"/>
  <c r="I344" i="2"/>
  <c r="J195" i="2"/>
  <c r="I195" i="2"/>
  <c r="I28" i="2"/>
  <c r="J28" i="2"/>
  <c r="H28" i="2" s="1"/>
  <c r="K28" i="2"/>
  <c r="K123" i="2"/>
  <c r="J123" i="2"/>
  <c r="H123" i="2" s="1"/>
  <c r="I370" i="2"/>
  <c r="I177" i="2"/>
  <c r="I182" i="2"/>
  <c r="J221" i="2"/>
  <c r="H221" i="2" s="1"/>
  <c r="I160" i="2"/>
  <c r="I123" i="2"/>
  <c r="K22" i="2"/>
  <c r="J112" i="2"/>
  <c r="K144" i="2" s="1"/>
  <c r="J249" i="2"/>
  <c r="K265" i="2" s="1"/>
  <c r="I36" i="2"/>
  <c r="I96" i="2"/>
  <c r="K118" i="2"/>
  <c r="J118" i="2"/>
  <c r="K195" i="2" s="1"/>
  <c r="I118" i="2"/>
  <c r="J97" i="2"/>
  <c r="K147" i="2" s="1"/>
  <c r="G147" i="2" s="1"/>
  <c r="J194" i="2"/>
  <c r="J182" i="2"/>
  <c r="H182" i="2" s="1"/>
  <c r="J281" i="2"/>
  <c r="H281" i="2" s="1"/>
  <c r="J291" i="2"/>
  <c r="K294" i="2" s="1"/>
  <c r="K408" i="2"/>
  <c r="I408" i="2"/>
  <c r="I329" i="2"/>
  <c r="I254" i="2"/>
  <c r="K16" i="2"/>
  <c r="J16" i="2"/>
  <c r="H16" i="2" s="1"/>
  <c r="I16" i="2"/>
  <c r="K111" i="2"/>
  <c r="J111" i="2"/>
  <c r="H111" i="2" s="1"/>
  <c r="J304" i="2"/>
  <c r="H304" i="2" s="1"/>
  <c r="K238" i="2"/>
  <c r="I85" i="2"/>
  <c r="J383" i="2"/>
  <c r="H383" i="2" s="1"/>
  <c r="H235" i="2" l="1"/>
  <c r="K246" i="2"/>
  <c r="K249" i="2"/>
  <c r="G249" i="2" s="1"/>
  <c r="G222" i="2"/>
  <c r="H171" i="2"/>
  <c r="G294" i="2"/>
  <c r="K61" i="2"/>
  <c r="G61" i="2" s="1"/>
  <c r="G307" i="2"/>
  <c r="G387" i="2"/>
  <c r="G349" i="2"/>
  <c r="H343" i="2"/>
  <c r="K284" i="2"/>
  <c r="G284" i="2" s="1"/>
  <c r="H305" i="2"/>
  <c r="G305" i="2"/>
  <c r="G291" i="2"/>
  <c r="H265" i="2"/>
  <c r="G265" i="2"/>
  <c r="H246" i="2"/>
  <c r="G227" i="2"/>
  <c r="G201" i="2"/>
  <c r="G160" i="2"/>
  <c r="G194" i="2"/>
  <c r="H180" i="2"/>
  <c r="H186" i="2"/>
  <c r="G186" i="2"/>
  <c r="H154" i="2"/>
  <c r="H142" i="2"/>
  <c r="H136" i="2"/>
  <c r="G136" i="2"/>
  <c r="H134" i="2"/>
  <c r="G118" i="2"/>
  <c r="H112" i="2"/>
  <c r="H97" i="2"/>
  <c r="H96" i="2"/>
  <c r="H85" i="2"/>
  <c r="H46" i="2"/>
  <c r="G46" i="2"/>
  <c r="H33" i="2"/>
  <c r="H39" i="2"/>
  <c r="H20" i="2"/>
</calcChain>
</file>

<file path=xl/sharedStrings.xml><?xml version="1.0" encoding="utf-8"?>
<sst xmlns="http://schemas.openxmlformats.org/spreadsheetml/2006/main" count="979" uniqueCount="351">
  <si>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</si>
  <si>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</si>
  <si>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</si>
  <si>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</si>
  <si>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</si>
  <si>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</si>
  <si>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</si>
  <si>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</si>
  <si>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</si>
  <si>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</si>
  <si>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</si>
  <si>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27</t>
  </si>
  <si>
    <t>_</t>
  </si>
  <si>
    <t>find</t>
  </si>
  <si>
    <t>28 -Year Old Chef Found Dead at San Francisco Mall A 28 year old chef who had recently moved to San Francisco was found dead in the stairwell of a local mall this week .</t>
  </si>
  <si>
    <t>file://conllu/en/abcnews.199762.conllu#s1_0</t>
  </si>
  <si>
    <t>2</t>
  </si>
  <si>
    <t>10</t>
  </si>
  <si>
    <t>but?</t>
  </si>
  <si>
    <t>think (think say)</t>
  </si>
  <si>
    <t>But the victim 's brother says he ca n't think of anyone who would want to hurt him , saying , &amp;quot; Things were finally going well for him . &amp;quot;</t>
  </si>
  <si>
    <t>file://conllu/en/abcnews.199762.conllu#s2_0</t>
  </si>
  <si>
    <t>3</t>
  </si>
  <si>
    <t>11</t>
  </si>
  <si>
    <t>identify</t>
  </si>
  <si>
    <t>The body found at the Westfield Mall Wednesday morning was identified as 28 year old San Francisco resident Frank Galicia , the San Francisco Medical Examiner 's Office said .</t>
  </si>
  <si>
    <t>file://conllu/en/abcnews.199762.conllu#s3_0</t>
  </si>
  <si>
    <t>4</t>
  </si>
  <si>
    <t>6</t>
  </si>
  <si>
    <t>say</t>
  </si>
  <si>
    <t>The San Francisco Police Department said the death was ruled a homicide and an investigation is ongoing .</t>
  </si>
  <si>
    <t>file://conllu/en/abcnews.199762.conllu#s4_0</t>
  </si>
  <si>
    <t>5</t>
  </si>
  <si>
    <t>9</t>
  </si>
  <si>
    <t>tell</t>
  </si>
  <si>
    <t>The victim 's brother , Louis Galicia , told ABC station KGO in San Francisco that Frank , previously a line cook in Boston , had landed his dream job as line chef at San Francisco 's Sons &amp;amp; Daughters restaurant six months ago .</t>
  </si>
  <si>
    <t>file://conllu/en/abcnews.199762.conllu#s5_0</t>
  </si>
  <si>
    <t>7</t>
  </si>
  <si>
    <t>A spokesperson for Sons &amp;amp; Daughters said they were &amp;quot; shocked and devastated &amp;quot; by his death .</t>
  </si>
  <si>
    <t>file://conllu/en/abcnews.199762.conllu#s6_0</t>
  </si>
  <si>
    <t>24</t>
  </si>
  <si>
    <t>&amp;quot; We are a small team that operates like a close knit family and he will be dearly missed , &amp;quot; the spokesperson said .</t>
  </si>
  <si>
    <t>file://conllu/en/abcnews.199762.conllu#s7_0</t>
  </si>
  <si>
    <t>8</t>
  </si>
  <si>
    <t>and?</t>
  </si>
  <si>
    <t>be (be family)</t>
  </si>
  <si>
    <t>Our thoughts and condolences are with Frank 's family and friends at this difficult time .</t>
  </si>
  <si>
    <t>file://conllu/en/abcnews.199762.conllu#s8_0</t>
  </si>
  <si>
    <t>finally?</t>
  </si>
  <si>
    <t>Louis Galicia said Frank initially stayed in hostels , but recently , &amp;quot; Things were finally going well for him . &amp;quot;</t>
  </si>
  <si>
    <t>file://conllu/en/abcnews.199762.conllu#s9_0</t>
  </si>
  <si>
    <t>find (find tell)</t>
  </si>
  <si>
    <t>&amp;quot; He found an apartment , he was dating a girl , &amp;quot; Louis Galicia told KGO .</t>
  </si>
  <si>
    <t>file://conllu/en/abcnews.199762.conllu#s10_0</t>
  </si>
  <si>
    <t>Louis Galicia said he could not think of anyone who would want to hurt his younger brother .</t>
  </si>
  <si>
    <t>file://conllu/en/abcnews.199762.conllu#s11_0</t>
  </si>
  <si>
    <t>12</t>
  </si>
  <si>
    <t>be (be spirit)</t>
  </si>
  <si>
    <t>He was a kind spirit with a big heart .</t>
  </si>
  <si>
    <t>file://conllu/en/abcnews.199762.conllu#s12_0</t>
  </si>
  <si>
    <t>13</t>
  </si>
  <si>
    <t>22</t>
  </si>
  <si>
    <t>His way of connecting with the family was always making us a dish , making us dinner , &amp;quot; Louis Galicia said .</t>
  </si>
  <si>
    <t>file://conllu/en/abcnews.199762.conllu#s13_0</t>
  </si>
  <si>
    <t>14</t>
  </si>
  <si>
    <t>want</t>
  </si>
  <si>
    <t>He never wanted to be in any kind of altercation .</t>
  </si>
  <si>
    <t>file://conllu/en/abcnews.199762.conllu#s14_0</t>
  </si>
  <si>
    <t>15</t>
  </si>
  <si>
    <t>be (be brother)</t>
  </si>
  <si>
    <t>He was the brother that went with the flow .</t>
  </si>
  <si>
    <t>file://conllu/en/abcnews.199762.conllu#s15_0</t>
  </si>
  <si>
    <t>16</t>
  </si>
  <si>
    <t>29</t>
  </si>
  <si>
    <t>&amp;quot; With everything else that 's going wrong with the world , he was that diamond in the rough that was shining bright every day , &amp;quot; he said .</t>
  </si>
  <si>
    <t>file://conllu/en/abcnews.199762.conllu#s16_0</t>
  </si>
  <si>
    <t>17</t>
  </si>
  <si>
    <t>ask</t>
  </si>
  <si>
    <t>Anyone with information is asked to call the SFPD Tip Line at 415-575-4444 .</t>
  </si>
  <si>
    <t>file://conllu/en/abcnews.199762.conllu#s17_0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</si>
  <si>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</si>
  <si>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</si>
  <si>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</si>
  <si>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</si>
  <si>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</si>
  <si>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</si>
  <si>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</si>
  <si>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</si>
  <si>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</si>
  <si>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</si>
  <si>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</si>
  <si>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28-Year-Old Chef Found Dead at San Francisco Mall A 28-year-old chef who had recently moved to San Francisco was found dead in the stairwell of a local mall this week.</t>
  </si>
  <si>
    <t>28</t>
  </si>
  <si>
    <t>-Year</t>
  </si>
  <si>
    <t>SBJ</t>
  </si>
  <si>
    <t>indef-np.quant</t>
  </si>
  <si>
    <t>Old</t>
  </si>
  <si>
    <t>Chef</t>
  </si>
  <si>
    <t>Found</t>
  </si>
  <si>
    <t>SBJ_3</t>
  </si>
  <si>
    <t>ne</t>
  </si>
  <si>
    <t>?OLD</t>
  </si>
  <si>
    <t>Dead</t>
  </si>
  <si>
    <t>at</t>
  </si>
  <si>
    <t>San</t>
  </si>
  <si>
    <t>other_3</t>
  </si>
  <si>
    <t>Francisco</t>
  </si>
  <si>
    <t>Mall</t>
  </si>
  <si>
    <t>A</t>
  </si>
  <si>
    <t>year</t>
  </si>
  <si>
    <t>other_6</t>
  </si>
  <si>
    <t>old</t>
  </si>
  <si>
    <t>chef</t>
  </si>
  <si>
    <t>other_4</t>
  </si>
  <si>
    <t>indef-np.a</t>
  </si>
  <si>
    <t>who</t>
  </si>
  <si>
    <t>SBJ_6</t>
  </si>
  <si>
    <t>had</t>
  </si>
  <si>
    <t>recently</t>
  </si>
  <si>
    <t>moved</t>
  </si>
  <si>
    <t>to</t>
  </si>
  <si>
    <t>was</t>
  </si>
  <si>
    <t>found</t>
  </si>
  <si>
    <t>dead</t>
  </si>
  <si>
    <t>in</t>
  </si>
  <si>
    <t>the</t>
  </si>
  <si>
    <t>stairwell</t>
  </si>
  <si>
    <t>other</t>
  </si>
  <si>
    <t>def-np.the</t>
  </si>
  <si>
    <t>of</t>
  </si>
  <si>
    <t>a</t>
  </si>
  <si>
    <t>local</t>
  </si>
  <si>
    <t>mall</t>
  </si>
  <si>
    <t>other_2</t>
  </si>
  <si>
    <t>this</t>
  </si>
  <si>
    <t>week</t>
  </si>
  <si>
    <t>def-np.dem</t>
  </si>
  <si>
    <t>.</t>
  </si>
  <si>
    <t>--</t>
  </si>
  <si>
    <t># text = But the victim's brother says he can't think of anyone who would want to hurt him, saying, \"Things were finally going well for him.\"</t>
  </si>
  <si>
    <t>But</t>
  </si>
  <si>
    <t>victim</t>
  </si>
  <si>
    <t>'s</t>
  </si>
  <si>
    <t>brother</t>
  </si>
  <si>
    <t>def-np.poss</t>
  </si>
  <si>
    <t>says</t>
  </si>
  <si>
    <t>he</t>
  </si>
  <si>
    <t>SBJ_2</t>
  </si>
  <si>
    <t>pron.pper</t>
  </si>
  <si>
    <t>ca</t>
  </si>
  <si>
    <t>n't</t>
  </si>
  <si>
    <t>think</t>
  </si>
  <si>
    <t>anyone</t>
  </si>
  <si>
    <t>pron.pind</t>
  </si>
  <si>
    <t>SBJ_4</t>
  </si>
  <si>
    <t>would</t>
  </si>
  <si>
    <t>hurt</t>
  </si>
  <si>
    <t>him</t>
  </si>
  <si>
    <t>OBJ_5</t>
  </si>
  <si>
    <t>,</t>
  </si>
  <si>
    <t>saying</t>
  </si>
  <si>
    <t>&amp;quot;</t>
  </si>
  <si>
    <t>Things</t>
  </si>
  <si>
    <t>OBJ_2</t>
  </si>
  <si>
    <t>indef-np.bare</t>
  </si>
  <si>
    <t>were</t>
  </si>
  <si>
    <t>finally</t>
  </si>
  <si>
    <t>going</t>
  </si>
  <si>
    <t>well</t>
  </si>
  <si>
    <t>for</t>
  </si>
  <si>
    <t># text = The body found at the Westfield Mall Wednesday morning was identified as 28-year-old San Francisco resident Frank Galicia, the San Francisco Medical Examiner's Office said.</t>
  </si>
  <si>
    <t>The</t>
  </si>
  <si>
    <t>body</t>
  </si>
  <si>
    <t>Westfield</t>
  </si>
  <si>
    <t>Wednesday</t>
  </si>
  <si>
    <t>morning</t>
  </si>
  <si>
    <t>identified</t>
  </si>
  <si>
    <t>as</t>
  </si>
  <si>
    <t>resident</t>
  </si>
  <si>
    <t>Frank</t>
  </si>
  <si>
    <t>Galicia</t>
  </si>
  <si>
    <t>Medical</t>
  </si>
  <si>
    <t>Examiner</t>
  </si>
  <si>
    <t>Office</t>
  </si>
  <si>
    <t>said</t>
  </si>
  <si>
    <t># text = The San Francisco Police Department said the death was ruled a homicide and an investigation is ongoing.</t>
  </si>
  <si>
    <t>Police</t>
  </si>
  <si>
    <t>Department</t>
  </si>
  <si>
    <t>death</t>
  </si>
  <si>
    <t>ruled</t>
  </si>
  <si>
    <t>homicide</t>
  </si>
  <si>
    <t>and</t>
  </si>
  <si>
    <t>an</t>
  </si>
  <si>
    <t>investigation</t>
  </si>
  <si>
    <t>is</t>
  </si>
  <si>
    <t>ongoing</t>
  </si>
  <si>
    <t># text = The victim's brother, Louis Galicia, told ABC station KGO in San Francisco that Frank, previously a line cook in Boston, had landed his dream job as line chef at San Francisco's Sons &amp; Daughters restaurant six months ago.</t>
  </si>
  <si>
    <t>Louis</t>
  </si>
  <si>
    <t>told</t>
  </si>
  <si>
    <t>ABC</t>
  </si>
  <si>
    <t>station</t>
  </si>
  <si>
    <t>KGO</t>
  </si>
  <si>
    <t>that</t>
  </si>
  <si>
    <t>previously</t>
  </si>
  <si>
    <t>line</t>
  </si>
  <si>
    <t>cook</t>
  </si>
  <si>
    <t>Boston</t>
  </si>
  <si>
    <t>landed</t>
  </si>
  <si>
    <t>his</t>
  </si>
  <si>
    <t>pron.ppos</t>
  </si>
  <si>
    <t>dream</t>
  </si>
  <si>
    <t>job</t>
  </si>
  <si>
    <t>Sons</t>
  </si>
  <si>
    <t>&amp;amp;</t>
  </si>
  <si>
    <t>Daughters</t>
  </si>
  <si>
    <t>restaurant</t>
  </si>
  <si>
    <t>six</t>
  </si>
  <si>
    <t>months</t>
  </si>
  <si>
    <t>ago</t>
  </si>
  <si>
    <t># text = A spokesperson for Sons &amp; Daughters said they were "shocked and devastated" by his death.</t>
  </si>
  <si>
    <t>spokesperson</t>
  </si>
  <si>
    <t>they</t>
  </si>
  <si>
    <t>shocked</t>
  </si>
  <si>
    <t>devastated</t>
  </si>
  <si>
    <t>by</t>
  </si>
  <si>
    <t># text = \"We are a small team that operates like a close knit family and he will be dearly missed,\" the spokesperson said.</t>
  </si>
  <si>
    <t>We</t>
  </si>
  <si>
    <t>are</t>
  </si>
  <si>
    <t>small</t>
  </si>
  <si>
    <t>team</t>
  </si>
  <si>
    <t>operates</t>
  </si>
  <si>
    <t>like</t>
  </si>
  <si>
    <t>close</t>
  </si>
  <si>
    <t>knit</t>
  </si>
  <si>
    <t>family</t>
  </si>
  <si>
    <t>will</t>
  </si>
  <si>
    <t>be</t>
  </si>
  <si>
    <t>dearly</t>
  </si>
  <si>
    <t>missed</t>
  </si>
  <si>
    <t># text = Our thoughts and condolences are with Frank's family and friends at this difficult time.</t>
  </si>
  <si>
    <t>Our</t>
  </si>
  <si>
    <t>thoughts</t>
  </si>
  <si>
    <t>condolences</t>
  </si>
  <si>
    <t>with</t>
  </si>
  <si>
    <t>friends</t>
  </si>
  <si>
    <t>difficult</t>
  </si>
  <si>
    <t>time</t>
  </si>
  <si>
    <t># text = Louis Galicia said Frank initially stayed in hostels, but recently, \"Things were finally going well for him.\"</t>
  </si>
  <si>
    <t>initially</t>
  </si>
  <si>
    <t>stayed</t>
  </si>
  <si>
    <t>hostels</t>
  </si>
  <si>
    <t>but</t>
  </si>
  <si>
    <t># text = \"He found an apartment, he was dating a girl,\" Louis Galicia told KGO.</t>
  </si>
  <si>
    <t>He</t>
  </si>
  <si>
    <t>apartment</t>
  </si>
  <si>
    <t>dating</t>
  </si>
  <si>
    <t>girl</t>
  </si>
  <si>
    <t>OBJ_3</t>
  </si>
  <si>
    <t>OBJ</t>
  </si>
  <si>
    <t># text = Louis Galicia said he could not think of anyone who would want to hurt his younger brother.</t>
  </si>
  <si>
    <t>could</t>
  </si>
  <si>
    <t>not</t>
  </si>
  <si>
    <t>younger</t>
  </si>
  <si>
    <t># text = He was a kind spirit with a big heart.</t>
  </si>
  <si>
    <t>kind</t>
  </si>
  <si>
    <t>spirit</t>
  </si>
  <si>
    <t>big</t>
  </si>
  <si>
    <t>heart</t>
  </si>
  <si>
    <t># text = His way of connecting with the family was always making us a dish, making us dinner," Louis Galicia said.</t>
  </si>
  <si>
    <t>His</t>
  </si>
  <si>
    <t>way</t>
  </si>
  <si>
    <t>connecting</t>
  </si>
  <si>
    <t>always</t>
  </si>
  <si>
    <t>making</t>
  </si>
  <si>
    <t>us</t>
  </si>
  <si>
    <t>dish</t>
  </si>
  <si>
    <t>dinner</t>
  </si>
  <si>
    <t># text = He never wanted to be in any kind of altercation.</t>
  </si>
  <si>
    <t>never</t>
  </si>
  <si>
    <t>wanted</t>
  </si>
  <si>
    <t>any</t>
  </si>
  <si>
    <t>altercation</t>
  </si>
  <si>
    <t># text = He was the brother that went with the flow.</t>
  </si>
  <si>
    <t>went</t>
  </si>
  <si>
    <t>flow</t>
  </si>
  <si>
    <t># text = "With everything else that's going wrong with the world, he was that diamond in the rough that was shining bright every day," he said.</t>
  </si>
  <si>
    <t>With</t>
  </si>
  <si>
    <t>everything</t>
  </si>
  <si>
    <t>pron</t>
  </si>
  <si>
    <t>else</t>
  </si>
  <si>
    <t>wrong</t>
  </si>
  <si>
    <t>world</t>
  </si>
  <si>
    <t>other_5</t>
  </si>
  <si>
    <t>diamond</t>
  </si>
  <si>
    <t>rough</t>
  </si>
  <si>
    <t>shining</t>
  </si>
  <si>
    <t>bright</t>
  </si>
  <si>
    <t>every</t>
  </si>
  <si>
    <t>day</t>
  </si>
  <si>
    <t>indef-np</t>
  </si>
  <si>
    <t># text = Anyone with information is asked to call the SFPD Tip Line at 415-575-4444.</t>
  </si>
  <si>
    <t>Anyone</t>
  </si>
  <si>
    <t>information</t>
  </si>
  <si>
    <t>asked</t>
  </si>
  <si>
    <t>call</t>
  </si>
  <si>
    <t>SFPD</t>
  </si>
  <si>
    <t>Tip</t>
  </si>
  <si>
    <t>Line</t>
  </si>
  <si>
    <t>415-575-4444</t>
  </si>
  <si>
    <t xml:space="preserve"># the end of the title (capital letters) </t>
  </si>
  <si>
    <t>frank_galicia</t>
  </si>
  <si>
    <t>san_francisko</t>
  </si>
  <si>
    <t>FAMILIAR</t>
  </si>
  <si>
    <t>SIT</t>
  </si>
  <si>
    <t>this_week</t>
  </si>
  <si>
    <t>REFERENTIAL</t>
  </si>
  <si>
    <t>westfield_mall</t>
  </si>
  <si>
    <t>CAT</t>
  </si>
  <si>
    <t xml:space="preserve">frank_galicia </t>
  </si>
  <si>
    <t># parser error</t>
  </si>
  <si>
    <t>UNIQUE</t>
  </si>
  <si>
    <t xml:space="preserve">REFERENTIAL </t>
  </si>
  <si>
    <t>wednesday_morning</t>
  </si>
  <si>
    <t>san_francisco</t>
  </si>
  <si>
    <t>OLD</t>
  </si>
  <si>
    <t>medical_examiners_office</t>
  </si>
  <si>
    <t xml:space="preserve"># parser error, devided "examiner's" </t>
  </si>
  <si>
    <t>IN_FOCUS</t>
  </si>
  <si>
    <t>police_department</t>
  </si>
  <si>
    <t>death_of_galicia</t>
  </si>
  <si>
    <t>louis_galicia</t>
  </si>
  <si>
    <t xml:space="preserve"># KGO Radio (a San Francisco talk radio station) </t>
  </si>
  <si>
    <t>boston</t>
  </si>
  <si>
    <t>dream_job</t>
  </si>
  <si>
    <t>BOUND</t>
  </si>
  <si>
    <t>sons_and_daughters_restaurant</t>
  </si>
  <si>
    <t>spokesperson_for_restaurant</t>
  </si>
  <si>
    <t>IDIOM</t>
  </si>
  <si>
    <t>galicias_family</t>
  </si>
  <si>
    <t>GEN</t>
  </si>
  <si>
    <t>#something with great potential, but not yet refined, polished, or developed</t>
  </si>
  <si>
    <t># Hotline phone number</t>
  </si>
  <si>
    <t>NEW</t>
  </si>
  <si>
    <t># can be PRED?</t>
  </si>
  <si>
    <t xml:space="preserve"># parser error, did not recognise a Proper name </t>
  </si>
  <si>
    <t>ACTIVATED</t>
  </si>
  <si>
    <t># official institutional name, and in this context it refers to one specific organization</t>
  </si>
  <si>
    <t># CAT because we dont know the name YET</t>
  </si>
  <si>
    <t># premodifier of the restaurant name? Or parser error</t>
  </si>
  <si>
    <t xml:space="preserve"># FAM because we have only one such restaurant </t>
  </si>
  <si>
    <t># describing exacly the type of his 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</si>
</sst>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3" sqref="E3"/>
    </sheetView>
  </sheetViews>
  <sheetFormatPr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8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tr">
        <f t="shared" si="0"/>
        <v>but?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28</v>
      </c>
      <c r="B7" s="6" t="s">
        <v>37</v>
      </c>
      <c r="C7" s="6" t="s">
        <v>12</v>
      </c>
      <c r="D7" s="7" t="s">
        <v>29</v>
      </c>
      <c r="E7" s="8" t="s">
        <v>38</v>
      </c>
      <c r="F7" s="6" t="s">
        <v>39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37</v>
      </c>
      <c r="B8" s="6" t="s">
        <v>40</v>
      </c>
      <c r="C8" s="6" t="s">
        <v>12</v>
      </c>
      <c r="D8" s="7" t="s">
        <v>29</v>
      </c>
      <c r="E8" s="8" t="s">
        <v>41</v>
      </c>
      <c r="F8" s="6" t="s">
        <v>42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43</v>
      </c>
      <c r="B9" s="6" t="s">
        <v>32</v>
      </c>
      <c r="C9" s="6" t="s">
        <v>44</v>
      </c>
      <c r="D9" s="7" t="s">
        <v>45</v>
      </c>
      <c r="E9" s="8" t="s">
        <v>46</v>
      </c>
      <c r="F9" s="6" t="s">
        <v>47</v>
      </c>
      <c r="G9" s="9" t="str">
        <f t="shared" si="0"/>
        <v>and?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33</v>
      </c>
      <c r="B10" s="6" t="s">
        <v>22</v>
      </c>
      <c r="C10" s="6" t="s">
        <v>48</v>
      </c>
      <c r="D10" s="7" t="s">
        <v>29</v>
      </c>
      <c r="E10" s="8" t="s">
        <v>49</v>
      </c>
      <c r="F10" s="6" t="s">
        <v>50</v>
      </c>
      <c r="G10" s="9" t="str">
        <f t="shared" si="0"/>
        <v>finally?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17</v>
      </c>
      <c r="B11" s="6" t="s">
        <v>22</v>
      </c>
      <c r="C11" s="6" t="s">
        <v>12</v>
      </c>
      <c r="D11" s="7" t="s">
        <v>51</v>
      </c>
      <c r="E11" s="8" t="s">
        <v>52</v>
      </c>
      <c r="F11" s="6" t="s">
        <v>53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23</v>
      </c>
      <c r="B12" s="6" t="s">
        <v>37</v>
      </c>
      <c r="C12" s="6" t="s">
        <v>12</v>
      </c>
      <c r="D12" s="7" t="s">
        <v>19</v>
      </c>
      <c r="E12" s="8" t="s">
        <v>54</v>
      </c>
      <c r="F12" s="6" t="s">
        <v>55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60</v>
      </c>
      <c r="B14" s="6" t="s">
        <v>61</v>
      </c>
      <c r="C14" s="6" t="s">
        <v>12</v>
      </c>
      <c r="D14" s="7" t="s">
        <v>29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22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73</v>
      </c>
      <c r="C17" s="6" t="s">
        <v>12</v>
      </c>
      <c r="D17" s="7" t="s">
        <v>29</v>
      </c>
      <c r="E17" s="8" t="s">
        <v>74</v>
      </c>
      <c r="F17" s="6" t="s">
        <v>75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76</v>
      </c>
      <c r="B18" s="6" t="s">
        <v>32</v>
      </c>
      <c r="C18" s="6" t="s">
        <v>12</v>
      </c>
      <c r="D18" s="7" t="s">
        <v>77</v>
      </c>
      <c r="E18" s="8" t="s">
        <v>78</v>
      </c>
      <c r="F18" s="6" t="s">
        <v>79</v>
      </c>
      <c r="G18" s="9" t="str">
        <f t="shared" si="0"/>
        <v>???</v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0"/>
  <sheetViews>
    <sheetView tabSelected="1" zoomScale="84" workbookViewId="0">
      <pane xSplit="1" ySplit="1" topLeftCell="C284" activePane="bottomRight" state="frozen"/>
      <selection pane="topRight" activeCell="B1" sqref="B1"/>
      <selection pane="bottomLeft" activeCell="A2" sqref="A2"/>
      <selection pane="bottomRight" activeCell="G390" sqref="G390"/>
    </sheetView>
  </sheetViews>
  <sheetFormatPr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80</v>
      </c>
      <c r="B1" s="13" t="s">
        <v>81</v>
      </c>
      <c r="C1" s="13" t="s">
        <v>82</v>
      </c>
      <c r="D1" s="13" t="s">
        <v>83</v>
      </c>
      <c r="E1" s="14" t="s">
        <v>84</v>
      </c>
      <c r="F1" s="15" t="s">
        <v>85</v>
      </c>
      <c r="G1" s="16" t="s">
        <v>86</v>
      </c>
      <c r="H1" s="17" t="s">
        <v>87</v>
      </c>
      <c r="I1" s="18" t="s">
        <v>88</v>
      </c>
      <c r="J1" s="18" t="s">
        <v>89</v>
      </c>
      <c r="K1" s="18" t="s">
        <v>90</v>
      </c>
      <c r="L1" s="19" t="s">
        <v>9</v>
      </c>
    </row>
    <row r="2" spans="1:12" x14ac:dyDescent="0.3">
      <c r="A2" t="s">
        <v>91</v>
      </c>
    </row>
    <row r="3" spans="1:12" x14ac:dyDescent="0.3">
      <c r="A3" t="s">
        <v>92</v>
      </c>
      <c r="E3" s="20" t="str">
        <f t="shared" ref="E3:E40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40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93</v>
      </c>
      <c r="B4" s="26"/>
      <c r="C4" s="26"/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12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96</v>
      </c>
      <c r="E6" s="20"/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97</v>
      </c>
      <c r="E7" s="20"/>
      <c r="F7" s="21" t="str">
        <f>IF(OR(E7="",E7="!!!"),"",IF(NOT(ISNA(VLOOKUP(E7,E$1:E6,1,FALSE()))),"OLD",IF(AND(E7&lt;&gt;"",E7&lt;&gt;"!!!"),"NEW","")))</f>
        <v/>
      </c>
      <c r="G7" s="22"/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98</v>
      </c>
      <c r="B8" s="26"/>
      <c r="C8" s="26"/>
      <c r="D8" s="26"/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102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103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104</v>
      </c>
      <c r="B11" s="26"/>
      <c r="C11" s="26"/>
      <c r="D11" s="26"/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106</v>
      </c>
      <c r="E12" s="20" t="str">
        <f t="shared" si="0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107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 t="s">
        <v>309</v>
      </c>
    </row>
    <row r="14" spans="1:12" x14ac:dyDescent="0.3">
      <c r="A14" t="s">
        <v>108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92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12</v>
      </c>
      <c r="E16" s="20" t="str">
        <f t="shared" si="0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1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109</v>
      </c>
      <c r="B17" s="26" t="s">
        <v>110</v>
      </c>
      <c r="C17" s="26" t="s">
        <v>95</v>
      </c>
      <c r="E17" s="20" t="str">
        <f t="shared" si="0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1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12</v>
      </c>
      <c r="E18" s="20" t="str">
        <f t="shared" si="0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111</v>
      </c>
      <c r="E19" s="20" t="str">
        <f t="shared" si="0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1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112</v>
      </c>
      <c r="B20" s="26" t="s">
        <v>113</v>
      </c>
      <c r="C20" s="26" t="s">
        <v>114</v>
      </c>
      <c r="E20" s="20" t="s">
        <v>310</v>
      </c>
      <c r="F20" s="21" t="s">
        <v>317</v>
      </c>
      <c r="G20" s="22" t="s">
        <v>315</v>
      </c>
      <c r="H20" s="23" t="str">
        <f t="shared" ca="1" si="1"/>
        <v/>
      </c>
      <c r="I20" s="24" t="e">
        <f>IF(OR(E20="",E20="!!!",F20="NEW"),"",INDEX(B$2:B19,-1+SUMPRODUCT(MAX(ROW(E$2:E19)*(E20=E$2:E19)))))</f>
        <v>#VALUE!</v>
      </c>
      <c r="J20" s="24">
        <f ca="1">IF(OR(E20="",E20="!!!",F20="NEW"),"",COUNTBLANK(OFFSET(A$1,,,SUMPRODUCT(MAX(ROW(E$2:E20)*(E20=E$2:E20)))))-COUNTBLANK(OFFSET(A$1,,,SUMPRODUCT(MAX(ROW(E$1:E19)*(E2=E$1:E19))))))</f>
        <v>0</v>
      </c>
      <c r="K20" s="24" t="e">
        <f>IF(OR(E20="",E20="!!!",F20="NEW"),"",INDEX(J$1:J19,SUMPRODUCT(MAX(ROW(E$1:E19)*(E20=E$1:E19)))))</f>
        <v>#VALUE!</v>
      </c>
      <c r="L20" s="25" t="s">
        <v>347</v>
      </c>
    </row>
    <row r="21" spans="1:12" x14ac:dyDescent="0.3">
      <c r="A21" t="s">
        <v>115</v>
      </c>
      <c r="B21" s="26" t="s">
        <v>116</v>
      </c>
      <c r="E21" s="20" t="str">
        <f t="shared" si="0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1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117</v>
      </c>
      <c r="E22" s="20" t="str">
        <f t="shared" si="0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1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118</v>
      </c>
      <c r="E23" s="20" t="str">
        <f t="shared" si="0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1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119</v>
      </c>
      <c r="E24" s="20" t="str">
        <f t="shared" si="0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1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120</v>
      </c>
      <c r="E25" s="20" t="str">
        <f t="shared" si="0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1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104</v>
      </c>
      <c r="B26" s="26" t="s">
        <v>110</v>
      </c>
      <c r="C26" s="26" t="s">
        <v>100</v>
      </c>
      <c r="D26" s="26" t="s">
        <v>101</v>
      </c>
      <c r="E26" s="20" t="s">
        <v>311</v>
      </c>
      <c r="F26" s="21" t="str">
        <f>IF(OR(E26="",E26="!!!"),"",IF(NOT(ISNA(VLOOKUP(E26,E$1:E25,1,FALSE()))),"OLD",IF(AND(E26&lt;&gt;"",E26&lt;&gt;"!!!"),"NEW","")))</f>
        <v>NEW</v>
      </c>
      <c r="G26" s="22" t="s">
        <v>312</v>
      </c>
      <c r="H26" s="23" t="str">
        <f t="shared" ca="1" si="1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106</v>
      </c>
      <c r="E27" s="20" t="str">
        <f t="shared" si="0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1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121</v>
      </c>
      <c r="E28" s="20" t="str">
        <f t="shared" si="0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1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122</v>
      </c>
      <c r="E29" s="20" t="str">
        <f t="shared" si="0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1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123</v>
      </c>
      <c r="E30" s="20" t="str">
        <f t="shared" si="0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1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124</v>
      </c>
      <c r="E31" s="20" t="str">
        <f t="shared" si="0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1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125</v>
      </c>
      <c r="E32" s="20" t="str">
        <f t="shared" si="0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1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126</v>
      </c>
      <c r="B33" s="26" t="s">
        <v>127</v>
      </c>
      <c r="C33" s="26" t="s">
        <v>128</v>
      </c>
      <c r="D33" s="26" t="s">
        <v>101</v>
      </c>
      <c r="E33" s="20" t="s">
        <v>126</v>
      </c>
      <c r="F33" s="21" t="str">
        <f>IF(OR(E33="",E33="!!!"),"",IF(NOT(ISNA(VLOOKUP(E33,E$1:E32,1,FALSE()))),"OLD",IF(AND(E33&lt;&gt;"",E33&lt;&gt;"!!!"),"NEW","")))</f>
        <v>NEW</v>
      </c>
      <c r="G33" s="22" t="str">
        <f ca="1">IF(OR(E33="",E33="!!!"),"",IF(OR(J33=0,AND(J33=1,K33=1),AND(J33=1,I33="SBJ"),AND(J33=1,I33=0)),"?IN_FOCUS",IF(J33&lt;=2,"?ACTIVATED",IF(J33&lt;&gt;"","?FAMILIAR",IF(F33="NEW",IF(ISNA(VLOOKUP(E33,#REF!,1,FALSE())),"?TYPE_IDENTIFIABLE","?REFERENTIAL"),"_")))))</f>
        <v>?REFERENTIAL</v>
      </c>
      <c r="H33" s="23" t="str">
        <f t="shared" ca="1" si="1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129</v>
      </c>
      <c r="E34" s="20" t="str">
        <f t="shared" si="0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1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130</v>
      </c>
      <c r="E35" s="20" t="str">
        <f t="shared" si="0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1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131</v>
      </c>
      <c r="E36" s="20" t="str">
        <f t="shared" si="0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1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132</v>
      </c>
      <c r="B37" s="26" t="s">
        <v>133</v>
      </c>
      <c r="C37" s="26" t="s">
        <v>114</v>
      </c>
      <c r="E37" s="20" t="s">
        <v>316</v>
      </c>
      <c r="F37" s="21" t="s">
        <v>342</v>
      </c>
      <c r="G37" s="22" t="s">
        <v>315</v>
      </c>
      <c r="H37" s="23" t="str">
        <f t="shared" ca="1" si="1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134</v>
      </c>
      <c r="E38" s="20" t="str">
        <f t="shared" si="0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1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135</v>
      </c>
      <c r="B39" s="26" t="s">
        <v>127</v>
      </c>
      <c r="C39" s="26" t="s">
        <v>136</v>
      </c>
      <c r="D39" s="26" t="s">
        <v>101</v>
      </c>
      <c r="E39" s="20" t="s">
        <v>314</v>
      </c>
      <c r="F39" s="21" t="s">
        <v>313</v>
      </c>
      <c r="G39" s="22" t="s">
        <v>315</v>
      </c>
      <c r="H39" s="23" t="str">
        <f t="shared" ca="1" si="1"/>
        <v/>
      </c>
      <c r="I39" s="24" t="e">
        <f>IF(OR(E39="",E39="!!!",F39="NEW"),"",INDEX(B$2:B38,-1+SUMPRODUCT(MAX(ROW(E$2:E38)*(E39=E$2:E38)))))</f>
        <v>#VALUE!</v>
      </c>
      <c r="J39" s="24">
        <f ca="1">IF(OR(E39="",E39="!!!",F39="NEW"),"",COUNTBLANK(OFFSET(A$1,,,SUMPRODUCT(MAX(ROW(E$2:E39)*(E39=E$2:E39)))))-COUNTBLANK(OFFSET(A$1,,,SUMPRODUCT(MAX(ROW(E$1:E38)*(E2=E$1:E38))))))</f>
        <v>0</v>
      </c>
      <c r="K39" s="24" t="e">
        <f>IF(OR(E39="",E39="!!!",F39="NEW"),"",INDEX(J$1:J38,SUMPRODUCT(MAX(ROW(E$1:E38)*(E39=E$1:E38)))))</f>
        <v>#VALUE!</v>
      </c>
      <c r="L39" s="25"/>
    </row>
    <row r="40" spans="1:12" x14ac:dyDescent="0.3">
      <c r="A40" t="s">
        <v>137</v>
      </c>
      <c r="E40" s="20" t="str">
        <f t="shared" si="0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1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2" spans="1:12" x14ac:dyDescent="0.3">
      <c r="A42" t="s">
        <v>138</v>
      </c>
      <c r="E42" s="20" t="str">
        <f>IF(D42="?OLD","!!!","")</f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ca="1">IF(J42&lt;&gt;1,"",IF(I42="SBJ","CB","?"))</f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139</v>
      </c>
    </row>
    <row r="44" spans="1:12" x14ac:dyDescent="0.3">
      <c r="A44" t="s">
        <v>140</v>
      </c>
      <c r="E44" s="20" t="str">
        <f t="shared" ref="E44:E74" si="2">IF(D44="?OLD","!!!","")</f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ref="H44:H74" ca="1" si="3">IF(J44&lt;&gt;1,"",IF(I44="SBJ","CB","?"))</f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125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141</v>
      </c>
      <c r="B46" s="26" t="s">
        <v>133</v>
      </c>
      <c r="C46" s="26" t="s">
        <v>128</v>
      </c>
      <c r="D46" s="26" t="s">
        <v>101</v>
      </c>
      <c r="E46" s="20" t="s">
        <v>310</v>
      </c>
      <c r="F46" s="21" t="str">
        <f>IF(OR(E46="",E46="!!!"),"",IF(NOT(ISNA(VLOOKUP(E46,E$1:E45,1,FALSE()))),"OLD",IF(AND(E46&lt;&gt;"",E46&lt;&gt;"!!!"),"NEW","")))</f>
        <v>OLD</v>
      </c>
      <c r="G46" s="22" t="str">
        <f ca="1">IF(OR(E46="",E46="!!!"),"",IF(OR(J46=0,AND(J46=1,K46=1),AND(J46=1,I46="SBJ"),AND(J46=1,I46=0)),"?IN_FOCUS",IF(J46&lt;=2,"?ACTIVATED",IF(J46&lt;&gt;"","?FAMILIAR",IF(F46="NEW",IF(ISNA(VLOOKUP(E46,#REF!,1,FALSE())),"?TYPE_IDENTIFIABLE","?REFERENTIAL"),"_")))))</f>
        <v>?IN_FOCUS</v>
      </c>
      <c r="H46" s="23" t="str">
        <f t="shared" ca="1" si="3"/>
        <v/>
      </c>
      <c r="I46" s="24" t="str">
        <f>IF(OR(E46="",E46="!!!",F46="NEW"),"",INDEX(B$2:B45,-1+SUMPRODUCT(MAX(ROW(E$2:E45)*(E46=E$2:E45)))))</f>
        <v>other_4</v>
      </c>
      <c r="J46" s="24">
        <f ca="1">IF(OR(E46="",E46="!!!",F46="NEW"),"",COUNTBLANK(OFFSET(A$1,,,SUMPRODUCT(MAX(ROW(E$2:E46)*(E46=E$2:E46)))))-COUNTBLANK(OFFSET(A$1,,,SUMPRODUCT(MAX(ROW(E$1:E45)*(E2=E$1:E45))))))</f>
        <v>0</v>
      </c>
      <c r="K46" s="24">
        <f ca="1">IF(OR(E46="",E46="!!!",F46="NEW"),"",INDEX(J$1:J45,SUMPRODUCT(MAX(ROW(E$1:E45)*(E46=E$1:E45)))))</f>
        <v>0</v>
      </c>
      <c r="L46" s="25"/>
    </row>
    <row r="47" spans="1:12" x14ac:dyDescent="0.3">
      <c r="A47" t="s">
        <v>142</v>
      </c>
      <c r="E47" s="20" t="str">
        <f t="shared" si="2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 t="s">
        <v>319</v>
      </c>
    </row>
    <row r="48" spans="1:12" x14ac:dyDescent="0.3">
      <c r="A48" t="s">
        <v>143</v>
      </c>
      <c r="B48" s="26" t="s">
        <v>94</v>
      </c>
      <c r="C48" s="26" t="s">
        <v>144</v>
      </c>
      <c r="D48" s="26" t="s">
        <v>101</v>
      </c>
      <c r="E48" s="20" t="s">
        <v>330</v>
      </c>
      <c r="F48" s="21" t="s">
        <v>317</v>
      </c>
      <c r="G48" s="22" t="s">
        <v>320</v>
      </c>
      <c r="H48" s="23"/>
      <c r="I48" s="24" t="e">
        <f>IF(OR(E48="",E48="!!!",F48="NEW"),"",INDEX(B$2:B47,-1+SUMPRODUCT(MAX(ROW(E$2:E47)*(E48=E$2:E47)))))</f>
        <v>#VALUE!</v>
      </c>
      <c r="J48" s="24">
        <f ca="1">IF(OR(E48="",E48="!!!",F48="NEW"),"",COUNTBLANK(OFFSET(A$1,,,SUMPRODUCT(MAX(ROW(E$2:E48)*(E48=E$2:E48)))))-COUNTBLANK(OFFSET(A$1,,,SUMPRODUCT(MAX(ROW(E$1:E47)*(E2=E$1:E47))))))</f>
        <v>0</v>
      </c>
      <c r="K48" s="24" t="e">
        <f>IF(OR(E48="",E48="!!!",F48="NEW"),"",INDEX(J$1:J47,SUMPRODUCT(MAX(ROW(E$1:E47)*(E48=E$1:E47)))))</f>
        <v>#VALUE!</v>
      </c>
      <c r="L48" s="25"/>
    </row>
    <row r="49" spans="1:12" x14ac:dyDescent="0.3">
      <c r="A49" t="s">
        <v>145</v>
      </c>
      <c r="E49" s="20" t="str">
        <f t="shared" si="2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3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146</v>
      </c>
      <c r="B50" s="26" t="s">
        <v>147</v>
      </c>
      <c r="C50" s="26" t="s">
        <v>148</v>
      </c>
      <c r="D50" s="26" t="s">
        <v>101</v>
      </c>
      <c r="E50" s="20" t="s">
        <v>330</v>
      </c>
      <c r="F50" s="21" t="str">
        <f>IF(OR(E50="",E50="!!!"),"",IF(NOT(ISNA(VLOOKUP(E50,E$1:E49,1,FALSE()))),"OLD",IF(AND(E50&lt;&gt;"",E50&lt;&gt;"!!!"),"NEW","")))</f>
        <v>OLD</v>
      </c>
      <c r="G50" s="22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?IN_FOCUS</v>
      </c>
      <c r="H50" s="23" t="str">
        <f t="shared" ca="1" si="3"/>
        <v/>
      </c>
      <c r="I50" s="24" t="str">
        <f>IF(OR(E50="",E50="!!!",F50="NEW"),"",INDEX(B$2:B49,-1+SUMPRODUCT(MAX(ROW(E$2:E49)*(E50=E$2:E49)))))</f>
        <v>SBJ</v>
      </c>
      <c r="J50" s="24">
        <f ca="1">IF(OR(E50="",E50="!!!",F50="NEW"),"",COUNTBLANK(OFFSET(A$1,,,SUMPRODUCT(MAX(ROW(E$2:E50)*(E50=E$2:E50)))))-COUNTBLANK(OFFSET(A$1,,,SUMPRODUCT(MAX(ROW(E$1:E49)*(E2=E$1:E49))))))</f>
        <v>0</v>
      </c>
      <c r="K50" s="24">
        <f ca="1">IF(OR(E50="",E50="!!!",F50="NEW"),"",INDEX(J$1:J49,SUMPRODUCT(MAX(ROW(E$1:E49)*(E50=E$1:E49)))))</f>
        <v>0</v>
      </c>
      <c r="L50" s="25"/>
    </row>
    <row r="51" spans="1:12" x14ac:dyDescent="0.3">
      <c r="A51" t="s">
        <v>149</v>
      </c>
      <c r="E51" s="20" t="str">
        <f t="shared" si="2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3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150</v>
      </c>
      <c r="E52" s="20" t="str">
        <f t="shared" si="2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3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151</v>
      </c>
      <c r="E53" s="20" t="str">
        <f t="shared" si="2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3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129</v>
      </c>
      <c r="E54" s="20" t="str">
        <f t="shared" si="2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3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152</v>
      </c>
      <c r="B55" s="26" t="s">
        <v>133</v>
      </c>
      <c r="C55" s="26" t="s">
        <v>153</v>
      </c>
      <c r="E55" s="20" t="str">
        <f t="shared" si="2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3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115</v>
      </c>
      <c r="B56" s="26" t="s">
        <v>154</v>
      </c>
      <c r="E56" s="20" t="str">
        <f t="shared" si="2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3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155</v>
      </c>
      <c r="E57" s="20" t="str">
        <f t="shared" si="2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3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65</v>
      </c>
      <c r="E58" s="20" t="str">
        <f t="shared" si="2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3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120</v>
      </c>
      <c r="E59" s="20" t="str">
        <f t="shared" si="2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3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156</v>
      </c>
      <c r="E60" s="20" t="str">
        <f t="shared" si="2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3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157</v>
      </c>
      <c r="B61" s="26" t="s">
        <v>158</v>
      </c>
      <c r="C61" s="26" t="s">
        <v>148</v>
      </c>
      <c r="D61" s="26" t="s">
        <v>101</v>
      </c>
      <c r="E61" s="20" t="s">
        <v>310</v>
      </c>
      <c r="F61" s="21" t="str">
        <f>IF(OR(E61="",E61="!!!"),"",IF(NOT(ISNA(VLOOKUP(E61,E$1:E60,1,FALSE()))),"OLD",IF(AND(E61&lt;&gt;"",E61&lt;&gt;"!!!"),"NEW","")))</f>
        <v>OLD</v>
      </c>
      <c r="G61" s="22" t="str">
        <f ca="1">IF(OR(E61="",E61="!!!"),"",IF(OR(J61=0,AND(J61=1,K61=1),AND(J61=1,I61="SBJ"),AND(J61=1,I61=0)),"?IN_FOCUS",IF(J61&lt;=2,"?ACTIVATED",IF(J61&lt;&gt;"","?FAMILIAR",IF(F61="NEW",IF(ISNA(VLOOKUP(E61,#REF!,1,FALSE())),"?TYPE_IDENTIFIABLE","?REFERENTIAL"),"_")))))</f>
        <v>?IN_FOCUS</v>
      </c>
      <c r="H61" s="23" t="s">
        <v>87</v>
      </c>
      <c r="I61" s="24" t="str">
        <f>IF(OR(E61="",E61="!!!",F61="NEW"),"",INDEX(B$2:B60,-1+SUMPRODUCT(MAX(ROW(E$2:E60)*(E61=E$2:E60)))))</f>
        <v>other_2</v>
      </c>
      <c r="J61" s="24">
        <f ca="1">IF(OR(E61="",E61="!!!",F61="NEW"),"",COUNTBLANK(OFFSET(A$1,,,SUMPRODUCT(MAX(ROW(E$2:E61)*(E61=E$2:E61)))))-COUNTBLANK(OFFSET(A$1,,,SUMPRODUCT(MAX(ROW(E$1:E60)*(E2=E$1:E60))))))</f>
        <v>0</v>
      </c>
      <c r="K61" s="24">
        <f ca="1">IF(OR(E61="",E61="!!!",F61="NEW"),"",INDEX(J$1:J60,SUMPRODUCT(MAX(ROW(E$1:E60)*(E61=E$1:E60)))))</f>
        <v>0</v>
      </c>
      <c r="L61" s="25"/>
    </row>
    <row r="62" spans="1:12" x14ac:dyDescent="0.3">
      <c r="A62" t="s">
        <v>159</v>
      </c>
      <c r="E62" s="20" t="str">
        <f t="shared" si="2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3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3" spans="1:12" x14ac:dyDescent="0.3">
      <c r="A63" t="s">
        <v>160</v>
      </c>
      <c r="E63" s="20" t="str">
        <f t="shared" si="2"/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3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159</v>
      </c>
      <c r="E64" s="20" t="str">
        <f t="shared" si="2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3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161</v>
      </c>
      <c r="E65" s="20" t="str">
        <f t="shared" si="2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3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162</v>
      </c>
      <c r="B66" s="26" t="s">
        <v>163</v>
      </c>
      <c r="C66" s="26" t="s">
        <v>164</v>
      </c>
      <c r="E66" s="20" t="str">
        <f t="shared" si="2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3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165</v>
      </c>
      <c r="E67" s="20" t="str">
        <f t="shared" si="2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3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166</v>
      </c>
      <c r="E68" s="20" t="str">
        <f t="shared" si="2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3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167</v>
      </c>
      <c r="E69" s="20" t="str">
        <f t="shared" si="2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3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168</v>
      </c>
      <c r="E70" s="20" t="str">
        <f t="shared" si="2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3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169</v>
      </c>
      <c r="E71" s="20" t="str">
        <f t="shared" si="2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3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157</v>
      </c>
      <c r="B72" s="26" t="s">
        <v>113</v>
      </c>
      <c r="C72" s="26" t="s">
        <v>148</v>
      </c>
      <c r="D72" s="26" t="s">
        <v>101</v>
      </c>
      <c r="E72" s="20" t="s">
        <v>310</v>
      </c>
      <c r="F72" s="21" t="str">
        <f>IF(OR(E72="",E72="!!!"),"",IF(NOT(ISNA(VLOOKUP(E72,E$1:E71,1,FALSE()))),"OLD",IF(AND(E72&lt;&gt;"",E72&lt;&gt;"!!!"),"NEW","")))</f>
        <v>OLD</v>
      </c>
      <c r="G72" s="22" t="str">
        <f ca="1">IF(OR(E72="",E72="!!!"),"",IF(OR(J72=0,AND(J72=1,K72=1),AND(J72=1,I72="SBJ"),AND(J72=1,I72=0)),"?IN_FOCUS",IF(J72&lt;=2,"?ACTIVATED",IF(J72&lt;&gt;"","?FAMILIAR",IF(F72="NEW",IF(ISNA(VLOOKUP(E72,#REF!,1,FALSE())),"?TYPE_IDENTIFIABLE","?REFERENTIAL"),"_")))))</f>
        <v>?IN_FOCUS</v>
      </c>
      <c r="H72" s="23" t="str">
        <f t="shared" ca="1" si="3"/>
        <v/>
      </c>
      <c r="I72" s="24" t="str">
        <f>IF(OR(E72="",E72="!!!",F72="NEW"),"",INDEX(B$2:B71,-1+SUMPRODUCT(MAX(ROW(E$2:E71)*(E72=E$2:E71)))))</f>
        <v>OBJ_5</v>
      </c>
      <c r="J72" s="24">
        <f ca="1">IF(OR(E72="",E72="!!!",F72="NEW"),"",COUNTBLANK(OFFSET(A$1,,,SUMPRODUCT(MAX(ROW(E$2:E72)*(E72=E$2:E72)))))-COUNTBLANK(OFFSET(A$1,,,SUMPRODUCT(MAX(ROW(E$1:E71)*(E2=E$1:E71))))))</f>
        <v>0</v>
      </c>
      <c r="K72" s="24">
        <f ca="1">IF(OR(E72="",E72="!!!",F72="NEW"),"",INDEX(J$1:J71,SUMPRODUCT(MAX(ROW(E$1:E71)*(E72=E$1:E71)))))</f>
        <v>0</v>
      </c>
      <c r="L72" s="25"/>
    </row>
    <row r="73" spans="1:12" x14ac:dyDescent="0.3">
      <c r="A73" t="s">
        <v>137</v>
      </c>
      <c r="E73" s="20" t="str">
        <f t="shared" si="2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3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161</v>
      </c>
      <c r="E74" s="20" t="str">
        <f t="shared" si="2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3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6" spans="1:12" x14ac:dyDescent="0.3">
      <c r="A76" t="s">
        <v>170</v>
      </c>
    </row>
    <row r="77" spans="1:12" x14ac:dyDescent="0.3">
      <c r="A77" t="s">
        <v>171</v>
      </c>
      <c r="E77" s="20" t="str">
        <f t="shared" ref="E77:E108" si="4">IF(D77="?OLD","!!!","")</f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ref="H77:H108" ca="1" si="5">IF(J77&lt;&gt;1,"",IF(I77="SBJ","CB","?"))</f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172</v>
      </c>
      <c r="B78" s="26" t="s">
        <v>94</v>
      </c>
      <c r="C78" s="26" t="s">
        <v>128</v>
      </c>
      <c r="D78" s="26" t="s">
        <v>101</v>
      </c>
      <c r="E78" s="20" t="s">
        <v>310</v>
      </c>
      <c r="F78" s="21" t="str">
        <f>IF(OR(E78="",E78="!!!"),"",IF(NOT(ISNA(VLOOKUP(E78,E$1:E77,1,FALSE()))),"OLD",IF(AND(E78&lt;&gt;"",E78&lt;&gt;"!!!"),"NEW","")))</f>
        <v>OLD</v>
      </c>
      <c r="G78" s="22" t="s">
        <v>327</v>
      </c>
      <c r="H78" s="23" t="s">
        <v>87</v>
      </c>
      <c r="I78" s="24" t="str">
        <f>IF(OR(E78="",E78="!!!",F78="NEW"),"",INDEX(B$2:B77,-1+SUMPRODUCT(MAX(ROW(E$2:E77)*(E78=E$2:E77)))))</f>
        <v>other_4</v>
      </c>
      <c r="J78" s="24">
        <f ca="1">IF(OR(E78="",E78="!!!",F78="NEW"),"",COUNTBLANK(OFFSET(A$1,,,SUMPRODUCT(MAX(ROW(E$2:E78)*(E78=E$2:E78)))))-COUNTBLANK(OFFSET(A$1,,,SUMPRODUCT(MAX(ROW(E$1:E77)*(E2=E$1:E77))))))</f>
        <v>0</v>
      </c>
      <c r="K78" s="24">
        <f ca="1">IF(OR(E78="",E78="!!!",F78="NEW"),"",INDEX(J$1:J77,SUMPRODUCT(MAX(ROW(E$1:E77)*(E78=E$1:E77)))))</f>
        <v>0</v>
      </c>
      <c r="L78" s="25"/>
    </row>
    <row r="79" spans="1:12" x14ac:dyDescent="0.3">
      <c r="A79" t="s">
        <v>122</v>
      </c>
      <c r="E79" s="20" t="str">
        <f t="shared" si="4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5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103</v>
      </c>
      <c r="E80" s="20" t="str">
        <f t="shared" si="4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5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125</v>
      </c>
      <c r="E81" s="20" t="str">
        <f t="shared" si="4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5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173</v>
      </c>
      <c r="E82" s="20" t="str">
        <f t="shared" si="4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5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107</v>
      </c>
      <c r="E83" s="20" t="s">
        <v>316</v>
      </c>
      <c r="F83" s="21" t="str">
        <f>IF(OR(E83="",E83="!!!"),"",IF(NOT(ISNA(VLOOKUP(E83,E$1:E82,1,FALSE()))),"OLD",IF(AND(E83&lt;&gt;"",E83&lt;&gt;"!!!"),"NEW","")))</f>
        <v>OLD</v>
      </c>
      <c r="G83" s="22" t="s">
        <v>312</v>
      </c>
      <c r="H83" s="23" t="str">
        <f t="shared" ca="1" si="5"/>
        <v/>
      </c>
      <c r="I83" s="24" t="str">
        <f>IF(OR(E83="",E83="!!!",F83="NEW"),"",INDEX(B$2:B82,-1+SUMPRODUCT(MAX(ROW(E$2:E82)*(E83=E$2:E82)))))</f>
        <v>other_2</v>
      </c>
      <c r="J83" s="24">
        <f ca="1">IF(OR(E83="",E83="!!!",F83="NEW"),"",COUNTBLANK(OFFSET(A$1,,,SUMPRODUCT(MAX(ROW(E$2:E83)*(E83=E$2:E83)))))-COUNTBLANK(OFFSET(A$1,,,SUMPRODUCT(MAX(ROW(E$1:E82)*(E2=E$1:E82))))))</f>
        <v>0</v>
      </c>
      <c r="K83" s="24" t="str">
        <f ca="1">IF(OR(E83="",E83="!!!",F83="NEW"),"",INDEX(J$1:J82,SUMPRODUCT(MAX(ROW(E$1:E82)*(E83=E$1:E82)))))</f>
        <v/>
      </c>
      <c r="L83" s="25"/>
    </row>
    <row r="84" spans="1:12" x14ac:dyDescent="0.3">
      <c r="A84" t="s">
        <v>174</v>
      </c>
      <c r="E84" s="20" t="str">
        <f t="shared" si="4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5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175</v>
      </c>
      <c r="B85" s="26" t="s">
        <v>105</v>
      </c>
      <c r="C85" s="26" t="s">
        <v>128</v>
      </c>
      <c r="D85" s="26" t="s">
        <v>101</v>
      </c>
      <c r="E85" s="20" t="s">
        <v>322</v>
      </c>
      <c r="F85" s="21" t="s">
        <v>313</v>
      </c>
      <c r="G85" s="22" t="s">
        <v>321</v>
      </c>
      <c r="H85" s="23" t="str">
        <f t="shared" ca="1" si="5"/>
        <v/>
      </c>
      <c r="I85" s="24" t="e">
        <f>IF(OR(E85="",E85="!!!",F85="NEW"),"",INDEX(B$2:B84,-1+SUMPRODUCT(MAX(ROW(E$2:E84)*(E85=E$2:E84)))))</f>
        <v>#VALUE!</v>
      </c>
      <c r="J85" s="24">
        <f ca="1">IF(OR(E85="",E85="!!!",F85="NEW"),"",COUNTBLANK(OFFSET(A$1,,,SUMPRODUCT(MAX(ROW(E$2:E85)*(E85=E$2:E85)))))-COUNTBLANK(OFFSET(A$1,,,SUMPRODUCT(MAX(ROW(E$1:E84)*(E2=E$1:E84))))))</f>
        <v>0</v>
      </c>
      <c r="K85" s="24" t="e">
        <f>IF(OR(E85="",E85="!!!",F85="NEW"),"",INDEX(J$1:J84,SUMPRODUCT(MAX(ROW(E$1:E84)*(E85=E$1:E84)))))</f>
        <v>#VALUE!</v>
      </c>
      <c r="L85" s="25"/>
    </row>
    <row r="86" spans="1:12" x14ac:dyDescent="0.3">
      <c r="A86" t="s">
        <v>121</v>
      </c>
      <c r="E86" s="20" t="str">
        <f t="shared" si="4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5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176</v>
      </c>
      <c r="E87" s="20" t="str">
        <f t="shared" si="4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5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177</v>
      </c>
      <c r="E88" s="20" t="str">
        <f t="shared" si="4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5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92</v>
      </c>
      <c r="E89" s="20" t="str">
        <f t="shared" si="4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5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12</v>
      </c>
      <c r="E90" s="20" t="str">
        <f t="shared" si="4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5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109</v>
      </c>
      <c r="B91" s="26" t="s">
        <v>113</v>
      </c>
      <c r="C91" s="26" t="s">
        <v>95</v>
      </c>
      <c r="E91" s="20" t="str">
        <f t="shared" si="4"/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5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12</v>
      </c>
      <c r="E92" s="20" t="str">
        <f t="shared" si="4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5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111</v>
      </c>
      <c r="E93" s="20" t="str">
        <f t="shared" si="4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5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104</v>
      </c>
      <c r="B94" s="26" t="s">
        <v>133</v>
      </c>
      <c r="C94" s="26" t="s">
        <v>100</v>
      </c>
      <c r="D94" s="26" t="s">
        <v>101</v>
      </c>
      <c r="E94" s="20" t="s">
        <v>311</v>
      </c>
      <c r="F94" s="21" t="str">
        <f>IF(OR(E94="",E94="!!!"),"",IF(NOT(ISNA(VLOOKUP(E94,E$1:E93,1,FALSE()))),"OLD",IF(AND(E94&lt;&gt;"",E94&lt;&gt;"!!!"),"NEW","")))</f>
        <v>OLD</v>
      </c>
      <c r="G94" s="22" t="s">
        <v>312</v>
      </c>
      <c r="H94" s="23" t="str">
        <f t="shared" ca="1" si="5"/>
        <v/>
      </c>
      <c r="I94" s="24" t="str">
        <f>IF(OR(E94="",E94="!!!",F94="NEW"),"",INDEX(B$2:B93,-1+SUMPRODUCT(MAX(ROW(E$2:E93)*(E94=E$2:E93)))))</f>
        <v>other_6</v>
      </c>
      <c r="J94" s="24">
        <f ca="1">IF(OR(E94="",E94="!!!",F94="NEW"),"",COUNTBLANK(OFFSET(A$1,,,SUMPRODUCT(MAX(ROW(E$2:E94)*(E94=E$2:E94)))))-COUNTBLANK(OFFSET(A$1,,,SUMPRODUCT(MAX(ROW(E$1:E93)*(E2=E$1:E93))))))</f>
        <v>0</v>
      </c>
      <c r="K94" s="24" t="str">
        <f ca="1">IF(OR(E94="",E94="!!!",F94="NEW"),"",INDEX(J$1:J93,SUMPRODUCT(MAX(ROW(E$1:E93)*(E94=E$1:E93)))))</f>
        <v/>
      </c>
      <c r="L94" s="25"/>
    </row>
    <row r="95" spans="1:12" x14ac:dyDescent="0.3">
      <c r="A95" t="s">
        <v>106</v>
      </c>
      <c r="E95" s="20"/>
      <c r="F95" s="21"/>
      <c r="G95" s="22"/>
      <c r="H95" s="23" t="str">
        <f t="shared" ca="1" si="5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178</v>
      </c>
      <c r="E96" s="20" t="s">
        <v>318</v>
      </c>
      <c r="F96" s="21" t="s">
        <v>324</v>
      </c>
      <c r="G96" s="22" t="s">
        <v>312</v>
      </c>
      <c r="H96" s="23" t="str">
        <f t="shared" ca="1" si="5"/>
        <v/>
      </c>
      <c r="I96" s="24" t="e">
        <f>IF(OR(E96="",E96="!!!",F96="NEW"),"",INDEX(B$2:B95,-1+SUMPRODUCT(MAX(ROW(E$2:E95)*(E96=E$2:E95)))))</f>
        <v>#VALUE!</v>
      </c>
      <c r="J96" s="24">
        <f ca="1">IF(OR(E96="",E96="!!!",F96="NEW"),"",COUNTBLANK(OFFSET(A$1,,,SUMPRODUCT(MAX(ROW(E$2:E96)*(E96=E$2:E96)))))-COUNTBLANK(OFFSET(A$1,,,SUMPRODUCT(MAX(ROW(E$1:E95)*(E2=E$1:E95))))))</f>
        <v>0</v>
      </c>
      <c r="K96" s="24" t="e">
        <f>IF(OR(E96="",E96="!!!",F96="NEW"),"",INDEX(J$1:J95,SUMPRODUCT(MAX(ROW(E$1:E95)*(E96=E$1:E95)))))</f>
        <v>#VALUE!</v>
      </c>
      <c r="L96" s="25" t="s">
        <v>343</v>
      </c>
    </row>
    <row r="97" spans="1:12" x14ac:dyDescent="0.3">
      <c r="A97" t="s">
        <v>179</v>
      </c>
      <c r="E97" s="20" t="s">
        <v>318</v>
      </c>
      <c r="F97" s="21" t="str">
        <f>IF(OR(E97="",E97="!!!"),"",IF(NOT(ISNA(VLOOKUP(E97,E$1:E96,1,FALSE()))),"OLD",IF(AND(E97&lt;&gt;"",E97&lt;&gt;"!!!"),"NEW","")))</f>
        <v>OLD</v>
      </c>
      <c r="G97" s="22" t="s">
        <v>345</v>
      </c>
      <c r="H97" s="23" t="str">
        <f t="shared" ca="1" si="5"/>
        <v/>
      </c>
      <c r="I97" s="24">
        <f>IF(OR(E97="",E97="!!!",F97="NEW"),"",INDEX(B$2:B96,-1+SUMPRODUCT(MAX(ROW(E$2:E96)*(E97=E$2:E96)))))</f>
        <v>0</v>
      </c>
      <c r="J97" s="24">
        <f ca="1">IF(OR(E97="",E97="!!!",F97="NEW"),"",COUNTBLANK(OFFSET(A$1,,,SUMPRODUCT(MAX(ROW(E$2:E97)*(E97=E$2:E97)))))-COUNTBLANK(OFFSET(A$1,,,SUMPRODUCT(MAX(ROW(E$1:E96)*(E2=E$1:E96))))))</f>
        <v>0</v>
      </c>
      <c r="K97" s="24">
        <f ca="1">IF(OR(E97="",E97="!!!",F97="NEW"),"",INDEX(J$1:J96,SUMPRODUCT(MAX(ROW(E$1:E96)*(E97=E$1:E96)))))</f>
        <v>0</v>
      </c>
      <c r="L97" s="25" t="s">
        <v>344</v>
      </c>
    </row>
    <row r="98" spans="1:12" x14ac:dyDescent="0.3">
      <c r="A98" t="s">
        <v>180</v>
      </c>
      <c r="E98" s="20" t="str">
        <f t="shared" si="4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5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159</v>
      </c>
      <c r="E99" s="20" t="str">
        <f t="shared" si="4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5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125</v>
      </c>
      <c r="E100" s="20" t="str">
        <f t="shared" si="4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5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104</v>
      </c>
      <c r="E101" s="20" t="s">
        <v>311</v>
      </c>
      <c r="F101" s="21" t="str">
        <f>IF(OR(E101="",E101="!!!"),"",IF(NOT(ISNA(VLOOKUP(E101,E$1:E100,1,FALSE()))),"OLD",IF(AND(E101&lt;&gt;"",E101&lt;&gt;"!!!"),"NEW","")))</f>
        <v>OLD</v>
      </c>
      <c r="G101" s="22" t="s">
        <v>312</v>
      </c>
      <c r="H101" s="23" t="str">
        <f t="shared" ca="1" si="5"/>
        <v/>
      </c>
      <c r="I101" s="24" t="str">
        <f>IF(OR(E101="",E101="!!!",F101="NEW"),"",INDEX(B$2:B100,-1+SUMPRODUCT(MAX(ROW(E$2:E100)*(E101=E$2:E100)))))</f>
        <v>other_2</v>
      </c>
      <c r="J101" s="24">
        <f ca="1">IF(OR(E101="",E101="!!!",F101="NEW"),"",COUNTBLANK(OFFSET(A$1,,,SUMPRODUCT(MAX(ROW(E$2:E101)*(E101=E$2:E101)))))-COUNTBLANK(OFFSET(A$1,,,SUMPRODUCT(MAX(ROW(E$1:E100)*(E2=E$1:E100))))))</f>
        <v>0</v>
      </c>
      <c r="K101" s="24">
        <f ca="1">IF(OR(E101="",E101="!!!",F101="NEW"),"",INDEX(J$1:J100,SUMPRODUCT(MAX(ROW(E$1:E100)*(E101=E$1:E100)))))</f>
        <v>0</v>
      </c>
      <c r="L101" s="25"/>
    </row>
    <row r="102" spans="1:12" x14ac:dyDescent="0.3">
      <c r="A102" t="s">
        <v>106</v>
      </c>
      <c r="E102" s="20" t="str">
        <f t="shared" si="4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5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181</v>
      </c>
      <c r="E103" s="20" t="str">
        <f t="shared" si="4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5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182</v>
      </c>
      <c r="B104" s="26" t="s">
        <v>105</v>
      </c>
      <c r="C104" s="26" t="s">
        <v>100</v>
      </c>
      <c r="D104" s="26" t="s">
        <v>101</v>
      </c>
      <c r="E104" s="20"/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5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 t="s">
        <v>326</v>
      </c>
    </row>
    <row r="105" spans="1:12" x14ac:dyDescent="0.3">
      <c r="A105" t="s">
        <v>142</v>
      </c>
      <c r="E105" s="20" t="s">
        <v>325</v>
      </c>
      <c r="F105" s="21" t="str">
        <f>IF(OR(E105="",E105="!!!"),"",IF(NOT(ISNA(VLOOKUP(E105,E$1:E104,1,FALSE()))),"OLD",IF(AND(E105&lt;&gt;"",E105&lt;&gt;"!!!"),"NEW","")))</f>
        <v>NEW</v>
      </c>
      <c r="G105" s="22" t="s">
        <v>320</v>
      </c>
      <c r="H105" s="23" t="str">
        <f t="shared" ca="1" si="5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183</v>
      </c>
      <c r="B106" s="26" t="s">
        <v>147</v>
      </c>
      <c r="C106" s="26" t="s">
        <v>100</v>
      </c>
      <c r="D106" s="26" t="s">
        <v>101</v>
      </c>
      <c r="E106" s="20"/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5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184</v>
      </c>
      <c r="E107" s="20" t="str">
        <f t="shared" si="4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5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137</v>
      </c>
      <c r="E108" s="20" t="str">
        <f t="shared" si="4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5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10" spans="1:12" x14ac:dyDescent="0.3">
      <c r="A110" t="s">
        <v>185</v>
      </c>
    </row>
    <row r="111" spans="1:12" x14ac:dyDescent="0.3">
      <c r="A111" t="s">
        <v>171</v>
      </c>
      <c r="E111" s="20" t="str">
        <f t="shared" ref="E111:E128" si="6">IF(D111="?OLD","!!!","")</f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ref="H111:H128" ca="1" si="7">IF(J111&lt;&gt;1,"",IF(I111="SBJ","CB","?"))</f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104</v>
      </c>
      <c r="E112" s="20" t="s">
        <v>323</v>
      </c>
      <c r="F112" s="21" t="s">
        <v>324</v>
      </c>
      <c r="G112" s="22" t="s">
        <v>312</v>
      </c>
      <c r="H112" s="23" t="str">
        <f t="shared" ca="1" si="7"/>
        <v/>
      </c>
      <c r="I112" s="24" t="e">
        <f>IF(OR(E112="",E112="!!!",F112="NEW"),"",INDEX(B$2:B111,-1+SUMPRODUCT(MAX(ROW(E$2:E111)*(E112=E$2:E111)))))</f>
        <v>#VALUE!</v>
      </c>
      <c r="J112" s="24">
        <f ca="1">IF(OR(E112="",E112="!!!",F112="NEW"),"",COUNTBLANK(OFFSET(A$1,,,SUMPRODUCT(MAX(ROW(E$2:E112)*(E112=E$2:E112)))))-COUNTBLANK(OFFSET(A$1,,,SUMPRODUCT(MAX(ROW(E$1:E111)*(E2=E$1:E111))))))</f>
        <v>0</v>
      </c>
      <c r="K112" s="24" t="e">
        <f>IF(OR(E112="",E112="!!!",F112="NEW"),"",INDEX(J$1:J111,SUMPRODUCT(MAX(ROW(E$1:E111)*(E112=E$1:E111)))))</f>
        <v>#VALUE!</v>
      </c>
      <c r="L112" s="25"/>
    </row>
    <row r="113" spans="1:12" x14ac:dyDescent="0.3">
      <c r="A113" t="s">
        <v>106</v>
      </c>
      <c r="E113" s="20" t="str">
        <f t="shared" si="6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7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186</v>
      </c>
      <c r="E114" s="20" t="str">
        <f t="shared" si="6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7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ht="28.8" x14ac:dyDescent="0.3">
      <c r="A115" t="s">
        <v>187</v>
      </c>
      <c r="B115" s="26" t="s">
        <v>94</v>
      </c>
      <c r="C115" s="26" t="s">
        <v>100</v>
      </c>
      <c r="D115" s="26" t="s">
        <v>101</v>
      </c>
      <c r="E115" s="20" t="s">
        <v>328</v>
      </c>
      <c r="F115" s="21" t="str">
        <f>IF(OR(E115="",E115="!!!"),"",IF(NOT(ISNA(VLOOKUP(E115,E$1:E114,1,FALSE()))),"OLD",IF(AND(E115&lt;&gt;"",E115&lt;&gt;"!!!"),"NEW","")))</f>
        <v>NEW</v>
      </c>
      <c r="G115" s="22" t="s">
        <v>320</v>
      </c>
      <c r="H115" s="23" t="str">
        <f t="shared" ca="1" si="7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 t="s">
        <v>346</v>
      </c>
    </row>
    <row r="116" spans="1:12" x14ac:dyDescent="0.3">
      <c r="A116" t="s">
        <v>184</v>
      </c>
      <c r="E116" s="20" t="str">
        <f t="shared" si="6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7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125</v>
      </c>
      <c r="E117" s="20" t="str">
        <f t="shared" si="6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7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188</v>
      </c>
      <c r="B118" s="26" t="s">
        <v>147</v>
      </c>
      <c r="C118" s="26" t="s">
        <v>128</v>
      </c>
      <c r="D118" s="26" t="s">
        <v>101</v>
      </c>
      <c r="E118" s="20" t="s">
        <v>329</v>
      </c>
      <c r="F118" s="21" t="str">
        <f>IF(OR(E118="",E118="!!!"),"",IF(NOT(ISNA(VLOOKUP(E118,E$1:E117,1,FALSE()))),"OLD",IF(AND(E118&lt;&gt;"",E118&lt;&gt;"!!!"),"NEW","")))</f>
        <v>NEW</v>
      </c>
      <c r="G118" s="22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?REFERENTIAL</v>
      </c>
      <c r="H118" s="23" t="s">
        <v>87</v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121</v>
      </c>
      <c r="E119" s="20" t="str">
        <f t="shared" si="6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7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189</v>
      </c>
      <c r="E120" s="20" t="str">
        <f t="shared" si="6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7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130</v>
      </c>
      <c r="E121" s="20" t="str">
        <f t="shared" si="6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7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190</v>
      </c>
      <c r="B122" s="26" t="s">
        <v>99</v>
      </c>
      <c r="C122" s="26" t="s">
        <v>114</v>
      </c>
      <c r="E122" s="20" t="str">
        <f t="shared" si="6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7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191</v>
      </c>
      <c r="E123" s="20" t="str">
        <f t="shared" si="6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7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192</v>
      </c>
      <c r="E124" s="20" t="str">
        <f t="shared" si="6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7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193</v>
      </c>
      <c r="B125" s="26" t="s">
        <v>113</v>
      </c>
      <c r="C125" s="26" t="s">
        <v>114</v>
      </c>
      <c r="E125" s="20" t="str">
        <f t="shared" si="6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7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194</v>
      </c>
      <c r="E126" s="20" t="str">
        <f t="shared" si="6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7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195</v>
      </c>
      <c r="E127" s="20" t="str">
        <f t="shared" si="6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7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137</v>
      </c>
      <c r="E128" s="20" t="str">
        <f t="shared" si="6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7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30" spans="1:12" x14ac:dyDescent="0.3">
      <c r="A130" t="s">
        <v>196</v>
      </c>
    </row>
    <row r="131" spans="1:12" x14ac:dyDescent="0.3">
      <c r="A131" t="s">
        <v>171</v>
      </c>
      <c r="E131" s="20" t="str">
        <f t="shared" ref="E131:E175" si="8">IF(D131="?OLD","!!!","")</f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ref="H131:H175" ca="1" si="9">IF(J131&lt;&gt;1,"",IF(I131="SBJ","CB","?"))</f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141</v>
      </c>
      <c r="B132" s="26" t="s">
        <v>133</v>
      </c>
      <c r="C132" s="26" t="s">
        <v>128</v>
      </c>
      <c r="D132" s="26" t="s">
        <v>101</v>
      </c>
      <c r="E132" s="20" t="s">
        <v>310</v>
      </c>
      <c r="F132" s="21" t="str">
        <f>IF(OR(E132="",E132="!!!"),"",IF(NOT(ISNA(VLOOKUP(E132,E$1:E131,1,FALSE()))),"OLD",IF(AND(E132&lt;&gt;"",E132&lt;&gt;"!!!"),"NEW","")))</f>
        <v>OLD</v>
      </c>
      <c r="G132" s="22" t="s">
        <v>312</v>
      </c>
      <c r="H132" s="23" t="str">
        <f t="shared" ca="1" si="9"/>
        <v/>
      </c>
      <c r="I132" s="24" t="str">
        <f>IF(OR(E132="",E132="!!!",F132="NEW"),"",INDEX(B$2:B131,-1+SUMPRODUCT(MAX(ROW(E$2:E131)*(E132=E$2:E131)))))</f>
        <v>SBJ</v>
      </c>
      <c r="J132" s="24">
        <f ca="1">IF(OR(E132="",E132="!!!",F132="NEW"),"",COUNTBLANK(OFFSET(A$1,,,SUMPRODUCT(MAX(ROW(E$2:E132)*(E132=E$2:E132)))))-COUNTBLANK(OFFSET(A$1,,,SUMPRODUCT(MAX(ROW(E$1:E131)*(E2=E$1:E131))))))</f>
        <v>0</v>
      </c>
      <c r="K132" s="24">
        <f ca="1">IF(OR(E132="",E132="!!!",F132="NEW"),"",INDEX(J$1:J131,SUMPRODUCT(MAX(ROW(E$1:E131)*(E132=E$1:E131)))))</f>
        <v>0</v>
      </c>
      <c r="L132" s="25"/>
    </row>
    <row r="133" spans="1:12" x14ac:dyDescent="0.3">
      <c r="A133" t="s">
        <v>142</v>
      </c>
      <c r="E133" s="20" t="str">
        <f t="shared" si="8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9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 t="s">
        <v>319</v>
      </c>
    </row>
    <row r="134" spans="1:12" x14ac:dyDescent="0.3">
      <c r="A134" t="s">
        <v>143</v>
      </c>
      <c r="B134" s="26" t="s">
        <v>94</v>
      </c>
      <c r="C134" s="26" t="s">
        <v>144</v>
      </c>
      <c r="D134" s="26" t="s">
        <v>101</v>
      </c>
      <c r="E134" s="20" t="s">
        <v>330</v>
      </c>
      <c r="F134" s="21" t="str">
        <f>IF(OR(E134="",E134="!!!"),"",IF(NOT(ISNA(VLOOKUP(E134,E$1:E133,1,FALSE()))),"OLD",IF(AND(E134&lt;&gt;"",E134&lt;&gt;"!!!"),"NEW","")))</f>
        <v>OLD</v>
      </c>
      <c r="G134" s="22" t="s">
        <v>320</v>
      </c>
      <c r="H134" s="23" t="str">
        <f t="shared" ca="1" si="9"/>
        <v/>
      </c>
      <c r="I134" s="24" t="str">
        <f>IF(OR(E134="",E134="!!!",F134="NEW"),"",INDEX(B$2:B133,-1+SUMPRODUCT(MAX(ROW(E$2:E133)*(E134=E$2:E133)))))</f>
        <v>SBJ_2</v>
      </c>
      <c r="J134" s="24">
        <f ca="1">IF(OR(E134="",E134="!!!",F134="NEW"),"",COUNTBLANK(OFFSET(A$1,,,SUMPRODUCT(MAX(ROW(E$2:E134)*(E134=E$2:E134)))))-COUNTBLANK(OFFSET(A$1,,,SUMPRODUCT(MAX(ROW(E$1:E133)*(E2=E$1:E133))))))</f>
        <v>0</v>
      </c>
      <c r="K134" s="24">
        <f ca="1">IF(OR(E134="",E134="!!!",F134="NEW"),"",INDEX(J$1:J133,SUMPRODUCT(MAX(ROW(E$1:E133)*(E134=E$1:E133)))))</f>
        <v>0</v>
      </c>
      <c r="L134" s="25"/>
    </row>
    <row r="135" spans="1:12" x14ac:dyDescent="0.3">
      <c r="A135" t="s">
        <v>159</v>
      </c>
      <c r="E135" s="20" t="str">
        <f t="shared" si="8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9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197</v>
      </c>
      <c r="B136" s="26" t="s">
        <v>133</v>
      </c>
      <c r="C136" s="26" t="s">
        <v>100</v>
      </c>
      <c r="D136" s="26" t="s">
        <v>101</v>
      </c>
      <c r="E136" s="20" t="s">
        <v>330</v>
      </c>
      <c r="F136" s="21" t="str">
        <f>IF(OR(E136="",E136="!!!"),"",IF(NOT(ISNA(VLOOKUP(E136,E$1:E135,1,FALSE()))),"OLD",IF(AND(E136&lt;&gt;"",E136&lt;&gt;"!!!"),"NEW","")))</f>
        <v>OLD</v>
      </c>
      <c r="G136" s="22" t="str">
        <f ca="1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?IN_FOCUS</v>
      </c>
      <c r="H136" s="23" t="str">
        <f t="shared" ca="1" si="9"/>
        <v/>
      </c>
      <c r="I136" s="24" t="str">
        <f>IF(OR(E136="",E136="!!!",F136="NEW"),"",INDEX(B$2:B135,-1+SUMPRODUCT(MAX(ROW(E$2:E135)*(E136=E$2:E135)))))</f>
        <v>SBJ</v>
      </c>
      <c r="J136" s="24">
        <f ca="1">IF(OR(E136="",E136="!!!",F136="NEW"),"",COUNTBLANK(OFFSET(A$1,,,SUMPRODUCT(MAX(ROW(E$2:E136)*(E136=E$2:E136)))))-COUNTBLANK(OFFSET(A$1,,,SUMPRODUCT(MAX(ROW(E$1:E135)*(E2=E$1:E135))))))</f>
        <v>0</v>
      </c>
      <c r="K136" s="24">
        <f ca="1">IF(OR(E136="",E136="!!!",F136="NEW"),"",INDEX(J$1:J135,SUMPRODUCT(MAX(ROW(E$1:E135)*(E136=E$1:E135)))))</f>
        <v>0</v>
      </c>
      <c r="L136" s="25"/>
    </row>
    <row r="137" spans="1:12" x14ac:dyDescent="0.3">
      <c r="A137" t="s">
        <v>180</v>
      </c>
      <c r="E137" s="20" t="str">
        <f t="shared" si="8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9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159</v>
      </c>
      <c r="E138" s="20" t="str">
        <f t="shared" si="8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9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198</v>
      </c>
      <c r="E139" s="20" t="str">
        <f t="shared" si="8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9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199</v>
      </c>
      <c r="E140" s="20" t="str">
        <f t="shared" si="8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9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200</v>
      </c>
      <c r="E141" s="20" t="str">
        <f t="shared" si="8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9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201</v>
      </c>
      <c r="B142" s="26" t="s">
        <v>127</v>
      </c>
      <c r="C142" s="26" t="s">
        <v>100</v>
      </c>
      <c r="D142" s="26" t="s">
        <v>101</v>
      </c>
      <c r="E142" s="20" t="s">
        <v>201</v>
      </c>
      <c r="F142" s="21" t="str">
        <f>IF(OR(E142="",E142="!!!"),"",IF(NOT(ISNA(VLOOKUP(E142,E$1:E141,1,FALSE()))),"OLD",IF(AND(E142&lt;&gt;"",E142&lt;&gt;"!!!"),"NEW","")))</f>
        <v>NEW</v>
      </c>
      <c r="G142" s="22" t="s">
        <v>320</v>
      </c>
      <c r="H142" s="23" t="str">
        <f t="shared" ca="1" si="9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 t="s">
        <v>331</v>
      </c>
    </row>
    <row r="143" spans="1:12" x14ac:dyDescent="0.3">
      <c r="A143" t="s">
        <v>124</v>
      </c>
      <c r="E143" s="20" t="str">
        <f t="shared" si="8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9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104</v>
      </c>
      <c r="B144" s="26" t="s">
        <v>133</v>
      </c>
      <c r="C144" s="26" t="s">
        <v>100</v>
      </c>
      <c r="D144" s="26" t="s">
        <v>101</v>
      </c>
      <c r="E144" s="20" t="s">
        <v>323</v>
      </c>
      <c r="F144" s="21" t="str">
        <f>IF(OR(E144="",E144="!!!"),"",IF(NOT(ISNA(VLOOKUP(E144,E$1:E143,1,FALSE()))),"OLD",IF(AND(E144&lt;&gt;"",E144&lt;&gt;"!!!"),"NEW","")))</f>
        <v>OLD</v>
      </c>
      <c r="G144" s="22" t="s">
        <v>312</v>
      </c>
      <c r="H144" s="23" t="str">
        <f t="shared" ca="1" si="9"/>
        <v/>
      </c>
      <c r="I144" s="24">
        <f>IF(OR(E144="",E144="!!!",F144="NEW"),"",INDEX(B$2:B143,-1+SUMPRODUCT(MAX(ROW(E$2:E143)*(E144=E$2:E143)))))</f>
        <v>0</v>
      </c>
      <c r="J144" s="24">
        <f ca="1">IF(OR(E144="",E144="!!!",F144="NEW"),"",COUNTBLANK(OFFSET(A$1,,,SUMPRODUCT(MAX(ROW(E$2:E144)*(E144=E$2:E144)))))-COUNTBLANK(OFFSET(A$1,,,SUMPRODUCT(MAX(ROW(E$1:E143)*(E2=E$1:E143))))))</f>
        <v>0</v>
      </c>
      <c r="K144" s="24">
        <f ca="1">IF(OR(E144="",E144="!!!",F144="NEW"),"",INDEX(J$1:J143,SUMPRODUCT(MAX(ROW(E$1:E143)*(E144=E$1:E143)))))</f>
        <v>0</v>
      </c>
      <c r="L144" s="25"/>
    </row>
    <row r="145" spans="1:12" x14ac:dyDescent="0.3">
      <c r="A145" t="s">
        <v>106</v>
      </c>
      <c r="E145" s="20" t="str">
        <f t="shared" si="8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9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202</v>
      </c>
      <c r="E146" s="20" t="str">
        <f t="shared" si="8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9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179</v>
      </c>
      <c r="B147" s="26" t="s">
        <v>147</v>
      </c>
      <c r="C147" s="26" t="s">
        <v>100</v>
      </c>
      <c r="D147" s="26" t="s">
        <v>101</v>
      </c>
      <c r="E147" s="20" t="s">
        <v>318</v>
      </c>
      <c r="F147" s="21" t="str">
        <f>IF(OR(E147="",E147="!!!"),"",IF(NOT(ISNA(VLOOKUP(E147,E$1:E146,1,FALSE()))),"OLD",IF(AND(E147&lt;&gt;"",E147&lt;&gt;"!!!"),"NEW","")))</f>
        <v>OLD</v>
      </c>
      <c r="G147" s="22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?IN_FOCUS</v>
      </c>
      <c r="H147" s="23" t="s">
        <v>87</v>
      </c>
      <c r="I147" s="24">
        <f>IF(OR(E147="",E147="!!!",F147="NEW"),"",INDEX(B$2:B146,-1+SUMPRODUCT(MAX(ROW(E$2:E146)*(E147=E$2:E146)))))</f>
        <v>0</v>
      </c>
      <c r="J147" s="24">
        <f ca="1">IF(OR(E147="",E147="!!!",F147="NEW"),"",COUNTBLANK(OFFSET(A$1,,,SUMPRODUCT(MAX(ROW(E$2:E147)*(E147=E$2:E147)))))-COUNTBLANK(OFFSET(A$1,,,SUMPRODUCT(MAX(ROW(E$1:E146)*(E2=E$1:E146))))))</f>
        <v>0</v>
      </c>
      <c r="K147" s="24">
        <f ca="1">IF(OR(E147="",E147="!!!",F147="NEW"),"",INDEX(J$1:J146,SUMPRODUCT(MAX(ROW(E$1:E146)*(E147=E$1:E146)))))</f>
        <v>0</v>
      </c>
      <c r="L147" s="25"/>
    </row>
    <row r="148" spans="1:12" x14ac:dyDescent="0.3">
      <c r="A148" t="s">
        <v>159</v>
      </c>
      <c r="E148" s="20" t="str">
        <f t="shared" si="8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9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203</v>
      </c>
      <c r="E149" s="20" t="str">
        <f t="shared" si="8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9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130</v>
      </c>
      <c r="E150" s="20" t="str">
        <f t="shared" si="8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9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204</v>
      </c>
      <c r="E151" s="20" t="str">
        <f t="shared" si="8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9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205</v>
      </c>
      <c r="B152" s="26" t="s">
        <v>105</v>
      </c>
      <c r="C152" s="26" t="s">
        <v>114</v>
      </c>
      <c r="E152" s="20" t="str">
        <f t="shared" si="8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9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124</v>
      </c>
      <c r="E153" s="20" t="str">
        <f t="shared" si="8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9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206</v>
      </c>
      <c r="B154" s="26" t="s">
        <v>105</v>
      </c>
      <c r="C154" s="26" t="s">
        <v>100</v>
      </c>
      <c r="D154" s="26" t="s">
        <v>101</v>
      </c>
      <c r="E154" s="20" t="s">
        <v>332</v>
      </c>
      <c r="F154" s="21" t="str">
        <f>IF(OR(E154="",E154="!!!"),"",IF(NOT(ISNA(VLOOKUP(E154,E$1:E153,1,FALSE()))),"OLD",IF(AND(E154&lt;&gt;"",E154&lt;&gt;"!!!"),"NEW","")))</f>
        <v>NEW</v>
      </c>
      <c r="G154" s="22" t="s">
        <v>312</v>
      </c>
      <c r="H154" s="23" t="str">
        <f t="shared" ca="1" si="9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159</v>
      </c>
      <c r="E155" s="20" t="str">
        <f t="shared" si="8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9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117</v>
      </c>
      <c r="E156" s="20" t="str">
        <f t="shared" si="8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9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207</v>
      </c>
      <c r="E157" s="20" t="str">
        <f t="shared" si="8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9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208</v>
      </c>
      <c r="B158" s="26" t="s">
        <v>105</v>
      </c>
      <c r="C158" s="26" t="s">
        <v>209</v>
      </c>
      <c r="D158" s="26" t="s">
        <v>101</v>
      </c>
      <c r="E158" s="20" t="s">
        <v>318</v>
      </c>
      <c r="F158" s="21" t="str">
        <f>IF(OR(E158="",E158="!!!"),"",IF(NOT(ISNA(VLOOKUP(E158,E$1:E157,1,FALSE()))),"OLD",IF(AND(E158&lt;&gt;"",E158&lt;&gt;"!!!"),"NEW","")))</f>
        <v>OLD</v>
      </c>
      <c r="G158" s="22" t="str">
        <f ca="1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?IN_FOCUS</v>
      </c>
      <c r="H158" s="23" t="str">
        <f t="shared" ca="1" si="9"/>
        <v/>
      </c>
      <c r="I158" s="24" t="str">
        <f>IF(OR(E158="",E158="!!!",F158="NEW"),"",INDEX(B$2:B157,-1+SUMPRODUCT(MAX(ROW(E$2:E157)*(E158=E$2:E157)))))</f>
        <v>SBJ_2</v>
      </c>
      <c r="J158" s="24">
        <f ca="1">IF(OR(E158="",E158="!!!",F158="NEW"),"",COUNTBLANK(OFFSET(A$1,,,SUMPRODUCT(MAX(ROW(E$2:E158)*(E158=E$2:E158)))))-COUNTBLANK(OFFSET(A$1,,,SUMPRODUCT(MAX(ROW(E$1:E157)*(E2=E$1:E157))))))</f>
        <v>0</v>
      </c>
      <c r="K158" s="24">
        <f ca="1">IF(OR(E158="",E158="!!!",F158="NEW"),"",INDEX(J$1:J157,SUMPRODUCT(MAX(ROW(E$1:E157)*(E158=E$1:E157)))))</f>
        <v>0</v>
      </c>
      <c r="L158" s="25"/>
    </row>
    <row r="159" spans="1:12" x14ac:dyDescent="0.3">
      <c r="A159" t="s">
        <v>210</v>
      </c>
      <c r="E159" s="20" t="str">
        <f t="shared" si="8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9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211</v>
      </c>
      <c r="B160" s="26" t="s">
        <v>163</v>
      </c>
      <c r="C160" s="26" t="s">
        <v>144</v>
      </c>
      <c r="D160" s="26" t="s">
        <v>101</v>
      </c>
      <c r="E160" s="20" t="s">
        <v>333</v>
      </c>
      <c r="F160" s="21" t="str">
        <f>IF(OR(E160="",E160="!!!"),"",IF(NOT(ISNA(VLOOKUP(E160,E$1:E159,1,FALSE()))),"OLD",IF(AND(E160&lt;&gt;"",E160&lt;&gt;"!!!"),"NEW","")))</f>
        <v>NEW</v>
      </c>
      <c r="G160" s="22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?REFERENTIAL</v>
      </c>
      <c r="H160" s="23" t="str">
        <f t="shared" ca="1" si="9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177</v>
      </c>
      <c r="E161" s="20" t="str">
        <f t="shared" si="8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9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204</v>
      </c>
      <c r="E162" s="20" t="str">
        <f t="shared" si="8"/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9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112</v>
      </c>
      <c r="B163" s="26" t="s">
        <v>133</v>
      </c>
      <c r="C163" s="26" t="s">
        <v>164</v>
      </c>
      <c r="E163" s="20" t="str">
        <f t="shared" si="8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9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103</v>
      </c>
      <c r="E164" s="20" t="str">
        <f t="shared" si="8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9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104</v>
      </c>
      <c r="B165" s="26" t="s">
        <v>113</v>
      </c>
      <c r="C165" s="26" t="s">
        <v>100</v>
      </c>
      <c r="D165" s="26" t="s">
        <v>101</v>
      </c>
      <c r="E165" s="20" t="s">
        <v>323</v>
      </c>
      <c r="F165" s="21" t="str">
        <f>IF(OR(E165="",E165="!!!"),"",IF(NOT(ISNA(VLOOKUP(E165,E$1:E164,1,FALSE()))),"OLD",IF(AND(E165&lt;&gt;"",E165&lt;&gt;"!!!"),"NEW","")))</f>
        <v>OLD</v>
      </c>
      <c r="G165" s="22" t="s">
        <v>312</v>
      </c>
      <c r="H165" s="23" t="str">
        <f t="shared" ca="1" si="9"/>
        <v/>
      </c>
      <c r="I165" s="24" t="str">
        <f>IF(OR(E165="",E165="!!!",F165="NEW"),"",INDEX(B$2:B164,-1+SUMPRODUCT(MAX(ROW(E$2:E164)*(E165=E$2:E164)))))</f>
        <v>other_2</v>
      </c>
      <c r="J165" s="24">
        <f ca="1">IF(OR(E165="",E165="!!!",F165="NEW"),"",COUNTBLANK(OFFSET(A$1,,,SUMPRODUCT(MAX(ROW(E$2:E165)*(E165=E$2:E165)))))-COUNTBLANK(OFFSET(A$1,,,SUMPRODUCT(MAX(ROW(E$1:E164)*(E2=E$1:E164))))))</f>
        <v>0</v>
      </c>
      <c r="K165" s="24">
        <f ca="1">IF(OR(E165="",E165="!!!",F165="NEW"),"",INDEX(J$1:J164,SUMPRODUCT(MAX(ROW(E$1:E164)*(E165=E$1:E164)))))</f>
        <v>0</v>
      </c>
      <c r="L165" s="25"/>
    </row>
    <row r="166" spans="1:12" x14ac:dyDescent="0.3">
      <c r="A166" t="s">
        <v>106</v>
      </c>
      <c r="E166" s="20" t="str">
        <f t="shared" si="8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9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142</v>
      </c>
      <c r="E167" s="20" t="str">
        <f t="shared" si="8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9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ht="28.8" x14ac:dyDescent="0.3">
      <c r="A168" t="s">
        <v>212</v>
      </c>
      <c r="B168" s="26" t="s">
        <v>105</v>
      </c>
      <c r="C168" s="26" t="s">
        <v>144</v>
      </c>
      <c r="D168" s="26" t="s">
        <v>101</v>
      </c>
      <c r="E168" s="20"/>
      <c r="F168" s="21" t="s">
        <v>334</v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9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 t="s">
        <v>348</v>
      </c>
    </row>
    <row r="169" spans="1:12" x14ac:dyDescent="0.3">
      <c r="A169" t="s">
        <v>213</v>
      </c>
      <c r="E169" s="20" t="str">
        <f t="shared" si="8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9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214</v>
      </c>
      <c r="B170" s="26" t="s">
        <v>113</v>
      </c>
      <c r="C170" s="26" t="s">
        <v>164</v>
      </c>
      <c r="E170" s="20" t="str">
        <f t="shared" si="8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9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ht="28.8" x14ac:dyDescent="0.3">
      <c r="A171" t="s">
        <v>215</v>
      </c>
      <c r="E171" s="20" t="s">
        <v>335</v>
      </c>
      <c r="F171" s="21" t="str">
        <f>IF(OR(E171="",E171="!!!"),"",IF(NOT(ISNA(VLOOKUP(E171,E$1:E170,1,FALSE()))),"OLD",IF(AND(E171&lt;&gt;"",E171&lt;&gt;"!!!"),"NEW","")))</f>
        <v>NEW</v>
      </c>
      <c r="G171" s="22" t="s">
        <v>312</v>
      </c>
      <c r="H171" s="23" t="str">
        <f t="shared" ca="1" si="9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 t="s">
        <v>349</v>
      </c>
    </row>
    <row r="172" spans="1:12" x14ac:dyDescent="0.3">
      <c r="A172" t="s">
        <v>216</v>
      </c>
      <c r="E172" s="20" t="str">
        <f t="shared" si="8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9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217</v>
      </c>
      <c r="B173" s="26" t="s">
        <v>113</v>
      </c>
      <c r="C173" s="26" t="s">
        <v>95</v>
      </c>
      <c r="E173" s="20" t="str">
        <f t="shared" si="8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9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218</v>
      </c>
      <c r="E174" s="20" t="str">
        <f t="shared" si="8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9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137</v>
      </c>
      <c r="E175" s="20" t="str">
        <f t="shared" si="8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9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7" spans="1:12" x14ac:dyDescent="0.3">
      <c r="A177" t="s">
        <v>138</v>
      </c>
      <c r="E177" s="20" t="str">
        <f>IF(D177="?OLD","!!!","")</f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ca="1">IF(J177&lt;&gt;1,"",IF(I177="SBJ","CB","?"))</f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219</v>
      </c>
    </row>
    <row r="179" spans="1:12" x14ac:dyDescent="0.3">
      <c r="A179" t="s">
        <v>108</v>
      </c>
      <c r="E179" s="20" t="str">
        <f t="shared" ref="E179:E196" si="10">IF(D179="?OLD","!!!","")</f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ref="H179:H196" ca="1" si="11">IF(J179&lt;&gt;1,"",IF(I179="SBJ","CB","?"))</f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220</v>
      </c>
      <c r="B180" s="26" t="s">
        <v>94</v>
      </c>
      <c r="C180" s="26" t="s">
        <v>114</v>
      </c>
      <c r="E180" s="20" t="s">
        <v>336</v>
      </c>
      <c r="F180" s="21" t="str">
        <f>IF(OR(E180="",E180="!!!"),"",IF(NOT(ISNA(VLOOKUP(E180,E$1:E179,1,FALSE()))),"OLD",IF(AND(E180&lt;&gt;"",E180&lt;&gt;"!!!"),"NEW","")))</f>
        <v>NEW</v>
      </c>
      <c r="G180" s="22" t="s">
        <v>315</v>
      </c>
      <c r="H180" s="23" t="str">
        <f t="shared" ca="1" si="11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169</v>
      </c>
      <c r="E181" s="20" t="str">
        <f t="shared" si="10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1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212</v>
      </c>
      <c r="B182" s="26" t="s">
        <v>133</v>
      </c>
      <c r="C182" s="26" t="s">
        <v>164</v>
      </c>
      <c r="E182" s="20" t="str">
        <f t="shared" si="10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1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213</v>
      </c>
      <c r="E183" s="20" t="str">
        <f t="shared" si="10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1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214</v>
      </c>
      <c r="B184" s="26" t="s">
        <v>133</v>
      </c>
      <c r="C184" s="26" t="s">
        <v>164</v>
      </c>
      <c r="E184" s="20" t="s">
        <v>335</v>
      </c>
      <c r="F184" s="21" t="str">
        <f>IF(OR(E184="",E184="!!!"),"",IF(NOT(ISNA(VLOOKUP(E184,E$1:E183,1,FALSE()))),"OLD",IF(AND(E184&lt;&gt;"",E184&lt;&gt;"!!!"),"NEW","")))</f>
        <v>OLD</v>
      </c>
      <c r="G184" s="22" t="s">
        <v>345</v>
      </c>
      <c r="H184" s="23" t="str">
        <f t="shared" ca="1" si="11"/>
        <v/>
      </c>
      <c r="I184" s="24">
        <f>IF(OR(E184="",E184="!!!",F184="NEW"),"",INDEX(B$2:B183,-1+SUMPRODUCT(MAX(ROW(E$2:E183)*(E184=E$2:E183)))))</f>
        <v>0</v>
      </c>
      <c r="J184" s="24">
        <f ca="1">IF(OR(E184="",E184="!!!",F184="NEW"),"",COUNTBLANK(OFFSET(A$1,,,SUMPRODUCT(MAX(ROW(E$2:E184)*(E184=E$2:E184)))))-COUNTBLANK(OFFSET(A$1,,,SUMPRODUCT(MAX(ROW(E$1:E183)*(E2=E$1:E183))))))</f>
        <v>0</v>
      </c>
      <c r="K184" s="24" t="str">
        <f ca="1">IF(OR(E184="",E184="!!!",F184="NEW"),"",INDEX(J$1:J183,SUMPRODUCT(MAX(ROW(E$1:E183)*(E184=E$1:E183)))))</f>
        <v/>
      </c>
      <c r="L184" s="25"/>
    </row>
    <row r="185" spans="1:12" x14ac:dyDescent="0.3">
      <c r="A185" t="s">
        <v>184</v>
      </c>
      <c r="E185" s="20" t="str">
        <f t="shared" si="10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1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221</v>
      </c>
      <c r="B186" s="26" t="s">
        <v>147</v>
      </c>
      <c r="C186" s="26" t="s">
        <v>148</v>
      </c>
      <c r="D186" s="26" t="s">
        <v>101</v>
      </c>
      <c r="E186" s="20" t="s">
        <v>335</v>
      </c>
      <c r="F186" s="21" t="str">
        <f>IF(OR(E186="",E186="!!!"),"",IF(NOT(ISNA(VLOOKUP(E186,E$1:E185,1,FALSE()))),"OLD",IF(AND(E186&lt;&gt;"",E186&lt;&gt;"!!!"),"NEW","")))</f>
        <v>OLD</v>
      </c>
      <c r="G186" s="22" t="str">
        <f ca="1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?IN_FOCUS</v>
      </c>
      <c r="H186" s="23" t="str">
        <f t="shared" ca="1" si="11"/>
        <v/>
      </c>
      <c r="I186" s="24" t="str">
        <f>IF(OR(E186="",E186="!!!",F186="NEW"),"",INDEX(B$2:B185,-1+SUMPRODUCT(MAX(ROW(E$2:E185)*(E186=E$2:E185)))))</f>
        <v>other_2</v>
      </c>
      <c r="J186" s="24">
        <f ca="1">IF(OR(E186="",E186="!!!",F186="NEW"),"",COUNTBLANK(OFFSET(A$1,,,SUMPRODUCT(MAX(ROW(E$2:E186)*(E186=E$2:E186)))))-COUNTBLANK(OFFSET(A$1,,,SUMPRODUCT(MAX(ROW(E$1:E185)*(E2=E$1:E185))))))</f>
        <v>0</v>
      </c>
      <c r="K186" s="24">
        <f ca="1">IF(OR(E186="",E186="!!!",F186="NEW"),"",INDEX(J$1:J185,SUMPRODUCT(MAX(ROW(E$1:E185)*(E186=E$1:E185)))))</f>
        <v>0</v>
      </c>
      <c r="L186" s="25"/>
    </row>
    <row r="187" spans="1:12" x14ac:dyDescent="0.3">
      <c r="A187" t="s">
        <v>165</v>
      </c>
      <c r="E187" s="20" t="str">
        <f t="shared" si="10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1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161</v>
      </c>
      <c r="E188" s="20" t="str">
        <f t="shared" si="10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1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222</v>
      </c>
      <c r="E189" s="20" t="str">
        <f t="shared" si="10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1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191</v>
      </c>
      <c r="E190" s="20" t="str">
        <f t="shared" si="10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1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223</v>
      </c>
      <c r="E191" s="20" t="str">
        <f t="shared" si="10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1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161</v>
      </c>
      <c r="E192" s="20" t="str">
        <f t="shared" si="10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1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224</v>
      </c>
      <c r="E193" s="20" t="str">
        <f t="shared" si="10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1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208</v>
      </c>
      <c r="B194" s="26" t="s">
        <v>105</v>
      </c>
      <c r="C194" s="26" t="s">
        <v>209</v>
      </c>
      <c r="D194" s="26" t="s">
        <v>101</v>
      </c>
      <c r="E194" s="20" t="s">
        <v>310</v>
      </c>
      <c r="F194" s="21" t="str">
        <f>IF(OR(E194="",E194="!!!"),"",IF(NOT(ISNA(VLOOKUP(E194,E$1:E193,1,FALSE()))),"OLD",IF(AND(E194&lt;&gt;"",E194&lt;&gt;"!!!"),"NEW","")))</f>
        <v>OLD</v>
      </c>
      <c r="G194" s="22" t="str">
        <f ca="1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?IN_FOCUS</v>
      </c>
      <c r="H194" s="23" t="s">
        <v>87</v>
      </c>
      <c r="I194" s="24" t="str">
        <f>IF(OR(E194="",E194="!!!",F194="NEW"),"",INDEX(B$2:B193,-1+SUMPRODUCT(MAX(ROW(E$2:E193)*(E194=E$2:E193)))))</f>
        <v>other_2</v>
      </c>
      <c r="J194" s="24">
        <f ca="1">IF(OR(E194="",E194="!!!",F194="NEW"),"",COUNTBLANK(OFFSET(A$1,,,SUMPRODUCT(MAX(ROW(E$2:E194)*(E194=E$2:E194)))))-COUNTBLANK(OFFSET(A$1,,,SUMPRODUCT(MAX(ROW(E$1:E193)*(E2=E$1:E193))))))</f>
        <v>0</v>
      </c>
      <c r="K194" s="24">
        <f ca="1">IF(OR(E194="",E194="!!!",F194="NEW"),"",INDEX(J$1:J193,SUMPRODUCT(MAX(ROW(E$1:E193)*(E194=E$1:E193)))))</f>
        <v>0</v>
      </c>
      <c r="L194" s="25"/>
    </row>
    <row r="195" spans="1:12" x14ac:dyDescent="0.3">
      <c r="A195" t="s">
        <v>188</v>
      </c>
      <c r="B195" s="26" t="s">
        <v>133</v>
      </c>
      <c r="C195" s="26" t="s">
        <v>144</v>
      </c>
      <c r="D195" s="26" t="s">
        <v>101</v>
      </c>
      <c r="E195" s="20" t="s">
        <v>329</v>
      </c>
      <c r="F195" s="21" t="str">
        <f>IF(OR(E195="",E195="!!!"),"",IF(NOT(ISNA(VLOOKUP(E195,E$1:E194,1,FALSE()))),"OLD",IF(AND(E195&lt;&gt;"",E195&lt;&gt;"!!!"),"NEW","")))</f>
        <v>OLD</v>
      </c>
      <c r="G195" s="22" t="s">
        <v>312</v>
      </c>
      <c r="H195" s="23"/>
      <c r="I195" s="24" t="str">
        <f>IF(OR(E195="",E195="!!!",F195="NEW"),"",INDEX(B$2:B194,-1+SUMPRODUCT(MAX(ROW(E$2:E194)*(E195=E$2:E194)))))</f>
        <v>SBJ_2</v>
      </c>
      <c r="J195" s="24">
        <f ca="1">IF(OR(E195="",E195="!!!",F195="NEW"),"",COUNTBLANK(OFFSET(A$1,,,SUMPRODUCT(MAX(ROW(E$2:E195)*(E195=E$2:E195)))))-COUNTBLANK(OFFSET(A$1,,,SUMPRODUCT(MAX(ROW(E$1:E194)*(E2=E$1:E194))))))</f>
        <v>0</v>
      </c>
      <c r="K195" s="24" t="str">
        <f ca="1">IF(OR(E195="",E195="!!!",F195="NEW"),"",INDEX(J$1:J194,SUMPRODUCT(MAX(ROW(E$1:E194)*(E195=E$1:E194)))))</f>
        <v/>
      </c>
      <c r="L195" s="25"/>
    </row>
    <row r="196" spans="1:12" x14ac:dyDescent="0.3">
      <c r="A196" t="s">
        <v>137</v>
      </c>
      <c r="E196" s="20" t="str">
        <f t="shared" si="10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1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8" spans="1:12" x14ac:dyDescent="0.3">
      <c r="A198" t="s">
        <v>138</v>
      </c>
      <c r="E198" s="20" t="str">
        <f>IF(D198="?OLD","!!!","")</f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ca="1">IF(J198&lt;&gt;1,"",IF(I198="SBJ","CB","?"))</f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225</v>
      </c>
    </row>
    <row r="200" spans="1:12" x14ac:dyDescent="0.3">
      <c r="A200" t="s">
        <v>161</v>
      </c>
      <c r="E200" s="20" t="str">
        <f t="shared" ref="E200:E224" si="12">IF(D200="?OLD","!!!","")</f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ref="H200:H224" ca="1" si="13">IF(J200&lt;&gt;1,"",IF(I200="SBJ","CB","?"))</f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226</v>
      </c>
      <c r="B201" s="26" t="s">
        <v>147</v>
      </c>
      <c r="C201" s="26" t="s">
        <v>148</v>
      </c>
      <c r="D201" s="26" t="s">
        <v>101</v>
      </c>
      <c r="E201" s="20" t="s">
        <v>335</v>
      </c>
      <c r="F201" s="21" t="str">
        <f>IF(OR(E201="",E201="!!!"),"",IF(NOT(ISNA(VLOOKUP(E201,E$1:E200,1,FALSE()))),"OLD",IF(AND(E201&lt;&gt;"",E201&lt;&gt;"!!!"),"NEW","")))</f>
        <v>OLD</v>
      </c>
      <c r="G201" s="22" t="str">
        <f ca="1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?IN_FOCUS</v>
      </c>
      <c r="H201" s="23" t="s">
        <v>87</v>
      </c>
      <c r="I201" s="24" t="str">
        <f>IF(OR(E201="",E201="!!!",F201="NEW"),"",INDEX(B$2:B200,-1+SUMPRODUCT(MAX(ROW(E$2:E200)*(E201=E$2:E200)))))</f>
        <v>SBJ_2</v>
      </c>
      <c r="J201" s="24">
        <f ca="1">IF(OR(E201="",E201="!!!",F201="NEW"),"",COUNTBLANK(OFFSET(A$1,,,SUMPRODUCT(MAX(ROW(E$2:E201)*(E201=E$2:E201)))))-COUNTBLANK(OFFSET(A$1,,,SUMPRODUCT(MAX(ROW(E$1:E200)*(E2=E$1:E200))))))</f>
        <v>0</v>
      </c>
      <c r="K201" s="24">
        <f ca="1">IF(OR(E201="",E201="!!!",F201="NEW"),"",INDEX(J$1:J200,SUMPRODUCT(MAX(ROW(E$1:E200)*(E201=E$1:E200)))))</f>
        <v>0</v>
      </c>
      <c r="L201" s="25"/>
    </row>
    <row r="202" spans="1:12" x14ac:dyDescent="0.3">
      <c r="A202" t="s">
        <v>227</v>
      </c>
      <c r="E202" s="20" t="str">
        <f t="shared" si="12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3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130</v>
      </c>
      <c r="E203" s="20" t="str">
        <f t="shared" si="12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3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228</v>
      </c>
      <c r="E204" s="20" t="str">
        <f t="shared" si="12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3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229</v>
      </c>
      <c r="B205" s="26" t="s">
        <v>127</v>
      </c>
      <c r="C205" s="26" t="s">
        <v>114</v>
      </c>
      <c r="E205" s="20" t="str">
        <f t="shared" si="12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3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202</v>
      </c>
      <c r="B206" s="26" t="s">
        <v>99</v>
      </c>
      <c r="E206" s="20" t="str">
        <f t="shared" si="12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3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230</v>
      </c>
      <c r="E207" s="20" t="str">
        <f t="shared" si="12"/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3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231</v>
      </c>
      <c r="E208" s="20" t="str">
        <f t="shared" si="12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3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130</v>
      </c>
      <c r="E209" s="20" t="str">
        <f t="shared" si="12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13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232</v>
      </c>
      <c r="E210" s="20" t="str">
        <f t="shared" si="12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13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233</v>
      </c>
      <c r="E211" s="20" t="str">
        <f t="shared" si="12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3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234</v>
      </c>
      <c r="B212" s="26" t="s">
        <v>105</v>
      </c>
      <c r="C212" s="26" t="s">
        <v>114</v>
      </c>
      <c r="E212" s="20" t="str">
        <f t="shared" si="12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3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191</v>
      </c>
      <c r="E213" s="20" t="str">
        <f t="shared" si="12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13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146</v>
      </c>
      <c r="B214" s="26" t="s">
        <v>99</v>
      </c>
      <c r="C214" s="26" t="s">
        <v>148</v>
      </c>
      <c r="D214" s="26" t="s">
        <v>101</v>
      </c>
      <c r="E214" s="20" t="s">
        <v>318</v>
      </c>
      <c r="F214" s="21" t="str">
        <f>IF(OR(E214="",E214="!!!"),"",IF(NOT(ISNA(VLOOKUP(E214,E$1:E213,1,FALSE()))),"OLD",IF(AND(E214&lt;&gt;"",E214&lt;&gt;"!!!"),"NEW","")))</f>
        <v>OLD</v>
      </c>
      <c r="G214" s="22" t="str">
        <f ca="1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?IN_FOCUS</v>
      </c>
      <c r="H214" s="23" t="str">
        <f t="shared" ca="1" si="13"/>
        <v/>
      </c>
      <c r="I214" s="24" t="str">
        <f>IF(OR(E214="",E214="!!!",F214="NEW"),"",INDEX(B$2:B213,-1+SUMPRODUCT(MAX(ROW(E$2:E213)*(E214=E$2:E213)))))</f>
        <v>other_3</v>
      </c>
      <c r="J214" s="24">
        <f ca="1">IF(OR(E214="",E214="!!!",F214="NEW"),"",COUNTBLANK(OFFSET(A$1,,,SUMPRODUCT(MAX(ROW(E$2:E214)*(E214=E$2:E214)))))-COUNTBLANK(OFFSET(A$1,,,SUMPRODUCT(MAX(ROW(E$1:E213)*(E2=E$1:E213))))))</f>
        <v>0</v>
      </c>
      <c r="K214" s="24">
        <f ca="1">IF(OR(E214="",E214="!!!",F214="NEW"),"",INDEX(J$1:J213,SUMPRODUCT(MAX(ROW(E$1:E213)*(E214=E$1:E213)))))</f>
        <v>0</v>
      </c>
      <c r="L214" s="25"/>
    </row>
    <row r="215" spans="1:12" x14ac:dyDescent="0.3">
      <c r="A215" t="s">
        <v>235</v>
      </c>
      <c r="E215" s="20" t="str">
        <f t="shared" si="12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3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236</v>
      </c>
      <c r="E216" s="20" t="str">
        <f t="shared" si="12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3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237</v>
      </c>
      <c r="E217" s="20" t="str">
        <f t="shared" si="12"/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3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238</v>
      </c>
      <c r="E218" s="20" t="str">
        <f t="shared" si="12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3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159</v>
      </c>
      <c r="E219" s="20" t="str">
        <f t="shared" si="12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3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161</v>
      </c>
      <c r="E220" s="20" t="str">
        <f t="shared" si="12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3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125</v>
      </c>
      <c r="E221" s="20" t="str">
        <f t="shared" si="12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13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220</v>
      </c>
      <c r="B222" s="26" t="s">
        <v>94</v>
      </c>
      <c r="C222" s="26" t="s">
        <v>128</v>
      </c>
      <c r="D222" s="26" t="s">
        <v>101</v>
      </c>
      <c r="E222" s="20" t="s">
        <v>336</v>
      </c>
      <c r="F222" s="21" t="str">
        <f>IF(OR(E222="",E222="!!!"),"",IF(NOT(ISNA(VLOOKUP(E222,E$1:E221,1,FALSE()))),"OLD",IF(AND(E222&lt;&gt;"",E222&lt;&gt;"!!!"),"NEW","")))</f>
        <v>OLD</v>
      </c>
      <c r="G222" s="22" t="str">
        <f ca="1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?IN_FOCUS</v>
      </c>
      <c r="H222" s="23"/>
      <c r="I222" s="24" t="str">
        <f>IF(OR(E222="",E222="!!!",F222="NEW"),"",INDEX(B$2:B221,-1+SUMPRODUCT(MAX(ROW(E$2:E221)*(E222=E$2:E221)))))</f>
        <v>SBJ</v>
      </c>
      <c r="J222" s="24">
        <f ca="1">IF(OR(E222="",E222="!!!",F222="NEW"),"",COUNTBLANK(OFFSET(A$1,,,SUMPRODUCT(MAX(ROW(E$2:E222)*(E222=E$2:E222)))))-COUNTBLANK(OFFSET(A$1,,,SUMPRODUCT(MAX(ROW(E$1:E221)*(E2=E$1:E221))))))</f>
        <v>0</v>
      </c>
      <c r="K222" s="24" t="str">
        <f ca="1">IF(OR(E222="",E222="!!!",F222="NEW"),"",INDEX(J$1:J221,SUMPRODUCT(MAX(ROW(E$1:E221)*(E222=E$1:E221)))))</f>
        <v/>
      </c>
      <c r="L222" s="25"/>
    </row>
    <row r="223" spans="1:12" x14ac:dyDescent="0.3">
      <c r="A223" t="s">
        <v>184</v>
      </c>
      <c r="E223" s="20" t="str">
        <f t="shared" si="12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3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137</v>
      </c>
      <c r="E224" s="20" t="str">
        <f t="shared" si="12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6" spans="1:12" x14ac:dyDescent="0.3">
      <c r="A226" t="s">
        <v>239</v>
      </c>
    </row>
    <row r="227" spans="1:12" x14ac:dyDescent="0.3">
      <c r="A227" t="s">
        <v>240</v>
      </c>
      <c r="B227" s="26" t="s">
        <v>133</v>
      </c>
      <c r="C227" s="26" t="s">
        <v>209</v>
      </c>
      <c r="D227" s="26" t="s">
        <v>101</v>
      </c>
      <c r="E227" s="20" t="s">
        <v>335</v>
      </c>
      <c r="F227" s="21" t="str">
        <f>IF(OR(E227="",E227="!!!"),"",IF(NOT(ISNA(VLOOKUP(E227,E$1:E226,1,FALSE()))),"OLD",IF(AND(E227&lt;&gt;"",E227&lt;&gt;"!!!"),"NEW","")))</f>
        <v>OLD</v>
      </c>
      <c r="G227" s="22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?IN_FOCUS</v>
      </c>
      <c r="H227" s="23" t="s">
        <v>87</v>
      </c>
      <c r="I227" s="24" t="str">
        <f>IF(OR(E227="",E227="!!!",F227="NEW"),"",INDEX(B$2:B226,-1+SUMPRODUCT(MAX(ROW(E$2:E226)*(E227=E$2:E226)))))</f>
        <v>SBJ_2</v>
      </c>
      <c r="J227" s="24">
        <f ca="1">IF(OR(E227="",E227="!!!",F227="NEW"),"",COUNTBLANK(OFFSET(A$1,,,SUMPRODUCT(MAX(ROW(E$2:E227)*(E227=E$2:E227)))))-COUNTBLANK(OFFSET(A$1,,,SUMPRODUCT(MAX(ROW(E$1:E226)*(E2=E$1:E226))))))</f>
        <v>0</v>
      </c>
      <c r="K227" s="24">
        <f ca="1">IF(OR(E227="",E227="!!!",F227="NEW"),"",INDEX(J$1:J226,SUMPRODUCT(MAX(ROW(E$1:E226)*(E227=E$1:E226)))))</f>
        <v>0</v>
      </c>
      <c r="L227" s="25"/>
    </row>
    <row r="228" spans="1:12" x14ac:dyDescent="0.3">
      <c r="A228" t="s">
        <v>241</v>
      </c>
      <c r="B228" s="26" t="s">
        <v>94</v>
      </c>
      <c r="C228" s="26" t="s">
        <v>144</v>
      </c>
      <c r="D228" s="26" t="s">
        <v>101</v>
      </c>
      <c r="E228" s="20"/>
      <c r="F228" s="21" t="s">
        <v>337</v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ref="H228:H242" ca="1" si="14">IF(J228&lt;&gt;1,"",IF(I228="SBJ","CB","?"))</f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191</v>
      </c>
      <c r="E229" s="20" t="str">
        <f t="shared" ref="E229:E242" si="15">IF(D229="?OLD","!!!","")</f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4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242</v>
      </c>
      <c r="B230" s="26" t="s">
        <v>133</v>
      </c>
      <c r="C230" s="26" t="s">
        <v>164</v>
      </c>
      <c r="E230" s="20" t="str">
        <f t="shared" si="15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4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227</v>
      </c>
      <c r="E231" s="20" t="str">
        <f t="shared" si="15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4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243</v>
      </c>
      <c r="E232" s="20" t="str">
        <f t="shared" si="15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14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179</v>
      </c>
      <c r="B233" s="26" t="s">
        <v>127</v>
      </c>
      <c r="C233" s="26" t="s">
        <v>100</v>
      </c>
      <c r="D233" s="26" t="s">
        <v>101</v>
      </c>
      <c r="E233" s="20" t="s">
        <v>318</v>
      </c>
      <c r="F233" s="21" t="str">
        <f>IF(OR(E233="",E233="!!!"),"",IF(NOT(ISNA(VLOOKUP(E233,E$1:E232,1,FALSE()))),"OLD",IF(AND(E233&lt;&gt;"",E233&lt;&gt;"!!!"),"NEW","")))</f>
        <v>OLD</v>
      </c>
      <c r="G233" s="22" t="str">
        <f ca="1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?IN_FOCUS</v>
      </c>
      <c r="H233" s="23" t="str">
        <f t="shared" ca="1" si="14"/>
        <v/>
      </c>
      <c r="I233" s="24" t="str">
        <f>IF(OR(E233="",E233="!!!",F233="NEW"),"",INDEX(B$2:B232,-1+SUMPRODUCT(MAX(ROW(E$2:E232)*(E233=E$2:E232)))))</f>
        <v>SBJ_3</v>
      </c>
      <c r="J233" s="24">
        <f ca="1">IF(OR(E233="",E233="!!!",F233="NEW"),"",COUNTBLANK(OFFSET(A$1,,,SUMPRODUCT(MAX(ROW(E$2:E233)*(E233=E$2:E233)))))-COUNTBLANK(OFFSET(A$1,,,SUMPRODUCT(MAX(ROW(E$1:E232)*(E2=E$1:E232))))))</f>
        <v>0</v>
      </c>
      <c r="K233" s="24">
        <f ca="1">IF(OR(E233="",E233="!!!",F233="NEW"),"",INDEX(J$1:J232,SUMPRODUCT(MAX(ROW(E$1:E232)*(E233=E$1:E232)))))</f>
        <v>0</v>
      </c>
      <c r="L233" s="25"/>
    </row>
    <row r="234" spans="1:12" x14ac:dyDescent="0.3">
      <c r="A234" t="s">
        <v>142</v>
      </c>
      <c r="E234" s="20" t="str">
        <f t="shared" si="15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4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 t="s">
        <v>319</v>
      </c>
    </row>
    <row r="235" spans="1:12" x14ac:dyDescent="0.3">
      <c r="A235" t="s">
        <v>234</v>
      </c>
      <c r="B235" s="26" t="s">
        <v>127</v>
      </c>
      <c r="C235" s="26" t="s">
        <v>144</v>
      </c>
      <c r="D235" s="26" t="s">
        <v>101</v>
      </c>
      <c r="E235" s="20" t="s">
        <v>338</v>
      </c>
      <c r="F235" s="21" t="str">
        <f>IF(OR(E235="",E235="!!!"),"",IF(NOT(ISNA(VLOOKUP(E235,E$1:E234,1,FALSE()))),"OLD",IF(AND(E235&lt;&gt;"",E235&lt;&gt;"!!!"),"NEW","")))</f>
        <v>NEW</v>
      </c>
      <c r="G235" s="22" t="s">
        <v>320</v>
      </c>
      <c r="H235" s="23" t="str">
        <f t="shared" ca="1" si="14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191</v>
      </c>
      <c r="E236" s="20" t="str">
        <f t="shared" si="15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4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244</v>
      </c>
      <c r="B237" s="26" t="s">
        <v>127</v>
      </c>
      <c r="C237" s="26" t="s">
        <v>164</v>
      </c>
      <c r="E237" s="20" t="str">
        <f t="shared" si="15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14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103</v>
      </c>
      <c r="E238" s="20" t="str">
        <f t="shared" si="15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14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134</v>
      </c>
      <c r="E239" s="20" t="str">
        <f t="shared" si="15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4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245</v>
      </c>
      <c r="E240" s="20" t="str">
        <f t="shared" si="15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4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246</v>
      </c>
      <c r="B241" s="26" t="s">
        <v>127</v>
      </c>
      <c r="C241" s="26" t="s">
        <v>136</v>
      </c>
      <c r="D241" s="26" t="s">
        <v>101</v>
      </c>
      <c r="E241" s="20" t="s">
        <v>246</v>
      </c>
      <c r="F241" s="21" t="s">
        <v>313</v>
      </c>
      <c r="G241" s="22" t="s">
        <v>315</v>
      </c>
      <c r="H241" s="23" t="str">
        <f t="shared" ca="1" si="14"/>
        <v/>
      </c>
      <c r="I241" s="24" t="e">
        <f>IF(OR(E241="",E241="!!!",F241="NEW"),"",INDEX(B$2:B240,-1+SUMPRODUCT(MAX(ROW(E$2:E240)*(E241=E$2:E240)))))</f>
        <v>#VALUE!</v>
      </c>
      <c r="J241" s="24">
        <f ca="1">IF(OR(E241="",E241="!!!",F241="NEW"),"",COUNTBLANK(OFFSET(A$1,,,SUMPRODUCT(MAX(ROW(E$2:E241)*(E241=E$2:E241)))))-COUNTBLANK(OFFSET(A$1,,,SUMPRODUCT(MAX(ROW(E$1:E240)*(E2=E$1:E240))))))</f>
        <v>0</v>
      </c>
      <c r="K241" s="24" t="e">
        <f>IF(OR(E241="",E241="!!!",F241="NEW"),"",INDEX(J$1:J240,SUMPRODUCT(MAX(ROW(E$1:E240)*(E241=E$1:E240)))))</f>
        <v>#VALUE!</v>
      </c>
      <c r="L241" s="25"/>
    </row>
    <row r="242" spans="1:12" x14ac:dyDescent="0.3">
      <c r="A242" t="s">
        <v>137</v>
      </c>
      <c r="E242" s="20" t="str">
        <f t="shared" si="15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14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4" spans="1:12" x14ac:dyDescent="0.3">
      <c r="A244" t="s">
        <v>138</v>
      </c>
      <c r="E244" s="20" t="str">
        <f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ca="1">IF(J244&lt;&gt;1,"",IF(I244="SBJ","CB","?"))</f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247</v>
      </c>
    </row>
    <row r="246" spans="1:12" x14ac:dyDescent="0.3">
      <c r="A246" t="s">
        <v>197</v>
      </c>
      <c r="B246" s="26" t="s">
        <v>94</v>
      </c>
      <c r="C246" s="26" t="s">
        <v>100</v>
      </c>
      <c r="D246" s="26" t="s">
        <v>101</v>
      </c>
      <c r="E246" s="20" t="s">
        <v>330</v>
      </c>
      <c r="F246" s="21" t="str">
        <f>IF(OR(E246="",E246="!!!"),"",IF(NOT(ISNA(VLOOKUP(E246,E$1:E245,1,FALSE()))),"OLD",IF(AND(E246&lt;&gt;"",E246&lt;&gt;"!!!"),"NEW","")))</f>
        <v>OLD</v>
      </c>
      <c r="G246" s="22" t="s">
        <v>312</v>
      </c>
      <c r="H246" s="23" t="str">
        <f t="shared" ref="H246:H267" ca="1" si="16">IF(J246&lt;&gt;1,"",IF(I246="SBJ","CB","?"))</f>
        <v/>
      </c>
      <c r="I246" s="24" t="str">
        <f>IF(OR(E246="",E246="!!!",F246="NEW"),"",INDEX(B$2:B245,-1+SUMPRODUCT(MAX(ROW(E$2:E245)*(E246=E$2:E245)))))</f>
        <v>other_2</v>
      </c>
      <c r="J246" s="24">
        <f ca="1">IF(OR(E246="",E246="!!!",F246="NEW"),"",COUNTBLANK(OFFSET(A$1,,,SUMPRODUCT(MAX(ROW(E$2:E246)*(E246=E$2:E246)))))-COUNTBLANK(OFFSET(A$1,,,SUMPRODUCT(MAX(ROW(E$1:E245)*(E2=E$1:E245))))))</f>
        <v>0</v>
      </c>
      <c r="K246" s="24">
        <f ca="1">IF(OR(E246="",E246="!!!",F246="NEW"),"",INDEX(J$1:J245,SUMPRODUCT(MAX(ROW(E$1:E245)*(E246=E$1:E245)))))</f>
        <v>0</v>
      </c>
      <c r="L246" s="25"/>
    </row>
    <row r="247" spans="1:12" x14ac:dyDescent="0.3">
      <c r="A247" t="s">
        <v>180</v>
      </c>
      <c r="E247" s="20" t="str">
        <f t="shared" ref="E247:E267" si="17">IF(D247="?OLD","!!!","")</f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16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184</v>
      </c>
      <c r="E248" s="20" t="str">
        <f t="shared" si="17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16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179</v>
      </c>
      <c r="B249" s="26" t="s">
        <v>147</v>
      </c>
      <c r="C249" s="26" t="s">
        <v>100</v>
      </c>
      <c r="D249" s="26" t="s">
        <v>101</v>
      </c>
      <c r="E249" s="20" t="s">
        <v>310</v>
      </c>
      <c r="F249" s="21" t="str">
        <f>IF(OR(E249="",E249="!!!"),"",IF(NOT(ISNA(VLOOKUP(E249,E$1:E248,1,FALSE()))),"OLD",IF(AND(E249&lt;&gt;"",E249&lt;&gt;"!!!"),"NEW","")))</f>
        <v>OLD</v>
      </c>
      <c r="G249" s="22" t="str">
        <f ca="1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?IN_FOCUS</v>
      </c>
      <c r="H249" s="23" t="s">
        <v>87</v>
      </c>
      <c r="I249" s="24" t="str">
        <f>IF(OR(E249="",E249="!!!",F249="NEW"),"",INDEX(B$2:B248,-1+SUMPRODUCT(MAX(ROW(E$2:E248)*(E249=E$2:E248)))))</f>
        <v>other_3</v>
      </c>
      <c r="J249" s="24">
        <f ca="1">IF(OR(E249="",E249="!!!",F249="NEW"),"",COUNTBLANK(OFFSET(A$1,,,SUMPRODUCT(MAX(ROW(E$2:E249)*(E249=E$2:E249)))))-COUNTBLANK(OFFSET(A$1,,,SUMPRODUCT(MAX(ROW(E$1:E248)*(E2=E$1:E248))))))</f>
        <v>0</v>
      </c>
      <c r="K249" s="24">
        <f ca="1">IF(OR(E249="",E249="!!!",F249="NEW"),"",INDEX(J$1:J248,SUMPRODUCT(MAX(ROW(E$1:E248)*(E249=E$1:E248)))))</f>
        <v>0</v>
      </c>
      <c r="L249" s="25"/>
    </row>
    <row r="250" spans="1:12" x14ac:dyDescent="0.3">
      <c r="A250" t="s">
        <v>248</v>
      </c>
      <c r="E250" s="20" t="str">
        <f t="shared" si="17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16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249</v>
      </c>
      <c r="E251" s="20" t="str">
        <f t="shared" si="17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16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124</v>
      </c>
      <c r="E252" s="20" t="str">
        <f t="shared" si="17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16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250</v>
      </c>
      <c r="B253" s="26" t="s">
        <v>133</v>
      </c>
      <c r="C253" s="26" t="s">
        <v>164</v>
      </c>
      <c r="E253" s="20" t="str">
        <f t="shared" si="17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16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159</v>
      </c>
      <c r="E254" s="20" t="str">
        <f t="shared" si="17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16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251</v>
      </c>
      <c r="E255" s="20" t="str">
        <f t="shared" si="17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16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118</v>
      </c>
      <c r="E256" s="20" t="str">
        <f t="shared" si="17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16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159</v>
      </c>
      <c r="E257" s="20" t="str">
        <f t="shared" si="17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16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161</v>
      </c>
      <c r="E258" s="20" t="str">
        <f t="shared" si="17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16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162</v>
      </c>
      <c r="B259" s="26" t="s">
        <v>147</v>
      </c>
      <c r="C259" s="26" t="s">
        <v>164</v>
      </c>
      <c r="E259" s="20" t="str">
        <f t="shared" si="17"/>
        <v/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16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165</v>
      </c>
      <c r="E260" s="20" t="str">
        <f t="shared" si="17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16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166</v>
      </c>
      <c r="E261" s="20" t="str">
        <f t="shared" si="17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16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167</v>
      </c>
      <c r="E262" s="20" t="str">
        <f t="shared" si="17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16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168</v>
      </c>
      <c r="E263" s="20" t="str">
        <f t="shared" si="17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16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169</v>
      </c>
      <c r="E264" s="20" t="str">
        <f t="shared" si="17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16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157</v>
      </c>
      <c r="B265" s="26" t="s">
        <v>133</v>
      </c>
      <c r="C265" s="26" t="s">
        <v>148</v>
      </c>
      <c r="D265" s="26" t="s">
        <v>101</v>
      </c>
      <c r="E265" s="20" t="s">
        <v>310</v>
      </c>
      <c r="F265" s="21" t="str">
        <f>IF(OR(E265="",E265="!!!"),"",IF(NOT(ISNA(VLOOKUP(E265,E$1:E264,1,FALSE()))),"OLD",IF(AND(E265&lt;&gt;"",E265&lt;&gt;"!!!"),"NEW","")))</f>
        <v>OLD</v>
      </c>
      <c r="G265" s="22" t="str">
        <f ca="1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?IN_FOCUS</v>
      </c>
      <c r="H265" s="23" t="str">
        <f t="shared" ca="1" si="16"/>
        <v/>
      </c>
      <c r="I265" s="24" t="str">
        <f>IF(OR(E265="",E265="!!!",F265="NEW"),"",INDEX(B$2:B264,-1+SUMPRODUCT(MAX(ROW(E$2:E264)*(E265=E$2:E264)))))</f>
        <v>SBJ_2</v>
      </c>
      <c r="J265" s="24">
        <f ca="1">IF(OR(E265="",E265="!!!",F265="NEW"),"",COUNTBLANK(OFFSET(A$1,,,SUMPRODUCT(MAX(ROW(E$2:E265)*(E265=E$2:E265)))))-COUNTBLANK(OFFSET(A$1,,,SUMPRODUCT(MAX(ROW(E$1:E264)*(E2=E$1:E264))))))</f>
        <v>0</v>
      </c>
      <c r="K265" s="24">
        <f ca="1">IF(OR(E265="",E265="!!!",F265="NEW"),"",INDEX(J$1:J264,SUMPRODUCT(MAX(ROW(E$1:E264)*(E265=E$1:E264)))))</f>
        <v>0</v>
      </c>
      <c r="L265" s="25"/>
    </row>
    <row r="266" spans="1:12" x14ac:dyDescent="0.3">
      <c r="A266" t="s">
        <v>137</v>
      </c>
      <c r="E266" s="20" t="str">
        <f t="shared" si="17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16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161</v>
      </c>
      <c r="E267" s="20" t="str">
        <f t="shared" si="17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16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9" spans="1:12" x14ac:dyDescent="0.3">
      <c r="A269" t="s">
        <v>138</v>
      </c>
      <c r="E269" s="20" t="str">
        <f>IF(D269="?OLD","!!!","")</f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ca="1">IF(J269&lt;&gt;1,"",IF(I269="SBJ","CB","?"))</f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252</v>
      </c>
    </row>
    <row r="271" spans="1:12" x14ac:dyDescent="0.3">
      <c r="A271" t="s">
        <v>161</v>
      </c>
      <c r="E271" s="20" t="str">
        <f t="shared" ref="E271:E288" si="18">IF(D271="?OLD","!!!","")</f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ref="H271:H288" ca="1" si="19">IF(J271&lt;&gt;1,"",IF(I271="SBJ","CB","?"))</f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253</v>
      </c>
      <c r="B272" s="26" t="s">
        <v>147</v>
      </c>
      <c r="C272" s="26" t="s">
        <v>148</v>
      </c>
      <c r="D272" s="26" t="s">
        <v>101</v>
      </c>
      <c r="E272" s="20" t="s">
        <v>310</v>
      </c>
      <c r="F272" s="21" t="str">
        <f>IF(OR(E272="",E272="!!!"),"",IF(NOT(ISNA(VLOOKUP(E272,E$1:E271,1,FALSE()))),"OLD",IF(AND(E272&lt;&gt;"",E272&lt;&gt;"!!!"),"NEW","")))</f>
        <v>OLD</v>
      </c>
      <c r="G272" s="22" t="str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?IN_FOCUS</v>
      </c>
      <c r="H272" s="23" t="str">
        <f t="shared" ca="1" si="19"/>
        <v/>
      </c>
      <c r="I272" s="24" t="str">
        <f>IF(OR(E272="",E272="!!!",F272="NEW"),"",INDEX(B$2:B271,-1+SUMPRODUCT(MAX(ROW(E$2:E271)*(E272=E$2:E271)))))</f>
        <v>other_2</v>
      </c>
      <c r="J272" s="24">
        <f ca="1">IF(OR(E272="",E272="!!!",F272="NEW"),"",COUNTBLANK(OFFSET(A$1,,,SUMPRODUCT(MAX(ROW(E$2:E272)*(E272=E$2:E272)))))-COUNTBLANK(OFFSET(A$1,,,SUMPRODUCT(MAX(ROW(E$1:E271)*(E2=E$1:E271))))))</f>
        <v>0</v>
      </c>
      <c r="K272" s="24">
        <f ca="1">IF(OR(E272="",E272="!!!",F272="NEW"),"",INDEX(J$1:J271,SUMPRODUCT(MAX(ROW(E$1:E271)*(E272=E$1:E271)))))</f>
        <v>0</v>
      </c>
      <c r="L272" s="25"/>
    </row>
    <row r="273" spans="1:12" x14ac:dyDescent="0.3">
      <c r="A273" t="s">
        <v>122</v>
      </c>
      <c r="E273" s="20" t="str">
        <f t="shared" si="18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19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192</v>
      </c>
      <c r="E274" s="20" t="str">
        <f t="shared" si="18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19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254</v>
      </c>
      <c r="B275" s="26" t="s">
        <v>163</v>
      </c>
      <c r="C275" s="26" t="s">
        <v>114</v>
      </c>
      <c r="E275" s="20" t="str">
        <f t="shared" si="18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19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159</v>
      </c>
      <c r="E276" s="20" t="str">
        <f t="shared" si="18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19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146</v>
      </c>
      <c r="B277" s="26" t="s">
        <v>99</v>
      </c>
      <c r="C277" s="26" t="s">
        <v>148</v>
      </c>
      <c r="D277" s="26" t="s">
        <v>101</v>
      </c>
      <c r="E277" s="20" t="s">
        <v>310</v>
      </c>
      <c r="F277" s="21" t="str">
        <f>IF(OR(E277="",E277="!!!"),"",IF(NOT(ISNA(VLOOKUP(E277,E$1:E276,1,FALSE()))),"OLD",IF(AND(E277&lt;&gt;"",E277&lt;&gt;"!!!"),"NEW","")))</f>
        <v>OLD</v>
      </c>
      <c r="G277" s="22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?IN_FOCUS</v>
      </c>
      <c r="H277" s="23" t="str">
        <f t="shared" ca="1" si="19"/>
        <v/>
      </c>
      <c r="I277" s="24" t="str">
        <f>IF(OR(E277="",E277="!!!",F277="NEW"),"",INDEX(B$2:B276,-1+SUMPRODUCT(MAX(ROW(E$2:E276)*(E277=E$2:E276)))))</f>
        <v>SBJ_2</v>
      </c>
      <c r="J277" s="24">
        <f ca="1">IF(OR(E277="",E277="!!!",F277="NEW"),"",COUNTBLANK(OFFSET(A$1,,,SUMPRODUCT(MAX(ROW(E$2:E277)*(E277=E$2:E277)))))-COUNTBLANK(OFFSET(A$1,,,SUMPRODUCT(MAX(ROW(E$1:E276)*(E2=E$1:E276))))))</f>
        <v>0</v>
      </c>
      <c r="K277" s="24">
        <f ca="1">IF(OR(E277="",E277="!!!",F277="NEW"),"",INDEX(J$1:J276,SUMPRODUCT(MAX(ROW(E$1:E276)*(E277=E$1:E276)))))</f>
        <v>0</v>
      </c>
      <c r="L277" s="25"/>
    </row>
    <row r="278" spans="1:12" x14ac:dyDescent="0.3">
      <c r="A278" t="s">
        <v>121</v>
      </c>
      <c r="E278" s="20" t="str">
        <f t="shared" si="18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19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255</v>
      </c>
      <c r="E279" s="20" t="str">
        <f t="shared" si="18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19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130</v>
      </c>
      <c r="E280" s="20" t="str">
        <f t="shared" si="18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19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256</v>
      </c>
      <c r="B281" s="26" t="s">
        <v>257</v>
      </c>
      <c r="C281" s="26" t="s">
        <v>114</v>
      </c>
      <c r="E281" s="20" t="str">
        <f t="shared" si="18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19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159</v>
      </c>
      <c r="E282" s="20" t="str">
        <f t="shared" si="18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19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161</v>
      </c>
      <c r="E283" s="20" t="str">
        <f t="shared" si="18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19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197</v>
      </c>
      <c r="B284" s="26" t="s">
        <v>94</v>
      </c>
      <c r="C284" s="26" t="s">
        <v>100</v>
      </c>
      <c r="D284" s="26" t="s">
        <v>101</v>
      </c>
      <c r="E284" s="20" t="s">
        <v>330</v>
      </c>
      <c r="F284" s="21" t="str">
        <f>IF(OR(E284="",E284="!!!"),"",IF(NOT(ISNA(VLOOKUP(E284,E$1:E283,1,FALSE()))),"OLD",IF(AND(E284&lt;&gt;"",E284&lt;&gt;"!!!"),"NEW","")))</f>
        <v>OLD</v>
      </c>
      <c r="G284" s="22" t="str">
        <f ca="1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?IN_FOCUS</v>
      </c>
      <c r="H284" s="23" t="s">
        <v>87</v>
      </c>
      <c r="I284" s="24" t="str">
        <f>IF(OR(E284="",E284="!!!",F284="NEW"),"",INDEX(B$2:B283,-1+SUMPRODUCT(MAX(ROW(E$2:E283)*(E284=E$2:E283)))))</f>
        <v>SBJ</v>
      </c>
      <c r="J284" s="24">
        <f ca="1">IF(OR(E284="",E284="!!!",F284="NEW"),"",COUNTBLANK(OFFSET(A$1,,,SUMPRODUCT(MAX(ROW(E$2:E284)*(E284=E$2:E284)))))-COUNTBLANK(OFFSET(A$1,,,SUMPRODUCT(MAX(ROW(E$1:E283)*(E2=E$1:E283))))))</f>
        <v>0</v>
      </c>
      <c r="K284" s="24">
        <f ca="1">IF(OR(E284="",E284="!!!",F284="NEW"),"",INDEX(J$1:J283,SUMPRODUCT(MAX(ROW(E$1:E283)*(E284=E$1:E283)))))</f>
        <v>0</v>
      </c>
      <c r="L284" s="25"/>
    </row>
    <row r="285" spans="1:12" x14ac:dyDescent="0.3">
      <c r="A285" t="s">
        <v>180</v>
      </c>
      <c r="E285" s="20" t="str">
        <f t="shared" si="18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19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198</v>
      </c>
      <c r="E286" s="20" t="str">
        <f t="shared" si="18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19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201</v>
      </c>
      <c r="B287" s="26" t="s">
        <v>258</v>
      </c>
      <c r="C287" s="26" t="s">
        <v>100</v>
      </c>
      <c r="D287" s="26" t="s">
        <v>101</v>
      </c>
      <c r="E287" s="20" t="s">
        <v>201</v>
      </c>
      <c r="F287" s="21" t="str">
        <f>IF(OR(E287="",E287="!!!"),"",IF(NOT(ISNA(VLOOKUP(E287,E$1:E286,1,FALSE()))),"OLD",IF(AND(E287&lt;&gt;"",E287&lt;&gt;"!!!"),"NEW","")))</f>
        <v>OLD</v>
      </c>
      <c r="G287" s="22" t="s">
        <v>312</v>
      </c>
      <c r="H287" s="23" t="str">
        <f t="shared" ca="1" si="19"/>
        <v/>
      </c>
      <c r="I287" s="24" t="str">
        <f>IF(OR(E287="",E287="!!!",F287="NEW"),"",INDEX(B$2:B286,-1+SUMPRODUCT(MAX(ROW(E$2:E286)*(E287=E$2:E286)))))</f>
        <v>other</v>
      </c>
      <c r="J287" s="24">
        <f ca="1">IF(OR(E287="",E287="!!!",F287="NEW"),"",COUNTBLANK(OFFSET(A$1,,,SUMPRODUCT(MAX(ROW(E$2:E287)*(E287=E$2:E287)))))-COUNTBLANK(OFFSET(A$1,,,SUMPRODUCT(MAX(ROW(E$1:E286)*(E2=E$1:E286))))))</f>
        <v>0</v>
      </c>
      <c r="K287" s="24" t="str">
        <f ca="1">IF(OR(E287="",E287="!!!",F287="NEW"),"",INDEX(J$1:J286,SUMPRODUCT(MAX(ROW(E$1:E286)*(E287=E$1:E286)))))</f>
        <v/>
      </c>
      <c r="L287" s="25"/>
    </row>
    <row r="288" spans="1:12" x14ac:dyDescent="0.3">
      <c r="A288" t="s">
        <v>137</v>
      </c>
      <c r="E288" s="20" t="str">
        <f t="shared" si="18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19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90" spans="1:12" x14ac:dyDescent="0.3">
      <c r="A290" t="s">
        <v>259</v>
      </c>
    </row>
    <row r="291" spans="1:12" x14ac:dyDescent="0.3">
      <c r="A291" t="s">
        <v>197</v>
      </c>
      <c r="B291" s="26" t="s">
        <v>94</v>
      </c>
      <c r="C291" s="26" t="s">
        <v>100</v>
      </c>
      <c r="D291" s="26" t="s">
        <v>101</v>
      </c>
      <c r="E291" s="20" t="s">
        <v>330</v>
      </c>
      <c r="F291" s="21" t="str">
        <f>IF(OR(E291="",E291="!!!"),"",IF(NOT(ISNA(VLOOKUP(E291,E$1:E290,1,FALSE()))),"OLD",IF(AND(E291&lt;&gt;"",E291&lt;&gt;"!!!"),"NEW","")))</f>
        <v>OLD</v>
      </c>
      <c r="G291" s="22" t="str">
        <f ca="1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?IN_FOCUS</v>
      </c>
      <c r="H291" s="23" t="s">
        <v>87</v>
      </c>
      <c r="I291" s="24" t="str">
        <f>IF(OR(E291="",E291="!!!",F291="NEW"),"",INDEX(B$2:B290,-1+SUMPRODUCT(MAX(ROW(E$2:E290)*(E291=E$2:E290)))))</f>
        <v>SBJ</v>
      </c>
      <c r="J291" s="24">
        <f ca="1">IF(OR(E291="",E291="!!!",F291="NEW"),"",COUNTBLANK(OFFSET(A$1,,,SUMPRODUCT(MAX(ROW(E$2:E291)*(E291=E$2:E291)))))-COUNTBLANK(OFFSET(A$1,,,SUMPRODUCT(MAX(ROW(E$1:E290)*(E2=E$1:E290))))))</f>
        <v>0</v>
      </c>
      <c r="K291" s="24">
        <f ca="1">IF(OR(E291="",E291="!!!",F291="NEW"),"",INDEX(J$1:J290,SUMPRODUCT(MAX(ROW(E$1:E290)*(E291=E$1:E290)))))</f>
        <v>0</v>
      </c>
      <c r="L291" s="25"/>
    </row>
    <row r="292" spans="1:12" x14ac:dyDescent="0.3">
      <c r="A292" t="s">
        <v>180</v>
      </c>
      <c r="E292" s="20" t="str">
        <f t="shared" ref="E292:E308" si="20">IF(D292="?OLD","!!!","")</f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ref="H292:H308" ca="1" si="21">IF(J292&lt;&gt;1,"",IF(I292="SBJ","CB","?"))</f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184</v>
      </c>
      <c r="E293" s="20" t="str">
        <f t="shared" si="20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1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146</v>
      </c>
      <c r="B294" s="26" t="s">
        <v>147</v>
      </c>
      <c r="C294" s="26" t="s">
        <v>148</v>
      </c>
      <c r="D294" s="26" t="s">
        <v>101</v>
      </c>
      <c r="E294" s="20" t="s">
        <v>330</v>
      </c>
      <c r="F294" s="21" t="str">
        <f>IF(OR(E294="",E294="!!!"),"",IF(NOT(ISNA(VLOOKUP(E294,E$1:E293,1,FALSE()))),"OLD",IF(AND(E294&lt;&gt;"",E294&lt;&gt;"!!!"),"NEW","")))</f>
        <v>OLD</v>
      </c>
      <c r="G294" s="22" t="str">
        <f ca="1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?IN_FOCUS</v>
      </c>
      <c r="H294" s="23" t="str">
        <f t="shared" ca="1" si="21"/>
        <v/>
      </c>
      <c r="I294" s="24" t="str">
        <f>IF(OR(E294="",E294="!!!",F294="NEW"),"",INDEX(B$2:B293,-1+SUMPRODUCT(MAX(ROW(E$2:E293)*(E294=E$2:E293)))))</f>
        <v>SBJ</v>
      </c>
      <c r="J294" s="24">
        <f ca="1">IF(OR(E294="",E294="!!!",F294="NEW"),"",COUNTBLANK(OFFSET(A$1,,,SUMPRODUCT(MAX(ROW(E$2:E294)*(E294=E$2:E294)))))-COUNTBLANK(OFFSET(A$1,,,SUMPRODUCT(MAX(ROW(E$1:E293)*(E2=E$1:E293))))))</f>
        <v>0</v>
      </c>
      <c r="K294" s="24">
        <f ca="1">IF(OR(E294="",E294="!!!",F294="NEW"),"",INDEX(J$1:J293,SUMPRODUCT(MAX(ROW(E$1:E293)*(E294=E$1:E293)))))</f>
        <v>0</v>
      </c>
      <c r="L294" s="25"/>
    </row>
    <row r="295" spans="1:12" x14ac:dyDescent="0.3">
      <c r="A295" t="s">
        <v>260</v>
      </c>
      <c r="E295" s="20" t="str">
        <f t="shared" si="20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1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261</v>
      </c>
      <c r="E296" s="20" t="str">
        <f t="shared" si="20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1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151</v>
      </c>
      <c r="E297" s="20" t="str">
        <f t="shared" si="20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1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129</v>
      </c>
      <c r="E298" s="20" t="str">
        <f t="shared" si="20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1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152</v>
      </c>
      <c r="B299" s="26" t="s">
        <v>133</v>
      </c>
      <c r="C299" s="26" t="s">
        <v>153</v>
      </c>
      <c r="E299" s="20" t="str">
        <f t="shared" si="20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1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115</v>
      </c>
      <c r="B300" s="26" t="s">
        <v>154</v>
      </c>
      <c r="E300" s="20" t="str">
        <f t="shared" si="20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1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155</v>
      </c>
      <c r="E301" s="20" t="str">
        <f t="shared" si="20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21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65</v>
      </c>
      <c r="E302" s="20" t="str">
        <f t="shared" si="20"/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21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120</v>
      </c>
      <c r="E303" s="20" t="str">
        <f t="shared" si="20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21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156</v>
      </c>
      <c r="E304" s="20" t="str">
        <f t="shared" si="2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208</v>
      </c>
      <c r="B305" s="26" t="s">
        <v>110</v>
      </c>
      <c r="C305" s="26" t="s">
        <v>209</v>
      </c>
      <c r="D305" s="26" t="s">
        <v>101</v>
      </c>
      <c r="E305" s="20" t="s">
        <v>330</v>
      </c>
      <c r="F305" s="21" t="str">
        <f>IF(OR(E305="",E305="!!!"),"",IF(NOT(ISNA(VLOOKUP(E305,E$1:E304,1,FALSE()))),"OLD",IF(AND(E305&lt;&gt;"",E305&lt;&gt;"!!!"),"NEW","")))</f>
        <v>OLD</v>
      </c>
      <c r="G305" s="22" t="str">
        <f ca="1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?IN_FOCUS</v>
      </c>
      <c r="H305" s="23" t="str">
        <f t="shared" ca="1" si="21"/>
        <v/>
      </c>
      <c r="I305" s="24" t="str">
        <f>IF(OR(E305="",E305="!!!",F305="NEW"),"",INDEX(B$2:B304,-1+SUMPRODUCT(MAX(ROW(E$2:E304)*(E305=E$2:E304)))))</f>
        <v>SBJ_2</v>
      </c>
      <c r="J305" s="24">
        <f ca="1">IF(OR(E305="",E305="!!!",F305="NEW"),"",COUNTBLANK(OFFSET(A$1,,,SUMPRODUCT(MAX(ROW(E$2:E305)*(E305=E$2:E305)))))-COUNTBLANK(OFFSET(A$1,,,SUMPRODUCT(MAX(ROW(E$1:E304)*(E2=E$1:E304))))))</f>
        <v>0</v>
      </c>
      <c r="K305" s="24">
        <f ca="1">IF(OR(E305="",E305="!!!",F305="NEW"),"",INDEX(J$1:J304,SUMPRODUCT(MAX(ROW(E$1:E304)*(E305=E$1:E304)))))</f>
        <v>0</v>
      </c>
      <c r="L305" s="25"/>
    </row>
    <row r="306" spans="1:12" x14ac:dyDescent="0.3">
      <c r="A306" t="s">
        <v>262</v>
      </c>
      <c r="E306" s="20" t="str">
        <f t="shared" si="2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143</v>
      </c>
      <c r="B307" s="26" t="s">
        <v>158</v>
      </c>
      <c r="C307" s="26" t="s">
        <v>144</v>
      </c>
      <c r="D307" s="26" t="s">
        <v>101</v>
      </c>
      <c r="E307" s="20" t="s">
        <v>318</v>
      </c>
      <c r="F307" s="21" t="str">
        <f>IF(OR(E307="",E307="!!!"),"",IF(NOT(ISNA(VLOOKUP(E307,E$1:E306,1,FALSE()))),"OLD",IF(AND(E307&lt;&gt;"",E307&lt;&gt;"!!!"),"NEW","")))</f>
        <v>OLD</v>
      </c>
      <c r="G307" s="22" t="str">
        <f ca="1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?IN_FOCUS</v>
      </c>
      <c r="H307" s="23" t="str">
        <f t="shared" ca="1" si="21"/>
        <v/>
      </c>
      <c r="I307" s="24" t="str">
        <f>IF(OR(E307="",E307="!!!",F307="NEW"),"",INDEX(B$2:B306,-1+SUMPRODUCT(MAX(ROW(E$2:E306)*(E307=E$2:E306)))))</f>
        <v>other</v>
      </c>
      <c r="J307" s="24">
        <f ca="1">IF(OR(E307="",E307="!!!",F307="NEW"),"",COUNTBLANK(OFFSET(A$1,,,SUMPRODUCT(MAX(ROW(E$2:E307)*(E307=E$2:E307)))))-COUNTBLANK(OFFSET(A$1,,,SUMPRODUCT(MAX(ROW(E$1:E306)*(E2=E$1:E306))))))</f>
        <v>0</v>
      </c>
      <c r="K307" s="24">
        <f ca="1">IF(OR(E307="",E307="!!!",F307="NEW"),"",INDEX(J$1:J306,SUMPRODUCT(MAX(ROW(E$1:E306)*(E307=E$1:E306)))))</f>
        <v>0</v>
      </c>
      <c r="L307" s="25"/>
    </row>
    <row r="308" spans="1:12" x14ac:dyDescent="0.3">
      <c r="A308" t="s">
        <v>137</v>
      </c>
      <c r="E308" s="20" t="str">
        <f t="shared" si="2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1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10" spans="1:12" x14ac:dyDescent="0.3">
      <c r="A310" t="s">
        <v>263</v>
      </c>
    </row>
    <row r="311" spans="1:12" x14ac:dyDescent="0.3">
      <c r="A311" t="s">
        <v>253</v>
      </c>
      <c r="B311" s="26" t="s">
        <v>94</v>
      </c>
      <c r="C311" s="26" t="s">
        <v>148</v>
      </c>
      <c r="D311" s="26" t="s">
        <v>101</v>
      </c>
      <c r="E311" s="20" t="s">
        <v>318</v>
      </c>
      <c r="F311" s="21" t="str">
        <f>IF(OR(E311="",E311="!!!"),"",IF(NOT(ISNA(VLOOKUP(E311,E$1:E310,1,FALSE()))),"OLD",IF(AND(E311&lt;&gt;"",E311&lt;&gt;"!!!"),"NEW","")))</f>
        <v>OLD</v>
      </c>
      <c r="G311" s="22" t="str">
        <f ca="1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?IN_FOCUS</v>
      </c>
      <c r="H311" s="23" t="s">
        <v>87</v>
      </c>
      <c r="I311" s="24" t="str">
        <f>IF(OR(E311="",E311="!!!",F311="NEW"),"",INDEX(B$2:B310,-1+SUMPRODUCT(MAX(ROW(E$2:E310)*(E311=E$2:E310)))))</f>
        <v>OBJ_5</v>
      </c>
      <c r="J311" s="24">
        <f ca="1">IF(OR(E311="",E311="!!!",F311="NEW"),"",COUNTBLANK(OFFSET(A$1,,,SUMPRODUCT(MAX(ROW(E$2:E311)*(E311=E$2:E311)))))-COUNTBLANK(OFFSET(A$1,,,SUMPRODUCT(MAX(ROW(E$1:E310)*(E2=E$1:E310))))))</f>
        <v>0</v>
      </c>
      <c r="K311" s="24">
        <f ca="1">IF(OR(E311="",E311="!!!",F311="NEW"),"",INDEX(J$1:J310,SUMPRODUCT(MAX(ROW(E$1:E310)*(E311=E$1:E310)))))</f>
        <v>0</v>
      </c>
      <c r="L311" s="25"/>
    </row>
    <row r="312" spans="1:12" x14ac:dyDescent="0.3">
      <c r="A312" t="s">
        <v>121</v>
      </c>
      <c r="E312" s="20" t="str">
        <f t="shared" ref="E312:E320" si="22">IF(D312="?OLD","!!!","")</f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ref="H312:H320" ca="1" si="23">IF(J312&lt;&gt;1,"",IF(I312="SBJ","CB","?"))</f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130</v>
      </c>
      <c r="E313" s="20" t="str">
        <f t="shared" si="22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23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264</v>
      </c>
      <c r="E314" s="20" t="str">
        <f t="shared" si="22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3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265</v>
      </c>
      <c r="B315" s="26" t="s">
        <v>127</v>
      </c>
      <c r="C315" s="26" t="s">
        <v>114</v>
      </c>
      <c r="E315" s="20" t="str">
        <f t="shared" si="22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3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243</v>
      </c>
      <c r="E316" s="20" t="str">
        <f t="shared" si="22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3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130</v>
      </c>
      <c r="E317" s="20" t="str">
        <f t="shared" si="22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3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266</v>
      </c>
      <c r="E318" s="20" t="str">
        <f t="shared" si="22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23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267</v>
      </c>
      <c r="B319" s="26" t="s">
        <v>127</v>
      </c>
      <c r="C319" s="26" t="s">
        <v>114</v>
      </c>
      <c r="E319" s="20" t="str">
        <f t="shared" si="22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3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137</v>
      </c>
      <c r="E320" s="20" t="str">
        <f t="shared" si="22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23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2" spans="1:12" x14ac:dyDescent="0.3">
      <c r="A322" t="s">
        <v>138</v>
      </c>
      <c r="E322" s="20" t="str">
        <f>IF(D322="?OLD","!!!","")</f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ca="1">IF(J322&lt;&gt;1,"",IF(I322="SBJ","CB","?"))</f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268</v>
      </c>
    </row>
    <row r="324" spans="1:12" x14ac:dyDescent="0.3">
      <c r="A324" t="s">
        <v>269</v>
      </c>
      <c r="B324" s="26" t="s">
        <v>105</v>
      </c>
      <c r="C324" s="26" t="s">
        <v>209</v>
      </c>
      <c r="D324" s="26" t="s">
        <v>101</v>
      </c>
      <c r="E324" s="20" t="s">
        <v>318</v>
      </c>
      <c r="F324" s="21" t="str">
        <f>IF(OR(E324="",E324="!!!"),"",IF(NOT(ISNA(VLOOKUP(E324,E$1:E323,1,FALSE()))),"OLD",IF(AND(E324&lt;&gt;"",E324&lt;&gt;"!!!"),"NEW","")))</f>
        <v>OLD</v>
      </c>
      <c r="G324" s="22" t="str">
        <f ca="1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?IN_FOCUS</v>
      </c>
      <c r="H324" s="23" t="s">
        <v>87</v>
      </c>
      <c r="I324" s="24" t="str">
        <f>IF(OR(E324="",E324="!!!",F324="NEW"),"",INDEX(B$2:B323,-1+SUMPRODUCT(MAX(ROW(E$2:E323)*(E324=E$2:E323)))))</f>
        <v>SBJ</v>
      </c>
      <c r="J324" s="24">
        <f ca="1">IF(OR(E324="",E324="!!!",F324="NEW"),"",COUNTBLANK(OFFSET(A$1,,,SUMPRODUCT(MAX(ROW(E$2:E324)*(E324=E$2:E324)))))-COUNTBLANK(OFFSET(A$1,,,SUMPRODUCT(MAX(ROW(E$1:E323)*(E2=E$1:E323))))))</f>
        <v>0</v>
      </c>
      <c r="K324" s="24">
        <f ca="1">IF(OR(E324="",E324="!!!",F324="NEW"),"",INDEX(J$1:J323,SUMPRODUCT(MAX(ROW(E$1:E323)*(E324=E$1:E323)))))</f>
        <v>0</v>
      </c>
      <c r="L324" s="25"/>
    </row>
    <row r="325" spans="1:12" x14ac:dyDescent="0.3">
      <c r="A325" t="s">
        <v>270</v>
      </c>
      <c r="B325" s="26" t="s">
        <v>147</v>
      </c>
      <c r="C325" s="26" t="s">
        <v>144</v>
      </c>
      <c r="D325" s="26" t="s">
        <v>101</v>
      </c>
      <c r="E325" s="20"/>
      <c r="F325" s="21" t="s">
        <v>337</v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ref="H325:H346" ca="1" si="24">IF(J325&lt;&gt;1,"",IF(I325="SBJ","CB","?"))</f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129</v>
      </c>
      <c r="E326" s="20" t="str">
        <f t="shared" ref="E326:E346" si="25">IF(D326="?OLD","!!!","")</f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4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271</v>
      </c>
      <c r="E327" s="20" t="str">
        <f t="shared" si="25"/>
        <v/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4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243</v>
      </c>
      <c r="E328" s="20" t="str">
        <f t="shared" si="25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4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125</v>
      </c>
      <c r="E329" s="20" t="str">
        <f t="shared" si="25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4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234</v>
      </c>
      <c r="B330" s="26" t="s">
        <v>113</v>
      </c>
      <c r="C330" s="26" t="s">
        <v>128</v>
      </c>
      <c r="D330" s="26" t="s">
        <v>101</v>
      </c>
      <c r="E330" s="20" t="s">
        <v>338</v>
      </c>
      <c r="F330" s="21" t="str">
        <f>IF(OR(E330="",E330="!!!"),"",IF(NOT(ISNA(VLOOKUP(E330,E$1:E329,1,FALSE()))),"OLD",IF(AND(E330&lt;&gt;"",E330&lt;&gt;"!!!"),"NEW","")))</f>
        <v>OLD</v>
      </c>
      <c r="G330" s="22" t="s">
        <v>312</v>
      </c>
      <c r="H330" s="23" t="str">
        <f t="shared" ca="1" si="24"/>
        <v/>
      </c>
      <c r="I330" s="24" t="str">
        <f>IF(OR(E330="",E330="!!!",F330="NEW"),"",INDEX(B$2:B329,-1+SUMPRODUCT(MAX(ROW(E$2:E329)*(E330=E$2:E329)))))</f>
        <v>other</v>
      </c>
      <c r="J330" s="24">
        <f ca="1">IF(OR(E330="",E330="!!!",F330="NEW"),"",COUNTBLANK(OFFSET(A$1,,,SUMPRODUCT(MAX(ROW(E$2:E330)*(E330=E$2:E330)))))-COUNTBLANK(OFFSET(A$1,,,SUMPRODUCT(MAX(ROW(E$1:E329)*(E2=E$1:E329))))))</f>
        <v>0</v>
      </c>
      <c r="K330" s="24" t="str">
        <f ca="1">IF(OR(E330="",E330="!!!",F330="NEW"),"",INDEX(J$1:J329,SUMPRODUCT(MAX(ROW(E$1:E329)*(E330=E$1:E329)))))</f>
        <v/>
      </c>
      <c r="L330" s="25"/>
    </row>
    <row r="331" spans="1:12" x14ac:dyDescent="0.3">
      <c r="A331" t="s">
        <v>121</v>
      </c>
      <c r="E331" s="20" t="str">
        <f t="shared" si="25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4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272</v>
      </c>
      <c r="E332" s="20" t="str">
        <f t="shared" si="25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4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273</v>
      </c>
      <c r="E333" s="20" t="str">
        <f t="shared" si="25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4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274</v>
      </c>
      <c r="B334" s="26" t="s">
        <v>163</v>
      </c>
      <c r="C334" s="26" t="s">
        <v>148</v>
      </c>
      <c r="D334" s="26" t="s">
        <v>101</v>
      </c>
      <c r="E334" s="20" t="s">
        <v>338</v>
      </c>
      <c r="F334" s="21" t="str">
        <f>IF(OR(E334="",E334="!!!"),"",IF(NOT(ISNA(VLOOKUP(E334,E$1:E333,1,FALSE()))),"OLD",IF(AND(E334&lt;&gt;"",E334&lt;&gt;"!!!"),"NEW","")))</f>
        <v>OLD</v>
      </c>
      <c r="G334" s="22" t="str">
        <f ca="1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?IN_FOCUS</v>
      </c>
      <c r="H334" s="23" t="str">
        <f t="shared" ca="1" si="24"/>
        <v/>
      </c>
      <c r="I334" s="24" t="str">
        <f>IF(OR(E334="",E334="!!!",F334="NEW"),"",INDEX(B$2:B333,-1+SUMPRODUCT(MAX(ROW(E$2:E333)*(E334=E$2:E333)))))</f>
        <v>other_4</v>
      </c>
      <c r="J334" s="24">
        <f ca="1">IF(OR(E334="",E334="!!!",F334="NEW"),"",COUNTBLANK(OFFSET(A$1,,,SUMPRODUCT(MAX(ROW(E$2:E334)*(E334=E$2:E334)))))-COUNTBLANK(OFFSET(A$1,,,SUMPRODUCT(MAX(ROW(E$1:E333)*(E2=E$1:E333))))))</f>
        <v>0</v>
      </c>
      <c r="K334" s="24">
        <f ca="1">IF(OR(E334="",E334="!!!",F334="NEW"),"",INDEX(J$1:J333,SUMPRODUCT(MAX(ROW(E$1:E333)*(E334=E$1:E333)))))</f>
        <v>0</v>
      </c>
      <c r="L334" s="25"/>
    </row>
    <row r="335" spans="1:12" x14ac:dyDescent="0.3">
      <c r="A335" t="s">
        <v>130</v>
      </c>
      <c r="E335" s="20" t="str">
        <f t="shared" si="25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4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275</v>
      </c>
      <c r="B336" s="26" t="s">
        <v>163</v>
      </c>
      <c r="C336" s="26" t="s">
        <v>114</v>
      </c>
      <c r="E336" s="20" t="str">
        <f t="shared" si="25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4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159</v>
      </c>
      <c r="E337" s="20" t="str">
        <f t="shared" si="25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24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273</v>
      </c>
      <c r="E338" s="20" t="str">
        <f t="shared" si="25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4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274</v>
      </c>
      <c r="B339" s="26" t="s">
        <v>257</v>
      </c>
      <c r="C339" s="26" t="s">
        <v>148</v>
      </c>
      <c r="D339" s="26" t="s">
        <v>101</v>
      </c>
      <c r="E339" s="20" t="s">
        <v>338</v>
      </c>
      <c r="F339" s="21" t="str">
        <f>IF(OR(E339="",E339="!!!"),"",IF(NOT(ISNA(VLOOKUP(E339,E$1:E338,1,FALSE()))),"OLD",IF(AND(E339&lt;&gt;"",E339&lt;&gt;"!!!"),"NEW","")))</f>
        <v>OLD</v>
      </c>
      <c r="G339" s="22" t="str">
        <f ca="1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?IN_FOCUS</v>
      </c>
      <c r="H339" s="23" t="str">
        <f t="shared" ca="1" si="24"/>
        <v/>
      </c>
      <c r="I339" s="24" t="str">
        <f>IF(OR(E339="",E339="!!!",F339="NEW"),"",INDEX(B$2:B338,-1+SUMPRODUCT(MAX(ROW(E$2:E338)*(E339=E$2:E338)))))</f>
        <v>OBJ_2</v>
      </c>
      <c r="J339" s="24">
        <f ca="1">IF(OR(E339="",E339="!!!",F339="NEW"),"",COUNTBLANK(OFFSET(A$1,,,SUMPRODUCT(MAX(ROW(E$2:E339)*(E339=E$2:E339)))))-COUNTBLANK(OFFSET(A$1,,,SUMPRODUCT(MAX(ROW(E$1:E338)*(E2=E$1:E338))))))</f>
        <v>0</v>
      </c>
      <c r="K339" s="24">
        <f ca="1">IF(OR(E339="",E339="!!!",F339="NEW"),"",INDEX(J$1:J338,SUMPRODUCT(MAX(ROW(E$1:E338)*(E339=E$1:E338)))))</f>
        <v>0</v>
      </c>
      <c r="L339" s="25"/>
    </row>
    <row r="340" spans="1:12" x14ac:dyDescent="0.3">
      <c r="A340" t="s">
        <v>276</v>
      </c>
      <c r="B340" s="26" t="s">
        <v>105</v>
      </c>
      <c r="C340" s="26" t="s">
        <v>164</v>
      </c>
      <c r="E340" s="20" t="str">
        <f t="shared" si="25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4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159</v>
      </c>
      <c r="E341" s="20" t="str">
        <f t="shared" si="25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4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161</v>
      </c>
      <c r="E342" s="20" t="str">
        <f t="shared" si="25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4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197</v>
      </c>
      <c r="B343" s="26" t="s">
        <v>94</v>
      </c>
      <c r="C343" s="26" t="s">
        <v>100</v>
      </c>
      <c r="D343" s="26" t="s">
        <v>101</v>
      </c>
      <c r="E343" s="20" t="s">
        <v>330</v>
      </c>
      <c r="F343" s="21" t="str">
        <f>IF(OR(E343="",E343="!!!"),"",IF(NOT(ISNA(VLOOKUP(E343,E$1:E342,1,FALSE()))),"OLD",IF(AND(E343&lt;&gt;"",E343&lt;&gt;"!!!"),"NEW","")))</f>
        <v>OLD</v>
      </c>
      <c r="G343" s="22" t="s">
        <v>345</v>
      </c>
      <c r="H343" s="23" t="str">
        <f t="shared" ca="1" si="24"/>
        <v/>
      </c>
      <c r="I343" s="24" t="str">
        <f>IF(OR(E343="",E343="!!!",F343="NEW"),"",INDEX(B$2:B342,-1+SUMPRODUCT(MAX(ROW(E$2:E342)*(E343=E$2:E342)))))</f>
        <v>other_6</v>
      </c>
      <c r="J343" s="24">
        <f ca="1">IF(OR(E343="",E343="!!!",F343="NEW"),"",COUNTBLANK(OFFSET(A$1,,,SUMPRODUCT(MAX(ROW(E$2:E343)*(E343=E$2:E343)))))-COUNTBLANK(OFFSET(A$1,,,SUMPRODUCT(MAX(ROW(E$1:E342)*(E2=E$1:E342))))))</f>
        <v>0</v>
      </c>
      <c r="K343" s="24">
        <f ca="1">IF(OR(E343="",E343="!!!",F343="NEW"),"",INDEX(J$1:J342,SUMPRODUCT(MAX(ROW(E$1:E342)*(E343=E$1:E342)))))</f>
        <v>0</v>
      </c>
      <c r="L343" s="25"/>
    </row>
    <row r="344" spans="1:12" x14ac:dyDescent="0.3">
      <c r="A344" t="s">
        <v>180</v>
      </c>
      <c r="E344" s="20" t="str">
        <f t="shared" si="25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4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184</v>
      </c>
      <c r="E345" s="20" t="str">
        <f t="shared" si="25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4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137</v>
      </c>
      <c r="E346" s="20" t="str">
        <f t="shared" si="25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4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8" spans="1:12" x14ac:dyDescent="0.3">
      <c r="A348" t="s">
        <v>277</v>
      </c>
    </row>
    <row r="349" spans="1:12" x14ac:dyDescent="0.3">
      <c r="A349" t="s">
        <v>253</v>
      </c>
      <c r="B349" s="26" t="s">
        <v>94</v>
      </c>
      <c r="C349" s="26" t="s">
        <v>148</v>
      </c>
      <c r="D349" s="26" t="s">
        <v>101</v>
      </c>
      <c r="E349" s="20" t="s">
        <v>318</v>
      </c>
      <c r="F349" s="21" t="str">
        <f>IF(OR(E349="",E349="!!!"),"",IF(NOT(ISNA(VLOOKUP(E349,E$1:E348,1,FALSE()))),"OLD",IF(AND(E349&lt;&gt;"",E349&lt;&gt;"!!!"),"NEW","")))</f>
        <v>OLD</v>
      </c>
      <c r="G349" s="22" t="str">
        <f ca="1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?IN_FOCUS</v>
      </c>
      <c r="H349" s="23" t="s">
        <v>87</v>
      </c>
      <c r="I349" s="24" t="str">
        <f>IF(OR(E349="",E349="!!!",F349="NEW"),"",INDEX(B$2:B348,-1+SUMPRODUCT(MAX(ROW(E$2:E348)*(E349=E$2:E348)))))</f>
        <v>other_3</v>
      </c>
      <c r="J349" s="24">
        <f ca="1">IF(OR(E349="",E349="!!!",F349="NEW"),"",COUNTBLANK(OFFSET(A$1,,,SUMPRODUCT(MAX(ROW(E$2:E349)*(E349=E$2:E349)))))-COUNTBLANK(OFFSET(A$1,,,SUMPRODUCT(MAX(ROW(E$1:E348)*(E2=E$1:E348))))))</f>
        <v>0</v>
      </c>
      <c r="K349" s="24">
        <f ca="1">IF(OR(E349="",E349="!!!",F349="NEW"),"",INDEX(J$1:J348,SUMPRODUCT(MAX(ROW(E$1:E348)*(E349=E$1:E348)))))</f>
        <v>0</v>
      </c>
      <c r="L349" s="25"/>
    </row>
    <row r="350" spans="1:12" x14ac:dyDescent="0.3">
      <c r="A350" t="s">
        <v>278</v>
      </c>
      <c r="E350" s="20" t="str">
        <f t="shared" ref="E350:E359" si="26">IF(D350="?OLD","!!!","")</f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ref="H350:H359" ca="1" si="27">IF(J350&lt;&gt;1,"",IF(I350="SBJ","CB","?"))</f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279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120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236</v>
      </c>
      <c r="E353" s="20" t="str">
        <f t="shared" si="26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7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124</v>
      </c>
      <c r="E354" s="20" t="str">
        <f t="shared" si="26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280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264</v>
      </c>
      <c r="B356" s="26" t="s">
        <v>127</v>
      </c>
      <c r="C356" s="26" t="s">
        <v>114</v>
      </c>
      <c r="E356" s="20" t="str">
        <f t="shared" si="26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27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129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281</v>
      </c>
      <c r="B358" s="26" t="s">
        <v>133</v>
      </c>
      <c r="C358" s="26" t="s">
        <v>164</v>
      </c>
      <c r="E358" s="20" t="str">
        <f t="shared" si="26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27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137</v>
      </c>
      <c r="E359" s="20" t="str">
        <f t="shared" si="26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27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1" spans="1:12" x14ac:dyDescent="0.3">
      <c r="A361" t="s">
        <v>282</v>
      </c>
    </row>
    <row r="362" spans="1:12" x14ac:dyDescent="0.3">
      <c r="A362" t="s">
        <v>253</v>
      </c>
      <c r="B362" s="26" t="s">
        <v>94</v>
      </c>
      <c r="C362" s="26" t="s">
        <v>148</v>
      </c>
      <c r="D362" s="26" t="s">
        <v>101</v>
      </c>
      <c r="E362" s="20" t="s">
        <v>318</v>
      </c>
      <c r="F362" s="21" t="str">
        <f>IF(OR(E362="",E362="!!!"),"",IF(NOT(ISNA(VLOOKUP(E362,E$1:E361,1,FALSE()))),"OLD",IF(AND(E362&lt;&gt;"",E362&lt;&gt;"!!!"),"NEW","")))</f>
        <v>OLD</v>
      </c>
      <c r="G362" s="22" t="str">
        <f ca="1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?IN_FOCUS</v>
      </c>
      <c r="H362" s="23" t="s">
        <v>87</v>
      </c>
      <c r="I362" s="24" t="str">
        <f>IF(OR(E362="",E362="!!!",F362="NEW"),"",INDEX(B$2:B361,-1+SUMPRODUCT(MAX(ROW(E$2:E361)*(E362=E$2:E361)))))</f>
        <v>SBJ</v>
      </c>
      <c r="J362" s="24">
        <f ca="1">IF(OR(E362="",E362="!!!",F362="NEW"),"",COUNTBLANK(OFFSET(A$1,,,SUMPRODUCT(MAX(ROW(E$2:E362)*(E362=E$2:E362)))))-COUNTBLANK(OFFSET(A$1,,,SUMPRODUCT(MAX(ROW(E$1:E361)*(E2=E$1:E361))))))</f>
        <v>0</v>
      </c>
      <c r="K362" s="24">
        <f ca="1">IF(OR(E362="",E362="!!!",F362="NEW"),"",INDEX(J$1:J361,SUMPRODUCT(MAX(ROW(E$1:E361)*(E362=E$1:E361)))))</f>
        <v>0</v>
      </c>
      <c r="L362" s="25"/>
    </row>
    <row r="363" spans="1:12" x14ac:dyDescent="0.3">
      <c r="A363" t="s">
        <v>121</v>
      </c>
      <c r="E363" s="20" t="str">
        <f t="shared" ref="E363:E371" si="28">IF(D363="?OLD","!!!","")</f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ref="H363:H371" ca="1" si="29">IF(J363&lt;&gt;1,"",IF(I363="SBJ","CB","?"))</f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125</v>
      </c>
      <c r="E364" s="20" t="str">
        <f t="shared" si="28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29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143</v>
      </c>
      <c r="B365" s="26" t="s">
        <v>127</v>
      </c>
      <c r="C365" s="26" t="s">
        <v>128</v>
      </c>
      <c r="D365" s="26" t="s">
        <v>101</v>
      </c>
      <c r="E365" s="20" t="s">
        <v>318</v>
      </c>
      <c r="F365" s="21" t="str">
        <f>IF(OR(E365="",E365="!!!"),"",IF(NOT(ISNA(VLOOKUP(E365,E$1:E364,1,FALSE()))),"OLD",IF(AND(E365&lt;&gt;"",E365&lt;&gt;"!!!"),"NEW","")))</f>
        <v>OLD</v>
      </c>
      <c r="G365" s="22" t="s">
        <v>320</v>
      </c>
      <c r="H365" s="23" t="str">
        <f t="shared" ca="1" si="29"/>
        <v/>
      </c>
      <c r="I365" s="24" t="str">
        <f>IF(OR(E365="",E365="!!!",F365="NEW"),"",INDEX(B$2:B364,-1+SUMPRODUCT(MAX(ROW(E$2:E364)*(E365=E$2:E364)))))</f>
        <v>SBJ</v>
      </c>
      <c r="J365" s="24">
        <f ca="1">IF(OR(E365="",E365="!!!",F365="NEW"),"",COUNTBLANK(OFFSET(A$1,,,SUMPRODUCT(MAX(ROW(E$2:E365)*(E365=E$2:E365)))))-COUNTBLANK(OFFSET(A$1,,,SUMPRODUCT(MAX(ROW(E$1:E364)*(E2=E$1:E364))))))</f>
        <v>0</v>
      </c>
      <c r="K365" s="24">
        <f ca="1">IF(OR(E365="",E365="!!!",F365="NEW"),"",INDEX(J$1:J364,SUMPRODUCT(MAX(ROW(E$1:E364)*(E365=E$1:E364)))))</f>
        <v>0</v>
      </c>
      <c r="L365" s="25" t="s">
        <v>350</v>
      </c>
    </row>
    <row r="366" spans="1:12" x14ac:dyDescent="0.3">
      <c r="A366" t="s">
        <v>202</v>
      </c>
      <c r="B366" s="26" t="s">
        <v>147</v>
      </c>
      <c r="E366" s="20" t="str">
        <f t="shared" si="28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29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283</v>
      </c>
      <c r="E367" s="20" t="str">
        <f t="shared" si="28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243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125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284</v>
      </c>
      <c r="B370" s="26" t="s">
        <v>133</v>
      </c>
      <c r="C370" s="26" t="s">
        <v>128</v>
      </c>
      <c r="D370" s="26" t="s">
        <v>101</v>
      </c>
      <c r="E370" s="20"/>
      <c r="F370" s="21" t="s">
        <v>337</v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137</v>
      </c>
      <c r="E371" s="20" t="str">
        <f t="shared" si="28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9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3" spans="1:12" x14ac:dyDescent="0.3">
      <c r="A373" t="s">
        <v>138</v>
      </c>
      <c r="E373" s="20" t="str">
        <f>IF(D373="?OLD","!!!","")</f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ca="1">IF(J373&lt;&gt;1,"",IF(I373="SBJ","CB","?"))</f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285</v>
      </c>
    </row>
    <row r="375" spans="1:12" x14ac:dyDescent="0.3">
      <c r="A375" t="s">
        <v>161</v>
      </c>
      <c r="E375" s="20" t="str">
        <f t="shared" ref="E375:E404" si="30">IF(D375="?OLD","!!!","")</f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ref="H375:H404" ca="1" si="31">IF(J375&lt;&gt;1,"",IF(I375="SBJ","CB","?"))</f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286</v>
      </c>
      <c r="E376" s="20" t="str">
        <f t="shared" si="30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31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287</v>
      </c>
      <c r="B377" s="26" t="s">
        <v>133</v>
      </c>
      <c r="C377" s="26" t="s">
        <v>288</v>
      </c>
      <c r="D377" s="26" t="s">
        <v>101</v>
      </c>
      <c r="E377" s="20"/>
      <c r="F377" s="21" t="s">
        <v>339</v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31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289</v>
      </c>
      <c r="E378" s="20" t="str">
        <f t="shared" si="30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31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202</v>
      </c>
      <c r="B379" s="26" t="s">
        <v>154</v>
      </c>
      <c r="E379" s="20" t="str">
        <f t="shared" si="30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31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142</v>
      </c>
      <c r="E380" s="20" t="str">
        <f t="shared" si="30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31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167</v>
      </c>
      <c r="E381" s="20" t="str">
        <f t="shared" si="30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31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290</v>
      </c>
      <c r="E382" s="20" t="str">
        <f t="shared" si="30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31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243</v>
      </c>
      <c r="E383" s="20" t="str">
        <f t="shared" si="30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31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125</v>
      </c>
      <c r="E384" s="20" t="str">
        <f t="shared" si="30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31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291</v>
      </c>
      <c r="B385" s="26" t="s">
        <v>292</v>
      </c>
      <c r="C385" s="26" t="s">
        <v>128</v>
      </c>
      <c r="D385" s="26" t="s">
        <v>101</v>
      </c>
      <c r="E385" s="20" t="s">
        <v>291</v>
      </c>
      <c r="F385" s="21" t="s">
        <v>313</v>
      </c>
      <c r="G385" s="22" t="s">
        <v>312</v>
      </c>
      <c r="H385" s="23" t="str">
        <f t="shared" ca="1" si="31"/>
        <v/>
      </c>
      <c r="I385" s="24" t="e">
        <f>IF(OR(E385="",E385="!!!",F385="NEW"),"",INDEX(B$2:B384,-1+SUMPRODUCT(MAX(ROW(E$2:E384)*(E385=E$2:E384)))))</f>
        <v>#VALUE!</v>
      </c>
      <c r="J385" s="24">
        <f ca="1">IF(OR(E385="",E385="!!!",F385="NEW"),"",COUNTBLANK(OFFSET(A$1,,,SUMPRODUCT(MAX(ROW(E$2:E385)*(E385=E$2:E385)))))-COUNTBLANK(OFFSET(A$1,,,SUMPRODUCT(MAX(ROW(E$1:E384)*(E2=E$1:E384))))))</f>
        <v>0</v>
      </c>
      <c r="K385" s="24" t="e">
        <f>IF(OR(E385="",E385="!!!",F385="NEW"),"",INDEX(J$1:J384,SUMPRODUCT(MAX(ROW(E$1:E384)*(E385=E$1:E384)))))</f>
        <v>#VALUE!</v>
      </c>
      <c r="L385" s="25"/>
    </row>
    <row r="386" spans="1:12" x14ac:dyDescent="0.3">
      <c r="A386" t="s">
        <v>159</v>
      </c>
      <c r="E386" s="20" t="str">
        <f t="shared" si="30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1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146</v>
      </c>
      <c r="B387" s="26" t="s">
        <v>147</v>
      </c>
      <c r="C387" s="26" t="s">
        <v>148</v>
      </c>
      <c r="D387" s="26" t="s">
        <v>101</v>
      </c>
      <c r="E387" s="20" t="s">
        <v>318</v>
      </c>
      <c r="F387" s="21" t="str">
        <f>IF(OR(E387="",E387="!!!"),"",IF(NOT(ISNA(VLOOKUP(E387,E$1:E386,1,FALSE()))),"OLD",IF(AND(E387&lt;&gt;"",E387&lt;&gt;"!!!"),"NEW","")))</f>
        <v>OLD</v>
      </c>
      <c r="G387" s="22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?IN_FOCUS</v>
      </c>
      <c r="H387" s="23" t="s">
        <v>87</v>
      </c>
      <c r="I387" s="24" t="str">
        <f>IF(OR(E387="",E387="!!!",F387="NEW"),"",INDEX(B$2:B386,-1+SUMPRODUCT(MAX(ROW(E$2:E386)*(E387=E$2:E386)))))</f>
        <v>other</v>
      </c>
      <c r="J387" s="24">
        <f ca="1">IF(OR(E387="",E387="!!!",F387="NEW"),"",COUNTBLANK(OFFSET(A$1,,,SUMPRODUCT(MAX(ROW(E$2:E387)*(E387=E$2:E387)))))-COUNTBLANK(OFFSET(A$1,,,SUMPRODUCT(MAX(ROW(E$1:E386)*(E2=E$1:E386))))))</f>
        <v>0</v>
      </c>
      <c r="K387" s="24">
        <f ca="1">IF(OR(E387="",E387="!!!",F387="NEW"),"",INDEX(J$1:J386,SUMPRODUCT(MAX(ROW(E$1:E386)*(E387=E$1:E386)))))</f>
        <v>0</v>
      </c>
      <c r="L387" s="25"/>
    </row>
    <row r="388" spans="1:12" x14ac:dyDescent="0.3">
      <c r="A388" t="s">
        <v>121</v>
      </c>
      <c r="E388" s="20" t="str">
        <f t="shared" si="30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31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202</v>
      </c>
      <c r="E389" s="20" t="str">
        <f t="shared" si="30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1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ht="28.8" x14ac:dyDescent="0.3">
      <c r="A390" t="s">
        <v>293</v>
      </c>
      <c r="B390" s="26" t="s">
        <v>127</v>
      </c>
      <c r="C390" s="26" t="s">
        <v>136</v>
      </c>
      <c r="D390" s="26" t="s">
        <v>101</v>
      </c>
      <c r="E390" s="20"/>
      <c r="F390" s="21" t="s">
        <v>337</v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31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 t="s">
        <v>340</v>
      </c>
    </row>
    <row r="391" spans="1:12" x14ac:dyDescent="0.3">
      <c r="A391" t="s">
        <v>124</v>
      </c>
      <c r="E391" s="20" t="str">
        <f t="shared" si="30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1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125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294</v>
      </c>
      <c r="B393" s="26" t="s">
        <v>133</v>
      </c>
      <c r="C393" s="26" t="s">
        <v>128</v>
      </c>
      <c r="D393" s="26" t="s">
        <v>101</v>
      </c>
      <c r="E393" s="20"/>
      <c r="F393" s="21" t="s">
        <v>337</v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202</v>
      </c>
      <c r="B394" s="26" t="s">
        <v>154</v>
      </c>
      <c r="E394" s="20" t="str">
        <f t="shared" si="30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31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121</v>
      </c>
      <c r="E395" s="20" t="str">
        <f t="shared" si="3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295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296</v>
      </c>
      <c r="E397" s="20" t="str">
        <f t="shared" si="3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297</v>
      </c>
      <c r="E398" s="20" t="str">
        <f t="shared" si="30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3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298</v>
      </c>
      <c r="B399" s="26" t="s">
        <v>292</v>
      </c>
      <c r="C399" s="26" t="s">
        <v>299</v>
      </c>
      <c r="E399" s="20" t="str">
        <f t="shared" si="3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159</v>
      </c>
      <c r="E400" s="20" t="str">
        <f t="shared" si="30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3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161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146</v>
      </c>
      <c r="B402" s="26" t="s">
        <v>94</v>
      </c>
      <c r="C402" s="26" t="s">
        <v>148</v>
      </c>
      <c r="D402" s="26" t="s">
        <v>101</v>
      </c>
      <c r="E402" s="20" t="s">
        <v>330</v>
      </c>
      <c r="F402" s="21" t="str">
        <f>IF(OR(E402="",E402="!!!"),"",IF(NOT(ISNA(VLOOKUP(E402,E$1:E401,1,FALSE()))),"OLD",IF(AND(E402&lt;&gt;"",E402&lt;&gt;"!!!"),"NEW","")))</f>
        <v>OLD</v>
      </c>
      <c r="G402" s="22" t="str">
        <f ca="1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?IN_FOCUS</v>
      </c>
      <c r="H402" s="23" t="str">
        <f t="shared" ca="1" si="31"/>
        <v/>
      </c>
      <c r="I402" s="24" t="str">
        <f>IF(OR(E402="",E402="!!!",F402="NEW"),"",INDEX(B$2:B401,-1+SUMPRODUCT(MAX(ROW(E$2:E401)*(E402=E$2:E401)))))</f>
        <v>SBJ</v>
      </c>
      <c r="J402" s="24">
        <f ca="1">IF(OR(E402="",E402="!!!",F402="NEW"),"",COUNTBLANK(OFFSET(A$1,,,SUMPRODUCT(MAX(ROW(E$2:E402)*(E402=E$2:E402)))))-COUNTBLANK(OFFSET(A$1,,,SUMPRODUCT(MAX(ROW(E$1:E401)*(E2=E$1:E401))))))</f>
        <v>0</v>
      </c>
      <c r="K402" s="24">
        <f ca="1">IF(OR(E402="",E402="!!!",F402="NEW"),"",INDEX(J$1:J401,SUMPRODUCT(MAX(ROW(E$1:E401)*(E402=E$1:E401)))))</f>
        <v>0</v>
      </c>
      <c r="L402" s="25"/>
    </row>
    <row r="403" spans="1:12" x14ac:dyDescent="0.3">
      <c r="A403" t="s">
        <v>184</v>
      </c>
      <c r="E403" s="20" t="str">
        <f t="shared" si="30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137</v>
      </c>
      <c r="E404" s="20" t="str">
        <f t="shared" si="3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3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6" spans="1:12" x14ac:dyDescent="0.3">
      <c r="A406" t="s">
        <v>300</v>
      </c>
    </row>
    <row r="407" spans="1:12" x14ac:dyDescent="0.3">
      <c r="A407" t="s">
        <v>301</v>
      </c>
      <c r="B407" s="26" t="s">
        <v>94</v>
      </c>
      <c r="C407" s="26" t="s">
        <v>153</v>
      </c>
      <c r="E407" s="20" t="str">
        <f t="shared" ref="E407:E420" si="32">IF(D407="?OLD","!!!","")</f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ref="H407:H420" ca="1" si="33">IF(J407&lt;&gt;1,"",IF(I407="SBJ","CB","?"))</f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243</v>
      </c>
      <c r="E408" s="20" t="str">
        <f t="shared" si="32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3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302</v>
      </c>
      <c r="B409" s="26" t="s">
        <v>133</v>
      </c>
      <c r="C409" s="26" t="s">
        <v>164</v>
      </c>
      <c r="E409" s="20" t="str">
        <f t="shared" si="32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3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194</v>
      </c>
      <c r="E410" s="20" t="str">
        <f t="shared" si="32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33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303</v>
      </c>
      <c r="E411" s="20" t="str">
        <f t="shared" si="32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3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120</v>
      </c>
      <c r="E412" s="20" t="str">
        <f t="shared" si="32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3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304</v>
      </c>
      <c r="E413" s="20" t="str">
        <f t="shared" si="32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33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125</v>
      </c>
      <c r="E414" s="20" t="str">
        <f t="shared" si="32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33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305</v>
      </c>
      <c r="E415" s="20" t="str">
        <f t="shared" si="32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33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306</v>
      </c>
      <c r="E416" s="20" t="str">
        <f t="shared" si="32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3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307</v>
      </c>
      <c r="B417" s="26" t="s">
        <v>163</v>
      </c>
      <c r="C417" s="26" t="s">
        <v>100</v>
      </c>
      <c r="D417" s="26" t="s">
        <v>101</v>
      </c>
      <c r="E417" s="20"/>
      <c r="F417" s="21" t="s">
        <v>127</v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 t="s">
        <v>341</v>
      </c>
    </row>
    <row r="418" spans="1:12" x14ac:dyDescent="0.3">
      <c r="A418" t="s">
        <v>103</v>
      </c>
      <c r="E418" s="20" t="str">
        <f t="shared" si="32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33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308</v>
      </c>
      <c r="E419" s="20" t="str">
        <f t="shared" si="3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137</v>
      </c>
      <c r="E420" s="20" t="str">
        <f t="shared" si="32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33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Viktoriia Remishevska</cp:lastModifiedBy>
  <dcterms:created xsi:type="dcterms:W3CDTF">2024-05-20T20:26:29Z</dcterms:created>
  <dcterms:modified xsi:type="dcterms:W3CDTF">2026-01-13T22:45:17Z</dcterms:modified>
</cp:coreProperties>
</file>