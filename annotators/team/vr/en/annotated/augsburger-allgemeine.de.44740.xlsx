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ikto\Desktop\Annotation\"/>
    </mc:Choice>
  </mc:AlternateContent>
  <xr:revisionPtr revIDLastSave="0" documentId="13_ncr:1_{C3318A63-367B-4771-B581-EE719910AABB}"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77" i="2" l="1"/>
  <c r="F736" i="2"/>
  <c r="E153" i="2"/>
  <c r="E841" i="2"/>
  <c r="F842" i="2"/>
  <c r="G855" i="2"/>
  <c r="E870" i="2"/>
  <c r="E872" i="2"/>
  <c r="E910" i="2"/>
  <c r="E931" i="2"/>
  <c r="F841" i="2"/>
  <c r="E757" i="2"/>
  <c r="E1000" i="2"/>
  <c r="G1000" i="2" s="1"/>
  <c r="E999" i="2"/>
  <c r="E998" i="2"/>
  <c r="E997" i="2"/>
  <c r="G997" i="2" s="1"/>
  <c r="E996" i="2"/>
  <c r="G996" i="2" s="1"/>
  <c r="E995" i="2"/>
  <c r="G995" i="2" s="1"/>
  <c r="E994" i="2"/>
  <c r="E993" i="2"/>
  <c r="E992" i="2"/>
  <c r="G992" i="2" s="1"/>
  <c r="E991" i="2"/>
  <c r="G991" i="2" s="1"/>
  <c r="E988" i="2"/>
  <c r="G988" i="2" s="1"/>
  <c r="E986" i="2"/>
  <c r="E985" i="2"/>
  <c r="E984" i="2"/>
  <c r="G984" i="2" s="1"/>
  <c r="E983" i="2"/>
  <c r="F983" i="2" s="1"/>
  <c r="E982" i="2"/>
  <c r="G982" i="2" s="1"/>
  <c r="E981" i="2"/>
  <c r="G981" i="2" s="1"/>
  <c r="E980" i="2"/>
  <c r="E979" i="2"/>
  <c r="G979" i="2" s="1"/>
  <c r="E978" i="2"/>
  <c r="G978" i="2" s="1"/>
  <c r="E976" i="2"/>
  <c r="E975" i="2"/>
  <c r="F975" i="2" s="1"/>
  <c r="E973" i="2"/>
  <c r="E972" i="2"/>
  <c r="G972" i="2" s="1"/>
  <c r="E971" i="2"/>
  <c r="G971" i="2" s="1"/>
  <c r="E970" i="2"/>
  <c r="F970" i="2" s="1"/>
  <c r="E969" i="2"/>
  <c r="G969" i="2" s="1"/>
  <c r="E968" i="2"/>
  <c r="E967" i="2"/>
  <c r="G967" i="2" s="1"/>
  <c r="E965" i="2"/>
  <c r="G965" i="2" s="1"/>
  <c r="E963" i="2"/>
  <c r="G963" i="2" s="1"/>
  <c r="E961" i="2"/>
  <c r="E959" i="2"/>
  <c r="F959" i="2" s="1"/>
  <c r="K959" i="2" s="1"/>
  <c r="E958" i="2"/>
  <c r="F958" i="2" s="1"/>
  <c r="J958" i="2" s="1"/>
  <c r="H958" i="2" s="1"/>
  <c r="E957" i="2"/>
  <c r="F957" i="2" s="1"/>
  <c r="E956" i="2"/>
  <c r="G956" i="2" s="1"/>
  <c r="E955" i="2"/>
  <c r="E953" i="2"/>
  <c r="E952" i="2"/>
  <c r="G952" i="2" s="1"/>
  <c r="E951" i="2"/>
  <c r="G951" i="2" s="1"/>
  <c r="E950" i="2"/>
  <c r="G950" i="2" s="1"/>
  <c r="E949" i="2"/>
  <c r="F949" i="2" s="1"/>
  <c r="E948" i="2"/>
  <c r="F948" i="2" s="1"/>
  <c r="E946" i="2"/>
  <c r="G946" i="2" s="1"/>
  <c r="E945" i="2"/>
  <c r="F945" i="2" s="1"/>
  <c r="E943" i="2"/>
  <c r="G943" i="2" s="1"/>
  <c r="E942" i="2"/>
  <c r="E940" i="2"/>
  <c r="G940" i="2" s="1"/>
  <c r="E937" i="2"/>
  <c r="F937" i="2" s="1"/>
  <c r="E935" i="2"/>
  <c r="F935" i="2" s="1"/>
  <c r="E934" i="2"/>
  <c r="E933" i="2"/>
  <c r="E932" i="2"/>
  <c r="G932" i="2" s="1"/>
  <c r="E930" i="2"/>
  <c r="F930" i="2" s="1"/>
  <c r="J930" i="2" s="1"/>
  <c r="H930" i="2" s="1"/>
  <c r="E929" i="2"/>
  <c r="E928" i="2"/>
  <c r="E927" i="2"/>
  <c r="E926" i="2"/>
  <c r="F926" i="2" s="1"/>
  <c r="K926" i="2" s="1"/>
  <c r="E925" i="2"/>
  <c r="F925" i="2" s="1"/>
  <c r="K925" i="2" s="1"/>
  <c r="E924" i="2"/>
  <c r="F924" i="2" s="1"/>
  <c r="I924" i="2" s="1"/>
  <c r="E923" i="2"/>
  <c r="F923" i="2" s="1"/>
  <c r="E922" i="2"/>
  <c r="G922" i="2" s="1"/>
  <c r="E921" i="2"/>
  <c r="E920" i="2"/>
  <c r="F920" i="2" s="1"/>
  <c r="K920" i="2" s="1"/>
  <c r="E919" i="2"/>
  <c r="G919" i="2" s="1"/>
  <c r="E918" i="2"/>
  <c r="G918" i="2" s="1"/>
  <c r="E917" i="2"/>
  <c r="F917" i="2" s="1"/>
  <c r="J917" i="2" s="1"/>
  <c r="H917" i="2" s="1"/>
  <c r="E914" i="2"/>
  <c r="E913" i="2"/>
  <c r="F913" i="2" s="1"/>
  <c r="J913" i="2" s="1"/>
  <c r="H913" i="2" s="1"/>
  <c r="E912" i="2"/>
  <c r="E911" i="2"/>
  <c r="E909" i="2"/>
  <c r="F909" i="2" s="1"/>
  <c r="I909" i="2" s="1"/>
  <c r="E908" i="2"/>
  <c r="F908" i="2" s="1"/>
  <c r="J908" i="2" s="1"/>
  <c r="H908" i="2" s="1"/>
  <c r="E907" i="2"/>
  <c r="E906" i="2"/>
  <c r="E905" i="2"/>
  <c r="E904" i="2"/>
  <c r="G904" i="2" s="1"/>
  <c r="E902" i="2"/>
  <c r="E901" i="2"/>
  <c r="F901" i="2" s="1"/>
  <c r="E900" i="2"/>
  <c r="F900" i="2" s="1"/>
  <c r="E899" i="2"/>
  <c r="F899" i="2" s="1"/>
  <c r="E898" i="2"/>
  <c r="E897" i="2"/>
  <c r="E896" i="2"/>
  <c r="G896" i="2" s="1"/>
  <c r="E895" i="2"/>
  <c r="E894" i="2"/>
  <c r="E893" i="2"/>
  <c r="G893" i="2" s="1"/>
  <c r="E892" i="2"/>
  <c r="F892" i="2" s="1"/>
  <c r="I892" i="2" s="1"/>
  <c r="E891" i="2"/>
  <c r="F891" i="2" s="1"/>
  <c r="E890" i="2"/>
  <c r="E889" i="2"/>
  <c r="F889" i="2" s="1"/>
  <c r="E888" i="2"/>
  <c r="F888" i="2" s="1"/>
  <c r="E886" i="2"/>
  <c r="G886" i="2" s="1"/>
  <c r="E885" i="2"/>
  <c r="G885" i="2" s="1"/>
  <c r="G883" i="2"/>
  <c r="G882" i="2"/>
  <c r="F884" i="2" s="1"/>
  <c r="E880" i="2"/>
  <c r="G880" i="2" s="1"/>
  <c r="E878" i="2"/>
  <c r="G878" i="2" s="1"/>
  <c r="G877" i="2"/>
  <c r="E875" i="2"/>
  <c r="E874" i="2"/>
  <c r="E873" i="2"/>
  <c r="G873" i="2" s="1"/>
  <c r="E871" i="2"/>
  <c r="G871" i="2" s="1"/>
  <c r="E869" i="2"/>
  <c r="G869" i="2" s="1"/>
  <c r="E868" i="2"/>
  <c r="G868" i="2" s="1"/>
  <c r="E867" i="2"/>
  <c r="E866" i="2"/>
  <c r="G866" i="2" s="1"/>
  <c r="E865" i="2"/>
  <c r="G865" i="2" s="1"/>
  <c r="E864" i="2"/>
  <c r="E863" i="2"/>
  <c r="E862" i="2"/>
  <c r="G862" i="2" s="1"/>
  <c r="E861" i="2"/>
  <c r="E859" i="2"/>
  <c r="E857" i="2"/>
  <c r="G857" i="2" s="1"/>
  <c r="E856" i="2"/>
  <c r="G856" i="2" s="1"/>
  <c r="E854" i="2"/>
  <c r="G854" i="2" s="1"/>
  <c r="E853" i="2"/>
  <c r="E851" i="2"/>
  <c r="E850" i="2"/>
  <c r="F850" i="2" s="1"/>
  <c r="K850" i="2" s="1"/>
  <c r="E848" i="2"/>
  <c r="F848" i="2" s="1"/>
  <c r="K848" i="2" s="1"/>
  <c r="E846" i="2"/>
  <c r="F846" i="2" s="1"/>
  <c r="E844" i="2"/>
  <c r="G844" i="2" s="1"/>
  <c r="E843" i="2"/>
  <c r="G843" i="2" s="1"/>
  <c r="G841" i="2"/>
  <c r="E840" i="2"/>
  <c r="F840" i="2" s="1"/>
  <c r="K840" i="2" s="1"/>
  <c r="E839" i="2"/>
  <c r="E838" i="2"/>
  <c r="E837" i="2"/>
  <c r="F837" i="2" s="1"/>
  <c r="K837" i="2" s="1"/>
  <c r="E836" i="2"/>
  <c r="E835" i="2"/>
  <c r="E833" i="2"/>
  <c r="E832" i="2"/>
  <c r="E831" i="2"/>
  <c r="G831" i="2" s="1"/>
  <c r="E829" i="2"/>
  <c r="G829" i="2" s="1"/>
  <c r="E828" i="2"/>
  <c r="G828" i="2" s="1"/>
  <c r="E826" i="2"/>
  <c r="G825" i="2"/>
  <c r="E824" i="2"/>
  <c r="E823" i="2"/>
  <c r="E821" i="2"/>
  <c r="G821" i="2" s="1"/>
  <c r="E819" i="2"/>
  <c r="G819" i="2" s="1"/>
  <c r="E818" i="2"/>
  <c r="E817" i="2"/>
  <c r="E815" i="2"/>
  <c r="E813" i="2"/>
  <c r="G813" i="2" s="1"/>
  <c r="E811" i="2"/>
  <c r="G811" i="2" s="1"/>
  <c r="E810" i="2"/>
  <c r="E808" i="2"/>
  <c r="E807" i="2"/>
  <c r="E806" i="2"/>
  <c r="E805" i="2"/>
  <c r="F805" i="2" s="1"/>
  <c r="E804" i="2"/>
  <c r="E803" i="2"/>
  <c r="E799" i="2"/>
  <c r="E796" i="2"/>
  <c r="E794" i="2"/>
  <c r="E791" i="2"/>
  <c r="F789" i="2"/>
  <c r="E788" i="2"/>
  <c r="F787" i="2"/>
  <c r="E786" i="2"/>
  <c r="E785" i="2"/>
  <c r="G785" i="2" s="1"/>
  <c r="E783" i="2"/>
  <c r="E782" i="2"/>
  <c r="E781" i="2"/>
  <c r="F781" i="2" s="1"/>
  <c r="K781" i="2" s="1"/>
  <c r="E780" i="2"/>
  <c r="E779" i="2"/>
  <c r="G779" i="2" s="1"/>
  <c r="E778" i="2"/>
  <c r="G778" i="2" s="1"/>
  <c r="E777" i="2"/>
  <c r="F777" i="2" s="1"/>
  <c r="I777" i="2" s="1"/>
  <c r="E776" i="2"/>
  <c r="E775" i="2"/>
  <c r="G775" i="2" s="1"/>
  <c r="E774" i="2"/>
  <c r="F774" i="2" s="1"/>
  <c r="K774" i="2" s="1"/>
  <c r="E773" i="2"/>
  <c r="F773" i="2" s="1"/>
  <c r="I773" i="2" s="1"/>
  <c r="E772" i="2"/>
  <c r="E771" i="2"/>
  <c r="G771" i="2" s="1"/>
  <c r="E769" i="2"/>
  <c r="E768" i="2"/>
  <c r="F768" i="2" s="1"/>
  <c r="K768" i="2" s="1"/>
  <c r="F766" i="2"/>
  <c r="I766" i="2" s="1"/>
  <c r="E765" i="2"/>
  <c r="E763" i="2"/>
  <c r="E762" i="2"/>
  <c r="F762" i="2" s="1"/>
  <c r="E759" i="2"/>
  <c r="F759" i="2" s="1"/>
  <c r="E756" i="2"/>
  <c r="F756" i="2" s="1"/>
  <c r="J756" i="2" s="1"/>
  <c r="H756" i="2" s="1"/>
  <c r="E755" i="2"/>
  <c r="F755" i="2" s="1"/>
  <c r="K755" i="2" s="1"/>
  <c r="E754" i="2"/>
  <c r="F754" i="2" s="1"/>
  <c r="I754" i="2" s="1"/>
  <c r="E753" i="2"/>
  <c r="G753" i="2" s="1"/>
  <c r="E752" i="2"/>
  <c r="G752" i="2" s="1"/>
  <c r="E751" i="2"/>
  <c r="F751" i="2" s="1"/>
  <c r="I751" i="2" s="1"/>
  <c r="E750" i="2"/>
  <c r="G750" i="2" s="1"/>
  <c r="E748" i="2"/>
  <c r="F748" i="2" s="1"/>
  <c r="K748" i="2" s="1"/>
  <c r="E747" i="2"/>
  <c r="G747" i="2" s="1"/>
  <c r="E745" i="2"/>
  <c r="E744" i="2"/>
  <c r="G744" i="2" s="1"/>
  <c r="E743" i="2"/>
  <c r="E742" i="2"/>
  <c r="G742" i="2" s="1"/>
  <c r="E741" i="2"/>
  <c r="G741" i="2" s="1"/>
  <c r="E740" i="2"/>
  <c r="G740" i="2" s="1"/>
  <c r="E739" i="2"/>
  <c r="F739" i="2" s="1"/>
  <c r="I739" i="2" s="1"/>
  <c r="E738" i="2"/>
  <c r="E737" i="2"/>
  <c r="E735" i="2"/>
  <c r="F735" i="2" s="1"/>
  <c r="E733" i="2"/>
  <c r="E732" i="2"/>
  <c r="F732" i="2" s="1"/>
  <c r="J732" i="2" s="1"/>
  <c r="H732" i="2" s="1"/>
  <c r="E729" i="2"/>
  <c r="F729" i="2" s="1"/>
  <c r="E727" i="2"/>
  <c r="E726" i="2"/>
  <c r="G726" i="2" s="1"/>
  <c r="E725" i="2"/>
  <c r="F725" i="2" s="1"/>
  <c r="K725" i="2" s="1"/>
  <c r="E724" i="2"/>
  <c r="F724" i="2" s="1"/>
  <c r="J724" i="2" s="1"/>
  <c r="E723" i="2"/>
  <c r="F723" i="2" s="1"/>
  <c r="J723" i="2" s="1"/>
  <c r="H723" i="2" s="1"/>
  <c r="E722" i="2"/>
  <c r="G722" i="2" s="1"/>
  <c r="E721" i="2"/>
  <c r="F721" i="2" s="1"/>
  <c r="K721" i="2" s="1"/>
  <c r="E720" i="2"/>
  <c r="F720" i="2" s="1"/>
  <c r="E719" i="2"/>
  <c r="E718" i="2"/>
  <c r="F718" i="2" s="1"/>
  <c r="K718" i="2" s="1"/>
  <c r="E717" i="2"/>
  <c r="G717" i="2" s="1"/>
  <c r="E716" i="2"/>
  <c r="G716" i="2" s="1"/>
  <c r="E715" i="2"/>
  <c r="E712" i="2"/>
  <c r="F712" i="2" s="1"/>
  <c r="E709" i="2"/>
  <c r="F709" i="2" s="1"/>
  <c r="E706" i="2"/>
  <c r="E705" i="2"/>
  <c r="E704" i="2"/>
  <c r="F704" i="2" s="1"/>
  <c r="E703" i="2"/>
  <c r="G703" i="2" s="1"/>
  <c r="E702" i="2"/>
  <c r="F702" i="2" s="1"/>
  <c r="K702" i="2" s="1"/>
  <c r="E701" i="2"/>
  <c r="E700" i="2"/>
  <c r="F700" i="2" s="1"/>
  <c r="E699" i="2"/>
  <c r="E698" i="2"/>
  <c r="F698" i="2" s="1"/>
  <c r="E695" i="2"/>
  <c r="F695" i="2" s="1"/>
  <c r="K695" i="2" s="1"/>
  <c r="E694" i="2"/>
  <c r="F694" i="2" s="1"/>
  <c r="E693" i="2"/>
  <c r="E691" i="2"/>
  <c r="F691" i="2" s="1"/>
  <c r="J691" i="2" s="1"/>
  <c r="H691" i="2" s="1"/>
  <c r="E689" i="2"/>
  <c r="E688" i="2"/>
  <c r="G688" i="2" s="1"/>
  <c r="E687" i="2"/>
  <c r="E686" i="2"/>
  <c r="F686" i="2" s="1"/>
  <c r="J686" i="2" s="1"/>
  <c r="H686" i="2" s="1"/>
  <c r="E685" i="2"/>
  <c r="F685" i="2" s="1"/>
  <c r="J685" i="2" s="1"/>
  <c r="H685" i="2" s="1"/>
  <c r="E683" i="2"/>
  <c r="E682" i="2"/>
  <c r="G682" i="2" s="1"/>
  <c r="E681" i="2"/>
  <c r="E679" i="2"/>
  <c r="G679" i="2" s="1"/>
  <c r="E677" i="2"/>
  <c r="F677" i="2" s="1"/>
  <c r="E676" i="2"/>
  <c r="E675" i="2"/>
  <c r="E674" i="2"/>
  <c r="F674" i="2" s="1"/>
  <c r="J674" i="2" s="1"/>
  <c r="E673" i="2"/>
  <c r="E672" i="2"/>
  <c r="F672" i="2" s="1"/>
  <c r="J672" i="2" s="1"/>
  <c r="H672" i="2" s="1"/>
  <c r="E671" i="2"/>
  <c r="F671" i="2" s="1"/>
  <c r="J671" i="2" s="1"/>
  <c r="H671" i="2" s="1"/>
  <c r="E670" i="2"/>
  <c r="E668" i="2"/>
  <c r="G668" i="2" s="1"/>
  <c r="E667" i="2"/>
  <c r="E666" i="2"/>
  <c r="E665" i="2"/>
  <c r="G665" i="2" s="1"/>
  <c r="E663" i="2"/>
  <c r="G663" i="2" s="1"/>
  <c r="E660" i="2"/>
  <c r="E658" i="2"/>
  <c r="F658" i="2" s="1"/>
  <c r="I658" i="2" s="1"/>
  <c r="E657" i="2"/>
  <c r="E655" i="2"/>
  <c r="F655" i="2" s="1"/>
  <c r="J655" i="2" s="1"/>
  <c r="H655" i="2" s="1"/>
  <c r="E654" i="2"/>
  <c r="G654" i="2" s="1"/>
  <c r="E653" i="2"/>
  <c r="G653" i="2" s="1"/>
  <c r="E652" i="2"/>
  <c r="G652" i="2" s="1"/>
  <c r="E651" i="2"/>
  <c r="E650" i="2"/>
  <c r="E649" i="2"/>
  <c r="F649" i="2" s="1"/>
  <c r="K649" i="2" s="1"/>
  <c r="E648" i="2"/>
  <c r="G648" i="2" s="1"/>
  <c r="E647" i="2"/>
  <c r="E646" i="2"/>
  <c r="F646" i="2" s="1"/>
  <c r="E645" i="2"/>
  <c r="E644" i="2"/>
  <c r="F644" i="2" s="1"/>
  <c r="K644" i="2" s="1"/>
  <c r="E643" i="2"/>
  <c r="E642" i="2"/>
  <c r="E641" i="2"/>
  <c r="E640" i="2"/>
  <c r="E639" i="2"/>
  <c r="E637" i="2"/>
  <c r="G637" i="2" s="1"/>
  <c r="E634" i="2"/>
  <c r="G634" i="2" s="1"/>
  <c r="E633" i="2"/>
  <c r="F633" i="2" s="1"/>
  <c r="E632" i="2"/>
  <c r="F632" i="2" s="1"/>
  <c r="I632" i="2" s="1"/>
  <c r="E631" i="2"/>
  <c r="E630" i="2"/>
  <c r="E628" i="2"/>
  <c r="E627" i="2"/>
  <c r="F627" i="2" s="1"/>
  <c r="E625" i="2"/>
  <c r="E624" i="2"/>
  <c r="E623" i="2"/>
  <c r="G623" i="2" s="1"/>
  <c r="E622" i="2"/>
  <c r="G622" i="2" s="1"/>
  <c r="E621" i="2"/>
  <c r="G621" i="2" s="1"/>
  <c r="E620" i="2"/>
  <c r="F620" i="2" s="1"/>
  <c r="J620" i="2" s="1"/>
  <c r="H620" i="2" s="1"/>
  <c r="E619" i="2"/>
  <c r="E618" i="2"/>
  <c r="E616" i="2"/>
  <c r="E615" i="2"/>
  <c r="F615" i="2" s="1"/>
  <c r="I615" i="2" s="1"/>
  <c r="E613" i="2"/>
  <c r="E611" i="2"/>
  <c r="E610" i="2"/>
  <c r="F610" i="2" s="1"/>
  <c r="I610" i="2" s="1"/>
  <c r="E608" i="2"/>
  <c r="G608" i="2" s="1"/>
  <c r="E606" i="2"/>
  <c r="E605" i="2"/>
  <c r="G605" i="2" s="1"/>
  <c r="E604" i="2"/>
  <c r="E602" i="2"/>
  <c r="E600" i="2"/>
  <c r="E599" i="2"/>
  <c r="E598" i="2"/>
  <c r="E597" i="2"/>
  <c r="F597" i="2" s="1"/>
  <c r="K597" i="2" s="1"/>
  <c r="E595" i="2"/>
  <c r="E592" i="2"/>
  <c r="G592" i="2" s="1"/>
  <c r="E591" i="2"/>
  <c r="F591" i="2" s="1"/>
  <c r="J591" i="2" s="1"/>
  <c r="H591" i="2" s="1"/>
  <c r="E589" i="2"/>
  <c r="E587" i="2"/>
  <c r="F587" i="2" s="1"/>
  <c r="E586" i="2"/>
  <c r="E585" i="2"/>
  <c r="E584" i="2"/>
  <c r="G584" i="2" s="1"/>
  <c r="E583" i="2"/>
  <c r="G583" i="2" s="1"/>
  <c r="E582" i="2"/>
  <c r="G582" i="2" s="1"/>
  <c r="E580" i="2"/>
  <c r="G580" i="2" s="1"/>
  <c r="E579" i="2"/>
  <c r="G579" i="2" s="1"/>
  <c r="E578" i="2"/>
  <c r="E577" i="2"/>
  <c r="G577" i="2" s="1"/>
  <c r="E575" i="2"/>
  <c r="F575" i="2" s="1"/>
  <c r="J575" i="2" s="1"/>
  <c r="H575" i="2" s="1"/>
  <c r="E573" i="2"/>
  <c r="F573" i="2" s="1"/>
  <c r="E572" i="2"/>
  <c r="F572" i="2" s="1"/>
  <c r="E570" i="2"/>
  <c r="E569" i="2"/>
  <c r="E568" i="2"/>
  <c r="F568" i="2" s="1"/>
  <c r="I568" i="2" s="1"/>
  <c r="E566" i="2"/>
  <c r="F566" i="2" s="1"/>
  <c r="I566" i="2" s="1"/>
  <c r="E564" i="2"/>
  <c r="F564" i="2" s="1"/>
  <c r="E563" i="2"/>
  <c r="G563" i="2" s="1"/>
  <c r="E562" i="2"/>
  <c r="E561" i="2"/>
  <c r="F561" i="2" s="1"/>
  <c r="E560" i="2"/>
  <c r="G560" i="2" s="1"/>
  <c r="E558" i="2"/>
  <c r="G558" i="2" s="1"/>
  <c r="E557" i="2"/>
  <c r="E556" i="2"/>
  <c r="G556" i="2" s="1"/>
  <c r="E555" i="2"/>
  <c r="E554" i="2"/>
  <c r="G554" i="2" s="1"/>
  <c r="E553" i="2"/>
  <c r="E552" i="2"/>
  <c r="E551" i="2"/>
  <c r="G551" i="2" s="1"/>
  <c r="E550" i="2"/>
  <c r="F550" i="2" s="1"/>
  <c r="E547" i="2"/>
  <c r="E546" i="2"/>
  <c r="F546" i="2" s="1"/>
  <c r="J546" i="2" s="1"/>
  <c r="H546" i="2" s="1"/>
  <c r="E545" i="2"/>
  <c r="F545" i="2" s="1"/>
  <c r="E543" i="2"/>
  <c r="F543" i="2" s="1"/>
  <c r="E541" i="2"/>
  <c r="G541" i="2" s="1"/>
  <c r="E540" i="2"/>
  <c r="F540" i="2" s="1"/>
  <c r="J540" i="2" s="1"/>
  <c r="H540" i="2" s="1"/>
  <c r="E539" i="2"/>
  <c r="E538" i="2"/>
  <c r="F538" i="2" s="1"/>
  <c r="J538" i="2" s="1"/>
  <c r="H538" i="2" s="1"/>
  <c r="E537" i="2"/>
  <c r="G537" i="2" s="1"/>
  <c r="E536" i="2"/>
  <c r="F536" i="2" s="1"/>
  <c r="J536" i="2" s="1"/>
  <c r="H536" i="2" s="1"/>
  <c r="E535" i="2"/>
  <c r="E534" i="2"/>
  <c r="E533" i="2"/>
  <c r="G533" i="2" s="1"/>
  <c r="E532" i="2"/>
  <c r="F532" i="2" s="1"/>
  <c r="K532" i="2" s="1"/>
  <c r="E531" i="2"/>
  <c r="G531" i="2" s="1"/>
  <c r="E530" i="2"/>
  <c r="G530" i="2" s="1"/>
  <c r="E529" i="2"/>
  <c r="E528" i="2"/>
  <c r="F528" i="2" s="1"/>
  <c r="J528" i="2" s="1"/>
  <c r="H528" i="2" s="1"/>
  <c r="E526" i="2"/>
  <c r="F526" i="2" s="1"/>
  <c r="E525" i="2"/>
  <c r="E523" i="2"/>
  <c r="G523" i="2" s="1"/>
  <c r="E522" i="2"/>
  <c r="G522" i="2" s="1"/>
  <c r="E519" i="2"/>
  <c r="E517" i="2"/>
  <c r="E516" i="2"/>
  <c r="G516" i="2" s="1"/>
  <c r="E515" i="2"/>
  <c r="E514" i="2"/>
  <c r="F514" i="2" s="1"/>
  <c r="E513" i="2"/>
  <c r="F513" i="2" s="1"/>
  <c r="K513" i="2" s="1"/>
  <c r="E511" i="2"/>
  <c r="F511" i="2" s="1"/>
  <c r="K511" i="2" s="1"/>
  <c r="E509" i="2"/>
  <c r="G509" i="2" s="1"/>
  <c r="E508" i="2"/>
  <c r="G508" i="2" s="1"/>
  <c r="E506" i="2"/>
  <c r="G506" i="2" s="1"/>
  <c r="E505" i="2"/>
  <c r="G505" i="2" s="1"/>
  <c r="E504" i="2"/>
  <c r="G504" i="2" s="1"/>
  <c r="G503" i="2"/>
  <c r="E501" i="2"/>
  <c r="F501" i="2" s="1"/>
  <c r="K501" i="2" s="1"/>
  <c r="E500" i="2"/>
  <c r="E498" i="2"/>
  <c r="E495" i="2"/>
  <c r="G495" i="2" s="1"/>
  <c r="E492" i="2"/>
  <c r="E491" i="2"/>
  <c r="G491" i="2" s="1"/>
  <c r="E490" i="2"/>
  <c r="F490" i="2" s="1"/>
  <c r="I490" i="2" s="1"/>
  <c r="E489" i="2"/>
  <c r="G489" i="2" s="1"/>
  <c r="E488" i="2"/>
  <c r="E486" i="2"/>
  <c r="E485" i="2"/>
  <c r="G485" i="2" s="1"/>
  <c r="E482" i="2"/>
  <c r="E480" i="2"/>
  <c r="G480" i="2" s="1"/>
  <c r="E479" i="2"/>
  <c r="E478" i="2"/>
  <c r="G478" i="2" s="1"/>
  <c r="E477" i="2"/>
  <c r="G477" i="2" s="1"/>
  <c r="E476" i="2"/>
  <c r="F476" i="2" s="1"/>
  <c r="J476" i="2" s="1"/>
  <c r="H476" i="2" s="1"/>
  <c r="E475" i="2"/>
  <c r="E474" i="2"/>
  <c r="F474" i="2" s="1"/>
  <c r="E473" i="2"/>
  <c r="G473" i="2" s="1"/>
  <c r="E472" i="2"/>
  <c r="F472" i="2" s="1"/>
  <c r="K472" i="2" s="1"/>
  <c r="E471" i="2"/>
  <c r="G471" i="2" s="1"/>
  <c r="E470" i="2"/>
  <c r="E469" i="2"/>
  <c r="F469" i="2" s="1"/>
  <c r="K469" i="2" s="1"/>
  <c r="E468" i="2"/>
  <c r="E466" i="2"/>
  <c r="G466" i="2" s="1"/>
  <c r="E465" i="2"/>
  <c r="F465" i="2" s="1"/>
  <c r="J465" i="2" s="1"/>
  <c r="H465" i="2" s="1"/>
  <c r="E464" i="2"/>
  <c r="E463" i="2"/>
  <c r="F463" i="2" s="1"/>
  <c r="I463" i="2" s="1"/>
  <c r="E462" i="2"/>
  <c r="G462" i="2" s="1"/>
  <c r="E461" i="2"/>
  <c r="F461" i="2" s="1"/>
  <c r="K461" i="2" s="1"/>
  <c r="E460" i="2"/>
  <c r="F460" i="2" s="1"/>
  <c r="J460" i="2" s="1"/>
  <c r="H460" i="2" s="1"/>
  <c r="E459" i="2"/>
  <c r="E458" i="2"/>
  <c r="F458" i="2" s="1"/>
  <c r="E457" i="2"/>
  <c r="F457" i="2" s="1"/>
  <c r="E456" i="2"/>
  <c r="E455" i="2"/>
  <c r="E453" i="2"/>
  <c r="E451" i="2"/>
  <c r="E449" i="2"/>
  <c r="G449" i="2" s="1"/>
  <c r="E448" i="2"/>
  <c r="F448" i="2" s="1"/>
  <c r="K448" i="2" s="1"/>
  <c r="E447" i="2"/>
  <c r="F447" i="2" s="1"/>
  <c r="E445" i="2"/>
  <c r="G445" i="2" s="1"/>
  <c r="E444" i="2"/>
  <c r="E443" i="2"/>
  <c r="F443" i="2" s="1"/>
  <c r="E441" i="2"/>
  <c r="E438" i="2"/>
  <c r="E437" i="2"/>
  <c r="E435" i="2"/>
  <c r="E431" i="2"/>
  <c r="G431" i="2" s="1"/>
  <c r="E429" i="2"/>
  <c r="E428" i="2"/>
  <c r="E426" i="2"/>
  <c r="F426" i="2" s="1"/>
  <c r="J426" i="2" s="1"/>
  <c r="H426" i="2" s="1"/>
  <c r="E424" i="2"/>
  <c r="G424" i="2" s="1"/>
  <c r="E423" i="2"/>
  <c r="G423" i="2" s="1"/>
  <c r="E421" i="2"/>
  <c r="F421" i="2" s="1"/>
  <c r="I421" i="2" s="1"/>
  <c r="E420" i="2"/>
  <c r="G420" i="2" s="1"/>
  <c r="E418" i="2"/>
  <c r="G418" i="2" s="1"/>
  <c r="E417" i="2"/>
  <c r="E415" i="2"/>
  <c r="E413" i="2"/>
  <c r="E411" i="2"/>
  <c r="G411" i="2" s="1"/>
  <c r="E408" i="2"/>
  <c r="G408" i="2" s="1"/>
  <c r="E407" i="2"/>
  <c r="G407" i="2" s="1"/>
  <c r="E406" i="2"/>
  <c r="G406" i="2" s="1"/>
  <c r="E405" i="2"/>
  <c r="F405" i="2" s="1"/>
  <c r="I405" i="2" s="1"/>
  <c r="E404" i="2"/>
  <c r="E403" i="2"/>
  <c r="F403" i="2" s="1"/>
  <c r="E402" i="2"/>
  <c r="E400" i="2"/>
  <c r="F400" i="2" s="1"/>
  <c r="J400" i="2" s="1"/>
  <c r="H400" i="2" s="1"/>
  <c r="E399" i="2"/>
  <c r="G399" i="2" s="1"/>
  <c r="E398" i="2"/>
  <c r="E397" i="2"/>
  <c r="G397" i="2" s="1"/>
  <c r="E396" i="2"/>
  <c r="E394" i="2"/>
  <c r="G394" i="2" s="1"/>
  <c r="E393" i="2"/>
  <c r="E392" i="2"/>
  <c r="E390" i="2"/>
  <c r="E389" i="2"/>
  <c r="G389" i="2" s="1"/>
  <c r="E388" i="2"/>
  <c r="F388" i="2" s="1"/>
  <c r="J388" i="2" s="1"/>
  <c r="H388" i="2" s="1"/>
  <c r="E387" i="2"/>
  <c r="F387" i="2" s="1"/>
  <c r="I387" i="2" s="1"/>
  <c r="E386" i="2"/>
  <c r="G386" i="2" s="1"/>
  <c r="E385" i="2"/>
  <c r="E384" i="2"/>
  <c r="E382" i="2"/>
  <c r="G382" i="2" s="1"/>
  <c r="E380" i="2"/>
  <c r="G380" i="2" s="1"/>
  <c r="E378" i="2"/>
  <c r="E377" i="2"/>
  <c r="F377" i="2" s="1"/>
  <c r="E375" i="2"/>
  <c r="F375" i="2" s="1"/>
  <c r="E374" i="2"/>
  <c r="F374" i="2" s="1"/>
  <c r="E372" i="2"/>
  <c r="E370" i="2"/>
  <c r="E369" i="2"/>
  <c r="E367" i="2"/>
  <c r="G367" i="2" s="1"/>
  <c r="E364" i="2"/>
  <c r="G364" i="2" s="1"/>
  <c r="E361" i="2"/>
  <c r="F361" i="2" s="1"/>
  <c r="K361" i="2" s="1"/>
  <c r="E360" i="2"/>
  <c r="G360" i="2" s="1"/>
  <c r="E359" i="2"/>
  <c r="G359" i="2" s="1"/>
  <c r="E358" i="2"/>
  <c r="F358" i="2" s="1"/>
  <c r="I358" i="2" s="1"/>
  <c r="E357" i="2"/>
  <c r="E356" i="2"/>
  <c r="F356" i="2" s="1"/>
  <c r="E355" i="2"/>
  <c r="E354" i="2"/>
  <c r="G354" i="2" s="1"/>
  <c r="E353" i="2"/>
  <c r="E351" i="2"/>
  <c r="E350" i="2"/>
  <c r="F350" i="2" s="1"/>
  <c r="E349" i="2"/>
  <c r="F349" i="2" s="1"/>
  <c r="K349" i="2" s="1"/>
  <c r="E348" i="2"/>
  <c r="E347" i="2"/>
  <c r="F347" i="2" s="1"/>
  <c r="I347" i="2" s="1"/>
  <c r="E345" i="2"/>
  <c r="E344" i="2"/>
  <c r="G344" i="2" s="1"/>
  <c r="E343" i="2"/>
  <c r="G343" i="2" s="1"/>
  <c r="E342" i="2"/>
  <c r="E341" i="2"/>
  <c r="E340" i="2"/>
  <c r="E338" i="2"/>
  <c r="E336" i="2"/>
  <c r="F336" i="2" s="1"/>
  <c r="I336" i="2" s="1"/>
  <c r="E334" i="2"/>
  <c r="E332" i="2"/>
  <c r="G332" i="2" s="1"/>
  <c r="E331" i="2"/>
  <c r="E330" i="2"/>
  <c r="F330" i="2" s="1"/>
  <c r="K330" i="2" s="1"/>
  <c r="E328" i="2"/>
  <c r="G328" i="2" s="1"/>
  <c r="E327" i="2"/>
  <c r="E324" i="2"/>
  <c r="F324" i="2" s="1"/>
  <c r="K324" i="2" s="1"/>
  <c r="E322" i="2"/>
  <c r="F322" i="2" s="1"/>
  <c r="J322" i="2" s="1"/>
  <c r="H322" i="2" s="1"/>
  <c r="E321" i="2"/>
  <c r="E320" i="2"/>
  <c r="G320" i="2" s="1"/>
  <c r="E319" i="2"/>
  <c r="E317" i="2"/>
  <c r="G317" i="2" s="1"/>
  <c r="E316" i="2"/>
  <c r="F316" i="2" s="1"/>
  <c r="J316" i="2" s="1"/>
  <c r="H316" i="2" s="1"/>
  <c r="E314" i="2"/>
  <c r="E313" i="2"/>
  <c r="E312" i="2"/>
  <c r="F312" i="2" s="1"/>
  <c r="K312" i="2" s="1"/>
  <c r="E310" i="2"/>
  <c r="G310" i="2" s="1"/>
  <c r="E309" i="2"/>
  <c r="E308" i="2"/>
  <c r="G308" i="2" s="1"/>
  <c r="E307" i="2"/>
  <c r="F307" i="2" s="1"/>
  <c r="I307" i="2" s="1"/>
  <c r="E305" i="2"/>
  <c r="G305" i="2" s="1"/>
  <c r="E303" i="2"/>
  <c r="G303" i="2" s="1"/>
  <c r="E301" i="2"/>
  <c r="G300" i="2"/>
  <c r="E299" i="2"/>
  <c r="F299" i="2" s="1"/>
  <c r="E298" i="2"/>
  <c r="F298" i="2" s="1"/>
  <c r="K298" i="2" s="1"/>
  <c r="E297" i="2"/>
  <c r="F297" i="2" s="1"/>
  <c r="E296" i="2"/>
  <c r="F296" i="2" s="1"/>
  <c r="J296" i="2" s="1"/>
  <c r="H296" i="2" s="1"/>
  <c r="E295" i="2"/>
  <c r="E293" i="2"/>
  <c r="E290" i="2"/>
  <c r="F290" i="2" s="1"/>
  <c r="I290" i="2" s="1"/>
  <c r="E289" i="2"/>
  <c r="G289" i="2" s="1"/>
  <c r="E288" i="2"/>
  <c r="F288" i="2" s="1"/>
  <c r="E287" i="2"/>
  <c r="G287" i="2" s="1"/>
  <c r="E286" i="2"/>
  <c r="E285" i="2"/>
  <c r="F285" i="2" s="1"/>
  <c r="E284" i="2"/>
  <c r="F284" i="2" s="1"/>
  <c r="K284" i="2" s="1"/>
  <c r="E283" i="2"/>
  <c r="E282" i="2"/>
  <c r="F282" i="2" s="1"/>
  <c r="J282" i="2" s="1"/>
  <c r="H282" i="2" s="1"/>
  <c r="E278" i="2"/>
  <c r="G278" i="2" s="1"/>
  <c r="E277" i="2"/>
  <c r="E276" i="2"/>
  <c r="G276" i="2" s="1"/>
  <c r="E275" i="2"/>
  <c r="F275" i="2" s="1"/>
  <c r="E274" i="2"/>
  <c r="E273" i="2"/>
  <c r="E272" i="2"/>
  <c r="G272" i="2" s="1"/>
  <c r="E271" i="2"/>
  <c r="E269" i="2"/>
  <c r="F269" i="2" s="1"/>
  <c r="I269" i="2" s="1"/>
  <c r="E267" i="2"/>
  <c r="E264" i="2"/>
  <c r="G264" i="2" s="1"/>
  <c r="E262" i="2"/>
  <c r="G262" i="2" s="1"/>
  <c r="E260" i="2"/>
  <c r="F260" i="2" s="1"/>
  <c r="K260" i="2" s="1"/>
  <c r="E259" i="2"/>
  <c r="E255" i="2"/>
  <c r="F255" i="2" s="1"/>
  <c r="E253" i="2"/>
  <c r="F253" i="2" s="1"/>
  <c r="E252" i="2"/>
  <c r="F252" i="2" s="1"/>
  <c r="J252" i="2" s="1"/>
  <c r="H252" i="2" s="1"/>
  <c r="E251" i="2"/>
  <c r="E249" i="2"/>
  <c r="E248" i="2"/>
  <c r="F248" i="2" s="1"/>
  <c r="E247" i="2"/>
  <c r="F247" i="2" s="1"/>
  <c r="E245" i="2"/>
  <c r="E244" i="2"/>
  <c r="E243" i="2"/>
  <c r="E242" i="2"/>
  <c r="F242" i="2" s="1"/>
  <c r="K242" i="2" s="1"/>
  <c r="E240" i="2"/>
  <c r="G240" i="2" s="1"/>
  <c r="E238" i="2"/>
  <c r="G238" i="2" s="1"/>
  <c r="E237" i="2"/>
  <c r="E233" i="2"/>
  <c r="G233" i="2" s="1"/>
  <c r="E232" i="2"/>
  <c r="G232" i="2" s="1"/>
  <c r="E230" i="2"/>
  <c r="G230" i="2" s="1"/>
  <c r="E229" i="2"/>
  <c r="E228" i="2"/>
  <c r="F228" i="2" s="1"/>
  <c r="E227" i="2"/>
  <c r="G227" i="2" s="1"/>
  <c r="E224" i="2"/>
  <c r="F224" i="2" s="1"/>
  <c r="E222" i="2"/>
  <c r="G222" i="2" s="1"/>
  <c r="E221" i="2"/>
  <c r="G221" i="2" s="1"/>
  <c r="E219" i="2"/>
  <c r="F219" i="2" s="1"/>
  <c r="E217" i="2"/>
  <c r="E216" i="2"/>
  <c r="G216" i="2" s="1"/>
  <c r="E215" i="2"/>
  <c r="G215" i="2" s="1"/>
  <c r="E214" i="2"/>
  <c r="G214" i="2" s="1"/>
  <c r="E213" i="2"/>
  <c r="F213" i="2" s="1"/>
  <c r="E212" i="2"/>
  <c r="G212" i="2" s="1"/>
  <c r="E211" i="2"/>
  <c r="F211" i="2" s="1"/>
  <c r="E210" i="2"/>
  <c r="G210" i="2" s="1"/>
  <c r="E208" i="2"/>
  <c r="F208" i="2" s="1"/>
  <c r="K208" i="2" s="1"/>
  <c r="E206" i="2"/>
  <c r="G206" i="2" s="1"/>
  <c r="E205" i="2"/>
  <c r="F205" i="2" s="1"/>
  <c r="E204" i="2"/>
  <c r="G204" i="2" s="1"/>
  <c r="E200" i="2"/>
  <c r="G200" i="2" s="1"/>
  <c r="E199" i="2"/>
  <c r="E198" i="2"/>
  <c r="G198" i="2" s="1"/>
  <c r="E196" i="2"/>
  <c r="E195" i="2"/>
  <c r="E193" i="2"/>
  <c r="G193" i="2" s="1"/>
  <c r="E192" i="2"/>
  <c r="G192" i="2" s="1"/>
  <c r="E189" i="2"/>
  <c r="E188" i="2"/>
  <c r="G188" i="2" s="1"/>
  <c r="E187" i="2"/>
  <c r="E186" i="2"/>
  <c r="E185" i="2"/>
  <c r="G185" i="2" s="1"/>
  <c r="E184" i="2"/>
  <c r="E181" i="2"/>
  <c r="E180" i="2"/>
  <c r="F180" i="2" s="1"/>
  <c r="K180" i="2" s="1"/>
  <c r="E179" i="2"/>
  <c r="E176" i="2"/>
  <c r="F176" i="2" s="1"/>
  <c r="K176" i="2" s="1"/>
  <c r="E174" i="2"/>
  <c r="E173" i="2"/>
  <c r="F173" i="2" s="1"/>
  <c r="E172" i="2"/>
  <c r="G172" i="2" s="1"/>
  <c r="E171" i="2"/>
  <c r="F171" i="2" s="1"/>
  <c r="E170" i="2"/>
  <c r="G170" i="2" s="1"/>
  <c r="E169" i="2"/>
  <c r="F169" i="2" s="1"/>
  <c r="E168" i="2"/>
  <c r="E166" i="2"/>
  <c r="G166" i="2" s="1"/>
  <c r="E164" i="2"/>
  <c r="G164" i="2" s="1"/>
  <c r="E163" i="2"/>
  <c r="F163" i="2" s="1"/>
  <c r="I163" i="2" s="1"/>
  <c r="E162" i="2"/>
  <c r="F162" i="2" s="1"/>
  <c r="J162" i="2" s="1"/>
  <c r="H162" i="2" s="1"/>
  <c r="E158" i="2"/>
  <c r="F158" i="2" s="1"/>
  <c r="E156" i="2"/>
  <c r="E155" i="2"/>
  <c r="F155" i="2" s="1"/>
  <c r="E154" i="2"/>
  <c r="E151" i="2"/>
  <c r="G151" i="2" s="1"/>
  <c r="E148" i="2"/>
  <c r="G148" i="2" s="1"/>
  <c r="E147" i="2"/>
  <c r="E146" i="2"/>
  <c r="F146" i="2" s="1"/>
  <c r="K146" i="2" s="1"/>
  <c r="E144" i="2"/>
  <c r="G144" i="2" s="1"/>
  <c r="E141" i="2"/>
  <c r="F141" i="2" s="1"/>
  <c r="E139" i="2"/>
  <c r="F139" i="2" s="1"/>
  <c r="E138" i="2"/>
  <c r="E137" i="2"/>
  <c r="E136" i="2"/>
  <c r="G136" i="2" s="1"/>
  <c r="E135" i="2"/>
  <c r="F135" i="2" s="1"/>
  <c r="J135" i="2" s="1"/>
  <c r="H135" i="2" s="1"/>
  <c r="E131" i="2"/>
  <c r="E130" i="2"/>
  <c r="G130" i="2" s="1"/>
  <c r="E129" i="2"/>
  <c r="G129" i="2" s="1"/>
  <c r="E128" i="2"/>
  <c r="G128" i="2" s="1"/>
  <c r="E126" i="2"/>
  <c r="G126" i="2" s="1"/>
  <c r="E124" i="2"/>
  <c r="G124" i="2" s="1"/>
  <c r="E121" i="2"/>
  <c r="E119" i="2"/>
  <c r="F119" i="2" s="1"/>
  <c r="E118" i="2"/>
  <c r="F118" i="2" s="1"/>
  <c r="K118" i="2" s="1"/>
  <c r="E117" i="2"/>
  <c r="F117" i="2" s="1"/>
  <c r="E112" i="2"/>
  <c r="G112" i="2" s="1"/>
  <c r="E111" i="2"/>
  <c r="F111" i="2" s="1"/>
  <c r="E108" i="2"/>
  <c r="G108" i="2" s="1"/>
  <c r="E107" i="2"/>
  <c r="E105" i="2"/>
  <c r="G105" i="2" s="1"/>
  <c r="E104" i="2"/>
  <c r="G104" i="2" s="1"/>
  <c r="E103" i="2"/>
  <c r="G103" i="2" s="1"/>
  <c r="E99" i="2"/>
  <c r="E96" i="2"/>
  <c r="G96" i="2" s="1"/>
  <c r="E94" i="2"/>
  <c r="G94" i="2" s="1"/>
  <c r="E92" i="2"/>
  <c r="F92" i="2" s="1"/>
  <c r="K92" i="2" s="1"/>
  <c r="E90" i="2"/>
  <c r="F90" i="2" s="1"/>
  <c r="I90" i="2" s="1"/>
  <c r="E87" i="2"/>
  <c r="G87" i="2" s="1"/>
  <c r="E86" i="2"/>
  <c r="G86" i="2" s="1"/>
  <c r="E85" i="2"/>
  <c r="E84" i="2"/>
  <c r="F84" i="2" s="1"/>
  <c r="E83" i="2"/>
  <c r="E82" i="2"/>
  <c r="F82" i="2" s="1"/>
  <c r="K82" i="2" s="1"/>
  <c r="E81" i="2"/>
  <c r="F81" i="2" s="1"/>
  <c r="J81" i="2" s="1"/>
  <c r="H81" i="2" s="1"/>
  <c r="E80" i="2"/>
  <c r="E79" i="2"/>
  <c r="F79" i="2" s="1"/>
  <c r="I79" i="2" s="1"/>
  <c r="E78" i="2"/>
  <c r="F78" i="2" s="1"/>
  <c r="E76" i="2"/>
  <c r="F76" i="2" s="1"/>
  <c r="E74" i="2"/>
  <c r="F74" i="2" s="1"/>
  <c r="E73" i="2"/>
  <c r="E71" i="2"/>
  <c r="F71" i="2" s="1"/>
  <c r="E69" i="2"/>
  <c r="E66" i="2"/>
  <c r="E64" i="2"/>
  <c r="G64" i="2" s="1"/>
  <c r="E63" i="2"/>
  <c r="G63" i="2" s="1"/>
  <c r="E62" i="2"/>
  <c r="G62" i="2" s="1"/>
  <c r="E61" i="2"/>
  <c r="G61" i="2" s="1"/>
  <c r="E60" i="2"/>
  <c r="F60" i="2" s="1"/>
  <c r="I60" i="2" s="1"/>
  <c r="E58" i="2"/>
  <c r="F58" i="2" s="1"/>
  <c r="E55" i="2"/>
  <c r="F55" i="2" s="1"/>
  <c r="E53" i="2"/>
  <c r="E52" i="2"/>
  <c r="E51" i="2"/>
  <c r="G51" i="2" s="1"/>
  <c r="E48" i="2"/>
  <c r="E47" i="2"/>
  <c r="G47" i="2" s="1"/>
  <c r="E46" i="2"/>
  <c r="E45" i="2"/>
  <c r="G45" i="2" s="1"/>
  <c r="E43" i="2"/>
  <c r="F43" i="2" s="1"/>
  <c r="E41" i="2"/>
  <c r="E40" i="2"/>
  <c r="E38" i="2"/>
  <c r="E35" i="2"/>
  <c r="E34" i="2"/>
  <c r="G34" i="2" s="1"/>
  <c r="E33" i="2"/>
  <c r="E32" i="2"/>
  <c r="E30" i="2"/>
  <c r="F30" i="2" s="1"/>
  <c r="I30" i="2" s="1"/>
  <c r="E29" i="2"/>
  <c r="E27" i="2"/>
  <c r="F27" i="2" s="1"/>
  <c r="E26" i="2"/>
  <c r="F26" i="2" s="1"/>
  <c r="E25" i="2"/>
  <c r="E23" i="2"/>
  <c r="G23" i="2" s="1"/>
  <c r="E22" i="2"/>
  <c r="E21" i="2"/>
  <c r="G21" i="2" s="1"/>
  <c r="E20" i="2"/>
  <c r="G20" i="2" s="1"/>
  <c r="E18" i="2"/>
  <c r="E15" i="2"/>
  <c r="E14" i="2"/>
  <c r="E13" i="2"/>
  <c r="F13" i="2" s="1"/>
  <c r="E12" i="2"/>
  <c r="F12" i="2" s="1"/>
  <c r="I12" i="2" s="1"/>
  <c r="E11" i="2"/>
  <c r="E10" i="2"/>
  <c r="E9" i="2"/>
  <c r="E8" i="2"/>
  <c r="F8" i="2" s="1"/>
  <c r="E7" i="2"/>
  <c r="G7" i="2" s="1"/>
  <c r="E6" i="2"/>
  <c r="F6" i="2" s="1"/>
  <c r="I6" i="2" s="1"/>
  <c r="E5" i="2"/>
  <c r="E4" i="2"/>
  <c r="G4" i="2" s="1"/>
  <c r="E3" i="2"/>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325" i="2" l="1"/>
  <c r="I325" i="2" s="1"/>
  <c r="F218" i="2"/>
  <c r="F318" i="2"/>
  <c r="F315" i="2"/>
  <c r="I315" i="2" s="1"/>
  <c r="F261" i="2"/>
  <c r="F294" i="2"/>
  <c r="J294" i="2" s="1"/>
  <c r="H294" i="2" s="1"/>
  <c r="F263" i="2"/>
  <c r="I263" i="2" s="1"/>
  <c r="F161" i="2"/>
  <c r="J161" i="2" s="1"/>
  <c r="F120" i="2"/>
  <c r="J120" i="2" s="1"/>
  <c r="H120" i="2" s="1"/>
  <c r="F145" i="2"/>
  <c r="I145" i="2" s="1"/>
  <c r="F93" i="2"/>
  <c r="J93" i="2" s="1"/>
  <c r="H93" i="2" s="1"/>
  <c r="F987" i="2"/>
  <c r="J987" i="2" s="1"/>
  <c r="H987" i="2" s="1"/>
  <c r="F887" i="2"/>
  <c r="I887" i="2" s="1"/>
  <c r="F798" i="2"/>
  <c r="F870" i="2"/>
  <c r="I870" i="2" s="1"/>
  <c r="F827" i="2"/>
  <c r="I827" i="2" s="1"/>
  <c r="F656" i="2"/>
  <c r="J656" i="2" s="1"/>
  <c r="H656" i="2" s="1"/>
  <c r="F962" i="2"/>
  <c r="J962" i="2" s="1"/>
  <c r="H962" i="2" s="1"/>
  <c r="F714" i="2"/>
  <c r="I714" i="2" s="1"/>
  <c r="F822" i="2"/>
  <c r="K822" i="2" s="1"/>
  <c r="J736" i="2"/>
  <c r="H736" i="2" s="1"/>
  <c r="F749" i="2"/>
  <c r="J749" i="2" s="1"/>
  <c r="H749" i="2" s="1"/>
  <c r="F713" i="2"/>
  <c r="K713" i="2" s="1"/>
  <c r="F690" i="2"/>
  <c r="I690" i="2" s="1"/>
  <c r="F669" i="2"/>
  <c r="K669" i="2" s="1"/>
  <c r="F626" i="2"/>
  <c r="I626" i="2" s="1"/>
  <c r="F580" i="2"/>
  <c r="I580" i="2" s="1"/>
  <c r="F270" i="2"/>
  <c r="J270" i="2" s="1"/>
  <c r="F258" i="2"/>
  <c r="I258" i="2" s="1"/>
  <c r="F268" i="2"/>
  <c r="J268" i="2" s="1"/>
  <c r="H268" i="2" s="1"/>
  <c r="F311" i="2"/>
  <c r="I311" i="2" s="1"/>
  <c r="J499" i="2"/>
  <c r="H499" i="2" s="1"/>
  <c r="F571" i="2"/>
  <c r="I571" i="2" s="1"/>
  <c r="F346" i="2"/>
  <c r="I346" i="2" s="1"/>
  <c r="F559" i="2"/>
  <c r="I559" i="2" s="1"/>
  <c r="F419" i="2"/>
  <c r="J419" i="2" s="1"/>
  <c r="H419" i="2" s="1"/>
  <c r="F28" i="2"/>
  <c r="F383" i="2"/>
  <c r="J383" i="2" s="1"/>
  <c r="F527" i="2"/>
  <c r="I527" i="2" s="1"/>
  <c r="G935" i="2"/>
  <c r="G176" i="2"/>
  <c r="J165" i="2"/>
  <c r="H165" i="2" s="1"/>
  <c r="G892" i="2"/>
  <c r="G347" i="2"/>
  <c r="G957" i="2"/>
  <c r="G60" i="2"/>
  <c r="G252" i="2"/>
  <c r="G356" i="2"/>
  <c r="G655" i="2"/>
  <c r="G296" i="2"/>
  <c r="G566" i="2"/>
  <c r="F254" i="2"/>
  <c r="K254" i="2" s="1"/>
  <c r="F246" i="2"/>
  <c r="J246" i="2" s="1"/>
  <c r="H246" i="2" s="1"/>
  <c r="G146" i="2"/>
  <c r="F194" i="2"/>
  <c r="J194" i="2" s="1"/>
  <c r="F116" i="2"/>
  <c r="I116" i="2" s="1"/>
  <c r="F136" i="2"/>
  <c r="I136" i="2" s="1"/>
  <c r="F716" i="2"/>
  <c r="K716" i="2" s="1"/>
  <c r="F979" i="2"/>
  <c r="I979" i="2" s="1"/>
  <c r="K54" i="2"/>
  <c r="F106" i="2"/>
  <c r="J106" i="2" s="1"/>
  <c r="H106" i="2" s="1"/>
  <c r="F220" i="2"/>
  <c r="I220" i="2" s="1"/>
  <c r="F175" i="2"/>
  <c r="I175" i="2" s="1"/>
  <c r="G387" i="2"/>
  <c r="G211" i="2"/>
  <c r="G759" i="2"/>
  <c r="G674" i="2"/>
  <c r="G840" i="2"/>
  <c r="F128" i="2"/>
  <c r="I128" i="2" s="1"/>
  <c r="F380" i="2"/>
  <c r="J380" i="2" s="1"/>
  <c r="H380" i="2" s="1"/>
  <c r="F445" i="2"/>
  <c r="I445" i="2" s="1"/>
  <c r="F516" i="2"/>
  <c r="K516" i="2" s="1"/>
  <c r="F264" i="2"/>
  <c r="J264" i="2" s="1"/>
  <c r="H264" i="2" s="1"/>
  <c r="F509" i="2"/>
  <c r="I509" i="2" s="1"/>
  <c r="F605" i="2"/>
  <c r="I605" i="2" s="1"/>
  <c r="F62" i="2"/>
  <c r="I62" i="2" s="1"/>
  <c r="G162" i="2"/>
  <c r="G224" i="2"/>
  <c r="F310" i="2"/>
  <c r="J310" i="2" s="1"/>
  <c r="H310" i="2" s="1"/>
  <c r="G718" i="2"/>
  <c r="G958" i="2"/>
  <c r="G180" i="2"/>
  <c r="G729" i="2"/>
  <c r="G627" i="2"/>
  <c r="G691" i="2"/>
  <c r="G248" i="2"/>
  <c r="F744" i="2"/>
  <c r="J744" i="2" s="1"/>
  <c r="H744" i="2" s="1"/>
  <c r="F703" i="2"/>
  <c r="K703" i="2" s="1"/>
  <c r="G135" i="2"/>
  <c r="F197" i="2"/>
  <c r="I197" i="2" s="1"/>
  <c r="J218" i="2"/>
  <c r="G260" i="2"/>
  <c r="G282" i="2"/>
  <c r="F303" i="2"/>
  <c r="J303" i="2" s="1"/>
  <c r="H303" i="2" s="1"/>
  <c r="G426" i="2"/>
  <c r="F495" i="2"/>
  <c r="K495" i="2" s="1"/>
  <c r="F505" i="2"/>
  <c r="J505" i="2" s="1"/>
  <c r="H505" i="2" s="1"/>
  <c r="F608" i="2"/>
  <c r="I608" i="2" s="1"/>
  <c r="F663" i="2"/>
  <c r="K663" i="2" s="1"/>
  <c r="G756" i="2"/>
  <c r="F779" i="2"/>
  <c r="K779" i="2" s="1"/>
  <c r="G805" i="2"/>
  <c r="G848" i="2"/>
  <c r="F86" i="2"/>
  <c r="K86" i="2" s="1"/>
  <c r="F489" i="2"/>
  <c r="I489" i="2" s="1"/>
  <c r="F854" i="2"/>
  <c r="I854" i="2" s="1"/>
  <c r="F424" i="2"/>
  <c r="K424" i="2" s="1"/>
  <c r="G937" i="2"/>
  <c r="G288" i="2"/>
  <c r="F638" i="2"/>
  <c r="F951" i="2"/>
  <c r="K951" i="2" s="1"/>
  <c r="F21" i="2"/>
  <c r="J21" i="2" s="1"/>
  <c r="H21" i="2" s="1"/>
  <c r="G119" i="2"/>
  <c r="F510" i="2"/>
  <c r="I510" i="2" s="1"/>
  <c r="F982" i="2"/>
  <c r="J982" i="2" s="1"/>
  <c r="H982" i="2" s="1"/>
  <c r="G155" i="2"/>
  <c r="F226" i="2"/>
  <c r="J226" i="2" s="1"/>
  <c r="F394" i="2"/>
  <c r="J394" i="2" s="1"/>
  <c r="H394" i="2" s="1"/>
  <c r="G930" i="2"/>
  <c r="F354" i="2"/>
  <c r="J354" i="2" s="1"/>
  <c r="H354" i="2" s="1"/>
  <c r="G532" i="2"/>
  <c r="F364" i="2"/>
  <c r="J364" i="2" s="1"/>
  <c r="H364" i="2" s="1"/>
  <c r="G513" i="2"/>
  <c r="G620" i="2"/>
  <c r="F828" i="2"/>
  <c r="J828" i="2" s="1"/>
  <c r="H828" i="2" s="1"/>
  <c r="F878" i="2"/>
  <c r="K878" i="2" s="1"/>
  <c r="G923" i="2"/>
  <c r="F4" i="2"/>
  <c r="I4" i="2" s="1"/>
  <c r="G169" i="2"/>
  <c r="F368" i="2"/>
  <c r="J368" i="2" s="1"/>
  <c r="F39" i="2"/>
  <c r="I39" i="2" s="1"/>
  <c r="F204" i="2"/>
  <c r="K204" i="2" s="1"/>
  <c r="G700" i="2"/>
  <c r="G469" i="2"/>
  <c r="G79" i="2"/>
  <c r="G649" i="2"/>
  <c r="F682" i="2"/>
  <c r="I682" i="2" s="1"/>
  <c r="F418" i="2"/>
  <c r="I418" i="2" s="1"/>
  <c r="G448" i="2"/>
  <c r="F820" i="2"/>
  <c r="K820" i="2" s="1"/>
  <c r="F328" i="2"/>
  <c r="J328" i="2" s="1"/>
  <c r="H328" i="2" s="1"/>
  <c r="F105" i="2"/>
  <c r="K105" i="2" s="1"/>
  <c r="G615" i="2"/>
  <c r="G90" i="2"/>
  <c r="J596" i="2"/>
  <c r="G330" i="2"/>
  <c r="G361" i="2"/>
  <c r="F144" i="2"/>
  <c r="I144" i="2" s="1"/>
  <c r="G909" i="2"/>
  <c r="G26" i="2"/>
  <c r="G316" i="2"/>
  <c r="G336" i="2"/>
  <c r="G421" i="2"/>
  <c r="G443" i="2"/>
  <c r="G545" i="2"/>
  <c r="F558" i="2"/>
  <c r="K558" i="2" s="1"/>
  <c r="G610" i="2"/>
  <c r="F91" i="2"/>
  <c r="K91" i="2" s="1"/>
  <c r="F277" i="2"/>
  <c r="I277" i="2" s="1"/>
  <c r="G277" i="2"/>
  <c r="F427" i="2"/>
  <c r="K427" i="2" s="1"/>
  <c r="G12" i="2"/>
  <c r="F164" i="2"/>
  <c r="I164" i="2" s="1"/>
  <c r="F236" i="2"/>
  <c r="J236" i="2" s="1"/>
  <c r="F582" i="2"/>
  <c r="K582" i="2" s="1"/>
  <c r="F648" i="2"/>
  <c r="J648" i="2" s="1"/>
  <c r="H648" i="2" s="1"/>
  <c r="F752" i="2"/>
  <c r="I752" i="2" s="1"/>
  <c r="J12" i="2"/>
  <c r="H12" i="2" s="1"/>
  <c r="G30" i="2"/>
  <c r="G82" i="2"/>
  <c r="F262" i="2"/>
  <c r="J262" i="2" s="1"/>
  <c r="H262" i="2" s="1"/>
  <c r="F305" i="2"/>
  <c r="K305" i="2" s="1"/>
  <c r="F319" i="2"/>
  <c r="J319" i="2" s="1"/>
  <c r="H319" i="2" s="1"/>
  <c r="G319" i="2"/>
  <c r="F567" i="2"/>
  <c r="F857" i="2"/>
  <c r="I857" i="2" s="1"/>
  <c r="F23" i="2"/>
  <c r="I23" i="2" s="1"/>
  <c r="G528" i="2"/>
  <c r="F289" i="2"/>
  <c r="J289" i="2" s="1"/>
  <c r="H289" i="2" s="1"/>
  <c r="J339" i="2"/>
  <c r="F416" i="2"/>
  <c r="G511" i="2"/>
  <c r="G595" i="2"/>
  <c r="F595" i="2"/>
  <c r="I595" i="2" s="1"/>
  <c r="F622" i="2"/>
  <c r="J622" i="2" s="1"/>
  <c r="H622" i="2" s="1"/>
  <c r="G739" i="2"/>
  <c r="G781" i="2"/>
  <c r="F996" i="2"/>
  <c r="I996" i="2" s="1"/>
  <c r="G6" i="2"/>
  <c r="G139" i="2"/>
  <c r="I306" i="2"/>
  <c r="F382" i="2"/>
  <c r="I382" i="2" s="1"/>
  <c r="F406" i="2"/>
  <c r="I406" i="2" s="1"/>
  <c r="G561" i="2"/>
  <c r="F577" i="2"/>
  <c r="K577" i="2" s="1"/>
  <c r="F967" i="2"/>
  <c r="K967" i="2" s="1"/>
  <c r="F481" i="2"/>
  <c r="F522" i="2"/>
  <c r="I522" i="2" s="1"/>
  <c r="G568" i="2"/>
  <c r="F740" i="2"/>
  <c r="F747" i="2"/>
  <c r="J747" i="2" s="1"/>
  <c r="H747" i="2" s="1"/>
  <c r="F843" i="2"/>
  <c r="K843" i="2" s="1"/>
  <c r="F7" i="2"/>
  <c r="K7" i="2" s="1"/>
  <c r="G322" i="2"/>
  <c r="F556" i="2"/>
  <c r="K556" i="2" s="1"/>
  <c r="G677" i="2"/>
  <c r="F63" i="2"/>
  <c r="K63" i="2" s="1"/>
  <c r="F207" i="2"/>
  <c r="K207" i="2" s="1"/>
  <c r="G275" i="2"/>
  <c r="G290" i="2"/>
  <c r="G546" i="2"/>
  <c r="F606" i="2"/>
  <c r="I606" i="2" s="1"/>
  <c r="G606" i="2"/>
  <c r="F653" i="2"/>
  <c r="J653" i="2" s="1"/>
  <c r="H653" i="2" s="1"/>
  <c r="G776" i="2"/>
  <c r="F776" i="2"/>
  <c r="J776" i="2" s="1"/>
  <c r="H776" i="2" s="1"/>
  <c r="F988" i="2"/>
  <c r="I988" i="2" s="1"/>
  <c r="F293" i="2"/>
  <c r="I293" i="2" s="1"/>
  <c r="G293" i="2"/>
  <c r="F343" i="2"/>
  <c r="K343" i="2" s="1"/>
  <c r="F360" i="2"/>
  <c r="I360" i="2" s="1"/>
  <c r="F367" i="2"/>
  <c r="K367" i="2" s="1"/>
  <c r="F446" i="2"/>
  <c r="G540" i="2"/>
  <c r="G597" i="2"/>
  <c r="F617" i="2"/>
  <c r="G768" i="2"/>
  <c r="F897" i="2"/>
  <c r="K897" i="2" s="1"/>
  <c r="G897" i="2"/>
  <c r="F961" i="2"/>
  <c r="K961" i="2" s="1"/>
  <c r="G961" i="2"/>
  <c r="F157" i="2"/>
  <c r="J157" i="2" s="1"/>
  <c r="G535" i="2"/>
  <c r="F535" i="2"/>
  <c r="K535" i="2" s="1"/>
  <c r="G573" i="2"/>
  <c r="F824" i="2"/>
  <c r="K824" i="2" s="1"/>
  <c r="G824" i="2"/>
  <c r="G5" i="2"/>
  <c r="F77" i="2"/>
  <c r="I77" i="2" s="1"/>
  <c r="I941" i="2"/>
  <c r="F965" i="2"/>
  <c r="K965" i="2" s="1"/>
  <c r="K12" i="2"/>
  <c r="G32" i="2"/>
  <c r="F32" i="2"/>
  <c r="F83" i="2"/>
  <c r="I83" i="2" s="1"/>
  <c r="G83" i="2"/>
  <c r="F130" i="2"/>
  <c r="K130" i="2" s="1"/>
  <c r="F422" i="2"/>
  <c r="I422" i="2" s="1"/>
  <c r="F462" i="2"/>
  <c r="K462" i="2" s="1"/>
  <c r="F518" i="2"/>
  <c r="F554" i="2"/>
  <c r="K554" i="2" s="1"/>
  <c r="F834" i="2"/>
  <c r="I834" i="2" s="1"/>
  <c r="G33" i="2"/>
  <c r="F33" i="2"/>
  <c r="I110" i="2"/>
  <c r="F583" i="2"/>
  <c r="I583" i="2" s="1"/>
  <c r="G791" i="2"/>
  <c r="F791" i="2"/>
  <c r="K791" i="2" s="1"/>
  <c r="F977" i="2"/>
  <c r="J977" i="2" s="1"/>
  <c r="H977" i="2" s="1"/>
  <c r="F206" i="2"/>
  <c r="J206" i="2" s="1"/>
  <c r="H206" i="2" s="1"/>
  <c r="G247" i="2"/>
  <c r="F389" i="2"/>
  <c r="I389" i="2" s="1"/>
  <c r="F51" i="2"/>
  <c r="I51" i="2" s="1"/>
  <c r="G632" i="2"/>
  <c r="G732" i="2"/>
  <c r="F896" i="2"/>
  <c r="K896" i="2" s="1"/>
  <c r="F952" i="2"/>
  <c r="K952" i="2" s="1"/>
  <c r="G474" i="2"/>
  <c r="G945" i="2"/>
  <c r="G998" i="2"/>
  <c r="F998" i="2"/>
  <c r="J998" i="2" s="1"/>
  <c r="H998" i="2" s="1"/>
  <c r="F40" i="2"/>
  <c r="I40" i="2" s="1"/>
  <c r="G40" i="2"/>
  <c r="G179" i="2"/>
  <c r="F179" i="2"/>
  <c r="J179" i="2" s="1"/>
  <c r="H179" i="2" s="1"/>
  <c r="F188" i="2"/>
  <c r="K188" i="2" s="1"/>
  <c r="F232" i="2"/>
  <c r="F276" i="2"/>
  <c r="I276" i="2" s="1"/>
  <c r="G286" i="2"/>
  <c r="F286" i="2"/>
  <c r="I286" i="2" s="1"/>
  <c r="F317" i="2"/>
  <c r="K317" i="2" s="1"/>
  <c r="F420" i="2"/>
  <c r="K420" i="2" s="1"/>
  <c r="G646" i="2"/>
  <c r="F811" i="2"/>
  <c r="J811" i="2" s="1"/>
  <c r="H811" i="2" s="1"/>
  <c r="F883" i="2"/>
  <c r="J883" i="2" s="1"/>
  <c r="H883" i="2" s="1"/>
  <c r="F946" i="2"/>
  <c r="K946" i="2" s="1"/>
  <c r="F991" i="2"/>
  <c r="K991" i="2" s="1"/>
  <c r="F362" i="2"/>
  <c r="F601" i="2"/>
  <c r="J601" i="2" s="1"/>
  <c r="G415" i="2"/>
  <c r="F415" i="2"/>
  <c r="J415" i="2" s="1"/>
  <c r="H415" i="2" s="1"/>
  <c r="F72" i="2"/>
  <c r="I72" i="2" s="1"/>
  <c r="G174" i="2"/>
  <c r="F174" i="2"/>
  <c r="K174" i="2" s="1"/>
  <c r="F227" i="2"/>
  <c r="K227" i="2" s="1"/>
  <c r="F397" i="2"/>
  <c r="I397" i="2" s="1"/>
  <c r="G641" i="2"/>
  <c r="F641" i="2"/>
  <c r="I641" i="2" s="1"/>
  <c r="F668" i="2"/>
  <c r="F151" i="2"/>
  <c r="I151" i="2" s="1"/>
  <c r="G314" i="2"/>
  <c r="F314" i="2"/>
  <c r="J314" i="2" s="1"/>
  <c r="H314" i="2" s="1"/>
  <c r="F986" i="2"/>
  <c r="J986" i="2" s="1"/>
  <c r="H986" i="2" s="1"/>
  <c r="G986" i="2"/>
  <c r="F134" i="2"/>
  <c r="I134" i="2" s="1"/>
  <c r="F240" i="2"/>
  <c r="J240" i="2" s="1"/>
  <c r="H240" i="2" s="1"/>
  <c r="F491" i="2"/>
  <c r="J491" i="2" s="1"/>
  <c r="H491" i="2" s="1"/>
  <c r="I512" i="2"/>
  <c r="G660" i="2"/>
  <c r="F660" i="2"/>
  <c r="F775" i="2"/>
  <c r="J775" i="2" s="1"/>
  <c r="H775" i="2" s="1"/>
  <c r="G501" i="2"/>
  <c r="F623" i="2"/>
  <c r="K623" i="2" s="1"/>
  <c r="F904" i="2"/>
  <c r="I904" i="2" s="1"/>
  <c r="F125" i="2"/>
  <c r="J125" i="2" s="1"/>
  <c r="F249" i="2"/>
  <c r="I249" i="2" s="1"/>
  <c r="G249" i="2"/>
  <c r="F42" i="2"/>
  <c r="K42" i="2" s="1"/>
  <c r="G244" i="2"/>
  <c r="F244" i="2"/>
  <c r="J244" i="2" s="1"/>
  <c r="H244" i="2" s="1"/>
  <c r="F541" i="2"/>
  <c r="F664" i="2"/>
  <c r="F770" i="2"/>
  <c r="J770" i="2" s="1"/>
  <c r="H770" i="2" s="1"/>
  <c r="F222" i="2"/>
  <c r="I222" i="2" s="1"/>
  <c r="F308" i="2"/>
  <c r="J308" i="2" s="1"/>
  <c r="H308" i="2" s="1"/>
  <c r="G393" i="2"/>
  <c r="F393" i="2"/>
  <c r="J393" i="2" s="1"/>
  <c r="H393" i="2" s="1"/>
  <c r="F726" i="2"/>
  <c r="K726" i="2" s="1"/>
  <c r="F109" i="2"/>
  <c r="J109" i="2" s="1"/>
  <c r="H109" i="2" s="1"/>
  <c r="I70" i="2"/>
  <c r="F64" i="2"/>
  <c r="K64" i="2" s="1"/>
  <c r="F183" i="2"/>
  <c r="F193" i="2"/>
  <c r="K193" i="2" s="1"/>
  <c r="F200" i="2"/>
  <c r="I200" i="2" s="1"/>
  <c r="F216" i="2"/>
  <c r="I216" i="2" s="1"/>
  <c r="F238" i="2"/>
  <c r="J238" i="2" s="1"/>
  <c r="H238" i="2" s="1"/>
  <c r="F250" i="2"/>
  <c r="F272" i="2"/>
  <c r="K272" i="2" s="1"/>
  <c r="F278" i="2"/>
  <c r="J278" i="2" s="1"/>
  <c r="H278" i="2" s="1"/>
  <c r="F320" i="2"/>
  <c r="J320" i="2" s="1"/>
  <c r="H320" i="2" s="1"/>
  <c r="I326" i="2"/>
  <c r="F344" i="2"/>
  <c r="K344" i="2" s="1"/>
  <c r="G358" i="2"/>
  <c r="G377" i="2"/>
  <c r="F423" i="2"/>
  <c r="K423" i="2" s="1"/>
  <c r="G447" i="2"/>
  <c r="G457" i="2"/>
  <c r="F478" i="2"/>
  <c r="I478" i="2" s="1"/>
  <c r="G514" i="2"/>
  <c r="F523" i="2"/>
  <c r="K523" i="2" s="1"/>
  <c r="F530" i="2"/>
  <c r="K530" i="2" s="1"/>
  <c r="F551" i="2"/>
  <c r="J551" i="2" s="1"/>
  <c r="H551" i="2" s="1"/>
  <c r="F665" i="2"/>
  <c r="I665" i="2" s="1"/>
  <c r="G720" i="2"/>
  <c r="G755" i="2"/>
  <c r="F819" i="2"/>
  <c r="J819" i="2" s="1"/>
  <c r="H819" i="2" s="1"/>
  <c r="F831" i="2"/>
  <c r="I831" i="2" s="1"/>
  <c r="F839" i="2"/>
  <c r="J839" i="2" s="1"/>
  <c r="H839" i="2" s="1"/>
  <c r="G839" i="2"/>
  <c r="F869" i="2"/>
  <c r="J869" i="2" s="1"/>
  <c r="H869" i="2" s="1"/>
  <c r="F918" i="2"/>
  <c r="K918" i="2" s="1"/>
  <c r="G949" i="2"/>
  <c r="G970" i="2"/>
  <c r="G983" i="2"/>
  <c r="F992" i="2"/>
  <c r="F14" i="2"/>
  <c r="K14" i="2" s="1"/>
  <c r="K8" i="2"/>
  <c r="G8" i="2"/>
  <c r="F363" i="2"/>
  <c r="K363" i="2" s="1"/>
  <c r="F956" i="2"/>
  <c r="I956" i="2" s="1"/>
  <c r="F34" i="2"/>
  <c r="K34" i="2" s="1"/>
  <c r="F47" i="2"/>
  <c r="J47" i="2" s="1"/>
  <c r="H47" i="2" s="1"/>
  <c r="G217" i="2"/>
  <c r="F217" i="2"/>
  <c r="G378" i="2"/>
  <c r="F378" i="2"/>
  <c r="J378" i="2" s="1"/>
  <c r="H378" i="2" s="1"/>
  <c r="F652" i="2"/>
  <c r="K652" i="2" s="1"/>
  <c r="F797" i="2"/>
  <c r="J797" i="2" s="1"/>
  <c r="J825" i="2"/>
  <c r="H825" i="2" s="1"/>
  <c r="F877" i="2"/>
  <c r="K877" i="2" s="1"/>
  <c r="F963" i="2"/>
  <c r="J963" i="2" s="1"/>
  <c r="H963" i="2" s="1"/>
  <c r="G488" i="2"/>
  <c r="F488" i="2"/>
  <c r="K488" i="2" s="1"/>
  <c r="F679" i="2"/>
  <c r="K679" i="2" s="1"/>
  <c r="F741" i="2"/>
  <c r="F764" i="2"/>
  <c r="K764" i="2" s="1"/>
  <c r="F96" i="2"/>
  <c r="I96" i="2" s="1"/>
  <c r="I119" i="2"/>
  <c r="F210" i="2"/>
  <c r="J210" i="2" s="1"/>
  <c r="H210" i="2" s="1"/>
  <c r="F230" i="2"/>
  <c r="I230" i="2" s="1"/>
  <c r="G274" i="2"/>
  <c r="F274" i="2"/>
  <c r="K274" i="2" s="1"/>
  <c r="F371" i="2"/>
  <c r="G587" i="2"/>
  <c r="F637" i="2"/>
  <c r="K637" i="2" s="1"/>
  <c r="G658" i="2"/>
  <c r="F666" i="2"/>
  <c r="G666" i="2"/>
  <c r="F750" i="2"/>
  <c r="J750" i="2" s="1"/>
  <c r="H750" i="2" s="1"/>
  <c r="F832" i="2"/>
  <c r="J832" i="2" s="1"/>
  <c r="H832" i="2" s="1"/>
  <c r="G832" i="2"/>
  <c r="F971" i="2"/>
  <c r="K971" i="2" s="1"/>
  <c r="F984" i="2"/>
  <c r="I984" i="2" s="1"/>
  <c r="F579" i="2"/>
  <c r="J579" i="2" s="1"/>
  <c r="H579" i="2" s="1"/>
  <c r="F592" i="2"/>
  <c r="I592" i="2" s="1"/>
  <c r="J621" i="2"/>
  <c r="H621" i="2" s="1"/>
  <c r="F634" i="2"/>
  <c r="J634" i="2" s="1"/>
  <c r="H634" i="2" s="1"/>
  <c r="F688" i="2"/>
  <c r="J688" i="2" s="1"/>
  <c r="H688" i="2" s="1"/>
  <c r="F717" i="2"/>
  <c r="F753" i="2"/>
  <c r="K753" i="2" s="1"/>
  <c r="F767" i="2"/>
  <c r="K767" i="2" s="1"/>
  <c r="F778" i="2"/>
  <c r="I778" i="2" s="1"/>
  <c r="F785" i="2"/>
  <c r="J785" i="2" s="1"/>
  <c r="H785" i="2" s="1"/>
  <c r="F844" i="2"/>
  <c r="I844" i="2" s="1"/>
  <c r="F858" i="2"/>
  <c r="I858" i="2" s="1"/>
  <c r="F866" i="2"/>
  <c r="K866" i="2" s="1"/>
  <c r="F944" i="2"/>
  <c r="J944" i="2" s="1"/>
  <c r="F950" i="2"/>
  <c r="I950" i="2" s="1"/>
  <c r="G975" i="2"/>
  <c r="F995" i="2"/>
  <c r="I300" i="2"/>
  <c r="G307" i="2"/>
  <c r="I135" i="2"/>
  <c r="I732" i="2"/>
  <c r="K465" i="2"/>
  <c r="K805" i="2"/>
  <c r="K908" i="2"/>
  <c r="J79" i="2"/>
  <c r="H79" i="2" s="1"/>
  <c r="K79" i="2"/>
  <c r="I768" i="2"/>
  <c r="I180" i="2"/>
  <c r="I361" i="2"/>
  <c r="J755" i="2"/>
  <c r="H755" i="2" s="1"/>
  <c r="I958" i="2"/>
  <c r="J176" i="2"/>
  <c r="H176" i="2" s="1"/>
  <c r="J242" i="2"/>
  <c r="H242" i="2" s="1"/>
  <c r="I781" i="2"/>
  <c r="J892" i="2"/>
  <c r="H892" i="2" s="1"/>
  <c r="I162" i="2"/>
  <c r="K316" i="2"/>
  <c r="J448" i="2"/>
  <c r="H448" i="2" s="1"/>
  <c r="I528" i="2"/>
  <c r="I691" i="2"/>
  <c r="I729" i="2"/>
  <c r="J781" i="2"/>
  <c r="H781" i="2" s="1"/>
  <c r="K892" i="2"/>
  <c r="J330" i="2"/>
  <c r="H330" i="2" s="1"/>
  <c r="I176" i="2"/>
  <c r="K739" i="2"/>
  <c r="J909" i="2"/>
  <c r="H909" i="2" s="1"/>
  <c r="K909" i="2"/>
  <c r="I426" i="2"/>
  <c r="K135" i="2"/>
  <c r="K162" i="2"/>
  <c r="K528" i="2"/>
  <c r="K691" i="2"/>
  <c r="J920" i="2"/>
  <c r="H920" i="2" s="1"/>
  <c r="I82" i="2"/>
  <c r="J336" i="2"/>
  <c r="H336" i="2" s="1"/>
  <c r="J361" i="2"/>
  <c r="H361" i="2" s="1"/>
  <c r="K620" i="2"/>
  <c r="J739" i="2"/>
  <c r="H739" i="2" s="1"/>
  <c r="I316" i="2"/>
  <c r="I448" i="2"/>
  <c r="J82" i="2"/>
  <c r="H82" i="2" s="1"/>
  <c r="K336" i="2"/>
  <c r="J501" i="2"/>
  <c r="H501" i="2" s="1"/>
  <c r="I755" i="2"/>
  <c r="K434" i="2"/>
  <c r="J434" i="2"/>
  <c r="I434" i="2"/>
  <c r="K646" i="2"/>
  <c r="J646" i="2"/>
  <c r="H646" i="2" s="1"/>
  <c r="I646" i="2"/>
  <c r="K587" i="2"/>
  <c r="J587" i="2"/>
  <c r="H587" i="2" s="1"/>
  <c r="I587" i="2"/>
  <c r="J948" i="2"/>
  <c r="H948" i="2" s="1"/>
  <c r="K948" i="2"/>
  <c r="I948" i="2"/>
  <c r="J937" i="2"/>
  <c r="H937" i="2" s="1"/>
  <c r="I937" i="2"/>
  <c r="K970" i="2"/>
  <c r="J970" i="2"/>
  <c r="H970" i="2" s="1"/>
  <c r="I970" i="2"/>
  <c r="K627" i="2"/>
  <c r="J627" i="2"/>
  <c r="H627" i="2" s="1"/>
  <c r="I627" i="2"/>
  <c r="I400" i="2"/>
  <c r="K514" i="2"/>
  <c r="I514" i="2"/>
  <c r="J514" i="2"/>
  <c r="H514" i="2" s="1"/>
  <c r="K228" i="2"/>
  <c r="J228" i="2"/>
  <c r="H228" i="2" s="1"/>
  <c r="J700" i="2"/>
  <c r="H700" i="2" s="1"/>
  <c r="K700" i="2"/>
  <c r="I700" i="2"/>
  <c r="J224" i="2"/>
  <c r="H224" i="2" s="1"/>
  <c r="I224" i="2"/>
  <c r="I318" i="2"/>
  <c r="J318" i="2"/>
  <c r="K889" i="2"/>
  <c r="J889" i="2"/>
  <c r="H889" i="2" s="1"/>
  <c r="I169" i="2"/>
  <c r="K169" i="2"/>
  <c r="J169" i="2"/>
  <c r="H169" i="2" s="1"/>
  <c r="I349" i="2"/>
  <c r="I469" i="2"/>
  <c r="J511" i="2"/>
  <c r="H511" i="2" s="1"/>
  <c r="J573" i="2"/>
  <c r="H573" i="2" s="1"/>
  <c r="K573" i="2"/>
  <c r="I573" i="2"/>
  <c r="J632" i="2"/>
  <c r="H632" i="2" s="1"/>
  <c r="K632" i="2"/>
  <c r="K677" i="2"/>
  <c r="J677" i="2"/>
  <c r="H677" i="2" s="1"/>
  <c r="I677" i="2"/>
  <c r="J766" i="2"/>
  <c r="H766" i="2" s="1"/>
  <c r="I146" i="2"/>
  <c r="J349" i="2"/>
  <c r="H349" i="2" s="1"/>
  <c r="J391" i="2"/>
  <c r="H391" i="2" s="1"/>
  <c r="I391" i="2"/>
  <c r="J469" i="2"/>
  <c r="H469" i="2" s="1"/>
  <c r="K766" i="2"/>
  <c r="J935" i="2"/>
  <c r="H935" i="2" s="1"/>
  <c r="K935" i="2"/>
  <c r="I935" i="2"/>
  <c r="J146" i="2"/>
  <c r="H146" i="2" s="1"/>
  <c r="J284" i="2"/>
  <c r="H284" i="2" s="1"/>
  <c r="I330" i="2"/>
  <c r="K387" i="2"/>
  <c r="J387" i="2"/>
  <c r="H387" i="2" s="1"/>
  <c r="J447" i="2"/>
  <c r="H447" i="2" s="1"/>
  <c r="K610" i="2"/>
  <c r="J610" i="2"/>
  <c r="H610" i="2" s="1"/>
  <c r="I724" i="2"/>
  <c r="K474" i="2"/>
  <c r="J474" i="2"/>
  <c r="H474" i="2" s="1"/>
  <c r="I474" i="2"/>
  <c r="I511" i="2"/>
  <c r="J443" i="2"/>
  <c r="H443" i="2" s="1"/>
  <c r="K443" i="2"/>
  <c r="K777" i="2"/>
  <c r="I923" i="2"/>
  <c r="J923" i="2"/>
  <c r="H923" i="2" s="1"/>
  <c r="K923" i="2"/>
  <c r="J975" i="2"/>
  <c r="H975" i="2" s="1"/>
  <c r="K975" i="2"/>
  <c r="I975" i="2"/>
  <c r="J312" i="2"/>
  <c r="H312" i="2" s="1"/>
  <c r="I501" i="2"/>
  <c r="I672" i="2"/>
  <c r="J461" i="2"/>
  <c r="H461" i="2" s="1"/>
  <c r="I655" i="2"/>
  <c r="J532" i="2"/>
  <c r="H532" i="2" s="1"/>
  <c r="J644" i="2"/>
  <c r="H644" i="2" s="1"/>
  <c r="J721" i="2"/>
  <c r="H721" i="2" s="1"/>
  <c r="I840" i="2"/>
  <c r="K913" i="2"/>
  <c r="J840" i="2"/>
  <c r="H840" i="2" s="1"/>
  <c r="G578" i="2"/>
  <c r="F578" i="2"/>
  <c r="F97" i="2"/>
  <c r="I97" i="2" s="1"/>
  <c r="F398" i="2"/>
  <c r="I398" i="2" s="1"/>
  <c r="G398" i="2"/>
  <c r="I457" i="2"/>
  <c r="K457" i="2"/>
  <c r="J457" i="2"/>
  <c r="H457" i="2" s="1"/>
  <c r="J884" i="2"/>
  <c r="H884" i="2" s="1"/>
  <c r="I884" i="2"/>
  <c r="G11" i="2"/>
  <c r="F241" i="2"/>
  <c r="I241" i="2" s="1"/>
  <c r="K377" i="2"/>
  <c r="I377" i="2"/>
  <c r="F438" i="2"/>
  <c r="I438" i="2" s="1"/>
  <c r="G438" i="2"/>
  <c r="F872" i="2"/>
  <c r="I872" i="2" s="1"/>
  <c r="F11" i="2"/>
  <c r="J11" i="2" s="1"/>
  <c r="H11" i="2" s="1"/>
  <c r="J54" i="2"/>
  <c r="H54" i="2" s="1"/>
  <c r="K71" i="2"/>
  <c r="J71" i="2"/>
  <c r="H71" i="2" s="1"/>
  <c r="I71" i="2"/>
  <c r="G71" i="2"/>
  <c r="F233" i="2"/>
  <c r="I233" i="2" s="1"/>
  <c r="K253" i="2"/>
  <c r="J253" i="2"/>
  <c r="H253" i="2" s="1"/>
  <c r="G253" i="2"/>
  <c r="F287" i="2"/>
  <c r="J287" i="2" s="1"/>
  <c r="H287" i="2" s="1"/>
  <c r="J458" i="2"/>
  <c r="H458" i="2" s="1"/>
  <c r="I458" i="2"/>
  <c r="K458" i="2"/>
  <c r="G458" i="2"/>
  <c r="G701" i="2"/>
  <c r="F701" i="2"/>
  <c r="I701" i="2" s="1"/>
  <c r="F705" i="2"/>
  <c r="J705" i="2" s="1"/>
  <c r="H705" i="2" s="1"/>
  <c r="G705" i="2"/>
  <c r="G73" i="2"/>
  <c r="J155" i="2"/>
  <c r="H155" i="2" s="1"/>
  <c r="I155" i="2"/>
  <c r="K155" i="2"/>
  <c r="G229" i="2"/>
  <c r="G345" i="2"/>
  <c r="F345" i="2"/>
  <c r="G444" i="2"/>
  <c r="F73" i="2"/>
  <c r="I73" i="2" s="1"/>
  <c r="K119" i="2"/>
  <c r="J119" i="2"/>
  <c r="H119" i="2" s="1"/>
  <c r="F384" i="2"/>
  <c r="I384" i="2" s="1"/>
  <c r="F444" i="2"/>
  <c r="I43" i="2"/>
  <c r="G43" i="2"/>
  <c r="K43" i="2"/>
  <c r="I81" i="2"/>
  <c r="F295" i="2"/>
  <c r="G295" i="2"/>
  <c r="F524" i="2"/>
  <c r="I299" i="2"/>
  <c r="F569" i="2"/>
  <c r="F603" i="2"/>
  <c r="I603" i="2" s="1"/>
  <c r="G15" i="2"/>
  <c r="G338" i="2"/>
  <c r="F338" i="2"/>
  <c r="F464" i="2"/>
  <c r="I464" i="2" s="1"/>
  <c r="G464" i="2"/>
  <c r="G519" i="2"/>
  <c r="F519" i="2"/>
  <c r="J519" i="2" s="1"/>
  <c r="H519" i="2" s="1"/>
  <c r="G84" i="2"/>
  <c r="F140" i="2"/>
  <c r="G390" i="2"/>
  <c r="F696" i="2"/>
  <c r="I696" i="2" s="1"/>
  <c r="G836" i="2"/>
  <c r="F836" i="2"/>
  <c r="G41" i="2"/>
  <c r="F124" i="2"/>
  <c r="I124" i="2" s="1"/>
  <c r="G187" i="2"/>
  <c r="F187" i="2"/>
  <c r="F215" i="2"/>
  <c r="K215" i="2" s="1"/>
  <c r="F390" i="2"/>
  <c r="K390" i="2" s="1"/>
  <c r="K561" i="2"/>
  <c r="J561" i="2"/>
  <c r="H561" i="2" s="1"/>
  <c r="F697" i="2"/>
  <c r="I697" i="2" s="1"/>
  <c r="F790" i="2"/>
  <c r="F799" i="2"/>
  <c r="G799" i="2"/>
  <c r="G69" i="2"/>
  <c r="F104" i="2"/>
  <c r="K104" i="2" s="1"/>
  <c r="F369" i="2"/>
  <c r="I369" i="2" s="1"/>
  <c r="G369" i="2"/>
  <c r="G196" i="2"/>
  <c r="K566" i="2"/>
  <c r="J566" i="2"/>
  <c r="H566" i="2" s="1"/>
  <c r="F15" i="2"/>
  <c r="I15" i="2" s="1"/>
  <c r="F95" i="2"/>
  <c r="K95" i="2" s="1"/>
  <c r="F209" i="2"/>
  <c r="K111" i="2"/>
  <c r="J111" i="2"/>
  <c r="H111" i="2" s="1"/>
  <c r="I111" i="2"/>
  <c r="G353" i="2"/>
  <c r="F353" i="2"/>
  <c r="J353" i="2" s="1"/>
  <c r="H353" i="2" s="1"/>
  <c r="I26" i="2"/>
  <c r="K26" i="2"/>
  <c r="J26" i="2"/>
  <c r="H26" i="2" s="1"/>
  <c r="F65" i="2"/>
  <c r="J65" i="2" s="1"/>
  <c r="H65" i="2" s="1"/>
  <c r="F41" i="2"/>
  <c r="I41" i="2" s="1"/>
  <c r="I58" i="2"/>
  <c r="J58" i="2"/>
  <c r="H58" i="2" s="1"/>
  <c r="K58" i="2"/>
  <c r="F102" i="2"/>
  <c r="G107" i="2"/>
  <c r="F107" i="2"/>
  <c r="K107" i="2" s="1"/>
  <c r="G111" i="2"/>
  <c r="G158" i="2"/>
  <c r="K158" i="2"/>
  <c r="J158" i="2"/>
  <c r="H158" i="2" s="1"/>
  <c r="I158" i="2"/>
  <c r="I253" i="2"/>
  <c r="G147" i="2"/>
  <c r="F196" i="2"/>
  <c r="I196" i="2" s="1"/>
  <c r="J43" i="2"/>
  <c r="H43" i="2" s="1"/>
  <c r="I173" i="2"/>
  <c r="K173" i="2"/>
  <c r="J173" i="2"/>
  <c r="H173" i="2" s="1"/>
  <c r="G173" i="2"/>
  <c r="G186" i="2"/>
  <c r="F186" i="2"/>
  <c r="F309" i="2"/>
  <c r="K309" i="2" s="1"/>
  <c r="G309" i="2"/>
  <c r="G35" i="2"/>
  <c r="F35" i="2"/>
  <c r="F412" i="2"/>
  <c r="F475" i="2"/>
  <c r="G475" i="2"/>
  <c r="F557" i="2"/>
  <c r="K557" i="2" s="1"/>
  <c r="G557" i="2"/>
  <c r="G586" i="2"/>
  <c r="K299" i="2"/>
  <c r="J299" i="2"/>
  <c r="H299" i="2" s="1"/>
  <c r="G299" i="2"/>
  <c r="G9" i="2"/>
  <c r="F9" i="2"/>
  <c r="K9" i="2" s="1"/>
  <c r="F69" i="2"/>
  <c r="K69" i="2" s="1"/>
  <c r="F147" i="2"/>
  <c r="K147" i="2" s="1"/>
  <c r="F229" i="2"/>
  <c r="G384" i="2"/>
  <c r="G569" i="2"/>
  <c r="J60" i="2"/>
  <c r="H60" i="2" s="1"/>
  <c r="K60" i="2"/>
  <c r="I84" i="2"/>
  <c r="K84" i="2"/>
  <c r="J84" i="2"/>
  <c r="H84" i="2" s="1"/>
  <c r="J704" i="2"/>
  <c r="H704" i="2" s="1"/>
  <c r="I704" i="2"/>
  <c r="K704" i="2"/>
  <c r="G704" i="2"/>
  <c r="K30" i="2"/>
  <c r="J30" i="2"/>
  <c r="H30" i="2" s="1"/>
  <c r="K13" i="2"/>
  <c r="I13" i="2"/>
  <c r="J13" i="2"/>
  <c r="H13" i="2" s="1"/>
  <c r="G13" i="2"/>
  <c r="J28" i="2"/>
  <c r="H28" i="2" s="1"/>
  <c r="I28" i="2"/>
  <c r="K28" i="2"/>
  <c r="G58" i="2"/>
  <c r="F170" i="2"/>
  <c r="J170" i="2" s="1"/>
  <c r="H170" i="2" s="1"/>
  <c r="F225" i="2"/>
  <c r="K447" i="2"/>
  <c r="I447" i="2"/>
  <c r="J615" i="2"/>
  <c r="H615" i="2" s="1"/>
  <c r="K615" i="2"/>
  <c r="K550" i="2"/>
  <c r="J550" i="2"/>
  <c r="H550" i="2" s="1"/>
  <c r="F24" i="2"/>
  <c r="J24" i="2" s="1"/>
  <c r="H24" i="2" s="1"/>
  <c r="F525" i="2"/>
  <c r="K525" i="2" s="1"/>
  <c r="G517" i="2"/>
  <c r="G525" i="2"/>
  <c r="G600" i="2"/>
  <c r="G673" i="2"/>
  <c r="F673" i="2"/>
  <c r="F692" i="2"/>
  <c r="J692" i="2" s="1"/>
  <c r="H692" i="2" s="1"/>
  <c r="I759" i="2"/>
  <c r="J759" i="2"/>
  <c r="H759" i="2" s="1"/>
  <c r="G786" i="2"/>
  <c r="F18" i="2"/>
  <c r="I18" i="2" s="1"/>
  <c r="F20" i="2"/>
  <c r="K20" i="2" s="1"/>
  <c r="F22" i="2"/>
  <c r="K22" i="2" s="1"/>
  <c r="F44" i="2"/>
  <c r="J44" i="2" s="1"/>
  <c r="H44" i="2" s="1"/>
  <c r="F46" i="2"/>
  <c r="I46" i="2" s="1"/>
  <c r="F48" i="2"/>
  <c r="I48" i="2" s="1"/>
  <c r="I74" i="2"/>
  <c r="G98" i="2"/>
  <c r="K117" i="2"/>
  <c r="J117" i="2"/>
  <c r="H117" i="2" s="1"/>
  <c r="G117" i="2"/>
  <c r="F138" i="2"/>
  <c r="J138" i="2" s="1"/>
  <c r="H138" i="2" s="1"/>
  <c r="G153" i="2"/>
  <c r="F153" i="2"/>
  <c r="G168" i="2"/>
  <c r="K171" i="2"/>
  <c r="J171" i="2"/>
  <c r="H171" i="2" s="1"/>
  <c r="I171" i="2"/>
  <c r="G171" i="2"/>
  <c r="G213" i="2"/>
  <c r="F221" i="2"/>
  <c r="I221" i="2" s="1"/>
  <c r="F239" i="2"/>
  <c r="F251" i="2"/>
  <c r="K251" i="2" s="1"/>
  <c r="G251" i="2"/>
  <c r="K255" i="2"/>
  <c r="J255" i="2"/>
  <c r="H255" i="2" s="1"/>
  <c r="G255" i="2"/>
  <c r="F267" i="2"/>
  <c r="I267" i="2" s="1"/>
  <c r="G267" i="2"/>
  <c r="K297" i="2"/>
  <c r="J297" i="2"/>
  <c r="H297" i="2" s="1"/>
  <c r="G297" i="2"/>
  <c r="J350" i="2"/>
  <c r="H350" i="2" s="1"/>
  <c r="I350" i="2"/>
  <c r="G459" i="2"/>
  <c r="F459" i="2"/>
  <c r="K459" i="2" s="1"/>
  <c r="F473" i="2"/>
  <c r="I473" i="2" s="1"/>
  <c r="F504" i="2"/>
  <c r="F508" i="2"/>
  <c r="F517" i="2"/>
  <c r="J517" i="2" s="1"/>
  <c r="H517" i="2" s="1"/>
  <c r="F786" i="2"/>
  <c r="F936" i="2"/>
  <c r="I936" i="2" s="1"/>
  <c r="G52" i="2"/>
  <c r="F52" i="2"/>
  <c r="J78" i="2"/>
  <c r="H78" i="2" s="1"/>
  <c r="I78" i="2"/>
  <c r="J98" i="2"/>
  <c r="H98" i="2" s="1"/>
  <c r="K285" i="2"/>
  <c r="J285" i="2"/>
  <c r="H285" i="2" s="1"/>
  <c r="G285" i="2"/>
  <c r="G22" i="2"/>
  <c r="G74" i="2"/>
  <c r="G138" i="2"/>
  <c r="F327" i="2"/>
  <c r="F29" i="2"/>
  <c r="F59" i="2"/>
  <c r="J59" i="2" s="1"/>
  <c r="K78" i="2"/>
  <c r="G121" i="2"/>
  <c r="F121" i="2"/>
  <c r="K121" i="2" s="1"/>
  <c r="G327" i="2"/>
  <c r="G340" i="2"/>
  <c r="F340" i="2"/>
  <c r="I340" i="2" s="1"/>
  <c r="G355" i="2"/>
  <c r="F355" i="2"/>
  <c r="K355" i="2" s="1"/>
  <c r="J358" i="2"/>
  <c r="H358" i="2" s="1"/>
  <c r="F395" i="2"/>
  <c r="J395" i="2" s="1"/>
  <c r="H395" i="2" s="1"/>
  <c r="F430" i="2"/>
  <c r="K430" i="2" s="1"/>
  <c r="K442" i="2"/>
  <c r="F466" i="2"/>
  <c r="K466" i="2" s="1"/>
  <c r="G486" i="2"/>
  <c r="J729" i="2"/>
  <c r="H729" i="2" s="1"/>
  <c r="K729" i="2"/>
  <c r="J735" i="2"/>
  <c r="H735" i="2" s="1"/>
  <c r="I735" i="2"/>
  <c r="G137" i="2"/>
  <c r="F137" i="2"/>
  <c r="K137" i="2" s="1"/>
  <c r="G189" i="2"/>
  <c r="J374" i="2"/>
  <c r="H374" i="2" s="1"/>
  <c r="I374" i="2"/>
  <c r="G453" i="2"/>
  <c r="J76" i="2"/>
  <c r="H76" i="2" s="1"/>
  <c r="K76" i="2"/>
  <c r="G181" i="2"/>
  <c r="F181" i="2"/>
  <c r="J181" i="2" s="1"/>
  <c r="H181" i="2" s="1"/>
  <c r="F189" i="2"/>
  <c r="K248" i="2"/>
  <c r="J248" i="2"/>
  <c r="H248" i="2" s="1"/>
  <c r="F323" i="2"/>
  <c r="K375" i="2"/>
  <c r="J375" i="2"/>
  <c r="H375" i="2" s="1"/>
  <c r="F399" i="2"/>
  <c r="I399" i="2" s="1"/>
  <c r="F453" i="2"/>
  <c r="J453" i="2" s="1"/>
  <c r="H453" i="2" s="1"/>
  <c r="G3" i="2"/>
  <c r="G18" i="2"/>
  <c r="G48" i="2"/>
  <c r="G78" i="2"/>
  <c r="F156" i="2"/>
  <c r="J156" i="2" s="1"/>
  <c r="H156" i="2" s="1"/>
  <c r="G156" i="2"/>
  <c r="F245" i="2"/>
  <c r="I245" i="2" s="1"/>
  <c r="I762" i="2"/>
  <c r="G762" i="2"/>
  <c r="J762" i="2"/>
  <c r="H762" i="2" s="1"/>
  <c r="K762" i="2"/>
  <c r="G14" i="2"/>
  <c r="I248" i="2"/>
  <c r="I260" i="2"/>
  <c r="I285" i="2"/>
  <c r="F25" i="2"/>
  <c r="K25" i="2" s="1"/>
  <c r="F53" i="2"/>
  <c r="K53" i="2" s="1"/>
  <c r="I76" i="2"/>
  <c r="F115" i="2"/>
  <c r="I115" i="2" s="1"/>
  <c r="I117" i="2"/>
  <c r="F166" i="2"/>
  <c r="I166" i="2" s="1"/>
  <c r="F172" i="2"/>
  <c r="I172" i="2" s="1"/>
  <c r="F185" i="2"/>
  <c r="F192" i="2"/>
  <c r="I192" i="2" s="1"/>
  <c r="G208" i="2"/>
  <c r="I211" i="2"/>
  <c r="K211" i="2"/>
  <c r="J211" i="2"/>
  <c r="H211" i="2" s="1"/>
  <c r="F243" i="2"/>
  <c r="J243" i="2" s="1"/>
  <c r="H243" i="2" s="1"/>
  <c r="I255" i="2"/>
  <c r="J260" i="2"/>
  <c r="H260" i="2" s="1"/>
  <c r="I297" i="2"/>
  <c r="J324" i="2"/>
  <c r="H324" i="2" s="1"/>
  <c r="F359" i="2"/>
  <c r="K359" i="2" s="1"/>
  <c r="I375" i="2"/>
  <c r="F407" i="2"/>
  <c r="J407" i="2" s="1"/>
  <c r="H407" i="2" s="1"/>
  <c r="F414" i="2"/>
  <c r="J414" i="2" s="1"/>
  <c r="G435" i="2"/>
  <c r="F435" i="2"/>
  <c r="K435" i="2" s="1"/>
  <c r="F486" i="2"/>
  <c r="K490" i="2"/>
  <c r="J490" i="2"/>
  <c r="H490" i="2" s="1"/>
  <c r="G490" i="2"/>
  <c r="G538" i="2"/>
  <c r="I538" i="2"/>
  <c r="K538" i="2"/>
  <c r="G585" i="2"/>
  <c r="F585" i="2"/>
  <c r="J585" i="2" s="1"/>
  <c r="H585" i="2" s="1"/>
  <c r="G589" i="2"/>
  <c r="F589" i="2"/>
  <c r="K589" i="2" s="1"/>
  <c r="G630" i="2"/>
  <c r="F630" i="2"/>
  <c r="K630" i="2" s="1"/>
  <c r="I644" i="2"/>
  <c r="G644" i="2"/>
  <c r="G650" i="2"/>
  <c r="F650" i="2"/>
  <c r="K650" i="2" s="1"/>
  <c r="K658" i="2"/>
  <c r="J658" i="2"/>
  <c r="H658" i="2" s="1"/>
  <c r="F711" i="2"/>
  <c r="J711" i="2" s="1"/>
  <c r="H711" i="2" s="1"/>
  <c r="J513" i="2"/>
  <c r="H513" i="2" s="1"/>
  <c r="I513" i="2"/>
  <c r="G562" i="2"/>
  <c r="G683" i="2"/>
  <c r="F683" i="2"/>
  <c r="I683" i="2" s="1"/>
  <c r="F810" i="2"/>
  <c r="I810" i="2" s="1"/>
  <c r="G810" i="2"/>
  <c r="G80" i="2"/>
  <c r="F80" i="2"/>
  <c r="J80" i="2" s="1"/>
  <c r="H80" i="2" s="1"/>
  <c r="F273" i="2"/>
  <c r="J273" i="2" s="1"/>
  <c r="H273" i="2" s="1"/>
  <c r="F562" i="2"/>
  <c r="J562" i="2" s="1"/>
  <c r="H562" i="2" s="1"/>
  <c r="F600" i="2"/>
  <c r="K141" i="2"/>
  <c r="J141" i="2"/>
  <c r="H141" i="2" s="1"/>
  <c r="I141" i="2"/>
  <c r="K288" i="2"/>
  <c r="J288" i="2"/>
  <c r="H288" i="2" s="1"/>
  <c r="I288" i="2"/>
  <c r="G29" i="2"/>
  <c r="J219" i="2"/>
  <c r="H219" i="2" s="1"/>
  <c r="K219" i="2"/>
  <c r="G219" i="2"/>
  <c r="G647" i="2"/>
  <c r="F647" i="2"/>
  <c r="K27" i="2"/>
  <c r="I27" i="2"/>
  <c r="J27" i="2"/>
  <c r="H27" i="2" s="1"/>
  <c r="K55" i="2"/>
  <c r="J55" i="2"/>
  <c r="H55" i="2" s="1"/>
  <c r="I55" i="2"/>
  <c r="K81" i="2"/>
  <c r="F85" i="2"/>
  <c r="G85" i="2"/>
  <c r="G245" i="2"/>
  <c r="F10" i="2"/>
  <c r="G10" i="2"/>
  <c r="G25" i="2"/>
  <c r="G27" i="2"/>
  <c r="G38" i="2"/>
  <c r="F38" i="2"/>
  <c r="G53" i="2"/>
  <c r="G55" i="2"/>
  <c r="G66" i="2"/>
  <c r="F66" i="2"/>
  <c r="G81" i="2"/>
  <c r="J118" i="2"/>
  <c r="H118" i="2" s="1"/>
  <c r="I118" i="2"/>
  <c r="G118" i="2"/>
  <c r="I219" i="2"/>
  <c r="G243" i="2"/>
  <c r="F341" i="2"/>
  <c r="K341" i="2" s="1"/>
  <c r="F352" i="2"/>
  <c r="G456" i="2"/>
  <c r="F456" i="2"/>
  <c r="I461" i="2"/>
  <c r="G461" i="2"/>
  <c r="G470" i="2"/>
  <c r="F470" i="2"/>
  <c r="J470" i="2" s="1"/>
  <c r="H470" i="2" s="1"/>
  <c r="F560" i="2"/>
  <c r="K560" i="2" s="1"/>
  <c r="G618" i="2"/>
  <c r="F618" i="2"/>
  <c r="K618" i="2" s="1"/>
  <c r="K213" i="2"/>
  <c r="J213" i="2"/>
  <c r="H213" i="2" s="1"/>
  <c r="G492" i="2"/>
  <c r="F492" i="2"/>
  <c r="K492" i="2" s="1"/>
  <c r="F544" i="2"/>
  <c r="J544" i="2" s="1"/>
  <c r="F168" i="2"/>
  <c r="J168" i="2" s="1"/>
  <c r="H168" i="2" s="1"/>
  <c r="G273" i="2"/>
  <c r="F333" i="2"/>
  <c r="G46" i="2"/>
  <c r="G76" i="2"/>
  <c r="G141" i="2"/>
  <c r="J208" i="2"/>
  <c r="H208" i="2" s="1"/>
  <c r="K347" i="2"/>
  <c r="J347" i="2"/>
  <c r="H347" i="2" s="1"/>
  <c r="G375" i="2"/>
  <c r="G392" i="2"/>
  <c r="F392" i="2"/>
  <c r="J392" i="2" s="1"/>
  <c r="H392" i="2" s="1"/>
  <c r="G404" i="2"/>
  <c r="F404" i="2"/>
  <c r="K404" i="2" s="1"/>
  <c r="G417" i="2"/>
  <c r="F417" i="2"/>
  <c r="J417" i="2" s="1"/>
  <c r="H417" i="2" s="1"/>
  <c r="F3" i="2"/>
  <c r="K3" i="2" s="1"/>
  <c r="I213" i="2"/>
  <c r="J6" i="2"/>
  <c r="H6" i="2" s="1"/>
  <c r="K6" i="2"/>
  <c r="J8" i="2"/>
  <c r="H8" i="2" s="1"/>
  <c r="I8" i="2"/>
  <c r="K90" i="2"/>
  <c r="J90" i="2"/>
  <c r="H90" i="2" s="1"/>
  <c r="J92" i="2"/>
  <c r="H92" i="2" s="1"/>
  <c r="G92" i="2"/>
  <c r="I92" i="2"/>
  <c r="F99" i="2"/>
  <c r="I99" i="2" s="1"/>
  <c r="G99" i="2"/>
  <c r="F126" i="2"/>
  <c r="I126" i="2" s="1"/>
  <c r="K139" i="2"/>
  <c r="J139" i="2"/>
  <c r="H139" i="2" s="1"/>
  <c r="I139" i="2"/>
  <c r="G154" i="2"/>
  <c r="F154" i="2"/>
  <c r="K154" i="2" s="1"/>
  <c r="F198" i="2"/>
  <c r="K198" i="2" s="1"/>
  <c r="F203" i="2"/>
  <c r="I208" i="2"/>
  <c r="G283" i="2"/>
  <c r="F283" i="2"/>
  <c r="K290" i="2"/>
  <c r="J290" i="2"/>
  <c r="H290" i="2" s="1"/>
  <c r="J325" i="2"/>
  <c r="H325" i="2" s="1"/>
  <c r="G341" i="2"/>
  <c r="J356" i="2"/>
  <c r="H356" i="2" s="1"/>
  <c r="K356" i="2"/>
  <c r="I356" i="2"/>
  <c r="F372" i="2"/>
  <c r="K372" i="2" s="1"/>
  <c r="G372" i="2"/>
  <c r="K405" i="2"/>
  <c r="G405" i="2"/>
  <c r="J405" i="2"/>
  <c r="H405" i="2" s="1"/>
  <c r="F408" i="2"/>
  <c r="J408" i="2" s="1"/>
  <c r="H408" i="2" s="1"/>
  <c r="F436" i="2"/>
  <c r="F449" i="2"/>
  <c r="K449" i="2" s="1"/>
  <c r="F590" i="2"/>
  <c r="I590" i="2" s="1"/>
  <c r="G619" i="2"/>
  <c r="F619" i="2"/>
  <c r="G640" i="2"/>
  <c r="F640" i="2"/>
  <c r="I640" i="2" s="1"/>
  <c r="G651" i="2"/>
  <c r="F651" i="2"/>
  <c r="J651" i="2" s="1"/>
  <c r="H651" i="2" s="1"/>
  <c r="F719" i="2"/>
  <c r="J719" i="2" s="1"/>
  <c r="H719" i="2" s="1"/>
  <c r="G719" i="2"/>
  <c r="F745" i="2"/>
  <c r="G745" i="2"/>
  <c r="F867" i="2"/>
  <c r="J867" i="2" s="1"/>
  <c r="H867" i="2" s="1"/>
  <c r="G867" i="2"/>
  <c r="G898" i="2"/>
  <c r="F898" i="2"/>
  <c r="J898" i="2" s="1"/>
  <c r="H898" i="2" s="1"/>
  <c r="G894" i="2"/>
  <c r="F894" i="2"/>
  <c r="F976" i="2"/>
  <c r="K976" i="2" s="1"/>
  <c r="G976" i="2"/>
  <c r="G271" i="2"/>
  <c r="G313" i="2"/>
  <c r="G334" i="2"/>
  <c r="F334" i="2"/>
  <c r="J334" i="2" s="1"/>
  <c r="H334" i="2" s="1"/>
  <c r="G342" i="2"/>
  <c r="F373" i="2"/>
  <c r="F402" i="2"/>
  <c r="K402" i="2" s="1"/>
  <c r="G428" i="2"/>
  <c r="G555" i="2"/>
  <c r="F555" i="2"/>
  <c r="J555" i="2" s="1"/>
  <c r="H555" i="2" s="1"/>
  <c r="G624" i="2"/>
  <c r="F624" i="2"/>
  <c r="J624" i="2" s="1"/>
  <c r="H624" i="2" s="1"/>
  <c r="G676" i="2"/>
  <c r="G689" i="2"/>
  <c r="F689" i="2"/>
  <c r="J689" i="2" s="1"/>
  <c r="H689" i="2" s="1"/>
  <c r="F875" i="2"/>
  <c r="F94" i="2"/>
  <c r="F108" i="2"/>
  <c r="F129" i="2"/>
  <c r="I129" i="2" s="1"/>
  <c r="G131" i="2"/>
  <c r="F148" i="2"/>
  <c r="F184" i="2"/>
  <c r="K184" i="2" s="1"/>
  <c r="F199" i="2"/>
  <c r="K199" i="2" s="1"/>
  <c r="F271" i="2"/>
  <c r="I271" i="2" s="1"/>
  <c r="F313" i="2"/>
  <c r="K313" i="2" s="1"/>
  <c r="G331" i="2"/>
  <c r="F331" i="2"/>
  <c r="F342" i="2"/>
  <c r="I342" i="2" s="1"/>
  <c r="K388" i="2"/>
  <c r="I388" i="2"/>
  <c r="G402" i="2"/>
  <c r="F411" i="2"/>
  <c r="I411" i="2" s="1"/>
  <c r="F428" i="2"/>
  <c r="F468" i="2"/>
  <c r="K468" i="2" s="1"/>
  <c r="K476" i="2"/>
  <c r="G476" i="2"/>
  <c r="F529" i="2"/>
  <c r="J543" i="2"/>
  <c r="H543" i="2" s="1"/>
  <c r="I543" i="2"/>
  <c r="G543" i="2"/>
  <c r="F676" i="2"/>
  <c r="J676" i="2" s="1"/>
  <c r="H676" i="2" s="1"/>
  <c r="G686" i="2"/>
  <c r="K686" i="2"/>
  <c r="F782" i="2"/>
  <c r="G782" i="2"/>
  <c r="G875" i="2"/>
  <c r="K205" i="2"/>
  <c r="J205" i="2"/>
  <c r="H205" i="2" s="1"/>
  <c r="G205" i="2"/>
  <c r="F5" i="2"/>
  <c r="F19" i="2"/>
  <c r="F45" i="2"/>
  <c r="F61" i="2"/>
  <c r="F75" i="2"/>
  <c r="F87" i="2"/>
  <c r="F103" i="2"/>
  <c r="F112" i="2"/>
  <c r="F127" i="2"/>
  <c r="F131" i="2"/>
  <c r="I165" i="2"/>
  <c r="J180" i="2"/>
  <c r="H180" i="2" s="1"/>
  <c r="G184" i="2"/>
  <c r="G199" i="2"/>
  <c r="F214" i="2"/>
  <c r="F223" i="2"/>
  <c r="F237" i="2"/>
  <c r="J237" i="2" s="1"/>
  <c r="H237" i="2" s="1"/>
  <c r="G237" i="2"/>
  <c r="F259" i="2"/>
  <c r="J298" i="2"/>
  <c r="H298" i="2" s="1"/>
  <c r="F301" i="2"/>
  <c r="J301" i="2" s="1"/>
  <c r="H301" i="2" s="1"/>
  <c r="F348" i="2"/>
  <c r="J348" i="2" s="1"/>
  <c r="H348" i="2" s="1"/>
  <c r="G348" i="2"/>
  <c r="G357" i="2"/>
  <c r="F357" i="2"/>
  <c r="J357" i="2" s="1"/>
  <c r="H357" i="2" s="1"/>
  <c r="G437" i="2"/>
  <c r="F451" i="2"/>
  <c r="J451" i="2" s="1"/>
  <c r="H451" i="2" s="1"/>
  <c r="G468" i="2"/>
  <c r="G515" i="2"/>
  <c r="G529" i="2"/>
  <c r="G547" i="2"/>
  <c r="G553" i="2"/>
  <c r="G613" i="2"/>
  <c r="F613" i="2"/>
  <c r="K613" i="2" s="1"/>
  <c r="F628" i="2"/>
  <c r="G715" i="2"/>
  <c r="F715" i="2"/>
  <c r="J715" i="2" s="1"/>
  <c r="H715" i="2" s="1"/>
  <c r="G807" i="2"/>
  <c r="F807" i="2"/>
  <c r="J807" i="2" s="1"/>
  <c r="H807" i="2" s="1"/>
  <c r="F859" i="2"/>
  <c r="K859" i="2" s="1"/>
  <c r="G859" i="2"/>
  <c r="K163" i="2"/>
  <c r="J163" i="2"/>
  <c r="H163" i="2" s="1"/>
  <c r="G163" i="2"/>
  <c r="G195" i="2"/>
  <c r="F195" i="2"/>
  <c r="I205" i="2"/>
  <c r="F212" i="2"/>
  <c r="K212" i="2" s="1"/>
  <c r="G259" i="2"/>
  <c r="K269" i="2"/>
  <c r="J269" i="2"/>
  <c r="H269" i="2" s="1"/>
  <c r="G269" i="2"/>
  <c r="F281" i="2"/>
  <c r="G301" i="2"/>
  <c r="F321" i="2"/>
  <c r="I321" i="2" s="1"/>
  <c r="G321" i="2"/>
  <c r="F329" i="2"/>
  <c r="J329" i="2" s="1"/>
  <c r="K358" i="2"/>
  <c r="F365" i="2"/>
  <c r="F386" i="2"/>
  <c r="G388" i="2"/>
  <c r="K403" i="2"/>
  <c r="J403" i="2"/>
  <c r="H403" i="2" s="1"/>
  <c r="I403" i="2"/>
  <c r="G403" i="2"/>
  <c r="F437" i="2"/>
  <c r="G451" i="2"/>
  <c r="F471" i="2"/>
  <c r="I471" i="2" s="1"/>
  <c r="I476" i="2"/>
  <c r="F507" i="2"/>
  <c r="F515" i="2"/>
  <c r="I515" i="2" s="1"/>
  <c r="K543" i="2"/>
  <c r="F547" i="2"/>
  <c r="I547" i="2" s="1"/>
  <c r="F553" i="2"/>
  <c r="K553" i="2" s="1"/>
  <c r="G564" i="2"/>
  <c r="J564" i="2"/>
  <c r="H564" i="2" s="1"/>
  <c r="K564" i="2"/>
  <c r="I564" i="2"/>
  <c r="G598" i="2"/>
  <c r="F598" i="2"/>
  <c r="G628" i="2"/>
  <c r="I686" i="2"/>
  <c r="F821" i="2"/>
  <c r="K821" i="2" s="1"/>
  <c r="J247" i="2"/>
  <c r="H247" i="2" s="1"/>
  <c r="J261" i="2"/>
  <c r="H261" i="2" s="1"/>
  <c r="J275" i="2"/>
  <c r="H275" i="2" s="1"/>
  <c r="F376" i="2"/>
  <c r="I376" i="2" s="1"/>
  <c r="F431" i="2"/>
  <c r="J431" i="2" s="1"/>
  <c r="H431" i="2" s="1"/>
  <c r="G500" i="2"/>
  <c r="F500" i="2"/>
  <c r="F533" i="2"/>
  <c r="K533" i="2" s="1"/>
  <c r="I536" i="2"/>
  <c r="K536" i="2"/>
  <c r="G536" i="2"/>
  <c r="G591" i="2"/>
  <c r="I591" i="2"/>
  <c r="K607" i="2"/>
  <c r="F629" i="2"/>
  <c r="F645" i="2"/>
  <c r="I645" i="2" s="1"/>
  <c r="G645" i="2"/>
  <c r="G706" i="2"/>
  <c r="F706" i="2"/>
  <c r="J706" i="2" s="1"/>
  <c r="H706" i="2" s="1"/>
  <c r="F794" i="2"/>
  <c r="K794" i="2" s="1"/>
  <c r="G794" i="2"/>
  <c r="I247" i="2"/>
  <c r="I261" i="2"/>
  <c r="J263" i="2"/>
  <c r="H263" i="2" s="1"/>
  <c r="I275" i="2"/>
  <c r="J307" i="2"/>
  <c r="H307" i="2" s="1"/>
  <c r="G370" i="2"/>
  <c r="G396" i="2"/>
  <c r="F429" i="2"/>
  <c r="J429" i="2" s="1"/>
  <c r="H429" i="2" s="1"/>
  <c r="G460" i="2"/>
  <c r="K460" i="2"/>
  <c r="G472" i="2"/>
  <c r="J472" i="2"/>
  <c r="H472" i="2" s="1"/>
  <c r="F498" i="2"/>
  <c r="K498" i="2" s="1"/>
  <c r="K591" i="2"/>
  <c r="F670" i="2"/>
  <c r="J670" i="2" s="1"/>
  <c r="H670" i="2" s="1"/>
  <c r="G670" i="2"/>
  <c r="K694" i="2"/>
  <c r="J694" i="2"/>
  <c r="H694" i="2" s="1"/>
  <c r="I694" i="2"/>
  <c r="G694" i="2"/>
  <c r="I805" i="2"/>
  <c r="J805" i="2"/>
  <c r="H805" i="2" s="1"/>
  <c r="G928" i="2"/>
  <c r="F928" i="2"/>
  <c r="I928" i="2" s="1"/>
  <c r="K224" i="2"/>
  <c r="I228" i="2"/>
  <c r="G228" i="2"/>
  <c r="I242" i="2"/>
  <c r="G242" i="2"/>
  <c r="K247" i="2"/>
  <c r="K275" i="2"/>
  <c r="K307" i="2"/>
  <c r="F332" i="2"/>
  <c r="F351" i="2"/>
  <c r="K351" i="2" s="1"/>
  <c r="G366" i="2"/>
  <c r="F370" i="2"/>
  <c r="I370" i="2" s="1"/>
  <c r="F385" i="2"/>
  <c r="I385" i="2" s="1"/>
  <c r="F396" i="2"/>
  <c r="I396" i="2" s="1"/>
  <c r="G413" i="2"/>
  <c r="F413" i="2"/>
  <c r="J413" i="2" s="1"/>
  <c r="H413" i="2" s="1"/>
  <c r="G429" i="2"/>
  <c r="G455" i="2"/>
  <c r="F455" i="2"/>
  <c r="J455" i="2" s="1"/>
  <c r="H455" i="2" s="1"/>
  <c r="G482" i="2"/>
  <c r="G498" i="2"/>
  <c r="F534" i="2"/>
  <c r="I534" i="2" s="1"/>
  <c r="F581" i="2"/>
  <c r="J581" i="2" s="1"/>
  <c r="H581" i="2" s="1"/>
  <c r="F602" i="2"/>
  <c r="J602" i="2" s="1"/>
  <c r="H602" i="2" s="1"/>
  <c r="F631" i="2"/>
  <c r="F642" i="2"/>
  <c r="J642" i="2" s="1"/>
  <c r="H642" i="2" s="1"/>
  <c r="F659" i="2"/>
  <c r="G863" i="2"/>
  <c r="F863" i="2"/>
  <c r="I863" i="2" s="1"/>
  <c r="K252" i="2"/>
  <c r="I252" i="2"/>
  <c r="K282" i="2"/>
  <c r="I282" i="2"/>
  <c r="I284" i="2"/>
  <c r="G284" i="2"/>
  <c r="K296" i="2"/>
  <c r="I296" i="2"/>
  <c r="I298" i="2"/>
  <c r="G298" i="2"/>
  <c r="I312" i="2"/>
  <c r="G312" i="2"/>
  <c r="K322" i="2"/>
  <c r="I322" i="2"/>
  <c r="I324" i="2"/>
  <c r="G324" i="2"/>
  <c r="G349" i="2"/>
  <c r="G351" i="2"/>
  <c r="J366" i="2"/>
  <c r="H366" i="2" s="1"/>
  <c r="J377" i="2"/>
  <c r="H377" i="2" s="1"/>
  <c r="G385" i="2"/>
  <c r="F401" i="2"/>
  <c r="G441" i="2"/>
  <c r="F441" i="2"/>
  <c r="K441" i="2" s="1"/>
  <c r="I443" i="2"/>
  <c r="I460" i="2"/>
  <c r="I472" i="2"/>
  <c r="F480" i="2"/>
  <c r="K480" i="2" s="1"/>
  <c r="F482" i="2"/>
  <c r="K482" i="2" s="1"/>
  <c r="F494" i="2"/>
  <c r="F503" i="2"/>
  <c r="F506" i="2"/>
  <c r="I506" i="2" s="1"/>
  <c r="G526" i="2"/>
  <c r="K526" i="2"/>
  <c r="J526" i="2"/>
  <c r="H526" i="2" s="1"/>
  <c r="I526" i="2"/>
  <c r="F531" i="2"/>
  <c r="J531" i="2" s="1"/>
  <c r="H531" i="2" s="1"/>
  <c r="G534" i="2"/>
  <c r="K540" i="2"/>
  <c r="I540" i="2"/>
  <c r="K546" i="2"/>
  <c r="I546" i="2"/>
  <c r="F565" i="2"/>
  <c r="K568" i="2"/>
  <c r="J568" i="2"/>
  <c r="H568" i="2" s="1"/>
  <c r="K575" i="2"/>
  <c r="I575" i="2"/>
  <c r="G575" i="2"/>
  <c r="F588" i="2"/>
  <c r="G599" i="2"/>
  <c r="F599" i="2"/>
  <c r="K599" i="2" s="1"/>
  <c r="G602" i="2"/>
  <c r="G631" i="2"/>
  <c r="G639" i="2"/>
  <c r="F639" i="2"/>
  <c r="J639" i="2" s="1"/>
  <c r="H639" i="2" s="1"/>
  <c r="G642" i="2"/>
  <c r="J649" i="2"/>
  <c r="H649" i="2" s="1"/>
  <c r="F684" i="2"/>
  <c r="I684" i="2" s="1"/>
  <c r="G727" i="2"/>
  <c r="F727" i="2"/>
  <c r="K727" i="2" s="1"/>
  <c r="K751" i="2"/>
  <c r="G765" i="2"/>
  <c r="F765" i="2"/>
  <c r="I765" i="2" s="1"/>
  <c r="F830" i="2"/>
  <c r="K830" i="2" s="1"/>
  <c r="K421" i="2"/>
  <c r="J421" i="2"/>
  <c r="H421" i="2" s="1"/>
  <c r="F425" i="2"/>
  <c r="K572" i="2"/>
  <c r="J572" i="2"/>
  <c r="H572" i="2" s="1"/>
  <c r="G572" i="2"/>
  <c r="G687" i="2"/>
  <c r="F687" i="2"/>
  <c r="K687" i="2" s="1"/>
  <c r="G698" i="2"/>
  <c r="K698" i="2"/>
  <c r="I698" i="2"/>
  <c r="J702" i="2"/>
  <c r="H702" i="2" s="1"/>
  <c r="I702" i="2"/>
  <c r="G702" i="2"/>
  <c r="F809" i="2"/>
  <c r="G815" i="2"/>
  <c r="F815" i="2"/>
  <c r="K815" i="2" s="1"/>
  <c r="G906" i="2"/>
  <c r="F906" i="2"/>
  <c r="K350" i="2"/>
  <c r="K374" i="2"/>
  <c r="K400" i="2"/>
  <c r="K463" i="2"/>
  <c r="J463" i="2"/>
  <c r="H463" i="2" s="1"/>
  <c r="I465" i="2"/>
  <c r="F467" i="2"/>
  <c r="I467" i="2" s="1"/>
  <c r="G539" i="2"/>
  <c r="F539" i="2"/>
  <c r="I545" i="2"/>
  <c r="G570" i="2"/>
  <c r="I572" i="2"/>
  <c r="G604" i="2"/>
  <c r="G611" i="2"/>
  <c r="F611" i="2"/>
  <c r="G616" i="2"/>
  <c r="F616" i="2"/>
  <c r="G643" i="2"/>
  <c r="G657" i="2"/>
  <c r="J698" i="2"/>
  <c r="H698" i="2" s="1"/>
  <c r="G737" i="2"/>
  <c r="F737" i="2"/>
  <c r="K737" i="2" s="1"/>
  <c r="F769" i="2"/>
  <c r="I769" i="2" s="1"/>
  <c r="G769" i="2"/>
  <c r="F783" i="2"/>
  <c r="G783" i="2"/>
  <c r="F795" i="2"/>
  <c r="F955" i="2"/>
  <c r="K955" i="2" s="1"/>
  <c r="G479" i="2"/>
  <c r="F479" i="2"/>
  <c r="F485" i="2"/>
  <c r="F487" i="2"/>
  <c r="I532" i="2"/>
  <c r="J545" i="2"/>
  <c r="H545" i="2" s="1"/>
  <c r="G552" i="2"/>
  <c r="F552" i="2"/>
  <c r="I552" i="2" s="1"/>
  <c r="F563" i="2"/>
  <c r="I563" i="2" s="1"/>
  <c r="F570" i="2"/>
  <c r="I570" i="2" s="1"/>
  <c r="F604" i="2"/>
  <c r="F643" i="2"/>
  <c r="J643" i="2" s="1"/>
  <c r="H643" i="2" s="1"/>
  <c r="F657" i="2"/>
  <c r="I657" i="2" s="1"/>
  <c r="F667" i="2"/>
  <c r="K667" i="2" s="1"/>
  <c r="G667" i="2"/>
  <c r="G699" i="2"/>
  <c r="F699" i="2"/>
  <c r="I725" i="2"/>
  <c r="J725" i="2"/>
  <c r="H725" i="2" s="1"/>
  <c r="G725" i="2"/>
  <c r="F728" i="2"/>
  <c r="I728" i="2" s="1"/>
  <c r="F763" i="2"/>
  <c r="I763" i="2" s="1"/>
  <c r="G763" i="2"/>
  <c r="G780" i="2"/>
  <c r="F780" i="2"/>
  <c r="F784" i="2"/>
  <c r="J784" i="2" s="1"/>
  <c r="G955" i="2"/>
  <c r="G350" i="2"/>
  <c r="G374" i="2"/>
  <c r="G400" i="2"/>
  <c r="K426" i="2"/>
  <c r="G463" i="2"/>
  <c r="G465" i="2"/>
  <c r="F477" i="2"/>
  <c r="F493" i="2"/>
  <c r="F537" i="2"/>
  <c r="K545" i="2"/>
  <c r="I550" i="2"/>
  <c r="G550" i="2"/>
  <c r="I561" i="2"/>
  <c r="F584" i="2"/>
  <c r="F609" i="2"/>
  <c r="K633" i="2"/>
  <c r="J633" i="2"/>
  <c r="H633" i="2" s="1"/>
  <c r="G633" i="2"/>
  <c r="I633" i="2"/>
  <c r="I695" i="2"/>
  <c r="G695" i="2"/>
  <c r="J695" i="2"/>
  <c r="H695" i="2" s="1"/>
  <c r="I709" i="2"/>
  <c r="G709" i="2"/>
  <c r="K709" i="2"/>
  <c r="J709" i="2"/>
  <c r="H709" i="2" s="1"/>
  <c r="F722" i="2"/>
  <c r="F733" i="2"/>
  <c r="K733" i="2" s="1"/>
  <c r="G733" i="2"/>
  <c r="F757" i="2"/>
  <c r="G757" i="2"/>
  <c r="G835" i="2"/>
  <c r="F835" i="2"/>
  <c r="K835" i="2" s="1"/>
  <c r="F654" i="2"/>
  <c r="K654" i="2" s="1"/>
  <c r="K671" i="2"/>
  <c r="I671" i="2"/>
  <c r="G671" i="2"/>
  <c r="F681" i="2"/>
  <c r="I681" i="2" s="1"/>
  <c r="G681" i="2"/>
  <c r="G712" i="2"/>
  <c r="K712" i="2"/>
  <c r="K720" i="2"/>
  <c r="J720" i="2"/>
  <c r="H720" i="2" s="1"/>
  <c r="K723" i="2"/>
  <c r="I723" i="2"/>
  <c r="G723" i="2"/>
  <c r="F742" i="2"/>
  <c r="I742" i="2" s="1"/>
  <c r="F746" i="2"/>
  <c r="J754" i="2"/>
  <c r="H754" i="2" s="1"/>
  <c r="K754" i="2"/>
  <c r="G754" i="2"/>
  <c r="G901" i="2"/>
  <c r="I901" i="2"/>
  <c r="K901" i="2"/>
  <c r="F905" i="2"/>
  <c r="K905" i="2" s="1"/>
  <c r="G905" i="2"/>
  <c r="J597" i="2"/>
  <c r="H597" i="2" s="1"/>
  <c r="I597" i="2"/>
  <c r="I620" i="2"/>
  <c r="K655" i="2"/>
  <c r="G672" i="2"/>
  <c r="K672" i="2"/>
  <c r="I674" i="2"/>
  <c r="K685" i="2"/>
  <c r="I685" i="2"/>
  <c r="G685" i="2"/>
  <c r="F693" i="2"/>
  <c r="I693" i="2" s="1"/>
  <c r="G693" i="2"/>
  <c r="I712" i="2"/>
  <c r="I720" i="2"/>
  <c r="G724" i="2"/>
  <c r="K724" i="2"/>
  <c r="G743" i="2"/>
  <c r="F743" i="2"/>
  <c r="I743" i="2" s="1"/>
  <c r="F802" i="2"/>
  <c r="J802" i="2" s="1"/>
  <c r="G853" i="2"/>
  <c r="F853" i="2"/>
  <c r="J901" i="2"/>
  <c r="H901" i="2" s="1"/>
  <c r="G911" i="2"/>
  <c r="F911" i="2"/>
  <c r="G999" i="2"/>
  <c r="F999" i="2"/>
  <c r="K999" i="2" s="1"/>
  <c r="G625" i="2"/>
  <c r="F625" i="2"/>
  <c r="K674" i="2"/>
  <c r="J712" i="2"/>
  <c r="H712" i="2" s="1"/>
  <c r="J718" i="2"/>
  <c r="H718" i="2" s="1"/>
  <c r="I718" i="2"/>
  <c r="I721" i="2"/>
  <c r="G721" i="2"/>
  <c r="G738" i="2"/>
  <c r="F738" i="2"/>
  <c r="J738" i="2" s="1"/>
  <c r="H738" i="2" s="1"/>
  <c r="F758" i="2"/>
  <c r="I758" i="2" s="1"/>
  <c r="F772" i="2"/>
  <c r="J772" i="2" s="1"/>
  <c r="H772" i="2" s="1"/>
  <c r="G772" i="2"/>
  <c r="I789" i="2"/>
  <c r="J789" i="2"/>
  <c r="H789" i="2" s="1"/>
  <c r="F796" i="2"/>
  <c r="G796" i="2"/>
  <c r="G808" i="2"/>
  <c r="F808" i="2"/>
  <c r="J808" i="2" s="1"/>
  <c r="H808" i="2" s="1"/>
  <c r="F813" i="2"/>
  <c r="K813" i="2" s="1"/>
  <c r="G675" i="2"/>
  <c r="F675" i="2"/>
  <c r="F710" i="2"/>
  <c r="J710" i="2" s="1"/>
  <c r="G735" i="2"/>
  <c r="K735" i="2"/>
  <c r="K773" i="2"/>
  <c r="J773" i="2"/>
  <c r="H773" i="2" s="1"/>
  <c r="G773" i="2"/>
  <c r="F922" i="2"/>
  <c r="K922" i="2" s="1"/>
  <c r="J787" i="2"/>
  <c r="H787" i="2" s="1"/>
  <c r="G823" i="2"/>
  <c r="F823" i="2"/>
  <c r="J823" i="2" s="1"/>
  <c r="H823" i="2" s="1"/>
  <c r="F876" i="2"/>
  <c r="I876" i="2" s="1"/>
  <c r="F893" i="2"/>
  <c r="K893" i="2" s="1"/>
  <c r="F910" i="2"/>
  <c r="I910" i="2" s="1"/>
  <c r="G927" i="2"/>
  <c r="F927" i="2"/>
  <c r="I927" i="2" s="1"/>
  <c r="I787" i="2"/>
  <c r="G803" i="2"/>
  <c r="F803" i="2"/>
  <c r="I803" i="2" s="1"/>
  <c r="G817" i="2"/>
  <c r="F817" i="2"/>
  <c r="K817" i="2" s="1"/>
  <c r="G838" i="2"/>
  <c r="F903" i="2"/>
  <c r="G933" i="2"/>
  <c r="F933" i="2"/>
  <c r="K933" i="2" s="1"/>
  <c r="I649" i="2"/>
  <c r="F734" i="2"/>
  <c r="J734" i="2" s="1"/>
  <c r="F771" i="2"/>
  <c r="J771" i="2" s="1"/>
  <c r="H771" i="2" s="1"/>
  <c r="F838" i="2"/>
  <c r="J838" i="2" s="1"/>
  <c r="H838" i="2" s="1"/>
  <c r="J841" i="2"/>
  <c r="H841" i="2" s="1"/>
  <c r="F862" i="2"/>
  <c r="G890" i="2"/>
  <c r="F890" i="2"/>
  <c r="G899" i="2"/>
  <c r="I899" i="2"/>
  <c r="K899" i="2"/>
  <c r="J899" i="2"/>
  <c r="H899" i="2" s="1"/>
  <c r="G921" i="2"/>
  <c r="F921" i="2"/>
  <c r="J921" i="2" s="1"/>
  <c r="H921" i="2" s="1"/>
  <c r="K732" i="2"/>
  <c r="J751" i="2"/>
  <c r="H751" i="2" s="1"/>
  <c r="G751" i="2"/>
  <c r="K756" i="2"/>
  <c r="I756" i="2"/>
  <c r="F804" i="2"/>
  <c r="I804" i="2" s="1"/>
  <c r="G804" i="2"/>
  <c r="F818" i="2"/>
  <c r="I818" i="2" s="1"/>
  <c r="G818" i="2"/>
  <c r="F845" i="2"/>
  <c r="K891" i="2"/>
  <c r="G891" i="2"/>
  <c r="I891" i="2"/>
  <c r="J891" i="2"/>
  <c r="H891" i="2" s="1"/>
  <c r="G913" i="2"/>
  <c r="I913" i="2"/>
  <c r="F934" i="2"/>
  <c r="J934" i="2" s="1"/>
  <c r="H934" i="2" s="1"/>
  <c r="G934" i="2"/>
  <c r="J949" i="2"/>
  <c r="H949" i="2" s="1"/>
  <c r="K949" i="2"/>
  <c r="I949" i="2"/>
  <c r="I748" i="2"/>
  <c r="G748" i="2"/>
  <c r="K759" i="2"/>
  <c r="I774" i="2"/>
  <c r="G774" i="2"/>
  <c r="I850" i="2"/>
  <c r="G850" i="2"/>
  <c r="J850" i="2"/>
  <c r="H850" i="2" s="1"/>
  <c r="J887" i="2"/>
  <c r="H887" i="2" s="1"/>
  <c r="K887" i="2"/>
  <c r="G895" i="2"/>
  <c r="F895" i="2"/>
  <c r="J895" i="2" s="1"/>
  <c r="H895" i="2" s="1"/>
  <c r="G902" i="2"/>
  <c r="F902" i="2"/>
  <c r="J902" i="2" s="1"/>
  <c r="H902" i="2" s="1"/>
  <c r="G907" i="2"/>
  <c r="F907" i="2"/>
  <c r="J907" i="2" s="1"/>
  <c r="H907" i="2" s="1"/>
  <c r="I930" i="2"/>
  <c r="K930" i="2"/>
  <c r="G980" i="2"/>
  <c r="F980" i="2"/>
  <c r="I980" i="2" s="1"/>
  <c r="J748" i="2"/>
  <c r="H748" i="2" s="1"/>
  <c r="J774" i="2"/>
  <c r="H774" i="2" s="1"/>
  <c r="G806" i="2"/>
  <c r="F806" i="2"/>
  <c r="J806" i="2" s="1"/>
  <c r="H806" i="2" s="1"/>
  <c r="F812" i="2"/>
  <c r="J812" i="2" s="1"/>
  <c r="G851" i="2"/>
  <c r="F851" i="2"/>
  <c r="F873" i="2"/>
  <c r="I873" i="2" s="1"/>
  <c r="I908" i="2"/>
  <c r="G908" i="2"/>
  <c r="F931" i="2"/>
  <c r="G953" i="2"/>
  <c r="F953" i="2"/>
  <c r="I953" i="2" s="1"/>
  <c r="G993" i="2"/>
  <c r="J768" i="2"/>
  <c r="H768" i="2" s="1"/>
  <c r="F788" i="2"/>
  <c r="I788" i="2" s="1"/>
  <c r="G788" i="2"/>
  <c r="I888" i="2"/>
  <c r="J888" i="2"/>
  <c r="H888" i="2" s="1"/>
  <c r="K888" i="2"/>
  <c r="G888" i="2"/>
  <c r="F974" i="2"/>
  <c r="J974" i="2" s="1"/>
  <c r="H974" i="2" s="1"/>
  <c r="F993" i="2"/>
  <c r="J993" i="2" s="1"/>
  <c r="H993" i="2" s="1"/>
  <c r="J777" i="2"/>
  <c r="H777" i="2" s="1"/>
  <c r="G777" i="2"/>
  <c r="G826" i="2"/>
  <c r="F826" i="2"/>
  <c r="J826" i="2" s="1"/>
  <c r="H826" i="2" s="1"/>
  <c r="I837" i="2"/>
  <c r="J837" i="2"/>
  <c r="H837" i="2" s="1"/>
  <c r="G837" i="2"/>
  <c r="K846" i="2"/>
  <c r="J846" i="2"/>
  <c r="H846" i="2" s="1"/>
  <c r="I846" i="2"/>
  <c r="G846" i="2"/>
  <c r="F852" i="2"/>
  <c r="I852" i="2" s="1"/>
  <c r="G861" i="2"/>
  <c r="F861" i="2"/>
  <c r="F865" i="2"/>
  <c r="K865" i="2" s="1"/>
  <c r="F882" i="2"/>
  <c r="J882" i="2" s="1"/>
  <c r="H882" i="2" s="1"/>
  <c r="K924" i="2"/>
  <c r="J924" i="2"/>
  <c r="H924" i="2" s="1"/>
  <c r="G924" i="2"/>
  <c r="K957" i="2"/>
  <c r="J957" i="2"/>
  <c r="H957" i="2" s="1"/>
  <c r="I957" i="2"/>
  <c r="F885" i="2"/>
  <c r="I885" i="2" s="1"/>
  <c r="G914" i="2"/>
  <c r="F914" i="2"/>
  <c r="K914" i="2" s="1"/>
  <c r="F919" i="2"/>
  <c r="K919" i="2" s="1"/>
  <c r="G925" i="2"/>
  <c r="I925" i="2"/>
  <c r="G942" i="2"/>
  <c r="F942" i="2"/>
  <c r="K942" i="2" s="1"/>
  <c r="F856" i="2"/>
  <c r="F871" i="2"/>
  <c r="I871" i="2" s="1"/>
  <c r="I900" i="2"/>
  <c r="J900" i="2"/>
  <c r="H900" i="2" s="1"/>
  <c r="G900" i="2"/>
  <c r="K917" i="2"/>
  <c r="G917" i="2"/>
  <c r="I917" i="2"/>
  <c r="I920" i="2"/>
  <c r="J925" i="2"/>
  <c r="H925" i="2" s="1"/>
  <c r="K937" i="2"/>
  <c r="I959" i="2"/>
  <c r="G959" i="2"/>
  <c r="F833" i="2"/>
  <c r="K833" i="2" s="1"/>
  <c r="G864" i="2"/>
  <c r="G874" i="2"/>
  <c r="G912" i="2"/>
  <c r="G929" i="2"/>
  <c r="F829" i="2"/>
  <c r="G833" i="2"/>
  <c r="J848" i="2"/>
  <c r="H848" i="2" s="1"/>
  <c r="I848" i="2"/>
  <c r="F864" i="2"/>
  <c r="F874" i="2"/>
  <c r="F886" i="2"/>
  <c r="I886" i="2" s="1"/>
  <c r="G889" i="2"/>
  <c r="I889" i="2"/>
  <c r="K900" i="2"/>
  <c r="F912" i="2"/>
  <c r="G920" i="2"/>
  <c r="I926" i="2"/>
  <c r="J926" i="2"/>
  <c r="H926" i="2" s="1"/>
  <c r="G926" i="2"/>
  <c r="F929" i="2"/>
  <c r="K929" i="2" s="1"/>
  <c r="F932" i="2"/>
  <c r="I932" i="2" s="1"/>
  <c r="F940" i="2"/>
  <c r="J940" i="2" s="1"/>
  <c r="H940" i="2" s="1"/>
  <c r="G948" i="2"/>
  <c r="J959" i="2"/>
  <c r="H959" i="2" s="1"/>
  <c r="F972" i="2"/>
  <c r="I972" i="2" s="1"/>
  <c r="F978" i="2"/>
  <c r="K978" i="2" s="1"/>
  <c r="F997" i="2"/>
  <c r="K958" i="2"/>
  <c r="G968" i="2"/>
  <c r="F968" i="2"/>
  <c r="G985" i="2"/>
  <c r="K855" i="2"/>
  <c r="F868" i="2"/>
  <c r="F880" i="2"/>
  <c r="I880" i="2" s="1"/>
  <c r="F943" i="2"/>
  <c r="K945" i="2"/>
  <c r="J945" i="2"/>
  <c r="H945" i="2" s="1"/>
  <c r="I945" i="2"/>
  <c r="F947" i="2"/>
  <c r="F960" i="2"/>
  <c r="F981" i="2"/>
  <c r="K983" i="2"/>
  <c r="J983" i="2"/>
  <c r="H983" i="2" s="1"/>
  <c r="I983" i="2"/>
  <c r="F985" i="2"/>
  <c r="I985" i="2" s="1"/>
  <c r="F1000" i="2"/>
  <c r="J1000" i="2" s="1"/>
  <c r="H1000" i="2" s="1"/>
  <c r="G954" i="2"/>
  <c r="I954" i="2"/>
  <c r="G973" i="2"/>
  <c r="G994" i="2"/>
  <c r="F994" i="2"/>
  <c r="J994" i="2" s="1"/>
  <c r="H994" i="2" s="1"/>
  <c r="F969" i="2"/>
  <c r="F973" i="2"/>
  <c r="I973" i="2" s="1"/>
  <c r="K809" i="2" l="1"/>
  <c r="K787" i="2"/>
  <c r="K789" i="2"/>
  <c r="G789" i="2" s="1"/>
  <c r="K294" i="2"/>
  <c r="I294" i="2"/>
  <c r="K263" i="2"/>
  <c r="I120" i="2"/>
  <c r="K120" i="2"/>
  <c r="I93" i="2"/>
  <c r="J145" i="2"/>
  <c r="I161" i="2"/>
  <c r="K145" i="2"/>
  <c r="K450" i="2"/>
  <c r="H414" i="2"/>
  <c r="H368" i="2"/>
  <c r="I987" i="2"/>
  <c r="G294" i="2"/>
  <c r="K281" i="2"/>
  <c r="K21" i="2"/>
  <c r="J580" i="2"/>
  <c r="H580" i="2" s="1"/>
  <c r="K580" i="2"/>
  <c r="J527" i="2"/>
  <c r="G263" i="2"/>
  <c r="K209" i="2"/>
  <c r="J220" i="2"/>
  <c r="H220" i="2" s="1"/>
  <c r="I270" i="2"/>
  <c r="I383" i="2"/>
  <c r="J870" i="2"/>
  <c r="H870" i="2" s="1"/>
  <c r="I268" i="2"/>
  <c r="G120" i="2"/>
  <c r="I246" i="2"/>
  <c r="K246" i="2"/>
  <c r="K827" i="2"/>
  <c r="J626" i="2"/>
  <c r="H626" i="2" s="1"/>
  <c r="I669" i="2"/>
  <c r="J827" i="2"/>
  <c r="H827" i="2" s="1"/>
  <c r="I54" i="2"/>
  <c r="I656" i="2"/>
  <c r="J669" i="2"/>
  <c r="K268" i="2"/>
  <c r="J559" i="2"/>
  <c r="K588" i="2" s="1"/>
  <c r="I962" i="2"/>
  <c r="J714" i="2"/>
  <c r="H714" i="2" s="1"/>
  <c r="I254" i="2"/>
  <c r="K310" i="2"/>
  <c r="I736" i="2"/>
  <c r="K749" i="2"/>
  <c r="J571" i="2"/>
  <c r="H571" i="2" s="1"/>
  <c r="I194" i="2"/>
  <c r="J86" i="2"/>
  <c r="H86" i="2" s="1"/>
  <c r="K136" i="2"/>
  <c r="J716" i="2"/>
  <c r="H716" i="2" s="1"/>
  <c r="J510" i="2"/>
  <c r="K524" i="2" s="1"/>
  <c r="J346" i="2"/>
  <c r="H346" i="2" s="1"/>
  <c r="J690" i="2"/>
  <c r="H690" i="2" s="1"/>
  <c r="K4" i="2"/>
  <c r="K346" i="2"/>
  <c r="J4" i="2"/>
  <c r="H4" i="2" s="1"/>
  <c r="J311" i="2"/>
  <c r="H311" i="2" s="1"/>
  <c r="J136" i="2"/>
  <c r="H136" i="2" s="1"/>
  <c r="K83" i="2"/>
  <c r="I822" i="2"/>
  <c r="J713" i="2"/>
  <c r="H713" i="2" s="1"/>
  <c r="K128" i="2"/>
  <c r="I419" i="2"/>
  <c r="K175" i="2"/>
  <c r="K736" i="2"/>
  <c r="J116" i="2"/>
  <c r="I749" i="2"/>
  <c r="J128" i="2"/>
  <c r="H128" i="2" s="1"/>
  <c r="I499" i="2"/>
  <c r="J83" i="2"/>
  <c r="H83" i="2" s="1"/>
  <c r="J822" i="2"/>
  <c r="H822" i="2" s="1"/>
  <c r="I713" i="2"/>
  <c r="J254" i="2"/>
  <c r="H254" i="2" s="1"/>
  <c r="I310" i="2"/>
  <c r="J110" i="2"/>
  <c r="H110" i="2" s="1"/>
  <c r="I716" i="2"/>
  <c r="K96" i="2"/>
  <c r="K161" i="2"/>
  <c r="G161" i="2" s="1"/>
  <c r="K962" i="2"/>
  <c r="K903" i="2"/>
  <c r="H944" i="2"/>
  <c r="I558" i="2"/>
  <c r="K690" i="2"/>
  <c r="K790" i="2"/>
  <c r="H734" i="2"/>
  <c r="I7" i="2"/>
  <c r="H710" i="2"/>
  <c r="J7" i="2"/>
  <c r="H7" i="2" s="1"/>
  <c r="I21" i="2"/>
  <c r="J197" i="2"/>
  <c r="H197" i="2" s="1"/>
  <c r="K559" i="2"/>
  <c r="J896" i="2"/>
  <c r="H896" i="2" s="1"/>
  <c r="I896" i="2"/>
  <c r="H339" i="2"/>
  <c r="I535" i="2"/>
  <c r="H329" i="2"/>
  <c r="K323" i="2"/>
  <c r="I106" i="2"/>
  <c r="K979" i="2"/>
  <c r="J979" i="2"/>
  <c r="H979" i="2" s="1"/>
  <c r="K828" i="2"/>
  <c r="K606" i="2"/>
  <c r="I982" i="2"/>
  <c r="K18" i="2"/>
  <c r="K445" i="2"/>
  <c r="K277" i="2"/>
  <c r="J445" i="2"/>
  <c r="H445" i="2" s="1"/>
  <c r="I380" i="2"/>
  <c r="K380" i="2"/>
  <c r="J878" i="2"/>
  <c r="H878" i="2" s="1"/>
  <c r="I24" i="2"/>
  <c r="J18" i="2"/>
  <c r="H18" i="2" s="1"/>
  <c r="K770" i="2"/>
  <c r="I601" i="2"/>
  <c r="I9" i="2"/>
  <c r="J535" i="2"/>
  <c r="H535" i="2" s="1"/>
  <c r="J606" i="2"/>
  <c r="H606" i="2" s="1"/>
  <c r="I289" i="2"/>
  <c r="J175" i="2"/>
  <c r="H175" i="2" s="1"/>
  <c r="K289" i="2"/>
  <c r="H226" i="2"/>
  <c r="I11" i="2"/>
  <c r="J23" i="2"/>
  <c r="H23" i="2" s="1"/>
  <c r="K223" i="2"/>
  <c r="J151" i="2"/>
  <c r="H151" i="2" s="1"/>
  <c r="J996" i="2"/>
  <c r="H996" i="2" s="1"/>
  <c r="K200" i="2"/>
  <c r="I130" i="2"/>
  <c r="I971" i="2"/>
  <c r="J971" i="2"/>
  <c r="H971" i="2" s="1"/>
  <c r="I819" i="2"/>
  <c r="I797" i="2"/>
  <c r="K797" i="2"/>
  <c r="I423" i="2"/>
  <c r="K819" i="2"/>
  <c r="H218" i="2"/>
  <c r="I596" i="2"/>
  <c r="K339" i="2"/>
  <c r="J193" i="2"/>
  <c r="H193" i="2" s="1"/>
  <c r="K106" i="2"/>
  <c r="J664" i="2"/>
  <c r="I193" i="2"/>
  <c r="I652" i="2"/>
  <c r="K982" i="2"/>
  <c r="I416" i="2"/>
  <c r="K785" i="2"/>
  <c r="I664" i="2"/>
  <c r="I785" i="2"/>
  <c r="I210" i="2"/>
  <c r="I824" i="2"/>
  <c r="I64" i="2"/>
  <c r="I86" i="2"/>
  <c r="J843" i="2"/>
  <c r="H843" i="2" s="1"/>
  <c r="K682" i="2"/>
  <c r="I952" i="2"/>
  <c r="K583" i="2"/>
  <c r="J583" i="2"/>
  <c r="H583" i="2" s="1"/>
  <c r="K203" i="2"/>
  <c r="K197" i="2"/>
  <c r="J558" i="2"/>
  <c r="H558" i="2" s="1"/>
  <c r="J96" i="2"/>
  <c r="H96" i="2" s="1"/>
  <c r="I779" i="2"/>
  <c r="J623" i="2"/>
  <c r="H623" i="2" s="1"/>
  <c r="J489" i="2"/>
  <c r="H489" i="2" s="1"/>
  <c r="J276" i="2"/>
  <c r="H276" i="2" s="1"/>
  <c r="J778" i="2"/>
  <c r="H778" i="2" s="1"/>
  <c r="J779" i="2"/>
  <c r="H779" i="2" s="1"/>
  <c r="I364" i="2"/>
  <c r="K778" i="2"/>
  <c r="K364" i="2"/>
  <c r="K832" i="2"/>
  <c r="K418" i="2"/>
  <c r="J844" i="2"/>
  <c r="H844" i="2" s="1"/>
  <c r="J418" i="2"/>
  <c r="H418" i="2" s="1"/>
  <c r="J382" i="2"/>
  <c r="H382" i="2" s="1"/>
  <c r="I314" i="2"/>
  <c r="K382" i="2"/>
  <c r="K216" i="2"/>
  <c r="J416" i="2"/>
  <c r="K436" i="2" s="1"/>
  <c r="I226" i="2"/>
  <c r="K303" i="2"/>
  <c r="I653" i="2"/>
  <c r="H157" i="2"/>
  <c r="I264" i="2"/>
  <c r="J306" i="2"/>
  <c r="K311" i="2" s="1"/>
  <c r="K276" i="2"/>
  <c r="J877" i="2"/>
  <c r="H877" i="2" s="1"/>
  <c r="I218" i="2"/>
  <c r="J200" i="2"/>
  <c r="H200" i="2" s="1"/>
  <c r="J509" i="2"/>
  <c r="H509" i="2" s="1"/>
  <c r="K509" i="2"/>
  <c r="K478" i="2"/>
  <c r="J904" i="2"/>
  <c r="H904" i="2" s="1"/>
  <c r="K394" i="2"/>
  <c r="K854" i="2"/>
  <c r="K904" i="2"/>
  <c r="I764" i="2"/>
  <c r="I394" i="2"/>
  <c r="K262" i="2"/>
  <c r="J286" i="2"/>
  <c r="H286" i="2" s="1"/>
  <c r="J791" i="2"/>
  <c r="H791" i="2" s="1"/>
  <c r="I821" i="2"/>
  <c r="J824" i="2"/>
  <c r="H824" i="2" s="1"/>
  <c r="J130" i="2"/>
  <c r="H130" i="2" s="1"/>
  <c r="I634" i="2"/>
  <c r="K653" i="2"/>
  <c r="I623" i="2"/>
  <c r="K489" i="2"/>
  <c r="I770" i="2"/>
  <c r="J831" i="2"/>
  <c r="H831" i="2" s="1"/>
  <c r="K634" i="2"/>
  <c r="J866" i="2"/>
  <c r="H866" i="2" s="1"/>
  <c r="K144" i="2"/>
  <c r="K264" i="2"/>
  <c r="I303" i="2"/>
  <c r="J144" i="2"/>
  <c r="H144" i="2" s="1"/>
  <c r="J478" i="2"/>
  <c r="H478" i="2" s="1"/>
  <c r="K314" i="2"/>
  <c r="K505" i="2"/>
  <c r="K354" i="2"/>
  <c r="J753" i="2"/>
  <c r="H753" i="2" s="1"/>
  <c r="J918" i="2"/>
  <c r="H918" i="2" s="1"/>
  <c r="I617" i="2"/>
  <c r="J216" i="2"/>
  <c r="H216" i="2" s="1"/>
  <c r="I621" i="2"/>
  <c r="K831" i="2"/>
  <c r="J272" i="2"/>
  <c r="H272" i="2" s="1"/>
  <c r="I883" i="2"/>
  <c r="J77" i="2"/>
  <c r="I530" i="2"/>
  <c r="J617" i="2"/>
  <c r="I319" i="2"/>
  <c r="J952" i="2"/>
  <c r="H952" i="2" s="1"/>
  <c r="J965" i="2"/>
  <c r="H965" i="2" s="1"/>
  <c r="I791" i="2"/>
  <c r="I811" i="2"/>
  <c r="I744" i="2"/>
  <c r="K608" i="2"/>
  <c r="I317" i="2"/>
  <c r="K605" i="2"/>
  <c r="J424" i="2"/>
  <c r="H424" i="2" s="1"/>
  <c r="J105" i="2"/>
  <c r="H105" i="2" s="1"/>
  <c r="I14" i="2"/>
  <c r="I262" i="2"/>
  <c r="I878" i="2"/>
  <c r="J72" i="2"/>
  <c r="K77" i="2" s="1"/>
  <c r="K406" i="2"/>
  <c r="K151" i="2"/>
  <c r="J577" i="2"/>
  <c r="H577" i="2" s="1"/>
  <c r="I502" i="2"/>
  <c r="J516" i="2"/>
  <c r="H516" i="2" s="1"/>
  <c r="I320" i="2"/>
  <c r="I368" i="2"/>
  <c r="I967" i="2"/>
  <c r="J605" i="2"/>
  <c r="H605" i="2" s="1"/>
  <c r="J951" i="2"/>
  <c r="H951" i="2" s="1"/>
  <c r="I820" i="2"/>
  <c r="I663" i="2"/>
  <c r="I951" i="2"/>
  <c r="K62" i="2"/>
  <c r="J39" i="2"/>
  <c r="I250" i="2"/>
  <c r="K222" i="2"/>
  <c r="I420" i="2"/>
  <c r="I843" i="2"/>
  <c r="J406" i="2"/>
  <c r="H406" i="2" s="1"/>
  <c r="J40" i="2"/>
  <c r="H40" i="2" s="1"/>
  <c r="J854" i="2"/>
  <c r="H854" i="2" s="1"/>
  <c r="J14" i="2"/>
  <c r="H14" i="2" s="1"/>
  <c r="J63" i="2"/>
  <c r="H63" i="2" s="1"/>
  <c r="I204" i="2"/>
  <c r="K744" i="2"/>
  <c r="J608" i="2"/>
  <c r="H608" i="2" s="1"/>
  <c r="I424" i="2"/>
  <c r="K811" i="2"/>
  <c r="I328" i="2"/>
  <c r="I551" i="2"/>
  <c r="K286" i="2"/>
  <c r="I839" i="2"/>
  <c r="I305" i="2"/>
  <c r="J988" i="2"/>
  <c r="H988" i="2" s="1"/>
  <c r="I638" i="2"/>
  <c r="I516" i="2"/>
  <c r="K249" i="2"/>
  <c r="K328" i="2"/>
  <c r="I828" i="2"/>
  <c r="I105" i="2"/>
  <c r="J250" i="2"/>
  <c r="K567" i="2" s="1"/>
  <c r="J422" i="2"/>
  <c r="J222" i="2"/>
  <c r="H222" i="2" s="1"/>
  <c r="J420" i="2"/>
  <c r="H420" i="2" s="1"/>
  <c r="K40" i="2"/>
  <c r="J495" i="2"/>
  <c r="H495" i="2" s="1"/>
  <c r="I523" i="2"/>
  <c r="J703" i="2"/>
  <c r="H703" i="2" s="1"/>
  <c r="K206" i="2"/>
  <c r="J961" i="2"/>
  <c r="H961" i="2" s="1"/>
  <c r="I505" i="2"/>
  <c r="J207" i="2"/>
  <c r="K977" i="2"/>
  <c r="J62" i="2"/>
  <c r="H62" i="2" s="1"/>
  <c r="I354" i="2"/>
  <c r="K986" i="2"/>
  <c r="K869" i="2"/>
  <c r="J652" i="2"/>
  <c r="H652" i="2" s="1"/>
  <c r="J663" i="2"/>
  <c r="H663" i="2" s="1"/>
  <c r="J423" i="2"/>
  <c r="H423" i="2" s="1"/>
  <c r="I339" i="2"/>
  <c r="K988" i="2"/>
  <c r="K998" i="2"/>
  <c r="J682" i="2"/>
  <c r="H682" i="2" s="1"/>
  <c r="J277" i="2"/>
  <c r="H277" i="2" s="1"/>
  <c r="I91" i="2"/>
  <c r="J91" i="2"/>
  <c r="K93" i="2" s="1"/>
  <c r="G93" i="2" s="1"/>
  <c r="I415" i="2"/>
  <c r="K422" i="2"/>
  <c r="K825" i="2"/>
  <c r="I832" i="2"/>
  <c r="I495" i="2"/>
  <c r="I272" i="2"/>
  <c r="I703" i="2"/>
  <c r="J638" i="2"/>
  <c r="K656" i="2" s="1"/>
  <c r="I567" i="2"/>
  <c r="K210" i="2"/>
  <c r="J397" i="2"/>
  <c r="H397" i="2" s="1"/>
  <c r="K415" i="2"/>
  <c r="J820" i="2"/>
  <c r="J204" i="2"/>
  <c r="H204" i="2" s="1"/>
  <c r="K984" i="2"/>
  <c r="K320" i="2"/>
  <c r="K648" i="2"/>
  <c r="K883" i="2"/>
  <c r="J991" i="2"/>
  <c r="H991" i="2" s="1"/>
  <c r="K750" i="2"/>
  <c r="I775" i="2"/>
  <c r="K157" i="2"/>
  <c r="J164" i="2"/>
  <c r="H164" i="2" s="1"/>
  <c r="J941" i="2"/>
  <c r="K378" i="2"/>
  <c r="I378" i="2"/>
  <c r="K621" i="2"/>
  <c r="I679" i="2"/>
  <c r="K278" i="2"/>
  <c r="K775" i="2"/>
  <c r="K244" i="2"/>
  <c r="I866" i="2"/>
  <c r="K595" i="2"/>
  <c r="J317" i="2"/>
  <c r="H317" i="2" s="1"/>
  <c r="I776" i="2"/>
  <c r="J326" i="2"/>
  <c r="K391" i="2" s="1"/>
  <c r="I462" i="2"/>
  <c r="J488" i="2"/>
  <c r="H488" i="2" s="1"/>
  <c r="I308" i="2"/>
  <c r="I343" i="2"/>
  <c r="I946" i="2"/>
  <c r="J502" i="2"/>
  <c r="K601" i="2" s="1"/>
  <c r="J956" i="2"/>
  <c r="H956" i="2" s="1"/>
  <c r="K747" i="2"/>
  <c r="I427" i="2"/>
  <c r="K308" i="2"/>
  <c r="J249" i="2"/>
  <c r="H249" i="2" s="1"/>
  <c r="J305" i="2"/>
  <c r="H305" i="2" s="1"/>
  <c r="I371" i="2"/>
  <c r="K398" i="2"/>
  <c r="K776" i="2"/>
  <c r="I767" i="2"/>
  <c r="J582" i="2"/>
  <c r="H582" i="2" s="1"/>
  <c r="I750" i="2"/>
  <c r="K641" i="2"/>
  <c r="K622" i="2"/>
  <c r="K512" i="2"/>
  <c r="J300" i="2"/>
  <c r="H300" i="2" s="1"/>
  <c r="I753" i="2"/>
  <c r="J764" i="2"/>
  <c r="I363" i="2"/>
  <c r="I207" i="2"/>
  <c r="I747" i="2"/>
  <c r="J767" i="2"/>
  <c r="K300" i="2"/>
  <c r="K541" i="2"/>
  <c r="J541" i="2"/>
  <c r="H541" i="2" s="1"/>
  <c r="J232" i="2"/>
  <c r="H232" i="2" s="1"/>
  <c r="K232" i="2"/>
  <c r="I232" i="2"/>
  <c r="I446" i="2"/>
  <c r="J446" i="2"/>
  <c r="K487" i="2" s="1"/>
  <c r="K740" i="2"/>
  <c r="I740" i="2"/>
  <c r="J740" i="2"/>
  <c r="H740" i="2" s="1"/>
  <c r="J183" i="2"/>
  <c r="K306" i="2" s="1"/>
  <c r="K183" i="2"/>
  <c r="I183" i="2"/>
  <c r="I362" i="2"/>
  <c r="J362" i="2"/>
  <c r="K368" i="2" s="1"/>
  <c r="I32" i="2"/>
  <c r="K32" i="2"/>
  <c r="J32" i="2"/>
  <c r="H32" i="2" s="1"/>
  <c r="K717" i="2"/>
  <c r="I717" i="2"/>
  <c r="J717" i="2"/>
  <c r="H717" i="2" s="1"/>
  <c r="K668" i="2"/>
  <c r="J668" i="2"/>
  <c r="H668" i="2" s="1"/>
  <c r="I668" i="2"/>
  <c r="I217" i="2"/>
  <c r="K217" i="2"/>
  <c r="J217" i="2"/>
  <c r="H217" i="2" s="1"/>
  <c r="J995" i="2"/>
  <c r="H995" i="2" s="1"/>
  <c r="K995" i="2"/>
  <c r="I995" i="2"/>
  <c r="K666" i="2"/>
  <c r="J666" i="2"/>
  <c r="H666" i="2" s="1"/>
  <c r="I666" i="2"/>
  <c r="K992" i="2"/>
  <c r="J992" i="2"/>
  <c r="H992" i="2" s="1"/>
  <c r="I992" i="2"/>
  <c r="I660" i="2"/>
  <c r="K660" i="2"/>
  <c r="J660" i="2"/>
  <c r="H660" i="2" s="1"/>
  <c r="K33" i="2"/>
  <c r="I33" i="2"/>
  <c r="J33" i="2"/>
  <c r="H33" i="2" s="1"/>
  <c r="K741" i="2"/>
  <c r="J741" i="2"/>
  <c r="H741" i="2" s="1"/>
  <c r="I741" i="2"/>
  <c r="I541" i="2"/>
  <c r="J679" i="2"/>
  <c r="H679" i="2" s="1"/>
  <c r="J64" i="2"/>
  <c r="H64" i="2" s="1"/>
  <c r="I179" i="2"/>
  <c r="J857" i="2"/>
  <c r="H857" i="2" s="1"/>
  <c r="I622" i="2"/>
  <c r="J522" i="2"/>
  <c r="H522" i="2" s="1"/>
  <c r="K11" i="2"/>
  <c r="J188" i="2"/>
  <c r="H188" i="2" s="1"/>
  <c r="J371" i="2"/>
  <c r="I688" i="2"/>
  <c r="K579" i="2"/>
  <c r="I726" i="2"/>
  <c r="J42" i="2"/>
  <c r="H42" i="2" s="1"/>
  <c r="J512" i="2"/>
  <c r="J518" i="2"/>
  <c r="K571" i="2" s="1"/>
  <c r="J360" i="2"/>
  <c r="H360" i="2" s="1"/>
  <c r="K688" i="2"/>
  <c r="J462" i="2"/>
  <c r="H462" i="2" s="1"/>
  <c r="I491" i="2"/>
  <c r="J293" i="2"/>
  <c r="H293" i="2" s="1"/>
  <c r="I227" i="2"/>
  <c r="J363" i="2"/>
  <c r="K230" i="2"/>
  <c r="I963" i="2"/>
  <c r="J984" i="2"/>
  <c r="H984" i="2" s="1"/>
  <c r="K996" i="2"/>
  <c r="I897" i="2"/>
  <c r="K752" i="2"/>
  <c r="J858" i="2"/>
  <c r="K551" i="2"/>
  <c r="I240" i="2"/>
  <c r="I367" i="2"/>
  <c r="K393" i="2"/>
  <c r="J344" i="2"/>
  <c r="H344" i="2" s="1"/>
  <c r="J258" i="2"/>
  <c r="K261" i="2" s="1"/>
  <c r="G261" i="2" s="1"/>
  <c r="I20" i="2"/>
  <c r="I109" i="2"/>
  <c r="J427" i="2"/>
  <c r="I918" i="2"/>
  <c r="J592" i="2"/>
  <c r="H592" i="2" s="1"/>
  <c r="J70" i="2"/>
  <c r="H70" i="2" s="1"/>
  <c r="J230" i="2"/>
  <c r="H230" i="2" s="1"/>
  <c r="I174" i="2"/>
  <c r="I47" i="2"/>
  <c r="I554" i="2"/>
  <c r="I238" i="2"/>
  <c r="J665" i="2"/>
  <c r="H665" i="2" s="1"/>
  <c r="J343" i="2"/>
  <c r="H343" i="2" s="1"/>
  <c r="I977" i="2"/>
  <c r="J481" i="2"/>
  <c r="K518" i="2" s="1"/>
  <c r="J967" i="2"/>
  <c r="H967" i="2" s="1"/>
  <c r="K844" i="2"/>
  <c r="J637" i="2"/>
  <c r="H637" i="2" s="1"/>
  <c r="I236" i="2"/>
  <c r="K23" i="2"/>
  <c r="K179" i="2"/>
  <c r="K389" i="2"/>
  <c r="I488" i="2"/>
  <c r="K522" i="2"/>
  <c r="I34" i="2"/>
  <c r="J389" i="2"/>
  <c r="H389" i="2" s="1"/>
  <c r="J34" i="2"/>
  <c r="H34" i="2" s="1"/>
  <c r="K164" i="2"/>
  <c r="I278" i="2"/>
  <c r="K360" i="2"/>
  <c r="I481" i="2"/>
  <c r="J51" i="2"/>
  <c r="H51" i="2" s="1"/>
  <c r="K963" i="2"/>
  <c r="K319" i="2"/>
  <c r="I344" i="2"/>
  <c r="K592" i="2"/>
  <c r="I944" i="2"/>
  <c r="K491" i="2"/>
  <c r="K941" i="2"/>
  <c r="J897" i="2"/>
  <c r="H897" i="2" s="1"/>
  <c r="I393" i="2"/>
  <c r="I42" i="2"/>
  <c r="J134" i="2"/>
  <c r="I648" i="2"/>
  <c r="J530" i="2"/>
  <c r="H530" i="2" s="1"/>
  <c r="J174" i="2"/>
  <c r="H174" i="2" s="1"/>
  <c r="J523" i="2"/>
  <c r="H523" i="2" s="1"/>
  <c r="I274" i="2"/>
  <c r="I206" i="2"/>
  <c r="J950" i="2"/>
  <c r="H950" i="2" s="1"/>
  <c r="I991" i="2"/>
  <c r="I825" i="2"/>
  <c r="I986" i="2"/>
  <c r="J834" i="2"/>
  <c r="K931" i="2" s="1"/>
  <c r="I869" i="2"/>
  <c r="K240" i="2"/>
  <c r="J227" i="2"/>
  <c r="H227" i="2" s="1"/>
  <c r="I579" i="2"/>
  <c r="I244" i="2"/>
  <c r="I125" i="2"/>
  <c r="K47" i="2"/>
  <c r="J554" i="2"/>
  <c r="H554" i="2" s="1"/>
  <c r="I577" i="2"/>
  <c r="I961" i="2"/>
  <c r="I877" i="2"/>
  <c r="K839" i="2"/>
  <c r="I582" i="2"/>
  <c r="I188" i="2"/>
  <c r="J641" i="2"/>
  <c r="H641" i="2" s="1"/>
  <c r="J946" i="2"/>
  <c r="H946" i="2" s="1"/>
  <c r="K51" i="2"/>
  <c r="K857" i="2"/>
  <c r="I637" i="2"/>
  <c r="J567" i="2"/>
  <c r="K692" i="2" s="1"/>
  <c r="K956" i="2"/>
  <c r="J726" i="2"/>
  <c r="H726" i="2" s="1"/>
  <c r="J274" i="2"/>
  <c r="H274" i="2" s="1"/>
  <c r="J752" i="2"/>
  <c r="H752" i="2" s="1"/>
  <c r="K950" i="2"/>
  <c r="I965" i="2"/>
  <c r="K834" i="2"/>
  <c r="J595" i="2"/>
  <c r="H595" i="2" s="1"/>
  <c r="I518" i="2"/>
  <c r="K293" i="2"/>
  <c r="K238" i="2"/>
  <c r="J367" i="2"/>
  <c r="H367" i="2" s="1"/>
  <c r="K397" i="2"/>
  <c r="I63" i="2"/>
  <c r="J556" i="2"/>
  <c r="H556" i="2" s="1"/>
  <c r="I556" i="2"/>
  <c r="I157" i="2"/>
  <c r="I998" i="2"/>
  <c r="K665" i="2"/>
  <c r="I251" i="2"/>
  <c r="J914" i="2"/>
  <c r="H914" i="2" s="1"/>
  <c r="J758" i="2"/>
  <c r="J251" i="2"/>
  <c r="H251" i="2" s="1"/>
  <c r="K72" i="2"/>
  <c r="J871" i="2"/>
  <c r="H871" i="2" s="1"/>
  <c r="J928" i="2"/>
  <c r="H928" i="2" s="1"/>
  <c r="J589" i="2"/>
  <c r="H589" i="2" s="1"/>
  <c r="K399" i="2"/>
  <c r="J412" i="2"/>
  <c r="J880" i="2"/>
  <c r="H880" i="2" s="1"/>
  <c r="I914" i="2"/>
  <c r="K408" i="2"/>
  <c r="K871" i="2"/>
  <c r="J696" i="2"/>
  <c r="J399" i="2"/>
  <c r="H399" i="2" s="1"/>
  <c r="K689" i="2"/>
  <c r="I408" i="2"/>
  <c r="J137" i="2"/>
  <c r="H137" i="2" s="1"/>
  <c r="J473" i="2"/>
  <c r="H473" i="2" s="1"/>
  <c r="J267" i="2"/>
  <c r="H267" i="2" s="1"/>
  <c r="J321" i="2"/>
  <c r="H321" i="2" s="1"/>
  <c r="J885" i="2"/>
  <c r="H885" i="2" s="1"/>
  <c r="K885" i="2"/>
  <c r="J241" i="2"/>
  <c r="K413" i="2"/>
  <c r="K715" i="2"/>
  <c r="J372" i="2"/>
  <c r="H372" i="2" s="1"/>
  <c r="J390" i="2"/>
  <c r="H390" i="2" s="1"/>
  <c r="K802" i="2"/>
  <c r="J212" i="2"/>
  <c r="H212" i="2" s="1"/>
  <c r="I859" i="2"/>
  <c r="J74" i="2"/>
  <c r="H74" i="2" s="1"/>
  <c r="J124" i="2"/>
  <c r="H124" i="2" s="1"/>
  <c r="J309" i="2"/>
  <c r="H309" i="2" s="1"/>
  <c r="I390" i="2"/>
  <c r="J547" i="2"/>
  <c r="H547" i="2" s="1"/>
  <c r="J333" i="2"/>
  <c r="K376" i="2" s="1"/>
  <c r="K124" i="2"/>
  <c r="K39" i="2"/>
  <c r="J728" i="2"/>
  <c r="I334" i="2"/>
  <c r="J438" i="2"/>
  <c r="H438" i="2" s="1"/>
  <c r="J97" i="2"/>
  <c r="K74" i="2"/>
  <c r="J315" i="2"/>
  <c r="I553" i="2"/>
  <c r="K940" i="2"/>
  <c r="K705" i="2"/>
  <c r="I940" i="2"/>
  <c r="I372" i="2"/>
  <c r="I137" i="2"/>
  <c r="J398" i="2"/>
  <c r="H398" i="2" s="1"/>
  <c r="J640" i="2"/>
  <c r="H640" i="2" s="1"/>
  <c r="J933" i="2"/>
  <c r="H933" i="2" s="1"/>
  <c r="J815" i="2"/>
  <c r="H815" i="2" s="1"/>
  <c r="J482" i="2"/>
  <c r="H482" i="2" s="1"/>
  <c r="K166" i="2"/>
  <c r="I239" i="2"/>
  <c r="K97" i="2"/>
  <c r="I412" i="2"/>
  <c r="I209" i="2"/>
  <c r="K241" i="2"/>
  <c r="I738" i="2"/>
  <c r="J411" i="2"/>
  <c r="H411" i="2" s="1"/>
  <c r="J355" i="2"/>
  <c r="H355" i="2" s="1"/>
  <c r="I692" i="2"/>
  <c r="J369" i="2"/>
  <c r="H369" i="2" s="1"/>
  <c r="K411" i="2"/>
  <c r="K738" i="2"/>
  <c r="I999" i="2"/>
  <c r="K642" i="2"/>
  <c r="J73" i="2"/>
  <c r="H73" i="2" s="1"/>
  <c r="J863" i="2"/>
  <c r="H863" i="2" s="1"/>
  <c r="I121" i="2"/>
  <c r="J231" i="2"/>
  <c r="K326" i="2" s="1"/>
  <c r="I482" i="2"/>
  <c r="J166" i="2"/>
  <c r="H166" i="2" s="1"/>
  <c r="I585" i="2"/>
  <c r="I225" i="2"/>
  <c r="I659" i="2"/>
  <c r="K640" i="2"/>
  <c r="K407" i="2"/>
  <c r="J684" i="2"/>
  <c r="K697" i="2" s="1"/>
  <c r="I599" i="2"/>
  <c r="I565" i="2"/>
  <c r="I643" i="2"/>
  <c r="J599" i="2"/>
  <c r="H599" i="2" s="1"/>
  <c r="J565" i="2"/>
  <c r="I581" i="2"/>
  <c r="J553" i="2"/>
  <c r="H553" i="2" s="1"/>
  <c r="J436" i="2"/>
  <c r="K446" i="2" s="1"/>
  <c r="J225" i="2"/>
  <c r="K438" i="2"/>
  <c r="J886" i="2"/>
  <c r="H886" i="2" s="1"/>
  <c r="I667" i="2"/>
  <c r="I431" i="2"/>
  <c r="K348" i="2"/>
  <c r="I719" i="2"/>
  <c r="I589" i="2"/>
  <c r="I323" i="2"/>
  <c r="K473" i="2"/>
  <c r="K170" i="2"/>
  <c r="I557" i="2"/>
  <c r="J209" i="2"/>
  <c r="K250" i="2" s="1"/>
  <c r="K73" i="2"/>
  <c r="K369" i="2"/>
  <c r="J430" i="2"/>
  <c r="K467" i="2" s="1"/>
  <c r="I59" i="2"/>
  <c r="I273" i="2"/>
  <c r="K886" i="2"/>
  <c r="K41" i="2"/>
  <c r="I830" i="2"/>
  <c r="J498" i="2"/>
  <c r="H498" i="2" s="1"/>
  <c r="K547" i="2"/>
  <c r="K395" i="2"/>
  <c r="I845" i="2"/>
  <c r="J876" i="2"/>
  <c r="K884" i="2" s="1"/>
  <c r="I802" i="2"/>
  <c r="K657" i="2"/>
  <c r="K581" i="2"/>
  <c r="J534" i="2"/>
  <c r="H534" i="2" s="1"/>
  <c r="K602" i="2"/>
  <c r="I301" i="2"/>
  <c r="I402" i="2"/>
  <c r="I430" i="2"/>
  <c r="J557" i="2"/>
  <c r="H557" i="2" s="1"/>
  <c r="I498" i="2"/>
  <c r="I602" i="2"/>
  <c r="J121" i="2"/>
  <c r="H121" i="2" s="1"/>
  <c r="I309" i="2"/>
  <c r="J845" i="2"/>
  <c r="K870" i="2" s="1"/>
  <c r="G870" i="2" s="1"/>
  <c r="J999" i="2"/>
  <c r="H999" i="2" s="1"/>
  <c r="I642" i="2"/>
  <c r="K534" i="2"/>
  <c r="I533" i="2"/>
  <c r="I313" i="2"/>
  <c r="K267" i="2"/>
  <c r="J239" i="2"/>
  <c r="J384" i="2"/>
  <c r="H384" i="2" s="1"/>
  <c r="I705" i="2"/>
  <c r="J830" i="2"/>
  <c r="I555" i="2"/>
  <c r="K603" i="2"/>
  <c r="K953" i="2"/>
  <c r="I329" i="2"/>
  <c r="I630" i="2"/>
  <c r="J515" i="2"/>
  <c r="H515" i="2" s="1"/>
  <c r="K515" i="2"/>
  <c r="J533" i="2"/>
  <c r="H533" i="2" s="1"/>
  <c r="K181" i="2"/>
  <c r="K353" i="2"/>
  <c r="K384" i="2"/>
  <c r="K542" i="2"/>
  <c r="J542" i="2"/>
  <c r="J783" i="2"/>
  <c r="H783" i="2" s="1"/>
  <c r="I783" i="2"/>
  <c r="K783" i="2"/>
  <c r="K874" i="2"/>
  <c r="J874" i="2"/>
  <c r="H874" i="2" s="1"/>
  <c r="I689" i="2"/>
  <c r="K186" i="2"/>
  <c r="J186" i="2"/>
  <c r="H186" i="2" s="1"/>
  <c r="I186" i="2"/>
  <c r="K890" i="2"/>
  <c r="J890" i="2"/>
  <c r="H890" i="2" s="1"/>
  <c r="I890" i="2"/>
  <c r="J327" i="2"/>
  <c r="H327" i="2" s="1"/>
  <c r="K327" i="2"/>
  <c r="I327" i="2"/>
  <c r="J906" i="2"/>
  <c r="H906" i="2" s="1"/>
  <c r="K906" i="2"/>
  <c r="K456" i="2"/>
  <c r="I456" i="2"/>
  <c r="J456" i="2"/>
  <c r="H456" i="2" s="1"/>
  <c r="K65" i="2"/>
  <c r="I943" i="2"/>
  <c r="K943" i="2"/>
  <c r="K796" i="2"/>
  <c r="I796" i="2"/>
  <c r="J796" i="2"/>
  <c r="H796" i="2" s="1"/>
  <c r="J722" i="2"/>
  <c r="H722" i="2" s="1"/>
  <c r="I722" i="2"/>
  <c r="J976" i="2"/>
  <c r="H976" i="2" s="1"/>
  <c r="K126" i="2"/>
  <c r="J126" i="2"/>
  <c r="H126" i="2" s="1"/>
  <c r="K98" i="2"/>
  <c r="I98" i="2"/>
  <c r="J780" i="2"/>
  <c r="H780" i="2" s="1"/>
  <c r="K780" i="2"/>
  <c r="I867" i="2"/>
  <c r="K867" i="2"/>
  <c r="I647" i="2"/>
  <c r="J647" i="2"/>
  <c r="H647" i="2" s="1"/>
  <c r="K647" i="2"/>
  <c r="I453" i="2"/>
  <c r="K453" i="2"/>
  <c r="I542" i="2"/>
  <c r="I140" i="2"/>
  <c r="J140" i="2"/>
  <c r="I981" i="2"/>
  <c r="K981" i="2"/>
  <c r="I874" i="2"/>
  <c r="K826" i="2"/>
  <c r="K851" i="2"/>
  <c r="I851" i="2"/>
  <c r="J851" i="2"/>
  <c r="H851" i="2" s="1"/>
  <c r="I835" i="2"/>
  <c r="J835" i="2"/>
  <c r="H835" i="2" s="1"/>
  <c r="K80" i="2"/>
  <c r="I80" i="2"/>
  <c r="I281" i="2"/>
  <c r="J281" i="2"/>
  <c r="J35" i="2"/>
  <c r="H35" i="2" s="1"/>
  <c r="I35" i="2"/>
  <c r="K35" i="2"/>
  <c r="I780" i="2"/>
  <c r="I906" i="2"/>
  <c r="J911" i="2"/>
  <c r="H911" i="2" s="1"/>
  <c r="I911" i="2"/>
  <c r="K911" i="2"/>
  <c r="I65" i="2"/>
  <c r="J943" i="2"/>
  <c r="H943" i="2" s="1"/>
  <c r="J981" i="2"/>
  <c r="H981" i="2" s="1"/>
  <c r="K880" i="2"/>
  <c r="I826" i="2"/>
  <c r="I734" i="2"/>
  <c r="K734" i="2"/>
  <c r="I531" i="2"/>
  <c r="K531" i="2"/>
  <c r="K807" i="2"/>
  <c r="I807" i="2"/>
  <c r="J373" i="2"/>
  <c r="I373" i="2"/>
  <c r="I449" i="2"/>
  <c r="K338" i="2"/>
  <c r="J338" i="2"/>
  <c r="H338" i="2" s="1"/>
  <c r="K862" i="2"/>
  <c r="J862" i="2"/>
  <c r="H862" i="2" s="1"/>
  <c r="K670" i="2"/>
  <c r="I670" i="2"/>
  <c r="J611" i="2"/>
  <c r="H611" i="2" s="1"/>
  <c r="I611" i="2"/>
  <c r="K611" i="2"/>
  <c r="K295" i="2"/>
  <c r="J295" i="2"/>
  <c r="H295" i="2" s="1"/>
  <c r="I295" i="2"/>
  <c r="I997" i="2"/>
  <c r="K997" i="2"/>
  <c r="J997" i="2"/>
  <c r="H997" i="2" s="1"/>
  <c r="J529" i="2"/>
  <c r="H529" i="2" s="1"/>
  <c r="K529" i="2"/>
  <c r="I529" i="2"/>
  <c r="I976" i="2"/>
  <c r="I359" i="2"/>
  <c r="J953" i="2"/>
  <c r="H953" i="2" s="1"/>
  <c r="J746" i="2"/>
  <c r="K784" i="2" s="1"/>
  <c r="I746" i="2"/>
  <c r="K340" i="2"/>
  <c r="J340" i="2"/>
  <c r="H340" i="2" s="1"/>
  <c r="I560" i="2"/>
  <c r="J560" i="2"/>
  <c r="H560" i="2" s="1"/>
  <c r="K927" i="2"/>
  <c r="J763" i="2"/>
  <c r="H763" i="2" s="1"/>
  <c r="I815" i="2"/>
  <c r="I772" i="2"/>
  <c r="K763" i="2"/>
  <c r="J506" i="2"/>
  <c r="H506" i="2" s="1"/>
  <c r="J313" i="2"/>
  <c r="H313" i="2" s="1"/>
  <c r="J590" i="2"/>
  <c r="J450" i="2"/>
  <c r="K803" i="2"/>
  <c r="I710" i="2"/>
  <c r="K772" i="2"/>
  <c r="I654" i="2"/>
  <c r="K506" i="2"/>
  <c r="K429" i="2"/>
  <c r="I348" i="2"/>
  <c r="K651" i="2"/>
  <c r="K590" i="2"/>
  <c r="J154" i="2"/>
  <c r="H154" i="2" s="1"/>
  <c r="K417" i="2"/>
  <c r="I215" i="2"/>
  <c r="J524" i="2"/>
  <c r="I492" i="2"/>
  <c r="J687" i="2"/>
  <c r="H687" i="2" s="1"/>
  <c r="J955" i="2"/>
  <c r="H955" i="2" s="1"/>
  <c r="K245" i="2"/>
  <c r="J215" i="2"/>
  <c r="H215" i="2" s="1"/>
  <c r="J803" i="2"/>
  <c r="H803" i="2" s="1"/>
  <c r="K706" i="2"/>
  <c r="I154" i="2"/>
  <c r="K414" i="2"/>
  <c r="I994" i="2"/>
  <c r="I737" i="2"/>
  <c r="J20" i="2"/>
  <c r="H20" i="2" s="1"/>
  <c r="I459" i="2"/>
  <c r="I978" i="2"/>
  <c r="K431" i="2"/>
  <c r="K301" i="2"/>
  <c r="J402" i="2"/>
  <c r="H402" i="2" s="1"/>
  <c r="K898" i="2"/>
  <c r="K273" i="2"/>
  <c r="J936" i="2"/>
  <c r="I794" i="2"/>
  <c r="J927" i="2"/>
  <c r="H927" i="2" s="1"/>
  <c r="J683" i="2"/>
  <c r="H683" i="2" s="1"/>
  <c r="I687" i="2"/>
  <c r="J492" i="2"/>
  <c r="H492" i="2" s="1"/>
  <c r="K683" i="2"/>
  <c r="I450" i="2"/>
  <c r="I107" i="2"/>
  <c r="J701" i="2"/>
  <c r="H701" i="2" s="1"/>
  <c r="I933" i="2"/>
  <c r="I413" i="2"/>
  <c r="I429" i="2"/>
  <c r="I237" i="2"/>
  <c r="I898" i="2"/>
  <c r="J245" i="2"/>
  <c r="H245" i="2" s="1"/>
  <c r="I524" i="2"/>
  <c r="J813" i="2"/>
  <c r="H813" i="2" s="1"/>
  <c r="J654" i="2"/>
  <c r="H654" i="2" s="1"/>
  <c r="J657" i="2"/>
  <c r="H657" i="2" s="1"/>
  <c r="K882" i="2"/>
  <c r="J842" i="2"/>
  <c r="K876" i="2" s="1"/>
  <c r="J910" i="2"/>
  <c r="I813" i="2"/>
  <c r="J737" i="2"/>
  <c r="H737" i="2" s="1"/>
  <c r="J978" i="2"/>
  <c r="H978" i="2" s="1"/>
  <c r="I838" i="2"/>
  <c r="K910" i="2"/>
  <c r="J667" i="2"/>
  <c r="H667" i="2" s="1"/>
  <c r="K643" i="2"/>
  <c r="J184" i="2"/>
  <c r="H184" i="2" s="1"/>
  <c r="K555" i="2"/>
  <c r="K59" i="2"/>
  <c r="I395" i="2"/>
  <c r="J603" i="2"/>
  <c r="K617" i="2" s="1"/>
  <c r="I969" i="2"/>
  <c r="J969" i="2"/>
  <c r="H969" i="2" s="1"/>
  <c r="I817" i="2"/>
  <c r="K331" i="2"/>
  <c r="J331" i="2"/>
  <c r="H331" i="2" s="1"/>
  <c r="J790" i="2"/>
  <c r="K812" i="2" s="1"/>
  <c r="J817" i="2"/>
  <c r="H817" i="2" s="1"/>
  <c r="J873" i="2"/>
  <c r="H873" i="2" s="1"/>
  <c r="K455" i="2"/>
  <c r="I455" i="2"/>
  <c r="J428" i="2"/>
  <c r="H428" i="2" s="1"/>
  <c r="I428" i="2"/>
  <c r="K428" i="2"/>
  <c r="I333" i="2"/>
  <c r="I836" i="2"/>
  <c r="J836" i="2"/>
  <c r="H836" i="2" s="1"/>
  <c r="J48" i="2"/>
  <c r="H48" i="2" s="1"/>
  <c r="K48" i="2"/>
  <c r="I757" i="2"/>
  <c r="K757" i="2"/>
  <c r="J757" i="2"/>
  <c r="H757" i="2" s="1"/>
  <c r="J699" i="2"/>
  <c r="H699" i="2" s="1"/>
  <c r="K699" i="2"/>
  <c r="K271" i="2"/>
  <c r="J271" i="2"/>
  <c r="H271" i="2" s="1"/>
  <c r="J931" i="2"/>
  <c r="I931" i="2"/>
  <c r="K771" i="2"/>
  <c r="I771" i="2"/>
  <c r="I903" i="2"/>
  <c r="J809" i="2"/>
  <c r="K842" i="2" s="1"/>
  <c r="K425" i="2"/>
  <c r="I425" i="2"/>
  <c r="J425" i="2"/>
  <c r="J765" i="2"/>
  <c r="H765" i="2" s="1"/>
  <c r="J588" i="2"/>
  <c r="I588" i="2"/>
  <c r="J441" i="2"/>
  <c r="H441" i="2" s="1"/>
  <c r="I441" i="2"/>
  <c r="K366" i="2"/>
  <c r="I366" i="2"/>
  <c r="J631" i="2"/>
  <c r="H631" i="2" s="1"/>
  <c r="K631" i="2"/>
  <c r="K645" i="2"/>
  <c r="I624" i="2"/>
  <c r="K562" i="2"/>
  <c r="K221" i="2"/>
  <c r="I138" i="2"/>
  <c r="K138" i="2"/>
  <c r="I44" i="2"/>
  <c r="J9" i="2"/>
  <c r="H9" i="2" s="1"/>
  <c r="J69" i="2"/>
  <c r="H69" i="2" s="1"/>
  <c r="J477" i="2"/>
  <c r="H477" i="2" s="1"/>
  <c r="K477" i="2"/>
  <c r="I600" i="2"/>
  <c r="K600" i="2"/>
  <c r="K873" i="2"/>
  <c r="K148" i="2"/>
  <c r="I148" i="2"/>
  <c r="J148" i="2"/>
  <c r="H148" i="2" s="1"/>
  <c r="J786" i="2"/>
  <c r="H786" i="2" s="1"/>
  <c r="K786" i="2"/>
  <c r="J598" i="2"/>
  <c r="H598" i="2" s="1"/>
  <c r="I598" i="2"/>
  <c r="K598" i="2"/>
  <c r="I10" i="2"/>
  <c r="K10" i="2"/>
  <c r="J10" i="2"/>
  <c r="H10" i="2" s="1"/>
  <c r="K486" i="2"/>
  <c r="J486" i="2"/>
  <c r="H486" i="2" s="1"/>
  <c r="J872" i="2"/>
  <c r="I960" i="2"/>
  <c r="J960" i="2"/>
  <c r="K508" i="2"/>
  <c r="J508" i="2"/>
  <c r="H508" i="2" s="1"/>
  <c r="K758" i="2"/>
  <c r="I1000" i="2"/>
  <c r="K1000" i="2"/>
  <c r="K504" i="2"/>
  <c r="J504" i="2"/>
  <c r="H504" i="2" s="1"/>
  <c r="I504" i="2"/>
  <c r="J609" i="2"/>
  <c r="K659" i="2" s="1"/>
  <c r="I609" i="2"/>
  <c r="I699" i="2"/>
  <c r="K479" i="2"/>
  <c r="J479" i="2"/>
  <c r="H479" i="2" s="1"/>
  <c r="I479" i="2"/>
  <c r="J616" i="2"/>
  <c r="H616" i="2" s="1"/>
  <c r="I616" i="2"/>
  <c r="K539" i="2"/>
  <c r="J539" i="2"/>
  <c r="H539" i="2" s="1"/>
  <c r="I539" i="2"/>
  <c r="I631" i="2"/>
  <c r="I477" i="2"/>
  <c r="J437" i="2"/>
  <c r="H437" i="2" s="1"/>
  <c r="I437" i="2"/>
  <c r="K437" i="2"/>
  <c r="I894" i="2"/>
  <c r="K894" i="2"/>
  <c r="J85" i="2"/>
  <c r="H85" i="2" s="1"/>
  <c r="I85" i="2"/>
  <c r="I562" i="2"/>
  <c r="I650" i="2"/>
  <c r="J650" i="2"/>
  <c r="H650" i="2" s="1"/>
  <c r="K192" i="2"/>
  <c r="J192" i="2"/>
  <c r="H192" i="2" s="1"/>
  <c r="K189" i="2"/>
  <c r="J189" i="2"/>
  <c r="H189" i="2" s="1"/>
  <c r="J52" i="2"/>
  <c r="H52" i="2" s="1"/>
  <c r="K52" i="2"/>
  <c r="J221" i="2"/>
  <c r="H221" i="2" s="1"/>
  <c r="K586" i="2"/>
  <c r="J586" i="2"/>
  <c r="H586" i="2" s="1"/>
  <c r="I586" i="2"/>
  <c r="K519" i="2"/>
  <c r="I519" i="2"/>
  <c r="K345" i="2"/>
  <c r="J345" i="2"/>
  <c r="H345" i="2" s="1"/>
  <c r="I345" i="2"/>
  <c r="I829" i="2"/>
  <c r="K829" i="2"/>
  <c r="K907" i="2"/>
  <c r="I907" i="2"/>
  <c r="K675" i="2"/>
  <c r="J675" i="2"/>
  <c r="H675" i="2" s="1"/>
  <c r="I675" i="2"/>
  <c r="J853" i="2"/>
  <c r="H853" i="2" s="1"/>
  <c r="I853" i="2"/>
  <c r="I784" i="2"/>
  <c r="K912" i="2"/>
  <c r="I912" i="2"/>
  <c r="J912" i="2"/>
  <c r="H912" i="2" s="1"/>
  <c r="J893" i="2"/>
  <c r="H893" i="2" s="1"/>
  <c r="I893" i="2"/>
  <c r="K853" i="2"/>
  <c r="K5" i="2"/>
  <c r="J5" i="2"/>
  <c r="H5" i="2" s="1"/>
  <c r="I5" i="2"/>
  <c r="K968" i="2"/>
  <c r="J968" i="2"/>
  <c r="H968" i="2" s="1"/>
  <c r="I968" i="2"/>
  <c r="K604" i="2"/>
  <c r="I604" i="2"/>
  <c r="I618" i="2"/>
  <c r="K115" i="2"/>
  <c r="J115" i="2"/>
  <c r="J25" i="2"/>
  <c r="H25" i="2" s="1"/>
  <c r="I25" i="2"/>
  <c r="K475" i="2"/>
  <c r="J475" i="2"/>
  <c r="H475" i="2" s="1"/>
  <c r="I475" i="2"/>
  <c r="I187" i="2"/>
  <c r="J187" i="2"/>
  <c r="H187" i="2" s="1"/>
  <c r="K187" i="2"/>
  <c r="K872" i="2"/>
  <c r="K947" i="2"/>
  <c r="J947" i="2"/>
  <c r="I947" i="2"/>
  <c r="K902" i="2"/>
  <c r="I902" i="2"/>
  <c r="J500" i="2"/>
  <c r="H500" i="2" s="1"/>
  <c r="I500" i="2"/>
  <c r="K500" i="2"/>
  <c r="I508" i="2"/>
  <c r="I673" i="2"/>
  <c r="J673" i="2"/>
  <c r="H673" i="2" s="1"/>
  <c r="I69" i="2"/>
  <c r="J903" i="2"/>
  <c r="K836" i="2"/>
  <c r="J973" i="2"/>
  <c r="H973" i="2" s="1"/>
  <c r="K973" i="2"/>
  <c r="J604" i="2"/>
  <c r="H604" i="2" s="1"/>
  <c r="K552" i="2"/>
  <c r="J552" i="2"/>
  <c r="H552" i="2" s="1"/>
  <c r="K863" i="2"/>
  <c r="J629" i="2"/>
  <c r="K638" i="2" s="1"/>
  <c r="I629" i="2"/>
  <c r="J259" i="2"/>
  <c r="H259" i="2" s="1"/>
  <c r="K259" i="2"/>
  <c r="K782" i="2"/>
  <c r="I782" i="2"/>
  <c r="J782" i="2"/>
  <c r="H782" i="2" s="1"/>
  <c r="K624" i="2"/>
  <c r="K283" i="2"/>
  <c r="J283" i="2"/>
  <c r="H283" i="2" s="1"/>
  <c r="I283" i="2"/>
  <c r="I198" i="2"/>
  <c r="K85" i="2"/>
  <c r="K810" i="2"/>
  <c r="I185" i="2"/>
  <c r="J185" i="2"/>
  <c r="H185" i="2" s="1"/>
  <c r="K185" i="2"/>
  <c r="K29" i="2"/>
  <c r="I29" i="2"/>
  <c r="J22" i="2"/>
  <c r="H22" i="2" s="1"/>
  <c r="I22" i="2"/>
  <c r="J102" i="2"/>
  <c r="K109" i="2" s="1"/>
  <c r="J29" i="2"/>
  <c r="H29" i="2" s="1"/>
  <c r="I799" i="2"/>
  <c r="J799" i="2"/>
  <c r="H799" i="2" s="1"/>
  <c r="K799" i="2"/>
  <c r="I102" i="2"/>
  <c r="J444" i="2"/>
  <c r="H444" i="2" s="1"/>
  <c r="I444" i="2"/>
  <c r="K444" i="2"/>
  <c r="J829" i="2"/>
  <c r="H829" i="2" s="1"/>
  <c r="J919" i="2"/>
  <c r="H919" i="2" s="1"/>
  <c r="I131" i="2"/>
  <c r="J131" i="2"/>
  <c r="H131" i="2" s="1"/>
  <c r="I525" i="2"/>
  <c r="K852" i="2"/>
  <c r="J852" i="2"/>
  <c r="K936" i="2" s="1"/>
  <c r="K798" i="2"/>
  <c r="I798" i="2"/>
  <c r="J798" i="2"/>
  <c r="K386" i="2"/>
  <c r="J386" i="2"/>
  <c r="H386" i="2" s="1"/>
  <c r="I386" i="2"/>
  <c r="I127" i="2"/>
  <c r="J127" i="2"/>
  <c r="K134" i="2" s="1"/>
  <c r="K127" i="2"/>
  <c r="I331" i="2"/>
  <c r="I3" i="2"/>
  <c r="J3" i="2"/>
  <c r="H3" i="2" s="1"/>
  <c r="K673" i="2"/>
  <c r="J942" i="2"/>
  <c r="H942" i="2" s="1"/>
  <c r="I942" i="2"/>
  <c r="K864" i="2"/>
  <c r="J864" i="2"/>
  <c r="H864" i="2" s="1"/>
  <c r="I864" i="2"/>
  <c r="I862" i="2"/>
  <c r="I860" i="2"/>
  <c r="I905" i="2"/>
  <c r="K584" i="2"/>
  <c r="J584" i="2"/>
  <c r="H584" i="2" s="1"/>
  <c r="I584" i="2"/>
  <c r="K769" i="2"/>
  <c r="J769" i="2"/>
  <c r="H769" i="2" s="1"/>
  <c r="K616" i="2"/>
  <c r="J401" i="2"/>
  <c r="I401" i="2"/>
  <c r="K401" i="2"/>
  <c r="J821" i="2"/>
  <c r="H821" i="2" s="1"/>
  <c r="I715" i="2"/>
  <c r="K357" i="2"/>
  <c r="I259" i="2"/>
  <c r="J182" i="2"/>
  <c r="I182" i="2"/>
  <c r="K75" i="2"/>
  <c r="J75" i="2"/>
  <c r="I75" i="2"/>
  <c r="K182" i="2"/>
  <c r="J894" i="2"/>
  <c r="H894" i="2" s="1"/>
  <c r="K745" i="2"/>
  <c r="J745" i="2"/>
  <c r="H745" i="2" s="1"/>
  <c r="I745" i="2"/>
  <c r="J449" i="2"/>
  <c r="H449" i="2" s="1"/>
  <c r="J198" i="2"/>
  <c r="H198" i="2" s="1"/>
  <c r="J810" i="2"/>
  <c r="H810" i="2" s="1"/>
  <c r="I355" i="2"/>
  <c r="J600" i="2"/>
  <c r="H600" i="2" s="1"/>
  <c r="I544" i="2"/>
  <c r="I231" i="2"/>
  <c r="J233" i="2"/>
  <c r="H233" i="2" s="1"/>
  <c r="K233" i="2"/>
  <c r="J795" i="2"/>
  <c r="K795" i="2"/>
  <c r="J370" i="2"/>
  <c r="H370" i="2" s="1"/>
  <c r="K370" i="2"/>
  <c r="I466" i="2"/>
  <c r="J466" i="2"/>
  <c r="H466" i="2" s="1"/>
  <c r="I919" i="2"/>
  <c r="I795" i="2"/>
  <c r="J618" i="2"/>
  <c r="H618" i="2" s="1"/>
  <c r="I442" i="2"/>
  <c r="J442" i="2"/>
  <c r="K502" i="2" s="1"/>
  <c r="K969" i="2"/>
  <c r="K451" i="2"/>
  <c r="I451" i="2"/>
  <c r="J468" i="2"/>
  <c r="H468" i="2" s="1"/>
  <c r="I468" i="2"/>
  <c r="J697" i="2"/>
  <c r="K728" i="2" s="1"/>
  <c r="J954" i="2"/>
  <c r="H954" i="2" s="1"/>
  <c r="K954" i="2"/>
  <c r="J435" i="2"/>
  <c r="H435" i="2" s="1"/>
  <c r="I435" i="2"/>
  <c r="J525" i="2"/>
  <c r="H525" i="2" s="1"/>
  <c r="K765" i="2"/>
  <c r="K112" i="2"/>
  <c r="J112" i="2"/>
  <c r="H112" i="2" s="1"/>
  <c r="I153" i="2"/>
  <c r="K153" i="2"/>
  <c r="J153" i="2"/>
  <c r="H153" i="2" s="1"/>
  <c r="I856" i="2"/>
  <c r="J856" i="2"/>
  <c r="H856" i="2" s="1"/>
  <c r="K856" i="2"/>
  <c r="J645" i="2"/>
  <c r="H645" i="2" s="1"/>
  <c r="K471" i="2"/>
  <c r="J471" i="2"/>
  <c r="H471" i="2" s="1"/>
  <c r="K214" i="2"/>
  <c r="J214" i="2"/>
  <c r="H214" i="2" s="1"/>
  <c r="I214" i="2"/>
  <c r="J929" i="2"/>
  <c r="H929" i="2" s="1"/>
  <c r="I929" i="2"/>
  <c r="K934" i="2"/>
  <c r="K993" i="2"/>
  <c r="I993" i="2"/>
  <c r="I934" i="2"/>
  <c r="K841" i="2"/>
  <c r="I841" i="2"/>
  <c r="J860" i="2"/>
  <c r="J922" i="2"/>
  <c r="H922" i="2" s="1"/>
  <c r="I922" i="2"/>
  <c r="K808" i="2"/>
  <c r="I808" i="2"/>
  <c r="K693" i="2"/>
  <c r="J693" i="2"/>
  <c r="H693" i="2" s="1"/>
  <c r="J905" i="2"/>
  <c r="H905" i="2" s="1"/>
  <c r="K746" i="2"/>
  <c r="K681" i="2"/>
  <c r="J681" i="2"/>
  <c r="H681" i="2" s="1"/>
  <c r="I955" i="2"/>
  <c r="J467" i="2"/>
  <c r="I503" i="2"/>
  <c r="K503" i="2"/>
  <c r="J503" i="2"/>
  <c r="H503" i="2" s="1"/>
  <c r="K385" i="2"/>
  <c r="J385" i="2"/>
  <c r="H385" i="2" s="1"/>
  <c r="J376" i="2"/>
  <c r="K481" i="2" s="1"/>
  <c r="I212" i="2"/>
  <c r="I112" i="2"/>
  <c r="K167" i="2"/>
  <c r="J167" i="2"/>
  <c r="K218" i="2" s="1"/>
  <c r="I167" i="2"/>
  <c r="K875" i="2"/>
  <c r="I875" i="2"/>
  <c r="J875" i="2"/>
  <c r="H875" i="2" s="1"/>
  <c r="K719" i="2"/>
  <c r="K619" i="2"/>
  <c r="J619" i="2"/>
  <c r="H619" i="2" s="1"/>
  <c r="I619" i="2"/>
  <c r="I470" i="2"/>
  <c r="K470" i="2"/>
  <c r="I352" i="2"/>
  <c r="J352" i="2"/>
  <c r="K46" i="2"/>
  <c r="I407" i="2"/>
  <c r="I486" i="2"/>
  <c r="J459" i="2"/>
  <c r="H459" i="2" s="1"/>
  <c r="K229" i="2"/>
  <c r="I229" i="2"/>
  <c r="J229" i="2"/>
  <c r="H229" i="2" s="1"/>
  <c r="I790" i="2"/>
  <c r="K464" i="2"/>
  <c r="J464" i="2"/>
  <c r="H464" i="2" s="1"/>
  <c r="J196" i="2"/>
  <c r="H196" i="2" s="1"/>
  <c r="K861" i="2"/>
  <c r="J861" i="2"/>
  <c r="H861" i="2" s="1"/>
  <c r="I861" i="2"/>
  <c r="K806" i="2"/>
  <c r="I806" i="2"/>
  <c r="I152" i="2"/>
  <c r="J152" i="2"/>
  <c r="K499" i="2" s="1"/>
  <c r="J95" i="2"/>
  <c r="I95" i="2"/>
  <c r="I607" i="2"/>
  <c r="J607" i="2"/>
  <c r="I156" i="2"/>
  <c r="I517" i="2"/>
  <c r="K517" i="2"/>
  <c r="J223" i="2"/>
  <c r="I223" i="2"/>
  <c r="K131" i="2"/>
  <c r="J569" i="2"/>
  <c r="H569" i="2" s="1"/>
  <c r="I569" i="2"/>
  <c r="K569" i="2"/>
  <c r="I578" i="2"/>
  <c r="K578" i="2"/>
  <c r="J578" i="2"/>
  <c r="H578" i="2" s="1"/>
  <c r="I809" i="2"/>
  <c r="I855" i="2"/>
  <c r="J855" i="2"/>
  <c r="H855" i="2" s="1"/>
  <c r="J833" i="2"/>
  <c r="H833" i="2" s="1"/>
  <c r="I833" i="2"/>
  <c r="I865" i="2"/>
  <c r="J865" i="2"/>
  <c r="H865" i="2" s="1"/>
  <c r="I974" i="2"/>
  <c r="K974" i="2"/>
  <c r="K742" i="2"/>
  <c r="J742" i="2"/>
  <c r="H742" i="2" s="1"/>
  <c r="J733" i="2"/>
  <c r="H733" i="2" s="1"/>
  <c r="I733" i="2"/>
  <c r="J727" i="2"/>
  <c r="H727" i="2" s="1"/>
  <c r="I727" i="2"/>
  <c r="I494" i="2"/>
  <c r="K494" i="2"/>
  <c r="J494" i="2"/>
  <c r="K628" i="2"/>
  <c r="J628" i="2"/>
  <c r="H628" i="2" s="1"/>
  <c r="I628" i="2"/>
  <c r="I357" i="2"/>
  <c r="J342" i="2"/>
  <c r="H342" i="2" s="1"/>
  <c r="K342" i="2"/>
  <c r="I392" i="2"/>
  <c r="K392" i="2"/>
  <c r="I189" i="2"/>
  <c r="J46" i="2"/>
  <c r="H46" i="2" s="1"/>
  <c r="K172" i="2"/>
  <c r="J172" i="2"/>
  <c r="H172" i="2" s="1"/>
  <c r="K156" i="2"/>
  <c r="I786" i="2"/>
  <c r="I52" i="2"/>
  <c r="I181" i="2"/>
  <c r="I104" i="2"/>
  <c r="J104" i="2"/>
  <c r="H104" i="2" s="1"/>
  <c r="K196" i="2"/>
  <c r="K985" i="2"/>
  <c r="J985" i="2"/>
  <c r="H985" i="2" s="1"/>
  <c r="I921" i="2"/>
  <c r="K921" i="2"/>
  <c r="I823" i="2"/>
  <c r="K823" i="2"/>
  <c r="K710" i="2"/>
  <c r="K743" i="2"/>
  <c r="J743" i="2"/>
  <c r="H743" i="2" s="1"/>
  <c r="J351" i="2"/>
  <c r="H351" i="2" s="1"/>
  <c r="I351" i="2"/>
  <c r="K928" i="2"/>
  <c r="J794" i="2"/>
  <c r="H794" i="2" s="1"/>
  <c r="I676" i="2"/>
  <c r="I365" i="2"/>
  <c r="J365" i="2"/>
  <c r="K321" i="2"/>
  <c r="K195" i="2"/>
  <c r="J195" i="2"/>
  <c r="H195" i="2" s="1"/>
  <c r="I195" i="2"/>
  <c r="J859" i="2"/>
  <c r="H859" i="2" s="1"/>
  <c r="J103" i="2"/>
  <c r="H103" i="2" s="1"/>
  <c r="I103" i="2"/>
  <c r="K103" i="2"/>
  <c r="K373" i="2"/>
  <c r="I651" i="2"/>
  <c r="I243" i="2"/>
  <c r="I417" i="2"/>
  <c r="K585" i="2"/>
  <c r="J404" i="2"/>
  <c r="H404" i="2" s="1"/>
  <c r="I168" i="2"/>
  <c r="I338" i="2"/>
  <c r="J972" i="2"/>
  <c r="H972" i="2" s="1"/>
  <c r="K972" i="2"/>
  <c r="J788" i="2"/>
  <c r="H788" i="2" s="1"/>
  <c r="K788" i="2"/>
  <c r="K818" i="2"/>
  <c r="J818" i="2"/>
  <c r="H818" i="2" s="1"/>
  <c r="I537" i="2"/>
  <c r="J537" i="2"/>
  <c r="H537" i="2" s="1"/>
  <c r="K537" i="2"/>
  <c r="J480" i="2"/>
  <c r="H480" i="2" s="1"/>
  <c r="I480" i="2"/>
  <c r="K332" i="2"/>
  <c r="J332" i="2"/>
  <c r="H332" i="2" s="1"/>
  <c r="I332" i="2"/>
  <c r="K87" i="2"/>
  <c r="J87" i="2"/>
  <c r="H87" i="2" s="1"/>
  <c r="I87" i="2"/>
  <c r="I436" i="2"/>
  <c r="I38" i="2"/>
  <c r="K38" i="2"/>
  <c r="J38" i="2"/>
  <c r="H38" i="2" s="1"/>
  <c r="I147" i="2"/>
  <c r="I199" i="2"/>
  <c r="J199" i="2"/>
  <c r="H199" i="2" s="1"/>
  <c r="K129" i="2"/>
  <c r="J129" i="2"/>
  <c r="H129" i="2" s="1"/>
  <c r="J147" i="2"/>
  <c r="H147" i="2" s="1"/>
  <c r="I353" i="2"/>
  <c r="K61" i="2"/>
  <c r="I61" i="2"/>
  <c r="J61" i="2"/>
  <c r="H61" i="2" s="1"/>
  <c r="I842" i="2"/>
  <c r="K804" i="2"/>
  <c r="J804" i="2"/>
  <c r="H804" i="2" s="1"/>
  <c r="K838" i="2"/>
  <c r="K722" i="2"/>
  <c r="J493" i="2"/>
  <c r="I493" i="2"/>
  <c r="J570" i="2"/>
  <c r="H570" i="2" s="1"/>
  <c r="J659" i="2"/>
  <c r="K987" i="2" s="1"/>
  <c r="K334" i="2"/>
  <c r="K237" i="2"/>
  <c r="K45" i="2"/>
  <c r="J45" i="2"/>
  <c r="H45" i="2" s="1"/>
  <c r="I45" i="2"/>
  <c r="K168" i="2"/>
  <c r="J630" i="2"/>
  <c r="H630" i="2" s="1"/>
  <c r="I414" i="2"/>
  <c r="J359" i="2"/>
  <c r="H359" i="2" s="1"/>
  <c r="J323" i="2"/>
  <c r="K419" i="2" s="1"/>
  <c r="I404" i="2"/>
  <c r="I170" i="2"/>
  <c r="J107" i="2"/>
  <c r="H107" i="2" s="1"/>
  <c r="K696" i="2"/>
  <c r="K15" i="2"/>
  <c r="K701" i="2"/>
  <c r="I287" i="2"/>
  <c r="K868" i="2"/>
  <c r="I868" i="2"/>
  <c r="K932" i="2"/>
  <c r="J932" i="2"/>
  <c r="H932" i="2" s="1"/>
  <c r="K994" i="2"/>
  <c r="J868" i="2"/>
  <c r="H868" i="2" s="1"/>
  <c r="I882" i="2"/>
  <c r="I812" i="2"/>
  <c r="J487" i="2"/>
  <c r="K493" i="2" s="1"/>
  <c r="I487" i="2"/>
  <c r="K570" i="2"/>
  <c r="I706" i="2"/>
  <c r="I507" i="2"/>
  <c r="J507" i="2"/>
  <c r="K527" i="2" s="1"/>
  <c r="K31" i="2"/>
  <c r="J31" i="2"/>
  <c r="K70" i="2" s="1"/>
  <c r="I31" i="2"/>
  <c r="I184" i="2"/>
  <c r="I108" i="2"/>
  <c r="J108" i="2"/>
  <c r="H108" i="2" s="1"/>
  <c r="K108" i="2"/>
  <c r="K676" i="2"/>
  <c r="J203" i="2"/>
  <c r="I341" i="2"/>
  <c r="J341" i="2"/>
  <c r="H341" i="2" s="1"/>
  <c r="I711" i="2"/>
  <c r="J53" i="2"/>
  <c r="H53" i="2" s="1"/>
  <c r="I53" i="2"/>
  <c r="K243" i="2"/>
  <c r="J41" i="2"/>
  <c r="H41" i="2" s="1"/>
  <c r="K287" i="2"/>
  <c r="J15" i="2"/>
  <c r="H15" i="2" s="1"/>
  <c r="K980" i="2"/>
  <c r="J980" i="2"/>
  <c r="H980" i="2" s="1"/>
  <c r="I895" i="2"/>
  <c r="K895" i="2"/>
  <c r="J625" i="2"/>
  <c r="H625" i="2" s="1"/>
  <c r="I625" i="2"/>
  <c r="K625" i="2"/>
  <c r="K563" i="2"/>
  <c r="J563" i="2"/>
  <c r="H563" i="2" s="1"/>
  <c r="K485" i="2"/>
  <c r="J485" i="2"/>
  <c r="H485" i="2" s="1"/>
  <c r="I485" i="2"/>
  <c r="K639" i="2"/>
  <c r="I639" i="2"/>
  <c r="K396" i="2"/>
  <c r="J396" i="2"/>
  <c r="H396" i="2" s="1"/>
  <c r="J613" i="2"/>
  <c r="H613" i="2" s="1"/>
  <c r="I613" i="2"/>
  <c r="K19" i="2"/>
  <c r="J19" i="2"/>
  <c r="K24" i="2" s="1"/>
  <c r="I19" i="2"/>
  <c r="J94" i="2"/>
  <c r="H94" i="2" s="1"/>
  <c r="I94" i="2"/>
  <c r="K94" i="2"/>
  <c r="I203" i="2"/>
  <c r="K99" i="2"/>
  <c r="J99" i="2"/>
  <c r="H99" i="2" s="1"/>
  <c r="I66" i="2"/>
  <c r="K66" i="2"/>
  <c r="J66" i="2"/>
  <c r="H66" i="2" s="1"/>
  <c r="K711" i="2"/>
  <c r="G802" i="2" l="1"/>
  <c r="H876" i="2"/>
  <c r="G876" i="2"/>
  <c r="K960" i="2"/>
  <c r="H842" i="2"/>
  <c r="G842" i="2"/>
  <c r="H947" i="2"/>
  <c r="G947" i="2"/>
  <c r="K944" i="2"/>
  <c r="H941" i="2"/>
  <c r="G941" i="2"/>
  <c r="G746" i="2"/>
  <c r="H809" i="2"/>
  <c r="G809" i="2"/>
  <c r="H795" i="2"/>
  <c r="K714" i="2"/>
  <c r="K626" i="2"/>
  <c r="G626" i="2" s="1"/>
  <c r="G617" i="2"/>
  <c r="H607" i="2"/>
  <c r="H207" i="2"/>
  <c r="K565" i="2"/>
  <c r="G414" i="2"/>
  <c r="G368" i="2"/>
  <c r="H565" i="2"/>
  <c r="H450" i="2"/>
  <c r="G450" i="2"/>
  <c r="H542" i="2"/>
  <c r="H493" i="2"/>
  <c r="G493" i="2"/>
  <c r="K507" i="2"/>
  <c r="K315" i="2"/>
  <c r="H412" i="2"/>
  <c r="K416" i="2"/>
  <c r="G416" i="2" s="1"/>
  <c r="K412" i="2"/>
  <c r="G412" i="2" s="1"/>
  <c r="K845" i="2"/>
  <c r="K371" i="2"/>
  <c r="G371" i="2" s="1"/>
  <c r="H365" i="2"/>
  <c r="K365" i="2"/>
  <c r="G365" i="2" s="1"/>
  <c r="K362" i="2"/>
  <c r="G362" i="2" s="1"/>
  <c r="H362" i="2"/>
  <c r="K664" i="2"/>
  <c r="K544" i="2"/>
  <c r="G544" i="2" s="1"/>
  <c r="K325" i="2"/>
  <c r="G325" i="2" s="1"/>
  <c r="K318" i="2"/>
  <c r="G318" i="2" s="1"/>
  <c r="K239" i="2"/>
  <c r="K270" i="2"/>
  <c r="G270" i="2" s="1"/>
  <c r="H241" i="2"/>
  <c r="G241" i="2"/>
  <c r="H231" i="2"/>
  <c r="K258" i="2"/>
  <c r="K231" i="2"/>
  <c r="H225" i="2"/>
  <c r="K225" i="2"/>
  <c r="G225" i="2" s="1"/>
  <c r="G246" i="2"/>
  <c r="G499" i="2"/>
  <c r="K236" i="2"/>
  <c r="K629" i="2"/>
  <c r="G629" i="2" s="1"/>
  <c r="H115" i="2"/>
  <c r="G115" i="2"/>
  <c r="K102" i="2"/>
  <c r="G102" i="2" s="1"/>
  <c r="H97" i="2"/>
  <c r="G97" i="2"/>
  <c r="K684" i="2"/>
  <c r="G684" i="2" s="1"/>
  <c r="G656" i="2"/>
  <c r="G749" i="2"/>
  <c r="G559" i="2"/>
  <c r="G714" i="2"/>
  <c r="K596" i="2"/>
  <c r="K609" i="2"/>
  <c r="G609" i="2" s="1"/>
  <c r="G571" i="2"/>
  <c r="K352" i="2"/>
  <c r="G352" i="2" s="1"/>
  <c r="G254" i="2"/>
  <c r="H510" i="2"/>
  <c r="G346" i="2"/>
  <c r="K858" i="2"/>
  <c r="K125" i="2"/>
  <c r="G125" i="2" s="1"/>
  <c r="G311" i="2"/>
  <c r="K333" i="2"/>
  <c r="H960" i="2"/>
  <c r="H936" i="2"/>
  <c r="H852" i="2"/>
  <c r="H931" i="2"/>
  <c r="G931" i="2"/>
  <c r="H910" i="2"/>
  <c r="G910" i="2"/>
  <c r="H903" i="2"/>
  <c r="H872" i="2"/>
  <c r="G872" i="2"/>
  <c r="H860" i="2"/>
  <c r="K860" i="2"/>
  <c r="G860" i="2" s="1"/>
  <c r="H858" i="2"/>
  <c r="H845" i="2"/>
  <c r="H834" i="2"/>
  <c r="H830" i="2"/>
  <c r="H820" i="2"/>
  <c r="H798" i="2"/>
  <c r="G798" i="2"/>
  <c r="H790" i="2"/>
  <c r="G711" i="2"/>
  <c r="H767" i="2"/>
  <c r="G767" i="2"/>
  <c r="H764" i="2"/>
  <c r="H758" i="2"/>
  <c r="H697" i="2"/>
  <c r="G697" i="2"/>
  <c r="H696" i="2"/>
  <c r="H664" i="2"/>
  <c r="H659" i="2"/>
  <c r="G638" i="2"/>
  <c r="H629" i="2"/>
  <c r="H609" i="2"/>
  <c r="G603" i="2"/>
  <c r="G588" i="2"/>
  <c r="H567" i="2"/>
  <c r="H524" i="2"/>
  <c r="H518" i="2"/>
  <c r="H512" i="2"/>
  <c r="G512" i="2"/>
  <c r="K510" i="2"/>
  <c r="H502" i="2"/>
  <c r="H494" i="2"/>
  <c r="G494" i="2"/>
  <c r="H487" i="2"/>
  <c r="H481" i="2"/>
  <c r="H446" i="2"/>
  <c r="H436" i="2"/>
  <c r="G436" i="2"/>
  <c r="H430" i="2"/>
  <c r="H427" i="2"/>
  <c r="H425" i="2"/>
  <c r="H422" i="2"/>
  <c r="H401" i="2"/>
  <c r="G401" i="2"/>
  <c r="K329" i="2"/>
  <c r="K383" i="2"/>
  <c r="H373" i="2"/>
  <c r="H371" i="2"/>
  <c r="H363" i="2"/>
  <c r="G363" i="2"/>
  <c r="H352" i="2"/>
  <c r="H323" i="2"/>
  <c r="G306" i="2"/>
  <c r="K220" i="2"/>
  <c r="H250" i="2"/>
  <c r="K226" i="2"/>
  <c r="H223" i="2"/>
  <c r="K110" i="2"/>
  <c r="G109" i="2"/>
  <c r="K140" i="2"/>
  <c r="K165" i="2"/>
  <c r="H209" i="2"/>
  <c r="G203" i="2"/>
  <c r="H77" i="2"/>
  <c r="K194" i="2"/>
  <c r="G183" i="2"/>
  <c r="H182" i="2"/>
  <c r="H167" i="2"/>
  <c r="K152" i="2"/>
  <c r="G77" i="2"/>
  <c r="H140" i="2"/>
  <c r="G134" i="2"/>
  <c r="H127" i="2"/>
  <c r="G127" i="2"/>
  <c r="K116" i="2"/>
  <c r="K44" i="2"/>
  <c r="G72" i="2"/>
  <c r="H95" i="2"/>
  <c r="G95" i="2"/>
  <c r="H75" i="2"/>
  <c r="H31" i="2"/>
  <c r="H19" i="2"/>
</calcChain>
</file>

<file path=xl/sharedStrings.xml><?xml version="1.0" encoding="utf-8"?>
<sst xmlns="http://schemas.openxmlformats.org/spreadsheetml/2006/main" count="2361" uniqueCount="751">
  <si>
    <t>ID</t>
  </si>
  <si>
    <t>PRED_ID</t>
  </si>
  <si>
    <t>MARKER_AUTO</t>
  </si>
  <si>
    <t>PREDICATE</t>
  </si>
  <si>
    <t>TEXT</t>
  </si>
  <si>
    <t>SENTENCE</t>
  </si>
  <si>
    <t>MARKER</t>
  </si>
  <si>
    <t>TARGET</t>
  </si>
  <si>
    <t>RELATION</t>
  </si>
  <si>
    <t>COMMENT</t>
  </si>
  <si>
    <t>1</t>
  </si>
  <si>
    <t>2</t>
  </si>
  <si>
    <t>_</t>
  </si>
  <si>
    <t>refuge</t>
  </si>
  <si>
    <t>Seeking refuge : &amp;quot; Every refugee woman has dealt with sexual violence &amp;quot;</t>
  </si>
  <si>
    <t>file://conllu/en/augsburger-allgemeine.de.44740.conllu#s1_0</t>
  </si>
  <si>
    <t>for?</t>
  </si>
  <si>
    <t>woman</t>
  </si>
  <si>
    <t>For women fleeing a country on their own , sexual violence is almost part of daily life .</t>
  </si>
  <si>
    <t>file://conllu/en/augsburger-allgemeine.de.44740.conllu#s2_0</t>
  </si>
  <si>
    <t>3</t>
  </si>
  <si>
    <t>10</t>
  </si>
  <si>
    <t>when?</t>
  </si>
  <si>
    <t>traumatise</t>
  </si>
  <si>
    <t>When they arrive in Germany , they are often traumatised .</t>
  </si>
  <si>
    <t>file://conllu/en/augsburger-allgemeine.de.44740.conllu#s3_0</t>
  </si>
  <si>
    <t>4</t>
  </si>
  <si>
    <t>One house offers refuge .</t>
  </si>
  <si>
    <t>file://conllu/en/augsburger-allgemeine.de.44740.conllu#s4_0</t>
  </si>
  <si>
    <t>5</t>
  </si>
  <si>
    <t>sit</t>
  </si>
  <si>
    <t>Four women are sitting in a large kitchen .</t>
  </si>
  <si>
    <t>file://conllu/en/augsburger-allgemeine.de.44740.conllu#s5_0</t>
  </si>
  <si>
    <t>6</t>
  </si>
  <si>
    <t>have</t>
  </si>
  <si>
    <t>Every one of them has a baby with them , the oldest of which is one year old .</t>
  </si>
  <si>
    <t>file://conllu/en/augsburger-allgemeine.de.44740.conllu#s6_0</t>
  </si>
  <si>
    <t>7</t>
  </si>
  <si>
    <t>hold</t>
  </si>
  <si>
    <t>One woman holds her little son in her arms .</t>
  </si>
  <si>
    <t>file://conllu/en/augsburger-allgemeine.de.44740.conllu#s7_0</t>
  </si>
  <si>
    <t>8</t>
  </si>
  <si>
    <t>look</t>
  </si>
  <si>
    <t>He looks around the room inquisitively , his eyes wide .</t>
  </si>
  <si>
    <t>file://conllu/en/augsburger-allgemeine.de.44740.conllu#s8_0</t>
  </si>
  <si>
    <t>9</t>
  </si>
  <si>
    <t>stare</t>
  </si>
  <si>
    <t>His mother stares at the tabletop .</t>
  </si>
  <si>
    <t>file://conllu/en/augsburger-allgemeine.de.44740.conllu#s9_0</t>
  </si>
  <si>
    <t>until?</t>
  </si>
  <si>
    <t>watch</t>
  </si>
  <si>
    <t>Until she realises she 's being watched .</t>
  </si>
  <si>
    <t>file://conllu/en/augsburger-allgemeine.de.44740.conllu#s10_0</t>
  </si>
  <si>
    <t>11</t>
  </si>
  <si>
    <t>and?</t>
  </si>
  <si>
    <t>smile</t>
  </si>
  <si>
    <t>She smiles briefly and kisses the child .</t>
  </si>
  <si>
    <t>file://conllu/en/augsburger-allgemeine.de.44740.conllu#s11_0</t>
  </si>
  <si>
    <t>12</t>
  </si>
  <si>
    <t>The scene looks normal .</t>
  </si>
  <si>
    <t>file://conllu/en/augsburger-allgemeine.de.44740.conllu#s12_0</t>
  </si>
  <si>
    <t>13</t>
  </si>
  <si>
    <t>start</t>
  </si>
  <si>
    <t>Until you start talking to Katrin Bahr .</t>
  </si>
  <si>
    <t>file://conllu/en/augsburger-allgemeine.de.44740.conllu#s13_0</t>
  </si>
  <si>
    <t>14</t>
  </si>
  <si>
    <t>be (be manager)</t>
  </si>
  <si>
    <t>She is the field manager for Condrobs , a provider of social assistance within Bavaria .</t>
  </si>
  <si>
    <t>file://conllu/en/augsburger-allgemeine.de.44740.conllu#s14_0</t>
  </si>
  <si>
    <t>15</t>
  </si>
  <si>
    <t>be (be woman)</t>
  </si>
  <si>
    <t>One of the issues she deals with is refugee women .</t>
  </si>
  <si>
    <t>file://conllu/en/augsburger-allgemeine.de.44740.conllu#s15_0</t>
  </si>
  <si>
    <t>16</t>
  </si>
  <si>
    <t>be (be refugee)</t>
  </si>
  <si>
    <t>The four women in the kitchen are refugees .</t>
  </si>
  <si>
    <t>file://conllu/en/augsburger-allgemeine.de.44740.conllu#s16_0</t>
  </si>
  <si>
    <t>17</t>
  </si>
  <si>
    <t>live</t>
  </si>
  <si>
    <t>They live in the north of Munich , in one of the few decentralised accommodation centres in Bavaria for refugee women and their children who have made the journey alone .</t>
  </si>
  <si>
    <t>file://conllu/en/augsburger-allgemeine.de.44740.conllu#s17_0</t>
  </si>
  <si>
    <t>18</t>
  </si>
  <si>
    <t>open</t>
  </si>
  <si>
    <t>Condrobs opened the centre in January , in collaboration with Pro Familia and the Munich Women 's Help organisation .</t>
  </si>
  <si>
    <t>file://conllu/en/augsburger-allgemeine.de.44740.conllu#s18_0</t>
  </si>
  <si>
    <t>19</t>
  </si>
  <si>
    <t>It recently had its official opening .</t>
  </si>
  <si>
    <t>file://conllu/en/augsburger-allgemeine.de.44740.conllu#s19_0</t>
  </si>
  <si>
    <t>20</t>
  </si>
  <si>
    <t>60 people live there around 40 women and 20 children .</t>
  </si>
  <si>
    <t>file://conllu/en/augsburger-allgemeine.de.44740.conllu#s20_0</t>
  </si>
  <si>
    <t>21</t>
  </si>
  <si>
    <t>be</t>
  </si>
  <si>
    <t>There are no men not even male visitors .</t>
  </si>
  <si>
    <t>file://conllu/en/augsburger-allgemeine.de.44740.conllu#s21_0</t>
  </si>
  <si>
    <t>22</t>
  </si>
  <si>
    <t>be (be bodyguard)</t>
  </si>
  <si>
    <t>The exception is a bodyguard on the door .</t>
  </si>
  <si>
    <t>file://conllu/en/augsburger-allgemeine.de.44740.conllu#s22_0</t>
  </si>
  <si>
    <t>23</t>
  </si>
  <si>
    <t>28</t>
  </si>
  <si>
    <t>say</t>
  </si>
  <si>
    <t>&amp;quot; I 'm not exaggerating when I say that every woman who arrives here has dealt with sexual violence on her way to find refuge , &amp;quot; said Bahr .</t>
  </si>
  <si>
    <t>file://conllu/en/augsburger-allgemeine.de.44740.conllu#s23_0</t>
  </si>
  <si>
    <t>24</t>
  </si>
  <si>
    <t>because?</t>
  </si>
  <si>
    <t>flee</t>
  </si>
  <si>
    <t>&amp;quot; Men flee because of war , because they are politically persecuted , because they are threatened with torture or death , or because their families pin their hopes on them and send them to Europe , &amp;quot; she explains .</t>
  </si>
  <si>
    <t>file://conllu/en/augsburger-allgemeine.de.44740.conllu#s24_0</t>
  </si>
  <si>
    <t>25</t>
  </si>
  <si>
    <t>be (be foreground)</t>
  </si>
  <si>
    <t>When women flee , other reasons are in the foreground : &amp;quot; Many women sneak away secretly , because they see no other way out &amp;quot; .</t>
  </si>
  <si>
    <t>file://conllu/en/augsburger-allgemeine.de.44740.conllu#s25_0</t>
  </si>
  <si>
    <t>26</t>
  </si>
  <si>
    <t>experience</t>
  </si>
  <si>
    <t>In their home countries , they experienced sexual violence , forced marriage , honour killings , slavery or forced prostitution .</t>
  </si>
  <si>
    <t>file://conllu/en/augsburger-allgemeine.de.44740.conllu#s26_0</t>
  </si>
  <si>
    <t>27</t>
  </si>
  <si>
    <t>propel</t>
  </si>
  <si>
    <t>That propels them forward .</t>
  </si>
  <si>
    <t>file://conllu/en/augsburger-allgemeine.de.44740.conllu#s27_0</t>
  </si>
  <si>
    <t>while?</t>
  </si>
  <si>
    <t>continue</t>
  </si>
  <si>
    <t>And it continues even while they 're on the run .</t>
  </si>
  <si>
    <t>file://conllu/en/augsburger-allgemeine.de.44740.conllu#s28_0</t>
  </si>
  <si>
    <t>29</t>
  </si>
  <si>
    <t>be (be occurrence)</t>
  </si>
  <si>
    <t>&amp;quot; It is not a rare occurrence that traffickers request a sexual act in exchange for a bottle of water , for example , &amp;quot; says Bahr .</t>
  </si>
  <si>
    <t>file://conllu/en/augsburger-allgemeine.de.44740.conllu#s29_0</t>
  </si>
  <si>
    <t>30</t>
  </si>
  <si>
    <t>be (be alone)</t>
  </si>
  <si>
    <t>And the woman are alone , unprotected by their families .</t>
  </si>
  <si>
    <t>file://conllu/en/augsburger-allgemeine.de.44740.conllu#s30_0</t>
  </si>
  <si>
    <t>31</t>
  </si>
  <si>
    <t>if?</t>
  </si>
  <si>
    <t>think (think say)</t>
  </si>
  <si>
    <t>If you think that this stops as soon as they arrive in Germany , you 'd be wrong , says Bahr .</t>
  </si>
  <si>
    <t>file://conllu/en/augsburger-allgemeine.de.44740.conllu#s31_0</t>
  </si>
  <si>
    <t>32</t>
  </si>
  <si>
    <t>as?</t>
  </si>
  <si>
    <t>see</t>
  </si>
  <si>
    <t>Even in Germany , lone women are often seen as inferior in refugee accommodation , and , in the worst cases , they are abused .</t>
  </si>
  <si>
    <t>file://conllu/en/augsburger-allgemeine.de.44740.conllu#s32_0</t>
  </si>
  <si>
    <t>33</t>
  </si>
  <si>
    <t>as a result?</t>
  </si>
  <si>
    <t>As a result , around 90 percent of the women living in accommodation in the north of Munich are traumatised , she estimates .</t>
  </si>
  <si>
    <t>file://conllu/en/augsburger-allgemeine.de.44740.conllu#s33_0</t>
  </si>
  <si>
    <t>34</t>
  </si>
  <si>
    <t>conceive</t>
  </si>
  <si>
    <t>&amp;quot; Some of the children were certainly not conceived with the woman 's consent &amp;quot; .</t>
  </si>
  <si>
    <t>file://conllu/en/augsburger-allgemeine.de.44740.conllu#s34_0</t>
  </si>
  <si>
    <t>35</t>
  </si>
  <si>
    <t>so?</t>
  </si>
  <si>
    <t>say (say use say)</t>
  </si>
  <si>
    <t>Many women are so used to it that they do not say anything , she says .</t>
  </si>
  <si>
    <t>file://conllu/en/augsburger-allgemeine.de.44740.conllu#s35_0</t>
  </si>
  <si>
    <t>36</t>
  </si>
  <si>
    <t>or?</t>
  </si>
  <si>
    <t>bring</t>
  </si>
  <si>
    <t>&amp;quot; Or they ca n't bring themselves to talk about what they experienced because they are too ashamed &amp;quot; .</t>
  </si>
  <si>
    <t>file://conllu/en/augsburger-allgemeine.de.44740.conllu#s36_0</t>
  </si>
  <si>
    <t>37</t>
  </si>
  <si>
    <t>Because they often do n't know how to get help , there needs to be more accommodation just for them , says Bahr .</t>
  </si>
  <si>
    <t>file://conllu/en/augsburger-allgemeine.de.44740.conllu#s37_0</t>
  </si>
  <si>
    <t>38</t>
  </si>
  <si>
    <t>be (be responsible)</t>
  </si>
  <si>
    <t>In Bavaria , the seven district governments are responsible for providing accommodation for refugees .</t>
  </si>
  <si>
    <t>file://conllu/en/augsburger-allgemeine.de.44740.conllu#s38_0</t>
  </si>
  <si>
    <t>39</t>
  </si>
  <si>
    <t>know (know ask answer)</t>
  </si>
  <si>
    <t>When asked if they knew of projects like the one in Munich operating within the areas they covered , some answered with &amp;quot; no &amp;quot; .</t>
  </si>
  <si>
    <t>file://conllu/en/augsburger-allgemeine.de.44740.conllu#s39_0</t>
  </si>
  <si>
    <t>40</t>
  </si>
  <si>
    <t>In Upper Palatinate and Upper Franconia regions , for example , there is no similar accommodation offered by the government .</t>
  </si>
  <si>
    <t>file://conllu/en/augsburger-allgemeine.de.44740.conllu#s40_0</t>
  </si>
  <si>
    <t>41</t>
  </si>
  <si>
    <t>give</t>
  </si>
  <si>
    <t>Even in Swabia , women who come as lone refugees are not given separate accommodation , says Karl Heinz Meyer , press spokesperson for the region .</t>
  </si>
  <si>
    <t>file://conllu/en/augsburger-allgemeine.de.44740.conllu#s41_0</t>
  </si>
  <si>
    <t>42</t>
  </si>
  <si>
    <t>set</t>
  </si>
  <si>
    <t>In Upper Bavaria , Lower Franconia and Middle Franconia , floors , or individual houses , are set aside in some shared accommodation for lone women and their children .</t>
  </si>
  <si>
    <t>file://conllu/en/augsburger-allgemeine.de.44740.conllu#s42_0</t>
  </si>
  <si>
    <t>43</t>
  </si>
  <si>
    <t>be (be lower)</t>
  </si>
  <si>
    <t>The exception is Lower Bavaria :</t>
  </si>
  <si>
    <t>file://conllu/en/augsburger-allgemeine.de.44740.conllu#s43_0</t>
  </si>
  <si>
    <t>44</t>
  </si>
  <si>
    <t>there , there are two central accommodation centres exclusively for women .</t>
  </si>
  <si>
    <t>file://conllu/en/augsburger-allgemeine.de.44740.conllu#s44_0</t>
  </si>
  <si>
    <t>45</t>
  </si>
  <si>
    <t>stress</t>
  </si>
  <si>
    <t>Even the European Parliament 's Committee on &amp;quot; Women 's Rights and Gender Equality &amp;quot; stresses that women must be provided with accommodation separate from that of the men .</t>
  </si>
  <si>
    <t>file://conllu/en/augsburger-allgemeine.de.44740.conllu#s45_0</t>
  </si>
  <si>
    <t>46</t>
  </si>
  <si>
    <t>state</t>
  </si>
  <si>
    <t>In a study published on behalf of the Committee , it was stated that &amp;quot; it is very important that men and women are given separate accommodation . &amp;quot;</t>
  </si>
  <si>
    <t>file://conllu/en/augsburger-allgemeine.de.44740.conllu#s46_0</t>
  </si>
  <si>
    <t>47</t>
  </si>
  <si>
    <t>&amp;quot; If there is a lack of private space , or if men and women are provided with accommodation together , this can result in ( perpetual ) violence against women &amp;quot; .</t>
  </si>
  <si>
    <t>file://conllu/en/augsburger-allgemeine.de.44740.conllu#s47_0</t>
  </si>
  <si>
    <t>48</t>
  </si>
  <si>
    <t>be (be separate)</t>
  </si>
  <si>
    <t>Washing facilities , above all , should be separate , and easily accessible for women , according to the study .</t>
  </si>
  <si>
    <t>file://conllu/en/augsburger-allgemeine.de.44740.conllu#s48_0</t>
  </si>
  <si>
    <t>49</t>
  </si>
  <si>
    <t>The extent to which women need this protection can be seen in the sheer number of people interested in the house in Munich .</t>
  </si>
  <si>
    <t>file://conllu/en/augsburger-allgemeine.de.44740.conllu#s49_0</t>
  </si>
  <si>
    <t>50</t>
  </si>
  <si>
    <t>&amp;quot; Since word has got around that we exist , we have developed a long waiting list , &amp;quot; says Bahr .</t>
  </si>
  <si>
    <t>file://conllu/en/augsburger-allgemeine.de.44740.conllu#s50_0</t>
  </si>
  <si>
    <t>51</t>
  </si>
  <si>
    <t>be (be easy)</t>
  </si>
  <si>
    <t>It would be easy to open a second house .</t>
  </si>
  <si>
    <t>file://conllu/en/augsburger-allgemeine.de.44740.conllu#s51_0</t>
  </si>
  <si>
    <t>WORD</t>
  </si>
  <si>
    <t>GR</t>
  </si>
  <si>
    <t>NP_TYPE</t>
  </si>
  <si>
    <t>REF_AUTO</t>
  </si>
  <si>
    <t>COREF</t>
  </si>
  <si>
    <t>REF</t>
  </si>
  <si>
    <t>IS</t>
  </si>
  <si>
    <t>CB</t>
  </si>
  <si>
    <t>GR_ANTE</t>
  </si>
  <si>
    <t>REF_DIST</t>
  </si>
  <si>
    <t>REF_DIST_ANTE</t>
  </si>
  <si>
    <t># text = Seeking refuge: \"Every refugee woman has dealt with sexual violence\"</t>
  </si>
  <si>
    <t>Seeking</t>
  </si>
  <si>
    <t>other</t>
  </si>
  <si>
    <t>indef-np.bare</t>
  </si>
  <si>
    <t>:</t>
  </si>
  <si>
    <t>&amp;quot;</t>
  </si>
  <si>
    <t>Every</t>
  </si>
  <si>
    <t>refugee</t>
  </si>
  <si>
    <t>SBJ_2</t>
  </si>
  <si>
    <t>indef-np</t>
  </si>
  <si>
    <t>has</t>
  </si>
  <si>
    <t>dealt</t>
  </si>
  <si>
    <t>with</t>
  </si>
  <si>
    <t>sexual</t>
  </si>
  <si>
    <t>violence</t>
  </si>
  <si>
    <t>other_2</t>
  </si>
  <si>
    <t># text = For women fleeing a country on their own, sexual violence is almost part of daily life.</t>
  </si>
  <si>
    <t>For</t>
  </si>
  <si>
    <t>women</t>
  </si>
  <si>
    <t>fleeing</t>
  </si>
  <si>
    <t>a</t>
  </si>
  <si>
    <t>country</t>
  </si>
  <si>
    <t>OBJ_2</t>
  </si>
  <si>
    <t>indef-np.a</t>
  </si>
  <si>
    <t>on</t>
  </si>
  <si>
    <t>their</t>
  </si>
  <si>
    <t>other_3</t>
  </si>
  <si>
    <t>pron.ppos</t>
  </si>
  <si>
    <t>?OLD</t>
  </si>
  <si>
    <t>own</t>
  </si>
  <si>
    <t>,</t>
  </si>
  <si>
    <t>SBJ_3</t>
  </si>
  <si>
    <t>is</t>
  </si>
  <si>
    <t>almost</t>
  </si>
  <si>
    <t>part</t>
  </si>
  <si>
    <t>def-np.poss</t>
  </si>
  <si>
    <t>of</t>
  </si>
  <si>
    <t>daily</t>
  </si>
  <si>
    <t>life</t>
  </si>
  <si>
    <t>.</t>
  </si>
  <si>
    <t># text = When they arrive in Germany, they are often traumatised.</t>
  </si>
  <si>
    <t>When</t>
  </si>
  <si>
    <t>they</t>
  </si>
  <si>
    <t>pron.pper</t>
  </si>
  <si>
    <t>arrive</t>
  </si>
  <si>
    <t>in</t>
  </si>
  <si>
    <t>Germany</t>
  </si>
  <si>
    <t>ne</t>
  </si>
  <si>
    <t>SBJ</t>
  </si>
  <si>
    <t>are</t>
  </si>
  <si>
    <t>often</t>
  </si>
  <si>
    <t>traumatised</t>
  </si>
  <si>
    <t># text = One house offers refuge.</t>
  </si>
  <si>
    <t>One</t>
  </si>
  <si>
    <t>house</t>
  </si>
  <si>
    <t>offers</t>
  </si>
  <si>
    <t>indef-np.quant</t>
  </si>
  <si>
    <t># text = Four women are sitting in a large kitchen.</t>
  </si>
  <si>
    <t>Four</t>
  </si>
  <si>
    <t>sitting</t>
  </si>
  <si>
    <t>large</t>
  </si>
  <si>
    <t>kitchen</t>
  </si>
  <si>
    <t># text = Every one of them has a baby with them, the oldest of which is one year old.</t>
  </si>
  <si>
    <t>one</t>
  </si>
  <si>
    <t>them</t>
  </si>
  <si>
    <t>baby</t>
  </si>
  <si>
    <t>OBJ</t>
  </si>
  <si>
    <t>the</t>
  </si>
  <si>
    <t>oldest</t>
  </si>
  <si>
    <t>which</t>
  </si>
  <si>
    <t>pron.pint</t>
  </si>
  <si>
    <t>year</t>
  </si>
  <si>
    <t>old</t>
  </si>
  <si>
    <t># text = One woman holds her little son in her arms.</t>
  </si>
  <si>
    <t>holds</t>
  </si>
  <si>
    <t>her</t>
  </si>
  <si>
    <t>little</t>
  </si>
  <si>
    <t>son</t>
  </si>
  <si>
    <t>arms</t>
  </si>
  <si>
    <t># text = He looks around the room inquisitively, his eyes wide.</t>
  </si>
  <si>
    <t>He</t>
  </si>
  <si>
    <t>looks</t>
  </si>
  <si>
    <t>around</t>
  </si>
  <si>
    <t>room</t>
  </si>
  <si>
    <t>def-np.the</t>
  </si>
  <si>
    <t>inquisitively</t>
  </si>
  <si>
    <t>his</t>
  </si>
  <si>
    <t>eyes</t>
  </si>
  <si>
    <t>wide</t>
  </si>
  <si>
    <t># text = His mother stares at the tabletop.</t>
  </si>
  <si>
    <t>His</t>
  </si>
  <si>
    <t>mother</t>
  </si>
  <si>
    <t>stares</t>
  </si>
  <si>
    <t>at</t>
  </si>
  <si>
    <t>tabletop</t>
  </si>
  <si>
    <t># text = Until she realises she's being watched.</t>
  </si>
  <si>
    <t>Until</t>
  </si>
  <si>
    <t>she</t>
  </si>
  <si>
    <t>realises</t>
  </si>
  <si>
    <t>'s</t>
  </si>
  <si>
    <t>being</t>
  </si>
  <si>
    <t>watched</t>
  </si>
  <si>
    <t># text = She smiles briefly and kisses the child.</t>
  </si>
  <si>
    <t>She</t>
  </si>
  <si>
    <t>smiles</t>
  </si>
  <si>
    <t>briefly</t>
  </si>
  <si>
    <t>and</t>
  </si>
  <si>
    <t>kisses</t>
  </si>
  <si>
    <t>child</t>
  </si>
  <si>
    <t># text = The scene looks normal.</t>
  </si>
  <si>
    <t>The</t>
  </si>
  <si>
    <t>scene</t>
  </si>
  <si>
    <t>normal</t>
  </si>
  <si>
    <t># text = Until you start talking to Katrin Bahr.</t>
  </si>
  <si>
    <t>you</t>
  </si>
  <si>
    <t>talking</t>
  </si>
  <si>
    <t>to</t>
  </si>
  <si>
    <t>Katrin</t>
  </si>
  <si>
    <t>Bahr</t>
  </si>
  <si>
    <t># text = She is the field manager for Condrobs, a provider of social assistance within Bavaria.</t>
  </si>
  <si>
    <t>field</t>
  </si>
  <si>
    <t>manager</t>
  </si>
  <si>
    <t>for</t>
  </si>
  <si>
    <t>Condrobs</t>
  </si>
  <si>
    <t>provider</t>
  </si>
  <si>
    <t>social</t>
  </si>
  <si>
    <t>assistance</t>
  </si>
  <si>
    <t>within</t>
  </si>
  <si>
    <t>Bavaria</t>
  </si>
  <si>
    <t># text = One of the issues she deals with is refugee women.</t>
  </si>
  <si>
    <t>issues</t>
  </si>
  <si>
    <t>SBJ_4</t>
  </si>
  <si>
    <t>deals</t>
  </si>
  <si>
    <t># text = The four women in the kitchen are refugees.</t>
  </si>
  <si>
    <t>four</t>
  </si>
  <si>
    <t>def-np.quant</t>
  </si>
  <si>
    <t>refugees</t>
  </si>
  <si>
    <t># text = They live in the north of Munich, in one of the few decentralised accommodation centres in Bavaria for refugee women and their children who have made the journey alone.</t>
  </si>
  <si>
    <t>They</t>
  </si>
  <si>
    <t>north</t>
  </si>
  <si>
    <t>Munich</t>
  </si>
  <si>
    <t>few</t>
  </si>
  <si>
    <t>decentralised</t>
  </si>
  <si>
    <t>accommodation</t>
  </si>
  <si>
    <t>centres</t>
  </si>
  <si>
    <t>children</t>
  </si>
  <si>
    <t>who</t>
  </si>
  <si>
    <t>made</t>
  </si>
  <si>
    <t>journey</t>
  </si>
  <si>
    <t>OBJ_3</t>
  </si>
  <si>
    <t>alone</t>
  </si>
  <si>
    <t># text = Condrobs opened the centre in January, in collaboration with Pro Familia and the Munich Women's Help organisation.</t>
  </si>
  <si>
    <t>opened</t>
  </si>
  <si>
    <t>centre</t>
  </si>
  <si>
    <t>January</t>
  </si>
  <si>
    <t>collaboration</t>
  </si>
  <si>
    <t>Pro</t>
  </si>
  <si>
    <t>Familia</t>
  </si>
  <si>
    <t>other_4</t>
  </si>
  <si>
    <t>Women</t>
  </si>
  <si>
    <t>Help</t>
  </si>
  <si>
    <t>organisation</t>
  </si>
  <si>
    <t># text = It recently had its official opening.</t>
  </si>
  <si>
    <t>It</t>
  </si>
  <si>
    <t>recently</t>
  </si>
  <si>
    <t>had</t>
  </si>
  <si>
    <t>its</t>
  </si>
  <si>
    <t>official</t>
  </si>
  <si>
    <t>opening</t>
  </si>
  <si>
    <t># text = 60 people live there - around 40 women and 20 children.</t>
  </si>
  <si>
    <t>60</t>
  </si>
  <si>
    <t>people</t>
  </si>
  <si>
    <t>there</t>
  </si>
  <si>
    <t># text = There are no men - not even male visitors.</t>
  </si>
  <si>
    <t>There</t>
  </si>
  <si>
    <t>no</t>
  </si>
  <si>
    <t>men</t>
  </si>
  <si>
    <t>not</t>
  </si>
  <si>
    <t>even</t>
  </si>
  <si>
    <t>male</t>
  </si>
  <si>
    <t>visitors</t>
  </si>
  <si>
    <t># text = The exception is a bodyguard on the door.</t>
  </si>
  <si>
    <t>exception</t>
  </si>
  <si>
    <t>bodyguard</t>
  </si>
  <si>
    <t>door</t>
  </si>
  <si>
    <t>--</t>
  </si>
  <si>
    <t># text = "I'm not exaggerating when I say that every woman who arrives here has dealt with sexual violence on her way to find refuge," said Bahr.</t>
  </si>
  <si>
    <t>I</t>
  </si>
  <si>
    <t>'m</t>
  </si>
  <si>
    <t>exaggerating</t>
  </si>
  <si>
    <t>when</t>
  </si>
  <si>
    <t>that</t>
  </si>
  <si>
    <t>every</t>
  </si>
  <si>
    <t>SBJ_6</t>
  </si>
  <si>
    <t>arrives</t>
  </si>
  <si>
    <t>here</t>
  </si>
  <si>
    <t>other_5</t>
  </si>
  <si>
    <t>way</t>
  </si>
  <si>
    <t>find</t>
  </si>
  <si>
    <t>OBJ_6</t>
  </si>
  <si>
    <t>said</t>
  </si>
  <si>
    <t># text = "Men flee because of war, because they are politically persecuted, because they are threatened with torture or death, or because their families pin their hopes on them and send them to Europe," she explains.</t>
  </si>
  <si>
    <t>Men</t>
  </si>
  <si>
    <t>because</t>
  </si>
  <si>
    <t>war</t>
  </si>
  <si>
    <t>politically</t>
  </si>
  <si>
    <t>persecuted</t>
  </si>
  <si>
    <t>threatened</t>
  </si>
  <si>
    <t>torture</t>
  </si>
  <si>
    <t>or</t>
  </si>
  <si>
    <t>death</t>
  </si>
  <si>
    <t>other_6</t>
  </si>
  <si>
    <t>families</t>
  </si>
  <si>
    <t>SBJ_5</t>
  </si>
  <si>
    <t>pin</t>
  </si>
  <si>
    <t>hopes</t>
  </si>
  <si>
    <t>OBJ_5</t>
  </si>
  <si>
    <t>send</t>
  </si>
  <si>
    <t>OBJ_7</t>
  </si>
  <si>
    <t>Europe</t>
  </si>
  <si>
    <t>other_7</t>
  </si>
  <si>
    <t>explains</t>
  </si>
  <si>
    <t># text = When women flee, other reasons are in the foreground: \"Many women sneak away secretly, because they see no other way out\".</t>
  </si>
  <si>
    <t>reasons</t>
  </si>
  <si>
    <t>foreground</t>
  </si>
  <si>
    <t>Many</t>
  </si>
  <si>
    <t>sneak</t>
  </si>
  <si>
    <t>away</t>
  </si>
  <si>
    <t>secretly</t>
  </si>
  <si>
    <t>out</t>
  </si>
  <si>
    <t># text = In their home countries, they experienced sexual violence, forced marriage, honour killings, slavery or forced prostitution.</t>
  </si>
  <si>
    <t>In</t>
  </si>
  <si>
    <t>home</t>
  </si>
  <si>
    <t>countries</t>
  </si>
  <si>
    <t>experienced</t>
  </si>
  <si>
    <t>forced</t>
  </si>
  <si>
    <t>marriage</t>
  </si>
  <si>
    <t>honour</t>
  </si>
  <si>
    <t>killings</t>
  </si>
  <si>
    <t>slavery</t>
  </si>
  <si>
    <t>prostitution</t>
  </si>
  <si>
    <t># text = That propels them forward.</t>
  </si>
  <si>
    <t>That</t>
  </si>
  <si>
    <t>pron.pds</t>
  </si>
  <si>
    <t>propels</t>
  </si>
  <si>
    <t>forward</t>
  </si>
  <si>
    <t># text = And it continues even while they're on the run.</t>
  </si>
  <si>
    <t>And</t>
  </si>
  <si>
    <t>it</t>
  </si>
  <si>
    <t>continues</t>
  </si>
  <si>
    <t>while</t>
  </si>
  <si>
    <t>'re</t>
  </si>
  <si>
    <t>run</t>
  </si>
  <si>
    <t># text = "It is not a rare occurrence that traffickers request a sexual act in exchange for a bottle of water, for example," says Bahr.</t>
  </si>
  <si>
    <t>rare</t>
  </si>
  <si>
    <t>occurrence</t>
  </si>
  <si>
    <t>traffickers</t>
  </si>
  <si>
    <t>request</t>
  </si>
  <si>
    <t>act</t>
  </si>
  <si>
    <t>exchange</t>
  </si>
  <si>
    <t>bottle</t>
  </si>
  <si>
    <t>water</t>
  </si>
  <si>
    <t>example</t>
  </si>
  <si>
    <t>says</t>
  </si>
  <si>
    <t># text = And the woman are alone, unprotected by their families.</t>
  </si>
  <si>
    <t>unprotected</t>
  </si>
  <si>
    <t>by</t>
  </si>
  <si>
    <t># text = If you think that this stops as soon as they arrive in Germany, you'd be wrong, says Bahr.</t>
  </si>
  <si>
    <t>If</t>
  </si>
  <si>
    <t>think</t>
  </si>
  <si>
    <t>this</t>
  </si>
  <si>
    <t>stops</t>
  </si>
  <si>
    <t>def-np.dem</t>
  </si>
  <si>
    <t>as</t>
  </si>
  <si>
    <t>soon</t>
  </si>
  <si>
    <t>'d</t>
  </si>
  <si>
    <t>wrong</t>
  </si>
  <si>
    <t># text = Even in Germany, lone women are often seen as inferior in refugee accommodation, and, in the worst cases, they are abused.</t>
  </si>
  <si>
    <t>Even</t>
  </si>
  <si>
    <t>lone</t>
  </si>
  <si>
    <t>seen</t>
  </si>
  <si>
    <t>inferior</t>
  </si>
  <si>
    <t>worst</t>
  </si>
  <si>
    <t>cases</t>
  </si>
  <si>
    <t>abused</t>
  </si>
  <si>
    <t># text = As a result, around 90 percent of the women living in accommodation in the north of Munich are traumatised, she estimates.</t>
  </si>
  <si>
    <t>As</t>
  </si>
  <si>
    <t>result</t>
  </si>
  <si>
    <t>90</t>
  </si>
  <si>
    <t>percent</t>
  </si>
  <si>
    <t>living</t>
  </si>
  <si>
    <t>estimates</t>
  </si>
  <si>
    <t># text = \"Some of the children were certainly not conceived with the woman's consent\".</t>
  </si>
  <si>
    <t>Some</t>
  </si>
  <si>
    <t>were</t>
  </si>
  <si>
    <t>certainly</t>
  </si>
  <si>
    <t>conceived</t>
  </si>
  <si>
    <t>consent</t>
  </si>
  <si>
    <t># text = Many women are so used to it that they do not say anything, she says.</t>
  </si>
  <si>
    <t>so</t>
  </si>
  <si>
    <t>used</t>
  </si>
  <si>
    <t>do</t>
  </si>
  <si>
    <t>anything</t>
  </si>
  <si>
    <t>pron</t>
  </si>
  <si>
    <t># text = "Or they can't bring themselves to talk about what they experienced because they are too ashamed".</t>
  </si>
  <si>
    <t>Or</t>
  </si>
  <si>
    <t>ca</t>
  </si>
  <si>
    <t>n't</t>
  </si>
  <si>
    <t>themselves</t>
  </si>
  <si>
    <t>talk</t>
  </si>
  <si>
    <t>about</t>
  </si>
  <si>
    <t>what</t>
  </si>
  <si>
    <t>too</t>
  </si>
  <si>
    <t>ashamed</t>
  </si>
  <si>
    <t># text = Because they often don't know how to get help, there needs to be more accommodation just for them, says Bahr.</t>
  </si>
  <si>
    <t>Because</t>
  </si>
  <si>
    <t>know</t>
  </si>
  <si>
    <t>how</t>
  </si>
  <si>
    <t>get</t>
  </si>
  <si>
    <t>help</t>
  </si>
  <si>
    <t>OBJ_4</t>
  </si>
  <si>
    <t>needs</t>
  </si>
  <si>
    <t>more</t>
  </si>
  <si>
    <t>just</t>
  </si>
  <si>
    <t># text = In Bavaria, the seven district governments are responsible for providing accommodation for refugees.</t>
  </si>
  <si>
    <t>seven</t>
  </si>
  <si>
    <t>district</t>
  </si>
  <si>
    <t>governments</t>
  </si>
  <si>
    <t>responsible</t>
  </si>
  <si>
    <t>providing</t>
  </si>
  <si>
    <t># text = When asked if they knew of projects like the one in Munich operating within the areas they covered, some answered with "no".</t>
  </si>
  <si>
    <t>asked</t>
  </si>
  <si>
    <t>if</t>
  </si>
  <si>
    <t>knew</t>
  </si>
  <si>
    <t>projects</t>
  </si>
  <si>
    <t>like</t>
  </si>
  <si>
    <t>operating</t>
  </si>
  <si>
    <t>areas</t>
  </si>
  <si>
    <t>covered</t>
  </si>
  <si>
    <t>some</t>
  </si>
  <si>
    <t>answered</t>
  </si>
  <si>
    <t># text = In Upper Palatinate and Upper Franconia regions, for example, there is no similar accommodation offered by the government.</t>
  </si>
  <si>
    <t>Upper</t>
  </si>
  <si>
    <t>Palatinate</t>
  </si>
  <si>
    <t>Franconia</t>
  </si>
  <si>
    <t>regions</t>
  </si>
  <si>
    <t>similar</t>
  </si>
  <si>
    <t>offered</t>
  </si>
  <si>
    <t>government</t>
  </si>
  <si>
    <t># text = Even in Swabia, women who come as lone refugees are not given separate accommodation, says Karl-Heinz Meyer, press spokesperson for the region.</t>
  </si>
  <si>
    <t>Swabia</t>
  </si>
  <si>
    <t>come</t>
  </si>
  <si>
    <t>given</t>
  </si>
  <si>
    <t>separate</t>
  </si>
  <si>
    <t>Karl</t>
  </si>
  <si>
    <t>Heinz</t>
  </si>
  <si>
    <t>Meyer</t>
  </si>
  <si>
    <t>press</t>
  </si>
  <si>
    <t>spokesperson</t>
  </si>
  <si>
    <t>region</t>
  </si>
  <si>
    <t># text = In Upper Bavaria, Lower Franconia and Middle Franconia, floors, or individual houses, are set aside in some shared accommodation for lone women and their children.</t>
  </si>
  <si>
    <t>Lower</t>
  </si>
  <si>
    <t>Middle</t>
  </si>
  <si>
    <t>floors</t>
  </si>
  <si>
    <t>individual</t>
  </si>
  <si>
    <t>houses</t>
  </si>
  <si>
    <t>aside</t>
  </si>
  <si>
    <t>shared</t>
  </si>
  <si>
    <t># text = The exception is Lower Bavaria:</t>
  </si>
  <si>
    <t># text = there, there are two central accommodation centres exclusively for women.</t>
  </si>
  <si>
    <t>two</t>
  </si>
  <si>
    <t>central</t>
  </si>
  <si>
    <t>exclusively</t>
  </si>
  <si>
    <t># text = Even the European Parliament's Committee on \"Women's Rights and Gender Equality\" stresses that women must be provided with accommodation separate from that of the men.</t>
  </si>
  <si>
    <t>European</t>
  </si>
  <si>
    <t>Parliament</t>
  </si>
  <si>
    <t>Committee</t>
  </si>
  <si>
    <t>Rights</t>
  </si>
  <si>
    <t>Gender</t>
  </si>
  <si>
    <t>Equality</t>
  </si>
  <si>
    <t>stresses</t>
  </si>
  <si>
    <t>must</t>
  </si>
  <si>
    <t>provided</t>
  </si>
  <si>
    <t>from</t>
  </si>
  <si>
    <t># text = In a study published on behalf of the Committee, it was stated that "it is very important that men and women are given separate accommodation."</t>
  </si>
  <si>
    <t>study</t>
  </si>
  <si>
    <t>published</t>
  </si>
  <si>
    <t>behalf</t>
  </si>
  <si>
    <t>was</t>
  </si>
  <si>
    <t>stated</t>
  </si>
  <si>
    <t>very</t>
  </si>
  <si>
    <t>important</t>
  </si>
  <si>
    <t># text = \"If there is a lack of private space, or if men and women are provided with accommodation together, this can result in (perpetual) violence against women\".</t>
  </si>
  <si>
    <t>lack</t>
  </si>
  <si>
    <t>private</t>
  </si>
  <si>
    <t>space</t>
  </si>
  <si>
    <t>together</t>
  </si>
  <si>
    <t>can</t>
  </si>
  <si>
    <t>(</t>
  </si>
  <si>
    <t>perpetual</t>
  </si>
  <si>
    <t>)</t>
  </si>
  <si>
    <t>against</t>
  </si>
  <si>
    <t># text = Washing facilities, above all, should be separate, and easily accessible for women, according to the study.</t>
  </si>
  <si>
    <t>Washing</t>
  </si>
  <si>
    <t>facilities</t>
  </si>
  <si>
    <t>above</t>
  </si>
  <si>
    <t>all</t>
  </si>
  <si>
    <t>should</t>
  </si>
  <si>
    <t>easily</t>
  </si>
  <si>
    <t>accessible</t>
  </si>
  <si>
    <t>according</t>
  </si>
  <si>
    <t># text = The extent to which women need this protection can be seen in the sheer number of people interested in the house in Munich.</t>
  </si>
  <si>
    <t>extent</t>
  </si>
  <si>
    <t>need</t>
  </si>
  <si>
    <t>protection</t>
  </si>
  <si>
    <t>sheer</t>
  </si>
  <si>
    <t>number</t>
  </si>
  <si>
    <t>interested</t>
  </si>
  <si>
    <t># text = \"Since word has got around that we exist, we have developed a long waiting list,\" says Bahr.</t>
  </si>
  <si>
    <t>Since</t>
  </si>
  <si>
    <t>word</t>
  </si>
  <si>
    <t>got</t>
  </si>
  <si>
    <t>we</t>
  </si>
  <si>
    <t>exist</t>
  </si>
  <si>
    <t>developed</t>
  </si>
  <si>
    <t>long</t>
  </si>
  <si>
    <t>waiting</t>
  </si>
  <si>
    <t>list</t>
  </si>
  <si>
    <t># text = It would be easy to open a second house.</t>
  </si>
  <si>
    <t>would</t>
  </si>
  <si>
    <t>easy</t>
  </si>
  <si>
    <t>second</t>
  </si>
  <si>
    <t>REFUGEE_WOMEN</t>
  </si>
  <si>
    <t>PRED</t>
  </si>
  <si>
    <t>GERMANY</t>
  </si>
  <si>
    <t>FOUR_REFUGEE_WOMEN</t>
  </si>
  <si>
    <t>BABY_SON</t>
  </si>
  <si>
    <t>MOTHER_WITH_SON</t>
  </si>
  <si>
    <t>SIT</t>
  </si>
  <si>
    <t>KATRIN_BAHR</t>
  </si>
  <si>
    <t>BAVARIA</t>
  </si>
  <si>
    <t>ROOM</t>
  </si>
  <si>
    <t>REFUGE</t>
  </si>
  <si>
    <t>MUNICH</t>
  </si>
  <si>
    <t>CHILDREN</t>
  </si>
  <si>
    <t>CAT</t>
  </si>
  <si>
    <t>HELP_ORGANISATION</t>
  </si>
  <si>
    <t>MUNICH_WOMEN_REFUGE</t>
  </si>
  <si>
    <t>SEXUAL_VIOLENCE</t>
  </si>
  <si>
    <t>FAMILIES_OF_MAN</t>
  </si>
  <si>
    <t>EUROPE</t>
  </si>
  <si>
    <t>FORCES_MARRIAGE</t>
  </si>
  <si>
    <t>HONOUR_KILLINGS</t>
  </si>
  <si>
    <t>SLAVERY</t>
  </si>
  <si>
    <t>PROSTITUTION</t>
  </si>
  <si>
    <t>GROUP</t>
  </si>
  <si>
    <t>VIOLENCE &gt;SEXUAL_VIOLENCE, FORCES_MARRIAGE, HONOUR_KILLINGS, SLAVERY, PROSTITUTION</t>
  </si>
  <si>
    <t>IN_FOCUS</t>
  </si>
  <si>
    <t>VIOLENCE</t>
  </si>
  <si>
    <t>IDIOM</t>
  </si>
  <si>
    <t>#  REF: to be fleeing from capture</t>
  </si>
  <si>
    <t>FAMILIES_OF_WOMEN</t>
  </si>
  <si>
    <t># PARSER_ERROR: possessive split incorrectly ("woman ’s consent")</t>
  </si>
  <si>
    <t>OLD</t>
  </si>
  <si>
    <t>BOUND</t>
  </si>
  <si>
    <t>AUTHORITIES</t>
  </si>
  <si>
    <t>UPPER_PALATINATE</t>
  </si>
  <si>
    <t>SWABIA</t>
  </si>
  <si>
    <t>SPOKESPERSON</t>
  </si>
  <si>
    <t>UPPER_BAVARIA</t>
  </si>
  <si>
    <t>LOWER_FRANCONIA</t>
  </si>
  <si>
    <t>MIDDLE_FRANCONIA</t>
  </si>
  <si>
    <t>LOWER_BAVARIA</t>
  </si>
  <si>
    <t>EU_COMMITTEE</t>
  </si>
  <si>
    <t># PARSER_ERROR: possessive split incorrectly</t>
  </si>
  <si>
    <t>WOMENS_RIGHTS</t>
  </si>
  <si>
    <t>GENDER_EQUALITY</t>
  </si>
  <si>
    <t>MEN_REFUGEE</t>
  </si>
  <si>
    <t>REFERENTIAL</t>
  </si>
  <si>
    <t xml:space="preserve">FAMILIAR </t>
  </si>
  <si>
    <t># headline</t>
  </si>
  <si>
    <t>TYPE</t>
  </si>
  <si>
    <t>ACTIVATED</t>
  </si>
  <si>
    <t xml:space="preserve"># not sure about Bound </t>
  </si>
  <si>
    <t>TABLETOP</t>
  </si>
  <si>
    <t># further on no referentiality</t>
  </si>
  <si>
    <t>SCENE</t>
  </si>
  <si>
    <t>FAMILIAR</t>
  </si>
  <si>
    <t>GEN</t>
  </si>
  <si>
    <t>CONDROBS</t>
  </si>
  <si>
    <t># deal with an issue --&gt; collocation</t>
  </si>
  <si>
    <t>REFUGEE_CENTERS</t>
  </si>
  <si>
    <t>JANUARY</t>
  </si>
  <si>
    <t># collocation</t>
  </si>
  <si>
    <t>PRO_FAMILIA</t>
  </si>
  <si>
    <t># # PARSER_ERROR: possessive split incorrectly ("woman ’s")</t>
  </si>
  <si>
    <t>OPENING</t>
  </si>
  <si>
    <t>EXCEPTION</t>
  </si>
  <si>
    <t># can be seen as deictic?</t>
  </si>
  <si>
    <t>NEW</t>
  </si>
  <si>
    <t>HOME_COUNTRIES</t>
  </si>
  <si>
    <t xml:space="preserve"># not sure bec. in the prev. Sent. No. Mentioning of women. </t>
  </si>
  <si>
    <t>LOCATION</t>
  </si>
  <si>
    <t>CONSENT</t>
  </si>
  <si>
    <t>UNIQUE</t>
  </si>
  <si>
    <t># Parser error</t>
  </si>
  <si>
    <t>AREAS</t>
  </si>
  <si>
    <t>UPPER_FRANCONIA</t>
  </si>
  <si>
    <t>ACITIVATED</t>
  </si>
  <si>
    <t>EU_PARLIAMENT</t>
  </si>
  <si>
    <t>GOVERNMENT</t>
  </si>
  <si>
    <t>WOMEN_REFUGE</t>
  </si>
  <si>
    <t xml:space="preserve"># conceiving children without a consent </t>
  </si>
  <si>
    <t>EXPL</t>
  </si>
  <si>
    <t>EU_STUDY</t>
  </si>
  <si>
    <t>LACK_OF_PRIVATE_SPACE</t>
  </si>
  <si>
    <t>FAMILAIR</t>
  </si>
  <si>
    <t>PROTECTION</t>
  </si>
  <si>
    <t># collocation "the very large amount/quantity"</t>
  </si>
  <si>
    <t xml:space="preserve">MUNICH </t>
  </si>
  <si>
    <t># later would be mentioned what exactly for refuge</t>
  </si>
  <si>
    <t>REFUGE_FOR_MEN</t>
  </si>
  <si>
    <t>REFUGE_FOR_WOMEN</t>
  </si>
  <si>
    <t>MEN_REFUGE</t>
  </si>
  <si>
    <t>REFUGE&gt;MAN_REFUGE, WOMAN_REFUGE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</si>
</sst>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workbookViewId="0">
      <pane xSplit="5" ySplit="1" topLeftCell="F2" activePane="bottomRight" state="frozen"/>
      <selection pane="topRight" activeCell="F1" sqref="F1"/>
      <selection pane="bottomLeft" activeCell="A2" sqref="A2"/>
      <selection pane="bottomRight"/>
    </sheetView>
  </sheetViews>
  <sheetFormatPr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3" si="0">IF(A2=1,"_",IF(C2="_","???",C2))</f>
        <v>???</v>
      </c>
      <c r="H2" s="10" t="s">
        <v>12</v>
      </c>
      <c r="I2" s="11" t="s">
        <v>12</v>
      </c>
      <c r="J2" s="12"/>
    </row>
    <row r="3" spans="1:10" ht="60" customHeight="1" x14ac:dyDescent="0.3">
      <c r="A3" s="6" t="s">
        <v>11</v>
      </c>
      <c r="B3" s="6" t="s">
        <v>11</v>
      </c>
      <c r="C3" s="6" t="s">
        <v>16</v>
      </c>
      <c r="D3" s="7" t="s">
        <v>17</v>
      </c>
      <c r="E3" s="8" t="s">
        <v>18</v>
      </c>
      <c r="F3" s="6" t="s">
        <v>19</v>
      </c>
      <c r="G3" s="9" t="str">
        <f t="shared" si="0"/>
        <v>for?</v>
      </c>
      <c r="H3" s="10" t="s">
        <v>12</v>
      </c>
      <c r="I3" s="11" t="s">
        <v>12</v>
      </c>
      <c r="J3" s="12"/>
    </row>
    <row r="4" spans="1:10" ht="60" customHeight="1" x14ac:dyDescent="0.3">
      <c r="A4" s="6" t="s">
        <v>20</v>
      </c>
      <c r="B4" s="6" t="s">
        <v>21</v>
      </c>
      <c r="C4" s="6" t="s">
        <v>22</v>
      </c>
      <c r="D4" s="7" t="s">
        <v>23</v>
      </c>
      <c r="E4" s="8" t="s">
        <v>24</v>
      </c>
      <c r="F4" s="6" t="s">
        <v>25</v>
      </c>
      <c r="G4" s="9" t="str">
        <f t="shared" si="0"/>
        <v>when?</v>
      </c>
      <c r="H4" s="10" t="s">
        <v>12</v>
      </c>
      <c r="I4" s="11" t="s">
        <v>12</v>
      </c>
      <c r="J4" s="12"/>
    </row>
    <row r="5" spans="1:10" ht="60" customHeight="1" x14ac:dyDescent="0.3">
      <c r="A5" s="6" t="s">
        <v>26</v>
      </c>
      <c r="B5" s="6" t="s">
        <v>26</v>
      </c>
      <c r="C5" s="6" t="s">
        <v>12</v>
      </c>
      <c r="D5" s="7" t="s">
        <v>13</v>
      </c>
      <c r="E5" s="8" t="s">
        <v>27</v>
      </c>
      <c r="F5" s="6" t="s">
        <v>28</v>
      </c>
      <c r="G5" s="9" t="str">
        <f t="shared" si="0"/>
        <v>???</v>
      </c>
      <c r="H5" s="10" t="s">
        <v>12</v>
      </c>
      <c r="I5" s="11" t="s">
        <v>12</v>
      </c>
      <c r="J5" s="12"/>
    </row>
    <row r="6" spans="1:10" ht="60" customHeight="1" x14ac:dyDescent="0.3">
      <c r="A6" s="6" t="s">
        <v>29</v>
      </c>
      <c r="B6" s="6" t="s">
        <v>26</v>
      </c>
      <c r="C6" s="6" t="s">
        <v>12</v>
      </c>
      <c r="D6" s="7" t="s">
        <v>30</v>
      </c>
      <c r="E6" s="8" t="s">
        <v>31</v>
      </c>
      <c r="F6" s="6" t="s">
        <v>32</v>
      </c>
      <c r="G6" s="9" t="str">
        <f t="shared" si="0"/>
        <v>???</v>
      </c>
      <c r="H6" s="10" t="s">
        <v>12</v>
      </c>
      <c r="I6" s="11" t="s">
        <v>12</v>
      </c>
      <c r="J6" s="12"/>
    </row>
    <row r="7" spans="1:10" ht="60" customHeight="1" x14ac:dyDescent="0.3">
      <c r="A7" s="6" t="s">
        <v>33</v>
      </c>
      <c r="B7" s="6" t="s">
        <v>29</v>
      </c>
      <c r="C7" s="6" t="s">
        <v>12</v>
      </c>
      <c r="D7" s="7" t="s">
        <v>34</v>
      </c>
      <c r="E7" s="8" t="s">
        <v>35</v>
      </c>
      <c r="F7" s="6" t="s">
        <v>36</v>
      </c>
      <c r="G7" s="9" t="str">
        <f t="shared" si="0"/>
        <v>???</v>
      </c>
      <c r="H7" s="10" t="s">
        <v>12</v>
      </c>
      <c r="I7" s="11" t="s">
        <v>12</v>
      </c>
      <c r="J7" s="12"/>
    </row>
    <row r="8" spans="1:10" ht="60" customHeight="1" x14ac:dyDescent="0.3">
      <c r="A8" s="6" t="s">
        <v>37</v>
      </c>
      <c r="B8" s="6" t="s">
        <v>20</v>
      </c>
      <c r="C8" s="6" t="s">
        <v>12</v>
      </c>
      <c r="D8" s="7" t="s">
        <v>38</v>
      </c>
      <c r="E8" s="8" t="s">
        <v>39</v>
      </c>
      <c r="F8" s="6" t="s">
        <v>40</v>
      </c>
      <c r="G8" s="9" t="str">
        <f t="shared" si="0"/>
        <v>???</v>
      </c>
      <c r="H8" s="10" t="s">
        <v>12</v>
      </c>
      <c r="I8" s="11" t="s">
        <v>12</v>
      </c>
      <c r="J8" s="12"/>
    </row>
    <row r="9" spans="1:10" ht="60" customHeight="1" x14ac:dyDescent="0.3">
      <c r="A9" s="6" t="s">
        <v>41</v>
      </c>
      <c r="B9" s="6" t="s">
        <v>11</v>
      </c>
      <c r="C9" s="6" t="s">
        <v>12</v>
      </c>
      <c r="D9" s="7" t="s">
        <v>42</v>
      </c>
      <c r="E9" s="8" t="s">
        <v>43</v>
      </c>
      <c r="F9" s="6" t="s">
        <v>44</v>
      </c>
      <c r="G9" s="9" t="str">
        <f t="shared" si="0"/>
        <v>???</v>
      </c>
      <c r="H9" s="10" t="s">
        <v>12</v>
      </c>
      <c r="I9" s="11" t="s">
        <v>12</v>
      </c>
      <c r="J9" s="12"/>
    </row>
    <row r="10" spans="1:10" ht="60" customHeight="1" x14ac:dyDescent="0.3">
      <c r="A10" s="6" t="s">
        <v>45</v>
      </c>
      <c r="B10" s="6" t="s">
        <v>20</v>
      </c>
      <c r="C10" s="6" t="s">
        <v>12</v>
      </c>
      <c r="D10" s="7" t="s">
        <v>46</v>
      </c>
      <c r="E10" s="8" t="s">
        <v>47</v>
      </c>
      <c r="F10" s="6" t="s">
        <v>48</v>
      </c>
      <c r="G10" s="9" t="str">
        <f t="shared" si="0"/>
        <v>???</v>
      </c>
      <c r="H10" s="10" t="s">
        <v>12</v>
      </c>
      <c r="I10" s="11" t="s">
        <v>12</v>
      </c>
      <c r="J10" s="12"/>
    </row>
    <row r="11" spans="1:10" ht="60" customHeight="1" x14ac:dyDescent="0.3">
      <c r="A11" s="6" t="s">
        <v>21</v>
      </c>
      <c r="B11" s="6" t="s">
        <v>37</v>
      </c>
      <c r="C11" s="6" t="s">
        <v>49</v>
      </c>
      <c r="D11" s="7" t="s">
        <v>50</v>
      </c>
      <c r="E11" s="8" t="s">
        <v>51</v>
      </c>
      <c r="F11" s="6" t="s">
        <v>52</v>
      </c>
      <c r="G11" s="9" t="str">
        <f t="shared" si="0"/>
        <v>until?</v>
      </c>
      <c r="H11" s="10" t="s">
        <v>12</v>
      </c>
      <c r="I11" s="11" t="s">
        <v>12</v>
      </c>
      <c r="J11" s="12"/>
    </row>
    <row r="12" spans="1:10" ht="60" customHeight="1" x14ac:dyDescent="0.3">
      <c r="A12" s="6" t="s">
        <v>53</v>
      </c>
      <c r="B12" s="6" t="s">
        <v>11</v>
      </c>
      <c r="C12" s="6" t="s">
        <v>54</v>
      </c>
      <c r="D12" s="7" t="s">
        <v>55</v>
      </c>
      <c r="E12" s="8" t="s">
        <v>56</v>
      </c>
      <c r="F12" s="6" t="s">
        <v>57</v>
      </c>
      <c r="G12" s="9" t="str">
        <f t="shared" si="0"/>
        <v>and?</v>
      </c>
      <c r="H12" s="10" t="s">
        <v>12</v>
      </c>
      <c r="I12" s="11" t="s">
        <v>12</v>
      </c>
      <c r="J12" s="12"/>
    </row>
    <row r="13" spans="1:10" ht="60" customHeight="1" x14ac:dyDescent="0.3">
      <c r="A13" s="6" t="s">
        <v>58</v>
      </c>
      <c r="B13" s="6" t="s">
        <v>20</v>
      </c>
      <c r="C13" s="6" t="s">
        <v>12</v>
      </c>
      <c r="D13" s="7" t="s">
        <v>42</v>
      </c>
      <c r="E13" s="8" t="s">
        <v>59</v>
      </c>
      <c r="F13" s="6" t="s">
        <v>60</v>
      </c>
      <c r="G13" s="9" t="str">
        <f t="shared" si="0"/>
        <v>???</v>
      </c>
      <c r="H13" s="10" t="s">
        <v>12</v>
      </c>
      <c r="I13" s="11" t="s">
        <v>12</v>
      </c>
      <c r="J13" s="12"/>
    </row>
    <row r="14" spans="1:10" ht="60" customHeight="1" x14ac:dyDescent="0.3">
      <c r="A14" s="6" t="s">
        <v>61</v>
      </c>
      <c r="B14" s="6" t="s">
        <v>20</v>
      </c>
      <c r="C14" s="6" t="s">
        <v>49</v>
      </c>
      <c r="D14" s="7" t="s">
        <v>62</v>
      </c>
      <c r="E14" s="8" t="s">
        <v>63</v>
      </c>
      <c r="F14" s="6" t="s">
        <v>64</v>
      </c>
      <c r="G14" s="9" t="str">
        <f t="shared" si="0"/>
        <v>until?</v>
      </c>
      <c r="H14" s="10" t="s">
        <v>12</v>
      </c>
      <c r="I14" s="11" t="s">
        <v>12</v>
      </c>
      <c r="J14" s="12"/>
    </row>
    <row r="15" spans="1:10" ht="60" customHeight="1" x14ac:dyDescent="0.3">
      <c r="A15" s="6" t="s">
        <v>65</v>
      </c>
      <c r="B15" s="6" t="s">
        <v>11</v>
      </c>
      <c r="C15" s="6" t="s">
        <v>16</v>
      </c>
      <c r="D15" s="7" t="s">
        <v>66</v>
      </c>
      <c r="E15" s="8" t="s">
        <v>67</v>
      </c>
      <c r="F15" s="6" t="s">
        <v>68</v>
      </c>
      <c r="G15" s="9" t="str">
        <f t="shared" si="0"/>
        <v>for?</v>
      </c>
      <c r="H15" s="10" t="s">
        <v>12</v>
      </c>
      <c r="I15" s="11" t="s">
        <v>12</v>
      </c>
      <c r="J15" s="12"/>
    </row>
    <row r="16" spans="1:10" ht="60" customHeight="1" x14ac:dyDescent="0.3">
      <c r="A16" s="6" t="s">
        <v>69</v>
      </c>
      <c r="B16" s="6" t="s">
        <v>41</v>
      </c>
      <c r="C16" s="6" t="s">
        <v>12</v>
      </c>
      <c r="D16" s="7" t="s">
        <v>70</v>
      </c>
      <c r="E16" s="8" t="s">
        <v>71</v>
      </c>
      <c r="F16" s="6" t="s">
        <v>72</v>
      </c>
      <c r="G16" s="9" t="str">
        <f t="shared" si="0"/>
        <v>???</v>
      </c>
      <c r="H16" s="10" t="s">
        <v>12</v>
      </c>
      <c r="I16" s="11" t="s">
        <v>12</v>
      </c>
      <c r="J16" s="12"/>
    </row>
    <row r="17" spans="1:10" ht="60" customHeight="1" x14ac:dyDescent="0.3">
      <c r="A17" s="6" t="s">
        <v>73</v>
      </c>
      <c r="B17" s="6" t="s">
        <v>37</v>
      </c>
      <c r="C17" s="6" t="s">
        <v>12</v>
      </c>
      <c r="D17" s="7" t="s">
        <v>74</v>
      </c>
      <c r="E17" s="8" t="s">
        <v>75</v>
      </c>
      <c r="F17" s="6" t="s">
        <v>76</v>
      </c>
      <c r="G17" s="9" t="str">
        <f t="shared" si="0"/>
        <v>???</v>
      </c>
      <c r="H17" s="10" t="s">
        <v>12</v>
      </c>
      <c r="I17" s="11" t="s">
        <v>12</v>
      </c>
      <c r="J17" s="12"/>
    </row>
    <row r="18" spans="1:10" ht="60" customHeight="1" x14ac:dyDescent="0.3">
      <c r="A18" s="6" t="s">
        <v>77</v>
      </c>
      <c r="B18" s="6" t="s">
        <v>11</v>
      </c>
      <c r="C18" s="6" t="s">
        <v>54</v>
      </c>
      <c r="D18" s="7" t="s">
        <v>78</v>
      </c>
      <c r="E18" s="8" t="s">
        <v>79</v>
      </c>
      <c r="F18" s="6" t="s">
        <v>80</v>
      </c>
      <c r="G18" s="9" t="str">
        <f t="shared" si="0"/>
        <v>and?</v>
      </c>
      <c r="H18" s="10" t="s">
        <v>12</v>
      </c>
      <c r="I18" s="11" t="s">
        <v>12</v>
      </c>
      <c r="J18" s="12"/>
    </row>
    <row r="19" spans="1:10" ht="60" customHeight="1" x14ac:dyDescent="0.3">
      <c r="A19" s="6" t="s">
        <v>81</v>
      </c>
      <c r="B19" s="6" t="s">
        <v>11</v>
      </c>
      <c r="C19" s="6" t="s">
        <v>12</v>
      </c>
      <c r="D19" s="7" t="s">
        <v>82</v>
      </c>
      <c r="E19" s="8" t="s">
        <v>83</v>
      </c>
      <c r="F19" s="6" t="s">
        <v>84</v>
      </c>
      <c r="G19" s="9" t="str">
        <f t="shared" si="0"/>
        <v>???</v>
      </c>
      <c r="H19" s="10" t="s">
        <v>12</v>
      </c>
      <c r="I19" s="11" t="s">
        <v>12</v>
      </c>
      <c r="J19" s="12"/>
    </row>
    <row r="20" spans="1:10" ht="60" customHeight="1" x14ac:dyDescent="0.3">
      <c r="A20" s="6" t="s">
        <v>85</v>
      </c>
      <c r="B20" s="6" t="s">
        <v>20</v>
      </c>
      <c r="C20" s="6" t="s">
        <v>12</v>
      </c>
      <c r="D20" s="7" t="s">
        <v>34</v>
      </c>
      <c r="E20" s="8" t="s">
        <v>86</v>
      </c>
      <c r="F20" s="6" t="s">
        <v>87</v>
      </c>
      <c r="G20" s="9" t="str">
        <f t="shared" si="0"/>
        <v>???</v>
      </c>
      <c r="H20" s="10" t="s">
        <v>12</v>
      </c>
      <c r="I20" s="11" t="s">
        <v>12</v>
      </c>
      <c r="J20" s="12"/>
    </row>
    <row r="21" spans="1:10" ht="60" customHeight="1" x14ac:dyDescent="0.3">
      <c r="A21" s="6" t="s">
        <v>88</v>
      </c>
      <c r="B21" s="6" t="s">
        <v>20</v>
      </c>
      <c r="C21" s="6" t="s">
        <v>12</v>
      </c>
      <c r="D21" s="7" t="s">
        <v>78</v>
      </c>
      <c r="E21" s="8" t="s">
        <v>89</v>
      </c>
      <c r="F21" s="6" t="s">
        <v>90</v>
      </c>
      <c r="G21" s="9" t="str">
        <f t="shared" si="0"/>
        <v>???</v>
      </c>
      <c r="H21" s="10" t="s">
        <v>12</v>
      </c>
      <c r="I21" s="11" t="s">
        <v>12</v>
      </c>
      <c r="J21" s="12"/>
    </row>
    <row r="22" spans="1:10" ht="60" customHeight="1" x14ac:dyDescent="0.3">
      <c r="A22" s="6" t="s">
        <v>91</v>
      </c>
      <c r="B22" s="6" t="s">
        <v>11</v>
      </c>
      <c r="C22" s="6" t="s">
        <v>12</v>
      </c>
      <c r="D22" s="7" t="s">
        <v>92</v>
      </c>
      <c r="E22" s="8" t="s">
        <v>93</v>
      </c>
      <c r="F22" s="6" t="s">
        <v>94</v>
      </c>
      <c r="G22" s="9" t="str">
        <f t="shared" si="0"/>
        <v>???</v>
      </c>
      <c r="H22" s="10" t="s">
        <v>12</v>
      </c>
      <c r="I22" s="11" t="s">
        <v>12</v>
      </c>
      <c r="J22" s="12"/>
    </row>
    <row r="23" spans="1:10" ht="60" customHeight="1" x14ac:dyDescent="0.3">
      <c r="A23" s="6" t="s">
        <v>95</v>
      </c>
      <c r="B23" s="6" t="s">
        <v>20</v>
      </c>
      <c r="C23" s="6" t="s">
        <v>12</v>
      </c>
      <c r="D23" s="7" t="s">
        <v>96</v>
      </c>
      <c r="E23" s="8" t="s">
        <v>97</v>
      </c>
      <c r="F23" s="6" t="s">
        <v>98</v>
      </c>
      <c r="G23" s="9" t="str">
        <f t="shared" si="0"/>
        <v>???</v>
      </c>
      <c r="H23" s="10" t="s">
        <v>12</v>
      </c>
      <c r="I23" s="11" t="s">
        <v>12</v>
      </c>
      <c r="J23" s="12"/>
    </row>
    <row r="24" spans="1:10" ht="60" customHeight="1" x14ac:dyDescent="0.3">
      <c r="A24" s="6" t="s">
        <v>99</v>
      </c>
      <c r="B24" s="6" t="s">
        <v>100</v>
      </c>
      <c r="C24" s="6" t="s">
        <v>12</v>
      </c>
      <c r="D24" s="7" t="s">
        <v>101</v>
      </c>
      <c r="E24" s="8" t="s">
        <v>102</v>
      </c>
      <c r="F24" s="6" t="s">
        <v>103</v>
      </c>
      <c r="G24" s="9" t="str">
        <f t="shared" si="0"/>
        <v>???</v>
      </c>
      <c r="H24" s="10" t="s">
        <v>12</v>
      </c>
      <c r="I24" s="11" t="s">
        <v>12</v>
      </c>
      <c r="J24" s="12"/>
    </row>
    <row r="25" spans="1:10" ht="60" customHeight="1" x14ac:dyDescent="0.3">
      <c r="A25" s="6" t="s">
        <v>104</v>
      </c>
      <c r="B25" s="6" t="s">
        <v>20</v>
      </c>
      <c r="C25" s="6" t="s">
        <v>105</v>
      </c>
      <c r="D25" s="7" t="s">
        <v>106</v>
      </c>
      <c r="E25" s="8" t="s">
        <v>107</v>
      </c>
      <c r="F25" s="6" t="s">
        <v>108</v>
      </c>
      <c r="G25" s="9" t="str">
        <f t="shared" si="0"/>
        <v>because?</v>
      </c>
      <c r="H25" s="10" t="s">
        <v>12</v>
      </c>
      <c r="I25" s="11" t="s">
        <v>12</v>
      </c>
      <c r="J25" s="12"/>
    </row>
    <row r="26" spans="1:10" ht="60" customHeight="1" x14ac:dyDescent="0.3">
      <c r="A26" s="6" t="s">
        <v>109</v>
      </c>
      <c r="B26" s="6" t="s">
        <v>37</v>
      </c>
      <c r="C26" s="6" t="s">
        <v>22</v>
      </c>
      <c r="D26" s="7" t="s">
        <v>110</v>
      </c>
      <c r="E26" s="8" t="s">
        <v>111</v>
      </c>
      <c r="F26" s="6" t="s">
        <v>112</v>
      </c>
      <c r="G26" s="9" t="str">
        <f t="shared" si="0"/>
        <v>when?</v>
      </c>
      <c r="H26" s="10" t="s">
        <v>12</v>
      </c>
      <c r="I26" s="11" t="s">
        <v>12</v>
      </c>
      <c r="J26" s="12"/>
    </row>
    <row r="27" spans="1:10" ht="60" customHeight="1" x14ac:dyDescent="0.3">
      <c r="A27" s="6" t="s">
        <v>113</v>
      </c>
      <c r="B27" s="6" t="s">
        <v>37</v>
      </c>
      <c r="C27" s="6" t="s">
        <v>12</v>
      </c>
      <c r="D27" s="7" t="s">
        <v>114</v>
      </c>
      <c r="E27" s="8" t="s">
        <v>115</v>
      </c>
      <c r="F27" s="6" t="s">
        <v>116</v>
      </c>
      <c r="G27" s="9" t="str">
        <f t="shared" si="0"/>
        <v>???</v>
      </c>
      <c r="H27" s="10" t="s">
        <v>12</v>
      </c>
      <c r="I27" s="11" t="s">
        <v>12</v>
      </c>
      <c r="J27" s="12"/>
    </row>
    <row r="28" spans="1:10" ht="60" customHeight="1" x14ac:dyDescent="0.3">
      <c r="A28" s="6" t="s">
        <v>117</v>
      </c>
      <c r="B28" s="6" t="s">
        <v>11</v>
      </c>
      <c r="C28" s="6" t="s">
        <v>12</v>
      </c>
      <c r="D28" s="7" t="s">
        <v>118</v>
      </c>
      <c r="E28" s="8" t="s">
        <v>119</v>
      </c>
      <c r="F28" s="6" t="s">
        <v>120</v>
      </c>
      <c r="G28" s="9" t="str">
        <f t="shared" si="0"/>
        <v>???</v>
      </c>
      <c r="H28" s="10" t="s">
        <v>12</v>
      </c>
      <c r="I28" s="11" t="s">
        <v>12</v>
      </c>
      <c r="J28" s="12"/>
    </row>
    <row r="29" spans="1:10" ht="60" customHeight="1" x14ac:dyDescent="0.3">
      <c r="A29" s="6" t="s">
        <v>100</v>
      </c>
      <c r="B29" s="6" t="s">
        <v>20</v>
      </c>
      <c r="C29" s="6" t="s">
        <v>121</v>
      </c>
      <c r="D29" s="7" t="s">
        <v>122</v>
      </c>
      <c r="E29" s="8" t="s">
        <v>123</v>
      </c>
      <c r="F29" s="6" t="s">
        <v>124</v>
      </c>
      <c r="G29" s="9" t="str">
        <f t="shared" si="0"/>
        <v>while?</v>
      </c>
      <c r="H29" s="10" t="s">
        <v>12</v>
      </c>
      <c r="I29" s="11" t="s">
        <v>12</v>
      </c>
      <c r="J29" s="12"/>
    </row>
    <row r="30" spans="1:10" ht="60" customHeight="1" x14ac:dyDescent="0.3">
      <c r="A30" s="6" t="s">
        <v>125</v>
      </c>
      <c r="B30" s="6" t="s">
        <v>20</v>
      </c>
      <c r="C30" s="6" t="s">
        <v>12</v>
      </c>
      <c r="D30" s="7" t="s">
        <v>126</v>
      </c>
      <c r="E30" s="8" t="s">
        <v>127</v>
      </c>
      <c r="F30" s="6" t="s">
        <v>128</v>
      </c>
      <c r="G30" s="9" t="str">
        <f t="shared" si="0"/>
        <v>???</v>
      </c>
      <c r="H30" s="10" t="s">
        <v>12</v>
      </c>
      <c r="I30" s="11" t="s">
        <v>12</v>
      </c>
      <c r="J30" s="12"/>
    </row>
    <row r="31" spans="1:10" ht="60" customHeight="1" x14ac:dyDescent="0.3">
      <c r="A31" s="6" t="s">
        <v>129</v>
      </c>
      <c r="B31" s="6" t="s">
        <v>26</v>
      </c>
      <c r="C31" s="6" t="s">
        <v>54</v>
      </c>
      <c r="D31" s="7" t="s">
        <v>130</v>
      </c>
      <c r="E31" s="8" t="s">
        <v>131</v>
      </c>
      <c r="F31" s="6" t="s">
        <v>132</v>
      </c>
      <c r="G31" s="9" t="str">
        <f t="shared" si="0"/>
        <v>and?</v>
      </c>
      <c r="H31" s="10" t="s">
        <v>12</v>
      </c>
      <c r="I31" s="11" t="s">
        <v>12</v>
      </c>
      <c r="J31" s="12"/>
    </row>
    <row r="32" spans="1:10" ht="60" customHeight="1" x14ac:dyDescent="0.3">
      <c r="A32" s="6" t="s">
        <v>133</v>
      </c>
      <c r="B32" s="6" t="s">
        <v>20</v>
      </c>
      <c r="C32" s="6" t="s">
        <v>134</v>
      </c>
      <c r="D32" s="7" t="s">
        <v>135</v>
      </c>
      <c r="E32" s="8" t="s">
        <v>136</v>
      </c>
      <c r="F32" s="6" t="s">
        <v>137</v>
      </c>
      <c r="G32" s="9" t="str">
        <f t="shared" si="0"/>
        <v>if?</v>
      </c>
      <c r="H32" s="10" t="s">
        <v>12</v>
      </c>
      <c r="I32" s="11" t="s">
        <v>12</v>
      </c>
      <c r="J32" s="12"/>
    </row>
    <row r="33" spans="1:10" ht="60" customHeight="1" x14ac:dyDescent="0.3">
      <c r="A33" s="6" t="s">
        <v>138</v>
      </c>
      <c r="B33" s="6" t="s">
        <v>45</v>
      </c>
      <c r="C33" s="6" t="s">
        <v>139</v>
      </c>
      <c r="D33" s="7" t="s">
        <v>140</v>
      </c>
      <c r="E33" s="8" t="s">
        <v>141</v>
      </c>
      <c r="F33" s="6" t="s">
        <v>142</v>
      </c>
      <c r="G33" s="9" t="str">
        <f t="shared" si="0"/>
        <v>as?</v>
      </c>
      <c r="H33" s="10" t="s">
        <v>12</v>
      </c>
      <c r="I33" s="11" t="s">
        <v>12</v>
      </c>
      <c r="J33" s="12"/>
    </row>
    <row r="34" spans="1:10" ht="60" customHeight="1" x14ac:dyDescent="0.3">
      <c r="A34" s="6" t="s">
        <v>143</v>
      </c>
      <c r="B34" s="6" t="s">
        <v>88</v>
      </c>
      <c r="C34" s="6" t="s">
        <v>144</v>
      </c>
      <c r="D34" s="7" t="s">
        <v>23</v>
      </c>
      <c r="E34" s="8" t="s">
        <v>145</v>
      </c>
      <c r="F34" s="6" t="s">
        <v>146</v>
      </c>
      <c r="G34" s="9" t="str">
        <f t="shared" ref="G34:G52" si="1">IF(A34=1,"_",IF(C34="_","???",C34))</f>
        <v>as a result?</v>
      </c>
      <c r="H34" s="10" t="s">
        <v>12</v>
      </c>
      <c r="I34" s="11" t="s">
        <v>12</v>
      </c>
      <c r="J34" s="12"/>
    </row>
    <row r="35" spans="1:10" ht="60" customHeight="1" x14ac:dyDescent="0.3">
      <c r="A35" s="6" t="s">
        <v>147</v>
      </c>
      <c r="B35" s="6" t="s">
        <v>45</v>
      </c>
      <c r="C35" s="6" t="s">
        <v>12</v>
      </c>
      <c r="D35" s="7" t="s">
        <v>148</v>
      </c>
      <c r="E35" s="8" t="s">
        <v>149</v>
      </c>
      <c r="F35" s="6" t="s">
        <v>150</v>
      </c>
      <c r="G35" s="9" t="str">
        <f t="shared" si="1"/>
        <v>???</v>
      </c>
      <c r="H35" s="10" t="s">
        <v>12</v>
      </c>
      <c r="I35" s="11" t="s">
        <v>12</v>
      </c>
      <c r="J35" s="12"/>
    </row>
    <row r="36" spans="1:10" ht="60" customHeight="1" x14ac:dyDescent="0.3">
      <c r="A36" s="6" t="s">
        <v>151</v>
      </c>
      <c r="B36" s="6" t="s">
        <v>58</v>
      </c>
      <c r="C36" s="6" t="s">
        <v>152</v>
      </c>
      <c r="D36" s="7" t="s">
        <v>153</v>
      </c>
      <c r="E36" s="8" t="s">
        <v>154</v>
      </c>
      <c r="F36" s="6" t="s">
        <v>155</v>
      </c>
      <c r="G36" s="9" t="str">
        <f t="shared" si="1"/>
        <v>so?</v>
      </c>
      <c r="H36" s="10" t="s">
        <v>12</v>
      </c>
      <c r="I36" s="11" t="s">
        <v>12</v>
      </c>
      <c r="J36" s="12"/>
    </row>
    <row r="37" spans="1:10" ht="60" customHeight="1" x14ac:dyDescent="0.3">
      <c r="A37" s="6" t="s">
        <v>156</v>
      </c>
      <c r="B37" s="6" t="s">
        <v>33</v>
      </c>
      <c r="C37" s="6" t="s">
        <v>157</v>
      </c>
      <c r="D37" s="7" t="s">
        <v>158</v>
      </c>
      <c r="E37" s="8" t="s">
        <v>159</v>
      </c>
      <c r="F37" s="6" t="s">
        <v>160</v>
      </c>
      <c r="G37" s="9" t="str">
        <f t="shared" si="1"/>
        <v>or?</v>
      </c>
      <c r="H37" s="10" t="s">
        <v>12</v>
      </c>
      <c r="I37" s="11" t="s">
        <v>12</v>
      </c>
      <c r="J37" s="12"/>
    </row>
    <row r="38" spans="1:10" ht="60" customHeight="1" x14ac:dyDescent="0.3">
      <c r="A38" s="6" t="s">
        <v>161</v>
      </c>
      <c r="B38" s="6" t="s">
        <v>95</v>
      </c>
      <c r="C38" s="6" t="s">
        <v>12</v>
      </c>
      <c r="D38" s="7" t="s">
        <v>101</v>
      </c>
      <c r="E38" s="8" t="s">
        <v>162</v>
      </c>
      <c r="F38" s="6" t="s">
        <v>163</v>
      </c>
      <c r="G38" s="9" t="str">
        <f t="shared" si="1"/>
        <v>???</v>
      </c>
      <c r="H38" s="10" t="s">
        <v>12</v>
      </c>
      <c r="I38" s="11" t="s">
        <v>12</v>
      </c>
      <c r="J38" s="12"/>
    </row>
    <row r="39" spans="1:10" ht="60" customHeight="1" x14ac:dyDescent="0.3">
      <c r="A39" s="6" t="s">
        <v>164</v>
      </c>
      <c r="B39" s="6" t="s">
        <v>41</v>
      </c>
      <c r="C39" s="6" t="s">
        <v>16</v>
      </c>
      <c r="D39" s="7" t="s">
        <v>165</v>
      </c>
      <c r="E39" s="8" t="s">
        <v>166</v>
      </c>
      <c r="F39" s="6" t="s">
        <v>167</v>
      </c>
      <c r="G39" s="9" t="str">
        <f t="shared" si="1"/>
        <v>for?</v>
      </c>
      <c r="H39" s="10" t="s">
        <v>12</v>
      </c>
      <c r="I39" s="11" t="s">
        <v>12</v>
      </c>
      <c r="J39" s="12"/>
    </row>
    <row r="40" spans="1:10" ht="60" customHeight="1" x14ac:dyDescent="0.3">
      <c r="A40" s="6" t="s">
        <v>168</v>
      </c>
      <c r="B40" s="6" t="s">
        <v>29</v>
      </c>
      <c r="C40" s="6" t="s">
        <v>22</v>
      </c>
      <c r="D40" s="7" t="s">
        <v>169</v>
      </c>
      <c r="E40" s="8" t="s">
        <v>170</v>
      </c>
      <c r="F40" s="6" t="s">
        <v>171</v>
      </c>
      <c r="G40" s="9" t="str">
        <f t="shared" si="1"/>
        <v>when?</v>
      </c>
      <c r="H40" s="10" t="s">
        <v>12</v>
      </c>
      <c r="I40" s="11" t="s">
        <v>12</v>
      </c>
      <c r="J40" s="12"/>
    </row>
    <row r="41" spans="1:10" ht="60" customHeight="1" x14ac:dyDescent="0.3">
      <c r="A41" s="6" t="s">
        <v>172</v>
      </c>
      <c r="B41" s="6" t="s">
        <v>61</v>
      </c>
      <c r="C41" s="6" t="s">
        <v>12</v>
      </c>
      <c r="D41" s="7" t="s">
        <v>92</v>
      </c>
      <c r="E41" s="8" t="s">
        <v>173</v>
      </c>
      <c r="F41" s="6" t="s">
        <v>174</v>
      </c>
      <c r="G41" s="9" t="str">
        <f t="shared" si="1"/>
        <v>???</v>
      </c>
      <c r="H41" s="10" t="s">
        <v>12</v>
      </c>
      <c r="I41" s="11" t="s">
        <v>12</v>
      </c>
      <c r="J41" s="12"/>
    </row>
    <row r="42" spans="1:10" ht="60" customHeight="1" x14ac:dyDescent="0.3">
      <c r="A42" s="6" t="s">
        <v>175</v>
      </c>
      <c r="B42" s="6" t="s">
        <v>61</v>
      </c>
      <c r="C42" s="6" t="s">
        <v>12</v>
      </c>
      <c r="D42" s="7" t="s">
        <v>176</v>
      </c>
      <c r="E42" s="8" t="s">
        <v>177</v>
      </c>
      <c r="F42" s="6" t="s">
        <v>178</v>
      </c>
      <c r="G42" s="9" t="str">
        <f t="shared" si="1"/>
        <v>???</v>
      </c>
      <c r="H42" s="10" t="s">
        <v>12</v>
      </c>
      <c r="I42" s="11" t="s">
        <v>12</v>
      </c>
      <c r="J42" s="12"/>
    </row>
    <row r="43" spans="1:10" ht="60" customHeight="1" x14ac:dyDescent="0.3">
      <c r="A43" s="6" t="s">
        <v>179</v>
      </c>
      <c r="B43" s="6" t="s">
        <v>81</v>
      </c>
      <c r="C43" s="6" t="s">
        <v>16</v>
      </c>
      <c r="D43" s="7" t="s">
        <v>180</v>
      </c>
      <c r="E43" s="8" t="s">
        <v>181</v>
      </c>
      <c r="F43" s="6" t="s">
        <v>182</v>
      </c>
      <c r="G43" s="9" t="str">
        <f t="shared" si="1"/>
        <v>for?</v>
      </c>
      <c r="H43" s="10" t="s">
        <v>12</v>
      </c>
      <c r="I43" s="11" t="s">
        <v>12</v>
      </c>
      <c r="J43" s="12"/>
    </row>
    <row r="44" spans="1:10" ht="60" customHeight="1" x14ac:dyDescent="0.3">
      <c r="A44" s="6" t="s">
        <v>183</v>
      </c>
      <c r="B44" s="6" t="s">
        <v>20</v>
      </c>
      <c r="C44" s="6" t="s">
        <v>12</v>
      </c>
      <c r="D44" s="7" t="s">
        <v>184</v>
      </c>
      <c r="E44" s="8" t="s">
        <v>185</v>
      </c>
      <c r="F44" s="6" t="s">
        <v>186</v>
      </c>
      <c r="G44" s="9" t="str">
        <f t="shared" si="1"/>
        <v>???</v>
      </c>
      <c r="H44" s="10" t="s">
        <v>12</v>
      </c>
      <c r="I44" s="11" t="s">
        <v>12</v>
      </c>
      <c r="J44" s="12"/>
    </row>
    <row r="45" spans="1:10" ht="60" customHeight="1" x14ac:dyDescent="0.3">
      <c r="A45" s="6" t="s">
        <v>187</v>
      </c>
      <c r="B45" s="6" t="s">
        <v>26</v>
      </c>
      <c r="C45" s="6" t="s">
        <v>16</v>
      </c>
      <c r="D45" s="7" t="s">
        <v>92</v>
      </c>
      <c r="E45" s="8" t="s">
        <v>188</v>
      </c>
      <c r="F45" s="6" t="s">
        <v>189</v>
      </c>
      <c r="G45" s="9" t="str">
        <f t="shared" si="1"/>
        <v>for?</v>
      </c>
      <c r="H45" s="10" t="s">
        <v>12</v>
      </c>
      <c r="I45" s="11" t="s">
        <v>12</v>
      </c>
      <c r="J45" s="12"/>
    </row>
    <row r="46" spans="1:10" ht="60" customHeight="1" x14ac:dyDescent="0.3">
      <c r="A46" s="6" t="s">
        <v>190</v>
      </c>
      <c r="B46" s="6" t="s">
        <v>73</v>
      </c>
      <c r="C46" s="6" t="s">
        <v>12</v>
      </c>
      <c r="D46" s="7" t="s">
        <v>191</v>
      </c>
      <c r="E46" s="8" t="s">
        <v>192</v>
      </c>
      <c r="F46" s="6" t="s">
        <v>193</v>
      </c>
      <c r="G46" s="9" t="str">
        <f t="shared" si="1"/>
        <v>???</v>
      </c>
      <c r="H46" s="10" t="s">
        <v>12</v>
      </c>
      <c r="I46" s="11" t="s">
        <v>12</v>
      </c>
      <c r="J46" s="12"/>
    </row>
    <row r="47" spans="1:10" ht="60" customHeight="1" x14ac:dyDescent="0.3">
      <c r="A47" s="6" t="s">
        <v>194</v>
      </c>
      <c r="B47" s="6" t="s">
        <v>61</v>
      </c>
      <c r="C47" s="6" t="s">
        <v>12</v>
      </c>
      <c r="D47" s="7" t="s">
        <v>195</v>
      </c>
      <c r="E47" s="8" t="s">
        <v>196</v>
      </c>
      <c r="F47" s="6" t="s">
        <v>197</v>
      </c>
      <c r="G47" s="9" t="str">
        <f t="shared" si="1"/>
        <v>???</v>
      </c>
      <c r="H47" s="10" t="s">
        <v>12</v>
      </c>
      <c r="I47" s="11" t="s">
        <v>12</v>
      </c>
      <c r="J47" s="12"/>
    </row>
    <row r="48" spans="1:10" ht="60" customHeight="1" x14ac:dyDescent="0.3">
      <c r="A48" s="6" t="s">
        <v>198</v>
      </c>
      <c r="B48" s="6" t="s">
        <v>26</v>
      </c>
      <c r="C48" s="6" t="s">
        <v>134</v>
      </c>
      <c r="D48" s="7" t="s">
        <v>92</v>
      </c>
      <c r="E48" s="8" t="s">
        <v>199</v>
      </c>
      <c r="F48" s="6" t="s">
        <v>200</v>
      </c>
      <c r="G48" s="9" t="str">
        <f t="shared" si="1"/>
        <v>if?</v>
      </c>
      <c r="H48" s="10" t="s">
        <v>12</v>
      </c>
      <c r="I48" s="11" t="s">
        <v>12</v>
      </c>
      <c r="J48" s="12"/>
    </row>
    <row r="49" spans="1:10" ht="60" customHeight="1" x14ac:dyDescent="0.3">
      <c r="A49" s="6" t="s">
        <v>201</v>
      </c>
      <c r="B49" s="6" t="s">
        <v>41</v>
      </c>
      <c r="C49" s="6" t="s">
        <v>54</v>
      </c>
      <c r="D49" s="7" t="s">
        <v>202</v>
      </c>
      <c r="E49" s="8" t="s">
        <v>203</v>
      </c>
      <c r="F49" s="6" t="s">
        <v>204</v>
      </c>
      <c r="G49" s="9" t="str">
        <f t="shared" si="1"/>
        <v>and?</v>
      </c>
      <c r="H49" s="10" t="s">
        <v>12</v>
      </c>
      <c r="I49" s="11" t="s">
        <v>12</v>
      </c>
      <c r="J49" s="12"/>
    </row>
    <row r="50" spans="1:10" ht="60" customHeight="1" x14ac:dyDescent="0.3">
      <c r="A50" s="6" t="s">
        <v>205</v>
      </c>
      <c r="B50" s="6" t="s">
        <v>53</v>
      </c>
      <c r="C50" s="6" t="s">
        <v>12</v>
      </c>
      <c r="D50" s="7" t="s">
        <v>140</v>
      </c>
      <c r="E50" s="8" t="s">
        <v>206</v>
      </c>
      <c r="F50" s="6" t="s">
        <v>207</v>
      </c>
      <c r="G50" s="9" t="str">
        <f t="shared" si="1"/>
        <v>???</v>
      </c>
      <c r="H50" s="10" t="s">
        <v>12</v>
      </c>
      <c r="I50" s="11" t="s">
        <v>12</v>
      </c>
      <c r="J50" s="12"/>
    </row>
    <row r="51" spans="1:10" ht="60" customHeight="1" x14ac:dyDescent="0.3">
      <c r="A51" s="6" t="s">
        <v>208</v>
      </c>
      <c r="B51" s="6" t="s">
        <v>88</v>
      </c>
      <c r="C51" s="6" t="s">
        <v>12</v>
      </c>
      <c r="D51" s="7" t="s">
        <v>101</v>
      </c>
      <c r="E51" s="8" t="s">
        <v>209</v>
      </c>
      <c r="F51" s="6" t="s">
        <v>210</v>
      </c>
      <c r="G51" s="9" t="str">
        <f t="shared" si="1"/>
        <v>???</v>
      </c>
      <c r="H51" s="10" t="s">
        <v>12</v>
      </c>
      <c r="I51" s="11" t="s">
        <v>12</v>
      </c>
      <c r="J51" s="12"/>
    </row>
    <row r="52" spans="1:10" ht="60" customHeight="1" x14ac:dyDescent="0.3">
      <c r="A52" s="6" t="s">
        <v>211</v>
      </c>
      <c r="B52" s="6" t="s">
        <v>20</v>
      </c>
      <c r="C52" s="6" t="s">
        <v>12</v>
      </c>
      <c r="D52" s="7" t="s">
        <v>212</v>
      </c>
      <c r="E52" s="8" t="s">
        <v>213</v>
      </c>
      <c r="F52" s="6" t="s">
        <v>214</v>
      </c>
      <c r="G52" s="9" t="str">
        <f t="shared" si="1"/>
        <v>???</v>
      </c>
      <c r="H52" s="10" t="s">
        <v>12</v>
      </c>
      <c r="I52" s="11" t="s">
        <v>12</v>
      </c>
      <c r="J5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zoomScaleNormal="100" workbookViewId="0">
      <pane xSplit="1" ySplit="1" topLeftCell="B326" activePane="bottomRight" state="frozen"/>
      <selection pane="topRight" activeCell="B1" sqref="B1"/>
      <selection pane="bottomLeft" activeCell="A2" sqref="A2"/>
      <selection pane="bottomRight" activeCell="E339" sqref="E339"/>
    </sheetView>
  </sheetViews>
  <sheetFormatPr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215</v>
      </c>
      <c r="B1" s="13" t="s">
        <v>216</v>
      </c>
      <c r="C1" s="13" t="s">
        <v>217</v>
      </c>
      <c r="D1" s="13" t="s">
        <v>218</v>
      </c>
      <c r="E1" s="14" t="s">
        <v>219</v>
      </c>
      <c r="F1" s="15" t="s">
        <v>220</v>
      </c>
      <c r="G1" s="16" t="s">
        <v>221</v>
      </c>
      <c r="H1" s="17" t="s">
        <v>222</v>
      </c>
      <c r="I1" s="18" t="s">
        <v>223</v>
      </c>
      <c r="J1" s="18" t="s">
        <v>224</v>
      </c>
      <c r="K1" s="18" t="s">
        <v>225</v>
      </c>
      <c r="L1" s="19" t="s">
        <v>9</v>
      </c>
    </row>
    <row r="2" spans="1:12" x14ac:dyDescent="0.3">
      <c r="A2" t="s">
        <v>226</v>
      </c>
    </row>
    <row r="3" spans="1:12" x14ac:dyDescent="0.3">
      <c r="A3" t="s">
        <v>227</v>
      </c>
      <c r="E3" s="20" t="str">
        <f t="shared" ref="E3:E15"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5"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13</v>
      </c>
      <c r="B4" s="26"/>
      <c r="C4" s="26"/>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230</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231</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232</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233</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17</v>
      </c>
      <c r="B9" s="26"/>
      <c r="C9" s="26"/>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236</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237</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238</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3">
      <c r="A13" t="s">
        <v>239</v>
      </c>
      <c r="E13" s="20" t="str">
        <f t="shared" si="0"/>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240</v>
      </c>
      <c r="B14" s="26"/>
      <c r="C14" s="26"/>
      <c r="E14" s="20" t="str">
        <f t="shared" si="0"/>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ca="1" si="1"/>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231</v>
      </c>
      <c r="E15" s="20" t="str">
        <f t="shared" si="0"/>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1"/>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t="s">
        <v>706</v>
      </c>
    </row>
    <row r="17" spans="1:12" x14ac:dyDescent="0.3">
      <c r="A17" t="s">
        <v>242</v>
      </c>
    </row>
    <row r="18" spans="1:12" x14ac:dyDescent="0.3">
      <c r="A18" t="s">
        <v>243</v>
      </c>
      <c r="E18" s="20" t="str">
        <f t="shared" ref="E18:E35" si="2">IF(D18="?OLD","!!!","")</f>
        <v/>
      </c>
      <c r="F18" s="21"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ref="H18:H35" ca="1" si="3">IF(J18&lt;&gt;1,"",IF(I18="SBJ","CB","?"))</f>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244</v>
      </c>
      <c r="B19" s="26" t="s">
        <v>228</v>
      </c>
      <c r="C19" s="26" t="s">
        <v>229</v>
      </c>
      <c r="E19" s="20" t="s">
        <v>658</v>
      </c>
      <c r="F19" s="21" t="str">
        <f>IF(OR(E19="",E19="!!!"),"",IF(NOT(ISNA(VLOOKUP(E19,E$1:E18,1,FALSE()))),"OLD",IF(AND(E19&lt;&gt;"",E19&lt;&gt;"!!!"),"NEW","")))</f>
        <v>NEW</v>
      </c>
      <c r="G19" s="22" t="s">
        <v>707</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245</v>
      </c>
      <c r="E20" s="20" t="str">
        <f t="shared" si="2"/>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246</v>
      </c>
      <c r="E21" s="20" t="str">
        <f t="shared" si="2"/>
        <v/>
      </c>
      <c r="F21" s="21"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3">
      <c r="A22" t="s">
        <v>247</v>
      </c>
      <c r="B22" s="26" t="s">
        <v>248</v>
      </c>
      <c r="C22" s="26" t="s">
        <v>249</v>
      </c>
      <c r="E22" s="20" t="str">
        <f t="shared" si="2"/>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250</v>
      </c>
      <c r="E23" s="20" t="str">
        <f t="shared" si="2"/>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3"/>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251</v>
      </c>
      <c r="B24" s="26" t="s">
        <v>252</v>
      </c>
      <c r="C24" s="26" t="s">
        <v>253</v>
      </c>
      <c r="D24" s="26" t="s">
        <v>254</v>
      </c>
      <c r="E24" s="20" t="s">
        <v>658</v>
      </c>
      <c r="F24" s="21" t="str">
        <f>IF(OR(E24="",E24="!!!"),"",IF(NOT(ISNA(VLOOKUP(E24,E$1:E23,1,FALSE()))),"OLD",IF(AND(E24&lt;&gt;"",E24&lt;&gt;"!!!"),"NEW","")))</f>
        <v>OLD</v>
      </c>
      <c r="G24" s="22" t="s">
        <v>683</v>
      </c>
      <c r="H24" s="23" t="str">
        <f t="shared" ca="1" si="3"/>
        <v/>
      </c>
      <c r="I24" s="24" t="str">
        <f>IF(OR(E24="",E24="!!!",F24="NEW"),"",INDEX(B$2:B23,-1+SUMPRODUCT(MAX(ROW(E$2:E23)*(E24=E$2:E23)))))</f>
        <v>other</v>
      </c>
      <c r="J24" s="24">
        <f ca="1">IF(OR(E24="",E24="!!!",F24="NEW"),"",COUNTBLANK(OFFSET(A$1,,,SUMPRODUCT(MAX(ROW(E$2:E24)*(E24=E$2:E24)))))-COUNTBLANK(OFFSET(A$1,,,SUMPRODUCT(MAX(ROW(E$1:E23)*(E2=E$1:E23))))))</f>
        <v>0</v>
      </c>
      <c r="K24" s="24" t="str">
        <f ca="1">IF(OR(E24="",E24="!!!",F24="NEW"),"",INDEX(J$1:J23,SUMPRODUCT(MAX(ROW(E$1:E23)*(E24=E$1:E23)))))</f>
        <v/>
      </c>
      <c r="L24" s="25"/>
    </row>
    <row r="25" spans="1:12" x14ac:dyDescent="0.3">
      <c r="A25" t="s">
        <v>255</v>
      </c>
      <c r="E25" s="20" t="str">
        <f t="shared" si="2"/>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256</v>
      </c>
      <c r="E26" s="20" t="str">
        <f t="shared" si="2"/>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239</v>
      </c>
      <c r="E27" s="20" t="str">
        <f t="shared" si="2"/>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240</v>
      </c>
      <c r="B28" s="26" t="s">
        <v>257</v>
      </c>
      <c r="C28" s="26" t="s">
        <v>229</v>
      </c>
      <c r="E28" s="20" t="s">
        <v>674</v>
      </c>
      <c r="F28" s="21" t="str">
        <f>IF(OR(E28="",E28="!!!"),"",IF(NOT(ISNA(VLOOKUP(E28,E$1:E27,1,FALSE()))),"OLD",IF(AND(E28&lt;&gt;"",E28&lt;&gt;"!!!"),"NEW","")))</f>
        <v>NEW</v>
      </c>
      <c r="G28" s="22" t="s">
        <v>707</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258</v>
      </c>
      <c r="E29" s="20" t="str">
        <f t="shared" si="2"/>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259</v>
      </c>
      <c r="E30" s="20" t="str">
        <f t="shared" si="2"/>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260</v>
      </c>
      <c r="B31" s="26" t="s">
        <v>241</v>
      </c>
      <c r="C31" s="26" t="s">
        <v>261</v>
      </c>
      <c r="D31" s="26" t="s">
        <v>254</v>
      </c>
      <c r="E31" s="20"/>
      <c r="F31" s="21" t="s">
        <v>659</v>
      </c>
      <c r="G31" s="22"/>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262</v>
      </c>
      <c r="E32" s="20" t="str">
        <f t="shared" si="2"/>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263</v>
      </c>
      <c r="E33" s="20" t="str">
        <f t="shared" si="2"/>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264</v>
      </c>
      <c r="B34" s="26" t="s">
        <v>252</v>
      </c>
      <c r="C34" s="26" t="s">
        <v>229</v>
      </c>
      <c r="E34" s="20" t="str">
        <f t="shared" si="2"/>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3"/>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265</v>
      </c>
      <c r="E35" s="20" t="str">
        <f t="shared" si="2"/>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7" spans="1:12" x14ac:dyDescent="0.3">
      <c r="A37" t="s">
        <v>266</v>
      </c>
    </row>
    <row r="38" spans="1:12" x14ac:dyDescent="0.3">
      <c r="A38" t="s">
        <v>267</v>
      </c>
      <c r="E38" s="20" t="str">
        <f t="shared" ref="E38:E48" si="4">IF(D38="?OLD","!!!","")</f>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ref="H38:H48" ca="1" si="5">IF(J38&lt;&gt;1,"",IF(I38="SBJ","CB","?"))</f>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268</v>
      </c>
      <c r="B39" s="26" t="s">
        <v>234</v>
      </c>
      <c r="C39" s="26" t="s">
        <v>269</v>
      </c>
      <c r="D39" s="26" t="s">
        <v>254</v>
      </c>
      <c r="E39" s="20" t="s">
        <v>658</v>
      </c>
      <c r="F39" s="21" t="str">
        <f>IF(OR(E39="",E39="!!!"),"",IF(NOT(ISNA(VLOOKUP(E39,E$1:E38,1,FALSE()))),"OLD",IF(AND(E39&lt;&gt;"",E39&lt;&gt;"!!!"),"NEW","")))</f>
        <v>OLD</v>
      </c>
      <c r="G39" s="22" t="s">
        <v>683</v>
      </c>
      <c r="H39" s="23" t="s">
        <v>222</v>
      </c>
      <c r="I39" s="24" t="str">
        <f>IF(OR(E39="",E39="!!!",F39="NEW"),"",INDEX(B$2:B38,-1+SUMPRODUCT(MAX(ROW(E$2:E38)*(E39=E$2:E38)))))</f>
        <v>other_3</v>
      </c>
      <c r="J39" s="24">
        <f ca="1">IF(OR(E39="",E39="!!!",F39="NEW"),"",COUNTBLANK(OFFSET(A$1,,,SUMPRODUCT(MAX(ROW(E$2:E39)*(E39=E$2:E39)))))-COUNTBLANK(OFFSET(A$1,,,SUMPRODUCT(MAX(ROW(E$1:E38)*(E2=E$1:E38))))))</f>
        <v>0</v>
      </c>
      <c r="K39" s="24">
        <f ca="1">IF(OR(E39="",E39="!!!",F39="NEW"),"",INDEX(J$1:J38,SUMPRODUCT(MAX(ROW(E$1:E38)*(E39=E$1:E38)))))</f>
        <v>0</v>
      </c>
      <c r="L39" s="25"/>
    </row>
    <row r="40" spans="1:12" x14ac:dyDescent="0.3">
      <c r="A40" t="s">
        <v>270</v>
      </c>
      <c r="E40" s="20" t="str">
        <f t="shared" si="4"/>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5"/>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271</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272</v>
      </c>
      <c r="B42" s="26" t="s">
        <v>241</v>
      </c>
      <c r="C42" s="26" t="s">
        <v>273</v>
      </c>
      <c r="D42" s="26" t="s">
        <v>254</v>
      </c>
      <c r="E42" s="20" t="s">
        <v>660</v>
      </c>
      <c r="F42" s="21" t="str">
        <f>IF(OR(E42="",E42="!!!"),"",IF(NOT(ISNA(VLOOKUP(E42,E$1:E41,1,FALSE()))),"OLD",IF(AND(E42&lt;&gt;"",E42&lt;&gt;"!!!"),"NEW","")))</f>
        <v>NEW</v>
      </c>
      <c r="G42" s="22" t="s">
        <v>705</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256</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268</v>
      </c>
      <c r="B44" s="26" t="s">
        <v>274</v>
      </c>
      <c r="C44" s="26" t="s">
        <v>269</v>
      </c>
      <c r="D44" s="26" t="s">
        <v>254</v>
      </c>
      <c r="E44" s="20" t="s">
        <v>658</v>
      </c>
      <c r="F44" s="21" t="str">
        <f>IF(OR(E44="",E44="!!!"),"",IF(NOT(ISNA(VLOOKUP(E44,E$1:E43,1,FALSE()))),"OLD",IF(AND(E44&lt;&gt;"",E44&lt;&gt;"!!!"),"NEW","")))</f>
        <v>OLD</v>
      </c>
      <c r="G44" s="22" t="s">
        <v>683</v>
      </c>
      <c r="H44" s="23" t="str">
        <f t="shared" ca="1" si="5"/>
        <v/>
      </c>
      <c r="I44" s="24" t="str">
        <f>IF(OR(E44="",E44="!!!",F44="NEW"),"",INDEX(B$2:B43,-1+SUMPRODUCT(MAX(ROW(E$2:E43)*(E44=E$2:E43)))))</f>
        <v>SBJ_2</v>
      </c>
      <c r="J44" s="24">
        <f ca="1">IF(OR(E44="",E44="!!!",F44="NEW"),"",COUNTBLANK(OFFSET(A$1,,,SUMPRODUCT(MAX(ROW(E$2:E44)*(E44=E$2:E44)))))-COUNTBLANK(OFFSET(A$1,,,SUMPRODUCT(MAX(ROW(E$1:E43)*(E2=E$1:E43))))))</f>
        <v>0</v>
      </c>
      <c r="K44" s="24">
        <f ca="1">IF(OR(E44="",E44="!!!",F44="NEW"),"",INDEX(J$1:J43,SUMPRODUCT(MAX(ROW(E$1:E43)*(E44=E$1:E43)))))</f>
        <v>0</v>
      </c>
      <c r="L44" s="25"/>
    </row>
    <row r="45" spans="1:12" x14ac:dyDescent="0.3">
      <c r="A45" t="s">
        <v>275</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276</v>
      </c>
      <c r="E46" s="20" t="str">
        <f t="shared" si="4"/>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277</v>
      </c>
      <c r="E47" s="20" t="str">
        <f t="shared" si="4"/>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265</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50" spans="1:12" x14ac:dyDescent="0.3">
      <c r="A50" t="s">
        <v>278</v>
      </c>
    </row>
    <row r="51" spans="1:12" x14ac:dyDescent="0.3">
      <c r="A51" t="s">
        <v>279</v>
      </c>
      <c r="E51" s="20" t="str">
        <f>IF(D51="?OLD","!!!","")</f>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ca="1">IF(J51&lt;&gt;1,"",IF(I51="SBJ","CB","?"))</f>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280</v>
      </c>
      <c r="E52" s="20" t="str">
        <f>IF(D52="?OLD","!!!","")</f>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ca="1">IF(J52&lt;&gt;1,"",IF(I52="SBJ","CB","?"))</f>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281</v>
      </c>
      <c r="B53" s="26" t="s">
        <v>274</v>
      </c>
      <c r="C53" s="26" t="s">
        <v>282</v>
      </c>
      <c r="E53" s="20" t="str">
        <f>IF(D53="?OLD","!!!","")</f>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ca="1">IF(J53&lt;&gt;1,"",IF(I53="SBJ","CB","?"))</f>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ht="28.8" x14ac:dyDescent="0.3">
      <c r="A54" t="s">
        <v>13</v>
      </c>
      <c r="E54" s="20" t="s">
        <v>673</v>
      </c>
      <c r="F54" s="21" t="s">
        <v>671</v>
      </c>
      <c r="G54" s="22" t="s">
        <v>707</v>
      </c>
      <c r="H54" s="23" t="str">
        <f ca="1">IF(J54&lt;&gt;1,"",IF(I54="SBJ","CB","?"))</f>
        <v/>
      </c>
      <c r="I54" s="24" t="e">
        <f>IF(OR(E54="",E54="!!!",F54="NEW"),"",INDEX(B$2:B53,-1+SUMPRODUCT(MAX(ROW(E$2:E53)*(E54=E$2:E53)))))</f>
        <v>#VALUE!</v>
      </c>
      <c r="J54" s="24">
        <f ca="1">IF(OR(E54="",E54="!!!",F54="NEW"),"",COUNTBLANK(OFFSET(A$1,,,SUMPRODUCT(MAX(ROW(E$2:E54)*(E54=E$2:E54)))))-COUNTBLANK(OFFSET(A$1,,,SUMPRODUCT(MAX(ROW(E$1:E53)*(E2=E$1:E53))))))</f>
        <v>0</v>
      </c>
      <c r="K54" s="24" t="e">
        <f>IF(OR(E54="",E54="!!!",F54="NEW"),"",INDEX(J$1:J53,SUMPRODUCT(MAX(ROW(E$1:E53)*(E54=E$1:E53)))))</f>
        <v>#VALUE!</v>
      </c>
      <c r="L54" s="25" t="s">
        <v>746</v>
      </c>
    </row>
    <row r="55" spans="1:12" x14ac:dyDescent="0.3">
      <c r="A55" t="s">
        <v>265</v>
      </c>
      <c r="E55" s="20" t="str">
        <f>IF(D55="?OLD","!!!","")</f>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ca="1">IF(J55&lt;&gt;1,"",IF(I55="SBJ","CB","?"))</f>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7" spans="1:12" x14ac:dyDescent="0.3">
      <c r="A57" t="s">
        <v>283</v>
      </c>
    </row>
    <row r="58" spans="1:12" x14ac:dyDescent="0.3">
      <c r="A58" t="s">
        <v>284</v>
      </c>
      <c r="E58" s="20" t="str">
        <f t="shared" ref="E58:E66" si="6">IF(D58="?OLD","!!!","")</f>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ref="H58:H66" ca="1" si="7">IF(J58&lt;&gt;1,"",IF(I58="SBJ","CB","?"))</f>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244</v>
      </c>
      <c r="B59" s="26" t="s">
        <v>274</v>
      </c>
      <c r="C59" s="26" t="s">
        <v>282</v>
      </c>
      <c r="E59" s="20" t="s">
        <v>661</v>
      </c>
      <c r="F59" s="21" t="str">
        <f>IF(OR(E59="",E59="!!!"),"",IF(NOT(ISNA(VLOOKUP(E59,E$1:E58,1,FALSE()))),"OLD",IF(AND(E59&lt;&gt;"",E59&lt;&gt;"!!!"),"NEW","")))</f>
        <v>NEW</v>
      </c>
      <c r="G59" s="22" t="s">
        <v>704</v>
      </c>
      <c r="H59" s="23" t="s">
        <v>222</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275</v>
      </c>
      <c r="E60" s="20" t="str">
        <f t="shared" si="6"/>
        <v/>
      </c>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285</v>
      </c>
      <c r="E61" s="20" t="str">
        <f t="shared" si="6"/>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7"/>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3">
      <c r="A62" t="s">
        <v>271</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246</v>
      </c>
      <c r="E63" s="20" t="str">
        <f t="shared" si="6"/>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7"/>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286</v>
      </c>
      <c r="E64" s="20" t="str">
        <f t="shared" si="6"/>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ca="1" si="7"/>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287</v>
      </c>
      <c r="B65" s="26" t="s">
        <v>228</v>
      </c>
      <c r="C65" s="26" t="s">
        <v>249</v>
      </c>
      <c r="E65" s="20" t="s">
        <v>667</v>
      </c>
      <c r="F65" s="21" t="str">
        <f>IF(OR(E65="",E65="!!!"),"",IF(NOT(ISNA(VLOOKUP(E65,E$1:E64,1,FALSE()))),"OLD",IF(AND(E65&lt;&gt;"",E65&lt;&gt;"!!!"),"NEW","")))</f>
        <v>NEW</v>
      </c>
      <c r="G65" s="22" t="s">
        <v>707</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265</v>
      </c>
      <c r="E66" s="20" t="str">
        <f t="shared" si="6"/>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7"/>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8" spans="1:12" x14ac:dyDescent="0.3">
      <c r="A68" t="s">
        <v>288</v>
      </c>
    </row>
    <row r="69" spans="1:12" x14ac:dyDescent="0.3">
      <c r="A69" t="s">
        <v>232</v>
      </c>
      <c r="E69" s="20" t="str">
        <f t="shared" ref="E69:E87" si="8">IF(D69="?OLD","!!!","")</f>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ref="H69:H87" ca="1" si="9">IF(J69&lt;&gt;1,"",IF(I69="SBJ","CB","?"))</f>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289</v>
      </c>
      <c r="B70" s="26" t="s">
        <v>274</v>
      </c>
      <c r="C70" s="26" t="s">
        <v>261</v>
      </c>
      <c r="D70" s="26" t="s">
        <v>254</v>
      </c>
      <c r="E70" s="20"/>
      <c r="F70" s="21" t="s">
        <v>690</v>
      </c>
      <c r="G70" s="22"/>
      <c r="H70" s="23" t="str">
        <f t="shared" ca="1" si="9"/>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t="s">
        <v>709</v>
      </c>
    </row>
    <row r="71" spans="1:12" x14ac:dyDescent="0.3">
      <c r="A71" t="s">
        <v>262</v>
      </c>
      <c r="E71" s="20" t="str">
        <f t="shared" si="8"/>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9"/>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290</v>
      </c>
      <c r="B72" s="26" t="s">
        <v>241</v>
      </c>
      <c r="C72" s="26" t="s">
        <v>269</v>
      </c>
      <c r="D72" s="26" t="s">
        <v>254</v>
      </c>
      <c r="E72" s="20" t="s">
        <v>661</v>
      </c>
      <c r="F72" s="21" t="str">
        <f>IF(OR(E72="",E72="!!!"),"",IF(NOT(ISNA(VLOOKUP(E72,E$1:E71,1,FALSE()))),"OLD",IF(AND(E72&lt;&gt;"",E72&lt;&gt;"!!!"),"NEW","")))</f>
        <v>OLD</v>
      </c>
      <c r="G72" s="22" t="str">
        <f ca="1">IF(OR(E72="",E72="!!!"),"",IF(OR(J72=0,AND(J72=1,K72=1),AND(J72=1,I72="SBJ"),AND(J72=1,I72=0)),"?IN_FOCUS",IF(J72&lt;=2,"?ACTIVATED",IF(J72&lt;&gt;"","?FAMILIAR",IF(F72="NEW",IF(ISNA(VLOOKUP(E72,#REF!,1,FALSE())),"?TYPE_IDENTIFIABLE","?REFERENTIAL"),"_")))))</f>
        <v>?IN_FOCUS</v>
      </c>
      <c r="H72" s="23" t="s">
        <v>222</v>
      </c>
      <c r="I72" s="24" t="str">
        <f>IF(OR(E72="",E72="!!!",F72="NEW"),"",INDEX(B$2:B71,-1+SUMPRODUCT(MAX(ROW(E$2:E71)*(E72=E$2:E71)))))</f>
        <v>SBJ</v>
      </c>
      <c r="J72" s="24">
        <f ca="1">IF(OR(E72="",E72="!!!",F72="NEW"),"",COUNTBLANK(OFFSET(A$1,,,SUMPRODUCT(MAX(ROW(E$2:E72)*(E72=E$2:E72)))))-COUNTBLANK(OFFSET(A$1,,,SUMPRODUCT(MAX(ROW(E$1:E71)*(E2=E$1:E71))))))</f>
        <v>0</v>
      </c>
      <c r="K72" s="24" t="str">
        <f ca="1">IF(OR(E72="",E72="!!!",F72="NEW"),"",INDEX(J$1:J71,SUMPRODUCT(MAX(ROW(E$1:E71)*(E72=E$1:E71)))))</f>
        <v/>
      </c>
      <c r="L72" s="25"/>
    </row>
    <row r="73" spans="1:12" x14ac:dyDescent="0.3">
      <c r="A73" t="s">
        <v>236</v>
      </c>
      <c r="E73" s="20" t="str">
        <f t="shared" si="8"/>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9"/>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246</v>
      </c>
      <c r="E74" s="20" t="str">
        <f t="shared" si="8"/>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9"/>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291</v>
      </c>
      <c r="B75" s="26" t="s">
        <v>292</v>
      </c>
      <c r="C75" s="26" t="s">
        <v>249</v>
      </c>
      <c r="E75" s="20" t="s">
        <v>670</v>
      </c>
      <c r="F75" s="21" t="str">
        <f>IF(OR(E75="",E75="!!!"),"",IF(NOT(ISNA(VLOOKUP(E75,E$1:E74,1,FALSE()))),"OLD",IF(AND(E75&lt;&gt;"",E75&lt;&gt;"!!!"),"NEW","")))</f>
        <v>NEW</v>
      </c>
      <c r="G75" s="22" t="s">
        <v>707</v>
      </c>
      <c r="H75" s="23" t="str">
        <f t="shared" ca="1" si="9"/>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238</v>
      </c>
      <c r="E76" s="20" t="str">
        <f t="shared" si="8"/>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9"/>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290</v>
      </c>
      <c r="B77" s="26" t="s">
        <v>241</v>
      </c>
      <c r="C77" s="26" t="s">
        <v>269</v>
      </c>
      <c r="D77" s="26" t="s">
        <v>254</v>
      </c>
      <c r="E77" s="20" t="s">
        <v>661</v>
      </c>
      <c r="F77" s="21" t="str">
        <f>IF(OR(E77="",E77="!!!"),"",IF(NOT(ISNA(VLOOKUP(E77,E$1:E76,1,FALSE()))),"OLD",IF(AND(E77&lt;&gt;"",E77&lt;&gt;"!!!"),"NEW","")))</f>
        <v>OLD</v>
      </c>
      <c r="G77" s="22" t="str">
        <f ca="1">IF(OR(E77="",E77="!!!"),"",IF(OR(J77=0,AND(J77=1,K77=1),AND(J77=1,I77="SBJ"),AND(J77=1,I77=0)),"?IN_FOCUS",IF(J77&lt;=2,"?ACTIVATED",IF(J77&lt;&gt;"","?FAMILIAR",IF(F77="NEW",IF(ISNA(VLOOKUP(E77,#REF!,1,FALSE())),"?TYPE_IDENTIFIABLE","?REFERENTIAL"),"_")))))</f>
        <v>?IN_FOCUS</v>
      </c>
      <c r="H77" s="23" t="str">
        <f t="shared" ca="1" si="9"/>
        <v/>
      </c>
      <c r="I77" s="24" t="str">
        <f>IF(OR(E77="",E77="!!!",F77="NEW"),"",INDEX(B$2:B76,-1+SUMPRODUCT(MAX(ROW(E$2:E76)*(E77=E$2:E76)))))</f>
        <v>other_2</v>
      </c>
      <c r="J77" s="24">
        <f ca="1">IF(OR(E77="",E77="!!!",F77="NEW"),"",COUNTBLANK(OFFSET(A$1,,,SUMPRODUCT(MAX(ROW(E$2:E77)*(E77=E$2:E77)))))-COUNTBLANK(OFFSET(A$1,,,SUMPRODUCT(MAX(ROW(E$1:E76)*(E2=E$1:E76))))))</f>
        <v>0</v>
      </c>
      <c r="K77" s="24">
        <f ca="1">IF(OR(E77="",E77="!!!",F77="NEW"),"",INDEX(J$1:J76,SUMPRODUCT(MAX(ROW(E$1:E76)*(E77=E$1:E76)))))</f>
        <v>0</v>
      </c>
      <c r="L77" s="25"/>
    </row>
    <row r="78" spans="1:12" x14ac:dyDescent="0.3">
      <c r="A78" t="s">
        <v>256</v>
      </c>
      <c r="E78" s="20" t="str">
        <f t="shared" si="8"/>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9"/>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293</v>
      </c>
      <c r="E79" s="20" t="str">
        <f t="shared" si="8"/>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9"/>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294</v>
      </c>
      <c r="B80" s="26" t="s">
        <v>234</v>
      </c>
      <c r="E80" s="20" t="str">
        <f t="shared" si="8"/>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9"/>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262</v>
      </c>
      <c r="E81" s="20" t="str">
        <f t="shared" si="8"/>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9"/>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295</v>
      </c>
      <c r="B82" s="26" t="s">
        <v>252</v>
      </c>
      <c r="C82" s="26" t="s">
        <v>296</v>
      </c>
      <c r="E82" s="20" t="str">
        <f t="shared" si="8"/>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3">
      <c r="A83" t="s">
        <v>258</v>
      </c>
      <c r="E83" s="20" t="str">
        <f t="shared" si="8"/>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9"/>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289</v>
      </c>
      <c r="E84" s="20" t="str">
        <f t="shared" si="8"/>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9"/>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297</v>
      </c>
      <c r="B85" s="26" t="s">
        <v>241</v>
      </c>
      <c r="C85" s="26" t="s">
        <v>282</v>
      </c>
      <c r="E85" s="20" t="str">
        <f t="shared" si="8"/>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298</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265</v>
      </c>
      <c r="E87" s="20" t="str">
        <f t="shared" si="8"/>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9"/>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9" spans="1:12" x14ac:dyDescent="0.3">
      <c r="A89" t="s">
        <v>299</v>
      </c>
    </row>
    <row r="90" spans="1:12" x14ac:dyDescent="0.3">
      <c r="A90" t="s">
        <v>279</v>
      </c>
      <c r="E90" s="20" t="str">
        <f t="shared" ref="E90:E99" si="10">IF(D90="?OLD","!!!","")</f>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ref="H90:H99" ca="1" si="11">IF(J90&lt;&gt;1,"",IF(I90="SBJ","CB","?"))</f>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17</v>
      </c>
      <c r="B91" s="26" t="s">
        <v>274</v>
      </c>
      <c r="C91" s="26" t="s">
        <v>282</v>
      </c>
      <c r="E91" s="20" t="s">
        <v>663</v>
      </c>
      <c r="F91" s="21" t="str">
        <f>IF(OR(E91="",E91="!!!"),"",IF(NOT(ISNA(VLOOKUP(E91,E$1:E90,1,FALSE()))),"OLD",IF(AND(E91&lt;&gt;"",E91&lt;&gt;"!!!"),"NEW","")))</f>
        <v>NEW</v>
      </c>
      <c r="G91" s="22" t="s">
        <v>708</v>
      </c>
      <c r="H91" s="23" t="s">
        <v>222</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300</v>
      </c>
      <c r="E92" s="20" t="str">
        <f t="shared" si="10"/>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11"/>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301</v>
      </c>
      <c r="B93" s="26" t="s">
        <v>241</v>
      </c>
      <c r="C93" s="26" t="s">
        <v>253</v>
      </c>
      <c r="D93" s="26" t="s">
        <v>254</v>
      </c>
      <c r="E93" s="20" t="s">
        <v>663</v>
      </c>
      <c r="F93" s="21" t="str">
        <f>IF(OR(E93="",E93="!!!"),"",IF(NOT(ISNA(VLOOKUP(E93,E$1:E92,1,FALSE()))),"OLD",IF(AND(E93&lt;&gt;"",E93&lt;&gt;"!!!"),"NEW","")))</f>
        <v>OLD</v>
      </c>
      <c r="G93" s="22" t="str">
        <f ca="1">IF(OR(E93="",E93="!!!"),"",IF(OR(J93=0,AND(J93=1,K93=1),AND(J93=1,I93="SBJ"),AND(J93=1,I93=0)),"?IN_FOCUS",IF(J93&lt;=2,"?ACTIVATED",IF(J93&lt;&gt;"","?FAMILIAR",IF(F93="NEW",IF(ISNA(VLOOKUP(E93,#REF!,1,FALSE())),"?TYPE_IDENTIFIABLE","?REFERENTIAL"),"_")))))</f>
        <v>?IN_FOCUS</v>
      </c>
      <c r="H93" s="23" t="str">
        <f t="shared" ca="1" si="11"/>
        <v/>
      </c>
      <c r="I93" s="24" t="str">
        <f>IF(OR(E93="",E93="!!!",F93="NEW"),"",INDEX(B$2:B92,-1+SUMPRODUCT(MAX(ROW(E$2:E92)*(E93=E$2:E92)))))</f>
        <v>SBJ</v>
      </c>
      <c r="J93" s="24">
        <f ca="1">IF(OR(E93="",E93="!!!",F93="NEW"),"",COUNTBLANK(OFFSET(A$1,,,SUMPRODUCT(MAX(ROW(E$2:E93)*(E93=E$2:E93)))))-COUNTBLANK(OFFSET(A$1,,,SUMPRODUCT(MAX(ROW(E$1:E92)*(E2=E$1:E92))))))</f>
        <v>0</v>
      </c>
      <c r="K93" s="24" t="str">
        <f ca="1">IF(OR(E93="",E93="!!!",F93="NEW"),"",INDEX(J$1:J92,SUMPRODUCT(MAX(ROW(E$1:E92)*(E93=E$1:E92)))))</f>
        <v/>
      </c>
      <c r="L93" s="25"/>
    </row>
    <row r="94" spans="1:12" x14ac:dyDescent="0.3">
      <c r="A94" t="s">
        <v>302</v>
      </c>
      <c r="E94" s="20" t="str">
        <f t="shared" si="10"/>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11"/>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303</v>
      </c>
      <c r="B95" s="26" t="s">
        <v>292</v>
      </c>
      <c r="C95" s="26" t="s">
        <v>261</v>
      </c>
      <c r="D95" s="26" t="s">
        <v>254</v>
      </c>
      <c r="E95" s="20" t="s">
        <v>662</v>
      </c>
      <c r="F95" s="21" t="str">
        <f>IF(OR(E95="",E95="!!!"),"",IF(NOT(ISNA(VLOOKUP(E95,E$1:E94,1,FALSE()))),"OLD",IF(AND(E95&lt;&gt;"",E95&lt;&gt;"!!!"),"NEW","")))</f>
        <v>NEW</v>
      </c>
      <c r="G95" s="22" t="str">
        <f ca="1">IF(OR(E95="",E95="!!!"),"",IF(OR(J95=0,AND(J95=1,K95=1),AND(J95=1,I95="SBJ"),AND(J95=1,I95=0)),"?IN_FOCUS",IF(J95&lt;=2,"?ACTIVATED",IF(J95&lt;&gt;"","?FAMILIAR",IF(F95="NEW",IF(ISNA(VLOOKUP(E95,#REF!,1,FALSE())),"?TYPE_IDENTIFIABLE","?REFERENTIAL"),"_")))))</f>
        <v>?REFERENTIAL</v>
      </c>
      <c r="H95" s="23" t="str">
        <f t="shared" ca="1" si="11"/>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271</v>
      </c>
      <c r="E96" s="20" t="str">
        <f t="shared" si="10"/>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11"/>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301</v>
      </c>
      <c r="B97" s="26" t="s">
        <v>241</v>
      </c>
      <c r="C97" s="26" t="s">
        <v>253</v>
      </c>
      <c r="D97" s="26" t="s">
        <v>254</v>
      </c>
      <c r="E97" s="20" t="s">
        <v>663</v>
      </c>
      <c r="F97" s="21" t="str">
        <f>IF(OR(E97="",E97="!!!"),"",IF(NOT(ISNA(VLOOKUP(E97,E$1:E96,1,FALSE()))),"OLD",IF(AND(E97&lt;&gt;"",E97&lt;&gt;"!!!"),"NEW","")))</f>
        <v>OLD</v>
      </c>
      <c r="G97" s="22" t="str">
        <f ca="1">IF(OR(E97="",E97="!!!"),"",IF(OR(J97=0,AND(J97=1,K97=1),AND(J97=1,I97="SBJ"),AND(J97=1,I97=0)),"?IN_FOCUS",IF(J97&lt;=2,"?ACTIVATED",IF(J97&lt;&gt;"","?FAMILIAR",IF(F97="NEW",IF(ISNA(VLOOKUP(E97,#REF!,1,FALSE())),"?TYPE_IDENTIFIABLE","?REFERENTIAL"),"_")))))</f>
        <v>?IN_FOCUS</v>
      </c>
      <c r="H97" s="23" t="str">
        <f t="shared" ca="1" si="11"/>
        <v/>
      </c>
      <c r="I97" s="24" t="str">
        <f>IF(OR(E97="",E97="!!!",F97="NEW"),"",INDEX(B$2:B96,-1+SUMPRODUCT(MAX(ROW(E$2:E96)*(E97=E$2:E96)))))</f>
        <v>other_2</v>
      </c>
      <c r="J97" s="24">
        <f ca="1">IF(OR(E97="",E97="!!!",F97="NEW"),"",COUNTBLANK(OFFSET(A$1,,,SUMPRODUCT(MAX(ROW(E$2:E97)*(E97=E$2:E97)))))-COUNTBLANK(OFFSET(A$1,,,SUMPRODUCT(MAX(ROW(E$1:E96)*(E2=E$1:E96))))))</f>
        <v>0</v>
      </c>
      <c r="K97" s="24">
        <f ca="1">IF(OR(E97="",E97="!!!",F97="NEW"),"",INDEX(J$1:J96,SUMPRODUCT(MAX(ROW(E$1:E96)*(E97=E$1:E96)))))</f>
        <v>0</v>
      </c>
      <c r="L97" s="25"/>
    </row>
    <row r="98" spans="1:12" x14ac:dyDescent="0.3">
      <c r="A98" t="s">
        <v>304</v>
      </c>
      <c r="B98" s="26" t="s">
        <v>228</v>
      </c>
      <c r="C98" s="26" t="s">
        <v>261</v>
      </c>
      <c r="D98" s="26" t="s">
        <v>254</v>
      </c>
      <c r="E98" s="20"/>
      <c r="F98" s="21" t="s">
        <v>685</v>
      </c>
      <c r="G98" s="22" t="str">
        <f>IF(OR(E98="",E98="!!!"),"",IF(OR(J98=0,AND(J98=1,K98=1),AND(J98=1,I98="SBJ"),AND(J98=1,I98=0)),"?IN_FOCUS",IF(J98&lt;=2,"?ACTIVATED",IF(J98&lt;&gt;"","?FAMILIAR",IF(F98="NEW",IF(ISNA(VLOOKUP(E98,#REF!,1,FALSE())),"?TYPE_IDENTIFIABLE","?REFERENTIAL"),"_")))))</f>
        <v/>
      </c>
      <c r="H98" s="23" t="str">
        <f t="shared" ca="1" si="11"/>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265</v>
      </c>
      <c r="E99" s="20" t="str">
        <f t="shared" si="10"/>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11"/>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1" spans="1:12" x14ac:dyDescent="0.3">
      <c r="A101" t="s">
        <v>305</v>
      </c>
    </row>
    <row r="102" spans="1:12" x14ac:dyDescent="0.3">
      <c r="A102" t="s">
        <v>306</v>
      </c>
      <c r="B102" s="26" t="s">
        <v>274</v>
      </c>
      <c r="C102" s="26" t="s">
        <v>269</v>
      </c>
      <c r="D102" s="26" t="s">
        <v>254</v>
      </c>
      <c r="E102" s="20" t="s">
        <v>662</v>
      </c>
      <c r="F102" s="21" t="str">
        <f>IF(OR(E102="",E102="!!!"),"",IF(NOT(ISNA(VLOOKUP(E102,E$1:E101,1,FALSE()))),"OLD",IF(AND(E102&lt;&gt;"",E102&lt;&gt;"!!!"),"NEW","")))</f>
        <v>OLD</v>
      </c>
      <c r="G102" s="22" t="str">
        <f ca="1">IF(OR(E102="",E102="!!!"),"",IF(OR(J102=0,AND(J102=1,K102=1),AND(J102=1,I102="SBJ"),AND(J102=1,I102=0)),"?IN_FOCUS",IF(J102&lt;=2,"?ACTIVATED",IF(J102&lt;&gt;"","?FAMILIAR",IF(F102="NEW",IF(ISNA(VLOOKUP(E102,#REF!,1,FALSE())),"?TYPE_IDENTIFIABLE","?REFERENTIAL"),"_")))))</f>
        <v>?IN_FOCUS</v>
      </c>
      <c r="H102" s="23" t="s">
        <v>222</v>
      </c>
      <c r="I102" s="24" t="str">
        <f>IF(OR(E102="",E102="!!!",F102="NEW"),"",INDEX(B$2:B101,-1+SUMPRODUCT(MAX(ROW(E$2:E101)*(E102=E$2:E101)))))</f>
        <v>OBJ</v>
      </c>
      <c r="J102" s="24">
        <f ca="1">IF(OR(E102="",E102="!!!",F102="NEW"),"",COUNTBLANK(OFFSET(A$1,,,SUMPRODUCT(MAX(ROW(E$2:E102)*(E102=E$2:E102)))))-COUNTBLANK(OFFSET(A$1,,,SUMPRODUCT(MAX(ROW(E$1:E101)*(E2=E$1:E101))))))</f>
        <v>0</v>
      </c>
      <c r="K102" s="24" t="str">
        <f ca="1">IF(OR(E102="",E102="!!!",F102="NEW"),"",INDEX(J$1:J101,SUMPRODUCT(MAX(ROW(E$1:E101)*(E102=E$1:E101)))))</f>
        <v/>
      </c>
      <c r="L102" s="25"/>
    </row>
    <row r="103" spans="1:12" x14ac:dyDescent="0.3">
      <c r="A103" t="s">
        <v>307</v>
      </c>
      <c r="E103" s="20" t="str">
        <f t="shared" ref="E103:E112" si="12">IF(D103="?OLD","!!!","")</f>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ref="H103:H112" ca="1" si="13">IF(J103&lt;&gt;1,"",IF(I103="SBJ","CB","?"))</f>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308</v>
      </c>
      <c r="E104" s="20" t="str">
        <f t="shared" si="12"/>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3"/>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293</v>
      </c>
      <c r="E105" s="20" t="str">
        <f t="shared" si="12"/>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3"/>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309</v>
      </c>
      <c r="B106" s="26" t="s">
        <v>228</v>
      </c>
      <c r="C106" s="26" t="s">
        <v>310</v>
      </c>
      <c r="D106" s="26" t="s">
        <v>254</v>
      </c>
      <c r="E106" s="20" t="s">
        <v>667</v>
      </c>
      <c r="F106" s="21" t="str">
        <f>IF(OR(E106="",E106="!!!"),"",IF(NOT(ISNA(VLOOKUP(E106,E$1:E105,1,FALSE()))),"OLD",IF(AND(E106&lt;&gt;"",E106&lt;&gt;"!!!"),"NEW","")))</f>
        <v>OLD</v>
      </c>
      <c r="G106" s="22" t="s">
        <v>708</v>
      </c>
      <c r="H106" s="23" t="str">
        <f t="shared" ca="1" si="13"/>
        <v/>
      </c>
      <c r="I106" s="24" t="str">
        <f>IF(OR(E106="",E106="!!!",F106="NEW"),"",INDEX(B$2:B105,-1+SUMPRODUCT(MAX(ROW(E$2:E105)*(E106=E$2:E105)))))</f>
        <v>other</v>
      </c>
      <c r="J106" s="24">
        <f ca="1">IF(OR(E106="",E106="!!!",F106="NEW"),"",COUNTBLANK(OFFSET(A$1,,,SUMPRODUCT(MAX(ROW(E$2:E106)*(E106=E$2:E106)))))-COUNTBLANK(OFFSET(A$1,,,SUMPRODUCT(MAX(ROW(E$1:E105)*(E2=E$1:E105))))))</f>
        <v>0</v>
      </c>
      <c r="K106" s="24" t="str">
        <f ca="1">IF(OR(E106="",E106="!!!",F106="NEW"),"",INDEX(J$1:J105,SUMPRODUCT(MAX(ROW(E$1:E105)*(E106=E$1:E105)))))</f>
        <v/>
      </c>
      <c r="L106" s="25"/>
    </row>
    <row r="107" spans="1:12" x14ac:dyDescent="0.3">
      <c r="A107" t="s">
        <v>311</v>
      </c>
      <c r="E107" s="20" t="str">
        <f t="shared" si="12"/>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13"/>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256</v>
      </c>
      <c r="E108" s="20" t="str">
        <f t="shared" si="12"/>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3"/>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312</v>
      </c>
      <c r="B109" s="26" t="s">
        <v>241</v>
      </c>
      <c r="C109" s="26" t="s">
        <v>253</v>
      </c>
      <c r="D109" s="26" t="s">
        <v>254</v>
      </c>
      <c r="E109" s="20" t="s">
        <v>662</v>
      </c>
      <c r="F109" s="21" t="str">
        <f>IF(OR(E109="",E109="!!!"),"",IF(NOT(ISNA(VLOOKUP(E109,E$1:E108,1,FALSE()))),"OLD",IF(AND(E109&lt;&gt;"",E109&lt;&gt;"!!!"),"NEW","")))</f>
        <v>OLD</v>
      </c>
      <c r="G109" s="22" t="str">
        <f ca="1">IF(OR(E109="",E109="!!!"),"",IF(OR(J109=0,AND(J109=1,K109=1),AND(J109=1,I109="SBJ"),AND(J109=1,I109=0)),"?IN_FOCUS",IF(J109&lt;=2,"?ACTIVATED",IF(J109&lt;&gt;"","?FAMILIAR",IF(F109="NEW",IF(ISNA(VLOOKUP(E109,#REF!,1,FALSE())),"?TYPE_IDENTIFIABLE","?REFERENTIAL"),"_")))))</f>
        <v>?IN_FOCUS</v>
      </c>
      <c r="H109" s="23" t="str">
        <f t="shared" ca="1" si="13"/>
        <v/>
      </c>
      <c r="I109" s="24" t="str">
        <f>IF(OR(E109="",E109="!!!",F109="NEW"),"",INDEX(B$2:B108,-1+SUMPRODUCT(MAX(ROW(E$2:E108)*(E109=E$2:E108)))))</f>
        <v>SBJ</v>
      </c>
      <c r="J109" s="24">
        <f ca="1">IF(OR(E109="",E109="!!!",F109="NEW"),"",COUNTBLANK(OFFSET(A$1,,,SUMPRODUCT(MAX(ROW(E$2:E109)*(E109=E$2:E109)))))-COUNTBLANK(OFFSET(A$1,,,SUMPRODUCT(MAX(ROW(E$1:E108)*(E2=E$1:E108))))))</f>
        <v>0</v>
      </c>
      <c r="K109" s="24">
        <f ca="1">IF(OR(E109="",E109="!!!",F109="NEW"),"",INDEX(J$1:J108,SUMPRODUCT(MAX(ROW(E$1:E108)*(E109=E$1:E108)))))</f>
        <v>0</v>
      </c>
      <c r="L109" s="25"/>
    </row>
    <row r="110" spans="1:12" x14ac:dyDescent="0.3">
      <c r="A110" t="s">
        <v>313</v>
      </c>
      <c r="B110" s="26" t="s">
        <v>292</v>
      </c>
      <c r="C110" s="26" t="s">
        <v>261</v>
      </c>
      <c r="D110" s="26" t="s">
        <v>254</v>
      </c>
      <c r="E110" s="20"/>
      <c r="F110" s="21" t="s">
        <v>659</v>
      </c>
      <c r="G110" s="22"/>
      <c r="H110" s="23" t="str">
        <f t="shared" ca="1" si="13"/>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314</v>
      </c>
      <c r="E111" s="20" t="str">
        <f t="shared" si="12"/>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13"/>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265</v>
      </c>
      <c r="E112" s="20" t="str">
        <f t="shared" si="12"/>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13"/>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4" spans="1:12" x14ac:dyDescent="0.3">
      <c r="A114" t="s">
        <v>315</v>
      </c>
    </row>
    <row r="115" spans="1:12" x14ac:dyDescent="0.3">
      <c r="A115" t="s">
        <v>316</v>
      </c>
      <c r="B115" s="26" t="s">
        <v>241</v>
      </c>
      <c r="C115" s="26" t="s">
        <v>253</v>
      </c>
      <c r="D115" s="26" t="s">
        <v>254</v>
      </c>
      <c r="E115" s="20" t="s">
        <v>662</v>
      </c>
      <c r="F115" s="21" t="str">
        <f>IF(OR(E115="",E115="!!!"),"",IF(NOT(ISNA(VLOOKUP(E115,E$1:E114,1,FALSE()))),"OLD",IF(AND(E115&lt;&gt;"",E115&lt;&gt;"!!!"),"NEW","")))</f>
        <v>OLD</v>
      </c>
      <c r="G115" s="22" t="str">
        <f ca="1">IF(OR(E115="",E115="!!!"),"",IF(OR(J115=0,AND(J115=1,K115=1),AND(J115=1,I115="SBJ"),AND(J115=1,I115=0)),"?IN_FOCUS",IF(J115&lt;=2,"?ACTIVATED",IF(J115&lt;&gt;"","?FAMILIAR",IF(F115="NEW",IF(ISNA(VLOOKUP(E115,#REF!,1,FALSE())),"?TYPE_IDENTIFIABLE","?REFERENTIAL"),"_")))))</f>
        <v>?IN_FOCUS</v>
      </c>
      <c r="H115" s="23" t="str">
        <f t="shared" ref="H115:H121" ca="1" si="14">IF(J115&lt;&gt;1,"",IF(I115="SBJ","CB","?"))</f>
        <v/>
      </c>
      <c r="I115" s="24" t="str">
        <f>IF(OR(E115="",E115="!!!",F115="NEW"),"",INDEX(B$2:B114,-1+SUMPRODUCT(MAX(ROW(E$2:E114)*(E115=E$2:E114)))))</f>
        <v>other_2</v>
      </c>
      <c r="J115" s="24">
        <f ca="1">IF(OR(E115="",E115="!!!",F115="NEW"),"",COUNTBLANK(OFFSET(A$1,,,SUMPRODUCT(MAX(ROW(E$2:E115)*(E115=E$2:E115)))))-COUNTBLANK(OFFSET(A$1,,,SUMPRODUCT(MAX(ROW(E$1:E114)*(E2=E$1:E114))))))</f>
        <v>0</v>
      </c>
      <c r="K115" s="24">
        <f ca="1">IF(OR(E115="",E115="!!!",F115="NEW"),"",INDEX(J$1:J114,SUMPRODUCT(MAX(ROW(E$1:E114)*(E115=E$1:E114)))))</f>
        <v>0</v>
      </c>
      <c r="L115" s="25"/>
    </row>
    <row r="116" spans="1:12" x14ac:dyDescent="0.3">
      <c r="A116" t="s">
        <v>317</v>
      </c>
      <c r="B116" s="26" t="s">
        <v>274</v>
      </c>
      <c r="C116" s="26" t="s">
        <v>261</v>
      </c>
      <c r="D116" s="26" t="s">
        <v>254</v>
      </c>
      <c r="E116" s="20" t="s">
        <v>663</v>
      </c>
      <c r="F116" s="21" t="str">
        <f>IF(OR(E116="",E116="!!!"),"",IF(NOT(ISNA(VLOOKUP(E116,E$1:E115,1,FALSE()))),"OLD",IF(AND(E116&lt;&gt;"",E116&lt;&gt;"!!!"),"NEW","")))</f>
        <v>OLD</v>
      </c>
      <c r="G116" s="22" t="s">
        <v>708</v>
      </c>
      <c r="H116" s="23" t="s">
        <v>222</v>
      </c>
      <c r="I116" s="24" t="str">
        <f>IF(OR(E116="",E116="!!!",F116="NEW"),"",INDEX(B$2:B115,-1+SUMPRODUCT(MAX(ROW(E$2:E115)*(E116=E$2:E115)))))</f>
        <v>other_2</v>
      </c>
      <c r="J116" s="24">
        <f ca="1">IF(OR(E116="",E116="!!!",F116="NEW"),"",COUNTBLANK(OFFSET(A$1,,,SUMPRODUCT(MAX(ROW(E$2:E116)*(E116=E$2:E116)))))-COUNTBLANK(OFFSET(A$1,,,SUMPRODUCT(MAX(ROW(E$1:E115)*(E2=E$1:E115))))))</f>
        <v>0</v>
      </c>
      <c r="K116" s="24">
        <f ca="1">IF(OR(E116="",E116="!!!",F116="NEW"),"",INDEX(J$1:J115,SUMPRODUCT(MAX(ROW(E$1:E115)*(E116=E$1:E115)))))</f>
        <v>0</v>
      </c>
      <c r="L116" s="25"/>
    </row>
    <row r="117" spans="1:12" x14ac:dyDescent="0.3">
      <c r="A117" t="s">
        <v>318</v>
      </c>
      <c r="E117" s="20" t="str">
        <f>IF(D117="?OLD","!!!","")</f>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4"/>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319</v>
      </c>
      <c r="E118" s="20" t="str">
        <f t="shared" ref="E118:E121" si="15">IF(D118="?OLD","!!!","")</f>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4"/>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293</v>
      </c>
      <c r="E119" s="20" t="str">
        <f t="shared" si="15"/>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4"/>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320</v>
      </c>
      <c r="B120" s="26" t="s">
        <v>228</v>
      </c>
      <c r="C120" s="26" t="s">
        <v>310</v>
      </c>
      <c r="D120" s="26" t="s">
        <v>254</v>
      </c>
      <c r="E120" s="20" t="s">
        <v>710</v>
      </c>
      <c r="F120" s="21" t="str">
        <f>IF(OR(E120="",E120="!!!"),"",IF(NOT(ISNA(VLOOKUP(E120,E$1:E119,1,FALSE()))),"OLD",IF(AND(E120&lt;&gt;"",E120&lt;&gt;"!!!"),"NEW","")))</f>
        <v>NEW</v>
      </c>
      <c r="G120" s="22" t="str">
        <f ca="1">IF(OR(E120="",E120="!!!"),"",IF(OR(J120=0,AND(J120=1,K120=1),AND(J120=1,I120="SBJ"),AND(J120=1,I120=0)),"?IN_FOCUS",IF(J120&lt;=2,"?ACTIVATED",IF(J120&lt;&gt;"","?FAMILIAR",IF(F120="NEW",IF(ISNA(VLOOKUP(E120,#REF!,1,FALSE())),"?TYPE_IDENTIFIABLE","?REFERENTIAL"),"_")))))</f>
        <v>?REFERENTIAL</v>
      </c>
      <c r="H120" s="23" t="str">
        <f t="shared" ca="1" si="14"/>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t="s">
        <v>711</v>
      </c>
    </row>
    <row r="121" spans="1:12" x14ac:dyDescent="0.3">
      <c r="A121" t="s">
        <v>265</v>
      </c>
      <c r="E121" s="20" t="str">
        <f t="shared" si="15"/>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14"/>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3" spans="1:12" x14ac:dyDescent="0.3">
      <c r="A123" t="s">
        <v>321</v>
      </c>
    </row>
    <row r="124" spans="1:12" x14ac:dyDescent="0.3">
      <c r="A124" t="s">
        <v>322</v>
      </c>
      <c r="E124" s="20" t="str">
        <f t="shared" ref="E124:E131" si="16">IF(D124="?OLD","!!!","")</f>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ref="H124:H131" ca="1" si="17">IF(J124&lt;&gt;1,"",IF(I124="SBJ","CB","?"))</f>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323</v>
      </c>
      <c r="B125" s="26" t="s">
        <v>234</v>
      </c>
      <c r="C125" s="26" t="s">
        <v>269</v>
      </c>
      <c r="D125" s="26" t="s">
        <v>254</v>
      </c>
      <c r="E125" s="20" t="s">
        <v>663</v>
      </c>
      <c r="F125" s="21" t="str">
        <f>IF(OR(E125="",E125="!!!"),"",IF(NOT(ISNA(VLOOKUP(E125,E$1:E124,1,FALSE()))),"OLD",IF(AND(E125&lt;&gt;"",E125&lt;&gt;"!!!"),"NEW","")))</f>
        <v>OLD</v>
      </c>
      <c r="G125" s="22" t="str">
        <f ca="1">IF(OR(E125="",E125="!!!"),"",IF(OR(J125=0,AND(J125=1,K125=1),AND(J125=1,I125="SBJ"),AND(J125=1,I125=0)),"?IN_FOCUS",IF(J125&lt;=2,"?ACTIVATED",IF(J125&lt;&gt;"","?FAMILIAR",IF(F125="NEW",IF(ISNA(VLOOKUP(E125,#REF!,1,FALSE())),"?TYPE_IDENTIFIABLE","?REFERENTIAL"),"_")))))</f>
        <v>?IN_FOCUS</v>
      </c>
      <c r="H125" s="23" t="s">
        <v>222</v>
      </c>
      <c r="I125" s="24" t="str">
        <f>IF(OR(E125="",E125="!!!",F125="NEW"),"",INDEX(B$2:B124,-1+SUMPRODUCT(MAX(ROW(E$2:E124)*(E125=E$2:E124)))))</f>
        <v>SBJ</v>
      </c>
      <c r="J125" s="24">
        <f ca="1">IF(OR(E125="",E125="!!!",F125="NEW"),"",COUNTBLANK(OFFSET(A$1,,,SUMPRODUCT(MAX(ROW(E$2:E125)*(E125=E$2:E125)))))-COUNTBLANK(OFFSET(A$1,,,SUMPRODUCT(MAX(ROW(E$1:E124)*(E2=E$1:E124))))))</f>
        <v>0</v>
      </c>
      <c r="K125" s="24">
        <f ca="1">IF(OR(E125="",E125="!!!",F125="NEW"),"",INDEX(J$1:J124,SUMPRODUCT(MAX(ROW(E$1:E124)*(E125=E$1:E124)))))</f>
        <v>0</v>
      </c>
      <c r="L125" s="25"/>
    </row>
    <row r="126" spans="1:12" x14ac:dyDescent="0.3">
      <c r="A126" t="s">
        <v>324</v>
      </c>
      <c r="E126" s="20" t="str">
        <f t="shared" si="16"/>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323</v>
      </c>
      <c r="B127" s="26" t="s">
        <v>274</v>
      </c>
      <c r="C127" s="26" t="s">
        <v>269</v>
      </c>
      <c r="D127" s="26" t="s">
        <v>254</v>
      </c>
      <c r="E127" s="20" t="s">
        <v>663</v>
      </c>
      <c r="F127" s="21" t="str">
        <f>IF(OR(E127="",E127="!!!"),"",IF(NOT(ISNA(VLOOKUP(E127,E$1:E126,1,FALSE()))),"OLD",IF(AND(E127&lt;&gt;"",E127&lt;&gt;"!!!"),"NEW","")))</f>
        <v>OLD</v>
      </c>
      <c r="G127" s="22" t="str">
        <f ca="1">IF(OR(E127="",E127="!!!"),"",IF(OR(J127=0,AND(J127=1,K127=1),AND(J127=1,I127="SBJ"),AND(J127=1,I127=0)),"?IN_FOCUS",IF(J127&lt;=2,"?ACTIVATED",IF(J127&lt;&gt;"","?FAMILIAR",IF(F127="NEW",IF(ISNA(VLOOKUP(E127,#REF!,1,FALSE())),"?TYPE_IDENTIFIABLE","?REFERENTIAL"),"_")))))</f>
        <v>?IN_FOCUS</v>
      </c>
      <c r="H127" s="23" t="str">
        <f t="shared" ca="1" si="17"/>
        <v/>
      </c>
      <c r="I127" s="24" t="str">
        <f>IF(OR(E127="",E127="!!!",F127="NEW"),"",INDEX(B$2:B126,-1+SUMPRODUCT(MAX(ROW(E$2:E126)*(E127=E$2:E126)))))</f>
        <v>SBJ_2</v>
      </c>
      <c r="J127" s="24">
        <f ca="1">IF(OR(E127="",E127="!!!",F127="NEW"),"",COUNTBLANK(OFFSET(A$1,,,SUMPRODUCT(MAX(ROW(E$2:E127)*(E127=E$2:E127)))))-COUNTBLANK(OFFSET(A$1,,,SUMPRODUCT(MAX(ROW(E$1:E126)*(E2=E$1:E126))))))</f>
        <v>0</v>
      </c>
      <c r="K127" s="24">
        <f ca="1">IF(OR(E127="",E127="!!!",F127="NEW"),"",INDEX(J$1:J126,SUMPRODUCT(MAX(ROW(E$1:E126)*(E127=E$1:E126)))))</f>
        <v>0</v>
      </c>
      <c r="L127" s="25"/>
    </row>
    <row r="128" spans="1:12" x14ac:dyDescent="0.3">
      <c r="A128" t="s">
        <v>325</v>
      </c>
      <c r="E128" s="20" t="str">
        <f t="shared" si="16"/>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326</v>
      </c>
      <c r="E129" s="20" t="str">
        <f t="shared" si="16"/>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327</v>
      </c>
      <c r="E130" s="20" t="str">
        <f t="shared" si="16"/>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7"/>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265</v>
      </c>
      <c r="E131" s="20" t="str">
        <f t="shared" si="16"/>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7"/>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3" spans="1:12" x14ac:dyDescent="0.3">
      <c r="A133" t="s">
        <v>328</v>
      </c>
    </row>
    <row r="134" spans="1:12" x14ac:dyDescent="0.3">
      <c r="A134" t="s">
        <v>329</v>
      </c>
      <c r="B134" s="26" t="s">
        <v>274</v>
      </c>
      <c r="C134" s="26" t="s">
        <v>269</v>
      </c>
      <c r="D134" s="26" t="s">
        <v>254</v>
      </c>
      <c r="E134" s="20" t="s">
        <v>663</v>
      </c>
      <c r="F134" s="21" t="str">
        <f>IF(OR(E134="",E134="!!!"),"",IF(NOT(ISNA(VLOOKUP(E134,E$1:E133,1,FALSE()))),"OLD",IF(AND(E134&lt;&gt;"",E134&lt;&gt;"!!!"),"NEW","")))</f>
        <v>OLD</v>
      </c>
      <c r="G134" s="22" t="str">
        <f ca="1">IF(OR(E134="",E134="!!!"),"",IF(OR(J134=0,AND(J134=1,K134=1),AND(J134=1,I134="SBJ"),AND(J134=1,I134=0)),"?IN_FOCUS",IF(J134&lt;=2,"?ACTIVATED",IF(J134&lt;&gt;"","?FAMILIAR",IF(F134="NEW",IF(ISNA(VLOOKUP(E134,#REF!,1,FALSE())),"?TYPE_IDENTIFIABLE","?REFERENTIAL"),"_")))))</f>
        <v>?IN_FOCUS</v>
      </c>
      <c r="H134" s="23" t="s">
        <v>222</v>
      </c>
      <c r="I134" s="24" t="str">
        <f>IF(OR(E134="",E134="!!!",F134="NEW"),"",INDEX(B$2:B133,-1+SUMPRODUCT(MAX(ROW(E$2:E133)*(E134=E$2:E133)))))</f>
        <v>SBJ</v>
      </c>
      <c r="J134" s="24">
        <f ca="1">IF(OR(E134="",E134="!!!",F134="NEW"),"",COUNTBLANK(OFFSET(A$1,,,SUMPRODUCT(MAX(ROW(E$2:E134)*(E134=E$2:E134)))))-COUNTBLANK(OFFSET(A$1,,,SUMPRODUCT(MAX(ROW(E$1:E133)*(E2=E$1:E133))))))</f>
        <v>0</v>
      </c>
      <c r="K134" s="24">
        <f ca="1">IF(OR(E134="",E134="!!!",F134="NEW"),"",INDEX(J$1:J133,SUMPRODUCT(MAX(ROW(E$1:E133)*(E134=E$1:E133)))))</f>
        <v>0</v>
      </c>
      <c r="L134" s="25"/>
    </row>
    <row r="135" spans="1:12" x14ac:dyDescent="0.3">
      <c r="A135" t="s">
        <v>330</v>
      </c>
      <c r="E135" s="20" t="str">
        <f t="shared" ref="E135:E141" si="18">IF(D135="?OLD","!!!","")</f>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ref="H135:H141" ca="1" si="19">IF(J135&lt;&gt;1,"",IF(I135="SBJ","CB","?"))</f>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331</v>
      </c>
      <c r="E136" s="20" t="str">
        <f t="shared" si="18"/>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9"/>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332</v>
      </c>
      <c r="E137" s="20" t="str">
        <f t="shared" si="18"/>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9"/>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333</v>
      </c>
      <c r="E138" s="20" t="str">
        <f t="shared" si="18"/>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9"/>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293</v>
      </c>
      <c r="E139" s="20" t="str">
        <f t="shared" si="18"/>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9"/>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334</v>
      </c>
      <c r="B140" s="26" t="s">
        <v>248</v>
      </c>
      <c r="C140" s="26" t="s">
        <v>310</v>
      </c>
      <c r="D140" s="26" t="s">
        <v>254</v>
      </c>
      <c r="E140" s="20" t="s">
        <v>662</v>
      </c>
      <c r="F140" s="21" t="str">
        <f>IF(OR(E140="",E140="!!!"),"",IF(NOT(ISNA(VLOOKUP(E140,E$1:E139,1,FALSE()))),"OLD",IF(AND(E140&lt;&gt;"",E140&lt;&gt;"!!!"),"NEW","")))</f>
        <v>OLD</v>
      </c>
      <c r="G140" s="22" t="s">
        <v>708</v>
      </c>
      <c r="H140" s="23" t="str">
        <f t="shared" ca="1" si="19"/>
        <v/>
      </c>
      <c r="I140" s="24" t="str">
        <f>IF(OR(E140="",E140="!!!",F140="NEW"),"",INDEX(B$2:B139,-1+SUMPRODUCT(MAX(ROW(E$2:E139)*(E140=E$2:E139)))))</f>
        <v>other_2</v>
      </c>
      <c r="J140" s="24">
        <f ca="1">IF(OR(E140="",E140="!!!",F140="NEW"),"",COUNTBLANK(OFFSET(A$1,,,SUMPRODUCT(MAX(ROW(E$2:E140)*(E140=E$2:E140)))))-COUNTBLANK(OFFSET(A$1,,,SUMPRODUCT(MAX(ROW(E$1:E139)*(E2=E$1:E139))))))</f>
        <v>0</v>
      </c>
      <c r="K140" s="24">
        <f ca="1">IF(OR(E140="",E140="!!!",F140="NEW"),"",INDEX(J$1:J139,SUMPRODUCT(MAX(ROW(E$1:E139)*(E140=E$1:E139)))))</f>
        <v>0</v>
      </c>
      <c r="L140" s="25"/>
    </row>
    <row r="141" spans="1:12" x14ac:dyDescent="0.3">
      <c r="A141" t="s">
        <v>265</v>
      </c>
      <c r="E141" s="20" t="str">
        <f t="shared" si="18"/>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9"/>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3" spans="1:12" x14ac:dyDescent="0.3">
      <c r="A143" t="s">
        <v>335</v>
      </c>
    </row>
    <row r="144" spans="1:12" x14ac:dyDescent="0.3">
      <c r="A144" t="s">
        <v>336</v>
      </c>
      <c r="E144" s="20" t="str">
        <f>IF(D144="?OLD","!!!","")</f>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ca="1">IF(J144&lt;&gt;1,"",IF(I144="SBJ","CB","?"))</f>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337</v>
      </c>
      <c r="B145" s="26" t="s">
        <v>274</v>
      </c>
      <c r="C145" s="26" t="s">
        <v>310</v>
      </c>
      <c r="D145" s="26" t="s">
        <v>254</v>
      </c>
      <c r="E145" s="20" t="s">
        <v>712</v>
      </c>
      <c r="F145" s="21" t="str">
        <f>IF(OR(E145="",E145="!!!"),"",IF(NOT(ISNA(VLOOKUP(E145,E$1:E144,1,FALSE()))),"OLD",IF(AND(E145&lt;&gt;"",E145&lt;&gt;"!!!"),"NEW","")))</f>
        <v>NEW</v>
      </c>
      <c r="G145" s="22" t="s">
        <v>713</v>
      </c>
      <c r="H145" s="23" t="s">
        <v>222</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307</v>
      </c>
      <c r="E146" s="20" t="str">
        <f>IF(D146="?OLD","!!!","")</f>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ca="1">IF(J146&lt;&gt;1,"",IF(I146="SBJ","CB","?"))</f>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338</v>
      </c>
      <c r="E147" s="20" t="str">
        <f>IF(D147="?OLD","!!!","")</f>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ca="1">IF(J147&lt;&gt;1,"",IF(I147="SBJ","CB","?"))</f>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265</v>
      </c>
      <c r="E148" s="20" t="str">
        <f>IF(D148="?OLD","!!!","")</f>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ca="1">IF(J148&lt;&gt;1,"",IF(I148="SBJ","CB","?"))</f>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50" spans="1:12" x14ac:dyDescent="0.3">
      <c r="A150" t="s">
        <v>339</v>
      </c>
    </row>
    <row r="151" spans="1:12" x14ac:dyDescent="0.3">
      <c r="A151" t="s">
        <v>322</v>
      </c>
      <c r="E151" s="20" t="str">
        <f t="shared" ref="E151:E158" si="20">IF(D151="?OLD","!!!","")</f>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ref="H151:H158" ca="1" si="21">IF(J151&lt;&gt;1,"",IF(I151="SBJ","CB","?"))</f>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340</v>
      </c>
      <c r="B152" s="26" t="s">
        <v>274</v>
      </c>
      <c r="C152" s="26" t="s">
        <v>269</v>
      </c>
      <c r="D152" s="26" t="s">
        <v>254</v>
      </c>
      <c r="E152" s="20"/>
      <c r="F152" s="21" t="s">
        <v>714</v>
      </c>
      <c r="G152" s="22"/>
      <c r="H152" s="23"/>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62</v>
      </c>
      <c r="E153" s="20" t="str">
        <f>IF(D153="?OLD","!!!","")</f>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21"/>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341</v>
      </c>
      <c r="E154" s="20" t="str">
        <f t="shared" si="20"/>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21"/>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342</v>
      </c>
      <c r="E155" s="20" t="str">
        <f t="shared" si="20"/>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21"/>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343</v>
      </c>
      <c r="E156" s="20" t="str">
        <f t="shared" si="20"/>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21"/>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344</v>
      </c>
      <c r="B157" s="26" t="s">
        <v>241</v>
      </c>
      <c r="C157" s="26" t="s">
        <v>273</v>
      </c>
      <c r="D157" s="26" t="s">
        <v>254</v>
      </c>
      <c r="E157" s="20" t="s">
        <v>665</v>
      </c>
      <c r="F157" s="21" t="str">
        <f>IF(OR(E157="",E157="!!!"),"",IF(NOT(ISNA(VLOOKUP(E157,E$1:E156,1,FALSE()))),"OLD",IF(AND(E157&lt;&gt;"",E157&lt;&gt;"!!!"),"NEW","")))</f>
        <v>NEW</v>
      </c>
      <c r="G157" s="22" t="s">
        <v>704</v>
      </c>
      <c r="H157" s="23" t="str">
        <f t="shared" ca="1" si="21"/>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265</v>
      </c>
      <c r="E158" s="20" t="str">
        <f t="shared" si="20"/>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21"/>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60" spans="1:12" x14ac:dyDescent="0.3">
      <c r="A160" t="s">
        <v>345</v>
      </c>
    </row>
    <row r="161" spans="1:12" x14ac:dyDescent="0.3">
      <c r="A161" t="s">
        <v>329</v>
      </c>
      <c r="B161" s="26" t="s">
        <v>274</v>
      </c>
      <c r="C161" s="26" t="s">
        <v>269</v>
      </c>
      <c r="D161" s="26" t="s">
        <v>254</v>
      </c>
      <c r="E161" s="20" t="s">
        <v>665</v>
      </c>
      <c r="F161" s="21" t="str">
        <f>IF(OR(E161="",E161="!!!"),"",IF(NOT(ISNA(VLOOKUP(E161,E$1:E160,1,FALSE()))),"OLD",IF(AND(E161&lt;&gt;"",E161&lt;&gt;"!!!"),"NEW","")))</f>
        <v>OLD</v>
      </c>
      <c r="G161" s="22" t="str">
        <f ca="1">IF(OR(E161="",E161="!!!"),"",IF(OR(J161=0,AND(J161=1,K161=1),AND(J161=1,I161="SBJ"),AND(J161=1,I161=0)),"?IN_FOCUS",IF(J161&lt;=2,"?ACTIVATED",IF(J161&lt;&gt;"","?FAMILIAR",IF(F161="NEW",IF(ISNA(VLOOKUP(E161,#REF!,1,FALSE())),"?TYPE_IDENTIFIABLE","?REFERENTIAL"),"_")))))</f>
        <v>?IN_FOCUS</v>
      </c>
      <c r="H161" s="23" t="s">
        <v>222</v>
      </c>
      <c r="I161" s="24" t="str">
        <f>IF(OR(E161="",E161="!!!",F161="NEW"),"",INDEX(B$2:B160,-1+SUMPRODUCT(MAX(ROW(E$2:E160)*(E161=E$2:E160)))))</f>
        <v>other_2</v>
      </c>
      <c r="J161" s="24">
        <f ca="1">IF(OR(E161="",E161="!!!",F161="NEW"),"",COUNTBLANK(OFFSET(A$1,,,SUMPRODUCT(MAX(ROW(E$2:E161)*(E161=E$2:E161)))))-COUNTBLANK(OFFSET(A$1,,,SUMPRODUCT(MAX(ROW(E$1:E160)*(E2=E$1:E160))))))</f>
        <v>0</v>
      </c>
      <c r="K161" s="24" t="str">
        <f ca="1">IF(OR(E161="",E161="!!!",F161="NEW"),"",INDEX(J$1:J160,SUMPRODUCT(MAX(ROW(E$1:E160)*(E161=E$1:E160)))))</f>
        <v/>
      </c>
      <c r="L161" s="25"/>
    </row>
    <row r="162" spans="1:12" x14ac:dyDescent="0.3">
      <c r="A162" t="s">
        <v>258</v>
      </c>
      <c r="E162" s="20" t="str">
        <f t="shared" ref="E162:E176" si="22">IF(D162="?OLD","!!!","")</f>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ref="H162:H176" ca="1" si="23">IF(J162&lt;&gt;1,"",IF(I162="SBJ","CB","?"))</f>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293</v>
      </c>
      <c r="E163" s="20" t="str">
        <f t="shared" si="22"/>
        <v/>
      </c>
      <c r="F163" s="21"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23"/>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346</v>
      </c>
      <c r="E164" s="20" t="str">
        <f t="shared" si="22"/>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23"/>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347</v>
      </c>
      <c r="B165" s="26" t="s">
        <v>228</v>
      </c>
      <c r="C165" s="26" t="s">
        <v>310</v>
      </c>
      <c r="D165" s="26" t="s">
        <v>254</v>
      </c>
      <c r="E165" s="20"/>
      <c r="F165" s="21" t="s">
        <v>659</v>
      </c>
      <c r="G165" s="22"/>
      <c r="H165" s="23" t="str">
        <f t="shared" ca="1" si="23"/>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348</v>
      </c>
      <c r="E166" s="20" t="str">
        <f t="shared" si="22"/>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23"/>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349</v>
      </c>
      <c r="B167" s="26" t="s">
        <v>228</v>
      </c>
      <c r="C167" s="26" t="s">
        <v>273</v>
      </c>
      <c r="D167" s="26" t="s">
        <v>254</v>
      </c>
      <c r="E167" s="20" t="s">
        <v>715</v>
      </c>
      <c r="F167" s="21" t="s">
        <v>671</v>
      </c>
      <c r="G167" s="22" t="s">
        <v>704</v>
      </c>
      <c r="H167" s="23" t="str">
        <f t="shared" ca="1" si="23"/>
        <v/>
      </c>
      <c r="I167" s="24" t="e">
        <f>IF(OR(E167="",E167="!!!",F167="NEW"),"",INDEX(B$2:B166,-1+SUMPRODUCT(MAX(ROW(E$2:E166)*(E167=E$2:E166)))))</f>
        <v>#VALUE!</v>
      </c>
      <c r="J167" s="24">
        <f ca="1">IF(OR(E167="",E167="!!!",F167="NEW"),"",COUNTBLANK(OFFSET(A$1,,,SUMPRODUCT(MAX(ROW(E$2:E167)*(E167=E$2:E167)))))-COUNTBLANK(OFFSET(A$1,,,SUMPRODUCT(MAX(ROW(E$1:E166)*(E2=E$1:E166))))))</f>
        <v>0</v>
      </c>
      <c r="K167" s="24" t="e">
        <f>IF(OR(E167="",E167="!!!",F167="NEW"),"",INDEX(J$1:J166,SUMPRODUCT(MAX(ROW(E$1:E166)*(E167=E$1:E166)))))</f>
        <v>#VALUE!</v>
      </c>
      <c r="L167" s="25"/>
    </row>
    <row r="168" spans="1:12" x14ac:dyDescent="0.3">
      <c r="A168" t="s">
        <v>256</v>
      </c>
      <c r="E168" s="20" t="str">
        <f t="shared" si="22"/>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23"/>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246</v>
      </c>
      <c r="E169" s="20" t="str">
        <f t="shared" si="22"/>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23"/>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350</v>
      </c>
      <c r="B170" s="26" t="s">
        <v>228</v>
      </c>
      <c r="C170" s="26" t="s">
        <v>249</v>
      </c>
      <c r="E170" s="20" t="str">
        <f t="shared" si="22"/>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23"/>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262</v>
      </c>
      <c r="E171" s="20" t="str">
        <f t="shared" si="22"/>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23"/>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351</v>
      </c>
      <c r="E172" s="20" t="str">
        <f t="shared" si="22"/>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23"/>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3" spans="1:12" x14ac:dyDescent="0.3">
      <c r="A173" t="s">
        <v>352</v>
      </c>
      <c r="B173" s="26" t="s">
        <v>241</v>
      </c>
      <c r="C173" s="26" t="s">
        <v>229</v>
      </c>
      <c r="E173" s="20" t="str">
        <f t="shared" si="22"/>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23"/>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353</v>
      </c>
      <c r="E174" s="20" t="str">
        <f t="shared" si="22"/>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23"/>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3">
      <c r="A175" t="s">
        <v>354</v>
      </c>
      <c r="B175" s="26" t="s">
        <v>252</v>
      </c>
      <c r="C175" s="26" t="s">
        <v>273</v>
      </c>
      <c r="D175" s="26" t="s">
        <v>254</v>
      </c>
      <c r="E175" s="20" t="s">
        <v>666</v>
      </c>
      <c r="F175" s="21" t="str">
        <f>IF(OR(E175="",E175="!!!"),"",IF(NOT(ISNA(VLOOKUP(E175,E$1:E174,1,FALSE()))),"OLD",IF(AND(E175&lt;&gt;"",E175&lt;&gt;"!!!"),"NEW","")))</f>
        <v>NEW</v>
      </c>
      <c r="G175" s="22" t="s">
        <v>713</v>
      </c>
      <c r="H175" s="23" t="str">
        <f t="shared" ca="1" si="23"/>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265</v>
      </c>
      <c r="E176" s="20" t="str">
        <f t="shared" si="22"/>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23"/>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8" spans="1:12" x14ac:dyDescent="0.3">
      <c r="A178" t="s">
        <v>355</v>
      </c>
    </row>
    <row r="179" spans="1:12" x14ac:dyDescent="0.3">
      <c r="A179" t="s">
        <v>279</v>
      </c>
      <c r="B179" s="26" t="s">
        <v>274</v>
      </c>
      <c r="E179" s="20" t="str">
        <f t="shared" ref="E179:E189" si="24">IF(D179="?OLD","!!!","")</f>
        <v/>
      </c>
      <c r="F179" s="21"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ref="H179:H189" ca="1" si="25">IF(J179&lt;&gt;1,"",IF(I179="SBJ","CB","?"))</f>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262</v>
      </c>
      <c r="E180" s="20" t="str">
        <f t="shared" si="24"/>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25"/>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293</v>
      </c>
      <c r="E181" s="20" t="str">
        <f t="shared" si="24"/>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25"/>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356</v>
      </c>
      <c r="B182" s="26" t="s">
        <v>241</v>
      </c>
      <c r="C182" s="26" t="s">
        <v>310</v>
      </c>
      <c r="D182" s="26" t="s">
        <v>254</v>
      </c>
      <c r="E182" s="20"/>
      <c r="F182" s="21" t="s">
        <v>685</v>
      </c>
      <c r="G182" s="22"/>
      <c r="H182" s="23" t="str">
        <f t="shared" ca="1" si="25"/>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t="s">
        <v>716</v>
      </c>
    </row>
    <row r="183" spans="1:12" x14ac:dyDescent="0.3">
      <c r="A183" t="s">
        <v>323</v>
      </c>
      <c r="B183" s="26" t="s">
        <v>357</v>
      </c>
      <c r="C183" s="26" t="s">
        <v>269</v>
      </c>
      <c r="D183" s="26" t="s">
        <v>254</v>
      </c>
      <c r="E183" s="20" t="s">
        <v>665</v>
      </c>
      <c r="F183" s="21" t="str">
        <f>IF(OR(E183="",E183="!!!"),"",IF(NOT(ISNA(VLOOKUP(E183,E$1:E182,1,FALSE()))),"OLD",IF(AND(E183&lt;&gt;"",E183&lt;&gt;"!!!"),"NEW","")))</f>
        <v>OLD</v>
      </c>
      <c r="G183" s="22" t="str">
        <f ca="1">IF(OR(E183="",E183="!!!"),"",IF(OR(J183=0,AND(J183=1,K183=1),AND(J183=1,I183="SBJ"),AND(J183=1,I183=0)),"?IN_FOCUS",IF(J183&lt;=2,"?ACTIVATED",IF(J183&lt;&gt;"","?FAMILIAR",IF(F183="NEW",IF(ISNA(VLOOKUP(E183,#REF!,1,FALSE())),"?TYPE_IDENTIFIABLE","?REFERENTIAL"),"_")))))</f>
        <v>?IN_FOCUS</v>
      </c>
      <c r="H183" s="23" t="s">
        <v>222</v>
      </c>
      <c r="I183" s="24" t="str">
        <f>IF(OR(E183="",E183="!!!",F183="NEW"),"",INDEX(B$2:B182,-1+SUMPRODUCT(MAX(ROW(E$2:E182)*(E183=E$2:E182)))))</f>
        <v>SBJ</v>
      </c>
      <c r="J183" s="24">
        <f ca="1">IF(OR(E183="",E183="!!!",F183="NEW"),"",COUNTBLANK(OFFSET(A$1,,,SUMPRODUCT(MAX(ROW(E$2:E183)*(E183=E$2:E183)))))-COUNTBLANK(OFFSET(A$1,,,SUMPRODUCT(MAX(ROW(E$1:E182)*(E2=E$1:E182))))))</f>
        <v>0</v>
      </c>
      <c r="K183" s="24">
        <f ca="1">IF(OR(E183="",E183="!!!",F183="NEW"),"",INDEX(J$1:J182,SUMPRODUCT(MAX(ROW(E$1:E182)*(E183=E$1:E182)))))</f>
        <v>0</v>
      </c>
      <c r="L183" s="25"/>
    </row>
    <row r="184" spans="1:12" x14ac:dyDescent="0.3">
      <c r="A184" t="s">
        <v>358</v>
      </c>
      <c r="E184" s="20" t="str">
        <f t="shared" si="24"/>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25"/>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238</v>
      </c>
      <c r="E185" s="20" t="str">
        <f t="shared" si="24"/>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25"/>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258</v>
      </c>
      <c r="E186" s="20" t="str">
        <f t="shared" si="24"/>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25"/>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233</v>
      </c>
      <c r="E187" s="20" t="str">
        <f t="shared" si="24"/>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25"/>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244</v>
      </c>
      <c r="B188" s="26" t="s">
        <v>228</v>
      </c>
      <c r="C188" s="26" t="s">
        <v>282</v>
      </c>
      <c r="E188" s="20" t="str">
        <f t="shared" si="24"/>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25"/>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265</v>
      </c>
      <c r="E189" s="20" t="str">
        <f t="shared" si="24"/>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25"/>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1" spans="1:12" x14ac:dyDescent="0.3">
      <c r="A191" t="s">
        <v>359</v>
      </c>
    </row>
    <row r="192" spans="1:12" x14ac:dyDescent="0.3">
      <c r="A192" t="s">
        <v>336</v>
      </c>
      <c r="E192" s="20" t="str">
        <f t="shared" ref="E192:E200" si="26">IF(D192="?OLD","!!!","")</f>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ref="H192:H200" ca="1" si="27">IF(J192&lt;&gt;1,"",IF(I192="SBJ","CB","?"))</f>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360</v>
      </c>
      <c r="E193" s="20" t="str">
        <f t="shared" si="26"/>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27"/>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244</v>
      </c>
      <c r="B194" s="26" t="s">
        <v>274</v>
      </c>
      <c r="C194" s="26" t="s">
        <v>361</v>
      </c>
      <c r="D194" s="26" t="s">
        <v>254</v>
      </c>
      <c r="E194" s="20" t="s">
        <v>661</v>
      </c>
      <c r="F194" s="21" t="str">
        <f>IF(OR(E194="",E194="!!!"),"",IF(NOT(ISNA(VLOOKUP(E194,E$1:E193,1,FALSE()))),"OLD",IF(AND(E194&lt;&gt;"",E194&lt;&gt;"!!!"),"NEW","")))</f>
        <v>OLD</v>
      </c>
      <c r="G194" s="22" t="s">
        <v>713</v>
      </c>
      <c r="H194" s="23" t="s">
        <v>222</v>
      </c>
      <c r="I194" s="24" t="str">
        <f>IF(OR(E194="",E194="!!!",F194="NEW"),"",INDEX(B$2:B193,-1+SUMPRODUCT(MAX(ROW(E$2:E193)*(E194=E$2:E193)))))</f>
        <v>other_2</v>
      </c>
      <c r="J194" s="24">
        <f ca="1">IF(OR(E194="",E194="!!!",F194="NEW"),"",COUNTBLANK(OFFSET(A$1,,,SUMPRODUCT(MAX(ROW(E$2:E194)*(E194=E$2:E194)))))-COUNTBLANK(OFFSET(A$1,,,SUMPRODUCT(MAX(ROW(E$1:E193)*(E2=E$1:E193))))))</f>
        <v>0</v>
      </c>
      <c r="K194" s="24">
        <f ca="1">IF(OR(E194="",E194="!!!",F194="NEW"),"",INDEX(J$1:J193,SUMPRODUCT(MAX(ROW(E$1:E193)*(E194=E$1:E193)))))</f>
        <v>0</v>
      </c>
      <c r="L194" s="25"/>
    </row>
    <row r="195" spans="1:12" x14ac:dyDescent="0.3">
      <c r="A195" t="s">
        <v>271</v>
      </c>
      <c r="E195" s="20" t="str">
        <f t="shared" si="26"/>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27"/>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293</v>
      </c>
      <c r="E196" s="20" t="str">
        <f t="shared" si="26"/>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27"/>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287</v>
      </c>
      <c r="B197" s="26" t="s">
        <v>241</v>
      </c>
      <c r="C197" s="26" t="s">
        <v>310</v>
      </c>
      <c r="D197" s="26" t="s">
        <v>254</v>
      </c>
      <c r="E197" s="20" t="s">
        <v>667</v>
      </c>
      <c r="F197" s="21" t="str">
        <f>IF(OR(E197="",E197="!!!"),"",IF(NOT(ISNA(VLOOKUP(E197,E$1:E196,1,FALSE()))),"OLD",IF(AND(E197&lt;&gt;"",E197&lt;&gt;"!!!"),"NEW","")))</f>
        <v>OLD</v>
      </c>
      <c r="G197" s="22" t="s">
        <v>704</v>
      </c>
      <c r="H197" s="23" t="str">
        <f t="shared" ca="1" si="27"/>
        <v/>
      </c>
      <c r="I197" s="24" t="str">
        <f>IF(OR(E197="",E197="!!!",F197="NEW"),"",INDEX(B$2:B196,-1+SUMPRODUCT(MAX(ROW(E$2:E196)*(E197=E$2:E196)))))</f>
        <v>other</v>
      </c>
      <c r="J197" s="24">
        <f ca="1">IF(OR(E197="",E197="!!!",F197="NEW"),"",COUNTBLANK(OFFSET(A$1,,,SUMPRODUCT(MAX(ROW(E$2:E197)*(E197=E$2:E197)))))-COUNTBLANK(OFFSET(A$1,,,SUMPRODUCT(MAX(ROW(E$1:E196)*(E2=E$1:E196))))))</f>
        <v>0</v>
      </c>
      <c r="K197" s="24">
        <f ca="1">IF(OR(E197="",E197="!!!",F197="NEW"),"",INDEX(J$1:J196,SUMPRODUCT(MAX(ROW(E$1:E196)*(E197=E$1:E196)))))</f>
        <v>0</v>
      </c>
      <c r="L197" s="25"/>
    </row>
    <row r="198" spans="1:12" x14ac:dyDescent="0.3">
      <c r="A198" t="s">
        <v>275</v>
      </c>
      <c r="E198" s="20" t="str">
        <f t="shared" si="26"/>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27"/>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362</v>
      </c>
      <c r="B199" s="26" t="s">
        <v>228</v>
      </c>
      <c r="C199" s="26" t="s">
        <v>229</v>
      </c>
      <c r="E199" s="20" t="str">
        <f t="shared" si="26"/>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27"/>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265</v>
      </c>
      <c r="E200" s="20" t="str">
        <f t="shared" si="26"/>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27"/>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2" spans="1:12" x14ac:dyDescent="0.3">
      <c r="A202" t="s">
        <v>363</v>
      </c>
    </row>
    <row r="203" spans="1:12" x14ac:dyDescent="0.3">
      <c r="A203" t="s">
        <v>364</v>
      </c>
      <c r="B203" s="26" t="s">
        <v>274</v>
      </c>
      <c r="C203" s="26" t="s">
        <v>269</v>
      </c>
      <c r="D203" s="26" t="s">
        <v>254</v>
      </c>
      <c r="E203" s="20" t="s">
        <v>661</v>
      </c>
      <c r="F203" s="21" t="str">
        <f>IF(OR(E203="",E203="!!!"),"",IF(NOT(ISNA(VLOOKUP(E203,E$1:E202,1,FALSE()))),"OLD",IF(AND(E203&lt;&gt;"",E203&lt;&gt;"!!!"),"NEW","")))</f>
        <v>OLD</v>
      </c>
      <c r="G203" s="22" t="str">
        <f ca="1">IF(OR(E203="",E203="!!!"),"",IF(OR(J203=0,AND(J203=1,K203=1),AND(J203=1,I203="SBJ"),AND(J203=1,I203=0)),"?IN_FOCUS",IF(J203&lt;=2,"?ACTIVATED",IF(J203&lt;&gt;"","?FAMILIAR",IF(F203="NEW",IF(ISNA(VLOOKUP(E203,#REF!,1,FALSE())),"?TYPE_IDENTIFIABLE","?REFERENTIAL"),"_")))))</f>
        <v>?IN_FOCUS</v>
      </c>
      <c r="H203" s="23" t="s">
        <v>222</v>
      </c>
      <c r="I203" s="24" t="str">
        <f>IF(OR(E203="",E203="!!!",F203="NEW"),"",INDEX(B$2:B202,-1+SUMPRODUCT(MAX(ROW(E$2:E202)*(E203=E$2:E202)))))</f>
        <v>SBJ</v>
      </c>
      <c r="J203" s="24">
        <f ca="1">IF(OR(E203="",E203="!!!",F203="NEW"),"",COUNTBLANK(OFFSET(A$1,,,SUMPRODUCT(MAX(ROW(E$2:E203)*(E203=E$2:E203)))))-COUNTBLANK(OFFSET(A$1,,,SUMPRODUCT(MAX(ROW(E$1:E202)*(E2=E$1:E202))))))</f>
        <v>0</v>
      </c>
      <c r="K203" s="24">
        <f ca="1">IF(OR(E203="",E203="!!!",F203="NEW"),"",INDEX(J$1:J202,SUMPRODUCT(MAX(ROW(E$1:E202)*(E203=E$1:E202)))))</f>
        <v>0</v>
      </c>
      <c r="L203" s="25"/>
    </row>
    <row r="204" spans="1:12" x14ac:dyDescent="0.3">
      <c r="A204" t="s">
        <v>78</v>
      </c>
      <c r="E204" s="20" t="str">
        <f t="shared" ref="E204:E233" si="28">IF(D204="?OLD","!!!","")</f>
        <v/>
      </c>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ref="H204:H233" ca="1" si="29">IF(J204&lt;&gt;1,"",IF(I204="SBJ","CB","?"))</f>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271</v>
      </c>
      <c r="E205" s="20" t="str">
        <f t="shared" si="28"/>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9"/>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293</v>
      </c>
      <c r="E206" s="20" t="str">
        <f t="shared" si="28"/>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9"/>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365</v>
      </c>
      <c r="B207" s="26" t="s">
        <v>228</v>
      </c>
      <c r="C207" s="26" t="s">
        <v>261</v>
      </c>
      <c r="D207" s="26" t="s">
        <v>254</v>
      </c>
      <c r="E207" s="20" t="s">
        <v>728</v>
      </c>
      <c r="F207" s="21" t="str">
        <f>IF(OR(E207="",E207="!!!"),"",IF(NOT(ISNA(VLOOKUP(E207,E$1:E206,1,FALSE()))),"OLD",IF(AND(E207&lt;&gt;"",E207&lt;&gt;"!!!"),"NEW","")))</f>
        <v>NEW</v>
      </c>
      <c r="G207" s="22" t="s">
        <v>730</v>
      </c>
      <c r="H207" s="23" t="str">
        <f t="shared" ca="1" si="29"/>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3">
      <c r="A208" t="s">
        <v>262</v>
      </c>
      <c r="E208" s="20" t="str">
        <f t="shared" si="28"/>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29"/>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366</v>
      </c>
      <c r="B209" s="26" t="s">
        <v>241</v>
      </c>
      <c r="C209" s="26" t="s">
        <v>273</v>
      </c>
      <c r="D209" s="26" t="s">
        <v>254</v>
      </c>
      <c r="E209" s="20" t="s">
        <v>673</v>
      </c>
      <c r="F209" s="21" t="str">
        <f>IF(OR(E209="",E209="!!!"),"",IF(NOT(ISNA(VLOOKUP(E209,E$1:E208,1,FALSE()))),"OLD",IF(AND(E209&lt;&gt;"",E209&lt;&gt;"!!!"),"NEW","")))</f>
        <v>OLD</v>
      </c>
      <c r="G209" s="22" t="s">
        <v>713</v>
      </c>
      <c r="H209" s="23" t="str">
        <f t="shared" ca="1" si="29"/>
        <v/>
      </c>
      <c r="I209" s="24">
        <f>IF(OR(E209="",E209="!!!",F209="NEW"),"",INDEX(B$2:B208,-1+SUMPRODUCT(MAX(ROW(E$2:E208)*(E209=E$2:E208)))))</f>
        <v>0</v>
      </c>
      <c r="J209" s="24">
        <f ca="1">IF(OR(E209="",E209="!!!",F209="NEW"),"",COUNTBLANK(OFFSET(A$1,,,SUMPRODUCT(MAX(ROW(E$2:E209)*(E209=E$2:E209)))))-COUNTBLANK(OFFSET(A$1,,,SUMPRODUCT(MAX(ROW(E$1:E208)*(E2=E$1:E208))))))</f>
        <v>0</v>
      </c>
      <c r="K209" s="24">
        <f ca="1">IF(OR(E209="",E209="!!!",F209="NEW"),"",INDEX(J$1:J208,SUMPRODUCT(MAX(ROW(E$1:E208)*(E209=E$1:E208)))))</f>
        <v>0</v>
      </c>
      <c r="L209" s="25"/>
    </row>
    <row r="210" spans="1:12" x14ac:dyDescent="0.3">
      <c r="A210" t="s">
        <v>256</v>
      </c>
      <c r="E210" s="20" t="str">
        <f t="shared" si="28"/>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29"/>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271</v>
      </c>
      <c r="E211" s="20" t="str">
        <f t="shared" si="28"/>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29"/>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289</v>
      </c>
      <c r="E212" s="20" t="str">
        <f t="shared" si="28"/>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29"/>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262</v>
      </c>
      <c r="E213" s="20" t="str">
        <f t="shared" si="28"/>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29"/>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293</v>
      </c>
      <c r="E214" s="20" t="str">
        <f t="shared" si="28"/>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9"/>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367</v>
      </c>
      <c r="E215" s="20" t="str">
        <f t="shared" si="28"/>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9"/>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368</v>
      </c>
      <c r="E216" s="20" t="str">
        <f t="shared" si="28"/>
        <v/>
      </c>
      <c r="F216" s="21"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29"/>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369</v>
      </c>
      <c r="E217" s="20" t="str">
        <f t="shared" si="28"/>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9"/>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370</v>
      </c>
      <c r="B218" s="26" t="s">
        <v>241</v>
      </c>
      <c r="C218" s="26" t="s">
        <v>310</v>
      </c>
      <c r="D218" s="26" t="s">
        <v>254</v>
      </c>
      <c r="E218" s="20" t="s">
        <v>717</v>
      </c>
      <c r="F218" s="21" t="str">
        <f>IF(OR(E218="",E218="!!!"),"",IF(NOT(ISNA(VLOOKUP(E218,E$1:E217,1,FALSE()))),"OLD",IF(AND(E218&lt;&gt;"",E218&lt;&gt;"!!!"),"NEW","")))</f>
        <v>NEW</v>
      </c>
      <c r="G218" s="22" t="s">
        <v>704</v>
      </c>
      <c r="H218" s="23" t="str">
        <f t="shared" ca="1" si="29"/>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271</v>
      </c>
      <c r="E219" s="20" t="str">
        <f t="shared" si="28"/>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29"/>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354</v>
      </c>
      <c r="B220" s="26" t="s">
        <v>252</v>
      </c>
      <c r="C220" s="26" t="s">
        <v>273</v>
      </c>
      <c r="D220" s="26" t="s">
        <v>254</v>
      </c>
      <c r="E220" s="20" t="s">
        <v>666</v>
      </c>
      <c r="F220" s="21" t="str">
        <f>IF(OR(E220="",E220="!!!"),"",IF(NOT(ISNA(VLOOKUP(E220,E$1:E219,1,FALSE()))),"OLD",IF(AND(E220&lt;&gt;"",E220&lt;&gt;"!!!"),"NEW","")))</f>
        <v>OLD</v>
      </c>
      <c r="G220" s="22" t="s">
        <v>713</v>
      </c>
      <c r="H220" s="23" t="str">
        <f t="shared" ca="1" si="29"/>
        <v/>
      </c>
      <c r="I220" s="24" t="str">
        <f>IF(OR(E220="",E220="!!!",F220="NEW"),"",INDEX(B$2:B219,-1+SUMPRODUCT(MAX(ROW(E$2:E219)*(E220=E$2:E219)))))</f>
        <v>other_3</v>
      </c>
      <c r="J220" s="24">
        <f ca="1">IF(OR(E220="",E220="!!!",F220="NEW"),"",COUNTBLANK(OFFSET(A$1,,,SUMPRODUCT(MAX(ROW(E$2:E220)*(E220=E$2:E220)))))-COUNTBLANK(OFFSET(A$1,,,SUMPRODUCT(MAX(ROW(E$1:E219)*(E2=E$1:E219))))))</f>
        <v>0</v>
      </c>
      <c r="K220" s="24" t="str">
        <f ca="1">IF(OR(E220="",E220="!!!",F220="NEW"),"",INDEX(J$1:J219,SUMPRODUCT(MAX(ROW(E$1:E219)*(E220=E$1:E219)))))</f>
        <v/>
      </c>
      <c r="L220" s="25"/>
    </row>
    <row r="221" spans="1:12" x14ac:dyDescent="0.3">
      <c r="A221" t="s">
        <v>348</v>
      </c>
      <c r="E221" s="20" t="str">
        <f t="shared" si="28"/>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9"/>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233</v>
      </c>
      <c r="E222" s="20" t="str">
        <f t="shared" si="28"/>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9"/>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244</v>
      </c>
      <c r="B223" s="26" t="s">
        <v>252</v>
      </c>
      <c r="C223" s="26" t="s">
        <v>229</v>
      </c>
      <c r="E223" s="20" t="s">
        <v>658</v>
      </c>
      <c r="F223" s="21" t="str">
        <f>IF(OR(E223="",E223="!!!"),"",IF(NOT(ISNA(VLOOKUP(E223,E$1:E222,1,FALSE()))),"OLD",IF(AND(E223&lt;&gt;"",E223&lt;&gt;"!!!"),"NEW","")))</f>
        <v>OLD</v>
      </c>
      <c r="G223" s="22" t="s">
        <v>713</v>
      </c>
      <c r="H223" s="23" t="str">
        <f t="shared" ca="1" si="29"/>
        <v/>
      </c>
      <c r="I223" s="24" t="str">
        <f>IF(OR(E223="",E223="!!!",F223="NEW"),"",INDEX(B$2:B222,-1+SUMPRODUCT(MAX(ROW(E$2:E222)*(E223=E$2:E222)))))</f>
        <v>SBJ</v>
      </c>
      <c r="J223" s="24">
        <f ca="1">IF(OR(E223="",E223="!!!",F223="NEW"),"",COUNTBLANK(OFFSET(A$1,,,SUMPRODUCT(MAX(ROW(E$2:E223)*(E223=E$2:E223)))))-COUNTBLANK(OFFSET(A$1,,,SUMPRODUCT(MAX(ROW(E$1:E222)*(E2=E$1:E222))))))</f>
        <v>0</v>
      </c>
      <c r="K223" s="24">
        <f ca="1">IF(OR(E223="",E223="!!!",F223="NEW"),"",INDEX(J$1:J222,SUMPRODUCT(MAX(ROW(E$1:E222)*(E223=E$1:E222)))))</f>
        <v>0</v>
      </c>
      <c r="L223" s="25"/>
    </row>
    <row r="224" spans="1:12" x14ac:dyDescent="0.3">
      <c r="A224" t="s">
        <v>332</v>
      </c>
      <c r="E224" s="20" t="str">
        <f t="shared" si="28"/>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29"/>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251</v>
      </c>
      <c r="B225" s="26" t="s">
        <v>241</v>
      </c>
      <c r="C225" s="26" t="s">
        <v>253</v>
      </c>
      <c r="D225" s="26" t="s">
        <v>254</v>
      </c>
      <c r="E225" s="20" t="s">
        <v>658</v>
      </c>
      <c r="F225" s="21" t="str">
        <f>IF(OR(E225="",E225="!!!"),"",IF(NOT(ISNA(VLOOKUP(E225,E$1:E224,1,FALSE()))),"OLD",IF(AND(E225&lt;&gt;"",E225&lt;&gt;"!!!"),"NEW","")))</f>
        <v>OLD</v>
      </c>
      <c r="G225" s="22" t="str">
        <f ca="1">IF(OR(E225="",E225="!!!"),"",IF(OR(J225=0,AND(J225=1,K225=1),AND(J225=1,I225="SBJ"),AND(J225=1,I225=0)),"?IN_FOCUS",IF(J225&lt;=2,"?ACTIVATED",IF(J225&lt;&gt;"","?FAMILIAR",IF(F225="NEW",IF(ISNA(VLOOKUP(E225,#REF!,1,FALSE())),"?TYPE_IDENTIFIABLE","?REFERENTIAL"),"_")))))</f>
        <v>?IN_FOCUS</v>
      </c>
      <c r="H225" s="23" t="str">
        <f t="shared" ca="1" si="29"/>
        <v/>
      </c>
      <c r="I225" s="24" t="str">
        <f>IF(OR(E225="",E225="!!!",F225="NEW"),"",INDEX(B$2:B224,-1+SUMPRODUCT(MAX(ROW(E$2:E224)*(E225=E$2:E224)))))</f>
        <v>other_3</v>
      </c>
      <c r="J225" s="24">
        <f ca="1">IF(OR(E225="",E225="!!!",F225="NEW"),"",COUNTBLANK(OFFSET(A$1,,,SUMPRODUCT(MAX(ROW(E$2:E225)*(E225=E$2:E225)))))-COUNTBLANK(OFFSET(A$1,,,SUMPRODUCT(MAX(ROW(E$1:E224)*(E2=E$1:E224))))))</f>
        <v>0</v>
      </c>
      <c r="K225" s="24">
        <f ca="1">IF(OR(E225="",E225="!!!",F225="NEW"),"",INDEX(J$1:J224,SUMPRODUCT(MAX(ROW(E$1:E224)*(E225=E$1:E224)))))</f>
        <v>0</v>
      </c>
      <c r="L225" s="25"/>
    </row>
    <row r="226" spans="1:12" x14ac:dyDescent="0.3">
      <c r="A226" t="s">
        <v>371</v>
      </c>
      <c r="B226" s="26" t="s">
        <v>228</v>
      </c>
      <c r="C226" s="26" t="s">
        <v>261</v>
      </c>
      <c r="D226" s="26" t="s">
        <v>254</v>
      </c>
      <c r="E226" s="20" t="s">
        <v>670</v>
      </c>
      <c r="F226" s="21" t="str">
        <f>IF(OR(E226="",E226="!!!"),"",IF(NOT(ISNA(VLOOKUP(E226,E$1:E225,1,FALSE()))),"OLD",IF(AND(E226&lt;&gt;"",E226&lt;&gt;"!!!"),"NEW","")))</f>
        <v>OLD</v>
      </c>
      <c r="G226" s="22" t="s">
        <v>713</v>
      </c>
      <c r="H226" s="23" t="str">
        <f t="shared" ca="1" si="29"/>
        <v/>
      </c>
      <c r="I226" s="24" t="str">
        <f>IF(OR(E226="",E226="!!!",F226="NEW"),"",INDEX(B$2:B225,-1+SUMPRODUCT(MAX(ROW(E$2:E225)*(E226=E$2:E225)))))</f>
        <v>OBJ</v>
      </c>
      <c r="J226" s="24">
        <f ca="1">IF(OR(E226="",E226="!!!",F226="NEW"),"",COUNTBLANK(OFFSET(A$1,,,SUMPRODUCT(MAX(ROW(E$2:E226)*(E226=E$2:E226)))))-COUNTBLANK(OFFSET(A$1,,,SUMPRODUCT(MAX(ROW(E$1:E225)*(E2=E$1:E225))))))</f>
        <v>0</v>
      </c>
      <c r="K226" s="24" t="str">
        <f ca="1">IF(OR(E226="",E226="!!!",F226="NEW"),"",INDEX(J$1:J225,SUMPRODUCT(MAX(ROW(E$1:E225)*(E226=E$1:E225)))))</f>
        <v/>
      </c>
      <c r="L226" s="25"/>
    </row>
    <row r="227" spans="1:12" x14ac:dyDescent="0.3">
      <c r="A227" t="s">
        <v>372</v>
      </c>
      <c r="B227" s="26" t="s">
        <v>257</v>
      </c>
      <c r="E227" s="20" t="str">
        <f t="shared" si="28"/>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9"/>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34</v>
      </c>
      <c r="E228" s="20" t="str">
        <f t="shared" si="28"/>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9"/>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373</v>
      </c>
      <c r="E229" s="20" t="str">
        <f t="shared" si="28"/>
        <v/>
      </c>
      <c r="F229" s="21"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29"/>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293</v>
      </c>
      <c r="E230" s="20" t="str">
        <f t="shared" si="28"/>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9"/>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374</v>
      </c>
      <c r="B231" s="26" t="s">
        <v>375</v>
      </c>
      <c r="C231" s="26" t="s">
        <v>310</v>
      </c>
      <c r="D231" s="26" t="s">
        <v>254</v>
      </c>
      <c r="E231" s="20"/>
      <c r="F231" s="21" t="s">
        <v>685</v>
      </c>
      <c r="G231" s="22"/>
      <c r="H231" s="23" t="str">
        <f t="shared" ca="1" si="29"/>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t="s">
        <v>719</v>
      </c>
    </row>
    <row r="232" spans="1:12" x14ac:dyDescent="0.3">
      <c r="A232" t="s">
        <v>376</v>
      </c>
      <c r="E232" s="20" t="str">
        <f t="shared" si="28"/>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9"/>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265</v>
      </c>
      <c r="E233" s="20" t="str">
        <f t="shared" si="28"/>
        <v/>
      </c>
      <c r="F233" s="21" t="str">
        <f>IF(OR(E233="",E233="!!!"),"",IF(NOT(ISNA(VLOOKUP(E233,E$1:E232,1,FALSE()))),"OLD",IF(AND(E233&lt;&gt;"",E233&lt;&gt;"!!!"),"NEW","")))</f>
        <v/>
      </c>
      <c r="G233" s="22" t="str">
        <f>IF(OR(E233="",E233="!!!"),"",IF(OR(J233=0,AND(J233=1,K233=1),AND(J233=1,I233="SBJ"),AND(J233=1,I233=0)),"?IN_FOCUS",IF(J233&lt;=2,"?ACTIVATED",IF(J233&lt;&gt;"","?FAMILIAR",IF(F233="NEW",IF(ISNA(VLOOKUP(E233,#REF!,1,FALSE())),"?TYPE_IDENTIFIABLE","?REFERENTIAL"),"_")))))</f>
        <v/>
      </c>
      <c r="H233" s="23" t="str">
        <f t="shared" ca="1" si="29"/>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5" spans="1:12" x14ac:dyDescent="0.3">
      <c r="A235" t="s">
        <v>377</v>
      </c>
    </row>
    <row r="236" spans="1:12" x14ac:dyDescent="0.3">
      <c r="A236" t="s">
        <v>349</v>
      </c>
      <c r="B236" s="26" t="s">
        <v>274</v>
      </c>
      <c r="C236" s="26" t="s">
        <v>229</v>
      </c>
      <c r="E236" s="20" t="s">
        <v>715</v>
      </c>
      <c r="F236" s="21" t="str">
        <f>IF(OR(E236="",E236="!!!"),"",IF(NOT(ISNA(VLOOKUP(E236,E$1:E235,1,FALSE()))),"OLD",IF(AND(E236&lt;&gt;"",E236&lt;&gt;"!!!"),"NEW","")))</f>
        <v>OLD</v>
      </c>
      <c r="G236" s="22" t="s">
        <v>713</v>
      </c>
      <c r="H236" s="23"/>
      <c r="I236" s="24" t="str">
        <f>IF(OR(E236="",E236="!!!",F236="NEW"),"",INDEX(B$2:B235,-1+SUMPRODUCT(MAX(ROW(E$2:E235)*(E236=E$2:E235)))))</f>
        <v>other</v>
      </c>
      <c r="J236" s="24">
        <f ca="1">IF(OR(E236="",E236="!!!",F236="NEW"),"",COUNTBLANK(OFFSET(A$1,,,SUMPRODUCT(MAX(ROW(E$2:E236)*(E236=E$2:E236)))))-COUNTBLANK(OFFSET(A$1,,,SUMPRODUCT(MAX(ROW(E$1:E235)*(E2=E$1:E235))))))</f>
        <v>0</v>
      </c>
      <c r="K236" s="24">
        <f ca="1">IF(OR(E236="",E236="!!!",F236="NEW"),"",INDEX(J$1:J235,SUMPRODUCT(MAX(ROW(E$1:E235)*(E236=E$1:E235)))))</f>
        <v>0</v>
      </c>
      <c r="L236" s="25"/>
    </row>
    <row r="237" spans="1:12" x14ac:dyDescent="0.3">
      <c r="A237" t="s">
        <v>378</v>
      </c>
      <c r="E237" s="20" t="str">
        <f t="shared" ref="E237:E255" si="30">IF(D237="?OLD","!!!","")</f>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ref="H237:H255" ca="1" si="31">IF(J237&lt;&gt;1,"",IF(I237="SBJ","CB","?"))</f>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293</v>
      </c>
      <c r="E238" s="20" t="str">
        <f t="shared" si="30"/>
        <v/>
      </c>
      <c r="F238" s="21" t="str">
        <f>IF(OR(E238="",E238="!!!"),"",IF(NOT(ISNA(VLOOKUP(E238,E$1:E237,1,FALSE()))),"OLD",IF(AND(E238&lt;&gt;"",E238&lt;&gt;"!!!"),"NEW","")))</f>
        <v/>
      </c>
      <c r="G238" s="22" t="str">
        <f>IF(OR(E238="",E238="!!!"),"",IF(OR(J238=0,AND(J238=1,K238=1),AND(J238=1,I238="SBJ"),AND(J238=1,I238=0)),"?IN_FOCUS",IF(J238&lt;=2,"?ACTIVATED",IF(J238&lt;&gt;"","?FAMILIAR",IF(F238="NEW",IF(ISNA(VLOOKUP(E238,#REF!,1,FALSE())),"?TYPE_IDENTIFIABLE","?REFERENTIAL"),"_")))))</f>
        <v/>
      </c>
      <c r="H238" s="23" t="str">
        <f t="shared" ca="1" si="31"/>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379</v>
      </c>
      <c r="B239" s="26" t="s">
        <v>292</v>
      </c>
      <c r="C239" s="26" t="s">
        <v>310</v>
      </c>
      <c r="D239" s="26" t="s">
        <v>254</v>
      </c>
      <c r="E239" s="20" t="s">
        <v>673</v>
      </c>
      <c r="F239" s="21" t="str">
        <f>IF(OR(E239="",E239="!!!"),"",IF(NOT(ISNA(VLOOKUP(E239,E$1:E238,1,FALSE()))),"OLD",IF(AND(E239&lt;&gt;"",E239&lt;&gt;"!!!"),"NEW","")))</f>
        <v>OLD</v>
      </c>
      <c r="G239" s="22" t="s">
        <v>708</v>
      </c>
      <c r="H239" s="23" t="s">
        <v>222</v>
      </c>
      <c r="I239" s="24" t="str">
        <f>IF(OR(E239="",E239="!!!",F239="NEW"),"",INDEX(B$2:B238,-1+SUMPRODUCT(MAX(ROW(E$2:E238)*(E239=E$2:E238)))))</f>
        <v>other_2</v>
      </c>
      <c r="J239" s="24">
        <f ca="1">IF(OR(E239="",E239="!!!",F239="NEW"),"",COUNTBLANK(OFFSET(A$1,,,SUMPRODUCT(MAX(ROW(E$2:E239)*(E239=E$2:E239)))))-COUNTBLANK(OFFSET(A$1,,,SUMPRODUCT(MAX(ROW(E$1:E238)*(E2=E$1:E238))))))</f>
        <v>0</v>
      </c>
      <c r="K239" s="24">
        <f ca="1">IF(OR(E239="",E239="!!!",F239="NEW"),"",INDEX(J$1:J238,SUMPRODUCT(MAX(ROW(E$1:E238)*(E239=E$1:E238)))))</f>
        <v>0</v>
      </c>
      <c r="L239" s="25"/>
    </row>
    <row r="240" spans="1:12" x14ac:dyDescent="0.3">
      <c r="A240" t="s">
        <v>271</v>
      </c>
      <c r="E240" s="20" t="str">
        <f t="shared" si="30"/>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31"/>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380</v>
      </c>
      <c r="B241" s="26" t="s">
        <v>228</v>
      </c>
      <c r="C241" s="26" t="s">
        <v>273</v>
      </c>
      <c r="D241" s="26" t="s">
        <v>254</v>
      </c>
      <c r="E241" s="20" t="s">
        <v>718</v>
      </c>
      <c r="F241" s="21" t="str">
        <f>IF(OR(E241="",E241="!!!"),"",IF(NOT(ISNA(VLOOKUP(E241,E$1:E240,1,FALSE()))),"OLD",IF(AND(E241&lt;&gt;"",E241&lt;&gt;"!!!"),"NEW","")))</f>
        <v>NEW</v>
      </c>
      <c r="G241" s="22" t="str">
        <f ca="1">IF(OR(E241="",E241="!!!"),"",IF(OR(J241=0,AND(J241=1,K241=1),AND(J241=1,I241="SBJ"),AND(J241=1,I241=0)),"?IN_FOCUS",IF(J241&lt;=2,"?ACTIVATED",IF(J241&lt;&gt;"","?FAMILIAR",IF(F241="NEW",IF(ISNA(VLOOKUP(E241,#REF!,1,FALSE())),"?TYPE_IDENTIFIABLE","?REFERENTIAL"),"_")))))</f>
        <v>?REFERENTIAL</v>
      </c>
      <c r="H241" s="23" t="str">
        <f t="shared" ca="1" si="31"/>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256</v>
      </c>
      <c r="E242" s="20" t="str">
        <f t="shared" si="30"/>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31"/>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271</v>
      </c>
      <c r="E243" s="20" t="str">
        <f t="shared" si="30"/>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31"/>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381</v>
      </c>
      <c r="B244" s="26" t="s">
        <v>228</v>
      </c>
      <c r="C244" s="26" t="s">
        <v>229</v>
      </c>
      <c r="E244" s="20" t="str">
        <f t="shared" si="30"/>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31"/>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238</v>
      </c>
      <c r="E245" s="20" t="str">
        <f t="shared" si="30"/>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31"/>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6" spans="1:12" x14ac:dyDescent="0.3">
      <c r="A246" t="s">
        <v>382</v>
      </c>
      <c r="B246" s="26" t="s">
        <v>241</v>
      </c>
      <c r="C246" s="26" t="s">
        <v>273</v>
      </c>
      <c r="D246" s="26" t="s">
        <v>254</v>
      </c>
      <c r="E246" s="20" t="s">
        <v>720</v>
      </c>
      <c r="F246" s="21" t="str">
        <f>IF(OR(E246="",E246="!!!"),"",IF(NOT(ISNA(VLOOKUP(E246,E$1:E245,1,FALSE()))),"OLD",IF(AND(E246&lt;&gt;"",E246&lt;&gt;"!!!"),"NEW","")))</f>
        <v>NEW</v>
      </c>
      <c r="G246" s="22" t="str">
        <f ca="1">IF(OR(E246="",E246="!!!"),"",IF(OR(J246=0,AND(J246=1,K246=1),AND(J246=1,I246="SBJ"),AND(J246=1,I246=0)),"?IN_FOCUS",IF(J246&lt;=2,"?ACTIVATED",IF(J246&lt;&gt;"","?FAMILIAR",IF(F246="NEW",IF(ISNA(VLOOKUP(E246,#REF!,1,FALSE())),"?TYPE_IDENTIFIABLE","?REFERENTIAL"),"_")))))</f>
        <v>?REFERENTIAL</v>
      </c>
      <c r="H246" s="23" t="str">
        <f t="shared" ca="1" si="31"/>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383</v>
      </c>
      <c r="E247" s="20" t="str">
        <f t="shared" si="30"/>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31"/>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332</v>
      </c>
      <c r="E248" s="20" t="str">
        <f t="shared" si="30"/>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31"/>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293</v>
      </c>
      <c r="E249" s="20" t="str">
        <f t="shared" si="3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3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366</v>
      </c>
      <c r="B250" s="26" t="s">
        <v>384</v>
      </c>
      <c r="C250" s="26" t="s">
        <v>273</v>
      </c>
      <c r="D250" s="26" t="s">
        <v>254</v>
      </c>
      <c r="E250" s="20" t="s">
        <v>669</v>
      </c>
      <c r="F250" s="21" t="str">
        <f>IF(OR(E250="",E250="!!!"),"",IF(NOT(ISNA(VLOOKUP(E250,E$1:E249,1,FALSE()))),"OLD",IF(AND(E250&lt;&gt;"",E250&lt;&gt;"!!!"),"NEW","")))</f>
        <v>NEW</v>
      </c>
      <c r="G250" s="22" t="s">
        <v>713</v>
      </c>
      <c r="H250" s="23" t="str">
        <f t="shared" ca="1" si="3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385</v>
      </c>
      <c r="E251" s="20" t="str">
        <f t="shared" si="3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3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ht="28.8" x14ac:dyDescent="0.3">
      <c r="A252" t="s">
        <v>325</v>
      </c>
      <c r="E252" s="20" t="str">
        <f t="shared" si="3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3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t="s">
        <v>721</v>
      </c>
    </row>
    <row r="253" spans="1:12" x14ac:dyDescent="0.3">
      <c r="A253" t="s">
        <v>386</v>
      </c>
      <c r="E253" s="20" t="str">
        <f t="shared" si="30"/>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31"/>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387</v>
      </c>
      <c r="B254" s="26" t="s">
        <v>252</v>
      </c>
      <c r="C254" s="26" t="s">
        <v>261</v>
      </c>
      <c r="D254" s="26" t="s">
        <v>254</v>
      </c>
      <c r="E254" s="20" t="s">
        <v>672</v>
      </c>
      <c r="F254" s="21" t="str">
        <f>IF(OR(E254="",E254="!!!"),"",IF(NOT(ISNA(VLOOKUP(E254,E$1:E253,1,FALSE()))),"OLD",IF(AND(E254&lt;&gt;"",E254&lt;&gt;"!!!"),"NEW","")))</f>
        <v>NEW</v>
      </c>
      <c r="G254" s="22" t="str">
        <f ca="1">IF(OR(E254="",E254="!!!"),"",IF(OR(J254=0,AND(J254=1,K254=1),AND(J254=1,I254="SBJ"),AND(J254=1,I254=0)),"?IN_FOCUS",IF(J254&lt;=2,"?ACTIVATED",IF(J254&lt;&gt;"","?FAMILIAR",IF(F254="NEW",IF(ISNA(VLOOKUP(E254,#REF!,1,FALSE())),"?TYPE_IDENTIFIABLE","?REFERENTIAL"),"_")))))</f>
        <v>?REFERENTIAL</v>
      </c>
      <c r="H254" s="23" t="str">
        <f t="shared" ca="1" si="31"/>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265</v>
      </c>
      <c r="E255" s="20" t="str">
        <f t="shared" si="30"/>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3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7" spans="1:12" x14ac:dyDescent="0.3">
      <c r="A257" t="s">
        <v>388</v>
      </c>
    </row>
    <row r="258" spans="1:12" x14ac:dyDescent="0.3">
      <c r="A258" t="s">
        <v>389</v>
      </c>
      <c r="B258" s="26" t="s">
        <v>274</v>
      </c>
      <c r="C258" s="26" t="s">
        <v>269</v>
      </c>
      <c r="D258" s="26" t="s">
        <v>254</v>
      </c>
      <c r="E258" s="20" t="s">
        <v>673</v>
      </c>
      <c r="F258" s="21" t="str">
        <f>IF(OR(E258="",E258="!!!"),"",IF(NOT(ISNA(VLOOKUP(E258,E$1:E257,1,FALSE()))),"OLD",IF(AND(E258&lt;&gt;"",E258&lt;&gt;"!!!"),"NEW","")))</f>
        <v>OLD</v>
      </c>
      <c r="G258" s="22" t="s">
        <v>683</v>
      </c>
      <c r="H258" s="23" t="s">
        <v>222</v>
      </c>
      <c r="I258" s="24" t="str">
        <f>IF(OR(E258="",E258="!!!",F258="NEW"),"",INDEX(B$2:B257,-1+SUMPRODUCT(MAX(ROW(E$2:E257)*(E258=E$2:E257)))))</f>
        <v>OBJ</v>
      </c>
      <c r="J258" s="24">
        <f ca="1">IF(OR(E258="",E258="!!!",F258="NEW"),"",COUNTBLANK(OFFSET(A$1,,,SUMPRODUCT(MAX(ROW(E$2:E258)*(E258=E$2:E258)))))-COUNTBLANK(OFFSET(A$1,,,SUMPRODUCT(MAX(ROW(E$1:E257)*(E2=E$1:E257))))))</f>
        <v>0</v>
      </c>
      <c r="K258" s="24">
        <f ca="1">IF(OR(E258="",E258="!!!",F258="NEW"),"",INDEX(J$1:J257,SUMPRODUCT(MAX(ROW(E$1:E257)*(E258=E$1:E257)))))</f>
        <v>0</v>
      </c>
      <c r="L258" s="25"/>
    </row>
    <row r="259" spans="1:12" x14ac:dyDescent="0.3">
      <c r="A259" t="s">
        <v>390</v>
      </c>
      <c r="E259" s="20" t="str">
        <f>IF(D259="?OLD","!!!","")</f>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ref="H259:H264" ca="1" si="32">IF(J259&lt;&gt;1,"",IF(I259="SBJ","CB","?"))</f>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3">
      <c r="A260" t="s">
        <v>391</v>
      </c>
      <c r="E260" s="20" t="str">
        <f t="shared" ref="E260:E264" si="33">IF(D260="?OLD","!!!","")</f>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32"/>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392</v>
      </c>
      <c r="B261" s="26" t="s">
        <v>241</v>
      </c>
      <c r="C261" s="26" t="s">
        <v>253</v>
      </c>
      <c r="D261" s="26" t="s">
        <v>254</v>
      </c>
      <c r="E261" s="20" t="s">
        <v>673</v>
      </c>
      <c r="F261" s="21" t="str">
        <f>IF(OR(E261="",E261="!!!"),"",IF(NOT(ISNA(VLOOKUP(E261,E$1:E260,1,FALSE()))),"OLD",IF(AND(E261&lt;&gt;"",E261&lt;&gt;"!!!"),"NEW","")))</f>
        <v>OLD</v>
      </c>
      <c r="G261" s="22" t="str">
        <f ca="1">IF(OR(E261="",E261="!!!"),"",IF(OR(J261=0,AND(J261=1,K261=1),AND(J261=1,I261="SBJ"),AND(J261=1,I261=0)),"?IN_FOCUS",IF(J261&lt;=2,"?ACTIVATED",IF(J261&lt;&gt;"","?FAMILIAR",IF(F261="NEW",IF(ISNA(VLOOKUP(E261,#REF!,1,FALSE())),"?TYPE_IDENTIFIABLE","?REFERENTIAL"),"_")))))</f>
        <v>?IN_FOCUS</v>
      </c>
      <c r="H261" s="23" t="str">
        <f t="shared" ca="1" si="32"/>
        <v/>
      </c>
      <c r="I261" s="24" t="str">
        <f>IF(OR(E261="",E261="!!!",F261="NEW"),"",INDEX(B$2:B260,-1+SUMPRODUCT(MAX(ROW(E$2:E260)*(E261=E$2:E260)))))</f>
        <v>SBJ</v>
      </c>
      <c r="J261" s="24">
        <f ca="1">IF(OR(E261="",E261="!!!",F261="NEW"),"",COUNTBLANK(OFFSET(A$1,,,SUMPRODUCT(MAX(ROW(E$2:E261)*(E261=E$2:E261)))))-COUNTBLANK(OFFSET(A$1,,,SUMPRODUCT(MAX(ROW(E$1:E260)*(E2=E$1:E260))))))</f>
        <v>0</v>
      </c>
      <c r="K261" s="24">
        <f ca="1">IF(OR(E261="",E261="!!!",F261="NEW"),"",INDEX(J$1:J260,SUMPRODUCT(MAX(ROW(E$1:E260)*(E261=E$1:E260)))))</f>
        <v>0</v>
      </c>
      <c r="L261" s="25"/>
    </row>
    <row r="262" spans="1:12" x14ac:dyDescent="0.3">
      <c r="A262" t="s">
        <v>393</v>
      </c>
      <c r="E262" s="20" t="str">
        <f t="shared" si="33"/>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32"/>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394</v>
      </c>
      <c r="B263" s="26" t="s">
        <v>292</v>
      </c>
      <c r="C263" s="26" t="s">
        <v>261</v>
      </c>
      <c r="D263" s="26" t="s">
        <v>254</v>
      </c>
      <c r="E263" s="20" t="s">
        <v>722</v>
      </c>
      <c r="F263" s="21" t="str">
        <f>IF(OR(E263="",E263="!!!"),"",IF(NOT(ISNA(VLOOKUP(E263,E$1:E262,1,FALSE()))),"OLD",IF(AND(E263&lt;&gt;"",E263&lt;&gt;"!!!"),"NEW","")))</f>
        <v>NEW</v>
      </c>
      <c r="G263" s="22" t="str">
        <f ca="1">IF(OR(E263="",E263="!!!"),"",IF(OR(J263=0,AND(J263=1,K263=1),AND(J263=1,I263="SBJ"),AND(J263=1,I263=0)),"?IN_FOCUS",IF(J263&lt;=2,"?ACTIVATED",IF(J263&lt;&gt;"","?FAMILIAR",IF(F263="NEW",IF(ISNA(VLOOKUP(E263,#REF!,1,FALSE())),"?TYPE_IDENTIFIABLE","?REFERENTIAL"),"_")))))</f>
        <v>?REFERENTIAL</v>
      </c>
      <c r="H263" s="23" t="str">
        <f t="shared" ca="1" si="32"/>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265</v>
      </c>
      <c r="E264" s="20" t="str">
        <f t="shared" si="33"/>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32"/>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6" spans="1:12" x14ac:dyDescent="0.3">
      <c r="A266" t="s">
        <v>395</v>
      </c>
    </row>
    <row r="267" spans="1:12" x14ac:dyDescent="0.3">
      <c r="A267" t="s">
        <v>396</v>
      </c>
      <c r="E267" s="20" t="str">
        <f t="shared" ref="E267:E278" si="34">IF(D267="?OLD","!!!","")</f>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ref="H267:H278" ca="1" si="35">IF(J267&lt;&gt;1,"",IF(I267="SBJ","CB","?"))</f>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397</v>
      </c>
      <c r="B268" s="26" t="s">
        <v>274</v>
      </c>
      <c r="C268" s="26" t="s">
        <v>282</v>
      </c>
      <c r="E268" s="20"/>
      <c r="F268" s="21" t="str">
        <f>IF(OR(E268="",E268="!!!"),"",IF(NOT(ISNA(VLOOKUP(E268,E$1:E267,1,FALSE()))),"OLD",IF(AND(E268&lt;&gt;"",E268&lt;&gt;"!!!"),"NEW","")))</f>
        <v/>
      </c>
      <c r="G268" s="22"/>
      <c r="H268" s="23" t="str">
        <f t="shared" ca="1" si="35"/>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3">
      <c r="A269" t="s">
        <v>78</v>
      </c>
      <c r="E269" s="20" t="str">
        <f t="shared" si="34"/>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35"/>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398</v>
      </c>
      <c r="E270" s="20" t="s">
        <v>673</v>
      </c>
      <c r="F270" s="21" t="str">
        <f>IF(OR(E270="",E270="!!!"),"",IF(NOT(ISNA(VLOOKUP(E270,E$1:E269,1,FALSE()))),"OLD",IF(AND(E270&lt;&gt;"",E270&lt;&gt;"!!!"),"NEW","")))</f>
        <v>OLD</v>
      </c>
      <c r="G270" s="22" t="str">
        <f ca="1">IF(OR(E270="",E270="!!!"),"",IF(OR(J270=0,AND(J270=1,K270=1),AND(J270=1,I270="SBJ"),AND(J270=1,I270=0)),"?IN_FOCUS",IF(J270&lt;=2,"?ACTIVATED",IF(J270&lt;&gt;"","?FAMILIAR",IF(F270="NEW",IF(ISNA(VLOOKUP(E270,#REF!,1,FALSE())),"?TYPE_IDENTIFIABLE","?REFERENTIAL"),"_")))))</f>
        <v>?IN_FOCUS</v>
      </c>
      <c r="H270" s="23" t="s">
        <v>222</v>
      </c>
      <c r="I270" s="24" t="str">
        <f>IF(OR(E270="",E270="!!!",F270="NEW"),"",INDEX(B$2:B269,-1+SUMPRODUCT(MAX(ROW(E$2:E269)*(E270=E$2:E269)))))</f>
        <v>other_2</v>
      </c>
      <c r="J270" s="24">
        <f ca="1">IF(OR(E270="",E270="!!!",F270="NEW"),"",COUNTBLANK(OFFSET(A$1,,,SUMPRODUCT(MAX(ROW(E$2:E270)*(E270=E$2:E270)))))-COUNTBLANK(OFFSET(A$1,,,SUMPRODUCT(MAX(ROW(E$1:E269)*(E2=E$1:E269))))))</f>
        <v>0</v>
      </c>
      <c r="K270" s="24">
        <f ca="1">IF(OR(E270="",E270="!!!",F270="NEW"),"",INDEX(J$1:J269,SUMPRODUCT(MAX(ROW(E$1:E269)*(E270=E$1:E269)))))</f>
        <v>0</v>
      </c>
      <c r="L270" s="25"/>
    </row>
    <row r="271" spans="1:12" x14ac:dyDescent="0.3">
      <c r="A271" t="s">
        <v>12</v>
      </c>
      <c r="E271" s="20" t="str">
        <f t="shared" si="34"/>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35"/>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308</v>
      </c>
      <c r="E272" s="20" t="str">
        <f t="shared" si="34"/>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35"/>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172</v>
      </c>
      <c r="E273" s="20" t="str">
        <f t="shared" si="34"/>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35"/>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244</v>
      </c>
      <c r="B274" s="26" t="s">
        <v>228</v>
      </c>
      <c r="C274" s="26" t="s">
        <v>282</v>
      </c>
      <c r="E274" s="20" t="str">
        <f t="shared" si="34"/>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35"/>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332</v>
      </c>
      <c r="E275" s="20" t="str">
        <f t="shared" si="34"/>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35"/>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88</v>
      </c>
      <c r="E276" s="20" t="str">
        <f t="shared" si="34"/>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35"/>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371</v>
      </c>
      <c r="B277" s="26" t="s">
        <v>241</v>
      </c>
      <c r="C277" s="26" t="s">
        <v>282</v>
      </c>
      <c r="E277" s="20" t="str">
        <f t="shared" si="34"/>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35"/>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265</v>
      </c>
      <c r="E278" s="20" t="str">
        <f t="shared" si="34"/>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35"/>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80" spans="1:12" x14ac:dyDescent="0.3">
      <c r="A280" t="s">
        <v>399</v>
      </c>
    </row>
    <row r="281" spans="1:12" x14ac:dyDescent="0.3">
      <c r="A281" t="s">
        <v>400</v>
      </c>
      <c r="E281" s="20" t="s">
        <v>673</v>
      </c>
      <c r="F281" s="21" t="str">
        <f>IF(OR(E281="",E281="!!!"),"",IF(NOT(ISNA(VLOOKUP(E281,E$1:E280,1,FALSE()))),"OLD",IF(AND(E281&lt;&gt;"",E281&lt;&gt;"!!!"),"NEW","")))</f>
        <v>OLD</v>
      </c>
      <c r="G281" s="22" t="s">
        <v>708</v>
      </c>
      <c r="H281" s="23" t="s">
        <v>222</v>
      </c>
      <c r="I281" s="24">
        <f>IF(OR(E281="",E281="!!!",F281="NEW"),"",INDEX(B$2:B280,-1+SUMPRODUCT(MAX(ROW(E$2:E280)*(E281=E$2:E280)))))</f>
        <v>0</v>
      </c>
      <c r="J281" s="24">
        <f ca="1">IF(OR(E281="",E281="!!!",F281="NEW"),"",COUNTBLANK(OFFSET(A$1,,,SUMPRODUCT(MAX(ROW(E$2:E281)*(E281=E$2:E281)))))-COUNTBLANK(OFFSET(A$1,,,SUMPRODUCT(MAX(ROW(E$1:E280)*(E2=E$1:E280))))))</f>
        <v>0</v>
      </c>
      <c r="K281" s="24">
        <f ca="1">IF(OR(E281="",E281="!!!",F281="NEW"),"",INDEX(J$1:J280,SUMPRODUCT(MAX(ROW(E$1:E280)*(E281=E$1:E280)))))</f>
        <v>0</v>
      </c>
      <c r="L281" s="25"/>
    </row>
    <row r="282" spans="1:12" x14ac:dyDescent="0.3">
      <c r="A282" t="s">
        <v>275</v>
      </c>
      <c r="E282" s="20" t="str">
        <f t="shared" ref="E282:E290" si="36">IF(D282="?OLD","!!!","")</f>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ref="H282:H290" ca="1" si="37">IF(J282&lt;&gt;1,"",IF(I282="SBJ","CB","?"))</f>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401</v>
      </c>
      <c r="E283" s="20" t="str">
        <f t="shared" si="36"/>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ca="1" si="37"/>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402</v>
      </c>
      <c r="B284" s="26" t="s">
        <v>274</v>
      </c>
      <c r="C284" s="26" t="s">
        <v>282</v>
      </c>
      <c r="E284" s="20" t="str">
        <f t="shared" si="36"/>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37"/>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12</v>
      </c>
      <c r="E285" s="20" t="str">
        <f t="shared" si="36"/>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37"/>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403</v>
      </c>
      <c r="E286" s="20" t="str">
        <f t="shared" si="36"/>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37"/>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404</v>
      </c>
      <c r="E287" s="20" t="str">
        <f t="shared" si="36"/>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37"/>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405</v>
      </c>
      <c r="E288" s="20" t="str">
        <f t="shared" si="36"/>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37"/>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406</v>
      </c>
      <c r="B289" s="26" t="s">
        <v>248</v>
      </c>
      <c r="C289" s="26" t="s">
        <v>229</v>
      </c>
      <c r="E289" s="20" t="str">
        <f t="shared" si="36"/>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37"/>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265</v>
      </c>
      <c r="E290" s="20" t="str">
        <f t="shared" si="36"/>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37"/>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2" spans="1:12" x14ac:dyDescent="0.3">
      <c r="A292" t="s">
        <v>407</v>
      </c>
    </row>
    <row r="293" spans="1:12" x14ac:dyDescent="0.3">
      <c r="A293" t="s">
        <v>336</v>
      </c>
      <c r="E293" s="20" t="str">
        <f t="shared" ref="E293:E301" si="38">IF(D293="?OLD","!!!","")</f>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ref="H293:H301" ca="1" si="39">IF(J293&lt;&gt;1,"",IF(I293="SBJ","CB","?"))</f>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408</v>
      </c>
      <c r="B294" s="26" t="s">
        <v>274</v>
      </c>
      <c r="C294" s="26" t="s">
        <v>310</v>
      </c>
      <c r="D294" s="26" t="s">
        <v>254</v>
      </c>
      <c r="E294" s="20" t="s">
        <v>723</v>
      </c>
      <c r="F294" s="21" t="str">
        <f>IF(OR(E294="",E294="!!!"),"",IF(NOT(ISNA(VLOOKUP(E294,E$1:E293,1,FALSE()))),"OLD",IF(AND(E294&lt;&gt;"",E294&lt;&gt;"!!!"),"NEW","")))</f>
        <v>NEW</v>
      </c>
      <c r="G294" s="22" t="str">
        <f ca="1">IF(OR(E294="",E294="!!!"),"",IF(OR(J294=0,AND(J294=1,K294=1),AND(J294=1,I294="SBJ"),AND(J294=1,I294=0)),"?IN_FOCUS",IF(J294&lt;=2,"?ACTIVATED",IF(J294&lt;&gt;"","?FAMILIAR",IF(F294="NEW",IF(ISNA(VLOOKUP(E294,#REF!,1,FALSE())),"?TYPE_IDENTIFIABLE","?REFERENTIAL"),"_")))))</f>
        <v>?REFERENTIAL</v>
      </c>
      <c r="H294" s="23" t="str">
        <f t="shared" ca="1" si="39"/>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258</v>
      </c>
      <c r="E295" s="20" t="str">
        <f t="shared" si="38"/>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39"/>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246</v>
      </c>
      <c r="E296" s="20" t="str">
        <f t="shared" si="38"/>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39"/>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409</v>
      </c>
      <c r="B297" s="26" t="s">
        <v>228</v>
      </c>
      <c r="C297" s="26" t="s">
        <v>249</v>
      </c>
      <c r="E297" s="20" t="str">
        <f t="shared" si="38"/>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39"/>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250</v>
      </c>
      <c r="E298" s="20" t="str">
        <f t="shared" si="38"/>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39"/>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293</v>
      </c>
      <c r="E299" s="20" t="str">
        <f t="shared" si="38"/>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39"/>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410</v>
      </c>
      <c r="B300" s="26" t="s">
        <v>228</v>
      </c>
      <c r="C300" s="26" t="s">
        <v>310</v>
      </c>
      <c r="D300" s="26" t="s">
        <v>254</v>
      </c>
      <c r="E300" s="20"/>
      <c r="F300" s="21" t="s">
        <v>685</v>
      </c>
      <c r="G300" s="22" t="str">
        <f>IF(OR(E300="",E300="!!!"),"",IF(OR(J300=0,AND(J300=1,K300=1),AND(J300=1,I300="SBJ"),AND(J300=1,I300=0)),"?IN_FOCUS",IF(J300&lt;=2,"?ACTIVATED",IF(J300&lt;&gt;"","?FAMILIAR",IF(F300="NEW",IF(ISNA(VLOOKUP(E300,#REF!,1,FALSE())),"?TYPE_IDENTIFIABLE","?REFERENTIAL"),"_")))))</f>
        <v/>
      </c>
      <c r="H300" s="23" t="str">
        <f t="shared" ca="1" si="39"/>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265</v>
      </c>
      <c r="E301" s="20" t="str">
        <f t="shared" si="38"/>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39"/>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3" spans="1:12" x14ac:dyDescent="0.3">
      <c r="A303" t="s">
        <v>411</v>
      </c>
      <c r="E303" s="20" t="str">
        <f>IF(D303="?OLD","!!!","")</f>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ca="1">IF(J303&lt;&gt;1,"",IF(I303="SBJ","CB","?"))</f>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412</v>
      </c>
    </row>
    <row r="305" spans="1:12" x14ac:dyDescent="0.3">
      <c r="A305" t="s">
        <v>231</v>
      </c>
      <c r="E305" s="20" t="str">
        <f t="shared" ref="E305:E334" si="40">IF(D305="?OLD","!!!","")</f>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ref="H305:H334" ca="1" si="41">IF(J305&lt;&gt;1,"",IF(I305="SBJ","CB","?"))</f>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413</v>
      </c>
      <c r="B306" s="26" t="s">
        <v>234</v>
      </c>
      <c r="C306" s="26" t="s">
        <v>269</v>
      </c>
      <c r="D306" s="26" t="s">
        <v>254</v>
      </c>
      <c r="E306" s="20" t="s">
        <v>665</v>
      </c>
      <c r="F306" s="21" t="s">
        <v>664</v>
      </c>
      <c r="G306" s="22" t="str">
        <f ca="1">IF(OR(E306="",E306="!!!"),"",IF(OR(J306=0,AND(J306=1,K306=1),AND(J306=1,I306="SBJ"),AND(J306=1,I306=0)),"?IN_FOCUS",IF(J306&lt;=2,"?ACTIVATED",IF(J306&lt;&gt;"","?FAMILIAR",IF(F306="NEW",IF(ISNA(VLOOKUP(E306,#REF!,1,FALSE())),"?TYPE_IDENTIFIABLE","?REFERENTIAL"),"_")))))</f>
        <v>?IN_FOCUS</v>
      </c>
      <c r="H306" s="23"/>
      <c r="I306" s="24" t="str">
        <f>IF(OR(E306="",E306="!!!",F306="NEW"),"",INDEX(B$2:B305,-1+SUMPRODUCT(MAX(ROW(E$2:E305)*(E306=E$2:E305)))))</f>
        <v>SBJ_4</v>
      </c>
      <c r="J306" s="24">
        <f ca="1">IF(OR(E306="",E306="!!!",F306="NEW"),"",COUNTBLANK(OFFSET(A$1,,,SUMPRODUCT(MAX(ROW(E$2:E306)*(E306=E$2:E306)))))-COUNTBLANK(OFFSET(A$1,,,SUMPRODUCT(MAX(ROW(E$1:E305)*(E2=E$1:E305))))))</f>
        <v>0</v>
      </c>
      <c r="K306" s="24">
        <f ca="1">IF(OR(E306="",E306="!!!",F306="NEW"),"",INDEX(J$1:J305,SUMPRODUCT(MAX(ROW(E$1:E305)*(E306=E$1:E305)))))</f>
        <v>0</v>
      </c>
      <c r="L306" s="25"/>
    </row>
    <row r="307" spans="1:12" x14ac:dyDescent="0.3">
      <c r="A307" t="s">
        <v>414</v>
      </c>
      <c r="E307" s="20" t="str">
        <f t="shared" si="40"/>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41"/>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403</v>
      </c>
      <c r="E308" s="20" t="str">
        <f t="shared" si="40"/>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41"/>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415</v>
      </c>
      <c r="E309" s="20" t="str">
        <f t="shared" si="40"/>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41"/>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416</v>
      </c>
      <c r="E310" s="20" t="str">
        <f t="shared" si="40"/>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41"/>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413</v>
      </c>
      <c r="B311" s="26" t="s">
        <v>257</v>
      </c>
      <c r="C311" s="26" t="s">
        <v>269</v>
      </c>
      <c r="D311" s="26" t="s">
        <v>254</v>
      </c>
      <c r="E311" s="20" t="s">
        <v>665</v>
      </c>
      <c r="F311" s="21" t="str">
        <f>IF(OR(E311="",E311="!!!"),"",IF(NOT(ISNA(VLOOKUP(E311,E$1:E310,1,FALSE()))),"OLD",IF(AND(E311&lt;&gt;"",E311&lt;&gt;"!!!"),"NEW","")))</f>
        <v>OLD</v>
      </c>
      <c r="G311" s="22" t="str">
        <f ca="1">IF(OR(E311="",E311="!!!"),"",IF(OR(J311=0,AND(J311=1,K311=1),AND(J311=1,I311="SBJ"),AND(J311=1,I311=0)),"?IN_FOCUS",IF(J311&lt;=2,"?ACTIVATED",IF(J311&lt;&gt;"","?FAMILIAR",IF(F311="NEW",IF(ISNA(VLOOKUP(E311,#REF!,1,FALSE())),"?TYPE_IDENTIFIABLE","?REFERENTIAL"),"_")))))</f>
        <v>?IN_FOCUS</v>
      </c>
      <c r="H311" s="23" t="str">
        <f t="shared" ca="1" si="41"/>
        <v/>
      </c>
      <c r="I311" s="24" t="str">
        <f>IF(OR(E311="",E311="!!!",F311="NEW"),"",INDEX(B$2:B310,-1+SUMPRODUCT(MAX(ROW(E$2:E310)*(E311=E$2:E310)))))</f>
        <v>SBJ_2</v>
      </c>
      <c r="J311" s="24">
        <f ca="1">IF(OR(E311="",E311="!!!",F311="NEW"),"",COUNTBLANK(OFFSET(A$1,,,SUMPRODUCT(MAX(ROW(E$2:E311)*(E311=E$2:E311)))))-COUNTBLANK(OFFSET(A$1,,,SUMPRODUCT(MAX(ROW(E$1:E310)*(E2=E$1:E310))))))</f>
        <v>0</v>
      </c>
      <c r="K311" s="24">
        <f ca="1">IF(OR(E311="",E311="!!!",F311="NEW"),"",INDEX(J$1:J310,SUMPRODUCT(MAX(ROW(E$1:E310)*(E311=E$1:E310)))))</f>
        <v>0</v>
      </c>
      <c r="L311" s="25"/>
    </row>
    <row r="312" spans="1:12" x14ac:dyDescent="0.3">
      <c r="A312" t="s">
        <v>101</v>
      </c>
      <c r="E312" s="20" t="str">
        <f t="shared" si="40"/>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41"/>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417</v>
      </c>
      <c r="E313" s="20" t="str">
        <f t="shared" si="40"/>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41"/>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418</v>
      </c>
      <c r="E314" s="20" t="str">
        <f t="shared" si="40"/>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41"/>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17</v>
      </c>
      <c r="B315" s="26" t="s">
        <v>357</v>
      </c>
      <c r="C315" s="26" t="s">
        <v>235</v>
      </c>
      <c r="E315" s="20" t="s">
        <v>658</v>
      </c>
      <c r="F315" s="21" t="str">
        <f>IF(OR(E315="",E315="!!!"),"",IF(NOT(ISNA(VLOOKUP(E315,E$1:E314,1,FALSE()))),"OLD",IF(AND(E315&lt;&gt;"",E315&lt;&gt;"!!!"),"NEW","")))</f>
        <v>OLD</v>
      </c>
      <c r="G315" s="22" t="s">
        <v>704</v>
      </c>
      <c r="H315" s="23"/>
      <c r="I315" s="24" t="str">
        <f>IF(OR(E315="",E315="!!!",F315="NEW"),"",INDEX(B$2:B314,-1+SUMPRODUCT(MAX(ROW(E$2:E314)*(E315=E$2:E314)))))</f>
        <v>other_2</v>
      </c>
      <c r="J315" s="24">
        <f ca="1">IF(OR(E315="",E315="!!!",F315="NEW"),"",COUNTBLANK(OFFSET(A$1,,,SUMPRODUCT(MAX(ROW(E$2:E315)*(E315=E$2:E315)))))-COUNTBLANK(OFFSET(A$1,,,SUMPRODUCT(MAX(ROW(E$1:E314)*(E2=E$1:E314))))))</f>
        <v>0</v>
      </c>
      <c r="K315" s="24">
        <f ca="1">IF(OR(E315="",E315="!!!",F315="NEW"),"",INDEX(J$1:J314,SUMPRODUCT(MAX(ROW(E$1:E314)*(E315=E$1:E314)))))</f>
        <v>0</v>
      </c>
      <c r="L315" s="25"/>
    </row>
    <row r="316" spans="1:12" x14ac:dyDescent="0.3">
      <c r="A316" t="s">
        <v>372</v>
      </c>
      <c r="B316" s="26" t="s">
        <v>419</v>
      </c>
      <c r="E316" s="20" t="str">
        <f>IF(D316="?OLD","!!!","")</f>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41"/>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420</v>
      </c>
      <c r="E317" s="20" t="str">
        <f t="shared" si="40"/>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41"/>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421</v>
      </c>
      <c r="E318" s="20" t="s">
        <v>673</v>
      </c>
      <c r="F318" s="21" t="str">
        <f>IF(OR(E318="",E318="!!!"),"",IF(NOT(ISNA(VLOOKUP(E318,E$1:E317,1,FALSE()))),"OLD",IF(AND(E318&lt;&gt;"",E318&lt;&gt;"!!!"),"NEW","")))</f>
        <v>OLD</v>
      </c>
      <c r="G318" s="22" t="str">
        <f ca="1">IF(OR(E318="",E318="!!!"),"",IF(OR(J318=0,AND(J318=1,K318=1),AND(J318=1,I318="SBJ"),AND(J318=1,I318=0)),"?IN_FOCUS",IF(J318&lt;=2,"?ACTIVATED",IF(J318&lt;&gt;"","?FAMILIAR",IF(F318="NEW",IF(ISNA(VLOOKUP(E318,#REF!,1,FALSE())),"?TYPE_IDENTIFIABLE","?REFERENTIAL"),"_")))))</f>
        <v>?IN_FOCUS</v>
      </c>
      <c r="H318" s="23" t="s">
        <v>222</v>
      </c>
      <c r="I318" s="24">
        <f>IF(OR(E318="",E318="!!!",F318="NEW"),"",INDEX(B$2:B317,-1+SUMPRODUCT(MAX(ROW(E$2:E317)*(E318=E$2:E317)))))</f>
        <v>0</v>
      </c>
      <c r="J318" s="24">
        <f ca="1">IF(OR(E318="",E318="!!!",F318="NEW"),"",COUNTBLANK(OFFSET(A$1,,,SUMPRODUCT(MAX(ROW(E$2:E318)*(E318=E$2:E318)))))-COUNTBLANK(OFFSET(A$1,,,SUMPRODUCT(MAX(ROW(E$1:E317)*(E2=E$1:E317))))))</f>
        <v>0</v>
      </c>
      <c r="K318" s="24">
        <f ca="1">IF(OR(E318="",E318="!!!",F318="NEW"),"",INDEX(J$1:J317,SUMPRODUCT(MAX(ROW(E$1:E317)*(E318=E$1:E317)))))</f>
        <v>0</v>
      </c>
      <c r="L318" s="25" t="s">
        <v>724</v>
      </c>
    </row>
    <row r="319" spans="1:12" x14ac:dyDescent="0.3">
      <c r="A319" t="s">
        <v>236</v>
      </c>
      <c r="E319" s="20" t="str">
        <f t="shared" si="40"/>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41"/>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237</v>
      </c>
      <c r="E320" s="20" t="str">
        <f t="shared" si="40"/>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41"/>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238</v>
      </c>
      <c r="E321" s="20" t="str">
        <f t="shared" si="40"/>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41"/>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239</v>
      </c>
      <c r="E322" s="20" t="str">
        <f t="shared" si="40"/>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41"/>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240</v>
      </c>
      <c r="B323" s="26" t="s">
        <v>384</v>
      </c>
      <c r="C323" s="26" t="s">
        <v>229</v>
      </c>
      <c r="E323" s="20" t="s">
        <v>674</v>
      </c>
      <c r="F323" s="21" t="str">
        <f>IF(OR(E323="",E323="!!!"),"",IF(NOT(ISNA(VLOOKUP(E323,E$1:E322,1,FALSE()))),"OLD",IF(AND(E323&lt;&gt;"",E323&lt;&gt;"!!!"),"NEW","")))</f>
        <v>OLD</v>
      </c>
      <c r="G323" s="22" t="s">
        <v>713</v>
      </c>
      <c r="H323" s="23" t="str">
        <f t="shared" ca="1" si="41"/>
        <v/>
      </c>
      <c r="I323" s="24" t="str">
        <f>IF(OR(E323="",E323="!!!",F323="NEW"),"",INDEX(B$2:B322,-1+SUMPRODUCT(MAX(ROW(E$2:E322)*(E323=E$2:E322)))))</f>
        <v>SBJ_3</v>
      </c>
      <c r="J323" s="24">
        <f ca="1">IF(OR(E323="",E323="!!!",F323="NEW"),"",COUNTBLANK(OFFSET(A$1,,,SUMPRODUCT(MAX(ROW(E$2:E323)*(E323=E$2:E323)))))-COUNTBLANK(OFFSET(A$1,,,SUMPRODUCT(MAX(ROW(E$1:E322)*(E2=E$1:E322))))))</f>
        <v>0</v>
      </c>
      <c r="K323" s="24" t="str">
        <f ca="1">IF(OR(E323="",E323="!!!",F323="NEW"),"",INDEX(J$1:J322,SUMPRODUCT(MAX(ROW(E$1:E322)*(E323=E$1:E322)))))</f>
        <v/>
      </c>
      <c r="L323" s="25"/>
    </row>
    <row r="324" spans="1:12" x14ac:dyDescent="0.3">
      <c r="A324" t="s">
        <v>250</v>
      </c>
      <c r="E324" s="20" t="str">
        <f t="shared" si="40"/>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41"/>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301</v>
      </c>
      <c r="B325" s="26" t="s">
        <v>422</v>
      </c>
      <c r="C325" s="26" t="s">
        <v>253</v>
      </c>
      <c r="D325" s="26" t="s">
        <v>254</v>
      </c>
      <c r="E325" s="20" t="s">
        <v>658</v>
      </c>
      <c r="F325" s="21" t="str">
        <f>IF(OR(E325="",E325="!!!"),"",IF(NOT(ISNA(VLOOKUP(E325,E$1:E324,1,FALSE()))),"OLD",IF(AND(E325&lt;&gt;"",E325&lt;&gt;"!!!"),"NEW","")))</f>
        <v>OLD</v>
      </c>
      <c r="G325" s="22" t="str">
        <f ca="1">IF(OR(E325="",E325="!!!"),"",IF(OR(J325=0,AND(J325=1,K325=1),AND(J325=1,I325="SBJ"),AND(J325=1,I325=0)),"?IN_FOCUS",IF(J325&lt;=2,"?ACTIVATED",IF(J325&lt;&gt;"","?FAMILIAR",IF(F325="NEW",IF(ISNA(VLOOKUP(E325,#REF!,1,FALSE())),"?TYPE_IDENTIFIABLE","?REFERENTIAL"),"_")))))</f>
        <v>?IN_FOCUS</v>
      </c>
      <c r="H325" s="23" t="str">
        <f t="shared" ca="1" si="41"/>
        <v/>
      </c>
      <c r="I325" s="24" t="str">
        <f>IF(OR(E325="",E325="!!!",F325="NEW"),"",INDEX(B$2:B324,-1+SUMPRODUCT(MAX(ROW(E$2:E324)*(E325=E$2:E324)))))</f>
        <v>SBJ_4</v>
      </c>
      <c r="J325" s="24">
        <f ca="1">IF(OR(E325="",E325="!!!",F325="NEW"),"",COUNTBLANK(OFFSET(A$1,,,SUMPRODUCT(MAX(ROW(E$2:E325)*(E325=E$2:E325)))))-COUNTBLANK(OFFSET(A$1,,,SUMPRODUCT(MAX(ROW(E$1:E324)*(E2=E$1:E324))))))</f>
        <v>0</v>
      </c>
      <c r="K325" s="24">
        <f ca="1">IF(OR(E325="",E325="!!!",F325="NEW"),"",INDEX(J$1:J324,SUMPRODUCT(MAX(ROW(E$1:E324)*(E325=E$1:E324)))))</f>
        <v>0</v>
      </c>
      <c r="L325" s="25"/>
    </row>
    <row r="326" spans="1:12" x14ac:dyDescent="0.3">
      <c r="A326" t="s">
        <v>423</v>
      </c>
      <c r="B326" s="26" t="s">
        <v>384</v>
      </c>
      <c r="C326" s="26" t="s">
        <v>261</v>
      </c>
      <c r="D326" s="26" t="s">
        <v>254</v>
      </c>
      <c r="E326" s="20"/>
      <c r="F326" s="21" t="s">
        <v>685</v>
      </c>
      <c r="G326" s="22"/>
      <c r="H326" s="23"/>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342</v>
      </c>
      <c r="E327" s="20" t="str">
        <f t="shared" si="40"/>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41"/>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424</v>
      </c>
      <c r="E328" s="20" t="str">
        <f t="shared" si="40"/>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41"/>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13</v>
      </c>
      <c r="B329" s="26" t="s">
        <v>425</v>
      </c>
      <c r="C329" s="26" t="s">
        <v>229</v>
      </c>
      <c r="E329" s="20" t="s">
        <v>668</v>
      </c>
      <c r="F329" s="21" t="str">
        <f>IF(OR(E329="",E329="!!!"),"",IF(NOT(ISNA(VLOOKUP(E329,E$1:E328,1,FALSE()))),"OLD",IF(AND(E329&lt;&gt;"",E329&lt;&gt;"!!!"),"NEW","")))</f>
        <v>NEW</v>
      </c>
      <c r="G329" s="22" t="s">
        <v>707</v>
      </c>
      <c r="H329" s="23" t="str">
        <f t="shared" ca="1" si="41"/>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256</v>
      </c>
      <c r="E330" s="20" t="str">
        <f t="shared" si="40"/>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41"/>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231</v>
      </c>
      <c r="E331" s="20" t="str">
        <f t="shared" si="40"/>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41"/>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426</v>
      </c>
      <c r="E332" s="20" t="str">
        <f t="shared" si="40"/>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41"/>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344</v>
      </c>
      <c r="B333" s="26" t="s">
        <v>274</v>
      </c>
      <c r="C333" s="26" t="s">
        <v>273</v>
      </c>
      <c r="D333" s="26" t="s">
        <v>254</v>
      </c>
      <c r="E333" s="20" t="s">
        <v>665</v>
      </c>
      <c r="F333" s="21" t="str">
        <f>IF(OR(E333="",E333="!!!"),"",IF(NOT(ISNA(VLOOKUP(E333,E$1:E332,1,FALSE()))),"OLD",IF(AND(E333&lt;&gt;"",E333&lt;&gt;"!!!"),"NEW","")))</f>
        <v>OLD</v>
      </c>
      <c r="G333" s="22" t="s">
        <v>713</v>
      </c>
      <c r="H333" s="23"/>
      <c r="I333" s="24" t="str">
        <f>IF(OR(E333="",E333="!!!",F333="NEW"),"",INDEX(B$2:B332,-1+SUMPRODUCT(MAX(ROW(E$2:E332)*(E333=E$2:E332)))))</f>
        <v>SBJ_3</v>
      </c>
      <c r="J333" s="24">
        <f ca="1">IF(OR(E333="",E333="!!!",F333="NEW"),"",COUNTBLANK(OFFSET(A$1,,,SUMPRODUCT(MAX(ROW(E$2:E333)*(E333=E$2:E333)))))-COUNTBLANK(OFFSET(A$1,,,SUMPRODUCT(MAX(ROW(E$1:E332)*(E2=E$1:E332))))))</f>
        <v>0</v>
      </c>
      <c r="K333" s="24">
        <f ca="1">IF(OR(E333="",E333="!!!",F333="NEW"),"",INDEX(J$1:J332,SUMPRODUCT(MAX(ROW(E$1:E332)*(E333=E$1:E332)))))</f>
        <v>0</v>
      </c>
      <c r="L333" s="25"/>
    </row>
    <row r="334" spans="1:12" x14ac:dyDescent="0.3">
      <c r="A334" t="s">
        <v>265</v>
      </c>
      <c r="E334" s="20" t="str">
        <f t="shared" si="40"/>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41"/>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6" spans="1:12" x14ac:dyDescent="0.3">
      <c r="A336" t="s">
        <v>411</v>
      </c>
      <c r="E336" s="20" t="str">
        <f>IF(D336="?OLD","!!!","")</f>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ca="1">IF(J336&lt;&gt;1,"",IF(I336="SBJ","CB","?"))</f>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427</v>
      </c>
    </row>
    <row r="338" spans="1:12" x14ac:dyDescent="0.3">
      <c r="A338" t="s">
        <v>231</v>
      </c>
      <c r="E338" s="20" t="str">
        <f t="shared" ref="E338:E378" si="42">IF(D338="?OLD","!!!","")</f>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ref="H338:H378" ca="1" si="43">IF(J338&lt;&gt;1,"",IF(I338="SBJ","CB","?"))</f>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428</v>
      </c>
      <c r="E339" s="20" t="s">
        <v>703</v>
      </c>
      <c r="F339" s="21" t="s">
        <v>725</v>
      </c>
      <c r="G339" s="22" t="s">
        <v>704</v>
      </c>
      <c r="H339" s="23" t="str">
        <f t="shared" ca="1" si="43"/>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106</v>
      </c>
      <c r="E340" s="20" t="str">
        <f t="shared" si="42"/>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43"/>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429</v>
      </c>
      <c r="E341" s="20" t="str">
        <f t="shared" si="42"/>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43"/>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262</v>
      </c>
      <c r="E342" s="20" t="str">
        <f t="shared" si="42"/>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43"/>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430</v>
      </c>
      <c r="B343" s="26" t="s">
        <v>228</v>
      </c>
      <c r="C343" s="26" t="s">
        <v>229</v>
      </c>
      <c r="E343" s="20" t="str">
        <f t="shared" si="42"/>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43"/>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256</v>
      </c>
      <c r="E344" s="20" t="str">
        <f t="shared" si="42"/>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43"/>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429</v>
      </c>
      <c r="E345" s="20" t="str">
        <f t="shared" si="42"/>
        <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43"/>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268</v>
      </c>
      <c r="B346" s="26" t="s">
        <v>234</v>
      </c>
      <c r="C346" s="26" t="s">
        <v>269</v>
      </c>
      <c r="D346" s="26" t="s">
        <v>254</v>
      </c>
      <c r="E346" s="20" t="s">
        <v>703</v>
      </c>
      <c r="F346" s="21" t="str">
        <f>IF(OR(E346="",E346="!!!"),"",IF(NOT(ISNA(VLOOKUP(E346,E$1:E345,1,FALSE()))),"OLD",IF(AND(E346&lt;&gt;"",E346&lt;&gt;"!!!"),"NEW","")))</f>
        <v>OLD</v>
      </c>
      <c r="G346" s="22" t="str">
        <f ca="1">IF(OR(E346="",E346="!!!"),"",IF(OR(J346=0,AND(J346=1,K346=1),AND(J346=1,I346="SBJ"),AND(J346=1,I346=0)),"?IN_FOCUS",IF(J346&lt;=2,"?ACTIVATED",IF(J346&lt;&gt;"","?FAMILIAR",IF(F346="NEW",IF(ISNA(VLOOKUP(E346,#REF!,1,FALSE())),"?TYPE_IDENTIFIABLE","?REFERENTIAL"),"_")))))</f>
        <v>?IN_FOCUS</v>
      </c>
      <c r="H346" s="23" t="str">
        <f t="shared" ca="1" si="43"/>
        <v/>
      </c>
      <c r="I346" s="24">
        <f>IF(OR(E346="",E346="!!!",F346="NEW"),"",INDEX(B$2:B345,-1+SUMPRODUCT(MAX(ROW(E$2:E345)*(E346=E$2:E345)))))</f>
        <v>0</v>
      </c>
      <c r="J346" s="24">
        <f ca="1">IF(OR(E346="",E346="!!!",F346="NEW"),"",COUNTBLANK(OFFSET(A$1,,,SUMPRODUCT(MAX(ROW(E$2:E346)*(E346=E$2:E346)))))-COUNTBLANK(OFFSET(A$1,,,SUMPRODUCT(MAX(ROW(E$1:E345)*(E2=E$1:E345))))))</f>
        <v>0</v>
      </c>
      <c r="K346" s="24" t="str">
        <f ca="1">IF(OR(E346="",E346="!!!",F346="NEW"),"",INDEX(J$1:J345,SUMPRODUCT(MAX(ROW(E$1:E345)*(E346=E$1:E345)))))</f>
        <v/>
      </c>
      <c r="L346" s="25"/>
    </row>
    <row r="347" spans="1:12" x14ac:dyDescent="0.3">
      <c r="A347" t="s">
        <v>275</v>
      </c>
      <c r="E347" s="20" t="str">
        <f t="shared" si="42"/>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43"/>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431</v>
      </c>
      <c r="E348" s="20" t="str">
        <f t="shared" si="42"/>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43"/>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432</v>
      </c>
      <c r="E349" s="20" t="str">
        <f t="shared" si="42"/>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43"/>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256</v>
      </c>
      <c r="E350" s="20" t="str">
        <f t="shared" si="42"/>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43"/>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429</v>
      </c>
      <c r="E351" s="20" t="str">
        <f t="shared" si="42"/>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43"/>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268</v>
      </c>
      <c r="B352" s="26" t="s">
        <v>257</v>
      </c>
      <c r="C352" s="26" t="s">
        <v>269</v>
      </c>
      <c r="D352" s="26" t="s">
        <v>254</v>
      </c>
      <c r="E352" s="20" t="s">
        <v>703</v>
      </c>
      <c r="F352" s="21" t="str">
        <f>IF(OR(E352="",E352="!!!"),"",IF(NOT(ISNA(VLOOKUP(E352,E$1:E351,1,FALSE()))),"OLD",IF(AND(E352&lt;&gt;"",E352&lt;&gt;"!!!"),"NEW","")))</f>
        <v>OLD</v>
      </c>
      <c r="G352" s="22" t="str">
        <f ca="1">IF(OR(E352="",E352="!!!"),"",IF(OR(J352=0,AND(J352=1,K352=1),AND(J352=1,I352="SBJ"),AND(J352=1,I352=0)),"?IN_FOCUS",IF(J352&lt;=2,"?ACTIVATED",IF(J352&lt;&gt;"","?FAMILIAR",IF(F352="NEW",IF(ISNA(VLOOKUP(E352,#REF!,1,FALSE())),"?TYPE_IDENTIFIABLE","?REFERENTIAL"),"_")))))</f>
        <v>?IN_FOCUS</v>
      </c>
      <c r="H352" s="23" t="str">
        <f t="shared" ca="1" si="43"/>
        <v/>
      </c>
      <c r="I352" s="24" t="str">
        <f>IF(OR(E352="",E352="!!!",F352="NEW"),"",INDEX(B$2:B351,-1+SUMPRODUCT(MAX(ROW(E$2:E351)*(E352=E$2:E351)))))</f>
        <v>SBJ_2</v>
      </c>
      <c r="J352" s="24">
        <f ca="1">IF(OR(E352="",E352="!!!",F352="NEW"),"",COUNTBLANK(OFFSET(A$1,,,SUMPRODUCT(MAX(ROW(E$2:E352)*(E352=E$2:E352)))))-COUNTBLANK(OFFSET(A$1,,,SUMPRODUCT(MAX(ROW(E$1:E351)*(E2=E$1:E351))))))</f>
        <v>0</v>
      </c>
      <c r="K352" s="24">
        <f ca="1">IF(OR(E352="",E352="!!!",F352="NEW"),"",INDEX(J$1:J351,SUMPRODUCT(MAX(ROW(E$1:E351)*(E352=E$1:E351)))))</f>
        <v>0</v>
      </c>
      <c r="L352" s="25"/>
    </row>
    <row r="353" spans="1:12" x14ac:dyDescent="0.3">
      <c r="A353" t="s">
        <v>275</v>
      </c>
      <c r="E353" s="20" t="str">
        <f t="shared" si="42"/>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43"/>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433</v>
      </c>
      <c r="E354" s="20" t="str">
        <f t="shared" si="42"/>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43"/>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238</v>
      </c>
      <c r="E355" s="20" t="str">
        <f t="shared" si="42"/>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43"/>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434</v>
      </c>
      <c r="B356" s="26" t="s">
        <v>252</v>
      </c>
      <c r="C356" s="26" t="s">
        <v>229</v>
      </c>
      <c r="E356" s="20" t="str">
        <f t="shared" si="42"/>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43"/>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435</v>
      </c>
      <c r="E357" s="20" t="str">
        <f t="shared" si="42"/>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43"/>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436</v>
      </c>
      <c r="B358" s="26" t="s">
        <v>384</v>
      </c>
      <c r="C358" s="26" t="s">
        <v>229</v>
      </c>
      <c r="E358" s="20" t="str">
        <f t="shared" si="42"/>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43"/>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256</v>
      </c>
      <c r="E359" s="20" t="str">
        <f t="shared" si="42"/>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43"/>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435</v>
      </c>
      <c r="E360" s="20" t="str">
        <f t="shared" si="42"/>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43"/>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429</v>
      </c>
      <c r="E361" s="20" t="str">
        <f t="shared" si="42"/>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43"/>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251</v>
      </c>
      <c r="B362" s="26" t="s">
        <v>437</v>
      </c>
      <c r="C362" s="26" t="s">
        <v>253</v>
      </c>
      <c r="D362" s="26" t="s">
        <v>254</v>
      </c>
      <c r="E362" s="20" t="s">
        <v>703</v>
      </c>
      <c r="F362" s="21" t="str">
        <f>IF(OR(E362="",E362="!!!"),"",IF(NOT(ISNA(VLOOKUP(E362,E$1:E361,1,FALSE()))),"OLD",IF(AND(E362&lt;&gt;"",E362&lt;&gt;"!!!"),"NEW","")))</f>
        <v>OLD</v>
      </c>
      <c r="G362" s="22" t="str">
        <f ca="1">IF(OR(E362="",E362="!!!"),"",IF(OR(J362=0,AND(J362=1,K362=1),AND(J362=1,I362="SBJ"),AND(J362=1,I362=0)),"?IN_FOCUS",IF(J362&lt;=2,"?ACTIVATED",IF(J362&lt;&gt;"","?FAMILIAR",IF(F362="NEW",IF(ISNA(VLOOKUP(E362,#REF!,1,FALSE())),"?TYPE_IDENTIFIABLE","?REFERENTIAL"),"_")))))</f>
        <v>?IN_FOCUS</v>
      </c>
      <c r="H362" s="23" t="str">
        <f t="shared" ca="1" si="43"/>
        <v/>
      </c>
      <c r="I362" s="24" t="str">
        <f>IF(OR(E362="",E362="!!!",F362="NEW"),"",INDEX(B$2:B361,-1+SUMPRODUCT(MAX(ROW(E$2:E361)*(E362=E$2:E361)))))</f>
        <v>SBJ_3</v>
      </c>
      <c r="J362" s="24">
        <f ca="1">IF(OR(E362="",E362="!!!",F362="NEW"),"",COUNTBLANK(OFFSET(A$1,,,SUMPRODUCT(MAX(ROW(E$2:E362)*(E362=E$2:E362)))))-COUNTBLANK(OFFSET(A$1,,,SUMPRODUCT(MAX(ROW(E$1:E361)*(E2=E$1:E361))))))</f>
        <v>0</v>
      </c>
      <c r="K362" s="24">
        <f ca="1">IF(OR(E362="",E362="!!!",F362="NEW"),"",INDEX(J$1:J361,SUMPRODUCT(MAX(ROW(E$1:E361)*(E362=E$1:E361)))))</f>
        <v>0</v>
      </c>
      <c r="L362" s="25"/>
    </row>
    <row r="363" spans="1:12" x14ac:dyDescent="0.3">
      <c r="A363" t="s">
        <v>438</v>
      </c>
      <c r="B363" s="26" t="s">
        <v>439</v>
      </c>
      <c r="C363" s="26" t="s">
        <v>261</v>
      </c>
      <c r="D363" s="26" t="s">
        <v>254</v>
      </c>
      <c r="E363" s="20" t="s">
        <v>675</v>
      </c>
      <c r="F363" s="21" t="str">
        <f>IF(OR(E363="",E363="!!!"),"",IF(NOT(ISNA(VLOOKUP(E363,E$1:E362,1,FALSE()))),"OLD",IF(AND(E363&lt;&gt;"",E363&lt;&gt;"!!!"),"NEW","")))</f>
        <v>NEW</v>
      </c>
      <c r="G363" s="22" t="str">
        <f ca="1">IF(OR(E363="",E363="!!!"),"",IF(OR(J363=0,AND(J363=1,K363=1),AND(J363=1,I363="SBJ"),AND(J363=1,I363=0)),"?IN_FOCUS",IF(J363&lt;=2,"?ACTIVATED",IF(J363&lt;&gt;"","?FAMILIAR",IF(F363="NEW",IF(ISNA(VLOOKUP(E363,#REF!,1,FALSE())),"?TYPE_IDENTIFIABLE","?REFERENTIAL"),"_")))))</f>
        <v>?REFERENTIAL</v>
      </c>
      <c r="H363" s="23" t="str">
        <f t="shared" ca="1" si="43"/>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440</v>
      </c>
      <c r="E364" s="20" t="str">
        <f t="shared" si="42"/>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43"/>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251</v>
      </c>
      <c r="B365" s="26" t="s">
        <v>437</v>
      </c>
      <c r="C365" s="26" t="s">
        <v>253</v>
      </c>
      <c r="D365" s="26" t="s">
        <v>254</v>
      </c>
      <c r="E365" s="20" t="s">
        <v>675</v>
      </c>
      <c r="F365" s="21" t="str">
        <f>IF(OR(E365="",E365="!!!"),"",IF(NOT(ISNA(VLOOKUP(E365,E$1:E364,1,FALSE()))),"OLD",IF(AND(E365&lt;&gt;"",E365&lt;&gt;"!!!"),"NEW","")))</f>
        <v>OLD</v>
      </c>
      <c r="G365" s="22" t="str">
        <f ca="1">IF(OR(E365="",E365="!!!"),"",IF(OR(J365=0,AND(J365=1,K365=1),AND(J365=1,I365="SBJ"),AND(J365=1,I365=0)),"?IN_FOCUS",IF(J365&lt;=2,"?ACTIVATED",IF(J365&lt;&gt;"","?FAMILIAR",IF(F365="NEW",IF(ISNA(VLOOKUP(E365,#REF!,1,FALSE())),"?TYPE_IDENTIFIABLE","?REFERENTIAL"),"_")))))</f>
        <v>?IN_FOCUS</v>
      </c>
      <c r="H365" s="23" t="str">
        <f t="shared" ca="1" si="43"/>
        <v/>
      </c>
      <c r="I365" s="24" t="str">
        <f>IF(OR(E365="",E365="!!!",F365="NEW"),"",INDEX(B$2:B364,-1+SUMPRODUCT(MAX(ROW(E$2:E364)*(E365=E$2:E364)))))</f>
        <v>SBJ_5</v>
      </c>
      <c r="J365" s="24">
        <f ca="1">IF(OR(E365="",E365="!!!",F365="NEW"),"",COUNTBLANK(OFFSET(A$1,,,SUMPRODUCT(MAX(ROW(E$2:E365)*(E365=E$2:E365)))))-COUNTBLANK(OFFSET(A$1,,,SUMPRODUCT(MAX(ROW(E$1:E364)*(E2=E$1:E364))))))</f>
        <v>0</v>
      </c>
      <c r="K365" s="24" t="str">
        <f ca="1">IF(OR(E365="",E365="!!!",F365="NEW"),"",INDEX(J$1:J364,SUMPRODUCT(MAX(ROW(E$1:E364)*(E365=E$1:E364)))))</f>
        <v/>
      </c>
      <c r="L365" s="25"/>
    </row>
    <row r="366" spans="1:12" x14ac:dyDescent="0.3">
      <c r="A366" t="s">
        <v>441</v>
      </c>
      <c r="B366" s="26" t="s">
        <v>442</v>
      </c>
      <c r="C366" s="26" t="s">
        <v>261</v>
      </c>
      <c r="D366" s="26" t="s">
        <v>254</v>
      </c>
      <c r="E366" s="20"/>
      <c r="F366" s="21" t="s">
        <v>685</v>
      </c>
      <c r="G366" s="22" t="str">
        <f>IF(OR(E366="",E366="!!!"),"",IF(OR(J366=0,AND(J366=1,K366=1),AND(J366=1,I366="SBJ"),AND(J366=1,I366=0)),"?IN_FOCUS",IF(J366&lt;=2,"?ACTIVATED",IF(J366&lt;&gt;"","?FAMILIAR",IF(F366="NEW",IF(ISNA(VLOOKUP(E366,#REF!,1,FALSE())),"?TYPE_IDENTIFIABLE","?REFERENTIAL"),"_")))))</f>
        <v/>
      </c>
      <c r="H366" s="23" t="str">
        <f t="shared" ca="1" si="43"/>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row>
    <row r="367" spans="1:12" x14ac:dyDescent="0.3">
      <c r="A367" t="s">
        <v>250</v>
      </c>
      <c r="E367" s="20" t="str">
        <f t="shared" si="42"/>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43"/>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290</v>
      </c>
      <c r="B368" s="26" t="s">
        <v>437</v>
      </c>
      <c r="C368" s="26" t="s">
        <v>269</v>
      </c>
      <c r="D368" s="26" t="s">
        <v>254</v>
      </c>
      <c r="E368" s="20" t="s">
        <v>703</v>
      </c>
      <c r="F368" s="21" t="str">
        <f>IF(OR(E368="",E368="!!!"),"",IF(NOT(ISNA(VLOOKUP(E368,E$1:E367,1,FALSE()))),"OLD",IF(AND(E368&lt;&gt;"",E368&lt;&gt;"!!!"),"NEW","")))</f>
        <v>OLD</v>
      </c>
      <c r="G368" s="22" t="str">
        <f ca="1">IF(OR(E368="",E368="!!!"),"",IF(OR(J368=0,AND(J368=1,K368=1),AND(J368=1,I368="SBJ"),AND(J368=1,I368=0)),"?IN_FOCUS",IF(J368&lt;=2,"?ACTIVATED",IF(J368&lt;&gt;"","?FAMILIAR",IF(F368="NEW",IF(ISNA(VLOOKUP(E368,#REF!,1,FALSE())),"?TYPE_IDENTIFIABLE","?REFERENTIAL"),"_")))))</f>
        <v>?IN_FOCUS</v>
      </c>
      <c r="H368" s="23" t="str">
        <f t="shared" ca="1" si="43"/>
        <v/>
      </c>
      <c r="I368" s="24" t="str">
        <f>IF(OR(E368="",E368="!!!",F368="NEW"),"",INDEX(B$2:B367,-1+SUMPRODUCT(MAX(ROW(E$2:E367)*(E368=E$2:E367)))))</f>
        <v>other_6</v>
      </c>
      <c r="J368" s="24">
        <f ca="1">IF(OR(E368="",E368="!!!",F368="NEW"),"",COUNTBLANK(OFFSET(A$1,,,SUMPRODUCT(MAX(ROW(E$2:E368)*(E368=E$2:E368)))))-COUNTBLANK(OFFSET(A$1,,,SUMPRODUCT(MAX(ROW(E$1:E367)*(E2=E$1:E367))))))</f>
        <v>0</v>
      </c>
      <c r="K368" s="24">
        <f ca="1">IF(OR(E368="",E368="!!!",F368="NEW"),"",INDEX(J$1:J367,SUMPRODUCT(MAX(ROW(E$1:E367)*(E368=E$1:E367)))))</f>
        <v>0</v>
      </c>
      <c r="L368" s="25"/>
    </row>
    <row r="369" spans="1:12" x14ac:dyDescent="0.3">
      <c r="A369" t="s">
        <v>332</v>
      </c>
      <c r="E369" s="20" t="str">
        <f t="shared" si="42"/>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43"/>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443</v>
      </c>
      <c r="E370" s="20" t="str">
        <f t="shared" si="42"/>
        <v/>
      </c>
      <c r="F370" s="21"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43"/>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290</v>
      </c>
      <c r="B371" s="26" t="s">
        <v>444</v>
      </c>
      <c r="C371" s="26" t="s">
        <v>269</v>
      </c>
      <c r="D371" s="26" t="s">
        <v>254</v>
      </c>
      <c r="E371" s="20" t="s">
        <v>703</v>
      </c>
      <c r="F371" s="21" t="str">
        <f>IF(OR(E371="",E371="!!!"),"",IF(NOT(ISNA(VLOOKUP(E371,E$1:E370,1,FALSE()))),"OLD",IF(AND(E371&lt;&gt;"",E371&lt;&gt;"!!!"),"NEW","")))</f>
        <v>OLD</v>
      </c>
      <c r="G371" s="22" t="str">
        <f ca="1">IF(OR(E371="",E371="!!!"),"",IF(OR(J371=0,AND(J371=1,K371=1),AND(J371=1,I371="SBJ"),AND(J371=1,I371=0)),"?IN_FOCUS",IF(J371&lt;=2,"?ACTIVATED",IF(J371&lt;&gt;"","?FAMILIAR",IF(F371="NEW",IF(ISNA(VLOOKUP(E371,#REF!,1,FALSE())),"?TYPE_IDENTIFIABLE","?REFERENTIAL"),"_")))))</f>
        <v>?IN_FOCUS</v>
      </c>
      <c r="H371" s="23" t="str">
        <f t="shared" ca="1" si="43"/>
        <v/>
      </c>
      <c r="I371" s="24" t="str">
        <f>IF(OR(E371="",E371="!!!",F371="NEW"),"",INDEX(B$2:B370,-1+SUMPRODUCT(MAX(ROW(E$2:E370)*(E371=E$2:E370)))))</f>
        <v>other_6</v>
      </c>
      <c r="J371" s="24">
        <f ca="1">IF(OR(E371="",E371="!!!",F371="NEW"),"",COUNTBLANK(OFFSET(A$1,,,SUMPRODUCT(MAX(ROW(E$2:E371)*(E371=E$2:E371)))))-COUNTBLANK(OFFSET(A$1,,,SUMPRODUCT(MAX(ROW(E$1:E370)*(E2=E$1:E370))))))</f>
        <v>0</v>
      </c>
      <c r="K371" s="24">
        <f ca="1">IF(OR(E371="",E371="!!!",F371="NEW"),"",INDEX(J$1:J370,SUMPRODUCT(MAX(ROW(E$1:E370)*(E371=E$1:E370)))))</f>
        <v>0</v>
      </c>
      <c r="L371" s="25"/>
    </row>
    <row r="372" spans="1:12" x14ac:dyDescent="0.3">
      <c r="A372" t="s">
        <v>342</v>
      </c>
      <c r="E372" s="20" t="str">
        <f t="shared" si="42"/>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43"/>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445</v>
      </c>
      <c r="B373" s="26" t="s">
        <v>446</v>
      </c>
      <c r="C373" s="26" t="s">
        <v>273</v>
      </c>
      <c r="D373" s="26" t="s">
        <v>254</v>
      </c>
      <c r="E373" s="20" t="s">
        <v>676</v>
      </c>
      <c r="F373" s="21" t="str">
        <f>IF(OR(E373="",E373="!!!"),"",IF(NOT(ISNA(VLOOKUP(E373,E$1:E372,1,FALSE()))),"OLD",IF(AND(E373&lt;&gt;"",E373&lt;&gt;"!!!"),"NEW","")))</f>
        <v>NEW</v>
      </c>
      <c r="G373" s="22" t="s">
        <v>713</v>
      </c>
      <c r="H373" s="23" t="str">
        <f t="shared" ca="1" si="43"/>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256</v>
      </c>
      <c r="E374" s="20" t="str">
        <f t="shared" si="42"/>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43"/>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231</v>
      </c>
      <c r="E375" s="20" t="str">
        <f t="shared" si="42"/>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43"/>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323</v>
      </c>
      <c r="B376" s="26" t="s">
        <v>419</v>
      </c>
      <c r="C376" s="26" t="s">
        <v>269</v>
      </c>
      <c r="D376" s="26" t="s">
        <v>254</v>
      </c>
      <c r="E376" s="20" t="s">
        <v>665</v>
      </c>
      <c r="F376" s="21" t="str">
        <f>IF(OR(E376="",E376="!!!"),"",IF(NOT(ISNA(VLOOKUP(E376,E$1:E375,1,FALSE()))),"OLD",IF(AND(E376&lt;&gt;"",E376&lt;&gt;"!!!"),"NEW","")))</f>
        <v>OLD</v>
      </c>
      <c r="G376" s="22" t="s">
        <v>683</v>
      </c>
      <c r="H376" s="23" t="s">
        <v>222</v>
      </c>
      <c r="I376" s="24" t="str">
        <f>IF(OR(E376="",E376="!!!",F376="NEW"),"",INDEX(B$2:B375,-1+SUMPRODUCT(MAX(ROW(E$2:E375)*(E376=E$2:E375)))))</f>
        <v>SBJ</v>
      </c>
      <c r="J376" s="24">
        <f ca="1">IF(OR(E376="",E376="!!!",F376="NEW"),"",COUNTBLANK(OFFSET(A$1,,,SUMPRODUCT(MAX(ROW(E$2:E376)*(E376=E$2:E376)))))-COUNTBLANK(OFFSET(A$1,,,SUMPRODUCT(MAX(ROW(E$1:E375)*(E2=E$1:E375))))))</f>
        <v>0</v>
      </c>
      <c r="K376" s="24">
        <f ca="1">IF(OR(E376="",E376="!!!",F376="NEW"),"",INDEX(J$1:J375,SUMPRODUCT(MAX(ROW(E$1:E375)*(E376=E$1:E375)))))</f>
        <v>0</v>
      </c>
      <c r="L376" s="25"/>
    </row>
    <row r="377" spans="1:12" x14ac:dyDescent="0.3">
      <c r="A377" t="s">
        <v>447</v>
      </c>
      <c r="E377" s="20" t="str">
        <f t="shared" si="42"/>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43"/>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265</v>
      </c>
      <c r="E378" s="20" t="str">
        <f t="shared" si="42"/>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43"/>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80" spans="1:12" x14ac:dyDescent="0.3">
      <c r="A380" t="s">
        <v>411</v>
      </c>
      <c r="E380" s="20" t="str">
        <f>IF(D380="?OLD","!!!","")</f>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ca="1">IF(J380&lt;&gt;1,"",IF(I380="SBJ","CB","?"))</f>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448</v>
      </c>
    </row>
    <row r="382" spans="1:12" x14ac:dyDescent="0.3">
      <c r="A382" t="s">
        <v>267</v>
      </c>
      <c r="E382" s="20" t="str">
        <f t="shared" ref="E382:E408" si="44">IF(D382="?OLD","!!!","")</f>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ref="H382:H408" ca="1" si="45">IF(J382&lt;&gt;1,"",IF(I382="SBJ","CB","?"))</f>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ht="28.8" x14ac:dyDescent="0.3">
      <c r="A383" t="s">
        <v>244</v>
      </c>
      <c r="B383" s="26" t="s">
        <v>234</v>
      </c>
      <c r="C383" s="26" t="s">
        <v>229</v>
      </c>
      <c r="E383" s="20" t="s">
        <v>658</v>
      </c>
      <c r="F383" s="21" t="str">
        <f>IF(OR(E383="",E383="!!!"),"",IF(NOT(ISNA(VLOOKUP(E383,E$1:E382,1,FALSE()))),"OLD",IF(AND(E383&lt;&gt;"",E383&lt;&gt;"!!!"),"NEW","")))</f>
        <v>OLD</v>
      </c>
      <c r="G383" s="22" t="s">
        <v>704</v>
      </c>
      <c r="H383" s="23" t="s">
        <v>222</v>
      </c>
      <c r="I383" s="24" t="str">
        <f>IF(OR(E383="",E383="!!!",F383="NEW"),"",INDEX(B$2:B382,-1+SUMPRODUCT(MAX(ROW(E$2:E382)*(E383=E$2:E382)))))</f>
        <v>other_5</v>
      </c>
      <c r="J383" s="24">
        <f ca="1">IF(OR(E383="",E383="!!!",F383="NEW"),"",COUNTBLANK(OFFSET(A$1,,,SUMPRODUCT(MAX(ROW(E$2:E383)*(E383=E$2:E383)))))-COUNTBLANK(OFFSET(A$1,,,SUMPRODUCT(MAX(ROW(E$1:E382)*(E2=E$1:E382))))))</f>
        <v>0</v>
      </c>
      <c r="K383" s="24">
        <f ca="1">IF(OR(E383="",E383="!!!",F383="NEW"),"",INDEX(J$1:J382,SUMPRODUCT(MAX(ROW(E$1:E382)*(E383=E$1:E382)))))</f>
        <v>0</v>
      </c>
      <c r="L383" s="25" t="s">
        <v>727</v>
      </c>
    </row>
    <row r="384" spans="1:12" x14ac:dyDescent="0.3">
      <c r="A384" t="s">
        <v>106</v>
      </c>
      <c r="E384" s="20" t="str">
        <f t="shared" si="44"/>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45"/>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256</v>
      </c>
      <c r="E385" s="20" t="str">
        <f t="shared" si="44"/>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45"/>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228</v>
      </c>
      <c r="E386" s="20" t="str">
        <f t="shared" si="44"/>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45"/>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449</v>
      </c>
      <c r="B387" s="26" t="s">
        <v>274</v>
      </c>
      <c r="C387" s="26" t="s">
        <v>229</v>
      </c>
      <c r="E387" s="20" t="str">
        <f t="shared" si="44"/>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45"/>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275</v>
      </c>
      <c r="E388" s="20" t="str">
        <f t="shared" si="44"/>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45"/>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271</v>
      </c>
      <c r="E389" s="20" t="str">
        <f t="shared" si="44"/>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45"/>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293</v>
      </c>
      <c r="E390" s="20" t="str">
        <f t="shared" si="44"/>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45"/>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450</v>
      </c>
      <c r="B391" s="26" t="s">
        <v>228</v>
      </c>
      <c r="C391" s="26" t="s">
        <v>310</v>
      </c>
      <c r="D391" s="26" t="s">
        <v>254</v>
      </c>
      <c r="E391" s="20"/>
      <c r="F391" s="21" t="s">
        <v>685</v>
      </c>
      <c r="G391" s="22"/>
      <c r="H391" s="23" t="str">
        <f t="shared" ca="1" si="45"/>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230</v>
      </c>
      <c r="E392" s="20" t="str">
        <f t="shared" si="44"/>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45"/>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231</v>
      </c>
      <c r="E393" s="20" t="str">
        <f t="shared" si="44"/>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45"/>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451</v>
      </c>
      <c r="E394" s="20" t="str">
        <f t="shared" si="44"/>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45"/>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244</v>
      </c>
      <c r="B395" s="26" t="s">
        <v>234</v>
      </c>
      <c r="C395" s="26" t="s">
        <v>229</v>
      </c>
      <c r="E395" s="20" t="s">
        <v>658</v>
      </c>
      <c r="F395" s="21" t="str">
        <f>IF(OR(E395="",E395="!!!"),"",IF(NOT(ISNA(VLOOKUP(E395,E$1:E394,1,FALSE()))),"OLD",IF(AND(E395&lt;&gt;"",E395&lt;&gt;"!!!"),"NEW","")))</f>
        <v>OLD</v>
      </c>
      <c r="G395" s="22" t="s">
        <v>704</v>
      </c>
      <c r="H395" s="23" t="str">
        <f t="shared" ca="1" si="45"/>
        <v/>
      </c>
      <c r="I395" s="24" t="str">
        <f>IF(OR(E395="",E395="!!!",F395="NEW"),"",INDEX(B$2:B394,-1+SUMPRODUCT(MAX(ROW(E$2:E394)*(E395=E$2:E394)))))</f>
        <v>SBJ_2</v>
      </c>
      <c r="J395" s="24">
        <f ca="1">IF(OR(E395="",E395="!!!",F395="NEW"),"",COUNTBLANK(OFFSET(A$1,,,SUMPRODUCT(MAX(ROW(E$2:E395)*(E395=E$2:E395)))))-COUNTBLANK(OFFSET(A$1,,,SUMPRODUCT(MAX(ROW(E$1:E394)*(E2=E$1:E394))))))</f>
        <v>0</v>
      </c>
      <c r="K395" s="24">
        <f ca="1">IF(OR(E395="",E395="!!!",F395="NEW"),"",INDEX(J$1:J394,SUMPRODUCT(MAX(ROW(E$1:E394)*(E395=E$1:E394)))))</f>
        <v>0</v>
      </c>
      <c r="L395" s="25"/>
    </row>
    <row r="396" spans="1:12" x14ac:dyDescent="0.3">
      <c r="A396" t="s">
        <v>452</v>
      </c>
      <c r="E396" s="20" t="str">
        <f t="shared" si="44"/>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45"/>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453</v>
      </c>
      <c r="E397" s="20" t="str">
        <f t="shared" si="44"/>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45"/>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454</v>
      </c>
      <c r="E398" s="20" t="str">
        <f t="shared" si="44"/>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45"/>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256</v>
      </c>
      <c r="E399" s="20" t="str">
        <f t="shared" si="44"/>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45"/>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429</v>
      </c>
      <c r="E400" s="20" t="str">
        <f t="shared" si="44"/>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45"/>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268</v>
      </c>
      <c r="B401" s="26" t="s">
        <v>257</v>
      </c>
      <c r="C401" s="26" t="s">
        <v>269</v>
      </c>
      <c r="D401" s="26" t="s">
        <v>254</v>
      </c>
      <c r="E401" s="20" t="s">
        <v>658</v>
      </c>
      <c r="F401" s="21" t="str">
        <f>IF(OR(E401="",E401="!!!"),"",IF(NOT(ISNA(VLOOKUP(E401,E$1:E400,1,FALSE()))),"OLD",IF(AND(E401&lt;&gt;"",E401&lt;&gt;"!!!"),"NEW","")))</f>
        <v>OLD</v>
      </c>
      <c r="G401" s="22" t="str">
        <f ca="1">IF(OR(E401="",E401="!!!"),"",IF(OR(J401=0,AND(J401=1,K401=1),AND(J401=1,I401="SBJ"),AND(J401=1,I401=0)),"?IN_FOCUS",IF(J401&lt;=2,"?ACTIVATED",IF(J401&lt;&gt;"","?FAMILIAR",IF(F401="NEW",IF(ISNA(VLOOKUP(E401,#REF!,1,FALSE())),"?TYPE_IDENTIFIABLE","?REFERENTIAL"),"_")))))</f>
        <v>?IN_FOCUS</v>
      </c>
      <c r="H401" s="23" t="str">
        <f t="shared" ca="1" si="45"/>
        <v/>
      </c>
      <c r="I401" s="24" t="str">
        <f>IF(OR(E401="",E401="!!!",F401="NEW"),"",INDEX(B$2:B400,-1+SUMPRODUCT(MAX(ROW(E$2:E400)*(E401=E$2:E400)))))</f>
        <v>SBJ_2</v>
      </c>
      <c r="J401" s="24">
        <f ca="1">IF(OR(E401="",E401="!!!",F401="NEW"),"",COUNTBLANK(OFFSET(A$1,,,SUMPRODUCT(MAX(ROW(E$2:E401)*(E401=E$2:E401)))))-COUNTBLANK(OFFSET(A$1,,,SUMPRODUCT(MAX(ROW(E$1:E400)*(E2=E$1:E400))))))</f>
        <v>0</v>
      </c>
      <c r="K401" s="24">
        <f ca="1">IF(OR(E401="",E401="!!!",F401="NEW"),"",INDEX(J$1:J400,SUMPRODUCT(MAX(ROW(E$1:E400)*(E401=E$1:E400)))))</f>
        <v>0</v>
      </c>
      <c r="L401" s="25"/>
    </row>
    <row r="402" spans="1:12" x14ac:dyDescent="0.3">
      <c r="A402" t="s">
        <v>140</v>
      </c>
      <c r="E402" s="20" t="str">
        <f t="shared" si="44"/>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45"/>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401</v>
      </c>
      <c r="E403" s="20" t="str">
        <f t="shared" si="44"/>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45"/>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228</v>
      </c>
      <c r="E404" s="20" t="str">
        <f t="shared" si="44"/>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45"/>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423</v>
      </c>
      <c r="B405" s="26" t="s">
        <v>384</v>
      </c>
      <c r="C405" s="26" t="s">
        <v>282</v>
      </c>
      <c r="E405" s="20" t="str">
        <f t="shared" si="44"/>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45"/>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455</v>
      </c>
      <c r="E406" s="20" t="str">
        <f t="shared" si="44"/>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45"/>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231</v>
      </c>
      <c r="E407" s="20" t="str">
        <f t="shared" si="44"/>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45"/>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265</v>
      </c>
      <c r="E408" s="20" t="str">
        <f t="shared" si="44"/>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45"/>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10" spans="1:12" x14ac:dyDescent="0.3">
      <c r="A410" t="s">
        <v>456</v>
      </c>
    </row>
    <row r="411" spans="1:12" x14ac:dyDescent="0.3">
      <c r="A411" t="s">
        <v>457</v>
      </c>
      <c r="E411" s="20" t="str">
        <f t="shared" ref="E411:E431" si="46">IF(D411="?OLD","!!!","")</f>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ref="H411:H431" ca="1" si="47">IF(J411&lt;&gt;1,"",IF(I411="SBJ","CB","?"))</f>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251</v>
      </c>
      <c r="B412" s="26" t="s">
        <v>241</v>
      </c>
      <c r="C412" s="26" t="s">
        <v>253</v>
      </c>
      <c r="D412" s="26" t="s">
        <v>254</v>
      </c>
      <c r="E412" s="20" t="s">
        <v>658</v>
      </c>
      <c r="F412" s="21" t="str">
        <f>IF(OR(E412="",E412="!!!"),"",IF(NOT(ISNA(VLOOKUP(E412,E$1:E411,1,FALSE()))),"OLD",IF(AND(E412&lt;&gt;"",E412&lt;&gt;"!!!"),"NEW","")))</f>
        <v>OLD</v>
      </c>
      <c r="G412" s="22" t="str">
        <f ca="1">IF(OR(E412="",E412="!!!"),"",IF(OR(J412=0,AND(J412=1,K412=1),AND(J412=1,I412="SBJ"),AND(J412=1,I412=0)),"?IN_FOCUS",IF(J412&lt;=2,"?ACTIVATED",IF(J412&lt;&gt;"","?FAMILIAR",IF(F412="NEW",IF(ISNA(VLOOKUP(E412,#REF!,1,FALSE())),"?TYPE_IDENTIFIABLE","?REFERENTIAL"),"_")))))</f>
        <v>?IN_FOCUS</v>
      </c>
      <c r="H412" s="23" t="str">
        <f t="shared" ca="1" si="47"/>
        <v/>
      </c>
      <c r="I412" s="24" t="str">
        <f>IF(OR(E412="",E412="!!!",F412="NEW"),"",INDEX(B$2:B411,-1+SUMPRODUCT(MAX(ROW(E$2:E411)*(E412=E$2:E411)))))</f>
        <v>SBJ_3</v>
      </c>
      <c r="J412" s="24">
        <f ca="1">IF(OR(E412="",E412="!!!",F412="NEW"),"",COUNTBLANK(OFFSET(A$1,,,SUMPRODUCT(MAX(ROW(E$2:E412)*(E412=E$2:E412)))))-COUNTBLANK(OFFSET(A$1,,,SUMPRODUCT(MAX(ROW(E$1:E411)*(E2=E$1:E411))))))</f>
        <v>0</v>
      </c>
      <c r="K412" s="24">
        <f ca="1">IF(OR(E412="",E412="!!!",F412="NEW"),"",INDEX(J$1:J411,SUMPRODUCT(MAX(ROW(E$1:E411)*(E412=E$1:E411)))))</f>
        <v>0</v>
      </c>
      <c r="L412" s="25"/>
    </row>
    <row r="413" spans="1:12" x14ac:dyDescent="0.3">
      <c r="A413" t="s">
        <v>458</v>
      </c>
      <c r="E413" s="20" t="str">
        <f t="shared" si="46"/>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47"/>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459</v>
      </c>
      <c r="B414" s="26" t="s">
        <v>228</v>
      </c>
      <c r="C414" s="26" t="s">
        <v>261</v>
      </c>
      <c r="D414" s="26" t="s">
        <v>254</v>
      </c>
      <c r="E414" s="20" t="s">
        <v>726</v>
      </c>
      <c r="F414" s="21" t="str">
        <f>IF(OR(E414="",E414="!!!"),"",IF(NOT(ISNA(VLOOKUP(E414,E$1:E413,1,FALSE()))),"OLD",IF(AND(E414&lt;&gt;"",E414&lt;&gt;"!!!"),"NEW","")))</f>
        <v>NEW</v>
      </c>
      <c r="G414" s="22" t="str">
        <f ca="1">IF(OR(E414="",E414="!!!"),"",IF(OR(J414=0,AND(J414=1,K414=1),AND(J414=1,I414="SBJ"),AND(J414=1,I414=0)),"?IN_FOCUS",IF(J414&lt;=2,"?ACTIVATED",IF(J414&lt;&gt;"","?FAMILIAR",IF(F414="NEW",IF(ISNA(VLOOKUP(E414,#REF!,1,FALSE())),"?TYPE_IDENTIFIABLE","?REFERENTIAL"),"_")))))</f>
        <v>?REFERENTIAL</v>
      </c>
      <c r="H414" s="23" t="str">
        <f t="shared" ca="1" si="47"/>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256</v>
      </c>
      <c r="E415" s="20" t="str">
        <f t="shared" si="46"/>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47"/>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268</v>
      </c>
      <c r="B416" s="26" t="s">
        <v>274</v>
      </c>
      <c r="C416" s="26" t="s">
        <v>269</v>
      </c>
      <c r="D416" s="26" t="s">
        <v>254</v>
      </c>
      <c r="E416" s="20" t="s">
        <v>658</v>
      </c>
      <c r="F416" s="21" t="str">
        <f>IF(OR(E416="",E416="!!!"),"",IF(NOT(ISNA(VLOOKUP(E416,E$1:E415,1,FALSE()))),"OLD",IF(AND(E416&lt;&gt;"",E416&lt;&gt;"!!!"),"NEW","")))</f>
        <v>OLD</v>
      </c>
      <c r="G416" s="22" t="str">
        <f ca="1">IF(OR(E416="",E416="!!!"),"",IF(OR(J416=0,AND(J416=1,K416=1),AND(J416=1,I416="SBJ"),AND(J416=1,I416=0)),"?IN_FOCUS",IF(J416&lt;=2,"?ACTIVATED",IF(J416&lt;&gt;"","?FAMILIAR",IF(F416="NEW",IF(ISNA(VLOOKUP(E416,#REF!,1,FALSE())),"?TYPE_IDENTIFIABLE","?REFERENTIAL"),"_")))))</f>
        <v>?IN_FOCUS</v>
      </c>
      <c r="H416" s="23" t="s">
        <v>222</v>
      </c>
      <c r="I416" s="24" t="str">
        <f>IF(OR(E416="",E416="!!!",F416="NEW"),"",INDEX(B$2:B415,-1+SUMPRODUCT(MAX(ROW(E$2:E415)*(E416=E$2:E415)))))</f>
        <v>other_2</v>
      </c>
      <c r="J416" s="24">
        <f ca="1">IF(OR(E416="",E416="!!!",F416="NEW"),"",COUNTBLANK(OFFSET(A$1,,,SUMPRODUCT(MAX(ROW(E$2:E416)*(E416=E$2:E416)))))-COUNTBLANK(OFFSET(A$1,,,SUMPRODUCT(MAX(ROW(E$1:E415)*(E2=E$1:E415))))))</f>
        <v>0</v>
      </c>
      <c r="K416" s="24">
        <f ca="1">IF(OR(E416="",E416="!!!",F416="NEW"),"",INDEX(J$1:J415,SUMPRODUCT(MAX(ROW(E$1:E415)*(E416=E$1:E415)))))</f>
        <v>0</v>
      </c>
      <c r="L416" s="25"/>
    </row>
    <row r="417" spans="1:12" x14ac:dyDescent="0.3">
      <c r="A417" t="s">
        <v>460</v>
      </c>
      <c r="E417" s="20" t="str">
        <f t="shared" si="46"/>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47"/>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239</v>
      </c>
      <c r="E418" s="20" t="str">
        <f t="shared" si="46"/>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47"/>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240</v>
      </c>
      <c r="B419" s="26" t="s">
        <v>292</v>
      </c>
      <c r="C419" s="26" t="s">
        <v>229</v>
      </c>
      <c r="E419" s="20" t="s">
        <v>674</v>
      </c>
      <c r="F419" s="21" t="str">
        <f>IF(OR(E419="",E419="!!!"),"",IF(NOT(ISNA(VLOOKUP(E419,E$1:E418,1,FALSE()))),"OLD",IF(AND(E419&lt;&gt;"",E419&lt;&gt;"!!!"),"NEW","")))</f>
        <v>OLD</v>
      </c>
      <c r="G419" s="22" t="s">
        <v>713</v>
      </c>
      <c r="H419" s="23" t="str">
        <f t="shared" ca="1" si="47"/>
        <v/>
      </c>
      <c r="I419" s="24" t="str">
        <f>IF(OR(E419="",E419="!!!",F419="NEW"),"",INDEX(B$2:B418,-1+SUMPRODUCT(MAX(ROW(E$2:E418)*(E419=E$2:E418)))))</f>
        <v>other_4</v>
      </c>
      <c r="J419" s="24">
        <f ca="1">IF(OR(E419="",E419="!!!",F419="NEW"),"",COUNTBLANK(OFFSET(A$1,,,SUMPRODUCT(MAX(ROW(E$2:E419)*(E419=E$2:E419)))))-COUNTBLANK(OFFSET(A$1,,,SUMPRODUCT(MAX(ROW(E$1:E418)*(E2=E$1:E418))))))</f>
        <v>0</v>
      </c>
      <c r="K419" s="24">
        <f ca="1">IF(OR(E419="",E419="!!!",F419="NEW"),"",INDEX(J$1:J418,SUMPRODUCT(MAX(ROW(E$1:E418)*(E419=E$1:E418)))))</f>
        <v>0</v>
      </c>
      <c r="L419" s="25"/>
    </row>
    <row r="420" spans="1:12" x14ac:dyDescent="0.3">
      <c r="A420" t="s">
        <v>256</v>
      </c>
      <c r="E420" s="20" t="str">
        <f t="shared" si="46"/>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47"/>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461</v>
      </c>
      <c r="E421" s="20" t="str">
        <f t="shared" si="46"/>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47"/>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462</v>
      </c>
      <c r="B422" s="26" t="s">
        <v>228</v>
      </c>
      <c r="C422" s="26" t="s">
        <v>229</v>
      </c>
      <c r="E422" s="20" t="s">
        <v>677</v>
      </c>
      <c r="F422" s="21" t="str">
        <f>IF(OR(E422="",E422="!!!"),"",IF(NOT(ISNA(VLOOKUP(E422,E$1:E421,1,FALSE()))),"OLD",IF(AND(E422&lt;&gt;"",E422&lt;&gt;"!!!"),"NEW","")))</f>
        <v>NEW</v>
      </c>
      <c r="G422" s="22" t="s">
        <v>707</v>
      </c>
      <c r="H422" s="23" t="str">
        <f t="shared" ca="1" si="47"/>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256</v>
      </c>
      <c r="E423" s="20" t="str">
        <f t="shared" si="46"/>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7"/>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463</v>
      </c>
      <c r="E424" s="20" t="str">
        <f t="shared" si="46"/>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7"/>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464</v>
      </c>
      <c r="B425" s="26" t="s">
        <v>241</v>
      </c>
      <c r="C425" s="26" t="s">
        <v>229</v>
      </c>
      <c r="E425" s="20" t="s">
        <v>678</v>
      </c>
      <c r="F425" s="21" t="str">
        <f>IF(OR(E425="",E425="!!!"),"",IF(NOT(ISNA(VLOOKUP(E425,E$1:E424,1,FALSE()))),"OLD",IF(AND(E425&lt;&gt;"",E425&lt;&gt;"!!!"),"NEW","")))</f>
        <v>NEW</v>
      </c>
      <c r="G425" s="22" t="s">
        <v>707</v>
      </c>
      <c r="H425" s="23" t="str">
        <f t="shared" ca="1" si="47"/>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256</v>
      </c>
      <c r="E426" s="20" t="str">
        <f t="shared" si="46"/>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7"/>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465</v>
      </c>
      <c r="B427" s="26" t="s">
        <v>241</v>
      </c>
      <c r="C427" s="26" t="s">
        <v>229</v>
      </c>
      <c r="E427" s="20" t="s">
        <v>679</v>
      </c>
      <c r="F427" s="21" t="str">
        <f>IF(OR(E427="",E427="!!!"),"",IF(NOT(ISNA(VLOOKUP(E427,E$1:E426,1,FALSE()))),"OLD",IF(AND(E427&lt;&gt;"",E427&lt;&gt;"!!!"),"NEW","")))</f>
        <v>NEW</v>
      </c>
      <c r="G427" s="22" t="s">
        <v>707</v>
      </c>
      <c r="H427" s="23" t="str">
        <f t="shared" ca="1" si="47"/>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435</v>
      </c>
      <c r="E428" s="20" t="str">
        <f t="shared" si="46"/>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7"/>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461</v>
      </c>
      <c r="E429" s="20" t="str">
        <f t="shared" si="46"/>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7"/>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466</v>
      </c>
      <c r="B430" s="26" t="s">
        <v>241</v>
      </c>
      <c r="C430" s="26" t="s">
        <v>229</v>
      </c>
      <c r="E430" s="20" t="s">
        <v>680</v>
      </c>
      <c r="F430" s="21" t="str">
        <f>IF(OR(E430="",E430="!!!"),"",IF(NOT(ISNA(VLOOKUP(E430,E$1:E429,1,FALSE()))),"OLD",IF(AND(E430&lt;&gt;"",E430&lt;&gt;"!!!"),"NEW","")))</f>
        <v>NEW</v>
      </c>
      <c r="G430" s="22" t="s">
        <v>707</v>
      </c>
      <c r="H430" s="23" t="str">
        <f t="shared" ca="1" si="47"/>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5"/>
    </row>
    <row r="431" spans="1:12" x14ac:dyDescent="0.3">
      <c r="A431" t="s">
        <v>265</v>
      </c>
      <c r="E431" s="20" t="str">
        <f t="shared" si="46"/>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47"/>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3" spans="1:12" x14ac:dyDescent="0.3">
      <c r="A433" t="s">
        <v>467</v>
      </c>
    </row>
    <row r="434" spans="1:12" x14ac:dyDescent="0.3">
      <c r="A434" t="s">
        <v>468</v>
      </c>
      <c r="B434" s="26" t="s">
        <v>274</v>
      </c>
      <c r="C434" s="26" t="s">
        <v>469</v>
      </c>
      <c r="D434" s="26" t="s">
        <v>254</v>
      </c>
      <c r="E434" s="20" t="s">
        <v>682</v>
      </c>
      <c r="F434" s="21" t="s">
        <v>681</v>
      </c>
      <c r="G434" s="22" t="s">
        <v>683</v>
      </c>
      <c r="H434" s="23" t="s">
        <v>222</v>
      </c>
      <c r="I434" s="24" t="e">
        <f>IF(OR(E434="",E434="!!!",F434="NEW"),"",INDEX(B$2:B433,-1+SUMPRODUCT(MAX(ROW(E$2:E433)*(E434=E$2:E433)))))</f>
        <v>#VALUE!</v>
      </c>
      <c r="J434" s="24">
        <f ca="1">IF(OR(E434="",E434="!!!",F434="NEW"),"",COUNTBLANK(OFFSET(A$1,,,SUMPRODUCT(MAX(ROW(E$2:E434)*(E434=E$2:E434)))))-COUNTBLANK(OFFSET(A$1,,,SUMPRODUCT(MAX(ROW(E$1:E433)*(E2=E$1:E433))))))</f>
        <v>0</v>
      </c>
      <c r="K434" s="24" t="e">
        <f>IF(OR(E434="",E434="!!!",F434="NEW"),"",INDEX(J$1:J433,SUMPRODUCT(MAX(ROW(E$1:E433)*(E434=E$1:E433)))))</f>
        <v>#VALUE!</v>
      </c>
      <c r="L434" s="25"/>
    </row>
    <row r="435" spans="1:12" x14ac:dyDescent="0.3">
      <c r="A435" t="s">
        <v>470</v>
      </c>
      <c r="E435" s="20" t="str">
        <f>IF(D435="?OLD","!!!","")</f>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ca="1">IF(J435&lt;&gt;1,"",IF(I435="SBJ","CB","?"))</f>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290</v>
      </c>
      <c r="B436" s="26" t="s">
        <v>292</v>
      </c>
      <c r="C436" s="26" t="s">
        <v>269</v>
      </c>
      <c r="D436" s="26" t="s">
        <v>254</v>
      </c>
      <c r="E436" s="20" t="s">
        <v>658</v>
      </c>
      <c r="F436" s="21" t="str">
        <f>IF(OR(E436="",E436="!!!"),"",IF(NOT(ISNA(VLOOKUP(E436,E$1:E435,1,FALSE()))),"OLD",IF(AND(E436&lt;&gt;"",E436&lt;&gt;"!!!"),"NEW","")))</f>
        <v>OLD</v>
      </c>
      <c r="G436" s="22" t="str">
        <f ca="1">IF(OR(E436="",E436="!!!"),"",IF(OR(J436=0,AND(J436=1,K436=1),AND(J436=1,I436="SBJ"),AND(J436=1,I436=0)),"?IN_FOCUS",IF(J436&lt;=2,"?ACTIVATED",IF(J436&lt;&gt;"","?FAMILIAR",IF(F436="NEW",IF(ISNA(VLOOKUP(E436,#REF!,1,FALSE())),"?TYPE_IDENTIFIABLE","?REFERENTIAL"),"_")))))</f>
        <v>?IN_FOCUS</v>
      </c>
      <c r="H436" s="23" t="str">
        <f ca="1">IF(J436&lt;&gt;1,"",IF(I436="SBJ","CB","?"))</f>
        <v/>
      </c>
      <c r="I436" s="24" t="str">
        <f>IF(OR(E436="",E436="!!!",F436="NEW"),"",INDEX(B$2:B435,-1+SUMPRODUCT(MAX(ROW(E$2:E435)*(E436=E$2:E435)))))</f>
        <v>SBJ</v>
      </c>
      <c r="J436" s="24">
        <f ca="1">IF(OR(E436="",E436="!!!",F436="NEW"),"",COUNTBLANK(OFFSET(A$1,,,SUMPRODUCT(MAX(ROW(E$2:E436)*(E436=E$2:E436)))))-COUNTBLANK(OFFSET(A$1,,,SUMPRODUCT(MAX(ROW(E$1:E435)*(E2=E$1:E435))))))</f>
        <v>0</v>
      </c>
      <c r="K436" s="24">
        <f ca="1">IF(OR(E436="",E436="!!!",F436="NEW"),"",INDEX(J$1:J435,SUMPRODUCT(MAX(ROW(E$1:E435)*(E436=E$1:E435)))))</f>
        <v>0</v>
      </c>
      <c r="L436" s="25"/>
    </row>
    <row r="437" spans="1:12" x14ac:dyDescent="0.3">
      <c r="A437" t="s">
        <v>471</v>
      </c>
      <c r="E437" s="20" t="str">
        <f>IF(D437="?OLD","!!!","")</f>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ca="1">IF(J437&lt;&gt;1,"",IF(I437="SBJ","CB","?"))</f>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265</v>
      </c>
      <c r="E438" s="20" t="str">
        <f>IF(D438="?OLD","!!!","")</f>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ca="1">IF(J438&lt;&gt;1,"",IF(I438="SBJ","CB","?"))</f>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40" spans="1:12" x14ac:dyDescent="0.3">
      <c r="A440" t="s">
        <v>472</v>
      </c>
    </row>
    <row r="441" spans="1:12" x14ac:dyDescent="0.3">
      <c r="A441" t="s">
        <v>473</v>
      </c>
      <c r="E441" s="20" t="str">
        <f t="shared" ref="E441:E451" si="48">IF(D441="?OLD","!!!","")</f>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ref="H441:H451" ca="1" si="49">IF(J441&lt;&gt;1,"",IF(I441="SBJ","CB","?"))</f>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474</v>
      </c>
      <c r="B442" s="26" t="s">
        <v>274</v>
      </c>
      <c r="C442" s="26" t="s">
        <v>269</v>
      </c>
      <c r="D442" s="26" t="s">
        <v>254</v>
      </c>
      <c r="E442" s="20" t="s">
        <v>684</v>
      </c>
      <c r="F442" s="21" t="s">
        <v>689</v>
      </c>
      <c r="G442" s="22" t="s">
        <v>683</v>
      </c>
      <c r="H442" s="23" t="s">
        <v>222</v>
      </c>
      <c r="I442" s="24" t="e">
        <f>IF(OR(E442="",E442="!!!",F442="NEW"),"",INDEX(B$2:B441,-1+SUMPRODUCT(MAX(ROW(E$2:E441)*(E442=E$2:E441)))))</f>
        <v>#VALUE!</v>
      </c>
      <c r="J442" s="24">
        <f ca="1">IF(OR(E442="",E442="!!!",F442="NEW"),"",COUNTBLANK(OFFSET(A$1,,,SUMPRODUCT(MAX(ROW(E$2:E442)*(E442=E$2:E442)))))-COUNTBLANK(OFFSET(A$1,,,SUMPRODUCT(MAX(ROW(E$1:E441)*(E2=E$1:E441))))))</f>
        <v>0</v>
      </c>
      <c r="K442" s="24" t="e">
        <f>IF(OR(E442="",E442="!!!",F442="NEW"),"",INDEX(J$1:J441,SUMPRODUCT(MAX(ROW(E$1:E441)*(E442=E$1:E441)))))</f>
        <v>#VALUE!</v>
      </c>
      <c r="L442" s="25"/>
    </row>
    <row r="443" spans="1:12" x14ac:dyDescent="0.3">
      <c r="A443" t="s">
        <v>475</v>
      </c>
      <c r="E443" s="20" t="str">
        <f t="shared" si="48"/>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49"/>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404</v>
      </c>
      <c r="E444" s="20" t="str">
        <f t="shared" si="48"/>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49"/>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476</v>
      </c>
      <c r="E445" s="20" t="str">
        <f t="shared" si="48"/>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49"/>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268</v>
      </c>
      <c r="B446" s="26" t="s">
        <v>234</v>
      </c>
      <c r="C446" s="26" t="s">
        <v>269</v>
      </c>
      <c r="D446" s="26" t="s">
        <v>254</v>
      </c>
      <c r="E446" s="20" t="s">
        <v>658</v>
      </c>
      <c r="F446" s="21" t="str">
        <f>IF(OR(E446="",E446="!!!"),"",IF(NOT(ISNA(VLOOKUP(E446,E$1:E445,1,FALSE()))),"OLD",IF(AND(E446&lt;&gt;"",E446&lt;&gt;"!!!"),"NEW","")))</f>
        <v>OLD</v>
      </c>
      <c r="G446" s="22" t="s">
        <v>713</v>
      </c>
      <c r="H446" s="23" t="str">
        <f t="shared" ca="1" si="49"/>
        <v/>
      </c>
      <c r="I446" s="24" t="str">
        <f>IF(OR(E446="",E446="!!!",F446="NEW"),"",INDEX(B$2:B445,-1+SUMPRODUCT(MAX(ROW(E$2:E445)*(E446=E$2:E445)))))</f>
        <v>OBJ</v>
      </c>
      <c r="J446" s="24">
        <f ca="1">IF(OR(E446="",E446="!!!",F446="NEW"),"",COUNTBLANK(OFFSET(A$1,,,SUMPRODUCT(MAX(ROW(E$2:E446)*(E446=E$2:E446)))))-COUNTBLANK(OFFSET(A$1,,,SUMPRODUCT(MAX(ROW(E$1:E445)*(E2=E$1:E445))))))</f>
        <v>0</v>
      </c>
      <c r="K446" s="24">
        <f ca="1">IF(OR(E446="",E446="!!!",F446="NEW"),"",INDEX(J$1:J445,SUMPRODUCT(MAX(ROW(E$1:E445)*(E446=E$1:E445)))))</f>
        <v>0</v>
      </c>
      <c r="L446" s="25"/>
    </row>
    <row r="447" spans="1:12" x14ac:dyDescent="0.3">
      <c r="A447" t="s">
        <v>477</v>
      </c>
      <c r="E447" s="20" t="str">
        <f t="shared" si="48"/>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49"/>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250</v>
      </c>
      <c r="E448" s="20" t="str">
        <f t="shared" si="48"/>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49"/>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293</v>
      </c>
      <c r="E449" s="20" t="str">
        <f t="shared" si="48"/>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49"/>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478</v>
      </c>
      <c r="B450" s="26" t="s">
        <v>228</v>
      </c>
      <c r="C450" s="26" t="s">
        <v>310</v>
      </c>
      <c r="D450" s="26" t="s">
        <v>254</v>
      </c>
      <c r="E450" s="20"/>
      <c r="F450" s="21" t="s">
        <v>685</v>
      </c>
      <c r="G450" s="22" t="str">
        <f>IF(OR(E450="",E450="!!!"),"",IF(OR(J450=0,AND(J450=1,K450=1),AND(J450=1,I450="SBJ"),AND(J450=1,I450=0)),"?IN_FOCUS",IF(J450&lt;=2,"?ACTIVATED",IF(J450&lt;&gt;"","?FAMILIAR",IF(F450="NEW",IF(ISNA(VLOOKUP(E450,#REF!,1,FALSE())),"?TYPE_IDENTIFIABLE","?REFERENTIAL"),"_")))))</f>
        <v/>
      </c>
      <c r="H450" s="23" t="str">
        <f t="shared" ca="1" si="49"/>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t="s">
        <v>686</v>
      </c>
    </row>
    <row r="451" spans="1:12" x14ac:dyDescent="0.3">
      <c r="A451" t="s">
        <v>265</v>
      </c>
      <c r="E451" s="20" t="str">
        <f t="shared" si="48"/>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49"/>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3" spans="1:12" x14ac:dyDescent="0.3">
      <c r="A453" t="s">
        <v>411</v>
      </c>
      <c r="E453" s="20" t="str">
        <f>IF(D453="?OLD","!!!","")</f>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ca="1">IF(J453&lt;&gt;1,"",IF(I453="SBJ","CB","?"))</f>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479</v>
      </c>
    </row>
    <row r="455" spans="1:12" x14ac:dyDescent="0.3">
      <c r="A455" t="s">
        <v>231</v>
      </c>
      <c r="E455" s="20" t="str">
        <f t="shared" ref="E455:E482" si="50">IF(D455="?OLD","!!!","")</f>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ref="H455:H482" ca="1" si="51">IF(J455&lt;&gt;1,"",IF(I455="SBJ","CB","?"))</f>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389</v>
      </c>
      <c r="E456" s="20" t="str">
        <f t="shared" si="50"/>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51"/>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258</v>
      </c>
      <c r="E457" s="20" t="str">
        <f t="shared" si="50"/>
        <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ca="1" si="51"/>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3">
      <c r="A458" t="s">
        <v>403</v>
      </c>
      <c r="E458" s="20" t="str">
        <f t="shared" si="50"/>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ca="1" si="51"/>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246</v>
      </c>
      <c r="E459" s="20" t="str">
        <f t="shared" si="50"/>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51"/>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480</v>
      </c>
      <c r="E460" s="20" t="str">
        <f t="shared" si="50"/>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51"/>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481</v>
      </c>
      <c r="B461" s="26" t="s">
        <v>228</v>
      </c>
      <c r="C461" s="26" t="s">
        <v>249</v>
      </c>
      <c r="E461" s="20" t="str">
        <f t="shared" si="50"/>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51"/>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417</v>
      </c>
      <c r="E462" s="20" t="str">
        <f t="shared" si="50"/>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51"/>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482</v>
      </c>
      <c r="B463" s="26" t="s">
        <v>257</v>
      </c>
      <c r="C463" s="26" t="s">
        <v>229</v>
      </c>
      <c r="E463" s="20" t="str">
        <f t="shared" si="50"/>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51"/>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483</v>
      </c>
      <c r="E464" s="20" t="str">
        <f t="shared" si="50"/>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51"/>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3">
      <c r="A465" t="s">
        <v>246</v>
      </c>
      <c r="E465" s="20" t="str">
        <f t="shared" si="50"/>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51"/>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3">
      <c r="A466" t="s">
        <v>239</v>
      </c>
      <c r="E466" s="20" t="str">
        <f t="shared" si="50"/>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51"/>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484</v>
      </c>
      <c r="B467" s="26" t="s">
        <v>375</v>
      </c>
      <c r="C467" s="26" t="s">
        <v>249</v>
      </c>
      <c r="E467" s="20" t="s">
        <v>680</v>
      </c>
      <c r="F467" s="21" t="str">
        <f>IF(OR(E467="",E467="!!!"),"",IF(NOT(ISNA(VLOOKUP(E467,E$1:E466,1,FALSE()))),"OLD",IF(AND(E467&lt;&gt;"",E467&lt;&gt;"!!!"),"NEW","")))</f>
        <v>OLD</v>
      </c>
      <c r="G467" s="22" t="s">
        <v>713</v>
      </c>
      <c r="H467" s="23" t="s">
        <v>222</v>
      </c>
      <c r="I467" s="24" t="str">
        <f>IF(OR(E467="",E467="!!!",F467="NEW"),"",INDEX(B$2:B466,-1+SUMPRODUCT(MAX(ROW(E$2:E466)*(E467=E$2:E466)))))</f>
        <v>other_2</v>
      </c>
      <c r="J467" s="24">
        <f ca="1">IF(OR(E467="",E467="!!!",F467="NEW"),"",COUNTBLANK(OFFSET(A$1,,,SUMPRODUCT(MAX(ROW(E$2:E467)*(E467=E$2:E467)))))-COUNTBLANK(OFFSET(A$1,,,SUMPRODUCT(MAX(ROW(E$1:E466)*(E2=E$1:E466))))))</f>
        <v>0</v>
      </c>
      <c r="K467" s="24" t="str">
        <f ca="1">IF(OR(E467="",E467="!!!",F467="NEW"),"",INDEX(J$1:J466,SUMPRODUCT(MAX(ROW(E$1:E466)*(E467=E$1:E466)))))</f>
        <v/>
      </c>
      <c r="L467" s="25"/>
    </row>
    <row r="468" spans="1:12" x14ac:dyDescent="0.3">
      <c r="A468" t="s">
        <v>271</v>
      </c>
      <c r="E468" s="20" t="str">
        <f t="shared" si="50"/>
        <v/>
      </c>
      <c r="F468" s="21" t="str">
        <f>IF(OR(E468="",E468="!!!"),"",IF(NOT(ISNA(VLOOKUP(E468,E$1:E467,1,FALSE()))),"OLD",IF(AND(E468&lt;&gt;"",E468&lt;&gt;"!!!"),"NEW","")))</f>
        <v/>
      </c>
      <c r="G468" s="22" t="str">
        <f>IF(OR(E468="",E468="!!!"),"",IF(OR(J468=0,AND(J468=1,K468=1),AND(J468=1,I468="SBJ"),AND(J468=1,I468=0)),"?IN_FOCUS",IF(J468&lt;=2,"?ACTIVATED",IF(J468&lt;&gt;"","?FAMILIAR",IF(F468="NEW",IF(ISNA(VLOOKUP(E468,#REF!,1,FALSE())),"?TYPE_IDENTIFIABLE","?REFERENTIAL"),"_")))))</f>
        <v/>
      </c>
      <c r="H468" s="23" t="str">
        <f t="shared" ca="1" si="51"/>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485</v>
      </c>
      <c r="B469" s="26" t="s">
        <v>252</v>
      </c>
      <c r="C469" s="26" t="s">
        <v>229</v>
      </c>
      <c r="E469" s="20" t="str">
        <f t="shared" si="50"/>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ca="1" si="51"/>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348</v>
      </c>
      <c r="E470" s="20" t="str">
        <f t="shared" si="50"/>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51"/>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246</v>
      </c>
      <c r="E471" s="20" t="str">
        <f t="shared" si="50"/>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51"/>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486</v>
      </c>
      <c r="B472" s="26" t="s">
        <v>384</v>
      </c>
      <c r="C472" s="26" t="s">
        <v>249</v>
      </c>
      <c r="E472" s="20" t="str">
        <f t="shared" si="50"/>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t="shared" ca="1" si="51"/>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3">
      <c r="A473" t="s">
        <v>262</v>
      </c>
      <c r="E473" s="20" t="str">
        <f t="shared" si="50"/>
        <v/>
      </c>
      <c r="F473" s="21" t="str">
        <f>IF(OR(E473="",E473="!!!"),"",IF(NOT(ISNA(VLOOKUP(E473,E$1:E472,1,FALSE()))),"OLD",IF(AND(E473&lt;&gt;"",E473&lt;&gt;"!!!"),"NEW","")))</f>
        <v/>
      </c>
      <c r="G473" s="22" t="str">
        <f>IF(OR(E473="",E473="!!!"),"",IF(OR(J473=0,AND(J473=1,K473=1),AND(J473=1,I473="SBJ"),AND(J473=1,I473=0)),"?IN_FOCUS",IF(J473&lt;=2,"?ACTIVATED",IF(J473&lt;&gt;"","?FAMILIAR",IF(F473="NEW",IF(ISNA(VLOOKUP(E473,#REF!,1,FALSE())),"?TYPE_IDENTIFIABLE","?REFERENTIAL"),"_")))))</f>
        <v/>
      </c>
      <c r="H473" s="23" t="str">
        <f t="shared" ca="1" si="51"/>
        <v/>
      </c>
      <c r="I473" s="24" t="str">
        <f>IF(OR(E473="",E473="!!!",F473="NEW"),"",INDEX(B$2:B472,-1+SUMPRODUCT(MAX(ROW(E$2:E472)*(E473=E$2:E472)))))</f>
        <v/>
      </c>
      <c r="J473" s="24" t="str">
        <f ca="1">IF(OR(E473="",E473="!!!",F473="NEW"),"",COUNTBLANK(OFFSET(A$1,,,SUMPRODUCT(MAX(ROW(E$2:E473)*(E473=E$2:E473)))))-COUNTBLANK(OFFSET(A$1,,,SUMPRODUCT(MAX(ROW(E$1:E472)*(E2=E$1:E472))))))</f>
        <v/>
      </c>
      <c r="K473" s="24" t="str">
        <f>IF(OR(E473="",E473="!!!",F473="NEW"),"",INDEX(J$1:J472,SUMPRODUCT(MAX(ROW(E$1:E472)*(E473=E$1:E472)))))</f>
        <v/>
      </c>
      <c r="L473" s="25"/>
    </row>
    <row r="474" spans="1:12" x14ac:dyDescent="0.3">
      <c r="A474" t="s">
        <v>487</v>
      </c>
      <c r="B474" s="26" t="s">
        <v>422</v>
      </c>
      <c r="C474" s="26" t="s">
        <v>229</v>
      </c>
      <c r="E474" s="20" t="str">
        <f t="shared" si="50"/>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51"/>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256</v>
      </c>
      <c r="E475" s="20" t="str">
        <f t="shared" si="50"/>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51"/>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3">
      <c r="A476" t="s">
        <v>348</v>
      </c>
      <c r="E476" s="20" t="str">
        <f t="shared" si="50"/>
        <v/>
      </c>
      <c r="F476" s="21" t="str">
        <f>IF(OR(E476="",E476="!!!"),"",IF(NOT(ISNA(VLOOKUP(E476,E$1:E475,1,FALSE()))),"OLD",IF(AND(E476&lt;&gt;"",E476&lt;&gt;"!!!"),"NEW","")))</f>
        <v/>
      </c>
      <c r="G476" s="22" t="str">
        <f>IF(OR(E476="",E476="!!!"),"",IF(OR(J476=0,AND(J476=1,K476=1),AND(J476=1,I476="SBJ"),AND(J476=1,I476=0)),"?IN_FOCUS",IF(J476&lt;=2,"?ACTIVATED",IF(J476&lt;&gt;"","?FAMILIAR",IF(F476="NEW",IF(ISNA(VLOOKUP(E476,#REF!,1,FALSE())),"?TYPE_IDENTIFIABLE","?REFERENTIAL"),"_")))))</f>
        <v/>
      </c>
      <c r="H476" s="23" t="str">
        <f t="shared" ca="1" si="51"/>
        <v/>
      </c>
      <c r="I476" s="24" t="str">
        <f>IF(OR(E476="",E476="!!!",F476="NEW"),"",INDEX(B$2:B475,-1+SUMPRODUCT(MAX(ROW(E$2:E475)*(E476=E$2:E475)))))</f>
        <v/>
      </c>
      <c r="J476" s="24" t="str">
        <f ca="1">IF(OR(E476="",E476="!!!",F476="NEW"),"",COUNTBLANK(OFFSET(A$1,,,SUMPRODUCT(MAX(ROW(E$2:E476)*(E476=E$2:E476)))))-COUNTBLANK(OFFSET(A$1,,,SUMPRODUCT(MAX(ROW(E$1:E475)*(E2=E$1:E475))))))</f>
        <v/>
      </c>
      <c r="K476" s="24" t="str">
        <f>IF(OR(E476="",E476="!!!",F476="NEW"),"",INDEX(J$1:J475,SUMPRODUCT(MAX(ROW(E$1:E475)*(E476=E$1:E475)))))</f>
        <v/>
      </c>
      <c r="L476" s="25"/>
    </row>
    <row r="477" spans="1:12" x14ac:dyDescent="0.3">
      <c r="A477" t="s">
        <v>488</v>
      </c>
      <c r="B477" s="26" t="s">
        <v>241</v>
      </c>
      <c r="C477" s="26" t="s">
        <v>229</v>
      </c>
      <c r="E477" s="20" t="str">
        <f t="shared" si="50"/>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51"/>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256</v>
      </c>
      <c r="E478" s="20" t="str">
        <f t="shared" si="50"/>
        <v/>
      </c>
      <c r="F478" s="21" t="str">
        <f>IF(OR(E478="",E478="!!!"),"",IF(NOT(ISNA(VLOOKUP(E478,E$1:E477,1,FALSE()))),"OLD",IF(AND(E478&lt;&gt;"",E478&lt;&gt;"!!!"),"NEW","")))</f>
        <v/>
      </c>
      <c r="G478" s="22" t="str">
        <f>IF(OR(E478="",E478="!!!"),"",IF(OR(J478=0,AND(J478=1,K478=1),AND(J478=1,I478="SBJ"),AND(J478=1,I478=0)),"?IN_FOCUS",IF(J478&lt;=2,"?ACTIVATED",IF(J478&lt;&gt;"","?FAMILIAR",IF(F478="NEW",IF(ISNA(VLOOKUP(E478,#REF!,1,FALSE())),"?TYPE_IDENTIFIABLE","?REFERENTIAL"),"_")))))</f>
        <v/>
      </c>
      <c r="H478" s="23" t="str">
        <f t="shared" ca="1" si="51"/>
        <v/>
      </c>
      <c r="I478" s="24" t="str">
        <f>IF(OR(E478="",E478="!!!",F478="NEW"),"",INDEX(B$2:B477,-1+SUMPRODUCT(MAX(ROW(E$2:E477)*(E478=E$2:E477)))))</f>
        <v/>
      </c>
      <c r="J478" s="24" t="str">
        <f ca="1">IF(OR(E478="",E478="!!!",F478="NEW"),"",COUNTBLANK(OFFSET(A$1,,,SUMPRODUCT(MAX(ROW(E$2:E478)*(E478=E$2:E478)))))-COUNTBLANK(OFFSET(A$1,,,SUMPRODUCT(MAX(ROW(E$1:E477)*(E2=E$1:E477))))))</f>
        <v/>
      </c>
      <c r="K478" s="24" t="str">
        <f>IF(OR(E478="",E478="!!!",F478="NEW"),"",INDEX(J$1:J477,SUMPRODUCT(MAX(ROW(E$1:E477)*(E478=E$1:E477)))))</f>
        <v/>
      </c>
      <c r="L478" s="25"/>
    </row>
    <row r="479" spans="1:12" x14ac:dyDescent="0.3">
      <c r="A479" t="s">
        <v>231</v>
      </c>
      <c r="E479" s="20" t="str">
        <f t="shared" si="50"/>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51"/>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489</v>
      </c>
      <c r="E480" s="20" t="str">
        <f t="shared" si="50"/>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51"/>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344</v>
      </c>
      <c r="B481" s="26" t="s">
        <v>234</v>
      </c>
      <c r="C481" s="26" t="s">
        <v>273</v>
      </c>
      <c r="D481" s="26" t="s">
        <v>254</v>
      </c>
      <c r="E481" s="20" t="s">
        <v>665</v>
      </c>
      <c r="F481" s="21" t="str">
        <f>IF(OR(E481="",E481="!!!"),"",IF(NOT(ISNA(VLOOKUP(E481,E$1:E480,1,FALSE()))),"OLD",IF(AND(E481&lt;&gt;"",E481&lt;&gt;"!!!"),"NEW","")))</f>
        <v>OLD</v>
      </c>
      <c r="G481" s="22" t="s">
        <v>708</v>
      </c>
      <c r="H481" s="23" t="str">
        <f t="shared" ca="1" si="51"/>
        <v/>
      </c>
      <c r="I481" s="24" t="str">
        <f>IF(OR(E481="",E481="!!!",F481="NEW"),"",INDEX(B$2:B480,-1+SUMPRODUCT(MAX(ROW(E$2:E480)*(E481=E$2:E480)))))</f>
        <v>SBJ_6</v>
      </c>
      <c r="J481" s="24">
        <f ca="1">IF(OR(E481="",E481="!!!",F481="NEW"),"",COUNTBLANK(OFFSET(A$1,,,SUMPRODUCT(MAX(ROW(E$2:E481)*(E481=E$2:E481)))))-COUNTBLANK(OFFSET(A$1,,,SUMPRODUCT(MAX(ROW(E$1:E480)*(E2=E$1:E480))))))</f>
        <v>0</v>
      </c>
      <c r="K481" s="24">
        <f ca="1">IF(OR(E481="",E481="!!!",F481="NEW"),"",INDEX(J$1:J480,SUMPRODUCT(MAX(ROW(E$1:E480)*(E481=E$1:E480)))))</f>
        <v>0</v>
      </c>
      <c r="L481" s="25"/>
    </row>
    <row r="482" spans="1:12" x14ac:dyDescent="0.3">
      <c r="A482" t="s">
        <v>265</v>
      </c>
      <c r="E482" s="20" t="str">
        <f t="shared" si="50"/>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51"/>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4" spans="1:12" x14ac:dyDescent="0.3">
      <c r="A484" t="s">
        <v>490</v>
      </c>
    </row>
    <row r="485" spans="1:12" x14ac:dyDescent="0.3">
      <c r="A485" t="s">
        <v>473</v>
      </c>
      <c r="E485" s="20" t="str">
        <f t="shared" ref="E485:E495" si="52">IF(D485="?OLD","!!!","")</f>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ref="H485:H495" ca="1" si="53">IF(J485&lt;&gt;1,"",IF(I485="SBJ","CB","?"))</f>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293</v>
      </c>
      <c r="E486" s="20" t="str">
        <f t="shared" si="52"/>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t="shared" ca="1" si="53"/>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3">
      <c r="A487" t="s">
        <v>17</v>
      </c>
      <c r="B487" s="26" t="s">
        <v>274</v>
      </c>
      <c r="C487" s="26" t="s">
        <v>310</v>
      </c>
      <c r="D487" s="26" t="s">
        <v>254</v>
      </c>
      <c r="E487" s="20" t="s">
        <v>658</v>
      </c>
      <c r="F487" s="21" t="str">
        <f>IF(OR(E487="",E487="!!!"),"",IF(NOT(ISNA(VLOOKUP(E487,E$1:E486,1,FALSE()))),"OLD",IF(AND(E487&lt;&gt;"",E487&lt;&gt;"!!!"),"NEW","")))</f>
        <v>OLD</v>
      </c>
      <c r="G487" s="22" t="s">
        <v>704</v>
      </c>
      <c r="H487" s="23" t="str">
        <f t="shared" ca="1" si="53"/>
        <v/>
      </c>
      <c r="I487" s="24" t="str">
        <f>IF(OR(E487="",E487="!!!",F487="NEW"),"",INDEX(B$2:B486,-1+SUMPRODUCT(MAX(ROW(E$2:E486)*(E487=E$2:E486)))))</f>
        <v>SBJ_2</v>
      </c>
      <c r="J487" s="24">
        <f ca="1">IF(OR(E487="",E487="!!!",F487="NEW"),"",COUNTBLANK(OFFSET(A$1,,,SUMPRODUCT(MAX(ROW(E$2:E487)*(E487=E$2:E487)))))-COUNTBLANK(OFFSET(A$1,,,SUMPRODUCT(MAX(ROW(E$1:E486)*(E2=E$1:E486))))))</f>
        <v>0</v>
      </c>
      <c r="K487" s="24">
        <f ca="1">IF(OR(E487="",E487="!!!",F487="NEW"),"",INDEX(J$1:J486,SUMPRODUCT(MAX(ROW(E$1:E486)*(E487=E$1:E486)))))</f>
        <v>0</v>
      </c>
      <c r="L487" s="25"/>
    </row>
    <row r="488" spans="1:12" x14ac:dyDescent="0.3">
      <c r="A488" t="s">
        <v>275</v>
      </c>
      <c r="E488" s="20" t="str">
        <f t="shared" si="52"/>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53"/>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376</v>
      </c>
      <c r="E489" s="20" t="str">
        <f t="shared" si="52"/>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53"/>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256</v>
      </c>
      <c r="E490" s="20" t="str">
        <f t="shared" si="52"/>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53"/>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491</v>
      </c>
      <c r="E491" s="20" t="str">
        <f t="shared" si="52"/>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53"/>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492</v>
      </c>
      <c r="E492" s="20" t="str">
        <f t="shared" si="52"/>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53"/>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251</v>
      </c>
      <c r="B493" s="26" t="s">
        <v>252</v>
      </c>
      <c r="C493" s="26" t="s">
        <v>253</v>
      </c>
      <c r="D493" s="26" t="s">
        <v>254</v>
      </c>
      <c r="E493" s="20" t="s">
        <v>658</v>
      </c>
      <c r="F493" s="21" t="str">
        <f>IF(OR(E493="",E493="!!!"),"",IF(NOT(ISNA(VLOOKUP(E493,E$1:E492,1,FALSE()))),"OLD",IF(AND(E493&lt;&gt;"",E493&lt;&gt;"!!!"),"NEW","")))</f>
        <v>OLD</v>
      </c>
      <c r="G493" s="22" t="str">
        <f ca="1">IF(OR(E493="",E493="!!!"),"",IF(OR(J493=0,AND(J493=1,K493=1),AND(J493=1,I493="SBJ"),AND(J493=1,I493=0)),"?IN_FOCUS",IF(J493&lt;=2,"?ACTIVATED",IF(J493&lt;&gt;"","?FAMILIAR",IF(F493="NEW",IF(ISNA(VLOOKUP(E493,#REF!,1,FALSE())),"?TYPE_IDENTIFIABLE","?REFERENTIAL"),"_")))))</f>
        <v>?IN_FOCUS</v>
      </c>
      <c r="H493" s="23" t="str">
        <f t="shared" ca="1" si="53"/>
        <v/>
      </c>
      <c r="I493" s="24" t="str">
        <f>IF(OR(E493="",E493="!!!",F493="NEW"),"",INDEX(B$2:B492,-1+SUMPRODUCT(MAX(ROW(E$2:E492)*(E493=E$2:E492)))))</f>
        <v>SBJ</v>
      </c>
      <c r="J493" s="24">
        <f ca="1">IF(OR(E493="",E493="!!!",F493="NEW"),"",COUNTBLANK(OFFSET(A$1,,,SUMPRODUCT(MAX(ROW(E$2:E493)*(E493=E$2:E493)))))-COUNTBLANK(OFFSET(A$1,,,SUMPRODUCT(MAX(ROW(E$1:E492)*(E2=E$1:E492))))))</f>
        <v>0</v>
      </c>
      <c r="K493" s="24">
        <f ca="1">IF(OR(E493="",E493="!!!",F493="NEW"),"",INDEX(J$1:J492,SUMPRODUCT(MAX(ROW(E$1:E492)*(E493=E$1:E492)))))</f>
        <v>0</v>
      </c>
      <c r="L493" s="25"/>
    </row>
    <row r="494" spans="1:12" x14ac:dyDescent="0.3">
      <c r="A494" t="s">
        <v>438</v>
      </c>
      <c r="B494" s="26" t="s">
        <v>241</v>
      </c>
      <c r="C494" s="26" t="s">
        <v>261</v>
      </c>
      <c r="D494" s="26" t="s">
        <v>254</v>
      </c>
      <c r="E494" s="20" t="s">
        <v>687</v>
      </c>
      <c r="F494" s="21" t="str">
        <f>IF(OR(E494="",E494="!!!"),"",IF(NOT(ISNA(VLOOKUP(E494,E$1:E493,1,FALSE()))),"OLD",IF(AND(E494&lt;&gt;"",E494&lt;&gt;"!!!"),"NEW","")))</f>
        <v>NEW</v>
      </c>
      <c r="G494" s="22" t="str">
        <f ca="1">IF(OR(E494="",E494="!!!"),"",IF(OR(J494=0,AND(J494=1,K494=1),AND(J494=1,I494="SBJ"),AND(J494=1,I494=0)),"?IN_FOCUS",IF(J494&lt;=2,"?ACTIVATED",IF(J494&lt;&gt;"","?FAMILIAR",IF(F494="NEW",IF(ISNA(VLOOKUP(E494,#REF!,1,FALSE())),"?TYPE_IDENTIFIABLE","?REFERENTIAL"),"_")))))</f>
        <v>?REFERENTIAL</v>
      </c>
      <c r="H494" s="23" t="str">
        <f t="shared" ca="1" si="53"/>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265</v>
      </c>
      <c r="E495" s="20" t="str">
        <f t="shared" si="52"/>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53"/>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7" spans="1:12" x14ac:dyDescent="0.3">
      <c r="A497" t="s">
        <v>493</v>
      </c>
    </row>
    <row r="498" spans="1:12" x14ac:dyDescent="0.3">
      <c r="A498" t="s">
        <v>494</v>
      </c>
      <c r="E498" s="20" t="str">
        <f t="shared" ref="E498:E519" si="54">IF(D498="?OLD","!!!","")</f>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ref="H498:H519" ca="1" si="55">IF(J498&lt;&gt;1,"",IF(I498="SBJ","CB","?"))</f>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340</v>
      </c>
      <c r="B499" s="26" t="s">
        <v>234</v>
      </c>
      <c r="C499" s="26" t="s">
        <v>269</v>
      </c>
      <c r="D499" s="26" t="s">
        <v>254</v>
      </c>
      <c r="E499" s="20"/>
      <c r="F499" s="21" t="s">
        <v>714</v>
      </c>
      <c r="G499" s="22" t="str">
        <f>IF(OR(E499="",E499="!!!"),"",IF(OR(J499=0,AND(J499=1,K499=1),AND(J499=1,I499="SBJ"),AND(J499=1,I499=0)),"?IN_FOCUS",IF(J499&lt;=2,"?ACTIVATED",IF(J499&lt;&gt;"","?FAMILIAR",IF(F499="NEW",IF(ISNA(VLOOKUP(E499,#REF!,1,FALSE())),"?TYPE_IDENTIFIABLE","?REFERENTIAL"),"_")))))</f>
        <v/>
      </c>
      <c r="H499" s="23" t="str">
        <f t="shared" ca="1" si="55"/>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3">
      <c r="A500" t="s">
        <v>495</v>
      </c>
      <c r="E500" s="20" t="str">
        <f t="shared" si="54"/>
        <v/>
      </c>
      <c r="F500" s="21" t="str">
        <f>IF(OR(E500="",E500="!!!"),"",IF(NOT(ISNA(VLOOKUP(E500,E$1:E499,1,FALSE()))),"OLD",IF(AND(E500&lt;&gt;"",E500&lt;&gt;"!!!"),"NEW","")))</f>
        <v/>
      </c>
      <c r="G500" s="22" t="str">
        <f>IF(OR(E500="",E500="!!!"),"",IF(OR(J500=0,AND(J500=1,K500=1),AND(J500=1,I500="SBJ"),AND(J500=1,I500=0)),"?IN_FOCUS",IF(J500&lt;=2,"?ACTIVATED",IF(J500&lt;&gt;"","?FAMILIAR",IF(F500="NEW",IF(ISNA(VLOOKUP(E500,#REF!,1,FALSE())),"?TYPE_IDENTIFIABLE","?REFERENTIAL"),"_")))))</f>
        <v/>
      </c>
      <c r="H500" s="23" t="str">
        <f t="shared" ca="1" si="55"/>
        <v/>
      </c>
      <c r="I500" s="24" t="str">
        <f>IF(OR(E500="",E500="!!!",F500="NEW"),"",INDEX(B$2:B499,-1+SUMPRODUCT(MAX(ROW(E$2:E499)*(E500=E$2:E499)))))</f>
        <v/>
      </c>
      <c r="J500" s="24" t="str">
        <f ca="1">IF(OR(E500="",E500="!!!",F500="NEW"),"",COUNTBLANK(OFFSET(A$1,,,SUMPRODUCT(MAX(ROW(E$2:E500)*(E500=E$2:E500)))))-COUNTBLANK(OFFSET(A$1,,,SUMPRODUCT(MAX(ROW(E$1:E499)*(E2=E$1:E499))))))</f>
        <v/>
      </c>
      <c r="K500" s="24" t="str">
        <f>IF(OR(E500="",E500="!!!",F500="NEW"),"",INDEX(J$1:J499,SUMPRODUCT(MAX(ROW(E$1:E499)*(E500=E$1:E499)))))</f>
        <v/>
      </c>
      <c r="L500" s="25"/>
    </row>
    <row r="501" spans="1:12" x14ac:dyDescent="0.3">
      <c r="A501" t="s">
        <v>417</v>
      </c>
      <c r="E501" s="20" t="str">
        <f t="shared" si="54"/>
        <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55"/>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3">
      <c r="A502" t="s">
        <v>496</v>
      </c>
      <c r="E502" s="20" t="s">
        <v>684</v>
      </c>
      <c r="F502" s="21" t="s">
        <v>689</v>
      </c>
      <c r="G502" s="22" t="s">
        <v>713</v>
      </c>
      <c r="H502" s="23" t="str">
        <f t="shared" ca="1" si="55"/>
        <v/>
      </c>
      <c r="I502" s="24" t="str">
        <f>IF(OR(E502="",E502="!!!",F502="NEW"),"",INDEX(B$2:B501,-1+SUMPRODUCT(MAX(ROW(E$2:E501)*(E502=E$2:E501)))))</f>
        <v>SBJ</v>
      </c>
      <c r="J502" s="24">
        <f ca="1">IF(OR(E502="",E502="!!!",F502="NEW"),"",COUNTBLANK(OFFSET(A$1,,,SUMPRODUCT(MAX(ROW(E$2:E502)*(E502=E$2:E502)))))-COUNTBLANK(OFFSET(A$1,,,SUMPRODUCT(MAX(ROW(E$1:E501)*(E2=E$1:E501))))))</f>
        <v>0</v>
      </c>
      <c r="K502" s="24">
        <f ca="1">IF(OR(E502="",E502="!!!",F502="NEW"),"",INDEX(J$1:J501,SUMPRODUCT(MAX(ROW(E$1:E501)*(E502=E$1:E501)))))</f>
        <v>0</v>
      </c>
      <c r="L502" s="25"/>
    </row>
    <row r="503" spans="1:12" x14ac:dyDescent="0.3">
      <c r="A503" t="s">
        <v>497</v>
      </c>
      <c r="B503" s="26" t="s">
        <v>257</v>
      </c>
      <c r="C503" s="26" t="s">
        <v>498</v>
      </c>
      <c r="D503" s="26" t="s">
        <v>254</v>
      </c>
      <c r="E503" s="20"/>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55"/>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499</v>
      </c>
      <c r="E504" s="20" t="str">
        <f t="shared" si="54"/>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55"/>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3">
      <c r="A505" t="s">
        <v>500</v>
      </c>
      <c r="E505" s="20" t="str">
        <f t="shared" si="54"/>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55"/>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499</v>
      </c>
      <c r="E506" s="20" t="str">
        <f t="shared" si="54"/>
        <v/>
      </c>
      <c r="F506" s="21" t="str">
        <f>IF(OR(E506="",E506="!!!"),"",IF(NOT(ISNA(VLOOKUP(E506,E$1:E505,1,FALSE()))),"OLD",IF(AND(E506&lt;&gt;"",E506&lt;&gt;"!!!"),"NEW","")))</f>
        <v/>
      </c>
      <c r="G506" s="22" t="str">
        <f>IF(OR(E506="",E506="!!!"),"",IF(OR(J506=0,AND(J506=1,K506=1),AND(J506=1,I506="SBJ"),AND(J506=1,I506=0)),"?IN_FOCUS",IF(J506&lt;=2,"?ACTIVATED",IF(J506&lt;&gt;"","?FAMILIAR",IF(F506="NEW",IF(ISNA(VLOOKUP(E506,#REF!,1,FALSE())),"?TYPE_IDENTIFIABLE","?REFERENTIAL"),"_")))))</f>
        <v/>
      </c>
      <c r="H506" s="23" t="str">
        <f t="shared" ca="1" si="55"/>
        <v/>
      </c>
      <c r="I506" s="24" t="str">
        <f>IF(OR(E506="",E506="!!!",F506="NEW"),"",INDEX(B$2:B505,-1+SUMPRODUCT(MAX(ROW(E$2:E505)*(E506=E$2:E505)))))</f>
        <v/>
      </c>
      <c r="J506" s="24" t="str">
        <f ca="1">IF(OR(E506="",E506="!!!",F506="NEW"),"",COUNTBLANK(OFFSET(A$1,,,SUMPRODUCT(MAX(ROW(E$2:E506)*(E506=E$2:E506)))))-COUNTBLANK(OFFSET(A$1,,,SUMPRODUCT(MAX(ROW(E$1:E505)*(E2=E$1:E505))))))</f>
        <v/>
      </c>
      <c r="K506" s="24" t="str">
        <f>IF(OR(E506="",E506="!!!",F506="NEW"),"",INDEX(J$1:J505,SUMPRODUCT(MAX(ROW(E$1:E505)*(E506=E$1:E505)))))</f>
        <v/>
      </c>
      <c r="L506" s="25"/>
    </row>
    <row r="507" spans="1:12" x14ac:dyDescent="0.3">
      <c r="A507" t="s">
        <v>268</v>
      </c>
      <c r="B507" s="26" t="s">
        <v>439</v>
      </c>
      <c r="C507" s="26" t="s">
        <v>269</v>
      </c>
      <c r="D507" s="26" t="s">
        <v>254</v>
      </c>
      <c r="E507" s="20" t="s">
        <v>658</v>
      </c>
      <c r="F507" s="21" t="str">
        <f>IF(OR(E507="",E507="!!!"),"",IF(NOT(ISNA(VLOOKUP(E507,E$1:E506,1,FALSE()))),"OLD",IF(AND(E507&lt;&gt;"",E507&lt;&gt;"!!!"),"NEW","")))</f>
        <v>OLD</v>
      </c>
      <c r="G507" s="22" t="s">
        <v>683</v>
      </c>
      <c r="H507" s="23" t="s">
        <v>222</v>
      </c>
      <c r="I507" s="24" t="str">
        <f>IF(OR(E507="",E507="!!!",F507="NEW"),"",INDEX(B$2:B506,-1+SUMPRODUCT(MAX(ROW(E$2:E506)*(E507=E$2:E506)))))</f>
        <v>other_3</v>
      </c>
      <c r="J507" s="24">
        <f ca="1">IF(OR(E507="",E507="!!!",F507="NEW"),"",COUNTBLANK(OFFSET(A$1,,,SUMPRODUCT(MAX(ROW(E$2:E507)*(E507=E$2:E507)))))-COUNTBLANK(OFFSET(A$1,,,SUMPRODUCT(MAX(ROW(E$1:E506)*(E2=E$1:E506))))))</f>
        <v>0</v>
      </c>
      <c r="K507" s="24">
        <f ca="1">IF(OR(E507="",E507="!!!",F507="NEW"),"",INDEX(J$1:J506,SUMPRODUCT(MAX(ROW(E$1:E506)*(E507=E$1:E506)))))</f>
        <v>0</v>
      </c>
      <c r="L507" s="25"/>
    </row>
    <row r="508" spans="1:12" x14ac:dyDescent="0.3">
      <c r="A508" t="s">
        <v>270</v>
      </c>
      <c r="E508" s="20" t="str">
        <f t="shared" si="54"/>
        <v/>
      </c>
      <c r="F508" s="21" t="str">
        <f>IF(OR(E508="",E508="!!!"),"",IF(NOT(ISNA(VLOOKUP(E508,E$1:E507,1,FALSE()))),"OLD",IF(AND(E508&lt;&gt;"",E508&lt;&gt;"!!!"),"NEW","")))</f>
        <v/>
      </c>
      <c r="G508" s="22" t="str">
        <f>IF(OR(E508="",E508="!!!"),"",IF(OR(J508=0,AND(J508=1,K508=1),AND(J508=1,I508="SBJ"),AND(J508=1,I508=0)),"?IN_FOCUS",IF(J508&lt;=2,"?ACTIVATED",IF(J508&lt;&gt;"","?FAMILIAR",IF(F508="NEW",IF(ISNA(VLOOKUP(E508,#REF!,1,FALSE())),"?TYPE_IDENTIFIABLE","?REFERENTIAL"),"_")))))</f>
        <v/>
      </c>
      <c r="H508" s="23" t="str">
        <f t="shared" ca="1" si="55"/>
        <v/>
      </c>
      <c r="I508" s="24" t="str">
        <f>IF(OR(E508="",E508="!!!",F508="NEW"),"",INDEX(B$2:B507,-1+SUMPRODUCT(MAX(ROW(E$2:E507)*(E508=E$2:E507)))))</f>
        <v/>
      </c>
      <c r="J508" s="24" t="str">
        <f ca="1">IF(OR(E508="",E508="!!!",F508="NEW"),"",COUNTBLANK(OFFSET(A$1,,,SUMPRODUCT(MAX(ROW(E$2:E508)*(E508=E$2:E508)))))-COUNTBLANK(OFFSET(A$1,,,SUMPRODUCT(MAX(ROW(E$1:E507)*(E2=E$1:E507))))))</f>
        <v/>
      </c>
      <c r="K508" s="24" t="str">
        <f>IF(OR(E508="",E508="!!!",F508="NEW"),"",INDEX(J$1:J507,SUMPRODUCT(MAX(ROW(E$1:E507)*(E508=E$1:E507)))))</f>
        <v/>
      </c>
      <c r="L508" s="25"/>
    </row>
    <row r="509" spans="1:12" x14ac:dyDescent="0.3">
      <c r="A509" t="s">
        <v>271</v>
      </c>
      <c r="E509" s="20" t="str">
        <f t="shared" si="54"/>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55"/>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0" spans="1:12" x14ac:dyDescent="0.3">
      <c r="A510" t="s">
        <v>272</v>
      </c>
      <c r="B510" s="26" t="s">
        <v>422</v>
      </c>
      <c r="C510" s="26" t="s">
        <v>273</v>
      </c>
      <c r="D510" s="26" t="s">
        <v>254</v>
      </c>
      <c r="E510" s="20" t="s">
        <v>660</v>
      </c>
      <c r="F510" s="21" t="str">
        <f>IF(OR(E510="",E510="!!!"),"",IF(NOT(ISNA(VLOOKUP(E510,E$1:E509,1,FALSE()))),"OLD",IF(AND(E510&lt;&gt;"",E510&lt;&gt;"!!!"),"NEW","")))</f>
        <v>OLD</v>
      </c>
      <c r="G510" s="22" t="s">
        <v>713</v>
      </c>
      <c r="H510" s="23" t="str">
        <f t="shared" ca="1" si="55"/>
        <v/>
      </c>
      <c r="I510" s="24" t="str">
        <f>IF(OR(E510="",E510="!!!",F510="NEW"),"",INDEX(B$2:B509,-1+SUMPRODUCT(MAX(ROW(E$2:E509)*(E510=E$2:E509)))))</f>
        <v>other_2</v>
      </c>
      <c r="J510" s="24">
        <f ca="1">IF(OR(E510="",E510="!!!",F510="NEW"),"",COUNTBLANK(OFFSET(A$1,,,SUMPRODUCT(MAX(ROW(E$2:E510)*(E510=E$2:E510)))))-COUNTBLANK(OFFSET(A$1,,,SUMPRODUCT(MAX(ROW(E$1:E509)*(E2=E$1:E509))))))</f>
        <v>0</v>
      </c>
      <c r="K510" s="24" t="str">
        <f ca="1">IF(OR(E510="",E510="!!!",F510="NEW"),"",INDEX(J$1:J509,SUMPRODUCT(MAX(ROW(E$1:E509)*(E510=E$1:E509)))))</f>
        <v/>
      </c>
      <c r="L510" s="25"/>
    </row>
    <row r="511" spans="1:12" x14ac:dyDescent="0.3">
      <c r="A511" t="s">
        <v>256</v>
      </c>
      <c r="E511" s="20" t="str">
        <f t="shared" si="54"/>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55"/>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340</v>
      </c>
      <c r="B512" s="26" t="s">
        <v>257</v>
      </c>
      <c r="C512" s="26" t="s">
        <v>269</v>
      </c>
      <c r="D512" s="26" t="s">
        <v>254</v>
      </c>
      <c r="E512" s="20"/>
      <c r="F512" s="21" t="s">
        <v>714</v>
      </c>
      <c r="G512" s="22" t="str">
        <f>IF(OR(E512="",E512="!!!"),"",IF(OR(J512=0,AND(J512=1,K512=1),AND(J512=1,I512="SBJ"),AND(J512=1,I512=0)),"?IN_FOCUS",IF(J512&lt;=2,"?ACTIVATED",IF(J512&lt;&gt;"","?FAMILIAR",IF(F512="NEW",IF(ISNA(VLOOKUP(E512,#REF!,1,FALSE())),"?TYPE_IDENTIFIABLE","?REFERENTIAL"),"_")))))</f>
        <v/>
      </c>
      <c r="H512" s="23" t="str">
        <f t="shared" ca="1" si="55"/>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501</v>
      </c>
      <c r="E513" s="20" t="str">
        <f t="shared" si="54"/>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55"/>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92</v>
      </c>
      <c r="E514" s="20" t="str">
        <f t="shared" si="54"/>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55"/>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502</v>
      </c>
      <c r="E515" s="20" t="str">
        <f t="shared" si="54"/>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55"/>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256</v>
      </c>
      <c r="E516" s="20" t="str">
        <f t="shared" si="54"/>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55"/>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489</v>
      </c>
      <c r="E517" s="20" t="str">
        <f t="shared" si="54"/>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55"/>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344</v>
      </c>
      <c r="B518" s="26" t="s">
        <v>274</v>
      </c>
      <c r="C518" s="26" t="s">
        <v>273</v>
      </c>
      <c r="D518" s="26" t="s">
        <v>254</v>
      </c>
      <c r="E518" s="20" t="s">
        <v>665</v>
      </c>
      <c r="F518" s="21" t="str">
        <f>IF(OR(E518="",E518="!!!"),"",IF(NOT(ISNA(VLOOKUP(E518,E$1:E517,1,FALSE()))),"OLD",IF(AND(E518&lt;&gt;"",E518&lt;&gt;"!!!"),"NEW","")))</f>
        <v>OLD</v>
      </c>
      <c r="G518" s="22" t="s">
        <v>713</v>
      </c>
      <c r="H518" s="23" t="str">
        <f t="shared" ca="1" si="55"/>
        <v/>
      </c>
      <c r="I518" s="24" t="str">
        <f>IF(OR(E518="",E518="!!!",F518="NEW"),"",INDEX(B$2:B517,-1+SUMPRODUCT(MAX(ROW(E$2:E517)*(E518=E$2:E517)))))</f>
        <v>SBJ_2</v>
      </c>
      <c r="J518" s="24">
        <f ca="1">IF(OR(E518="",E518="!!!",F518="NEW"),"",COUNTBLANK(OFFSET(A$1,,,SUMPRODUCT(MAX(ROW(E$2:E518)*(E518=E$2:E518)))))-COUNTBLANK(OFFSET(A$1,,,SUMPRODUCT(MAX(ROW(E$1:E517)*(E2=E$1:E517))))))</f>
        <v>0</v>
      </c>
      <c r="K518" s="24">
        <f ca="1">IF(OR(E518="",E518="!!!",F518="NEW"),"",INDEX(J$1:J517,SUMPRODUCT(MAX(ROW(E$1:E517)*(E518=E$1:E517)))))</f>
        <v>0</v>
      </c>
      <c r="L518" s="25"/>
    </row>
    <row r="519" spans="1:12" x14ac:dyDescent="0.3">
      <c r="A519" t="s">
        <v>265</v>
      </c>
      <c r="E519" s="20" t="str">
        <f t="shared" si="54"/>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55"/>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1" spans="1:12" x14ac:dyDescent="0.3">
      <c r="A521" t="s">
        <v>503</v>
      </c>
    </row>
    <row r="522" spans="1:12" x14ac:dyDescent="0.3">
      <c r="A522" t="s">
        <v>504</v>
      </c>
      <c r="E522" s="20" t="str">
        <f t="shared" ref="E522:E547" si="56">IF(D522="?OLD","!!!","")</f>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ref="H522:H547" ca="1" si="57">IF(J522&lt;&gt;1,"",IF(I522="SBJ","CB","?"))</f>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3">
      <c r="A523" t="s">
        <v>271</v>
      </c>
      <c r="E523" s="20" t="str">
        <f t="shared" si="56"/>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57"/>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272</v>
      </c>
      <c r="B524" s="26" t="s">
        <v>228</v>
      </c>
      <c r="C524" s="26" t="s">
        <v>273</v>
      </c>
      <c r="D524" s="26" t="s">
        <v>254</v>
      </c>
      <c r="E524" s="20" t="s">
        <v>660</v>
      </c>
      <c r="F524" s="21" t="str">
        <f>IF(OR(E524="",E524="!!!"),"",IF(NOT(ISNA(VLOOKUP(E524,E$1:E523,1,FALSE()))),"OLD",IF(AND(E524&lt;&gt;"",E524&lt;&gt;"!!!"),"NEW","")))</f>
        <v>OLD</v>
      </c>
      <c r="G524" s="22" t="s">
        <v>713</v>
      </c>
      <c r="H524" s="23" t="str">
        <f t="shared" ca="1" si="57"/>
        <v/>
      </c>
      <c r="I524" s="24" t="str">
        <f>IF(OR(E524="",E524="!!!",F524="NEW"),"",INDEX(B$2:B523,-1+SUMPRODUCT(MAX(ROW(E$2:E523)*(E524=E$2:E523)))))</f>
        <v>other_5</v>
      </c>
      <c r="J524" s="24">
        <f ca="1">IF(OR(E524="",E524="!!!",F524="NEW"),"",COUNTBLANK(OFFSET(A$1,,,SUMPRODUCT(MAX(ROW(E$2:E524)*(E524=E$2:E524)))))-COUNTBLANK(OFFSET(A$1,,,SUMPRODUCT(MAX(ROW(E$1:E523)*(E2=E$1:E523))))))</f>
        <v>0</v>
      </c>
      <c r="K524" s="24">
        <f ca="1">IF(OR(E524="",E524="!!!",F524="NEW"),"",INDEX(J$1:J523,SUMPRODUCT(MAX(ROW(E$1:E523)*(E524=E$1:E523)))))</f>
        <v>0</v>
      </c>
      <c r="L524" s="25"/>
    </row>
    <row r="525" spans="1:12" x14ac:dyDescent="0.3">
      <c r="A525" t="s">
        <v>256</v>
      </c>
      <c r="E525" s="20" t="str">
        <f t="shared" si="56"/>
        <v/>
      </c>
      <c r="F525" s="21" t="str">
        <f>IF(OR(E525="",E525="!!!"),"",IF(NOT(ISNA(VLOOKUP(E525,E$1:E524,1,FALSE()))),"OLD",IF(AND(E525&lt;&gt;"",E525&lt;&gt;"!!!"),"NEW","")))</f>
        <v/>
      </c>
      <c r="G525" s="22" t="str">
        <f>IF(OR(E525="",E525="!!!"),"",IF(OR(J525=0,AND(J525=1,K525=1),AND(J525=1,I525="SBJ"),AND(J525=1,I525=0)),"?IN_FOCUS",IF(J525&lt;=2,"?ACTIVATED",IF(J525&lt;&gt;"","?FAMILIAR",IF(F525="NEW",IF(ISNA(VLOOKUP(E525,#REF!,1,FALSE())),"?TYPE_IDENTIFIABLE","?REFERENTIAL"),"_")))))</f>
        <v/>
      </c>
      <c r="H525" s="23" t="str">
        <f t="shared" ca="1" si="57"/>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505</v>
      </c>
      <c r="E526" s="20" t="str">
        <f t="shared" si="56"/>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57"/>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244</v>
      </c>
      <c r="B527" s="26" t="s">
        <v>274</v>
      </c>
      <c r="C527" s="26" t="s">
        <v>229</v>
      </c>
      <c r="E527" s="20" t="s">
        <v>658</v>
      </c>
      <c r="F527" s="21" t="str">
        <f>IF(OR(E527="",E527="!!!"),"",IF(NOT(ISNA(VLOOKUP(E527,E$1:E526,1,FALSE()))),"OLD",IF(AND(E527&lt;&gt;"",E527&lt;&gt;"!!!"),"NEW","")))</f>
        <v>OLD</v>
      </c>
      <c r="G527" s="22" t="s">
        <v>704</v>
      </c>
      <c r="H527" s="23" t="s">
        <v>222</v>
      </c>
      <c r="I527" s="24" t="str">
        <f>IF(OR(E527="",E527="!!!",F527="NEW"),"",INDEX(B$2:B526,-1+SUMPRODUCT(MAX(ROW(E$2:E526)*(E527=E$2:E526)))))</f>
        <v>SBJ_5</v>
      </c>
      <c r="J527" s="24">
        <f ca="1">IF(OR(E527="",E527="!!!",F527="NEW"),"",COUNTBLANK(OFFSET(A$1,,,SUMPRODUCT(MAX(ROW(E$2:E527)*(E527=E$2:E527)))))-COUNTBLANK(OFFSET(A$1,,,SUMPRODUCT(MAX(ROW(E$1:E526)*(E2=E$1:E526))))))</f>
        <v>0</v>
      </c>
      <c r="K527" s="24">
        <f ca="1">IF(OR(E527="",E527="!!!",F527="NEW"),"",INDEX(J$1:J526,SUMPRODUCT(MAX(ROW(E$1:E526)*(E527=E$1:E526)))))</f>
        <v>0</v>
      </c>
      <c r="L527" s="25"/>
    </row>
    <row r="528" spans="1:12" x14ac:dyDescent="0.3">
      <c r="A528" t="s">
        <v>275</v>
      </c>
      <c r="E528" s="20" t="str">
        <f t="shared" si="56"/>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57"/>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276</v>
      </c>
      <c r="E529" s="20" t="str">
        <f t="shared" si="56"/>
        <v/>
      </c>
      <c r="F529" s="21" t="str">
        <f>IF(OR(E529="",E529="!!!"),"",IF(NOT(ISNA(VLOOKUP(E529,E$1:E528,1,FALSE()))),"OLD",IF(AND(E529&lt;&gt;"",E529&lt;&gt;"!!!"),"NEW","")))</f>
        <v/>
      </c>
      <c r="G529" s="22" t="str">
        <f>IF(OR(E529="",E529="!!!"),"",IF(OR(J529=0,AND(J529=1,K529=1),AND(J529=1,I529="SBJ"),AND(J529=1,I529=0)),"?IN_FOCUS",IF(J529&lt;=2,"?ACTIVATED",IF(J529&lt;&gt;"","?FAMILIAR",IF(F529="NEW",IF(ISNA(VLOOKUP(E529,#REF!,1,FALSE())),"?TYPE_IDENTIFIABLE","?REFERENTIAL"),"_")))))</f>
        <v/>
      </c>
      <c r="H529" s="23" t="str">
        <f t="shared" ca="1" si="57"/>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506</v>
      </c>
      <c r="E530" s="20" t="str">
        <f t="shared" si="56"/>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57"/>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499</v>
      </c>
      <c r="E531" s="20" t="str">
        <f t="shared" si="56"/>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t="shared" ca="1" si="57"/>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3">
      <c r="A532" t="s">
        <v>507</v>
      </c>
      <c r="E532" s="20" t="str">
        <f t="shared" si="56"/>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57"/>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3">
      <c r="A533" t="s">
        <v>271</v>
      </c>
      <c r="E533" s="20" t="str">
        <f t="shared" si="56"/>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ca="1" si="57"/>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233</v>
      </c>
      <c r="E534" s="20" t="str">
        <f t="shared" si="56"/>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t="shared" ca="1" si="57"/>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5" spans="1:12" x14ac:dyDescent="0.3">
      <c r="A535" t="s">
        <v>369</v>
      </c>
      <c r="B535" s="26" t="s">
        <v>241</v>
      </c>
      <c r="C535" s="26" t="s">
        <v>229</v>
      </c>
      <c r="E535" s="20" t="str">
        <f t="shared" si="56"/>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57"/>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256</v>
      </c>
      <c r="E536" s="20" t="str">
        <f t="shared" si="56"/>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57"/>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332</v>
      </c>
      <c r="E537" s="20" t="str">
        <f t="shared" si="56"/>
        <v/>
      </c>
      <c r="F537" s="21" t="str">
        <f>IF(OR(E537="",E537="!!!"),"",IF(NOT(ISNA(VLOOKUP(E537,E$1:E536,1,FALSE()))),"OLD",IF(AND(E537&lt;&gt;"",E537&lt;&gt;"!!!"),"NEW","")))</f>
        <v/>
      </c>
      <c r="G537" s="22" t="str">
        <f>IF(OR(E537="",E537="!!!"),"",IF(OR(J537=0,AND(J537=1,K537=1),AND(J537=1,I537="SBJ"),AND(J537=1,I537=0)),"?IN_FOCUS",IF(J537&lt;=2,"?ACTIVATED",IF(J537&lt;&gt;"","?FAMILIAR",IF(F537="NEW",IF(ISNA(VLOOKUP(E537,#REF!,1,FALSE())),"?TYPE_IDENTIFIABLE","?REFERENTIAL"),"_")))))</f>
        <v/>
      </c>
      <c r="H537" s="23" t="str">
        <f t="shared" ca="1" si="57"/>
        <v/>
      </c>
      <c r="I537" s="24" t="str">
        <f>IF(OR(E537="",E537="!!!",F537="NEW"),"",INDEX(B$2:B536,-1+SUMPRODUCT(MAX(ROW(E$2:E536)*(E537=E$2:E536)))))</f>
        <v/>
      </c>
      <c r="J537" s="24" t="str">
        <f ca="1">IF(OR(E537="",E537="!!!",F537="NEW"),"",COUNTBLANK(OFFSET(A$1,,,SUMPRODUCT(MAX(ROW(E$2:E537)*(E537=E$2:E537)))))-COUNTBLANK(OFFSET(A$1,,,SUMPRODUCT(MAX(ROW(E$1:E536)*(E2=E$1:E536))))))</f>
        <v/>
      </c>
      <c r="K537" s="24" t="str">
        <f>IF(OR(E537="",E537="!!!",F537="NEW"),"",INDEX(J$1:J536,SUMPRODUCT(MAX(ROW(E$1:E536)*(E537=E$1:E536)))))</f>
        <v/>
      </c>
      <c r="L537" s="25"/>
    </row>
    <row r="538" spans="1:12" x14ac:dyDescent="0.3">
      <c r="A538" t="s">
        <v>256</v>
      </c>
      <c r="E538" s="20" t="str">
        <f t="shared" si="56"/>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ca="1" si="57"/>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271</v>
      </c>
      <c r="E539" s="20" t="str">
        <f t="shared" si="56"/>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57"/>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293</v>
      </c>
      <c r="E540" s="20" t="str">
        <f t="shared" si="56"/>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57"/>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508</v>
      </c>
      <c r="E541" s="20" t="str">
        <f t="shared" si="56"/>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57"/>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509</v>
      </c>
      <c r="B542" s="26" t="s">
        <v>252</v>
      </c>
      <c r="C542" s="26" t="s">
        <v>310</v>
      </c>
      <c r="D542" s="26" t="s">
        <v>254</v>
      </c>
      <c r="E542" s="20"/>
      <c r="F542" s="21" t="s">
        <v>685</v>
      </c>
      <c r="G542" s="22"/>
      <c r="H542" s="23" t="str">
        <f t="shared" ca="1" si="57"/>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t="s">
        <v>719</v>
      </c>
    </row>
    <row r="543" spans="1:12" x14ac:dyDescent="0.3">
      <c r="A543" t="s">
        <v>256</v>
      </c>
      <c r="E543" s="20" t="str">
        <f t="shared" si="56"/>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57"/>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268</v>
      </c>
      <c r="B544" s="26" t="s">
        <v>257</v>
      </c>
      <c r="C544" s="26" t="s">
        <v>269</v>
      </c>
      <c r="D544" s="26" t="s">
        <v>254</v>
      </c>
      <c r="E544" s="20" t="s">
        <v>658</v>
      </c>
      <c r="F544" s="21" t="str">
        <f>IF(OR(E544="",E544="!!!"),"",IF(NOT(ISNA(VLOOKUP(E544,E$1:E543,1,FALSE()))),"OLD",IF(AND(E544&lt;&gt;"",E544&lt;&gt;"!!!"),"NEW","")))</f>
        <v>OLD</v>
      </c>
      <c r="G544" s="22" t="str">
        <f ca="1">IF(OR(E544="",E544="!!!"),"",IF(OR(J544=0,AND(J544=1,K544=1),AND(J544=1,I544="SBJ"),AND(J544=1,I544=0)),"?IN_FOCUS",IF(J544&lt;=2,"?ACTIVATED",IF(J544&lt;&gt;"","?FAMILIAR",IF(F544="NEW",IF(ISNA(VLOOKUP(E544,#REF!,1,FALSE())),"?TYPE_IDENTIFIABLE","?REFERENTIAL"),"_")))))</f>
        <v>?IN_FOCUS</v>
      </c>
      <c r="H544" s="23"/>
      <c r="I544" s="24" t="str">
        <f>IF(OR(E544="",E544="!!!",F544="NEW"),"",INDEX(B$2:B543,-1+SUMPRODUCT(MAX(ROW(E$2:E543)*(E544=E$2:E543)))))</f>
        <v>SBJ</v>
      </c>
      <c r="J544" s="24">
        <f ca="1">IF(OR(E544="",E544="!!!",F544="NEW"),"",COUNTBLANK(OFFSET(A$1,,,SUMPRODUCT(MAX(ROW(E$2:E544)*(E544=E$2:E544)))))-COUNTBLANK(OFFSET(A$1,,,SUMPRODUCT(MAX(ROW(E$1:E543)*(E2=E$1:E543))))))</f>
        <v>0</v>
      </c>
      <c r="K544" s="24">
        <f ca="1">IF(OR(E544="",E544="!!!",F544="NEW"),"",INDEX(J$1:J543,SUMPRODUCT(MAX(ROW(E$1:E543)*(E544=E$1:E543)))))</f>
        <v>0</v>
      </c>
      <c r="L544" s="25"/>
    </row>
    <row r="545" spans="1:12" x14ac:dyDescent="0.3">
      <c r="A545" t="s">
        <v>275</v>
      </c>
      <c r="E545" s="20" t="str">
        <f t="shared" si="56"/>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57"/>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6" spans="1:12" x14ac:dyDescent="0.3">
      <c r="A546" t="s">
        <v>510</v>
      </c>
      <c r="E546" s="20" t="str">
        <f t="shared" si="56"/>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57"/>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265</v>
      </c>
      <c r="E547" s="20" t="str">
        <f t="shared" si="56"/>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57"/>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9" spans="1:12" x14ac:dyDescent="0.3">
      <c r="A549" t="s">
        <v>511</v>
      </c>
    </row>
    <row r="550" spans="1:12" x14ac:dyDescent="0.3">
      <c r="A550" t="s">
        <v>512</v>
      </c>
      <c r="E550" s="20" t="str">
        <f t="shared" ref="E550:E573" si="58">IF(D550="?OLD","!!!","")</f>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ref="H550:H573" ca="1" si="59">IF(J550&lt;&gt;1,"",IF(I550="SBJ","CB","?"))</f>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246</v>
      </c>
      <c r="E551" s="20" t="str">
        <f t="shared" si="58"/>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59"/>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513</v>
      </c>
      <c r="B552" s="26" t="s">
        <v>228</v>
      </c>
      <c r="C552" s="26" t="s">
        <v>249</v>
      </c>
      <c r="E552" s="20" t="str">
        <f t="shared" si="58"/>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59"/>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256</v>
      </c>
      <c r="E553" s="20" t="str">
        <f t="shared" si="58"/>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59"/>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308</v>
      </c>
      <c r="E554" s="20" t="str">
        <f t="shared" si="58"/>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59"/>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3">
      <c r="A555" t="s">
        <v>514</v>
      </c>
      <c r="E555" s="20" t="str">
        <f t="shared" si="58"/>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59"/>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515</v>
      </c>
      <c r="B556" s="26" t="s">
        <v>274</v>
      </c>
      <c r="C556" s="26" t="s">
        <v>282</v>
      </c>
      <c r="E556" s="20" t="str">
        <f t="shared" si="58"/>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59"/>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262</v>
      </c>
      <c r="E557" s="20" t="str">
        <f t="shared" si="58"/>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59"/>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8" spans="1:12" x14ac:dyDescent="0.3">
      <c r="A558" t="s">
        <v>293</v>
      </c>
      <c r="E558" s="20" t="str">
        <f t="shared" si="58"/>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t="shared" ca="1" si="59"/>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244</v>
      </c>
      <c r="B559" s="26" t="s">
        <v>241</v>
      </c>
      <c r="C559" s="26" t="s">
        <v>310</v>
      </c>
      <c r="D559" s="26" t="s">
        <v>254</v>
      </c>
      <c r="E559" s="20" t="s">
        <v>658</v>
      </c>
      <c r="F559" s="21" t="str">
        <f>IF(OR(E559="",E559="!!!"),"",IF(NOT(ISNA(VLOOKUP(E559,E$1:E558,1,FALSE()))),"OLD",IF(AND(E559&lt;&gt;"",E559&lt;&gt;"!!!"),"NEW","")))</f>
        <v>OLD</v>
      </c>
      <c r="G559" s="22" t="str">
        <f ca="1">IF(OR(E559="",E559="!!!"),"",IF(OR(J559=0,AND(J559=1,K559=1),AND(J559=1,I559="SBJ"),AND(J559=1,I559=0)),"?IN_FOCUS",IF(J559&lt;=2,"?ACTIVATED",IF(J559&lt;&gt;"","?FAMILIAR",IF(F559="NEW",IF(ISNA(VLOOKUP(E559,#REF!,1,FALSE())),"?TYPE_IDENTIFIABLE","?REFERENTIAL"),"_")))))</f>
        <v>?IN_FOCUS</v>
      </c>
      <c r="H559" s="23" t="s">
        <v>222</v>
      </c>
      <c r="I559" s="24" t="str">
        <f>IF(OR(E559="",E559="!!!",F559="NEW"),"",INDEX(B$2:B558,-1+SUMPRODUCT(MAX(ROW(E$2:E558)*(E559=E$2:E558)))))</f>
        <v>SBJ_3</v>
      </c>
      <c r="J559" s="24">
        <f ca="1">IF(OR(E559="",E559="!!!",F559="NEW"),"",COUNTBLANK(OFFSET(A$1,,,SUMPRODUCT(MAX(ROW(E$2:E559)*(E559=E$2:E559)))))-COUNTBLANK(OFFSET(A$1,,,SUMPRODUCT(MAX(ROW(E$1:E558)*(E2=E$1:E558))))))</f>
        <v>0</v>
      </c>
      <c r="K559" s="24">
        <f ca="1">IF(OR(E559="",E559="!!!",F559="NEW"),"",INDEX(J$1:J558,SUMPRODUCT(MAX(ROW(E$1:E558)*(E559=E$1:E558)))))</f>
        <v>0</v>
      </c>
      <c r="L559" s="25"/>
    </row>
    <row r="560" spans="1:12" x14ac:dyDescent="0.3">
      <c r="A560" t="s">
        <v>516</v>
      </c>
      <c r="E560" s="20" t="str">
        <f t="shared" si="58"/>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t="shared" ca="1" si="59"/>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1" spans="1:12" x14ac:dyDescent="0.3">
      <c r="A561" t="s">
        <v>271</v>
      </c>
      <c r="E561" s="20" t="str">
        <f t="shared" si="58"/>
        <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t="shared" ca="1" si="59"/>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3">
      <c r="A562" t="s">
        <v>369</v>
      </c>
      <c r="B562" s="26" t="s">
        <v>384</v>
      </c>
      <c r="C562" s="26" t="s">
        <v>229</v>
      </c>
      <c r="E562" s="20" t="str">
        <f t="shared" si="58"/>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59"/>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271</v>
      </c>
      <c r="E563" s="20" t="str">
        <f t="shared" si="58"/>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59"/>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293</v>
      </c>
      <c r="E564" s="20" t="str">
        <f t="shared" si="58"/>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59"/>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365</v>
      </c>
      <c r="B565" s="26" t="s">
        <v>384</v>
      </c>
      <c r="C565" s="26" t="s">
        <v>261</v>
      </c>
      <c r="D565" s="26" t="s">
        <v>254</v>
      </c>
      <c r="E565" s="20" t="s">
        <v>728</v>
      </c>
      <c r="F565" s="21" t="str">
        <f>IF(OR(E565="",E565="!!!"),"",IF(NOT(ISNA(VLOOKUP(E565,E$1:E564,1,FALSE()))),"OLD",IF(AND(E565&lt;&gt;"",E565&lt;&gt;"!!!"),"NEW","")))</f>
        <v>OLD</v>
      </c>
      <c r="G565" s="22" t="s">
        <v>730</v>
      </c>
      <c r="H565" s="23" t="str">
        <f t="shared" ca="1" si="59"/>
        <v/>
      </c>
      <c r="I565" s="24" t="str">
        <f>IF(OR(E565="",E565="!!!",F565="NEW"),"",INDEX(B$2:B564,-1+SUMPRODUCT(MAX(ROW(E$2:E564)*(E565=E$2:E564)))))</f>
        <v>other</v>
      </c>
      <c r="J565" s="24">
        <f ca="1">IF(OR(E565="",E565="!!!",F565="NEW"),"",COUNTBLANK(OFFSET(A$1,,,SUMPRODUCT(MAX(ROW(E$2:E565)*(E565=E$2:E565)))))-COUNTBLANK(OFFSET(A$1,,,SUMPRODUCT(MAX(ROW(E$1:E564)*(E2=E$1:E564))))))</f>
        <v>0</v>
      </c>
      <c r="K565" s="24" t="str">
        <f ca="1">IF(OR(E565="",E565="!!!",F565="NEW"),"",INDEX(J$1:J564,SUMPRODUCT(MAX(ROW(E$1:E564)*(E565=E$1:E564)))))</f>
        <v/>
      </c>
      <c r="L565" s="25"/>
    </row>
    <row r="566" spans="1:12" x14ac:dyDescent="0.3">
      <c r="A566" t="s">
        <v>262</v>
      </c>
      <c r="E566" s="20" t="str">
        <f t="shared" si="58"/>
        <v/>
      </c>
      <c r="F566" s="21" t="str">
        <f>IF(OR(E566="",E566="!!!"),"",IF(NOT(ISNA(VLOOKUP(E566,E$1:E565,1,FALSE()))),"OLD",IF(AND(E566&lt;&gt;"",E566&lt;&gt;"!!!"),"NEW","")))</f>
        <v/>
      </c>
      <c r="G566" s="22" t="str">
        <f>IF(OR(E566="",E566="!!!"),"",IF(OR(J566=0,AND(J566=1,K566=1),AND(J566=1,I566="SBJ"),AND(J566=1,I566=0)),"?IN_FOCUS",IF(J566&lt;=2,"?ACTIVATED",IF(J566&lt;&gt;"","?FAMILIAR",IF(F566="NEW",IF(ISNA(VLOOKUP(E566,#REF!,1,FALSE())),"?TYPE_IDENTIFIABLE","?REFERENTIAL"),"_")))))</f>
        <v/>
      </c>
      <c r="H566" s="23" t="str">
        <f t="shared" ca="1" si="59"/>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366</v>
      </c>
      <c r="B567" s="26" t="s">
        <v>422</v>
      </c>
      <c r="C567" s="26" t="s">
        <v>273</v>
      </c>
      <c r="D567" s="26" t="s">
        <v>254</v>
      </c>
      <c r="E567" s="20" t="s">
        <v>669</v>
      </c>
      <c r="F567" s="21" t="str">
        <f>IF(OR(E567="",E567="!!!"),"",IF(NOT(ISNA(VLOOKUP(E567,E$1:E566,1,FALSE()))),"OLD",IF(AND(E567&lt;&gt;"",E567&lt;&gt;"!!!"),"NEW","")))</f>
        <v>OLD</v>
      </c>
      <c r="G567" s="22" t="s">
        <v>713</v>
      </c>
      <c r="H567" s="23" t="str">
        <f t="shared" ca="1" si="59"/>
        <v/>
      </c>
      <c r="I567" s="24" t="str">
        <f>IF(OR(E567="",E567="!!!",F567="NEW"),"",INDEX(B$2:B566,-1+SUMPRODUCT(MAX(ROW(E$2:E566)*(E567=E$2:E566)))))</f>
        <v>other_4</v>
      </c>
      <c r="J567" s="24">
        <f ca="1">IF(OR(E567="",E567="!!!",F567="NEW"),"",COUNTBLANK(OFFSET(A$1,,,SUMPRODUCT(MAX(ROW(E$2:E567)*(E567=E$2:E567)))))-COUNTBLANK(OFFSET(A$1,,,SUMPRODUCT(MAX(ROW(E$1:E566)*(E2=E$1:E566))))))</f>
        <v>0</v>
      </c>
      <c r="K567" s="24" t="str">
        <f ca="1">IF(OR(E567="",E567="!!!",F567="NEW"),"",INDEX(J$1:J566,SUMPRODUCT(MAX(ROW(E$1:E566)*(E567=E$1:E566)))))</f>
        <v/>
      </c>
      <c r="L567" s="25"/>
    </row>
    <row r="568" spans="1:12" x14ac:dyDescent="0.3">
      <c r="A568" t="s">
        <v>275</v>
      </c>
      <c r="E568" s="20" t="str">
        <f t="shared" si="58"/>
        <v/>
      </c>
      <c r="F568" s="21" t="str">
        <f>IF(OR(E568="",E568="!!!"),"",IF(NOT(ISNA(VLOOKUP(E568,E$1:E567,1,FALSE()))),"OLD",IF(AND(E568&lt;&gt;"",E568&lt;&gt;"!!!"),"NEW","")))</f>
        <v/>
      </c>
      <c r="G568" s="22" t="str">
        <f>IF(OR(E568="",E568="!!!"),"",IF(OR(J568=0,AND(J568=1,K568=1),AND(J568=1,I568="SBJ"),AND(J568=1,I568=0)),"?IN_FOCUS",IF(J568&lt;=2,"?ACTIVATED",IF(J568&lt;&gt;"","?FAMILIAR",IF(F568="NEW",IF(ISNA(VLOOKUP(E568,#REF!,1,FALSE())),"?TYPE_IDENTIFIABLE","?REFERENTIAL"),"_")))))</f>
        <v/>
      </c>
      <c r="H568" s="23" t="str">
        <f t="shared" ca="1" si="59"/>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277</v>
      </c>
      <c r="E569" s="20" t="str">
        <f t="shared" si="58"/>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59"/>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256</v>
      </c>
      <c r="E570" s="20" t="str">
        <f t="shared" si="58"/>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59"/>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323</v>
      </c>
      <c r="B571" s="26" t="s">
        <v>234</v>
      </c>
      <c r="C571" s="26" t="s">
        <v>269</v>
      </c>
      <c r="D571" s="26" t="s">
        <v>254</v>
      </c>
      <c r="E571" s="20" t="s">
        <v>665</v>
      </c>
      <c r="F571" s="21" t="str">
        <f>IF(OR(E571="",E571="!!!"),"",IF(NOT(ISNA(VLOOKUP(E571,E$1:E570,1,FALSE()))),"OLD",IF(AND(E571&lt;&gt;"",E571&lt;&gt;"!!!"),"NEW","")))</f>
        <v>OLD</v>
      </c>
      <c r="G571" s="22" t="str">
        <f ca="1">IF(OR(E571="",E571="!!!"),"",IF(OR(J571=0,AND(J571=1,K571=1),AND(J571=1,I571="SBJ"),AND(J571=1,I571=0)),"?IN_FOCUS",IF(J571&lt;=2,"?ACTIVATED",IF(J571&lt;&gt;"","?FAMILIAR",IF(F571="NEW",IF(ISNA(VLOOKUP(E571,#REF!,1,FALSE())),"?TYPE_IDENTIFIABLE","?REFERENTIAL"),"_")))))</f>
        <v>?IN_FOCUS</v>
      </c>
      <c r="H571" s="23" t="str">
        <f t="shared" ca="1" si="59"/>
        <v/>
      </c>
      <c r="I571" s="24" t="str">
        <f>IF(OR(E571="",E571="!!!",F571="NEW"),"",INDEX(B$2:B570,-1+SUMPRODUCT(MAX(ROW(E$2:E570)*(E571=E$2:E570)))))</f>
        <v>SBJ</v>
      </c>
      <c r="J571" s="24">
        <f ca="1">IF(OR(E571="",E571="!!!",F571="NEW"),"",COUNTBLANK(OFFSET(A$1,,,SUMPRODUCT(MAX(ROW(E$2:E571)*(E571=E$2:E571)))))-COUNTBLANK(OFFSET(A$1,,,SUMPRODUCT(MAX(ROW(E$1:E570)*(E2=E$1:E570))))))</f>
        <v>0</v>
      </c>
      <c r="K571" s="24">
        <f ca="1">IF(OR(E571="",E571="!!!",F571="NEW"),"",INDEX(J$1:J570,SUMPRODUCT(MAX(ROW(E$1:E570)*(E571=E$1:E570)))))</f>
        <v>0</v>
      </c>
      <c r="L571" s="25"/>
    </row>
    <row r="572" spans="1:12" x14ac:dyDescent="0.3">
      <c r="A572" t="s">
        <v>517</v>
      </c>
      <c r="E572" s="20" t="str">
        <f t="shared" si="58"/>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59"/>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265</v>
      </c>
      <c r="E573" s="20" t="str">
        <f t="shared" si="58"/>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59"/>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5" spans="1:12" x14ac:dyDescent="0.3">
      <c r="A575" t="s">
        <v>411</v>
      </c>
      <c r="E575" s="20" t="str">
        <f>IF(D575="?OLD","!!!","")</f>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ca="1">IF(J575&lt;&gt;1,"",IF(I575="SBJ","CB","?"))</f>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518</v>
      </c>
    </row>
    <row r="577" spans="1:12" x14ac:dyDescent="0.3">
      <c r="A577" t="s">
        <v>231</v>
      </c>
      <c r="E577" s="20" t="str">
        <f t="shared" ref="E577:E592" si="60">IF(D577="?OLD","!!!","")</f>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ref="H577:H592" ca="1" si="61">IF(J577&lt;&gt;1,"",IF(I577="SBJ","CB","?"))</f>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519</v>
      </c>
      <c r="B578" s="26" t="s">
        <v>274</v>
      </c>
      <c r="E578" s="20" t="str">
        <f t="shared" si="60"/>
        <v/>
      </c>
      <c r="F578" s="21" t="str">
        <f>IF(OR(E578="",E578="!!!"),"",IF(NOT(ISNA(VLOOKUP(E578,E$1:E577,1,FALSE()))),"OLD",IF(AND(E578&lt;&gt;"",E578&lt;&gt;"!!!"),"NEW","")))</f>
        <v/>
      </c>
      <c r="G578" s="22" t="str">
        <f>IF(OR(E578="",E578="!!!"),"",IF(OR(J578=0,AND(J578=1,K578=1),AND(J578=1,I578="SBJ"),AND(J578=1,I578=0)),"?IN_FOCUS",IF(J578&lt;=2,"?ACTIVATED",IF(J578&lt;&gt;"","?FAMILIAR",IF(F578="NEW",IF(ISNA(VLOOKUP(E578,#REF!,1,FALSE())),"?TYPE_IDENTIFIABLE","?REFERENTIAL"),"_")))))</f>
        <v/>
      </c>
      <c r="H578" s="23" t="str">
        <f t="shared" ca="1" si="61"/>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262</v>
      </c>
      <c r="E579" s="20" t="str">
        <f t="shared" si="60"/>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61"/>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293</v>
      </c>
      <c r="E580" s="20" t="str">
        <f t="shared" si="60"/>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61"/>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371</v>
      </c>
      <c r="B581" s="26" t="s">
        <v>241</v>
      </c>
      <c r="C581" s="26" t="s">
        <v>310</v>
      </c>
      <c r="D581" s="26" t="s">
        <v>254</v>
      </c>
      <c r="E581" s="20" t="s">
        <v>670</v>
      </c>
      <c r="F581" s="21" t="str">
        <f>IF(OR(E581="",E581="!!!"),"",IF(NOT(ISNA(VLOOKUP(E581,E$1:E580,1,FALSE()))),"OLD",IF(AND(E581&lt;&gt;"",E581&lt;&gt;"!!!"),"NEW","")))</f>
        <v>OLD</v>
      </c>
      <c r="G581" s="22" t="s">
        <v>704</v>
      </c>
      <c r="H581" s="23" t="str">
        <f t="shared" ca="1" si="61"/>
        <v/>
      </c>
      <c r="I581" s="24" t="str">
        <f>IF(OR(E581="",E581="!!!",F581="NEW"),"",INDEX(B$2:B580,-1+SUMPRODUCT(MAX(ROW(E$2:E580)*(E581=E$2:E580)))))</f>
        <v>other</v>
      </c>
      <c r="J581" s="24">
        <f ca="1">IF(OR(E581="",E581="!!!",F581="NEW"),"",COUNTBLANK(OFFSET(A$1,,,SUMPRODUCT(MAX(ROW(E$2:E581)*(E581=E$2:E581)))))-COUNTBLANK(OFFSET(A$1,,,SUMPRODUCT(MAX(ROW(E$1:E580)*(E2=E$1:E580))))))</f>
        <v>0</v>
      </c>
      <c r="K581" s="24">
        <f ca="1">IF(OR(E581="",E581="!!!",F581="NEW"),"",INDEX(J$1:J580,SUMPRODUCT(MAX(ROW(E$1:E580)*(E581=E$1:E580)))))</f>
        <v>0</v>
      </c>
      <c r="L581" s="25"/>
    </row>
    <row r="582" spans="1:12" x14ac:dyDescent="0.3">
      <c r="A582" t="s">
        <v>520</v>
      </c>
      <c r="E582" s="20" t="str">
        <f t="shared" si="60"/>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61"/>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521</v>
      </c>
      <c r="E583" s="20" t="str">
        <f t="shared" si="60"/>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61"/>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4" spans="1:12" x14ac:dyDescent="0.3">
      <c r="A584" t="s">
        <v>403</v>
      </c>
      <c r="E584" s="20" t="str">
        <f t="shared" si="60"/>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61"/>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3">
      <c r="A585" t="s">
        <v>522</v>
      </c>
      <c r="E585" s="20" t="str">
        <f t="shared" si="60"/>
        <v/>
      </c>
      <c r="F585" s="21" t="str">
        <f>IF(OR(E585="",E585="!!!"),"",IF(NOT(ISNA(VLOOKUP(E585,E$1:E584,1,FALSE()))),"OLD",IF(AND(E585&lt;&gt;"",E585&lt;&gt;"!!!"),"NEW","")))</f>
        <v/>
      </c>
      <c r="G585" s="22" t="str">
        <f>IF(OR(E585="",E585="!!!"),"",IF(OR(J585=0,AND(J585=1,K585=1),AND(J585=1,I585="SBJ"),AND(J585=1,I585=0)),"?IN_FOCUS",IF(J585&lt;=2,"?ACTIVATED",IF(J585&lt;&gt;"","?FAMILIAR",IF(F585="NEW",IF(ISNA(VLOOKUP(E585,#REF!,1,FALSE())),"?TYPE_IDENTIFIABLE","?REFERENTIAL"),"_")))))</f>
        <v/>
      </c>
      <c r="H585" s="23" t="str">
        <f t="shared" ca="1" si="61"/>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238</v>
      </c>
      <c r="E586" s="20" t="str">
        <f t="shared" si="60"/>
        <v/>
      </c>
      <c r="F586" s="21"/>
      <c r="G586" s="22" t="str">
        <f>IF(OR(E586="",E586="!!!"),"",IF(OR(J586=0,AND(J586=1,K586=1),AND(J586=1,I586="SBJ"),AND(J586=1,I586=0)),"?IN_FOCUS",IF(J586&lt;=2,"?ACTIVATED",IF(J586&lt;&gt;"","?FAMILIAR",IF(F586="NEW",IF(ISNA(VLOOKUP(E586,#REF!,1,FALSE())),"?TYPE_IDENTIFIABLE","?REFERENTIAL"),"_")))))</f>
        <v/>
      </c>
      <c r="H586" s="23" t="str">
        <f t="shared" ca="1" si="61"/>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293</v>
      </c>
      <c r="E587" s="20" t="str">
        <f t="shared" si="60"/>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61"/>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ht="28.8" x14ac:dyDescent="0.3">
      <c r="A588" t="s">
        <v>17</v>
      </c>
      <c r="B588" s="26" t="s">
        <v>241</v>
      </c>
      <c r="C588" s="26" t="s">
        <v>310</v>
      </c>
      <c r="D588" s="26" t="s">
        <v>254</v>
      </c>
      <c r="E588" s="20" t="s">
        <v>658</v>
      </c>
      <c r="F588" s="21" t="str">
        <f>IF(OR(E588="",E588="!!!"),"",IF(NOT(ISNA(VLOOKUP(E588,E$1:E587,1,FALSE()))),"OLD",IF(AND(E588&lt;&gt;"",E588&lt;&gt;"!!!"),"NEW","")))</f>
        <v>OLD</v>
      </c>
      <c r="G588" s="22" t="str">
        <f ca="1">IF(OR(E588="",E588="!!!"),"",IF(OR(J588=0,AND(J588=1,K588=1),AND(J588=1,I588="SBJ"),AND(J588=1,I588=0)),"?IN_FOCUS",IF(J588&lt;=2,"?ACTIVATED",IF(J588&lt;&gt;"","?FAMILIAR",IF(F588="NEW",IF(ISNA(VLOOKUP(E588,#REF!,1,FALSE())),"?TYPE_IDENTIFIABLE","?REFERENTIAL"),"_")))))</f>
        <v>?IN_FOCUS</v>
      </c>
      <c r="H588" s="23"/>
      <c r="I588" s="24" t="str">
        <f>IF(OR(E588="",E588="!!!",F588="NEW"),"",INDEX(B$2:B587,-1+SUMPRODUCT(MAX(ROW(E$2:E587)*(E588=E$2:E587)))))</f>
        <v>other_2</v>
      </c>
      <c r="J588" s="24">
        <f ca="1">IF(OR(E588="",E588="!!!",F588="NEW"),"",COUNTBLANK(OFFSET(A$1,,,SUMPRODUCT(MAX(ROW(E$2:E588)*(E588=E$2:E588)))))-COUNTBLANK(OFFSET(A$1,,,SUMPRODUCT(MAX(ROW(E$1:E587)*(E2=E$1:E587))))))</f>
        <v>0</v>
      </c>
      <c r="K588" s="24">
        <f ca="1">IF(OR(E588="",E588="!!!",F588="NEW"),"",INDEX(J$1:J587,SUMPRODUCT(MAX(ROW(E$1:E587)*(E588=E$1:E587)))))</f>
        <v>0</v>
      </c>
      <c r="L588" s="25" t="s">
        <v>688</v>
      </c>
    </row>
    <row r="589" spans="1:12" x14ac:dyDescent="0.3">
      <c r="A589" t="s">
        <v>325</v>
      </c>
      <c r="E589" s="20" t="str">
        <f t="shared" si="60"/>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61"/>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523</v>
      </c>
      <c r="B590" s="26" t="s">
        <v>228</v>
      </c>
      <c r="C590" s="26" t="s">
        <v>261</v>
      </c>
      <c r="D590" s="26" t="s">
        <v>254</v>
      </c>
      <c r="E590" s="20" t="s">
        <v>729</v>
      </c>
      <c r="F590" s="21" t="str">
        <f>IF(OR(E590="",E590="!!!"),"",IF(NOT(ISNA(VLOOKUP(E590,E$1:E589,1,FALSE()))),"OLD",IF(AND(E590&lt;&gt;"",E590&lt;&gt;"!!!"),"NEW","")))</f>
        <v>NEW</v>
      </c>
      <c r="G590" s="22" t="s">
        <v>730</v>
      </c>
      <c r="H590" s="23" t="s">
        <v>222</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231</v>
      </c>
      <c r="E591" s="20" t="str">
        <f t="shared" si="60"/>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61"/>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265</v>
      </c>
      <c r="E592" s="20" t="str">
        <f t="shared" si="60"/>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61"/>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4" spans="1:12" x14ac:dyDescent="0.3">
      <c r="A594" t="s">
        <v>524</v>
      </c>
    </row>
    <row r="595" spans="1:12" x14ac:dyDescent="0.3">
      <c r="A595" t="s">
        <v>451</v>
      </c>
      <c r="E595" s="20" t="str">
        <f t="shared" ref="E595:E611" si="62">IF(D595="?OLD","!!!","")</f>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ref="H595:H611" ca="1" si="63">IF(J595&lt;&gt;1,"",IF(I595="SBJ","CB","?"))</f>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244</v>
      </c>
      <c r="B596" s="26" t="s">
        <v>234</v>
      </c>
      <c r="C596" s="26" t="s">
        <v>282</v>
      </c>
      <c r="E596" s="20" t="s">
        <v>658</v>
      </c>
      <c r="F596" s="21" t="s">
        <v>689</v>
      </c>
      <c r="G596" s="22" t="s">
        <v>708</v>
      </c>
      <c r="H596" s="23"/>
      <c r="I596" s="24" t="str">
        <f>IF(OR(E596="",E596="!!!",F596="NEW"),"",INDEX(B$2:B595,-1+SUMPRODUCT(MAX(ROW(E$2:E595)*(E596=E$2:E595)))))</f>
        <v>other_2</v>
      </c>
      <c r="J596" s="24">
        <f ca="1">IF(OR(E596="",E596="!!!",F596="NEW"),"",COUNTBLANK(OFFSET(A$1,,,SUMPRODUCT(MAX(ROW(E$2:E596)*(E596=E$2:E596)))))-COUNTBLANK(OFFSET(A$1,,,SUMPRODUCT(MAX(ROW(E$1:E595)*(E2=E$1:E595))))))</f>
        <v>0</v>
      </c>
      <c r="K596" s="24">
        <f ca="1">IF(OR(E596="",E596="!!!",F596="NEW"),"",INDEX(J$1:J595,SUMPRODUCT(MAX(ROW(E$1:E595)*(E596=E$1:E595)))))</f>
        <v>0</v>
      </c>
      <c r="L596" s="25"/>
    </row>
    <row r="597" spans="1:12" x14ac:dyDescent="0.3">
      <c r="A597" t="s">
        <v>275</v>
      </c>
      <c r="E597" s="20" t="str">
        <f>IF(D597="?OLD","!!!","")</f>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63"/>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525</v>
      </c>
      <c r="E598" s="20" t="str">
        <f t="shared" si="62"/>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63"/>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526</v>
      </c>
      <c r="E599" s="20" t="str">
        <f t="shared" si="62"/>
        <v/>
      </c>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63"/>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342</v>
      </c>
      <c r="E600" s="20" t="str">
        <f t="shared" si="62"/>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63"/>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474</v>
      </c>
      <c r="B601" s="26" t="s">
        <v>241</v>
      </c>
      <c r="C601" s="26" t="s">
        <v>269</v>
      </c>
      <c r="D601" s="26" t="s">
        <v>254</v>
      </c>
      <c r="E601" s="20" t="s">
        <v>674</v>
      </c>
      <c r="F601" s="21" t="str">
        <f>IF(OR(E601="",E601="!!!"),"",IF(NOT(ISNA(VLOOKUP(E601,E$1:E600,1,FALSE()))),"OLD",IF(AND(E601&lt;&gt;"",E601&lt;&gt;"!!!"),"NEW","")))</f>
        <v>OLD</v>
      </c>
      <c r="G601" s="22" t="s">
        <v>713</v>
      </c>
      <c r="H601" s="23" t="s">
        <v>222</v>
      </c>
      <c r="I601" s="24" t="str">
        <f>IF(OR(E601="",E601="!!!",F601="NEW"),"",INDEX(B$2:B600,-1+SUMPRODUCT(MAX(ROW(E$2:E600)*(E601=E$2:E600)))))</f>
        <v>OBJ</v>
      </c>
      <c r="J601" s="24">
        <f ca="1">IF(OR(E601="",E601="!!!",F601="NEW"),"",COUNTBLANK(OFFSET(A$1,,,SUMPRODUCT(MAX(ROW(E$2:E601)*(E601=E$2:E601)))))-COUNTBLANK(OFFSET(A$1,,,SUMPRODUCT(MAX(ROW(E$1:E600)*(E2=E$1:E600))))))</f>
        <v>0</v>
      </c>
      <c r="K601" s="24">
        <f ca="1">IF(OR(E601="",E601="!!!",F601="NEW"),"",INDEX(J$1:J600,SUMPRODUCT(MAX(ROW(E$1:E600)*(E601=E$1:E600)))))</f>
        <v>0</v>
      </c>
      <c r="L601" s="25" t="s">
        <v>738</v>
      </c>
    </row>
    <row r="602" spans="1:12" x14ac:dyDescent="0.3">
      <c r="A602" t="s">
        <v>417</v>
      </c>
      <c r="E602" s="20" t="str">
        <f t="shared" si="62"/>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63"/>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3" spans="1:12" x14ac:dyDescent="0.3">
      <c r="A603" t="s">
        <v>268</v>
      </c>
      <c r="B603" s="26" t="s">
        <v>257</v>
      </c>
      <c r="C603" s="26" t="s">
        <v>269</v>
      </c>
      <c r="D603" s="26" t="s">
        <v>254</v>
      </c>
      <c r="E603" s="20" t="s">
        <v>658</v>
      </c>
      <c r="F603" s="21" t="str">
        <f>IF(OR(E603="",E603="!!!"),"",IF(NOT(ISNA(VLOOKUP(E603,E$1:E602,1,FALSE()))),"OLD",IF(AND(E603&lt;&gt;"",E603&lt;&gt;"!!!"),"NEW","")))</f>
        <v>OLD</v>
      </c>
      <c r="G603" s="22" t="str">
        <f ca="1">IF(OR(E603="",E603="!!!"),"",IF(OR(J603=0,AND(J603=1,K603=1),AND(J603=1,I603="SBJ"),AND(J603=1,I603=0)),"?IN_FOCUS",IF(J603&lt;=2,"?ACTIVATED",IF(J603&lt;&gt;"","?FAMILIAR",IF(F603="NEW",IF(ISNA(VLOOKUP(E603,#REF!,1,FALSE())),"?TYPE_IDENTIFIABLE","?REFERENTIAL"),"_")))))</f>
        <v>?IN_FOCUS</v>
      </c>
      <c r="H603" s="23"/>
      <c r="I603" s="24" t="str">
        <f>IF(OR(E603="",E603="!!!",F603="NEW"),"",INDEX(B$2:B602,-1+SUMPRODUCT(MAX(ROW(E$2:E602)*(E603=E$2:E602)))))</f>
        <v>SBJ_2</v>
      </c>
      <c r="J603" s="24">
        <f ca="1">IF(OR(E603="",E603="!!!",F603="NEW"),"",COUNTBLANK(OFFSET(A$1,,,SUMPRODUCT(MAX(ROW(E$2:E603)*(E603=E$2:E603)))))-COUNTBLANK(OFFSET(A$1,,,SUMPRODUCT(MAX(ROW(E$1:E602)*(E2=E$1:E602))))))</f>
        <v>0</v>
      </c>
      <c r="K603" s="24">
        <f ca="1">IF(OR(E603="",E603="!!!",F603="NEW"),"",INDEX(J$1:J602,SUMPRODUCT(MAX(ROW(E$1:E602)*(E603=E$1:E602)))))</f>
        <v>0</v>
      </c>
      <c r="L603" s="25"/>
    </row>
    <row r="604" spans="1:12" x14ac:dyDescent="0.3">
      <c r="A604" t="s">
        <v>527</v>
      </c>
      <c r="E604" s="20" t="str">
        <f t="shared" si="62"/>
        <v/>
      </c>
      <c r="F604" s="21" t="str">
        <f>IF(OR(E604="",E604="!!!"),"",IF(NOT(ISNA(VLOOKUP(E604,E$1:E603,1,FALSE()))),"OLD",IF(AND(E604&lt;&gt;"",E604&lt;&gt;"!!!"),"NEW","")))</f>
        <v/>
      </c>
      <c r="G604" s="22" t="str">
        <f>IF(OR(E604="",E604="!!!"),"",IF(OR(J604=0,AND(J604=1,K604=1),AND(J604=1,I604="SBJ"),AND(J604=1,I604=0)),"?IN_FOCUS",IF(J604&lt;=2,"?ACTIVATED",IF(J604&lt;&gt;"","?FAMILIAR",IF(F604="NEW",IF(ISNA(VLOOKUP(E604,#REF!,1,FALSE())),"?TYPE_IDENTIFIABLE","?REFERENTIAL"),"_")))))</f>
        <v/>
      </c>
      <c r="H604" s="23" t="str">
        <f t="shared" ca="1" si="63"/>
        <v/>
      </c>
      <c r="I604" s="24" t="str">
        <f>IF(OR(E604="",E604="!!!",F604="NEW"),"",INDEX(B$2:B603,-1+SUMPRODUCT(MAX(ROW(E$2:E603)*(E604=E$2:E603)))))</f>
        <v/>
      </c>
      <c r="J604" s="24" t="str">
        <f ca="1">IF(OR(E604="",E604="!!!",F604="NEW"),"",COUNTBLANK(OFFSET(A$1,,,SUMPRODUCT(MAX(ROW(E$2:E604)*(E604=E$2:E604)))))-COUNTBLANK(OFFSET(A$1,,,SUMPRODUCT(MAX(ROW(E$1:E603)*(E2=E$1:E603))))))</f>
        <v/>
      </c>
      <c r="K604" s="24" t="str">
        <f>IF(OR(E604="",E604="!!!",F604="NEW"),"",INDEX(J$1:J603,SUMPRODUCT(MAX(ROW(E$1:E603)*(E604=E$1:E603)))))</f>
        <v/>
      </c>
      <c r="L604" s="25"/>
    </row>
    <row r="605" spans="1:12" x14ac:dyDescent="0.3">
      <c r="A605" t="s">
        <v>403</v>
      </c>
      <c r="E605" s="20" t="str">
        <f t="shared" si="62"/>
        <v/>
      </c>
      <c r="F605" s="21" t="str">
        <f>IF(OR(E605="",E605="!!!"),"",IF(NOT(ISNA(VLOOKUP(E605,E$1:E604,1,FALSE()))),"OLD",IF(AND(E605&lt;&gt;"",E605&lt;&gt;"!!!"),"NEW","")))</f>
        <v/>
      </c>
      <c r="G605" s="22" t="str">
        <f>IF(OR(E605="",E605="!!!"),"",IF(OR(J605=0,AND(J605=1,K605=1),AND(J605=1,I605="SBJ"),AND(J605=1,I605=0)),"?IN_FOCUS",IF(J605&lt;=2,"?ACTIVATED",IF(J605&lt;&gt;"","?FAMILIAR",IF(F605="NEW",IF(ISNA(VLOOKUP(E605,#REF!,1,FALSE())),"?TYPE_IDENTIFIABLE","?REFERENTIAL"),"_")))))</f>
        <v/>
      </c>
      <c r="H605" s="23" t="str">
        <f t="shared" ca="1" si="63"/>
        <v/>
      </c>
      <c r="I605" s="24" t="str">
        <f>IF(OR(E605="",E605="!!!",F605="NEW"),"",INDEX(B$2:B604,-1+SUMPRODUCT(MAX(ROW(E$2:E604)*(E605=E$2:E604)))))</f>
        <v/>
      </c>
      <c r="J605" s="24" t="str">
        <f ca="1">IF(OR(E605="",E605="!!!",F605="NEW"),"",COUNTBLANK(OFFSET(A$1,,,SUMPRODUCT(MAX(ROW(E$2:E605)*(E605=E$2:E605)))))-COUNTBLANK(OFFSET(A$1,,,SUMPRODUCT(MAX(ROW(E$1:E604)*(E2=E$1:E604))))))</f>
        <v/>
      </c>
      <c r="K605" s="24" t="str">
        <f>IF(OR(E605="",E605="!!!",F605="NEW"),"",INDEX(J$1:J604,SUMPRODUCT(MAX(ROW(E$1:E604)*(E605=E$1:E604)))))</f>
        <v/>
      </c>
      <c r="L605" s="25"/>
    </row>
    <row r="606" spans="1:12" x14ac:dyDescent="0.3">
      <c r="A606" t="s">
        <v>101</v>
      </c>
      <c r="E606" s="20" t="str">
        <f t="shared" si="62"/>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63"/>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528</v>
      </c>
      <c r="B607" s="26" t="s">
        <v>375</v>
      </c>
      <c r="C607" s="26" t="s">
        <v>529</v>
      </c>
      <c r="D607" s="26" t="s">
        <v>254</v>
      </c>
      <c r="E607" s="20"/>
      <c r="F607" s="21" t="s">
        <v>714</v>
      </c>
      <c r="G607" s="22"/>
      <c r="H607" s="23" t="str">
        <f t="shared" ca="1" si="63"/>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256</v>
      </c>
      <c r="E608" s="20" t="str">
        <f t="shared" si="62"/>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63"/>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323</v>
      </c>
      <c r="B609" s="26" t="s">
        <v>274</v>
      </c>
      <c r="C609" s="26" t="s">
        <v>269</v>
      </c>
      <c r="D609" s="26" t="s">
        <v>254</v>
      </c>
      <c r="E609" s="20" t="s">
        <v>665</v>
      </c>
      <c r="F609" s="21" t="str">
        <f>IF(OR(E609="",E609="!!!"),"",IF(NOT(ISNA(VLOOKUP(E609,E$1:E608,1,FALSE()))),"OLD",IF(AND(E609&lt;&gt;"",E609&lt;&gt;"!!!"),"NEW","")))</f>
        <v>OLD</v>
      </c>
      <c r="G609" s="22" t="str">
        <f ca="1">IF(OR(E609="",E609="!!!"),"",IF(OR(J609=0,AND(J609=1,K609=1),AND(J609=1,I609="SBJ"),AND(J609=1,I609=0)),"?IN_FOCUS",IF(J609&lt;=2,"?ACTIVATED",IF(J609&lt;&gt;"","?FAMILIAR",IF(F609="NEW",IF(ISNA(VLOOKUP(E609,#REF!,1,FALSE())),"?TYPE_IDENTIFIABLE","?REFERENTIAL"),"_")))))</f>
        <v>?IN_FOCUS</v>
      </c>
      <c r="H609" s="23" t="str">
        <f t="shared" ca="1" si="63"/>
        <v/>
      </c>
      <c r="I609" s="24" t="str">
        <f>IF(OR(E609="",E609="!!!",F609="NEW"),"",INDEX(B$2:B608,-1+SUMPRODUCT(MAX(ROW(E$2:E608)*(E609=E$2:E608)))))</f>
        <v>SBJ_2</v>
      </c>
      <c r="J609" s="24">
        <f ca="1">IF(OR(E609="",E609="!!!",F609="NEW"),"",COUNTBLANK(OFFSET(A$1,,,SUMPRODUCT(MAX(ROW(E$2:E609)*(E609=E$2:E609)))))-COUNTBLANK(OFFSET(A$1,,,SUMPRODUCT(MAX(ROW(E$1:E608)*(E2=E$1:E608))))))</f>
        <v>0</v>
      </c>
      <c r="K609" s="24">
        <f ca="1">IF(OR(E609="",E609="!!!",F609="NEW"),"",INDEX(J$1:J608,SUMPRODUCT(MAX(ROW(E$1:E608)*(E609=E$1:E608)))))</f>
        <v>0</v>
      </c>
      <c r="L609" s="25"/>
    </row>
    <row r="610" spans="1:12" x14ac:dyDescent="0.3">
      <c r="A610" t="s">
        <v>489</v>
      </c>
      <c r="E610" s="20" t="str">
        <f t="shared" si="62"/>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63"/>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265</v>
      </c>
      <c r="E611" s="20" t="str">
        <f t="shared" si="62"/>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63"/>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3" spans="1:12" x14ac:dyDescent="0.3">
      <c r="A613" t="s">
        <v>411</v>
      </c>
      <c r="E613" s="20" t="str">
        <f>IF(D613="?OLD","!!!","")</f>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ca="1">IF(J613&lt;&gt;1,"",IF(I613="SBJ","CB","?"))</f>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530</v>
      </c>
    </row>
    <row r="615" spans="1:12" x14ac:dyDescent="0.3">
      <c r="A615" t="s">
        <v>231</v>
      </c>
      <c r="E615" s="20" t="str">
        <f t="shared" ref="E615:E634" si="64">IF(D615="?OLD","!!!","")</f>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ref="H615:H634" ca="1" si="65">IF(J615&lt;&gt;1,"",IF(I615="SBJ","CB","?"))</f>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531</v>
      </c>
      <c r="E616" s="20" t="str">
        <f t="shared" si="64"/>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65"/>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268</v>
      </c>
      <c r="B617" s="26" t="s">
        <v>274</v>
      </c>
      <c r="C617" s="26" t="s">
        <v>269</v>
      </c>
      <c r="D617" s="26" t="s">
        <v>254</v>
      </c>
      <c r="E617" s="20" t="s">
        <v>658</v>
      </c>
      <c r="F617" s="21" t="str">
        <f>IF(OR(E617="",E617="!!!"),"",IF(NOT(ISNA(VLOOKUP(E617,E$1:E616,1,FALSE()))),"OLD",IF(AND(E617&lt;&gt;"",E617&lt;&gt;"!!!"),"NEW","")))</f>
        <v>OLD</v>
      </c>
      <c r="G617" s="22" t="str">
        <f ca="1">IF(OR(E617="",E617="!!!"),"",IF(OR(J617=0,AND(J617=1,K617=1),AND(J617=1,I617="SBJ"),AND(J617=1,I617=0)),"?IN_FOCUS",IF(J617&lt;=2,"?ACTIVATED",IF(J617&lt;&gt;"","?FAMILIAR",IF(F617="NEW",IF(ISNA(VLOOKUP(E617,#REF!,1,FALSE())),"?TYPE_IDENTIFIABLE","?REFERENTIAL"),"_")))))</f>
        <v>?IN_FOCUS</v>
      </c>
      <c r="H617" s="23" t="s">
        <v>222</v>
      </c>
      <c r="I617" s="24" t="str">
        <f>IF(OR(E617="",E617="!!!",F617="NEW"),"",INDEX(B$2:B616,-1+SUMPRODUCT(MAX(ROW(E$2:E616)*(E617=E$2:E616)))))</f>
        <v>SBJ_3</v>
      </c>
      <c r="J617" s="24">
        <f ca="1">IF(OR(E617="",E617="!!!",F617="NEW"),"",COUNTBLANK(OFFSET(A$1,,,SUMPRODUCT(MAX(ROW(E$2:E617)*(E617=E$2:E617)))))-COUNTBLANK(OFFSET(A$1,,,SUMPRODUCT(MAX(ROW(E$1:E616)*(E2=E$1:E616))))))</f>
        <v>0</v>
      </c>
      <c r="K617" s="24">
        <f ca="1">IF(OR(E617="",E617="!!!",F617="NEW"),"",INDEX(J$1:J616,SUMPRODUCT(MAX(ROW(E$1:E616)*(E617=E$1:E616)))))</f>
        <v>0</v>
      </c>
      <c r="L617" s="25"/>
    </row>
    <row r="618" spans="1:12" x14ac:dyDescent="0.3">
      <c r="A618" t="s">
        <v>532</v>
      </c>
      <c r="E618" s="20" t="str">
        <f t="shared" si="64"/>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65"/>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533</v>
      </c>
      <c r="E619" s="20" t="str">
        <f t="shared" si="64"/>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65"/>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t="s">
        <v>731</v>
      </c>
    </row>
    <row r="620" spans="1:12" x14ac:dyDescent="0.3">
      <c r="A620" t="s">
        <v>158</v>
      </c>
      <c r="E620" s="20" t="str">
        <f t="shared" si="64"/>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65"/>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534</v>
      </c>
      <c r="B621" s="26" t="s">
        <v>292</v>
      </c>
      <c r="E621" s="20" t="str">
        <f t="shared" si="64"/>
        <v/>
      </c>
      <c r="F621" s="21" t="s">
        <v>690</v>
      </c>
      <c r="G621" s="22" t="str">
        <f>IF(OR(E621="",E621="!!!"),"",IF(OR(J621=0,AND(J621=1,K621=1),AND(J621=1,I621="SBJ"),AND(J621=1,I621=0)),"?IN_FOCUS",IF(J621&lt;=2,"?ACTIVATED",IF(J621&lt;&gt;"","?FAMILIAR",IF(F621="NEW",IF(ISNA(VLOOKUP(E621,#REF!,1,FALSE())),"?TYPE_IDENTIFIABLE","?REFERENTIAL"),"_")))))</f>
        <v/>
      </c>
      <c r="H621" s="23" t="str">
        <f t="shared" ca="1" si="65"/>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342</v>
      </c>
      <c r="E622" s="20" t="str">
        <f t="shared" si="64"/>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65"/>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3" spans="1:12" x14ac:dyDescent="0.3">
      <c r="A623" t="s">
        <v>535</v>
      </c>
      <c r="E623" s="20" t="str">
        <f t="shared" si="64"/>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65"/>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536</v>
      </c>
      <c r="E624" s="20" t="str">
        <f t="shared" si="64"/>
        <v/>
      </c>
      <c r="F624" s="21" t="str">
        <f>IF(OR(E624="",E624="!!!"),"",IF(NOT(ISNA(VLOOKUP(E624,E$1:E623,1,FALSE()))),"OLD",IF(AND(E624&lt;&gt;"",E624&lt;&gt;"!!!"),"NEW","")))</f>
        <v/>
      </c>
      <c r="G624" s="22" t="str">
        <f>IF(OR(E624="",E624="!!!"),"",IF(OR(J624=0,AND(J624=1,K624=1),AND(J624=1,I624="SBJ"),AND(J624=1,I624=0)),"?IN_FOCUS",IF(J624&lt;=2,"?ACTIVATED",IF(J624&lt;&gt;"","?FAMILIAR",IF(F624="NEW",IF(ISNA(VLOOKUP(E624,#REF!,1,FALSE())),"?TYPE_IDENTIFIABLE","?REFERENTIAL"),"_")))))</f>
        <v/>
      </c>
      <c r="H624" s="23" t="str">
        <f t="shared" ca="1" si="65"/>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537</v>
      </c>
      <c r="B625" s="26" t="s">
        <v>241</v>
      </c>
      <c r="C625" s="26" t="s">
        <v>296</v>
      </c>
      <c r="E625" s="20" t="str">
        <f t="shared" si="64"/>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65"/>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6" spans="1:12" x14ac:dyDescent="0.3">
      <c r="A626" t="s">
        <v>268</v>
      </c>
      <c r="B626" s="26" t="s">
        <v>357</v>
      </c>
      <c r="C626" s="26" t="s">
        <v>269</v>
      </c>
      <c r="D626" s="26" t="s">
        <v>254</v>
      </c>
      <c r="E626" s="20" t="s">
        <v>658</v>
      </c>
      <c r="F626" s="21" t="str">
        <f>IF(OR(E626="",E626="!!!"),"",IF(NOT(ISNA(VLOOKUP(E626,E$1:E625,1,FALSE()))),"OLD",IF(AND(E626&lt;&gt;"",E626&lt;&gt;"!!!"),"NEW","")))</f>
        <v>OLD</v>
      </c>
      <c r="G626" s="22" t="str">
        <f ca="1">IF(OR(E626="",E626="!!!"),"",IF(OR(J626=0,AND(J626=1,K626=1),AND(J626=1,I626="SBJ"),AND(J626=1,I626=0)),"?IN_FOCUS",IF(J626&lt;=2,"?ACTIVATED",IF(J626&lt;&gt;"","?FAMILIAR",IF(F626="NEW",IF(ISNA(VLOOKUP(E626,#REF!,1,FALSE())),"?TYPE_IDENTIFIABLE","?REFERENTIAL"),"_")))))</f>
        <v>?IN_FOCUS</v>
      </c>
      <c r="H626" s="23" t="str">
        <f t="shared" ca="1" si="65"/>
        <v/>
      </c>
      <c r="I626" s="24" t="str">
        <f>IF(OR(E626="",E626="!!!",F626="NEW"),"",INDEX(B$2:B625,-1+SUMPRODUCT(MAX(ROW(E$2:E625)*(E626=E$2:E625)))))</f>
        <v>SBJ</v>
      </c>
      <c r="J626" s="24">
        <f ca="1">IF(OR(E626="",E626="!!!",F626="NEW"),"",COUNTBLANK(OFFSET(A$1,,,SUMPRODUCT(MAX(ROW(E$2:E626)*(E626=E$2:E626)))))-COUNTBLANK(OFFSET(A$1,,,SUMPRODUCT(MAX(ROW(E$1:E625)*(E2=E$1:E625))))))</f>
        <v>0</v>
      </c>
      <c r="K626" s="24">
        <f ca="1">IF(OR(E626="",E626="!!!",F626="NEW"),"",INDEX(J$1:J625,SUMPRODUCT(MAX(ROW(E$1:E625)*(E626=E$1:E625)))))</f>
        <v>0</v>
      </c>
      <c r="L626" s="25"/>
    </row>
    <row r="627" spans="1:12" x14ac:dyDescent="0.3">
      <c r="A627" t="s">
        <v>460</v>
      </c>
      <c r="E627" s="20" t="str">
        <f t="shared" si="64"/>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65"/>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429</v>
      </c>
      <c r="E628" s="20" t="str">
        <f t="shared" si="64"/>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65"/>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29" spans="1:12" x14ac:dyDescent="0.3">
      <c r="A629" t="s">
        <v>268</v>
      </c>
      <c r="B629" s="26" t="s">
        <v>439</v>
      </c>
      <c r="C629" s="26" t="s">
        <v>269</v>
      </c>
      <c r="D629" s="26" t="s">
        <v>254</v>
      </c>
      <c r="E629" s="20" t="s">
        <v>658</v>
      </c>
      <c r="F629" s="21" t="str">
        <f>IF(OR(E629="",E629="!!!"),"",IF(NOT(ISNA(VLOOKUP(E629,E$1:E628,1,FALSE()))),"OLD",IF(AND(E629&lt;&gt;"",E629&lt;&gt;"!!!"),"NEW","")))</f>
        <v>OLD</v>
      </c>
      <c r="G629" s="22" t="str">
        <f ca="1">IF(OR(E629="",E629="!!!"),"",IF(OR(J629=0,AND(J629=1,K629=1),AND(J629=1,I629="SBJ"),AND(J629=1,I629=0)),"?IN_FOCUS",IF(J629&lt;=2,"?ACTIVATED",IF(J629&lt;&gt;"","?FAMILIAR",IF(F629="NEW",IF(ISNA(VLOOKUP(E629,#REF!,1,FALSE())),"?TYPE_IDENTIFIABLE","?REFERENTIAL"),"_")))))</f>
        <v>?IN_FOCUS</v>
      </c>
      <c r="H629" s="23" t="str">
        <f t="shared" ca="1" si="65"/>
        <v/>
      </c>
      <c r="I629" s="24" t="str">
        <f>IF(OR(E629="",E629="!!!",F629="NEW"),"",INDEX(B$2:B628,-1+SUMPRODUCT(MAX(ROW(E$2:E628)*(E629=E$2:E628)))))</f>
        <v>SBJ_4</v>
      </c>
      <c r="J629" s="24">
        <f ca="1">IF(OR(E629="",E629="!!!",F629="NEW"),"",COUNTBLANK(OFFSET(A$1,,,SUMPRODUCT(MAX(ROW(E$2:E629)*(E629=E$2:E629)))))-COUNTBLANK(OFFSET(A$1,,,SUMPRODUCT(MAX(ROW(E$1:E628)*(E2=E$1:E628))))))</f>
        <v>0</v>
      </c>
      <c r="K629" s="24">
        <f ca="1">IF(OR(E629="",E629="!!!",F629="NEW"),"",INDEX(J$1:J628,SUMPRODUCT(MAX(ROW(E$1:E628)*(E629=E$1:E628)))))</f>
        <v>0</v>
      </c>
      <c r="L629" s="25"/>
    </row>
    <row r="630" spans="1:12" x14ac:dyDescent="0.3">
      <c r="A630" t="s">
        <v>275</v>
      </c>
      <c r="E630" s="20" t="str">
        <f t="shared" si="64"/>
        <v/>
      </c>
      <c r="F630" s="21" t="str">
        <f>IF(OR(E630="",E630="!!!"),"",IF(NOT(ISNA(VLOOKUP(E630,E$1:E629,1,FALSE()))),"OLD",IF(AND(E630&lt;&gt;"",E630&lt;&gt;"!!!"),"NEW","")))</f>
        <v/>
      </c>
      <c r="G630" s="22" t="str">
        <f>IF(OR(E630="",E630="!!!"),"",IF(OR(J630=0,AND(J630=1,K630=1),AND(J630=1,I630="SBJ"),AND(J630=1,I630=0)),"?IN_FOCUS",IF(J630&lt;=2,"?ACTIVATED",IF(J630&lt;&gt;"","?FAMILIAR",IF(F630="NEW",IF(ISNA(VLOOKUP(E630,#REF!,1,FALSE())),"?TYPE_IDENTIFIABLE","?REFERENTIAL"),"_")))))</f>
        <v/>
      </c>
      <c r="H630" s="23" t="str">
        <f t="shared" ca="1" si="65"/>
        <v/>
      </c>
      <c r="I630" s="24" t="str">
        <f>IF(OR(E630="",E630="!!!",F630="NEW"),"",INDEX(B$2:B629,-1+SUMPRODUCT(MAX(ROW(E$2:E629)*(E630=E$2:E629)))))</f>
        <v/>
      </c>
      <c r="J630" s="24" t="str">
        <f ca="1">IF(OR(E630="",E630="!!!",F630="NEW"),"",COUNTBLANK(OFFSET(A$1,,,SUMPRODUCT(MAX(ROW(E$2:E630)*(E630=E$2:E630)))))-COUNTBLANK(OFFSET(A$1,,,SUMPRODUCT(MAX(ROW(E$1:E629)*(E2=E$1:E629))))))</f>
        <v/>
      </c>
      <c r="K630" s="24" t="str">
        <f>IF(OR(E630="",E630="!!!",F630="NEW"),"",INDEX(J$1:J629,SUMPRODUCT(MAX(ROW(E$1:E629)*(E630=E$1:E629)))))</f>
        <v/>
      </c>
      <c r="L630" s="25"/>
    </row>
    <row r="631" spans="1:12" x14ac:dyDescent="0.3">
      <c r="A631" t="s">
        <v>538</v>
      </c>
      <c r="E631" s="20" t="str">
        <f t="shared" si="64"/>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ca="1" si="65"/>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539</v>
      </c>
      <c r="E632" s="20" t="str">
        <f t="shared" si="64"/>
        <v/>
      </c>
      <c r="F632" s="21" t="str">
        <f>IF(OR(E632="",E632="!!!"),"",IF(NOT(ISNA(VLOOKUP(E632,E$1:E631,1,FALSE()))),"OLD",IF(AND(E632&lt;&gt;"",E632&lt;&gt;"!!!"),"NEW","")))</f>
        <v/>
      </c>
      <c r="G632" s="22" t="str">
        <f>IF(OR(E632="",E632="!!!"),"",IF(OR(J632=0,AND(J632=1,K632=1),AND(J632=1,I632="SBJ"),AND(J632=1,I632=0)),"?IN_FOCUS",IF(J632&lt;=2,"?ACTIVATED",IF(J632&lt;&gt;"","?FAMILIAR",IF(F632="NEW",IF(ISNA(VLOOKUP(E632,#REF!,1,FALSE())),"?TYPE_IDENTIFIABLE","?REFERENTIAL"),"_")))))</f>
        <v/>
      </c>
      <c r="H632" s="23" t="str">
        <f t="shared" ca="1" si="65"/>
        <v/>
      </c>
      <c r="I632" s="24" t="str">
        <f>IF(OR(E632="",E632="!!!",F632="NEW"),"",INDEX(B$2:B631,-1+SUMPRODUCT(MAX(ROW(E$2:E631)*(E632=E$2:E631)))))</f>
        <v/>
      </c>
      <c r="J632" s="24" t="str">
        <f ca="1">IF(OR(E632="",E632="!!!",F632="NEW"),"",COUNTBLANK(OFFSET(A$1,,,SUMPRODUCT(MAX(ROW(E$2:E632)*(E632=E$2:E632)))))-COUNTBLANK(OFFSET(A$1,,,SUMPRODUCT(MAX(ROW(E$1:E631)*(E2=E$1:E631))))))</f>
        <v/>
      </c>
      <c r="K632" s="24" t="str">
        <f>IF(OR(E632="",E632="!!!",F632="NEW"),"",INDEX(J$1:J631,SUMPRODUCT(MAX(ROW(E$1:E631)*(E632=E$1:E631)))))</f>
        <v/>
      </c>
      <c r="L632" s="25"/>
    </row>
    <row r="633" spans="1:12" x14ac:dyDescent="0.3">
      <c r="A633" t="s">
        <v>231</v>
      </c>
      <c r="E633" s="20" t="str">
        <f t="shared" si="64"/>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65"/>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265</v>
      </c>
      <c r="E634" s="20" t="str">
        <f t="shared" si="64"/>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65"/>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6" spans="1:12" x14ac:dyDescent="0.3">
      <c r="A636" t="s">
        <v>540</v>
      </c>
    </row>
    <row r="637" spans="1:12" x14ac:dyDescent="0.3">
      <c r="A637" t="s">
        <v>541</v>
      </c>
      <c r="E637" s="20" t="str">
        <f t="shared" ref="E637:E660" si="66">IF(D637="?OLD","!!!","")</f>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ref="H637:H660" ca="1" si="67">IF(J637&lt;&gt;1,"",IF(I637="SBJ","CB","?"))</f>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268</v>
      </c>
      <c r="B638" s="26" t="s">
        <v>257</v>
      </c>
      <c r="C638" s="26" t="s">
        <v>269</v>
      </c>
      <c r="D638" s="26" t="s">
        <v>254</v>
      </c>
      <c r="E638" s="20" t="s">
        <v>658</v>
      </c>
      <c r="F638" s="21" t="str">
        <f>IF(OR(E638="",E638="!!!"),"",IF(NOT(ISNA(VLOOKUP(E638,E$1:E637,1,FALSE()))),"OLD",IF(AND(E638&lt;&gt;"",E638&lt;&gt;"!!!"),"NEW","")))</f>
        <v>OLD</v>
      </c>
      <c r="G638" s="22" t="str">
        <f ca="1">IF(OR(E638="",E638="!!!"),"",IF(OR(J638=0,AND(J638=1,K638=1),AND(J638=1,I638="SBJ"),AND(J638=1,I638=0)),"?IN_FOCUS",IF(J638&lt;=2,"?ACTIVATED",IF(J638&lt;&gt;"","?FAMILIAR",IF(F638="NEW",IF(ISNA(VLOOKUP(E638,#REF!,1,FALSE())),"?TYPE_IDENTIFIABLE","?REFERENTIAL"),"_")))))</f>
        <v>?IN_FOCUS</v>
      </c>
      <c r="H638" s="23" t="s">
        <v>222</v>
      </c>
      <c r="I638" s="24" t="str">
        <f>IF(OR(E638="",E638="!!!",F638="NEW"),"",INDEX(B$2:B637,-1+SUMPRODUCT(MAX(ROW(E$2:E637)*(E638=E$2:E637)))))</f>
        <v>SBJ_5</v>
      </c>
      <c r="J638" s="24">
        <f ca="1">IF(OR(E638="",E638="!!!",F638="NEW"),"",COUNTBLANK(OFFSET(A$1,,,SUMPRODUCT(MAX(ROW(E$2:E638)*(E638=E$2:E638)))))-COUNTBLANK(OFFSET(A$1,,,SUMPRODUCT(MAX(ROW(E$1:E637)*(E2=E$1:E637))))))</f>
        <v>0</v>
      </c>
      <c r="K638" s="24">
        <f ca="1">IF(OR(E638="",E638="!!!",F638="NEW"),"",INDEX(J$1:J637,SUMPRODUCT(MAX(ROW(E$1:E637)*(E638=E$1:E637)))))</f>
        <v>0</v>
      </c>
      <c r="L638" s="25"/>
    </row>
    <row r="639" spans="1:12" x14ac:dyDescent="0.3">
      <c r="A639" t="s">
        <v>276</v>
      </c>
      <c r="E639" s="20" t="str">
        <f t="shared" si="66"/>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67"/>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527</v>
      </c>
      <c r="E640" s="20" t="str">
        <f t="shared" si="66"/>
        <v/>
      </c>
      <c r="F640" s="21" t="str">
        <f>IF(OR(E640="",E640="!!!"),"",IF(NOT(ISNA(VLOOKUP(E640,E$1:E639,1,FALSE()))),"OLD",IF(AND(E640&lt;&gt;"",E640&lt;&gt;"!!!"),"NEW","")))</f>
        <v/>
      </c>
      <c r="G640" s="22" t="str">
        <f>IF(OR(E640="",E640="!!!"),"",IF(OR(J640=0,AND(J640=1,K640=1),AND(J640=1,I640="SBJ"),AND(J640=1,I640=0)),"?IN_FOCUS",IF(J640&lt;=2,"?ACTIVATED",IF(J640&lt;&gt;"","?FAMILIAR",IF(F640="NEW",IF(ISNA(VLOOKUP(E640,#REF!,1,FALSE())),"?TYPE_IDENTIFIABLE","?REFERENTIAL"),"_")))))</f>
        <v/>
      </c>
      <c r="H640" s="23" t="str">
        <f t="shared" ca="1" si="67"/>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row>
    <row r="641" spans="1:12" x14ac:dyDescent="0.3">
      <c r="A641" t="s">
        <v>533</v>
      </c>
      <c r="E641" s="20" t="str">
        <f t="shared" si="66"/>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67"/>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542</v>
      </c>
      <c r="E642" s="20" t="str">
        <f t="shared" si="66"/>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67"/>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543</v>
      </c>
      <c r="E643" s="20" t="str">
        <f t="shared" si="66"/>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67"/>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342</v>
      </c>
      <c r="E644" s="20" t="str">
        <f t="shared" si="66"/>
        <v/>
      </c>
      <c r="F644" s="21" t="str">
        <f>IF(OR(E644="",E644="!!!"),"",IF(NOT(ISNA(VLOOKUP(E644,E$1:E643,1,FALSE()))),"OLD",IF(AND(E644&lt;&gt;"",E644&lt;&gt;"!!!"),"NEW","")))</f>
        <v/>
      </c>
      <c r="G644" s="22" t="str">
        <f>IF(OR(E644="",E644="!!!"),"",IF(OR(J644=0,AND(J644=1,K644=1),AND(J644=1,I644="SBJ"),AND(J644=1,I644=0)),"?IN_FOCUS",IF(J644&lt;=2,"?ACTIVATED",IF(J644&lt;&gt;"","?FAMILIAR",IF(F644="NEW",IF(ISNA(VLOOKUP(E644,#REF!,1,FALSE())),"?TYPE_IDENTIFIABLE","?REFERENTIAL"),"_")))))</f>
        <v/>
      </c>
      <c r="H644" s="23" t="str">
        <f t="shared" ca="1" si="67"/>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544</v>
      </c>
      <c r="E645" s="20" t="str">
        <f t="shared" si="66"/>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67"/>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545</v>
      </c>
      <c r="B646" s="26" t="s">
        <v>546</v>
      </c>
      <c r="C646" s="26" t="s">
        <v>229</v>
      </c>
      <c r="E646" s="20" t="str">
        <f t="shared" si="66"/>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67"/>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256</v>
      </c>
      <c r="E647" s="20" t="str">
        <f t="shared" si="66"/>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67"/>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398</v>
      </c>
      <c r="E648" s="20" t="str">
        <f t="shared" si="66"/>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67"/>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547</v>
      </c>
      <c r="E649" s="20" t="str">
        <f t="shared" si="66"/>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67"/>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3">
      <c r="A650" t="s">
        <v>342</v>
      </c>
      <c r="E650" s="20" t="str">
        <f t="shared" si="66"/>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67"/>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3">
      <c r="A651" t="s">
        <v>92</v>
      </c>
      <c r="E651" s="20" t="str">
        <f t="shared" si="66"/>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67"/>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3">
      <c r="A652" t="s">
        <v>548</v>
      </c>
      <c r="E652" s="20" t="str">
        <f t="shared" si="66"/>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67"/>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369</v>
      </c>
      <c r="B653" s="26" t="s">
        <v>241</v>
      </c>
      <c r="C653" s="26" t="s">
        <v>229</v>
      </c>
      <c r="E653" s="20" t="str">
        <f t="shared" si="66"/>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67"/>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549</v>
      </c>
      <c r="E654" s="20" t="str">
        <f t="shared" si="66"/>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67"/>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348</v>
      </c>
      <c r="E655" s="20" t="str">
        <f t="shared" si="66"/>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67"/>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290</v>
      </c>
      <c r="B656" s="26" t="s">
        <v>252</v>
      </c>
      <c r="C656" s="26" t="s">
        <v>269</v>
      </c>
      <c r="D656" s="26" t="s">
        <v>254</v>
      </c>
      <c r="E656" s="20" t="s">
        <v>658</v>
      </c>
      <c r="F656" s="21" t="str">
        <f>IF(OR(E656="",E656="!!!"),"",IF(NOT(ISNA(VLOOKUP(E656,E$1:E655,1,FALSE()))),"OLD",IF(AND(E656&lt;&gt;"",E656&lt;&gt;"!!!"),"NEW","")))</f>
        <v>OLD</v>
      </c>
      <c r="G656" s="22" t="str">
        <f ca="1">IF(OR(E656="",E656="!!!"),"",IF(OR(J656=0,AND(J656=1,K656=1),AND(J656=1,I656="SBJ"),AND(J656=1,I656=0)),"?IN_FOCUS",IF(J656&lt;=2,"?ACTIVATED",IF(J656&lt;&gt;"","?FAMILIAR",IF(F656="NEW",IF(ISNA(VLOOKUP(E656,#REF!,1,FALSE())),"?TYPE_IDENTIFIABLE","?REFERENTIAL"),"_")))))</f>
        <v>?IN_FOCUS</v>
      </c>
      <c r="H656" s="23" t="str">
        <f t="shared" ca="1" si="67"/>
        <v/>
      </c>
      <c r="I656" s="24" t="str">
        <f>IF(OR(E656="",E656="!!!",F656="NEW"),"",INDEX(B$2:B655,-1+SUMPRODUCT(MAX(ROW(E$2:E655)*(E656=E$2:E655)))))</f>
        <v>SBJ_3</v>
      </c>
      <c r="J656" s="24">
        <f ca="1">IF(OR(E656="",E656="!!!",F656="NEW"),"",COUNTBLANK(OFFSET(A$1,,,SUMPRODUCT(MAX(ROW(E$2:E656)*(E656=E$2:E656)))))-COUNTBLANK(OFFSET(A$1,,,SUMPRODUCT(MAX(ROW(E$1:E655)*(E2=E$1:E655))))))</f>
        <v>0</v>
      </c>
      <c r="K656" s="24">
        <f ca="1">IF(OR(E656="",E656="!!!",F656="NEW"),"",INDEX(J$1:J655,SUMPRODUCT(MAX(ROW(E$1:E655)*(E656=E$1:E655)))))</f>
        <v>0</v>
      </c>
      <c r="L656" s="25"/>
    </row>
    <row r="657" spans="1:12" x14ac:dyDescent="0.3">
      <c r="A657" t="s">
        <v>256</v>
      </c>
      <c r="E657" s="20" t="str">
        <f t="shared" si="66"/>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67"/>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489</v>
      </c>
      <c r="E658" s="20" t="str">
        <f t="shared" si="66"/>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67"/>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344</v>
      </c>
      <c r="B659" s="26" t="s">
        <v>274</v>
      </c>
      <c r="C659" s="26" t="s">
        <v>273</v>
      </c>
      <c r="D659" s="26" t="s">
        <v>254</v>
      </c>
      <c r="E659" s="20" t="s">
        <v>665</v>
      </c>
      <c r="F659" s="21" t="str">
        <f>IF(OR(E659="",E659="!!!"),"",IF(NOT(ISNA(VLOOKUP(E659,E$1:E658,1,FALSE()))),"OLD",IF(AND(E659&lt;&gt;"",E659&lt;&gt;"!!!"),"NEW","")))</f>
        <v>OLD</v>
      </c>
      <c r="G659" s="22" t="s">
        <v>713</v>
      </c>
      <c r="H659" s="23" t="str">
        <f t="shared" ca="1" si="67"/>
        <v/>
      </c>
      <c r="I659" s="24" t="str">
        <f>IF(OR(E659="",E659="!!!",F659="NEW"),"",INDEX(B$2:B658,-1+SUMPRODUCT(MAX(ROW(E$2:E658)*(E659=E$2:E658)))))</f>
        <v>SBJ</v>
      </c>
      <c r="J659" s="24">
        <f ca="1">IF(OR(E659="",E659="!!!",F659="NEW"),"",COUNTBLANK(OFFSET(A$1,,,SUMPRODUCT(MAX(ROW(E$2:E659)*(E659=E$2:E659)))))-COUNTBLANK(OFFSET(A$1,,,SUMPRODUCT(MAX(ROW(E$1:E658)*(E2=E$1:E658))))))</f>
        <v>0</v>
      </c>
      <c r="K659" s="24">
        <f ca="1">IF(OR(E659="",E659="!!!",F659="NEW"),"",INDEX(J$1:J658,SUMPRODUCT(MAX(ROW(E$1:E658)*(E659=E$1:E658)))))</f>
        <v>0</v>
      </c>
      <c r="L659" s="25"/>
    </row>
    <row r="660" spans="1:12" x14ac:dyDescent="0.3">
      <c r="A660" t="s">
        <v>265</v>
      </c>
      <c r="E660" s="20" t="str">
        <f t="shared" si="66"/>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ca="1" si="67"/>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2" spans="1:12" x14ac:dyDescent="0.3">
      <c r="A662" t="s">
        <v>550</v>
      </c>
    </row>
    <row r="663" spans="1:12" x14ac:dyDescent="0.3">
      <c r="A663" t="s">
        <v>457</v>
      </c>
      <c r="E663" s="20" t="str">
        <f t="shared" ref="E663:E677" si="68">IF(D663="?OLD","!!!","")</f>
        <v/>
      </c>
      <c r="F663" s="21" t="str">
        <f>IF(OR(E663="",E663="!!!"),"",IF(NOT(ISNA(VLOOKUP(E663,E$1:E662,1,FALSE()))),"OLD",IF(AND(E663&lt;&gt;"",E663&lt;&gt;"!!!"),"NEW","")))</f>
        <v/>
      </c>
      <c r="G663" s="22" t="str">
        <f>IF(OR(E663="",E663="!!!"),"",IF(OR(J663=0,AND(J663=1,K663=1),AND(J663=1,I663="SBJ"),AND(J663=1,I663=0)),"?IN_FOCUS",IF(J663&lt;=2,"?ACTIVATED",IF(J663&lt;&gt;"","?FAMILIAR",IF(F663="NEW",IF(ISNA(VLOOKUP(E663,#REF!,1,FALSE())),"?TYPE_IDENTIFIABLE","?REFERENTIAL"),"_")))))</f>
        <v/>
      </c>
      <c r="H663" s="23" t="str">
        <f t="shared" ref="H663:H677" ca="1" si="69">IF(J663&lt;&gt;1,"",IF(I663="SBJ","CB","?"))</f>
        <v/>
      </c>
      <c r="I663" s="24" t="str">
        <f>IF(OR(E663="",E663="!!!",F663="NEW"),"",INDEX(B$2:B662,-1+SUMPRODUCT(MAX(ROW(E$2:E662)*(E663=E$2:E662)))))</f>
        <v/>
      </c>
      <c r="J663" s="24" t="str">
        <f ca="1">IF(OR(E663="",E663="!!!",F663="NEW"),"",COUNTBLANK(OFFSET(A$1,,,SUMPRODUCT(MAX(ROW(E$2:E663)*(E663=E$2:E663)))))-COUNTBLANK(OFFSET(A$1,,,SUMPRODUCT(MAX(ROW(E$1:E662)*(E2=E$1:E662))))))</f>
        <v/>
      </c>
      <c r="K663" s="24" t="str">
        <f>IF(OR(E663="",E663="!!!",F663="NEW"),"",INDEX(J$1:J662,SUMPRODUCT(MAX(ROW(E$1:E662)*(E663=E$1:E662)))))</f>
        <v/>
      </c>
      <c r="L663" s="25"/>
    </row>
    <row r="664" spans="1:12" x14ac:dyDescent="0.3">
      <c r="A664" t="s">
        <v>354</v>
      </c>
      <c r="B664" s="26" t="s">
        <v>228</v>
      </c>
      <c r="C664" s="26" t="s">
        <v>273</v>
      </c>
      <c r="D664" s="26" t="s">
        <v>254</v>
      </c>
      <c r="E664" s="20" t="s">
        <v>666</v>
      </c>
      <c r="F664" s="21" t="str">
        <f>IF(OR(E664="",E664="!!!"),"",IF(NOT(ISNA(VLOOKUP(E664,E$1:E663,1,FALSE()))),"OLD",IF(AND(E664&lt;&gt;"",E664&lt;&gt;"!!!"),"NEW","")))</f>
        <v>OLD</v>
      </c>
      <c r="G664" s="22" t="s">
        <v>713</v>
      </c>
      <c r="H664" s="23" t="str">
        <f t="shared" ca="1" si="69"/>
        <v/>
      </c>
      <c r="I664" s="24" t="str">
        <f>IF(OR(E664="",E664="!!!",F664="NEW"),"",INDEX(B$2:B663,-1+SUMPRODUCT(MAX(ROW(E$2:E663)*(E664=E$2:E663)))))</f>
        <v>other_3</v>
      </c>
      <c r="J664" s="24">
        <f ca="1">IF(OR(E664="",E664="!!!",F664="NEW"),"",COUNTBLANK(OFFSET(A$1,,,SUMPRODUCT(MAX(ROW(E$2:E664)*(E664=E$2:E664)))))-COUNTBLANK(OFFSET(A$1,,,SUMPRODUCT(MAX(ROW(E$1:E663)*(E2=E$1:E663))))))</f>
        <v>0</v>
      </c>
      <c r="K664" s="24">
        <f ca="1">IF(OR(E664="",E664="!!!",F664="NEW"),"",INDEX(J$1:J663,SUMPRODUCT(MAX(ROW(E$1:E663)*(E664=E$1:E663)))))</f>
        <v>0</v>
      </c>
      <c r="L664" s="25"/>
    </row>
    <row r="665" spans="1:12" x14ac:dyDescent="0.3">
      <c r="A665" t="s">
        <v>256</v>
      </c>
      <c r="E665" s="20" t="str">
        <f t="shared" si="68"/>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69"/>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293</v>
      </c>
      <c r="E666" s="20" t="str">
        <f t="shared" si="68"/>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69"/>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551</v>
      </c>
      <c r="E667" s="20" t="str">
        <f t="shared" si="68"/>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69"/>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552</v>
      </c>
      <c r="E668" s="20" t="str">
        <f t="shared" si="68"/>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69"/>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553</v>
      </c>
      <c r="B669" s="26" t="s">
        <v>274</v>
      </c>
      <c r="C669" s="26" t="s">
        <v>310</v>
      </c>
      <c r="D669" s="26" t="s">
        <v>254</v>
      </c>
      <c r="E669" s="20" t="s">
        <v>691</v>
      </c>
      <c r="F669" s="21" t="str">
        <f>IF(OR(E669="",E669="!!!"),"",IF(NOT(ISNA(VLOOKUP(E669,E$1:E668,1,FALSE()))),"OLD",IF(AND(E669&lt;&gt;"",E669&lt;&gt;"!!!"),"NEW","")))</f>
        <v>NEW</v>
      </c>
      <c r="G669" s="22" t="s">
        <v>730</v>
      </c>
      <c r="H669" s="23" t="s">
        <v>222</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275</v>
      </c>
      <c r="E670" s="20" t="str">
        <f t="shared" si="68"/>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69"/>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3">
      <c r="A671" t="s">
        <v>554</v>
      </c>
      <c r="E671" s="20" t="str">
        <f t="shared" si="68"/>
        <v/>
      </c>
      <c r="F671" s="21" t="str">
        <f>IF(OR(E671="",E671="!!!"),"",IF(NOT(ISNA(VLOOKUP(E671,E$1:E670,1,FALSE()))),"OLD",IF(AND(E671&lt;&gt;"",E671&lt;&gt;"!!!"),"NEW","")))</f>
        <v/>
      </c>
      <c r="G671" s="22" t="str">
        <f>IF(OR(E671="",E671="!!!"),"",IF(OR(J671=0,AND(J671=1,K671=1),AND(J671=1,I671="SBJ"),AND(J671=1,I671=0)),"?IN_FOCUS",IF(J671&lt;=2,"?ACTIVATED",IF(J671&lt;&gt;"","?FAMILIAR",IF(F671="NEW",IF(ISNA(VLOOKUP(E671,#REF!,1,FALSE())),"?TYPE_IDENTIFIABLE","?REFERENTIAL"),"_")))))</f>
        <v/>
      </c>
      <c r="H671" s="23" t="str">
        <f t="shared" ca="1" si="69"/>
        <v/>
      </c>
      <c r="I671" s="24" t="str">
        <f>IF(OR(E671="",E671="!!!",F671="NEW"),"",INDEX(B$2:B670,-1+SUMPRODUCT(MAX(ROW(E$2:E670)*(E671=E$2:E670)))))</f>
        <v/>
      </c>
      <c r="J671" s="24" t="str">
        <f ca="1">IF(OR(E671="",E671="!!!",F671="NEW"),"",COUNTBLANK(OFFSET(A$1,,,SUMPRODUCT(MAX(ROW(E$2:E671)*(E671=E$2:E671)))))-COUNTBLANK(OFFSET(A$1,,,SUMPRODUCT(MAX(ROW(E$1:E670)*(E2=E$1:E670))))))</f>
        <v/>
      </c>
      <c r="K671" s="24" t="str">
        <f>IF(OR(E671="",E671="!!!",F671="NEW"),"",INDEX(J$1:J670,SUMPRODUCT(MAX(ROW(E$1:E670)*(E671=E$1:E670)))))</f>
        <v/>
      </c>
      <c r="L671" s="25"/>
    </row>
    <row r="672" spans="1:12" x14ac:dyDescent="0.3">
      <c r="A672" t="s">
        <v>348</v>
      </c>
      <c r="E672" s="20" t="str">
        <f t="shared" si="68"/>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69"/>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3" spans="1:12" x14ac:dyDescent="0.3">
      <c r="A673" t="s">
        <v>555</v>
      </c>
      <c r="E673" s="20" t="str">
        <f t="shared" si="68"/>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ca="1" si="69"/>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369</v>
      </c>
      <c r="B674" s="26" t="s">
        <v>248</v>
      </c>
      <c r="C674" s="26" t="s">
        <v>229</v>
      </c>
      <c r="E674" s="20" t="str">
        <f t="shared" si="68"/>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348</v>
      </c>
      <c r="E675" s="20" t="str">
        <f t="shared" si="68"/>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69"/>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362</v>
      </c>
      <c r="B676" s="26" t="s">
        <v>252</v>
      </c>
      <c r="C676" s="26" t="s">
        <v>229</v>
      </c>
      <c r="E676" s="20" t="str">
        <f t="shared" si="68"/>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69"/>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265</v>
      </c>
      <c r="E677" s="20" t="str">
        <f t="shared" si="68"/>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69"/>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9" spans="1:12" x14ac:dyDescent="0.3">
      <c r="A679" t="s">
        <v>411</v>
      </c>
      <c r="E679" s="20" t="str">
        <f>IF(D679="?OLD","!!!","")</f>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ca="1">IF(J679&lt;&gt;1,"",IF(I679="SBJ","CB","?"))</f>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556</v>
      </c>
    </row>
    <row r="681" spans="1:12" x14ac:dyDescent="0.3">
      <c r="A681" t="s">
        <v>267</v>
      </c>
      <c r="E681" s="20" t="str">
        <f t="shared" ref="E681:E706" si="70">IF(D681="?OLD","!!!","")</f>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ref="H681:H706" ca="1" si="71">IF(J681&lt;&gt;1,"",IF(I681="SBJ","CB","?"))</f>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557</v>
      </c>
      <c r="E682" s="20" t="str">
        <f t="shared" si="70"/>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71"/>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558</v>
      </c>
      <c r="E683" s="20" t="str">
        <f t="shared" si="70"/>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71"/>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row>
    <row r="684" spans="1:12" x14ac:dyDescent="0.3">
      <c r="A684" t="s">
        <v>268</v>
      </c>
      <c r="B684" s="26" t="s">
        <v>257</v>
      </c>
      <c r="C684" s="26" t="s">
        <v>269</v>
      </c>
      <c r="D684" s="26" t="s">
        <v>254</v>
      </c>
      <c r="E684" s="20" t="s">
        <v>691</v>
      </c>
      <c r="F684" s="21" t="str">
        <f>IF(OR(E684="",E684="!!!"),"",IF(NOT(ISNA(VLOOKUP(E684,E$1:E683,1,FALSE()))),"OLD",IF(AND(E684&lt;&gt;"",E684&lt;&gt;"!!!"),"NEW","")))</f>
        <v>OLD</v>
      </c>
      <c r="G684" s="22" t="str">
        <f ca="1">IF(OR(E684="",E684="!!!"),"",IF(OR(J684=0,AND(J684=1,K684=1),AND(J684=1,I684="SBJ"),AND(J684=1,I684=0)),"?IN_FOCUS",IF(J684&lt;=2,"?ACTIVATED",IF(J684&lt;&gt;"","?FAMILIAR",IF(F684="NEW",IF(ISNA(VLOOKUP(E684,#REF!,1,FALSE())),"?TYPE_IDENTIFIABLE","?REFERENTIAL"),"_")))))</f>
        <v>?IN_FOCUS</v>
      </c>
      <c r="H684" s="23" t="s">
        <v>222</v>
      </c>
      <c r="I684" s="24" t="str">
        <f>IF(OR(E684="",E684="!!!",F684="NEW"),"",INDEX(B$2:B683,-1+SUMPRODUCT(MAX(ROW(E$2:E683)*(E684=E$2:E683)))))</f>
        <v>SBJ</v>
      </c>
      <c r="J684" s="24">
        <f ca="1">IF(OR(E684="",E684="!!!",F684="NEW"),"",COUNTBLANK(OFFSET(A$1,,,SUMPRODUCT(MAX(ROW(E$2:E684)*(E684=E$2:E684)))))-COUNTBLANK(OFFSET(A$1,,,SUMPRODUCT(MAX(ROW(E$1:E683)*(E2=E$1:E683))))))</f>
        <v>0</v>
      </c>
      <c r="K684" s="24" t="str">
        <f ca="1">IF(OR(E684="",E684="!!!",F684="NEW"),"",INDEX(J$1:J683,SUMPRODUCT(MAX(ROW(E$1:E683)*(E684=E$1:E683)))))</f>
        <v/>
      </c>
      <c r="L684" s="25"/>
    </row>
    <row r="685" spans="1:12" x14ac:dyDescent="0.3">
      <c r="A685" t="s">
        <v>559</v>
      </c>
      <c r="E685" s="20" t="str">
        <f t="shared" si="70"/>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71"/>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262</v>
      </c>
      <c r="E686" s="20" t="str">
        <f t="shared" si="70"/>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71"/>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560</v>
      </c>
      <c r="B687" s="26" t="s">
        <v>252</v>
      </c>
      <c r="C687" s="26" t="s">
        <v>229</v>
      </c>
      <c r="E687" s="20" t="str">
        <f t="shared" si="70"/>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71"/>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3">
      <c r="A688" t="s">
        <v>561</v>
      </c>
      <c r="E688" s="20" t="str">
        <f t="shared" si="70"/>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71"/>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293</v>
      </c>
      <c r="E689" s="20" t="str">
        <f t="shared" si="70"/>
        <v/>
      </c>
      <c r="F689" s="21" t="str">
        <f>IF(OR(E689="",E689="!!!"),"",IF(NOT(ISNA(VLOOKUP(E689,E$1:E688,1,FALSE()))),"OLD",IF(AND(E689&lt;&gt;"",E689&lt;&gt;"!!!"),"NEW","")))</f>
        <v/>
      </c>
      <c r="G689" s="22" t="str">
        <f>IF(OR(E689="",E689="!!!"),"",IF(OR(J689=0,AND(J689=1,K689=1),AND(J689=1,I689="SBJ"),AND(J689=1,I689=0)),"?IN_FOCUS",IF(J689&lt;=2,"?ACTIVATED",IF(J689&lt;&gt;"","?FAMILIAR",IF(F689="NEW",IF(ISNA(VLOOKUP(E689,#REF!,1,FALSE())),"?TYPE_IDENTIFIABLE","?REFERENTIAL"),"_")))))</f>
        <v/>
      </c>
      <c r="H689" s="23" t="str">
        <f t="shared" ca="1" si="71"/>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3">
      <c r="A690" t="s">
        <v>289</v>
      </c>
      <c r="B690" s="26" t="s">
        <v>384</v>
      </c>
      <c r="C690" s="26" t="s">
        <v>310</v>
      </c>
      <c r="D690" s="26" t="s">
        <v>254</v>
      </c>
      <c r="E690" s="20" t="s">
        <v>673</v>
      </c>
      <c r="F690" s="21" t="str">
        <f>IF(OR(E690="",E690="!!!"),"",IF(NOT(ISNA(VLOOKUP(E690,E$1:E689,1,FALSE()))),"OLD",IF(AND(E690&lt;&gt;"",E690&lt;&gt;"!!!"),"NEW","")))</f>
        <v>OLD</v>
      </c>
      <c r="G690" s="22" t="s">
        <v>730</v>
      </c>
      <c r="H690" s="23" t="str">
        <f t="shared" ca="1" si="71"/>
        <v/>
      </c>
      <c r="I690" s="24">
        <f>IF(OR(E690="",E690="!!!",F690="NEW"),"",INDEX(B$2:B689,-1+SUMPRODUCT(MAX(ROW(E$2:E689)*(E690=E$2:E689)))))</f>
        <v>0</v>
      </c>
      <c r="J690" s="24">
        <f ca="1">IF(OR(E690="",E690="!!!",F690="NEW"),"",COUNTBLANK(OFFSET(A$1,,,SUMPRODUCT(MAX(ROW(E$2:E690)*(E690=E$2:E690)))))-COUNTBLANK(OFFSET(A$1,,,SUMPRODUCT(MAX(ROW(E$1:E689)*(E2=E$1:E689))))))</f>
        <v>0</v>
      </c>
      <c r="K690" s="24">
        <f ca="1">IF(OR(E690="",E690="!!!",F690="NEW"),"",INDEX(J$1:J689,SUMPRODUCT(MAX(ROW(E$1:E689)*(E690=E$1:E689)))))</f>
        <v>0</v>
      </c>
      <c r="L690" s="25"/>
    </row>
    <row r="691" spans="1:12" x14ac:dyDescent="0.3">
      <c r="A691" t="s">
        <v>271</v>
      </c>
      <c r="E691" s="20" t="str">
        <f t="shared" si="70"/>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71"/>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366</v>
      </c>
      <c r="B692" s="26" t="s">
        <v>422</v>
      </c>
      <c r="C692" s="26" t="s">
        <v>273</v>
      </c>
      <c r="D692" s="26" t="s">
        <v>254</v>
      </c>
      <c r="E692" s="20" t="s">
        <v>669</v>
      </c>
      <c r="F692" s="21" t="str">
        <f>IF(OR(E692="",E692="!!!"),"",IF(NOT(ISNA(VLOOKUP(E692,E$1:E691,1,FALSE()))),"OLD",IF(AND(E692&lt;&gt;"",E692&lt;&gt;"!!!"),"NEW","")))</f>
        <v>OLD</v>
      </c>
      <c r="G692" s="22" t="s">
        <v>713</v>
      </c>
      <c r="H692" s="23" t="str">
        <f t="shared" ca="1" si="71"/>
        <v/>
      </c>
      <c r="I692" s="24" t="str">
        <f>IF(OR(E692="",E692="!!!",F692="NEW"),"",INDEX(B$2:B691,-1+SUMPRODUCT(MAX(ROW(E$2:E691)*(E692=E$2:E691)))))</f>
        <v>other_5</v>
      </c>
      <c r="J692" s="24">
        <f ca="1">IF(OR(E692="",E692="!!!",F692="NEW"),"",COUNTBLANK(OFFSET(A$1,,,SUMPRODUCT(MAX(ROW(E$2:E692)*(E692=E$2:E692)))))-COUNTBLANK(OFFSET(A$1,,,SUMPRODUCT(MAX(ROW(E$1:E691)*(E2=E$1:E691))))))</f>
        <v>0</v>
      </c>
      <c r="K692" s="24">
        <f ca="1">IF(OR(E692="",E692="!!!",F692="NEW"),"",INDEX(J$1:J691,SUMPRODUCT(MAX(ROW(E$1:E691)*(E692=E$1:E691)))))</f>
        <v>0</v>
      </c>
      <c r="L692" s="25"/>
    </row>
    <row r="693" spans="1:12" x14ac:dyDescent="0.3">
      <c r="A693" t="s">
        <v>562</v>
      </c>
      <c r="E693" s="20" t="str">
        <f t="shared" si="70"/>
        <v/>
      </c>
      <c r="F693" s="21" t="str">
        <f>IF(OR(E693="",E693="!!!"),"",IF(NOT(ISNA(VLOOKUP(E693,E$1:E692,1,FALSE()))),"OLD",IF(AND(E693&lt;&gt;"",E693&lt;&gt;"!!!"),"NEW","")))</f>
        <v/>
      </c>
      <c r="G693" s="22" t="str">
        <f>IF(OR(E693="",E693="!!!"),"",IF(OR(J693=0,AND(J693=1,K693=1),AND(J693=1,I693="SBJ"),AND(J693=1,I693=0)),"?IN_FOCUS",IF(J693&lt;=2,"?ACTIVATED",IF(J693&lt;&gt;"","?FAMILIAR",IF(F693="NEW",IF(ISNA(VLOOKUP(E693,#REF!,1,FALSE())),"?TYPE_IDENTIFIABLE","?REFERENTIAL"),"_")))))</f>
        <v/>
      </c>
      <c r="H693" s="23" t="str">
        <f t="shared" ca="1" si="71"/>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353</v>
      </c>
      <c r="E694" s="20" t="str">
        <f t="shared" si="70"/>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71"/>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293</v>
      </c>
      <c r="E695" s="20" t="str">
        <f t="shared" si="70"/>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71"/>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563</v>
      </c>
      <c r="B696" s="26" t="s">
        <v>422</v>
      </c>
      <c r="C696" s="26" t="s">
        <v>310</v>
      </c>
      <c r="D696" s="26" t="s">
        <v>254</v>
      </c>
      <c r="E696" s="20" t="s">
        <v>732</v>
      </c>
      <c r="F696" s="21" t="str">
        <f>IF(OR(E696="",E696="!!!"),"",IF(NOT(ISNA(VLOOKUP(E696,E$1:E695,1,FALSE()))),"OLD",IF(AND(E696&lt;&gt;"",E696&lt;&gt;"!!!"),"NEW","")))</f>
        <v>NEW</v>
      </c>
      <c r="G696" s="22" t="s">
        <v>730</v>
      </c>
      <c r="H696" s="23" t="str">
        <f t="shared" ca="1" si="71"/>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268</v>
      </c>
      <c r="B697" s="26" t="s">
        <v>439</v>
      </c>
      <c r="C697" s="26" t="s">
        <v>269</v>
      </c>
      <c r="D697" s="26" t="s">
        <v>254</v>
      </c>
      <c r="E697" s="20" t="s">
        <v>691</v>
      </c>
      <c r="F697" s="21" t="str">
        <f>IF(OR(E697="",E697="!!!"),"",IF(NOT(ISNA(VLOOKUP(E697,E$1:E696,1,FALSE()))),"OLD",IF(AND(E697&lt;&gt;"",E697&lt;&gt;"!!!"),"NEW","")))</f>
        <v>OLD</v>
      </c>
      <c r="G697" s="22" t="str">
        <f ca="1">IF(OR(E697="",E697="!!!"),"",IF(OR(J697=0,AND(J697=1,K697=1),AND(J697=1,I697="SBJ"),AND(J697=1,I697=0)),"?IN_FOCUS",IF(J697&lt;=2,"?ACTIVATED",IF(J697&lt;&gt;"","?FAMILIAR",IF(F697="NEW",IF(ISNA(VLOOKUP(E697,#REF!,1,FALSE())),"?TYPE_IDENTIFIABLE","?REFERENTIAL"),"_")))))</f>
        <v>?IN_FOCUS</v>
      </c>
      <c r="H697" s="23" t="str">
        <f t="shared" ca="1" si="71"/>
        <v/>
      </c>
      <c r="I697" s="24" t="str">
        <f>IF(OR(E697="",E697="!!!",F697="NEW"),"",INDEX(B$2:B696,-1+SUMPRODUCT(MAX(ROW(E$2:E696)*(E697=E$2:E696)))))</f>
        <v>SBJ_3</v>
      </c>
      <c r="J697" s="24">
        <f ca="1">IF(OR(E697="",E697="!!!",F697="NEW"),"",COUNTBLANK(OFFSET(A$1,,,SUMPRODUCT(MAX(ROW(E$2:E697)*(E697=E$2:E697)))))-COUNTBLANK(OFFSET(A$1,,,SUMPRODUCT(MAX(ROW(E$1:E696)*(E2=E$1:E696))))))</f>
        <v>0</v>
      </c>
      <c r="K697" s="24">
        <f ca="1">IF(OR(E697="",E697="!!!",F697="NEW"),"",INDEX(J$1:J696,SUMPRODUCT(MAX(ROW(E$1:E696)*(E697=E$1:E696)))))</f>
        <v>0</v>
      </c>
      <c r="L697" s="25"/>
    </row>
    <row r="698" spans="1:12" x14ac:dyDescent="0.3">
      <c r="A698" t="s">
        <v>564</v>
      </c>
      <c r="E698" s="20" t="str">
        <f t="shared" si="70"/>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t="shared" ca="1" si="71"/>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699" spans="1:12" x14ac:dyDescent="0.3">
      <c r="A699" t="s">
        <v>256</v>
      </c>
      <c r="E699" s="20" t="str">
        <f t="shared" si="70"/>
        <v/>
      </c>
      <c r="F699" s="21" t="str">
        <f>IF(OR(E699="",E699="!!!"),"",IF(NOT(ISNA(VLOOKUP(E699,E$1:E698,1,FALSE()))),"OLD",IF(AND(E699&lt;&gt;"",E699&lt;&gt;"!!!"),"NEW","")))</f>
        <v/>
      </c>
      <c r="G699" s="22" t="str">
        <f>IF(OR(E699="",E699="!!!"),"",IF(OR(J699=0,AND(J699=1,K699=1),AND(J699=1,I699="SBJ"),AND(J699=1,I699=0)),"?IN_FOCUS",IF(J699&lt;=2,"?ACTIVATED",IF(J699&lt;&gt;"","?FAMILIAR",IF(F699="NEW",IF(ISNA(VLOOKUP(E699,#REF!,1,FALSE())),"?TYPE_IDENTIFIABLE","?REFERENTIAL"),"_")))))</f>
        <v/>
      </c>
      <c r="H699" s="23" t="str">
        <f t="shared" ca="1" si="71"/>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3">
      <c r="A700" t="s">
        <v>565</v>
      </c>
      <c r="B700" s="26" t="s">
        <v>274</v>
      </c>
      <c r="E700" s="20" t="str">
        <f t="shared" si="70"/>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71"/>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566</v>
      </c>
      <c r="E701" s="20" t="str">
        <f t="shared" si="70"/>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71"/>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238</v>
      </c>
      <c r="E702" s="20" t="str">
        <f t="shared" si="70"/>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71"/>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231</v>
      </c>
      <c r="E703" s="20" t="str">
        <f t="shared" si="70"/>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71"/>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3">
      <c r="A704" t="s">
        <v>401</v>
      </c>
      <c r="E704" s="20" t="str">
        <f t="shared" si="70"/>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71"/>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231</v>
      </c>
      <c r="E705" s="20" t="str">
        <f t="shared" si="70"/>
        <v/>
      </c>
      <c r="F705" s="21" t="str">
        <f>IF(OR(E705="",E705="!!!"),"",IF(NOT(ISNA(VLOOKUP(E705,E$1:E704,1,FALSE()))),"OLD",IF(AND(E705&lt;&gt;"",E705&lt;&gt;"!!!"),"NEW","")))</f>
        <v/>
      </c>
      <c r="G705" s="22" t="str">
        <f>IF(OR(E705="",E705="!!!"),"",IF(OR(J705=0,AND(J705=1,K705=1),AND(J705=1,I705="SBJ"),AND(J705=1,I705=0)),"?IN_FOCUS",IF(J705&lt;=2,"?ACTIVATED",IF(J705&lt;&gt;"","?FAMILIAR",IF(F705="NEW",IF(ISNA(VLOOKUP(E705,#REF!,1,FALSE())),"?TYPE_IDENTIFIABLE","?REFERENTIAL"),"_")))))</f>
        <v/>
      </c>
      <c r="H705" s="23" t="str">
        <f t="shared" ca="1" si="71"/>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6" spans="1:12" x14ac:dyDescent="0.3">
      <c r="A706" t="s">
        <v>265</v>
      </c>
      <c r="E706" s="20" t="str">
        <f t="shared" si="70"/>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71"/>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8" spans="1:12" x14ac:dyDescent="0.3">
      <c r="A708" t="s">
        <v>567</v>
      </c>
    </row>
    <row r="709" spans="1:12" x14ac:dyDescent="0.3">
      <c r="A709" t="s">
        <v>457</v>
      </c>
      <c r="E709" s="20" t="str">
        <f t="shared" ref="E709:E729" si="72">IF(D709="?OLD","!!!","")</f>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ref="H709:H729" ca="1" si="73">IF(J709&lt;&gt;1,"",IF(I709="SBJ","CB","?"))</f>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568</v>
      </c>
      <c r="B710" s="26" t="s">
        <v>228</v>
      </c>
      <c r="C710" s="26" t="s">
        <v>273</v>
      </c>
      <c r="D710" s="26" t="s">
        <v>254</v>
      </c>
      <c r="E710" s="20" t="s">
        <v>692</v>
      </c>
      <c r="F710" s="21" t="str">
        <f>IF(OR(E710="",E710="!!!"),"",IF(NOT(ISNA(VLOOKUP(E710,E$1:E709,1,FALSE()))),"OLD",IF(AND(E710&lt;&gt;"",E710&lt;&gt;"!!!"),"NEW","")))</f>
        <v>NEW</v>
      </c>
      <c r="G710" s="22" t="s">
        <v>713</v>
      </c>
      <c r="H710" s="23" t="str">
        <f t="shared" ca="1" si="73"/>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569</v>
      </c>
      <c r="E711" s="20"/>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73"/>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332</v>
      </c>
      <c r="E712" s="20" t="str">
        <f t="shared" si="72"/>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73"/>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568</v>
      </c>
      <c r="B713" s="26" t="s">
        <v>241</v>
      </c>
      <c r="C713" s="26" t="s">
        <v>273</v>
      </c>
      <c r="D713" s="26" t="s">
        <v>254</v>
      </c>
      <c r="E713" s="20" t="s">
        <v>733</v>
      </c>
      <c r="F713" s="21" t="str">
        <f>IF(OR(E713="",E713="!!!"),"",IF(NOT(ISNA(VLOOKUP(E713,E$1:E712,1,FALSE()))),"OLD",IF(AND(E713&lt;&gt;"",E713&lt;&gt;"!!!"),"NEW","")))</f>
        <v>NEW</v>
      </c>
      <c r="G713" s="22" t="s">
        <v>713</v>
      </c>
      <c r="H713" s="23" t="str">
        <f t="shared" ca="1" si="73"/>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570</v>
      </c>
      <c r="E714" s="20"/>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73"/>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571</v>
      </c>
      <c r="B715" s="26" t="s">
        <v>241</v>
      </c>
      <c r="C715" s="26" t="s">
        <v>229</v>
      </c>
      <c r="E715" s="20" t="str">
        <f t="shared" si="72"/>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73"/>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256</v>
      </c>
      <c r="E716" s="20" t="str">
        <f t="shared" si="72"/>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73"/>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348</v>
      </c>
      <c r="E717" s="20" t="str">
        <f t="shared" si="72"/>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73"/>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488</v>
      </c>
      <c r="B718" s="26" t="s">
        <v>252</v>
      </c>
      <c r="C718" s="26" t="s">
        <v>229</v>
      </c>
      <c r="E718" s="20" t="str">
        <f t="shared" si="72"/>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73"/>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256</v>
      </c>
      <c r="E719" s="20" t="str">
        <f t="shared" si="72"/>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73"/>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398</v>
      </c>
      <c r="E720" s="20" t="str">
        <f t="shared" si="72"/>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73"/>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3">
      <c r="A721" t="s">
        <v>258</v>
      </c>
      <c r="E721" s="20" t="str">
        <f t="shared" si="72"/>
        <v/>
      </c>
      <c r="F721" s="21" t="str">
        <f>IF(OR(E721="",E721="!!!"),"",IF(NOT(ISNA(VLOOKUP(E721,E$1:E720,1,FALSE()))),"OLD",IF(AND(E721&lt;&gt;"",E721&lt;&gt;"!!!"),"NEW","")))</f>
        <v/>
      </c>
      <c r="G721" s="22" t="str">
        <f>IF(OR(E721="",E721="!!!"),"",IF(OR(J721=0,AND(J721=1,K721=1),AND(J721=1,I721="SBJ"),AND(J721=1,I721=0)),"?IN_FOCUS",IF(J721&lt;=2,"?ACTIVATED",IF(J721&lt;&gt;"","?FAMILIAR",IF(F721="NEW",IF(ISNA(VLOOKUP(E721,#REF!,1,FALSE())),"?TYPE_IDENTIFIABLE","?REFERENTIAL"),"_")))))</f>
        <v/>
      </c>
      <c r="H721" s="23" t="str">
        <f t="shared" ca="1" si="73"/>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401</v>
      </c>
      <c r="E722" s="20" t="str">
        <f t="shared" si="72"/>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73"/>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3">
      <c r="A723" t="s">
        <v>572</v>
      </c>
      <c r="E723" s="20" t="str">
        <f t="shared" si="72"/>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ca="1" si="73"/>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369</v>
      </c>
      <c r="B724" s="26" t="s">
        <v>274</v>
      </c>
      <c r="C724" s="26" t="s">
        <v>282</v>
      </c>
      <c r="E724" s="20" t="str">
        <f t="shared" si="72"/>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
        <v>222</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573</v>
      </c>
      <c r="E725" s="20" t="str">
        <f t="shared" si="72"/>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73"/>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492</v>
      </c>
      <c r="E726" s="20" t="str">
        <f t="shared" si="72"/>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73"/>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293</v>
      </c>
      <c r="E727" s="20" t="str">
        <f t="shared" si="72"/>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73"/>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574</v>
      </c>
      <c r="B728" s="26" t="s">
        <v>252</v>
      </c>
      <c r="C728" s="26" t="s">
        <v>310</v>
      </c>
      <c r="D728" s="26" t="s">
        <v>254</v>
      </c>
      <c r="E728" s="20" t="s">
        <v>736</v>
      </c>
      <c r="F728" s="21" t="str">
        <f>IF(OR(E728="",E728="!!!"),"",IF(NOT(ISNA(VLOOKUP(E728,E$1:E727,1,FALSE()))),"OLD",IF(AND(E728&lt;&gt;"",E728&lt;&gt;"!!!"),"NEW","")))</f>
        <v>NEW</v>
      </c>
      <c r="G728" s="22" t="s">
        <v>704</v>
      </c>
      <c r="H728" s="23"/>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265</v>
      </c>
      <c r="E729" s="20" t="str">
        <f t="shared" si="72"/>
        <v/>
      </c>
      <c r="F729" s="21" t="str">
        <f>IF(OR(E729="",E729="!!!"),"",IF(NOT(ISNA(VLOOKUP(E729,E$1:E728,1,FALSE()))),"OLD",IF(AND(E729&lt;&gt;"",E729&lt;&gt;"!!!"),"NEW","")))</f>
        <v/>
      </c>
      <c r="G729" s="22" t="str">
        <f>IF(OR(E729="",E729="!!!"),"",IF(OR(J729=0,AND(J729=1,K729=1),AND(J729=1,I729="SBJ"),AND(J729=1,I729=0)),"?IN_FOCUS",IF(J729&lt;=2,"?ACTIVATED",IF(J729&lt;&gt;"","?FAMILIAR",IF(F729="NEW",IF(ISNA(VLOOKUP(E729,#REF!,1,FALSE())),"?TYPE_IDENTIFIABLE","?REFERENTIAL"),"_")))))</f>
        <v/>
      </c>
      <c r="H729" s="23" t="str">
        <f t="shared" ca="1" si="73"/>
        <v/>
      </c>
      <c r="I729" s="24" t="str">
        <f>IF(OR(E729="",E729="!!!",F729="NEW"),"",INDEX(B$2:B728,-1+SUMPRODUCT(MAX(ROW(E$2:E728)*(E729=E$2:E728)))))</f>
        <v/>
      </c>
      <c r="J729" s="24" t="str">
        <f ca="1">IF(OR(E729="",E729="!!!",F729="NEW"),"",COUNTBLANK(OFFSET(A$1,,,SUMPRODUCT(MAX(ROW(E$2:E729)*(E729=E$2:E729)))))-COUNTBLANK(OFFSET(A$1,,,SUMPRODUCT(MAX(ROW(E$1:E728)*(E2=E$1:E728))))))</f>
        <v/>
      </c>
      <c r="K729" s="24" t="str">
        <f>IF(OR(E729="",E729="!!!",F729="NEW"),"",INDEX(J$1:J728,SUMPRODUCT(MAX(ROW(E$1:E728)*(E729=E$1:E728)))))</f>
        <v/>
      </c>
      <c r="L729" s="25"/>
    </row>
    <row r="731" spans="1:12" x14ac:dyDescent="0.3">
      <c r="A731" t="s">
        <v>575</v>
      </c>
    </row>
    <row r="732" spans="1:12" x14ac:dyDescent="0.3">
      <c r="A732" t="s">
        <v>504</v>
      </c>
      <c r="E732" s="20" t="str">
        <f t="shared" ref="E732:E759" si="74">IF(D732="?OLD","!!!","")</f>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ref="H732:H759" ca="1" si="75">IF(J732&lt;&gt;1,"",IF(I732="SBJ","CB","?"))</f>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271</v>
      </c>
      <c r="E733" s="20" t="str">
        <f t="shared" si="74"/>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75"/>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576</v>
      </c>
      <c r="B734" s="26" t="s">
        <v>274</v>
      </c>
      <c r="C734" s="26" t="s">
        <v>273</v>
      </c>
      <c r="D734" s="26" t="s">
        <v>254</v>
      </c>
      <c r="E734" s="20" t="s">
        <v>693</v>
      </c>
      <c r="F734" s="21" t="str">
        <f>IF(OR(E734="",E734="!!!"),"",IF(NOT(ISNA(VLOOKUP(E734,E$1:E733,1,FALSE()))),"OLD",IF(AND(E734&lt;&gt;"",E734&lt;&gt;"!!!"),"NEW","")))</f>
        <v>NEW</v>
      </c>
      <c r="G734" s="22" t="s">
        <v>713</v>
      </c>
      <c r="H734" s="23" t="str">
        <f t="shared" ca="1" si="75"/>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256</v>
      </c>
      <c r="E735" s="20" t="str">
        <f t="shared" si="74"/>
        <v/>
      </c>
      <c r="F735" s="21" t="str">
        <f>IF(OR(E735="",E735="!!!"),"",IF(NOT(ISNA(VLOOKUP(E735,E$1:E734,1,FALSE()))),"OLD",IF(AND(E735&lt;&gt;"",E735&lt;&gt;"!!!"),"NEW","")))</f>
        <v/>
      </c>
      <c r="G735" s="22" t="str">
        <f>IF(OR(E735="",E735="!!!"),"",IF(OR(J735=0,AND(J735=1,K735=1),AND(J735=1,I735="SBJ"),AND(J735=1,I735=0)),"?IN_FOCUS",IF(J735&lt;=2,"?ACTIVATED",IF(J735&lt;&gt;"","?FAMILIAR",IF(F735="NEW",IF(ISNA(VLOOKUP(E735,#REF!,1,FALSE())),"?TYPE_IDENTIFIABLE","?REFERENTIAL"),"_")))))</f>
        <v/>
      </c>
      <c r="H735" s="23" t="str">
        <f t="shared" ca="1" si="75"/>
        <v/>
      </c>
      <c r="I735" s="24" t="str">
        <f>IF(OR(E735="",E735="!!!",F735="NEW"),"",INDEX(B$2:B734,-1+SUMPRODUCT(MAX(ROW(E$2:E734)*(E735=E$2:E734)))))</f>
        <v/>
      </c>
      <c r="J735" s="24" t="str">
        <f ca="1">IF(OR(E735="",E735="!!!",F735="NEW"),"",COUNTBLANK(OFFSET(A$1,,,SUMPRODUCT(MAX(ROW(E$2:E735)*(E735=E$2:E735)))))-COUNTBLANK(OFFSET(A$1,,,SUMPRODUCT(MAX(ROW(E$1:E734)*(E2=E$1:E734))))))</f>
        <v/>
      </c>
      <c r="K735" s="24" t="str">
        <f>IF(OR(E735="",E735="!!!",F735="NEW"),"",INDEX(J$1:J734,SUMPRODUCT(MAX(ROW(E$1:E734)*(E735=E$1:E734)))))</f>
        <v/>
      </c>
      <c r="L735" s="25"/>
    </row>
    <row r="736" spans="1:12" x14ac:dyDescent="0.3">
      <c r="A736" t="s">
        <v>244</v>
      </c>
      <c r="B736" s="26" t="s">
        <v>241</v>
      </c>
      <c r="C736" s="26" t="s">
        <v>229</v>
      </c>
      <c r="E736" s="20" t="s">
        <v>658</v>
      </c>
      <c r="F736" s="21" t="str">
        <f>IF(OR(E736="",E736="!!!"),"",IF(NOT(ISNA(VLOOKUP(E736,E$1:E735,1,FALSE()))),"OLD",IF(AND(E736&lt;&gt;"",E736&lt;&gt;"!!!"),"NEW","")))</f>
        <v>OLD</v>
      </c>
      <c r="G736" s="22" t="s">
        <v>730</v>
      </c>
      <c r="H736" s="23" t="str">
        <f t="shared" ca="1" si="75"/>
        <v/>
      </c>
      <c r="I736" s="24" t="str">
        <f>IF(OR(E736="",E736="!!!",F736="NEW"),"",INDEX(B$2:B735,-1+SUMPRODUCT(MAX(ROW(E$2:E735)*(E736=E$2:E735)))))</f>
        <v>other_3</v>
      </c>
      <c r="J736" s="24">
        <f ca="1">IF(OR(E736="",E736="!!!",F736="NEW"),"",COUNTBLANK(OFFSET(A$1,,,SUMPRODUCT(MAX(ROW(E$2:E736)*(E736=E$2:E736)))))-COUNTBLANK(OFFSET(A$1,,,SUMPRODUCT(MAX(ROW(E$1:E735)*(E2=E$1:E735))))))</f>
        <v>0</v>
      </c>
      <c r="K736" s="24">
        <f ca="1">IF(OR(E736="",E736="!!!",F736="NEW"),"",INDEX(J$1:J735,SUMPRODUCT(MAX(ROW(E$1:E735)*(E736=E$1:E735)))))</f>
        <v>0</v>
      </c>
      <c r="L736" s="25"/>
    </row>
    <row r="737" spans="1:12" x14ac:dyDescent="0.3">
      <c r="A737" t="s">
        <v>372</v>
      </c>
      <c r="B737" s="26" t="s">
        <v>357</v>
      </c>
      <c r="E737" s="20" t="str">
        <f t="shared" si="74"/>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75"/>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577</v>
      </c>
      <c r="E738" s="20" t="str">
        <f t="shared" si="74"/>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75"/>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499</v>
      </c>
      <c r="E739" s="20" t="str">
        <f t="shared" si="74"/>
        <v/>
      </c>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75"/>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505</v>
      </c>
      <c r="E740" s="20" t="str">
        <f t="shared" si="74"/>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t="shared" ca="1" si="75"/>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362</v>
      </c>
      <c r="B741" s="26" t="s">
        <v>384</v>
      </c>
      <c r="C741" s="26" t="s">
        <v>229</v>
      </c>
      <c r="E741" s="20" t="str">
        <f t="shared" si="74"/>
        <v/>
      </c>
      <c r="F741" s="21" t="str">
        <f>IF(OR(E741="",E741="!!!"),"",IF(NOT(ISNA(VLOOKUP(E741,E$1:E740,1,FALSE()))),"OLD",IF(AND(E741&lt;&gt;"",E741&lt;&gt;"!!!"),"NEW","")))</f>
        <v/>
      </c>
      <c r="G741" s="22" t="str">
        <f>IF(OR(E741="",E741="!!!"),"",IF(OR(J741=0,AND(J741=1,K741=1),AND(J741=1,I741="SBJ"),AND(J741=1,I741=0)),"?IN_FOCUS",IF(J741&lt;=2,"?ACTIVATED",IF(J741&lt;&gt;"","?FAMILIAR",IF(F741="NEW",IF(ISNA(VLOOKUP(E741,#REF!,1,FALSE())),"?TYPE_IDENTIFIABLE","?REFERENTIAL"),"_")))))</f>
        <v/>
      </c>
      <c r="H741" s="23" t="str">
        <f t="shared" ca="1" si="75"/>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275</v>
      </c>
      <c r="E742" s="20" t="str">
        <f t="shared" si="74"/>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75"/>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403</v>
      </c>
      <c r="E743" s="20" t="str">
        <f t="shared" si="74"/>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75"/>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578</v>
      </c>
      <c r="E744" s="20" t="str">
        <f t="shared" si="74"/>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75"/>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579</v>
      </c>
      <c r="E745" s="20" t="str">
        <f t="shared" si="74"/>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75"/>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369</v>
      </c>
      <c r="B746" s="26" t="s">
        <v>292</v>
      </c>
      <c r="C746" s="26" t="s">
        <v>229</v>
      </c>
      <c r="E746" s="20" t="s">
        <v>737</v>
      </c>
      <c r="F746" s="21" t="str">
        <f>IF(OR(E746="",E746="!!!"),"",IF(NOT(ISNA(VLOOKUP(E746,E$1:E745,1,FALSE()))),"OLD",IF(AND(E746&lt;&gt;"",E746&lt;&gt;"!!!"),"NEW","")))</f>
        <v>NEW</v>
      </c>
      <c r="G746" s="22" t="str">
        <f ca="1">IF(OR(E746="",E746="!!!"),"",IF(OR(J746=0,AND(J746=1,K746=1),AND(J746=1,I746="SBJ"),AND(J746=1,I746=0)),"?IN_FOCUS",IF(J746&lt;=2,"?ACTIVATED",IF(J746&lt;&gt;"","?FAMILIAR",IF(F746="NEW",IF(ISNA(VLOOKUP(E746,#REF!,1,FALSE())),"?TYPE_IDENTIFIABLE","?REFERENTIAL"),"_")))))</f>
        <v>?REFERENTIAL</v>
      </c>
      <c r="H746" s="23" t="s">
        <v>222</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256</v>
      </c>
      <c r="E747" s="20" t="str">
        <f t="shared" si="74"/>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75"/>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489</v>
      </c>
      <c r="E748" s="20" t="str">
        <f t="shared" si="74"/>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75"/>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580</v>
      </c>
      <c r="B749" s="26" t="s">
        <v>234</v>
      </c>
      <c r="C749" s="26" t="s">
        <v>273</v>
      </c>
      <c r="D749" s="26" t="s">
        <v>254</v>
      </c>
      <c r="E749" s="20" t="s">
        <v>694</v>
      </c>
      <c r="F749" s="21" t="str">
        <f>IF(OR(E749="",E749="!!!"),"",IF(NOT(ISNA(VLOOKUP(E749,E$1:E748,1,FALSE()))),"OLD",IF(AND(E749&lt;&gt;"",E749&lt;&gt;"!!!"),"NEW","")))</f>
        <v>NEW</v>
      </c>
      <c r="G749" s="22" t="str">
        <f ca="1">IF(OR(E749="",E749="!!!"),"",IF(OR(J749=0,AND(J749=1,K749=1),AND(J749=1,I749="SBJ"),AND(J749=1,I749=0)),"?IN_FOCUS",IF(J749&lt;=2,"?ACTIVATED",IF(J749&lt;&gt;"","?FAMILIAR",IF(F749="NEW",IF(ISNA(VLOOKUP(E749,#REF!,1,FALSE())),"?TYPE_IDENTIFIABLE","?REFERENTIAL"),"_")))))</f>
        <v>?REFERENTIAL</v>
      </c>
      <c r="H749" s="23" t="str">
        <f t="shared" ca="1" si="75"/>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12</v>
      </c>
      <c r="E750" s="20" t="str">
        <f t="shared" si="74"/>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75"/>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581</v>
      </c>
      <c r="E751" s="20" t="str">
        <f t="shared" si="74"/>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75"/>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582</v>
      </c>
      <c r="E752" s="20" t="str">
        <f t="shared" si="74"/>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75"/>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256</v>
      </c>
      <c r="E753" s="20" t="str">
        <f t="shared" si="74"/>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75"/>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583</v>
      </c>
      <c r="E754" s="20" t="str">
        <f t="shared" si="74"/>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75"/>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3">
      <c r="A755" t="s">
        <v>584</v>
      </c>
      <c r="B755" s="26" t="s">
        <v>252</v>
      </c>
      <c r="C755" s="26" t="s">
        <v>229</v>
      </c>
      <c r="E755" s="20" t="str">
        <f t="shared" si="74"/>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75"/>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6" spans="1:12" x14ac:dyDescent="0.3">
      <c r="A756" t="s">
        <v>348</v>
      </c>
      <c r="E756" s="20" t="str">
        <f>IF(D756="?OLD","!!!","")</f>
        <v/>
      </c>
      <c r="F756" s="21" t="str">
        <f>IF(OR(E756="",E756="!!!"),"",IF(NOT(ISNA(VLOOKUP(E756,E$1:E755,1,FALSE()))),"OLD",IF(AND(E756&lt;&gt;"",E756&lt;&gt;"!!!"),"NEW","")))</f>
        <v/>
      </c>
      <c r="G756" s="22" t="str">
        <f>IF(OR(E756="",E756="!!!"),"",IF(OR(J756=0,AND(J756=1,K756=1),AND(J756=1,I756="SBJ"),AND(J756=1,I756=0)),"?IN_FOCUS",IF(J756&lt;=2,"?ACTIVATED",IF(J756&lt;&gt;"","?FAMILIAR",IF(F756="NEW",IF(ISNA(VLOOKUP(E756,#REF!,1,FALSE())),"?TYPE_IDENTIFIABLE","?REFERENTIAL"),"_")))))</f>
        <v/>
      </c>
      <c r="H756" s="23" t="str">
        <f t="shared" ca="1" si="75"/>
        <v/>
      </c>
      <c r="I756" s="24" t="str">
        <f>IF(OR(E756="",E756="!!!",F756="NEW"),"",INDEX(B$2:B755,-1+SUMPRODUCT(MAX(ROW(E$2:E755)*(E756=E$2:E755)))))</f>
        <v/>
      </c>
      <c r="J756" s="24" t="str">
        <f ca="1">IF(OR(E756="",E756="!!!",F756="NEW"),"",COUNTBLANK(OFFSET(A$1,,,SUMPRODUCT(MAX(ROW(E$2:E756)*(E756=E$2:E756)))))-COUNTBLANK(OFFSET(A$1,,,SUMPRODUCT(MAX(ROW(E$1:E755)*(E2=E$1:E755))))))</f>
        <v/>
      </c>
      <c r="K756" s="24" t="str">
        <f>IF(OR(E756="",E756="!!!",F756="NEW"),"",INDEX(J$1:J755,SUMPRODUCT(MAX(ROW(E$1:E755)*(E756=E$1:E755)))))</f>
        <v/>
      </c>
      <c r="L756" s="25"/>
    </row>
    <row r="757" spans="1:12" x14ac:dyDescent="0.3">
      <c r="A757" t="s">
        <v>293</v>
      </c>
      <c r="E757" s="20" t="str">
        <f t="shared" si="74"/>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t="shared" ca="1" si="75"/>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585</v>
      </c>
      <c r="B758" s="26" t="s">
        <v>384</v>
      </c>
      <c r="C758" s="26" t="s">
        <v>310</v>
      </c>
      <c r="D758" s="26" t="s">
        <v>254</v>
      </c>
      <c r="E758" s="20" t="s">
        <v>693</v>
      </c>
      <c r="F758" s="21" t="str">
        <f>IF(OR(E758="",E758="!!!"),"",IF(NOT(ISNA(VLOOKUP(E758,E$1:E757,1,FALSE()))),"OLD",IF(AND(E758&lt;&gt;"",E758&lt;&gt;"!!!"),"NEW","")))</f>
        <v>OLD</v>
      </c>
      <c r="G758" s="22" t="s">
        <v>734</v>
      </c>
      <c r="H758" s="23" t="str">
        <f t="shared" ca="1" si="75"/>
        <v/>
      </c>
      <c r="I758" s="24" t="str">
        <f>IF(OR(E758="",E758="!!!",F758="NEW"),"",INDEX(B$2:B757,-1+SUMPRODUCT(MAX(ROW(E$2:E757)*(E758=E$2:E757)))))</f>
        <v>SBJ</v>
      </c>
      <c r="J758" s="24">
        <f ca="1">IF(OR(E758="",E758="!!!",F758="NEW"),"",COUNTBLANK(OFFSET(A$1,,,SUMPRODUCT(MAX(ROW(E$2:E758)*(E758=E$2:E758)))))-COUNTBLANK(OFFSET(A$1,,,SUMPRODUCT(MAX(ROW(E$1:E757)*(E2=E$1:E757))))))</f>
        <v>0</v>
      </c>
      <c r="K758" s="24" t="str">
        <f ca="1">IF(OR(E758="",E758="!!!",F758="NEW"),"",INDEX(J$1:J757,SUMPRODUCT(MAX(ROW(E$1:E757)*(E758=E$1:E757)))))</f>
        <v/>
      </c>
      <c r="L758" s="25"/>
    </row>
    <row r="759" spans="1:12" x14ac:dyDescent="0.3">
      <c r="A759" t="s">
        <v>265</v>
      </c>
      <c r="E759" s="20" t="str">
        <f t="shared" si="74"/>
        <v/>
      </c>
      <c r="F759" s="21" t="str">
        <f>IF(OR(E759="",E759="!!!"),"",IF(NOT(ISNA(VLOOKUP(E759,E$1:E758,1,FALSE()))),"OLD",IF(AND(E759&lt;&gt;"",E759&lt;&gt;"!!!"),"NEW","")))</f>
        <v/>
      </c>
      <c r="G759" s="22" t="str">
        <f>IF(OR(E759="",E759="!!!"),"",IF(OR(J759=0,AND(J759=1,K759=1),AND(J759=1,I759="SBJ"),AND(J759=1,I759=0)),"?IN_FOCUS",IF(J759&lt;=2,"?ACTIVATED",IF(J759&lt;&gt;"","?FAMILIAR",IF(F759="NEW",IF(ISNA(VLOOKUP(E759,#REF!,1,FALSE())),"?TYPE_IDENTIFIABLE","?REFERENTIAL"),"_")))))</f>
        <v/>
      </c>
      <c r="H759" s="23" t="str">
        <f t="shared" ca="1" si="75"/>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1" spans="1:12" x14ac:dyDescent="0.3">
      <c r="A761" t="s">
        <v>586</v>
      </c>
    </row>
    <row r="762" spans="1:12" x14ac:dyDescent="0.3">
      <c r="A762" t="s">
        <v>457</v>
      </c>
      <c r="E762" s="20" t="str">
        <f t="shared" ref="E762:E791" si="76">IF(D762="?OLD","!!!","")</f>
        <v/>
      </c>
      <c r="F762" s="21" t="str">
        <f>IF(OR(E762="",E762="!!!"),"",IF(NOT(ISNA(VLOOKUP(E762,E$1:E761,1,FALSE()))),"OLD",IF(AND(E762&lt;&gt;"",E762&lt;&gt;"!!!"),"NEW","")))</f>
        <v/>
      </c>
      <c r="G762" s="22" t="str">
        <f>IF(OR(E762="",E762="!!!"),"",IF(OR(J762=0,AND(J762=1,K762=1),AND(J762=1,I762="SBJ"),AND(J762=1,I762=0)),"?IN_FOCUS",IF(J762&lt;=2,"?ACTIVATED",IF(J762&lt;&gt;"","?FAMILIAR",IF(F762="NEW",IF(ISNA(VLOOKUP(E762,#REF!,1,FALSE())),"?TYPE_IDENTIFIABLE","?REFERENTIAL"),"_")))))</f>
        <v/>
      </c>
      <c r="H762" s="23" t="str">
        <f t="shared" ref="H762:H791" ca="1" si="77">IF(J762&lt;&gt;1,"",IF(I762="SBJ","CB","?"))</f>
        <v/>
      </c>
      <c r="I762" s="24" t="str">
        <f>IF(OR(E762="",E762="!!!",F762="NEW"),"",INDEX(B$2:B761,-1+SUMPRODUCT(MAX(ROW(E$2:E761)*(E762=E$2:E761)))))</f>
        <v/>
      </c>
      <c r="J762" s="24" t="str">
        <f ca="1">IF(OR(E762="",E762="!!!",F762="NEW"),"",COUNTBLANK(OFFSET(A$1,,,SUMPRODUCT(MAX(ROW(E$2:E762)*(E762=E$2:E762)))))-COUNTBLANK(OFFSET(A$1,,,SUMPRODUCT(MAX(ROW(E$1:E761)*(E2=E$1:E761))))))</f>
        <v/>
      </c>
      <c r="K762" s="24" t="str">
        <f>IF(OR(E762="",E762="!!!",F762="NEW"),"",INDEX(J$1:J761,SUMPRODUCT(MAX(ROW(E$1:E761)*(E762=E$1:E761)))))</f>
        <v/>
      </c>
      <c r="L762" s="25"/>
    </row>
    <row r="763" spans="1:12" x14ac:dyDescent="0.3">
      <c r="A763" t="s">
        <v>568</v>
      </c>
      <c r="E763" s="20" t="str">
        <f t="shared" si="76"/>
        <v/>
      </c>
      <c r="F763" s="21" t="str">
        <f>IF(OR(E763="",E763="!!!"),"",IF(NOT(ISNA(VLOOKUP(E763,E$1:E762,1,FALSE()))),"OLD",IF(AND(E763&lt;&gt;"",E763&lt;&gt;"!!!"),"NEW","")))</f>
        <v/>
      </c>
      <c r="G763" s="22" t="str">
        <f>IF(OR(E763="",E763="!!!"),"",IF(OR(J763=0,AND(J763=1,K763=1),AND(J763=1,I763="SBJ"),AND(J763=1,I763=0)),"?IN_FOCUS",IF(J763&lt;=2,"?ACTIVATED",IF(J763&lt;&gt;"","?FAMILIAR",IF(F763="NEW",IF(ISNA(VLOOKUP(E763,#REF!,1,FALSE())),"?TYPE_IDENTIFIABLE","?REFERENTIAL"),"_")))))</f>
        <v/>
      </c>
      <c r="H763" s="23" t="str">
        <f t="shared" ca="1" si="77"/>
        <v/>
      </c>
      <c r="I763" s="24" t="str">
        <f>IF(OR(E763="",E763="!!!",F763="NEW"),"",INDEX(B$2:B762,-1+SUMPRODUCT(MAX(ROW(E$2:E762)*(E763=E$2:E762)))))</f>
        <v/>
      </c>
      <c r="J763" s="24" t="str">
        <f ca="1">IF(OR(E763="",E763="!!!",F763="NEW"),"",COUNTBLANK(OFFSET(A$1,,,SUMPRODUCT(MAX(ROW(E$2:E763)*(E763=E$2:E763)))))-COUNTBLANK(OFFSET(A$1,,,SUMPRODUCT(MAX(ROW(E$1:E762)*(E2=E$1:E762))))))</f>
        <v/>
      </c>
      <c r="K763" s="24" t="str">
        <f>IF(OR(E763="",E763="!!!",F763="NEW"),"",INDEX(J$1:J762,SUMPRODUCT(MAX(ROW(E$1:E762)*(E763=E$1:E762)))))</f>
        <v/>
      </c>
      <c r="L763" s="25"/>
    </row>
    <row r="764" spans="1:12" x14ac:dyDescent="0.3">
      <c r="A764" t="s">
        <v>354</v>
      </c>
      <c r="B764" s="26" t="s">
        <v>228</v>
      </c>
      <c r="C764" s="26" t="s">
        <v>273</v>
      </c>
      <c r="D764" s="26" t="s">
        <v>254</v>
      </c>
      <c r="E764" s="20" t="s">
        <v>695</v>
      </c>
      <c r="F764" s="21" t="str">
        <f>IF(OR(E764="",E764="!!!"),"",IF(NOT(ISNA(VLOOKUP(E764,E$1:E763,1,FALSE()))),"OLD",IF(AND(E764&lt;&gt;"",E764&lt;&gt;"!!!"),"NEW","")))</f>
        <v>NEW</v>
      </c>
      <c r="G764" s="22" t="s">
        <v>713</v>
      </c>
      <c r="H764" s="23" t="str">
        <f t="shared" ca="1" si="77"/>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256</v>
      </c>
      <c r="E765" s="20" t="str">
        <f t="shared" si="76"/>
        <v/>
      </c>
      <c r="F765" s="21" t="str">
        <f>IF(OR(E765="",E765="!!!"),"",IF(NOT(ISNA(VLOOKUP(E765,E$1:E764,1,FALSE()))),"OLD",IF(AND(E765&lt;&gt;"",E765&lt;&gt;"!!!"),"NEW","")))</f>
        <v/>
      </c>
      <c r="G765" s="22" t="str">
        <f>IF(OR(E765="",E765="!!!"),"",IF(OR(J765=0,AND(J765=1,K765=1),AND(J765=1,I765="SBJ"),AND(J765=1,I765=0)),"?IN_FOCUS",IF(J765&lt;=2,"?ACTIVATED",IF(J765&lt;&gt;"","?FAMILIAR",IF(F765="NEW",IF(ISNA(VLOOKUP(E765,#REF!,1,FALSE())),"?TYPE_IDENTIFIABLE","?REFERENTIAL"),"_")))))</f>
        <v/>
      </c>
      <c r="H765" s="23" t="str">
        <f t="shared" ca="1" si="77"/>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587</v>
      </c>
      <c r="B766" s="26" t="s">
        <v>241</v>
      </c>
      <c r="C766" s="26" t="s">
        <v>273</v>
      </c>
      <c r="D766" s="26" t="s">
        <v>254</v>
      </c>
      <c r="E766" s="20" t="s">
        <v>696</v>
      </c>
      <c r="F766" s="21" t="str">
        <f>IF(OR(E766="",E766="!!!"),"",IF(NOT(ISNA(VLOOKUP(E766,E$1:E765,1,FALSE()))),"OLD",IF(AND(E766&lt;&gt;"",E766&lt;&gt;"!!!"),"NEW","")))</f>
        <v>NEW</v>
      </c>
      <c r="G766" s="22" t="s">
        <v>713</v>
      </c>
      <c r="H766" s="23" t="str">
        <f t="shared" ca="1" si="77"/>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3">
      <c r="A767" t="s">
        <v>570</v>
      </c>
      <c r="E767" s="20"/>
      <c r="F767" s="21" t="str">
        <f>IF(OR(E767="",E767="!!!"),"",IF(NOT(ISNA(VLOOKUP(E767,E$1:E766,1,FALSE()))),"OLD",IF(AND(E767&lt;&gt;"",E767&lt;&gt;"!!!"),"NEW","")))</f>
        <v/>
      </c>
      <c r="G767" s="22" t="str">
        <f>IF(OR(E767="",E767="!!!"),"",IF(OR(J767=0,AND(J767=1,K767=1),AND(J767=1,I767="SBJ"),AND(J767=1,I767=0)),"?IN_FOCUS",IF(J767&lt;=2,"?ACTIVATED",IF(J767&lt;&gt;"","?FAMILIAR",IF(F767="NEW",IF(ISNA(VLOOKUP(E767,#REF!,1,FALSE())),"?TYPE_IDENTIFIABLE","?REFERENTIAL"),"_")))))</f>
        <v/>
      </c>
      <c r="H767" s="23" t="str">
        <f t="shared" ca="1" si="77"/>
        <v/>
      </c>
      <c r="I767" s="24" t="str">
        <f>IF(OR(E767="",E767="!!!",F767="NEW"),"",INDEX(B$2:B766,-1+SUMPRODUCT(MAX(ROW(E$2:E766)*(E767=E$2:E766)))))</f>
        <v/>
      </c>
      <c r="J767" s="24" t="str">
        <f ca="1">IF(OR(E767="",E767="!!!",F767="NEW"),"",COUNTBLANK(OFFSET(A$1,,,SUMPRODUCT(MAX(ROW(E$2:E767)*(E767=E$2:E767)))))-COUNTBLANK(OFFSET(A$1,,,SUMPRODUCT(MAX(ROW(E$1:E766)*(E2=E$1:E766))))))</f>
        <v/>
      </c>
      <c r="K767" s="24" t="str">
        <f>IF(OR(E767="",E767="!!!",F767="NEW"),"",INDEX(J$1:J766,SUMPRODUCT(MAX(ROW(E$1:E766)*(E767=E$1:E766)))))</f>
        <v/>
      </c>
      <c r="L767" s="25"/>
    </row>
    <row r="768" spans="1:12" x14ac:dyDescent="0.3">
      <c r="A768" t="s">
        <v>332</v>
      </c>
      <c r="E768" s="20" t="str">
        <f t="shared" si="76"/>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77"/>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588</v>
      </c>
      <c r="E769" s="20" t="str">
        <f t="shared" si="76"/>
        <v/>
      </c>
      <c r="F769" s="21" t="str">
        <f>IF(OR(E769="",E769="!!!"),"",IF(NOT(ISNA(VLOOKUP(E769,E$1:E768,1,FALSE()))),"OLD",IF(AND(E769&lt;&gt;"",E769&lt;&gt;"!!!"),"NEW","")))</f>
        <v/>
      </c>
      <c r="G769" s="22" t="str">
        <f>IF(OR(E769="",E769="!!!"),"",IF(OR(J769=0,AND(J769=1,K769=1),AND(J769=1,I769="SBJ"),AND(J769=1,I769=0)),"?IN_FOCUS",IF(J769&lt;=2,"?ACTIVATED",IF(J769&lt;&gt;"","?FAMILIAR",IF(F769="NEW",IF(ISNA(VLOOKUP(E769,#REF!,1,FALSE())),"?TYPE_IDENTIFIABLE","?REFERENTIAL"),"_")))))</f>
        <v/>
      </c>
      <c r="H769" s="23" t="str">
        <f t="shared" ca="1" si="77"/>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3">
      <c r="A770" t="s">
        <v>570</v>
      </c>
      <c r="B770" s="26" t="s">
        <v>241</v>
      </c>
      <c r="C770" s="26" t="s">
        <v>273</v>
      </c>
      <c r="D770" s="26" t="s">
        <v>254</v>
      </c>
      <c r="E770" s="20" t="s">
        <v>697</v>
      </c>
      <c r="F770" s="21" t="str">
        <f>IF(OR(E770="",E770="!!!"),"",IF(NOT(ISNA(VLOOKUP(E770,E$1:E769,1,FALSE()))),"OLD",IF(AND(E770&lt;&gt;"",E770&lt;&gt;"!!!"),"NEW","")))</f>
        <v>NEW</v>
      </c>
      <c r="G770" s="22" t="s">
        <v>713</v>
      </c>
      <c r="H770" s="23" t="str">
        <f t="shared" ca="1" si="77"/>
        <v/>
      </c>
      <c r="I770" s="24" t="str">
        <f>IF(OR(E770="",E770="!!!",F770="NEW"),"",INDEX(B$2:B769,-1+SUMPRODUCT(MAX(ROW(E$2:E769)*(E770=E$2:E769)))))</f>
        <v/>
      </c>
      <c r="J770" s="24" t="str">
        <f ca="1">IF(OR(E770="",E770="!!!",F770="NEW"),"",COUNTBLANK(OFFSET(A$1,,,SUMPRODUCT(MAX(ROW(E$2:E770)*(E770=E$2:E770)))))-COUNTBLANK(OFFSET(A$1,,,SUMPRODUCT(MAX(ROW(E$1:E769)*(E2=E$1:E769))))))</f>
        <v/>
      </c>
      <c r="K770" s="24" t="str">
        <f>IF(OR(E770="",E770="!!!",F770="NEW"),"",INDEX(J$1:J769,SUMPRODUCT(MAX(ROW(E$1:E769)*(E770=E$1:E769)))))</f>
        <v/>
      </c>
      <c r="L770" s="25"/>
    </row>
    <row r="771" spans="1:12" x14ac:dyDescent="0.3">
      <c r="A771" t="s">
        <v>256</v>
      </c>
      <c r="E771" s="20" t="str">
        <f t="shared" si="76"/>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77"/>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589</v>
      </c>
      <c r="B772" s="26" t="s">
        <v>241</v>
      </c>
      <c r="C772" s="26" t="s">
        <v>229</v>
      </c>
      <c r="E772" s="20" t="str">
        <f t="shared" si="76"/>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77"/>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256</v>
      </c>
      <c r="E773" s="20" t="str">
        <f t="shared" si="76"/>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77"/>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435</v>
      </c>
      <c r="E774" s="20" t="str">
        <f t="shared" si="76"/>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77"/>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590</v>
      </c>
      <c r="E775" s="20" t="str">
        <f t="shared" si="76"/>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77"/>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591</v>
      </c>
      <c r="B776" s="26" t="s">
        <v>241</v>
      </c>
      <c r="C776" s="26" t="s">
        <v>229</v>
      </c>
      <c r="E776" s="20" t="str">
        <f t="shared" si="76"/>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77"/>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256</v>
      </c>
      <c r="E777" s="20" t="str">
        <f t="shared" si="76"/>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77"/>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275</v>
      </c>
      <c r="E778" s="20" t="str">
        <f t="shared" si="76"/>
        <v/>
      </c>
      <c r="F778" s="21" t="str">
        <f>IF(OR(E778="",E778="!!!"),"",IF(NOT(ISNA(VLOOKUP(E778,E$1:E777,1,FALSE()))),"OLD",IF(AND(E778&lt;&gt;"",E778&lt;&gt;"!!!"),"NEW","")))</f>
        <v/>
      </c>
      <c r="G778" s="22" t="str">
        <f>IF(OR(E778="",E778="!!!"),"",IF(OR(J778=0,AND(J778=1,K778=1),AND(J778=1,I778="SBJ"),AND(J778=1,I778=0)),"?IN_FOCUS",IF(J778&lt;=2,"?ACTIVATED",IF(J778&lt;&gt;"","?FAMILIAR",IF(F778="NEW",IF(ISNA(VLOOKUP(E778,#REF!,1,FALSE())),"?TYPE_IDENTIFIABLE","?REFERENTIAL"),"_")))))</f>
        <v/>
      </c>
      <c r="H778" s="23" t="str">
        <f t="shared" ca="1" si="77"/>
        <v/>
      </c>
      <c r="I778" s="24" t="str">
        <f>IF(OR(E778="",E778="!!!",F778="NEW"),"",INDEX(B$2:B777,-1+SUMPRODUCT(MAX(ROW(E$2:E777)*(E778=E$2:E777)))))</f>
        <v/>
      </c>
      <c r="J778" s="24" t="str">
        <f ca="1">IF(OR(E778="",E778="!!!",F778="NEW"),"",COUNTBLANK(OFFSET(A$1,,,SUMPRODUCT(MAX(ROW(E$2:E778)*(E778=E$2:E778)))))-COUNTBLANK(OFFSET(A$1,,,SUMPRODUCT(MAX(ROW(E$1:E777)*(E2=E$1:E777))))))</f>
        <v/>
      </c>
      <c r="K778" s="24" t="str">
        <f>IF(OR(E778="",E778="!!!",F778="NEW"),"",INDEX(J$1:J777,SUMPRODUCT(MAX(ROW(E$1:E777)*(E778=E$1:E777)))))</f>
        <v/>
      </c>
      <c r="L778" s="25"/>
    </row>
    <row r="779" spans="1:12" x14ac:dyDescent="0.3">
      <c r="A779" t="s">
        <v>180</v>
      </c>
      <c r="E779" s="20" t="str">
        <f t="shared" si="76"/>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77"/>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592</v>
      </c>
      <c r="E780" s="20" t="str">
        <f t="shared" si="76"/>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77"/>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1" spans="1:12" x14ac:dyDescent="0.3">
      <c r="A781" t="s">
        <v>271</v>
      </c>
      <c r="E781" s="20" t="str">
        <f t="shared" si="76"/>
        <v/>
      </c>
      <c r="F781" s="21" t="str">
        <f>IF(OR(E781="",E781="!!!"),"",IF(NOT(ISNA(VLOOKUP(E781,E$1:E780,1,FALSE()))),"OLD",IF(AND(E781&lt;&gt;"",E781&lt;&gt;"!!!"),"NEW","")))</f>
        <v/>
      </c>
      <c r="G781" s="22" t="str">
        <f>IF(OR(E781="",E781="!!!"),"",IF(OR(J781=0,AND(J781=1,K781=1),AND(J781=1,I781="SBJ"),AND(J781=1,I781=0)),"?IN_FOCUS",IF(J781&lt;=2,"?ACTIVATED",IF(J781&lt;&gt;"","?FAMILIAR",IF(F781="NEW",IF(ISNA(VLOOKUP(E781,#REF!,1,FALSE())),"?TYPE_IDENTIFIABLE","?REFERENTIAL"),"_")))))</f>
        <v/>
      </c>
      <c r="H781" s="23" t="str">
        <f t="shared" ca="1" si="77"/>
        <v/>
      </c>
      <c r="I781" s="24" t="str">
        <f>IF(OR(E781="",E781="!!!",F781="NEW"),"",INDEX(B$2:B780,-1+SUMPRODUCT(MAX(ROW(E$2:E780)*(E781=E$2:E780)))))</f>
        <v/>
      </c>
      <c r="J781" s="24" t="str">
        <f ca="1">IF(OR(E781="",E781="!!!",F781="NEW"),"",COUNTBLANK(OFFSET(A$1,,,SUMPRODUCT(MAX(ROW(E$2:E781)*(E781=E$2:E781)))))-COUNTBLANK(OFFSET(A$1,,,SUMPRODUCT(MAX(ROW(E$1:E780)*(E2=E$1:E780))))))</f>
        <v/>
      </c>
      <c r="K781" s="24" t="str">
        <f>IF(OR(E781="",E781="!!!",F781="NEW"),"",INDEX(J$1:J780,SUMPRODUCT(MAX(ROW(E$1:E780)*(E781=E$1:E780)))))</f>
        <v/>
      </c>
      <c r="L781" s="25"/>
    </row>
    <row r="782" spans="1:12" x14ac:dyDescent="0.3">
      <c r="A782" t="s">
        <v>565</v>
      </c>
      <c r="E782" s="20" t="str">
        <f t="shared" si="76"/>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t="shared" ca="1" si="77"/>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593</v>
      </c>
      <c r="E783" s="20" t="str">
        <f t="shared" si="76"/>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ca="1" si="77"/>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3">
      <c r="A784" t="s">
        <v>369</v>
      </c>
      <c r="B784" s="26" t="s">
        <v>228</v>
      </c>
      <c r="C784" s="26" t="s">
        <v>282</v>
      </c>
      <c r="E784" s="20" t="s">
        <v>737</v>
      </c>
      <c r="F784" s="21" t="str">
        <f>IF(OR(E784="",E784="!!!"),"",IF(NOT(ISNA(VLOOKUP(E784,E$1:E783,1,FALSE()))),"OLD",IF(AND(E784&lt;&gt;"",E784&lt;&gt;"!!!"),"NEW","")))</f>
        <v>OLD</v>
      </c>
      <c r="G784" s="22" t="s">
        <v>708</v>
      </c>
      <c r="H784" s="23" t="s">
        <v>222</v>
      </c>
      <c r="I784" s="24" t="str">
        <f>IF(OR(E784="",E784="!!!",F784="NEW"),"",INDEX(B$2:B783,-1+SUMPRODUCT(MAX(ROW(E$2:E783)*(E784=E$2:E783)))))</f>
        <v>OBJ</v>
      </c>
      <c r="J784" s="24">
        <f ca="1">IF(OR(E784="",E784="!!!",F784="NEW"),"",COUNTBLANK(OFFSET(A$1,,,SUMPRODUCT(MAX(ROW(E$2:E784)*(E784=E$2:E784)))))-COUNTBLANK(OFFSET(A$1,,,SUMPRODUCT(MAX(ROW(E$1:E783)*(E2=E$1:E783))))))</f>
        <v>0</v>
      </c>
      <c r="K784" s="24" t="str">
        <f ca="1">IF(OR(E784="",E784="!!!",F784="NEW"),"",INDEX(J$1:J783,SUMPRODUCT(MAX(ROW(E$1:E783)*(E784=E$1:E783)))))</f>
        <v/>
      </c>
      <c r="L784" s="25"/>
    </row>
    <row r="785" spans="1:12" x14ac:dyDescent="0.3">
      <c r="A785" t="s">
        <v>348</v>
      </c>
      <c r="E785" s="20" t="str">
        <f t="shared" si="76"/>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77"/>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505</v>
      </c>
      <c r="E786" s="20" t="str">
        <f t="shared" si="76"/>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77"/>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3">
      <c r="A787" t="s">
        <v>244</v>
      </c>
      <c r="B787" s="26" t="s">
        <v>228</v>
      </c>
      <c r="C787" s="26" t="s">
        <v>229</v>
      </c>
      <c r="E787" s="20" t="s">
        <v>658</v>
      </c>
      <c r="F787" s="21" t="str">
        <f>IF(OR(E787="",E787="!!!"),"",IF(NOT(ISNA(VLOOKUP(E787,E$1:E786,1,FALSE()))),"OLD",IF(AND(E787&lt;&gt;"",E787&lt;&gt;"!!!"),"NEW","")))</f>
        <v>OLD</v>
      </c>
      <c r="G787" s="22" t="s">
        <v>713</v>
      </c>
      <c r="H787" s="23" t="str">
        <f t="shared" ca="1" si="77"/>
        <v/>
      </c>
      <c r="I787" s="24" t="str">
        <f>IF(OR(E787="",E787="!!!",F787="NEW"),"",INDEX(B$2:B786,-1+SUMPRODUCT(MAX(ROW(E$2:E786)*(E787=E$2:E786)))))</f>
        <v>other_2</v>
      </c>
      <c r="J787" s="24">
        <f ca="1">IF(OR(E787="",E787="!!!",F787="NEW"),"",COUNTBLANK(OFFSET(A$1,,,SUMPRODUCT(MAX(ROW(E$2:E787)*(E787=E$2:E787)))))-COUNTBLANK(OFFSET(A$1,,,SUMPRODUCT(MAX(ROW(E$1:E786)*(E2=E$1:E786))))))</f>
        <v>0</v>
      </c>
      <c r="K787" s="24">
        <f ca="1">IF(OR(E787="",E787="!!!",F787="NEW"),"",INDEX(J$1:J786,SUMPRODUCT(MAX(ROW(E$1:E786)*(E787=E$1:E786)))))</f>
        <v>0</v>
      </c>
      <c r="L787" s="25"/>
    </row>
    <row r="788" spans="1:12" x14ac:dyDescent="0.3">
      <c r="A788" t="s">
        <v>332</v>
      </c>
      <c r="E788" s="20" t="str">
        <f t="shared" si="76"/>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77"/>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251</v>
      </c>
      <c r="B789" s="26" t="s">
        <v>241</v>
      </c>
      <c r="C789" s="26" t="s">
        <v>253</v>
      </c>
      <c r="D789" s="26" t="s">
        <v>254</v>
      </c>
      <c r="E789" s="20" t="s">
        <v>658</v>
      </c>
      <c r="F789" s="21" t="str">
        <f>IF(OR(E789="",E789="!!!"),"",IF(NOT(ISNA(VLOOKUP(E789,E$1:E788,1,FALSE()))),"OLD",IF(AND(E789&lt;&gt;"",E789&lt;&gt;"!!!"),"NEW","")))</f>
        <v>OLD</v>
      </c>
      <c r="G789" s="22" t="str">
        <f ca="1">IF(OR(E789="",E789="!!!"),"",IF(OR(J789=0,AND(J789=1,K789=1),AND(J789=1,I789="SBJ"),AND(J789=1,I789=0)),"?IN_FOCUS",IF(J789&lt;=2,"?ACTIVATED",IF(J789&lt;&gt;"","?FAMILIAR",IF(F789="NEW",IF(ISNA(VLOOKUP(E789,#REF!,1,FALSE())),"?TYPE_IDENTIFIABLE","?REFERENTIAL"),"_")))))</f>
        <v>?IN_FOCUS</v>
      </c>
      <c r="H789" s="23" t="str">
        <f t="shared" ca="1" si="77"/>
        <v/>
      </c>
      <c r="I789" s="24" t="str">
        <f>IF(OR(E789="",E789="!!!",F789="NEW"),"",INDEX(B$2:B788,-1+SUMPRODUCT(MAX(ROW(E$2:E788)*(E789=E$2:E788)))))</f>
        <v>other</v>
      </c>
      <c r="J789" s="24">
        <f ca="1">IF(OR(E789="",E789="!!!",F789="NEW"),"",COUNTBLANK(OFFSET(A$1,,,SUMPRODUCT(MAX(ROW(E$2:E789)*(E789=E$2:E789)))))-COUNTBLANK(OFFSET(A$1,,,SUMPRODUCT(MAX(ROW(E$1:E788)*(E2=E$1:E788))))))</f>
        <v>0</v>
      </c>
      <c r="K789" s="24">
        <f ca="1">IF(OR(E789="",E789="!!!",F789="NEW"),"",INDEX(J$1:J788,SUMPRODUCT(MAX(ROW(E$1:E788)*(E789=E$1:E788)))))</f>
        <v>0</v>
      </c>
      <c r="L789" s="25"/>
    </row>
    <row r="790" spans="1:12" x14ac:dyDescent="0.3">
      <c r="A790" t="s">
        <v>371</v>
      </c>
      <c r="B790" s="26" t="s">
        <v>228</v>
      </c>
      <c r="C790" s="26" t="s">
        <v>261</v>
      </c>
      <c r="D790" s="26" t="s">
        <v>254</v>
      </c>
      <c r="E790" s="20" t="s">
        <v>670</v>
      </c>
      <c r="F790" s="21" t="str">
        <f>IF(OR(E790="",E790="!!!"),"",IF(NOT(ISNA(VLOOKUP(E790,E$1:E789,1,FALSE()))),"OLD",IF(AND(E790&lt;&gt;"",E790&lt;&gt;"!!!"),"NEW","")))</f>
        <v>OLD</v>
      </c>
      <c r="G790" s="22" t="s">
        <v>713</v>
      </c>
      <c r="H790" s="23" t="str">
        <f t="shared" ca="1" si="77"/>
        <v/>
      </c>
      <c r="I790" s="24" t="str">
        <f>IF(OR(E790="",E790="!!!",F790="NEW"),"",INDEX(B$2:B789,-1+SUMPRODUCT(MAX(ROW(E$2:E789)*(E790=E$2:E789)))))</f>
        <v>other_2</v>
      </c>
      <c r="J790" s="24">
        <f ca="1">IF(OR(E790="",E790="!!!",F790="NEW"),"",COUNTBLANK(OFFSET(A$1,,,SUMPRODUCT(MAX(ROW(E$2:E790)*(E790=E$2:E790)))))-COUNTBLANK(OFFSET(A$1,,,SUMPRODUCT(MAX(ROW(E$1:E789)*(E2=E$1:E789))))))</f>
        <v>0</v>
      </c>
      <c r="K790" s="24">
        <f ca="1">IF(OR(E790="",E790="!!!",F790="NEW"),"",INDEX(J$1:J789,SUMPRODUCT(MAX(ROW(E$1:E789)*(E790=E$1:E789)))))</f>
        <v>0</v>
      </c>
      <c r="L790" s="25"/>
    </row>
    <row r="791" spans="1:12" x14ac:dyDescent="0.3">
      <c r="A791" t="s">
        <v>265</v>
      </c>
      <c r="E791" s="20" t="str">
        <f t="shared" si="76"/>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77"/>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3" spans="1:12" x14ac:dyDescent="0.3">
      <c r="A793" t="s">
        <v>594</v>
      </c>
    </row>
    <row r="794" spans="1:12" x14ac:dyDescent="0.3">
      <c r="A794" t="s">
        <v>336</v>
      </c>
      <c r="E794" s="20" t="str">
        <f t="shared" ref="E794:E799" si="78">IF(D794="?OLD","!!!","")</f>
        <v/>
      </c>
      <c r="F794" s="21" t="str">
        <f>IF(OR(E794="",E794="!!!"),"",IF(NOT(ISNA(VLOOKUP(E794,E$1:E793,1,FALSE()))),"OLD",IF(AND(E794&lt;&gt;"",E794&lt;&gt;"!!!"),"NEW","")))</f>
        <v/>
      </c>
      <c r="G794" s="22" t="str">
        <f>IF(OR(E794="",E794="!!!"),"",IF(OR(J794=0,AND(J794=1,K794=1),AND(J794=1,I794="SBJ"),AND(J794=1,I794=0)),"?IN_FOCUS",IF(J794&lt;=2,"?ACTIVATED",IF(J794&lt;&gt;"","?FAMILIAR",IF(F794="NEW",IF(ISNA(VLOOKUP(E794,#REF!,1,FALSE())),"?TYPE_IDENTIFIABLE","?REFERENTIAL"),"_")))))</f>
        <v/>
      </c>
      <c r="H794" s="23" t="str">
        <f t="shared" ref="H794:H799" ca="1" si="79">IF(J794&lt;&gt;1,"",IF(I794="SBJ","CB","?"))</f>
        <v/>
      </c>
      <c r="I794" s="24" t="str">
        <f>IF(OR(E794="",E794="!!!",F794="NEW"),"",INDEX(B$2:B793,-1+SUMPRODUCT(MAX(ROW(E$2:E793)*(E794=E$2:E793)))))</f>
        <v/>
      </c>
      <c r="J794" s="24" t="str">
        <f ca="1">IF(OR(E794="",E794="!!!",F794="NEW"),"",COUNTBLANK(OFFSET(A$1,,,SUMPRODUCT(MAX(ROW(E$2:E794)*(E794=E$2:E794)))))-COUNTBLANK(OFFSET(A$1,,,SUMPRODUCT(MAX(ROW(E$1:E793)*(E2=E$1:E793))))))</f>
        <v/>
      </c>
      <c r="K794" s="24" t="str">
        <f>IF(OR(E794="",E794="!!!",F794="NEW"),"",INDEX(J$1:J793,SUMPRODUCT(MAX(ROW(E$1:E793)*(E794=E$1:E793)))))</f>
        <v/>
      </c>
      <c r="L794" s="25"/>
    </row>
    <row r="795" spans="1:12" x14ac:dyDescent="0.3">
      <c r="A795" t="s">
        <v>408</v>
      </c>
      <c r="B795" s="26" t="s">
        <v>274</v>
      </c>
      <c r="C795" s="26" t="s">
        <v>310</v>
      </c>
      <c r="D795" s="26" t="s">
        <v>254</v>
      </c>
      <c r="E795" s="20" t="s">
        <v>723</v>
      </c>
      <c r="F795" s="21" t="str">
        <f>IF(OR(E795="",E795="!!!"),"",IF(NOT(ISNA(VLOOKUP(E795,E$1:E794,1,FALSE()))),"OLD",IF(AND(E795&lt;&gt;"",E795&lt;&gt;"!!!"),"NEW","")))</f>
        <v>OLD</v>
      </c>
      <c r="G795" s="22" t="s">
        <v>704</v>
      </c>
      <c r="H795" s="23" t="str">
        <f t="shared" ca="1" si="79"/>
        <v/>
      </c>
      <c r="I795" s="24" t="str">
        <f>IF(OR(E795="",E795="!!!",F795="NEW"),"",INDEX(B$2:B794,-1+SUMPRODUCT(MAX(ROW(E$2:E794)*(E795=E$2:E794)))))</f>
        <v>SBJ</v>
      </c>
      <c r="J795" s="24">
        <f ca="1">IF(OR(E795="",E795="!!!",F795="NEW"),"",COUNTBLANK(OFFSET(A$1,,,SUMPRODUCT(MAX(ROW(E$2:E795)*(E795=E$2:E795)))))-COUNTBLANK(OFFSET(A$1,,,SUMPRODUCT(MAX(ROW(E$1:E794)*(E2=E$1:E794))))))</f>
        <v>0</v>
      </c>
      <c r="K795" s="24" t="str">
        <f ca="1">IF(OR(E795="",E795="!!!",F795="NEW"),"",INDEX(J$1:J794,SUMPRODUCT(MAX(ROW(E$1:E794)*(E795=E$1:E794)))))</f>
        <v/>
      </c>
      <c r="L795" s="25"/>
    </row>
    <row r="796" spans="1:12" x14ac:dyDescent="0.3">
      <c r="A796" t="s">
        <v>258</v>
      </c>
      <c r="E796" s="20" t="str">
        <f t="shared" si="78"/>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79"/>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3">
      <c r="A797" t="s">
        <v>587</v>
      </c>
      <c r="B797" s="26" t="s">
        <v>228</v>
      </c>
      <c r="C797" s="26" t="s">
        <v>273</v>
      </c>
      <c r="D797" s="26" t="s">
        <v>254</v>
      </c>
      <c r="E797" s="20" t="s">
        <v>698</v>
      </c>
      <c r="F797" s="21" t="str">
        <f>IF(OR(E797="",E797="!!!"),"",IF(NOT(ISNA(VLOOKUP(E797,E$1:E796,1,FALSE()))),"OLD",IF(AND(E797&lt;&gt;"",E797&lt;&gt;"!!!"),"NEW","")))</f>
        <v>NEW</v>
      </c>
      <c r="G797" s="22" t="s">
        <v>713</v>
      </c>
      <c r="H797" s="23" t="s">
        <v>222</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3">
      <c r="A798" t="s">
        <v>354</v>
      </c>
      <c r="E798" s="20"/>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79"/>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230</v>
      </c>
      <c r="E799" s="20" t="str">
        <f t="shared" si="78"/>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79"/>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1" spans="1:12" x14ac:dyDescent="0.3">
      <c r="A801" t="s">
        <v>595</v>
      </c>
    </row>
    <row r="802" spans="1:12" x14ac:dyDescent="0.3">
      <c r="A802" t="s">
        <v>398</v>
      </c>
      <c r="E802" s="20" t="s">
        <v>698</v>
      </c>
      <c r="F802" s="21" t="str">
        <f>IF(OR(E802="",E802="!!!"),"",IF(NOT(ISNA(VLOOKUP(E802,E$1:E801,1,FALSE()))),"OLD",IF(AND(E802&lt;&gt;"",E802&lt;&gt;"!!!"),"NEW","")))</f>
        <v>OLD</v>
      </c>
      <c r="G802" s="22" t="str">
        <f ca="1">IF(OR(E802="",E802="!!!"),"",IF(OR(J802=0,AND(J802=1,K802=1),AND(J802=1,I802="SBJ"),AND(J802=1,I802=0)),"?IN_FOCUS",IF(J802&lt;=2,"?ACTIVATED",IF(J802&lt;&gt;"","?FAMILIAR",IF(F802="NEW",IF(ISNA(VLOOKUP(E802,#REF!,1,FALSE())),"?TYPE_IDENTIFIABLE","?REFERENTIAL"),"_")))))</f>
        <v>?IN_FOCUS</v>
      </c>
      <c r="H802" s="23" t="s">
        <v>222</v>
      </c>
      <c r="I802" s="24" t="str">
        <f>IF(OR(E802="",E802="!!!",F802="NEW"),"",INDEX(B$2:B801,-1+SUMPRODUCT(MAX(ROW(E$2:E801)*(E802=E$2:E801)))))</f>
        <v>other</v>
      </c>
      <c r="J802" s="24">
        <f ca="1">IF(OR(E802="",E802="!!!",F802="NEW"),"",COUNTBLANK(OFFSET(A$1,,,SUMPRODUCT(MAX(ROW(E$2:E802)*(E802=E$2:E802)))))-COUNTBLANK(OFFSET(A$1,,,SUMPRODUCT(MAX(ROW(E$1:E801)*(E2=E$1:E801))))))</f>
        <v>0</v>
      </c>
      <c r="K802" s="24" t="str">
        <f ca="1">IF(OR(E802="",E802="!!!",F802="NEW"),"",INDEX(J$1:J801,SUMPRODUCT(MAX(ROW(E$1:E801)*(E802=E$1:E801)))))</f>
        <v/>
      </c>
      <c r="L802" s="25"/>
    </row>
    <row r="803" spans="1:12" x14ac:dyDescent="0.3">
      <c r="A803" t="s">
        <v>256</v>
      </c>
      <c r="E803" s="20" t="str">
        <f t="shared" ref="E803:E813" si="80">IF(D803="?OLD","!!!","")</f>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ref="H803:H813" ca="1" si="81">IF(J803&lt;&gt;1,"",IF(I803="SBJ","CB","?"))</f>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4" spans="1:12" x14ac:dyDescent="0.3">
      <c r="A804" t="s">
        <v>398</v>
      </c>
      <c r="E804" s="20" t="str">
        <f t="shared" si="80"/>
        <v/>
      </c>
      <c r="F804" s="21" t="str">
        <f>IF(OR(E804="",E804="!!!"),"",IF(NOT(ISNA(VLOOKUP(E804,E$1:E803,1,FALSE()))),"OLD",IF(AND(E804&lt;&gt;"",E804&lt;&gt;"!!!"),"NEW","")))</f>
        <v/>
      </c>
      <c r="G804" s="22" t="str">
        <f>IF(OR(E804="",E804="!!!"),"",IF(OR(J804=0,AND(J804=1,K804=1),AND(J804=1,I804="SBJ"),AND(J804=1,I804=0)),"?IN_FOCUS",IF(J804&lt;=2,"?ACTIVATED",IF(J804&lt;&gt;"","?FAMILIAR",IF(F804="NEW",IF(ISNA(VLOOKUP(E804,#REF!,1,FALSE())),"?TYPE_IDENTIFIABLE","?REFERENTIAL"),"_")))))</f>
        <v/>
      </c>
      <c r="H804" s="23" t="str">
        <f t="shared" ca="1" si="81"/>
        <v/>
      </c>
      <c r="I804" s="24" t="str">
        <f>IF(OR(E804="",E804="!!!",F804="NEW"),"",INDEX(B$2:B803,-1+SUMPRODUCT(MAX(ROW(E$2:E803)*(E804=E$2:E803)))))</f>
        <v/>
      </c>
      <c r="J804" s="24" t="str">
        <f ca="1">IF(OR(E804="",E804="!!!",F804="NEW"),"",COUNTBLANK(OFFSET(A$1,,,SUMPRODUCT(MAX(ROW(E$2:E804)*(E804=E$2:E804)))))-COUNTBLANK(OFFSET(A$1,,,SUMPRODUCT(MAX(ROW(E$1:E803)*(E2=E$1:E803))))))</f>
        <v/>
      </c>
      <c r="K804" s="24" t="str">
        <f>IF(OR(E804="",E804="!!!",F804="NEW"),"",INDEX(J$1:J803,SUMPRODUCT(MAX(ROW(E$1:E803)*(E804=E$1:E803)))))</f>
        <v/>
      </c>
      <c r="L804" s="25"/>
    </row>
    <row r="805" spans="1:12" x14ac:dyDescent="0.3">
      <c r="A805" t="s">
        <v>275</v>
      </c>
      <c r="E805" s="20" t="str">
        <f t="shared" si="80"/>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t="shared" ca="1" si="81"/>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596</v>
      </c>
      <c r="E806" s="20" t="str">
        <f t="shared" si="80"/>
        <v/>
      </c>
      <c r="F806" s="21" t="str">
        <f>IF(OR(E806="",E806="!!!"),"",IF(NOT(ISNA(VLOOKUP(E806,E$1:E805,1,FALSE()))),"OLD",IF(AND(E806&lt;&gt;"",E806&lt;&gt;"!!!"),"NEW","")))</f>
        <v/>
      </c>
      <c r="G806" s="22" t="str">
        <f>IF(OR(E806="",E806="!!!"),"",IF(OR(J806=0,AND(J806=1,K806=1),AND(J806=1,I806="SBJ"),AND(J806=1,I806=0)),"?IN_FOCUS",IF(J806&lt;=2,"?ACTIVATED",IF(J806&lt;&gt;"","?FAMILIAR",IF(F806="NEW",IF(ISNA(VLOOKUP(E806,#REF!,1,FALSE())),"?TYPE_IDENTIFIABLE","?REFERENTIAL"),"_")))))</f>
        <v/>
      </c>
      <c r="H806" s="23" t="str">
        <f t="shared" ca="1" si="81"/>
        <v/>
      </c>
      <c r="I806" s="24" t="str">
        <f>IF(OR(E806="",E806="!!!",F806="NEW"),"",INDEX(B$2:B805,-1+SUMPRODUCT(MAX(ROW(E$2:E805)*(E806=E$2:E805)))))</f>
        <v/>
      </c>
      <c r="J806" s="24" t="str">
        <f ca="1">IF(OR(E806="",E806="!!!",F806="NEW"),"",COUNTBLANK(OFFSET(A$1,,,SUMPRODUCT(MAX(ROW(E$2:E806)*(E806=E$2:E806)))))-COUNTBLANK(OFFSET(A$1,,,SUMPRODUCT(MAX(ROW(E$1:E805)*(E2=E$1:E805))))))</f>
        <v/>
      </c>
      <c r="K806" s="24" t="str">
        <f>IF(OR(E806="",E806="!!!",F806="NEW"),"",INDEX(J$1:J805,SUMPRODUCT(MAX(ROW(E$1:E805)*(E806=E$1:E805)))))</f>
        <v/>
      </c>
      <c r="L806" s="25"/>
    </row>
    <row r="807" spans="1:12" x14ac:dyDescent="0.3">
      <c r="A807" t="s">
        <v>597</v>
      </c>
      <c r="E807" s="20" t="str">
        <f t="shared" si="80"/>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ca="1" si="81"/>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369</v>
      </c>
      <c r="E808" s="20" t="str">
        <f t="shared" si="80"/>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81"/>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3">
      <c r="A809" t="s">
        <v>370</v>
      </c>
      <c r="B809" s="26" t="s">
        <v>274</v>
      </c>
      <c r="C809" s="26" t="s">
        <v>282</v>
      </c>
      <c r="E809" s="20" t="s">
        <v>668</v>
      </c>
      <c r="F809" s="21" t="str">
        <f>IF(OR(E809="",E809="!!!"),"",IF(NOT(ISNA(VLOOKUP(E809,E$1:E808,1,FALSE()))),"OLD",IF(AND(E809&lt;&gt;"",E809&lt;&gt;"!!!"),"NEW","")))</f>
        <v>OLD</v>
      </c>
      <c r="G809" s="22" t="str">
        <f ca="1">IF(OR(E809="",E809="!!!"),"",IF(OR(J809=0,AND(J809=1,K809=1),AND(J809=1,I809="SBJ"),AND(J809=1,I809=0)),"?IN_FOCUS",IF(J809&lt;=2,"?ACTIVATED",IF(J809&lt;&gt;"","?FAMILIAR",IF(F809="NEW",IF(ISNA(VLOOKUP(E809,#REF!,1,FALSE())),"?TYPE_IDENTIFIABLE","?REFERENTIAL"),"_")))))</f>
        <v>?IN_FOCUS</v>
      </c>
      <c r="H809" s="23" t="str">
        <f t="shared" ca="1" si="81"/>
        <v/>
      </c>
      <c r="I809" s="24" t="str">
        <f>IF(OR(E809="",E809="!!!",F809="NEW"),"",INDEX(B$2:B808,-1+SUMPRODUCT(MAX(ROW(E$2:E808)*(E809=E$2:E808)))))</f>
        <v>OBJ_6</v>
      </c>
      <c r="J809" s="24">
        <f ca="1">IF(OR(E809="",E809="!!!",F809="NEW"),"",COUNTBLANK(OFFSET(A$1,,,SUMPRODUCT(MAX(ROW(E$2:E809)*(E809=E$2:E809)))))-COUNTBLANK(OFFSET(A$1,,,SUMPRODUCT(MAX(ROW(E$1:E808)*(E2=E$1:E808))))))</f>
        <v>0</v>
      </c>
      <c r="K809" s="24" t="str">
        <f ca="1">IF(OR(E809="",E809="!!!",F809="NEW"),"",INDEX(J$1:J808,SUMPRODUCT(MAX(ROW(E$1:E808)*(E809=E$1:E808)))))</f>
        <v/>
      </c>
      <c r="L809" s="25"/>
    </row>
    <row r="810" spans="1:12" x14ac:dyDescent="0.3">
      <c r="A810" t="s">
        <v>598</v>
      </c>
      <c r="E810" s="20" t="str">
        <f t="shared" si="80"/>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81"/>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348</v>
      </c>
      <c r="E811" s="20" t="str">
        <f t="shared" si="80"/>
        <v/>
      </c>
      <c r="F811" s="21" t="str">
        <f>IF(OR(E811="",E811="!!!"),"",IF(NOT(ISNA(VLOOKUP(E811,E$1:E810,1,FALSE()))),"OLD",IF(AND(E811&lt;&gt;"",E811&lt;&gt;"!!!"),"NEW","")))</f>
        <v/>
      </c>
      <c r="G811" s="22" t="str">
        <f>IF(OR(E811="",E811="!!!"),"",IF(OR(J811=0,AND(J811=1,K811=1),AND(J811=1,I811="SBJ"),AND(J811=1,I811=0)),"?IN_FOCUS",IF(J811&lt;=2,"?ACTIVATED",IF(J811&lt;&gt;"","?FAMILIAR",IF(F811="NEW",IF(ISNA(VLOOKUP(E811,#REF!,1,FALSE())),"?TYPE_IDENTIFIABLE","?REFERENTIAL"),"_")))))</f>
        <v/>
      </c>
      <c r="H811" s="23" t="str">
        <f t="shared" ca="1" si="81"/>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3">
      <c r="A812" t="s">
        <v>244</v>
      </c>
      <c r="B812" s="26" t="s">
        <v>228</v>
      </c>
      <c r="C812" s="26" t="s">
        <v>229</v>
      </c>
      <c r="E812" s="20" t="s">
        <v>658</v>
      </c>
      <c r="F812" s="21" t="str">
        <f>IF(OR(E812="",E812="!!!"),"",IF(NOT(ISNA(VLOOKUP(E812,E$1:E811,1,FALSE()))),"OLD",IF(AND(E812&lt;&gt;"",E812&lt;&gt;"!!!"),"NEW","")))</f>
        <v>OLD</v>
      </c>
      <c r="G812" s="22" t="s">
        <v>704</v>
      </c>
      <c r="H812" s="23"/>
      <c r="I812" s="24" t="str">
        <f>IF(OR(E812="",E812="!!!",F812="NEW"),"",INDEX(B$2:B811,-1+SUMPRODUCT(MAX(ROW(E$2:E811)*(E812=E$2:E811)))))</f>
        <v>other_2</v>
      </c>
      <c r="J812" s="24">
        <f ca="1">IF(OR(E812="",E812="!!!",F812="NEW"),"",COUNTBLANK(OFFSET(A$1,,,SUMPRODUCT(MAX(ROW(E$2:E812)*(E812=E$2:E812)))))-COUNTBLANK(OFFSET(A$1,,,SUMPRODUCT(MAX(ROW(E$1:E811)*(E2=E$1:E811))))))</f>
        <v>0</v>
      </c>
      <c r="K812" s="24">
        <f ca="1">IF(OR(E812="",E812="!!!",F812="NEW"),"",INDEX(J$1:J811,SUMPRODUCT(MAX(ROW(E$1:E811)*(E812=E$1:E811)))))</f>
        <v>0</v>
      </c>
      <c r="L812" s="25"/>
    </row>
    <row r="813" spans="1:12" x14ac:dyDescent="0.3">
      <c r="A813" t="s">
        <v>265</v>
      </c>
      <c r="E813" s="20" t="str">
        <f t="shared" si="80"/>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81"/>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5" spans="1:12" x14ac:dyDescent="0.3">
      <c r="A815" t="s">
        <v>411</v>
      </c>
      <c r="E815" s="20" t="str">
        <f>IF(D815="?OLD","!!!","")</f>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ca="1">IF(J815&lt;&gt;1,"",IF(I815="SBJ","CB","?"))</f>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599</v>
      </c>
    </row>
    <row r="817" spans="1:12" x14ac:dyDescent="0.3">
      <c r="A817" t="s">
        <v>504</v>
      </c>
      <c r="E817" s="20" t="str">
        <f t="shared" ref="E817:E846" si="82">IF(D817="?OLD","!!!","")</f>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ref="H817:H846" ca="1" si="83">IF(J817&lt;&gt;1,"",IF(I817="SBJ","CB","?"))</f>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3">
      <c r="A818" t="s">
        <v>293</v>
      </c>
      <c r="E818" s="20" t="str">
        <f t="shared" si="82"/>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83"/>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3">
      <c r="A819" t="s">
        <v>600</v>
      </c>
      <c r="E819" s="20" t="str">
        <f t="shared" si="82"/>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83"/>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601</v>
      </c>
      <c r="B820" s="26" t="s">
        <v>241</v>
      </c>
      <c r="C820" s="26" t="s">
        <v>310</v>
      </c>
      <c r="D820" s="26" t="s">
        <v>254</v>
      </c>
      <c r="E820" s="20" t="s">
        <v>735</v>
      </c>
      <c r="F820" s="21" t="str">
        <f>IF(OR(E820="",E820="!!!"),"",IF(NOT(ISNA(VLOOKUP(E820,E$1:E819,1,FALSE()))),"OLD",IF(AND(E820&lt;&gt;"",E820&lt;&gt;"!!!"),"NEW","")))</f>
        <v>NEW</v>
      </c>
      <c r="G820" s="22" t="s">
        <v>713</v>
      </c>
      <c r="H820" s="23" t="str">
        <f t="shared" ca="1" si="83"/>
        <v/>
      </c>
      <c r="I820" s="24" t="str">
        <f>IF(OR(E820="",E820="!!!",F820="NEW"),"",INDEX(B$2:B819,-1+SUMPRODUCT(MAX(ROW(E$2:E819)*(E820=E$2:E819)))))</f>
        <v/>
      </c>
      <c r="J820" s="24" t="str">
        <f ca="1">IF(OR(E820="",E820="!!!",F820="NEW"),"",COUNTBLANK(OFFSET(A$1,,,SUMPRODUCT(MAX(ROW(E$2:E820)*(E820=E$2:E820)))))-COUNTBLANK(OFFSET(A$1,,,SUMPRODUCT(MAX(ROW(E$1:E819)*(E2=E$1:E819))))))</f>
        <v/>
      </c>
      <c r="K820" s="24" t="str">
        <f>IF(OR(E820="",E820="!!!",F820="NEW"),"",INDEX(J$1:J819,SUMPRODUCT(MAX(ROW(E$1:E819)*(E820=E$1:E819)))))</f>
        <v/>
      </c>
      <c r="L820" s="25"/>
    </row>
    <row r="821" spans="1:12" x14ac:dyDescent="0.3">
      <c r="A821" t="s">
        <v>325</v>
      </c>
      <c r="E821" s="20" t="str">
        <f t="shared" si="82"/>
        <v/>
      </c>
      <c r="F821" s="21" t="str">
        <f>IF(OR(E821="",E821="!!!"),"",IF(NOT(ISNA(VLOOKUP(E821,E$1:E820,1,FALSE()))),"OLD",IF(AND(E821&lt;&gt;"",E821&lt;&gt;"!!!"),"NEW","")))</f>
        <v/>
      </c>
      <c r="G821" s="22" t="str">
        <f>IF(OR(E821="",E821="!!!"),"",IF(OR(J821=0,AND(J821=1,K821=1),AND(J821=1,I821="SBJ"),AND(J821=1,I821=0)),"?IN_FOCUS",IF(J821&lt;=2,"?ACTIVATED",IF(J821&lt;&gt;"","?FAMILIAR",IF(F821="NEW",IF(ISNA(VLOOKUP(E821,#REF!,1,FALSE())),"?TYPE_IDENTIFIABLE","?REFERENTIAL"),"_")))))</f>
        <v/>
      </c>
      <c r="H821" s="23" t="str">
        <f t="shared" ca="1" si="83"/>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t="s">
        <v>700</v>
      </c>
    </row>
    <row r="822" spans="1:12" x14ac:dyDescent="0.3">
      <c r="A822" t="s">
        <v>602</v>
      </c>
      <c r="B822" s="26" t="s">
        <v>274</v>
      </c>
      <c r="C822" s="26" t="s">
        <v>261</v>
      </c>
      <c r="D822" s="26" t="s">
        <v>254</v>
      </c>
      <c r="E822" s="20" t="s">
        <v>699</v>
      </c>
      <c r="F822" s="21" t="str">
        <f>IF(OR(E822="",E822="!!!"),"",IF(NOT(ISNA(VLOOKUP(E822,E$1:E821,1,FALSE()))),"OLD",IF(AND(E822&lt;&gt;"",E822&lt;&gt;"!!!"),"NEW","")))</f>
        <v>NEW</v>
      </c>
      <c r="G822" s="22" t="s">
        <v>713</v>
      </c>
      <c r="H822" s="23" t="str">
        <f t="shared" ca="1" si="83"/>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3" spans="1:12" x14ac:dyDescent="0.3">
      <c r="A823" t="s">
        <v>250</v>
      </c>
      <c r="E823" s="20" t="str">
        <f t="shared" si="82"/>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83"/>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231</v>
      </c>
      <c r="E824" s="20" t="str">
        <f t="shared" si="82"/>
        <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t="shared" ca="1" si="83"/>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3">
      <c r="A825" t="s">
        <v>385</v>
      </c>
      <c r="B825" s="26" t="s">
        <v>252</v>
      </c>
      <c r="C825" s="26" t="s">
        <v>273</v>
      </c>
      <c r="D825" s="26" t="s">
        <v>254</v>
      </c>
      <c r="E825" s="20"/>
      <c r="F825" s="21" t="s">
        <v>714</v>
      </c>
      <c r="G825" s="22" t="str">
        <f>IF(OR(E825="",E825="!!!"),"",IF(OR(J825=0,AND(J825=1,K825=1),AND(J825=1,I825="SBJ"),AND(J825=1,I825=0)),"?IN_FOCUS",IF(J825&lt;=2,"?ACTIVATED",IF(J825&lt;&gt;"","?FAMILIAR",IF(F825="NEW",IF(ISNA(VLOOKUP(E825,#REF!,1,FALSE())),"?TYPE_IDENTIFIABLE","?REFERENTIAL"),"_")))))</f>
        <v/>
      </c>
      <c r="H825" s="23" t="str">
        <f t="shared" ca="1" si="83"/>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325</v>
      </c>
      <c r="E826" s="20" t="str">
        <f t="shared" si="82"/>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83"/>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603</v>
      </c>
      <c r="B827" s="26" t="s">
        <v>241</v>
      </c>
      <c r="C827" s="26" t="s">
        <v>261</v>
      </c>
      <c r="D827" s="26" t="s">
        <v>254</v>
      </c>
      <c r="E827" s="20" t="s">
        <v>701</v>
      </c>
      <c r="F827" s="21" t="str">
        <f>IF(OR(E827="",E827="!!!"),"",IF(NOT(ISNA(VLOOKUP(E827,E$1:E826,1,FALSE()))),"OLD",IF(AND(E827&lt;&gt;"",E827&lt;&gt;"!!!"),"NEW","")))</f>
        <v>NEW</v>
      </c>
      <c r="G827" s="22" t="s">
        <v>707</v>
      </c>
      <c r="H827" s="23" t="str">
        <f t="shared" ca="1" si="83"/>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row>
    <row r="828" spans="1:12" x14ac:dyDescent="0.3">
      <c r="A828" t="s">
        <v>332</v>
      </c>
      <c r="E828" s="20" t="str">
        <f t="shared" si="82"/>
        <v/>
      </c>
      <c r="F828" s="21" t="str">
        <f>IF(OR(E828="",E828="!!!"),"",IF(NOT(ISNA(VLOOKUP(E828,E$1:E827,1,FALSE()))),"OLD",IF(AND(E828&lt;&gt;"",E828&lt;&gt;"!!!"),"NEW","")))</f>
        <v/>
      </c>
      <c r="G828" s="22" t="str">
        <f>IF(OR(E828="",E828="!!!"),"",IF(OR(J828=0,AND(J828=1,K828=1),AND(J828=1,I828="SBJ"),AND(J828=1,I828=0)),"?IN_FOCUS",IF(J828&lt;=2,"?ACTIVATED",IF(J828&lt;&gt;"","?FAMILIAR",IF(F828="NEW",IF(ISNA(VLOOKUP(E828,#REF!,1,FALSE())),"?TYPE_IDENTIFIABLE","?REFERENTIAL"),"_")))))</f>
        <v/>
      </c>
      <c r="H828" s="23" t="str">
        <f t="shared" ca="1" si="83"/>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604</v>
      </c>
      <c r="E829" s="20" t="str">
        <f t="shared" si="82"/>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83"/>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0" spans="1:12" x14ac:dyDescent="0.3">
      <c r="A830" t="s">
        <v>605</v>
      </c>
      <c r="B830" s="26" t="s">
        <v>252</v>
      </c>
      <c r="C830" s="26" t="s">
        <v>273</v>
      </c>
      <c r="D830" s="26" t="s">
        <v>254</v>
      </c>
      <c r="E830" s="20" t="s">
        <v>702</v>
      </c>
      <c r="F830" s="21" t="str">
        <f>IF(OR(E830="",E830="!!!"),"",IF(NOT(ISNA(VLOOKUP(E830,E$1:E829,1,FALSE()))),"OLD",IF(AND(E830&lt;&gt;"",E830&lt;&gt;"!!!"),"NEW","")))</f>
        <v>NEW</v>
      </c>
      <c r="G830" s="22" t="s">
        <v>707</v>
      </c>
      <c r="H830" s="23" t="str">
        <f t="shared" ca="1" si="83"/>
        <v/>
      </c>
      <c r="I830" s="24" t="str">
        <f>IF(OR(E830="",E830="!!!",F830="NEW"),"",INDEX(B$2:B829,-1+SUMPRODUCT(MAX(ROW(E$2:E829)*(E830=E$2:E829)))))</f>
        <v/>
      </c>
      <c r="J830" s="24" t="str">
        <f ca="1">IF(OR(E830="",E830="!!!",F830="NEW"),"",COUNTBLANK(OFFSET(A$1,,,SUMPRODUCT(MAX(ROW(E$2:E830)*(E830=E$2:E830)))))-COUNTBLANK(OFFSET(A$1,,,SUMPRODUCT(MAX(ROW(E$1:E829)*(E2=E$1:E829))))))</f>
        <v/>
      </c>
      <c r="K830" s="24" t="str">
        <f>IF(OR(E830="",E830="!!!",F830="NEW"),"",INDEX(J$1:J829,SUMPRODUCT(MAX(ROW(E$1:E829)*(E830=E$1:E829)))))</f>
        <v/>
      </c>
      <c r="L830" s="25"/>
    </row>
    <row r="831" spans="1:12" x14ac:dyDescent="0.3">
      <c r="A831" t="s">
        <v>231</v>
      </c>
      <c r="E831" s="20" t="str">
        <f t="shared" si="82"/>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t="shared" ca="1" si="83"/>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3">
      <c r="A832" t="s">
        <v>606</v>
      </c>
      <c r="E832" s="20" t="str">
        <f t="shared" si="82"/>
        <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t="shared" ca="1" si="83"/>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3" spans="1:12" x14ac:dyDescent="0.3">
      <c r="A833" t="s">
        <v>417</v>
      </c>
      <c r="E833" s="20" t="str">
        <f t="shared" si="82"/>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83"/>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244</v>
      </c>
      <c r="B834" s="26" t="s">
        <v>234</v>
      </c>
      <c r="C834" s="26" t="s">
        <v>229</v>
      </c>
      <c r="E834" s="20" t="s">
        <v>658</v>
      </c>
      <c r="F834" s="21" t="str">
        <f>IF(OR(E834="",E834="!!!"),"",IF(NOT(ISNA(VLOOKUP(E834,E$1:E833,1,FALSE()))),"OLD",IF(AND(E834&lt;&gt;"",E834&lt;&gt;"!!!"),"NEW","")))</f>
        <v>OLD</v>
      </c>
      <c r="G834" s="22" t="s">
        <v>704</v>
      </c>
      <c r="H834" s="23" t="str">
        <f t="shared" ca="1" si="83"/>
        <v/>
      </c>
      <c r="I834" s="24" t="str">
        <f>IF(OR(E834="",E834="!!!",F834="NEW"),"",INDEX(B$2:B833,-1+SUMPRODUCT(MAX(ROW(E$2:E833)*(E834=E$2:E833)))))</f>
        <v>other</v>
      </c>
      <c r="J834" s="24">
        <f ca="1">IF(OR(E834="",E834="!!!",F834="NEW"),"",COUNTBLANK(OFFSET(A$1,,,SUMPRODUCT(MAX(ROW(E$2:E834)*(E834=E$2:E834)))))-COUNTBLANK(OFFSET(A$1,,,SUMPRODUCT(MAX(ROW(E$1:E833)*(E2=E$1:E833))))))</f>
        <v>0</v>
      </c>
      <c r="K834" s="24">
        <f ca="1">IF(OR(E834="",E834="!!!",F834="NEW"),"",INDEX(J$1:J833,SUMPRODUCT(MAX(ROW(E$1:E833)*(E834=E$1:E833)))))</f>
        <v>0</v>
      </c>
      <c r="L834" s="25"/>
    </row>
    <row r="835" spans="1:12" x14ac:dyDescent="0.3">
      <c r="A835" t="s">
        <v>607</v>
      </c>
      <c r="E835" s="20" t="str">
        <f t="shared" si="82"/>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83"/>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92</v>
      </c>
      <c r="E836" s="20" t="str">
        <f t="shared" si="82"/>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83"/>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608</v>
      </c>
      <c r="E837" s="20" t="str">
        <f t="shared" si="82"/>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83"/>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238</v>
      </c>
      <c r="E838" s="20" t="str">
        <f t="shared" si="82"/>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83"/>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369</v>
      </c>
      <c r="B839" s="26" t="s">
        <v>241</v>
      </c>
      <c r="C839" s="26" t="s">
        <v>229</v>
      </c>
      <c r="E839" s="20" t="str">
        <f t="shared" si="82"/>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83"/>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0" spans="1:12" x14ac:dyDescent="0.3">
      <c r="A840" t="s">
        <v>579</v>
      </c>
      <c r="E840" s="20" t="str">
        <f t="shared" si="82"/>
        <v/>
      </c>
      <c r="F840" s="21" t="str">
        <f>IF(OR(E840="",E840="!!!"),"",IF(NOT(ISNA(VLOOKUP(E840,E$1:E839,1,FALSE()))),"OLD",IF(AND(E840&lt;&gt;"",E840&lt;&gt;"!!!"),"NEW","")))</f>
        <v/>
      </c>
      <c r="G840" s="22" t="str">
        <f>IF(OR(E840="",E840="!!!"),"",IF(OR(J840=0,AND(J840=1,K840=1),AND(J840=1,I840="SBJ"),AND(J840=1,I840=0)),"?IN_FOCUS",IF(J840&lt;=2,"?ACTIVATED",IF(J840&lt;&gt;"","?FAMILIAR",IF(F840="NEW",IF(ISNA(VLOOKUP(E840,#REF!,1,FALSE())),"?TYPE_IDENTIFIABLE","?REFERENTIAL"),"_")))))</f>
        <v/>
      </c>
      <c r="H840" s="23" t="str">
        <f t="shared" ca="1" si="83"/>
        <v/>
      </c>
      <c r="I840" s="24" t="str">
        <f>IF(OR(E840="",E840="!!!",F840="NEW"),"",INDEX(B$2:B839,-1+SUMPRODUCT(MAX(ROW(E$2:E839)*(E840=E$2:E839)))))</f>
        <v/>
      </c>
      <c r="J840" s="24" t="str">
        <f ca="1">IF(OR(E840="",E840="!!!",F840="NEW"),"",COUNTBLANK(OFFSET(A$1,,,SUMPRODUCT(MAX(ROW(E$2:E840)*(E840=E$2:E840)))))-COUNTBLANK(OFFSET(A$1,,,SUMPRODUCT(MAX(ROW(E$1:E839)*(E2=E$1:E839))))))</f>
        <v/>
      </c>
      <c r="K840" s="24" t="str">
        <f>IF(OR(E840="",E840="!!!",F840="NEW"),"",INDEX(J$1:J839,SUMPRODUCT(MAX(ROW(E$1:E839)*(E840=E$1:E839)))))</f>
        <v/>
      </c>
      <c r="L840" s="25"/>
    </row>
    <row r="841" spans="1:12" x14ac:dyDescent="0.3">
      <c r="A841" t="s">
        <v>609</v>
      </c>
      <c r="E841" s="20" t="str">
        <f t="shared" si="82"/>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ca="1" si="83"/>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3">
      <c r="A842" t="s">
        <v>417</v>
      </c>
      <c r="B842" s="26" t="s">
        <v>384</v>
      </c>
      <c r="C842" s="26" t="s">
        <v>469</v>
      </c>
      <c r="D842" s="26" t="s">
        <v>254</v>
      </c>
      <c r="E842" s="20" t="s">
        <v>747</v>
      </c>
      <c r="F842" s="21" t="str">
        <f>IF(OR(E842="",E842="!!!"),"",IF(NOT(ISNA(VLOOKUP(E842,E$1:E841,1,FALSE()))),"OLD",IF(AND(E842&lt;&gt;"",E842&lt;&gt;"!!!"),"NEW","")))</f>
        <v>NEW</v>
      </c>
      <c r="G842" s="22" t="str">
        <f ca="1">IF(OR(E842="",E842="!!!"),"",IF(OR(J842=0,AND(J842=1,K842=1),AND(J842=1,I842="SBJ"),AND(J842=1,I842=0)),"?IN_FOCUS",IF(J842&lt;=2,"?ACTIVATED",IF(J842&lt;&gt;"","?FAMILIAR",IF(F842="NEW",IF(ISNA(VLOOKUP(E842,#REF!,1,FALSE())),"?TYPE_IDENTIFIABLE","?REFERENTIAL"),"_")))))</f>
        <v>?REFERENTIAL</v>
      </c>
      <c r="H842" s="23" t="str">
        <f t="shared" ca="1" si="83"/>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262</v>
      </c>
      <c r="E843" s="20" t="str">
        <f t="shared" si="82"/>
        <v/>
      </c>
      <c r="F843" s="21" t="str">
        <f>IF(OR(E843="",E843="!!!"),"",IF(NOT(ISNA(VLOOKUP(E843,E$1:E842,1,FALSE()))),"OLD",IF(AND(E843&lt;&gt;"",E843&lt;&gt;"!!!"),"NEW","")))</f>
        <v/>
      </c>
      <c r="G843" s="22" t="str">
        <f>IF(OR(E843="",E843="!!!"),"",IF(OR(J843=0,AND(J843=1,K843=1),AND(J843=1,I843="SBJ"),AND(J843=1,I843=0)),"?IN_FOCUS",IF(J843&lt;=2,"?ACTIVATED",IF(J843&lt;&gt;"","?FAMILIAR",IF(F843="NEW",IF(ISNA(VLOOKUP(E843,#REF!,1,FALSE())),"?TYPE_IDENTIFIABLE","?REFERENTIAL"),"_")))))</f>
        <v/>
      </c>
      <c r="H843" s="23" t="str">
        <f t="shared" ca="1" si="83"/>
        <v/>
      </c>
      <c r="I843" s="24" t="str">
        <f>IF(OR(E843="",E843="!!!",F843="NEW"),"",INDEX(B$2:B842,-1+SUMPRODUCT(MAX(ROW(E$2:E842)*(E843=E$2:E842)))))</f>
        <v/>
      </c>
      <c r="J843" s="24" t="str">
        <f ca="1">IF(OR(E843="",E843="!!!",F843="NEW"),"",COUNTBLANK(OFFSET(A$1,,,SUMPRODUCT(MAX(ROW(E$2:E843)*(E843=E$2:E843)))))-COUNTBLANK(OFFSET(A$1,,,SUMPRODUCT(MAX(ROW(E$1:E842)*(E2=E$1:E842))))))</f>
        <v/>
      </c>
      <c r="K843" s="24" t="str">
        <f>IF(OR(E843="",E843="!!!",F843="NEW"),"",INDEX(J$1:J842,SUMPRODUCT(MAX(ROW(E$1:E842)*(E843=E$1:E842)))))</f>
        <v/>
      </c>
      <c r="L843" s="25"/>
    </row>
    <row r="844" spans="1:12" x14ac:dyDescent="0.3">
      <c r="A844" t="s">
        <v>293</v>
      </c>
      <c r="E844" s="20" t="str">
        <f t="shared" si="82"/>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83"/>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5" spans="1:12" x14ac:dyDescent="0.3">
      <c r="A845" t="s">
        <v>402</v>
      </c>
      <c r="B845" s="26" t="s">
        <v>422</v>
      </c>
      <c r="C845" s="26" t="s">
        <v>310</v>
      </c>
      <c r="D845" s="26" t="s">
        <v>254</v>
      </c>
      <c r="E845" s="20" t="s">
        <v>749</v>
      </c>
      <c r="F845" s="21" t="str">
        <f>IF(OR(E845="",E845="!!!"),"",IF(NOT(ISNA(VLOOKUP(E845,E$1:E844,1,FALSE()))),"OLD",IF(AND(E845&lt;&gt;"",E845&lt;&gt;"!!!"),"NEW","")))</f>
        <v>NEW</v>
      </c>
      <c r="G845" s="22" t="s">
        <v>704</v>
      </c>
      <c r="H845" s="23" t="str">
        <f t="shared" ca="1" si="83"/>
        <v/>
      </c>
      <c r="I845" s="24" t="str">
        <f>IF(OR(E845="",E845="!!!",F845="NEW"),"",INDEX(B$2:B844,-1+SUMPRODUCT(MAX(ROW(E$2:E844)*(E845=E$2:E844)))))</f>
        <v/>
      </c>
      <c r="J845" s="24" t="str">
        <f ca="1">IF(OR(E845="",E845="!!!",F845="NEW"),"",COUNTBLANK(OFFSET(A$1,,,SUMPRODUCT(MAX(ROW(E$2:E845)*(E845=E$2:E845)))))-COUNTBLANK(OFFSET(A$1,,,SUMPRODUCT(MAX(ROW(E$1:E844)*(E2=E$1:E844))))))</f>
        <v/>
      </c>
      <c r="K845" s="24" t="str">
        <f>IF(OR(E845="",E845="!!!",F845="NEW"),"",INDEX(J$1:J844,SUMPRODUCT(MAX(ROW(E$1:E844)*(E845=E$1:E844)))))</f>
        <v/>
      </c>
      <c r="L845" s="25"/>
    </row>
    <row r="846" spans="1:12" x14ac:dyDescent="0.3">
      <c r="A846" t="s">
        <v>265</v>
      </c>
      <c r="E846" s="20" t="str">
        <f t="shared" si="82"/>
        <v/>
      </c>
      <c r="F846" s="21" t="str">
        <f>IF(OR(E846="",E846="!!!"),"",IF(NOT(ISNA(VLOOKUP(E846,E$1:E845,1,FALSE()))),"OLD",IF(AND(E846&lt;&gt;"",E846&lt;&gt;"!!!"),"NEW","")))</f>
        <v/>
      </c>
      <c r="G846" s="22" t="str">
        <f>IF(OR(E846="",E846="!!!"),"",IF(OR(J846=0,AND(J846=1,K846=1),AND(J846=1,I846="SBJ"),AND(J846=1,I846=0)),"?IN_FOCUS",IF(J846&lt;=2,"?ACTIVATED",IF(J846&lt;&gt;"","?FAMILIAR",IF(F846="NEW",IF(ISNA(VLOOKUP(E846,#REF!,1,FALSE())),"?TYPE_IDENTIFIABLE","?REFERENTIAL"),"_")))))</f>
        <v/>
      </c>
      <c r="H846" s="23" t="str">
        <f t="shared" ca="1" si="83"/>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8" spans="1:12" x14ac:dyDescent="0.3">
      <c r="A848" t="s">
        <v>411</v>
      </c>
      <c r="E848" s="20" t="str">
        <f>IF(D848="?OLD","!!!","")</f>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ca="1">IF(J848&lt;&gt;1,"",IF(I848="SBJ","CB","?"))</f>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610</v>
      </c>
    </row>
    <row r="850" spans="1:12" x14ac:dyDescent="0.3">
      <c r="A850" t="s">
        <v>457</v>
      </c>
      <c r="E850" s="20" t="str">
        <f t="shared" ref="E850:E878" si="84">IF(D850="?OLD","!!!","")</f>
        <v/>
      </c>
      <c r="F850" s="21" t="str">
        <f>IF(OR(E850="",E850="!!!"),"",IF(NOT(ISNA(VLOOKUP(E850,E$1:E849,1,FALSE()))),"OLD",IF(AND(E850&lt;&gt;"",E850&lt;&gt;"!!!"),"NEW","")))</f>
        <v/>
      </c>
      <c r="G850" s="22" t="str">
        <f>IF(OR(E850="",E850="!!!"),"",IF(OR(J850=0,AND(J850=1,K850=1),AND(J850=1,I850="SBJ"),AND(J850=1,I850=0)),"?IN_FOCUS",IF(J850&lt;=2,"?ACTIVATED",IF(J850&lt;&gt;"","?FAMILIAR",IF(F850="NEW",IF(ISNA(VLOOKUP(E850,#REF!,1,FALSE())),"?TYPE_IDENTIFIABLE","?REFERENTIAL"),"_")))))</f>
        <v/>
      </c>
      <c r="H850" s="23" t="str">
        <f t="shared" ref="H850:H878" ca="1" si="85">IF(J850&lt;&gt;1,"",IF(I850="SBJ","CB","?"))</f>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246</v>
      </c>
      <c r="E851" s="20" t="str">
        <f t="shared" si="84"/>
        <v/>
      </c>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85"/>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row>
    <row r="852" spans="1:12" x14ac:dyDescent="0.3">
      <c r="A852" t="s">
        <v>611</v>
      </c>
      <c r="B852" s="26" t="s">
        <v>228</v>
      </c>
      <c r="C852" s="26" t="s">
        <v>249</v>
      </c>
      <c r="E852" s="20" t="s">
        <v>740</v>
      </c>
      <c r="F852" s="21" t="str">
        <f>IF(OR(E852="",E852="!!!"),"",IF(NOT(ISNA(VLOOKUP(E852,E$1:E851,1,FALSE()))),"OLD",IF(AND(E852&lt;&gt;"",E852&lt;&gt;"!!!"),"NEW","")))</f>
        <v>NEW</v>
      </c>
      <c r="G852" s="22" t="s">
        <v>704</v>
      </c>
      <c r="H852" s="23" t="str">
        <f t="shared" ca="1" si="85"/>
        <v/>
      </c>
      <c r="I852" s="24" t="str">
        <f>IF(OR(E852="",E852="!!!",F852="NEW"),"",INDEX(B$2:B851,-1+SUMPRODUCT(MAX(ROW(E$2:E851)*(E852=E$2:E851)))))</f>
        <v/>
      </c>
      <c r="J852" s="24" t="str">
        <f ca="1">IF(OR(E852="",E852="!!!",F852="NEW"),"",COUNTBLANK(OFFSET(A$1,,,SUMPRODUCT(MAX(ROW(E$2:E852)*(E852=E$2:E852)))))-COUNTBLANK(OFFSET(A$1,,,SUMPRODUCT(MAX(ROW(E$1:E851)*(E2=E$1:E851))))))</f>
        <v/>
      </c>
      <c r="K852" s="24" t="str">
        <f>IF(OR(E852="",E852="!!!",F852="NEW"),"",INDEX(J$1:J851,SUMPRODUCT(MAX(ROW(E$1:E851)*(E852=E$1:E851)))))</f>
        <v/>
      </c>
      <c r="L852" s="25"/>
    </row>
    <row r="853" spans="1:12" x14ac:dyDescent="0.3">
      <c r="A853" t="s">
        <v>612</v>
      </c>
      <c r="E853" s="20" t="str">
        <f t="shared" si="84"/>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85"/>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4" spans="1:12" x14ac:dyDescent="0.3">
      <c r="A854" t="s">
        <v>250</v>
      </c>
      <c r="E854" s="20" t="str">
        <f t="shared" si="84"/>
        <v/>
      </c>
      <c r="F854" s="21" t="str">
        <f>IF(OR(E854="",E854="!!!"),"",IF(NOT(ISNA(VLOOKUP(E854,E$1:E853,1,FALSE()))),"OLD",IF(AND(E854&lt;&gt;"",E854&lt;&gt;"!!!"),"NEW","")))</f>
        <v/>
      </c>
      <c r="G854" s="22" t="str">
        <f>IF(OR(E854="",E854="!!!"),"",IF(OR(J854=0,AND(J854=1,K854=1),AND(J854=1,I854="SBJ"),AND(J854=1,I854=0)),"?IN_FOCUS",IF(J854&lt;=2,"?ACTIVATED",IF(J854&lt;&gt;"","?FAMILIAR",IF(F854="NEW",IF(ISNA(VLOOKUP(E854,#REF!,1,FALSE())),"?TYPE_IDENTIFIABLE","?REFERENTIAL"),"_")))))</f>
        <v/>
      </c>
      <c r="H854" s="23" t="str">
        <f t="shared" ca="1" si="85"/>
        <v/>
      </c>
      <c r="I854" s="24" t="str">
        <f>IF(OR(E854="",E854="!!!",F854="NEW"),"",INDEX(B$2:B853,-1+SUMPRODUCT(MAX(ROW(E$2:E853)*(E854=E$2:E853)))))</f>
        <v/>
      </c>
      <c r="J854" s="24" t="str">
        <f ca="1">IF(OR(E854="",E854="!!!",F854="NEW"),"",COUNTBLANK(OFFSET(A$1,,,SUMPRODUCT(MAX(ROW(E$2:E854)*(E854=E$2:E854)))))-COUNTBLANK(OFFSET(A$1,,,SUMPRODUCT(MAX(ROW(E$1:E853)*(E2=E$1:E853))))))</f>
        <v/>
      </c>
      <c r="K854" s="24" t="str">
        <f>IF(OR(E854="",E854="!!!",F854="NEW"),"",INDEX(J$1:J853,SUMPRODUCT(MAX(ROW(E$1:E853)*(E854=E$1:E853)))))</f>
        <v/>
      </c>
      <c r="L854" s="25"/>
    </row>
    <row r="855" spans="1:12" x14ac:dyDescent="0.3">
      <c r="A855" t="s">
        <v>613</v>
      </c>
      <c r="B855" s="26" t="s">
        <v>252</v>
      </c>
      <c r="C855" s="26" t="s">
        <v>261</v>
      </c>
      <c r="D855" s="26" t="s">
        <v>254</v>
      </c>
      <c r="E855" s="20"/>
      <c r="F855" s="21" t="s">
        <v>685</v>
      </c>
      <c r="G855" s="22" t="str">
        <f>IF(OR(E855="",E855="!!!"),"",IF(OR(J855=0,AND(J855=1,K855=1),AND(J855=1,I855="SBJ"),AND(J855=1,I855=0)),"?IN_FOCUS",IF(J855&lt;=2,"?ACTIVATED",IF(J855&lt;&gt;"","?FAMILIAR",IF(F855="NEW",IF(ISNA(VLOOKUP(E855,#REF!,1,FALSE())),"?TYPE_IDENTIFIABLE","?REFERENTIAL"),"_")))))</f>
        <v/>
      </c>
      <c r="H855" s="23" t="str">
        <f t="shared" ca="1" si="85"/>
        <v/>
      </c>
      <c r="I855" s="24" t="str">
        <f>IF(OR(E855="",E855="!!!",F855="NEW"),"",INDEX(B$2:B854,-1+SUMPRODUCT(MAX(ROW(E$2:E854)*(E855=E$2:E854)))))</f>
        <v/>
      </c>
      <c r="J855" s="24" t="str">
        <f ca="1">IF(OR(E855="",E855="!!!",F855="NEW"),"",COUNTBLANK(OFFSET(A$1,,,SUMPRODUCT(MAX(ROW(E$2:E855)*(E855=E$2:E855)))))-COUNTBLANK(OFFSET(A$1,,,SUMPRODUCT(MAX(ROW(E$1:E854)*(E2=E$1:E854))))))</f>
        <v/>
      </c>
      <c r="K855" s="24" t="str">
        <f>IF(OR(E855="",E855="!!!",F855="NEW"),"",INDEX(J$1:J854,SUMPRODUCT(MAX(ROW(E$1:E854)*(E855=E$1:E854)))))</f>
        <v/>
      </c>
      <c r="L855" s="25"/>
    </row>
    <row r="856" spans="1:12" x14ac:dyDescent="0.3">
      <c r="A856" t="s">
        <v>262</v>
      </c>
      <c r="E856" s="20" t="str">
        <f t="shared" si="84"/>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ca="1" si="85"/>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293</v>
      </c>
      <c r="E857" s="20" t="str">
        <f t="shared" si="84"/>
        <v/>
      </c>
      <c r="F857" s="21" t="str">
        <f>IF(OR(E857="",E857="!!!"),"",IF(NOT(ISNA(VLOOKUP(E857,E$1:E856,1,FALSE()))),"OLD",IF(AND(E857&lt;&gt;"",E857&lt;&gt;"!!!"),"NEW","")))</f>
        <v/>
      </c>
      <c r="G857" s="22" t="str">
        <f>IF(OR(E857="",E857="!!!"),"",IF(OR(J857=0,AND(J857=1,K857=1),AND(J857=1,I857="SBJ"),AND(J857=1,I857=0)),"?IN_FOCUS",IF(J857&lt;=2,"?ACTIVATED",IF(J857&lt;&gt;"","?FAMILIAR",IF(F857="NEW",IF(ISNA(VLOOKUP(E857,#REF!,1,FALSE())),"?TYPE_IDENTIFIABLE","?REFERENTIAL"),"_")))))</f>
        <v/>
      </c>
      <c r="H857" s="23" t="str">
        <f t="shared" ca="1" si="85"/>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602</v>
      </c>
      <c r="B858" s="26" t="s">
        <v>384</v>
      </c>
      <c r="C858" s="26" t="s">
        <v>273</v>
      </c>
      <c r="D858" s="26" t="s">
        <v>254</v>
      </c>
      <c r="E858" s="20" t="s">
        <v>699</v>
      </c>
      <c r="F858" s="21" t="str">
        <f>IF(OR(E858="",E858="!!!"),"",IF(NOT(ISNA(VLOOKUP(E858,E$1:E857,1,FALSE()))),"OLD",IF(AND(E858&lt;&gt;"",E858&lt;&gt;"!!!"),"NEW","")))</f>
        <v>OLD</v>
      </c>
      <c r="G858" s="22" t="s">
        <v>708</v>
      </c>
      <c r="H858" s="23" t="str">
        <f t="shared" ca="1" si="85"/>
        <v/>
      </c>
      <c r="I858" s="24" t="str">
        <f>IF(OR(E858="",E858="!!!",F858="NEW"),"",INDEX(B$2:B857,-1+SUMPRODUCT(MAX(ROW(E$2:E857)*(E858=E$2:E857)))))</f>
        <v>SBJ</v>
      </c>
      <c r="J858" s="24">
        <f ca="1">IF(OR(E858="",E858="!!!",F858="NEW"),"",COUNTBLANK(OFFSET(A$1,,,SUMPRODUCT(MAX(ROW(E$2:E858)*(E858=E$2:E858)))))-COUNTBLANK(OFFSET(A$1,,,SUMPRODUCT(MAX(ROW(E$1:E857)*(E2=E$1:E857))))))</f>
        <v>0</v>
      </c>
      <c r="K858" s="24" t="str">
        <f ca="1">IF(OR(E858="",E858="!!!",F858="NEW"),"",INDEX(J$1:J857,SUMPRODUCT(MAX(ROW(E$1:E857)*(E858=E$1:E857)))))</f>
        <v/>
      </c>
      <c r="L858" s="25"/>
    </row>
    <row r="859" spans="1:12" x14ac:dyDescent="0.3">
      <c r="A859" t="s">
        <v>256</v>
      </c>
      <c r="E859" s="20" t="str">
        <f t="shared" si="84"/>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85"/>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474</v>
      </c>
      <c r="B860" s="26" t="s">
        <v>274</v>
      </c>
      <c r="C860" s="26" t="s">
        <v>269</v>
      </c>
      <c r="D860" s="26" t="s">
        <v>254</v>
      </c>
      <c r="E860" s="20"/>
      <c r="F860" s="21" t="s">
        <v>739</v>
      </c>
      <c r="G860" s="22" t="str">
        <f>IF(OR(E860="",E860="!!!"),"",IF(OR(J860=0,AND(J860=1,K860=1),AND(J860=1,I860="SBJ"),AND(J860=1,I860=0)),"?IN_FOCUS",IF(J860&lt;=2,"?ACTIVATED",IF(J860&lt;&gt;"","?FAMILIAR",IF(F860="NEW",IF(ISNA(VLOOKUP(E860,#REF!,1,FALSE())),"?TYPE_IDENTIFIABLE","?REFERENTIAL"),"_")))))</f>
        <v/>
      </c>
      <c r="H860" s="23" t="str">
        <f t="shared" ca="1" si="85"/>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1" spans="1:12" x14ac:dyDescent="0.3">
      <c r="A861" t="s">
        <v>614</v>
      </c>
      <c r="E861" s="20" t="str">
        <f t="shared" si="84"/>
        <v/>
      </c>
      <c r="F861" s="21" t="str">
        <f>IF(OR(E861="",E861="!!!"),"",IF(NOT(ISNA(VLOOKUP(E861,E$1:E860,1,FALSE()))),"OLD",IF(AND(E861&lt;&gt;"",E861&lt;&gt;"!!!"),"NEW","")))</f>
        <v/>
      </c>
      <c r="G861" s="22" t="str">
        <f>IF(OR(E861="",E861="!!!"),"",IF(OR(J861=0,AND(J861=1,K861=1),AND(J861=1,I861="SBJ"),AND(J861=1,I861=0)),"?IN_FOCUS",IF(J861&lt;=2,"?ACTIVATED",IF(J861&lt;&gt;"","?FAMILIAR",IF(F861="NEW",IF(ISNA(VLOOKUP(E861,#REF!,1,FALSE())),"?TYPE_IDENTIFIABLE","?REFERENTIAL"),"_")))))</f>
        <v/>
      </c>
      <c r="H861" s="23" t="str">
        <f t="shared" ca="1" si="85"/>
        <v/>
      </c>
      <c r="I861" s="24" t="str">
        <f>IF(OR(E861="",E861="!!!",F861="NEW"),"",INDEX(B$2:B860,-1+SUMPRODUCT(MAX(ROW(E$2:E860)*(E861=E$2:E860)))))</f>
        <v/>
      </c>
      <c r="J861" s="24" t="str">
        <f ca="1">IF(OR(E861="",E861="!!!",F861="NEW"),"",COUNTBLANK(OFFSET(A$1,,,SUMPRODUCT(MAX(ROW(E$2:E861)*(E861=E$2:E861)))))-COUNTBLANK(OFFSET(A$1,,,SUMPRODUCT(MAX(ROW(E$1:E860)*(E2=E$1:E860))))))</f>
        <v/>
      </c>
      <c r="K861" s="24" t="str">
        <f>IF(OR(E861="",E861="!!!",F861="NEW"),"",INDEX(J$1:J860,SUMPRODUCT(MAX(ROW(E$1:E860)*(E861=E$1:E860)))))</f>
        <v/>
      </c>
      <c r="L861" s="25"/>
    </row>
    <row r="862" spans="1:12" x14ac:dyDescent="0.3">
      <c r="A862" t="s">
        <v>615</v>
      </c>
      <c r="E862" s="20" t="str">
        <f t="shared" si="84"/>
        <v/>
      </c>
      <c r="F862" s="21" t="str">
        <f>IF(OR(E862="",E862="!!!"),"",IF(NOT(ISNA(VLOOKUP(E862,E$1:E861,1,FALSE()))),"OLD",IF(AND(E862&lt;&gt;"",E862&lt;&gt;"!!!"),"NEW","")))</f>
        <v/>
      </c>
      <c r="G862" s="22" t="str">
        <f>IF(OR(E862="",E862="!!!"),"",IF(OR(J862=0,AND(J862=1,K862=1),AND(J862=1,I862="SBJ"),AND(J862=1,I862=0)),"?IN_FOCUS",IF(J862&lt;=2,"?ACTIVATED",IF(J862&lt;&gt;"","?FAMILIAR",IF(F862="NEW",IF(ISNA(VLOOKUP(E862,#REF!,1,FALSE())),"?TYPE_IDENTIFIABLE","?REFERENTIAL"),"_")))))</f>
        <v/>
      </c>
      <c r="H862" s="23" t="str">
        <f t="shared" ca="1" si="85"/>
        <v/>
      </c>
      <c r="I862" s="24" t="str">
        <f>IF(OR(E862="",E862="!!!",F862="NEW"),"",INDEX(B$2:B861,-1+SUMPRODUCT(MAX(ROW(E$2:E861)*(E862=E$2:E861)))))</f>
        <v/>
      </c>
      <c r="J862" s="24" t="str">
        <f ca="1">IF(OR(E862="",E862="!!!",F862="NEW"),"",COUNTBLANK(OFFSET(A$1,,,SUMPRODUCT(MAX(ROW(E$2:E862)*(E862=E$2:E862)))))-COUNTBLANK(OFFSET(A$1,,,SUMPRODUCT(MAX(ROW(E$1:E861)*(E2=E$1:E861))))))</f>
        <v/>
      </c>
      <c r="K862" s="24" t="str">
        <f>IF(OR(E862="",E862="!!!",F862="NEW"),"",INDEX(J$1:J861,SUMPRODUCT(MAX(ROW(E$1:E861)*(E862=E$1:E861)))))</f>
        <v/>
      </c>
      <c r="L862" s="25"/>
    </row>
    <row r="863" spans="1:12" x14ac:dyDescent="0.3">
      <c r="A863" t="s">
        <v>417</v>
      </c>
      <c r="E863" s="20" t="str">
        <f t="shared" si="84"/>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ca="1" si="85"/>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231</v>
      </c>
      <c r="E864" s="20" t="str">
        <f t="shared" si="84"/>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ca="1" si="85"/>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3">
      <c r="A865" t="s">
        <v>474</v>
      </c>
      <c r="E865" s="20" t="str">
        <f t="shared" si="84"/>
        <v/>
      </c>
      <c r="F865" s="21" t="str">
        <f>IF(OR(E865="",E865="!!!"),"",IF(NOT(ISNA(VLOOKUP(E865,E$1:E864,1,FALSE()))),"OLD",IF(AND(E865&lt;&gt;"",E865&lt;&gt;"!!!"),"NEW","")))</f>
        <v/>
      </c>
      <c r="G865" s="22" t="str">
        <f>IF(OR(E865="",E865="!!!"),"",IF(OR(J865=0,AND(J865=1,K865=1),AND(J865=1,I865="SBJ"),AND(J865=1,I865=0)),"?IN_FOCUS",IF(J865&lt;=2,"?ACTIVATED",IF(J865&lt;&gt;"","?FAMILIAR",IF(F865="NEW",IF(ISNA(VLOOKUP(E865,#REF!,1,FALSE())),"?TYPE_IDENTIFIABLE","?REFERENTIAL"),"_")))))</f>
        <v/>
      </c>
      <c r="H865" s="23" t="str">
        <f t="shared" ca="1" si="85"/>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258</v>
      </c>
      <c r="E866" s="20" t="str">
        <f t="shared" si="84"/>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85"/>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616</v>
      </c>
      <c r="E867" s="20" t="str">
        <f t="shared" si="84"/>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85"/>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617</v>
      </c>
      <c r="E868" s="20" t="str">
        <f t="shared" si="84"/>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85"/>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69" spans="1:12" x14ac:dyDescent="0.3">
      <c r="A869" t="s">
        <v>417</v>
      </c>
      <c r="E869" s="20" t="str">
        <f t="shared" si="84"/>
        <v/>
      </c>
      <c r="F869" s="21" t="str">
        <f>IF(OR(E869="",E869="!!!"),"",IF(NOT(ISNA(VLOOKUP(E869,E$1:E868,1,FALSE()))),"OLD",IF(AND(E869&lt;&gt;"",E869&lt;&gt;"!!!"),"NEW","")))</f>
        <v/>
      </c>
      <c r="G869" s="22" t="str">
        <f>IF(OR(E869="",E869="!!!"),"",IF(OR(J869=0,AND(J869=1,K869=1),AND(J869=1,I869="SBJ"),AND(J869=1,I869=0)),"?IN_FOCUS",IF(J869&lt;=2,"?ACTIVATED",IF(J869&lt;&gt;"","?FAMILIAR",IF(F869="NEW",IF(ISNA(VLOOKUP(E869,#REF!,1,FALSE())),"?TYPE_IDENTIFIABLE","?REFERENTIAL"),"_")))))</f>
        <v/>
      </c>
      <c r="H869" s="23" t="str">
        <f t="shared" ca="1" si="85"/>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3">
      <c r="A870" t="s">
        <v>402</v>
      </c>
      <c r="B870" s="26" t="s">
        <v>257</v>
      </c>
      <c r="C870" s="26" t="s">
        <v>229</v>
      </c>
      <c r="E870" s="20" t="str">
        <f t="shared" si="84"/>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85"/>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3">
      <c r="A871" t="s">
        <v>332</v>
      </c>
      <c r="E871" s="20" t="str">
        <f t="shared" si="84"/>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85"/>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244</v>
      </c>
      <c r="B872" s="26" t="s">
        <v>384</v>
      </c>
      <c r="C872" s="26" t="s">
        <v>229</v>
      </c>
      <c r="E872" s="20" t="str">
        <f t="shared" si="84"/>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t="shared" ca="1" si="85"/>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3">
      <c r="A873" t="s">
        <v>275</v>
      </c>
      <c r="E873" s="20" t="str">
        <f t="shared" si="84"/>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85"/>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4" spans="1:12" x14ac:dyDescent="0.3">
      <c r="A874" t="s">
        <v>578</v>
      </c>
      <c r="E874" s="20" t="str">
        <f t="shared" si="84"/>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t="shared" ca="1" si="85"/>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579</v>
      </c>
      <c r="E875" s="20" t="str">
        <f t="shared" si="84"/>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t="shared" ca="1" si="85"/>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6" spans="1:12" x14ac:dyDescent="0.3">
      <c r="A876" t="s">
        <v>369</v>
      </c>
      <c r="B876" s="26" t="s">
        <v>375</v>
      </c>
      <c r="C876" s="26" t="s">
        <v>229</v>
      </c>
      <c r="E876" s="20" t="s">
        <v>750</v>
      </c>
      <c r="F876" s="21" t="str">
        <f>IF(OR(E876="",E876="!!!"),"",IF(NOT(ISNA(VLOOKUP(E876,E$1:E875,1,FALSE()))),"OLD",IF(AND(E876&lt;&gt;"",E876&lt;&gt;"!!!"),"NEW","")))</f>
        <v>NEW</v>
      </c>
      <c r="G876" s="22" t="str">
        <f ca="1">IF(OR(E876="",E876="!!!"),"",IF(OR(J876=0,AND(J876=1,K876=1),AND(J876=1,I876="SBJ"),AND(J876=1,I876=0)),"?IN_FOCUS",IF(J876&lt;=2,"?ACTIVATED",IF(J876&lt;&gt;"","?FAMILIAR",IF(F876="NEW",IF(ISNA(VLOOKUP(E876,#REF!,1,FALSE())),"?TYPE_IDENTIFIABLE","?REFERENTIAL"),"_")))))</f>
        <v>?REFERENTIAL</v>
      </c>
      <c r="H876" s="23" t="str">
        <f t="shared" ca="1" si="85"/>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3">
      <c r="A877" t="s">
        <v>265</v>
      </c>
      <c r="E877" s="20" t="str">
        <f t="shared" si="84"/>
        <v/>
      </c>
      <c r="F877" s="21" t="str">
        <f>IF(OR(E877="",E877="!!!"),"",IF(NOT(ISNA(VLOOKUP(E877,E$1:E876,1,FALSE()))),"OLD",IF(AND(E877&lt;&gt;"",E877&lt;&gt;"!!!"),"NEW","")))</f>
        <v/>
      </c>
      <c r="G877" s="22" t="str">
        <f>IF(OR(E877="",E877="!!!"),"",IF(OR(J877=0,AND(J877=1,K877=1),AND(J877=1,I877="SBJ"),AND(J877=1,I877=0)),"?IN_FOCUS",IF(J877&lt;=2,"?ACTIVATED",IF(J877&lt;&gt;"","?FAMILIAR",IF(F877="NEW",IF(ISNA(VLOOKUP(E877,#REF!,1,FALSE())),"?TYPE_IDENTIFIABLE","?REFERENTIAL"),"_")))))</f>
        <v/>
      </c>
      <c r="H877" s="23" t="str">
        <f t="shared" ca="1" si="85"/>
        <v/>
      </c>
      <c r="I877" s="24" t="str">
        <f>IF(OR(E877="",E877="!!!",F877="NEW"),"",INDEX(B$2:B876,-1+SUMPRODUCT(MAX(ROW(E$2:E876)*(E877=E$2:E876)))))</f>
        <v/>
      </c>
      <c r="J877" s="24" t="str">
        <f ca="1">IF(OR(E877="",E877="!!!",F877="NEW"),"",COUNTBLANK(OFFSET(A$1,,,SUMPRODUCT(MAX(ROW(E$2:E877)*(E877=E$2:E877)))))-COUNTBLANK(OFFSET(A$1,,,SUMPRODUCT(MAX(ROW(E$1:E876)*(E2=E$1:E876))))))</f>
        <v/>
      </c>
      <c r="K877" s="24" t="str">
        <f>IF(OR(E877="",E877="!!!",F877="NEW"),"",INDEX(J$1:J876,SUMPRODUCT(MAX(ROW(E$1:E876)*(E877=E$1:E876)))))</f>
        <v/>
      </c>
      <c r="L877" s="25"/>
    </row>
    <row r="878" spans="1:12" x14ac:dyDescent="0.3">
      <c r="A878" t="s">
        <v>231</v>
      </c>
      <c r="E878" s="20" t="str">
        <f t="shared" si="84"/>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85"/>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80" spans="1:12" x14ac:dyDescent="0.3">
      <c r="A880" t="s">
        <v>411</v>
      </c>
      <c r="E880" s="20" t="str">
        <f>IF(D880="?OLD","!!!","")</f>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ca="1">IF(J880&lt;&gt;1,"",IF(I880="SBJ","CB","?"))</f>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1" spans="1:12" x14ac:dyDescent="0.3">
      <c r="A881" t="s">
        <v>618</v>
      </c>
    </row>
    <row r="882" spans="1:12" x14ac:dyDescent="0.3">
      <c r="A882" t="s">
        <v>231</v>
      </c>
      <c r="E882" s="20"/>
      <c r="F882" s="21" t="str">
        <f>IF(OR(E882="",E882="!!!"),"",IF(NOT(ISNA(VLOOKUP(E882,E$1:E881,1,FALSE()))),"OLD",IF(AND(E882&lt;&gt;"",E882&lt;&gt;"!!!"),"NEW","")))</f>
        <v/>
      </c>
      <c r="G882" s="22" t="str">
        <f>IF(OR(E882="",E882="!!!"),"",IF(OR(J882=0,AND(J882=1,K882=1),AND(J882=1,I882="SBJ"),AND(J882=1,I882=0)),"?IN_FOCUS",IF(J882&lt;=2,"?ACTIVATED",IF(J882&lt;&gt;"","?FAMILIAR",IF(F882="NEW",IF(ISNA(VLOOKUP(E882,#REF!,1,FALSE())),"?TYPE_IDENTIFIABLE","?REFERENTIAL"),"_")))))</f>
        <v/>
      </c>
      <c r="H882" s="23" t="str">
        <f t="shared" ref="H882:H914" ca="1" si="86">IF(J882&lt;&gt;1,"",IF(I882="SBJ","CB","?"))</f>
        <v/>
      </c>
      <c r="I882" s="24" t="str">
        <f>IF(OR(E882="",E882="!!!",F882="NEW"),"",INDEX(B$2:B881,-1+SUMPRODUCT(MAX(ROW(E$2:E881)*(E882=E$2:E881)))))</f>
        <v/>
      </c>
      <c r="J882" s="24" t="str">
        <f ca="1">IF(OR(E882="",E882="!!!",F882="NEW"),"",COUNTBLANK(OFFSET(A$1,,,SUMPRODUCT(MAX(ROW(E$2:E882)*(E882=E$2:E882)))))-COUNTBLANK(OFFSET(A$1,,,SUMPRODUCT(MAX(ROW(E$1:E881)*(E2=E$1:E881))))))</f>
        <v/>
      </c>
      <c r="K882" s="24" t="str">
        <f>IF(OR(E882="",E882="!!!",F882="NEW"),"",INDEX(J$1:J881,SUMPRODUCT(MAX(ROW(E$1:E881)*(E882=E$1:E881)))))</f>
        <v/>
      </c>
      <c r="L882" s="25"/>
    </row>
    <row r="883" spans="1:12" x14ac:dyDescent="0.3">
      <c r="A883" t="s">
        <v>494</v>
      </c>
      <c r="E883" s="20"/>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86"/>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398</v>
      </c>
      <c r="E884" s="20" t="s">
        <v>748</v>
      </c>
      <c r="F884" s="21" t="str">
        <f>IF(OR(E884="",E884="!!!"),"",IF(NOT(ISNA(VLOOKUP(E884,E$1:E883,1,FALSE()))),"OLD",IF(AND(E884&lt;&gt;"",E884&lt;&gt;"!!!"),"NEW","")))</f>
        <v>NEW</v>
      </c>
      <c r="G884" s="22" t="s">
        <v>683</v>
      </c>
      <c r="H884" s="23" t="str">
        <f t="shared" ca="1" si="86"/>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3">
      <c r="A885" t="s">
        <v>258</v>
      </c>
      <c r="E885" s="20" t="str">
        <f t="shared" ref="E885:E914" si="87">IF(D885="?OLD","!!!","")</f>
        <v/>
      </c>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86"/>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6" spans="1:12" x14ac:dyDescent="0.3">
      <c r="A886" t="s">
        <v>246</v>
      </c>
      <c r="E886" s="20" t="str">
        <f t="shared" si="87"/>
        <v/>
      </c>
      <c r="F886" s="21" t="str">
        <f>IF(OR(E886="",E886="!!!"),"",IF(NOT(ISNA(VLOOKUP(E886,E$1:E885,1,FALSE()))),"OLD",IF(AND(E886&lt;&gt;"",E886&lt;&gt;"!!!"),"NEW","")))</f>
        <v/>
      </c>
      <c r="G886" s="22" t="str">
        <f>IF(OR(E886="",E886="!!!"),"",IF(OR(J886=0,AND(J886=1,K886=1),AND(J886=1,I886="SBJ"),AND(J886=1,I886=0)),"?IN_FOCUS",IF(J886&lt;=2,"?ACTIVATED",IF(J886&lt;&gt;"","?FAMILIAR",IF(F886="NEW",IF(ISNA(VLOOKUP(E886,#REF!,1,FALSE())),"?TYPE_IDENTIFIABLE","?REFERENTIAL"),"_")))))</f>
        <v/>
      </c>
      <c r="H886" s="23" t="str">
        <f t="shared" ca="1" si="86"/>
        <v/>
      </c>
      <c r="I886" s="24" t="str">
        <f>IF(OR(E886="",E886="!!!",F886="NEW"),"",INDEX(B$2:B885,-1+SUMPRODUCT(MAX(ROW(E$2:E885)*(E886=E$2:E885)))))</f>
        <v/>
      </c>
      <c r="J886" s="24" t="str">
        <f ca="1">IF(OR(E886="",E886="!!!",F886="NEW"),"",COUNTBLANK(OFFSET(A$1,,,SUMPRODUCT(MAX(ROW(E$2:E886)*(E886=E$2:E886)))))-COUNTBLANK(OFFSET(A$1,,,SUMPRODUCT(MAX(ROW(E$1:E885)*(E2=E$1:E885))))))</f>
        <v/>
      </c>
      <c r="K886" s="24" t="str">
        <f>IF(OR(E886="",E886="!!!",F886="NEW"),"",INDEX(J$1:J885,SUMPRODUCT(MAX(ROW(E$1:E885)*(E886=E$1:E885)))))</f>
        <v/>
      </c>
      <c r="L886" s="25"/>
    </row>
    <row r="887" spans="1:12" x14ac:dyDescent="0.3">
      <c r="A887" t="s">
        <v>619</v>
      </c>
      <c r="B887" s="26" t="s">
        <v>274</v>
      </c>
      <c r="C887" s="26" t="s">
        <v>249</v>
      </c>
      <c r="E887" s="20" t="s">
        <v>741</v>
      </c>
      <c r="F887" s="21" t="str">
        <f>IF(OR(E887="",E887="!!!"),"",IF(NOT(ISNA(VLOOKUP(E887,E$1:E886,1,FALSE()))),"OLD",IF(AND(E887&lt;&gt;"",E887&lt;&gt;"!!!"),"NEW","")))</f>
        <v>NEW</v>
      </c>
      <c r="G887" s="22" t="s">
        <v>707</v>
      </c>
      <c r="H887" s="23" t="str">
        <f t="shared" ca="1" si="86"/>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262</v>
      </c>
      <c r="E888" s="20" t="str">
        <f t="shared" si="87"/>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86"/>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89" spans="1:12" x14ac:dyDescent="0.3">
      <c r="A889" t="s">
        <v>620</v>
      </c>
      <c r="E889" s="20" t="str">
        <f t="shared" si="87"/>
        <v/>
      </c>
      <c r="F889" s="21" t="str">
        <f>IF(OR(E889="",E889="!!!"),"",IF(NOT(ISNA(VLOOKUP(E889,E$1:E888,1,FALSE()))),"OLD",IF(AND(E889&lt;&gt;"",E889&lt;&gt;"!!!"),"NEW","")))</f>
        <v/>
      </c>
      <c r="G889" s="22" t="str">
        <f>IF(OR(E889="",E889="!!!"),"",IF(OR(J889=0,AND(J889=1,K889=1),AND(J889=1,I889="SBJ"),AND(J889=1,I889=0)),"?IN_FOCUS",IF(J889&lt;=2,"?ACTIVATED",IF(J889&lt;&gt;"","?FAMILIAR",IF(F889="NEW",IF(ISNA(VLOOKUP(E889,#REF!,1,FALSE())),"?TYPE_IDENTIFIABLE","?REFERENTIAL"),"_")))))</f>
        <v/>
      </c>
      <c r="H889" s="23" t="str">
        <f t="shared" ca="1" si="86"/>
        <v/>
      </c>
      <c r="I889" s="24" t="str">
        <f>IF(OR(E889="",E889="!!!",F889="NEW"),"",INDEX(B$2:B888,-1+SUMPRODUCT(MAX(ROW(E$2:E888)*(E889=E$2:E888)))))</f>
        <v/>
      </c>
      <c r="J889" s="24" t="str">
        <f ca="1">IF(OR(E889="",E889="!!!",F889="NEW"),"",COUNTBLANK(OFFSET(A$1,,,SUMPRODUCT(MAX(ROW(E$2:E889)*(E889=E$2:E889)))))-COUNTBLANK(OFFSET(A$1,,,SUMPRODUCT(MAX(ROW(E$1:E888)*(E2=E$1:E888))))))</f>
        <v/>
      </c>
      <c r="K889" s="24" t="str">
        <f>IF(OR(E889="",E889="!!!",F889="NEW"),"",INDEX(J$1:J888,SUMPRODUCT(MAX(ROW(E$1:E888)*(E889=E$1:E888)))))</f>
        <v/>
      </c>
      <c r="L889" s="25"/>
    </row>
    <row r="890" spans="1:12" x14ac:dyDescent="0.3">
      <c r="A890" t="s">
        <v>621</v>
      </c>
      <c r="B890" s="26" t="s">
        <v>241</v>
      </c>
      <c r="C890" s="26" t="s">
        <v>229</v>
      </c>
      <c r="E890" s="20" t="str">
        <f t="shared" si="87"/>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86"/>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3">
      <c r="A891" t="s">
        <v>256</v>
      </c>
      <c r="E891" s="20" t="str">
        <f t="shared" si="87"/>
        <v/>
      </c>
      <c r="F891" s="21" t="str">
        <f>IF(OR(E891="",E891="!!!"),"",IF(NOT(ISNA(VLOOKUP(E891,E$1:E890,1,FALSE()))),"OLD",IF(AND(E891&lt;&gt;"",E891&lt;&gt;"!!!"),"NEW","")))</f>
        <v/>
      </c>
      <c r="G891" s="22" t="str">
        <f>IF(OR(E891="",E891="!!!"),"",IF(OR(J891=0,AND(J891=1,K891=1),AND(J891=1,I891="SBJ"),AND(J891=1,I891=0)),"?IN_FOCUS",IF(J891&lt;=2,"?ACTIVATED",IF(J891&lt;&gt;"","?FAMILIAR",IF(F891="NEW",IF(ISNA(VLOOKUP(E891,#REF!,1,FALSE())),"?TYPE_IDENTIFIABLE","?REFERENTIAL"),"_")))))</f>
        <v/>
      </c>
      <c r="H891" s="23" t="str">
        <f t="shared" ca="1" si="86"/>
        <v/>
      </c>
      <c r="I891" s="24" t="str">
        <f>IF(OR(E891="",E891="!!!",F891="NEW"),"",INDEX(B$2:B890,-1+SUMPRODUCT(MAX(ROW(E$2:E890)*(E891=E$2:E890)))))</f>
        <v/>
      </c>
      <c r="J891" s="24" t="str">
        <f ca="1">IF(OR(E891="",E891="!!!",F891="NEW"),"",COUNTBLANK(OFFSET(A$1,,,SUMPRODUCT(MAX(ROW(E$2:E891)*(E891=E$2:E891)))))-COUNTBLANK(OFFSET(A$1,,,SUMPRODUCT(MAX(ROW(E$1:E890)*(E2=E$1:E890))))))</f>
        <v/>
      </c>
      <c r="K891" s="24" t="str">
        <f>IF(OR(E891="",E891="!!!",F891="NEW"),"",INDEX(J$1:J890,SUMPRODUCT(MAX(ROW(E$1:E890)*(E891=E$1:E890)))))</f>
        <v/>
      </c>
      <c r="L891" s="25"/>
    </row>
    <row r="892" spans="1:12" x14ac:dyDescent="0.3">
      <c r="A892" t="s">
        <v>435</v>
      </c>
      <c r="E892" s="20" t="str">
        <f t="shared" si="87"/>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86"/>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558</v>
      </c>
      <c r="E893" s="20" t="str">
        <f t="shared" si="87"/>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86"/>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402</v>
      </c>
      <c r="B894" s="26" t="s">
        <v>357</v>
      </c>
      <c r="C894" s="26" t="s">
        <v>229</v>
      </c>
      <c r="E894" s="20" t="str">
        <f t="shared" si="87"/>
        <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86"/>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332</v>
      </c>
      <c r="E895" s="20" t="str">
        <f t="shared" si="87"/>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86"/>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244</v>
      </c>
      <c r="B896" s="26" t="s">
        <v>422</v>
      </c>
      <c r="C896" s="26" t="s">
        <v>229</v>
      </c>
      <c r="E896" s="20" t="str">
        <f t="shared" si="87"/>
        <v/>
      </c>
      <c r="F896" s="21" t="str">
        <f>IF(OR(E896="",E896="!!!"),"",IF(NOT(ISNA(VLOOKUP(E896,E$1:E895,1,FALSE()))),"OLD",IF(AND(E896&lt;&gt;"",E896&lt;&gt;"!!!"),"NEW","")))</f>
        <v/>
      </c>
      <c r="G896" s="22" t="str">
        <f>IF(OR(E896="",E896="!!!"),"",IF(OR(J896=0,AND(J896=1,K896=1),AND(J896=1,I896="SBJ"),AND(J896=1,I896=0)),"?IN_FOCUS",IF(J896&lt;=2,"?ACTIVATED",IF(J896&lt;&gt;"","?FAMILIAR",IF(F896="NEW",IF(ISNA(VLOOKUP(E896,#REF!,1,FALSE())),"?TYPE_IDENTIFIABLE","?REFERENTIAL"),"_")))))</f>
        <v/>
      </c>
      <c r="H896" s="23" t="str">
        <f t="shared" ca="1" si="86"/>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275</v>
      </c>
      <c r="E897" s="20" t="str">
        <f t="shared" si="87"/>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86"/>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3">
      <c r="A898" t="s">
        <v>608</v>
      </c>
      <c r="E898" s="20" t="str">
        <f t="shared" si="87"/>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86"/>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238</v>
      </c>
      <c r="E899" s="20" t="str">
        <f t="shared" si="87"/>
        <v/>
      </c>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86"/>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row>
    <row r="900" spans="1:12" x14ac:dyDescent="0.3">
      <c r="A900" t="s">
        <v>369</v>
      </c>
      <c r="B900" s="26" t="s">
        <v>384</v>
      </c>
      <c r="C900" s="26" t="s">
        <v>229</v>
      </c>
      <c r="E900" s="20" t="str">
        <f t="shared" si="87"/>
        <v/>
      </c>
      <c r="F900" s="21" t="str">
        <f>IF(OR(E900="",E900="!!!"),"",IF(NOT(ISNA(VLOOKUP(E900,E$1:E899,1,FALSE()))),"OLD",IF(AND(E900&lt;&gt;"",E900&lt;&gt;"!!!"),"NEW","")))</f>
        <v/>
      </c>
      <c r="G900" s="22" t="str">
        <f>IF(OR(E900="",E900="!!!"),"",IF(OR(J900=0,AND(J900=1,K900=1),AND(J900=1,I900="SBJ"),AND(J900=1,I900=0)),"?IN_FOCUS",IF(J900&lt;=2,"?ACTIVATED",IF(J900&lt;&gt;"","?FAMILIAR",IF(F900="NEW",IF(ISNA(VLOOKUP(E900,#REF!,1,FALSE())),"?TYPE_IDENTIFIABLE","?REFERENTIAL"),"_")))))</f>
        <v/>
      </c>
      <c r="H900" s="23" t="str">
        <f t="shared" ca="1" si="86"/>
        <v/>
      </c>
      <c r="I900" s="24" t="str">
        <f>IF(OR(E900="",E900="!!!",F900="NEW"),"",INDEX(B$2:B899,-1+SUMPRODUCT(MAX(ROW(E$2:E899)*(E900=E$2:E899)))))</f>
        <v/>
      </c>
      <c r="J900" s="24" t="str">
        <f ca="1">IF(OR(E900="",E900="!!!",F900="NEW"),"",COUNTBLANK(OFFSET(A$1,,,SUMPRODUCT(MAX(ROW(E$2:E900)*(E900=E$2:E900)))))-COUNTBLANK(OFFSET(A$1,,,SUMPRODUCT(MAX(ROW(E$1:E899)*(E2=E$1:E899))))))</f>
        <v/>
      </c>
      <c r="K900" s="24" t="str">
        <f>IF(OR(E900="",E900="!!!",F900="NEW"),"",INDEX(J$1:J899,SUMPRODUCT(MAX(ROW(E$1:E899)*(E900=E$1:E899)))))</f>
        <v/>
      </c>
      <c r="L900" s="25"/>
    </row>
    <row r="901" spans="1:12" x14ac:dyDescent="0.3">
      <c r="A901" t="s">
        <v>622</v>
      </c>
      <c r="E901" s="20" t="str">
        <f t="shared" si="87"/>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86"/>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256</v>
      </c>
      <c r="E902" s="20" t="str">
        <f t="shared" si="87"/>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86"/>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496</v>
      </c>
      <c r="B903" s="26" t="s">
        <v>257</v>
      </c>
      <c r="C903" s="26" t="s">
        <v>469</v>
      </c>
      <c r="D903" s="26" t="s">
        <v>254</v>
      </c>
      <c r="E903" s="20" t="s">
        <v>741</v>
      </c>
      <c r="F903" s="21" t="str">
        <f>IF(OR(E903="",E903="!!!"),"",IF(NOT(ISNA(VLOOKUP(E903,E$1:E902,1,FALSE()))),"OLD",IF(AND(E903&lt;&gt;"",E903&lt;&gt;"!!!"),"NEW","")))</f>
        <v>OLD</v>
      </c>
      <c r="G903" s="22" t="s">
        <v>683</v>
      </c>
      <c r="H903" s="23" t="str">
        <f t="shared" ca="1" si="86"/>
        <v/>
      </c>
      <c r="I903" s="24" t="str">
        <f>IF(OR(E903="",E903="!!!",F903="NEW"),"",INDEX(B$2:B902,-1+SUMPRODUCT(MAX(ROW(E$2:E902)*(E903=E$2:E902)))))</f>
        <v>SBJ</v>
      </c>
      <c r="J903" s="24">
        <f ca="1">IF(OR(E903="",E903="!!!",F903="NEW"),"",COUNTBLANK(OFFSET(A$1,,,SUMPRODUCT(MAX(ROW(E$2:E903)*(E903=E$2:E903)))))-COUNTBLANK(OFFSET(A$1,,,SUMPRODUCT(MAX(ROW(E$1:E902)*(E2=E$1:E902))))))</f>
        <v>0</v>
      </c>
      <c r="K903" s="24" t="str">
        <f ca="1">IF(OR(E903="",E903="!!!",F903="NEW"),"",INDEX(J$1:J902,SUMPRODUCT(MAX(ROW(E$1:E902)*(E903=E$1:E902)))))</f>
        <v/>
      </c>
      <c r="L903" s="25"/>
    </row>
    <row r="904" spans="1:12" x14ac:dyDescent="0.3">
      <c r="A904" t="s">
        <v>623</v>
      </c>
      <c r="E904" s="20" t="str">
        <f t="shared" si="87"/>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86"/>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513</v>
      </c>
      <c r="E905" s="20" t="str">
        <f t="shared" si="87"/>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86"/>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3">
      <c r="A906" t="s">
        <v>271</v>
      </c>
      <c r="E906" s="20" t="str">
        <f t="shared" si="87"/>
        <v/>
      </c>
      <c r="F906" s="21" t="str">
        <f>IF(OR(E906="",E906="!!!"),"",IF(NOT(ISNA(VLOOKUP(E906,E$1:E905,1,FALSE()))),"OLD",IF(AND(E906&lt;&gt;"",E906&lt;&gt;"!!!"),"NEW","")))</f>
        <v/>
      </c>
      <c r="G906" s="22" t="str">
        <f>IF(OR(E906="",E906="!!!"),"",IF(OR(J906=0,AND(J906=1,K906=1),AND(J906=1,I906="SBJ"),AND(J906=1,I906=0)),"?IN_FOCUS",IF(J906&lt;=2,"?ACTIVATED",IF(J906&lt;&gt;"","?FAMILIAR",IF(F906="NEW",IF(ISNA(VLOOKUP(E906,#REF!,1,FALSE())),"?TYPE_IDENTIFIABLE","?REFERENTIAL"),"_")))))</f>
        <v/>
      </c>
      <c r="H906" s="23" t="str">
        <f t="shared" ca="1" si="86"/>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3">
      <c r="A907" t="s">
        <v>624</v>
      </c>
      <c r="E907" s="20" t="str">
        <f t="shared" si="87"/>
        <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86"/>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3">
      <c r="A908" t="s">
        <v>625</v>
      </c>
      <c r="E908" s="20" t="str">
        <f t="shared" si="87"/>
        <v/>
      </c>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ca="1" si="86"/>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row>
    <row r="909" spans="1:12" x14ac:dyDescent="0.3">
      <c r="A909" t="s">
        <v>626</v>
      </c>
      <c r="E909" s="20" t="str">
        <f t="shared" si="87"/>
        <v/>
      </c>
      <c r="F909" s="21" t="str">
        <f>IF(OR(E909="",E909="!!!"),"",IF(NOT(ISNA(VLOOKUP(E909,E$1:E908,1,FALSE()))),"OLD",IF(AND(E909&lt;&gt;"",E909&lt;&gt;"!!!"),"NEW","")))</f>
        <v/>
      </c>
      <c r="G909" s="22" t="str">
        <f>IF(OR(E909="",E909="!!!"),"",IF(OR(J909=0,AND(J909=1,K909=1),AND(J909=1,I909="SBJ"),AND(J909=1,I909=0)),"?IN_FOCUS",IF(J909&lt;=2,"?ACTIVATED",IF(J909&lt;&gt;"","?FAMILIAR",IF(F909="NEW",IF(ISNA(VLOOKUP(E909,#REF!,1,FALSE())),"?TYPE_IDENTIFIABLE","?REFERENTIAL"),"_")))))</f>
        <v/>
      </c>
      <c r="H909" s="23" t="str">
        <f t="shared" ca="1" si="86"/>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3">
      <c r="A910" t="s">
        <v>240</v>
      </c>
      <c r="B910" s="26" t="s">
        <v>252</v>
      </c>
      <c r="C910" s="26" t="s">
        <v>229</v>
      </c>
      <c r="E910" s="20" t="str">
        <f t="shared" si="87"/>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86"/>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3">
      <c r="A911" t="s">
        <v>627</v>
      </c>
      <c r="E911" s="20" t="str">
        <f t="shared" si="87"/>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86"/>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3">
      <c r="A912" t="s">
        <v>244</v>
      </c>
      <c r="B912" s="26" t="s">
        <v>252</v>
      </c>
      <c r="C912" s="26" t="s">
        <v>229</v>
      </c>
      <c r="E912" s="20" t="str">
        <f t="shared" si="87"/>
        <v/>
      </c>
      <c r="F912" s="21" t="str">
        <f>IF(OR(E912="",E912="!!!"),"",IF(NOT(ISNA(VLOOKUP(E912,E$1:E911,1,FALSE()))),"OLD",IF(AND(E912&lt;&gt;"",E912&lt;&gt;"!!!"),"NEW","")))</f>
        <v/>
      </c>
      <c r="G912" s="22" t="str">
        <f>IF(OR(E912="",E912="!!!"),"",IF(OR(J912=0,AND(J912=1,K912=1),AND(J912=1,I912="SBJ"),AND(J912=1,I912=0)),"?IN_FOCUS",IF(J912&lt;=2,"?ACTIVATED",IF(J912&lt;&gt;"","?FAMILIAR",IF(F912="NEW",IF(ISNA(VLOOKUP(E912,#REF!,1,FALSE())),"?TYPE_IDENTIFIABLE","?REFERENTIAL"),"_")))))</f>
        <v/>
      </c>
      <c r="H912" s="23" t="str">
        <f t="shared" ca="1" si="86"/>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231</v>
      </c>
      <c r="E913" s="20" t="str">
        <f t="shared" si="87"/>
        <v/>
      </c>
      <c r="F913" s="21" t="str">
        <f>IF(OR(E913="",E913="!!!"),"",IF(NOT(ISNA(VLOOKUP(E913,E$1:E912,1,FALSE()))),"OLD",IF(AND(E913&lt;&gt;"",E913&lt;&gt;"!!!"),"NEW","")))</f>
        <v/>
      </c>
      <c r="G913" s="22" t="str">
        <f>IF(OR(E913="",E913="!!!"),"",IF(OR(J913=0,AND(J913=1,K913=1),AND(J913=1,I913="SBJ"),AND(J913=1,I913=0)),"?IN_FOCUS",IF(J913&lt;=2,"?ACTIVATED",IF(J913&lt;&gt;"","?FAMILIAR",IF(F913="NEW",IF(ISNA(VLOOKUP(E913,#REF!,1,FALSE())),"?TYPE_IDENTIFIABLE","?REFERENTIAL"),"_")))))</f>
        <v/>
      </c>
      <c r="H913" s="23" t="str">
        <f t="shared" ca="1" si="86"/>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3">
      <c r="A914" t="s">
        <v>265</v>
      </c>
      <c r="E914" s="20" t="str">
        <f t="shared" si="87"/>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86"/>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6" spans="1:12" x14ac:dyDescent="0.3">
      <c r="A916" t="s">
        <v>628</v>
      </c>
    </row>
    <row r="917" spans="1:12" x14ac:dyDescent="0.3">
      <c r="A917" t="s">
        <v>629</v>
      </c>
      <c r="E917" s="20" t="str">
        <f t="shared" ref="E917:E937" si="88">IF(D917="?OLD","!!!","")</f>
        <v/>
      </c>
      <c r="F917" s="21" t="str">
        <f>IF(OR(E917="",E917="!!!"),"",IF(NOT(ISNA(VLOOKUP(E917,E$1:E916,1,FALSE()))),"OLD",IF(AND(E917&lt;&gt;"",E917&lt;&gt;"!!!"),"NEW","")))</f>
        <v/>
      </c>
      <c r="G917" s="22" t="str">
        <f>IF(OR(E917="",E917="!!!"),"",IF(OR(J917=0,AND(J917=1,K917=1),AND(J917=1,I917="SBJ"),AND(J917=1,I917=0)),"?IN_FOCUS",IF(J917&lt;=2,"?ACTIVATED",IF(J917&lt;&gt;"","?FAMILIAR",IF(F917="NEW",IF(ISNA(VLOOKUP(E917,#REF!,1,FALSE())),"?TYPE_IDENTIFIABLE","?REFERENTIAL"),"_")))))</f>
        <v/>
      </c>
      <c r="H917" s="23" t="str">
        <f t="shared" ref="H917:H937" ca="1" si="89">IF(J917&lt;&gt;1,"",IF(I917="SBJ","CB","?"))</f>
        <v/>
      </c>
      <c r="I917" s="24" t="str">
        <f>IF(OR(E917="",E917="!!!",F917="NEW"),"",INDEX(B$2:B916,-1+SUMPRODUCT(MAX(ROW(E$2:E916)*(E917=E$2:E916)))))</f>
        <v/>
      </c>
      <c r="J917" s="24" t="str">
        <f ca="1">IF(OR(E917="",E917="!!!",F917="NEW"),"",COUNTBLANK(OFFSET(A$1,,,SUMPRODUCT(MAX(ROW(E$2:E917)*(E917=E$2:E917)))))-COUNTBLANK(OFFSET(A$1,,,SUMPRODUCT(MAX(ROW(E$1:E916)*(E2=E$1:E916))))))</f>
        <v/>
      </c>
      <c r="K917" s="24" t="str">
        <f>IF(OR(E917="",E917="!!!",F917="NEW"),"",INDEX(J$1:J916,SUMPRODUCT(MAX(ROW(E$1:E916)*(E917=E$1:E916)))))</f>
        <v/>
      </c>
      <c r="L917" s="25"/>
    </row>
    <row r="918" spans="1:12" x14ac:dyDescent="0.3">
      <c r="A918" t="s">
        <v>630</v>
      </c>
      <c r="B918" s="26" t="s">
        <v>274</v>
      </c>
      <c r="C918" s="26" t="s">
        <v>282</v>
      </c>
      <c r="E918" s="20" t="str">
        <f t="shared" si="88"/>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89"/>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256</v>
      </c>
      <c r="E919" s="20" t="str">
        <f t="shared" si="88"/>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89"/>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3">
      <c r="A920" t="s">
        <v>631</v>
      </c>
      <c r="E920" s="20" t="str">
        <f t="shared" si="88"/>
        <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89"/>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3">
      <c r="A921" t="s">
        <v>632</v>
      </c>
      <c r="E921" s="20" t="str">
        <f t="shared" si="88"/>
        <v/>
      </c>
      <c r="F921" s="21" t="str">
        <f>IF(OR(E921="",E921="!!!"),"",IF(NOT(ISNA(VLOOKUP(E921,E$1:E920,1,FALSE()))),"OLD",IF(AND(E921&lt;&gt;"",E921&lt;&gt;"!!!"),"NEW","")))</f>
        <v/>
      </c>
      <c r="G921" s="22" t="str">
        <f>IF(OR(E921="",E921="!!!"),"",IF(OR(J921=0,AND(J921=1,K921=1),AND(J921=1,I921="SBJ"),AND(J921=1,I921=0)),"?IN_FOCUS",IF(J921&lt;=2,"?ACTIVATED",IF(J921&lt;&gt;"","?FAMILIAR",IF(F921="NEW",IF(ISNA(VLOOKUP(E921,#REF!,1,FALSE())),"?TYPE_IDENTIFIABLE","?REFERENTIAL"),"_")))))</f>
        <v/>
      </c>
      <c r="H921" s="23" t="str">
        <f t="shared" ca="1" si="89"/>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3">
      <c r="A922" t="s">
        <v>256</v>
      </c>
      <c r="E922" s="20" t="str">
        <f t="shared" si="88"/>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89"/>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633</v>
      </c>
      <c r="E923" s="20" t="str">
        <f t="shared" si="88"/>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89"/>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92</v>
      </c>
      <c r="E924" s="20" t="str">
        <f t="shared" si="88"/>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89"/>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3">
      <c r="A925" t="s">
        <v>579</v>
      </c>
      <c r="E925" s="20" t="str">
        <f t="shared" si="88"/>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89"/>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3">
      <c r="A926" t="s">
        <v>256</v>
      </c>
      <c r="E926" s="20" t="str">
        <f t="shared" si="88"/>
        <v/>
      </c>
      <c r="F926" s="21" t="str">
        <f>IF(OR(E926="",E926="!!!"),"",IF(NOT(ISNA(VLOOKUP(E926,E$1:E925,1,FALSE()))),"OLD",IF(AND(E926&lt;&gt;"",E926&lt;&gt;"!!!"),"NEW","")))</f>
        <v/>
      </c>
      <c r="G926" s="22" t="str">
        <f>IF(OR(E926="",E926="!!!"),"",IF(OR(J926=0,AND(J926=1,K926=1),AND(J926=1,I926="SBJ"),AND(J926=1,I926=0)),"?IN_FOCUS",IF(J926&lt;=2,"?ACTIVATED",IF(J926&lt;&gt;"","?FAMILIAR",IF(F926="NEW",IF(ISNA(VLOOKUP(E926,#REF!,1,FALSE())),"?TYPE_IDENTIFIABLE","?REFERENTIAL"),"_")))))</f>
        <v/>
      </c>
      <c r="H926" s="23" t="str">
        <f t="shared" ca="1" si="89"/>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332</v>
      </c>
      <c r="E927" s="20" t="str">
        <f t="shared" si="88"/>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89"/>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634</v>
      </c>
      <c r="E928" s="20" t="str">
        <f t="shared" si="88"/>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89"/>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635</v>
      </c>
      <c r="E929" s="20" t="str">
        <f t="shared" si="88"/>
        <v/>
      </c>
      <c r="F929" s="21" t="str">
        <f>IF(OR(E929="",E929="!!!"),"",IF(NOT(ISNA(VLOOKUP(E929,E$1:E928,1,FALSE()))),"OLD",IF(AND(E929&lt;&gt;"",E929&lt;&gt;"!!!"),"NEW","")))</f>
        <v/>
      </c>
      <c r="G929" s="22" t="str">
        <f>IF(OR(E929="",E929="!!!"),"",IF(OR(J929=0,AND(J929=1,K929=1),AND(J929=1,I929="SBJ"),AND(J929=1,I929=0)),"?IN_FOCUS",IF(J929&lt;=2,"?ACTIVATED",IF(J929&lt;&gt;"","?FAMILIAR",IF(F929="NEW",IF(ISNA(VLOOKUP(E929,#REF!,1,FALSE())),"?TYPE_IDENTIFIABLE","?REFERENTIAL"),"_")))))</f>
        <v/>
      </c>
      <c r="H929" s="23" t="str">
        <f t="shared" ca="1" si="89"/>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348</v>
      </c>
      <c r="E930" s="20" t="str">
        <f t="shared" si="88"/>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89"/>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244</v>
      </c>
      <c r="B931" s="26" t="s">
        <v>241</v>
      </c>
      <c r="C931" s="26" t="s">
        <v>229</v>
      </c>
      <c r="E931" s="20" t="str">
        <f t="shared" si="88"/>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89"/>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256</v>
      </c>
      <c r="E932" s="20" t="str">
        <f t="shared" si="88"/>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89"/>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636</v>
      </c>
      <c r="E933" s="20" t="str">
        <f t="shared" si="88"/>
        <v/>
      </c>
      <c r="F933" s="21" t="str">
        <f>IF(OR(E933="",E933="!!!"),"",IF(NOT(ISNA(VLOOKUP(E933,E$1:E932,1,FALSE()))),"OLD",IF(AND(E933&lt;&gt;"",E933&lt;&gt;"!!!"),"NEW","")))</f>
        <v/>
      </c>
      <c r="G933" s="22" t="str">
        <f>IF(OR(E933="",E933="!!!"),"",IF(OR(J933=0,AND(J933=1,K933=1),AND(J933=1,I933="SBJ"),AND(J933=1,I933=0)),"?IN_FOCUS",IF(J933&lt;=2,"?ACTIVATED",IF(J933&lt;&gt;"","?FAMILIAR",IF(F933="NEW",IF(ISNA(VLOOKUP(E933,#REF!,1,FALSE())),"?TYPE_IDENTIFIABLE","?REFERENTIAL"),"_")))))</f>
        <v/>
      </c>
      <c r="H933" s="23" t="str">
        <f t="shared" ca="1" si="89"/>
        <v/>
      </c>
      <c r="I933" s="24" t="str">
        <f>IF(OR(E933="",E933="!!!",F933="NEW"),"",INDEX(B$2:B932,-1+SUMPRODUCT(MAX(ROW(E$2:E932)*(E933=E$2:E932)))))</f>
        <v/>
      </c>
      <c r="J933" s="24" t="str">
        <f ca="1">IF(OR(E933="",E933="!!!",F933="NEW"),"",COUNTBLANK(OFFSET(A$1,,,SUMPRODUCT(MAX(ROW(E$2:E933)*(E933=E$2:E933)))))-COUNTBLANK(OFFSET(A$1,,,SUMPRODUCT(MAX(ROW(E$1:E932)*(E2=E$1:E932))))))</f>
        <v/>
      </c>
      <c r="K933" s="24" t="str">
        <f>IF(OR(E933="",E933="!!!",F933="NEW"),"",INDEX(J$1:J932,SUMPRODUCT(MAX(ROW(E$1:E932)*(E933=E$1:E932)))))</f>
        <v/>
      </c>
      <c r="L933" s="25"/>
    </row>
    <row r="934" spans="1:12" x14ac:dyDescent="0.3">
      <c r="A934" t="s">
        <v>342</v>
      </c>
      <c r="E934" s="20" t="str">
        <f t="shared" si="88"/>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89"/>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293</v>
      </c>
      <c r="E935" s="20" t="str">
        <f t="shared" si="88"/>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89"/>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611</v>
      </c>
      <c r="B936" s="26" t="s">
        <v>241</v>
      </c>
      <c r="C936" s="26" t="s">
        <v>310</v>
      </c>
      <c r="D936" s="26" t="s">
        <v>254</v>
      </c>
      <c r="E936" s="20" t="s">
        <v>740</v>
      </c>
      <c r="F936" s="21" t="str">
        <f>IF(OR(E936="",E936="!!!"),"",IF(NOT(ISNA(VLOOKUP(E936,E$1:E935,1,FALSE()))),"OLD",IF(AND(E936&lt;&gt;"",E936&lt;&gt;"!!!"),"NEW","")))</f>
        <v>OLD</v>
      </c>
      <c r="G936" s="22" t="s">
        <v>742</v>
      </c>
      <c r="H936" s="23" t="str">
        <f t="shared" ca="1" si="89"/>
        <v/>
      </c>
      <c r="I936" s="24" t="str">
        <f>IF(OR(E936="",E936="!!!",F936="NEW"),"",INDEX(B$2:B935,-1+SUMPRODUCT(MAX(ROW(E$2:E935)*(E936=E$2:E935)))))</f>
        <v>other</v>
      </c>
      <c r="J936" s="24">
        <f ca="1">IF(OR(E936="",E936="!!!",F936="NEW"),"",COUNTBLANK(OFFSET(A$1,,,SUMPRODUCT(MAX(ROW(E$2:E936)*(E936=E$2:E936)))))-COUNTBLANK(OFFSET(A$1,,,SUMPRODUCT(MAX(ROW(E$1:E935)*(E2=E$1:E935))))))</f>
        <v>0</v>
      </c>
      <c r="K936" s="24" t="str">
        <f ca="1">IF(OR(E936="",E936="!!!",F936="NEW"),"",INDEX(J$1:J935,SUMPRODUCT(MAX(ROW(E$1:E935)*(E936=E$1:E935)))))</f>
        <v/>
      </c>
      <c r="L936" s="25"/>
    </row>
    <row r="937" spans="1:12" x14ac:dyDescent="0.3">
      <c r="A937" t="s">
        <v>265</v>
      </c>
      <c r="E937" s="20" t="str">
        <f t="shared" si="88"/>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89"/>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9" spans="1:12" x14ac:dyDescent="0.3">
      <c r="A939" t="s">
        <v>637</v>
      </c>
    </row>
    <row r="940" spans="1:12" x14ac:dyDescent="0.3">
      <c r="A940" t="s">
        <v>336</v>
      </c>
      <c r="E940" s="20" t="str">
        <f t="shared" ref="E940:E963" si="90">IF(D940="?OLD","!!!","")</f>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ref="H940:H963" ca="1" si="91">IF(J940&lt;&gt;1,"",IF(I940="SBJ","CB","?"))</f>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638</v>
      </c>
      <c r="B941" s="26" t="s">
        <v>274</v>
      </c>
      <c r="C941" s="26" t="s">
        <v>310</v>
      </c>
      <c r="D941" s="26" t="s">
        <v>254</v>
      </c>
      <c r="E941" s="20"/>
      <c r="F941" s="21" t="s">
        <v>685</v>
      </c>
      <c r="G941" s="22" t="str">
        <f>IF(OR(E941="",E941="!!!"),"",IF(OR(J941=0,AND(J941=1,K941=1),AND(J941=1,I941="SBJ"),AND(J941=1,I941=0)),"?IN_FOCUS",IF(J941&lt;=2,"?ACTIVATED",IF(J941&lt;&gt;"","?FAMILIAR",IF(F941="NEW",IF(ISNA(VLOOKUP(E941,#REF!,1,FALSE())),"?TYPE_IDENTIFIABLE","?REFERENTIAL"),"_")))))</f>
        <v/>
      </c>
      <c r="H941" s="23" t="str">
        <f t="shared" ca="1" si="91"/>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342</v>
      </c>
      <c r="E942" s="20" t="str">
        <f t="shared" si="90"/>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91"/>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3">
      <c r="A943" t="s">
        <v>295</v>
      </c>
      <c r="E943" s="20" t="str">
        <f t="shared" si="90"/>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91"/>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3">
      <c r="A944" t="s">
        <v>244</v>
      </c>
      <c r="B944" s="26" t="s">
        <v>257</v>
      </c>
      <c r="C944" s="26" t="s">
        <v>229</v>
      </c>
      <c r="E944" s="20" t="s">
        <v>658</v>
      </c>
      <c r="F944" s="21" t="str">
        <f>IF(OR(E944="",E944="!!!"),"",IF(NOT(ISNA(VLOOKUP(E944,E$1:E943,1,FALSE()))),"OLD",IF(AND(E944&lt;&gt;"",E944&lt;&gt;"!!!"),"NEW","")))</f>
        <v>OLD</v>
      </c>
      <c r="G944" s="22" t="s">
        <v>704</v>
      </c>
      <c r="H944" s="23" t="str">
        <f t="shared" ca="1" si="91"/>
        <v/>
      </c>
      <c r="I944" s="24" t="str">
        <f>IF(OR(E944="",E944="!!!",F944="NEW"),"",INDEX(B$2:B943,-1+SUMPRODUCT(MAX(ROW(E$2:E943)*(E944=E$2:E943)))))</f>
        <v>SBJ_2</v>
      </c>
      <c r="J944" s="24">
        <f ca="1">IF(OR(E944="",E944="!!!",F944="NEW"),"",COUNTBLANK(OFFSET(A$1,,,SUMPRODUCT(MAX(ROW(E$2:E944)*(E944=E$2:E944)))))-COUNTBLANK(OFFSET(A$1,,,SUMPRODUCT(MAX(ROW(E$1:E943)*(E2=E$1:E943))))))</f>
        <v>0</v>
      </c>
      <c r="K944" s="24">
        <f ca="1">IF(OR(E944="",E944="!!!",F944="NEW"),"",INDEX(J$1:J943,SUMPRODUCT(MAX(ROW(E$1:E943)*(E944=E$1:E943)))))</f>
        <v>0</v>
      </c>
      <c r="L944" s="25"/>
    </row>
    <row r="945" spans="1:12" x14ac:dyDescent="0.3">
      <c r="A945" t="s">
        <v>639</v>
      </c>
      <c r="E945" s="20" t="str">
        <f t="shared" si="90"/>
        <v/>
      </c>
      <c r="F945" s="21" t="str">
        <f>IF(OR(E945="",E945="!!!"),"",IF(NOT(ISNA(VLOOKUP(E945,E$1:E944,1,FALSE()))),"OLD",IF(AND(E945&lt;&gt;"",E945&lt;&gt;"!!!"),"NEW","")))</f>
        <v/>
      </c>
      <c r="G945" s="22" t="str">
        <f>IF(OR(E945="",E945="!!!"),"",IF(OR(J945=0,AND(J945=1,K945=1),AND(J945=1,I945="SBJ"),AND(J945=1,I945=0)),"?IN_FOCUS",IF(J945&lt;=2,"?ACTIVATED",IF(J945&lt;&gt;"","?FAMILIAR",IF(F945="NEW",IF(ISNA(VLOOKUP(E945,#REF!,1,FALSE())),"?TYPE_IDENTIFIABLE","?REFERENTIAL"),"_")))))</f>
        <v/>
      </c>
      <c r="H945" s="23" t="str">
        <f t="shared" ca="1" si="91"/>
        <v/>
      </c>
      <c r="I945" s="24" t="str">
        <f>IF(OR(E945="",E945="!!!",F945="NEW"),"",INDEX(B$2:B944,-1+SUMPRODUCT(MAX(ROW(E$2:E944)*(E945=E$2:E944)))))</f>
        <v/>
      </c>
      <c r="J945" s="24" t="str">
        <f ca="1">IF(OR(E945="",E945="!!!",F945="NEW"),"",COUNTBLANK(OFFSET(A$1,,,SUMPRODUCT(MAX(ROW(E$2:E945)*(E945=E$2:E945)))))-COUNTBLANK(OFFSET(A$1,,,SUMPRODUCT(MAX(ROW(E$1:E944)*(E2=E$1:E944))))))</f>
        <v/>
      </c>
      <c r="K945" s="24" t="str">
        <f>IF(OR(E945="",E945="!!!",F945="NEW"),"",INDEX(J$1:J944,SUMPRODUCT(MAX(ROW(E$1:E944)*(E945=E$1:E944)))))</f>
        <v/>
      </c>
      <c r="L945" s="25"/>
    </row>
    <row r="946" spans="1:12" x14ac:dyDescent="0.3">
      <c r="A946" t="s">
        <v>496</v>
      </c>
      <c r="E946" s="20" t="str">
        <f t="shared" si="90"/>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91"/>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3">
      <c r="A947" t="s">
        <v>640</v>
      </c>
      <c r="B947" s="26" t="s">
        <v>375</v>
      </c>
      <c r="C947" s="26" t="s">
        <v>498</v>
      </c>
      <c r="D947" s="26" t="s">
        <v>254</v>
      </c>
      <c r="E947" s="20" t="s">
        <v>743</v>
      </c>
      <c r="F947" s="21" t="str">
        <f>IF(OR(E947="",E947="!!!"),"",IF(NOT(ISNA(VLOOKUP(E947,E$1:E946,1,FALSE()))),"OLD",IF(AND(E947&lt;&gt;"",E947&lt;&gt;"!!!"),"NEW","")))</f>
        <v>NEW</v>
      </c>
      <c r="G947" s="22" t="str">
        <f ca="1">IF(OR(E947="",E947="!!!"),"",IF(OR(J947=0,AND(J947=1,K947=1),AND(J947=1,I947="SBJ"),AND(J947=1,I947=0)),"?IN_FOCUS",IF(J947&lt;=2,"?ACTIVATED",IF(J947&lt;&gt;"","?FAMILIAR",IF(F947="NEW",IF(ISNA(VLOOKUP(E947,#REF!,1,FALSE())),"?TYPE_IDENTIFIABLE","?REFERENTIAL"),"_")))))</f>
        <v>?REFERENTIAL</v>
      </c>
      <c r="H947" s="23" t="str">
        <f t="shared" ca="1" si="91"/>
        <v/>
      </c>
      <c r="I947" s="24" t="str">
        <f>IF(OR(E947="",E947="!!!",F947="NEW"),"",INDEX(B$2:B946,-1+SUMPRODUCT(MAX(ROW(E$2:E946)*(E947=E$2:E946)))))</f>
        <v/>
      </c>
      <c r="J947" s="24" t="str">
        <f ca="1">IF(OR(E947="",E947="!!!",F947="NEW"),"",COUNTBLANK(OFFSET(A$1,,,SUMPRODUCT(MAX(ROW(E$2:E947)*(E947=E$2:E947)))))-COUNTBLANK(OFFSET(A$1,,,SUMPRODUCT(MAX(ROW(E$1:E946)*(E2=E$1:E946))))))</f>
        <v/>
      </c>
      <c r="K947" s="24" t="str">
        <f>IF(OR(E947="",E947="!!!",F947="NEW"),"",INDEX(J$1:J946,SUMPRODUCT(MAX(ROW(E$1:E946)*(E947=E$1:E946)))))</f>
        <v/>
      </c>
      <c r="L947" s="25"/>
    </row>
    <row r="948" spans="1:12" x14ac:dyDescent="0.3">
      <c r="A948" t="s">
        <v>623</v>
      </c>
      <c r="E948" s="20" t="str">
        <f t="shared" si="90"/>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91"/>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3">
      <c r="A949" t="s">
        <v>92</v>
      </c>
      <c r="E949" s="20" t="str">
        <f t="shared" si="90"/>
        <v/>
      </c>
      <c r="F949" s="21" t="str">
        <f>IF(OR(E949="",E949="!!!"),"",IF(NOT(ISNA(VLOOKUP(E949,E$1:E948,1,FALSE()))),"OLD",IF(AND(E949&lt;&gt;"",E949&lt;&gt;"!!!"),"NEW","")))</f>
        <v/>
      </c>
      <c r="G949" s="22" t="str">
        <f>IF(OR(E949="",E949="!!!"),"",IF(OR(J949=0,AND(J949=1,K949=1),AND(J949=1,I949="SBJ"),AND(J949=1,I949=0)),"?IN_FOCUS",IF(J949&lt;=2,"?ACTIVATED",IF(J949&lt;&gt;"","?FAMILIAR",IF(F949="NEW",IF(ISNA(VLOOKUP(E949,#REF!,1,FALSE())),"?TYPE_IDENTIFIABLE","?REFERENTIAL"),"_")))))</f>
        <v/>
      </c>
      <c r="H949" s="23" t="str">
        <f t="shared" ca="1" si="91"/>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0" spans="1:12" x14ac:dyDescent="0.3">
      <c r="A950" t="s">
        <v>506</v>
      </c>
      <c r="E950" s="20" t="str">
        <f t="shared" si="90"/>
        <v/>
      </c>
      <c r="F950" s="21" t="str">
        <f>IF(OR(E950="",E950="!!!"),"",IF(NOT(ISNA(VLOOKUP(E950,E$1:E949,1,FALSE()))),"OLD",IF(AND(E950&lt;&gt;"",E950&lt;&gt;"!!!"),"NEW","")))</f>
        <v/>
      </c>
      <c r="G950" s="22" t="str">
        <f>IF(OR(E950="",E950="!!!"),"",IF(OR(J950=0,AND(J950=1,K950=1),AND(J950=1,I950="SBJ"),AND(J950=1,I950=0)),"?IN_FOCUS",IF(J950&lt;=2,"?ACTIVATED",IF(J950&lt;&gt;"","?FAMILIAR",IF(F950="NEW",IF(ISNA(VLOOKUP(E950,#REF!,1,FALSE())),"?TYPE_IDENTIFIABLE","?REFERENTIAL"),"_")))))</f>
        <v/>
      </c>
      <c r="H950" s="23" t="str">
        <f t="shared" ca="1" si="91"/>
        <v/>
      </c>
      <c r="I950" s="24" t="str">
        <f>IF(OR(E950="",E950="!!!",F950="NEW"),"",INDEX(B$2:B949,-1+SUMPRODUCT(MAX(ROW(E$2:E949)*(E950=E$2:E949)))))</f>
        <v/>
      </c>
      <c r="J950" s="24" t="str">
        <f ca="1">IF(OR(E950="",E950="!!!",F950="NEW"),"",COUNTBLANK(OFFSET(A$1,,,SUMPRODUCT(MAX(ROW(E$2:E950)*(E950=E$2:E950)))))-COUNTBLANK(OFFSET(A$1,,,SUMPRODUCT(MAX(ROW(E$1:E949)*(E2=E$1:E949))))))</f>
        <v/>
      </c>
      <c r="K950" s="24" t="str">
        <f>IF(OR(E950="",E950="!!!",F950="NEW"),"",INDEX(J$1:J949,SUMPRODUCT(MAX(ROW(E$1:E949)*(E950=E$1:E949)))))</f>
        <v/>
      </c>
      <c r="L950" s="25"/>
    </row>
    <row r="951" spans="1:12" x14ac:dyDescent="0.3">
      <c r="A951" t="s">
        <v>271</v>
      </c>
      <c r="E951" s="20" t="str">
        <f t="shared" si="90"/>
        <v/>
      </c>
      <c r="F951" s="21" t="str">
        <f>IF(OR(E951="",E951="!!!"),"",IF(NOT(ISNA(VLOOKUP(E951,E$1:E950,1,FALSE()))),"OLD",IF(AND(E951&lt;&gt;"",E951&lt;&gt;"!!!"),"NEW","")))</f>
        <v/>
      </c>
      <c r="G951" s="22" t="str">
        <f>IF(OR(E951="",E951="!!!"),"",IF(OR(J951=0,AND(J951=1,K951=1),AND(J951=1,I951="SBJ"),AND(J951=1,I951=0)),"?IN_FOCUS",IF(J951&lt;=2,"?ACTIVATED",IF(J951&lt;&gt;"","?FAMILIAR",IF(F951="NEW",IF(ISNA(VLOOKUP(E951,#REF!,1,FALSE())),"?TYPE_IDENTIFIABLE","?REFERENTIAL"),"_")))))</f>
        <v/>
      </c>
      <c r="H951" s="23" t="str">
        <f t="shared" ca="1" si="91"/>
        <v/>
      </c>
      <c r="I951" s="24" t="str">
        <f>IF(OR(E951="",E951="!!!",F951="NEW"),"",INDEX(B$2:B950,-1+SUMPRODUCT(MAX(ROW(E$2:E950)*(E951=E$2:E950)))))</f>
        <v/>
      </c>
      <c r="J951" s="24" t="str">
        <f ca="1">IF(OR(E951="",E951="!!!",F951="NEW"),"",COUNTBLANK(OFFSET(A$1,,,SUMPRODUCT(MAX(ROW(E$2:E951)*(E951=E$2:E951)))))-COUNTBLANK(OFFSET(A$1,,,SUMPRODUCT(MAX(ROW(E$1:E950)*(E2=E$1:E950))))))</f>
        <v/>
      </c>
      <c r="K951" s="24" t="str">
        <f>IF(OR(E951="",E951="!!!",F951="NEW"),"",INDEX(J$1:J950,SUMPRODUCT(MAX(ROW(E$1:E950)*(E951=E$1:E950)))))</f>
        <v/>
      </c>
      <c r="L951" s="25"/>
    </row>
    <row r="952" spans="1:12" x14ac:dyDescent="0.3">
      <c r="A952" t="s">
        <v>293</v>
      </c>
      <c r="E952" s="20" t="str">
        <f t="shared" si="90"/>
        <v/>
      </c>
      <c r="F952" s="21" t="str">
        <f>IF(OR(E952="",E952="!!!"),"",IF(NOT(ISNA(VLOOKUP(E952,E$1:E951,1,FALSE()))),"OLD",IF(AND(E952&lt;&gt;"",E952&lt;&gt;"!!!"),"NEW","")))</f>
        <v/>
      </c>
      <c r="G952" s="22" t="str">
        <f>IF(OR(E952="",E952="!!!"),"",IF(OR(J952=0,AND(J952=1,K952=1),AND(J952=1,I952="SBJ"),AND(J952=1,I952=0)),"?IN_FOCUS",IF(J952&lt;=2,"?ACTIVATED",IF(J952&lt;&gt;"","?FAMILIAR",IF(F952="NEW",IF(ISNA(VLOOKUP(E952,#REF!,1,FALSE())),"?TYPE_IDENTIFIABLE","?REFERENTIAL"),"_")))))</f>
        <v/>
      </c>
      <c r="H952" s="23" t="str">
        <f t="shared" ca="1" si="91"/>
        <v/>
      </c>
      <c r="I952" s="24" t="str">
        <f>IF(OR(E952="",E952="!!!",F952="NEW"),"",INDEX(B$2:B951,-1+SUMPRODUCT(MAX(ROW(E$2:E951)*(E952=E$2:E951)))))</f>
        <v/>
      </c>
      <c r="J952" s="24" t="str">
        <f ca="1">IF(OR(E952="",E952="!!!",F952="NEW"),"",COUNTBLANK(OFFSET(A$1,,,SUMPRODUCT(MAX(ROW(E$2:E952)*(E952=E$2:E952)))))-COUNTBLANK(OFFSET(A$1,,,SUMPRODUCT(MAX(ROW(E$1:E951)*(E2=E$1:E951))))))</f>
        <v/>
      </c>
      <c r="K952" s="24" t="str">
        <f>IF(OR(E952="",E952="!!!",F952="NEW"),"",INDEX(J$1:J951,SUMPRODUCT(MAX(ROW(E$1:E951)*(E952=E$1:E951)))))</f>
        <v/>
      </c>
      <c r="L952" s="25"/>
    </row>
    <row r="953" spans="1:12" x14ac:dyDescent="0.3">
      <c r="A953" t="s">
        <v>641</v>
      </c>
      <c r="E953" s="20" t="str">
        <f t="shared" si="90"/>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t="shared" ca="1" si="91"/>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3">
      <c r="A954" t="s">
        <v>642</v>
      </c>
      <c r="B954" s="26" t="s">
        <v>228</v>
      </c>
      <c r="C954" s="26" t="s">
        <v>310</v>
      </c>
      <c r="D954" s="26" t="s">
        <v>254</v>
      </c>
      <c r="E954" s="20"/>
      <c r="F954" s="21" t="s">
        <v>685</v>
      </c>
      <c r="G954" s="22" t="str">
        <f>IF(OR(E954="",E954="!!!"),"",IF(OR(J954=0,AND(J954=1,K954=1),AND(J954=1,I954="SBJ"),AND(J954=1,I954=0)),"?IN_FOCUS",IF(J954&lt;=2,"?ACTIVATED",IF(J954&lt;&gt;"","?FAMILIAR",IF(F954="NEW",IF(ISNA(VLOOKUP(E954,#REF!,1,FALSE())),"?TYPE_IDENTIFIABLE","?REFERENTIAL"),"_")))))</f>
        <v/>
      </c>
      <c r="H954" s="23" t="str">
        <f t="shared" ca="1" si="91"/>
        <v/>
      </c>
      <c r="I954" s="24" t="str">
        <f>IF(OR(E954="",E954="!!!",F954="NEW"),"",INDEX(B$2:B953,-1+SUMPRODUCT(MAX(ROW(E$2:E953)*(E954=E$2:E953)))))</f>
        <v/>
      </c>
      <c r="J954" s="24" t="str">
        <f ca="1">IF(OR(E954="",E954="!!!",F954="NEW"),"",COUNTBLANK(OFFSET(A$1,,,SUMPRODUCT(MAX(ROW(E$2:E954)*(E954=E$2:E954)))))-COUNTBLANK(OFFSET(A$1,,,SUMPRODUCT(MAX(ROW(E$1:E953)*(E2=E$1:E953))))))</f>
        <v/>
      </c>
      <c r="K954" s="24" t="str">
        <f>IF(OR(E954="",E954="!!!",F954="NEW"),"",INDEX(J$1:J953,SUMPRODUCT(MAX(ROW(E$1:E953)*(E954=E$1:E953)))))</f>
        <v/>
      </c>
      <c r="L954" s="25" t="s">
        <v>744</v>
      </c>
    </row>
    <row r="955" spans="1:12" x14ac:dyDescent="0.3">
      <c r="A955" t="s">
        <v>262</v>
      </c>
      <c r="E955" s="20" t="str">
        <f t="shared" si="90"/>
        <v/>
      </c>
      <c r="F955" s="21" t="str">
        <f>IF(OR(E955="",E955="!!!"),"",IF(NOT(ISNA(VLOOKUP(E955,E$1:E954,1,FALSE()))),"OLD",IF(AND(E955&lt;&gt;"",E955&lt;&gt;"!!!"),"NEW","")))</f>
        <v/>
      </c>
      <c r="G955" s="22" t="str">
        <f>IF(OR(E955="",E955="!!!"),"",IF(OR(J955=0,AND(J955=1,K955=1),AND(J955=1,I955="SBJ"),AND(J955=1,I955=0)),"?IN_FOCUS",IF(J955&lt;=2,"?ACTIVATED",IF(J955&lt;&gt;"","?FAMILIAR",IF(F955="NEW",IF(ISNA(VLOOKUP(E955,#REF!,1,FALSE())),"?TYPE_IDENTIFIABLE","?REFERENTIAL"),"_")))))</f>
        <v/>
      </c>
      <c r="H955" s="23" t="str">
        <f t="shared" ca="1" si="91"/>
        <v/>
      </c>
      <c r="I955" s="24" t="str">
        <f>IF(OR(E955="",E955="!!!",F955="NEW"),"",INDEX(B$2:B954,-1+SUMPRODUCT(MAX(ROW(E$2:E954)*(E955=E$2:E954)))))</f>
        <v/>
      </c>
      <c r="J955" s="24" t="str">
        <f ca="1">IF(OR(E955="",E955="!!!",F955="NEW"),"",COUNTBLANK(OFFSET(A$1,,,SUMPRODUCT(MAX(ROW(E$2:E955)*(E955=E$2:E955)))))-COUNTBLANK(OFFSET(A$1,,,SUMPRODUCT(MAX(ROW(E$1:E954)*(E2=E$1:E954))))))</f>
        <v/>
      </c>
      <c r="K955" s="24" t="str">
        <f>IF(OR(E955="",E955="!!!",F955="NEW"),"",INDEX(J$1:J954,SUMPRODUCT(MAX(ROW(E$1:E954)*(E955=E$1:E954)))))</f>
        <v/>
      </c>
      <c r="L955" s="25"/>
    </row>
    <row r="956" spans="1:12" x14ac:dyDescent="0.3">
      <c r="A956" t="s">
        <v>397</v>
      </c>
      <c r="B956" s="26" t="s">
        <v>241</v>
      </c>
      <c r="C956" s="26" t="s">
        <v>229</v>
      </c>
      <c r="E956" s="20" t="str">
        <f t="shared" si="90"/>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t="shared" ca="1" si="91"/>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7" spans="1:12" x14ac:dyDescent="0.3">
      <c r="A957" t="s">
        <v>643</v>
      </c>
      <c r="E957" s="20" t="str">
        <f t="shared" si="90"/>
        <v/>
      </c>
      <c r="F957" s="21" t="str">
        <f>IF(OR(E957="",E957="!!!"),"",IF(NOT(ISNA(VLOOKUP(E957,E$1:E956,1,FALSE()))),"OLD",IF(AND(E957&lt;&gt;"",E957&lt;&gt;"!!!"),"NEW","")))</f>
        <v/>
      </c>
      <c r="G957" s="22" t="str">
        <f>IF(OR(E957="",E957="!!!"),"",IF(OR(J957=0,AND(J957=1,K957=1),AND(J957=1,I957="SBJ"),AND(J957=1,I957=0)),"?IN_FOCUS",IF(J957&lt;=2,"?ACTIVATED",IF(J957&lt;&gt;"","?FAMILIAR",IF(F957="NEW",IF(ISNA(VLOOKUP(E957,#REF!,1,FALSE())),"?TYPE_IDENTIFIABLE","?REFERENTIAL"),"_")))))</f>
        <v/>
      </c>
      <c r="H957" s="23" t="str">
        <f t="shared" ca="1" si="91"/>
        <v/>
      </c>
      <c r="I957" s="24" t="str">
        <f>IF(OR(E957="",E957="!!!",F957="NEW"),"",INDEX(B$2:B956,-1+SUMPRODUCT(MAX(ROW(E$2:E956)*(E957=E$2:E956)))))</f>
        <v/>
      </c>
      <c r="J957" s="24" t="str">
        <f ca="1">IF(OR(E957="",E957="!!!",F957="NEW"),"",COUNTBLANK(OFFSET(A$1,,,SUMPRODUCT(MAX(ROW(E$2:E957)*(E957=E$2:E957)))))-COUNTBLANK(OFFSET(A$1,,,SUMPRODUCT(MAX(ROW(E$1:E956)*(E2=E$1:E956))))))</f>
        <v/>
      </c>
      <c r="K957" s="24" t="str">
        <f>IF(OR(E957="",E957="!!!",F957="NEW"),"",INDEX(J$1:J956,SUMPRODUCT(MAX(ROW(E$1:E956)*(E957=E$1:E956)))))</f>
        <v/>
      </c>
      <c r="L957" s="25"/>
    </row>
    <row r="958" spans="1:12" x14ac:dyDescent="0.3">
      <c r="A958" t="s">
        <v>271</v>
      </c>
      <c r="E958" s="20" t="str">
        <f t="shared" si="90"/>
        <v/>
      </c>
      <c r="F958" s="21" t="str">
        <f>IF(OR(E958="",E958="!!!"),"",IF(NOT(ISNA(VLOOKUP(E958,E$1:E957,1,FALSE()))),"OLD",IF(AND(E958&lt;&gt;"",E958&lt;&gt;"!!!"),"NEW","")))</f>
        <v/>
      </c>
      <c r="G958" s="22" t="str">
        <f>IF(OR(E958="",E958="!!!"),"",IF(OR(J958=0,AND(J958=1,K958=1),AND(J958=1,I958="SBJ"),AND(J958=1,I958=0)),"?IN_FOCUS",IF(J958&lt;=2,"?ACTIVATED",IF(J958&lt;&gt;"","?FAMILIAR",IF(F958="NEW",IF(ISNA(VLOOKUP(E958,#REF!,1,FALSE())),"?TYPE_IDENTIFIABLE","?REFERENTIAL"),"_")))))</f>
        <v/>
      </c>
      <c r="H958" s="23" t="str">
        <f t="shared" ca="1" si="91"/>
        <v/>
      </c>
      <c r="I958" s="24" t="str">
        <f>IF(OR(E958="",E958="!!!",F958="NEW"),"",INDEX(B$2:B957,-1+SUMPRODUCT(MAX(ROW(E$2:E957)*(E958=E$2:E957)))))</f>
        <v/>
      </c>
      <c r="J958" s="24" t="str">
        <f ca="1">IF(OR(E958="",E958="!!!",F958="NEW"),"",COUNTBLANK(OFFSET(A$1,,,SUMPRODUCT(MAX(ROW(E$2:E958)*(E958=E$2:E958)))))-COUNTBLANK(OFFSET(A$1,,,SUMPRODUCT(MAX(ROW(E$1:E957)*(E2=E$1:E957))))))</f>
        <v/>
      </c>
      <c r="K958" s="24" t="str">
        <f>IF(OR(E958="",E958="!!!",F958="NEW"),"",INDEX(J$1:J957,SUMPRODUCT(MAX(ROW(E$1:E957)*(E958=E$1:E957)))))</f>
        <v/>
      </c>
      <c r="L958" s="25"/>
    </row>
    <row r="959" spans="1:12" x14ac:dyDescent="0.3">
      <c r="A959" t="s">
        <v>293</v>
      </c>
      <c r="E959" s="20" t="str">
        <f t="shared" si="90"/>
        <v/>
      </c>
      <c r="F959" s="21" t="str">
        <f>IF(OR(E959="",E959="!!!"),"",IF(NOT(ISNA(VLOOKUP(E959,E$1:E958,1,FALSE()))),"OLD",IF(AND(E959&lt;&gt;"",E959&lt;&gt;"!!!"),"NEW","")))</f>
        <v/>
      </c>
      <c r="G959" s="22" t="str">
        <f>IF(OR(E959="",E959="!!!"),"",IF(OR(J959=0,AND(J959=1,K959=1),AND(J959=1,I959="SBJ"),AND(J959=1,I959=0)),"?IN_FOCUS",IF(J959&lt;=2,"?ACTIVATED",IF(J959&lt;&gt;"","?FAMILIAR",IF(F959="NEW",IF(ISNA(VLOOKUP(E959,#REF!,1,FALSE())),"?TYPE_IDENTIFIABLE","?REFERENTIAL"),"_")))))</f>
        <v/>
      </c>
      <c r="H959" s="23" t="str">
        <f t="shared" ca="1" si="91"/>
        <v/>
      </c>
      <c r="I959" s="24" t="str">
        <f>IF(OR(E959="",E959="!!!",F959="NEW"),"",INDEX(B$2:B958,-1+SUMPRODUCT(MAX(ROW(E$2:E958)*(E959=E$2:E958)))))</f>
        <v/>
      </c>
      <c r="J959" s="24" t="str">
        <f ca="1">IF(OR(E959="",E959="!!!",F959="NEW"),"",COUNTBLANK(OFFSET(A$1,,,SUMPRODUCT(MAX(ROW(E$2:E959)*(E959=E$2:E959)))))-COUNTBLANK(OFFSET(A$1,,,SUMPRODUCT(MAX(ROW(E$1:E958)*(E2=E$1:E958))))))</f>
        <v/>
      </c>
      <c r="K959" s="24" t="str">
        <f>IF(OR(E959="",E959="!!!",F959="NEW"),"",INDEX(J$1:J958,SUMPRODUCT(MAX(ROW(E$1:E958)*(E959=E$1:E958)))))</f>
        <v/>
      </c>
      <c r="L959" s="25"/>
    </row>
    <row r="960" spans="1:12" x14ac:dyDescent="0.3">
      <c r="A960" t="s">
        <v>280</v>
      </c>
      <c r="B960" s="26" t="s">
        <v>384</v>
      </c>
      <c r="C960" s="26" t="s">
        <v>310</v>
      </c>
      <c r="D960" s="26" t="s">
        <v>254</v>
      </c>
      <c r="E960" s="20" t="s">
        <v>673</v>
      </c>
      <c r="F960" s="21" t="str">
        <f>IF(OR(E960="",E960="!!!"),"",IF(NOT(ISNA(VLOOKUP(E960,E$1:E959,1,FALSE()))),"OLD",IF(AND(E960&lt;&gt;"",E960&lt;&gt;"!!!"),"NEW","")))</f>
        <v>OLD</v>
      </c>
      <c r="G960" s="22" t="s">
        <v>713</v>
      </c>
      <c r="H960" s="23" t="str">
        <f t="shared" ca="1" si="91"/>
        <v/>
      </c>
      <c r="I960" s="24" t="str">
        <f>IF(OR(E960="",E960="!!!",F960="NEW"),"",INDEX(B$2:B959,-1+SUMPRODUCT(MAX(ROW(E$2:E959)*(E960=E$2:E959)))))</f>
        <v>other_4</v>
      </c>
      <c r="J960" s="24">
        <f ca="1">IF(OR(E960="",E960="!!!",F960="NEW"),"",COUNTBLANK(OFFSET(A$1,,,SUMPRODUCT(MAX(ROW(E$2:E960)*(E960=E$2:E960)))))-COUNTBLANK(OFFSET(A$1,,,SUMPRODUCT(MAX(ROW(E$1:E959)*(E2=E$1:E959))))))</f>
        <v>0</v>
      </c>
      <c r="K960" s="24">
        <f ca="1">IF(OR(E960="",E960="!!!",F960="NEW"),"",INDEX(J$1:J959,SUMPRODUCT(MAX(ROW(E$1:E959)*(E960=E$1:E959)))))</f>
        <v>0</v>
      </c>
      <c r="L960" s="25"/>
    </row>
    <row r="961" spans="1:12" x14ac:dyDescent="0.3">
      <c r="A961" t="s">
        <v>271</v>
      </c>
      <c r="E961" s="20" t="str">
        <f t="shared" si="90"/>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t="shared" ca="1" si="91"/>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3">
      <c r="A962" t="s">
        <v>366</v>
      </c>
      <c r="B962" s="26" t="s">
        <v>422</v>
      </c>
      <c r="C962" s="26" t="s">
        <v>273</v>
      </c>
      <c r="D962" s="26" t="s">
        <v>254</v>
      </c>
      <c r="E962" s="20" t="s">
        <v>745</v>
      </c>
      <c r="F962" s="21" t="str">
        <f>IF(OR(E962="",E962="!!!"),"",IF(NOT(ISNA(VLOOKUP(E962,E$1:E961,1,FALSE()))),"OLD",IF(AND(E962&lt;&gt;"",E962&lt;&gt;"!!!"),"NEW","")))</f>
        <v>NEW</v>
      </c>
      <c r="G962" s="22" t="s">
        <v>713</v>
      </c>
      <c r="H962" s="23" t="str">
        <f t="shared" ca="1" si="91"/>
        <v/>
      </c>
      <c r="I962" s="24" t="str">
        <f>IF(OR(E962="",E962="!!!",F962="NEW"),"",INDEX(B$2:B961,-1+SUMPRODUCT(MAX(ROW(E$2:E961)*(E962=E$2:E961)))))</f>
        <v/>
      </c>
      <c r="J962" s="24" t="str">
        <f ca="1">IF(OR(E962="",E962="!!!",F962="NEW"),"",COUNTBLANK(OFFSET(A$1,,,SUMPRODUCT(MAX(ROW(E$2:E962)*(E962=E$2:E962)))))-COUNTBLANK(OFFSET(A$1,,,SUMPRODUCT(MAX(ROW(E$1:E961)*(E2=E$1:E961))))))</f>
        <v/>
      </c>
      <c r="K962" s="24" t="str">
        <f>IF(OR(E962="",E962="!!!",F962="NEW"),"",INDEX(J$1:J961,SUMPRODUCT(MAX(ROW(E$1:E961)*(E962=E$1:E961)))))</f>
        <v/>
      </c>
      <c r="L962" s="25"/>
    </row>
    <row r="963" spans="1:12" x14ac:dyDescent="0.3">
      <c r="A963" t="s">
        <v>265</v>
      </c>
      <c r="E963" s="20" t="str">
        <f t="shared" si="90"/>
        <v/>
      </c>
      <c r="F963" s="21" t="str">
        <f>IF(OR(E963="",E963="!!!"),"",IF(NOT(ISNA(VLOOKUP(E963,E$1:E962,1,FALSE()))),"OLD",IF(AND(E963&lt;&gt;"",E963&lt;&gt;"!!!"),"NEW","")))</f>
        <v/>
      </c>
      <c r="G963" s="22" t="str">
        <f>IF(OR(E963="",E963="!!!"),"",IF(OR(J963=0,AND(J963=1,K963=1),AND(J963=1,I963="SBJ"),AND(J963=1,I963=0)),"?IN_FOCUS",IF(J963&lt;=2,"?ACTIVATED",IF(J963&lt;&gt;"","?FAMILIAR",IF(F963="NEW",IF(ISNA(VLOOKUP(E963,#REF!,1,FALSE())),"?TYPE_IDENTIFIABLE","?REFERENTIAL"),"_")))))</f>
        <v/>
      </c>
      <c r="H963" s="23" t="str">
        <f t="shared" ca="1" si="91"/>
        <v/>
      </c>
      <c r="I963" s="24" t="str">
        <f>IF(OR(E963="",E963="!!!",F963="NEW"),"",INDEX(B$2:B962,-1+SUMPRODUCT(MAX(ROW(E$2:E962)*(E963=E$2:E962)))))</f>
        <v/>
      </c>
      <c r="J963" s="24" t="str">
        <f ca="1">IF(OR(E963="",E963="!!!",F963="NEW"),"",COUNTBLANK(OFFSET(A$1,,,SUMPRODUCT(MAX(ROW(E$2:E963)*(E963=E$2:E963)))))-COUNTBLANK(OFFSET(A$1,,,SUMPRODUCT(MAX(ROW(E$1:E962)*(E2=E$1:E962))))))</f>
        <v/>
      </c>
      <c r="K963" s="24" t="str">
        <f>IF(OR(E963="",E963="!!!",F963="NEW"),"",INDEX(J$1:J962,SUMPRODUCT(MAX(ROW(E$1:E962)*(E963=E$1:E962)))))</f>
        <v/>
      </c>
      <c r="L963" s="25"/>
    </row>
    <row r="965" spans="1:12" x14ac:dyDescent="0.3">
      <c r="A965" t="s">
        <v>411</v>
      </c>
      <c r="E965" s="20" t="str">
        <f>IF(D965="?OLD","!!!","")</f>
        <v/>
      </c>
      <c r="F965" s="21" t="str">
        <f>IF(OR(E965="",E965="!!!"),"",IF(NOT(ISNA(VLOOKUP(E965,E$1:E964,1,FALSE()))),"OLD",IF(AND(E965&lt;&gt;"",E965&lt;&gt;"!!!"),"NEW","")))</f>
        <v/>
      </c>
      <c r="G965" s="22" t="str">
        <f>IF(OR(E965="",E965="!!!"),"",IF(OR(J965=0,AND(J965=1,K965=1),AND(J965=1,I965="SBJ"),AND(J965=1,I965=0)),"?IN_FOCUS",IF(J965&lt;=2,"?ACTIVATED",IF(J965&lt;&gt;"","?FAMILIAR",IF(F965="NEW",IF(ISNA(VLOOKUP(E965,#REF!,1,FALSE())),"?TYPE_IDENTIFIABLE","?REFERENTIAL"),"_")))))</f>
        <v/>
      </c>
      <c r="H965" s="23" t="str">
        <f ca="1">IF(J965&lt;&gt;1,"",IF(I965="SBJ","CB","?"))</f>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3">
      <c r="A966" t="s">
        <v>644</v>
      </c>
    </row>
    <row r="967" spans="1:12" x14ac:dyDescent="0.3">
      <c r="A967" t="s">
        <v>231</v>
      </c>
      <c r="E967" s="20" t="str">
        <f t="shared" ref="E967:E988" si="92">IF(D967="?OLD","!!!","")</f>
        <v/>
      </c>
      <c r="F967" s="21" t="str">
        <f>IF(OR(E967="",E967="!!!"),"",IF(NOT(ISNA(VLOOKUP(E967,E$1:E966,1,FALSE()))),"OLD",IF(AND(E967&lt;&gt;"",E967&lt;&gt;"!!!"),"NEW","")))</f>
        <v/>
      </c>
      <c r="G967" s="22" t="str">
        <f>IF(OR(E967="",E967="!!!"),"",IF(OR(J967=0,AND(J967=1,K967=1),AND(J967=1,I967="SBJ"),AND(J967=1,I967=0)),"?IN_FOCUS",IF(J967&lt;=2,"?ACTIVATED",IF(J967&lt;&gt;"","?FAMILIAR",IF(F967="NEW",IF(ISNA(VLOOKUP(E967,#REF!,1,FALSE())),"?TYPE_IDENTIFIABLE","?REFERENTIAL"),"_")))))</f>
        <v/>
      </c>
      <c r="H967" s="23" t="str">
        <f t="shared" ref="H967:H988" ca="1" si="93">IF(J967&lt;&gt;1,"",IF(I967="SBJ","CB","?"))</f>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row>
    <row r="968" spans="1:12" x14ac:dyDescent="0.3">
      <c r="A968" t="s">
        <v>645</v>
      </c>
      <c r="E968" s="20" t="str">
        <f t="shared" si="92"/>
        <v/>
      </c>
      <c r="F968" s="21" t="str">
        <f>IF(OR(E968="",E968="!!!"),"",IF(NOT(ISNA(VLOOKUP(E968,E$1:E967,1,FALSE()))),"OLD",IF(AND(E968&lt;&gt;"",E968&lt;&gt;"!!!"),"NEW","")))</f>
        <v/>
      </c>
      <c r="G968" s="22" t="str">
        <f>IF(OR(E968="",E968="!!!"),"",IF(OR(J968=0,AND(J968=1,K968=1),AND(J968=1,I968="SBJ"),AND(J968=1,I968=0)),"?IN_FOCUS",IF(J968&lt;=2,"?ACTIVATED",IF(J968&lt;&gt;"","?FAMILIAR",IF(F968="NEW",IF(ISNA(VLOOKUP(E968,#REF!,1,FALSE())),"?TYPE_IDENTIFIABLE","?REFERENTIAL"),"_")))))</f>
        <v/>
      </c>
      <c r="H968" s="23" t="str">
        <f t="shared" ca="1" si="93"/>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3">
      <c r="A969" t="s">
        <v>646</v>
      </c>
      <c r="B969" s="26" t="s">
        <v>257</v>
      </c>
      <c r="C969" s="26" t="s">
        <v>229</v>
      </c>
      <c r="E969" s="20" t="str">
        <f t="shared" si="92"/>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t="shared" ca="1" si="93"/>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0" spans="1:12" x14ac:dyDescent="0.3">
      <c r="A970" t="s">
        <v>236</v>
      </c>
      <c r="E970" s="20" t="str">
        <f t="shared" si="92"/>
        <v/>
      </c>
      <c r="F970" s="21" t="str">
        <f>IF(OR(E970="",E970="!!!"),"",IF(NOT(ISNA(VLOOKUP(E970,E$1:E969,1,FALSE()))),"OLD",IF(AND(E970&lt;&gt;"",E970&lt;&gt;"!!!"),"NEW","")))</f>
        <v/>
      </c>
      <c r="G970" s="22" t="str">
        <f>IF(OR(E970="",E970="!!!"),"",IF(OR(J970=0,AND(J970=1,K970=1),AND(J970=1,I970="SBJ"),AND(J970=1,I970=0)),"?IN_FOCUS",IF(J970&lt;=2,"?ACTIVATED",IF(J970&lt;&gt;"","?FAMILIAR",IF(F970="NEW",IF(ISNA(VLOOKUP(E970,#REF!,1,FALSE())),"?TYPE_IDENTIFIABLE","?REFERENTIAL"),"_")))))</f>
        <v/>
      </c>
      <c r="H970" s="23" t="str">
        <f t="shared" ca="1" si="93"/>
        <v/>
      </c>
      <c r="I970" s="24" t="str">
        <f>IF(OR(E970="",E970="!!!",F970="NEW"),"",INDEX(B$2:B969,-1+SUMPRODUCT(MAX(ROW(E$2:E969)*(E970=E$2:E969)))))</f>
        <v/>
      </c>
      <c r="J970" s="24" t="str">
        <f ca="1">IF(OR(E970="",E970="!!!",F970="NEW"),"",COUNTBLANK(OFFSET(A$1,,,SUMPRODUCT(MAX(ROW(E$2:E970)*(E970=E$2:E970)))))-COUNTBLANK(OFFSET(A$1,,,SUMPRODUCT(MAX(ROW(E$1:E969)*(E2=E$1:E969))))))</f>
        <v/>
      </c>
      <c r="K970" s="24" t="str">
        <f>IF(OR(E970="",E970="!!!",F970="NEW"),"",INDEX(J$1:J969,SUMPRODUCT(MAX(ROW(E$1:E969)*(E970=E$1:E969)))))</f>
        <v/>
      </c>
      <c r="L970" s="25"/>
    </row>
    <row r="971" spans="1:12" x14ac:dyDescent="0.3">
      <c r="A971" t="s">
        <v>647</v>
      </c>
      <c r="E971" s="20" t="str">
        <f t="shared" si="92"/>
        <v/>
      </c>
      <c r="F971" s="21" t="str">
        <f>IF(OR(E971="",E971="!!!"),"",IF(NOT(ISNA(VLOOKUP(E971,E$1:E970,1,FALSE()))),"OLD",IF(AND(E971&lt;&gt;"",E971&lt;&gt;"!!!"),"NEW","")))</f>
        <v/>
      </c>
      <c r="G971" s="22" t="str">
        <f>IF(OR(E971="",E971="!!!"),"",IF(OR(J971=0,AND(J971=1,K971=1),AND(J971=1,I971="SBJ"),AND(J971=1,I971=0)),"?IN_FOCUS",IF(J971&lt;=2,"?ACTIVATED",IF(J971&lt;&gt;"","?FAMILIAR",IF(F971="NEW",IF(ISNA(VLOOKUP(E971,#REF!,1,FALSE())),"?TYPE_IDENTIFIABLE","?REFERENTIAL"),"_")))))</f>
        <v/>
      </c>
      <c r="H971" s="23" t="str">
        <f t="shared" ca="1" si="93"/>
        <v/>
      </c>
      <c r="I971" s="24" t="str">
        <f>IF(OR(E971="",E971="!!!",F971="NEW"),"",INDEX(B$2:B970,-1+SUMPRODUCT(MAX(ROW(E$2:E970)*(E971=E$2:E970)))))</f>
        <v/>
      </c>
      <c r="J971" s="24" t="str">
        <f ca="1">IF(OR(E971="",E971="!!!",F971="NEW"),"",COUNTBLANK(OFFSET(A$1,,,SUMPRODUCT(MAX(ROW(E$2:E971)*(E971=E$2:E971)))))-COUNTBLANK(OFFSET(A$1,,,SUMPRODUCT(MAX(ROW(E$1:E970)*(E2=E$1:E970))))))</f>
        <v/>
      </c>
      <c r="K971" s="24" t="str">
        <f>IF(OR(E971="",E971="!!!",F971="NEW"),"",INDEX(J$1:J970,SUMPRODUCT(MAX(ROW(E$1:E970)*(E971=E$1:E970)))))</f>
        <v/>
      </c>
      <c r="L971" s="25"/>
    </row>
    <row r="972" spans="1:12" x14ac:dyDescent="0.3">
      <c r="A972" t="s">
        <v>308</v>
      </c>
      <c r="E972" s="20" t="str">
        <f t="shared" si="92"/>
        <v/>
      </c>
      <c r="F972" s="21" t="str">
        <f>IF(OR(E972="",E972="!!!"),"",IF(NOT(ISNA(VLOOKUP(E972,E$1:E971,1,FALSE()))),"OLD",IF(AND(E972&lt;&gt;"",E972&lt;&gt;"!!!"),"NEW","")))</f>
        <v/>
      </c>
      <c r="G972" s="22" t="str">
        <f>IF(OR(E972="",E972="!!!"),"",IF(OR(J972=0,AND(J972=1,K972=1),AND(J972=1,I972="SBJ"),AND(J972=1,I972=0)),"?IN_FOCUS",IF(J972&lt;=2,"?ACTIVATED",IF(J972&lt;&gt;"","?FAMILIAR",IF(F972="NEW",IF(ISNA(VLOOKUP(E972,#REF!,1,FALSE())),"?TYPE_IDENTIFIABLE","?REFERENTIAL"),"_")))))</f>
        <v/>
      </c>
      <c r="H972" s="23" t="str">
        <f t="shared" ca="1" si="93"/>
        <v/>
      </c>
      <c r="I972" s="24" t="str">
        <f>IF(OR(E972="",E972="!!!",F972="NEW"),"",INDEX(B$2:B971,-1+SUMPRODUCT(MAX(ROW(E$2:E971)*(E972=E$2:E971)))))</f>
        <v/>
      </c>
      <c r="J972" s="24" t="str">
        <f ca="1">IF(OR(E972="",E972="!!!",F972="NEW"),"",COUNTBLANK(OFFSET(A$1,,,SUMPRODUCT(MAX(ROW(E$2:E972)*(E972=E$2:E972)))))-COUNTBLANK(OFFSET(A$1,,,SUMPRODUCT(MAX(ROW(E$1:E971)*(E2=E$1:E971))))))</f>
        <v/>
      </c>
      <c r="K972" s="24" t="str">
        <f>IF(OR(E972="",E972="!!!",F972="NEW"),"",INDEX(J$1:J971,SUMPRODUCT(MAX(ROW(E$1:E971)*(E972=E$1:E971)))))</f>
        <v/>
      </c>
      <c r="L972" s="25"/>
    </row>
    <row r="973" spans="1:12" x14ac:dyDescent="0.3">
      <c r="A973" t="s">
        <v>417</v>
      </c>
      <c r="E973" s="20" t="str">
        <f t="shared" si="92"/>
        <v/>
      </c>
      <c r="F973" s="21" t="str">
        <f>IF(OR(E973="",E973="!!!"),"",IF(NOT(ISNA(VLOOKUP(E973,E$1:E972,1,FALSE()))),"OLD",IF(AND(E973&lt;&gt;"",E973&lt;&gt;"!!!"),"NEW","")))</f>
        <v/>
      </c>
      <c r="G973" s="22" t="str">
        <f>IF(OR(E973="",E973="!!!"),"",IF(OR(J973=0,AND(J973=1,K973=1),AND(J973=1,I973="SBJ"),AND(J973=1,I973=0)),"?IN_FOCUS",IF(J973&lt;=2,"?ACTIVATED",IF(J973&lt;&gt;"","?FAMILIAR",IF(F973="NEW",IF(ISNA(VLOOKUP(E973,#REF!,1,FALSE())),"?TYPE_IDENTIFIABLE","?REFERENTIAL"),"_")))))</f>
        <v/>
      </c>
      <c r="H973" s="23" t="str">
        <f t="shared" ca="1" si="93"/>
        <v/>
      </c>
      <c r="I973" s="24" t="str">
        <f>IF(OR(E973="",E973="!!!",F973="NEW"),"",INDEX(B$2:B972,-1+SUMPRODUCT(MAX(ROW(E$2:E972)*(E973=E$2:E972)))))</f>
        <v/>
      </c>
      <c r="J973" s="24" t="str">
        <f ca="1">IF(OR(E973="",E973="!!!",F973="NEW"),"",COUNTBLANK(OFFSET(A$1,,,SUMPRODUCT(MAX(ROW(E$2:E973)*(E973=E$2:E973)))))-COUNTBLANK(OFFSET(A$1,,,SUMPRODUCT(MAX(ROW(E$1:E972)*(E2=E$1:E972))))))</f>
        <v/>
      </c>
      <c r="K973" s="24" t="str">
        <f>IF(OR(E973="",E973="!!!",F973="NEW"),"",INDEX(J$1:J972,SUMPRODUCT(MAX(ROW(E$1:E972)*(E973=E$1:E972)))))</f>
        <v/>
      </c>
      <c r="L973" s="25"/>
    </row>
    <row r="974" spans="1:12" x14ac:dyDescent="0.3">
      <c r="A974" t="s">
        <v>648</v>
      </c>
      <c r="B974" s="26" t="s">
        <v>357</v>
      </c>
      <c r="C974" s="26" t="s">
        <v>269</v>
      </c>
      <c r="D974" s="26" t="s">
        <v>254</v>
      </c>
      <c r="E974" s="20" t="s">
        <v>715</v>
      </c>
      <c r="F974" s="21" t="str">
        <f>IF(OR(E974="",E974="!!!"),"",IF(NOT(ISNA(VLOOKUP(E974,E$1:E973,1,FALSE()))),"OLD",IF(AND(E974&lt;&gt;"",E974&lt;&gt;"!!!"),"NEW","")))</f>
        <v>OLD</v>
      </c>
      <c r="G974" s="22" t="s">
        <v>713</v>
      </c>
      <c r="H974" s="23" t="str">
        <f t="shared" ca="1" si="93"/>
        <v/>
      </c>
      <c r="I974" s="24" t="str">
        <f>IF(OR(E974="",E974="!!!",F974="NEW"),"",INDEX(B$2:B973,-1+SUMPRODUCT(MAX(ROW(E$2:E973)*(E974=E$2:E973)))))</f>
        <v>SBJ</v>
      </c>
      <c r="J974" s="24">
        <f ca="1">IF(OR(E974="",E974="!!!",F974="NEW"),"",COUNTBLANK(OFFSET(A$1,,,SUMPRODUCT(MAX(ROW(E$2:E974)*(E974=E$2:E974)))))-COUNTBLANK(OFFSET(A$1,,,SUMPRODUCT(MAX(ROW(E$1:E973)*(E2=E$1:E973))))))</f>
        <v>0</v>
      </c>
      <c r="K974" s="24">
        <f ca="1">IF(OR(E974="",E974="!!!",F974="NEW"),"",INDEX(J$1:J973,SUMPRODUCT(MAX(ROW(E$1:E973)*(E974=E$1:E973)))))</f>
        <v>0</v>
      </c>
      <c r="L974" s="25"/>
    </row>
    <row r="975" spans="1:12" x14ac:dyDescent="0.3">
      <c r="A975" t="s">
        <v>649</v>
      </c>
      <c r="E975" s="20" t="str">
        <f>IF(D975="?OLD","!!!","")</f>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t="shared" ca="1" si="93"/>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6" spans="1:12" x14ac:dyDescent="0.3">
      <c r="A976" t="s">
        <v>256</v>
      </c>
      <c r="E976" s="20" t="str">
        <f t="shared" si="92"/>
        <v/>
      </c>
      <c r="F976" s="21" t="str">
        <f>IF(OR(E976="",E976="!!!"),"",IF(NOT(ISNA(VLOOKUP(E976,E$1:E975,1,FALSE()))),"OLD",IF(AND(E976&lt;&gt;"",E976&lt;&gt;"!!!"),"NEW","")))</f>
        <v/>
      </c>
      <c r="G976" s="22" t="str">
        <f>IF(OR(E976="",E976="!!!"),"",IF(OR(J976=0,AND(J976=1,K976=1),AND(J976=1,I976="SBJ"),AND(J976=1,I976=0)),"?IN_FOCUS",IF(J976&lt;=2,"?ACTIVATED",IF(J976&lt;&gt;"","?FAMILIAR",IF(F976="NEW",IF(ISNA(VLOOKUP(E976,#REF!,1,FALSE())),"?TYPE_IDENTIFIABLE","?REFERENTIAL"),"_")))))</f>
        <v/>
      </c>
      <c r="H976" s="23" t="str">
        <f t="shared" ca="1" si="93"/>
        <v/>
      </c>
      <c r="I976" s="24" t="str">
        <f>IF(OR(E976="",E976="!!!",F976="NEW"),"",INDEX(B$2:B975,-1+SUMPRODUCT(MAX(ROW(E$2:E975)*(E976=E$2:E975)))))</f>
        <v/>
      </c>
      <c r="J976" s="24" t="str">
        <f ca="1">IF(OR(E976="",E976="!!!",F976="NEW"),"",COUNTBLANK(OFFSET(A$1,,,SUMPRODUCT(MAX(ROW(E$2:E976)*(E976=E$2:E976)))))-COUNTBLANK(OFFSET(A$1,,,SUMPRODUCT(MAX(ROW(E$1:E975)*(E2=E$1:E975))))))</f>
        <v/>
      </c>
      <c r="K976" s="24" t="str">
        <f>IF(OR(E976="",E976="!!!",F976="NEW"),"",INDEX(J$1:J975,SUMPRODUCT(MAX(ROW(E$1:E975)*(E976=E$1:E975)))))</f>
        <v/>
      </c>
      <c r="L976" s="25"/>
    </row>
    <row r="977" spans="1:12" x14ac:dyDescent="0.3">
      <c r="A977" t="s">
        <v>648</v>
      </c>
      <c r="B977" s="26" t="s">
        <v>234</v>
      </c>
      <c r="C977" s="26" t="s">
        <v>269</v>
      </c>
      <c r="D977" s="26" t="s">
        <v>254</v>
      </c>
      <c r="E977" s="20" t="s">
        <v>715</v>
      </c>
      <c r="F977" s="21" t="str">
        <f>IF(OR(E977="",E977="!!!"),"",IF(NOT(ISNA(VLOOKUP(E977,E$1:E976,1,FALSE()))),"OLD",IF(AND(E977&lt;&gt;"",E977&lt;&gt;"!!!"),"NEW","")))</f>
        <v>OLD</v>
      </c>
      <c r="G977" s="22" t="s">
        <v>713</v>
      </c>
      <c r="H977" s="23" t="str">
        <f t="shared" ca="1" si="93"/>
        <v/>
      </c>
      <c r="I977" s="24" t="str">
        <f>IF(OR(E977="",E977="!!!",F977="NEW"),"",INDEX(B$2:B976,-1+SUMPRODUCT(MAX(ROW(E$2:E976)*(E977=E$2:E976)))))</f>
        <v>SBJ_4</v>
      </c>
      <c r="J977" s="24">
        <f ca="1">IF(OR(E977="",E977="!!!",F977="NEW"),"",COUNTBLANK(OFFSET(A$1,,,SUMPRODUCT(MAX(ROW(E$2:E977)*(E977=E$2:E977)))))-COUNTBLANK(OFFSET(A$1,,,SUMPRODUCT(MAX(ROW(E$1:E976)*(E2=E$1:E976))))))</f>
        <v>0</v>
      </c>
      <c r="K977" s="24">
        <f ca="1">IF(OR(E977="",E977="!!!",F977="NEW"),"",INDEX(J$1:J976,SUMPRODUCT(MAX(ROW(E$1:E976)*(E977=E$1:E976)))))</f>
        <v>0</v>
      </c>
      <c r="L977" s="25"/>
    </row>
    <row r="978" spans="1:12" x14ac:dyDescent="0.3">
      <c r="A978" t="s">
        <v>34</v>
      </c>
      <c r="E978" s="20" t="str">
        <f t="shared" si="92"/>
        <v/>
      </c>
      <c r="F978" s="21" t="str">
        <f>IF(OR(E978="",E978="!!!"),"",IF(NOT(ISNA(VLOOKUP(E978,E$1:E977,1,FALSE()))),"OLD",IF(AND(E978&lt;&gt;"",E978&lt;&gt;"!!!"),"NEW","")))</f>
        <v/>
      </c>
      <c r="G978" s="22" t="str">
        <f>IF(OR(E978="",E978="!!!"),"",IF(OR(J978=0,AND(J978=1,K978=1),AND(J978=1,I978="SBJ"),AND(J978=1,I978=0)),"?IN_FOCUS",IF(J978&lt;=2,"?ACTIVATED",IF(J978&lt;&gt;"","?FAMILIAR",IF(F978="NEW",IF(ISNA(VLOOKUP(E978,#REF!,1,FALSE())),"?TYPE_IDENTIFIABLE","?REFERENTIAL"),"_")))))</f>
        <v/>
      </c>
      <c r="H978" s="23" t="str">
        <f t="shared" ca="1" si="93"/>
        <v/>
      </c>
      <c r="I978" s="24" t="str">
        <f>IF(OR(E978="",E978="!!!",F978="NEW"),"",INDEX(B$2:B977,-1+SUMPRODUCT(MAX(ROW(E$2:E977)*(E978=E$2:E977)))))</f>
        <v/>
      </c>
      <c r="J978" s="24" t="str">
        <f ca="1">IF(OR(E978="",E978="!!!",F978="NEW"),"",COUNTBLANK(OFFSET(A$1,,,SUMPRODUCT(MAX(ROW(E$2:E978)*(E978=E$2:E978)))))-COUNTBLANK(OFFSET(A$1,,,SUMPRODUCT(MAX(ROW(E$1:E977)*(E2=E$1:E977))))))</f>
        <v/>
      </c>
      <c r="K978" s="24" t="str">
        <f>IF(OR(E978="",E978="!!!",F978="NEW"),"",INDEX(J$1:J977,SUMPRODUCT(MAX(ROW(E$1:E977)*(E978=E$1:E977)))))</f>
        <v/>
      </c>
      <c r="L978" s="25"/>
    </row>
    <row r="979" spans="1:12" x14ac:dyDescent="0.3">
      <c r="A979" t="s">
        <v>650</v>
      </c>
      <c r="E979" s="20" t="str">
        <f t="shared" si="92"/>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t="shared" ca="1" si="93"/>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3">
      <c r="A980" t="s">
        <v>246</v>
      </c>
      <c r="E980" s="20" t="str">
        <f t="shared" si="92"/>
        <v/>
      </c>
      <c r="F980" s="21" t="str">
        <f>IF(OR(E980="",E980="!!!"),"",IF(NOT(ISNA(VLOOKUP(E980,E$1:E979,1,FALSE()))),"OLD",IF(AND(E980&lt;&gt;"",E980&lt;&gt;"!!!"),"NEW","")))</f>
        <v/>
      </c>
      <c r="G980" s="22" t="str">
        <f>IF(OR(E980="",E980="!!!"),"",IF(OR(J980=0,AND(J980=1,K980=1),AND(J980=1,I980="SBJ"),AND(J980=1,I980=0)),"?IN_FOCUS",IF(J980&lt;=2,"?ACTIVATED",IF(J980&lt;&gt;"","?FAMILIAR",IF(F980="NEW",IF(ISNA(VLOOKUP(E980,#REF!,1,FALSE())),"?TYPE_IDENTIFIABLE","?REFERENTIAL"),"_")))))</f>
        <v/>
      </c>
      <c r="H980" s="23" t="str">
        <f t="shared" ca="1" si="93"/>
        <v/>
      </c>
      <c r="I980" s="24" t="str">
        <f>IF(OR(E980="",E980="!!!",F980="NEW"),"",INDEX(B$2:B979,-1+SUMPRODUCT(MAX(ROW(E$2:E979)*(E980=E$2:E979)))))</f>
        <v/>
      </c>
      <c r="J980" s="24" t="str">
        <f ca="1">IF(OR(E980="",E980="!!!",F980="NEW"),"",COUNTBLANK(OFFSET(A$1,,,SUMPRODUCT(MAX(ROW(E$2:E980)*(E980=E$2:E980)))))-COUNTBLANK(OFFSET(A$1,,,SUMPRODUCT(MAX(ROW(E$1:E979)*(E2=E$1:E979))))))</f>
        <v/>
      </c>
      <c r="K980" s="24" t="str">
        <f>IF(OR(E980="",E980="!!!",F980="NEW"),"",INDEX(J$1:J979,SUMPRODUCT(MAX(ROW(E$1:E979)*(E980=E$1:E979)))))</f>
        <v/>
      </c>
      <c r="L980" s="25"/>
    </row>
    <row r="981" spans="1:12" x14ac:dyDescent="0.3">
      <c r="A981" t="s">
        <v>651</v>
      </c>
      <c r="E981" s="20" t="str">
        <f t="shared" si="92"/>
        <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t="shared" ca="1" si="93"/>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3">
      <c r="A982" t="s">
        <v>652</v>
      </c>
      <c r="E982" s="20" t="str">
        <f t="shared" si="92"/>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t="shared" ca="1" si="93"/>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3" spans="1:12" x14ac:dyDescent="0.3">
      <c r="A983" t="s">
        <v>653</v>
      </c>
      <c r="B983" s="26" t="s">
        <v>248</v>
      </c>
      <c r="C983" s="26" t="s">
        <v>249</v>
      </c>
      <c r="E983" s="20" t="str">
        <f t="shared" si="92"/>
        <v/>
      </c>
      <c r="F983" s="21" t="str">
        <f>IF(OR(E983="",E983="!!!"),"",IF(NOT(ISNA(VLOOKUP(E983,E$1:E982,1,FALSE()))),"OLD",IF(AND(E983&lt;&gt;"",E983&lt;&gt;"!!!"),"NEW","")))</f>
        <v/>
      </c>
      <c r="G983" s="22" t="str">
        <f>IF(OR(E983="",E983="!!!"),"",IF(OR(J983=0,AND(J983=1,K983=1),AND(J983=1,I983="SBJ"),AND(J983=1,I983=0)),"?IN_FOCUS",IF(J983&lt;=2,"?ACTIVATED",IF(J983&lt;&gt;"","?FAMILIAR",IF(F983="NEW",IF(ISNA(VLOOKUP(E983,#REF!,1,FALSE())),"?TYPE_IDENTIFIABLE","?REFERENTIAL"),"_")))))</f>
        <v/>
      </c>
      <c r="H983" s="23" t="str">
        <f t="shared" ca="1" si="93"/>
        <v/>
      </c>
      <c r="I983" s="24" t="str">
        <f>IF(OR(E983="",E983="!!!",F983="NEW"),"",INDEX(B$2:B982,-1+SUMPRODUCT(MAX(ROW(E$2:E982)*(E983=E$2:E982)))))</f>
        <v/>
      </c>
      <c r="J983" s="24" t="str">
        <f ca="1">IF(OR(E983="",E983="!!!",F983="NEW"),"",COUNTBLANK(OFFSET(A$1,,,SUMPRODUCT(MAX(ROW(E$2:E983)*(E983=E$2:E983)))))-COUNTBLANK(OFFSET(A$1,,,SUMPRODUCT(MAX(ROW(E$1:E982)*(E2=E$1:E982))))))</f>
        <v/>
      </c>
      <c r="K983" s="24" t="str">
        <f>IF(OR(E983="",E983="!!!",F983="NEW"),"",INDEX(J$1:J982,SUMPRODUCT(MAX(ROW(E$1:E982)*(E983=E$1:E982)))))</f>
        <v/>
      </c>
      <c r="L983" s="25"/>
    </row>
    <row r="984" spans="1:12" x14ac:dyDescent="0.3">
      <c r="A984" t="s">
        <v>256</v>
      </c>
      <c r="E984" s="20" t="str">
        <f t="shared" si="92"/>
        <v/>
      </c>
      <c r="F984" s="21" t="str">
        <f>IF(OR(E984="",E984="!!!"),"",IF(NOT(ISNA(VLOOKUP(E984,E$1:E983,1,FALSE()))),"OLD",IF(AND(E984&lt;&gt;"",E984&lt;&gt;"!!!"),"NEW","")))</f>
        <v/>
      </c>
      <c r="G984" s="22" t="str">
        <f>IF(OR(E984="",E984="!!!"),"",IF(OR(J984=0,AND(J984=1,K984=1),AND(J984=1,I984="SBJ"),AND(J984=1,I984=0)),"?IN_FOCUS",IF(J984&lt;=2,"?ACTIVATED",IF(J984&lt;&gt;"","?FAMILIAR",IF(F984="NEW",IF(ISNA(VLOOKUP(E984,#REF!,1,FALSE())),"?TYPE_IDENTIFIABLE","?REFERENTIAL"),"_")))))</f>
        <v/>
      </c>
      <c r="H984" s="23" t="str">
        <f t="shared" ca="1" si="93"/>
        <v/>
      </c>
      <c r="I984" s="24" t="str">
        <f>IF(OR(E984="",E984="!!!",F984="NEW"),"",INDEX(B$2:B983,-1+SUMPRODUCT(MAX(ROW(E$2:E983)*(E984=E$2:E983)))))</f>
        <v/>
      </c>
      <c r="J984" s="24" t="str">
        <f ca="1">IF(OR(E984="",E984="!!!",F984="NEW"),"",COUNTBLANK(OFFSET(A$1,,,SUMPRODUCT(MAX(ROW(E$2:E984)*(E984=E$2:E984)))))-COUNTBLANK(OFFSET(A$1,,,SUMPRODUCT(MAX(ROW(E$1:E983)*(E2=E$1:E983))))))</f>
        <v/>
      </c>
      <c r="K984" s="24" t="str">
        <f>IF(OR(E984="",E984="!!!",F984="NEW"),"",INDEX(J$1:J983,SUMPRODUCT(MAX(ROW(E$1:E983)*(E984=E$1:E983)))))</f>
        <v/>
      </c>
      <c r="L984" s="25"/>
    </row>
    <row r="985" spans="1:12" x14ac:dyDescent="0.3">
      <c r="A985" t="s">
        <v>231</v>
      </c>
      <c r="E985" s="20" t="str">
        <f t="shared" si="92"/>
        <v/>
      </c>
      <c r="F985" s="21" t="str">
        <f>IF(OR(E985="",E985="!!!"),"",IF(NOT(ISNA(VLOOKUP(E985,E$1:E984,1,FALSE()))),"OLD",IF(AND(E985&lt;&gt;"",E985&lt;&gt;"!!!"),"NEW","")))</f>
        <v/>
      </c>
      <c r="G985" s="22" t="str">
        <f>IF(OR(E985="",E985="!!!"),"",IF(OR(J985=0,AND(J985=1,K985=1),AND(J985=1,I985="SBJ"),AND(J985=1,I985=0)),"?IN_FOCUS",IF(J985&lt;=2,"?ACTIVATED",IF(J985&lt;&gt;"","?FAMILIAR",IF(F985="NEW",IF(ISNA(VLOOKUP(E985,#REF!,1,FALSE())),"?TYPE_IDENTIFIABLE","?REFERENTIAL"),"_")))))</f>
        <v/>
      </c>
      <c r="H985" s="23" t="str">
        <f t="shared" ca="1" si="93"/>
        <v/>
      </c>
      <c r="I985" s="24" t="str">
        <f>IF(OR(E985="",E985="!!!",F985="NEW"),"",INDEX(B$2:B984,-1+SUMPRODUCT(MAX(ROW(E$2:E984)*(E985=E$2:E984)))))</f>
        <v/>
      </c>
      <c r="J985" s="24" t="str">
        <f ca="1">IF(OR(E985="",E985="!!!",F985="NEW"),"",COUNTBLANK(OFFSET(A$1,,,SUMPRODUCT(MAX(ROW(E$2:E985)*(E985=E$2:E985)))))-COUNTBLANK(OFFSET(A$1,,,SUMPRODUCT(MAX(ROW(E$1:E984)*(E2=E$1:E984))))))</f>
        <v/>
      </c>
      <c r="K985" s="24" t="str">
        <f>IF(OR(E985="",E985="!!!",F985="NEW"),"",INDEX(J$1:J984,SUMPRODUCT(MAX(ROW(E$1:E984)*(E985=E$1:E984)))))</f>
        <v/>
      </c>
      <c r="L985" s="25"/>
    </row>
    <row r="986" spans="1:12" x14ac:dyDescent="0.3">
      <c r="A986" t="s">
        <v>489</v>
      </c>
      <c r="E986" s="20" t="str">
        <f t="shared" si="92"/>
        <v/>
      </c>
      <c r="F986" s="21" t="str">
        <f>IF(OR(E986="",E986="!!!"),"",IF(NOT(ISNA(VLOOKUP(E986,E$1:E985,1,FALSE()))),"OLD",IF(AND(E986&lt;&gt;"",E986&lt;&gt;"!!!"),"NEW","")))</f>
        <v/>
      </c>
      <c r="G986" s="22" t="str">
        <f>IF(OR(E986="",E986="!!!"),"",IF(OR(J986=0,AND(J986=1,K986=1),AND(J986=1,I986="SBJ"),AND(J986=1,I986=0)),"?IN_FOCUS",IF(J986&lt;=2,"?ACTIVATED",IF(J986&lt;&gt;"","?FAMILIAR",IF(F986="NEW",IF(ISNA(VLOOKUP(E986,#REF!,1,FALSE())),"?TYPE_IDENTIFIABLE","?REFERENTIAL"),"_")))))</f>
        <v/>
      </c>
      <c r="H986" s="23" t="str">
        <f t="shared" ca="1" si="93"/>
        <v/>
      </c>
      <c r="I986" s="24" t="str">
        <f>IF(OR(E986="",E986="!!!",F986="NEW"),"",INDEX(B$2:B985,-1+SUMPRODUCT(MAX(ROW(E$2:E985)*(E986=E$2:E985)))))</f>
        <v/>
      </c>
      <c r="J986" s="24" t="str">
        <f ca="1">IF(OR(E986="",E986="!!!",F986="NEW"),"",COUNTBLANK(OFFSET(A$1,,,SUMPRODUCT(MAX(ROW(E$2:E986)*(E986=E$2:E986)))))-COUNTBLANK(OFFSET(A$1,,,SUMPRODUCT(MAX(ROW(E$1:E985)*(E2=E$1:E985))))))</f>
        <v/>
      </c>
      <c r="K986" s="24" t="str">
        <f>IF(OR(E986="",E986="!!!",F986="NEW"),"",INDEX(J$1:J985,SUMPRODUCT(MAX(ROW(E$1:E985)*(E986=E$1:E985)))))</f>
        <v/>
      </c>
      <c r="L986" s="25"/>
    </row>
    <row r="987" spans="1:12" x14ac:dyDescent="0.3">
      <c r="A987" t="s">
        <v>344</v>
      </c>
      <c r="B987" s="26" t="s">
        <v>274</v>
      </c>
      <c r="C987" s="26" t="s">
        <v>273</v>
      </c>
      <c r="D987" s="26" t="s">
        <v>254</v>
      </c>
      <c r="E987" s="20" t="s">
        <v>665</v>
      </c>
      <c r="F987" s="21" t="str">
        <f>IF(OR(E987="",E987="!!!"),"",IF(NOT(ISNA(VLOOKUP(E987,E$1:E986,1,FALSE()))),"OLD",IF(AND(E987&lt;&gt;"",E987&lt;&gt;"!!!"),"NEW","")))</f>
        <v>OLD</v>
      </c>
      <c r="G987" s="22" t="s">
        <v>713</v>
      </c>
      <c r="H987" s="23" t="str">
        <f t="shared" ca="1" si="93"/>
        <v/>
      </c>
      <c r="I987" s="24" t="str">
        <f>IF(OR(E987="",E987="!!!",F987="NEW"),"",INDEX(B$2:B986,-1+SUMPRODUCT(MAX(ROW(E$2:E986)*(E987=E$2:E986)))))</f>
        <v>SBJ</v>
      </c>
      <c r="J987" s="24">
        <f ca="1">IF(OR(E987="",E987="!!!",F987="NEW"),"",COUNTBLANK(OFFSET(A$1,,,SUMPRODUCT(MAX(ROW(E$2:E987)*(E987=E$2:E987)))))-COUNTBLANK(OFFSET(A$1,,,SUMPRODUCT(MAX(ROW(E$1:E986)*(E2=E$1:E986))))))</f>
        <v>0</v>
      </c>
      <c r="K987" s="24">
        <f ca="1">IF(OR(E987="",E987="!!!",F987="NEW"),"",INDEX(J$1:J986,SUMPRODUCT(MAX(ROW(E$1:E986)*(E987=E$1:E986)))))</f>
        <v>0</v>
      </c>
      <c r="L987" s="25"/>
    </row>
    <row r="988" spans="1:12" x14ac:dyDescent="0.3">
      <c r="A988" t="s">
        <v>265</v>
      </c>
      <c r="E988" s="20" t="str">
        <f t="shared" si="92"/>
        <v/>
      </c>
      <c r="F988" s="21" t="str">
        <f>IF(OR(E988="",E988="!!!"),"",IF(NOT(ISNA(VLOOKUP(E988,E$1:E987,1,FALSE()))),"OLD",IF(AND(E988&lt;&gt;"",E988&lt;&gt;"!!!"),"NEW","")))</f>
        <v/>
      </c>
      <c r="G988" s="22" t="str">
        <f>IF(OR(E988="",E988="!!!"),"",IF(OR(J988=0,AND(J988=1,K988=1),AND(J988=1,I988="SBJ"),AND(J988=1,I988=0)),"?IN_FOCUS",IF(J988&lt;=2,"?ACTIVATED",IF(J988&lt;&gt;"","?FAMILIAR",IF(F988="NEW",IF(ISNA(VLOOKUP(E988,#REF!,1,FALSE())),"?TYPE_IDENTIFIABLE","?REFERENTIAL"),"_")))))</f>
        <v/>
      </c>
      <c r="H988" s="23" t="str">
        <f t="shared" ca="1" si="93"/>
        <v/>
      </c>
      <c r="I988" s="24" t="str">
        <f>IF(OR(E988="",E988="!!!",F988="NEW"),"",INDEX(B$2:B987,-1+SUMPRODUCT(MAX(ROW(E$2:E987)*(E988=E$2:E987)))))</f>
        <v/>
      </c>
      <c r="J988" s="24" t="str">
        <f ca="1">IF(OR(E988="",E988="!!!",F988="NEW"),"",COUNTBLANK(OFFSET(A$1,,,SUMPRODUCT(MAX(ROW(E$2:E988)*(E988=E$2:E988)))))-COUNTBLANK(OFFSET(A$1,,,SUMPRODUCT(MAX(ROW(E$1:E987)*(E2=E$1:E987))))))</f>
        <v/>
      </c>
      <c r="K988" s="24" t="str">
        <f>IF(OR(E988="",E988="!!!",F988="NEW"),"",INDEX(J$1:J987,SUMPRODUCT(MAX(ROW(E$1:E987)*(E988=E$1:E987)))))</f>
        <v/>
      </c>
      <c r="L988" s="25"/>
    </row>
    <row r="990" spans="1:12" x14ac:dyDescent="0.3">
      <c r="A990" t="s">
        <v>654</v>
      </c>
    </row>
    <row r="991" spans="1:12" x14ac:dyDescent="0.3">
      <c r="A991" t="s">
        <v>389</v>
      </c>
      <c r="E991" s="20" t="str">
        <f t="shared" ref="E991:E1000" si="94">IF(D991="?OLD","!!!","")</f>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t="shared" ref="H991:H1000" ca="1" si="95">IF(J991&lt;&gt;1,"",IF(I991="SBJ","CB","?"))</f>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3">
      <c r="A992" t="s">
        <v>655</v>
      </c>
      <c r="E992" s="20" t="str">
        <f t="shared" si="94"/>
        <v/>
      </c>
      <c r="F992" s="21" t="str">
        <f>IF(OR(E992="",E992="!!!"),"",IF(NOT(ISNA(VLOOKUP(E992,E$1:E991,1,FALSE()))),"OLD",IF(AND(E992&lt;&gt;"",E992&lt;&gt;"!!!"),"NEW","")))</f>
        <v/>
      </c>
      <c r="G992" s="22" t="str">
        <f>IF(OR(E992="",E992="!!!"),"",IF(OR(J992=0,AND(J992=1,K992=1),AND(J992=1,I992="SBJ"),AND(J992=1,I992=0)),"?IN_FOCUS",IF(J992&lt;=2,"?ACTIVATED",IF(J992&lt;&gt;"","?FAMILIAR",IF(F992="NEW",IF(ISNA(VLOOKUP(E992,#REF!,1,FALSE())),"?TYPE_IDENTIFIABLE","?REFERENTIAL"),"_")))))</f>
        <v/>
      </c>
      <c r="H992" s="23" t="str">
        <f t="shared" ca="1" si="95"/>
        <v/>
      </c>
      <c r="I992" s="24" t="str">
        <f>IF(OR(E992="",E992="!!!",F992="NEW"),"",INDEX(B$2:B991,-1+SUMPRODUCT(MAX(ROW(E$2:E991)*(E992=E$2:E991)))))</f>
        <v/>
      </c>
      <c r="J992" s="24" t="str">
        <f ca="1">IF(OR(E992="",E992="!!!",F992="NEW"),"",COUNTBLANK(OFFSET(A$1,,,SUMPRODUCT(MAX(ROW(E$2:E992)*(E992=E$2:E992)))))-COUNTBLANK(OFFSET(A$1,,,SUMPRODUCT(MAX(ROW(E$1:E991)*(E2=E$1:E991))))))</f>
        <v/>
      </c>
      <c r="K992" s="24" t="str">
        <f>IF(OR(E992="",E992="!!!",F992="NEW"),"",INDEX(J$1:J991,SUMPRODUCT(MAX(ROW(E$1:E991)*(E992=E$1:E991)))))</f>
        <v/>
      </c>
      <c r="L992" s="25"/>
    </row>
    <row r="993" spans="1:12" x14ac:dyDescent="0.3">
      <c r="A993" t="s">
        <v>92</v>
      </c>
      <c r="E993" s="20" t="str">
        <f t="shared" si="94"/>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t="shared" ca="1" si="95"/>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3">
      <c r="A994" t="s">
        <v>656</v>
      </c>
      <c r="E994" s="20" t="str">
        <f t="shared" si="94"/>
        <v/>
      </c>
      <c r="F994" s="21" t="str">
        <f>IF(OR(E994="",E994="!!!"),"",IF(NOT(ISNA(VLOOKUP(E994,E$1:E993,1,FALSE()))),"OLD",IF(AND(E994&lt;&gt;"",E994&lt;&gt;"!!!"),"NEW","")))</f>
        <v/>
      </c>
      <c r="G994" s="22" t="str">
        <f>IF(OR(E994="",E994="!!!"),"",IF(OR(J994=0,AND(J994=1,K994=1),AND(J994=1,I994="SBJ"),AND(J994=1,I994=0)),"?IN_FOCUS",IF(J994&lt;=2,"?ACTIVATED",IF(J994&lt;&gt;"","?FAMILIAR",IF(F994="NEW",IF(ISNA(VLOOKUP(E994,#REF!,1,FALSE())),"?TYPE_IDENTIFIABLE","?REFERENTIAL"),"_")))))</f>
        <v/>
      </c>
      <c r="H994" s="23" t="str">
        <f t="shared" ca="1" si="95"/>
        <v/>
      </c>
      <c r="I994" s="24" t="str">
        <f>IF(OR(E994="",E994="!!!",F994="NEW"),"",INDEX(B$2:B993,-1+SUMPRODUCT(MAX(ROW(E$2:E993)*(E994=E$2:E993)))))</f>
        <v/>
      </c>
      <c r="J994" s="24" t="str">
        <f ca="1">IF(OR(E994="",E994="!!!",F994="NEW"),"",COUNTBLANK(OFFSET(A$1,,,SUMPRODUCT(MAX(ROW(E$2:E994)*(E994=E$2:E994)))))-COUNTBLANK(OFFSET(A$1,,,SUMPRODUCT(MAX(ROW(E$1:E993)*(E2=E$1:E993))))))</f>
        <v/>
      </c>
      <c r="K994" s="24" t="str">
        <f>IF(OR(E994="",E994="!!!",F994="NEW"),"",INDEX(J$1:J993,SUMPRODUCT(MAX(ROW(E$1:E993)*(E994=E$1:E993)))))</f>
        <v/>
      </c>
      <c r="L994" s="25"/>
    </row>
    <row r="995" spans="1:12" x14ac:dyDescent="0.3">
      <c r="A995" t="s">
        <v>342</v>
      </c>
      <c r="E995" s="20" t="str">
        <f t="shared" si="94"/>
        <v/>
      </c>
      <c r="F995" s="21" t="str">
        <f>IF(OR(E995="",E995="!!!"),"",IF(NOT(ISNA(VLOOKUP(E995,E$1:E994,1,FALSE()))),"OLD",IF(AND(E995&lt;&gt;"",E995&lt;&gt;"!!!"),"NEW","")))</f>
        <v/>
      </c>
      <c r="G995" s="22" t="str">
        <f>IF(OR(E995="",E995="!!!"),"",IF(OR(J995=0,AND(J995=1,K995=1),AND(J995=1,I995="SBJ"),AND(J995=1,I995=0)),"?IN_FOCUS",IF(J995&lt;=2,"?ACTIVATED",IF(J995&lt;&gt;"","?FAMILIAR",IF(F995="NEW",IF(ISNA(VLOOKUP(E995,#REF!,1,FALSE())),"?TYPE_IDENTIFIABLE","?REFERENTIAL"),"_")))))</f>
        <v/>
      </c>
      <c r="H995" s="23" t="str">
        <f t="shared" ca="1" si="95"/>
        <v/>
      </c>
      <c r="I995" s="24" t="str">
        <f>IF(OR(E995="",E995="!!!",F995="NEW"),"",INDEX(B$2:B994,-1+SUMPRODUCT(MAX(ROW(E$2:E994)*(E995=E$2:E994)))))</f>
        <v/>
      </c>
      <c r="J995" s="24" t="str">
        <f ca="1">IF(OR(E995="",E995="!!!",F995="NEW"),"",COUNTBLANK(OFFSET(A$1,,,SUMPRODUCT(MAX(ROW(E$2:E995)*(E995=E$2:E995)))))-COUNTBLANK(OFFSET(A$1,,,SUMPRODUCT(MAX(ROW(E$1:E994)*(E2=E$1:E994))))))</f>
        <v/>
      </c>
      <c r="K995" s="24" t="str">
        <f>IF(OR(E995="",E995="!!!",F995="NEW"),"",INDEX(J$1:J994,SUMPRODUCT(MAX(ROW(E$1:E994)*(E995=E$1:E994)))))</f>
        <v/>
      </c>
      <c r="L995" s="25"/>
    </row>
    <row r="996" spans="1:12" x14ac:dyDescent="0.3">
      <c r="A996" t="s">
        <v>82</v>
      </c>
      <c r="E996" s="20" t="str">
        <f t="shared" si="94"/>
        <v/>
      </c>
      <c r="F996" s="21" t="str">
        <f>IF(OR(E996="",E996="!!!"),"",IF(NOT(ISNA(VLOOKUP(E996,E$1:E995,1,FALSE()))),"OLD",IF(AND(E996&lt;&gt;"",E996&lt;&gt;"!!!"),"NEW","")))</f>
        <v/>
      </c>
      <c r="G996" s="22" t="str">
        <f>IF(OR(E996="",E996="!!!"),"",IF(OR(J996=0,AND(J996=1,K996=1),AND(J996=1,I996="SBJ"),AND(J996=1,I996=0)),"?IN_FOCUS",IF(J996&lt;=2,"?ACTIVATED",IF(J996&lt;&gt;"","?FAMILIAR",IF(F996="NEW",IF(ISNA(VLOOKUP(E996,#REF!,1,FALSE())),"?TYPE_IDENTIFIABLE","?REFERENTIAL"),"_")))))</f>
        <v/>
      </c>
      <c r="H996" s="23" t="str">
        <f t="shared" ca="1" si="95"/>
        <v/>
      </c>
      <c r="I996" s="24" t="str">
        <f>IF(OR(E996="",E996="!!!",F996="NEW"),"",INDEX(B$2:B995,-1+SUMPRODUCT(MAX(ROW(E$2:E995)*(E996=E$2:E995)))))</f>
        <v/>
      </c>
      <c r="J996" s="24" t="str">
        <f ca="1">IF(OR(E996="",E996="!!!",F996="NEW"),"",COUNTBLANK(OFFSET(A$1,,,SUMPRODUCT(MAX(ROW(E$2:E996)*(E996=E$2:E996)))))-COUNTBLANK(OFFSET(A$1,,,SUMPRODUCT(MAX(ROW(E$1:E995)*(E2=E$1:E995))))))</f>
        <v/>
      </c>
      <c r="K996" s="24" t="str">
        <f>IF(OR(E996="",E996="!!!",F996="NEW"),"",INDEX(J$1:J995,SUMPRODUCT(MAX(ROW(E$1:E995)*(E996=E$1:E995)))))</f>
        <v/>
      </c>
      <c r="L996" s="25"/>
    </row>
    <row r="997" spans="1:12" x14ac:dyDescent="0.3">
      <c r="A997" t="s">
        <v>246</v>
      </c>
      <c r="E997" s="20" t="str">
        <f t="shared" si="94"/>
        <v/>
      </c>
      <c r="F997" s="21" t="str">
        <f>IF(OR(E997="",E997="!!!"),"",IF(NOT(ISNA(VLOOKUP(E997,E$1:E996,1,FALSE()))),"OLD",IF(AND(E997&lt;&gt;"",E997&lt;&gt;"!!!"),"NEW","")))</f>
        <v/>
      </c>
      <c r="G997" s="22" t="str">
        <f>IF(OR(E997="",E997="!!!"),"",IF(OR(J997=0,AND(J997=1,K997=1),AND(J997=1,I997="SBJ"),AND(J997=1,I997=0)),"?IN_FOCUS",IF(J997&lt;=2,"?ACTIVATED",IF(J997&lt;&gt;"","?FAMILIAR",IF(F997="NEW",IF(ISNA(VLOOKUP(E997,#REF!,1,FALSE())),"?TYPE_IDENTIFIABLE","?REFERENTIAL"),"_")))))</f>
        <v/>
      </c>
      <c r="H997" s="23" t="str">
        <f t="shared" ca="1" si="95"/>
        <v/>
      </c>
      <c r="I997" s="24" t="str">
        <f>IF(OR(E997="",E997="!!!",F997="NEW"),"",INDEX(B$2:B996,-1+SUMPRODUCT(MAX(ROW(E$2:E996)*(E997=E$2:E996)))))</f>
        <v/>
      </c>
      <c r="J997" s="24" t="str">
        <f ca="1">IF(OR(E997="",E997="!!!",F997="NEW"),"",COUNTBLANK(OFFSET(A$1,,,SUMPRODUCT(MAX(ROW(E$2:E997)*(E997=E$2:E997)))))-COUNTBLANK(OFFSET(A$1,,,SUMPRODUCT(MAX(ROW(E$1:E996)*(E2=E$1:E996))))))</f>
        <v/>
      </c>
      <c r="K997" s="24" t="str">
        <f>IF(OR(E997="",E997="!!!",F997="NEW"),"",INDEX(J$1:J996,SUMPRODUCT(MAX(ROW(E$1:E996)*(E997=E$1:E996)))))</f>
        <v/>
      </c>
      <c r="L997" s="25"/>
    </row>
    <row r="998" spans="1:12" x14ac:dyDescent="0.3">
      <c r="A998" t="s">
        <v>657</v>
      </c>
      <c r="E998" s="20" t="str">
        <f t="shared" si="94"/>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ca="1" si="95"/>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3">
      <c r="A999" t="s">
        <v>280</v>
      </c>
      <c r="B999" s="26" t="s">
        <v>248</v>
      </c>
      <c r="C999" s="26" t="s">
        <v>249</v>
      </c>
      <c r="E999" s="20" t="str">
        <f t="shared" si="94"/>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95"/>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0" spans="1:12" x14ac:dyDescent="0.3">
      <c r="A1000" t="s">
        <v>265</v>
      </c>
      <c r="E1000" s="20" t="str">
        <f t="shared" si="94"/>
        <v/>
      </c>
      <c r="F1000" s="21" t="str">
        <f>IF(OR(E1000="",E1000="!!!"),"",IF(NOT(ISNA(VLOOKUP(E1000,E$1:E999,1,FALSE()))),"OLD",IF(AND(E1000&lt;&gt;"",E1000&lt;&gt;"!!!"),"NEW","")))</f>
        <v/>
      </c>
      <c r="G1000" s="22" t="str">
        <f>IF(OR(E1000="",E1000="!!!"),"",IF(OR(J1000=0,AND(J1000=1,K1000=1),AND(J1000=1,I1000="SBJ"),AND(J1000=1,I1000=0)),"?IN_FOCUS",IF(J1000&lt;=2,"?ACTIVATED",IF(J1000&lt;&gt;"","?FAMILIAR",IF(F1000="NEW",IF(ISNA(VLOOKUP(E1000,#REF!,1,FALSE())),"?TYPE_IDENTIFIABLE","?REFERENTIAL"),"_")))))</f>
        <v/>
      </c>
      <c r="H1000" s="23" t="str">
        <f t="shared" ca="1" si="95"/>
        <v/>
      </c>
      <c r="I1000" s="24" t="str">
        <f>IF(OR(E1000="",E1000="!!!",F1000="NEW"),"",INDEX(B$2:B999,-1+SUMPRODUCT(MAX(ROW(E$2:E999)*(E1000=E$2:E999)))))</f>
        <v/>
      </c>
      <c r="J1000" s="24" t="str">
        <f ca="1">IF(OR(E1000="",E1000="!!!",F1000="NEW"),"",COUNTBLANK(OFFSET(A$1,,,SUMPRODUCT(MAX(ROW(E$2:E1000)*(E1000=E$2:E1000)))))-COUNTBLANK(OFFSET(A$1,,,SUMPRODUCT(MAX(ROW(E$1:E999)*(E2=E$1:E999))))))</f>
        <v/>
      </c>
      <c r="K1000" s="24" t="str">
        <f>IF(OR(E1000="",E1000="!!!",F1000="NEW"),"",INDEX(J$1:J999,SUMPRODUCT(MAX(ROW(E$1:E999)*(E1000=E$1:E999)))))</f>
        <v/>
      </c>
      <c r="L1000"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Viktoriia Remishevska</cp:lastModifiedBy>
  <dcterms:created xsi:type="dcterms:W3CDTF">2024-05-20T20:26:31Z</dcterms:created>
  <dcterms:modified xsi:type="dcterms:W3CDTF">2026-01-12T02:18:03Z</dcterms:modified>
</cp:coreProperties>
</file>